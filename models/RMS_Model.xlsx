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Bull-Base-Bear" sheetId="2" state="visible" r:id="rId4"/>
    <sheet name="DCF" sheetId="3" state="visible" r:id="rId5"/>
    <sheet name="Cha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Source: revenue by métier — registration documents / URDs (FY, management report) and half-year financial reports (H1). FY2009–11 printed in whole €m. H2 = FY − H1.</t>
        </r>
      </text>
    </comment>
    <comment ref="B67" authorId="0">
      <text>
        <r>
          <rPr>
            <sz val="10"/>
            <rFont val="Arial"/>
            <family val="2"/>
          </rPr>
          <t xml:space="preserve">Source: quarterly revenue releases and the quarter columns of the half-year and full-year results releases (Q1/14–Q2/26).</t>
        </r>
      </text>
    </comment>
    <comment ref="B74" authorId="0">
      <text>
        <r>
          <rPr>
            <sz val="10"/>
            <rFont val="Arial"/>
            <family val="2"/>
          </rPr>
          <t xml:space="preserve">Source: segment note (revenue by destination) in the URDs / half-year reports.</t>
        </r>
      </text>
    </comment>
    <comment ref="B119" authorId="0">
      <text>
        <r>
          <rPr>
            <sz val="10"/>
            <rFont val="Arial"/>
            <family val="2"/>
          </rPr>
          <t xml:space="preserve">Source: consolidated income statement — registration documents / URDs (FY), half-year financial reports (H1); FY2006–08 key consolidated data (2010 registration document). H2 = FY − H1.</t>
        </r>
      </text>
    </comment>
    <comment ref="B122" authorId="0">
      <text>
        <r>
          <rPr>
            <sz val="10"/>
            <rFont val="Arial"/>
            <family val="2"/>
          </rPr>
          <t xml:space="preserve">2015 reclassification: free-share plan expense moved from S&amp;A to other income and expenses (2014 as originally reported).</t>
        </r>
      </text>
    </comment>
    <comment ref="B142" authorId="0">
      <text>
        <r>
          <rPr>
            <sz val="10"/>
            <rFont val="Arial"/>
            <family val="2"/>
          </rPr>
          <t xml:space="preserve">Cash-flow statement: depreciation &amp; amortisation of fixed assets + right-of-use assets (from 2019) + impairment losses (shown as separate lines in some years; summed here).</t>
        </r>
      </text>
    </comment>
    <comment ref="B153" authorId="0">
      <text>
        <r>
          <rPr>
            <sz val="10"/>
            <rFont val="Arial"/>
            <family val="2"/>
          </rPr>
          <t xml:space="preserve">€5.00 (FY2011, FY2014 paid 2015, FY2017 paid 2018); €10.00 paid 2024 and 2025.</t>
        </r>
      </text>
    </comment>
    <comment ref="B210" authorId="0">
      <text>
        <r>
          <rPr>
            <sz val="10"/>
            <rFont val="Arial"/>
            <family val="2"/>
          </rPr>
          <t xml:space="preserve">Source: consolidated statement of cash flows (URDs; half-year reports). Hermès' cash = net cash position (cash and cash equivalents less bank overdrafts).</t>
        </r>
      </text>
    </comment>
    <comment ref="B263" authorId="0">
      <text>
        <r>
          <rPr>
            <sz val="10"/>
            <rFont val="Arial"/>
            <family val="2"/>
          </rPr>
          <t xml:space="preserve">Source: consolidated balance sheet — URDs (31-Dec) and half-year reports (30-Jun).</t>
        </r>
      </text>
    </comment>
    <comment ref="F177" authorId="0">
      <text>
        <r>
          <rPr>
            <sz val="10"/>
            <rFont val="Arial"/>
            <family val="2"/>
          </rPr>
          <t xml:space="preserve">Leases off balance sheet to 2018: rents in operating expenses; EBITDA pre- and post-IFRS 16 are identical. FY2009 = comparative column of the 2010 registration document.</t>
        </r>
      </text>
    </comment>
    <comment ref="X193" authorId="0">
      <text>
        <r>
          <rPr>
            <sz val="10"/>
            <rFont val="Arial"/>
            <family val="2"/>
          </rPr>
          <t xml:space="preserve">Two exceptional 15% French corporate-tax surtaxes net of the refund of the 3% dividend tax: net expense €20m (2017 registration document, tax note).</t>
        </r>
      </text>
    </comment>
    <comment ref="X312" authorId="0">
      <text>
        <r>
          <rPr>
            <sz val="10"/>
            <rFont val="Arial"/>
            <family val="2"/>
          </rPr>
          <t xml:space="preserve">Net cash + cash investments with original maturity &gt; 3 months (not cash equivalents under IFRS).</t>
        </r>
      </text>
    </comment>
    <comment ref="AA193" authorId="0">
      <text>
        <r>
          <rPr>
            <sz val="10"/>
            <rFont val="Arial"/>
            <family val="2"/>
          </rPr>
          <t xml:space="preserve">Non-recurring income €52.7m: gain on sale of the former Galleria store premises in Hong Kong (not taxed). Recognised in H1/18.</t>
        </r>
      </text>
    </comment>
    <comment ref="AA242" authorId="0">
      <text>
        <r>
          <rPr>
            <sz val="10"/>
            <rFont val="Arial"/>
            <family val="2"/>
          </rPr>
          <t xml:space="preserve">2018 and before: free cash flow = operating cash flows after working capital less operating investments (no lease repayments).</t>
        </r>
      </text>
    </comment>
    <comment ref="AB177" authorId="0">
      <text>
        <r>
          <rPr>
            <sz val="10"/>
            <rFont val="Arial"/>
            <family val="2"/>
          </rPr>
          <t xml:space="preserve">Right-of-use assets and lease liabilities on the balance sheet; depreciation of right-of-use assets in operating expenses, lease interest in net financial income, principal repayments in financing cash flows. 2018 is shown as originally reported (not restated).</t>
        </r>
      </text>
    </comment>
    <comment ref="AB242" authorId="0">
      <text>
        <r>
          <rPr>
            <sz val="10"/>
            <rFont val="Arial"/>
            <family val="2"/>
          </rPr>
          <t xml:space="preserve">Hermès APM: cash flows from operating activities − operating investments − repayment of lease liabilities.</t>
        </r>
      </text>
    </comment>
    <comment ref="AD177" authorId="0">
      <text>
        <r>
          <rPr>
            <sz val="10"/>
            <rFont val="Arial"/>
            <family val="2"/>
          </rPr>
          <t xml:space="preserve">See H1/19.</t>
        </r>
      </text>
    </comment>
    <comment ref="AG193" authorId="0">
      <text>
        <r>
          <rPr>
            <sz val="10"/>
            <rFont val="Arial"/>
            <family val="2"/>
          </rPr>
          <t xml:space="preserve">Non-recurring income €91.1m: deconsolidation of Shang Xia after Exor's reserved capital increase (23-Dec-2020; not taxed).</t>
        </r>
      </text>
    </comment>
    <comment ref="AG312" authorId="0">
      <text>
        <r>
          <rPr>
            <sz val="10"/>
            <rFont val="Arial"/>
            <family val="2"/>
          </rPr>
          <t xml:space="preserve">Restated net cash also deducts financial liabilities.</t>
        </r>
      </text>
    </comment>
    <comment ref="AT193" authorId="0">
      <text>
        <r>
          <rPr>
            <sz val="10"/>
            <rFont val="Arial"/>
            <family val="2"/>
          </rPr>
          <t xml:space="preserve">Exceptional contribution on the profits of large companies in France (2025, renewed 2026). H1 amounts estimated from the disclosed ETR with / without it; FY2025 €331m disclosed. Hermès publishes net income excluding it (rounded to €0.1bn / €0.01bn).</t>
        </r>
      </text>
    </comment>
    <comment ref="AV193" authorId="0">
      <text>
        <r>
          <rPr>
            <sz val="10"/>
            <rFont val="Arial"/>
            <family val="2"/>
          </rPr>
          <t xml:space="preserve">2025 URD: ETR 33.4% (28.5% excluding the contribution); net income excluding it €4.86bn.</t>
        </r>
      </text>
    </comment>
    <comment ref="BD2" authorId="0">
      <text>
        <r>
          <rPr>
            <sz val="10"/>
            <rFont val="Arial"/>
            <family val="2"/>
          </rPr>
          <t xml:space="preserve">Scenario toggle. Choose Bull / Base / Bear. Drives: H2/26E currency effect, constant-currency growth by métier (H2/26E, 2027E–30E), gross margin, recurring operating margin, buybacks, exceptional dividends and payout (scenario input table to the right). Bull / Bear = Base + Δ.</t>
        </r>
      </text>
    </comment>
    <comment ref="BL11" authorId="0">
      <text>
        <r>
          <rPr>
            <sz val="10"/>
            <rFont val="Arial"/>
            <family val="2"/>
          </rPr>
          <t xml:space="preserve">Hermès does not give revenue or margin guidance: H1/26 release (29-Jul-26) 'confirms an ambitious goal for revenue growth at constant exchange rates' in the medium term. H1/26 report: 2026 ETR expected at ~33% incl. the renewed French exceptional contribution (~28% excluding it); currency impact &gt; €360m on H1 revenue.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26" authorId="0">
      <text>
        <r>
          <rPr>
            <sz val="10"/>
            <rFont val="Arial"/>
            <family val="2"/>
          </rPr>
          <t xml:space="preserve">Assumed exit P/E on recurring diluted EPS. Hermès traded at ~45–55x forward earnings in 2021–25; €1,299.50 (2-Oct-26) ≈ 28x 2026E recurring EPS (Base).</t>
        </r>
      </text>
    </comment>
  </commentList>
</comments>
</file>

<file path=xl/sharedStrings.xml><?xml version="1.0" encoding="utf-8"?>
<sst xmlns="http://schemas.openxmlformats.org/spreadsheetml/2006/main" count="887" uniqueCount="658">
  <si>
    <t xml:space="preserve">SCENARIO SWITCH ▼ (Bull / Base / Bear) — drives all scenario-linked forecast drivers</t>
  </si>
  <si>
    <t xml:space="preserve">Hermès International S.C.A. (Euronext Paris: RMS) — 3-Statement Financial Model</t>
  </si>
  <si>
    <t xml:space="preserve">Base</t>
  </si>
  <si>
    <t xml:space="preserve">IFRS as reported · EUR millions (per-share data in EUR) · Source: Hermès registration documents / Universal Registration Documents (annual financial reports FY2010–FY2025; FY2009 comparatives and FY2006–08 key figures from the 2010 document), half-year financial reports (H1 2013–H1 2026), half-year / full-year results and quarterly revenue releases — finance.hermes.com (documents filed with the AMF). Hermès is not an SEC registrant: EDGAR holds only ADR (Form F-6) registrations, no 10-K / 10-Q / 8-K.</t>
  </si>
  <si>
    <t xml:space="preserve">Basis notes: calendar fiscal year; interim columns are half-years (Hermès publishes full statements for H1 and FY only): H1 as reported, H2 = FY − H1 (balances = 31-Dec). Each period as originally reported (2018 pre-IFRS 16; IFRS 16 from 2019, 2018 not restated). Tableware folded into Other Hermès sectors (separate to 2013). Free-share plan expense reclassified from S&amp;A to other income &amp; expenses from 2015 (2014 as reported). Non-recurring items: 2018 HK property gain €52.7m; 2020 Shang Xia deconsolidation €91.1m. French exceptional contribution on large companies' profits in 2025 (€331m) and renewed for 2026. H2/26E–2030E = forecast (no company numeric guidance; scenario-driven).</t>
  </si>
  <si>
    <t xml:space="preserve">Forecast</t>
  </si>
  <si>
    <t xml:space="preserve">Historical</t>
  </si>
  <si>
    <t xml:space="preserve">(EURm)</t>
  </si>
  <si>
    <t xml:space="preserve">H1/13</t>
  </si>
  <si>
    <t xml:space="preserve">H2/13</t>
  </si>
  <si>
    <t xml:space="preserve">H1/14</t>
  </si>
  <si>
    <t xml:space="preserve">H2/14</t>
  </si>
  <si>
    <t xml:space="preserve">H1/15</t>
  </si>
  <si>
    <t xml:space="preserve">H2/15</t>
  </si>
  <si>
    <t xml:space="preserve">H1/16</t>
  </si>
  <si>
    <t xml:space="preserve">H2/16</t>
  </si>
  <si>
    <t xml:space="preserve">H1/17</t>
  </si>
  <si>
    <t xml:space="preserve">H2/17</t>
  </si>
  <si>
    <t xml:space="preserve">H1/18</t>
  </si>
  <si>
    <t xml:space="preserve">H2/18</t>
  </si>
  <si>
    <t xml:space="preserve">H1/19</t>
  </si>
  <si>
    <t xml:space="preserve">H2/19</t>
  </si>
  <si>
    <t xml:space="preserve">H1/20</t>
  </si>
  <si>
    <t xml:space="preserve">H2/20</t>
  </si>
  <si>
    <t xml:space="preserve">H1/21</t>
  </si>
  <si>
    <t xml:space="preserve">H2/21</t>
  </si>
  <si>
    <t xml:space="preserve">H1/22</t>
  </si>
  <si>
    <t xml:space="preserve">H2/22</t>
  </si>
  <si>
    <t xml:space="preserve">H1/23</t>
  </si>
  <si>
    <t xml:space="preserve">H2/23</t>
  </si>
  <si>
    <t xml:space="preserve">H1/24</t>
  </si>
  <si>
    <t xml:space="preserve">H2/24</t>
  </si>
  <si>
    <t xml:space="preserve">H1/25</t>
  </si>
  <si>
    <t xml:space="preserve">H2/25</t>
  </si>
  <si>
    <t xml:space="preserve">H1/26</t>
  </si>
  <si>
    <t xml:space="preserve">H2/26E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</si>
  <si>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</si>
  <si>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</si>
  <si>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</si>
  <si>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</si>
  <si>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</si>
  <si>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Modelling Notes</t>
  </si>
  <si>
    <t xml:space="preserve">5Y CAGR</t>
  </si>
  <si>
    <t xml:space="preserve">10Y CAGR</t>
  </si>
  <si>
    <t xml:space="preserve">19Y CAGR</t>
  </si>
  <si>
    <t xml:space="preserve">25-'30</t>
  </si>
  <si>
    <t xml:space="preserve">20-'25</t>
  </si>
  <si>
    <t xml:space="preserve">15-'25</t>
  </si>
  <si>
    <t xml:space="preserve">06-'25</t>
  </si>
  <si>
    <t xml:space="preserve">MÉTIER REVENUE BUILD — SEVEN SECTORS (prior period × (1 + constant-currency growth + currency effect))</t>
  </si>
  <si>
    <t xml:space="preserve">MÉTIER BUILD — modelling logic (constant-currency growth by métier + group currency effect)</t>
  </si>
  <si>
    <t xml:space="preserve">SCENARIO INPUT TABLE — driver assumptions per Bull / Base / Bear</t>
  </si>
  <si>
    <t xml:space="preserve">Bull</t>
  </si>
  <si>
    <t xml:space="preserve">Bear</t>
  </si>
  <si>
    <t xml:space="preserve">Bull / Bear = Base + Δ (Δ inputs on each block header). Point-estimate block applies to all cases except the H2/26E currency effect.</t>
  </si>
  <si>
    <t xml:space="preserve">Leather Goods &amp; Saddlery (bags, travel, small leather goods, saddles &amp; equestrian)</t>
  </si>
  <si>
    <t xml:space="preserve">LEATHER GOODS &amp; SADDLERY — modelling logic</t>
  </si>
  <si>
    <t xml:space="preserve">  Revenue</t>
  </si>
  <si>
    <t xml:space="preserve">H2/26E: H2/25 × (1 + scenario constant-currency growth + H2/26E currency effect). 2027E+: prior year × (1 + scenario cc growth + currency effect).</t>
  </si>
  <si>
    <t xml:space="preserve">2026E point estimates — H2/26E drivers (company has no numeric FY26 guidance)</t>
  </si>
  <si>
    <t xml:space="preserve">  Revenue y/y % (reported)</t>
  </si>
  <si>
    <t xml:space="preserve">  H2/26E currency effect on revenue growth (pts)</t>
  </si>
  <si>
    <t xml:space="preserve">H2/26E currency effect on reported revenue growth (H1/26: −4.5 pts: +1.6% reported vs +6.1% at constant rates). USD, JPY and CNY weaker vs the euro than in H2/25.</t>
  </si>
  <si>
    <t xml:space="preserve">  Revenue y/y % at constant exchange rates (company)</t>
  </si>
  <si>
    <t xml:space="preserve">Scenario lever (LEATHER_ccGrowth, Bull/Base/Bear table →). 2026E = H1/26 actual and H2/26E growth weighted by 2025 halves. Company figures to one decimal (press releases).</t>
  </si>
  <si>
    <t xml:space="preserve">  2026E effective tax rate (incl. French exceptional contribution)</t>
  </si>
  <si>
    <t xml:space="preserve">ETR 33% and contribution ≈ 5 pts of pre-tax income: H1/26 report outlook. Capex: 2025 €1,161m, H1/26 €344m; 2024 URD guided ~€1bn for 2025.</t>
  </si>
  <si>
    <t xml:space="preserve">  Currency (and scope) effect on growth, pts (reported − constant FX)</t>
  </si>
  <si>
    <t xml:space="preserve">Forecast: group currency effect applied to every métier.</t>
  </si>
  <si>
    <t xml:space="preserve">  2026E exceptional contribution (pts of pre-tax income)</t>
  </si>
  <si>
    <t xml:space="preserve">  % of group revenue</t>
  </si>
  <si>
    <t xml:space="preserve">  2026E operating investments (€m)</t>
  </si>
  <si>
    <t xml:space="preserve">Ready-to-wear and Accessories (men's &amp; women's RTW, belts, fashion jewellery, gloves, hats, shoes)</t>
  </si>
  <si>
    <t xml:space="preserve">READY-TO-WEAR AND ACCESSORIES — modelling logic</t>
  </si>
  <si>
    <t xml:space="preserve">LEATHER_ccGrowth (Leather Goods &amp; Saddlery revenue y/y, constant FX)</t>
  </si>
  <si>
    <t xml:space="preserve">Δ →</t>
  </si>
  <si>
    <t xml:space="preserve">H1/26 +9.8% (Q2 slightly above Q1); FY25 +13.1%, FY24 +18.3%. Capacity: 25th workshop (Loupes, 2026), three more by 2030.</t>
  </si>
  <si>
    <t xml:space="preserve">  H2/26E</t>
  </si>
  <si>
    <t xml:space="preserve">Scenario lever (RTW_ccGrowth, Bull/Base/Bear table →). 2026E = H1/26 actual and H2/26E growth weighted by 2025 halves. Company figures to one decimal (press releases).</t>
  </si>
  <si>
    <t xml:space="preserve">  2027E</t>
  </si>
  <si>
    <t xml:space="preserve">  2028E</t>
  </si>
  <si>
    <t xml:space="preserve">  2029E</t>
  </si>
  <si>
    <t xml:space="preserve">  2030E</t>
  </si>
  <si>
    <t xml:space="preserve">Silk and Textiles</t>
  </si>
  <si>
    <t xml:space="preserve">SILK AND TEXTILES — modelling logic</t>
  </si>
  <si>
    <t xml:space="preserve">RTW_ccGrowth (Ready-to-wear and Accessories revenue y/y, constant FX)</t>
  </si>
  <si>
    <t xml:space="preserve">H1/26 +2.0% with a Q2 acceleration (women's AW26 collection); FY25 +6.1%, FY24 +15.4%.</t>
  </si>
  <si>
    <t xml:space="preserve">Scenario lever (SILK_ccGrowth, Bull/Base/Bear table →). 2026E = H1/26 actual and H2/26E growth weighted by 2025 halves. Company figures to one decimal (press releases).</t>
  </si>
  <si>
    <t xml:space="preserve">SILK_ccGrowth (Silk and Textiles revenue y/y, constant FX)</t>
  </si>
  <si>
    <t xml:space="preserve">H1/26 +9.7% (acceleration in Q2); FY25 +4.7%, FY24 +3.8%.</t>
  </si>
  <si>
    <t xml:space="preserve">Other Hermès sectors (Jewellery, Home / Art of Living &amp; Tableware — Tableware folded in from 2014)</t>
  </si>
  <si>
    <t xml:space="preserve">OTHER HERMÈS SECTORS — modelling logic</t>
  </si>
  <si>
    <t xml:space="preserve">Scenario lever (OTHER_HERMES_ccGrowth, Bull/Base/Bear table →). 2026E = H1/26 actual and H2/26E growth weighted by 2025 halves. Company figures to one decimal (press releases).</t>
  </si>
  <si>
    <t xml:space="preserve">2014: Other Hermès sectors scope restated by the company (Tableware folded in, comparatives restated), so reported y/y vs 2013 as originally published is not like-for-like.</t>
  </si>
  <si>
    <t xml:space="preserve">OTHER_HERMES_ccGrowth (Other Hermès sectors revenue y/y, constant FX)</t>
  </si>
  <si>
    <t xml:space="preserve">Jewellery and Home: H1/26 +5.4%; FY25 +11.2%, FY24 +17.1%.</t>
  </si>
  <si>
    <t xml:space="preserve">  Memo: Tableware (separate métier to 2013, as originally reported)</t>
  </si>
  <si>
    <t xml:space="preserve">Perfume and Beauty (Perfumes to 2019; Beauty from 2020)</t>
  </si>
  <si>
    <t xml:space="preserve">PERFUME AND BEAUTY — modelling logic</t>
  </si>
  <si>
    <t xml:space="preserve">Scenario lever (PERFUME_ccGrowth, Bull/Base/Bear table →). 2026E = H1/26 actual and H2/26E growth weighted by 2025 halves. Company figures to one decimal (press releases).</t>
  </si>
  <si>
    <t xml:space="preserve">PERFUME_ccGrowth (Perfume and Beauty revenue y/y, constant FX)</t>
  </si>
  <si>
    <t xml:space="preserve">H1/26 −4.5%; FY25 −7.6%, FY24 +9.3%.</t>
  </si>
  <si>
    <t xml:space="preserve">Watches (La Montre Hermès)</t>
  </si>
  <si>
    <t xml:space="preserve">WATCHES — modelling logic</t>
  </si>
  <si>
    <t xml:space="preserve">WATCHES_ccGrowth (Watches revenue y/y, constant FX)</t>
  </si>
  <si>
    <t xml:space="preserve">H1/26 +0.2% with a solid Q2; FY25 −1.5%, FY24 −4.2%.</t>
  </si>
  <si>
    <t xml:space="preserve">Scenario lever (WATCHES_ccGrowth, Bull/Base/Bear table →). 2026E = H1/26 actual and H2/26E growth weighted by 2025 halves. Company figures to one decimal (press releases).</t>
  </si>
  <si>
    <t xml:space="preserve">Other products (John Lobb, Saint-Louis, Puiforcat, textile production for third parties)</t>
  </si>
  <si>
    <t xml:space="preserve">OTHER PRODUCTS — modelling logic</t>
  </si>
  <si>
    <t xml:space="preserve">OTHER_PRODUCTS_ccGrowth (Other products revenue y/y, constant FX)</t>
  </si>
  <si>
    <t xml:space="preserve">John Lobb, Saint-Louis, Puiforcat, textiles (Holding Textile Hermès): H1/26 +2.8%; FY25 +5.5%.</t>
  </si>
  <si>
    <t xml:space="preserve">Scenario lever (OTHER_PRODUCTS_ccGrowth, Bull/Base/Bear table →). 2026E = H1/26 actual and H2/26E growth weighted by 2025 halves. Company figures to one decimal (press releases).</t>
  </si>
  <si>
    <t xml:space="preserve">Group revenue (métier build) — constant-currency growth and currency effect</t>
  </si>
  <si>
    <t xml:space="preserve">GROUP REVENUE — modelling logic</t>
  </si>
  <si>
    <t xml:space="preserve">GM (gross margin %)</t>
  </si>
  <si>
    <t xml:space="preserve">Gross margin: 71.1% FY25 (H2/25 71.5%), 71.1% H1/26 (FX headwind offset by price increases).</t>
  </si>
  <si>
    <t xml:space="preserve">Revenue (métier build)</t>
  </si>
  <si>
    <t xml:space="preserve">Σ métier revenues.</t>
  </si>
  <si>
    <t xml:space="preserve">  Revenue y/y % at constant exchange rates (company; forecast = Σ métiers)</t>
  </si>
  <si>
    <t xml:space="preserve">Hermès' headline growth measure. Forecast = prior-period-weighted average of métier cc growth.</t>
  </si>
  <si>
    <t xml:space="preserve">  Currency (and scope) effect, pts (reported − constant FX)</t>
  </si>
  <si>
    <t xml:space="preserve">H2/26E: scenario point estimate (Bull / Base / Bear table →). 2027E+: no currency effect assumed (constant-currency growth = reported growth). H1/26: −4.5 pts (&gt; €360m negative impact on revenue).</t>
  </si>
  <si>
    <t xml:space="preserve">  Check: métier build vs consolidated revenue (should be 0; ±1 whole-€m rounding)</t>
  </si>
  <si>
    <t xml:space="preserve">Quarterly revenue (memo; Hermès publishes revenue only for Q1 and Q3)</t>
  </si>
  <si>
    <t xml:space="preserve">ROI_margin (recurring operating margin %)</t>
  </si>
  <si>
    <t xml:space="preserve">Recurring operating margin (Hermès KPI): 41.0% FY25 (H2/25 40.7%), 41.0% H1/26 (41.4% H1/25). H2/26E: H2/25 40.7% less the H1 y/y drift (−0.4 pt) and FX.</t>
  </si>
  <si>
    <t xml:space="preserve">  Revenue — 1st quarter of the half (Q1 in H1 columns, Q3 in H2 columns)</t>
  </si>
  <si>
    <t xml:space="preserve">    y/y % at constant exchange rates</t>
  </si>
  <si>
    <t xml:space="preserve">  Revenue — 2nd quarter of the half (Q2 in H1 columns, Q4 in H2 columns)</t>
  </si>
  <si>
    <t xml:space="preserve">  Check: quarters vs half-year revenue (should be 0; ±1 from whole-€m quarters)</t>
  </si>
  <si>
    <t xml:space="preserve">Buybacks (€m)</t>
  </si>
  <si>
    <t xml:space="preserve">Share buybacks (€m; H2/26E then 2027E+): H1/26 €160m (94,846 shares) for employee free-share plans; 2025 €8m net. Floor at 0.</t>
  </si>
  <si>
    <t xml:space="preserve">Revenue &amp; recurring operating income by geographical area (IFRS 8 operating segments; memo)</t>
  </si>
  <si>
    <t xml:space="preserve">GEOGRAPHY — historical disclosure (memo cross-check; not forecast)</t>
  </si>
  <si>
    <t xml:space="preserve">  Revenue — France</t>
  </si>
  <si>
    <t xml:space="preserve">  Revenue — Europe (excl. France)</t>
  </si>
  <si>
    <t xml:space="preserve">  Revenue — Japan</t>
  </si>
  <si>
    <t xml:space="preserve">  Revenue — Asia-Pacific (excl. Japan)</t>
  </si>
  <si>
    <t xml:space="preserve">  Revenue — Americas</t>
  </si>
  <si>
    <t xml:space="preserve">Exceptional dividends paid (€m)</t>
  </si>
  <si>
    <t xml:space="preserve">Exceptional dividends paid (€m; 2026E then 2027E+): €10/share (~€1.05bn) paid in 2024 and 2025; none for FY25. Floor at 0.</t>
  </si>
  <si>
    <t xml:space="preserve">  Revenue — Other (Middle East)</t>
  </si>
  <si>
    <t xml:space="preserve">  2026E</t>
  </si>
  <si>
    <t xml:space="preserve">  Revenue — total of areas</t>
  </si>
  <si>
    <t xml:space="preserve">  Check: Σ areas vs consolidated revenue (should be 0; ±1 whole-€m rounding)</t>
  </si>
  <si>
    <t xml:space="preserve">  % of revenue — France</t>
  </si>
  <si>
    <t xml:space="preserve">  % of revenue — Europe (excl. France)</t>
  </si>
  <si>
    <t xml:space="preserve">  % of revenue — Japan</t>
  </si>
  <si>
    <t xml:space="preserve">Payout (ordinary DPS / recurring EPS)</t>
  </si>
  <si>
    <t xml:space="preserve">Ordinary DPS / recurring diluted EPS (2026E then 2027E+): FY25 €18.00 / €46.2 = 39%; FY24 €16.00 / €43.9 = 36%.</t>
  </si>
  <si>
    <t xml:space="preserve">  % of revenue — Asia-Pacific (excl. Japan)</t>
  </si>
  <si>
    <t xml:space="preserve">  % of revenue — Americas</t>
  </si>
  <si>
    <t xml:space="preserve">  % of revenue — Other (Middle East)</t>
  </si>
  <si>
    <t xml:space="preserve">  y/y % at constant exchange rates — France</t>
  </si>
  <si>
    <t xml:space="preserve">  y/y % at constant exchange rates — Europe (excl. France)</t>
  </si>
  <si>
    <t xml:space="preserve">  y/y % at constant exchange rates — Japan</t>
  </si>
  <si>
    <t xml:space="preserve">  y/y % at constant exchange rates — Asia-Pacific (excl. Japan)</t>
  </si>
  <si>
    <t xml:space="preserve">  y/y % at constant exchange rates — Americas</t>
  </si>
  <si>
    <t xml:space="preserve">  y/y % at constant exchange rates — Other (Middle East)</t>
  </si>
  <si>
    <t xml:space="preserve">  Recurring operating income — France</t>
  </si>
  <si>
    <t xml:space="preserve">  Recurring operating income — Europe (excl. France)</t>
  </si>
  <si>
    <t xml:space="preserve">  Recurring operating income — Japan</t>
  </si>
  <si>
    <t xml:space="preserve">  Recurring operating income — Asia-Pacific (excl. Japan)</t>
  </si>
  <si>
    <t xml:space="preserve">  Recurring operating income — Americas</t>
  </si>
  <si>
    <t xml:space="preserve">  Recurring operating income — Other (Middle East)</t>
  </si>
  <si>
    <t xml:space="preserve">  Recurring operating income — Unallocated / Holding (free-share plans, central costs, internal billings)</t>
  </si>
  <si>
    <t xml:space="preserve">  Recurring operating income — total of areas</t>
  </si>
  <si>
    <t xml:space="preserve">  Check: Σ areas vs consolidated recurring operating income (should be 0; ±1–3 rounding)</t>
  </si>
  <si>
    <t xml:space="preserve">  Recurring operating margin — France</t>
  </si>
  <si>
    <t xml:space="preserve">  Recurring operating margin — Europe (excl. France)</t>
  </si>
  <si>
    <t xml:space="preserve">  Recurring operating margin — Japan</t>
  </si>
  <si>
    <t xml:space="preserve">  Recurring operating margin — Asia-Pacific (excl. Japan)</t>
  </si>
  <si>
    <t xml:space="preserve">  Recurring operating margin — Americas</t>
  </si>
  <si>
    <t xml:space="preserve">  Recurring operating margin — Other (Middle East)</t>
  </si>
  <si>
    <t xml:space="preserve">Profitability drivers (group; % of revenue)</t>
  </si>
  <si>
    <t xml:space="preserve">PROFITABILITY — scenario levers (gross margin, recurring operating margin) and cost inputs</t>
  </si>
  <si>
    <t xml:space="preserve">  Gross margin %</t>
  </si>
  <si>
    <t xml:space="preserve">Scenario lever (GM). Cost of sales = revenue × (1 − gross margin).</t>
  </si>
  <si>
    <t xml:space="preserve">  Recurring operating margin % (Hermès KPI)</t>
  </si>
  <si>
    <t xml:space="preserve">Scenario lever (ROI_margin). Recurring operating income = revenue × margin; sales &amp; administrative expenses are the balancing line.</t>
  </si>
  <si>
    <t xml:space="preserve">  Other income and expenses (net expense) % of revenue</t>
  </si>
  <si>
    <t xml:space="preserve">Other income and expenses (net, incl. D&amp;A booked outside cost of sales, free-share plan expense, provisions) % of revenue: 6.9% in 2025 (€1,106m), 6.8% in H1/26. Sales &amp; administrative expenses are the balancing line to the recurring-operating-margin lever.</t>
  </si>
  <si>
    <t xml:space="preserve">  Sales and administrative expenses % of revenue (balancing line)</t>
  </si>
  <si>
    <t xml:space="preserve">  D&amp;A of PP&amp;E and intangibles incl. impairment (excl. right-of-use) % of revenue</t>
  </si>
  <si>
    <t xml:space="preserve">D&amp;A of PP&amp;E and intangibles incl. impairment (excl. right-of-use) % of revenue: 3.6% in 2025 (€575m), 3.6% in H1/26; capacity build-out (leather workshops 2026–30) keeps it rising.</t>
  </si>
  <si>
    <t xml:space="preserve">  Share-based payments (free-share plans, CF statement) % of revenue</t>
  </si>
  <si>
    <t xml:space="preserve">CONSOLIDATED INCOME STATEMENT (IFRS as reported; expenses negative)</t>
  </si>
  <si>
    <t xml:space="preserve">CONSOLIDATED IS — forecast logic</t>
  </si>
  <si>
    <t xml:space="preserve">Revenue</t>
  </si>
  <si>
    <t xml:space="preserve">Forecast linked to the métier build.</t>
  </si>
  <si>
    <t xml:space="preserve">Cost of sales</t>
  </si>
  <si>
    <t xml:space="preserve">Gross margin</t>
  </si>
  <si>
    <t xml:space="preserve">Sales and administrative expenses</t>
  </si>
  <si>
    <t xml:space="preserve">Forecast: balancing line so that recurring operating income = revenue × recurring operating margin.</t>
  </si>
  <si>
    <t xml:space="preserve">Other income and expenses (incl. D&amp;A outside cost of sales, free-share plans)</t>
  </si>
  <si>
    <t xml:space="preserve">Recurring operating income</t>
  </si>
  <si>
    <t xml:space="preserve">Hermès' main performance indicator (APM): operating income excluding non-recurring items.</t>
  </si>
  <si>
    <t xml:space="preserve">  Check: recurring operating income vs reported (should be 0; ±1–3 whole-€m rounding of printed lines)</t>
  </si>
  <si>
    <t xml:space="preserve">Other non-recurring income and expenses</t>
  </si>
  <si>
    <t xml:space="preserve">2006–07: operating income − recurring operating income (items not described); 2018 HK property gain €52.7m; 2020 Shang Xia deconsolidation €91.1m.</t>
  </si>
  <si>
    <t xml:space="preserve">Operating income</t>
  </si>
  <si>
    <t xml:space="preserve">Net financial income (incl. interest on lease liabilities)</t>
  </si>
  <si>
    <t xml:space="preserve">Forecast: yield × opening restated net cash − interest on lease liabilities (H2/26E: half-year yield on the 30-Jun-26 balance).</t>
  </si>
  <si>
    <t xml:space="preserve">  Memo: interest on lease liabilities (IFRS 16; within net financial income)</t>
  </si>
  <si>
    <t xml:space="preserve">Net income before tax</t>
  </si>
  <si>
    <t xml:space="preserve">Income tax</t>
  </si>
  <si>
    <t xml:space="preserve">H2/26E: 2026E ETR (33% incl. the exceptional contribution, H1/26 report) × 2026E pre-tax income − H1/26 tax. 2027E+: ETR input.</t>
  </si>
  <si>
    <t xml:space="preserve">  Effective tax rate</t>
  </si>
  <si>
    <t xml:space="preserve">  of which: French exceptional contribution / surtaxes (expense +)</t>
  </si>
  <si>
    <t xml:space="preserve">2017: surtaxes net of 3% dividend-tax refund (€20m). 2025: €331m. H1/25, H1/26: estimated from the disclosed ETR with / without the contribution. 2027E+: assumed not renewed.</t>
  </si>
  <si>
    <t xml:space="preserve">  Effective tax rate excl. exceptional contribution / surtaxes</t>
  </si>
  <si>
    <t xml:space="preserve">  ETR input (2027E+)</t>
  </si>
  <si>
    <t xml:space="preserve">2027E+: 28.5% = 2025 ETR excluding the French exceptional contribution (company); the contribution is assumed not renewed after 2026.</t>
  </si>
  <si>
    <t xml:space="preserve">Net income from associates</t>
  </si>
  <si>
    <t xml:space="preserve">Consolidated net income</t>
  </si>
  <si>
    <t xml:space="preserve">Non-controlling interests</t>
  </si>
  <si>
    <t xml:space="preserve">Net income attributable to owners of the parent</t>
  </si>
  <si>
    <t xml:space="preserve">  Check: net income attributable vs reported (should be 0; ±1–2 whole-€m rounding)</t>
  </si>
  <si>
    <t xml:space="preserve">  Memo: net income attributable as reported</t>
  </si>
  <si>
    <t xml:space="preserve">  Memo: depreciation, amortisation &amp; impairment — total incl. right-of-use (CF statement)</t>
  </si>
  <si>
    <t xml:space="preserve">    of which: depreciation of right-of-use assets (IFRS 16, from 2019)</t>
  </si>
  <si>
    <t xml:space="preserve">    of which: PP&amp;E and intangibles incl. impairment</t>
  </si>
  <si>
    <t xml:space="preserve">  Memo: share-based payments (free-share plans; CF statement)</t>
  </si>
  <si>
    <t xml:space="preserve">(Earnings per share)</t>
  </si>
  <si>
    <t xml:space="preserve">  Weighted-average basic shares (m)</t>
  </si>
  <si>
    <t xml:space="preserve">H2 columns: full-year average (FY). 2027E+: average of beginning and ending shares outstanding.</t>
  </si>
  <si>
    <t xml:space="preserve">  Weighted-average diluted shares (m)</t>
  </si>
  <si>
    <t xml:space="preserve">EPS – basic (€)</t>
  </si>
  <si>
    <t xml:space="preserve">EPS – diluted (€)</t>
  </si>
  <si>
    <t xml:space="preserve">NI attributable / weighted diluted shares (H2: FY shares).</t>
  </si>
  <si>
    <t xml:space="preserve">  Memo: EPS – diluted as reported (€)</t>
  </si>
  <si>
    <t xml:space="preserve">  Ordinary dividend per share in respect of the year (€)</t>
  </si>
  <si>
    <t xml:space="preserve">Forecast: payout lever × recurring diluted EPS. Paid the following year (balance after the AGM; interim dividends paid in some years).</t>
  </si>
  <si>
    <t xml:space="preserve">  Exceptional dividend per share (€; year declared / paid as noted)</t>
  </si>
  <si>
    <t xml:space="preserve">  Payout — ordinary DPS / recurring diluted EPS</t>
  </si>
  <si>
    <t xml:space="preserve">RECONCILIATION: NET INCOME → OPERATING INCOME → RECURRING OPERATING INCOME → EBITDA</t>
  </si>
  <si>
    <t xml:space="preserve">ROI is Hermès' APM (operating income excl. non-recurring items); EBITDA is a model measure (Hermès does not publish EBITDA)</t>
  </si>
  <si>
    <t xml:space="preserve">Net income attributable to owners of the parent (IFRS)</t>
  </si>
  <si>
    <t xml:space="preserve">  (+) Non-controlling interests</t>
  </si>
  <si>
    <t xml:space="preserve">  (−) Net income from associates</t>
  </si>
  <si>
    <t xml:space="preserve">  (+) Income tax</t>
  </si>
  <si>
    <t xml:space="preserve">  (−) Net financial income</t>
  </si>
  <si>
    <t xml:space="preserve">  = Operating income</t>
  </si>
  <si>
    <t xml:space="preserve">  Check: vs income-statement operating income (should be 0)</t>
  </si>
  <si>
    <t xml:space="preserve">  (−) Other non-recurring income and expenses</t>
  </si>
  <si>
    <t xml:space="preserve">  = Recurring operating income (model bridge)</t>
  </si>
  <si>
    <t xml:space="preserve">  Recurring operating margin %</t>
  </si>
  <si>
    <t xml:space="preserve">  Company-published recurring operating income</t>
  </si>
  <si>
    <t xml:space="preserve">  Check: model bridge vs company-published (should be 0; ±1–3 whole-€m rounding of printed lines)</t>
  </si>
  <si>
    <t xml:space="preserve">  (+) Depreciation, amortisation &amp; impairment of PP&amp;E and intangibles</t>
  </si>
  <si>
    <t xml:space="preserve">  (+) Depreciation of right-of-use assets (IFRS 16, from 2019)</t>
  </si>
  <si>
    <t xml:space="preserve">  = EBITDA (recurring; IFRS 16 basis from 2019)</t>
  </si>
  <si>
    <t xml:space="preserve">Model measure: recurring operating income + all depreciation, amortisation &amp; impairment (cash-flow statement).</t>
  </si>
  <si>
    <t xml:space="preserve">  EBITDA margin %</t>
  </si>
  <si>
    <t xml:space="preserve">  (−) Repayment of lease liabilities (principal; CF statement)</t>
  </si>
  <si>
    <t xml:space="preserve">  (−) Interest on lease liabilities</t>
  </si>
  <si>
    <t xml:space="preserve">  = EBITDA after lease payments (pre-IFRS 16 comparable)</t>
  </si>
  <si>
    <t xml:space="preserve">Fixed lease payments (principal + interest) deducted — comparable with 2018 and earlier.</t>
  </si>
  <si>
    <t xml:space="preserve">  EBITDA after lease payments margin %</t>
  </si>
  <si>
    <t xml:space="preserve">  Definition basis (lease accounting / APM in force)</t>
  </si>
  <si>
    <t xml:space="preserve">IAS 17 (pre-IFRS 16)</t>
  </si>
  <si>
    <t xml:space="preserve">IFRS 16 from 1-Jan-2019</t>
  </si>
  <si>
    <t xml:space="preserve">Definition changes are flagged in the column where they take effect (cell comment gives the detail).</t>
  </si>
  <si>
    <t xml:space="preserve">To adjusted EBIT:</t>
  </si>
  <si>
    <t xml:space="preserve">  = Adjusted EBIT = recurring operating income (EBITDA − all D&amp;A)</t>
  </si>
  <si>
    <t xml:space="preserve">  Adjusted EBIT margin %</t>
  </si>
  <si>
    <t xml:space="preserve">RECONCILIATION: NET INCOME ATTRIBUTABLE → RECURRING NET INCOME / RECURRING EPS</t>
  </si>
  <si>
    <t xml:space="preserve">RECURRING NET INCOME — excludes non-recurring items (after tax) and French exceptional tax contributions; checked against Hermès' 'net income excluding the exceptional contribution'</t>
  </si>
  <si>
    <t xml:space="preserve">  (−) Other non-recurring income and expenses (pre-tax)</t>
  </si>
  <si>
    <t xml:space="preserve">  (+) Income tax on non-recurring items</t>
  </si>
  <si>
    <t xml:space="preserve">2018 and 2020 gains not taxed (URD tax commentary); 2006–07: period ETR applied (items not described).</t>
  </si>
  <si>
    <t xml:space="preserve">  (+) French exceptional contribution / surtaxes (income tax)</t>
  </si>
  <si>
    <t xml:space="preserve">  = Recurring net income attributable (model bridge)</t>
  </si>
  <si>
    <t xml:space="preserve">  Company-published net income excl. the exceptional contribution (€0.1bn / €0.01bn precision)</t>
  </si>
  <si>
    <t xml:space="preserve">  Check: model bridge vs company-published (should be 0; 0 = within the published rounding)</t>
  </si>
  <si>
    <t xml:space="preserve">Recurring EPS – diluted (€) (model)</t>
  </si>
  <si>
    <t xml:space="preserve">  Recurring EPS y/y %</t>
  </si>
  <si>
    <t xml:space="preserve">  Definition basis (items excluded)</t>
  </si>
  <si>
    <t xml:space="preserve">2017: French surtaxes</t>
  </si>
  <si>
    <t xml:space="preserve">2018: HK property gain</t>
  </si>
  <si>
    <t xml:space="preserve">2020: Shang Xia</t>
  </si>
  <si>
    <t xml:space="preserve">French exceptional contribution</t>
  </si>
  <si>
    <t xml:space="preserve">Contribution €331m</t>
  </si>
  <si>
    <t xml:space="preserve">GROWTH &amp; MARGINS</t>
  </si>
  <si>
    <t xml:space="preserve">GROWTH &amp; MARGINS (consolidated) — forecast outputs</t>
  </si>
  <si>
    <t xml:space="preserve">  Revenue y/y % at constant exchange rates</t>
  </si>
  <si>
    <t xml:space="preserve">  Recurring operating income y/y %</t>
  </si>
  <si>
    <t xml:space="preserve">  EBITDA y/y %</t>
  </si>
  <si>
    <t xml:space="preserve">  Net income attributable y/y %</t>
  </si>
  <si>
    <t xml:space="preserve">  Operating margin (IFRS) %</t>
  </si>
  <si>
    <t xml:space="preserve">  Net margin %</t>
  </si>
  <si>
    <t xml:space="preserve">  Incremental recurring operating margin (ΔROI / ΔRevenue)</t>
  </si>
  <si>
    <t xml:space="preserve">CONSOLIDATED STATEMENT OF CASH FLOWS</t>
  </si>
  <si>
    <t xml:space="preserve">CASH FLOW — forecast built annually from the 31-Dec-25 balance sheet; H2/26E = 2026E − H1/26</t>
  </si>
  <si>
    <t xml:space="preserve">  Depreciation, amortisation &amp; impairment (incl. right-of-use)</t>
  </si>
  <si>
    <t xml:space="preserve">  Share-based payments (free-share plans)</t>
  </si>
  <si>
    <t xml:space="preserve">  Other non-cash items (NCI, associates, provisions, deferred tax, FX; derived)</t>
  </si>
  <si>
    <t xml:space="preserve">Forecast: removes associates' income and adds back non-controlling interests.</t>
  </si>
  <si>
    <t xml:space="preserve">Operating cash flows (before working capital)</t>
  </si>
  <si>
    <t xml:space="preserve">  Change in working capital requirements</t>
  </si>
  <si>
    <t xml:space="preserve">Linked to the balance sheet: −Δ inventories − Δ receivables + Δ payables + Δ current tax liabilities.</t>
  </si>
  <si>
    <t xml:space="preserve">  Interest &amp; tax paid / layout differences (2014–18 statements; derived)</t>
  </si>
  <si>
    <t xml:space="preserve">Cash flows related to operating activities</t>
  </si>
  <si>
    <t xml:space="preserve">Operating investments (PP&amp;E and intangibles)</t>
  </si>
  <si>
    <t xml:space="preserve">2026E: point estimate (scenario table). 2027E+: revenue × capex % input. Before 2018: purchases of intangibles + PP&amp;E (= operating investments, key figures).</t>
  </si>
  <si>
    <t xml:space="preserve">Acquisitions of consolidated shares (net)</t>
  </si>
  <si>
    <t xml:space="preserve">Financial investments, dividends received &amp; other investing (derived)</t>
  </si>
  <si>
    <t xml:space="preserve">Financial investments in partners (vertical integration) net of dividends received: 2025 −€0.2bn acquisitions of financial assets, +€75m dividends received.</t>
  </si>
  <si>
    <t xml:space="preserve">Cash flows related to investing activities</t>
  </si>
  <si>
    <t xml:space="preserve">Dividends paid (incl. to non-controlling interests)</t>
  </si>
  <si>
    <t xml:space="preserve">2026E = H1/26 actual + H2 dividends to NCI + exceptional lever. 2027E+: prior-year ordinary DPS × shares outstanding + exceptional dividend lever + dividends to NCI.</t>
  </si>
  <si>
    <t xml:space="preserve">Repayment of lease liabilities (IFRS 16, from 2019)</t>
  </si>
  <si>
    <t xml:space="preserve">Forecast: principal repayments ≈ right-of-use depreciation.</t>
  </si>
  <si>
    <t xml:space="preserve">Treasury share buybacks net of disposals</t>
  </si>
  <si>
    <t xml:space="preserve">2026E = H1/26 actual + H2/26E lever; 2027E+ scenario lever (Buybacks table →).</t>
  </si>
  <si>
    <t xml:space="preserve">Borrowings, other financing (derived)</t>
  </si>
  <si>
    <t xml:space="preserve">Cash flows related to financing activities</t>
  </si>
  <si>
    <t xml:space="preserve">Foreign currency translation &amp; scope effects (derived)</t>
  </si>
  <si>
    <t xml:space="preserve">Change in net cash position</t>
  </si>
  <si>
    <t xml:space="preserve">Net cash position — beginning of period</t>
  </si>
  <si>
    <t xml:space="preserve">Net cash position — end of period</t>
  </si>
  <si>
    <t xml:space="preserve">  Check: beginning + change = ending net cash (should be 0; ±1 from whole-€m statements)</t>
  </si>
  <si>
    <t xml:space="preserve">  Check: BS cash − bank overdrafts vs cash-flow net cash (should be 0)</t>
  </si>
  <si>
    <t xml:space="preserve">RECONCILIATION: OPERATING CASH FLOWS → ADJUSTED FREE CASH FLOW (Hermès APM)</t>
  </si>
  <si>
    <t xml:space="preserve">ADJUSTED FCF = cash flows from operating activities − operating investments − lease repayments</t>
  </si>
  <si>
    <t xml:space="preserve">  (+) Change in working capital requirements (incl. layout differences)</t>
  </si>
  <si>
    <t xml:space="preserve">  (−) Operating investments</t>
  </si>
  <si>
    <t xml:space="preserve">  (−) Repayment of lease liabilities (from 2019)</t>
  </si>
  <si>
    <t xml:space="preserve">  = Adjusted free cash flow (model bridge)</t>
  </si>
  <si>
    <t xml:space="preserve">  Company-published adjusted free cash flow (free cash flow in 2018)</t>
  </si>
  <si>
    <t xml:space="preserve">  Check: model bridge vs company-published (should be 0; ±1 rounding)</t>
  </si>
  <si>
    <t xml:space="preserve">  Definition basis (company APM in force)</t>
  </si>
  <si>
    <t xml:space="preserve">Free cash flow (pre-IFRS 16)</t>
  </si>
  <si>
    <t xml:space="preserve">Adjusted FCF (from 2019)</t>
  </si>
  <si>
    <t xml:space="preserve">  Adjusted FCF y/y %</t>
  </si>
  <si>
    <t xml:space="preserve">  Adjusted FCF % of revenue</t>
  </si>
  <si>
    <t xml:space="preserve">  Adjusted FCF / recurring net income conversion %</t>
  </si>
  <si>
    <t xml:space="preserve">  Adjusted FCF per diluted share (€)</t>
  </si>
  <si>
    <t xml:space="preserve">Capex ratios</t>
  </si>
  <si>
    <t xml:space="preserve">  Operating investments % of revenue</t>
  </si>
  <si>
    <t xml:space="preserve">Operating investments % of revenue: 7.3% (2025, €1,161m), 7.0% (2024); leather workshops (Charleville-Mézières 2027, Colombelles 2028, Les Andelys 2030), Le Noirmont watch site (2028).</t>
  </si>
  <si>
    <t xml:space="preserve">  Operating investments / D&amp;A of PP&amp;E and intangibles (x)</t>
  </si>
  <si>
    <t xml:space="preserve">SHARE BUYBACK SCHEDULE</t>
  </si>
  <si>
    <t xml:space="preserve">Hermès buys back shares mainly to serve employee free-share plans (shares delivered from treasury)</t>
  </si>
  <si>
    <t xml:space="preserve">  Avg buyback price (€)</t>
  </si>
  <si>
    <t xml:space="preserve">  Buyback cash deployed (€m)</t>
  </si>
  <si>
    <t xml:space="preserve">2026E row = H2/26E buyback only (H1/26 in the 30-Jun share count).</t>
  </si>
  <si>
    <t xml:space="preserve">  Implied shares repurchased (m)</t>
  </si>
  <si>
    <t xml:space="preserve">  Shares delivered under free-share plans (m)</t>
  </si>
  <si>
    <t xml:space="preserve">  Beginning shares outstanding (m)</t>
  </si>
  <si>
    <t xml:space="preserve">  Ending shares outstanding (m)</t>
  </si>
  <si>
    <t xml:space="preserve">  % of shares repurchased</t>
  </si>
  <si>
    <t xml:space="preserve">  Memo: cumulative shares repurchased since H2/26 (m)</t>
  </si>
  <si>
    <t xml:space="preserve">CONSOLIDATED BALANCE SHEET</t>
  </si>
  <si>
    <t xml:space="preserve">BS FORECAST — first-principles roll-forward (2026E from the 31-Dec-25 balance sheet; H1/26 as reported)</t>
  </si>
  <si>
    <t xml:space="preserve">ASSETS</t>
  </si>
  <si>
    <t xml:space="preserve">  Goodwill</t>
  </si>
  <si>
    <t xml:space="preserve">  Intangible assets</t>
  </si>
  <si>
    <t xml:space="preserve">  Right-of-use assets (IFRS 16, from 2019)</t>
  </si>
  <si>
    <t xml:space="preserve">Prior + new leases − right-of-use depreciation.</t>
  </si>
  <si>
    <t xml:space="preserve">  Property, plant and equipment</t>
  </si>
  <si>
    <t xml:space="preserve">Prior + operating investments − D&amp;A of PP&amp;E and intangibles (intangible additions included here).</t>
  </si>
  <si>
    <t xml:space="preserve">  Financial assets, loans &amp; deposits, investment property &amp; other non-current assets</t>
  </si>
  <si>
    <t xml:space="preserve">Derived (total non-current assets − lines shown). Forecast: + financial investments / acquisitions.</t>
  </si>
  <si>
    <t xml:space="preserve">  Investments in associates</t>
  </si>
  <si>
    <t xml:space="preserve">  Deferred tax assets</t>
  </si>
  <si>
    <t xml:space="preserve">Non-current assets</t>
  </si>
  <si>
    <t xml:space="preserve">  Inventories and work-in-progress</t>
  </si>
  <si>
    <t xml:space="preserve">−Cost of sales × inventory days / 365.</t>
  </si>
  <si>
    <t xml:space="preserve">  Trade and other receivables</t>
  </si>
  <si>
    <t xml:space="preserve">  Other current assets (current tax, derivatives, other; derived)</t>
  </si>
  <si>
    <t xml:space="preserve">  Cash and cash equivalents</t>
  </si>
  <si>
    <t xml:space="preserve">Current assets</t>
  </si>
  <si>
    <t xml:space="preserve">TOTAL ASSETS</t>
  </si>
  <si>
    <t xml:space="preserve">EQUITY AND LIABILITIES</t>
  </si>
  <si>
    <t xml:space="preserve">  Share capital &amp; share premium</t>
  </si>
  <si>
    <t xml:space="preserve">  Treasury shares</t>
  </si>
  <si>
    <t xml:space="preserve">  Reserves, translation &amp; revaluation adjustments and net income (derived)</t>
  </si>
  <si>
    <t xml:space="preserve">Prior + NI attributable + share-based payments − dividends to owners of the parent.</t>
  </si>
  <si>
    <t xml:space="preserve">Equity attributable to owners of the parent</t>
  </si>
  <si>
    <t xml:space="preserve">  Non-controlling interests</t>
  </si>
  <si>
    <t xml:space="preserve">Equity</t>
  </si>
  <si>
    <t xml:space="preserve">  Borrowings and financial liabilities (incl. NCI put options; current + non-current)</t>
  </si>
  <si>
    <t xml:space="preserve">  Lease liabilities due in more than one year</t>
  </si>
  <si>
    <t xml:space="preserve">  Lease liabilities due in less than one year</t>
  </si>
  <si>
    <t xml:space="preserve">  Provisions &amp; employee benefit obligations (current + non-current)</t>
  </si>
  <si>
    <t xml:space="preserve">  Deferred tax liabilities</t>
  </si>
  <si>
    <t xml:space="preserve">  Trade and other payables</t>
  </si>
  <si>
    <t xml:space="preserve">  Current tax liabilities</t>
  </si>
  <si>
    <t xml:space="preserve">  Other liabilities (other current &amp; non-current, derivatives; derived from total assets)</t>
  </si>
  <si>
    <t xml:space="preserve">Total liabilities</t>
  </si>
  <si>
    <t xml:space="preserve">TOTAL EQUITY AND LIABILITIES</t>
  </si>
  <si>
    <t xml:space="preserve">BS tie-out check (TA − TE&amp;L as reported; ±1 whole-€m rounding)</t>
  </si>
  <si>
    <t xml:space="preserve">  Check: model total assets vs reported (should be 0; ±1 whole-€m rounding)</t>
  </si>
  <si>
    <t xml:space="preserve">  Memo: total assets as reported</t>
  </si>
  <si>
    <t xml:space="preserve">  Check: equity attributable vs reported (should be 0)</t>
  </si>
  <si>
    <t xml:space="preserve">  Memo: equity attributable to owners of the parent as reported</t>
  </si>
  <si>
    <t xml:space="preserve">  Memo: shares outstanding at period end (issued − treasury, m)</t>
  </si>
  <si>
    <t xml:space="preserve">RECONCILIATION: CASH → NET CASH POSITION → RESTATED NET CASH POSITION (Hermès APM)</t>
  </si>
  <si>
    <t xml:space="preserve">NET CASH — Hermès excludes lease liabilities (IFRS 16) from net cash</t>
  </si>
  <si>
    <t xml:space="preserve">Cash and cash equivalents (balance sheet)</t>
  </si>
  <si>
    <t xml:space="preserve">  (−) Bank overdrafts (derived = BS cash − CF net cash where not printed separately)</t>
  </si>
  <si>
    <t xml:space="preserve">Bank overdrafts sit in short-term borrowings (net-cash reconciliation note); derived as balance-sheet cash − cash-flow net cash position only where not printed.</t>
  </si>
  <si>
    <t xml:space="preserve">  = Net cash position (model)</t>
  </si>
  <si>
    <t xml:space="preserve">  Company-published net cash position</t>
  </si>
  <si>
    <t xml:space="preserve">  Check: model vs company-published (should be 0)</t>
  </si>
  <si>
    <t xml:space="preserve">  (+) Cash investments with maturity &gt; 3 months (from 2017)</t>
  </si>
  <si>
    <t xml:space="preserve">  (−) Financial liabilities (from 2020)</t>
  </si>
  <si>
    <t xml:space="preserve">  = Restated net cash position (model)</t>
  </si>
  <si>
    <t xml:space="preserve">  Company-published restated net cash position</t>
  </si>
  <si>
    <t xml:space="preserve">  Check: model bridge vs company-published (should be 0; n/p = reconciliation not published)</t>
  </si>
  <si>
    <t xml:space="preserve">Restated net cash (from 2017)</t>
  </si>
  <si>
    <t xml:space="preserve">Less financial liabilities (from 2020)</t>
  </si>
  <si>
    <t xml:space="preserve">Restated net cash (model bridge where reconcilable, else as published)</t>
  </si>
  <si>
    <t xml:space="preserve">  Lease liabilities (current + non-current)</t>
  </si>
  <si>
    <t xml:space="preserve">Prior + new leases − principal repayments.</t>
  </si>
  <si>
    <t xml:space="preserve">  Restated net cash after lease liabilities</t>
  </si>
  <si>
    <t xml:space="preserve">WORKING CAPITAL &amp; CASH CONVERSION</t>
  </si>
  <si>
    <t xml:space="preserve">WORKING CAPITAL — forecast drivers (blue = input); half-year flows annualised</t>
  </si>
  <si>
    <t xml:space="preserve">  Inventory days — inventories / cost of sales × 365</t>
  </si>
  <si>
    <t xml:space="preserve">2025: 203 days; H1/26 annualised 209 days.</t>
  </si>
  <si>
    <t xml:space="preserve">  DSO — receivables / revenue × 365</t>
  </si>
  <si>
    <t xml:space="preserve">  Payable days — payables / cost of sales × 365</t>
  </si>
  <si>
    <t xml:space="preserve">  Current tax liabilities % of income tax expense</t>
  </si>
  <si>
    <t xml:space="preserve">  Operating NWC (inventories + receivables − payables)</t>
  </si>
  <si>
    <t xml:space="preserve">  NWC % of revenue (annualised)</t>
  </si>
  <si>
    <t xml:space="preserve">  ΔNWC (y/y)</t>
  </si>
  <si>
    <t xml:space="preserve">BALANCE SHEET FORECAST SCHEDULES</t>
  </si>
  <si>
    <t xml:space="preserve">BS FORECAST SCHEDULES — explicit driver assumptions</t>
  </si>
  <si>
    <t xml:space="preserve">Leases (IFRS 16)</t>
  </si>
  <si>
    <t xml:space="preserve">  New leases (right-of-use additions) % of revenue</t>
  </si>
  <si>
    <t xml:space="preserve">New leases (ROU additions) % of revenue — 2025: ROU €1,786m → €2,002m after €351m depreciation (≈ €570m additions incl. FX). Lease repayments ≈ ROU depreciation.</t>
  </si>
  <si>
    <t xml:space="preserve">  New leases (€m)</t>
  </si>
  <si>
    <t xml:space="preserve">  Right-of-use depreciation % of opening right-of-use assets</t>
  </si>
  <si>
    <t xml:space="preserve">  Right-of-use depreciation (€m)</t>
  </si>
  <si>
    <t xml:space="preserve">  Interest rate on opening lease liabilities %</t>
  </si>
  <si>
    <t xml:space="preserve">Net cash, financial income &amp; distributions</t>
  </si>
  <si>
    <t xml:space="preserve">  Yield on opening restated net cash % (net financial income + lease interest)</t>
  </si>
  <si>
    <t xml:space="preserve">Return on opening restated net cash: 2025 (net financial income €207m + lease interest €55m) / opening restated net cash €12.0bn = 2.2%; 2.0% assumed with lower euro rates.</t>
  </si>
  <si>
    <t xml:space="preserve">  Non-controlling interests % of consolidated net income</t>
  </si>
  <si>
    <t xml:space="preserve">  Dividends paid to non-controlling interests (€m) = NCI share of net income</t>
  </si>
  <si>
    <t xml:space="preserve">2025: €43m paid vs €36m NCI income; forecast pays out NCI income (NCI equity flat).</t>
  </si>
  <si>
    <t xml:space="preserve">Shares &amp; valuation inputs</t>
  </si>
  <si>
    <t xml:space="preserve">  Dilutive free-share awards (m shares)</t>
  </si>
  <si>
    <t xml:space="preserve">  Share-price appreciation % (buyback pricing)</t>
  </si>
  <si>
    <t xml:space="preserve">Historical reference (driver context)</t>
  </si>
  <si>
    <t xml:space="preserve">  Total D&amp;A (incl. right-of-use) % of revenue</t>
  </si>
  <si>
    <t xml:space="preserve">  Lease payments (principal + interest) % of revenue</t>
  </si>
  <si>
    <t xml:space="preserve">RATIO ANALYSIS</t>
  </si>
  <si>
    <t xml:space="preserve">DuPont decomposition of ROIC</t>
  </si>
  <si>
    <t xml:space="preserve">Recurring operating income (adjusted EBIT)</t>
  </si>
  <si>
    <t xml:space="preserve">Effective tax rate excl. exceptional contribution (actual)</t>
  </si>
  <si>
    <t xml:space="preserve">NOPAT  =  Recurring operating income × (1 − tax rate)</t>
  </si>
  <si>
    <t xml:space="preserve">Invested capital (IC)  =  Equity + lease liabilities − restated net cash</t>
  </si>
  <si>
    <t xml:space="preserve">  Total equity incl. NCI</t>
  </si>
  <si>
    <t xml:space="preserve">ROIC  =  NOPAT / IC</t>
  </si>
  <si>
    <t xml:space="preserve">  Margin  =  ROI / Revenue</t>
  </si>
  <si>
    <t xml:space="preserve">  Capital turnover  =  Revenue / IC</t>
  </si>
  <si>
    <t xml:space="preserve">  Tax burden  =  (1 − tax rate)</t>
  </si>
  <si>
    <t xml:space="preserve">  Check: Margin × Turnover × Tax burden  =  ROIC</t>
  </si>
  <si>
    <t xml:space="preserve">RONTA decomposition</t>
  </si>
  <si>
    <t xml:space="preserve">NOPAT  =  ROI × (1 − tax rate)</t>
  </si>
  <si>
    <t xml:space="preserve">  Total assets</t>
  </si>
  <si>
    <t xml:space="preserve">  − Goodwill &amp; intangible assets</t>
  </si>
  <si>
    <t xml:space="preserve">  − Cash and cash equivalents</t>
  </si>
  <si>
    <t xml:space="preserve">  − Non-interest-bearing liabilities (payables, current tax, other liabilities)</t>
  </si>
  <si>
    <t xml:space="preserve">  = Net tangible operating assets</t>
  </si>
  <si>
    <t xml:space="preserve">RONTA  =  NOPAT / NTA</t>
  </si>
  <si>
    <t xml:space="preserve">Return on Equity (ROE)</t>
  </si>
  <si>
    <t xml:space="preserve">ROE  =  NI / Equity</t>
  </si>
  <si>
    <t xml:space="preserve">Leverage (Hermès is net cash: negative = net cash)</t>
  </si>
  <si>
    <t xml:space="preserve">Net debt  =  − restated net cash (excl. lease liabilities)</t>
  </si>
  <si>
    <t xml:space="preserve">Net debt incl. lease liabilities</t>
  </si>
  <si>
    <t xml:space="preserve">EBITDA (IFRS 16)</t>
  </si>
  <si>
    <t xml:space="preserve">Net debt / EBITDA (x)</t>
  </si>
  <si>
    <t xml:space="preserve">Net debt incl. leases / EBITDA (x)</t>
  </si>
  <si>
    <t xml:space="preserve">VALUATION</t>
  </si>
  <si>
    <t xml:space="preserve">VALUATION — share price €1,299.50 (Euronext close 2-Oct-2026); applied to 2026E–2030E</t>
  </si>
  <si>
    <t xml:space="preserve">Share price (€) — current</t>
  </si>
  <si>
    <t xml:space="preserve">Share price €1,299.50 = Euronext Paris close on 2-Oct-2026 (quote feed on finance.hermes.com); market cap €137.2bn on 105.57m shares. Update as needed.</t>
  </si>
  <si>
    <t xml:space="preserve">Diluted shares (m)</t>
  </si>
  <si>
    <t xml:space="preserve">Market capitalisation (€m)</t>
  </si>
  <si>
    <t xml:space="preserve">Net debt (€m; negative = net cash)</t>
  </si>
  <si>
    <t xml:space="preserve">Non-controlling interests (€m)</t>
  </si>
  <si>
    <t xml:space="preserve">Enterprise value (€m)</t>
  </si>
  <si>
    <t xml:space="preserve">Multiples</t>
  </si>
  <si>
    <t xml:space="preserve">  EV / Revenue</t>
  </si>
  <si>
    <t xml:space="preserve">  EV / EBITDA</t>
  </si>
  <si>
    <t xml:space="preserve">  EV / Recurring operating income</t>
  </si>
  <si>
    <t xml:space="preserve">  EV / IC</t>
  </si>
  <si>
    <t xml:space="preserve">  P / E (IFRS diluted)</t>
  </si>
  <si>
    <t xml:space="preserve">  P / E (recurring EPS)</t>
  </si>
  <si>
    <t xml:space="preserve">  Adjusted FCF yield</t>
  </si>
  <si>
    <t xml:space="preserve">  Dividend yield (ordinary DPS)</t>
  </si>
  <si>
    <t xml:space="preserve">Hermès International (RMS) — Bull / Base / Bear Case P&amp;L Summary</t>
  </si>
  <si>
    <t xml:space="preserve">Share price (€):</t>
  </si>
  <si>
    <t xml:space="preserve">Adjusted figures (Hermès APMs: recurring operating income, adjusted free cash flow, restated net cash; recurring net income / EPS and EBITDA = model bridges) · EUR millions · Live panel linked to Model — toggle scenario via Model!BD2. Bull and Bear panels are value snapshots generated from the Model with the switch set to each case.</t>
  </si>
  <si>
    <t xml:space="preserve">As of:</t>
  </si>
  <si>
    <t xml:space="preserve">Scenario:</t>
  </si>
  <si>
    <t xml:space="preserve">Snapshot (values) — Model run with switch = Bull</t>
  </si>
  <si>
    <t xml:space="preserve">Snapshot (values) — Model run with switch = Bear</t>
  </si>
  <si>
    <t xml:space="preserve">(EURm, except EPS and shares)</t>
  </si>
  <si>
    <t xml:space="preserve">2025A</t>
  </si>
  <si>
    <t xml:space="preserve">25-'30 CAGR</t>
  </si>
  <si>
    <t xml:space="preserve">LT Hist Avg</t>
  </si>
  <si>
    <t xml:space="preserve">LT Hist Min</t>
  </si>
  <si>
    <t xml:space="preserve">LT Hist Max</t>
  </si>
  <si>
    <t xml:space="preserve">   Revenue y/y %</t>
  </si>
  <si>
    <t xml:space="preserve">   Revenue y/y % at constant exchange rates</t>
  </si>
  <si>
    <t xml:space="preserve">Recurring Operating Income</t>
  </si>
  <si>
    <t xml:space="preserve">   Recurring operating margin %</t>
  </si>
  <si>
    <t xml:space="preserve">Operating Income (IFRS)</t>
  </si>
  <si>
    <t xml:space="preserve">   Operating income y/y %</t>
  </si>
  <si>
    <t xml:space="preserve">   Operating margin (IFRS) %</t>
  </si>
  <si>
    <t xml:space="preserve">Recurring Net Income (attributable; excl. non-recurring &amp; French exceptional contribution)</t>
  </si>
  <si>
    <t xml:space="preserve">FDSO (m)</t>
  </si>
  <si>
    <t xml:space="preserve">Recurring EPS — Diluted (€)</t>
  </si>
  <si>
    <t xml:space="preserve">   EPS y/y %</t>
  </si>
  <si>
    <t xml:space="preserve">P / E (x) — assumed (recurring EPS)</t>
  </si>
  <si>
    <t xml:space="preserve">Price Target (€)</t>
  </si>
  <si>
    <t xml:space="preserve">   Upside / (Downside) vs current</t>
  </si>
  <si>
    <t xml:space="preserve">IRR (to Dec-Y-1)</t>
  </si>
  <si>
    <t xml:space="preserve">Adjusted Free Cash Flow</t>
  </si>
  <si>
    <t xml:space="preserve">   FCF %</t>
  </si>
  <si>
    <t xml:space="preserve">   FCF / share (€)</t>
  </si>
  <si>
    <t xml:space="preserve">   FCF Yield (on PT)</t>
  </si>
  <si>
    <t xml:space="preserve">   EBITDA margin %</t>
  </si>
  <si>
    <t xml:space="preserve">Net Debt (negative = net cash)</t>
  </si>
  <si>
    <t xml:space="preserve">   Net Debt / EBITDA (x)</t>
  </si>
  <si>
    <t xml:space="preserve">ROIC</t>
  </si>
  <si>
    <t xml:space="preserve">RONTA</t>
  </si>
  <si>
    <t xml:space="preserve">Implied Market Cap (EURm)</t>
  </si>
  <si>
    <t xml:space="preserve">(+) Net Debt &amp; NCI</t>
  </si>
  <si>
    <t xml:space="preserve">Implied Enterprise Value (EURm)</t>
  </si>
  <si>
    <t xml:space="preserve">Implied EV / EBITDA (x)</t>
  </si>
  <si>
    <t xml:space="preserve">DCF VALUATION — HERMÈS INTERNATIONAL (RMS)</t>
  </si>
  <si>
    <t xml:space="preserve">1. WACC BUILD</t>
  </si>
  <si>
    <t xml:space="preserve">Risk-free rate (EUR 10Y govt)</t>
  </si>
  <si>
    <t xml:space="preserve">Assumption (~blend of 10Y Bund / OAT yields); update to market</t>
  </si>
  <si>
    <t xml:space="preserve">Equity risk premium</t>
  </si>
  <si>
    <t xml:space="preserve">Euro-area implied ERP ~5–6% (Damodaran)</t>
  </si>
  <si>
    <t xml:space="preserve">Levered beta</t>
  </si>
  <si>
    <t xml:space="preserve">Luxury peers (LVMH, Kering, Richemont, Prada) ~0.9–1.2; Hermès' pricing power and family-controlled shareholder base dampen cyclicality</t>
  </si>
  <si>
    <t xml:space="preserve">Cost of equity</t>
  </si>
  <si>
    <t xml:space="preserve">Pre-tax cost of debt</t>
  </si>
  <si>
    <t xml:space="preserve">No financial debt (net cash €12.9bn at 30-Jun-26); notional IG euro cost</t>
  </si>
  <si>
    <t xml:space="preserve">Tax rate</t>
  </si>
  <si>
    <t xml:space="preserve">Model 2027E+ effective tax rate (excl. the French exceptional contribution)</t>
  </si>
  <si>
    <t xml:space="preserve">After-tax cost of debt</t>
  </si>
  <si>
    <t xml:space="preserve">Target D/V</t>
  </si>
  <si>
    <t xml:space="preserve">Net cash balance sheet; lease liabilities (~€2.3bn) treated as operating (ROU depreciation kept in EBIT)</t>
  </si>
  <si>
    <t xml:space="preserve">WACC</t>
  </si>
  <si>
    <t xml:space="preserve">Valuation date (live)</t>
  </si>
  <si>
    <t xml:space="preserve">Periods = (Dec-31-Year − today) / 365.25; cash flows assumed at year-end</t>
  </si>
  <si>
    <t xml:space="preserve">2. UNLEVERED FREE CASH FLOW BUILD (EURm)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</si>
  <si>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</si>
  <si>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</si>
  <si>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</si>
  <si>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</si>
  <si>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</si>
  <si>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Terminal</t>
  </si>
  <si>
    <t xml:space="preserve">Recurring operating income = adjusted EBIT (Model)</t>
  </si>
  <si>
    <t xml:space="preserve">   y/y %</t>
  </si>
  <si>
    <t xml:space="preserve">(+) Non-recurring items (Model; nil in forecast)</t>
  </si>
  <si>
    <t xml:space="preserve">× (1 − tax rate)</t>
  </si>
  <si>
    <t xml:space="preserve">NOPAT  =  (Adjusted EBIT + non-recurring) × (1 − t)</t>
  </si>
  <si>
    <t xml:space="preserve">plus D&amp;A of PP&amp;E and intangibles (ROU depreciation kept in EBIT as lease-cost proxy)</t>
  </si>
  <si>
    <t xml:space="preserve">− Operating investments and acquisitions</t>
  </si>
  <si>
    <t xml:space="preserve">− Δ Working capital (CF statement)</t>
  </si>
  <si>
    <t xml:space="preserve">Unlevered FCF</t>
  </si>
  <si>
    <t xml:space="preserve">Terminal Value (Gordon Growth)</t>
  </si>
  <si>
    <t xml:space="preserve">   memo: operating investments only (fade years carry no acquisitions)</t>
  </si>
  <si>
    <t xml:space="preserve">Fade-period growth (2031E–35E)</t>
  </si>
  <si>
    <t xml:space="preserve">Terminal growth rate</t>
  </si>
  <si>
    <t xml:space="preserve">Discount period (years)</t>
  </si>
  <si>
    <t xml:space="preserve">Discount factor</t>
  </si>
  <si>
    <t xml:space="preserve">PV of UFCF</t>
  </si>
  <si>
    <t xml:space="preserve">Recurring operating income expenses free-share plans and right-of-use depreciation (a proxy for lease payments, so lease liabilities are not deducted as debt below). 2026E UFCF is the full calendar year (H1/26 actual + H2/26E); the 2026E column is discounted to 31-Dec-26.</t>
  </si>
  <si>
    <t xml:space="preserve">Implied ROIC &amp; incremental ROIC (EURm)</t>
  </si>
  <si>
    <t xml:space="preserve">NOPAT (row 22)</t>
  </si>
  <si>
    <t xml:space="preserve">Net investment  =  NOPAT − UFCF</t>
  </si>
  <si>
    <t xml:space="preserve">Opening invested capital</t>
  </si>
  <si>
    <t xml:space="preserve">Closing invested capital</t>
  </si>
  <si>
    <t xml:space="preserve">Implied ROIC  =  NOPAT / opening IC</t>
  </si>
  <si>
    <t xml:space="preserve">Reinvestment rate  =  net inv. / NOPAT</t>
  </si>
  <si>
    <t xml:space="preserve">Incremental ROIC  =  Δ NOPAT / prior-yr net inv.</t>
  </si>
  <si>
    <t xml:space="preserve">Cumulative incremental ROIC 2026E–35E</t>
  </si>
  <si>
    <t xml:space="preserve">Opening IC = Model 2025A invested capital (equity + lease liabilities − restated net cash), rolled forward with net investment. Hermès' book IC is small relative to NOPAT (ROIC &gt; 60%).</t>
  </si>
  <si>
    <t xml:space="preserve">3. VALUATION SUMMARY</t>
  </si>
  <si>
    <t xml:space="preserve">Sum of PV (explicit + fade)</t>
  </si>
  <si>
    <t xml:space="preserve">PV of Terminal Value</t>
  </si>
  <si>
    <t xml:space="preserve">Enterprise Value</t>
  </si>
  <si>
    <t xml:space="preserve">Less: net debt (Model 2026E YE; negative = net cash)</t>
  </si>
  <si>
    <t xml:space="preserve">Less: non-controlling interests (Model 2026E)</t>
  </si>
  <si>
    <t xml:space="preserve">Equity Value</t>
  </si>
  <si>
    <t xml:space="preserve">Diluted shares (m, Model 2026E)</t>
  </si>
  <si>
    <t xml:space="preserve">Implied share price (€)</t>
  </si>
  <si>
    <t xml:space="preserve">Current share price (€)</t>
  </si>
  <si>
    <t xml:space="preserve">Implied upside / (downside)</t>
  </si>
  <si>
    <t xml:space="preserve">Required discount to DCF value for target IRR (discount closes over horizon; value compounds at WACC)</t>
  </si>
  <si>
    <t xml:space="preserve">Target IRR</t>
  </si>
  <si>
    <t xml:space="preserve">Max entry price for target IRR (€) — % vs. current share price shown right</t>
  </si>
  <si>
    <t xml:space="preserve">Years for discount to close</t>
  </si>
  <si>
    <t xml:space="preserve">4. SENSITIVITY: IMPLIED PRICE (€) — WACC × Terminal Growth</t>
  </si>
  <si>
    <t xml:space="preserve">WACC step (across)</t>
  </si>
  <si>
    <t xml:space="preserve">Terminal growth step (down)</t>
  </si>
  <si>
    <t xml:space="preserve">g (down) / WACC</t>
  </si>
  <si>
    <t xml:space="preserve">5. REVERSE DCF</t>
  </si>
  <si>
    <t xml:space="preserve">To solve for the market-implied path: Data ▸ What-If Analysis ▸ Goal Seek — set C57 (implied price) to the current price (C58) by changing C32 (terminal growth) or the Model scenario levers (métier constant-currency growth, recurring operating margin).</t>
  </si>
  <si>
    <t xml:space="preserve">6. MAUBOUSSIN EV / NOPAT — TWO-STAGE FRAMEWORK</t>
  </si>
  <si>
    <t xml:space="preserve">EV/NOPAT  =  1/r  +  [g × (1 − r/ROIIC) / (r × (r − g))] × [1 − ((1+g)/(1+r))^N]</t>
  </si>
  <si>
    <t xml:space="preserve">Formula source: Mauboussin &amp; Rappaport, "Expectations Investing" (2021); Counterpoint Global, "What Does a Price-Earnings Multiple Mean?" (2020).</t>
  </si>
  <si>
    <t xml:space="preserve">Input</t>
  </si>
  <si>
    <t xml:space="preserve">Value</t>
  </si>
  <si>
    <t xml:space="preserve">Rationale (Hermès characteristics)</t>
  </si>
  <si>
    <t xml:space="preserve">r  (Cost of capital / WACC)</t>
  </si>
  <si>
    <t xml:space="preserve">Linked from Section 1 WACC build</t>
  </si>
  <si>
    <t xml:space="preserve">g  (NOPAT growth, Stage 1)</t>
  </si>
  <si>
    <t xml:space="preserve">Model recurring operating income CAGR 2025–30E: high-single-digit constant-currency growth, stable ~41% margin</t>
  </si>
  <si>
    <t xml:space="preserve">ROIIC  (Return on incremental invested capital)</t>
  </si>
  <si>
    <t xml:space="preserve">Capacity growth (leather workshops, stores) earns very high returns: ROIC &gt; 60% on book IC; incremental capex ~7% of sales</t>
  </si>
  <si>
    <t xml:space="preserve">N  (Years of value creation / CAP)</t>
  </si>
  <si>
    <t xml:space="preserve">Scarcity-driven brand (waitlists, controlled capacity), 190-year heritage, family control (H51 ~66%), vertical integration in craftsmanship</t>
  </si>
  <si>
    <t xml:space="preserve">Calculation</t>
  </si>
  <si>
    <t xml:space="preserve">Steady-state component:  1 / r</t>
  </si>
  <si>
    <t xml:space="preserve">Value-creation factor: 1 − r / ROIIC</t>
  </si>
  <si>
    <t xml:space="preserve">Growth multiplier: g × (1 − r/ROIIC) / (r × (r − g))</t>
  </si>
  <si>
    <t xml:space="preserve">Time decay: 1 − ((1+g)/(1+r))^N</t>
  </si>
  <si>
    <t xml:space="preserve">PVGO component (growth value)</t>
  </si>
  <si>
    <t xml:space="preserve">Mauboussin EV / NOPAT (steady-state + PVGO)</t>
  </si>
  <si>
    <t xml:space="preserve">VALUATION  —  Applied to 2028E NOPAT</t>
  </si>
  <si>
    <t xml:space="preserve">EURm</t>
  </si>
  <si>
    <t xml:space="preserve">2028E recurring operating income (Model)</t>
  </si>
  <si>
    <t xml:space="preserve">(+) 2028E non-recurring items</t>
  </si>
  <si>
    <t xml:space="preserve">Tax rate (from WACC build)</t>
  </si>
  <si>
    <t xml:space="preserve">2028E NOPAT  =  (ROI + non-recurring) × (1 − t)</t>
  </si>
  <si>
    <t xml:space="preserve">× Mauboussin EV/NOPAT multiple</t>
  </si>
  <si>
    <t xml:space="preserve">Implied Enterprise Value (2028E basis)</t>
  </si>
  <si>
    <t xml:space="preserve">Less: YE2027 net debt + NCI (Model)</t>
  </si>
  <si>
    <t xml:space="preserve">Implied Equity Value</t>
  </si>
  <si>
    <t xml:space="preserve">Diluted shares 2028E (m, Model)</t>
  </si>
  <si>
    <t xml:space="preserve">Implied share price 2028 (€)</t>
  </si>
  <si>
    <t xml:space="preserve">MARKET-IMPLIED EV/NOPAT TODAY</t>
  </si>
  <si>
    <t xml:space="preserve">Current market cap (spot × diluted shares)</t>
  </si>
  <si>
    <t xml:space="preserve">Plus: YE2026 net debt &amp; NCI</t>
  </si>
  <si>
    <t xml:space="preserve">Implied Enterprise Value (today)</t>
  </si>
  <si>
    <t xml:space="preserve">Hermès' market-implied EV/NOPAT (on 2028E NOPAT)</t>
  </si>
  <si>
    <t xml:space="preserve">Multiple gap (Mauboussin − Market)</t>
  </si>
  <si>
    <t xml:space="preserve">Implied re-rating headroom</t>
  </si>
  <si>
    <t xml:space="preserve">Hermès International — Historical Operating Performance (2009–2025)</t>
  </si>
  <si>
    <t xml:space="preserve">All historicals · EURm · Linked to Model. Growth decomposition = revenue growth at constant exchange rates (company-reported) and the currency / scope effect (reported − constant). EBITDA = recurring operating income + all D&amp;A (IFRS 16 from 2019). Charts start in 2009, the first year with full financial statements (2006–08: key figures only).</t>
  </si>
  <si>
    <t xml:space="preserve">Constant-currency growth %</t>
  </si>
  <si>
    <t xml:space="preserve">Currency / scope effect %</t>
  </si>
  <si>
    <t xml:space="preserve">EBITDA</t>
  </si>
  <si>
    <t xml:space="preserve">EBITDA Margin %</t>
  </si>
  <si>
    <t xml:space="preserve">Recurring Op. Margin %</t>
  </si>
  <si>
    <t xml:space="preserve">Recurring op. margin %</t>
  </si>
  <si>
    <t xml:space="preserve">Adjusted FCF margin %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</si>
</sst>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;\(#,##0\);\-"/>
    <numFmt numFmtId="166" formatCode="0%;\(0%\);&quot;n/m&quot;"/>
    <numFmt numFmtId="167" formatCode="0.0%;\(0.0%\);\-"/>
    <numFmt numFmtId="168" formatCode="\+0.0%;\-0.0%"/>
    <numFmt numFmtId="169" formatCode="\+#,##0;\-#,##0"/>
    <numFmt numFmtId="170" formatCode="#,##0.00;\(#,##0.00\);\-"/>
    <numFmt numFmtId="171" formatCode="0.00;\(0.00\);\-"/>
    <numFmt numFmtId="172" formatCode="0.00\x;\(0.00&quot;x)&quot;;\-"/>
    <numFmt numFmtId="173" formatCode="0\d;\(0&quot;)d&quot;;\-"/>
    <numFmt numFmtId="174" formatCode="#,##0.00"/>
    <numFmt numFmtId="175" formatCode="dd\-mmm\-yy"/>
    <numFmt numFmtId="176" formatCode="0%;\(0%\);\-"/>
    <numFmt numFmtId="177" formatCode="0.0\x"/>
    <numFmt numFmtId="178" formatCode="0.00%"/>
    <numFmt numFmtId="179" formatCode="0.00"/>
    <numFmt numFmtId="180" formatCode="0.0%"/>
    <numFmt numFmtId="181" formatCode="0.000"/>
    <numFmt numFmtId="182" formatCode="#,##0"/>
    <numFmt numFmtId="183" formatCode="0"/>
    <numFmt numFmtId="184" formatCode="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00000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b val="true"/>
      <sz val="12"/>
      <color rgb="FF0000FF"/>
      <name val="Calibri"/>
      <family val="0"/>
      <charset val="1"/>
    </font>
    <font>
      <sz val="10"/>
      <color rgb="FF595959"/>
      <name val="Calibri"/>
      <family val="0"/>
      <charset val="1"/>
    </font>
    <font>
      <sz val="10"/>
      <color rgb="FFC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9"/>
      <color rgb="FF666666"/>
      <name val="Calibri"/>
      <family val="0"/>
      <charset val="1"/>
    </font>
    <font>
      <sz val="12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name val="Calibri"/>
      <family val="0"/>
      <charset val="1"/>
    </font>
    <font>
      <sz val="12"/>
      <color rgb="FF404040"/>
      <name val="Calibri"/>
      <family val="0"/>
      <charset val="1"/>
    </font>
    <font>
      <sz val="12"/>
      <color rgb="FFA6A6A6"/>
      <name val="Calibri"/>
      <family val="0"/>
      <charset val="1"/>
    </font>
    <font>
      <sz val="12"/>
      <color rgb="FF000000"/>
      <name val="Calibri"/>
      <family val="0"/>
      <charset val="1"/>
    </font>
    <font>
      <sz val="12"/>
      <color rgb="FF0000FF"/>
      <name val="Calibri"/>
      <family val="0"/>
      <charset val="1"/>
    </font>
    <font>
      <b val="true"/>
      <i val="true"/>
      <sz val="12"/>
      <color rgb="FF666666"/>
      <name val="Calibri"/>
      <family val="0"/>
      <charset val="1"/>
    </font>
    <font>
      <b val="true"/>
      <sz val="12"/>
      <color rgb="FF595959"/>
      <name val="Calibri"/>
      <family val="0"/>
      <charset val="1"/>
    </font>
    <font>
      <b val="true"/>
      <i val="true"/>
      <sz val="11"/>
      <color rgb="FFC00000"/>
      <name val="Calibri"/>
      <family val="0"/>
      <charset val="1"/>
    </font>
    <font>
      <b val="true"/>
      <i val="true"/>
      <sz val="10"/>
      <color rgb="FFC00000"/>
      <name val="Calibri"/>
      <family val="0"/>
      <charset val="1"/>
    </font>
    <font>
      <sz val="10"/>
      <name val="Arial"/>
      <family val="2"/>
    </font>
    <font>
      <b val="true"/>
      <sz val="16"/>
      <color rgb="FF2F3E46"/>
      <name val="Calibri"/>
      <family val="0"/>
      <charset val="1"/>
    </font>
    <font>
      <b val="true"/>
      <sz val="12"/>
      <color rgb="FF008000"/>
      <name val="Calibri"/>
      <family val="0"/>
      <charset val="1"/>
    </font>
    <font>
      <b val="true"/>
      <sz val="12"/>
      <color rgb="FF2F3E46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2"/>
      <color rgb="FF595959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2"/>
      <color rgb="FF008000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4"/>
      <color rgb="FF000000"/>
      <name val="Calibri"/>
      <family val="2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3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3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3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7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7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7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6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400" spc="-1" strike="noStrike">
                <a:solidFill>
                  <a:srgbClr val="000000"/>
                </a:solidFill>
                <a:latin typeface="Calibri"/>
              </a:rPr>
              <a:t>Revenue Growth Decomposition: Constant-Currency Growth vs. Currency Effect, y/y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Charts!B8</c:f>
              <c:strCache>
                <c:ptCount val="1"/>
                <c:pt idx="0">
                  <c:v>Constant-currency growth %</c:v>
                </c:pt>
              </c:strCache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Charts!$C$7:$S$7</c:f>
              <c:strCach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strCache>
            </c:strRef>
          </c:cat>
          <c:val>
            <c:numRef>
              <c:f>Charts!$C$8:$S$8</c:f>
              <c:numCache>
                <c:formatCode>0.0%;\(0.0%\);\-</c:formatCode>
                <c:ptCount val="17"/>
                <c:pt idx="0">
                  <c:v>0</c:v>
                </c:pt>
                <c:pt idx="1">
                  <c:v>0.189</c:v>
                </c:pt>
                <c:pt idx="2">
                  <c:v>0.183</c:v>
                </c:pt>
                <c:pt idx="3">
                  <c:v>0.164</c:v>
                </c:pt>
                <c:pt idx="4">
                  <c:v>0.13</c:v>
                </c:pt>
                <c:pt idx="5">
                  <c:v>0.111</c:v>
                </c:pt>
                <c:pt idx="6">
                  <c:v>0.081</c:v>
                </c:pt>
                <c:pt idx="7">
                  <c:v>0.074</c:v>
                </c:pt>
                <c:pt idx="8">
                  <c:v>0.086</c:v>
                </c:pt>
                <c:pt idx="9">
                  <c:v>0.104</c:v>
                </c:pt>
                <c:pt idx="10">
                  <c:v>0.124</c:v>
                </c:pt>
                <c:pt idx="11">
                  <c:v>-0.06</c:v>
                </c:pt>
                <c:pt idx="12">
                  <c:v>0.418</c:v>
                </c:pt>
                <c:pt idx="13">
                  <c:v>0.234</c:v>
                </c:pt>
                <c:pt idx="14">
                  <c:v>0.206</c:v>
                </c:pt>
                <c:pt idx="15">
                  <c:v>0.147</c:v>
                </c:pt>
                <c:pt idx="16">
                  <c:v>0.089</c:v>
                </c:pt>
              </c:numCache>
            </c:numRef>
          </c:val>
        </c:ser>
        <c:ser>
          <c:idx val="1"/>
          <c:order val="1"/>
          <c:tx>
            <c:strRef>
              <c:f>Charts!B9</c:f>
              <c:strCache>
                <c:ptCount val="1"/>
                <c:pt idx="0">
                  <c:v>Currency / scope effect %</c:v>
                </c:pt>
              </c:strCache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Charts!$C$7:$S$7</c:f>
              <c:strCach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strCache>
            </c:strRef>
          </c:cat>
          <c:val>
            <c:numRef>
              <c:f>Charts!$C$9:$S$9</c:f>
              <c:numCache>
                <c:formatCode>0.0%;\(0.0%\);\-</c:formatCode>
                <c:ptCount val="17"/>
                <c:pt idx="0">
                  <c:v>0</c:v>
                </c:pt>
                <c:pt idx="1">
                  <c:v>0.0659634273772206</c:v>
                </c:pt>
                <c:pt idx="2">
                  <c:v>0.000180682764362949</c:v>
                </c:pt>
                <c:pt idx="3">
                  <c:v>0.0619676284306824</c:v>
                </c:pt>
                <c:pt idx="4">
                  <c:v>-0.0523064118018483</c:v>
                </c:pt>
                <c:pt idx="5">
                  <c:v>-0.0141398972009905</c:v>
                </c:pt>
                <c:pt idx="6">
                  <c:v>0.0944236876608555</c:v>
                </c:pt>
                <c:pt idx="7">
                  <c:v>0.000590485633430296</c:v>
                </c:pt>
                <c:pt idx="8">
                  <c:v>-0.0193166737149665</c:v>
                </c:pt>
                <c:pt idx="9">
                  <c:v>-0.0288526788127802</c:v>
                </c:pt>
                <c:pt idx="10">
                  <c:v>0.0297520323159181</c:v>
                </c:pt>
                <c:pt idx="11">
                  <c:v>-0.0117523316965452</c:v>
                </c:pt>
                <c:pt idx="12">
                  <c:v>-0.0124127083496362</c:v>
                </c:pt>
                <c:pt idx="13">
                  <c:v>0.0577269791782653</c:v>
                </c:pt>
                <c:pt idx="14">
                  <c:v>-0.0485997758813894</c:v>
                </c:pt>
                <c:pt idx="15">
                  <c:v>-0.0171869367691963</c:v>
                </c:pt>
                <c:pt idx="16">
                  <c:v>-0.0342208305866843</c:v>
                </c:pt>
              </c:numCache>
            </c:numRef>
          </c:val>
        </c:ser>
        <c:gapWidth val="150"/>
        <c:overlap val="100"/>
        <c:axId val="14510518"/>
        <c:axId val="52128606"/>
      </c:barChart>
      <c:catAx>
        <c:axId val="145105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128606"/>
        <c:crosses val="autoZero"/>
        <c:auto val="1"/>
        <c:lblAlgn val="ctr"/>
        <c:lblOffset val="100"/>
        <c:noMultiLvlLbl val="0"/>
      </c:catAx>
      <c:valAx>
        <c:axId val="521286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105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400" spc="-1" strike="noStrike">
                <a:solidFill>
                  <a:srgbClr val="000000"/>
                </a:solidFill>
                <a:latin typeface="Calibri"/>
              </a:rPr>
              <a:t>EBITDA &amp; Recurring Operating Income (EURm)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Charts!$C$7:$S$7</c:f>
              <c:strCach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strCache>
            </c:strRef>
          </c:cat>
          <c:val>
            <c:numRef>
              <c:f>Charts!$C$12:$S$12</c:f>
              <c:numCache>
                <c:formatCode>#,##0;\(#,##0\);\-</c:formatCode>
                <c:ptCount val="17"/>
                <c:pt idx="0">
                  <c:v>547.4</c:v>
                </c:pt>
                <c:pt idx="1">
                  <c:v>769.1</c:v>
                </c:pt>
                <c:pt idx="2">
                  <c:v>998.4</c:v>
                </c:pt>
                <c:pt idx="3">
                  <c:v>1238.8</c:v>
                </c:pt>
                <c:pt idx="4">
                  <c:v>1356.7</c:v>
                </c:pt>
                <c:pt idx="5">
                  <c:v>1467.9</c:v>
                </c:pt>
                <c:pt idx="6">
                  <c:v>1747.2</c:v>
                </c:pt>
                <c:pt idx="7">
                  <c:v>1928.6</c:v>
                </c:pt>
                <c:pt idx="8">
                  <c:v>2165</c:v>
                </c:pt>
                <c:pt idx="9">
                  <c:v>2305</c:v>
                </c:pt>
                <c:pt idx="10">
                  <c:v>2815</c:v>
                </c:pt>
                <c:pt idx="11">
                  <c:v>2549.9</c:v>
                </c:pt>
                <c:pt idx="12">
                  <c:v>4159</c:v>
                </c:pt>
                <c:pt idx="13">
                  <c:v>5427</c:v>
                </c:pt>
                <c:pt idx="14">
                  <c:v>6421</c:v>
                </c:pt>
                <c:pt idx="15">
                  <c:v>6992</c:v>
                </c:pt>
                <c:pt idx="16">
                  <c:v>7495</c:v>
                </c:pt>
              </c:numCache>
            </c:numRef>
          </c:val>
        </c:ser>
        <c:ser>
          <c:idx val="1"/>
          <c:order val="1"/>
          <c:tx>
            <c:strRef>
              <c:f>Charts!B13</c:f>
              <c:strCache>
                <c:ptCount val="1"/>
                <c:pt idx="0">
                  <c:v>Recurring Operating Income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Charts!$C$7:$S$7</c:f>
              <c:strCach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strCache>
            </c:strRef>
          </c:cat>
          <c:val>
            <c:numRef>
              <c:f>Charts!$C$13:$S$13</c:f>
              <c:numCache>
                <c:formatCode>#,##0;\(#,##0\);\-</c:formatCode>
                <c:ptCount val="17"/>
                <c:pt idx="0">
                  <c:v>462.9</c:v>
                </c:pt>
                <c:pt idx="1">
                  <c:v>668.2</c:v>
                </c:pt>
                <c:pt idx="2">
                  <c:v>885.2</c:v>
                </c:pt>
                <c:pt idx="3">
                  <c:v>1118.7</c:v>
                </c:pt>
                <c:pt idx="4">
                  <c:v>1218.2</c:v>
                </c:pt>
                <c:pt idx="5">
                  <c:v>1299.3</c:v>
                </c:pt>
                <c:pt idx="6">
                  <c:v>1540.7</c:v>
                </c:pt>
                <c:pt idx="7">
                  <c:v>1696.5</c:v>
                </c:pt>
                <c:pt idx="8">
                  <c:v>1922</c:v>
                </c:pt>
                <c:pt idx="9">
                  <c:v>2045</c:v>
                </c:pt>
                <c:pt idx="10">
                  <c:v>2338.8</c:v>
                </c:pt>
                <c:pt idx="11">
                  <c:v>1981.4</c:v>
                </c:pt>
                <c:pt idx="12">
                  <c:v>3531</c:v>
                </c:pt>
                <c:pt idx="13">
                  <c:v>4697</c:v>
                </c:pt>
                <c:pt idx="14">
                  <c:v>5649</c:v>
                </c:pt>
                <c:pt idx="15">
                  <c:v>6148</c:v>
                </c:pt>
                <c:pt idx="16">
                  <c:v>6569</c:v>
                </c:pt>
              </c:numCache>
            </c:numRef>
          </c:val>
        </c:ser>
        <c:gapWidth val="150"/>
        <c:overlap val="0"/>
        <c:axId val="82791313"/>
        <c:axId val="89124615"/>
      </c:barChart>
      <c:lineChart>
        <c:grouping val="standard"/>
        <c:varyColors val="0"/>
        <c:ser>
          <c:idx val="2"/>
          <c:order val="2"/>
          <c:tx>
            <c:strRef>
              <c:f>Charts!B14</c:f>
              <c:strCache>
                <c:ptCount val="1"/>
                <c:pt idx="0">
                  <c:v>EBITDA Margin %</c:v>
                </c:pt>
              </c:strCache>
            </c:strRef>
          </c:tx>
          <c:spPr>
            <a:solidFill>
              <a:srgbClr val="2f3e46"/>
            </a:solidFill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Charts!$C$7:$S$7</c:f>
              <c:strCach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strCache>
            </c:strRef>
          </c:cat>
          <c:val>
            <c:numRef>
              <c:f>Charts!$C$14:$S$14</c:f>
              <c:numCache>
                <c:formatCode>0.0%;\(0.0%\);\-</c:formatCode>
                <c:ptCount val="17"/>
                <c:pt idx="0">
                  <c:v>0.285953089902314</c:v>
                </c:pt>
                <c:pt idx="1">
                  <c:v>0.320351549483506</c:v>
                </c:pt>
                <c:pt idx="2">
                  <c:v>0.351400816556385</c:v>
                </c:pt>
                <c:pt idx="3">
                  <c:v>0.355558106828162</c:v>
                </c:pt>
                <c:pt idx="4">
                  <c:v>0.361324171726856</c:v>
                </c:pt>
                <c:pt idx="5">
                  <c:v>0.356407517117467</c:v>
                </c:pt>
                <c:pt idx="6">
                  <c:v>0.360917165874819</c:v>
                </c:pt>
                <c:pt idx="7">
                  <c:v>0.370727769020799</c:v>
                </c:pt>
                <c:pt idx="8">
                  <c:v>0.390146327398544</c:v>
                </c:pt>
                <c:pt idx="9">
                  <c:v>0.386349541576574</c:v>
                </c:pt>
                <c:pt idx="10">
                  <c:v>0.408954876950344</c:v>
                </c:pt>
                <c:pt idx="11">
                  <c:v>0.399082855980217</c:v>
                </c:pt>
                <c:pt idx="12">
                  <c:v>0.463037185482075</c:v>
                </c:pt>
                <c:pt idx="13">
                  <c:v>0.467764178589898</c:v>
                </c:pt>
                <c:pt idx="14">
                  <c:v>0.478215535860579</c:v>
                </c:pt>
                <c:pt idx="15">
                  <c:v>0.460909690177983</c:v>
                </c:pt>
                <c:pt idx="16">
                  <c:v>0.468378952630921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Charts!B15</c:f>
              <c:strCache>
                <c:ptCount val="1"/>
                <c:pt idx="0">
                  <c:v>Recurring Op. Margin %</c:v>
                </c:pt>
              </c:strCache>
            </c:strRef>
          </c:tx>
          <c:spPr>
            <a:solidFill>
              <a:srgbClr val="c8553d"/>
            </a:solidFill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Charts!$C$7:$S$7</c:f>
              <c:strCach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strCache>
            </c:strRef>
          </c:cat>
          <c:val>
            <c:numRef>
              <c:f>Charts!$C$15:$S$15</c:f>
              <c:numCache>
                <c:formatCode>0.0%;\(0.0%\);\-</c:formatCode>
                <c:ptCount val="17"/>
                <c:pt idx="0">
                  <c:v>0.241811628271431</c:v>
                </c:pt>
                <c:pt idx="1">
                  <c:v>0.278323892035988</c:v>
                </c:pt>
                <c:pt idx="2">
                  <c:v>0.311558496409968</c:v>
                </c:pt>
                <c:pt idx="3">
                  <c:v>0.321087224821331</c:v>
                </c:pt>
                <c:pt idx="4">
                  <c:v>0.324438052625972</c:v>
                </c:pt>
                <c:pt idx="5">
                  <c:v>0.315471276647405</c:v>
                </c:pt>
                <c:pt idx="6">
                  <c:v>0.318260689940095</c:v>
                </c:pt>
                <c:pt idx="7">
                  <c:v>0.32611202952597</c:v>
                </c:pt>
                <c:pt idx="8">
                  <c:v>0.346356231528869</c:v>
                </c:pt>
                <c:pt idx="9">
                  <c:v>0.342769983741473</c:v>
                </c:pt>
                <c:pt idx="10">
                  <c:v>0.339773948920592</c:v>
                </c:pt>
                <c:pt idx="11">
                  <c:v>0.310107365323818</c:v>
                </c:pt>
                <c:pt idx="12">
                  <c:v>0.39311957247829</c:v>
                </c:pt>
                <c:pt idx="13">
                  <c:v>0.404843992415101</c:v>
                </c:pt>
                <c:pt idx="14">
                  <c:v>0.420719445892604</c:v>
                </c:pt>
                <c:pt idx="15">
                  <c:v>0.405273566249176</c:v>
                </c:pt>
                <c:pt idx="16">
                  <c:v>0.410511186101737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272612"/>
        <c:axId val="29638704"/>
      </c:lineChart>
      <c:catAx>
        <c:axId val="827913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124615"/>
        <c:crosses val="autoZero"/>
        <c:auto val="1"/>
        <c:lblAlgn val="ctr"/>
        <c:lblOffset val="100"/>
        <c:noMultiLvlLbl val="0"/>
      </c:catAx>
      <c:valAx>
        <c:axId val="891246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791313"/>
        <c:crosses val="autoZero"/>
        <c:crossBetween val="between"/>
      </c:valAx>
      <c:catAx>
        <c:axId val="90272612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638704"/>
        <c:crosses val="autoZero"/>
        <c:auto val="1"/>
        <c:lblAlgn val="ctr"/>
        <c:lblOffset val="100"/>
        <c:noMultiLvlLbl val="0"/>
      </c:catAx>
      <c:valAx>
        <c:axId val="2963870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72612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400" spc="-1" strike="noStrike">
                <a:solidFill>
                  <a:srgbClr val="000000"/>
                </a:solidFill>
                <a:latin typeface="Calibri"/>
              </a:rPr>
              <a:t>Returns Profile: ROIC, RONTA, Recurring Operating Margin &amp; Adjusted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Charts!B18</c:f>
              <c:strCache>
                <c:ptCount val="1"/>
                <c:pt idx="0">
                  <c:v>ROIC</c:v>
                </c:pt>
              </c:strCache>
            </c:strRef>
          </c:tx>
          <c:spPr>
            <a:solidFill>
              <a:srgbClr val="2f3e46"/>
            </a:solidFill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Charts!$C$7:$S$7</c:f>
              <c:strCach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strCache>
            </c:strRef>
          </c:cat>
          <c:val>
            <c:numRef>
              <c:f>Charts!$C$18:$S$18</c:f>
              <c:numCache>
                <c:formatCode>0.0%;\(0.0%\);\-</c:formatCode>
                <c:ptCount val="17"/>
                <c:pt idx="0">
                  <c:v>0.252968899995566</c:v>
                </c:pt>
                <c:pt idx="1">
                  <c:v>0.365253360488804</c:v>
                </c:pt>
                <c:pt idx="2">
                  <c:v>0.467808847214414</c:v>
                </c:pt>
                <c:pt idx="3">
                  <c:v>0.466437166645034</c:v>
                </c:pt>
                <c:pt idx="4">
                  <c:v>0.4643921405933</c:v>
                </c:pt>
                <c:pt idx="5">
                  <c:v>0.441441943644302</c:v>
                </c:pt>
                <c:pt idx="6">
                  <c:v>0.463186582203728</c:v>
                </c:pt>
                <c:pt idx="7">
                  <c:v>0.551554128102564</c:v>
                </c:pt>
                <c:pt idx="8">
                  <c:v>0.63217752223795</c:v>
                </c:pt>
                <c:pt idx="9">
                  <c:v>0.729581046969026</c:v>
                </c:pt>
                <c:pt idx="10">
                  <c:v>0.503914028435552</c:v>
                </c:pt>
                <c:pt idx="11">
                  <c:v>0.33161700088305</c:v>
                </c:pt>
                <c:pt idx="12">
                  <c:v>0.603941050685343</c:v>
                </c:pt>
                <c:pt idx="13">
                  <c:v>0.732005138681212</c:v>
                </c:pt>
                <c:pt idx="14">
                  <c:v>0.674295276138855</c:v>
                </c:pt>
                <c:pt idx="15">
                  <c:v>0.591818348825361</c:v>
                </c:pt>
                <c:pt idx="16">
                  <c:v>0.560050168295411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Charts!B19</c:f>
              <c:strCache>
                <c:ptCount val="1"/>
                <c:pt idx="0">
                  <c:v>RONTA</c:v>
                </c:pt>
              </c:strCache>
            </c:strRef>
          </c:tx>
          <c:spPr>
            <a:solidFill>
              <a:srgbClr val="84a98c"/>
            </a:solidFill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Charts!$C$7:$S$7</c:f>
              <c:strCach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strCache>
            </c:strRef>
          </c:cat>
          <c:val>
            <c:numRef>
              <c:f>Charts!$C$19:$S$19</c:f>
              <c:numCache>
                <c:formatCode>0.0%;\(0.0%\);\-</c:formatCode>
                <c:ptCount val="17"/>
                <c:pt idx="0">
                  <c:v>0.232895315941317</c:v>
                </c:pt>
                <c:pt idx="1">
                  <c:v>0.323210191559536</c:v>
                </c:pt>
                <c:pt idx="2">
                  <c:v>0.458049423762669</c:v>
                </c:pt>
                <c:pt idx="3">
                  <c:v>0.459615775726958</c:v>
                </c:pt>
                <c:pt idx="4">
                  <c:v>0.441895897605825</c:v>
                </c:pt>
                <c:pt idx="5">
                  <c:v>0.412453292946594</c:v>
                </c:pt>
                <c:pt idx="6">
                  <c:v>0.427518331472803</c:v>
                </c:pt>
                <c:pt idx="7">
                  <c:v>0.494589625512301</c:v>
                </c:pt>
                <c:pt idx="8">
                  <c:v>0.525178654260616</c:v>
                </c:pt>
                <c:pt idx="9">
                  <c:v>0.599677790245483</c:v>
                </c:pt>
                <c:pt idx="10">
                  <c:v>0.437632911365931</c:v>
                </c:pt>
                <c:pt idx="11">
                  <c:v>0.302575976753239</c:v>
                </c:pt>
                <c:pt idx="12">
                  <c:v>0.53682200858285</c:v>
                </c:pt>
                <c:pt idx="13">
                  <c:v>0.633003880945486</c:v>
                </c:pt>
                <c:pt idx="14">
                  <c:v>0.611057996309203</c:v>
                </c:pt>
                <c:pt idx="15">
                  <c:v>0.567606205087814</c:v>
                </c:pt>
                <c:pt idx="16">
                  <c:v>0.528771609183315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Charts!B20</c:f>
              <c:strCache>
                <c:ptCount val="1"/>
                <c:pt idx="0">
                  <c:v>Recurring op. margin %</c:v>
                </c:pt>
              </c:strCache>
            </c:strRef>
          </c:tx>
          <c:spPr>
            <a:solidFill>
              <a:srgbClr val="1f4e79"/>
            </a:solidFill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Charts!$C$7:$S$7</c:f>
              <c:strCach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strCache>
            </c:strRef>
          </c:cat>
          <c:val>
            <c:numRef>
              <c:f>Charts!$C$20:$S$20</c:f>
              <c:numCache>
                <c:formatCode>0.0%;\(0.0%\);\-</c:formatCode>
                <c:ptCount val="17"/>
                <c:pt idx="0">
                  <c:v>0.241811628271431</c:v>
                </c:pt>
                <c:pt idx="1">
                  <c:v>0.278323892035988</c:v>
                </c:pt>
                <c:pt idx="2">
                  <c:v>0.311558496409968</c:v>
                </c:pt>
                <c:pt idx="3">
                  <c:v>0.321087224821331</c:v>
                </c:pt>
                <c:pt idx="4">
                  <c:v>0.324438052625972</c:v>
                </c:pt>
                <c:pt idx="5">
                  <c:v>0.315471276647405</c:v>
                </c:pt>
                <c:pt idx="6">
                  <c:v>0.318260689940095</c:v>
                </c:pt>
                <c:pt idx="7">
                  <c:v>0.32611202952597</c:v>
                </c:pt>
                <c:pt idx="8">
                  <c:v>0.346356231528869</c:v>
                </c:pt>
                <c:pt idx="9">
                  <c:v>0.342769983741473</c:v>
                </c:pt>
                <c:pt idx="10">
                  <c:v>0.339773948920592</c:v>
                </c:pt>
                <c:pt idx="11">
                  <c:v>0.310107365323818</c:v>
                </c:pt>
                <c:pt idx="12">
                  <c:v>0.39311957247829</c:v>
                </c:pt>
                <c:pt idx="13">
                  <c:v>0.404843992415101</c:v>
                </c:pt>
                <c:pt idx="14">
                  <c:v>0.420719445892604</c:v>
                </c:pt>
                <c:pt idx="15">
                  <c:v>0.405273566249176</c:v>
                </c:pt>
                <c:pt idx="16">
                  <c:v>0.410511186101737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Charts!B21</c:f>
              <c:strCache>
                <c:ptCount val="1"/>
                <c:pt idx="0">
                  <c:v>Adjusted FCF margin %</c:v>
                </c:pt>
              </c:strCache>
            </c:strRef>
          </c:tx>
          <c:spPr>
            <a:solidFill>
              <a:srgbClr val="c8553d"/>
            </a:solidFill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Charts!$C$7:$S$7</c:f>
              <c:strCach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strCache>
            </c:strRef>
          </c:cat>
          <c:val>
            <c:numRef>
              <c:f>Charts!$C$21:$S$21</c:f>
              <c:numCache>
                <c:formatCode>0.0%;\(0.0%\);\-</c:formatCode>
                <c:ptCount val="17"/>
                <c:pt idx="0">
                  <c:v>0.135663166692786</c:v>
                </c:pt>
                <c:pt idx="1">
                  <c:v>0.218927024325225</c:v>
                </c:pt>
                <c:pt idx="2">
                  <c:v>0.193826552161059</c:v>
                </c:pt>
                <c:pt idx="3">
                  <c:v>0.145833931287851</c:v>
                </c:pt>
                <c:pt idx="4">
                  <c:v>0.182592947693619</c:v>
                </c:pt>
                <c:pt idx="5">
                  <c:v>0.166998494634099</c:v>
                </c:pt>
                <c:pt idx="6">
                  <c:v>0.192790745713696</c:v>
                </c:pt>
                <c:pt idx="7">
                  <c:v>0.232939910038061</c:v>
                </c:pt>
                <c:pt idx="8">
                  <c:v>0.241548331290997</c:v>
                </c:pt>
                <c:pt idx="9">
                  <c:v>0.242553762089137</c:v>
                </c:pt>
                <c:pt idx="10">
                  <c:v>0.204332161431851</c:v>
                </c:pt>
                <c:pt idx="11">
                  <c:v>0.155773625066516</c:v>
                </c:pt>
                <c:pt idx="12">
                  <c:v>0.29625918503674</c:v>
                </c:pt>
                <c:pt idx="13">
                  <c:v>0.293483882089295</c:v>
                </c:pt>
                <c:pt idx="14">
                  <c:v>0.237729947121472</c:v>
                </c:pt>
                <c:pt idx="15">
                  <c:v>0.248319050758075</c:v>
                </c:pt>
                <c:pt idx="16">
                  <c:v>0.242532183477065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600568"/>
        <c:axId val="63614864"/>
      </c:lineChart>
      <c:catAx>
        <c:axId val="216005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14864"/>
        <c:crosses val="autoZero"/>
        <c:auto val="1"/>
        <c:lblAlgn val="ctr"/>
        <c:lblOffset val="100"/>
        <c:noMultiLvlLbl val="0"/>
      </c:catAx>
      <c:valAx>
        <c:axId val="636148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6005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160920</xdr:rowOff>
    </xdr:from>
    <xdr:to>
      <xdr:col>5</xdr:col>
      <xdr:colOff>455760</xdr:colOff>
      <xdr:row>36</xdr:row>
      <xdr:rowOff>2520</xdr:rowOff>
    </xdr:to>
    <xdr:graphicFrame>
      <xdr:nvGraphicFramePr>
        <xdr:cNvPr id="0" name="Chart 1"/>
        <xdr:cNvGraphicFramePr/>
      </xdr:nvGraphicFramePr>
      <xdr:xfrm>
        <a:off x="758880" y="4190040"/>
        <a:ext cx="539928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42</xdr:row>
      <xdr:rowOff>160560</xdr:rowOff>
    </xdr:from>
    <xdr:to>
      <xdr:col>5</xdr:col>
      <xdr:colOff>455760</xdr:colOff>
      <xdr:row>57</xdr:row>
      <xdr:rowOff>2520</xdr:rowOff>
    </xdr:to>
    <xdr:graphicFrame>
      <xdr:nvGraphicFramePr>
        <xdr:cNvPr id="1" name="Chart 2"/>
        <xdr:cNvGraphicFramePr/>
      </xdr:nvGraphicFramePr>
      <xdr:xfrm>
        <a:off x="758880" y="8190000"/>
        <a:ext cx="539928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63</xdr:row>
      <xdr:rowOff>160920</xdr:rowOff>
    </xdr:from>
    <xdr:to>
      <xdr:col>5</xdr:col>
      <xdr:colOff>455760</xdr:colOff>
      <xdr:row>78</xdr:row>
      <xdr:rowOff>2520</xdr:rowOff>
    </xdr:to>
    <xdr:graphicFrame>
      <xdr:nvGraphicFramePr>
        <xdr:cNvPr id="2" name="Chart 3"/>
        <xdr:cNvGraphicFramePr/>
      </xdr:nvGraphicFramePr>
      <xdr:xfrm>
        <a:off x="758880" y="12191040"/>
        <a:ext cx="539928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P393"/>
  <sheetViews>
    <sheetView showFormulas="false" showGridLines="fals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1" width="2.43"/>
    <col collapsed="false" customWidth="true" hidden="false" outlineLevel="0" max="2" min="2" style="1" width="62"/>
    <col collapsed="false" customWidth="true" hidden="false" outlineLevel="0" max="9" min="3" style="1" width="14.14"/>
    <col collapsed="false" customWidth="true" hidden="true" outlineLevel="1" max="11" min="10" style="1" width="9.57"/>
    <col collapsed="false" customWidth="true" hidden="false" outlineLevel="0" max="12" min="12" style="1" width="14.14"/>
    <col collapsed="false" customWidth="true" hidden="true" outlineLevel="1" max="14" min="13" style="1" width="9.57"/>
    <col collapsed="false" customWidth="true" hidden="false" outlineLevel="0" max="15" min="15" style="1" width="14.14"/>
    <col collapsed="false" customWidth="true" hidden="true" outlineLevel="1" max="17" min="16" style="1" width="9.57"/>
    <col collapsed="false" customWidth="true" hidden="false" outlineLevel="0" max="18" min="18" style="1" width="14.14"/>
    <col collapsed="false" customWidth="true" hidden="true" outlineLevel="1" max="20" min="19" style="1" width="9.57"/>
    <col collapsed="false" customWidth="true" hidden="false" outlineLevel="0" max="21" min="21" style="1" width="14.14"/>
    <col collapsed="false" customWidth="true" hidden="true" outlineLevel="1" max="23" min="22" style="1" width="9.57"/>
    <col collapsed="false" customWidth="true" hidden="false" outlineLevel="0" max="24" min="24" style="1" width="14.14"/>
    <col collapsed="false" customWidth="true" hidden="true" outlineLevel="1" max="26" min="25" style="1" width="9.57"/>
    <col collapsed="false" customWidth="true" hidden="false" outlineLevel="0" max="27" min="27" style="1" width="14.14"/>
    <col collapsed="false" customWidth="true" hidden="true" outlineLevel="1" max="29" min="28" style="1" width="9.57"/>
    <col collapsed="false" customWidth="true" hidden="false" outlineLevel="0" max="30" min="30" style="1" width="14.14"/>
    <col collapsed="false" customWidth="true" hidden="true" outlineLevel="1" max="32" min="31" style="1" width="9.57"/>
    <col collapsed="false" customWidth="true" hidden="false" outlineLevel="0" max="33" min="33" style="1" width="14.14"/>
    <col collapsed="false" customWidth="true" hidden="true" outlineLevel="1" max="35" min="34" style="1" width="9.57"/>
    <col collapsed="false" customWidth="true" hidden="false" outlineLevel="0" max="36" min="36" style="1" width="14.14"/>
    <col collapsed="false" customWidth="true" hidden="true" outlineLevel="1" max="38" min="37" style="1" width="9.57"/>
    <col collapsed="false" customWidth="true" hidden="false" outlineLevel="0" max="39" min="39" style="1" width="14.14"/>
    <col collapsed="false" customWidth="true" hidden="true" outlineLevel="1" max="41" min="40" style="1" width="9.57"/>
    <col collapsed="false" customWidth="true" hidden="false" outlineLevel="0" max="42" min="42" style="1" width="14.14"/>
    <col collapsed="false" customWidth="true" hidden="true" outlineLevel="1" max="44" min="43" style="1" width="9.57"/>
    <col collapsed="false" customWidth="true" hidden="false" outlineLevel="0" max="45" min="45" style="1" width="14.14"/>
    <col collapsed="false" customWidth="true" hidden="true" outlineLevel="1" max="47" min="46" style="1" width="9.57"/>
    <col collapsed="false" customWidth="true" hidden="false" outlineLevel="0" max="48" min="48" style="1" width="14.14"/>
    <col collapsed="false" customWidth="true" hidden="false" outlineLevel="1" max="49" min="49" style="1" width="9.57"/>
    <col collapsed="false" customWidth="true" hidden="false" outlineLevel="1" max="50" min="50" style="1" width="11.5"/>
    <col collapsed="false" customWidth="true" hidden="false" outlineLevel="0" max="55" min="51" style="1" width="14.14"/>
    <col collapsed="false" customWidth="true" hidden="false" outlineLevel="0" max="56" min="56" style="1" width="86.86"/>
    <col collapsed="false" customWidth="true" hidden="false" outlineLevel="0" max="57" min="57" style="1" width="2"/>
    <col collapsed="false" customWidth="true" hidden="false" outlineLevel="0" max="61" min="58" style="1" width="14.14"/>
    <col collapsed="false" customWidth="true" hidden="false" outlineLevel="0" max="62" min="62" style="1" width="2"/>
    <col collapsed="false" customWidth="true" hidden="false" outlineLevel="0" max="63" min="63" style="1" width="6"/>
    <col collapsed="false" customWidth="true" hidden="false" outlineLevel="0" max="64" min="64" style="1" width="46"/>
    <col collapsed="false" customWidth="true" hidden="false" outlineLevel="0" max="65" min="65" style="1" width="11.57"/>
    <col collapsed="false" customWidth="true" hidden="false" outlineLevel="0" max="67" min="66" style="1" width="13"/>
    <col collapsed="false" customWidth="true" hidden="false" outlineLevel="0" max="68" min="68" style="1" width="60"/>
  </cols>
  <sheetData>
    <row r="1" customFormat="false" ht="15" hidden="false" customHeight="true" outlineLevel="0" collapsed="false">
      <c r="BD1" s="2" t="s">
        <v>0</v>
      </c>
    </row>
    <row r="2" customFormat="false" ht="21" hidden="false" customHeight="true" outlineLevel="0" collapsed="false">
      <c r="B2" s="3" t="s">
        <v>1</v>
      </c>
      <c r="BD2" s="4" t="s">
        <v>2</v>
      </c>
    </row>
    <row r="3" customFormat="false" ht="15" hidden="false" customHeight="true" outlineLevel="0" collapsed="false">
      <c r="B3" s="5" t="s">
        <v>3</v>
      </c>
    </row>
    <row r="4" customFormat="false" ht="15" hidden="false" customHeight="true" outlineLevel="0" collapsed="false">
      <c r="B4" s="6" t="s">
        <v>4</v>
      </c>
    </row>
    <row r="5" customFormat="false" ht="15" hidden="false" customHeight="true" outlineLevel="0" collapsed="false">
      <c r="AX5" s="7"/>
      <c r="AY5" s="7"/>
      <c r="AZ5" s="7"/>
      <c r="BA5" s="7"/>
      <c r="BB5" s="7"/>
      <c r="BC5" s="7"/>
      <c r="BF5" s="8" t="s">
        <v>5</v>
      </c>
      <c r="BG5" s="8" t="s">
        <v>6</v>
      </c>
      <c r="BH5" s="8" t="s">
        <v>6</v>
      </c>
      <c r="BI5" s="8" t="s">
        <v>6</v>
      </c>
    </row>
    <row r="6" customFormat="false" ht="15" hidden="false" customHeight="true" outlineLevel="0" collapsed="false">
      <c r="B6" s="9" t="s">
        <v>7</v>
      </c>
      <c r="C6" s="10" t="n">
        <v>2006</v>
      </c>
      <c r="D6" s="10" t="n">
        <v>2007</v>
      </c>
      <c r="E6" s="10" t="n">
        <v>2008</v>
      </c>
      <c r="F6" s="10" t="n">
        <v>2009</v>
      </c>
      <c r="G6" s="10" t="n">
        <v>2010</v>
      </c>
      <c r="H6" s="10" t="n">
        <v>2011</v>
      </c>
      <c r="I6" s="10" t="n">
        <v>2012</v>
      </c>
      <c r="J6" s="10" t="s">
        <v>8</v>
      </c>
      <c r="K6" s="10" t="s">
        <v>9</v>
      </c>
      <c r="L6" s="10" t="n">
        <v>2013</v>
      </c>
      <c r="M6" s="10" t="s">
        <v>10</v>
      </c>
      <c r="N6" s="10" t="s">
        <v>11</v>
      </c>
      <c r="O6" s="10" t="n">
        <v>2014</v>
      </c>
      <c r="P6" s="10" t="s">
        <v>12</v>
      </c>
      <c r="Q6" s="10" t="s">
        <v>13</v>
      </c>
      <c r="R6" s="10" t="n">
        <v>2015</v>
      </c>
      <c r="S6" s="10" t="s">
        <v>14</v>
      </c>
      <c r="T6" s="10" t="s">
        <v>15</v>
      </c>
      <c r="U6" s="10" t="n">
        <v>2016</v>
      </c>
      <c r="V6" s="10" t="s">
        <v>16</v>
      </c>
      <c r="W6" s="10" t="s">
        <v>17</v>
      </c>
      <c r="X6" s="10" t="n">
        <v>2017</v>
      </c>
      <c r="Y6" s="10" t="s">
        <v>18</v>
      </c>
      <c r="Z6" s="10" t="s">
        <v>19</v>
      </c>
      <c r="AA6" s="10" t="n">
        <v>2018</v>
      </c>
      <c r="AB6" s="10" t="s">
        <v>20</v>
      </c>
      <c r="AC6" s="10" t="s">
        <v>21</v>
      </c>
      <c r="AD6" s="10" t="n">
        <v>2019</v>
      </c>
      <c r="AE6" s="10" t="s">
        <v>22</v>
      </c>
      <c r="AF6" s="10" t="s">
        <v>23</v>
      </c>
      <c r="AG6" s="10" t="n">
        <v>2020</v>
      </c>
      <c r="AH6" s="10" t="s">
        <v>24</v>
      </c>
      <c r="AI6" s="10" t="s">
        <v>25</v>
      </c>
      <c r="AJ6" s="10" t="n">
        <v>2021</v>
      </c>
      <c r="AK6" s="10" t="s">
        <v>26</v>
      </c>
      <c r="AL6" s="10" t="s">
        <v>27</v>
      </c>
      <c r="AM6" s="10" t="n">
        <v>2022</v>
      </c>
      <c r="AN6" s="10" t="s">
        <v>28</v>
      </c>
      <c r="AO6" s="10" t="s">
        <v>29</v>
      </c>
      <c r="AP6" s="10" t="n">
        <v>2023</v>
      </c>
      <c r="AQ6" s="10" t="s">
        <v>30</v>
      </c>
      <c r="AR6" s="10" t="s">
        <v>31</v>
      </c>
      <c r="AS6" s="10" t="n">
        <v>2024</v>
      </c>
      <c r="AT6" s="10" t="s">
        <v>32</v>
      </c>
      <c r="AU6" s="10" t="s">
        <v>33</v>
      </c>
      <c r="AV6" s="10" t="n">
        <v>2025</v>
      </c>
      <c r="AW6" s="10" t="s">
        <v>34</v>
      </c>
      <c r="AX6" s="10" t="s">
        <v>35</v>
      </c>
      <c r="AY6" s="10" t="s">
        <v>36</v>
      </c>
      <c r="AZ6" s="10" t="s">
        <v>37</v>
      </c>
      <c r="BA6" s="10" t="s">
        <v>38</v>
      </c>
      <c r="BB6" s="10" t="s">
        <v>39</v>
      </c>
      <c r="BC6" s="10" t="s">
        <v>40</v>
      </c>
      <c r="BD6" s="10" t="s">
        <v>41</v>
      </c>
      <c r="BF6" s="8" t="s">
        <v>42</v>
      </c>
      <c r="BG6" s="8" t="s">
        <v>42</v>
      </c>
      <c r="BH6" s="8" t="s">
        <v>43</v>
      </c>
      <c r="BI6" s="8" t="s">
        <v>44</v>
      </c>
    </row>
    <row r="7" customFormat="false" ht="15" hidden="false" customHeight="true" outlineLevel="0" collapsed="false">
      <c r="BF7" s="11" t="s">
        <v>45</v>
      </c>
      <c r="BG7" s="11" t="s">
        <v>46</v>
      </c>
      <c r="BH7" s="11" t="s">
        <v>47</v>
      </c>
      <c r="BI7" s="11" t="s">
        <v>48</v>
      </c>
    </row>
    <row r="8" customFormat="false" ht="15" hidden="false" customHeight="true" outlineLevel="0" collapsed="false">
      <c r="B8" s="12" t="s">
        <v>49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 t="s">
        <v>50</v>
      </c>
    </row>
    <row r="9" customFormat="false" ht="15" hidden="false" customHeight="true" outlineLevel="0" collapsed="false">
      <c r="B9" s="13"/>
      <c r="AX9" s="7"/>
      <c r="AY9" s="7"/>
      <c r="AZ9" s="7"/>
      <c r="BA9" s="7"/>
      <c r="BB9" s="7"/>
      <c r="BC9" s="7"/>
      <c r="BD9" s="7"/>
      <c r="BL9" s="14" t="s">
        <v>51</v>
      </c>
      <c r="BM9" s="15" t="s">
        <v>52</v>
      </c>
      <c r="BN9" s="15" t="s">
        <v>2</v>
      </c>
      <c r="BO9" s="15" t="s">
        <v>53</v>
      </c>
      <c r="BP9" s="16" t="s">
        <v>54</v>
      </c>
    </row>
    <row r="10" customFormat="false" ht="15" hidden="false" customHeight="true" outlineLevel="0" collapsed="false">
      <c r="B10" s="17" t="s">
        <v>55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8" t="s">
        <v>56</v>
      </c>
    </row>
    <row r="11" customFormat="false" ht="15" hidden="false" customHeight="true" outlineLevel="0" collapsed="false">
      <c r="B11" s="19" t="s">
        <v>57</v>
      </c>
      <c r="C11" s="20"/>
      <c r="D11" s="20"/>
      <c r="E11" s="20"/>
      <c r="F11" s="21" t="n">
        <v>936</v>
      </c>
      <c r="G11" s="21" t="n">
        <v>1205</v>
      </c>
      <c r="H11" s="21" t="n">
        <v>1348</v>
      </c>
      <c r="I11" s="21" t="n">
        <v>1596.6</v>
      </c>
      <c r="J11" s="21" t="n">
        <v>779.9</v>
      </c>
      <c r="K11" s="20" t="n">
        <f aca="false">L11-J11</f>
        <v>853.9</v>
      </c>
      <c r="L11" s="21" t="n">
        <v>1633.8</v>
      </c>
      <c r="M11" s="21" t="n">
        <v>840.7</v>
      </c>
      <c r="N11" s="20" t="n">
        <f aca="false">O11-M11</f>
        <v>1001.4</v>
      </c>
      <c r="O11" s="21" t="n">
        <v>1842.1</v>
      </c>
      <c r="P11" s="21" t="n">
        <v>1067.4</v>
      </c>
      <c r="Q11" s="20" t="n">
        <f aca="false">R11-P11</f>
        <v>1206.9</v>
      </c>
      <c r="R11" s="21" t="n">
        <v>2274.3</v>
      </c>
      <c r="S11" s="21" t="n">
        <v>1231.2</v>
      </c>
      <c r="T11" s="20" t="n">
        <f aca="false">U11-S11</f>
        <v>1372.5</v>
      </c>
      <c r="U11" s="21" t="n">
        <v>2603.7</v>
      </c>
      <c r="V11" s="21" t="n">
        <v>1404</v>
      </c>
      <c r="W11" s="20" t="n">
        <f aca="false">X11-V11</f>
        <v>1396.3</v>
      </c>
      <c r="X11" s="21" t="n">
        <v>2800.3</v>
      </c>
      <c r="Y11" s="21" t="n">
        <v>1425.1</v>
      </c>
      <c r="Z11" s="20" t="n">
        <f aca="false">AA11-Y11</f>
        <v>1550.7</v>
      </c>
      <c r="AA11" s="21" t="n">
        <v>2975.8</v>
      </c>
      <c r="AB11" s="21" t="n">
        <v>1652.4</v>
      </c>
      <c r="AC11" s="20" t="n">
        <f aca="false">AD11-AB11</f>
        <v>1761.9</v>
      </c>
      <c r="AD11" s="21" t="n">
        <v>3414.3</v>
      </c>
      <c r="AE11" s="21" t="n">
        <v>1280.1</v>
      </c>
      <c r="AF11" s="20" t="n">
        <f aca="false">AG11-AE11</f>
        <v>1929.1</v>
      </c>
      <c r="AG11" s="21" t="n">
        <v>3209.2</v>
      </c>
      <c r="AH11" s="21" t="n">
        <v>1999.3</v>
      </c>
      <c r="AI11" s="20" t="n">
        <f aca="false">AJ11-AH11</f>
        <v>2091.7</v>
      </c>
      <c r="AJ11" s="21" t="n">
        <v>4091</v>
      </c>
      <c r="AK11" s="21" t="n">
        <v>2358</v>
      </c>
      <c r="AL11" s="20" t="n">
        <f aca="false">AM11-AK11</f>
        <v>2605</v>
      </c>
      <c r="AM11" s="21" t="n">
        <v>4963</v>
      </c>
      <c r="AN11" s="21" t="n">
        <v>2780</v>
      </c>
      <c r="AO11" s="20" t="n">
        <f aca="false">AP11-AN11</f>
        <v>2767</v>
      </c>
      <c r="AP11" s="21" t="n">
        <v>5547</v>
      </c>
      <c r="AQ11" s="21" t="n">
        <v>3215</v>
      </c>
      <c r="AR11" s="20" t="n">
        <f aca="false">AS11-AQ11</f>
        <v>3242</v>
      </c>
      <c r="AS11" s="21" t="n">
        <v>6457</v>
      </c>
      <c r="AT11" s="21" t="n">
        <v>3578</v>
      </c>
      <c r="AU11" s="20" t="n">
        <f aca="false">AV11-AT11</f>
        <v>3492</v>
      </c>
      <c r="AV11" s="21" t="n">
        <v>7070</v>
      </c>
      <c r="AW11" s="21" t="n">
        <v>3761</v>
      </c>
      <c r="AX11" s="22" t="n">
        <f aca="false">AU11*(1+AX13+AX64)</f>
        <v>3701.52</v>
      </c>
      <c r="AY11" s="22" t="n">
        <f aca="false">AW11+AX11</f>
        <v>7462.52</v>
      </c>
      <c r="AZ11" s="22" t="n">
        <f aca="false">AY11*(1+AZ13+AZ64)</f>
        <v>8134.1468</v>
      </c>
      <c r="BA11" s="22" t="n">
        <f aca="false">AZ11*(1+BA13+BA64)</f>
        <v>8866.220012</v>
      </c>
      <c r="BB11" s="22" t="n">
        <f aca="false">BA11*(1+BB13+BB64)</f>
        <v>9619.84871302</v>
      </c>
      <c r="BC11" s="22" t="n">
        <f aca="false">BB11*(1+BC13+BC64)</f>
        <v>10389.4366100616</v>
      </c>
      <c r="BD11" s="23" t="s">
        <v>58</v>
      </c>
      <c r="BF11" s="24" t="n">
        <f aca="false">IFERROR((BC11/AV11)^(1/5)-1,"n/m")</f>
        <v>0.0800267613931471</v>
      </c>
      <c r="BG11" s="24" t="n">
        <f aca="false">IFERROR((AV11/AG11)^(1/5)-1,"n/m")</f>
        <v>0.171128435749687</v>
      </c>
      <c r="BH11" s="24" t="n">
        <f aca="false">IFERROR((AV11/R11)^(1/10)-1,"n/m")</f>
        <v>0.120100951727497</v>
      </c>
      <c r="BI11" s="24" t="str">
        <f aca="false">IFERROR((AV11/C11)^(1/19)-1,"n/m")</f>
        <v>n/m</v>
      </c>
      <c r="BL11" s="18" t="s">
        <v>59</v>
      </c>
      <c r="BM11" s="25"/>
      <c r="BN11" s="25"/>
      <c r="BO11" s="25"/>
    </row>
    <row r="12" customFormat="false" ht="15" hidden="false" customHeight="true" outlineLevel="0" collapsed="false">
      <c r="B12" s="26" t="s">
        <v>60</v>
      </c>
      <c r="C12" s="27"/>
      <c r="D12" s="27" t="str">
        <f aca="false">IF(AND(ISNUMBER(D11),ISNUMBER(C11)),IFERROR(D11/C11-1,""),"")</f>
        <v/>
      </c>
      <c r="E12" s="27" t="str">
        <f aca="false">IF(AND(ISNUMBER(E11),ISNUMBER(D11)),IFERROR(E11/D11-1,""),"")</f>
        <v/>
      </c>
      <c r="F12" s="27" t="str">
        <f aca="false">IF(AND(ISNUMBER(F11),ISNUMBER(E11)),IFERROR(F11/E11-1,""),"")</f>
        <v/>
      </c>
      <c r="G12" s="27" t="n">
        <f aca="false">IF(AND(ISNUMBER(G11),ISNUMBER(F11)),IFERROR(G11/F11-1,""),"")</f>
        <v>0.287393162393163</v>
      </c>
      <c r="H12" s="27" t="n">
        <f aca="false">IF(AND(ISNUMBER(H11),ISNUMBER(G11)),IFERROR(H11/G11-1,""),"")</f>
        <v>0.118672199170125</v>
      </c>
      <c r="I12" s="27" t="n">
        <f aca="false">IF(AND(ISNUMBER(I11),ISNUMBER(H11)),IFERROR(I11/H11-1,""),"")</f>
        <v>0.184421364985163</v>
      </c>
      <c r="J12" s="27"/>
      <c r="K12" s="27"/>
      <c r="L12" s="27" t="n">
        <f aca="false">IF(AND(ISNUMBER(L11),ISNUMBER(I11)),IFERROR(L11/I11-1,""),"")</f>
        <v>0.0232995114618564</v>
      </c>
      <c r="M12" s="27" t="n">
        <f aca="false">IF(AND(ISNUMBER(M11),ISNUMBER(J11)),IFERROR(M11/J11-1,""),"")</f>
        <v>0.0779587126554688</v>
      </c>
      <c r="N12" s="27" t="n">
        <f aca="false">IF(AND(ISNUMBER(N11),ISNUMBER(K11)),IFERROR(N11/K11-1,""),"")</f>
        <v>0.172736854432603</v>
      </c>
      <c r="O12" s="27" t="n">
        <f aca="false">IF(AND(ISNUMBER(O11),ISNUMBER(L11)),IFERROR(O11/L11-1,""),"")</f>
        <v>0.127494185334802</v>
      </c>
      <c r="P12" s="27" t="n">
        <f aca="false">IF(AND(ISNUMBER(P11),ISNUMBER(M11)),IFERROR(P11/M11-1,""),"")</f>
        <v>0.269656238848579</v>
      </c>
      <c r="Q12" s="27" t="n">
        <f aca="false">IF(AND(ISNUMBER(Q11),ISNUMBER(N11)),IFERROR(Q11/N11-1,""),"")</f>
        <v>0.205212702216897</v>
      </c>
      <c r="R12" s="27" t="n">
        <f aca="false">IF(AND(ISNUMBER(R11),ISNUMBER(O11)),IFERROR(R11/O11-1,""),"")</f>
        <v>0.234623527495793</v>
      </c>
      <c r="S12" s="27" t="n">
        <f aca="false">IF(AND(ISNUMBER(S11),ISNUMBER(P11)),IFERROR(S11/P11-1,""),"")</f>
        <v>0.153456998313659</v>
      </c>
      <c r="T12" s="27" t="n">
        <f aca="false">IF(AND(ISNUMBER(T11),ISNUMBER(Q11)),IFERROR(T11/Q11-1,""),"")</f>
        <v>0.137211036539895</v>
      </c>
      <c r="U12" s="27" t="n">
        <f aca="false">IF(AND(ISNUMBER(U11),ISNUMBER(R11)),IFERROR(U11/R11-1,""),"")</f>
        <v>0.144835773644638</v>
      </c>
      <c r="V12" s="27" t="n">
        <f aca="false">IF(AND(ISNUMBER(V11),ISNUMBER(S11)),IFERROR(V11/S11-1,""),"")</f>
        <v>0.140350877192982</v>
      </c>
      <c r="W12" s="27" t="n">
        <f aca="false">IF(AND(ISNUMBER(W11),ISNUMBER(T11)),IFERROR(W11/T11-1,""),"")</f>
        <v>0.0173406193078327</v>
      </c>
      <c r="X12" s="27" t="n">
        <f aca="false">IF(AND(ISNUMBER(X11),ISNUMBER(U11)),IFERROR(X11/U11-1,""),"")</f>
        <v>0.0755079310212392</v>
      </c>
      <c r="Y12" s="27" t="n">
        <f aca="false">IF(AND(ISNUMBER(Y11),ISNUMBER(V11)),IFERROR(Y11/V11-1,""),"")</f>
        <v>0.01502849002849</v>
      </c>
      <c r="Z12" s="27" t="n">
        <f aca="false">IF(AND(ISNUMBER(Z11),ISNUMBER(W11)),IFERROR(Z11/W11-1,""),"")</f>
        <v>0.110577956026642</v>
      </c>
      <c r="AA12" s="27" t="n">
        <f aca="false">IF(AND(ISNUMBER(AA11),ISNUMBER(X11)),IFERROR(AA11/X11-1,""),"")</f>
        <v>0.0626718565867943</v>
      </c>
      <c r="AB12" s="27" t="n">
        <f aca="false">IF(AND(ISNUMBER(AB11),ISNUMBER(Y11)),IFERROR(AB11/Y11-1,""),"")</f>
        <v>0.159497579117255</v>
      </c>
      <c r="AC12" s="27" t="n">
        <f aca="false">IF(AND(ISNUMBER(AC11),ISNUMBER(Z11)),IFERROR(AC11/Z11-1,""),"")</f>
        <v>0.136196556393887</v>
      </c>
      <c r="AD12" s="27" t="n">
        <f aca="false">IF(AND(ISNUMBER(AD11),ISNUMBER(AA11)),IFERROR(AD11/AA11-1,""),"")</f>
        <v>0.147355333019692</v>
      </c>
      <c r="AE12" s="27" t="n">
        <f aca="false">IF(AND(ISNUMBER(AE11),ISNUMBER(AB11)),IFERROR(AE11/AB11-1,""),"")</f>
        <v>-0.225308641975309</v>
      </c>
      <c r="AF12" s="27" t="n">
        <f aca="false">IF(AND(ISNUMBER(AF11),ISNUMBER(AC11)),IFERROR(AF11/AC11-1,""),"")</f>
        <v>0.0948975537771724</v>
      </c>
      <c r="AG12" s="27" t="n">
        <f aca="false">IF(AND(ISNUMBER(AG11),ISNUMBER(AD11)),IFERROR(AG11/AD11-1,""),"")</f>
        <v>-0.0600708783645257</v>
      </c>
      <c r="AH12" s="27" t="n">
        <f aca="false">IF(AND(ISNUMBER(AH11),ISNUMBER(AE11)),IFERROR(AH11/AE11-1,""),"")</f>
        <v>0.56183110694477</v>
      </c>
      <c r="AI12" s="27" t="n">
        <f aca="false">IF(AND(ISNUMBER(AI11),ISNUMBER(AF11)),IFERROR(AI11/AF11-1,""),"")</f>
        <v>0.0842880099528276</v>
      </c>
      <c r="AJ12" s="27" t="n">
        <f aca="false">IF(AND(ISNUMBER(AJ11),ISNUMBER(AG11)),IFERROR(AJ11/AG11-1,""),"")</f>
        <v>0.274772528979185</v>
      </c>
      <c r="AK12" s="27" t="n">
        <f aca="false">IF(AND(ISNUMBER(AK11),ISNUMBER(AH11)),IFERROR(AK11/AH11-1,""),"")</f>
        <v>0.179412794478067</v>
      </c>
      <c r="AL12" s="27" t="n">
        <f aca="false">IF(AND(ISNUMBER(AL11),ISNUMBER(AI11)),IFERROR(AL11/AI11-1,""),"")</f>
        <v>0.245398479705503</v>
      </c>
      <c r="AM12" s="27" t="n">
        <f aca="false">IF(AND(ISNUMBER(AM11),ISNUMBER(AJ11)),IFERROR(AM11/AJ11-1,""),"")</f>
        <v>0.213150818870692</v>
      </c>
      <c r="AN12" s="27" t="n">
        <f aca="false">IF(AND(ISNUMBER(AN11),ISNUMBER(AK11)),IFERROR(AN11/AK11-1,""),"")</f>
        <v>0.178965224766751</v>
      </c>
      <c r="AO12" s="27" t="n">
        <f aca="false">IF(AND(ISNUMBER(AO11),ISNUMBER(AL11)),IFERROR(AO11/AL11-1,""),"")</f>
        <v>0.0621880998080615</v>
      </c>
      <c r="AP12" s="27" t="n">
        <f aca="false">IF(AND(ISNUMBER(AP11),ISNUMBER(AM11)),IFERROR(AP11/AM11-1,""),"")</f>
        <v>0.117670763651017</v>
      </c>
      <c r="AQ12" s="27" t="n">
        <f aca="false">IF(AND(ISNUMBER(AQ11),ISNUMBER(AN11)),IFERROR(AQ11/AN11-1,""),"")</f>
        <v>0.156474820143885</v>
      </c>
      <c r="AR12" s="27" t="n">
        <f aca="false">IF(AND(ISNUMBER(AR11),ISNUMBER(AO11)),IFERROR(AR11/AO11-1,""),"")</f>
        <v>0.171666064329599</v>
      </c>
      <c r="AS12" s="27" t="n">
        <f aca="false">IF(AND(ISNUMBER(AS11),ISNUMBER(AP11)),IFERROR(AS11/AP11-1,""),"")</f>
        <v>0.164052641067244</v>
      </c>
      <c r="AT12" s="27" t="n">
        <f aca="false">IF(AND(ISNUMBER(AT11),ISNUMBER(AQ11)),IFERROR(AT11/AQ11-1,""),"")</f>
        <v>0.112908242612753</v>
      </c>
      <c r="AU12" s="27" t="n">
        <f aca="false">IF(AND(ISNUMBER(AU11),ISNUMBER(AR11)),IFERROR(AU11/AR11-1,""),"")</f>
        <v>0.0771128932757557</v>
      </c>
      <c r="AV12" s="27" t="n">
        <f aca="false">IF(AND(ISNUMBER(AV11),ISNUMBER(AS11)),IFERROR(AV11/AS11-1,""),"")</f>
        <v>0.0949357286665635</v>
      </c>
      <c r="AW12" s="27" t="n">
        <f aca="false">IF(AND(ISNUMBER(AW11),ISNUMBER(AT11)),IFERROR(AW11/AT11-1,""),"")</f>
        <v>0.0511458915595304</v>
      </c>
      <c r="AX12" s="28" t="n">
        <f aca="false">IF(AND(ISNUMBER(AX11),ISNUMBER(AU11)),IFERROR(AX11/AU11-1,""),"")</f>
        <v>0.0600000000000001</v>
      </c>
      <c r="AY12" s="28" t="n">
        <f aca="false">IF(AND(ISNUMBER(AY11),ISNUMBER(AV11)),IFERROR(AY11/AV11-1,""),"")</f>
        <v>0.0555190947666195</v>
      </c>
      <c r="AZ12" s="28" t="n">
        <f aca="false">IF(AND(ISNUMBER(AZ11),ISNUMBER(AY11)),IFERROR(AZ11/AY11-1,""),"")</f>
        <v>0.0900000000000001</v>
      </c>
      <c r="BA12" s="28" t="n">
        <f aca="false">IF(AND(ISNUMBER(BA11),ISNUMBER(AZ11)),IFERROR(BA11/AZ11-1,""),"")</f>
        <v>0.0900000000000001</v>
      </c>
      <c r="BB12" s="28" t="n">
        <f aca="false">IF(AND(ISNUMBER(BB11),ISNUMBER(BA11)),IFERROR(BB11/BA11-1,""),"")</f>
        <v>0.085</v>
      </c>
      <c r="BC12" s="28" t="n">
        <f aca="false">IF(AND(ISNUMBER(BC11),ISNUMBER(BB11)),IFERROR(BC11/BB11-1,""),"")</f>
        <v>0.0800000000000001</v>
      </c>
      <c r="BD12" s="23"/>
      <c r="BF12" s="7"/>
      <c r="BG12" s="7"/>
      <c r="BH12" s="7"/>
      <c r="BI12" s="7"/>
      <c r="BL12" s="13" t="s">
        <v>61</v>
      </c>
      <c r="BM12" s="29" t="n">
        <v>-0.02</v>
      </c>
      <c r="BN12" s="29" t="n">
        <v>-0.03</v>
      </c>
      <c r="BO12" s="29" t="n">
        <v>-0.05</v>
      </c>
      <c r="BP12" s="16" t="s">
        <v>62</v>
      </c>
    </row>
    <row r="13" customFormat="false" ht="15" hidden="false" customHeight="true" outlineLevel="0" collapsed="false">
      <c r="B13" s="26" t="s">
        <v>63</v>
      </c>
      <c r="C13" s="30"/>
      <c r="D13" s="30"/>
      <c r="E13" s="30"/>
      <c r="F13" s="30"/>
      <c r="G13" s="31" t="n">
        <v>0.208</v>
      </c>
      <c r="H13" s="31" t="n">
        <v>0.115</v>
      </c>
      <c r="I13" s="31" t="n">
        <v>0.118</v>
      </c>
      <c r="J13" s="31" t="n">
        <v>0.099</v>
      </c>
      <c r="K13" s="30"/>
      <c r="L13" s="31" t="n">
        <v>0.088</v>
      </c>
      <c r="M13" s="31" t="n">
        <v>0.126</v>
      </c>
      <c r="N13" s="30"/>
      <c r="O13" s="31" t="n">
        <v>0.146</v>
      </c>
      <c r="P13" s="31" t="n">
        <v>0.136</v>
      </c>
      <c r="Q13" s="30"/>
      <c r="R13" s="31" t="n">
        <v>0.126</v>
      </c>
      <c r="S13" s="31" t="n">
        <v>0.163</v>
      </c>
      <c r="T13" s="30"/>
      <c r="U13" s="31" t="n">
        <v>0.14</v>
      </c>
      <c r="V13" s="31" t="n">
        <v>0.122</v>
      </c>
      <c r="W13" s="30"/>
      <c r="X13" s="31" t="n">
        <v>0.097</v>
      </c>
      <c r="Y13" s="31" t="n">
        <v>0.08</v>
      </c>
      <c r="Z13" s="30"/>
      <c r="AA13" s="31" t="n">
        <v>0.094</v>
      </c>
      <c r="AB13" s="31" t="n">
        <v>0.124</v>
      </c>
      <c r="AC13" s="30"/>
      <c r="AD13" s="31" t="n">
        <v>0.113</v>
      </c>
      <c r="AE13" s="31" t="n">
        <v>-0.233</v>
      </c>
      <c r="AF13" s="30"/>
      <c r="AG13" s="31" t="n">
        <v>-0.048</v>
      </c>
      <c r="AH13" s="31" t="n">
        <v>0.629</v>
      </c>
      <c r="AI13" s="30"/>
      <c r="AJ13" s="31" t="n">
        <v>0.289</v>
      </c>
      <c r="AK13" s="31" t="n">
        <v>0.121</v>
      </c>
      <c r="AL13" s="30"/>
      <c r="AM13" s="31" t="n">
        <v>0.156</v>
      </c>
      <c r="AN13" s="31" t="n">
        <v>0.208</v>
      </c>
      <c r="AO13" s="30"/>
      <c r="AP13" s="31" t="n">
        <v>0.167</v>
      </c>
      <c r="AQ13" s="31" t="n">
        <v>0.191</v>
      </c>
      <c r="AR13" s="30"/>
      <c r="AS13" s="31" t="n">
        <v>0.183</v>
      </c>
      <c r="AT13" s="31" t="n">
        <v>0.124</v>
      </c>
      <c r="AU13" s="30"/>
      <c r="AV13" s="31" t="n">
        <v>0.131</v>
      </c>
      <c r="AW13" s="31" t="n">
        <v>0.098</v>
      </c>
      <c r="AX13" s="28" t="n">
        <f aca="false">CHOOSE(MATCH($BD$2,{"Bull","Base","Bear"},0),$BM$19,$BN$19,$BO$19)</f>
        <v>0.09</v>
      </c>
      <c r="AY13" s="28" t="n">
        <f aca="false">(AT11*(1+AW13)+AU11*(1+AX13))/AV11-1</f>
        <v>0.0940486562942009</v>
      </c>
      <c r="AZ13" s="28" t="n">
        <f aca="false">CHOOSE(MATCH($BD$2,{"Bull","Base","Bear"},0),$BM$20,$BN$20,$BO$20)</f>
        <v>0.09</v>
      </c>
      <c r="BA13" s="28" t="n">
        <f aca="false">CHOOSE(MATCH($BD$2,{"Bull","Base","Bear"},0),$BM$21,$BN$21,$BO$21)</f>
        <v>0.09</v>
      </c>
      <c r="BB13" s="28" t="n">
        <f aca="false">CHOOSE(MATCH($BD$2,{"Bull","Base","Bear"},0),$BM$22,$BN$22,$BO$22)</f>
        <v>0.085</v>
      </c>
      <c r="BC13" s="28" t="n">
        <f aca="false">CHOOSE(MATCH($BD$2,{"Bull","Base","Bear"},0),$BM$23,$BN$23,$BO$23)</f>
        <v>0.08</v>
      </c>
      <c r="BD13" s="23" t="s">
        <v>64</v>
      </c>
      <c r="BF13" s="32" t="n">
        <f aca="false">IFERROR(AVERAGE(AY13,AZ13,BA13,BB13,BC13),"n/m")</f>
        <v>0.0878097312588402</v>
      </c>
      <c r="BG13" s="32" t="n">
        <f aca="false">IFERROR(AVERAGE(AJ13,AM13,AP13,AS13,AV13),"n/m")</f>
        <v>0.1852</v>
      </c>
      <c r="BH13" s="32" t="n">
        <f aca="false">IFERROR(AVERAGE(U13,X13,AA13,AD13,AG13,AJ13,AM13,AP13,AS13,AV13),"n/m")</f>
        <v>0.1322</v>
      </c>
      <c r="BI13" s="32" t="n">
        <f aca="false">IFERROR(AVERAGE(C13,D13,E13,F13,G13,H13,I13,L13,O13,R13,U13,X13,AA13,AD13,AG13,AJ13,AM13,AP13,AS13,AV13),"n/m")</f>
        <v>0.1326875</v>
      </c>
      <c r="BL13" s="13" t="s">
        <v>65</v>
      </c>
      <c r="BN13" s="29" t="n">
        <v>0.33</v>
      </c>
      <c r="BP13" s="16" t="s">
        <v>66</v>
      </c>
    </row>
    <row r="14" customFormat="false" ht="15" hidden="false" customHeight="true" outlineLevel="0" collapsed="false">
      <c r="B14" s="26" t="s">
        <v>67</v>
      </c>
      <c r="C14" s="30" t="str">
        <f aca="false">IF(AND(ISNUMBER(C12),ISNUMBER(C13)),C12-C13,"")</f>
        <v/>
      </c>
      <c r="D14" s="30" t="str">
        <f aca="false">IF(AND(ISNUMBER(D12),ISNUMBER(D13)),D12-D13,"")</f>
        <v/>
      </c>
      <c r="E14" s="30" t="str">
        <f aca="false">IF(AND(ISNUMBER(E12),ISNUMBER(E13)),E12-E13,"")</f>
        <v/>
      </c>
      <c r="F14" s="30" t="str">
        <f aca="false">IF(AND(ISNUMBER(F12),ISNUMBER(F13)),F12-F13,"")</f>
        <v/>
      </c>
      <c r="G14" s="30" t="n">
        <f aca="false">IF(AND(ISNUMBER(G12),ISNUMBER(G13)),G12-G13,"")</f>
        <v>0.0793931623931625</v>
      </c>
      <c r="H14" s="30" t="n">
        <f aca="false">IF(AND(ISNUMBER(H12),ISNUMBER(H13)),H12-H13,"")</f>
        <v>0.0036721991701245</v>
      </c>
      <c r="I14" s="30" t="n">
        <f aca="false">IF(AND(ISNUMBER(I12),ISNUMBER(I13)),I12-I13,"")</f>
        <v>0.0664213649851632</v>
      </c>
      <c r="J14" s="30" t="str">
        <f aca="false">IF(AND(ISNUMBER(J12),ISNUMBER(J13)),J12-J13,"")</f>
        <v/>
      </c>
      <c r="K14" s="30" t="str">
        <f aca="false">IF(AND(ISNUMBER(K12),ISNUMBER(K13)),K12-K13,"")</f>
        <v/>
      </c>
      <c r="L14" s="30" t="n">
        <f aca="false">IF(AND(ISNUMBER(L12),ISNUMBER(L13)),L12-L13,"")</f>
        <v>-0.0647004885381436</v>
      </c>
      <c r="M14" s="30" t="n">
        <f aca="false">IF(AND(ISNUMBER(M12),ISNUMBER(M13)),M12-M13,"")</f>
        <v>-0.0480412873445312</v>
      </c>
      <c r="N14" s="30" t="str">
        <f aca="false">IF(AND(ISNUMBER(N12),ISNUMBER(N13)),N12-N13,"")</f>
        <v/>
      </c>
      <c r="O14" s="30" t="n">
        <f aca="false">IF(AND(ISNUMBER(O12),ISNUMBER(O13)),O12-O13,"")</f>
        <v>-0.0185058146651978</v>
      </c>
      <c r="P14" s="30" t="n">
        <f aca="false">IF(AND(ISNUMBER(P12),ISNUMBER(P13)),P12-P13,"")</f>
        <v>0.133656238848579</v>
      </c>
      <c r="Q14" s="30" t="str">
        <f aca="false">IF(AND(ISNUMBER(Q12),ISNUMBER(Q13)),Q12-Q13,"")</f>
        <v/>
      </c>
      <c r="R14" s="30" t="n">
        <f aca="false">IF(AND(ISNUMBER(R12),ISNUMBER(R13)),R12-R13,"")</f>
        <v>0.108623527495793</v>
      </c>
      <c r="S14" s="30" t="n">
        <f aca="false">IF(AND(ISNUMBER(S12),ISNUMBER(S13)),S12-S13,"")</f>
        <v>-0.00954300168634067</v>
      </c>
      <c r="T14" s="30" t="str">
        <f aca="false">IF(AND(ISNUMBER(T12),ISNUMBER(T13)),T12-T13,"")</f>
        <v/>
      </c>
      <c r="U14" s="30" t="n">
        <f aca="false">IF(AND(ISNUMBER(U12),ISNUMBER(U13)),U12-U13,"")</f>
        <v>0.00483577364463772</v>
      </c>
      <c r="V14" s="30" t="n">
        <f aca="false">IF(AND(ISNUMBER(V12),ISNUMBER(V13)),V12-V13,"")</f>
        <v>0.0183508771929825</v>
      </c>
      <c r="W14" s="30" t="str">
        <f aca="false">IF(AND(ISNUMBER(W12),ISNUMBER(W13)),W12-W13,"")</f>
        <v/>
      </c>
      <c r="X14" s="30" t="n">
        <f aca="false">IF(AND(ISNUMBER(X12),ISNUMBER(X13)),X12-X13,"")</f>
        <v>-0.0214920689787608</v>
      </c>
      <c r="Y14" s="30" t="n">
        <f aca="false">IF(AND(ISNUMBER(Y12),ISNUMBER(Y13)),Y12-Y13,"")</f>
        <v>-0.06497150997151</v>
      </c>
      <c r="Z14" s="30" t="str">
        <f aca="false">IF(AND(ISNUMBER(Z12),ISNUMBER(Z13)),Z12-Z13,"")</f>
        <v/>
      </c>
      <c r="AA14" s="30" t="n">
        <f aca="false">IF(AND(ISNUMBER(AA12),ISNUMBER(AA13)),AA12-AA13,"")</f>
        <v>-0.0313281434132057</v>
      </c>
      <c r="AB14" s="30" t="n">
        <f aca="false">IF(AND(ISNUMBER(AB12),ISNUMBER(AB13)),AB12-AB13,"")</f>
        <v>0.035497579117255</v>
      </c>
      <c r="AC14" s="30" t="str">
        <f aca="false">IF(AND(ISNUMBER(AC12),ISNUMBER(AC13)),AC12-AC13,"")</f>
        <v/>
      </c>
      <c r="AD14" s="30" t="n">
        <f aca="false">IF(AND(ISNUMBER(AD12),ISNUMBER(AD13)),AD12-AD13,"")</f>
        <v>0.0343553330196922</v>
      </c>
      <c r="AE14" s="30" t="n">
        <f aca="false">IF(AND(ISNUMBER(AE12),ISNUMBER(AE13)),AE12-AE13,"")</f>
        <v>0.00769135802469126</v>
      </c>
      <c r="AF14" s="30" t="str">
        <f aca="false">IF(AND(ISNUMBER(AF12),ISNUMBER(AF13)),AF12-AF13,"")</f>
        <v/>
      </c>
      <c r="AG14" s="30" t="n">
        <f aca="false">IF(AND(ISNUMBER(AG12),ISNUMBER(AG13)),AG12-AG13,"")</f>
        <v>-0.0120708783645257</v>
      </c>
      <c r="AH14" s="30" t="n">
        <f aca="false">IF(AND(ISNUMBER(AH12),ISNUMBER(AH13)),AH12-AH13,"")</f>
        <v>-0.0671688930552299</v>
      </c>
      <c r="AI14" s="30" t="str">
        <f aca="false">IF(AND(ISNUMBER(AI12),ISNUMBER(AI13)),AI12-AI13,"")</f>
        <v/>
      </c>
      <c r="AJ14" s="30" t="n">
        <f aca="false">IF(AND(ISNUMBER(AJ12),ISNUMBER(AJ13)),AJ12-AJ13,"")</f>
        <v>-0.0142274710208151</v>
      </c>
      <c r="AK14" s="30" t="n">
        <f aca="false">IF(AND(ISNUMBER(AK12),ISNUMBER(AK13)),AK12-AK13,"")</f>
        <v>0.0584127944780675</v>
      </c>
      <c r="AL14" s="30" t="str">
        <f aca="false">IF(AND(ISNUMBER(AL12),ISNUMBER(AL13)),AL12-AL13,"")</f>
        <v/>
      </c>
      <c r="AM14" s="30" t="n">
        <f aca="false">IF(AND(ISNUMBER(AM12),ISNUMBER(AM13)),AM12-AM13,"")</f>
        <v>0.0571508188706919</v>
      </c>
      <c r="AN14" s="30" t="n">
        <f aca="false">IF(AND(ISNUMBER(AN12),ISNUMBER(AN13)),AN12-AN13,"")</f>
        <v>-0.0290347752332485</v>
      </c>
      <c r="AO14" s="30" t="str">
        <f aca="false">IF(AND(ISNUMBER(AO12),ISNUMBER(AO13)),AO12-AO13,"")</f>
        <v/>
      </c>
      <c r="AP14" s="30" t="n">
        <f aca="false">IF(AND(ISNUMBER(AP12),ISNUMBER(AP13)),AP12-AP13,"")</f>
        <v>-0.0493292363489825</v>
      </c>
      <c r="AQ14" s="30" t="n">
        <f aca="false">IF(AND(ISNUMBER(AQ12),ISNUMBER(AQ13)),AQ12-AQ13,"")</f>
        <v>-0.0345251798561152</v>
      </c>
      <c r="AR14" s="30" t="str">
        <f aca="false">IF(AND(ISNUMBER(AR12),ISNUMBER(AR13)),AR12-AR13,"")</f>
        <v/>
      </c>
      <c r="AS14" s="30" t="n">
        <f aca="false">IF(AND(ISNUMBER(AS12),ISNUMBER(AS13)),AS12-AS13,"")</f>
        <v>-0.0189473589327564</v>
      </c>
      <c r="AT14" s="30" t="n">
        <f aca="false">IF(AND(ISNUMBER(AT12),ISNUMBER(AT13)),AT12-AT13,"")</f>
        <v>-0.0110917573872472</v>
      </c>
      <c r="AU14" s="30" t="str">
        <f aca="false">IF(AND(ISNUMBER(AU12),ISNUMBER(AU13)),AU12-AU13,"")</f>
        <v/>
      </c>
      <c r="AV14" s="30" t="n">
        <f aca="false">IF(AND(ISNUMBER(AV12),ISNUMBER(AV13)),AV12-AV13,"")</f>
        <v>-0.0360642713334365</v>
      </c>
      <c r="AW14" s="30" t="n">
        <f aca="false">IF(AND(ISNUMBER(AW12),ISNUMBER(AW13)),AW12-AW13,"")</f>
        <v>-0.0468541084404696</v>
      </c>
      <c r="AX14" s="28" t="n">
        <f aca="false">AX64</f>
        <v>-0.03</v>
      </c>
      <c r="AY14" s="28" t="n">
        <f aca="false">AY12-AY13</f>
        <v>-0.0385295615275814</v>
      </c>
      <c r="AZ14" s="28" t="n">
        <f aca="false">AZ64</f>
        <v>0</v>
      </c>
      <c r="BA14" s="28" t="n">
        <f aca="false">BA64</f>
        <v>0</v>
      </c>
      <c r="BB14" s="28" t="n">
        <f aca="false">BB64</f>
        <v>0</v>
      </c>
      <c r="BC14" s="28" t="n">
        <f aca="false">BC64</f>
        <v>0</v>
      </c>
      <c r="BD14" s="23" t="s">
        <v>68</v>
      </c>
      <c r="BF14" s="7"/>
      <c r="BG14" s="7"/>
      <c r="BH14" s="7"/>
      <c r="BI14" s="7"/>
      <c r="BL14" s="13" t="s">
        <v>69</v>
      </c>
      <c r="BN14" s="29" t="n">
        <v>0.05</v>
      </c>
    </row>
    <row r="15" customFormat="false" ht="15" hidden="false" customHeight="true" outlineLevel="0" collapsed="false">
      <c r="B15" s="26" t="s">
        <v>70</v>
      </c>
      <c r="C15" s="30" t="str">
        <f aca="false">IF(AND(ISNUMBER(C11),ISNUMBER(C61)),IFERROR(C11/C61,""),"")</f>
        <v/>
      </c>
      <c r="D15" s="30" t="str">
        <f aca="false">IF(AND(ISNUMBER(D11),ISNUMBER(D61)),IFERROR(D11/D61,""),"")</f>
        <v/>
      </c>
      <c r="E15" s="30" t="str">
        <f aca="false">IF(AND(ISNUMBER(E11),ISNUMBER(E61)),IFERROR(E11/E61,""),"")</f>
        <v/>
      </c>
      <c r="F15" s="30" t="n">
        <f aca="false">IF(AND(ISNUMBER(F11),ISNUMBER(F61)),IFERROR(F11/F61,""),"")</f>
        <v>0.489028213166144</v>
      </c>
      <c r="G15" s="30" t="n">
        <f aca="false">IF(AND(ISNUMBER(G11),ISNUMBER(G61)),IFERROR(G11/G61,""),"")</f>
        <v>0.501665278934222</v>
      </c>
      <c r="H15" s="30" t="n">
        <f aca="false">IF(AND(ISNUMBER(H11),ISNUMBER(H61)),IFERROR(H11/H61,""),"")</f>
        <v>0.474313863476425</v>
      </c>
      <c r="I15" s="30" t="n">
        <f aca="false">IF(AND(ISNUMBER(I11),ISNUMBER(I61)),IFERROR(I11/I61,""),"")</f>
        <v>0.458240055105907</v>
      </c>
      <c r="J15" s="30" t="n">
        <f aca="false">IF(AND(ISNUMBER(J11),ISNUMBER(J61)),IFERROR(J11/J61,""),"")</f>
        <v>0.441344575858752</v>
      </c>
      <c r="K15" s="30" t="n">
        <f aca="false">IF(AND(ISNUMBER(K11),ISNUMBER(K61)),IFERROR(K11/K61,""),"")</f>
        <v>0.429570379313814</v>
      </c>
      <c r="L15" s="30" t="n">
        <f aca="false">IF(AND(ISNUMBER(L11),ISNUMBER(L61)),IFERROR(L11/L61,""),"")</f>
        <v>0.435111454366295</v>
      </c>
      <c r="M15" s="30" t="n">
        <f aca="false">IF(AND(ISNUMBER(M11),ISNUMBER(M61)),IFERROR(M11/M61,""),"")</f>
        <v>0.440872620483507</v>
      </c>
      <c r="N15" s="30" t="n">
        <f aca="false">IF(AND(ISNUMBER(N11),ISNUMBER(N61)),IFERROR(N11/N61,""),"")</f>
        <v>0.452773884342361</v>
      </c>
      <c r="O15" s="30" t="n">
        <f aca="false">IF(AND(ISNUMBER(O11),ISNUMBER(O61)),IFERROR(O11/O61,""),"")</f>
        <v>0.447263633273442</v>
      </c>
      <c r="P15" s="30" t="n">
        <f aca="false">IF(AND(ISNUMBER(P11),ISNUMBER(P61)),IFERROR(P11/P61,""),"")</f>
        <v>0.464208054275028</v>
      </c>
      <c r="Q15" s="30" t="n">
        <f aca="false">IF(AND(ISNUMBER(Q11),ISNUMBER(Q61)),IFERROR(Q11/Q61,""),"")</f>
        <v>0.474839674233781</v>
      </c>
      <c r="R15" s="30" t="n">
        <f aca="false">IF(AND(ISNUMBER(R11),ISNUMBER(R61)),IFERROR(R11/R61,""),"")</f>
        <v>0.469789923777654</v>
      </c>
      <c r="S15" s="30" t="n">
        <f aca="false">IF(AND(ISNUMBER(S11),ISNUMBER(S61)),IFERROR(S11/S61,""),"")</f>
        <v>0.504466114889781</v>
      </c>
      <c r="T15" s="30" t="n">
        <f aca="false">IF(AND(ISNUMBER(T11),ISNUMBER(T61)),IFERROR(T11/T61,""),"")</f>
        <v>0.49699449594438</v>
      </c>
      <c r="U15" s="30" t="n">
        <f aca="false">IF(AND(ISNUMBER(U11),ISNUMBER(U61)),IFERROR(U11/U61,""),"")</f>
        <v>0.500499788550998</v>
      </c>
      <c r="V15" s="30" t="n">
        <f aca="false">IF(AND(ISNUMBER(V11),ISNUMBER(V61)),IFERROR(V11/V61,""),"")</f>
        <v>0.517489218974605</v>
      </c>
      <c r="W15" s="30" t="n">
        <f aca="false">IF(AND(ISNUMBER(W11),ISNUMBER(W61)),IFERROR(W11/W61,""),"")</f>
        <v>0.492348377997179</v>
      </c>
      <c r="X15" s="30" t="n">
        <f aca="false">IF(AND(ISNUMBER(X11),ISNUMBER(X61)),IFERROR(X11/X61,""),"")</f>
        <v>0.504640392135662</v>
      </c>
      <c r="Y15" s="30" t="n">
        <f aca="false">IF(AND(ISNUMBER(Y11),ISNUMBER(Y61)),IFERROR(Y11/Y61,""),"")</f>
        <v>0.499421762747503</v>
      </c>
      <c r="Z15" s="30" t="n">
        <f aca="false">IF(AND(ISNUMBER(Z11),ISNUMBER(Z61)),IFERROR(Z11/Z61,""),"")</f>
        <v>0.498200861016514</v>
      </c>
      <c r="AA15" s="30" t="n">
        <f aca="false">IF(AND(ISNUMBER(AA11),ISNUMBER(AA61)),IFERROR(AA11/AA61,""),"")</f>
        <v>0.498784800791137</v>
      </c>
      <c r="AB15" s="30" t="n">
        <f aca="false">IF(AND(ISNUMBER(AB11),ISNUMBER(AB61)),IFERROR(AB11/AB61,""),"")</f>
        <v>0.503120908564991</v>
      </c>
      <c r="AC15" s="30" t="n">
        <f aca="false">IF(AND(ISNUMBER(AC11),ISNUMBER(AC61)),IFERROR(AC11/AC61,""),"")</f>
        <v>0.489539051429524</v>
      </c>
      <c r="AD15" s="30" t="n">
        <f aca="false">IF(AND(ISNUMBER(AD11),ISNUMBER(AD61)),IFERROR(AD11/AD61,""),"")</f>
        <v>0.496019409012988</v>
      </c>
      <c r="AE15" s="30" t="n">
        <f aca="false">IF(AND(ISNUMBER(AE11),ISNUMBER(AE61)),IFERROR(AE11/AE61,""),"")</f>
        <v>0.514530326781623</v>
      </c>
      <c r="AF15" s="30" t="n">
        <f aca="false">IF(AND(ISNUMBER(AF11),ISNUMBER(AF61)),IFERROR(AF11/AF61,""),"")</f>
        <v>0.49443817920853</v>
      </c>
      <c r="AG15" s="30" t="n">
        <f aca="false">IF(AND(ISNUMBER(AG11),ISNUMBER(AG61)),IFERROR(AG11/AG61,""),"")</f>
        <v>0.502261522810862</v>
      </c>
      <c r="AH15" s="30" t="n">
        <f aca="false">IF(AND(ISNUMBER(AH11),ISNUMBER(AH61)),IFERROR(AH11/AH61,""),"")</f>
        <v>0.472078581379424</v>
      </c>
      <c r="AI15" s="30" t="n">
        <f aca="false">IF(AND(ISNUMBER(AI11),ISNUMBER(AI61)),IFERROR(AI11/AI61,""),"")</f>
        <v>0.440738321498557</v>
      </c>
      <c r="AJ15" s="30" t="n">
        <f aca="false">IF(AND(ISNUMBER(AJ11),ISNUMBER(AJ61)),IFERROR(AJ11/AJ61,""),"")</f>
        <v>0.455517202984078</v>
      </c>
      <c r="AK15" s="30" t="n">
        <f aca="false">IF(AND(ISNUMBER(AK11),ISNUMBER(AK61)),IFERROR(AK11/AK61,""),"")</f>
        <v>0.430763609791743</v>
      </c>
      <c r="AL15" s="30" t="n">
        <f aca="false">IF(AND(ISNUMBER(AL11),ISNUMBER(AL61)),IFERROR(AL11/AL61,""),"")</f>
        <v>0.425167292312714</v>
      </c>
      <c r="AM15" s="30" t="n">
        <f aca="false">IF(AND(ISNUMBER(AM11),ISNUMBER(AM61)),IFERROR(AM11/AM61,""),"")</f>
        <v>0.427807947590725</v>
      </c>
      <c r="AN15" s="30" t="n">
        <f aca="false">IF(AND(ISNUMBER(AN11),ISNUMBER(AN61)),IFERROR(AN11/AN61,""),"")</f>
        <v>0.41504926843834</v>
      </c>
      <c r="AO15" s="30" t="n">
        <f aca="false">IF(AND(ISNUMBER(AO11),ISNUMBER(AO61)),IFERROR(AO11/AO61,""),"")</f>
        <v>0.411205231089315</v>
      </c>
      <c r="AP15" s="30" t="n">
        <f aca="false">IF(AND(ISNUMBER(AP11),ISNUMBER(AP61)),IFERROR(AP11/AP61,""),"")</f>
        <v>0.413122812243986</v>
      </c>
      <c r="AQ15" s="30" t="n">
        <f aca="false">IF(AND(ISNUMBER(AQ11),ISNUMBER(AQ61)),IFERROR(AQ11/AQ61,""),"")</f>
        <v>0.428438166311301</v>
      </c>
      <c r="AR15" s="30" t="n">
        <f aca="false">IF(AND(ISNUMBER(AR11),ISNUMBER(AR61)),IFERROR(AR11/AR61,""),"")</f>
        <v>0.422906339681711</v>
      </c>
      <c r="AS15" s="30" t="n">
        <f aca="false">IF(AND(ISNUMBER(AS11),ISNUMBER(AS61)),IFERROR(AS11/AS61,""),"")</f>
        <v>0.425642715886618</v>
      </c>
      <c r="AT15" s="30" t="n">
        <f aca="false">IF(AND(ISNUMBER(AT11),ISNUMBER(AT61)),IFERROR(AT11/AT61,""),"")</f>
        <v>0.445412672725009</v>
      </c>
      <c r="AU15" s="30" t="n">
        <f aca="false">IF(AND(ISNUMBER(AU11),ISNUMBER(AU61)),IFERROR(AU11/AU61,""),"")</f>
        <v>0.438253012048193</v>
      </c>
      <c r="AV15" s="30" t="n">
        <f aca="false">IF(AND(ISNUMBER(AV11),ISNUMBER(AV61)),IFERROR(AV11/AV61,""),"")</f>
        <v>0.441847384538466</v>
      </c>
      <c r="AW15" s="30" t="n">
        <f aca="false">IF(AND(ISNUMBER(AW11),ISNUMBER(AW61)),IFERROR(AW11/AW61,""),"")</f>
        <v>0.460737473967904</v>
      </c>
      <c r="AX15" s="28" t="n">
        <f aca="false">IF(AND(ISNUMBER(AX11),ISNUMBER(AX61)),IFERROR(AX11/AX61,""),"")</f>
        <v>0.448996177821662</v>
      </c>
      <c r="AY15" s="28" t="n">
        <f aca="false">IF(AND(ISNUMBER(AY11),ISNUMBER(AY61)),IFERROR(AY11/AY61,""),"")</f>
        <v>0.454837846551988</v>
      </c>
      <c r="AZ15" s="28" t="n">
        <f aca="false">IF(AND(ISNUMBER(AZ11),ISNUMBER(AZ61)),IFERROR(AZ11/AZ61,""),"")</f>
        <v>0.461476884101679</v>
      </c>
      <c r="BA15" s="28" t="n">
        <f aca="false">IF(AND(ISNUMBER(BA11),ISNUMBER(BA61)),IFERROR(BA11/BA61,""),"")</f>
        <v>0.467969794520708</v>
      </c>
      <c r="BB15" s="28" t="n">
        <f aca="false">IF(AND(ISNUMBER(BB11),ISNUMBER(BB61)),IFERROR(BB11/BB61,""),"")</f>
        <v>0.473709556123631</v>
      </c>
      <c r="BC15" s="28" t="n">
        <f aca="false">IF(AND(ISNUMBER(BC11),ISNUMBER(BC61)),IFERROR(BC11/BC61,""),"")</f>
        <v>0.479288669427852</v>
      </c>
      <c r="BD15" s="23"/>
      <c r="BF15" s="32" t="n">
        <f aca="false">IFERROR(AVERAGE(AY15,AZ15,BA15,BB15,BC15),"n/m")</f>
        <v>0.467456550145172</v>
      </c>
      <c r="BG15" s="32" t="n">
        <f aca="false">IFERROR(AVERAGE(AJ15,AM15,AP15,AS15,AV15),"n/m")</f>
        <v>0.432787612648775</v>
      </c>
      <c r="BH15" s="32" t="n">
        <f aca="false">IFERROR(AVERAGE(U15,X15,AA15,AD15,AG15,AJ15,AM15,AP15,AS15,AV15),"n/m")</f>
        <v>0.466614397654552</v>
      </c>
      <c r="BI15" s="32" t="n">
        <f aca="false">IFERROR(AVERAGE(C15,D15,E15,F15,G15,H15,I15,L15,O15,R15,U15,X15,AA15,AD15,AG15,AJ15,AM15,AP15,AS15,AV15),"n/m")</f>
        <v>0.467150376390918</v>
      </c>
      <c r="BL15" s="13" t="s">
        <v>71</v>
      </c>
      <c r="BN15" s="33" t="n">
        <v>1150</v>
      </c>
    </row>
    <row r="16" customFormat="false" ht="15" hidden="false" customHeight="true" outlineLevel="0" collapsed="false">
      <c r="B16" s="13"/>
      <c r="AX16" s="7"/>
      <c r="AY16" s="7"/>
      <c r="AZ16" s="7"/>
      <c r="BA16" s="7"/>
      <c r="BB16" s="7"/>
      <c r="BC16" s="7"/>
      <c r="BD16" s="7"/>
    </row>
    <row r="17" customFormat="false" ht="15" hidden="false" customHeight="true" outlineLevel="0" collapsed="false">
      <c r="B17" s="17" t="s">
        <v>72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8" t="s">
        <v>73</v>
      </c>
    </row>
    <row r="18" customFormat="false" ht="15" hidden="false" customHeight="true" outlineLevel="0" collapsed="false">
      <c r="B18" s="19" t="s">
        <v>57</v>
      </c>
      <c r="C18" s="20"/>
      <c r="D18" s="20"/>
      <c r="E18" s="20"/>
      <c r="F18" s="21" t="n">
        <v>360</v>
      </c>
      <c r="G18" s="21" t="n">
        <v>445</v>
      </c>
      <c r="H18" s="21" t="n">
        <v>576</v>
      </c>
      <c r="I18" s="21" t="n">
        <v>745.6</v>
      </c>
      <c r="J18" s="21" t="n">
        <v>395.6</v>
      </c>
      <c r="K18" s="20" t="n">
        <f aca="false">L18-J18</f>
        <v>447.5</v>
      </c>
      <c r="L18" s="21" t="n">
        <v>843.1</v>
      </c>
      <c r="M18" s="21" t="n">
        <v>440.6</v>
      </c>
      <c r="N18" s="20" t="n">
        <f aca="false">O18-M18</f>
        <v>493</v>
      </c>
      <c r="O18" s="21" t="n">
        <v>933.6</v>
      </c>
      <c r="P18" s="21" t="n">
        <v>534.1</v>
      </c>
      <c r="Q18" s="20" t="n">
        <f aca="false">R18-P18</f>
        <v>566.5</v>
      </c>
      <c r="R18" s="21" t="n">
        <v>1100.6</v>
      </c>
      <c r="S18" s="21" t="n">
        <v>517.5</v>
      </c>
      <c r="T18" s="20" t="n">
        <f aca="false">U18-S18</f>
        <v>581.6</v>
      </c>
      <c r="U18" s="21" t="n">
        <v>1099.1</v>
      </c>
      <c r="V18" s="21" t="n">
        <v>579.2</v>
      </c>
      <c r="W18" s="20" t="n">
        <f aca="false">X18-V18</f>
        <v>601.9</v>
      </c>
      <c r="X18" s="21" t="n">
        <v>1181.1</v>
      </c>
      <c r="Y18" s="21" t="n">
        <v>637.3</v>
      </c>
      <c r="Z18" s="20" t="n">
        <f aca="false">AA18-Y18</f>
        <v>673.1</v>
      </c>
      <c r="AA18" s="21" t="n">
        <v>1310.4</v>
      </c>
      <c r="AB18" s="21" t="n">
        <v>754.6</v>
      </c>
      <c r="AC18" s="20" t="n">
        <f aca="false">AD18-AB18</f>
        <v>819.6</v>
      </c>
      <c r="AD18" s="21" t="n">
        <v>1574.2</v>
      </c>
      <c r="AE18" s="21" t="n">
        <v>537</v>
      </c>
      <c r="AF18" s="20" t="n">
        <f aca="false">AG18-AE18</f>
        <v>871.9</v>
      </c>
      <c r="AG18" s="21" t="n">
        <v>1408.9</v>
      </c>
      <c r="AH18" s="21" t="n">
        <v>1025.1</v>
      </c>
      <c r="AI18" s="20" t="n">
        <f aca="false">AJ18-AH18</f>
        <v>1193.9</v>
      </c>
      <c r="AJ18" s="21" t="n">
        <v>2219</v>
      </c>
      <c r="AK18" s="21" t="n">
        <v>1458</v>
      </c>
      <c r="AL18" s="20" t="n">
        <f aca="false">AM18-AK18</f>
        <v>1694</v>
      </c>
      <c r="AM18" s="21" t="n">
        <v>3152</v>
      </c>
      <c r="AN18" s="21" t="n">
        <v>1922</v>
      </c>
      <c r="AO18" s="20" t="n">
        <f aca="false">AP18-AN18</f>
        <v>1957</v>
      </c>
      <c r="AP18" s="21" t="n">
        <v>3879</v>
      </c>
      <c r="AQ18" s="21" t="n">
        <v>2162</v>
      </c>
      <c r="AR18" s="20" t="n">
        <f aca="false">AS18-AQ18</f>
        <v>2243</v>
      </c>
      <c r="AS18" s="21" t="n">
        <v>4405</v>
      </c>
      <c r="AT18" s="21" t="n">
        <v>2255</v>
      </c>
      <c r="AU18" s="20" t="n">
        <f aca="false">AV18-AT18</f>
        <v>2270</v>
      </c>
      <c r="AV18" s="21" t="n">
        <v>4525</v>
      </c>
      <c r="AW18" s="21" t="n">
        <v>2198</v>
      </c>
      <c r="AX18" s="22" t="n">
        <f aca="false">AU18*(1+AX20+AX64)</f>
        <v>2292.7</v>
      </c>
      <c r="AY18" s="22" t="n">
        <f aca="false">AW18+AX18</f>
        <v>4490.7</v>
      </c>
      <c r="AZ18" s="22" t="n">
        <f aca="false">AY18*(1+AZ20+AZ64)</f>
        <v>4760.142</v>
      </c>
      <c r="BA18" s="22" t="n">
        <f aca="false">AZ18*(1+BA20+BA64)</f>
        <v>5045.75052</v>
      </c>
      <c r="BB18" s="22" t="n">
        <f aca="false">BA18*(1+BB20+BB64)</f>
        <v>5348.4955512</v>
      </c>
      <c r="BC18" s="22" t="n">
        <f aca="false">BB18*(1+BC20+BC64)</f>
        <v>5642.662806516</v>
      </c>
      <c r="BD18" s="23" t="s">
        <v>58</v>
      </c>
      <c r="BF18" s="24" t="n">
        <f aca="false">IFERROR((BC18/AV18)^(1/5)-1,"n/m")</f>
        <v>0.045136711384119</v>
      </c>
      <c r="BG18" s="24" t="n">
        <f aca="false">IFERROR((AV18/AG18)^(1/5)-1,"n/m")</f>
        <v>0.262838119599163</v>
      </c>
      <c r="BH18" s="24" t="n">
        <f aca="false">IFERROR((AV18/R18)^(1/10)-1,"n/m")</f>
        <v>0.151857905966514</v>
      </c>
      <c r="BI18" s="24" t="str">
        <f aca="false">IFERROR((AV18/C18)^(1/19)-1,"n/m")</f>
        <v>n/m</v>
      </c>
      <c r="BL18" s="18" t="s">
        <v>74</v>
      </c>
      <c r="BM18" s="34" t="n">
        <v>0.02</v>
      </c>
      <c r="BN18" s="25" t="s">
        <v>75</v>
      </c>
      <c r="BO18" s="34" t="n">
        <v>-0.03</v>
      </c>
      <c r="BP18" s="16" t="s">
        <v>76</v>
      </c>
    </row>
    <row r="19" customFormat="false" ht="15" hidden="false" customHeight="true" outlineLevel="0" collapsed="false">
      <c r="B19" s="26" t="s">
        <v>60</v>
      </c>
      <c r="C19" s="27"/>
      <c r="D19" s="27" t="str">
        <f aca="false">IF(AND(ISNUMBER(D18),ISNUMBER(C18)),IFERROR(D18/C18-1,""),"")</f>
        <v/>
      </c>
      <c r="E19" s="27" t="str">
        <f aca="false">IF(AND(ISNUMBER(E18),ISNUMBER(D18)),IFERROR(E18/D18-1,""),"")</f>
        <v/>
      </c>
      <c r="F19" s="27" t="str">
        <f aca="false">IF(AND(ISNUMBER(F18),ISNUMBER(E18)),IFERROR(F18/E18-1,""),"")</f>
        <v/>
      </c>
      <c r="G19" s="27" t="n">
        <f aca="false">IF(AND(ISNUMBER(G18),ISNUMBER(F18)),IFERROR(G18/F18-1,""),"")</f>
        <v>0.236111111111111</v>
      </c>
      <c r="H19" s="27" t="n">
        <f aca="false">IF(AND(ISNUMBER(H18),ISNUMBER(G18)),IFERROR(H18/G18-1,""),"")</f>
        <v>0.29438202247191</v>
      </c>
      <c r="I19" s="27" t="n">
        <f aca="false">IF(AND(ISNUMBER(I18),ISNUMBER(H18)),IFERROR(I18/H18-1,""),"")</f>
        <v>0.294444444444445</v>
      </c>
      <c r="J19" s="27"/>
      <c r="K19" s="27"/>
      <c r="L19" s="27" t="n">
        <f aca="false">IF(AND(ISNUMBER(L18),ISNUMBER(I18)),IFERROR(L18/I18-1,""),"")</f>
        <v>0.130767167381974</v>
      </c>
      <c r="M19" s="27" t="n">
        <f aca="false">IF(AND(ISNUMBER(M18),ISNUMBER(J18)),IFERROR(M18/J18-1,""),"")</f>
        <v>0.113751263902932</v>
      </c>
      <c r="N19" s="27" t="n">
        <f aca="false">IF(AND(ISNUMBER(N18),ISNUMBER(K18)),IFERROR(N18/K18-1,""),"")</f>
        <v>0.101675977653631</v>
      </c>
      <c r="O19" s="27" t="n">
        <f aca="false">IF(AND(ISNUMBER(O18),ISNUMBER(L18)),IFERROR(O18/L18-1,""),"")</f>
        <v>0.107341952318823</v>
      </c>
      <c r="P19" s="27" t="n">
        <f aca="false">IF(AND(ISNUMBER(P18),ISNUMBER(M18)),IFERROR(P18/M18-1,""),"")</f>
        <v>0.212210621879256</v>
      </c>
      <c r="Q19" s="27" t="n">
        <f aca="false">IF(AND(ISNUMBER(Q18),ISNUMBER(N18)),IFERROR(Q18/N18-1,""),"")</f>
        <v>0.149087221095334</v>
      </c>
      <c r="R19" s="27" t="n">
        <f aca="false">IF(AND(ISNUMBER(R18),ISNUMBER(O18)),IFERROR(R18/O18-1,""),"")</f>
        <v>0.178877463581834</v>
      </c>
      <c r="S19" s="27" t="n">
        <f aca="false">IF(AND(ISNUMBER(S18),ISNUMBER(P18)),IFERROR(S18/P18-1,""),"")</f>
        <v>-0.0310803220370718</v>
      </c>
      <c r="T19" s="27" t="n">
        <f aca="false">IF(AND(ISNUMBER(T18),ISNUMBER(Q18)),IFERROR(T18/Q18-1,""),"")</f>
        <v>0.0266548984995587</v>
      </c>
      <c r="U19" s="27" t="n">
        <f aca="false">IF(AND(ISNUMBER(U18),ISNUMBER(R18)),IFERROR(U18/R18-1,""),"")</f>
        <v>-0.00136289296747227</v>
      </c>
      <c r="V19" s="27" t="n">
        <f aca="false">IF(AND(ISNUMBER(V18),ISNUMBER(S18)),IFERROR(V18/S18-1,""),"")</f>
        <v>0.119227053140097</v>
      </c>
      <c r="W19" s="27" t="n">
        <f aca="false">IF(AND(ISNUMBER(W18),ISNUMBER(T18)),IFERROR(W18/T18-1,""),"")</f>
        <v>0.0349037138927097</v>
      </c>
      <c r="X19" s="27" t="n">
        <f aca="false">IF(AND(ISNUMBER(X18),ISNUMBER(U18)),IFERROR(X18/U18-1,""),"")</f>
        <v>0.0746064962241835</v>
      </c>
      <c r="Y19" s="27" t="n">
        <f aca="false">IF(AND(ISNUMBER(Y18),ISNUMBER(V18)),IFERROR(Y18/V18-1,""),"")</f>
        <v>0.100310773480663</v>
      </c>
      <c r="Z19" s="27" t="n">
        <f aca="false">IF(AND(ISNUMBER(Z18),ISNUMBER(W18)),IFERROR(Z18/W18-1,""),"")</f>
        <v>0.118292075095531</v>
      </c>
      <c r="AA19" s="27" t="n">
        <f aca="false">IF(AND(ISNUMBER(AA18),ISNUMBER(X18)),IFERROR(AA18/X18-1,""),"")</f>
        <v>0.109474218948438</v>
      </c>
      <c r="AB19" s="27" t="n">
        <f aca="false">IF(AND(ISNUMBER(AB18),ISNUMBER(Y18)),IFERROR(AB18/Y18-1,""),"")</f>
        <v>0.184057743605837</v>
      </c>
      <c r="AC19" s="27" t="n">
        <f aca="false">IF(AND(ISNUMBER(AC18),ISNUMBER(Z18)),IFERROR(AC18/Z18-1,""),"")</f>
        <v>0.21764968058238</v>
      </c>
      <c r="AD19" s="27" t="n">
        <f aca="false">IF(AND(ISNUMBER(AD18),ISNUMBER(AA18)),IFERROR(AD18/AA18-1,""),"")</f>
        <v>0.201312576312576</v>
      </c>
      <c r="AE19" s="27" t="n">
        <f aca="false">IF(AND(ISNUMBER(AE18),ISNUMBER(AB18)),IFERROR(AE18/AB18-1,""),"")</f>
        <v>-0.288364696527962</v>
      </c>
      <c r="AF19" s="27" t="n">
        <f aca="false">IF(AND(ISNUMBER(AF18),ISNUMBER(AC18)),IFERROR(AF18/AC18-1,""),"")</f>
        <v>0.0638116154221573</v>
      </c>
      <c r="AG19" s="27" t="n">
        <f aca="false">IF(AND(ISNUMBER(AG18),ISNUMBER(AD18)),IFERROR(AG18/AD18-1,""),"")</f>
        <v>-0.105005717189684</v>
      </c>
      <c r="AH19" s="27" t="n">
        <f aca="false">IF(AND(ISNUMBER(AH18),ISNUMBER(AE18)),IFERROR(AH18/AE18-1,""),"")</f>
        <v>0.908938547486033</v>
      </c>
      <c r="AI19" s="27" t="n">
        <f aca="false">IF(AND(ISNUMBER(AI18),ISNUMBER(AF18)),IFERROR(AI18/AF18-1,""),"")</f>
        <v>0.3693084069274</v>
      </c>
      <c r="AJ19" s="27" t="n">
        <f aca="false">IF(AND(ISNUMBER(AJ18),ISNUMBER(AG18)),IFERROR(AJ18/AG18-1,""),"")</f>
        <v>0.574987578962311</v>
      </c>
      <c r="AK19" s="27" t="n">
        <f aca="false">IF(AND(ISNUMBER(AK18),ISNUMBER(AH18)),IFERROR(AK18/AH18-1,""),"")</f>
        <v>0.422300263388938</v>
      </c>
      <c r="AL19" s="27" t="n">
        <f aca="false">IF(AND(ISNUMBER(AL18),ISNUMBER(AI18)),IFERROR(AL18/AI18-1,""),"")</f>
        <v>0.418879303124215</v>
      </c>
      <c r="AM19" s="27" t="n">
        <f aca="false">IF(AND(ISNUMBER(AM18),ISNUMBER(AJ18)),IFERROR(AM18/AJ18-1,""),"")</f>
        <v>0.420459666516449</v>
      </c>
      <c r="AN19" s="27" t="n">
        <f aca="false">IF(AND(ISNUMBER(AN18),ISNUMBER(AK18)),IFERROR(AN18/AK18-1,""),"")</f>
        <v>0.318244170096022</v>
      </c>
      <c r="AO19" s="27" t="n">
        <f aca="false">IF(AND(ISNUMBER(AO18),ISNUMBER(AL18)),IFERROR(AO18/AL18-1,""),"")</f>
        <v>0.155253837072019</v>
      </c>
      <c r="AP19" s="27" t="n">
        <f aca="false">IF(AND(ISNUMBER(AP18),ISNUMBER(AM18)),IFERROR(AP18/AM18-1,""),"")</f>
        <v>0.230647208121827</v>
      </c>
      <c r="AQ19" s="27" t="n">
        <f aca="false">IF(AND(ISNUMBER(AQ18),ISNUMBER(AN18)),IFERROR(AQ18/AN18-1,""),"")</f>
        <v>0.124869927159209</v>
      </c>
      <c r="AR19" s="27" t="n">
        <f aca="false">IF(AND(ISNUMBER(AR18),ISNUMBER(AO18)),IFERROR(AR18/AO18-1,""),"")</f>
        <v>0.146142054164538</v>
      </c>
      <c r="AS19" s="27" t="n">
        <f aca="false">IF(AND(ISNUMBER(AS18),ISNUMBER(AP18)),IFERROR(AS18/AP18-1,""),"")</f>
        <v>0.135601959267853</v>
      </c>
      <c r="AT19" s="27" t="n">
        <f aca="false">IF(AND(ISNUMBER(AT18),ISNUMBER(AQ18)),IFERROR(AT18/AQ18-1,""),"")</f>
        <v>0.0430157261794635</v>
      </c>
      <c r="AU19" s="27" t="n">
        <f aca="false">IF(AND(ISNUMBER(AU18),ISNUMBER(AR18)),IFERROR(AU18/AR18-1,""),"")</f>
        <v>0.012037449843959</v>
      </c>
      <c r="AV19" s="27" t="n">
        <f aca="false">IF(AND(ISNUMBER(AV18),ISNUMBER(AS18)),IFERROR(AV18/AS18-1,""),"")</f>
        <v>0.0272417707150965</v>
      </c>
      <c r="AW19" s="27" t="n">
        <f aca="false">IF(AND(ISNUMBER(AW18),ISNUMBER(AT18)),IFERROR(AW18/AT18-1,""),"")</f>
        <v>-0.0252771618625277</v>
      </c>
      <c r="AX19" s="28" t="n">
        <f aca="false">IF(AND(ISNUMBER(AX18),ISNUMBER(AU18)),IFERROR(AX18/AU18-1,""),"")</f>
        <v>0.01</v>
      </c>
      <c r="AY19" s="28" t="n">
        <f aca="false">IF(AND(ISNUMBER(AY18),ISNUMBER(AV18)),IFERROR(AY18/AV18-1,""),"")</f>
        <v>-0.00758011049723761</v>
      </c>
      <c r="AZ19" s="28" t="n">
        <f aca="false">IF(AND(ISNUMBER(AZ18),ISNUMBER(AY18)),IFERROR(AZ18/AY18-1,""),"")</f>
        <v>0.0600000000000001</v>
      </c>
      <c r="BA19" s="28" t="n">
        <f aca="false">IF(AND(ISNUMBER(BA18),ISNUMBER(AZ18)),IFERROR(BA18/AZ18-1,""),"")</f>
        <v>0.0600000000000001</v>
      </c>
      <c r="BB19" s="28" t="n">
        <f aca="false">IF(AND(ISNUMBER(BB18),ISNUMBER(BA18)),IFERROR(BB18/BA18-1,""),"")</f>
        <v>0.0600000000000001</v>
      </c>
      <c r="BC19" s="28" t="n">
        <f aca="false">IF(AND(ISNUMBER(BC18),ISNUMBER(BB18)),IFERROR(BC18/BB18-1,""),"")</f>
        <v>0.0549999999999999</v>
      </c>
      <c r="BD19" s="23"/>
      <c r="BF19" s="7"/>
      <c r="BG19" s="7"/>
      <c r="BH19" s="7"/>
      <c r="BI19" s="7"/>
      <c r="BL19" s="13" t="s">
        <v>77</v>
      </c>
      <c r="BM19" s="35" t="n">
        <f aca="false">BN19+$BM$18</f>
        <v>0.11</v>
      </c>
      <c r="BN19" s="29" t="n">
        <v>0.09</v>
      </c>
      <c r="BO19" s="35" t="n">
        <f aca="false">BN19+$BO$18</f>
        <v>0.06</v>
      </c>
    </row>
    <row r="20" customFormat="false" ht="15" hidden="false" customHeight="true" outlineLevel="0" collapsed="false">
      <c r="B20" s="26" t="s">
        <v>63</v>
      </c>
      <c r="C20" s="30"/>
      <c r="D20" s="30"/>
      <c r="E20" s="30"/>
      <c r="F20" s="30"/>
      <c r="G20" s="31" t="n">
        <v>0.175</v>
      </c>
      <c r="H20" s="31" t="n">
        <v>0.3</v>
      </c>
      <c r="I20" s="31" t="n">
        <v>0.223</v>
      </c>
      <c r="J20" s="31" t="n">
        <v>0.208</v>
      </c>
      <c r="K20" s="30"/>
      <c r="L20" s="31" t="n">
        <v>0.179</v>
      </c>
      <c r="M20" s="31" t="n">
        <v>0.158</v>
      </c>
      <c r="N20" s="30"/>
      <c r="O20" s="31" t="n">
        <v>0.12</v>
      </c>
      <c r="P20" s="31" t="n">
        <v>0.081</v>
      </c>
      <c r="Q20" s="30"/>
      <c r="R20" s="31" t="n">
        <v>0.078</v>
      </c>
      <c r="S20" s="31" t="n">
        <v>-0.017</v>
      </c>
      <c r="T20" s="30"/>
      <c r="U20" s="31" t="n">
        <v>0.002</v>
      </c>
      <c r="V20" s="31" t="n">
        <v>0.104</v>
      </c>
      <c r="W20" s="30"/>
      <c r="X20" s="31" t="n">
        <v>0.094</v>
      </c>
      <c r="Y20" s="31" t="n">
        <v>0.167</v>
      </c>
      <c r="Z20" s="30"/>
      <c r="AA20" s="31" t="n">
        <v>0.141</v>
      </c>
      <c r="AB20" s="31" t="n">
        <v>0.152</v>
      </c>
      <c r="AC20" s="30"/>
      <c r="AD20" s="31" t="n">
        <v>0.171</v>
      </c>
      <c r="AE20" s="31" t="n">
        <v>-0.293</v>
      </c>
      <c r="AF20" s="30"/>
      <c r="AG20" s="31" t="n">
        <v>-0.092</v>
      </c>
      <c r="AH20" s="31" t="n">
        <v>0.98</v>
      </c>
      <c r="AI20" s="30"/>
      <c r="AJ20" s="31" t="n">
        <v>0.588</v>
      </c>
      <c r="AK20" s="31" t="n">
        <v>0.359</v>
      </c>
      <c r="AL20" s="30"/>
      <c r="AM20" s="31" t="n">
        <v>0.358</v>
      </c>
      <c r="AN20" s="31" t="n">
        <v>0.348</v>
      </c>
      <c r="AO20" s="30"/>
      <c r="AP20" s="31" t="n">
        <v>0.282</v>
      </c>
      <c r="AQ20" s="31" t="n">
        <v>0.155</v>
      </c>
      <c r="AR20" s="30"/>
      <c r="AS20" s="31" t="n">
        <v>0.154</v>
      </c>
      <c r="AT20" s="31" t="n">
        <v>0.055</v>
      </c>
      <c r="AU20" s="30"/>
      <c r="AV20" s="31" t="n">
        <v>0.061</v>
      </c>
      <c r="AW20" s="31" t="n">
        <v>0.02</v>
      </c>
      <c r="AX20" s="28" t="n">
        <f aca="false">CHOOSE(MATCH($BD$2,{"Bull","Base","Bear"},0),$BM$25,$BN$25,$BO$25)</f>
        <v>0.04</v>
      </c>
      <c r="AY20" s="28" t="n">
        <f aca="false">(AT18*(1+AW20)+AU18*(1+AX20))/AV18-1</f>
        <v>0.0300331491712706</v>
      </c>
      <c r="AZ20" s="28" t="n">
        <f aca="false">CHOOSE(MATCH($BD$2,{"Bull","Base","Bear"},0),$BM$26,$BN$26,$BO$26)</f>
        <v>0.06</v>
      </c>
      <c r="BA20" s="28" t="n">
        <f aca="false">CHOOSE(MATCH($BD$2,{"Bull","Base","Bear"},0),$BM$27,$BN$27,$BO$27)</f>
        <v>0.06</v>
      </c>
      <c r="BB20" s="28" t="n">
        <f aca="false">CHOOSE(MATCH($BD$2,{"Bull","Base","Bear"},0),$BM$28,$BN$28,$BO$28)</f>
        <v>0.06</v>
      </c>
      <c r="BC20" s="28" t="n">
        <f aca="false">CHOOSE(MATCH($BD$2,{"Bull","Base","Bear"},0),$BM$29,$BN$29,$BO$29)</f>
        <v>0.055</v>
      </c>
      <c r="BD20" s="23" t="s">
        <v>78</v>
      </c>
      <c r="BF20" s="32" t="n">
        <f aca="false">IFERROR(AVERAGE(AY20,AZ20,BA20,BB20,BC20),"n/m")</f>
        <v>0.0530066298342541</v>
      </c>
      <c r="BG20" s="32" t="n">
        <f aca="false">IFERROR(AVERAGE(AJ20,AM20,AP20,AS20,AV20),"n/m")</f>
        <v>0.2886</v>
      </c>
      <c r="BH20" s="32" t="n">
        <f aca="false">IFERROR(AVERAGE(U20,X20,AA20,AD20,AG20,AJ20,AM20,AP20,AS20,AV20),"n/m")</f>
        <v>0.1759</v>
      </c>
      <c r="BI20" s="32" t="n">
        <f aca="false">IFERROR(AVERAGE(C20,D20,E20,F20,G20,H20,I20,L20,O20,R20,U20,X20,AA20,AD20,AG20,AJ20,AM20,AP20,AS20,AV20),"n/m")</f>
        <v>0.177125</v>
      </c>
      <c r="BL20" s="13" t="s">
        <v>79</v>
      </c>
      <c r="BM20" s="35" t="n">
        <f aca="false">BN20+$BM$18</f>
        <v>0.11</v>
      </c>
      <c r="BN20" s="29" t="n">
        <v>0.09</v>
      </c>
      <c r="BO20" s="35" t="n">
        <f aca="false">BN20+$BO$18</f>
        <v>0.06</v>
      </c>
    </row>
    <row r="21" customFormat="false" ht="15" hidden="false" customHeight="true" outlineLevel="0" collapsed="false">
      <c r="B21" s="26" t="s">
        <v>67</v>
      </c>
      <c r="C21" s="30" t="str">
        <f aca="false">IF(AND(ISNUMBER(C19),ISNUMBER(C20)),C19-C20,"")</f>
        <v/>
      </c>
      <c r="D21" s="30" t="str">
        <f aca="false">IF(AND(ISNUMBER(D19),ISNUMBER(D20)),D19-D20,"")</f>
        <v/>
      </c>
      <c r="E21" s="30" t="str">
        <f aca="false">IF(AND(ISNUMBER(E19),ISNUMBER(E20)),E19-E20,"")</f>
        <v/>
      </c>
      <c r="F21" s="30" t="str">
        <f aca="false">IF(AND(ISNUMBER(F19),ISNUMBER(F20)),F19-F20,"")</f>
        <v/>
      </c>
      <c r="G21" s="30" t="n">
        <f aca="false">IF(AND(ISNUMBER(G19),ISNUMBER(G20)),G19-G20,"")</f>
        <v>0.0611111111111112</v>
      </c>
      <c r="H21" s="30" t="n">
        <f aca="false">IF(AND(ISNUMBER(H19),ISNUMBER(H20)),H19-H20,"")</f>
        <v>-0.00561797752808996</v>
      </c>
      <c r="I21" s="30" t="n">
        <f aca="false">IF(AND(ISNUMBER(I19),ISNUMBER(I20)),I19-I20,"")</f>
        <v>0.0714444444444445</v>
      </c>
      <c r="J21" s="30" t="str">
        <f aca="false">IF(AND(ISNUMBER(J19),ISNUMBER(J20)),J19-J20,"")</f>
        <v/>
      </c>
      <c r="K21" s="30" t="str">
        <f aca="false">IF(AND(ISNUMBER(K19),ISNUMBER(K20)),K19-K20,"")</f>
        <v/>
      </c>
      <c r="L21" s="30" t="n">
        <f aca="false">IF(AND(ISNUMBER(L19),ISNUMBER(L20)),L19-L20,"")</f>
        <v>-0.0482328326180259</v>
      </c>
      <c r="M21" s="30" t="n">
        <f aca="false">IF(AND(ISNUMBER(M19),ISNUMBER(M20)),M19-M20,"")</f>
        <v>-0.0442487360970677</v>
      </c>
      <c r="N21" s="30" t="str">
        <f aca="false">IF(AND(ISNUMBER(N19),ISNUMBER(N20)),N19-N20,"")</f>
        <v/>
      </c>
      <c r="O21" s="30" t="n">
        <f aca="false">IF(AND(ISNUMBER(O19),ISNUMBER(O20)),O19-O20,"")</f>
        <v>-0.0126580476811765</v>
      </c>
      <c r="P21" s="30" t="n">
        <f aca="false">IF(AND(ISNUMBER(P19),ISNUMBER(P20)),P19-P20,"")</f>
        <v>0.131210621879256</v>
      </c>
      <c r="Q21" s="30" t="str">
        <f aca="false">IF(AND(ISNUMBER(Q19),ISNUMBER(Q20)),Q19-Q20,"")</f>
        <v/>
      </c>
      <c r="R21" s="30" t="n">
        <f aca="false">IF(AND(ISNUMBER(R19),ISNUMBER(R20)),R19-R20,"")</f>
        <v>0.100877463581834</v>
      </c>
      <c r="S21" s="30" t="n">
        <f aca="false">IF(AND(ISNUMBER(S19),ISNUMBER(S20)),S19-S20,"")</f>
        <v>-0.0140803220370718</v>
      </c>
      <c r="T21" s="30" t="str">
        <f aca="false">IF(AND(ISNUMBER(T19),ISNUMBER(T20)),T19-T20,"")</f>
        <v/>
      </c>
      <c r="U21" s="30" t="n">
        <f aca="false">IF(AND(ISNUMBER(U19),ISNUMBER(U20)),U19-U20,"")</f>
        <v>-0.00336289296747227</v>
      </c>
      <c r="V21" s="30" t="n">
        <f aca="false">IF(AND(ISNUMBER(V19),ISNUMBER(V20)),V19-V20,"")</f>
        <v>0.0152270531400967</v>
      </c>
      <c r="W21" s="30" t="str">
        <f aca="false">IF(AND(ISNUMBER(W19),ISNUMBER(W20)),W19-W20,"")</f>
        <v/>
      </c>
      <c r="X21" s="30" t="n">
        <f aca="false">IF(AND(ISNUMBER(X19),ISNUMBER(X20)),X19-X20,"")</f>
        <v>-0.0193935037758165</v>
      </c>
      <c r="Y21" s="30" t="n">
        <f aca="false">IF(AND(ISNUMBER(Y19),ISNUMBER(Y20)),Y19-Y20,"")</f>
        <v>-0.0666892265193373</v>
      </c>
      <c r="Z21" s="30" t="str">
        <f aca="false">IF(AND(ISNUMBER(Z19),ISNUMBER(Z20)),Z19-Z20,"")</f>
        <v/>
      </c>
      <c r="AA21" s="30" t="n">
        <f aca="false">IF(AND(ISNUMBER(AA19),ISNUMBER(AA20)),AA19-AA20,"")</f>
        <v>-0.0315257810515619</v>
      </c>
      <c r="AB21" s="30" t="n">
        <f aca="false">IF(AND(ISNUMBER(AB19),ISNUMBER(AB20)),AB19-AB20,"")</f>
        <v>0.0320577436058373</v>
      </c>
      <c r="AC21" s="30" t="str">
        <f aca="false">IF(AND(ISNUMBER(AC19),ISNUMBER(AC20)),AC19-AC20,"")</f>
        <v/>
      </c>
      <c r="AD21" s="30" t="n">
        <f aca="false">IF(AND(ISNUMBER(AD19),ISNUMBER(AD20)),AD19-AD20,"")</f>
        <v>0.0303125763125763</v>
      </c>
      <c r="AE21" s="30" t="n">
        <f aca="false">IF(AND(ISNUMBER(AE19),ISNUMBER(AE20)),AE19-AE20,"")</f>
        <v>0.00463530347203817</v>
      </c>
      <c r="AF21" s="30" t="str">
        <f aca="false">IF(AND(ISNUMBER(AF19),ISNUMBER(AF20)),AF19-AF20,"")</f>
        <v/>
      </c>
      <c r="AG21" s="30" t="n">
        <f aca="false">IF(AND(ISNUMBER(AG19),ISNUMBER(AG20)),AG19-AG20,"")</f>
        <v>-0.0130057171896837</v>
      </c>
      <c r="AH21" s="30" t="n">
        <f aca="false">IF(AND(ISNUMBER(AH19),ISNUMBER(AH20)),AH19-AH20,"")</f>
        <v>-0.0710614525139666</v>
      </c>
      <c r="AI21" s="30" t="str">
        <f aca="false">IF(AND(ISNUMBER(AI19),ISNUMBER(AI20)),AI19-AI20,"")</f>
        <v/>
      </c>
      <c r="AJ21" s="30" t="n">
        <f aca="false">IF(AND(ISNUMBER(AJ19),ISNUMBER(AJ20)),AJ19-AJ20,"")</f>
        <v>-0.0130124210376891</v>
      </c>
      <c r="AK21" s="30" t="n">
        <f aca="false">IF(AND(ISNUMBER(AK19),ISNUMBER(AK20)),AK19-AK20,"")</f>
        <v>0.0633002633889379</v>
      </c>
      <c r="AL21" s="30" t="str">
        <f aca="false">IF(AND(ISNUMBER(AL19),ISNUMBER(AL20)),AL19-AL20,"")</f>
        <v/>
      </c>
      <c r="AM21" s="30" t="n">
        <f aca="false">IF(AND(ISNUMBER(AM19),ISNUMBER(AM20)),AM19-AM20,"")</f>
        <v>0.0624596665164489</v>
      </c>
      <c r="AN21" s="30" t="n">
        <f aca="false">IF(AND(ISNUMBER(AN19),ISNUMBER(AN20)),AN19-AN20,"")</f>
        <v>-0.0297558299039781</v>
      </c>
      <c r="AO21" s="30" t="str">
        <f aca="false">IF(AND(ISNUMBER(AO19),ISNUMBER(AO20)),AO19-AO20,"")</f>
        <v/>
      </c>
      <c r="AP21" s="30" t="n">
        <f aca="false">IF(AND(ISNUMBER(AP19),ISNUMBER(AP20)),AP19-AP20,"")</f>
        <v>-0.0513527918781726</v>
      </c>
      <c r="AQ21" s="30" t="n">
        <f aca="false">IF(AND(ISNUMBER(AQ19),ISNUMBER(AQ20)),AQ19-AQ20,"")</f>
        <v>-0.0301300728407909</v>
      </c>
      <c r="AR21" s="30" t="str">
        <f aca="false">IF(AND(ISNUMBER(AR19),ISNUMBER(AR20)),AR19-AR20,"")</f>
        <v/>
      </c>
      <c r="AS21" s="30" t="n">
        <f aca="false">IF(AND(ISNUMBER(AS19),ISNUMBER(AS20)),AS19-AS20,"")</f>
        <v>-0.0183980407321474</v>
      </c>
      <c r="AT21" s="30" t="n">
        <f aca="false">IF(AND(ISNUMBER(AT19),ISNUMBER(AT20)),AT19-AT20,"")</f>
        <v>-0.0119842738205365</v>
      </c>
      <c r="AU21" s="30" t="str">
        <f aca="false">IF(AND(ISNUMBER(AU19),ISNUMBER(AU20)),AU19-AU20,"")</f>
        <v/>
      </c>
      <c r="AV21" s="30" t="n">
        <f aca="false">IF(AND(ISNUMBER(AV19),ISNUMBER(AV20)),AV19-AV20,"")</f>
        <v>-0.0337582292849035</v>
      </c>
      <c r="AW21" s="30" t="n">
        <f aca="false">IF(AND(ISNUMBER(AW19),ISNUMBER(AW20)),AW19-AW20,"")</f>
        <v>-0.0452771618625277</v>
      </c>
      <c r="AX21" s="28" t="n">
        <f aca="false">AX64</f>
        <v>-0.03</v>
      </c>
      <c r="AY21" s="28" t="n">
        <f aca="false">AY19-AY20</f>
        <v>-0.0376132596685083</v>
      </c>
      <c r="AZ21" s="28" t="n">
        <f aca="false">AZ64</f>
        <v>0</v>
      </c>
      <c r="BA21" s="28" t="n">
        <f aca="false">BA64</f>
        <v>0</v>
      </c>
      <c r="BB21" s="28" t="n">
        <f aca="false">BB64</f>
        <v>0</v>
      </c>
      <c r="BC21" s="28" t="n">
        <f aca="false">BC64</f>
        <v>0</v>
      </c>
      <c r="BD21" s="23"/>
      <c r="BF21" s="7"/>
      <c r="BG21" s="7"/>
      <c r="BH21" s="7"/>
      <c r="BI21" s="7"/>
      <c r="BL21" s="13" t="s">
        <v>80</v>
      </c>
      <c r="BM21" s="35" t="n">
        <f aca="false">BN21+$BM$18</f>
        <v>0.11</v>
      </c>
      <c r="BN21" s="29" t="n">
        <v>0.09</v>
      </c>
      <c r="BO21" s="35" t="n">
        <f aca="false">BN21+$BO$18</f>
        <v>0.06</v>
      </c>
    </row>
    <row r="22" customFormat="false" ht="15" hidden="false" customHeight="true" outlineLevel="0" collapsed="false">
      <c r="B22" s="26" t="s">
        <v>70</v>
      </c>
      <c r="C22" s="30" t="str">
        <f aca="false">IF(AND(ISNUMBER(C18),ISNUMBER(C61)),IFERROR(C18/C61,""),"")</f>
        <v/>
      </c>
      <c r="D22" s="30" t="str">
        <f aca="false">IF(AND(ISNUMBER(D18),ISNUMBER(D61)),IFERROR(D18/D61,""),"")</f>
        <v/>
      </c>
      <c r="E22" s="30" t="str">
        <f aca="false">IF(AND(ISNUMBER(E18),ISNUMBER(E61)),IFERROR(E18/E61,""),"")</f>
        <v/>
      </c>
      <c r="F22" s="30" t="n">
        <f aca="false">IF(AND(ISNUMBER(F18),ISNUMBER(F61)),IFERROR(F18/F61,""),"")</f>
        <v>0.188087774294671</v>
      </c>
      <c r="G22" s="30" t="n">
        <f aca="false">IF(AND(ISNUMBER(G18),ISNUMBER(G61)),IFERROR(G18/G61,""),"")</f>
        <v>0.18526228143214</v>
      </c>
      <c r="H22" s="30" t="n">
        <f aca="false">IF(AND(ISNUMBER(H18),ISNUMBER(H61)),IFERROR(H18/H61,""),"")</f>
        <v>0.202674173117523</v>
      </c>
      <c r="I22" s="30" t="n">
        <f aca="false">IF(AND(ISNUMBER(I18),ISNUMBER(I61)),IFERROR(I18/I61,""),"")</f>
        <v>0.213994604213306</v>
      </c>
      <c r="J22" s="30" t="n">
        <f aca="false">IF(AND(ISNUMBER(J18),ISNUMBER(J61)),IFERROR(J18/J61,""),"")</f>
        <v>0.223869616886424</v>
      </c>
      <c r="K22" s="30" t="n">
        <f aca="false">IF(AND(ISNUMBER(K18),ISNUMBER(K61)),IFERROR(K18/K61,""),"")</f>
        <v>0.225123251836201</v>
      </c>
      <c r="L22" s="30" t="n">
        <f aca="false">IF(AND(ISNUMBER(L18),ISNUMBER(L61)),IFERROR(L18/L61,""),"")</f>
        <v>0.224533276518682</v>
      </c>
      <c r="M22" s="30" t="n">
        <f aca="false">IF(AND(ISNUMBER(M18),ISNUMBER(M61)),IFERROR(M18/M61,""),"")</f>
        <v>0.231055640044051</v>
      </c>
      <c r="N22" s="30" t="n">
        <f aca="false">IF(AND(ISNUMBER(N18),ISNUMBER(N61)),IFERROR(N18/N61,""),"")</f>
        <v>0.222905457340507</v>
      </c>
      <c r="O22" s="30" t="n">
        <f aca="false">IF(AND(ISNUMBER(O18),ISNUMBER(O61)),IFERROR(O18/O61,""),"")</f>
        <v>0.226678968581557</v>
      </c>
      <c r="P22" s="30" t="n">
        <f aca="false">IF(AND(ISNUMBER(P18),ISNUMBER(P61)),IFERROR(P18/P61,""),"")</f>
        <v>0.232277985561451</v>
      </c>
      <c r="Q22" s="30" t="n">
        <f aca="false">IF(AND(ISNUMBER(Q18),ISNUMBER(Q61)),IFERROR(Q18/Q61,""),"")</f>
        <v>0.222882322854782</v>
      </c>
      <c r="R22" s="30" t="n">
        <f aca="false">IF(AND(ISNUMBER(R18),ISNUMBER(R61)),IFERROR(R18/R61,""),"")</f>
        <v>0.227345024891037</v>
      </c>
      <c r="S22" s="30" t="n">
        <f aca="false">IF(AND(ISNUMBER(S18),ISNUMBER(S61)),IFERROR(S18/S61,""),"")</f>
        <v>0.21203802343686</v>
      </c>
      <c r="T22" s="30" t="n">
        <f aca="false">IF(AND(ISNUMBER(T18),ISNUMBER(T61)),IFERROR(T18/T61,""),"")</f>
        <v>0.210602549246813</v>
      </c>
      <c r="U22" s="30" t="n">
        <f aca="false">IF(AND(ISNUMBER(U18),ISNUMBER(U61)),IFERROR(U18/U61,""),"")</f>
        <v>0.21127599861597</v>
      </c>
      <c r="V22" s="30" t="n">
        <f aca="false">IF(AND(ISNUMBER(V18),ISNUMBER(V61)),IFERROR(V18/V61,""),"")</f>
        <v>0.213482731930264</v>
      </c>
      <c r="W22" s="30" t="n">
        <f aca="false">IF(AND(ISNUMBER(W18),ISNUMBER(W61)),IFERROR(W18/W61,""),"")</f>
        <v>0.212235543018336</v>
      </c>
      <c r="X22" s="30" t="n">
        <f aca="false">IF(AND(ISNUMBER(X18),ISNUMBER(X61)),IFERROR(X18/X61,""),"")</f>
        <v>0.212845326269125</v>
      </c>
      <c r="Y22" s="30" t="n">
        <f aca="false">IF(AND(ISNUMBER(Y18),ISNUMBER(Y61)),IFERROR(Y18/Y61,""),"")</f>
        <v>0.223339758191694</v>
      </c>
      <c r="Z22" s="30" t="n">
        <f aca="false">IF(AND(ISNUMBER(Z18),ISNUMBER(Z61)),IFERROR(Z18/Z61,""),"")</f>
        <v>0.216250080318705</v>
      </c>
      <c r="AA22" s="30" t="n">
        <f aca="false">IF(AND(ISNUMBER(AA18),ISNUMBER(AA61)),IFERROR(AA18/AA61,""),"")</f>
        <v>0.219640971488912</v>
      </c>
      <c r="AB22" s="30" t="n">
        <f aca="false">IF(AND(ISNUMBER(AB18),ISNUMBER(AB61)),IFERROR(AB18/AB61,""),"")</f>
        <v>0.229759766160217</v>
      </c>
      <c r="AC22" s="30" t="n">
        <f aca="false">IF(AND(ISNUMBER(AC18),ISNUMBER(AC61)),IFERROR(AC18/AC61,""),"")</f>
        <v>0.227723597566058</v>
      </c>
      <c r="AD22" s="30" t="n">
        <f aca="false">IF(AND(ISNUMBER(AD18),ISNUMBER(AD61)),IFERROR(AD18/AD61,""),"")</f>
        <v>0.228695121596885</v>
      </c>
      <c r="AE22" s="30" t="n">
        <f aca="false">IF(AND(ISNUMBER(AE18),ISNUMBER(AE61)),IFERROR(AE18/AE61,""),"")</f>
        <v>0.21584468829133</v>
      </c>
      <c r="AF22" s="30" t="n">
        <f aca="false">IF(AND(ISNUMBER(AF18),ISNUMBER(AF61)),IFERROR(AF18/AF61,""),"")</f>
        <v>0.223472421570638</v>
      </c>
      <c r="AG22" s="30" t="n">
        <f aca="false">IF(AND(ISNUMBER(AG18),ISNUMBER(AG61)),IFERROR(AG18/AG61,""),"")</f>
        <v>0.220502386728226</v>
      </c>
      <c r="AH22" s="30" t="n">
        <f aca="false">IF(AND(ISNUMBER(AH18),ISNUMBER(AH61)),IFERROR(AH18/AH61,""),"")</f>
        <v>0.242048593893887</v>
      </c>
      <c r="AI22" s="30" t="n">
        <f aca="false">IF(AND(ISNUMBER(AI18),ISNUMBER(AI61)),IFERROR(AI18/AI61,""),"")</f>
        <v>0.251564508312438</v>
      </c>
      <c r="AJ22" s="30" t="n">
        <f aca="false">IF(AND(ISNUMBER(AJ18),ISNUMBER(AJ61)),IFERROR(AJ18/AJ61,""),"")</f>
        <v>0.247077162899454</v>
      </c>
      <c r="AK22" s="30" t="n">
        <f aca="false">IF(AND(ISNUMBER(AK18),ISNUMBER(AK61)),IFERROR(AK18/AK61,""),"")</f>
        <v>0.266350018268177</v>
      </c>
      <c r="AL22" s="30" t="n">
        <f aca="false">IF(AND(ISNUMBER(AL18),ISNUMBER(AL61)),IFERROR(AL18/AL61,""),"")</f>
        <v>0.276481149012567</v>
      </c>
      <c r="AM22" s="30" t="n">
        <f aca="false">IF(AND(ISNUMBER(AM18),ISNUMBER(AM61)),IFERROR(AM18/AM61,""),"")</f>
        <v>0.271700715455564</v>
      </c>
      <c r="AN22" s="30" t="n">
        <f aca="false">IF(AND(ISNUMBER(AN18),ISNUMBER(AN61)),IFERROR(AN18/AN61,""),"")</f>
        <v>0.286951328754852</v>
      </c>
      <c r="AO22" s="30" t="n">
        <f aca="false">IF(AND(ISNUMBER(AO18),ISNUMBER(AO61)),IFERROR(AO18/AO61,""),"")</f>
        <v>0.290830732649725</v>
      </c>
      <c r="AP22" s="30" t="n">
        <f aca="false">IF(AND(ISNUMBER(AP18),ISNUMBER(AP61)),IFERROR(AP18/AP61,""),"")</f>
        <v>0.288895509048931</v>
      </c>
      <c r="AQ22" s="30" t="n">
        <f aca="false">IF(AND(ISNUMBER(AQ18),ISNUMBER(AQ61)),IFERROR(AQ18/AQ61,""),"")</f>
        <v>0.288113006396589</v>
      </c>
      <c r="AR22" s="30" t="n">
        <f aca="false">IF(AND(ISNUMBER(AR18),ISNUMBER(AR61)),IFERROR(AR18/AR61,""),"")</f>
        <v>0.292590660057396</v>
      </c>
      <c r="AS22" s="30" t="n">
        <f aca="false">IF(AND(ISNUMBER(AS18),ISNUMBER(AS61)),IFERROR(AS18/AS61,""),"")</f>
        <v>0.290375741595254</v>
      </c>
      <c r="AT22" s="30" t="n">
        <f aca="false">IF(AND(ISNUMBER(AT18),ISNUMBER(AT61)),IFERROR(AT18/AT61,""),"")</f>
        <v>0.280717042200921</v>
      </c>
      <c r="AU22" s="30" t="n">
        <f aca="false">IF(AND(ISNUMBER(AU18),ISNUMBER(AU61)),IFERROR(AU18/AU61,""),"")</f>
        <v>0.284889558232932</v>
      </c>
      <c r="AV22" s="30" t="n">
        <f aca="false">IF(AND(ISNUMBER(AV18),ISNUMBER(AV61)),IFERROR(AV18/AV61,""),"")</f>
        <v>0.282794825323417</v>
      </c>
      <c r="AW22" s="30" t="n">
        <f aca="false">IF(AND(ISNUMBER(AW18),ISNUMBER(AW61)),IFERROR(AW18/AW61,""),"")</f>
        <v>0.26926375107191</v>
      </c>
      <c r="AX22" s="28" t="n">
        <f aca="false">IF(AND(ISNUMBER(AX18),ISNUMBER(AX61)),IFERROR(AX18/AX61,""),"")</f>
        <v>0.278105626037877</v>
      </c>
      <c r="AY22" s="28" t="n">
        <f aca="false">IF(AND(ISNUMBER(AY18),ISNUMBER(AY61)),IFERROR(AY18/AY61,""),"")</f>
        <v>0.273706511675816</v>
      </c>
      <c r="AZ22" s="28" t="n">
        <f aca="false">IF(AND(ISNUMBER(AZ18),ISNUMBER(AZ61)),IFERROR(AZ18/AZ61,""),"")</f>
        <v>0.270058501776921</v>
      </c>
      <c r="BA22" s="28" t="n">
        <f aca="false">IF(AND(ISNUMBER(BA18),ISNUMBER(BA61)),IFERROR(BA18/BA61,""),"")</f>
        <v>0.266320803098875</v>
      </c>
      <c r="BB22" s="28" t="n">
        <f aca="false">IF(AND(ISNUMBER(BB18),ISNUMBER(BB61)),IFERROR(BB18/BB61,""),"")</f>
        <v>0.263375602784586</v>
      </c>
      <c r="BC22" s="28" t="n">
        <f aca="false">IF(AND(ISNUMBER(BC18),ISNUMBER(BC61)),IFERROR(BC18/BC61,""),"")</f>
        <v>0.260309047551814</v>
      </c>
      <c r="BD22" s="23"/>
      <c r="BF22" s="32" t="n">
        <f aca="false">IFERROR(AVERAGE(AY22,AZ22,BA22,BB22,BC22),"n/m")</f>
        <v>0.266754093377602</v>
      </c>
      <c r="BG22" s="32" t="n">
        <f aca="false">IFERROR(AVERAGE(AJ22,AM22,AP22,AS22,AV22),"n/m")</f>
        <v>0.276168790864524</v>
      </c>
      <c r="BH22" s="32" t="n">
        <f aca="false">IFERROR(AVERAGE(U22,X22,AA22,AD22,AG22,AJ22,AM22,AP22,AS22,AV22),"n/m")</f>
        <v>0.247380375902174</v>
      </c>
      <c r="BI22" s="32" t="n">
        <f aca="false">IFERROR(AVERAGE(C22,D22,E22,F22,G22,H22,I22,L22,O22,R22,U22,X22,AA22,AD22,AG22,AJ22,AM22,AP22,AS22,AV22),"n/m")</f>
        <v>0.231904697768862</v>
      </c>
      <c r="BL22" s="13" t="s">
        <v>81</v>
      </c>
      <c r="BM22" s="35" t="n">
        <f aca="false">BN22+$BM$18</f>
        <v>0.105</v>
      </c>
      <c r="BN22" s="29" t="n">
        <v>0.085</v>
      </c>
      <c r="BO22" s="35" t="n">
        <f aca="false">BN22+$BO$18</f>
        <v>0.055</v>
      </c>
    </row>
    <row r="23" customFormat="false" ht="15" hidden="false" customHeight="true" outlineLevel="0" collapsed="false">
      <c r="B23" s="13"/>
      <c r="AX23" s="7"/>
      <c r="AY23" s="7"/>
      <c r="AZ23" s="7"/>
      <c r="BA23" s="7"/>
      <c r="BB23" s="7"/>
      <c r="BC23" s="7"/>
      <c r="BD23" s="7"/>
      <c r="BL23" s="13" t="s">
        <v>82</v>
      </c>
      <c r="BM23" s="35" t="n">
        <f aca="false">BN23+$BM$18</f>
        <v>0.1</v>
      </c>
      <c r="BN23" s="29" t="n">
        <v>0.08</v>
      </c>
      <c r="BO23" s="35" t="n">
        <f aca="false">BN23+$BO$18</f>
        <v>0.05</v>
      </c>
    </row>
    <row r="24" customFormat="false" ht="15" hidden="false" customHeight="true" outlineLevel="0" collapsed="false">
      <c r="B24" s="17" t="s">
        <v>83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8" t="s">
        <v>84</v>
      </c>
      <c r="BL24" s="18" t="s">
        <v>85</v>
      </c>
      <c r="BM24" s="34" t="n">
        <v>0.02</v>
      </c>
      <c r="BN24" s="25" t="s">
        <v>75</v>
      </c>
      <c r="BO24" s="34" t="n">
        <v>-0.03</v>
      </c>
      <c r="BP24" s="16" t="s">
        <v>86</v>
      </c>
    </row>
    <row r="25" customFormat="false" ht="15" hidden="false" customHeight="true" outlineLevel="0" collapsed="false">
      <c r="B25" s="19" t="s">
        <v>57</v>
      </c>
      <c r="C25" s="20"/>
      <c r="D25" s="20"/>
      <c r="E25" s="20"/>
      <c r="F25" s="21" t="n">
        <v>227</v>
      </c>
      <c r="G25" s="21" t="n">
        <v>284</v>
      </c>
      <c r="H25" s="21" t="n">
        <v>347</v>
      </c>
      <c r="I25" s="21" t="n">
        <v>424.6</v>
      </c>
      <c r="J25" s="21" t="n">
        <v>201.7</v>
      </c>
      <c r="K25" s="20" t="n">
        <f aca="false">L25-J25</f>
        <v>252.2</v>
      </c>
      <c r="L25" s="21" t="n">
        <v>453.9</v>
      </c>
      <c r="M25" s="21" t="n">
        <v>216</v>
      </c>
      <c r="N25" s="20" t="n">
        <f aca="false">O25-M25</f>
        <v>266.3</v>
      </c>
      <c r="O25" s="21" t="n">
        <v>482.3</v>
      </c>
      <c r="P25" s="21" t="n">
        <v>250.6</v>
      </c>
      <c r="Q25" s="20" t="n">
        <f aca="false">R25-P25</f>
        <v>270.6</v>
      </c>
      <c r="R25" s="21" t="n">
        <v>521.2</v>
      </c>
      <c r="S25" s="21" t="n">
        <v>230.3</v>
      </c>
      <c r="T25" s="20" t="n">
        <f aca="false">U25-S25</f>
        <v>285</v>
      </c>
      <c r="U25" s="21" t="n">
        <v>515.3</v>
      </c>
      <c r="V25" s="21" t="n">
        <v>246.3</v>
      </c>
      <c r="W25" s="20" t="n">
        <f aca="false">X25-V25</f>
        <v>288</v>
      </c>
      <c r="X25" s="21" t="n">
        <v>534.3</v>
      </c>
      <c r="Y25" s="21" t="n">
        <v>249.4</v>
      </c>
      <c r="Z25" s="20" t="n">
        <f aca="false">AA25-Y25</f>
        <v>287.5</v>
      </c>
      <c r="AA25" s="21" t="n">
        <v>536.9</v>
      </c>
      <c r="AB25" s="21" t="n">
        <v>266.6</v>
      </c>
      <c r="AC25" s="20" t="n">
        <f aca="false">AD25-AB25</f>
        <v>325.9</v>
      </c>
      <c r="AD25" s="21" t="n">
        <v>592.5</v>
      </c>
      <c r="AE25" s="21" t="n">
        <v>165.2</v>
      </c>
      <c r="AF25" s="20" t="n">
        <f aca="false">AG25-AE25</f>
        <v>286.8</v>
      </c>
      <c r="AG25" s="21" t="n">
        <v>452</v>
      </c>
      <c r="AH25" s="21" t="n">
        <v>273.9</v>
      </c>
      <c r="AI25" s="20" t="n">
        <f aca="false">AJ25-AH25</f>
        <v>395.1</v>
      </c>
      <c r="AJ25" s="21" t="n">
        <v>669</v>
      </c>
      <c r="AK25" s="21" t="n">
        <v>372</v>
      </c>
      <c r="AL25" s="20" t="n">
        <f aca="false">AM25-AK25</f>
        <v>470</v>
      </c>
      <c r="AM25" s="21" t="n">
        <v>842</v>
      </c>
      <c r="AN25" s="21" t="n">
        <v>444</v>
      </c>
      <c r="AO25" s="20" t="n">
        <f aca="false">AP25-AN25</f>
        <v>488</v>
      </c>
      <c r="AP25" s="21" t="n">
        <v>932</v>
      </c>
      <c r="AQ25" s="21" t="n">
        <v>436</v>
      </c>
      <c r="AR25" s="20" t="n">
        <f aca="false">AS25-AQ25</f>
        <v>514</v>
      </c>
      <c r="AS25" s="21" t="n">
        <v>950</v>
      </c>
      <c r="AT25" s="21" t="n">
        <v>447</v>
      </c>
      <c r="AU25" s="20" t="n">
        <f aca="false">AV25-AT25</f>
        <v>517</v>
      </c>
      <c r="AV25" s="21" t="n">
        <v>964</v>
      </c>
      <c r="AW25" s="21" t="n">
        <v>469</v>
      </c>
      <c r="AX25" s="22" t="n">
        <f aca="false">AU25*(1+AX27+AX64)</f>
        <v>542.85</v>
      </c>
      <c r="AY25" s="22" t="n">
        <f aca="false">AW25+AX25</f>
        <v>1011.85</v>
      </c>
      <c r="AZ25" s="22" t="n">
        <f aca="false">AY25*(1+AZ27+AZ64)</f>
        <v>1072.561</v>
      </c>
      <c r="BA25" s="22" t="n">
        <f aca="false">AZ25*(1+BA27+BA64)</f>
        <v>1136.91466</v>
      </c>
      <c r="BB25" s="22" t="n">
        <f aca="false">BA25*(1+BB27+BB64)</f>
        <v>1199.4449663</v>
      </c>
      <c r="BC25" s="22" t="n">
        <f aca="false">BB25*(1+BC27+BC64)</f>
        <v>1259.417214615</v>
      </c>
      <c r="BD25" s="23" t="s">
        <v>58</v>
      </c>
      <c r="BF25" s="24" t="n">
        <f aca="false">IFERROR((BC25/AV25)^(1/5)-1,"n/m")</f>
        <v>0.0549175519360323</v>
      </c>
      <c r="BG25" s="24" t="n">
        <f aca="false">IFERROR((AV25/AG25)^(1/5)-1,"n/m")</f>
        <v>0.163557151587519</v>
      </c>
      <c r="BH25" s="24" t="n">
        <f aca="false">IFERROR((AV25/R25)^(1/10)-1,"n/m")</f>
        <v>0.063425971573589</v>
      </c>
      <c r="BI25" s="24" t="str">
        <f aca="false">IFERROR((AV25/C25)^(1/19)-1,"n/m")</f>
        <v>n/m</v>
      </c>
      <c r="BL25" s="13" t="s">
        <v>77</v>
      </c>
      <c r="BM25" s="35" t="n">
        <f aca="false">BN25+$BM$24</f>
        <v>0.06</v>
      </c>
      <c r="BN25" s="29" t="n">
        <v>0.04</v>
      </c>
      <c r="BO25" s="35" t="n">
        <f aca="false">BN25+$BO$24</f>
        <v>0.01</v>
      </c>
    </row>
    <row r="26" customFormat="false" ht="15" hidden="false" customHeight="true" outlineLevel="0" collapsed="false">
      <c r="B26" s="26" t="s">
        <v>60</v>
      </c>
      <c r="C26" s="27"/>
      <c r="D26" s="27" t="str">
        <f aca="false">IF(AND(ISNUMBER(D25),ISNUMBER(C25)),IFERROR(D25/C25-1,""),"")</f>
        <v/>
      </c>
      <c r="E26" s="27" t="str">
        <f aca="false">IF(AND(ISNUMBER(E25),ISNUMBER(D25)),IFERROR(E25/D25-1,""),"")</f>
        <v/>
      </c>
      <c r="F26" s="27" t="str">
        <f aca="false">IF(AND(ISNUMBER(F25),ISNUMBER(E25)),IFERROR(F25/E25-1,""),"")</f>
        <v/>
      </c>
      <c r="G26" s="27" t="n">
        <f aca="false">IF(AND(ISNUMBER(G25),ISNUMBER(F25)),IFERROR(G25/F25-1,""),"")</f>
        <v>0.251101321585903</v>
      </c>
      <c r="H26" s="27" t="n">
        <f aca="false">IF(AND(ISNUMBER(H25),ISNUMBER(G25)),IFERROR(H25/G25-1,""),"")</f>
        <v>0.221830985915493</v>
      </c>
      <c r="I26" s="27" t="n">
        <f aca="false">IF(AND(ISNUMBER(I25),ISNUMBER(H25)),IFERROR(I25/H25-1,""),"")</f>
        <v>0.223631123919309</v>
      </c>
      <c r="J26" s="27"/>
      <c r="K26" s="27"/>
      <c r="L26" s="27" t="n">
        <f aca="false">IF(AND(ISNUMBER(L25),ISNUMBER(I25)),IFERROR(L25/I25-1,""),"")</f>
        <v>0.0690061234102684</v>
      </c>
      <c r="M26" s="27" t="n">
        <f aca="false">IF(AND(ISNUMBER(M25),ISNUMBER(J25)),IFERROR(M25/J25-1,""),"")</f>
        <v>0.0708973723351514</v>
      </c>
      <c r="N26" s="27" t="n">
        <f aca="false">IF(AND(ISNUMBER(N25),ISNUMBER(K25)),IFERROR(N25/K25-1,""),"")</f>
        <v>0.055908009516257</v>
      </c>
      <c r="O26" s="27" t="n">
        <f aca="false">IF(AND(ISNUMBER(O25),ISNUMBER(L25)),IFERROR(O25/L25-1,""),"")</f>
        <v>0.0625688477638247</v>
      </c>
      <c r="P26" s="27" t="n">
        <f aca="false">IF(AND(ISNUMBER(P25),ISNUMBER(M25)),IFERROR(P25/M25-1,""),"")</f>
        <v>0.160185185185185</v>
      </c>
      <c r="Q26" s="27" t="n">
        <f aca="false">IF(AND(ISNUMBER(Q25),ISNUMBER(N25)),IFERROR(Q25/N25-1,""),"")</f>
        <v>0.0161472024033047</v>
      </c>
      <c r="R26" s="27" t="n">
        <f aca="false">IF(AND(ISNUMBER(R25),ISNUMBER(O25)),IFERROR(R25/O25-1,""),"")</f>
        <v>0.0806551938627411</v>
      </c>
      <c r="S26" s="27" t="n">
        <f aca="false">IF(AND(ISNUMBER(S25),ISNUMBER(P25)),IFERROR(S25/P25-1,""),"")</f>
        <v>-0.0810055865921787</v>
      </c>
      <c r="T26" s="27" t="n">
        <f aca="false">IF(AND(ISNUMBER(T25),ISNUMBER(Q25)),IFERROR(T25/Q25-1,""),"")</f>
        <v>0.0532150776053213</v>
      </c>
      <c r="U26" s="27" t="n">
        <f aca="false">IF(AND(ISNUMBER(U25),ISNUMBER(R25)),IFERROR(U25/R25-1,""),"")</f>
        <v>-0.0113200306983885</v>
      </c>
      <c r="V26" s="27" t="n">
        <f aca="false">IF(AND(ISNUMBER(V25),ISNUMBER(S25)),IFERROR(V25/S25-1,""),"")</f>
        <v>0.0694745983499783</v>
      </c>
      <c r="W26" s="27" t="n">
        <f aca="false">IF(AND(ISNUMBER(W25),ISNUMBER(T25)),IFERROR(W25/T25-1,""),"")</f>
        <v>0.0105263157894737</v>
      </c>
      <c r="X26" s="27" t="n">
        <f aca="false">IF(AND(ISNUMBER(X25),ISNUMBER(U25)),IFERROR(X25/U25-1,""),"")</f>
        <v>0.0368717252086164</v>
      </c>
      <c r="Y26" s="27" t="n">
        <f aca="false">IF(AND(ISNUMBER(Y25),ISNUMBER(V25)),IFERROR(Y25/V25-1,""),"")</f>
        <v>0.0125862768980918</v>
      </c>
      <c r="Z26" s="27" t="n">
        <f aca="false">IF(AND(ISNUMBER(Z25),ISNUMBER(W25)),IFERROR(Z25/W25-1,""),"")</f>
        <v>-0.00173611111111094</v>
      </c>
      <c r="AA26" s="27" t="n">
        <f aca="false">IF(AND(ISNUMBER(AA25),ISNUMBER(X25)),IFERROR(AA25/X25-1,""),"")</f>
        <v>0.00486618004866179</v>
      </c>
      <c r="AB26" s="27" t="n">
        <f aca="false">IF(AND(ISNUMBER(AB25),ISNUMBER(Y25)),IFERROR(AB25/Y25-1,""),"")</f>
        <v>0.0689655172413795</v>
      </c>
      <c r="AC26" s="27" t="n">
        <f aca="false">IF(AND(ISNUMBER(AC25),ISNUMBER(Z25)),IFERROR(AC25/Z25-1,""),"")</f>
        <v>0.133565217391304</v>
      </c>
      <c r="AD26" s="27" t="n">
        <f aca="false">IF(AND(ISNUMBER(AD25),ISNUMBER(AA25)),IFERROR(AD25/AA25-1,""),"")</f>
        <v>0.103557459489663</v>
      </c>
      <c r="AE26" s="27" t="n">
        <f aca="false">IF(AND(ISNUMBER(AE25),ISNUMBER(AB25)),IFERROR(AE25/AB25-1,""),"")</f>
        <v>-0.380345086271568</v>
      </c>
      <c r="AF26" s="27" t="n">
        <f aca="false">IF(AND(ISNUMBER(AF25),ISNUMBER(AC25)),IFERROR(AF25/AC25-1,""),"")</f>
        <v>-0.11997545259282</v>
      </c>
      <c r="AG26" s="27" t="n">
        <f aca="false">IF(AND(ISNUMBER(AG25),ISNUMBER(AD25)),IFERROR(AG25/AD25-1,""),"")</f>
        <v>-0.237130801687764</v>
      </c>
      <c r="AH26" s="27" t="n">
        <f aca="false">IF(AND(ISNUMBER(AH25),ISNUMBER(AE25)),IFERROR(AH25/AE25-1,""),"")</f>
        <v>0.657990314769976</v>
      </c>
      <c r="AI26" s="27" t="n">
        <f aca="false">IF(AND(ISNUMBER(AI25),ISNUMBER(AF25)),IFERROR(AI25/AF25-1,""),"")</f>
        <v>0.377615062761506</v>
      </c>
      <c r="AJ26" s="27" t="n">
        <f aca="false">IF(AND(ISNUMBER(AJ25),ISNUMBER(AG25)),IFERROR(AJ25/AG25-1,""),"")</f>
        <v>0.480088495575221</v>
      </c>
      <c r="AK26" s="27" t="n">
        <f aca="false">IF(AND(ISNUMBER(AK25),ISNUMBER(AH25)),IFERROR(AK25/AH25-1,""),"")</f>
        <v>0.35815991237678</v>
      </c>
      <c r="AL26" s="27" t="n">
        <f aca="false">IF(AND(ISNUMBER(AL25),ISNUMBER(AI25)),IFERROR(AL25/AI25-1,""),"")</f>
        <v>0.189572260187294</v>
      </c>
      <c r="AM26" s="27" t="n">
        <f aca="false">IF(AND(ISNUMBER(AM25),ISNUMBER(AJ25)),IFERROR(AM25/AJ25-1,""),"")</f>
        <v>0.258594917787743</v>
      </c>
      <c r="AN26" s="27" t="n">
        <f aca="false">IF(AND(ISNUMBER(AN25),ISNUMBER(AK25)),IFERROR(AN25/AK25-1,""),"")</f>
        <v>0.193548387096774</v>
      </c>
      <c r="AO26" s="27" t="n">
        <f aca="false">IF(AND(ISNUMBER(AO25),ISNUMBER(AL25)),IFERROR(AO25/AL25-1,""),"")</f>
        <v>0.0382978723404255</v>
      </c>
      <c r="AP26" s="27" t="n">
        <f aca="false">IF(AND(ISNUMBER(AP25),ISNUMBER(AM25)),IFERROR(AP25/AM25-1,""),"")</f>
        <v>0.106888361045131</v>
      </c>
      <c r="AQ26" s="27" t="n">
        <f aca="false">IF(AND(ISNUMBER(AQ25),ISNUMBER(AN25)),IFERROR(AQ25/AN25-1,""),"")</f>
        <v>-0.0180180180180181</v>
      </c>
      <c r="AR26" s="27" t="n">
        <f aca="false">IF(AND(ISNUMBER(AR25),ISNUMBER(AO25)),IFERROR(AR25/AO25-1,""),"")</f>
        <v>0.0532786885245902</v>
      </c>
      <c r="AS26" s="27" t="n">
        <f aca="false">IF(AND(ISNUMBER(AS25),ISNUMBER(AP25)),IFERROR(AS25/AP25-1,""),"")</f>
        <v>0.0193133047210301</v>
      </c>
      <c r="AT26" s="27" t="n">
        <f aca="false">IF(AND(ISNUMBER(AT25),ISNUMBER(AQ25)),IFERROR(AT25/AQ25-1,""),"")</f>
        <v>0.025229357798165</v>
      </c>
      <c r="AU26" s="27" t="n">
        <f aca="false">IF(AND(ISNUMBER(AU25),ISNUMBER(AR25)),IFERROR(AU25/AR25-1,""),"")</f>
        <v>0.00583657587548636</v>
      </c>
      <c r="AV26" s="27" t="n">
        <f aca="false">IF(AND(ISNUMBER(AV25),ISNUMBER(AS25)),IFERROR(AV25/AS25-1,""),"")</f>
        <v>0.0147368421052632</v>
      </c>
      <c r="AW26" s="27" t="n">
        <f aca="false">IF(AND(ISNUMBER(AW25),ISNUMBER(AT25)),IFERROR(AW25/AT25-1,""),"")</f>
        <v>0.0492170022371365</v>
      </c>
      <c r="AX26" s="28" t="n">
        <f aca="false">IF(AND(ISNUMBER(AX25),ISNUMBER(AU25)),IFERROR(AX25/AU25-1,""),"")</f>
        <v>0.05</v>
      </c>
      <c r="AY26" s="28" t="n">
        <f aca="false">IF(AND(ISNUMBER(AY25),ISNUMBER(AV25)),IFERROR(AY25/AV25-1,""),"")</f>
        <v>0.049636929460581</v>
      </c>
      <c r="AZ26" s="28" t="n">
        <f aca="false">IF(AND(ISNUMBER(AZ25),ISNUMBER(AY25)),IFERROR(AZ25/AY25-1,""),"")</f>
        <v>0.0600000000000001</v>
      </c>
      <c r="BA26" s="28" t="n">
        <f aca="false">IF(AND(ISNUMBER(BA25),ISNUMBER(AZ25)),IFERROR(BA25/AZ25-1,""),"")</f>
        <v>0.0600000000000001</v>
      </c>
      <c r="BB26" s="28" t="n">
        <f aca="false">IF(AND(ISNUMBER(BB25),ISNUMBER(BA25)),IFERROR(BB25/BA25-1,""),"")</f>
        <v>0.0549999999999999</v>
      </c>
      <c r="BC26" s="28" t="n">
        <f aca="false">IF(AND(ISNUMBER(BC25),ISNUMBER(BB25)),IFERROR(BC25/BB25-1,""),"")</f>
        <v>0.05</v>
      </c>
      <c r="BD26" s="23"/>
      <c r="BF26" s="7"/>
      <c r="BG26" s="7"/>
      <c r="BH26" s="7"/>
      <c r="BI26" s="7"/>
      <c r="BL26" s="13" t="s">
        <v>79</v>
      </c>
      <c r="BM26" s="35" t="n">
        <f aca="false">BN26+$BM$24</f>
        <v>0.08</v>
      </c>
      <c r="BN26" s="29" t="n">
        <v>0.06</v>
      </c>
      <c r="BO26" s="35" t="n">
        <f aca="false">BN26+$BO$24</f>
        <v>0.03</v>
      </c>
    </row>
    <row r="27" customFormat="false" ht="15" hidden="false" customHeight="true" outlineLevel="0" collapsed="false">
      <c r="B27" s="26" t="s">
        <v>63</v>
      </c>
      <c r="C27" s="30"/>
      <c r="D27" s="30"/>
      <c r="E27" s="30"/>
      <c r="F27" s="30"/>
      <c r="G27" s="31" t="n">
        <v>0.189</v>
      </c>
      <c r="H27" s="31" t="n">
        <v>0.226</v>
      </c>
      <c r="I27" s="31" t="n">
        <v>0.159</v>
      </c>
      <c r="J27" s="31" t="n">
        <v>0.129</v>
      </c>
      <c r="K27" s="30"/>
      <c r="L27" s="31" t="n">
        <v>0.115</v>
      </c>
      <c r="M27" s="31" t="n">
        <v>0.113</v>
      </c>
      <c r="N27" s="30"/>
      <c r="O27" s="31" t="n">
        <v>0.076</v>
      </c>
      <c r="P27" s="31" t="n">
        <v>0.046</v>
      </c>
      <c r="Q27" s="30"/>
      <c r="R27" s="31" t="n">
        <v>-0.005</v>
      </c>
      <c r="S27" s="31" t="n">
        <v>-0.069</v>
      </c>
      <c r="T27" s="30"/>
      <c r="U27" s="31" t="n">
        <v>-0.008</v>
      </c>
      <c r="V27" s="31" t="n">
        <v>0.058</v>
      </c>
      <c r="W27" s="30"/>
      <c r="X27" s="31" t="n">
        <v>0.057</v>
      </c>
      <c r="Y27" s="31" t="n">
        <v>0.071</v>
      </c>
      <c r="Z27" s="30"/>
      <c r="AA27" s="31" t="n">
        <v>0.032</v>
      </c>
      <c r="AB27" s="31" t="n">
        <v>0.04</v>
      </c>
      <c r="AC27" s="30"/>
      <c r="AD27" s="31" t="n">
        <v>0.075</v>
      </c>
      <c r="AE27" s="31" t="n">
        <v>-0.385</v>
      </c>
      <c r="AF27" s="30"/>
      <c r="AG27" s="31" t="n">
        <v>-0.228</v>
      </c>
      <c r="AH27" s="31" t="n">
        <v>0.719</v>
      </c>
      <c r="AI27" s="30"/>
      <c r="AJ27" s="31" t="n">
        <v>0.491</v>
      </c>
      <c r="AK27" s="31" t="n">
        <v>0.29</v>
      </c>
      <c r="AL27" s="30"/>
      <c r="AM27" s="31" t="n">
        <v>0.203</v>
      </c>
      <c r="AN27" s="31" t="n">
        <v>0.224</v>
      </c>
      <c r="AO27" s="30"/>
      <c r="AP27" s="31" t="n">
        <v>0.156</v>
      </c>
      <c r="AQ27" s="31" t="n">
        <v>0.015</v>
      </c>
      <c r="AR27" s="30"/>
      <c r="AS27" s="31" t="n">
        <v>0.038</v>
      </c>
      <c r="AT27" s="31" t="n">
        <v>0.035</v>
      </c>
      <c r="AU27" s="30"/>
      <c r="AV27" s="31" t="n">
        <v>0.047</v>
      </c>
      <c r="AW27" s="31" t="n">
        <v>0.097</v>
      </c>
      <c r="AX27" s="28" t="n">
        <f aca="false">CHOOSE(MATCH($BD$2,{"Bull","Base","Bear"},0),$BM$31,$BN$31,$BO$31)</f>
        <v>0.08</v>
      </c>
      <c r="AY27" s="28" t="n">
        <f aca="false">(AT25*(1+AW27)+AU25*(1+AX27))/AV25-1</f>
        <v>0.0878827800829876</v>
      </c>
      <c r="AZ27" s="28" t="n">
        <f aca="false">CHOOSE(MATCH($BD$2,{"Bull","Base","Bear"},0),$BM$32,$BN$32,$BO$32)</f>
        <v>0.06</v>
      </c>
      <c r="BA27" s="28" t="n">
        <f aca="false">CHOOSE(MATCH($BD$2,{"Bull","Base","Bear"},0),$BM$33,$BN$33,$BO$33)</f>
        <v>0.06</v>
      </c>
      <c r="BB27" s="28" t="n">
        <f aca="false">CHOOSE(MATCH($BD$2,{"Bull","Base","Bear"},0),$BM$34,$BN$34,$BO$34)</f>
        <v>0.055</v>
      </c>
      <c r="BC27" s="28" t="n">
        <f aca="false">CHOOSE(MATCH($BD$2,{"Bull","Base","Bear"},0),$BM$35,$BN$35,$BO$35)</f>
        <v>0.05</v>
      </c>
      <c r="BD27" s="23" t="s">
        <v>87</v>
      </c>
      <c r="BF27" s="32" t="n">
        <f aca="false">IFERROR(AVERAGE(AY27,AZ27,BA27,BB27,BC27),"n/m")</f>
        <v>0.0625765560165975</v>
      </c>
      <c r="BG27" s="32" t="n">
        <f aca="false">IFERROR(AVERAGE(AJ27,AM27,AP27,AS27,AV27),"n/m")</f>
        <v>0.187</v>
      </c>
      <c r="BH27" s="32" t="n">
        <f aca="false">IFERROR(AVERAGE(U27,X27,AA27,AD27,AG27,AJ27,AM27,AP27,AS27,AV27),"n/m")</f>
        <v>0.0863</v>
      </c>
      <c r="BI27" s="32" t="n">
        <f aca="false">IFERROR(AVERAGE(C27,D27,E27,F27,G27,H27,I27,L27,O27,R27,U27,X27,AA27,AD27,AG27,AJ27,AM27,AP27,AS27,AV27),"n/m")</f>
        <v>0.1014375</v>
      </c>
      <c r="BL27" s="13" t="s">
        <v>80</v>
      </c>
      <c r="BM27" s="35" t="n">
        <f aca="false">BN27+$BM$24</f>
        <v>0.08</v>
      </c>
      <c r="BN27" s="29" t="n">
        <v>0.06</v>
      </c>
      <c r="BO27" s="35" t="n">
        <f aca="false">BN27+$BO$24</f>
        <v>0.03</v>
      </c>
    </row>
    <row r="28" customFormat="false" ht="15" hidden="false" customHeight="true" outlineLevel="0" collapsed="false">
      <c r="B28" s="26" t="s">
        <v>67</v>
      </c>
      <c r="C28" s="30" t="str">
        <f aca="false">IF(AND(ISNUMBER(C26),ISNUMBER(C27)),C26-C27,"")</f>
        <v/>
      </c>
      <c r="D28" s="30" t="str">
        <f aca="false">IF(AND(ISNUMBER(D26),ISNUMBER(D27)),D26-D27,"")</f>
        <v/>
      </c>
      <c r="E28" s="30" t="str">
        <f aca="false">IF(AND(ISNUMBER(E26),ISNUMBER(E27)),E26-E27,"")</f>
        <v/>
      </c>
      <c r="F28" s="30" t="str">
        <f aca="false">IF(AND(ISNUMBER(F26),ISNUMBER(F27)),F26-F27,"")</f>
        <v/>
      </c>
      <c r="G28" s="30" t="n">
        <f aca="false">IF(AND(ISNUMBER(G26),ISNUMBER(G27)),G26-G27,"")</f>
        <v>0.062101321585903</v>
      </c>
      <c r="H28" s="30" t="n">
        <f aca="false">IF(AND(ISNUMBER(H26),ISNUMBER(H27)),H26-H27,"")</f>
        <v>-0.00416901408450701</v>
      </c>
      <c r="I28" s="30" t="n">
        <f aca="false">IF(AND(ISNUMBER(I26),ISNUMBER(I27)),I26-I27,"")</f>
        <v>0.0646311239193085</v>
      </c>
      <c r="J28" s="30" t="str">
        <f aca="false">IF(AND(ISNUMBER(J26),ISNUMBER(J27)),J26-J27,"")</f>
        <v/>
      </c>
      <c r="K28" s="30" t="str">
        <f aca="false">IF(AND(ISNUMBER(K26),ISNUMBER(K27)),K26-K27,"")</f>
        <v/>
      </c>
      <c r="L28" s="30" t="n">
        <f aca="false">IF(AND(ISNUMBER(L26),ISNUMBER(L27)),L26-L27,"")</f>
        <v>-0.0459938765897317</v>
      </c>
      <c r="M28" s="30" t="n">
        <f aca="false">IF(AND(ISNUMBER(M26),ISNUMBER(M27)),M26-M27,"")</f>
        <v>-0.0421026276648486</v>
      </c>
      <c r="N28" s="30" t="str">
        <f aca="false">IF(AND(ISNUMBER(N26),ISNUMBER(N27)),N26-N27,"")</f>
        <v/>
      </c>
      <c r="O28" s="30" t="n">
        <f aca="false">IF(AND(ISNUMBER(O26),ISNUMBER(O27)),O26-O27,"")</f>
        <v>-0.0134311522361753</v>
      </c>
      <c r="P28" s="30" t="n">
        <f aca="false">IF(AND(ISNUMBER(P26),ISNUMBER(P27)),P26-P27,"")</f>
        <v>0.114185185185185</v>
      </c>
      <c r="Q28" s="30" t="str">
        <f aca="false">IF(AND(ISNUMBER(Q26),ISNUMBER(Q27)),Q26-Q27,"")</f>
        <v/>
      </c>
      <c r="R28" s="30" t="n">
        <f aca="false">IF(AND(ISNUMBER(R26),ISNUMBER(R27)),R26-R27,"")</f>
        <v>0.0856551938627411</v>
      </c>
      <c r="S28" s="30" t="n">
        <f aca="false">IF(AND(ISNUMBER(S26),ISNUMBER(S27)),S26-S27,"")</f>
        <v>-0.0120055865921787</v>
      </c>
      <c r="T28" s="30" t="str">
        <f aca="false">IF(AND(ISNUMBER(T26),ISNUMBER(T27)),T26-T27,"")</f>
        <v/>
      </c>
      <c r="U28" s="30" t="n">
        <f aca="false">IF(AND(ISNUMBER(U26),ISNUMBER(U27)),U26-U27,"")</f>
        <v>-0.00332003069838849</v>
      </c>
      <c r="V28" s="30" t="n">
        <f aca="false">IF(AND(ISNUMBER(V26),ISNUMBER(V27)),V26-V27,"")</f>
        <v>0.0114745983499783</v>
      </c>
      <c r="W28" s="30" t="str">
        <f aca="false">IF(AND(ISNUMBER(W26),ISNUMBER(W27)),W26-W27,"")</f>
        <v/>
      </c>
      <c r="X28" s="30" t="n">
        <f aca="false">IF(AND(ISNUMBER(X26),ISNUMBER(X27)),X26-X27,"")</f>
        <v>-0.0201282747913836</v>
      </c>
      <c r="Y28" s="30" t="n">
        <f aca="false">IF(AND(ISNUMBER(Y26),ISNUMBER(Y27)),Y26-Y27,"")</f>
        <v>-0.0584137231019082</v>
      </c>
      <c r="Z28" s="30" t="str">
        <f aca="false">IF(AND(ISNUMBER(Z26),ISNUMBER(Z27)),Z26-Z27,"")</f>
        <v/>
      </c>
      <c r="AA28" s="30" t="n">
        <f aca="false">IF(AND(ISNUMBER(AA26),ISNUMBER(AA27)),AA26-AA27,"")</f>
        <v>-0.0271338199513382</v>
      </c>
      <c r="AB28" s="30" t="n">
        <f aca="false">IF(AND(ISNUMBER(AB26),ISNUMBER(AB27)),AB26-AB27,"")</f>
        <v>0.0289655172413794</v>
      </c>
      <c r="AC28" s="30" t="str">
        <f aca="false">IF(AND(ISNUMBER(AC26),ISNUMBER(AC27)),AC26-AC27,"")</f>
        <v/>
      </c>
      <c r="AD28" s="30" t="n">
        <f aca="false">IF(AND(ISNUMBER(AD26),ISNUMBER(AD27)),AD26-AD27,"")</f>
        <v>0.0285574594896629</v>
      </c>
      <c r="AE28" s="30" t="n">
        <f aca="false">IF(AND(ISNUMBER(AE26),ISNUMBER(AE27)),AE26-AE27,"")</f>
        <v>0.00465491372843208</v>
      </c>
      <c r="AF28" s="30" t="str">
        <f aca="false">IF(AND(ISNUMBER(AF26),ISNUMBER(AF27)),AF26-AF27,"")</f>
        <v/>
      </c>
      <c r="AG28" s="30" t="n">
        <f aca="false">IF(AND(ISNUMBER(AG26),ISNUMBER(AG27)),AG26-AG27,"")</f>
        <v>-0.00913080168776367</v>
      </c>
      <c r="AH28" s="30" t="n">
        <f aca="false">IF(AND(ISNUMBER(AH26),ISNUMBER(AH27)),AH26-AH27,"")</f>
        <v>-0.0610096852300243</v>
      </c>
      <c r="AI28" s="30" t="str">
        <f aca="false">IF(AND(ISNUMBER(AI26),ISNUMBER(AI27)),AI26-AI27,"")</f>
        <v/>
      </c>
      <c r="AJ28" s="30" t="n">
        <f aca="false">IF(AND(ISNUMBER(AJ26),ISNUMBER(AJ27)),AJ26-AJ27,"")</f>
        <v>-0.0109115044247788</v>
      </c>
      <c r="AK28" s="30" t="n">
        <f aca="false">IF(AND(ISNUMBER(AK26),ISNUMBER(AK27)),AK26-AK27,"")</f>
        <v>0.06815991237678</v>
      </c>
      <c r="AL28" s="30" t="str">
        <f aca="false">IF(AND(ISNUMBER(AL26),ISNUMBER(AL27)),AL26-AL27,"")</f>
        <v/>
      </c>
      <c r="AM28" s="30" t="n">
        <f aca="false">IF(AND(ISNUMBER(AM26),ISNUMBER(AM27)),AM26-AM27,"")</f>
        <v>0.0555949177877429</v>
      </c>
      <c r="AN28" s="30" t="n">
        <f aca="false">IF(AND(ISNUMBER(AN26),ISNUMBER(AN27)),AN26-AN27,"")</f>
        <v>-0.0304516129032258</v>
      </c>
      <c r="AO28" s="30" t="str">
        <f aca="false">IF(AND(ISNUMBER(AO26),ISNUMBER(AO27)),AO26-AO27,"")</f>
        <v/>
      </c>
      <c r="AP28" s="30" t="n">
        <f aca="false">IF(AND(ISNUMBER(AP26),ISNUMBER(AP27)),AP26-AP27,"")</f>
        <v>-0.0491116389548694</v>
      </c>
      <c r="AQ28" s="30" t="n">
        <f aca="false">IF(AND(ISNUMBER(AQ26),ISNUMBER(AQ27)),AQ26-AQ27,"")</f>
        <v>-0.0330180180180181</v>
      </c>
      <c r="AR28" s="30" t="str">
        <f aca="false">IF(AND(ISNUMBER(AR26),ISNUMBER(AR27)),AR26-AR27,"")</f>
        <v/>
      </c>
      <c r="AS28" s="30" t="n">
        <f aca="false">IF(AND(ISNUMBER(AS26),ISNUMBER(AS27)),AS26-AS27,"")</f>
        <v>-0.0186866952789699</v>
      </c>
      <c r="AT28" s="30" t="n">
        <f aca="false">IF(AND(ISNUMBER(AT26),ISNUMBER(AT27)),AT26-AT27,"")</f>
        <v>-0.00977064220183496</v>
      </c>
      <c r="AU28" s="30" t="str">
        <f aca="false">IF(AND(ISNUMBER(AU26),ISNUMBER(AU27)),AU26-AU27,"")</f>
        <v/>
      </c>
      <c r="AV28" s="30" t="n">
        <f aca="false">IF(AND(ISNUMBER(AV26),ISNUMBER(AV27)),AV26-AV27,"")</f>
        <v>-0.0322631578947368</v>
      </c>
      <c r="AW28" s="30" t="n">
        <f aca="false">IF(AND(ISNUMBER(AW26),ISNUMBER(AW27)),AW26-AW27,"")</f>
        <v>-0.0477829977628635</v>
      </c>
      <c r="AX28" s="28" t="n">
        <f aca="false">AX64</f>
        <v>-0.03</v>
      </c>
      <c r="AY28" s="28" t="n">
        <f aca="false">AY26-AY27</f>
        <v>-0.0382458506224066</v>
      </c>
      <c r="AZ28" s="28" t="n">
        <f aca="false">AZ64</f>
        <v>0</v>
      </c>
      <c r="BA28" s="28" t="n">
        <f aca="false">BA64</f>
        <v>0</v>
      </c>
      <c r="BB28" s="28" t="n">
        <f aca="false">BB64</f>
        <v>0</v>
      </c>
      <c r="BC28" s="28" t="n">
        <f aca="false">BC64</f>
        <v>0</v>
      </c>
      <c r="BD28" s="23"/>
      <c r="BF28" s="7"/>
      <c r="BG28" s="7"/>
      <c r="BH28" s="7"/>
      <c r="BI28" s="7"/>
      <c r="BL28" s="13" t="s">
        <v>81</v>
      </c>
      <c r="BM28" s="35" t="n">
        <f aca="false">BN28+$BM$24</f>
        <v>0.08</v>
      </c>
      <c r="BN28" s="29" t="n">
        <v>0.06</v>
      </c>
      <c r="BO28" s="35" t="n">
        <f aca="false">BN28+$BO$24</f>
        <v>0.03</v>
      </c>
    </row>
    <row r="29" customFormat="false" ht="15" hidden="false" customHeight="true" outlineLevel="0" collapsed="false">
      <c r="B29" s="26" t="s">
        <v>70</v>
      </c>
      <c r="C29" s="30" t="str">
        <f aca="false">IF(AND(ISNUMBER(C25),ISNUMBER(C61)),IFERROR(C25/C61,""),"")</f>
        <v/>
      </c>
      <c r="D29" s="30" t="str">
        <f aca="false">IF(AND(ISNUMBER(D25),ISNUMBER(D61)),IFERROR(D25/D61,""),"")</f>
        <v/>
      </c>
      <c r="E29" s="30" t="str">
        <f aca="false">IF(AND(ISNUMBER(E25),ISNUMBER(E61)),IFERROR(E25/E61,""),"")</f>
        <v/>
      </c>
      <c r="F29" s="30" t="n">
        <f aca="false">IF(AND(ISNUMBER(F25),ISNUMBER(F61)),IFERROR(F25/F61,""),"")</f>
        <v>0.118599791013584</v>
      </c>
      <c r="G29" s="30" t="n">
        <f aca="false">IF(AND(ISNUMBER(G25),ISNUMBER(G61)),IFERROR(G25/G61,""),"")</f>
        <v>0.118234804329725</v>
      </c>
      <c r="H29" s="30" t="n">
        <f aca="false">IF(AND(ISNUMBER(H25),ISNUMBER(H61)),IFERROR(H25/H61,""),"")</f>
        <v>0.122097114707952</v>
      </c>
      <c r="I29" s="30" t="n">
        <f aca="false">IF(AND(ISNUMBER(I25),ISNUMBER(I61)),IFERROR(I25/I61,""),"")</f>
        <v>0.121864416508811</v>
      </c>
      <c r="J29" s="30" t="n">
        <f aca="false">IF(AND(ISNUMBER(J25),ISNUMBER(J61)),IFERROR(J25/J61,""),"")</f>
        <v>0.114141814271971</v>
      </c>
      <c r="K29" s="30" t="n">
        <f aca="false">IF(AND(ISNUMBER(K25),ISNUMBER(K61)),IFERROR(K25/K61,""),"")</f>
        <v>0.126873930978972</v>
      </c>
      <c r="L29" s="30" t="n">
        <f aca="false">IF(AND(ISNUMBER(L25),ISNUMBER(L61)),IFERROR(L25/L61,""),"")</f>
        <v>0.120882047457988</v>
      </c>
      <c r="M29" s="30" t="n">
        <f aca="false">IF(AND(ISNUMBER(M25),ISNUMBER(M61)),IFERROR(M25/M61,""),"")</f>
        <v>0.113272851224501</v>
      </c>
      <c r="N29" s="30" t="n">
        <f aca="false">IF(AND(ISNUMBER(N25),ISNUMBER(N61)),IFERROR(N25/N61,""),"")</f>
        <v>0.120405118234842</v>
      </c>
      <c r="O29" s="30" t="n">
        <f aca="false">IF(AND(ISNUMBER(O25),ISNUMBER(O61)),IFERROR(O25/O61,""),"")</f>
        <v>0.117102899043364</v>
      </c>
      <c r="P29" s="30" t="n">
        <f aca="false">IF(AND(ISNUMBER(P25),ISNUMBER(P61)),IFERROR(P25/P61,""),"")</f>
        <v>0.108984952596329</v>
      </c>
      <c r="Q29" s="30" t="n">
        <f aca="false">IF(AND(ISNUMBER(Q25),ISNUMBER(Q61)),IFERROR(Q25/Q61,""),"")</f>
        <v>0.106464177518983</v>
      </c>
      <c r="R29" s="30" t="n">
        <f aca="false">IF(AND(ISNUMBER(R25),ISNUMBER(R61)),IFERROR(R25/R61,""),"")</f>
        <v>0.107661481894611</v>
      </c>
      <c r="S29" s="30" t="n">
        <f aca="false">IF(AND(ISNUMBER(S25),ISNUMBER(S61)),IFERROR(S25/S61,""),"")</f>
        <v>0.09436204212079</v>
      </c>
      <c r="T29" s="30" t="n">
        <f aca="false">IF(AND(ISNUMBER(T25),ISNUMBER(T61)),IFERROR(T25/T61,""),"")</f>
        <v>0.103201042873696</v>
      </c>
      <c r="U29" s="30" t="n">
        <f aca="false">IF(AND(ISNUMBER(U25),ISNUMBER(U61)),IFERROR(U25/U61,""),"")</f>
        <v>0.0990542462804198</v>
      </c>
      <c r="V29" s="30" t="n">
        <f aca="false">IF(AND(ISNUMBER(V25),ISNUMBER(V61)),IFERROR(V25/V61,""),"")</f>
        <v>0.0907817625594339</v>
      </c>
      <c r="W29" s="30" t="n">
        <f aca="false">IF(AND(ISNUMBER(W25),ISNUMBER(W61)),IFERROR(W25/W61,""),"")</f>
        <v>0.101551480959097</v>
      </c>
      <c r="X29" s="30" t="n">
        <f aca="false">IF(AND(ISNUMBER(X25),ISNUMBER(X61)),IFERROR(X25/X61,""),"")</f>
        <v>0.0962858841974374</v>
      </c>
      <c r="Y29" s="30" t="n">
        <f aca="false">IF(AND(ISNUMBER(Y25),ISNUMBER(Y61)),IFERROR(Y25/Y61,""),"")</f>
        <v>0.0874014368319608</v>
      </c>
      <c r="Z29" s="30" t="n">
        <f aca="false">IF(AND(ISNUMBER(Z25),ISNUMBER(Z61)),IFERROR(Z25/Z61,""),"")</f>
        <v>0.0923665103129217</v>
      </c>
      <c r="AA29" s="30" t="n">
        <f aca="false">IF(AND(ISNUMBER(AA25),ISNUMBER(AA61)),IFERROR(AA25/AA61,""),"")</f>
        <v>0.0899917869294849</v>
      </c>
      <c r="AB29" s="30" t="n">
        <f aca="false">IF(AND(ISNUMBER(AB25),ISNUMBER(AB61)),IFERROR(AB25/AB61,""),"")</f>
        <v>0.0811740705782054</v>
      </c>
      <c r="AC29" s="30" t="n">
        <f aca="false">IF(AND(ISNUMBER(AC25),ISNUMBER(AC61)),IFERROR(AC25/AC61,""),"")</f>
        <v>0.0905504153816232</v>
      </c>
      <c r="AD29" s="30" t="n">
        <f aca="false">IF(AND(ISNUMBER(AD25),ISNUMBER(AD61)),IFERROR(AD25/AD61,""),"")</f>
        <v>0.0860766481680565</v>
      </c>
      <c r="AE29" s="30" t="n">
        <f aca="false">IF(AND(ISNUMBER(AE25),ISNUMBER(AE61)),IFERROR(AE25/AE61,""),"")</f>
        <v>0.0664013826922304</v>
      </c>
      <c r="AF29" s="30" t="n">
        <f aca="false">IF(AND(ISNUMBER(AF25),ISNUMBER(AF61)),IFERROR(AF25/AF61,""),"")</f>
        <v>0.0735083042854214</v>
      </c>
      <c r="AG29" s="30" t="n">
        <f aca="false">IF(AND(ISNUMBER(AG25),ISNUMBER(AG61)),IFERROR(AG25/AG61,""),"")</f>
        <v>0.0707410595508256</v>
      </c>
      <c r="AH29" s="30" t="n">
        <f aca="false">IF(AND(ISNUMBER(AH25),ISNUMBER(AH61)),IFERROR(AH25/AH61,""),"")</f>
        <v>0.0646737975490543</v>
      </c>
      <c r="AI29" s="30" t="n">
        <f aca="false">IF(AND(ISNUMBER(AI25),ISNUMBER(AI61)),IFERROR(AI25/AI61,""),"")</f>
        <v>0.0832508059588277</v>
      </c>
      <c r="AJ29" s="30" t="n">
        <f aca="false">IF(AND(ISNUMBER(AJ25),ISNUMBER(AJ61)),IFERROR(AJ25/AJ61,""),"")</f>
        <v>0.0744905912481906</v>
      </c>
      <c r="AK29" s="30" t="n">
        <f aca="false">IF(AND(ISNUMBER(AK25),ISNUMBER(AK61)),IFERROR(AK25/AK61,""),"")</f>
        <v>0.0679576178297406</v>
      </c>
      <c r="AL29" s="30" t="n">
        <f aca="false">IF(AND(ISNUMBER(AL25),ISNUMBER(AL61)),IFERROR(AL25/AL61,""),"")</f>
        <v>0.0767096458299331</v>
      </c>
      <c r="AM29" s="30" t="n">
        <f aca="false">IF(AND(ISNUMBER(AM25),ISNUMBER(AM61)),IFERROR(AM25/AM61,""),"")</f>
        <v>0.07257995000431</v>
      </c>
      <c r="AN29" s="30" t="n">
        <f aca="false">IF(AND(ISNUMBER(AN25),ISNUMBER(AN61)),IFERROR(AN25/AN61,""),"")</f>
        <v>0.0662884443117349</v>
      </c>
      <c r="AO29" s="30" t="n">
        <f aca="false">IF(AND(ISNUMBER(AO25),ISNUMBER(AO61)),IFERROR(AO25/AO61,""),"")</f>
        <v>0.0725219200475554</v>
      </c>
      <c r="AP29" s="30" t="n">
        <f aca="false">IF(AND(ISNUMBER(AP25),ISNUMBER(AP61)),IFERROR(AP25/AP61,""),"")</f>
        <v>0.0694123780442392</v>
      </c>
      <c r="AQ29" s="30" t="n">
        <f aca="false">IF(AND(ISNUMBER(AQ25),ISNUMBER(AQ61)),IFERROR(AQ25/AQ61,""),"")</f>
        <v>0.0581023454157783</v>
      </c>
      <c r="AR29" s="30" t="n">
        <f aca="false">IF(AND(ISNUMBER(AR25),ISNUMBER(AR61)),IFERROR(AR25/AR61,""),"")</f>
        <v>0.0670493086355335</v>
      </c>
      <c r="AS29" s="30" t="n">
        <f aca="false">IF(AND(ISNUMBER(AS25),ISNUMBER(AS61)),IFERROR(AS25/AS61,""),"")</f>
        <v>0.0626235992089651</v>
      </c>
      <c r="AT29" s="30" t="n">
        <f aca="false">IF(AND(ISNUMBER(AT25),ISNUMBER(AT61)),IFERROR(AT25/AT61,""),"")</f>
        <v>0.0556454624673223</v>
      </c>
      <c r="AU29" s="30" t="n">
        <f aca="false">IF(AND(ISNUMBER(AU25),ISNUMBER(AU61)),IFERROR(AU25/AU61,""),"")</f>
        <v>0.0648845381526104</v>
      </c>
      <c r="AV29" s="30" t="n">
        <f aca="false">IF(AND(ISNUMBER(AV25),ISNUMBER(AV61)),IFERROR(AV25/AV61,""),"")</f>
        <v>0.0602462346103369</v>
      </c>
      <c r="AW29" s="30" t="n">
        <f aca="false">IF(AND(ISNUMBER(AW25),ISNUMBER(AW61)),IFERROR(AW25/AW61,""),"")</f>
        <v>0.0574543672669362</v>
      </c>
      <c r="AX29" s="28" t="n">
        <f aca="false">IF(AND(ISNUMBER(AX25),ISNUMBER(AX61)),IFERROR(AX25/AX61,""),"")</f>
        <v>0.0658479692479006</v>
      </c>
      <c r="AY29" s="28" t="n">
        <f aca="false">IF(AND(ISNUMBER(AY25),ISNUMBER(AY61)),IFERROR(AY25/AY61,""),"")</f>
        <v>0.0616718849709788</v>
      </c>
      <c r="AZ29" s="28" t="n">
        <f aca="false">IF(AND(ISNUMBER(AZ25),ISNUMBER(AZ61)),IFERROR(AZ25/AZ61,""),"")</f>
        <v>0.0608499109321436</v>
      </c>
      <c r="BA29" s="28" t="n">
        <f aca="false">IF(AND(ISNUMBER(BA25),ISNUMBER(BA61)),IFERROR(BA25/BA61,""),"")</f>
        <v>0.0600077281082228</v>
      </c>
      <c r="BB29" s="28" t="n">
        <f aca="false">IF(AND(ISNUMBER(BB25),ISNUMBER(BB61)),IFERROR(BB25/BB61,""),"")</f>
        <v>0.0590641869254847</v>
      </c>
      <c r="BC29" s="28" t="n">
        <f aca="false">IF(AND(ISNUMBER(BC25),ISNUMBER(BC61)),IFERROR(BC25/BC61,""),"")</f>
        <v>0.0580998203947631</v>
      </c>
      <c r="BD29" s="23"/>
      <c r="BF29" s="32" t="n">
        <f aca="false">IFERROR(AVERAGE(AY29,AZ29,BA29,BB29,BC29),"n/m")</f>
        <v>0.0599387062663186</v>
      </c>
      <c r="BG29" s="32" t="n">
        <f aca="false">IFERROR(AVERAGE(AJ29,AM29,AP29,AS29,AV29),"n/m")</f>
        <v>0.0678705506232084</v>
      </c>
      <c r="BH29" s="32" t="n">
        <f aca="false">IFERROR(AVERAGE(U29,X29,AA29,AD29,AG29,AJ29,AM29,AP29,AS29,AV29),"n/m")</f>
        <v>0.0781502378242266</v>
      </c>
      <c r="BI29" s="32" t="n">
        <f aca="false">IFERROR(AVERAGE(C29,D29,E29,F29,G29,H29,I29,L29,O29,R29,U29,X29,AA29,AD29,AG29,AJ29,AM29,AP29,AS29,AV29),"n/m")</f>
        <v>0.0945849960704884</v>
      </c>
      <c r="BL29" s="13" t="s">
        <v>82</v>
      </c>
      <c r="BM29" s="35" t="n">
        <f aca="false">BN29+$BM$24</f>
        <v>0.075</v>
      </c>
      <c r="BN29" s="29" t="n">
        <v>0.055</v>
      </c>
      <c r="BO29" s="35" t="n">
        <f aca="false">BN29+$BO$24</f>
        <v>0.025</v>
      </c>
    </row>
    <row r="30" customFormat="false" ht="15" hidden="false" customHeight="true" outlineLevel="0" collapsed="false">
      <c r="B30" s="13"/>
      <c r="AX30" s="7"/>
      <c r="AY30" s="7"/>
      <c r="AZ30" s="7"/>
      <c r="BA30" s="7"/>
      <c r="BB30" s="7"/>
      <c r="BC30" s="7"/>
      <c r="BD30" s="7"/>
      <c r="BL30" s="18" t="s">
        <v>88</v>
      </c>
      <c r="BM30" s="34" t="n">
        <v>0.02</v>
      </c>
      <c r="BN30" s="25" t="s">
        <v>75</v>
      </c>
      <c r="BO30" s="34" t="n">
        <v>-0.03</v>
      </c>
      <c r="BP30" s="16" t="s">
        <v>89</v>
      </c>
    </row>
    <row r="31" customFormat="false" ht="15" hidden="false" customHeight="true" outlineLevel="0" collapsed="false">
      <c r="B31" s="17" t="s">
        <v>90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8" t="s">
        <v>91</v>
      </c>
      <c r="BL31" s="13" t="s">
        <v>77</v>
      </c>
      <c r="BM31" s="35" t="n">
        <f aca="false">BN31+$BM$30</f>
        <v>0.1</v>
      </c>
      <c r="BN31" s="29" t="n">
        <v>0.08</v>
      </c>
      <c r="BO31" s="35" t="n">
        <f aca="false">BN31+$BO$30</f>
        <v>0.05</v>
      </c>
    </row>
    <row r="32" customFormat="false" ht="15" hidden="false" customHeight="true" outlineLevel="0" collapsed="false">
      <c r="B32" s="19" t="s">
        <v>57</v>
      </c>
      <c r="C32" s="20"/>
      <c r="D32" s="20"/>
      <c r="E32" s="20"/>
      <c r="F32" s="21" t="n">
        <v>116</v>
      </c>
      <c r="G32" s="21" t="n">
        <v>131</v>
      </c>
      <c r="H32" s="21" t="n">
        <v>160</v>
      </c>
      <c r="I32" s="21" t="n">
        <v>225.7</v>
      </c>
      <c r="J32" s="21" t="n">
        <v>123.6</v>
      </c>
      <c r="K32" s="20" t="n">
        <f aca="false">L32-J32</f>
        <v>154</v>
      </c>
      <c r="L32" s="21" t="n">
        <v>277.6</v>
      </c>
      <c r="M32" s="21" t="n">
        <v>124.5</v>
      </c>
      <c r="N32" s="20" t="n">
        <f aca="false">O32-M32</f>
        <v>156.4</v>
      </c>
      <c r="O32" s="21" t="n">
        <v>280.9</v>
      </c>
      <c r="P32" s="21" t="n">
        <v>154.9</v>
      </c>
      <c r="Q32" s="20" t="n">
        <f aca="false">R32-P32</f>
        <v>177</v>
      </c>
      <c r="R32" s="21" t="n">
        <v>331.9</v>
      </c>
      <c r="S32" s="21" t="n">
        <v>150.6</v>
      </c>
      <c r="T32" s="20" t="n">
        <f aca="false">U32-S32</f>
        <v>185.4</v>
      </c>
      <c r="U32" s="21" t="n">
        <v>336</v>
      </c>
      <c r="V32" s="21" t="n">
        <v>172.3</v>
      </c>
      <c r="W32" s="20" t="n">
        <f aca="false">X32-V32</f>
        <v>192.7</v>
      </c>
      <c r="X32" s="21" t="n">
        <v>365</v>
      </c>
      <c r="Y32" s="21" t="n">
        <v>201.7</v>
      </c>
      <c r="Z32" s="20" t="n">
        <f aca="false">AA32-Y32</f>
        <v>223</v>
      </c>
      <c r="AA32" s="21" t="n">
        <v>424.7</v>
      </c>
      <c r="AB32" s="21" t="n">
        <v>247.6</v>
      </c>
      <c r="AC32" s="20" t="n">
        <f aca="false">AD32-AB32</f>
        <v>277.3</v>
      </c>
      <c r="AD32" s="21" t="n">
        <v>524.9</v>
      </c>
      <c r="AE32" s="21" t="n">
        <v>239.2</v>
      </c>
      <c r="AF32" s="20" t="n">
        <f aca="false">AG32-AE32</f>
        <v>403.4</v>
      </c>
      <c r="AG32" s="21" t="n">
        <v>642.6</v>
      </c>
      <c r="AH32" s="21" t="n">
        <v>462.3</v>
      </c>
      <c r="AI32" s="20" t="n">
        <f aca="false">AJ32-AH32</f>
        <v>538.7</v>
      </c>
      <c r="AJ32" s="21" t="n">
        <v>1001</v>
      </c>
      <c r="AK32" s="21" t="n">
        <v>648</v>
      </c>
      <c r="AL32" s="20" t="n">
        <f aca="false">AM32-AK32</f>
        <v>723</v>
      </c>
      <c r="AM32" s="21" t="n">
        <v>1371</v>
      </c>
      <c r="AN32" s="21" t="n">
        <v>836</v>
      </c>
      <c r="AO32" s="20" t="n">
        <f aca="false">AP32-AN32</f>
        <v>817</v>
      </c>
      <c r="AP32" s="21" t="n">
        <v>1653</v>
      </c>
      <c r="AQ32" s="21" t="n">
        <v>967</v>
      </c>
      <c r="AR32" s="20" t="n">
        <f aca="false">AS32-AQ32</f>
        <v>942</v>
      </c>
      <c r="AS32" s="21" t="n">
        <v>1909</v>
      </c>
      <c r="AT32" s="21" t="n">
        <v>1056</v>
      </c>
      <c r="AU32" s="20" t="n">
        <f aca="false">AV32-AT32</f>
        <v>999</v>
      </c>
      <c r="AV32" s="21" t="n">
        <v>2055</v>
      </c>
      <c r="AW32" s="21" t="n">
        <v>1065</v>
      </c>
      <c r="AX32" s="22" t="n">
        <f aca="false">AU32*(1+AX34+AX64)</f>
        <v>1028.97</v>
      </c>
      <c r="AY32" s="22" t="n">
        <f aca="false">AW32+AX32</f>
        <v>2093.97</v>
      </c>
      <c r="AZ32" s="22" t="n">
        <f aca="false">AY32*(1+AZ34+AZ64)</f>
        <v>2261.4876</v>
      </c>
      <c r="BA32" s="22" t="n">
        <f aca="false">AZ32*(1+BA34+BA64)</f>
        <v>2442.406608</v>
      </c>
      <c r="BB32" s="22" t="n">
        <f aca="false">BA32*(1+BB34+BB64)</f>
        <v>2625.5871036</v>
      </c>
      <c r="BC32" s="22" t="n">
        <f aca="false">BB32*(1+BC34+BC64)</f>
        <v>2809.378200852</v>
      </c>
      <c r="BD32" s="23" t="s">
        <v>58</v>
      </c>
      <c r="BF32" s="24" t="n">
        <f aca="false">IFERROR((BC32/AV32)^(1/5)-1,"n/m")</f>
        <v>0.0645343420304898</v>
      </c>
      <c r="BG32" s="24" t="n">
        <f aca="false">IFERROR((AV32/AG32)^(1/5)-1,"n/m")</f>
        <v>0.261752636822391</v>
      </c>
      <c r="BH32" s="24" t="n">
        <f aca="false">IFERROR((AV32/R32)^(1/10)-1,"n/m")</f>
        <v>0.199997820833762</v>
      </c>
      <c r="BI32" s="24" t="str">
        <f aca="false">IFERROR((AV32/C32)^(1/19)-1,"n/m")</f>
        <v>n/m</v>
      </c>
      <c r="BL32" s="13" t="s">
        <v>79</v>
      </c>
      <c r="BM32" s="35" t="n">
        <f aca="false">BN32+$BM$30</f>
        <v>0.08</v>
      </c>
      <c r="BN32" s="29" t="n">
        <v>0.06</v>
      </c>
      <c r="BO32" s="35" t="n">
        <f aca="false">BN32+$BO$30</f>
        <v>0.03</v>
      </c>
    </row>
    <row r="33" customFormat="false" ht="15" hidden="false" customHeight="true" outlineLevel="0" collapsed="false">
      <c r="B33" s="26" t="s">
        <v>60</v>
      </c>
      <c r="C33" s="27"/>
      <c r="D33" s="27" t="str">
        <f aca="false">IF(AND(ISNUMBER(D32),ISNUMBER(C32)),IFERROR(D32/C32-1,""),"")</f>
        <v/>
      </c>
      <c r="E33" s="27" t="str">
        <f aca="false">IF(AND(ISNUMBER(E32),ISNUMBER(D32)),IFERROR(E32/D32-1,""),"")</f>
        <v/>
      </c>
      <c r="F33" s="27" t="str">
        <f aca="false">IF(AND(ISNUMBER(F32),ISNUMBER(E32)),IFERROR(F32/E32-1,""),"")</f>
        <v/>
      </c>
      <c r="G33" s="27" t="n">
        <f aca="false">IF(AND(ISNUMBER(G32),ISNUMBER(F32)),IFERROR(G32/F32-1,""),"")</f>
        <v>0.129310344827586</v>
      </c>
      <c r="H33" s="27" t="n">
        <f aca="false">IF(AND(ISNUMBER(H32),ISNUMBER(G32)),IFERROR(H32/G32-1,""),"")</f>
        <v>0.221374045801527</v>
      </c>
      <c r="I33" s="27" t="n">
        <f aca="false">IF(AND(ISNUMBER(I32),ISNUMBER(H32)),IFERROR(I32/H32-1,""),"")</f>
        <v>0.410625</v>
      </c>
      <c r="J33" s="27"/>
      <c r="K33" s="27"/>
      <c r="L33" s="27" t="n">
        <f aca="false">IF(AND(ISNUMBER(L32),ISNUMBER(I32)),IFERROR(L32/I32-1,""),"")</f>
        <v>0.229951262738148</v>
      </c>
      <c r="M33" s="27" t="n">
        <f aca="false">IF(AND(ISNUMBER(M32),ISNUMBER(J32)),IFERROR(M32/J32-1,""),"")</f>
        <v>0.00728155339805836</v>
      </c>
      <c r="N33" s="27" t="n">
        <f aca="false">IF(AND(ISNUMBER(N32),ISNUMBER(K32)),IFERROR(N32/K32-1,""),"")</f>
        <v>0.0155844155844151</v>
      </c>
      <c r="O33" s="27" t="n">
        <f aca="false">IF(AND(ISNUMBER(O32),ISNUMBER(L32)),IFERROR(O32/L32-1,""),"")</f>
        <v>0.0118876080691641</v>
      </c>
      <c r="P33" s="27" t="n">
        <f aca="false">IF(AND(ISNUMBER(P32),ISNUMBER(M32)),IFERROR(P32/M32-1,""),"")</f>
        <v>0.244176706827309</v>
      </c>
      <c r="Q33" s="27" t="n">
        <f aca="false">IF(AND(ISNUMBER(Q32),ISNUMBER(N32)),IFERROR(Q32/N32-1,""),"")</f>
        <v>0.131713554987212</v>
      </c>
      <c r="R33" s="27" t="n">
        <f aca="false">IF(AND(ISNUMBER(R32),ISNUMBER(O32)),IFERROR(R32/O32-1,""),"")</f>
        <v>0.181559273762905</v>
      </c>
      <c r="S33" s="27" t="n">
        <f aca="false">IF(AND(ISNUMBER(S32),ISNUMBER(P32)),IFERROR(S32/P32-1,""),"")</f>
        <v>-0.02775984506133</v>
      </c>
      <c r="T33" s="27" t="n">
        <f aca="false">IF(AND(ISNUMBER(T32),ISNUMBER(Q32)),IFERROR(T32/Q32-1,""),"")</f>
        <v>0.0474576271186442</v>
      </c>
      <c r="U33" s="27" t="n">
        <f aca="false">IF(AND(ISNUMBER(U32),ISNUMBER(R32)),IFERROR(U32/R32-1,""),"")</f>
        <v>0.0123531184091594</v>
      </c>
      <c r="V33" s="27" t="n">
        <f aca="false">IF(AND(ISNUMBER(V32),ISNUMBER(S32)),IFERROR(V32/S32-1,""),"")</f>
        <v>0.144090305444887</v>
      </c>
      <c r="W33" s="27" t="n">
        <f aca="false">IF(AND(ISNUMBER(W32),ISNUMBER(T32)),IFERROR(W32/T32-1,""),"")</f>
        <v>0.0393743257820927</v>
      </c>
      <c r="X33" s="27" t="n">
        <f aca="false">IF(AND(ISNUMBER(X32),ISNUMBER(U32)),IFERROR(X32/U32-1,""),"")</f>
        <v>0.0863095238095237</v>
      </c>
      <c r="Y33" s="27" t="n">
        <f aca="false">IF(AND(ISNUMBER(Y32),ISNUMBER(V32)),IFERROR(Y32/V32-1,""),"")</f>
        <v>0.170632617527568</v>
      </c>
      <c r="Z33" s="27" t="n">
        <f aca="false">IF(AND(ISNUMBER(Z32),ISNUMBER(W32)),IFERROR(Z32/W32-1,""),"")</f>
        <v>0.157239231966788</v>
      </c>
      <c r="AA33" s="27" t="n">
        <f aca="false">IF(AND(ISNUMBER(AA32),ISNUMBER(X32)),IFERROR(AA32/X32-1,""),"")</f>
        <v>0.163561643835616</v>
      </c>
      <c r="AB33" s="27" t="n">
        <f aca="false">IF(AND(ISNUMBER(AB32),ISNUMBER(Y32)),IFERROR(AB32/Y32-1,""),"")</f>
        <v>0.22756569162122</v>
      </c>
      <c r="AC33" s="27" t="n">
        <f aca="false">IF(AND(ISNUMBER(AC32),ISNUMBER(Z32)),IFERROR(AC32/Z32-1,""),"")</f>
        <v>0.243497757847533</v>
      </c>
      <c r="AD33" s="27" t="n">
        <f aca="false">IF(AND(ISNUMBER(AD32),ISNUMBER(AA32)),IFERROR(AD32/AA32-1,""),"")</f>
        <v>0.235931245585119</v>
      </c>
      <c r="AE33" s="27" t="n">
        <f aca="false">IF(AND(ISNUMBER(AE32),ISNUMBER(AB32)),IFERROR(AE32/AB32-1,""),"")</f>
        <v>-0.0339256865912763</v>
      </c>
      <c r="AF33" s="27" t="n">
        <f aca="false">IF(AND(ISNUMBER(AF32),ISNUMBER(AC32)),IFERROR(AF32/AC32-1,""),"")</f>
        <v>0.454742156509196</v>
      </c>
      <c r="AG33" s="27" t="n">
        <f aca="false">IF(AND(ISNUMBER(AG32),ISNUMBER(AD32)),IFERROR(AG32/AD32-1,""),"")</f>
        <v>0.224233187273767</v>
      </c>
      <c r="AH33" s="27" t="n">
        <f aca="false">IF(AND(ISNUMBER(AH32),ISNUMBER(AE32)),IFERROR(AH32/AE32-1,""),"")</f>
        <v>0.932692307692308</v>
      </c>
      <c r="AI33" s="27" t="n">
        <f aca="false">IF(AND(ISNUMBER(AI32),ISNUMBER(AF32)),IFERROR(AI32/AF32-1,""),"")</f>
        <v>0.335399107585523</v>
      </c>
      <c r="AJ33" s="27" t="n">
        <f aca="false">IF(AND(ISNUMBER(AJ32),ISNUMBER(AG32)),IFERROR(AJ32/AG32-1,""),"")</f>
        <v>0.557734204793028</v>
      </c>
      <c r="AK33" s="27" t="n">
        <f aca="false">IF(AND(ISNUMBER(AK32),ISNUMBER(AH32)),IFERROR(AK32/AH32-1,""),"")</f>
        <v>0.401687216093446</v>
      </c>
      <c r="AL33" s="27" t="n">
        <f aca="false">IF(AND(ISNUMBER(AL32),ISNUMBER(AI32)),IFERROR(AL32/AI32-1,""),"")</f>
        <v>0.342119918321886</v>
      </c>
      <c r="AM33" s="27" t="n">
        <f aca="false">IF(AND(ISNUMBER(AM32),ISNUMBER(AJ32)),IFERROR(AM32/AJ32-1,""),"")</f>
        <v>0.36963036963037</v>
      </c>
      <c r="AN33" s="27" t="n">
        <f aca="false">IF(AND(ISNUMBER(AN32),ISNUMBER(AK32)),IFERROR(AN32/AK32-1,""),"")</f>
        <v>0.290123456790123</v>
      </c>
      <c r="AO33" s="27" t="n">
        <f aca="false">IF(AND(ISNUMBER(AO32),ISNUMBER(AL32)),IFERROR(AO32/AL32-1,""),"")</f>
        <v>0.130013831258645</v>
      </c>
      <c r="AP33" s="27" t="n">
        <f aca="false">IF(AND(ISNUMBER(AP32),ISNUMBER(AM32)),IFERROR(AP32/AM32-1,""),"")</f>
        <v>0.205689277899344</v>
      </c>
      <c r="AQ33" s="27" t="n">
        <f aca="false">IF(AND(ISNUMBER(AQ32),ISNUMBER(AN32)),IFERROR(AQ32/AN32-1,""),"")</f>
        <v>0.156698564593301</v>
      </c>
      <c r="AR33" s="27" t="n">
        <f aca="false">IF(AND(ISNUMBER(AR32),ISNUMBER(AO32)),IFERROR(AR32/AO32-1,""),"")</f>
        <v>0.152998776009792</v>
      </c>
      <c r="AS33" s="27" t="n">
        <f aca="false">IF(AND(ISNUMBER(AS32),ISNUMBER(AP32)),IFERROR(AS32/AP32-1,""),"")</f>
        <v>0.154869933454326</v>
      </c>
      <c r="AT33" s="27" t="n">
        <f aca="false">IF(AND(ISNUMBER(AT32),ISNUMBER(AQ32)),IFERROR(AT32/AQ32-1,""),"")</f>
        <v>0.092037228541882</v>
      </c>
      <c r="AU33" s="27" t="n">
        <f aca="false">IF(AND(ISNUMBER(AU32),ISNUMBER(AR32)),IFERROR(AU32/AR32-1,""),"")</f>
        <v>0.0605095541401275</v>
      </c>
      <c r="AV33" s="27" t="n">
        <f aca="false">IF(AND(ISNUMBER(AV32),ISNUMBER(AS32)),IFERROR(AV32/AS32-1,""),"")</f>
        <v>0.0764798323729701</v>
      </c>
      <c r="AW33" s="27" t="n">
        <f aca="false">IF(AND(ISNUMBER(AW32),ISNUMBER(AT32)),IFERROR(AW32/AT32-1,""),"")</f>
        <v>0.00852272727272729</v>
      </c>
      <c r="AX33" s="28" t="n">
        <f aca="false">IF(AND(ISNUMBER(AX32),ISNUMBER(AU32)),IFERROR(AX32/AU32-1,""),"")</f>
        <v>0.03</v>
      </c>
      <c r="AY33" s="28" t="n">
        <f aca="false">IF(AND(ISNUMBER(AY32),ISNUMBER(AV32)),IFERROR(AY32/AV32-1,""),"")</f>
        <v>0.0189635036496352</v>
      </c>
      <c r="AZ33" s="28" t="n">
        <f aca="false">IF(AND(ISNUMBER(AZ32),ISNUMBER(AY32)),IFERROR(AZ32/AY32-1,""),"")</f>
        <v>0.0800000000000001</v>
      </c>
      <c r="BA33" s="28" t="n">
        <f aca="false">IF(AND(ISNUMBER(BA32),ISNUMBER(AZ32)),IFERROR(BA32/AZ32-1,""),"")</f>
        <v>0.0800000000000001</v>
      </c>
      <c r="BB33" s="28" t="n">
        <f aca="false">IF(AND(ISNUMBER(BB32),ISNUMBER(BA32)),IFERROR(BB32/BA32-1,""),"")</f>
        <v>0.075</v>
      </c>
      <c r="BC33" s="28" t="n">
        <f aca="false">IF(AND(ISNUMBER(BC32),ISNUMBER(BB32)),IFERROR(BC32/BB32-1,""),"")</f>
        <v>0.0700000000000001</v>
      </c>
      <c r="BD33" s="23"/>
      <c r="BF33" s="7"/>
      <c r="BG33" s="7"/>
      <c r="BH33" s="7"/>
      <c r="BI33" s="7"/>
      <c r="BL33" s="13" t="s">
        <v>80</v>
      </c>
      <c r="BM33" s="35" t="n">
        <f aca="false">BN33+$BM$30</f>
        <v>0.08</v>
      </c>
      <c r="BN33" s="29" t="n">
        <v>0.06</v>
      </c>
      <c r="BO33" s="35" t="n">
        <f aca="false">BN33+$BO$30</f>
        <v>0.03</v>
      </c>
    </row>
    <row r="34" customFormat="false" ht="15" hidden="false" customHeight="true" outlineLevel="0" collapsed="false">
      <c r="B34" s="26" t="s">
        <v>63</v>
      </c>
      <c r="C34" s="30"/>
      <c r="D34" s="30"/>
      <c r="E34" s="30"/>
      <c r="F34" s="30"/>
      <c r="G34" s="31" t="n">
        <v>0.0752283585528843</v>
      </c>
      <c r="H34" s="31" t="n">
        <v>0.224593468085663</v>
      </c>
      <c r="I34" s="31" t="n">
        <v>0.357087990205758</v>
      </c>
      <c r="J34" s="31" t="n">
        <v>0.296845948525672</v>
      </c>
      <c r="K34" s="30"/>
      <c r="L34" s="31" t="n">
        <v>0.278346692104559</v>
      </c>
      <c r="M34" s="31" t="n">
        <v>0.18</v>
      </c>
      <c r="N34" s="30"/>
      <c r="O34" s="31" t="n">
        <v>0.151</v>
      </c>
      <c r="P34" s="31" t="n">
        <v>0.118</v>
      </c>
      <c r="Q34" s="30"/>
      <c r="R34" s="31" t="n">
        <v>0.085</v>
      </c>
      <c r="S34" s="31" t="n">
        <v>-0.015</v>
      </c>
      <c r="T34" s="30"/>
      <c r="U34" s="31" t="n">
        <v>0.016</v>
      </c>
      <c r="V34" s="31" t="n">
        <v>0.13</v>
      </c>
      <c r="W34" s="30"/>
      <c r="X34" s="31" t="n">
        <v>0.105</v>
      </c>
      <c r="Y34" s="31" t="n">
        <v>0.241</v>
      </c>
      <c r="Z34" s="30"/>
      <c r="AA34" s="31" t="n">
        <v>0.196</v>
      </c>
      <c r="AB34" s="31" t="n">
        <v>0.194</v>
      </c>
      <c r="AC34" s="30"/>
      <c r="AD34" s="31" t="n">
        <v>0.204</v>
      </c>
      <c r="AE34" s="31" t="n">
        <v>-0.042</v>
      </c>
      <c r="AF34" s="30"/>
      <c r="AG34" s="31" t="n">
        <v>0.239</v>
      </c>
      <c r="AH34" s="31" t="n">
        <v>1.004</v>
      </c>
      <c r="AI34" s="30"/>
      <c r="AJ34" s="31" t="n">
        <v>0.567</v>
      </c>
      <c r="AK34" s="31" t="n">
        <v>0.325</v>
      </c>
      <c r="AL34" s="30"/>
      <c r="AM34" s="31" t="n">
        <v>0.296</v>
      </c>
      <c r="AN34" s="31" t="n">
        <v>0.321</v>
      </c>
      <c r="AO34" s="30"/>
      <c r="AP34" s="31" t="n">
        <v>0.258</v>
      </c>
      <c r="AQ34" s="31" t="n">
        <v>0.187</v>
      </c>
      <c r="AR34" s="30"/>
      <c r="AS34" s="31" t="n">
        <v>0.171</v>
      </c>
      <c r="AT34" s="31" t="n">
        <v>0.103</v>
      </c>
      <c r="AU34" s="30"/>
      <c r="AV34" s="31" t="n">
        <v>0.112</v>
      </c>
      <c r="AW34" s="31" t="n">
        <v>0.054</v>
      </c>
      <c r="AX34" s="28" t="n">
        <f aca="false">CHOOSE(MATCH($BD$2,{"Bull","Base","Bear"},0),$BM$37,$BN$37,$BO$37)</f>
        <v>0.06</v>
      </c>
      <c r="AY34" s="28" t="n">
        <f aca="false">(AT32*(1+AW34)+AU32*(1+AX34))/AV32-1</f>
        <v>0.0569167883211679</v>
      </c>
      <c r="AZ34" s="28" t="n">
        <f aca="false">CHOOSE(MATCH($BD$2,{"Bull","Base","Bear"},0),$BM$38,$BN$38,$BO$38)</f>
        <v>0.08</v>
      </c>
      <c r="BA34" s="28" t="n">
        <f aca="false">CHOOSE(MATCH($BD$2,{"Bull","Base","Bear"},0),$BM$39,$BN$39,$BO$39)</f>
        <v>0.08</v>
      </c>
      <c r="BB34" s="28" t="n">
        <f aca="false">CHOOSE(MATCH($BD$2,{"Bull","Base","Bear"},0),$BM$40,$BN$40,$BO$40)</f>
        <v>0.075</v>
      </c>
      <c r="BC34" s="28" t="n">
        <f aca="false">CHOOSE(MATCH($BD$2,{"Bull","Base","Bear"},0),$BM$41,$BN$41,$BO$41)</f>
        <v>0.07</v>
      </c>
      <c r="BD34" s="23" t="s">
        <v>92</v>
      </c>
      <c r="BF34" s="32" t="n">
        <f aca="false">IFERROR(AVERAGE(AY34,AZ34,BA34,BB34,BC34),"n/m")</f>
        <v>0.0723833576642336</v>
      </c>
      <c r="BG34" s="32" t="n">
        <f aca="false">IFERROR(AVERAGE(AJ34,AM34,AP34,AS34,AV34),"n/m")</f>
        <v>0.2808</v>
      </c>
      <c r="BH34" s="32" t="n">
        <f aca="false">IFERROR(AVERAGE(U34,X34,AA34,AD34,AG34,AJ34,AM34,AP34,AS34,AV34),"n/m")</f>
        <v>0.2164</v>
      </c>
      <c r="BI34" s="32" t="n">
        <f aca="false">IFERROR(AVERAGE(C34,D34,E34,F34,G34,H34,I34,L34,O34,R34,U34,X34,AA34,AD34,AG34,AJ34,AM34,AP34,AS34,AV34),"n/m")</f>
        <v>0.208453531809304</v>
      </c>
      <c r="BL34" s="13" t="s">
        <v>81</v>
      </c>
      <c r="BM34" s="35" t="n">
        <f aca="false">BN34+$BM$30</f>
        <v>0.075</v>
      </c>
      <c r="BN34" s="29" t="n">
        <v>0.055</v>
      </c>
      <c r="BO34" s="35" t="n">
        <f aca="false">BN34+$BO$30</f>
        <v>0.025</v>
      </c>
    </row>
    <row r="35" customFormat="false" ht="15" hidden="false" customHeight="true" outlineLevel="0" collapsed="false">
      <c r="B35" s="26" t="s">
        <v>67</v>
      </c>
      <c r="C35" s="30" t="str">
        <f aca="false">IF(AND(ISNUMBER(C33),ISNUMBER(C34)),C33-C34,"")</f>
        <v/>
      </c>
      <c r="D35" s="30" t="str">
        <f aca="false">IF(AND(ISNUMBER(D33),ISNUMBER(D34)),D33-D34,"")</f>
        <v/>
      </c>
      <c r="E35" s="30" t="str">
        <f aca="false">IF(AND(ISNUMBER(E33),ISNUMBER(E34)),E33-E34,"")</f>
        <v/>
      </c>
      <c r="F35" s="30" t="str">
        <f aca="false">IF(AND(ISNUMBER(F33),ISNUMBER(F34)),F33-F34,"")</f>
        <v/>
      </c>
      <c r="G35" s="30" t="n">
        <f aca="false">IF(AND(ISNUMBER(G33),ISNUMBER(G34)),G33-G34,"")</f>
        <v>0.054081986274702</v>
      </c>
      <c r="H35" s="30" t="n">
        <f aca="false">IF(AND(ISNUMBER(H33),ISNUMBER(H34)),H33-H34,"")</f>
        <v>-0.00321942228413624</v>
      </c>
      <c r="I35" s="30" t="n">
        <f aca="false">IF(AND(ISNUMBER(I33),ISNUMBER(I34)),I33-I34,"")</f>
        <v>0.053537009794242</v>
      </c>
      <c r="J35" s="30" t="str">
        <f aca="false">IF(AND(ISNUMBER(J33),ISNUMBER(J34)),J33-J34,"")</f>
        <v/>
      </c>
      <c r="K35" s="30" t="str">
        <f aca="false">IF(AND(ISNUMBER(K33),ISNUMBER(K34)),K33-K34,"")</f>
        <v/>
      </c>
      <c r="L35" s="30" t="n">
        <f aca="false">IF(AND(ISNUMBER(L33),ISNUMBER(L34)),L33-L34,"")</f>
        <v>-0.0483954293664108</v>
      </c>
      <c r="M35" s="30" t="n">
        <f aca="false">IF(AND(ISNUMBER(M33),ISNUMBER(M34)),M33-M34,"")</f>
        <v>-0.172718446601942</v>
      </c>
      <c r="N35" s="30" t="str">
        <f aca="false">IF(AND(ISNUMBER(N33),ISNUMBER(N34)),N33-N34,"")</f>
        <v/>
      </c>
      <c r="O35" s="30" t="n">
        <f aca="false">IF(AND(ISNUMBER(O33),ISNUMBER(O34)),O33-O34,"")</f>
        <v>-0.139112391930836</v>
      </c>
      <c r="P35" s="30" t="n">
        <f aca="false">IF(AND(ISNUMBER(P33),ISNUMBER(P34)),P33-P34,"")</f>
        <v>0.126176706827309</v>
      </c>
      <c r="Q35" s="30" t="str">
        <f aca="false">IF(AND(ISNUMBER(Q33),ISNUMBER(Q34)),Q33-Q34,"")</f>
        <v/>
      </c>
      <c r="R35" s="30" t="n">
        <f aca="false">IF(AND(ISNUMBER(R33),ISNUMBER(R34)),R33-R34,"")</f>
        <v>0.096559273762905</v>
      </c>
      <c r="S35" s="30" t="n">
        <f aca="false">IF(AND(ISNUMBER(S33),ISNUMBER(S34)),S33-S34,"")</f>
        <v>-0.01275984506133</v>
      </c>
      <c r="T35" s="30" t="str">
        <f aca="false">IF(AND(ISNUMBER(T33),ISNUMBER(T34)),T33-T34,"")</f>
        <v/>
      </c>
      <c r="U35" s="30" t="n">
        <f aca="false">IF(AND(ISNUMBER(U33),ISNUMBER(U34)),U33-U34,"")</f>
        <v>-0.00364688159084058</v>
      </c>
      <c r="V35" s="30" t="n">
        <f aca="false">IF(AND(ISNUMBER(V33),ISNUMBER(V34)),V33-V34,"")</f>
        <v>0.0140903054448872</v>
      </c>
      <c r="W35" s="30" t="str">
        <f aca="false">IF(AND(ISNUMBER(W33),ISNUMBER(W34)),W33-W34,"")</f>
        <v/>
      </c>
      <c r="X35" s="30" t="n">
        <f aca="false">IF(AND(ISNUMBER(X33),ISNUMBER(X34)),X33-X34,"")</f>
        <v>-0.0186904761904763</v>
      </c>
      <c r="Y35" s="30" t="n">
        <f aca="false">IF(AND(ISNUMBER(Y33),ISNUMBER(Y34)),Y33-Y34,"")</f>
        <v>-0.0703673824724319</v>
      </c>
      <c r="Z35" s="30" t="str">
        <f aca="false">IF(AND(ISNUMBER(Z33),ISNUMBER(Z34)),Z33-Z34,"")</f>
        <v/>
      </c>
      <c r="AA35" s="30" t="n">
        <f aca="false">IF(AND(ISNUMBER(AA33),ISNUMBER(AA34)),AA33-AA34,"")</f>
        <v>-0.0324383561643836</v>
      </c>
      <c r="AB35" s="30" t="n">
        <f aca="false">IF(AND(ISNUMBER(AB33),ISNUMBER(AB34)),AB33-AB34,"")</f>
        <v>0.0335656916212196</v>
      </c>
      <c r="AC35" s="30" t="str">
        <f aca="false">IF(AND(ISNUMBER(AC33),ISNUMBER(AC34)),AC33-AC34,"")</f>
        <v/>
      </c>
      <c r="AD35" s="30" t="n">
        <f aca="false">IF(AND(ISNUMBER(AD33),ISNUMBER(AD34)),AD33-AD34,"")</f>
        <v>0.0319312455851188</v>
      </c>
      <c r="AE35" s="30" t="n">
        <f aca="false">IF(AND(ISNUMBER(AE33),ISNUMBER(AE34)),AE33-AE34,"")</f>
        <v>0.00807431340872374</v>
      </c>
      <c r="AF35" s="30" t="str">
        <f aca="false">IF(AND(ISNUMBER(AF33),ISNUMBER(AF34)),AF33-AF34,"")</f>
        <v/>
      </c>
      <c r="AG35" s="30" t="n">
        <f aca="false">IF(AND(ISNUMBER(AG33),ISNUMBER(AG34)),AG33-AG34,"")</f>
        <v>-0.0147668127262334</v>
      </c>
      <c r="AH35" s="30" t="n">
        <f aca="false">IF(AND(ISNUMBER(AH33),ISNUMBER(AH34)),AH33-AH34,"")</f>
        <v>-0.0713076923076921</v>
      </c>
      <c r="AI35" s="30" t="str">
        <f aca="false">IF(AND(ISNUMBER(AI33),ISNUMBER(AI34)),AI33-AI34,"")</f>
        <v/>
      </c>
      <c r="AJ35" s="30" t="n">
        <f aca="false">IF(AND(ISNUMBER(AJ33),ISNUMBER(AJ34)),AJ33-AJ34,"")</f>
        <v>-0.00926579520697168</v>
      </c>
      <c r="AK35" s="30" t="n">
        <f aca="false">IF(AND(ISNUMBER(AK33),ISNUMBER(AK34)),AK33-AK34,"")</f>
        <v>0.0766872160934457</v>
      </c>
      <c r="AL35" s="30" t="str">
        <f aca="false">IF(AND(ISNUMBER(AL33),ISNUMBER(AL34)),AL33-AL34,"")</f>
        <v/>
      </c>
      <c r="AM35" s="30" t="n">
        <f aca="false">IF(AND(ISNUMBER(AM33),ISNUMBER(AM34)),AM33-AM34,"")</f>
        <v>0.0736303696303696</v>
      </c>
      <c r="AN35" s="30" t="n">
        <f aca="false">IF(AND(ISNUMBER(AN33),ISNUMBER(AN34)),AN33-AN34,"")</f>
        <v>-0.0308765432098766</v>
      </c>
      <c r="AO35" s="30" t="str">
        <f aca="false">IF(AND(ISNUMBER(AO33),ISNUMBER(AO34)),AO33-AO34,"")</f>
        <v/>
      </c>
      <c r="AP35" s="30" t="n">
        <f aca="false">IF(AND(ISNUMBER(AP33),ISNUMBER(AP34)),AP33-AP34,"")</f>
        <v>-0.0523107221006565</v>
      </c>
      <c r="AQ35" s="30" t="n">
        <f aca="false">IF(AND(ISNUMBER(AQ33),ISNUMBER(AQ34)),AQ33-AQ34,"")</f>
        <v>-0.0303014354066986</v>
      </c>
      <c r="AR35" s="30" t="str">
        <f aca="false">IF(AND(ISNUMBER(AR33),ISNUMBER(AR34)),AR33-AR34,"")</f>
        <v/>
      </c>
      <c r="AS35" s="30" t="n">
        <f aca="false">IF(AND(ISNUMBER(AS33),ISNUMBER(AS34)),AS33-AS34,"")</f>
        <v>-0.0161300665456745</v>
      </c>
      <c r="AT35" s="30" t="n">
        <f aca="false">IF(AND(ISNUMBER(AT33),ISNUMBER(AT34)),AT33-AT34,"")</f>
        <v>-0.010962771458118</v>
      </c>
      <c r="AU35" s="30" t="str">
        <f aca="false">IF(AND(ISNUMBER(AU33),ISNUMBER(AU34)),AU33-AU34,"")</f>
        <v/>
      </c>
      <c r="AV35" s="30" t="n">
        <f aca="false">IF(AND(ISNUMBER(AV33),ISNUMBER(AV34)),AV33-AV34,"")</f>
        <v>-0.0355201676270299</v>
      </c>
      <c r="AW35" s="30" t="n">
        <f aca="false">IF(AND(ISNUMBER(AW33),ISNUMBER(AW34)),AW33-AW34,"")</f>
        <v>-0.0454772727272727</v>
      </c>
      <c r="AX35" s="28" t="n">
        <f aca="false">AX64</f>
        <v>-0.03</v>
      </c>
      <c r="AY35" s="28" t="n">
        <f aca="false">AY33-AY34</f>
        <v>-0.0379532846715327</v>
      </c>
      <c r="AZ35" s="28" t="n">
        <f aca="false">AZ64</f>
        <v>0</v>
      </c>
      <c r="BA35" s="28" t="n">
        <f aca="false">BA64</f>
        <v>0</v>
      </c>
      <c r="BB35" s="28" t="n">
        <f aca="false">BB64</f>
        <v>0</v>
      </c>
      <c r="BC35" s="28" t="n">
        <f aca="false">BC64</f>
        <v>0</v>
      </c>
      <c r="BD35" s="23" t="s">
        <v>93</v>
      </c>
      <c r="BF35" s="7"/>
      <c r="BG35" s="7"/>
      <c r="BH35" s="7"/>
      <c r="BI35" s="7"/>
      <c r="BL35" s="13" t="s">
        <v>82</v>
      </c>
      <c r="BM35" s="35" t="n">
        <f aca="false">BN35+$BM$30</f>
        <v>0.07</v>
      </c>
      <c r="BN35" s="29" t="n">
        <v>0.05</v>
      </c>
      <c r="BO35" s="35" t="n">
        <f aca="false">BN35+$BO$30</f>
        <v>0.02</v>
      </c>
    </row>
    <row r="36" customFormat="false" ht="15" hidden="false" customHeight="true" outlineLevel="0" collapsed="false">
      <c r="B36" s="26" t="s">
        <v>70</v>
      </c>
      <c r="C36" s="30" t="str">
        <f aca="false">IF(AND(ISNUMBER(C32),ISNUMBER(C61)),IFERROR(C32/C61,""),"")</f>
        <v/>
      </c>
      <c r="D36" s="30" t="str">
        <f aca="false">IF(AND(ISNUMBER(D32),ISNUMBER(D61)),IFERROR(D32/D61,""),"")</f>
        <v/>
      </c>
      <c r="E36" s="30" t="str">
        <f aca="false">IF(AND(ISNUMBER(E32),ISNUMBER(E61)),IFERROR(E32/E61,""),"")</f>
        <v/>
      </c>
      <c r="F36" s="30" t="n">
        <f aca="false">IF(AND(ISNUMBER(F32),ISNUMBER(F61)),IFERROR(F32/F61,""),"")</f>
        <v>0.0606060606060606</v>
      </c>
      <c r="G36" s="30" t="n">
        <f aca="false">IF(AND(ISNUMBER(G32),ISNUMBER(G61)),IFERROR(G32/G61,""),"")</f>
        <v>0.0545378850957535</v>
      </c>
      <c r="H36" s="30" t="n">
        <f aca="false">IF(AND(ISNUMBER(H32),ISNUMBER(H61)),IFERROR(H32/H61,""),"")</f>
        <v>0.0562983814215341</v>
      </c>
      <c r="I36" s="30" t="n">
        <f aca="false">IF(AND(ISNUMBER(I32),ISNUMBER(I61)),IFERROR(I32/I61,""),"")</f>
        <v>0.0647781413236898</v>
      </c>
      <c r="J36" s="30" t="n">
        <f aca="false">IF(AND(ISNUMBER(J32),ISNUMBER(J61)),IFERROR(J32/J61,""),"")</f>
        <v>0.0699451078037462</v>
      </c>
      <c r="K36" s="30" t="n">
        <f aca="false">IF(AND(ISNUMBER(K32),ISNUMBER(K61)),IFERROR(K32/K61,""),"")</f>
        <v>0.0774725827548043</v>
      </c>
      <c r="L36" s="30" t="n">
        <f aca="false">IF(AND(ISNUMBER(L32),ISNUMBER(L61)),IFERROR(L32/L61,""),"")</f>
        <v>0.0739300647154385</v>
      </c>
      <c r="M36" s="30" t="n">
        <f aca="false">IF(AND(ISNUMBER(M32),ISNUMBER(M61)),IFERROR(M32/M61,""),"")</f>
        <v>0.0652892128585663</v>
      </c>
      <c r="N36" s="30" t="n">
        <f aca="false">IF(AND(ISNUMBER(N32),ISNUMBER(N61)),IFERROR(N32/N61,""),"")</f>
        <v>0.0707148347425058</v>
      </c>
      <c r="O36" s="30" t="n">
        <f aca="false">IF(AND(ISNUMBER(O32),ISNUMBER(O61)),IFERROR(O32/O61,""),"")</f>
        <v>0.0682027873549264</v>
      </c>
      <c r="P36" s="30" t="n">
        <f aca="false">IF(AND(ISNUMBER(P32),ISNUMBER(P61)),IFERROR(P32/P61,""),"")</f>
        <v>0.067365399669479</v>
      </c>
      <c r="Q36" s="30" t="n">
        <f aca="false">IF(AND(ISNUMBER(Q32),ISNUMBER(Q61)),IFERROR(Q32/Q61,""),"")</f>
        <v>0.0696384309713971</v>
      </c>
      <c r="R36" s="30" t="n">
        <f aca="false">IF(AND(ISNUMBER(R32),ISNUMBER(R61)),IFERROR(R32/R61,""),"")</f>
        <v>0.0685587986201483</v>
      </c>
      <c r="S36" s="30" t="n">
        <f aca="false">IF(AND(ISNUMBER(S32),ISNUMBER(S61)),IFERROR(S32/S61,""),"")</f>
        <v>0.0617061378349586</v>
      </c>
      <c r="T36" s="30" t="n">
        <f aca="false">IF(AND(ISNUMBER(T32),ISNUMBER(T61)),IFERROR(T32/T61,""),"")</f>
        <v>0.0671349942062573</v>
      </c>
      <c r="U36" s="30" t="n">
        <f aca="false">IF(AND(ISNUMBER(U32),ISNUMBER(U61)),IFERROR(U32/U61,""),"")</f>
        <v>0.0645880588981585</v>
      </c>
      <c r="V36" s="30" t="n">
        <f aca="false">IF(AND(ISNUMBER(V32),ISNUMBER(V61)),IFERROR(V32/V61,""),"")</f>
        <v>0.0635066897644761</v>
      </c>
      <c r="W36" s="30" t="n">
        <f aca="false">IF(AND(ISNUMBER(W32),ISNUMBER(W61)),IFERROR(W32/W61,""),"")</f>
        <v>0.0679478138222849</v>
      </c>
      <c r="X36" s="30" t="n">
        <f aca="false">IF(AND(ISNUMBER(X32),ISNUMBER(X61)),IFERROR(X32/X61,""),"")</f>
        <v>0.065776432214233</v>
      </c>
      <c r="Y36" s="30" t="n">
        <f aca="false">IF(AND(ISNUMBER(Y32),ISNUMBER(Y61)),IFERROR(Y32/Y61,""),"")</f>
        <v>0.070685123532504</v>
      </c>
      <c r="Z36" s="30" t="n">
        <f aca="false">IF(AND(ISNUMBER(Z32),ISNUMBER(Z61)),IFERROR(Z32/Z61,""),"")</f>
        <v>0.0716442845209793</v>
      </c>
      <c r="AA36" s="30" t="n">
        <f aca="false">IF(AND(ISNUMBER(AA32),ISNUMBER(AA61)),IFERROR(AA32/AA61,""),"")</f>
        <v>0.0711855315867987</v>
      </c>
      <c r="AB36" s="30" t="n">
        <f aca="false">IF(AND(ISNUMBER(AB32),ISNUMBER(AB61)),IFERROR(AB32/AB61,""),"")</f>
        <v>0.0753889717748074</v>
      </c>
      <c r="AC36" s="30" t="n">
        <f aca="false">IF(AND(ISNUMBER(AC32),ISNUMBER(AC61)),IFERROR(AC32/AC61,""),"")</f>
        <v>0.0770470395376622</v>
      </c>
      <c r="AD36" s="30" t="n">
        <f aca="false">IF(AND(ISNUMBER(AD32),ISNUMBER(AD61)),IFERROR(AD32/AD61,""),"")</f>
        <v>0.0762559200395154</v>
      </c>
      <c r="AE36" s="30" t="n">
        <f aca="false">IF(AND(ISNUMBER(AE32),ISNUMBER(AE61)),IFERROR(AE32/AE61,""),"")</f>
        <v>0.0961453434623578</v>
      </c>
      <c r="AF36" s="30" t="n">
        <f aca="false">IF(AND(ISNUMBER(AF32),ISNUMBER(AF61)),IFERROR(AF32/AF61,""),"")</f>
        <v>0.103393479598114</v>
      </c>
      <c r="AG36" s="30" t="n">
        <f aca="false">IF(AND(ISNUMBER(AG32),ISNUMBER(AG61)),IFERROR(AG32/AG61,""),"")</f>
        <v>0.10057124970655</v>
      </c>
      <c r="AH36" s="30" t="n">
        <f aca="false">IF(AND(ISNUMBER(AH32),ISNUMBER(AH61)),IFERROR(AH32/AH61,""),"")</f>
        <v>0.109159169795282</v>
      </c>
      <c r="AI36" s="30" t="n">
        <f aca="false">IF(AND(ISNUMBER(AI32),ISNUMBER(AI61)),IFERROR(AI32/AI61,""),"")</f>
        <v>0.113508502075476</v>
      </c>
      <c r="AJ36" s="30" t="n">
        <f aca="false">IF(AND(ISNUMBER(AJ32),ISNUMBER(AJ61)),IFERROR(AJ32/AJ61,""),"")</f>
        <v>0.111457521434139</v>
      </c>
      <c r="AK36" s="30" t="n">
        <f aca="false">IF(AND(ISNUMBER(AK32),ISNUMBER(AK61)),IFERROR(AK32/AK61,""),"")</f>
        <v>0.118377785896967</v>
      </c>
      <c r="AL36" s="30" t="n">
        <f aca="false">IF(AND(ISNUMBER(AL32),ISNUMBER(AL61)),IFERROR(AL32/AL61,""),"")</f>
        <v>0.118002284968174</v>
      </c>
      <c r="AM36" s="30" t="n">
        <f aca="false">IF(AND(ISNUMBER(AM32),ISNUMBER(AM61)),IFERROR(AM32/AM61,""),"")</f>
        <v>0.118179467287303</v>
      </c>
      <c r="AN36" s="30" t="n">
        <f aca="false">IF(AND(ISNUMBER(AN32),ISNUMBER(AN61)),IFERROR(AN32/AN61,""),"")</f>
        <v>0.124813377127501</v>
      </c>
      <c r="AO36" s="30" t="n">
        <f aca="false">IF(AND(ISNUMBER(AO32),ISNUMBER(AO61)),IFERROR(AO32/AO61,""),"")</f>
        <v>0.121414771882895</v>
      </c>
      <c r="AP36" s="30" t="n">
        <f aca="false">IF(AND(ISNUMBER(AP32),ISNUMBER(AP61)),IFERROR(AP32/AP61,""),"")</f>
        <v>0.123110151187905</v>
      </c>
      <c r="AQ36" s="30" t="n">
        <f aca="false">IF(AND(ISNUMBER(AQ32),ISNUMBER(AQ61)),IFERROR(AQ32/AQ61,""),"")</f>
        <v>0.12886460554371</v>
      </c>
      <c r="AR36" s="30" t="n">
        <f aca="false">IF(AND(ISNUMBER(AR32),ISNUMBER(AR61)),IFERROR(AR32/AR61,""),"")</f>
        <v>0.122880250456561</v>
      </c>
      <c r="AS36" s="30" t="n">
        <f aca="false">IF(AND(ISNUMBER(AS32),ISNUMBER(AS61)),IFERROR(AS32/AS61,""),"")</f>
        <v>0.125840474620962</v>
      </c>
      <c r="AT36" s="30" t="n">
        <f aca="false">IF(AND(ISNUMBER(AT32),ISNUMBER(AT61)),IFERROR(AT32/AT61,""),"")</f>
        <v>0.131457736835553</v>
      </c>
      <c r="AU36" s="30" t="n">
        <f aca="false">IF(AND(ISNUMBER(AU32),ISNUMBER(AU61)),IFERROR(AU32/AU61,""),"")</f>
        <v>0.125376506024096</v>
      </c>
      <c r="AV36" s="30" t="n">
        <f aca="false">IF(AND(ISNUMBER(AV32),ISNUMBER(AV61)),IFERROR(AV32/AV61,""),"")</f>
        <v>0.128429473157928</v>
      </c>
      <c r="AW36" s="30" t="n">
        <f aca="false">IF(AND(ISNUMBER(AW32),ISNUMBER(AW61)),IFERROR(AW32/AW61,""),"")</f>
        <v>0.130466740169056</v>
      </c>
      <c r="AX36" s="28" t="n">
        <f aca="false">IF(AND(ISNUMBER(AX32),ISNUMBER(AX61)),IFERROR(AX32/AX61,""),"")</f>
        <v>0.124814561880837</v>
      </c>
      <c r="AY36" s="28" t="n">
        <f aca="false">IF(AND(ISNUMBER(AY32),ISNUMBER(AY61)),IFERROR(AY32/AY61,""),"")</f>
        <v>0.127626700570915</v>
      </c>
      <c r="AZ36" s="28" t="n">
        <f aca="false">IF(AND(ISNUMBER(AZ32),ISNUMBER(AZ61)),IFERROR(AZ32/AZ61,""),"")</f>
        <v>0.128301624834529</v>
      </c>
      <c r="BA36" s="28" t="n">
        <f aca="false">IF(AND(ISNUMBER(BA32),ISNUMBER(BA61)),IFERROR(BA32/BA61,""),"")</f>
        <v>0.128913168964319</v>
      </c>
      <c r="BB36" s="28" t="n">
        <f aca="false">IF(AND(ISNUMBER(BB32),ISNUMBER(BB61)),IFERROR(BB32/BB61,""),"")</f>
        <v>0.129291607229427</v>
      </c>
      <c r="BC36" s="28" t="n">
        <f aca="false">IF(AND(ISNUMBER(BC32),ISNUMBER(BC61)),IFERROR(BC32/BC61,""),"")</f>
        <v>0.129603094984184</v>
      </c>
      <c r="BD36" s="23"/>
      <c r="BF36" s="32" t="n">
        <f aca="false">IFERROR(AVERAGE(AY36,AZ36,BA36,BB36,BC36),"n/m")</f>
        <v>0.128747239316675</v>
      </c>
      <c r="BG36" s="32" t="n">
        <f aca="false">IFERROR(AVERAGE(AJ36,AM36,AP36,AS36,AV36),"n/m")</f>
        <v>0.121403417537647</v>
      </c>
      <c r="BH36" s="32" t="n">
        <f aca="false">IFERROR(AVERAGE(U36,X36,AA36,AD36,AG36,AJ36,AM36,AP36,AS36,AV36),"n/m")</f>
        <v>0.0985394280133492</v>
      </c>
      <c r="BI36" s="32" t="n">
        <f aca="false">IFERROR(AVERAGE(C36,D36,E36,F36,G36,H36,I36,L36,O36,R36,U36,X36,AA36,AD36,AG36,AJ36,AM36,AP36,AS36,AV36),"n/m")</f>
        <v>0.084253317604179</v>
      </c>
      <c r="BL36" s="18" t="s">
        <v>94</v>
      </c>
      <c r="BM36" s="34" t="n">
        <v>0.02</v>
      </c>
      <c r="BN36" s="25" t="s">
        <v>75</v>
      </c>
      <c r="BO36" s="34" t="n">
        <v>-0.03</v>
      </c>
      <c r="BP36" s="16" t="s">
        <v>95</v>
      </c>
    </row>
    <row r="37" customFormat="false" ht="15" hidden="false" customHeight="true" outlineLevel="0" collapsed="false">
      <c r="B37" s="36" t="s">
        <v>96</v>
      </c>
      <c r="C37" s="37"/>
      <c r="D37" s="37"/>
      <c r="E37" s="37"/>
      <c r="F37" s="38" t="n">
        <v>38</v>
      </c>
      <c r="G37" s="38" t="n">
        <v>44</v>
      </c>
      <c r="H37" s="38" t="n">
        <v>51</v>
      </c>
      <c r="I37" s="38" t="n">
        <v>60.5</v>
      </c>
      <c r="J37" s="38" t="n">
        <v>28.9</v>
      </c>
      <c r="K37" s="37" t="n">
        <f aca="false">L37-J37</f>
        <v>32.3</v>
      </c>
      <c r="L37" s="38" t="n">
        <v>61.2</v>
      </c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9"/>
      <c r="AY37" s="39"/>
      <c r="AZ37" s="39"/>
      <c r="BA37" s="39"/>
      <c r="BB37" s="39"/>
      <c r="BC37" s="39"/>
      <c r="BD37" s="23"/>
      <c r="BF37" s="7"/>
      <c r="BG37" s="7"/>
      <c r="BH37" s="7"/>
      <c r="BI37" s="7"/>
      <c r="BL37" s="13" t="s">
        <v>77</v>
      </c>
      <c r="BM37" s="35" t="n">
        <f aca="false">BN37+$BM$36</f>
        <v>0.08</v>
      </c>
      <c r="BN37" s="29" t="n">
        <v>0.06</v>
      </c>
      <c r="BO37" s="35" t="n">
        <f aca="false">BN37+$BO$36</f>
        <v>0.03</v>
      </c>
    </row>
    <row r="38" customFormat="false" ht="15" hidden="false" customHeight="true" outlineLevel="0" collapsed="false">
      <c r="B38" s="13"/>
      <c r="AX38" s="7"/>
      <c r="AY38" s="7"/>
      <c r="AZ38" s="7"/>
      <c r="BA38" s="7"/>
      <c r="BB38" s="7"/>
      <c r="BC38" s="7"/>
      <c r="BD38" s="7"/>
      <c r="BL38" s="13" t="s">
        <v>79</v>
      </c>
      <c r="BM38" s="35" t="n">
        <f aca="false">BN38+$BM$36</f>
        <v>0.1</v>
      </c>
      <c r="BN38" s="29" t="n">
        <v>0.08</v>
      </c>
      <c r="BO38" s="35" t="n">
        <f aca="false">BN38+$BO$36</f>
        <v>0.05</v>
      </c>
    </row>
    <row r="39" customFormat="false" ht="15" hidden="false" customHeight="true" outlineLevel="0" collapsed="false">
      <c r="B39" s="17" t="s">
        <v>97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8" t="s">
        <v>98</v>
      </c>
      <c r="BL39" s="13" t="s">
        <v>80</v>
      </c>
      <c r="BM39" s="35" t="n">
        <f aca="false">BN39+$BM$36</f>
        <v>0.1</v>
      </c>
      <c r="BN39" s="29" t="n">
        <v>0.08</v>
      </c>
      <c r="BO39" s="35" t="n">
        <f aca="false">BN39+$BO$36</f>
        <v>0.05</v>
      </c>
    </row>
    <row r="40" customFormat="false" ht="15" hidden="false" customHeight="true" outlineLevel="0" collapsed="false">
      <c r="B40" s="19" t="s">
        <v>57</v>
      </c>
      <c r="C40" s="20"/>
      <c r="D40" s="20"/>
      <c r="E40" s="20"/>
      <c r="F40" s="21" t="n">
        <v>117</v>
      </c>
      <c r="G40" s="21" t="n">
        <v>138</v>
      </c>
      <c r="H40" s="21" t="n">
        <v>159</v>
      </c>
      <c r="I40" s="21" t="n">
        <v>184.1</v>
      </c>
      <c r="J40" s="21" t="n">
        <v>106.7</v>
      </c>
      <c r="K40" s="20" t="n">
        <f aca="false">L40-J40</f>
        <v>103</v>
      </c>
      <c r="L40" s="21" t="n">
        <v>209.7</v>
      </c>
      <c r="M40" s="21" t="n">
        <v>114.6</v>
      </c>
      <c r="N40" s="20" t="n">
        <f aca="false">O40-M40</f>
        <v>116.2</v>
      </c>
      <c r="O40" s="21" t="n">
        <v>230.8</v>
      </c>
      <c r="P40" s="21" t="n">
        <v>120.3</v>
      </c>
      <c r="Q40" s="20" t="n">
        <f aca="false">R40-P40</f>
        <v>121.1</v>
      </c>
      <c r="R40" s="21" t="n">
        <v>241.4</v>
      </c>
      <c r="S40" s="21" t="n">
        <v>124.6</v>
      </c>
      <c r="T40" s="20" t="n">
        <f aca="false">U40-S40</f>
        <v>137.3</v>
      </c>
      <c r="U40" s="21" t="n">
        <v>261.9</v>
      </c>
      <c r="V40" s="21" t="n">
        <v>134.4</v>
      </c>
      <c r="W40" s="20" t="n">
        <f aca="false">X40-V40</f>
        <v>153.1</v>
      </c>
      <c r="X40" s="21" t="n">
        <v>287.5</v>
      </c>
      <c r="Y40" s="21" t="n">
        <v>153.2</v>
      </c>
      <c r="Z40" s="20" t="n">
        <f aca="false">AA40-Y40</f>
        <v>158.5</v>
      </c>
      <c r="AA40" s="21" t="n">
        <v>311.7</v>
      </c>
      <c r="AB40" s="21" t="n">
        <v>158.7</v>
      </c>
      <c r="AC40" s="20" t="n">
        <f aca="false">AD40-AB40</f>
        <v>167.2</v>
      </c>
      <c r="AD40" s="21" t="n">
        <v>325.9</v>
      </c>
      <c r="AE40" s="21" t="n">
        <v>112.9</v>
      </c>
      <c r="AF40" s="20" t="n">
        <f aca="false">AG40-AE40</f>
        <v>150.3</v>
      </c>
      <c r="AG40" s="21" t="n">
        <v>263.2</v>
      </c>
      <c r="AH40" s="21" t="n">
        <v>184.1</v>
      </c>
      <c r="AI40" s="20" t="n">
        <f aca="false">AJ40-AH40</f>
        <v>200.9</v>
      </c>
      <c r="AJ40" s="21" t="n">
        <v>385</v>
      </c>
      <c r="AK40" s="21" t="n">
        <v>230</v>
      </c>
      <c r="AL40" s="20" t="n">
        <f aca="false">AM40-AK40</f>
        <v>218</v>
      </c>
      <c r="AM40" s="21" t="n">
        <v>448</v>
      </c>
      <c r="AN40" s="21" t="n">
        <v>249</v>
      </c>
      <c r="AO40" s="20" t="n">
        <f aca="false">AP40-AN40</f>
        <v>243</v>
      </c>
      <c r="AP40" s="21" t="n">
        <v>492</v>
      </c>
      <c r="AQ40" s="21" t="n">
        <v>259</v>
      </c>
      <c r="AR40" s="20" t="n">
        <f aca="false">AS40-AQ40</f>
        <v>276</v>
      </c>
      <c r="AS40" s="21" t="n">
        <v>535</v>
      </c>
      <c r="AT40" s="21" t="n">
        <v>248</v>
      </c>
      <c r="AU40" s="20" t="n">
        <f aca="false">AV40-AT40</f>
        <v>241</v>
      </c>
      <c r="AV40" s="21" t="n">
        <v>489</v>
      </c>
      <c r="AW40" s="21" t="n">
        <v>233</v>
      </c>
      <c r="AX40" s="22" t="n">
        <f aca="false">AU40*(1+AX42+AX64)</f>
        <v>228.95</v>
      </c>
      <c r="AY40" s="22" t="n">
        <f aca="false">AW40+AX40</f>
        <v>461.95</v>
      </c>
      <c r="AZ40" s="22" t="n">
        <f aca="false">AY40*(1+AZ42+AZ64)</f>
        <v>471.189</v>
      </c>
      <c r="BA40" s="22" t="n">
        <f aca="false">AZ40*(1+BA42+BA64)</f>
        <v>485.32467</v>
      </c>
      <c r="BB40" s="22" t="n">
        <f aca="false">BA40*(1+BB42+BB64)</f>
        <v>499.8844101</v>
      </c>
      <c r="BC40" s="22" t="n">
        <f aca="false">BB40*(1+BC42+BC64)</f>
        <v>514.880942403</v>
      </c>
      <c r="BD40" s="23" t="s">
        <v>58</v>
      </c>
      <c r="BF40" s="24" t="n">
        <f aca="false">IFERROR((BC40/AV40)^(1/5)-1,"n/m")</f>
        <v>0.0103680202128307</v>
      </c>
      <c r="BG40" s="24" t="n">
        <f aca="false">IFERROR((AV40/AG40)^(1/5)-1,"n/m")</f>
        <v>0.1318909690004</v>
      </c>
      <c r="BH40" s="24" t="n">
        <f aca="false">IFERROR((AV40/R40)^(1/10)-1,"n/m")</f>
        <v>0.0731419183906226</v>
      </c>
      <c r="BI40" s="24" t="str">
        <f aca="false">IFERROR((AV40/C40)^(1/19)-1,"n/m")</f>
        <v>n/m</v>
      </c>
      <c r="BL40" s="13" t="s">
        <v>81</v>
      </c>
      <c r="BM40" s="35" t="n">
        <f aca="false">BN40+$BM$36</f>
        <v>0.095</v>
      </c>
      <c r="BN40" s="29" t="n">
        <v>0.075</v>
      </c>
      <c r="BO40" s="35" t="n">
        <f aca="false">BN40+$BO$36</f>
        <v>0.045</v>
      </c>
    </row>
    <row r="41" customFormat="false" ht="15" hidden="false" customHeight="true" outlineLevel="0" collapsed="false">
      <c r="B41" s="26" t="s">
        <v>60</v>
      </c>
      <c r="C41" s="27"/>
      <c r="D41" s="27" t="str">
        <f aca="false">IF(AND(ISNUMBER(D40),ISNUMBER(C40)),IFERROR(D40/C40-1,""),"")</f>
        <v/>
      </c>
      <c r="E41" s="27" t="str">
        <f aca="false">IF(AND(ISNUMBER(E40),ISNUMBER(D40)),IFERROR(E40/D40-1,""),"")</f>
        <v/>
      </c>
      <c r="F41" s="27" t="str">
        <f aca="false">IF(AND(ISNUMBER(F40),ISNUMBER(E40)),IFERROR(F40/E40-1,""),"")</f>
        <v/>
      </c>
      <c r="G41" s="27" t="n">
        <f aca="false">IF(AND(ISNUMBER(G40),ISNUMBER(F40)),IFERROR(G40/F40-1,""),"")</f>
        <v>0.17948717948718</v>
      </c>
      <c r="H41" s="27" t="n">
        <f aca="false">IF(AND(ISNUMBER(H40),ISNUMBER(G40)),IFERROR(H40/G40-1,""),"")</f>
        <v>0.152173913043478</v>
      </c>
      <c r="I41" s="27" t="n">
        <f aca="false">IF(AND(ISNUMBER(I40),ISNUMBER(H40)),IFERROR(I40/H40-1,""),"")</f>
        <v>0.157861635220126</v>
      </c>
      <c r="J41" s="27"/>
      <c r="K41" s="27"/>
      <c r="L41" s="27" t="n">
        <f aca="false">IF(AND(ISNUMBER(L40),ISNUMBER(I40)),IFERROR(L40/I40-1,""),"")</f>
        <v>0.139054861488322</v>
      </c>
      <c r="M41" s="27" t="n">
        <f aca="false">IF(AND(ISNUMBER(M40),ISNUMBER(J40)),IFERROR(M40/J40-1,""),"")</f>
        <v>0.0740393626991565</v>
      </c>
      <c r="N41" s="27" t="n">
        <f aca="false">IF(AND(ISNUMBER(N40),ISNUMBER(K40)),IFERROR(N40/K40-1,""),"")</f>
        <v>0.128155339805826</v>
      </c>
      <c r="O41" s="27" t="n">
        <f aca="false">IF(AND(ISNUMBER(O40),ISNUMBER(L40)),IFERROR(O40/L40-1,""),"")</f>
        <v>0.100619933237959</v>
      </c>
      <c r="P41" s="27" t="n">
        <f aca="false">IF(AND(ISNUMBER(P40),ISNUMBER(M40)),IFERROR(P40/M40-1,""),"")</f>
        <v>0.049738219895288</v>
      </c>
      <c r="Q41" s="27" t="n">
        <f aca="false">IF(AND(ISNUMBER(Q40),ISNUMBER(N40)),IFERROR(Q40/N40-1,""),"")</f>
        <v>0.042168674698795</v>
      </c>
      <c r="R41" s="27" t="n">
        <f aca="false">IF(AND(ISNUMBER(R40),ISNUMBER(O40)),IFERROR(R40/O40-1,""),"")</f>
        <v>0.0459272097053727</v>
      </c>
      <c r="S41" s="27" t="n">
        <f aca="false">IF(AND(ISNUMBER(S40),ISNUMBER(P40)),IFERROR(S40/P40-1,""),"")</f>
        <v>0.0357439733998337</v>
      </c>
      <c r="T41" s="27" t="n">
        <f aca="false">IF(AND(ISNUMBER(T40),ISNUMBER(Q40)),IFERROR(T40/Q40-1,""),"")</f>
        <v>0.133773740710157</v>
      </c>
      <c r="U41" s="27" t="n">
        <f aca="false">IF(AND(ISNUMBER(U40),ISNUMBER(R40)),IFERROR(U40/R40-1,""),"")</f>
        <v>0.0849212924606462</v>
      </c>
      <c r="V41" s="27" t="n">
        <f aca="false">IF(AND(ISNUMBER(V40),ISNUMBER(S40)),IFERROR(V40/S40-1,""),"")</f>
        <v>0.0786516853932586</v>
      </c>
      <c r="W41" s="27" t="n">
        <f aca="false">IF(AND(ISNUMBER(W40),ISNUMBER(T40)),IFERROR(W40/T40-1,""),"")</f>
        <v>0.115076474872542</v>
      </c>
      <c r="X41" s="27" t="n">
        <f aca="false">IF(AND(ISNUMBER(X40),ISNUMBER(U40)),IFERROR(X40/U40-1,""),"")</f>
        <v>0.0977472317678505</v>
      </c>
      <c r="Y41" s="27" t="n">
        <f aca="false">IF(AND(ISNUMBER(Y40),ISNUMBER(V40)),IFERROR(Y40/V40-1,""),"")</f>
        <v>0.139880952380952</v>
      </c>
      <c r="Z41" s="27" t="n">
        <f aca="false">IF(AND(ISNUMBER(Z40),ISNUMBER(W40)),IFERROR(Z40/W40-1,""),"")</f>
        <v>0.0352710646636185</v>
      </c>
      <c r="AA41" s="27" t="n">
        <f aca="false">IF(AND(ISNUMBER(AA40),ISNUMBER(X40)),IFERROR(AA40/X40-1,""),"")</f>
        <v>0.0841739130434782</v>
      </c>
      <c r="AB41" s="27" t="n">
        <f aca="false">IF(AND(ISNUMBER(AB40),ISNUMBER(Y40)),IFERROR(AB40/Y40-1,""),"")</f>
        <v>0.0359007832898173</v>
      </c>
      <c r="AC41" s="27" t="n">
        <f aca="false">IF(AND(ISNUMBER(AC40),ISNUMBER(Z40)),IFERROR(AC40/Z40-1,""),"")</f>
        <v>0.0548895899053627</v>
      </c>
      <c r="AD41" s="27" t="n">
        <f aca="false">IF(AND(ISNUMBER(AD40),ISNUMBER(AA40)),IFERROR(AD40/AA40-1,""),"")</f>
        <v>0.0455566249598973</v>
      </c>
      <c r="AE41" s="27" t="n">
        <f aca="false">IF(AND(ISNUMBER(AE40),ISNUMBER(AB40)),IFERROR(AE40/AB40-1,""),"")</f>
        <v>-0.288594833018273</v>
      </c>
      <c r="AF41" s="27" t="n">
        <f aca="false">IF(AND(ISNUMBER(AF40),ISNUMBER(AC40)),IFERROR(AF40/AC40-1,""),"")</f>
        <v>-0.101076555023923</v>
      </c>
      <c r="AG41" s="27" t="n">
        <f aca="false">IF(AND(ISNUMBER(AG40),ISNUMBER(AD40)),IFERROR(AG40/AD40-1,""),"")</f>
        <v>-0.192390303774164</v>
      </c>
      <c r="AH41" s="27" t="n">
        <f aca="false">IF(AND(ISNUMBER(AH40),ISNUMBER(AE40)),IFERROR(AH40/AE40-1,""),"")</f>
        <v>0.630646589902569</v>
      </c>
      <c r="AI41" s="27" t="n">
        <f aca="false">IF(AND(ISNUMBER(AI40),ISNUMBER(AF40)),IFERROR(AI40/AF40-1,""),"")</f>
        <v>0.33666001330672</v>
      </c>
      <c r="AJ41" s="27" t="n">
        <f aca="false">IF(AND(ISNUMBER(AJ40),ISNUMBER(AG40)),IFERROR(AJ40/AG40-1,""),"")</f>
        <v>0.462765957446809</v>
      </c>
      <c r="AK41" s="27" t="n">
        <f aca="false">IF(AND(ISNUMBER(AK40),ISNUMBER(AH40)),IFERROR(AK40/AH40-1,""),"")</f>
        <v>0.249321021184139</v>
      </c>
      <c r="AL41" s="27" t="n">
        <f aca="false">IF(AND(ISNUMBER(AL40),ISNUMBER(AI40)),IFERROR(AL40/AI40-1,""),"")</f>
        <v>0.0851169736187158</v>
      </c>
      <c r="AM41" s="27" t="n">
        <f aca="false">IF(AND(ISNUMBER(AM40),ISNUMBER(AJ40)),IFERROR(AM40/AJ40-1,""),"")</f>
        <v>0.163636363636364</v>
      </c>
      <c r="AN41" s="27" t="n">
        <f aca="false">IF(AND(ISNUMBER(AN40),ISNUMBER(AK40)),IFERROR(AN40/AK40-1,""),"")</f>
        <v>0.0826086956521739</v>
      </c>
      <c r="AO41" s="27" t="n">
        <f aca="false">IF(AND(ISNUMBER(AO40),ISNUMBER(AL40)),IFERROR(AO40/AL40-1,""),"")</f>
        <v>0.114678899082569</v>
      </c>
      <c r="AP41" s="27" t="n">
        <f aca="false">IF(AND(ISNUMBER(AP40),ISNUMBER(AM40)),IFERROR(AP40/AM40-1,""),"")</f>
        <v>0.0982142857142858</v>
      </c>
      <c r="AQ41" s="27" t="n">
        <f aca="false">IF(AND(ISNUMBER(AQ40),ISNUMBER(AN40)),IFERROR(AQ40/AN40-1,""),"")</f>
        <v>0.0401606425702812</v>
      </c>
      <c r="AR41" s="27" t="n">
        <f aca="false">IF(AND(ISNUMBER(AR40),ISNUMBER(AO40)),IFERROR(AR40/AO40-1,""),"")</f>
        <v>0.135802469135802</v>
      </c>
      <c r="AS41" s="27" t="n">
        <f aca="false">IF(AND(ISNUMBER(AS40),ISNUMBER(AP40)),IFERROR(AS40/AP40-1,""),"")</f>
        <v>0.0873983739837398</v>
      </c>
      <c r="AT41" s="27" t="n">
        <f aca="false">IF(AND(ISNUMBER(AT40),ISNUMBER(AQ40)),IFERROR(AT40/AQ40-1,""),"")</f>
        <v>-0.0424710424710425</v>
      </c>
      <c r="AU41" s="27" t="n">
        <f aca="false">IF(AND(ISNUMBER(AU40),ISNUMBER(AR40)),IFERROR(AU40/AR40-1,""),"")</f>
        <v>-0.126811594202899</v>
      </c>
      <c r="AV41" s="27" t="n">
        <f aca="false">IF(AND(ISNUMBER(AV40),ISNUMBER(AS40)),IFERROR(AV40/AS40-1,""),"")</f>
        <v>-0.085981308411215</v>
      </c>
      <c r="AW41" s="27" t="n">
        <f aca="false">IF(AND(ISNUMBER(AW40),ISNUMBER(AT40)),IFERROR(AW40/AT40-1,""),"")</f>
        <v>-0.0604838709677419</v>
      </c>
      <c r="AX41" s="28" t="n">
        <f aca="false">IF(AND(ISNUMBER(AX40),ISNUMBER(AU40)),IFERROR(AX40/AU40-1,""),"")</f>
        <v>-0.05</v>
      </c>
      <c r="AY41" s="28" t="n">
        <f aca="false">IF(AND(ISNUMBER(AY40),ISNUMBER(AV40)),IFERROR(AY40/AV40-1,""),"")</f>
        <v>-0.055316973415133</v>
      </c>
      <c r="AZ41" s="28" t="n">
        <f aca="false">IF(AND(ISNUMBER(AZ40),ISNUMBER(AY40)),IFERROR(AZ40/AY40-1,""),"")</f>
        <v>0.02</v>
      </c>
      <c r="BA41" s="28" t="n">
        <f aca="false">IF(AND(ISNUMBER(BA40),ISNUMBER(AZ40)),IFERROR(BA40/AZ40-1,""),"")</f>
        <v>0.03</v>
      </c>
      <c r="BB41" s="28" t="n">
        <f aca="false">IF(AND(ISNUMBER(BB40),ISNUMBER(BA40)),IFERROR(BB40/BA40-1,""),"")</f>
        <v>0.03</v>
      </c>
      <c r="BC41" s="28" t="n">
        <f aca="false">IF(AND(ISNUMBER(BC40),ISNUMBER(BB40)),IFERROR(BC40/BB40-1,""),"")</f>
        <v>0.03</v>
      </c>
      <c r="BD41" s="23"/>
      <c r="BF41" s="7"/>
      <c r="BG41" s="7"/>
      <c r="BH41" s="7"/>
      <c r="BI41" s="7"/>
      <c r="BL41" s="13" t="s">
        <v>82</v>
      </c>
      <c r="BM41" s="35" t="n">
        <f aca="false">BN41+$BM$36</f>
        <v>0.09</v>
      </c>
      <c r="BN41" s="29" t="n">
        <v>0.07</v>
      </c>
      <c r="BO41" s="35" t="n">
        <f aca="false">BN41+$BO$36</f>
        <v>0.04</v>
      </c>
    </row>
    <row r="42" customFormat="false" ht="15" hidden="false" customHeight="true" outlineLevel="0" collapsed="false">
      <c r="B42" s="26" t="s">
        <v>63</v>
      </c>
      <c r="C42" s="30"/>
      <c r="D42" s="30"/>
      <c r="E42" s="30"/>
      <c r="F42" s="30"/>
      <c r="G42" s="31" t="n">
        <v>0.163</v>
      </c>
      <c r="H42" s="31" t="n">
        <v>0.157</v>
      </c>
      <c r="I42" s="31" t="n">
        <v>0.144</v>
      </c>
      <c r="J42" s="31" t="n">
        <v>0.199</v>
      </c>
      <c r="K42" s="30"/>
      <c r="L42" s="31" t="n">
        <v>0.148</v>
      </c>
      <c r="M42" s="31" t="n">
        <v>0.08</v>
      </c>
      <c r="N42" s="30"/>
      <c r="O42" s="31" t="n">
        <v>0.104</v>
      </c>
      <c r="P42" s="31" t="n">
        <v>0.036</v>
      </c>
      <c r="Q42" s="30"/>
      <c r="R42" s="31" t="n">
        <v>0.033</v>
      </c>
      <c r="S42" s="31" t="n">
        <v>0.037</v>
      </c>
      <c r="T42" s="30"/>
      <c r="U42" s="31" t="n">
        <v>0.085</v>
      </c>
      <c r="V42" s="31" t="n">
        <v>0.077</v>
      </c>
      <c r="W42" s="30"/>
      <c r="X42" s="31" t="n">
        <v>0.101</v>
      </c>
      <c r="Y42" s="31" t="n">
        <v>0.149</v>
      </c>
      <c r="Z42" s="30"/>
      <c r="AA42" s="31" t="n">
        <v>0.089</v>
      </c>
      <c r="AB42" s="31" t="n">
        <v>0.032</v>
      </c>
      <c r="AC42" s="30"/>
      <c r="AD42" s="31" t="n">
        <v>0.041</v>
      </c>
      <c r="AE42" s="31" t="n">
        <v>-0.291</v>
      </c>
      <c r="AF42" s="30"/>
      <c r="AG42" s="31" t="n">
        <v>-0.19</v>
      </c>
      <c r="AH42" s="31" t="n">
        <v>0.645</v>
      </c>
      <c r="AI42" s="30"/>
      <c r="AJ42" s="31" t="n">
        <v>0.465</v>
      </c>
      <c r="AK42" s="31" t="n">
        <v>0.233</v>
      </c>
      <c r="AL42" s="30"/>
      <c r="AM42" s="31" t="n">
        <v>0.15</v>
      </c>
      <c r="AN42" s="31" t="n">
        <v>0.095</v>
      </c>
      <c r="AO42" s="30"/>
      <c r="AP42" s="31" t="n">
        <v>0.117</v>
      </c>
      <c r="AQ42" s="31" t="n">
        <v>0.049</v>
      </c>
      <c r="AR42" s="30"/>
      <c r="AS42" s="31" t="n">
        <v>0.093</v>
      </c>
      <c r="AT42" s="31" t="n">
        <v>-0.038</v>
      </c>
      <c r="AU42" s="30"/>
      <c r="AV42" s="31" t="n">
        <v>-0.076</v>
      </c>
      <c r="AW42" s="31" t="n">
        <v>-0.045</v>
      </c>
      <c r="AX42" s="28" t="n">
        <f aca="false">CHOOSE(MATCH($BD$2,{"Bull","Base","Bear"},0),$BM$43,$BN$43,$BO$43)</f>
        <v>-0.02</v>
      </c>
      <c r="AY42" s="28" t="n">
        <f aca="false">(AT40*(1+AW42)+AU40*(1+AX42))/AV40-1</f>
        <v>-0.0326789366053171</v>
      </c>
      <c r="AZ42" s="28" t="n">
        <f aca="false">CHOOSE(MATCH($BD$2,{"Bull","Base","Bear"},0),$BM$44,$BN$44,$BO$44)</f>
        <v>0.02</v>
      </c>
      <c r="BA42" s="28" t="n">
        <f aca="false">CHOOSE(MATCH($BD$2,{"Bull","Base","Bear"},0),$BM$45,$BN$45,$BO$45)</f>
        <v>0.03</v>
      </c>
      <c r="BB42" s="28" t="n">
        <f aca="false">CHOOSE(MATCH($BD$2,{"Bull","Base","Bear"},0),$BM$46,$BN$46,$BO$46)</f>
        <v>0.03</v>
      </c>
      <c r="BC42" s="28" t="n">
        <f aca="false">CHOOSE(MATCH($BD$2,{"Bull","Base","Bear"},0),$BM$47,$BN$47,$BO$47)</f>
        <v>0.03</v>
      </c>
      <c r="BD42" s="23" t="s">
        <v>99</v>
      </c>
      <c r="BF42" s="32" t="n">
        <f aca="false">IFERROR(AVERAGE(AY42,AZ42,BA42,BB42,BC42),"n/m")</f>
        <v>0.0154642126789366</v>
      </c>
      <c r="BG42" s="32" t="n">
        <f aca="false">IFERROR(AVERAGE(AJ42,AM42,AP42,AS42,AV42),"n/m")</f>
        <v>0.1498</v>
      </c>
      <c r="BH42" s="32" t="n">
        <f aca="false">IFERROR(AVERAGE(U42,X42,AA42,AD42,AG42,AJ42,AM42,AP42,AS42,AV42),"n/m")</f>
        <v>0.0875</v>
      </c>
      <c r="BI42" s="32" t="n">
        <f aca="false">IFERROR(AVERAGE(C42,D42,E42,F42,G42,H42,I42,L42,O42,R42,U42,X42,AA42,AD42,AG42,AJ42,AM42,AP42,AS42,AV42),"n/m")</f>
        <v>0.1015</v>
      </c>
      <c r="BL42" s="18" t="s">
        <v>100</v>
      </c>
      <c r="BM42" s="34" t="n">
        <v>0.02</v>
      </c>
      <c r="BN42" s="25" t="s">
        <v>75</v>
      </c>
      <c r="BO42" s="34" t="n">
        <v>-0.03</v>
      </c>
      <c r="BP42" s="16" t="s">
        <v>101</v>
      </c>
    </row>
    <row r="43" customFormat="false" ht="15" hidden="false" customHeight="true" outlineLevel="0" collapsed="false">
      <c r="B43" s="26" t="s">
        <v>67</v>
      </c>
      <c r="C43" s="30" t="str">
        <f aca="false">IF(AND(ISNUMBER(C41),ISNUMBER(C42)),C41-C42,"")</f>
        <v/>
      </c>
      <c r="D43" s="30" t="str">
        <f aca="false">IF(AND(ISNUMBER(D41),ISNUMBER(D42)),D41-D42,"")</f>
        <v/>
      </c>
      <c r="E43" s="30" t="str">
        <f aca="false">IF(AND(ISNUMBER(E41),ISNUMBER(E42)),E41-E42,"")</f>
        <v/>
      </c>
      <c r="F43" s="30" t="str">
        <f aca="false">IF(AND(ISNUMBER(F41),ISNUMBER(F42)),F41-F42,"")</f>
        <v/>
      </c>
      <c r="G43" s="30" t="n">
        <f aca="false">IF(AND(ISNUMBER(G41),ISNUMBER(G42)),G41-G42,"")</f>
        <v>0.0164871794871795</v>
      </c>
      <c r="H43" s="30" t="n">
        <f aca="false">IF(AND(ISNUMBER(H41),ISNUMBER(H42)),H41-H42,"")</f>
        <v>-0.00482608695652173</v>
      </c>
      <c r="I43" s="30" t="n">
        <f aca="false">IF(AND(ISNUMBER(I41),ISNUMBER(I42)),I41-I42,"")</f>
        <v>0.0138616352201257</v>
      </c>
      <c r="J43" s="30" t="str">
        <f aca="false">IF(AND(ISNUMBER(J41),ISNUMBER(J42)),J41-J42,"")</f>
        <v/>
      </c>
      <c r="K43" s="30" t="str">
        <f aca="false">IF(AND(ISNUMBER(K41),ISNUMBER(K42)),K41-K42,"")</f>
        <v/>
      </c>
      <c r="L43" s="30" t="n">
        <f aca="false">IF(AND(ISNUMBER(L41),ISNUMBER(L42)),L41-L42,"")</f>
        <v>-0.00894513851167841</v>
      </c>
      <c r="M43" s="30" t="n">
        <f aca="false">IF(AND(ISNUMBER(M41),ISNUMBER(M42)),M41-M42,"")</f>
        <v>-0.00596063730084355</v>
      </c>
      <c r="N43" s="30" t="str">
        <f aca="false">IF(AND(ISNUMBER(N41),ISNUMBER(N42)),N41-N42,"")</f>
        <v/>
      </c>
      <c r="O43" s="30" t="n">
        <f aca="false">IF(AND(ISNUMBER(O41),ISNUMBER(O42)),O41-O42,"")</f>
        <v>-0.00338006676204085</v>
      </c>
      <c r="P43" s="30" t="n">
        <f aca="false">IF(AND(ISNUMBER(P41),ISNUMBER(P42)),P41-P42,"")</f>
        <v>0.013738219895288</v>
      </c>
      <c r="Q43" s="30" t="str">
        <f aca="false">IF(AND(ISNUMBER(Q41),ISNUMBER(Q42)),Q41-Q42,"")</f>
        <v/>
      </c>
      <c r="R43" s="30" t="n">
        <f aca="false">IF(AND(ISNUMBER(R41),ISNUMBER(R42)),R41-R42,"")</f>
        <v>0.0129272097053727</v>
      </c>
      <c r="S43" s="30" t="n">
        <f aca="false">IF(AND(ISNUMBER(S41),ISNUMBER(S42)),S41-S42,"")</f>
        <v>-0.00125602660016629</v>
      </c>
      <c r="T43" s="30" t="str">
        <f aca="false">IF(AND(ISNUMBER(T41),ISNUMBER(T42)),T41-T42,"")</f>
        <v/>
      </c>
      <c r="U43" s="30" t="n">
        <f aca="false">IF(AND(ISNUMBER(U41),ISNUMBER(U42)),U41-U42,"")</f>
        <v>-7.87075393538367E-005</v>
      </c>
      <c r="V43" s="30" t="n">
        <f aca="false">IF(AND(ISNUMBER(V41),ISNUMBER(V42)),V41-V42,"")</f>
        <v>0.00165168539325862</v>
      </c>
      <c r="W43" s="30" t="str">
        <f aca="false">IF(AND(ISNUMBER(W41),ISNUMBER(W42)),W41-W42,"")</f>
        <v/>
      </c>
      <c r="X43" s="30" t="n">
        <f aca="false">IF(AND(ISNUMBER(X41),ISNUMBER(X42)),X41-X42,"")</f>
        <v>-0.00325276823214951</v>
      </c>
      <c r="Y43" s="30" t="n">
        <f aca="false">IF(AND(ISNUMBER(Y41),ISNUMBER(Y42)),Y41-Y42,"")</f>
        <v>-0.00911904761904767</v>
      </c>
      <c r="Z43" s="30" t="str">
        <f aca="false">IF(AND(ISNUMBER(Z41),ISNUMBER(Z42)),Z41-Z42,"")</f>
        <v/>
      </c>
      <c r="AA43" s="30" t="n">
        <f aca="false">IF(AND(ISNUMBER(AA41),ISNUMBER(AA42)),AA41-AA42,"")</f>
        <v>-0.00482608695652179</v>
      </c>
      <c r="AB43" s="30" t="n">
        <f aca="false">IF(AND(ISNUMBER(AB41),ISNUMBER(AB42)),AB41-AB42,"")</f>
        <v>0.00390078328981727</v>
      </c>
      <c r="AC43" s="30" t="str">
        <f aca="false">IF(AND(ISNUMBER(AC41),ISNUMBER(AC42)),AC41-AC42,"")</f>
        <v/>
      </c>
      <c r="AD43" s="30" t="n">
        <f aca="false">IF(AND(ISNUMBER(AD41),ISNUMBER(AD42)),AD41-AD42,"")</f>
        <v>0.00455662495989732</v>
      </c>
      <c r="AE43" s="30" t="n">
        <f aca="false">IF(AND(ISNUMBER(AE41),ISNUMBER(AE42)),AE41-AE42,"")</f>
        <v>0.0024051669817266</v>
      </c>
      <c r="AF43" s="30" t="str">
        <f aca="false">IF(AND(ISNUMBER(AF41),ISNUMBER(AF42)),AF41-AF42,"")</f>
        <v/>
      </c>
      <c r="AG43" s="30" t="n">
        <f aca="false">IF(AND(ISNUMBER(AG41),ISNUMBER(AG42)),AG41-AG42,"")</f>
        <v>-0.00239030377416388</v>
      </c>
      <c r="AH43" s="30" t="n">
        <f aca="false">IF(AND(ISNUMBER(AH41),ISNUMBER(AH42)),AH41-AH42,"")</f>
        <v>-0.0143534100974314</v>
      </c>
      <c r="AI43" s="30" t="str">
        <f aca="false">IF(AND(ISNUMBER(AI41),ISNUMBER(AI42)),AI41-AI42,"")</f>
        <v/>
      </c>
      <c r="AJ43" s="30" t="n">
        <f aca="false">IF(AND(ISNUMBER(AJ41),ISNUMBER(AJ42)),AJ41-AJ42,"")</f>
        <v>-0.00223404255319143</v>
      </c>
      <c r="AK43" s="30" t="n">
        <f aca="false">IF(AND(ISNUMBER(AK41),ISNUMBER(AK42)),AK41-AK42,"")</f>
        <v>0.016321021184139</v>
      </c>
      <c r="AL43" s="30" t="str">
        <f aca="false">IF(AND(ISNUMBER(AL41),ISNUMBER(AL42)),AL41-AL42,"")</f>
        <v/>
      </c>
      <c r="AM43" s="30" t="n">
        <f aca="false">IF(AND(ISNUMBER(AM41),ISNUMBER(AM42)),AM41-AM42,"")</f>
        <v>0.0136363636363636</v>
      </c>
      <c r="AN43" s="30" t="n">
        <f aca="false">IF(AND(ISNUMBER(AN41),ISNUMBER(AN42)),AN41-AN42,"")</f>
        <v>-0.0123913043478261</v>
      </c>
      <c r="AO43" s="30" t="str">
        <f aca="false">IF(AND(ISNUMBER(AO41),ISNUMBER(AO42)),AO41-AO42,"")</f>
        <v/>
      </c>
      <c r="AP43" s="30" t="n">
        <f aca="false">IF(AND(ISNUMBER(AP41),ISNUMBER(AP42)),AP41-AP42,"")</f>
        <v>-0.0187857142857142</v>
      </c>
      <c r="AQ43" s="30" t="n">
        <f aca="false">IF(AND(ISNUMBER(AQ41),ISNUMBER(AQ42)),AQ41-AQ42,"")</f>
        <v>-0.00883935742971882</v>
      </c>
      <c r="AR43" s="30" t="str">
        <f aca="false">IF(AND(ISNUMBER(AR41),ISNUMBER(AR42)),AR41-AR42,"")</f>
        <v/>
      </c>
      <c r="AS43" s="30" t="n">
        <f aca="false">IF(AND(ISNUMBER(AS41),ISNUMBER(AS42)),AS41-AS42,"")</f>
        <v>-0.00560162601626016</v>
      </c>
      <c r="AT43" s="30" t="n">
        <f aca="false">IF(AND(ISNUMBER(AT41),ISNUMBER(AT42)),AT41-AT42,"")</f>
        <v>-0.0044710424710425</v>
      </c>
      <c r="AU43" s="30" t="str">
        <f aca="false">IF(AND(ISNUMBER(AU41),ISNUMBER(AU42)),AU41-AU42,"")</f>
        <v/>
      </c>
      <c r="AV43" s="30" t="n">
        <f aca="false">IF(AND(ISNUMBER(AV41),ISNUMBER(AV42)),AV41-AV42,"")</f>
        <v>-0.00998130841121499</v>
      </c>
      <c r="AW43" s="30" t="n">
        <f aca="false">IF(AND(ISNUMBER(AW41),ISNUMBER(AW42)),AW41-AW42,"")</f>
        <v>-0.0154838709677419</v>
      </c>
      <c r="AX43" s="28" t="n">
        <f aca="false">AX64</f>
        <v>-0.03</v>
      </c>
      <c r="AY43" s="28" t="n">
        <f aca="false">AY41-AY42</f>
        <v>-0.0226380368098159</v>
      </c>
      <c r="AZ43" s="28" t="n">
        <f aca="false">AZ64</f>
        <v>0</v>
      </c>
      <c r="BA43" s="28" t="n">
        <f aca="false">BA64</f>
        <v>0</v>
      </c>
      <c r="BB43" s="28" t="n">
        <f aca="false">BB64</f>
        <v>0</v>
      </c>
      <c r="BC43" s="28" t="n">
        <f aca="false">BC64</f>
        <v>0</v>
      </c>
      <c r="BD43" s="23"/>
      <c r="BF43" s="7"/>
      <c r="BG43" s="7"/>
      <c r="BH43" s="7"/>
      <c r="BI43" s="7"/>
      <c r="BL43" s="13" t="s">
        <v>77</v>
      </c>
      <c r="BM43" s="35" t="n">
        <f aca="false">BN43+$BM$42</f>
        <v>0</v>
      </c>
      <c r="BN43" s="29" t="n">
        <v>-0.02</v>
      </c>
      <c r="BO43" s="35" t="n">
        <f aca="false">BN43+$BO$42</f>
        <v>-0.05</v>
      </c>
    </row>
    <row r="44" customFormat="false" ht="15" hidden="false" customHeight="true" outlineLevel="0" collapsed="false">
      <c r="B44" s="26" t="s">
        <v>70</v>
      </c>
      <c r="C44" s="30" t="str">
        <f aca="false">IF(AND(ISNUMBER(C40),ISNUMBER(C61)),IFERROR(C40/C61,""),"")</f>
        <v/>
      </c>
      <c r="D44" s="30" t="str">
        <f aca="false">IF(AND(ISNUMBER(D40),ISNUMBER(D61)),IFERROR(D40/D61,""),"")</f>
        <v/>
      </c>
      <c r="E44" s="30" t="str">
        <f aca="false">IF(AND(ISNUMBER(E40),ISNUMBER(E61)),IFERROR(E40/E61,""),"")</f>
        <v/>
      </c>
      <c r="F44" s="30" t="n">
        <f aca="false">IF(AND(ISNUMBER(F40),ISNUMBER(F61)),IFERROR(F40/F61,""),"")</f>
        <v>0.061128526645768</v>
      </c>
      <c r="G44" s="30" t="n">
        <f aca="false">IF(AND(ISNUMBER(G40),ISNUMBER(G61)),IFERROR(G40/G61,""),"")</f>
        <v>0.0574521232306411</v>
      </c>
      <c r="H44" s="30" t="n">
        <f aca="false">IF(AND(ISNUMBER(H40),ISNUMBER(H61)),IFERROR(H40/H61,""),"")</f>
        <v>0.0559465165376495</v>
      </c>
      <c r="I44" s="30" t="n">
        <f aca="false">IF(AND(ISNUMBER(I40),ISNUMBER(I61)),IFERROR(I40/I61,""),"")</f>
        <v>0.0528385282130762</v>
      </c>
      <c r="J44" s="30" t="n">
        <f aca="false">IF(AND(ISNUMBER(J40),ISNUMBER(J61)),IFERROR(J40/J61,""),"")</f>
        <v>0.060381415879124</v>
      </c>
      <c r="K44" s="30" t="n">
        <f aca="false">IF(AND(ISNUMBER(K40),ISNUMBER(K61)),IFERROR(K40/K61,""),"")</f>
        <v>0.0518160780762652</v>
      </c>
      <c r="L44" s="30" t="n">
        <f aca="false">IF(AND(ISNUMBER(L40),ISNUMBER(L61)),IFERROR(L40/L61,""),"")</f>
        <v>0.0558470265519721</v>
      </c>
      <c r="M44" s="30" t="n">
        <f aca="false">IF(AND(ISNUMBER(M40),ISNUMBER(M61)),IFERROR(M40/M61,""),"")</f>
        <v>0.0600975405107767</v>
      </c>
      <c r="N44" s="30" t="n">
        <f aca="false">IF(AND(ISNUMBER(N40),ISNUMBER(N61)),IFERROR(N40/N61,""),"")</f>
        <v>0.0525387710810689</v>
      </c>
      <c r="O44" s="30" t="n">
        <f aca="false">IF(AND(ISNUMBER(O40),ISNUMBER(O61)),IFERROR(O40/O61,""),"")</f>
        <v>0.0560384596707619</v>
      </c>
      <c r="P44" s="30" t="n">
        <f aca="false">IF(AND(ISNUMBER(P40),ISNUMBER(P61)),IFERROR(P40/P61,""),"")</f>
        <v>0.0523179959989562</v>
      </c>
      <c r="Q44" s="30" t="n">
        <f aca="false">IF(AND(ISNUMBER(Q40),ISNUMBER(Q61)),IFERROR(Q40/Q61,""),"")</f>
        <v>0.0476452767832553</v>
      </c>
      <c r="R44" s="30" t="n">
        <f aca="false">IF(AND(ISNUMBER(R40),ISNUMBER(R61)),IFERROR(R40/R61,""),"")</f>
        <v>0.0498647001714486</v>
      </c>
      <c r="S44" s="30" t="n">
        <f aca="false">IF(AND(ISNUMBER(S40),ISNUMBER(S61)),IFERROR(S40/S61,""),"")</f>
        <v>0.051053019749242</v>
      </c>
      <c r="T44" s="30" t="n">
        <f aca="false">IF(AND(ISNUMBER(T40),ISNUMBER(T61)),IFERROR(T40/T61,""),"")</f>
        <v>0.0497175550405562</v>
      </c>
      <c r="U44" s="30" t="n">
        <f aca="false">IF(AND(ISNUMBER(U40),ISNUMBER(U61)),IFERROR(U40/U61,""),"")</f>
        <v>0.0503440851947253</v>
      </c>
      <c r="V44" s="30" t="n">
        <f aca="false">IF(AND(ISNUMBER(V40),ISNUMBER(V61)),IFERROR(V40/V61,""),"")</f>
        <v>0.0495374295086801</v>
      </c>
      <c r="W44" s="30" t="n">
        <f aca="false">IF(AND(ISNUMBER(W40),ISNUMBER(W61)),IFERROR(W40/W61,""),"")</f>
        <v>0.053984485190409</v>
      </c>
      <c r="X44" s="30" t="n">
        <f aca="false">IF(AND(ISNUMBER(X40),ISNUMBER(X61)),IFERROR(X40/X61,""),"")</f>
        <v>0.0518102034564164</v>
      </c>
      <c r="Y44" s="30" t="n">
        <f aca="false">IF(AND(ISNUMBER(Y40),ISNUMBER(Y61)),IFERROR(Y40/Y61,""),"")</f>
        <v>0.0536884527772911</v>
      </c>
      <c r="Z44" s="30" t="n">
        <f aca="false">IF(AND(ISNUMBER(Z40),ISNUMBER(Z61)),IFERROR(Z40/Z61,""),"")</f>
        <v>0.0509220587290368</v>
      </c>
      <c r="AA44" s="30" t="n">
        <f aca="false">IF(AND(ISNUMBER(AA40),ISNUMBER(AA61)),IFERROR(AA40/AA61,""),"")</f>
        <v>0.0522451852969276</v>
      </c>
      <c r="AB44" s="30" t="n">
        <f aca="false">IF(AND(ISNUMBER(AB40),ISNUMBER(AB61)),IFERROR(AB40/AB61,""),"")</f>
        <v>0.0483207989525926</v>
      </c>
      <c r="AC44" s="30" t="n">
        <f aca="false">IF(AND(ISNUMBER(AC40),ISNUMBER(AC61)),IFERROR(AC40/AC61,""),"")</f>
        <v>0.0464560584590592</v>
      </c>
      <c r="AD44" s="30" t="n">
        <f aca="false">IF(AND(ISNUMBER(AD40),ISNUMBER(AD61)),IFERROR(AD40/AD61,""),"")</f>
        <v>0.0473457884185141</v>
      </c>
      <c r="AE44" s="30" t="n">
        <f aca="false">IF(AND(ISNUMBER(AE40),ISNUMBER(AE61)),IFERROR(AE40/AE61,""),"")</f>
        <v>0.0453796374452349</v>
      </c>
      <c r="AF44" s="30" t="n">
        <f aca="false">IF(AND(ISNUMBER(AF40),ISNUMBER(AF61)),IFERROR(AF40/AF61,""),"")</f>
        <v>0.0385226573713348</v>
      </c>
      <c r="AG44" s="30" t="n">
        <f aca="false">IF(AND(ISNUMBER(AG40),ISNUMBER(AG61)),IFERROR(AG40/AG61,""),"")</f>
        <v>0.0411925815791533</v>
      </c>
      <c r="AH44" s="30" t="n">
        <f aca="false">IF(AND(ISNUMBER(AH40),ISNUMBER(AH61)),IFERROR(AH40/AH61,""),"")</f>
        <v>0.0434700479327525</v>
      </c>
      <c r="AI44" s="30" t="n">
        <f aca="false">IF(AND(ISNUMBER(AI40),ISNUMBER(AI61)),IFERROR(AI40/AI61,""),"")</f>
        <v>0.0423312754166755</v>
      </c>
      <c r="AJ44" s="30" t="n">
        <f aca="false">IF(AND(ISNUMBER(AJ40),ISNUMBER(AJ61)),IFERROR(AJ40/AJ61,""),"")</f>
        <v>0.0428682774746687</v>
      </c>
      <c r="AK44" s="30" t="n">
        <f aca="false">IF(AND(ISNUMBER(AK40),ISNUMBER(AK61)),IFERROR(AK40/AK61,""),"")</f>
        <v>0.0420168067226891</v>
      </c>
      <c r="AL44" s="30" t="n">
        <f aca="false">IF(AND(ISNUMBER(AL40),ISNUMBER(AL61)),IFERROR(AL40/AL61,""),"")</f>
        <v>0.0355802187040966</v>
      </c>
      <c r="AM44" s="30" t="n">
        <f aca="false">IF(AND(ISNUMBER(AM40),ISNUMBER(AM61)),IFERROR(AM40/AM61,""),"")</f>
        <v>0.0386173605723645</v>
      </c>
      <c r="AN44" s="30" t="n">
        <f aca="false">IF(AND(ISNUMBER(AN40),ISNUMBER(AN61)),IFERROR(AN40/AN61,""),"")</f>
        <v>0.0371752762018513</v>
      </c>
      <c r="AO44" s="30" t="n">
        <f aca="false">IF(AND(ISNUMBER(AO40),ISNUMBER(AO61)),IFERROR(AO40/AO61,""),"")</f>
        <v>0.036112349531877</v>
      </c>
      <c r="AP44" s="30" t="n">
        <f aca="false">IF(AND(ISNUMBER(AP40),ISNUMBER(AP61)),IFERROR(AP40/AP61,""),"")</f>
        <v>0.0366425858345126</v>
      </c>
      <c r="AQ44" s="30" t="n">
        <f aca="false">IF(AND(ISNUMBER(AQ40),ISNUMBER(AQ61)),IFERROR(AQ40/AQ61,""),"")</f>
        <v>0.0345149253731343</v>
      </c>
      <c r="AR44" s="30" t="n">
        <f aca="false">IF(AND(ISNUMBER(AR40),ISNUMBER(AR61)),IFERROR(AR40/AR61,""),"")</f>
        <v>0.036003130707018</v>
      </c>
      <c r="AS44" s="30" t="n">
        <f aca="false">IF(AND(ISNUMBER(AS40),ISNUMBER(AS61)),IFERROR(AS40/AS61,""),"")</f>
        <v>0.0352669742913645</v>
      </c>
      <c r="AT44" s="30" t="n">
        <f aca="false">IF(AND(ISNUMBER(AT40),ISNUMBER(AT61)),IFERROR(AT40/AT61,""),"")</f>
        <v>0.0308726503174406</v>
      </c>
      <c r="AU44" s="30" t="n">
        <f aca="false">IF(AND(ISNUMBER(AU40),ISNUMBER(AU61)),IFERROR(AU40/AU61,""),"")</f>
        <v>0.030245983935743</v>
      </c>
      <c r="AV44" s="30" t="n">
        <f aca="false">IF(AND(ISNUMBER(AV40),ISNUMBER(AV61)),IFERROR(AV40/AV61,""),"")</f>
        <v>0.0305605899631273</v>
      </c>
      <c r="AW44" s="30" t="n">
        <f aca="false">IF(AND(ISNUMBER(AW40),ISNUMBER(AW61)),IFERROR(AW40/AW61,""),"")</f>
        <v>0.028543427661399</v>
      </c>
      <c r="AX44" s="28" t="n">
        <f aca="false">IF(AND(ISNUMBER(AX40),ISNUMBER(AX61)),IFERROR(AX40/AX61,""),"")</f>
        <v>0.0277717464480185</v>
      </c>
      <c r="AY44" s="28" t="n">
        <f aca="false">IF(AND(ISNUMBER(AY40),ISNUMBER(AY61)),IFERROR(AY40/AY61,""),"")</f>
        <v>0.0281556824256003</v>
      </c>
      <c r="AZ44" s="28" t="n">
        <f aca="false">IF(AND(ISNUMBER(AZ40),ISNUMBER(AZ61)),IFERROR(AZ40/AZ61,""),"")</f>
        <v>0.0267321007217359</v>
      </c>
      <c r="BA44" s="28" t="n">
        <f aca="false">IF(AND(ISNUMBER(BA40),ISNUMBER(BA61)),IFERROR(BA40/BA61,""),"")</f>
        <v>0.0256160219110667</v>
      </c>
      <c r="BB44" s="28" t="n">
        <f aca="false">IF(AND(ISNUMBER(BB40),ISNUMBER(BB61)),IFERROR(BB40/BB61,""),"")</f>
        <v>0.0246157740195121</v>
      </c>
      <c r="BC44" s="28" t="n">
        <f aca="false">IF(AND(ISNUMBER(BC40),ISNUMBER(BC61)),IFERROR(BC40/BC61,""),"")</f>
        <v>0.0237526452164983</v>
      </c>
      <c r="BD44" s="23"/>
      <c r="BF44" s="32" t="n">
        <f aca="false">IFERROR(AVERAGE(AY44,AZ44,BA44,BB44,BC44),"n/m")</f>
        <v>0.0257744448588827</v>
      </c>
      <c r="BG44" s="32" t="n">
        <f aca="false">IFERROR(AVERAGE(AJ44,AM44,AP44,AS44,AV44),"n/m")</f>
        <v>0.0367911576272075</v>
      </c>
      <c r="BH44" s="32" t="n">
        <f aca="false">IFERROR(AVERAGE(U44,X44,AA44,AD44,AG44,AJ44,AM44,AP44,AS44,AV44),"n/m")</f>
        <v>0.0426893632081774</v>
      </c>
      <c r="BI44" s="32" t="n">
        <f aca="false">IFERROR(AVERAGE(C44,D44,E44,F44,G44,H44,I44,L44,O44,R44,U44,X44,AA44,AD44,AG44,AJ44,AM44,AP44,AS44,AV44),"n/m")</f>
        <v>0.0480005595942995</v>
      </c>
      <c r="BL44" s="13" t="s">
        <v>79</v>
      </c>
      <c r="BM44" s="35" t="n">
        <f aca="false">BN44+$BM$42</f>
        <v>0.04</v>
      </c>
      <c r="BN44" s="29" t="n">
        <v>0.02</v>
      </c>
      <c r="BO44" s="35" t="n">
        <f aca="false">BN44+$BO$42</f>
        <v>-0.01</v>
      </c>
    </row>
    <row r="45" customFormat="false" ht="15" hidden="false" customHeight="true" outlineLevel="0" collapsed="false">
      <c r="B45" s="13"/>
      <c r="AX45" s="7"/>
      <c r="AY45" s="7"/>
      <c r="AZ45" s="7"/>
      <c r="BA45" s="7"/>
      <c r="BB45" s="7"/>
      <c r="BC45" s="7"/>
      <c r="BD45" s="7"/>
      <c r="BL45" s="13" t="s">
        <v>80</v>
      </c>
      <c r="BM45" s="35" t="n">
        <f aca="false">BN45+$BM$42</f>
        <v>0.05</v>
      </c>
      <c r="BN45" s="29" t="n">
        <v>0.03</v>
      </c>
      <c r="BO45" s="35" t="n">
        <f aca="false">BN45+$BO$42</f>
        <v>0</v>
      </c>
    </row>
    <row r="46" customFormat="false" ht="15" hidden="false" customHeight="true" outlineLevel="0" collapsed="false">
      <c r="B46" s="17" t="s">
        <v>102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8" t="s">
        <v>103</v>
      </c>
      <c r="BL46" s="13" t="s">
        <v>81</v>
      </c>
      <c r="BM46" s="35" t="n">
        <f aca="false">BN46+$BM$42</f>
        <v>0.05</v>
      </c>
      <c r="BN46" s="29" t="n">
        <v>0.03</v>
      </c>
      <c r="BO46" s="35" t="n">
        <f aca="false">BN46+$BO$42</f>
        <v>0</v>
      </c>
    </row>
    <row r="47" customFormat="false" ht="15" hidden="false" customHeight="true" outlineLevel="0" collapsed="false">
      <c r="B47" s="19" t="s">
        <v>57</v>
      </c>
      <c r="C47" s="20"/>
      <c r="D47" s="20"/>
      <c r="E47" s="20"/>
      <c r="F47" s="21" t="n">
        <v>87</v>
      </c>
      <c r="G47" s="21" t="n">
        <v>113</v>
      </c>
      <c r="H47" s="21" t="n">
        <v>139</v>
      </c>
      <c r="I47" s="21" t="n">
        <v>172.7</v>
      </c>
      <c r="J47" s="21" t="n">
        <v>74.9</v>
      </c>
      <c r="K47" s="20" t="n">
        <f aca="false">L47-J47</f>
        <v>92.3</v>
      </c>
      <c r="L47" s="21" t="n">
        <v>167.2</v>
      </c>
      <c r="M47" s="21" t="n">
        <v>67.2</v>
      </c>
      <c r="N47" s="20" t="n">
        <f aca="false">O47-M47</f>
        <v>80.9</v>
      </c>
      <c r="O47" s="21" t="n">
        <v>148.1</v>
      </c>
      <c r="P47" s="21" t="n">
        <v>75</v>
      </c>
      <c r="Q47" s="20" t="n">
        <f aca="false">R47-P47</f>
        <v>88.2</v>
      </c>
      <c r="R47" s="21" t="n">
        <v>163.2</v>
      </c>
      <c r="S47" s="21" t="n">
        <v>74.6</v>
      </c>
      <c r="T47" s="20" t="n">
        <f aca="false">U47-S47</f>
        <v>83.3</v>
      </c>
      <c r="U47" s="21" t="n">
        <v>157.9</v>
      </c>
      <c r="V47" s="21" t="n">
        <v>75</v>
      </c>
      <c r="W47" s="20" t="n">
        <f aca="false">X47-V47</f>
        <v>82.5</v>
      </c>
      <c r="X47" s="21" t="n">
        <v>157.5</v>
      </c>
      <c r="Y47" s="21" t="n">
        <v>77</v>
      </c>
      <c r="Z47" s="20" t="n">
        <f aca="false">AA47-Y47</f>
        <v>91.6</v>
      </c>
      <c r="AA47" s="21" t="n">
        <v>168.6</v>
      </c>
      <c r="AB47" s="21" t="n">
        <v>90.5</v>
      </c>
      <c r="AC47" s="20" t="n">
        <f aca="false">AD47-AB47</f>
        <v>102.9</v>
      </c>
      <c r="AD47" s="21" t="n">
        <v>193.4</v>
      </c>
      <c r="AE47" s="21" t="n">
        <v>74.2</v>
      </c>
      <c r="AF47" s="20" t="n">
        <f aca="false">AG47-AE47</f>
        <v>121.7</v>
      </c>
      <c r="AG47" s="21" t="n">
        <v>195.9</v>
      </c>
      <c r="AH47" s="21" t="n">
        <v>158.8</v>
      </c>
      <c r="AI47" s="20" t="n">
        <f aca="false">AJ47-AH47</f>
        <v>178.2</v>
      </c>
      <c r="AJ47" s="21" t="n">
        <v>337</v>
      </c>
      <c r="AK47" s="21" t="n">
        <v>262</v>
      </c>
      <c r="AL47" s="20" t="n">
        <f aca="false">AM47-AK47</f>
        <v>257</v>
      </c>
      <c r="AM47" s="21" t="n">
        <v>519</v>
      </c>
      <c r="AN47" s="21" t="n">
        <v>317</v>
      </c>
      <c r="AO47" s="20" t="n">
        <f aca="false">AP47-AN47</f>
        <v>294</v>
      </c>
      <c r="AP47" s="21" t="n">
        <v>611</v>
      </c>
      <c r="AQ47" s="21" t="n">
        <v>308</v>
      </c>
      <c r="AR47" s="20" t="n">
        <f aca="false">AS47-AQ47</f>
        <v>269</v>
      </c>
      <c r="AS47" s="21" t="n">
        <v>577</v>
      </c>
      <c r="AT47" s="21" t="n">
        <v>281</v>
      </c>
      <c r="AU47" s="20" t="n">
        <f aca="false">AV47-AT47</f>
        <v>268</v>
      </c>
      <c r="AV47" s="21" t="n">
        <v>549</v>
      </c>
      <c r="AW47" s="21" t="n">
        <v>269</v>
      </c>
      <c r="AX47" s="22" t="n">
        <f aca="false">AU47*(1+AX49+AX64)</f>
        <v>268</v>
      </c>
      <c r="AY47" s="22" t="n">
        <f aca="false">AW47+AX47</f>
        <v>537</v>
      </c>
      <c r="AZ47" s="22" t="n">
        <f aca="false">AY47*(1+AZ49+AZ64)</f>
        <v>563.85</v>
      </c>
      <c r="BA47" s="22" t="n">
        <f aca="false">AZ47*(1+BA49+BA64)</f>
        <v>592.0425</v>
      </c>
      <c r="BB47" s="22" t="n">
        <f aca="false">BA47*(1+BB49+BB64)</f>
        <v>621.644625</v>
      </c>
      <c r="BC47" s="22" t="n">
        <f aca="false">BB47*(1+BC49+BC64)</f>
        <v>652.72685625</v>
      </c>
      <c r="BD47" s="23" t="s">
        <v>58</v>
      </c>
      <c r="BF47" s="24" t="n">
        <f aca="false">IFERROR((BC47/AV47)^(1/5)-1,"n/m")</f>
        <v>0.0352180304123484</v>
      </c>
      <c r="BG47" s="24" t="n">
        <f aca="false">IFERROR((AV47/AG47)^(1/5)-1,"n/m")</f>
        <v>0.228874639456553</v>
      </c>
      <c r="BH47" s="24" t="n">
        <f aca="false">IFERROR((AV47/R47)^(1/10)-1,"n/m")</f>
        <v>0.12897732395838</v>
      </c>
      <c r="BI47" s="24" t="str">
        <f aca="false">IFERROR((AV47/C47)^(1/19)-1,"n/m")</f>
        <v>n/m</v>
      </c>
      <c r="BL47" s="13" t="s">
        <v>82</v>
      </c>
      <c r="BM47" s="35" t="n">
        <f aca="false">BN47+$BM$42</f>
        <v>0.05</v>
      </c>
      <c r="BN47" s="29" t="n">
        <v>0.03</v>
      </c>
      <c r="BO47" s="35" t="n">
        <f aca="false">BN47+$BO$42</f>
        <v>0</v>
      </c>
    </row>
    <row r="48" customFormat="false" ht="15" hidden="false" customHeight="true" outlineLevel="0" collapsed="false">
      <c r="B48" s="26" t="s">
        <v>60</v>
      </c>
      <c r="C48" s="27"/>
      <c r="D48" s="27" t="str">
        <f aca="false">IF(AND(ISNUMBER(D47),ISNUMBER(C47)),IFERROR(D47/C47-1,""),"")</f>
        <v/>
      </c>
      <c r="E48" s="27" t="str">
        <f aca="false">IF(AND(ISNUMBER(E47),ISNUMBER(D47)),IFERROR(E47/D47-1,""),"")</f>
        <v/>
      </c>
      <c r="F48" s="27" t="str">
        <f aca="false">IF(AND(ISNUMBER(F47),ISNUMBER(E47)),IFERROR(F47/E47-1,""),"")</f>
        <v/>
      </c>
      <c r="G48" s="27" t="n">
        <f aca="false">IF(AND(ISNUMBER(G47),ISNUMBER(F47)),IFERROR(G47/F47-1,""),"")</f>
        <v>0.298850574712644</v>
      </c>
      <c r="H48" s="27" t="n">
        <f aca="false">IF(AND(ISNUMBER(H47),ISNUMBER(G47)),IFERROR(H47/G47-1,""),"")</f>
        <v>0.230088495575221</v>
      </c>
      <c r="I48" s="27" t="n">
        <f aca="false">IF(AND(ISNUMBER(I47),ISNUMBER(H47)),IFERROR(I47/H47-1,""),"")</f>
        <v>0.242446043165468</v>
      </c>
      <c r="J48" s="27"/>
      <c r="K48" s="27"/>
      <c r="L48" s="27" t="n">
        <f aca="false">IF(AND(ISNUMBER(L47),ISNUMBER(I47)),IFERROR(L47/I47-1,""),"")</f>
        <v>-0.0318471337579618</v>
      </c>
      <c r="M48" s="27" t="n">
        <f aca="false">IF(AND(ISNUMBER(M47),ISNUMBER(J47)),IFERROR(M47/J47-1,""),"")</f>
        <v>-0.102803738317757</v>
      </c>
      <c r="N48" s="27" t="n">
        <f aca="false">IF(AND(ISNUMBER(N47),ISNUMBER(K47)),IFERROR(N47/K47-1,""),"")</f>
        <v>-0.123510292524377</v>
      </c>
      <c r="O48" s="27" t="n">
        <f aca="false">IF(AND(ISNUMBER(O47),ISNUMBER(L47)),IFERROR(O47/L47-1,""),"")</f>
        <v>-0.114234449760766</v>
      </c>
      <c r="P48" s="27" t="n">
        <f aca="false">IF(AND(ISNUMBER(P47),ISNUMBER(M47)),IFERROR(P47/M47-1,""),"")</f>
        <v>0.116071428571429</v>
      </c>
      <c r="Q48" s="27" t="n">
        <f aca="false">IF(AND(ISNUMBER(Q47),ISNUMBER(N47)),IFERROR(Q47/N47-1,""),"")</f>
        <v>0.0902348578491965</v>
      </c>
      <c r="R48" s="27" t="n">
        <f aca="false">IF(AND(ISNUMBER(R47),ISNUMBER(O47)),IFERROR(R47/O47-1,""),"")</f>
        <v>0.101958136394328</v>
      </c>
      <c r="S48" s="27" t="n">
        <f aca="false">IF(AND(ISNUMBER(S47),ISNUMBER(P47)),IFERROR(S47/P47-1,""),"")</f>
        <v>-0.00533333333333341</v>
      </c>
      <c r="T48" s="27" t="n">
        <f aca="false">IF(AND(ISNUMBER(T47),ISNUMBER(Q47)),IFERROR(T47/Q47-1,""),"")</f>
        <v>-0.0555555555555554</v>
      </c>
      <c r="U48" s="27" t="n">
        <f aca="false">IF(AND(ISNUMBER(U47),ISNUMBER(R47)),IFERROR(U47/R47-1,""),"")</f>
        <v>-0.0324754901960783</v>
      </c>
      <c r="V48" s="27" t="n">
        <f aca="false">IF(AND(ISNUMBER(V47),ISNUMBER(S47)),IFERROR(V47/S47-1,""),"")</f>
        <v>0.00536193029490617</v>
      </c>
      <c r="W48" s="27" t="n">
        <f aca="false">IF(AND(ISNUMBER(W47),ISNUMBER(T47)),IFERROR(W47/T47-1,""),"")</f>
        <v>-0.00960384153661475</v>
      </c>
      <c r="X48" s="27" t="n">
        <f aca="false">IF(AND(ISNUMBER(X47),ISNUMBER(U47)),IFERROR(X47/U47-1,""),"")</f>
        <v>-0.0025332488917037</v>
      </c>
      <c r="Y48" s="27" t="n">
        <f aca="false">IF(AND(ISNUMBER(Y47),ISNUMBER(V47)),IFERROR(Y47/V47-1,""),"")</f>
        <v>0.0266666666666666</v>
      </c>
      <c r="Z48" s="27" t="n">
        <f aca="false">IF(AND(ISNUMBER(Z47),ISNUMBER(W47)),IFERROR(Z47/W47-1,""),"")</f>
        <v>0.11030303030303</v>
      </c>
      <c r="AA48" s="27" t="n">
        <f aca="false">IF(AND(ISNUMBER(AA47),ISNUMBER(X47)),IFERROR(AA47/X47-1,""),"")</f>
        <v>0.0704761904761904</v>
      </c>
      <c r="AB48" s="27" t="n">
        <f aca="false">IF(AND(ISNUMBER(AB47),ISNUMBER(Y47)),IFERROR(AB47/Y47-1,""),"")</f>
        <v>0.175324675324675</v>
      </c>
      <c r="AC48" s="27" t="n">
        <f aca="false">IF(AND(ISNUMBER(AC47),ISNUMBER(Z47)),IFERROR(AC47/Z47-1,""),"")</f>
        <v>0.123362445414847</v>
      </c>
      <c r="AD48" s="27" t="n">
        <f aca="false">IF(AND(ISNUMBER(AD47),ISNUMBER(AA47)),IFERROR(AD47/AA47-1,""),"")</f>
        <v>0.147093712930012</v>
      </c>
      <c r="AE48" s="27" t="n">
        <f aca="false">IF(AND(ISNUMBER(AE47),ISNUMBER(AB47)),IFERROR(AE47/AB47-1,""),"")</f>
        <v>-0.180110497237569</v>
      </c>
      <c r="AF48" s="27" t="n">
        <f aca="false">IF(AND(ISNUMBER(AF47),ISNUMBER(AC47)),IFERROR(AF47/AC47-1,""),"")</f>
        <v>0.182701652089407</v>
      </c>
      <c r="AG48" s="27" t="n">
        <f aca="false">IF(AND(ISNUMBER(AG47),ISNUMBER(AD47)),IFERROR(AG47/AD47-1,""),"")</f>
        <v>0.0129265770423992</v>
      </c>
      <c r="AH48" s="27" t="n">
        <f aca="false">IF(AND(ISNUMBER(AH47),ISNUMBER(AE47)),IFERROR(AH47/AE47-1,""),"")</f>
        <v>1.14016172506739</v>
      </c>
      <c r="AI48" s="27" t="n">
        <f aca="false">IF(AND(ISNUMBER(AI47),ISNUMBER(AF47)),IFERROR(AI47/AF47-1,""),"")</f>
        <v>0.464256368118324</v>
      </c>
      <c r="AJ48" s="27" t="n">
        <f aca="false">IF(AND(ISNUMBER(AJ47),ISNUMBER(AG47)),IFERROR(AJ47/AG47-1,""),"")</f>
        <v>0.720265441551812</v>
      </c>
      <c r="AK48" s="27" t="n">
        <f aca="false">IF(AND(ISNUMBER(AK47),ISNUMBER(AH47)),IFERROR(AK47/AH47-1,""),"")</f>
        <v>0.649874055415617</v>
      </c>
      <c r="AL48" s="27" t="n">
        <f aca="false">IF(AND(ISNUMBER(AL47),ISNUMBER(AI47)),IFERROR(AL47/AI47-1,""),"")</f>
        <v>0.442199775533109</v>
      </c>
      <c r="AM48" s="27" t="n">
        <f aca="false">IF(AND(ISNUMBER(AM47),ISNUMBER(AJ47)),IFERROR(AM47/AJ47-1,""),"")</f>
        <v>0.540059347181009</v>
      </c>
      <c r="AN48" s="27" t="n">
        <f aca="false">IF(AND(ISNUMBER(AN47),ISNUMBER(AK47)),IFERROR(AN47/AK47-1,""),"")</f>
        <v>0.209923664122137</v>
      </c>
      <c r="AO48" s="27" t="n">
        <f aca="false">IF(AND(ISNUMBER(AO47),ISNUMBER(AL47)),IFERROR(AO47/AL47-1,""),"")</f>
        <v>0.143968871595331</v>
      </c>
      <c r="AP48" s="27" t="n">
        <f aca="false">IF(AND(ISNUMBER(AP47),ISNUMBER(AM47)),IFERROR(AP47/AM47-1,""),"")</f>
        <v>0.177263969171484</v>
      </c>
      <c r="AQ48" s="27" t="n">
        <f aca="false">IF(AND(ISNUMBER(AQ47),ISNUMBER(AN47)),IFERROR(AQ47/AN47-1,""),"")</f>
        <v>-0.0283911671924291</v>
      </c>
      <c r="AR48" s="27" t="n">
        <f aca="false">IF(AND(ISNUMBER(AR47),ISNUMBER(AO47)),IFERROR(AR47/AO47-1,""),"")</f>
        <v>-0.0850340136054422</v>
      </c>
      <c r="AS48" s="27" t="n">
        <f aca="false">IF(AND(ISNUMBER(AS47),ISNUMBER(AP47)),IFERROR(AS47/AP47-1,""),"")</f>
        <v>-0.0556464811783961</v>
      </c>
      <c r="AT48" s="27" t="n">
        <f aca="false">IF(AND(ISNUMBER(AT47),ISNUMBER(AQ47)),IFERROR(AT47/AQ47-1,""),"")</f>
        <v>-0.0876623376623377</v>
      </c>
      <c r="AU48" s="27" t="n">
        <f aca="false">IF(AND(ISNUMBER(AU47),ISNUMBER(AR47)),IFERROR(AU47/AR47-1,""),"")</f>
        <v>-0.00371747211895912</v>
      </c>
      <c r="AV48" s="27" t="n">
        <f aca="false">IF(AND(ISNUMBER(AV47),ISNUMBER(AS47)),IFERROR(AV47/AS47-1,""),"")</f>
        <v>-0.048526863084922</v>
      </c>
      <c r="AW48" s="27" t="n">
        <f aca="false">IF(AND(ISNUMBER(AW47),ISNUMBER(AT47)),IFERROR(AW47/AT47-1,""),"")</f>
        <v>-0.0427046263345195</v>
      </c>
      <c r="AX48" s="28" t="n">
        <f aca="false">IF(AND(ISNUMBER(AX47),ISNUMBER(AU47)),IFERROR(AX47/AU47-1,""),"")</f>
        <v>0</v>
      </c>
      <c r="AY48" s="28" t="n">
        <f aca="false">IF(AND(ISNUMBER(AY47),ISNUMBER(AV47)),IFERROR(AY47/AV47-1,""),"")</f>
        <v>-0.0218579234972678</v>
      </c>
      <c r="AZ48" s="28" t="n">
        <f aca="false">IF(AND(ISNUMBER(AZ47),ISNUMBER(AY47)),IFERROR(AZ47/AY47-1,""),"")</f>
        <v>0.05</v>
      </c>
      <c r="BA48" s="28" t="n">
        <f aca="false">IF(AND(ISNUMBER(BA47),ISNUMBER(AZ47)),IFERROR(BA47/AZ47-1,""),"")</f>
        <v>0.05</v>
      </c>
      <c r="BB48" s="28" t="n">
        <f aca="false">IF(AND(ISNUMBER(BB47),ISNUMBER(BA47)),IFERROR(BB47/BA47-1,""),"")</f>
        <v>0.05</v>
      </c>
      <c r="BC48" s="28" t="n">
        <f aca="false">IF(AND(ISNUMBER(BC47),ISNUMBER(BB47)),IFERROR(BC47/BB47-1,""),"")</f>
        <v>0.05</v>
      </c>
      <c r="BD48" s="23"/>
      <c r="BF48" s="7"/>
      <c r="BG48" s="7"/>
      <c r="BH48" s="7"/>
      <c r="BI48" s="7"/>
      <c r="BL48" s="18" t="s">
        <v>104</v>
      </c>
      <c r="BM48" s="34" t="n">
        <v>0.02</v>
      </c>
      <c r="BN48" s="25" t="s">
        <v>75</v>
      </c>
      <c r="BO48" s="34" t="n">
        <v>-0.03</v>
      </c>
      <c r="BP48" s="16" t="s">
        <v>105</v>
      </c>
    </row>
    <row r="49" customFormat="false" ht="15" hidden="false" customHeight="true" outlineLevel="0" collapsed="false">
      <c r="B49" s="26" t="s">
        <v>63</v>
      </c>
      <c r="C49" s="30"/>
      <c r="D49" s="30"/>
      <c r="E49" s="30"/>
      <c r="F49" s="30"/>
      <c r="G49" s="31" t="n">
        <v>0.229</v>
      </c>
      <c r="H49" s="31" t="n">
        <v>0.229</v>
      </c>
      <c r="I49" s="31" t="n">
        <v>0.174</v>
      </c>
      <c r="J49" s="31" t="n">
        <v>-0.01</v>
      </c>
      <c r="K49" s="30"/>
      <c r="L49" s="31" t="n">
        <v>0.01</v>
      </c>
      <c r="M49" s="31" t="n">
        <v>-0.067</v>
      </c>
      <c r="N49" s="30"/>
      <c r="O49" s="31" t="n">
        <v>-0.106</v>
      </c>
      <c r="P49" s="31" t="n">
        <v>-0.009</v>
      </c>
      <c r="Q49" s="30"/>
      <c r="R49" s="31" t="n">
        <v>0.001</v>
      </c>
      <c r="S49" s="31" t="n">
        <v>0.007</v>
      </c>
      <c r="T49" s="30"/>
      <c r="U49" s="31" t="n">
        <v>-0.032</v>
      </c>
      <c r="V49" s="31" t="n">
        <v>-0.012</v>
      </c>
      <c r="W49" s="30"/>
      <c r="X49" s="31" t="n">
        <v>0.014</v>
      </c>
      <c r="Y49" s="31" t="n">
        <v>0.09</v>
      </c>
      <c r="Z49" s="30"/>
      <c r="AA49" s="31" t="n">
        <v>0.099</v>
      </c>
      <c r="AB49" s="31" t="n">
        <v>0.142</v>
      </c>
      <c r="AC49" s="30"/>
      <c r="AD49" s="31" t="n">
        <v>0.116</v>
      </c>
      <c r="AE49" s="31" t="n">
        <v>-0.185</v>
      </c>
      <c r="AF49" s="30"/>
      <c r="AG49" s="31" t="n">
        <v>0.023</v>
      </c>
      <c r="AH49" s="31" t="n">
        <v>1.206</v>
      </c>
      <c r="AI49" s="30"/>
      <c r="AJ49" s="31" t="n">
        <v>0.725</v>
      </c>
      <c r="AK49" s="31" t="n">
        <v>0.553</v>
      </c>
      <c r="AL49" s="30"/>
      <c r="AM49" s="31" t="n">
        <v>0.459</v>
      </c>
      <c r="AN49" s="31" t="n">
        <v>0.243</v>
      </c>
      <c r="AO49" s="30"/>
      <c r="AP49" s="31" t="n">
        <v>0.232</v>
      </c>
      <c r="AQ49" s="31" t="n">
        <v>-0.002</v>
      </c>
      <c r="AR49" s="30"/>
      <c r="AS49" s="31" t="n">
        <v>-0.042</v>
      </c>
      <c r="AT49" s="31" t="n">
        <v>-0.079</v>
      </c>
      <c r="AU49" s="30"/>
      <c r="AV49" s="31" t="n">
        <v>-0.015</v>
      </c>
      <c r="AW49" s="31" t="n">
        <v>0.002</v>
      </c>
      <c r="AX49" s="28" t="n">
        <f aca="false">CHOOSE(MATCH($BD$2,{"Bull","Base","Bear"},0),$BM$49,$BN$49,$BO$49)</f>
        <v>0.03</v>
      </c>
      <c r="AY49" s="28" t="n">
        <f aca="false">(AT47*(1+AW49)+AU47*(1+AX49))/AV47-1</f>
        <v>0.0156684881602915</v>
      </c>
      <c r="AZ49" s="28" t="n">
        <f aca="false">CHOOSE(MATCH($BD$2,{"Bull","Base","Bear"},0),$BM$50,$BN$50,$BO$50)</f>
        <v>0.05</v>
      </c>
      <c r="BA49" s="28" t="n">
        <f aca="false">CHOOSE(MATCH($BD$2,{"Bull","Base","Bear"},0),$BM$51,$BN$51,$BO$51)</f>
        <v>0.05</v>
      </c>
      <c r="BB49" s="28" t="n">
        <f aca="false">CHOOSE(MATCH($BD$2,{"Bull","Base","Bear"},0),$BM$52,$BN$52,$BO$52)</f>
        <v>0.05</v>
      </c>
      <c r="BC49" s="28" t="n">
        <f aca="false">CHOOSE(MATCH($BD$2,{"Bull","Base","Bear"},0),$BM$53,$BN$53,$BO$53)</f>
        <v>0.05</v>
      </c>
      <c r="BD49" s="23" t="s">
        <v>106</v>
      </c>
      <c r="BF49" s="32" t="n">
        <f aca="false">IFERROR(AVERAGE(AY49,AZ49,BA49,BB49,BC49),"n/m")</f>
        <v>0.0431336976320583</v>
      </c>
      <c r="BG49" s="32" t="n">
        <f aca="false">IFERROR(AVERAGE(AJ49,AM49,AP49,AS49,AV49),"n/m")</f>
        <v>0.2718</v>
      </c>
      <c r="BH49" s="32" t="n">
        <f aca="false">IFERROR(AVERAGE(U49,X49,AA49,AD49,AG49,AJ49,AM49,AP49,AS49,AV49),"n/m")</f>
        <v>0.1579</v>
      </c>
      <c r="BI49" s="32" t="n">
        <f aca="false">IFERROR(AVERAGE(C49,D49,E49,F49,G49,H49,I49,L49,O49,R49,U49,X49,AA49,AD49,AG49,AJ49,AM49,AP49,AS49,AV49),"n/m")</f>
        <v>0.13225</v>
      </c>
      <c r="BL49" s="13" t="s">
        <v>77</v>
      </c>
      <c r="BM49" s="35" t="n">
        <f aca="false">BN49+$BM$48</f>
        <v>0.05</v>
      </c>
      <c r="BN49" s="29" t="n">
        <v>0.03</v>
      </c>
      <c r="BO49" s="35" t="n">
        <f aca="false">BN49+$BO$48</f>
        <v>0</v>
      </c>
    </row>
    <row r="50" customFormat="false" ht="15" hidden="false" customHeight="true" outlineLevel="0" collapsed="false">
      <c r="B50" s="26" t="s">
        <v>67</v>
      </c>
      <c r="C50" s="30" t="str">
        <f aca="false">IF(AND(ISNUMBER(C48),ISNUMBER(C49)),C48-C49,"")</f>
        <v/>
      </c>
      <c r="D50" s="30" t="str">
        <f aca="false">IF(AND(ISNUMBER(D48),ISNUMBER(D49)),D48-D49,"")</f>
        <v/>
      </c>
      <c r="E50" s="30" t="str">
        <f aca="false">IF(AND(ISNUMBER(E48),ISNUMBER(E49)),E48-E49,"")</f>
        <v/>
      </c>
      <c r="F50" s="30" t="str">
        <f aca="false">IF(AND(ISNUMBER(F48),ISNUMBER(F49)),F48-F49,"")</f>
        <v/>
      </c>
      <c r="G50" s="30" t="n">
        <f aca="false">IF(AND(ISNUMBER(G48),ISNUMBER(G49)),G48-G49,"")</f>
        <v>0.0698505747126438</v>
      </c>
      <c r="H50" s="30" t="n">
        <f aca="false">IF(AND(ISNUMBER(H48),ISNUMBER(H49)),H48-H49,"")</f>
        <v>0.00108849557522114</v>
      </c>
      <c r="I50" s="30" t="n">
        <f aca="false">IF(AND(ISNUMBER(I48),ISNUMBER(I49)),I48-I49,"")</f>
        <v>0.0684460431654676</v>
      </c>
      <c r="J50" s="30" t="str">
        <f aca="false">IF(AND(ISNUMBER(J48),ISNUMBER(J49)),J48-J49,"")</f>
        <v/>
      </c>
      <c r="K50" s="30" t="str">
        <f aca="false">IF(AND(ISNUMBER(K48),ISNUMBER(K49)),K48-K49,"")</f>
        <v/>
      </c>
      <c r="L50" s="30" t="n">
        <f aca="false">IF(AND(ISNUMBER(L48),ISNUMBER(L49)),L48-L49,"")</f>
        <v>-0.0418471337579618</v>
      </c>
      <c r="M50" s="30" t="n">
        <f aca="false">IF(AND(ISNUMBER(M48),ISNUMBER(M49)),M48-M49,"")</f>
        <v>-0.035803738317757</v>
      </c>
      <c r="N50" s="30" t="str">
        <f aca="false">IF(AND(ISNUMBER(N48),ISNUMBER(N49)),N48-N49,"")</f>
        <v/>
      </c>
      <c r="O50" s="30" t="n">
        <f aca="false">IF(AND(ISNUMBER(O48),ISNUMBER(O49)),O48-O49,"")</f>
        <v>-0.00823444976076558</v>
      </c>
      <c r="P50" s="30" t="n">
        <f aca="false">IF(AND(ISNUMBER(P48),ISNUMBER(P49)),P48-P49,"")</f>
        <v>0.125071428571429</v>
      </c>
      <c r="Q50" s="30" t="str">
        <f aca="false">IF(AND(ISNUMBER(Q48),ISNUMBER(Q49)),Q48-Q49,"")</f>
        <v/>
      </c>
      <c r="R50" s="30" t="n">
        <f aca="false">IF(AND(ISNUMBER(R48),ISNUMBER(R49)),R48-R49,"")</f>
        <v>0.100958136394328</v>
      </c>
      <c r="S50" s="30" t="n">
        <f aca="false">IF(AND(ISNUMBER(S48),ISNUMBER(S49)),S48-S49,"")</f>
        <v>-0.0123333333333334</v>
      </c>
      <c r="T50" s="30" t="str">
        <f aca="false">IF(AND(ISNUMBER(T48),ISNUMBER(T49)),T48-T49,"")</f>
        <v/>
      </c>
      <c r="U50" s="30" t="n">
        <f aca="false">IF(AND(ISNUMBER(U48),ISNUMBER(U49)),U48-U49,"")</f>
        <v>-0.000475490196078315</v>
      </c>
      <c r="V50" s="30" t="n">
        <f aca="false">IF(AND(ISNUMBER(V48),ISNUMBER(V49)),V48-V49,"")</f>
        <v>0.0173619302949062</v>
      </c>
      <c r="W50" s="30" t="str">
        <f aca="false">IF(AND(ISNUMBER(W48),ISNUMBER(W49)),W48-W49,"")</f>
        <v/>
      </c>
      <c r="X50" s="30" t="n">
        <f aca="false">IF(AND(ISNUMBER(X48),ISNUMBER(X49)),X48-X49,"")</f>
        <v>-0.0165332488917037</v>
      </c>
      <c r="Y50" s="30" t="n">
        <f aca="false">IF(AND(ISNUMBER(Y48),ISNUMBER(Y49)),Y48-Y49,"")</f>
        <v>-0.0633333333333334</v>
      </c>
      <c r="Z50" s="30" t="str">
        <f aca="false">IF(AND(ISNUMBER(Z48),ISNUMBER(Z49)),Z48-Z49,"")</f>
        <v/>
      </c>
      <c r="AA50" s="30" t="n">
        <f aca="false">IF(AND(ISNUMBER(AA48),ISNUMBER(AA49)),AA48-AA49,"")</f>
        <v>-0.0285238095238096</v>
      </c>
      <c r="AB50" s="30" t="n">
        <f aca="false">IF(AND(ISNUMBER(AB48),ISNUMBER(AB49)),AB48-AB49,"")</f>
        <v>0.0333246753246753</v>
      </c>
      <c r="AC50" s="30" t="str">
        <f aca="false">IF(AND(ISNUMBER(AC48),ISNUMBER(AC49)),AC48-AC49,"")</f>
        <v/>
      </c>
      <c r="AD50" s="30" t="n">
        <f aca="false">IF(AND(ISNUMBER(AD48),ISNUMBER(AD49)),AD48-AD49,"")</f>
        <v>0.0310937129300118</v>
      </c>
      <c r="AE50" s="30" t="n">
        <f aca="false">IF(AND(ISNUMBER(AE48),ISNUMBER(AE49)),AE48-AE49,"")</f>
        <v>0.004889502762431</v>
      </c>
      <c r="AF50" s="30" t="str">
        <f aca="false">IF(AND(ISNUMBER(AF48),ISNUMBER(AF49)),AF48-AF49,"")</f>
        <v/>
      </c>
      <c r="AG50" s="30" t="n">
        <f aca="false">IF(AND(ISNUMBER(AG48),ISNUMBER(AG49)),AG48-AG49,"")</f>
        <v>-0.0100734229576008</v>
      </c>
      <c r="AH50" s="30" t="n">
        <f aca="false">IF(AND(ISNUMBER(AH48),ISNUMBER(AH49)),AH48-AH49,"")</f>
        <v>-0.0658382749326143</v>
      </c>
      <c r="AI50" s="30" t="str">
        <f aca="false">IF(AND(ISNUMBER(AI48),ISNUMBER(AI49)),AI48-AI49,"")</f>
        <v/>
      </c>
      <c r="AJ50" s="30" t="n">
        <f aca="false">IF(AND(ISNUMBER(AJ48),ISNUMBER(AJ49)),AJ48-AJ49,"")</f>
        <v>-0.00473455844818782</v>
      </c>
      <c r="AK50" s="30" t="n">
        <f aca="false">IF(AND(ISNUMBER(AK48),ISNUMBER(AK49)),AK48-AK49,"")</f>
        <v>0.096874055415617</v>
      </c>
      <c r="AL50" s="30" t="str">
        <f aca="false">IF(AND(ISNUMBER(AL48),ISNUMBER(AL49)),AL48-AL49,"")</f>
        <v/>
      </c>
      <c r="AM50" s="30" t="n">
        <f aca="false">IF(AND(ISNUMBER(AM48),ISNUMBER(AM49)),AM48-AM49,"")</f>
        <v>0.0810593471810089</v>
      </c>
      <c r="AN50" s="30" t="n">
        <f aca="false">IF(AND(ISNUMBER(AN48),ISNUMBER(AN49)),AN48-AN49,"")</f>
        <v>-0.0330763358778626</v>
      </c>
      <c r="AO50" s="30" t="str">
        <f aca="false">IF(AND(ISNUMBER(AO48),ISNUMBER(AO49)),AO48-AO49,"")</f>
        <v/>
      </c>
      <c r="AP50" s="30" t="n">
        <f aca="false">IF(AND(ISNUMBER(AP48),ISNUMBER(AP49)),AP48-AP49,"")</f>
        <v>-0.0547360308285163</v>
      </c>
      <c r="AQ50" s="30" t="n">
        <f aca="false">IF(AND(ISNUMBER(AQ48),ISNUMBER(AQ49)),AQ48-AQ49,"")</f>
        <v>-0.0263911671924291</v>
      </c>
      <c r="AR50" s="30" t="str">
        <f aca="false">IF(AND(ISNUMBER(AR48),ISNUMBER(AR49)),AR48-AR49,"")</f>
        <v/>
      </c>
      <c r="AS50" s="30" t="n">
        <f aca="false">IF(AND(ISNUMBER(AS48),ISNUMBER(AS49)),AS48-AS49,"")</f>
        <v>-0.0136464811783961</v>
      </c>
      <c r="AT50" s="30" t="n">
        <f aca="false">IF(AND(ISNUMBER(AT48),ISNUMBER(AT49)),AT48-AT49,"")</f>
        <v>-0.00866233766233766</v>
      </c>
      <c r="AU50" s="30" t="str">
        <f aca="false">IF(AND(ISNUMBER(AU48),ISNUMBER(AU49)),AU48-AU49,"")</f>
        <v/>
      </c>
      <c r="AV50" s="30" t="n">
        <f aca="false">IF(AND(ISNUMBER(AV48),ISNUMBER(AV49)),AV48-AV49,"")</f>
        <v>-0.033526863084922</v>
      </c>
      <c r="AW50" s="30" t="n">
        <f aca="false">IF(AND(ISNUMBER(AW48),ISNUMBER(AW49)),AW48-AW49,"")</f>
        <v>-0.0447046263345196</v>
      </c>
      <c r="AX50" s="28" t="n">
        <f aca="false">AX64</f>
        <v>-0.03</v>
      </c>
      <c r="AY50" s="28" t="n">
        <f aca="false">AY48-AY49</f>
        <v>-0.0375264116575593</v>
      </c>
      <c r="AZ50" s="28" t="n">
        <f aca="false">AZ64</f>
        <v>0</v>
      </c>
      <c r="BA50" s="28" t="n">
        <f aca="false">BA64</f>
        <v>0</v>
      </c>
      <c r="BB50" s="28" t="n">
        <f aca="false">BB64</f>
        <v>0</v>
      </c>
      <c r="BC50" s="28" t="n">
        <f aca="false">BC64</f>
        <v>0</v>
      </c>
      <c r="BD50" s="23"/>
      <c r="BF50" s="7"/>
      <c r="BG50" s="7"/>
      <c r="BH50" s="7"/>
      <c r="BI50" s="7"/>
      <c r="BL50" s="13" t="s">
        <v>79</v>
      </c>
      <c r="BM50" s="35" t="n">
        <f aca="false">BN50+$BM$48</f>
        <v>0.07</v>
      </c>
      <c r="BN50" s="29" t="n">
        <v>0.05</v>
      </c>
      <c r="BO50" s="35" t="n">
        <f aca="false">BN50+$BO$48</f>
        <v>0.02</v>
      </c>
    </row>
    <row r="51" customFormat="false" ht="15" hidden="false" customHeight="true" outlineLevel="0" collapsed="false">
      <c r="B51" s="26" t="s">
        <v>70</v>
      </c>
      <c r="C51" s="30" t="str">
        <f aca="false">IF(AND(ISNUMBER(C47),ISNUMBER(C61)),IFERROR(C47/C61,""),"")</f>
        <v/>
      </c>
      <c r="D51" s="30" t="str">
        <f aca="false">IF(AND(ISNUMBER(D47),ISNUMBER(D61)),IFERROR(D47/D61,""),"")</f>
        <v/>
      </c>
      <c r="E51" s="30" t="str">
        <f aca="false">IF(AND(ISNUMBER(E47),ISNUMBER(E61)),IFERROR(E47/E61,""),"")</f>
        <v/>
      </c>
      <c r="F51" s="30" t="n">
        <f aca="false">IF(AND(ISNUMBER(F47),ISNUMBER(F61)),IFERROR(F47/F61,""),"")</f>
        <v>0.0454545454545455</v>
      </c>
      <c r="G51" s="30" t="n">
        <f aca="false">IF(AND(ISNUMBER(G47),ISNUMBER(G61)),IFERROR(G47/G61,""),"")</f>
        <v>0.0470441298917569</v>
      </c>
      <c r="H51" s="30" t="n">
        <f aca="false">IF(AND(ISNUMBER(H47),ISNUMBER(H61)),IFERROR(H47/H61,""),"")</f>
        <v>0.0489092188599578</v>
      </c>
      <c r="I51" s="30" t="n">
        <f aca="false">IF(AND(ISNUMBER(I47),ISNUMBER(I61)),IFERROR(I47/I61,""),"")</f>
        <v>0.0495666150048792</v>
      </c>
      <c r="J51" s="30" t="n">
        <f aca="false">IF(AND(ISNUMBER(J47),ISNUMBER(J61)),IFERROR(J47/J61,""),"")</f>
        <v>0.0423858298907815</v>
      </c>
      <c r="K51" s="30" t="n">
        <f aca="false">IF(AND(ISNUMBER(K47),ISNUMBER(K61)),IFERROR(K47/K61,""),"")</f>
        <v>0.0464332427809639</v>
      </c>
      <c r="L51" s="30" t="n">
        <f aca="false">IF(AND(ISNUMBER(L47),ISNUMBER(L61)),IFERROR(L47/L61,""),"")</f>
        <v>0.0445284827824975</v>
      </c>
      <c r="M51" s="30" t="n">
        <f aca="false">IF(AND(ISNUMBER(M47),ISNUMBER(M61)),IFERROR(M47/M61,""),"")</f>
        <v>0.0352404426031779</v>
      </c>
      <c r="N51" s="30" t="n">
        <f aca="false">IF(AND(ISNUMBER(N47),ISNUMBER(N61)),IFERROR(N47/N61,""),"")</f>
        <v>0.036578197766424</v>
      </c>
      <c r="O51" s="30" t="n">
        <f aca="false">IF(AND(ISNUMBER(O47),ISNUMBER(O61)),IFERROR(O47/O61,""),"")</f>
        <v>0.0359588209585782</v>
      </c>
      <c r="P51" s="30" t="n">
        <f aca="false">IF(AND(ISNUMBER(P47),ISNUMBER(P61)),IFERROR(P47/P61,""),"")</f>
        <v>0.0326172044881273</v>
      </c>
      <c r="Q51" s="30" t="n">
        <f aca="false">IF(AND(ISNUMBER(Q47),ISNUMBER(Q61)),IFERROR(Q47/Q61,""),"")</f>
        <v>0.034701184246764</v>
      </c>
      <c r="R51" s="30" t="n">
        <f aca="false">IF(AND(ISNUMBER(R47),ISNUMBER(R61)),IFERROR(R47/R61,""),"")</f>
        <v>0.0337113465947822</v>
      </c>
      <c r="S51" s="30" t="n">
        <f aca="false">IF(AND(ISNUMBER(S47),ISNUMBER(S61)),IFERROR(S47/S61,""),"")</f>
        <v>0.0305662541997869</v>
      </c>
      <c r="T51" s="30" t="n">
        <f aca="false">IF(AND(ISNUMBER(T47),ISNUMBER(T61)),IFERROR(T47/T61,""),"")</f>
        <v>0.0301636732329085</v>
      </c>
      <c r="U51" s="30" t="n">
        <f aca="false">IF(AND(ISNUMBER(U47),ISNUMBER(U61)),IFERROR(U47/U61,""),"")</f>
        <v>0.0303525431548191</v>
      </c>
      <c r="V51" s="30" t="n">
        <f aca="false">IF(AND(ISNUMBER(V47),ISNUMBER(V61)),IFERROR(V47/V61,""),"")</f>
        <v>0.0276436548597545</v>
      </c>
      <c r="W51" s="30" t="n">
        <f aca="false">IF(AND(ISNUMBER(W47),ISNUMBER(W61)),IFERROR(W47/W61,""),"")</f>
        <v>0.0290902679830748</v>
      </c>
      <c r="X51" s="30" t="n">
        <f aca="false">IF(AND(ISNUMBER(X47),ISNUMBER(X61)),IFERROR(X47/X61,""),"")</f>
        <v>0.0283829810239498</v>
      </c>
      <c r="Y51" s="30" t="n">
        <f aca="false">IF(AND(ISNUMBER(Y47),ISNUMBER(Y61)),IFERROR(Y47/Y61,""),"")</f>
        <v>0.0269844051165236</v>
      </c>
      <c r="Z51" s="30" t="n">
        <f aca="false">IF(AND(ISNUMBER(Z47),ISNUMBER(Z61)),IFERROR(Z47/Z61,""),"")</f>
        <v>0.029428773372743</v>
      </c>
      <c r="AA51" s="30" t="n">
        <f aca="false">IF(AND(ISNUMBER(AA47),ISNUMBER(AA61)),IFERROR(AA47/AA61,""),"")</f>
        <v>0.0282596671192236</v>
      </c>
      <c r="AB51" s="30" t="n">
        <f aca="false">IF(AND(ISNUMBER(AB47),ISNUMBER(AB61)),IFERROR(AB47/AB61,""),"")</f>
        <v>0.0275553390372378</v>
      </c>
      <c r="AC51" s="30" t="n">
        <f aca="false">IF(AND(ISNUMBER(AC47),ISNUMBER(AC61)),IFERROR(AC47/AC61,""),"")</f>
        <v>0.0285904809535717</v>
      </c>
      <c r="AD51" s="30" t="n">
        <f aca="false">IF(AND(ISNUMBER(AD47),ISNUMBER(AD61)),IFERROR(AD47/AD61,""),"")</f>
        <v>0.0280965801784002</v>
      </c>
      <c r="AE51" s="30" t="n">
        <f aca="false">IF(AND(ISNUMBER(AE47),ISNUMBER(AE61)),IFERROR(AE47/AE61,""),"")</f>
        <v>0.0298243498532899</v>
      </c>
      <c r="AF51" s="30" t="n">
        <f aca="false">IF(AND(ISNUMBER(AF47),ISNUMBER(AF61)),IFERROR(AF47/AF61,""),"")</f>
        <v>0.0311923313512405</v>
      </c>
      <c r="AG51" s="30" t="n">
        <f aca="false">IF(AND(ISNUMBER(AG47),ISNUMBER(AG61)),IFERROR(AG47/AG61,""),"")</f>
        <v>0.0306596760309883</v>
      </c>
      <c r="AH51" s="30" t="n">
        <f aca="false">IF(AND(ISNUMBER(AH47),ISNUMBER(AH61)),IFERROR(AH47/AH61,""),"")</f>
        <v>0.0374961630185828</v>
      </c>
      <c r="AI51" s="30" t="n">
        <f aca="false">IF(AND(ISNUMBER(AI47),ISNUMBER(AI61)),IFERROR(AI47/AI61,""),"")</f>
        <v>0.0375481994985145</v>
      </c>
      <c r="AJ51" s="30" t="n">
        <f aca="false">IF(AND(ISNUMBER(AJ47),ISNUMBER(AJ61)),IFERROR(AJ47/AJ61,""),"")</f>
        <v>0.0375236610622425</v>
      </c>
      <c r="AK51" s="30" t="n">
        <f aca="false">IF(AND(ISNUMBER(AK47),ISNUMBER(AK61)),IFERROR(AK47/AK61,""),"")</f>
        <v>0.0478626233101936</v>
      </c>
      <c r="AL51" s="30" t="n">
        <f aca="false">IF(AND(ISNUMBER(AL47),ISNUMBER(AL61)),IFERROR(AL47/AL61,""),"")</f>
        <v>0.041945487187857</v>
      </c>
      <c r="AM51" s="30" t="n">
        <f aca="false">IF(AND(ISNUMBER(AM47),ISNUMBER(AM61)),IFERROR(AM47/AM61,""),"")</f>
        <v>0.0447375226273597</v>
      </c>
      <c r="AN51" s="30" t="n">
        <f aca="false">IF(AND(ISNUMBER(AN47),ISNUMBER(AN61)),IFERROR(AN47/AN61,""),"")</f>
        <v>0.0473275604658107</v>
      </c>
      <c r="AO51" s="30" t="n">
        <f aca="false">IF(AND(ISNUMBER(AO47),ISNUMBER(AO61)),IFERROR(AO47/AO61,""),"")</f>
        <v>0.0436914846188141</v>
      </c>
      <c r="AP51" s="30" t="n">
        <f aca="false">IF(AND(ISNUMBER(AP47),ISNUMBER(AP61)),IFERROR(AP47/AP61,""),"")</f>
        <v>0.0455053250912341</v>
      </c>
      <c r="AQ51" s="30" t="n">
        <f aca="false">IF(AND(ISNUMBER(AQ47),ISNUMBER(AQ61)),IFERROR(AQ47/AQ61,""),"")</f>
        <v>0.041044776119403</v>
      </c>
      <c r="AR51" s="30" t="n">
        <f aca="false">IF(AND(ISNUMBER(AR47),ISNUMBER(AR61)),IFERROR(AR47/AR61,""),"")</f>
        <v>0.0350900078267675</v>
      </c>
      <c r="AS51" s="30" t="n">
        <f aca="false">IF(AND(ISNUMBER(AS47),ISNUMBER(AS61)),IFERROR(AS47/AS61,""),"")</f>
        <v>0.0380355965721819</v>
      </c>
      <c r="AT51" s="30" t="n">
        <f aca="false">IF(AND(ISNUMBER(AT47),ISNUMBER(AT61)),IFERROR(AT47/AT61,""),"")</f>
        <v>0.0349807045935516</v>
      </c>
      <c r="AU51" s="30" t="n">
        <f aca="false">IF(AND(ISNUMBER(AU47),ISNUMBER(AU61)),IFERROR(AU47/AU61,""),"")</f>
        <v>0.0336345381526104</v>
      </c>
      <c r="AV51" s="30" t="n">
        <f aca="false">IF(AND(ISNUMBER(AV47),ISNUMBER(AV61)),IFERROR(AV47/AV61,""),"")</f>
        <v>0.0343103556027748</v>
      </c>
      <c r="AW51" s="30" t="n">
        <f aca="false">IF(AND(ISNUMBER(AW47),ISNUMBER(AW61)),IFERROR(AW47/AW61,""),"")</f>
        <v>0.0329535709910572</v>
      </c>
      <c r="AX51" s="28" t="n">
        <f aca="false">IF(AND(ISNUMBER(AX47),ISNUMBER(AX61)),IFERROR(AX47/AX61,""),"")</f>
        <v>0.0325085304567327</v>
      </c>
      <c r="AY51" s="28" t="n">
        <f aca="false">IF(AND(ISNUMBER(AY47),ISNUMBER(AY61)),IFERROR(AY47/AY61,""),"")</f>
        <v>0.0327299522947232</v>
      </c>
      <c r="AZ51" s="28" t="n">
        <f aca="false">IF(AND(ISNUMBER(AZ47),ISNUMBER(AZ61)),IFERROR(AZ47/AZ61,""),"")</f>
        <v>0.0319890638192971</v>
      </c>
      <c r="BA51" s="28" t="n">
        <f aca="false">IF(AND(ISNUMBER(BA47),ISNUMBER(BA61)),IFERROR(BA47/BA61,""),"")</f>
        <v>0.0312487177960327</v>
      </c>
      <c r="BB51" s="28" t="n">
        <f aca="false">IF(AND(ISNUMBER(BB47),ISNUMBER(BB61)),IFERROR(BB47/BB61,""),"")</f>
        <v>0.0306116040033798</v>
      </c>
      <c r="BC51" s="28" t="n">
        <f aca="false">IF(AND(ISNUMBER(BC47),ISNUMBER(BC61)),IFERROR(BC47/BC61,""),"")</f>
        <v>0.0301117951024327</v>
      </c>
      <c r="BD51" s="23"/>
      <c r="BF51" s="32" t="n">
        <f aca="false">IFERROR(AVERAGE(AY51,AZ51,BA51,BB51,BC51),"n/m")</f>
        <v>0.0313382266031731</v>
      </c>
      <c r="BG51" s="32" t="n">
        <f aca="false">IFERROR(AVERAGE(AJ51,AM51,AP51,AS51,AV51),"n/m")</f>
        <v>0.0400224921911586</v>
      </c>
      <c r="BH51" s="32" t="n">
        <f aca="false">IFERROR(AVERAGE(U51,X51,AA51,AD51,AG51,AJ51,AM51,AP51,AS51,AV51),"n/m")</f>
        <v>0.0345863908463174</v>
      </c>
      <c r="BI51" s="32" t="n">
        <f aca="false">IFERROR(AVERAGE(C51,D51,E51,F51,G51,H51,I51,L51,O51,R51,U51,X51,AA51,AD51,AG51,AJ51,AM51,AP51,AS51,AV51),"n/m")</f>
        <v>0.0382962981182454</v>
      </c>
      <c r="BL51" s="13" t="s">
        <v>80</v>
      </c>
      <c r="BM51" s="35" t="n">
        <f aca="false">BN51+$BM$48</f>
        <v>0.07</v>
      </c>
      <c r="BN51" s="29" t="n">
        <v>0.05</v>
      </c>
      <c r="BO51" s="35" t="n">
        <f aca="false">BN51+$BO$48</f>
        <v>0.02</v>
      </c>
    </row>
    <row r="52" customFormat="false" ht="15" hidden="false" customHeight="true" outlineLevel="0" collapsed="false">
      <c r="B52" s="13"/>
      <c r="AX52" s="7"/>
      <c r="AY52" s="7"/>
      <c r="AZ52" s="7"/>
      <c r="BA52" s="7"/>
      <c r="BB52" s="7"/>
      <c r="BC52" s="7"/>
      <c r="BD52" s="7"/>
      <c r="BL52" s="13" t="s">
        <v>81</v>
      </c>
      <c r="BM52" s="35" t="n">
        <f aca="false">BN52+$BM$48</f>
        <v>0.07</v>
      </c>
      <c r="BN52" s="29" t="n">
        <v>0.05</v>
      </c>
      <c r="BO52" s="35" t="n">
        <f aca="false">BN52+$BO$48</f>
        <v>0.02</v>
      </c>
    </row>
    <row r="53" customFormat="false" ht="15" hidden="false" customHeight="true" outlineLevel="0" collapsed="false">
      <c r="B53" s="17" t="s">
        <v>107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8" t="s">
        <v>108</v>
      </c>
      <c r="BL53" s="13" t="s">
        <v>82</v>
      </c>
      <c r="BM53" s="35" t="n">
        <f aca="false">BN53+$BM$48</f>
        <v>0.07</v>
      </c>
      <c r="BN53" s="29" t="n">
        <v>0.05</v>
      </c>
      <c r="BO53" s="35" t="n">
        <f aca="false">BN53+$BO$48</f>
        <v>0.02</v>
      </c>
    </row>
    <row r="54" customFormat="false" ht="15" hidden="false" customHeight="true" outlineLevel="0" collapsed="false">
      <c r="B54" s="19" t="s">
        <v>57</v>
      </c>
      <c r="C54" s="20"/>
      <c r="D54" s="20"/>
      <c r="E54" s="20"/>
      <c r="F54" s="21" t="n">
        <v>71</v>
      </c>
      <c r="G54" s="21" t="n">
        <v>86</v>
      </c>
      <c r="H54" s="21" t="n">
        <v>113</v>
      </c>
      <c r="I54" s="21" t="n">
        <v>134.9</v>
      </c>
      <c r="J54" s="21" t="n">
        <v>84.7</v>
      </c>
      <c r="K54" s="20" t="n">
        <f aca="false">L54-J54</f>
        <v>84.9</v>
      </c>
      <c r="L54" s="21" t="n">
        <v>169.6</v>
      </c>
      <c r="M54" s="21" t="n">
        <v>103.3</v>
      </c>
      <c r="N54" s="20" t="n">
        <f aca="false">O54-M54</f>
        <v>97.5</v>
      </c>
      <c r="O54" s="21" t="n">
        <v>200.8</v>
      </c>
      <c r="P54" s="21" t="n">
        <v>97.1</v>
      </c>
      <c r="Q54" s="20" t="n">
        <f aca="false">R54-P54</f>
        <v>111.4</v>
      </c>
      <c r="R54" s="21" t="n">
        <v>208.5</v>
      </c>
      <c r="S54" s="21" t="n">
        <v>111.8</v>
      </c>
      <c r="T54" s="20" t="n">
        <f aca="false">U54-S54</f>
        <v>116.5</v>
      </c>
      <c r="U54" s="21" t="n">
        <v>228.3</v>
      </c>
      <c r="V54" s="21" t="n">
        <v>101.9</v>
      </c>
      <c r="W54" s="20" t="n">
        <f aca="false">X54-V54</f>
        <v>121.5</v>
      </c>
      <c r="X54" s="21" t="n">
        <v>223.4</v>
      </c>
      <c r="Y54" s="21" t="n">
        <v>109.8</v>
      </c>
      <c r="Z54" s="20" t="n">
        <f aca="false">AA54-Y54</f>
        <v>128.2</v>
      </c>
      <c r="AA54" s="21" t="n">
        <v>238</v>
      </c>
      <c r="AB54" s="21" t="n">
        <v>113.9</v>
      </c>
      <c r="AC54" s="20" t="n">
        <f aca="false">AD54-AB54</f>
        <v>144.3</v>
      </c>
      <c r="AD54" s="21" t="n">
        <v>258.2</v>
      </c>
      <c r="AE54" s="21" t="n">
        <v>79.3</v>
      </c>
      <c r="AF54" s="20" t="n">
        <f aca="false">AG54-AE54</f>
        <v>138.4</v>
      </c>
      <c r="AG54" s="21" t="n">
        <v>217.7</v>
      </c>
      <c r="AH54" s="21" t="n">
        <v>131.6</v>
      </c>
      <c r="AI54" s="20" t="n">
        <f aca="false">AJ54-AH54</f>
        <v>147.4</v>
      </c>
      <c r="AJ54" s="21" t="n">
        <v>279</v>
      </c>
      <c r="AK54" s="21" t="n">
        <v>146</v>
      </c>
      <c r="AL54" s="20" t="n">
        <f aca="false">AM54-AK54</f>
        <v>160</v>
      </c>
      <c r="AM54" s="21" t="n">
        <v>306</v>
      </c>
      <c r="AN54" s="21" t="n">
        <v>150</v>
      </c>
      <c r="AO54" s="20" t="n">
        <f aca="false">AP54-AN54</f>
        <v>163</v>
      </c>
      <c r="AP54" s="21" t="n">
        <v>313</v>
      </c>
      <c r="AQ54" s="21" t="n">
        <v>157</v>
      </c>
      <c r="AR54" s="20" t="n">
        <f aca="false">AS54-AQ54</f>
        <v>180</v>
      </c>
      <c r="AS54" s="21" t="n">
        <v>337</v>
      </c>
      <c r="AT54" s="21" t="n">
        <v>168</v>
      </c>
      <c r="AU54" s="20" t="n">
        <f aca="false">AV54-AT54</f>
        <v>181</v>
      </c>
      <c r="AV54" s="21" t="n">
        <v>349</v>
      </c>
      <c r="AW54" s="21" t="n">
        <v>168</v>
      </c>
      <c r="AX54" s="22" t="n">
        <f aca="false">AU54*(1+AX56+AX64)</f>
        <v>181</v>
      </c>
      <c r="AY54" s="22" t="n">
        <f aca="false">AW54+AX54</f>
        <v>349</v>
      </c>
      <c r="AZ54" s="22" t="n">
        <f aca="false">AY54*(1+AZ56+AZ64)</f>
        <v>362.96</v>
      </c>
      <c r="BA54" s="22" t="n">
        <f aca="false">AZ54*(1+BA56+BA64)</f>
        <v>377.4784</v>
      </c>
      <c r="BB54" s="22" t="n">
        <f aca="false">BA54*(1+BB56+BB64)</f>
        <v>392.577536</v>
      </c>
      <c r="BC54" s="22" t="n">
        <f aca="false">BB54*(1+BC56+BC64)</f>
        <v>408.28063744</v>
      </c>
      <c r="BD54" s="23" t="s">
        <v>58</v>
      </c>
      <c r="BF54" s="24" t="n">
        <f aca="false">IFERROR((BC54/AV54)^(1/5)-1,"n/m")</f>
        <v>0.0318740040660683</v>
      </c>
      <c r="BG54" s="24" t="n">
        <f aca="false">IFERROR((AV54/AG54)^(1/5)-1,"n/m")</f>
        <v>0.0989891368463092</v>
      </c>
      <c r="BH54" s="24" t="n">
        <f aca="false">IFERROR((AV54/R54)^(1/10)-1,"n/m")</f>
        <v>0.0528631767465233</v>
      </c>
      <c r="BI54" s="24" t="str">
        <f aca="false">IFERROR((AV54/C54)^(1/19)-1,"n/m")</f>
        <v>n/m</v>
      </c>
      <c r="BL54" s="18" t="s">
        <v>109</v>
      </c>
      <c r="BM54" s="34" t="n">
        <v>0.02</v>
      </c>
      <c r="BN54" s="25" t="s">
        <v>75</v>
      </c>
      <c r="BO54" s="34" t="n">
        <v>-0.03</v>
      </c>
      <c r="BP54" s="16" t="s">
        <v>110</v>
      </c>
    </row>
    <row r="55" customFormat="false" ht="15" hidden="false" customHeight="true" outlineLevel="0" collapsed="false">
      <c r="B55" s="26" t="s">
        <v>60</v>
      </c>
      <c r="C55" s="27"/>
      <c r="D55" s="27" t="str">
        <f aca="false">IF(AND(ISNUMBER(D54),ISNUMBER(C54)),IFERROR(D54/C54-1,""),"")</f>
        <v/>
      </c>
      <c r="E55" s="27" t="str">
        <f aca="false">IF(AND(ISNUMBER(E54),ISNUMBER(D54)),IFERROR(E54/D54-1,""),"")</f>
        <v/>
      </c>
      <c r="F55" s="27" t="str">
        <f aca="false">IF(AND(ISNUMBER(F54),ISNUMBER(E54)),IFERROR(F54/E54-1,""),"")</f>
        <v/>
      </c>
      <c r="G55" s="27" t="n">
        <f aca="false">IF(AND(ISNUMBER(G54),ISNUMBER(F54)),IFERROR(G54/F54-1,""),"")</f>
        <v>0.211267605633803</v>
      </c>
      <c r="H55" s="27" t="n">
        <f aca="false">IF(AND(ISNUMBER(H54),ISNUMBER(G54)),IFERROR(H54/G54-1,""),"")</f>
        <v>0.313953488372093</v>
      </c>
      <c r="I55" s="27" t="n">
        <f aca="false">IF(AND(ISNUMBER(I54),ISNUMBER(H54)),IFERROR(I54/H54-1,""),"")</f>
        <v>0.193805309734513</v>
      </c>
      <c r="J55" s="27"/>
      <c r="K55" s="27"/>
      <c r="L55" s="27" t="n">
        <f aca="false">IF(AND(ISNUMBER(L54),ISNUMBER(I54)),IFERROR(L54/I54-1,""),"")</f>
        <v>0.257227575982209</v>
      </c>
      <c r="M55" s="27" t="n">
        <f aca="false">IF(AND(ISNUMBER(M54),ISNUMBER(J54)),IFERROR(M54/J54-1,""),"")</f>
        <v>0.219598583234947</v>
      </c>
      <c r="N55" s="27" t="n">
        <f aca="false">IF(AND(ISNUMBER(N54),ISNUMBER(K54)),IFERROR(N54/K54-1,""),"")</f>
        <v>0.148409893992933</v>
      </c>
      <c r="O55" s="27" t="n">
        <f aca="false">IF(AND(ISNUMBER(O54),ISNUMBER(L54)),IFERROR(O54/L54-1,""),"")</f>
        <v>0.183962264150944</v>
      </c>
      <c r="P55" s="27" t="n">
        <f aca="false">IF(AND(ISNUMBER(P54),ISNUMBER(M54)),IFERROR(P54/M54-1,""),"")</f>
        <v>-0.0600193610842208</v>
      </c>
      <c r="Q55" s="27" t="n">
        <f aca="false">IF(AND(ISNUMBER(Q54),ISNUMBER(N54)),IFERROR(Q54/N54-1,""),"")</f>
        <v>0.142564102564102</v>
      </c>
      <c r="R55" s="27" t="n">
        <f aca="false">IF(AND(ISNUMBER(R54),ISNUMBER(O54)),IFERROR(R54/O54-1,""),"")</f>
        <v>0.0383466135458166</v>
      </c>
      <c r="S55" s="27" t="n">
        <f aca="false">IF(AND(ISNUMBER(S54),ISNUMBER(P54)),IFERROR(S54/P54-1,""),"")</f>
        <v>0.151390319258496</v>
      </c>
      <c r="T55" s="27" t="n">
        <f aca="false">IF(AND(ISNUMBER(T54),ISNUMBER(Q54)),IFERROR(T54/Q54-1,""),"")</f>
        <v>0.0457809694793538</v>
      </c>
      <c r="U55" s="27" t="n">
        <f aca="false">IF(AND(ISNUMBER(U54),ISNUMBER(R54)),IFERROR(U54/R54-1,""),"")</f>
        <v>0.0949640287769784</v>
      </c>
      <c r="V55" s="27" t="n">
        <f aca="false">IF(AND(ISNUMBER(V54),ISNUMBER(S54)),IFERROR(V54/S54-1,""),"")</f>
        <v>-0.0885509838998211</v>
      </c>
      <c r="W55" s="27" t="n">
        <f aca="false">IF(AND(ISNUMBER(W54),ISNUMBER(T54)),IFERROR(W54/T54-1,""),"")</f>
        <v>0.0429184549356223</v>
      </c>
      <c r="X55" s="27" t="n">
        <f aca="false">IF(AND(ISNUMBER(X54),ISNUMBER(U54)),IFERROR(X54/U54-1,""),"")</f>
        <v>-0.0214629872974157</v>
      </c>
      <c r="Y55" s="27" t="n">
        <f aca="false">IF(AND(ISNUMBER(Y54),ISNUMBER(V54)),IFERROR(Y54/V54-1,""),"")</f>
        <v>0.0775269872423945</v>
      </c>
      <c r="Z55" s="27" t="n">
        <f aca="false">IF(AND(ISNUMBER(Z54),ISNUMBER(W54)),IFERROR(Z54/W54-1,""),"")</f>
        <v>0.0551440329218107</v>
      </c>
      <c r="AA55" s="27" t="n">
        <f aca="false">IF(AND(ISNUMBER(AA54),ISNUMBER(X54)),IFERROR(AA54/X54-1,""),"")</f>
        <v>0.0653536257833483</v>
      </c>
      <c r="AB55" s="27" t="n">
        <f aca="false">IF(AND(ISNUMBER(AB54),ISNUMBER(Y54)),IFERROR(AB54/Y54-1,""),"")</f>
        <v>0.0373406193078325</v>
      </c>
      <c r="AC55" s="27" t="n">
        <f aca="false">IF(AND(ISNUMBER(AC54),ISNUMBER(Z54)),IFERROR(AC54/Z54-1,""),"")</f>
        <v>0.125585023400936</v>
      </c>
      <c r="AD55" s="27" t="n">
        <f aca="false">IF(AND(ISNUMBER(AD54),ISNUMBER(AA54)),IFERROR(AD54/AA54-1,""),"")</f>
        <v>0.0848739495798319</v>
      </c>
      <c r="AE55" s="27" t="n">
        <f aca="false">IF(AND(ISNUMBER(AE54),ISNUMBER(AB54)),IFERROR(AE54/AB54-1,""),"")</f>
        <v>-0.30377524143986</v>
      </c>
      <c r="AF55" s="27" t="n">
        <f aca="false">IF(AND(ISNUMBER(AF54),ISNUMBER(AC54)),IFERROR(AF54/AC54-1,""),"")</f>
        <v>-0.040887040887041</v>
      </c>
      <c r="AG55" s="27" t="n">
        <f aca="false">IF(AND(ISNUMBER(AG54),ISNUMBER(AD54)),IFERROR(AG54/AD54-1,""),"")</f>
        <v>-0.156855151045701</v>
      </c>
      <c r="AH55" s="27" t="n">
        <f aca="false">IF(AND(ISNUMBER(AH54),ISNUMBER(AE54)),IFERROR(AH54/AE54-1,""),"")</f>
        <v>0.659520807061791</v>
      </c>
      <c r="AI55" s="27" t="n">
        <f aca="false">IF(AND(ISNUMBER(AI54),ISNUMBER(AF54)),IFERROR(AI54/AF54-1,""),"")</f>
        <v>0.0650289017341044</v>
      </c>
      <c r="AJ55" s="27" t="n">
        <f aca="false">IF(AND(ISNUMBER(AJ54),ISNUMBER(AG54)),IFERROR(AJ54/AG54-1,""),"")</f>
        <v>0.281580156178227</v>
      </c>
      <c r="AK55" s="27" t="n">
        <f aca="false">IF(AND(ISNUMBER(AK54),ISNUMBER(AH54)),IFERROR(AK54/AH54-1,""),"")</f>
        <v>0.109422492401216</v>
      </c>
      <c r="AL55" s="27" t="n">
        <f aca="false">IF(AND(ISNUMBER(AL54),ISNUMBER(AI54)),IFERROR(AL54/AI54-1,""),"")</f>
        <v>0.0854816824966078</v>
      </c>
      <c r="AM55" s="27" t="n">
        <f aca="false">IF(AND(ISNUMBER(AM54),ISNUMBER(AJ54)),IFERROR(AM54/AJ54-1,""),"")</f>
        <v>0.096774193548387</v>
      </c>
      <c r="AN55" s="27" t="n">
        <f aca="false">IF(AND(ISNUMBER(AN54),ISNUMBER(AK54)),IFERROR(AN54/AK54-1,""),"")</f>
        <v>0.0273972602739727</v>
      </c>
      <c r="AO55" s="27" t="n">
        <f aca="false">IF(AND(ISNUMBER(AO54),ISNUMBER(AL54)),IFERROR(AO54/AL54-1,""),"")</f>
        <v>0.01875</v>
      </c>
      <c r="AP55" s="27" t="n">
        <f aca="false">IF(AND(ISNUMBER(AP54),ISNUMBER(AM54)),IFERROR(AP54/AM54-1,""),"")</f>
        <v>0.022875816993464</v>
      </c>
      <c r="AQ55" s="27" t="n">
        <f aca="false">IF(AND(ISNUMBER(AQ54),ISNUMBER(AN54)),IFERROR(AQ54/AN54-1,""),"")</f>
        <v>0.0466666666666666</v>
      </c>
      <c r="AR55" s="27" t="n">
        <f aca="false">IF(AND(ISNUMBER(AR54),ISNUMBER(AO54)),IFERROR(AR54/AO54-1,""),"")</f>
        <v>0.104294478527607</v>
      </c>
      <c r="AS55" s="27" t="n">
        <f aca="false">IF(AND(ISNUMBER(AS54),ISNUMBER(AP54)),IFERROR(AS54/AP54-1,""),"")</f>
        <v>0.0766773162939298</v>
      </c>
      <c r="AT55" s="27" t="n">
        <f aca="false">IF(AND(ISNUMBER(AT54),ISNUMBER(AQ54)),IFERROR(AT54/AQ54-1,""),"")</f>
        <v>0.0700636942675159</v>
      </c>
      <c r="AU55" s="27" t="n">
        <f aca="false">IF(AND(ISNUMBER(AU54),ISNUMBER(AR54)),IFERROR(AU54/AR54-1,""),"")</f>
        <v>0.00555555555555554</v>
      </c>
      <c r="AV55" s="27" t="n">
        <f aca="false">IF(AND(ISNUMBER(AV54),ISNUMBER(AS54)),IFERROR(AV54/AS54-1,""),"")</f>
        <v>0.0356083086053411</v>
      </c>
      <c r="AW55" s="27" t="n">
        <f aca="false">IF(AND(ISNUMBER(AW54),ISNUMBER(AT54)),IFERROR(AW54/AT54-1,""),"")</f>
        <v>0</v>
      </c>
      <c r="AX55" s="28" t="n">
        <f aca="false">IF(AND(ISNUMBER(AX54),ISNUMBER(AU54)),IFERROR(AX54/AU54-1,""),"")</f>
        <v>0</v>
      </c>
      <c r="AY55" s="28" t="n">
        <f aca="false">IF(AND(ISNUMBER(AY54),ISNUMBER(AV54)),IFERROR(AY54/AV54-1,""),"")</f>
        <v>0</v>
      </c>
      <c r="AZ55" s="28" t="n">
        <f aca="false">IF(AND(ISNUMBER(AZ54),ISNUMBER(AY54)),IFERROR(AZ54/AY54-1,""),"")</f>
        <v>0.04</v>
      </c>
      <c r="BA55" s="28" t="n">
        <f aca="false">IF(AND(ISNUMBER(BA54),ISNUMBER(AZ54)),IFERROR(BA54/AZ54-1,""),"")</f>
        <v>0.04</v>
      </c>
      <c r="BB55" s="28" t="n">
        <f aca="false">IF(AND(ISNUMBER(BB54),ISNUMBER(BA54)),IFERROR(BB54/BA54-1,""),"")</f>
        <v>0.04</v>
      </c>
      <c r="BC55" s="28" t="n">
        <f aca="false">IF(AND(ISNUMBER(BC54),ISNUMBER(BB54)),IFERROR(BC54/BB54-1,""),"")</f>
        <v>0.04</v>
      </c>
      <c r="BD55" s="23"/>
      <c r="BF55" s="7"/>
      <c r="BG55" s="7"/>
      <c r="BH55" s="7"/>
      <c r="BI55" s="7"/>
      <c r="BL55" s="13" t="s">
        <v>77</v>
      </c>
      <c r="BM55" s="35" t="n">
        <f aca="false">BN55+$BM$54</f>
        <v>0.05</v>
      </c>
      <c r="BN55" s="29" t="n">
        <v>0.03</v>
      </c>
      <c r="BO55" s="35" t="n">
        <f aca="false">BN55+$BO$54</f>
        <v>0</v>
      </c>
    </row>
    <row r="56" customFormat="false" ht="15" hidden="false" customHeight="true" outlineLevel="0" collapsed="false">
      <c r="B56" s="26" t="s">
        <v>63</v>
      </c>
      <c r="C56" s="30"/>
      <c r="D56" s="30"/>
      <c r="E56" s="30"/>
      <c r="F56" s="30"/>
      <c r="G56" s="31" t="n">
        <v>0.188</v>
      </c>
      <c r="H56" s="31" t="n">
        <v>0.306</v>
      </c>
      <c r="I56" s="31" t="n">
        <v>0.167</v>
      </c>
      <c r="J56" s="31" t="n">
        <v>0.242</v>
      </c>
      <c r="K56" s="30"/>
      <c r="L56" s="31" t="n">
        <v>0.29</v>
      </c>
      <c r="M56" s="31" t="n">
        <v>0.058</v>
      </c>
      <c r="N56" s="30"/>
      <c r="O56" s="31" t="n">
        <v>0.007</v>
      </c>
      <c r="P56" s="31" t="n">
        <v>-0.097</v>
      </c>
      <c r="Q56" s="30"/>
      <c r="R56" s="31" t="n">
        <v>-0.002</v>
      </c>
      <c r="S56" s="31" t="n">
        <v>0.158</v>
      </c>
      <c r="T56" s="30"/>
      <c r="U56" s="31" t="n">
        <v>0.101</v>
      </c>
      <c r="V56" s="31" t="n">
        <v>-0.087</v>
      </c>
      <c r="W56" s="30"/>
      <c r="X56" s="31" t="n">
        <v>-0.009</v>
      </c>
      <c r="Y56" s="31" t="n">
        <v>0.103</v>
      </c>
      <c r="Z56" s="30"/>
      <c r="AA56" s="31" t="n">
        <v>0.079</v>
      </c>
      <c r="AB56" s="31" t="n">
        <v>0.024</v>
      </c>
      <c r="AC56" s="30"/>
      <c r="AD56" s="31" t="n">
        <v>0.07</v>
      </c>
      <c r="AE56" s="31" t="n">
        <v>-0.308</v>
      </c>
      <c r="AF56" s="30"/>
      <c r="AG56" s="31" t="n">
        <v>-0.153</v>
      </c>
      <c r="AH56" s="31" t="n">
        <v>0.692</v>
      </c>
      <c r="AI56" s="30"/>
      <c r="AJ56" s="31" t="n">
        <v>0.291</v>
      </c>
      <c r="AK56" s="31" t="n">
        <v>0.091</v>
      </c>
      <c r="AL56" s="30"/>
      <c r="AM56" s="31" t="n">
        <v>0.076</v>
      </c>
      <c r="AN56" s="31" t="n">
        <v>0.041</v>
      </c>
      <c r="AO56" s="30"/>
      <c r="AP56" s="31" t="n">
        <v>0.052</v>
      </c>
      <c r="AQ56" s="31" t="n">
        <v>0.066</v>
      </c>
      <c r="AR56" s="30"/>
      <c r="AS56" s="31" t="n">
        <v>0.087</v>
      </c>
      <c r="AT56" s="31" t="n">
        <v>0.075</v>
      </c>
      <c r="AU56" s="30"/>
      <c r="AV56" s="31" t="n">
        <v>0.055</v>
      </c>
      <c r="AW56" s="31" t="n">
        <v>0.028</v>
      </c>
      <c r="AX56" s="28" t="n">
        <f aca="false">CHOOSE(MATCH($BD$2,{"Bull","Base","Bear"},0),$BM$55,$BN$55,$BO$55)</f>
        <v>0.03</v>
      </c>
      <c r="AY56" s="28" t="n">
        <f aca="false">(AT54*(1+AW56)+AU54*(1+AX56))/AV54-1</f>
        <v>0.0290372492836677</v>
      </c>
      <c r="AZ56" s="28" t="n">
        <f aca="false">CHOOSE(MATCH($BD$2,{"Bull","Base","Bear"},0),$BM$56,$BN$56,$BO$56)</f>
        <v>0.04</v>
      </c>
      <c r="BA56" s="28" t="n">
        <f aca="false">CHOOSE(MATCH($BD$2,{"Bull","Base","Bear"},0),$BM$57,$BN$57,$BO$57)</f>
        <v>0.04</v>
      </c>
      <c r="BB56" s="28" t="n">
        <f aca="false">CHOOSE(MATCH($BD$2,{"Bull","Base","Bear"},0),$BM$58,$BN$58,$BO$58)</f>
        <v>0.04</v>
      </c>
      <c r="BC56" s="28" t="n">
        <f aca="false">CHOOSE(MATCH($BD$2,{"Bull","Base","Bear"},0),$BM$59,$BN$59,$BO$59)</f>
        <v>0.04</v>
      </c>
      <c r="BD56" s="23" t="s">
        <v>111</v>
      </c>
      <c r="BF56" s="32" t="n">
        <f aca="false">IFERROR(AVERAGE(AY56,AZ56,BA56,BB56,BC56),"n/m")</f>
        <v>0.0378074498567335</v>
      </c>
      <c r="BG56" s="32" t="n">
        <f aca="false">IFERROR(AVERAGE(AJ56,AM56,AP56,AS56,AV56),"n/m")</f>
        <v>0.1122</v>
      </c>
      <c r="BH56" s="32" t="n">
        <f aca="false">IFERROR(AVERAGE(U56,X56,AA56,AD56,AG56,AJ56,AM56,AP56,AS56,AV56),"n/m")</f>
        <v>0.0649</v>
      </c>
      <c r="BI56" s="32" t="n">
        <f aca="false">IFERROR(AVERAGE(C56,D56,E56,F56,G56,H56,I56,L56,O56,R56,U56,X56,AA56,AD56,AG56,AJ56,AM56,AP56,AS56,AV56),"n/m")</f>
        <v>0.1003125</v>
      </c>
      <c r="BL56" s="13" t="s">
        <v>79</v>
      </c>
      <c r="BM56" s="35" t="n">
        <f aca="false">BN56+$BM$54</f>
        <v>0.06</v>
      </c>
      <c r="BN56" s="29" t="n">
        <v>0.04</v>
      </c>
      <c r="BO56" s="35" t="n">
        <f aca="false">BN56+$BO$54</f>
        <v>0.01</v>
      </c>
    </row>
    <row r="57" customFormat="false" ht="15" hidden="false" customHeight="true" outlineLevel="0" collapsed="false">
      <c r="B57" s="26" t="s">
        <v>67</v>
      </c>
      <c r="C57" s="30" t="str">
        <f aca="false">IF(AND(ISNUMBER(C55),ISNUMBER(C56)),C55-C56,"")</f>
        <v/>
      </c>
      <c r="D57" s="30" t="str">
        <f aca="false">IF(AND(ISNUMBER(D55),ISNUMBER(D56)),D55-D56,"")</f>
        <v/>
      </c>
      <c r="E57" s="30" t="str">
        <f aca="false">IF(AND(ISNUMBER(E55),ISNUMBER(E56)),E55-E56,"")</f>
        <v/>
      </c>
      <c r="F57" s="30" t="str">
        <f aca="false">IF(AND(ISNUMBER(F55),ISNUMBER(F56)),F55-F56,"")</f>
        <v/>
      </c>
      <c r="G57" s="30" t="n">
        <f aca="false">IF(AND(ISNUMBER(G55),ISNUMBER(G56)),G55-G56,"")</f>
        <v>0.0232676056338028</v>
      </c>
      <c r="H57" s="30" t="n">
        <f aca="false">IF(AND(ISNUMBER(H55),ISNUMBER(H56)),H55-H56,"")</f>
        <v>0.00795348837209292</v>
      </c>
      <c r="I57" s="30" t="n">
        <f aca="false">IF(AND(ISNUMBER(I55),ISNUMBER(I56)),I55-I56,"")</f>
        <v>0.0268053097345134</v>
      </c>
      <c r="J57" s="30" t="str">
        <f aca="false">IF(AND(ISNUMBER(J55),ISNUMBER(J56)),J55-J56,"")</f>
        <v/>
      </c>
      <c r="K57" s="30" t="str">
        <f aca="false">IF(AND(ISNUMBER(K55),ISNUMBER(K56)),K55-K56,"")</f>
        <v/>
      </c>
      <c r="L57" s="30" t="n">
        <f aca="false">IF(AND(ISNUMBER(L55),ISNUMBER(L56)),L55-L56,"")</f>
        <v>-0.0327724240177911</v>
      </c>
      <c r="M57" s="30" t="n">
        <f aca="false">IF(AND(ISNUMBER(M55),ISNUMBER(M56)),M55-M56,"")</f>
        <v>0.161598583234947</v>
      </c>
      <c r="N57" s="30" t="str">
        <f aca="false">IF(AND(ISNUMBER(N55),ISNUMBER(N56)),N55-N56,"")</f>
        <v/>
      </c>
      <c r="O57" s="30" t="n">
        <f aca="false">IF(AND(ISNUMBER(O55),ISNUMBER(O56)),O55-O56,"")</f>
        <v>0.176962264150944</v>
      </c>
      <c r="P57" s="30" t="n">
        <f aca="false">IF(AND(ISNUMBER(P55),ISNUMBER(P56)),P55-P56,"")</f>
        <v>0.0369806389157792</v>
      </c>
      <c r="Q57" s="30" t="str">
        <f aca="false">IF(AND(ISNUMBER(Q55),ISNUMBER(Q56)),Q55-Q56,"")</f>
        <v/>
      </c>
      <c r="R57" s="30" t="n">
        <f aca="false">IF(AND(ISNUMBER(R55),ISNUMBER(R56)),R55-R56,"")</f>
        <v>0.0403466135458166</v>
      </c>
      <c r="S57" s="30" t="n">
        <f aca="false">IF(AND(ISNUMBER(S55),ISNUMBER(S56)),S55-S56,"")</f>
        <v>-0.00660968074150356</v>
      </c>
      <c r="T57" s="30" t="str">
        <f aca="false">IF(AND(ISNUMBER(T55),ISNUMBER(T56)),T55-T56,"")</f>
        <v/>
      </c>
      <c r="U57" s="30" t="n">
        <f aca="false">IF(AND(ISNUMBER(U55),ISNUMBER(U56)),U55-U56,"")</f>
        <v>-0.0060359712230216</v>
      </c>
      <c r="V57" s="30" t="n">
        <f aca="false">IF(AND(ISNUMBER(V55),ISNUMBER(V56)),V55-V56,"")</f>
        <v>-0.00155098389982108</v>
      </c>
      <c r="W57" s="30" t="str">
        <f aca="false">IF(AND(ISNUMBER(W55),ISNUMBER(W56)),W55-W56,"")</f>
        <v/>
      </c>
      <c r="X57" s="30" t="n">
        <f aca="false">IF(AND(ISNUMBER(X55),ISNUMBER(X56)),X55-X56,"")</f>
        <v>-0.0124629872974157</v>
      </c>
      <c r="Y57" s="30" t="n">
        <f aca="false">IF(AND(ISNUMBER(Y55),ISNUMBER(Y56)),Y55-Y56,"")</f>
        <v>-0.0254730127576055</v>
      </c>
      <c r="Z57" s="30" t="str">
        <f aca="false">IF(AND(ISNUMBER(Z55),ISNUMBER(Z56)),Z55-Z56,"")</f>
        <v/>
      </c>
      <c r="AA57" s="30" t="n">
        <f aca="false">IF(AND(ISNUMBER(AA55),ISNUMBER(AA56)),AA55-AA56,"")</f>
        <v>-0.0136463742166518</v>
      </c>
      <c r="AB57" s="30" t="n">
        <f aca="false">IF(AND(ISNUMBER(AB55),ISNUMBER(AB56)),AB55-AB56,"")</f>
        <v>0.0133406193078325</v>
      </c>
      <c r="AC57" s="30" t="str">
        <f aca="false">IF(AND(ISNUMBER(AC55),ISNUMBER(AC56)),AC55-AC56,"")</f>
        <v/>
      </c>
      <c r="AD57" s="30" t="n">
        <f aca="false">IF(AND(ISNUMBER(AD55),ISNUMBER(AD56)),AD55-AD56,"")</f>
        <v>0.0148739495798318</v>
      </c>
      <c r="AE57" s="30" t="n">
        <f aca="false">IF(AND(ISNUMBER(AE55),ISNUMBER(AE56)),AE55-AE56,"")</f>
        <v>0.00422475856014043</v>
      </c>
      <c r="AF57" s="30" t="str">
        <f aca="false">IF(AND(ISNUMBER(AF55),ISNUMBER(AF56)),AF55-AF56,"")</f>
        <v/>
      </c>
      <c r="AG57" s="30" t="n">
        <f aca="false">IF(AND(ISNUMBER(AG55),ISNUMBER(AG56)),AG55-AG56,"")</f>
        <v>-0.00385515104570103</v>
      </c>
      <c r="AH57" s="30" t="n">
        <f aca="false">IF(AND(ISNUMBER(AH55),ISNUMBER(AH56)),AH55-AH56,"")</f>
        <v>-0.0324791929382093</v>
      </c>
      <c r="AI57" s="30" t="str">
        <f aca="false">IF(AND(ISNUMBER(AI55),ISNUMBER(AI56)),AI55-AI56,"")</f>
        <v/>
      </c>
      <c r="AJ57" s="30" t="n">
        <f aca="false">IF(AND(ISNUMBER(AJ55),ISNUMBER(AJ56)),AJ55-AJ56,"")</f>
        <v>-0.00941984382177302</v>
      </c>
      <c r="AK57" s="30" t="n">
        <f aca="false">IF(AND(ISNUMBER(AK55),ISNUMBER(AK56)),AK55-AK56,"")</f>
        <v>0.0184224924012159</v>
      </c>
      <c r="AL57" s="30" t="str">
        <f aca="false">IF(AND(ISNUMBER(AL55),ISNUMBER(AL56)),AL55-AL56,"")</f>
        <v/>
      </c>
      <c r="AM57" s="30" t="n">
        <f aca="false">IF(AND(ISNUMBER(AM55),ISNUMBER(AM56)),AM55-AM56,"")</f>
        <v>0.020774193548387</v>
      </c>
      <c r="AN57" s="30" t="n">
        <f aca="false">IF(AND(ISNUMBER(AN55),ISNUMBER(AN56)),AN55-AN56,"")</f>
        <v>-0.0136027397260273</v>
      </c>
      <c r="AO57" s="30" t="str">
        <f aca="false">IF(AND(ISNUMBER(AO55),ISNUMBER(AO56)),AO55-AO56,"")</f>
        <v/>
      </c>
      <c r="AP57" s="30" t="n">
        <f aca="false">IF(AND(ISNUMBER(AP55),ISNUMBER(AP56)),AP55-AP56,"")</f>
        <v>-0.029124183006536</v>
      </c>
      <c r="AQ57" s="30" t="n">
        <f aca="false">IF(AND(ISNUMBER(AQ55),ISNUMBER(AQ56)),AQ55-AQ56,"")</f>
        <v>-0.0193333333333334</v>
      </c>
      <c r="AR57" s="30" t="str">
        <f aca="false">IF(AND(ISNUMBER(AR55),ISNUMBER(AR56)),AR55-AR56,"")</f>
        <v/>
      </c>
      <c r="AS57" s="30" t="n">
        <f aca="false">IF(AND(ISNUMBER(AS55),ISNUMBER(AS56)),AS55-AS56,"")</f>
        <v>-0.0103226837060702</v>
      </c>
      <c r="AT57" s="30" t="n">
        <f aca="false">IF(AND(ISNUMBER(AT55),ISNUMBER(AT56)),AT55-AT56,"")</f>
        <v>-0.00493630573248409</v>
      </c>
      <c r="AU57" s="30" t="str">
        <f aca="false">IF(AND(ISNUMBER(AU55),ISNUMBER(AU56)),AU55-AU56,"")</f>
        <v/>
      </c>
      <c r="AV57" s="30" t="n">
        <f aca="false">IF(AND(ISNUMBER(AV55),ISNUMBER(AV56)),AV55-AV56,"")</f>
        <v>-0.0193916913946589</v>
      </c>
      <c r="AW57" s="30" t="n">
        <f aca="false">IF(AND(ISNUMBER(AW55),ISNUMBER(AW56)),AW55-AW56,"")</f>
        <v>-0.028</v>
      </c>
      <c r="AX57" s="28" t="n">
        <f aca="false">AX64</f>
        <v>-0.03</v>
      </c>
      <c r="AY57" s="28" t="n">
        <f aca="false">AY55-AY56</f>
        <v>-0.0290372492836677</v>
      </c>
      <c r="AZ57" s="28" t="n">
        <f aca="false">AZ64</f>
        <v>0</v>
      </c>
      <c r="BA57" s="28" t="n">
        <f aca="false">BA64</f>
        <v>0</v>
      </c>
      <c r="BB57" s="28" t="n">
        <f aca="false">BB64</f>
        <v>0</v>
      </c>
      <c r="BC57" s="28" t="n">
        <f aca="false">BC64</f>
        <v>0</v>
      </c>
      <c r="BD57" s="23"/>
      <c r="BF57" s="7"/>
      <c r="BG57" s="7"/>
      <c r="BH57" s="7"/>
      <c r="BI57" s="7"/>
      <c r="BL57" s="13" t="s">
        <v>80</v>
      </c>
      <c r="BM57" s="35" t="n">
        <f aca="false">BN57+$BM$54</f>
        <v>0.06</v>
      </c>
      <c r="BN57" s="29" t="n">
        <v>0.04</v>
      </c>
      <c r="BO57" s="35" t="n">
        <f aca="false">BN57+$BO$54</f>
        <v>0.01</v>
      </c>
    </row>
    <row r="58" customFormat="false" ht="15" hidden="false" customHeight="true" outlineLevel="0" collapsed="false">
      <c r="B58" s="26" t="s">
        <v>70</v>
      </c>
      <c r="C58" s="30" t="str">
        <f aca="false">IF(AND(ISNUMBER(C54),ISNUMBER(C61)),IFERROR(C54/C61,""),"")</f>
        <v/>
      </c>
      <c r="D58" s="30" t="str">
        <f aca="false">IF(AND(ISNUMBER(D54),ISNUMBER(D61)),IFERROR(D54/D61,""),"")</f>
        <v/>
      </c>
      <c r="E58" s="30" t="str">
        <f aca="false">IF(AND(ISNUMBER(E54),ISNUMBER(E61)),IFERROR(E54/E61,""),"")</f>
        <v/>
      </c>
      <c r="F58" s="30" t="n">
        <f aca="false">IF(AND(ISNUMBER(F54),ISNUMBER(F61)),IFERROR(F54/F61,""),"")</f>
        <v>0.0370950888192268</v>
      </c>
      <c r="G58" s="30" t="n">
        <f aca="false">IF(AND(ISNUMBER(G54),ISNUMBER(G61)),IFERROR(G54/G61,""),"")</f>
        <v>0.0358034970857619</v>
      </c>
      <c r="H58" s="30" t="n">
        <f aca="false">IF(AND(ISNUMBER(H54),ISNUMBER(H61)),IFERROR(H54/H61,""),"")</f>
        <v>0.0397607318789585</v>
      </c>
      <c r="I58" s="30" t="n">
        <f aca="false">IF(AND(ISNUMBER(I54),ISNUMBER(I61)),IFERROR(I54/I61,""),"")</f>
        <v>0.0387176396303312</v>
      </c>
      <c r="J58" s="30" t="n">
        <f aca="false">IF(AND(ISNUMBER(J54),ISNUMBER(J61)),IFERROR(J54/J61,""),"")</f>
        <v>0.0479316394092015</v>
      </c>
      <c r="K58" s="30" t="n">
        <f aca="false">IF(AND(ISNUMBER(K54),ISNUMBER(K61)),IFERROR(K54/K61,""),"")</f>
        <v>0.0427105342589798</v>
      </c>
      <c r="L58" s="30" t="n">
        <f aca="false">IF(AND(ISNUMBER(L54),ISNUMBER(L61)),IFERROR(L54/L61,""),"")</f>
        <v>0.0451676476071267</v>
      </c>
      <c r="M58" s="30" t="n">
        <f aca="false">IF(AND(ISNUMBER(M54),ISNUMBER(M61)),IFERROR(M54/M61,""),"")</f>
        <v>0.0541716922754208</v>
      </c>
      <c r="N58" s="30" t="n">
        <f aca="false">IF(AND(ISNUMBER(N54),ISNUMBER(N61)),IFERROR(N54/N61,""),"")</f>
        <v>0.044083736492291</v>
      </c>
      <c r="O58" s="30" t="n">
        <f aca="false">IF(AND(ISNUMBER(O54),ISNUMBER(O61)),IFERROR(O54/O61,""),"")</f>
        <v>0.04875443111737</v>
      </c>
      <c r="P58" s="30" t="n">
        <f aca="false">IF(AND(ISNUMBER(P54),ISNUMBER(P61)),IFERROR(P54/P61,""),"")</f>
        <v>0.0422284074106289</v>
      </c>
      <c r="Q58" s="30" t="n">
        <f aca="false">IF(AND(ISNUMBER(Q54),ISNUMBER(Q61)),IFERROR(Q54/Q61,""),"")</f>
        <v>0.0438289333910375</v>
      </c>
      <c r="R58" s="30" t="n">
        <f aca="false">IF(AND(ISNUMBER(R54),ISNUMBER(R61)),IFERROR(R54/R61,""),"")</f>
        <v>0.0430687240503192</v>
      </c>
      <c r="S58" s="30" t="n">
        <f aca="false">IF(AND(ISNUMBER(S54),ISNUMBER(S61)),IFERROR(S54/S61,""),"")</f>
        <v>0.0458084077685815</v>
      </c>
      <c r="T58" s="30" t="n">
        <f aca="false">IF(AND(ISNUMBER(T54),ISNUMBER(T61)),IFERROR(T54/T61,""),"")</f>
        <v>0.0421856894553882</v>
      </c>
      <c r="U58" s="30" t="n">
        <f aca="false">IF(AND(ISNUMBER(U54),ISNUMBER(U61)),IFERROR(U54/U61,""),"")</f>
        <v>0.0438852793049095</v>
      </c>
      <c r="V58" s="30" t="n">
        <f aca="false">IF(AND(ISNUMBER(V54),ISNUMBER(V61)),IFERROR(V54/V61,""),"")</f>
        <v>0.0375585124027865</v>
      </c>
      <c r="W58" s="30" t="n">
        <f aca="false">IF(AND(ISNUMBER(W54),ISNUMBER(W61)),IFERROR(W54/W61,""),"")</f>
        <v>0.0428420310296192</v>
      </c>
      <c r="X58" s="30" t="n">
        <f aca="false">IF(AND(ISNUMBER(X54),ISNUMBER(X61)),IFERROR(X54/X61,""),"")</f>
        <v>0.0402587807031771</v>
      </c>
      <c r="Y58" s="30" t="n">
        <f aca="false">IF(AND(ISNUMBER(Y54),ISNUMBER(Y61)),IFERROR(Y54/Y61,""),"")</f>
        <v>0.0384790608025232</v>
      </c>
      <c r="Z58" s="30" t="n">
        <f aca="false">IF(AND(ISNUMBER(Z54),ISNUMBER(Z61)),IFERROR(Z54/Z61,""),"")</f>
        <v>0.0411874317291011</v>
      </c>
      <c r="AA58" s="30" t="n">
        <f aca="false">IF(AND(ISNUMBER(AA54),ISNUMBER(AA61)),IFERROR(AA54/AA61,""),"")</f>
        <v>0.0398920567875161</v>
      </c>
      <c r="AB58" s="30" t="n">
        <f aca="false">IF(AND(ISNUMBER(AB54),ISNUMBER(AB61)),IFERROR(AB54/AB61,""),"")</f>
        <v>0.034680144931949</v>
      </c>
      <c r="AC58" s="30" t="n">
        <f aca="false">IF(AND(ISNUMBER(AC54),ISNUMBER(AC61)),IFERROR(AC54/AC61,""),"")</f>
        <v>0.0400933566725015</v>
      </c>
      <c r="AD58" s="30" t="n">
        <f aca="false">IF(AND(ISNUMBER(AD54),ISNUMBER(AD61)),IFERROR(AD54/AD61,""),"")</f>
        <v>0.0375105325856408</v>
      </c>
      <c r="AE58" s="30" t="n">
        <f aca="false">IF(AND(ISNUMBER(AE54),ISNUMBER(AE61)),IFERROR(AE54/AE61,""),"")</f>
        <v>0.0318742714739338</v>
      </c>
      <c r="AF58" s="30" t="n">
        <f aca="false">IF(AND(ISNUMBER(AF54),ISNUMBER(AF61)),IFERROR(AF54/AF61,""),"")</f>
        <v>0.0354726266147222</v>
      </c>
      <c r="AG58" s="30" t="n">
        <f aca="false">IF(AND(ISNUMBER(AG54),ISNUMBER(AG61)),IFERROR(AG54/AG61,""),"")</f>
        <v>0.0340715235933954</v>
      </c>
      <c r="AH58" s="30" t="n">
        <f aca="false">IF(AND(ISNUMBER(AH54),ISNUMBER(AH61)),IFERROR(AH54/AH61,""),"")</f>
        <v>0.031073646431017</v>
      </c>
      <c r="AI58" s="30" t="n">
        <f aca="false">IF(AND(ISNUMBER(AI54),ISNUMBER(AI61)),IFERROR(AI54/AI61,""),"")</f>
        <v>0.031058387239512</v>
      </c>
      <c r="AJ58" s="30" t="n">
        <f aca="false">IF(AND(ISNUMBER(AJ54),ISNUMBER(AJ61)),IFERROR(AJ54/AJ61,""),"")</f>
        <v>0.0310655828972275</v>
      </c>
      <c r="AK58" s="30" t="n">
        <f aca="false">IF(AND(ISNUMBER(AK54),ISNUMBER(AK61)),IFERROR(AK54/AK61,""),"")</f>
        <v>0.0266715381804896</v>
      </c>
      <c r="AL58" s="30" t="n">
        <f aca="false">IF(AND(ISNUMBER(AL54),ISNUMBER(AL61)),IFERROR(AL54/AL61,""),"")</f>
        <v>0.0261139219846581</v>
      </c>
      <c r="AM58" s="30" t="n">
        <f aca="false">IF(AND(ISNUMBER(AM54),ISNUMBER(AM61)),IFERROR(AM54/AM61,""),"")</f>
        <v>0.0263770364623739</v>
      </c>
      <c r="AN58" s="30" t="n">
        <f aca="false">IF(AND(ISNUMBER(AN54),ISNUMBER(AN61)),IFERROR(AN54/AN61,""),"")</f>
        <v>0.0223947446999104</v>
      </c>
      <c r="AO58" s="30" t="n">
        <f aca="false">IF(AND(ISNUMBER(AO54),ISNUMBER(AO61)),IFERROR(AO54/AO61,""),"")</f>
        <v>0.0242235101798187</v>
      </c>
      <c r="AP58" s="30" t="n">
        <f aca="false">IF(AND(ISNUMBER(AP54),ISNUMBER(AP61)),IFERROR(AP54/AP61,""),"")</f>
        <v>0.0233112385491919</v>
      </c>
      <c r="AQ58" s="30" t="n">
        <f aca="false">IF(AND(ISNUMBER(AQ54),ISNUMBER(AQ61)),IFERROR(AQ54/AQ61,""),"")</f>
        <v>0.0209221748400853</v>
      </c>
      <c r="AR58" s="30" t="n">
        <f aca="false">IF(AND(ISNUMBER(AR54),ISNUMBER(AR61)),IFERROR(AR54/AR61,""),"")</f>
        <v>0.0234803026350117</v>
      </c>
      <c r="AS58" s="30" t="n">
        <f aca="false">IF(AND(ISNUMBER(AS54),ISNUMBER(AS61)),IFERROR(AS54/AS61,""),"")</f>
        <v>0.0222148978246539</v>
      </c>
      <c r="AT58" s="30" t="n">
        <f aca="false">IF(AND(ISNUMBER(AT54),ISNUMBER(AT61)),IFERROR(AT54/AT61,""),"")</f>
        <v>0.0209137308602017</v>
      </c>
      <c r="AU58" s="30" t="n">
        <f aca="false">IF(AND(ISNUMBER(AU54),ISNUMBER(AU61)),IFERROR(AU54/AU61,""),"")</f>
        <v>0.0227158634538153</v>
      </c>
      <c r="AV58" s="30" t="n">
        <f aca="false">IF(AND(ISNUMBER(AV54),ISNUMBER(AV61)),IFERROR(AV54/AV61,""),"")</f>
        <v>0.0218111368039498</v>
      </c>
      <c r="AW58" s="30" t="n">
        <f aca="false">IF(AND(ISNUMBER(AW54),ISNUMBER(AW61)),IFERROR(AW54/AW61,""),"")</f>
        <v>0.0205806688717383</v>
      </c>
      <c r="AX58" s="28" t="n">
        <f aca="false">IF(AND(ISNUMBER(AX54),ISNUMBER(AX61)),IFERROR(AX54/AX61,""),"")</f>
        <v>0.0219553881069725</v>
      </c>
      <c r="AY58" s="28" t="n">
        <f aca="false">IF(AND(ISNUMBER(AY54),ISNUMBER(AY61)),IFERROR(AY54/AY61,""),"")</f>
        <v>0.0212714215099784</v>
      </c>
      <c r="AZ58" s="28" t="n">
        <f aca="false">IF(AND(ISNUMBER(AZ54),ISNUMBER(AZ61)),IFERROR(AZ54/AZ61,""),"")</f>
        <v>0.0205919138136953</v>
      </c>
      <c r="BA58" s="28" t="n">
        <f aca="false">IF(AND(ISNUMBER(BA54),ISNUMBER(BA61)),IFERROR(BA54/BA61,""),"")</f>
        <v>0.0199237656007769</v>
      </c>
      <c r="BB58" s="28" t="n">
        <f aca="false">IF(AND(ISNUMBER(BB54),ISNUMBER(BB61)),IFERROR(BB54/BB61,""),"")</f>
        <v>0.0193316689139789</v>
      </c>
      <c r="BC58" s="28" t="n">
        <f aca="false">IF(AND(ISNUMBER(BC54),ISNUMBER(BC61)),IFERROR(BC54/BC61,""),"")</f>
        <v>0.0188349273224559</v>
      </c>
      <c r="BD58" s="23"/>
      <c r="BF58" s="32" t="n">
        <f aca="false">IFERROR(AVERAGE(AY58,AZ58,BA58,BB58,BC58),"n/m")</f>
        <v>0.0199907394321771</v>
      </c>
      <c r="BG58" s="32" t="n">
        <f aca="false">IFERROR(AVERAGE(AJ58,AM58,AP58,AS58,AV58),"n/m")</f>
        <v>0.0249559785074794</v>
      </c>
      <c r="BH58" s="32" t="n">
        <f aca="false">IFERROR(AVERAGE(U58,X58,AA58,AD58,AG58,AJ58,AM58,AP58,AS58,AV58),"n/m")</f>
        <v>0.0320398065512036</v>
      </c>
      <c r="BI58" s="32" t="n">
        <f aca="false">IFERROR(AVERAGE(C58,D58,E58,F58,G58,H58,I58,L58,O58,R58,U58,X58,AA58,AD58,AG58,AJ58,AM58,AP58,AS58,AV58),"n/m")</f>
        <v>0.0358097544530077</v>
      </c>
      <c r="BL58" s="13" t="s">
        <v>81</v>
      </c>
      <c r="BM58" s="35" t="n">
        <f aca="false">BN58+$BM$54</f>
        <v>0.06</v>
      </c>
      <c r="BN58" s="29" t="n">
        <v>0.04</v>
      </c>
      <c r="BO58" s="35" t="n">
        <f aca="false">BN58+$BO$54</f>
        <v>0.01</v>
      </c>
    </row>
    <row r="59" customFormat="false" ht="15" hidden="false" customHeight="true" outlineLevel="0" collapsed="false">
      <c r="B59" s="13"/>
      <c r="AX59" s="7"/>
      <c r="AY59" s="7"/>
      <c r="AZ59" s="7"/>
      <c r="BA59" s="7"/>
      <c r="BB59" s="7"/>
      <c r="BC59" s="7"/>
      <c r="BD59" s="7"/>
      <c r="BL59" s="13" t="s">
        <v>82</v>
      </c>
      <c r="BM59" s="35" t="n">
        <f aca="false">BN59+$BM$54</f>
        <v>0.06</v>
      </c>
      <c r="BN59" s="29" t="n">
        <v>0.04</v>
      </c>
      <c r="BO59" s="35" t="n">
        <f aca="false">BN59+$BO$54</f>
        <v>0.01</v>
      </c>
    </row>
    <row r="60" customFormat="false" ht="15" hidden="false" customHeight="true" outlineLevel="0" collapsed="false">
      <c r="B60" s="17" t="s">
        <v>112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8" t="s">
        <v>113</v>
      </c>
      <c r="BL60" s="18" t="s">
        <v>114</v>
      </c>
      <c r="BM60" s="34" t="n">
        <v>0.005</v>
      </c>
      <c r="BN60" s="25" t="s">
        <v>75</v>
      </c>
      <c r="BO60" s="34" t="n">
        <v>-0.01</v>
      </c>
      <c r="BP60" s="16" t="s">
        <v>115</v>
      </c>
    </row>
    <row r="61" customFormat="false" ht="15" hidden="false" customHeight="true" outlineLevel="0" collapsed="false">
      <c r="B61" s="40" t="s">
        <v>116</v>
      </c>
      <c r="C61" s="41" t="str">
        <f aca="false">IF(ISNUMBER(C11),N(C11)+N(C18)+N(C25)+N(C32)+N(C40)+N(C47)+N(C54),"")</f>
        <v/>
      </c>
      <c r="D61" s="41" t="str">
        <f aca="false">IF(ISNUMBER(D11),N(D11)+N(D18)+N(D25)+N(D32)+N(D40)+N(D47)+N(D54),"")</f>
        <v/>
      </c>
      <c r="E61" s="41" t="str">
        <f aca="false">IF(ISNUMBER(E11),N(E11)+N(E18)+N(E25)+N(E32)+N(E40)+N(E47)+N(E54),"")</f>
        <v/>
      </c>
      <c r="F61" s="41" t="n">
        <f aca="false">IF(ISNUMBER(F11),N(F11)+N(F18)+N(F25)+N(F32)+N(F40)+N(F47)+N(F54),"")</f>
        <v>1914</v>
      </c>
      <c r="G61" s="41" t="n">
        <f aca="false">IF(ISNUMBER(G11),N(G11)+N(G18)+N(G25)+N(G32)+N(G40)+N(G47)+N(G54),"")</f>
        <v>2402</v>
      </c>
      <c r="H61" s="41" t="n">
        <f aca="false">IF(ISNUMBER(H11),N(H11)+N(H18)+N(H25)+N(H32)+N(H40)+N(H47)+N(H54),"")</f>
        <v>2842</v>
      </c>
      <c r="I61" s="41" t="n">
        <f aca="false">IF(ISNUMBER(I11),N(I11)+N(I18)+N(I25)+N(I32)+N(I40)+N(I47)+N(I54),"")</f>
        <v>3484.2</v>
      </c>
      <c r="J61" s="41" t="n">
        <f aca="false">IF(ISNUMBER(J11),N(J11)+N(J18)+N(J25)+N(J32)+N(J40)+N(J47)+N(J54),"")</f>
        <v>1767.1</v>
      </c>
      <c r="K61" s="41" t="n">
        <f aca="false">IF(ISNUMBER(K11),N(K11)+N(K18)+N(K25)+N(K32)+N(K40)+N(K47)+N(K54),"")</f>
        <v>1987.8</v>
      </c>
      <c r="L61" s="41" t="n">
        <f aca="false">IF(ISNUMBER(L11),N(L11)+N(L18)+N(L25)+N(L32)+N(L40)+N(L47)+N(L54),"")</f>
        <v>3754.9</v>
      </c>
      <c r="M61" s="41" t="n">
        <f aca="false">IF(ISNUMBER(M11),N(M11)+N(M18)+N(M25)+N(M32)+N(M40)+N(M47)+N(M54),"")</f>
        <v>1906.9</v>
      </c>
      <c r="N61" s="41" t="n">
        <f aca="false">IF(ISNUMBER(N11),N(N11)+N(N18)+N(N25)+N(N32)+N(N40)+N(N47)+N(N54),"")</f>
        <v>2211.7</v>
      </c>
      <c r="O61" s="41" t="n">
        <f aca="false">IF(ISNUMBER(O11),N(O11)+N(O18)+N(O25)+N(O32)+N(O40)+N(O47)+N(O54),"")</f>
        <v>4118.6</v>
      </c>
      <c r="P61" s="41" t="n">
        <f aca="false">IF(ISNUMBER(P11),N(P11)+N(P18)+N(P25)+N(P32)+N(P40)+N(P47)+N(P54),"")</f>
        <v>2299.4</v>
      </c>
      <c r="Q61" s="41" t="n">
        <f aca="false">IF(ISNUMBER(Q11),N(Q11)+N(Q18)+N(Q25)+N(Q32)+N(Q40)+N(Q47)+N(Q54),"")</f>
        <v>2541.7</v>
      </c>
      <c r="R61" s="41" t="n">
        <f aca="false">IF(ISNUMBER(R11),N(R11)+N(R18)+N(R25)+N(R32)+N(R40)+N(R47)+N(R54),"")</f>
        <v>4841.1</v>
      </c>
      <c r="S61" s="41" t="n">
        <f aca="false">IF(ISNUMBER(S11),N(S11)+N(S18)+N(S25)+N(S32)+N(S40)+N(S47)+N(S54),"")</f>
        <v>2440.6</v>
      </c>
      <c r="T61" s="41" t="n">
        <f aca="false">IF(ISNUMBER(T11),N(T11)+N(T18)+N(T25)+N(T32)+N(T40)+N(T47)+N(T54),"")</f>
        <v>2761.6</v>
      </c>
      <c r="U61" s="41" t="n">
        <f aca="false">IF(ISNUMBER(U11),N(U11)+N(U18)+N(U25)+N(U32)+N(U40)+N(U47)+N(U54),"")</f>
        <v>5202.2</v>
      </c>
      <c r="V61" s="41" t="n">
        <f aca="false">IF(ISNUMBER(V11),N(V11)+N(V18)+N(V25)+N(V32)+N(V40)+N(V47)+N(V54),"")</f>
        <v>2713.1</v>
      </c>
      <c r="W61" s="41" t="n">
        <f aca="false">IF(ISNUMBER(W11),N(W11)+N(W18)+N(W25)+N(W32)+N(W40)+N(W47)+N(W54),"")</f>
        <v>2836</v>
      </c>
      <c r="X61" s="41" t="n">
        <f aca="false">IF(ISNUMBER(X11),N(X11)+N(X18)+N(X25)+N(X32)+N(X40)+N(X47)+N(X54),"")</f>
        <v>5549.1</v>
      </c>
      <c r="Y61" s="41" t="n">
        <f aca="false">IF(ISNUMBER(Y11),N(Y11)+N(Y18)+N(Y25)+N(Y32)+N(Y40)+N(Y47)+N(Y54),"")</f>
        <v>2853.5</v>
      </c>
      <c r="Z61" s="41" t="n">
        <f aca="false">IF(ISNUMBER(Z11),N(Z11)+N(Z18)+N(Z25)+N(Z32)+N(Z40)+N(Z47)+N(Z54),"")</f>
        <v>3112.6</v>
      </c>
      <c r="AA61" s="41" t="n">
        <f aca="false">IF(ISNUMBER(AA11),N(AA11)+N(AA18)+N(AA25)+N(AA32)+N(AA40)+N(AA47)+N(AA54),"")</f>
        <v>5966.1</v>
      </c>
      <c r="AB61" s="41" t="n">
        <f aca="false">IF(ISNUMBER(AB11),N(AB11)+N(AB18)+N(AB25)+N(AB32)+N(AB40)+N(AB47)+N(AB54),"")</f>
        <v>3284.3</v>
      </c>
      <c r="AC61" s="41" t="n">
        <f aca="false">IF(ISNUMBER(AC11),N(AC11)+N(AC18)+N(AC25)+N(AC32)+N(AC40)+N(AC47)+N(AC54),"")</f>
        <v>3599.1</v>
      </c>
      <c r="AD61" s="41" t="n">
        <f aca="false">IF(ISNUMBER(AD11),N(AD11)+N(AD18)+N(AD25)+N(AD32)+N(AD40)+N(AD47)+N(AD54),"")</f>
        <v>6883.4</v>
      </c>
      <c r="AE61" s="41" t="n">
        <f aca="false">IF(ISNUMBER(AE11),N(AE11)+N(AE18)+N(AE25)+N(AE32)+N(AE40)+N(AE47)+N(AE54),"")</f>
        <v>2487.9</v>
      </c>
      <c r="AF61" s="41" t="n">
        <f aca="false">IF(ISNUMBER(AF11),N(AF11)+N(AF18)+N(AF25)+N(AF32)+N(AF40)+N(AF47)+N(AF54),"")</f>
        <v>3901.6</v>
      </c>
      <c r="AG61" s="41" t="n">
        <f aca="false">IF(ISNUMBER(AG11),N(AG11)+N(AG18)+N(AG25)+N(AG32)+N(AG40)+N(AG47)+N(AG54),"")</f>
        <v>6389.5</v>
      </c>
      <c r="AH61" s="41" t="n">
        <f aca="false">IF(ISNUMBER(AH11),N(AH11)+N(AH18)+N(AH25)+N(AH32)+N(AH40)+N(AH47)+N(AH54),"")</f>
        <v>4235.1</v>
      </c>
      <c r="AI61" s="41" t="n">
        <f aca="false">IF(ISNUMBER(AI11),N(AI11)+N(AI18)+N(AI25)+N(AI32)+N(AI40)+N(AI47)+N(AI54),"")</f>
        <v>4745.9</v>
      </c>
      <c r="AJ61" s="41" t="n">
        <f aca="false">IF(ISNUMBER(AJ11),N(AJ11)+N(AJ18)+N(AJ25)+N(AJ32)+N(AJ40)+N(AJ47)+N(AJ54),"")</f>
        <v>8981</v>
      </c>
      <c r="AK61" s="41" t="n">
        <f aca="false">IF(ISNUMBER(AK11),N(AK11)+N(AK18)+N(AK25)+N(AK32)+N(AK40)+N(AK47)+N(AK54),"")</f>
        <v>5474</v>
      </c>
      <c r="AL61" s="41" t="n">
        <f aca="false">IF(ISNUMBER(AL11),N(AL11)+N(AL18)+N(AL25)+N(AL32)+N(AL40)+N(AL47)+N(AL54),"")</f>
        <v>6127</v>
      </c>
      <c r="AM61" s="41" t="n">
        <f aca="false">IF(ISNUMBER(AM11),N(AM11)+N(AM18)+N(AM25)+N(AM32)+N(AM40)+N(AM47)+N(AM54),"")</f>
        <v>11601</v>
      </c>
      <c r="AN61" s="41" t="n">
        <f aca="false">IF(ISNUMBER(AN11),N(AN11)+N(AN18)+N(AN25)+N(AN32)+N(AN40)+N(AN47)+N(AN54),"")</f>
        <v>6698</v>
      </c>
      <c r="AO61" s="41" t="n">
        <f aca="false">IF(ISNUMBER(AO11),N(AO11)+N(AO18)+N(AO25)+N(AO32)+N(AO40)+N(AO47)+N(AO54),"")</f>
        <v>6729</v>
      </c>
      <c r="AP61" s="41" t="n">
        <f aca="false">IF(ISNUMBER(AP11),N(AP11)+N(AP18)+N(AP25)+N(AP32)+N(AP40)+N(AP47)+N(AP54),"")</f>
        <v>13427</v>
      </c>
      <c r="AQ61" s="41" t="n">
        <f aca="false">IF(ISNUMBER(AQ11),N(AQ11)+N(AQ18)+N(AQ25)+N(AQ32)+N(AQ40)+N(AQ47)+N(AQ54),"")</f>
        <v>7504</v>
      </c>
      <c r="AR61" s="41" t="n">
        <f aca="false">IF(ISNUMBER(AR11),N(AR11)+N(AR18)+N(AR25)+N(AR32)+N(AR40)+N(AR47)+N(AR54),"")</f>
        <v>7666</v>
      </c>
      <c r="AS61" s="41" t="n">
        <f aca="false">IF(ISNUMBER(AS11),N(AS11)+N(AS18)+N(AS25)+N(AS32)+N(AS40)+N(AS47)+N(AS54),"")</f>
        <v>15170</v>
      </c>
      <c r="AT61" s="41" t="n">
        <f aca="false">IF(ISNUMBER(AT11),N(AT11)+N(AT18)+N(AT25)+N(AT32)+N(AT40)+N(AT47)+N(AT54),"")</f>
        <v>8033</v>
      </c>
      <c r="AU61" s="41" t="n">
        <f aca="false">IF(ISNUMBER(AU11),N(AU11)+N(AU18)+N(AU25)+N(AU32)+N(AU40)+N(AU47)+N(AU54),"")</f>
        <v>7968</v>
      </c>
      <c r="AV61" s="41" t="n">
        <f aca="false">IF(ISNUMBER(AV11),N(AV11)+N(AV18)+N(AV25)+N(AV32)+N(AV40)+N(AV47)+N(AV54),"")</f>
        <v>16001</v>
      </c>
      <c r="AW61" s="41" t="n">
        <f aca="false">IF(ISNUMBER(AW11),N(AW11)+N(AW18)+N(AW25)+N(AW32)+N(AW40)+N(AW47)+N(AW54),"")</f>
        <v>8163</v>
      </c>
      <c r="AX61" s="41" t="n">
        <f aca="false">AX11+AX18+AX25+AX32+AX40+AX47+AX54</f>
        <v>8243.99</v>
      </c>
      <c r="AY61" s="41" t="n">
        <f aca="false">AY11+AY18+AY25+AY32+AY40+AY47+AY54</f>
        <v>16406.99</v>
      </c>
      <c r="AZ61" s="41" t="n">
        <f aca="false">AZ11+AZ18+AZ25+AZ32+AZ40+AZ47+AZ54</f>
        <v>17626.3364</v>
      </c>
      <c r="BA61" s="41" t="n">
        <f aca="false">BA11+BA18+BA25+BA32+BA40+BA47+BA54</f>
        <v>18946.13737</v>
      </c>
      <c r="BB61" s="41" t="n">
        <f aca="false">BB11+BB18+BB25+BB32+BB40+BB47+BB54</f>
        <v>20307.48290522</v>
      </c>
      <c r="BC61" s="41" t="n">
        <f aca="false">BC11+BC18+BC25+BC32+BC40+BC47+BC54</f>
        <v>21676.7832681376</v>
      </c>
      <c r="BD61" s="23" t="s">
        <v>117</v>
      </c>
      <c r="BF61" s="24" t="n">
        <f aca="false">IFERROR((BC61/AV61)^(1/5)-1,"n/m")</f>
        <v>0.0625993405212946</v>
      </c>
      <c r="BG61" s="24" t="n">
        <f aca="false">IFERROR((AV61/AG61)^(1/5)-1,"n/m")</f>
        <v>0.201533959975863</v>
      </c>
      <c r="BH61" s="24" t="n">
        <f aca="false">IFERROR((AV61/R61)^(1/10)-1,"n/m")</f>
        <v>0.126990634902996</v>
      </c>
      <c r="BI61" s="24" t="str">
        <f aca="false">IFERROR((AV61/C61)^(1/19)-1,"n/m")</f>
        <v>n/m</v>
      </c>
      <c r="BL61" s="13" t="s">
        <v>77</v>
      </c>
      <c r="BM61" s="35" t="n">
        <f aca="false">BN61+$BM$60</f>
        <v>0.718</v>
      </c>
      <c r="BN61" s="29" t="n">
        <v>0.713</v>
      </c>
      <c r="BO61" s="35" t="n">
        <f aca="false">BN61+$BO$60</f>
        <v>0.703</v>
      </c>
    </row>
    <row r="62" customFormat="false" ht="15" hidden="false" customHeight="true" outlineLevel="0" collapsed="false">
      <c r="B62" s="26" t="s">
        <v>60</v>
      </c>
      <c r="C62" s="27"/>
      <c r="D62" s="27" t="str">
        <f aca="false">IF(AND(ISNUMBER(D61),ISNUMBER(C61)),IFERROR(D61/C61-1,""),"")</f>
        <v/>
      </c>
      <c r="E62" s="27" t="str">
        <f aca="false">IF(AND(ISNUMBER(E61),ISNUMBER(D61)),IFERROR(E61/D61-1,""),"")</f>
        <v/>
      </c>
      <c r="F62" s="27" t="str">
        <f aca="false">IF(AND(ISNUMBER(F61),ISNUMBER(E61)),IFERROR(F61/E61-1,""),"")</f>
        <v/>
      </c>
      <c r="G62" s="27" t="n">
        <f aca="false">IF(AND(ISNUMBER(G61),ISNUMBER(F61)),IFERROR(G61/F61-1,""),"")</f>
        <v>0.254963427377221</v>
      </c>
      <c r="H62" s="27" t="n">
        <f aca="false">IF(AND(ISNUMBER(H61),ISNUMBER(G61)),IFERROR(H61/G61-1,""),"")</f>
        <v>0.183180682764363</v>
      </c>
      <c r="I62" s="27" t="n">
        <f aca="false">IF(AND(ISNUMBER(I61),ISNUMBER(H61)),IFERROR(I61/H61-1,""),"")</f>
        <v>0.225967628430682</v>
      </c>
      <c r="J62" s="27"/>
      <c r="K62" s="27"/>
      <c r="L62" s="27" t="n">
        <f aca="false">IF(AND(ISNUMBER(L61),ISNUMBER(I61)),IFERROR(L61/I61-1,""),"")</f>
        <v>0.0776935881981518</v>
      </c>
      <c r="M62" s="27" t="n">
        <f aca="false">IF(AND(ISNUMBER(M61),ISNUMBER(J61)),IFERROR(M61/J61-1,""),"")</f>
        <v>0.0791126704770528</v>
      </c>
      <c r="N62" s="27" t="n">
        <f aca="false">IF(AND(ISNUMBER(N61),ISNUMBER(K61)),IFERROR(N61/K61-1,""),"")</f>
        <v>0.112637086225978</v>
      </c>
      <c r="O62" s="27" t="n">
        <f aca="false">IF(AND(ISNUMBER(O61),ISNUMBER(L61)),IFERROR(O61/L61-1,""),"")</f>
        <v>0.0968601027990095</v>
      </c>
      <c r="P62" s="27" t="n">
        <f aca="false">IF(AND(ISNUMBER(P61),ISNUMBER(M61)),IFERROR(P61/M61-1,""),"")</f>
        <v>0.205831454192669</v>
      </c>
      <c r="Q62" s="27" t="n">
        <f aca="false">IF(AND(ISNUMBER(Q61),ISNUMBER(N61)),IFERROR(Q61/N61-1,""),"")</f>
        <v>0.149206492743139</v>
      </c>
      <c r="R62" s="27" t="n">
        <f aca="false">IF(AND(ISNUMBER(R61),ISNUMBER(O61)),IFERROR(R61/O61-1,""),"")</f>
        <v>0.175423687660855</v>
      </c>
      <c r="S62" s="27" t="n">
        <f aca="false">IF(AND(ISNUMBER(S61),ISNUMBER(P61)),IFERROR(S61/P61-1,""),"")</f>
        <v>0.0614073236496477</v>
      </c>
      <c r="T62" s="27" t="n">
        <f aca="false">IF(AND(ISNUMBER(T61),ISNUMBER(Q61)),IFERROR(T61/Q61-1,""),"")</f>
        <v>0.0865168981390407</v>
      </c>
      <c r="U62" s="27" t="n">
        <f aca="false">IF(AND(ISNUMBER(U61),ISNUMBER(R61)),IFERROR(U61/R61-1,""),"")</f>
        <v>0.0745904856334303</v>
      </c>
      <c r="V62" s="27" t="n">
        <f aca="false">IF(AND(ISNUMBER(V61),ISNUMBER(S61)),IFERROR(V61/S61-1,""),"")</f>
        <v>0.11165287224453</v>
      </c>
      <c r="W62" s="27" t="n">
        <f aca="false">IF(AND(ISNUMBER(W61),ISNUMBER(T61)),IFERROR(W61/T61-1,""),"")</f>
        <v>0.0269409038238702</v>
      </c>
      <c r="X62" s="27" t="n">
        <f aca="false">IF(AND(ISNUMBER(X61),ISNUMBER(U61)),IFERROR(X61/U61-1,""),"")</f>
        <v>0.0666833262850335</v>
      </c>
      <c r="Y62" s="27" t="n">
        <f aca="false">IF(AND(ISNUMBER(Y61),ISNUMBER(V61)),IFERROR(Y61/V61-1,""),"")</f>
        <v>0.0517489218974601</v>
      </c>
      <c r="Z62" s="27" t="n">
        <f aca="false">IF(AND(ISNUMBER(Z61),ISNUMBER(W61)),IFERROR(Z61/W61-1,""),"")</f>
        <v>0.0975317348377998</v>
      </c>
      <c r="AA62" s="27" t="n">
        <f aca="false">IF(AND(ISNUMBER(AA61),ISNUMBER(X61)),IFERROR(AA61/X61-1,""),"")</f>
        <v>0.0751473211872198</v>
      </c>
      <c r="AB62" s="27" t="n">
        <f aca="false">IF(AND(ISNUMBER(AB61),ISNUMBER(Y61)),IFERROR(AB61/Y61-1,""),"")</f>
        <v>0.150972489924654</v>
      </c>
      <c r="AC62" s="27" t="n">
        <f aca="false">IF(AND(ISNUMBER(AC61),ISNUMBER(Z61)),IFERROR(AC61/Z61-1,""),"")</f>
        <v>0.156300199190387</v>
      </c>
      <c r="AD62" s="27" t="n">
        <f aca="false">IF(AND(ISNUMBER(AD61),ISNUMBER(AA61)),IFERROR(AD61/AA61-1,""),"")</f>
        <v>0.153752032315918</v>
      </c>
      <c r="AE62" s="27" t="n">
        <f aca="false">IF(AND(ISNUMBER(AE61),ISNUMBER(AB61)),IFERROR(AE61/AB61-1,""),"")</f>
        <v>-0.242486983527692</v>
      </c>
      <c r="AF62" s="27" t="n">
        <f aca="false">IF(AND(ISNUMBER(AF61),ISNUMBER(AC61)),IFERROR(AF61/AC61-1,""),"")</f>
        <v>0.0840487899752718</v>
      </c>
      <c r="AG62" s="27" t="n">
        <f aca="false">IF(AND(ISNUMBER(AG61),ISNUMBER(AD61)),IFERROR(AG61/AD61-1,""),"")</f>
        <v>-0.0717523316965452</v>
      </c>
      <c r="AH62" s="27" t="n">
        <f aca="false">IF(AND(ISNUMBER(AH61),ISNUMBER(AE61)),IFERROR(AH61/AE61-1,""),"")</f>
        <v>0.702279030507657</v>
      </c>
      <c r="AI62" s="27" t="n">
        <f aca="false">IF(AND(ISNUMBER(AI61),ISNUMBER(AF61)),IFERROR(AI61/AF61-1,""),"")</f>
        <v>0.216398400656141</v>
      </c>
      <c r="AJ62" s="27" t="n">
        <f aca="false">IF(AND(ISNUMBER(AJ61),ISNUMBER(AG61)),IFERROR(AJ61/AG61-1,""),"")</f>
        <v>0.405587291650364</v>
      </c>
      <c r="AK62" s="27" t="n">
        <f aca="false">IF(AND(ISNUMBER(AK61),ISNUMBER(AH61)),IFERROR(AK61/AH61-1,""),"")</f>
        <v>0.292531463247621</v>
      </c>
      <c r="AL62" s="27" t="n">
        <f aca="false">IF(AND(ISNUMBER(AL61),ISNUMBER(AI61)),IFERROR(AL61/AI61-1,""),"")</f>
        <v>0.291009081522999</v>
      </c>
      <c r="AM62" s="27" t="n">
        <f aca="false">IF(AND(ISNUMBER(AM61),ISNUMBER(AJ61)),IFERROR(AM61/AJ61-1,""),"")</f>
        <v>0.291726979178265</v>
      </c>
      <c r="AN62" s="27" t="n">
        <f aca="false">IF(AND(ISNUMBER(AN61),ISNUMBER(AK61)),IFERROR(AN61/AK61-1,""),"")</f>
        <v>0.22360248447205</v>
      </c>
      <c r="AO62" s="27" t="n">
        <f aca="false">IF(AND(ISNUMBER(AO61),ISNUMBER(AL61)),IFERROR(AO61/AL61-1,""),"")</f>
        <v>0.098253631467276</v>
      </c>
      <c r="AP62" s="27" t="n">
        <f aca="false">IF(AND(ISNUMBER(AP61),ISNUMBER(AM61)),IFERROR(AP61/AM61-1,""),"")</f>
        <v>0.157400224118611</v>
      </c>
      <c r="AQ62" s="27" t="n">
        <f aca="false">IF(AND(ISNUMBER(AQ61),ISNUMBER(AN61)),IFERROR(AQ61/AN61-1,""),"")</f>
        <v>0.120334428187519</v>
      </c>
      <c r="AR62" s="27" t="n">
        <f aca="false">IF(AND(ISNUMBER(AR61),ISNUMBER(AO61)),IFERROR(AR61/AO61-1,""),"")</f>
        <v>0.139248030910982</v>
      </c>
      <c r="AS62" s="27" t="n">
        <f aca="false">IF(AND(ISNUMBER(AS61),ISNUMBER(AP61)),IFERROR(AS61/AP61-1,""),"")</f>
        <v>0.129813063230804</v>
      </c>
      <c r="AT62" s="27" t="n">
        <f aca="false">IF(AND(ISNUMBER(AT61),ISNUMBER(AQ61)),IFERROR(AT61/AQ61-1,""),"")</f>
        <v>0.0704957356076759</v>
      </c>
      <c r="AU62" s="27" t="n">
        <f aca="false">IF(AND(ISNUMBER(AU61),ISNUMBER(AR61)),IFERROR(AU61/AR61-1,""),"")</f>
        <v>0.0393947299765196</v>
      </c>
      <c r="AV62" s="27" t="n">
        <f aca="false">IF(AND(ISNUMBER(AV61),ISNUMBER(AS61)),IFERROR(AV61/AS61-1,""),"")</f>
        <v>0.0547791694133157</v>
      </c>
      <c r="AW62" s="27" t="n">
        <f aca="false">IF(AND(ISNUMBER(AW61),ISNUMBER(AT61)),IFERROR(AW61/AT61-1,""),"")</f>
        <v>0.0161832441180132</v>
      </c>
      <c r="AX62" s="28" t="n">
        <f aca="false">IF(AND(ISNUMBER(AX61),ISNUMBER(AU61)),IFERROR(AX61/AU61-1,""),"")</f>
        <v>0.0346372991967872</v>
      </c>
      <c r="AY62" s="28" t="n">
        <f aca="false">IF(AND(ISNUMBER(AY61),ISNUMBER(AV61)),IFERROR(AY61/AV61-1,""),"")</f>
        <v>0.025372789200675</v>
      </c>
      <c r="AZ62" s="28" t="n">
        <f aca="false">IF(AND(ISNUMBER(AZ61),ISNUMBER(AY61)),IFERROR(AZ61/AY61-1,""),"")</f>
        <v>0.074318714157807</v>
      </c>
      <c r="BA62" s="28" t="n">
        <f aca="false">IF(AND(ISNUMBER(BA61),ISNUMBER(AZ61)),IFERROR(BA61/AZ61-1,""),"")</f>
        <v>0.0748766470836222</v>
      </c>
      <c r="BB62" s="28" t="n">
        <f aca="false">IF(AND(ISNUMBER(BB61),ISNUMBER(BA61)),IFERROR(BB61/BA61-1,""),"")</f>
        <v>0.0718534606096335</v>
      </c>
      <c r="BC62" s="28" t="n">
        <f aca="false">IF(AND(ISNUMBER(BC61),ISNUMBER(BB61)),IFERROR(BC61/BB61-1,""),"")</f>
        <v>0.0674283646726905</v>
      </c>
      <c r="BD62" s="23"/>
      <c r="BF62" s="7"/>
      <c r="BG62" s="7"/>
      <c r="BH62" s="7"/>
      <c r="BI62" s="7"/>
      <c r="BL62" s="13" t="s">
        <v>79</v>
      </c>
      <c r="BM62" s="35" t="n">
        <f aca="false">BN62+$BM$60</f>
        <v>0.717</v>
      </c>
      <c r="BN62" s="29" t="n">
        <v>0.712</v>
      </c>
      <c r="BO62" s="35" t="n">
        <f aca="false">BN62+$BO$60</f>
        <v>0.702</v>
      </c>
    </row>
    <row r="63" customFormat="false" ht="15" hidden="false" customHeight="true" outlineLevel="0" collapsed="false">
      <c r="B63" s="26" t="s">
        <v>118</v>
      </c>
      <c r="C63" s="30"/>
      <c r="D63" s="30"/>
      <c r="E63" s="30"/>
      <c r="F63" s="30"/>
      <c r="G63" s="31" t="n">
        <v>0.189</v>
      </c>
      <c r="H63" s="31" t="n">
        <v>0.183</v>
      </c>
      <c r="I63" s="31" t="n">
        <v>0.164</v>
      </c>
      <c r="J63" s="31" t="n">
        <v>0.144</v>
      </c>
      <c r="K63" s="30"/>
      <c r="L63" s="31" t="n">
        <v>0.13</v>
      </c>
      <c r="M63" s="31" t="n">
        <v>0.12</v>
      </c>
      <c r="N63" s="30"/>
      <c r="O63" s="31" t="n">
        <v>0.111</v>
      </c>
      <c r="P63" s="31" t="n">
        <v>0.088</v>
      </c>
      <c r="Q63" s="30"/>
      <c r="R63" s="31" t="n">
        <v>0.081</v>
      </c>
      <c r="S63" s="31" t="n">
        <v>0.072</v>
      </c>
      <c r="T63" s="30"/>
      <c r="U63" s="31" t="n">
        <v>0.074</v>
      </c>
      <c r="V63" s="31" t="n">
        <v>0.097</v>
      </c>
      <c r="W63" s="30"/>
      <c r="X63" s="31" t="n">
        <v>0.086</v>
      </c>
      <c r="Y63" s="31" t="n">
        <v>0.112</v>
      </c>
      <c r="Z63" s="30"/>
      <c r="AA63" s="31" t="n">
        <v>0.104</v>
      </c>
      <c r="AB63" s="31" t="n">
        <v>0.12</v>
      </c>
      <c r="AC63" s="30"/>
      <c r="AD63" s="31" t="n">
        <v>0.124</v>
      </c>
      <c r="AE63" s="31" t="n">
        <v>-0.249</v>
      </c>
      <c r="AF63" s="30"/>
      <c r="AG63" s="31" t="n">
        <v>-0.06</v>
      </c>
      <c r="AH63" s="31" t="n">
        <v>0.767</v>
      </c>
      <c r="AI63" s="30"/>
      <c r="AJ63" s="31" t="n">
        <v>0.418</v>
      </c>
      <c r="AK63" s="31" t="n">
        <v>0.232</v>
      </c>
      <c r="AL63" s="30"/>
      <c r="AM63" s="31" t="n">
        <v>0.234</v>
      </c>
      <c r="AN63" s="31" t="n">
        <v>0.252</v>
      </c>
      <c r="AO63" s="30"/>
      <c r="AP63" s="31" t="n">
        <v>0.206</v>
      </c>
      <c r="AQ63" s="31" t="n">
        <v>0.151</v>
      </c>
      <c r="AR63" s="30"/>
      <c r="AS63" s="31" t="n">
        <v>0.147</v>
      </c>
      <c r="AT63" s="31" t="n">
        <v>0.081</v>
      </c>
      <c r="AU63" s="30"/>
      <c r="AV63" s="31" t="n">
        <v>0.089</v>
      </c>
      <c r="AW63" s="31" t="n">
        <v>0.061</v>
      </c>
      <c r="AX63" s="28" t="n">
        <f aca="false">(AU11*AX13+AU18*AX20+AU25*AX27+AU32*AX34+AU40*AX42+AU47*AX49+AU54*AX56)/(AU11+AU18+AU25+AU32+AU40+AU47+AU54)</f>
        <v>0.0646372991967872</v>
      </c>
      <c r="AY63" s="28" t="n">
        <f aca="false">(AV11*AY13+AV18*AY20+AV25*AY27+AV32*AY34+AV40*AY42+AV47*AY49+AV54*AY56)/(AV11+AV18+AV25+AV32+AV40+AV47+AV54)</f>
        <v>0.0628250109368164</v>
      </c>
      <c r="AZ63" s="28" t="n">
        <f aca="false">(AY11*AZ13+AY18*AZ20+AY25*AZ27+AY32*AZ34+AY40*AZ42+AY47*AZ49+AY54*AZ56)/(AY11+AY18+AY25+AY32+AY40+AY47+AY54)</f>
        <v>0.0743187141578071</v>
      </c>
      <c r="BA63" s="28" t="n">
        <f aca="false">(AZ11*BA13+AZ18*BA20+AZ25*BA27+AZ32*BA34+AZ40*BA42+AZ47*BA49+AZ54*BA56)/(AZ11+AZ18+AZ25+AZ32+AZ40+AZ47+AZ54)</f>
        <v>0.074876647083622</v>
      </c>
      <c r="BB63" s="28" t="n">
        <f aca="false">(BA11*BB13+BA18*BB20+BA25*BB27+BA32*BB34+BA40*BB42+BA47*BB49+BA54*BB56)/(BA11+BA18+BA25+BA32+BA40+BA47+BA54)</f>
        <v>0.0718534606096335</v>
      </c>
      <c r="BC63" s="28" t="n">
        <f aca="false">(BB11*BC13+BB18*BC20+BB25*BC27+BB32*BC34+BB40*BC42+BB47*BC49+BB54*BC56)/(BB11+BB18+BB25+BB32+BB40+BB47+BB54)</f>
        <v>0.0674283646726904</v>
      </c>
      <c r="BD63" s="23" t="s">
        <v>119</v>
      </c>
      <c r="BF63" s="32" t="n">
        <f aca="false">IFERROR(AVERAGE(AY63,AZ63,BA63,BB63,BC63),"n/m")</f>
        <v>0.0702604394921139</v>
      </c>
      <c r="BG63" s="32" t="n">
        <f aca="false">IFERROR(AVERAGE(AJ63,AM63,AP63,AS63,AV63),"n/m")</f>
        <v>0.2188</v>
      </c>
      <c r="BH63" s="32" t="n">
        <f aca="false">IFERROR(AVERAGE(U63,X63,AA63,AD63,AG63,AJ63,AM63,AP63,AS63,AV63),"n/m")</f>
        <v>0.1422</v>
      </c>
      <c r="BI63" s="32" t="n">
        <f aca="false">IFERROR(AVERAGE(C63,D63,E63,F63,G63,H63,I63,L63,O63,R63,U63,X63,AA63,AD63,AG63,AJ63,AM63,AP63,AS63,AV63),"n/m")</f>
        <v>0.1425</v>
      </c>
      <c r="BL63" s="13" t="s">
        <v>80</v>
      </c>
      <c r="BM63" s="35" t="n">
        <f aca="false">BN63+$BM$60</f>
        <v>0.718</v>
      </c>
      <c r="BN63" s="29" t="n">
        <v>0.713</v>
      </c>
      <c r="BO63" s="35" t="n">
        <f aca="false">BN63+$BO$60</f>
        <v>0.703</v>
      </c>
    </row>
    <row r="64" customFormat="false" ht="15" hidden="false" customHeight="true" outlineLevel="0" collapsed="false">
      <c r="B64" s="26" t="s">
        <v>120</v>
      </c>
      <c r="C64" s="30" t="str">
        <f aca="false">IF(AND(ISNUMBER(C62),ISNUMBER(C63)),C62-C63,"")</f>
        <v/>
      </c>
      <c r="D64" s="30" t="str">
        <f aca="false">IF(AND(ISNUMBER(D62),ISNUMBER(D63)),D62-D63,"")</f>
        <v/>
      </c>
      <c r="E64" s="30" t="str">
        <f aca="false">IF(AND(ISNUMBER(E62),ISNUMBER(E63)),E62-E63,"")</f>
        <v/>
      </c>
      <c r="F64" s="30" t="str">
        <f aca="false">IF(AND(ISNUMBER(F62),ISNUMBER(F63)),F62-F63,"")</f>
        <v/>
      </c>
      <c r="G64" s="30" t="n">
        <f aca="false">IF(AND(ISNUMBER(G62),ISNUMBER(G63)),G62-G63,"")</f>
        <v>0.0659634273772206</v>
      </c>
      <c r="H64" s="30" t="n">
        <f aca="false">IF(AND(ISNUMBER(H62),ISNUMBER(H63)),H62-H63,"")</f>
        <v>0.000180682764362949</v>
      </c>
      <c r="I64" s="30" t="n">
        <f aca="false">IF(AND(ISNUMBER(I62),ISNUMBER(I63)),I62-I63,"")</f>
        <v>0.0619676284306824</v>
      </c>
      <c r="J64" s="30" t="str">
        <f aca="false">IF(AND(ISNUMBER(J62),ISNUMBER(J63)),J62-J63,"")</f>
        <v/>
      </c>
      <c r="K64" s="30" t="str">
        <f aca="false">IF(AND(ISNUMBER(K62),ISNUMBER(K63)),K62-K63,"")</f>
        <v/>
      </c>
      <c r="L64" s="30" t="n">
        <f aca="false">IF(AND(ISNUMBER(L62),ISNUMBER(L63)),L62-L63,"")</f>
        <v>-0.0523064118018483</v>
      </c>
      <c r="M64" s="30" t="n">
        <f aca="false">IF(AND(ISNUMBER(M62),ISNUMBER(M63)),M62-M63,"")</f>
        <v>-0.0408873295229472</v>
      </c>
      <c r="N64" s="30" t="str">
        <f aca="false">IF(AND(ISNUMBER(N62),ISNUMBER(N63)),N62-N63,"")</f>
        <v/>
      </c>
      <c r="O64" s="30" t="n">
        <f aca="false">IF(AND(ISNUMBER(O62),ISNUMBER(O63)),O62-O63,"")</f>
        <v>-0.0141398972009905</v>
      </c>
      <c r="P64" s="30" t="n">
        <f aca="false">IF(AND(ISNUMBER(P62),ISNUMBER(P63)),P62-P63,"")</f>
        <v>0.117831454192669</v>
      </c>
      <c r="Q64" s="30" t="str">
        <f aca="false">IF(AND(ISNUMBER(Q62),ISNUMBER(Q63)),Q62-Q63,"")</f>
        <v/>
      </c>
      <c r="R64" s="30" t="n">
        <f aca="false">IF(AND(ISNUMBER(R62),ISNUMBER(R63)),R62-R63,"")</f>
        <v>0.0944236876608555</v>
      </c>
      <c r="S64" s="30" t="n">
        <f aca="false">IF(AND(ISNUMBER(S62),ISNUMBER(S63)),S62-S63,"")</f>
        <v>-0.0105926763503523</v>
      </c>
      <c r="T64" s="30" t="str">
        <f aca="false">IF(AND(ISNUMBER(T62),ISNUMBER(T63)),T62-T63,"")</f>
        <v/>
      </c>
      <c r="U64" s="30" t="n">
        <f aca="false">IF(AND(ISNUMBER(U62),ISNUMBER(U63)),U62-U63,"")</f>
        <v>0.000590485633430296</v>
      </c>
      <c r="V64" s="30" t="n">
        <f aca="false">IF(AND(ISNUMBER(V62),ISNUMBER(V63)),V62-V63,"")</f>
        <v>0.0146528722445302</v>
      </c>
      <c r="W64" s="30" t="str">
        <f aca="false">IF(AND(ISNUMBER(W62),ISNUMBER(W63)),W62-W63,"")</f>
        <v/>
      </c>
      <c r="X64" s="30" t="n">
        <f aca="false">IF(AND(ISNUMBER(X62),ISNUMBER(X63)),X62-X63,"")</f>
        <v>-0.0193166737149665</v>
      </c>
      <c r="Y64" s="30" t="n">
        <f aca="false">IF(AND(ISNUMBER(Y62),ISNUMBER(Y63)),Y62-Y63,"")</f>
        <v>-0.06025107810254</v>
      </c>
      <c r="Z64" s="30" t="str">
        <f aca="false">IF(AND(ISNUMBER(Z62),ISNUMBER(Z63)),Z62-Z63,"")</f>
        <v/>
      </c>
      <c r="AA64" s="30" t="n">
        <f aca="false">IF(AND(ISNUMBER(AA62),ISNUMBER(AA63)),AA62-AA63,"")</f>
        <v>-0.0288526788127802</v>
      </c>
      <c r="AB64" s="30" t="n">
        <f aca="false">IF(AND(ISNUMBER(AB62),ISNUMBER(AB63)),AB62-AB63,"")</f>
        <v>0.0309724899246541</v>
      </c>
      <c r="AC64" s="30" t="str">
        <f aca="false">IF(AND(ISNUMBER(AC62),ISNUMBER(AC63)),AC62-AC63,"")</f>
        <v/>
      </c>
      <c r="AD64" s="30" t="n">
        <f aca="false">IF(AND(ISNUMBER(AD62),ISNUMBER(AD63)),AD62-AD63,"")</f>
        <v>0.0297520323159181</v>
      </c>
      <c r="AE64" s="30" t="n">
        <f aca="false">IF(AND(ISNUMBER(AE62),ISNUMBER(AE63)),AE62-AE63,"")</f>
        <v>0.00651301647230773</v>
      </c>
      <c r="AF64" s="30" t="str">
        <f aca="false">IF(AND(ISNUMBER(AF62),ISNUMBER(AF63)),AF62-AF63,"")</f>
        <v/>
      </c>
      <c r="AG64" s="30" t="n">
        <f aca="false">IF(AND(ISNUMBER(AG62),ISNUMBER(AG63)),AG62-AG63,"")</f>
        <v>-0.0117523316965452</v>
      </c>
      <c r="AH64" s="30" t="n">
        <f aca="false">IF(AND(ISNUMBER(AH62),ISNUMBER(AH63)),AH62-AH63,"")</f>
        <v>-0.0647209694923429</v>
      </c>
      <c r="AI64" s="30" t="str">
        <f aca="false">IF(AND(ISNUMBER(AI62),ISNUMBER(AI63)),AI62-AI63,"")</f>
        <v/>
      </c>
      <c r="AJ64" s="30" t="n">
        <f aca="false">IF(AND(ISNUMBER(AJ62),ISNUMBER(AJ63)),AJ62-AJ63,"")</f>
        <v>-0.0124127083496362</v>
      </c>
      <c r="AK64" s="30" t="n">
        <f aca="false">IF(AND(ISNUMBER(AK62),ISNUMBER(AK63)),AK62-AK63,"")</f>
        <v>0.060531463247621</v>
      </c>
      <c r="AL64" s="30" t="str">
        <f aca="false">IF(AND(ISNUMBER(AL62),ISNUMBER(AL63)),AL62-AL63,"")</f>
        <v/>
      </c>
      <c r="AM64" s="30" t="n">
        <f aca="false">IF(AND(ISNUMBER(AM62),ISNUMBER(AM63)),AM62-AM63,"")</f>
        <v>0.0577269791782653</v>
      </c>
      <c r="AN64" s="30" t="n">
        <f aca="false">IF(AND(ISNUMBER(AN62),ISNUMBER(AN63)),AN62-AN63,"")</f>
        <v>-0.0283975155279503</v>
      </c>
      <c r="AO64" s="30" t="str">
        <f aca="false">IF(AND(ISNUMBER(AO62),ISNUMBER(AO63)),AO62-AO63,"")</f>
        <v/>
      </c>
      <c r="AP64" s="30" t="n">
        <f aca="false">IF(AND(ISNUMBER(AP62),ISNUMBER(AP63)),AP62-AP63,"")</f>
        <v>-0.0485997758813894</v>
      </c>
      <c r="AQ64" s="30" t="n">
        <f aca="false">IF(AND(ISNUMBER(AQ62),ISNUMBER(AQ63)),AQ62-AQ63,"")</f>
        <v>-0.0306655718124813</v>
      </c>
      <c r="AR64" s="30" t="str">
        <f aca="false">IF(AND(ISNUMBER(AR62),ISNUMBER(AR63)),AR62-AR63,"")</f>
        <v/>
      </c>
      <c r="AS64" s="30" t="n">
        <f aca="false">IF(AND(ISNUMBER(AS62),ISNUMBER(AS63)),AS62-AS63,"")</f>
        <v>-0.0171869367691963</v>
      </c>
      <c r="AT64" s="30" t="n">
        <f aca="false">IF(AND(ISNUMBER(AT62),ISNUMBER(AT63)),AT62-AT63,"")</f>
        <v>-0.0105042643923241</v>
      </c>
      <c r="AU64" s="30" t="str">
        <f aca="false">IF(AND(ISNUMBER(AU62),ISNUMBER(AU63)),AU62-AU63,"")</f>
        <v/>
      </c>
      <c r="AV64" s="30" t="n">
        <f aca="false">IF(AND(ISNUMBER(AV62),ISNUMBER(AV63)),AV62-AV63,"")</f>
        <v>-0.0342208305866843</v>
      </c>
      <c r="AW64" s="30" t="n">
        <f aca="false">IF(AND(ISNUMBER(AW62),ISNUMBER(AW63)),AW62-AW63,"")</f>
        <v>-0.0448167558819868</v>
      </c>
      <c r="AX64" s="28" t="n">
        <f aca="false">CHOOSE(MATCH($BD$2,{"Bull","Base","Bear"},0),$BM$12,$BN$12,$BO$12)</f>
        <v>-0.03</v>
      </c>
      <c r="AY64" s="28" t="n">
        <f aca="false">AY62-AY63</f>
        <v>-0.0374522217361415</v>
      </c>
      <c r="AZ64" s="42" t="n">
        <v>0</v>
      </c>
      <c r="BA64" s="42" t="n">
        <v>0</v>
      </c>
      <c r="BB64" s="42" t="n">
        <v>0</v>
      </c>
      <c r="BC64" s="42" t="n">
        <v>0</v>
      </c>
      <c r="BD64" s="23" t="s">
        <v>121</v>
      </c>
      <c r="BF64" s="7"/>
      <c r="BG64" s="7"/>
      <c r="BH64" s="7"/>
      <c r="BI64" s="7"/>
      <c r="BL64" s="13" t="s">
        <v>81</v>
      </c>
      <c r="BM64" s="35" t="n">
        <f aca="false">BN64+$BM$60</f>
        <v>0.719</v>
      </c>
      <c r="BN64" s="29" t="n">
        <v>0.714</v>
      </c>
      <c r="BO64" s="35" t="n">
        <f aca="false">BN64+$BO$60</f>
        <v>0.704</v>
      </c>
    </row>
    <row r="65" customFormat="false" ht="15" hidden="false" customHeight="true" outlineLevel="0" collapsed="false">
      <c r="B65" s="43" t="s">
        <v>122</v>
      </c>
      <c r="C65" s="37" t="str">
        <f aca="false">IF(AND(ISNUMBER(C61),ISNUMBER(C119)),ROUND(C61-C119,0),"")</f>
        <v/>
      </c>
      <c r="D65" s="37" t="str">
        <f aca="false">IF(AND(ISNUMBER(D61),ISNUMBER(D119)),ROUND(D61-D119,0),"")</f>
        <v/>
      </c>
      <c r="E65" s="37" t="str">
        <f aca="false">IF(AND(ISNUMBER(E61),ISNUMBER(E119)),ROUND(E61-E119,0),"")</f>
        <v/>
      </c>
      <c r="F65" s="37" t="n">
        <f aca="false">IF(AND(ISNUMBER(F61),ISNUMBER(F119)),ROUND(F61-F119,0),"")</f>
        <v>-0</v>
      </c>
      <c r="G65" s="37" t="n">
        <f aca="false">IF(AND(ISNUMBER(G61),ISNUMBER(G119)),ROUND(G61-G119,0),"")</f>
        <v>1</v>
      </c>
      <c r="H65" s="37" t="n">
        <f aca="false">IF(AND(ISNUMBER(H61),ISNUMBER(H119)),ROUND(H61-H119,0),"")</f>
        <v>1</v>
      </c>
      <c r="I65" s="37" t="n">
        <f aca="false">IF(AND(ISNUMBER(I61),ISNUMBER(I119)),ROUND(I61-I119,0),"")</f>
        <v>0</v>
      </c>
      <c r="J65" s="37" t="n">
        <f aca="false">IF(AND(ISNUMBER(J61),ISNUMBER(J119)),ROUND(J61-J119,0),"")</f>
        <v>-0</v>
      </c>
      <c r="K65" s="37" t="n">
        <f aca="false">IF(AND(ISNUMBER(K61),ISNUMBER(K119)),ROUND(K61-K119,0),"")</f>
        <v>0</v>
      </c>
      <c r="L65" s="37" t="n">
        <f aca="false">IF(AND(ISNUMBER(L61),ISNUMBER(L119)),ROUND(L61-L119,0),"")</f>
        <v>0</v>
      </c>
      <c r="M65" s="37" t="n">
        <f aca="false">IF(AND(ISNUMBER(M61),ISNUMBER(M119)),ROUND(M61-M119,0),"")</f>
        <v>0</v>
      </c>
      <c r="N65" s="37" t="n">
        <f aca="false">IF(AND(ISNUMBER(N61),ISNUMBER(N119)),ROUND(N61-N119,0),"")</f>
        <v>0</v>
      </c>
      <c r="O65" s="37" t="n">
        <f aca="false">IF(AND(ISNUMBER(O61),ISNUMBER(O119)),ROUND(O61-O119,0),"")</f>
        <v>0</v>
      </c>
      <c r="P65" s="37" t="n">
        <f aca="false">IF(AND(ISNUMBER(P61),ISNUMBER(P119)),ROUND(P61-P119,0),"")</f>
        <v>0</v>
      </c>
      <c r="Q65" s="37" t="n">
        <f aca="false">IF(AND(ISNUMBER(Q61),ISNUMBER(Q119)),ROUND(Q61-Q119,0),"")</f>
        <v>0</v>
      </c>
      <c r="R65" s="37" t="n">
        <f aca="false">IF(AND(ISNUMBER(R61),ISNUMBER(R119)),ROUND(R61-R119,0),"")</f>
        <v>0</v>
      </c>
      <c r="S65" s="37" t="n">
        <f aca="false">IF(AND(ISNUMBER(S61),ISNUMBER(S119)),ROUND(S61-S119,0),"")</f>
        <v>0</v>
      </c>
      <c r="T65" s="37" t="n">
        <f aca="false">IF(AND(ISNUMBER(T61),ISNUMBER(T119)),ROUND(T61-T119,0),"")</f>
        <v>-0</v>
      </c>
      <c r="U65" s="37" t="n">
        <f aca="false">IF(AND(ISNUMBER(U61),ISNUMBER(U119)),ROUND(U61-U119,0),"")</f>
        <v>0</v>
      </c>
      <c r="V65" s="37" t="n">
        <f aca="false">IF(AND(ISNUMBER(V61),ISNUMBER(V119)),ROUND(V61-V119,0),"")</f>
        <v>0</v>
      </c>
      <c r="W65" s="37" t="n">
        <f aca="false">IF(AND(ISNUMBER(W61),ISNUMBER(W119)),ROUND(W61-W119,0),"")</f>
        <v>-0</v>
      </c>
      <c r="X65" s="37" t="n">
        <f aca="false">IF(AND(ISNUMBER(X61),ISNUMBER(X119)),ROUND(X61-X119,0),"")</f>
        <v>-0</v>
      </c>
      <c r="Y65" s="37" t="n">
        <f aca="false">IF(AND(ISNUMBER(Y61),ISNUMBER(Y119)),ROUND(Y61-Y119,0),"")</f>
        <v>0</v>
      </c>
      <c r="Z65" s="37" t="n">
        <f aca="false">IF(AND(ISNUMBER(Z61),ISNUMBER(Z119)),ROUND(Z61-Z119,0),"")</f>
        <v>-0</v>
      </c>
      <c r="AA65" s="37" t="n">
        <f aca="false">IF(AND(ISNUMBER(AA61),ISNUMBER(AA119)),ROUND(AA61-AA119,0),"")</f>
        <v>0</v>
      </c>
      <c r="AB65" s="37" t="n">
        <f aca="false">IF(AND(ISNUMBER(AB61),ISNUMBER(AB119)),ROUND(AB61-AB119,0),"")</f>
        <v>0</v>
      </c>
      <c r="AC65" s="37" t="n">
        <f aca="false">IF(AND(ISNUMBER(AC61),ISNUMBER(AC119)),ROUND(AC61-AC119,0),"")</f>
        <v>-0</v>
      </c>
      <c r="AD65" s="37" t="n">
        <f aca="false">IF(AND(ISNUMBER(AD61),ISNUMBER(AD119)),ROUND(AD61-AD119,0),"")</f>
        <v>0</v>
      </c>
      <c r="AE65" s="37" t="n">
        <f aca="false">IF(AND(ISNUMBER(AE61),ISNUMBER(AE119)),ROUND(AE61-AE119,0),"")</f>
        <v>-0</v>
      </c>
      <c r="AF65" s="37" t="n">
        <f aca="false">IF(AND(ISNUMBER(AF61),ISNUMBER(AF119)),ROUND(AF61-AF119,0),"")</f>
        <v>0</v>
      </c>
      <c r="AG65" s="37" t="n">
        <f aca="false">IF(AND(ISNUMBER(AG61),ISNUMBER(AG119)),ROUND(AG61-AG119,0),"")</f>
        <v>0</v>
      </c>
      <c r="AH65" s="37" t="n">
        <f aca="false">IF(AND(ISNUMBER(AH61),ISNUMBER(AH119)),ROUND(AH61-AH119,0),"")</f>
        <v>0</v>
      </c>
      <c r="AI65" s="37" t="n">
        <f aca="false">IF(AND(ISNUMBER(AI61),ISNUMBER(AI119)),ROUND(AI61-AI119,0),"")</f>
        <v>-1</v>
      </c>
      <c r="AJ65" s="37" t="n">
        <f aca="false">IF(AND(ISNUMBER(AJ61),ISNUMBER(AJ119)),ROUND(AJ61-AJ119,0),"")</f>
        <v>-1</v>
      </c>
      <c r="AK65" s="37" t="n">
        <f aca="false">IF(AND(ISNUMBER(AK61),ISNUMBER(AK119)),ROUND(AK61-AK119,0),"")</f>
        <v>-1</v>
      </c>
      <c r="AL65" s="37" t="n">
        <f aca="false">IF(AND(ISNUMBER(AL61),ISNUMBER(AL119)),ROUND(AL61-AL119,0),"")</f>
        <v>0</v>
      </c>
      <c r="AM65" s="37" t="n">
        <f aca="false">IF(AND(ISNUMBER(AM61),ISNUMBER(AM119)),ROUND(AM61-AM119,0),"")</f>
        <v>-1</v>
      </c>
      <c r="AN65" s="37" t="n">
        <f aca="false">IF(AND(ISNUMBER(AN61),ISNUMBER(AN119)),ROUND(AN61-AN119,0),"")</f>
        <v>0</v>
      </c>
      <c r="AO65" s="37" t="n">
        <f aca="false">IF(AND(ISNUMBER(AO61),ISNUMBER(AO119)),ROUND(AO61-AO119,0),"")</f>
        <v>0</v>
      </c>
      <c r="AP65" s="37" t="n">
        <f aca="false">IF(AND(ISNUMBER(AP61),ISNUMBER(AP119)),ROUND(AP61-AP119,0),"")</f>
        <v>0</v>
      </c>
      <c r="AQ65" s="37" t="n">
        <f aca="false">IF(AND(ISNUMBER(AQ61),ISNUMBER(AQ119)),ROUND(AQ61-AQ119,0),"")</f>
        <v>0</v>
      </c>
      <c r="AR65" s="37" t="n">
        <f aca="false">IF(AND(ISNUMBER(AR61),ISNUMBER(AR119)),ROUND(AR61-AR119,0),"")</f>
        <v>0</v>
      </c>
      <c r="AS65" s="37" t="n">
        <f aca="false">IF(AND(ISNUMBER(AS61),ISNUMBER(AS119)),ROUND(AS61-AS119,0),"")</f>
        <v>0</v>
      </c>
      <c r="AT65" s="37" t="n">
        <f aca="false">IF(AND(ISNUMBER(AT61),ISNUMBER(AT119)),ROUND(AT61-AT119,0),"")</f>
        <v>-1</v>
      </c>
      <c r="AU65" s="37" t="n">
        <f aca="false">IF(AND(ISNUMBER(AU61),ISNUMBER(AU119)),ROUND(AU61-AU119,0),"")</f>
        <v>0</v>
      </c>
      <c r="AV65" s="37" t="n">
        <f aca="false">IF(AND(ISNUMBER(AV61),ISNUMBER(AV119)),ROUND(AV61-AV119,0),"")</f>
        <v>-1</v>
      </c>
      <c r="AW65" s="37" t="n">
        <f aca="false">IF(AND(ISNUMBER(AW61),ISNUMBER(AW119)),ROUND(AW61-AW119,0),"")</f>
        <v>0</v>
      </c>
      <c r="AX65" s="39" t="n">
        <f aca="false">ROUND(AX61-AX119,0)</f>
        <v>0</v>
      </c>
      <c r="AY65" s="39" t="n">
        <f aca="false">ROUND(AY61-AY119,0)</f>
        <v>0</v>
      </c>
      <c r="AZ65" s="39" t="n">
        <f aca="false">ROUND(AZ61-AZ119,0)</f>
        <v>0</v>
      </c>
      <c r="BA65" s="39" t="n">
        <f aca="false">ROUND(BA61-BA119,0)</f>
        <v>0</v>
      </c>
      <c r="BB65" s="39" t="n">
        <f aca="false">ROUND(BB61-BB119,0)</f>
        <v>0</v>
      </c>
      <c r="BC65" s="39" t="n">
        <f aca="false">ROUND(BC61-BC119,0)</f>
        <v>0</v>
      </c>
      <c r="BD65" s="23"/>
      <c r="BF65" s="7"/>
      <c r="BG65" s="7"/>
      <c r="BH65" s="7"/>
      <c r="BI65" s="7"/>
      <c r="BL65" s="13" t="s">
        <v>82</v>
      </c>
      <c r="BM65" s="35" t="n">
        <f aca="false">BN65+$BM$60</f>
        <v>0.719</v>
      </c>
      <c r="BN65" s="29" t="n">
        <v>0.714</v>
      </c>
      <c r="BO65" s="35" t="n">
        <f aca="false">BN65+$BO$60</f>
        <v>0.704</v>
      </c>
    </row>
    <row r="66" customFormat="false" ht="15" hidden="false" customHeight="true" outlineLevel="0" collapsed="false">
      <c r="B66" s="36" t="s">
        <v>123</v>
      </c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9"/>
      <c r="AY66" s="39"/>
      <c r="AZ66" s="39"/>
      <c r="BA66" s="39"/>
      <c r="BB66" s="39"/>
      <c r="BC66" s="39"/>
      <c r="BD66" s="23"/>
      <c r="BF66" s="7"/>
      <c r="BG66" s="7"/>
      <c r="BH66" s="7"/>
      <c r="BI66" s="7"/>
      <c r="BL66" s="18" t="s">
        <v>124</v>
      </c>
      <c r="BM66" s="34" t="n">
        <v>0.015</v>
      </c>
      <c r="BN66" s="25" t="s">
        <v>75</v>
      </c>
      <c r="BO66" s="34" t="n">
        <v>-0.025</v>
      </c>
      <c r="BP66" s="16" t="s">
        <v>125</v>
      </c>
    </row>
    <row r="67" customFormat="false" ht="15" hidden="false" customHeight="true" outlineLevel="0" collapsed="false">
      <c r="B67" s="13" t="s">
        <v>126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8" t="n">
        <v>943.5</v>
      </c>
      <c r="N67" s="38" t="n">
        <v>991</v>
      </c>
      <c r="O67" s="37"/>
      <c r="P67" s="38" t="n">
        <v>1122.2</v>
      </c>
      <c r="Q67" s="38" t="n">
        <v>1143</v>
      </c>
      <c r="R67" s="37"/>
      <c r="S67" s="38" t="n">
        <v>1190.7</v>
      </c>
      <c r="T67" s="38" t="n">
        <v>1256.7</v>
      </c>
      <c r="U67" s="37"/>
      <c r="V67" s="38" t="n">
        <v>1351.7</v>
      </c>
      <c r="W67" s="38" t="n">
        <v>1337.1</v>
      </c>
      <c r="X67" s="37"/>
      <c r="Y67" s="38" t="n">
        <v>1393.8</v>
      </c>
      <c r="Z67" s="38" t="n">
        <v>1462.5</v>
      </c>
      <c r="AA67" s="37"/>
      <c r="AB67" s="38" t="n">
        <v>1609.7</v>
      </c>
      <c r="AC67" s="38" t="n">
        <v>1727.9</v>
      </c>
      <c r="AD67" s="37"/>
      <c r="AE67" s="38" t="n">
        <v>1505.5</v>
      </c>
      <c r="AF67" s="38" t="n">
        <v>1800.3</v>
      </c>
      <c r="AG67" s="37"/>
      <c r="AH67" s="38" t="n">
        <v>2083.7</v>
      </c>
      <c r="AI67" s="38" t="n">
        <v>2367</v>
      </c>
      <c r="AJ67" s="37"/>
      <c r="AK67" s="38" t="n">
        <v>2765</v>
      </c>
      <c r="AL67" s="38" t="n">
        <v>3136</v>
      </c>
      <c r="AM67" s="37"/>
      <c r="AN67" s="38" t="n">
        <v>3380</v>
      </c>
      <c r="AO67" s="38" t="n">
        <v>3365</v>
      </c>
      <c r="AP67" s="37"/>
      <c r="AQ67" s="38" t="n">
        <v>3805</v>
      </c>
      <c r="AR67" s="38" t="n">
        <v>3704</v>
      </c>
      <c r="AS67" s="37"/>
      <c r="AT67" s="38" t="n">
        <v>4129</v>
      </c>
      <c r="AU67" s="38" t="n">
        <v>3881</v>
      </c>
      <c r="AV67" s="37"/>
      <c r="AW67" s="38" t="n">
        <v>4070</v>
      </c>
      <c r="AX67" s="39"/>
      <c r="AY67" s="39"/>
      <c r="AZ67" s="39"/>
      <c r="BA67" s="39"/>
      <c r="BB67" s="39"/>
      <c r="BC67" s="39"/>
      <c r="BD67" s="23"/>
      <c r="BF67" s="7"/>
      <c r="BG67" s="7"/>
      <c r="BH67" s="7"/>
      <c r="BI67" s="7"/>
      <c r="BL67" s="13" t="s">
        <v>77</v>
      </c>
      <c r="BM67" s="35" t="n">
        <f aca="false">BN67+$BM$66</f>
        <v>0.417</v>
      </c>
      <c r="BN67" s="29" t="n">
        <v>0.402</v>
      </c>
      <c r="BO67" s="35" t="n">
        <f aca="false">BN67+$BO$66</f>
        <v>0.377</v>
      </c>
    </row>
    <row r="68" customFormat="false" ht="15" hidden="false" customHeight="true" outlineLevel="0" collapsed="false">
      <c r="B68" s="26" t="s">
        <v>127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1" t="n">
        <v>0.08</v>
      </c>
      <c r="Q68" s="31" t="n">
        <v>0.079</v>
      </c>
      <c r="R68" s="30"/>
      <c r="S68" s="31" t="n">
        <v>0.062</v>
      </c>
      <c r="T68" s="31" t="n">
        <v>0.088</v>
      </c>
      <c r="U68" s="30"/>
      <c r="V68" s="31" t="n">
        <v>0.112</v>
      </c>
      <c r="W68" s="31" t="n">
        <v>0.113</v>
      </c>
      <c r="X68" s="30"/>
      <c r="Y68" s="31" t="n">
        <v>0.108</v>
      </c>
      <c r="Z68" s="31" t="n">
        <v>0.096</v>
      </c>
      <c r="AA68" s="30"/>
      <c r="AB68" s="31" t="n">
        <v>0.116</v>
      </c>
      <c r="AC68" s="31" t="n">
        <v>0.15</v>
      </c>
      <c r="AD68" s="30"/>
      <c r="AE68" s="31" t="n">
        <v>-0.077</v>
      </c>
      <c r="AF68" s="31" t="n">
        <v>0.069</v>
      </c>
      <c r="AG68" s="30"/>
      <c r="AH68" s="31" t="n">
        <v>0.437</v>
      </c>
      <c r="AI68" s="31" t="n">
        <v>0.312</v>
      </c>
      <c r="AJ68" s="30"/>
      <c r="AK68" s="31" t="n">
        <v>0.271</v>
      </c>
      <c r="AL68" s="31" t="n">
        <v>0.243</v>
      </c>
      <c r="AM68" s="30"/>
      <c r="AN68" s="31" t="n">
        <v>0.23</v>
      </c>
      <c r="AO68" s="31" t="n">
        <v>0.156</v>
      </c>
      <c r="AP68" s="30"/>
      <c r="AQ68" s="31" t="n">
        <v>0.17</v>
      </c>
      <c r="AR68" s="31" t="n">
        <v>0.113</v>
      </c>
      <c r="AS68" s="30"/>
      <c r="AT68" s="31" t="n">
        <v>0.072</v>
      </c>
      <c r="AU68" s="31" t="n">
        <v>0.096</v>
      </c>
      <c r="AV68" s="30"/>
      <c r="AW68" s="31" t="n">
        <v>0.056</v>
      </c>
      <c r="AX68" s="28"/>
      <c r="AY68" s="28"/>
      <c r="AZ68" s="28"/>
      <c r="BA68" s="28"/>
      <c r="BB68" s="28"/>
      <c r="BC68" s="28"/>
      <c r="BD68" s="23"/>
      <c r="BF68" s="7"/>
      <c r="BG68" s="7"/>
      <c r="BH68" s="7"/>
      <c r="BI68" s="7"/>
      <c r="BL68" s="13" t="s">
        <v>79</v>
      </c>
      <c r="BM68" s="35" t="n">
        <f aca="false">BN68+$BM$66</f>
        <v>0.42</v>
      </c>
      <c r="BN68" s="29" t="n">
        <v>0.405</v>
      </c>
      <c r="BO68" s="35" t="n">
        <f aca="false">BN68+$BO$66</f>
        <v>0.38</v>
      </c>
    </row>
    <row r="69" customFormat="false" ht="15" hidden="false" customHeight="true" outlineLevel="0" collapsed="false">
      <c r="B69" s="13" t="s">
        <v>128</v>
      </c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8" t="n">
        <v>963.4</v>
      </c>
      <c r="N69" s="38" t="n">
        <v>1221.2</v>
      </c>
      <c r="O69" s="37"/>
      <c r="P69" s="38" t="n">
        <v>1177.2</v>
      </c>
      <c r="Q69" s="38" t="n">
        <v>1398.5</v>
      </c>
      <c r="R69" s="37"/>
      <c r="S69" s="38" t="n">
        <v>1249.7</v>
      </c>
      <c r="T69" s="38" t="n">
        <v>1505.1</v>
      </c>
      <c r="U69" s="37"/>
      <c r="V69" s="38" t="n">
        <v>1361.3</v>
      </c>
      <c r="W69" s="38" t="n">
        <v>1499.1</v>
      </c>
      <c r="X69" s="37"/>
      <c r="Y69" s="38" t="n">
        <v>1459.6</v>
      </c>
      <c r="Z69" s="38" t="n">
        <v>1650.2</v>
      </c>
      <c r="AA69" s="37"/>
      <c r="AB69" s="38" t="n">
        <v>1674.5</v>
      </c>
      <c r="AC69" s="38" t="n">
        <v>1871.3</v>
      </c>
      <c r="AD69" s="37"/>
      <c r="AE69" s="38" t="n">
        <v>982.5</v>
      </c>
      <c r="AF69" s="38" t="n">
        <v>2101.1</v>
      </c>
      <c r="AG69" s="37"/>
      <c r="AH69" s="38" t="n">
        <v>2151.4</v>
      </c>
      <c r="AI69" s="38" t="n">
        <v>2380</v>
      </c>
      <c r="AJ69" s="37"/>
      <c r="AK69" s="38" t="n">
        <v>2710</v>
      </c>
      <c r="AL69" s="38" t="n">
        <v>2991</v>
      </c>
      <c r="AM69" s="37"/>
      <c r="AN69" s="38" t="n">
        <v>3317</v>
      </c>
      <c r="AO69" s="38" t="n">
        <v>3364</v>
      </c>
      <c r="AP69" s="37"/>
      <c r="AQ69" s="38" t="n">
        <v>3699</v>
      </c>
      <c r="AR69" s="38" t="n">
        <v>3962</v>
      </c>
      <c r="AS69" s="37"/>
      <c r="AT69" s="38" t="n">
        <v>3905</v>
      </c>
      <c r="AU69" s="38" t="n">
        <v>4087</v>
      </c>
      <c r="AV69" s="37"/>
      <c r="AW69" s="38" t="n">
        <v>4094</v>
      </c>
      <c r="AX69" s="39"/>
      <c r="AY69" s="39"/>
      <c r="AZ69" s="39"/>
      <c r="BA69" s="39"/>
      <c r="BB69" s="39"/>
      <c r="BC69" s="39"/>
      <c r="BD69" s="23"/>
      <c r="BF69" s="7"/>
      <c r="BG69" s="7"/>
      <c r="BH69" s="7"/>
      <c r="BI69" s="7"/>
      <c r="BL69" s="13" t="s">
        <v>80</v>
      </c>
      <c r="BM69" s="35" t="n">
        <f aca="false">BN69+$BM$66</f>
        <v>0.423</v>
      </c>
      <c r="BN69" s="29" t="n">
        <v>0.408</v>
      </c>
      <c r="BO69" s="35" t="n">
        <f aca="false">BN69+$BO$66</f>
        <v>0.383</v>
      </c>
    </row>
    <row r="70" customFormat="false" ht="15" hidden="false" customHeight="true" outlineLevel="0" collapsed="false">
      <c r="B70" s="26" t="s">
        <v>127</v>
      </c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1" t="n">
        <v>0.1</v>
      </c>
      <c r="N70" s="30"/>
      <c r="O70" s="30"/>
      <c r="P70" s="31" t="n">
        <v>0.097</v>
      </c>
      <c r="Q70" s="31" t="n">
        <v>0.072</v>
      </c>
      <c r="R70" s="30"/>
      <c r="S70" s="31" t="n">
        <v>0.081</v>
      </c>
      <c r="T70" s="31" t="n">
        <v>0.066</v>
      </c>
      <c r="U70" s="30"/>
      <c r="V70" s="31" t="n">
        <v>0.083</v>
      </c>
      <c r="W70" s="31" t="n">
        <v>0.046</v>
      </c>
      <c r="X70" s="30"/>
      <c r="Y70" s="31" t="n">
        <v>0.116</v>
      </c>
      <c r="Z70" s="31" t="n">
        <v>0.096</v>
      </c>
      <c r="AA70" s="30"/>
      <c r="AB70" s="31" t="n">
        <v>0.123</v>
      </c>
      <c r="AC70" s="31" t="n">
        <v>0.107</v>
      </c>
      <c r="AD70" s="30"/>
      <c r="AE70" s="31" t="n">
        <v>-0.415</v>
      </c>
      <c r="AF70" s="31" t="n">
        <v>0.156</v>
      </c>
      <c r="AG70" s="30"/>
      <c r="AH70" s="31" t="n">
        <v>1.271</v>
      </c>
      <c r="AI70" s="31" t="n">
        <v>0.11</v>
      </c>
      <c r="AJ70" s="30"/>
      <c r="AK70" s="31" t="n">
        <v>0.195</v>
      </c>
      <c r="AL70" s="31" t="n">
        <v>0.229</v>
      </c>
      <c r="AM70" s="30"/>
      <c r="AN70" s="31" t="n">
        <v>0.275</v>
      </c>
      <c r="AO70" s="31" t="n">
        <v>0.175</v>
      </c>
      <c r="AP70" s="30"/>
      <c r="AQ70" s="31" t="n">
        <v>0.133</v>
      </c>
      <c r="AR70" s="31" t="n">
        <v>0.176</v>
      </c>
      <c r="AS70" s="30"/>
      <c r="AT70" s="31" t="n">
        <v>0.09</v>
      </c>
      <c r="AU70" s="31" t="n">
        <v>0.098</v>
      </c>
      <c r="AV70" s="30"/>
      <c r="AW70" s="31" t="n">
        <v>0.067</v>
      </c>
      <c r="AX70" s="28"/>
      <c r="AY70" s="28"/>
      <c r="AZ70" s="28"/>
      <c r="BA70" s="28"/>
      <c r="BB70" s="28"/>
      <c r="BC70" s="28"/>
      <c r="BD70" s="23"/>
      <c r="BF70" s="7"/>
      <c r="BG70" s="7"/>
      <c r="BH70" s="7"/>
      <c r="BI70" s="7"/>
      <c r="BL70" s="13" t="s">
        <v>81</v>
      </c>
      <c r="BM70" s="35" t="n">
        <f aca="false">BN70+$BM$66</f>
        <v>0.425</v>
      </c>
      <c r="BN70" s="29" t="n">
        <v>0.41</v>
      </c>
      <c r="BO70" s="35" t="n">
        <f aca="false">BN70+$BO$66</f>
        <v>0.385</v>
      </c>
    </row>
    <row r="71" customFormat="false" ht="15" hidden="false" customHeight="true" outlineLevel="0" collapsed="false">
      <c r="B71" s="43" t="s">
        <v>129</v>
      </c>
      <c r="C71" s="37"/>
      <c r="D71" s="37"/>
      <c r="E71" s="37"/>
      <c r="F71" s="37"/>
      <c r="G71" s="37"/>
      <c r="H71" s="37"/>
      <c r="I71" s="37"/>
      <c r="J71" s="37" t="str">
        <f aca="false">IF(AND(ISNUMBER(J67),ISNUMBER(J69)),ROUND(J67+J69-J119,0),"")</f>
        <v/>
      </c>
      <c r="K71" s="37" t="str">
        <f aca="false">IF(AND(ISNUMBER(K67),ISNUMBER(K69)),ROUND(K67+K69-K119,0),"")</f>
        <v/>
      </c>
      <c r="L71" s="37"/>
      <c r="M71" s="37" t="n">
        <f aca="false">IF(AND(ISNUMBER(M67),ISNUMBER(M69)),ROUND(M67+M69-M119,0),"")</f>
        <v>0</v>
      </c>
      <c r="N71" s="37" t="n">
        <f aca="false">IF(AND(ISNUMBER(N67),ISNUMBER(N69)),ROUND(N67+N69-N119,0),"")</f>
        <v>0</v>
      </c>
      <c r="O71" s="37"/>
      <c r="P71" s="37" t="n">
        <f aca="false">IF(AND(ISNUMBER(P67),ISNUMBER(P69)),ROUND(P67+P69-P119,0),"")</f>
        <v>0</v>
      </c>
      <c r="Q71" s="37" t="n">
        <f aca="false">IF(AND(ISNUMBER(Q67),ISNUMBER(Q69)),ROUND(Q67+Q69-Q119,0),"")</f>
        <v>-0</v>
      </c>
      <c r="R71" s="37"/>
      <c r="S71" s="37" t="n">
        <f aca="false">IF(AND(ISNUMBER(S67),ISNUMBER(S69)),ROUND(S67+S69-S119,0),"")</f>
        <v>0</v>
      </c>
      <c r="T71" s="37" t="n">
        <f aca="false">IF(AND(ISNUMBER(T67),ISNUMBER(T69)),ROUND(T67+T69-T119,0),"")</f>
        <v>0</v>
      </c>
      <c r="U71" s="37"/>
      <c r="V71" s="37" t="n">
        <f aca="false">IF(AND(ISNUMBER(V67),ISNUMBER(V69)),ROUND(V67+V69-V119,0),"")</f>
        <v>-0</v>
      </c>
      <c r="W71" s="37" t="n">
        <f aca="false">IF(AND(ISNUMBER(W67),ISNUMBER(W69)),ROUND(W67+W69-W119,0),"")</f>
        <v>0</v>
      </c>
      <c r="X71" s="37"/>
      <c r="Y71" s="37" t="n">
        <f aca="false">IF(AND(ISNUMBER(Y67),ISNUMBER(Y69)),ROUND(Y67+Y69-Y119,0),"")</f>
        <v>0</v>
      </c>
      <c r="Z71" s="37" t="n">
        <f aca="false">IF(AND(ISNUMBER(Z67),ISNUMBER(Z69)),ROUND(Z67+Z69-Z119,0),"")</f>
        <v>0</v>
      </c>
      <c r="AA71" s="37"/>
      <c r="AB71" s="37" t="n">
        <f aca="false">IF(AND(ISNUMBER(AB67),ISNUMBER(AB69)),ROUND(AB67+AB69-AB119,0),"")</f>
        <v>0</v>
      </c>
      <c r="AC71" s="37" t="n">
        <f aca="false">IF(AND(ISNUMBER(AC67),ISNUMBER(AC69)),ROUND(AC67+AC69-AC119,0),"")</f>
        <v>0</v>
      </c>
      <c r="AD71" s="37"/>
      <c r="AE71" s="37" t="n">
        <f aca="false">IF(AND(ISNUMBER(AE67),ISNUMBER(AE69)),ROUND(AE67+AE69-AE119,0),"")</f>
        <v>0</v>
      </c>
      <c r="AF71" s="37" t="n">
        <f aca="false">IF(AND(ISNUMBER(AF67),ISNUMBER(AF69)),ROUND(AF67+AF69-AF119,0),"")</f>
        <v>0</v>
      </c>
      <c r="AG71" s="37"/>
      <c r="AH71" s="37" t="n">
        <f aca="false">IF(AND(ISNUMBER(AH67),ISNUMBER(AH69)),ROUND(AH67+AH69-AH119,0),"")</f>
        <v>0</v>
      </c>
      <c r="AI71" s="37" t="n">
        <f aca="false">IF(AND(ISNUMBER(AI67),ISNUMBER(AI69)),ROUND(AI67+AI69-AI119,0),"")</f>
        <v>0</v>
      </c>
      <c r="AJ71" s="37"/>
      <c r="AK71" s="37" t="n">
        <f aca="false">IF(AND(ISNUMBER(AK67),ISNUMBER(AK69)),ROUND(AK67+AK69-AK119,0),"")</f>
        <v>0</v>
      </c>
      <c r="AL71" s="37" t="n">
        <f aca="false">IF(AND(ISNUMBER(AL67),ISNUMBER(AL69)),ROUND(AL67+AL69-AL119,0),"")</f>
        <v>0</v>
      </c>
      <c r="AM71" s="37"/>
      <c r="AN71" s="37" t="n">
        <f aca="false">IF(AND(ISNUMBER(AN67),ISNUMBER(AN69)),ROUND(AN67+AN69-AN119,0),"")</f>
        <v>-1</v>
      </c>
      <c r="AO71" s="37" t="n">
        <f aca="false">IF(AND(ISNUMBER(AO67),ISNUMBER(AO69)),ROUND(AO67+AO69-AO119,0),"")</f>
        <v>0</v>
      </c>
      <c r="AP71" s="37"/>
      <c r="AQ71" s="37" t="n">
        <f aca="false">IF(AND(ISNUMBER(AQ67),ISNUMBER(AQ69)),ROUND(AQ67+AQ69-AQ119,0),"")</f>
        <v>0</v>
      </c>
      <c r="AR71" s="37" t="n">
        <f aca="false">IF(AND(ISNUMBER(AR67),ISNUMBER(AR69)),ROUND(AR67+AR69-AR119,0),"")</f>
        <v>0</v>
      </c>
      <c r="AS71" s="37"/>
      <c r="AT71" s="37" t="n">
        <f aca="false">IF(AND(ISNUMBER(AT67),ISNUMBER(AT69)),ROUND(AT67+AT69-AT119,0),"")</f>
        <v>0</v>
      </c>
      <c r="AU71" s="37" t="n">
        <f aca="false">IF(AND(ISNUMBER(AU67),ISNUMBER(AU69)),ROUND(AU67+AU69-AU119,0),"")</f>
        <v>0</v>
      </c>
      <c r="AV71" s="37"/>
      <c r="AW71" s="37" t="n">
        <f aca="false">IF(AND(ISNUMBER(AW67),ISNUMBER(AW69)),ROUND(AW67+AW69-AW119,0),"")</f>
        <v>1</v>
      </c>
      <c r="AX71" s="39"/>
      <c r="AY71" s="39"/>
      <c r="AZ71" s="39"/>
      <c r="BA71" s="39"/>
      <c r="BB71" s="39"/>
      <c r="BC71" s="39"/>
      <c r="BD71" s="23"/>
      <c r="BF71" s="7"/>
      <c r="BG71" s="7"/>
      <c r="BH71" s="7"/>
      <c r="BI71" s="7"/>
      <c r="BL71" s="13" t="s">
        <v>82</v>
      </c>
      <c r="BM71" s="35" t="n">
        <f aca="false">BN71+$BM$66</f>
        <v>0.425</v>
      </c>
      <c r="BN71" s="29" t="n">
        <v>0.41</v>
      </c>
      <c r="BO71" s="35" t="n">
        <f aca="false">BN71+$BO$66</f>
        <v>0.385</v>
      </c>
    </row>
    <row r="72" customFormat="false" ht="15" hidden="false" customHeight="true" outlineLevel="0" collapsed="false">
      <c r="B72" s="13"/>
      <c r="AX72" s="7"/>
      <c r="AY72" s="7"/>
      <c r="AZ72" s="7"/>
      <c r="BA72" s="7"/>
      <c r="BB72" s="7"/>
      <c r="BC72" s="7"/>
      <c r="BD72" s="7"/>
      <c r="BL72" s="18" t="s">
        <v>130</v>
      </c>
      <c r="BM72" s="44" t="n">
        <v>300</v>
      </c>
      <c r="BN72" s="25" t="s">
        <v>75</v>
      </c>
      <c r="BO72" s="44" t="n">
        <v>-200</v>
      </c>
      <c r="BP72" s="16" t="s">
        <v>131</v>
      </c>
    </row>
    <row r="73" customFormat="false" ht="15" hidden="false" customHeight="true" outlineLevel="0" collapsed="false">
      <c r="B73" s="17" t="s">
        <v>132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8" t="s">
        <v>133</v>
      </c>
      <c r="BL73" s="13" t="s">
        <v>77</v>
      </c>
      <c r="BM73" s="45" t="n">
        <f aca="false">MAX(0,BN73+$BM$72)</f>
        <v>350</v>
      </c>
      <c r="BN73" s="33" t="n">
        <v>50</v>
      </c>
      <c r="BO73" s="45" t="n">
        <f aca="false">MAX(0,BN73+$BO$72)</f>
        <v>0</v>
      </c>
    </row>
    <row r="74" customFormat="false" ht="15" hidden="false" customHeight="true" outlineLevel="0" collapsed="false">
      <c r="B74" s="13" t="s">
        <v>134</v>
      </c>
      <c r="C74" s="37"/>
      <c r="D74" s="37"/>
      <c r="E74" s="37"/>
      <c r="F74" s="38" t="n">
        <v>370.1</v>
      </c>
      <c r="G74" s="38" t="n">
        <v>437.2</v>
      </c>
      <c r="H74" s="38" t="n">
        <v>494.9</v>
      </c>
      <c r="I74" s="38" t="n">
        <v>555.5</v>
      </c>
      <c r="J74" s="38" t="n">
        <v>289.2</v>
      </c>
      <c r="K74" s="37" t="n">
        <f aca="false">L74-J74</f>
        <v>323.9</v>
      </c>
      <c r="L74" s="38" t="n">
        <v>613.1</v>
      </c>
      <c r="M74" s="38" t="n">
        <v>307.9</v>
      </c>
      <c r="N74" s="37" t="n">
        <f aca="false">O74-M74</f>
        <v>336</v>
      </c>
      <c r="O74" s="38" t="n">
        <v>643.9</v>
      </c>
      <c r="P74" s="38" t="n">
        <v>328.3</v>
      </c>
      <c r="Q74" s="37" t="n">
        <f aca="false">R74-P74</f>
        <v>355.5</v>
      </c>
      <c r="R74" s="38" t="n">
        <v>683.8</v>
      </c>
      <c r="S74" s="38" t="n">
        <v>352.3</v>
      </c>
      <c r="T74" s="37" t="n">
        <f aca="false">U74-S74</f>
        <v>366.9</v>
      </c>
      <c r="U74" s="38" t="n">
        <v>719.2</v>
      </c>
      <c r="V74" s="38" t="n">
        <v>360.7</v>
      </c>
      <c r="W74" s="37" t="n">
        <f aca="false">X74-V74</f>
        <v>394.2</v>
      </c>
      <c r="X74" s="38" t="n">
        <v>754.9</v>
      </c>
      <c r="Y74" s="38" t="n">
        <v>390.3</v>
      </c>
      <c r="Z74" s="37" t="n">
        <f aca="false">AA74-Y74</f>
        <v>411.9</v>
      </c>
      <c r="AA74" s="38" t="n">
        <v>802.2</v>
      </c>
      <c r="AB74" s="38" t="n">
        <v>405.8</v>
      </c>
      <c r="AC74" s="37" t="n">
        <f aca="false">AD74-AB74</f>
        <v>461.5</v>
      </c>
      <c r="AD74" s="38" t="n">
        <v>867.3</v>
      </c>
      <c r="AE74" s="38" t="n">
        <v>252.2</v>
      </c>
      <c r="AF74" s="37" t="n">
        <f aca="false">AG74-AE74</f>
        <v>367.4</v>
      </c>
      <c r="AG74" s="38" t="n">
        <v>619.6</v>
      </c>
      <c r="AH74" s="38" t="n">
        <v>341.2</v>
      </c>
      <c r="AI74" s="37" t="n">
        <f aca="false">AJ74-AH74</f>
        <v>496.8</v>
      </c>
      <c r="AJ74" s="38" t="n">
        <v>838</v>
      </c>
      <c r="AK74" s="38" t="n">
        <v>480</v>
      </c>
      <c r="AL74" s="37" t="n">
        <f aca="false">AM74-AK74</f>
        <v>584</v>
      </c>
      <c r="AM74" s="38" t="n">
        <v>1064</v>
      </c>
      <c r="AN74" s="38" t="n">
        <v>593</v>
      </c>
      <c r="AO74" s="37" t="n">
        <f aca="false">AP74-AN74</f>
        <v>681</v>
      </c>
      <c r="AP74" s="38" t="n">
        <v>1274</v>
      </c>
      <c r="AQ74" s="38" t="n">
        <v>680</v>
      </c>
      <c r="AR74" s="37" t="n">
        <f aca="false">AS74-AQ74</f>
        <v>767</v>
      </c>
      <c r="AS74" s="38" t="n">
        <v>1447</v>
      </c>
      <c r="AT74" s="38" t="n">
        <v>740</v>
      </c>
      <c r="AU74" s="37" t="n">
        <f aca="false">AV74-AT74</f>
        <v>835</v>
      </c>
      <c r="AV74" s="38" t="n">
        <v>1575</v>
      </c>
      <c r="AW74" s="38" t="n">
        <v>753</v>
      </c>
      <c r="AX74" s="39"/>
      <c r="AY74" s="39"/>
      <c r="AZ74" s="39"/>
      <c r="BA74" s="39"/>
      <c r="BB74" s="39"/>
      <c r="BC74" s="39"/>
      <c r="BD74" s="23"/>
      <c r="BF74" s="24" t="n">
        <f aca="false">IFERROR((BC74/AV74)^(1/5)-1,"n/m")</f>
        <v>-1</v>
      </c>
      <c r="BG74" s="24" t="n">
        <f aca="false">IFERROR((AV74/AG74)^(1/5)-1,"n/m")</f>
        <v>0.205129811520574</v>
      </c>
      <c r="BH74" s="24" t="n">
        <f aca="false">IFERROR((AV74/R74)^(1/10)-1,"n/m")</f>
        <v>0.08701402159299</v>
      </c>
      <c r="BI74" s="24" t="str">
        <f aca="false">IFERROR((AV74/C74)^(1/19)-1,"n/m")</f>
        <v>n/m</v>
      </c>
      <c r="BL74" s="13" t="s">
        <v>79</v>
      </c>
      <c r="BM74" s="45" t="n">
        <f aca="false">MAX(0,BN74+$BM$72)</f>
        <v>550</v>
      </c>
      <c r="BN74" s="33" t="n">
        <v>250</v>
      </c>
      <c r="BO74" s="45" t="n">
        <f aca="false">MAX(0,BN74+$BO$72)</f>
        <v>50</v>
      </c>
    </row>
    <row r="75" customFormat="false" ht="15" hidden="false" customHeight="true" outlineLevel="0" collapsed="false">
      <c r="B75" s="13" t="s">
        <v>135</v>
      </c>
      <c r="C75" s="37"/>
      <c r="D75" s="37"/>
      <c r="E75" s="37"/>
      <c r="F75" s="38" t="n">
        <v>385.4</v>
      </c>
      <c r="G75" s="38" t="n">
        <v>463.4</v>
      </c>
      <c r="H75" s="38" t="n">
        <v>559.7</v>
      </c>
      <c r="I75" s="38" t="n">
        <v>661.8</v>
      </c>
      <c r="J75" s="38" t="n">
        <v>346.9</v>
      </c>
      <c r="K75" s="37" t="n">
        <f aca="false">L75-J75</f>
        <v>390.1</v>
      </c>
      <c r="L75" s="38" t="n">
        <v>737</v>
      </c>
      <c r="M75" s="38" t="n">
        <v>370.8</v>
      </c>
      <c r="N75" s="37" t="n">
        <f aca="false">O75-M75</f>
        <v>429</v>
      </c>
      <c r="O75" s="38" t="n">
        <v>799.8</v>
      </c>
      <c r="P75" s="38" t="n">
        <v>406.7</v>
      </c>
      <c r="Q75" s="37" t="n">
        <f aca="false">R75-P75</f>
        <v>499.1</v>
      </c>
      <c r="R75" s="38" t="n">
        <v>905.8</v>
      </c>
      <c r="S75" s="38" t="n">
        <v>433.8</v>
      </c>
      <c r="T75" s="37" t="n">
        <f aca="false">U75-S75</f>
        <v>529.9</v>
      </c>
      <c r="U75" s="38" t="n">
        <v>963.7</v>
      </c>
      <c r="V75" s="38" t="n">
        <v>475.5</v>
      </c>
      <c r="W75" s="37" t="n">
        <f aca="false">X75-V75</f>
        <v>568.6</v>
      </c>
      <c r="X75" s="38" t="n">
        <v>1044.1</v>
      </c>
      <c r="Y75" s="38" t="n">
        <v>500.7</v>
      </c>
      <c r="Z75" s="37" t="n">
        <f aca="false">AA75-Y75</f>
        <v>605.8</v>
      </c>
      <c r="AA75" s="38" t="n">
        <v>1106.5</v>
      </c>
      <c r="AB75" s="38" t="n">
        <v>544.6</v>
      </c>
      <c r="AC75" s="37" t="n">
        <f aca="false">AD75-AB75</f>
        <v>657.3</v>
      </c>
      <c r="AD75" s="38" t="n">
        <v>1201.9</v>
      </c>
      <c r="AE75" s="38" t="n">
        <v>348.9</v>
      </c>
      <c r="AF75" s="37" t="n">
        <f aca="false">AG75-AE75</f>
        <v>604.5</v>
      </c>
      <c r="AG75" s="38" t="n">
        <v>953.4</v>
      </c>
      <c r="AH75" s="38" t="n">
        <v>521.9</v>
      </c>
      <c r="AI75" s="37" t="n">
        <f aca="false">AJ75-AH75</f>
        <v>781.1</v>
      </c>
      <c r="AJ75" s="38" t="n">
        <v>1303</v>
      </c>
      <c r="AK75" s="38" t="n">
        <v>696</v>
      </c>
      <c r="AL75" s="37" t="n">
        <f aca="false">AM75-AK75</f>
        <v>840</v>
      </c>
      <c r="AM75" s="38" t="n">
        <v>1536</v>
      </c>
      <c r="AN75" s="38" t="n">
        <v>836</v>
      </c>
      <c r="AO75" s="37" t="n">
        <f aca="false">AP75-AN75</f>
        <v>982</v>
      </c>
      <c r="AP75" s="38" t="n">
        <v>1818</v>
      </c>
      <c r="AQ75" s="38" t="n">
        <v>970</v>
      </c>
      <c r="AR75" s="37" t="n">
        <f aca="false">AS75-AQ75</f>
        <v>1177</v>
      </c>
      <c r="AS75" s="38" t="n">
        <v>2147</v>
      </c>
      <c r="AT75" s="38" t="n">
        <v>1088</v>
      </c>
      <c r="AU75" s="37" t="n">
        <f aca="false">AV75-AT75</f>
        <v>1274</v>
      </c>
      <c r="AV75" s="38" t="n">
        <v>2362</v>
      </c>
      <c r="AW75" s="38" t="n">
        <v>1165</v>
      </c>
      <c r="AX75" s="39"/>
      <c r="AY75" s="39"/>
      <c r="AZ75" s="39"/>
      <c r="BA75" s="39"/>
      <c r="BB75" s="39"/>
      <c r="BC75" s="39"/>
      <c r="BD75" s="23"/>
      <c r="BF75" s="24" t="n">
        <f aca="false">IFERROR((BC75/AV75)^(1/5)-1,"n/m")</f>
        <v>-1</v>
      </c>
      <c r="BG75" s="24" t="n">
        <f aca="false">IFERROR((AV75/AG75)^(1/5)-1,"n/m")</f>
        <v>0.198949660744336</v>
      </c>
      <c r="BH75" s="24" t="n">
        <f aca="false">IFERROR((AV75/R75)^(1/10)-1,"n/m")</f>
        <v>0.1005879605144</v>
      </c>
      <c r="BI75" s="24" t="str">
        <f aca="false">IFERROR((AV75/C75)^(1/19)-1,"n/m")</f>
        <v>n/m</v>
      </c>
      <c r="BL75" s="13" t="s">
        <v>80</v>
      </c>
      <c r="BM75" s="45" t="n">
        <f aca="false">MAX(0,BN75+$BM$72)</f>
        <v>550</v>
      </c>
      <c r="BN75" s="33" t="n">
        <v>250</v>
      </c>
      <c r="BO75" s="45" t="n">
        <f aca="false">MAX(0,BN75+$BO$72)</f>
        <v>50</v>
      </c>
    </row>
    <row r="76" customFormat="false" ht="15" hidden="false" customHeight="true" outlineLevel="0" collapsed="false">
      <c r="B76" s="13" t="s">
        <v>136</v>
      </c>
      <c r="C76" s="37"/>
      <c r="D76" s="37"/>
      <c r="E76" s="37"/>
      <c r="F76" s="38" t="n">
        <v>408.4</v>
      </c>
      <c r="G76" s="38" t="n">
        <v>453.2</v>
      </c>
      <c r="H76" s="38" t="n">
        <v>471.6</v>
      </c>
      <c r="I76" s="38" t="n">
        <v>545</v>
      </c>
      <c r="J76" s="38" t="n">
        <v>221.4</v>
      </c>
      <c r="K76" s="37" t="n">
        <f aca="false">L76-J76</f>
        <v>241.8</v>
      </c>
      <c r="L76" s="38" t="n">
        <v>463.2</v>
      </c>
      <c r="M76" s="38" t="n">
        <v>220.8</v>
      </c>
      <c r="N76" s="37" t="n">
        <f aca="false">O76-M76</f>
        <v>263.6</v>
      </c>
      <c r="O76" s="38" t="n">
        <v>484.4</v>
      </c>
      <c r="P76" s="38" t="n">
        <v>279.7</v>
      </c>
      <c r="Q76" s="37" t="n">
        <f aca="false">R76-P76</f>
        <v>320.5</v>
      </c>
      <c r="R76" s="38" t="n">
        <v>600.2</v>
      </c>
      <c r="S76" s="38" t="n">
        <v>329.8</v>
      </c>
      <c r="T76" s="37" t="n">
        <f aca="false">U76-S76</f>
        <v>394.3</v>
      </c>
      <c r="U76" s="38" t="n">
        <v>724.1</v>
      </c>
      <c r="V76" s="38" t="n">
        <v>348.7</v>
      </c>
      <c r="W76" s="37" t="n">
        <f aca="false">X76-V76</f>
        <v>367.9</v>
      </c>
      <c r="X76" s="38" t="n">
        <v>716.6</v>
      </c>
      <c r="Y76" s="38" t="n">
        <v>344.8</v>
      </c>
      <c r="Z76" s="37" t="n">
        <f aca="false">AA76-Y76</f>
        <v>403.5</v>
      </c>
      <c r="AA76" s="38" t="n">
        <v>748.3</v>
      </c>
      <c r="AB76" s="38" t="n">
        <v>400.6</v>
      </c>
      <c r="AC76" s="37" t="n">
        <f aca="false">AD76-AB76</f>
        <v>463.4</v>
      </c>
      <c r="AD76" s="38" t="n">
        <v>864</v>
      </c>
      <c r="AE76" s="38" t="n">
        <v>322.2</v>
      </c>
      <c r="AF76" s="37" t="n">
        <f aca="false">AG76-AE76</f>
        <v>511.7</v>
      </c>
      <c r="AG76" s="38" t="n">
        <v>833.9</v>
      </c>
      <c r="AH76" s="38" t="n">
        <v>469</v>
      </c>
      <c r="AI76" s="37" t="n">
        <f aca="false">AJ76-AH76</f>
        <v>508</v>
      </c>
      <c r="AJ76" s="38" t="n">
        <v>977</v>
      </c>
      <c r="AK76" s="38" t="n">
        <v>546</v>
      </c>
      <c r="AL76" s="37" t="n">
        <f aca="false">AM76-AK76</f>
        <v>555</v>
      </c>
      <c r="AM76" s="38" t="n">
        <v>1101</v>
      </c>
      <c r="AN76" s="38" t="n">
        <v>636</v>
      </c>
      <c r="AO76" s="37" t="n">
        <f aca="false">AP76-AN76</f>
        <v>624</v>
      </c>
      <c r="AP76" s="38" t="n">
        <v>1260</v>
      </c>
      <c r="AQ76" s="38" t="n">
        <v>693</v>
      </c>
      <c r="AR76" s="37" t="n">
        <f aca="false">AS76-AQ76</f>
        <v>744</v>
      </c>
      <c r="AS76" s="38" t="n">
        <v>1437</v>
      </c>
      <c r="AT76" s="38" t="n">
        <v>815</v>
      </c>
      <c r="AU76" s="37" t="n">
        <f aca="false">AV76-AT76</f>
        <v>776</v>
      </c>
      <c r="AV76" s="38" t="n">
        <v>1591</v>
      </c>
      <c r="AW76" s="38" t="n">
        <v>798</v>
      </c>
      <c r="AX76" s="39"/>
      <c r="AY76" s="39"/>
      <c r="AZ76" s="39"/>
      <c r="BA76" s="39"/>
      <c r="BB76" s="39"/>
      <c r="BC76" s="39"/>
      <c r="BD76" s="23"/>
      <c r="BF76" s="24" t="n">
        <f aca="false">IFERROR((BC76/AV76)^(1/5)-1,"n/m")</f>
        <v>-1</v>
      </c>
      <c r="BG76" s="24" t="n">
        <f aca="false">IFERROR((AV76/AG76)^(1/5)-1,"n/m")</f>
        <v>0.137918717548583</v>
      </c>
      <c r="BH76" s="24" t="n">
        <f aca="false">IFERROR((AV76/R76)^(1/10)-1,"n/m")</f>
        <v>0.102395467222618</v>
      </c>
      <c r="BI76" s="24" t="str">
        <f aca="false">IFERROR((AV76/C76)^(1/19)-1,"n/m")</f>
        <v>n/m</v>
      </c>
      <c r="BL76" s="13" t="s">
        <v>81</v>
      </c>
      <c r="BM76" s="45" t="n">
        <f aca="false">MAX(0,BN76+$BM$72)</f>
        <v>550</v>
      </c>
      <c r="BN76" s="33" t="n">
        <v>250</v>
      </c>
      <c r="BO76" s="45" t="n">
        <f aca="false">MAX(0,BN76+$BO$72)</f>
        <v>50</v>
      </c>
    </row>
    <row r="77" customFormat="false" ht="15" hidden="false" customHeight="true" outlineLevel="0" collapsed="false">
      <c r="B77" s="13" t="s">
        <v>137</v>
      </c>
      <c r="C77" s="37"/>
      <c r="D77" s="37"/>
      <c r="E77" s="37"/>
      <c r="F77" s="38" t="n">
        <v>422.6</v>
      </c>
      <c r="G77" s="38" t="n">
        <v>630.9</v>
      </c>
      <c r="H77" s="38" t="n">
        <v>808</v>
      </c>
      <c r="I77" s="38" t="n">
        <v>1100.3</v>
      </c>
      <c r="J77" s="38" t="n">
        <v>591.2</v>
      </c>
      <c r="K77" s="37" t="n">
        <f aca="false">L77-J77</f>
        <v>656.9</v>
      </c>
      <c r="L77" s="38" t="n">
        <v>1248.1</v>
      </c>
      <c r="M77" s="38" t="n">
        <v>662.3</v>
      </c>
      <c r="N77" s="37" t="n">
        <f aca="false">O77-M77</f>
        <v>742.7</v>
      </c>
      <c r="O77" s="38" t="n">
        <v>1405</v>
      </c>
      <c r="P77" s="38" t="n">
        <v>842.2</v>
      </c>
      <c r="Q77" s="37" t="n">
        <f aca="false">R77-P77</f>
        <v>851.8</v>
      </c>
      <c r="R77" s="38" t="n">
        <v>1694</v>
      </c>
      <c r="S77" s="38" t="n">
        <v>856.1</v>
      </c>
      <c r="T77" s="37" t="n">
        <f aca="false">U77-S77</f>
        <v>921.7</v>
      </c>
      <c r="U77" s="38" t="n">
        <v>1777.8</v>
      </c>
      <c r="V77" s="38" t="n">
        <v>998.5</v>
      </c>
      <c r="W77" s="37" t="n">
        <f aca="false">X77-V77</f>
        <v>947.5</v>
      </c>
      <c r="X77" s="38" t="n">
        <v>1946</v>
      </c>
      <c r="Y77" s="38" t="n">
        <v>1072.8</v>
      </c>
      <c r="Z77" s="37" t="n">
        <f aca="false">AA77-Y77</f>
        <v>1069.6</v>
      </c>
      <c r="AA77" s="38" t="n">
        <v>2142.4</v>
      </c>
      <c r="AB77" s="38" t="n">
        <v>1299.3</v>
      </c>
      <c r="AC77" s="37" t="n">
        <f aca="false">AD77-AB77</f>
        <v>1290.3</v>
      </c>
      <c r="AD77" s="38" t="n">
        <v>2589.6</v>
      </c>
      <c r="AE77" s="38" t="n">
        <v>1183.7</v>
      </c>
      <c r="AF77" s="37" t="n">
        <f aca="false">AG77-AE77</f>
        <v>1731.7</v>
      </c>
      <c r="AG77" s="38" t="n">
        <v>2915.4</v>
      </c>
      <c r="AH77" s="38" t="n">
        <v>2153</v>
      </c>
      <c r="AI77" s="37" t="n">
        <f aca="false">AJ77-AH77</f>
        <v>2098</v>
      </c>
      <c r="AJ77" s="38" t="n">
        <v>4251</v>
      </c>
      <c r="AK77" s="38" t="n">
        <v>2665</v>
      </c>
      <c r="AL77" s="37" t="n">
        <f aca="false">AM77-AK77</f>
        <v>2891</v>
      </c>
      <c r="AM77" s="38" t="n">
        <v>5556</v>
      </c>
      <c r="AN77" s="38" t="n">
        <v>3297</v>
      </c>
      <c r="AO77" s="37" t="n">
        <f aca="false">AP77-AN77</f>
        <v>2976</v>
      </c>
      <c r="AP77" s="38" t="n">
        <v>6273</v>
      </c>
      <c r="AQ77" s="38" t="n">
        <v>3521</v>
      </c>
      <c r="AR77" s="37" t="n">
        <f aca="false">AS77-AQ77</f>
        <v>3127</v>
      </c>
      <c r="AS77" s="38" t="n">
        <v>6648</v>
      </c>
      <c r="AT77" s="38" t="n">
        <v>3574</v>
      </c>
      <c r="AU77" s="37" t="n">
        <f aca="false">AV77-AT77</f>
        <v>3128</v>
      </c>
      <c r="AV77" s="38" t="n">
        <v>6702</v>
      </c>
      <c r="AW77" s="38" t="n">
        <v>3533</v>
      </c>
      <c r="AX77" s="39"/>
      <c r="AY77" s="39"/>
      <c r="AZ77" s="39"/>
      <c r="BA77" s="39"/>
      <c r="BB77" s="39"/>
      <c r="BC77" s="39"/>
      <c r="BD77" s="23"/>
      <c r="BF77" s="24" t="n">
        <f aca="false">IFERROR((BC77/AV77)^(1/5)-1,"n/m")</f>
        <v>-1</v>
      </c>
      <c r="BG77" s="24" t="n">
        <f aca="false">IFERROR((AV77/AG77)^(1/5)-1,"n/m")</f>
        <v>0.18113966660541</v>
      </c>
      <c r="BH77" s="24" t="n">
        <f aca="false">IFERROR((AV77/R77)^(1/10)-1,"n/m")</f>
        <v>0.147437665311606</v>
      </c>
      <c r="BI77" s="24" t="str">
        <f aca="false">IFERROR((AV77/C77)^(1/19)-1,"n/m")</f>
        <v>n/m</v>
      </c>
      <c r="BL77" s="13" t="s">
        <v>82</v>
      </c>
      <c r="BM77" s="45" t="n">
        <f aca="false">MAX(0,BN77+$BM$72)</f>
        <v>550</v>
      </c>
      <c r="BN77" s="33" t="n">
        <v>250</v>
      </c>
      <c r="BO77" s="45" t="n">
        <f aca="false">MAX(0,BN77+$BO$72)</f>
        <v>50</v>
      </c>
    </row>
    <row r="78" customFormat="false" ht="15" hidden="false" customHeight="true" outlineLevel="0" collapsed="false">
      <c r="B78" s="13" t="s">
        <v>138</v>
      </c>
      <c r="C78" s="37"/>
      <c r="D78" s="37"/>
      <c r="E78" s="37"/>
      <c r="F78" s="38" t="n">
        <v>293.7</v>
      </c>
      <c r="G78" s="38" t="n">
        <v>384.7</v>
      </c>
      <c r="H78" s="38" t="n">
        <v>464.2</v>
      </c>
      <c r="I78" s="38" t="n">
        <v>568.9</v>
      </c>
      <c r="J78" s="38" t="n">
        <v>286.1</v>
      </c>
      <c r="K78" s="37" t="n">
        <f aca="false">L78-J78</f>
        <v>341.3</v>
      </c>
      <c r="L78" s="38" t="n">
        <v>627.4</v>
      </c>
      <c r="M78" s="38" t="n">
        <v>306.7</v>
      </c>
      <c r="N78" s="37" t="n">
        <f aca="false">O78-M78</f>
        <v>404.4</v>
      </c>
      <c r="O78" s="38" t="n">
        <v>711.1</v>
      </c>
      <c r="P78" s="38" t="n">
        <v>403.8</v>
      </c>
      <c r="Q78" s="37" t="n">
        <f aca="false">R78-P78</f>
        <v>480.3</v>
      </c>
      <c r="R78" s="38" t="n">
        <v>884.1</v>
      </c>
      <c r="S78" s="38" t="n">
        <v>431.6</v>
      </c>
      <c r="T78" s="37" t="n">
        <f aca="false">U78-S78</f>
        <v>509.2</v>
      </c>
      <c r="U78" s="38" t="n">
        <v>940.8</v>
      </c>
      <c r="V78" s="38" t="n">
        <v>482.4</v>
      </c>
      <c r="W78" s="37" t="n">
        <f aca="false">X78-V78</f>
        <v>513.4</v>
      </c>
      <c r="X78" s="38" t="n">
        <v>995.8</v>
      </c>
      <c r="Y78" s="38" t="n">
        <v>489.9</v>
      </c>
      <c r="Z78" s="37" t="n">
        <f aca="false">AA78-Y78</f>
        <v>568.7</v>
      </c>
      <c r="AA78" s="38" t="n">
        <v>1058.6</v>
      </c>
      <c r="AB78" s="38" t="n">
        <v>569.2</v>
      </c>
      <c r="AC78" s="37" t="n">
        <f aca="false">AD78-AB78</f>
        <v>671.5</v>
      </c>
      <c r="AD78" s="38" t="n">
        <v>1240.7</v>
      </c>
      <c r="AE78" s="38" t="n">
        <v>336.8</v>
      </c>
      <c r="AF78" s="37" t="n">
        <f aca="false">AG78-AE78</f>
        <v>622.2</v>
      </c>
      <c r="AG78" s="38" t="n">
        <v>959</v>
      </c>
      <c r="AH78" s="38" t="n">
        <v>667.9</v>
      </c>
      <c r="AI78" s="37" t="n">
        <f aca="false">AJ78-AH78</f>
        <v>790.1</v>
      </c>
      <c r="AJ78" s="38" t="n">
        <v>1458</v>
      </c>
      <c r="AK78" s="38" t="n">
        <v>982</v>
      </c>
      <c r="AL78" s="37" t="n">
        <f aca="false">AM78-AK78</f>
        <v>1156</v>
      </c>
      <c r="AM78" s="38" t="n">
        <v>2138</v>
      </c>
      <c r="AN78" s="38" t="n">
        <v>1185</v>
      </c>
      <c r="AO78" s="37" t="n">
        <f aca="false">AP78-AN78</f>
        <v>1317</v>
      </c>
      <c r="AP78" s="38" t="n">
        <v>2502</v>
      </c>
      <c r="AQ78" s="38" t="n">
        <v>1329</v>
      </c>
      <c r="AR78" s="37" t="n">
        <f aca="false">AS78-AQ78</f>
        <v>1536</v>
      </c>
      <c r="AS78" s="38" t="n">
        <v>2865</v>
      </c>
      <c r="AT78" s="38" t="n">
        <v>1455</v>
      </c>
      <c r="AU78" s="37" t="n">
        <f aca="false">AV78-AT78</f>
        <v>1620</v>
      </c>
      <c r="AV78" s="38" t="n">
        <v>3075</v>
      </c>
      <c r="AW78" s="38" t="n">
        <v>1585</v>
      </c>
      <c r="AX78" s="39"/>
      <c r="AY78" s="39"/>
      <c r="AZ78" s="39"/>
      <c r="BA78" s="39"/>
      <c r="BB78" s="39"/>
      <c r="BC78" s="39"/>
      <c r="BD78" s="23"/>
      <c r="BF78" s="24" t="n">
        <f aca="false">IFERROR((BC78/AV78)^(1/5)-1,"n/m")</f>
        <v>-1</v>
      </c>
      <c r="BG78" s="24" t="n">
        <f aca="false">IFERROR((AV78/AG78)^(1/5)-1,"n/m")</f>
        <v>0.262424175143458</v>
      </c>
      <c r="BH78" s="24" t="n">
        <f aca="false">IFERROR((AV78/R78)^(1/10)-1,"n/m")</f>
        <v>0.132750787961309</v>
      </c>
      <c r="BI78" s="24" t="str">
        <f aca="false">IFERROR((AV78/C78)^(1/19)-1,"n/m")</f>
        <v>n/m</v>
      </c>
      <c r="BL78" s="18" t="s">
        <v>139</v>
      </c>
      <c r="BM78" s="44" t="n">
        <v>1000</v>
      </c>
      <c r="BN78" s="25" t="s">
        <v>75</v>
      </c>
      <c r="BO78" s="44" t="n">
        <v>0</v>
      </c>
      <c r="BP78" s="16" t="s">
        <v>140</v>
      </c>
    </row>
    <row r="79" customFormat="false" ht="15" hidden="false" customHeight="true" outlineLevel="0" collapsed="false">
      <c r="B79" s="13" t="s">
        <v>141</v>
      </c>
      <c r="C79" s="37"/>
      <c r="D79" s="37"/>
      <c r="E79" s="37"/>
      <c r="F79" s="38" t="n">
        <v>34.1</v>
      </c>
      <c r="G79" s="38" t="n">
        <v>31.3</v>
      </c>
      <c r="H79" s="38" t="n">
        <v>42.8</v>
      </c>
      <c r="I79" s="38" t="n">
        <v>52.6</v>
      </c>
      <c r="J79" s="38" t="n">
        <v>32.4</v>
      </c>
      <c r="K79" s="37" t="n">
        <f aca="false">L79-J79</f>
        <v>33.7</v>
      </c>
      <c r="L79" s="38" t="n">
        <v>66.1</v>
      </c>
      <c r="M79" s="38" t="n">
        <v>38.4</v>
      </c>
      <c r="N79" s="37" t="n">
        <f aca="false">O79-M79</f>
        <v>36.1</v>
      </c>
      <c r="O79" s="38" t="n">
        <v>74.5</v>
      </c>
      <c r="P79" s="38" t="n">
        <v>38.7</v>
      </c>
      <c r="Q79" s="37" t="n">
        <f aca="false">R79-P79</f>
        <v>34.5</v>
      </c>
      <c r="R79" s="38" t="n">
        <v>73.2</v>
      </c>
      <c r="S79" s="38" t="n">
        <v>36.7</v>
      </c>
      <c r="T79" s="37" t="n">
        <f aca="false">U79-S79</f>
        <v>40</v>
      </c>
      <c r="U79" s="38" t="n">
        <v>76.7</v>
      </c>
      <c r="V79" s="38" t="n">
        <v>47.2</v>
      </c>
      <c r="W79" s="37" t="n">
        <f aca="false">X79-V79</f>
        <v>44.6</v>
      </c>
      <c r="X79" s="38" t="n">
        <v>91.8</v>
      </c>
      <c r="Y79" s="38" t="n">
        <v>54.8</v>
      </c>
      <c r="Z79" s="37" t="n">
        <f aca="false">AA79-Y79</f>
        <v>53.3</v>
      </c>
      <c r="AA79" s="38" t="n">
        <v>108.1</v>
      </c>
      <c r="AB79" s="38" t="n">
        <v>64.6</v>
      </c>
      <c r="AC79" s="37" t="n">
        <f aca="false">AD79-AB79</f>
        <v>55.4</v>
      </c>
      <c r="AD79" s="38" t="n">
        <v>120</v>
      </c>
      <c r="AE79" s="38" t="n">
        <v>44.1</v>
      </c>
      <c r="AF79" s="37" t="n">
        <f aca="false">AG79-AE79</f>
        <v>64.1</v>
      </c>
      <c r="AG79" s="38" t="n">
        <v>108.2</v>
      </c>
      <c r="AH79" s="38" t="n">
        <v>82.3</v>
      </c>
      <c r="AI79" s="37" t="n">
        <f aca="false">AJ79-AH79</f>
        <v>73.7</v>
      </c>
      <c r="AJ79" s="38" t="n">
        <v>156</v>
      </c>
      <c r="AK79" s="38" t="n">
        <v>106</v>
      </c>
      <c r="AL79" s="37" t="n">
        <f aca="false">AM79-AK79</f>
        <v>101</v>
      </c>
      <c r="AM79" s="38" t="n">
        <v>207</v>
      </c>
      <c r="AN79" s="38" t="n">
        <v>151</v>
      </c>
      <c r="AO79" s="37" t="n">
        <f aca="false">AP79-AN79</f>
        <v>148</v>
      </c>
      <c r="AP79" s="38" t="n">
        <v>299</v>
      </c>
      <c r="AQ79" s="38" t="n">
        <v>311</v>
      </c>
      <c r="AR79" s="37" t="n">
        <f aca="false">AS79-AQ79</f>
        <v>316</v>
      </c>
      <c r="AS79" s="38" t="n">
        <v>627</v>
      </c>
      <c r="AT79" s="38" t="n">
        <v>362</v>
      </c>
      <c r="AU79" s="37" t="n">
        <f aca="false">AV79-AT79</f>
        <v>335</v>
      </c>
      <c r="AV79" s="38" t="n">
        <v>697</v>
      </c>
      <c r="AW79" s="38" t="n">
        <v>330</v>
      </c>
      <c r="AX79" s="39"/>
      <c r="AY79" s="39"/>
      <c r="AZ79" s="39"/>
      <c r="BA79" s="39"/>
      <c r="BB79" s="39"/>
      <c r="BC79" s="39"/>
      <c r="BD79" s="23"/>
      <c r="BF79" s="24" t="n">
        <f aca="false">IFERROR((BC79/AV79)^(1/5)-1,"n/m")</f>
        <v>-1</v>
      </c>
      <c r="BG79" s="24" t="n">
        <f aca="false">IFERROR((AV79/AG79)^(1/5)-1,"n/m")</f>
        <v>0.451446737295108</v>
      </c>
      <c r="BH79" s="24" t="n">
        <f aca="false">IFERROR((AV79/R79)^(1/10)-1,"n/m")</f>
        <v>0.252772379478265</v>
      </c>
      <c r="BI79" s="24" t="str">
        <f aca="false">IFERROR((AV79/C79)^(1/19)-1,"n/m")</f>
        <v>n/m</v>
      </c>
      <c r="BL79" s="13" t="s">
        <v>142</v>
      </c>
      <c r="BM79" s="45" t="n">
        <f aca="false">MAX(0,BN79+$BM$78)</f>
        <v>1000</v>
      </c>
      <c r="BN79" s="33" t="n">
        <v>0</v>
      </c>
      <c r="BO79" s="45" t="n">
        <f aca="false">MAX(0,BN79+$BO$78)</f>
        <v>0</v>
      </c>
    </row>
    <row r="80" customFormat="false" ht="15" hidden="false" customHeight="true" outlineLevel="0" collapsed="false">
      <c r="B80" s="19" t="s">
        <v>143</v>
      </c>
      <c r="C80" s="20" t="str">
        <f aca="false">IF(ISNUMBER(C74),N(C74)+N(C75)+N(C76)+N(C77)+N(C78)+N(C79),"")</f>
        <v/>
      </c>
      <c r="D80" s="20" t="str">
        <f aca="false">IF(ISNUMBER(D74),N(D74)+N(D75)+N(D76)+N(D77)+N(D78)+N(D79),"")</f>
        <v/>
      </c>
      <c r="E80" s="20" t="str">
        <f aca="false">IF(ISNUMBER(E74),N(E74)+N(E75)+N(E76)+N(E77)+N(E78)+N(E79),"")</f>
        <v/>
      </c>
      <c r="F80" s="20" t="n">
        <f aca="false">IF(ISNUMBER(F74),N(F74)+N(F75)+N(F76)+N(F77)+N(F78)+N(F79),"")</f>
        <v>1914.3</v>
      </c>
      <c r="G80" s="20" t="n">
        <f aca="false">IF(ISNUMBER(G74),N(G74)+N(G75)+N(G76)+N(G77)+N(G78)+N(G79),"")</f>
        <v>2400.7</v>
      </c>
      <c r="H80" s="20" t="n">
        <f aca="false">IF(ISNUMBER(H74),N(H74)+N(H75)+N(H76)+N(H77)+N(H78)+N(H79),"")</f>
        <v>2841.2</v>
      </c>
      <c r="I80" s="20" t="n">
        <f aca="false">IF(ISNUMBER(I74),N(I74)+N(I75)+N(I76)+N(I77)+N(I78)+N(I79),"")</f>
        <v>3484.1</v>
      </c>
      <c r="J80" s="20" t="n">
        <f aca="false">IF(ISNUMBER(J74),N(J74)+N(J75)+N(J76)+N(J77)+N(J78)+N(J79),"")</f>
        <v>1767.2</v>
      </c>
      <c r="K80" s="20" t="n">
        <f aca="false">IF(ISNUMBER(K74),N(K74)+N(K75)+N(K76)+N(K77)+N(K78)+N(K79),"")</f>
        <v>1987.7</v>
      </c>
      <c r="L80" s="20" t="n">
        <f aca="false">IF(ISNUMBER(L74),N(L74)+N(L75)+N(L76)+N(L77)+N(L78)+N(L79),"")</f>
        <v>3754.9</v>
      </c>
      <c r="M80" s="20" t="n">
        <f aca="false">IF(ISNUMBER(M74),N(M74)+N(M75)+N(M76)+N(M77)+N(M78)+N(M79),"")</f>
        <v>1906.9</v>
      </c>
      <c r="N80" s="20" t="n">
        <f aca="false">IF(ISNUMBER(N74),N(N74)+N(N75)+N(N76)+N(N77)+N(N78)+N(N79),"")</f>
        <v>2211.8</v>
      </c>
      <c r="O80" s="20" t="n">
        <f aca="false">IF(ISNUMBER(O74),N(O74)+N(O75)+N(O76)+N(O77)+N(O78)+N(O79),"")</f>
        <v>4118.7</v>
      </c>
      <c r="P80" s="20" t="n">
        <f aca="false">IF(ISNUMBER(P74),N(P74)+N(P75)+N(P76)+N(P77)+N(P78)+N(P79),"")</f>
        <v>2299.4</v>
      </c>
      <c r="Q80" s="20" t="n">
        <f aca="false">IF(ISNUMBER(Q74),N(Q74)+N(Q75)+N(Q76)+N(Q77)+N(Q78)+N(Q79),"")</f>
        <v>2541.7</v>
      </c>
      <c r="R80" s="20" t="n">
        <f aca="false">IF(ISNUMBER(R74),N(R74)+N(R75)+N(R76)+N(R77)+N(R78)+N(R79),"")</f>
        <v>4841.1</v>
      </c>
      <c r="S80" s="20" t="n">
        <f aca="false">IF(ISNUMBER(S74),N(S74)+N(S75)+N(S76)+N(S77)+N(S78)+N(S79),"")</f>
        <v>2440.3</v>
      </c>
      <c r="T80" s="20" t="n">
        <f aca="false">IF(ISNUMBER(T74),N(T74)+N(T75)+N(T76)+N(T77)+N(T78)+N(T79),"")</f>
        <v>2762</v>
      </c>
      <c r="U80" s="20" t="n">
        <f aca="false">IF(ISNUMBER(U74),N(U74)+N(U75)+N(U76)+N(U77)+N(U78)+N(U79),"")</f>
        <v>5202.3</v>
      </c>
      <c r="V80" s="20" t="n">
        <f aca="false">IF(ISNUMBER(V74),N(V74)+N(V75)+N(V76)+N(V77)+N(V78)+N(V79),"")</f>
        <v>2713</v>
      </c>
      <c r="W80" s="20" t="n">
        <f aca="false">IF(ISNUMBER(W74),N(W74)+N(W75)+N(W76)+N(W77)+N(W78)+N(W79),"")</f>
        <v>2836.2</v>
      </c>
      <c r="X80" s="20" t="n">
        <f aca="false">IF(ISNUMBER(X74),N(X74)+N(X75)+N(X76)+N(X77)+N(X78)+N(X79),"")</f>
        <v>5549.2</v>
      </c>
      <c r="Y80" s="20" t="n">
        <f aca="false">IF(ISNUMBER(Y74),N(Y74)+N(Y75)+N(Y76)+N(Y77)+N(Y78)+N(Y79),"")</f>
        <v>2853.3</v>
      </c>
      <c r="Z80" s="20" t="n">
        <f aca="false">IF(ISNUMBER(Z74),N(Z74)+N(Z75)+N(Z76)+N(Z77)+N(Z78)+N(Z79),"")</f>
        <v>3112.8</v>
      </c>
      <c r="AA80" s="20" t="n">
        <f aca="false">IF(ISNUMBER(AA74),N(AA74)+N(AA75)+N(AA76)+N(AA77)+N(AA78)+N(AA79),"")</f>
        <v>5966.1</v>
      </c>
      <c r="AB80" s="20" t="n">
        <f aca="false">IF(ISNUMBER(AB74),N(AB74)+N(AB75)+N(AB76)+N(AB77)+N(AB78)+N(AB79),"")</f>
        <v>3284.1</v>
      </c>
      <c r="AC80" s="20" t="n">
        <f aca="false">IF(ISNUMBER(AC74),N(AC74)+N(AC75)+N(AC76)+N(AC77)+N(AC78)+N(AC79),"")</f>
        <v>3599.4</v>
      </c>
      <c r="AD80" s="20" t="n">
        <f aca="false">IF(ISNUMBER(AD74),N(AD74)+N(AD75)+N(AD76)+N(AD77)+N(AD78)+N(AD79),"")</f>
        <v>6883.5</v>
      </c>
      <c r="AE80" s="20" t="n">
        <f aca="false">IF(ISNUMBER(AE74),N(AE74)+N(AE75)+N(AE76)+N(AE77)+N(AE78)+N(AE79),"")</f>
        <v>2487.9</v>
      </c>
      <c r="AF80" s="20" t="n">
        <f aca="false">IF(ISNUMBER(AF74),N(AF74)+N(AF75)+N(AF76)+N(AF77)+N(AF78)+N(AF79),"")</f>
        <v>3901.6</v>
      </c>
      <c r="AG80" s="20" t="n">
        <f aca="false">IF(ISNUMBER(AG74),N(AG74)+N(AG75)+N(AG76)+N(AG77)+N(AG78)+N(AG79),"")</f>
        <v>6389.5</v>
      </c>
      <c r="AH80" s="20" t="n">
        <f aca="false">IF(ISNUMBER(AH74),N(AH74)+N(AH75)+N(AH76)+N(AH77)+N(AH78)+N(AH79),"")</f>
        <v>4235.3</v>
      </c>
      <c r="AI80" s="20" t="n">
        <f aca="false">IF(ISNUMBER(AI74),N(AI74)+N(AI75)+N(AI76)+N(AI77)+N(AI78)+N(AI79),"")</f>
        <v>4747.7</v>
      </c>
      <c r="AJ80" s="20" t="n">
        <f aca="false">IF(ISNUMBER(AJ74),N(AJ74)+N(AJ75)+N(AJ76)+N(AJ77)+N(AJ78)+N(AJ79),"")</f>
        <v>8983</v>
      </c>
      <c r="AK80" s="20" t="n">
        <f aca="false">IF(ISNUMBER(AK74),N(AK74)+N(AK75)+N(AK76)+N(AK77)+N(AK78)+N(AK79),"")</f>
        <v>5475</v>
      </c>
      <c r="AL80" s="20" t="n">
        <f aca="false">IF(ISNUMBER(AL74),N(AL74)+N(AL75)+N(AL76)+N(AL77)+N(AL78)+N(AL79),"")</f>
        <v>6127</v>
      </c>
      <c r="AM80" s="20" t="n">
        <f aca="false">IF(ISNUMBER(AM74),N(AM74)+N(AM75)+N(AM76)+N(AM77)+N(AM78)+N(AM79),"")</f>
        <v>11602</v>
      </c>
      <c r="AN80" s="20" t="n">
        <f aca="false">IF(ISNUMBER(AN74),N(AN74)+N(AN75)+N(AN76)+N(AN77)+N(AN78)+N(AN79),"")</f>
        <v>6698</v>
      </c>
      <c r="AO80" s="20" t="n">
        <f aca="false">IF(ISNUMBER(AO74),N(AO74)+N(AO75)+N(AO76)+N(AO77)+N(AO78)+N(AO79),"")</f>
        <v>6728</v>
      </c>
      <c r="AP80" s="20" t="n">
        <f aca="false">IF(ISNUMBER(AP74),N(AP74)+N(AP75)+N(AP76)+N(AP77)+N(AP78)+N(AP79),"")</f>
        <v>13426</v>
      </c>
      <c r="AQ80" s="20" t="n">
        <f aca="false">IF(ISNUMBER(AQ74),N(AQ74)+N(AQ75)+N(AQ76)+N(AQ77)+N(AQ78)+N(AQ79),"")</f>
        <v>7504</v>
      </c>
      <c r="AR80" s="20" t="n">
        <f aca="false">IF(ISNUMBER(AR74),N(AR74)+N(AR75)+N(AR76)+N(AR77)+N(AR78)+N(AR79),"")</f>
        <v>7667</v>
      </c>
      <c r="AS80" s="20" t="n">
        <f aca="false">IF(ISNUMBER(AS74),N(AS74)+N(AS75)+N(AS76)+N(AS77)+N(AS78)+N(AS79),"")</f>
        <v>15171</v>
      </c>
      <c r="AT80" s="20" t="n">
        <f aca="false">IF(ISNUMBER(AT74),N(AT74)+N(AT75)+N(AT76)+N(AT77)+N(AT78)+N(AT79),"")</f>
        <v>8034</v>
      </c>
      <c r="AU80" s="20" t="n">
        <f aca="false">IF(ISNUMBER(AU74),N(AU74)+N(AU75)+N(AU76)+N(AU77)+N(AU78)+N(AU79),"")</f>
        <v>7968</v>
      </c>
      <c r="AV80" s="20" t="n">
        <f aca="false">IF(ISNUMBER(AV74),N(AV74)+N(AV75)+N(AV76)+N(AV77)+N(AV78)+N(AV79),"")</f>
        <v>16002</v>
      </c>
      <c r="AW80" s="20" t="n">
        <f aca="false">IF(ISNUMBER(AW74),N(AW74)+N(AW75)+N(AW76)+N(AW77)+N(AW78)+N(AW79),"")</f>
        <v>8164</v>
      </c>
      <c r="AX80" s="22"/>
      <c r="AY80" s="22"/>
      <c r="AZ80" s="22"/>
      <c r="BA80" s="22"/>
      <c r="BB80" s="22"/>
      <c r="BC80" s="22"/>
      <c r="BD80" s="23"/>
      <c r="BF80" s="7"/>
      <c r="BG80" s="7"/>
      <c r="BH80" s="7"/>
      <c r="BI80" s="7"/>
      <c r="BL80" s="13" t="s">
        <v>79</v>
      </c>
      <c r="BM80" s="45" t="n">
        <f aca="false">MAX(0,BN80+$BM$78)</f>
        <v>1000</v>
      </c>
      <c r="BN80" s="33" t="n">
        <v>0</v>
      </c>
      <c r="BO80" s="45" t="n">
        <f aca="false">MAX(0,BN80+$BO$78)</f>
        <v>0</v>
      </c>
    </row>
    <row r="81" customFormat="false" ht="15" hidden="false" customHeight="true" outlineLevel="0" collapsed="false">
      <c r="B81" s="43" t="s">
        <v>144</v>
      </c>
      <c r="C81" s="37" t="str">
        <f aca="false">IF(AND(ISNUMBER(C80),ISNUMBER(C119)),ROUND(C80-C119,0),"")</f>
        <v/>
      </c>
      <c r="D81" s="37" t="str">
        <f aca="false">IF(AND(ISNUMBER(D80),ISNUMBER(D119)),ROUND(D80-D119,0),"")</f>
        <v/>
      </c>
      <c r="E81" s="37" t="str">
        <f aca="false">IF(AND(ISNUMBER(E80),ISNUMBER(E119)),ROUND(E80-E119,0),"")</f>
        <v/>
      </c>
      <c r="F81" s="37" t="n">
        <f aca="false">IF(AND(ISNUMBER(F80),ISNUMBER(F119)),ROUND(F80-F119,0),"")</f>
        <v>0</v>
      </c>
      <c r="G81" s="37" t="n">
        <f aca="false">IF(AND(ISNUMBER(G80),ISNUMBER(G119)),ROUND(G80-G119,0),"")</f>
        <v>-0</v>
      </c>
      <c r="H81" s="37" t="n">
        <f aca="false">IF(AND(ISNUMBER(H80),ISNUMBER(H119)),ROUND(H80-H119,0),"")</f>
        <v>0</v>
      </c>
      <c r="I81" s="37" t="n">
        <f aca="false">IF(AND(ISNUMBER(I80),ISNUMBER(I119)),ROUND(I80-I119,0),"")</f>
        <v>0</v>
      </c>
      <c r="J81" s="37" t="n">
        <f aca="false">IF(AND(ISNUMBER(J80),ISNUMBER(J119)),ROUND(J80-J119,0),"")</f>
        <v>0</v>
      </c>
      <c r="K81" s="37" t="n">
        <f aca="false">IF(AND(ISNUMBER(K80),ISNUMBER(K119)),ROUND(K80-K119,0),"")</f>
        <v>0</v>
      </c>
      <c r="L81" s="37" t="n">
        <f aca="false">IF(AND(ISNUMBER(L80),ISNUMBER(L119)),ROUND(L80-L119,0),"")</f>
        <v>0</v>
      </c>
      <c r="M81" s="37" t="n">
        <f aca="false">IF(AND(ISNUMBER(M80),ISNUMBER(M119)),ROUND(M80-M119,0),"")</f>
        <v>0</v>
      </c>
      <c r="N81" s="37" t="n">
        <f aca="false">IF(AND(ISNUMBER(N80),ISNUMBER(N119)),ROUND(N80-N119,0),"")</f>
        <v>0</v>
      </c>
      <c r="O81" s="37" t="n">
        <f aca="false">IF(AND(ISNUMBER(O80),ISNUMBER(O119)),ROUND(O80-O119,0),"")</f>
        <v>0</v>
      </c>
      <c r="P81" s="37" t="n">
        <f aca="false">IF(AND(ISNUMBER(P80),ISNUMBER(P119)),ROUND(P80-P119,0),"")</f>
        <v>0</v>
      </c>
      <c r="Q81" s="37" t="n">
        <f aca="false">IF(AND(ISNUMBER(Q80),ISNUMBER(Q119)),ROUND(Q80-Q119,0),"")</f>
        <v>0</v>
      </c>
      <c r="R81" s="37" t="n">
        <f aca="false">IF(AND(ISNUMBER(R80),ISNUMBER(R119)),ROUND(R80-R119,0),"")</f>
        <v>0</v>
      </c>
      <c r="S81" s="37" t="n">
        <f aca="false">IF(AND(ISNUMBER(S80),ISNUMBER(S119)),ROUND(S80-S119,0),"")</f>
        <v>-0</v>
      </c>
      <c r="T81" s="37" t="n">
        <f aca="false">IF(AND(ISNUMBER(T80),ISNUMBER(T119)),ROUND(T80-T119,0),"")</f>
        <v>0</v>
      </c>
      <c r="U81" s="37" t="n">
        <f aca="false">IF(AND(ISNUMBER(U80),ISNUMBER(U119)),ROUND(U80-U119,0),"")</f>
        <v>0</v>
      </c>
      <c r="V81" s="37" t="n">
        <f aca="false">IF(AND(ISNUMBER(V80),ISNUMBER(V119)),ROUND(V80-V119,0),"")</f>
        <v>-0</v>
      </c>
      <c r="W81" s="37" t="n">
        <f aca="false">IF(AND(ISNUMBER(W80),ISNUMBER(W119)),ROUND(W80-W119,0),"")</f>
        <v>0</v>
      </c>
      <c r="X81" s="37" t="n">
        <f aca="false">IF(AND(ISNUMBER(X80),ISNUMBER(X119)),ROUND(X80-X119,0),"")</f>
        <v>0</v>
      </c>
      <c r="Y81" s="37" t="n">
        <f aca="false">IF(AND(ISNUMBER(Y80),ISNUMBER(Y119)),ROUND(Y80-Y119,0),"")</f>
        <v>-0</v>
      </c>
      <c r="Z81" s="37" t="n">
        <f aca="false">IF(AND(ISNUMBER(Z80),ISNUMBER(Z119)),ROUND(Z80-Z119,0),"")</f>
        <v>0</v>
      </c>
      <c r="AA81" s="37" t="n">
        <f aca="false">IF(AND(ISNUMBER(AA80),ISNUMBER(AA119)),ROUND(AA80-AA119,0),"")</f>
        <v>0</v>
      </c>
      <c r="AB81" s="37" t="n">
        <f aca="false">IF(AND(ISNUMBER(AB80),ISNUMBER(AB119)),ROUND(AB80-AB119,0),"")</f>
        <v>-0</v>
      </c>
      <c r="AC81" s="37" t="n">
        <f aca="false">IF(AND(ISNUMBER(AC80),ISNUMBER(AC119)),ROUND(AC80-AC119,0),"")</f>
        <v>0</v>
      </c>
      <c r="AD81" s="37" t="n">
        <f aca="false">IF(AND(ISNUMBER(AD80),ISNUMBER(AD119)),ROUND(AD80-AD119,0),"")</f>
        <v>0</v>
      </c>
      <c r="AE81" s="37" t="n">
        <f aca="false">IF(AND(ISNUMBER(AE80),ISNUMBER(AE119)),ROUND(AE80-AE119,0),"")</f>
        <v>-0</v>
      </c>
      <c r="AF81" s="37" t="n">
        <f aca="false">IF(AND(ISNUMBER(AF80),ISNUMBER(AF119)),ROUND(AF80-AF119,0),"")</f>
        <v>0</v>
      </c>
      <c r="AG81" s="37" t="n">
        <f aca="false">IF(AND(ISNUMBER(AG80),ISNUMBER(AG119)),ROUND(AG80-AG119,0),"")</f>
        <v>0</v>
      </c>
      <c r="AH81" s="37" t="n">
        <f aca="false">IF(AND(ISNUMBER(AH80),ISNUMBER(AH119)),ROUND(AH80-AH119,0),"")</f>
        <v>0</v>
      </c>
      <c r="AI81" s="37" t="n">
        <f aca="false">IF(AND(ISNUMBER(AI80),ISNUMBER(AI119)),ROUND(AI80-AI119,0),"")</f>
        <v>1</v>
      </c>
      <c r="AJ81" s="37" t="n">
        <f aca="false">IF(AND(ISNUMBER(AJ80),ISNUMBER(AJ119)),ROUND(AJ80-AJ119,0),"")</f>
        <v>1</v>
      </c>
      <c r="AK81" s="37" t="n">
        <f aca="false">IF(AND(ISNUMBER(AK80),ISNUMBER(AK119)),ROUND(AK80-AK119,0),"")</f>
        <v>0</v>
      </c>
      <c r="AL81" s="37" t="n">
        <f aca="false">IF(AND(ISNUMBER(AL80),ISNUMBER(AL119)),ROUND(AL80-AL119,0),"")</f>
        <v>0</v>
      </c>
      <c r="AM81" s="37" t="n">
        <f aca="false">IF(AND(ISNUMBER(AM80),ISNUMBER(AM119)),ROUND(AM80-AM119,0),"")</f>
        <v>0</v>
      </c>
      <c r="AN81" s="37" t="n">
        <f aca="false">IF(AND(ISNUMBER(AN80),ISNUMBER(AN119)),ROUND(AN80-AN119,0),"")</f>
        <v>0</v>
      </c>
      <c r="AO81" s="37" t="n">
        <f aca="false">IF(AND(ISNUMBER(AO80),ISNUMBER(AO119)),ROUND(AO80-AO119,0),"")</f>
        <v>-1</v>
      </c>
      <c r="AP81" s="37" t="n">
        <f aca="false">IF(AND(ISNUMBER(AP80),ISNUMBER(AP119)),ROUND(AP80-AP119,0),"")</f>
        <v>-1</v>
      </c>
      <c r="AQ81" s="37" t="n">
        <f aca="false">IF(AND(ISNUMBER(AQ80),ISNUMBER(AQ119)),ROUND(AQ80-AQ119,0),"")</f>
        <v>0</v>
      </c>
      <c r="AR81" s="37" t="n">
        <f aca="false">IF(AND(ISNUMBER(AR80),ISNUMBER(AR119)),ROUND(AR80-AR119,0),"")</f>
        <v>1</v>
      </c>
      <c r="AS81" s="37" t="n">
        <f aca="false">IF(AND(ISNUMBER(AS80),ISNUMBER(AS119)),ROUND(AS80-AS119,0),"")</f>
        <v>1</v>
      </c>
      <c r="AT81" s="37" t="n">
        <f aca="false">IF(AND(ISNUMBER(AT80),ISNUMBER(AT119)),ROUND(AT80-AT119,0),"")</f>
        <v>0</v>
      </c>
      <c r="AU81" s="37" t="n">
        <f aca="false">IF(AND(ISNUMBER(AU80),ISNUMBER(AU119)),ROUND(AU80-AU119,0),"")</f>
        <v>0</v>
      </c>
      <c r="AV81" s="37" t="n">
        <f aca="false">IF(AND(ISNUMBER(AV80),ISNUMBER(AV119)),ROUND(AV80-AV119,0),"")</f>
        <v>0</v>
      </c>
      <c r="AW81" s="37" t="n">
        <f aca="false">IF(AND(ISNUMBER(AW80),ISNUMBER(AW119)),ROUND(AW80-AW119,0),"")</f>
        <v>1</v>
      </c>
      <c r="AX81" s="39"/>
      <c r="AY81" s="39"/>
      <c r="AZ81" s="39"/>
      <c r="BA81" s="39"/>
      <c r="BB81" s="39"/>
      <c r="BC81" s="39"/>
      <c r="BD81" s="23"/>
      <c r="BF81" s="7"/>
      <c r="BG81" s="7"/>
      <c r="BH81" s="7"/>
      <c r="BI81" s="7"/>
      <c r="BL81" s="13" t="s">
        <v>80</v>
      </c>
      <c r="BM81" s="45" t="n">
        <f aca="false">MAX(0,BN81+$BM$78)</f>
        <v>1000</v>
      </c>
      <c r="BN81" s="33" t="n">
        <v>0</v>
      </c>
      <c r="BO81" s="45" t="n">
        <f aca="false">MAX(0,BN81+$BO$78)</f>
        <v>0</v>
      </c>
    </row>
    <row r="82" customFormat="false" ht="15" hidden="false" customHeight="true" outlineLevel="0" collapsed="false">
      <c r="B82" s="26" t="s">
        <v>145</v>
      </c>
      <c r="C82" s="30" t="str">
        <f aca="false">IF(AND(ISNUMBER(C74),ISNUMBER(C80)),IFERROR(C74/C80,""),"")</f>
        <v/>
      </c>
      <c r="D82" s="30" t="str">
        <f aca="false">IF(AND(ISNUMBER(D74),ISNUMBER(D80)),IFERROR(D74/D80,""),"")</f>
        <v/>
      </c>
      <c r="E82" s="30" t="str">
        <f aca="false">IF(AND(ISNUMBER(E74),ISNUMBER(E80)),IFERROR(E74/E80,""),"")</f>
        <v/>
      </c>
      <c r="F82" s="30" t="n">
        <f aca="false">IF(AND(ISNUMBER(F74),ISNUMBER(F80)),IFERROR(F74/F80,""),"")</f>
        <v>0.193334378101656</v>
      </c>
      <c r="G82" s="30" t="n">
        <f aca="false">IF(AND(ISNUMBER(G74),ISNUMBER(G80)),IFERROR(G74/G80,""),"")</f>
        <v>0.182113550214521</v>
      </c>
      <c r="H82" s="30" t="n">
        <f aca="false">IF(AND(ISNUMBER(H74),ISNUMBER(H80)),IFERROR(H74/H80,""),"")</f>
        <v>0.174186963254963</v>
      </c>
      <c r="I82" s="30" t="n">
        <f aca="false">IF(AND(ISNUMBER(I74),ISNUMBER(I80)),IFERROR(I74/I80,""),"")</f>
        <v>0.159438592462903</v>
      </c>
      <c r="J82" s="30" t="n">
        <f aca="false">IF(AND(ISNUMBER(J74),ISNUMBER(J80)),IFERROR(J74/J80,""),"")</f>
        <v>0.16364870982345</v>
      </c>
      <c r="K82" s="30" t="n">
        <f aca="false">IF(AND(ISNUMBER(K74),ISNUMBER(K80)),IFERROR(K74/K80,""),"")</f>
        <v>0.162952155757911</v>
      </c>
      <c r="L82" s="30" t="n">
        <f aca="false">IF(AND(ISNUMBER(L74),ISNUMBER(L80)),IFERROR(L74/L80,""),"")</f>
        <v>0.163279980825055</v>
      </c>
      <c r="M82" s="30" t="n">
        <f aca="false">IF(AND(ISNUMBER(M74),ISNUMBER(M80)),IFERROR(M74/M80,""),"")</f>
        <v>0.161466254129739</v>
      </c>
      <c r="N82" s="30" t="n">
        <f aca="false">IF(AND(ISNUMBER(N74),ISNUMBER(N80)),IFERROR(N74/N80,""),"")</f>
        <v>0.15191246948187</v>
      </c>
      <c r="O82" s="30" t="n">
        <f aca="false">IF(AND(ISNUMBER(O74),ISNUMBER(O80)),IFERROR(O74/O80,""),"")</f>
        <v>0.156335737004395</v>
      </c>
      <c r="P82" s="30" t="n">
        <f aca="false">IF(AND(ISNUMBER(P74),ISNUMBER(P80)),IFERROR(P74/P80,""),"")</f>
        <v>0.142776376446029</v>
      </c>
      <c r="Q82" s="30" t="n">
        <f aca="false">IF(AND(ISNUMBER(Q74),ISNUMBER(Q80)),IFERROR(Q74/Q80,""),"")</f>
        <v>0.139867018137467</v>
      </c>
      <c r="R82" s="30" t="n">
        <f aca="false">IF(AND(ISNUMBER(R74),ISNUMBER(R80)),IFERROR(R74/R80,""),"")</f>
        <v>0.141248889715147</v>
      </c>
      <c r="S82" s="30" t="n">
        <f aca="false">IF(AND(ISNUMBER(S74),ISNUMBER(S80)),IFERROR(S74/S80,""),"")</f>
        <v>0.144367495799697</v>
      </c>
      <c r="T82" s="30" t="n">
        <f aca="false">IF(AND(ISNUMBER(T74),ISNUMBER(T80)),IFERROR(T74/T80,""),"")</f>
        <v>0.132838522809558</v>
      </c>
      <c r="U82" s="30" t="n">
        <f aca="false">IF(AND(ISNUMBER(U74),ISNUMBER(U80)),IFERROR(U74/U80,""),"")</f>
        <v>0.138246544797493</v>
      </c>
      <c r="V82" s="30" t="n">
        <f aca="false">IF(AND(ISNUMBER(V74),ISNUMBER(V80)),IFERROR(V74/V80,""),"")</f>
        <v>0.132952451161076</v>
      </c>
      <c r="W82" s="30" t="n">
        <f aca="false">IF(AND(ISNUMBER(W74),ISNUMBER(W80)),IFERROR(W74/W80,""),"")</f>
        <v>0.138988787814682</v>
      </c>
      <c r="X82" s="30" t="n">
        <f aca="false">IF(AND(ISNUMBER(X74),ISNUMBER(X80)),IFERROR(X74/X80,""),"")</f>
        <v>0.13603762704534</v>
      </c>
      <c r="Y82" s="30" t="n">
        <f aca="false">IF(AND(ISNUMBER(Y74),ISNUMBER(Y80)),IFERROR(Y74/Y80,""),"")</f>
        <v>0.136788981179687</v>
      </c>
      <c r="Z82" s="30" t="n">
        <f aca="false">IF(AND(ISNUMBER(Z74),ISNUMBER(Z80)),IFERROR(Z74/Z80,""),"")</f>
        <v>0.132324595219738</v>
      </c>
      <c r="AA82" s="30" t="n">
        <f aca="false">IF(AND(ISNUMBER(AA74),ISNUMBER(AA80)),IFERROR(AA74/AA80,""),"")</f>
        <v>0.134459697289687</v>
      </c>
      <c r="AB82" s="30" t="n">
        <f aca="false">IF(AND(ISNUMBER(AB74),ISNUMBER(AB80)),IFERROR(AB74/AB80,""),"")</f>
        <v>0.123565055875278</v>
      </c>
      <c r="AC82" s="30" t="n">
        <f aca="false">IF(AND(ISNUMBER(AC74),ISNUMBER(AC80)),IFERROR(AC74/AC80,""),"")</f>
        <v>0.128215813746736</v>
      </c>
      <c r="AD82" s="30" t="n">
        <f aca="false">IF(AND(ISNUMBER(AD74),ISNUMBER(AD80)),IFERROR(AD74/AD80,""),"")</f>
        <v>0.125996949226411</v>
      </c>
      <c r="AE82" s="30" t="n">
        <f aca="false">IF(AND(ISNUMBER(AE74),ISNUMBER(AE80)),IFERROR(AE74/AE80,""),"")</f>
        <v>0.101370633867921</v>
      </c>
      <c r="AF82" s="30" t="n">
        <f aca="false">IF(AND(ISNUMBER(AF74),ISNUMBER(AF80)),IFERROR(AF74/AF80,""),"")</f>
        <v>0.0941664957965963</v>
      </c>
      <c r="AG82" s="30" t="n">
        <f aca="false">IF(AND(ISNUMBER(AG74),ISNUMBER(AG80)),IFERROR(AG74/AG80,""),"")</f>
        <v>0.0969715940214414</v>
      </c>
      <c r="AH82" s="30" t="n">
        <f aca="false">IF(AND(ISNUMBER(AH74),ISNUMBER(AH80)),IFERROR(AH74/AH80,""),"")</f>
        <v>0.0805609992208344</v>
      </c>
      <c r="AI82" s="30" t="n">
        <f aca="false">IF(AND(ISNUMBER(AI74),ISNUMBER(AI80)),IFERROR(AI74/AI80,""),"")</f>
        <v>0.10464014154222</v>
      </c>
      <c r="AJ82" s="30" t="n">
        <f aca="false">IF(AND(ISNUMBER(AJ74),ISNUMBER(AJ80)),IFERROR(AJ74/AJ80,""),"")</f>
        <v>0.093287320494267</v>
      </c>
      <c r="AK82" s="30" t="n">
        <f aca="false">IF(AND(ISNUMBER(AK74),ISNUMBER(AK80)),IFERROR(AK74/AK80,""),"")</f>
        <v>0.0876712328767123</v>
      </c>
      <c r="AL82" s="30" t="n">
        <f aca="false">IF(AND(ISNUMBER(AL74),ISNUMBER(AL80)),IFERROR(AL74/AL80,""),"")</f>
        <v>0.095315815244002</v>
      </c>
      <c r="AM82" s="30" t="n">
        <f aca="false">IF(AND(ISNUMBER(AM74),ISNUMBER(AM80)),IFERROR(AM74/AM80,""),"")</f>
        <v>0.0917083261506637</v>
      </c>
      <c r="AN82" s="30" t="n">
        <f aca="false">IF(AND(ISNUMBER(AN74),ISNUMBER(AN80)),IFERROR(AN74/AN80,""),"")</f>
        <v>0.0885338907136459</v>
      </c>
      <c r="AO82" s="30" t="n">
        <f aca="false">IF(AND(ISNUMBER(AO74),ISNUMBER(AO80)),IFERROR(AO74/AO80,""),"")</f>
        <v>0.101218787158145</v>
      </c>
      <c r="AP82" s="30" t="n">
        <f aca="false">IF(AND(ISNUMBER(AP74),ISNUMBER(AP80)),IFERROR(AP74/AP80,""),"")</f>
        <v>0.0948905109489051</v>
      </c>
      <c r="AQ82" s="30" t="n">
        <f aca="false">IF(AND(ISNUMBER(AQ74),ISNUMBER(AQ80)),IFERROR(AQ74/AQ80,""),"")</f>
        <v>0.0906183368869936</v>
      </c>
      <c r="AR82" s="30" t="n">
        <f aca="false">IF(AND(ISNUMBER(AR74),ISNUMBER(AR80)),IFERROR(AR74/AR80,""),"")</f>
        <v>0.100039128733533</v>
      </c>
      <c r="AS82" s="30" t="n">
        <f aca="false">IF(AND(ISNUMBER(AS74),ISNUMBER(AS80)),IFERROR(AS74/AS80,""),"")</f>
        <v>0.0953793421659746</v>
      </c>
      <c r="AT82" s="30" t="n">
        <f aca="false">IF(AND(ISNUMBER(AT74),ISNUMBER(AT80)),IFERROR(AT74/AT80,""),"")</f>
        <v>0.0921085387104805</v>
      </c>
      <c r="AU82" s="30" t="n">
        <f aca="false">IF(AND(ISNUMBER(AU74),ISNUMBER(AU80)),IFERROR(AU74/AU80,""),"")</f>
        <v>0.104794176706827</v>
      </c>
      <c r="AV82" s="30" t="n">
        <f aca="false">IF(AND(ISNUMBER(AV74),ISNUMBER(AV80)),IFERROR(AV74/AV80,""),"")</f>
        <v>0.0984251968503937</v>
      </c>
      <c r="AW82" s="30" t="n">
        <f aca="false">IF(AND(ISNUMBER(AW74),ISNUMBER(AW80)),IFERROR(AW74/AW80,""),"")</f>
        <v>0.092234198922097</v>
      </c>
      <c r="AX82" s="28"/>
      <c r="AY82" s="28"/>
      <c r="AZ82" s="28"/>
      <c r="BA82" s="28"/>
      <c r="BB82" s="28"/>
      <c r="BC82" s="28"/>
      <c r="BD82" s="23"/>
      <c r="BF82" s="32" t="str">
        <f aca="false">IFERROR(AVERAGE(AY82,AZ82,BA82,BB82,BC82),"n/m")</f>
        <v>n/m</v>
      </c>
      <c r="BG82" s="32" t="n">
        <f aca="false">IFERROR(AVERAGE(AJ82,AM82,AP82,AS82,AV82),"n/m")</f>
        <v>0.0947381393220408</v>
      </c>
      <c r="BH82" s="32" t="n">
        <f aca="false">IFERROR(AVERAGE(U82,X82,AA82,AD82,AG82,AJ82,AM82,AP82,AS82,AV82),"n/m")</f>
        <v>0.110540310899058</v>
      </c>
      <c r="BI82" s="32" t="n">
        <f aca="false">IFERROR(AVERAGE(C82,D82,E82,F82,G82,H82,I82,L82,O82,R82,U82,X82,AA82,AD82,AG82,AJ82,AM82,AP82,AS82,AV82),"n/m")</f>
        <v>0.133843600033483</v>
      </c>
      <c r="BL82" s="13" t="s">
        <v>81</v>
      </c>
      <c r="BM82" s="45" t="n">
        <f aca="false">MAX(0,BN82+$BM$78)</f>
        <v>1000</v>
      </c>
      <c r="BN82" s="33" t="n">
        <v>0</v>
      </c>
      <c r="BO82" s="45" t="n">
        <f aca="false">MAX(0,BN82+$BO$78)</f>
        <v>0</v>
      </c>
    </row>
    <row r="83" customFormat="false" ht="15" hidden="false" customHeight="true" outlineLevel="0" collapsed="false">
      <c r="B83" s="26" t="s">
        <v>146</v>
      </c>
      <c r="C83" s="30" t="str">
        <f aca="false">IF(AND(ISNUMBER(C75),ISNUMBER(C80)),IFERROR(C75/C80,""),"")</f>
        <v/>
      </c>
      <c r="D83" s="30" t="str">
        <f aca="false">IF(AND(ISNUMBER(D75),ISNUMBER(D80)),IFERROR(D75/D80,""),"")</f>
        <v/>
      </c>
      <c r="E83" s="30" t="str">
        <f aca="false">IF(AND(ISNUMBER(E75),ISNUMBER(E80)),IFERROR(E75/E80,""),"")</f>
        <v/>
      </c>
      <c r="F83" s="30" t="n">
        <f aca="false">IF(AND(ISNUMBER(F75),ISNUMBER(F80)),IFERROR(F75/F80,""),"")</f>
        <v>0.201326855769733</v>
      </c>
      <c r="G83" s="30" t="n">
        <f aca="false">IF(AND(ISNUMBER(G75),ISNUMBER(G80)),IFERROR(G75/G80,""),"")</f>
        <v>0.193027033781814</v>
      </c>
      <c r="H83" s="30" t="n">
        <f aca="false">IF(AND(ISNUMBER(H75),ISNUMBER(H80)),IFERROR(H75/H80,""),"")</f>
        <v>0.196994227791074</v>
      </c>
      <c r="I83" s="30" t="n">
        <f aca="false">IF(AND(ISNUMBER(I75),ISNUMBER(I80)),IFERROR(I75/I80,""),"")</f>
        <v>0.189948623747883</v>
      </c>
      <c r="J83" s="30" t="n">
        <f aca="false">IF(AND(ISNUMBER(J75),ISNUMBER(J80)),IFERROR(J75/J80,""),"")</f>
        <v>0.196299230421005</v>
      </c>
      <c r="K83" s="30" t="n">
        <f aca="false">IF(AND(ISNUMBER(K75),ISNUMBER(K80)),IFERROR(K75/K80,""),"")</f>
        <v>0.196256980429642</v>
      </c>
      <c r="L83" s="30" t="n">
        <f aca="false">IF(AND(ISNUMBER(L75),ISNUMBER(L80)),IFERROR(L75/L80,""),"")</f>
        <v>0.196276864896535</v>
      </c>
      <c r="M83" s="30" t="n">
        <f aca="false">IF(AND(ISNUMBER(M75),ISNUMBER(M80)),IFERROR(M75/M80,""),"")</f>
        <v>0.194451727935393</v>
      </c>
      <c r="N83" s="30" t="n">
        <f aca="false">IF(AND(ISNUMBER(N75),ISNUMBER(N80)),IFERROR(N75/N80,""),"")</f>
        <v>0.193959670856316</v>
      </c>
      <c r="O83" s="30" t="n">
        <f aca="false">IF(AND(ISNUMBER(O75),ISNUMBER(O80)),IFERROR(O75/O80,""),"")</f>
        <v>0.194187486342778</v>
      </c>
      <c r="P83" s="30" t="n">
        <f aca="false">IF(AND(ISNUMBER(P75),ISNUMBER(P80)),IFERROR(P75/P80,""),"")</f>
        <v>0.176872227537619</v>
      </c>
      <c r="Q83" s="30" t="n">
        <f aca="false">IF(AND(ISNUMBER(Q75),ISNUMBER(Q80)),IFERROR(Q75/Q80,""),"")</f>
        <v>0.196364637840815</v>
      </c>
      <c r="R83" s="30" t="n">
        <f aca="false">IF(AND(ISNUMBER(R75),ISNUMBER(R80)),IFERROR(R75/R80,""),"")</f>
        <v>0.187106236185991</v>
      </c>
      <c r="S83" s="30" t="n">
        <f aca="false">IF(AND(ISNUMBER(S75),ISNUMBER(S80)),IFERROR(S75/S80,""),"")</f>
        <v>0.177765028889891</v>
      </c>
      <c r="T83" s="30" t="n">
        <f aca="false">IF(AND(ISNUMBER(T75),ISNUMBER(T80)),IFERROR(T75/T80,""),"")</f>
        <v>0.191853729181752</v>
      </c>
      <c r="U83" s="30" t="n">
        <f aca="false">IF(AND(ISNUMBER(U75),ISNUMBER(U80)),IFERROR(U75/U80,""),"")</f>
        <v>0.18524498779386</v>
      </c>
      <c r="V83" s="30" t="n">
        <f aca="false">IF(AND(ISNUMBER(V75),ISNUMBER(V80)),IFERROR(V75/V80,""),"")</f>
        <v>0.175267231846664</v>
      </c>
      <c r="W83" s="30" t="n">
        <f aca="false">IF(AND(ISNUMBER(W75),ISNUMBER(W80)),IFERROR(W75/W80,""),"")</f>
        <v>0.200479514843805</v>
      </c>
      <c r="X83" s="30" t="n">
        <f aca="false">IF(AND(ISNUMBER(X75),ISNUMBER(X80)),IFERROR(X75/X80,""),"")</f>
        <v>0.188153247314928</v>
      </c>
      <c r="Y83" s="30" t="n">
        <f aca="false">IF(AND(ISNUMBER(Y75),ISNUMBER(Y80)),IFERROR(Y75/Y80,""),"")</f>
        <v>0.175481021974556</v>
      </c>
      <c r="Z83" s="30" t="n">
        <f aca="false">IF(AND(ISNUMBER(Z75),ISNUMBER(Z80)),IFERROR(Z75/Z80,""),"")</f>
        <v>0.19461578000514</v>
      </c>
      <c r="AA83" s="30" t="n">
        <f aca="false">IF(AND(ISNUMBER(AA75),ISNUMBER(AA80)),IFERROR(AA75/AA80,""),"")</f>
        <v>0.185464541325154</v>
      </c>
      <c r="AB83" s="30" t="n">
        <f aca="false">IF(AND(ISNUMBER(AB75),ISNUMBER(AB80)),IFERROR(AB75/AB80,""),"")</f>
        <v>0.165829298742426</v>
      </c>
      <c r="AC83" s="30" t="n">
        <f aca="false">IF(AND(ISNUMBER(AC75),ISNUMBER(AC80)),IFERROR(AC75/AC80,""),"")</f>
        <v>0.182613768961494</v>
      </c>
      <c r="AD83" s="30" t="n">
        <f aca="false">IF(AND(ISNUMBER(AD75),ISNUMBER(AD80)),IFERROR(AD75/AD80,""),"")</f>
        <v>0.174605941744752</v>
      </c>
      <c r="AE83" s="30" t="n">
        <f aca="false">IF(AND(ISNUMBER(AE75),ISNUMBER(AE80)),IFERROR(AE75/AE80,""),"")</f>
        <v>0.140238755576993</v>
      </c>
      <c r="AF83" s="30" t="n">
        <f aca="false">IF(AND(ISNUMBER(AF75),ISNUMBER(AF80)),IFERROR(AF75/AF80,""),"")</f>
        <v>0.154936436333812</v>
      </c>
      <c r="AG83" s="30" t="n">
        <f aca="false">IF(AND(ISNUMBER(AG75),ISNUMBER(AG80)),IFERROR(AG75/AG80,""),"")</f>
        <v>0.149213553486188</v>
      </c>
      <c r="AH83" s="30" t="n">
        <f aca="false">IF(AND(ISNUMBER(AH75),ISNUMBER(AH80)),IFERROR(AH75/AH80,""),"")</f>
        <v>0.123226217741364</v>
      </c>
      <c r="AI83" s="30" t="n">
        <f aca="false">IF(AND(ISNUMBER(AI75),ISNUMBER(AI80)),IFERROR(AI75/AI80,""),"")</f>
        <v>0.164521768435242</v>
      </c>
      <c r="AJ83" s="30" t="n">
        <f aca="false">IF(AND(ISNUMBER(AJ75),ISNUMBER(AJ80)),IFERROR(AJ75/AJ80,""),"")</f>
        <v>0.14505176444395</v>
      </c>
      <c r="AK83" s="30" t="n">
        <f aca="false">IF(AND(ISNUMBER(AK75),ISNUMBER(AK80)),IFERROR(AK75/AK80,""),"")</f>
        <v>0.127123287671233</v>
      </c>
      <c r="AL83" s="30" t="n">
        <f aca="false">IF(AND(ISNUMBER(AL75),ISNUMBER(AL80)),IFERROR(AL75/AL80,""),"")</f>
        <v>0.137098090419455</v>
      </c>
      <c r="AM83" s="30" t="n">
        <f aca="false">IF(AND(ISNUMBER(AM75),ISNUMBER(AM80)),IFERROR(AM75/AM80,""),"")</f>
        <v>0.132390967074642</v>
      </c>
      <c r="AN83" s="30" t="n">
        <f aca="false">IF(AND(ISNUMBER(AN75),ISNUMBER(AN80)),IFERROR(AN75/AN80,""),"")</f>
        <v>0.124813377127501</v>
      </c>
      <c r="AO83" s="30" t="n">
        <f aca="false">IF(AND(ISNUMBER(AO75),ISNUMBER(AO80)),IFERROR(AO75/AO80,""),"")</f>
        <v>0.145957193816885</v>
      </c>
      <c r="AP83" s="30" t="n">
        <f aca="false">IF(AND(ISNUMBER(AP75),ISNUMBER(AP80)),IFERROR(AP75/AP80,""),"")</f>
        <v>0.135408908088783</v>
      </c>
      <c r="AQ83" s="30" t="n">
        <f aca="false">IF(AND(ISNUMBER(AQ75),ISNUMBER(AQ80)),IFERROR(AQ75/AQ80,""),"")</f>
        <v>0.129264392324094</v>
      </c>
      <c r="AR83" s="30" t="n">
        <f aca="false">IF(AND(ISNUMBER(AR75),ISNUMBER(AR80)),IFERROR(AR75/AR80,""),"")</f>
        <v>0.15351506456241</v>
      </c>
      <c r="AS83" s="30" t="n">
        <f aca="false">IF(AND(ISNUMBER(AS75),ISNUMBER(AS80)),IFERROR(AS75/AS80,""),"")</f>
        <v>0.141520005273219</v>
      </c>
      <c r="AT83" s="30" t="n">
        <f aca="false">IF(AND(ISNUMBER(AT75),ISNUMBER(AT80)),IFERROR(AT75/AT80,""),"")</f>
        <v>0.135424446104058</v>
      </c>
      <c r="AU83" s="30" t="n">
        <f aca="false">IF(AND(ISNUMBER(AU75),ISNUMBER(AU80)),IFERROR(AU75/AU80,""),"")</f>
        <v>0.159889558232932</v>
      </c>
      <c r="AV83" s="30" t="n">
        <f aca="false">IF(AND(ISNUMBER(AV75),ISNUMBER(AV80)),IFERROR(AV75/AV80,""),"")</f>
        <v>0.147606549181352</v>
      </c>
      <c r="AW83" s="30" t="n">
        <f aca="false">IF(AND(ISNUMBER(AW75),ISNUMBER(AW80)),IFERROR(AW75/AW80,""),"")</f>
        <v>0.142699657030867</v>
      </c>
      <c r="AX83" s="28"/>
      <c r="AY83" s="28"/>
      <c r="AZ83" s="28"/>
      <c r="BA83" s="28"/>
      <c r="BB83" s="28"/>
      <c r="BC83" s="28"/>
      <c r="BD83" s="23"/>
      <c r="BF83" s="32" t="str">
        <f aca="false">IFERROR(AVERAGE(AY83,AZ83,BA83,BB83,BC83),"n/m")</f>
        <v>n/m</v>
      </c>
      <c r="BG83" s="32" t="n">
        <f aca="false">IFERROR(AVERAGE(AJ83,AM83,AP83,AS83,AV83),"n/m")</f>
        <v>0.140395638812389</v>
      </c>
      <c r="BH83" s="32" t="n">
        <f aca="false">IFERROR(AVERAGE(U83,X83,AA83,AD83,AG83,AJ83,AM83,AP83,AS83,AV83),"n/m")</f>
        <v>0.158466046572683</v>
      </c>
      <c r="BI83" s="32" t="n">
        <f aca="false">IFERROR(AVERAGE(C83,D83,E83,F83,G83,H83,I83,L83,O83,R83,U83,X83,AA83,AD83,AG83,AJ83,AM83,AP83,AS83,AV83),"n/m")</f>
        <v>0.173148693778979</v>
      </c>
      <c r="BL83" s="13" t="s">
        <v>82</v>
      </c>
      <c r="BM83" s="45" t="n">
        <f aca="false">MAX(0,BN83+$BM$78)</f>
        <v>1000</v>
      </c>
      <c r="BN83" s="33" t="n">
        <v>0</v>
      </c>
      <c r="BO83" s="45" t="n">
        <f aca="false">MAX(0,BN83+$BO$78)</f>
        <v>0</v>
      </c>
    </row>
    <row r="84" customFormat="false" ht="15" hidden="false" customHeight="true" outlineLevel="0" collapsed="false">
      <c r="B84" s="26" t="s">
        <v>147</v>
      </c>
      <c r="C84" s="30" t="str">
        <f aca="false">IF(AND(ISNUMBER(C76),ISNUMBER(C80)),IFERROR(C76/C80,""),"")</f>
        <v/>
      </c>
      <c r="D84" s="30" t="str">
        <f aca="false">IF(AND(ISNUMBER(D76),ISNUMBER(D80)),IFERROR(D76/D80,""),"")</f>
        <v/>
      </c>
      <c r="E84" s="30" t="str">
        <f aca="false">IF(AND(ISNUMBER(E76),ISNUMBER(E80)),IFERROR(E76/E80,""),"")</f>
        <v/>
      </c>
      <c r="F84" s="30" t="n">
        <f aca="false">IF(AND(ISNUMBER(F76),ISNUMBER(F80)),IFERROR(F76/F80,""),"")</f>
        <v>0.213341691479914</v>
      </c>
      <c r="G84" s="30" t="n">
        <f aca="false">IF(AND(ISNUMBER(G76),ISNUMBER(G80)),IFERROR(G76/G80,""),"")</f>
        <v>0.188778273003707</v>
      </c>
      <c r="H84" s="30" t="n">
        <f aca="false">IF(AND(ISNUMBER(H76),ISNUMBER(H80)),IFERROR(H76/H80,""),"")</f>
        <v>0.165986203012812</v>
      </c>
      <c r="I84" s="30" t="n">
        <f aca="false">IF(AND(ISNUMBER(I76),ISNUMBER(I80)),IFERROR(I76/I80,""),"")</f>
        <v>0.156424901696277</v>
      </c>
      <c r="J84" s="30" t="n">
        <f aca="false">IF(AND(ISNUMBER(J76),ISNUMBER(J80)),IFERROR(J76/J80,""),"")</f>
        <v>0.125282933454052</v>
      </c>
      <c r="K84" s="30" t="n">
        <f aca="false">IF(AND(ISNUMBER(K76),ISNUMBER(K80)),IFERROR(K76/K80,""),"")</f>
        <v>0.121648136036625</v>
      </c>
      <c r="L84" s="30" t="n">
        <f aca="false">IF(AND(ISNUMBER(L76),ISNUMBER(L80)),IFERROR(L76/L80,""),"")</f>
        <v>0.123358811153426</v>
      </c>
      <c r="M84" s="30" t="n">
        <f aca="false">IF(AND(ISNUMBER(M76),ISNUMBER(M80)),IFERROR(M76/M80,""),"")</f>
        <v>0.115790025696156</v>
      </c>
      <c r="N84" s="30" t="n">
        <f aca="false">IF(AND(ISNUMBER(N76),ISNUMBER(N80)),IFERROR(N76/N80,""),"")</f>
        <v>0.119178949272086</v>
      </c>
      <c r="O84" s="30" t="n">
        <f aca="false">IF(AND(ISNUMBER(O76),ISNUMBER(O80)),IFERROR(O76/O80,""),"")</f>
        <v>0.117609925461918</v>
      </c>
      <c r="P84" s="30" t="n">
        <f aca="false">IF(AND(ISNUMBER(P76),ISNUMBER(P80)),IFERROR(P76/P80,""),"")</f>
        <v>0.121640427937723</v>
      </c>
      <c r="Q84" s="30" t="n">
        <f aca="false">IF(AND(ISNUMBER(Q76),ISNUMBER(Q80)),IFERROR(Q76/Q80,""),"")</f>
        <v>0.126096706928434</v>
      </c>
      <c r="R84" s="30" t="n">
        <f aca="false">IF(AND(ISNUMBER(R76),ISNUMBER(R80)),IFERROR(R76/R80,""),"")</f>
        <v>0.123980087170271</v>
      </c>
      <c r="S84" s="30" t="n">
        <f aca="false">IF(AND(ISNUMBER(S76),ISNUMBER(S80)),IFERROR(S76/S80,""),"")</f>
        <v>0.135147317952711</v>
      </c>
      <c r="T84" s="30" t="n">
        <f aca="false">IF(AND(ISNUMBER(T76),ISNUMBER(T80)),IFERROR(T76/T80,""),"")</f>
        <v>0.14275887038378</v>
      </c>
      <c r="U84" s="30" t="n">
        <f aca="false">IF(AND(ISNUMBER(U76),ISNUMBER(U80)),IFERROR(U76/U80,""),"")</f>
        <v>0.139188435884128</v>
      </c>
      <c r="V84" s="30" t="n">
        <f aca="false">IF(AND(ISNUMBER(V76),ISNUMBER(V80)),IFERROR(V76/V80,""),"")</f>
        <v>0.12852930335422</v>
      </c>
      <c r="W84" s="30" t="n">
        <f aca="false">IF(AND(ISNUMBER(W76),ISNUMBER(W80)),IFERROR(W76/W80,""),"")</f>
        <v>0.129715816938157</v>
      </c>
      <c r="X84" s="30" t="n">
        <f aca="false">IF(AND(ISNUMBER(X76),ISNUMBER(X80)),IFERROR(X76/X80,""),"")</f>
        <v>0.12913573127658</v>
      </c>
      <c r="Y84" s="30" t="n">
        <f aca="false">IF(AND(ISNUMBER(Y76),ISNUMBER(Y80)),IFERROR(Y76/Y80,""),"")</f>
        <v>0.120842533207164</v>
      </c>
      <c r="Z84" s="30" t="n">
        <f aca="false">IF(AND(ISNUMBER(Z76),ISNUMBER(Z80)),IFERROR(Z76/Z80,""),"")</f>
        <v>0.129626060138782</v>
      </c>
      <c r="AA84" s="30" t="n">
        <f aca="false">IF(AND(ISNUMBER(AA76),ISNUMBER(AA80)),IFERROR(AA76/AA80,""),"")</f>
        <v>0.125425319723102</v>
      </c>
      <c r="AB84" s="30" t="n">
        <f aca="false">IF(AND(ISNUMBER(AB76),ISNUMBER(AB80)),IFERROR(AB76/AB80,""),"")</f>
        <v>0.121981669254895</v>
      </c>
      <c r="AC84" s="30" t="n">
        <f aca="false">IF(AND(ISNUMBER(AC76),ISNUMBER(AC80)),IFERROR(AC76/AC80,""),"")</f>
        <v>0.128743679502139</v>
      </c>
      <c r="AD84" s="30" t="n">
        <f aca="false">IF(AND(ISNUMBER(AD76),ISNUMBER(AD80)),IFERROR(AD76/AD80,""),"")</f>
        <v>0.125517541948137</v>
      </c>
      <c r="AE84" s="30" t="n">
        <f aca="false">IF(AND(ISNUMBER(AE76),ISNUMBER(AE80)),IFERROR(AE76/AE80,""),"")</f>
        <v>0.129506812974798</v>
      </c>
      <c r="AF84" s="30" t="n">
        <f aca="false">IF(AND(ISNUMBER(AF76),ISNUMBER(AF80)),IFERROR(AF76/AF80,""),"")</f>
        <v>0.131151322534345</v>
      </c>
      <c r="AG84" s="30" t="n">
        <f aca="false">IF(AND(ISNUMBER(AG76),ISNUMBER(AG80)),IFERROR(AG76/AG80,""),"")</f>
        <v>0.130510994600516</v>
      </c>
      <c r="AH84" s="30" t="n">
        <f aca="false">IF(AND(ISNUMBER(AH76),ISNUMBER(AH80)),IFERROR(AH76/AH80,""),"")</f>
        <v>0.11073595731117</v>
      </c>
      <c r="AI84" s="30" t="n">
        <f aca="false">IF(AND(ISNUMBER(AI76),ISNUMBER(AI80)),IFERROR(AI76/AI80,""),"")</f>
        <v>0.106999178549614</v>
      </c>
      <c r="AJ84" s="30" t="n">
        <f aca="false">IF(AND(ISNUMBER(AJ76),ISNUMBER(AJ80)),IFERROR(AJ76/AJ80,""),"")</f>
        <v>0.108760992986753</v>
      </c>
      <c r="AK84" s="30" t="n">
        <f aca="false">IF(AND(ISNUMBER(AK76),ISNUMBER(AK80)),IFERROR(AK76/AK80,""),"")</f>
        <v>0.0997260273972603</v>
      </c>
      <c r="AL84" s="30" t="n">
        <f aca="false">IF(AND(ISNUMBER(AL76),ISNUMBER(AL80)),IFERROR(AL76/AL80,""),"")</f>
        <v>0.0905826668842827</v>
      </c>
      <c r="AM84" s="30" t="n">
        <f aca="false">IF(AND(ISNUMBER(AM76),ISNUMBER(AM80)),IFERROR(AM76/AM80,""),"")</f>
        <v>0.0948974314773315</v>
      </c>
      <c r="AN84" s="30" t="n">
        <f aca="false">IF(AND(ISNUMBER(AN76),ISNUMBER(AN80)),IFERROR(AN76/AN80,""),"")</f>
        <v>0.0949537175276202</v>
      </c>
      <c r="AO84" s="30" t="n">
        <f aca="false">IF(AND(ISNUMBER(AO76),ISNUMBER(AO80)),IFERROR(AO76/AO80,""),"")</f>
        <v>0.0927467300832342</v>
      </c>
      <c r="AP84" s="30" t="n">
        <f aca="false">IF(AND(ISNUMBER(AP76),ISNUMBER(AP80)),IFERROR(AP76/AP80,""),"")</f>
        <v>0.0938477580813347</v>
      </c>
      <c r="AQ84" s="30" t="n">
        <f aca="false">IF(AND(ISNUMBER(AQ76),ISNUMBER(AQ80)),IFERROR(AQ76/AQ80,""),"")</f>
        <v>0.0923507462686567</v>
      </c>
      <c r="AR84" s="30" t="n">
        <f aca="false">IF(AND(ISNUMBER(AR76),ISNUMBER(AR80)),IFERROR(AR76/AR80,""),"")</f>
        <v>0.0970392591626451</v>
      </c>
      <c r="AS84" s="30" t="n">
        <f aca="false">IF(AND(ISNUMBER(AS76),ISNUMBER(AS80)),IFERROR(AS76/AS80,""),"")</f>
        <v>0.0947201898358711</v>
      </c>
      <c r="AT84" s="30" t="n">
        <f aca="false">IF(AND(ISNUMBER(AT76),ISNUMBER(AT80)),IFERROR(AT76/AT80,""),"")</f>
        <v>0.101443863579786</v>
      </c>
      <c r="AU84" s="30" t="n">
        <f aca="false">IF(AND(ISNUMBER(AU76),ISNUMBER(AU80)),IFERROR(AU76/AU80,""),"")</f>
        <v>0.0973895582329317</v>
      </c>
      <c r="AV84" s="30" t="n">
        <f aca="false">IF(AND(ISNUMBER(AV76),ISNUMBER(AV80)),IFERROR(AV76/AV80,""),"")</f>
        <v>0.0994250718660168</v>
      </c>
      <c r="AW84" s="30" t="n">
        <f aca="false">IF(AND(ISNUMBER(AW76),ISNUMBER(AW80)),IFERROR(AW76/AW80,""),"")</f>
        <v>0.0977462028417443</v>
      </c>
      <c r="AX84" s="28"/>
      <c r="AY84" s="28"/>
      <c r="AZ84" s="28"/>
      <c r="BA84" s="28"/>
      <c r="BB84" s="28"/>
      <c r="BC84" s="28"/>
      <c r="BD84" s="23"/>
      <c r="BF84" s="32" t="str">
        <f aca="false">IFERROR(AVERAGE(AY84,AZ84,BA84,BB84,BC84),"n/m")</f>
        <v>n/m</v>
      </c>
      <c r="BG84" s="32" t="n">
        <f aca="false">IFERROR(AVERAGE(AJ84,AM84,AP84,AS84,AV84),"n/m")</f>
        <v>0.0983302888494614</v>
      </c>
      <c r="BH84" s="32" t="n">
        <f aca="false">IFERROR(AVERAGE(U84,X84,AA84,AD84,AG84,AJ84,AM84,AP84,AS84,AV84),"n/m")</f>
        <v>0.114142946767977</v>
      </c>
      <c r="BI84" s="32" t="n">
        <f aca="false">IFERROR(AVERAGE(C84,D84,E84,F84,G84,H84,I84,L84,O84,R84,U84,X84,AA84,AD84,AG84,AJ84,AM84,AP84,AS84,AV84),"n/m")</f>
        <v>0.131229962391653</v>
      </c>
      <c r="BL84" s="18" t="s">
        <v>148</v>
      </c>
      <c r="BM84" s="34" t="n">
        <v>0.05</v>
      </c>
      <c r="BN84" s="25" t="s">
        <v>75</v>
      </c>
      <c r="BO84" s="34" t="n">
        <v>0</v>
      </c>
      <c r="BP84" s="16" t="s">
        <v>149</v>
      </c>
    </row>
    <row r="85" customFormat="false" ht="15" hidden="false" customHeight="true" outlineLevel="0" collapsed="false">
      <c r="B85" s="26" t="s">
        <v>150</v>
      </c>
      <c r="C85" s="30" t="str">
        <f aca="false">IF(AND(ISNUMBER(C77),ISNUMBER(C80)),IFERROR(C77/C80,""),"")</f>
        <v/>
      </c>
      <c r="D85" s="30" t="str">
        <f aca="false">IF(AND(ISNUMBER(D77),ISNUMBER(D80)),IFERROR(D77/D80,""),"")</f>
        <v/>
      </c>
      <c r="E85" s="30" t="str">
        <f aca="false">IF(AND(ISNUMBER(E77),ISNUMBER(E80)),IFERROR(E77/E80,""),"")</f>
        <v/>
      </c>
      <c r="F85" s="30" t="n">
        <f aca="false">IF(AND(ISNUMBER(F77),ISNUMBER(F80)),IFERROR(F77/F80,""),"")</f>
        <v>0.220759546570548</v>
      </c>
      <c r="G85" s="30" t="n">
        <f aca="false">IF(AND(ISNUMBER(G77),ISNUMBER(G80)),IFERROR(G77/G80,""),"")</f>
        <v>0.26279835048111</v>
      </c>
      <c r="H85" s="30" t="n">
        <f aca="false">IF(AND(ISNUMBER(H77),ISNUMBER(H80)),IFERROR(H77/H80,""),"")</f>
        <v>0.284386878783613</v>
      </c>
      <c r="I85" s="30" t="n">
        <f aca="false">IF(AND(ISNUMBER(I77),ISNUMBER(I80)),IFERROR(I77/I80,""),"")</f>
        <v>0.31580609052553</v>
      </c>
      <c r="J85" s="30" t="n">
        <f aca="false">IF(AND(ISNUMBER(J77),ISNUMBER(J80)),IFERROR(J77/J80,""),"")</f>
        <v>0.33454051607062</v>
      </c>
      <c r="K85" s="30" t="n">
        <f aca="false">IF(AND(ISNUMBER(K77),ISNUMBER(K80)),IFERROR(K77/K80,""),"")</f>
        <v>0.330482467173115</v>
      </c>
      <c r="L85" s="30" t="n">
        <f aca="false">IF(AND(ISNUMBER(L77),ISNUMBER(L80)),IFERROR(L77/L80,""),"")</f>
        <v>0.332392340674852</v>
      </c>
      <c r="M85" s="30" t="n">
        <f aca="false">IF(AND(ISNUMBER(M77),ISNUMBER(M80)),IFERROR(M77/M80,""),"")</f>
        <v>0.347317635953642</v>
      </c>
      <c r="N85" s="30" t="n">
        <f aca="false">IF(AND(ISNUMBER(N77),ISNUMBER(N80)),IFERROR(N77/N80,""),"")</f>
        <v>0.335789854417217</v>
      </c>
      <c r="O85" s="30" t="n">
        <f aca="false">IF(AND(ISNUMBER(O77),ISNUMBER(O80)),IFERROR(O77/O80,""),"")</f>
        <v>0.341127054653167</v>
      </c>
      <c r="P85" s="30" t="n">
        <f aca="false">IF(AND(ISNUMBER(P77),ISNUMBER(P80)),IFERROR(P77/P80,""),"")</f>
        <v>0.366269461598678</v>
      </c>
      <c r="Q85" s="30" t="n">
        <f aca="false">IF(AND(ISNUMBER(Q77),ISNUMBER(Q80)),IFERROR(Q77/Q80,""),"")</f>
        <v>0.33513003108156</v>
      </c>
      <c r="R85" s="30" t="n">
        <f aca="false">IF(AND(ISNUMBER(R77),ISNUMBER(R80)),IFERROR(R77/R80,""),"")</f>
        <v>0.349920472619859</v>
      </c>
      <c r="S85" s="30" t="n">
        <f aca="false">IF(AND(ISNUMBER(S77),ISNUMBER(S80)),IFERROR(S77/S80,""),"")</f>
        <v>0.350817522435766</v>
      </c>
      <c r="T85" s="30" t="n">
        <f aca="false">IF(AND(ISNUMBER(T77),ISNUMBER(T80)),IFERROR(T77/T80,""),"")</f>
        <v>0.333707458363505</v>
      </c>
      <c r="U85" s="30" t="n">
        <f aca="false">IF(AND(ISNUMBER(U77),ISNUMBER(U80)),IFERROR(U77/U80,""),"")</f>
        <v>0.341733464044749</v>
      </c>
      <c r="V85" s="30" t="n">
        <f aca="false">IF(AND(ISNUMBER(V77),ISNUMBER(V80)),IFERROR(V77/V80,""),"")</f>
        <v>0.368042757095466</v>
      </c>
      <c r="W85" s="30" t="n">
        <f aca="false">IF(AND(ISNUMBER(W77),ISNUMBER(W80)),IFERROR(W77/W80,""),"")</f>
        <v>0.334073760665679</v>
      </c>
      <c r="X85" s="30" t="n">
        <f aca="false">IF(AND(ISNUMBER(X77),ISNUMBER(X80)),IFERROR(X77/X80,""),"")</f>
        <v>0.350681179269084</v>
      </c>
      <c r="Y85" s="30" t="n">
        <f aca="false">IF(AND(ISNUMBER(Y77),ISNUMBER(Y80)),IFERROR(Y77/Y80,""),"")</f>
        <v>0.375985700767532</v>
      </c>
      <c r="Z85" s="30" t="n">
        <f aca="false">IF(AND(ISNUMBER(Z77),ISNUMBER(Z80)),IFERROR(Z77/Z80,""),"")</f>
        <v>0.343613466975071</v>
      </c>
      <c r="AA85" s="30" t="n">
        <f aca="false">IF(AND(ISNUMBER(AA77),ISNUMBER(AA80)),IFERROR(AA77/AA80,""),"")</f>
        <v>0.359095556561238</v>
      </c>
      <c r="AB85" s="30" t="n">
        <f aca="false">IF(AND(ISNUMBER(AB77),ISNUMBER(AB80)),IFERROR(AB77/AB80,""),"")</f>
        <v>0.395633506896867</v>
      </c>
      <c r="AC85" s="30" t="n">
        <f aca="false">IF(AND(ISNUMBER(AC77),ISNUMBER(AC80)),IFERROR(AC77/AC80,""),"")</f>
        <v>0.358476412735456</v>
      </c>
      <c r="AD85" s="30" t="n">
        <f aca="false">IF(AND(ISNUMBER(AD77),ISNUMBER(AD80)),IFERROR(AD77/AD80,""),"")</f>
        <v>0.376203966005666</v>
      </c>
      <c r="AE85" s="30" t="n">
        <f aca="false">IF(AND(ISNUMBER(AE77),ISNUMBER(AE80)),IFERROR(AE77/AE80,""),"")</f>
        <v>0.475782788697295</v>
      </c>
      <c r="AF85" s="30" t="n">
        <f aca="false">IF(AND(ISNUMBER(AF77),ISNUMBER(AF80)),IFERROR(AF77/AF80,""),"")</f>
        <v>0.443843551363543</v>
      </c>
      <c r="AG85" s="30" t="n">
        <f aca="false">IF(AND(ISNUMBER(AG77),ISNUMBER(AG80)),IFERROR(AG77/AG80,""),"")</f>
        <v>0.456279834102825</v>
      </c>
      <c r="AH85" s="30" t="n">
        <f aca="false">IF(AND(ISNUMBER(AH77),ISNUMBER(AH80)),IFERROR(AH77/AH80,""),"")</f>
        <v>0.508346516185394</v>
      </c>
      <c r="AI85" s="30" t="n">
        <f aca="false">IF(AND(ISNUMBER(AI77),ISNUMBER(AI80)),IFERROR(AI77/AI80,""),"")</f>
        <v>0.441898182277735</v>
      </c>
      <c r="AJ85" s="30" t="n">
        <f aca="false">IF(AND(ISNUMBER(AJ77),ISNUMBER(AJ80)),IFERROR(AJ77/AJ80,""),"")</f>
        <v>0.473227206946454</v>
      </c>
      <c r="AK85" s="30" t="n">
        <f aca="false">IF(AND(ISNUMBER(AK77),ISNUMBER(AK80)),IFERROR(AK77/AK80,""),"")</f>
        <v>0.48675799086758</v>
      </c>
      <c r="AL85" s="30" t="n">
        <f aca="false">IF(AND(ISNUMBER(AL77),ISNUMBER(AL80)),IFERROR(AL77/AL80,""),"")</f>
        <v>0.471845927860291</v>
      </c>
      <c r="AM85" s="30" t="n">
        <f aca="false">IF(AND(ISNUMBER(AM77),ISNUMBER(AM80)),IFERROR(AM77/AM80,""),"")</f>
        <v>0.478882951215308</v>
      </c>
      <c r="AN85" s="30" t="n">
        <f aca="false">IF(AND(ISNUMBER(AN77),ISNUMBER(AN80)),IFERROR(AN77/AN80,""),"")</f>
        <v>0.492236488504031</v>
      </c>
      <c r="AO85" s="30" t="n">
        <f aca="false">IF(AND(ISNUMBER(AO77),ISNUMBER(AO80)),IFERROR(AO77/AO80,""),"")</f>
        <v>0.442330558858502</v>
      </c>
      <c r="AP85" s="30" t="n">
        <f aca="false">IF(AND(ISNUMBER(AP77),ISNUMBER(AP80)),IFERROR(AP77/AP80,""),"")</f>
        <v>0.467227767019216</v>
      </c>
      <c r="AQ85" s="30" t="n">
        <f aca="false">IF(AND(ISNUMBER(AQ77),ISNUMBER(AQ80)),IFERROR(AQ77/AQ80,""),"")</f>
        <v>0.469216417910448</v>
      </c>
      <c r="AR85" s="30" t="n">
        <f aca="false">IF(AND(ISNUMBER(AR77),ISNUMBER(AR80)),IFERROR(AR77/AR80,""),"")</f>
        <v>0.40785183252902</v>
      </c>
      <c r="AS85" s="30" t="n">
        <f aca="false">IF(AND(ISNUMBER(AS77),ISNUMBER(AS80)),IFERROR(AS77/AS80,""),"")</f>
        <v>0.438204469052798</v>
      </c>
      <c r="AT85" s="30" t="n">
        <f aca="false">IF(AND(ISNUMBER(AT77),ISNUMBER(AT80)),IFERROR(AT77/AT80,""),"")</f>
        <v>0.444859347771969</v>
      </c>
      <c r="AU85" s="30" t="n">
        <f aca="false">IF(AND(ISNUMBER(AU77),ISNUMBER(AU80)),IFERROR(AU77/AU80,""),"")</f>
        <v>0.392570281124498</v>
      </c>
      <c r="AV85" s="30" t="n">
        <f aca="false">IF(AND(ISNUMBER(AV77),ISNUMBER(AV80)),IFERROR(AV77/AV80,""),"")</f>
        <v>0.418822647169104</v>
      </c>
      <c r="AW85" s="30" t="n">
        <f aca="false">IF(AND(ISNUMBER(AW77),ISNUMBER(AW80)),IFERROR(AW77/AW80,""),"")</f>
        <v>0.432753552180304</v>
      </c>
      <c r="AX85" s="28"/>
      <c r="AY85" s="28"/>
      <c r="AZ85" s="28"/>
      <c r="BA85" s="28"/>
      <c r="BB85" s="28"/>
      <c r="BC85" s="28"/>
      <c r="BD85" s="23"/>
      <c r="BF85" s="32" t="str">
        <f aca="false">IFERROR(AVERAGE(AY85,AZ85,BA85,BB85,BC85),"n/m")</f>
        <v>n/m</v>
      </c>
      <c r="BG85" s="32" t="n">
        <f aca="false">IFERROR(AVERAGE(AJ85,AM85,AP85,AS85,AV85),"n/m")</f>
        <v>0.455273008280576</v>
      </c>
      <c r="BH85" s="32" t="n">
        <f aca="false">IFERROR(AVERAGE(U85,X85,AA85,AD85,AG85,AJ85,AM85,AP85,AS85,AV85),"n/m")</f>
        <v>0.416035904138644</v>
      </c>
      <c r="BI85" s="32" t="n">
        <f aca="false">IFERROR(AVERAGE(C85,D85,E85,F85,G85,H85,I85,L85,O85,R85,U85,X85,AA85,AD85,AG85,AJ85,AM85,AP85,AS85,AV85),"n/m")</f>
        <v>0.368679398570301</v>
      </c>
      <c r="BL85" s="13" t="s">
        <v>142</v>
      </c>
      <c r="BM85" s="35" t="n">
        <f aca="false">BN85+$BM$84</f>
        <v>0.45</v>
      </c>
      <c r="BN85" s="29" t="n">
        <v>0.4</v>
      </c>
      <c r="BO85" s="35" t="n">
        <f aca="false">BN85+$BO$84</f>
        <v>0.4</v>
      </c>
    </row>
    <row r="86" customFormat="false" ht="15" hidden="false" customHeight="true" outlineLevel="0" collapsed="false">
      <c r="B86" s="26" t="s">
        <v>151</v>
      </c>
      <c r="C86" s="30" t="str">
        <f aca="false">IF(AND(ISNUMBER(C78),ISNUMBER(C80)),IFERROR(C78/C80,""),"")</f>
        <v/>
      </c>
      <c r="D86" s="30" t="str">
        <f aca="false">IF(AND(ISNUMBER(D78),ISNUMBER(D80)),IFERROR(D78/D80,""),"")</f>
        <v/>
      </c>
      <c r="E86" s="30" t="str">
        <f aca="false">IF(AND(ISNUMBER(E78),ISNUMBER(E80)),IFERROR(E78/E80,""),"")</f>
        <v/>
      </c>
      <c r="F86" s="30" t="n">
        <f aca="false">IF(AND(ISNUMBER(F78),ISNUMBER(F80)),IFERROR(F78/F80,""),"")</f>
        <v>0.153424228177402</v>
      </c>
      <c r="G86" s="30" t="n">
        <f aca="false">IF(AND(ISNUMBER(G78),ISNUMBER(G80)),IFERROR(G78/G80,""),"")</f>
        <v>0.160244928562503</v>
      </c>
      <c r="H86" s="30" t="n">
        <f aca="false">IF(AND(ISNUMBER(H78),ISNUMBER(H80)),IFERROR(H78/H80,""),"")</f>
        <v>0.163381669717021</v>
      </c>
      <c r="I86" s="30" t="n">
        <f aca="false">IF(AND(ISNUMBER(I78),ISNUMBER(I80)),IFERROR(I78/I80,""),"")</f>
        <v>0.163284635917454</v>
      </c>
      <c r="J86" s="30" t="n">
        <f aca="false">IF(AND(ISNUMBER(J78),ISNUMBER(J80)),IFERROR(J78/J80,""),"")</f>
        <v>0.16189452240833</v>
      </c>
      <c r="K86" s="30" t="n">
        <f aca="false">IF(AND(ISNUMBER(K78),ISNUMBER(K80)),IFERROR(K78/K80,""),"")</f>
        <v>0.171705991849877</v>
      </c>
      <c r="L86" s="30" t="n">
        <f aca="false">IF(AND(ISNUMBER(L78),ISNUMBER(L80)),IFERROR(L78/L80,""),"")</f>
        <v>0.167088337905137</v>
      </c>
      <c r="M86" s="30" t="n">
        <f aca="false">IF(AND(ISNUMBER(M78),ISNUMBER(M80)),IFERROR(M78/M80,""),"")</f>
        <v>0.160836960511825</v>
      </c>
      <c r="N86" s="30" t="n">
        <f aca="false">IF(AND(ISNUMBER(N78),ISNUMBER(N80)),IFERROR(N78/N80,""),"")</f>
        <v>0.182837507912108</v>
      </c>
      <c r="O86" s="30" t="n">
        <f aca="false">IF(AND(ISNUMBER(O78),ISNUMBER(O80)),IFERROR(O78/O80,""),"")</f>
        <v>0.17265156481414</v>
      </c>
      <c r="P86" s="30" t="n">
        <f aca="false">IF(AND(ISNUMBER(P78),ISNUMBER(P80)),IFERROR(P78/P80,""),"")</f>
        <v>0.175611028964078</v>
      </c>
      <c r="Q86" s="30" t="n">
        <f aca="false">IF(AND(ISNUMBER(Q78),ISNUMBER(Q80)),IFERROR(Q78/Q80,""),"")</f>
        <v>0.188968013534249</v>
      </c>
      <c r="R86" s="30" t="n">
        <f aca="false">IF(AND(ISNUMBER(R78),ISNUMBER(R80)),IFERROR(R78/R80,""),"")</f>
        <v>0.182623783850778</v>
      </c>
      <c r="S86" s="30" t="n">
        <f aca="false">IF(AND(ISNUMBER(S78),ISNUMBER(S80)),IFERROR(S78/S80,""),"")</f>
        <v>0.176863500389296</v>
      </c>
      <c r="T86" s="30" t="n">
        <f aca="false">IF(AND(ISNUMBER(T78),ISNUMBER(T80)),IFERROR(T78/T80,""),"")</f>
        <v>0.184359160028965</v>
      </c>
      <c r="U86" s="30" t="n">
        <f aca="false">IF(AND(ISNUMBER(U78),ISNUMBER(U80)),IFERROR(U78/U80,""),"")</f>
        <v>0.180843088633873</v>
      </c>
      <c r="V86" s="30" t="n">
        <f aca="false">IF(AND(ISNUMBER(V78),ISNUMBER(V80)),IFERROR(V78/V80,""),"")</f>
        <v>0.177810541835606</v>
      </c>
      <c r="W86" s="30" t="n">
        <f aca="false">IF(AND(ISNUMBER(W78),ISNUMBER(W80)),IFERROR(W78/W80,""),"")</f>
        <v>0.181016853536422</v>
      </c>
      <c r="X86" s="30" t="n">
        <f aca="false">IF(AND(ISNUMBER(X78),ISNUMBER(X80)),IFERROR(X78/X80,""),"")</f>
        <v>0.179449289987746</v>
      </c>
      <c r="Y86" s="30" t="n">
        <f aca="false">IF(AND(ISNUMBER(Y78),ISNUMBER(Y80)),IFERROR(Y78/Y80,""),"")</f>
        <v>0.171695931027232</v>
      </c>
      <c r="Z86" s="30" t="n">
        <f aca="false">IF(AND(ISNUMBER(Z78),ISNUMBER(Z80)),IFERROR(Z78/Z80,""),"")</f>
        <v>0.182697250064251</v>
      </c>
      <c r="AA86" s="30" t="n">
        <f aca="false">IF(AND(ISNUMBER(AA78),ISNUMBER(AA80)),IFERROR(AA78/AA80,""),"")</f>
        <v>0.177435845862456</v>
      </c>
      <c r="AB86" s="30" t="n">
        <f aca="false">IF(AND(ISNUMBER(AB78),ISNUMBER(AB80)),IFERROR(AB78/AB80,""),"")</f>
        <v>0.173319935446546</v>
      </c>
      <c r="AC86" s="30" t="n">
        <f aca="false">IF(AND(ISNUMBER(AC78),ISNUMBER(AC80)),IFERROR(AC78/AC80,""),"")</f>
        <v>0.186558870922932</v>
      </c>
      <c r="AD86" s="30" t="n">
        <f aca="false">IF(AND(ISNUMBER(AD78),ISNUMBER(AD80)),IFERROR(AD78/AD80,""),"")</f>
        <v>0.180242609137793</v>
      </c>
      <c r="AE86" s="30" t="n">
        <f aca="false">IF(AND(ISNUMBER(AE78),ISNUMBER(AE80)),IFERROR(AE78/AE80,""),"")</f>
        <v>0.135375216045661</v>
      </c>
      <c r="AF86" s="30" t="n">
        <f aca="false">IF(AND(ISNUMBER(AF78),ISNUMBER(AF80)),IFERROR(AF78/AF80,""),"")</f>
        <v>0.159473036702891</v>
      </c>
      <c r="AG86" s="30" t="n">
        <f aca="false">IF(AND(ISNUMBER(AG78),ISNUMBER(AG80)),IFERROR(AG78/AG80,""),"")</f>
        <v>0.150089991392128</v>
      </c>
      <c r="AH86" s="30" t="n">
        <f aca="false">IF(AND(ISNUMBER(AH78),ISNUMBER(AH80)),IFERROR(AH78/AH80,""),"")</f>
        <v>0.157698392085567</v>
      </c>
      <c r="AI86" s="30" t="n">
        <f aca="false">IF(AND(ISNUMBER(AI78),ISNUMBER(AI80)),IFERROR(AI78/AI80,""),"")</f>
        <v>0.166417423173326</v>
      </c>
      <c r="AJ86" s="30" t="n">
        <f aca="false">IF(AND(ISNUMBER(AJ78),ISNUMBER(AJ80)),IFERROR(AJ78/AJ80,""),"")</f>
        <v>0.162306579093844</v>
      </c>
      <c r="AK86" s="30" t="n">
        <f aca="false">IF(AND(ISNUMBER(AK78),ISNUMBER(AK80)),IFERROR(AK78/AK80,""),"")</f>
        <v>0.179360730593607</v>
      </c>
      <c r="AL86" s="30" t="n">
        <f aca="false">IF(AND(ISNUMBER(AL78),ISNUMBER(AL80)),IFERROR(AL78/AL80,""),"")</f>
        <v>0.188673086339155</v>
      </c>
      <c r="AM86" s="30" t="n">
        <f aca="false">IF(AND(ISNUMBER(AM78),ISNUMBER(AM80)),IFERROR(AM78/AM80,""),"")</f>
        <v>0.184278572659886</v>
      </c>
      <c r="AN86" s="30" t="n">
        <f aca="false">IF(AND(ISNUMBER(AN78),ISNUMBER(AN80)),IFERROR(AN78/AN80,""),"")</f>
        <v>0.176918483129292</v>
      </c>
      <c r="AO86" s="30" t="n">
        <f aca="false">IF(AND(ISNUMBER(AO78),ISNUMBER(AO80)),IFERROR(AO78/AO80,""),"")</f>
        <v>0.195749108204518</v>
      </c>
      <c r="AP86" s="30" t="n">
        <f aca="false">IF(AND(ISNUMBER(AP78),ISNUMBER(AP80)),IFERROR(AP78/AP80,""),"")</f>
        <v>0.186354833904365</v>
      </c>
      <c r="AQ86" s="30" t="n">
        <f aca="false">IF(AND(ISNUMBER(AQ78),ISNUMBER(AQ80)),IFERROR(AQ78/AQ80,""),"")</f>
        <v>0.177105543710021</v>
      </c>
      <c r="AR86" s="30" t="n">
        <f aca="false">IF(AND(ISNUMBER(AR78),ISNUMBER(AR80)),IFERROR(AR78/AR80,""),"")</f>
        <v>0.200339115690622</v>
      </c>
      <c r="AS86" s="30" t="n">
        <f aca="false">IF(AND(ISNUMBER(AS78),ISNUMBER(AS80)),IFERROR(AS78/AS80,""),"")</f>
        <v>0.188847142574649</v>
      </c>
      <c r="AT86" s="30" t="n">
        <f aca="false">IF(AND(ISNUMBER(AT78),ISNUMBER(AT80)),IFERROR(AT78/AT80,""),"")</f>
        <v>0.181105302464526</v>
      </c>
      <c r="AU86" s="30" t="n">
        <f aca="false">IF(AND(ISNUMBER(AU78),ISNUMBER(AU80)),IFERROR(AU78/AU80,""),"")</f>
        <v>0.203313253012048</v>
      </c>
      <c r="AV86" s="30" t="n">
        <f aca="false">IF(AND(ISNUMBER(AV78),ISNUMBER(AV80)),IFERROR(AV78/AV80,""),"")</f>
        <v>0.192163479565054</v>
      </c>
      <c r="AW86" s="30" t="n">
        <f aca="false">IF(AND(ISNUMBER(AW78),ISNUMBER(AW80)),IFERROR(AW78/AW80,""),"")</f>
        <v>0.194145026947575</v>
      </c>
      <c r="AX86" s="28"/>
      <c r="AY86" s="28"/>
      <c r="AZ86" s="28"/>
      <c r="BA86" s="28"/>
      <c r="BB86" s="28"/>
      <c r="BC86" s="28"/>
      <c r="BD86" s="23"/>
      <c r="BF86" s="32" t="str">
        <f aca="false">IFERROR(AVERAGE(AY86,AZ86,BA86,BB86,BC86),"n/m")</f>
        <v>n/m</v>
      </c>
      <c r="BG86" s="32" t="n">
        <f aca="false">IFERROR(AVERAGE(AJ86,AM86,AP86,AS86,AV86),"n/m")</f>
        <v>0.18279012155956</v>
      </c>
      <c r="BH86" s="32" t="n">
        <f aca="false">IFERROR(AVERAGE(U86,X86,AA86,AD86,AG86,AJ86,AM86,AP86,AS86,AV86),"n/m")</f>
        <v>0.178201143281179</v>
      </c>
      <c r="BI86" s="32" t="n">
        <f aca="false">IFERROR(AVERAGE(C86,D86,E86,F86,G86,H86,I86,L86,O86,R86,U86,X86,AA86,AD86,AG86,AJ86,AM86,AP86,AS86,AV86),"n/m")</f>
        <v>0.173218269515072</v>
      </c>
      <c r="BL86" s="13" t="s">
        <v>79</v>
      </c>
      <c r="BM86" s="35" t="n">
        <f aca="false">BN86+$BM$84</f>
        <v>0.45</v>
      </c>
      <c r="BN86" s="29" t="n">
        <v>0.4</v>
      </c>
      <c r="BO86" s="35" t="n">
        <f aca="false">BN86+$BO$84</f>
        <v>0.4</v>
      </c>
    </row>
    <row r="87" customFormat="false" ht="15" hidden="false" customHeight="true" outlineLevel="0" collapsed="false">
      <c r="B87" s="26" t="s">
        <v>152</v>
      </c>
      <c r="C87" s="30" t="str">
        <f aca="false">IF(AND(ISNUMBER(C79),ISNUMBER(C80)),IFERROR(C79/C80,""),"")</f>
        <v/>
      </c>
      <c r="D87" s="30" t="str">
        <f aca="false">IF(AND(ISNUMBER(D79),ISNUMBER(D80)),IFERROR(D79/D80,""),"")</f>
        <v/>
      </c>
      <c r="E87" s="30" t="str">
        <f aca="false">IF(AND(ISNUMBER(E79),ISNUMBER(E80)),IFERROR(E79/E80,""),"")</f>
        <v/>
      </c>
      <c r="F87" s="30" t="n">
        <f aca="false">IF(AND(ISNUMBER(F79),ISNUMBER(F80)),IFERROR(F79/F80,""),"")</f>
        <v>0.017813299900747</v>
      </c>
      <c r="G87" s="30" t="n">
        <f aca="false">IF(AND(ISNUMBER(G79),ISNUMBER(G80)),IFERROR(G79/G80,""),"")</f>
        <v>0.0130378639563461</v>
      </c>
      <c r="H87" s="30" t="n">
        <f aca="false">IF(AND(ISNUMBER(H79),ISNUMBER(H80)),IFERROR(H79/H80,""),"")</f>
        <v>0.0150640574405181</v>
      </c>
      <c r="I87" s="30" t="n">
        <f aca="false">IF(AND(ISNUMBER(I79),ISNUMBER(I80)),IFERROR(I79/I80,""),"")</f>
        <v>0.0150971556499526</v>
      </c>
      <c r="J87" s="30" t="n">
        <f aca="false">IF(AND(ISNUMBER(J79),ISNUMBER(J80)),IFERROR(J79/J80,""),"")</f>
        <v>0.0183340878225441</v>
      </c>
      <c r="K87" s="30" t="n">
        <f aca="false">IF(AND(ISNUMBER(K79),ISNUMBER(K80)),IFERROR(K79/K80,""),"")</f>
        <v>0.0169542687528299</v>
      </c>
      <c r="L87" s="30" t="n">
        <f aca="false">IF(AND(ISNUMBER(L79),ISNUMBER(L80)),IFERROR(L79/L80,""),"")</f>
        <v>0.0176036645449945</v>
      </c>
      <c r="M87" s="30" t="n">
        <f aca="false">IF(AND(ISNUMBER(M79),ISNUMBER(M80)),IFERROR(M79/M80,""),"")</f>
        <v>0.0201373957732445</v>
      </c>
      <c r="N87" s="30" t="n">
        <f aca="false">IF(AND(ISNUMBER(N79),ISNUMBER(N80)),IFERROR(N79/N80,""),"")</f>
        <v>0.0163215480604033</v>
      </c>
      <c r="O87" s="30" t="n">
        <f aca="false">IF(AND(ISNUMBER(O79),ISNUMBER(O80)),IFERROR(O79/O80,""),"")</f>
        <v>0.0180882317236021</v>
      </c>
      <c r="P87" s="30" t="n">
        <f aca="false">IF(AND(ISNUMBER(P79),ISNUMBER(P80)),IFERROR(P79/P80,""),"")</f>
        <v>0.0168304775158737</v>
      </c>
      <c r="Q87" s="30" t="n">
        <f aca="false">IF(AND(ISNUMBER(Q79),ISNUMBER(Q80)),IFERROR(Q79/Q80,""),"")</f>
        <v>0.0135735924774757</v>
      </c>
      <c r="R87" s="30" t="n">
        <f aca="false">IF(AND(ISNUMBER(R79),ISNUMBER(R80)),IFERROR(R79/R80,""),"")</f>
        <v>0.0151205304579538</v>
      </c>
      <c r="S87" s="30" t="n">
        <f aca="false">IF(AND(ISNUMBER(S79),ISNUMBER(S80)),IFERROR(S79/S80,""),"")</f>
        <v>0.0150391345326394</v>
      </c>
      <c r="T87" s="30" t="n">
        <f aca="false">IF(AND(ISNUMBER(T79),ISNUMBER(T80)),IFERROR(T79/T80,""),"")</f>
        <v>0.0144822592324403</v>
      </c>
      <c r="U87" s="30" t="n">
        <f aca="false">IF(AND(ISNUMBER(U79),ISNUMBER(U80)),IFERROR(U79/U80,""),"")</f>
        <v>0.0147434788458951</v>
      </c>
      <c r="V87" s="30" t="n">
        <f aca="false">IF(AND(ISNUMBER(V79),ISNUMBER(V80)),IFERROR(V79/V80,""),"")</f>
        <v>0.0173977147069665</v>
      </c>
      <c r="W87" s="30" t="n">
        <f aca="false">IF(AND(ISNUMBER(W79),ISNUMBER(W80)),IFERROR(W79/W80,""),"")</f>
        <v>0.0157252662012552</v>
      </c>
      <c r="X87" s="30" t="n">
        <f aca="false">IF(AND(ISNUMBER(X79),ISNUMBER(X80)),IFERROR(X79/X80,""),"")</f>
        <v>0.0165429251063216</v>
      </c>
      <c r="Y87" s="30" t="n">
        <f aca="false">IF(AND(ISNUMBER(Y79),ISNUMBER(Y80)),IFERROR(Y79/Y80,""),"")</f>
        <v>0.01920583184383</v>
      </c>
      <c r="Z87" s="30" t="n">
        <f aca="false">IF(AND(ISNUMBER(Z79),ISNUMBER(Z80)),IFERROR(Z79/Z80,""),"")</f>
        <v>0.0171228475970188</v>
      </c>
      <c r="AA87" s="30" t="n">
        <f aca="false">IF(AND(ISNUMBER(AA79),ISNUMBER(AA80)),IFERROR(AA79/AA80,""),"")</f>
        <v>0.0181190392383634</v>
      </c>
      <c r="AB87" s="30" t="n">
        <f aca="false">IF(AND(ISNUMBER(AB79),ISNUMBER(AB80)),IFERROR(AB79/AB80,""),"")</f>
        <v>0.0196705337839895</v>
      </c>
      <c r="AC87" s="30" t="n">
        <f aca="false">IF(AND(ISNUMBER(AC79),ISNUMBER(AC80)),IFERROR(AC79/AC80,""),"")</f>
        <v>0.0153914541312441</v>
      </c>
      <c r="AD87" s="30" t="n">
        <f aca="false">IF(AND(ISNUMBER(AD79),ISNUMBER(AD80)),IFERROR(AD79/AD80,""),"")</f>
        <v>0.0174329919372412</v>
      </c>
      <c r="AE87" s="30" t="n">
        <f aca="false">IF(AND(ISNUMBER(AE79),ISNUMBER(AE80)),IFERROR(AE79/AE80,""),"")</f>
        <v>0.0177257928373327</v>
      </c>
      <c r="AF87" s="30" t="n">
        <f aca="false">IF(AND(ISNUMBER(AF79),ISNUMBER(AF80)),IFERROR(AF79/AF80,""),"")</f>
        <v>0.0164291572688128</v>
      </c>
      <c r="AG87" s="30" t="n">
        <f aca="false">IF(AND(ISNUMBER(AG79),ISNUMBER(AG80)),IFERROR(AG79/AG80,""),"")</f>
        <v>0.0169340323969012</v>
      </c>
      <c r="AH87" s="30" t="n">
        <f aca="false">IF(AND(ISNUMBER(AH79),ISNUMBER(AH80)),IFERROR(AH79/AH80,""),"")</f>
        <v>0.0194319174556702</v>
      </c>
      <c r="AI87" s="30" t="n">
        <f aca="false">IF(AND(ISNUMBER(AI79),ISNUMBER(AI80)),IFERROR(AI79/AI80,""),"")</f>
        <v>0.0155233060218632</v>
      </c>
      <c r="AJ87" s="30" t="n">
        <f aca="false">IF(AND(ISNUMBER(AJ79),ISNUMBER(AJ80)),IFERROR(AJ79/AJ80,""),"")</f>
        <v>0.0173661360347323</v>
      </c>
      <c r="AK87" s="30" t="n">
        <f aca="false">IF(AND(ISNUMBER(AK79),ISNUMBER(AK80)),IFERROR(AK79/AK80,""),"")</f>
        <v>0.0193607305936073</v>
      </c>
      <c r="AL87" s="30" t="n">
        <f aca="false">IF(AND(ISNUMBER(AL79),ISNUMBER(AL80)),IFERROR(AL79/AL80,""),"")</f>
        <v>0.0164844132528154</v>
      </c>
      <c r="AM87" s="30" t="n">
        <f aca="false">IF(AND(ISNUMBER(AM79),ISNUMBER(AM80)),IFERROR(AM79/AM80,""),"")</f>
        <v>0.0178417514221686</v>
      </c>
      <c r="AN87" s="30" t="n">
        <f aca="false">IF(AND(ISNUMBER(AN79),ISNUMBER(AN80)),IFERROR(AN79/AN80,""),"")</f>
        <v>0.0225440429979098</v>
      </c>
      <c r="AO87" s="30" t="n">
        <f aca="false">IF(AND(ISNUMBER(AO79),ISNUMBER(AO80)),IFERROR(AO79/AO80,""),"")</f>
        <v>0.0219976218787158</v>
      </c>
      <c r="AP87" s="30" t="n">
        <f aca="false">IF(AND(ISNUMBER(AP79),ISNUMBER(AP80)),IFERROR(AP79/AP80,""),"")</f>
        <v>0.0222702219573961</v>
      </c>
      <c r="AQ87" s="30" t="n">
        <f aca="false">IF(AND(ISNUMBER(AQ79),ISNUMBER(AQ80)),IFERROR(AQ79/AQ80,""),"")</f>
        <v>0.0414445628997868</v>
      </c>
      <c r="AR87" s="30" t="n">
        <f aca="false">IF(AND(ISNUMBER(AR79),ISNUMBER(AR80)),IFERROR(AR79/AR80,""),"")</f>
        <v>0.0412155993217686</v>
      </c>
      <c r="AS87" s="30" t="n">
        <f aca="false">IF(AND(ISNUMBER(AS79),ISNUMBER(AS80)),IFERROR(AS79/AS80,""),"")</f>
        <v>0.0413288510974886</v>
      </c>
      <c r="AT87" s="30" t="n">
        <f aca="false">IF(AND(ISNUMBER(AT79),ISNUMBER(AT80)),IFERROR(AT79/AT80,""),"")</f>
        <v>0.045058501369181</v>
      </c>
      <c r="AU87" s="30" t="n">
        <f aca="false">IF(AND(ISNUMBER(AU79),ISNUMBER(AU80)),IFERROR(AU79/AU80,""),"")</f>
        <v>0.0420431726907631</v>
      </c>
      <c r="AV87" s="30" t="n">
        <f aca="false">IF(AND(ISNUMBER(AV79),ISNUMBER(AV80)),IFERROR(AV79/AV80,""),"")</f>
        <v>0.043557055368079</v>
      </c>
      <c r="AW87" s="30" t="n">
        <f aca="false">IF(AND(ISNUMBER(AW79),ISNUMBER(AW80)),IFERROR(AW79/AW80,""),"")</f>
        <v>0.040421362077413</v>
      </c>
      <c r="AX87" s="28"/>
      <c r="AY87" s="28"/>
      <c r="AZ87" s="28"/>
      <c r="BA87" s="28"/>
      <c r="BB87" s="28"/>
      <c r="BC87" s="28"/>
      <c r="BD87" s="23"/>
      <c r="BF87" s="32" t="str">
        <f aca="false">IFERROR(AVERAGE(AY87,AZ87,BA87,BB87,BC87),"n/m")</f>
        <v>n/m</v>
      </c>
      <c r="BG87" s="32" t="n">
        <f aca="false">IFERROR(AVERAGE(AJ87,AM87,AP87,AS87,AV87),"n/m")</f>
        <v>0.0284728031759729</v>
      </c>
      <c r="BH87" s="32" t="n">
        <f aca="false">IFERROR(AVERAGE(U87,X87,AA87,AD87,AG87,AJ87,AM87,AP87,AS87,AV87),"n/m")</f>
        <v>0.0226136483404587</v>
      </c>
      <c r="BI87" s="32" t="n">
        <f aca="false">IFERROR(AVERAGE(C87,D87,E87,F87,G87,H87,I87,L87,O87,R87,U87,X87,AA87,AD87,AG87,AJ87,AM87,AP87,AS87,AV87),"n/m")</f>
        <v>0.0198800757105118</v>
      </c>
      <c r="BL87" s="13" t="s">
        <v>80</v>
      </c>
      <c r="BM87" s="35" t="n">
        <f aca="false">BN87+$BM$84</f>
        <v>0.45</v>
      </c>
      <c r="BN87" s="29" t="n">
        <v>0.4</v>
      </c>
      <c r="BO87" s="35" t="n">
        <f aca="false">BN87+$BO$84</f>
        <v>0.4</v>
      </c>
    </row>
    <row r="88" customFormat="false" ht="15" hidden="false" customHeight="true" outlineLevel="0" collapsed="false">
      <c r="B88" s="26" t="s">
        <v>153</v>
      </c>
      <c r="C88" s="30"/>
      <c r="D88" s="30"/>
      <c r="E88" s="30"/>
      <c r="F88" s="30"/>
      <c r="G88" s="31" t="n">
        <v>0.181</v>
      </c>
      <c r="H88" s="31" t="n">
        <v>0.132</v>
      </c>
      <c r="I88" s="31" t="n">
        <v>0.122</v>
      </c>
      <c r="J88" s="31" t="n">
        <v>0.13</v>
      </c>
      <c r="K88" s="30"/>
      <c r="L88" s="31" t="n">
        <v>0.104</v>
      </c>
      <c r="M88" s="31" t="n">
        <v>0.065</v>
      </c>
      <c r="N88" s="30"/>
      <c r="O88" s="31" t="n">
        <v>0.05</v>
      </c>
      <c r="P88" s="31" t="n">
        <v>0.066</v>
      </c>
      <c r="Q88" s="30"/>
      <c r="R88" s="31" t="n">
        <v>0.062</v>
      </c>
      <c r="S88" s="31" t="n">
        <v>0.073</v>
      </c>
      <c r="T88" s="30"/>
      <c r="U88" s="31" t="n">
        <v>0.052</v>
      </c>
      <c r="V88" s="31" t="n">
        <v>0.024</v>
      </c>
      <c r="W88" s="30"/>
      <c r="X88" s="31" t="n">
        <v>0.05</v>
      </c>
      <c r="Y88" s="31" t="n">
        <v>0.082</v>
      </c>
      <c r="Z88" s="30"/>
      <c r="AA88" s="31" t="n">
        <v>0.063</v>
      </c>
      <c r="AB88" s="31" t="n">
        <v>0.04</v>
      </c>
      <c r="AC88" s="30"/>
      <c r="AD88" s="31" t="n">
        <v>0.081</v>
      </c>
      <c r="AE88" s="31" t="n">
        <v>-0.378</v>
      </c>
      <c r="AF88" s="30"/>
      <c r="AG88" s="31" t="n">
        <v>-0.286</v>
      </c>
      <c r="AH88" s="31" t="n">
        <v>0.353</v>
      </c>
      <c r="AI88" s="30"/>
      <c r="AJ88" s="31" t="n">
        <v>0.352</v>
      </c>
      <c r="AK88" s="31" t="n">
        <v>0.407</v>
      </c>
      <c r="AL88" s="30"/>
      <c r="AM88" s="31" t="n">
        <v>0.269</v>
      </c>
      <c r="AN88" s="31" t="n">
        <v>0.235</v>
      </c>
      <c r="AO88" s="30"/>
      <c r="AP88" s="31" t="n">
        <v>0.198</v>
      </c>
      <c r="AQ88" s="31" t="n">
        <v>0.147</v>
      </c>
      <c r="AR88" s="30"/>
      <c r="AS88" s="31" t="n">
        <v>0.135</v>
      </c>
      <c r="AT88" s="31" t="n">
        <v>0.087</v>
      </c>
      <c r="AU88" s="30"/>
      <c r="AV88" s="31" t="n">
        <v>0.089</v>
      </c>
      <c r="AW88" s="31" t="n">
        <v>0.018</v>
      </c>
      <c r="AX88" s="28"/>
      <c r="AY88" s="28"/>
      <c r="AZ88" s="28"/>
      <c r="BA88" s="28"/>
      <c r="BB88" s="28"/>
      <c r="BC88" s="28"/>
      <c r="BD88" s="23"/>
      <c r="BF88" s="7"/>
      <c r="BG88" s="7"/>
      <c r="BH88" s="7"/>
      <c r="BI88" s="7"/>
      <c r="BL88" s="13" t="s">
        <v>81</v>
      </c>
      <c r="BM88" s="35" t="n">
        <f aca="false">BN88+$BM$84</f>
        <v>0.45</v>
      </c>
      <c r="BN88" s="29" t="n">
        <v>0.4</v>
      </c>
      <c r="BO88" s="35" t="n">
        <f aca="false">BN88+$BO$84</f>
        <v>0.4</v>
      </c>
    </row>
    <row r="89" customFormat="false" ht="15" hidden="false" customHeight="true" outlineLevel="0" collapsed="false">
      <c r="B89" s="26" t="s">
        <v>154</v>
      </c>
      <c r="C89" s="30"/>
      <c r="D89" s="30"/>
      <c r="E89" s="30"/>
      <c r="F89" s="30"/>
      <c r="G89" s="31" t="n">
        <v>0.179</v>
      </c>
      <c r="H89" s="31" t="n">
        <v>0.193</v>
      </c>
      <c r="I89" s="31" t="n">
        <v>0.166</v>
      </c>
      <c r="J89" s="31" t="n">
        <v>0.143</v>
      </c>
      <c r="K89" s="30"/>
      <c r="L89" s="31" t="n">
        <v>0.129</v>
      </c>
      <c r="M89" s="31" t="n">
        <v>0.073</v>
      </c>
      <c r="N89" s="30"/>
      <c r="O89" s="31" t="n">
        <v>0.086</v>
      </c>
      <c r="P89" s="31" t="n">
        <v>0.07</v>
      </c>
      <c r="Q89" s="30"/>
      <c r="R89" s="31" t="n">
        <v>0.108</v>
      </c>
      <c r="S89" s="31" t="n">
        <v>0.091</v>
      </c>
      <c r="T89" s="30"/>
      <c r="U89" s="31" t="n">
        <v>0.092</v>
      </c>
      <c r="V89" s="31" t="n">
        <v>0.107</v>
      </c>
      <c r="W89" s="30"/>
      <c r="X89" s="31" t="n">
        <v>0.096</v>
      </c>
      <c r="Y89" s="31" t="n">
        <v>0.074</v>
      </c>
      <c r="Z89" s="30"/>
      <c r="AA89" s="31" t="n">
        <v>0.075</v>
      </c>
      <c r="AB89" s="31" t="n">
        <v>0.088</v>
      </c>
      <c r="AC89" s="30"/>
      <c r="AD89" s="31" t="n">
        <v>0.081</v>
      </c>
      <c r="AE89" s="31" t="n">
        <v>-0.362</v>
      </c>
      <c r="AF89" s="30"/>
      <c r="AG89" s="31" t="n">
        <v>-0.2</v>
      </c>
      <c r="AH89" s="31" t="n">
        <v>0.518</v>
      </c>
      <c r="AI89" s="30"/>
      <c r="AJ89" s="31" t="n">
        <v>0.369</v>
      </c>
      <c r="AK89" s="31" t="n">
        <v>0.338</v>
      </c>
      <c r="AL89" s="30"/>
      <c r="AM89" s="31" t="n">
        <v>0.184</v>
      </c>
      <c r="AN89" s="31" t="n">
        <v>0.215</v>
      </c>
      <c r="AO89" s="30"/>
      <c r="AP89" s="31" t="n">
        <v>0.202</v>
      </c>
      <c r="AQ89" s="31" t="n">
        <v>0.177</v>
      </c>
      <c r="AR89" s="30"/>
      <c r="AS89" s="31" t="n">
        <v>0.189</v>
      </c>
      <c r="AT89" s="31" t="n">
        <v>0.126</v>
      </c>
      <c r="AU89" s="30"/>
      <c r="AV89" s="31" t="n">
        <v>0.113</v>
      </c>
      <c r="AW89" s="31" t="n">
        <v>0.088</v>
      </c>
      <c r="AX89" s="28"/>
      <c r="AY89" s="28"/>
      <c r="AZ89" s="28"/>
      <c r="BA89" s="28"/>
      <c r="BB89" s="28"/>
      <c r="BC89" s="28"/>
      <c r="BD89" s="23"/>
      <c r="BF89" s="7"/>
      <c r="BG89" s="7"/>
      <c r="BH89" s="7"/>
      <c r="BI89" s="7"/>
      <c r="BL89" s="13" t="s">
        <v>82</v>
      </c>
      <c r="BM89" s="35" t="n">
        <f aca="false">BN89+$BM$84</f>
        <v>0.45</v>
      </c>
      <c r="BN89" s="29" t="n">
        <v>0.4</v>
      </c>
      <c r="BO89" s="35" t="n">
        <f aca="false">BN89+$BO$84</f>
        <v>0.4</v>
      </c>
    </row>
    <row r="90" customFormat="false" ht="15" hidden="false" customHeight="true" outlineLevel="0" collapsed="false">
      <c r="B90" s="26" t="s">
        <v>155</v>
      </c>
      <c r="C90" s="30"/>
      <c r="D90" s="30"/>
      <c r="E90" s="30"/>
      <c r="F90" s="30"/>
      <c r="G90" s="31" t="n">
        <v>-0.008</v>
      </c>
      <c r="H90" s="31" t="n">
        <v>-0.007</v>
      </c>
      <c r="I90" s="31" t="n">
        <v>0.068</v>
      </c>
      <c r="J90" s="31" t="n">
        <v>0.08</v>
      </c>
      <c r="K90" s="30"/>
      <c r="L90" s="31" t="n">
        <v>0.065</v>
      </c>
      <c r="M90" s="31" t="n">
        <v>0.113</v>
      </c>
      <c r="N90" s="30"/>
      <c r="O90" s="31" t="n">
        <v>0.129</v>
      </c>
      <c r="P90" s="31" t="n">
        <v>0.205</v>
      </c>
      <c r="Q90" s="30"/>
      <c r="R90" s="31" t="n">
        <v>0.183</v>
      </c>
      <c r="S90" s="31" t="n">
        <v>0.1</v>
      </c>
      <c r="T90" s="30"/>
      <c r="U90" s="31" t="n">
        <v>0.086</v>
      </c>
      <c r="V90" s="31" t="n">
        <v>0.034</v>
      </c>
      <c r="W90" s="30"/>
      <c r="X90" s="31" t="n">
        <v>0.041</v>
      </c>
      <c r="Y90" s="31" t="n">
        <v>0.068</v>
      </c>
      <c r="Z90" s="30"/>
      <c r="AA90" s="31" t="n">
        <v>0.075</v>
      </c>
      <c r="AB90" s="31" t="n">
        <v>0.098</v>
      </c>
      <c r="AC90" s="30"/>
      <c r="AD90" s="31" t="n">
        <v>0.082</v>
      </c>
      <c r="AE90" s="31" t="n">
        <v>-0.228</v>
      </c>
      <c r="AF90" s="30"/>
      <c r="AG90" s="31" t="n">
        <v>-0.037</v>
      </c>
      <c r="AH90" s="31" t="n">
        <v>0.585</v>
      </c>
      <c r="AI90" s="30"/>
      <c r="AJ90" s="31" t="n">
        <v>0.249</v>
      </c>
      <c r="AK90" s="31" t="n">
        <v>0.204</v>
      </c>
      <c r="AL90" s="30"/>
      <c r="AM90" s="31" t="n">
        <v>0.197</v>
      </c>
      <c r="AN90" s="31" t="n">
        <v>0.26</v>
      </c>
      <c r="AO90" s="30"/>
      <c r="AP90" s="31" t="n">
        <v>0.257</v>
      </c>
      <c r="AQ90" s="31" t="n">
        <v>0.224</v>
      </c>
      <c r="AR90" s="30"/>
      <c r="AS90" s="31" t="n">
        <v>0.225</v>
      </c>
      <c r="AT90" s="31" t="n">
        <v>0.16</v>
      </c>
      <c r="AU90" s="30"/>
      <c r="AV90" s="31" t="n">
        <v>0.141</v>
      </c>
      <c r="AW90" s="31" t="n">
        <v>0.11</v>
      </c>
      <c r="AX90" s="28"/>
      <c r="AY90" s="28"/>
      <c r="AZ90" s="28"/>
      <c r="BA90" s="28"/>
      <c r="BB90" s="28"/>
      <c r="BC90" s="28"/>
      <c r="BD90" s="23"/>
      <c r="BF90" s="7"/>
      <c r="BG90" s="7"/>
      <c r="BH90" s="7"/>
      <c r="BI90" s="7"/>
    </row>
    <row r="91" customFormat="false" ht="15" hidden="false" customHeight="true" outlineLevel="0" collapsed="false">
      <c r="B91" s="26" t="s">
        <v>156</v>
      </c>
      <c r="C91" s="30"/>
      <c r="D91" s="30"/>
      <c r="E91" s="30"/>
      <c r="F91" s="30"/>
      <c r="G91" s="31" t="n">
        <v>0.38</v>
      </c>
      <c r="H91" s="31" t="n">
        <v>0.294</v>
      </c>
      <c r="I91" s="31" t="n">
        <v>0.254</v>
      </c>
      <c r="J91" s="31" t="n">
        <v>0.169</v>
      </c>
      <c r="K91" s="30"/>
      <c r="L91" s="31" t="n">
        <v>0.164</v>
      </c>
      <c r="M91" s="31" t="n">
        <v>0.172</v>
      </c>
      <c r="N91" s="30"/>
      <c r="O91" s="31" t="n">
        <v>0.131</v>
      </c>
      <c r="P91" s="31" t="n">
        <v>0.069</v>
      </c>
      <c r="Q91" s="30"/>
      <c r="R91" s="31" t="n">
        <v>0.051</v>
      </c>
      <c r="S91" s="31" t="n">
        <v>0.053</v>
      </c>
      <c r="T91" s="30"/>
      <c r="U91" s="31" t="n">
        <v>0.071</v>
      </c>
      <c r="V91" s="31" t="n">
        <v>0.143</v>
      </c>
      <c r="W91" s="30"/>
      <c r="X91" s="31" t="n">
        <v>0.113</v>
      </c>
      <c r="Y91" s="31" t="n">
        <v>0.149</v>
      </c>
      <c r="Z91" s="30"/>
      <c r="AA91" s="31" t="n">
        <v>0.137</v>
      </c>
      <c r="AB91" s="31" t="n">
        <v>0.177</v>
      </c>
      <c r="AC91" s="30"/>
      <c r="AD91" s="31" t="n">
        <v>0.178</v>
      </c>
      <c r="AE91" s="31" t="n">
        <v>-0.091</v>
      </c>
      <c r="AF91" s="30"/>
      <c r="AG91" s="31" t="n">
        <v>0.144</v>
      </c>
      <c r="AH91" s="31" t="n">
        <v>0.865</v>
      </c>
      <c r="AI91" s="30"/>
      <c r="AJ91" s="31" t="n">
        <v>0.446</v>
      </c>
      <c r="AK91" s="31" t="n">
        <v>0.149</v>
      </c>
      <c r="AL91" s="30"/>
      <c r="AM91" s="31" t="n">
        <v>0.219</v>
      </c>
      <c r="AN91" s="31" t="n">
        <v>0.276</v>
      </c>
      <c r="AO91" s="30"/>
      <c r="AP91" s="31" t="n">
        <v>0.191</v>
      </c>
      <c r="AQ91" s="31" t="n">
        <v>0.099</v>
      </c>
      <c r="AR91" s="30"/>
      <c r="AS91" s="31" t="n">
        <v>0.074</v>
      </c>
      <c r="AT91" s="31" t="n">
        <v>0.03</v>
      </c>
      <c r="AU91" s="30"/>
      <c r="AV91" s="31" t="n">
        <v>0.049</v>
      </c>
      <c r="AW91" s="31" t="n">
        <v>0.024</v>
      </c>
      <c r="AX91" s="28"/>
      <c r="AY91" s="28"/>
      <c r="AZ91" s="28"/>
      <c r="BA91" s="28"/>
      <c r="BB91" s="28"/>
      <c r="BC91" s="28"/>
      <c r="BD91" s="23"/>
      <c r="BF91" s="7"/>
      <c r="BG91" s="7"/>
      <c r="BH91" s="7"/>
      <c r="BI91" s="7"/>
    </row>
    <row r="92" customFormat="false" ht="15" hidden="false" customHeight="true" outlineLevel="0" collapsed="false">
      <c r="B92" s="26" t="s">
        <v>157</v>
      </c>
      <c r="C92" s="30"/>
      <c r="D92" s="30"/>
      <c r="E92" s="30"/>
      <c r="F92" s="30"/>
      <c r="G92" s="31" t="n">
        <v>0.241</v>
      </c>
      <c r="H92" s="31" t="n">
        <v>0.258</v>
      </c>
      <c r="I92" s="31" t="n">
        <v>0.14</v>
      </c>
      <c r="J92" s="31" t="n">
        <v>0.165</v>
      </c>
      <c r="K92" s="30"/>
      <c r="L92" s="31" t="n">
        <v>0.142</v>
      </c>
      <c r="M92" s="31" t="n">
        <v>0.126</v>
      </c>
      <c r="N92" s="30"/>
      <c r="O92" s="31" t="n">
        <v>0.145</v>
      </c>
      <c r="P92" s="31" t="n">
        <v>0.103</v>
      </c>
      <c r="Q92" s="30"/>
      <c r="R92" s="31" t="n">
        <v>0.068</v>
      </c>
      <c r="S92" s="31" t="n">
        <v>0.083</v>
      </c>
      <c r="T92" s="30"/>
      <c r="U92" s="31" t="n">
        <v>0.072</v>
      </c>
      <c r="V92" s="31" t="n">
        <v>0.088</v>
      </c>
      <c r="W92" s="30"/>
      <c r="X92" s="31" t="n">
        <v>0.077</v>
      </c>
      <c r="Y92" s="31" t="n">
        <v>0.124</v>
      </c>
      <c r="Z92" s="30"/>
      <c r="AA92" s="31" t="n">
        <v>0.115</v>
      </c>
      <c r="AB92" s="31" t="n">
        <v>0.098</v>
      </c>
      <c r="AC92" s="30"/>
      <c r="AD92" s="31" t="n">
        <v>0.12</v>
      </c>
      <c r="AE92" s="31" t="n">
        <v>-0.417</v>
      </c>
      <c r="AF92" s="30"/>
      <c r="AG92" s="31" t="n">
        <v>-0.205</v>
      </c>
      <c r="AH92" s="31" t="n">
        <v>1.151</v>
      </c>
      <c r="AI92" s="30"/>
      <c r="AJ92" s="31" t="n">
        <v>0.567</v>
      </c>
      <c r="AK92" s="31" t="n">
        <v>0.341</v>
      </c>
      <c r="AL92" s="30"/>
      <c r="AM92" s="31" t="n">
        <v>0.316</v>
      </c>
      <c r="AN92" s="31" t="n">
        <v>0.199</v>
      </c>
      <c r="AO92" s="30"/>
      <c r="AP92" s="31" t="n">
        <v>0.205</v>
      </c>
      <c r="AQ92" s="31" t="n">
        <v>0.126</v>
      </c>
      <c r="AR92" s="30"/>
      <c r="AS92" s="31" t="n">
        <v>0.155</v>
      </c>
      <c r="AT92" s="31" t="n">
        <v>0.117</v>
      </c>
      <c r="AU92" s="30"/>
      <c r="AV92" s="31" t="n">
        <v>0.124</v>
      </c>
      <c r="AW92" s="31" t="n">
        <v>0.153</v>
      </c>
      <c r="AX92" s="28"/>
      <c r="AY92" s="28"/>
      <c r="AZ92" s="28"/>
      <c r="BA92" s="28"/>
      <c r="BB92" s="28"/>
      <c r="BC92" s="28"/>
      <c r="BD92" s="23"/>
      <c r="BF92" s="7"/>
      <c r="BG92" s="7"/>
      <c r="BH92" s="7"/>
      <c r="BI92" s="7"/>
    </row>
    <row r="93" customFormat="false" ht="15" hidden="false" customHeight="true" outlineLevel="0" collapsed="false">
      <c r="B93" s="26" t="s">
        <v>158</v>
      </c>
      <c r="C93" s="30"/>
      <c r="D93" s="30"/>
      <c r="E93" s="30"/>
      <c r="F93" s="30"/>
      <c r="G93" s="31" t="n">
        <v>-0.088</v>
      </c>
      <c r="H93" s="31" t="n">
        <v>0.359</v>
      </c>
      <c r="I93" s="31" t="n">
        <v>0.225</v>
      </c>
      <c r="J93" s="31" t="n">
        <v>0.223</v>
      </c>
      <c r="K93" s="30"/>
      <c r="L93" s="31" t="n">
        <v>0.26</v>
      </c>
      <c r="M93" s="31" t="n">
        <v>0.186</v>
      </c>
      <c r="N93" s="30"/>
      <c r="O93" s="31" t="n">
        <v>0.126</v>
      </c>
      <c r="P93" s="31" t="n">
        <v>0</v>
      </c>
      <c r="Q93" s="30"/>
      <c r="R93" s="31" t="n">
        <v>-0.022</v>
      </c>
      <c r="S93" s="31" t="n">
        <v>-0.049</v>
      </c>
      <c r="T93" s="30"/>
      <c r="U93" s="31" t="n">
        <v>0.048</v>
      </c>
      <c r="V93" s="31" t="n">
        <v>0.286</v>
      </c>
      <c r="W93" s="30"/>
      <c r="X93" s="31" t="n">
        <v>0.199</v>
      </c>
      <c r="Y93" s="31" t="n">
        <v>0.162</v>
      </c>
      <c r="Z93" s="30"/>
      <c r="AA93" s="31" t="n">
        <v>0.178</v>
      </c>
      <c r="AB93" s="31" t="n">
        <v>0.177</v>
      </c>
      <c r="AC93" s="30"/>
      <c r="AD93" s="31" t="n">
        <v>0.109</v>
      </c>
      <c r="AE93" s="31" t="n">
        <v>-0.317</v>
      </c>
      <c r="AF93" s="30"/>
      <c r="AG93" s="31" t="n">
        <v>-0.099</v>
      </c>
      <c r="AH93" s="31" t="n">
        <v>0.87</v>
      </c>
      <c r="AI93" s="30"/>
      <c r="AJ93" s="31" t="n">
        <v>0.446</v>
      </c>
      <c r="AK93" s="31" t="n">
        <v>0.28</v>
      </c>
      <c r="AL93" s="30"/>
      <c r="AM93" s="31" t="n">
        <v>0.315</v>
      </c>
      <c r="AN93" s="31" t="n">
        <v>0.424</v>
      </c>
      <c r="AO93" s="30"/>
      <c r="AP93" s="31" t="n">
        <v>0.44</v>
      </c>
      <c r="AQ93" s="31" t="n">
        <v>1.053</v>
      </c>
      <c r="AR93" s="30"/>
      <c r="AS93" s="31" t="n">
        <v>1.096</v>
      </c>
      <c r="AT93" s="31" t="n">
        <v>0.172</v>
      </c>
      <c r="AU93" s="30"/>
      <c r="AV93" s="31" t="n">
        <v>0.149</v>
      </c>
      <c r="AW93" s="31" t="n">
        <v>-0.042</v>
      </c>
      <c r="AX93" s="28"/>
      <c r="AY93" s="28"/>
      <c r="AZ93" s="28"/>
      <c r="BA93" s="28"/>
      <c r="BB93" s="28"/>
      <c r="BC93" s="28"/>
      <c r="BD93" s="23"/>
      <c r="BF93" s="7"/>
      <c r="BG93" s="7"/>
      <c r="BH93" s="7"/>
      <c r="BI93" s="7"/>
    </row>
    <row r="94" customFormat="false" ht="15" hidden="false" customHeight="true" outlineLevel="0" collapsed="false">
      <c r="B94" s="13" t="s">
        <v>159</v>
      </c>
      <c r="C94" s="37"/>
      <c r="D94" s="37"/>
      <c r="E94" s="37"/>
      <c r="F94" s="38" t="n">
        <v>95.2</v>
      </c>
      <c r="G94" s="38" t="n">
        <v>102</v>
      </c>
      <c r="H94" s="38" t="n">
        <v>139</v>
      </c>
      <c r="I94" s="38" t="n">
        <v>155.6</v>
      </c>
      <c r="J94" s="38" t="n">
        <v>102.8</v>
      </c>
      <c r="K94" s="37" t="n">
        <f aca="false">L94-J94</f>
        <v>105.2</v>
      </c>
      <c r="L94" s="38" t="n">
        <v>208</v>
      </c>
      <c r="M94" s="38" t="n">
        <v>99.9</v>
      </c>
      <c r="N94" s="37" t="n">
        <f aca="false">O94-M94</f>
        <v>119.1</v>
      </c>
      <c r="O94" s="38" t="n">
        <v>219</v>
      </c>
      <c r="P94" s="38" t="n">
        <v>110.6</v>
      </c>
      <c r="Q94" s="37" t="n">
        <f aca="false">R94-P94</f>
        <v>115.4</v>
      </c>
      <c r="R94" s="38" t="n">
        <v>226</v>
      </c>
      <c r="S94" s="38" t="n">
        <v>112.8</v>
      </c>
      <c r="T94" s="37" t="n">
        <f aca="false">U94-S94</f>
        <v>128.2</v>
      </c>
      <c r="U94" s="38" t="n">
        <v>241</v>
      </c>
      <c r="V94" s="38" t="n">
        <v>116.5</v>
      </c>
      <c r="W94" s="37" t="n">
        <f aca="false">X94-V94</f>
        <v>154.1</v>
      </c>
      <c r="X94" s="38" t="n">
        <v>270.6</v>
      </c>
      <c r="Y94" s="38" t="n">
        <v>117.6</v>
      </c>
      <c r="Z94" s="37" t="n">
        <f aca="false">AA94-Y94</f>
        <v>159.3</v>
      </c>
      <c r="AA94" s="38" t="n">
        <v>276.9</v>
      </c>
      <c r="AB94" s="38" t="n">
        <v>135.4</v>
      </c>
      <c r="AC94" s="37" t="n">
        <f aca="false">AD94-AB94</f>
        <v>177.3</v>
      </c>
      <c r="AD94" s="38" t="n">
        <v>312.7</v>
      </c>
      <c r="AE94" s="38" t="n">
        <v>39.4</v>
      </c>
      <c r="AF94" s="37" t="n">
        <f aca="false">AG94-AE94</f>
        <v>119.8</v>
      </c>
      <c r="AG94" s="38" t="n">
        <v>159.2</v>
      </c>
      <c r="AH94" s="38" t="n">
        <v>98.7</v>
      </c>
      <c r="AI94" s="37" t="n">
        <f aca="false">AJ94-AH94</f>
        <v>186.3</v>
      </c>
      <c r="AJ94" s="38" t="n">
        <v>285</v>
      </c>
      <c r="AK94" s="38" t="n">
        <v>183</v>
      </c>
      <c r="AL94" s="37" t="n">
        <f aca="false">AM94-AK94</f>
        <v>228</v>
      </c>
      <c r="AM94" s="38" t="n">
        <v>411</v>
      </c>
      <c r="AN94" s="38" t="n">
        <v>243</v>
      </c>
      <c r="AO94" s="37" t="n">
        <f aca="false">AP94-AN94</f>
        <v>269</v>
      </c>
      <c r="AP94" s="38" t="n">
        <v>512</v>
      </c>
      <c r="AQ94" s="38" t="n">
        <v>263</v>
      </c>
      <c r="AR94" s="37" t="n">
        <f aca="false">AS94-AQ94</f>
        <v>370</v>
      </c>
      <c r="AS94" s="38" t="n">
        <v>633</v>
      </c>
      <c r="AT94" s="38" t="n">
        <v>271</v>
      </c>
      <c r="AU94" s="37" t="n">
        <f aca="false">AV94-AT94</f>
        <v>444</v>
      </c>
      <c r="AV94" s="38" t="n">
        <v>715</v>
      </c>
      <c r="AW94" s="38" t="n">
        <v>273</v>
      </c>
      <c r="AX94" s="39"/>
      <c r="AY94" s="39"/>
      <c r="AZ94" s="39"/>
      <c r="BA94" s="39"/>
      <c r="BB94" s="39"/>
      <c r="BC94" s="39"/>
      <c r="BD94" s="23"/>
      <c r="BF94" s="7"/>
      <c r="BG94" s="7"/>
      <c r="BH94" s="7"/>
      <c r="BI94" s="7"/>
    </row>
    <row r="95" customFormat="false" ht="15" hidden="false" customHeight="true" outlineLevel="0" collapsed="false">
      <c r="B95" s="13" t="s">
        <v>160</v>
      </c>
      <c r="C95" s="37"/>
      <c r="D95" s="37"/>
      <c r="E95" s="37"/>
      <c r="F95" s="38" t="n">
        <v>94.8</v>
      </c>
      <c r="G95" s="38" t="n">
        <v>110</v>
      </c>
      <c r="H95" s="38" t="n">
        <v>147.7</v>
      </c>
      <c r="I95" s="38" t="n">
        <v>188.7</v>
      </c>
      <c r="J95" s="38" t="n">
        <v>96.8</v>
      </c>
      <c r="K95" s="37" t="n">
        <f aca="false">L95-J95</f>
        <v>106</v>
      </c>
      <c r="L95" s="38" t="n">
        <v>202.8</v>
      </c>
      <c r="M95" s="38" t="n">
        <v>99.6</v>
      </c>
      <c r="N95" s="37" t="n">
        <f aca="false">O95-M95</f>
        <v>119.2</v>
      </c>
      <c r="O95" s="38" t="n">
        <v>218.8</v>
      </c>
      <c r="P95" s="38" t="n">
        <v>107</v>
      </c>
      <c r="Q95" s="37" t="n">
        <f aca="false">R95-P95</f>
        <v>131.3</v>
      </c>
      <c r="R95" s="38" t="n">
        <v>238.3</v>
      </c>
      <c r="S95" s="38" t="n">
        <v>113.3</v>
      </c>
      <c r="T95" s="37" t="n">
        <f aca="false">U95-S95</f>
        <v>139.9</v>
      </c>
      <c r="U95" s="38" t="n">
        <v>253.2</v>
      </c>
      <c r="V95" s="38" t="n">
        <v>143.6</v>
      </c>
      <c r="W95" s="37" t="n">
        <f aca="false">X95-V95</f>
        <v>150.9</v>
      </c>
      <c r="X95" s="38" t="n">
        <v>294.5</v>
      </c>
      <c r="Y95" s="38" t="n">
        <v>129</v>
      </c>
      <c r="Z95" s="37" t="n">
        <f aca="false">AA95-Y95</f>
        <v>177.8</v>
      </c>
      <c r="AA95" s="38" t="n">
        <v>306.8</v>
      </c>
      <c r="AB95" s="38" t="n">
        <v>142.8</v>
      </c>
      <c r="AC95" s="37" t="n">
        <f aca="false">AD95-AB95</f>
        <v>200.8</v>
      </c>
      <c r="AD95" s="38" t="n">
        <v>343.6</v>
      </c>
      <c r="AE95" s="38" t="n">
        <v>16.4</v>
      </c>
      <c r="AF95" s="37" t="n">
        <f aca="false">AG95-AE95</f>
        <v>179</v>
      </c>
      <c r="AG95" s="38" t="n">
        <v>195.4</v>
      </c>
      <c r="AH95" s="38" t="n">
        <v>126.2</v>
      </c>
      <c r="AI95" s="37" t="n">
        <f aca="false">AJ95-AH95</f>
        <v>245.8</v>
      </c>
      <c r="AJ95" s="38" t="n">
        <v>372</v>
      </c>
      <c r="AK95" s="38" t="n">
        <v>188</v>
      </c>
      <c r="AL95" s="37" t="n">
        <f aca="false">AM95-AK95</f>
        <v>249</v>
      </c>
      <c r="AM95" s="38" t="n">
        <v>437</v>
      </c>
      <c r="AN95" s="38" t="n">
        <v>275</v>
      </c>
      <c r="AO95" s="37" t="n">
        <f aca="false">AP95-AN95</f>
        <v>309</v>
      </c>
      <c r="AP95" s="38" t="n">
        <v>584</v>
      </c>
      <c r="AQ95" s="38" t="n">
        <v>313</v>
      </c>
      <c r="AR95" s="37" t="n">
        <f aca="false">AS95-AQ95</f>
        <v>406</v>
      </c>
      <c r="AS95" s="38" t="n">
        <v>719</v>
      </c>
      <c r="AT95" s="38" t="n">
        <v>353</v>
      </c>
      <c r="AU95" s="37" t="n">
        <f aca="false">AV95-AT95</f>
        <v>460</v>
      </c>
      <c r="AV95" s="38" t="n">
        <v>813</v>
      </c>
      <c r="AW95" s="38" t="n">
        <v>374</v>
      </c>
      <c r="AX95" s="39"/>
      <c r="AY95" s="39"/>
      <c r="AZ95" s="39"/>
      <c r="BA95" s="39"/>
      <c r="BB95" s="39"/>
      <c r="BC95" s="39"/>
      <c r="BD95" s="23"/>
      <c r="BF95" s="7"/>
      <c r="BG95" s="7"/>
      <c r="BH95" s="7"/>
      <c r="BI95" s="7"/>
    </row>
    <row r="96" customFormat="false" ht="15" hidden="false" customHeight="true" outlineLevel="0" collapsed="false">
      <c r="B96" s="13" t="s">
        <v>161</v>
      </c>
      <c r="C96" s="37"/>
      <c r="D96" s="37"/>
      <c r="E96" s="37"/>
      <c r="F96" s="38" t="n">
        <v>122.6</v>
      </c>
      <c r="G96" s="38" t="n">
        <v>152</v>
      </c>
      <c r="H96" s="38" t="n">
        <v>163.6</v>
      </c>
      <c r="I96" s="38" t="n">
        <v>201.3</v>
      </c>
      <c r="J96" s="38" t="n">
        <v>84</v>
      </c>
      <c r="K96" s="37" t="n">
        <f aca="false">L96-J96</f>
        <v>94.1</v>
      </c>
      <c r="L96" s="38" t="n">
        <v>178.1</v>
      </c>
      <c r="M96" s="38" t="n">
        <v>81.9</v>
      </c>
      <c r="N96" s="37" t="n">
        <f aca="false">O96-M96</f>
        <v>67.4</v>
      </c>
      <c r="O96" s="38" t="n">
        <v>149.3</v>
      </c>
      <c r="P96" s="38" t="n">
        <v>100.6</v>
      </c>
      <c r="Q96" s="37" t="n">
        <f aca="false">R96-P96</f>
        <v>103.1</v>
      </c>
      <c r="R96" s="38" t="n">
        <v>203.7</v>
      </c>
      <c r="S96" s="38" t="n">
        <v>129.7</v>
      </c>
      <c r="T96" s="37" t="n">
        <f aca="false">U96-S96</f>
        <v>121.3</v>
      </c>
      <c r="U96" s="38" t="n">
        <v>251</v>
      </c>
      <c r="V96" s="38" t="n">
        <v>130.2</v>
      </c>
      <c r="W96" s="37" t="n">
        <f aca="false">X96-V96</f>
        <v>124.8</v>
      </c>
      <c r="X96" s="38" t="n">
        <v>255</v>
      </c>
      <c r="Y96" s="38" t="n">
        <v>131</v>
      </c>
      <c r="Z96" s="37" t="n">
        <f aca="false">AA96-Y96</f>
        <v>144.3</v>
      </c>
      <c r="AA96" s="38" t="n">
        <v>275.3</v>
      </c>
      <c r="AB96" s="38" t="n">
        <v>157.4</v>
      </c>
      <c r="AC96" s="37" t="n">
        <f aca="false">AD96-AB96</f>
        <v>161.1</v>
      </c>
      <c r="AD96" s="38" t="n">
        <v>318.5</v>
      </c>
      <c r="AE96" s="38" t="n">
        <v>80.2</v>
      </c>
      <c r="AF96" s="37" t="n">
        <f aca="false">AG96-AE96</f>
        <v>211.5</v>
      </c>
      <c r="AG96" s="38" t="n">
        <v>291.7</v>
      </c>
      <c r="AH96" s="38" t="n">
        <v>193.9</v>
      </c>
      <c r="AI96" s="37" t="n">
        <f aca="false">AJ96-AH96</f>
        <v>186.1</v>
      </c>
      <c r="AJ96" s="38" t="n">
        <v>380</v>
      </c>
      <c r="AK96" s="38" t="n">
        <v>219</v>
      </c>
      <c r="AL96" s="37" t="n">
        <f aca="false">AM96-AK96</f>
        <v>216</v>
      </c>
      <c r="AM96" s="38" t="n">
        <v>435</v>
      </c>
      <c r="AN96" s="38" t="n">
        <v>253</v>
      </c>
      <c r="AO96" s="37" t="n">
        <f aca="false">AP96-AN96</f>
        <v>252</v>
      </c>
      <c r="AP96" s="38" t="n">
        <v>505</v>
      </c>
      <c r="AQ96" s="38" t="n">
        <v>298</v>
      </c>
      <c r="AR96" s="37" t="n">
        <f aca="false">AS96-AQ96</f>
        <v>269</v>
      </c>
      <c r="AS96" s="38" t="n">
        <v>567</v>
      </c>
      <c r="AT96" s="38" t="n">
        <v>328</v>
      </c>
      <c r="AU96" s="37" t="n">
        <f aca="false">AV96-AT96</f>
        <v>297</v>
      </c>
      <c r="AV96" s="38" t="n">
        <v>625</v>
      </c>
      <c r="AW96" s="38" t="n">
        <v>333</v>
      </c>
      <c r="AX96" s="39"/>
      <c r="AY96" s="39"/>
      <c r="AZ96" s="39"/>
      <c r="BA96" s="39"/>
      <c r="BB96" s="39"/>
      <c r="BC96" s="39"/>
      <c r="BD96" s="23"/>
      <c r="BF96" s="7"/>
      <c r="BG96" s="7"/>
      <c r="BH96" s="7"/>
      <c r="BI96" s="7"/>
    </row>
    <row r="97" customFormat="false" ht="15" hidden="false" customHeight="true" outlineLevel="0" collapsed="false">
      <c r="B97" s="13" t="s">
        <v>162</v>
      </c>
      <c r="C97" s="37"/>
      <c r="D97" s="37"/>
      <c r="E97" s="37"/>
      <c r="F97" s="38" t="n">
        <v>144.4</v>
      </c>
      <c r="G97" s="38" t="n">
        <v>248.1</v>
      </c>
      <c r="H97" s="38" t="n">
        <v>336.5</v>
      </c>
      <c r="I97" s="38" t="n">
        <v>456.9</v>
      </c>
      <c r="J97" s="38" t="n">
        <v>234.1</v>
      </c>
      <c r="K97" s="37" t="n">
        <f aca="false">L97-J97</f>
        <v>256.2</v>
      </c>
      <c r="L97" s="38" t="n">
        <v>490.3</v>
      </c>
      <c r="M97" s="38" t="n">
        <v>275</v>
      </c>
      <c r="N97" s="37" t="n">
        <f aca="false">O97-M97</f>
        <v>292.4</v>
      </c>
      <c r="O97" s="38" t="n">
        <v>567.4</v>
      </c>
      <c r="P97" s="38" t="n">
        <v>342.5</v>
      </c>
      <c r="Q97" s="37" t="n">
        <f aca="false">R97-P97</f>
        <v>325.1</v>
      </c>
      <c r="R97" s="38" t="n">
        <v>667.6</v>
      </c>
      <c r="S97" s="38" t="n">
        <v>380.4</v>
      </c>
      <c r="T97" s="37" t="n">
        <f aca="false">U97-S97</f>
        <v>363.3</v>
      </c>
      <c r="U97" s="38" t="n">
        <v>743.7</v>
      </c>
      <c r="V97" s="38" t="n">
        <v>458.4</v>
      </c>
      <c r="W97" s="37" t="n">
        <f aca="false">X97-V97</f>
        <v>406.8</v>
      </c>
      <c r="X97" s="38" t="n">
        <v>865.2</v>
      </c>
      <c r="Y97" s="38" t="n">
        <v>499.1</v>
      </c>
      <c r="Z97" s="37" t="n">
        <f aca="false">AA97-Y97</f>
        <v>451</v>
      </c>
      <c r="AA97" s="38" t="n">
        <v>950.1</v>
      </c>
      <c r="AB97" s="38" t="n">
        <v>578.1</v>
      </c>
      <c r="AC97" s="37" t="n">
        <f aca="false">AD97-AB97</f>
        <v>501.8</v>
      </c>
      <c r="AD97" s="38" t="n">
        <v>1079.9</v>
      </c>
      <c r="AE97" s="38" t="n">
        <v>474.8</v>
      </c>
      <c r="AF97" s="37" t="n">
        <f aca="false">AG97-AE97</f>
        <v>814.8</v>
      </c>
      <c r="AG97" s="38" t="n">
        <v>1289.6</v>
      </c>
      <c r="AH97" s="38" t="n">
        <v>1107.9</v>
      </c>
      <c r="AI97" s="37" t="n">
        <f aca="false">AJ97-AH97</f>
        <v>872.1</v>
      </c>
      <c r="AJ97" s="38" t="n">
        <v>1980</v>
      </c>
      <c r="AK97" s="38" t="n">
        <v>1322</v>
      </c>
      <c r="AL97" s="37" t="n">
        <f aca="false">AM97-AK97</f>
        <v>1304</v>
      </c>
      <c r="AM97" s="38" t="n">
        <v>2626</v>
      </c>
      <c r="AN97" s="38" t="n">
        <v>1687</v>
      </c>
      <c r="AO97" s="37" t="n">
        <f aca="false">AP97-AN97</f>
        <v>1372</v>
      </c>
      <c r="AP97" s="38" t="n">
        <v>3059</v>
      </c>
      <c r="AQ97" s="38" t="n">
        <v>1730</v>
      </c>
      <c r="AR97" s="37" t="n">
        <f aca="false">AS97-AQ97</f>
        <v>936</v>
      </c>
      <c r="AS97" s="38" t="n">
        <v>2666</v>
      </c>
      <c r="AT97" s="38" t="n">
        <v>1724</v>
      </c>
      <c r="AU97" s="37" t="n">
        <f aca="false">AV97-AT97</f>
        <v>1037</v>
      </c>
      <c r="AV97" s="38" t="n">
        <v>2761</v>
      </c>
      <c r="AW97" s="38" t="n">
        <v>1653</v>
      </c>
      <c r="AX97" s="39"/>
      <c r="AY97" s="39"/>
      <c r="AZ97" s="39"/>
      <c r="BA97" s="39"/>
      <c r="BB97" s="39"/>
      <c r="BC97" s="39"/>
      <c r="BD97" s="23"/>
      <c r="BF97" s="7"/>
      <c r="BG97" s="7"/>
      <c r="BH97" s="7"/>
      <c r="BI97" s="7"/>
    </row>
    <row r="98" customFormat="false" ht="15" hidden="false" customHeight="true" outlineLevel="0" collapsed="false">
      <c r="B98" s="13" t="s">
        <v>163</v>
      </c>
      <c r="C98" s="37"/>
      <c r="D98" s="37"/>
      <c r="E98" s="37"/>
      <c r="F98" s="38" t="n">
        <v>73.6</v>
      </c>
      <c r="G98" s="38" t="n">
        <v>115.3</v>
      </c>
      <c r="H98" s="38" t="n">
        <v>148.7</v>
      </c>
      <c r="I98" s="38" t="n">
        <v>181.1</v>
      </c>
      <c r="J98" s="38" t="n">
        <v>95.3</v>
      </c>
      <c r="K98" s="37" t="n">
        <f aca="false">L98-J98</f>
        <v>115.3</v>
      </c>
      <c r="L98" s="38" t="n">
        <v>210.6</v>
      </c>
      <c r="M98" s="38" t="n">
        <v>94.7</v>
      </c>
      <c r="N98" s="37" t="n">
        <f aca="false">O98-M98</f>
        <v>126.8</v>
      </c>
      <c r="O98" s="38" t="n">
        <v>221.5</v>
      </c>
      <c r="P98" s="38" t="n">
        <v>131.6</v>
      </c>
      <c r="Q98" s="37" t="n">
        <f aca="false">R98-P98</f>
        <v>147.3</v>
      </c>
      <c r="R98" s="38" t="n">
        <v>278.9</v>
      </c>
      <c r="S98" s="38" t="n">
        <v>139.6</v>
      </c>
      <c r="T98" s="37" t="n">
        <f aca="false">U98-S98</f>
        <v>157.8</v>
      </c>
      <c r="U98" s="38" t="n">
        <v>297.4</v>
      </c>
      <c r="V98" s="38" t="n">
        <v>157.5</v>
      </c>
      <c r="W98" s="37" t="n">
        <f aca="false">X98-V98</f>
        <v>193.4</v>
      </c>
      <c r="X98" s="38" t="n">
        <v>350.9</v>
      </c>
      <c r="Y98" s="38" t="n">
        <v>165.2</v>
      </c>
      <c r="Z98" s="37" t="n">
        <f aca="false">AA98-Y98</f>
        <v>214.4</v>
      </c>
      <c r="AA98" s="38" t="n">
        <v>379.6</v>
      </c>
      <c r="AB98" s="38" t="n">
        <v>190.2</v>
      </c>
      <c r="AC98" s="37" t="n">
        <f aca="false">AD98-AB98</f>
        <v>237.4</v>
      </c>
      <c r="AD98" s="38" t="n">
        <v>427.6</v>
      </c>
      <c r="AE98" s="38" t="n">
        <v>2.9</v>
      </c>
      <c r="AF98" s="37" t="n">
        <f aca="false">AG98-AE98</f>
        <v>225.7</v>
      </c>
      <c r="AG98" s="38" t="n">
        <v>228.6</v>
      </c>
      <c r="AH98" s="38" t="n">
        <v>262.7</v>
      </c>
      <c r="AI98" s="37" t="n">
        <f aca="false">AJ98-AH98</f>
        <v>257.3</v>
      </c>
      <c r="AJ98" s="38" t="n">
        <v>520</v>
      </c>
      <c r="AK98" s="38" t="n">
        <v>365</v>
      </c>
      <c r="AL98" s="37" t="n">
        <f aca="false">AM98-AK98</f>
        <v>372</v>
      </c>
      <c r="AM98" s="38" t="n">
        <v>737</v>
      </c>
      <c r="AN98" s="38" t="n">
        <v>448</v>
      </c>
      <c r="AO98" s="37" t="n">
        <f aca="false">AP98-AN98</f>
        <v>447</v>
      </c>
      <c r="AP98" s="38" t="n">
        <v>895</v>
      </c>
      <c r="AQ98" s="38" t="n">
        <v>492</v>
      </c>
      <c r="AR98" s="37" t="n">
        <f aca="false">AS98-AQ98</f>
        <v>523</v>
      </c>
      <c r="AS98" s="38" t="n">
        <v>1015</v>
      </c>
      <c r="AT98" s="38" t="n">
        <v>527</v>
      </c>
      <c r="AU98" s="37" t="n">
        <f aca="false">AV98-AT98</f>
        <v>572</v>
      </c>
      <c r="AV98" s="38" t="n">
        <v>1099</v>
      </c>
      <c r="AW98" s="38" t="n">
        <v>581</v>
      </c>
      <c r="AX98" s="39"/>
      <c r="AY98" s="39"/>
      <c r="AZ98" s="39"/>
      <c r="BA98" s="39"/>
      <c r="BB98" s="39"/>
      <c r="BC98" s="39"/>
      <c r="BD98" s="23"/>
      <c r="BF98" s="7"/>
      <c r="BG98" s="7"/>
      <c r="BH98" s="7"/>
      <c r="BI98" s="7"/>
    </row>
    <row r="99" customFormat="false" ht="15" hidden="false" customHeight="true" outlineLevel="0" collapsed="false">
      <c r="B99" s="13" t="s">
        <v>164</v>
      </c>
      <c r="C99" s="37"/>
      <c r="D99" s="37"/>
      <c r="E99" s="37"/>
      <c r="F99" s="38" t="n">
        <v>4.9</v>
      </c>
      <c r="G99" s="38" t="n">
        <v>3.1</v>
      </c>
      <c r="H99" s="38" t="n">
        <v>0.6</v>
      </c>
      <c r="I99" s="38" t="n">
        <v>3.2</v>
      </c>
      <c r="J99" s="38" t="n">
        <v>8.3</v>
      </c>
      <c r="K99" s="37" t="n">
        <f aca="false">L99-J99</f>
        <v>3.7</v>
      </c>
      <c r="L99" s="38" t="n">
        <v>12</v>
      </c>
      <c r="M99" s="38" t="n">
        <v>11.1</v>
      </c>
      <c r="N99" s="37" t="n">
        <f aca="false">O99-M99</f>
        <v>6.3</v>
      </c>
      <c r="O99" s="38" t="n">
        <v>17.4</v>
      </c>
      <c r="P99" s="38" t="n">
        <v>10</v>
      </c>
      <c r="Q99" s="37" t="n">
        <f aca="false">R99-P99</f>
        <v>4.8</v>
      </c>
      <c r="R99" s="38" t="n">
        <v>14.8</v>
      </c>
      <c r="S99" s="38" t="n">
        <v>8.2</v>
      </c>
      <c r="T99" s="37" t="n">
        <f aca="false">U99-S99</f>
        <v>5.9</v>
      </c>
      <c r="U99" s="38" t="n">
        <v>14.1</v>
      </c>
      <c r="V99" s="38" t="n">
        <v>7.5</v>
      </c>
      <c r="W99" s="37" t="n">
        <f aca="false">X99-V99</f>
        <v>5.2</v>
      </c>
      <c r="X99" s="38" t="n">
        <v>12.7</v>
      </c>
      <c r="Y99" s="38" t="n">
        <v>8.9</v>
      </c>
      <c r="Z99" s="37" t="n">
        <f aca="false">AA99-Y99</f>
        <v>4.3</v>
      </c>
      <c r="AA99" s="38" t="n">
        <v>13.2</v>
      </c>
      <c r="AB99" s="38" t="n">
        <v>14.5</v>
      </c>
      <c r="AC99" s="37" t="n">
        <f aca="false">AD99-AB99</f>
        <v>19.3</v>
      </c>
      <c r="AD99" s="38" t="n">
        <v>33.8</v>
      </c>
      <c r="AE99" s="38" t="n">
        <v>8.4</v>
      </c>
      <c r="AF99" s="37" t="n">
        <f aca="false">AG99-AE99</f>
        <v>16.2</v>
      </c>
      <c r="AG99" s="38" t="n">
        <v>24.6</v>
      </c>
      <c r="AH99" s="38" t="n">
        <v>26.8</v>
      </c>
      <c r="AI99" s="37" t="n">
        <f aca="false">AJ99-AH99</f>
        <v>17.2</v>
      </c>
      <c r="AJ99" s="38" t="n">
        <v>44</v>
      </c>
      <c r="AK99" s="38" t="n">
        <v>33</v>
      </c>
      <c r="AL99" s="37" t="n">
        <f aca="false">AM99-AK99</f>
        <v>25</v>
      </c>
      <c r="AM99" s="38" t="n">
        <v>58</v>
      </c>
      <c r="AN99" s="38" t="n">
        <v>44</v>
      </c>
      <c r="AO99" s="37" t="n">
        <f aca="false">AP99-AN99</f>
        <v>45</v>
      </c>
      <c r="AP99" s="38" t="n">
        <v>89</v>
      </c>
      <c r="AQ99" s="38" t="n">
        <v>108</v>
      </c>
      <c r="AR99" s="37" t="n">
        <f aca="false">AS99-AQ99</f>
        <v>110</v>
      </c>
      <c r="AS99" s="38" t="n">
        <v>218</v>
      </c>
      <c r="AT99" s="38" t="n">
        <v>149</v>
      </c>
      <c r="AU99" s="37" t="n">
        <f aca="false">AV99-AT99</f>
        <v>119</v>
      </c>
      <c r="AV99" s="38" t="n">
        <v>268</v>
      </c>
      <c r="AW99" s="38" t="n">
        <v>128</v>
      </c>
      <c r="AX99" s="39"/>
      <c r="AY99" s="39"/>
      <c r="AZ99" s="39"/>
      <c r="BA99" s="39"/>
      <c r="BB99" s="39"/>
      <c r="BC99" s="39"/>
      <c r="BD99" s="23"/>
      <c r="BF99" s="7"/>
      <c r="BG99" s="7"/>
      <c r="BH99" s="7"/>
      <c r="BI99" s="7"/>
    </row>
    <row r="100" customFormat="false" ht="15" hidden="false" customHeight="true" outlineLevel="0" collapsed="false">
      <c r="B100" s="13" t="s">
        <v>165</v>
      </c>
      <c r="C100" s="37"/>
      <c r="D100" s="37"/>
      <c r="E100" s="37"/>
      <c r="F100" s="38" t="n">
        <v>-72.5</v>
      </c>
      <c r="G100" s="38" t="n">
        <v>-62.2</v>
      </c>
      <c r="H100" s="38" t="n">
        <v>-50.9</v>
      </c>
      <c r="I100" s="38" t="n">
        <v>-68.2</v>
      </c>
      <c r="J100" s="38" t="n">
        <v>-37.2</v>
      </c>
      <c r="K100" s="37" t="n">
        <f aca="false">L100-J100</f>
        <v>-46.5</v>
      </c>
      <c r="L100" s="38" t="n">
        <v>-83.7</v>
      </c>
      <c r="M100" s="38" t="n">
        <v>-40.7</v>
      </c>
      <c r="N100" s="37" t="n">
        <f aca="false">O100-M100</f>
        <v>-53.3</v>
      </c>
      <c r="O100" s="38" t="n">
        <v>-94</v>
      </c>
      <c r="P100" s="38" t="n">
        <v>-54.2</v>
      </c>
      <c r="Q100" s="37" t="n">
        <f aca="false">R100-P100</f>
        <v>-34.5</v>
      </c>
      <c r="R100" s="38" t="n">
        <v>-88.7</v>
      </c>
      <c r="S100" s="38" t="n">
        <v>-57.2</v>
      </c>
      <c r="T100" s="37" t="n">
        <f aca="false">U100-S100</f>
        <v>-46.7</v>
      </c>
      <c r="U100" s="38" t="n">
        <v>-103.9</v>
      </c>
      <c r="V100" s="38" t="n">
        <v>-82.4</v>
      </c>
      <c r="W100" s="37" t="n">
        <f aca="false">X100-V100</f>
        <v>-44.5</v>
      </c>
      <c r="X100" s="38" t="n">
        <v>-126.9</v>
      </c>
      <c r="Y100" s="38" t="n">
        <v>-66.3</v>
      </c>
      <c r="Z100" s="37" t="n">
        <f aca="false">AA100-Y100</f>
        <v>-90.5</v>
      </c>
      <c r="AA100" s="38" t="n">
        <v>-156.8</v>
      </c>
      <c r="AB100" s="38" t="n">
        <v>-74.5</v>
      </c>
      <c r="AC100" s="37" t="n">
        <f aca="false">AD100-AB100</f>
        <v>-102.8</v>
      </c>
      <c r="AD100" s="38" t="n">
        <v>-177.3</v>
      </c>
      <c r="AE100" s="38" t="n">
        <v>-87.4</v>
      </c>
      <c r="AF100" s="37" t="n">
        <f aca="false">AG100-AE100</f>
        <v>-120.4</v>
      </c>
      <c r="AG100" s="38" t="n">
        <v>-207.8</v>
      </c>
      <c r="AH100" s="38" t="n">
        <v>-94.4</v>
      </c>
      <c r="AI100" s="37" t="n">
        <f aca="false">AJ100-AH100</f>
        <v>44.4</v>
      </c>
      <c r="AJ100" s="38" t="n">
        <v>-50</v>
      </c>
      <c r="AK100" s="38" t="n">
        <v>-4</v>
      </c>
      <c r="AL100" s="37" t="n">
        <f aca="false">AM100-AK100</f>
        <v>-2</v>
      </c>
      <c r="AM100" s="38" t="n">
        <v>-6</v>
      </c>
      <c r="AN100" s="38" t="n">
        <v>-5</v>
      </c>
      <c r="AO100" s="37" t="n">
        <f aca="false">AP100-AN100</f>
        <v>11</v>
      </c>
      <c r="AP100" s="38" t="n">
        <v>6</v>
      </c>
      <c r="AQ100" s="38" t="n">
        <v>-55</v>
      </c>
      <c r="AR100" s="37" t="n">
        <f aca="false">AS100-AQ100</f>
        <v>386</v>
      </c>
      <c r="AS100" s="38" t="n">
        <v>331</v>
      </c>
      <c r="AT100" s="38" t="n">
        <v>-25</v>
      </c>
      <c r="AU100" s="37" t="n">
        <f aca="false">AV100-AT100</f>
        <v>314</v>
      </c>
      <c r="AV100" s="38" t="n">
        <v>289</v>
      </c>
      <c r="AW100" s="38" t="n">
        <v>9</v>
      </c>
      <c r="AX100" s="39"/>
      <c r="AY100" s="39"/>
      <c r="AZ100" s="39"/>
      <c r="BA100" s="39"/>
      <c r="BB100" s="39"/>
      <c r="BC100" s="39"/>
      <c r="BD100" s="23"/>
      <c r="BF100" s="7"/>
      <c r="BG100" s="7"/>
      <c r="BH100" s="7"/>
      <c r="BI100" s="7"/>
    </row>
    <row r="101" customFormat="false" ht="15" hidden="false" customHeight="true" outlineLevel="0" collapsed="false">
      <c r="B101" s="19" t="s">
        <v>166</v>
      </c>
      <c r="C101" s="20" t="str">
        <f aca="false">IF(ISNUMBER(C94),N(C94)+N(C95)+N(C96)+N(C97)+N(C98)+N(C99)+N(C100),"")</f>
        <v/>
      </c>
      <c r="D101" s="20" t="str">
        <f aca="false">IF(ISNUMBER(D94),N(D94)+N(D95)+N(D96)+N(D97)+N(D98)+N(D99)+N(D100),"")</f>
        <v/>
      </c>
      <c r="E101" s="20" t="str">
        <f aca="false">IF(ISNUMBER(E94),N(E94)+N(E95)+N(E96)+N(E97)+N(E98)+N(E99)+N(E100),"")</f>
        <v/>
      </c>
      <c r="F101" s="20" t="n">
        <f aca="false">IF(ISNUMBER(F94),N(F94)+N(F95)+N(F96)+N(F97)+N(F98)+N(F99)+N(F100),"")</f>
        <v>463</v>
      </c>
      <c r="G101" s="20" t="n">
        <f aca="false">IF(ISNUMBER(G94),N(G94)+N(G95)+N(G96)+N(G97)+N(G98)+N(G99)+N(G100),"")</f>
        <v>668.3</v>
      </c>
      <c r="H101" s="20" t="n">
        <f aca="false">IF(ISNUMBER(H94),N(H94)+N(H95)+N(H96)+N(H97)+N(H98)+N(H99)+N(H100),"")</f>
        <v>885.2</v>
      </c>
      <c r="I101" s="20" t="n">
        <f aca="false">IF(ISNUMBER(I94),N(I94)+N(I95)+N(I96)+N(I97)+N(I98)+N(I99)+N(I100),"")</f>
        <v>1118.6</v>
      </c>
      <c r="J101" s="20" t="n">
        <f aca="false">IF(ISNUMBER(J94),N(J94)+N(J95)+N(J96)+N(J97)+N(J98)+N(J99)+N(J100),"")</f>
        <v>584.1</v>
      </c>
      <c r="K101" s="20" t="n">
        <f aca="false">IF(ISNUMBER(K94),N(K94)+N(K95)+N(K96)+N(K97)+N(K98)+N(K99)+N(K100),"")</f>
        <v>634</v>
      </c>
      <c r="L101" s="20" t="n">
        <f aca="false">IF(ISNUMBER(L94),N(L94)+N(L95)+N(L96)+N(L97)+N(L98)+N(L99)+N(L100),"")</f>
        <v>1218.1</v>
      </c>
      <c r="M101" s="20" t="n">
        <f aca="false">IF(ISNUMBER(M94),N(M94)+N(M95)+N(M96)+N(M97)+N(M98)+N(M99)+N(M100),"")</f>
        <v>621.5</v>
      </c>
      <c r="N101" s="20" t="n">
        <f aca="false">IF(ISNUMBER(N94),N(N94)+N(N95)+N(N96)+N(N97)+N(N98)+N(N99)+N(N100),"")</f>
        <v>677.9</v>
      </c>
      <c r="O101" s="20" t="n">
        <f aca="false">IF(ISNUMBER(O94),N(O94)+N(O95)+N(O96)+N(O97)+N(O98)+N(O99)+N(O100),"")</f>
        <v>1299.4</v>
      </c>
      <c r="P101" s="20" t="n">
        <f aca="false">IF(ISNUMBER(P94),N(P94)+N(P95)+N(P96)+N(P97)+N(P98)+N(P99)+N(P100),"")</f>
        <v>748.1</v>
      </c>
      <c r="Q101" s="20" t="n">
        <f aca="false">IF(ISNUMBER(Q94),N(Q94)+N(Q95)+N(Q96)+N(Q97)+N(Q98)+N(Q99)+N(Q100),"")</f>
        <v>792.5</v>
      </c>
      <c r="R101" s="20" t="n">
        <f aca="false">IF(ISNUMBER(R94),N(R94)+N(R95)+N(R96)+N(R97)+N(R98)+N(R99)+N(R100),"")</f>
        <v>1540.6</v>
      </c>
      <c r="S101" s="20" t="n">
        <f aca="false">IF(ISNUMBER(S94),N(S94)+N(S95)+N(S96)+N(S97)+N(S98)+N(S99)+N(S100),"")</f>
        <v>826.8</v>
      </c>
      <c r="T101" s="20" t="n">
        <f aca="false">IF(ISNUMBER(T94),N(T94)+N(T95)+N(T96)+N(T97)+N(T98)+N(T99)+N(T100),"")</f>
        <v>869.7</v>
      </c>
      <c r="U101" s="20" t="n">
        <f aca="false">IF(ISNUMBER(U94),N(U94)+N(U95)+N(U96)+N(U97)+N(U98)+N(U99)+N(U100),"")</f>
        <v>1696.5</v>
      </c>
      <c r="V101" s="20" t="n">
        <f aca="false">IF(ISNUMBER(V94),N(V94)+N(V95)+N(V96)+N(V97)+N(V98)+N(V99)+N(V100),"")</f>
        <v>931.3</v>
      </c>
      <c r="W101" s="20" t="n">
        <f aca="false">IF(ISNUMBER(W94),N(W94)+N(W95)+N(W96)+N(W97)+N(W98)+N(W99)+N(W100),"")</f>
        <v>990.7</v>
      </c>
      <c r="X101" s="20" t="n">
        <f aca="false">IF(ISNUMBER(X94),N(X94)+N(X95)+N(X96)+N(X97)+N(X98)+N(X99)+N(X100),"")</f>
        <v>1922</v>
      </c>
      <c r="Y101" s="20" t="n">
        <f aca="false">IF(ISNUMBER(Y94),N(Y94)+N(Y95)+N(Y96)+N(Y97)+N(Y98)+N(Y99)+N(Y100),"")</f>
        <v>984.5</v>
      </c>
      <c r="Z101" s="20" t="n">
        <f aca="false">IF(ISNUMBER(Z94),N(Z94)+N(Z95)+N(Z96)+N(Z97)+N(Z98)+N(Z99)+N(Z100),"")</f>
        <v>1060.6</v>
      </c>
      <c r="AA101" s="20" t="n">
        <f aca="false">IF(ISNUMBER(AA94),N(AA94)+N(AA95)+N(AA96)+N(AA97)+N(AA98)+N(AA99)+N(AA100),"")</f>
        <v>2045.1</v>
      </c>
      <c r="AB101" s="20" t="n">
        <f aca="false">IF(ISNUMBER(AB94),N(AB94)+N(AB95)+N(AB96)+N(AB97)+N(AB98)+N(AB99)+N(AB100),"")</f>
        <v>1143.9</v>
      </c>
      <c r="AC101" s="20" t="n">
        <f aca="false">IF(ISNUMBER(AC94),N(AC94)+N(AC95)+N(AC96)+N(AC97)+N(AC98)+N(AC99)+N(AC100),"")</f>
        <v>1194.9</v>
      </c>
      <c r="AD101" s="20" t="n">
        <f aca="false">IF(ISNUMBER(AD94),N(AD94)+N(AD95)+N(AD96)+N(AD97)+N(AD98)+N(AD99)+N(AD100),"")</f>
        <v>2338.8</v>
      </c>
      <c r="AE101" s="20" t="n">
        <f aca="false">IF(ISNUMBER(AE94),N(AE94)+N(AE95)+N(AE96)+N(AE97)+N(AE98)+N(AE99)+N(AE100),"")</f>
        <v>534.7</v>
      </c>
      <c r="AF101" s="20" t="n">
        <f aca="false">IF(ISNUMBER(AF94),N(AF94)+N(AF95)+N(AF96)+N(AF97)+N(AF98)+N(AF99)+N(AF100),"")</f>
        <v>1446.6</v>
      </c>
      <c r="AG101" s="20" t="n">
        <f aca="false">IF(ISNUMBER(AG94),N(AG94)+N(AG95)+N(AG96)+N(AG97)+N(AG98)+N(AG99)+N(AG100),"")</f>
        <v>1981.3</v>
      </c>
      <c r="AH101" s="20" t="n">
        <f aca="false">IF(ISNUMBER(AH94),N(AH94)+N(AH95)+N(AH96)+N(AH97)+N(AH98)+N(AH99)+N(AH100),"")</f>
        <v>1721.8</v>
      </c>
      <c r="AI101" s="20" t="n">
        <f aca="false">IF(ISNUMBER(AI94),N(AI94)+N(AI95)+N(AI96)+N(AI97)+N(AI98)+N(AI99)+N(AI100),"")</f>
        <v>1809.2</v>
      </c>
      <c r="AJ101" s="20" t="n">
        <f aca="false">IF(ISNUMBER(AJ94),N(AJ94)+N(AJ95)+N(AJ96)+N(AJ97)+N(AJ98)+N(AJ99)+N(AJ100),"")</f>
        <v>3531</v>
      </c>
      <c r="AK101" s="20" t="n">
        <f aca="false">IF(ISNUMBER(AK94),N(AK94)+N(AK95)+N(AK96)+N(AK97)+N(AK98)+N(AK99)+N(AK100),"")</f>
        <v>2306</v>
      </c>
      <c r="AL101" s="20" t="n">
        <f aca="false">IF(ISNUMBER(AL94),N(AL94)+N(AL95)+N(AL96)+N(AL97)+N(AL98)+N(AL99)+N(AL100),"")</f>
        <v>2392</v>
      </c>
      <c r="AM101" s="20" t="n">
        <f aca="false">IF(ISNUMBER(AM94),N(AM94)+N(AM95)+N(AM96)+N(AM97)+N(AM98)+N(AM99)+N(AM100),"")</f>
        <v>4698</v>
      </c>
      <c r="AN101" s="20" t="n">
        <f aca="false">IF(ISNUMBER(AN94),N(AN94)+N(AN95)+N(AN96)+N(AN97)+N(AN98)+N(AN99)+N(AN100),"")</f>
        <v>2945</v>
      </c>
      <c r="AO101" s="20" t="n">
        <f aca="false">IF(ISNUMBER(AO94),N(AO94)+N(AO95)+N(AO96)+N(AO97)+N(AO98)+N(AO99)+N(AO100),"")</f>
        <v>2705</v>
      </c>
      <c r="AP101" s="20" t="n">
        <f aca="false">IF(ISNUMBER(AP94),N(AP94)+N(AP95)+N(AP96)+N(AP97)+N(AP98)+N(AP99)+N(AP100),"")</f>
        <v>5650</v>
      </c>
      <c r="AQ101" s="20" t="n">
        <f aca="false">IF(ISNUMBER(AQ94),N(AQ94)+N(AQ95)+N(AQ96)+N(AQ97)+N(AQ98)+N(AQ99)+N(AQ100),"")</f>
        <v>3149</v>
      </c>
      <c r="AR101" s="20" t="n">
        <f aca="false">IF(ISNUMBER(AR94),N(AR94)+N(AR95)+N(AR96)+N(AR97)+N(AR98)+N(AR99)+N(AR100),"")</f>
        <v>3000</v>
      </c>
      <c r="AS101" s="20" t="n">
        <f aca="false">IF(ISNUMBER(AS94),N(AS94)+N(AS95)+N(AS96)+N(AS97)+N(AS98)+N(AS99)+N(AS100),"")</f>
        <v>6149</v>
      </c>
      <c r="AT101" s="20" t="n">
        <f aca="false">IF(ISNUMBER(AT94),N(AT94)+N(AT95)+N(AT96)+N(AT97)+N(AT98)+N(AT99)+N(AT100),"")</f>
        <v>3327</v>
      </c>
      <c r="AU101" s="20" t="n">
        <f aca="false">IF(ISNUMBER(AU94),N(AU94)+N(AU95)+N(AU96)+N(AU97)+N(AU98)+N(AU99)+N(AU100),"")</f>
        <v>3243</v>
      </c>
      <c r="AV101" s="20" t="n">
        <f aca="false">IF(ISNUMBER(AV94),N(AV94)+N(AV95)+N(AV96)+N(AV97)+N(AV98)+N(AV99)+N(AV100),"")</f>
        <v>6570</v>
      </c>
      <c r="AW101" s="20" t="n">
        <f aca="false">IF(ISNUMBER(AW94),N(AW94)+N(AW95)+N(AW96)+N(AW97)+N(AW98)+N(AW99)+N(AW100),"")</f>
        <v>3351</v>
      </c>
      <c r="AX101" s="22"/>
      <c r="AY101" s="22"/>
      <c r="AZ101" s="22"/>
      <c r="BA101" s="22"/>
      <c r="BB101" s="22"/>
      <c r="BC101" s="22"/>
      <c r="BD101" s="23"/>
      <c r="BF101" s="7"/>
      <c r="BG101" s="7"/>
      <c r="BH101" s="7"/>
      <c r="BI101" s="7"/>
    </row>
    <row r="102" customFormat="false" ht="15" hidden="false" customHeight="true" outlineLevel="0" collapsed="false">
      <c r="B102" s="43" t="s">
        <v>167</v>
      </c>
      <c r="C102" s="37" t="str">
        <f aca="false">IF(AND(ISNUMBER(C101),ISNUMBER(C124)),ROUND(C101-C124,0),"")</f>
        <v/>
      </c>
      <c r="D102" s="37" t="str">
        <f aca="false">IF(AND(ISNUMBER(D101),ISNUMBER(D124)),ROUND(D101-D124,0),"")</f>
        <v/>
      </c>
      <c r="E102" s="37" t="str">
        <f aca="false">IF(AND(ISNUMBER(E101),ISNUMBER(E124)),ROUND(E101-E124,0),"")</f>
        <v/>
      </c>
      <c r="F102" s="37" t="n">
        <f aca="false">IF(AND(ISNUMBER(F101),ISNUMBER(F124)),ROUND(F101-F124,0),"")</f>
        <v>0</v>
      </c>
      <c r="G102" s="37" t="n">
        <f aca="false">IF(AND(ISNUMBER(G101),ISNUMBER(G124)),ROUND(G101-G124,0),"")</f>
        <v>0</v>
      </c>
      <c r="H102" s="37" t="n">
        <f aca="false">IF(AND(ISNUMBER(H101),ISNUMBER(H124)),ROUND(H101-H124,0),"")</f>
        <v>0</v>
      </c>
      <c r="I102" s="37" t="n">
        <f aca="false">IF(AND(ISNUMBER(I101),ISNUMBER(I124)),ROUND(I101-I124,0),"")</f>
        <v>-0</v>
      </c>
      <c r="J102" s="37" t="n">
        <f aca="false">IF(AND(ISNUMBER(J101),ISNUMBER(J124)),ROUND(J101-J124,0),"")</f>
        <v>0</v>
      </c>
      <c r="K102" s="37" t="n">
        <f aca="false">IF(AND(ISNUMBER(K101),ISNUMBER(K124)),ROUND(K101-K124,0),"")</f>
        <v>-0</v>
      </c>
      <c r="L102" s="37" t="n">
        <f aca="false">IF(AND(ISNUMBER(L101),ISNUMBER(L124)),ROUND(L101-L124,0),"")</f>
        <v>-0</v>
      </c>
      <c r="M102" s="37" t="n">
        <f aca="false">IF(AND(ISNUMBER(M101),ISNUMBER(M124)),ROUND(M101-M124,0),"")</f>
        <v>0</v>
      </c>
      <c r="N102" s="37" t="n">
        <f aca="false">IF(AND(ISNUMBER(N101),ISNUMBER(N124)),ROUND(N101-N124,0),"")</f>
        <v>0</v>
      </c>
      <c r="O102" s="37" t="n">
        <f aca="false">IF(AND(ISNUMBER(O101),ISNUMBER(O124)),ROUND(O101-O124,0),"")</f>
        <v>0</v>
      </c>
      <c r="P102" s="37" t="n">
        <f aca="false">IF(AND(ISNUMBER(P101),ISNUMBER(P124)),ROUND(P101-P124,0),"")</f>
        <v>-0</v>
      </c>
      <c r="Q102" s="37" t="n">
        <f aca="false">IF(AND(ISNUMBER(Q101),ISNUMBER(Q124)),ROUND(Q101-Q124,0),"")</f>
        <v>0</v>
      </c>
      <c r="R102" s="37" t="n">
        <f aca="false">IF(AND(ISNUMBER(R101),ISNUMBER(R124)),ROUND(R101-R124,0),"")</f>
        <v>-0</v>
      </c>
      <c r="S102" s="37" t="n">
        <f aca="false">IF(AND(ISNUMBER(S101),ISNUMBER(S124)),ROUND(S101-S124,0),"")</f>
        <v>0</v>
      </c>
      <c r="T102" s="37" t="n">
        <f aca="false">IF(AND(ISNUMBER(T101),ISNUMBER(T124)),ROUND(T101-T124,0),"")</f>
        <v>0</v>
      </c>
      <c r="U102" s="37" t="n">
        <f aca="false">IF(AND(ISNUMBER(U101),ISNUMBER(U124)),ROUND(U101-U124,0),"")</f>
        <v>0</v>
      </c>
      <c r="V102" s="37" t="n">
        <f aca="false">IF(AND(ISNUMBER(V101),ISNUMBER(V124)),ROUND(V101-V124,0),"")</f>
        <v>0</v>
      </c>
      <c r="W102" s="37" t="n">
        <f aca="false">IF(AND(ISNUMBER(W101),ISNUMBER(W124)),ROUND(W101-W124,0),"")</f>
        <v>0</v>
      </c>
      <c r="X102" s="37" t="n">
        <f aca="false">IF(AND(ISNUMBER(X101),ISNUMBER(X124)),ROUND(X101-X124,0),"")</f>
        <v>0</v>
      </c>
      <c r="Y102" s="37" t="n">
        <f aca="false">IF(AND(ISNUMBER(Y101),ISNUMBER(Y124)),ROUND(Y101-Y124,0),"")</f>
        <v>-0</v>
      </c>
      <c r="Z102" s="37" t="n">
        <f aca="false">IF(AND(ISNUMBER(Z101),ISNUMBER(Z124)),ROUND(Z101-Z124,0),"")</f>
        <v>0</v>
      </c>
      <c r="AA102" s="37" t="n">
        <f aca="false">IF(AND(ISNUMBER(AA101),ISNUMBER(AA124)),ROUND(AA101-AA124,0),"")</f>
        <v>0</v>
      </c>
      <c r="AB102" s="37" t="n">
        <f aca="false">IF(AND(ISNUMBER(AB101),ISNUMBER(AB124)),ROUND(AB101-AB124,0),"")</f>
        <v>0</v>
      </c>
      <c r="AC102" s="37" t="n">
        <f aca="false">IF(AND(ISNUMBER(AC101),ISNUMBER(AC124)),ROUND(AC101-AC124,0),"")</f>
        <v>0</v>
      </c>
      <c r="AD102" s="37" t="n">
        <f aca="false">IF(AND(ISNUMBER(AD101),ISNUMBER(AD124)),ROUND(AD101-AD124,0),"")</f>
        <v>0</v>
      </c>
      <c r="AE102" s="37" t="n">
        <f aca="false">IF(AND(ISNUMBER(AE101),ISNUMBER(AE124)),ROUND(AE101-AE124,0),"")</f>
        <v>0</v>
      </c>
      <c r="AF102" s="37" t="n">
        <f aca="false">IF(AND(ISNUMBER(AF101),ISNUMBER(AF124)),ROUND(AF101-AF124,0),"")</f>
        <v>-0</v>
      </c>
      <c r="AG102" s="37" t="n">
        <f aca="false">IF(AND(ISNUMBER(AG101),ISNUMBER(AG124)),ROUND(AG101-AG124,0),"")</f>
        <v>-0</v>
      </c>
      <c r="AH102" s="37" t="n">
        <f aca="false">IF(AND(ISNUMBER(AH101),ISNUMBER(AH124)),ROUND(AH101-AH124,0),"")</f>
        <v>0</v>
      </c>
      <c r="AI102" s="37" t="n">
        <f aca="false">IF(AND(ISNUMBER(AI101),ISNUMBER(AI124)),ROUND(AI101-AI124,0),"")</f>
        <v>0</v>
      </c>
      <c r="AJ102" s="37" t="n">
        <f aca="false">IF(AND(ISNUMBER(AJ101),ISNUMBER(AJ124)),ROUND(AJ101-AJ124,0),"")</f>
        <v>0</v>
      </c>
      <c r="AK102" s="37" t="n">
        <f aca="false">IF(AND(ISNUMBER(AK101),ISNUMBER(AK124)),ROUND(AK101-AK124,0),"")</f>
        <v>1</v>
      </c>
      <c r="AL102" s="37" t="n">
        <f aca="false">IF(AND(ISNUMBER(AL101),ISNUMBER(AL124)),ROUND(AL101-AL124,0),"")</f>
        <v>0</v>
      </c>
      <c r="AM102" s="37" t="n">
        <f aca="false">IF(AND(ISNUMBER(AM101),ISNUMBER(AM124)),ROUND(AM101-AM124,0),"")</f>
        <v>1</v>
      </c>
      <c r="AN102" s="37" t="n">
        <f aca="false">IF(AND(ISNUMBER(AN101),ISNUMBER(AN124)),ROUND(AN101-AN124,0),"")</f>
        <v>-2</v>
      </c>
      <c r="AO102" s="37" t="n">
        <f aca="false">IF(AND(ISNUMBER(AO101),ISNUMBER(AO124)),ROUND(AO101-AO124,0),"")</f>
        <v>3</v>
      </c>
      <c r="AP102" s="37" t="n">
        <f aca="false">IF(AND(ISNUMBER(AP101),ISNUMBER(AP124)),ROUND(AP101-AP124,0),"")</f>
        <v>1</v>
      </c>
      <c r="AQ102" s="37" t="n">
        <f aca="false">IF(AND(ISNUMBER(AQ101),ISNUMBER(AQ124)),ROUND(AQ101-AQ124,0),"")</f>
        <v>0</v>
      </c>
      <c r="AR102" s="37" t="n">
        <f aca="false">IF(AND(ISNUMBER(AR101),ISNUMBER(AR124)),ROUND(AR101-AR124,0),"")</f>
        <v>1</v>
      </c>
      <c r="AS102" s="37" t="n">
        <f aca="false">IF(AND(ISNUMBER(AS101),ISNUMBER(AS124)),ROUND(AS101-AS124,0),"")</f>
        <v>1</v>
      </c>
      <c r="AT102" s="37" t="n">
        <f aca="false">IF(AND(ISNUMBER(AT101),ISNUMBER(AT124)),ROUND(AT101-AT124,0),"")</f>
        <v>0</v>
      </c>
      <c r="AU102" s="37" t="n">
        <f aca="false">IF(AND(ISNUMBER(AU101),ISNUMBER(AU124)),ROUND(AU101-AU124,0),"")</f>
        <v>1</v>
      </c>
      <c r="AV102" s="37" t="n">
        <f aca="false">IF(AND(ISNUMBER(AV101),ISNUMBER(AV124)),ROUND(AV101-AV124,0),"")</f>
        <v>1</v>
      </c>
      <c r="AW102" s="37" t="n">
        <f aca="false">IF(AND(ISNUMBER(AW101),ISNUMBER(AW124)),ROUND(AW101-AW124,0),"")</f>
        <v>1</v>
      </c>
      <c r="AX102" s="39"/>
      <c r="AY102" s="39"/>
      <c r="AZ102" s="39"/>
      <c r="BA102" s="39"/>
      <c r="BB102" s="39"/>
      <c r="BC102" s="39"/>
      <c r="BD102" s="23"/>
      <c r="BF102" s="7"/>
      <c r="BG102" s="7"/>
      <c r="BH102" s="7"/>
      <c r="BI102" s="7"/>
    </row>
    <row r="103" customFormat="false" ht="15" hidden="false" customHeight="true" outlineLevel="0" collapsed="false">
      <c r="B103" s="26" t="s">
        <v>168</v>
      </c>
      <c r="C103" s="30" t="str">
        <f aca="false">IF(AND(ISNUMBER(C94),ISNUMBER(C74)),IFERROR(C94/C74,""),"")</f>
        <v/>
      </c>
      <c r="D103" s="30" t="str">
        <f aca="false">IF(AND(ISNUMBER(D94),ISNUMBER(D74)),IFERROR(D94/D74,""),"")</f>
        <v/>
      </c>
      <c r="E103" s="30" t="str">
        <f aca="false">IF(AND(ISNUMBER(E94),ISNUMBER(E74)),IFERROR(E94/E74,""),"")</f>
        <v/>
      </c>
      <c r="F103" s="30" t="n">
        <f aca="false">IF(AND(ISNUMBER(F94),ISNUMBER(F74)),IFERROR(F94/F74,""),"")</f>
        <v>0.257227776276682</v>
      </c>
      <c r="G103" s="30" t="n">
        <f aca="false">IF(AND(ISNUMBER(G94),ISNUMBER(G74)),IFERROR(G94/G74,""),"")</f>
        <v>0.233302836230558</v>
      </c>
      <c r="H103" s="30" t="n">
        <f aca="false">IF(AND(ISNUMBER(H94),ISNUMBER(H74)),IFERROR(H94/H74,""),"")</f>
        <v>0.280864821175995</v>
      </c>
      <c r="I103" s="30" t="n">
        <f aca="false">IF(AND(ISNUMBER(I94),ISNUMBER(I74)),IFERROR(I94/I74,""),"")</f>
        <v>0.28010801080108</v>
      </c>
      <c r="J103" s="30" t="n">
        <f aca="false">IF(AND(ISNUMBER(J94),ISNUMBER(J74)),IFERROR(J94/J74,""),"")</f>
        <v>0.355463347164592</v>
      </c>
      <c r="K103" s="30" t="n">
        <f aca="false">IF(AND(ISNUMBER(K94),ISNUMBER(K74)),IFERROR(K94/K74,""),"")</f>
        <v>0.324791602346403</v>
      </c>
      <c r="L103" s="30" t="n">
        <f aca="false">IF(AND(ISNUMBER(L94),ISNUMBER(L74)),IFERROR(L94/L74,""),"")</f>
        <v>0.33925950089708</v>
      </c>
      <c r="M103" s="30" t="n">
        <f aca="false">IF(AND(ISNUMBER(M94),ISNUMBER(M74)),IFERROR(M94/M74,""),"")</f>
        <v>0.324455992205262</v>
      </c>
      <c r="N103" s="30" t="n">
        <f aca="false">IF(AND(ISNUMBER(N94),ISNUMBER(N74)),IFERROR(N94/N74,""),"")</f>
        <v>0.354464285714286</v>
      </c>
      <c r="O103" s="30" t="n">
        <f aca="false">IF(AND(ISNUMBER(O94),ISNUMBER(O74)),IFERROR(O94/O74,""),"")</f>
        <v>0.340114924677745</v>
      </c>
      <c r="P103" s="30" t="n">
        <f aca="false">IF(AND(ISNUMBER(P94),ISNUMBER(P74)),IFERROR(P94/P74,""),"")</f>
        <v>0.336886993603412</v>
      </c>
      <c r="Q103" s="30" t="n">
        <f aca="false">IF(AND(ISNUMBER(Q94),ISNUMBER(Q74)),IFERROR(Q94/Q74,""),"")</f>
        <v>0.324613220815753</v>
      </c>
      <c r="R103" s="30" t="n">
        <f aca="false">IF(AND(ISNUMBER(R94),ISNUMBER(R74)),IFERROR(R94/R74,""),"")</f>
        <v>0.330505995905236</v>
      </c>
      <c r="S103" s="30" t="n">
        <f aca="false">IF(AND(ISNUMBER(S94),ISNUMBER(S74)),IFERROR(S94/S74,""),"")</f>
        <v>0.320181663355095</v>
      </c>
      <c r="T103" s="30" t="n">
        <f aca="false">IF(AND(ISNUMBER(T94),ISNUMBER(T74)),IFERROR(T94/T74,""),"")</f>
        <v>0.34941400926683</v>
      </c>
      <c r="U103" s="30" t="n">
        <f aca="false">IF(AND(ISNUMBER(U94),ISNUMBER(U74)),IFERROR(U94/U74,""),"")</f>
        <v>0.335094549499444</v>
      </c>
      <c r="V103" s="30" t="n">
        <f aca="false">IF(AND(ISNUMBER(V94),ISNUMBER(V74)),IFERROR(V94/V74,""),"")</f>
        <v>0.322983088439146</v>
      </c>
      <c r="W103" s="30" t="n">
        <f aca="false">IF(AND(ISNUMBER(W94),ISNUMBER(W74)),IFERROR(W94/W74,""),"")</f>
        <v>0.39091831557585</v>
      </c>
      <c r="X103" s="30" t="n">
        <f aca="false">IF(AND(ISNUMBER(X94),ISNUMBER(X74)),IFERROR(X94/X74,""),"")</f>
        <v>0.358458073917075</v>
      </c>
      <c r="Y103" s="30" t="n">
        <f aca="false">IF(AND(ISNUMBER(Y94),ISNUMBER(Y74)),IFERROR(Y94/Y74,""),"")</f>
        <v>0.30130668716372</v>
      </c>
      <c r="Z103" s="30" t="n">
        <f aca="false">IF(AND(ISNUMBER(Z94),ISNUMBER(Z74)),IFERROR(Z94/Z74,""),"")</f>
        <v>0.386744355426074</v>
      </c>
      <c r="AA103" s="30" t="n">
        <f aca="false">IF(AND(ISNUMBER(AA94),ISNUMBER(AA74)),IFERROR(AA94/AA74,""),"")</f>
        <v>0.345175766641735</v>
      </c>
      <c r="AB103" s="30" t="n">
        <f aca="false">IF(AND(ISNUMBER(AB94),ISNUMBER(AB74)),IFERROR(AB94/AB74,""),"")</f>
        <v>0.333661902414983</v>
      </c>
      <c r="AC103" s="30" t="n">
        <f aca="false">IF(AND(ISNUMBER(AC94),ISNUMBER(AC74)),IFERROR(AC94/AC74,""),"")</f>
        <v>0.384182015167931</v>
      </c>
      <c r="AD103" s="30" t="n">
        <f aca="false">IF(AND(ISNUMBER(AD94),ISNUMBER(AD74)),IFERROR(AD94/AD74,""),"")</f>
        <v>0.360544217687075</v>
      </c>
      <c r="AE103" s="30" t="n">
        <f aca="false">IF(AND(ISNUMBER(AE94),ISNUMBER(AE74)),IFERROR(AE94/AE74,""),"")</f>
        <v>0.156225218080888</v>
      </c>
      <c r="AF103" s="30" t="n">
        <f aca="false">IF(AND(ISNUMBER(AF94),ISNUMBER(AF74)),IFERROR(AF94/AF74,""),"")</f>
        <v>0.326075122482308</v>
      </c>
      <c r="AG103" s="30" t="n">
        <f aca="false">IF(AND(ISNUMBER(AG94),ISNUMBER(AG74)),IFERROR(AG94/AG74,""),"")</f>
        <v>0.256939961265332</v>
      </c>
      <c r="AH103" s="30" t="n">
        <f aca="false">IF(AND(ISNUMBER(AH94),ISNUMBER(AH74)),IFERROR(AH94/AH74,""),"")</f>
        <v>0.289273153575616</v>
      </c>
      <c r="AI103" s="30" t="n">
        <f aca="false">IF(AND(ISNUMBER(AI94),ISNUMBER(AI74)),IFERROR(AI94/AI74,""),"")</f>
        <v>0.375</v>
      </c>
      <c r="AJ103" s="30" t="n">
        <f aca="false">IF(AND(ISNUMBER(AJ94),ISNUMBER(AJ74)),IFERROR(AJ94/AJ74,""),"")</f>
        <v>0.340095465393795</v>
      </c>
      <c r="AK103" s="30" t="n">
        <f aca="false">IF(AND(ISNUMBER(AK94),ISNUMBER(AK74)),IFERROR(AK94/AK74,""),"")</f>
        <v>0.38125</v>
      </c>
      <c r="AL103" s="30" t="n">
        <f aca="false">IF(AND(ISNUMBER(AL94),ISNUMBER(AL74)),IFERROR(AL94/AL74,""),"")</f>
        <v>0.39041095890411</v>
      </c>
      <c r="AM103" s="30" t="n">
        <f aca="false">IF(AND(ISNUMBER(AM94),ISNUMBER(AM74)),IFERROR(AM94/AM74,""),"")</f>
        <v>0.386278195488722</v>
      </c>
      <c r="AN103" s="30" t="n">
        <f aca="false">IF(AND(ISNUMBER(AN94),ISNUMBER(AN74)),IFERROR(AN94/AN74,""),"")</f>
        <v>0.409780775716695</v>
      </c>
      <c r="AO103" s="30" t="n">
        <f aca="false">IF(AND(ISNUMBER(AO94),ISNUMBER(AO74)),IFERROR(AO94/AO74,""),"")</f>
        <v>0.395007342143906</v>
      </c>
      <c r="AP103" s="30" t="n">
        <f aca="false">IF(AND(ISNUMBER(AP94),ISNUMBER(AP74)),IFERROR(AP94/AP74,""),"")</f>
        <v>0.401883830455259</v>
      </c>
      <c r="AQ103" s="30" t="n">
        <f aca="false">IF(AND(ISNUMBER(AQ94),ISNUMBER(AQ74)),IFERROR(AQ94/AQ74,""),"")</f>
        <v>0.386764705882353</v>
      </c>
      <c r="AR103" s="30" t="n">
        <f aca="false">IF(AND(ISNUMBER(AR94),ISNUMBER(AR74)),IFERROR(AR94/AR74,""),"")</f>
        <v>0.482398956975228</v>
      </c>
      <c r="AS103" s="30" t="n">
        <f aca="false">IF(AND(ISNUMBER(AS94),ISNUMBER(AS74)),IFERROR(AS94/AS74,""),"")</f>
        <v>0.437456807187284</v>
      </c>
      <c r="AT103" s="30" t="n">
        <f aca="false">IF(AND(ISNUMBER(AT94),ISNUMBER(AT74)),IFERROR(AT94/AT74,""),"")</f>
        <v>0.366216216216216</v>
      </c>
      <c r="AU103" s="30" t="n">
        <f aca="false">IF(AND(ISNUMBER(AU94),ISNUMBER(AU74)),IFERROR(AU94/AU74,""),"")</f>
        <v>0.531736526946108</v>
      </c>
      <c r="AV103" s="30" t="n">
        <f aca="false">IF(AND(ISNUMBER(AV94),ISNUMBER(AV74)),IFERROR(AV94/AV74,""),"")</f>
        <v>0.453968253968254</v>
      </c>
      <c r="AW103" s="30" t="n">
        <f aca="false">IF(AND(ISNUMBER(AW94),ISNUMBER(AW74)),IFERROR(AW94/AW74,""),"")</f>
        <v>0.362549800796813</v>
      </c>
      <c r="AX103" s="28"/>
      <c r="AY103" s="28"/>
      <c r="AZ103" s="28"/>
      <c r="BA103" s="28"/>
      <c r="BB103" s="28"/>
      <c r="BC103" s="28"/>
      <c r="BD103" s="23"/>
      <c r="BF103" s="32" t="str">
        <f aca="false">IFERROR(AVERAGE(AY103,AZ103,BA103,BB103,BC103),"n/m")</f>
        <v>n/m</v>
      </c>
      <c r="BG103" s="32" t="n">
        <f aca="false">IFERROR(AVERAGE(AJ103,AM103,AP103,AS103,AV103),"n/m")</f>
        <v>0.403936510498663</v>
      </c>
      <c r="BH103" s="32" t="n">
        <f aca="false">IFERROR(AVERAGE(U103,X103,AA103,AD103,AG103,AJ103,AM103,AP103,AS103,AV103),"n/m")</f>
        <v>0.367589512150398</v>
      </c>
      <c r="BI103" s="32" t="n">
        <f aca="false">IFERROR(AVERAGE(C103,D103,E103,F103,G103,H103,I103,L103,O103,R103,U103,X103,AA103,AD103,AG103,AJ103,AM103,AP103,AS103,AV103),"n/m")</f>
        <v>0.337486999262844</v>
      </c>
    </row>
    <row r="104" customFormat="false" ht="15" hidden="false" customHeight="true" outlineLevel="0" collapsed="false">
      <c r="B104" s="26" t="s">
        <v>169</v>
      </c>
      <c r="C104" s="30" t="str">
        <f aca="false">IF(AND(ISNUMBER(C95),ISNUMBER(C75)),IFERROR(C95/C75,""),"")</f>
        <v/>
      </c>
      <c r="D104" s="30" t="str">
        <f aca="false">IF(AND(ISNUMBER(D95),ISNUMBER(D75)),IFERROR(D95/D75,""),"")</f>
        <v/>
      </c>
      <c r="E104" s="30" t="str">
        <f aca="false">IF(AND(ISNUMBER(E95),ISNUMBER(E75)),IFERROR(E95/E75,""),"")</f>
        <v/>
      </c>
      <c r="F104" s="30" t="n">
        <f aca="false">IF(AND(ISNUMBER(F95),ISNUMBER(F75)),IFERROR(F95/F75,""),"")</f>
        <v>0.245978204462896</v>
      </c>
      <c r="G104" s="30" t="n">
        <f aca="false">IF(AND(ISNUMBER(G95),ISNUMBER(G75)),IFERROR(G95/G75,""),"")</f>
        <v>0.237375917134225</v>
      </c>
      <c r="H104" s="30" t="n">
        <f aca="false">IF(AND(ISNUMBER(H95),ISNUMBER(H75)),IFERROR(H95/H75,""),"")</f>
        <v>0.263891370376988</v>
      </c>
      <c r="I104" s="30" t="n">
        <f aca="false">IF(AND(ISNUMBER(I95),ISNUMBER(I75)),IFERROR(I95/I75,""),"")</f>
        <v>0.285131459655485</v>
      </c>
      <c r="J104" s="30" t="n">
        <f aca="false">IF(AND(ISNUMBER(J95),ISNUMBER(J75)),IFERROR(J95/J75,""),"")</f>
        <v>0.279042951859326</v>
      </c>
      <c r="K104" s="30" t="n">
        <f aca="false">IF(AND(ISNUMBER(K95),ISNUMBER(K75)),IFERROR(K95/K75,""),"")</f>
        <v>0.271725198667009</v>
      </c>
      <c r="L104" s="30" t="n">
        <f aca="false">IF(AND(ISNUMBER(L95),ISNUMBER(L75)),IFERROR(L95/L75,""),"")</f>
        <v>0.27516960651289</v>
      </c>
      <c r="M104" s="30" t="n">
        <f aca="false">IF(AND(ISNUMBER(M95),ISNUMBER(M75)),IFERROR(M95/M75,""),"")</f>
        <v>0.268608414239482</v>
      </c>
      <c r="N104" s="30" t="n">
        <f aca="false">IF(AND(ISNUMBER(N95),ISNUMBER(N75)),IFERROR(N95/N75,""),"")</f>
        <v>0.277855477855478</v>
      </c>
      <c r="O104" s="30" t="n">
        <f aca="false">IF(AND(ISNUMBER(O95),ISNUMBER(O75)),IFERROR(O95/O75,""),"")</f>
        <v>0.273568392098025</v>
      </c>
      <c r="P104" s="30" t="n">
        <f aca="false">IF(AND(ISNUMBER(P95),ISNUMBER(P75)),IFERROR(P95/P75,""),"")</f>
        <v>0.263093189082862</v>
      </c>
      <c r="Q104" s="30" t="n">
        <f aca="false">IF(AND(ISNUMBER(Q95),ISNUMBER(Q75)),IFERROR(Q95/Q75,""),"")</f>
        <v>0.263073532358245</v>
      </c>
      <c r="R104" s="30" t="n">
        <f aca="false">IF(AND(ISNUMBER(R95),ISNUMBER(R75)),IFERROR(R95/R75,""),"")</f>
        <v>0.263082358136454</v>
      </c>
      <c r="S104" s="30" t="n">
        <f aca="false">IF(AND(ISNUMBER(S95),ISNUMBER(S75)),IFERROR(S95/S75,""),"")</f>
        <v>0.261180267404334</v>
      </c>
      <c r="T104" s="30" t="n">
        <f aca="false">IF(AND(ISNUMBER(T95),ISNUMBER(T75)),IFERROR(T95/T75,""),"")</f>
        <v>0.264012077750519</v>
      </c>
      <c r="U104" s="30" t="n">
        <f aca="false">IF(AND(ISNUMBER(U95),ISNUMBER(U75)),IFERROR(U95/U75,""),"")</f>
        <v>0.262737366400332</v>
      </c>
      <c r="V104" s="30" t="n">
        <f aca="false">IF(AND(ISNUMBER(V95),ISNUMBER(V75)),IFERROR(V95/V75,""),"")</f>
        <v>0.301997896950578</v>
      </c>
      <c r="W104" s="30" t="n">
        <f aca="false">IF(AND(ISNUMBER(W95),ISNUMBER(W75)),IFERROR(W95/W75,""),"")</f>
        <v>0.265388673935983</v>
      </c>
      <c r="X104" s="30" t="n">
        <f aca="false">IF(AND(ISNUMBER(X95),ISNUMBER(X75)),IFERROR(X95/X75,""),"")</f>
        <v>0.282061105258117</v>
      </c>
      <c r="Y104" s="30" t="n">
        <f aca="false">IF(AND(ISNUMBER(Y95),ISNUMBER(Y75)),IFERROR(Y95/Y75,""),"")</f>
        <v>0.257639304973038</v>
      </c>
      <c r="Z104" s="30" t="n">
        <f aca="false">IF(AND(ISNUMBER(Z95),ISNUMBER(Z75)),IFERROR(Z95/Z75,""),"")</f>
        <v>0.293496203367448</v>
      </c>
      <c r="AA104" s="30" t="n">
        <f aca="false">IF(AND(ISNUMBER(AA95),ISNUMBER(AA75)),IFERROR(AA95/AA75,""),"")</f>
        <v>0.277270673294171</v>
      </c>
      <c r="AB104" s="30" t="n">
        <f aca="false">IF(AND(ISNUMBER(AB95),ISNUMBER(AB75)),IFERROR(AB95/AB75,""),"")</f>
        <v>0.262210796915167</v>
      </c>
      <c r="AC104" s="30" t="n">
        <f aca="false">IF(AND(ISNUMBER(AC95),ISNUMBER(AC75)),IFERROR(AC95/AC75,""),"")</f>
        <v>0.305492164917085</v>
      </c>
      <c r="AD104" s="30" t="n">
        <f aca="false">IF(AND(ISNUMBER(AD95),ISNUMBER(AD75)),IFERROR(AD95/AD75,""),"")</f>
        <v>0.285880688909227</v>
      </c>
      <c r="AE104" s="30" t="n">
        <f aca="false">IF(AND(ISNUMBER(AE95),ISNUMBER(AE75)),IFERROR(AE95/AE75,""),"")</f>
        <v>0.0470048724562912</v>
      </c>
      <c r="AF104" s="30" t="n">
        <f aca="false">IF(AND(ISNUMBER(AF95),ISNUMBER(AF75)),IFERROR(AF95/AF75,""),"")</f>
        <v>0.296112489660877</v>
      </c>
      <c r="AG104" s="30" t="n">
        <f aca="false">IF(AND(ISNUMBER(AG95),ISNUMBER(AG75)),IFERROR(AG95/AG75,""),"")</f>
        <v>0.20495070274806</v>
      </c>
      <c r="AH104" s="30" t="n">
        <f aca="false">IF(AND(ISNUMBER(AH95),ISNUMBER(AH75)),IFERROR(AH95/AH75,""),"")</f>
        <v>0.241808775627515</v>
      </c>
      <c r="AI104" s="30" t="n">
        <f aca="false">IF(AND(ISNUMBER(AI95),ISNUMBER(AI75)),IFERROR(AI95/AI75,""),"")</f>
        <v>0.314684419408526</v>
      </c>
      <c r="AJ104" s="30" t="n">
        <f aca="false">IF(AND(ISNUMBER(AJ95),ISNUMBER(AJ75)),IFERROR(AJ95/AJ75,""),"")</f>
        <v>0.285495011511896</v>
      </c>
      <c r="AK104" s="30" t="n">
        <f aca="false">IF(AND(ISNUMBER(AK95),ISNUMBER(AK75)),IFERROR(AK95/AK75,""),"")</f>
        <v>0.270114942528736</v>
      </c>
      <c r="AL104" s="30" t="n">
        <f aca="false">IF(AND(ISNUMBER(AL95),ISNUMBER(AL75)),IFERROR(AL95/AL75,""),"")</f>
        <v>0.296428571428571</v>
      </c>
      <c r="AM104" s="30" t="n">
        <f aca="false">IF(AND(ISNUMBER(AM95),ISNUMBER(AM75)),IFERROR(AM95/AM75,""),"")</f>
        <v>0.284505208333333</v>
      </c>
      <c r="AN104" s="30" t="n">
        <f aca="false">IF(AND(ISNUMBER(AN95),ISNUMBER(AN75)),IFERROR(AN95/AN75,""),"")</f>
        <v>0.328947368421053</v>
      </c>
      <c r="AO104" s="30" t="n">
        <f aca="false">IF(AND(ISNUMBER(AO95),ISNUMBER(AO75)),IFERROR(AO95/AO75,""),"")</f>
        <v>0.314663951120163</v>
      </c>
      <c r="AP104" s="30" t="n">
        <f aca="false">IF(AND(ISNUMBER(AP95),ISNUMBER(AP75)),IFERROR(AP95/AP75,""),"")</f>
        <v>0.321232123212321</v>
      </c>
      <c r="AQ104" s="30" t="n">
        <f aca="false">IF(AND(ISNUMBER(AQ95),ISNUMBER(AQ75)),IFERROR(AQ95/AQ75,""),"")</f>
        <v>0.322680412371134</v>
      </c>
      <c r="AR104" s="30" t="n">
        <f aca="false">IF(AND(ISNUMBER(AR95),ISNUMBER(AR75)),IFERROR(AR95/AR75,""),"")</f>
        <v>0.344944774851317</v>
      </c>
      <c r="AS104" s="30" t="n">
        <f aca="false">IF(AND(ISNUMBER(AS95),ISNUMBER(AS75)),IFERROR(AS95/AS75,""),"")</f>
        <v>0.334885887284583</v>
      </c>
      <c r="AT104" s="30" t="n">
        <f aca="false">IF(AND(ISNUMBER(AT95),ISNUMBER(AT75)),IFERROR(AT95/AT75,""),"")</f>
        <v>0.324448529411765</v>
      </c>
      <c r="AU104" s="30" t="n">
        <f aca="false">IF(AND(ISNUMBER(AU95),ISNUMBER(AU75)),IFERROR(AU95/AU75,""),"")</f>
        <v>0.361067503924647</v>
      </c>
      <c r="AV104" s="30" t="n">
        <f aca="false">IF(AND(ISNUMBER(AV95),ISNUMBER(AV75)),IFERROR(AV95/AV75,""),"")</f>
        <v>0.34419983065199</v>
      </c>
      <c r="AW104" s="30" t="n">
        <f aca="false">IF(AND(ISNUMBER(AW95),ISNUMBER(AW75)),IFERROR(AW95/AW75,""),"")</f>
        <v>0.321030042918455</v>
      </c>
      <c r="AX104" s="28"/>
      <c r="AY104" s="28"/>
      <c r="AZ104" s="28"/>
      <c r="BA104" s="28"/>
      <c r="BB104" s="28"/>
      <c r="BC104" s="28"/>
      <c r="BD104" s="23"/>
      <c r="BF104" s="32" t="str">
        <f aca="false">IFERROR(AVERAGE(AY104,AZ104,BA104,BB104,BC104),"n/m")</f>
        <v>n/m</v>
      </c>
      <c r="BG104" s="32" t="n">
        <f aca="false">IFERROR(AVERAGE(AJ104,AM104,AP104,AS104,AV104),"n/m")</f>
        <v>0.314063612198825</v>
      </c>
      <c r="BH104" s="32" t="n">
        <f aca="false">IFERROR(AVERAGE(U104,X104,AA104,AD104,AG104,AJ104,AM104,AP104,AS104,AV104),"n/m")</f>
        <v>0.288321859760403</v>
      </c>
      <c r="BI104" s="32" t="n">
        <f aca="false">IFERROR(AVERAGE(C104,D104,E104,F104,G104,H104,I104,L104,O104,R104,U104,X104,AA104,AD104,AG104,AJ104,AM104,AP104,AS104,AV104),"n/m")</f>
        <v>0.278083288587117</v>
      </c>
    </row>
    <row r="105" customFormat="false" ht="15" hidden="false" customHeight="true" outlineLevel="0" collapsed="false">
      <c r="B105" s="26" t="s">
        <v>170</v>
      </c>
      <c r="C105" s="30" t="str">
        <f aca="false">IF(AND(ISNUMBER(C96),ISNUMBER(C76)),IFERROR(C96/C76,""),"")</f>
        <v/>
      </c>
      <c r="D105" s="30" t="str">
        <f aca="false">IF(AND(ISNUMBER(D96),ISNUMBER(D76)),IFERROR(D96/D76,""),"")</f>
        <v/>
      </c>
      <c r="E105" s="30" t="str">
        <f aca="false">IF(AND(ISNUMBER(E96),ISNUMBER(E76)),IFERROR(E96/E76,""),"")</f>
        <v/>
      </c>
      <c r="F105" s="30" t="n">
        <f aca="false">IF(AND(ISNUMBER(F96),ISNUMBER(F76)),IFERROR(F96/F76,""),"")</f>
        <v>0.300195886385896</v>
      </c>
      <c r="G105" s="30" t="n">
        <f aca="false">IF(AND(ISNUMBER(G96),ISNUMBER(G76)),IFERROR(G96/G76,""),"")</f>
        <v>0.335392762577229</v>
      </c>
      <c r="H105" s="30" t="n">
        <f aca="false">IF(AND(ISNUMBER(H96),ISNUMBER(H76)),IFERROR(H96/H76,""),"")</f>
        <v>0.346904156064461</v>
      </c>
      <c r="I105" s="30" t="n">
        <f aca="false">IF(AND(ISNUMBER(I96),ISNUMBER(I76)),IFERROR(I96/I76,""),"")</f>
        <v>0.369357798165138</v>
      </c>
      <c r="J105" s="30" t="n">
        <f aca="false">IF(AND(ISNUMBER(J96),ISNUMBER(J76)),IFERROR(J96/J76,""),"")</f>
        <v>0.37940379403794</v>
      </c>
      <c r="K105" s="30" t="n">
        <f aca="false">IF(AND(ISNUMBER(K96),ISNUMBER(K76)),IFERROR(K96/K76,""),"")</f>
        <v>0.389164598842018</v>
      </c>
      <c r="L105" s="30" t="n">
        <f aca="false">IF(AND(ISNUMBER(L96),ISNUMBER(L76)),IFERROR(L96/L76,""),"")</f>
        <v>0.384499136442142</v>
      </c>
      <c r="M105" s="30" t="n">
        <f aca="false">IF(AND(ISNUMBER(M96),ISNUMBER(M76)),IFERROR(M96/M76,""),"")</f>
        <v>0.370923913043478</v>
      </c>
      <c r="N105" s="30" t="n">
        <f aca="false">IF(AND(ISNUMBER(N96),ISNUMBER(N76)),IFERROR(N96/N76,""),"")</f>
        <v>0.255690440060698</v>
      </c>
      <c r="O105" s="30" t="n">
        <f aca="false">IF(AND(ISNUMBER(O96),ISNUMBER(O76)),IFERROR(O96/O76,""),"")</f>
        <v>0.308216350123865</v>
      </c>
      <c r="P105" s="30" t="n">
        <f aca="false">IF(AND(ISNUMBER(P96),ISNUMBER(P76)),IFERROR(P96/P76,""),"")</f>
        <v>0.359671076153021</v>
      </c>
      <c r="Q105" s="30" t="n">
        <f aca="false">IF(AND(ISNUMBER(Q96),ISNUMBER(Q76)),IFERROR(Q96/Q76,""),"")</f>
        <v>0.321684867394696</v>
      </c>
      <c r="R105" s="30" t="n">
        <f aca="false">IF(AND(ISNUMBER(R96),ISNUMBER(R76)),IFERROR(R96/R76,""),"")</f>
        <v>0.339386871042986</v>
      </c>
      <c r="S105" s="30" t="n">
        <f aca="false">IF(AND(ISNUMBER(S96),ISNUMBER(S76)),IFERROR(S96/S76,""),"")</f>
        <v>0.393268647665252</v>
      </c>
      <c r="T105" s="30" t="n">
        <f aca="false">IF(AND(ISNUMBER(T96),ISNUMBER(T76)),IFERROR(T96/T76,""),"")</f>
        <v>0.307633781384732</v>
      </c>
      <c r="U105" s="30" t="n">
        <f aca="false">IF(AND(ISNUMBER(U96),ISNUMBER(U76)),IFERROR(U96/U76,""),"")</f>
        <v>0.346637204805966</v>
      </c>
      <c r="V105" s="30" t="n">
        <f aca="false">IF(AND(ISNUMBER(V96),ISNUMBER(V76)),IFERROR(V96/V76,""),"")</f>
        <v>0.37338686550043</v>
      </c>
      <c r="W105" s="30" t="n">
        <f aca="false">IF(AND(ISNUMBER(W96),ISNUMBER(W76)),IFERROR(W96/W76,""),"")</f>
        <v>0.339222614840989</v>
      </c>
      <c r="X105" s="30" t="n">
        <f aca="false">IF(AND(ISNUMBER(X96),ISNUMBER(X76)),IFERROR(X96/X76,""),"")</f>
        <v>0.35584705554005</v>
      </c>
      <c r="Y105" s="30" t="n">
        <f aca="false">IF(AND(ISNUMBER(Y96),ISNUMBER(Y76)),IFERROR(Y96/Y76,""),"")</f>
        <v>0.379930394431555</v>
      </c>
      <c r="Z105" s="30" t="n">
        <f aca="false">IF(AND(ISNUMBER(Z96),ISNUMBER(Z76)),IFERROR(Z96/Z76,""),"")</f>
        <v>0.357620817843866</v>
      </c>
      <c r="AA105" s="30" t="n">
        <f aca="false">IF(AND(ISNUMBER(AA96),ISNUMBER(AA76)),IFERROR(AA96/AA76,""),"")</f>
        <v>0.367900574635841</v>
      </c>
      <c r="AB105" s="30" t="n">
        <f aca="false">IF(AND(ISNUMBER(AB96),ISNUMBER(AB76)),IFERROR(AB96/AB76,""),"")</f>
        <v>0.392910634048927</v>
      </c>
      <c r="AC105" s="30" t="n">
        <f aca="false">IF(AND(ISNUMBER(AC96),ISNUMBER(AC76)),IFERROR(AC96/AC76,""),"")</f>
        <v>0.347647820457488</v>
      </c>
      <c r="AD105" s="30" t="n">
        <f aca="false">IF(AND(ISNUMBER(AD96),ISNUMBER(AD76)),IFERROR(AD96/AD76,""),"")</f>
        <v>0.368634259259259</v>
      </c>
      <c r="AE105" s="30" t="n">
        <f aca="false">IF(AND(ISNUMBER(AE96),ISNUMBER(AE76)),IFERROR(AE96/AE76,""),"")</f>
        <v>0.248913718187461</v>
      </c>
      <c r="AF105" s="30" t="n">
        <f aca="false">IF(AND(ISNUMBER(AF96),ISNUMBER(AF76)),IFERROR(AF96/AF76,""),"")</f>
        <v>0.413328121946453</v>
      </c>
      <c r="AG105" s="30" t="n">
        <f aca="false">IF(AND(ISNUMBER(AG96),ISNUMBER(AG76)),IFERROR(AG96/AG76,""),"")</f>
        <v>0.349802134548507</v>
      </c>
      <c r="AH105" s="30" t="n">
        <f aca="false">IF(AND(ISNUMBER(AH96),ISNUMBER(AH76)),IFERROR(AH96/AH76,""),"")</f>
        <v>0.413432835820896</v>
      </c>
      <c r="AI105" s="30" t="n">
        <f aca="false">IF(AND(ISNUMBER(AI96),ISNUMBER(AI76)),IFERROR(AI96/AI76,""),"")</f>
        <v>0.366338582677165</v>
      </c>
      <c r="AJ105" s="30" t="n">
        <f aca="false">IF(AND(ISNUMBER(AJ96),ISNUMBER(AJ76)),IFERROR(AJ96/AJ76,""),"")</f>
        <v>0.388945752302968</v>
      </c>
      <c r="AK105" s="30" t="n">
        <f aca="false">IF(AND(ISNUMBER(AK96),ISNUMBER(AK76)),IFERROR(AK96/AK76,""),"")</f>
        <v>0.401098901098901</v>
      </c>
      <c r="AL105" s="30" t="n">
        <f aca="false">IF(AND(ISNUMBER(AL96),ISNUMBER(AL76)),IFERROR(AL96/AL76,""),"")</f>
        <v>0.389189189189189</v>
      </c>
      <c r="AM105" s="30" t="n">
        <f aca="false">IF(AND(ISNUMBER(AM96),ISNUMBER(AM76)),IFERROR(AM96/AM76,""),"")</f>
        <v>0.395095367847411</v>
      </c>
      <c r="AN105" s="30" t="n">
        <f aca="false">IF(AND(ISNUMBER(AN96),ISNUMBER(AN76)),IFERROR(AN96/AN76,""),"")</f>
        <v>0.397798742138365</v>
      </c>
      <c r="AO105" s="30" t="n">
        <f aca="false">IF(AND(ISNUMBER(AO96),ISNUMBER(AO76)),IFERROR(AO96/AO76,""),"")</f>
        <v>0.403846153846154</v>
      </c>
      <c r="AP105" s="30" t="n">
        <f aca="false">IF(AND(ISNUMBER(AP96),ISNUMBER(AP76)),IFERROR(AP96/AP76,""),"")</f>
        <v>0.400793650793651</v>
      </c>
      <c r="AQ105" s="30" t="n">
        <f aca="false">IF(AND(ISNUMBER(AQ96),ISNUMBER(AQ76)),IFERROR(AQ96/AQ76,""),"")</f>
        <v>0.43001443001443</v>
      </c>
      <c r="AR105" s="30" t="n">
        <f aca="false">IF(AND(ISNUMBER(AR96),ISNUMBER(AR76)),IFERROR(AR96/AR76,""),"")</f>
        <v>0.361559139784946</v>
      </c>
      <c r="AS105" s="30" t="n">
        <f aca="false">IF(AND(ISNUMBER(AS96),ISNUMBER(AS76)),IFERROR(AS96/AS76,""),"")</f>
        <v>0.394572025052192</v>
      </c>
      <c r="AT105" s="30" t="n">
        <f aca="false">IF(AND(ISNUMBER(AT96),ISNUMBER(AT76)),IFERROR(AT96/AT76,""),"")</f>
        <v>0.402453987730061</v>
      </c>
      <c r="AU105" s="30" t="n">
        <f aca="false">IF(AND(ISNUMBER(AU96),ISNUMBER(AU76)),IFERROR(AU96/AU76,""),"")</f>
        <v>0.382731958762887</v>
      </c>
      <c r="AV105" s="30" t="n">
        <f aca="false">IF(AND(ISNUMBER(AV96),ISNUMBER(AV76)),IFERROR(AV96/AV76,""),"")</f>
        <v>0.392834695160277</v>
      </c>
      <c r="AW105" s="30" t="n">
        <f aca="false">IF(AND(ISNUMBER(AW96),ISNUMBER(AW76)),IFERROR(AW96/AW76,""),"")</f>
        <v>0.417293233082707</v>
      </c>
      <c r="AX105" s="28"/>
      <c r="AY105" s="28"/>
      <c r="AZ105" s="28"/>
      <c r="BA105" s="28"/>
      <c r="BB105" s="28"/>
      <c r="BC105" s="28"/>
      <c r="BD105" s="23"/>
      <c r="BF105" s="32" t="str">
        <f aca="false">IFERROR(AVERAGE(AY105,AZ105,BA105,BB105,BC105),"n/m")</f>
        <v>n/m</v>
      </c>
      <c r="BG105" s="32" t="n">
        <f aca="false">IFERROR(AVERAGE(AJ105,AM105,AP105,AS105,AV105),"n/m")</f>
        <v>0.3944482982313</v>
      </c>
      <c r="BH105" s="32" t="n">
        <f aca="false">IFERROR(AVERAGE(U105,X105,AA105,AD105,AG105,AJ105,AM105,AP105,AS105,AV105),"n/m")</f>
        <v>0.376106271994612</v>
      </c>
      <c r="BI105" s="32" t="n">
        <f aca="false">IFERROR(AVERAGE(C105,D105,E105,F105,G105,H105,I105,L105,O105,R105,U105,X105,AA105,AD105,AG105,AJ105,AM105,AP105,AS105,AV105),"n/m")</f>
        <v>0.361471510632226</v>
      </c>
    </row>
    <row r="106" customFormat="false" ht="15" hidden="false" customHeight="true" outlineLevel="0" collapsed="false">
      <c r="B106" s="26" t="s">
        <v>171</v>
      </c>
      <c r="C106" s="30" t="str">
        <f aca="false">IF(AND(ISNUMBER(C97),ISNUMBER(C77)),IFERROR(C97/C77,""),"")</f>
        <v/>
      </c>
      <c r="D106" s="30" t="str">
        <f aca="false">IF(AND(ISNUMBER(D97),ISNUMBER(D77)),IFERROR(D97/D77,""),"")</f>
        <v/>
      </c>
      <c r="E106" s="30" t="str">
        <f aca="false">IF(AND(ISNUMBER(E97),ISNUMBER(E77)),IFERROR(E97/E77,""),"")</f>
        <v/>
      </c>
      <c r="F106" s="30" t="n">
        <f aca="false">IF(AND(ISNUMBER(F97),ISNUMBER(F77)),IFERROR(F97/F77,""),"")</f>
        <v>0.341694273544723</v>
      </c>
      <c r="G106" s="30" t="n">
        <f aca="false">IF(AND(ISNUMBER(G97),ISNUMBER(G77)),IFERROR(G97/G77,""),"")</f>
        <v>0.393247741321921</v>
      </c>
      <c r="H106" s="30" t="n">
        <f aca="false">IF(AND(ISNUMBER(H97),ISNUMBER(H77)),IFERROR(H97/H77,""),"")</f>
        <v>0.416460396039604</v>
      </c>
      <c r="I106" s="30" t="n">
        <f aca="false">IF(AND(ISNUMBER(I97),ISNUMBER(I77)),IFERROR(I97/I77,""),"")</f>
        <v>0.415250386258293</v>
      </c>
      <c r="J106" s="30" t="n">
        <f aca="false">IF(AND(ISNUMBER(J97),ISNUMBER(J77)),IFERROR(J97/J77,""),"")</f>
        <v>0.395974289580514</v>
      </c>
      <c r="K106" s="30" t="n">
        <f aca="false">IF(AND(ISNUMBER(K97),ISNUMBER(K77)),IFERROR(K97/K77,""),"")</f>
        <v>0.390013700715482</v>
      </c>
      <c r="L106" s="30" t="n">
        <f aca="false">IF(AND(ISNUMBER(L97),ISNUMBER(L77)),IFERROR(L97/L77,""),"")</f>
        <v>0.392837112410865</v>
      </c>
      <c r="M106" s="30" t="n">
        <f aca="false">IF(AND(ISNUMBER(M97),ISNUMBER(M77)),IFERROR(M97/M77,""),"")</f>
        <v>0.415219688962706</v>
      </c>
      <c r="N106" s="30" t="n">
        <f aca="false">IF(AND(ISNUMBER(N97),ISNUMBER(N77)),IFERROR(N97/N77,""),"")</f>
        <v>0.393698667025717</v>
      </c>
      <c r="O106" s="30" t="n">
        <f aca="false">IF(AND(ISNUMBER(O97),ISNUMBER(O77)),IFERROR(O97/O77,""),"")</f>
        <v>0.403843416370107</v>
      </c>
      <c r="P106" s="30" t="n">
        <f aca="false">IF(AND(ISNUMBER(P97),ISNUMBER(P77)),IFERROR(P97/P77,""),"")</f>
        <v>0.40667299928758</v>
      </c>
      <c r="Q106" s="30" t="n">
        <f aca="false">IF(AND(ISNUMBER(Q97),ISNUMBER(Q77)),IFERROR(Q97/Q77,""),"")</f>
        <v>0.381662362056821</v>
      </c>
      <c r="R106" s="30" t="n">
        <f aca="false">IF(AND(ISNUMBER(R97),ISNUMBER(R77)),IFERROR(R97/R77,""),"")</f>
        <v>0.39409681227863</v>
      </c>
      <c r="S106" s="30" t="n">
        <f aca="false">IF(AND(ISNUMBER(S97),ISNUMBER(S77)),IFERROR(S97/S77,""),"")</f>
        <v>0.444340614414204</v>
      </c>
      <c r="T106" s="30" t="n">
        <f aca="false">IF(AND(ISNUMBER(T97),ISNUMBER(T77)),IFERROR(T97/T77,""),"")</f>
        <v>0.394162959748291</v>
      </c>
      <c r="U106" s="30" t="n">
        <f aca="false">IF(AND(ISNUMBER(U97),ISNUMBER(U77)),IFERROR(U97/U77,""),"")</f>
        <v>0.418326020924739</v>
      </c>
      <c r="V106" s="30" t="n">
        <f aca="false">IF(AND(ISNUMBER(V97),ISNUMBER(V77)),IFERROR(V97/V77,""),"")</f>
        <v>0.459088632949424</v>
      </c>
      <c r="W106" s="30" t="n">
        <f aca="false">IF(AND(ISNUMBER(W97),ISNUMBER(W77)),IFERROR(W97/W77,""),"")</f>
        <v>0.42934036939314</v>
      </c>
      <c r="X106" s="30" t="n">
        <f aca="false">IF(AND(ISNUMBER(X97),ISNUMBER(X77)),IFERROR(X97/X77,""),"")</f>
        <v>0.444604316546763</v>
      </c>
      <c r="Y106" s="30" t="n">
        <f aca="false">IF(AND(ISNUMBER(Y97),ISNUMBER(Y77)),IFERROR(Y97/Y77,""),"")</f>
        <v>0.465231170768084</v>
      </c>
      <c r="Z106" s="30" t="n">
        <f aca="false">IF(AND(ISNUMBER(Z97),ISNUMBER(Z77)),IFERROR(Z97/Z77,""),"")</f>
        <v>0.421652954375467</v>
      </c>
      <c r="AA106" s="30" t="n">
        <f aca="false">IF(AND(ISNUMBER(AA97),ISNUMBER(AA77)),IFERROR(AA97/AA77,""),"")</f>
        <v>0.443474607916355</v>
      </c>
      <c r="AB106" s="30" t="n">
        <f aca="false">IF(AND(ISNUMBER(AB97),ISNUMBER(AB77)),IFERROR(AB97/AB77,""),"")</f>
        <v>0.444931886400369</v>
      </c>
      <c r="AC106" s="30" t="n">
        <f aca="false">IF(AND(ISNUMBER(AC97),ISNUMBER(AC77)),IFERROR(AC97/AC77,""),"")</f>
        <v>0.388901805781601</v>
      </c>
      <c r="AD106" s="30" t="n">
        <f aca="false">IF(AND(ISNUMBER(AD97),ISNUMBER(AD77)),IFERROR(AD97/AD77,""),"")</f>
        <v>0.41701421068891</v>
      </c>
      <c r="AE106" s="30" t="n">
        <f aca="false">IF(AND(ISNUMBER(AE97),ISNUMBER(AE77)),IFERROR(AE97/AE77,""),"")</f>
        <v>0.40111514741911</v>
      </c>
      <c r="AF106" s="30" t="n">
        <f aca="false">IF(AND(ISNUMBER(AF97),ISNUMBER(AF77)),IFERROR(AF97/AF77,""),"")</f>
        <v>0.47052029797309</v>
      </c>
      <c r="AG106" s="30" t="n">
        <f aca="false">IF(AND(ISNUMBER(AG97),ISNUMBER(AG77)),IFERROR(AG97/AG77,""),"")</f>
        <v>0.442340673663991</v>
      </c>
      <c r="AH106" s="30" t="n">
        <f aca="false">IF(AND(ISNUMBER(AH97),ISNUMBER(AH77)),IFERROR(AH97/AH77,""),"")</f>
        <v>0.514584300975383</v>
      </c>
      <c r="AI106" s="30" t="n">
        <f aca="false">IF(AND(ISNUMBER(AI97),ISNUMBER(AI77)),IFERROR(AI97/AI77,""),"")</f>
        <v>0.415681601525262</v>
      </c>
      <c r="AJ106" s="30" t="n">
        <f aca="false">IF(AND(ISNUMBER(AJ97),ISNUMBER(AJ77)),IFERROR(AJ97/AJ77,""),"")</f>
        <v>0.465772759350741</v>
      </c>
      <c r="AK106" s="30" t="n">
        <f aca="false">IF(AND(ISNUMBER(AK97),ISNUMBER(AK77)),IFERROR(AK97/AK77,""),"")</f>
        <v>0.496060037523452</v>
      </c>
      <c r="AL106" s="30" t="n">
        <f aca="false">IF(AND(ISNUMBER(AL97),ISNUMBER(AL77)),IFERROR(AL97/AL77,""),"")</f>
        <v>0.451054998270495</v>
      </c>
      <c r="AM106" s="30" t="n">
        <f aca="false">IF(AND(ISNUMBER(AM97),ISNUMBER(AM77)),IFERROR(AM97/AM77,""),"")</f>
        <v>0.47264218862491</v>
      </c>
      <c r="AN106" s="30" t="n">
        <f aca="false">IF(AND(ISNUMBER(AN97),ISNUMBER(AN77)),IFERROR(AN97/AN77,""),"")</f>
        <v>0.511677282377919</v>
      </c>
      <c r="AO106" s="30" t="n">
        <f aca="false">IF(AND(ISNUMBER(AO97),ISNUMBER(AO77)),IFERROR(AO97/AO77,""),"")</f>
        <v>0.461021505376344</v>
      </c>
      <c r="AP106" s="30" t="n">
        <f aca="false">IF(AND(ISNUMBER(AP97),ISNUMBER(AP77)),IFERROR(AP97/AP77,""),"")</f>
        <v>0.487645464689941</v>
      </c>
      <c r="AQ106" s="30" t="n">
        <f aca="false">IF(AND(ISNUMBER(AQ97),ISNUMBER(AQ77)),IFERROR(AQ97/AQ77,""),"")</f>
        <v>0.491337688156774</v>
      </c>
      <c r="AR106" s="30" t="n">
        <f aca="false">IF(AND(ISNUMBER(AR97),ISNUMBER(AR77)),IFERROR(AR97/AR77,""),"")</f>
        <v>0.299328429804925</v>
      </c>
      <c r="AS106" s="30" t="n">
        <f aca="false">IF(AND(ISNUMBER(AS97),ISNUMBER(AS77)),IFERROR(AS97/AS77,""),"")</f>
        <v>0.401022864019254</v>
      </c>
      <c r="AT106" s="30" t="n">
        <f aca="false">IF(AND(ISNUMBER(AT97),ISNUMBER(AT77)),IFERROR(AT97/AT77,""),"")</f>
        <v>0.482372691662003</v>
      </c>
      <c r="AU106" s="30" t="n">
        <f aca="false">IF(AND(ISNUMBER(AU97),ISNUMBER(AU77)),IFERROR(AU97/AU77,""),"")</f>
        <v>0.331521739130435</v>
      </c>
      <c r="AV106" s="30" t="n">
        <f aca="false">IF(AND(ISNUMBER(AV97),ISNUMBER(AV77)),IFERROR(AV97/AV77,""),"")</f>
        <v>0.411966577141152</v>
      </c>
      <c r="AW106" s="30" t="n">
        <f aca="false">IF(AND(ISNUMBER(AW97),ISNUMBER(AW77)),IFERROR(AW97/AW77,""),"")</f>
        <v>0.46787432776677</v>
      </c>
      <c r="AX106" s="28"/>
      <c r="AY106" s="28"/>
      <c r="AZ106" s="28"/>
      <c r="BA106" s="28"/>
      <c r="BB106" s="28"/>
      <c r="BC106" s="28"/>
      <c r="BD106" s="23"/>
      <c r="BF106" s="32" t="str">
        <f aca="false">IFERROR(AVERAGE(AY106,AZ106,BA106,BB106,BC106),"n/m")</f>
        <v>n/m</v>
      </c>
      <c r="BG106" s="32" t="n">
        <f aca="false">IFERROR(AVERAGE(AJ106,AM106,AP106,AS106,AV106),"n/m")</f>
        <v>0.4478099707652</v>
      </c>
      <c r="BH106" s="32" t="n">
        <f aca="false">IFERROR(AVERAGE(U106,X106,AA106,AD106,AG106,AJ106,AM106,AP106,AS106,AV106),"n/m")</f>
        <v>0.440480968356676</v>
      </c>
      <c r="BI106" s="32" t="n">
        <f aca="false">IFERROR(AVERAGE(C106,D106,E106,F106,G106,H106,I106,L106,O106,R106,U106,X106,AA106,AD106,AG106,AJ106,AM106,AP106,AS106,AV106),"n/m")</f>
        <v>0.421308224811229</v>
      </c>
    </row>
    <row r="107" customFormat="false" ht="15" hidden="false" customHeight="true" outlineLevel="0" collapsed="false">
      <c r="B107" s="26" t="s">
        <v>172</v>
      </c>
      <c r="C107" s="30" t="str">
        <f aca="false">IF(AND(ISNUMBER(C98),ISNUMBER(C78)),IFERROR(C98/C78,""),"")</f>
        <v/>
      </c>
      <c r="D107" s="30" t="str">
        <f aca="false">IF(AND(ISNUMBER(D98),ISNUMBER(D78)),IFERROR(D98/D78,""),"")</f>
        <v/>
      </c>
      <c r="E107" s="30" t="str">
        <f aca="false">IF(AND(ISNUMBER(E98),ISNUMBER(E78)),IFERROR(E98/E78,""),"")</f>
        <v/>
      </c>
      <c r="F107" s="30" t="n">
        <f aca="false">IF(AND(ISNUMBER(F98),ISNUMBER(F78)),IFERROR(F98/F78,""),"")</f>
        <v>0.250595846101464</v>
      </c>
      <c r="G107" s="30" t="n">
        <f aca="false">IF(AND(ISNUMBER(G98),ISNUMBER(G78)),IFERROR(G98/G78,""),"")</f>
        <v>0.299714062906161</v>
      </c>
      <c r="H107" s="30" t="n">
        <f aca="false">IF(AND(ISNUMBER(H98),ISNUMBER(H78)),IFERROR(H98/H78,""),"")</f>
        <v>0.320336062042223</v>
      </c>
      <c r="I107" s="30" t="n">
        <f aca="false">IF(AND(ISNUMBER(I98),ISNUMBER(I78)),IFERROR(I98/I78,""),"")</f>
        <v>0.318333626296361</v>
      </c>
      <c r="J107" s="30" t="n">
        <f aca="false">IF(AND(ISNUMBER(J98),ISNUMBER(J78)),IFERROR(J98/J78,""),"")</f>
        <v>0.333100314575323</v>
      </c>
      <c r="K107" s="30" t="n">
        <f aca="false">IF(AND(ISNUMBER(K98),ISNUMBER(K78)),IFERROR(K98/K78,""),"")</f>
        <v>0.337825959566364</v>
      </c>
      <c r="L107" s="30" t="n">
        <f aca="false">IF(AND(ISNUMBER(L98),ISNUMBER(L78)),IFERROR(L98/L78,""),"")</f>
        <v>0.335671023270641</v>
      </c>
      <c r="M107" s="30" t="n">
        <f aca="false">IF(AND(ISNUMBER(M98),ISNUMBER(M78)),IFERROR(M98/M78,""),"")</f>
        <v>0.308770785784154</v>
      </c>
      <c r="N107" s="30" t="n">
        <f aca="false">IF(AND(ISNUMBER(N98),ISNUMBER(N78)),IFERROR(N98/N78,""),"")</f>
        <v>0.313550939663699</v>
      </c>
      <c r="O107" s="30" t="n">
        <f aca="false">IF(AND(ISNUMBER(O98),ISNUMBER(O78)),IFERROR(O98/O78,""),"")</f>
        <v>0.311489242019407</v>
      </c>
      <c r="P107" s="30" t="n">
        <f aca="false">IF(AND(ISNUMBER(P98),ISNUMBER(P78)),IFERROR(P98/P78,""),"")</f>
        <v>0.325903912828133</v>
      </c>
      <c r="Q107" s="30" t="n">
        <f aca="false">IF(AND(ISNUMBER(Q98),ISNUMBER(Q78)),IFERROR(Q98/Q78,""),"")</f>
        <v>0.306683322923173</v>
      </c>
      <c r="R107" s="30" t="n">
        <f aca="false">IF(AND(ISNUMBER(R98),ISNUMBER(R78)),IFERROR(R98/R78,""),"")</f>
        <v>0.315462051804095</v>
      </c>
      <c r="S107" s="30" t="n">
        <f aca="false">IF(AND(ISNUMBER(S98),ISNUMBER(S78)),IFERROR(S98/S78,""),"")</f>
        <v>0.323447636700649</v>
      </c>
      <c r="T107" s="30" t="n">
        <f aca="false">IF(AND(ISNUMBER(T98),ISNUMBER(T78)),IFERROR(T98/T78,""),"")</f>
        <v>0.309897879025923</v>
      </c>
      <c r="U107" s="30" t="n">
        <f aca="false">IF(AND(ISNUMBER(U98),ISNUMBER(U78)),IFERROR(U98/U78,""),"")</f>
        <v>0.316113945578231</v>
      </c>
      <c r="V107" s="30" t="n">
        <f aca="false">IF(AND(ISNUMBER(V98),ISNUMBER(V78)),IFERROR(V98/V78,""),"")</f>
        <v>0.326492537313433</v>
      </c>
      <c r="W107" s="30" t="n">
        <f aca="false">IF(AND(ISNUMBER(W98),ISNUMBER(W78)),IFERROR(W98/W78,""),"")</f>
        <v>0.376704324113751</v>
      </c>
      <c r="X107" s="30" t="n">
        <f aca="false">IF(AND(ISNUMBER(X98),ISNUMBER(X78)),IFERROR(X98/X78,""),"")</f>
        <v>0.352379995983129</v>
      </c>
      <c r="Y107" s="30" t="n">
        <f aca="false">IF(AND(ISNUMBER(Y98),ISNUMBER(Y78)),IFERROR(Y98/Y78,""),"")</f>
        <v>0.337211675852215</v>
      </c>
      <c r="Z107" s="30" t="n">
        <f aca="false">IF(AND(ISNUMBER(Z98),ISNUMBER(Z78)),IFERROR(Z98/Z78,""),"")</f>
        <v>0.377000175839634</v>
      </c>
      <c r="AA107" s="30" t="n">
        <f aca="false">IF(AND(ISNUMBER(AA98),ISNUMBER(AA78)),IFERROR(AA98/AA78,""),"")</f>
        <v>0.358586812771585</v>
      </c>
      <c r="AB107" s="30" t="n">
        <f aca="false">IF(AND(ISNUMBER(AB98),ISNUMBER(AB78)),IFERROR(AB98/AB78,""),"")</f>
        <v>0.334153197470134</v>
      </c>
      <c r="AC107" s="30" t="n">
        <f aca="false">IF(AND(ISNUMBER(AC98),ISNUMBER(AC78)),IFERROR(AC98/AC78,""),"")</f>
        <v>0.353536857781087</v>
      </c>
      <c r="AD107" s="30" t="n">
        <f aca="false">IF(AND(ISNUMBER(AD98),ISNUMBER(AD78)),IFERROR(AD98/AD78,""),"")</f>
        <v>0.34464415249456</v>
      </c>
      <c r="AE107" s="30" t="n">
        <f aca="false">IF(AND(ISNUMBER(AE98),ISNUMBER(AE78)),IFERROR(AE98/AE78,""),"")</f>
        <v>0.0086104513064133</v>
      </c>
      <c r="AF107" s="30" t="n">
        <f aca="false">IF(AND(ISNUMBER(AF98),ISNUMBER(AF78)),IFERROR(AF98/AF78,""),"")</f>
        <v>0.362745098039216</v>
      </c>
      <c r="AG107" s="30" t="n">
        <f aca="false">IF(AND(ISNUMBER(AG98),ISNUMBER(AG78)),IFERROR(AG98/AG78,""),"")</f>
        <v>0.23837330552659</v>
      </c>
      <c r="AH107" s="30" t="n">
        <f aca="false">IF(AND(ISNUMBER(AH98),ISNUMBER(AH78)),IFERROR(AH98/AH78,""),"")</f>
        <v>0.393322353645755</v>
      </c>
      <c r="AI107" s="30" t="n">
        <f aca="false">IF(AND(ISNUMBER(AI98),ISNUMBER(AI78)),IFERROR(AI98/AI78,""),"")</f>
        <v>0.32565498038223</v>
      </c>
      <c r="AJ107" s="30" t="n">
        <f aca="false">IF(AND(ISNUMBER(AJ98),ISNUMBER(AJ78)),IFERROR(AJ98/AJ78,""),"")</f>
        <v>0.356652949245542</v>
      </c>
      <c r="AK107" s="30" t="n">
        <f aca="false">IF(AND(ISNUMBER(AK98),ISNUMBER(AK78)),IFERROR(AK98/AK78,""),"")</f>
        <v>0.371690427698574</v>
      </c>
      <c r="AL107" s="30" t="n">
        <f aca="false">IF(AND(ISNUMBER(AL98),ISNUMBER(AL78)),IFERROR(AL98/AL78,""),"")</f>
        <v>0.321799307958478</v>
      </c>
      <c r="AM107" s="30" t="n">
        <f aca="false">IF(AND(ISNUMBER(AM98),ISNUMBER(AM78)),IFERROR(AM98/AM78,""),"")</f>
        <v>0.344714686623012</v>
      </c>
      <c r="AN107" s="30" t="n">
        <f aca="false">IF(AND(ISNUMBER(AN98),ISNUMBER(AN78)),IFERROR(AN98/AN78,""),"")</f>
        <v>0.378059071729958</v>
      </c>
      <c r="AO107" s="30" t="n">
        <f aca="false">IF(AND(ISNUMBER(AO98),ISNUMBER(AO78)),IFERROR(AO98/AO78,""),"")</f>
        <v>0.339407744874715</v>
      </c>
      <c r="AP107" s="30" t="n">
        <f aca="false">IF(AND(ISNUMBER(AP98),ISNUMBER(AP78)),IFERROR(AP98/AP78,""),"")</f>
        <v>0.357713828936851</v>
      </c>
      <c r="AQ107" s="30" t="n">
        <f aca="false">IF(AND(ISNUMBER(AQ98),ISNUMBER(AQ78)),IFERROR(AQ98/AQ78,""),"")</f>
        <v>0.37020316027088</v>
      </c>
      <c r="AR107" s="30" t="n">
        <f aca="false">IF(AND(ISNUMBER(AR98),ISNUMBER(AR78)),IFERROR(AR98/AR78,""),"")</f>
        <v>0.340494791666667</v>
      </c>
      <c r="AS107" s="30" t="n">
        <f aca="false">IF(AND(ISNUMBER(AS98),ISNUMBER(AS78)),IFERROR(AS98/AS78,""),"")</f>
        <v>0.354275741710297</v>
      </c>
      <c r="AT107" s="30" t="n">
        <f aca="false">IF(AND(ISNUMBER(AT98),ISNUMBER(AT78)),IFERROR(AT98/AT78,""),"")</f>
        <v>0.362199312714777</v>
      </c>
      <c r="AU107" s="30" t="n">
        <f aca="false">IF(AND(ISNUMBER(AU98),ISNUMBER(AU78)),IFERROR(AU98/AU78,""),"")</f>
        <v>0.353086419753086</v>
      </c>
      <c r="AV107" s="30" t="n">
        <f aca="false">IF(AND(ISNUMBER(AV98),ISNUMBER(AV78)),IFERROR(AV98/AV78,""),"")</f>
        <v>0.35739837398374</v>
      </c>
      <c r="AW107" s="30" t="n">
        <f aca="false">IF(AND(ISNUMBER(AW98),ISNUMBER(AW78)),IFERROR(AW98/AW78,""),"")</f>
        <v>0.366561514195584</v>
      </c>
      <c r="AX107" s="28"/>
      <c r="AY107" s="28"/>
      <c r="AZ107" s="28"/>
      <c r="BA107" s="28"/>
      <c r="BB107" s="28"/>
      <c r="BC107" s="28"/>
      <c r="BD107" s="23"/>
      <c r="BF107" s="32" t="str">
        <f aca="false">IFERROR(AVERAGE(AY107,AZ107,BA107,BB107,BC107),"n/m")</f>
        <v>n/m</v>
      </c>
      <c r="BG107" s="32" t="n">
        <f aca="false">IFERROR(AVERAGE(AJ107,AM107,AP107,AS107,AV107),"n/m")</f>
        <v>0.354151116099888</v>
      </c>
      <c r="BH107" s="32" t="n">
        <f aca="false">IFERROR(AVERAGE(U107,X107,AA107,AD107,AG107,AJ107,AM107,AP107,AS107,AV107),"n/m")</f>
        <v>0.338085379285354</v>
      </c>
      <c r="BI107" s="32" t="n">
        <f aca="false">IFERROR(AVERAGE(C107,D107,E107,F107,G107,H107,I107,L107,O107,R107,U107,X107,AA107,AD107,AG107,AJ107,AM107,AP107,AS107,AV107),"n/m")</f>
        <v>0.325438571017287</v>
      </c>
    </row>
    <row r="108" customFormat="false" ht="15" hidden="false" customHeight="true" outlineLevel="0" collapsed="false">
      <c r="B108" s="26" t="s">
        <v>173</v>
      </c>
      <c r="C108" s="30" t="str">
        <f aca="false">IF(AND(ISNUMBER(C99),ISNUMBER(C79)),IFERROR(C99/C79,""),"")</f>
        <v/>
      </c>
      <c r="D108" s="30" t="str">
        <f aca="false">IF(AND(ISNUMBER(D99),ISNUMBER(D79)),IFERROR(D99/D79,""),"")</f>
        <v/>
      </c>
      <c r="E108" s="30" t="str">
        <f aca="false">IF(AND(ISNUMBER(E99),ISNUMBER(E79)),IFERROR(E99/E79,""),"")</f>
        <v/>
      </c>
      <c r="F108" s="30" t="n">
        <f aca="false">IF(AND(ISNUMBER(F99),ISNUMBER(F79)),IFERROR(F99/F79,""),"")</f>
        <v>0.143695014662757</v>
      </c>
      <c r="G108" s="30" t="n">
        <f aca="false">IF(AND(ISNUMBER(G99),ISNUMBER(G79)),IFERROR(G99/G79,""),"")</f>
        <v>0.0990415335463259</v>
      </c>
      <c r="H108" s="30" t="n">
        <f aca="false">IF(AND(ISNUMBER(H99),ISNUMBER(H79)),IFERROR(H99/H79,""),"")</f>
        <v>0.014018691588785</v>
      </c>
      <c r="I108" s="30" t="n">
        <f aca="false">IF(AND(ISNUMBER(I99),ISNUMBER(I79)),IFERROR(I99/I79,""),"")</f>
        <v>0.0608365019011407</v>
      </c>
      <c r="J108" s="30" t="n">
        <f aca="false">IF(AND(ISNUMBER(J99),ISNUMBER(J79)),IFERROR(J99/J79,""),"")</f>
        <v>0.256172839506173</v>
      </c>
      <c r="K108" s="30" t="n">
        <f aca="false">IF(AND(ISNUMBER(K99),ISNUMBER(K79)),IFERROR(K99/K79,""),"")</f>
        <v>0.109792284866469</v>
      </c>
      <c r="L108" s="30" t="n">
        <f aca="false">IF(AND(ISNUMBER(L99),ISNUMBER(L79)),IFERROR(L99/L79,""),"")</f>
        <v>0.181543116490166</v>
      </c>
      <c r="M108" s="30" t="n">
        <f aca="false">IF(AND(ISNUMBER(M99),ISNUMBER(M79)),IFERROR(M99/M79,""),"")</f>
        <v>0.2890625</v>
      </c>
      <c r="N108" s="30" t="n">
        <f aca="false">IF(AND(ISNUMBER(N99),ISNUMBER(N79)),IFERROR(N99/N79,""),"")</f>
        <v>0.174515235457064</v>
      </c>
      <c r="O108" s="30" t="n">
        <f aca="false">IF(AND(ISNUMBER(O99),ISNUMBER(O79)),IFERROR(O99/O79,""),"")</f>
        <v>0.233557046979866</v>
      </c>
      <c r="P108" s="30" t="n">
        <f aca="false">IF(AND(ISNUMBER(P99),ISNUMBER(P79)),IFERROR(P99/P79,""),"")</f>
        <v>0.258397932816537</v>
      </c>
      <c r="Q108" s="30" t="n">
        <f aca="false">IF(AND(ISNUMBER(Q99),ISNUMBER(Q79)),IFERROR(Q99/Q79,""),"")</f>
        <v>0.139130434782609</v>
      </c>
      <c r="R108" s="30" t="n">
        <f aca="false">IF(AND(ISNUMBER(R99),ISNUMBER(R79)),IFERROR(R99/R79,""),"")</f>
        <v>0.202185792349727</v>
      </c>
      <c r="S108" s="30" t="n">
        <f aca="false">IF(AND(ISNUMBER(S99),ISNUMBER(S79)),IFERROR(S99/S79,""),"")</f>
        <v>0.223433242506812</v>
      </c>
      <c r="T108" s="30" t="n">
        <f aca="false">IF(AND(ISNUMBER(T99),ISNUMBER(T79)),IFERROR(T99/T79,""),"")</f>
        <v>0.1475</v>
      </c>
      <c r="U108" s="30" t="n">
        <f aca="false">IF(AND(ISNUMBER(U99),ISNUMBER(U79)),IFERROR(U99/U79,""),"")</f>
        <v>0.183833116036506</v>
      </c>
      <c r="V108" s="30" t="n">
        <f aca="false">IF(AND(ISNUMBER(V99),ISNUMBER(V79)),IFERROR(V99/V79,""),"")</f>
        <v>0.158898305084746</v>
      </c>
      <c r="W108" s="30" t="n">
        <f aca="false">IF(AND(ISNUMBER(W99),ISNUMBER(W79)),IFERROR(W99/W79,""),"")</f>
        <v>0.116591928251121</v>
      </c>
      <c r="X108" s="30" t="n">
        <f aca="false">IF(AND(ISNUMBER(X99),ISNUMBER(X79)),IFERROR(X99/X79,""),"")</f>
        <v>0.138344226579521</v>
      </c>
      <c r="Y108" s="30" t="n">
        <f aca="false">IF(AND(ISNUMBER(Y99),ISNUMBER(Y79)),IFERROR(Y99/Y79,""),"")</f>
        <v>0.162408759124088</v>
      </c>
      <c r="Z108" s="30" t="n">
        <f aca="false">IF(AND(ISNUMBER(Z99),ISNUMBER(Z79)),IFERROR(Z99/Z79,""),"")</f>
        <v>0.0806754221388368</v>
      </c>
      <c r="AA108" s="30" t="n">
        <f aca="false">IF(AND(ISNUMBER(AA99),ISNUMBER(AA79)),IFERROR(AA99/AA79,""),"")</f>
        <v>0.122109158186864</v>
      </c>
      <c r="AB108" s="30" t="n">
        <f aca="false">IF(AND(ISNUMBER(AB99),ISNUMBER(AB79)),IFERROR(AB99/AB79,""),"")</f>
        <v>0.224458204334365</v>
      </c>
      <c r="AC108" s="30" t="n">
        <f aca="false">IF(AND(ISNUMBER(AC99),ISNUMBER(AC79)),IFERROR(AC99/AC79,""),"")</f>
        <v>0.348375451263538</v>
      </c>
      <c r="AD108" s="30" t="n">
        <f aca="false">IF(AND(ISNUMBER(AD99),ISNUMBER(AD79)),IFERROR(AD99/AD79,""),"")</f>
        <v>0.281666666666667</v>
      </c>
      <c r="AE108" s="30" t="n">
        <f aca="false">IF(AND(ISNUMBER(AE99),ISNUMBER(AE79)),IFERROR(AE99/AE79,""),"")</f>
        <v>0.19047619047619</v>
      </c>
      <c r="AF108" s="30" t="n">
        <f aca="false">IF(AND(ISNUMBER(AF99),ISNUMBER(AF79)),IFERROR(AF99/AF79,""),"")</f>
        <v>0.252730109204368</v>
      </c>
      <c r="AG108" s="30" t="n">
        <f aca="false">IF(AND(ISNUMBER(AG99),ISNUMBER(AG79)),IFERROR(AG99/AG79,""),"")</f>
        <v>0.22735674676525</v>
      </c>
      <c r="AH108" s="30" t="n">
        <f aca="false">IF(AND(ISNUMBER(AH99),ISNUMBER(AH79)),IFERROR(AH99/AH79,""),"")</f>
        <v>0.325637910085055</v>
      </c>
      <c r="AI108" s="30" t="n">
        <f aca="false">IF(AND(ISNUMBER(AI99),ISNUMBER(AI79)),IFERROR(AI99/AI79,""),"")</f>
        <v>0.233378561736771</v>
      </c>
      <c r="AJ108" s="30" t="n">
        <f aca="false">IF(AND(ISNUMBER(AJ99),ISNUMBER(AJ79)),IFERROR(AJ99/AJ79,""),"")</f>
        <v>0.282051282051282</v>
      </c>
      <c r="AK108" s="30" t="n">
        <f aca="false">IF(AND(ISNUMBER(AK99),ISNUMBER(AK79)),IFERROR(AK99/AK79,""),"")</f>
        <v>0.311320754716981</v>
      </c>
      <c r="AL108" s="30" t="n">
        <f aca="false">IF(AND(ISNUMBER(AL99),ISNUMBER(AL79)),IFERROR(AL99/AL79,""),"")</f>
        <v>0.247524752475248</v>
      </c>
      <c r="AM108" s="30" t="n">
        <f aca="false">IF(AND(ISNUMBER(AM99),ISNUMBER(AM79)),IFERROR(AM99/AM79,""),"")</f>
        <v>0.280193236714976</v>
      </c>
      <c r="AN108" s="30" t="n">
        <f aca="false">IF(AND(ISNUMBER(AN99),ISNUMBER(AN79)),IFERROR(AN99/AN79,""),"")</f>
        <v>0.291390728476821</v>
      </c>
      <c r="AO108" s="30" t="n">
        <f aca="false">IF(AND(ISNUMBER(AO99),ISNUMBER(AO79)),IFERROR(AO99/AO79,""),"")</f>
        <v>0.304054054054054</v>
      </c>
      <c r="AP108" s="30" t="n">
        <f aca="false">IF(AND(ISNUMBER(AP99),ISNUMBER(AP79)),IFERROR(AP99/AP79,""),"")</f>
        <v>0.297658862876254</v>
      </c>
      <c r="AQ108" s="30" t="n">
        <f aca="false">IF(AND(ISNUMBER(AQ99),ISNUMBER(AQ79)),IFERROR(AQ99/AQ79,""),"")</f>
        <v>0.347266881028939</v>
      </c>
      <c r="AR108" s="30" t="n">
        <f aca="false">IF(AND(ISNUMBER(AR99),ISNUMBER(AR79)),IFERROR(AR99/AR79,""),"")</f>
        <v>0.348101265822785</v>
      </c>
      <c r="AS108" s="30" t="n">
        <f aca="false">IF(AND(ISNUMBER(AS99),ISNUMBER(AS79)),IFERROR(AS99/AS79,""),"")</f>
        <v>0.347687400318979</v>
      </c>
      <c r="AT108" s="30" t="n">
        <f aca="false">IF(AND(ISNUMBER(AT99),ISNUMBER(AT79)),IFERROR(AT99/AT79,""),"")</f>
        <v>0.411602209944751</v>
      </c>
      <c r="AU108" s="30" t="n">
        <f aca="false">IF(AND(ISNUMBER(AU99),ISNUMBER(AU79)),IFERROR(AU99/AU79,""),"")</f>
        <v>0.355223880597015</v>
      </c>
      <c r="AV108" s="30" t="n">
        <f aca="false">IF(AND(ISNUMBER(AV99),ISNUMBER(AV79)),IFERROR(AV99/AV79,""),"")</f>
        <v>0.384505021520803</v>
      </c>
      <c r="AW108" s="30" t="n">
        <f aca="false">IF(AND(ISNUMBER(AW99),ISNUMBER(AW79)),IFERROR(AW99/AW79,""),"")</f>
        <v>0.387878787878788</v>
      </c>
      <c r="AX108" s="28"/>
      <c r="AY108" s="28"/>
      <c r="AZ108" s="28"/>
      <c r="BA108" s="28"/>
      <c r="BB108" s="28"/>
      <c r="BC108" s="28"/>
      <c r="BD108" s="23"/>
      <c r="BF108" s="32" t="str">
        <f aca="false">IFERROR(AVERAGE(AY108,AZ108,BA108,BB108,BC108),"n/m")</f>
        <v>n/m</v>
      </c>
      <c r="BG108" s="32" t="n">
        <f aca="false">IFERROR(AVERAGE(AJ108,AM108,AP108,AS108,AV108),"n/m")</f>
        <v>0.318419160696459</v>
      </c>
      <c r="BH108" s="32" t="n">
        <f aca="false">IFERROR(AVERAGE(U108,X108,AA108,AD108,AG108,AJ108,AM108,AP108,AS108,AV108),"n/m")</f>
        <v>0.25454057177171</v>
      </c>
      <c r="BI108" s="32" t="n">
        <f aca="false">IFERROR(AVERAGE(C108,D108,E108,F108,G108,H108,I108,L108,O108,R108,U108,X108,AA108,AD108,AG108,AJ108,AM108,AP108,AS108,AV108),"n/m")</f>
        <v>0.204722553837404</v>
      </c>
    </row>
    <row r="109" customFormat="false" ht="15" hidden="false" customHeight="true" outlineLevel="0" collapsed="false">
      <c r="B109" s="13"/>
      <c r="AX109" s="7"/>
      <c r="AY109" s="7"/>
      <c r="AZ109" s="7"/>
      <c r="BA109" s="7"/>
      <c r="BB109" s="7"/>
      <c r="BC109" s="7"/>
      <c r="BD109" s="7"/>
    </row>
    <row r="110" customFormat="false" ht="15" hidden="false" customHeight="true" outlineLevel="0" collapsed="false">
      <c r="B110" s="17" t="s">
        <v>174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8" t="s">
        <v>175</v>
      </c>
    </row>
    <row r="111" customFormat="false" ht="15" hidden="false" customHeight="true" outlineLevel="0" collapsed="false">
      <c r="B111" s="26" t="s">
        <v>176</v>
      </c>
      <c r="C111" s="30" t="str">
        <f aca="false">IF(AND(ISNUMBER(C121),ISNUMBER(C119)),IFERROR(C121/C119,""),"")</f>
        <v/>
      </c>
      <c r="D111" s="30" t="str">
        <f aca="false">IF(AND(ISNUMBER(D121),ISNUMBER(D119)),IFERROR(D121/D119,""),"")</f>
        <v/>
      </c>
      <c r="E111" s="30" t="str">
        <f aca="false">IF(AND(ISNUMBER(E121),ISNUMBER(E119)),IFERROR(E121/E119,""),"")</f>
        <v/>
      </c>
      <c r="F111" s="30" t="n">
        <f aca="false">IF(AND(ISNUMBER(F121),ISNUMBER(F119)),IFERROR(F121/F119,""),"")</f>
        <v>0.633443034007209</v>
      </c>
      <c r="G111" s="30" t="n">
        <f aca="false">IF(AND(ISNUMBER(G121),ISNUMBER(G119)),IFERROR(G121/G119,""),"")</f>
        <v>0.660529823392203</v>
      </c>
      <c r="H111" s="30" t="n">
        <f aca="false">IF(AND(ISNUMBER(H121),ISNUMBER(H119)),IFERROR(H121/H119,""),"")</f>
        <v>0.688019146839364</v>
      </c>
      <c r="I111" s="30" t="n">
        <f aca="false">IF(AND(ISNUMBER(I121),ISNUMBER(I119)),IFERROR(I121/I119,""),"")</f>
        <v>0.681180218707844</v>
      </c>
      <c r="J111" s="30" t="n">
        <f aca="false">IF(AND(ISNUMBER(J121),ISNUMBER(J119)),IFERROR(J121/J119,""),"")</f>
        <v>0.686509732910819</v>
      </c>
      <c r="K111" s="30" t="n">
        <f aca="false">IF(AND(ISNUMBER(K121),ISNUMBER(K119)),IFERROR(K121/K119,""),"")</f>
        <v>0.689927550815053</v>
      </c>
      <c r="L111" s="30" t="n">
        <f aca="false">IF(AND(ISNUMBER(L121),ISNUMBER(L119)),IFERROR(L121/L119,""),"")</f>
        <v>0.688318951741771</v>
      </c>
      <c r="M111" s="30" t="n">
        <f aca="false">IF(AND(ISNUMBER(M121),ISNUMBER(M119)),IFERROR(M121/M119,""),"")</f>
        <v>0.680895694582831</v>
      </c>
      <c r="N111" s="30" t="n">
        <f aca="false">IF(AND(ISNUMBER(N121),ISNUMBER(N119)),IFERROR(N121/N119,""),"")</f>
        <v>0.657684134376272</v>
      </c>
      <c r="O111" s="30" t="n">
        <f aca="false">IF(AND(ISNUMBER(O121),ISNUMBER(O119)),IFERROR(O121/O119,""),"")</f>
        <v>0.668431020249599</v>
      </c>
      <c r="P111" s="30" t="n">
        <f aca="false">IF(AND(ISNUMBER(P121),ISNUMBER(P119)),IFERROR(P121/P119,""),"")</f>
        <v>0.664869096285988</v>
      </c>
      <c r="Q111" s="30" t="n">
        <f aca="false">IF(AND(ISNUMBER(Q121),ISNUMBER(Q119)),IFERROR(Q121/Q119,""),"")</f>
        <v>0.656948378973875</v>
      </c>
      <c r="R111" s="30" t="n">
        <f aca="false">IF(AND(ISNUMBER(R121),ISNUMBER(R119)),IFERROR(R121/R119,""),"")</f>
        <v>0.660710596984094</v>
      </c>
      <c r="S111" s="30" t="n">
        <f aca="false">IF(AND(ISNUMBER(S121),ISNUMBER(S119)),IFERROR(S121/S119,""),"")</f>
        <v>0.684355023766596</v>
      </c>
      <c r="T111" s="30" t="n">
        <f aca="false">IF(AND(ISNUMBER(T121),ISNUMBER(T119)),IFERROR(T121/T119,""),"")</f>
        <v>0.669925410963864</v>
      </c>
      <c r="U111" s="30" t="n">
        <f aca="false">IF(AND(ISNUMBER(U121),ISNUMBER(U119)),IFERROR(U121/U119,""),"")</f>
        <v>0.676694475414248</v>
      </c>
      <c r="V111" s="30" t="n">
        <f aca="false">IF(AND(ISNUMBER(V121),ISNUMBER(V119)),IFERROR(V121/V119,""),"")</f>
        <v>0.701485385721131</v>
      </c>
      <c r="W111" s="30" t="n">
        <f aca="false">IF(AND(ISNUMBER(W121),ISNUMBER(W119)),IFERROR(W121/W119,""),"")</f>
        <v>0.700504213532668</v>
      </c>
      <c r="X111" s="30" t="n">
        <f aca="false">IF(AND(ISNUMBER(X121),ISNUMBER(X119)),IFERROR(X121/X119,""),"")</f>
        <v>0.700983925610899</v>
      </c>
      <c r="Y111" s="30" t="n">
        <f aca="false">IF(AND(ISNUMBER(Y121),ISNUMBER(Y119)),IFERROR(Y121/Y119,""),"")</f>
        <v>0.698885540057475</v>
      </c>
      <c r="Z111" s="30" t="n">
        <f aca="false">IF(AND(ISNUMBER(Z121),ISNUMBER(Z119)),IFERROR(Z121/Z119,""),"")</f>
        <v>0.700645741639092</v>
      </c>
      <c r="AA111" s="30" t="n">
        <f aca="false">IF(AND(ISNUMBER(AA121),ISNUMBER(AA119)),IFERROR(AA121/AA119,""),"")</f>
        <v>0.699803891989742</v>
      </c>
      <c r="AB111" s="30" t="n">
        <f aca="false">IF(AND(ISNUMBER(AB121),ISNUMBER(AB119)),IFERROR(AB121/AB119,""),"")</f>
        <v>0.686651239266793</v>
      </c>
      <c r="AC111" s="30" t="n">
        <f aca="false">IF(AND(ISNUMBER(AC121),ISNUMBER(AC119)),IFERROR(AC121/AC119,""),"")</f>
        <v>0.695543454100911</v>
      </c>
      <c r="AD111" s="30" t="n">
        <f aca="false">IF(AND(ISNUMBER(AD121),ISNUMBER(AD119)),IFERROR(AD121/AD119,""),"")</f>
        <v>0.691300810645902</v>
      </c>
      <c r="AE111" s="30" t="n">
        <f aca="false">IF(AND(ISNUMBER(AE121),ISNUMBER(AE119)),IFERROR(AE121/AE119,""),"")</f>
        <v>0.650040192926045</v>
      </c>
      <c r="AF111" s="30" t="n">
        <f aca="false">IF(AND(ISNUMBER(AF121),ISNUMBER(AF119)),IFERROR(AF121/AF119,""),"")</f>
        <v>0.707130773568463</v>
      </c>
      <c r="AG111" s="30" t="n">
        <f aca="false">IF(AND(ISNUMBER(AG121),ISNUMBER(AG119)),IFERROR(AG121/AG119,""),"")</f>
        <v>0.684899990609447</v>
      </c>
      <c r="AH111" s="30" t="n">
        <f aca="false">IF(AND(ISNUMBER(AH121),ISNUMBER(AH119)),IFERROR(AH121/AH119,""),"")</f>
        <v>0.714953602040094</v>
      </c>
      <c r="AI111" s="30" t="n">
        <f aca="false">IF(AND(ISNUMBER(AI121),ISNUMBER(AI119)),IFERROR(AI121/AI119,""),"")</f>
        <v>0.71080073311003</v>
      </c>
      <c r="AJ111" s="30" t="n">
        <f aca="false">IF(AND(ISNUMBER(AJ121),ISNUMBER(AJ119)),IFERROR(AJ121/AJ119,""),"")</f>
        <v>0.712758851035404</v>
      </c>
      <c r="AK111" s="30" t="n">
        <f aca="false">IF(AND(ISNUMBER(AK121),ISNUMBER(AK119)),IFERROR(AK121/AK119,""),"")</f>
        <v>0.710319634703196</v>
      </c>
      <c r="AL111" s="30" t="n">
        <f aca="false">IF(AND(ISNUMBER(AL121),ISNUMBER(AL119)),IFERROR(AL121/AL119,""),"")</f>
        <v>0.705728741635384</v>
      </c>
      <c r="AM111" s="30" t="n">
        <f aca="false">IF(AND(ISNUMBER(AM121),ISNUMBER(AM119)),IFERROR(AM121/AM119,""),"")</f>
        <v>0.707895190484399</v>
      </c>
      <c r="AN111" s="30" t="n">
        <f aca="false">IF(AND(ISNUMBER(AN121),ISNUMBER(AN119)),IFERROR(AN121/AN119,""),"")</f>
        <v>0.721857270827113</v>
      </c>
      <c r="AO111" s="30" t="n">
        <f aca="false">IF(AND(ISNUMBER(AO121),ISNUMBER(AO119)),IFERROR(AO121/AO119,""),"")</f>
        <v>0.724030316540348</v>
      </c>
      <c r="AP111" s="30" t="n">
        <f aca="false">IF(AND(ISNUMBER(AP121),ISNUMBER(AP119)),IFERROR(AP121/AP119,""),"")</f>
        <v>0.722946302226856</v>
      </c>
      <c r="AQ111" s="30" t="n">
        <f aca="false">IF(AND(ISNUMBER(AQ121),ISNUMBER(AQ119)),IFERROR(AQ121/AQ119,""),"")</f>
        <v>0.706023454157783</v>
      </c>
      <c r="AR111" s="30" t="n">
        <f aca="false">IF(AND(ISNUMBER(AR121),ISNUMBER(AR119)),IFERROR(AR121/AR119,""),"")</f>
        <v>0.6993216801461</v>
      </c>
      <c r="AS111" s="30" t="n">
        <f aca="false">IF(AND(ISNUMBER(AS121),ISNUMBER(AS119)),IFERROR(AS121/AS119,""),"")</f>
        <v>0.702636783124588</v>
      </c>
      <c r="AT111" s="30" t="n">
        <f aca="false">IF(AND(ISNUMBER(AT121),ISNUMBER(AT119)),IFERROR(AT121/AT119,""),"")</f>
        <v>0.706746328105551</v>
      </c>
      <c r="AU111" s="30" t="n">
        <f aca="false">IF(AND(ISNUMBER(AU121),ISNUMBER(AU119)),IFERROR(AU121/AU119,""),"")</f>
        <v>0.715486947791165</v>
      </c>
      <c r="AV111" s="30" t="n">
        <f aca="false">IF(AND(ISNUMBER(AV121),ISNUMBER(AV119)),IFERROR(AV121/AV119,""),"")</f>
        <v>0.711098612673416</v>
      </c>
      <c r="AW111" s="30" t="n">
        <f aca="false">IF(AND(ISNUMBER(AW121),ISNUMBER(AW119)),IFERROR(AW121/AW119,""),"")</f>
        <v>0.711380619870146</v>
      </c>
      <c r="AX111" s="28" t="n">
        <f aca="false">CHOOSE(MATCH($BD$2,{"Bull","Base","Bear"},0),$BM$61,$BN$61,$BO$61)</f>
        <v>0.713</v>
      </c>
      <c r="AY111" s="28" t="n">
        <f aca="false">IF(AND(ISNUMBER(AY121),ISNUMBER(AY119)),IFERROR(AY121/AY119,""),"")</f>
        <v>0.71219430681679</v>
      </c>
      <c r="AZ111" s="28" t="n">
        <f aca="false">CHOOSE(MATCH($BD$2,{"Bull","Base","Bear"},0),$BM$62,$BN$62,$BO$62)</f>
        <v>0.712</v>
      </c>
      <c r="BA111" s="28" t="n">
        <f aca="false">CHOOSE(MATCH($BD$2,{"Bull","Base","Bear"},0),$BM$63,$BN$63,$BO$63)</f>
        <v>0.713</v>
      </c>
      <c r="BB111" s="28" t="n">
        <f aca="false">CHOOSE(MATCH($BD$2,{"Bull","Base","Bear"},0),$BM$64,$BN$64,$BO$64)</f>
        <v>0.714</v>
      </c>
      <c r="BC111" s="28" t="n">
        <f aca="false">CHOOSE(MATCH($BD$2,{"Bull","Base","Bear"},0),$BM$65,$BN$65,$BO$65)</f>
        <v>0.714</v>
      </c>
      <c r="BD111" s="23" t="s">
        <v>177</v>
      </c>
      <c r="BF111" s="32" t="n">
        <f aca="false">IFERROR(AVERAGE(AY111,AZ111,BA111,BB111,BC111),"n/m")</f>
        <v>0.713038861363358</v>
      </c>
      <c r="BG111" s="32" t="n">
        <f aca="false">IFERROR(AVERAGE(AJ111,AM111,AP111,AS111,AV111),"n/m")</f>
        <v>0.711467147908933</v>
      </c>
      <c r="BH111" s="32" t="n">
        <f aca="false">IFERROR(AVERAGE(U111,X111,AA111,AD111,AG111,AJ111,AM111,AP111,AS111,AV111),"n/m")</f>
        <v>0.70110188338149</v>
      </c>
      <c r="BI111" s="32" t="n">
        <f aca="false">IFERROR(AVERAGE(C111,D111,E111,F111,G111,H111,I111,L111,O111,R111,U111,X111,AA111,AD111,AG111,AJ111,AM111,AP111,AS111,AV111),"n/m")</f>
        <v>0.687744213278646</v>
      </c>
    </row>
    <row r="112" customFormat="false" ht="15" hidden="false" customHeight="true" outlineLevel="0" collapsed="false">
      <c r="B112" s="26" t="s">
        <v>178</v>
      </c>
      <c r="C112" s="30" t="n">
        <f aca="false">IF(AND(ISNUMBER(C124),ISNUMBER(C119)),IFERROR(C124/C119,""),"")</f>
        <v>0.264769951812001</v>
      </c>
      <c r="D112" s="30" t="n">
        <f aca="false">IF(AND(ISNUMBER(D124),ISNUMBER(D119)),IFERROR(D124/D119,""),"")</f>
        <v>0.255061227001415</v>
      </c>
      <c r="E112" s="30" t="n">
        <f aca="false">IF(AND(ISNUMBER(E124),ISNUMBER(E119)),IFERROR(E124/E119,""),"")</f>
        <v>0.25456194038309</v>
      </c>
      <c r="F112" s="30" t="n">
        <f aca="false">IF(AND(ISNUMBER(F124),ISNUMBER(F119)),IFERROR(F124/F119,""),"")</f>
        <v>0.241811628271431</v>
      </c>
      <c r="G112" s="30" t="n">
        <f aca="false">IF(AND(ISNUMBER(G124),ISNUMBER(G119)),IFERROR(G124/G119,""),"")</f>
        <v>0.278323892035988</v>
      </c>
      <c r="H112" s="30" t="n">
        <f aca="false">IF(AND(ISNUMBER(H124),ISNUMBER(H119)),IFERROR(H124/H119,""),"")</f>
        <v>0.311558496409968</v>
      </c>
      <c r="I112" s="30" t="n">
        <f aca="false">IF(AND(ISNUMBER(I124),ISNUMBER(I119)),IFERROR(I124/I119,""),"")</f>
        <v>0.321087224821331</v>
      </c>
      <c r="J112" s="30" t="n">
        <f aca="false">IF(AND(ISNUMBER(J124),ISNUMBER(J119)),IFERROR(J124/J119,""),"")</f>
        <v>0.330522861023087</v>
      </c>
      <c r="K112" s="30" t="n">
        <f aca="false">IF(AND(ISNUMBER(K124),ISNUMBER(K119)),IFERROR(K124/K119,""),"")</f>
        <v>0.319027973435299</v>
      </c>
      <c r="L112" s="30" t="n">
        <f aca="false">IF(AND(ISNUMBER(L124),ISNUMBER(L119)),IFERROR(L124/L119,""),"")</f>
        <v>0.324438052625972</v>
      </c>
      <c r="M112" s="30" t="n">
        <f aca="false">IF(AND(ISNUMBER(M124),ISNUMBER(M119)),IFERROR(M124/M119,""),"")</f>
        <v>0.325869211809744</v>
      </c>
      <c r="N112" s="30" t="n">
        <f aca="false">IF(AND(ISNUMBER(N124),ISNUMBER(N119)),IFERROR(N124/N119,""),"")</f>
        <v>0.306506307365375</v>
      </c>
      <c r="O112" s="30" t="n">
        <f aca="false">IF(AND(ISNUMBER(O124),ISNUMBER(O119)),IFERROR(O124/O119,""),"")</f>
        <v>0.315471276647405</v>
      </c>
      <c r="P112" s="30" t="n">
        <f aca="false">IF(AND(ISNUMBER(P124),ISNUMBER(P119)),IFERROR(P124/P119,""),"")</f>
        <v>0.325389231973558</v>
      </c>
      <c r="Q112" s="30" t="n">
        <f aca="false">IF(AND(ISNUMBER(Q124),ISNUMBER(Q119)),IFERROR(Q124/Q119,""),"")</f>
        <v>0.311811457349701</v>
      </c>
      <c r="R112" s="30" t="n">
        <f aca="false">IF(AND(ISNUMBER(R124),ISNUMBER(R119)),IFERROR(R124/R119,""),"")</f>
        <v>0.318260689940095</v>
      </c>
      <c r="S112" s="30" t="n">
        <f aca="false">IF(AND(ISNUMBER(S124),ISNUMBER(S119)),IFERROR(S124/S119,""),"")</f>
        <v>0.338796918537945</v>
      </c>
      <c r="T112" s="30" t="n">
        <f aca="false">IF(AND(ISNUMBER(T124),ISNUMBER(T119)),IFERROR(T124/T119,""),"")</f>
        <v>0.314903323919183</v>
      </c>
      <c r="U112" s="30" t="n">
        <f aca="false">IF(AND(ISNUMBER(U124),ISNUMBER(U119)),IFERROR(U124/U119,""),"")</f>
        <v>0.32611202952597</v>
      </c>
      <c r="V112" s="30" t="n">
        <f aca="false">IF(AND(ISNUMBER(V124),ISNUMBER(V119)),IFERROR(V124/V119,""),"")</f>
        <v>0.343260476945192</v>
      </c>
      <c r="W112" s="30" t="n">
        <f aca="false">IF(AND(ISNUMBER(W124),ISNUMBER(W119)),IFERROR(W124/W119,""),"")</f>
        <v>0.349317725044956</v>
      </c>
      <c r="X112" s="30" t="n">
        <f aca="false">IF(AND(ISNUMBER(X124),ISNUMBER(X119)),IFERROR(X124/X119,""),"")</f>
        <v>0.346356231528869</v>
      </c>
      <c r="Y112" s="30" t="n">
        <f aca="false">IF(AND(ISNUMBER(Y124),ISNUMBER(Y119)),IFERROR(Y124/Y119,""),"")</f>
        <v>0.345062031260952</v>
      </c>
      <c r="Z112" s="30" t="n">
        <f aca="false">IF(AND(ISNUMBER(Z124),ISNUMBER(Z119)),IFERROR(Z124/Z119,""),"")</f>
        <v>0.34066887268288</v>
      </c>
      <c r="AA112" s="30" t="n">
        <f aca="false">IF(AND(ISNUMBER(AA124),ISNUMBER(AA119)),IFERROR(AA124/AA119,""),"")</f>
        <v>0.342769983741473</v>
      </c>
      <c r="AB112" s="30" t="n">
        <f aca="false">IF(AND(ISNUMBER(AB124),ISNUMBER(AB119)),IFERROR(AB124/AB119,""),"")</f>
        <v>0.348304000974362</v>
      </c>
      <c r="AC112" s="30" t="n">
        <f aca="false">IF(AND(ISNUMBER(AC124),ISNUMBER(AC119)),IFERROR(AC124/AC119,""),"")</f>
        <v>0.331990442320516</v>
      </c>
      <c r="AD112" s="30" t="n">
        <f aca="false">IF(AND(ISNUMBER(AD124),ISNUMBER(AD119)),IFERROR(AD124/AD119,""),"")</f>
        <v>0.339773948920592</v>
      </c>
      <c r="AE112" s="30" t="n">
        <f aca="false">IF(AND(ISNUMBER(AE124),ISNUMBER(AE119)),IFERROR(AE124/AE119,""),"")</f>
        <v>0.214871382636656</v>
      </c>
      <c r="AF112" s="30" t="n">
        <f aca="false">IF(AND(ISNUMBER(AF124),ISNUMBER(AF119)),IFERROR(AF124/AF119,""),"")</f>
        <v>0.370841236479213</v>
      </c>
      <c r="AG112" s="30" t="n">
        <f aca="false">IF(AND(ISNUMBER(AG124),ISNUMBER(AG119)),IFERROR(AG124/AG119,""),"")</f>
        <v>0.310107365323818</v>
      </c>
      <c r="AH112" s="30" t="n">
        <f aca="false">IF(AND(ISNUMBER(AH124),ISNUMBER(AH119)),IFERROR(AH124/AH119,""),"")</f>
        <v>0.406554744870251</v>
      </c>
      <c r="AI112" s="30" t="n">
        <f aca="false">IF(AND(ISNUMBER(AI124),ISNUMBER(AI119)),IFERROR(AI124/AI119,""),"")</f>
        <v>0.381132949925214</v>
      </c>
      <c r="AJ112" s="30" t="n">
        <f aca="false">IF(AND(ISNUMBER(AJ124),ISNUMBER(AJ119)),IFERROR(AJ124/AJ119,""),"")</f>
        <v>0.39311957247829</v>
      </c>
      <c r="AK112" s="30" t="n">
        <f aca="false">IF(AND(ISNUMBER(AK124),ISNUMBER(AK119)),IFERROR(AK124/AK119,""),"")</f>
        <v>0.421004566210046</v>
      </c>
      <c r="AL112" s="30" t="n">
        <f aca="false">IF(AND(ISNUMBER(AL124),ISNUMBER(AL119)),IFERROR(AL124/AL119,""),"")</f>
        <v>0.390403133670638</v>
      </c>
      <c r="AM112" s="30" t="n">
        <f aca="false">IF(AND(ISNUMBER(AM124),ISNUMBER(AM119)),IFERROR(AM124/AM119,""),"")</f>
        <v>0.404843992415101</v>
      </c>
      <c r="AN112" s="30" t="n">
        <f aca="false">IF(AND(ISNUMBER(AN124),ISNUMBER(AN119)),IFERROR(AN124/AN119,""),"")</f>
        <v>0.43998208420424</v>
      </c>
      <c r="AO112" s="30" t="n">
        <f aca="false">IF(AND(ISNUMBER(AO124),ISNUMBER(AO119)),IFERROR(AO124/AO119,""),"")</f>
        <v>0.401545549115768</v>
      </c>
      <c r="AP112" s="30" t="n">
        <f aca="false">IF(AND(ISNUMBER(AP124),ISNUMBER(AP119)),IFERROR(AP124/AP119,""),"")</f>
        <v>0.420719445892604</v>
      </c>
      <c r="AQ112" s="30" t="n">
        <f aca="false">IF(AND(ISNUMBER(AQ124),ISNUMBER(AQ119)),IFERROR(AQ124/AQ119,""),"")</f>
        <v>0.419642857142857</v>
      </c>
      <c r="AR112" s="30" t="n">
        <f aca="false">IF(AND(ISNUMBER(AR124),ISNUMBER(AR119)),IFERROR(AR124/AR119,""),"")</f>
        <v>0.391207931124446</v>
      </c>
      <c r="AS112" s="30" t="n">
        <f aca="false">IF(AND(ISNUMBER(AS124),ISNUMBER(AS119)),IFERROR(AS124/AS119,""),"")</f>
        <v>0.405273566249176</v>
      </c>
      <c r="AT112" s="30" t="n">
        <f aca="false">IF(AND(ISNUMBER(AT124),ISNUMBER(AT119)),IFERROR(AT124/AT119,""),"")</f>
        <v>0.41411501120239</v>
      </c>
      <c r="AU112" s="30" t="n">
        <f aca="false">IF(AND(ISNUMBER(AU124),ISNUMBER(AU119)),IFERROR(AU124/AU119,""),"")</f>
        <v>0.406877510040161</v>
      </c>
      <c r="AV112" s="30" t="n">
        <f aca="false">IF(AND(ISNUMBER(AV124),ISNUMBER(AV119)),IFERROR(AV124/AV119,""),"")</f>
        <v>0.410511186101737</v>
      </c>
      <c r="AW112" s="30" t="n">
        <f aca="false">IF(AND(ISNUMBER(AW124),ISNUMBER(AW119)),IFERROR(AW124/AW119,""),"")</f>
        <v>0.410388337620973</v>
      </c>
      <c r="AX112" s="28" t="n">
        <f aca="false">CHOOSE(MATCH($BD$2,{"Bull","Base","Bear"},0),$BM$67,$BN$67,$BO$67)</f>
        <v>0.402</v>
      </c>
      <c r="AY112" s="28" t="n">
        <f aca="false">IF(AND(ISNUMBER(AY124),ISNUMBER(AY119)),IFERROR(AY124/AY119,""),"")</f>
        <v>0.406173465090184</v>
      </c>
      <c r="AZ112" s="28" t="n">
        <f aca="false">CHOOSE(MATCH($BD$2,{"Bull","Base","Bear"},0),$BM$68,$BN$68,$BO$68)</f>
        <v>0.405</v>
      </c>
      <c r="BA112" s="28" t="n">
        <f aca="false">CHOOSE(MATCH($BD$2,{"Bull","Base","Bear"},0),$BM$69,$BN$69,$BO$69)</f>
        <v>0.408</v>
      </c>
      <c r="BB112" s="28" t="n">
        <f aca="false">CHOOSE(MATCH($BD$2,{"Bull","Base","Bear"},0),$BM$70,$BN$70,$BO$70)</f>
        <v>0.41</v>
      </c>
      <c r="BC112" s="28" t="n">
        <f aca="false">CHOOSE(MATCH($BD$2,{"Bull","Base","Bear"},0),$BM$71,$BN$71,$BO$71)</f>
        <v>0.41</v>
      </c>
      <c r="BD112" s="23" t="s">
        <v>179</v>
      </c>
      <c r="BF112" s="32" t="n">
        <f aca="false">IFERROR(AVERAGE(AY112,AZ112,BA112,BB112,BC112),"n/m")</f>
        <v>0.407834693018037</v>
      </c>
      <c r="BG112" s="32" t="n">
        <f aca="false">IFERROR(AVERAGE(AJ112,AM112,AP112,AS112,AV112),"n/m")</f>
        <v>0.406893552627382</v>
      </c>
      <c r="BH112" s="32" t="n">
        <f aca="false">IFERROR(AVERAGE(U112,X112,AA112,AD112,AG112,AJ112,AM112,AP112,AS112,AV112),"n/m")</f>
        <v>0.369958732217763</v>
      </c>
      <c r="BI112" s="32" t="n">
        <f aca="false">IFERROR(AVERAGE(C112,D112,E112,F112,G112,H112,I112,L112,O112,R112,U112,X112,AA112,AD112,AG112,AJ112,AM112,AP112,AS112,AV112),"n/m")</f>
        <v>0.329246585106316</v>
      </c>
    </row>
    <row r="113" customFormat="false" ht="15" hidden="false" customHeight="true" outlineLevel="0" collapsed="false">
      <c r="B113" s="26" t="s">
        <v>180</v>
      </c>
      <c r="C113" s="30" t="str">
        <f aca="false">IF(AND(ISNUMBER(C123),ISNUMBER(C119)),-C123/C119,"")</f>
        <v/>
      </c>
      <c r="D113" s="30" t="str">
        <f aca="false">IF(AND(ISNUMBER(D123),ISNUMBER(D119)),-D123/D119,"")</f>
        <v/>
      </c>
      <c r="E113" s="30" t="str">
        <f aca="false">IF(AND(ISNUMBER(E123),ISNUMBER(E119)),-E123/E119,"")</f>
        <v/>
      </c>
      <c r="F113" s="30" t="n">
        <f aca="false">IF(AND(ISNUMBER(F123),ISNUMBER(F119)),-F123/F119,"")</f>
        <v>0.0465444287729196</v>
      </c>
      <c r="G113" s="30" t="n">
        <f aca="false">IF(AND(ISNUMBER(G123),ISNUMBER(G119)),-G123/G119,"")</f>
        <v>0.0480673108963679</v>
      </c>
      <c r="H113" s="30" t="n">
        <f aca="false">IF(AND(ISNUMBER(H123),ISNUMBER(H119)),-H123/H119,"")</f>
        <v>0.0436083345065465</v>
      </c>
      <c r="I113" s="30" t="n">
        <f aca="false">IF(AND(ISNUMBER(I123),ISNUMBER(I119)),-I123/I119,"")</f>
        <v>0.0355328492293562</v>
      </c>
      <c r="J113" s="30" t="n">
        <f aca="false">IF(AND(ISNUMBER(J123),ISNUMBER(J119)),-J123/J119,"")</f>
        <v>0.0335559076505206</v>
      </c>
      <c r="K113" s="30" t="n">
        <f aca="false">IF(AND(ISNUMBER(K123),ISNUMBER(K119)),-K123/K119,"")</f>
        <v>0.0461863554035017</v>
      </c>
      <c r="L113" s="30" t="n">
        <f aca="false">IF(AND(ISNUMBER(L123),ISNUMBER(L119)),-L123/L119,"")</f>
        <v>0.0402418237988708</v>
      </c>
      <c r="M113" s="30" t="n">
        <f aca="false">IF(AND(ISNUMBER(M123),ISNUMBER(M119)),-M123/M119,"")</f>
        <v>0.033929414232524</v>
      </c>
      <c r="N113" s="30" t="n">
        <f aca="false">IF(AND(ISNUMBER(N123),ISNUMBER(N119)),-N123/N119,"")</f>
        <v>0.0439933083148709</v>
      </c>
      <c r="O113" s="30" t="n">
        <f aca="false">IF(AND(ISNUMBER(O123),ISNUMBER(O119)),-O123/O119,"")</f>
        <v>0.0393337541883164</v>
      </c>
      <c r="P113" s="30" t="n">
        <f aca="false">IF(AND(ISNUMBER(P123),ISNUMBER(P119)),-P123/P119,"")</f>
        <v>0.0377054883882752</v>
      </c>
      <c r="Q113" s="30" t="n">
        <f aca="false">IF(AND(ISNUMBER(Q123),ISNUMBER(Q119)),-Q123/Q119,"")</f>
        <v>0.0598835379288637</v>
      </c>
      <c r="R113" s="30" t="n">
        <f aca="false">IF(AND(ISNUMBER(R123),ISNUMBER(R119)),-R123/R119,"")</f>
        <v>0.0493493079942161</v>
      </c>
      <c r="S113" s="30" t="n">
        <f aca="false">IF(AND(ISNUMBER(S123),ISNUMBER(S119)),-S123/S119,"")</f>
        <v>0.0488034748401901</v>
      </c>
      <c r="T113" s="30" t="n">
        <f aca="false">IF(AND(ISNUMBER(T123),ISNUMBER(T119)),-T123/T119,"")</f>
        <v>0.0577159823303643</v>
      </c>
      <c r="U113" s="30" t="n">
        <f aca="false">IF(AND(ISNUMBER(U123),ISNUMBER(U119)),-U123/U119,"")</f>
        <v>0.0535350428664796</v>
      </c>
      <c r="V113" s="30" t="n">
        <f aca="false">IF(AND(ISNUMBER(V123),ISNUMBER(V119)),-V123/V119,"")</f>
        <v>0.0607423242785006</v>
      </c>
      <c r="W113" s="30" t="n">
        <f aca="false">IF(AND(ISNUMBER(W123),ISNUMBER(W119)),-W123/W119,"")</f>
        <v>0.0517612213955784</v>
      </c>
      <c r="X113" s="30" t="n">
        <f aca="false">IF(AND(ISNUMBER(X123),ISNUMBER(X119)),-X123/X119,"")</f>
        <v>0.0561522381604556</v>
      </c>
      <c r="Y113" s="30" t="n">
        <f aca="false">IF(AND(ISNUMBER(Y123),ISNUMBER(Y119)),-Y123/Y119,"")</f>
        <v>0.0629424546155464</v>
      </c>
      <c r="Z113" s="30" t="n">
        <f aca="false">IF(AND(ISNUMBER(Z123),ISNUMBER(Z119)),-Z123/Z119,"")</f>
        <v>0.0576027243229351</v>
      </c>
      <c r="AA113" s="30" t="n">
        <f aca="false">IF(AND(ISNUMBER(AA123),ISNUMBER(AA119)),-AA123/AA119,"")</f>
        <v>0.0601565511808384</v>
      </c>
      <c r="AB113" s="30" t="n">
        <f aca="false">IF(AND(ISNUMBER(AB123),ISNUMBER(AB119)),-AB123/AB119,"")</f>
        <v>0.081907313805493</v>
      </c>
      <c r="AC113" s="30" t="n">
        <f aca="false">IF(AND(ISNUMBER(AC123),ISNUMBER(AC119)),-AC123/AC119,"")</f>
        <v>0.0930762391642587</v>
      </c>
      <c r="AD113" s="30" t="n">
        <f aca="false">IF(AND(ISNUMBER(AD123),ISNUMBER(AD119)),-AD123/AD119,"")</f>
        <v>0.0877473341662551</v>
      </c>
      <c r="AE113" s="30" t="n">
        <f aca="false">IF(AND(ISNUMBER(AE123),ISNUMBER(AE119)),-AE123/AE119,"")</f>
        <v>0.126286173633441</v>
      </c>
      <c r="AF113" s="30" t="n">
        <f aca="false">IF(AND(ISNUMBER(AF123),ISNUMBER(AF119)),-AF123/AF119,"")</f>
        <v>0.0979135694878762</v>
      </c>
      <c r="AG113" s="30" t="n">
        <f aca="false">IF(AND(ISNUMBER(AG123),ISNUMBER(AG119)),-AG123/AG119,"")</f>
        <v>0.108961717845181</v>
      </c>
      <c r="AH113" s="30" t="n">
        <f aca="false">IF(AND(ISNUMBER(AH123),ISNUMBER(AH119)),-AH123/AH119,"")</f>
        <v>0.0876248494722675</v>
      </c>
      <c r="AI113" s="30" t="n">
        <f aca="false">IF(AND(ISNUMBER(AI123),ISNUMBER(AI119)),-AI123/AI119,"")</f>
        <v>0.0764498936147802</v>
      </c>
      <c r="AJ113" s="30" t="n">
        <f aca="false">IF(AND(ISNUMBER(AJ123),ISNUMBER(AJ119)),-AJ123/AJ119,"")</f>
        <v>0.0817189935426408</v>
      </c>
      <c r="AK113" s="30" t="n">
        <f aca="false">IF(AND(ISNUMBER(AK123),ISNUMBER(AK119)),-AK123/AK119,"")</f>
        <v>0.0741552511415525</v>
      </c>
      <c r="AL113" s="30" t="n">
        <f aca="false">IF(AND(ISNUMBER(AL123),ISNUMBER(AL119)),-AL123/AL119,"")</f>
        <v>0.0701811653337686</v>
      </c>
      <c r="AM113" s="30" t="n">
        <f aca="false">IF(AND(ISNUMBER(AM123),ISNUMBER(AM119)),-AM123/AM119,"")</f>
        <v>0.0720565419755215</v>
      </c>
      <c r="AN113" s="30" t="n">
        <f aca="false">IF(AND(ISNUMBER(AN123),ISNUMBER(AN119)),-AN123/AN119,"")</f>
        <v>0.0601672140937593</v>
      </c>
      <c r="AO113" s="30" t="n">
        <f aca="false">IF(AND(ISNUMBER(AO123),ISNUMBER(AO119)),-AO123/AO119,"")</f>
        <v>0.0722246990637539</v>
      </c>
      <c r="AP113" s="30" t="n">
        <f aca="false">IF(AND(ISNUMBER(AP123),ISNUMBER(AP119)),-AP123/AP119,"")</f>
        <v>0.0662098756237432</v>
      </c>
      <c r="AQ113" s="30" t="n">
        <f aca="false">IF(AND(ISNUMBER(AQ123),ISNUMBER(AQ119)),-AQ123/AQ119,"")</f>
        <v>0.0622334754797441</v>
      </c>
      <c r="AR113" s="30" t="n">
        <f aca="false">IF(AND(ISNUMBER(AR123),ISNUMBER(AR119)),-AR123/AR119,"")</f>
        <v>0.061961909731281</v>
      </c>
      <c r="AS113" s="30" t="n">
        <f aca="false">IF(AND(ISNUMBER(AS123),ISNUMBER(AS119)),-AS123/AS119,"")</f>
        <v>0.0620962425840475</v>
      </c>
      <c r="AT113" s="30" t="n">
        <f aca="false">IF(AND(ISNUMBER(AT123),ISNUMBER(AT119)),-AT123/AT119,"")</f>
        <v>0.0646004480955937</v>
      </c>
      <c r="AU113" s="30" t="n">
        <f aca="false">IF(AND(ISNUMBER(AU123),ISNUMBER(AU119)),-AU123/AU119,"")</f>
        <v>0.0736696787148594</v>
      </c>
      <c r="AV113" s="30" t="n">
        <f aca="false">IF(AND(ISNUMBER(AV123),ISNUMBER(AV119)),-AV123/AV119,"")</f>
        <v>0.0691163604549431</v>
      </c>
      <c r="AW113" s="30" t="n">
        <f aca="false">IF(AND(ISNUMBER(AW123),ISNUMBER(AW119)),-AW123/AW119,"")</f>
        <v>0.0683572216097023</v>
      </c>
      <c r="AX113" s="42" t="n">
        <v>0.069</v>
      </c>
      <c r="AY113" s="28" t="n">
        <f aca="false">-AY123/AY119</f>
        <v>0.0686801972817683</v>
      </c>
      <c r="AZ113" s="42" t="n">
        <v>0.069</v>
      </c>
      <c r="BA113" s="42" t="n">
        <v>0.069</v>
      </c>
      <c r="BB113" s="42" t="n">
        <v>0.069</v>
      </c>
      <c r="BC113" s="42" t="n">
        <v>0.069</v>
      </c>
      <c r="BD113" s="23" t="s">
        <v>181</v>
      </c>
      <c r="BF113" s="32" t="n">
        <f aca="false">IFERROR(AVERAGE(AY113,AZ113,BA113,BB113,BC113),"n/m")</f>
        <v>0.0689360394563537</v>
      </c>
      <c r="BG113" s="32" t="n">
        <f aca="false">IFERROR(AVERAGE(AJ113,AM113,AP113,AS113,AV113),"n/m")</f>
        <v>0.0702396028361792</v>
      </c>
      <c r="BH113" s="32" t="n">
        <f aca="false">IFERROR(AVERAGE(U113,X113,AA113,AD113,AG113,AJ113,AM113,AP113,AS113,AV113),"n/m")</f>
        <v>0.0717750898400106</v>
      </c>
      <c r="BI113" s="32" t="n">
        <f aca="false">IFERROR(AVERAGE(C113,D113,E113,F113,G113,H113,I113,L113,O113,R113,U113,X113,AA113,AD113,AG113,AJ113,AM113,AP113,AS113,AV113),"n/m")</f>
        <v>0.0600252181051</v>
      </c>
    </row>
    <row r="114" customFormat="false" ht="15" hidden="false" customHeight="true" outlineLevel="0" collapsed="false">
      <c r="B114" s="26" t="s">
        <v>182</v>
      </c>
      <c r="C114" s="30" t="str">
        <f aca="false">IF(AND(ISNUMBER(C122),ISNUMBER(C119)),-C122/C119,"")</f>
        <v/>
      </c>
      <c r="D114" s="30" t="str">
        <f aca="false">IF(AND(ISNUMBER(D122),ISNUMBER(D119)),-D122/D119,"")</f>
        <v/>
      </c>
      <c r="E114" s="30" t="str">
        <f aca="false">IF(AND(ISNUMBER(E122),ISNUMBER(E119)),-E122/E119,"")</f>
        <v/>
      </c>
      <c r="F114" s="30" t="n">
        <f aca="false">IF(AND(ISNUMBER(F122),ISNUMBER(F119)),-F122/F119,"")</f>
        <v>0.345086976962859</v>
      </c>
      <c r="G114" s="30" t="n">
        <f aca="false">IF(AND(ISNUMBER(G122),ISNUMBER(G119)),-G122/G119,"")</f>
        <v>0.334138620459847</v>
      </c>
      <c r="H114" s="30" t="n">
        <f aca="false">IF(AND(ISNUMBER(H122),ISNUMBER(H119)),-H122/H119,"")</f>
        <v>0.33285231592285</v>
      </c>
      <c r="I114" s="30" t="n">
        <f aca="false">IF(AND(ISNUMBER(I122),ISNUMBER(I119)),-I122/I119,"")</f>
        <v>0.324560144657157</v>
      </c>
      <c r="J114" s="30" t="n">
        <f aca="false">IF(AND(ISNUMBER(J122),ISNUMBER(J119)),-J122/J119,"")</f>
        <v>0.322430964237211</v>
      </c>
      <c r="K114" s="30" t="n">
        <f aca="false">IF(AND(ISNUMBER(K122),ISNUMBER(K119)),-K122/K119,"")</f>
        <v>0.324713221976253</v>
      </c>
      <c r="L114" s="30" t="n">
        <f aca="false">IF(AND(ISNUMBER(L122),ISNUMBER(L119)),-L122/L119,"")</f>
        <v>0.323639075316928</v>
      </c>
      <c r="M114" s="30" t="n">
        <f aca="false">IF(AND(ISNUMBER(M122),ISNUMBER(M119)),-M122/M119,"")</f>
        <v>0.321097068540563</v>
      </c>
      <c r="N114" s="30" t="n">
        <f aca="false">IF(AND(ISNUMBER(N122),ISNUMBER(N119)),-N122/N119,"")</f>
        <v>0.307184518696026</v>
      </c>
      <c r="O114" s="30" t="n">
        <f aca="false">IF(AND(ISNUMBER(O122),ISNUMBER(O119)),-O122/O119,"")</f>
        <v>0.313625989413879</v>
      </c>
      <c r="P114" s="30" t="n">
        <f aca="false">IF(AND(ISNUMBER(P122),ISNUMBER(P119)),-P122/P119,"")</f>
        <v>0.301774375924154</v>
      </c>
      <c r="Q114" s="30" t="n">
        <f aca="false">IF(AND(ISNUMBER(Q122),ISNUMBER(Q119)),-Q122/Q119,"")</f>
        <v>0.28525338369531</v>
      </c>
      <c r="R114" s="30" t="n">
        <f aca="false">IF(AND(ISNUMBER(R122),ISNUMBER(R119)),-R122/R119,"")</f>
        <v>0.293100599049783</v>
      </c>
      <c r="S114" s="30" t="n">
        <f aca="false">IF(AND(ISNUMBER(S122),ISNUMBER(S119)),-S122/S119,"")</f>
        <v>0.296754630388461</v>
      </c>
      <c r="T114" s="30" t="n">
        <f aca="false">IF(AND(ISNUMBER(T122),ISNUMBER(T119)),-T122/T119,"")</f>
        <v>0.297306104714317</v>
      </c>
      <c r="U114" s="30" t="n">
        <f aca="false">IF(AND(ISNUMBER(U122),ISNUMBER(U119)),-U122/U119,"")</f>
        <v>0.297047403021799</v>
      </c>
      <c r="V114" s="30" t="n">
        <f aca="false">IF(AND(ISNUMBER(V122),ISNUMBER(V119)),-V122/V119,"")</f>
        <v>0.297482584497438</v>
      </c>
      <c r="W114" s="30" t="n">
        <f aca="false">IF(AND(ISNUMBER(W122),ISNUMBER(W119)),-W122/W119,"")</f>
        <v>0.299425267092134</v>
      </c>
      <c r="X114" s="30" t="n">
        <f aca="false">IF(AND(ISNUMBER(X122),ISNUMBER(X119)),-X122/X119,"")</f>
        <v>0.298475455921574</v>
      </c>
      <c r="Y114" s="30" t="n">
        <f aca="false">IF(AND(ISNUMBER(Y122),ISNUMBER(Y119)),-Y122/Y119,"")</f>
        <v>0.290881054180977</v>
      </c>
      <c r="Z114" s="30" t="n">
        <f aca="false">IF(AND(ISNUMBER(Z122),ISNUMBER(Z119)),-Z122/Z119,"")</f>
        <v>0.302374144633277</v>
      </c>
      <c r="AA114" s="30" t="n">
        <f aca="false">IF(AND(ISNUMBER(AA122),ISNUMBER(AA119)),-AA122/AA119,"")</f>
        <v>0.296877357067431</v>
      </c>
      <c r="AB114" s="30" t="n">
        <f aca="false">IF(AND(ISNUMBER(AB122),ISNUMBER(AB119)),-AB122/AB119,"")</f>
        <v>0.256439924486938</v>
      </c>
      <c r="AC114" s="30" t="n">
        <f aca="false">IF(AND(ISNUMBER(AC122),ISNUMBER(AC119)),-AC122/AC119,"")</f>
        <v>0.270476772616137</v>
      </c>
      <c r="AD114" s="30" t="n">
        <f aca="false">IF(AND(ISNUMBER(AD122),ISNUMBER(AD119)),-AD122/AD119,"")</f>
        <v>0.263779527559055</v>
      </c>
      <c r="AE114" s="30" t="n">
        <f aca="false">IF(AND(ISNUMBER(AE122),ISNUMBER(AE119)),-AE122/AE119,"")</f>
        <v>0.308882636655949</v>
      </c>
      <c r="AF114" s="30" t="n">
        <f aca="false">IF(AND(ISNUMBER(AF122),ISNUMBER(AF119)),-AF122/AF119,"")</f>
        <v>0.238375967601374</v>
      </c>
      <c r="AG114" s="30" t="n">
        <f aca="false">IF(AND(ISNUMBER(AG122),ISNUMBER(AG119)),-AG122/AG119,"")</f>
        <v>0.265830907440448</v>
      </c>
      <c r="AH114" s="30" t="n">
        <f aca="false">IF(AND(ISNUMBER(AH122),ISNUMBER(AH119)),-AH122/AH119,"")</f>
        <v>0.220774007697575</v>
      </c>
      <c r="AI114" s="30" t="n">
        <f aca="false">IF(AND(ISNUMBER(AI122),ISNUMBER(AI119)),-AI122/AI119,"")</f>
        <v>0.253217889570035</v>
      </c>
      <c r="AJ114" s="30" t="n">
        <f aca="false">IF(AND(ISNUMBER(AJ122),ISNUMBER(AJ119)),-AJ122/AJ119,"")</f>
        <v>0.237920285014473</v>
      </c>
      <c r="AK114" s="30" t="n">
        <f aca="false">IF(AND(ISNUMBER(AK122),ISNUMBER(AK119)),-AK122/AK119,"")</f>
        <v>0.215159817351598</v>
      </c>
      <c r="AL114" s="30" t="n">
        <f aca="false">IF(AND(ISNUMBER(AL122),ISNUMBER(AL119)),-AL122/AL119,"")</f>
        <v>0.245144442630978</v>
      </c>
      <c r="AM114" s="30" t="n">
        <f aca="false">IF(AND(ISNUMBER(AM122),ISNUMBER(AM119)),-AM122/AM119,"")</f>
        <v>0.230994656093777</v>
      </c>
      <c r="AN114" s="30" t="n">
        <f aca="false">IF(AND(ISNUMBER(AN122),ISNUMBER(AN119)),-AN122/AN119,"")</f>
        <v>0.221707972529113</v>
      </c>
      <c r="AO114" s="30" t="n">
        <f aca="false">IF(AND(ISNUMBER(AO122),ISNUMBER(AO119)),-AO122/AO119,"")</f>
        <v>0.250260068360826</v>
      </c>
      <c r="AP114" s="30" t="n">
        <f aca="false">IF(AND(ISNUMBER(AP122),ISNUMBER(AP119)),-AP122/AP119,"")</f>
        <v>0.236016980710509</v>
      </c>
      <c r="AQ114" s="30" t="n">
        <f aca="false">IF(AND(ISNUMBER(AQ122),ISNUMBER(AQ119)),-AQ122/AQ119,"")</f>
        <v>0.224147121535181</v>
      </c>
      <c r="AR114" s="30" t="n">
        <f aca="false">IF(AND(ISNUMBER(AR122),ISNUMBER(AR119)),-AR122/AR119,"")</f>
        <v>0.246151839290373</v>
      </c>
      <c r="AS114" s="30" t="n">
        <f aca="false">IF(AND(ISNUMBER(AS122),ISNUMBER(AS119)),-AS122/AS119,"")</f>
        <v>0.235266974291365</v>
      </c>
      <c r="AT114" s="30" t="n">
        <f aca="false">IF(AND(ISNUMBER(AT122),ISNUMBER(AT119)),-AT122/AT119,"")</f>
        <v>0.228030868807568</v>
      </c>
      <c r="AU114" s="30" t="n">
        <f aca="false">IF(AND(ISNUMBER(AU122),ISNUMBER(AU119)),-AU122/AU119,"")</f>
        <v>0.234939759036145</v>
      </c>
      <c r="AV114" s="30" t="n">
        <f aca="false">IF(AND(ISNUMBER(AV122),ISNUMBER(AV119)),-AV122/AV119,"")</f>
        <v>0.231471066116735</v>
      </c>
      <c r="AW114" s="30" t="n">
        <f aca="false">IF(AND(ISNUMBER(AW122),ISNUMBER(AW119)),-AW122/AW119,"")</f>
        <v>0.232635060639471</v>
      </c>
      <c r="AX114" s="28" t="n">
        <f aca="false">-AX122/AX119</f>
        <v>0.242</v>
      </c>
      <c r="AY114" s="28" t="n">
        <f aca="false">-AY122/AY119</f>
        <v>0.237340644444837</v>
      </c>
      <c r="AZ114" s="28" t="n">
        <f aca="false">-AZ122/AZ119</f>
        <v>0.238</v>
      </c>
      <c r="BA114" s="28" t="n">
        <f aca="false">-BA122/BA119</f>
        <v>0.236</v>
      </c>
      <c r="BB114" s="28" t="n">
        <f aca="false">-BB122/BB119</f>
        <v>0.235</v>
      </c>
      <c r="BC114" s="28" t="n">
        <f aca="false">-BC122/BC119</f>
        <v>0.235</v>
      </c>
      <c r="BD114" s="23"/>
      <c r="BF114" s="32" t="n">
        <f aca="false">IFERROR(AVERAGE(AY114,AZ114,BA114,BB114,BC114),"n/m")</f>
        <v>0.236268128888967</v>
      </c>
      <c r="BG114" s="32" t="n">
        <f aca="false">IFERROR(AVERAGE(AJ114,AM114,AP114,AS114,AV114),"n/m")</f>
        <v>0.234333992445372</v>
      </c>
      <c r="BH114" s="32" t="n">
        <f aca="false">IFERROR(AVERAGE(U114,X114,AA114,AD114,AG114,AJ114,AM114,AP114,AS114,AV114),"n/m")</f>
        <v>0.259368061323717</v>
      </c>
      <c r="BI114" s="32" t="n">
        <f aca="false">IFERROR(AVERAGE(C114,D114,E114,F114,G114,H114,I114,L114,O114,R114,U114,X114,AA114,AD114,AG114,AJ114,AM114,AP114,AS114,AV114),"n/m")</f>
        <v>0.28592260794238</v>
      </c>
    </row>
    <row r="115" customFormat="false" ht="15" hidden="false" customHeight="true" outlineLevel="0" collapsed="false">
      <c r="B115" s="26" t="s">
        <v>183</v>
      </c>
      <c r="C115" s="30" t="str">
        <f aca="false">IF(AND(ISNUMBER(C144),ISNUMBER(C119)),IFERROR(C144/C119,""),"")</f>
        <v/>
      </c>
      <c r="D115" s="30" t="str">
        <f aca="false">IF(AND(ISNUMBER(D144),ISNUMBER(D119)),IFERROR(D144/D119,""),"")</f>
        <v/>
      </c>
      <c r="E115" s="30" t="str">
        <f aca="false">IF(AND(ISNUMBER(E144),ISNUMBER(E119)),IFERROR(E144/E119,""),"")</f>
        <v/>
      </c>
      <c r="F115" s="30" t="n">
        <f aca="false">IF(AND(ISNUMBER(F144),ISNUMBER(F119)),IFERROR(F144/F119,""),"")</f>
        <v>0.0441414616308834</v>
      </c>
      <c r="G115" s="30" t="n">
        <f aca="false">IF(AND(ISNUMBER(G144),ISNUMBER(G119)),IFERROR(G144/G119,""),"")</f>
        <v>0.0420276574475175</v>
      </c>
      <c r="H115" s="30" t="n">
        <f aca="false">IF(AND(ISNUMBER(H144),ISNUMBER(H119)),IFERROR(H144/H119,""),"")</f>
        <v>0.039842320146417</v>
      </c>
      <c r="I115" s="30" t="n">
        <f aca="false">IF(AND(ISNUMBER(I144),ISNUMBER(I119)),IFERROR(I144/I119,""),"")</f>
        <v>0.034470882006831</v>
      </c>
      <c r="J115" s="30" t="n">
        <f aca="false">IF(AND(ISNUMBER(J144),ISNUMBER(J119)),IFERROR(J144/J119,""),"")</f>
        <v>0.0358759619737438</v>
      </c>
      <c r="K115" s="30" t="n">
        <f aca="false">IF(AND(ISNUMBER(K144),ISNUMBER(K119)),IFERROR(K144/K119,""),"")</f>
        <v>0.0377842624270477</v>
      </c>
      <c r="L115" s="30" t="n">
        <f aca="false">IF(AND(ISNUMBER(L144),ISNUMBER(L119)),IFERROR(L144/L119,""),"")</f>
        <v>0.0368861191008842</v>
      </c>
      <c r="M115" s="30" t="n">
        <f aca="false">IF(AND(ISNUMBER(M144),ISNUMBER(M119)),IFERROR(M144/M119,""),"")</f>
        <v>0.0377051759400073</v>
      </c>
      <c r="N115" s="30" t="n">
        <f aca="false">IF(AND(ISNUMBER(N144),ISNUMBER(N119)),IFERROR(N144/N119,""),"")</f>
        <v>0.0437220237826107</v>
      </c>
      <c r="O115" s="30" t="n">
        <f aca="false">IF(AND(ISNUMBER(O144),ISNUMBER(O119)),IFERROR(O144/O119,""),"")</f>
        <v>0.0409362404700626</v>
      </c>
      <c r="P115" s="30" t="n">
        <f aca="false">IF(AND(ISNUMBER(P144),ISNUMBER(P119)),IFERROR(P144/P119,""),"")</f>
        <v>0.0377054883882752</v>
      </c>
      <c r="Q115" s="30" t="n">
        <f aca="false">IF(AND(ISNUMBER(Q144),ISNUMBER(Q119)),IFERROR(Q144/Q119,""),"")</f>
        <v>0.0471356625747561</v>
      </c>
      <c r="R115" s="30" t="n">
        <f aca="false">IF(AND(ISNUMBER(R144),ISNUMBER(R119)),IFERROR(R144/R119,""),"")</f>
        <v>0.0426564759347242</v>
      </c>
      <c r="S115" s="30" t="n">
        <f aca="false">IF(AND(ISNUMBER(S144),ISNUMBER(S119)),IFERROR(S144/S119,""),"")</f>
        <v>0.04388624815604</v>
      </c>
      <c r="T115" s="30" t="n">
        <f aca="false">IF(AND(ISNUMBER(T144),ISNUMBER(T119)),IFERROR(T144/T119,""),"")</f>
        <v>0.0452603374610761</v>
      </c>
      <c r="U115" s="30" t="n">
        <f aca="false">IF(AND(ISNUMBER(U144),ISNUMBER(U119)),IFERROR(U144/U119,""),"")</f>
        <v>0.0446157394948291</v>
      </c>
      <c r="V115" s="30" t="n">
        <f aca="false">IF(AND(ISNUMBER(V144),ISNUMBER(V119)),IFERROR(V144/V119,""),"")</f>
        <v>0.0431241015812171</v>
      </c>
      <c r="W115" s="30" t="n">
        <f aca="false">IF(AND(ISNUMBER(W144),ISNUMBER(W119)),IFERROR(W144/W119,""),"")</f>
        <v>0.0444272063749515</v>
      </c>
      <c r="X115" s="30" t="n">
        <f aca="false">IF(AND(ISNUMBER(X144),ISNUMBER(X119)),IFERROR(X144/X119,""),"")</f>
        <v>0.0437900958696749</v>
      </c>
      <c r="Y115" s="30" t="n">
        <f aca="false">IF(AND(ISNUMBER(Y144),ISNUMBER(Y119)),IFERROR(Y144/Y119,""),"")</f>
        <v>0.048818952828205</v>
      </c>
      <c r="Z115" s="30" t="n">
        <f aca="false">IF(AND(ISNUMBER(Z144),ISNUMBER(Z119)),IFERROR(Z144/Z119,""),"")</f>
        <v>0.0387766247951939</v>
      </c>
      <c r="AA115" s="30" t="n">
        <f aca="false">IF(AND(ISNUMBER(AA144),ISNUMBER(AA119)),IFERROR(AA144/AA119,""),"")</f>
        <v>0.0435795578351017</v>
      </c>
      <c r="AB115" s="30" t="n">
        <f aca="false">IF(AND(ISNUMBER(AB144),ISNUMBER(AB119)),IFERROR(AB144/AB119,""),"")</f>
        <v>0.0418366725534377</v>
      </c>
      <c r="AC115" s="30" t="n">
        <f aca="false">IF(AND(ISNUMBER(AC144),ISNUMBER(AC119)),IFERROR(AC144/AC119,""),"")</f>
        <v>0.035341186930429</v>
      </c>
      <c r="AD115" s="30" t="n">
        <f aca="false">IF(AND(ISNUMBER(AD144),ISNUMBER(AD119)),IFERROR(AD144/AD119,""),"")</f>
        <v>0.0384403056628992</v>
      </c>
      <c r="AE115" s="30" t="n">
        <f aca="false">IF(AND(ISNUMBER(AE144),ISNUMBER(AE119)),IFERROR(AE144/AE119,""),"")</f>
        <v>0.0536977491961415</v>
      </c>
      <c r="AF115" s="30" t="n">
        <f aca="false">IF(AND(ISNUMBER(AF144),ISNUMBER(AF119)),IFERROR(AF144/AF119,""),"")</f>
        <v>0.049136207515251</v>
      </c>
      <c r="AG115" s="30" t="n">
        <f aca="false">IF(AND(ISNUMBER(AG144),ISNUMBER(AG119)),IFERROR(AG144/AG119,""),"")</f>
        <v>0.050912448743231</v>
      </c>
      <c r="AH115" s="30" t="n">
        <f aca="false">IF(AND(ISNUMBER(AH144),ISNUMBER(AH119)),IFERROR(AH144/AH119,""),"")</f>
        <v>0.0446978819862577</v>
      </c>
      <c r="AI115" s="30" t="n">
        <f aca="false">IF(AND(ISNUMBER(AI144),ISNUMBER(AI119)),IFERROR(AI144/AI119,""),"")</f>
        <v>0.0395415955676336</v>
      </c>
      <c r="AJ115" s="30" t="n">
        <f aca="false">IF(AND(ISNUMBER(AJ144),ISNUMBER(AJ119)),IFERROR(AJ144/AJ119,""),"")</f>
        <v>0.0419728345580049</v>
      </c>
      <c r="AK115" s="30" t="n">
        <f aca="false">IF(AND(ISNUMBER(AK144),ISNUMBER(AK119)),IFERROR(AK144/AK119,""),"")</f>
        <v>0.0421917808219178</v>
      </c>
      <c r="AL115" s="30" t="n">
        <f aca="false">IF(AND(ISNUMBER(AL144),ISNUMBER(AL119)),IFERROR(AL144/AL119,""),"")</f>
        <v>0.0380283988901583</v>
      </c>
      <c r="AM115" s="30" t="n">
        <f aca="false">IF(AND(ISNUMBER(AM144),ISNUMBER(AM119)),IFERROR(AM144/AM119,""),"")</f>
        <v>0.0399931046371315</v>
      </c>
      <c r="AN115" s="30" t="n">
        <f aca="false">IF(AND(ISNUMBER(AN144),ISNUMBER(AN119)),IFERROR(AN144/AN119,""),"")</f>
        <v>0.0306061510898776</v>
      </c>
      <c r="AO115" s="30" t="n">
        <f aca="false">IF(AND(ISNUMBER(AO144),ISNUMBER(AO119)),IFERROR(AO144/AO119,""),"")</f>
        <v>0.0414623272403032</v>
      </c>
      <c r="AP115" s="30" t="n">
        <f aca="false">IF(AND(ISNUMBER(AP144),ISNUMBER(AP119)),IFERROR(AP144/AP119,""),"")</f>
        <v>0.0360467714306993</v>
      </c>
      <c r="AQ115" s="30" t="n">
        <f aca="false">IF(AND(ISNUMBER(AQ144),ISNUMBER(AQ119)),IFERROR(AQ144/AQ119,""),"")</f>
        <v>0.0290511727078891</v>
      </c>
      <c r="AR115" s="30" t="n">
        <f aca="false">IF(AND(ISNUMBER(AR144),ISNUMBER(AR119)),IFERROR(AR144/AR119,""),"")</f>
        <v>0.0382207148447691</v>
      </c>
      <c r="AS115" s="30" t="n">
        <f aca="false">IF(AND(ISNUMBER(AS144),ISNUMBER(AS119)),IFERROR(AS144/AS119,""),"")</f>
        <v>0.0336849044166117</v>
      </c>
      <c r="AT115" s="30" t="n">
        <f aca="false">IF(AND(ISNUMBER(AT144),ISNUMBER(AT119)),IFERROR(AT144/AT119,""),"")</f>
        <v>0.0362210604929052</v>
      </c>
      <c r="AU115" s="30" t="n">
        <f aca="false">IF(AND(ISNUMBER(AU144),ISNUMBER(AU119)),IFERROR(AU144/AU119,""),"")</f>
        <v>0.0356425702811245</v>
      </c>
      <c r="AV115" s="30" t="n">
        <f aca="false">IF(AND(ISNUMBER(AV144),ISNUMBER(AV119)),IFERROR(AV144/AV119,""),"")</f>
        <v>0.0359330083739533</v>
      </c>
      <c r="AW115" s="30" t="n">
        <f aca="false">IF(AND(ISNUMBER(AW144),ISNUMBER(AW119)),IFERROR(AW144/AW119,""),"")</f>
        <v>0.0410388337620973</v>
      </c>
      <c r="AX115" s="28" t="n">
        <f aca="false">IF(AND(ISNUMBER(AX144),ISNUMBER(AX119)),IFERROR(AX144/AX119,""),"")</f>
        <v>0.033000844251388</v>
      </c>
      <c r="AY115" s="42" t="n">
        <v>0.037</v>
      </c>
      <c r="AZ115" s="42" t="n">
        <v>0.037</v>
      </c>
      <c r="BA115" s="42" t="n">
        <v>0.037</v>
      </c>
      <c r="BB115" s="42" t="n">
        <v>0.037</v>
      </c>
      <c r="BC115" s="42" t="n">
        <v>0.037</v>
      </c>
      <c r="BD115" s="23" t="s">
        <v>184</v>
      </c>
      <c r="BF115" s="32" t="n">
        <f aca="false">IFERROR(AVERAGE(AY115,AZ115,BA115,BB115,BC115),"n/m")</f>
        <v>0.037</v>
      </c>
      <c r="BG115" s="32" t="n">
        <f aca="false">IFERROR(AVERAGE(AJ115,AM115,AP115,AS115,AV115),"n/m")</f>
        <v>0.0375261246832802</v>
      </c>
      <c r="BH115" s="32" t="n">
        <f aca="false">IFERROR(AVERAGE(U115,X115,AA115,AD115,AG115,AJ115,AM115,AP115,AS115,AV115),"n/m")</f>
        <v>0.0408968771022137</v>
      </c>
      <c r="BI115" s="32" t="n">
        <f aca="false">IFERROR(AVERAGE(C115,D115,E115,F115,G115,H115,I115,L115,O115,R115,U115,X115,AA115,AD115,AG115,AJ115,AM115,AP115,AS115,AV115),"n/m")</f>
        <v>0.0405841133976151</v>
      </c>
    </row>
    <row r="116" customFormat="false" ht="15" hidden="false" customHeight="true" outlineLevel="0" collapsed="false">
      <c r="B116" s="26" t="s">
        <v>185</v>
      </c>
      <c r="C116" s="30" t="str">
        <f aca="false">IF(AND(ISNUMBER(C145),ISNUMBER(C119)),IFERROR(C145/C119,""),"")</f>
        <v/>
      </c>
      <c r="D116" s="30" t="str">
        <f aca="false">IF(AND(ISNUMBER(D145),ISNUMBER(D119)),IFERROR(D145/D119,""),"")</f>
        <v/>
      </c>
      <c r="E116" s="30" t="str">
        <f aca="false">IF(AND(ISNUMBER(E145),ISNUMBER(E119)),IFERROR(E145/E119,""),"")</f>
        <v/>
      </c>
      <c r="F116" s="30" t="n">
        <f aca="false">IF(AND(ISNUMBER(F145),ISNUMBER(F119)),IFERROR(F145/F119,""),"")</f>
        <v>0.00255968239042992</v>
      </c>
      <c r="G116" s="30" t="n">
        <f aca="false">IF(AND(ISNUMBER(G145),ISNUMBER(G119)),IFERROR(G145/G119,""),"")</f>
        <v>0.00379040319893369</v>
      </c>
      <c r="H116" s="30" t="n">
        <f aca="false">IF(AND(ISNUMBER(H145),ISNUMBER(H119)),IFERROR(H145/H119,""),"")</f>
        <v>0.00411797831902013</v>
      </c>
      <c r="I116" s="30" t="n">
        <f aca="false">IF(AND(ISNUMBER(I145),ISNUMBER(I119)),IFERROR(I145/I119,""),"")</f>
        <v>0.00815131597830143</v>
      </c>
      <c r="J116" s="30" t="n">
        <f aca="false">IF(AND(ISNUMBER(J145),ISNUMBER(J119)),IFERROR(J145/J119,""),"")</f>
        <v>0.0114305115436849</v>
      </c>
      <c r="K116" s="30" t="n">
        <f aca="false">IF(AND(ISNUMBER(K145),ISNUMBER(K119)),IFERROR(K145/K119,""),"")</f>
        <v>0.0112195612799356</v>
      </c>
      <c r="L116" s="30" t="n">
        <f aca="false">IF(AND(ISNUMBER(L145),ISNUMBER(L119)),IFERROR(L145/L119,""),"")</f>
        <v>0.0113188452114627</v>
      </c>
      <c r="M116" s="30" t="n">
        <f aca="false">IF(AND(ISNUMBER(M145),ISNUMBER(M119)),IFERROR(M145/M119,""),"")</f>
        <v>0.0109601971786669</v>
      </c>
      <c r="N116" s="30" t="n">
        <f aca="false">IF(AND(ISNUMBER(N145),ISNUMBER(N119)),IFERROR(N145/N119,""),"")</f>
        <v>0.0079576796129674</v>
      </c>
      <c r="O116" s="30" t="n">
        <f aca="false">IF(AND(ISNUMBER(O145),ISNUMBER(O119)),IFERROR(O145/O119,""),"")</f>
        <v>0.00934783664351964</v>
      </c>
      <c r="P116" s="30" t="n">
        <f aca="false">IF(AND(ISNUMBER(P145),ISNUMBER(P119)),IFERROR(P145/P119,""),"")</f>
        <v>0.00769766025919805</v>
      </c>
      <c r="Q116" s="30" t="n">
        <f aca="false">IF(AND(ISNUMBER(Q145),ISNUMBER(Q119)),IFERROR(Q145/Q119,""),"")</f>
        <v>0.00735757003462386</v>
      </c>
      <c r="R116" s="30" t="n">
        <f aca="false">IF(AND(ISNUMBER(R145),ISNUMBER(R119)),IFERROR(R145/R119,""),"")</f>
        <v>0.00751910762239207</v>
      </c>
      <c r="S116" s="30" t="n">
        <f aca="false">IF(AND(ISNUMBER(S145),ISNUMBER(S119)),IFERROR(S145/S119,""),"")</f>
        <v>0.00840026225208982</v>
      </c>
      <c r="T116" s="30" t="n">
        <f aca="false">IF(AND(ISNUMBER(T145),ISNUMBER(T119)),IFERROR(T145/T119,""),"")</f>
        <v>0.0120573538996307</v>
      </c>
      <c r="U116" s="30" t="n">
        <f aca="false">IF(AND(ISNUMBER(U145),ISNUMBER(U119)),IFERROR(U145/U119,""),"")</f>
        <v>0.0103417784783361</v>
      </c>
      <c r="V116" s="30" t="n">
        <f aca="false">IF(AND(ISNUMBER(V145),ISNUMBER(V119)),IFERROR(V145/V119,""),"")</f>
        <v>0.0119052006929343</v>
      </c>
      <c r="W116" s="30" t="n">
        <f aca="false">IF(AND(ISNUMBER(W145),ISNUMBER(W119)),IFERROR(W145/W119,""),"")</f>
        <v>0.0104721272169529</v>
      </c>
      <c r="X116" s="30" t="n">
        <f aca="false">IF(AND(ISNUMBER(X145),ISNUMBER(X119)),IFERROR(X145/X119,""),"")</f>
        <v>0.0111727816622216</v>
      </c>
      <c r="Y116" s="30" t="n">
        <f aca="false">IF(AND(ISNUMBER(Y145),ISNUMBER(Y119)),IFERROR(Y145/Y119,""),"")</f>
        <v>0.0100231303006939</v>
      </c>
      <c r="Z116" s="30" t="n">
        <f aca="false">IF(AND(ISNUMBER(Z145),ISNUMBER(Z119)),IFERROR(Z145/Z119,""),"")</f>
        <v>0.0073248305329778</v>
      </c>
      <c r="AA116" s="30" t="n">
        <f aca="false">IF(AND(ISNUMBER(AA145),ISNUMBER(AA119)),IFERROR(AA145/AA119,""),"")</f>
        <v>0.00861534335663164</v>
      </c>
      <c r="AB116" s="30" t="n">
        <f aca="false">IF(AND(ISNUMBER(AB145),ISNUMBER(AB119)),IFERROR(AB145/AB119,""),"")</f>
        <v>0.00803848730284392</v>
      </c>
      <c r="AC116" s="30" t="n">
        <f aca="false">IF(AND(ISNUMBER(AC145),ISNUMBER(AC119)),IFERROR(AC145/AC119,""),"")</f>
        <v>0.0170315625694599</v>
      </c>
      <c r="AD116" s="30" t="n">
        <f aca="false">IF(AND(ISNUMBER(AD145),ISNUMBER(AD119)),IFERROR(AD145/AD119,""),"")</f>
        <v>0.0127407966993056</v>
      </c>
      <c r="AE116" s="30" t="n">
        <f aca="false">IF(AND(ISNUMBER(AE145),ISNUMBER(AE119)),IFERROR(AE145/AE119,""),"")</f>
        <v>0.0188102893890675</v>
      </c>
      <c r="AF116" s="30" t="n">
        <f aca="false">IF(AND(ISNUMBER(AF145),ISNUMBER(AF119)),IFERROR(AF145/AF119,""),"")</f>
        <v>0.00825344748039166</v>
      </c>
      <c r="AG116" s="30" t="n">
        <f aca="false">IF(AND(ISNUMBER(AG145),ISNUMBER(AG119)),IFERROR(AG145/AG119,""),"")</f>
        <v>0.0123642282530441</v>
      </c>
      <c r="AH116" s="30" t="n">
        <f aca="false">IF(AND(ISNUMBER(AH145),ISNUMBER(AH119)),IFERROR(AH145/AH119,""),"")</f>
        <v>0.00753228967438785</v>
      </c>
      <c r="AI116" s="30" t="n">
        <f aca="false">IF(AND(ISNUMBER(AI145),ISNUMBER(AI119)),IFERROR(AI145/AI119,""),"")</f>
        <v>0.00570898902441594</v>
      </c>
      <c r="AJ116" s="30" t="n">
        <f aca="false">IF(AND(ISNUMBER(AJ145),ISNUMBER(AJ119)),IFERROR(AJ145/AJ119,""),"")</f>
        <v>0.00656869294143843</v>
      </c>
      <c r="AK116" s="30" t="n">
        <f aca="false">IF(AND(ISNUMBER(AK145),ISNUMBER(AK119)),IFERROR(AK145/AK119,""),"")</f>
        <v>0.00493150684931507</v>
      </c>
      <c r="AL116" s="30" t="n">
        <f aca="false">IF(AND(ISNUMBER(AL145),ISNUMBER(AL119)),IFERROR(AL145/AL119,""),"")</f>
        <v>0.00456993634731516</v>
      </c>
      <c r="AM116" s="30" t="n">
        <f aca="false">IF(AND(ISNUMBER(AM145),ISNUMBER(AM119)),IFERROR(AM145/AM119,""),"")</f>
        <v>0.00474056197207378</v>
      </c>
      <c r="AN116" s="30" t="n">
        <f aca="false">IF(AND(ISNUMBER(AN145),ISNUMBER(AN119)),IFERROR(AN145/AN119,""),"")</f>
        <v>0.00447894893998208</v>
      </c>
      <c r="AO116" s="30" t="n">
        <f aca="false">IF(AND(ISNUMBER(AO145),ISNUMBER(AO119)),IFERROR(AO145/AO119,""),"")</f>
        <v>0.0109971764006539</v>
      </c>
      <c r="AP116" s="30" t="n">
        <f aca="false">IF(AND(ISNUMBER(AP145),ISNUMBER(AP119)),IFERROR(AP145/AP119,""),"")</f>
        <v>0.00774558724957176</v>
      </c>
      <c r="AQ116" s="30" t="n">
        <f aca="false">IF(AND(ISNUMBER(AQ145),ISNUMBER(AQ119)),IFERROR(AQ145/AQ119,""),"")</f>
        <v>0.00919509594882729</v>
      </c>
      <c r="AR116" s="30" t="n">
        <f aca="false">IF(AND(ISNUMBER(AR145),ISNUMBER(AR119)),IFERROR(AR145/AR119,""),"")</f>
        <v>0.00952256717975476</v>
      </c>
      <c r="AS116" s="30" t="n">
        <f aca="false">IF(AND(ISNUMBER(AS145),ISNUMBER(AS119)),IFERROR(AS145/AS119,""),"")</f>
        <v>0.00936058009228741</v>
      </c>
      <c r="AT116" s="30" t="n">
        <f aca="false">IF(AND(ISNUMBER(AT145),ISNUMBER(AT119)),IFERROR(AT145/AT119,""),"")</f>
        <v>0.0082150858849888</v>
      </c>
      <c r="AU116" s="30" t="n">
        <f aca="false">IF(AND(ISNUMBER(AU145),ISNUMBER(AU119)),IFERROR(AU145/AU119,""),"")</f>
        <v>0.00828313253012048</v>
      </c>
      <c r="AV116" s="30" t="n">
        <f aca="false">IF(AND(ISNUMBER(AV145),ISNUMBER(AV119)),IFERROR(AV145/AV119,""),"")</f>
        <v>0.00824896887889014</v>
      </c>
      <c r="AW116" s="30" t="n">
        <f aca="false">IF(AND(ISNUMBER(AW145),ISNUMBER(AW119)),IFERROR(AW145/AW119,""),"")</f>
        <v>0.00808526277104006</v>
      </c>
      <c r="AX116" s="28" t="n">
        <f aca="false">IF(AND(ISNUMBER(AX145),ISNUMBER(AX119)),IFERROR(AX145/AX119,""),"")</f>
        <v>0.00831361003591708</v>
      </c>
      <c r="AY116" s="42" t="n">
        <v>0.0082</v>
      </c>
      <c r="AZ116" s="42" t="n">
        <v>0.0082</v>
      </c>
      <c r="BA116" s="42" t="n">
        <v>0.0082</v>
      </c>
      <c r="BB116" s="42" t="n">
        <v>0.0082</v>
      </c>
      <c r="BC116" s="42" t="n">
        <v>0.0082</v>
      </c>
      <c r="BD116" s="23"/>
      <c r="BF116" s="7"/>
      <c r="BG116" s="7"/>
      <c r="BH116" s="7"/>
      <c r="BI116" s="7"/>
    </row>
    <row r="117" customFormat="false" ht="15" hidden="false" customHeight="true" outlineLevel="0" collapsed="false">
      <c r="B117" s="13"/>
      <c r="AX117" s="7"/>
      <c r="AY117" s="7"/>
      <c r="AZ117" s="7"/>
      <c r="BA117" s="7"/>
      <c r="BB117" s="7"/>
      <c r="BC117" s="7"/>
      <c r="BD117" s="7"/>
    </row>
    <row r="118" customFormat="false" ht="15" hidden="false" customHeight="true" outlineLevel="0" collapsed="false">
      <c r="B118" s="12" t="s">
        <v>186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 t="s">
        <v>187</v>
      </c>
    </row>
    <row r="119" customFormat="false" ht="15" hidden="false" customHeight="true" outlineLevel="0" collapsed="false">
      <c r="B119" s="40" t="s">
        <v>188</v>
      </c>
      <c r="C119" s="46" t="n">
        <v>1514.9</v>
      </c>
      <c r="D119" s="46" t="n">
        <v>1625.1</v>
      </c>
      <c r="E119" s="46" t="n">
        <v>1764.6</v>
      </c>
      <c r="F119" s="46" t="n">
        <v>1914.3</v>
      </c>
      <c r="G119" s="46" t="n">
        <v>2400.8</v>
      </c>
      <c r="H119" s="46" t="n">
        <v>2841.2</v>
      </c>
      <c r="I119" s="46" t="n">
        <v>3484.1</v>
      </c>
      <c r="J119" s="46" t="n">
        <v>1767.2</v>
      </c>
      <c r="K119" s="41" t="n">
        <f aca="false">L119-J119</f>
        <v>1987.6</v>
      </c>
      <c r="L119" s="46" t="n">
        <v>3754.8</v>
      </c>
      <c r="M119" s="46" t="n">
        <v>1906.9</v>
      </c>
      <c r="N119" s="41" t="n">
        <f aca="false">O119-M119</f>
        <v>2211.7</v>
      </c>
      <c r="O119" s="46" t="n">
        <v>4118.6</v>
      </c>
      <c r="P119" s="46" t="n">
        <v>2299.4</v>
      </c>
      <c r="Q119" s="41" t="n">
        <f aca="false">R119-P119</f>
        <v>2541.6</v>
      </c>
      <c r="R119" s="46" t="n">
        <v>4841</v>
      </c>
      <c r="S119" s="46" t="n">
        <v>2440.4</v>
      </c>
      <c r="T119" s="41" t="n">
        <f aca="false">U119-S119</f>
        <v>2761.8</v>
      </c>
      <c r="U119" s="46" t="n">
        <v>5202.2</v>
      </c>
      <c r="V119" s="46" t="n">
        <v>2713.1</v>
      </c>
      <c r="W119" s="41" t="n">
        <f aca="false">X119-V119</f>
        <v>2836.1</v>
      </c>
      <c r="X119" s="46" t="n">
        <v>5549.2</v>
      </c>
      <c r="Y119" s="46" t="n">
        <v>2853.4</v>
      </c>
      <c r="Z119" s="41" t="n">
        <f aca="false">AA119-Y119</f>
        <v>3112.7</v>
      </c>
      <c r="AA119" s="46" t="n">
        <v>5966.1</v>
      </c>
      <c r="AB119" s="46" t="n">
        <v>3284.2</v>
      </c>
      <c r="AC119" s="41" t="n">
        <f aca="false">AD119-AB119</f>
        <v>3599.2</v>
      </c>
      <c r="AD119" s="46" t="n">
        <v>6883.4</v>
      </c>
      <c r="AE119" s="46" t="n">
        <v>2488</v>
      </c>
      <c r="AF119" s="41" t="n">
        <f aca="false">AG119-AE119</f>
        <v>3901.4</v>
      </c>
      <c r="AG119" s="46" t="n">
        <v>6389.4</v>
      </c>
      <c r="AH119" s="46" t="n">
        <v>4235.1</v>
      </c>
      <c r="AI119" s="41" t="n">
        <f aca="false">AJ119-AH119</f>
        <v>4746.9</v>
      </c>
      <c r="AJ119" s="46" t="n">
        <v>8982</v>
      </c>
      <c r="AK119" s="46" t="n">
        <v>5475</v>
      </c>
      <c r="AL119" s="41" t="n">
        <f aca="false">AM119-AK119</f>
        <v>6127</v>
      </c>
      <c r="AM119" s="46" t="n">
        <v>11602</v>
      </c>
      <c r="AN119" s="46" t="n">
        <v>6698</v>
      </c>
      <c r="AO119" s="41" t="n">
        <f aca="false">AP119-AN119</f>
        <v>6729</v>
      </c>
      <c r="AP119" s="46" t="n">
        <v>13427</v>
      </c>
      <c r="AQ119" s="46" t="n">
        <v>7504</v>
      </c>
      <c r="AR119" s="41" t="n">
        <f aca="false">AS119-AQ119</f>
        <v>7666</v>
      </c>
      <c r="AS119" s="46" t="n">
        <v>15170</v>
      </c>
      <c r="AT119" s="46" t="n">
        <v>8034</v>
      </c>
      <c r="AU119" s="41" t="n">
        <f aca="false">AV119-AT119</f>
        <v>7968</v>
      </c>
      <c r="AV119" s="46" t="n">
        <v>16002</v>
      </c>
      <c r="AW119" s="46" t="n">
        <v>8163</v>
      </c>
      <c r="AX119" s="41" t="n">
        <f aca="false">AX61</f>
        <v>8243.99</v>
      </c>
      <c r="AY119" s="41" t="n">
        <f aca="false">AY61</f>
        <v>16406.99</v>
      </c>
      <c r="AZ119" s="41" t="n">
        <f aca="false">AZ61</f>
        <v>17626.3364</v>
      </c>
      <c r="BA119" s="41" t="n">
        <f aca="false">BA61</f>
        <v>18946.13737</v>
      </c>
      <c r="BB119" s="41" t="n">
        <f aca="false">BB61</f>
        <v>20307.48290522</v>
      </c>
      <c r="BC119" s="41" t="n">
        <f aca="false">BC61</f>
        <v>21676.7832681376</v>
      </c>
      <c r="BD119" s="23" t="s">
        <v>189</v>
      </c>
      <c r="BF119" s="24" t="n">
        <f aca="false">IFERROR((BC119/AV119)^(1/5)-1,"n/m")</f>
        <v>0.0625860593576504</v>
      </c>
      <c r="BG119" s="24" t="n">
        <f aca="false">IFERROR((AV119/AG119)^(1/5)-1,"n/m")</f>
        <v>0.201552738882587</v>
      </c>
      <c r="BH119" s="24" t="n">
        <f aca="false">IFERROR((AV119/R119)^(1/10)-1,"n/m")</f>
        <v>0.127000005961152</v>
      </c>
      <c r="BI119" s="24" t="n">
        <f aca="false">IFERROR((AV119/C119)^(1/19)-1,"n/m")</f>
        <v>0.132097157676396</v>
      </c>
    </row>
    <row r="120" customFormat="false" ht="15" hidden="false" customHeight="true" outlineLevel="0" collapsed="false">
      <c r="B120" s="13" t="s">
        <v>190</v>
      </c>
      <c r="C120" s="37"/>
      <c r="D120" s="37"/>
      <c r="E120" s="37"/>
      <c r="F120" s="38" t="n">
        <v>-701.7</v>
      </c>
      <c r="G120" s="38" t="n">
        <v>-815</v>
      </c>
      <c r="H120" s="38" t="n">
        <v>-886.4</v>
      </c>
      <c r="I120" s="38" t="n">
        <v>-1110.8</v>
      </c>
      <c r="J120" s="38" t="n">
        <v>-554</v>
      </c>
      <c r="K120" s="37" t="n">
        <f aca="false">L120-J120</f>
        <v>-616.3</v>
      </c>
      <c r="L120" s="38" t="n">
        <v>-1170.3</v>
      </c>
      <c r="M120" s="38" t="n">
        <v>-608.5</v>
      </c>
      <c r="N120" s="37" t="n">
        <f aca="false">O120-M120</f>
        <v>-757.1</v>
      </c>
      <c r="O120" s="38" t="n">
        <v>-1365.6</v>
      </c>
      <c r="P120" s="38" t="n">
        <v>-770.6</v>
      </c>
      <c r="Q120" s="37" t="n">
        <f aca="false">R120-P120</f>
        <v>-871.9</v>
      </c>
      <c r="R120" s="38" t="n">
        <v>-1642.5</v>
      </c>
      <c r="S120" s="38" t="n">
        <v>-770.3</v>
      </c>
      <c r="T120" s="37" t="n">
        <f aca="false">U120-S120</f>
        <v>-911.6</v>
      </c>
      <c r="U120" s="38" t="n">
        <v>-1681.9</v>
      </c>
      <c r="V120" s="38" t="n">
        <v>-809.9</v>
      </c>
      <c r="W120" s="37" t="n">
        <f aca="false">X120-V120</f>
        <v>-849.4</v>
      </c>
      <c r="X120" s="38" t="n">
        <v>-1659.3</v>
      </c>
      <c r="Y120" s="38" t="n">
        <v>-859.2</v>
      </c>
      <c r="Z120" s="37" t="n">
        <f aca="false">AA120-Y120</f>
        <v>-931.8</v>
      </c>
      <c r="AA120" s="38" t="n">
        <v>-1791</v>
      </c>
      <c r="AB120" s="38" t="n">
        <v>-1029.1</v>
      </c>
      <c r="AC120" s="37" t="n">
        <f aca="false">AD120-AB120</f>
        <v>-1095.8</v>
      </c>
      <c r="AD120" s="38" t="n">
        <v>-2124.9</v>
      </c>
      <c r="AE120" s="38" t="n">
        <v>-870.7</v>
      </c>
      <c r="AF120" s="37" t="n">
        <f aca="false">AG120-AE120</f>
        <v>-1142.6</v>
      </c>
      <c r="AG120" s="38" t="n">
        <v>-2013.3</v>
      </c>
      <c r="AH120" s="38" t="n">
        <v>-1207.2</v>
      </c>
      <c r="AI120" s="37" t="n">
        <f aca="false">AJ120-AH120</f>
        <v>-1372.8</v>
      </c>
      <c r="AJ120" s="38" t="n">
        <v>-2580</v>
      </c>
      <c r="AK120" s="38" t="n">
        <v>-1586</v>
      </c>
      <c r="AL120" s="37" t="n">
        <f aca="false">AM120-AK120</f>
        <v>-1803</v>
      </c>
      <c r="AM120" s="38" t="n">
        <v>-3389</v>
      </c>
      <c r="AN120" s="38" t="n">
        <v>-1863</v>
      </c>
      <c r="AO120" s="37" t="n">
        <f aca="false">AP120-AN120</f>
        <v>-1857</v>
      </c>
      <c r="AP120" s="38" t="n">
        <v>-3720</v>
      </c>
      <c r="AQ120" s="38" t="n">
        <v>-2206</v>
      </c>
      <c r="AR120" s="37" t="n">
        <f aca="false">AS120-AQ120</f>
        <v>-2305</v>
      </c>
      <c r="AS120" s="38" t="n">
        <v>-4511</v>
      </c>
      <c r="AT120" s="38" t="n">
        <v>-2356</v>
      </c>
      <c r="AU120" s="37" t="n">
        <f aca="false">AV120-AT120</f>
        <v>-2267</v>
      </c>
      <c r="AV120" s="38" t="n">
        <v>-4623</v>
      </c>
      <c r="AW120" s="38" t="n">
        <v>-2356</v>
      </c>
      <c r="AX120" s="39" t="n">
        <f aca="false">-AX119*(1-AX111)</f>
        <v>-2366.02513</v>
      </c>
      <c r="AY120" s="39" t="n">
        <f aca="false">AW120+AX120</f>
        <v>-4722.02513</v>
      </c>
      <c r="AZ120" s="39" t="n">
        <f aca="false">-AZ119*(1-AZ111)</f>
        <v>-5076.3848832</v>
      </c>
      <c r="BA120" s="39" t="n">
        <f aca="false">-BA119*(1-BA111)</f>
        <v>-5437.54142519</v>
      </c>
      <c r="BB120" s="39" t="n">
        <f aca="false">-BB119*(1-BB111)</f>
        <v>-5807.94011089292</v>
      </c>
      <c r="BC120" s="39" t="n">
        <f aca="false">-BC119*(1-BC111)</f>
        <v>-6199.56001468736</v>
      </c>
      <c r="BD120" s="23"/>
      <c r="BF120" s="7"/>
      <c r="BG120" s="7"/>
      <c r="BH120" s="7"/>
      <c r="BI120" s="7"/>
    </row>
    <row r="121" customFormat="false" ht="15" hidden="false" customHeight="true" outlineLevel="0" collapsed="false">
      <c r="B121" s="19" t="s">
        <v>191</v>
      </c>
      <c r="C121" s="20"/>
      <c r="D121" s="20"/>
      <c r="E121" s="20"/>
      <c r="F121" s="20" t="n">
        <f aca="false">F119+F120</f>
        <v>1212.6</v>
      </c>
      <c r="G121" s="20" t="n">
        <f aca="false">G119+G120</f>
        <v>1585.8</v>
      </c>
      <c r="H121" s="20" t="n">
        <f aca="false">H119+H120</f>
        <v>1954.8</v>
      </c>
      <c r="I121" s="20" t="n">
        <f aca="false">I119+I120</f>
        <v>2373.3</v>
      </c>
      <c r="J121" s="20" t="n">
        <f aca="false">J119+J120</f>
        <v>1213.2</v>
      </c>
      <c r="K121" s="20" t="n">
        <f aca="false">K119+K120</f>
        <v>1371.3</v>
      </c>
      <c r="L121" s="20" t="n">
        <f aca="false">L119+L120</f>
        <v>2584.5</v>
      </c>
      <c r="M121" s="20" t="n">
        <f aca="false">M119+M120</f>
        <v>1298.4</v>
      </c>
      <c r="N121" s="20" t="n">
        <f aca="false">N119+N120</f>
        <v>1454.6</v>
      </c>
      <c r="O121" s="20" t="n">
        <f aca="false">O119+O120</f>
        <v>2753</v>
      </c>
      <c r="P121" s="20" t="n">
        <f aca="false">P119+P120</f>
        <v>1528.8</v>
      </c>
      <c r="Q121" s="20" t="n">
        <f aca="false">Q119+Q120</f>
        <v>1669.7</v>
      </c>
      <c r="R121" s="20" t="n">
        <f aca="false">R119+R120</f>
        <v>3198.5</v>
      </c>
      <c r="S121" s="20" t="n">
        <f aca="false">S119+S120</f>
        <v>1670.1</v>
      </c>
      <c r="T121" s="20" t="n">
        <f aca="false">T119+T120</f>
        <v>1850.2</v>
      </c>
      <c r="U121" s="20" t="n">
        <f aca="false">U119+U120</f>
        <v>3520.3</v>
      </c>
      <c r="V121" s="20" t="n">
        <f aca="false">V119+V120</f>
        <v>1903.2</v>
      </c>
      <c r="W121" s="20" t="n">
        <f aca="false">W119+W120</f>
        <v>1986.7</v>
      </c>
      <c r="X121" s="20" t="n">
        <f aca="false">X119+X120</f>
        <v>3889.9</v>
      </c>
      <c r="Y121" s="20" t="n">
        <f aca="false">Y119+Y120</f>
        <v>1994.2</v>
      </c>
      <c r="Z121" s="20" t="n">
        <f aca="false">Z119+Z120</f>
        <v>2180.9</v>
      </c>
      <c r="AA121" s="20" t="n">
        <f aca="false">AA119+AA120</f>
        <v>4175.1</v>
      </c>
      <c r="AB121" s="20" t="n">
        <f aca="false">AB119+AB120</f>
        <v>2255.1</v>
      </c>
      <c r="AC121" s="20" t="n">
        <f aca="false">AC119+AC120</f>
        <v>2503.4</v>
      </c>
      <c r="AD121" s="20" t="n">
        <f aca="false">AD119+AD120</f>
        <v>4758.5</v>
      </c>
      <c r="AE121" s="20" t="n">
        <f aca="false">AE119+AE120</f>
        <v>1617.3</v>
      </c>
      <c r="AF121" s="20" t="n">
        <f aca="false">AF119+AF120</f>
        <v>2758.8</v>
      </c>
      <c r="AG121" s="20" t="n">
        <f aca="false">AG119+AG120</f>
        <v>4376.1</v>
      </c>
      <c r="AH121" s="20" t="n">
        <f aca="false">AH119+AH120</f>
        <v>3027.9</v>
      </c>
      <c r="AI121" s="20" t="n">
        <f aca="false">AI119+AI120</f>
        <v>3374.1</v>
      </c>
      <c r="AJ121" s="20" t="n">
        <f aca="false">AJ119+AJ120</f>
        <v>6402</v>
      </c>
      <c r="AK121" s="20" t="n">
        <f aca="false">AK119+AK120</f>
        <v>3889</v>
      </c>
      <c r="AL121" s="20" t="n">
        <f aca="false">AL119+AL120</f>
        <v>4324</v>
      </c>
      <c r="AM121" s="20" t="n">
        <f aca="false">AM119+AM120</f>
        <v>8213</v>
      </c>
      <c r="AN121" s="20" t="n">
        <f aca="false">AN119+AN120</f>
        <v>4835</v>
      </c>
      <c r="AO121" s="20" t="n">
        <f aca="false">AO119+AO120</f>
        <v>4872</v>
      </c>
      <c r="AP121" s="20" t="n">
        <f aca="false">AP119+AP120</f>
        <v>9707</v>
      </c>
      <c r="AQ121" s="20" t="n">
        <f aca="false">AQ119+AQ120</f>
        <v>5298</v>
      </c>
      <c r="AR121" s="20" t="n">
        <f aca="false">AR119+AR120</f>
        <v>5361</v>
      </c>
      <c r="AS121" s="20" t="n">
        <f aca="false">AS119+AS120</f>
        <v>10659</v>
      </c>
      <c r="AT121" s="20" t="n">
        <f aca="false">AT119+AT120</f>
        <v>5678</v>
      </c>
      <c r="AU121" s="20" t="n">
        <f aca="false">AU119+AU120</f>
        <v>5701</v>
      </c>
      <c r="AV121" s="20" t="n">
        <f aca="false">AV119+AV120</f>
        <v>11379</v>
      </c>
      <c r="AW121" s="20" t="n">
        <f aca="false">AW119+AW120</f>
        <v>5807</v>
      </c>
      <c r="AX121" s="22" t="n">
        <f aca="false">AX119+AX120</f>
        <v>5877.96487</v>
      </c>
      <c r="AY121" s="22" t="n">
        <f aca="false">AW121+AX121</f>
        <v>11684.96487</v>
      </c>
      <c r="AZ121" s="22" t="n">
        <f aca="false">AZ119+AZ120</f>
        <v>12549.9515168</v>
      </c>
      <c r="BA121" s="22" t="n">
        <f aca="false">BA119+BA120</f>
        <v>13508.59594481</v>
      </c>
      <c r="BB121" s="22" t="n">
        <f aca="false">BB119+BB120</f>
        <v>14499.5427943271</v>
      </c>
      <c r="BC121" s="22" t="n">
        <f aca="false">BC119+BC120</f>
        <v>15477.2232534503</v>
      </c>
      <c r="BD121" s="23"/>
      <c r="BF121" s="7"/>
      <c r="BG121" s="7"/>
      <c r="BH121" s="7"/>
      <c r="BI121" s="7"/>
    </row>
    <row r="122" customFormat="false" ht="15" hidden="false" customHeight="true" outlineLevel="0" collapsed="false">
      <c r="B122" s="13" t="s">
        <v>192</v>
      </c>
      <c r="C122" s="37"/>
      <c r="D122" s="37"/>
      <c r="E122" s="37"/>
      <c r="F122" s="38" t="n">
        <v>-660.6</v>
      </c>
      <c r="G122" s="38" t="n">
        <v>-802.2</v>
      </c>
      <c r="H122" s="38" t="n">
        <v>-945.7</v>
      </c>
      <c r="I122" s="38" t="n">
        <v>-1130.8</v>
      </c>
      <c r="J122" s="38" t="n">
        <v>-569.8</v>
      </c>
      <c r="K122" s="37" t="n">
        <f aca="false">L122-J122</f>
        <v>-645.4</v>
      </c>
      <c r="L122" s="38" t="n">
        <v>-1215.2</v>
      </c>
      <c r="M122" s="38" t="n">
        <v>-612.3</v>
      </c>
      <c r="N122" s="37" t="n">
        <f aca="false">O122-M122</f>
        <v>-679.4</v>
      </c>
      <c r="O122" s="38" t="n">
        <v>-1291.7</v>
      </c>
      <c r="P122" s="38" t="n">
        <v>-693.9</v>
      </c>
      <c r="Q122" s="37" t="n">
        <f aca="false">R122-P122</f>
        <v>-725</v>
      </c>
      <c r="R122" s="38" t="n">
        <v>-1418.9</v>
      </c>
      <c r="S122" s="38" t="n">
        <v>-724.2</v>
      </c>
      <c r="T122" s="37" t="n">
        <f aca="false">U122-S122</f>
        <v>-821.1</v>
      </c>
      <c r="U122" s="38" t="n">
        <v>-1545.3</v>
      </c>
      <c r="V122" s="38" t="n">
        <v>-807.1</v>
      </c>
      <c r="W122" s="37" t="n">
        <f aca="false">X122-V122</f>
        <v>-849.2</v>
      </c>
      <c r="X122" s="38" t="n">
        <v>-1656.3</v>
      </c>
      <c r="Y122" s="38" t="n">
        <v>-830</v>
      </c>
      <c r="Z122" s="37" t="n">
        <f aca="false">AA122-Y122</f>
        <v>-941.2</v>
      </c>
      <c r="AA122" s="38" t="n">
        <v>-1771.2</v>
      </c>
      <c r="AB122" s="38" t="n">
        <v>-842.2</v>
      </c>
      <c r="AC122" s="37" t="n">
        <f aca="false">AD122-AB122</f>
        <v>-973.5</v>
      </c>
      <c r="AD122" s="38" t="n">
        <v>-1815.7</v>
      </c>
      <c r="AE122" s="38" t="n">
        <v>-768.5</v>
      </c>
      <c r="AF122" s="37" t="n">
        <f aca="false">AG122-AE122</f>
        <v>-930</v>
      </c>
      <c r="AG122" s="38" t="n">
        <v>-1698.5</v>
      </c>
      <c r="AH122" s="38" t="n">
        <v>-935</v>
      </c>
      <c r="AI122" s="37" t="n">
        <f aca="false">AJ122-AH122</f>
        <v>-1202</v>
      </c>
      <c r="AJ122" s="38" t="n">
        <v>-2137</v>
      </c>
      <c r="AK122" s="38" t="n">
        <v>-1178</v>
      </c>
      <c r="AL122" s="37" t="n">
        <f aca="false">AM122-AK122</f>
        <v>-1502</v>
      </c>
      <c r="AM122" s="38" t="n">
        <v>-2680</v>
      </c>
      <c r="AN122" s="38" t="n">
        <v>-1485</v>
      </c>
      <c r="AO122" s="37" t="n">
        <f aca="false">AP122-AN122</f>
        <v>-1684</v>
      </c>
      <c r="AP122" s="38" t="n">
        <v>-3169</v>
      </c>
      <c r="AQ122" s="38" t="n">
        <v>-1682</v>
      </c>
      <c r="AR122" s="37" t="n">
        <f aca="false">AS122-AQ122</f>
        <v>-1887</v>
      </c>
      <c r="AS122" s="38" t="n">
        <v>-3569</v>
      </c>
      <c r="AT122" s="38" t="n">
        <v>-1832</v>
      </c>
      <c r="AU122" s="37" t="n">
        <f aca="false">AV122-AT122</f>
        <v>-1872</v>
      </c>
      <c r="AV122" s="38" t="n">
        <v>-3704</v>
      </c>
      <c r="AW122" s="38" t="n">
        <v>-1899</v>
      </c>
      <c r="AX122" s="39" t="n">
        <f aca="false">AX124-AX121-AX123</f>
        <v>-1995.04558</v>
      </c>
      <c r="AY122" s="39" t="n">
        <f aca="false">AW122+AX122</f>
        <v>-3894.04558</v>
      </c>
      <c r="AZ122" s="39" t="n">
        <f aca="false">AZ124-AZ121-AZ123</f>
        <v>-4195.0680632</v>
      </c>
      <c r="BA122" s="39" t="n">
        <f aca="false">BA124-BA121-BA123</f>
        <v>-4471.28841932</v>
      </c>
      <c r="BB122" s="39" t="n">
        <f aca="false">BB124-BB121-BB123</f>
        <v>-4772.2584827267</v>
      </c>
      <c r="BC122" s="39" t="n">
        <f aca="false">BC124-BC121-BC123</f>
        <v>-5094.04406801234</v>
      </c>
      <c r="BD122" s="23" t="s">
        <v>193</v>
      </c>
      <c r="BF122" s="7"/>
      <c r="BG122" s="7"/>
      <c r="BH122" s="7"/>
      <c r="BI122" s="7"/>
    </row>
    <row r="123" customFormat="false" ht="15" hidden="false" customHeight="true" outlineLevel="0" collapsed="false">
      <c r="B123" s="13" t="s">
        <v>194</v>
      </c>
      <c r="C123" s="37"/>
      <c r="D123" s="37"/>
      <c r="E123" s="37"/>
      <c r="F123" s="38" t="n">
        <v>-89.1</v>
      </c>
      <c r="G123" s="38" t="n">
        <v>-115.4</v>
      </c>
      <c r="H123" s="38" t="n">
        <v>-123.9</v>
      </c>
      <c r="I123" s="38" t="n">
        <v>-123.8</v>
      </c>
      <c r="J123" s="38" t="n">
        <v>-59.3</v>
      </c>
      <c r="K123" s="37" t="n">
        <f aca="false">L123-J123</f>
        <v>-91.8</v>
      </c>
      <c r="L123" s="38" t="n">
        <v>-151.1</v>
      </c>
      <c r="M123" s="38" t="n">
        <v>-64.7</v>
      </c>
      <c r="N123" s="37" t="n">
        <f aca="false">O123-M123</f>
        <v>-97.3</v>
      </c>
      <c r="O123" s="38" t="n">
        <v>-162</v>
      </c>
      <c r="P123" s="38" t="n">
        <v>-86.7</v>
      </c>
      <c r="Q123" s="37" t="n">
        <f aca="false">R123-P123</f>
        <v>-152.2</v>
      </c>
      <c r="R123" s="38" t="n">
        <v>-238.9</v>
      </c>
      <c r="S123" s="38" t="n">
        <v>-119.1</v>
      </c>
      <c r="T123" s="37" t="n">
        <f aca="false">U123-S123</f>
        <v>-159.4</v>
      </c>
      <c r="U123" s="38" t="n">
        <v>-278.5</v>
      </c>
      <c r="V123" s="38" t="n">
        <v>-164.8</v>
      </c>
      <c r="W123" s="37" t="n">
        <f aca="false">X123-V123</f>
        <v>-146.8</v>
      </c>
      <c r="X123" s="38" t="n">
        <v>-311.6</v>
      </c>
      <c r="Y123" s="38" t="n">
        <v>-179.6</v>
      </c>
      <c r="Z123" s="37" t="n">
        <f aca="false">AA123-Y123</f>
        <v>-179.3</v>
      </c>
      <c r="AA123" s="38" t="n">
        <v>-358.9</v>
      </c>
      <c r="AB123" s="38" t="n">
        <v>-269</v>
      </c>
      <c r="AC123" s="37" t="n">
        <f aca="false">AD123-AB123</f>
        <v>-335</v>
      </c>
      <c r="AD123" s="38" t="n">
        <v>-604</v>
      </c>
      <c r="AE123" s="38" t="n">
        <v>-314.2</v>
      </c>
      <c r="AF123" s="37" t="n">
        <f aca="false">AG123-AE123</f>
        <v>-382</v>
      </c>
      <c r="AG123" s="38" t="n">
        <v>-696.2</v>
      </c>
      <c r="AH123" s="38" t="n">
        <v>-371.1</v>
      </c>
      <c r="AI123" s="37" t="n">
        <f aca="false">AJ123-AH123</f>
        <v>-362.9</v>
      </c>
      <c r="AJ123" s="38" t="n">
        <v>-734</v>
      </c>
      <c r="AK123" s="38" t="n">
        <v>-406</v>
      </c>
      <c r="AL123" s="37" t="n">
        <f aca="false">AM123-AK123</f>
        <v>-430</v>
      </c>
      <c r="AM123" s="38" t="n">
        <v>-836</v>
      </c>
      <c r="AN123" s="38" t="n">
        <v>-403</v>
      </c>
      <c r="AO123" s="37" t="n">
        <f aca="false">AP123-AN123</f>
        <v>-486</v>
      </c>
      <c r="AP123" s="38" t="n">
        <v>-889</v>
      </c>
      <c r="AQ123" s="38" t="n">
        <v>-467</v>
      </c>
      <c r="AR123" s="37" t="n">
        <f aca="false">AS123-AQ123</f>
        <v>-475</v>
      </c>
      <c r="AS123" s="38" t="n">
        <v>-942</v>
      </c>
      <c r="AT123" s="38" t="n">
        <v>-519</v>
      </c>
      <c r="AU123" s="37" t="n">
        <f aca="false">AV123-AT123</f>
        <v>-587</v>
      </c>
      <c r="AV123" s="38" t="n">
        <v>-1106</v>
      </c>
      <c r="AW123" s="38" t="n">
        <v>-558</v>
      </c>
      <c r="AX123" s="39" t="n">
        <f aca="false">-AX119*AX113</f>
        <v>-568.83531</v>
      </c>
      <c r="AY123" s="39" t="n">
        <f aca="false">AW123+AX123</f>
        <v>-1126.83531</v>
      </c>
      <c r="AZ123" s="39" t="n">
        <f aca="false">-AZ119*AZ113</f>
        <v>-1216.2172116</v>
      </c>
      <c r="BA123" s="39" t="n">
        <f aca="false">-BA119*BA113</f>
        <v>-1307.28347853</v>
      </c>
      <c r="BB123" s="39" t="n">
        <f aca="false">-BB119*BB113</f>
        <v>-1401.21632046018</v>
      </c>
      <c r="BC123" s="39" t="n">
        <f aca="false">-BC119*BC113</f>
        <v>-1495.6980455015</v>
      </c>
      <c r="BD123" s="23"/>
      <c r="BF123" s="7"/>
      <c r="BG123" s="7"/>
      <c r="BH123" s="7"/>
      <c r="BI123" s="7"/>
    </row>
    <row r="124" customFormat="false" ht="15" hidden="false" customHeight="true" outlineLevel="0" collapsed="false">
      <c r="B124" s="40" t="s">
        <v>195</v>
      </c>
      <c r="C124" s="46" t="n">
        <v>401.1</v>
      </c>
      <c r="D124" s="46" t="n">
        <v>414.5</v>
      </c>
      <c r="E124" s="46" t="n">
        <v>449.2</v>
      </c>
      <c r="F124" s="41" t="n">
        <f aca="false">F121+F122+F123</f>
        <v>462.9</v>
      </c>
      <c r="G124" s="41" t="n">
        <f aca="false">G121+G122+G123</f>
        <v>668.2</v>
      </c>
      <c r="H124" s="41" t="n">
        <f aca="false">H121+H122+H123</f>
        <v>885.2</v>
      </c>
      <c r="I124" s="41" t="n">
        <f aca="false">I121+I122+I123</f>
        <v>1118.7</v>
      </c>
      <c r="J124" s="41" t="n">
        <f aca="false">J121+J122+J123</f>
        <v>584.1</v>
      </c>
      <c r="K124" s="41" t="n">
        <f aca="false">K121+K122+K123</f>
        <v>634.1</v>
      </c>
      <c r="L124" s="41" t="n">
        <f aca="false">L121+L122+L123</f>
        <v>1218.2</v>
      </c>
      <c r="M124" s="41" t="n">
        <f aca="false">M121+M122+M123</f>
        <v>621.4</v>
      </c>
      <c r="N124" s="41" t="n">
        <f aca="false">N121+N122+N123</f>
        <v>677.9</v>
      </c>
      <c r="O124" s="41" t="n">
        <f aca="false">O121+O122+O123</f>
        <v>1299.3</v>
      </c>
      <c r="P124" s="41" t="n">
        <f aca="false">P121+P122+P123</f>
        <v>748.2</v>
      </c>
      <c r="Q124" s="41" t="n">
        <f aca="false">Q121+Q122+Q123</f>
        <v>792.5</v>
      </c>
      <c r="R124" s="41" t="n">
        <f aca="false">R121+R122+R123</f>
        <v>1540.7</v>
      </c>
      <c r="S124" s="41" t="n">
        <f aca="false">S121+S122+S123</f>
        <v>826.8</v>
      </c>
      <c r="T124" s="41" t="n">
        <f aca="false">T121+T122+T123</f>
        <v>869.7</v>
      </c>
      <c r="U124" s="41" t="n">
        <f aca="false">U121+U122+U123</f>
        <v>1696.5</v>
      </c>
      <c r="V124" s="41" t="n">
        <f aca="false">V121+V122+V123</f>
        <v>931.3</v>
      </c>
      <c r="W124" s="41" t="n">
        <f aca="false">W121+W122+W123</f>
        <v>990.7</v>
      </c>
      <c r="X124" s="41" t="n">
        <f aca="false">X121+X122+X123</f>
        <v>1922</v>
      </c>
      <c r="Y124" s="41" t="n">
        <f aca="false">Y121+Y122+Y123</f>
        <v>984.6</v>
      </c>
      <c r="Z124" s="41" t="n">
        <f aca="false">Z121+Z122+Z123</f>
        <v>1060.4</v>
      </c>
      <c r="AA124" s="41" t="n">
        <f aca="false">AA121+AA122+AA123</f>
        <v>2045</v>
      </c>
      <c r="AB124" s="41" t="n">
        <f aca="false">AB121+AB122+AB123</f>
        <v>1143.9</v>
      </c>
      <c r="AC124" s="41" t="n">
        <f aca="false">AC121+AC122+AC123</f>
        <v>1194.9</v>
      </c>
      <c r="AD124" s="41" t="n">
        <f aca="false">AD121+AD122+AD123</f>
        <v>2338.8</v>
      </c>
      <c r="AE124" s="41" t="n">
        <f aca="false">AE121+AE122+AE123</f>
        <v>534.6</v>
      </c>
      <c r="AF124" s="41" t="n">
        <f aca="false">AF121+AF122+AF123</f>
        <v>1446.8</v>
      </c>
      <c r="AG124" s="41" t="n">
        <f aca="false">AG121+AG122+AG123</f>
        <v>1981.4</v>
      </c>
      <c r="AH124" s="41" t="n">
        <f aca="false">AH121+AH122+AH123</f>
        <v>1721.8</v>
      </c>
      <c r="AI124" s="41" t="n">
        <f aca="false">AI121+AI122+AI123</f>
        <v>1809.2</v>
      </c>
      <c r="AJ124" s="41" t="n">
        <f aca="false">AJ121+AJ122+AJ123</f>
        <v>3531</v>
      </c>
      <c r="AK124" s="41" t="n">
        <f aca="false">AK121+AK122+AK123</f>
        <v>2305</v>
      </c>
      <c r="AL124" s="41" t="n">
        <f aca="false">AL121+AL122+AL123</f>
        <v>2392</v>
      </c>
      <c r="AM124" s="41" t="n">
        <f aca="false">AM121+AM122+AM123</f>
        <v>4697</v>
      </c>
      <c r="AN124" s="41" t="n">
        <f aca="false">AN121+AN122+AN123</f>
        <v>2947</v>
      </c>
      <c r="AO124" s="41" t="n">
        <f aca="false">AO121+AO122+AO123</f>
        <v>2702</v>
      </c>
      <c r="AP124" s="41" t="n">
        <f aca="false">AP121+AP122+AP123</f>
        <v>5649</v>
      </c>
      <c r="AQ124" s="41" t="n">
        <f aca="false">AQ121+AQ122+AQ123</f>
        <v>3149</v>
      </c>
      <c r="AR124" s="41" t="n">
        <f aca="false">AR121+AR122+AR123</f>
        <v>2999</v>
      </c>
      <c r="AS124" s="41" t="n">
        <f aca="false">AS121+AS122+AS123</f>
        <v>6148</v>
      </c>
      <c r="AT124" s="41" t="n">
        <f aca="false">AT121+AT122+AT123</f>
        <v>3327</v>
      </c>
      <c r="AU124" s="41" t="n">
        <f aca="false">AU121+AU122+AU123</f>
        <v>3242</v>
      </c>
      <c r="AV124" s="41" t="n">
        <f aca="false">AV121+AV122+AV123</f>
        <v>6569</v>
      </c>
      <c r="AW124" s="41" t="n">
        <f aca="false">AW121+AW122+AW123</f>
        <v>3350</v>
      </c>
      <c r="AX124" s="41" t="n">
        <f aca="false">AX119*AX112</f>
        <v>3314.08398</v>
      </c>
      <c r="AY124" s="41" t="n">
        <f aca="false">AW124+AX124</f>
        <v>6664.08398</v>
      </c>
      <c r="AZ124" s="41" t="n">
        <f aca="false">AZ119*AZ112</f>
        <v>7138.666242</v>
      </c>
      <c r="BA124" s="41" t="n">
        <f aca="false">BA119*BA112</f>
        <v>7730.02404696</v>
      </c>
      <c r="BB124" s="41" t="n">
        <f aca="false">BB119*BB112</f>
        <v>8326.0679911402</v>
      </c>
      <c r="BC124" s="41" t="n">
        <f aca="false">BC119*BC112</f>
        <v>8887.48113993642</v>
      </c>
      <c r="BD124" s="23" t="s">
        <v>196</v>
      </c>
      <c r="BF124" s="24" t="n">
        <f aca="false">IFERROR((BC124/AV124)^(1/5)-1,"n/m")</f>
        <v>0.062321291915411</v>
      </c>
      <c r="BG124" s="24" t="n">
        <f aca="false">IFERROR((AV124/AG124)^(1/5)-1,"n/m")</f>
        <v>0.270882561801848</v>
      </c>
      <c r="BH124" s="24" t="n">
        <f aca="false">IFERROR((AV124/R124)^(1/10)-1,"n/m")</f>
        <v>0.156053992564873</v>
      </c>
      <c r="BI124" s="24" t="n">
        <f aca="false">IFERROR((AV124/C124)^(1/19)-1,"n/m")</f>
        <v>0.15853115109366</v>
      </c>
    </row>
    <row r="125" customFormat="false" ht="15" hidden="false" customHeight="true" outlineLevel="0" collapsed="false">
      <c r="B125" s="43" t="s">
        <v>197</v>
      </c>
      <c r="C125" s="37" t="n">
        <f aca="false">IF(ISNUMBER(C167),ROUND(C124-C167,0),"")</f>
        <v>0</v>
      </c>
      <c r="D125" s="37" t="n">
        <f aca="false">IF(ISNUMBER(D167),ROUND(D124-D167,0),"")</f>
        <v>0</v>
      </c>
      <c r="E125" s="37" t="n">
        <f aca="false">IF(ISNUMBER(E167),ROUND(E124-E167,0),"")</f>
        <v>0</v>
      </c>
      <c r="F125" s="37" t="n">
        <f aca="false">IF(ISNUMBER(F167),ROUND(F124-F167,0),"")</f>
        <v>0</v>
      </c>
      <c r="G125" s="37" t="n">
        <f aca="false">IF(ISNUMBER(G167),ROUND(G124-G167,0),"")</f>
        <v>0</v>
      </c>
      <c r="H125" s="37" t="n">
        <f aca="false">IF(ISNUMBER(H167),ROUND(H124-H167,0),"")</f>
        <v>0</v>
      </c>
      <c r="I125" s="37" t="n">
        <f aca="false">IF(ISNUMBER(I167),ROUND(I124-I167,0),"")</f>
        <v>0</v>
      </c>
      <c r="J125" s="37" t="n">
        <f aca="false">IF(ISNUMBER(J167),ROUND(J124-J167,0),"")</f>
        <v>0</v>
      </c>
      <c r="K125" s="37" t="n">
        <f aca="false">IF(ISNUMBER(K167),ROUND(K124-K167,0),"")</f>
        <v>0</v>
      </c>
      <c r="L125" s="37" t="n">
        <f aca="false">IF(ISNUMBER(L167),ROUND(L124-L167,0),"")</f>
        <v>0</v>
      </c>
      <c r="M125" s="37" t="n">
        <f aca="false">IF(ISNUMBER(M167),ROUND(M124-M167,0),"")</f>
        <v>0</v>
      </c>
      <c r="N125" s="37" t="n">
        <f aca="false">IF(ISNUMBER(N167),ROUND(N124-N167,0),"")</f>
        <v>0</v>
      </c>
      <c r="O125" s="37" t="n">
        <f aca="false">IF(ISNUMBER(O167),ROUND(O124-O167,0),"")</f>
        <v>0</v>
      </c>
      <c r="P125" s="37" t="n">
        <f aca="false">IF(ISNUMBER(P167),ROUND(P124-P167,0),"")</f>
        <v>0</v>
      </c>
      <c r="Q125" s="37" t="n">
        <f aca="false">IF(ISNUMBER(Q167),ROUND(Q124-Q167,0),"")</f>
        <v>0</v>
      </c>
      <c r="R125" s="37" t="n">
        <f aca="false">IF(ISNUMBER(R167),ROUND(R124-R167,0),"")</f>
        <v>0</v>
      </c>
      <c r="S125" s="37" t="n">
        <f aca="false">IF(ISNUMBER(S167),ROUND(S124-S167,0),"")</f>
        <v>0</v>
      </c>
      <c r="T125" s="37" t="n">
        <f aca="false">IF(ISNUMBER(T167),ROUND(T124-T167,0),"")</f>
        <v>0</v>
      </c>
      <c r="U125" s="37" t="n">
        <f aca="false">IF(ISNUMBER(U167),ROUND(U124-U167,0),"")</f>
        <v>0</v>
      </c>
      <c r="V125" s="37" t="n">
        <f aca="false">IF(ISNUMBER(V167),ROUND(V124-V167,0),"")</f>
        <v>0</v>
      </c>
      <c r="W125" s="37" t="n">
        <f aca="false">IF(ISNUMBER(W167),ROUND(W124-W167,0),"")</f>
        <v>0</v>
      </c>
      <c r="X125" s="37" t="n">
        <f aca="false">IF(ISNUMBER(X167),ROUND(X124-X167,0),"")</f>
        <v>0</v>
      </c>
      <c r="Y125" s="37" t="n">
        <f aca="false">IF(ISNUMBER(Y167),ROUND(Y124-Y167,0),"")</f>
        <v>0</v>
      </c>
      <c r="Z125" s="37" t="n">
        <f aca="false">IF(ISNUMBER(Z167),ROUND(Z124-Z167,0),"")</f>
        <v>-0</v>
      </c>
      <c r="AA125" s="37" t="n">
        <f aca="false">IF(ISNUMBER(AA167),ROUND(AA124-AA167,0),"")</f>
        <v>0</v>
      </c>
      <c r="AB125" s="37" t="n">
        <f aca="false">IF(ISNUMBER(AB167),ROUND(AB124-AB167,0),"")</f>
        <v>0</v>
      </c>
      <c r="AC125" s="37" t="n">
        <f aca="false">IF(ISNUMBER(AC167),ROUND(AC124-AC167,0),"")</f>
        <v>-0</v>
      </c>
      <c r="AD125" s="37" t="n">
        <f aca="false">IF(ISNUMBER(AD167),ROUND(AD124-AD167,0),"")</f>
        <v>-0</v>
      </c>
      <c r="AE125" s="37" t="n">
        <f aca="false">IF(ISNUMBER(AE167),ROUND(AE124-AE167,0),"")</f>
        <v>-0</v>
      </c>
      <c r="AF125" s="37" t="n">
        <f aca="false">IF(ISNUMBER(AF167),ROUND(AF124-AF167,0),"")</f>
        <v>0</v>
      </c>
      <c r="AG125" s="37" t="n">
        <f aca="false">IF(ISNUMBER(AG167),ROUND(AG124-AG167,0),"")</f>
        <v>0</v>
      </c>
      <c r="AH125" s="37" t="n">
        <f aca="false">IF(ISNUMBER(AH167),ROUND(AH124-AH167,0),"")</f>
        <v>0</v>
      </c>
      <c r="AI125" s="37" t="n">
        <f aca="false">IF(ISNUMBER(AI167),ROUND(AI124-AI167,0),"")</f>
        <v>1</v>
      </c>
      <c r="AJ125" s="37" t="n">
        <f aca="false">IF(ISNUMBER(AJ167),ROUND(AJ124-AJ167,0),"")</f>
        <v>1</v>
      </c>
      <c r="AK125" s="37" t="n">
        <f aca="false">IF(ISNUMBER(AK167),ROUND(AK124-AK167,0),"")</f>
        <v>1</v>
      </c>
      <c r="AL125" s="37" t="n">
        <f aca="false">IF(ISNUMBER(AL167),ROUND(AL124-AL167,0),"")</f>
        <v>-1</v>
      </c>
      <c r="AM125" s="37" t="n">
        <f aca="false">IF(ISNUMBER(AM167),ROUND(AM124-AM167,0),"")</f>
        <v>0</v>
      </c>
      <c r="AN125" s="37" t="n">
        <f aca="false">IF(ISNUMBER(AN167),ROUND(AN124-AN167,0),"")</f>
        <v>0</v>
      </c>
      <c r="AO125" s="37" t="n">
        <f aca="false">IF(ISNUMBER(AO167),ROUND(AO124-AO167,0),"")</f>
        <v>-1</v>
      </c>
      <c r="AP125" s="37" t="n">
        <f aca="false">IF(ISNUMBER(AP167),ROUND(AP124-AP167,0),"")</f>
        <v>-1</v>
      </c>
      <c r="AQ125" s="37" t="n">
        <f aca="false">IF(ISNUMBER(AQ167),ROUND(AQ124-AQ167,0),"")</f>
        <v>1</v>
      </c>
      <c r="AR125" s="37" t="n">
        <f aca="false">IF(ISNUMBER(AR167),ROUND(AR124-AR167,0),"")</f>
        <v>-3</v>
      </c>
      <c r="AS125" s="37" t="n">
        <f aca="false">IF(ISNUMBER(AS167),ROUND(AS124-AS167,0),"")</f>
        <v>-2</v>
      </c>
      <c r="AT125" s="37" t="n">
        <f aca="false">IF(ISNUMBER(AT167),ROUND(AT124-AT167,0),"")</f>
        <v>0</v>
      </c>
      <c r="AU125" s="37" t="n">
        <f aca="false">IF(ISNUMBER(AU167),ROUND(AU124-AU167,0),"")</f>
        <v>0</v>
      </c>
      <c r="AV125" s="37" t="n">
        <f aca="false">IF(ISNUMBER(AV167),ROUND(AV124-AV167,0),"")</f>
        <v>0</v>
      </c>
      <c r="AW125" s="37" t="n">
        <f aca="false">IF(ISNUMBER(AW167),ROUND(AW124-AW167,0),"")</f>
        <v>-1</v>
      </c>
      <c r="AX125" s="39"/>
      <c r="AY125" s="39"/>
      <c r="AZ125" s="39"/>
      <c r="BA125" s="39"/>
      <c r="BB125" s="39"/>
      <c r="BC125" s="39"/>
      <c r="BD125" s="23"/>
      <c r="BF125" s="7"/>
      <c r="BG125" s="7"/>
      <c r="BH125" s="7"/>
      <c r="BI125" s="7"/>
    </row>
    <row r="126" customFormat="false" ht="15" hidden="false" customHeight="true" outlineLevel="0" collapsed="false">
      <c r="B126" s="13" t="s">
        <v>198</v>
      </c>
      <c r="C126" s="38" t="n">
        <v>14.1</v>
      </c>
      <c r="D126" s="38" t="n">
        <v>9.2</v>
      </c>
      <c r="E126" s="38" t="n">
        <v>0</v>
      </c>
      <c r="F126" s="38" t="n">
        <v>0</v>
      </c>
      <c r="G126" s="38" t="n">
        <v>0</v>
      </c>
      <c r="H126" s="38" t="n">
        <v>0</v>
      </c>
      <c r="I126" s="38" t="n">
        <v>0</v>
      </c>
      <c r="J126" s="38" t="n">
        <v>0</v>
      </c>
      <c r="K126" s="37" t="n">
        <f aca="false">L126-J126</f>
        <v>0</v>
      </c>
      <c r="L126" s="38" t="n">
        <v>0</v>
      </c>
      <c r="M126" s="38" t="n">
        <v>0</v>
      </c>
      <c r="N126" s="37" t="n">
        <f aca="false">O126-M126</f>
        <v>0</v>
      </c>
      <c r="O126" s="38" t="n">
        <v>0</v>
      </c>
      <c r="P126" s="38" t="n">
        <v>0</v>
      </c>
      <c r="Q126" s="37" t="n">
        <f aca="false">R126-P126</f>
        <v>0</v>
      </c>
      <c r="R126" s="38" t="n">
        <v>0</v>
      </c>
      <c r="S126" s="38" t="n">
        <v>0</v>
      </c>
      <c r="T126" s="37" t="n">
        <f aca="false">U126-S126</f>
        <v>0</v>
      </c>
      <c r="U126" s="38" t="n">
        <v>0</v>
      </c>
      <c r="V126" s="38" t="n">
        <v>0</v>
      </c>
      <c r="W126" s="37" t="n">
        <f aca="false">X126-V126</f>
        <v>0</v>
      </c>
      <c r="X126" s="38" t="n">
        <v>0</v>
      </c>
      <c r="Y126" s="38" t="n">
        <v>52.7</v>
      </c>
      <c r="Z126" s="37" t="n">
        <f aca="false">AA126-Y126</f>
        <v>0</v>
      </c>
      <c r="AA126" s="38" t="n">
        <v>52.7</v>
      </c>
      <c r="AB126" s="38" t="n">
        <v>0</v>
      </c>
      <c r="AC126" s="37" t="n">
        <f aca="false">AD126-AB126</f>
        <v>0</v>
      </c>
      <c r="AD126" s="38" t="n">
        <v>0</v>
      </c>
      <c r="AE126" s="38" t="n">
        <v>0</v>
      </c>
      <c r="AF126" s="37" t="n">
        <f aca="false">AG126-AE126</f>
        <v>91.1</v>
      </c>
      <c r="AG126" s="38" t="n">
        <v>91.1</v>
      </c>
      <c r="AH126" s="38" t="n">
        <v>0</v>
      </c>
      <c r="AI126" s="37" t="n">
        <f aca="false">AJ126-AH126</f>
        <v>0</v>
      </c>
      <c r="AJ126" s="38" t="n">
        <v>0</v>
      </c>
      <c r="AK126" s="38" t="n">
        <v>0</v>
      </c>
      <c r="AL126" s="37" t="n">
        <f aca="false">AM126-AK126</f>
        <v>0</v>
      </c>
      <c r="AM126" s="38" t="n">
        <v>0</v>
      </c>
      <c r="AN126" s="38" t="n">
        <v>0</v>
      </c>
      <c r="AO126" s="37" t="n">
        <f aca="false">AP126-AN126</f>
        <v>0</v>
      </c>
      <c r="AP126" s="38" t="n">
        <v>0</v>
      </c>
      <c r="AQ126" s="38" t="n">
        <v>0</v>
      </c>
      <c r="AR126" s="37" t="n">
        <f aca="false">AS126-AQ126</f>
        <v>0</v>
      </c>
      <c r="AS126" s="38" t="n">
        <v>0</v>
      </c>
      <c r="AT126" s="38" t="n">
        <v>0</v>
      </c>
      <c r="AU126" s="37" t="n">
        <f aca="false">AV126-AT126</f>
        <v>0</v>
      </c>
      <c r="AV126" s="38" t="n">
        <v>0</v>
      </c>
      <c r="AW126" s="38" t="n">
        <v>0</v>
      </c>
      <c r="AX126" s="47" t="n">
        <v>0</v>
      </c>
      <c r="AY126" s="39" t="n">
        <f aca="false">AW126+AX126</f>
        <v>0</v>
      </c>
      <c r="AZ126" s="47" t="n">
        <v>0</v>
      </c>
      <c r="BA126" s="47" t="n">
        <v>0</v>
      </c>
      <c r="BB126" s="47" t="n">
        <v>0</v>
      </c>
      <c r="BC126" s="47" t="n">
        <v>0</v>
      </c>
      <c r="BD126" s="23" t="s">
        <v>199</v>
      </c>
      <c r="BF126" s="7"/>
      <c r="BG126" s="7"/>
      <c r="BH126" s="7"/>
      <c r="BI126" s="7"/>
    </row>
    <row r="127" customFormat="false" ht="15" hidden="false" customHeight="true" outlineLevel="0" collapsed="false">
      <c r="B127" s="40" t="s">
        <v>200</v>
      </c>
      <c r="C127" s="41" t="n">
        <f aca="false">IF(ISNUMBER(C124),C124+N(C126),"")</f>
        <v>415.2</v>
      </c>
      <c r="D127" s="41" t="n">
        <f aca="false">IF(ISNUMBER(D124),D124+N(D126),"")</f>
        <v>423.7</v>
      </c>
      <c r="E127" s="41" t="n">
        <f aca="false">IF(ISNUMBER(E124),E124+N(E126),"")</f>
        <v>449.2</v>
      </c>
      <c r="F127" s="41" t="n">
        <f aca="false">IF(ISNUMBER(F124),F124+N(F126),"")</f>
        <v>462.9</v>
      </c>
      <c r="G127" s="41" t="n">
        <f aca="false">IF(ISNUMBER(G124),G124+N(G126),"")</f>
        <v>668.2</v>
      </c>
      <c r="H127" s="41" t="n">
        <f aca="false">IF(ISNUMBER(H124),H124+N(H126),"")</f>
        <v>885.2</v>
      </c>
      <c r="I127" s="41" t="n">
        <f aca="false">IF(ISNUMBER(I124),I124+N(I126),"")</f>
        <v>1118.7</v>
      </c>
      <c r="J127" s="41" t="n">
        <f aca="false">IF(ISNUMBER(J124),J124+N(J126),"")</f>
        <v>584.1</v>
      </c>
      <c r="K127" s="41" t="n">
        <f aca="false">IF(ISNUMBER(K124),K124+N(K126),"")</f>
        <v>634.1</v>
      </c>
      <c r="L127" s="41" t="n">
        <f aca="false">IF(ISNUMBER(L124),L124+N(L126),"")</f>
        <v>1218.2</v>
      </c>
      <c r="M127" s="41" t="n">
        <f aca="false">IF(ISNUMBER(M124),M124+N(M126),"")</f>
        <v>621.4</v>
      </c>
      <c r="N127" s="41" t="n">
        <f aca="false">IF(ISNUMBER(N124),N124+N(N126),"")</f>
        <v>677.9</v>
      </c>
      <c r="O127" s="41" t="n">
        <f aca="false">IF(ISNUMBER(O124),O124+N(O126),"")</f>
        <v>1299.3</v>
      </c>
      <c r="P127" s="41" t="n">
        <f aca="false">IF(ISNUMBER(P124),P124+N(P126),"")</f>
        <v>748.2</v>
      </c>
      <c r="Q127" s="41" t="n">
        <f aca="false">IF(ISNUMBER(Q124),Q124+N(Q126),"")</f>
        <v>792.5</v>
      </c>
      <c r="R127" s="41" t="n">
        <f aca="false">IF(ISNUMBER(R124),R124+N(R126),"")</f>
        <v>1540.7</v>
      </c>
      <c r="S127" s="41" t="n">
        <f aca="false">IF(ISNUMBER(S124),S124+N(S126),"")</f>
        <v>826.8</v>
      </c>
      <c r="T127" s="41" t="n">
        <f aca="false">IF(ISNUMBER(T124),T124+N(T126),"")</f>
        <v>869.7</v>
      </c>
      <c r="U127" s="41" t="n">
        <f aca="false">IF(ISNUMBER(U124),U124+N(U126),"")</f>
        <v>1696.5</v>
      </c>
      <c r="V127" s="41" t="n">
        <f aca="false">IF(ISNUMBER(V124),V124+N(V126),"")</f>
        <v>931.3</v>
      </c>
      <c r="W127" s="41" t="n">
        <f aca="false">IF(ISNUMBER(W124),W124+N(W126),"")</f>
        <v>990.7</v>
      </c>
      <c r="X127" s="41" t="n">
        <f aca="false">IF(ISNUMBER(X124),X124+N(X126),"")</f>
        <v>1922</v>
      </c>
      <c r="Y127" s="41" t="n">
        <f aca="false">IF(ISNUMBER(Y124),Y124+N(Y126),"")</f>
        <v>1037.3</v>
      </c>
      <c r="Z127" s="41" t="n">
        <f aca="false">IF(ISNUMBER(Z124),Z124+N(Z126),"")</f>
        <v>1060.4</v>
      </c>
      <c r="AA127" s="41" t="n">
        <f aca="false">IF(ISNUMBER(AA124),AA124+N(AA126),"")</f>
        <v>2097.7</v>
      </c>
      <c r="AB127" s="41" t="n">
        <f aca="false">IF(ISNUMBER(AB124),AB124+N(AB126),"")</f>
        <v>1143.9</v>
      </c>
      <c r="AC127" s="41" t="n">
        <f aca="false">IF(ISNUMBER(AC124),AC124+N(AC126),"")</f>
        <v>1194.9</v>
      </c>
      <c r="AD127" s="41" t="n">
        <f aca="false">IF(ISNUMBER(AD124),AD124+N(AD126),"")</f>
        <v>2338.8</v>
      </c>
      <c r="AE127" s="41" t="n">
        <f aca="false">IF(ISNUMBER(AE124),AE124+N(AE126),"")</f>
        <v>534.6</v>
      </c>
      <c r="AF127" s="41" t="n">
        <f aca="false">IF(ISNUMBER(AF124),AF124+N(AF126),"")</f>
        <v>1537.9</v>
      </c>
      <c r="AG127" s="41" t="n">
        <f aca="false">IF(ISNUMBER(AG124),AG124+N(AG126),"")</f>
        <v>2072.5</v>
      </c>
      <c r="AH127" s="41" t="n">
        <f aca="false">IF(ISNUMBER(AH124),AH124+N(AH126),"")</f>
        <v>1721.8</v>
      </c>
      <c r="AI127" s="41" t="n">
        <f aca="false">IF(ISNUMBER(AI124),AI124+N(AI126),"")</f>
        <v>1809.2</v>
      </c>
      <c r="AJ127" s="41" t="n">
        <f aca="false">IF(ISNUMBER(AJ124),AJ124+N(AJ126),"")</f>
        <v>3531</v>
      </c>
      <c r="AK127" s="41" t="n">
        <f aca="false">IF(ISNUMBER(AK124),AK124+N(AK126),"")</f>
        <v>2305</v>
      </c>
      <c r="AL127" s="41" t="n">
        <f aca="false">IF(ISNUMBER(AL124),AL124+N(AL126),"")</f>
        <v>2392</v>
      </c>
      <c r="AM127" s="41" t="n">
        <f aca="false">IF(ISNUMBER(AM124),AM124+N(AM126),"")</f>
        <v>4697</v>
      </c>
      <c r="AN127" s="41" t="n">
        <f aca="false">IF(ISNUMBER(AN124),AN124+N(AN126),"")</f>
        <v>2947</v>
      </c>
      <c r="AO127" s="41" t="n">
        <f aca="false">IF(ISNUMBER(AO124),AO124+N(AO126),"")</f>
        <v>2702</v>
      </c>
      <c r="AP127" s="41" t="n">
        <f aca="false">IF(ISNUMBER(AP124),AP124+N(AP126),"")</f>
        <v>5649</v>
      </c>
      <c r="AQ127" s="41" t="n">
        <f aca="false">IF(ISNUMBER(AQ124),AQ124+N(AQ126),"")</f>
        <v>3149</v>
      </c>
      <c r="AR127" s="41" t="n">
        <f aca="false">IF(ISNUMBER(AR124),AR124+N(AR126),"")</f>
        <v>2999</v>
      </c>
      <c r="AS127" s="41" t="n">
        <f aca="false">IF(ISNUMBER(AS124),AS124+N(AS126),"")</f>
        <v>6148</v>
      </c>
      <c r="AT127" s="41" t="n">
        <f aca="false">IF(ISNUMBER(AT124),AT124+N(AT126),"")</f>
        <v>3327</v>
      </c>
      <c r="AU127" s="41" t="n">
        <f aca="false">IF(ISNUMBER(AU124),AU124+N(AU126),"")</f>
        <v>3242</v>
      </c>
      <c r="AV127" s="41" t="n">
        <f aca="false">IF(ISNUMBER(AV124),AV124+N(AV126),"")</f>
        <v>6569</v>
      </c>
      <c r="AW127" s="41" t="n">
        <f aca="false">IF(ISNUMBER(AW124),AW124+N(AW126),"")</f>
        <v>3350</v>
      </c>
      <c r="AX127" s="41" t="n">
        <f aca="false">AX124+AX126</f>
        <v>3314.08398</v>
      </c>
      <c r="AY127" s="41" t="n">
        <f aca="false">AW127+AX127</f>
        <v>6664.08398</v>
      </c>
      <c r="AZ127" s="41" t="n">
        <f aca="false">AZ124+AZ126</f>
        <v>7138.666242</v>
      </c>
      <c r="BA127" s="41" t="n">
        <f aca="false">BA124+BA126</f>
        <v>7730.02404696</v>
      </c>
      <c r="BB127" s="41" t="n">
        <f aca="false">BB124+BB126</f>
        <v>8326.0679911402</v>
      </c>
      <c r="BC127" s="41" t="n">
        <f aca="false">BC124+BC126</f>
        <v>8887.48113993642</v>
      </c>
      <c r="BD127" s="23"/>
      <c r="BF127" s="24" t="n">
        <f aca="false">IFERROR((BC127/AV127)^(1/5)-1,"n/m")</f>
        <v>0.062321291915411</v>
      </c>
      <c r="BG127" s="24" t="n">
        <f aca="false">IFERROR((AV127/AG127)^(1/5)-1,"n/m")</f>
        <v>0.259508041134743</v>
      </c>
      <c r="BH127" s="24" t="n">
        <f aca="false">IFERROR((AV127/R127)^(1/10)-1,"n/m")</f>
        <v>0.156053992564873</v>
      </c>
      <c r="BI127" s="24" t="n">
        <f aca="false">IFERROR((AV127/C127)^(1/19)-1,"n/m")</f>
        <v>0.156426394766032</v>
      </c>
    </row>
    <row r="128" customFormat="false" ht="15" hidden="false" customHeight="true" outlineLevel="0" collapsed="false">
      <c r="B128" s="13" t="s">
        <v>201</v>
      </c>
      <c r="C128" s="37"/>
      <c r="D128" s="37"/>
      <c r="E128" s="37"/>
      <c r="F128" s="38" t="n">
        <v>-12.7</v>
      </c>
      <c r="G128" s="38" t="n">
        <v>-12.5</v>
      </c>
      <c r="H128" s="38" t="n">
        <v>12.4</v>
      </c>
      <c r="I128" s="38" t="n">
        <v>-18.6</v>
      </c>
      <c r="J128" s="38" t="n">
        <v>-8.2</v>
      </c>
      <c r="K128" s="37" t="n">
        <f aca="false">L128-J128</f>
        <v>-15.3</v>
      </c>
      <c r="L128" s="38" t="n">
        <v>-23.5</v>
      </c>
      <c r="M128" s="38" t="n">
        <v>-7.8</v>
      </c>
      <c r="N128" s="37" t="n">
        <f aca="false">O128-M128</f>
        <v>-16.9</v>
      </c>
      <c r="O128" s="38" t="n">
        <v>-24.7</v>
      </c>
      <c r="P128" s="38" t="n">
        <v>-24.7</v>
      </c>
      <c r="Q128" s="37" t="n">
        <f aca="false">R128-P128</f>
        <v>-20.9</v>
      </c>
      <c r="R128" s="38" t="n">
        <v>-45.6</v>
      </c>
      <c r="S128" s="38" t="n">
        <v>-20.3</v>
      </c>
      <c r="T128" s="37" t="n">
        <f aca="false">U128-S128</f>
        <v>-27.5</v>
      </c>
      <c r="U128" s="38" t="n">
        <v>-47.8</v>
      </c>
      <c r="V128" s="38" t="n">
        <v>-9.8</v>
      </c>
      <c r="W128" s="37" t="n">
        <f aca="false">X128-V128</f>
        <v>-22.4</v>
      </c>
      <c r="X128" s="38" t="n">
        <v>-32.2</v>
      </c>
      <c r="Y128" s="38" t="n">
        <v>-4.2</v>
      </c>
      <c r="Z128" s="37" t="n">
        <f aca="false">AA128-Y128</f>
        <v>-30.4</v>
      </c>
      <c r="AA128" s="38" t="n">
        <v>-34.6</v>
      </c>
      <c r="AB128" s="38" t="n">
        <v>-16.3</v>
      </c>
      <c r="AC128" s="37" t="n">
        <f aca="false">AD128-AB128</f>
        <v>-52.3</v>
      </c>
      <c r="AD128" s="38" t="n">
        <v>-68.6</v>
      </c>
      <c r="AE128" s="38" t="n">
        <v>-43.4</v>
      </c>
      <c r="AF128" s="37" t="n">
        <f aca="false">AG128-AE128</f>
        <v>-42.7</v>
      </c>
      <c r="AG128" s="38" t="n">
        <v>-86.1</v>
      </c>
      <c r="AH128" s="38" t="n">
        <v>-47</v>
      </c>
      <c r="AI128" s="37" t="n">
        <f aca="false">AJ128-AH128</f>
        <v>-49</v>
      </c>
      <c r="AJ128" s="38" t="n">
        <v>-96</v>
      </c>
      <c r="AK128" s="38" t="n">
        <v>-35</v>
      </c>
      <c r="AL128" s="37" t="n">
        <f aca="false">AM128-AK128</f>
        <v>-27</v>
      </c>
      <c r="AM128" s="38" t="n">
        <v>-62</v>
      </c>
      <c r="AN128" s="38" t="n">
        <v>75</v>
      </c>
      <c r="AO128" s="37" t="n">
        <f aca="false">AP128-AN128</f>
        <v>115</v>
      </c>
      <c r="AP128" s="38" t="n">
        <v>190</v>
      </c>
      <c r="AQ128" s="38" t="n">
        <v>141</v>
      </c>
      <c r="AR128" s="37" t="n">
        <f aca="false">AS128-AQ128</f>
        <v>142</v>
      </c>
      <c r="AS128" s="38" t="n">
        <v>283</v>
      </c>
      <c r="AT128" s="38" t="n">
        <v>148</v>
      </c>
      <c r="AU128" s="37" t="n">
        <f aca="false">AV128-AT128</f>
        <v>59</v>
      </c>
      <c r="AV128" s="38" t="n">
        <v>207</v>
      </c>
      <c r="AW128" s="38" t="n">
        <v>90</v>
      </c>
      <c r="AX128" s="39" t="n">
        <f aca="false">0.5*AY334*AW313-AX129</f>
        <v>99.623</v>
      </c>
      <c r="AY128" s="39" t="n">
        <f aca="false">AW128+AX128</f>
        <v>189.623</v>
      </c>
      <c r="AZ128" s="39" t="n">
        <f aca="false">AZ334*AY313-AZ129</f>
        <v>230.05158438626</v>
      </c>
      <c r="BA128" s="39" t="n">
        <f aca="false">BA334*AZ313-BA129</f>
        <v>270.441449933438</v>
      </c>
      <c r="BB128" s="39" t="n">
        <f aca="false">BB334*BA313-BB129</f>
        <v>318.650108355117</v>
      </c>
      <c r="BC128" s="39" t="n">
        <f aca="false">BC334*BB313-BC129</f>
        <v>372.310289235052</v>
      </c>
      <c r="BD128" s="23" t="s">
        <v>202</v>
      </c>
      <c r="BF128" s="7"/>
      <c r="BG128" s="7"/>
      <c r="BH128" s="7"/>
      <c r="BI128" s="7"/>
    </row>
    <row r="129" customFormat="false" ht="15" hidden="false" customHeight="true" outlineLevel="0" collapsed="false">
      <c r="B129" s="36" t="s">
        <v>203</v>
      </c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8" t="n">
        <v>12.6</v>
      </c>
      <c r="AC129" s="37" t="n">
        <f aca="false">AD129-AB129</f>
        <v>11.8</v>
      </c>
      <c r="AD129" s="38" t="n">
        <v>24.4</v>
      </c>
      <c r="AE129" s="38" t="n">
        <v>17.9</v>
      </c>
      <c r="AF129" s="37" t="n">
        <f aca="false">AG129-AE129</f>
        <v>10.8</v>
      </c>
      <c r="AG129" s="38" t="n">
        <v>28.7</v>
      </c>
      <c r="AH129" s="38" t="n">
        <v>15.8</v>
      </c>
      <c r="AI129" s="37" t="n">
        <f aca="false">AJ129-AH129</f>
        <v>16.2</v>
      </c>
      <c r="AJ129" s="38" t="n">
        <v>32</v>
      </c>
      <c r="AK129" s="38" t="n">
        <v>18</v>
      </c>
      <c r="AL129" s="37" t="n">
        <f aca="false">AM129-AK129</f>
        <v>25</v>
      </c>
      <c r="AM129" s="38" t="n">
        <v>43</v>
      </c>
      <c r="AN129" s="38" t="n">
        <v>25</v>
      </c>
      <c r="AO129" s="37" t="n">
        <f aca="false">AP129-AN129</f>
        <v>31</v>
      </c>
      <c r="AP129" s="38" t="n">
        <v>56</v>
      </c>
      <c r="AQ129" s="38" t="n">
        <v>29</v>
      </c>
      <c r="AR129" s="37" t="n">
        <f aca="false">AS129-AQ129</f>
        <v>30</v>
      </c>
      <c r="AS129" s="38" t="n">
        <v>59</v>
      </c>
      <c r="AT129" s="38" t="n">
        <v>26</v>
      </c>
      <c r="AU129" s="37" t="n">
        <f aca="false">AV129-AT129</f>
        <v>29</v>
      </c>
      <c r="AV129" s="38" t="n">
        <v>55</v>
      </c>
      <c r="AW129" s="38" t="n">
        <v>29</v>
      </c>
      <c r="AX129" s="39" t="n">
        <f aca="false">0.5*AY332*AW314</f>
        <v>29.627</v>
      </c>
      <c r="AY129" s="39" t="n">
        <f aca="false">AW129+AX129</f>
        <v>58.627</v>
      </c>
      <c r="AZ129" s="39" t="n">
        <f aca="false">AZ332*AY314</f>
        <v>64.8922209</v>
      </c>
      <c r="BA129" s="39" t="n">
        <f aca="false">BA332*AZ314</f>
        <v>69.8499039485</v>
      </c>
      <c r="BB129" s="39" t="n">
        <f aca="false">BB332*BA314</f>
        <v>75.0418576852425</v>
      </c>
      <c r="BC129" s="39" t="n">
        <f aca="false">BC332*BB314</f>
        <v>80.4602048803704</v>
      </c>
      <c r="BD129" s="23"/>
      <c r="BF129" s="7"/>
      <c r="BG129" s="7"/>
      <c r="BH129" s="7"/>
      <c r="BI129" s="7"/>
    </row>
    <row r="130" customFormat="false" ht="15" hidden="false" customHeight="true" outlineLevel="0" collapsed="false">
      <c r="B130" s="19" t="s">
        <v>204</v>
      </c>
      <c r="C130" s="20"/>
      <c r="D130" s="20"/>
      <c r="E130" s="20"/>
      <c r="F130" s="20" t="n">
        <f aca="false">F127+F128</f>
        <v>450.2</v>
      </c>
      <c r="G130" s="20" t="n">
        <f aca="false">G127+G128</f>
        <v>655.7</v>
      </c>
      <c r="H130" s="20" t="n">
        <f aca="false">H127+H128</f>
        <v>897.6</v>
      </c>
      <c r="I130" s="20" t="n">
        <f aca="false">I127+I128</f>
        <v>1100.1</v>
      </c>
      <c r="J130" s="20" t="n">
        <f aca="false">J127+J128</f>
        <v>575.9</v>
      </c>
      <c r="K130" s="20" t="n">
        <f aca="false">K127+K128</f>
        <v>618.8</v>
      </c>
      <c r="L130" s="20" t="n">
        <f aca="false">L127+L128</f>
        <v>1194.7</v>
      </c>
      <c r="M130" s="20" t="n">
        <f aca="false">M127+M128</f>
        <v>613.6</v>
      </c>
      <c r="N130" s="20" t="n">
        <f aca="false">N127+N128</f>
        <v>661</v>
      </c>
      <c r="O130" s="20" t="n">
        <f aca="false">O127+O128</f>
        <v>1274.6</v>
      </c>
      <c r="P130" s="20" t="n">
        <f aca="false">P127+P128</f>
        <v>723.5</v>
      </c>
      <c r="Q130" s="20" t="n">
        <f aca="false">Q127+Q128</f>
        <v>771.6</v>
      </c>
      <c r="R130" s="20" t="n">
        <f aca="false">R127+R128</f>
        <v>1495.1</v>
      </c>
      <c r="S130" s="20" t="n">
        <f aca="false">S127+S128</f>
        <v>806.5</v>
      </c>
      <c r="T130" s="20" t="n">
        <f aca="false">T127+T128</f>
        <v>842.2</v>
      </c>
      <c r="U130" s="20" t="n">
        <f aca="false">U127+U128</f>
        <v>1648.7</v>
      </c>
      <c r="V130" s="20" t="n">
        <f aca="false">V127+V128</f>
        <v>921.5</v>
      </c>
      <c r="W130" s="20" t="n">
        <f aca="false">W127+W128</f>
        <v>968.3</v>
      </c>
      <c r="X130" s="20" t="n">
        <f aca="false">X127+X128</f>
        <v>1889.8</v>
      </c>
      <c r="Y130" s="20" t="n">
        <f aca="false">Y127+Y128</f>
        <v>1033.1</v>
      </c>
      <c r="Z130" s="20" t="n">
        <f aca="false">Z127+Z128</f>
        <v>1030</v>
      </c>
      <c r="AA130" s="20" t="n">
        <f aca="false">AA127+AA128</f>
        <v>2063.1</v>
      </c>
      <c r="AB130" s="20" t="n">
        <f aca="false">AB127+AB128</f>
        <v>1127.6</v>
      </c>
      <c r="AC130" s="20" t="n">
        <f aca="false">AC127+AC128</f>
        <v>1142.6</v>
      </c>
      <c r="AD130" s="20" t="n">
        <f aca="false">AD127+AD128</f>
        <v>2270.2</v>
      </c>
      <c r="AE130" s="20" t="n">
        <f aca="false">AE127+AE128</f>
        <v>491.2</v>
      </c>
      <c r="AF130" s="20" t="n">
        <f aca="false">AF127+AF128</f>
        <v>1495.2</v>
      </c>
      <c r="AG130" s="20" t="n">
        <f aca="false">AG127+AG128</f>
        <v>1986.4</v>
      </c>
      <c r="AH130" s="20" t="n">
        <f aca="false">AH127+AH128</f>
        <v>1674.8</v>
      </c>
      <c r="AI130" s="20" t="n">
        <f aca="false">AI127+AI128</f>
        <v>1760.2</v>
      </c>
      <c r="AJ130" s="20" t="n">
        <f aca="false">AJ127+AJ128</f>
        <v>3435</v>
      </c>
      <c r="AK130" s="20" t="n">
        <f aca="false">AK127+AK128</f>
        <v>2270</v>
      </c>
      <c r="AL130" s="20" t="n">
        <f aca="false">AL127+AL128</f>
        <v>2365</v>
      </c>
      <c r="AM130" s="20" t="n">
        <f aca="false">AM127+AM128</f>
        <v>4635</v>
      </c>
      <c r="AN130" s="20" t="n">
        <f aca="false">AN127+AN128</f>
        <v>3022</v>
      </c>
      <c r="AO130" s="20" t="n">
        <f aca="false">AO127+AO128</f>
        <v>2817</v>
      </c>
      <c r="AP130" s="20" t="n">
        <f aca="false">AP127+AP128</f>
        <v>5839</v>
      </c>
      <c r="AQ130" s="20" t="n">
        <f aca="false">AQ127+AQ128</f>
        <v>3290</v>
      </c>
      <c r="AR130" s="20" t="n">
        <f aca="false">AR127+AR128</f>
        <v>3141</v>
      </c>
      <c r="AS130" s="20" t="n">
        <f aca="false">AS127+AS128</f>
        <v>6431</v>
      </c>
      <c r="AT130" s="20" t="n">
        <f aca="false">AT127+AT128</f>
        <v>3475</v>
      </c>
      <c r="AU130" s="20" t="n">
        <f aca="false">AU127+AU128</f>
        <v>3301</v>
      </c>
      <c r="AV130" s="20" t="n">
        <f aca="false">AV127+AV128</f>
        <v>6776</v>
      </c>
      <c r="AW130" s="20" t="n">
        <f aca="false">AW127+AW128</f>
        <v>3440</v>
      </c>
      <c r="AX130" s="22" t="n">
        <f aca="false">AX127+AX128</f>
        <v>3413.70698</v>
      </c>
      <c r="AY130" s="22" t="n">
        <f aca="false">AW130+AX130</f>
        <v>6853.70698</v>
      </c>
      <c r="AZ130" s="22" t="n">
        <f aca="false">AZ127+AZ128</f>
        <v>7368.71782638626</v>
      </c>
      <c r="BA130" s="22" t="n">
        <f aca="false">BA127+BA128</f>
        <v>8000.46549689344</v>
      </c>
      <c r="BB130" s="22" t="n">
        <f aca="false">BB127+BB128</f>
        <v>8644.71809949532</v>
      </c>
      <c r="BC130" s="22" t="n">
        <f aca="false">BC127+BC128</f>
        <v>9259.79142917147</v>
      </c>
      <c r="BD130" s="23"/>
      <c r="BF130" s="24" t="n">
        <f aca="false">IFERROR((BC130/AV130)^(1/5)-1,"n/m")</f>
        <v>0.0644507234023912</v>
      </c>
      <c r="BG130" s="24" t="n">
        <f aca="false">IFERROR((AV130/AG130)^(1/5)-1,"n/m")</f>
        <v>0.278148569070527</v>
      </c>
      <c r="BH130" s="24" t="n">
        <f aca="false">IFERROR((AV130/R130)^(1/10)-1,"n/m")</f>
        <v>0.163135512251246</v>
      </c>
      <c r="BI130" s="24" t="str">
        <f aca="false">IFERROR((AV130/C130)^(1/19)-1,"n/m")</f>
        <v>n/m</v>
      </c>
    </row>
    <row r="131" customFormat="false" ht="15" hidden="false" customHeight="true" outlineLevel="0" collapsed="false">
      <c r="B131" s="13" t="s">
        <v>205</v>
      </c>
      <c r="C131" s="37"/>
      <c r="D131" s="37"/>
      <c r="E131" s="37"/>
      <c r="F131" s="38" t="n">
        <v>-148.2</v>
      </c>
      <c r="G131" s="38" t="n">
        <v>-220.9</v>
      </c>
      <c r="H131" s="38" t="n">
        <v>-289.8</v>
      </c>
      <c r="I131" s="38" t="n">
        <v>-349.1</v>
      </c>
      <c r="J131" s="38" t="n">
        <v>-191.1</v>
      </c>
      <c r="K131" s="37" t="n">
        <f aca="false">L131-J131</f>
        <v>-206.5</v>
      </c>
      <c r="L131" s="38" t="n">
        <v>-397.6</v>
      </c>
      <c r="M131" s="38" t="n">
        <v>-203.7</v>
      </c>
      <c r="N131" s="37" t="n">
        <f aca="false">O131-M131</f>
        <v>-220</v>
      </c>
      <c r="O131" s="38" t="n">
        <v>-423.7</v>
      </c>
      <c r="P131" s="38" t="n">
        <v>-248</v>
      </c>
      <c r="Q131" s="37" t="n">
        <f aca="false">R131-P131</f>
        <v>-287.6</v>
      </c>
      <c r="R131" s="38" t="n">
        <v>-535.6</v>
      </c>
      <c r="S131" s="38" t="n">
        <v>-267.8</v>
      </c>
      <c r="T131" s="37" t="n">
        <f aca="false">U131-S131</f>
        <v>-287.7</v>
      </c>
      <c r="U131" s="38" t="n">
        <v>-555.5</v>
      </c>
      <c r="V131" s="38" t="n">
        <v>-322.5</v>
      </c>
      <c r="W131" s="37" t="n">
        <f aca="false">X131-V131</f>
        <v>-346.8</v>
      </c>
      <c r="X131" s="38" t="n">
        <v>-669.3</v>
      </c>
      <c r="Y131" s="38" t="n">
        <v>-335.7</v>
      </c>
      <c r="Z131" s="37" t="n">
        <f aca="false">AA131-Y131</f>
        <v>-334.3</v>
      </c>
      <c r="AA131" s="38" t="n">
        <v>-670</v>
      </c>
      <c r="AB131" s="38" t="n">
        <v>-383.4</v>
      </c>
      <c r="AC131" s="37" t="n">
        <f aca="false">AD131-AB131</f>
        <v>-367.6</v>
      </c>
      <c r="AD131" s="38" t="n">
        <v>-751</v>
      </c>
      <c r="AE131" s="38" t="n">
        <v>-160.7</v>
      </c>
      <c r="AF131" s="37" t="n">
        <f aca="false">AG131-AE131</f>
        <v>-452.3</v>
      </c>
      <c r="AG131" s="38" t="n">
        <v>-613</v>
      </c>
      <c r="AH131" s="38" t="n">
        <v>-510.8</v>
      </c>
      <c r="AI131" s="37" t="n">
        <f aca="false">AJ131-AH131</f>
        <v>-504.2</v>
      </c>
      <c r="AJ131" s="38" t="n">
        <v>-1015</v>
      </c>
      <c r="AK131" s="38" t="n">
        <v>-647</v>
      </c>
      <c r="AL131" s="37" t="n">
        <f aca="false">AM131-AK131</f>
        <v>-658</v>
      </c>
      <c r="AM131" s="38" t="n">
        <v>-1305</v>
      </c>
      <c r="AN131" s="38" t="n">
        <v>-831</v>
      </c>
      <c r="AO131" s="37" t="n">
        <f aca="false">AP131-AN131</f>
        <v>-792</v>
      </c>
      <c r="AP131" s="38" t="n">
        <v>-1623</v>
      </c>
      <c r="AQ131" s="38" t="n">
        <v>-927</v>
      </c>
      <c r="AR131" s="37" t="n">
        <f aca="false">AS131-AQ131</f>
        <v>-918</v>
      </c>
      <c r="AS131" s="38" t="n">
        <v>-1845</v>
      </c>
      <c r="AT131" s="38" t="n">
        <v>-1230</v>
      </c>
      <c r="AU131" s="37" t="n">
        <f aca="false">AV131-AT131</f>
        <v>-1033</v>
      </c>
      <c r="AV131" s="38" t="n">
        <v>-2263</v>
      </c>
      <c r="AW131" s="38" t="n">
        <v>-1217</v>
      </c>
      <c r="AX131" s="39" t="n">
        <f aca="false">-$BN$13*(AW130+AX130)-AW131</f>
        <v>-1044.7233034</v>
      </c>
      <c r="AY131" s="39" t="n">
        <f aca="false">AW131+AX131</f>
        <v>-2261.7233034</v>
      </c>
      <c r="AZ131" s="39" t="n">
        <f aca="false">-AZ130*AZ135</f>
        <v>-2100.08458052008</v>
      </c>
      <c r="BA131" s="39" t="n">
        <f aca="false">-BA130*BA135</f>
        <v>-2280.13266661463</v>
      </c>
      <c r="BB131" s="39" t="n">
        <f aca="false">-BB130*BB135</f>
        <v>-2463.74465835617</v>
      </c>
      <c r="BC131" s="39" t="n">
        <f aca="false">-BC130*BC135</f>
        <v>-2639.04055731387</v>
      </c>
      <c r="BD131" s="23" t="s">
        <v>206</v>
      </c>
      <c r="BF131" s="7"/>
      <c r="BG131" s="7"/>
      <c r="BH131" s="7"/>
      <c r="BI131" s="7"/>
    </row>
    <row r="132" customFormat="false" ht="15" hidden="false" customHeight="true" outlineLevel="0" collapsed="false">
      <c r="B132" s="26" t="s">
        <v>207</v>
      </c>
      <c r="C132" s="30" t="str">
        <f aca="false">IF(AND(ISNUMBER(C131),ISNUMBER(C130)),-C131/C130,"")</f>
        <v/>
      </c>
      <c r="D132" s="30" t="str">
        <f aca="false">IF(AND(ISNUMBER(D131),ISNUMBER(D130)),-D131/D130,"")</f>
        <v/>
      </c>
      <c r="E132" s="30" t="str">
        <f aca="false">IF(AND(ISNUMBER(E131),ISNUMBER(E130)),-E131/E130,"")</f>
        <v/>
      </c>
      <c r="F132" s="30" t="n">
        <f aca="false">IF(AND(ISNUMBER(F131),ISNUMBER(F130)),-F131/F130,"")</f>
        <v>0.329187027987561</v>
      </c>
      <c r="G132" s="30" t="n">
        <f aca="false">IF(AND(ISNUMBER(G131),ISNUMBER(G130)),-G131/G130,"")</f>
        <v>0.336891871282599</v>
      </c>
      <c r="H132" s="30" t="n">
        <f aca="false">IF(AND(ISNUMBER(H131),ISNUMBER(H130)),-H131/H130,"")</f>
        <v>0.322860962566845</v>
      </c>
      <c r="I132" s="30" t="n">
        <f aca="false">IF(AND(ISNUMBER(I131),ISNUMBER(I130)),-I131/I130,"")</f>
        <v>0.317334787746568</v>
      </c>
      <c r="J132" s="30" t="n">
        <f aca="false">IF(AND(ISNUMBER(J131),ISNUMBER(J130)),-J131/J130,"")</f>
        <v>0.331828442437923</v>
      </c>
      <c r="K132" s="30" t="n">
        <f aca="false">IF(AND(ISNUMBER(K131),ISNUMBER(K130)),-K131/K130,"")</f>
        <v>0.333710407239819</v>
      </c>
      <c r="L132" s="30" t="n">
        <f aca="false">IF(AND(ISNUMBER(L131),ISNUMBER(L130)),-L131/L130,"")</f>
        <v>0.332803214196033</v>
      </c>
      <c r="M132" s="30" t="n">
        <f aca="false">IF(AND(ISNUMBER(M131),ISNUMBER(M130)),-M131/M130,"")</f>
        <v>0.331975228161669</v>
      </c>
      <c r="N132" s="30" t="n">
        <f aca="false">IF(AND(ISNUMBER(N131),ISNUMBER(N130)),-N131/N130,"")</f>
        <v>0.332829046898638</v>
      </c>
      <c r="O132" s="30" t="n">
        <f aca="false">IF(AND(ISNUMBER(O131),ISNUMBER(O130)),-O131/O130,"")</f>
        <v>0.33241801349443</v>
      </c>
      <c r="P132" s="30" t="n">
        <f aca="false">IF(AND(ISNUMBER(P131),ISNUMBER(P130)),-P131/P130,"")</f>
        <v>0.342778161713891</v>
      </c>
      <c r="Q132" s="30" t="n">
        <f aca="false">IF(AND(ISNUMBER(Q131),ISNUMBER(Q130)),-Q131/Q130,"")</f>
        <v>0.372731985484707</v>
      </c>
      <c r="R132" s="30" t="n">
        <f aca="false">IF(AND(ISNUMBER(R131),ISNUMBER(R130)),-R131/R130,"")</f>
        <v>0.358236907230286</v>
      </c>
      <c r="S132" s="30" t="n">
        <f aca="false">IF(AND(ISNUMBER(S131),ISNUMBER(S130)),-S131/S130,"")</f>
        <v>0.332052076875387</v>
      </c>
      <c r="T132" s="30" t="n">
        <f aca="false">IF(AND(ISNUMBER(T131),ISNUMBER(T130)),-T131/T130,"")</f>
        <v>0.341605319401567</v>
      </c>
      <c r="U132" s="30" t="n">
        <f aca="false">IF(AND(ISNUMBER(U131),ISNUMBER(U130)),-U131/U130,"")</f>
        <v>0.336932128343543</v>
      </c>
      <c r="V132" s="30" t="n">
        <f aca="false">IF(AND(ISNUMBER(V131),ISNUMBER(V130)),-V131/V130,"")</f>
        <v>0.34997287032013</v>
      </c>
      <c r="W132" s="30" t="n">
        <f aca="false">IF(AND(ISNUMBER(W131),ISNUMBER(W130)),-W131/W130,"")</f>
        <v>0.358153464835278</v>
      </c>
      <c r="X132" s="30" t="n">
        <f aca="false">IF(AND(ISNUMBER(X131),ISNUMBER(X130)),-X131/X130,"")</f>
        <v>0.354164461847815</v>
      </c>
      <c r="Y132" s="30" t="n">
        <f aca="false">IF(AND(ISNUMBER(Y131),ISNUMBER(Y130)),-Y131/Y130,"")</f>
        <v>0.324944342270835</v>
      </c>
      <c r="Z132" s="30" t="n">
        <f aca="false">IF(AND(ISNUMBER(Z131),ISNUMBER(Z130)),-Z131/Z130,"")</f>
        <v>0.324563106796116</v>
      </c>
      <c r="AA132" s="30" t="n">
        <f aca="false">IF(AND(ISNUMBER(AA131),ISNUMBER(AA130)),-AA131/AA130,"")</f>
        <v>0.324754010954389</v>
      </c>
      <c r="AB132" s="30" t="n">
        <f aca="false">IF(AND(ISNUMBER(AB131),ISNUMBER(AB130)),-AB131/AB130,"")</f>
        <v>0.340014189428876</v>
      </c>
      <c r="AC132" s="30" t="n">
        <f aca="false">IF(AND(ISNUMBER(AC131),ISNUMBER(AC130)),-AC131/AC130,"")</f>
        <v>0.321722387537196</v>
      </c>
      <c r="AD132" s="30" t="n">
        <f aca="false">IF(AND(ISNUMBER(AD131),ISNUMBER(AD130)),-AD131/AD130,"")</f>
        <v>0.330807858338472</v>
      </c>
      <c r="AE132" s="30" t="n">
        <f aca="false">IF(AND(ISNUMBER(AE131),ISNUMBER(AE130)),-AE131/AE130,"")</f>
        <v>0.327157980456026</v>
      </c>
      <c r="AF132" s="30" t="n">
        <f aca="false">IF(AND(ISNUMBER(AF131),ISNUMBER(AF130)),-AF131/AF130,"")</f>
        <v>0.302501337613697</v>
      </c>
      <c r="AG132" s="30" t="n">
        <f aca="false">IF(AND(ISNUMBER(AG131),ISNUMBER(AG130)),-AG131/AG130,"")</f>
        <v>0.308598469593234</v>
      </c>
      <c r="AH132" s="30" t="n">
        <f aca="false">IF(AND(ISNUMBER(AH131),ISNUMBER(AH130)),-AH131/AH130,"")</f>
        <v>0.30499164079293</v>
      </c>
      <c r="AI132" s="30" t="n">
        <f aca="false">IF(AND(ISNUMBER(AI131),ISNUMBER(AI130)),-AI131/AI130,"")</f>
        <v>0.28644472219066</v>
      </c>
      <c r="AJ132" s="30" t="n">
        <f aca="false">IF(AND(ISNUMBER(AJ131),ISNUMBER(AJ130)),-AJ131/AJ130,"")</f>
        <v>0.295487627365357</v>
      </c>
      <c r="AK132" s="30" t="n">
        <f aca="false">IF(AND(ISNUMBER(AK131),ISNUMBER(AK130)),-AK131/AK130,"")</f>
        <v>0.285022026431718</v>
      </c>
      <c r="AL132" s="30" t="n">
        <f aca="false">IF(AND(ISNUMBER(AL131),ISNUMBER(AL130)),-AL131/AL130,"")</f>
        <v>0.278224101479915</v>
      </c>
      <c r="AM132" s="30" t="n">
        <f aca="false">IF(AND(ISNUMBER(AM131),ISNUMBER(AM130)),-AM131/AM130,"")</f>
        <v>0.281553398058252</v>
      </c>
      <c r="AN132" s="30" t="n">
        <f aca="false">IF(AND(ISNUMBER(AN131),ISNUMBER(AN130)),-AN131/AN130,"")</f>
        <v>0.274983454665784</v>
      </c>
      <c r="AO132" s="30" t="n">
        <f aca="false">IF(AND(ISNUMBER(AO131),ISNUMBER(AO130)),-AO131/AO130,"")</f>
        <v>0.281150159744409</v>
      </c>
      <c r="AP132" s="30" t="n">
        <f aca="false">IF(AND(ISNUMBER(AP131),ISNUMBER(AP130)),-AP131/AP130,"")</f>
        <v>0.277958554547011</v>
      </c>
      <c r="AQ132" s="30" t="n">
        <f aca="false">IF(AND(ISNUMBER(AQ131),ISNUMBER(AQ130)),-AQ131/AQ130,"")</f>
        <v>0.281762917933131</v>
      </c>
      <c r="AR132" s="30" t="n">
        <f aca="false">IF(AND(ISNUMBER(AR131),ISNUMBER(AR130)),-AR131/AR130,"")</f>
        <v>0.292263610315186</v>
      </c>
      <c r="AS132" s="30" t="n">
        <f aca="false">IF(AND(ISNUMBER(AS131),ISNUMBER(AS130)),-AS131/AS130,"")</f>
        <v>0.286891618721816</v>
      </c>
      <c r="AT132" s="30" t="n">
        <f aca="false">IF(AND(ISNUMBER(AT131),ISNUMBER(AT130)),-AT131/AT130,"")</f>
        <v>0.353956834532374</v>
      </c>
      <c r="AU132" s="30" t="n">
        <f aca="false">IF(AND(ISNUMBER(AU131),ISNUMBER(AU130)),-AU131/AU130,"")</f>
        <v>0.312935474098758</v>
      </c>
      <c r="AV132" s="30" t="n">
        <f aca="false">IF(AND(ISNUMBER(AV131),ISNUMBER(AV130)),-AV131/AV130,"")</f>
        <v>0.333972845336482</v>
      </c>
      <c r="AW132" s="30" t="n">
        <f aca="false">IF(AND(ISNUMBER(AW131),ISNUMBER(AW130)),-AW131/AW130,"")</f>
        <v>0.353779069767442</v>
      </c>
      <c r="AX132" s="28" t="n">
        <f aca="false">-AX131/AX130</f>
        <v>0.306037779317544</v>
      </c>
      <c r="AY132" s="28" t="n">
        <f aca="false">-AY131/AY130</f>
        <v>0.33</v>
      </c>
      <c r="AZ132" s="28" t="n">
        <f aca="false">-AZ131/AZ130</f>
        <v>0.285</v>
      </c>
      <c r="BA132" s="28" t="n">
        <f aca="false">-BA131/BA130</f>
        <v>0.285</v>
      </c>
      <c r="BB132" s="28" t="n">
        <f aca="false">-BB131/BB130</f>
        <v>0.285</v>
      </c>
      <c r="BC132" s="28" t="n">
        <f aca="false">-BC131/BC130</f>
        <v>0.285</v>
      </c>
      <c r="BD132" s="23"/>
      <c r="BF132" s="32" t="n">
        <f aca="false">IFERROR(AVERAGE(AY132,AZ132,BA132,BB132,BC132),"n/m")</f>
        <v>0.294</v>
      </c>
      <c r="BG132" s="32" t="n">
        <f aca="false">IFERROR(AVERAGE(AJ132,AM132,AP132,AS132,AV132),"n/m")</f>
        <v>0.295172808805784</v>
      </c>
      <c r="BH132" s="32" t="n">
        <f aca="false">IFERROR(AVERAGE(U132,X132,AA132,AD132,AG132,AJ132,AM132,AP132,AS132,AV132),"n/m")</f>
        <v>0.313112097310637</v>
      </c>
      <c r="BI132" s="32" t="n">
        <f aca="false">IFERROR(AVERAGE(C132,D132,E132,F132,G132,H132,I132,L132,O132,R132,U132,X132,AA132,AD132,AG132,AJ132,AM132,AP132,AS132,AV132),"n/m")</f>
        <v>0.321226691624158</v>
      </c>
    </row>
    <row r="133" customFormat="false" ht="15" hidden="false" customHeight="true" outlineLevel="0" collapsed="false">
      <c r="B133" s="36" t="s">
        <v>208</v>
      </c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8" t="n">
        <v>20</v>
      </c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8" t="n">
        <v>257</v>
      </c>
      <c r="AU133" s="37" t="n">
        <f aca="false">AV133-AT133</f>
        <v>74</v>
      </c>
      <c r="AV133" s="38" t="n">
        <v>331</v>
      </c>
      <c r="AW133" s="38" t="n">
        <v>255</v>
      </c>
      <c r="AX133" s="39" t="n">
        <f aca="false">$BN$14*(AW130+AX130)-AW133</f>
        <v>87.685349</v>
      </c>
      <c r="AY133" s="39" t="n">
        <f aca="false">AW133+AX133</f>
        <v>342.685349</v>
      </c>
      <c r="AZ133" s="47" t="n">
        <v>0</v>
      </c>
      <c r="BA133" s="47" t="n">
        <v>0</v>
      </c>
      <c r="BB133" s="47" t="n">
        <v>0</v>
      </c>
      <c r="BC133" s="47" t="n">
        <v>0</v>
      </c>
      <c r="BD133" s="23" t="s">
        <v>209</v>
      </c>
      <c r="BF133" s="7"/>
      <c r="BG133" s="7"/>
      <c r="BH133" s="7"/>
      <c r="BI133" s="7"/>
    </row>
    <row r="134" customFormat="false" ht="15" hidden="false" customHeight="true" outlineLevel="0" collapsed="false">
      <c r="B134" s="26" t="s">
        <v>210</v>
      </c>
      <c r="C134" s="30" t="str">
        <f aca="false">IF(AND(ISNUMBER(C131),ISNUMBER(C130)),(-C131-N(C133))/C130,"")</f>
        <v/>
      </c>
      <c r="D134" s="30" t="str">
        <f aca="false">IF(AND(ISNUMBER(D131),ISNUMBER(D130)),(-D131-N(D133))/D130,"")</f>
        <v/>
      </c>
      <c r="E134" s="30" t="str">
        <f aca="false">IF(AND(ISNUMBER(E131),ISNUMBER(E130)),(-E131-N(E133))/E130,"")</f>
        <v/>
      </c>
      <c r="F134" s="30" t="n">
        <f aca="false">IF(AND(ISNUMBER(F131),ISNUMBER(F130)),(-F131-N(F133))/F130,"")</f>
        <v>0.329187027987561</v>
      </c>
      <c r="G134" s="30" t="n">
        <f aca="false">IF(AND(ISNUMBER(G131),ISNUMBER(G130)),(-G131-N(G133))/G130,"")</f>
        <v>0.336891871282599</v>
      </c>
      <c r="H134" s="30" t="n">
        <f aca="false">IF(AND(ISNUMBER(H131),ISNUMBER(H130)),(-H131-N(H133))/H130,"")</f>
        <v>0.322860962566845</v>
      </c>
      <c r="I134" s="30" t="n">
        <f aca="false">IF(AND(ISNUMBER(I131),ISNUMBER(I130)),(-I131-N(I133))/I130,"")</f>
        <v>0.317334787746568</v>
      </c>
      <c r="J134" s="30" t="n">
        <f aca="false">IF(AND(ISNUMBER(J131),ISNUMBER(J130)),(-J131-N(J133))/J130,"")</f>
        <v>0.331828442437923</v>
      </c>
      <c r="K134" s="30" t="n">
        <f aca="false">IF(AND(ISNUMBER(K131),ISNUMBER(K130)),(-K131-N(K133))/K130,"")</f>
        <v>0.333710407239819</v>
      </c>
      <c r="L134" s="30" t="n">
        <f aca="false">IF(AND(ISNUMBER(L131),ISNUMBER(L130)),(-L131-N(L133))/L130,"")</f>
        <v>0.332803214196033</v>
      </c>
      <c r="M134" s="30" t="n">
        <f aca="false">IF(AND(ISNUMBER(M131),ISNUMBER(M130)),(-M131-N(M133))/M130,"")</f>
        <v>0.331975228161669</v>
      </c>
      <c r="N134" s="30" t="n">
        <f aca="false">IF(AND(ISNUMBER(N131),ISNUMBER(N130)),(-N131-N(N133))/N130,"")</f>
        <v>0.332829046898638</v>
      </c>
      <c r="O134" s="30" t="n">
        <f aca="false">IF(AND(ISNUMBER(O131),ISNUMBER(O130)),(-O131-N(O133))/O130,"")</f>
        <v>0.33241801349443</v>
      </c>
      <c r="P134" s="30" t="n">
        <f aca="false">IF(AND(ISNUMBER(P131),ISNUMBER(P130)),(-P131-N(P133))/P130,"")</f>
        <v>0.342778161713891</v>
      </c>
      <c r="Q134" s="30" t="n">
        <f aca="false">IF(AND(ISNUMBER(Q131),ISNUMBER(Q130)),(-Q131-N(Q133))/Q130,"")</f>
        <v>0.372731985484707</v>
      </c>
      <c r="R134" s="30" t="n">
        <f aca="false">IF(AND(ISNUMBER(R131),ISNUMBER(R130)),(-R131-N(R133))/R130,"")</f>
        <v>0.358236907230286</v>
      </c>
      <c r="S134" s="30" t="n">
        <f aca="false">IF(AND(ISNUMBER(S131),ISNUMBER(S130)),(-S131-N(S133))/S130,"")</f>
        <v>0.332052076875387</v>
      </c>
      <c r="T134" s="30" t="n">
        <f aca="false">IF(AND(ISNUMBER(T131),ISNUMBER(T130)),(-T131-N(T133))/T130,"")</f>
        <v>0.341605319401567</v>
      </c>
      <c r="U134" s="30" t="n">
        <f aca="false">IF(AND(ISNUMBER(U131),ISNUMBER(U130)),(-U131-N(U133))/U130,"")</f>
        <v>0.336932128343543</v>
      </c>
      <c r="V134" s="30" t="n">
        <f aca="false">IF(AND(ISNUMBER(V131),ISNUMBER(V130)),(-V131-N(V133))/V130,"")</f>
        <v>0.34997287032013</v>
      </c>
      <c r="W134" s="30" t="n">
        <f aca="false">IF(AND(ISNUMBER(W131),ISNUMBER(W130)),(-W131-N(W133))/W130,"")</f>
        <v>0.358153464835278</v>
      </c>
      <c r="X134" s="30" t="n">
        <f aca="false">IF(AND(ISNUMBER(X131),ISNUMBER(X130)),(-X131-N(X133))/X130,"")</f>
        <v>0.343581331357816</v>
      </c>
      <c r="Y134" s="30" t="n">
        <f aca="false">IF(AND(ISNUMBER(Y131),ISNUMBER(Y130)),(-Y131-N(Y133))/Y130,"")</f>
        <v>0.324944342270835</v>
      </c>
      <c r="Z134" s="30" t="n">
        <f aca="false">IF(AND(ISNUMBER(Z131),ISNUMBER(Z130)),(-Z131-N(Z133))/Z130,"")</f>
        <v>0.324563106796116</v>
      </c>
      <c r="AA134" s="30" t="n">
        <f aca="false">IF(AND(ISNUMBER(AA131),ISNUMBER(AA130)),(-AA131-N(AA133))/AA130,"")</f>
        <v>0.324754010954389</v>
      </c>
      <c r="AB134" s="30" t="n">
        <f aca="false">IF(AND(ISNUMBER(AB131),ISNUMBER(AB130)),(-AB131-N(AB133))/AB130,"")</f>
        <v>0.340014189428876</v>
      </c>
      <c r="AC134" s="30" t="n">
        <f aca="false">IF(AND(ISNUMBER(AC131),ISNUMBER(AC130)),(-AC131-N(AC133))/AC130,"")</f>
        <v>0.321722387537196</v>
      </c>
      <c r="AD134" s="30" t="n">
        <f aca="false">IF(AND(ISNUMBER(AD131),ISNUMBER(AD130)),(-AD131-N(AD133))/AD130,"")</f>
        <v>0.330807858338472</v>
      </c>
      <c r="AE134" s="30" t="n">
        <f aca="false">IF(AND(ISNUMBER(AE131),ISNUMBER(AE130)),(-AE131-N(AE133))/AE130,"")</f>
        <v>0.327157980456026</v>
      </c>
      <c r="AF134" s="30" t="n">
        <f aca="false">IF(AND(ISNUMBER(AF131),ISNUMBER(AF130)),(-AF131-N(AF133))/AF130,"")</f>
        <v>0.302501337613697</v>
      </c>
      <c r="AG134" s="30" t="n">
        <f aca="false">IF(AND(ISNUMBER(AG131),ISNUMBER(AG130)),(-AG131-N(AG133))/AG130,"")</f>
        <v>0.308598469593234</v>
      </c>
      <c r="AH134" s="30" t="n">
        <f aca="false">IF(AND(ISNUMBER(AH131),ISNUMBER(AH130)),(-AH131-N(AH133))/AH130,"")</f>
        <v>0.30499164079293</v>
      </c>
      <c r="AI134" s="30" t="n">
        <f aca="false">IF(AND(ISNUMBER(AI131),ISNUMBER(AI130)),(-AI131-N(AI133))/AI130,"")</f>
        <v>0.28644472219066</v>
      </c>
      <c r="AJ134" s="30" t="n">
        <f aca="false">IF(AND(ISNUMBER(AJ131),ISNUMBER(AJ130)),(-AJ131-N(AJ133))/AJ130,"")</f>
        <v>0.295487627365357</v>
      </c>
      <c r="AK134" s="30" t="n">
        <f aca="false">IF(AND(ISNUMBER(AK131),ISNUMBER(AK130)),(-AK131-N(AK133))/AK130,"")</f>
        <v>0.285022026431718</v>
      </c>
      <c r="AL134" s="30" t="n">
        <f aca="false">IF(AND(ISNUMBER(AL131),ISNUMBER(AL130)),(-AL131-N(AL133))/AL130,"")</f>
        <v>0.278224101479915</v>
      </c>
      <c r="AM134" s="30" t="n">
        <f aca="false">IF(AND(ISNUMBER(AM131),ISNUMBER(AM130)),(-AM131-N(AM133))/AM130,"")</f>
        <v>0.281553398058252</v>
      </c>
      <c r="AN134" s="30" t="n">
        <f aca="false">IF(AND(ISNUMBER(AN131),ISNUMBER(AN130)),(-AN131-N(AN133))/AN130,"")</f>
        <v>0.274983454665784</v>
      </c>
      <c r="AO134" s="30" t="n">
        <f aca="false">IF(AND(ISNUMBER(AO131),ISNUMBER(AO130)),(-AO131-N(AO133))/AO130,"")</f>
        <v>0.281150159744409</v>
      </c>
      <c r="AP134" s="30" t="n">
        <f aca="false">IF(AND(ISNUMBER(AP131),ISNUMBER(AP130)),(-AP131-N(AP133))/AP130,"")</f>
        <v>0.277958554547011</v>
      </c>
      <c r="AQ134" s="30" t="n">
        <f aca="false">IF(AND(ISNUMBER(AQ131),ISNUMBER(AQ130)),(-AQ131-N(AQ133))/AQ130,"")</f>
        <v>0.281762917933131</v>
      </c>
      <c r="AR134" s="30" t="n">
        <f aca="false">IF(AND(ISNUMBER(AR131),ISNUMBER(AR130)),(-AR131-N(AR133))/AR130,"")</f>
        <v>0.292263610315186</v>
      </c>
      <c r="AS134" s="30" t="n">
        <f aca="false">IF(AND(ISNUMBER(AS131),ISNUMBER(AS130)),(-AS131-N(AS133))/AS130,"")</f>
        <v>0.286891618721816</v>
      </c>
      <c r="AT134" s="30" t="n">
        <f aca="false">IF(AND(ISNUMBER(AT131),ISNUMBER(AT130)),(-AT131-N(AT133))/AT130,"")</f>
        <v>0.28</v>
      </c>
      <c r="AU134" s="30" t="n">
        <f aca="false">IF(AND(ISNUMBER(AU131),ISNUMBER(AU130)),(-AU131-N(AU133))/AU130,"")</f>
        <v>0.290518024840957</v>
      </c>
      <c r="AV134" s="30" t="n">
        <f aca="false">IF(AND(ISNUMBER(AV131),ISNUMBER(AV130)),(-AV131-N(AV133))/AV130,"")</f>
        <v>0.285123966942149</v>
      </c>
      <c r="AW134" s="30" t="n">
        <f aca="false">IF(AND(ISNUMBER(AW131),ISNUMBER(AW130)),(-AW131-N(AW133))/AW130,"")</f>
        <v>0.279651162790698</v>
      </c>
      <c r="AX134" s="28" t="n">
        <f aca="false">(-AX131-AX133)/AX130</f>
        <v>0.280351524019792</v>
      </c>
      <c r="AY134" s="28" t="n">
        <f aca="false">(-AY131-AY133)/AY130</f>
        <v>0.28</v>
      </c>
      <c r="AZ134" s="28" t="n">
        <f aca="false">(-AZ131-AZ133)/AZ130</f>
        <v>0.285</v>
      </c>
      <c r="BA134" s="28" t="n">
        <f aca="false">(-BA131-BA133)/BA130</f>
        <v>0.285</v>
      </c>
      <c r="BB134" s="28" t="n">
        <f aca="false">(-BB131-BB133)/BB130</f>
        <v>0.285</v>
      </c>
      <c r="BC134" s="28" t="n">
        <f aca="false">(-BC131-BC133)/BC130</f>
        <v>0.285</v>
      </c>
      <c r="BD134" s="23"/>
      <c r="BF134" s="32" t="n">
        <f aca="false">IFERROR(AVERAGE(AY134,AZ134,BA134,BB134,BC134),"n/m")</f>
        <v>0.284</v>
      </c>
      <c r="BG134" s="32" t="n">
        <f aca="false">IFERROR(AVERAGE(AJ134,AM134,AP134,AS134,AV134),"n/m")</f>
        <v>0.285403033126917</v>
      </c>
      <c r="BH134" s="32" t="n">
        <f aca="false">IFERROR(AVERAGE(U134,X134,AA134,AD134,AG134,AJ134,AM134,AP134,AS134,AV134),"n/m")</f>
        <v>0.307168896422204</v>
      </c>
      <c r="BI134" s="32" t="n">
        <f aca="false">IFERROR(AVERAGE(C134,D134,E134,F134,G134,H134,I134,L134,O134,R134,U134,X134,AA134,AD134,AG134,AJ134,AM134,AP134,AS134,AV134),"n/m")</f>
        <v>0.317730691101551</v>
      </c>
    </row>
    <row r="135" customFormat="false" ht="15" hidden="false" customHeight="true" outlineLevel="0" collapsed="false">
      <c r="B135" s="48" t="s">
        <v>211</v>
      </c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28"/>
      <c r="AY135" s="28"/>
      <c r="AZ135" s="42" t="n">
        <v>0.285</v>
      </c>
      <c r="BA135" s="42" t="n">
        <v>0.285</v>
      </c>
      <c r="BB135" s="42" t="n">
        <v>0.285</v>
      </c>
      <c r="BC135" s="42" t="n">
        <v>0.285</v>
      </c>
      <c r="BD135" s="23" t="s">
        <v>212</v>
      </c>
      <c r="BF135" s="7"/>
      <c r="BG135" s="7"/>
      <c r="BH135" s="7"/>
      <c r="BI135" s="7"/>
    </row>
    <row r="136" customFormat="false" ht="15" hidden="false" customHeight="true" outlineLevel="0" collapsed="false">
      <c r="B136" s="13" t="s">
        <v>213</v>
      </c>
      <c r="C136" s="37"/>
      <c r="D136" s="37"/>
      <c r="E136" s="37"/>
      <c r="F136" s="38" t="n">
        <v>-6.5</v>
      </c>
      <c r="G136" s="38" t="n">
        <v>-3.1</v>
      </c>
      <c r="H136" s="38" t="n">
        <v>-4.5</v>
      </c>
      <c r="I136" s="38" t="n">
        <v>-0.4</v>
      </c>
      <c r="J136" s="38" t="n">
        <v>1.9</v>
      </c>
      <c r="K136" s="37" t="n">
        <f aca="false">L136-J136</f>
        <v>0.1</v>
      </c>
      <c r="L136" s="38" t="n">
        <v>2</v>
      </c>
      <c r="M136" s="38" t="n">
        <v>5.6</v>
      </c>
      <c r="N136" s="37" t="n">
        <f aca="false">O136-M136</f>
        <v>6.8</v>
      </c>
      <c r="O136" s="38" t="n">
        <v>12.4</v>
      </c>
      <c r="P136" s="38" t="n">
        <v>9.2</v>
      </c>
      <c r="Q136" s="37" t="n">
        <f aca="false">R136-P136</f>
        <v>8.5</v>
      </c>
      <c r="R136" s="38" t="n">
        <v>17.7</v>
      </c>
      <c r="S136" s="38" t="n">
        <v>8.4</v>
      </c>
      <c r="T136" s="37" t="n">
        <f aca="false">U136-S136</f>
        <v>2.5</v>
      </c>
      <c r="U136" s="38" t="n">
        <v>10.9</v>
      </c>
      <c r="V136" s="38" t="n">
        <v>7.6</v>
      </c>
      <c r="W136" s="37" t="n">
        <f aca="false">X136-V136</f>
        <v>-2.3</v>
      </c>
      <c r="X136" s="38" t="n">
        <v>5.3</v>
      </c>
      <c r="Y136" s="38" t="n">
        <v>12.3</v>
      </c>
      <c r="Z136" s="37" t="n">
        <f aca="false">AA136-Y136</f>
        <v>4.3</v>
      </c>
      <c r="AA136" s="38" t="n">
        <v>16.6</v>
      </c>
      <c r="AB136" s="38" t="n">
        <v>12.8</v>
      </c>
      <c r="AC136" s="37" t="n">
        <f aca="false">AD136-AB136</f>
        <v>3.1</v>
      </c>
      <c r="AD136" s="38" t="n">
        <v>15.9</v>
      </c>
      <c r="AE136" s="38" t="n">
        <v>3</v>
      </c>
      <c r="AF136" s="37" t="n">
        <f aca="false">AG136-AE136</f>
        <v>13.1</v>
      </c>
      <c r="AG136" s="38" t="n">
        <v>16.1</v>
      </c>
      <c r="AH136" s="38" t="n">
        <v>12.9</v>
      </c>
      <c r="AI136" s="37" t="n">
        <f aca="false">AJ136-AH136</f>
        <v>21.1</v>
      </c>
      <c r="AJ136" s="38" t="n">
        <v>34</v>
      </c>
      <c r="AK136" s="38" t="n">
        <v>25</v>
      </c>
      <c r="AL136" s="37" t="n">
        <f aca="false">AM136-AK136</f>
        <v>25</v>
      </c>
      <c r="AM136" s="38" t="n">
        <v>50</v>
      </c>
      <c r="AN136" s="38" t="n">
        <v>43</v>
      </c>
      <c r="AO136" s="37" t="n">
        <f aca="false">AP136-AN136</f>
        <v>62</v>
      </c>
      <c r="AP136" s="38" t="n">
        <v>105</v>
      </c>
      <c r="AQ136" s="38" t="n">
        <v>16</v>
      </c>
      <c r="AR136" s="37" t="n">
        <f aca="false">AS136-AQ136</f>
        <v>28</v>
      </c>
      <c r="AS136" s="38" t="n">
        <v>44</v>
      </c>
      <c r="AT136" s="38" t="n">
        <v>26</v>
      </c>
      <c r="AU136" s="37" t="n">
        <f aca="false">AV136-AT136</f>
        <v>21</v>
      </c>
      <c r="AV136" s="38" t="n">
        <v>47</v>
      </c>
      <c r="AW136" s="38" t="n">
        <v>23</v>
      </c>
      <c r="AX136" s="39" t="n">
        <f aca="false">AW136</f>
        <v>23</v>
      </c>
      <c r="AY136" s="39" t="n">
        <f aca="false">AW136+AX136</f>
        <v>46</v>
      </c>
      <c r="AZ136" s="47" t="n">
        <v>50</v>
      </c>
      <c r="BA136" s="47" t="n">
        <v>52</v>
      </c>
      <c r="BB136" s="47" t="n">
        <v>54</v>
      </c>
      <c r="BC136" s="47" t="n">
        <v>56</v>
      </c>
      <c r="BD136" s="23"/>
      <c r="BF136" s="7"/>
      <c r="BG136" s="7"/>
      <c r="BH136" s="7"/>
      <c r="BI136" s="7"/>
    </row>
    <row r="137" customFormat="false" ht="15" hidden="false" customHeight="true" outlineLevel="0" collapsed="false">
      <c r="B137" s="19" t="s">
        <v>214</v>
      </c>
      <c r="C137" s="20"/>
      <c r="D137" s="20"/>
      <c r="E137" s="20"/>
      <c r="F137" s="20" t="n">
        <f aca="false">F130+F131+F136</f>
        <v>295.5</v>
      </c>
      <c r="G137" s="20" t="n">
        <f aca="false">G130+G131+G136</f>
        <v>431.7</v>
      </c>
      <c r="H137" s="20" t="n">
        <f aca="false">H130+H131+H136</f>
        <v>603.3</v>
      </c>
      <c r="I137" s="20" t="n">
        <f aca="false">I130+I131+I136</f>
        <v>750.6</v>
      </c>
      <c r="J137" s="20" t="n">
        <f aca="false">J130+J131+J136</f>
        <v>386.7</v>
      </c>
      <c r="K137" s="20" t="n">
        <f aca="false">K130+K131+K136</f>
        <v>412.4</v>
      </c>
      <c r="L137" s="20" t="n">
        <f aca="false">L130+L131+L136</f>
        <v>799.1</v>
      </c>
      <c r="M137" s="20" t="n">
        <f aca="false">M130+M131+M136</f>
        <v>415.5</v>
      </c>
      <c r="N137" s="20" t="n">
        <f aca="false">N130+N131+N136</f>
        <v>447.8</v>
      </c>
      <c r="O137" s="20" t="n">
        <f aca="false">O130+O131+O136</f>
        <v>863.3</v>
      </c>
      <c r="P137" s="20" t="n">
        <f aca="false">P130+P131+P136</f>
        <v>484.7</v>
      </c>
      <c r="Q137" s="20" t="n">
        <f aca="false">Q130+Q131+Q136</f>
        <v>492.5</v>
      </c>
      <c r="R137" s="20" t="n">
        <f aca="false">R130+R131+R136</f>
        <v>977.2</v>
      </c>
      <c r="S137" s="20" t="n">
        <f aca="false">S130+S131+S136</f>
        <v>547.1</v>
      </c>
      <c r="T137" s="20" t="n">
        <f aca="false">T130+T131+T136</f>
        <v>557</v>
      </c>
      <c r="U137" s="20" t="n">
        <f aca="false">U130+U131+U136</f>
        <v>1104.1</v>
      </c>
      <c r="V137" s="20" t="n">
        <f aca="false">V130+V131+V136</f>
        <v>606.6</v>
      </c>
      <c r="W137" s="20" t="n">
        <f aca="false">W130+W131+W136</f>
        <v>619.2</v>
      </c>
      <c r="X137" s="20" t="n">
        <f aca="false">X130+X131+X136</f>
        <v>1225.8</v>
      </c>
      <c r="Y137" s="20" t="n">
        <f aca="false">Y130+Y131+Y136</f>
        <v>709.7</v>
      </c>
      <c r="Z137" s="20" t="n">
        <f aca="false">Z130+Z131+Z136</f>
        <v>700.000000000001</v>
      </c>
      <c r="AA137" s="20" t="n">
        <f aca="false">AA130+AA131+AA136</f>
        <v>1409.7</v>
      </c>
      <c r="AB137" s="20" t="n">
        <f aca="false">AB130+AB131+AB136</f>
        <v>757</v>
      </c>
      <c r="AC137" s="20" t="n">
        <f aca="false">AC130+AC131+AC136</f>
        <v>778.1</v>
      </c>
      <c r="AD137" s="20" t="n">
        <f aca="false">AD130+AD131+AD136</f>
        <v>1535.1</v>
      </c>
      <c r="AE137" s="20" t="n">
        <f aca="false">AE130+AE131+AE136</f>
        <v>333.5</v>
      </c>
      <c r="AF137" s="20" t="n">
        <f aca="false">AF130+AF131+AF136</f>
        <v>1056</v>
      </c>
      <c r="AG137" s="20" t="n">
        <f aca="false">AG130+AG131+AG136</f>
        <v>1389.5</v>
      </c>
      <c r="AH137" s="20" t="n">
        <f aca="false">AH130+AH131+AH136</f>
        <v>1176.9</v>
      </c>
      <c r="AI137" s="20" t="n">
        <f aca="false">AI130+AI131+AI136</f>
        <v>1277.1</v>
      </c>
      <c r="AJ137" s="20" t="n">
        <f aca="false">AJ130+AJ131+AJ136</f>
        <v>2454</v>
      </c>
      <c r="AK137" s="20" t="n">
        <f aca="false">AK130+AK131+AK136</f>
        <v>1648</v>
      </c>
      <c r="AL137" s="20" t="n">
        <f aca="false">AL130+AL131+AL136</f>
        <v>1732</v>
      </c>
      <c r="AM137" s="20" t="n">
        <f aca="false">AM130+AM131+AM136</f>
        <v>3380</v>
      </c>
      <c r="AN137" s="20" t="n">
        <f aca="false">AN130+AN131+AN136</f>
        <v>2234</v>
      </c>
      <c r="AO137" s="20" t="n">
        <f aca="false">AO130+AO131+AO136</f>
        <v>2087</v>
      </c>
      <c r="AP137" s="20" t="n">
        <f aca="false">AP130+AP131+AP136</f>
        <v>4321</v>
      </c>
      <c r="AQ137" s="20" t="n">
        <f aca="false">AQ130+AQ131+AQ136</f>
        <v>2379</v>
      </c>
      <c r="AR137" s="20" t="n">
        <f aca="false">AR130+AR131+AR136</f>
        <v>2251</v>
      </c>
      <c r="AS137" s="20" t="n">
        <f aca="false">AS130+AS131+AS136</f>
        <v>4630</v>
      </c>
      <c r="AT137" s="20" t="n">
        <f aca="false">AT130+AT131+AT136</f>
        <v>2271</v>
      </c>
      <c r="AU137" s="20" t="n">
        <f aca="false">AU130+AU131+AU136</f>
        <v>2289</v>
      </c>
      <c r="AV137" s="20" t="n">
        <f aca="false">AV130+AV131+AV136</f>
        <v>4560</v>
      </c>
      <c r="AW137" s="20" t="n">
        <f aca="false">AW130+AW131+AW136</f>
        <v>2246</v>
      </c>
      <c r="AX137" s="22" t="n">
        <f aca="false">AX130+AX131+AX136</f>
        <v>2391.9836766</v>
      </c>
      <c r="AY137" s="22" t="n">
        <f aca="false">AW137+AX137</f>
        <v>4637.9836766</v>
      </c>
      <c r="AZ137" s="22" t="n">
        <f aca="false">AZ130+AZ131+AZ136</f>
        <v>5318.63324586618</v>
      </c>
      <c r="BA137" s="22" t="n">
        <f aca="false">BA130+BA131+BA136</f>
        <v>5772.33283027881</v>
      </c>
      <c r="BB137" s="22" t="n">
        <f aca="false">BB130+BB131+BB136</f>
        <v>6234.97344113915</v>
      </c>
      <c r="BC137" s="22" t="n">
        <f aca="false">BC130+BC131+BC136</f>
        <v>6676.7508718576</v>
      </c>
      <c r="BD137" s="23"/>
      <c r="BF137" s="24" t="n">
        <f aca="false">IFERROR((BC137/AV137)^(1/5)-1,"n/m")</f>
        <v>0.0792450510019844</v>
      </c>
      <c r="BG137" s="24" t="n">
        <f aca="false">IFERROR((AV137/AG137)^(1/5)-1,"n/m")</f>
        <v>0.268297856034425</v>
      </c>
      <c r="BH137" s="24" t="n">
        <f aca="false">IFERROR((AV137/R137)^(1/10)-1,"n/m")</f>
        <v>0.16653597988623</v>
      </c>
      <c r="BI137" s="24" t="str">
        <f aca="false">IFERROR((AV137/C137)^(1/19)-1,"n/m")</f>
        <v>n/m</v>
      </c>
    </row>
    <row r="138" customFormat="false" ht="15" hidden="false" customHeight="true" outlineLevel="0" collapsed="false">
      <c r="B138" s="13" t="s">
        <v>215</v>
      </c>
      <c r="C138" s="37"/>
      <c r="D138" s="37"/>
      <c r="E138" s="37"/>
      <c r="F138" s="38" t="n">
        <v>-6.7</v>
      </c>
      <c r="G138" s="38" t="n">
        <v>-10</v>
      </c>
      <c r="H138" s="38" t="n">
        <v>-9.2</v>
      </c>
      <c r="I138" s="38" t="n">
        <v>-10.6</v>
      </c>
      <c r="J138" s="38" t="n">
        <v>-5</v>
      </c>
      <c r="K138" s="37" t="n">
        <f aca="false">L138-J138</f>
        <v>-3.6</v>
      </c>
      <c r="L138" s="38" t="n">
        <v>-8.6</v>
      </c>
      <c r="M138" s="38" t="n">
        <v>-3</v>
      </c>
      <c r="N138" s="37" t="n">
        <f aca="false">O138-M138</f>
        <v>-1.5</v>
      </c>
      <c r="O138" s="38" t="n">
        <v>-4.5</v>
      </c>
      <c r="P138" s="38" t="n">
        <v>-2.2</v>
      </c>
      <c r="Q138" s="37" t="n">
        <f aca="false">R138-P138</f>
        <v>-2.4</v>
      </c>
      <c r="R138" s="38" t="n">
        <v>-4.6</v>
      </c>
      <c r="S138" s="38" t="n">
        <v>-1.7</v>
      </c>
      <c r="T138" s="37" t="n">
        <f aca="false">U138-S138</f>
        <v>-2.2</v>
      </c>
      <c r="U138" s="38" t="n">
        <v>-3.9</v>
      </c>
      <c r="V138" s="38" t="n">
        <v>-1.4</v>
      </c>
      <c r="W138" s="37" t="n">
        <f aca="false">X138-V138</f>
        <v>-2.9</v>
      </c>
      <c r="X138" s="38" t="n">
        <v>-4.3</v>
      </c>
      <c r="Y138" s="38" t="n">
        <v>-1.8</v>
      </c>
      <c r="Z138" s="37" t="n">
        <f aca="false">AA138-Y138</f>
        <v>-3.2</v>
      </c>
      <c r="AA138" s="38" t="n">
        <v>-5</v>
      </c>
      <c r="AB138" s="38" t="n">
        <v>-2.7</v>
      </c>
      <c r="AC138" s="37" t="n">
        <f aca="false">AD138-AB138</f>
        <v>-4.3</v>
      </c>
      <c r="AD138" s="38" t="n">
        <v>-7</v>
      </c>
      <c r="AE138" s="38" t="n">
        <v>1.4</v>
      </c>
      <c r="AF138" s="37" t="n">
        <f aca="false">AG138-AE138</f>
        <v>-5.5</v>
      </c>
      <c r="AG138" s="38" t="n">
        <v>-4.1</v>
      </c>
      <c r="AH138" s="38" t="n">
        <v>-3.3</v>
      </c>
      <c r="AI138" s="37" t="n">
        <f aca="false">AJ138-AH138</f>
        <v>-4.7</v>
      </c>
      <c r="AJ138" s="38" t="n">
        <v>-8</v>
      </c>
      <c r="AK138" s="38" t="n">
        <v>-6</v>
      </c>
      <c r="AL138" s="37" t="n">
        <f aca="false">AM138-AK138</f>
        <v>-7</v>
      </c>
      <c r="AM138" s="38" t="n">
        <v>-13</v>
      </c>
      <c r="AN138" s="38" t="n">
        <v>-8</v>
      </c>
      <c r="AO138" s="37" t="n">
        <f aca="false">AP138-AN138</f>
        <v>-4</v>
      </c>
      <c r="AP138" s="38" t="n">
        <v>-12</v>
      </c>
      <c r="AQ138" s="38" t="n">
        <v>-10</v>
      </c>
      <c r="AR138" s="37" t="n">
        <f aca="false">AS138-AQ138</f>
        <v>-18</v>
      </c>
      <c r="AS138" s="38" t="n">
        <v>-28</v>
      </c>
      <c r="AT138" s="38" t="n">
        <v>-25</v>
      </c>
      <c r="AU138" s="37" t="n">
        <f aca="false">AV138-AT138</f>
        <v>-11</v>
      </c>
      <c r="AV138" s="38" t="n">
        <v>-36</v>
      </c>
      <c r="AW138" s="38" t="n">
        <v>-9</v>
      </c>
      <c r="AX138" s="39" t="n">
        <f aca="false">-AX137*AY335</f>
        <v>-11.959918383</v>
      </c>
      <c r="AY138" s="39" t="n">
        <f aca="false">AW138+AX138</f>
        <v>-20.959918383</v>
      </c>
      <c r="AZ138" s="39" t="n">
        <f aca="false">-AZ137*AZ335</f>
        <v>-26.5931662293309</v>
      </c>
      <c r="BA138" s="39" t="n">
        <f aca="false">-BA137*BA335</f>
        <v>-28.861664151394</v>
      </c>
      <c r="BB138" s="39" t="n">
        <f aca="false">-BB137*BB335</f>
        <v>-31.1748672056958</v>
      </c>
      <c r="BC138" s="39" t="n">
        <f aca="false">-BC137*BC335</f>
        <v>-33.383754359288</v>
      </c>
      <c r="BD138" s="23"/>
      <c r="BF138" s="7"/>
      <c r="BG138" s="7"/>
      <c r="BH138" s="7"/>
      <c r="BI138" s="7"/>
    </row>
    <row r="139" customFormat="false" ht="15" hidden="false" customHeight="true" outlineLevel="0" collapsed="false">
      <c r="B139" s="40" t="s">
        <v>216</v>
      </c>
      <c r="C139" s="46" t="n">
        <v>268.4</v>
      </c>
      <c r="D139" s="46" t="n">
        <v>288</v>
      </c>
      <c r="E139" s="46" t="n">
        <v>290.2</v>
      </c>
      <c r="F139" s="41" t="n">
        <f aca="false">F137+F138</f>
        <v>288.8</v>
      </c>
      <c r="G139" s="41" t="n">
        <f aca="false">G137+G138</f>
        <v>421.7</v>
      </c>
      <c r="H139" s="41" t="n">
        <f aca="false">H137+H138</f>
        <v>594.1</v>
      </c>
      <c r="I139" s="41" t="n">
        <f aca="false">I137+I138</f>
        <v>740</v>
      </c>
      <c r="J139" s="41" t="n">
        <f aca="false">J137+J138</f>
        <v>381.7</v>
      </c>
      <c r="K139" s="41" t="n">
        <f aca="false">K137+K138</f>
        <v>408.8</v>
      </c>
      <c r="L139" s="41" t="n">
        <f aca="false">L137+L138</f>
        <v>790.5</v>
      </c>
      <c r="M139" s="41" t="n">
        <f aca="false">M137+M138</f>
        <v>412.5</v>
      </c>
      <c r="N139" s="41" t="n">
        <f aca="false">N137+N138</f>
        <v>446.3</v>
      </c>
      <c r="O139" s="41" t="n">
        <f aca="false">O137+O138</f>
        <v>858.8</v>
      </c>
      <c r="P139" s="41" t="n">
        <f aca="false">P137+P138</f>
        <v>482.5</v>
      </c>
      <c r="Q139" s="41" t="n">
        <f aca="false">Q137+Q138</f>
        <v>490.1</v>
      </c>
      <c r="R139" s="41" t="n">
        <f aca="false">R137+R138</f>
        <v>972.6</v>
      </c>
      <c r="S139" s="41" t="n">
        <f aca="false">S137+S138</f>
        <v>545.4</v>
      </c>
      <c r="T139" s="41" t="n">
        <f aca="false">T137+T138</f>
        <v>554.8</v>
      </c>
      <c r="U139" s="41" t="n">
        <f aca="false">U137+U138</f>
        <v>1100.2</v>
      </c>
      <c r="V139" s="41" t="n">
        <f aca="false">V137+V138</f>
        <v>605.2</v>
      </c>
      <c r="W139" s="41" t="n">
        <f aca="false">W137+W138</f>
        <v>616.3</v>
      </c>
      <c r="X139" s="41" t="n">
        <f aca="false">X137+X138</f>
        <v>1221.5</v>
      </c>
      <c r="Y139" s="41" t="n">
        <f aca="false">Y137+Y138</f>
        <v>707.9</v>
      </c>
      <c r="Z139" s="41" t="n">
        <f aca="false">Z137+Z138</f>
        <v>696.8</v>
      </c>
      <c r="AA139" s="41" t="n">
        <f aca="false">AA137+AA138</f>
        <v>1404.7</v>
      </c>
      <c r="AB139" s="41" t="n">
        <f aca="false">AB137+AB138</f>
        <v>754.3</v>
      </c>
      <c r="AC139" s="41" t="n">
        <f aca="false">AC137+AC138</f>
        <v>773.8</v>
      </c>
      <c r="AD139" s="41" t="n">
        <f aca="false">AD137+AD138</f>
        <v>1528.1</v>
      </c>
      <c r="AE139" s="41" t="n">
        <f aca="false">AE137+AE138</f>
        <v>334.9</v>
      </c>
      <c r="AF139" s="41" t="n">
        <f aca="false">AF137+AF138</f>
        <v>1050.5</v>
      </c>
      <c r="AG139" s="41" t="n">
        <f aca="false">AG137+AG138</f>
        <v>1385.4</v>
      </c>
      <c r="AH139" s="41" t="n">
        <f aca="false">AH137+AH138</f>
        <v>1173.6</v>
      </c>
      <c r="AI139" s="41" t="n">
        <f aca="false">AI137+AI138</f>
        <v>1272.4</v>
      </c>
      <c r="AJ139" s="41" t="n">
        <f aca="false">AJ137+AJ138</f>
        <v>2446</v>
      </c>
      <c r="AK139" s="41" t="n">
        <f aca="false">AK137+AK138</f>
        <v>1642</v>
      </c>
      <c r="AL139" s="41" t="n">
        <f aca="false">AL137+AL138</f>
        <v>1725</v>
      </c>
      <c r="AM139" s="41" t="n">
        <f aca="false">AM137+AM138</f>
        <v>3367</v>
      </c>
      <c r="AN139" s="41" t="n">
        <f aca="false">AN137+AN138</f>
        <v>2226</v>
      </c>
      <c r="AO139" s="41" t="n">
        <f aca="false">AO137+AO138</f>
        <v>2083</v>
      </c>
      <c r="AP139" s="41" t="n">
        <f aca="false">AP137+AP138</f>
        <v>4309</v>
      </c>
      <c r="AQ139" s="41" t="n">
        <f aca="false">AQ137+AQ138</f>
        <v>2369</v>
      </c>
      <c r="AR139" s="41" t="n">
        <f aca="false">AR137+AR138</f>
        <v>2233</v>
      </c>
      <c r="AS139" s="41" t="n">
        <f aca="false">AS137+AS138</f>
        <v>4602</v>
      </c>
      <c r="AT139" s="41" t="n">
        <f aca="false">AT137+AT138</f>
        <v>2246</v>
      </c>
      <c r="AU139" s="41" t="n">
        <f aca="false">AU137+AU138</f>
        <v>2278</v>
      </c>
      <c r="AV139" s="41" t="n">
        <f aca="false">AV137+AV138</f>
        <v>4524</v>
      </c>
      <c r="AW139" s="41" t="n">
        <f aca="false">AW137+AW138</f>
        <v>2237</v>
      </c>
      <c r="AX139" s="41" t="n">
        <f aca="false">AX137+AX138</f>
        <v>2380.023758217</v>
      </c>
      <c r="AY139" s="41" t="n">
        <f aca="false">AW139+AX139</f>
        <v>4617.023758217</v>
      </c>
      <c r="AZ139" s="41" t="n">
        <f aca="false">AZ137+AZ138</f>
        <v>5292.04007963685</v>
      </c>
      <c r="BA139" s="41" t="n">
        <f aca="false">BA137+BA138</f>
        <v>5743.47116612742</v>
      </c>
      <c r="BB139" s="41" t="n">
        <f aca="false">BB137+BB138</f>
        <v>6203.79857393346</v>
      </c>
      <c r="BC139" s="41" t="n">
        <f aca="false">BC137+BC138</f>
        <v>6643.36711749831</v>
      </c>
      <c r="BD139" s="23"/>
      <c r="BF139" s="24" t="n">
        <f aca="false">IFERROR((BC139/AV139)^(1/5)-1,"n/m")</f>
        <v>0.0798741154162126</v>
      </c>
      <c r="BG139" s="24" t="n">
        <f aca="false">IFERROR((AV139/AG139)^(1/5)-1,"n/m")</f>
        <v>0.267037540487103</v>
      </c>
      <c r="BH139" s="24" t="n">
        <f aca="false">IFERROR((AV139/R139)^(1/10)-1,"n/m")</f>
        <v>0.166161859027297</v>
      </c>
      <c r="BI139" s="24" t="n">
        <f aca="false">IFERROR((AV139/C139)^(1/19)-1,"n/m")</f>
        <v>0.160286575839179</v>
      </c>
    </row>
    <row r="140" customFormat="false" ht="15" hidden="false" customHeight="true" outlineLevel="0" collapsed="false">
      <c r="B140" s="43" t="s">
        <v>217</v>
      </c>
      <c r="C140" s="37" t="n">
        <f aca="false">IF(ISNUMBER(C141),ROUND(C139-C141,0),"")</f>
        <v>0</v>
      </c>
      <c r="D140" s="37" t="n">
        <f aca="false">IF(ISNUMBER(D141),ROUND(D139-D141,0),"")</f>
        <v>0</v>
      </c>
      <c r="E140" s="37" t="n">
        <f aca="false">IF(ISNUMBER(E141),ROUND(E139-E141,0),"")</f>
        <v>0</v>
      </c>
      <c r="F140" s="37" t="n">
        <f aca="false">IF(ISNUMBER(F141),ROUND(F139-F141,0),"")</f>
        <v>0</v>
      </c>
      <c r="G140" s="37" t="n">
        <f aca="false">IF(ISNUMBER(G141),ROUND(G139-G141,0),"")</f>
        <v>0</v>
      </c>
      <c r="H140" s="37" t="n">
        <f aca="false">IF(ISNUMBER(H141),ROUND(H139-H141,0),"")</f>
        <v>-0</v>
      </c>
      <c r="I140" s="37" t="n">
        <f aca="false">IF(ISNUMBER(I141),ROUND(I139-I141,0),"")</f>
        <v>0</v>
      </c>
      <c r="J140" s="37" t="n">
        <f aca="false">IF(ISNUMBER(J141),ROUND(J139-J141,0),"")</f>
        <v>0</v>
      </c>
      <c r="K140" s="37" t="n">
        <f aca="false">IF(ISNUMBER(K141),ROUND(K139-K141,0),"")</f>
        <v>0</v>
      </c>
      <c r="L140" s="37" t="n">
        <f aca="false">IF(ISNUMBER(L141),ROUND(L139-L141,0),"")</f>
        <v>0</v>
      </c>
      <c r="M140" s="37" t="n">
        <f aca="false">IF(ISNUMBER(M141),ROUND(M139-M141,0),"")</f>
        <v>0</v>
      </c>
      <c r="N140" s="37" t="n">
        <f aca="false">IF(ISNUMBER(N141),ROUND(N139-N141,0),"")</f>
        <v>0</v>
      </c>
      <c r="O140" s="37" t="n">
        <f aca="false">IF(ISNUMBER(O141),ROUND(O139-O141,0),"")</f>
        <v>0</v>
      </c>
      <c r="P140" s="37" t="n">
        <f aca="false">IF(ISNUMBER(P141),ROUND(P139-P141,0),"")</f>
        <v>0</v>
      </c>
      <c r="Q140" s="37" t="n">
        <f aca="false">IF(ISNUMBER(Q141),ROUND(Q139-Q141,0),"")</f>
        <v>0</v>
      </c>
      <c r="R140" s="37" t="n">
        <f aca="false">IF(ISNUMBER(R141),ROUND(R139-R141,0),"")</f>
        <v>0</v>
      </c>
      <c r="S140" s="37" t="n">
        <f aca="false">IF(ISNUMBER(S141),ROUND(S139-S141,0),"")</f>
        <v>0</v>
      </c>
      <c r="T140" s="37" t="n">
        <f aca="false">IF(ISNUMBER(T141),ROUND(T139-T141,0),"")</f>
        <v>-0</v>
      </c>
      <c r="U140" s="37" t="n">
        <f aca="false">IF(ISNUMBER(U141),ROUND(U139-U141,0),"")</f>
        <v>-0</v>
      </c>
      <c r="V140" s="37" t="n">
        <f aca="false">IF(ISNUMBER(V141),ROUND(V139-V141,0),"")</f>
        <v>0</v>
      </c>
      <c r="W140" s="37" t="n">
        <f aca="false">IF(ISNUMBER(W141),ROUND(W139-W141,0),"")</f>
        <v>0</v>
      </c>
      <c r="X140" s="37" t="n">
        <f aca="false">IF(ISNUMBER(X141),ROUND(X139-X141,0),"")</f>
        <v>0</v>
      </c>
      <c r="Y140" s="37" t="n">
        <f aca="false">IF(ISNUMBER(Y141),ROUND(Y139-Y141,0),"")</f>
        <v>0</v>
      </c>
      <c r="Z140" s="37" t="n">
        <f aca="false">IF(ISNUMBER(Z141),ROUND(Z139-Z141,0),"")</f>
        <v>0</v>
      </c>
      <c r="AA140" s="37" t="n">
        <f aca="false">IF(ISNUMBER(AA141),ROUND(AA139-AA141,0),"")</f>
        <v>0</v>
      </c>
      <c r="AB140" s="37" t="n">
        <f aca="false">IF(ISNUMBER(AB141),ROUND(AB139-AB141,0),"")</f>
        <v>0</v>
      </c>
      <c r="AC140" s="37" t="n">
        <f aca="false">IF(ISNUMBER(AC141),ROUND(AC139-AC141,0),"")</f>
        <v>-0</v>
      </c>
      <c r="AD140" s="37" t="n">
        <f aca="false">IF(ISNUMBER(AD141),ROUND(AD139-AD141,0),"")</f>
        <v>-0</v>
      </c>
      <c r="AE140" s="37" t="n">
        <f aca="false">IF(ISNUMBER(AE141),ROUND(AE139-AE141,0),"")</f>
        <v>-0</v>
      </c>
      <c r="AF140" s="37" t="n">
        <f aca="false">IF(ISNUMBER(AF141),ROUND(AF139-AF141,0),"")</f>
        <v>0</v>
      </c>
      <c r="AG140" s="37" t="n">
        <f aca="false">IF(ISNUMBER(AG141),ROUND(AG139-AG141,0),"")</f>
        <v>0</v>
      </c>
      <c r="AH140" s="37" t="n">
        <f aca="false">IF(ISNUMBER(AH141),ROUND(AH139-AH141,0),"")</f>
        <v>0</v>
      </c>
      <c r="AI140" s="37" t="n">
        <f aca="false">IF(ISNUMBER(AI141),ROUND(AI139-AI141,0),"")</f>
        <v>1</v>
      </c>
      <c r="AJ140" s="37" t="n">
        <f aca="false">IF(ISNUMBER(AJ141),ROUND(AJ139-AJ141,0),"")</f>
        <v>1</v>
      </c>
      <c r="AK140" s="37" t="n">
        <f aca="false">IF(ISNUMBER(AK141),ROUND(AK139-AK141,0),"")</f>
        <v>1</v>
      </c>
      <c r="AL140" s="37" t="n">
        <f aca="false">IF(ISNUMBER(AL141),ROUND(AL139-AL141,0),"")</f>
        <v>-1</v>
      </c>
      <c r="AM140" s="37" t="n">
        <f aca="false">IF(ISNUMBER(AM141),ROUND(AM139-AM141,0),"")</f>
        <v>0</v>
      </c>
      <c r="AN140" s="37" t="n">
        <f aca="false">IF(ISNUMBER(AN141),ROUND(AN139-AN141,0),"")</f>
        <v>0</v>
      </c>
      <c r="AO140" s="37" t="n">
        <f aca="false">IF(ISNUMBER(AO141),ROUND(AO139-AO141,0),"")</f>
        <v>-2</v>
      </c>
      <c r="AP140" s="37" t="n">
        <f aca="false">IF(ISNUMBER(AP141),ROUND(AP139-AP141,0),"")</f>
        <v>-2</v>
      </c>
      <c r="AQ140" s="37" t="n">
        <f aca="false">IF(ISNUMBER(AQ141),ROUND(AQ139-AQ141,0),"")</f>
        <v>1</v>
      </c>
      <c r="AR140" s="37" t="n">
        <f aca="false">IF(ISNUMBER(AR141),ROUND(AR139-AR141,0),"")</f>
        <v>-2</v>
      </c>
      <c r="AS140" s="37" t="n">
        <f aca="false">IF(ISNUMBER(AS141),ROUND(AS139-AS141,0),"")</f>
        <v>-1</v>
      </c>
      <c r="AT140" s="37" t="n">
        <f aca="false">IF(ISNUMBER(AT141),ROUND(AT139-AT141,0),"")</f>
        <v>0</v>
      </c>
      <c r="AU140" s="37" t="n">
        <f aca="false">IF(ISNUMBER(AU141),ROUND(AU139-AU141,0),"")</f>
        <v>0</v>
      </c>
      <c r="AV140" s="37" t="n">
        <f aca="false">IF(ISNUMBER(AV141),ROUND(AV139-AV141,0),"")</f>
        <v>0</v>
      </c>
      <c r="AW140" s="37" t="n">
        <f aca="false">IF(ISNUMBER(AW141),ROUND(AW139-AW141,0),"")</f>
        <v>-1</v>
      </c>
      <c r="AX140" s="39"/>
      <c r="AY140" s="39"/>
      <c r="AZ140" s="39"/>
      <c r="BA140" s="39"/>
      <c r="BB140" s="39"/>
      <c r="BC140" s="39"/>
      <c r="BD140" s="23"/>
      <c r="BF140" s="7"/>
      <c r="BG140" s="7"/>
      <c r="BH140" s="7"/>
      <c r="BI140" s="7"/>
    </row>
    <row r="141" customFormat="false" ht="15" hidden="false" customHeight="true" outlineLevel="0" collapsed="false">
      <c r="B141" s="36" t="s">
        <v>218</v>
      </c>
      <c r="C141" s="38" t="n">
        <v>268.4</v>
      </c>
      <c r="D141" s="38" t="n">
        <v>288</v>
      </c>
      <c r="E141" s="38" t="n">
        <v>290.2</v>
      </c>
      <c r="F141" s="38" t="n">
        <v>288.8</v>
      </c>
      <c r="G141" s="38" t="n">
        <v>421.7</v>
      </c>
      <c r="H141" s="38" t="n">
        <v>594.3</v>
      </c>
      <c r="I141" s="38" t="n">
        <v>739.9</v>
      </c>
      <c r="J141" s="38" t="n">
        <v>381.7</v>
      </c>
      <c r="K141" s="37" t="n">
        <f aca="false">L141-J141</f>
        <v>408.6</v>
      </c>
      <c r="L141" s="38" t="n">
        <v>790.3</v>
      </c>
      <c r="M141" s="38" t="n">
        <v>412.5</v>
      </c>
      <c r="N141" s="37" t="n">
        <f aca="false">O141-M141</f>
        <v>446.3</v>
      </c>
      <c r="O141" s="38" t="n">
        <v>858.8</v>
      </c>
      <c r="P141" s="38" t="n">
        <v>482.5</v>
      </c>
      <c r="Q141" s="37" t="n">
        <f aca="false">R141-P141</f>
        <v>490.1</v>
      </c>
      <c r="R141" s="38" t="n">
        <v>972.6</v>
      </c>
      <c r="S141" s="38" t="n">
        <v>545.4</v>
      </c>
      <c r="T141" s="37" t="n">
        <f aca="false">U141-S141</f>
        <v>554.9</v>
      </c>
      <c r="U141" s="38" t="n">
        <v>1100.3</v>
      </c>
      <c r="V141" s="38" t="n">
        <v>605.2</v>
      </c>
      <c r="W141" s="37" t="n">
        <f aca="false">X141-V141</f>
        <v>616.3</v>
      </c>
      <c r="X141" s="38" t="n">
        <v>1221.5</v>
      </c>
      <c r="Y141" s="38" t="n">
        <v>707.8</v>
      </c>
      <c r="Z141" s="37" t="n">
        <f aca="false">AA141-Y141</f>
        <v>696.8</v>
      </c>
      <c r="AA141" s="38" t="n">
        <v>1404.6</v>
      </c>
      <c r="AB141" s="38" t="n">
        <v>754.3</v>
      </c>
      <c r="AC141" s="37" t="n">
        <f aca="false">AD141-AB141</f>
        <v>773.9</v>
      </c>
      <c r="AD141" s="38" t="n">
        <v>1528.2</v>
      </c>
      <c r="AE141" s="38" t="n">
        <v>335</v>
      </c>
      <c r="AF141" s="37" t="n">
        <f aca="false">AG141-AE141</f>
        <v>1050.4</v>
      </c>
      <c r="AG141" s="38" t="n">
        <v>1385.4</v>
      </c>
      <c r="AH141" s="38" t="n">
        <v>1173.6</v>
      </c>
      <c r="AI141" s="37" t="n">
        <f aca="false">AJ141-AH141</f>
        <v>1271.4</v>
      </c>
      <c r="AJ141" s="38" t="n">
        <v>2445</v>
      </c>
      <c r="AK141" s="38" t="n">
        <v>1641</v>
      </c>
      <c r="AL141" s="37" t="n">
        <f aca="false">AM141-AK141</f>
        <v>1726</v>
      </c>
      <c r="AM141" s="38" t="n">
        <v>3367</v>
      </c>
      <c r="AN141" s="38" t="n">
        <v>2226</v>
      </c>
      <c r="AO141" s="37" t="n">
        <f aca="false">AP141-AN141</f>
        <v>2085</v>
      </c>
      <c r="AP141" s="38" t="n">
        <v>4311</v>
      </c>
      <c r="AQ141" s="38" t="n">
        <v>2368</v>
      </c>
      <c r="AR141" s="37" t="n">
        <f aca="false">AS141-AQ141</f>
        <v>2235</v>
      </c>
      <c r="AS141" s="38" t="n">
        <v>4603</v>
      </c>
      <c r="AT141" s="38" t="n">
        <v>2246</v>
      </c>
      <c r="AU141" s="37" t="n">
        <f aca="false">AV141-AT141</f>
        <v>2278</v>
      </c>
      <c r="AV141" s="38" t="n">
        <v>4524</v>
      </c>
      <c r="AW141" s="38" t="n">
        <v>2238</v>
      </c>
      <c r="AX141" s="39"/>
      <c r="AY141" s="39"/>
      <c r="AZ141" s="39"/>
      <c r="BA141" s="39"/>
      <c r="BB141" s="39"/>
      <c r="BC141" s="39"/>
      <c r="BD141" s="23"/>
      <c r="BF141" s="7"/>
      <c r="BG141" s="7"/>
      <c r="BH141" s="7"/>
      <c r="BI141" s="7"/>
    </row>
    <row r="142" customFormat="false" ht="15" hidden="false" customHeight="true" outlineLevel="0" collapsed="false">
      <c r="B142" s="36" t="s">
        <v>219</v>
      </c>
      <c r="C142" s="37"/>
      <c r="D142" s="37"/>
      <c r="E142" s="37"/>
      <c r="F142" s="38" t="n">
        <v>84.5</v>
      </c>
      <c r="G142" s="38" t="n">
        <v>100.9</v>
      </c>
      <c r="H142" s="38" t="n">
        <v>113.2</v>
      </c>
      <c r="I142" s="38" t="n">
        <v>120.1</v>
      </c>
      <c r="J142" s="38" t="n">
        <v>63.4</v>
      </c>
      <c r="K142" s="37" t="n">
        <f aca="false">L142-J142</f>
        <v>75.1</v>
      </c>
      <c r="L142" s="38" t="n">
        <v>138.5</v>
      </c>
      <c r="M142" s="38" t="n">
        <v>71.9</v>
      </c>
      <c r="N142" s="37" t="n">
        <f aca="false">O142-M142</f>
        <v>96.7</v>
      </c>
      <c r="O142" s="38" t="n">
        <v>168.6</v>
      </c>
      <c r="P142" s="38" t="n">
        <v>86.7</v>
      </c>
      <c r="Q142" s="37" t="n">
        <f aca="false">R142-P142</f>
        <v>119.8</v>
      </c>
      <c r="R142" s="38" t="n">
        <v>206.5</v>
      </c>
      <c r="S142" s="38" t="n">
        <v>107.1</v>
      </c>
      <c r="T142" s="37" t="n">
        <f aca="false">U142-S142</f>
        <v>125</v>
      </c>
      <c r="U142" s="38" t="n">
        <v>232.1</v>
      </c>
      <c r="V142" s="38" t="n">
        <v>117</v>
      </c>
      <c r="W142" s="37" t="n">
        <f aca="false">X142-V142</f>
        <v>126</v>
      </c>
      <c r="X142" s="38" t="n">
        <v>243</v>
      </c>
      <c r="Y142" s="38" t="n">
        <v>139.3</v>
      </c>
      <c r="Z142" s="37" t="n">
        <f aca="false">AA142-Y142</f>
        <v>120.7</v>
      </c>
      <c r="AA142" s="38" t="n">
        <v>260</v>
      </c>
      <c r="AB142" s="38" t="n">
        <v>238.8</v>
      </c>
      <c r="AC142" s="37" t="n">
        <f aca="false">AD142-AB142</f>
        <v>237.4</v>
      </c>
      <c r="AD142" s="38" t="n">
        <v>476.2</v>
      </c>
      <c r="AE142" s="38" t="n">
        <v>259.2</v>
      </c>
      <c r="AF142" s="37" t="n">
        <f aca="false">AG142-AE142</f>
        <v>309.3</v>
      </c>
      <c r="AG142" s="38" t="n">
        <v>568.5</v>
      </c>
      <c r="AH142" s="38" t="n">
        <v>309.6</v>
      </c>
      <c r="AI142" s="37" t="n">
        <f aca="false">AJ142-AH142</f>
        <v>318.4</v>
      </c>
      <c r="AJ142" s="38" t="n">
        <v>628</v>
      </c>
      <c r="AK142" s="38" t="n">
        <v>358</v>
      </c>
      <c r="AL142" s="37" t="n">
        <f aca="false">AM142-AK142</f>
        <v>372</v>
      </c>
      <c r="AM142" s="38" t="n">
        <v>730</v>
      </c>
      <c r="AN142" s="38" t="n">
        <v>344</v>
      </c>
      <c r="AO142" s="37" t="n">
        <f aca="false">AP142-AN142</f>
        <v>428</v>
      </c>
      <c r="AP142" s="38" t="n">
        <v>772</v>
      </c>
      <c r="AQ142" s="38" t="n">
        <v>383</v>
      </c>
      <c r="AR142" s="37" t="n">
        <f aca="false">AS142-AQ142</f>
        <v>461</v>
      </c>
      <c r="AS142" s="38" t="n">
        <v>844</v>
      </c>
      <c r="AT142" s="38" t="n">
        <v>463</v>
      </c>
      <c r="AU142" s="37" t="n">
        <f aca="false">AV142-AT142</f>
        <v>463</v>
      </c>
      <c r="AV142" s="38" t="n">
        <v>926</v>
      </c>
      <c r="AW142" s="38" t="n">
        <v>521</v>
      </c>
      <c r="AX142" s="39" t="n">
        <f aca="false">AY142-AW142</f>
        <v>476.44863</v>
      </c>
      <c r="AY142" s="39" t="n">
        <f aca="false">AY144+AY143</f>
        <v>997.44863</v>
      </c>
      <c r="AZ142" s="39" t="n">
        <f aca="false">AZ144+AZ143</f>
        <v>1078.41610355</v>
      </c>
      <c r="BA142" s="39" t="n">
        <f aca="false">BA144+BA143</f>
        <v>1164.43136230375</v>
      </c>
      <c r="BB142" s="39" t="n">
        <f aca="false">BB144+BB143</f>
        <v>1253.74080013246</v>
      </c>
      <c r="BC142" s="39" t="n">
        <f aca="false">BC144+BC143</f>
        <v>1345.04251752387</v>
      </c>
      <c r="BD142" s="23"/>
      <c r="BF142" s="7"/>
      <c r="BG142" s="7"/>
      <c r="BH142" s="7"/>
      <c r="BI142" s="7"/>
    </row>
    <row r="143" customFormat="false" ht="15" hidden="false" customHeight="true" outlineLevel="0" collapsed="false">
      <c r="B143" s="36" t="s">
        <v>220</v>
      </c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8" t="n">
        <v>101.4</v>
      </c>
      <c r="AC143" s="37" t="n">
        <f aca="false">AD143-AB143</f>
        <v>110.2</v>
      </c>
      <c r="AD143" s="38" t="n">
        <v>211.6</v>
      </c>
      <c r="AE143" s="38" t="n">
        <v>125.6</v>
      </c>
      <c r="AF143" s="37" t="n">
        <f aca="false">AG143-AE143</f>
        <v>117.6</v>
      </c>
      <c r="AG143" s="38" t="n">
        <v>243.2</v>
      </c>
      <c r="AH143" s="38" t="n">
        <v>120.3</v>
      </c>
      <c r="AI143" s="37" t="n">
        <f aca="false">AJ143-AH143</f>
        <v>130.7</v>
      </c>
      <c r="AJ143" s="38" t="n">
        <v>251</v>
      </c>
      <c r="AK143" s="38" t="n">
        <v>127</v>
      </c>
      <c r="AL143" s="37" t="n">
        <f aca="false">AM143-AK143</f>
        <v>139</v>
      </c>
      <c r="AM143" s="38" t="n">
        <v>266</v>
      </c>
      <c r="AN143" s="38" t="n">
        <v>139</v>
      </c>
      <c r="AO143" s="37" t="n">
        <f aca="false">AP143-AN143</f>
        <v>149</v>
      </c>
      <c r="AP143" s="38" t="n">
        <v>288</v>
      </c>
      <c r="AQ143" s="38" t="n">
        <v>165</v>
      </c>
      <c r="AR143" s="37" t="n">
        <f aca="false">AS143-AQ143</f>
        <v>168</v>
      </c>
      <c r="AS143" s="38" t="n">
        <v>333</v>
      </c>
      <c r="AT143" s="38" t="n">
        <v>172</v>
      </c>
      <c r="AU143" s="37" t="n">
        <f aca="false">AV143-AT143</f>
        <v>179</v>
      </c>
      <c r="AV143" s="38" t="n">
        <v>351</v>
      </c>
      <c r="AW143" s="38" t="n">
        <v>186</v>
      </c>
      <c r="AX143" s="39" t="n">
        <f aca="false">AY143-AW143</f>
        <v>204.39</v>
      </c>
      <c r="AY143" s="39" t="n">
        <f aca="false">AY331</f>
        <v>390.39</v>
      </c>
      <c r="AZ143" s="39" t="n">
        <f aca="false">AZ331</f>
        <v>426.24165675</v>
      </c>
      <c r="BA143" s="39" t="n">
        <f aca="false">BA331</f>
        <v>463.42427961375</v>
      </c>
      <c r="BB143" s="39" t="n">
        <f aca="false">BB331</f>
        <v>502.363932639319</v>
      </c>
      <c r="BC143" s="39" t="n">
        <f aca="false">BC331</f>
        <v>543.001536602778</v>
      </c>
      <c r="BD143" s="23"/>
      <c r="BF143" s="7"/>
      <c r="BG143" s="7"/>
      <c r="BH143" s="7"/>
      <c r="BI143" s="7"/>
    </row>
    <row r="144" customFormat="false" ht="15" hidden="false" customHeight="true" outlineLevel="0" collapsed="false">
      <c r="B144" s="36" t="s">
        <v>221</v>
      </c>
      <c r="C144" s="37" t="str">
        <f aca="false">IF(ISNUMBER(C142),C142-N(C143),"")</f>
        <v/>
      </c>
      <c r="D144" s="37" t="str">
        <f aca="false">IF(ISNUMBER(D142),D142-N(D143),"")</f>
        <v/>
      </c>
      <c r="E144" s="37" t="str">
        <f aca="false">IF(ISNUMBER(E142),E142-N(E143),"")</f>
        <v/>
      </c>
      <c r="F144" s="37" t="n">
        <f aca="false">IF(ISNUMBER(F142),F142-N(F143),"")</f>
        <v>84.5</v>
      </c>
      <c r="G144" s="37" t="n">
        <f aca="false">IF(ISNUMBER(G142),G142-N(G143),"")</f>
        <v>100.9</v>
      </c>
      <c r="H144" s="37" t="n">
        <f aca="false">IF(ISNUMBER(H142),H142-N(H143),"")</f>
        <v>113.2</v>
      </c>
      <c r="I144" s="37" t="n">
        <f aca="false">IF(ISNUMBER(I142),I142-N(I143),"")</f>
        <v>120.1</v>
      </c>
      <c r="J144" s="37" t="n">
        <f aca="false">IF(ISNUMBER(J142),J142-N(J143),"")</f>
        <v>63.4</v>
      </c>
      <c r="K144" s="37" t="n">
        <f aca="false">IF(ISNUMBER(K142),K142-N(K143),"")</f>
        <v>75.1</v>
      </c>
      <c r="L144" s="37" t="n">
        <f aca="false">IF(ISNUMBER(L142),L142-N(L143),"")</f>
        <v>138.5</v>
      </c>
      <c r="M144" s="37" t="n">
        <f aca="false">IF(ISNUMBER(M142),M142-N(M143),"")</f>
        <v>71.9</v>
      </c>
      <c r="N144" s="37" t="n">
        <f aca="false">IF(ISNUMBER(N142),N142-N(N143),"")</f>
        <v>96.7</v>
      </c>
      <c r="O144" s="37" t="n">
        <f aca="false">IF(ISNUMBER(O142),O142-N(O143),"")</f>
        <v>168.6</v>
      </c>
      <c r="P144" s="37" t="n">
        <f aca="false">IF(ISNUMBER(P142),P142-N(P143),"")</f>
        <v>86.7</v>
      </c>
      <c r="Q144" s="37" t="n">
        <f aca="false">IF(ISNUMBER(Q142),Q142-N(Q143),"")</f>
        <v>119.8</v>
      </c>
      <c r="R144" s="37" t="n">
        <f aca="false">IF(ISNUMBER(R142),R142-N(R143),"")</f>
        <v>206.5</v>
      </c>
      <c r="S144" s="37" t="n">
        <f aca="false">IF(ISNUMBER(S142),S142-N(S143),"")</f>
        <v>107.1</v>
      </c>
      <c r="T144" s="37" t="n">
        <f aca="false">IF(ISNUMBER(T142),T142-N(T143),"")</f>
        <v>125</v>
      </c>
      <c r="U144" s="37" t="n">
        <f aca="false">IF(ISNUMBER(U142),U142-N(U143),"")</f>
        <v>232.1</v>
      </c>
      <c r="V144" s="37" t="n">
        <f aca="false">IF(ISNUMBER(V142),V142-N(V143),"")</f>
        <v>117</v>
      </c>
      <c r="W144" s="37" t="n">
        <f aca="false">IF(ISNUMBER(W142),W142-N(W143),"")</f>
        <v>126</v>
      </c>
      <c r="X144" s="37" t="n">
        <f aca="false">IF(ISNUMBER(X142),X142-N(X143),"")</f>
        <v>243</v>
      </c>
      <c r="Y144" s="37" t="n">
        <f aca="false">IF(ISNUMBER(Y142),Y142-N(Y143),"")</f>
        <v>139.3</v>
      </c>
      <c r="Z144" s="37" t="n">
        <f aca="false">IF(ISNUMBER(Z142),Z142-N(Z143),"")</f>
        <v>120.7</v>
      </c>
      <c r="AA144" s="37" t="n">
        <f aca="false">IF(ISNUMBER(AA142),AA142-N(AA143),"")</f>
        <v>260</v>
      </c>
      <c r="AB144" s="37" t="n">
        <f aca="false">IF(ISNUMBER(AB142),AB142-N(AB143),"")</f>
        <v>137.4</v>
      </c>
      <c r="AC144" s="37" t="n">
        <f aca="false">IF(ISNUMBER(AC142),AC142-N(AC143),"")</f>
        <v>127.2</v>
      </c>
      <c r="AD144" s="37" t="n">
        <f aca="false">IF(ISNUMBER(AD142),AD142-N(AD143),"")</f>
        <v>264.6</v>
      </c>
      <c r="AE144" s="37" t="n">
        <f aca="false">IF(ISNUMBER(AE142),AE142-N(AE143),"")</f>
        <v>133.6</v>
      </c>
      <c r="AF144" s="37" t="n">
        <f aca="false">IF(ISNUMBER(AF142),AF142-N(AF143),"")</f>
        <v>191.7</v>
      </c>
      <c r="AG144" s="37" t="n">
        <f aca="false">IF(ISNUMBER(AG142),AG142-N(AG143),"")</f>
        <v>325.3</v>
      </c>
      <c r="AH144" s="37" t="n">
        <f aca="false">IF(ISNUMBER(AH142),AH142-N(AH143),"")</f>
        <v>189.3</v>
      </c>
      <c r="AI144" s="37" t="n">
        <f aca="false">IF(ISNUMBER(AI142),AI142-N(AI143),"")</f>
        <v>187.7</v>
      </c>
      <c r="AJ144" s="37" t="n">
        <f aca="false">IF(ISNUMBER(AJ142),AJ142-N(AJ143),"")</f>
        <v>377</v>
      </c>
      <c r="AK144" s="37" t="n">
        <f aca="false">IF(ISNUMBER(AK142),AK142-N(AK143),"")</f>
        <v>231</v>
      </c>
      <c r="AL144" s="37" t="n">
        <f aca="false">IF(ISNUMBER(AL142),AL142-N(AL143),"")</f>
        <v>233</v>
      </c>
      <c r="AM144" s="37" t="n">
        <f aca="false">IF(ISNUMBER(AM142),AM142-N(AM143),"")</f>
        <v>464</v>
      </c>
      <c r="AN144" s="37" t="n">
        <f aca="false">IF(ISNUMBER(AN142),AN142-N(AN143),"")</f>
        <v>205</v>
      </c>
      <c r="AO144" s="37" t="n">
        <f aca="false">IF(ISNUMBER(AO142),AO142-N(AO143),"")</f>
        <v>279</v>
      </c>
      <c r="AP144" s="37" t="n">
        <f aca="false">IF(ISNUMBER(AP142),AP142-N(AP143),"")</f>
        <v>484</v>
      </c>
      <c r="AQ144" s="37" t="n">
        <f aca="false">IF(ISNUMBER(AQ142),AQ142-N(AQ143),"")</f>
        <v>218</v>
      </c>
      <c r="AR144" s="37" t="n">
        <f aca="false">IF(ISNUMBER(AR142),AR142-N(AR143),"")</f>
        <v>293</v>
      </c>
      <c r="AS144" s="37" t="n">
        <f aca="false">IF(ISNUMBER(AS142),AS142-N(AS143),"")</f>
        <v>511</v>
      </c>
      <c r="AT144" s="37" t="n">
        <f aca="false">IF(ISNUMBER(AT142),AT142-N(AT143),"")</f>
        <v>291</v>
      </c>
      <c r="AU144" s="37" t="n">
        <f aca="false">IF(ISNUMBER(AU142),AU142-N(AU143),"")</f>
        <v>284</v>
      </c>
      <c r="AV144" s="37" t="n">
        <f aca="false">IF(ISNUMBER(AV142),AV142-N(AV143),"")</f>
        <v>575</v>
      </c>
      <c r="AW144" s="37" t="n">
        <f aca="false">IF(ISNUMBER(AW142),AW142-N(AW143),"")</f>
        <v>335</v>
      </c>
      <c r="AX144" s="39" t="n">
        <f aca="false">AY144-AW144</f>
        <v>272.05863</v>
      </c>
      <c r="AY144" s="39" t="n">
        <f aca="false">AY119*AY115</f>
        <v>607.05863</v>
      </c>
      <c r="AZ144" s="39" t="n">
        <f aca="false">AZ119*AZ115</f>
        <v>652.1744468</v>
      </c>
      <c r="BA144" s="39" t="n">
        <f aca="false">BA119*BA115</f>
        <v>701.00708269</v>
      </c>
      <c r="BB144" s="39" t="n">
        <f aca="false">BB119*BB115</f>
        <v>751.37686749314</v>
      </c>
      <c r="BC144" s="39" t="n">
        <f aca="false">BC119*BC115</f>
        <v>802.040980921091</v>
      </c>
      <c r="BD144" s="23"/>
      <c r="BF144" s="7"/>
      <c r="BG144" s="7"/>
      <c r="BH144" s="7"/>
      <c r="BI144" s="7"/>
    </row>
    <row r="145" customFormat="false" ht="15" hidden="false" customHeight="true" outlineLevel="0" collapsed="false">
      <c r="B145" s="36" t="s">
        <v>222</v>
      </c>
      <c r="C145" s="37"/>
      <c r="D145" s="37"/>
      <c r="E145" s="37"/>
      <c r="F145" s="38" t="n">
        <v>4.9</v>
      </c>
      <c r="G145" s="38" t="n">
        <v>9.1</v>
      </c>
      <c r="H145" s="38" t="n">
        <v>11.7</v>
      </c>
      <c r="I145" s="38" t="n">
        <v>28.4</v>
      </c>
      <c r="J145" s="38" t="n">
        <v>20.2</v>
      </c>
      <c r="K145" s="37" t="n">
        <f aca="false">L145-J145</f>
        <v>22.3</v>
      </c>
      <c r="L145" s="38" t="n">
        <v>42.5</v>
      </c>
      <c r="M145" s="38" t="n">
        <v>20.9</v>
      </c>
      <c r="N145" s="37" t="n">
        <f aca="false">O145-M145</f>
        <v>17.6</v>
      </c>
      <c r="O145" s="38" t="n">
        <v>38.5</v>
      </c>
      <c r="P145" s="38" t="n">
        <v>17.7</v>
      </c>
      <c r="Q145" s="37" t="n">
        <f aca="false">R145-P145</f>
        <v>18.7</v>
      </c>
      <c r="R145" s="38" t="n">
        <v>36.4</v>
      </c>
      <c r="S145" s="38" t="n">
        <v>20.5</v>
      </c>
      <c r="T145" s="37" t="n">
        <f aca="false">U145-S145</f>
        <v>33.3</v>
      </c>
      <c r="U145" s="38" t="n">
        <v>53.8</v>
      </c>
      <c r="V145" s="38" t="n">
        <v>32.3</v>
      </c>
      <c r="W145" s="37" t="n">
        <f aca="false">X145-V145</f>
        <v>29.7</v>
      </c>
      <c r="X145" s="38" t="n">
        <v>62</v>
      </c>
      <c r="Y145" s="38" t="n">
        <v>28.6</v>
      </c>
      <c r="Z145" s="37" t="n">
        <f aca="false">AA145-Y145</f>
        <v>22.8</v>
      </c>
      <c r="AA145" s="38" t="n">
        <v>51.4</v>
      </c>
      <c r="AB145" s="38" t="n">
        <v>26.4</v>
      </c>
      <c r="AC145" s="37" t="n">
        <f aca="false">AD145-AB145</f>
        <v>61.3</v>
      </c>
      <c r="AD145" s="38" t="n">
        <v>87.7</v>
      </c>
      <c r="AE145" s="38" t="n">
        <v>46.8</v>
      </c>
      <c r="AF145" s="37" t="n">
        <f aca="false">AG145-AE145</f>
        <v>32.2</v>
      </c>
      <c r="AG145" s="38" t="n">
        <v>79</v>
      </c>
      <c r="AH145" s="38" t="n">
        <v>31.9</v>
      </c>
      <c r="AI145" s="37" t="n">
        <f aca="false">AJ145-AH145</f>
        <v>27.1</v>
      </c>
      <c r="AJ145" s="38" t="n">
        <v>59</v>
      </c>
      <c r="AK145" s="38" t="n">
        <v>27</v>
      </c>
      <c r="AL145" s="37" t="n">
        <f aca="false">AM145-AK145</f>
        <v>28</v>
      </c>
      <c r="AM145" s="38" t="n">
        <v>55</v>
      </c>
      <c r="AN145" s="38" t="n">
        <v>30</v>
      </c>
      <c r="AO145" s="37" t="n">
        <f aca="false">AP145-AN145</f>
        <v>74</v>
      </c>
      <c r="AP145" s="38" t="n">
        <v>104</v>
      </c>
      <c r="AQ145" s="38" t="n">
        <v>69</v>
      </c>
      <c r="AR145" s="37" t="n">
        <f aca="false">AS145-AQ145</f>
        <v>73</v>
      </c>
      <c r="AS145" s="38" t="n">
        <v>142</v>
      </c>
      <c r="AT145" s="38" t="n">
        <v>66</v>
      </c>
      <c r="AU145" s="37" t="n">
        <f aca="false">AV145-AT145</f>
        <v>66</v>
      </c>
      <c r="AV145" s="38" t="n">
        <v>132</v>
      </c>
      <c r="AW145" s="38" t="n">
        <v>66</v>
      </c>
      <c r="AX145" s="39" t="n">
        <f aca="false">AY145-AW145</f>
        <v>68.537318</v>
      </c>
      <c r="AY145" s="39" t="n">
        <f aca="false">AY119*AY116</f>
        <v>134.537318</v>
      </c>
      <c r="AZ145" s="39" t="n">
        <f aca="false">AZ119*AZ116</f>
        <v>144.53595848</v>
      </c>
      <c r="BA145" s="39" t="n">
        <f aca="false">BA119*BA116</f>
        <v>155.358326434</v>
      </c>
      <c r="BB145" s="39" t="n">
        <f aca="false">BB119*BB116</f>
        <v>166.521359822804</v>
      </c>
      <c r="BC145" s="39" t="n">
        <f aca="false">BC119*BC116</f>
        <v>177.749622798728</v>
      </c>
      <c r="BD145" s="23"/>
      <c r="BF145" s="7"/>
      <c r="BG145" s="7"/>
      <c r="BH145" s="7"/>
      <c r="BI145" s="7"/>
    </row>
    <row r="146" customFormat="false" ht="15" hidden="false" customHeight="true" outlineLevel="0" collapsed="false">
      <c r="B146" s="13" t="s">
        <v>223</v>
      </c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9"/>
      <c r="AY146" s="39"/>
      <c r="AZ146" s="39"/>
      <c r="BA146" s="39"/>
      <c r="BB146" s="39"/>
      <c r="BC146" s="39"/>
      <c r="BD146" s="23"/>
      <c r="BF146" s="7"/>
      <c r="BG146" s="7"/>
      <c r="BH146" s="7"/>
      <c r="BI146" s="7"/>
    </row>
    <row r="147" customFormat="false" ht="15" hidden="false" customHeight="true" outlineLevel="0" collapsed="false">
      <c r="B147" s="13" t="s">
        <v>224</v>
      </c>
      <c r="C147" s="49"/>
      <c r="D147" s="49"/>
      <c r="E147" s="50" t="n">
        <v>105.074019</v>
      </c>
      <c r="F147" s="50" t="n">
        <v>105.12887</v>
      </c>
      <c r="G147" s="50" t="n">
        <v>105.162445</v>
      </c>
      <c r="H147" s="50" t="n">
        <v>104.556945</v>
      </c>
      <c r="I147" s="50" t="n">
        <v>104.087228</v>
      </c>
      <c r="J147" s="50" t="n">
        <v>104.11225</v>
      </c>
      <c r="K147" s="49" t="n">
        <f aca="false">L147</f>
        <v>104.118188</v>
      </c>
      <c r="L147" s="50" t="n">
        <v>104.118188</v>
      </c>
      <c r="M147" s="50" t="n">
        <v>104.15416</v>
      </c>
      <c r="N147" s="49" t="n">
        <f aca="false">O147</f>
        <v>104.267723</v>
      </c>
      <c r="O147" s="50" t="n">
        <v>104.267723</v>
      </c>
      <c r="P147" s="50" t="n">
        <v>104.398607</v>
      </c>
      <c r="Q147" s="49" t="n">
        <f aca="false">R147</f>
        <v>104.395884</v>
      </c>
      <c r="R147" s="50" t="n">
        <v>104.395884</v>
      </c>
      <c r="S147" s="50" t="n">
        <v>104.498788</v>
      </c>
      <c r="T147" s="49" t="n">
        <f aca="false">U147</f>
        <v>104.5189</v>
      </c>
      <c r="U147" s="50" t="n">
        <v>104.5189</v>
      </c>
      <c r="V147" s="50" t="n">
        <v>104.505864</v>
      </c>
      <c r="W147" s="49" t="n">
        <f aca="false">X147</f>
        <v>104.435755</v>
      </c>
      <c r="X147" s="50" t="n">
        <v>104.435755</v>
      </c>
      <c r="Y147" s="50" t="n">
        <v>104.195611</v>
      </c>
      <c r="Z147" s="49" t="n">
        <f aca="false">AA147</f>
        <v>104.227077</v>
      </c>
      <c r="AA147" s="50" t="n">
        <v>104.227077</v>
      </c>
      <c r="AB147" s="50" t="n">
        <v>104.244801</v>
      </c>
      <c r="AC147" s="49" t="n">
        <f aca="false">AD147</f>
        <v>104.233233</v>
      </c>
      <c r="AD147" s="50" t="n">
        <v>104.233233</v>
      </c>
      <c r="AE147" s="50" t="n">
        <v>104.260596</v>
      </c>
      <c r="AF147" s="49" t="n">
        <f aca="false">AG147</f>
        <v>104.430772</v>
      </c>
      <c r="AG147" s="50" t="n">
        <v>104.430772</v>
      </c>
      <c r="AH147" s="50" t="n">
        <v>104.602664</v>
      </c>
      <c r="AI147" s="49" t="n">
        <f aca="false">AJ147</f>
        <v>104.62333</v>
      </c>
      <c r="AJ147" s="50" t="n">
        <v>104.62333</v>
      </c>
      <c r="AK147" s="50" t="n">
        <v>104.592585</v>
      </c>
      <c r="AL147" s="49" t="n">
        <f aca="false">AM147</f>
        <v>104.564729</v>
      </c>
      <c r="AM147" s="50" t="n">
        <v>104.564729</v>
      </c>
      <c r="AN147" s="50" t="n">
        <v>104.539265</v>
      </c>
      <c r="AO147" s="49" t="n">
        <f aca="false">AP147</f>
        <v>104.648079</v>
      </c>
      <c r="AP147" s="50" t="n">
        <v>104.648079</v>
      </c>
      <c r="AQ147" s="50" t="n">
        <v>104.752435</v>
      </c>
      <c r="AR147" s="49" t="n">
        <f aca="false">AS147</f>
        <v>104.787036</v>
      </c>
      <c r="AS147" s="50" t="n">
        <v>104.787036</v>
      </c>
      <c r="AT147" s="50" t="n">
        <v>104.836171</v>
      </c>
      <c r="AU147" s="49" t="n">
        <f aca="false">AV147</f>
        <v>104.836109</v>
      </c>
      <c r="AV147" s="50" t="n">
        <v>104.836109</v>
      </c>
      <c r="AW147" s="50" t="n">
        <v>104.793239</v>
      </c>
      <c r="AX147" s="51" t="n">
        <f aca="false">AW147</f>
        <v>104.793239</v>
      </c>
      <c r="AY147" s="51" t="n">
        <f aca="false">AX147</f>
        <v>104.793239</v>
      </c>
      <c r="AZ147" s="51" t="n">
        <f aca="false">AVERAGE(AZ256,AZ257)</f>
        <v>104.733550679179</v>
      </c>
      <c r="BA147" s="51" t="n">
        <f aca="false">AVERAGE(BA256,BA257)</f>
        <v>104.639635888151</v>
      </c>
      <c r="BB147" s="51" t="n">
        <f aca="false">AVERAGE(BB256,BB257)</f>
        <v>104.557098700275</v>
      </c>
      <c r="BC147" s="51" t="n">
        <f aca="false">AVERAGE(BC256,BC257)</f>
        <v>104.485194786372</v>
      </c>
      <c r="BD147" s="23" t="s">
        <v>225</v>
      </c>
      <c r="BF147" s="7"/>
      <c r="BG147" s="7"/>
      <c r="BH147" s="7"/>
      <c r="BI147" s="7"/>
    </row>
    <row r="148" customFormat="false" ht="15" hidden="false" customHeight="true" outlineLevel="0" collapsed="false">
      <c r="B148" s="13" t="s">
        <v>226</v>
      </c>
      <c r="C148" s="49"/>
      <c r="D148" s="49"/>
      <c r="E148" s="49"/>
      <c r="F148" s="50" t="n">
        <v>105.211224</v>
      </c>
      <c r="G148" s="50" t="n">
        <v>105.428153</v>
      </c>
      <c r="H148" s="50" t="n">
        <v>104.972275</v>
      </c>
      <c r="I148" s="50" t="n">
        <v>104.684282</v>
      </c>
      <c r="J148" s="50" t="n">
        <v>104.806634</v>
      </c>
      <c r="K148" s="49" t="n">
        <f aca="false">L148</f>
        <v>104.857556</v>
      </c>
      <c r="L148" s="50" t="n">
        <v>104.857556</v>
      </c>
      <c r="M148" s="50" t="n">
        <v>104.676807</v>
      </c>
      <c r="N148" s="49" t="n">
        <f aca="false">O148</f>
        <v>104.823341</v>
      </c>
      <c r="O148" s="50" t="n">
        <v>104.823341</v>
      </c>
      <c r="P148" s="50" t="n">
        <v>105.070227</v>
      </c>
      <c r="Q148" s="49" t="n">
        <f aca="false">R148</f>
        <v>105.088768</v>
      </c>
      <c r="R148" s="50" t="n">
        <v>105.088768</v>
      </c>
      <c r="S148" s="50" t="n">
        <v>104.940812</v>
      </c>
      <c r="T148" s="49" t="n">
        <f aca="false">U148</f>
        <v>105.119349</v>
      </c>
      <c r="U148" s="50" t="n">
        <v>105.119349</v>
      </c>
      <c r="V148" s="50" t="n">
        <v>105.18332</v>
      </c>
      <c r="W148" s="49" t="n">
        <f aca="false">X148</f>
        <v>105.1608</v>
      </c>
      <c r="X148" s="50" t="n">
        <v>105.1608</v>
      </c>
      <c r="Y148" s="50" t="n">
        <v>104.803328</v>
      </c>
      <c r="Z148" s="49" t="n">
        <f aca="false">AA148</f>
        <v>104.879817</v>
      </c>
      <c r="AA148" s="50" t="n">
        <v>104.879817</v>
      </c>
      <c r="AB148" s="50" t="n">
        <v>104.907927</v>
      </c>
      <c r="AC148" s="49" t="n">
        <f aca="false">AD148</f>
        <v>105.055331</v>
      </c>
      <c r="AD148" s="50" t="n">
        <v>105.055331</v>
      </c>
      <c r="AE148" s="50" t="n">
        <v>104.629763</v>
      </c>
      <c r="AF148" s="49" t="n">
        <f aca="false">AG148</f>
        <v>104.888511</v>
      </c>
      <c r="AG148" s="50" t="n">
        <v>104.888511</v>
      </c>
      <c r="AH148" s="50" t="n">
        <v>104.910029</v>
      </c>
      <c r="AI148" s="49" t="n">
        <f aca="false">AJ148</f>
        <v>104.964401</v>
      </c>
      <c r="AJ148" s="50" t="n">
        <v>104.964401</v>
      </c>
      <c r="AK148" s="50" t="n">
        <v>104.950348</v>
      </c>
      <c r="AL148" s="49" t="n">
        <f aca="false">AM148</f>
        <v>104.936295</v>
      </c>
      <c r="AM148" s="50" t="n">
        <v>104.936295</v>
      </c>
      <c r="AN148" s="50" t="n">
        <v>104.697914</v>
      </c>
      <c r="AO148" s="49" t="n">
        <f aca="false">AP148</f>
        <v>104.842483</v>
      </c>
      <c r="AP148" s="50" t="n">
        <v>104.842483</v>
      </c>
      <c r="AQ148" s="50" t="n">
        <v>104.880681</v>
      </c>
      <c r="AR148" s="49" t="n">
        <f aca="false">AS148</f>
        <v>104.931312</v>
      </c>
      <c r="AS148" s="50" t="n">
        <v>104.931312</v>
      </c>
      <c r="AT148" s="50" t="n">
        <v>105.020187</v>
      </c>
      <c r="AU148" s="49" t="n">
        <f aca="false">AV148</f>
        <v>105.036704</v>
      </c>
      <c r="AV148" s="50" t="n">
        <v>105.036704</v>
      </c>
      <c r="AW148" s="50" t="n">
        <v>105.002977</v>
      </c>
      <c r="AX148" s="51" t="n">
        <f aca="false">AW148</f>
        <v>105.002977</v>
      </c>
      <c r="AY148" s="51" t="n">
        <f aca="false">AX148</f>
        <v>105.002977</v>
      </c>
      <c r="AZ148" s="51" t="n">
        <f aca="false">AZ147+AZ338</f>
        <v>104.933550679179</v>
      </c>
      <c r="BA148" s="51" t="n">
        <f aca="false">BA147+BA338</f>
        <v>104.839635888151</v>
      </c>
      <c r="BB148" s="51" t="n">
        <f aca="false">BB147+BB338</f>
        <v>104.757098700275</v>
      </c>
      <c r="BC148" s="51" t="n">
        <f aca="false">BC147+BC338</f>
        <v>104.685194786372</v>
      </c>
      <c r="BD148" s="23"/>
      <c r="BF148" s="7"/>
      <c r="BG148" s="7"/>
      <c r="BH148" s="7"/>
      <c r="BI148" s="7"/>
    </row>
    <row r="149" customFormat="false" ht="15" hidden="false" customHeight="true" outlineLevel="0" collapsed="false">
      <c r="B149" s="40" t="s">
        <v>227</v>
      </c>
      <c r="C149" s="52" t="str">
        <f aca="false">IFERROR(C139/C147,"")</f>
        <v/>
      </c>
      <c r="D149" s="52" t="str">
        <f aca="false">IFERROR(D139/D147,"")</f>
        <v/>
      </c>
      <c r="E149" s="52" t="n">
        <f aca="false">IFERROR(E139/E147,"")</f>
        <v>2.76186256851944</v>
      </c>
      <c r="F149" s="52" t="n">
        <f aca="false">IFERROR(F139/F147,"")</f>
        <v>2.74710457745812</v>
      </c>
      <c r="G149" s="52" t="n">
        <f aca="false">IFERROR(G139/G147,"")</f>
        <v>4.00998664494725</v>
      </c>
      <c r="H149" s="52" t="n">
        <f aca="false">IFERROR(H139/H147,"")</f>
        <v>5.68207114314596</v>
      </c>
      <c r="I149" s="52" t="n">
        <f aca="false">IFERROR(I139/I147,"")</f>
        <v>7.10942172463273</v>
      </c>
      <c r="J149" s="52" t="n">
        <f aca="false">IFERROR(J139/J147,"")</f>
        <v>3.66623524129005</v>
      </c>
      <c r="K149" s="52" t="n">
        <f aca="false">IFERROR(K139/K147,"")</f>
        <v>3.92630728456396</v>
      </c>
      <c r="L149" s="52" t="n">
        <f aca="false">IFERROR(L139/L147,"")</f>
        <v>7.5923334355377</v>
      </c>
      <c r="M149" s="52" t="n">
        <f aca="false">IFERROR(M139/M147,"")</f>
        <v>3.9604755105317</v>
      </c>
      <c r="N149" s="52" t="n">
        <f aca="false">IFERROR(N139/N147,"")</f>
        <v>4.28032747967461</v>
      </c>
      <c r="O149" s="52" t="n">
        <f aca="false">IFERROR(O139/O147,"")</f>
        <v>8.23648944554011</v>
      </c>
      <c r="P149" s="52" t="n">
        <f aca="false">IFERROR(P139/P147,"")</f>
        <v>4.62170917663681</v>
      </c>
      <c r="Q149" s="52" t="n">
        <f aca="false">IFERROR(Q139/Q147,"")</f>
        <v>4.69462953156276</v>
      </c>
      <c r="R149" s="52" t="n">
        <f aca="false">IFERROR(R139/R147,"")</f>
        <v>9.31645925810638</v>
      </c>
      <c r="S149" s="52" t="n">
        <f aca="false">IFERROR(S139/S147,"")</f>
        <v>5.21919928870371</v>
      </c>
      <c r="T149" s="52" t="n">
        <f aca="false">IFERROR(T139/T147,"")</f>
        <v>5.30813087393763</v>
      </c>
      <c r="U149" s="52" t="n">
        <f aca="false">IFERROR(U139/U147,"")</f>
        <v>10.5263258606817</v>
      </c>
      <c r="V149" s="52" t="n">
        <f aca="false">IFERROR(V139/V147,"")</f>
        <v>5.79106259530087</v>
      </c>
      <c r="W149" s="52" t="n">
        <f aca="false">IFERROR(W139/W147,"")</f>
        <v>5.90123564482298</v>
      </c>
      <c r="X149" s="52" t="n">
        <f aca="false">IFERROR(X139/X147,"")</f>
        <v>11.696185851292</v>
      </c>
      <c r="Y149" s="52" t="n">
        <f aca="false">IFERROR(Y139/Y147,"")</f>
        <v>6.79395219439713</v>
      </c>
      <c r="Z149" s="52" t="n">
        <f aca="false">IFERROR(Z139/Z147,"")</f>
        <v>6.68540287280627</v>
      </c>
      <c r="AA149" s="52" t="n">
        <f aca="false">IFERROR(AA139/AA147,"")</f>
        <v>13.4773039831099</v>
      </c>
      <c r="AB149" s="52" t="n">
        <f aca="false">IFERROR(AB139/AB147,"")</f>
        <v>7.23585246232088</v>
      </c>
      <c r="AC149" s="52" t="n">
        <f aca="false">IFERROR(AC139/AC147,"")</f>
        <v>7.42373595952838</v>
      </c>
      <c r="AD149" s="52" t="n">
        <f aca="false">IFERROR(AD139/AD147,"")</f>
        <v>14.660391470348</v>
      </c>
      <c r="AE149" s="52" t="n">
        <f aca="false">IFERROR(AE139/AE147,"")</f>
        <v>3.21214354078697</v>
      </c>
      <c r="AF149" s="52" t="n">
        <f aca="false">IFERROR(AF139/AF147,"")</f>
        <v>10.0592955493999</v>
      </c>
      <c r="AG149" s="52" t="n">
        <f aca="false">IFERROR(AG139/AG147,"")</f>
        <v>13.2662047159816</v>
      </c>
      <c r="AH149" s="52" t="n">
        <f aca="false">IFERROR(AH139/AH147,"")</f>
        <v>11.219599531423</v>
      </c>
      <c r="AI149" s="52" t="n">
        <f aca="false">IFERROR(AI139/AI147,"")</f>
        <v>12.1617233938166</v>
      </c>
      <c r="AJ149" s="52" t="n">
        <f aca="false">IFERROR(AJ139/AJ147,"")</f>
        <v>23.379106744165</v>
      </c>
      <c r="AK149" s="52" t="n">
        <f aca="false">IFERROR(AK139/AK147,"")</f>
        <v>15.6990096382071</v>
      </c>
      <c r="AL149" s="52" t="n">
        <f aca="false">IFERROR(AL139/AL147,"")</f>
        <v>16.496958548996</v>
      </c>
      <c r="AM149" s="52" t="n">
        <f aca="false">IFERROR(AM139/AM147,"")</f>
        <v>32.2001503967939</v>
      </c>
      <c r="AN149" s="52" t="n">
        <f aca="false">IFERROR(AN139/AN147,"")</f>
        <v>21.2934345769506</v>
      </c>
      <c r="AO149" s="52" t="n">
        <f aca="false">IFERROR(AO139/AO147,"")</f>
        <v>19.904808763857</v>
      </c>
      <c r="AP149" s="52" t="n">
        <f aca="false">IFERROR(AP139/AP147,"")</f>
        <v>41.1761022388189</v>
      </c>
      <c r="AQ149" s="52" t="n">
        <f aca="false">IFERROR(AQ139/AQ147,"")</f>
        <v>22.6152260804248</v>
      </c>
      <c r="AR149" s="52" t="n">
        <f aca="false">IFERROR(AR139/AR147,"")</f>
        <v>21.3098879903426</v>
      </c>
      <c r="AS149" s="52" t="n">
        <f aca="false">IFERROR(AS139/AS147,"")</f>
        <v>43.9176464538991</v>
      </c>
      <c r="AT149" s="52" t="n">
        <f aca="false">IFERROR(AT139/AT147,"")</f>
        <v>21.4239033968534</v>
      </c>
      <c r="AU149" s="52" t="n">
        <f aca="false">IFERROR(AU139/AU147,"")</f>
        <v>21.7291544080485</v>
      </c>
      <c r="AV149" s="52" t="n">
        <f aca="false">IFERROR(AV139/AV147,"")</f>
        <v>43.153070474983</v>
      </c>
      <c r="AW149" s="52" t="n">
        <f aca="false">IFERROR(AW139/AW147,"")</f>
        <v>21.3467970009019</v>
      </c>
      <c r="AX149" s="52" t="n">
        <f aca="false">IFERROR(AX139/AX147,"")</f>
        <v>22.7116155672696</v>
      </c>
      <c r="AY149" s="52" t="n">
        <f aca="false">IFERROR(AY139/AY147,"")</f>
        <v>44.0584125681715</v>
      </c>
      <c r="AZ149" s="52" t="n">
        <f aca="false">IFERROR(AZ139/AZ147,"")</f>
        <v>50.5286037312673</v>
      </c>
      <c r="BA149" s="52" t="n">
        <f aca="false">IFERROR(BA139/BA147,"")</f>
        <v>54.8881035123877</v>
      </c>
      <c r="BB149" s="52" t="n">
        <f aca="false">IFERROR(BB139/BB147,"")</f>
        <v>59.3340734493539</v>
      </c>
      <c r="BC149" s="52" t="n">
        <f aca="false">IFERROR(BC139/BC147,"")</f>
        <v>63.5818991492643</v>
      </c>
      <c r="BD149" s="23"/>
      <c r="BF149" s="24" t="n">
        <f aca="false">IFERROR((BC149/AV149)^(1/5)-1,"n/m")</f>
        <v>0.0805984957975161</v>
      </c>
      <c r="BG149" s="24" t="n">
        <f aca="false">IFERROR((AV149/AG149)^(1/5)-1,"n/m")</f>
        <v>0.266056250121828</v>
      </c>
      <c r="BH149" s="24" t="n">
        <f aca="false">IFERROR((AV149/R149)^(1/10)-1,"n/m")</f>
        <v>0.165671239638379</v>
      </c>
      <c r="BI149" s="24" t="str">
        <f aca="false">IFERROR((AV149/C149)^(1/19)-1,"n/m")</f>
        <v>n/m</v>
      </c>
    </row>
    <row r="150" customFormat="false" ht="15" hidden="false" customHeight="true" outlineLevel="0" collapsed="false">
      <c r="B150" s="40" t="s">
        <v>228</v>
      </c>
      <c r="C150" s="52" t="str">
        <f aca="false">IFERROR(C139/C148,"")</f>
        <v/>
      </c>
      <c r="D150" s="52" t="str">
        <f aca="false">IFERROR(D139/D148,"")</f>
        <v/>
      </c>
      <c r="E150" s="52" t="str">
        <f aca="false">IFERROR(E139/E148,"")</f>
        <v/>
      </c>
      <c r="F150" s="52" t="n">
        <f aca="false">IFERROR(F139/F148,"")</f>
        <v>2.7449542835848</v>
      </c>
      <c r="G150" s="52" t="n">
        <f aca="false">IFERROR(G139/G148,"")</f>
        <v>3.99988037350896</v>
      </c>
      <c r="H150" s="52" t="n">
        <f aca="false">IFERROR(H139/H148,"")</f>
        <v>5.65958963926427</v>
      </c>
      <c r="I150" s="52" t="n">
        <f aca="false">IFERROR(I139/I148,"")</f>
        <v>7.06887400727456</v>
      </c>
      <c r="J150" s="52" t="n">
        <f aca="false">IFERROR(J139/J148,"")</f>
        <v>3.64194503183835</v>
      </c>
      <c r="K150" s="52" t="n">
        <f aca="false">IFERROR(K139/K148,"")</f>
        <v>3.89862224139575</v>
      </c>
      <c r="L150" s="52" t="n">
        <f aca="false">IFERROR(L139/L148,"")</f>
        <v>7.53879863459721</v>
      </c>
      <c r="M150" s="52" t="n">
        <f aca="false">IFERROR(M139/M148,"")</f>
        <v>3.94070101889906</v>
      </c>
      <c r="N150" s="52" t="n">
        <f aca="false">IFERROR(N139/N148,"")</f>
        <v>4.25763952705915</v>
      </c>
      <c r="O150" s="52" t="n">
        <f aca="false">IFERROR(O139/O148,"")</f>
        <v>8.19283178543222</v>
      </c>
      <c r="P150" s="52" t="n">
        <f aca="false">IFERROR(P139/P148,"")</f>
        <v>4.59216672292904</v>
      </c>
      <c r="Q150" s="52" t="n">
        <f aca="false">IFERROR(Q139/Q148,"")</f>
        <v>4.66367633123266</v>
      </c>
      <c r="R150" s="52" t="n">
        <f aca="false">IFERROR(R139/R148,"")</f>
        <v>9.25503284994263</v>
      </c>
      <c r="S150" s="52" t="n">
        <f aca="false">IFERROR(S139/S148,"")</f>
        <v>5.19721535983541</v>
      </c>
      <c r="T150" s="52" t="n">
        <f aca="false">IFERROR(T139/T148,"")</f>
        <v>5.27781046284828</v>
      </c>
      <c r="U150" s="52" t="n">
        <f aca="false">IFERROR(U139/U148,"")</f>
        <v>10.4661987585178</v>
      </c>
      <c r="V150" s="52" t="n">
        <f aca="false">IFERROR(V139/V148,"")</f>
        <v>5.75376399984332</v>
      </c>
      <c r="W150" s="52" t="n">
        <f aca="false">IFERROR(W139/W148,"")</f>
        <v>5.86054879765084</v>
      </c>
      <c r="X150" s="52" t="n">
        <f aca="false">IFERROR(X139/X148,"")</f>
        <v>11.6155449559151</v>
      </c>
      <c r="Y150" s="52" t="n">
        <f aca="false">IFERROR(Y139/Y148,"")</f>
        <v>6.75455649652652</v>
      </c>
      <c r="Z150" s="52" t="n">
        <f aca="false">IFERROR(Z139/Z148,"")</f>
        <v>6.64379496390617</v>
      </c>
      <c r="AA150" s="52" t="n">
        <f aca="false">IFERROR(AA139/AA148,"")</f>
        <v>13.393425352754</v>
      </c>
      <c r="AB150" s="52" t="n">
        <f aca="false">IFERROR(AB139/AB148,"")</f>
        <v>7.19011443243941</v>
      </c>
      <c r="AC150" s="52" t="n">
        <f aca="false">IFERROR(AC139/AC148,"")</f>
        <v>7.36564239657671</v>
      </c>
      <c r="AD150" s="52" t="n">
        <f aca="false">IFERROR(AD139/AD148,"")</f>
        <v>14.5456683202493</v>
      </c>
      <c r="AE150" s="52" t="n">
        <f aca="false">IFERROR(AE139/AE148,"")</f>
        <v>3.20081007925059</v>
      </c>
      <c r="AF150" s="52" t="n">
        <f aca="false">IFERROR(AF139/AF148,"")</f>
        <v>10.0153962525028</v>
      </c>
      <c r="AG150" s="52" t="n">
        <f aca="false">IFERROR(AG139/AG148,"")</f>
        <v>13.2083102981603</v>
      </c>
      <c r="AH150" s="52" t="n">
        <f aca="false">IFERROR(AH139/AH148,"")</f>
        <v>11.1867283918109</v>
      </c>
      <c r="AI150" s="52" t="n">
        <f aca="false">IFERROR(AI139/AI148,"")</f>
        <v>12.1222051274317</v>
      </c>
      <c r="AJ150" s="52" t="n">
        <f aca="false">IFERROR(AJ139/AJ148,"")</f>
        <v>23.303138747012</v>
      </c>
      <c r="AK150" s="52" t="n">
        <f aca="false">IFERROR(AK139/AK148,"")</f>
        <v>15.6454936195162</v>
      </c>
      <c r="AL150" s="52" t="n">
        <f aca="false">IFERROR(AL139/AL148,"")</f>
        <v>16.438544928616</v>
      </c>
      <c r="AM150" s="52" t="n">
        <f aca="false">IFERROR(AM139/AM148,"")</f>
        <v>32.0861337824058</v>
      </c>
      <c r="AN150" s="52" t="n">
        <f aca="false">IFERROR(AN139/AN148,"")</f>
        <v>21.2611685845049</v>
      </c>
      <c r="AO150" s="52" t="n">
        <f aca="false">IFERROR(AO139/AO148,"")</f>
        <v>19.8679003052608</v>
      </c>
      <c r="AP150" s="52" t="n">
        <f aca="false">IFERROR(AP139/AP148,"")</f>
        <v>41.0997515196202</v>
      </c>
      <c r="AQ150" s="52" t="n">
        <f aca="false">IFERROR(AQ139/AQ148,"")</f>
        <v>22.5875726340869</v>
      </c>
      <c r="AR150" s="52" t="n">
        <f aca="false">IFERROR(AR139/AR148,"")</f>
        <v>21.2805878192012</v>
      </c>
      <c r="AS150" s="52" t="n">
        <f aca="false">IFERROR(AS139/AS148,"")</f>
        <v>43.8572615960429</v>
      </c>
      <c r="AT150" s="52" t="n">
        <f aca="false">IFERROR(AT139/AT148,"")</f>
        <v>21.3863645091396</v>
      </c>
      <c r="AU150" s="52" t="n">
        <f aca="false">IFERROR(AU139/AU148,"")</f>
        <v>21.6876569165765</v>
      </c>
      <c r="AV150" s="52" t="n">
        <f aca="false">IFERROR(AV139/AV148,"")</f>
        <v>43.0706584243161</v>
      </c>
      <c r="AW150" s="52" t="n">
        <f aca="false">IFERROR(AW139/AW148,"")</f>
        <v>21.3041578811618</v>
      </c>
      <c r="AX150" s="52" t="n">
        <f aca="false">IFERROR(AX139/AX148,"")</f>
        <v>22.6662502932369</v>
      </c>
      <c r="AY150" s="52" t="n">
        <f aca="false">IFERROR(AY139/AY148,"")</f>
        <v>43.9704081743987</v>
      </c>
      <c r="AZ150" s="52" t="n">
        <f aca="false">IFERROR(AZ139/AZ148,"")</f>
        <v>50.4322978245211</v>
      </c>
      <c r="BA150" s="52" t="n">
        <f aca="false">IFERROR(BA139/BA148,"")</f>
        <v>54.7833948245954</v>
      </c>
      <c r="BB150" s="52" t="n">
        <f aca="false">IFERROR(BB139/BB148,"")</f>
        <v>59.2207941123247</v>
      </c>
      <c r="BC150" s="52" t="n">
        <f aca="false">IFERROR(BC139/BC148,"")</f>
        <v>63.460426577562</v>
      </c>
      <c r="BD150" s="23" t="s">
        <v>229</v>
      </c>
      <c r="BF150" s="24" t="n">
        <f aca="false">IFERROR((BC150/AV150)^(1/5)-1,"n/m")</f>
        <v>0.0805983379797515</v>
      </c>
      <c r="BG150" s="24" t="n">
        <f aca="false">IFERROR((AV150/AG150)^(1/5)-1,"n/m")</f>
        <v>0.266679813821667</v>
      </c>
      <c r="BH150" s="24" t="n">
        <f aca="false">IFERROR((AV150/R150)^(1/10)-1,"n/m")</f>
        <v>0.166219649790206</v>
      </c>
      <c r="BI150" s="24" t="str">
        <f aca="false">IFERROR((AV150/C150)^(1/19)-1,"n/m")</f>
        <v>n/m</v>
      </c>
    </row>
    <row r="151" customFormat="false" ht="15" hidden="false" customHeight="true" outlineLevel="0" collapsed="false">
      <c r="B151" s="36" t="s">
        <v>230</v>
      </c>
      <c r="C151" s="53"/>
      <c r="D151" s="53"/>
      <c r="E151" s="53"/>
      <c r="F151" s="54" t="n">
        <v>2.74</v>
      </c>
      <c r="G151" s="54" t="n">
        <v>4</v>
      </c>
      <c r="H151" s="54" t="n">
        <v>5.66</v>
      </c>
      <c r="I151" s="54" t="n">
        <v>7.07</v>
      </c>
      <c r="J151" s="54" t="n">
        <v>3.64</v>
      </c>
      <c r="K151" s="53"/>
      <c r="L151" s="54" t="n">
        <v>7.54</v>
      </c>
      <c r="M151" s="54" t="n">
        <v>3.94</v>
      </c>
      <c r="N151" s="53"/>
      <c r="O151" s="54" t="n">
        <v>8.19</v>
      </c>
      <c r="P151" s="54" t="n">
        <v>4.59</v>
      </c>
      <c r="Q151" s="53"/>
      <c r="R151" s="54" t="n">
        <v>9.26</v>
      </c>
      <c r="S151" s="54" t="n">
        <v>5.2</v>
      </c>
      <c r="T151" s="53"/>
      <c r="U151" s="54" t="n">
        <v>10.47</v>
      </c>
      <c r="V151" s="54" t="n">
        <v>5.75</v>
      </c>
      <c r="W151" s="53"/>
      <c r="X151" s="54" t="n">
        <v>11.62</v>
      </c>
      <c r="Y151" s="54" t="n">
        <v>6.75</v>
      </c>
      <c r="Z151" s="53"/>
      <c r="AA151" s="54" t="n">
        <v>13.39</v>
      </c>
      <c r="AB151" s="54" t="n">
        <v>7.19</v>
      </c>
      <c r="AC151" s="53"/>
      <c r="AD151" s="54" t="n">
        <v>14.55</v>
      </c>
      <c r="AE151" s="54" t="n">
        <v>3.2</v>
      </c>
      <c r="AF151" s="53"/>
      <c r="AG151" s="54" t="n">
        <v>13.21</v>
      </c>
      <c r="AH151" s="54" t="n">
        <v>11.19</v>
      </c>
      <c r="AI151" s="53"/>
      <c r="AJ151" s="54" t="n">
        <v>23.3</v>
      </c>
      <c r="AK151" s="54" t="n">
        <v>15.64</v>
      </c>
      <c r="AL151" s="53"/>
      <c r="AM151" s="54" t="n">
        <v>32.09</v>
      </c>
      <c r="AN151" s="54" t="n">
        <v>21.26</v>
      </c>
      <c r="AO151" s="53"/>
      <c r="AP151" s="54" t="n">
        <v>41.12</v>
      </c>
      <c r="AQ151" s="54" t="n">
        <v>22.58</v>
      </c>
      <c r="AR151" s="53"/>
      <c r="AS151" s="54" t="n">
        <v>43.87</v>
      </c>
      <c r="AT151" s="54" t="n">
        <v>21.39</v>
      </c>
      <c r="AU151" s="53"/>
      <c r="AV151" s="54" t="n">
        <v>43.07</v>
      </c>
      <c r="AW151" s="54" t="n">
        <v>21.32</v>
      </c>
      <c r="AX151" s="55"/>
      <c r="AY151" s="55"/>
      <c r="AZ151" s="55"/>
      <c r="BA151" s="55"/>
      <c r="BB151" s="55"/>
      <c r="BC151" s="55"/>
      <c r="BD151" s="23"/>
      <c r="BF151" s="7"/>
      <c r="BG151" s="7"/>
      <c r="BH151" s="7"/>
      <c r="BI151" s="7"/>
    </row>
    <row r="152" customFormat="false" ht="15" hidden="false" customHeight="true" outlineLevel="0" collapsed="false">
      <c r="B152" s="13" t="s">
        <v>231</v>
      </c>
      <c r="C152" s="54" t="n">
        <v>0.95</v>
      </c>
      <c r="D152" s="54" t="n">
        <v>1</v>
      </c>
      <c r="E152" s="54" t="n">
        <v>1.03</v>
      </c>
      <c r="F152" s="54" t="n">
        <v>1.05</v>
      </c>
      <c r="G152" s="54" t="n">
        <v>1.5</v>
      </c>
      <c r="H152" s="54" t="n">
        <v>2</v>
      </c>
      <c r="I152" s="54" t="n">
        <v>2.5</v>
      </c>
      <c r="J152" s="53"/>
      <c r="K152" s="53"/>
      <c r="L152" s="54" t="n">
        <v>2.7</v>
      </c>
      <c r="M152" s="53"/>
      <c r="N152" s="53"/>
      <c r="O152" s="54" t="n">
        <v>2.95</v>
      </c>
      <c r="P152" s="53"/>
      <c r="Q152" s="53"/>
      <c r="R152" s="54" t="n">
        <v>3.35</v>
      </c>
      <c r="S152" s="53"/>
      <c r="T152" s="53"/>
      <c r="U152" s="54" t="n">
        <v>3.75</v>
      </c>
      <c r="V152" s="53"/>
      <c r="W152" s="53"/>
      <c r="X152" s="54" t="n">
        <v>4.1</v>
      </c>
      <c r="Y152" s="53"/>
      <c r="Z152" s="53"/>
      <c r="AA152" s="54" t="n">
        <v>4.55</v>
      </c>
      <c r="AB152" s="53"/>
      <c r="AC152" s="53"/>
      <c r="AD152" s="54" t="n">
        <v>5</v>
      </c>
      <c r="AE152" s="53"/>
      <c r="AF152" s="53"/>
      <c r="AG152" s="54" t="n">
        <v>4.55</v>
      </c>
      <c r="AH152" s="53"/>
      <c r="AI152" s="53"/>
      <c r="AJ152" s="54" t="n">
        <v>8</v>
      </c>
      <c r="AK152" s="53"/>
      <c r="AL152" s="53"/>
      <c r="AM152" s="54" t="n">
        <v>13</v>
      </c>
      <c r="AN152" s="53"/>
      <c r="AO152" s="53"/>
      <c r="AP152" s="54" t="n">
        <v>15</v>
      </c>
      <c r="AQ152" s="53"/>
      <c r="AR152" s="53"/>
      <c r="AS152" s="54" t="n">
        <v>16</v>
      </c>
      <c r="AT152" s="53"/>
      <c r="AU152" s="53"/>
      <c r="AV152" s="54" t="n">
        <v>18</v>
      </c>
      <c r="AW152" s="53"/>
      <c r="AX152" s="55"/>
      <c r="AY152" s="55" t="n">
        <f aca="false">AY154*AY191</f>
        <v>18.8935942538734</v>
      </c>
      <c r="AZ152" s="55" t="n">
        <f aca="false">AZ154*AZ191</f>
        <v>20.1729191298084</v>
      </c>
      <c r="BA152" s="55" t="n">
        <f aca="false">BA154*BA191</f>
        <v>21.9133579298381</v>
      </c>
      <c r="BB152" s="55" t="n">
        <f aca="false">BB154*BB191</f>
        <v>23.6883176449299</v>
      </c>
      <c r="BC152" s="55" t="n">
        <f aca="false">BC154*BC191</f>
        <v>25.3841706310248</v>
      </c>
      <c r="BD152" s="23" t="s">
        <v>232</v>
      </c>
      <c r="BF152" s="7"/>
      <c r="BG152" s="7"/>
      <c r="BH152" s="7"/>
      <c r="BI152" s="7"/>
    </row>
    <row r="153" customFormat="false" ht="15" hidden="false" customHeight="true" outlineLevel="0" collapsed="false">
      <c r="B153" s="13" t="s">
        <v>233</v>
      </c>
      <c r="C153" s="53"/>
      <c r="D153" s="53"/>
      <c r="E153" s="53"/>
      <c r="F153" s="53"/>
      <c r="G153" s="53"/>
      <c r="H153" s="54" t="n">
        <v>5</v>
      </c>
      <c r="I153" s="53"/>
      <c r="J153" s="53"/>
      <c r="K153" s="53"/>
      <c r="L153" s="53"/>
      <c r="M153" s="53"/>
      <c r="N153" s="53"/>
      <c r="O153" s="54" t="n">
        <v>5</v>
      </c>
      <c r="P153" s="54" t="n">
        <v>5</v>
      </c>
      <c r="Q153" s="53"/>
      <c r="R153" s="53"/>
      <c r="S153" s="53"/>
      <c r="T153" s="53"/>
      <c r="U153" s="53"/>
      <c r="V153" s="53"/>
      <c r="W153" s="53"/>
      <c r="X153" s="54" t="n">
        <v>5</v>
      </c>
      <c r="Y153" s="53"/>
      <c r="Z153" s="53"/>
      <c r="AA153" s="54" t="n">
        <v>5</v>
      </c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4" t="n">
        <v>10</v>
      </c>
      <c r="AQ153" s="54" t="n">
        <v>10</v>
      </c>
      <c r="AR153" s="53"/>
      <c r="AS153" s="54" t="n">
        <v>10</v>
      </c>
      <c r="AT153" s="54" t="n">
        <v>10</v>
      </c>
      <c r="AU153" s="53"/>
      <c r="AV153" s="53"/>
      <c r="AW153" s="53"/>
      <c r="AX153" s="55"/>
      <c r="AY153" s="55"/>
      <c r="AZ153" s="55"/>
      <c r="BA153" s="55"/>
      <c r="BB153" s="55"/>
      <c r="BC153" s="55"/>
      <c r="BD153" s="23"/>
      <c r="BF153" s="7"/>
      <c r="BG153" s="7"/>
      <c r="BH153" s="7"/>
      <c r="BI153" s="7"/>
    </row>
    <row r="154" customFormat="false" ht="15" hidden="false" customHeight="true" outlineLevel="0" collapsed="false">
      <c r="B154" s="26" t="s">
        <v>234</v>
      </c>
      <c r="C154" s="30" t="str">
        <f aca="false">IFERROR(C152/C191,"")</f>
        <v/>
      </c>
      <c r="D154" s="30" t="str">
        <f aca="false">IFERROR(D152/D191,"")</f>
        <v/>
      </c>
      <c r="E154" s="30" t="str">
        <f aca="false">IFERROR(E152/E191,"")</f>
        <v/>
      </c>
      <c r="F154" s="30" t="n">
        <f aca="false">IFERROR(F152/F191,"")</f>
        <v>0.382520031855956</v>
      </c>
      <c r="G154" s="30" t="n">
        <f aca="false">IFERROR(G152/G191,"")</f>
        <v>0.375011215318947</v>
      </c>
      <c r="H154" s="30" t="n">
        <f aca="false">IFERROR(H152/H191,"")</f>
        <v>0.353382511361724</v>
      </c>
      <c r="I154" s="30" t="n">
        <f aca="false">IFERROR(I152/I191,"")</f>
        <v>0.353663114864865</v>
      </c>
      <c r="J154" s="30"/>
      <c r="K154" s="30"/>
      <c r="L154" s="30" t="n">
        <f aca="false">IFERROR(L152/L191,"")</f>
        <v>0.358147250094877</v>
      </c>
      <c r="M154" s="30"/>
      <c r="N154" s="30"/>
      <c r="O154" s="30" t="n">
        <f aca="false">IFERROR(O152/O191,"")</f>
        <v>0.360070861609222</v>
      </c>
      <c r="P154" s="30"/>
      <c r="Q154" s="30"/>
      <c r="R154" s="30" t="n">
        <f aca="false">IFERROR(R152/R191,"")</f>
        <v>0.361965219823155</v>
      </c>
      <c r="S154" s="30"/>
      <c r="T154" s="30"/>
      <c r="U154" s="30" t="n">
        <f aca="false">IFERROR(U152/U191,"")</f>
        <v>0.358296272268678</v>
      </c>
      <c r="V154" s="30"/>
      <c r="W154" s="30"/>
      <c r="X154" s="30" t="n">
        <f aca="false">IFERROR(X152/X191,"")</f>
        <v>0.347288989126057</v>
      </c>
      <c r="Y154" s="30"/>
      <c r="Z154" s="30"/>
      <c r="AA154" s="30" t="n">
        <f aca="false">IFERROR(AA152/AA191,"")</f>
        <v>0.352960922596154</v>
      </c>
      <c r="AB154" s="30"/>
      <c r="AC154" s="30"/>
      <c r="AD154" s="30" t="n">
        <f aca="false">IFERROR(AD152/AD191,"")</f>
        <v>0.343744947974609</v>
      </c>
      <c r="AE154" s="30"/>
      <c r="AF154" s="30"/>
      <c r="AG154" s="30" t="n">
        <f aca="false">IFERROR(AG152/AG191,"")</f>
        <v>0.368726512439156</v>
      </c>
      <c r="AH154" s="30"/>
      <c r="AI154" s="30"/>
      <c r="AJ154" s="30" t="n">
        <f aca="false">IFERROR(AJ152/AJ191,"")</f>
        <v>0.343301393295176</v>
      </c>
      <c r="AK154" s="30"/>
      <c r="AL154" s="30"/>
      <c r="AM154" s="30" t="n">
        <f aca="false">IFERROR(AM152/AM191,"")</f>
        <v>0.40515944015444</v>
      </c>
      <c r="AN154" s="30"/>
      <c r="AO154" s="30"/>
      <c r="AP154" s="30" t="n">
        <f aca="false">IFERROR(AP152/AP191,"")</f>
        <v>0.364965710141564</v>
      </c>
      <c r="AQ154" s="30"/>
      <c r="AR154" s="30"/>
      <c r="AS154" s="30" t="n">
        <f aca="false">IFERROR(AS152/AS191,"")</f>
        <v>0.364819859191656</v>
      </c>
      <c r="AT154" s="30"/>
      <c r="AU154" s="30"/>
      <c r="AV154" s="30" t="n">
        <f aca="false">IFERROR(AV152/AV191,"")</f>
        <v>0.389425473120494</v>
      </c>
      <c r="AW154" s="30"/>
      <c r="AX154" s="28"/>
      <c r="AY154" s="28" t="n">
        <f aca="false">CHOOSE(MATCH($BD$2,{"Bull","Base","Bear"},0),$BM$85,$BN$85,$BO$85)</f>
        <v>0.4</v>
      </c>
      <c r="AZ154" s="28" t="n">
        <f aca="false">CHOOSE(MATCH($BD$2,{"Bull","Base","Bear"},0),$BM$86,$BN$86,$BO$86)</f>
        <v>0.4</v>
      </c>
      <c r="BA154" s="28" t="n">
        <f aca="false">CHOOSE(MATCH($BD$2,{"Bull","Base","Bear"},0),$BM$87,$BN$87,$BO$87)</f>
        <v>0.4</v>
      </c>
      <c r="BB154" s="28" t="n">
        <f aca="false">CHOOSE(MATCH($BD$2,{"Bull","Base","Bear"},0),$BM$88,$BN$88,$BO$88)</f>
        <v>0.4</v>
      </c>
      <c r="BC154" s="28" t="n">
        <f aca="false">CHOOSE(MATCH($BD$2,{"Bull","Base","Bear"},0),$BM$89,$BN$89,$BO$89)</f>
        <v>0.4</v>
      </c>
      <c r="BD154" s="23"/>
      <c r="BF154" s="7"/>
      <c r="BG154" s="7"/>
      <c r="BH154" s="7"/>
      <c r="BI154" s="7"/>
    </row>
    <row r="155" customFormat="false" ht="15" hidden="false" customHeight="true" outlineLevel="0" collapsed="false">
      <c r="B155" s="13"/>
      <c r="AX155" s="7"/>
      <c r="AY155" s="7"/>
      <c r="AZ155" s="7"/>
      <c r="BA155" s="7"/>
      <c r="BB155" s="7"/>
      <c r="BC155" s="7"/>
      <c r="BD155" s="7"/>
    </row>
    <row r="156" customFormat="false" ht="15" hidden="false" customHeight="true" outlineLevel="0" collapsed="false">
      <c r="B156" s="12" t="s">
        <v>235</v>
      </c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 t="s">
        <v>236</v>
      </c>
    </row>
    <row r="157" customFormat="false" ht="15" hidden="false" customHeight="true" outlineLevel="0" collapsed="false">
      <c r="B157" s="19" t="s">
        <v>237</v>
      </c>
      <c r="C157" s="20" t="n">
        <f aca="false">IF(ISNUMBER(C139),C139,"")</f>
        <v>268.4</v>
      </c>
      <c r="D157" s="20" t="n">
        <f aca="false">IF(ISNUMBER(D139),D139,"")</f>
        <v>288</v>
      </c>
      <c r="E157" s="20" t="n">
        <f aca="false">IF(ISNUMBER(E139),E139,"")</f>
        <v>290.2</v>
      </c>
      <c r="F157" s="20" t="n">
        <f aca="false">IF(ISNUMBER(F139),F139,"")</f>
        <v>288.8</v>
      </c>
      <c r="G157" s="20" t="n">
        <f aca="false">IF(ISNUMBER(G139),G139,"")</f>
        <v>421.7</v>
      </c>
      <c r="H157" s="20" t="n">
        <f aca="false">IF(ISNUMBER(H139),H139,"")</f>
        <v>594.1</v>
      </c>
      <c r="I157" s="20" t="n">
        <f aca="false">IF(ISNUMBER(I139),I139,"")</f>
        <v>740</v>
      </c>
      <c r="J157" s="20" t="n">
        <f aca="false">IF(ISNUMBER(J139),J139,"")</f>
        <v>381.7</v>
      </c>
      <c r="K157" s="20" t="n">
        <f aca="false">IF(ISNUMBER(K139),K139,"")</f>
        <v>408.8</v>
      </c>
      <c r="L157" s="20" t="n">
        <f aca="false">IF(ISNUMBER(L139),L139,"")</f>
        <v>790.5</v>
      </c>
      <c r="M157" s="20" t="n">
        <f aca="false">IF(ISNUMBER(M139),M139,"")</f>
        <v>412.5</v>
      </c>
      <c r="N157" s="20" t="n">
        <f aca="false">IF(ISNUMBER(N139),N139,"")</f>
        <v>446.3</v>
      </c>
      <c r="O157" s="20" t="n">
        <f aca="false">IF(ISNUMBER(O139),O139,"")</f>
        <v>858.8</v>
      </c>
      <c r="P157" s="20" t="n">
        <f aca="false">IF(ISNUMBER(P139),P139,"")</f>
        <v>482.5</v>
      </c>
      <c r="Q157" s="20" t="n">
        <f aca="false">IF(ISNUMBER(Q139),Q139,"")</f>
        <v>490.1</v>
      </c>
      <c r="R157" s="20" t="n">
        <f aca="false">IF(ISNUMBER(R139),R139,"")</f>
        <v>972.6</v>
      </c>
      <c r="S157" s="20" t="n">
        <f aca="false">IF(ISNUMBER(S139),S139,"")</f>
        <v>545.4</v>
      </c>
      <c r="T157" s="20" t="n">
        <f aca="false">IF(ISNUMBER(T139),T139,"")</f>
        <v>554.8</v>
      </c>
      <c r="U157" s="20" t="n">
        <f aca="false">IF(ISNUMBER(U139),U139,"")</f>
        <v>1100.2</v>
      </c>
      <c r="V157" s="20" t="n">
        <f aca="false">IF(ISNUMBER(V139),V139,"")</f>
        <v>605.2</v>
      </c>
      <c r="W157" s="20" t="n">
        <f aca="false">IF(ISNUMBER(W139),W139,"")</f>
        <v>616.3</v>
      </c>
      <c r="X157" s="20" t="n">
        <f aca="false">IF(ISNUMBER(X139),X139,"")</f>
        <v>1221.5</v>
      </c>
      <c r="Y157" s="20" t="n">
        <f aca="false">IF(ISNUMBER(Y139),Y139,"")</f>
        <v>707.9</v>
      </c>
      <c r="Z157" s="20" t="n">
        <f aca="false">IF(ISNUMBER(Z139),Z139,"")</f>
        <v>696.8</v>
      </c>
      <c r="AA157" s="20" t="n">
        <f aca="false">IF(ISNUMBER(AA139),AA139,"")</f>
        <v>1404.7</v>
      </c>
      <c r="AB157" s="20" t="n">
        <f aca="false">IF(ISNUMBER(AB139),AB139,"")</f>
        <v>754.3</v>
      </c>
      <c r="AC157" s="20" t="n">
        <f aca="false">IF(ISNUMBER(AC139),AC139,"")</f>
        <v>773.8</v>
      </c>
      <c r="AD157" s="20" t="n">
        <f aca="false">IF(ISNUMBER(AD139),AD139,"")</f>
        <v>1528.1</v>
      </c>
      <c r="AE157" s="20" t="n">
        <f aca="false">IF(ISNUMBER(AE139),AE139,"")</f>
        <v>334.9</v>
      </c>
      <c r="AF157" s="20" t="n">
        <f aca="false">IF(ISNUMBER(AF139),AF139,"")</f>
        <v>1050.5</v>
      </c>
      <c r="AG157" s="20" t="n">
        <f aca="false">IF(ISNUMBER(AG139),AG139,"")</f>
        <v>1385.4</v>
      </c>
      <c r="AH157" s="20" t="n">
        <f aca="false">IF(ISNUMBER(AH139),AH139,"")</f>
        <v>1173.6</v>
      </c>
      <c r="AI157" s="20" t="n">
        <f aca="false">IF(ISNUMBER(AI139),AI139,"")</f>
        <v>1272.4</v>
      </c>
      <c r="AJ157" s="20" t="n">
        <f aca="false">IF(ISNUMBER(AJ139),AJ139,"")</f>
        <v>2446</v>
      </c>
      <c r="AK157" s="20" t="n">
        <f aca="false">IF(ISNUMBER(AK139),AK139,"")</f>
        <v>1642</v>
      </c>
      <c r="AL157" s="20" t="n">
        <f aca="false">IF(ISNUMBER(AL139),AL139,"")</f>
        <v>1725</v>
      </c>
      <c r="AM157" s="20" t="n">
        <f aca="false">IF(ISNUMBER(AM139),AM139,"")</f>
        <v>3367</v>
      </c>
      <c r="AN157" s="20" t="n">
        <f aca="false">IF(ISNUMBER(AN139),AN139,"")</f>
        <v>2226</v>
      </c>
      <c r="AO157" s="20" t="n">
        <f aca="false">IF(ISNUMBER(AO139),AO139,"")</f>
        <v>2083</v>
      </c>
      <c r="AP157" s="20" t="n">
        <f aca="false">IF(ISNUMBER(AP139),AP139,"")</f>
        <v>4309</v>
      </c>
      <c r="AQ157" s="20" t="n">
        <f aca="false">IF(ISNUMBER(AQ139),AQ139,"")</f>
        <v>2369</v>
      </c>
      <c r="AR157" s="20" t="n">
        <f aca="false">IF(ISNUMBER(AR139),AR139,"")</f>
        <v>2233</v>
      </c>
      <c r="AS157" s="20" t="n">
        <f aca="false">IF(ISNUMBER(AS139),AS139,"")</f>
        <v>4602</v>
      </c>
      <c r="AT157" s="20" t="n">
        <f aca="false">IF(ISNUMBER(AT139),AT139,"")</f>
        <v>2246</v>
      </c>
      <c r="AU157" s="20" t="n">
        <f aca="false">IF(ISNUMBER(AU139),AU139,"")</f>
        <v>2278</v>
      </c>
      <c r="AV157" s="20" t="n">
        <f aca="false">IF(ISNUMBER(AV139),AV139,"")</f>
        <v>4524</v>
      </c>
      <c r="AW157" s="20" t="n">
        <f aca="false">IF(ISNUMBER(AW139),AW139,"")</f>
        <v>2237</v>
      </c>
      <c r="AX157" s="22" t="n">
        <f aca="false">AX139</f>
        <v>2380.023758217</v>
      </c>
      <c r="AY157" s="22" t="n">
        <f aca="false">AY139</f>
        <v>4617.023758217</v>
      </c>
      <c r="AZ157" s="22" t="n">
        <f aca="false">AZ139</f>
        <v>5292.04007963685</v>
      </c>
      <c r="BA157" s="22" t="n">
        <f aca="false">BA139</f>
        <v>5743.47116612742</v>
      </c>
      <c r="BB157" s="22" t="n">
        <f aca="false">BB139</f>
        <v>6203.79857393346</v>
      </c>
      <c r="BC157" s="22" t="n">
        <f aca="false">BC139</f>
        <v>6643.36711749831</v>
      </c>
      <c r="BD157" s="23"/>
      <c r="BF157" s="7"/>
      <c r="BG157" s="7"/>
      <c r="BH157" s="7"/>
      <c r="BI157" s="7"/>
    </row>
    <row r="158" customFormat="false" ht="15" hidden="false" customHeight="true" outlineLevel="0" collapsed="false">
      <c r="B158" s="13" t="s">
        <v>238</v>
      </c>
      <c r="C158" s="37" t="str">
        <f aca="false">IF(ISNUMBER(C138),-C138,"")</f>
        <v/>
      </c>
      <c r="D158" s="37" t="str">
        <f aca="false">IF(ISNUMBER(D138),-D138,"")</f>
        <v/>
      </c>
      <c r="E158" s="37" t="str">
        <f aca="false">IF(ISNUMBER(E138),-E138,"")</f>
        <v/>
      </c>
      <c r="F158" s="37" t="n">
        <f aca="false">IF(ISNUMBER(F138),-F138,"")</f>
        <v>6.7</v>
      </c>
      <c r="G158" s="37" t="n">
        <f aca="false">IF(ISNUMBER(G138),-G138,"")</f>
        <v>10</v>
      </c>
      <c r="H158" s="37" t="n">
        <f aca="false">IF(ISNUMBER(H138),-H138,"")</f>
        <v>9.2</v>
      </c>
      <c r="I158" s="37" t="n">
        <f aca="false">IF(ISNUMBER(I138),-I138,"")</f>
        <v>10.6</v>
      </c>
      <c r="J158" s="37" t="n">
        <f aca="false">IF(ISNUMBER(J138),-J138,"")</f>
        <v>5</v>
      </c>
      <c r="K158" s="37" t="n">
        <f aca="false">IF(ISNUMBER(K138),-K138,"")</f>
        <v>3.6</v>
      </c>
      <c r="L158" s="37" t="n">
        <f aca="false">IF(ISNUMBER(L138),-L138,"")</f>
        <v>8.6</v>
      </c>
      <c r="M158" s="37" t="n">
        <f aca="false">IF(ISNUMBER(M138),-M138,"")</f>
        <v>3</v>
      </c>
      <c r="N158" s="37" t="n">
        <f aca="false">IF(ISNUMBER(N138),-N138,"")</f>
        <v>1.5</v>
      </c>
      <c r="O158" s="37" t="n">
        <f aca="false">IF(ISNUMBER(O138),-O138,"")</f>
        <v>4.5</v>
      </c>
      <c r="P158" s="37" t="n">
        <f aca="false">IF(ISNUMBER(P138),-P138,"")</f>
        <v>2.2</v>
      </c>
      <c r="Q158" s="37" t="n">
        <f aca="false">IF(ISNUMBER(Q138),-Q138,"")</f>
        <v>2.4</v>
      </c>
      <c r="R158" s="37" t="n">
        <f aca="false">IF(ISNUMBER(R138),-R138,"")</f>
        <v>4.6</v>
      </c>
      <c r="S158" s="37" t="n">
        <f aca="false">IF(ISNUMBER(S138),-S138,"")</f>
        <v>1.7</v>
      </c>
      <c r="T158" s="37" t="n">
        <f aca="false">IF(ISNUMBER(T138),-T138,"")</f>
        <v>2.2</v>
      </c>
      <c r="U158" s="37" t="n">
        <f aca="false">IF(ISNUMBER(U138),-U138,"")</f>
        <v>3.9</v>
      </c>
      <c r="V158" s="37" t="n">
        <f aca="false">IF(ISNUMBER(V138),-V138,"")</f>
        <v>1.4</v>
      </c>
      <c r="W158" s="37" t="n">
        <f aca="false">IF(ISNUMBER(W138),-W138,"")</f>
        <v>2.9</v>
      </c>
      <c r="X158" s="37" t="n">
        <f aca="false">IF(ISNUMBER(X138),-X138,"")</f>
        <v>4.3</v>
      </c>
      <c r="Y158" s="37" t="n">
        <f aca="false">IF(ISNUMBER(Y138),-Y138,"")</f>
        <v>1.8</v>
      </c>
      <c r="Z158" s="37" t="n">
        <f aca="false">IF(ISNUMBER(Z138),-Z138,"")</f>
        <v>3.2</v>
      </c>
      <c r="AA158" s="37" t="n">
        <f aca="false">IF(ISNUMBER(AA138),-AA138,"")</f>
        <v>5</v>
      </c>
      <c r="AB158" s="37" t="n">
        <f aca="false">IF(ISNUMBER(AB138),-AB138,"")</f>
        <v>2.7</v>
      </c>
      <c r="AC158" s="37" t="n">
        <f aca="false">IF(ISNUMBER(AC138),-AC138,"")</f>
        <v>4.3</v>
      </c>
      <c r="AD158" s="37" t="n">
        <f aca="false">IF(ISNUMBER(AD138),-AD138,"")</f>
        <v>7</v>
      </c>
      <c r="AE158" s="37" t="n">
        <f aca="false">IF(ISNUMBER(AE138),-AE138,"")</f>
        <v>-1.4</v>
      </c>
      <c r="AF158" s="37" t="n">
        <f aca="false">IF(ISNUMBER(AF138),-AF138,"")</f>
        <v>5.5</v>
      </c>
      <c r="AG158" s="37" t="n">
        <f aca="false">IF(ISNUMBER(AG138),-AG138,"")</f>
        <v>4.1</v>
      </c>
      <c r="AH158" s="37" t="n">
        <f aca="false">IF(ISNUMBER(AH138),-AH138,"")</f>
        <v>3.3</v>
      </c>
      <c r="AI158" s="37" t="n">
        <f aca="false">IF(ISNUMBER(AI138),-AI138,"")</f>
        <v>4.7</v>
      </c>
      <c r="AJ158" s="37" t="n">
        <f aca="false">IF(ISNUMBER(AJ138),-AJ138,"")</f>
        <v>8</v>
      </c>
      <c r="AK158" s="37" t="n">
        <f aca="false">IF(ISNUMBER(AK138),-AK138,"")</f>
        <v>6</v>
      </c>
      <c r="AL158" s="37" t="n">
        <f aca="false">IF(ISNUMBER(AL138),-AL138,"")</f>
        <v>7</v>
      </c>
      <c r="AM158" s="37" t="n">
        <f aca="false">IF(ISNUMBER(AM138),-AM138,"")</f>
        <v>13</v>
      </c>
      <c r="AN158" s="37" t="n">
        <f aca="false">IF(ISNUMBER(AN138),-AN138,"")</f>
        <v>8</v>
      </c>
      <c r="AO158" s="37" t="n">
        <f aca="false">IF(ISNUMBER(AO138),-AO138,"")</f>
        <v>4</v>
      </c>
      <c r="AP158" s="37" t="n">
        <f aca="false">IF(ISNUMBER(AP138),-AP138,"")</f>
        <v>12</v>
      </c>
      <c r="AQ158" s="37" t="n">
        <f aca="false">IF(ISNUMBER(AQ138),-AQ138,"")</f>
        <v>10</v>
      </c>
      <c r="AR158" s="37" t="n">
        <f aca="false">IF(ISNUMBER(AR138),-AR138,"")</f>
        <v>18</v>
      </c>
      <c r="AS158" s="37" t="n">
        <f aca="false">IF(ISNUMBER(AS138),-AS138,"")</f>
        <v>28</v>
      </c>
      <c r="AT158" s="37" t="n">
        <f aca="false">IF(ISNUMBER(AT138),-AT138,"")</f>
        <v>25</v>
      </c>
      <c r="AU158" s="37" t="n">
        <f aca="false">IF(ISNUMBER(AU138),-AU138,"")</f>
        <v>11</v>
      </c>
      <c r="AV158" s="37" t="n">
        <f aca="false">IF(ISNUMBER(AV138),-AV138,"")</f>
        <v>36</v>
      </c>
      <c r="AW158" s="37" t="n">
        <f aca="false">IF(ISNUMBER(AW138),-AW138,"")</f>
        <v>9</v>
      </c>
      <c r="AX158" s="39" t="n">
        <f aca="false">-AX138</f>
        <v>11.959918383</v>
      </c>
      <c r="AY158" s="39" t="n">
        <f aca="false">-AY138</f>
        <v>20.959918383</v>
      </c>
      <c r="AZ158" s="39" t="n">
        <f aca="false">-AZ138</f>
        <v>26.5931662293309</v>
      </c>
      <c r="BA158" s="39" t="n">
        <f aca="false">-BA138</f>
        <v>28.861664151394</v>
      </c>
      <c r="BB158" s="39" t="n">
        <f aca="false">-BB138</f>
        <v>31.1748672056958</v>
      </c>
      <c r="BC158" s="39" t="n">
        <f aca="false">-BC138</f>
        <v>33.383754359288</v>
      </c>
      <c r="BD158" s="23"/>
      <c r="BF158" s="7"/>
      <c r="BG158" s="7"/>
      <c r="BH158" s="7"/>
      <c r="BI158" s="7"/>
    </row>
    <row r="159" customFormat="false" ht="15" hidden="false" customHeight="true" outlineLevel="0" collapsed="false">
      <c r="B159" s="13" t="s">
        <v>239</v>
      </c>
      <c r="C159" s="37" t="str">
        <f aca="false">IF(ISNUMBER(C136),-C136,"")</f>
        <v/>
      </c>
      <c r="D159" s="37" t="str">
        <f aca="false">IF(ISNUMBER(D136),-D136,"")</f>
        <v/>
      </c>
      <c r="E159" s="37" t="str">
        <f aca="false">IF(ISNUMBER(E136),-E136,"")</f>
        <v/>
      </c>
      <c r="F159" s="37" t="n">
        <f aca="false">IF(ISNUMBER(F136),-F136,"")</f>
        <v>6.5</v>
      </c>
      <c r="G159" s="37" t="n">
        <f aca="false">IF(ISNUMBER(G136),-G136,"")</f>
        <v>3.1</v>
      </c>
      <c r="H159" s="37" t="n">
        <f aca="false">IF(ISNUMBER(H136),-H136,"")</f>
        <v>4.5</v>
      </c>
      <c r="I159" s="37" t="n">
        <f aca="false">IF(ISNUMBER(I136),-I136,"")</f>
        <v>0.4</v>
      </c>
      <c r="J159" s="37" t="n">
        <f aca="false">IF(ISNUMBER(J136),-J136,"")</f>
        <v>-1.9</v>
      </c>
      <c r="K159" s="37" t="n">
        <f aca="false">IF(ISNUMBER(K136),-K136,"")</f>
        <v>-0.1</v>
      </c>
      <c r="L159" s="37" t="n">
        <f aca="false">IF(ISNUMBER(L136),-L136,"")</f>
        <v>-2</v>
      </c>
      <c r="M159" s="37" t="n">
        <f aca="false">IF(ISNUMBER(M136),-M136,"")</f>
        <v>-5.6</v>
      </c>
      <c r="N159" s="37" t="n">
        <f aca="false">IF(ISNUMBER(N136),-N136,"")</f>
        <v>-6.8</v>
      </c>
      <c r="O159" s="37" t="n">
        <f aca="false">IF(ISNUMBER(O136),-O136,"")</f>
        <v>-12.4</v>
      </c>
      <c r="P159" s="37" t="n">
        <f aca="false">IF(ISNUMBER(P136),-P136,"")</f>
        <v>-9.2</v>
      </c>
      <c r="Q159" s="37" t="n">
        <f aca="false">IF(ISNUMBER(Q136),-Q136,"")</f>
        <v>-8.5</v>
      </c>
      <c r="R159" s="37" t="n">
        <f aca="false">IF(ISNUMBER(R136),-R136,"")</f>
        <v>-17.7</v>
      </c>
      <c r="S159" s="37" t="n">
        <f aca="false">IF(ISNUMBER(S136),-S136,"")</f>
        <v>-8.4</v>
      </c>
      <c r="T159" s="37" t="n">
        <f aca="false">IF(ISNUMBER(T136),-T136,"")</f>
        <v>-2.5</v>
      </c>
      <c r="U159" s="37" t="n">
        <f aca="false">IF(ISNUMBER(U136),-U136,"")</f>
        <v>-10.9</v>
      </c>
      <c r="V159" s="37" t="n">
        <f aca="false">IF(ISNUMBER(V136),-V136,"")</f>
        <v>-7.6</v>
      </c>
      <c r="W159" s="37" t="n">
        <f aca="false">IF(ISNUMBER(W136),-W136,"")</f>
        <v>2.3</v>
      </c>
      <c r="X159" s="37" t="n">
        <f aca="false">IF(ISNUMBER(X136),-X136,"")</f>
        <v>-5.3</v>
      </c>
      <c r="Y159" s="37" t="n">
        <f aca="false">IF(ISNUMBER(Y136),-Y136,"")</f>
        <v>-12.3</v>
      </c>
      <c r="Z159" s="37" t="n">
        <f aca="false">IF(ISNUMBER(Z136),-Z136,"")</f>
        <v>-4.3</v>
      </c>
      <c r="AA159" s="37" t="n">
        <f aca="false">IF(ISNUMBER(AA136),-AA136,"")</f>
        <v>-16.6</v>
      </c>
      <c r="AB159" s="37" t="n">
        <f aca="false">IF(ISNUMBER(AB136),-AB136,"")</f>
        <v>-12.8</v>
      </c>
      <c r="AC159" s="37" t="n">
        <f aca="false">IF(ISNUMBER(AC136),-AC136,"")</f>
        <v>-3.1</v>
      </c>
      <c r="AD159" s="37" t="n">
        <f aca="false">IF(ISNUMBER(AD136),-AD136,"")</f>
        <v>-15.9</v>
      </c>
      <c r="AE159" s="37" t="n">
        <f aca="false">IF(ISNUMBER(AE136),-AE136,"")</f>
        <v>-3</v>
      </c>
      <c r="AF159" s="37" t="n">
        <f aca="false">IF(ISNUMBER(AF136),-AF136,"")</f>
        <v>-13.1</v>
      </c>
      <c r="AG159" s="37" t="n">
        <f aca="false">IF(ISNUMBER(AG136),-AG136,"")</f>
        <v>-16.1</v>
      </c>
      <c r="AH159" s="37" t="n">
        <f aca="false">IF(ISNUMBER(AH136),-AH136,"")</f>
        <v>-12.9</v>
      </c>
      <c r="AI159" s="37" t="n">
        <f aca="false">IF(ISNUMBER(AI136),-AI136,"")</f>
        <v>-21.1</v>
      </c>
      <c r="AJ159" s="37" t="n">
        <f aca="false">IF(ISNUMBER(AJ136),-AJ136,"")</f>
        <v>-34</v>
      </c>
      <c r="AK159" s="37" t="n">
        <f aca="false">IF(ISNUMBER(AK136),-AK136,"")</f>
        <v>-25</v>
      </c>
      <c r="AL159" s="37" t="n">
        <f aca="false">IF(ISNUMBER(AL136),-AL136,"")</f>
        <v>-25</v>
      </c>
      <c r="AM159" s="37" t="n">
        <f aca="false">IF(ISNUMBER(AM136),-AM136,"")</f>
        <v>-50</v>
      </c>
      <c r="AN159" s="37" t="n">
        <f aca="false">IF(ISNUMBER(AN136),-AN136,"")</f>
        <v>-43</v>
      </c>
      <c r="AO159" s="37" t="n">
        <f aca="false">IF(ISNUMBER(AO136),-AO136,"")</f>
        <v>-62</v>
      </c>
      <c r="AP159" s="37" t="n">
        <f aca="false">IF(ISNUMBER(AP136),-AP136,"")</f>
        <v>-105</v>
      </c>
      <c r="AQ159" s="37" t="n">
        <f aca="false">IF(ISNUMBER(AQ136),-AQ136,"")</f>
        <v>-16</v>
      </c>
      <c r="AR159" s="37" t="n">
        <f aca="false">IF(ISNUMBER(AR136),-AR136,"")</f>
        <v>-28</v>
      </c>
      <c r="AS159" s="37" t="n">
        <f aca="false">IF(ISNUMBER(AS136),-AS136,"")</f>
        <v>-44</v>
      </c>
      <c r="AT159" s="37" t="n">
        <f aca="false">IF(ISNUMBER(AT136),-AT136,"")</f>
        <v>-26</v>
      </c>
      <c r="AU159" s="37" t="n">
        <f aca="false">IF(ISNUMBER(AU136),-AU136,"")</f>
        <v>-21</v>
      </c>
      <c r="AV159" s="37" t="n">
        <f aca="false">IF(ISNUMBER(AV136),-AV136,"")</f>
        <v>-47</v>
      </c>
      <c r="AW159" s="37" t="n">
        <f aca="false">IF(ISNUMBER(AW136),-AW136,"")</f>
        <v>-23</v>
      </c>
      <c r="AX159" s="39" t="n">
        <f aca="false">-AX136</f>
        <v>-23</v>
      </c>
      <c r="AY159" s="39" t="n">
        <f aca="false">-AY136</f>
        <v>-46</v>
      </c>
      <c r="AZ159" s="39" t="n">
        <f aca="false">-AZ136</f>
        <v>-50</v>
      </c>
      <c r="BA159" s="39" t="n">
        <f aca="false">-BA136</f>
        <v>-52</v>
      </c>
      <c r="BB159" s="39" t="n">
        <f aca="false">-BB136</f>
        <v>-54</v>
      </c>
      <c r="BC159" s="39" t="n">
        <f aca="false">-BC136</f>
        <v>-56</v>
      </c>
      <c r="BD159" s="23"/>
      <c r="BF159" s="7"/>
      <c r="BG159" s="7"/>
      <c r="BH159" s="7"/>
      <c r="BI159" s="7"/>
    </row>
    <row r="160" customFormat="false" ht="15" hidden="false" customHeight="true" outlineLevel="0" collapsed="false">
      <c r="B160" s="13" t="s">
        <v>240</v>
      </c>
      <c r="C160" s="37" t="str">
        <f aca="false">IF(ISNUMBER(C131),-C131,"")</f>
        <v/>
      </c>
      <c r="D160" s="37" t="str">
        <f aca="false">IF(ISNUMBER(D131),-D131,"")</f>
        <v/>
      </c>
      <c r="E160" s="37" t="str">
        <f aca="false">IF(ISNUMBER(E131),-E131,"")</f>
        <v/>
      </c>
      <c r="F160" s="37" t="n">
        <f aca="false">IF(ISNUMBER(F131),-F131,"")</f>
        <v>148.2</v>
      </c>
      <c r="G160" s="37" t="n">
        <f aca="false">IF(ISNUMBER(G131),-G131,"")</f>
        <v>220.9</v>
      </c>
      <c r="H160" s="37" t="n">
        <f aca="false">IF(ISNUMBER(H131),-H131,"")</f>
        <v>289.8</v>
      </c>
      <c r="I160" s="37" t="n">
        <f aca="false">IF(ISNUMBER(I131),-I131,"")</f>
        <v>349.1</v>
      </c>
      <c r="J160" s="37" t="n">
        <f aca="false">IF(ISNUMBER(J131),-J131,"")</f>
        <v>191.1</v>
      </c>
      <c r="K160" s="37" t="n">
        <f aca="false">IF(ISNUMBER(K131),-K131,"")</f>
        <v>206.5</v>
      </c>
      <c r="L160" s="37" t="n">
        <f aca="false">IF(ISNUMBER(L131),-L131,"")</f>
        <v>397.6</v>
      </c>
      <c r="M160" s="37" t="n">
        <f aca="false">IF(ISNUMBER(M131),-M131,"")</f>
        <v>203.7</v>
      </c>
      <c r="N160" s="37" t="n">
        <f aca="false">IF(ISNUMBER(N131),-N131,"")</f>
        <v>220</v>
      </c>
      <c r="O160" s="37" t="n">
        <f aca="false">IF(ISNUMBER(O131),-O131,"")</f>
        <v>423.7</v>
      </c>
      <c r="P160" s="37" t="n">
        <f aca="false">IF(ISNUMBER(P131),-P131,"")</f>
        <v>248</v>
      </c>
      <c r="Q160" s="37" t="n">
        <f aca="false">IF(ISNUMBER(Q131),-Q131,"")</f>
        <v>287.6</v>
      </c>
      <c r="R160" s="37" t="n">
        <f aca="false">IF(ISNUMBER(R131),-R131,"")</f>
        <v>535.6</v>
      </c>
      <c r="S160" s="37" t="n">
        <f aca="false">IF(ISNUMBER(S131),-S131,"")</f>
        <v>267.8</v>
      </c>
      <c r="T160" s="37" t="n">
        <f aca="false">IF(ISNUMBER(T131),-T131,"")</f>
        <v>287.7</v>
      </c>
      <c r="U160" s="37" t="n">
        <f aca="false">IF(ISNUMBER(U131),-U131,"")</f>
        <v>555.5</v>
      </c>
      <c r="V160" s="37" t="n">
        <f aca="false">IF(ISNUMBER(V131),-V131,"")</f>
        <v>322.5</v>
      </c>
      <c r="W160" s="37" t="n">
        <f aca="false">IF(ISNUMBER(W131),-W131,"")</f>
        <v>346.8</v>
      </c>
      <c r="X160" s="37" t="n">
        <f aca="false">IF(ISNUMBER(X131),-X131,"")</f>
        <v>669.3</v>
      </c>
      <c r="Y160" s="37" t="n">
        <f aca="false">IF(ISNUMBER(Y131),-Y131,"")</f>
        <v>335.7</v>
      </c>
      <c r="Z160" s="37" t="n">
        <f aca="false">IF(ISNUMBER(Z131),-Z131,"")</f>
        <v>334.3</v>
      </c>
      <c r="AA160" s="37" t="n">
        <f aca="false">IF(ISNUMBER(AA131),-AA131,"")</f>
        <v>670</v>
      </c>
      <c r="AB160" s="37" t="n">
        <f aca="false">IF(ISNUMBER(AB131),-AB131,"")</f>
        <v>383.4</v>
      </c>
      <c r="AC160" s="37" t="n">
        <f aca="false">IF(ISNUMBER(AC131),-AC131,"")</f>
        <v>367.6</v>
      </c>
      <c r="AD160" s="37" t="n">
        <f aca="false">IF(ISNUMBER(AD131),-AD131,"")</f>
        <v>751</v>
      </c>
      <c r="AE160" s="37" t="n">
        <f aca="false">IF(ISNUMBER(AE131),-AE131,"")</f>
        <v>160.7</v>
      </c>
      <c r="AF160" s="37" t="n">
        <f aca="false">IF(ISNUMBER(AF131),-AF131,"")</f>
        <v>452.3</v>
      </c>
      <c r="AG160" s="37" t="n">
        <f aca="false">IF(ISNUMBER(AG131),-AG131,"")</f>
        <v>613</v>
      </c>
      <c r="AH160" s="37" t="n">
        <f aca="false">IF(ISNUMBER(AH131),-AH131,"")</f>
        <v>510.8</v>
      </c>
      <c r="AI160" s="37" t="n">
        <f aca="false">IF(ISNUMBER(AI131),-AI131,"")</f>
        <v>504.2</v>
      </c>
      <c r="AJ160" s="37" t="n">
        <f aca="false">IF(ISNUMBER(AJ131),-AJ131,"")</f>
        <v>1015</v>
      </c>
      <c r="AK160" s="37" t="n">
        <f aca="false">IF(ISNUMBER(AK131),-AK131,"")</f>
        <v>647</v>
      </c>
      <c r="AL160" s="37" t="n">
        <f aca="false">IF(ISNUMBER(AL131),-AL131,"")</f>
        <v>658</v>
      </c>
      <c r="AM160" s="37" t="n">
        <f aca="false">IF(ISNUMBER(AM131),-AM131,"")</f>
        <v>1305</v>
      </c>
      <c r="AN160" s="37" t="n">
        <f aca="false">IF(ISNUMBER(AN131),-AN131,"")</f>
        <v>831</v>
      </c>
      <c r="AO160" s="37" t="n">
        <f aca="false">IF(ISNUMBER(AO131),-AO131,"")</f>
        <v>792</v>
      </c>
      <c r="AP160" s="37" t="n">
        <f aca="false">IF(ISNUMBER(AP131),-AP131,"")</f>
        <v>1623</v>
      </c>
      <c r="AQ160" s="37" t="n">
        <f aca="false">IF(ISNUMBER(AQ131),-AQ131,"")</f>
        <v>927</v>
      </c>
      <c r="AR160" s="37" t="n">
        <f aca="false">IF(ISNUMBER(AR131),-AR131,"")</f>
        <v>918</v>
      </c>
      <c r="AS160" s="37" t="n">
        <f aca="false">IF(ISNUMBER(AS131),-AS131,"")</f>
        <v>1845</v>
      </c>
      <c r="AT160" s="37" t="n">
        <f aca="false">IF(ISNUMBER(AT131),-AT131,"")</f>
        <v>1230</v>
      </c>
      <c r="AU160" s="37" t="n">
        <f aca="false">IF(ISNUMBER(AU131),-AU131,"")</f>
        <v>1033</v>
      </c>
      <c r="AV160" s="37" t="n">
        <f aca="false">IF(ISNUMBER(AV131),-AV131,"")</f>
        <v>2263</v>
      </c>
      <c r="AW160" s="37" t="n">
        <f aca="false">IF(ISNUMBER(AW131),-AW131,"")</f>
        <v>1217</v>
      </c>
      <c r="AX160" s="39" t="n">
        <f aca="false">-AX131</f>
        <v>1044.7233034</v>
      </c>
      <c r="AY160" s="39" t="n">
        <f aca="false">-AY131</f>
        <v>2261.7233034</v>
      </c>
      <c r="AZ160" s="39" t="n">
        <f aca="false">-AZ131</f>
        <v>2100.08458052008</v>
      </c>
      <c r="BA160" s="39" t="n">
        <f aca="false">-BA131</f>
        <v>2280.13266661463</v>
      </c>
      <c r="BB160" s="39" t="n">
        <f aca="false">-BB131</f>
        <v>2463.74465835617</v>
      </c>
      <c r="BC160" s="39" t="n">
        <f aca="false">-BC131</f>
        <v>2639.04055731387</v>
      </c>
      <c r="BD160" s="23"/>
      <c r="BF160" s="7"/>
      <c r="BG160" s="7"/>
      <c r="BH160" s="7"/>
      <c r="BI160" s="7"/>
    </row>
    <row r="161" customFormat="false" ht="15" hidden="false" customHeight="true" outlineLevel="0" collapsed="false">
      <c r="B161" s="13" t="s">
        <v>241</v>
      </c>
      <c r="C161" s="37" t="str">
        <f aca="false">IF(ISNUMBER(C128),-C128,"")</f>
        <v/>
      </c>
      <c r="D161" s="37" t="str">
        <f aca="false">IF(ISNUMBER(D128),-D128,"")</f>
        <v/>
      </c>
      <c r="E161" s="37" t="str">
        <f aca="false">IF(ISNUMBER(E128),-E128,"")</f>
        <v/>
      </c>
      <c r="F161" s="37" t="n">
        <f aca="false">IF(ISNUMBER(F128),-F128,"")</f>
        <v>12.7</v>
      </c>
      <c r="G161" s="37" t="n">
        <f aca="false">IF(ISNUMBER(G128),-G128,"")</f>
        <v>12.5</v>
      </c>
      <c r="H161" s="37" t="n">
        <f aca="false">IF(ISNUMBER(H128),-H128,"")</f>
        <v>-12.4</v>
      </c>
      <c r="I161" s="37" t="n">
        <f aca="false">IF(ISNUMBER(I128),-I128,"")</f>
        <v>18.6</v>
      </c>
      <c r="J161" s="37" t="n">
        <f aca="false">IF(ISNUMBER(J128),-J128,"")</f>
        <v>8.2</v>
      </c>
      <c r="K161" s="37" t="n">
        <f aca="false">IF(ISNUMBER(K128),-K128,"")</f>
        <v>15.3</v>
      </c>
      <c r="L161" s="37" t="n">
        <f aca="false">IF(ISNUMBER(L128),-L128,"")</f>
        <v>23.5</v>
      </c>
      <c r="M161" s="37" t="n">
        <f aca="false">IF(ISNUMBER(M128),-M128,"")</f>
        <v>7.8</v>
      </c>
      <c r="N161" s="37" t="n">
        <f aca="false">IF(ISNUMBER(N128),-N128,"")</f>
        <v>16.9</v>
      </c>
      <c r="O161" s="37" t="n">
        <f aca="false">IF(ISNUMBER(O128),-O128,"")</f>
        <v>24.7</v>
      </c>
      <c r="P161" s="37" t="n">
        <f aca="false">IF(ISNUMBER(P128),-P128,"")</f>
        <v>24.7</v>
      </c>
      <c r="Q161" s="37" t="n">
        <f aca="false">IF(ISNUMBER(Q128),-Q128,"")</f>
        <v>20.9</v>
      </c>
      <c r="R161" s="37" t="n">
        <f aca="false">IF(ISNUMBER(R128),-R128,"")</f>
        <v>45.6</v>
      </c>
      <c r="S161" s="37" t="n">
        <f aca="false">IF(ISNUMBER(S128),-S128,"")</f>
        <v>20.3</v>
      </c>
      <c r="T161" s="37" t="n">
        <f aca="false">IF(ISNUMBER(T128),-T128,"")</f>
        <v>27.5</v>
      </c>
      <c r="U161" s="37" t="n">
        <f aca="false">IF(ISNUMBER(U128),-U128,"")</f>
        <v>47.8</v>
      </c>
      <c r="V161" s="37" t="n">
        <f aca="false">IF(ISNUMBER(V128),-V128,"")</f>
        <v>9.8</v>
      </c>
      <c r="W161" s="37" t="n">
        <f aca="false">IF(ISNUMBER(W128),-W128,"")</f>
        <v>22.4</v>
      </c>
      <c r="X161" s="37" t="n">
        <f aca="false">IF(ISNUMBER(X128),-X128,"")</f>
        <v>32.2</v>
      </c>
      <c r="Y161" s="37" t="n">
        <f aca="false">IF(ISNUMBER(Y128),-Y128,"")</f>
        <v>4.2</v>
      </c>
      <c r="Z161" s="37" t="n">
        <f aca="false">IF(ISNUMBER(Z128),-Z128,"")</f>
        <v>30.4</v>
      </c>
      <c r="AA161" s="37" t="n">
        <f aca="false">IF(ISNUMBER(AA128),-AA128,"")</f>
        <v>34.6</v>
      </c>
      <c r="AB161" s="37" t="n">
        <f aca="false">IF(ISNUMBER(AB128),-AB128,"")</f>
        <v>16.3</v>
      </c>
      <c r="AC161" s="37" t="n">
        <f aca="false">IF(ISNUMBER(AC128),-AC128,"")</f>
        <v>52.3</v>
      </c>
      <c r="AD161" s="37" t="n">
        <f aca="false">IF(ISNUMBER(AD128),-AD128,"")</f>
        <v>68.6</v>
      </c>
      <c r="AE161" s="37" t="n">
        <f aca="false">IF(ISNUMBER(AE128),-AE128,"")</f>
        <v>43.4</v>
      </c>
      <c r="AF161" s="37" t="n">
        <f aca="false">IF(ISNUMBER(AF128),-AF128,"")</f>
        <v>42.7</v>
      </c>
      <c r="AG161" s="37" t="n">
        <f aca="false">IF(ISNUMBER(AG128),-AG128,"")</f>
        <v>86.1</v>
      </c>
      <c r="AH161" s="37" t="n">
        <f aca="false">IF(ISNUMBER(AH128),-AH128,"")</f>
        <v>47</v>
      </c>
      <c r="AI161" s="37" t="n">
        <f aca="false">IF(ISNUMBER(AI128),-AI128,"")</f>
        <v>49</v>
      </c>
      <c r="AJ161" s="37" t="n">
        <f aca="false">IF(ISNUMBER(AJ128),-AJ128,"")</f>
        <v>96</v>
      </c>
      <c r="AK161" s="37" t="n">
        <f aca="false">IF(ISNUMBER(AK128),-AK128,"")</f>
        <v>35</v>
      </c>
      <c r="AL161" s="37" t="n">
        <f aca="false">IF(ISNUMBER(AL128),-AL128,"")</f>
        <v>27</v>
      </c>
      <c r="AM161" s="37" t="n">
        <f aca="false">IF(ISNUMBER(AM128),-AM128,"")</f>
        <v>62</v>
      </c>
      <c r="AN161" s="37" t="n">
        <f aca="false">IF(ISNUMBER(AN128),-AN128,"")</f>
        <v>-75</v>
      </c>
      <c r="AO161" s="37" t="n">
        <f aca="false">IF(ISNUMBER(AO128),-AO128,"")</f>
        <v>-115</v>
      </c>
      <c r="AP161" s="37" t="n">
        <f aca="false">IF(ISNUMBER(AP128),-AP128,"")</f>
        <v>-190</v>
      </c>
      <c r="AQ161" s="37" t="n">
        <f aca="false">IF(ISNUMBER(AQ128),-AQ128,"")</f>
        <v>-141</v>
      </c>
      <c r="AR161" s="37" t="n">
        <f aca="false">IF(ISNUMBER(AR128),-AR128,"")</f>
        <v>-142</v>
      </c>
      <c r="AS161" s="37" t="n">
        <f aca="false">IF(ISNUMBER(AS128),-AS128,"")</f>
        <v>-283</v>
      </c>
      <c r="AT161" s="37" t="n">
        <f aca="false">IF(ISNUMBER(AT128),-AT128,"")</f>
        <v>-148</v>
      </c>
      <c r="AU161" s="37" t="n">
        <f aca="false">IF(ISNUMBER(AU128),-AU128,"")</f>
        <v>-59</v>
      </c>
      <c r="AV161" s="37" t="n">
        <f aca="false">IF(ISNUMBER(AV128),-AV128,"")</f>
        <v>-207</v>
      </c>
      <c r="AW161" s="37" t="n">
        <f aca="false">IF(ISNUMBER(AW128),-AW128,"")</f>
        <v>-90</v>
      </c>
      <c r="AX161" s="39" t="n">
        <f aca="false">-AX128</f>
        <v>-99.623</v>
      </c>
      <c r="AY161" s="39" t="n">
        <f aca="false">-AY128</f>
        <v>-189.623</v>
      </c>
      <c r="AZ161" s="39" t="n">
        <f aca="false">-AZ128</f>
        <v>-230.05158438626</v>
      </c>
      <c r="BA161" s="39" t="n">
        <f aca="false">-BA128</f>
        <v>-270.441449933438</v>
      </c>
      <c r="BB161" s="39" t="n">
        <f aca="false">-BB128</f>
        <v>-318.650108355117</v>
      </c>
      <c r="BC161" s="39" t="n">
        <f aca="false">-BC128</f>
        <v>-372.310289235052</v>
      </c>
      <c r="BD161" s="23"/>
      <c r="BF161" s="7"/>
      <c r="BG161" s="7"/>
      <c r="BH161" s="7"/>
      <c r="BI161" s="7"/>
    </row>
    <row r="162" customFormat="false" ht="15" hidden="false" customHeight="true" outlineLevel="0" collapsed="false">
      <c r="B162" s="19" t="s">
        <v>242</v>
      </c>
      <c r="C162" s="20" t="str">
        <f aca="false">IF(ISNUMBER(C160),SUM(C157:C161),"")</f>
        <v/>
      </c>
      <c r="D162" s="20" t="str">
        <f aca="false">IF(ISNUMBER(D160),SUM(D157:D161),"")</f>
        <v/>
      </c>
      <c r="E162" s="20" t="str">
        <f aca="false">IF(ISNUMBER(E160),SUM(E157:E161),"")</f>
        <v/>
      </c>
      <c r="F162" s="20" t="n">
        <f aca="false">IF(ISNUMBER(F160),SUM(F157:F161),"")</f>
        <v>462.9</v>
      </c>
      <c r="G162" s="20" t="n">
        <f aca="false">IF(ISNUMBER(G160),SUM(G157:G161),"")</f>
        <v>668.2</v>
      </c>
      <c r="H162" s="20" t="n">
        <f aca="false">IF(ISNUMBER(H160),SUM(H157:H161),"")</f>
        <v>885.2</v>
      </c>
      <c r="I162" s="20" t="n">
        <f aca="false">IF(ISNUMBER(I160),SUM(I157:I161),"")</f>
        <v>1118.7</v>
      </c>
      <c r="J162" s="20" t="n">
        <f aca="false">IF(ISNUMBER(J160),SUM(J157:J161),"")</f>
        <v>584.1</v>
      </c>
      <c r="K162" s="20" t="n">
        <f aca="false">IF(ISNUMBER(K160),SUM(K157:K161),"")</f>
        <v>634.1</v>
      </c>
      <c r="L162" s="20" t="n">
        <f aca="false">IF(ISNUMBER(L160),SUM(L157:L161),"")</f>
        <v>1218.2</v>
      </c>
      <c r="M162" s="20" t="n">
        <f aca="false">IF(ISNUMBER(M160),SUM(M157:M161),"")</f>
        <v>621.4</v>
      </c>
      <c r="N162" s="20" t="n">
        <f aca="false">IF(ISNUMBER(N160),SUM(N157:N161),"")</f>
        <v>677.9</v>
      </c>
      <c r="O162" s="20" t="n">
        <f aca="false">IF(ISNUMBER(O160),SUM(O157:O161),"")</f>
        <v>1299.3</v>
      </c>
      <c r="P162" s="20" t="n">
        <f aca="false">IF(ISNUMBER(P160),SUM(P157:P161),"")</f>
        <v>748.2</v>
      </c>
      <c r="Q162" s="20" t="n">
        <f aca="false">IF(ISNUMBER(Q160),SUM(Q157:Q161),"")</f>
        <v>792.5</v>
      </c>
      <c r="R162" s="20" t="n">
        <f aca="false">IF(ISNUMBER(R160),SUM(R157:R161),"")</f>
        <v>1540.7</v>
      </c>
      <c r="S162" s="20" t="n">
        <f aca="false">IF(ISNUMBER(S160),SUM(S157:S161),"")</f>
        <v>826.8</v>
      </c>
      <c r="T162" s="20" t="n">
        <f aca="false">IF(ISNUMBER(T160),SUM(T157:T161),"")</f>
        <v>869.7</v>
      </c>
      <c r="U162" s="20" t="n">
        <f aca="false">IF(ISNUMBER(U160),SUM(U157:U161),"")</f>
        <v>1696.5</v>
      </c>
      <c r="V162" s="20" t="n">
        <f aca="false">IF(ISNUMBER(V160),SUM(V157:V161),"")</f>
        <v>931.3</v>
      </c>
      <c r="W162" s="20" t="n">
        <f aca="false">IF(ISNUMBER(W160),SUM(W157:W161),"")</f>
        <v>990.7</v>
      </c>
      <c r="X162" s="20" t="n">
        <f aca="false">IF(ISNUMBER(X160),SUM(X157:X161),"")</f>
        <v>1922</v>
      </c>
      <c r="Y162" s="20" t="n">
        <f aca="false">IF(ISNUMBER(Y160),SUM(Y157:Y161),"")</f>
        <v>1037.3</v>
      </c>
      <c r="Z162" s="20" t="n">
        <f aca="false">IF(ISNUMBER(Z160),SUM(Z157:Z161),"")</f>
        <v>1060.4</v>
      </c>
      <c r="AA162" s="20" t="n">
        <f aca="false">IF(ISNUMBER(AA160),SUM(AA157:AA161),"")</f>
        <v>2097.7</v>
      </c>
      <c r="AB162" s="20" t="n">
        <f aca="false">IF(ISNUMBER(AB160),SUM(AB157:AB161),"")</f>
        <v>1143.9</v>
      </c>
      <c r="AC162" s="20" t="n">
        <f aca="false">IF(ISNUMBER(AC160),SUM(AC157:AC161),"")</f>
        <v>1194.9</v>
      </c>
      <c r="AD162" s="20" t="n">
        <f aca="false">IF(ISNUMBER(AD160),SUM(AD157:AD161),"")</f>
        <v>2338.8</v>
      </c>
      <c r="AE162" s="20" t="n">
        <f aca="false">IF(ISNUMBER(AE160),SUM(AE157:AE161),"")</f>
        <v>534.6</v>
      </c>
      <c r="AF162" s="20" t="n">
        <f aca="false">IF(ISNUMBER(AF160),SUM(AF157:AF161),"")</f>
        <v>1537.9</v>
      </c>
      <c r="AG162" s="20" t="n">
        <f aca="false">IF(ISNUMBER(AG160),SUM(AG157:AG161),"")</f>
        <v>2072.5</v>
      </c>
      <c r="AH162" s="20" t="n">
        <f aca="false">IF(ISNUMBER(AH160),SUM(AH157:AH161),"")</f>
        <v>1721.8</v>
      </c>
      <c r="AI162" s="20" t="n">
        <f aca="false">IF(ISNUMBER(AI160),SUM(AI157:AI161),"")</f>
        <v>1809.2</v>
      </c>
      <c r="AJ162" s="20" t="n">
        <f aca="false">IF(ISNUMBER(AJ160),SUM(AJ157:AJ161),"")</f>
        <v>3531</v>
      </c>
      <c r="AK162" s="20" t="n">
        <f aca="false">IF(ISNUMBER(AK160),SUM(AK157:AK161),"")</f>
        <v>2305</v>
      </c>
      <c r="AL162" s="20" t="n">
        <f aca="false">IF(ISNUMBER(AL160),SUM(AL157:AL161),"")</f>
        <v>2392</v>
      </c>
      <c r="AM162" s="20" t="n">
        <f aca="false">IF(ISNUMBER(AM160),SUM(AM157:AM161),"")</f>
        <v>4697</v>
      </c>
      <c r="AN162" s="20" t="n">
        <f aca="false">IF(ISNUMBER(AN160),SUM(AN157:AN161),"")</f>
        <v>2947</v>
      </c>
      <c r="AO162" s="20" t="n">
        <f aca="false">IF(ISNUMBER(AO160),SUM(AO157:AO161),"")</f>
        <v>2702</v>
      </c>
      <c r="AP162" s="20" t="n">
        <f aca="false">IF(ISNUMBER(AP160),SUM(AP157:AP161),"")</f>
        <v>5649</v>
      </c>
      <c r="AQ162" s="20" t="n">
        <f aca="false">IF(ISNUMBER(AQ160),SUM(AQ157:AQ161),"")</f>
        <v>3149</v>
      </c>
      <c r="AR162" s="20" t="n">
        <f aca="false">IF(ISNUMBER(AR160),SUM(AR157:AR161),"")</f>
        <v>2999</v>
      </c>
      <c r="AS162" s="20" t="n">
        <f aca="false">IF(ISNUMBER(AS160),SUM(AS157:AS161),"")</f>
        <v>6148</v>
      </c>
      <c r="AT162" s="20" t="n">
        <f aca="false">IF(ISNUMBER(AT160),SUM(AT157:AT161),"")</f>
        <v>3327</v>
      </c>
      <c r="AU162" s="20" t="n">
        <f aca="false">IF(ISNUMBER(AU160),SUM(AU157:AU161),"")</f>
        <v>3242</v>
      </c>
      <c r="AV162" s="20" t="n">
        <f aca="false">IF(ISNUMBER(AV160),SUM(AV157:AV161),"")</f>
        <v>6569</v>
      </c>
      <c r="AW162" s="20" t="n">
        <f aca="false">IF(ISNUMBER(AW160),SUM(AW157:AW161),"")</f>
        <v>3350</v>
      </c>
      <c r="AX162" s="22" t="n">
        <f aca="false">SUM(AX157:AX161)</f>
        <v>3314.08398</v>
      </c>
      <c r="AY162" s="22" t="n">
        <f aca="false">SUM(AY157:AY161)</f>
        <v>6664.08398</v>
      </c>
      <c r="AZ162" s="22" t="n">
        <f aca="false">SUM(AZ157:AZ161)</f>
        <v>7138.666242</v>
      </c>
      <c r="BA162" s="22" t="n">
        <f aca="false">SUM(BA157:BA161)</f>
        <v>7730.02404696</v>
      </c>
      <c r="BB162" s="22" t="n">
        <f aca="false">SUM(BB157:BB161)</f>
        <v>8326.0679911402</v>
      </c>
      <c r="BC162" s="22" t="n">
        <f aca="false">SUM(BC157:BC161)</f>
        <v>8887.48113993642</v>
      </c>
      <c r="BD162" s="23"/>
      <c r="BF162" s="7"/>
      <c r="BG162" s="7"/>
      <c r="BH162" s="7"/>
      <c r="BI162" s="7"/>
    </row>
    <row r="163" customFormat="false" ht="15" hidden="false" customHeight="true" outlineLevel="0" collapsed="false">
      <c r="B163" s="43" t="s">
        <v>243</v>
      </c>
      <c r="C163" s="37" t="str">
        <f aca="false">IF(ISNUMBER(C162),ROUND(C162-C127,1),"")</f>
        <v/>
      </c>
      <c r="D163" s="37" t="str">
        <f aca="false">IF(ISNUMBER(D162),ROUND(D162-D127,1),"")</f>
        <v/>
      </c>
      <c r="E163" s="37" t="str">
        <f aca="false">IF(ISNUMBER(E162),ROUND(E162-E127,1),"")</f>
        <v/>
      </c>
      <c r="F163" s="37" t="n">
        <f aca="false">IF(ISNUMBER(F162),ROUND(F162-F127,1),"")</f>
        <v>0</v>
      </c>
      <c r="G163" s="37" t="n">
        <f aca="false">IF(ISNUMBER(G162),ROUND(G162-G127,1),"")</f>
        <v>0</v>
      </c>
      <c r="H163" s="37" t="n">
        <f aca="false">IF(ISNUMBER(H162),ROUND(H162-H127,1),"")</f>
        <v>0</v>
      </c>
      <c r="I163" s="37" t="n">
        <f aca="false">IF(ISNUMBER(I162),ROUND(I162-I127,1),"")</f>
        <v>0</v>
      </c>
      <c r="J163" s="37" t="n">
        <f aca="false">IF(ISNUMBER(J162),ROUND(J162-J127,1),"")</f>
        <v>0</v>
      </c>
      <c r="K163" s="37" t="n">
        <f aca="false">IF(ISNUMBER(K162),ROUND(K162-K127,1),"")</f>
        <v>0</v>
      </c>
      <c r="L163" s="37" t="n">
        <f aca="false">IF(ISNUMBER(L162),ROUND(L162-L127,1),"")</f>
        <v>0</v>
      </c>
      <c r="M163" s="37" t="n">
        <f aca="false">IF(ISNUMBER(M162),ROUND(M162-M127,1),"")</f>
        <v>0</v>
      </c>
      <c r="N163" s="37" t="n">
        <f aca="false">IF(ISNUMBER(N162),ROUND(N162-N127,1),"")</f>
        <v>0</v>
      </c>
      <c r="O163" s="37" t="n">
        <f aca="false">IF(ISNUMBER(O162),ROUND(O162-O127,1),"")</f>
        <v>0</v>
      </c>
      <c r="P163" s="37" t="n">
        <f aca="false">IF(ISNUMBER(P162),ROUND(P162-P127,1),"")</f>
        <v>0</v>
      </c>
      <c r="Q163" s="37" t="n">
        <f aca="false">IF(ISNUMBER(Q162),ROUND(Q162-Q127,1),"")</f>
        <v>0</v>
      </c>
      <c r="R163" s="37" t="n">
        <f aca="false">IF(ISNUMBER(R162),ROUND(R162-R127,1),"")</f>
        <v>0</v>
      </c>
      <c r="S163" s="37" t="n">
        <f aca="false">IF(ISNUMBER(S162),ROUND(S162-S127,1),"")</f>
        <v>0</v>
      </c>
      <c r="T163" s="37" t="n">
        <f aca="false">IF(ISNUMBER(T162),ROUND(T162-T127,1),"")</f>
        <v>0</v>
      </c>
      <c r="U163" s="37" t="n">
        <f aca="false">IF(ISNUMBER(U162),ROUND(U162-U127,1),"")</f>
        <v>0</v>
      </c>
      <c r="V163" s="37" t="n">
        <f aca="false">IF(ISNUMBER(V162),ROUND(V162-V127,1),"")</f>
        <v>0</v>
      </c>
      <c r="W163" s="37" t="n">
        <f aca="false">IF(ISNUMBER(W162),ROUND(W162-W127,1),"")</f>
        <v>0</v>
      </c>
      <c r="X163" s="37" t="n">
        <f aca="false">IF(ISNUMBER(X162),ROUND(X162-X127,1),"")</f>
        <v>0</v>
      </c>
      <c r="Y163" s="37" t="n">
        <f aca="false">IF(ISNUMBER(Y162),ROUND(Y162-Y127,1),"")</f>
        <v>0</v>
      </c>
      <c r="Z163" s="37" t="n">
        <f aca="false">IF(ISNUMBER(Z162),ROUND(Z162-Z127,1),"")</f>
        <v>0</v>
      </c>
      <c r="AA163" s="37" t="n">
        <f aca="false">IF(ISNUMBER(AA162),ROUND(AA162-AA127,1),"")</f>
        <v>0</v>
      </c>
      <c r="AB163" s="37" t="n">
        <f aca="false">IF(ISNUMBER(AB162),ROUND(AB162-AB127,1),"")</f>
        <v>0</v>
      </c>
      <c r="AC163" s="37" t="n">
        <f aca="false">IF(ISNUMBER(AC162),ROUND(AC162-AC127,1),"")</f>
        <v>0</v>
      </c>
      <c r="AD163" s="37" t="n">
        <f aca="false">IF(ISNUMBER(AD162),ROUND(AD162-AD127,1),"")</f>
        <v>0</v>
      </c>
      <c r="AE163" s="37" t="n">
        <f aca="false">IF(ISNUMBER(AE162),ROUND(AE162-AE127,1),"")</f>
        <v>0</v>
      </c>
      <c r="AF163" s="37" t="n">
        <f aca="false">IF(ISNUMBER(AF162),ROUND(AF162-AF127,1),"")</f>
        <v>0</v>
      </c>
      <c r="AG163" s="37" t="n">
        <f aca="false">IF(ISNUMBER(AG162),ROUND(AG162-AG127,1),"")</f>
        <v>0</v>
      </c>
      <c r="AH163" s="37" t="n">
        <f aca="false">IF(ISNUMBER(AH162),ROUND(AH162-AH127,1),"")</f>
        <v>0</v>
      </c>
      <c r="AI163" s="37" t="n">
        <f aca="false">IF(ISNUMBER(AI162),ROUND(AI162-AI127,1),"")</f>
        <v>0</v>
      </c>
      <c r="AJ163" s="37" t="n">
        <f aca="false">IF(ISNUMBER(AJ162),ROUND(AJ162-AJ127,1),"")</f>
        <v>0</v>
      </c>
      <c r="AK163" s="37" t="n">
        <f aca="false">IF(ISNUMBER(AK162),ROUND(AK162-AK127,1),"")</f>
        <v>0</v>
      </c>
      <c r="AL163" s="37" t="n">
        <f aca="false">IF(ISNUMBER(AL162),ROUND(AL162-AL127,1),"")</f>
        <v>0</v>
      </c>
      <c r="AM163" s="37" t="n">
        <f aca="false">IF(ISNUMBER(AM162),ROUND(AM162-AM127,1),"")</f>
        <v>0</v>
      </c>
      <c r="AN163" s="37" t="n">
        <f aca="false">IF(ISNUMBER(AN162),ROUND(AN162-AN127,1),"")</f>
        <v>0</v>
      </c>
      <c r="AO163" s="37" t="n">
        <f aca="false">IF(ISNUMBER(AO162),ROUND(AO162-AO127,1),"")</f>
        <v>0</v>
      </c>
      <c r="AP163" s="37" t="n">
        <f aca="false">IF(ISNUMBER(AP162),ROUND(AP162-AP127,1),"")</f>
        <v>0</v>
      </c>
      <c r="AQ163" s="37" t="n">
        <f aca="false">IF(ISNUMBER(AQ162),ROUND(AQ162-AQ127,1),"")</f>
        <v>0</v>
      </c>
      <c r="AR163" s="37" t="n">
        <f aca="false">IF(ISNUMBER(AR162),ROUND(AR162-AR127,1),"")</f>
        <v>0</v>
      </c>
      <c r="AS163" s="37" t="n">
        <f aca="false">IF(ISNUMBER(AS162),ROUND(AS162-AS127,1),"")</f>
        <v>0</v>
      </c>
      <c r="AT163" s="37" t="n">
        <f aca="false">IF(ISNUMBER(AT162),ROUND(AT162-AT127,1),"")</f>
        <v>0</v>
      </c>
      <c r="AU163" s="37" t="n">
        <f aca="false">IF(ISNUMBER(AU162),ROUND(AU162-AU127,1),"")</f>
        <v>0</v>
      </c>
      <c r="AV163" s="37" t="n">
        <f aca="false">IF(ISNUMBER(AV162),ROUND(AV162-AV127,1),"")</f>
        <v>0</v>
      </c>
      <c r="AW163" s="37" t="n">
        <f aca="false">IF(ISNUMBER(AW162),ROUND(AW162-AW127,1),"")</f>
        <v>0</v>
      </c>
      <c r="AX163" s="39" t="n">
        <f aca="false">ROUND(AX162-AX127,1)</f>
        <v>0</v>
      </c>
      <c r="AY163" s="39" t="n">
        <f aca="false">ROUND(AY162-AY127,1)</f>
        <v>0</v>
      </c>
      <c r="AZ163" s="39" t="n">
        <f aca="false">ROUND(AZ162-AZ127,1)</f>
        <v>0</v>
      </c>
      <c r="BA163" s="39" t="n">
        <f aca="false">ROUND(BA162-BA127,1)</f>
        <v>0</v>
      </c>
      <c r="BB163" s="39" t="n">
        <f aca="false">ROUND(BB162-BB127,1)</f>
        <v>0</v>
      </c>
      <c r="BC163" s="39" t="n">
        <f aca="false">ROUND(BC162-BC127,1)</f>
        <v>0</v>
      </c>
      <c r="BD163" s="23"/>
      <c r="BF163" s="7"/>
      <c r="BG163" s="7"/>
      <c r="BH163" s="7"/>
      <c r="BI163" s="7"/>
    </row>
    <row r="164" customFormat="false" ht="15" hidden="false" customHeight="true" outlineLevel="0" collapsed="false">
      <c r="B164" s="13" t="s">
        <v>244</v>
      </c>
      <c r="C164" s="37" t="str">
        <f aca="false">IF(ISNUMBER(C162),-N(C126),"")</f>
        <v/>
      </c>
      <c r="D164" s="37" t="str">
        <f aca="false">IF(ISNUMBER(D162),-N(D126),"")</f>
        <v/>
      </c>
      <c r="E164" s="37" t="str">
        <f aca="false">IF(ISNUMBER(E162),-N(E126),"")</f>
        <v/>
      </c>
      <c r="F164" s="37" t="n">
        <f aca="false">IF(ISNUMBER(F162),-N(F126),"")</f>
        <v>-0</v>
      </c>
      <c r="G164" s="37" t="n">
        <f aca="false">IF(ISNUMBER(G162),-N(G126),"")</f>
        <v>-0</v>
      </c>
      <c r="H164" s="37" t="n">
        <f aca="false">IF(ISNUMBER(H162),-N(H126),"")</f>
        <v>-0</v>
      </c>
      <c r="I164" s="37" t="n">
        <f aca="false">IF(ISNUMBER(I162),-N(I126),"")</f>
        <v>-0</v>
      </c>
      <c r="J164" s="37" t="n">
        <f aca="false">IF(ISNUMBER(J162),-N(J126),"")</f>
        <v>-0</v>
      </c>
      <c r="K164" s="37" t="n">
        <f aca="false">IF(ISNUMBER(K162),-N(K126),"")</f>
        <v>-0</v>
      </c>
      <c r="L164" s="37" t="n">
        <f aca="false">IF(ISNUMBER(L162),-N(L126),"")</f>
        <v>-0</v>
      </c>
      <c r="M164" s="37" t="n">
        <f aca="false">IF(ISNUMBER(M162),-N(M126),"")</f>
        <v>-0</v>
      </c>
      <c r="N164" s="37" t="n">
        <f aca="false">IF(ISNUMBER(N162),-N(N126),"")</f>
        <v>-0</v>
      </c>
      <c r="O164" s="37" t="n">
        <f aca="false">IF(ISNUMBER(O162),-N(O126),"")</f>
        <v>-0</v>
      </c>
      <c r="P164" s="37" t="n">
        <f aca="false">IF(ISNUMBER(P162),-N(P126),"")</f>
        <v>-0</v>
      </c>
      <c r="Q164" s="37" t="n">
        <f aca="false">IF(ISNUMBER(Q162),-N(Q126),"")</f>
        <v>-0</v>
      </c>
      <c r="R164" s="37" t="n">
        <f aca="false">IF(ISNUMBER(R162),-N(R126),"")</f>
        <v>-0</v>
      </c>
      <c r="S164" s="37" t="n">
        <f aca="false">IF(ISNUMBER(S162),-N(S126),"")</f>
        <v>-0</v>
      </c>
      <c r="T164" s="37" t="n">
        <f aca="false">IF(ISNUMBER(T162),-N(T126),"")</f>
        <v>-0</v>
      </c>
      <c r="U164" s="37" t="n">
        <f aca="false">IF(ISNUMBER(U162),-N(U126),"")</f>
        <v>-0</v>
      </c>
      <c r="V164" s="37" t="n">
        <f aca="false">IF(ISNUMBER(V162),-N(V126),"")</f>
        <v>-0</v>
      </c>
      <c r="W164" s="37" t="n">
        <f aca="false">IF(ISNUMBER(W162),-N(W126),"")</f>
        <v>-0</v>
      </c>
      <c r="X164" s="37" t="n">
        <f aca="false">IF(ISNUMBER(X162),-N(X126),"")</f>
        <v>-0</v>
      </c>
      <c r="Y164" s="37" t="n">
        <f aca="false">IF(ISNUMBER(Y162),-N(Y126),"")</f>
        <v>-52.7</v>
      </c>
      <c r="Z164" s="37" t="n">
        <f aca="false">IF(ISNUMBER(Z162),-N(Z126),"")</f>
        <v>-0</v>
      </c>
      <c r="AA164" s="37" t="n">
        <f aca="false">IF(ISNUMBER(AA162),-N(AA126),"")</f>
        <v>-52.7</v>
      </c>
      <c r="AB164" s="37" t="n">
        <f aca="false">IF(ISNUMBER(AB162),-N(AB126),"")</f>
        <v>-0</v>
      </c>
      <c r="AC164" s="37" t="n">
        <f aca="false">IF(ISNUMBER(AC162),-N(AC126),"")</f>
        <v>-0</v>
      </c>
      <c r="AD164" s="37" t="n">
        <f aca="false">IF(ISNUMBER(AD162),-N(AD126),"")</f>
        <v>-0</v>
      </c>
      <c r="AE164" s="37" t="n">
        <f aca="false">IF(ISNUMBER(AE162),-N(AE126),"")</f>
        <v>-0</v>
      </c>
      <c r="AF164" s="37" t="n">
        <f aca="false">IF(ISNUMBER(AF162),-N(AF126),"")</f>
        <v>-91.1</v>
      </c>
      <c r="AG164" s="37" t="n">
        <f aca="false">IF(ISNUMBER(AG162),-N(AG126),"")</f>
        <v>-91.1</v>
      </c>
      <c r="AH164" s="37" t="n">
        <f aca="false">IF(ISNUMBER(AH162),-N(AH126),"")</f>
        <v>-0</v>
      </c>
      <c r="AI164" s="37" t="n">
        <f aca="false">IF(ISNUMBER(AI162),-N(AI126),"")</f>
        <v>-0</v>
      </c>
      <c r="AJ164" s="37" t="n">
        <f aca="false">IF(ISNUMBER(AJ162),-N(AJ126),"")</f>
        <v>-0</v>
      </c>
      <c r="AK164" s="37" t="n">
        <f aca="false">IF(ISNUMBER(AK162),-N(AK126),"")</f>
        <v>-0</v>
      </c>
      <c r="AL164" s="37" t="n">
        <f aca="false">IF(ISNUMBER(AL162),-N(AL126),"")</f>
        <v>-0</v>
      </c>
      <c r="AM164" s="37" t="n">
        <f aca="false">IF(ISNUMBER(AM162),-N(AM126),"")</f>
        <v>-0</v>
      </c>
      <c r="AN164" s="37" t="n">
        <f aca="false">IF(ISNUMBER(AN162),-N(AN126),"")</f>
        <v>-0</v>
      </c>
      <c r="AO164" s="37" t="n">
        <f aca="false">IF(ISNUMBER(AO162),-N(AO126),"")</f>
        <v>-0</v>
      </c>
      <c r="AP164" s="37" t="n">
        <f aca="false">IF(ISNUMBER(AP162),-N(AP126),"")</f>
        <v>-0</v>
      </c>
      <c r="AQ164" s="37" t="n">
        <f aca="false">IF(ISNUMBER(AQ162),-N(AQ126),"")</f>
        <v>-0</v>
      </c>
      <c r="AR164" s="37" t="n">
        <f aca="false">IF(ISNUMBER(AR162),-N(AR126),"")</f>
        <v>-0</v>
      </c>
      <c r="AS164" s="37" t="n">
        <f aca="false">IF(ISNUMBER(AS162),-N(AS126),"")</f>
        <v>-0</v>
      </c>
      <c r="AT164" s="37" t="n">
        <f aca="false">IF(ISNUMBER(AT162),-N(AT126),"")</f>
        <v>-0</v>
      </c>
      <c r="AU164" s="37" t="n">
        <f aca="false">IF(ISNUMBER(AU162),-N(AU126),"")</f>
        <v>-0</v>
      </c>
      <c r="AV164" s="37" t="n">
        <f aca="false">IF(ISNUMBER(AV162),-N(AV126),"")</f>
        <v>-0</v>
      </c>
      <c r="AW164" s="37" t="n">
        <f aca="false">IF(ISNUMBER(AW162),-N(AW126),"")</f>
        <v>-0</v>
      </c>
      <c r="AX164" s="39" t="n">
        <f aca="false">-AX126</f>
        <v>-0</v>
      </c>
      <c r="AY164" s="39" t="n">
        <f aca="false">-AY126</f>
        <v>-0</v>
      </c>
      <c r="AZ164" s="39" t="n">
        <f aca="false">-AZ126</f>
        <v>-0</v>
      </c>
      <c r="BA164" s="39" t="n">
        <f aca="false">-BA126</f>
        <v>-0</v>
      </c>
      <c r="BB164" s="39" t="n">
        <f aca="false">-BB126</f>
        <v>-0</v>
      </c>
      <c r="BC164" s="39" t="n">
        <f aca="false">-BC126</f>
        <v>-0</v>
      </c>
      <c r="BD164" s="23"/>
      <c r="BF164" s="7"/>
      <c r="BG164" s="7"/>
      <c r="BH164" s="7"/>
      <c r="BI164" s="7"/>
    </row>
    <row r="165" customFormat="false" ht="15" hidden="false" customHeight="true" outlineLevel="0" collapsed="false">
      <c r="B165" s="40" t="s">
        <v>245</v>
      </c>
      <c r="C165" s="41" t="str">
        <f aca="false">IF(ISNUMBER(C162),C162+C164,"")</f>
        <v/>
      </c>
      <c r="D165" s="41" t="str">
        <f aca="false">IF(ISNUMBER(D162),D162+D164,"")</f>
        <v/>
      </c>
      <c r="E165" s="41" t="str">
        <f aca="false">IF(ISNUMBER(E162),E162+E164,"")</f>
        <v/>
      </c>
      <c r="F165" s="41" t="n">
        <f aca="false">IF(ISNUMBER(F162),F162+F164,"")</f>
        <v>462.9</v>
      </c>
      <c r="G165" s="41" t="n">
        <f aca="false">IF(ISNUMBER(G162),G162+G164,"")</f>
        <v>668.2</v>
      </c>
      <c r="H165" s="41" t="n">
        <f aca="false">IF(ISNUMBER(H162),H162+H164,"")</f>
        <v>885.2</v>
      </c>
      <c r="I165" s="41" t="n">
        <f aca="false">IF(ISNUMBER(I162),I162+I164,"")</f>
        <v>1118.7</v>
      </c>
      <c r="J165" s="41" t="n">
        <f aca="false">IF(ISNUMBER(J162),J162+J164,"")</f>
        <v>584.1</v>
      </c>
      <c r="K165" s="41" t="n">
        <f aca="false">IF(ISNUMBER(K162),K162+K164,"")</f>
        <v>634.1</v>
      </c>
      <c r="L165" s="41" t="n">
        <f aca="false">IF(ISNUMBER(L162),L162+L164,"")</f>
        <v>1218.2</v>
      </c>
      <c r="M165" s="41" t="n">
        <f aca="false">IF(ISNUMBER(M162),M162+M164,"")</f>
        <v>621.4</v>
      </c>
      <c r="N165" s="41" t="n">
        <f aca="false">IF(ISNUMBER(N162),N162+N164,"")</f>
        <v>677.9</v>
      </c>
      <c r="O165" s="41" t="n">
        <f aca="false">IF(ISNUMBER(O162),O162+O164,"")</f>
        <v>1299.3</v>
      </c>
      <c r="P165" s="41" t="n">
        <f aca="false">IF(ISNUMBER(P162),P162+P164,"")</f>
        <v>748.2</v>
      </c>
      <c r="Q165" s="41" t="n">
        <f aca="false">IF(ISNUMBER(Q162),Q162+Q164,"")</f>
        <v>792.5</v>
      </c>
      <c r="R165" s="41" t="n">
        <f aca="false">IF(ISNUMBER(R162),R162+R164,"")</f>
        <v>1540.7</v>
      </c>
      <c r="S165" s="41" t="n">
        <f aca="false">IF(ISNUMBER(S162),S162+S164,"")</f>
        <v>826.8</v>
      </c>
      <c r="T165" s="41" t="n">
        <f aca="false">IF(ISNUMBER(T162),T162+T164,"")</f>
        <v>869.7</v>
      </c>
      <c r="U165" s="41" t="n">
        <f aca="false">IF(ISNUMBER(U162),U162+U164,"")</f>
        <v>1696.5</v>
      </c>
      <c r="V165" s="41" t="n">
        <f aca="false">IF(ISNUMBER(V162),V162+V164,"")</f>
        <v>931.3</v>
      </c>
      <c r="W165" s="41" t="n">
        <f aca="false">IF(ISNUMBER(W162),W162+W164,"")</f>
        <v>990.7</v>
      </c>
      <c r="X165" s="41" t="n">
        <f aca="false">IF(ISNUMBER(X162),X162+X164,"")</f>
        <v>1922</v>
      </c>
      <c r="Y165" s="41" t="n">
        <f aca="false">IF(ISNUMBER(Y162),Y162+Y164,"")</f>
        <v>984.6</v>
      </c>
      <c r="Z165" s="41" t="n">
        <f aca="false">IF(ISNUMBER(Z162),Z162+Z164,"")</f>
        <v>1060.4</v>
      </c>
      <c r="AA165" s="41" t="n">
        <f aca="false">IF(ISNUMBER(AA162),AA162+AA164,"")</f>
        <v>2045</v>
      </c>
      <c r="AB165" s="41" t="n">
        <f aca="false">IF(ISNUMBER(AB162),AB162+AB164,"")</f>
        <v>1143.9</v>
      </c>
      <c r="AC165" s="41" t="n">
        <f aca="false">IF(ISNUMBER(AC162),AC162+AC164,"")</f>
        <v>1194.9</v>
      </c>
      <c r="AD165" s="41" t="n">
        <f aca="false">IF(ISNUMBER(AD162),AD162+AD164,"")</f>
        <v>2338.8</v>
      </c>
      <c r="AE165" s="41" t="n">
        <f aca="false">IF(ISNUMBER(AE162),AE162+AE164,"")</f>
        <v>534.6</v>
      </c>
      <c r="AF165" s="41" t="n">
        <f aca="false">IF(ISNUMBER(AF162),AF162+AF164,"")</f>
        <v>1446.8</v>
      </c>
      <c r="AG165" s="41" t="n">
        <f aca="false">IF(ISNUMBER(AG162),AG162+AG164,"")</f>
        <v>1981.4</v>
      </c>
      <c r="AH165" s="41" t="n">
        <f aca="false">IF(ISNUMBER(AH162),AH162+AH164,"")</f>
        <v>1721.8</v>
      </c>
      <c r="AI165" s="41" t="n">
        <f aca="false">IF(ISNUMBER(AI162),AI162+AI164,"")</f>
        <v>1809.2</v>
      </c>
      <c r="AJ165" s="41" t="n">
        <f aca="false">IF(ISNUMBER(AJ162),AJ162+AJ164,"")</f>
        <v>3531</v>
      </c>
      <c r="AK165" s="41" t="n">
        <f aca="false">IF(ISNUMBER(AK162),AK162+AK164,"")</f>
        <v>2305</v>
      </c>
      <c r="AL165" s="41" t="n">
        <f aca="false">IF(ISNUMBER(AL162),AL162+AL164,"")</f>
        <v>2392</v>
      </c>
      <c r="AM165" s="41" t="n">
        <f aca="false">IF(ISNUMBER(AM162),AM162+AM164,"")</f>
        <v>4697</v>
      </c>
      <c r="AN165" s="41" t="n">
        <f aca="false">IF(ISNUMBER(AN162),AN162+AN164,"")</f>
        <v>2947</v>
      </c>
      <c r="AO165" s="41" t="n">
        <f aca="false">IF(ISNUMBER(AO162),AO162+AO164,"")</f>
        <v>2702</v>
      </c>
      <c r="AP165" s="41" t="n">
        <f aca="false">IF(ISNUMBER(AP162),AP162+AP164,"")</f>
        <v>5649</v>
      </c>
      <c r="AQ165" s="41" t="n">
        <f aca="false">IF(ISNUMBER(AQ162),AQ162+AQ164,"")</f>
        <v>3149</v>
      </c>
      <c r="AR165" s="41" t="n">
        <f aca="false">IF(ISNUMBER(AR162),AR162+AR164,"")</f>
        <v>2999</v>
      </c>
      <c r="AS165" s="41" t="n">
        <f aca="false">IF(ISNUMBER(AS162),AS162+AS164,"")</f>
        <v>6148</v>
      </c>
      <c r="AT165" s="41" t="n">
        <f aca="false">IF(ISNUMBER(AT162),AT162+AT164,"")</f>
        <v>3327</v>
      </c>
      <c r="AU165" s="41" t="n">
        <f aca="false">IF(ISNUMBER(AU162),AU162+AU164,"")</f>
        <v>3242</v>
      </c>
      <c r="AV165" s="41" t="n">
        <f aca="false">IF(ISNUMBER(AV162),AV162+AV164,"")</f>
        <v>6569</v>
      </c>
      <c r="AW165" s="41" t="n">
        <f aca="false">IF(ISNUMBER(AW162),AW162+AW164,"")</f>
        <v>3350</v>
      </c>
      <c r="AX165" s="41" t="n">
        <f aca="false">AX162+AX164</f>
        <v>3314.08398</v>
      </c>
      <c r="AY165" s="41" t="n">
        <f aca="false">AY162+AY164</f>
        <v>6664.08398</v>
      </c>
      <c r="AZ165" s="41" t="n">
        <f aca="false">AZ162+AZ164</f>
        <v>7138.666242</v>
      </c>
      <c r="BA165" s="41" t="n">
        <f aca="false">BA162+BA164</f>
        <v>7730.02404696</v>
      </c>
      <c r="BB165" s="41" t="n">
        <f aca="false">BB162+BB164</f>
        <v>8326.0679911402</v>
      </c>
      <c r="BC165" s="41" t="n">
        <f aca="false">BC162+BC164</f>
        <v>8887.48113993642</v>
      </c>
      <c r="BD165" s="23"/>
      <c r="BF165" s="24" t="n">
        <f aca="false">IFERROR((BC165/AV165)^(1/5)-1,"n/m")</f>
        <v>0.062321291915411</v>
      </c>
      <c r="BG165" s="24" t="n">
        <f aca="false">IFERROR((AV165/AG165)^(1/5)-1,"n/m")</f>
        <v>0.270882561801848</v>
      </c>
      <c r="BH165" s="24" t="n">
        <f aca="false">IFERROR((AV165/R165)^(1/10)-1,"n/m")</f>
        <v>0.156053992564873</v>
      </c>
      <c r="BI165" s="24" t="str">
        <f aca="false">IFERROR((AV165/C165)^(1/19)-1,"n/m")</f>
        <v>n/m</v>
      </c>
    </row>
    <row r="166" customFormat="false" ht="15" hidden="false" customHeight="true" outlineLevel="0" collapsed="false">
      <c r="B166" s="26" t="s">
        <v>246</v>
      </c>
      <c r="C166" s="30" t="str">
        <f aca="false">IF(AND(ISNUMBER(C165),ISNUMBER(C119)),IFERROR(C165/C119,""),"")</f>
        <v/>
      </c>
      <c r="D166" s="30" t="str">
        <f aca="false">IF(AND(ISNUMBER(D165),ISNUMBER(D119)),IFERROR(D165/D119,""),"")</f>
        <v/>
      </c>
      <c r="E166" s="30" t="str">
        <f aca="false">IF(AND(ISNUMBER(E165),ISNUMBER(E119)),IFERROR(E165/E119,""),"")</f>
        <v/>
      </c>
      <c r="F166" s="30" t="n">
        <f aca="false">IF(AND(ISNUMBER(F165),ISNUMBER(F119)),IFERROR(F165/F119,""),"")</f>
        <v>0.241811628271431</v>
      </c>
      <c r="G166" s="30" t="n">
        <f aca="false">IF(AND(ISNUMBER(G165),ISNUMBER(G119)),IFERROR(G165/G119,""),"")</f>
        <v>0.278323892035988</v>
      </c>
      <c r="H166" s="30" t="n">
        <f aca="false">IF(AND(ISNUMBER(H165),ISNUMBER(H119)),IFERROR(H165/H119,""),"")</f>
        <v>0.311558496409968</v>
      </c>
      <c r="I166" s="30" t="n">
        <f aca="false">IF(AND(ISNUMBER(I165),ISNUMBER(I119)),IFERROR(I165/I119,""),"")</f>
        <v>0.321087224821331</v>
      </c>
      <c r="J166" s="30" t="n">
        <f aca="false">IF(AND(ISNUMBER(J165),ISNUMBER(J119)),IFERROR(J165/J119,""),"")</f>
        <v>0.330522861023087</v>
      </c>
      <c r="K166" s="30" t="n">
        <f aca="false">IF(AND(ISNUMBER(K165),ISNUMBER(K119)),IFERROR(K165/K119,""),"")</f>
        <v>0.319027973435299</v>
      </c>
      <c r="L166" s="30" t="n">
        <f aca="false">IF(AND(ISNUMBER(L165),ISNUMBER(L119)),IFERROR(L165/L119,""),"")</f>
        <v>0.324438052625972</v>
      </c>
      <c r="M166" s="30" t="n">
        <f aca="false">IF(AND(ISNUMBER(M165),ISNUMBER(M119)),IFERROR(M165/M119,""),"")</f>
        <v>0.325869211809744</v>
      </c>
      <c r="N166" s="30" t="n">
        <f aca="false">IF(AND(ISNUMBER(N165),ISNUMBER(N119)),IFERROR(N165/N119,""),"")</f>
        <v>0.306506307365375</v>
      </c>
      <c r="O166" s="30" t="n">
        <f aca="false">IF(AND(ISNUMBER(O165),ISNUMBER(O119)),IFERROR(O165/O119,""),"")</f>
        <v>0.315471276647405</v>
      </c>
      <c r="P166" s="30" t="n">
        <f aca="false">IF(AND(ISNUMBER(P165),ISNUMBER(P119)),IFERROR(P165/P119,""),"")</f>
        <v>0.325389231973558</v>
      </c>
      <c r="Q166" s="30" t="n">
        <f aca="false">IF(AND(ISNUMBER(Q165),ISNUMBER(Q119)),IFERROR(Q165/Q119,""),"")</f>
        <v>0.311811457349701</v>
      </c>
      <c r="R166" s="30" t="n">
        <f aca="false">IF(AND(ISNUMBER(R165),ISNUMBER(R119)),IFERROR(R165/R119,""),"")</f>
        <v>0.318260689940095</v>
      </c>
      <c r="S166" s="30" t="n">
        <f aca="false">IF(AND(ISNUMBER(S165),ISNUMBER(S119)),IFERROR(S165/S119,""),"")</f>
        <v>0.338796918537945</v>
      </c>
      <c r="T166" s="30" t="n">
        <f aca="false">IF(AND(ISNUMBER(T165),ISNUMBER(T119)),IFERROR(T165/T119,""),"")</f>
        <v>0.314903323919183</v>
      </c>
      <c r="U166" s="30" t="n">
        <f aca="false">IF(AND(ISNUMBER(U165),ISNUMBER(U119)),IFERROR(U165/U119,""),"")</f>
        <v>0.32611202952597</v>
      </c>
      <c r="V166" s="30" t="n">
        <f aca="false">IF(AND(ISNUMBER(V165),ISNUMBER(V119)),IFERROR(V165/V119,""),"")</f>
        <v>0.343260476945192</v>
      </c>
      <c r="W166" s="30" t="n">
        <f aca="false">IF(AND(ISNUMBER(W165),ISNUMBER(W119)),IFERROR(W165/W119,""),"")</f>
        <v>0.349317725044956</v>
      </c>
      <c r="X166" s="30" t="n">
        <f aca="false">IF(AND(ISNUMBER(X165),ISNUMBER(X119)),IFERROR(X165/X119,""),"")</f>
        <v>0.346356231528869</v>
      </c>
      <c r="Y166" s="30" t="n">
        <f aca="false">IF(AND(ISNUMBER(Y165),ISNUMBER(Y119)),IFERROR(Y165/Y119,""),"")</f>
        <v>0.345062031260952</v>
      </c>
      <c r="Z166" s="30" t="n">
        <f aca="false">IF(AND(ISNUMBER(Z165),ISNUMBER(Z119)),IFERROR(Z165/Z119,""),"")</f>
        <v>0.34066887268288</v>
      </c>
      <c r="AA166" s="30" t="n">
        <f aca="false">IF(AND(ISNUMBER(AA165),ISNUMBER(AA119)),IFERROR(AA165/AA119,""),"")</f>
        <v>0.342769983741473</v>
      </c>
      <c r="AB166" s="30" t="n">
        <f aca="false">IF(AND(ISNUMBER(AB165),ISNUMBER(AB119)),IFERROR(AB165/AB119,""),"")</f>
        <v>0.348304000974362</v>
      </c>
      <c r="AC166" s="30" t="n">
        <f aca="false">IF(AND(ISNUMBER(AC165),ISNUMBER(AC119)),IFERROR(AC165/AC119,""),"")</f>
        <v>0.331990442320516</v>
      </c>
      <c r="AD166" s="30" t="n">
        <f aca="false">IF(AND(ISNUMBER(AD165),ISNUMBER(AD119)),IFERROR(AD165/AD119,""),"")</f>
        <v>0.339773948920592</v>
      </c>
      <c r="AE166" s="30" t="n">
        <f aca="false">IF(AND(ISNUMBER(AE165),ISNUMBER(AE119)),IFERROR(AE165/AE119,""),"")</f>
        <v>0.214871382636656</v>
      </c>
      <c r="AF166" s="30" t="n">
        <f aca="false">IF(AND(ISNUMBER(AF165),ISNUMBER(AF119)),IFERROR(AF165/AF119,""),"")</f>
        <v>0.370841236479213</v>
      </c>
      <c r="AG166" s="30" t="n">
        <f aca="false">IF(AND(ISNUMBER(AG165),ISNUMBER(AG119)),IFERROR(AG165/AG119,""),"")</f>
        <v>0.310107365323818</v>
      </c>
      <c r="AH166" s="30" t="n">
        <f aca="false">IF(AND(ISNUMBER(AH165),ISNUMBER(AH119)),IFERROR(AH165/AH119,""),"")</f>
        <v>0.406554744870251</v>
      </c>
      <c r="AI166" s="30" t="n">
        <f aca="false">IF(AND(ISNUMBER(AI165),ISNUMBER(AI119)),IFERROR(AI165/AI119,""),"")</f>
        <v>0.381132949925214</v>
      </c>
      <c r="AJ166" s="30" t="n">
        <f aca="false">IF(AND(ISNUMBER(AJ165),ISNUMBER(AJ119)),IFERROR(AJ165/AJ119,""),"")</f>
        <v>0.39311957247829</v>
      </c>
      <c r="AK166" s="30" t="n">
        <f aca="false">IF(AND(ISNUMBER(AK165),ISNUMBER(AK119)),IFERROR(AK165/AK119,""),"")</f>
        <v>0.421004566210046</v>
      </c>
      <c r="AL166" s="30" t="n">
        <f aca="false">IF(AND(ISNUMBER(AL165),ISNUMBER(AL119)),IFERROR(AL165/AL119,""),"")</f>
        <v>0.390403133670638</v>
      </c>
      <c r="AM166" s="30" t="n">
        <f aca="false">IF(AND(ISNUMBER(AM165),ISNUMBER(AM119)),IFERROR(AM165/AM119,""),"")</f>
        <v>0.404843992415101</v>
      </c>
      <c r="AN166" s="30" t="n">
        <f aca="false">IF(AND(ISNUMBER(AN165),ISNUMBER(AN119)),IFERROR(AN165/AN119,""),"")</f>
        <v>0.43998208420424</v>
      </c>
      <c r="AO166" s="30" t="n">
        <f aca="false">IF(AND(ISNUMBER(AO165),ISNUMBER(AO119)),IFERROR(AO165/AO119,""),"")</f>
        <v>0.401545549115768</v>
      </c>
      <c r="AP166" s="30" t="n">
        <f aca="false">IF(AND(ISNUMBER(AP165),ISNUMBER(AP119)),IFERROR(AP165/AP119,""),"")</f>
        <v>0.420719445892604</v>
      </c>
      <c r="AQ166" s="30" t="n">
        <f aca="false">IF(AND(ISNUMBER(AQ165),ISNUMBER(AQ119)),IFERROR(AQ165/AQ119,""),"")</f>
        <v>0.419642857142857</v>
      </c>
      <c r="AR166" s="30" t="n">
        <f aca="false">IF(AND(ISNUMBER(AR165),ISNUMBER(AR119)),IFERROR(AR165/AR119,""),"")</f>
        <v>0.391207931124446</v>
      </c>
      <c r="AS166" s="30" t="n">
        <f aca="false">IF(AND(ISNUMBER(AS165),ISNUMBER(AS119)),IFERROR(AS165/AS119,""),"")</f>
        <v>0.405273566249176</v>
      </c>
      <c r="AT166" s="30" t="n">
        <f aca="false">IF(AND(ISNUMBER(AT165),ISNUMBER(AT119)),IFERROR(AT165/AT119,""),"")</f>
        <v>0.41411501120239</v>
      </c>
      <c r="AU166" s="30" t="n">
        <f aca="false">IF(AND(ISNUMBER(AU165),ISNUMBER(AU119)),IFERROR(AU165/AU119,""),"")</f>
        <v>0.406877510040161</v>
      </c>
      <c r="AV166" s="30" t="n">
        <f aca="false">IF(AND(ISNUMBER(AV165),ISNUMBER(AV119)),IFERROR(AV165/AV119,""),"")</f>
        <v>0.410511186101737</v>
      </c>
      <c r="AW166" s="30" t="n">
        <f aca="false">IF(AND(ISNUMBER(AW165),ISNUMBER(AW119)),IFERROR(AW165/AW119,""),"")</f>
        <v>0.410388337620973</v>
      </c>
      <c r="AX166" s="28" t="n">
        <f aca="false">IF(AND(ISNUMBER(AX165),ISNUMBER(AX119)),IFERROR(AX165/AX119,""),"")</f>
        <v>0.402</v>
      </c>
      <c r="AY166" s="28" t="n">
        <f aca="false">IF(AND(ISNUMBER(AY165),ISNUMBER(AY119)),IFERROR(AY165/AY119,""),"")</f>
        <v>0.406173465090184</v>
      </c>
      <c r="AZ166" s="28" t="n">
        <f aca="false">IF(AND(ISNUMBER(AZ165),ISNUMBER(AZ119)),IFERROR(AZ165/AZ119,""),"")</f>
        <v>0.405</v>
      </c>
      <c r="BA166" s="28" t="n">
        <f aca="false">IF(AND(ISNUMBER(BA165),ISNUMBER(BA119)),IFERROR(BA165/BA119,""),"")</f>
        <v>0.408</v>
      </c>
      <c r="BB166" s="28" t="n">
        <f aca="false">IF(AND(ISNUMBER(BB165),ISNUMBER(BB119)),IFERROR(BB165/BB119,""),"")</f>
        <v>0.41</v>
      </c>
      <c r="BC166" s="28" t="n">
        <f aca="false">IF(AND(ISNUMBER(BC165),ISNUMBER(BC119)),IFERROR(BC165/BC119,""),"")</f>
        <v>0.41</v>
      </c>
      <c r="BD166" s="23"/>
      <c r="BF166" s="32" t="n">
        <f aca="false">IFERROR(AVERAGE(AY166,AZ166,BA166,BB166,BC166),"n/m")</f>
        <v>0.407834693018037</v>
      </c>
      <c r="BG166" s="32" t="n">
        <f aca="false">IFERROR(AVERAGE(AJ166,AM166,AP166,AS166,AV166),"n/m")</f>
        <v>0.406893552627382</v>
      </c>
      <c r="BH166" s="32" t="n">
        <f aca="false">IFERROR(AVERAGE(U166,X166,AA166,AD166,AG166,AJ166,AM166,AP166,AS166,AV166),"n/m")</f>
        <v>0.369958732217763</v>
      </c>
      <c r="BI166" s="32" t="n">
        <f aca="false">IFERROR(AVERAGE(C166,D166,E166,F166,G166,H166,I166,L166,O166,R166,U166,X166,AA166,AD166,AG166,AJ166,AM166,AP166,AS166,AV166),"n/m")</f>
        <v>0.341796387231166</v>
      </c>
    </row>
    <row r="167" customFormat="false" ht="15" hidden="false" customHeight="true" outlineLevel="0" collapsed="false">
      <c r="B167" s="36" t="s">
        <v>247</v>
      </c>
      <c r="C167" s="38" t="n">
        <v>401.1</v>
      </c>
      <c r="D167" s="38" t="n">
        <v>414.5</v>
      </c>
      <c r="E167" s="38" t="n">
        <v>449.2</v>
      </c>
      <c r="F167" s="38" t="n">
        <v>462.9</v>
      </c>
      <c r="G167" s="38" t="n">
        <v>668.2</v>
      </c>
      <c r="H167" s="38" t="n">
        <v>885.2</v>
      </c>
      <c r="I167" s="38" t="n">
        <v>1118.6</v>
      </c>
      <c r="J167" s="38" t="n">
        <v>584.1</v>
      </c>
      <c r="K167" s="37" t="n">
        <f aca="false">L167-J167</f>
        <v>633.9</v>
      </c>
      <c r="L167" s="38" t="n">
        <v>1218</v>
      </c>
      <c r="M167" s="38" t="n">
        <v>621.4</v>
      </c>
      <c r="N167" s="37" t="n">
        <f aca="false">O167-M167</f>
        <v>677.9</v>
      </c>
      <c r="O167" s="38" t="n">
        <v>1299.3</v>
      </c>
      <c r="P167" s="38" t="n">
        <v>748.2</v>
      </c>
      <c r="Q167" s="37" t="n">
        <f aca="false">R167-P167</f>
        <v>792.5</v>
      </c>
      <c r="R167" s="38" t="n">
        <v>1540.7</v>
      </c>
      <c r="S167" s="38" t="n">
        <v>826.8</v>
      </c>
      <c r="T167" s="37" t="n">
        <f aca="false">U167-S167</f>
        <v>869.7</v>
      </c>
      <c r="U167" s="38" t="n">
        <v>1696.5</v>
      </c>
      <c r="V167" s="38" t="n">
        <v>931.3</v>
      </c>
      <c r="W167" s="37" t="n">
        <f aca="false">X167-V167</f>
        <v>990.7</v>
      </c>
      <c r="X167" s="38" t="n">
        <v>1922</v>
      </c>
      <c r="Y167" s="38" t="n">
        <v>984.5</v>
      </c>
      <c r="Z167" s="37" t="n">
        <f aca="false">AA167-Y167</f>
        <v>1060.5</v>
      </c>
      <c r="AA167" s="38" t="n">
        <v>2045</v>
      </c>
      <c r="AB167" s="38" t="n">
        <v>1143.9</v>
      </c>
      <c r="AC167" s="37" t="n">
        <f aca="false">AD167-AB167</f>
        <v>1195</v>
      </c>
      <c r="AD167" s="38" t="n">
        <v>2338.9</v>
      </c>
      <c r="AE167" s="38" t="n">
        <v>534.7</v>
      </c>
      <c r="AF167" s="37" t="n">
        <f aca="false">AG167-AE167</f>
        <v>1446.7</v>
      </c>
      <c r="AG167" s="38" t="n">
        <v>1981.4</v>
      </c>
      <c r="AH167" s="38" t="n">
        <v>1721.7</v>
      </c>
      <c r="AI167" s="37" t="n">
        <f aca="false">AJ167-AH167</f>
        <v>1808.3</v>
      </c>
      <c r="AJ167" s="38" t="n">
        <v>3530</v>
      </c>
      <c r="AK167" s="38" t="n">
        <v>2304</v>
      </c>
      <c r="AL167" s="37" t="n">
        <f aca="false">AM167-AK167</f>
        <v>2393</v>
      </c>
      <c r="AM167" s="38" t="n">
        <v>4697</v>
      </c>
      <c r="AN167" s="38" t="n">
        <v>2947</v>
      </c>
      <c r="AO167" s="37" t="n">
        <f aca="false">AP167-AN167</f>
        <v>2703</v>
      </c>
      <c r="AP167" s="38" t="n">
        <v>5650</v>
      </c>
      <c r="AQ167" s="38" t="n">
        <v>3148</v>
      </c>
      <c r="AR167" s="37" t="n">
        <f aca="false">AS167-AQ167</f>
        <v>3002</v>
      </c>
      <c r="AS167" s="38" t="n">
        <v>6150</v>
      </c>
      <c r="AT167" s="38" t="n">
        <v>3327</v>
      </c>
      <c r="AU167" s="37" t="n">
        <f aca="false">AV167-AT167</f>
        <v>3242</v>
      </c>
      <c r="AV167" s="38" t="n">
        <v>6569</v>
      </c>
      <c r="AW167" s="38" t="n">
        <v>3351</v>
      </c>
      <c r="AX167" s="39"/>
      <c r="AY167" s="39"/>
      <c r="AZ167" s="39"/>
      <c r="BA167" s="39"/>
      <c r="BB167" s="39"/>
      <c r="BC167" s="39"/>
      <c r="BD167" s="23"/>
      <c r="BF167" s="7"/>
      <c r="BG167" s="7"/>
      <c r="BH167" s="7"/>
      <c r="BI167" s="7"/>
    </row>
    <row r="168" customFormat="false" ht="15" hidden="false" customHeight="true" outlineLevel="0" collapsed="false">
      <c r="B168" s="43" t="s">
        <v>248</v>
      </c>
      <c r="C168" s="37" t="str">
        <f aca="false">IF(AND(ISNUMBER(C165),ISNUMBER(C167)),ROUND(C165-C167,0),"n/p")</f>
        <v>n/p</v>
      </c>
      <c r="D168" s="37" t="str">
        <f aca="false">IF(AND(ISNUMBER(D165),ISNUMBER(D167)),ROUND(D165-D167,0),"n/p")</f>
        <v>n/p</v>
      </c>
      <c r="E168" s="37" t="str">
        <f aca="false">IF(AND(ISNUMBER(E165),ISNUMBER(E167)),ROUND(E165-E167,0),"n/p")</f>
        <v>n/p</v>
      </c>
      <c r="F168" s="37" t="n">
        <f aca="false">IF(AND(ISNUMBER(F165),ISNUMBER(F167)),ROUND(F165-F167,0),"n/p")</f>
        <v>0</v>
      </c>
      <c r="G168" s="37" t="n">
        <f aca="false">IF(AND(ISNUMBER(G165),ISNUMBER(G167)),ROUND(G165-G167,0),"n/p")</f>
        <v>0</v>
      </c>
      <c r="H168" s="37" t="n">
        <f aca="false">IF(AND(ISNUMBER(H165),ISNUMBER(H167)),ROUND(H165-H167,0),"n/p")</f>
        <v>0</v>
      </c>
      <c r="I168" s="37" t="n">
        <f aca="false">IF(AND(ISNUMBER(I165),ISNUMBER(I167)),ROUND(I165-I167,0),"n/p")</f>
        <v>0</v>
      </c>
      <c r="J168" s="37" t="n">
        <f aca="false">IF(AND(ISNUMBER(J165),ISNUMBER(J167)),ROUND(J165-J167,0),"n/p")</f>
        <v>0</v>
      </c>
      <c r="K168" s="37" t="n">
        <f aca="false">IF(AND(ISNUMBER(K165),ISNUMBER(K167)),ROUND(K165-K167,0),"n/p")</f>
        <v>0</v>
      </c>
      <c r="L168" s="37" t="n">
        <f aca="false">IF(AND(ISNUMBER(L165),ISNUMBER(L167)),ROUND(L165-L167,0),"n/p")</f>
        <v>0</v>
      </c>
      <c r="M168" s="37" t="n">
        <f aca="false">IF(AND(ISNUMBER(M165),ISNUMBER(M167)),ROUND(M165-M167,0),"n/p")</f>
        <v>0</v>
      </c>
      <c r="N168" s="37" t="n">
        <f aca="false">IF(AND(ISNUMBER(N165),ISNUMBER(N167)),ROUND(N165-N167,0),"n/p")</f>
        <v>0</v>
      </c>
      <c r="O168" s="37" t="n">
        <f aca="false">IF(AND(ISNUMBER(O165),ISNUMBER(O167)),ROUND(O165-O167,0),"n/p")</f>
        <v>0</v>
      </c>
      <c r="P168" s="37" t="n">
        <f aca="false">IF(AND(ISNUMBER(P165),ISNUMBER(P167)),ROUND(P165-P167,0),"n/p")</f>
        <v>0</v>
      </c>
      <c r="Q168" s="37" t="n">
        <f aca="false">IF(AND(ISNUMBER(Q165),ISNUMBER(Q167)),ROUND(Q165-Q167,0),"n/p")</f>
        <v>0</v>
      </c>
      <c r="R168" s="37" t="n">
        <f aca="false">IF(AND(ISNUMBER(R165),ISNUMBER(R167)),ROUND(R165-R167,0),"n/p")</f>
        <v>0</v>
      </c>
      <c r="S168" s="37" t="n">
        <f aca="false">IF(AND(ISNUMBER(S165),ISNUMBER(S167)),ROUND(S165-S167,0),"n/p")</f>
        <v>0</v>
      </c>
      <c r="T168" s="37" t="n">
        <f aca="false">IF(AND(ISNUMBER(T165),ISNUMBER(T167)),ROUND(T165-T167,0),"n/p")</f>
        <v>0</v>
      </c>
      <c r="U168" s="37" t="n">
        <f aca="false">IF(AND(ISNUMBER(U165),ISNUMBER(U167)),ROUND(U165-U167,0),"n/p")</f>
        <v>0</v>
      </c>
      <c r="V168" s="37" t="n">
        <f aca="false">IF(AND(ISNUMBER(V165),ISNUMBER(V167)),ROUND(V165-V167,0),"n/p")</f>
        <v>0</v>
      </c>
      <c r="W168" s="37" t="n">
        <f aca="false">IF(AND(ISNUMBER(W165),ISNUMBER(W167)),ROUND(W165-W167,0),"n/p")</f>
        <v>0</v>
      </c>
      <c r="X168" s="37" t="n">
        <f aca="false">IF(AND(ISNUMBER(X165),ISNUMBER(X167)),ROUND(X165-X167,0),"n/p")</f>
        <v>0</v>
      </c>
      <c r="Y168" s="37" t="n">
        <f aca="false">IF(AND(ISNUMBER(Y165),ISNUMBER(Y167)),ROUND(Y165-Y167,0),"n/p")</f>
        <v>0</v>
      </c>
      <c r="Z168" s="37" t="n">
        <f aca="false">IF(AND(ISNUMBER(Z165),ISNUMBER(Z167)),ROUND(Z165-Z167,0),"n/p")</f>
        <v>-0</v>
      </c>
      <c r="AA168" s="37" t="n">
        <f aca="false">IF(AND(ISNUMBER(AA165),ISNUMBER(AA167)),ROUND(AA165-AA167,0),"n/p")</f>
        <v>0</v>
      </c>
      <c r="AB168" s="37" t="n">
        <f aca="false">IF(AND(ISNUMBER(AB165),ISNUMBER(AB167)),ROUND(AB165-AB167,0),"n/p")</f>
        <v>0</v>
      </c>
      <c r="AC168" s="37" t="n">
        <f aca="false">IF(AND(ISNUMBER(AC165),ISNUMBER(AC167)),ROUND(AC165-AC167,0),"n/p")</f>
        <v>-0</v>
      </c>
      <c r="AD168" s="37" t="n">
        <f aca="false">IF(AND(ISNUMBER(AD165),ISNUMBER(AD167)),ROUND(AD165-AD167,0),"n/p")</f>
        <v>-0</v>
      </c>
      <c r="AE168" s="37" t="n">
        <f aca="false">IF(AND(ISNUMBER(AE165),ISNUMBER(AE167)),ROUND(AE165-AE167,0),"n/p")</f>
        <v>-0</v>
      </c>
      <c r="AF168" s="37" t="n">
        <f aca="false">IF(AND(ISNUMBER(AF165),ISNUMBER(AF167)),ROUND(AF165-AF167,0),"n/p")</f>
        <v>0</v>
      </c>
      <c r="AG168" s="37" t="n">
        <f aca="false">IF(AND(ISNUMBER(AG165),ISNUMBER(AG167)),ROUND(AG165-AG167,0),"n/p")</f>
        <v>0</v>
      </c>
      <c r="AH168" s="37" t="n">
        <f aca="false">IF(AND(ISNUMBER(AH165),ISNUMBER(AH167)),ROUND(AH165-AH167,0),"n/p")</f>
        <v>0</v>
      </c>
      <c r="AI168" s="37" t="n">
        <f aca="false">IF(AND(ISNUMBER(AI165),ISNUMBER(AI167)),ROUND(AI165-AI167,0),"n/p")</f>
        <v>1</v>
      </c>
      <c r="AJ168" s="37" t="n">
        <f aca="false">IF(AND(ISNUMBER(AJ165),ISNUMBER(AJ167)),ROUND(AJ165-AJ167,0),"n/p")</f>
        <v>1</v>
      </c>
      <c r="AK168" s="37" t="n">
        <f aca="false">IF(AND(ISNUMBER(AK165),ISNUMBER(AK167)),ROUND(AK165-AK167,0),"n/p")</f>
        <v>1</v>
      </c>
      <c r="AL168" s="37" t="n">
        <f aca="false">IF(AND(ISNUMBER(AL165),ISNUMBER(AL167)),ROUND(AL165-AL167,0),"n/p")</f>
        <v>-1</v>
      </c>
      <c r="AM168" s="37" t="n">
        <f aca="false">IF(AND(ISNUMBER(AM165),ISNUMBER(AM167)),ROUND(AM165-AM167,0),"n/p")</f>
        <v>0</v>
      </c>
      <c r="AN168" s="37" t="n">
        <f aca="false">IF(AND(ISNUMBER(AN165),ISNUMBER(AN167)),ROUND(AN165-AN167,0),"n/p")</f>
        <v>0</v>
      </c>
      <c r="AO168" s="37" t="n">
        <f aca="false">IF(AND(ISNUMBER(AO165),ISNUMBER(AO167)),ROUND(AO165-AO167,0),"n/p")</f>
        <v>-1</v>
      </c>
      <c r="AP168" s="37" t="n">
        <f aca="false">IF(AND(ISNUMBER(AP165),ISNUMBER(AP167)),ROUND(AP165-AP167,0),"n/p")</f>
        <v>-1</v>
      </c>
      <c r="AQ168" s="37" t="n">
        <f aca="false">IF(AND(ISNUMBER(AQ165),ISNUMBER(AQ167)),ROUND(AQ165-AQ167,0),"n/p")</f>
        <v>1</v>
      </c>
      <c r="AR168" s="37" t="n">
        <f aca="false">IF(AND(ISNUMBER(AR165),ISNUMBER(AR167)),ROUND(AR165-AR167,0),"n/p")</f>
        <v>-3</v>
      </c>
      <c r="AS168" s="37" t="n">
        <f aca="false">IF(AND(ISNUMBER(AS165),ISNUMBER(AS167)),ROUND(AS165-AS167,0),"n/p")</f>
        <v>-2</v>
      </c>
      <c r="AT168" s="37" t="n">
        <f aca="false">IF(AND(ISNUMBER(AT165),ISNUMBER(AT167)),ROUND(AT165-AT167,0),"n/p")</f>
        <v>0</v>
      </c>
      <c r="AU168" s="37" t="n">
        <f aca="false">IF(AND(ISNUMBER(AU165),ISNUMBER(AU167)),ROUND(AU165-AU167,0),"n/p")</f>
        <v>0</v>
      </c>
      <c r="AV168" s="37" t="n">
        <f aca="false">IF(AND(ISNUMBER(AV165),ISNUMBER(AV167)),ROUND(AV165-AV167,0),"n/p")</f>
        <v>0</v>
      </c>
      <c r="AW168" s="37" t="n">
        <f aca="false">IF(AND(ISNUMBER(AW165),ISNUMBER(AW167)),ROUND(AW165-AW167,0),"n/p")</f>
        <v>-1</v>
      </c>
      <c r="AX168" s="39"/>
      <c r="AY168" s="39"/>
      <c r="AZ168" s="39"/>
      <c r="BA168" s="39"/>
      <c r="BB168" s="39"/>
      <c r="BC168" s="39"/>
      <c r="BD168" s="23"/>
      <c r="BF168" s="7"/>
      <c r="BG168" s="7"/>
      <c r="BH168" s="7"/>
      <c r="BI168" s="7"/>
    </row>
    <row r="169" customFormat="false" ht="15" hidden="false" customHeight="true" outlineLevel="0" collapsed="false">
      <c r="B169" s="13" t="s">
        <v>249</v>
      </c>
      <c r="C169" s="37" t="str">
        <f aca="false">IF(ISNUMBER(C144),C144,"")</f>
        <v/>
      </c>
      <c r="D169" s="37" t="str">
        <f aca="false">IF(ISNUMBER(D144),D144,"")</f>
        <v/>
      </c>
      <c r="E169" s="37" t="str">
        <f aca="false">IF(ISNUMBER(E144),E144,"")</f>
        <v/>
      </c>
      <c r="F169" s="37" t="n">
        <f aca="false">IF(ISNUMBER(F144),F144,"")</f>
        <v>84.5</v>
      </c>
      <c r="G169" s="37" t="n">
        <f aca="false">IF(ISNUMBER(G144),G144,"")</f>
        <v>100.9</v>
      </c>
      <c r="H169" s="37" t="n">
        <f aca="false">IF(ISNUMBER(H144),H144,"")</f>
        <v>113.2</v>
      </c>
      <c r="I169" s="37" t="n">
        <f aca="false">IF(ISNUMBER(I144),I144,"")</f>
        <v>120.1</v>
      </c>
      <c r="J169" s="37" t="n">
        <f aca="false">IF(ISNUMBER(J144),J144,"")</f>
        <v>63.4</v>
      </c>
      <c r="K169" s="37" t="n">
        <f aca="false">IF(ISNUMBER(K144),K144,"")</f>
        <v>75.1</v>
      </c>
      <c r="L169" s="37" t="n">
        <f aca="false">IF(ISNUMBER(L144),L144,"")</f>
        <v>138.5</v>
      </c>
      <c r="M169" s="37" t="n">
        <f aca="false">IF(ISNUMBER(M144),M144,"")</f>
        <v>71.9</v>
      </c>
      <c r="N169" s="37" t="n">
        <f aca="false">IF(ISNUMBER(N144),N144,"")</f>
        <v>96.7</v>
      </c>
      <c r="O169" s="37" t="n">
        <f aca="false">IF(ISNUMBER(O144),O144,"")</f>
        <v>168.6</v>
      </c>
      <c r="P169" s="37" t="n">
        <f aca="false">IF(ISNUMBER(P144),P144,"")</f>
        <v>86.7</v>
      </c>
      <c r="Q169" s="37" t="n">
        <f aca="false">IF(ISNUMBER(Q144),Q144,"")</f>
        <v>119.8</v>
      </c>
      <c r="R169" s="37" t="n">
        <f aca="false">IF(ISNUMBER(R144),R144,"")</f>
        <v>206.5</v>
      </c>
      <c r="S169" s="37" t="n">
        <f aca="false">IF(ISNUMBER(S144),S144,"")</f>
        <v>107.1</v>
      </c>
      <c r="T169" s="37" t="n">
        <f aca="false">IF(ISNUMBER(T144),T144,"")</f>
        <v>125</v>
      </c>
      <c r="U169" s="37" t="n">
        <f aca="false">IF(ISNUMBER(U144),U144,"")</f>
        <v>232.1</v>
      </c>
      <c r="V169" s="37" t="n">
        <f aca="false">IF(ISNUMBER(V144),V144,"")</f>
        <v>117</v>
      </c>
      <c r="W169" s="37" t="n">
        <f aca="false">IF(ISNUMBER(W144),W144,"")</f>
        <v>126</v>
      </c>
      <c r="X169" s="37" t="n">
        <f aca="false">IF(ISNUMBER(X144),X144,"")</f>
        <v>243</v>
      </c>
      <c r="Y169" s="37" t="n">
        <f aca="false">IF(ISNUMBER(Y144),Y144,"")</f>
        <v>139.3</v>
      </c>
      <c r="Z169" s="37" t="n">
        <f aca="false">IF(ISNUMBER(Z144),Z144,"")</f>
        <v>120.7</v>
      </c>
      <c r="AA169" s="37" t="n">
        <f aca="false">IF(ISNUMBER(AA144),AA144,"")</f>
        <v>260</v>
      </c>
      <c r="AB169" s="37" t="n">
        <f aca="false">IF(ISNUMBER(AB144),AB144,"")</f>
        <v>137.4</v>
      </c>
      <c r="AC169" s="37" t="n">
        <f aca="false">IF(ISNUMBER(AC144),AC144,"")</f>
        <v>127.2</v>
      </c>
      <c r="AD169" s="37" t="n">
        <f aca="false">IF(ISNUMBER(AD144),AD144,"")</f>
        <v>264.6</v>
      </c>
      <c r="AE169" s="37" t="n">
        <f aca="false">IF(ISNUMBER(AE144),AE144,"")</f>
        <v>133.6</v>
      </c>
      <c r="AF169" s="37" t="n">
        <f aca="false">IF(ISNUMBER(AF144),AF144,"")</f>
        <v>191.7</v>
      </c>
      <c r="AG169" s="37" t="n">
        <f aca="false">IF(ISNUMBER(AG144),AG144,"")</f>
        <v>325.3</v>
      </c>
      <c r="AH169" s="37" t="n">
        <f aca="false">IF(ISNUMBER(AH144),AH144,"")</f>
        <v>189.3</v>
      </c>
      <c r="AI169" s="37" t="n">
        <f aca="false">IF(ISNUMBER(AI144),AI144,"")</f>
        <v>187.7</v>
      </c>
      <c r="AJ169" s="37" t="n">
        <f aca="false">IF(ISNUMBER(AJ144),AJ144,"")</f>
        <v>377</v>
      </c>
      <c r="AK169" s="37" t="n">
        <f aca="false">IF(ISNUMBER(AK144),AK144,"")</f>
        <v>231</v>
      </c>
      <c r="AL169" s="37" t="n">
        <f aca="false">IF(ISNUMBER(AL144),AL144,"")</f>
        <v>233</v>
      </c>
      <c r="AM169" s="37" t="n">
        <f aca="false">IF(ISNUMBER(AM144),AM144,"")</f>
        <v>464</v>
      </c>
      <c r="AN169" s="37" t="n">
        <f aca="false">IF(ISNUMBER(AN144),AN144,"")</f>
        <v>205</v>
      </c>
      <c r="AO169" s="37" t="n">
        <f aca="false">IF(ISNUMBER(AO144),AO144,"")</f>
        <v>279</v>
      </c>
      <c r="AP169" s="37" t="n">
        <f aca="false">IF(ISNUMBER(AP144),AP144,"")</f>
        <v>484</v>
      </c>
      <c r="AQ169" s="37" t="n">
        <f aca="false">IF(ISNUMBER(AQ144),AQ144,"")</f>
        <v>218</v>
      </c>
      <c r="AR169" s="37" t="n">
        <f aca="false">IF(ISNUMBER(AR144),AR144,"")</f>
        <v>293</v>
      </c>
      <c r="AS169" s="37" t="n">
        <f aca="false">IF(ISNUMBER(AS144),AS144,"")</f>
        <v>511</v>
      </c>
      <c r="AT169" s="37" t="n">
        <f aca="false">IF(ISNUMBER(AT144),AT144,"")</f>
        <v>291</v>
      </c>
      <c r="AU169" s="37" t="n">
        <f aca="false">IF(ISNUMBER(AU144),AU144,"")</f>
        <v>284</v>
      </c>
      <c r="AV169" s="37" t="n">
        <f aca="false">IF(ISNUMBER(AV144),AV144,"")</f>
        <v>575</v>
      </c>
      <c r="AW169" s="37" t="n">
        <f aca="false">IF(ISNUMBER(AW144),AW144,"")</f>
        <v>335</v>
      </c>
      <c r="AX169" s="39" t="n">
        <f aca="false">AX144</f>
        <v>272.05863</v>
      </c>
      <c r="AY169" s="39" t="n">
        <f aca="false">AY144</f>
        <v>607.05863</v>
      </c>
      <c r="AZ169" s="39" t="n">
        <f aca="false">AZ144</f>
        <v>652.1744468</v>
      </c>
      <c r="BA169" s="39" t="n">
        <f aca="false">BA144</f>
        <v>701.00708269</v>
      </c>
      <c r="BB169" s="39" t="n">
        <f aca="false">BB144</f>
        <v>751.37686749314</v>
      </c>
      <c r="BC169" s="39" t="n">
        <f aca="false">BC144</f>
        <v>802.040980921091</v>
      </c>
      <c r="BD169" s="23"/>
      <c r="BF169" s="7"/>
      <c r="BG169" s="7"/>
      <c r="BH169" s="7"/>
      <c r="BI169" s="7"/>
    </row>
    <row r="170" customFormat="false" ht="15" hidden="false" customHeight="true" outlineLevel="0" collapsed="false">
      <c r="B170" s="13" t="s">
        <v>250</v>
      </c>
      <c r="C170" s="37" t="str">
        <f aca="false">IF(ISNUMBER(C144),N(C143),"")</f>
        <v/>
      </c>
      <c r="D170" s="37" t="str">
        <f aca="false">IF(ISNUMBER(D144),N(D143),"")</f>
        <v/>
      </c>
      <c r="E170" s="37" t="str">
        <f aca="false">IF(ISNUMBER(E144),N(E143),"")</f>
        <v/>
      </c>
      <c r="F170" s="37" t="n">
        <f aca="false">IF(ISNUMBER(F144),N(F143),"")</f>
        <v>0</v>
      </c>
      <c r="G170" s="37" t="n">
        <f aca="false">IF(ISNUMBER(G144),N(G143),"")</f>
        <v>0</v>
      </c>
      <c r="H170" s="37" t="n">
        <f aca="false">IF(ISNUMBER(H144),N(H143),"")</f>
        <v>0</v>
      </c>
      <c r="I170" s="37" t="n">
        <f aca="false">IF(ISNUMBER(I144),N(I143),"")</f>
        <v>0</v>
      </c>
      <c r="J170" s="37" t="n">
        <f aca="false">IF(ISNUMBER(J144),N(J143),"")</f>
        <v>0</v>
      </c>
      <c r="K170" s="37" t="n">
        <f aca="false">IF(ISNUMBER(K144),N(K143),"")</f>
        <v>0</v>
      </c>
      <c r="L170" s="37" t="n">
        <f aca="false">IF(ISNUMBER(L144),N(L143),"")</f>
        <v>0</v>
      </c>
      <c r="M170" s="37" t="n">
        <f aca="false">IF(ISNUMBER(M144),N(M143),"")</f>
        <v>0</v>
      </c>
      <c r="N170" s="37" t="n">
        <f aca="false">IF(ISNUMBER(N144),N(N143),"")</f>
        <v>0</v>
      </c>
      <c r="O170" s="37" t="n">
        <f aca="false">IF(ISNUMBER(O144),N(O143),"")</f>
        <v>0</v>
      </c>
      <c r="P170" s="37" t="n">
        <f aca="false">IF(ISNUMBER(P144),N(P143),"")</f>
        <v>0</v>
      </c>
      <c r="Q170" s="37" t="n">
        <f aca="false">IF(ISNUMBER(Q144),N(Q143),"")</f>
        <v>0</v>
      </c>
      <c r="R170" s="37" t="n">
        <f aca="false">IF(ISNUMBER(R144),N(R143),"")</f>
        <v>0</v>
      </c>
      <c r="S170" s="37" t="n">
        <f aca="false">IF(ISNUMBER(S144),N(S143),"")</f>
        <v>0</v>
      </c>
      <c r="T170" s="37" t="n">
        <f aca="false">IF(ISNUMBER(T144),N(T143),"")</f>
        <v>0</v>
      </c>
      <c r="U170" s="37" t="n">
        <f aca="false">IF(ISNUMBER(U144),N(U143),"")</f>
        <v>0</v>
      </c>
      <c r="V170" s="37" t="n">
        <f aca="false">IF(ISNUMBER(V144),N(V143),"")</f>
        <v>0</v>
      </c>
      <c r="W170" s="37" t="n">
        <f aca="false">IF(ISNUMBER(W144),N(W143),"")</f>
        <v>0</v>
      </c>
      <c r="X170" s="37" t="n">
        <f aca="false">IF(ISNUMBER(X144),N(X143),"")</f>
        <v>0</v>
      </c>
      <c r="Y170" s="37" t="n">
        <f aca="false">IF(ISNUMBER(Y144),N(Y143),"")</f>
        <v>0</v>
      </c>
      <c r="Z170" s="37" t="n">
        <f aca="false">IF(ISNUMBER(Z144),N(Z143),"")</f>
        <v>0</v>
      </c>
      <c r="AA170" s="37" t="n">
        <f aca="false">IF(ISNUMBER(AA144),N(AA143),"")</f>
        <v>0</v>
      </c>
      <c r="AB170" s="37" t="n">
        <f aca="false">IF(ISNUMBER(AB144),N(AB143),"")</f>
        <v>101.4</v>
      </c>
      <c r="AC170" s="37" t="n">
        <f aca="false">IF(ISNUMBER(AC144),N(AC143),"")</f>
        <v>110.2</v>
      </c>
      <c r="AD170" s="37" t="n">
        <f aca="false">IF(ISNUMBER(AD144),N(AD143),"")</f>
        <v>211.6</v>
      </c>
      <c r="AE170" s="37" t="n">
        <f aca="false">IF(ISNUMBER(AE144),N(AE143),"")</f>
        <v>125.6</v>
      </c>
      <c r="AF170" s="37" t="n">
        <f aca="false">IF(ISNUMBER(AF144),N(AF143),"")</f>
        <v>117.6</v>
      </c>
      <c r="AG170" s="37" t="n">
        <f aca="false">IF(ISNUMBER(AG144),N(AG143),"")</f>
        <v>243.2</v>
      </c>
      <c r="AH170" s="37" t="n">
        <f aca="false">IF(ISNUMBER(AH144),N(AH143),"")</f>
        <v>120.3</v>
      </c>
      <c r="AI170" s="37" t="n">
        <f aca="false">IF(ISNUMBER(AI144),N(AI143),"")</f>
        <v>130.7</v>
      </c>
      <c r="AJ170" s="37" t="n">
        <f aca="false">IF(ISNUMBER(AJ144),N(AJ143),"")</f>
        <v>251</v>
      </c>
      <c r="AK170" s="37" t="n">
        <f aca="false">IF(ISNUMBER(AK144),N(AK143),"")</f>
        <v>127</v>
      </c>
      <c r="AL170" s="37" t="n">
        <f aca="false">IF(ISNUMBER(AL144),N(AL143),"")</f>
        <v>139</v>
      </c>
      <c r="AM170" s="37" t="n">
        <f aca="false">IF(ISNUMBER(AM144),N(AM143),"")</f>
        <v>266</v>
      </c>
      <c r="AN170" s="37" t="n">
        <f aca="false">IF(ISNUMBER(AN144),N(AN143),"")</f>
        <v>139</v>
      </c>
      <c r="AO170" s="37" t="n">
        <f aca="false">IF(ISNUMBER(AO144),N(AO143),"")</f>
        <v>149</v>
      </c>
      <c r="AP170" s="37" t="n">
        <f aca="false">IF(ISNUMBER(AP144),N(AP143),"")</f>
        <v>288</v>
      </c>
      <c r="AQ170" s="37" t="n">
        <f aca="false">IF(ISNUMBER(AQ144),N(AQ143),"")</f>
        <v>165</v>
      </c>
      <c r="AR170" s="37" t="n">
        <f aca="false">IF(ISNUMBER(AR144),N(AR143),"")</f>
        <v>168</v>
      </c>
      <c r="AS170" s="37" t="n">
        <f aca="false">IF(ISNUMBER(AS144),N(AS143),"")</f>
        <v>333</v>
      </c>
      <c r="AT170" s="37" t="n">
        <f aca="false">IF(ISNUMBER(AT144),N(AT143),"")</f>
        <v>172</v>
      </c>
      <c r="AU170" s="37" t="n">
        <f aca="false">IF(ISNUMBER(AU144),N(AU143),"")</f>
        <v>179</v>
      </c>
      <c r="AV170" s="37" t="n">
        <f aca="false">IF(ISNUMBER(AV144),N(AV143),"")</f>
        <v>351</v>
      </c>
      <c r="AW170" s="37" t="n">
        <f aca="false">IF(ISNUMBER(AW144),N(AW143),"")</f>
        <v>186</v>
      </c>
      <c r="AX170" s="39" t="n">
        <f aca="false">AX143</f>
        <v>204.39</v>
      </c>
      <c r="AY170" s="39" t="n">
        <f aca="false">AY143</f>
        <v>390.39</v>
      </c>
      <c r="AZ170" s="39" t="n">
        <f aca="false">AZ143</f>
        <v>426.24165675</v>
      </c>
      <c r="BA170" s="39" t="n">
        <f aca="false">BA143</f>
        <v>463.42427961375</v>
      </c>
      <c r="BB170" s="39" t="n">
        <f aca="false">BB143</f>
        <v>502.363932639319</v>
      </c>
      <c r="BC170" s="39" t="n">
        <f aca="false">BC143</f>
        <v>543.001536602778</v>
      </c>
      <c r="BD170" s="23"/>
      <c r="BF170" s="7"/>
      <c r="BG170" s="7"/>
      <c r="BH170" s="7"/>
      <c r="BI170" s="7"/>
    </row>
    <row r="171" customFormat="false" ht="15" hidden="false" customHeight="true" outlineLevel="0" collapsed="false">
      <c r="B171" s="40" t="s">
        <v>251</v>
      </c>
      <c r="C171" s="41" t="str">
        <f aca="false">IF(AND(ISNUMBER(C165),ISNUMBER(C169)),C165+C169+C170,"")</f>
        <v/>
      </c>
      <c r="D171" s="41" t="str">
        <f aca="false">IF(AND(ISNUMBER(D165),ISNUMBER(D169)),D165+D169+D170,"")</f>
        <v/>
      </c>
      <c r="E171" s="41" t="str">
        <f aca="false">IF(AND(ISNUMBER(E165),ISNUMBER(E169)),E165+E169+E170,"")</f>
        <v/>
      </c>
      <c r="F171" s="41" t="n">
        <f aca="false">IF(AND(ISNUMBER(F165),ISNUMBER(F169)),F165+F169+F170,"")</f>
        <v>547.4</v>
      </c>
      <c r="G171" s="41" t="n">
        <f aca="false">IF(AND(ISNUMBER(G165),ISNUMBER(G169)),G165+G169+G170,"")</f>
        <v>769.1</v>
      </c>
      <c r="H171" s="41" t="n">
        <f aca="false">IF(AND(ISNUMBER(H165),ISNUMBER(H169)),H165+H169+H170,"")</f>
        <v>998.4</v>
      </c>
      <c r="I171" s="41" t="n">
        <f aca="false">IF(AND(ISNUMBER(I165),ISNUMBER(I169)),I165+I169+I170,"")</f>
        <v>1238.8</v>
      </c>
      <c r="J171" s="41" t="n">
        <f aca="false">IF(AND(ISNUMBER(J165),ISNUMBER(J169)),J165+J169+J170,"")</f>
        <v>647.5</v>
      </c>
      <c r="K171" s="41" t="n">
        <f aca="false">IF(AND(ISNUMBER(K165),ISNUMBER(K169)),K165+K169+K170,"")</f>
        <v>709.2</v>
      </c>
      <c r="L171" s="41" t="n">
        <f aca="false">IF(AND(ISNUMBER(L165),ISNUMBER(L169)),L165+L169+L170,"")</f>
        <v>1356.7</v>
      </c>
      <c r="M171" s="41" t="n">
        <f aca="false">IF(AND(ISNUMBER(M165),ISNUMBER(M169)),M165+M169+M170,"")</f>
        <v>693.3</v>
      </c>
      <c r="N171" s="41" t="n">
        <f aca="false">IF(AND(ISNUMBER(N165),ISNUMBER(N169)),N165+N169+N170,"")</f>
        <v>774.6</v>
      </c>
      <c r="O171" s="41" t="n">
        <f aca="false">IF(AND(ISNUMBER(O165),ISNUMBER(O169)),O165+O169+O170,"")</f>
        <v>1467.9</v>
      </c>
      <c r="P171" s="41" t="n">
        <f aca="false">IF(AND(ISNUMBER(P165),ISNUMBER(P169)),P165+P169+P170,"")</f>
        <v>834.9</v>
      </c>
      <c r="Q171" s="41" t="n">
        <f aca="false">IF(AND(ISNUMBER(Q165),ISNUMBER(Q169)),Q165+Q169+Q170,"")</f>
        <v>912.3</v>
      </c>
      <c r="R171" s="41" t="n">
        <f aca="false">IF(AND(ISNUMBER(R165),ISNUMBER(R169)),R165+R169+R170,"")</f>
        <v>1747.2</v>
      </c>
      <c r="S171" s="41" t="n">
        <f aca="false">IF(AND(ISNUMBER(S165),ISNUMBER(S169)),S165+S169+S170,"")</f>
        <v>933.9</v>
      </c>
      <c r="T171" s="41" t="n">
        <f aca="false">IF(AND(ISNUMBER(T165),ISNUMBER(T169)),T165+T169+T170,"")</f>
        <v>994.7</v>
      </c>
      <c r="U171" s="41" t="n">
        <f aca="false">IF(AND(ISNUMBER(U165),ISNUMBER(U169)),U165+U169+U170,"")</f>
        <v>1928.6</v>
      </c>
      <c r="V171" s="41" t="n">
        <f aca="false">IF(AND(ISNUMBER(V165),ISNUMBER(V169)),V165+V169+V170,"")</f>
        <v>1048.3</v>
      </c>
      <c r="W171" s="41" t="n">
        <f aca="false">IF(AND(ISNUMBER(W165),ISNUMBER(W169)),W165+W169+W170,"")</f>
        <v>1116.7</v>
      </c>
      <c r="X171" s="41" t="n">
        <f aca="false">IF(AND(ISNUMBER(X165),ISNUMBER(X169)),X165+X169+X170,"")</f>
        <v>2165</v>
      </c>
      <c r="Y171" s="41" t="n">
        <f aca="false">IF(AND(ISNUMBER(Y165),ISNUMBER(Y169)),Y165+Y169+Y170,"")</f>
        <v>1123.9</v>
      </c>
      <c r="Z171" s="41" t="n">
        <f aca="false">IF(AND(ISNUMBER(Z165),ISNUMBER(Z169)),Z165+Z169+Z170,"")</f>
        <v>1181.1</v>
      </c>
      <c r="AA171" s="41" t="n">
        <f aca="false">IF(AND(ISNUMBER(AA165),ISNUMBER(AA169)),AA165+AA169+AA170,"")</f>
        <v>2305</v>
      </c>
      <c r="AB171" s="41" t="n">
        <f aca="false">IF(AND(ISNUMBER(AB165),ISNUMBER(AB169)),AB165+AB169+AB170,"")</f>
        <v>1382.7</v>
      </c>
      <c r="AC171" s="41" t="n">
        <f aca="false">IF(AND(ISNUMBER(AC165),ISNUMBER(AC169)),AC165+AC169+AC170,"")</f>
        <v>1432.3</v>
      </c>
      <c r="AD171" s="41" t="n">
        <f aca="false">IF(AND(ISNUMBER(AD165),ISNUMBER(AD169)),AD165+AD169+AD170,"")</f>
        <v>2815</v>
      </c>
      <c r="AE171" s="41" t="n">
        <f aca="false">IF(AND(ISNUMBER(AE165),ISNUMBER(AE169)),AE165+AE169+AE170,"")</f>
        <v>793.8</v>
      </c>
      <c r="AF171" s="41" t="n">
        <f aca="false">IF(AND(ISNUMBER(AF165),ISNUMBER(AF169)),AF165+AF169+AF170,"")</f>
        <v>1756.1</v>
      </c>
      <c r="AG171" s="41" t="n">
        <f aca="false">IF(AND(ISNUMBER(AG165),ISNUMBER(AG169)),AG165+AG169+AG170,"")</f>
        <v>2549.9</v>
      </c>
      <c r="AH171" s="41" t="n">
        <f aca="false">IF(AND(ISNUMBER(AH165),ISNUMBER(AH169)),AH165+AH169+AH170,"")</f>
        <v>2031.4</v>
      </c>
      <c r="AI171" s="41" t="n">
        <f aca="false">IF(AND(ISNUMBER(AI165),ISNUMBER(AI169)),AI165+AI169+AI170,"")</f>
        <v>2127.6</v>
      </c>
      <c r="AJ171" s="41" t="n">
        <f aca="false">IF(AND(ISNUMBER(AJ165),ISNUMBER(AJ169)),AJ165+AJ169+AJ170,"")</f>
        <v>4159</v>
      </c>
      <c r="AK171" s="41" t="n">
        <f aca="false">IF(AND(ISNUMBER(AK165),ISNUMBER(AK169)),AK165+AK169+AK170,"")</f>
        <v>2663</v>
      </c>
      <c r="AL171" s="41" t="n">
        <f aca="false">IF(AND(ISNUMBER(AL165),ISNUMBER(AL169)),AL165+AL169+AL170,"")</f>
        <v>2764</v>
      </c>
      <c r="AM171" s="41" t="n">
        <f aca="false">IF(AND(ISNUMBER(AM165),ISNUMBER(AM169)),AM165+AM169+AM170,"")</f>
        <v>5427</v>
      </c>
      <c r="AN171" s="41" t="n">
        <f aca="false">IF(AND(ISNUMBER(AN165),ISNUMBER(AN169)),AN165+AN169+AN170,"")</f>
        <v>3291</v>
      </c>
      <c r="AO171" s="41" t="n">
        <f aca="false">IF(AND(ISNUMBER(AO165),ISNUMBER(AO169)),AO165+AO169+AO170,"")</f>
        <v>3130</v>
      </c>
      <c r="AP171" s="41" t="n">
        <f aca="false">IF(AND(ISNUMBER(AP165),ISNUMBER(AP169)),AP165+AP169+AP170,"")</f>
        <v>6421</v>
      </c>
      <c r="AQ171" s="41" t="n">
        <f aca="false">IF(AND(ISNUMBER(AQ165),ISNUMBER(AQ169)),AQ165+AQ169+AQ170,"")</f>
        <v>3532</v>
      </c>
      <c r="AR171" s="41" t="n">
        <f aca="false">IF(AND(ISNUMBER(AR165),ISNUMBER(AR169)),AR165+AR169+AR170,"")</f>
        <v>3460</v>
      </c>
      <c r="AS171" s="41" t="n">
        <f aca="false">IF(AND(ISNUMBER(AS165),ISNUMBER(AS169)),AS165+AS169+AS170,"")</f>
        <v>6992</v>
      </c>
      <c r="AT171" s="41" t="n">
        <f aca="false">IF(AND(ISNUMBER(AT165),ISNUMBER(AT169)),AT165+AT169+AT170,"")</f>
        <v>3790</v>
      </c>
      <c r="AU171" s="41" t="n">
        <f aca="false">IF(AND(ISNUMBER(AU165),ISNUMBER(AU169)),AU165+AU169+AU170,"")</f>
        <v>3705</v>
      </c>
      <c r="AV171" s="41" t="n">
        <f aca="false">IF(AND(ISNUMBER(AV165),ISNUMBER(AV169)),AV165+AV169+AV170,"")</f>
        <v>7495</v>
      </c>
      <c r="AW171" s="41" t="n">
        <f aca="false">IF(AND(ISNUMBER(AW165),ISNUMBER(AW169)),AW165+AW169+AW170,"")</f>
        <v>3871</v>
      </c>
      <c r="AX171" s="41" t="n">
        <f aca="false">AX165+AX169+AX170</f>
        <v>3790.53261</v>
      </c>
      <c r="AY171" s="41" t="n">
        <f aca="false">AY165+AY169+AY170</f>
        <v>7661.53261</v>
      </c>
      <c r="AZ171" s="41" t="n">
        <f aca="false">AZ165+AZ169+AZ170</f>
        <v>8217.08234555</v>
      </c>
      <c r="BA171" s="41" t="n">
        <f aca="false">BA165+BA169+BA170</f>
        <v>8894.45540926375</v>
      </c>
      <c r="BB171" s="41" t="n">
        <f aca="false">BB165+BB169+BB170</f>
        <v>9579.80879127266</v>
      </c>
      <c r="BC171" s="41" t="n">
        <f aca="false">BC165+BC169+BC170</f>
        <v>10232.5236574603</v>
      </c>
      <c r="BD171" s="23" t="s">
        <v>252</v>
      </c>
      <c r="BF171" s="24" t="n">
        <f aca="false">IFERROR((BC171/AV171)^(1/5)-1,"n/m")</f>
        <v>0.0642464839768386</v>
      </c>
      <c r="BG171" s="24" t="n">
        <f aca="false">IFERROR((AV171/AG171)^(1/5)-1,"n/m")</f>
        <v>0.240651193436402</v>
      </c>
      <c r="BH171" s="24" t="n">
        <f aca="false">IFERROR((AV171/R171)^(1/10)-1,"n/m")</f>
        <v>0.156759038525429</v>
      </c>
      <c r="BI171" s="24" t="str">
        <f aca="false">IFERROR((AV171/C171)^(1/19)-1,"n/m")</f>
        <v>n/m</v>
      </c>
    </row>
    <row r="172" customFormat="false" ht="15" hidden="false" customHeight="true" outlineLevel="0" collapsed="false">
      <c r="B172" s="26" t="s">
        <v>253</v>
      </c>
      <c r="C172" s="30" t="str">
        <f aca="false">IF(AND(ISNUMBER(C171),ISNUMBER(C119)),IFERROR(C171/C119,""),"")</f>
        <v/>
      </c>
      <c r="D172" s="30" t="str">
        <f aca="false">IF(AND(ISNUMBER(D171),ISNUMBER(D119)),IFERROR(D171/D119,""),"")</f>
        <v/>
      </c>
      <c r="E172" s="30" t="str">
        <f aca="false">IF(AND(ISNUMBER(E171),ISNUMBER(E119)),IFERROR(E171/E119,""),"")</f>
        <v/>
      </c>
      <c r="F172" s="30" t="n">
        <f aca="false">IF(AND(ISNUMBER(F171),ISNUMBER(F119)),IFERROR(F171/F119,""),"")</f>
        <v>0.285953089902314</v>
      </c>
      <c r="G172" s="30" t="n">
        <f aca="false">IF(AND(ISNUMBER(G171),ISNUMBER(G119)),IFERROR(G171/G119,""),"")</f>
        <v>0.320351549483506</v>
      </c>
      <c r="H172" s="30" t="n">
        <f aca="false">IF(AND(ISNUMBER(H171),ISNUMBER(H119)),IFERROR(H171/H119,""),"")</f>
        <v>0.351400816556385</v>
      </c>
      <c r="I172" s="30" t="n">
        <f aca="false">IF(AND(ISNUMBER(I171),ISNUMBER(I119)),IFERROR(I171/I119,""),"")</f>
        <v>0.355558106828162</v>
      </c>
      <c r="J172" s="30" t="n">
        <f aca="false">IF(AND(ISNUMBER(J171),ISNUMBER(J119)),IFERROR(J171/J119,""),"")</f>
        <v>0.366398822996831</v>
      </c>
      <c r="K172" s="30" t="n">
        <f aca="false">IF(AND(ISNUMBER(K171),ISNUMBER(K119)),IFERROR(K171/K119,""),"")</f>
        <v>0.356812235862347</v>
      </c>
      <c r="L172" s="30" t="n">
        <f aca="false">IF(AND(ISNUMBER(L171),ISNUMBER(L119)),IFERROR(L171/L119,""),"")</f>
        <v>0.361324171726856</v>
      </c>
      <c r="M172" s="30" t="n">
        <f aca="false">IF(AND(ISNUMBER(M171),ISNUMBER(M119)),IFERROR(M171/M119,""),"")</f>
        <v>0.363574387749751</v>
      </c>
      <c r="N172" s="30" t="n">
        <f aca="false">IF(AND(ISNUMBER(N171),ISNUMBER(N119)),IFERROR(N171/N119,""),"")</f>
        <v>0.350228331147986</v>
      </c>
      <c r="O172" s="30" t="n">
        <f aca="false">IF(AND(ISNUMBER(O171),ISNUMBER(O119)),IFERROR(O171/O119,""),"")</f>
        <v>0.356407517117467</v>
      </c>
      <c r="P172" s="30" t="n">
        <f aca="false">IF(AND(ISNUMBER(P171),ISNUMBER(P119)),IFERROR(P171/P119,""),"")</f>
        <v>0.363094720361834</v>
      </c>
      <c r="Q172" s="30" t="n">
        <f aca="false">IF(AND(ISNUMBER(Q171),ISNUMBER(Q119)),IFERROR(Q171/Q119,""),"")</f>
        <v>0.358947119924457</v>
      </c>
      <c r="R172" s="30" t="n">
        <f aca="false">IF(AND(ISNUMBER(R171),ISNUMBER(R119)),IFERROR(R171/R119,""),"")</f>
        <v>0.360917165874819</v>
      </c>
      <c r="S172" s="30" t="n">
        <f aca="false">IF(AND(ISNUMBER(S171),ISNUMBER(S119)),IFERROR(S171/S119,""),"")</f>
        <v>0.382683166693985</v>
      </c>
      <c r="T172" s="30" t="n">
        <f aca="false">IF(AND(ISNUMBER(T171),ISNUMBER(T119)),IFERROR(T171/T119,""),"")</f>
        <v>0.360163661380259</v>
      </c>
      <c r="U172" s="30" t="n">
        <f aca="false">IF(AND(ISNUMBER(U171),ISNUMBER(U119)),IFERROR(U171/U119,""),"")</f>
        <v>0.370727769020799</v>
      </c>
      <c r="V172" s="30" t="n">
        <f aca="false">IF(AND(ISNUMBER(V171),ISNUMBER(V119)),IFERROR(V171/V119,""),"")</f>
        <v>0.386384578526409</v>
      </c>
      <c r="W172" s="30" t="n">
        <f aca="false">IF(AND(ISNUMBER(W171),ISNUMBER(W119)),IFERROR(W171/W119,""),"")</f>
        <v>0.393744931419908</v>
      </c>
      <c r="X172" s="30" t="n">
        <f aca="false">IF(AND(ISNUMBER(X171),ISNUMBER(X119)),IFERROR(X171/X119,""),"")</f>
        <v>0.390146327398544</v>
      </c>
      <c r="Y172" s="30" t="n">
        <f aca="false">IF(AND(ISNUMBER(Y171),ISNUMBER(Y119)),IFERROR(Y171/Y119,""),"")</f>
        <v>0.393880984089157</v>
      </c>
      <c r="Z172" s="30" t="n">
        <f aca="false">IF(AND(ISNUMBER(Z171),ISNUMBER(Z119)),IFERROR(Z171/Z119,""),"")</f>
        <v>0.379445497478074</v>
      </c>
      <c r="AA172" s="30" t="n">
        <f aca="false">IF(AND(ISNUMBER(AA171),ISNUMBER(AA119)),IFERROR(AA171/AA119,""),"")</f>
        <v>0.386349541576574</v>
      </c>
      <c r="AB172" s="30" t="n">
        <f aca="false">IF(AND(ISNUMBER(AB171),ISNUMBER(AB119)),IFERROR(AB171/AB119,""),"")</f>
        <v>0.42101577248645</v>
      </c>
      <c r="AC172" s="30" t="n">
        <f aca="false">IF(AND(ISNUMBER(AC171),ISNUMBER(AC119)),IFERROR(AC171/AC119,""),"")</f>
        <v>0.397949544343187</v>
      </c>
      <c r="AD172" s="30" t="n">
        <f aca="false">IF(AND(ISNUMBER(AD171),ISNUMBER(AD119)),IFERROR(AD171/AD119,""),"")</f>
        <v>0.408954876950344</v>
      </c>
      <c r="AE172" s="30" t="n">
        <f aca="false">IF(AND(ISNUMBER(AE171),ISNUMBER(AE119)),IFERROR(AE171/AE119,""),"")</f>
        <v>0.319051446945338</v>
      </c>
      <c r="AF172" s="30" t="n">
        <f aca="false">IF(AND(ISNUMBER(AF171),ISNUMBER(AF119)),IFERROR(AF171/AF119,""),"")</f>
        <v>0.450120469575024</v>
      </c>
      <c r="AG172" s="30" t="n">
        <f aca="false">IF(AND(ISNUMBER(AG171),ISNUMBER(AG119)),IFERROR(AG171/AG119,""),"")</f>
        <v>0.399082855980217</v>
      </c>
      <c r="AH172" s="30" t="n">
        <f aca="false">IF(AND(ISNUMBER(AH171),ISNUMBER(AH119)),IFERROR(AH171/AH119,""),"")</f>
        <v>0.479658095440486</v>
      </c>
      <c r="AI172" s="30" t="n">
        <f aca="false">IF(AND(ISNUMBER(AI171),ISNUMBER(AI119)),IFERROR(AI171/AI119,""),"")</f>
        <v>0.44820830436706</v>
      </c>
      <c r="AJ172" s="30" t="n">
        <f aca="false">IF(AND(ISNUMBER(AJ171),ISNUMBER(AJ119)),IFERROR(AJ171/AJ119,""),"")</f>
        <v>0.463037185482075</v>
      </c>
      <c r="AK172" s="30" t="n">
        <f aca="false">IF(AND(ISNUMBER(AK171),ISNUMBER(AK119)),IFERROR(AK171/AK119,""),"")</f>
        <v>0.486392694063927</v>
      </c>
      <c r="AL172" s="30" t="n">
        <f aca="false">IF(AND(ISNUMBER(AL171),ISNUMBER(AL119)),IFERROR(AL171/AL119,""),"")</f>
        <v>0.451118002284968</v>
      </c>
      <c r="AM172" s="30" t="n">
        <f aca="false">IF(AND(ISNUMBER(AM171),ISNUMBER(AM119)),IFERROR(AM171/AM119,""),"")</f>
        <v>0.467764178589898</v>
      </c>
      <c r="AN172" s="30" t="n">
        <f aca="false">IF(AND(ISNUMBER(AN171),ISNUMBER(AN119)),IFERROR(AN171/AN119,""),"")</f>
        <v>0.491340698716035</v>
      </c>
      <c r="AO172" s="30" t="n">
        <f aca="false">IF(AND(ISNUMBER(AO171),ISNUMBER(AO119)),IFERROR(AO171/AO119,""),"")</f>
        <v>0.465150839649279</v>
      </c>
      <c r="AP172" s="30" t="n">
        <f aca="false">IF(AND(ISNUMBER(AP171),ISNUMBER(AP119)),IFERROR(AP171/AP119,""),"")</f>
        <v>0.478215535860579</v>
      </c>
      <c r="AQ172" s="30" t="n">
        <f aca="false">IF(AND(ISNUMBER(AQ171),ISNUMBER(AQ119)),IFERROR(AQ171/AQ119,""),"")</f>
        <v>0.470682302771855</v>
      </c>
      <c r="AR172" s="30" t="n">
        <f aca="false">IF(AND(ISNUMBER(AR171),ISNUMBER(AR119)),IFERROR(AR171/AR119,""),"")</f>
        <v>0.451343595095226</v>
      </c>
      <c r="AS172" s="30" t="n">
        <f aca="false">IF(AND(ISNUMBER(AS171),ISNUMBER(AS119)),IFERROR(AS171/AS119,""),"")</f>
        <v>0.460909690177983</v>
      </c>
      <c r="AT172" s="30" t="n">
        <f aca="false">IF(AND(ISNUMBER(AT171),ISNUMBER(AT119)),IFERROR(AT171/AT119,""),"")</f>
        <v>0.471745083395569</v>
      </c>
      <c r="AU172" s="30" t="n">
        <f aca="false">IF(AND(ISNUMBER(AU171),ISNUMBER(AU119)),IFERROR(AU171/AU119,""),"")</f>
        <v>0.464984939759036</v>
      </c>
      <c r="AV172" s="30" t="n">
        <f aca="false">IF(AND(ISNUMBER(AV171),ISNUMBER(AV119)),IFERROR(AV171/AV119,""),"")</f>
        <v>0.468378952630921</v>
      </c>
      <c r="AW172" s="30" t="n">
        <f aca="false">IF(AND(ISNUMBER(AW171),ISNUMBER(AW119)),IFERROR(AW171/AW119,""),"")</f>
        <v>0.474212911919637</v>
      </c>
      <c r="AX172" s="28" t="n">
        <f aca="false">IF(AND(ISNUMBER(AX171),ISNUMBER(AX119)),IFERROR(AX171/AX119,""),"")</f>
        <v>0.459793450744118</v>
      </c>
      <c r="AY172" s="28" t="n">
        <f aca="false">IF(AND(ISNUMBER(AY171),ISNUMBER(AY119)),IFERROR(AY171/AY119,""),"")</f>
        <v>0.466967591861761</v>
      </c>
      <c r="AZ172" s="28" t="n">
        <f aca="false">IF(AND(ISNUMBER(AZ171),ISNUMBER(AZ119)),IFERROR(AZ171/AZ119,""),"")</f>
        <v>0.466182090201683</v>
      </c>
      <c r="BA172" s="28" t="n">
        <f aca="false">IF(AND(ISNUMBER(BA171),ISNUMBER(BA119)),IFERROR(BA171/BA119,""),"")</f>
        <v>0.469460092870832</v>
      </c>
      <c r="BB172" s="28" t="n">
        <f aca="false">IF(AND(ISNUMBER(BB171),ISNUMBER(BB119)),IFERROR(BB171/BB119,""),"")</f>
        <v>0.471737872979333</v>
      </c>
      <c r="BC172" s="28" t="n">
        <f aca="false">IF(AND(ISNUMBER(BC171),ISNUMBER(BC119)),IFERROR(BC171/BC119,""),"")</f>
        <v>0.472049913074553</v>
      </c>
      <c r="BD172" s="23"/>
      <c r="BF172" s="32" t="n">
        <f aca="false">IFERROR(AVERAGE(AY172,AZ172,BA172,BB172,BC172),"n/m")</f>
        <v>0.469279512197633</v>
      </c>
      <c r="BG172" s="32" t="n">
        <f aca="false">IFERROR(AVERAGE(AJ172,AM172,AP172,AS172,AV172),"n/m")</f>
        <v>0.467661108548291</v>
      </c>
      <c r="BH172" s="32" t="n">
        <f aca="false">IFERROR(AVERAGE(U172,X172,AA172,AD172,AG172,AJ172,AM172,AP172,AS172,AV172),"n/m")</f>
        <v>0.429356691366794</v>
      </c>
      <c r="BI172" s="32" t="n">
        <f aca="false">IFERROR(AVERAGE(C172,D172,E172,F172,G172,H172,I172,L172,O172,R172,U172,X172,AA172,AD172,AG172,AJ172,AM172,AP172,AS172,AV172),"n/m")</f>
        <v>0.393263490068085</v>
      </c>
    </row>
    <row r="173" customFormat="false" ht="15" hidden="false" customHeight="true" outlineLevel="0" collapsed="false">
      <c r="B173" s="13" t="s">
        <v>254</v>
      </c>
      <c r="C173" s="37" t="str">
        <f aca="false">IF(ISNUMBER(C171),N(C223),"")</f>
        <v/>
      </c>
      <c r="D173" s="37" t="str">
        <f aca="false">IF(ISNUMBER(D171),N(D223),"")</f>
        <v/>
      </c>
      <c r="E173" s="37" t="str">
        <f aca="false">IF(ISNUMBER(E171),N(E223),"")</f>
        <v/>
      </c>
      <c r="F173" s="37" t="n">
        <f aca="false">IF(ISNUMBER(F171),N(F223),"")</f>
        <v>0</v>
      </c>
      <c r="G173" s="37" t="n">
        <f aca="false">IF(ISNUMBER(G171),N(G223),"")</f>
        <v>0</v>
      </c>
      <c r="H173" s="37" t="n">
        <f aca="false">IF(ISNUMBER(H171),N(H223),"")</f>
        <v>0</v>
      </c>
      <c r="I173" s="37" t="n">
        <f aca="false">IF(ISNUMBER(I171),N(I223),"")</f>
        <v>0</v>
      </c>
      <c r="J173" s="37" t="n">
        <f aca="false">IF(ISNUMBER(J171),N(J223),"")</f>
        <v>0</v>
      </c>
      <c r="K173" s="37" t="n">
        <f aca="false">IF(ISNUMBER(K171),N(K223),"")</f>
        <v>0</v>
      </c>
      <c r="L173" s="37" t="n">
        <f aca="false">IF(ISNUMBER(L171),N(L223),"")</f>
        <v>0</v>
      </c>
      <c r="M173" s="37" t="n">
        <f aca="false">IF(ISNUMBER(M171),N(M223),"")</f>
        <v>0</v>
      </c>
      <c r="N173" s="37" t="n">
        <f aca="false">IF(ISNUMBER(N171),N(N223),"")</f>
        <v>0</v>
      </c>
      <c r="O173" s="37" t="n">
        <f aca="false">IF(ISNUMBER(O171),N(O223),"")</f>
        <v>0</v>
      </c>
      <c r="P173" s="37" t="n">
        <f aca="false">IF(ISNUMBER(P171),N(P223),"")</f>
        <v>0</v>
      </c>
      <c r="Q173" s="37" t="n">
        <f aca="false">IF(ISNUMBER(Q171),N(Q223),"")</f>
        <v>0</v>
      </c>
      <c r="R173" s="37" t="n">
        <f aca="false">IF(ISNUMBER(R171),N(R223),"")</f>
        <v>0</v>
      </c>
      <c r="S173" s="37" t="n">
        <f aca="false">IF(ISNUMBER(S171),N(S223),"")</f>
        <v>0</v>
      </c>
      <c r="T173" s="37" t="n">
        <f aca="false">IF(ISNUMBER(T171),N(T223),"")</f>
        <v>0</v>
      </c>
      <c r="U173" s="37" t="n">
        <f aca="false">IF(ISNUMBER(U171),N(U223),"")</f>
        <v>0</v>
      </c>
      <c r="V173" s="37" t="n">
        <f aca="false">IF(ISNUMBER(V171),N(V223),"")</f>
        <v>0</v>
      </c>
      <c r="W173" s="37" t="n">
        <f aca="false">IF(ISNUMBER(W171),N(W223),"")</f>
        <v>0</v>
      </c>
      <c r="X173" s="37" t="n">
        <f aca="false">IF(ISNUMBER(X171),N(X223),"")</f>
        <v>0</v>
      </c>
      <c r="Y173" s="37" t="n">
        <f aca="false">IF(ISNUMBER(Y171),N(Y223),"")</f>
        <v>0</v>
      </c>
      <c r="Z173" s="37" t="n">
        <f aca="false">IF(ISNUMBER(Z171),N(Z223),"")</f>
        <v>0</v>
      </c>
      <c r="AA173" s="37" t="n">
        <f aca="false">IF(ISNUMBER(AA171),N(AA223),"")</f>
        <v>0</v>
      </c>
      <c r="AB173" s="37" t="n">
        <f aca="false">IF(ISNUMBER(AB171),N(AB223),"")</f>
        <v>-95.2</v>
      </c>
      <c r="AC173" s="37" t="n">
        <f aca="false">IF(ISNUMBER(AC171),N(AC223),"")</f>
        <v>-107.6</v>
      </c>
      <c r="AD173" s="37" t="n">
        <f aca="false">IF(ISNUMBER(AD171),N(AD223),"")</f>
        <v>-202.8</v>
      </c>
      <c r="AE173" s="37" t="n">
        <f aca="false">IF(ISNUMBER(AE171),N(AE223),"")</f>
        <v>-120.1</v>
      </c>
      <c r="AF173" s="37" t="n">
        <f aca="false">IF(ISNUMBER(AF171),N(AF223),"")</f>
        <v>-78.6</v>
      </c>
      <c r="AG173" s="37" t="n">
        <f aca="false">IF(ISNUMBER(AG171),N(AG223),"")</f>
        <v>-198.7</v>
      </c>
      <c r="AH173" s="37" t="n">
        <f aca="false">IF(ISNUMBER(AH171),N(AH223),"")</f>
        <v>-101.8</v>
      </c>
      <c r="AI173" s="37" t="n">
        <f aca="false">IF(ISNUMBER(AI171),N(AI223),"")</f>
        <v>-110.2</v>
      </c>
      <c r="AJ173" s="37" t="n">
        <f aca="false">IF(ISNUMBER(AJ171),N(AJ223),"")</f>
        <v>-212</v>
      </c>
      <c r="AK173" s="37" t="n">
        <f aca="false">IF(ISNUMBER(AK171),N(AK223),"")</f>
        <v>-128</v>
      </c>
      <c r="AL173" s="37" t="n">
        <f aca="false">IF(ISNUMBER(AL171),N(AL223),"")</f>
        <v>-133</v>
      </c>
      <c r="AM173" s="37" t="n">
        <f aca="false">IF(ISNUMBER(AM171),N(AM223),"")</f>
        <v>-261</v>
      </c>
      <c r="AN173" s="37" t="n">
        <f aca="false">IF(ISNUMBER(AN171),N(AN223),"")</f>
        <v>-137</v>
      </c>
      <c r="AO173" s="37" t="n">
        <f aca="false">IF(ISNUMBER(AO171),N(AO223),"")</f>
        <v>-140</v>
      </c>
      <c r="AP173" s="37" t="n">
        <f aca="false">IF(ISNUMBER(AP171),N(AP223),"")</f>
        <v>-277</v>
      </c>
      <c r="AQ173" s="37" t="n">
        <f aca="false">IF(ISNUMBER(AQ171),N(AQ223),"")</f>
        <v>-149</v>
      </c>
      <c r="AR173" s="37" t="n">
        <f aca="false">IF(ISNUMBER(AR171),N(AR223),"")</f>
        <v>-156</v>
      </c>
      <c r="AS173" s="37" t="n">
        <f aca="false">IF(ISNUMBER(AS171),N(AS223),"")</f>
        <v>-305</v>
      </c>
      <c r="AT173" s="37" t="n">
        <f aca="false">IF(ISNUMBER(AT171),N(AT223),"")</f>
        <v>-167</v>
      </c>
      <c r="AU173" s="37" t="n">
        <f aca="false">IF(ISNUMBER(AU171),N(AU223),"")</f>
        <v>-165</v>
      </c>
      <c r="AV173" s="37" t="n">
        <f aca="false">IF(ISNUMBER(AV171),N(AV223),"")</f>
        <v>-332</v>
      </c>
      <c r="AW173" s="37" t="n">
        <f aca="false">IF(ISNUMBER(AW171),N(AW223),"")</f>
        <v>-173</v>
      </c>
      <c r="AX173" s="39" t="n">
        <f aca="false">AX223</f>
        <v>-217.39</v>
      </c>
      <c r="AY173" s="39" t="n">
        <f aca="false">AY223</f>
        <v>-390.39</v>
      </c>
      <c r="AZ173" s="39" t="n">
        <f aca="false">AZ223</f>
        <v>-426.24165675</v>
      </c>
      <c r="BA173" s="39" t="n">
        <f aca="false">BA223</f>
        <v>-463.42427961375</v>
      </c>
      <c r="BB173" s="39" t="n">
        <f aca="false">BB223</f>
        <v>-502.363932639319</v>
      </c>
      <c r="BC173" s="39" t="n">
        <f aca="false">BC223</f>
        <v>-543.001536602778</v>
      </c>
      <c r="BD173" s="23"/>
      <c r="BF173" s="7"/>
      <c r="BG173" s="7"/>
      <c r="BH173" s="7"/>
      <c r="BI173" s="7"/>
    </row>
    <row r="174" customFormat="false" ht="15" hidden="false" customHeight="true" outlineLevel="0" collapsed="false">
      <c r="B174" s="13" t="s">
        <v>255</v>
      </c>
      <c r="C174" s="37" t="str">
        <f aca="false">IF(ISNUMBER(C171),-N(C129),"")</f>
        <v/>
      </c>
      <c r="D174" s="37" t="str">
        <f aca="false">IF(ISNUMBER(D171),-N(D129),"")</f>
        <v/>
      </c>
      <c r="E174" s="37" t="str">
        <f aca="false">IF(ISNUMBER(E171),-N(E129),"")</f>
        <v/>
      </c>
      <c r="F174" s="37" t="n">
        <f aca="false">IF(ISNUMBER(F171),-N(F129),"")</f>
        <v>-0</v>
      </c>
      <c r="G174" s="37" t="n">
        <f aca="false">IF(ISNUMBER(G171),-N(G129),"")</f>
        <v>-0</v>
      </c>
      <c r="H174" s="37" t="n">
        <f aca="false">IF(ISNUMBER(H171),-N(H129),"")</f>
        <v>-0</v>
      </c>
      <c r="I174" s="37" t="n">
        <f aca="false">IF(ISNUMBER(I171),-N(I129),"")</f>
        <v>-0</v>
      </c>
      <c r="J174" s="37" t="n">
        <f aca="false">IF(ISNUMBER(J171),-N(J129),"")</f>
        <v>-0</v>
      </c>
      <c r="K174" s="37" t="n">
        <f aca="false">IF(ISNUMBER(K171),-N(K129),"")</f>
        <v>-0</v>
      </c>
      <c r="L174" s="37" t="n">
        <f aca="false">IF(ISNUMBER(L171),-N(L129),"")</f>
        <v>-0</v>
      </c>
      <c r="M174" s="37" t="n">
        <f aca="false">IF(ISNUMBER(M171),-N(M129),"")</f>
        <v>-0</v>
      </c>
      <c r="N174" s="37" t="n">
        <f aca="false">IF(ISNUMBER(N171),-N(N129),"")</f>
        <v>-0</v>
      </c>
      <c r="O174" s="37" t="n">
        <f aca="false">IF(ISNUMBER(O171),-N(O129),"")</f>
        <v>-0</v>
      </c>
      <c r="P174" s="37" t="n">
        <f aca="false">IF(ISNUMBER(P171),-N(P129),"")</f>
        <v>-0</v>
      </c>
      <c r="Q174" s="37" t="n">
        <f aca="false">IF(ISNUMBER(Q171),-N(Q129),"")</f>
        <v>-0</v>
      </c>
      <c r="R174" s="37" t="n">
        <f aca="false">IF(ISNUMBER(R171),-N(R129),"")</f>
        <v>-0</v>
      </c>
      <c r="S174" s="37" t="n">
        <f aca="false">IF(ISNUMBER(S171),-N(S129),"")</f>
        <v>-0</v>
      </c>
      <c r="T174" s="37" t="n">
        <f aca="false">IF(ISNUMBER(T171),-N(T129),"")</f>
        <v>-0</v>
      </c>
      <c r="U174" s="37" t="n">
        <f aca="false">IF(ISNUMBER(U171),-N(U129),"")</f>
        <v>-0</v>
      </c>
      <c r="V174" s="37" t="n">
        <f aca="false">IF(ISNUMBER(V171),-N(V129),"")</f>
        <v>-0</v>
      </c>
      <c r="W174" s="37" t="n">
        <f aca="false">IF(ISNUMBER(W171),-N(W129),"")</f>
        <v>-0</v>
      </c>
      <c r="X174" s="37" t="n">
        <f aca="false">IF(ISNUMBER(X171),-N(X129),"")</f>
        <v>-0</v>
      </c>
      <c r="Y174" s="37" t="n">
        <f aca="false">IF(ISNUMBER(Y171),-N(Y129),"")</f>
        <v>-0</v>
      </c>
      <c r="Z174" s="37" t="n">
        <f aca="false">IF(ISNUMBER(Z171),-N(Z129),"")</f>
        <v>-0</v>
      </c>
      <c r="AA174" s="37" t="n">
        <f aca="false">IF(ISNUMBER(AA171),-N(AA129),"")</f>
        <v>-0</v>
      </c>
      <c r="AB174" s="37" t="n">
        <f aca="false">IF(ISNUMBER(AB171),-N(AB129),"")</f>
        <v>-12.6</v>
      </c>
      <c r="AC174" s="37" t="n">
        <f aca="false">IF(ISNUMBER(AC171),-N(AC129),"")</f>
        <v>-11.8</v>
      </c>
      <c r="AD174" s="37" t="n">
        <f aca="false">IF(ISNUMBER(AD171),-N(AD129),"")</f>
        <v>-24.4</v>
      </c>
      <c r="AE174" s="37" t="n">
        <f aca="false">IF(ISNUMBER(AE171),-N(AE129),"")</f>
        <v>-17.9</v>
      </c>
      <c r="AF174" s="37" t="n">
        <f aca="false">IF(ISNUMBER(AF171),-N(AF129),"")</f>
        <v>-10.8</v>
      </c>
      <c r="AG174" s="37" t="n">
        <f aca="false">IF(ISNUMBER(AG171),-N(AG129),"")</f>
        <v>-28.7</v>
      </c>
      <c r="AH174" s="37" t="n">
        <f aca="false">IF(ISNUMBER(AH171),-N(AH129),"")</f>
        <v>-15.8</v>
      </c>
      <c r="AI174" s="37" t="n">
        <f aca="false">IF(ISNUMBER(AI171),-N(AI129),"")</f>
        <v>-16.2</v>
      </c>
      <c r="AJ174" s="37" t="n">
        <f aca="false">IF(ISNUMBER(AJ171),-N(AJ129),"")</f>
        <v>-32</v>
      </c>
      <c r="AK174" s="37" t="n">
        <f aca="false">IF(ISNUMBER(AK171),-N(AK129),"")</f>
        <v>-18</v>
      </c>
      <c r="AL174" s="37" t="n">
        <f aca="false">IF(ISNUMBER(AL171),-N(AL129),"")</f>
        <v>-25</v>
      </c>
      <c r="AM174" s="37" t="n">
        <f aca="false">IF(ISNUMBER(AM171),-N(AM129),"")</f>
        <v>-43</v>
      </c>
      <c r="AN174" s="37" t="n">
        <f aca="false">IF(ISNUMBER(AN171),-N(AN129),"")</f>
        <v>-25</v>
      </c>
      <c r="AO174" s="37" t="n">
        <f aca="false">IF(ISNUMBER(AO171),-N(AO129),"")</f>
        <v>-31</v>
      </c>
      <c r="AP174" s="37" t="n">
        <f aca="false">IF(ISNUMBER(AP171),-N(AP129),"")</f>
        <v>-56</v>
      </c>
      <c r="AQ174" s="37" t="n">
        <f aca="false">IF(ISNUMBER(AQ171),-N(AQ129),"")</f>
        <v>-29</v>
      </c>
      <c r="AR174" s="37" t="n">
        <f aca="false">IF(ISNUMBER(AR171),-N(AR129),"")</f>
        <v>-30</v>
      </c>
      <c r="AS174" s="37" t="n">
        <f aca="false">IF(ISNUMBER(AS171),-N(AS129),"")</f>
        <v>-59</v>
      </c>
      <c r="AT174" s="37" t="n">
        <f aca="false">IF(ISNUMBER(AT171),-N(AT129),"")</f>
        <v>-26</v>
      </c>
      <c r="AU174" s="37" t="n">
        <f aca="false">IF(ISNUMBER(AU171),-N(AU129),"")</f>
        <v>-29</v>
      </c>
      <c r="AV174" s="37" t="n">
        <f aca="false">IF(ISNUMBER(AV171),-N(AV129),"")</f>
        <v>-55</v>
      </c>
      <c r="AW174" s="37" t="n">
        <f aca="false">IF(ISNUMBER(AW171),-N(AW129),"")</f>
        <v>-29</v>
      </c>
      <c r="AX174" s="39" t="n">
        <f aca="false">-AX129</f>
        <v>-29.627</v>
      </c>
      <c r="AY174" s="39" t="n">
        <f aca="false">-AY129</f>
        <v>-58.627</v>
      </c>
      <c r="AZ174" s="39" t="n">
        <f aca="false">-AZ129</f>
        <v>-64.8922209</v>
      </c>
      <c r="BA174" s="39" t="n">
        <f aca="false">-BA129</f>
        <v>-69.8499039485</v>
      </c>
      <c r="BB174" s="39" t="n">
        <f aca="false">-BB129</f>
        <v>-75.0418576852425</v>
      </c>
      <c r="BC174" s="39" t="n">
        <f aca="false">-BC129</f>
        <v>-80.4602048803704</v>
      </c>
      <c r="BD174" s="23"/>
      <c r="BF174" s="7"/>
      <c r="BG174" s="7"/>
      <c r="BH174" s="7"/>
      <c r="BI174" s="7"/>
    </row>
    <row r="175" customFormat="false" ht="15" hidden="false" customHeight="true" outlineLevel="0" collapsed="false">
      <c r="B175" s="40" t="s">
        <v>256</v>
      </c>
      <c r="C175" s="41" t="str">
        <f aca="false">IF(ISNUMBER(C171),C171+C173+C174,"")</f>
        <v/>
      </c>
      <c r="D175" s="41" t="str">
        <f aca="false">IF(ISNUMBER(D171),D171+D173+D174,"")</f>
        <v/>
      </c>
      <c r="E175" s="41" t="str">
        <f aca="false">IF(ISNUMBER(E171),E171+E173+E174,"")</f>
        <v/>
      </c>
      <c r="F175" s="41" t="n">
        <f aca="false">IF(ISNUMBER(F171),F171+F173+F174,"")</f>
        <v>547.4</v>
      </c>
      <c r="G175" s="41" t="n">
        <f aca="false">IF(ISNUMBER(G171),G171+G173+G174,"")</f>
        <v>769.1</v>
      </c>
      <c r="H175" s="41" t="n">
        <f aca="false">IF(ISNUMBER(H171),H171+H173+H174,"")</f>
        <v>998.4</v>
      </c>
      <c r="I175" s="41" t="n">
        <f aca="false">IF(ISNUMBER(I171),I171+I173+I174,"")</f>
        <v>1238.8</v>
      </c>
      <c r="J175" s="41" t="n">
        <f aca="false">IF(ISNUMBER(J171),J171+J173+J174,"")</f>
        <v>647.5</v>
      </c>
      <c r="K175" s="41" t="n">
        <f aca="false">IF(ISNUMBER(K171),K171+K173+K174,"")</f>
        <v>709.2</v>
      </c>
      <c r="L175" s="41" t="n">
        <f aca="false">IF(ISNUMBER(L171),L171+L173+L174,"")</f>
        <v>1356.7</v>
      </c>
      <c r="M175" s="41" t="n">
        <f aca="false">IF(ISNUMBER(M171),M171+M173+M174,"")</f>
        <v>693.3</v>
      </c>
      <c r="N175" s="41" t="n">
        <f aca="false">IF(ISNUMBER(N171),N171+N173+N174,"")</f>
        <v>774.6</v>
      </c>
      <c r="O175" s="41" t="n">
        <f aca="false">IF(ISNUMBER(O171),O171+O173+O174,"")</f>
        <v>1467.9</v>
      </c>
      <c r="P175" s="41" t="n">
        <f aca="false">IF(ISNUMBER(P171),P171+P173+P174,"")</f>
        <v>834.9</v>
      </c>
      <c r="Q175" s="41" t="n">
        <f aca="false">IF(ISNUMBER(Q171),Q171+Q173+Q174,"")</f>
        <v>912.3</v>
      </c>
      <c r="R175" s="41" t="n">
        <f aca="false">IF(ISNUMBER(R171),R171+R173+R174,"")</f>
        <v>1747.2</v>
      </c>
      <c r="S175" s="41" t="n">
        <f aca="false">IF(ISNUMBER(S171),S171+S173+S174,"")</f>
        <v>933.9</v>
      </c>
      <c r="T175" s="41" t="n">
        <f aca="false">IF(ISNUMBER(T171),T171+T173+T174,"")</f>
        <v>994.7</v>
      </c>
      <c r="U175" s="41" t="n">
        <f aca="false">IF(ISNUMBER(U171),U171+U173+U174,"")</f>
        <v>1928.6</v>
      </c>
      <c r="V175" s="41" t="n">
        <f aca="false">IF(ISNUMBER(V171),V171+V173+V174,"")</f>
        <v>1048.3</v>
      </c>
      <c r="W175" s="41" t="n">
        <f aca="false">IF(ISNUMBER(W171),W171+W173+W174,"")</f>
        <v>1116.7</v>
      </c>
      <c r="X175" s="41" t="n">
        <f aca="false">IF(ISNUMBER(X171),X171+X173+X174,"")</f>
        <v>2165</v>
      </c>
      <c r="Y175" s="41" t="n">
        <f aca="false">IF(ISNUMBER(Y171),Y171+Y173+Y174,"")</f>
        <v>1123.9</v>
      </c>
      <c r="Z175" s="41" t="n">
        <f aca="false">IF(ISNUMBER(Z171),Z171+Z173+Z174,"")</f>
        <v>1181.1</v>
      </c>
      <c r="AA175" s="41" t="n">
        <f aca="false">IF(ISNUMBER(AA171),AA171+AA173+AA174,"")</f>
        <v>2305</v>
      </c>
      <c r="AB175" s="41" t="n">
        <f aca="false">IF(ISNUMBER(AB171),AB171+AB173+AB174,"")</f>
        <v>1274.9</v>
      </c>
      <c r="AC175" s="41" t="n">
        <f aca="false">IF(ISNUMBER(AC171),AC171+AC173+AC174,"")</f>
        <v>1312.9</v>
      </c>
      <c r="AD175" s="41" t="n">
        <f aca="false">IF(ISNUMBER(AD171),AD171+AD173+AD174,"")</f>
        <v>2587.8</v>
      </c>
      <c r="AE175" s="41" t="n">
        <f aca="false">IF(ISNUMBER(AE171),AE171+AE173+AE174,"")</f>
        <v>655.8</v>
      </c>
      <c r="AF175" s="41" t="n">
        <f aca="false">IF(ISNUMBER(AF171),AF171+AF173+AF174,"")</f>
        <v>1666.7</v>
      </c>
      <c r="AG175" s="41" t="n">
        <f aca="false">IF(ISNUMBER(AG171),AG171+AG173+AG174,"")</f>
        <v>2322.5</v>
      </c>
      <c r="AH175" s="41" t="n">
        <f aca="false">IF(ISNUMBER(AH171),AH171+AH173+AH174,"")</f>
        <v>1913.8</v>
      </c>
      <c r="AI175" s="41" t="n">
        <f aca="false">IF(ISNUMBER(AI171),AI171+AI173+AI174,"")</f>
        <v>2001.2</v>
      </c>
      <c r="AJ175" s="41" t="n">
        <f aca="false">IF(ISNUMBER(AJ171),AJ171+AJ173+AJ174,"")</f>
        <v>3915</v>
      </c>
      <c r="AK175" s="41" t="n">
        <f aca="false">IF(ISNUMBER(AK171),AK171+AK173+AK174,"")</f>
        <v>2517</v>
      </c>
      <c r="AL175" s="41" t="n">
        <f aca="false">IF(ISNUMBER(AL171),AL171+AL173+AL174,"")</f>
        <v>2606</v>
      </c>
      <c r="AM175" s="41" t="n">
        <f aca="false">IF(ISNUMBER(AM171),AM171+AM173+AM174,"")</f>
        <v>5123</v>
      </c>
      <c r="AN175" s="41" t="n">
        <f aca="false">IF(ISNUMBER(AN171),AN171+AN173+AN174,"")</f>
        <v>3129</v>
      </c>
      <c r="AO175" s="41" t="n">
        <f aca="false">IF(ISNUMBER(AO171),AO171+AO173+AO174,"")</f>
        <v>2959</v>
      </c>
      <c r="AP175" s="41" t="n">
        <f aca="false">IF(ISNUMBER(AP171),AP171+AP173+AP174,"")</f>
        <v>6088</v>
      </c>
      <c r="AQ175" s="41" t="n">
        <f aca="false">IF(ISNUMBER(AQ171),AQ171+AQ173+AQ174,"")</f>
        <v>3354</v>
      </c>
      <c r="AR175" s="41" t="n">
        <f aca="false">IF(ISNUMBER(AR171),AR171+AR173+AR174,"")</f>
        <v>3274</v>
      </c>
      <c r="AS175" s="41" t="n">
        <f aca="false">IF(ISNUMBER(AS171),AS171+AS173+AS174,"")</f>
        <v>6628</v>
      </c>
      <c r="AT175" s="41" t="n">
        <f aca="false">IF(ISNUMBER(AT171),AT171+AT173+AT174,"")</f>
        <v>3597</v>
      </c>
      <c r="AU175" s="41" t="n">
        <f aca="false">IF(ISNUMBER(AU171),AU171+AU173+AU174,"")</f>
        <v>3511</v>
      </c>
      <c r="AV175" s="41" t="n">
        <f aca="false">IF(ISNUMBER(AV171),AV171+AV173+AV174,"")</f>
        <v>7108</v>
      </c>
      <c r="AW175" s="41" t="n">
        <f aca="false">IF(ISNUMBER(AW171),AW171+AW173+AW174,"")</f>
        <v>3669</v>
      </c>
      <c r="AX175" s="41" t="n">
        <f aca="false">AX171+AX173+AX174</f>
        <v>3543.51561</v>
      </c>
      <c r="AY175" s="41" t="n">
        <f aca="false">AY171+AY173+AY174</f>
        <v>7212.51561</v>
      </c>
      <c r="AZ175" s="41" t="n">
        <f aca="false">AZ171+AZ173+AZ174</f>
        <v>7725.9484679</v>
      </c>
      <c r="BA175" s="41" t="n">
        <f aca="false">BA171+BA173+BA174</f>
        <v>8361.1812257015</v>
      </c>
      <c r="BB175" s="41" t="n">
        <f aca="false">BB171+BB173+BB174</f>
        <v>9002.4030009481</v>
      </c>
      <c r="BC175" s="41" t="n">
        <f aca="false">BC171+BC173+BC174</f>
        <v>9609.06191597714</v>
      </c>
      <c r="BD175" s="23" t="s">
        <v>257</v>
      </c>
      <c r="BF175" s="24" t="n">
        <f aca="false">IFERROR((BC175/AV175)^(1/5)-1,"n/m")</f>
        <v>0.0621521059488412</v>
      </c>
      <c r="BG175" s="24" t="n">
        <f aca="false">IFERROR((AV175/AG175)^(1/5)-1,"n/m")</f>
        <v>0.250714944884423</v>
      </c>
      <c r="BH175" s="24" t="n">
        <f aca="false">IFERROR((AV175/R175)^(1/10)-1,"n/m")</f>
        <v>0.150642682212738</v>
      </c>
      <c r="BI175" s="24" t="str">
        <f aca="false">IFERROR((AV175/C175)^(1/19)-1,"n/m")</f>
        <v>n/m</v>
      </c>
    </row>
    <row r="176" customFormat="false" ht="15" hidden="false" customHeight="true" outlineLevel="0" collapsed="false">
      <c r="B176" s="26" t="s">
        <v>258</v>
      </c>
      <c r="C176" s="30" t="str">
        <f aca="false">IF(AND(ISNUMBER(C175),ISNUMBER(C119)),IFERROR(C175/C119,""),"")</f>
        <v/>
      </c>
      <c r="D176" s="30" t="str">
        <f aca="false">IF(AND(ISNUMBER(D175),ISNUMBER(D119)),IFERROR(D175/D119,""),"")</f>
        <v/>
      </c>
      <c r="E176" s="30" t="str">
        <f aca="false">IF(AND(ISNUMBER(E175),ISNUMBER(E119)),IFERROR(E175/E119,""),"")</f>
        <v/>
      </c>
      <c r="F176" s="30" t="n">
        <f aca="false">IF(AND(ISNUMBER(F175),ISNUMBER(F119)),IFERROR(F175/F119,""),"")</f>
        <v>0.285953089902314</v>
      </c>
      <c r="G176" s="30" t="n">
        <f aca="false">IF(AND(ISNUMBER(G175),ISNUMBER(G119)),IFERROR(G175/G119,""),"")</f>
        <v>0.320351549483506</v>
      </c>
      <c r="H176" s="30" t="n">
        <f aca="false">IF(AND(ISNUMBER(H175),ISNUMBER(H119)),IFERROR(H175/H119,""),"")</f>
        <v>0.351400816556385</v>
      </c>
      <c r="I176" s="30" t="n">
        <f aca="false">IF(AND(ISNUMBER(I175),ISNUMBER(I119)),IFERROR(I175/I119,""),"")</f>
        <v>0.355558106828162</v>
      </c>
      <c r="J176" s="30" t="n">
        <f aca="false">IF(AND(ISNUMBER(J175),ISNUMBER(J119)),IFERROR(J175/J119,""),"")</f>
        <v>0.366398822996831</v>
      </c>
      <c r="K176" s="30" t="n">
        <f aca="false">IF(AND(ISNUMBER(K175),ISNUMBER(K119)),IFERROR(K175/K119,""),"")</f>
        <v>0.356812235862347</v>
      </c>
      <c r="L176" s="30" t="n">
        <f aca="false">IF(AND(ISNUMBER(L175),ISNUMBER(L119)),IFERROR(L175/L119,""),"")</f>
        <v>0.361324171726856</v>
      </c>
      <c r="M176" s="30" t="n">
        <f aca="false">IF(AND(ISNUMBER(M175),ISNUMBER(M119)),IFERROR(M175/M119,""),"")</f>
        <v>0.363574387749751</v>
      </c>
      <c r="N176" s="30" t="n">
        <f aca="false">IF(AND(ISNUMBER(N175),ISNUMBER(N119)),IFERROR(N175/N119,""),"")</f>
        <v>0.350228331147986</v>
      </c>
      <c r="O176" s="30" t="n">
        <f aca="false">IF(AND(ISNUMBER(O175),ISNUMBER(O119)),IFERROR(O175/O119,""),"")</f>
        <v>0.356407517117467</v>
      </c>
      <c r="P176" s="30" t="n">
        <f aca="false">IF(AND(ISNUMBER(P175),ISNUMBER(P119)),IFERROR(P175/P119,""),"")</f>
        <v>0.363094720361834</v>
      </c>
      <c r="Q176" s="30" t="n">
        <f aca="false">IF(AND(ISNUMBER(Q175),ISNUMBER(Q119)),IFERROR(Q175/Q119,""),"")</f>
        <v>0.358947119924457</v>
      </c>
      <c r="R176" s="30" t="n">
        <f aca="false">IF(AND(ISNUMBER(R175),ISNUMBER(R119)),IFERROR(R175/R119,""),"")</f>
        <v>0.360917165874819</v>
      </c>
      <c r="S176" s="30" t="n">
        <f aca="false">IF(AND(ISNUMBER(S175),ISNUMBER(S119)),IFERROR(S175/S119,""),"")</f>
        <v>0.382683166693985</v>
      </c>
      <c r="T176" s="30" t="n">
        <f aca="false">IF(AND(ISNUMBER(T175),ISNUMBER(T119)),IFERROR(T175/T119,""),"")</f>
        <v>0.360163661380259</v>
      </c>
      <c r="U176" s="30" t="n">
        <f aca="false">IF(AND(ISNUMBER(U175),ISNUMBER(U119)),IFERROR(U175/U119,""),"")</f>
        <v>0.370727769020799</v>
      </c>
      <c r="V176" s="30" t="n">
        <f aca="false">IF(AND(ISNUMBER(V175),ISNUMBER(V119)),IFERROR(V175/V119,""),"")</f>
        <v>0.386384578526409</v>
      </c>
      <c r="W176" s="30" t="n">
        <f aca="false">IF(AND(ISNUMBER(W175),ISNUMBER(W119)),IFERROR(W175/W119,""),"")</f>
        <v>0.393744931419908</v>
      </c>
      <c r="X176" s="30" t="n">
        <f aca="false">IF(AND(ISNUMBER(X175),ISNUMBER(X119)),IFERROR(X175/X119,""),"")</f>
        <v>0.390146327398544</v>
      </c>
      <c r="Y176" s="30" t="n">
        <f aca="false">IF(AND(ISNUMBER(Y175),ISNUMBER(Y119)),IFERROR(Y175/Y119,""),"")</f>
        <v>0.393880984089157</v>
      </c>
      <c r="Z176" s="30" t="n">
        <f aca="false">IF(AND(ISNUMBER(Z175),ISNUMBER(Z119)),IFERROR(Z175/Z119,""),"")</f>
        <v>0.379445497478074</v>
      </c>
      <c r="AA176" s="30" t="n">
        <f aca="false">IF(AND(ISNUMBER(AA175),ISNUMBER(AA119)),IFERROR(AA175/AA119,""),"")</f>
        <v>0.386349541576574</v>
      </c>
      <c r="AB176" s="30" t="n">
        <f aca="false">IF(AND(ISNUMBER(AB175),ISNUMBER(AB119)),IFERROR(AB175/AB119,""),"")</f>
        <v>0.388191949333171</v>
      </c>
      <c r="AC176" s="30" t="n">
        <f aca="false">IF(AND(ISNUMBER(AC175),ISNUMBER(AC119)),IFERROR(AC175/AC119,""),"")</f>
        <v>0.364775505667926</v>
      </c>
      <c r="AD176" s="30" t="n">
        <f aca="false">IF(AND(ISNUMBER(AD175),ISNUMBER(AD119)),IFERROR(AD175/AD119,""),"")</f>
        <v>0.375947932707674</v>
      </c>
      <c r="AE176" s="30" t="n">
        <f aca="false">IF(AND(ISNUMBER(AE175),ISNUMBER(AE119)),IFERROR(AE175/AE119,""),"")</f>
        <v>0.263585209003215</v>
      </c>
      <c r="AF176" s="30" t="n">
        <f aca="false">IF(AND(ISNUMBER(AF175),ISNUMBER(AF119)),IFERROR(AF175/AF119,""),"")</f>
        <v>0.427205618495925</v>
      </c>
      <c r="AG176" s="30" t="n">
        <f aca="false">IF(AND(ISNUMBER(AG175),ISNUMBER(AG119)),IFERROR(AG175/AG119,""),"")</f>
        <v>0.363492659717657</v>
      </c>
      <c r="AH176" s="30" t="n">
        <f aca="false">IF(AND(ISNUMBER(AH175),ISNUMBER(AH119)),IFERROR(AH175/AH119,""),"")</f>
        <v>0.451890156076598</v>
      </c>
      <c r="AI176" s="30" t="n">
        <f aca="false">IF(AND(ISNUMBER(AI175),ISNUMBER(AI119)),IFERROR(AI175/AI119,""),"")</f>
        <v>0.421580399839895</v>
      </c>
      <c r="AJ176" s="30" t="n">
        <f aca="false">IF(AND(ISNUMBER(AJ175),ISNUMBER(AJ119)),IFERROR(AJ175/AJ119,""),"")</f>
        <v>0.435871743486974</v>
      </c>
      <c r="AK176" s="30" t="n">
        <f aca="false">IF(AND(ISNUMBER(AK175),ISNUMBER(AK119)),IFERROR(AK175/AK119,""),"")</f>
        <v>0.45972602739726</v>
      </c>
      <c r="AL176" s="30" t="n">
        <f aca="false">IF(AND(ISNUMBER(AL175),ISNUMBER(AL119)),IFERROR(AL175/AL119,""),"")</f>
        <v>0.425330504325118</v>
      </c>
      <c r="AM176" s="30" t="n">
        <f aca="false">IF(AND(ISNUMBER(AM175),ISNUMBER(AM119)),IFERROR(AM175/AM119,""),"")</f>
        <v>0.441561799689709</v>
      </c>
      <c r="AN176" s="30" t="n">
        <f aca="false">IF(AND(ISNUMBER(AN175),ISNUMBER(AN119)),IFERROR(AN175/AN119,""),"")</f>
        <v>0.467154374440131</v>
      </c>
      <c r="AO176" s="30" t="n">
        <f aca="false">IF(AND(ISNUMBER(AO175),ISNUMBER(AO119)),IFERROR(AO175/AO119,""),"")</f>
        <v>0.439738445534255</v>
      </c>
      <c r="AP176" s="30" t="n">
        <f aca="false">IF(AND(ISNUMBER(AP175),ISNUMBER(AP119)),IFERROR(AP175/AP119,""),"")</f>
        <v>0.453414761301855</v>
      </c>
      <c r="AQ176" s="30" t="n">
        <f aca="false">IF(AND(ISNUMBER(AQ175),ISNUMBER(AQ119)),IFERROR(AQ175/AQ119,""),"")</f>
        <v>0.446961620469083</v>
      </c>
      <c r="AR176" s="30" t="n">
        <f aca="false">IF(AND(ISNUMBER(AR175),ISNUMBER(AR119)),IFERROR(AR175/AR119,""),"")</f>
        <v>0.427080615705714</v>
      </c>
      <c r="AS176" s="30" t="n">
        <f aca="false">IF(AND(ISNUMBER(AS175),ISNUMBER(AS119)),IFERROR(AS175/AS119,""),"")</f>
        <v>0.436914963744232</v>
      </c>
      <c r="AT176" s="30" t="n">
        <f aca="false">IF(AND(ISNUMBER(AT175),ISNUMBER(AT119)),IFERROR(AT175/AT119,""),"")</f>
        <v>0.447722180731889</v>
      </c>
      <c r="AU176" s="30" t="n">
        <f aca="false">IF(AND(ISNUMBER(AU175),ISNUMBER(AU119)),IFERROR(AU175/AU119,""),"")</f>
        <v>0.440637550200803</v>
      </c>
      <c r="AV176" s="30" t="n">
        <f aca="false">IF(AND(ISNUMBER(AV175),ISNUMBER(AV119)),IFERROR(AV175/AV119,""),"")</f>
        <v>0.444194475690539</v>
      </c>
      <c r="AW176" s="30" t="n">
        <f aca="false">IF(AND(ISNUMBER(AW175),ISNUMBER(AW119)),IFERROR(AW175/AW119,""),"")</f>
        <v>0.449467107681</v>
      </c>
      <c r="AX176" s="28" t="n">
        <f aca="false">IF(AND(ISNUMBER(AX175),ISNUMBER(AX119)),IFERROR(AX175/AX119,""),"")</f>
        <v>0.429830168401466</v>
      </c>
      <c r="AY176" s="28" t="n">
        <f aca="false">IF(AND(ISNUMBER(AY175),ISNUMBER(AY119)),IFERROR(AY175/AY119,""),"")</f>
        <v>0.439600171024667</v>
      </c>
      <c r="AZ176" s="28" t="n">
        <f aca="false">IF(AND(ISNUMBER(AZ175),ISNUMBER(AZ119)),IFERROR(AZ175/AZ119,""),"")</f>
        <v>0.438318451014018</v>
      </c>
      <c r="BA176" s="28" t="n">
        <f aca="false">IF(AND(ISNUMBER(BA175),ISNUMBER(BA119)),IFERROR(BA175/BA119,""),"")</f>
        <v>0.441313237754778</v>
      </c>
      <c r="BB176" s="28" t="n">
        <f aca="false">IF(AND(ISNUMBER(BB175),ISNUMBER(BB119)),IFERROR(BB175/BB119,""),"")</f>
        <v>0.443304718904087</v>
      </c>
      <c r="BC176" s="28" t="n">
        <f aca="false">IF(AND(ISNUMBER(BC175),ISNUMBER(BC119)),IFERROR(BC175/BC119,""),"")</f>
        <v>0.443288185203261</v>
      </c>
      <c r="BD176" s="23"/>
      <c r="BF176" s="32" t="n">
        <f aca="false">IFERROR(AVERAGE(AY176,AZ176,BA176,BB176,BC176),"n/m")</f>
        <v>0.441164952780162</v>
      </c>
      <c r="BG176" s="32" t="n">
        <f aca="false">IFERROR(AVERAGE(AJ176,AM176,AP176,AS176,AV176),"n/m")</f>
        <v>0.442391548782662</v>
      </c>
      <c r="BH176" s="32" t="n">
        <f aca="false">IFERROR(AVERAGE(U176,X176,AA176,AD176,AG176,AJ176,AM176,AP176,AS176,AV176),"n/m")</f>
        <v>0.409862197433456</v>
      </c>
      <c r="BI176" s="32" t="n">
        <f aca="false">IFERROR(AVERAGE(C176,D176,E176,F176,G176,H176,I176,L176,O176,R176,U176,X176,AA176,AD176,AG176,AJ176,AM176,AP176,AS176,AV176),"n/m")</f>
        <v>0.381796140695533</v>
      </c>
    </row>
    <row r="177" customFormat="false" ht="15" hidden="false" customHeight="true" outlineLevel="0" collapsed="false">
      <c r="B177" s="56" t="s">
        <v>259</v>
      </c>
      <c r="F177" s="57" t="s">
        <v>260</v>
      </c>
      <c r="AB177" s="57" t="s">
        <v>261</v>
      </c>
      <c r="AD177" s="57" t="s">
        <v>261</v>
      </c>
      <c r="AX177" s="7"/>
      <c r="AY177" s="7"/>
      <c r="AZ177" s="7"/>
      <c r="BA177" s="7"/>
      <c r="BB177" s="7"/>
      <c r="BC177" s="7"/>
      <c r="BD177" s="23" t="s">
        <v>262</v>
      </c>
      <c r="BF177" s="7"/>
      <c r="BG177" s="7"/>
      <c r="BH177" s="7"/>
      <c r="BI177" s="7"/>
    </row>
    <row r="178" customFormat="false" ht="15" hidden="false" customHeight="true" outlineLevel="0" collapsed="false">
      <c r="B178" s="36" t="s">
        <v>263</v>
      </c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9"/>
      <c r="AY178" s="39"/>
      <c r="AZ178" s="39"/>
      <c r="BA178" s="39"/>
      <c r="BB178" s="39"/>
      <c r="BC178" s="39"/>
      <c r="BD178" s="23"/>
      <c r="BF178" s="7"/>
      <c r="BG178" s="7"/>
      <c r="BH178" s="7"/>
      <c r="BI178" s="7"/>
    </row>
    <row r="179" customFormat="false" ht="15" hidden="false" customHeight="true" outlineLevel="0" collapsed="false">
      <c r="B179" s="19" t="s">
        <v>264</v>
      </c>
      <c r="C179" s="20" t="str">
        <f aca="false">IF(ISNUMBER(C171),C171-C169-C170,"")</f>
        <v/>
      </c>
      <c r="D179" s="20" t="str">
        <f aca="false">IF(ISNUMBER(D171),D171-D169-D170,"")</f>
        <v/>
      </c>
      <c r="E179" s="20" t="str">
        <f aca="false">IF(ISNUMBER(E171),E171-E169-E170,"")</f>
        <v/>
      </c>
      <c r="F179" s="20" t="n">
        <f aca="false">IF(ISNUMBER(F171),F171-F169-F170,"")</f>
        <v>462.9</v>
      </c>
      <c r="G179" s="20" t="n">
        <f aca="false">IF(ISNUMBER(G171),G171-G169-G170,"")</f>
        <v>668.2</v>
      </c>
      <c r="H179" s="20" t="n">
        <f aca="false">IF(ISNUMBER(H171),H171-H169-H170,"")</f>
        <v>885.2</v>
      </c>
      <c r="I179" s="20" t="n">
        <f aca="false">IF(ISNUMBER(I171),I171-I169-I170,"")</f>
        <v>1118.7</v>
      </c>
      <c r="J179" s="20" t="n">
        <f aca="false">IF(ISNUMBER(J171),J171-J169-J170,"")</f>
        <v>584.1</v>
      </c>
      <c r="K179" s="20" t="n">
        <f aca="false">IF(ISNUMBER(K171),K171-K169-K170,"")</f>
        <v>634.1</v>
      </c>
      <c r="L179" s="20" t="n">
        <f aca="false">IF(ISNUMBER(L171),L171-L169-L170,"")</f>
        <v>1218.2</v>
      </c>
      <c r="M179" s="20" t="n">
        <f aca="false">IF(ISNUMBER(M171),M171-M169-M170,"")</f>
        <v>621.4</v>
      </c>
      <c r="N179" s="20" t="n">
        <f aca="false">IF(ISNUMBER(N171),N171-N169-N170,"")</f>
        <v>677.9</v>
      </c>
      <c r="O179" s="20" t="n">
        <f aca="false">IF(ISNUMBER(O171),O171-O169-O170,"")</f>
        <v>1299.3</v>
      </c>
      <c r="P179" s="20" t="n">
        <f aca="false">IF(ISNUMBER(P171),P171-P169-P170,"")</f>
        <v>748.2</v>
      </c>
      <c r="Q179" s="20" t="n">
        <f aca="false">IF(ISNUMBER(Q171),Q171-Q169-Q170,"")</f>
        <v>792.5</v>
      </c>
      <c r="R179" s="20" t="n">
        <f aca="false">IF(ISNUMBER(R171),R171-R169-R170,"")</f>
        <v>1540.7</v>
      </c>
      <c r="S179" s="20" t="n">
        <f aca="false">IF(ISNUMBER(S171),S171-S169-S170,"")</f>
        <v>826.8</v>
      </c>
      <c r="T179" s="20" t="n">
        <f aca="false">IF(ISNUMBER(T171),T171-T169-T170,"")</f>
        <v>869.7</v>
      </c>
      <c r="U179" s="20" t="n">
        <f aca="false">IF(ISNUMBER(U171),U171-U169-U170,"")</f>
        <v>1696.5</v>
      </c>
      <c r="V179" s="20" t="n">
        <f aca="false">IF(ISNUMBER(V171),V171-V169-V170,"")</f>
        <v>931.3</v>
      </c>
      <c r="W179" s="20" t="n">
        <f aca="false">IF(ISNUMBER(W171),W171-W169-W170,"")</f>
        <v>990.7</v>
      </c>
      <c r="X179" s="20" t="n">
        <f aca="false">IF(ISNUMBER(X171),X171-X169-X170,"")</f>
        <v>1922</v>
      </c>
      <c r="Y179" s="20" t="n">
        <f aca="false">IF(ISNUMBER(Y171),Y171-Y169-Y170,"")</f>
        <v>984.6</v>
      </c>
      <c r="Z179" s="20" t="n">
        <f aca="false">IF(ISNUMBER(Z171),Z171-Z169-Z170,"")</f>
        <v>1060.4</v>
      </c>
      <c r="AA179" s="20" t="n">
        <f aca="false">IF(ISNUMBER(AA171),AA171-AA169-AA170,"")</f>
        <v>2045</v>
      </c>
      <c r="AB179" s="20" t="n">
        <f aca="false">IF(ISNUMBER(AB171),AB171-AB169-AB170,"")</f>
        <v>1143.9</v>
      </c>
      <c r="AC179" s="20" t="n">
        <f aca="false">IF(ISNUMBER(AC171),AC171-AC169-AC170,"")</f>
        <v>1194.9</v>
      </c>
      <c r="AD179" s="20" t="n">
        <f aca="false">IF(ISNUMBER(AD171),AD171-AD169-AD170,"")</f>
        <v>2338.8</v>
      </c>
      <c r="AE179" s="20" t="n">
        <f aca="false">IF(ISNUMBER(AE171),AE171-AE169-AE170,"")</f>
        <v>534.6</v>
      </c>
      <c r="AF179" s="20" t="n">
        <f aca="false">IF(ISNUMBER(AF171),AF171-AF169-AF170,"")</f>
        <v>1446.8</v>
      </c>
      <c r="AG179" s="20" t="n">
        <f aca="false">IF(ISNUMBER(AG171),AG171-AG169-AG170,"")</f>
        <v>1981.4</v>
      </c>
      <c r="AH179" s="20" t="n">
        <f aca="false">IF(ISNUMBER(AH171),AH171-AH169-AH170,"")</f>
        <v>1721.8</v>
      </c>
      <c r="AI179" s="20" t="n">
        <f aca="false">IF(ISNUMBER(AI171),AI171-AI169-AI170,"")</f>
        <v>1809.2</v>
      </c>
      <c r="AJ179" s="20" t="n">
        <f aca="false">IF(ISNUMBER(AJ171),AJ171-AJ169-AJ170,"")</f>
        <v>3531</v>
      </c>
      <c r="AK179" s="20" t="n">
        <f aca="false">IF(ISNUMBER(AK171),AK171-AK169-AK170,"")</f>
        <v>2305</v>
      </c>
      <c r="AL179" s="20" t="n">
        <f aca="false">IF(ISNUMBER(AL171),AL171-AL169-AL170,"")</f>
        <v>2392</v>
      </c>
      <c r="AM179" s="20" t="n">
        <f aca="false">IF(ISNUMBER(AM171),AM171-AM169-AM170,"")</f>
        <v>4697</v>
      </c>
      <c r="AN179" s="20" t="n">
        <f aca="false">IF(ISNUMBER(AN171),AN171-AN169-AN170,"")</f>
        <v>2947</v>
      </c>
      <c r="AO179" s="20" t="n">
        <f aca="false">IF(ISNUMBER(AO171),AO171-AO169-AO170,"")</f>
        <v>2702</v>
      </c>
      <c r="AP179" s="20" t="n">
        <f aca="false">IF(ISNUMBER(AP171),AP171-AP169-AP170,"")</f>
        <v>5649</v>
      </c>
      <c r="AQ179" s="20" t="n">
        <f aca="false">IF(ISNUMBER(AQ171),AQ171-AQ169-AQ170,"")</f>
        <v>3149</v>
      </c>
      <c r="AR179" s="20" t="n">
        <f aca="false">IF(ISNUMBER(AR171),AR171-AR169-AR170,"")</f>
        <v>2999</v>
      </c>
      <c r="AS179" s="20" t="n">
        <f aca="false">IF(ISNUMBER(AS171),AS171-AS169-AS170,"")</f>
        <v>6148</v>
      </c>
      <c r="AT179" s="20" t="n">
        <f aca="false">IF(ISNUMBER(AT171),AT171-AT169-AT170,"")</f>
        <v>3327</v>
      </c>
      <c r="AU179" s="20" t="n">
        <f aca="false">IF(ISNUMBER(AU171),AU171-AU169-AU170,"")</f>
        <v>3242</v>
      </c>
      <c r="AV179" s="20" t="n">
        <f aca="false">IF(ISNUMBER(AV171),AV171-AV169-AV170,"")</f>
        <v>6569</v>
      </c>
      <c r="AW179" s="20" t="n">
        <f aca="false">IF(ISNUMBER(AW171),AW171-AW169-AW170,"")</f>
        <v>3350</v>
      </c>
      <c r="AX179" s="22" t="n">
        <f aca="false">AX171-AX169-AX170</f>
        <v>3314.08398</v>
      </c>
      <c r="AY179" s="22" t="n">
        <f aca="false">AY171-AY169-AY170</f>
        <v>6664.08398</v>
      </c>
      <c r="AZ179" s="22" t="n">
        <f aca="false">AZ171-AZ169-AZ170</f>
        <v>7138.666242</v>
      </c>
      <c r="BA179" s="22" t="n">
        <f aca="false">BA171-BA169-BA170</f>
        <v>7730.02404696</v>
      </c>
      <c r="BB179" s="22" t="n">
        <f aca="false">BB171-BB169-BB170</f>
        <v>8326.0679911402</v>
      </c>
      <c r="BC179" s="22" t="n">
        <f aca="false">BC171-BC169-BC170</f>
        <v>8887.48113993642</v>
      </c>
      <c r="BD179" s="23"/>
      <c r="BF179" s="24" t="n">
        <f aca="false">IFERROR((BC179/AV179)^(1/5)-1,"n/m")</f>
        <v>0.062321291915411</v>
      </c>
      <c r="BG179" s="24" t="n">
        <f aca="false">IFERROR((AV179/AG179)^(1/5)-1,"n/m")</f>
        <v>0.270882561801848</v>
      </c>
      <c r="BH179" s="24" t="n">
        <f aca="false">IFERROR((AV179/R179)^(1/10)-1,"n/m")</f>
        <v>0.156053992564873</v>
      </c>
      <c r="BI179" s="24" t="str">
        <f aca="false">IFERROR((AV179/C179)^(1/19)-1,"n/m")</f>
        <v>n/m</v>
      </c>
    </row>
    <row r="180" customFormat="false" ht="15" hidden="false" customHeight="true" outlineLevel="0" collapsed="false">
      <c r="B180" s="26" t="s">
        <v>265</v>
      </c>
      <c r="C180" s="30" t="str">
        <f aca="false">IF(AND(ISNUMBER(C179),ISNUMBER(C119)),IFERROR(C179/C119,""),"")</f>
        <v/>
      </c>
      <c r="D180" s="30" t="str">
        <f aca="false">IF(AND(ISNUMBER(D179),ISNUMBER(D119)),IFERROR(D179/D119,""),"")</f>
        <v/>
      </c>
      <c r="E180" s="30" t="str">
        <f aca="false">IF(AND(ISNUMBER(E179),ISNUMBER(E119)),IFERROR(E179/E119,""),"")</f>
        <v/>
      </c>
      <c r="F180" s="30" t="n">
        <f aca="false">IF(AND(ISNUMBER(F179),ISNUMBER(F119)),IFERROR(F179/F119,""),"")</f>
        <v>0.241811628271431</v>
      </c>
      <c r="G180" s="30" t="n">
        <f aca="false">IF(AND(ISNUMBER(G179),ISNUMBER(G119)),IFERROR(G179/G119,""),"")</f>
        <v>0.278323892035988</v>
      </c>
      <c r="H180" s="30" t="n">
        <f aca="false">IF(AND(ISNUMBER(H179),ISNUMBER(H119)),IFERROR(H179/H119,""),"")</f>
        <v>0.311558496409968</v>
      </c>
      <c r="I180" s="30" t="n">
        <f aca="false">IF(AND(ISNUMBER(I179),ISNUMBER(I119)),IFERROR(I179/I119,""),"")</f>
        <v>0.321087224821331</v>
      </c>
      <c r="J180" s="30" t="n">
        <f aca="false">IF(AND(ISNUMBER(J179),ISNUMBER(J119)),IFERROR(J179/J119,""),"")</f>
        <v>0.330522861023087</v>
      </c>
      <c r="K180" s="30" t="n">
        <f aca="false">IF(AND(ISNUMBER(K179),ISNUMBER(K119)),IFERROR(K179/K119,""),"")</f>
        <v>0.319027973435299</v>
      </c>
      <c r="L180" s="30" t="n">
        <f aca="false">IF(AND(ISNUMBER(L179),ISNUMBER(L119)),IFERROR(L179/L119,""),"")</f>
        <v>0.324438052625972</v>
      </c>
      <c r="M180" s="30" t="n">
        <f aca="false">IF(AND(ISNUMBER(M179),ISNUMBER(M119)),IFERROR(M179/M119,""),"")</f>
        <v>0.325869211809744</v>
      </c>
      <c r="N180" s="30" t="n">
        <f aca="false">IF(AND(ISNUMBER(N179),ISNUMBER(N119)),IFERROR(N179/N119,""),"")</f>
        <v>0.306506307365375</v>
      </c>
      <c r="O180" s="30" t="n">
        <f aca="false">IF(AND(ISNUMBER(O179),ISNUMBER(O119)),IFERROR(O179/O119,""),"")</f>
        <v>0.315471276647405</v>
      </c>
      <c r="P180" s="30" t="n">
        <f aca="false">IF(AND(ISNUMBER(P179),ISNUMBER(P119)),IFERROR(P179/P119,""),"")</f>
        <v>0.325389231973558</v>
      </c>
      <c r="Q180" s="30" t="n">
        <f aca="false">IF(AND(ISNUMBER(Q179),ISNUMBER(Q119)),IFERROR(Q179/Q119,""),"")</f>
        <v>0.311811457349701</v>
      </c>
      <c r="R180" s="30" t="n">
        <f aca="false">IF(AND(ISNUMBER(R179),ISNUMBER(R119)),IFERROR(R179/R119,""),"")</f>
        <v>0.318260689940095</v>
      </c>
      <c r="S180" s="30" t="n">
        <f aca="false">IF(AND(ISNUMBER(S179),ISNUMBER(S119)),IFERROR(S179/S119,""),"")</f>
        <v>0.338796918537945</v>
      </c>
      <c r="T180" s="30" t="n">
        <f aca="false">IF(AND(ISNUMBER(T179),ISNUMBER(T119)),IFERROR(T179/T119,""),"")</f>
        <v>0.314903323919183</v>
      </c>
      <c r="U180" s="30" t="n">
        <f aca="false">IF(AND(ISNUMBER(U179),ISNUMBER(U119)),IFERROR(U179/U119,""),"")</f>
        <v>0.32611202952597</v>
      </c>
      <c r="V180" s="30" t="n">
        <f aca="false">IF(AND(ISNUMBER(V179),ISNUMBER(V119)),IFERROR(V179/V119,""),"")</f>
        <v>0.343260476945192</v>
      </c>
      <c r="W180" s="30" t="n">
        <f aca="false">IF(AND(ISNUMBER(W179),ISNUMBER(W119)),IFERROR(W179/W119,""),"")</f>
        <v>0.349317725044956</v>
      </c>
      <c r="X180" s="30" t="n">
        <f aca="false">IF(AND(ISNUMBER(X179),ISNUMBER(X119)),IFERROR(X179/X119,""),"")</f>
        <v>0.346356231528869</v>
      </c>
      <c r="Y180" s="30" t="n">
        <f aca="false">IF(AND(ISNUMBER(Y179),ISNUMBER(Y119)),IFERROR(Y179/Y119,""),"")</f>
        <v>0.345062031260952</v>
      </c>
      <c r="Z180" s="30" t="n">
        <f aca="false">IF(AND(ISNUMBER(Z179),ISNUMBER(Z119)),IFERROR(Z179/Z119,""),"")</f>
        <v>0.34066887268288</v>
      </c>
      <c r="AA180" s="30" t="n">
        <f aca="false">IF(AND(ISNUMBER(AA179),ISNUMBER(AA119)),IFERROR(AA179/AA119,""),"")</f>
        <v>0.342769983741473</v>
      </c>
      <c r="AB180" s="30" t="n">
        <f aca="false">IF(AND(ISNUMBER(AB179),ISNUMBER(AB119)),IFERROR(AB179/AB119,""),"")</f>
        <v>0.348304000974362</v>
      </c>
      <c r="AC180" s="30" t="n">
        <f aca="false">IF(AND(ISNUMBER(AC179),ISNUMBER(AC119)),IFERROR(AC179/AC119,""),"")</f>
        <v>0.331990442320516</v>
      </c>
      <c r="AD180" s="30" t="n">
        <f aca="false">IF(AND(ISNUMBER(AD179),ISNUMBER(AD119)),IFERROR(AD179/AD119,""),"")</f>
        <v>0.339773948920592</v>
      </c>
      <c r="AE180" s="30" t="n">
        <f aca="false">IF(AND(ISNUMBER(AE179),ISNUMBER(AE119)),IFERROR(AE179/AE119,""),"")</f>
        <v>0.214871382636656</v>
      </c>
      <c r="AF180" s="30" t="n">
        <f aca="false">IF(AND(ISNUMBER(AF179),ISNUMBER(AF119)),IFERROR(AF179/AF119,""),"")</f>
        <v>0.370841236479213</v>
      </c>
      <c r="AG180" s="30" t="n">
        <f aca="false">IF(AND(ISNUMBER(AG179),ISNUMBER(AG119)),IFERROR(AG179/AG119,""),"")</f>
        <v>0.310107365323818</v>
      </c>
      <c r="AH180" s="30" t="n">
        <f aca="false">IF(AND(ISNUMBER(AH179),ISNUMBER(AH119)),IFERROR(AH179/AH119,""),"")</f>
        <v>0.406554744870251</v>
      </c>
      <c r="AI180" s="30" t="n">
        <f aca="false">IF(AND(ISNUMBER(AI179),ISNUMBER(AI119)),IFERROR(AI179/AI119,""),"")</f>
        <v>0.381132949925214</v>
      </c>
      <c r="AJ180" s="30" t="n">
        <f aca="false">IF(AND(ISNUMBER(AJ179),ISNUMBER(AJ119)),IFERROR(AJ179/AJ119,""),"")</f>
        <v>0.39311957247829</v>
      </c>
      <c r="AK180" s="30" t="n">
        <f aca="false">IF(AND(ISNUMBER(AK179),ISNUMBER(AK119)),IFERROR(AK179/AK119,""),"")</f>
        <v>0.421004566210046</v>
      </c>
      <c r="AL180" s="30" t="n">
        <f aca="false">IF(AND(ISNUMBER(AL179),ISNUMBER(AL119)),IFERROR(AL179/AL119,""),"")</f>
        <v>0.390403133670638</v>
      </c>
      <c r="AM180" s="30" t="n">
        <f aca="false">IF(AND(ISNUMBER(AM179),ISNUMBER(AM119)),IFERROR(AM179/AM119,""),"")</f>
        <v>0.404843992415101</v>
      </c>
      <c r="AN180" s="30" t="n">
        <f aca="false">IF(AND(ISNUMBER(AN179),ISNUMBER(AN119)),IFERROR(AN179/AN119,""),"")</f>
        <v>0.43998208420424</v>
      </c>
      <c r="AO180" s="30" t="n">
        <f aca="false">IF(AND(ISNUMBER(AO179),ISNUMBER(AO119)),IFERROR(AO179/AO119,""),"")</f>
        <v>0.401545549115768</v>
      </c>
      <c r="AP180" s="30" t="n">
        <f aca="false">IF(AND(ISNUMBER(AP179),ISNUMBER(AP119)),IFERROR(AP179/AP119,""),"")</f>
        <v>0.420719445892604</v>
      </c>
      <c r="AQ180" s="30" t="n">
        <f aca="false">IF(AND(ISNUMBER(AQ179),ISNUMBER(AQ119)),IFERROR(AQ179/AQ119,""),"")</f>
        <v>0.419642857142857</v>
      </c>
      <c r="AR180" s="30" t="n">
        <f aca="false">IF(AND(ISNUMBER(AR179),ISNUMBER(AR119)),IFERROR(AR179/AR119,""),"")</f>
        <v>0.391207931124446</v>
      </c>
      <c r="AS180" s="30" t="n">
        <f aca="false">IF(AND(ISNUMBER(AS179),ISNUMBER(AS119)),IFERROR(AS179/AS119,""),"")</f>
        <v>0.405273566249176</v>
      </c>
      <c r="AT180" s="30" t="n">
        <f aca="false">IF(AND(ISNUMBER(AT179),ISNUMBER(AT119)),IFERROR(AT179/AT119,""),"")</f>
        <v>0.41411501120239</v>
      </c>
      <c r="AU180" s="30" t="n">
        <f aca="false">IF(AND(ISNUMBER(AU179),ISNUMBER(AU119)),IFERROR(AU179/AU119,""),"")</f>
        <v>0.406877510040161</v>
      </c>
      <c r="AV180" s="30" t="n">
        <f aca="false">IF(AND(ISNUMBER(AV179),ISNUMBER(AV119)),IFERROR(AV179/AV119,""),"")</f>
        <v>0.410511186101737</v>
      </c>
      <c r="AW180" s="30" t="n">
        <f aca="false">IF(AND(ISNUMBER(AW179),ISNUMBER(AW119)),IFERROR(AW179/AW119,""),"")</f>
        <v>0.410388337620973</v>
      </c>
      <c r="AX180" s="28" t="n">
        <f aca="false">IF(AND(ISNUMBER(AX179),ISNUMBER(AX119)),IFERROR(AX179/AX119,""),"")</f>
        <v>0.402</v>
      </c>
      <c r="AY180" s="28" t="n">
        <f aca="false">IF(AND(ISNUMBER(AY179),ISNUMBER(AY119)),IFERROR(AY179/AY119,""),"")</f>
        <v>0.406173465090184</v>
      </c>
      <c r="AZ180" s="28" t="n">
        <f aca="false">IF(AND(ISNUMBER(AZ179),ISNUMBER(AZ119)),IFERROR(AZ179/AZ119,""),"")</f>
        <v>0.405</v>
      </c>
      <c r="BA180" s="28" t="n">
        <f aca="false">IF(AND(ISNUMBER(BA179),ISNUMBER(BA119)),IFERROR(BA179/BA119,""),"")</f>
        <v>0.408</v>
      </c>
      <c r="BB180" s="28" t="n">
        <f aca="false">IF(AND(ISNUMBER(BB179),ISNUMBER(BB119)),IFERROR(BB179/BB119,""),"")</f>
        <v>0.41</v>
      </c>
      <c r="BC180" s="28" t="n">
        <f aca="false">IF(AND(ISNUMBER(BC179),ISNUMBER(BC119)),IFERROR(BC179/BC119,""),"")</f>
        <v>0.41</v>
      </c>
      <c r="BD180" s="23"/>
      <c r="BF180" s="32" t="n">
        <f aca="false">IFERROR(AVERAGE(AY180,AZ180,BA180,BB180,BC180),"n/m")</f>
        <v>0.407834693018037</v>
      </c>
      <c r="BG180" s="32" t="n">
        <f aca="false">IFERROR(AVERAGE(AJ180,AM180,AP180,AS180,AV180),"n/m")</f>
        <v>0.406893552627382</v>
      </c>
      <c r="BH180" s="32" t="n">
        <f aca="false">IFERROR(AVERAGE(U180,X180,AA180,AD180,AG180,AJ180,AM180,AP180,AS180,AV180),"n/m")</f>
        <v>0.369958732217763</v>
      </c>
      <c r="BI180" s="32" t="n">
        <f aca="false">IFERROR(AVERAGE(C180,D180,E180,F180,G180,H180,I180,L180,O180,R180,U180,X180,AA180,AD180,AG180,AJ180,AM180,AP180,AS180,AV180),"n/m")</f>
        <v>0.341796387231166</v>
      </c>
    </row>
    <row r="181" customFormat="false" ht="15" hidden="false" customHeight="true" outlineLevel="0" collapsed="false">
      <c r="B181" s="13"/>
      <c r="AX181" s="7"/>
      <c r="AY181" s="7"/>
      <c r="AZ181" s="7"/>
      <c r="BA181" s="7"/>
      <c r="BB181" s="7"/>
      <c r="BC181" s="7"/>
      <c r="BD181" s="7"/>
    </row>
    <row r="182" customFormat="false" ht="15" hidden="false" customHeight="true" outlineLevel="0" collapsed="false">
      <c r="B182" s="12" t="s">
        <v>266</v>
      </c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 t="s">
        <v>267</v>
      </c>
    </row>
    <row r="183" customFormat="false" ht="15" hidden="false" customHeight="true" outlineLevel="0" collapsed="false">
      <c r="B183" s="19" t="s">
        <v>237</v>
      </c>
      <c r="C183" s="20" t="n">
        <f aca="false">IF(ISNUMBER(C139),C139,"")</f>
        <v>268.4</v>
      </c>
      <c r="D183" s="20" t="n">
        <f aca="false">IF(ISNUMBER(D139),D139,"")</f>
        <v>288</v>
      </c>
      <c r="E183" s="20" t="n">
        <f aca="false">IF(ISNUMBER(E139),E139,"")</f>
        <v>290.2</v>
      </c>
      <c r="F183" s="20" t="n">
        <f aca="false">IF(ISNUMBER(F139),F139,"")</f>
        <v>288.8</v>
      </c>
      <c r="G183" s="20" t="n">
        <f aca="false">IF(ISNUMBER(G139),G139,"")</f>
        <v>421.7</v>
      </c>
      <c r="H183" s="20" t="n">
        <f aca="false">IF(ISNUMBER(H139),H139,"")</f>
        <v>594.1</v>
      </c>
      <c r="I183" s="20" t="n">
        <f aca="false">IF(ISNUMBER(I139),I139,"")</f>
        <v>740</v>
      </c>
      <c r="J183" s="20" t="n">
        <f aca="false">IF(ISNUMBER(J139),J139,"")</f>
        <v>381.7</v>
      </c>
      <c r="K183" s="20" t="n">
        <f aca="false">IF(ISNUMBER(K139),K139,"")</f>
        <v>408.8</v>
      </c>
      <c r="L183" s="20" t="n">
        <f aca="false">IF(ISNUMBER(L139),L139,"")</f>
        <v>790.5</v>
      </c>
      <c r="M183" s="20" t="n">
        <f aca="false">IF(ISNUMBER(M139),M139,"")</f>
        <v>412.5</v>
      </c>
      <c r="N183" s="20" t="n">
        <f aca="false">IF(ISNUMBER(N139),N139,"")</f>
        <v>446.3</v>
      </c>
      <c r="O183" s="20" t="n">
        <f aca="false">IF(ISNUMBER(O139),O139,"")</f>
        <v>858.8</v>
      </c>
      <c r="P183" s="20" t="n">
        <f aca="false">IF(ISNUMBER(P139),P139,"")</f>
        <v>482.5</v>
      </c>
      <c r="Q183" s="20" t="n">
        <f aca="false">IF(ISNUMBER(Q139),Q139,"")</f>
        <v>490.1</v>
      </c>
      <c r="R183" s="20" t="n">
        <f aca="false">IF(ISNUMBER(R139),R139,"")</f>
        <v>972.6</v>
      </c>
      <c r="S183" s="20" t="n">
        <f aca="false">IF(ISNUMBER(S139),S139,"")</f>
        <v>545.4</v>
      </c>
      <c r="T183" s="20" t="n">
        <f aca="false">IF(ISNUMBER(T139),T139,"")</f>
        <v>554.8</v>
      </c>
      <c r="U183" s="20" t="n">
        <f aca="false">IF(ISNUMBER(U139),U139,"")</f>
        <v>1100.2</v>
      </c>
      <c r="V183" s="20" t="n">
        <f aca="false">IF(ISNUMBER(V139),V139,"")</f>
        <v>605.2</v>
      </c>
      <c r="W183" s="20" t="n">
        <f aca="false">IF(ISNUMBER(W139),W139,"")</f>
        <v>616.3</v>
      </c>
      <c r="X183" s="20" t="n">
        <f aca="false">IF(ISNUMBER(X139),X139,"")</f>
        <v>1221.5</v>
      </c>
      <c r="Y183" s="20" t="n">
        <f aca="false">IF(ISNUMBER(Y139),Y139,"")</f>
        <v>707.9</v>
      </c>
      <c r="Z183" s="20" t="n">
        <f aca="false">IF(ISNUMBER(Z139),Z139,"")</f>
        <v>696.8</v>
      </c>
      <c r="AA183" s="20" t="n">
        <f aca="false">IF(ISNUMBER(AA139),AA139,"")</f>
        <v>1404.7</v>
      </c>
      <c r="AB183" s="20" t="n">
        <f aca="false">IF(ISNUMBER(AB139),AB139,"")</f>
        <v>754.3</v>
      </c>
      <c r="AC183" s="20" t="n">
        <f aca="false">IF(ISNUMBER(AC139),AC139,"")</f>
        <v>773.8</v>
      </c>
      <c r="AD183" s="20" t="n">
        <f aca="false">IF(ISNUMBER(AD139),AD139,"")</f>
        <v>1528.1</v>
      </c>
      <c r="AE183" s="20" t="n">
        <f aca="false">IF(ISNUMBER(AE139),AE139,"")</f>
        <v>334.9</v>
      </c>
      <c r="AF183" s="20" t="n">
        <f aca="false">IF(ISNUMBER(AF139),AF139,"")</f>
        <v>1050.5</v>
      </c>
      <c r="AG183" s="20" t="n">
        <f aca="false">IF(ISNUMBER(AG139),AG139,"")</f>
        <v>1385.4</v>
      </c>
      <c r="AH183" s="20" t="n">
        <f aca="false">IF(ISNUMBER(AH139),AH139,"")</f>
        <v>1173.6</v>
      </c>
      <c r="AI183" s="20" t="n">
        <f aca="false">IF(ISNUMBER(AI139),AI139,"")</f>
        <v>1272.4</v>
      </c>
      <c r="AJ183" s="20" t="n">
        <f aca="false">IF(ISNUMBER(AJ139),AJ139,"")</f>
        <v>2446</v>
      </c>
      <c r="AK183" s="20" t="n">
        <f aca="false">IF(ISNUMBER(AK139),AK139,"")</f>
        <v>1642</v>
      </c>
      <c r="AL183" s="20" t="n">
        <f aca="false">IF(ISNUMBER(AL139),AL139,"")</f>
        <v>1725</v>
      </c>
      <c r="AM183" s="20" t="n">
        <f aca="false">IF(ISNUMBER(AM139),AM139,"")</f>
        <v>3367</v>
      </c>
      <c r="AN183" s="20" t="n">
        <f aca="false">IF(ISNUMBER(AN139),AN139,"")</f>
        <v>2226</v>
      </c>
      <c r="AO183" s="20" t="n">
        <f aca="false">IF(ISNUMBER(AO139),AO139,"")</f>
        <v>2083</v>
      </c>
      <c r="AP183" s="20" t="n">
        <f aca="false">IF(ISNUMBER(AP139),AP139,"")</f>
        <v>4309</v>
      </c>
      <c r="AQ183" s="20" t="n">
        <f aca="false">IF(ISNUMBER(AQ139),AQ139,"")</f>
        <v>2369</v>
      </c>
      <c r="AR183" s="20" t="n">
        <f aca="false">IF(ISNUMBER(AR139),AR139,"")</f>
        <v>2233</v>
      </c>
      <c r="AS183" s="20" t="n">
        <f aca="false">IF(ISNUMBER(AS139),AS139,"")</f>
        <v>4602</v>
      </c>
      <c r="AT183" s="20" t="n">
        <f aca="false">IF(ISNUMBER(AT139),AT139,"")</f>
        <v>2246</v>
      </c>
      <c r="AU183" s="20" t="n">
        <f aca="false">IF(ISNUMBER(AU139),AU139,"")</f>
        <v>2278</v>
      </c>
      <c r="AV183" s="20" t="n">
        <f aca="false">IF(ISNUMBER(AV139),AV139,"")</f>
        <v>4524</v>
      </c>
      <c r="AW183" s="20" t="n">
        <f aca="false">IF(ISNUMBER(AW139),AW139,"")</f>
        <v>2237</v>
      </c>
      <c r="AX183" s="22" t="n">
        <f aca="false">AX139</f>
        <v>2380.023758217</v>
      </c>
      <c r="AY183" s="22" t="n">
        <f aca="false">AY139</f>
        <v>4617.023758217</v>
      </c>
      <c r="AZ183" s="22" t="n">
        <f aca="false">AZ139</f>
        <v>5292.04007963685</v>
      </c>
      <c r="BA183" s="22" t="n">
        <f aca="false">BA139</f>
        <v>5743.47116612742</v>
      </c>
      <c r="BB183" s="22" t="n">
        <f aca="false">BB139</f>
        <v>6203.79857393346</v>
      </c>
      <c r="BC183" s="22" t="n">
        <f aca="false">BC139</f>
        <v>6643.36711749831</v>
      </c>
      <c r="BD183" s="23"/>
      <c r="BF183" s="7"/>
      <c r="BG183" s="7"/>
      <c r="BH183" s="7"/>
      <c r="BI183" s="7"/>
    </row>
    <row r="184" customFormat="false" ht="15" hidden="false" customHeight="true" outlineLevel="0" collapsed="false">
      <c r="B184" s="13" t="s">
        <v>268</v>
      </c>
      <c r="C184" s="37" t="n">
        <f aca="false">IF(ISNUMBER(C139),-N(C126),"")</f>
        <v>-14.1</v>
      </c>
      <c r="D184" s="37" t="n">
        <f aca="false">IF(ISNUMBER(D139),-N(D126),"")</f>
        <v>-9.2</v>
      </c>
      <c r="E184" s="37" t="n">
        <f aca="false">IF(ISNUMBER(E139),-N(E126),"")</f>
        <v>-0</v>
      </c>
      <c r="F184" s="37" t="n">
        <f aca="false">IF(ISNUMBER(F139),-N(F126),"")</f>
        <v>-0</v>
      </c>
      <c r="G184" s="37" t="n">
        <f aca="false">IF(ISNUMBER(G139),-N(G126),"")</f>
        <v>-0</v>
      </c>
      <c r="H184" s="37" t="n">
        <f aca="false">IF(ISNUMBER(H139),-N(H126),"")</f>
        <v>-0</v>
      </c>
      <c r="I184" s="37" t="n">
        <f aca="false">IF(ISNUMBER(I139),-N(I126),"")</f>
        <v>-0</v>
      </c>
      <c r="J184" s="37" t="n">
        <f aca="false">IF(ISNUMBER(J139),-N(J126),"")</f>
        <v>-0</v>
      </c>
      <c r="K184" s="37" t="n">
        <f aca="false">IF(ISNUMBER(K139),-N(K126),"")</f>
        <v>-0</v>
      </c>
      <c r="L184" s="37" t="n">
        <f aca="false">IF(ISNUMBER(L139),-N(L126),"")</f>
        <v>-0</v>
      </c>
      <c r="M184" s="37" t="n">
        <f aca="false">IF(ISNUMBER(M139),-N(M126),"")</f>
        <v>-0</v>
      </c>
      <c r="N184" s="37" t="n">
        <f aca="false">IF(ISNUMBER(N139),-N(N126),"")</f>
        <v>-0</v>
      </c>
      <c r="O184" s="37" t="n">
        <f aca="false">IF(ISNUMBER(O139),-N(O126),"")</f>
        <v>-0</v>
      </c>
      <c r="P184" s="37" t="n">
        <f aca="false">IF(ISNUMBER(P139),-N(P126),"")</f>
        <v>-0</v>
      </c>
      <c r="Q184" s="37" t="n">
        <f aca="false">IF(ISNUMBER(Q139),-N(Q126),"")</f>
        <v>-0</v>
      </c>
      <c r="R184" s="37" t="n">
        <f aca="false">IF(ISNUMBER(R139),-N(R126),"")</f>
        <v>-0</v>
      </c>
      <c r="S184" s="37" t="n">
        <f aca="false">IF(ISNUMBER(S139),-N(S126),"")</f>
        <v>-0</v>
      </c>
      <c r="T184" s="37" t="n">
        <f aca="false">IF(ISNUMBER(T139),-N(T126),"")</f>
        <v>-0</v>
      </c>
      <c r="U184" s="37" t="n">
        <f aca="false">IF(ISNUMBER(U139),-N(U126),"")</f>
        <v>-0</v>
      </c>
      <c r="V184" s="37" t="n">
        <f aca="false">IF(ISNUMBER(V139),-N(V126),"")</f>
        <v>-0</v>
      </c>
      <c r="W184" s="37" t="n">
        <f aca="false">IF(ISNUMBER(W139),-N(W126),"")</f>
        <v>-0</v>
      </c>
      <c r="X184" s="37" t="n">
        <f aca="false">IF(ISNUMBER(X139),-N(X126),"")</f>
        <v>-0</v>
      </c>
      <c r="Y184" s="37" t="n">
        <f aca="false">IF(ISNUMBER(Y139),-N(Y126),"")</f>
        <v>-52.7</v>
      </c>
      <c r="Z184" s="37" t="n">
        <f aca="false">IF(ISNUMBER(Z139),-N(Z126),"")</f>
        <v>-0</v>
      </c>
      <c r="AA184" s="37" t="n">
        <f aca="false">IF(ISNUMBER(AA139),-N(AA126),"")</f>
        <v>-52.7</v>
      </c>
      <c r="AB184" s="37" t="n">
        <f aca="false">IF(ISNUMBER(AB139),-N(AB126),"")</f>
        <v>-0</v>
      </c>
      <c r="AC184" s="37" t="n">
        <f aca="false">IF(ISNUMBER(AC139),-N(AC126),"")</f>
        <v>-0</v>
      </c>
      <c r="AD184" s="37" t="n">
        <f aca="false">IF(ISNUMBER(AD139),-N(AD126),"")</f>
        <v>-0</v>
      </c>
      <c r="AE184" s="37" t="n">
        <f aca="false">IF(ISNUMBER(AE139),-N(AE126),"")</f>
        <v>-0</v>
      </c>
      <c r="AF184" s="37" t="n">
        <f aca="false">IF(ISNUMBER(AF139),-N(AF126),"")</f>
        <v>-91.1</v>
      </c>
      <c r="AG184" s="37" t="n">
        <f aca="false">IF(ISNUMBER(AG139),-N(AG126),"")</f>
        <v>-91.1</v>
      </c>
      <c r="AH184" s="37" t="n">
        <f aca="false">IF(ISNUMBER(AH139),-N(AH126),"")</f>
        <v>-0</v>
      </c>
      <c r="AI184" s="37" t="n">
        <f aca="false">IF(ISNUMBER(AI139),-N(AI126),"")</f>
        <v>-0</v>
      </c>
      <c r="AJ184" s="37" t="n">
        <f aca="false">IF(ISNUMBER(AJ139),-N(AJ126),"")</f>
        <v>-0</v>
      </c>
      <c r="AK184" s="37" t="n">
        <f aca="false">IF(ISNUMBER(AK139),-N(AK126),"")</f>
        <v>-0</v>
      </c>
      <c r="AL184" s="37" t="n">
        <f aca="false">IF(ISNUMBER(AL139),-N(AL126),"")</f>
        <v>-0</v>
      </c>
      <c r="AM184" s="37" t="n">
        <f aca="false">IF(ISNUMBER(AM139),-N(AM126),"")</f>
        <v>-0</v>
      </c>
      <c r="AN184" s="37" t="n">
        <f aca="false">IF(ISNUMBER(AN139),-N(AN126),"")</f>
        <v>-0</v>
      </c>
      <c r="AO184" s="37" t="n">
        <f aca="false">IF(ISNUMBER(AO139),-N(AO126),"")</f>
        <v>-0</v>
      </c>
      <c r="AP184" s="37" t="n">
        <f aca="false">IF(ISNUMBER(AP139),-N(AP126),"")</f>
        <v>-0</v>
      </c>
      <c r="AQ184" s="37" t="n">
        <f aca="false">IF(ISNUMBER(AQ139),-N(AQ126),"")</f>
        <v>-0</v>
      </c>
      <c r="AR184" s="37" t="n">
        <f aca="false">IF(ISNUMBER(AR139),-N(AR126),"")</f>
        <v>-0</v>
      </c>
      <c r="AS184" s="37" t="n">
        <f aca="false">IF(ISNUMBER(AS139),-N(AS126),"")</f>
        <v>-0</v>
      </c>
      <c r="AT184" s="37" t="n">
        <f aca="false">IF(ISNUMBER(AT139),-N(AT126),"")</f>
        <v>-0</v>
      </c>
      <c r="AU184" s="37" t="n">
        <f aca="false">IF(ISNUMBER(AU139),-N(AU126),"")</f>
        <v>-0</v>
      </c>
      <c r="AV184" s="37" t="n">
        <f aca="false">IF(ISNUMBER(AV139),-N(AV126),"")</f>
        <v>-0</v>
      </c>
      <c r="AW184" s="37" t="n">
        <f aca="false">IF(ISNUMBER(AW139),-N(AW126),"")</f>
        <v>-0</v>
      </c>
      <c r="AX184" s="39" t="n">
        <f aca="false">-AX126</f>
        <v>-0</v>
      </c>
      <c r="AY184" s="39" t="n">
        <f aca="false">-AY126</f>
        <v>-0</v>
      </c>
      <c r="AZ184" s="39" t="n">
        <f aca="false">-AZ126</f>
        <v>-0</v>
      </c>
      <c r="BA184" s="39" t="n">
        <f aca="false">-BA126</f>
        <v>-0</v>
      </c>
      <c r="BB184" s="39" t="n">
        <f aca="false">-BB126</f>
        <v>-0</v>
      </c>
      <c r="BC184" s="39" t="n">
        <f aca="false">-BC126</f>
        <v>-0</v>
      </c>
      <c r="BD184" s="23"/>
      <c r="BF184" s="7"/>
      <c r="BG184" s="7"/>
      <c r="BH184" s="7"/>
      <c r="BI184" s="7"/>
    </row>
    <row r="185" customFormat="false" ht="15" hidden="false" customHeight="true" outlineLevel="0" collapsed="false">
      <c r="B185" s="13" t="s">
        <v>269</v>
      </c>
      <c r="C185" s="37" t="str">
        <f aca="false">IF(AND(ISNUMBER(C139),ISNUMBER(C132)),N(C126)*C132,"")</f>
        <v/>
      </c>
      <c r="D185" s="37" t="str">
        <f aca="false">IF(AND(ISNUMBER(D139),ISNUMBER(D132)),N(D126)*D132,"")</f>
        <v/>
      </c>
      <c r="E185" s="37" t="str">
        <f aca="false">IF(AND(ISNUMBER(E139),ISNUMBER(E132)),N(E126)*E132,"")</f>
        <v/>
      </c>
      <c r="F185" s="37" t="n">
        <f aca="false">IF(AND(ISNUMBER(F139),ISNUMBER(F132)),N(F126)*F132,"")</f>
        <v>0</v>
      </c>
      <c r="G185" s="37" t="n">
        <f aca="false">IF(AND(ISNUMBER(G139),ISNUMBER(G132)),N(G126)*G132,"")</f>
        <v>0</v>
      </c>
      <c r="H185" s="37" t="n">
        <f aca="false">IF(AND(ISNUMBER(H139),ISNUMBER(H132)),N(H126)*H132,"")</f>
        <v>0</v>
      </c>
      <c r="I185" s="37" t="n">
        <f aca="false">IF(AND(ISNUMBER(I139),ISNUMBER(I132)),N(I126)*I132,"")</f>
        <v>0</v>
      </c>
      <c r="J185" s="37" t="n">
        <f aca="false">IF(AND(ISNUMBER(J139),ISNUMBER(J132)),N(J126)*J132,"")</f>
        <v>0</v>
      </c>
      <c r="K185" s="37" t="n">
        <f aca="false">IF(AND(ISNUMBER(K139),ISNUMBER(K132)),N(K126)*K132,"")</f>
        <v>0</v>
      </c>
      <c r="L185" s="37" t="n">
        <f aca="false">IF(AND(ISNUMBER(L139),ISNUMBER(L132)),N(L126)*L132,"")</f>
        <v>0</v>
      </c>
      <c r="M185" s="37" t="n">
        <f aca="false">IF(AND(ISNUMBER(M139),ISNUMBER(M132)),N(M126)*M132,"")</f>
        <v>0</v>
      </c>
      <c r="N185" s="37" t="n">
        <f aca="false">IF(AND(ISNUMBER(N139),ISNUMBER(N132)),N(N126)*N132,"")</f>
        <v>0</v>
      </c>
      <c r="O185" s="37" t="n">
        <f aca="false">IF(AND(ISNUMBER(O139),ISNUMBER(O132)),N(O126)*O132,"")</f>
        <v>0</v>
      </c>
      <c r="P185" s="37" t="n">
        <f aca="false">IF(AND(ISNUMBER(P139),ISNUMBER(P132)),N(P126)*P132,"")</f>
        <v>0</v>
      </c>
      <c r="Q185" s="37" t="n">
        <f aca="false">IF(AND(ISNUMBER(Q139),ISNUMBER(Q132)),N(Q126)*Q132,"")</f>
        <v>0</v>
      </c>
      <c r="R185" s="37" t="n">
        <f aca="false">IF(AND(ISNUMBER(R139),ISNUMBER(R132)),N(R126)*R132,"")</f>
        <v>0</v>
      </c>
      <c r="S185" s="37" t="n">
        <f aca="false">IF(AND(ISNUMBER(S139),ISNUMBER(S132)),N(S126)*S132,"")</f>
        <v>0</v>
      </c>
      <c r="T185" s="37" t="n">
        <f aca="false">IF(AND(ISNUMBER(T139),ISNUMBER(T132)),N(T126)*T132,"")</f>
        <v>0</v>
      </c>
      <c r="U185" s="37" t="n">
        <f aca="false">IF(AND(ISNUMBER(U139),ISNUMBER(U132)),N(U126)*U132,"")</f>
        <v>0</v>
      </c>
      <c r="V185" s="37" t="n">
        <f aca="false">IF(AND(ISNUMBER(V139),ISNUMBER(V132)),N(V126)*V132,"")</f>
        <v>0</v>
      </c>
      <c r="W185" s="37" t="n">
        <f aca="false">IF(AND(ISNUMBER(W139),ISNUMBER(W132)),N(W126)*W132,"")</f>
        <v>0</v>
      </c>
      <c r="X185" s="37" t="n">
        <f aca="false">IF(AND(ISNUMBER(X139),ISNUMBER(X132)),N(X126)*X132,"")</f>
        <v>0</v>
      </c>
      <c r="Y185" s="38" t="n">
        <v>0</v>
      </c>
      <c r="Z185" s="37" t="n">
        <f aca="false">AA185-Y185</f>
        <v>0</v>
      </c>
      <c r="AA185" s="38" t="n">
        <v>0</v>
      </c>
      <c r="AB185" s="37" t="n">
        <f aca="false">IF(AND(ISNUMBER(AB139),ISNUMBER(AB132)),N(AB126)*AB132,"")</f>
        <v>0</v>
      </c>
      <c r="AC185" s="37" t="n">
        <f aca="false">IF(AND(ISNUMBER(AC139),ISNUMBER(AC132)),N(AC126)*AC132,"")</f>
        <v>0</v>
      </c>
      <c r="AD185" s="37" t="n">
        <f aca="false">IF(AND(ISNUMBER(AD139),ISNUMBER(AD132)),N(AD126)*AD132,"")</f>
        <v>0</v>
      </c>
      <c r="AE185" s="37" t="n">
        <f aca="false">IF(AND(ISNUMBER(AE139),ISNUMBER(AE132)),N(AE126)*AE132,"")</f>
        <v>0</v>
      </c>
      <c r="AF185" s="37" t="n">
        <f aca="false">IF(AND(ISNUMBER(AF139),ISNUMBER(AF132)),N(AF126)*AF132,"")</f>
        <v>27.5578718566078</v>
      </c>
      <c r="AG185" s="38" t="n">
        <v>0</v>
      </c>
      <c r="AH185" s="37" t="n">
        <f aca="false">IF(AND(ISNUMBER(AH139),ISNUMBER(AH132)),N(AH126)*AH132,"")</f>
        <v>0</v>
      </c>
      <c r="AI185" s="37" t="n">
        <f aca="false">IF(AND(ISNUMBER(AI139),ISNUMBER(AI132)),N(AI126)*AI132,"")</f>
        <v>0</v>
      </c>
      <c r="AJ185" s="37" t="n">
        <f aca="false">IF(AND(ISNUMBER(AJ139),ISNUMBER(AJ132)),N(AJ126)*AJ132,"")</f>
        <v>0</v>
      </c>
      <c r="AK185" s="37" t="n">
        <f aca="false">IF(AND(ISNUMBER(AK139),ISNUMBER(AK132)),N(AK126)*AK132,"")</f>
        <v>0</v>
      </c>
      <c r="AL185" s="37" t="n">
        <f aca="false">IF(AND(ISNUMBER(AL139),ISNUMBER(AL132)),N(AL126)*AL132,"")</f>
        <v>0</v>
      </c>
      <c r="AM185" s="37" t="n">
        <f aca="false">IF(AND(ISNUMBER(AM139),ISNUMBER(AM132)),N(AM126)*AM132,"")</f>
        <v>0</v>
      </c>
      <c r="AN185" s="37" t="n">
        <f aca="false">IF(AND(ISNUMBER(AN139),ISNUMBER(AN132)),N(AN126)*AN132,"")</f>
        <v>0</v>
      </c>
      <c r="AO185" s="37" t="n">
        <f aca="false">IF(AND(ISNUMBER(AO139),ISNUMBER(AO132)),N(AO126)*AO132,"")</f>
        <v>0</v>
      </c>
      <c r="AP185" s="37" t="n">
        <f aca="false">IF(AND(ISNUMBER(AP139),ISNUMBER(AP132)),N(AP126)*AP132,"")</f>
        <v>0</v>
      </c>
      <c r="AQ185" s="37" t="n">
        <f aca="false">IF(AND(ISNUMBER(AQ139),ISNUMBER(AQ132)),N(AQ126)*AQ132,"")</f>
        <v>0</v>
      </c>
      <c r="AR185" s="37" t="n">
        <f aca="false">IF(AND(ISNUMBER(AR139),ISNUMBER(AR132)),N(AR126)*AR132,"")</f>
        <v>0</v>
      </c>
      <c r="AS185" s="37" t="n">
        <f aca="false">IF(AND(ISNUMBER(AS139),ISNUMBER(AS132)),N(AS126)*AS132,"")</f>
        <v>0</v>
      </c>
      <c r="AT185" s="37" t="n">
        <f aca="false">IF(AND(ISNUMBER(AT139),ISNUMBER(AT132)),N(AT126)*AT132,"")</f>
        <v>0</v>
      </c>
      <c r="AU185" s="37" t="n">
        <f aca="false">IF(AND(ISNUMBER(AU139),ISNUMBER(AU132)),N(AU126)*AU132,"")</f>
        <v>0</v>
      </c>
      <c r="AV185" s="37" t="n">
        <f aca="false">IF(AND(ISNUMBER(AV139),ISNUMBER(AV132)),N(AV126)*AV132,"")</f>
        <v>0</v>
      </c>
      <c r="AW185" s="37" t="n">
        <f aca="false">IF(AND(ISNUMBER(AW139),ISNUMBER(AW132)),N(AW126)*AW132,"")</f>
        <v>0</v>
      </c>
      <c r="AX185" s="47" t="n">
        <v>0</v>
      </c>
      <c r="AY185" s="39" t="n">
        <f aca="false">AW185+AX185</f>
        <v>0</v>
      </c>
      <c r="AZ185" s="47" t="n">
        <v>0</v>
      </c>
      <c r="BA185" s="47" t="n">
        <v>0</v>
      </c>
      <c r="BB185" s="47" t="n">
        <v>0</v>
      </c>
      <c r="BC185" s="47" t="n">
        <v>0</v>
      </c>
      <c r="BD185" s="23" t="s">
        <v>270</v>
      </c>
      <c r="BF185" s="7"/>
      <c r="BG185" s="7"/>
      <c r="BH185" s="7"/>
      <c r="BI185" s="7"/>
    </row>
    <row r="186" customFormat="false" ht="15" hidden="false" customHeight="true" outlineLevel="0" collapsed="false">
      <c r="B186" s="13" t="s">
        <v>271</v>
      </c>
      <c r="C186" s="37" t="n">
        <f aca="false">IF(ISNUMBER(C139),N(C133),"")</f>
        <v>0</v>
      </c>
      <c r="D186" s="37" t="n">
        <f aca="false">IF(ISNUMBER(D139),N(D133),"")</f>
        <v>0</v>
      </c>
      <c r="E186" s="37" t="n">
        <f aca="false">IF(ISNUMBER(E139),N(E133),"")</f>
        <v>0</v>
      </c>
      <c r="F186" s="37" t="n">
        <f aca="false">IF(ISNUMBER(F139),N(F133),"")</f>
        <v>0</v>
      </c>
      <c r="G186" s="37" t="n">
        <f aca="false">IF(ISNUMBER(G139),N(G133),"")</f>
        <v>0</v>
      </c>
      <c r="H186" s="37" t="n">
        <f aca="false">IF(ISNUMBER(H139),N(H133),"")</f>
        <v>0</v>
      </c>
      <c r="I186" s="37" t="n">
        <f aca="false">IF(ISNUMBER(I139),N(I133),"")</f>
        <v>0</v>
      </c>
      <c r="J186" s="37" t="n">
        <f aca="false">IF(ISNUMBER(J139),N(J133),"")</f>
        <v>0</v>
      </c>
      <c r="K186" s="37" t="n">
        <f aca="false">IF(ISNUMBER(K139),N(K133),"")</f>
        <v>0</v>
      </c>
      <c r="L186" s="37" t="n">
        <f aca="false">IF(ISNUMBER(L139),N(L133),"")</f>
        <v>0</v>
      </c>
      <c r="M186" s="37" t="n">
        <f aca="false">IF(ISNUMBER(M139),N(M133),"")</f>
        <v>0</v>
      </c>
      <c r="N186" s="37" t="n">
        <f aca="false">IF(ISNUMBER(N139),N(N133),"")</f>
        <v>0</v>
      </c>
      <c r="O186" s="37" t="n">
        <f aca="false">IF(ISNUMBER(O139),N(O133),"")</f>
        <v>0</v>
      </c>
      <c r="P186" s="37" t="n">
        <f aca="false">IF(ISNUMBER(P139),N(P133),"")</f>
        <v>0</v>
      </c>
      <c r="Q186" s="37" t="n">
        <f aca="false">IF(ISNUMBER(Q139),N(Q133),"")</f>
        <v>0</v>
      </c>
      <c r="R186" s="37" t="n">
        <f aca="false">IF(ISNUMBER(R139),N(R133),"")</f>
        <v>0</v>
      </c>
      <c r="S186" s="37" t="n">
        <f aca="false">IF(ISNUMBER(S139),N(S133),"")</f>
        <v>0</v>
      </c>
      <c r="T186" s="37" t="n">
        <f aca="false">IF(ISNUMBER(T139),N(T133),"")</f>
        <v>0</v>
      </c>
      <c r="U186" s="37" t="n">
        <f aca="false">IF(ISNUMBER(U139),N(U133),"")</f>
        <v>0</v>
      </c>
      <c r="V186" s="37" t="n">
        <f aca="false">IF(ISNUMBER(V139),N(V133),"")</f>
        <v>0</v>
      </c>
      <c r="W186" s="37" t="n">
        <f aca="false">IF(ISNUMBER(W139),N(W133),"")</f>
        <v>0</v>
      </c>
      <c r="X186" s="37" t="n">
        <f aca="false">IF(ISNUMBER(X139),N(X133),"")</f>
        <v>20</v>
      </c>
      <c r="Y186" s="37" t="n">
        <f aca="false">IF(ISNUMBER(Y139),N(Y133),"")</f>
        <v>0</v>
      </c>
      <c r="Z186" s="37" t="n">
        <f aca="false">IF(ISNUMBER(Z139),N(Z133),"")</f>
        <v>0</v>
      </c>
      <c r="AA186" s="37" t="n">
        <f aca="false">IF(ISNUMBER(AA139),N(AA133),"")</f>
        <v>0</v>
      </c>
      <c r="AB186" s="37" t="n">
        <f aca="false">IF(ISNUMBER(AB139),N(AB133),"")</f>
        <v>0</v>
      </c>
      <c r="AC186" s="37" t="n">
        <f aca="false">IF(ISNUMBER(AC139),N(AC133),"")</f>
        <v>0</v>
      </c>
      <c r="AD186" s="37" t="n">
        <f aca="false">IF(ISNUMBER(AD139),N(AD133),"")</f>
        <v>0</v>
      </c>
      <c r="AE186" s="37" t="n">
        <f aca="false">IF(ISNUMBER(AE139),N(AE133),"")</f>
        <v>0</v>
      </c>
      <c r="AF186" s="37" t="n">
        <f aca="false">IF(ISNUMBER(AF139),N(AF133),"")</f>
        <v>0</v>
      </c>
      <c r="AG186" s="37" t="n">
        <f aca="false">IF(ISNUMBER(AG139),N(AG133),"")</f>
        <v>0</v>
      </c>
      <c r="AH186" s="37" t="n">
        <f aca="false">IF(ISNUMBER(AH139),N(AH133),"")</f>
        <v>0</v>
      </c>
      <c r="AI186" s="37" t="n">
        <f aca="false">IF(ISNUMBER(AI139),N(AI133),"")</f>
        <v>0</v>
      </c>
      <c r="AJ186" s="37" t="n">
        <f aca="false">IF(ISNUMBER(AJ139),N(AJ133),"")</f>
        <v>0</v>
      </c>
      <c r="AK186" s="37" t="n">
        <f aca="false">IF(ISNUMBER(AK139),N(AK133),"")</f>
        <v>0</v>
      </c>
      <c r="AL186" s="37" t="n">
        <f aca="false">IF(ISNUMBER(AL139),N(AL133),"")</f>
        <v>0</v>
      </c>
      <c r="AM186" s="37" t="n">
        <f aca="false">IF(ISNUMBER(AM139),N(AM133),"")</f>
        <v>0</v>
      </c>
      <c r="AN186" s="37" t="n">
        <f aca="false">IF(ISNUMBER(AN139),N(AN133),"")</f>
        <v>0</v>
      </c>
      <c r="AO186" s="37" t="n">
        <f aca="false">IF(ISNUMBER(AO139),N(AO133),"")</f>
        <v>0</v>
      </c>
      <c r="AP186" s="37" t="n">
        <f aca="false">IF(ISNUMBER(AP139),N(AP133),"")</f>
        <v>0</v>
      </c>
      <c r="AQ186" s="37" t="n">
        <f aca="false">IF(ISNUMBER(AQ139),N(AQ133),"")</f>
        <v>0</v>
      </c>
      <c r="AR186" s="37" t="n">
        <f aca="false">IF(ISNUMBER(AR139),N(AR133),"")</f>
        <v>0</v>
      </c>
      <c r="AS186" s="37" t="n">
        <f aca="false">IF(ISNUMBER(AS139),N(AS133),"")</f>
        <v>0</v>
      </c>
      <c r="AT186" s="37" t="n">
        <f aca="false">IF(ISNUMBER(AT139),N(AT133),"")</f>
        <v>257</v>
      </c>
      <c r="AU186" s="37" t="n">
        <f aca="false">IF(ISNUMBER(AU139),N(AU133),"")</f>
        <v>74</v>
      </c>
      <c r="AV186" s="37" t="n">
        <f aca="false">IF(ISNUMBER(AV139),N(AV133),"")</f>
        <v>331</v>
      </c>
      <c r="AW186" s="37" t="n">
        <f aca="false">IF(ISNUMBER(AW139),N(AW133),"")</f>
        <v>255</v>
      </c>
      <c r="AX186" s="39" t="n">
        <f aca="false">AX133</f>
        <v>87.685349</v>
      </c>
      <c r="AY186" s="39" t="n">
        <f aca="false">AY133</f>
        <v>342.685349</v>
      </c>
      <c r="AZ186" s="39" t="n">
        <f aca="false">AZ133</f>
        <v>0</v>
      </c>
      <c r="BA186" s="39" t="n">
        <f aca="false">BA133</f>
        <v>0</v>
      </c>
      <c r="BB186" s="39" t="n">
        <f aca="false">BB133</f>
        <v>0</v>
      </c>
      <c r="BC186" s="39" t="n">
        <f aca="false">BC133</f>
        <v>0</v>
      </c>
      <c r="BD186" s="23"/>
      <c r="BF186" s="7"/>
      <c r="BG186" s="7"/>
      <c r="BH186" s="7"/>
      <c r="BI186" s="7"/>
    </row>
    <row r="187" customFormat="false" ht="15" hidden="false" customHeight="true" outlineLevel="0" collapsed="false">
      <c r="B187" s="40" t="s">
        <v>272</v>
      </c>
      <c r="C187" s="41" t="n">
        <f aca="false">IF(ISNUMBER(C183),SUM(C183:C186),"")</f>
        <v>254.3</v>
      </c>
      <c r="D187" s="41" t="n">
        <f aca="false">IF(ISNUMBER(D183),SUM(D183:D186),"")</f>
        <v>278.8</v>
      </c>
      <c r="E187" s="41" t="n">
        <f aca="false">IF(ISNUMBER(E183),SUM(E183:E186),"")</f>
        <v>290.2</v>
      </c>
      <c r="F187" s="41" t="n">
        <f aca="false">IF(ISNUMBER(F183),SUM(F183:F186),"")</f>
        <v>288.8</v>
      </c>
      <c r="G187" s="41" t="n">
        <f aca="false">IF(ISNUMBER(G183),SUM(G183:G186),"")</f>
        <v>421.7</v>
      </c>
      <c r="H187" s="41" t="n">
        <f aca="false">IF(ISNUMBER(H183),SUM(H183:H186),"")</f>
        <v>594.1</v>
      </c>
      <c r="I187" s="41" t="n">
        <f aca="false">IF(ISNUMBER(I183),SUM(I183:I186),"")</f>
        <v>740</v>
      </c>
      <c r="J187" s="41" t="n">
        <f aca="false">IF(ISNUMBER(J183),SUM(J183:J186),"")</f>
        <v>381.7</v>
      </c>
      <c r="K187" s="41" t="n">
        <f aca="false">IF(ISNUMBER(K183),SUM(K183:K186),"")</f>
        <v>408.8</v>
      </c>
      <c r="L187" s="41" t="n">
        <f aca="false">IF(ISNUMBER(L183),SUM(L183:L186),"")</f>
        <v>790.5</v>
      </c>
      <c r="M187" s="41" t="n">
        <f aca="false">IF(ISNUMBER(M183),SUM(M183:M186),"")</f>
        <v>412.5</v>
      </c>
      <c r="N187" s="41" t="n">
        <f aca="false">IF(ISNUMBER(N183),SUM(N183:N186),"")</f>
        <v>446.3</v>
      </c>
      <c r="O187" s="41" t="n">
        <f aca="false">IF(ISNUMBER(O183),SUM(O183:O186),"")</f>
        <v>858.8</v>
      </c>
      <c r="P187" s="41" t="n">
        <f aca="false">IF(ISNUMBER(P183),SUM(P183:P186),"")</f>
        <v>482.5</v>
      </c>
      <c r="Q187" s="41" t="n">
        <f aca="false">IF(ISNUMBER(Q183),SUM(Q183:Q186),"")</f>
        <v>490.1</v>
      </c>
      <c r="R187" s="41" t="n">
        <f aca="false">IF(ISNUMBER(R183),SUM(R183:R186),"")</f>
        <v>972.6</v>
      </c>
      <c r="S187" s="41" t="n">
        <f aca="false">IF(ISNUMBER(S183),SUM(S183:S186),"")</f>
        <v>545.4</v>
      </c>
      <c r="T187" s="41" t="n">
        <f aca="false">IF(ISNUMBER(T183),SUM(T183:T186),"")</f>
        <v>554.8</v>
      </c>
      <c r="U187" s="41" t="n">
        <f aca="false">IF(ISNUMBER(U183),SUM(U183:U186),"")</f>
        <v>1100.2</v>
      </c>
      <c r="V187" s="41" t="n">
        <f aca="false">IF(ISNUMBER(V183),SUM(V183:V186),"")</f>
        <v>605.2</v>
      </c>
      <c r="W187" s="41" t="n">
        <f aca="false">IF(ISNUMBER(W183),SUM(W183:W186),"")</f>
        <v>616.3</v>
      </c>
      <c r="X187" s="41" t="n">
        <f aca="false">IF(ISNUMBER(X183),SUM(X183:X186),"")</f>
        <v>1241.5</v>
      </c>
      <c r="Y187" s="41" t="n">
        <f aca="false">IF(ISNUMBER(Y183),SUM(Y183:Y186),"")</f>
        <v>655.2</v>
      </c>
      <c r="Z187" s="41" t="n">
        <f aca="false">IF(ISNUMBER(Z183),SUM(Z183:Z186),"")</f>
        <v>696.8</v>
      </c>
      <c r="AA187" s="41" t="n">
        <f aca="false">IF(ISNUMBER(AA183),SUM(AA183:AA186),"")</f>
        <v>1352</v>
      </c>
      <c r="AB187" s="41" t="n">
        <f aca="false">IF(ISNUMBER(AB183),SUM(AB183:AB186),"")</f>
        <v>754.3</v>
      </c>
      <c r="AC187" s="41" t="n">
        <f aca="false">IF(ISNUMBER(AC183),SUM(AC183:AC186),"")</f>
        <v>773.8</v>
      </c>
      <c r="AD187" s="41" t="n">
        <f aca="false">IF(ISNUMBER(AD183),SUM(AD183:AD186),"")</f>
        <v>1528.1</v>
      </c>
      <c r="AE187" s="41" t="n">
        <f aca="false">IF(ISNUMBER(AE183),SUM(AE183:AE186),"")</f>
        <v>334.9</v>
      </c>
      <c r="AF187" s="41" t="n">
        <f aca="false">IF(ISNUMBER(AF183),SUM(AF183:AF186),"")</f>
        <v>986.957871856607</v>
      </c>
      <c r="AG187" s="41" t="n">
        <f aca="false">IF(ISNUMBER(AG183),SUM(AG183:AG186),"")</f>
        <v>1294.3</v>
      </c>
      <c r="AH187" s="41" t="n">
        <f aca="false">IF(ISNUMBER(AH183),SUM(AH183:AH186),"")</f>
        <v>1173.6</v>
      </c>
      <c r="AI187" s="41" t="n">
        <f aca="false">IF(ISNUMBER(AI183),SUM(AI183:AI186),"")</f>
        <v>1272.4</v>
      </c>
      <c r="AJ187" s="41" t="n">
        <f aca="false">IF(ISNUMBER(AJ183),SUM(AJ183:AJ186),"")</f>
        <v>2446</v>
      </c>
      <c r="AK187" s="41" t="n">
        <f aca="false">IF(ISNUMBER(AK183),SUM(AK183:AK186),"")</f>
        <v>1642</v>
      </c>
      <c r="AL187" s="41" t="n">
        <f aca="false">IF(ISNUMBER(AL183),SUM(AL183:AL186),"")</f>
        <v>1725</v>
      </c>
      <c r="AM187" s="41" t="n">
        <f aca="false">IF(ISNUMBER(AM183),SUM(AM183:AM186),"")</f>
        <v>3367</v>
      </c>
      <c r="AN187" s="41" t="n">
        <f aca="false">IF(ISNUMBER(AN183),SUM(AN183:AN186),"")</f>
        <v>2226</v>
      </c>
      <c r="AO187" s="41" t="n">
        <f aca="false">IF(ISNUMBER(AO183),SUM(AO183:AO186),"")</f>
        <v>2083</v>
      </c>
      <c r="AP187" s="41" t="n">
        <f aca="false">IF(ISNUMBER(AP183),SUM(AP183:AP186),"")</f>
        <v>4309</v>
      </c>
      <c r="AQ187" s="41" t="n">
        <f aca="false">IF(ISNUMBER(AQ183),SUM(AQ183:AQ186),"")</f>
        <v>2369</v>
      </c>
      <c r="AR187" s="41" t="n">
        <f aca="false">IF(ISNUMBER(AR183),SUM(AR183:AR186),"")</f>
        <v>2233</v>
      </c>
      <c r="AS187" s="41" t="n">
        <f aca="false">IF(ISNUMBER(AS183),SUM(AS183:AS186),"")</f>
        <v>4602</v>
      </c>
      <c r="AT187" s="41" t="n">
        <f aca="false">IF(ISNUMBER(AT183),SUM(AT183:AT186),"")</f>
        <v>2503</v>
      </c>
      <c r="AU187" s="41" t="n">
        <f aca="false">IF(ISNUMBER(AU183),SUM(AU183:AU186),"")</f>
        <v>2352</v>
      </c>
      <c r="AV187" s="41" t="n">
        <f aca="false">IF(ISNUMBER(AV183),SUM(AV183:AV186),"")</f>
        <v>4855</v>
      </c>
      <c r="AW187" s="41" t="n">
        <f aca="false">IF(ISNUMBER(AW183),SUM(AW183:AW186),"")</f>
        <v>2492</v>
      </c>
      <c r="AX187" s="41" t="n">
        <f aca="false">SUM(AX183:AX186)</f>
        <v>2467.709107217</v>
      </c>
      <c r="AY187" s="41" t="n">
        <f aca="false">SUM(AY183:AY186)</f>
        <v>4959.709107217</v>
      </c>
      <c r="AZ187" s="41" t="n">
        <f aca="false">SUM(AZ183:AZ186)</f>
        <v>5292.04007963685</v>
      </c>
      <c r="BA187" s="41" t="n">
        <f aca="false">SUM(BA183:BA186)</f>
        <v>5743.47116612742</v>
      </c>
      <c r="BB187" s="41" t="n">
        <f aca="false">SUM(BB183:BB186)</f>
        <v>6203.79857393346</v>
      </c>
      <c r="BC187" s="41" t="n">
        <f aca="false">SUM(BC183:BC186)</f>
        <v>6643.36711749831</v>
      </c>
      <c r="BD187" s="23"/>
      <c r="BF187" s="24" t="n">
        <f aca="false">IFERROR((BC187/AV187)^(1/5)-1,"n/m")</f>
        <v>0.0647307665548822</v>
      </c>
      <c r="BG187" s="24" t="n">
        <f aca="false">IFERROR((AV187/AG187)^(1/5)-1,"n/m")</f>
        <v>0.302659336768211</v>
      </c>
      <c r="BH187" s="24" t="n">
        <f aca="false">IFERROR((AV187/R187)^(1/10)-1,"n/m")</f>
        <v>0.174425566258657</v>
      </c>
      <c r="BI187" s="24" t="n">
        <f aca="false">IFERROR((AV187/C187)^(1/19)-1,"n/m")</f>
        <v>0.167919159037367</v>
      </c>
    </row>
    <row r="188" customFormat="false" ht="15" hidden="false" customHeight="true" outlineLevel="0" collapsed="false">
      <c r="B188" s="36" t="s">
        <v>273</v>
      </c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8" t="n">
        <v>2500</v>
      </c>
      <c r="AU188" s="37"/>
      <c r="AV188" s="38" t="n">
        <v>4860</v>
      </c>
      <c r="AW188" s="38" t="n">
        <v>2500</v>
      </c>
      <c r="AX188" s="39"/>
      <c r="AY188" s="39"/>
      <c r="AZ188" s="39"/>
      <c r="BA188" s="39"/>
      <c r="BB188" s="39"/>
      <c r="BC188" s="39"/>
      <c r="BD188" s="23"/>
      <c r="BF188" s="7"/>
      <c r="BG188" s="7"/>
      <c r="BH188" s="7"/>
      <c r="BI188" s="7"/>
    </row>
    <row r="189" customFormat="false" ht="15" hidden="false" customHeight="true" outlineLevel="0" collapsed="false">
      <c r="B189" s="43" t="s">
        <v>274</v>
      </c>
      <c r="C189" s="37" t="str">
        <f aca="false">IF(ISNUMBER(C188),IF(ABS(C187-C188)&lt;=50,0,ROUND(C187-C188,0)),"n/p")</f>
        <v>n/p</v>
      </c>
      <c r="D189" s="37" t="str">
        <f aca="false">IF(ISNUMBER(D188),IF(ABS(D187-D188)&lt;=50,0,ROUND(D187-D188,0)),"n/p")</f>
        <v>n/p</v>
      </c>
      <c r="E189" s="37" t="str">
        <f aca="false">IF(ISNUMBER(E188),IF(ABS(E187-E188)&lt;=50,0,ROUND(E187-E188,0)),"n/p")</f>
        <v>n/p</v>
      </c>
      <c r="F189" s="37" t="str">
        <f aca="false">IF(ISNUMBER(F188),IF(ABS(F187-F188)&lt;=50,0,ROUND(F187-F188,0)),"n/p")</f>
        <v>n/p</v>
      </c>
      <c r="G189" s="37" t="str">
        <f aca="false">IF(ISNUMBER(G188),IF(ABS(G187-G188)&lt;=50,0,ROUND(G187-G188,0)),"n/p")</f>
        <v>n/p</v>
      </c>
      <c r="H189" s="37" t="str">
        <f aca="false">IF(ISNUMBER(H188),IF(ABS(H187-H188)&lt;=50,0,ROUND(H187-H188,0)),"n/p")</f>
        <v>n/p</v>
      </c>
      <c r="I189" s="37" t="str">
        <f aca="false">IF(ISNUMBER(I188),IF(ABS(I187-I188)&lt;=50,0,ROUND(I187-I188,0)),"n/p")</f>
        <v>n/p</v>
      </c>
      <c r="J189" s="37" t="str">
        <f aca="false">IF(ISNUMBER(J188),IF(ABS(J187-J188)&lt;=50,0,ROUND(J187-J188,0)),"n/p")</f>
        <v>n/p</v>
      </c>
      <c r="K189" s="37" t="str">
        <f aca="false">IF(ISNUMBER(K188),IF(ABS(K187-K188)&lt;=50,0,ROUND(K187-K188,0)),"n/p")</f>
        <v>n/p</v>
      </c>
      <c r="L189" s="37" t="str">
        <f aca="false">IF(ISNUMBER(L188),IF(ABS(L187-L188)&lt;=50,0,ROUND(L187-L188,0)),"n/p")</f>
        <v>n/p</v>
      </c>
      <c r="M189" s="37" t="str">
        <f aca="false">IF(ISNUMBER(M188),IF(ABS(M187-M188)&lt;=50,0,ROUND(M187-M188,0)),"n/p")</f>
        <v>n/p</v>
      </c>
      <c r="N189" s="37" t="str">
        <f aca="false">IF(ISNUMBER(N188),IF(ABS(N187-N188)&lt;=50,0,ROUND(N187-N188,0)),"n/p")</f>
        <v>n/p</v>
      </c>
      <c r="O189" s="37" t="str">
        <f aca="false">IF(ISNUMBER(O188),IF(ABS(O187-O188)&lt;=50,0,ROUND(O187-O188,0)),"n/p")</f>
        <v>n/p</v>
      </c>
      <c r="P189" s="37" t="str">
        <f aca="false">IF(ISNUMBER(P188),IF(ABS(P187-P188)&lt;=50,0,ROUND(P187-P188,0)),"n/p")</f>
        <v>n/p</v>
      </c>
      <c r="Q189" s="37" t="str">
        <f aca="false">IF(ISNUMBER(Q188),IF(ABS(Q187-Q188)&lt;=50,0,ROUND(Q187-Q188,0)),"n/p")</f>
        <v>n/p</v>
      </c>
      <c r="R189" s="37" t="str">
        <f aca="false">IF(ISNUMBER(R188),IF(ABS(R187-R188)&lt;=50,0,ROUND(R187-R188,0)),"n/p")</f>
        <v>n/p</v>
      </c>
      <c r="S189" s="37" t="str">
        <f aca="false">IF(ISNUMBER(S188),IF(ABS(S187-S188)&lt;=50,0,ROUND(S187-S188,0)),"n/p")</f>
        <v>n/p</v>
      </c>
      <c r="T189" s="37" t="str">
        <f aca="false">IF(ISNUMBER(T188),IF(ABS(T187-T188)&lt;=50,0,ROUND(T187-T188,0)),"n/p")</f>
        <v>n/p</v>
      </c>
      <c r="U189" s="37" t="str">
        <f aca="false">IF(ISNUMBER(U188),IF(ABS(U187-U188)&lt;=50,0,ROUND(U187-U188,0)),"n/p")</f>
        <v>n/p</v>
      </c>
      <c r="V189" s="37" t="str">
        <f aca="false">IF(ISNUMBER(V188),IF(ABS(V187-V188)&lt;=50,0,ROUND(V187-V188,0)),"n/p")</f>
        <v>n/p</v>
      </c>
      <c r="W189" s="37" t="str">
        <f aca="false">IF(ISNUMBER(W188),IF(ABS(W187-W188)&lt;=50,0,ROUND(W187-W188,0)),"n/p")</f>
        <v>n/p</v>
      </c>
      <c r="X189" s="37" t="str">
        <f aca="false">IF(ISNUMBER(X188),IF(ABS(X187-X188)&lt;=50,0,ROUND(X187-X188,0)),"n/p")</f>
        <v>n/p</v>
      </c>
      <c r="Y189" s="37" t="str">
        <f aca="false">IF(ISNUMBER(Y188),IF(ABS(Y187-Y188)&lt;=50,0,ROUND(Y187-Y188,0)),"n/p")</f>
        <v>n/p</v>
      </c>
      <c r="Z189" s="37" t="str">
        <f aca="false">IF(ISNUMBER(Z188),IF(ABS(Z187-Z188)&lt;=50,0,ROUND(Z187-Z188,0)),"n/p")</f>
        <v>n/p</v>
      </c>
      <c r="AA189" s="37" t="str">
        <f aca="false">IF(ISNUMBER(AA188),IF(ABS(AA187-AA188)&lt;=50,0,ROUND(AA187-AA188,0)),"n/p")</f>
        <v>n/p</v>
      </c>
      <c r="AB189" s="37" t="str">
        <f aca="false">IF(ISNUMBER(AB188),IF(ABS(AB187-AB188)&lt;=50,0,ROUND(AB187-AB188,0)),"n/p")</f>
        <v>n/p</v>
      </c>
      <c r="AC189" s="37" t="str">
        <f aca="false">IF(ISNUMBER(AC188),IF(ABS(AC187-AC188)&lt;=50,0,ROUND(AC187-AC188,0)),"n/p")</f>
        <v>n/p</v>
      </c>
      <c r="AD189" s="37" t="str">
        <f aca="false">IF(ISNUMBER(AD188),IF(ABS(AD187-AD188)&lt;=50,0,ROUND(AD187-AD188,0)),"n/p")</f>
        <v>n/p</v>
      </c>
      <c r="AE189" s="37" t="str">
        <f aca="false">IF(ISNUMBER(AE188),IF(ABS(AE187-AE188)&lt;=50,0,ROUND(AE187-AE188,0)),"n/p")</f>
        <v>n/p</v>
      </c>
      <c r="AF189" s="37" t="str">
        <f aca="false">IF(ISNUMBER(AF188),IF(ABS(AF187-AF188)&lt;=50,0,ROUND(AF187-AF188,0)),"n/p")</f>
        <v>n/p</v>
      </c>
      <c r="AG189" s="37" t="str">
        <f aca="false">IF(ISNUMBER(AG188),IF(ABS(AG187-AG188)&lt;=50,0,ROUND(AG187-AG188,0)),"n/p")</f>
        <v>n/p</v>
      </c>
      <c r="AH189" s="37" t="str">
        <f aca="false">IF(ISNUMBER(AH188),IF(ABS(AH187-AH188)&lt;=50,0,ROUND(AH187-AH188,0)),"n/p")</f>
        <v>n/p</v>
      </c>
      <c r="AI189" s="37" t="str">
        <f aca="false">IF(ISNUMBER(AI188),IF(ABS(AI187-AI188)&lt;=50,0,ROUND(AI187-AI188,0)),"n/p")</f>
        <v>n/p</v>
      </c>
      <c r="AJ189" s="37" t="str">
        <f aca="false">IF(ISNUMBER(AJ188),IF(ABS(AJ187-AJ188)&lt;=50,0,ROUND(AJ187-AJ188,0)),"n/p")</f>
        <v>n/p</v>
      </c>
      <c r="AK189" s="37" t="str">
        <f aca="false">IF(ISNUMBER(AK188),IF(ABS(AK187-AK188)&lt;=50,0,ROUND(AK187-AK188,0)),"n/p")</f>
        <v>n/p</v>
      </c>
      <c r="AL189" s="37" t="str">
        <f aca="false">IF(ISNUMBER(AL188),IF(ABS(AL187-AL188)&lt;=50,0,ROUND(AL187-AL188,0)),"n/p")</f>
        <v>n/p</v>
      </c>
      <c r="AM189" s="37" t="str">
        <f aca="false">IF(ISNUMBER(AM188),IF(ABS(AM187-AM188)&lt;=50,0,ROUND(AM187-AM188,0)),"n/p")</f>
        <v>n/p</v>
      </c>
      <c r="AN189" s="37" t="str">
        <f aca="false">IF(ISNUMBER(AN188),IF(ABS(AN187-AN188)&lt;=50,0,ROUND(AN187-AN188,0)),"n/p")</f>
        <v>n/p</v>
      </c>
      <c r="AO189" s="37" t="str">
        <f aca="false">IF(ISNUMBER(AO188),IF(ABS(AO187-AO188)&lt;=50,0,ROUND(AO187-AO188,0)),"n/p")</f>
        <v>n/p</v>
      </c>
      <c r="AP189" s="37" t="str">
        <f aca="false">IF(ISNUMBER(AP188),IF(ABS(AP187-AP188)&lt;=50,0,ROUND(AP187-AP188,0)),"n/p")</f>
        <v>n/p</v>
      </c>
      <c r="AQ189" s="37" t="str">
        <f aca="false">IF(ISNUMBER(AQ188),IF(ABS(AQ187-AQ188)&lt;=50,0,ROUND(AQ187-AQ188,0)),"n/p")</f>
        <v>n/p</v>
      </c>
      <c r="AR189" s="37" t="str">
        <f aca="false">IF(ISNUMBER(AR188),IF(ABS(AR187-AR188)&lt;=50,0,ROUND(AR187-AR188,0)),"n/p")</f>
        <v>n/p</v>
      </c>
      <c r="AS189" s="37" t="str">
        <f aca="false">IF(ISNUMBER(AS188),IF(ABS(AS187-AS188)&lt;=50,0,ROUND(AS187-AS188,0)),"n/p")</f>
        <v>n/p</v>
      </c>
      <c r="AT189" s="37" t="n">
        <f aca="false">IF(ISNUMBER(AT188),IF(ABS(AT187-AT188)&lt;=50,0,ROUND(AT187-AT188,0)),"n/p")</f>
        <v>0</v>
      </c>
      <c r="AU189" s="37" t="str">
        <f aca="false">IF(ISNUMBER(AU188),IF(ABS(AU187-AU188)&lt;=50,0,ROUND(AU187-AU188,0)),"n/p")</f>
        <v>n/p</v>
      </c>
      <c r="AV189" s="37" t="n">
        <f aca="false">IF(ISNUMBER(AV188),IF(ABS(AV187-AV188)&lt;=50,0,ROUND(AV187-AV188,0)),"n/p")</f>
        <v>0</v>
      </c>
      <c r="AW189" s="37" t="n">
        <f aca="false">IF(ISNUMBER(AW188),IF(ABS(AW187-AW188)&lt;=50,0,ROUND(AW187-AW188,0)),"n/p")</f>
        <v>0</v>
      </c>
      <c r="AX189" s="39"/>
      <c r="AY189" s="39"/>
      <c r="AZ189" s="39"/>
      <c r="BA189" s="39"/>
      <c r="BB189" s="39"/>
      <c r="BC189" s="39"/>
      <c r="BD189" s="23"/>
      <c r="BF189" s="7"/>
      <c r="BG189" s="7"/>
      <c r="BH189" s="7"/>
      <c r="BI189" s="7"/>
    </row>
    <row r="190" customFormat="false" ht="15" hidden="false" customHeight="true" outlineLevel="0" collapsed="false">
      <c r="B190" s="13" t="s">
        <v>226</v>
      </c>
      <c r="C190" s="49" t="str">
        <f aca="false">IF(ISNUMBER(C148),C148,"")</f>
        <v/>
      </c>
      <c r="D190" s="49" t="str">
        <f aca="false">IF(ISNUMBER(D148),D148,"")</f>
        <v/>
      </c>
      <c r="E190" s="49" t="str">
        <f aca="false">IF(ISNUMBER(E148),E148,"")</f>
        <v/>
      </c>
      <c r="F190" s="49" t="n">
        <f aca="false">IF(ISNUMBER(F148),F148,"")</f>
        <v>105.211224</v>
      </c>
      <c r="G190" s="49" t="n">
        <f aca="false">IF(ISNUMBER(G148),G148,"")</f>
        <v>105.428153</v>
      </c>
      <c r="H190" s="49" t="n">
        <f aca="false">IF(ISNUMBER(H148),H148,"")</f>
        <v>104.972275</v>
      </c>
      <c r="I190" s="49" t="n">
        <f aca="false">IF(ISNUMBER(I148),I148,"")</f>
        <v>104.684282</v>
      </c>
      <c r="J190" s="49" t="n">
        <f aca="false">IF(ISNUMBER(J148),J148,"")</f>
        <v>104.806634</v>
      </c>
      <c r="K190" s="49" t="n">
        <f aca="false">IF(ISNUMBER(K148),K148,"")</f>
        <v>104.857556</v>
      </c>
      <c r="L190" s="49" t="n">
        <f aca="false">IF(ISNUMBER(L148),L148,"")</f>
        <v>104.857556</v>
      </c>
      <c r="M190" s="49" t="n">
        <f aca="false">IF(ISNUMBER(M148),M148,"")</f>
        <v>104.676807</v>
      </c>
      <c r="N190" s="49" t="n">
        <f aca="false">IF(ISNUMBER(N148),N148,"")</f>
        <v>104.823341</v>
      </c>
      <c r="O190" s="49" t="n">
        <f aca="false">IF(ISNUMBER(O148),O148,"")</f>
        <v>104.823341</v>
      </c>
      <c r="P190" s="49" t="n">
        <f aca="false">IF(ISNUMBER(P148),P148,"")</f>
        <v>105.070227</v>
      </c>
      <c r="Q190" s="49" t="n">
        <f aca="false">IF(ISNUMBER(Q148),Q148,"")</f>
        <v>105.088768</v>
      </c>
      <c r="R190" s="49" t="n">
        <f aca="false">IF(ISNUMBER(R148),R148,"")</f>
        <v>105.088768</v>
      </c>
      <c r="S190" s="49" t="n">
        <f aca="false">IF(ISNUMBER(S148),S148,"")</f>
        <v>104.940812</v>
      </c>
      <c r="T190" s="49" t="n">
        <f aca="false">IF(ISNUMBER(T148),T148,"")</f>
        <v>105.119349</v>
      </c>
      <c r="U190" s="49" t="n">
        <f aca="false">IF(ISNUMBER(U148),U148,"")</f>
        <v>105.119349</v>
      </c>
      <c r="V190" s="49" t="n">
        <f aca="false">IF(ISNUMBER(V148),V148,"")</f>
        <v>105.18332</v>
      </c>
      <c r="W190" s="49" t="n">
        <f aca="false">IF(ISNUMBER(W148),W148,"")</f>
        <v>105.1608</v>
      </c>
      <c r="X190" s="49" t="n">
        <f aca="false">IF(ISNUMBER(X148),X148,"")</f>
        <v>105.1608</v>
      </c>
      <c r="Y190" s="49" t="n">
        <f aca="false">IF(ISNUMBER(Y148),Y148,"")</f>
        <v>104.803328</v>
      </c>
      <c r="Z190" s="49" t="n">
        <f aca="false">IF(ISNUMBER(Z148),Z148,"")</f>
        <v>104.879817</v>
      </c>
      <c r="AA190" s="49" t="n">
        <f aca="false">IF(ISNUMBER(AA148),AA148,"")</f>
        <v>104.879817</v>
      </c>
      <c r="AB190" s="49" t="n">
        <f aca="false">IF(ISNUMBER(AB148),AB148,"")</f>
        <v>104.907927</v>
      </c>
      <c r="AC190" s="49" t="n">
        <f aca="false">IF(ISNUMBER(AC148),AC148,"")</f>
        <v>105.055331</v>
      </c>
      <c r="AD190" s="49" t="n">
        <f aca="false">IF(ISNUMBER(AD148),AD148,"")</f>
        <v>105.055331</v>
      </c>
      <c r="AE190" s="49" t="n">
        <f aca="false">IF(ISNUMBER(AE148),AE148,"")</f>
        <v>104.629763</v>
      </c>
      <c r="AF190" s="49" t="n">
        <f aca="false">IF(ISNUMBER(AF148),AF148,"")</f>
        <v>104.888511</v>
      </c>
      <c r="AG190" s="49" t="n">
        <f aca="false">IF(ISNUMBER(AG148),AG148,"")</f>
        <v>104.888511</v>
      </c>
      <c r="AH190" s="49" t="n">
        <f aca="false">IF(ISNUMBER(AH148),AH148,"")</f>
        <v>104.910029</v>
      </c>
      <c r="AI190" s="49" t="n">
        <f aca="false">IF(ISNUMBER(AI148),AI148,"")</f>
        <v>104.964401</v>
      </c>
      <c r="AJ190" s="49" t="n">
        <f aca="false">IF(ISNUMBER(AJ148),AJ148,"")</f>
        <v>104.964401</v>
      </c>
      <c r="AK190" s="49" t="n">
        <f aca="false">IF(ISNUMBER(AK148),AK148,"")</f>
        <v>104.950348</v>
      </c>
      <c r="AL190" s="49" t="n">
        <f aca="false">IF(ISNUMBER(AL148),AL148,"")</f>
        <v>104.936295</v>
      </c>
      <c r="AM190" s="49" t="n">
        <f aca="false">IF(ISNUMBER(AM148),AM148,"")</f>
        <v>104.936295</v>
      </c>
      <c r="AN190" s="49" t="n">
        <f aca="false">IF(ISNUMBER(AN148),AN148,"")</f>
        <v>104.697914</v>
      </c>
      <c r="AO190" s="49" t="n">
        <f aca="false">IF(ISNUMBER(AO148),AO148,"")</f>
        <v>104.842483</v>
      </c>
      <c r="AP190" s="49" t="n">
        <f aca="false">IF(ISNUMBER(AP148),AP148,"")</f>
        <v>104.842483</v>
      </c>
      <c r="AQ190" s="49" t="n">
        <f aca="false">IF(ISNUMBER(AQ148),AQ148,"")</f>
        <v>104.880681</v>
      </c>
      <c r="AR190" s="49" t="n">
        <f aca="false">IF(ISNUMBER(AR148),AR148,"")</f>
        <v>104.931312</v>
      </c>
      <c r="AS190" s="49" t="n">
        <f aca="false">IF(ISNUMBER(AS148),AS148,"")</f>
        <v>104.931312</v>
      </c>
      <c r="AT190" s="49" t="n">
        <f aca="false">IF(ISNUMBER(AT148),AT148,"")</f>
        <v>105.020187</v>
      </c>
      <c r="AU190" s="49" t="n">
        <f aca="false">IF(ISNUMBER(AU148),AU148,"")</f>
        <v>105.036704</v>
      </c>
      <c r="AV190" s="49" t="n">
        <f aca="false">IF(ISNUMBER(AV148),AV148,"")</f>
        <v>105.036704</v>
      </c>
      <c r="AW190" s="49" t="n">
        <f aca="false">IF(ISNUMBER(AW148),AW148,"")</f>
        <v>105.002977</v>
      </c>
      <c r="AX190" s="51" t="n">
        <f aca="false">AX148</f>
        <v>105.002977</v>
      </c>
      <c r="AY190" s="51" t="n">
        <f aca="false">AY148</f>
        <v>105.002977</v>
      </c>
      <c r="AZ190" s="51" t="n">
        <f aca="false">AZ148</f>
        <v>104.933550679179</v>
      </c>
      <c r="BA190" s="51" t="n">
        <f aca="false">BA148</f>
        <v>104.839635888151</v>
      </c>
      <c r="BB190" s="51" t="n">
        <f aca="false">BB148</f>
        <v>104.757098700275</v>
      </c>
      <c r="BC190" s="51" t="n">
        <f aca="false">BC148</f>
        <v>104.685194786372</v>
      </c>
      <c r="BD190" s="23"/>
      <c r="BF190" s="7"/>
      <c r="BG190" s="7"/>
      <c r="BH190" s="7"/>
      <c r="BI190" s="7"/>
    </row>
    <row r="191" customFormat="false" ht="15" hidden="false" customHeight="true" outlineLevel="0" collapsed="false">
      <c r="B191" s="40" t="s">
        <v>275</v>
      </c>
      <c r="C191" s="52" t="str">
        <f aca="false">IFERROR(C187/C190,"")</f>
        <v/>
      </c>
      <c r="D191" s="52" t="str">
        <f aca="false">IFERROR(D187/D190,"")</f>
        <v/>
      </c>
      <c r="E191" s="52" t="str">
        <f aca="false">IFERROR(E187/E190,"")</f>
        <v/>
      </c>
      <c r="F191" s="52" t="n">
        <f aca="false">IFERROR(F187/F190,"")</f>
        <v>2.7449542835848</v>
      </c>
      <c r="G191" s="52" t="n">
        <f aca="false">IFERROR(G187/G190,"")</f>
        <v>3.99988037350896</v>
      </c>
      <c r="H191" s="52" t="n">
        <f aca="false">IFERROR(H187/H190,"")</f>
        <v>5.65958963926427</v>
      </c>
      <c r="I191" s="52" t="n">
        <f aca="false">IFERROR(I187/I190,"")</f>
        <v>7.06887400727456</v>
      </c>
      <c r="J191" s="52" t="n">
        <f aca="false">IFERROR(J187/J190,"")</f>
        <v>3.64194503183835</v>
      </c>
      <c r="K191" s="52" t="n">
        <f aca="false">IFERROR(K187/K190,"")</f>
        <v>3.89862224139575</v>
      </c>
      <c r="L191" s="52" t="n">
        <f aca="false">IFERROR(L187/L190,"")</f>
        <v>7.53879863459721</v>
      </c>
      <c r="M191" s="52" t="n">
        <f aca="false">IFERROR(M187/M190,"")</f>
        <v>3.94070101889906</v>
      </c>
      <c r="N191" s="52" t="n">
        <f aca="false">IFERROR(N187/N190,"")</f>
        <v>4.25763952705915</v>
      </c>
      <c r="O191" s="52" t="n">
        <f aca="false">IFERROR(O187/O190,"")</f>
        <v>8.19283178543222</v>
      </c>
      <c r="P191" s="52" t="n">
        <f aca="false">IFERROR(P187/P190,"")</f>
        <v>4.59216672292904</v>
      </c>
      <c r="Q191" s="52" t="n">
        <f aca="false">IFERROR(Q187/Q190,"")</f>
        <v>4.66367633123266</v>
      </c>
      <c r="R191" s="52" t="n">
        <f aca="false">IFERROR(R187/R190,"")</f>
        <v>9.25503284994263</v>
      </c>
      <c r="S191" s="52" t="n">
        <f aca="false">IFERROR(S187/S190,"")</f>
        <v>5.19721535983541</v>
      </c>
      <c r="T191" s="52" t="n">
        <f aca="false">IFERROR(T187/T190,"")</f>
        <v>5.27781046284828</v>
      </c>
      <c r="U191" s="52" t="n">
        <f aca="false">IFERROR(U187/U190,"")</f>
        <v>10.4661987585178</v>
      </c>
      <c r="V191" s="52" t="n">
        <f aca="false">IFERROR(V187/V190,"")</f>
        <v>5.75376399984332</v>
      </c>
      <c r="W191" s="52" t="n">
        <f aca="false">IFERROR(W187/W190,"")</f>
        <v>5.86054879765084</v>
      </c>
      <c r="X191" s="52" t="n">
        <f aca="false">IFERROR(X187/X190,"")</f>
        <v>11.8057298917467</v>
      </c>
      <c r="Y191" s="52" t="n">
        <f aca="false">IFERROR(Y187/Y190,"")</f>
        <v>6.25170986936598</v>
      </c>
      <c r="Z191" s="52" t="n">
        <f aca="false">IFERROR(Z187/Z190,"")</f>
        <v>6.64379496390617</v>
      </c>
      <c r="AA191" s="52" t="n">
        <f aca="false">IFERROR(AA187/AA190,"")</f>
        <v>12.8909454523552</v>
      </c>
      <c r="AB191" s="52" t="n">
        <f aca="false">IFERROR(AB187/AB190,"")</f>
        <v>7.19011443243941</v>
      </c>
      <c r="AC191" s="52" t="n">
        <f aca="false">IFERROR(AC187/AC190,"")</f>
        <v>7.36564239657671</v>
      </c>
      <c r="AD191" s="52" t="n">
        <f aca="false">IFERROR(AD187/AD190,"")</f>
        <v>14.5456683202493</v>
      </c>
      <c r="AE191" s="52" t="n">
        <f aca="false">IFERROR(AE187/AE190,"")</f>
        <v>3.20081007925059</v>
      </c>
      <c r="AF191" s="52" t="n">
        <f aca="false">IFERROR(AF187/AF190,"")</f>
        <v>9.40958988212358</v>
      </c>
      <c r="AG191" s="52" t="n">
        <f aca="false">IFERROR(AG187/AG190,"")</f>
        <v>12.3397690334264</v>
      </c>
      <c r="AH191" s="52" t="n">
        <f aca="false">IFERROR(AH187/AH190,"")</f>
        <v>11.1867283918109</v>
      </c>
      <c r="AI191" s="52" t="n">
        <f aca="false">IFERROR(AI187/AI190,"")</f>
        <v>12.1222051274317</v>
      </c>
      <c r="AJ191" s="52" t="n">
        <f aca="false">IFERROR(AJ187/AJ190,"")</f>
        <v>23.303138747012</v>
      </c>
      <c r="AK191" s="52" t="n">
        <f aca="false">IFERROR(AK187/AK190,"")</f>
        <v>15.6454936195162</v>
      </c>
      <c r="AL191" s="52" t="n">
        <f aca="false">IFERROR(AL187/AL190,"")</f>
        <v>16.438544928616</v>
      </c>
      <c r="AM191" s="52" t="n">
        <f aca="false">IFERROR(AM187/AM190,"")</f>
        <v>32.0861337824058</v>
      </c>
      <c r="AN191" s="52" t="n">
        <f aca="false">IFERROR(AN187/AN190,"")</f>
        <v>21.2611685845049</v>
      </c>
      <c r="AO191" s="52" t="n">
        <f aca="false">IFERROR(AO187/AO190,"")</f>
        <v>19.8679003052608</v>
      </c>
      <c r="AP191" s="52" t="n">
        <f aca="false">IFERROR(AP187/AP190,"")</f>
        <v>41.0997515196202</v>
      </c>
      <c r="AQ191" s="52" t="n">
        <f aca="false">IFERROR(AQ187/AQ190,"")</f>
        <v>22.5875726340869</v>
      </c>
      <c r="AR191" s="52" t="n">
        <f aca="false">IFERROR(AR187/AR190,"")</f>
        <v>21.2805878192012</v>
      </c>
      <c r="AS191" s="52" t="n">
        <f aca="false">IFERROR(AS187/AS190,"")</f>
        <v>43.8572615960429</v>
      </c>
      <c r="AT191" s="52" t="n">
        <f aca="false">IFERROR(AT187/AT190,"")</f>
        <v>23.8335130749672</v>
      </c>
      <c r="AU191" s="52" t="n">
        <f aca="false">IFERROR(AU187/AU190,"")</f>
        <v>22.3921725495118</v>
      </c>
      <c r="AV191" s="52" t="n">
        <f aca="false">IFERROR(AV187/AV190,"")</f>
        <v>46.2219378094728</v>
      </c>
      <c r="AW191" s="52" t="n">
        <f aca="false">IFERROR(AW187/AW190,"")</f>
        <v>23.7326604559031</v>
      </c>
      <c r="AX191" s="52" t="n">
        <f aca="false">IFERROR(AX187/AX190,"")</f>
        <v>23.5013251787804</v>
      </c>
      <c r="AY191" s="52" t="n">
        <f aca="false">IFERROR(AY187/AY190,"")</f>
        <v>47.2339856346835</v>
      </c>
      <c r="AZ191" s="52" t="n">
        <f aca="false">IFERROR(AZ187/AZ190,"")</f>
        <v>50.4322978245211</v>
      </c>
      <c r="BA191" s="52" t="n">
        <f aca="false">IFERROR(BA187/BA190,"")</f>
        <v>54.7833948245954</v>
      </c>
      <c r="BB191" s="52" t="n">
        <f aca="false">IFERROR(BB187/BB190,"")</f>
        <v>59.2207941123247</v>
      </c>
      <c r="BC191" s="52" t="n">
        <f aca="false">IFERROR(BC187/BC190,"")</f>
        <v>63.460426577562</v>
      </c>
      <c r="BD191" s="23"/>
      <c r="BF191" s="24" t="n">
        <f aca="false">IFERROR((BC191/AV191)^(1/5)-1,"n/m")</f>
        <v>0.0654448331615589</v>
      </c>
      <c r="BG191" s="24" t="n">
        <f aca="false">IFERROR((AV191/AG191)^(1/5)-1,"n/m")</f>
        <v>0.302291552889793</v>
      </c>
      <c r="BH191" s="24" t="n">
        <f aca="false">IFERROR((AV191/R191)^(1/10)-1,"n/m")</f>
        <v>0.174483766541001</v>
      </c>
      <c r="BI191" s="24" t="str">
        <f aca="false">IFERROR((AV191/C191)^(1/19)-1,"n/m")</f>
        <v>n/m</v>
      </c>
    </row>
    <row r="192" customFormat="false" ht="15" hidden="false" customHeight="true" outlineLevel="0" collapsed="false">
      <c r="B192" s="26" t="s">
        <v>276</v>
      </c>
      <c r="C192" s="27"/>
      <c r="D192" s="27" t="str">
        <f aca="false">IF(AND(ISNUMBER(D191),ISNUMBER(C191)),IFERROR(D191/C191-1,""),"")</f>
        <v/>
      </c>
      <c r="E192" s="27" t="str">
        <f aca="false">IF(AND(ISNUMBER(E191),ISNUMBER(D191)),IFERROR(E191/D191-1,""),"")</f>
        <v/>
      </c>
      <c r="F192" s="27" t="str">
        <f aca="false">IF(AND(ISNUMBER(F191),ISNUMBER(E191)),IFERROR(F191/E191-1,""),"")</f>
        <v/>
      </c>
      <c r="G192" s="27" t="n">
        <f aca="false">IF(AND(ISNUMBER(G191),ISNUMBER(F191)),IFERROR(G191/F191-1,""),"")</f>
        <v>0.457175588471106</v>
      </c>
      <c r="H192" s="27" t="n">
        <f aca="false">IF(AND(ISNUMBER(H191),ISNUMBER(G191)),IFERROR(H191/G191-1,""),"")</f>
        <v>0.414939725884676</v>
      </c>
      <c r="I192" s="27" t="n">
        <f aca="false">IF(AND(ISNUMBER(I191),ISNUMBER(H191)),IFERROR(I191/H191-1,""),"")</f>
        <v>0.249008224595149</v>
      </c>
      <c r="J192" s="27"/>
      <c r="K192" s="27"/>
      <c r="L192" s="27" t="n">
        <f aca="false">IF(AND(ISNUMBER(L191),ISNUMBER(I191)),IFERROR(L191/I191-1,""),"")</f>
        <v>0.0664780029802545</v>
      </c>
      <c r="M192" s="27" t="n">
        <f aca="false">IF(AND(ISNUMBER(M191),ISNUMBER(J191)),IFERROR(M191/J191-1,""),"")</f>
        <v>0.0820319868776021</v>
      </c>
      <c r="N192" s="27" t="n">
        <f aca="false">IF(AND(ISNUMBER(N191),ISNUMBER(K191)),IFERROR(N191/K191-1,""),"")</f>
        <v>0.0920882464198103</v>
      </c>
      <c r="O192" s="27" t="n">
        <f aca="false">IF(AND(ISNUMBER(O191),ISNUMBER(L191)),IFERROR(O191/L191-1,""),"")</f>
        <v>0.0867556201638695</v>
      </c>
      <c r="P192" s="27" t="n">
        <f aca="false">IF(AND(ISNUMBER(P191),ISNUMBER(M191)),IFERROR(P191/M191-1,""),"")</f>
        <v>0.165317211558461</v>
      </c>
      <c r="Q192" s="27" t="n">
        <f aca="false">IF(AND(ISNUMBER(Q191),ISNUMBER(N191)),IFERROR(Q191/N191-1,""),"")</f>
        <v>0.0953666466108656</v>
      </c>
      <c r="R192" s="27" t="n">
        <f aca="false">IF(AND(ISNUMBER(R191),ISNUMBER(O191)),IFERROR(R191/O191-1,""),"")</f>
        <v>0.129650051695084</v>
      </c>
      <c r="S192" s="27" t="n">
        <f aca="false">IF(AND(ISNUMBER(S191),ISNUMBER(P191)),IFERROR(S191/P191-1,""),"")</f>
        <v>0.131756679017188</v>
      </c>
      <c r="T192" s="27" t="n">
        <f aca="false">IF(AND(ISNUMBER(T191),ISNUMBER(Q191)),IFERROR(T191/Q191-1,""),"")</f>
        <v>0.13168455269993</v>
      </c>
      <c r="U192" s="27" t="n">
        <f aca="false">IF(AND(ISNUMBER(U191),ISNUMBER(R191)),IFERROR(U191/R191-1,""),"")</f>
        <v>0.130865652041709</v>
      </c>
      <c r="V192" s="27" t="n">
        <f aca="false">IF(AND(ISNUMBER(V191),ISNUMBER(S191)),IFERROR(V191/S191-1,""),"")</f>
        <v>0.107085929959527</v>
      </c>
      <c r="W192" s="27" t="n">
        <f aca="false">IF(AND(ISNUMBER(W191),ISNUMBER(T191)),IFERROR(W191/T191-1,""),"")</f>
        <v>0.110412895443023</v>
      </c>
      <c r="X192" s="27" t="n">
        <f aca="false">IF(AND(ISNUMBER(X191),ISNUMBER(U191)),IFERROR(X191/U191-1,""),"")</f>
        <v>0.12798640309967</v>
      </c>
      <c r="Y192" s="27" t="n">
        <f aca="false">IF(AND(ISNUMBER(Y191),ISNUMBER(V191)),IFERROR(Y191/V191-1,""),"")</f>
        <v>0.0865426301002641</v>
      </c>
      <c r="Z192" s="27" t="n">
        <f aca="false">IF(AND(ISNUMBER(Z191),ISNUMBER(W191)),IFERROR(Z191/W191-1,""),"")</f>
        <v>0.133647239072438</v>
      </c>
      <c r="AA192" s="27" t="n">
        <f aca="false">IF(AND(ISNUMBER(AA191),ISNUMBER(X191)),IFERROR(AA191/X191-1,""),"")</f>
        <v>0.0919227841530725</v>
      </c>
      <c r="AB192" s="27" t="n">
        <f aca="false">IF(AND(ISNUMBER(AB191),ISNUMBER(Y191)),IFERROR(AB191/Y191-1,""),"")</f>
        <v>0.150103664866424</v>
      </c>
      <c r="AC192" s="27" t="n">
        <f aca="false">IF(AND(ISNUMBER(AC191),ISNUMBER(Z191)),IFERROR(AC191/Z191-1,""),"")</f>
        <v>0.108649866016657</v>
      </c>
      <c r="AD192" s="27" t="n">
        <f aca="false">IF(AND(ISNUMBER(AD191),ISNUMBER(AA191)),IFERROR(AD191/AA191-1,""),"")</f>
        <v>0.128363189031391</v>
      </c>
      <c r="AE192" s="27" t="n">
        <f aca="false">IF(AND(ISNUMBER(AE191),ISNUMBER(AB191)),IFERROR(AE191/AB191-1,""),"")</f>
        <v>-0.554831830657716</v>
      </c>
      <c r="AF192" s="27" t="n">
        <f aca="false">IF(AND(ISNUMBER(AF191),ISNUMBER(AC191)),IFERROR(AF191/AC191-1,""),"")</f>
        <v>0.277497518274417</v>
      </c>
      <c r="AG192" s="27" t="n">
        <f aca="false">IF(AND(ISNUMBER(AG191),ISNUMBER(AD191)),IFERROR(AG191/AD191-1,""),"")</f>
        <v>-0.151653347117233</v>
      </c>
      <c r="AH192" s="27" t="n">
        <f aca="false">IF(AND(ISNUMBER(AH191),ISNUMBER(AE191)),IFERROR(AH191/AE191-1,""),"")</f>
        <v>2.49496787214256</v>
      </c>
      <c r="AI192" s="27" t="n">
        <f aca="false">IF(AND(ISNUMBER(AI191),ISNUMBER(AF191)),IFERROR(AI191/AF191-1,""),"")</f>
        <v>0.288281984580603</v>
      </c>
      <c r="AJ192" s="27" t="n">
        <f aca="false">IF(AND(ISNUMBER(AJ191),ISNUMBER(AG191)),IFERROR(AJ191/AG191-1,""),"")</f>
        <v>0.888458259136591</v>
      </c>
      <c r="AK192" s="27" t="n">
        <f aca="false">IF(AND(ISNUMBER(AK191),ISNUMBER(AH191)),IFERROR(AK191/AH191-1,""),"")</f>
        <v>0.398576337204118</v>
      </c>
      <c r="AL192" s="27" t="n">
        <f aca="false">IF(AND(ISNUMBER(AL191),ISNUMBER(AI191)),IFERROR(AL191/AI191-1,""),"")</f>
        <v>0.356068863363537</v>
      </c>
      <c r="AM192" s="27" t="n">
        <f aca="false">IF(AND(ISNUMBER(AM191),ISNUMBER(AJ191)),IFERROR(AM191/AJ191-1,""),"")</f>
        <v>0.376901804119414</v>
      </c>
      <c r="AN192" s="27" t="n">
        <f aca="false">IF(AND(ISNUMBER(AN191),ISNUMBER(AK191)),IFERROR(AN191/AK191-1,""),"")</f>
        <v>0.358932424988101</v>
      </c>
      <c r="AO192" s="27" t="n">
        <f aca="false">IF(AND(ISNUMBER(AO191),ISNUMBER(AL191)),IFERROR(AO191/AL191-1,""),"")</f>
        <v>0.20861672316721</v>
      </c>
      <c r="AP192" s="27" t="n">
        <f aca="false">IF(AND(ISNUMBER(AP191),ISNUMBER(AM191)),IFERROR(AP191/AM191-1,""),"")</f>
        <v>0.280919408936608</v>
      </c>
      <c r="AQ192" s="27" t="n">
        <f aca="false">IF(AND(ISNUMBER(AQ191),ISNUMBER(AN191)),IFERROR(AQ191/AN191-1,""),"")</f>
        <v>0.0623862251178733</v>
      </c>
      <c r="AR192" s="27" t="n">
        <f aca="false">IF(AND(ISNUMBER(AR191),ISNUMBER(AO191)),IFERROR(AR191/AO191-1,""),"")</f>
        <v>0.0711040166416745</v>
      </c>
      <c r="AS192" s="27" t="n">
        <f aca="false">IF(AND(ISNUMBER(AS191),ISNUMBER(AP191)),IFERROR(AS191/AP191-1,""),"")</f>
        <v>0.0670931082176107</v>
      </c>
      <c r="AT192" s="27" t="n">
        <f aca="false">IF(AND(ISNUMBER(AT191),ISNUMBER(AQ191)),IFERROR(AT191/AQ191-1,""),"")</f>
        <v>0.0551604398163628</v>
      </c>
      <c r="AU192" s="27" t="n">
        <f aca="false">IF(AND(ISNUMBER(AU191),ISNUMBER(AR191)),IFERROR(AU191/AR191-1,""),"")</f>
        <v>0.0522346816617385</v>
      </c>
      <c r="AV192" s="27" t="n">
        <f aca="false">IF(AND(ISNUMBER(AV191),ISNUMBER(AS191)),IFERROR(AV191/AS191-1,""),"")</f>
        <v>0.0539175527010831</v>
      </c>
      <c r="AW192" s="27" t="n">
        <f aca="false">IF(AND(ISNUMBER(AW191),ISNUMBER(AT191)),IFERROR(AW191/AT191-1,""),"")</f>
        <v>-0.00423154650961</v>
      </c>
      <c r="AX192" s="28" t="n">
        <f aca="false">IF(AND(ISNUMBER(AX191),ISNUMBER(AU191)),IFERROR(AX191/AU191-1,""),"")</f>
        <v>0.0495330511952825</v>
      </c>
      <c r="AY192" s="28" t="n">
        <f aca="false">IF(AND(ISNUMBER(AY191),ISNUMBER(AV191)),IFERROR(AY191/AV191-1,""),"")</f>
        <v>0.0218954001751803</v>
      </c>
      <c r="AZ192" s="28" t="n">
        <f aca="false">IF(AND(ISNUMBER(AZ191),ISNUMBER(AY191)),IFERROR(AZ191/AY191-1,""),"")</f>
        <v>0.0677120964251028</v>
      </c>
      <c r="BA192" s="28" t="n">
        <f aca="false">IF(AND(ISNUMBER(BA191),ISNUMBER(AZ191)),IFERROR(BA191/AZ191-1,""),"")</f>
        <v>0.0862760014468085</v>
      </c>
      <c r="BB192" s="28" t="n">
        <f aca="false">IF(AND(ISNUMBER(BB191),ISNUMBER(BA191)),IFERROR(BB191/BA191-1,""),"")</f>
        <v>0.0809989833951865</v>
      </c>
      <c r="BC192" s="28" t="n">
        <f aca="false">IF(AND(ISNUMBER(BC191),ISNUMBER(BB191)),IFERROR(BC191/BB191-1,""),"")</f>
        <v>0.0715902670470094</v>
      </c>
      <c r="BD192" s="23"/>
      <c r="BF192" s="7"/>
      <c r="BG192" s="7"/>
      <c r="BH192" s="7"/>
      <c r="BI192" s="7"/>
    </row>
    <row r="193" customFormat="false" ht="15" hidden="false" customHeight="true" outlineLevel="0" collapsed="false">
      <c r="B193" s="56" t="s">
        <v>277</v>
      </c>
      <c r="X193" s="57" t="s">
        <v>278</v>
      </c>
      <c r="AA193" s="57" t="s">
        <v>279</v>
      </c>
      <c r="AG193" s="57" t="s">
        <v>280</v>
      </c>
      <c r="AT193" s="57" t="s">
        <v>281</v>
      </c>
      <c r="AV193" s="57" t="s">
        <v>282</v>
      </c>
      <c r="AX193" s="7"/>
      <c r="AY193" s="7"/>
      <c r="AZ193" s="7"/>
      <c r="BA193" s="7"/>
      <c r="BB193" s="7"/>
      <c r="BC193" s="7"/>
      <c r="BD193" s="23" t="s">
        <v>262</v>
      </c>
      <c r="BF193" s="7"/>
      <c r="BG193" s="7"/>
      <c r="BH193" s="7"/>
      <c r="BI193" s="7"/>
    </row>
    <row r="194" customFormat="false" ht="15" hidden="false" customHeight="true" outlineLevel="0" collapsed="false">
      <c r="B194" s="13"/>
      <c r="AX194" s="7"/>
      <c r="AY194" s="7"/>
      <c r="AZ194" s="7"/>
      <c r="BA194" s="7"/>
      <c r="BB194" s="7"/>
      <c r="BC194" s="7"/>
      <c r="BD194" s="7"/>
    </row>
    <row r="195" customFormat="false" ht="15" hidden="false" customHeight="true" outlineLevel="0" collapsed="false">
      <c r="B195" s="12" t="s">
        <v>283</v>
      </c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 t="s">
        <v>284</v>
      </c>
    </row>
    <row r="196" customFormat="false" ht="15" hidden="false" customHeight="true" outlineLevel="0" collapsed="false">
      <c r="B196" s="26" t="s">
        <v>60</v>
      </c>
      <c r="C196" s="27"/>
      <c r="D196" s="27" t="n">
        <f aca="false">IF(AND(ISNUMBER(D119),ISNUMBER(C119)),IFERROR(D119/C119-1,""),"")</f>
        <v>0.0727440755165356</v>
      </c>
      <c r="E196" s="27" t="n">
        <f aca="false">IF(AND(ISNUMBER(E119),ISNUMBER(D119)),IFERROR(E119/D119-1,""),"")</f>
        <v>0.0858408713309951</v>
      </c>
      <c r="F196" s="27" t="n">
        <f aca="false">IF(AND(ISNUMBER(F119),ISNUMBER(E119)),IFERROR(F119/E119-1,""),"")</f>
        <v>0.0848350901054065</v>
      </c>
      <c r="G196" s="27" t="n">
        <f aca="false">IF(AND(ISNUMBER(G119),ISNUMBER(F119)),IFERROR(G119/F119-1,""),"")</f>
        <v>0.254139894478399</v>
      </c>
      <c r="H196" s="27" t="n">
        <f aca="false">IF(AND(ISNUMBER(H119),ISNUMBER(G119)),IFERROR(H119/G119-1,""),"")</f>
        <v>0.183438853715428</v>
      </c>
      <c r="I196" s="27" t="n">
        <f aca="false">IF(AND(ISNUMBER(I119),ISNUMBER(H119)),IFERROR(I119/H119-1,""),"")</f>
        <v>0.226277629170773</v>
      </c>
      <c r="J196" s="27"/>
      <c r="K196" s="27"/>
      <c r="L196" s="27" t="n">
        <f aca="false">IF(AND(ISNUMBER(L119),ISNUMBER(I119)),IFERROR(L119/I119-1,""),"")</f>
        <v>0.0776958181452887</v>
      </c>
      <c r="M196" s="27" t="n">
        <f aca="false">IF(AND(ISNUMBER(M119),ISNUMBER(J119)),IFERROR(M119/J119-1,""),"")</f>
        <v>0.0790516070620191</v>
      </c>
      <c r="N196" s="27" t="n">
        <f aca="false">IF(AND(ISNUMBER(N119),ISNUMBER(K119)),IFERROR(N119/K119-1,""),"")</f>
        <v>0.112749044073254</v>
      </c>
      <c r="O196" s="27" t="n">
        <f aca="false">IF(AND(ISNUMBER(O119),ISNUMBER(L119)),IFERROR(O119/L119-1,""),"")</f>
        <v>0.0968893150101204</v>
      </c>
      <c r="P196" s="27" t="n">
        <f aca="false">IF(AND(ISNUMBER(P119),ISNUMBER(M119)),IFERROR(P119/M119-1,""),"")</f>
        <v>0.205831454192669</v>
      </c>
      <c r="Q196" s="27" t="n">
        <f aca="false">IF(AND(ISNUMBER(Q119),ISNUMBER(N119)),IFERROR(Q119/N119-1,""),"")</f>
        <v>0.149161278654429</v>
      </c>
      <c r="R196" s="27" t="n">
        <f aca="false">IF(AND(ISNUMBER(R119),ISNUMBER(O119)),IFERROR(R119/O119-1,""),"")</f>
        <v>0.175399407565678</v>
      </c>
      <c r="S196" s="27" t="n">
        <f aca="false">IF(AND(ISNUMBER(S119),ISNUMBER(P119)),IFERROR(S119/P119-1,""),"")</f>
        <v>0.0613203444376793</v>
      </c>
      <c r="T196" s="27" t="n">
        <f aca="false">IF(AND(ISNUMBER(T119),ISNUMBER(Q119)),IFERROR(T119/Q119-1,""),"")</f>
        <v>0.0866383380547686</v>
      </c>
      <c r="U196" s="27" t="n">
        <f aca="false">IF(AND(ISNUMBER(U119),ISNUMBER(R119)),IFERROR(U119/R119-1,""),"")</f>
        <v>0.0746126833298906</v>
      </c>
      <c r="V196" s="27" t="n">
        <f aca="false">IF(AND(ISNUMBER(V119),ISNUMBER(S119)),IFERROR(V119/S119-1,""),"")</f>
        <v>0.111743976397312</v>
      </c>
      <c r="W196" s="27" t="n">
        <f aca="false">IF(AND(ISNUMBER(W119),ISNUMBER(T119)),IFERROR(W119/T119-1,""),"")</f>
        <v>0.0269027445868637</v>
      </c>
      <c r="X196" s="27" t="n">
        <f aca="false">IF(AND(ISNUMBER(X119),ISNUMBER(U119)),IFERROR(X119/U119-1,""),"")</f>
        <v>0.06670254892161</v>
      </c>
      <c r="Y196" s="27" t="n">
        <f aca="false">IF(AND(ISNUMBER(Y119),ISNUMBER(V119)),IFERROR(Y119/V119-1,""),"")</f>
        <v>0.0517120636909809</v>
      </c>
      <c r="Z196" s="27" t="n">
        <f aca="false">IF(AND(ISNUMBER(Z119),ISNUMBER(W119)),IFERROR(Z119/W119-1,""),"")</f>
        <v>0.0975282958992985</v>
      </c>
      <c r="AA196" s="27" t="n">
        <f aca="false">IF(AND(ISNUMBER(AA119),ISNUMBER(X119)),IFERROR(AA119/X119-1,""),"")</f>
        <v>0.075127946370648</v>
      </c>
      <c r="AB196" s="27" t="n">
        <f aca="false">IF(AND(ISNUMBER(AB119),ISNUMBER(Y119)),IFERROR(AB119/Y119-1,""),"")</f>
        <v>0.15097778089297</v>
      </c>
      <c r="AC196" s="27" t="n">
        <f aca="false">IF(AND(ISNUMBER(AC119),ISNUMBER(Z119)),IFERROR(AC119/Z119-1,""),"")</f>
        <v>0.156295177819899</v>
      </c>
      <c r="AD196" s="27" t="n">
        <f aca="false">IF(AND(ISNUMBER(AD119),ISNUMBER(AA119)),IFERROR(AD119/AA119-1,""),"")</f>
        <v>0.153752032315918</v>
      </c>
      <c r="AE196" s="27" t="n">
        <f aca="false">IF(AND(ISNUMBER(AE119),ISNUMBER(AB119)),IFERROR(AE119/AB119-1,""),"")</f>
        <v>-0.242433469338043</v>
      </c>
      <c r="AF196" s="27" t="n">
        <f aca="false">IF(AND(ISNUMBER(AF119),ISNUMBER(AC119)),IFERROR(AF119/AC119-1,""),"")</f>
        <v>0.083963102911758</v>
      </c>
      <c r="AG196" s="27" t="n">
        <f aca="false">IF(AND(ISNUMBER(AG119),ISNUMBER(AD119)),IFERROR(AG119/AD119-1,""),"")</f>
        <v>-0.0717668594008775</v>
      </c>
      <c r="AH196" s="27" t="n">
        <f aca="false">IF(AND(ISNUMBER(AH119),ISNUMBER(AE119)),IFERROR(AH119/AE119-1,""),"")</f>
        <v>0.702210610932476</v>
      </c>
      <c r="AI196" s="27" t="n">
        <f aca="false">IF(AND(ISNUMBER(AI119),ISNUMBER(AF119)),IFERROR(AI119/AF119-1,""),"")</f>
        <v>0.216717075921464</v>
      </c>
      <c r="AJ196" s="27" t="n">
        <f aca="false">IF(AND(ISNUMBER(AJ119),ISNUMBER(AG119)),IFERROR(AJ119/AG119-1,""),"")</f>
        <v>0.405765799605597</v>
      </c>
      <c r="AK196" s="27" t="n">
        <f aca="false">IF(AND(ISNUMBER(AK119),ISNUMBER(AH119)),IFERROR(AK119/AH119-1,""),"")</f>
        <v>0.292767585180987</v>
      </c>
      <c r="AL196" s="27" t="n">
        <f aca="false">IF(AND(ISNUMBER(AL119),ISNUMBER(AI119)),IFERROR(AL119/AI119-1,""),"")</f>
        <v>0.290737112641935</v>
      </c>
      <c r="AM196" s="27" t="n">
        <f aca="false">IF(AND(ISNUMBER(AM119),ISNUMBER(AJ119)),IFERROR(AM119/AJ119-1,""),"")</f>
        <v>0.291694500111334</v>
      </c>
      <c r="AN196" s="27" t="n">
        <f aca="false">IF(AND(ISNUMBER(AN119),ISNUMBER(AK119)),IFERROR(AN119/AK119-1,""),"")</f>
        <v>0.22337899543379</v>
      </c>
      <c r="AO196" s="27" t="n">
        <f aca="false">IF(AND(ISNUMBER(AO119),ISNUMBER(AL119)),IFERROR(AO119/AL119-1,""),"")</f>
        <v>0.098253631467276</v>
      </c>
      <c r="AP196" s="27" t="n">
        <f aca="false">IF(AND(ISNUMBER(AP119),ISNUMBER(AM119)),IFERROR(AP119/AM119-1,""),"")</f>
        <v>0.157300465436994</v>
      </c>
      <c r="AQ196" s="27" t="n">
        <f aca="false">IF(AND(ISNUMBER(AQ119),ISNUMBER(AN119)),IFERROR(AQ119/AN119-1,""),"")</f>
        <v>0.120334428187519</v>
      </c>
      <c r="AR196" s="27" t="n">
        <f aca="false">IF(AND(ISNUMBER(AR119),ISNUMBER(AO119)),IFERROR(AR119/AO119-1,""),"")</f>
        <v>0.139248030910982</v>
      </c>
      <c r="AS196" s="27" t="n">
        <f aca="false">IF(AND(ISNUMBER(AS119),ISNUMBER(AP119)),IFERROR(AS119/AP119-1,""),"")</f>
        <v>0.129813063230804</v>
      </c>
      <c r="AT196" s="27" t="n">
        <f aca="false">IF(AND(ISNUMBER(AT119),ISNUMBER(AQ119)),IFERROR(AT119/AQ119-1,""),"")</f>
        <v>0.0706289978678039</v>
      </c>
      <c r="AU196" s="27" t="n">
        <f aca="false">IF(AND(ISNUMBER(AU119),ISNUMBER(AR119)),IFERROR(AU119/AR119-1,""),"")</f>
        <v>0.0393947299765196</v>
      </c>
      <c r="AV196" s="27" t="n">
        <f aca="false">IF(AND(ISNUMBER(AV119),ISNUMBER(AS119)),IFERROR(AV119/AS119-1,""),"")</f>
        <v>0.0548450889914305</v>
      </c>
      <c r="AW196" s="27" t="n">
        <f aca="false">IF(AND(ISNUMBER(AW119),ISNUMBER(AT119)),IFERROR(AW119/AT119-1,""),"")</f>
        <v>0.0160567587752054</v>
      </c>
      <c r="AX196" s="28" t="n">
        <f aca="false">IF(AND(ISNUMBER(AX119),ISNUMBER(AU119)),IFERROR(AX119/AU119-1,""),"")</f>
        <v>0.0346372991967872</v>
      </c>
      <c r="AY196" s="28" t="n">
        <f aca="false">IF(AND(ISNUMBER(AY119),ISNUMBER(AV119)),IFERROR(AY119/AV119-1,""),"")</f>
        <v>0.0253087114110737</v>
      </c>
      <c r="AZ196" s="28" t="n">
        <f aca="false">IF(AND(ISNUMBER(AZ119),ISNUMBER(AY119)),IFERROR(AZ119/AY119-1,""),"")</f>
        <v>0.074318714157807</v>
      </c>
      <c r="BA196" s="28" t="n">
        <f aca="false">IF(AND(ISNUMBER(BA119),ISNUMBER(AZ119)),IFERROR(BA119/AZ119-1,""),"")</f>
        <v>0.0748766470836222</v>
      </c>
      <c r="BB196" s="28" t="n">
        <f aca="false">IF(AND(ISNUMBER(BB119),ISNUMBER(BA119)),IFERROR(BB119/BA119-1,""),"")</f>
        <v>0.0718534606096335</v>
      </c>
      <c r="BC196" s="28" t="n">
        <f aca="false">IF(AND(ISNUMBER(BC119),ISNUMBER(BB119)),IFERROR(BC119/BB119-1,""),"")</f>
        <v>0.0674283646726905</v>
      </c>
      <c r="BD196" s="23"/>
      <c r="BF196" s="7"/>
      <c r="BG196" s="7"/>
      <c r="BH196" s="7"/>
      <c r="BI196" s="7"/>
    </row>
    <row r="197" customFormat="false" ht="15" hidden="false" customHeight="true" outlineLevel="0" collapsed="false">
      <c r="B197" s="26" t="s">
        <v>285</v>
      </c>
      <c r="C197" s="27" t="str">
        <f aca="false">IF(ISNUMBER(C63),C63,"")</f>
        <v/>
      </c>
      <c r="D197" s="27" t="str">
        <f aca="false">IF(ISNUMBER(D63),D63,"")</f>
        <v/>
      </c>
      <c r="E197" s="27" t="str">
        <f aca="false">IF(ISNUMBER(E63),E63,"")</f>
        <v/>
      </c>
      <c r="F197" s="27" t="str">
        <f aca="false">IF(ISNUMBER(F63),F63,"")</f>
        <v/>
      </c>
      <c r="G197" s="27" t="n">
        <f aca="false">IF(ISNUMBER(G63),G63,"")</f>
        <v>0.189</v>
      </c>
      <c r="H197" s="27" t="n">
        <f aca="false">IF(ISNUMBER(H63),H63,"")</f>
        <v>0.183</v>
      </c>
      <c r="I197" s="27" t="n">
        <f aca="false">IF(ISNUMBER(I63),I63,"")</f>
        <v>0.164</v>
      </c>
      <c r="J197" s="27" t="n">
        <f aca="false">IF(ISNUMBER(J63),J63,"")</f>
        <v>0.144</v>
      </c>
      <c r="K197" s="27" t="str">
        <f aca="false">IF(ISNUMBER(K63),K63,"")</f>
        <v/>
      </c>
      <c r="L197" s="27" t="n">
        <f aca="false">IF(ISNUMBER(L63),L63,"")</f>
        <v>0.13</v>
      </c>
      <c r="M197" s="27" t="n">
        <f aca="false">IF(ISNUMBER(M63),M63,"")</f>
        <v>0.12</v>
      </c>
      <c r="N197" s="27" t="str">
        <f aca="false">IF(ISNUMBER(N63),N63,"")</f>
        <v/>
      </c>
      <c r="O197" s="27" t="n">
        <f aca="false">IF(ISNUMBER(O63),O63,"")</f>
        <v>0.111</v>
      </c>
      <c r="P197" s="27" t="n">
        <f aca="false">IF(ISNUMBER(P63),P63,"")</f>
        <v>0.088</v>
      </c>
      <c r="Q197" s="27" t="str">
        <f aca="false">IF(ISNUMBER(Q63),Q63,"")</f>
        <v/>
      </c>
      <c r="R197" s="27" t="n">
        <f aca="false">IF(ISNUMBER(R63),R63,"")</f>
        <v>0.081</v>
      </c>
      <c r="S197" s="27" t="n">
        <f aca="false">IF(ISNUMBER(S63),S63,"")</f>
        <v>0.072</v>
      </c>
      <c r="T197" s="27" t="str">
        <f aca="false">IF(ISNUMBER(T63),T63,"")</f>
        <v/>
      </c>
      <c r="U197" s="27" t="n">
        <f aca="false">IF(ISNUMBER(U63),U63,"")</f>
        <v>0.074</v>
      </c>
      <c r="V197" s="27" t="n">
        <f aca="false">IF(ISNUMBER(V63),V63,"")</f>
        <v>0.097</v>
      </c>
      <c r="W197" s="27" t="str">
        <f aca="false">IF(ISNUMBER(W63),W63,"")</f>
        <v/>
      </c>
      <c r="X197" s="27" t="n">
        <f aca="false">IF(ISNUMBER(X63),X63,"")</f>
        <v>0.086</v>
      </c>
      <c r="Y197" s="27" t="n">
        <f aca="false">IF(ISNUMBER(Y63),Y63,"")</f>
        <v>0.112</v>
      </c>
      <c r="Z197" s="27" t="str">
        <f aca="false">IF(ISNUMBER(Z63),Z63,"")</f>
        <v/>
      </c>
      <c r="AA197" s="27" t="n">
        <f aca="false">IF(ISNUMBER(AA63),AA63,"")</f>
        <v>0.104</v>
      </c>
      <c r="AB197" s="27" t="n">
        <f aca="false">IF(ISNUMBER(AB63),AB63,"")</f>
        <v>0.12</v>
      </c>
      <c r="AC197" s="27" t="str">
        <f aca="false">IF(ISNUMBER(AC63),AC63,"")</f>
        <v/>
      </c>
      <c r="AD197" s="27" t="n">
        <f aca="false">IF(ISNUMBER(AD63),AD63,"")</f>
        <v>0.124</v>
      </c>
      <c r="AE197" s="27" t="n">
        <f aca="false">IF(ISNUMBER(AE63),AE63,"")</f>
        <v>-0.249</v>
      </c>
      <c r="AF197" s="27" t="str">
        <f aca="false">IF(ISNUMBER(AF63),AF63,"")</f>
        <v/>
      </c>
      <c r="AG197" s="27" t="n">
        <f aca="false">IF(ISNUMBER(AG63),AG63,"")</f>
        <v>-0.06</v>
      </c>
      <c r="AH197" s="27" t="n">
        <f aca="false">IF(ISNUMBER(AH63),AH63,"")</f>
        <v>0.767</v>
      </c>
      <c r="AI197" s="27" t="str">
        <f aca="false">IF(ISNUMBER(AI63),AI63,"")</f>
        <v/>
      </c>
      <c r="AJ197" s="27" t="n">
        <f aca="false">IF(ISNUMBER(AJ63),AJ63,"")</f>
        <v>0.418</v>
      </c>
      <c r="AK197" s="27" t="n">
        <f aca="false">IF(ISNUMBER(AK63),AK63,"")</f>
        <v>0.232</v>
      </c>
      <c r="AL197" s="27" t="str">
        <f aca="false">IF(ISNUMBER(AL63),AL63,"")</f>
        <v/>
      </c>
      <c r="AM197" s="27" t="n">
        <f aca="false">IF(ISNUMBER(AM63),AM63,"")</f>
        <v>0.234</v>
      </c>
      <c r="AN197" s="27" t="n">
        <f aca="false">IF(ISNUMBER(AN63),AN63,"")</f>
        <v>0.252</v>
      </c>
      <c r="AO197" s="27" t="str">
        <f aca="false">IF(ISNUMBER(AO63),AO63,"")</f>
        <v/>
      </c>
      <c r="AP197" s="27" t="n">
        <f aca="false">IF(ISNUMBER(AP63),AP63,"")</f>
        <v>0.206</v>
      </c>
      <c r="AQ197" s="27" t="n">
        <f aca="false">IF(ISNUMBER(AQ63),AQ63,"")</f>
        <v>0.151</v>
      </c>
      <c r="AR197" s="27" t="str">
        <f aca="false">IF(ISNUMBER(AR63),AR63,"")</f>
        <v/>
      </c>
      <c r="AS197" s="27" t="n">
        <f aca="false">IF(ISNUMBER(AS63),AS63,"")</f>
        <v>0.147</v>
      </c>
      <c r="AT197" s="27" t="n">
        <f aca="false">IF(ISNUMBER(AT63),AT63,"")</f>
        <v>0.081</v>
      </c>
      <c r="AU197" s="27" t="str">
        <f aca="false">IF(ISNUMBER(AU63),AU63,"")</f>
        <v/>
      </c>
      <c r="AV197" s="27" t="n">
        <f aca="false">IF(ISNUMBER(AV63),AV63,"")</f>
        <v>0.089</v>
      </c>
      <c r="AW197" s="27" t="n">
        <f aca="false">IF(ISNUMBER(AW63),AW63,"")</f>
        <v>0.061</v>
      </c>
      <c r="AX197" s="28" t="n">
        <f aca="false">AX63</f>
        <v>0.0646372991967872</v>
      </c>
      <c r="AY197" s="28" t="n">
        <f aca="false">AY63</f>
        <v>0.0628250109368164</v>
      </c>
      <c r="AZ197" s="28" t="n">
        <f aca="false">AZ63</f>
        <v>0.0743187141578071</v>
      </c>
      <c r="BA197" s="28" t="n">
        <f aca="false">BA63</f>
        <v>0.074876647083622</v>
      </c>
      <c r="BB197" s="28" t="n">
        <f aca="false">BB63</f>
        <v>0.0718534606096335</v>
      </c>
      <c r="BC197" s="28" t="n">
        <f aca="false">BC63</f>
        <v>0.0674283646726904</v>
      </c>
      <c r="BD197" s="23"/>
      <c r="BF197" s="7"/>
      <c r="BG197" s="7"/>
      <c r="BH197" s="7"/>
      <c r="BI197" s="7"/>
    </row>
    <row r="198" customFormat="false" ht="15" hidden="false" customHeight="true" outlineLevel="0" collapsed="false">
      <c r="B198" s="26" t="s">
        <v>286</v>
      </c>
      <c r="C198" s="27"/>
      <c r="D198" s="27" t="n">
        <f aca="false">IF(AND(ISNUMBER(D124),ISNUMBER(C124)),IFERROR(D124/C124-1,""),"")</f>
        <v>0.0334081276489653</v>
      </c>
      <c r="E198" s="27" t="n">
        <f aca="false">IF(AND(ISNUMBER(E124),ISNUMBER(D124)),IFERROR(E124/D124-1,""),"")</f>
        <v>0.0837153196622436</v>
      </c>
      <c r="F198" s="27" t="n">
        <f aca="false">IF(AND(ISNUMBER(F124),ISNUMBER(E124)),IFERROR(F124/E124-1,""),"")</f>
        <v>0.0304986642920746</v>
      </c>
      <c r="G198" s="27" t="n">
        <f aca="false">IF(AND(ISNUMBER(G124),ISNUMBER(F124)),IFERROR(G124/F124-1,""),"")</f>
        <v>0.443508317131131</v>
      </c>
      <c r="H198" s="27" t="n">
        <f aca="false">IF(AND(ISNUMBER(H124),ISNUMBER(G124)),IFERROR(H124/G124-1,""),"")</f>
        <v>0.324753067943729</v>
      </c>
      <c r="I198" s="27" t="n">
        <f aca="false">IF(AND(ISNUMBER(I124),ISNUMBER(H124)),IFERROR(I124/H124-1,""),"")</f>
        <v>0.263782196113873</v>
      </c>
      <c r="J198" s="27"/>
      <c r="K198" s="27"/>
      <c r="L198" s="27" t="n">
        <f aca="false">IF(AND(ISNUMBER(L124),ISNUMBER(I124)),IFERROR(L124/I124-1,""),"")</f>
        <v>0.0889425225708409</v>
      </c>
      <c r="M198" s="27" t="n">
        <f aca="false">IF(AND(ISNUMBER(M124),ISNUMBER(J124)),IFERROR(M124/J124-1,""),"")</f>
        <v>0.0638589282657078</v>
      </c>
      <c r="N198" s="27" t="n">
        <f aca="false">IF(AND(ISNUMBER(N124),ISNUMBER(K124)),IFERROR(N124/K124-1,""),"")</f>
        <v>0.0690742785049678</v>
      </c>
      <c r="O198" s="27" t="n">
        <f aca="false">IF(AND(ISNUMBER(O124),ISNUMBER(L124)),IFERROR(O124/L124-1,""),"")</f>
        <v>0.0665736332293552</v>
      </c>
      <c r="P198" s="27" t="n">
        <f aca="false">IF(AND(ISNUMBER(P124),ISNUMBER(M124)),IFERROR(P124/M124-1,""),"")</f>
        <v>0.204055358867074</v>
      </c>
      <c r="Q198" s="27" t="n">
        <f aca="false">IF(AND(ISNUMBER(Q124),ISNUMBER(N124)),IFERROR(Q124/N124-1,""),"")</f>
        <v>0.169051482519545</v>
      </c>
      <c r="R198" s="27" t="n">
        <f aca="false">IF(AND(ISNUMBER(R124),ISNUMBER(O124)),IFERROR(R124/O124-1,""),"")</f>
        <v>0.185792349726776</v>
      </c>
      <c r="S198" s="27" t="n">
        <f aca="false">IF(AND(ISNUMBER(S124),ISNUMBER(P124)),IFERROR(S124/P124-1,""),"")</f>
        <v>0.105052125100241</v>
      </c>
      <c r="T198" s="27" t="n">
        <f aca="false">IF(AND(ISNUMBER(T124),ISNUMBER(Q124)),IFERROR(T124/Q124-1,""),"")</f>
        <v>0.0974132492113564</v>
      </c>
      <c r="U198" s="27" t="n">
        <f aca="false">IF(AND(ISNUMBER(U124),ISNUMBER(R124)),IFERROR(U124/R124-1,""),"")</f>
        <v>0.101122866229636</v>
      </c>
      <c r="V198" s="27" t="n">
        <f aca="false">IF(AND(ISNUMBER(V124),ISNUMBER(S124)),IFERROR(V124/S124-1,""),"")</f>
        <v>0.126390904692791</v>
      </c>
      <c r="W198" s="27" t="n">
        <f aca="false">IF(AND(ISNUMBER(W124),ISNUMBER(T124)),IFERROR(W124/T124-1,""),"")</f>
        <v>0.139128435092561</v>
      </c>
      <c r="X198" s="27" t="n">
        <f aca="false">IF(AND(ISNUMBER(X124),ISNUMBER(U124)),IFERROR(X124/U124-1,""),"")</f>
        <v>0.132920719127616</v>
      </c>
      <c r="Y198" s="27" t="n">
        <f aca="false">IF(AND(ISNUMBER(Y124),ISNUMBER(V124)),IFERROR(Y124/V124-1,""),"")</f>
        <v>0.0572318264791154</v>
      </c>
      <c r="Z198" s="27" t="n">
        <f aca="false">IF(AND(ISNUMBER(Z124),ISNUMBER(W124)),IFERROR(Z124/W124-1,""),"")</f>
        <v>0.0703542949429701</v>
      </c>
      <c r="AA198" s="27" t="n">
        <f aca="false">IF(AND(ISNUMBER(AA124),ISNUMBER(X124)),IFERROR(AA124/X124-1,""),"")</f>
        <v>0.0639958376690952</v>
      </c>
      <c r="AB198" s="27" t="n">
        <f aca="false">IF(AND(ISNUMBER(AB124),ISNUMBER(Y124)),IFERROR(AB124/Y124-1,""),"")</f>
        <v>0.161791590493601</v>
      </c>
      <c r="AC198" s="27" t="n">
        <f aca="false">IF(AND(ISNUMBER(AC124),ISNUMBER(Z124)),IFERROR(AC124/Z124-1,""),"")</f>
        <v>0.126838928706148</v>
      </c>
      <c r="AD198" s="27" t="n">
        <f aca="false">IF(AND(ISNUMBER(AD124),ISNUMBER(AA124)),IFERROR(AD124/AA124-1,""),"")</f>
        <v>0.143667481662592</v>
      </c>
      <c r="AE198" s="27" t="n">
        <f aca="false">IF(AND(ISNUMBER(AE124),ISNUMBER(AB124)),IFERROR(AE124/AB124-1,""),"")</f>
        <v>-0.532651455546814</v>
      </c>
      <c r="AF198" s="27" t="n">
        <f aca="false">IF(AND(ISNUMBER(AF124),ISNUMBER(AC124)),IFERROR(AF124/AC124-1,""),"")</f>
        <v>0.210812620302954</v>
      </c>
      <c r="AG198" s="27" t="n">
        <f aca="false">IF(AND(ISNUMBER(AG124),ISNUMBER(AD124)),IFERROR(AG124/AD124-1,""),"")</f>
        <v>-0.1528134085856</v>
      </c>
      <c r="AH198" s="27" t="n">
        <f aca="false">IF(AND(ISNUMBER(AH124),ISNUMBER(AE124)),IFERROR(AH124/AE124-1,""),"")</f>
        <v>2.22072577628133</v>
      </c>
      <c r="AI198" s="27" t="n">
        <f aca="false">IF(AND(ISNUMBER(AI124),ISNUMBER(AF124)),IFERROR(AI124/AF124-1,""),"")</f>
        <v>0.250483826375449</v>
      </c>
      <c r="AJ198" s="27" t="n">
        <f aca="false">IF(AND(ISNUMBER(AJ124),ISNUMBER(AG124)),IFERROR(AJ124/AG124-1,""),"")</f>
        <v>0.782073281518119</v>
      </c>
      <c r="AK198" s="27" t="n">
        <f aca="false">IF(AND(ISNUMBER(AK124),ISNUMBER(AH124)),IFERROR(AK124/AH124-1,""),"")</f>
        <v>0.338715297944012</v>
      </c>
      <c r="AL198" s="27" t="n">
        <f aca="false">IF(AND(ISNUMBER(AL124),ISNUMBER(AI124)),IFERROR(AL124/AI124-1,""),"")</f>
        <v>0.322131328764095</v>
      </c>
      <c r="AM198" s="27" t="n">
        <f aca="false">IF(AND(ISNUMBER(AM124),ISNUMBER(AJ124)),IFERROR(AM124/AJ124-1,""),"")</f>
        <v>0.330218068535826</v>
      </c>
      <c r="AN198" s="27" t="n">
        <f aca="false">IF(AND(ISNUMBER(AN124),ISNUMBER(AK124)),IFERROR(AN124/AK124-1,""),"")</f>
        <v>0.278524945770065</v>
      </c>
      <c r="AO198" s="27" t="n">
        <f aca="false">IF(AND(ISNUMBER(AO124),ISNUMBER(AL124)),IFERROR(AO124/AL124-1,""),"")</f>
        <v>0.129598662207358</v>
      </c>
      <c r="AP198" s="27" t="n">
        <f aca="false">IF(AND(ISNUMBER(AP124),ISNUMBER(AM124)),IFERROR(AP124/AM124-1,""),"")</f>
        <v>0.202682563338301</v>
      </c>
      <c r="AQ198" s="27" t="n">
        <f aca="false">IF(AND(ISNUMBER(AQ124),ISNUMBER(AN124)),IFERROR(AQ124/AN124-1,""),"")</f>
        <v>0.0685442823210045</v>
      </c>
      <c r="AR198" s="27" t="n">
        <f aca="false">IF(AND(ISNUMBER(AR124),ISNUMBER(AO124)),IFERROR(AR124/AO124-1,""),"")</f>
        <v>0.109918578830496</v>
      </c>
      <c r="AS198" s="27" t="n">
        <f aca="false">IF(AND(ISNUMBER(AS124),ISNUMBER(AP124)),IFERROR(AS124/AP124-1,""),"")</f>
        <v>0.0883342184457425</v>
      </c>
      <c r="AT198" s="27" t="n">
        <f aca="false">IF(AND(ISNUMBER(AT124),ISNUMBER(AQ124)),IFERROR(AT124/AQ124-1,""),"")</f>
        <v>0.0565258812321372</v>
      </c>
      <c r="AU198" s="27" t="n">
        <f aca="false">IF(AND(ISNUMBER(AU124),ISNUMBER(AR124)),IFERROR(AU124/AR124-1,""),"")</f>
        <v>0.081027009003001</v>
      </c>
      <c r="AV198" s="27" t="n">
        <f aca="false">IF(AND(ISNUMBER(AV124),ISNUMBER(AS124)),IFERROR(AV124/AS124-1,""),"")</f>
        <v>0.0684775536759923</v>
      </c>
      <c r="AW198" s="27" t="n">
        <f aca="false">IF(AND(ISNUMBER(AW124),ISNUMBER(AT124)),IFERROR(AW124/AT124-1,""),"")</f>
        <v>0.0069131349564171</v>
      </c>
      <c r="AX198" s="28" t="n">
        <f aca="false">IF(AND(ISNUMBER(AX124),ISNUMBER(AU124)),IFERROR(AX124/AU124-1,""),"")</f>
        <v>0.0222344170265267</v>
      </c>
      <c r="AY198" s="28" t="n">
        <f aca="false">IF(AND(ISNUMBER(AY124),ISNUMBER(AV124)),IFERROR(AY124/AV124-1,""),"")</f>
        <v>0.0144746506317552</v>
      </c>
      <c r="AZ198" s="28" t="n">
        <f aca="false">IF(AND(ISNUMBER(AZ124),ISNUMBER(AY124)),IFERROR(AZ124/AY124-1,""),"")</f>
        <v>0.0712149281768206</v>
      </c>
      <c r="BA198" s="28" t="n">
        <f aca="false">IF(AND(ISNUMBER(BA124),ISNUMBER(AZ124)),IFERROR(BA124/AZ124-1,""),"")</f>
        <v>0.0828386963212786</v>
      </c>
      <c r="BB198" s="28" t="n">
        <f aca="false">IF(AND(ISNUMBER(BB124),ISNUMBER(BA124)),IFERROR(BB124/BA124-1,""),"")</f>
        <v>0.0771076442400727</v>
      </c>
      <c r="BC198" s="28" t="n">
        <f aca="false">IF(AND(ISNUMBER(BC124),ISNUMBER(BB124)),IFERROR(BC124/BB124-1,""),"")</f>
        <v>0.0674283646726905</v>
      </c>
      <c r="BD198" s="23"/>
      <c r="BF198" s="7"/>
      <c r="BG198" s="7"/>
      <c r="BH198" s="7"/>
      <c r="BI198" s="7"/>
    </row>
    <row r="199" customFormat="false" ht="15" hidden="false" customHeight="true" outlineLevel="0" collapsed="false">
      <c r="B199" s="26" t="s">
        <v>287</v>
      </c>
      <c r="C199" s="27"/>
      <c r="D199" s="27" t="str">
        <f aca="false">IF(AND(ISNUMBER(D171),ISNUMBER(C171)),IFERROR(D171/C171-1,""),"")</f>
        <v/>
      </c>
      <c r="E199" s="27" t="str">
        <f aca="false">IF(AND(ISNUMBER(E171),ISNUMBER(D171)),IFERROR(E171/D171-1,""),"")</f>
        <v/>
      </c>
      <c r="F199" s="27" t="str">
        <f aca="false">IF(AND(ISNUMBER(F171),ISNUMBER(E171)),IFERROR(F171/E171-1,""),"")</f>
        <v/>
      </c>
      <c r="G199" s="27" t="n">
        <f aca="false">IF(AND(ISNUMBER(G171),ISNUMBER(F171)),IFERROR(G171/F171-1,""),"")</f>
        <v>0.405005480453051</v>
      </c>
      <c r="H199" s="27" t="n">
        <f aca="false">IF(AND(ISNUMBER(H171),ISNUMBER(G171)),IFERROR(H171/G171-1,""),"")</f>
        <v>0.298140683916265</v>
      </c>
      <c r="I199" s="27" t="n">
        <f aca="false">IF(AND(ISNUMBER(I171),ISNUMBER(H171)),IFERROR(I171/H171-1,""),"")</f>
        <v>0.240785256410257</v>
      </c>
      <c r="J199" s="27"/>
      <c r="K199" s="27"/>
      <c r="L199" s="27" t="n">
        <f aca="false">IF(AND(ISNUMBER(L171),ISNUMBER(I171)),IFERROR(L171/I171-1,""),"")</f>
        <v>0.0951727478204714</v>
      </c>
      <c r="M199" s="27" t="n">
        <f aca="false">IF(AND(ISNUMBER(M171),ISNUMBER(J171)),IFERROR(M171/J171-1,""),"")</f>
        <v>0.0707335907335907</v>
      </c>
      <c r="N199" s="27" t="n">
        <f aca="false">IF(AND(ISNUMBER(N171),ISNUMBER(K171)),IFERROR(N171/K171-1,""),"")</f>
        <v>0.0922165820642982</v>
      </c>
      <c r="O199" s="27" t="n">
        <f aca="false">IF(AND(ISNUMBER(O171),ISNUMBER(L171)),IFERROR(O171/L171-1,""),"")</f>
        <v>0.0819635881182284</v>
      </c>
      <c r="P199" s="27" t="n">
        <f aca="false">IF(AND(ISNUMBER(P171),ISNUMBER(M171)),IFERROR(P171/M171-1,""),"")</f>
        <v>0.204240588489832</v>
      </c>
      <c r="Q199" s="27" t="n">
        <f aca="false">IF(AND(ISNUMBER(Q171),ISNUMBER(N171)),IFERROR(Q171/N171-1,""),"")</f>
        <v>0.177769171185127</v>
      </c>
      <c r="R199" s="27" t="n">
        <f aca="false">IF(AND(ISNUMBER(R171),ISNUMBER(O171)),IFERROR(R171/O171-1,""),"")</f>
        <v>0.190271816881259</v>
      </c>
      <c r="S199" s="27" t="n">
        <f aca="false">IF(AND(ISNUMBER(S171),ISNUMBER(P171)),IFERROR(S171/P171-1,""),"")</f>
        <v>0.118577075098814</v>
      </c>
      <c r="T199" s="27" t="n">
        <f aca="false">IF(AND(ISNUMBER(T171),ISNUMBER(Q171)),IFERROR(T171/Q171-1,""),"")</f>
        <v>0.090321166283021</v>
      </c>
      <c r="U199" s="27" t="n">
        <f aca="false">IF(AND(ISNUMBER(U171),ISNUMBER(R171)),IFERROR(U171/R171-1,""),"")</f>
        <v>0.10382326007326</v>
      </c>
      <c r="V199" s="27" t="n">
        <f aca="false">IF(AND(ISNUMBER(V171),ISNUMBER(S171)),IFERROR(V171/S171-1,""),"")</f>
        <v>0.122497055359246</v>
      </c>
      <c r="W199" s="27" t="n">
        <f aca="false">IF(AND(ISNUMBER(W171),ISNUMBER(T171)),IFERROR(W171/T171-1,""),"")</f>
        <v>0.122650045239771</v>
      </c>
      <c r="X199" s="27" t="n">
        <f aca="false">IF(AND(ISNUMBER(X171),ISNUMBER(U171)),IFERROR(X171/U171-1,""),"")</f>
        <v>0.122575961837602</v>
      </c>
      <c r="Y199" s="27" t="n">
        <f aca="false">IF(AND(ISNUMBER(Y171),ISNUMBER(V171)),IFERROR(Y171/V171-1,""),"")</f>
        <v>0.0721167604693311</v>
      </c>
      <c r="Z199" s="27" t="n">
        <f aca="false">IF(AND(ISNUMBER(Z171),ISNUMBER(W171)),IFERROR(Z171/W171-1,""),"")</f>
        <v>0.0576699203008868</v>
      </c>
      <c r="AA199" s="27" t="n">
        <f aca="false">IF(AND(ISNUMBER(AA171),ISNUMBER(X171)),IFERROR(AA171/X171-1,""),"")</f>
        <v>0.0646651270207854</v>
      </c>
      <c r="AB199" s="27" t="n">
        <f aca="false">IF(AND(ISNUMBER(AB171),ISNUMBER(Y171)),IFERROR(AB171/Y171-1,""),"")</f>
        <v>0.23026959693923</v>
      </c>
      <c r="AC199" s="27" t="n">
        <f aca="false">IF(AND(ISNUMBER(AC171),ISNUMBER(Z171)),IFERROR(AC171/Z171-1,""),"")</f>
        <v>0.21268309203285</v>
      </c>
      <c r="AD199" s="27" t="n">
        <f aca="false">IF(AND(ISNUMBER(AD171),ISNUMBER(AA171)),IFERROR(AD171/AA171-1,""),"")</f>
        <v>0.221258134490239</v>
      </c>
      <c r="AE199" s="27" t="n">
        <f aca="false">IF(AND(ISNUMBER(AE171),ISNUMBER(AB171)),IFERROR(AE171/AB171-1,""),"")</f>
        <v>-0.42590583640703</v>
      </c>
      <c r="AF199" s="27" t="n">
        <f aca="false">IF(AND(ISNUMBER(AF171),ISNUMBER(AC171)),IFERROR(AF171/AC171-1,""),"")</f>
        <v>0.226069957411157</v>
      </c>
      <c r="AG199" s="27" t="n">
        <f aca="false">IF(AND(ISNUMBER(AG171),ISNUMBER(AD171)),IFERROR(AG171/AD171-1,""),"")</f>
        <v>-0.0941740674955597</v>
      </c>
      <c r="AH199" s="27" t="n">
        <f aca="false">IF(AND(ISNUMBER(AH171),ISNUMBER(AE171)),IFERROR(AH171/AE171-1,""),"")</f>
        <v>1.55908289241623</v>
      </c>
      <c r="AI199" s="27" t="n">
        <f aca="false">IF(AND(ISNUMBER(AI171),ISNUMBER(AF171)),IFERROR(AI171/AF171-1,""),"")</f>
        <v>0.211548317294003</v>
      </c>
      <c r="AJ199" s="27" t="n">
        <f aca="false">IF(AND(ISNUMBER(AJ171),ISNUMBER(AG171)),IFERROR(AJ171/AG171-1,""),"")</f>
        <v>0.631044354680576</v>
      </c>
      <c r="AK199" s="27" t="n">
        <f aca="false">IF(AND(ISNUMBER(AK171),ISNUMBER(AH171)),IFERROR(AK171/AH171-1,""),"")</f>
        <v>0.31091857832037</v>
      </c>
      <c r="AL199" s="27" t="n">
        <f aca="false">IF(AND(ISNUMBER(AL171),ISNUMBER(AI171)),IFERROR(AL171/AI171-1,""),"")</f>
        <v>0.299116375258508</v>
      </c>
      <c r="AM199" s="27" t="n">
        <f aca="false">IF(AND(ISNUMBER(AM171),ISNUMBER(AJ171)),IFERROR(AM171/AJ171-1,""),"")</f>
        <v>0.304880981005049</v>
      </c>
      <c r="AN199" s="27" t="n">
        <f aca="false">IF(AND(ISNUMBER(AN171),ISNUMBER(AK171)),IFERROR(AN171/AK171-1,""),"")</f>
        <v>0.235824258355238</v>
      </c>
      <c r="AO199" s="27" t="n">
        <f aca="false">IF(AND(ISNUMBER(AO171),ISNUMBER(AL171)),IFERROR(AO171/AL171-1,""),"")</f>
        <v>0.132416787264834</v>
      </c>
      <c r="AP199" s="27" t="n">
        <f aca="false">IF(AND(ISNUMBER(AP171),ISNUMBER(AM171)),IFERROR(AP171/AM171-1,""),"")</f>
        <v>0.18315828266077</v>
      </c>
      <c r="AQ199" s="27" t="n">
        <f aca="false">IF(AND(ISNUMBER(AQ171),ISNUMBER(AN171)),IFERROR(AQ171/AN171-1,""),"")</f>
        <v>0.0732300212701307</v>
      </c>
      <c r="AR199" s="27" t="n">
        <f aca="false">IF(AND(ISNUMBER(AR171),ISNUMBER(AO171)),IFERROR(AR171/AO171-1,""),"")</f>
        <v>0.105431309904153</v>
      </c>
      <c r="AS199" s="27" t="n">
        <f aca="false">IF(AND(ISNUMBER(AS171),ISNUMBER(AP171)),IFERROR(AS171/AP171-1,""),"")</f>
        <v>0.0889269584176919</v>
      </c>
      <c r="AT199" s="27" t="n">
        <f aca="false">IF(AND(ISNUMBER(AT171),ISNUMBER(AQ171)),IFERROR(AT171/AQ171-1,""),"")</f>
        <v>0.0730464326160816</v>
      </c>
      <c r="AU199" s="27" t="n">
        <f aca="false">IF(AND(ISNUMBER(AU171),ISNUMBER(AR171)),IFERROR(AU171/AR171-1,""),"")</f>
        <v>0.0708092485549132</v>
      </c>
      <c r="AV199" s="27" t="n">
        <f aca="false">IF(AND(ISNUMBER(AV171),ISNUMBER(AS171)),IFERROR(AV171/AS171-1,""),"")</f>
        <v>0.0719393592677347</v>
      </c>
      <c r="AW199" s="27" t="n">
        <f aca="false">IF(AND(ISNUMBER(AW171),ISNUMBER(AT171)),IFERROR(AW171/AT171-1,""),"")</f>
        <v>0.0213720316622692</v>
      </c>
      <c r="AX199" s="28" t="n">
        <f aca="false">IF(AND(ISNUMBER(AX171),ISNUMBER(AU171)),IFERROR(AX171/AU171-1,""),"")</f>
        <v>0.0230857246963563</v>
      </c>
      <c r="AY199" s="28" t="n">
        <f aca="false">IF(AND(ISNUMBER(AY171),ISNUMBER(AV171)),IFERROR(AY171/AV171-1,""),"")</f>
        <v>0.0222191607738491</v>
      </c>
      <c r="AZ199" s="28" t="n">
        <f aca="false">IF(AND(ISNUMBER(AZ171),ISNUMBER(AY171)),IFERROR(AZ171/AY171-1,""),"")</f>
        <v>0.072511567049246</v>
      </c>
      <c r="BA199" s="28" t="n">
        <f aca="false">IF(AND(ISNUMBER(BA171),ISNUMBER(AZ171)),IFERROR(BA171/AZ171-1,""),"")</f>
        <v>0.0824347420688301</v>
      </c>
      <c r="BB199" s="28" t="n">
        <f aca="false">IF(AND(ISNUMBER(BB171),ISNUMBER(BA171)),IFERROR(BB171/BA171-1,""),"")</f>
        <v>0.0770540016755945</v>
      </c>
      <c r="BC199" s="28" t="n">
        <f aca="false">IF(AND(ISNUMBER(BC171),ISNUMBER(BB171)),IFERROR(BC171/BB171-1,""),"")</f>
        <v>0.0681344357083891</v>
      </c>
      <c r="BD199" s="23"/>
      <c r="BF199" s="7"/>
      <c r="BG199" s="7"/>
      <c r="BH199" s="7"/>
      <c r="BI199" s="7"/>
    </row>
    <row r="200" customFormat="false" ht="15" hidden="false" customHeight="true" outlineLevel="0" collapsed="false">
      <c r="B200" s="26" t="s">
        <v>288</v>
      </c>
      <c r="C200" s="27"/>
      <c r="D200" s="27" t="n">
        <f aca="false">IF(AND(ISNUMBER(D139),ISNUMBER(C139)),IFERROR(D139/C139-1,""),"")</f>
        <v>0.0730253353204173</v>
      </c>
      <c r="E200" s="27" t="n">
        <f aca="false">IF(AND(ISNUMBER(E139),ISNUMBER(D139)),IFERROR(E139/D139-1,""),"")</f>
        <v>0.00763888888888875</v>
      </c>
      <c r="F200" s="27" t="n">
        <f aca="false">IF(AND(ISNUMBER(F139),ISNUMBER(E139)),IFERROR(F139/E139-1,""),"")</f>
        <v>-0.00482425913163365</v>
      </c>
      <c r="G200" s="27" t="n">
        <f aca="false">IF(AND(ISNUMBER(G139),ISNUMBER(F139)),IFERROR(G139/F139-1,""),"")</f>
        <v>0.460180055401663</v>
      </c>
      <c r="H200" s="27" t="n">
        <f aca="false">IF(AND(ISNUMBER(H139),ISNUMBER(G139)),IFERROR(H139/G139-1,""),"")</f>
        <v>0.408821437040549</v>
      </c>
      <c r="I200" s="27" t="n">
        <f aca="false">IF(AND(ISNUMBER(I139),ISNUMBER(H139)),IFERROR(I139/H139-1,""),"")</f>
        <v>0.245581551927286</v>
      </c>
      <c r="J200" s="27"/>
      <c r="K200" s="27"/>
      <c r="L200" s="27" t="n">
        <f aca="false">IF(AND(ISNUMBER(L139),ISNUMBER(I139)),IFERROR(L139/I139-1,""),"")</f>
        <v>0.0682432432432427</v>
      </c>
      <c r="M200" s="27" t="n">
        <f aca="false">IF(AND(ISNUMBER(M139),ISNUMBER(J139)),IFERROR(M139/J139-1,""),"")</f>
        <v>0.0806916426512971</v>
      </c>
      <c r="N200" s="27" t="n">
        <f aca="false">IF(AND(ISNUMBER(N139),ISNUMBER(K139)),IFERROR(N139/K139-1,""),"")</f>
        <v>0.0917318982387478</v>
      </c>
      <c r="O200" s="27" t="n">
        <f aca="false">IF(AND(ISNUMBER(O139),ISNUMBER(L139)),IFERROR(O139/L139-1,""),"")</f>
        <v>0.0864010120177108</v>
      </c>
      <c r="P200" s="27" t="n">
        <f aca="false">IF(AND(ISNUMBER(P139),ISNUMBER(M139)),IFERROR(P139/M139-1,""),"")</f>
        <v>0.169696969696969</v>
      </c>
      <c r="Q200" s="27" t="n">
        <f aca="false">IF(AND(ISNUMBER(Q139),ISNUMBER(N139)),IFERROR(Q139/N139-1,""),"")</f>
        <v>0.0981402643961449</v>
      </c>
      <c r="R200" s="27" t="n">
        <f aca="false">IF(AND(ISNUMBER(R139),ISNUMBER(O139)),IFERROR(R139/O139-1,""),"")</f>
        <v>0.132510479739171</v>
      </c>
      <c r="S200" s="27" t="n">
        <f aca="false">IF(AND(ISNUMBER(S139),ISNUMBER(P139)),IFERROR(S139/P139-1,""),"")</f>
        <v>0.130362694300518</v>
      </c>
      <c r="T200" s="27" t="n">
        <f aca="false">IF(AND(ISNUMBER(T139),ISNUMBER(Q139)),IFERROR(T139/Q139-1,""),"")</f>
        <v>0.132013874719445</v>
      </c>
      <c r="U200" s="27" t="n">
        <f aca="false">IF(AND(ISNUMBER(U139),ISNUMBER(R139)),IFERROR(U139/R139-1,""),"")</f>
        <v>0.131194735759819</v>
      </c>
      <c r="V200" s="27" t="n">
        <f aca="false">IF(AND(ISNUMBER(V139),ISNUMBER(S139)),IFERROR(V139/S139-1,""),"")</f>
        <v>0.10964429776311</v>
      </c>
      <c r="W200" s="27" t="n">
        <f aca="false">IF(AND(ISNUMBER(W139),ISNUMBER(T139)),IFERROR(W139/T139-1,""),"")</f>
        <v>0.110850757029561</v>
      </c>
      <c r="X200" s="27" t="n">
        <f aca="false">IF(AND(ISNUMBER(X139),ISNUMBER(U139)),IFERROR(X139/U139-1,""),"")</f>
        <v>0.110252681330667</v>
      </c>
      <c r="Y200" s="27" t="n">
        <f aca="false">IF(AND(ISNUMBER(Y139),ISNUMBER(V139)),IFERROR(Y139/V139-1,""),"")</f>
        <v>0.16969596827495</v>
      </c>
      <c r="Z200" s="27" t="n">
        <f aca="false">IF(AND(ISNUMBER(Z139),ISNUMBER(W139)),IFERROR(Z139/W139-1,""),"")</f>
        <v>0.130618205419439</v>
      </c>
      <c r="AA200" s="27" t="n">
        <f aca="false">IF(AND(ISNUMBER(AA139),ISNUMBER(X139)),IFERROR(AA139/X139-1,""),"")</f>
        <v>0.149979533360623</v>
      </c>
      <c r="AB200" s="27" t="n">
        <f aca="false">IF(AND(ISNUMBER(AB139),ISNUMBER(Y139)),IFERROR(AB139/Y139-1,""),"")</f>
        <v>0.0655459810707726</v>
      </c>
      <c r="AC200" s="27" t="n">
        <f aca="false">IF(AND(ISNUMBER(AC139),ISNUMBER(Z139)),IFERROR(AC139/Z139-1,""),"")</f>
        <v>0.110505166475315</v>
      </c>
      <c r="AD200" s="27" t="n">
        <f aca="false">IF(AND(ISNUMBER(AD139),ISNUMBER(AA139)),IFERROR(AD139/AA139-1,""),"")</f>
        <v>0.0878479390617215</v>
      </c>
      <c r="AE200" s="27" t="n">
        <f aca="false">IF(AND(ISNUMBER(AE139),ISNUMBER(AB139)),IFERROR(AE139/AB139-1,""),"")</f>
        <v>-0.556012196738698</v>
      </c>
      <c r="AF200" s="27" t="n">
        <f aca="false">IF(AND(ISNUMBER(AF139),ISNUMBER(AC139)),IFERROR(AF139/AC139-1,""),"")</f>
        <v>0.357585939519256</v>
      </c>
      <c r="AG200" s="27" t="n">
        <f aca="false">IF(AND(ISNUMBER(AG139),ISNUMBER(AD139)),IFERROR(AG139/AD139-1,""),"")</f>
        <v>-0.0933839408415684</v>
      </c>
      <c r="AH200" s="27" t="n">
        <f aca="false">IF(AND(ISNUMBER(AH139),ISNUMBER(AE139)),IFERROR(AH139/AE139-1,""),"")</f>
        <v>2.50432965064199</v>
      </c>
      <c r="AI200" s="27" t="n">
        <f aca="false">IF(AND(ISNUMBER(AI139),ISNUMBER(AF139)),IFERROR(AI139/AF139-1,""),"")</f>
        <v>0.21123274631128</v>
      </c>
      <c r="AJ200" s="27" t="n">
        <f aca="false">IF(AND(ISNUMBER(AJ139),ISNUMBER(AG139)),IFERROR(AJ139/AG139-1,""),"")</f>
        <v>0.76555507434676</v>
      </c>
      <c r="AK200" s="27" t="n">
        <f aca="false">IF(AND(ISNUMBER(AK139),ISNUMBER(AH139)),IFERROR(AK139/AH139-1,""),"")</f>
        <v>0.399113837764143</v>
      </c>
      <c r="AL200" s="27" t="n">
        <f aca="false">IF(AND(ISNUMBER(AL139),ISNUMBER(AI139)),IFERROR(AL139/AI139-1,""),"")</f>
        <v>0.355705752907892</v>
      </c>
      <c r="AM200" s="27" t="n">
        <f aca="false">IF(AND(ISNUMBER(AM139),ISNUMBER(AJ139)),IFERROR(AM139/AJ139-1,""),"")</f>
        <v>0.37653311529027</v>
      </c>
      <c r="AN200" s="27" t="n">
        <f aca="false">IF(AND(ISNUMBER(AN139),ISNUMBER(AK139)),IFERROR(AN139/AK139-1,""),"")</f>
        <v>0.355663824604141</v>
      </c>
      <c r="AO200" s="27" t="n">
        <f aca="false">IF(AND(ISNUMBER(AO139),ISNUMBER(AL139)),IFERROR(AO139/AL139-1,""),"")</f>
        <v>0.207536231884058</v>
      </c>
      <c r="AP200" s="27" t="n">
        <f aca="false">IF(AND(ISNUMBER(AP139),ISNUMBER(AM139)),IFERROR(AP139/AM139-1,""),"")</f>
        <v>0.27977427977428</v>
      </c>
      <c r="AQ200" s="27" t="n">
        <f aca="false">IF(AND(ISNUMBER(AQ139),ISNUMBER(AN139)),IFERROR(AQ139/AN139-1,""),"")</f>
        <v>0.0642407906558851</v>
      </c>
      <c r="AR200" s="27" t="n">
        <f aca="false">IF(AND(ISNUMBER(AR139),ISNUMBER(AO139)),IFERROR(AR139/AO139-1,""),"")</f>
        <v>0.0720115218434949</v>
      </c>
      <c r="AS200" s="27" t="n">
        <f aca="false">IF(AND(ISNUMBER(AS139),ISNUMBER(AP139)),IFERROR(AS139/AP139-1,""),"")</f>
        <v>0.067997215131121</v>
      </c>
      <c r="AT200" s="27" t="n">
        <f aca="false">IF(AND(ISNUMBER(AT139),ISNUMBER(AQ139)),IFERROR(AT139/AQ139-1,""),"")</f>
        <v>-0.0519206416209371</v>
      </c>
      <c r="AU200" s="27" t="n">
        <f aca="false">IF(AND(ISNUMBER(AU139),ISNUMBER(AR139)),IFERROR(AU139/AR139-1,""),"")</f>
        <v>0.0201522615315719</v>
      </c>
      <c r="AV200" s="27" t="n">
        <f aca="false">IF(AND(ISNUMBER(AV139),ISNUMBER(AS139)),IFERROR(AV139/AS139-1,""),"")</f>
        <v>-0.0169491525423728</v>
      </c>
      <c r="AW200" s="27" t="n">
        <f aca="false">IF(AND(ISNUMBER(AW139),ISNUMBER(AT139)),IFERROR(AW139/AT139-1,""),"")</f>
        <v>-0.00400712377560109</v>
      </c>
      <c r="AX200" s="28" t="n">
        <f aca="false">IF(AND(ISNUMBER(AX139),ISNUMBER(AU139)),IFERROR(AX139/AU139-1,""),"")</f>
        <v>0.0447865488222123</v>
      </c>
      <c r="AY200" s="28" t="n">
        <f aca="false">IF(AND(ISNUMBER(AY139),ISNUMBER(AV139)),IFERROR(AY139/AV139-1,""),"")</f>
        <v>0.0205622807729884</v>
      </c>
      <c r="AZ200" s="28" t="n">
        <f aca="false">IF(AND(ISNUMBER(AZ139),ISNUMBER(AY139)),IFERROR(AZ139/AY139-1,""),"")</f>
        <v>0.146201613153605</v>
      </c>
      <c r="BA200" s="28" t="n">
        <f aca="false">IF(AND(ISNUMBER(BA139),ISNUMBER(AZ139)),IFERROR(BA139/AZ139-1,""),"")</f>
        <v>0.0853037920532052</v>
      </c>
      <c r="BB200" s="28" t="n">
        <f aca="false">IF(AND(ISNUMBER(BB139),ISNUMBER(BA139)),IFERROR(BB139/BA139-1,""),"")</f>
        <v>0.0801479444209383</v>
      </c>
      <c r="BC200" s="28" t="n">
        <f aca="false">IF(AND(ISNUMBER(BC139),ISNUMBER(BB139)),IFERROR(BC139/BB139-1,""),"")</f>
        <v>0.0708547413856719</v>
      </c>
      <c r="BD200" s="23"/>
      <c r="BF200" s="7"/>
      <c r="BG200" s="7"/>
      <c r="BH200" s="7"/>
      <c r="BI200" s="7"/>
    </row>
    <row r="201" customFormat="false" ht="15" hidden="false" customHeight="true" outlineLevel="0" collapsed="false">
      <c r="B201" s="26" t="s">
        <v>276</v>
      </c>
      <c r="C201" s="27"/>
      <c r="D201" s="27" t="str">
        <f aca="false">IF(AND(ISNUMBER(D191),ISNUMBER(C191)),IFERROR(D191/C191-1,""),"")</f>
        <v/>
      </c>
      <c r="E201" s="27" t="str">
        <f aca="false">IF(AND(ISNUMBER(E191),ISNUMBER(D191)),IFERROR(E191/D191-1,""),"")</f>
        <v/>
      </c>
      <c r="F201" s="27" t="str">
        <f aca="false">IF(AND(ISNUMBER(F191),ISNUMBER(E191)),IFERROR(F191/E191-1,""),"")</f>
        <v/>
      </c>
      <c r="G201" s="27" t="n">
        <f aca="false">IF(AND(ISNUMBER(G191),ISNUMBER(F191)),IFERROR(G191/F191-1,""),"")</f>
        <v>0.457175588471106</v>
      </c>
      <c r="H201" s="27" t="n">
        <f aca="false">IF(AND(ISNUMBER(H191),ISNUMBER(G191)),IFERROR(H191/G191-1,""),"")</f>
        <v>0.414939725884676</v>
      </c>
      <c r="I201" s="27" t="n">
        <f aca="false">IF(AND(ISNUMBER(I191),ISNUMBER(H191)),IFERROR(I191/H191-1,""),"")</f>
        <v>0.249008224595149</v>
      </c>
      <c r="J201" s="27"/>
      <c r="K201" s="27"/>
      <c r="L201" s="27" t="n">
        <f aca="false">IF(AND(ISNUMBER(L191),ISNUMBER(I191)),IFERROR(L191/I191-1,""),"")</f>
        <v>0.0664780029802545</v>
      </c>
      <c r="M201" s="27" t="n">
        <f aca="false">IF(AND(ISNUMBER(M191),ISNUMBER(J191)),IFERROR(M191/J191-1,""),"")</f>
        <v>0.0820319868776021</v>
      </c>
      <c r="N201" s="27" t="n">
        <f aca="false">IF(AND(ISNUMBER(N191),ISNUMBER(K191)),IFERROR(N191/K191-1,""),"")</f>
        <v>0.0920882464198103</v>
      </c>
      <c r="O201" s="27" t="n">
        <f aca="false">IF(AND(ISNUMBER(O191),ISNUMBER(L191)),IFERROR(O191/L191-1,""),"")</f>
        <v>0.0867556201638695</v>
      </c>
      <c r="P201" s="27" t="n">
        <f aca="false">IF(AND(ISNUMBER(P191),ISNUMBER(M191)),IFERROR(P191/M191-1,""),"")</f>
        <v>0.165317211558461</v>
      </c>
      <c r="Q201" s="27" t="n">
        <f aca="false">IF(AND(ISNUMBER(Q191),ISNUMBER(N191)),IFERROR(Q191/N191-1,""),"")</f>
        <v>0.0953666466108656</v>
      </c>
      <c r="R201" s="27" t="n">
        <f aca="false">IF(AND(ISNUMBER(R191),ISNUMBER(O191)),IFERROR(R191/O191-1,""),"")</f>
        <v>0.129650051695084</v>
      </c>
      <c r="S201" s="27" t="n">
        <f aca="false">IF(AND(ISNUMBER(S191),ISNUMBER(P191)),IFERROR(S191/P191-1,""),"")</f>
        <v>0.131756679017188</v>
      </c>
      <c r="T201" s="27" t="n">
        <f aca="false">IF(AND(ISNUMBER(T191),ISNUMBER(Q191)),IFERROR(T191/Q191-1,""),"")</f>
        <v>0.13168455269993</v>
      </c>
      <c r="U201" s="27" t="n">
        <f aca="false">IF(AND(ISNUMBER(U191),ISNUMBER(R191)),IFERROR(U191/R191-1,""),"")</f>
        <v>0.130865652041709</v>
      </c>
      <c r="V201" s="27" t="n">
        <f aca="false">IF(AND(ISNUMBER(V191),ISNUMBER(S191)),IFERROR(V191/S191-1,""),"")</f>
        <v>0.107085929959527</v>
      </c>
      <c r="W201" s="27" t="n">
        <f aca="false">IF(AND(ISNUMBER(W191),ISNUMBER(T191)),IFERROR(W191/T191-1,""),"")</f>
        <v>0.110412895443023</v>
      </c>
      <c r="X201" s="27" t="n">
        <f aca="false">IF(AND(ISNUMBER(X191),ISNUMBER(U191)),IFERROR(X191/U191-1,""),"")</f>
        <v>0.12798640309967</v>
      </c>
      <c r="Y201" s="27" t="n">
        <f aca="false">IF(AND(ISNUMBER(Y191),ISNUMBER(V191)),IFERROR(Y191/V191-1,""),"")</f>
        <v>0.0865426301002641</v>
      </c>
      <c r="Z201" s="27" t="n">
        <f aca="false">IF(AND(ISNUMBER(Z191),ISNUMBER(W191)),IFERROR(Z191/W191-1,""),"")</f>
        <v>0.133647239072438</v>
      </c>
      <c r="AA201" s="27" t="n">
        <f aca="false">IF(AND(ISNUMBER(AA191),ISNUMBER(X191)),IFERROR(AA191/X191-1,""),"")</f>
        <v>0.0919227841530725</v>
      </c>
      <c r="AB201" s="27" t="n">
        <f aca="false">IF(AND(ISNUMBER(AB191),ISNUMBER(Y191)),IFERROR(AB191/Y191-1,""),"")</f>
        <v>0.150103664866424</v>
      </c>
      <c r="AC201" s="27" t="n">
        <f aca="false">IF(AND(ISNUMBER(AC191),ISNUMBER(Z191)),IFERROR(AC191/Z191-1,""),"")</f>
        <v>0.108649866016657</v>
      </c>
      <c r="AD201" s="27" t="n">
        <f aca="false">IF(AND(ISNUMBER(AD191),ISNUMBER(AA191)),IFERROR(AD191/AA191-1,""),"")</f>
        <v>0.128363189031391</v>
      </c>
      <c r="AE201" s="27" t="n">
        <f aca="false">IF(AND(ISNUMBER(AE191),ISNUMBER(AB191)),IFERROR(AE191/AB191-1,""),"")</f>
        <v>-0.554831830657716</v>
      </c>
      <c r="AF201" s="27" t="n">
        <f aca="false">IF(AND(ISNUMBER(AF191),ISNUMBER(AC191)),IFERROR(AF191/AC191-1,""),"")</f>
        <v>0.277497518274417</v>
      </c>
      <c r="AG201" s="27" t="n">
        <f aca="false">IF(AND(ISNUMBER(AG191),ISNUMBER(AD191)),IFERROR(AG191/AD191-1,""),"")</f>
        <v>-0.151653347117233</v>
      </c>
      <c r="AH201" s="27" t="n">
        <f aca="false">IF(AND(ISNUMBER(AH191),ISNUMBER(AE191)),IFERROR(AH191/AE191-1,""),"")</f>
        <v>2.49496787214256</v>
      </c>
      <c r="AI201" s="27" t="n">
        <f aca="false">IF(AND(ISNUMBER(AI191),ISNUMBER(AF191)),IFERROR(AI191/AF191-1,""),"")</f>
        <v>0.288281984580603</v>
      </c>
      <c r="AJ201" s="27" t="n">
        <f aca="false">IF(AND(ISNUMBER(AJ191),ISNUMBER(AG191)),IFERROR(AJ191/AG191-1,""),"")</f>
        <v>0.888458259136591</v>
      </c>
      <c r="AK201" s="27" t="n">
        <f aca="false">IF(AND(ISNUMBER(AK191),ISNUMBER(AH191)),IFERROR(AK191/AH191-1,""),"")</f>
        <v>0.398576337204118</v>
      </c>
      <c r="AL201" s="27" t="n">
        <f aca="false">IF(AND(ISNUMBER(AL191),ISNUMBER(AI191)),IFERROR(AL191/AI191-1,""),"")</f>
        <v>0.356068863363537</v>
      </c>
      <c r="AM201" s="27" t="n">
        <f aca="false">IF(AND(ISNUMBER(AM191),ISNUMBER(AJ191)),IFERROR(AM191/AJ191-1,""),"")</f>
        <v>0.376901804119414</v>
      </c>
      <c r="AN201" s="27" t="n">
        <f aca="false">IF(AND(ISNUMBER(AN191),ISNUMBER(AK191)),IFERROR(AN191/AK191-1,""),"")</f>
        <v>0.358932424988101</v>
      </c>
      <c r="AO201" s="27" t="n">
        <f aca="false">IF(AND(ISNUMBER(AO191),ISNUMBER(AL191)),IFERROR(AO191/AL191-1,""),"")</f>
        <v>0.20861672316721</v>
      </c>
      <c r="AP201" s="27" t="n">
        <f aca="false">IF(AND(ISNUMBER(AP191),ISNUMBER(AM191)),IFERROR(AP191/AM191-1,""),"")</f>
        <v>0.280919408936608</v>
      </c>
      <c r="AQ201" s="27" t="n">
        <f aca="false">IF(AND(ISNUMBER(AQ191),ISNUMBER(AN191)),IFERROR(AQ191/AN191-1,""),"")</f>
        <v>0.0623862251178733</v>
      </c>
      <c r="AR201" s="27" t="n">
        <f aca="false">IF(AND(ISNUMBER(AR191),ISNUMBER(AO191)),IFERROR(AR191/AO191-1,""),"")</f>
        <v>0.0711040166416745</v>
      </c>
      <c r="AS201" s="27" t="n">
        <f aca="false">IF(AND(ISNUMBER(AS191),ISNUMBER(AP191)),IFERROR(AS191/AP191-1,""),"")</f>
        <v>0.0670931082176107</v>
      </c>
      <c r="AT201" s="27" t="n">
        <f aca="false">IF(AND(ISNUMBER(AT191),ISNUMBER(AQ191)),IFERROR(AT191/AQ191-1,""),"")</f>
        <v>0.0551604398163628</v>
      </c>
      <c r="AU201" s="27" t="n">
        <f aca="false">IF(AND(ISNUMBER(AU191),ISNUMBER(AR191)),IFERROR(AU191/AR191-1,""),"")</f>
        <v>0.0522346816617385</v>
      </c>
      <c r="AV201" s="27" t="n">
        <f aca="false">IF(AND(ISNUMBER(AV191),ISNUMBER(AS191)),IFERROR(AV191/AS191-1,""),"")</f>
        <v>0.0539175527010831</v>
      </c>
      <c r="AW201" s="27" t="n">
        <f aca="false">IF(AND(ISNUMBER(AW191),ISNUMBER(AT191)),IFERROR(AW191/AT191-1,""),"")</f>
        <v>-0.00423154650961</v>
      </c>
      <c r="AX201" s="28" t="n">
        <f aca="false">IF(AND(ISNUMBER(AX191),ISNUMBER(AU191)),IFERROR(AX191/AU191-1,""),"")</f>
        <v>0.0495330511952825</v>
      </c>
      <c r="AY201" s="28" t="n">
        <f aca="false">IF(AND(ISNUMBER(AY191),ISNUMBER(AV191)),IFERROR(AY191/AV191-1,""),"")</f>
        <v>0.0218954001751803</v>
      </c>
      <c r="AZ201" s="28" t="n">
        <f aca="false">IF(AND(ISNUMBER(AZ191),ISNUMBER(AY191)),IFERROR(AZ191/AY191-1,""),"")</f>
        <v>0.0677120964251028</v>
      </c>
      <c r="BA201" s="28" t="n">
        <f aca="false">IF(AND(ISNUMBER(BA191),ISNUMBER(AZ191)),IFERROR(BA191/AZ191-1,""),"")</f>
        <v>0.0862760014468085</v>
      </c>
      <c r="BB201" s="28" t="n">
        <f aca="false">IF(AND(ISNUMBER(BB191),ISNUMBER(BA191)),IFERROR(BB191/BA191-1,""),"")</f>
        <v>0.0809989833951865</v>
      </c>
      <c r="BC201" s="28" t="n">
        <f aca="false">IF(AND(ISNUMBER(BC191),ISNUMBER(BB191)),IFERROR(BC191/BB191-1,""),"")</f>
        <v>0.0715902670470094</v>
      </c>
      <c r="BD201" s="23"/>
      <c r="BF201" s="7"/>
      <c r="BG201" s="7"/>
      <c r="BH201" s="7"/>
      <c r="BI201" s="7"/>
    </row>
    <row r="202" customFormat="false" ht="15" hidden="false" customHeight="true" outlineLevel="0" collapsed="false">
      <c r="B202" s="26" t="s">
        <v>176</v>
      </c>
      <c r="C202" s="30" t="str">
        <f aca="false">IF(AND(ISNUMBER(C121),ISNUMBER(C119)),IFERROR(C121/C119,""),"")</f>
        <v/>
      </c>
      <c r="D202" s="30" t="str">
        <f aca="false">IF(AND(ISNUMBER(D121),ISNUMBER(D119)),IFERROR(D121/D119,""),"")</f>
        <v/>
      </c>
      <c r="E202" s="30" t="str">
        <f aca="false">IF(AND(ISNUMBER(E121),ISNUMBER(E119)),IFERROR(E121/E119,""),"")</f>
        <v/>
      </c>
      <c r="F202" s="30" t="n">
        <f aca="false">IF(AND(ISNUMBER(F121),ISNUMBER(F119)),IFERROR(F121/F119,""),"")</f>
        <v>0.633443034007209</v>
      </c>
      <c r="G202" s="30" t="n">
        <f aca="false">IF(AND(ISNUMBER(G121),ISNUMBER(G119)),IFERROR(G121/G119,""),"")</f>
        <v>0.660529823392203</v>
      </c>
      <c r="H202" s="30" t="n">
        <f aca="false">IF(AND(ISNUMBER(H121),ISNUMBER(H119)),IFERROR(H121/H119,""),"")</f>
        <v>0.688019146839364</v>
      </c>
      <c r="I202" s="30" t="n">
        <f aca="false">IF(AND(ISNUMBER(I121),ISNUMBER(I119)),IFERROR(I121/I119,""),"")</f>
        <v>0.681180218707844</v>
      </c>
      <c r="J202" s="30" t="n">
        <f aca="false">IF(AND(ISNUMBER(J121),ISNUMBER(J119)),IFERROR(J121/J119,""),"")</f>
        <v>0.686509732910819</v>
      </c>
      <c r="K202" s="30" t="n">
        <f aca="false">IF(AND(ISNUMBER(K121),ISNUMBER(K119)),IFERROR(K121/K119,""),"")</f>
        <v>0.689927550815053</v>
      </c>
      <c r="L202" s="30" t="n">
        <f aca="false">IF(AND(ISNUMBER(L121),ISNUMBER(L119)),IFERROR(L121/L119,""),"")</f>
        <v>0.688318951741771</v>
      </c>
      <c r="M202" s="30" t="n">
        <f aca="false">IF(AND(ISNUMBER(M121),ISNUMBER(M119)),IFERROR(M121/M119,""),"")</f>
        <v>0.680895694582831</v>
      </c>
      <c r="N202" s="30" t="n">
        <f aca="false">IF(AND(ISNUMBER(N121),ISNUMBER(N119)),IFERROR(N121/N119,""),"")</f>
        <v>0.657684134376272</v>
      </c>
      <c r="O202" s="30" t="n">
        <f aca="false">IF(AND(ISNUMBER(O121),ISNUMBER(O119)),IFERROR(O121/O119,""),"")</f>
        <v>0.668431020249599</v>
      </c>
      <c r="P202" s="30" t="n">
        <f aca="false">IF(AND(ISNUMBER(P121),ISNUMBER(P119)),IFERROR(P121/P119,""),"")</f>
        <v>0.664869096285988</v>
      </c>
      <c r="Q202" s="30" t="n">
        <f aca="false">IF(AND(ISNUMBER(Q121),ISNUMBER(Q119)),IFERROR(Q121/Q119,""),"")</f>
        <v>0.656948378973875</v>
      </c>
      <c r="R202" s="30" t="n">
        <f aca="false">IF(AND(ISNUMBER(R121),ISNUMBER(R119)),IFERROR(R121/R119,""),"")</f>
        <v>0.660710596984094</v>
      </c>
      <c r="S202" s="30" t="n">
        <f aca="false">IF(AND(ISNUMBER(S121),ISNUMBER(S119)),IFERROR(S121/S119,""),"")</f>
        <v>0.684355023766596</v>
      </c>
      <c r="T202" s="30" t="n">
        <f aca="false">IF(AND(ISNUMBER(T121),ISNUMBER(T119)),IFERROR(T121/T119,""),"")</f>
        <v>0.669925410963864</v>
      </c>
      <c r="U202" s="30" t="n">
        <f aca="false">IF(AND(ISNUMBER(U121),ISNUMBER(U119)),IFERROR(U121/U119,""),"")</f>
        <v>0.676694475414248</v>
      </c>
      <c r="V202" s="30" t="n">
        <f aca="false">IF(AND(ISNUMBER(V121),ISNUMBER(V119)),IFERROR(V121/V119,""),"")</f>
        <v>0.701485385721131</v>
      </c>
      <c r="W202" s="30" t="n">
        <f aca="false">IF(AND(ISNUMBER(W121),ISNUMBER(W119)),IFERROR(W121/W119,""),"")</f>
        <v>0.700504213532668</v>
      </c>
      <c r="X202" s="30" t="n">
        <f aca="false">IF(AND(ISNUMBER(X121),ISNUMBER(X119)),IFERROR(X121/X119,""),"")</f>
        <v>0.700983925610899</v>
      </c>
      <c r="Y202" s="30" t="n">
        <f aca="false">IF(AND(ISNUMBER(Y121),ISNUMBER(Y119)),IFERROR(Y121/Y119,""),"")</f>
        <v>0.698885540057475</v>
      </c>
      <c r="Z202" s="30" t="n">
        <f aca="false">IF(AND(ISNUMBER(Z121),ISNUMBER(Z119)),IFERROR(Z121/Z119,""),"")</f>
        <v>0.700645741639092</v>
      </c>
      <c r="AA202" s="30" t="n">
        <f aca="false">IF(AND(ISNUMBER(AA121),ISNUMBER(AA119)),IFERROR(AA121/AA119,""),"")</f>
        <v>0.699803891989742</v>
      </c>
      <c r="AB202" s="30" t="n">
        <f aca="false">IF(AND(ISNUMBER(AB121),ISNUMBER(AB119)),IFERROR(AB121/AB119,""),"")</f>
        <v>0.686651239266793</v>
      </c>
      <c r="AC202" s="30" t="n">
        <f aca="false">IF(AND(ISNUMBER(AC121),ISNUMBER(AC119)),IFERROR(AC121/AC119,""),"")</f>
        <v>0.695543454100911</v>
      </c>
      <c r="AD202" s="30" t="n">
        <f aca="false">IF(AND(ISNUMBER(AD121),ISNUMBER(AD119)),IFERROR(AD121/AD119,""),"")</f>
        <v>0.691300810645902</v>
      </c>
      <c r="AE202" s="30" t="n">
        <f aca="false">IF(AND(ISNUMBER(AE121),ISNUMBER(AE119)),IFERROR(AE121/AE119,""),"")</f>
        <v>0.650040192926045</v>
      </c>
      <c r="AF202" s="30" t="n">
        <f aca="false">IF(AND(ISNUMBER(AF121),ISNUMBER(AF119)),IFERROR(AF121/AF119,""),"")</f>
        <v>0.707130773568463</v>
      </c>
      <c r="AG202" s="30" t="n">
        <f aca="false">IF(AND(ISNUMBER(AG121),ISNUMBER(AG119)),IFERROR(AG121/AG119,""),"")</f>
        <v>0.684899990609447</v>
      </c>
      <c r="AH202" s="30" t="n">
        <f aca="false">IF(AND(ISNUMBER(AH121),ISNUMBER(AH119)),IFERROR(AH121/AH119,""),"")</f>
        <v>0.714953602040094</v>
      </c>
      <c r="AI202" s="30" t="n">
        <f aca="false">IF(AND(ISNUMBER(AI121),ISNUMBER(AI119)),IFERROR(AI121/AI119,""),"")</f>
        <v>0.71080073311003</v>
      </c>
      <c r="AJ202" s="30" t="n">
        <f aca="false">IF(AND(ISNUMBER(AJ121),ISNUMBER(AJ119)),IFERROR(AJ121/AJ119,""),"")</f>
        <v>0.712758851035404</v>
      </c>
      <c r="AK202" s="30" t="n">
        <f aca="false">IF(AND(ISNUMBER(AK121),ISNUMBER(AK119)),IFERROR(AK121/AK119,""),"")</f>
        <v>0.710319634703196</v>
      </c>
      <c r="AL202" s="30" t="n">
        <f aca="false">IF(AND(ISNUMBER(AL121),ISNUMBER(AL119)),IFERROR(AL121/AL119,""),"")</f>
        <v>0.705728741635384</v>
      </c>
      <c r="AM202" s="30" t="n">
        <f aca="false">IF(AND(ISNUMBER(AM121),ISNUMBER(AM119)),IFERROR(AM121/AM119,""),"")</f>
        <v>0.707895190484399</v>
      </c>
      <c r="AN202" s="30" t="n">
        <f aca="false">IF(AND(ISNUMBER(AN121),ISNUMBER(AN119)),IFERROR(AN121/AN119,""),"")</f>
        <v>0.721857270827113</v>
      </c>
      <c r="AO202" s="30" t="n">
        <f aca="false">IF(AND(ISNUMBER(AO121),ISNUMBER(AO119)),IFERROR(AO121/AO119,""),"")</f>
        <v>0.724030316540348</v>
      </c>
      <c r="AP202" s="30" t="n">
        <f aca="false">IF(AND(ISNUMBER(AP121),ISNUMBER(AP119)),IFERROR(AP121/AP119,""),"")</f>
        <v>0.722946302226856</v>
      </c>
      <c r="AQ202" s="30" t="n">
        <f aca="false">IF(AND(ISNUMBER(AQ121),ISNUMBER(AQ119)),IFERROR(AQ121/AQ119,""),"")</f>
        <v>0.706023454157783</v>
      </c>
      <c r="AR202" s="30" t="n">
        <f aca="false">IF(AND(ISNUMBER(AR121),ISNUMBER(AR119)),IFERROR(AR121/AR119,""),"")</f>
        <v>0.6993216801461</v>
      </c>
      <c r="AS202" s="30" t="n">
        <f aca="false">IF(AND(ISNUMBER(AS121),ISNUMBER(AS119)),IFERROR(AS121/AS119,""),"")</f>
        <v>0.702636783124588</v>
      </c>
      <c r="AT202" s="30" t="n">
        <f aca="false">IF(AND(ISNUMBER(AT121),ISNUMBER(AT119)),IFERROR(AT121/AT119,""),"")</f>
        <v>0.706746328105551</v>
      </c>
      <c r="AU202" s="30" t="n">
        <f aca="false">IF(AND(ISNUMBER(AU121),ISNUMBER(AU119)),IFERROR(AU121/AU119,""),"")</f>
        <v>0.715486947791165</v>
      </c>
      <c r="AV202" s="30" t="n">
        <f aca="false">IF(AND(ISNUMBER(AV121),ISNUMBER(AV119)),IFERROR(AV121/AV119,""),"")</f>
        <v>0.711098612673416</v>
      </c>
      <c r="AW202" s="30" t="n">
        <f aca="false">IF(AND(ISNUMBER(AW121),ISNUMBER(AW119)),IFERROR(AW121/AW119,""),"")</f>
        <v>0.711380619870146</v>
      </c>
      <c r="AX202" s="28" t="n">
        <f aca="false">IF(AND(ISNUMBER(AX121),ISNUMBER(AX119)),IFERROR(AX121/AX119,""),"")</f>
        <v>0.713</v>
      </c>
      <c r="AY202" s="28" t="n">
        <f aca="false">IF(AND(ISNUMBER(AY121),ISNUMBER(AY119)),IFERROR(AY121/AY119,""),"")</f>
        <v>0.71219430681679</v>
      </c>
      <c r="AZ202" s="28" t="n">
        <f aca="false">IF(AND(ISNUMBER(AZ121),ISNUMBER(AZ119)),IFERROR(AZ121/AZ119,""),"")</f>
        <v>0.712</v>
      </c>
      <c r="BA202" s="28" t="n">
        <f aca="false">IF(AND(ISNUMBER(BA121),ISNUMBER(BA119)),IFERROR(BA121/BA119,""),"")</f>
        <v>0.713</v>
      </c>
      <c r="BB202" s="28" t="n">
        <f aca="false">IF(AND(ISNUMBER(BB121),ISNUMBER(BB119)),IFERROR(BB121/BB119,""),"")</f>
        <v>0.714</v>
      </c>
      <c r="BC202" s="28" t="n">
        <f aca="false">IF(AND(ISNUMBER(BC121),ISNUMBER(BC119)),IFERROR(BC121/BC119,""),"")</f>
        <v>0.714</v>
      </c>
      <c r="BD202" s="23"/>
      <c r="BF202" s="32" t="n">
        <f aca="false">IFERROR(AVERAGE(AY202,AZ202,BA202,BB202,BC202),"n/m")</f>
        <v>0.713038861363358</v>
      </c>
      <c r="BG202" s="32" t="n">
        <f aca="false">IFERROR(AVERAGE(AJ202,AM202,AP202,AS202,AV202),"n/m")</f>
        <v>0.711467147908933</v>
      </c>
      <c r="BH202" s="32" t="n">
        <f aca="false">IFERROR(AVERAGE(U202,X202,AA202,AD202,AG202,AJ202,AM202,AP202,AS202,AV202),"n/m")</f>
        <v>0.70110188338149</v>
      </c>
      <c r="BI202" s="32" t="n">
        <f aca="false">IFERROR(AVERAGE(C202,D202,E202,F202,G202,H202,I202,L202,O202,R202,U202,X202,AA202,AD202,AG202,AJ202,AM202,AP202,AS202,AV202),"n/m")</f>
        <v>0.687744213278646</v>
      </c>
    </row>
    <row r="203" customFormat="false" ht="15" hidden="false" customHeight="true" outlineLevel="0" collapsed="false">
      <c r="B203" s="26" t="s">
        <v>246</v>
      </c>
      <c r="C203" s="30" t="n">
        <f aca="false">IF(AND(ISNUMBER(C124),ISNUMBER(C119)),IFERROR(C124/C119,""),"")</f>
        <v>0.264769951812001</v>
      </c>
      <c r="D203" s="30" t="n">
        <f aca="false">IF(AND(ISNUMBER(D124),ISNUMBER(D119)),IFERROR(D124/D119,""),"")</f>
        <v>0.255061227001415</v>
      </c>
      <c r="E203" s="30" t="n">
        <f aca="false">IF(AND(ISNUMBER(E124),ISNUMBER(E119)),IFERROR(E124/E119,""),"")</f>
        <v>0.25456194038309</v>
      </c>
      <c r="F203" s="30" t="n">
        <f aca="false">IF(AND(ISNUMBER(F124),ISNUMBER(F119)),IFERROR(F124/F119,""),"")</f>
        <v>0.241811628271431</v>
      </c>
      <c r="G203" s="30" t="n">
        <f aca="false">IF(AND(ISNUMBER(G124),ISNUMBER(G119)),IFERROR(G124/G119,""),"")</f>
        <v>0.278323892035988</v>
      </c>
      <c r="H203" s="30" t="n">
        <f aca="false">IF(AND(ISNUMBER(H124),ISNUMBER(H119)),IFERROR(H124/H119,""),"")</f>
        <v>0.311558496409968</v>
      </c>
      <c r="I203" s="30" t="n">
        <f aca="false">IF(AND(ISNUMBER(I124),ISNUMBER(I119)),IFERROR(I124/I119,""),"")</f>
        <v>0.321087224821331</v>
      </c>
      <c r="J203" s="30" t="n">
        <f aca="false">IF(AND(ISNUMBER(J124),ISNUMBER(J119)),IFERROR(J124/J119,""),"")</f>
        <v>0.330522861023087</v>
      </c>
      <c r="K203" s="30" t="n">
        <f aca="false">IF(AND(ISNUMBER(K124),ISNUMBER(K119)),IFERROR(K124/K119,""),"")</f>
        <v>0.319027973435299</v>
      </c>
      <c r="L203" s="30" t="n">
        <f aca="false">IF(AND(ISNUMBER(L124),ISNUMBER(L119)),IFERROR(L124/L119,""),"")</f>
        <v>0.324438052625972</v>
      </c>
      <c r="M203" s="30" t="n">
        <f aca="false">IF(AND(ISNUMBER(M124),ISNUMBER(M119)),IFERROR(M124/M119,""),"")</f>
        <v>0.325869211809744</v>
      </c>
      <c r="N203" s="30" t="n">
        <f aca="false">IF(AND(ISNUMBER(N124),ISNUMBER(N119)),IFERROR(N124/N119,""),"")</f>
        <v>0.306506307365375</v>
      </c>
      <c r="O203" s="30" t="n">
        <f aca="false">IF(AND(ISNUMBER(O124),ISNUMBER(O119)),IFERROR(O124/O119,""),"")</f>
        <v>0.315471276647405</v>
      </c>
      <c r="P203" s="30" t="n">
        <f aca="false">IF(AND(ISNUMBER(P124),ISNUMBER(P119)),IFERROR(P124/P119,""),"")</f>
        <v>0.325389231973558</v>
      </c>
      <c r="Q203" s="30" t="n">
        <f aca="false">IF(AND(ISNUMBER(Q124),ISNUMBER(Q119)),IFERROR(Q124/Q119,""),"")</f>
        <v>0.311811457349701</v>
      </c>
      <c r="R203" s="30" t="n">
        <f aca="false">IF(AND(ISNUMBER(R124),ISNUMBER(R119)),IFERROR(R124/R119,""),"")</f>
        <v>0.318260689940095</v>
      </c>
      <c r="S203" s="30" t="n">
        <f aca="false">IF(AND(ISNUMBER(S124),ISNUMBER(S119)),IFERROR(S124/S119,""),"")</f>
        <v>0.338796918537945</v>
      </c>
      <c r="T203" s="30" t="n">
        <f aca="false">IF(AND(ISNUMBER(T124),ISNUMBER(T119)),IFERROR(T124/T119,""),"")</f>
        <v>0.314903323919183</v>
      </c>
      <c r="U203" s="30" t="n">
        <f aca="false">IF(AND(ISNUMBER(U124),ISNUMBER(U119)),IFERROR(U124/U119,""),"")</f>
        <v>0.32611202952597</v>
      </c>
      <c r="V203" s="30" t="n">
        <f aca="false">IF(AND(ISNUMBER(V124),ISNUMBER(V119)),IFERROR(V124/V119,""),"")</f>
        <v>0.343260476945192</v>
      </c>
      <c r="W203" s="30" t="n">
        <f aca="false">IF(AND(ISNUMBER(W124),ISNUMBER(W119)),IFERROR(W124/W119,""),"")</f>
        <v>0.349317725044956</v>
      </c>
      <c r="X203" s="30" t="n">
        <f aca="false">IF(AND(ISNUMBER(X124),ISNUMBER(X119)),IFERROR(X124/X119,""),"")</f>
        <v>0.346356231528869</v>
      </c>
      <c r="Y203" s="30" t="n">
        <f aca="false">IF(AND(ISNUMBER(Y124),ISNUMBER(Y119)),IFERROR(Y124/Y119,""),"")</f>
        <v>0.345062031260952</v>
      </c>
      <c r="Z203" s="30" t="n">
        <f aca="false">IF(AND(ISNUMBER(Z124),ISNUMBER(Z119)),IFERROR(Z124/Z119,""),"")</f>
        <v>0.34066887268288</v>
      </c>
      <c r="AA203" s="30" t="n">
        <f aca="false">IF(AND(ISNUMBER(AA124),ISNUMBER(AA119)),IFERROR(AA124/AA119,""),"")</f>
        <v>0.342769983741473</v>
      </c>
      <c r="AB203" s="30" t="n">
        <f aca="false">IF(AND(ISNUMBER(AB124),ISNUMBER(AB119)),IFERROR(AB124/AB119,""),"")</f>
        <v>0.348304000974362</v>
      </c>
      <c r="AC203" s="30" t="n">
        <f aca="false">IF(AND(ISNUMBER(AC124),ISNUMBER(AC119)),IFERROR(AC124/AC119,""),"")</f>
        <v>0.331990442320516</v>
      </c>
      <c r="AD203" s="30" t="n">
        <f aca="false">IF(AND(ISNUMBER(AD124),ISNUMBER(AD119)),IFERROR(AD124/AD119,""),"")</f>
        <v>0.339773948920592</v>
      </c>
      <c r="AE203" s="30" t="n">
        <f aca="false">IF(AND(ISNUMBER(AE124),ISNUMBER(AE119)),IFERROR(AE124/AE119,""),"")</f>
        <v>0.214871382636656</v>
      </c>
      <c r="AF203" s="30" t="n">
        <f aca="false">IF(AND(ISNUMBER(AF124),ISNUMBER(AF119)),IFERROR(AF124/AF119,""),"")</f>
        <v>0.370841236479213</v>
      </c>
      <c r="AG203" s="30" t="n">
        <f aca="false">IF(AND(ISNUMBER(AG124),ISNUMBER(AG119)),IFERROR(AG124/AG119,""),"")</f>
        <v>0.310107365323818</v>
      </c>
      <c r="AH203" s="30" t="n">
        <f aca="false">IF(AND(ISNUMBER(AH124),ISNUMBER(AH119)),IFERROR(AH124/AH119,""),"")</f>
        <v>0.406554744870251</v>
      </c>
      <c r="AI203" s="30" t="n">
        <f aca="false">IF(AND(ISNUMBER(AI124),ISNUMBER(AI119)),IFERROR(AI124/AI119,""),"")</f>
        <v>0.381132949925214</v>
      </c>
      <c r="AJ203" s="30" t="n">
        <f aca="false">IF(AND(ISNUMBER(AJ124),ISNUMBER(AJ119)),IFERROR(AJ124/AJ119,""),"")</f>
        <v>0.39311957247829</v>
      </c>
      <c r="AK203" s="30" t="n">
        <f aca="false">IF(AND(ISNUMBER(AK124),ISNUMBER(AK119)),IFERROR(AK124/AK119,""),"")</f>
        <v>0.421004566210046</v>
      </c>
      <c r="AL203" s="30" t="n">
        <f aca="false">IF(AND(ISNUMBER(AL124),ISNUMBER(AL119)),IFERROR(AL124/AL119,""),"")</f>
        <v>0.390403133670638</v>
      </c>
      <c r="AM203" s="30" t="n">
        <f aca="false">IF(AND(ISNUMBER(AM124),ISNUMBER(AM119)),IFERROR(AM124/AM119,""),"")</f>
        <v>0.404843992415101</v>
      </c>
      <c r="AN203" s="30" t="n">
        <f aca="false">IF(AND(ISNUMBER(AN124),ISNUMBER(AN119)),IFERROR(AN124/AN119,""),"")</f>
        <v>0.43998208420424</v>
      </c>
      <c r="AO203" s="30" t="n">
        <f aca="false">IF(AND(ISNUMBER(AO124),ISNUMBER(AO119)),IFERROR(AO124/AO119,""),"")</f>
        <v>0.401545549115768</v>
      </c>
      <c r="AP203" s="30" t="n">
        <f aca="false">IF(AND(ISNUMBER(AP124),ISNUMBER(AP119)),IFERROR(AP124/AP119,""),"")</f>
        <v>0.420719445892604</v>
      </c>
      <c r="AQ203" s="30" t="n">
        <f aca="false">IF(AND(ISNUMBER(AQ124),ISNUMBER(AQ119)),IFERROR(AQ124/AQ119,""),"")</f>
        <v>0.419642857142857</v>
      </c>
      <c r="AR203" s="30" t="n">
        <f aca="false">IF(AND(ISNUMBER(AR124),ISNUMBER(AR119)),IFERROR(AR124/AR119,""),"")</f>
        <v>0.391207931124446</v>
      </c>
      <c r="AS203" s="30" t="n">
        <f aca="false">IF(AND(ISNUMBER(AS124),ISNUMBER(AS119)),IFERROR(AS124/AS119,""),"")</f>
        <v>0.405273566249176</v>
      </c>
      <c r="AT203" s="30" t="n">
        <f aca="false">IF(AND(ISNUMBER(AT124),ISNUMBER(AT119)),IFERROR(AT124/AT119,""),"")</f>
        <v>0.41411501120239</v>
      </c>
      <c r="AU203" s="30" t="n">
        <f aca="false">IF(AND(ISNUMBER(AU124),ISNUMBER(AU119)),IFERROR(AU124/AU119,""),"")</f>
        <v>0.406877510040161</v>
      </c>
      <c r="AV203" s="30" t="n">
        <f aca="false">IF(AND(ISNUMBER(AV124),ISNUMBER(AV119)),IFERROR(AV124/AV119,""),"")</f>
        <v>0.410511186101737</v>
      </c>
      <c r="AW203" s="30" t="n">
        <f aca="false">IF(AND(ISNUMBER(AW124),ISNUMBER(AW119)),IFERROR(AW124/AW119,""),"")</f>
        <v>0.410388337620973</v>
      </c>
      <c r="AX203" s="28" t="n">
        <f aca="false">IF(AND(ISNUMBER(AX124),ISNUMBER(AX119)),IFERROR(AX124/AX119,""),"")</f>
        <v>0.402</v>
      </c>
      <c r="AY203" s="28" t="n">
        <f aca="false">IF(AND(ISNUMBER(AY124),ISNUMBER(AY119)),IFERROR(AY124/AY119,""),"")</f>
        <v>0.406173465090184</v>
      </c>
      <c r="AZ203" s="28" t="n">
        <f aca="false">IF(AND(ISNUMBER(AZ124),ISNUMBER(AZ119)),IFERROR(AZ124/AZ119,""),"")</f>
        <v>0.405</v>
      </c>
      <c r="BA203" s="28" t="n">
        <f aca="false">IF(AND(ISNUMBER(BA124),ISNUMBER(BA119)),IFERROR(BA124/BA119,""),"")</f>
        <v>0.408</v>
      </c>
      <c r="BB203" s="28" t="n">
        <f aca="false">IF(AND(ISNUMBER(BB124),ISNUMBER(BB119)),IFERROR(BB124/BB119,""),"")</f>
        <v>0.41</v>
      </c>
      <c r="BC203" s="28" t="n">
        <f aca="false">IF(AND(ISNUMBER(BC124),ISNUMBER(BC119)),IFERROR(BC124/BC119,""),"")</f>
        <v>0.41</v>
      </c>
      <c r="BD203" s="23"/>
      <c r="BF203" s="32" t="n">
        <f aca="false">IFERROR(AVERAGE(AY203,AZ203,BA203,BB203,BC203),"n/m")</f>
        <v>0.407834693018037</v>
      </c>
      <c r="BG203" s="32" t="n">
        <f aca="false">IFERROR(AVERAGE(AJ203,AM203,AP203,AS203,AV203),"n/m")</f>
        <v>0.406893552627382</v>
      </c>
      <c r="BH203" s="32" t="n">
        <f aca="false">IFERROR(AVERAGE(U203,X203,AA203,AD203,AG203,AJ203,AM203,AP203,AS203,AV203),"n/m")</f>
        <v>0.369958732217763</v>
      </c>
      <c r="BI203" s="32" t="n">
        <f aca="false">IFERROR(AVERAGE(C203,D203,E203,F203,G203,H203,I203,L203,O203,R203,U203,X203,AA203,AD203,AG203,AJ203,AM203,AP203,AS203,AV203),"n/m")</f>
        <v>0.329246585106316</v>
      </c>
    </row>
    <row r="204" customFormat="false" ht="15" hidden="false" customHeight="true" outlineLevel="0" collapsed="false">
      <c r="B204" s="26" t="s">
        <v>253</v>
      </c>
      <c r="C204" s="30" t="str">
        <f aca="false">IF(AND(ISNUMBER(C171),ISNUMBER(C119)),IFERROR(C171/C119,""),"")</f>
        <v/>
      </c>
      <c r="D204" s="30" t="str">
        <f aca="false">IF(AND(ISNUMBER(D171),ISNUMBER(D119)),IFERROR(D171/D119,""),"")</f>
        <v/>
      </c>
      <c r="E204" s="30" t="str">
        <f aca="false">IF(AND(ISNUMBER(E171),ISNUMBER(E119)),IFERROR(E171/E119,""),"")</f>
        <v/>
      </c>
      <c r="F204" s="30" t="n">
        <f aca="false">IF(AND(ISNUMBER(F171),ISNUMBER(F119)),IFERROR(F171/F119,""),"")</f>
        <v>0.285953089902314</v>
      </c>
      <c r="G204" s="30" t="n">
        <f aca="false">IF(AND(ISNUMBER(G171),ISNUMBER(G119)),IFERROR(G171/G119,""),"")</f>
        <v>0.320351549483506</v>
      </c>
      <c r="H204" s="30" t="n">
        <f aca="false">IF(AND(ISNUMBER(H171),ISNUMBER(H119)),IFERROR(H171/H119,""),"")</f>
        <v>0.351400816556385</v>
      </c>
      <c r="I204" s="30" t="n">
        <f aca="false">IF(AND(ISNUMBER(I171),ISNUMBER(I119)),IFERROR(I171/I119,""),"")</f>
        <v>0.355558106828162</v>
      </c>
      <c r="J204" s="30" t="n">
        <f aca="false">IF(AND(ISNUMBER(J171),ISNUMBER(J119)),IFERROR(J171/J119,""),"")</f>
        <v>0.366398822996831</v>
      </c>
      <c r="K204" s="30" t="n">
        <f aca="false">IF(AND(ISNUMBER(K171),ISNUMBER(K119)),IFERROR(K171/K119,""),"")</f>
        <v>0.356812235862347</v>
      </c>
      <c r="L204" s="30" t="n">
        <f aca="false">IF(AND(ISNUMBER(L171),ISNUMBER(L119)),IFERROR(L171/L119,""),"")</f>
        <v>0.361324171726856</v>
      </c>
      <c r="M204" s="30" t="n">
        <f aca="false">IF(AND(ISNUMBER(M171),ISNUMBER(M119)),IFERROR(M171/M119,""),"")</f>
        <v>0.363574387749751</v>
      </c>
      <c r="N204" s="30" t="n">
        <f aca="false">IF(AND(ISNUMBER(N171),ISNUMBER(N119)),IFERROR(N171/N119,""),"")</f>
        <v>0.350228331147986</v>
      </c>
      <c r="O204" s="30" t="n">
        <f aca="false">IF(AND(ISNUMBER(O171),ISNUMBER(O119)),IFERROR(O171/O119,""),"")</f>
        <v>0.356407517117467</v>
      </c>
      <c r="P204" s="30" t="n">
        <f aca="false">IF(AND(ISNUMBER(P171),ISNUMBER(P119)),IFERROR(P171/P119,""),"")</f>
        <v>0.363094720361834</v>
      </c>
      <c r="Q204" s="30" t="n">
        <f aca="false">IF(AND(ISNUMBER(Q171),ISNUMBER(Q119)),IFERROR(Q171/Q119,""),"")</f>
        <v>0.358947119924457</v>
      </c>
      <c r="R204" s="30" t="n">
        <f aca="false">IF(AND(ISNUMBER(R171),ISNUMBER(R119)),IFERROR(R171/R119,""),"")</f>
        <v>0.360917165874819</v>
      </c>
      <c r="S204" s="30" t="n">
        <f aca="false">IF(AND(ISNUMBER(S171),ISNUMBER(S119)),IFERROR(S171/S119,""),"")</f>
        <v>0.382683166693985</v>
      </c>
      <c r="T204" s="30" t="n">
        <f aca="false">IF(AND(ISNUMBER(T171),ISNUMBER(T119)),IFERROR(T171/T119,""),"")</f>
        <v>0.360163661380259</v>
      </c>
      <c r="U204" s="30" t="n">
        <f aca="false">IF(AND(ISNUMBER(U171),ISNUMBER(U119)),IFERROR(U171/U119,""),"")</f>
        <v>0.370727769020799</v>
      </c>
      <c r="V204" s="30" t="n">
        <f aca="false">IF(AND(ISNUMBER(V171),ISNUMBER(V119)),IFERROR(V171/V119,""),"")</f>
        <v>0.386384578526409</v>
      </c>
      <c r="W204" s="30" t="n">
        <f aca="false">IF(AND(ISNUMBER(W171),ISNUMBER(W119)),IFERROR(W171/W119,""),"")</f>
        <v>0.393744931419908</v>
      </c>
      <c r="X204" s="30" t="n">
        <f aca="false">IF(AND(ISNUMBER(X171),ISNUMBER(X119)),IFERROR(X171/X119,""),"")</f>
        <v>0.390146327398544</v>
      </c>
      <c r="Y204" s="30" t="n">
        <f aca="false">IF(AND(ISNUMBER(Y171),ISNUMBER(Y119)),IFERROR(Y171/Y119,""),"")</f>
        <v>0.393880984089157</v>
      </c>
      <c r="Z204" s="30" t="n">
        <f aca="false">IF(AND(ISNUMBER(Z171),ISNUMBER(Z119)),IFERROR(Z171/Z119,""),"")</f>
        <v>0.379445497478074</v>
      </c>
      <c r="AA204" s="30" t="n">
        <f aca="false">IF(AND(ISNUMBER(AA171),ISNUMBER(AA119)),IFERROR(AA171/AA119,""),"")</f>
        <v>0.386349541576574</v>
      </c>
      <c r="AB204" s="30" t="n">
        <f aca="false">IF(AND(ISNUMBER(AB171),ISNUMBER(AB119)),IFERROR(AB171/AB119,""),"")</f>
        <v>0.42101577248645</v>
      </c>
      <c r="AC204" s="30" t="n">
        <f aca="false">IF(AND(ISNUMBER(AC171),ISNUMBER(AC119)),IFERROR(AC171/AC119,""),"")</f>
        <v>0.397949544343187</v>
      </c>
      <c r="AD204" s="30" t="n">
        <f aca="false">IF(AND(ISNUMBER(AD171),ISNUMBER(AD119)),IFERROR(AD171/AD119,""),"")</f>
        <v>0.408954876950344</v>
      </c>
      <c r="AE204" s="30" t="n">
        <f aca="false">IF(AND(ISNUMBER(AE171),ISNUMBER(AE119)),IFERROR(AE171/AE119,""),"")</f>
        <v>0.319051446945338</v>
      </c>
      <c r="AF204" s="30" t="n">
        <f aca="false">IF(AND(ISNUMBER(AF171),ISNUMBER(AF119)),IFERROR(AF171/AF119,""),"")</f>
        <v>0.450120469575024</v>
      </c>
      <c r="AG204" s="30" t="n">
        <f aca="false">IF(AND(ISNUMBER(AG171),ISNUMBER(AG119)),IFERROR(AG171/AG119,""),"")</f>
        <v>0.399082855980217</v>
      </c>
      <c r="AH204" s="30" t="n">
        <f aca="false">IF(AND(ISNUMBER(AH171),ISNUMBER(AH119)),IFERROR(AH171/AH119,""),"")</f>
        <v>0.479658095440486</v>
      </c>
      <c r="AI204" s="30" t="n">
        <f aca="false">IF(AND(ISNUMBER(AI171),ISNUMBER(AI119)),IFERROR(AI171/AI119,""),"")</f>
        <v>0.44820830436706</v>
      </c>
      <c r="AJ204" s="30" t="n">
        <f aca="false">IF(AND(ISNUMBER(AJ171),ISNUMBER(AJ119)),IFERROR(AJ171/AJ119,""),"")</f>
        <v>0.463037185482075</v>
      </c>
      <c r="AK204" s="30" t="n">
        <f aca="false">IF(AND(ISNUMBER(AK171),ISNUMBER(AK119)),IFERROR(AK171/AK119,""),"")</f>
        <v>0.486392694063927</v>
      </c>
      <c r="AL204" s="30" t="n">
        <f aca="false">IF(AND(ISNUMBER(AL171),ISNUMBER(AL119)),IFERROR(AL171/AL119,""),"")</f>
        <v>0.451118002284968</v>
      </c>
      <c r="AM204" s="30" t="n">
        <f aca="false">IF(AND(ISNUMBER(AM171),ISNUMBER(AM119)),IFERROR(AM171/AM119,""),"")</f>
        <v>0.467764178589898</v>
      </c>
      <c r="AN204" s="30" t="n">
        <f aca="false">IF(AND(ISNUMBER(AN171),ISNUMBER(AN119)),IFERROR(AN171/AN119,""),"")</f>
        <v>0.491340698716035</v>
      </c>
      <c r="AO204" s="30" t="n">
        <f aca="false">IF(AND(ISNUMBER(AO171),ISNUMBER(AO119)),IFERROR(AO171/AO119,""),"")</f>
        <v>0.465150839649279</v>
      </c>
      <c r="AP204" s="30" t="n">
        <f aca="false">IF(AND(ISNUMBER(AP171),ISNUMBER(AP119)),IFERROR(AP171/AP119,""),"")</f>
        <v>0.478215535860579</v>
      </c>
      <c r="AQ204" s="30" t="n">
        <f aca="false">IF(AND(ISNUMBER(AQ171),ISNUMBER(AQ119)),IFERROR(AQ171/AQ119,""),"")</f>
        <v>0.470682302771855</v>
      </c>
      <c r="AR204" s="30" t="n">
        <f aca="false">IF(AND(ISNUMBER(AR171),ISNUMBER(AR119)),IFERROR(AR171/AR119,""),"")</f>
        <v>0.451343595095226</v>
      </c>
      <c r="AS204" s="30" t="n">
        <f aca="false">IF(AND(ISNUMBER(AS171),ISNUMBER(AS119)),IFERROR(AS171/AS119,""),"")</f>
        <v>0.460909690177983</v>
      </c>
      <c r="AT204" s="30" t="n">
        <f aca="false">IF(AND(ISNUMBER(AT171),ISNUMBER(AT119)),IFERROR(AT171/AT119,""),"")</f>
        <v>0.471745083395569</v>
      </c>
      <c r="AU204" s="30" t="n">
        <f aca="false">IF(AND(ISNUMBER(AU171),ISNUMBER(AU119)),IFERROR(AU171/AU119,""),"")</f>
        <v>0.464984939759036</v>
      </c>
      <c r="AV204" s="30" t="n">
        <f aca="false">IF(AND(ISNUMBER(AV171),ISNUMBER(AV119)),IFERROR(AV171/AV119,""),"")</f>
        <v>0.468378952630921</v>
      </c>
      <c r="AW204" s="30" t="n">
        <f aca="false">IF(AND(ISNUMBER(AW171),ISNUMBER(AW119)),IFERROR(AW171/AW119,""),"")</f>
        <v>0.474212911919637</v>
      </c>
      <c r="AX204" s="28" t="n">
        <f aca="false">IF(AND(ISNUMBER(AX171),ISNUMBER(AX119)),IFERROR(AX171/AX119,""),"")</f>
        <v>0.459793450744118</v>
      </c>
      <c r="AY204" s="28" t="n">
        <f aca="false">IF(AND(ISNUMBER(AY171),ISNUMBER(AY119)),IFERROR(AY171/AY119,""),"")</f>
        <v>0.466967591861761</v>
      </c>
      <c r="AZ204" s="28" t="n">
        <f aca="false">IF(AND(ISNUMBER(AZ171),ISNUMBER(AZ119)),IFERROR(AZ171/AZ119,""),"")</f>
        <v>0.466182090201683</v>
      </c>
      <c r="BA204" s="28" t="n">
        <f aca="false">IF(AND(ISNUMBER(BA171),ISNUMBER(BA119)),IFERROR(BA171/BA119,""),"")</f>
        <v>0.469460092870832</v>
      </c>
      <c r="BB204" s="28" t="n">
        <f aca="false">IF(AND(ISNUMBER(BB171),ISNUMBER(BB119)),IFERROR(BB171/BB119,""),"")</f>
        <v>0.471737872979333</v>
      </c>
      <c r="BC204" s="28" t="n">
        <f aca="false">IF(AND(ISNUMBER(BC171),ISNUMBER(BC119)),IFERROR(BC171/BC119,""),"")</f>
        <v>0.472049913074553</v>
      </c>
      <c r="BD204" s="23"/>
      <c r="BF204" s="32" t="n">
        <f aca="false">IFERROR(AVERAGE(AY204,AZ204,BA204,BB204,BC204),"n/m")</f>
        <v>0.469279512197633</v>
      </c>
      <c r="BG204" s="32" t="n">
        <f aca="false">IFERROR(AVERAGE(AJ204,AM204,AP204,AS204,AV204),"n/m")</f>
        <v>0.467661108548291</v>
      </c>
      <c r="BH204" s="32" t="n">
        <f aca="false">IFERROR(AVERAGE(U204,X204,AA204,AD204,AG204,AJ204,AM204,AP204,AS204,AV204),"n/m")</f>
        <v>0.429356691366794</v>
      </c>
      <c r="BI204" s="32" t="n">
        <f aca="false">IFERROR(AVERAGE(C204,D204,E204,F204,G204,H204,I204,L204,O204,R204,U204,X204,AA204,AD204,AG204,AJ204,AM204,AP204,AS204,AV204),"n/m")</f>
        <v>0.393263490068085</v>
      </c>
    </row>
    <row r="205" customFormat="false" ht="15" hidden="false" customHeight="true" outlineLevel="0" collapsed="false">
      <c r="B205" s="26" t="s">
        <v>289</v>
      </c>
      <c r="C205" s="30" t="n">
        <f aca="false">IF(AND(ISNUMBER(C127),ISNUMBER(C119)),IFERROR(C127/C119,""),"")</f>
        <v>0.27407749686448</v>
      </c>
      <c r="D205" s="30" t="n">
        <f aca="false">IF(AND(ISNUMBER(D127),ISNUMBER(D119)),IFERROR(D127/D119,""),"")</f>
        <v>0.260722417082026</v>
      </c>
      <c r="E205" s="30" t="n">
        <f aca="false">IF(AND(ISNUMBER(E127),ISNUMBER(E119)),IFERROR(E127/E119,""),"")</f>
        <v>0.25456194038309</v>
      </c>
      <c r="F205" s="30" t="n">
        <f aca="false">IF(AND(ISNUMBER(F127),ISNUMBER(F119)),IFERROR(F127/F119,""),"")</f>
        <v>0.241811628271431</v>
      </c>
      <c r="G205" s="30" t="n">
        <f aca="false">IF(AND(ISNUMBER(G127),ISNUMBER(G119)),IFERROR(G127/G119,""),"")</f>
        <v>0.278323892035988</v>
      </c>
      <c r="H205" s="30" t="n">
        <f aca="false">IF(AND(ISNUMBER(H127),ISNUMBER(H119)),IFERROR(H127/H119,""),"")</f>
        <v>0.311558496409968</v>
      </c>
      <c r="I205" s="30" t="n">
        <f aca="false">IF(AND(ISNUMBER(I127),ISNUMBER(I119)),IFERROR(I127/I119,""),"")</f>
        <v>0.321087224821331</v>
      </c>
      <c r="J205" s="30" t="n">
        <f aca="false">IF(AND(ISNUMBER(J127),ISNUMBER(J119)),IFERROR(J127/J119,""),"")</f>
        <v>0.330522861023087</v>
      </c>
      <c r="K205" s="30" t="n">
        <f aca="false">IF(AND(ISNUMBER(K127),ISNUMBER(K119)),IFERROR(K127/K119,""),"")</f>
        <v>0.319027973435299</v>
      </c>
      <c r="L205" s="30" t="n">
        <f aca="false">IF(AND(ISNUMBER(L127),ISNUMBER(L119)),IFERROR(L127/L119,""),"")</f>
        <v>0.324438052625972</v>
      </c>
      <c r="M205" s="30" t="n">
        <f aca="false">IF(AND(ISNUMBER(M127),ISNUMBER(M119)),IFERROR(M127/M119,""),"")</f>
        <v>0.325869211809744</v>
      </c>
      <c r="N205" s="30" t="n">
        <f aca="false">IF(AND(ISNUMBER(N127),ISNUMBER(N119)),IFERROR(N127/N119,""),"")</f>
        <v>0.306506307365375</v>
      </c>
      <c r="O205" s="30" t="n">
        <f aca="false">IF(AND(ISNUMBER(O127),ISNUMBER(O119)),IFERROR(O127/O119,""),"")</f>
        <v>0.315471276647405</v>
      </c>
      <c r="P205" s="30" t="n">
        <f aca="false">IF(AND(ISNUMBER(P127),ISNUMBER(P119)),IFERROR(P127/P119,""),"")</f>
        <v>0.325389231973558</v>
      </c>
      <c r="Q205" s="30" t="n">
        <f aca="false">IF(AND(ISNUMBER(Q127),ISNUMBER(Q119)),IFERROR(Q127/Q119,""),"")</f>
        <v>0.311811457349701</v>
      </c>
      <c r="R205" s="30" t="n">
        <f aca="false">IF(AND(ISNUMBER(R127),ISNUMBER(R119)),IFERROR(R127/R119,""),"")</f>
        <v>0.318260689940095</v>
      </c>
      <c r="S205" s="30" t="n">
        <f aca="false">IF(AND(ISNUMBER(S127),ISNUMBER(S119)),IFERROR(S127/S119,""),"")</f>
        <v>0.338796918537945</v>
      </c>
      <c r="T205" s="30" t="n">
        <f aca="false">IF(AND(ISNUMBER(T127),ISNUMBER(T119)),IFERROR(T127/T119,""),"")</f>
        <v>0.314903323919183</v>
      </c>
      <c r="U205" s="30" t="n">
        <f aca="false">IF(AND(ISNUMBER(U127),ISNUMBER(U119)),IFERROR(U127/U119,""),"")</f>
        <v>0.32611202952597</v>
      </c>
      <c r="V205" s="30" t="n">
        <f aca="false">IF(AND(ISNUMBER(V127),ISNUMBER(V119)),IFERROR(V127/V119,""),"")</f>
        <v>0.343260476945192</v>
      </c>
      <c r="W205" s="30" t="n">
        <f aca="false">IF(AND(ISNUMBER(W127),ISNUMBER(W119)),IFERROR(W127/W119,""),"")</f>
        <v>0.349317725044956</v>
      </c>
      <c r="X205" s="30" t="n">
        <f aca="false">IF(AND(ISNUMBER(X127),ISNUMBER(X119)),IFERROR(X127/X119,""),"")</f>
        <v>0.346356231528869</v>
      </c>
      <c r="Y205" s="30" t="n">
        <f aca="false">IF(AND(ISNUMBER(Y127),ISNUMBER(Y119)),IFERROR(Y127/Y119,""),"")</f>
        <v>0.363531225905937</v>
      </c>
      <c r="Z205" s="30" t="n">
        <f aca="false">IF(AND(ISNUMBER(Z127),ISNUMBER(Z119)),IFERROR(Z127/Z119,""),"")</f>
        <v>0.34066887268288</v>
      </c>
      <c r="AA205" s="30" t="n">
        <f aca="false">IF(AND(ISNUMBER(AA127),ISNUMBER(AA119)),IFERROR(AA127/AA119,""),"")</f>
        <v>0.35160322488728</v>
      </c>
      <c r="AB205" s="30" t="n">
        <f aca="false">IF(AND(ISNUMBER(AB127),ISNUMBER(AB119)),IFERROR(AB127/AB119,""),"")</f>
        <v>0.348304000974362</v>
      </c>
      <c r="AC205" s="30" t="n">
        <f aca="false">IF(AND(ISNUMBER(AC127),ISNUMBER(AC119)),IFERROR(AC127/AC119,""),"")</f>
        <v>0.331990442320516</v>
      </c>
      <c r="AD205" s="30" t="n">
        <f aca="false">IF(AND(ISNUMBER(AD127),ISNUMBER(AD119)),IFERROR(AD127/AD119,""),"")</f>
        <v>0.339773948920592</v>
      </c>
      <c r="AE205" s="30" t="n">
        <f aca="false">IF(AND(ISNUMBER(AE127),ISNUMBER(AE119)),IFERROR(AE127/AE119,""),"")</f>
        <v>0.214871382636656</v>
      </c>
      <c r="AF205" s="30" t="n">
        <f aca="false">IF(AND(ISNUMBER(AF127),ISNUMBER(AF119)),IFERROR(AF127/AF119,""),"")</f>
        <v>0.394191828574358</v>
      </c>
      <c r="AG205" s="30" t="n">
        <f aca="false">IF(AND(ISNUMBER(AG127),ISNUMBER(AG119)),IFERROR(AG127/AG119,""),"")</f>
        <v>0.324365355119417</v>
      </c>
      <c r="AH205" s="30" t="n">
        <f aca="false">IF(AND(ISNUMBER(AH127),ISNUMBER(AH119)),IFERROR(AH127/AH119,""),"")</f>
        <v>0.406554744870251</v>
      </c>
      <c r="AI205" s="30" t="n">
        <f aca="false">IF(AND(ISNUMBER(AI127),ISNUMBER(AI119)),IFERROR(AI127/AI119,""),"")</f>
        <v>0.381132949925214</v>
      </c>
      <c r="AJ205" s="30" t="n">
        <f aca="false">IF(AND(ISNUMBER(AJ127),ISNUMBER(AJ119)),IFERROR(AJ127/AJ119,""),"")</f>
        <v>0.39311957247829</v>
      </c>
      <c r="AK205" s="30" t="n">
        <f aca="false">IF(AND(ISNUMBER(AK127),ISNUMBER(AK119)),IFERROR(AK127/AK119,""),"")</f>
        <v>0.421004566210046</v>
      </c>
      <c r="AL205" s="30" t="n">
        <f aca="false">IF(AND(ISNUMBER(AL127),ISNUMBER(AL119)),IFERROR(AL127/AL119,""),"")</f>
        <v>0.390403133670638</v>
      </c>
      <c r="AM205" s="30" t="n">
        <f aca="false">IF(AND(ISNUMBER(AM127),ISNUMBER(AM119)),IFERROR(AM127/AM119,""),"")</f>
        <v>0.404843992415101</v>
      </c>
      <c r="AN205" s="30" t="n">
        <f aca="false">IF(AND(ISNUMBER(AN127),ISNUMBER(AN119)),IFERROR(AN127/AN119,""),"")</f>
        <v>0.43998208420424</v>
      </c>
      <c r="AO205" s="30" t="n">
        <f aca="false">IF(AND(ISNUMBER(AO127),ISNUMBER(AO119)),IFERROR(AO127/AO119,""),"")</f>
        <v>0.401545549115768</v>
      </c>
      <c r="AP205" s="30" t="n">
        <f aca="false">IF(AND(ISNUMBER(AP127),ISNUMBER(AP119)),IFERROR(AP127/AP119,""),"")</f>
        <v>0.420719445892604</v>
      </c>
      <c r="AQ205" s="30" t="n">
        <f aca="false">IF(AND(ISNUMBER(AQ127),ISNUMBER(AQ119)),IFERROR(AQ127/AQ119,""),"")</f>
        <v>0.419642857142857</v>
      </c>
      <c r="AR205" s="30" t="n">
        <f aca="false">IF(AND(ISNUMBER(AR127),ISNUMBER(AR119)),IFERROR(AR127/AR119,""),"")</f>
        <v>0.391207931124446</v>
      </c>
      <c r="AS205" s="30" t="n">
        <f aca="false">IF(AND(ISNUMBER(AS127),ISNUMBER(AS119)),IFERROR(AS127/AS119,""),"")</f>
        <v>0.405273566249176</v>
      </c>
      <c r="AT205" s="30" t="n">
        <f aca="false">IF(AND(ISNUMBER(AT127),ISNUMBER(AT119)),IFERROR(AT127/AT119,""),"")</f>
        <v>0.41411501120239</v>
      </c>
      <c r="AU205" s="30" t="n">
        <f aca="false">IF(AND(ISNUMBER(AU127),ISNUMBER(AU119)),IFERROR(AU127/AU119,""),"")</f>
        <v>0.406877510040161</v>
      </c>
      <c r="AV205" s="30" t="n">
        <f aca="false">IF(AND(ISNUMBER(AV127),ISNUMBER(AV119)),IFERROR(AV127/AV119,""),"")</f>
        <v>0.410511186101737</v>
      </c>
      <c r="AW205" s="30" t="n">
        <f aca="false">IF(AND(ISNUMBER(AW127),ISNUMBER(AW119)),IFERROR(AW127/AW119,""),"")</f>
        <v>0.410388337620973</v>
      </c>
      <c r="AX205" s="28" t="n">
        <f aca="false">IF(AND(ISNUMBER(AX127),ISNUMBER(AX119)),IFERROR(AX127/AX119,""),"")</f>
        <v>0.402</v>
      </c>
      <c r="AY205" s="28" t="n">
        <f aca="false">IF(AND(ISNUMBER(AY127),ISNUMBER(AY119)),IFERROR(AY127/AY119,""),"")</f>
        <v>0.406173465090184</v>
      </c>
      <c r="AZ205" s="28" t="n">
        <f aca="false">IF(AND(ISNUMBER(AZ127),ISNUMBER(AZ119)),IFERROR(AZ127/AZ119,""),"")</f>
        <v>0.405</v>
      </c>
      <c r="BA205" s="28" t="n">
        <f aca="false">IF(AND(ISNUMBER(BA127),ISNUMBER(BA119)),IFERROR(BA127/BA119,""),"")</f>
        <v>0.408</v>
      </c>
      <c r="BB205" s="28" t="n">
        <f aca="false">IF(AND(ISNUMBER(BB127),ISNUMBER(BB119)),IFERROR(BB127/BB119,""),"")</f>
        <v>0.41</v>
      </c>
      <c r="BC205" s="28" t="n">
        <f aca="false">IF(AND(ISNUMBER(BC127),ISNUMBER(BC119)),IFERROR(BC127/BC119,""),"")</f>
        <v>0.41</v>
      </c>
      <c r="BD205" s="23"/>
      <c r="BF205" s="32" t="n">
        <f aca="false">IFERROR(AVERAGE(AY205,AZ205,BA205,BB205,BC205),"n/m")</f>
        <v>0.407834693018037</v>
      </c>
      <c r="BG205" s="32" t="n">
        <f aca="false">IFERROR(AVERAGE(AJ205,AM205,AP205,AS205,AV205),"n/m")</f>
        <v>0.406893552627382</v>
      </c>
      <c r="BH205" s="32" t="n">
        <f aca="false">IFERROR(AVERAGE(U205,X205,AA205,AD205,AG205,AJ205,AM205,AP205,AS205,AV205),"n/m")</f>
        <v>0.372267855311904</v>
      </c>
      <c r="BI205" s="32" t="n">
        <f aca="false">IFERROR(AVERAGE(C205,D205,E205,F205,G205,H205,I205,L205,O205,R205,U205,X205,AA205,AD205,AG205,AJ205,AM205,AP205,AS205,AV205),"n/m")</f>
        <v>0.331149583410041</v>
      </c>
    </row>
    <row r="206" customFormat="false" ht="15" hidden="false" customHeight="true" outlineLevel="0" collapsed="false">
      <c r="B206" s="26" t="s">
        <v>290</v>
      </c>
      <c r="C206" s="30" t="n">
        <f aca="false">IF(AND(ISNUMBER(C139),ISNUMBER(C119)),IFERROR(C139/C119,""),"")</f>
        <v>0.17717341078619</v>
      </c>
      <c r="D206" s="30" t="n">
        <f aca="false">IF(AND(ISNUMBER(D139),ISNUMBER(D119)),IFERROR(D139/D119,""),"")</f>
        <v>0.177219863393022</v>
      </c>
      <c r="E206" s="30" t="n">
        <f aca="false">IF(AND(ISNUMBER(E139),ISNUMBER(E119)),IFERROR(E139/E119,""),"")</f>
        <v>0.16445653405871</v>
      </c>
      <c r="F206" s="30" t="n">
        <f aca="false">IF(AND(ISNUMBER(F139),ISNUMBER(F119)),IFERROR(F139/F119,""),"")</f>
        <v>0.150864545786972</v>
      </c>
      <c r="G206" s="30" t="n">
        <f aca="false">IF(AND(ISNUMBER(G139),ISNUMBER(G119)),IFERROR(G139/G119,""),"")</f>
        <v>0.175649783405532</v>
      </c>
      <c r="H206" s="30" t="n">
        <f aca="false">IF(AND(ISNUMBER(H139),ISNUMBER(H119)),IFERROR(H139/H119,""),"")</f>
        <v>0.209101787976911</v>
      </c>
      <c r="I206" s="30" t="n">
        <f aca="false">IF(AND(ISNUMBER(I139),ISNUMBER(I119)),IFERROR(I139/I119,""),"")</f>
        <v>0.212393444505037</v>
      </c>
      <c r="J206" s="30" t="n">
        <f aca="false">IF(AND(ISNUMBER(J139),ISNUMBER(J119)),IFERROR(J139/J119,""),"")</f>
        <v>0.215991398822997</v>
      </c>
      <c r="K206" s="30" t="n">
        <f aca="false">IF(AND(ISNUMBER(K139),ISNUMBER(K119)),IFERROR(K139/K119,""),"")</f>
        <v>0.205675186154156</v>
      </c>
      <c r="L206" s="30" t="n">
        <f aca="false">IF(AND(ISNUMBER(L139),ISNUMBER(L119)),IFERROR(L139/L119,""),"")</f>
        <v>0.210530520933205</v>
      </c>
      <c r="M206" s="30" t="n">
        <f aca="false">IF(AND(ISNUMBER(M139),ISNUMBER(M119)),IFERROR(M139/M119,""),"")</f>
        <v>0.2163196811579</v>
      </c>
      <c r="N206" s="30" t="n">
        <f aca="false">IF(AND(ISNUMBER(N139),ISNUMBER(N119)),IFERROR(N139/N119,""),"")</f>
        <v>0.201790477912918</v>
      </c>
      <c r="O206" s="30" t="n">
        <f aca="false">IF(AND(ISNUMBER(O139),ISNUMBER(O119)),IFERROR(O139/O119,""),"")</f>
        <v>0.208517457388433</v>
      </c>
      <c r="P206" s="30" t="n">
        <f aca="false">IF(AND(ISNUMBER(P139),ISNUMBER(P119)),IFERROR(P139/P119,""),"")</f>
        <v>0.209837348873619</v>
      </c>
      <c r="Q206" s="30" t="n">
        <f aca="false">IF(AND(ISNUMBER(Q139),ISNUMBER(Q119)),IFERROR(Q139/Q119,""),"")</f>
        <v>0.19283128737803</v>
      </c>
      <c r="R206" s="30" t="n">
        <f aca="false">IF(AND(ISNUMBER(R139),ISNUMBER(R119)),IFERROR(R139/R119,""),"")</f>
        <v>0.20090890311919</v>
      </c>
      <c r="S206" s="30" t="n">
        <f aca="false">IF(AND(ISNUMBER(S139),ISNUMBER(S119)),IFERROR(S139/S119,""),"")</f>
        <v>0.223487952794624</v>
      </c>
      <c r="T206" s="30" t="n">
        <f aca="false">IF(AND(ISNUMBER(T139),ISNUMBER(T119)),IFERROR(T139/T119,""),"")</f>
        <v>0.20088348178724</v>
      </c>
      <c r="U206" s="30" t="n">
        <f aca="false">IF(AND(ISNUMBER(U139),ISNUMBER(U119)),IFERROR(U139/U119,""),"")</f>
        <v>0.211487447618315</v>
      </c>
      <c r="V206" s="30" t="n">
        <f aca="false">IF(AND(ISNUMBER(V139),ISNUMBER(V119)),IFERROR(V139/V119,""),"")</f>
        <v>0.223065865614979</v>
      </c>
      <c r="W206" s="30" t="n">
        <f aca="false">IF(AND(ISNUMBER(W139),ISNUMBER(W119)),IFERROR(W139/W119,""),"")</f>
        <v>0.217305454673672</v>
      </c>
      <c r="X206" s="30" t="n">
        <f aca="false">IF(AND(ISNUMBER(X139),ISNUMBER(X119)),IFERROR(X139/X119,""),"")</f>
        <v>0.220121819361349</v>
      </c>
      <c r="Y206" s="30" t="n">
        <f aca="false">IF(AND(ISNUMBER(Y139),ISNUMBER(Y119)),IFERROR(Y139/Y119,""),"")</f>
        <v>0.248089997897245</v>
      </c>
      <c r="Z206" s="30" t="n">
        <f aca="false">IF(AND(ISNUMBER(Z139),ISNUMBER(Z119)),IFERROR(Z139/Z119,""),"")</f>
        <v>0.223857101551708</v>
      </c>
      <c r="AA206" s="30" t="n">
        <f aca="false">IF(AND(ISNUMBER(AA139),ISNUMBER(AA119)),IFERROR(AA139/AA119,""),"")</f>
        <v>0.235446941888336</v>
      </c>
      <c r="AB206" s="30" t="n">
        <f aca="false">IF(AND(ISNUMBER(AB139),ISNUMBER(AB119)),IFERROR(AB139/AB119,""),"")</f>
        <v>0.229675415626332</v>
      </c>
      <c r="AC206" s="30" t="n">
        <f aca="false">IF(AND(ISNUMBER(AC139),ISNUMBER(AC119)),IFERROR(AC139/AC119,""),"")</f>
        <v>0.214992220493443</v>
      </c>
      <c r="AD206" s="30" t="n">
        <f aca="false">IF(AND(ISNUMBER(AD139),ISNUMBER(AD119)),IFERROR(AD139/AD119,""),"")</f>
        <v>0.221997849899759</v>
      </c>
      <c r="AE206" s="30" t="n">
        <f aca="false">IF(AND(ISNUMBER(AE139),ISNUMBER(AE119)),IFERROR(AE139/AE119,""),"")</f>
        <v>0.134606109324759</v>
      </c>
      <c r="AF206" s="30" t="n">
        <f aca="false">IF(AND(ISNUMBER(AF139),ISNUMBER(AF119)),IFERROR(AF139/AF119,""),"")</f>
        <v>0.269262316091659</v>
      </c>
      <c r="AG206" s="30" t="n">
        <f aca="false">IF(AND(ISNUMBER(AG139),ISNUMBER(AG119)),IFERROR(AG139/AG119,""),"")</f>
        <v>0.216827871161611</v>
      </c>
      <c r="AH206" s="30" t="n">
        <f aca="false">IF(AND(ISNUMBER(AH139),ISNUMBER(AH119)),IFERROR(AH139/AH119,""),"")</f>
        <v>0.277112700998796</v>
      </c>
      <c r="AI206" s="30" t="n">
        <f aca="false">IF(AND(ISNUMBER(AI139),ISNUMBER(AI119)),IFERROR(AI139/AI119,""),"")</f>
        <v>0.268048621205418</v>
      </c>
      <c r="AJ206" s="30" t="n">
        <f aca="false">IF(AND(ISNUMBER(AJ139),ISNUMBER(AJ119)),IFERROR(AJ139/AJ119,""),"")</f>
        <v>0.272322422623024</v>
      </c>
      <c r="AK206" s="30" t="n">
        <f aca="false">IF(AND(ISNUMBER(AK139),ISNUMBER(AK119)),IFERROR(AK139/AK119,""),"")</f>
        <v>0.299908675799087</v>
      </c>
      <c r="AL206" s="30" t="n">
        <f aca="false">IF(AND(ISNUMBER(AL139),ISNUMBER(AL119)),IFERROR(AL139/AL119,""),"")</f>
        <v>0.281540721397095</v>
      </c>
      <c r="AM206" s="30" t="n">
        <f aca="false">IF(AND(ISNUMBER(AM139),ISNUMBER(AM119)),IFERROR(AM139/AM119,""),"")</f>
        <v>0.290208584726771</v>
      </c>
      <c r="AN206" s="30" t="n">
        <f aca="false">IF(AND(ISNUMBER(AN139),ISNUMBER(AN119)),IFERROR(AN139/AN119,""),"")</f>
        <v>0.332338011346671</v>
      </c>
      <c r="AO206" s="30" t="n">
        <f aca="false">IF(AND(ISNUMBER(AO139),ISNUMBER(AO119)),IFERROR(AO139/AO119,""),"")</f>
        <v>0.309555654629217</v>
      </c>
      <c r="AP206" s="30" t="n">
        <f aca="false">IF(AND(ISNUMBER(AP139),ISNUMBER(AP119)),IFERROR(AP139/AP119,""),"")</f>
        <v>0.320920533253891</v>
      </c>
      <c r="AQ206" s="30" t="n">
        <f aca="false">IF(AND(ISNUMBER(AQ139),ISNUMBER(AQ119)),IFERROR(AQ139/AQ119,""),"")</f>
        <v>0.31569829424307</v>
      </c>
      <c r="AR206" s="30" t="n">
        <f aca="false">IF(AND(ISNUMBER(AR139),ISNUMBER(AR119)),IFERROR(AR139/AR119,""),"")</f>
        <v>0.291286198799896</v>
      </c>
      <c r="AS206" s="30" t="n">
        <f aca="false">IF(AND(ISNUMBER(AS139),ISNUMBER(AS119)),IFERROR(AS139/AS119,""),"")</f>
        <v>0.30336189848385</v>
      </c>
      <c r="AT206" s="30" t="n">
        <f aca="false">IF(AND(ISNUMBER(AT139),ISNUMBER(AT119)),IFERROR(AT139/AT119,""),"")</f>
        <v>0.279561862086134</v>
      </c>
      <c r="AU206" s="30" t="n">
        <f aca="false">IF(AND(ISNUMBER(AU139),ISNUMBER(AU119)),IFERROR(AU139/AU119,""),"")</f>
        <v>0.285893574297189</v>
      </c>
      <c r="AV206" s="30" t="n">
        <f aca="false">IF(AND(ISNUMBER(AV139),ISNUMBER(AV119)),IFERROR(AV139/AV119,""),"")</f>
        <v>0.282714660667417</v>
      </c>
      <c r="AW206" s="30" t="n">
        <f aca="false">IF(AND(ISNUMBER(AW139),ISNUMBER(AW119)),IFERROR(AW139/AW119,""),"")</f>
        <v>0.274041406345706</v>
      </c>
      <c r="AX206" s="28" t="n">
        <f aca="false">IF(AND(ISNUMBER(AX139),ISNUMBER(AX119)),IFERROR(AX139/AX119,""),"")</f>
        <v>0.288698040416958</v>
      </c>
      <c r="AY206" s="28" t="n">
        <f aca="false">IF(AND(ISNUMBER(AY139),ISNUMBER(AY119)),IFERROR(AY139/AY119,""),"")</f>
        <v>0.281405898230998</v>
      </c>
      <c r="AZ206" s="28" t="n">
        <f aca="false">IF(AND(ISNUMBER(AZ139),ISNUMBER(AZ119)),IFERROR(AZ139/AZ119,""),"")</f>
        <v>0.300234828131207</v>
      </c>
      <c r="BA206" s="28" t="n">
        <f aca="false">IF(AND(ISNUMBER(BA139),ISNUMBER(BA119)),IFERROR(BA139/BA119,""),"")</f>
        <v>0.303147341010091</v>
      </c>
      <c r="BB206" s="28" t="n">
        <f aca="false">IF(AND(ISNUMBER(BB139),ISNUMBER(BB119)),IFERROR(BB139/BB119,""),"")</f>
        <v>0.305493231381166</v>
      </c>
      <c r="BC206" s="28" t="n">
        <f aca="false">IF(AND(ISNUMBER(BC139),ISNUMBER(BC119)),IFERROR(BC139/BC119,""),"")</f>
        <v>0.306473845095979</v>
      </c>
      <c r="BD206" s="23"/>
      <c r="BF206" s="32" t="n">
        <f aca="false">IFERROR(AVERAGE(AY206,AZ206,BA206,BB206,BC206),"n/m")</f>
        <v>0.299351028769888</v>
      </c>
      <c r="BG206" s="32" t="n">
        <f aca="false">IFERROR(AVERAGE(AJ206,AM206,AP206,AS206,AV206),"n/m")</f>
        <v>0.293905619950991</v>
      </c>
      <c r="BH206" s="32" t="n">
        <f aca="false">IFERROR(AVERAGE(U206,X206,AA206,AD206,AG206,AJ206,AM206,AP206,AS206,AV206),"n/m")</f>
        <v>0.257541002968432</v>
      </c>
      <c r="BI206" s="32" t="n">
        <f aca="false">IFERROR(AVERAGE(C206,D206,E206,F206,G206,H206,I206,L206,O206,R206,U206,X206,AA206,AD206,AG206,AJ206,AM206,AP206,AS206,AV206),"n/m")</f>
        <v>0.223111314051876</v>
      </c>
    </row>
    <row r="207" customFormat="false" ht="15" hidden="false" customHeight="true" outlineLevel="0" collapsed="false">
      <c r="B207" s="26" t="s">
        <v>291</v>
      </c>
      <c r="C207" s="30"/>
      <c r="D207" s="30" t="n">
        <f aca="false">IFERROR((D124-C124)/(D119-C119),"")</f>
        <v>0.121597096188748</v>
      </c>
      <c r="E207" s="30" t="n">
        <f aca="false">IFERROR((E124-D124)/(E119-D119),"")</f>
        <v>0.248745519713262</v>
      </c>
      <c r="F207" s="30" t="n">
        <f aca="false">IFERROR((F124-E124)/(F119-E119),"")</f>
        <v>0.0915163660654634</v>
      </c>
      <c r="G207" s="30" t="n">
        <f aca="false">IFERROR((G124-F124)/(G119-F119),"")</f>
        <v>0.421993833504625</v>
      </c>
      <c r="H207" s="30" t="n">
        <f aca="false">IFERROR((H124-G124)/(H119-G119),"")</f>
        <v>0.492733878292461</v>
      </c>
      <c r="I207" s="30" t="n">
        <f aca="false">IFERROR((I124-H124)/(I119-H119),"")</f>
        <v>0.363198009021622</v>
      </c>
      <c r="J207" s="30"/>
      <c r="K207" s="30"/>
      <c r="L207" s="30" t="n">
        <f aca="false">IFERROR((L124-I124)/(L119-I119),"")</f>
        <v>0.367565570742518</v>
      </c>
      <c r="M207" s="30" t="n">
        <f aca="false">IFERROR((M124-J124)/(M119-J119),"")</f>
        <v>0.267000715819613</v>
      </c>
      <c r="N207" s="30" t="n">
        <f aca="false">IFERROR((N124-K124)/(N119-K119),"")</f>
        <v>0.195448460508702</v>
      </c>
      <c r="O207" s="30" t="n">
        <f aca="false">IFERROR((O124-L124)/(O119-L119),"")</f>
        <v>0.222924683892249</v>
      </c>
      <c r="P207" s="30" t="n">
        <f aca="false">IFERROR((P124-M124)/(P119-M119),"")</f>
        <v>0.323057324840765</v>
      </c>
      <c r="Q207" s="30" t="n">
        <f aca="false">IFERROR((Q124-N124)/(Q119-N119),"")</f>
        <v>0.347377993331311</v>
      </c>
      <c r="R207" s="30" t="n">
        <f aca="false">IFERROR((R124-O124)/(R119-O119),"")</f>
        <v>0.334163898117386</v>
      </c>
      <c r="S207" s="30" t="n">
        <f aca="false">IFERROR((S124-P124)/(S119-P119),"")</f>
        <v>0.557446808510638</v>
      </c>
      <c r="T207" s="30" t="n">
        <f aca="false">IFERROR((T124-Q124)/(T119-Q119),"")</f>
        <v>0.350590372388737</v>
      </c>
      <c r="U207" s="30" t="n">
        <f aca="false">IFERROR((U124-R124)/(U119-R119),"")</f>
        <v>0.431339977851606</v>
      </c>
      <c r="V207" s="30" t="n">
        <f aca="false">IFERROR((V124-S124)/(V119-S119),"")</f>
        <v>0.383204987165383</v>
      </c>
      <c r="W207" s="30" t="n">
        <f aca="false">IFERROR((W124-T124)/(W119-T119),"")</f>
        <v>1.628532974428</v>
      </c>
      <c r="X207" s="30" t="n">
        <f aca="false">IFERROR((X124-U124)/(X119-U119),"")</f>
        <v>0.649855907780979</v>
      </c>
      <c r="Y207" s="30" t="n">
        <f aca="false">IFERROR((Y124-V124)/(Y119-V119),"")</f>
        <v>0.379900213827513</v>
      </c>
      <c r="Z207" s="30" t="n">
        <f aca="false">IFERROR((Z124-W124)/(Z119-W119),"")</f>
        <v>0.251988430947218</v>
      </c>
      <c r="AA207" s="30" t="n">
        <f aca="false">IFERROR((AA124-X124)/(AA119-X119),"")</f>
        <v>0.295034780522909</v>
      </c>
      <c r="AB207" s="30" t="n">
        <f aca="false">IFERROR((AB124-Y124)/(AB119-Y119),"")</f>
        <v>0.369777158774373</v>
      </c>
      <c r="AC207" s="30" t="n">
        <f aca="false">IFERROR((AC124-Z124)/(AC119-Z119),"")</f>
        <v>0.276464542651591</v>
      </c>
      <c r="AD207" s="30" t="n">
        <f aca="false">IFERROR((AD124-AA124)/(AD119-AA119),"")</f>
        <v>0.320287801155565</v>
      </c>
      <c r="AE207" s="30" t="n">
        <f aca="false">IFERROR((AE124-AB124)/(AE119-AB119),"")</f>
        <v>0.76525998492841</v>
      </c>
      <c r="AF207" s="30" t="n">
        <f aca="false">IFERROR((AF124-AC124)/(AF119-AC119),"")</f>
        <v>0.833553937789544</v>
      </c>
      <c r="AG207" s="30" t="n">
        <f aca="false">IFERROR((AG124-AD124)/(AG119-AD119),"")</f>
        <v>0.72348178137652</v>
      </c>
      <c r="AH207" s="30" t="n">
        <f aca="false">IFERROR((AH124-AE124)/(AH119-AE119),"")</f>
        <v>0.679526071776086</v>
      </c>
      <c r="AI207" s="30" t="n">
        <f aca="false">IFERROR((AI124-AF124)/(AI119-AF119),"")</f>
        <v>0.428622117090479</v>
      </c>
      <c r="AJ207" s="30" t="n">
        <f aca="false">IFERROR((AJ124-AG124)/(AJ119-AG119),"")</f>
        <v>0.597701149425288</v>
      </c>
      <c r="AK207" s="30" t="n">
        <f aca="false">IFERROR((AK124-AH124)/(AK119-AH119),"")</f>
        <v>0.470360512944592</v>
      </c>
      <c r="AL207" s="30" t="n">
        <f aca="false">IFERROR((AL124-AI124)/(AL119-AI119),"")</f>
        <v>0.42228823998261</v>
      </c>
      <c r="AM207" s="30" t="n">
        <f aca="false">IFERROR((AM124-AJ124)/(AM119-AJ119),"")</f>
        <v>0.445038167938931</v>
      </c>
      <c r="AN207" s="30" t="n">
        <f aca="false">IFERROR((AN124-AK124)/(AN119-AK119),"")</f>
        <v>0.524938675388389</v>
      </c>
      <c r="AO207" s="30" t="n">
        <f aca="false">IFERROR((AO124-AL124)/(AO119-AL119),"")</f>
        <v>0.514950166112957</v>
      </c>
      <c r="AP207" s="30" t="n">
        <f aca="false">IFERROR((AP124-AM124)/(AP119-AM119),"")</f>
        <v>0.521643835616438</v>
      </c>
      <c r="AQ207" s="30" t="n">
        <f aca="false">IFERROR((AQ124-AN124)/(AQ119-AN119),"")</f>
        <v>0.250620347394541</v>
      </c>
      <c r="AR207" s="30" t="n">
        <f aca="false">IFERROR((AR124-AO124)/(AR119-AO119),"")</f>
        <v>0.316969050160085</v>
      </c>
      <c r="AS207" s="30" t="n">
        <f aca="false">IFERROR((AS124-AP124)/(AS119-AP119),"")</f>
        <v>0.286288009179575</v>
      </c>
      <c r="AT207" s="30" t="n">
        <f aca="false">IFERROR((AT124-AQ124)/(AT119-AQ119),"")</f>
        <v>0.335849056603774</v>
      </c>
      <c r="AU207" s="30" t="n">
        <f aca="false">IFERROR((AU124-AR124)/(AU119-AR119),"")</f>
        <v>0.804635761589404</v>
      </c>
      <c r="AV207" s="30" t="n">
        <f aca="false">IFERROR((AV124-AS124)/(AV119-AS119),"")</f>
        <v>0.506009615384615</v>
      </c>
      <c r="AW207" s="30" t="n">
        <f aca="false">IFERROR((AW124-AT124)/(AW119-AT119),"")</f>
        <v>0.178294573643411</v>
      </c>
      <c r="AX207" s="28" t="n">
        <f aca="false">IFERROR((AX124-AU124)/(AX119-AU119),"")</f>
        <v>0.261183303742889</v>
      </c>
      <c r="AY207" s="28" t="n">
        <f aca="false">IFERROR((AY124-AV124)/(AY119-AV119),"")</f>
        <v>0.234781056322376</v>
      </c>
      <c r="AZ207" s="28" t="n">
        <f aca="false">IFERROR((AZ124-AY124)/(AZ119-AY119),"")</f>
        <v>0.389210368768056</v>
      </c>
      <c r="BA207" s="28" t="n">
        <f aca="false">IFERROR((BA124-AZ124)/(BA119-AZ119),"")</f>
        <v>0.448065896602576</v>
      </c>
      <c r="BB207" s="28" t="n">
        <f aca="false">IFERROR((BB124-BA124)/(BB119-BA119),"")</f>
        <v>0.437834428335548</v>
      </c>
      <c r="BC207" s="28" t="n">
        <f aca="false">IFERROR((BC124-BB124)/(BC119-BB119),"")</f>
        <v>0.41</v>
      </c>
      <c r="BD207" s="23"/>
      <c r="BF207" s="7"/>
      <c r="BG207" s="7"/>
      <c r="BH207" s="7"/>
      <c r="BI207" s="7"/>
    </row>
    <row r="208" customFormat="false" ht="15" hidden="false" customHeight="true" outlineLevel="0" collapsed="false">
      <c r="B208" s="13"/>
      <c r="AX208" s="7"/>
      <c r="AY208" s="7"/>
      <c r="AZ208" s="7"/>
      <c r="BA208" s="7"/>
      <c r="BB208" s="7"/>
      <c r="BC208" s="7"/>
      <c r="BD208" s="7"/>
    </row>
    <row r="209" customFormat="false" ht="15" hidden="false" customHeight="true" outlineLevel="0" collapsed="false">
      <c r="B209" s="12" t="s">
        <v>292</v>
      </c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 t="s">
        <v>293</v>
      </c>
    </row>
    <row r="210" customFormat="false" ht="15" hidden="false" customHeight="true" outlineLevel="0" collapsed="false">
      <c r="B210" s="13" t="s">
        <v>216</v>
      </c>
      <c r="C210" s="37"/>
      <c r="D210" s="37"/>
      <c r="E210" s="37"/>
      <c r="F210" s="38" t="n">
        <v>288.8</v>
      </c>
      <c r="G210" s="38" t="n">
        <v>421.7</v>
      </c>
      <c r="H210" s="38" t="n">
        <v>594.3</v>
      </c>
      <c r="I210" s="38" t="n">
        <v>739.9</v>
      </c>
      <c r="J210" s="38" t="n">
        <v>381.7</v>
      </c>
      <c r="K210" s="37" t="n">
        <f aca="false">L210-J210</f>
        <v>408.6</v>
      </c>
      <c r="L210" s="38" t="n">
        <v>790.3</v>
      </c>
      <c r="M210" s="38" t="n">
        <v>412.5</v>
      </c>
      <c r="N210" s="37" t="n">
        <f aca="false">O210-M210</f>
        <v>446.3</v>
      </c>
      <c r="O210" s="38" t="n">
        <v>858.8</v>
      </c>
      <c r="P210" s="38" t="n">
        <v>482.5</v>
      </c>
      <c r="Q210" s="37" t="n">
        <f aca="false">R210-P210</f>
        <v>490.1</v>
      </c>
      <c r="R210" s="38" t="n">
        <v>972.6</v>
      </c>
      <c r="S210" s="38" t="n">
        <v>545.4</v>
      </c>
      <c r="T210" s="37" t="n">
        <f aca="false">U210-S210</f>
        <v>554.9</v>
      </c>
      <c r="U210" s="38" t="n">
        <v>1100.3</v>
      </c>
      <c r="V210" s="38" t="n">
        <v>605.2</v>
      </c>
      <c r="W210" s="37" t="n">
        <f aca="false">X210-V210</f>
        <v>616.3</v>
      </c>
      <c r="X210" s="38" t="n">
        <v>1221.5</v>
      </c>
      <c r="Y210" s="38" t="n">
        <v>707.8</v>
      </c>
      <c r="Z210" s="37" t="n">
        <f aca="false">AA210-Y210</f>
        <v>696.8</v>
      </c>
      <c r="AA210" s="38" t="n">
        <v>1404.6</v>
      </c>
      <c r="AB210" s="38" t="n">
        <v>754.3</v>
      </c>
      <c r="AC210" s="37" t="n">
        <f aca="false">AD210-AB210</f>
        <v>773.9</v>
      </c>
      <c r="AD210" s="38" t="n">
        <v>1528.2</v>
      </c>
      <c r="AE210" s="38" t="n">
        <v>335</v>
      </c>
      <c r="AF210" s="37" t="n">
        <f aca="false">AG210-AE210</f>
        <v>1050.4</v>
      </c>
      <c r="AG210" s="38" t="n">
        <v>1385.4</v>
      </c>
      <c r="AH210" s="38" t="n">
        <v>1173.6</v>
      </c>
      <c r="AI210" s="37" t="n">
        <f aca="false">AJ210-AH210</f>
        <v>1271.4</v>
      </c>
      <c r="AJ210" s="38" t="n">
        <v>2445</v>
      </c>
      <c r="AK210" s="38" t="n">
        <v>1641</v>
      </c>
      <c r="AL210" s="37" t="n">
        <f aca="false">AM210-AK210</f>
        <v>1726</v>
      </c>
      <c r="AM210" s="38" t="n">
        <v>3367</v>
      </c>
      <c r="AN210" s="38" t="n">
        <v>2226</v>
      </c>
      <c r="AO210" s="37" t="n">
        <f aca="false">AP210-AN210</f>
        <v>2085</v>
      </c>
      <c r="AP210" s="38" t="n">
        <v>4311</v>
      </c>
      <c r="AQ210" s="38" t="n">
        <v>2368</v>
      </c>
      <c r="AR210" s="37" t="n">
        <f aca="false">AS210-AQ210</f>
        <v>2235</v>
      </c>
      <c r="AS210" s="38" t="n">
        <v>4603</v>
      </c>
      <c r="AT210" s="38" t="n">
        <v>2246</v>
      </c>
      <c r="AU210" s="37" t="n">
        <f aca="false">AV210-AT210</f>
        <v>2278</v>
      </c>
      <c r="AV210" s="38" t="n">
        <v>4524</v>
      </c>
      <c r="AW210" s="38" t="n">
        <v>2238</v>
      </c>
      <c r="AX210" s="39" t="n">
        <f aca="false">AY210-AW210</f>
        <v>2379.023758217</v>
      </c>
      <c r="AY210" s="39" t="n">
        <f aca="false">AY139</f>
        <v>4617.023758217</v>
      </c>
      <c r="AZ210" s="39" t="n">
        <f aca="false">AZ139</f>
        <v>5292.04007963685</v>
      </c>
      <c r="BA210" s="39" t="n">
        <f aca="false">BA139</f>
        <v>5743.47116612742</v>
      </c>
      <c r="BB210" s="39" t="n">
        <f aca="false">BB139</f>
        <v>6203.79857393346</v>
      </c>
      <c r="BC210" s="39" t="n">
        <f aca="false">BC139</f>
        <v>6643.36711749831</v>
      </c>
      <c r="BD210" s="23"/>
      <c r="BF210" s="7"/>
      <c r="BG210" s="7"/>
      <c r="BH210" s="7"/>
      <c r="BI210" s="7"/>
    </row>
    <row r="211" customFormat="false" ht="15" hidden="false" customHeight="true" outlineLevel="0" collapsed="false">
      <c r="B211" s="13" t="s">
        <v>294</v>
      </c>
      <c r="C211" s="37"/>
      <c r="D211" s="37"/>
      <c r="E211" s="37"/>
      <c r="F211" s="38" t="n">
        <v>84.5</v>
      </c>
      <c r="G211" s="38" t="n">
        <v>100.9</v>
      </c>
      <c r="H211" s="38" t="n">
        <v>113.2</v>
      </c>
      <c r="I211" s="38" t="n">
        <v>120.1</v>
      </c>
      <c r="J211" s="38" t="n">
        <v>63.4</v>
      </c>
      <c r="K211" s="37" t="n">
        <f aca="false">L211-J211</f>
        <v>75.1</v>
      </c>
      <c r="L211" s="38" t="n">
        <v>138.5</v>
      </c>
      <c r="M211" s="38" t="n">
        <v>71.9</v>
      </c>
      <c r="N211" s="37" t="n">
        <f aca="false">O211-M211</f>
        <v>96.7</v>
      </c>
      <c r="O211" s="38" t="n">
        <v>168.6</v>
      </c>
      <c r="P211" s="38" t="n">
        <v>86.7</v>
      </c>
      <c r="Q211" s="37" t="n">
        <f aca="false">R211-P211</f>
        <v>119.8</v>
      </c>
      <c r="R211" s="38" t="n">
        <v>206.5</v>
      </c>
      <c r="S211" s="38" t="n">
        <v>107.1</v>
      </c>
      <c r="T211" s="37" t="n">
        <f aca="false">U211-S211</f>
        <v>125</v>
      </c>
      <c r="U211" s="38" t="n">
        <v>232.1</v>
      </c>
      <c r="V211" s="38" t="n">
        <v>117</v>
      </c>
      <c r="W211" s="37" t="n">
        <f aca="false">X211-V211</f>
        <v>126</v>
      </c>
      <c r="X211" s="38" t="n">
        <v>243</v>
      </c>
      <c r="Y211" s="38" t="n">
        <v>139.3</v>
      </c>
      <c r="Z211" s="37" t="n">
        <f aca="false">AA211-Y211</f>
        <v>120.7</v>
      </c>
      <c r="AA211" s="38" t="n">
        <v>260</v>
      </c>
      <c r="AB211" s="38" t="n">
        <v>238.8</v>
      </c>
      <c r="AC211" s="37" t="n">
        <f aca="false">AD211-AB211</f>
        <v>237.4</v>
      </c>
      <c r="AD211" s="38" t="n">
        <v>476.2</v>
      </c>
      <c r="AE211" s="38" t="n">
        <v>259.2</v>
      </c>
      <c r="AF211" s="37" t="n">
        <f aca="false">AG211-AE211</f>
        <v>309.3</v>
      </c>
      <c r="AG211" s="38" t="n">
        <v>568.5</v>
      </c>
      <c r="AH211" s="38" t="n">
        <v>309.6</v>
      </c>
      <c r="AI211" s="37" t="n">
        <f aca="false">AJ211-AH211</f>
        <v>318.4</v>
      </c>
      <c r="AJ211" s="38" t="n">
        <v>628</v>
      </c>
      <c r="AK211" s="38" t="n">
        <v>358</v>
      </c>
      <c r="AL211" s="37" t="n">
        <f aca="false">AM211-AK211</f>
        <v>372</v>
      </c>
      <c r="AM211" s="38" t="n">
        <v>730</v>
      </c>
      <c r="AN211" s="38" t="n">
        <v>344</v>
      </c>
      <c r="AO211" s="37" t="n">
        <f aca="false">AP211-AN211</f>
        <v>428</v>
      </c>
      <c r="AP211" s="38" t="n">
        <v>772</v>
      </c>
      <c r="AQ211" s="38" t="n">
        <v>383</v>
      </c>
      <c r="AR211" s="37" t="n">
        <f aca="false">AS211-AQ211</f>
        <v>461</v>
      </c>
      <c r="AS211" s="38" t="n">
        <v>844</v>
      </c>
      <c r="AT211" s="38" t="n">
        <v>463</v>
      </c>
      <c r="AU211" s="37" t="n">
        <f aca="false">AV211-AT211</f>
        <v>463</v>
      </c>
      <c r="AV211" s="38" t="n">
        <v>926</v>
      </c>
      <c r="AW211" s="38" t="n">
        <v>521</v>
      </c>
      <c r="AX211" s="39" t="n">
        <f aca="false">AY211-AW211</f>
        <v>476.44863</v>
      </c>
      <c r="AY211" s="39" t="n">
        <f aca="false">AY142</f>
        <v>997.44863</v>
      </c>
      <c r="AZ211" s="39" t="n">
        <f aca="false">AZ142</f>
        <v>1078.41610355</v>
      </c>
      <c r="BA211" s="39" t="n">
        <f aca="false">BA142</f>
        <v>1164.43136230375</v>
      </c>
      <c r="BB211" s="39" t="n">
        <f aca="false">BB142</f>
        <v>1253.74080013246</v>
      </c>
      <c r="BC211" s="39" t="n">
        <f aca="false">BC142</f>
        <v>1345.04251752387</v>
      </c>
      <c r="BD211" s="23"/>
      <c r="BF211" s="7"/>
      <c r="BG211" s="7"/>
      <c r="BH211" s="7"/>
      <c r="BI211" s="7"/>
    </row>
    <row r="212" customFormat="false" ht="15" hidden="false" customHeight="true" outlineLevel="0" collapsed="false">
      <c r="B212" s="13" t="s">
        <v>295</v>
      </c>
      <c r="C212" s="37"/>
      <c r="D212" s="37"/>
      <c r="E212" s="37"/>
      <c r="F212" s="38" t="n">
        <v>4.9</v>
      </c>
      <c r="G212" s="38" t="n">
        <v>9.1</v>
      </c>
      <c r="H212" s="38" t="n">
        <v>11.7</v>
      </c>
      <c r="I212" s="38" t="n">
        <v>28.4</v>
      </c>
      <c r="J212" s="38" t="n">
        <v>20.2</v>
      </c>
      <c r="K212" s="37" t="n">
        <f aca="false">L212-J212</f>
        <v>22.3</v>
      </c>
      <c r="L212" s="38" t="n">
        <v>42.5</v>
      </c>
      <c r="M212" s="38" t="n">
        <v>20.9</v>
      </c>
      <c r="N212" s="37" t="n">
        <f aca="false">O212-M212</f>
        <v>17.6</v>
      </c>
      <c r="O212" s="38" t="n">
        <v>38.5</v>
      </c>
      <c r="P212" s="38" t="n">
        <v>17.7</v>
      </c>
      <c r="Q212" s="37" t="n">
        <f aca="false">R212-P212</f>
        <v>18.7</v>
      </c>
      <c r="R212" s="38" t="n">
        <v>36.4</v>
      </c>
      <c r="S212" s="38" t="n">
        <v>20.5</v>
      </c>
      <c r="T212" s="37" t="n">
        <f aca="false">U212-S212</f>
        <v>33.3</v>
      </c>
      <c r="U212" s="38" t="n">
        <v>53.8</v>
      </c>
      <c r="V212" s="38" t="n">
        <v>32.3</v>
      </c>
      <c r="W212" s="37" t="n">
        <f aca="false">X212-V212</f>
        <v>29.7</v>
      </c>
      <c r="X212" s="38" t="n">
        <v>62</v>
      </c>
      <c r="Y212" s="38" t="n">
        <v>28.6</v>
      </c>
      <c r="Z212" s="37" t="n">
        <f aca="false">AA212-Y212</f>
        <v>22.8</v>
      </c>
      <c r="AA212" s="38" t="n">
        <v>51.4</v>
      </c>
      <c r="AB212" s="38" t="n">
        <v>26.4</v>
      </c>
      <c r="AC212" s="37" t="n">
        <f aca="false">AD212-AB212</f>
        <v>61.3</v>
      </c>
      <c r="AD212" s="38" t="n">
        <v>87.7</v>
      </c>
      <c r="AE212" s="38" t="n">
        <v>46.8</v>
      </c>
      <c r="AF212" s="37" t="n">
        <f aca="false">AG212-AE212</f>
        <v>32.2</v>
      </c>
      <c r="AG212" s="38" t="n">
        <v>79</v>
      </c>
      <c r="AH212" s="38" t="n">
        <v>31.9</v>
      </c>
      <c r="AI212" s="37" t="n">
        <f aca="false">AJ212-AH212</f>
        <v>27.1</v>
      </c>
      <c r="AJ212" s="38" t="n">
        <v>59</v>
      </c>
      <c r="AK212" s="38" t="n">
        <v>27</v>
      </c>
      <c r="AL212" s="37" t="n">
        <f aca="false">AM212-AK212</f>
        <v>28</v>
      </c>
      <c r="AM212" s="38" t="n">
        <v>55</v>
      </c>
      <c r="AN212" s="38" t="n">
        <v>30</v>
      </c>
      <c r="AO212" s="37" t="n">
        <f aca="false">AP212-AN212</f>
        <v>74</v>
      </c>
      <c r="AP212" s="38" t="n">
        <v>104</v>
      </c>
      <c r="AQ212" s="38" t="n">
        <v>69</v>
      </c>
      <c r="AR212" s="37" t="n">
        <f aca="false">AS212-AQ212</f>
        <v>73</v>
      </c>
      <c r="AS212" s="38" t="n">
        <v>142</v>
      </c>
      <c r="AT212" s="38" t="n">
        <v>66</v>
      </c>
      <c r="AU212" s="37" t="n">
        <f aca="false">AV212-AT212</f>
        <v>66</v>
      </c>
      <c r="AV212" s="38" t="n">
        <v>132</v>
      </c>
      <c r="AW212" s="38" t="n">
        <v>66</v>
      </c>
      <c r="AX212" s="39" t="n">
        <f aca="false">AY212-AW212</f>
        <v>68.537318</v>
      </c>
      <c r="AY212" s="39" t="n">
        <f aca="false">AY145</f>
        <v>134.537318</v>
      </c>
      <c r="AZ212" s="39" t="n">
        <f aca="false">AZ145</f>
        <v>144.53595848</v>
      </c>
      <c r="BA212" s="39" t="n">
        <f aca="false">BA145</f>
        <v>155.358326434</v>
      </c>
      <c r="BB212" s="39" t="n">
        <f aca="false">BB145</f>
        <v>166.521359822804</v>
      </c>
      <c r="BC212" s="39" t="n">
        <f aca="false">BC145</f>
        <v>177.749622798728</v>
      </c>
      <c r="BD212" s="23"/>
      <c r="BF212" s="7"/>
      <c r="BG212" s="7"/>
      <c r="BH212" s="7"/>
      <c r="BI212" s="7"/>
    </row>
    <row r="213" customFormat="false" ht="15" hidden="false" customHeight="true" outlineLevel="0" collapsed="false">
      <c r="B213" s="13" t="s">
        <v>296</v>
      </c>
      <c r="C213" s="37" t="n">
        <f aca="false">IF(ISNUMBER(C214),C214-C210-N(C211)-N(C212),"")</f>
        <v>321.7</v>
      </c>
      <c r="D213" s="37" t="n">
        <f aca="false">IF(ISNUMBER(D214),D214-D210-N(D211)-N(D212),"")</f>
        <v>356.6</v>
      </c>
      <c r="E213" s="37" t="n">
        <f aca="false">IF(ISNUMBER(E214),E214-E210-N(E211)-N(E212),"")</f>
        <v>378.9</v>
      </c>
      <c r="F213" s="37" t="n">
        <f aca="false">IF(ISNUMBER(F214),F214-F210-N(F211)-N(F212),"")</f>
        <v>22.9</v>
      </c>
      <c r="G213" s="37" t="n">
        <f aca="false">IF(ISNUMBER(G214),G214-G210-N(G211)-N(G212),"")</f>
        <v>39.8</v>
      </c>
      <c r="H213" s="37" t="n">
        <f aca="false">IF(ISNUMBER(H214),H214-H210-N(H211)-N(H212),"")</f>
        <v>3.6</v>
      </c>
      <c r="I213" s="37" t="n">
        <f aca="false">IF(ISNUMBER(I214),I214-I210-N(I211)-N(I212),"")</f>
        <v>-3.60000000000002</v>
      </c>
      <c r="J213" s="37" t="n">
        <f aca="false">IF(ISNUMBER(J214),J214-J210-N(J211)-N(J212),"")</f>
        <v>10.9</v>
      </c>
      <c r="K213" s="37" t="n">
        <f aca="false">IF(ISNUMBER(K214),K214-K210-N(K211)-N(K212),"")</f>
        <v>33.7000000000001</v>
      </c>
      <c r="L213" s="37" t="n">
        <f aca="false">IF(ISNUMBER(L214),L214-L210-N(L211)-N(L212),"")</f>
        <v>44.6</v>
      </c>
      <c r="M213" s="37" t="n">
        <f aca="false">IF(ISNUMBER(M214),M214-M210-N(M211)-N(M212),"")</f>
        <v>-6.19999999999998</v>
      </c>
      <c r="N213" s="37" t="n">
        <f aca="false">IF(ISNUMBER(N214),N214-N210-N(N211)-N(N212),"")</f>
        <v>-10.9999999999999</v>
      </c>
      <c r="O213" s="37" t="n">
        <f aca="false">IF(ISNUMBER(O214),O214-O210-N(O211)-N(O212),"")</f>
        <v>-17.1999999999999</v>
      </c>
      <c r="P213" s="37" t="n">
        <f aca="false">IF(ISNUMBER(P214),P214-P210-N(P211)-N(P212),"")</f>
        <v>-13</v>
      </c>
      <c r="Q213" s="37" t="n">
        <f aca="false">IF(ISNUMBER(Q214),Q214-Q210-N(Q211)-N(Q212),"")</f>
        <v>15.7</v>
      </c>
      <c r="R213" s="37" t="n">
        <f aca="false">IF(ISNUMBER(R214),R214-R210-N(R211)-N(R212),"")</f>
        <v>2.70000000000002</v>
      </c>
      <c r="S213" s="37" t="n">
        <f aca="false">IF(ISNUMBER(S214),S214-S210-N(S211)-N(S212),"")</f>
        <v>26.4</v>
      </c>
      <c r="T213" s="37" t="n">
        <f aca="false">IF(ISNUMBER(T214),T214-T210-N(T211)-N(T212),"")</f>
        <v>26.1000000000001</v>
      </c>
      <c r="U213" s="37" t="n">
        <f aca="false">IF(ISNUMBER(U214),U214-U210-N(U211)-N(U212),"")</f>
        <v>52.5000000000001</v>
      </c>
      <c r="V213" s="37" t="n">
        <f aca="false">IF(ISNUMBER(V214),V214-V210-N(V211)-N(V212),"")</f>
        <v>39.7</v>
      </c>
      <c r="W213" s="37" t="n">
        <f aca="false">IF(ISNUMBER(W214),W214-W210-N(W211)-N(W212),"")</f>
        <v>31.8999999999999</v>
      </c>
      <c r="X213" s="37" t="n">
        <f aca="false">IF(ISNUMBER(X214),X214-X210-N(X211)-N(X212),"")</f>
        <v>71.5999999999999</v>
      </c>
      <c r="Y213" s="37" t="n">
        <f aca="false">IF(ISNUMBER(Y214),Y214-Y210-N(Y211)-N(Y212),"")</f>
        <v>-26.7</v>
      </c>
      <c r="Z213" s="37" t="n">
        <f aca="false">IF(ISNUMBER(Z214),Z214-Z210-N(Z211)-N(Z212),"")</f>
        <v>-6.5999999999999</v>
      </c>
      <c r="AA213" s="37" t="n">
        <f aca="false">IF(ISNUMBER(AA214),AA214-AA210-N(AA211)-N(AA212),"")</f>
        <v>-33.2999999999999</v>
      </c>
      <c r="AB213" s="37" t="n">
        <f aca="false">IF(ISNUMBER(AB214),AB214-AB210-N(AB211)-N(AB212),"")</f>
        <v>-48.7</v>
      </c>
      <c r="AC213" s="37" t="n">
        <f aca="false">IF(ISNUMBER(AC214),AC214-AC210-N(AC211)-N(AC212),"")</f>
        <v>19.9000000000002</v>
      </c>
      <c r="AD213" s="37" t="n">
        <f aca="false">IF(ISNUMBER(AD214),AD214-AD210-N(AD211)-N(AD212),"")</f>
        <v>-28.7999999999999</v>
      </c>
      <c r="AE213" s="37" t="n">
        <f aca="false">IF(ISNUMBER(AE214),AE214-AE210-N(AE211)-N(AE212),"")</f>
        <v>-6.70000000000003</v>
      </c>
      <c r="AF213" s="37" t="n">
        <f aca="false">IF(ISNUMBER(AF214),AF214-AF210-N(AF211)-N(AF212),"")</f>
        <v>-33.5</v>
      </c>
      <c r="AG213" s="37" t="n">
        <f aca="false">IF(ISNUMBER(AG214),AG214-AG210-N(AG211)-N(AG212),"")</f>
        <v>-40.2</v>
      </c>
      <c r="AH213" s="37" t="n">
        <f aca="false">IF(ISNUMBER(AH214),AH214-AH210-N(AH211)-N(AH212),"")</f>
        <v>-28.3999999999999</v>
      </c>
      <c r="AI213" s="37" t="n">
        <f aca="false">IF(ISNUMBER(AI214),AI214-AI210-N(AI211)-N(AI212),"")</f>
        <v>-43.6000000000001</v>
      </c>
      <c r="AJ213" s="37" t="n">
        <f aca="false">IF(ISNUMBER(AJ214),AJ214-AJ210-N(AJ211)-N(AJ212),"")</f>
        <v>-72</v>
      </c>
      <c r="AK213" s="37" t="n">
        <f aca="false">IF(ISNUMBER(AK214),AK214-AK210-N(AK211)-N(AK212),"")</f>
        <v>-25</v>
      </c>
      <c r="AL213" s="37" t="n">
        <f aca="false">IF(ISNUMBER(AL214),AL214-AL210-N(AL211)-N(AL212),"")</f>
        <v>-16</v>
      </c>
      <c r="AM213" s="37" t="n">
        <f aca="false">IF(ISNUMBER(AM214),AM214-AM210-N(AM211)-N(AM212),"")</f>
        <v>-41</v>
      </c>
      <c r="AN213" s="37" t="n">
        <f aca="false">IF(ISNUMBER(AN214),AN214-AN210-N(AN211)-N(AN212),"")</f>
        <v>15</v>
      </c>
      <c r="AO213" s="37" t="n">
        <f aca="false">IF(ISNUMBER(AO214),AO214-AO210-N(AO211)-N(AO212),"")</f>
        <v>-79</v>
      </c>
      <c r="AP213" s="37" t="n">
        <f aca="false">IF(ISNUMBER(AP214),AP214-AP210-N(AP211)-N(AP212),"")</f>
        <v>-64</v>
      </c>
      <c r="AQ213" s="37" t="n">
        <f aca="false">IF(ISNUMBER(AQ214),AQ214-AQ210-N(AQ211)-N(AQ212),"")</f>
        <v>9</v>
      </c>
      <c r="AR213" s="37" t="n">
        <f aca="false">IF(ISNUMBER(AR214),AR214-AR210-N(AR211)-N(AR212),"")</f>
        <v>-220</v>
      </c>
      <c r="AS213" s="37" t="n">
        <f aca="false">IF(ISNUMBER(AS214),AS214-AS210-N(AS211)-N(AS212),"")</f>
        <v>-211</v>
      </c>
      <c r="AT213" s="37" t="n">
        <f aca="false">IF(ISNUMBER(AT214),AT214-AT210-N(AT211)-N(AT212),"")</f>
        <v>-42</v>
      </c>
      <c r="AU213" s="37" t="n">
        <f aca="false">IF(ISNUMBER(AU214),AU214-AU210-N(AU211)-N(AU212),"")</f>
        <v>67</v>
      </c>
      <c r="AV213" s="37" t="n">
        <f aca="false">IF(ISNUMBER(AV214),AV214-AV210-N(AV211)-N(AV212),"")</f>
        <v>25</v>
      </c>
      <c r="AW213" s="37" t="n">
        <f aca="false">IF(ISNUMBER(AW214),AW214-AW210-N(AW211)-N(AW212),"")</f>
        <v>-131</v>
      </c>
      <c r="AX213" s="39" t="n">
        <f aca="false">AY213-AW213</f>
        <v>105.959918383</v>
      </c>
      <c r="AY213" s="39" t="n">
        <f aca="false">-AY136-AY138</f>
        <v>-25.040081617</v>
      </c>
      <c r="AZ213" s="39" t="n">
        <f aca="false">-AZ136-AZ138</f>
        <v>-23.4068337706691</v>
      </c>
      <c r="BA213" s="39" t="n">
        <f aca="false">-BA136-BA138</f>
        <v>-23.138335848606</v>
      </c>
      <c r="BB213" s="39" t="n">
        <f aca="false">-BB136-BB138</f>
        <v>-22.8251327943042</v>
      </c>
      <c r="BC213" s="39" t="n">
        <f aca="false">-BC136-BC138</f>
        <v>-22.616245640712</v>
      </c>
      <c r="BD213" s="23" t="s">
        <v>297</v>
      </c>
      <c r="BF213" s="7"/>
      <c r="BG213" s="7"/>
      <c r="BH213" s="7"/>
      <c r="BI213" s="7"/>
    </row>
    <row r="214" customFormat="false" ht="15" hidden="false" customHeight="true" outlineLevel="0" collapsed="false">
      <c r="B214" s="19" t="s">
        <v>298</v>
      </c>
      <c r="C214" s="21" t="n">
        <v>321.7</v>
      </c>
      <c r="D214" s="21" t="n">
        <v>356.6</v>
      </c>
      <c r="E214" s="21" t="n">
        <v>378.9</v>
      </c>
      <c r="F214" s="21" t="n">
        <v>401.1</v>
      </c>
      <c r="G214" s="21" t="n">
        <v>571.5</v>
      </c>
      <c r="H214" s="21" t="n">
        <v>722.8</v>
      </c>
      <c r="I214" s="21" t="n">
        <v>884.8</v>
      </c>
      <c r="J214" s="21" t="n">
        <v>476.2</v>
      </c>
      <c r="K214" s="20" t="n">
        <f aca="false">L214-J214</f>
        <v>539.7</v>
      </c>
      <c r="L214" s="21" t="n">
        <v>1015.9</v>
      </c>
      <c r="M214" s="21" t="n">
        <v>499.1</v>
      </c>
      <c r="N214" s="20" t="n">
        <f aca="false">O214-M214</f>
        <v>549.6</v>
      </c>
      <c r="O214" s="21" t="n">
        <v>1048.7</v>
      </c>
      <c r="P214" s="21" t="n">
        <v>573.9</v>
      </c>
      <c r="Q214" s="20" t="n">
        <f aca="false">R214-P214</f>
        <v>644.3</v>
      </c>
      <c r="R214" s="21" t="n">
        <v>1218.2</v>
      </c>
      <c r="S214" s="21" t="n">
        <v>699.4</v>
      </c>
      <c r="T214" s="20" t="n">
        <f aca="false">U214-S214</f>
        <v>739.3</v>
      </c>
      <c r="U214" s="21" t="n">
        <v>1438.7</v>
      </c>
      <c r="V214" s="21" t="n">
        <v>794.2</v>
      </c>
      <c r="W214" s="20" t="n">
        <f aca="false">X214-V214</f>
        <v>803.9</v>
      </c>
      <c r="X214" s="21" t="n">
        <v>1598.1</v>
      </c>
      <c r="Y214" s="21" t="n">
        <v>849</v>
      </c>
      <c r="Z214" s="20" t="n">
        <f aca="false">AA214-Y214</f>
        <v>833.7</v>
      </c>
      <c r="AA214" s="21" t="n">
        <v>1682.7</v>
      </c>
      <c r="AB214" s="21" t="n">
        <v>970.8</v>
      </c>
      <c r="AC214" s="20" t="n">
        <f aca="false">AD214-AB214</f>
        <v>1092.5</v>
      </c>
      <c r="AD214" s="21" t="n">
        <v>2063.3</v>
      </c>
      <c r="AE214" s="21" t="n">
        <v>634.3</v>
      </c>
      <c r="AF214" s="20" t="n">
        <f aca="false">AG214-AE214</f>
        <v>1358.4</v>
      </c>
      <c r="AG214" s="21" t="n">
        <v>1992.7</v>
      </c>
      <c r="AH214" s="21" t="n">
        <v>1486.7</v>
      </c>
      <c r="AI214" s="20" t="n">
        <f aca="false">AJ214-AH214</f>
        <v>1573.3</v>
      </c>
      <c r="AJ214" s="21" t="n">
        <v>3060</v>
      </c>
      <c r="AK214" s="21" t="n">
        <v>2001</v>
      </c>
      <c r="AL214" s="20" t="n">
        <f aca="false">AM214-AK214</f>
        <v>2110</v>
      </c>
      <c r="AM214" s="21" t="n">
        <v>4111</v>
      </c>
      <c r="AN214" s="21" t="n">
        <v>2615</v>
      </c>
      <c r="AO214" s="20" t="n">
        <f aca="false">AP214-AN214</f>
        <v>2508</v>
      </c>
      <c r="AP214" s="21" t="n">
        <v>5123</v>
      </c>
      <c r="AQ214" s="21" t="n">
        <v>2829</v>
      </c>
      <c r="AR214" s="20" t="n">
        <f aca="false">AS214-AQ214</f>
        <v>2549</v>
      </c>
      <c r="AS214" s="21" t="n">
        <v>5378</v>
      </c>
      <c r="AT214" s="21" t="n">
        <v>2733</v>
      </c>
      <c r="AU214" s="20" t="n">
        <f aca="false">AV214-AT214</f>
        <v>2874</v>
      </c>
      <c r="AV214" s="21" t="n">
        <v>5607</v>
      </c>
      <c r="AW214" s="21" t="n">
        <v>2694</v>
      </c>
      <c r="AX214" s="22" t="n">
        <f aca="false">AY214-AW214</f>
        <v>3029.9696246</v>
      </c>
      <c r="AY214" s="22" t="n">
        <f aca="false">SUM(AY210:AY213)</f>
        <v>5723.9696246</v>
      </c>
      <c r="AZ214" s="22" t="n">
        <f aca="false">SUM(AZ210:AZ213)</f>
        <v>6491.58530789618</v>
      </c>
      <c r="BA214" s="22" t="n">
        <f aca="false">SUM(BA210:BA213)</f>
        <v>7040.12251901656</v>
      </c>
      <c r="BB214" s="22" t="n">
        <f aca="false">SUM(BB210:BB213)</f>
        <v>7601.23560109442</v>
      </c>
      <c r="BC214" s="22" t="n">
        <f aca="false">SUM(BC210:BC213)</f>
        <v>8143.5430121802</v>
      </c>
      <c r="BD214" s="23"/>
      <c r="BF214" s="7"/>
      <c r="BG214" s="7"/>
      <c r="BH214" s="7"/>
      <c r="BI214" s="7"/>
    </row>
    <row r="215" customFormat="false" ht="15" hidden="false" customHeight="true" outlineLevel="0" collapsed="false">
      <c r="B215" s="13" t="s">
        <v>299</v>
      </c>
      <c r="C215" s="37"/>
      <c r="D215" s="37"/>
      <c r="E215" s="37"/>
      <c r="F215" s="38" t="n">
        <v>59.2</v>
      </c>
      <c r="G215" s="38" t="n">
        <v>59.5</v>
      </c>
      <c r="H215" s="38" t="n">
        <v>2.7</v>
      </c>
      <c r="I215" s="38" t="n">
        <v>-152.3</v>
      </c>
      <c r="J215" s="38" t="n">
        <v>-155</v>
      </c>
      <c r="K215" s="37" t="n">
        <f aca="false">L215-J215</f>
        <v>81.2</v>
      </c>
      <c r="L215" s="38" t="n">
        <v>-73.8</v>
      </c>
      <c r="M215" s="38" t="n">
        <v>-156.9</v>
      </c>
      <c r="N215" s="37" t="n">
        <f aca="false">O215-M215</f>
        <v>51.8</v>
      </c>
      <c r="O215" s="38" t="n">
        <v>-105.1</v>
      </c>
      <c r="P215" s="38" t="n">
        <v>-108</v>
      </c>
      <c r="Q215" s="37" t="n">
        <f aca="false">R215-P215</f>
        <v>110</v>
      </c>
      <c r="R215" s="38" t="n">
        <v>2</v>
      </c>
      <c r="S215" s="38" t="n">
        <v>-142.7</v>
      </c>
      <c r="T215" s="37" t="n">
        <f aca="false">U215-S215</f>
        <v>165.2</v>
      </c>
      <c r="U215" s="38" t="n">
        <v>22.5</v>
      </c>
      <c r="V215" s="38" t="n">
        <v>-27.1</v>
      </c>
      <c r="W215" s="37" t="n">
        <f aca="false">X215-V215</f>
        <v>61.8</v>
      </c>
      <c r="X215" s="38" t="n">
        <v>34.7</v>
      </c>
      <c r="Y215" s="38" t="n">
        <v>-73.8</v>
      </c>
      <c r="Z215" s="37" t="n">
        <f aca="false">AA215-Y215</f>
        <v>150.5</v>
      </c>
      <c r="AA215" s="38" t="n">
        <v>76.7</v>
      </c>
      <c r="AB215" s="38" t="n">
        <v>-88.4</v>
      </c>
      <c r="AC215" s="37" t="n">
        <f aca="false">AD215-AB215</f>
        <v>112.3</v>
      </c>
      <c r="AD215" s="38" t="n">
        <v>23.9</v>
      </c>
      <c r="AE215" s="38" t="n">
        <v>-324.8</v>
      </c>
      <c r="AF215" s="37" t="n">
        <f aca="false">AG215-AE215</f>
        <v>-25.5</v>
      </c>
      <c r="AG215" s="38" t="n">
        <v>-350.3</v>
      </c>
      <c r="AH215" s="38" t="n">
        <v>65</v>
      </c>
      <c r="AI215" s="37" t="n">
        <f aca="false">AJ215-AH215</f>
        <v>281</v>
      </c>
      <c r="AJ215" s="38" t="n">
        <v>346</v>
      </c>
      <c r="AK215" s="38" t="n">
        <v>-261</v>
      </c>
      <c r="AL215" s="37" t="n">
        <f aca="false">AM215-AK215</f>
        <v>334</v>
      </c>
      <c r="AM215" s="38" t="n">
        <v>73</v>
      </c>
      <c r="AN215" s="38" t="n">
        <v>-509</v>
      </c>
      <c r="AO215" s="37" t="n">
        <f aca="false">AP215-AN215</f>
        <v>-285</v>
      </c>
      <c r="AP215" s="38" t="n">
        <v>-794</v>
      </c>
      <c r="AQ215" s="38" t="n">
        <v>-584</v>
      </c>
      <c r="AR215" s="37" t="n">
        <f aca="false">AS215-AQ215</f>
        <v>345</v>
      </c>
      <c r="AS215" s="38" t="n">
        <v>-239</v>
      </c>
      <c r="AT215" s="38" t="n">
        <v>-403</v>
      </c>
      <c r="AU215" s="37" t="n">
        <f aca="false">AV215-AT215</f>
        <v>170</v>
      </c>
      <c r="AV215" s="38" t="n">
        <v>-233</v>
      </c>
      <c r="AW215" s="38" t="n">
        <v>6</v>
      </c>
      <c r="AX215" s="39" t="n">
        <f aca="false">AY215-AW215</f>
        <v>73.6106397130139</v>
      </c>
      <c r="AY215" s="39" t="n">
        <f aca="false">-(AY271-AV271)-(AY272-AV272)+(AY289-AV289)+(AY290-AV290)</f>
        <v>79.6106397130139</v>
      </c>
      <c r="AZ215" s="39" t="n">
        <f aca="false">-(AZ271-AY271)-(AZ272-AY272)+(AZ289-AY289)+(AZ290-AY290)</f>
        <v>-207.793543573678</v>
      </c>
      <c r="BA215" s="39" t="n">
        <f aca="false">-(BA271-AZ271)-(BA272-AZ272)+(BA289-AZ289)+(BA290-AZ290)</f>
        <v>-127.693766132858</v>
      </c>
      <c r="BB215" s="39" t="n">
        <f aca="false">-(BB271-BA271)-(BB272-BA272)+(BB289-BA289)+(BB290-BA290)</f>
        <v>-131.435286939145</v>
      </c>
      <c r="BC215" s="39" t="n">
        <f aca="false">-(BC271-BB271)-(BC272-BB272)+(BC289-BB289)+(BC290-BB290)</f>
        <v>-141.755615268267</v>
      </c>
      <c r="BD215" s="23" t="s">
        <v>300</v>
      </c>
      <c r="BF215" s="7"/>
      <c r="BG215" s="7"/>
      <c r="BH215" s="7"/>
      <c r="BI215" s="7"/>
    </row>
    <row r="216" customFormat="false" ht="15" hidden="false" customHeight="true" outlineLevel="0" collapsed="false">
      <c r="B216" s="13" t="s">
        <v>301</v>
      </c>
      <c r="C216" s="37" t="str">
        <f aca="false">IF(AND(ISNUMBER(C217),ISNUMBER(C214)),C217-C214-N(C215),"")</f>
        <v/>
      </c>
      <c r="D216" s="37" t="str">
        <f aca="false">IF(AND(ISNUMBER(D217),ISNUMBER(D214)),D217-D214-N(D215),"")</f>
        <v/>
      </c>
      <c r="E216" s="37" t="str">
        <f aca="false">IF(AND(ISNUMBER(E217),ISNUMBER(E214)),E217-E214-N(E215),"")</f>
        <v/>
      </c>
      <c r="F216" s="37" t="n">
        <f aca="false">IF(AND(ISNUMBER(F217),ISNUMBER(F214)),F217-F214-N(F215),"")</f>
        <v>-2.80000000000003</v>
      </c>
      <c r="G216" s="37" t="n">
        <f aca="false">IF(AND(ISNUMBER(G217),ISNUMBER(G214)),G217-G214-N(G215),"")</f>
        <v>32.8</v>
      </c>
      <c r="H216" s="37" t="n">
        <f aca="false">IF(AND(ISNUMBER(H217),ISNUMBER(H214)),H217-H214-N(H215),"")</f>
        <v>10.4</v>
      </c>
      <c r="I216" s="37" t="n">
        <f aca="false">IF(AND(ISNUMBER(I217),ISNUMBER(I214)),I217-I214-N(I215),"")</f>
        <v>38.7000000000001</v>
      </c>
      <c r="J216" s="37" t="n">
        <f aca="false">IF(AND(ISNUMBER(J217),ISNUMBER(J214)),J217-J214-N(J215),"")</f>
        <v>-20.5</v>
      </c>
      <c r="K216" s="37" t="n">
        <f aca="false">IF(AND(ISNUMBER(K217),ISNUMBER(K214)),K217-K214-N(K215),"")</f>
        <v>-24.7</v>
      </c>
      <c r="L216" s="37" t="n">
        <f aca="false">IF(AND(ISNUMBER(L217),ISNUMBER(L214)),L217-L214-N(L215),"")</f>
        <v>-45.2</v>
      </c>
      <c r="M216" s="37" t="n">
        <f aca="false">IF(AND(ISNUMBER(M217),ISNUMBER(M214)),M217-M214-N(M215),"")</f>
        <v>13.6</v>
      </c>
      <c r="N216" s="37" t="n">
        <f aca="false">IF(AND(ISNUMBER(N217),ISNUMBER(N214)),N217-N214-N(N215),"")</f>
        <v>9.59999999999997</v>
      </c>
      <c r="O216" s="37" t="n">
        <f aca="false">IF(AND(ISNUMBER(O217),ISNUMBER(O214)),O217-O214-N(O215),"")</f>
        <v>23.1999999999999</v>
      </c>
      <c r="P216" s="37" t="n">
        <f aca="false">IF(AND(ISNUMBER(P217),ISNUMBER(P214)),P217-P214-N(P215),"")</f>
        <v>-22.6</v>
      </c>
      <c r="Q216" s="37" t="n">
        <f aca="false">IF(AND(ISNUMBER(Q217),ISNUMBER(Q214)),Q217-Q214-N(Q215),"")</f>
        <v>-11.9</v>
      </c>
      <c r="R216" s="37" t="n">
        <f aca="false">IF(AND(ISNUMBER(R217),ISNUMBER(R214)),R217-R214-N(R215),"")</f>
        <v>-34.5</v>
      </c>
      <c r="S216" s="37" t="n">
        <f aca="false">IF(AND(ISNUMBER(S217),ISNUMBER(S214)),S217-S214-N(S215),"")</f>
        <v>13.4</v>
      </c>
      <c r="T216" s="37" t="n">
        <f aca="false">IF(AND(ISNUMBER(T217),ISNUMBER(T214)),T217-T214-N(T215),"")</f>
        <v>-0.699999999999989</v>
      </c>
      <c r="U216" s="37" t="n">
        <f aca="false">IF(AND(ISNUMBER(U217),ISNUMBER(U214)),U217-U214-N(U215),"")</f>
        <v>12.7</v>
      </c>
      <c r="V216" s="37" t="n">
        <f aca="false">IF(AND(ISNUMBER(V217),ISNUMBER(V214)),V217-V214-N(V215),"")</f>
        <v>-31.4</v>
      </c>
      <c r="W216" s="37" t="n">
        <f aca="false">IF(AND(ISNUMBER(W217),ISNUMBER(W214)),W217-W214-N(W215),"")</f>
        <v>4.2</v>
      </c>
      <c r="X216" s="37" t="n">
        <f aca="false">IF(AND(ISNUMBER(X217),ISNUMBER(X214)),X217-X214-N(X215),"")</f>
        <v>-27.2</v>
      </c>
      <c r="Y216" s="37" t="n">
        <f aca="false">IF(AND(ISNUMBER(Y217),ISNUMBER(Y214)),Y217-Y214-N(Y215),"")</f>
        <v>26</v>
      </c>
      <c r="Z216" s="37" t="n">
        <f aca="false">IF(AND(ISNUMBER(Z217),ISNUMBER(Z214)),Z217-Z214-N(Z215),"")</f>
        <v>-26</v>
      </c>
      <c r="AA216" s="37" t="n">
        <f aca="false">IF(AND(ISNUMBER(AA217),ISNUMBER(AA214)),AA217-AA214-N(AA215),"")</f>
        <v>0</v>
      </c>
      <c r="AB216" s="37" t="n">
        <f aca="false">IF(AND(ISNUMBER(AB217),ISNUMBER(AB214)),AB217-AB214-N(AB215),"")</f>
        <v>0.100000000000051</v>
      </c>
      <c r="AC216" s="37" t="n">
        <f aca="false">IF(AND(ISNUMBER(AC217),ISNUMBER(AC214)),AC217-AC214-N(AC215),"")</f>
        <v>0</v>
      </c>
      <c r="AD216" s="37" t="n">
        <f aca="false">IF(AND(ISNUMBER(AD217),ISNUMBER(AD214)),AD217-AD214-N(AD215),"")</f>
        <v>0.100000000000001</v>
      </c>
      <c r="AE216" s="37" t="n">
        <f aca="false">IF(AND(ISNUMBER(AE217),ISNUMBER(AE214)),AE217-AE214-N(AE215),"")</f>
        <v>0</v>
      </c>
      <c r="AF216" s="37" t="n">
        <f aca="false">IF(AND(ISNUMBER(AF217),ISNUMBER(AF214)),AF217-AF214-N(AF215),"")</f>
        <v>0</v>
      </c>
      <c r="AG216" s="37" t="n">
        <f aca="false">IF(AND(ISNUMBER(AG217),ISNUMBER(AG214)),AG217-AG214-N(AG215),"")</f>
        <v>0</v>
      </c>
      <c r="AH216" s="37" t="n">
        <f aca="false">IF(AND(ISNUMBER(AH217),ISNUMBER(AH214)),AH217-AH214-N(AH215),"")</f>
        <v>0</v>
      </c>
      <c r="AI216" s="37" t="n">
        <f aca="false">IF(AND(ISNUMBER(AI217),ISNUMBER(AI214)),AI217-AI214-N(AI215),"")</f>
        <v>-1</v>
      </c>
      <c r="AJ216" s="37" t="n">
        <f aca="false">IF(AND(ISNUMBER(AJ217),ISNUMBER(AJ214)),AJ217-AJ214-N(AJ215),"")</f>
        <v>-1</v>
      </c>
      <c r="AK216" s="37" t="n">
        <f aca="false">IF(AND(ISNUMBER(AK217),ISNUMBER(AK214)),AK217-AK214-N(AK215),"")</f>
        <v>0</v>
      </c>
      <c r="AL216" s="37" t="n">
        <f aca="false">IF(AND(ISNUMBER(AL217),ISNUMBER(AL214)),AL217-AL214-N(AL215),"")</f>
        <v>0</v>
      </c>
      <c r="AM216" s="37" t="n">
        <f aca="false">IF(AND(ISNUMBER(AM217),ISNUMBER(AM214)),AM217-AM214-N(AM215),"")</f>
        <v>0</v>
      </c>
      <c r="AN216" s="37" t="n">
        <f aca="false">IF(AND(ISNUMBER(AN217),ISNUMBER(AN214)),AN217-AN214-N(AN215),"")</f>
        <v>0</v>
      </c>
      <c r="AO216" s="37" t="n">
        <f aca="false">IF(AND(ISNUMBER(AO217),ISNUMBER(AO214)),AO217-AO214-N(AO215),"")</f>
        <v>-1</v>
      </c>
      <c r="AP216" s="37" t="n">
        <f aca="false">IF(AND(ISNUMBER(AP217),ISNUMBER(AP214)),AP217-AP214-N(AP215),"")</f>
        <v>-1</v>
      </c>
      <c r="AQ216" s="37" t="n">
        <f aca="false">IF(AND(ISNUMBER(AQ217),ISNUMBER(AQ214)),AQ217-AQ214-N(AQ215),"")</f>
        <v>-1</v>
      </c>
      <c r="AR216" s="37" t="n">
        <f aca="false">IF(AND(ISNUMBER(AR217),ISNUMBER(AR214)),AR217-AR214-N(AR215),"")</f>
        <v>1</v>
      </c>
      <c r="AS216" s="37" t="n">
        <f aca="false">IF(AND(ISNUMBER(AS217),ISNUMBER(AS214)),AS217-AS214-N(AS215),"")</f>
        <v>0</v>
      </c>
      <c r="AT216" s="37" t="n">
        <f aca="false">IF(AND(ISNUMBER(AT217),ISNUMBER(AT214)),AT217-AT214-N(AT215),"")</f>
        <v>0</v>
      </c>
      <c r="AU216" s="37" t="n">
        <f aca="false">IF(AND(ISNUMBER(AU217),ISNUMBER(AU214)),AU217-AU214-N(AU215),"")</f>
        <v>0</v>
      </c>
      <c r="AV216" s="37" t="n">
        <f aca="false">IF(AND(ISNUMBER(AV217),ISNUMBER(AV214)),AV217-AV214-N(AV215),"")</f>
        <v>0</v>
      </c>
      <c r="AW216" s="37" t="n">
        <f aca="false">IF(AND(ISNUMBER(AW217),ISNUMBER(AW214)),AW217-AW214-N(AW215),"")</f>
        <v>-1</v>
      </c>
      <c r="AX216" s="39" t="n">
        <f aca="false">AY216-AW216</f>
        <v>1</v>
      </c>
      <c r="AY216" s="47" t="n">
        <v>0</v>
      </c>
      <c r="AZ216" s="47" t="n">
        <v>0</v>
      </c>
      <c r="BA216" s="47" t="n">
        <v>0</v>
      </c>
      <c r="BB216" s="47" t="n">
        <v>0</v>
      </c>
      <c r="BC216" s="47" t="n">
        <v>0</v>
      </c>
      <c r="BD216" s="23"/>
      <c r="BF216" s="7"/>
      <c r="BG216" s="7"/>
      <c r="BH216" s="7"/>
      <c r="BI216" s="7"/>
    </row>
    <row r="217" customFormat="false" ht="15" hidden="false" customHeight="true" outlineLevel="0" collapsed="false">
      <c r="B217" s="19" t="s">
        <v>302</v>
      </c>
      <c r="C217" s="20"/>
      <c r="D217" s="20"/>
      <c r="E217" s="20"/>
      <c r="F217" s="21" t="n">
        <v>457.5</v>
      </c>
      <c r="G217" s="21" t="n">
        <v>663.8</v>
      </c>
      <c r="H217" s="21" t="n">
        <v>735.9</v>
      </c>
      <c r="I217" s="21" t="n">
        <v>771.2</v>
      </c>
      <c r="J217" s="21" t="n">
        <v>300.7</v>
      </c>
      <c r="K217" s="20" t="n">
        <f aca="false">L217-J217</f>
        <v>596.2</v>
      </c>
      <c r="L217" s="21" t="n">
        <v>896.9</v>
      </c>
      <c r="M217" s="21" t="n">
        <v>355.8</v>
      </c>
      <c r="N217" s="20" t="n">
        <f aca="false">O217-M217</f>
        <v>611</v>
      </c>
      <c r="O217" s="21" t="n">
        <v>966.8</v>
      </c>
      <c r="P217" s="21" t="n">
        <v>443.3</v>
      </c>
      <c r="Q217" s="20" t="n">
        <f aca="false">R217-P217</f>
        <v>742.4</v>
      </c>
      <c r="R217" s="21" t="n">
        <v>1185.7</v>
      </c>
      <c r="S217" s="21" t="n">
        <v>570.1</v>
      </c>
      <c r="T217" s="20" t="n">
        <f aca="false">U217-S217</f>
        <v>903.8</v>
      </c>
      <c r="U217" s="21" t="n">
        <v>1473.9</v>
      </c>
      <c r="V217" s="21" t="n">
        <v>735.7</v>
      </c>
      <c r="W217" s="20" t="n">
        <f aca="false">X217-V217</f>
        <v>869.9</v>
      </c>
      <c r="X217" s="21" t="n">
        <v>1605.6</v>
      </c>
      <c r="Y217" s="21" t="n">
        <v>801.2</v>
      </c>
      <c r="Z217" s="20" t="n">
        <f aca="false">AA217-Y217</f>
        <v>958.2</v>
      </c>
      <c r="AA217" s="21" t="n">
        <v>1759.4</v>
      </c>
      <c r="AB217" s="21" t="n">
        <v>882.5</v>
      </c>
      <c r="AC217" s="20" t="n">
        <f aca="false">AD217-AB217</f>
        <v>1204.8</v>
      </c>
      <c r="AD217" s="21" t="n">
        <v>2087.3</v>
      </c>
      <c r="AE217" s="21" t="n">
        <v>309.5</v>
      </c>
      <c r="AF217" s="20" t="n">
        <f aca="false">AG217-AE217</f>
        <v>1332.9</v>
      </c>
      <c r="AG217" s="21" t="n">
        <v>1642.4</v>
      </c>
      <c r="AH217" s="21" t="n">
        <v>1551.7</v>
      </c>
      <c r="AI217" s="20" t="n">
        <f aca="false">AJ217-AH217</f>
        <v>1853.3</v>
      </c>
      <c r="AJ217" s="21" t="n">
        <v>3405</v>
      </c>
      <c r="AK217" s="21" t="n">
        <v>1740</v>
      </c>
      <c r="AL217" s="20" t="n">
        <f aca="false">AM217-AK217</f>
        <v>2444</v>
      </c>
      <c r="AM217" s="21" t="n">
        <v>4184</v>
      </c>
      <c r="AN217" s="21" t="n">
        <v>2106</v>
      </c>
      <c r="AO217" s="20" t="n">
        <f aca="false">AP217-AN217</f>
        <v>2222</v>
      </c>
      <c r="AP217" s="21" t="n">
        <v>4328</v>
      </c>
      <c r="AQ217" s="21" t="n">
        <v>2244</v>
      </c>
      <c r="AR217" s="20" t="n">
        <f aca="false">AS217-AQ217</f>
        <v>2895</v>
      </c>
      <c r="AS217" s="21" t="n">
        <v>5139</v>
      </c>
      <c r="AT217" s="21" t="n">
        <v>2330</v>
      </c>
      <c r="AU217" s="20" t="n">
        <f aca="false">AV217-AT217</f>
        <v>3044</v>
      </c>
      <c r="AV217" s="21" t="n">
        <v>5374</v>
      </c>
      <c r="AW217" s="21" t="n">
        <v>2699</v>
      </c>
      <c r="AX217" s="22" t="n">
        <f aca="false">AY217-AW217</f>
        <v>3104.58026431301</v>
      </c>
      <c r="AY217" s="22" t="n">
        <f aca="false">AY214+AY215+AY216</f>
        <v>5803.58026431301</v>
      </c>
      <c r="AZ217" s="22" t="n">
        <f aca="false">AZ214+AZ215+AZ216</f>
        <v>6283.7917643225</v>
      </c>
      <c r="BA217" s="22" t="n">
        <f aca="false">BA214+BA215+BA216</f>
        <v>6912.4287528837</v>
      </c>
      <c r="BB217" s="22" t="n">
        <f aca="false">BB214+BB215+BB216</f>
        <v>7469.80031415527</v>
      </c>
      <c r="BC217" s="22" t="n">
        <f aca="false">BC214+BC215+BC216</f>
        <v>8001.78739691193</v>
      </c>
      <c r="BD217" s="23"/>
      <c r="BF217" s="24" t="n">
        <f aca="false">IFERROR((BC217/AV217)^(1/5)-1,"n/m")</f>
        <v>0.0828738575683721</v>
      </c>
      <c r="BG217" s="24" t="n">
        <f aca="false">IFERROR((AV217/AG217)^(1/5)-1,"n/m")</f>
        <v>0.267546046843763</v>
      </c>
      <c r="BH217" s="24" t="n">
        <f aca="false">IFERROR((AV217/R217)^(1/10)-1,"n/m")</f>
        <v>0.163140784709878</v>
      </c>
      <c r="BI217" s="24" t="str">
        <f aca="false">IFERROR((AV217/C217)^(1/19)-1,"n/m")</f>
        <v>n/m</v>
      </c>
    </row>
    <row r="218" customFormat="false" ht="15" hidden="false" customHeight="true" outlineLevel="0" collapsed="false">
      <c r="B218" s="13" t="s">
        <v>303</v>
      </c>
      <c r="C218" s="38" t="n">
        <v>-134.3</v>
      </c>
      <c r="D218" s="38" t="n">
        <v>-155.9</v>
      </c>
      <c r="E218" s="38" t="n">
        <v>-160.4</v>
      </c>
      <c r="F218" s="38" t="n">
        <v>-197.8</v>
      </c>
      <c r="G218" s="38" t="n">
        <v>-138.2</v>
      </c>
      <c r="H218" s="38" t="n">
        <v>-185.2</v>
      </c>
      <c r="I218" s="38" t="n">
        <v>-263.1</v>
      </c>
      <c r="J218" s="38" t="n">
        <v>-74.3</v>
      </c>
      <c r="K218" s="37" t="n">
        <f aca="false">L218-J218</f>
        <v>-137</v>
      </c>
      <c r="L218" s="38" t="n">
        <v>-211.3</v>
      </c>
      <c r="M218" s="38" t="n">
        <v>-91.4</v>
      </c>
      <c r="N218" s="37" t="n">
        <f aca="false">O218-M218</f>
        <v>-187.6</v>
      </c>
      <c r="O218" s="38" t="n">
        <v>-279</v>
      </c>
      <c r="P218" s="38" t="n">
        <v>-100.4</v>
      </c>
      <c r="Q218" s="37" t="n">
        <f aca="false">R218-P218</f>
        <v>-152</v>
      </c>
      <c r="R218" s="38" t="n">
        <v>-252.4</v>
      </c>
      <c r="S218" s="38" t="n">
        <v>-107.6</v>
      </c>
      <c r="T218" s="37" t="n">
        <f aca="false">U218-S218</f>
        <v>-154.5</v>
      </c>
      <c r="U218" s="38" t="n">
        <v>-262.1</v>
      </c>
      <c r="V218" s="38" t="n">
        <v>-104.8</v>
      </c>
      <c r="W218" s="37" t="n">
        <f aca="false">X218-V218</f>
        <v>-160.4</v>
      </c>
      <c r="X218" s="38" t="n">
        <v>-265.2</v>
      </c>
      <c r="Y218" s="38" t="n">
        <v>-128</v>
      </c>
      <c r="Z218" s="37" t="n">
        <f aca="false">AA218-Y218</f>
        <v>-184.3</v>
      </c>
      <c r="AA218" s="38" t="n">
        <v>-312.3</v>
      </c>
      <c r="AB218" s="38" t="n">
        <v>-169.8</v>
      </c>
      <c r="AC218" s="37" t="n">
        <f aca="false">AD218-AB218</f>
        <v>-308.2</v>
      </c>
      <c r="AD218" s="38" t="n">
        <v>-478</v>
      </c>
      <c r="AE218" s="38" t="n">
        <v>-162.2</v>
      </c>
      <c r="AF218" s="37" t="n">
        <f aca="false">AG218-AE218</f>
        <v>-286.2</v>
      </c>
      <c r="AG218" s="38" t="n">
        <v>-448.4</v>
      </c>
      <c r="AH218" s="38" t="n">
        <v>-214.4</v>
      </c>
      <c r="AI218" s="37" t="n">
        <f aca="false">AJ218-AH218</f>
        <v>-317.6</v>
      </c>
      <c r="AJ218" s="38" t="n">
        <v>-532</v>
      </c>
      <c r="AK218" s="38" t="n">
        <v>-190</v>
      </c>
      <c r="AL218" s="37" t="n">
        <f aca="false">AM218-AK218</f>
        <v>-328</v>
      </c>
      <c r="AM218" s="38" t="n">
        <v>-518</v>
      </c>
      <c r="AN218" s="38" t="n">
        <v>-249</v>
      </c>
      <c r="AO218" s="37" t="n">
        <f aca="false">AP218-AN218</f>
        <v>-610</v>
      </c>
      <c r="AP218" s="38" t="n">
        <v>-859</v>
      </c>
      <c r="AQ218" s="38" t="n">
        <v>-319</v>
      </c>
      <c r="AR218" s="37" t="n">
        <f aca="false">AS218-AQ218</f>
        <v>-748</v>
      </c>
      <c r="AS218" s="38" t="n">
        <v>-1067</v>
      </c>
      <c r="AT218" s="38" t="n">
        <v>-316</v>
      </c>
      <c r="AU218" s="37" t="n">
        <f aca="false">AV218-AT218</f>
        <v>-845</v>
      </c>
      <c r="AV218" s="38" t="n">
        <v>-1161</v>
      </c>
      <c r="AW218" s="38" t="n">
        <v>-344</v>
      </c>
      <c r="AX218" s="39" t="n">
        <f aca="false">AY218-AW218</f>
        <v>-806</v>
      </c>
      <c r="AY218" s="39" t="n">
        <f aca="false">-$BN$15</f>
        <v>-1150</v>
      </c>
      <c r="AZ218" s="39" t="n">
        <f aca="false">-AZ119*AZ248</f>
        <v>-1233.843548</v>
      </c>
      <c r="BA218" s="39" t="n">
        <f aca="false">-BA119*BA248</f>
        <v>-1288.33734116</v>
      </c>
      <c r="BB218" s="39" t="n">
        <f aca="false">-BB119*BB248</f>
        <v>-1340.29387174452</v>
      </c>
      <c r="BC218" s="39" t="n">
        <f aca="false">-BC119*BC248</f>
        <v>-1387.31412916081</v>
      </c>
      <c r="BD218" s="23" t="s">
        <v>304</v>
      </c>
      <c r="BF218" s="7"/>
      <c r="BG218" s="7"/>
      <c r="BH218" s="7"/>
      <c r="BI218" s="7"/>
    </row>
    <row r="219" customFormat="false" ht="15" hidden="false" customHeight="true" outlineLevel="0" collapsed="false">
      <c r="B219" s="13" t="s">
        <v>305</v>
      </c>
      <c r="C219" s="37"/>
      <c r="D219" s="37"/>
      <c r="E219" s="37"/>
      <c r="F219" s="37"/>
      <c r="G219" s="37"/>
      <c r="H219" s="37"/>
      <c r="I219" s="37"/>
      <c r="J219" s="38" t="n">
        <v>-0.6</v>
      </c>
      <c r="K219" s="37"/>
      <c r="L219" s="37"/>
      <c r="M219" s="38" t="n">
        <v>-38.9</v>
      </c>
      <c r="N219" s="37" t="n">
        <f aca="false">O219-M219</f>
        <v>-4.4</v>
      </c>
      <c r="O219" s="38" t="n">
        <v>-43.3</v>
      </c>
      <c r="P219" s="38" t="n">
        <v>-1</v>
      </c>
      <c r="Q219" s="37" t="n">
        <f aca="false">R219-P219</f>
        <v>-13.2</v>
      </c>
      <c r="R219" s="38" t="n">
        <v>-14.2</v>
      </c>
      <c r="S219" s="38" t="n">
        <v>0</v>
      </c>
      <c r="T219" s="37" t="n">
        <f aca="false">U219-S219</f>
        <v>-23.3</v>
      </c>
      <c r="U219" s="38" t="n">
        <v>-23.3</v>
      </c>
      <c r="V219" s="38" t="n">
        <v>-0.4</v>
      </c>
      <c r="W219" s="37" t="n">
        <f aca="false">X219-V219</f>
        <v>-4.5</v>
      </c>
      <c r="X219" s="38" t="n">
        <v>-4.9</v>
      </c>
      <c r="Y219" s="37"/>
      <c r="Z219" s="37"/>
      <c r="AA219" s="37"/>
      <c r="AB219" s="37"/>
      <c r="AC219" s="37"/>
      <c r="AD219" s="37"/>
      <c r="AE219" s="37"/>
      <c r="AF219" s="37"/>
      <c r="AG219" s="38" t="n">
        <v>-71.6</v>
      </c>
      <c r="AH219" s="38" t="n">
        <v>0</v>
      </c>
      <c r="AI219" s="37" t="n">
        <f aca="false">AJ219-AH219</f>
        <v>0</v>
      </c>
      <c r="AJ219" s="38" t="n">
        <v>0</v>
      </c>
      <c r="AK219" s="38" t="n">
        <v>0</v>
      </c>
      <c r="AL219" s="37" t="n">
        <f aca="false">AM219-AK219</f>
        <v>-1</v>
      </c>
      <c r="AM219" s="38" t="n">
        <v>-1</v>
      </c>
      <c r="AN219" s="38" t="n">
        <v>-73</v>
      </c>
      <c r="AO219" s="37" t="n">
        <f aca="false">AP219-AN219</f>
        <v>-215</v>
      </c>
      <c r="AP219" s="38" t="n">
        <v>-288</v>
      </c>
      <c r="AQ219" s="38" t="n">
        <v>-218</v>
      </c>
      <c r="AR219" s="37" t="n">
        <f aca="false">AS219-AQ219</f>
        <v>-11</v>
      </c>
      <c r="AS219" s="38" t="n">
        <v>-229</v>
      </c>
      <c r="AT219" s="38" t="n">
        <v>-56</v>
      </c>
      <c r="AU219" s="37" t="n">
        <f aca="false">AV219-AT219</f>
        <v>-4</v>
      </c>
      <c r="AV219" s="38" t="n">
        <v>-60</v>
      </c>
      <c r="AW219" s="38" t="n">
        <v>-48</v>
      </c>
      <c r="AX219" s="39" t="n">
        <f aca="false">AY219-AW219</f>
        <v>0</v>
      </c>
      <c r="AY219" s="39" t="n">
        <f aca="false">AW219</f>
        <v>-48</v>
      </c>
      <c r="AZ219" s="47" t="n">
        <v>0</v>
      </c>
      <c r="BA219" s="47" t="n">
        <v>0</v>
      </c>
      <c r="BB219" s="47" t="n">
        <v>0</v>
      </c>
      <c r="BC219" s="47" t="n">
        <v>0</v>
      </c>
      <c r="BD219" s="23"/>
      <c r="BF219" s="7"/>
      <c r="BG219" s="7"/>
      <c r="BH219" s="7"/>
      <c r="BI219" s="7"/>
    </row>
    <row r="220" customFormat="false" ht="15" hidden="false" customHeight="true" outlineLevel="0" collapsed="false">
      <c r="B220" s="13" t="s">
        <v>306</v>
      </c>
      <c r="C220" s="37" t="str">
        <f aca="false">IF(ISNUMBER(C221),C221-N(C218)-N(C219),"")</f>
        <v/>
      </c>
      <c r="D220" s="37" t="str">
        <f aca="false">IF(ISNUMBER(D221),D221-N(D218)-N(D219),"")</f>
        <v/>
      </c>
      <c r="E220" s="37" t="str">
        <f aca="false">IF(ISNUMBER(E221),E221-N(E218)-N(E219),"")</f>
        <v/>
      </c>
      <c r="F220" s="37" t="n">
        <f aca="false">IF(ISNUMBER(F221),F221-N(F218)-N(F219),"")</f>
        <v>-80.1</v>
      </c>
      <c r="G220" s="37" t="n">
        <f aca="false">IF(ISNUMBER(G221),G221-N(G218)-N(G219),"")</f>
        <v>-49.9</v>
      </c>
      <c r="H220" s="37" t="n">
        <f aca="false">IF(ISNUMBER(H221),H221-N(H218)-N(H219),"")</f>
        <v>117.6</v>
      </c>
      <c r="I220" s="37" t="n">
        <f aca="false">IF(ISNUMBER(I221),I221-N(I218)-N(I219),"")</f>
        <v>-95.8</v>
      </c>
      <c r="J220" s="37" t="n">
        <f aca="false">IF(ISNUMBER(J221),J221-N(J218)-N(J219),"")</f>
        <v>-40.4</v>
      </c>
      <c r="K220" s="37" t="n">
        <f aca="false">IF(ISNUMBER(K221),K221-N(K218)-N(K219),"")</f>
        <v>-8.30000000000001</v>
      </c>
      <c r="L220" s="37" t="n">
        <f aca="false">IF(ISNUMBER(L221),L221-N(L218)-N(L219),"")</f>
        <v>-49.3</v>
      </c>
      <c r="M220" s="37" t="n">
        <f aca="false">IF(ISNUMBER(M221),M221-N(M218)-N(M219),"")</f>
        <v>-18.9</v>
      </c>
      <c r="N220" s="37" t="n">
        <f aca="false">IF(ISNUMBER(N221),N221-N(N218)-N(N219),"")</f>
        <v>26.4</v>
      </c>
      <c r="O220" s="37" t="n">
        <f aca="false">IF(ISNUMBER(O221),O221-N(O218)-N(O219),"")</f>
        <v>7.49999999999999</v>
      </c>
      <c r="P220" s="37" t="n">
        <f aca="false">IF(ISNUMBER(P221),P221-N(P218)-N(P219),"")</f>
        <v>-19.5</v>
      </c>
      <c r="Q220" s="37" t="n">
        <f aca="false">IF(ISNUMBER(Q221),Q221-N(Q218)-N(Q219),"")</f>
        <v>44.8</v>
      </c>
      <c r="R220" s="37" t="n">
        <f aca="false">IF(ISNUMBER(R221),R221-N(R218)-N(R219),"")</f>
        <v>25.3</v>
      </c>
      <c r="S220" s="37" t="n">
        <f aca="false">IF(ISNUMBER(S221),S221-N(S218)-N(S219),"")</f>
        <v>-57.3</v>
      </c>
      <c r="T220" s="37" t="n">
        <f aca="false">IF(ISNUMBER(T221),T221-N(T218)-N(T219),"")</f>
        <v>123.1</v>
      </c>
      <c r="U220" s="37" t="n">
        <f aca="false">IF(ISNUMBER(U221),U221-N(U218)-N(U219),"")</f>
        <v>65.8</v>
      </c>
      <c r="V220" s="37" t="n">
        <f aca="false">IF(ISNUMBER(V221),V221-N(V218)-N(V219),"")</f>
        <v>-55.6</v>
      </c>
      <c r="W220" s="37" t="n">
        <f aca="false">IF(ISNUMBER(W221),W221-N(W218)-N(W219),"")</f>
        <v>-21</v>
      </c>
      <c r="X220" s="37" t="n">
        <f aca="false">IF(ISNUMBER(X221),X221-N(X218)-N(X219),"")</f>
        <v>-76.6</v>
      </c>
      <c r="Y220" s="37" t="n">
        <f aca="false">IF(ISNUMBER(Y221),Y221-N(Y218)-N(Y219),"")</f>
        <v>117.8</v>
      </c>
      <c r="Z220" s="37" t="n">
        <f aca="false">IF(ISNUMBER(Z221),Z221-N(Z218)-N(Z219),"")</f>
        <v>-44.8</v>
      </c>
      <c r="AA220" s="37" t="n">
        <f aca="false">IF(ISNUMBER(AA221),AA221-N(AA218)-N(AA219),"")</f>
        <v>73</v>
      </c>
      <c r="AB220" s="37" t="n">
        <f aca="false">IF(ISNUMBER(AB221),AB221-N(AB218)-N(AB219),"")</f>
        <v>-58.9</v>
      </c>
      <c r="AC220" s="37" t="n">
        <f aca="false">IF(ISNUMBER(AC221),AC221-N(AC218)-N(AC219),"")</f>
        <v>65.8</v>
      </c>
      <c r="AD220" s="37" t="n">
        <f aca="false">IF(ISNUMBER(AD221),AD221-N(AD218)-N(AD219),"")</f>
        <v>6.89999999999998</v>
      </c>
      <c r="AE220" s="37" t="n">
        <f aca="false">IF(ISNUMBER(AE221),AE221-N(AE218)-N(AE219),"")</f>
        <v>-32.2</v>
      </c>
      <c r="AF220" s="37" t="n">
        <f aca="false">IF(ISNUMBER(AF221),AF221-N(AF218)-N(AF219),"")</f>
        <v>48.4</v>
      </c>
      <c r="AG220" s="37" t="n">
        <f aca="false">IF(ISNUMBER(AG221),AG221-N(AG218)-N(AG219),"")</f>
        <v>87.8</v>
      </c>
      <c r="AH220" s="37" t="n">
        <f aca="false">IF(ISNUMBER(AH221),AH221-N(AH218)-N(AH219),"")</f>
        <v>-2.90000000000001</v>
      </c>
      <c r="AI220" s="37" t="n">
        <f aca="false">IF(ISNUMBER(AI221),AI221-N(AI218)-N(AI219),"")</f>
        <v>-134.1</v>
      </c>
      <c r="AJ220" s="37" t="n">
        <f aca="false">IF(ISNUMBER(AJ221),AJ221-N(AJ218)-N(AJ219),"")</f>
        <v>-137</v>
      </c>
      <c r="AK220" s="37" t="n">
        <f aca="false">IF(ISNUMBER(AK221),AK221-N(AK218)-N(AK219),"")</f>
        <v>-17</v>
      </c>
      <c r="AL220" s="37" t="n">
        <f aca="false">IF(ISNUMBER(AL221),AL221-N(AL218)-N(AL219),"")</f>
        <v>-43</v>
      </c>
      <c r="AM220" s="37" t="n">
        <f aca="false">IF(ISNUMBER(AM221),AM221-N(AM218)-N(AM219),"")</f>
        <v>-60</v>
      </c>
      <c r="AN220" s="37" t="n">
        <f aca="false">IF(ISNUMBER(AN221),AN221-N(AN218)-N(AN219),"")</f>
        <v>-11</v>
      </c>
      <c r="AO220" s="37" t="n">
        <f aca="false">IF(ISNUMBER(AO221),AO221-N(AO218)-N(AO219),"")</f>
        <v>163</v>
      </c>
      <c r="AP220" s="37" t="n">
        <f aca="false">IF(ISNUMBER(AP221),AP221-N(AP218)-N(AP219),"")</f>
        <v>152</v>
      </c>
      <c r="AQ220" s="37" t="n">
        <f aca="false">IF(ISNUMBER(AQ221),AQ221-N(AQ218)-N(AQ219),"")</f>
        <v>-89</v>
      </c>
      <c r="AR220" s="37" t="n">
        <f aca="false">IF(ISNUMBER(AR221),AR221-N(AR218)-N(AR219),"")</f>
        <v>190</v>
      </c>
      <c r="AS220" s="37" t="n">
        <f aca="false">IF(ISNUMBER(AS221),AS221-N(AS218)-N(AS219),"")</f>
        <v>101</v>
      </c>
      <c r="AT220" s="37" t="n">
        <f aca="false">IF(ISNUMBER(AT221),AT221-N(AT218)-N(AT219),"")</f>
        <v>-12</v>
      </c>
      <c r="AU220" s="37" t="n">
        <f aca="false">IF(ISNUMBER(AU221),AU221-N(AU218)-N(AU219),"")</f>
        <v>-43</v>
      </c>
      <c r="AV220" s="37" t="n">
        <f aca="false">IF(ISNUMBER(AV221),AV221-N(AV218)-N(AV219),"")</f>
        <v>-55</v>
      </c>
      <c r="AW220" s="37" t="n">
        <f aca="false">IF(ISNUMBER(AW221),AW221-N(AW218)-N(AW219),"")</f>
        <v>-77</v>
      </c>
      <c r="AX220" s="39" t="n">
        <f aca="false">AY220-AW220</f>
        <v>0</v>
      </c>
      <c r="AY220" s="39" t="n">
        <f aca="false">AW220</f>
        <v>-77</v>
      </c>
      <c r="AZ220" s="47" t="n">
        <v>-100</v>
      </c>
      <c r="BA220" s="47" t="n">
        <v>-100</v>
      </c>
      <c r="BB220" s="47" t="n">
        <v>-100</v>
      </c>
      <c r="BC220" s="47" t="n">
        <v>-100</v>
      </c>
      <c r="BD220" s="23" t="s">
        <v>307</v>
      </c>
      <c r="BF220" s="7"/>
      <c r="BG220" s="7"/>
      <c r="BH220" s="7"/>
      <c r="BI220" s="7"/>
    </row>
    <row r="221" customFormat="false" ht="15" hidden="false" customHeight="true" outlineLevel="0" collapsed="false">
      <c r="B221" s="19" t="s">
        <v>308</v>
      </c>
      <c r="C221" s="20"/>
      <c r="D221" s="20"/>
      <c r="E221" s="20"/>
      <c r="F221" s="21" t="n">
        <v>-277.9</v>
      </c>
      <c r="G221" s="21" t="n">
        <v>-188.1</v>
      </c>
      <c r="H221" s="21" t="n">
        <v>-67.6</v>
      </c>
      <c r="I221" s="21" t="n">
        <v>-358.9</v>
      </c>
      <c r="J221" s="21" t="n">
        <v>-115.3</v>
      </c>
      <c r="K221" s="20" t="n">
        <f aca="false">L221-J221</f>
        <v>-145.3</v>
      </c>
      <c r="L221" s="21" t="n">
        <v>-260.6</v>
      </c>
      <c r="M221" s="21" t="n">
        <v>-149.2</v>
      </c>
      <c r="N221" s="20" t="n">
        <f aca="false">O221-M221</f>
        <v>-165.6</v>
      </c>
      <c r="O221" s="21" t="n">
        <v>-314.8</v>
      </c>
      <c r="P221" s="21" t="n">
        <v>-120.9</v>
      </c>
      <c r="Q221" s="20" t="n">
        <f aca="false">R221-P221</f>
        <v>-120.4</v>
      </c>
      <c r="R221" s="21" t="n">
        <v>-241.3</v>
      </c>
      <c r="S221" s="21" t="n">
        <v>-164.9</v>
      </c>
      <c r="T221" s="20" t="n">
        <f aca="false">U221-S221</f>
        <v>-54.7</v>
      </c>
      <c r="U221" s="21" t="n">
        <v>-219.6</v>
      </c>
      <c r="V221" s="21" t="n">
        <v>-160.8</v>
      </c>
      <c r="W221" s="20" t="n">
        <f aca="false">X221-V221</f>
        <v>-185.9</v>
      </c>
      <c r="X221" s="21" t="n">
        <v>-346.7</v>
      </c>
      <c r="Y221" s="21" t="n">
        <v>-10.2</v>
      </c>
      <c r="Z221" s="20" t="n">
        <f aca="false">AA221-Y221</f>
        <v>-229.1</v>
      </c>
      <c r="AA221" s="21" t="n">
        <v>-239.3</v>
      </c>
      <c r="AB221" s="21" t="n">
        <v>-228.7</v>
      </c>
      <c r="AC221" s="20" t="n">
        <f aca="false">AD221-AB221</f>
        <v>-242.4</v>
      </c>
      <c r="AD221" s="21" t="n">
        <v>-471.1</v>
      </c>
      <c r="AE221" s="21" t="n">
        <v>-194.4</v>
      </c>
      <c r="AF221" s="20" t="n">
        <f aca="false">AG221-AE221</f>
        <v>-237.8</v>
      </c>
      <c r="AG221" s="21" t="n">
        <v>-432.2</v>
      </c>
      <c r="AH221" s="21" t="n">
        <v>-217.3</v>
      </c>
      <c r="AI221" s="20" t="n">
        <f aca="false">AJ221-AH221</f>
        <v>-451.7</v>
      </c>
      <c r="AJ221" s="21" t="n">
        <v>-669</v>
      </c>
      <c r="AK221" s="21" t="n">
        <v>-207</v>
      </c>
      <c r="AL221" s="20" t="n">
        <f aca="false">AM221-AK221</f>
        <v>-372</v>
      </c>
      <c r="AM221" s="21" t="n">
        <v>-579</v>
      </c>
      <c r="AN221" s="21" t="n">
        <v>-333</v>
      </c>
      <c r="AO221" s="20" t="n">
        <f aca="false">AP221-AN221</f>
        <v>-662</v>
      </c>
      <c r="AP221" s="21" t="n">
        <v>-995</v>
      </c>
      <c r="AQ221" s="21" t="n">
        <v>-626</v>
      </c>
      <c r="AR221" s="20" t="n">
        <f aca="false">AS221-AQ221</f>
        <v>-569</v>
      </c>
      <c r="AS221" s="21" t="n">
        <v>-1195</v>
      </c>
      <c r="AT221" s="21" t="n">
        <v>-384</v>
      </c>
      <c r="AU221" s="20" t="n">
        <f aca="false">AV221-AT221</f>
        <v>-892</v>
      </c>
      <c r="AV221" s="21" t="n">
        <v>-1276</v>
      </c>
      <c r="AW221" s="21" t="n">
        <v>-469</v>
      </c>
      <c r="AX221" s="22" t="n">
        <f aca="false">AY221-AW221</f>
        <v>-806</v>
      </c>
      <c r="AY221" s="22" t="n">
        <f aca="false">SUM(AY218:AY220)</f>
        <v>-1275</v>
      </c>
      <c r="AZ221" s="22" t="n">
        <f aca="false">SUM(AZ218:AZ220)</f>
        <v>-1333.843548</v>
      </c>
      <c r="BA221" s="22" t="n">
        <f aca="false">SUM(BA218:BA220)</f>
        <v>-1388.33734116</v>
      </c>
      <c r="BB221" s="22" t="n">
        <f aca="false">SUM(BB218:BB220)</f>
        <v>-1440.29387174452</v>
      </c>
      <c r="BC221" s="22" t="n">
        <f aca="false">SUM(BC218:BC220)</f>
        <v>-1487.31412916081</v>
      </c>
      <c r="BD221" s="23"/>
      <c r="BF221" s="7"/>
      <c r="BG221" s="7"/>
      <c r="BH221" s="7"/>
      <c r="BI221" s="7"/>
    </row>
    <row r="222" customFormat="false" ht="15" hidden="false" customHeight="true" outlineLevel="0" collapsed="false">
      <c r="B222" s="13" t="s">
        <v>309</v>
      </c>
      <c r="C222" s="37"/>
      <c r="D222" s="37"/>
      <c r="E222" s="37"/>
      <c r="F222" s="38" t="n">
        <v>-116.2</v>
      </c>
      <c r="G222" s="38" t="n">
        <v>-119.1</v>
      </c>
      <c r="H222" s="38" t="n">
        <v>-167.3</v>
      </c>
      <c r="I222" s="38" t="n">
        <v>-742.3</v>
      </c>
      <c r="J222" s="38" t="n">
        <v>-271.1</v>
      </c>
      <c r="K222" s="37" t="n">
        <f aca="false">L222-J222</f>
        <v>-2.19999999999999</v>
      </c>
      <c r="L222" s="38" t="n">
        <v>-273.3</v>
      </c>
      <c r="M222" s="38" t="n">
        <v>-291.1</v>
      </c>
      <c r="N222" s="37" t="n">
        <f aca="false">O222-M222</f>
        <v>-3.79999999999995</v>
      </c>
      <c r="O222" s="38" t="n">
        <v>-294.9</v>
      </c>
      <c r="P222" s="38" t="n">
        <v>-840.4</v>
      </c>
      <c r="Q222" s="37" t="n">
        <f aca="false">R222-P222</f>
        <v>0.199999999999932</v>
      </c>
      <c r="R222" s="38" t="n">
        <v>-840.2</v>
      </c>
      <c r="S222" s="38" t="n">
        <v>-359.6</v>
      </c>
      <c r="T222" s="37" t="n">
        <f aca="false">U222-S222</f>
        <v>-0.5</v>
      </c>
      <c r="U222" s="38" t="n">
        <v>-360.1</v>
      </c>
      <c r="V222" s="38" t="n">
        <v>-401.9</v>
      </c>
      <c r="W222" s="37" t="n">
        <f aca="false">X222-V222</f>
        <v>0</v>
      </c>
      <c r="X222" s="38" t="n">
        <v>-401.9</v>
      </c>
      <c r="Y222" s="38" t="n">
        <v>-957.5</v>
      </c>
      <c r="Z222" s="37" t="n">
        <f aca="false">AA222-Y222</f>
        <v>-0.799999999999955</v>
      </c>
      <c r="AA222" s="38" t="n">
        <v>-958.3</v>
      </c>
      <c r="AB222" s="38" t="n">
        <v>-485.9</v>
      </c>
      <c r="AC222" s="37" t="n">
        <f aca="false">AD222-AB222</f>
        <v>-0.700000000000046</v>
      </c>
      <c r="AD222" s="38" t="n">
        <v>-486.6</v>
      </c>
      <c r="AE222" s="38" t="n">
        <v>-489.5</v>
      </c>
      <c r="AF222" s="37" t="n">
        <f aca="false">AG222-AE222</f>
        <v>-0.100000000000023</v>
      </c>
      <c r="AG222" s="38" t="n">
        <v>-489.6</v>
      </c>
      <c r="AH222" s="38" t="n">
        <v>-488.8</v>
      </c>
      <c r="AI222" s="37" t="n">
        <f aca="false">AJ222-AH222</f>
        <v>-1.19999999999999</v>
      </c>
      <c r="AJ222" s="38" t="n">
        <v>-490</v>
      </c>
      <c r="AK222" s="38" t="n">
        <v>-850</v>
      </c>
      <c r="AL222" s="37" t="n">
        <f aca="false">AM222-AK222</f>
        <v>-2</v>
      </c>
      <c r="AM222" s="38" t="n">
        <v>-852</v>
      </c>
      <c r="AN222" s="38" t="n">
        <v>-1384</v>
      </c>
      <c r="AO222" s="37" t="n">
        <f aca="false">AP222-AN222</f>
        <v>-2</v>
      </c>
      <c r="AP222" s="38" t="n">
        <v>-1386</v>
      </c>
      <c r="AQ222" s="38" t="n">
        <v>-2650</v>
      </c>
      <c r="AR222" s="37" t="n">
        <f aca="false">AS222-AQ222</f>
        <v>-55</v>
      </c>
      <c r="AS222" s="38" t="n">
        <v>-2705</v>
      </c>
      <c r="AT222" s="38" t="n">
        <v>-2764</v>
      </c>
      <c r="AU222" s="37" t="n">
        <f aca="false">AV222-AT222</f>
        <v>-32</v>
      </c>
      <c r="AV222" s="38" t="n">
        <v>-2796</v>
      </c>
      <c r="AW222" s="38" t="n">
        <v>-1924</v>
      </c>
      <c r="AX222" s="39" t="n">
        <f aca="false">AY222-AW222</f>
        <v>-30</v>
      </c>
      <c r="AY222" s="39" t="n">
        <f aca="false">AW222+-30-CHOOSE(MATCH($BD$2,{"Bull","Base","Bear"},0),$BM$79,$BN$79,$BO$79)</f>
        <v>-1954</v>
      </c>
      <c r="AZ222" s="39" t="n">
        <f aca="false">-AY152*AY299-CHOOSE(MATCH($BD$2,{"Bull","Base","Bear"},0),$BM$80,$BN$80,$BO$80)+AZ336</f>
        <v>-2006.32912978863</v>
      </c>
      <c r="BA222" s="39" t="n">
        <f aca="false">-AZ152*AZ299-CHOOSE(MATCH($BD$2,{"Bull","Base","Bear"},0),$BM$81,$BN$81,$BO$81)+BA336</f>
        <v>-2140.63652418888</v>
      </c>
      <c r="BB222" s="39" t="n">
        <f aca="false">-BA152*BA299-CHOOSE(MATCH($BD$2,{"Bull","Base","Bear"},0),$BM$82,$BN$82,$BO$82)+BB336</f>
        <v>-2323.21610601828</v>
      </c>
      <c r="BC222" s="39" t="n">
        <f aca="false">-BB152*BB299-CHOOSE(MATCH($BD$2,{"Bull","Base","Bear"},0),$BM$83,$BN$83,$BO$83)+BC336</f>
        <v>-2509.25303739183</v>
      </c>
      <c r="BD222" s="23" t="s">
        <v>310</v>
      </c>
      <c r="BF222" s="7"/>
      <c r="BG222" s="7"/>
      <c r="BH222" s="7"/>
      <c r="BI222" s="7"/>
    </row>
    <row r="223" customFormat="false" ht="15" hidden="false" customHeight="true" outlineLevel="0" collapsed="false">
      <c r="B223" s="13" t="s">
        <v>311</v>
      </c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8" t="n">
        <v>-95.2</v>
      </c>
      <c r="AC223" s="37" t="n">
        <f aca="false">AD223-AB223</f>
        <v>-107.6</v>
      </c>
      <c r="AD223" s="38" t="n">
        <v>-202.8</v>
      </c>
      <c r="AE223" s="38" t="n">
        <v>-120.1</v>
      </c>
      <c r="AF223" s="37" t="n">
        <f aca="false">AG223-AE223</f>
        <v>-78.6</v>
      </c>
      <c r="AG223" s="38" t="n">
        <v>-198.7</v>
      </c>
      <c r="AH223" s="38" t="n">
        <v>-101.8</v>
      </c>
      <c r="AI223" s="37" t="n">
        <f aca="false">AJ223-AH223</f>
        <v>-110.2</v>
      </c>
      <c r="AJ223" s="38" t="n">
        <v>-212</v>
      </c>
      <c r="AK223" s="38" t="n">
        <v>-128</v>
      </c>
      <c r="AL223" s="37" t="n">
        <f aca="false">AM223-AK223</f>
        <v>-133</v>
      </c>
      <c r="AM223" s="38" t="n">
        <v>-261</v>
      </c>
      <c r="AN223" s="38" t="n">
        <v>-137</v>
      </c>
      <c r="AO223" s="37" t="n">
        <f aca="false">AP223-AN223</f>
        <v>-140</v>
      </c>
      <c r="AP223" s="38" t="n">
        <v>-277</v>
      </c>
      <c r="AQ223" s="38" t="n">
        <v>-149</v>
      </c>
      <c r="AR223" s="37" t="n">
        <f aca="false">AS223-AQ223</f>
        <v>-156</v>
      </c>
      <c r="AS223" s="38" t="n">
        <v>-305</v>
      </c>
      <c r="AT223" s="38" t="n">
        <v>-167</v>
      </c>
      <c r="AU223" s="37" t="n">
        <f aca="false">AV223-AT223</f>
        <v>-165</v>
      </c>
      <c r="AV223" s="38" t="n">
        <v>-332</v>
      </c>
      <c r="AW223" s="38" t="n">
        <v>-173</v>
      </c>
      <c r="AX223" s="39" t="n">
        <f aca="false">AY223-AW223</f>
        <v>-217.39</v>
      </c>
      <c r="AY223" s="39" t="n">
        <f aca="false">-AY331</f>
        <v>-390.39</v>
      </c>
      <c r="AZ223" s="39" t="n">
        <f aca="false">-AZ331</f>
        <v>-426.24165675</v>
      </c>
      <c r="BA223" s="39" t="n">
        <f aca="false">-BA331</f>
        <v>-463.42427961375</v>
      </c>
      <c r="BB223" s="39" t="n">
        <f aca="false">-BB331</f>
        <v>-502.363932639319</v>
      </c>
      <c r="BC223" s="39" t="n">
        <f aca="false">-BC331</f>
        <v>-543.001536602778</v>
      </c>
      <c r="BD223" s="23" t="s">
        <v>312</v>
      </c>
      <c r="BF223" s="7"/>
      <c r="BG223" s="7"/>
      <c r="BH223" s="7"/>
      <c r="BI223" s="7"/>
    </row>
    <row r="224" customFormat="false" ht="15" hidden="false" customHeight="true" outlineLevel="0" collapsed="false">
      <c r="B224" s="13" t="s">
        <v>313</v>
      </c>
      <c r="C224" s="37"/>
      <c r="D224" s="37"/>
      <c r="E224" s="37"/>
      <c r="F224" s="38" t="n">
        <v>4.3</v>
      </c>
      <c r="G224" s="38" t="n">
        <v>-0.5</v>
      </c>
      <c r="H224" s="38" t="n">
        <v>-284.6</v>
      </c>
      <c r="I224" s="38" t="n">
        <v>-9.1</v>
      </c>
      <c r="J224" s="38" t="n">
        <v>0.9</v>
      </c>
      <c r="K224" s="37" t="n">
        <f aca="false">L224-J224</f>
        <v>-1.5</v>
      </c>
      <c r="L224" s="38" t="n">
        <v>-0.6</v>
      </c>
      <c r="M224" s="38" t="n">
        <v>-3.4</v>
      </c>
      <c r="N224" s="37" t="n">
        <f aca="false">O224-M224</f>
        <v>-0.1</v>
      </c>
      <c r="O224" s="38" t="n">
        <v>-3.5</v>
      </c>
      <c r="P224" s="38" t="n">
        <v>-3.2</v>
      </c>
      <c r="Q224" s="37" t="n">
        <f aca="false">R224-P224</f>
        <v>-2</v>
      </c>
      <c r="R224" s="38" t="n">
        <v>-5.2</v>
      </c>
      <c r="S224" s="38" t="n">
        <v>-52.7</v>
      </c>
      <c r="T224" s="37" t="n">
        <f aca="false">U224-S224</f>
        <v>-56.1</v>
      </c>
      <c r="U224" s="38" t="n">
        <v>-108.8</v>
      </c>
      <c r="V224" s="38" t="n">
        <v>-11.9</v>
      </c>
      <c r="W224" s="37" t="n">
        <f aca="false">X224-V224</f>
        <v>-176</v>
      </c>
      <c r="X224" s="38" t="n">
        <v>-187.9</v>
      </c>
      <c r="Y224" s="38" t="n">
        <v>-51.7</v>
      </c>
      <c r="Z224" s="37" t="n">
        <f aca="false">AA224-Y224</f>
        <v>-8</v>
      </c>
      <c r="AA224" s="38" t="n">
        <v>-59.7</v>
      </c>
      <c r="AB224" s="38" t="n">
        <v>-32.8</v>
      </c>
      <c r="AC224" s="37" t="n">
        <f aca="false">AD224-AB224</f>
        <v>-20.3</v>
      </c>
      <c r="AD224" s="38" t="n">
        <v>-53.1</v>
      </c>
      <c r="AE224" s="38" t="n">
        <v>-123.1</v>
      </c>
      <c r="AF224" s="37" t="n">
        <f aca="false">AG224-AE224</f>
        <v>1</v>
      </c>
      <c r="AG224" s="38" t="n">
        <v>-122.1</v>
      </c>
      <c r="AH224" s="38" t="n">
        <v>-158.5</v>
      </c>
      <c r="AI224" s="37" t="n">
        <f aca="false">AJ224-AH224</f>
        <v>0.5</v>
      </c>
      <c r="AJ224" s="38" t="n">
        <v>-158</v>
      </c>
      <c r="AK224" s="38" t="n">
        <v>-120</v>
      </c>
      <c r="AL224" s="37" t="n">
        <f aca="false">AM224-AK224</f>
        <v>-3</v>
      </c>
      <c r="AM224" s="38" t="n">
        <v>-123</v>
      </c>
      <c r="AN224" s="38" t="n">
        <v>4</v>
      </c>
      <c r="AO224" s="37" t="n">
        <f aca="false">AP224-AN224</f>
        <v>-134</v>
      </c>
      <c r="AP224" s="38" t="n">
        <v>-130</v>
      </c>
      <c r="AQ224" s="38" t="n">
        <v>0</v>
      </c>
      <c r="AR224" s="37" t="n">
        <f aca="false">AS224-AQ224</f>
        <v>-37</v>
      </c>
      <c r="AS224" s="38" t="n">
        <v>-37</v>
      </c>
      <c r="AT224" s="38" t="n">
        <v>-6</v>
      </c>
      <c r="AU224" s="37" t="n">
        <f aca="false">AV224-AT224</f>
        <v>-2</v>
      </c>
      <c r="AV224" s="38" t="n">
        <v>-8</v>
      </c>
      <c r="AW224" s="38" t="n">
        <v>-160</v>
      </c>
      <c r="AX224" s="39" t="n">
        <f aca="false">AY224-AW224</f>
        <v>-50</v>
      </c>
      <c r="AY224" s="39" t="n">
        <f aca="false">AW224-CHOOSE(MATCH($BD$2,{"Bull","Base","Bear"},0),$BM$73,$BN$73,$BO$73)</f>
        <v>-210</v>
      </c>
      <c r="AZ224" s="39" t="n">
        <f aca="false">-CHOOSE(MATCH($BD$2,{"Bull","Base","Bear"},0),$BM$74,$BN$74,$BO$74)</f>
        <v>-250</v>
      </c>
      <c r="BA224" s="39" t="n">
        <f aca="false">-CHOOSE(MATCH($BD$2,{"Bull","Base","Bear"},0),$BM$75,$BN$75,$BO$75)</f>
        <v>-250</v>
      </c>
      <c r="BB224" s="39" t="n">
        <f aca="false">-CHOOSE(MATCH($BD$2,{"Bull","Base","Bear"},0),$BM$76,$BN$76,$BO$76)</f>
        <v>-250</v>
      </c>
      <c r="BC224" s="39" t="n">
        <f aca="false">-CHOOSE(MATCH($BD$2,{"Bull","Base","Bear"},0),$BM$77,$BN$77,$BO$77)</f>
        <v>-250</v>
      </c>
      <c r="BD224" s="23" t="s">
        <v>314</v>
      </c>
      <c r="BF224" s="7"/>
      <c r="BG224" s="7"/>
      <c r="BH224" s="7"/>
      <c r="BI224" s="7"/>
    </row>
    <row r="225" customFormat="false" ht="15" hidden="false" customHeight="true" outlineLevel="0" collapsed="false">
      <c r="B225" s="13" t="s">
        <v>315</v>
      </c>
      <c r="C225" s="37" t="str">
        <f aca="false">IF(ISNUMBER(C226),C226-N(C222)-N(C223)-N(C224),"")</f>
        <v/>
      </c>
      <c r="D225" s="37" t="str">
        <f aca="false">IF(ISNUMBER(D226),D226-N(D222)-N(D223)-N(D224),"")</f>
        <v/>
      </c>
      <c r="E225" s="37" t="str">
        <f aca="false">IF(ISNUMBER(E226),E226-N(E222)-N(E223)-N(E224),"")</f>
        <v/>
      </c>
      <c r="F225" s="37" t="n">
        <f aca="false">IF(ISNUMBER(F226),F226-N(F222)-N(F223)-N(F224),"")</f>
        <v>-15.6</v>
      </c>
      <c r="G225" s="37" t="n">
        <f aca="false">IF(ISNUMBER(G226),G226-N(G222)-N(G223)-N(G224),"")</f>
        <v>-21.3</v>
      </c>
      <c r="H225" s="37" t="n">
        <f aca="false">IF(ISNUMBER(H226),H226-N(H222)-N(H223)-N(H224),"")</f>
        <v>0.100000000000023</v>
      </c>
      <c r="I225" s="37" t="n">
        <f aca="false">IF(ISNUMBER(I226),I226-N(I222)-N(I223)-N(I224),"")</f>
        <v>-11.2000000000001</v>
      </c>
      <c r="J225" s="37" t="n">
        <f aca="false">IF(ISNUMBER(J226),J226-N(J222)-N(J223)-N(J224),"")</f>
        <v>-2.29999999999998</v>
      </c>
      <c r="K225" s="37" t="n">
        <f aca="false">IF(ISNUMBER(K226),K226-N(K222)-N(K223)-N(K224),"")</f>
        <v>-4.5</v>
      </c>
      <c r="L225" s="37" t="n">
        <f aca="false">IF(ISNUMBER(L226),L226-N(L222)-N(L223)-N(L224),"")</f>
        <v>-6.79999999999998</v>
      </c>
      <c r="M225" s="37" t="n">
        <f aca="false">IF(ISNUMBER(M226),M226-N(M222)-N(M223)-N(M224),"")</f>
        <v>-0.499999999999977</v>
      </c>
      <c r="N225" s="37" t="n">
        <f aca="false">IF(ISNUMBER(N226),N226-N(N222)-N(N223)-N(N224),"")</f>
        <v>-1.00000000000002</v>
      </c>
      <c r="O225" s="37" t="n">
        <f aca="false">IF(ISNUMBER(O226),O226-N(O222)-N(O223)-N(O224),"")</f>
        <v>-1.5</v>
      </c>
      <c r="P225" s="37" t="n">
        <f aca="false">IF(ISNUMBER(P226),P226-N(P222)-N(P223)-N(P224),"")</f>
        <v>5.89999999999993</v>
      </c>
      <c r="Q225" s="37" t="n">
        <f aca="false">IF(ISNUMBER(Q226),Q226-N(Q222)-N(Q223)-N(Q224),"")</f>
        <v>2.80000000000007</v>
      </c>
      <c r="R225" s="37" t="n">
        <f aca="false">IF(ISNUMBER(R226),R226-N(R222)-N(R223)-N(R224),"")</f>
        <v>8.7</v>
      </c>
      <c r="S225" s="37" t="n">
        <f aca="false">IF(ISNUMBER(S226),S226-N(S222)-N(S223)-N(S224),"")</f>
        <v>-6.3</v>
      </c>
      <c r="T225" s="37" t="n">
        <f aca="false">IF(ISNUMBER(T226),T226-N(T222)-N(T223)-N(T224),"")</f>
        <v>4.00000000000003</v>
      </c>
      <c r="U225" s="37" t="n">
        <f aca="false">IF(ISNUMBER(U226),U226-N(U222)-N(U223)-N(U224),"")</f>
        <v>-2.29999999999997</v>
      </c>
      <c r="V225" s="37" t="n">
        <f aca="false">IF(ISNUMBER(V226),V226-N(V222)-N(V223)-N(V224),"")</f>
        <v>-1.90000000000001</v>
      </c>
      <c r="W225" s="37" t="n">
        <f aca="false">IF(ISNUMBER(W226),W226-N(W222)-N(W223)-N(W224),"")</f>
        <v>0.800000000000011</v>
      </c>
      <c r="X225" s="37" t="n">
        <f aca="false">IF(ISNUMBER(X226),X226-N(X222)-N(X223)-N(X224),"")</f>
        <v>-1.09999999999999</v>
      </c>
      <c r="Y225" s="37" t="n">
        <f aca="false">IF(ISNUMBER(Y226),Y226-N(Y222)-N(Y223)-N(Y224),"")</f>
        <v>-1.50000000000004</v>
      </c>
      <c r="Z225" s="37" t="n">
        <f aca="false">IF(ISNUMBER(Z226),Z226-N(Z222)-N(Z223)-N(Z224),"")</f>
        <v>-0.100000000000023</v>
      </c>
      <c r="AA225" s="37" t="n">
        <f aca="false">IF(ISNUMBER(AA226),AA226-N(AA222)-N(AA223)-N(AA224),"")</f>
        <v>-1.60000000000007</v>
      </c>
      <c r="AB225" s="37" t="n">
        <f aca="false">IF(ISNUMBER(AB226),AB226-N(AB222)-N(AB223)-N(AB224),"")</f>
        <v>0</v>
      </c>
      <c r="AC225" s="37" t="n">
        <f aca="false">IF(ISNUMBER(AC226),AC226-N(AC222)-N(AC223)-N(AC224),"")</f>
        <v>-0.299999999999919</v>
      </c>
      <c r="AD225" s="37" t="n">
        <f aca="false">IF(ISNUMBER(AD226),AD226-N(AD222)-N(AD223)-N(AD224),"")</f>
        <v>-0.299999999999919</v>
      </c>
      <c r="AE225" s="37" t="n">
        <f aca="false">IF(ISNUMBER(AE226),AE226-N(AE222)-N(AE223)-N(AE224),"")</f>
        <v>1.80000000000001</v>
      </c>
      <c r="AF225" s="37" t="n">
        <f aca="false">IF(ISNUMBER(AF226),AF226-N(AF222)-N(AF223)-N(AF224),"")</f>
        <v>-1.60000000000005</v>
      </c>
      <c r="AG225" s="37" t="n">
        <f aca="false">IF(ISNUMBER(AG226),AG226-N(AG222)-N(AG223)-N(AG224),"")</f>
        <v>0.19999999999996</v>
      </c>
      <c r="AH225" s="37" t="n">
        <f aca="false">IF(ISNUMBER(AH226),AH226-N(AH222)-N(AH223)-N(AH224),"")</f>
        <v>-7.79999999999995</v>
      </c>
      <c r="AI225" s="37" t="n">
        <f aca="false">IF(ISNUMBER(AI226),AI226-N(AI222)-N(AI223)-N(AI224),"")</f>
        <v>-1.20000000000003</v>
      </c>
      <c r="AJ225" s="37" t="n">
        <f aca="false">IF(ISNUMBER(AJ226),AJ226-N(AJ222)-N(AJ223)-N(AJ224),"")</f>
        <v>-9</v>
      </c>
      <c r="AK225" s="37" t="n">
        <f aca="false">IF(ISNUMBER(AK226),AK226-N(AK222)-N(AK223)-N(AK224),"")</f>
        <v>-1</v>
      </c>
      <c r="AL225" s="37" t="n">
        <f aca="false">IF(ISNUMBER(AL226),AL226-N(AL222)-N(AL223)-N(AL224),"")</f>
        <v>0</v>
      </c>
      <c r="AM225" s="37" t="n">
        <f aca="false">IF(ISNUMBER(AM226),AM226-N(AM222)-N(AM223)-N(AM224),"")</f>
        <v>-1</v>
      </c>
      <c r="AN225" s="37" t="n">
        <f aca="false">IF(ISNUMBER(AN226),AN226-N(AN222)-N(AN223)-N(AN224),"")</f>
        <v>0</v>
      </c>
      <c r="AO225" s="37" t="n">
        <f aca="false">IF(ISNUMBER(AO226),AO226-N(AO222)-N(AO223)-N(AO224),"")</f>
        <v>-1</v>
      </c>
      <c r="AP225" s="37" t="n">
        <f aca="false">IF(ISNUMBER(AP226),AP226-N(AP222)-N(AP223)-N(AP224),"")</f>
        <v>-1</v>
      </c>
      <c r="AQ225" s="37" t="n">
        <f aca="false">IF(ISNUMBER(AQ226),AQ226-N(AQ222)-N(AQ223)-N(AQ224),"")</f>
        <v>0</v>
      </c>
      <c r="AR225" s="37" t="n">
        <f aca="false">IF(ISNUMBER(AR226),AR226-N(AR222)-N(AR223)-N(AR224),"")</f>
        <v>1</v>
      </c>
      <c r="AS225" s="37" t="n">
        <f aca="false">IF(ISNUMBER(AS226),AS226-N(AS222)-N(AS223)-N(AS224),"")</f>
        <v>1</v>
      </c>
      <c r="AT225" s="37" t="n">
        <f aca="false">IF(ISNUMBER(AT226),AT226-N(AT222)-N(AT223)-N(AT224),"")</f>
        <v>0</v>
      </c>
      <c r="AU225" s="37" t="n">
        <f aca="false">IF(ISNUMBER(AU226),AU226-N(AU222)-N(AU223)-N(AU224),"")</f>
        <v>0</v>
      </c>
      <c r="AV225" s="37" t="n">
        <f aca="false">IF(ISNUMBER(AV226),AV226-N(AV222)-N(AV223)-N(AV224),"")</f>
        <v>0</v>
      </c>
      <c r="AW225" s="37" t="n">
        <f aca="false">IF(ISNUMBER(AW226),AW226-N(AW222)-N(AW223)-N(AW224),"")</f>
        <v>0</v>
      </c>
      <c r="AX225" s="39" t="n">
        <f aca="false">AY225-AW225</f>
        <v>0</v>
      </c>
      <c r="AY225" s="47" t="n">
        <v>0</v>
      </c>
      <c r="AZ225" s="47" t="n">
        <v>0</v>
      </c>
      <c r="BA225" s="47" t="n">
        <v>0</v>
      </c>
      <c r="BB225" s="47" t="n">
        <v>0</v>
      </c>
      <c r="BC225" s="47" t="n">
        <v>0</v>
      </c>
      <c r="BD225" s="23"/>
      <c r="BF225" s="7"/>
      <c r="BG225" s="7"/>
      <c r="BH225" s="7"/>
      <c r="BI225" s="7"/>
    </row>
    <row r="226" customFormat="false" ht="15" hidden="false" customHeight="true" outlineLevel="0" collapsed="false">
      <c r="B226" s="19" t="s">
        <v>316</v>
      </c>
      <c r="C226" s="20"/>
      <c r="D226" s="20"/>
      <c r="E226" s="20"/>
      <c r="F226" s="21" t="n">
        <v>-127.5</v>
      </c>
      <c r="G226" s="21" t="n">
        <v>-140.9</v>
      </c>
      <c r="H226" s="21" t="n">
        <v>-451.8</v>
      </c>
      <c r="I226" s="21" t="n">
        <v>-762.6</v>
      </c>
      <c r="J226" s="21" t="n">
        <v>-272.5</v>
      </c>
      <c r="K226" s="20" t="n">
        <f aca="false">L226-J226</f>
        <v>-8.19999999999999</v>
      </c>
      <c r="L226" s="21" t="n">
        <v>-280.7</v>
      </c>
      <c r="M226" s="21" t="n">
        <v>-295</v>
      </c>
      <c r="N226" s="20" t="n">
        <f aca="false">O226-M226</f>
        <v>-4.89999999999998</v>
      </c>
      <c r="O226" s="21" t="n">
        <v>-299.9</v>
      </c>
      <c r="P226" s="21" t="n">
        <v>-837.7</v>
      </c>
      <c r="Q226" s="20" t="n">
        <f aca="false">R226-P226</f>
        <v>1</v>
      </c>
      <c r="R226" s="21" t="n">
        <v>-836.7</v>
      </c>
      <c r="S226" s="21" t="n">
        <v>-418.6</v>
      </c>
      <c r="T226" s="20" t="n">
        <f aca="false">U226-S226</f>
        <v>-52.6</v>
      </c>
      <c r="U226" s="21" t="n">
        <v>-471.2</v>
      </c>
      <c r="V226" s="21" t="n">
        <v>-415.7</v>
      </c>
      <c r="W226" s="20" t="n">
        <f aca="false">X226-V226</f>
        <v>-175.2</v>
      </c>
      <c r="X226" s="21" t="n">
        <v>-590.9</v>
      </c>
      <c r="Y226" s="21" t="n">
        <v>-1010.7</v>
      </c>
      <c r="Z226" s="20" t="n">
        <f aca="false">AA226-Y226</f>
        <v>-8.89999999999998</v>
      </c>
      <c r="AA226" s="21" t="n">
        <v>-1019.6</v>
      </c>
      <c r="AB226" s="21" t="n">
        <v>-613.9</v>
      </c>
      <c r="AC226" s="20" t="n">
        <f aca="false">AD226-AB226</f>
        <v>-128.9</v>
      </c>
      <c r="AD226" s="21" t="n">
        <v>-742.8</v>
      </c>
      <c r="AE226" s="21" t="n">
        <v>-730.9</v>
      </c>
      <c r="AF226" s="20" t="n">
        <f aca="false">AG226-AE226</f>
        <v>-79.3000000000001</v>
      </c>
      <c r="AG226" s="21" t="n">
        <v>-810.2</v>
      </c>
      <c r="AH226" s="21" t="n">
        <v>-756.9</v>
      </c>
      <c r="AI226" s="20" t="n">
        <f aca="false">AJ226-AH226</f>
        <v>-112.1</v>
      </c>
      <c r="AJ226" s="21" t="n">
        <v>-869</v>
      </c>
      <c r="AK226" s="21" t="n">
        <v>-1099</v>
      </c>
      <c r="AL226" s="20" t="n">
        <f aca="false">AM226-AK226</f>
        <v>-138</v>
      </c>
      <c r="AM226" s="21" t="n">
        <v>-1237</v>
      </c>
      <c r="AN226" s="21" t="n">
        <v>-1517</v>
      </c>
      <c r="AO226" s="20" t="n">
        <f aca="false">AP226-AN226</f>
        <v>-277</v>
      </c>
      <c r="AP226" s="21" t="n">
        <v>-1794</v>
      </c>
      <c r="AQ226" s="21" t="n">
        <v>-2799</v>
      </c>
      <c r="AR226" s="20" t="n">
        <f aca="false">AS226-AQ226</f>
        <v>-247</v>
      </c>
      <c r="AS226" s="21" t="n">
        <v>-3046</v>
      </c>
      <c r="AT226" s="21" t="n">
        <v>-2937</v>
      </c>
      <c r="AU226" s="20" t="n">
        <f aca="false">AV226-AT226</f>
        <v>-199</v>
      </c>
      <c r="AV226" s="21" t="n">
        <v>-3136</v>
      </c>
      <c r="AW226" s="21" t="n">
        <v>-2257</v>
      </c>
      <c r="AX226" s="22" t="n">
        <f aca="false">AY226-AW226</f>
        <v>-297.39</v>
      </c>
      <c r="AY226" s="22" t="n">
        <f aca="false">SUM(AY222:AY225)</f>
        <v>-2554.39</v>
      </c>
      <c r="AZ226" s="22" t="n">
        <f aca="false">SUM(AZ222:AZ225)</f>
        <v>-2682.57078653863</v>
      </c>
      <c r="BA226" s="22" t="n">
        <f aca="false">SUM(BA222:BA225)</f>
        <v>-2854.06080380263</v>
      </c>
      <c r="BB226" s="22" t="n">
        <f aca="false">SUM(BB222:BB225)</f>
        <v>-3075.5800386576</v>
      </c>
      <c r="BC226" s="22" t="n">
        <f aca="false">SUM(BC222:BC225)</f>
        <v>-3302.25457399461</v>
      </c>
      <c r="BD226" s="23"/>
      <c r="BF226" s="7"/>
      <c r="BG226" s="7"/>
      <c r="BH226" s="7"/>
      <c r="BI226" s="7"/>
    </row>
    <row r="227" customFormat="false" ht="15" hidden="false" customHeight="true" outlineLevel="0" collapsed="false">
      <c r="B227" s="13" t="s">
        <v>317</v>
      </c>
      <c r="C227" s="37" t="str">
        <f aca="false">IF(ISNUMBER(C228),C228-C217-C221-C226,"")</f>
        <v/>
      </c>
      <c r="D227" s="37" t="str">
        <f aca="false">IF(ISNUMBER(D228),D228-D217-D221-D226,"")</f>
        <v/>
      </c>
      <c r="E227" s="37" t="str">
        <f aca="false">IF(ISNUMBER(E228),E228-E217-E221-E226,"")</f>
        <v/>
      </c>
      <c r="F227" s="37" t="n">
        <f aca="false">IF(ISNUMBER(F228),F228-F217-F221-F226,"")</f>
        <v>5</v>
      </c>
      <c r="G227" s="37" t="n">
        <f aca="false">IF(ISNUMBER(G228),G228-G217-G221-G226,"")</f>
        <v>-13.9</v>
      </c>
      <c r="H227" s="37" t="n">
        <f aca="false">IF(ISNUMBER(H228),H228-H217-H221-H226,"")</f>
        <v>-6.69999999999988</v>
      </c>
      <c r="I227" s="37" t="n">
        <f aca="false">IF(ISNUMBER(I228),I228-I217-I221-I226,"")</f>
        <v>-1.90000000000009</v>
      </c>
      <c r="J227" s="37" t="n">
        <f aca="false">IF(ISNUMBER(J228),J228-J217-J221-J226,"")</f>
        <v>-3.09999999999997</v>
      </c>
      <c r="K227" s="37" t="n">
        <f aca="false">IF(ISNUMBER(K228),K228-K217-K221-K226,"")</f>
        <v>-16.6000000000001</v>
      </c>
      <c r="L227" s="37" t="n">
        <f aca="false">IF(ISNUMBER(L228),L228-L217-L221-L226,"")</f>
        <v>-19.7</v>
      </c>
      <c r="M227" s="37" t="n">
        <f aca="false">IF(ISNUMBER(M228),M228-M217-M221-M226,"")</f>
        <v>12.2</v>
      </c>
      <c r="N227" s="37" t="n">
        <f aca="false">IF(ISNUMBER(N228),N228-N217-N221-N226,"")</f>
        <v>35.3</v>
      </c>
      <c r="O227" s="37" t="n">
        <f aca="false">IF(ISNUMBER(O228),O228-O217-O221-O226,"")</f>
        <v>47.5000000000001</v>
      </c>
      <c r="P227" s="37" t="n">
        <f aca="false">IF(ISNUMBER(P228),P228-P217-P221-P226,"")</f>
        <v>45.6</v>
      </c>
      <c r="Q227" s="37" t="n">
        <f aca="false">IF(ISNUMBER(Q228),Q228-Q217-Q221-Q226,"")</f>
        <v>-3.70000000000013</v>
      </c>
      <c r="R227" s="37" t="n">
        <f aca="false">IF(ISNUMBER(R228),R228-R217-R221-R226,"")</f>
        <v>41.8999999999999</v>
      </c>
      <c r="S227" s="37" t="n">
        <f aca="false">IF(ISNUMBER(S228),S228-S217-S221-S226,"")</f>
        <v>-44.4</v>
      </c>
      <c r="T227" s="37" t="n">
        <f aca="false">IF(ISNUMBER(T228),T228-T217-T221-T226,"")</f>
        <v>9.89999999999986</v>
      </c>
      <c r="U227" s="37" t="n">
        <f aca="false">IF(ISNUMBER(U228),U228-U217-U221-U226,"")</f>
        <v>-34.5000000000001</v>
      </c>
      <c r="V227" s="37" t="n">
        <f aca="false">IF(ISNUMBER(V228),V228-V217-V221-V226,"")</f>
        <v>-44.7</v>
      </c>
      <c r="W227" s="37" t="n">
        <f aca="false">IF(ISNUMBER(W228),W228-W217-W221-W226,"")</f>
        <v>-31.4999999999999</v>
      </c>
      <c r="X227" s="37" t="n">
        <f aca="false">IF(ISNUMBER(X228),X228-X217-X221-X226,"")</f>
        <v>-76.1999999999999</v>
      </c>
      <c r="Y227" s="37" t="n">
        <f aca="false">IF(ISNUMBER(Y228),Y228-Y217-Y221-Y226,"")</f>
        <v>21.2</v>
      </c>
      <c r="Z227" s="37" t="n">
        <f aca="false">IF(ISNUMBER(Z228),Z228-Z217-Z221-Z226,"")</f>
        <v>31.6999999999999</v>
      </c>
      <c r="AA227" s="37" t="n">
        <f aca="false">IF(ISNUMBER(AA228),AA228-AA217-AA221-AA226,"")</f>
        <v>52.9</v>
      </c>
      <c r="AB227" s="37" t="n">
        <f aca="false">IF(ISNUMBER(AB228),AB228-AB217-AB221-AB226,"")</f>
        <v>26.6999999999999</v>
      </c>
      <c r="AC227" s="37" t="n">
        <f aca="false">IF(ISNUMBER(AC228),AC228-AC217-AC221-AC226,"")</f>
        <v>6.39999999999981</v>
      </c>
      <c r="AD227" s="37" t="n">
        <f aca="false">IF(ISNUMBER(AD228),AD228-AD217-AD221-AD226,"")</f>
        <v>33.0999999999998</v>
      </c>
      <c r="AE227" s="37" t="n">
        <f aca="false">IF(ISNUMBER(AE228),AE228-AE217-AE221-AE226,"")</f>
        <v>-14</v>
      </c>
      <c r="AF227" s="37" t="n">
        <f aca="false">IF(ISNUMBER(AF228),AF228-AF217-AF221-AF226,"")</f>
        <v>-40.7000000000001</v>
      </c>
      <c r="AG227" s="37" t="n">
        <f aca="false">IF(ISNUMBER(AG228),AG228-AG217-AG221-AG226,"")</f>
        <v>-54.7</v>
      </c>
      <c r="AH227" s="37" t="n">
        <f aca="false">IF(ISNUMBER(AH228),AH228-AH217-AH221-AH226,"")</f>
        <v>31.9999999999999</v>
      </c>
      <c r="AI227" s="37" t="n">
        <f aca="false">IF(ISNUMBER(AI228),AI228-AI217-AI221-AI226,"")</f>
        <v>79.0000000000001</v>
      </c>
      <c r="AJ227" s="37" t="n">
        <f aca="false">IF(ISNUMBER(AJ228),AJ228-AJ217-AJ221-AJ226,"")</f>
        <v>111</v>
      </c>
      <c r="AK227" s="37" t="n">
        <f aca="false">IF(ISNUMBER(AK228),AK228-AK217-AK221-AK226,"")</f>
        <v>151</v>
      </c>
      <c r="AL227" s="37" t="n">
        <f aca="false">IF(ISNUMBER(AL228),AL228-AL217-AL221-AL226,"")</f>
        <v>9</v>
      </c>
      <c r="AM227" s="37" t="n">
        <f aca="false">IF(ISNUMBER(AM228),AM228-AM217-AM221-AM226,"")</f>
        <v>160</v>
      </c>
      <c r="AN227" s="37" t="n">
        <f aca="false">IF(ISNUMBER(AN228),AN228-AN217-AN221-AN226,"")</f>
        <v>-153</v>
      </c>
      <c r="AO227" s="37" t="n">
        <f aca="false">IF(ISNUMBER(AO228),AO228-AO217-AO221-AO226,"")</f>
        <v>16</v>
      </c>
      <c r="AP227" s="37" t="n">
        <f aca="false">IF(ISNUMBER(AP228),AP228-AP217-AP221-AP226,"")</f>
        <v>-137</v>
      </c>
      <c r="AQ227" s="37" t="n">
        <f aca="false">IF(ISNUMBER(AQ228),AQ228-AQ217-AQ221-AQ226,"")</f>
        <v>34</v>
      </c>
      <c r="AR227" s="37" t="n">
        <f aca="false">IF(ISNUMBER(AR228),AR228-AR217-AR221-AR226,"")</f>
        <v>85</v>
      </c>
      <c r="AS227" s="37" t="n">
        <f aca="false">IF(ISNUMBER(AS228),AS228-AS217-AS221-AS226,"")</f>
        <v>119</v>
      </c>
      <c r="AT227" s="37" t="n">
        <f aca="false">IF(ISNUMBER(AT228),AT228-AT217-AT221-AT226,"")</f>
        <v>-331</v>
      </c>
      <c r="AU227" s="37" t="n">
        <f aca="false">IF(ISNUMBER(AU228),AU228-AU217-AU221-AU226,"")</f>
        <v>-34</v>
      </c>
      <c r="AV227" s="37" t="n">
        <f aca="false">IF(ISNUMBER(AV228),AV228-AV217-AV221-AV226,"")</f>
        <v>-365</v>
      </c>
      <c r="AW227" s="37" t="n">
        <f aca="false">IF(ISNUMBER(AW228),AW228-AW217-AW221-AW226,"")</f>
        <v>97</v>
      </c>
      <c r="AX227" s="39" t="n">
        <f aca="false">AY227-AW227</f>
        <v>-97</v>
      </c>
      <c r="AY227" s="47" t="n">
        <v>0</v>
      </c>
      <c r="AZ227" s="47" t="n">
        <v>0</v>
      </c>
      <c r="BA227" s="47" t="n">
        <v>0</v>
      </c>
      <c r="BB227" s="47" t="n">
        <v>0</v>
      </c>
      <c r="BC227" s="47" t="n">
        <v>0</v>
      </c>
      <c r="BD227" s="23"/>
      <c r="BF227" s="7"/>
      <c r="BG227" s="7"/>
      <c r="BH227" s="7"/>
      <c r="BI227" s="7"/>
    </row>
    <row r="228" customFormat="false" ht="15" hidden="false" customHeight="true" outlineLevel="0" collapsed="false">
      <c r="B228" s="19" t="s">
        <v>318</v>
      </c>
      <c r="C228" s="20"/>
      <c r="D228" s="20"/>
      <c r="E228" s="20"/>
      <c r="F228" s="21" t="n">
        <v>57.1</v>
      </c>
      <c r="G228" s="21" t="n">
        <v>320.9</v>
      </c>
      <c r="H228" s="21" t="n">
        <v>209.8</v>
      </c>
      <c r="I228" s="21" t="n">
        <v>-352.2</v>
      </c>
      <c r="J228" s="21" t="n">
        <v>-90.2</v>
      </c>
      <c r="K228" s="20" t="n">
        <f aca="false">L228-J228</f>
        <v>426.1</v>
      </c>
      <c r="L228" s="21" t="n">
        <v>335.9</v>
      </c>
      <c r="M228" s="21" t="n">
        <v>-76.2</v>
      </c>
      <c r="N228" s="20" t="n">
        <f aca="false">O228-M228</f>
        <v>475.8</v>
      </c>
      <c r="O228" s="21" t="n">
        <v>399.6</v>
      </c>
      <c r="P228" s="21" t="n">
        <v>-469.7</v>
      </c>
      <c r="Q228" s="20" t="n">
        <f aca="false">R228-P228</f>
        <v>619.3</v>
      </c>
      <c r="R228" s="21" t="n">
        <v>149.6</v>
      </c>
      <c r="S228" s="21" t="n">
        <v>-57.8</v>
      </c>
      <c r="T228" s="20" t="n">
        <f aca="false">U228-S228</f>
        <v>806.4</v>
      </c>
      <c r="U228" s="21" t="n">
        <v>748.6</v>
      </c>
      <c r="V228" s="21" t="n">
        <v>114.5</v>
      </c>
      <c r="W228" s="20" t="n">
        <f aca="false">X228-V228</f>
        <v>477.3</v>
      </c>
      <c r="X228" s="21" t="n">
        <v>591.8</v>
      </c>
      <c r="Y228" s="21" t="n">
        <v>-198.5</v>
      </c>
      <c r="Z228" s="20" t="n">
        <f aca="false">AA228-Y228</f>
        <v>751.9</v>
      </c>
      <c r="AA228" s="21" t="n">
        <v>553.4</v>
      </c>
      <c r="AB228" s="21" t="n">
        <v>66.6</v>
      </c>
      <c r="AC228" s="20" t="n">
        <f aca="false">AD228-AB228</f>
        <v>839.9</v>
      </c>
      <c r="AD228" s="21" t="n">
        <v>906.5</v>
      </c>
      <c r="AE228" s="21" t="n">
        <v>-629.8</v>
      </c>
      <c r="AF228" s="20" t="n">
        <f aca="false">AG228-AE228</f>
        <v>975.1</v>
      </c>
      <c r="AG228" s="21" t="n">
        <v>345.3</v>
      </c>
      <c r="AH228" s="21" t="n">
        <v>609.5</v>
      </c>
      <c r="AI228" s="20" t="n">
        <f aca="false">AJ228-AH228</f>
        <v>1368.5</v>
      </c>
      <c r="AJ228" s="21" t="n">
        <v>1978</v>
      </c>
      <c r="AK228" s="21" t="n">
        <v>585</v>
      </c>
      <c r="AL228" s="20" t="n">
        <f aca="false">AM228-AK228</f>
        <v>1943</v>
      </c>
      <c r="AM228" s="21" t="n">
        <v>2528</v>
      </c>
      <c r="AN228" s="21" t="n">
        <v>103</v>
      </c>
      <c r="AO228" s="20" t="n">
        <f aca="false">AP228-AN228</f>
        <v>1299</v>
      </c>
      <c r="AP228" s="21" t="n">
        <v>1402</v>
      </c>
      <c r="AQ228" s="21" t="n">
        <v>-1147</v>
      </c>
      <c r="AR228" s="20" t="n">
        <f aca="false">AS228-AQ228</f>
        <v>2164</v>
      </c>
      <c r="AS228" s="21" t="n">
        <v>1017</v>
      </c>
      <c r="AT228" s="21" t="n">
        <v>-1322</v>
      </c>
      <c r="AU228" s="20" t="n">
        <f aca="false">AV228-AT228</f>
        <v>1919</v>
      </c>
      <c r="AV228" s="21" t="n">
        <v>597</v>
      </c>
      <c r="AW228" s="21" t="n">
        <v>70</v>
      </c>
      <c r="AX228" s="22" t="n">
        <f aca="false">AY228-AW228</f>
        <v>1904.19026431301</v>
      </c>
      <c r="AY228" s="22" t="n">
        <f aca="false">AY217+AY221+AY226+AY227</f>
        <v>1974.19026431301</v>
      </c>
      <c r="AZ228" s="22" t="n">
        <f aca="false">AZ217+AZ221+AZ226+AZ227</f>
        <v>2267.37742978387</v>
      </c>
      <c r="BA228" s="22" t="n">
        <f aca="false">BA217+BA221+BA226+BA227</f>
        <v>2670.03060792107</v>
      </c>
      <c r="BB228" s="22" t="n">
        <f aca="false">BB217+BB221+BB226+BB227</f>
        <v>2953.92640375315</v>
      </c>
      <c r="BC228" s="22" t="n">
        <f aca="false">BC217+BC221+BC226+BC227</f>
        <v>3212.21869375651</v>
      </c>
      <c r="BD228" s="23"/>
      <c r="BF228" s="7"/>
      <c r="BG228" s="7"/>
      <c r="BH228" s="7"/>
      <c r="BI228" s="7"/>
    </row>
    <row r="229" customFormat="false" ht="15" hidden="false" customHeight="true" outlineLevel="0" collapsed="false">
      <c r="B229" s="13" t="s">
        <v>319</v>
      </c>
      <c r="C229" s="37"/>
      <c r="D229" s="37"/>
      <c r="E229" s="37"/>
      <c r="F229" s="38" t="n">
        <v>450.5</v>
      </c>
      <c r="G229" s="38" t="n">
        <v>507.6</v>
      </c>
      <c r="H229" s="38" t="n">
        <v>828.5</v>
      </c>
      <c r="I229" s="38" t="n">
        <v>1038.3</v>
      </c>
      <c r="J229" s="38" t="n">
        <v>686.1</v>
      </c>
      <c r="K229" s="37" t="n">
        <f aca="false">J230</f>
        <v>595.9</v>
      </c>
      <c r="L229" s="38" t="n">
        <v>686.1</v>
      </c>
      <c r="M229" s="38" t="n">
        <v>1022</v>
      </c>
      <c r="N229" s="37" t="n">
        <f aca="false">M230</f>
        <v>945.8</v>
      </c>
      <c r="O229" s="38" t="n">
        <v>1022</v>
      </c>
      <c r="P229" s="38" t="n">
        <v>1421.6</v>
      </c>
      <c r="Q229" s="37" t="n">
        <f aca="false">P230</f>
        <v>951.9</v>
      </c>
      <c r="R229" s="38" t="n">
        <v>1421.6</v>
      </c>
      <c r="S229" s="38" t="n">
        <v>1571.2</v>
      </c>
      <c r="T229" s="37" t="n">
        <f aca="false">S230</f>
        <v>1513.4</v>
      </c>
      <c r="U229" s="38" t="n">
        <v>1571.2</v>
      </c>
      <c r="V229" s="38" t="n">
        <v>2319.8</v>
      </c>
      <c r="W229" s="37" t="n">
        <f aca="false">V230</f>
        <v>2434.3</v>
      </c>
      <c r="X229" s="38" t="n">
        <v>2319.8</v>
      </c>
      <c r="Y229" s="38" t="n">
        <v>2911.7</v>
      </c>
      <c r="Z229" s="37" t="n">
        <f aca="false">Y230</f>
        <v>2713.2</v>
      </c>
      <c r="AA229" s="38" t="n">
        <v>2911.7</v>
      </c>
      <c r="AB229" s="38" t="n">
        <v>3465.1</v>
      </c>
      <c r="AC229" s="37" t="n">
        <f aca="false">AB230</f>
        <v>3531.7</v>
      </c>
      <c r="AD229" s="38" t="n">
        <v>3465.1</v>
      </c>
      <c r="AE229" s="38" t="n">
        <v>4371.6</v>
      </c>
      <c r="AF229" s="37" t="n">
        <f aca="false">AE230</f>
        <v>3741.8</v>
      </c>
      <c r="AG229" s="38" t="n">
        <v>4371.6</v>
      </c>
      <c r="AH229" s="38" t="n">
        <v>4716.9</v>
      </c>
      <c r="AI229" s="37" t="n">
        <f aca="false">AH230</f>
        <v>5326.4</v>
      </c>
      <c r="AJ229" s="38" t="n">
        <v>4717</v>
      </c>
      <c r="AK229" s="38" t="n">
        <v>6695</v>
      </c>
      <c r="AL229" s="37" t="n">
        <f aca="false">AK230</f>
        <v>7280</v>
      </c>
      <c r="AM229" s="38" t="n">
        <v>6695</v>
      </c>
      <c r="AN229" s="38" t="n">
        <v>9223</v>
      </c>
      <c r="AO229" s="37" t="n">
        <f aca="false">AN230</f>
        <v>9326</v>
      </c>
      <c r="AP229" s="38" t="n">
        <v>9223</v>
      </c>
      <c r="AQ229" s="38" t="n">
        <v>10625</v>
      </c>
      <c r="AR229" s="37" t="n">
        <f aca="false">AQ230</f>
        <v>9477</v>
      </c>
      <c r="AS229" s="38" t="n">
        <v>10625</v>
      </c>
      <c r="AT229" s="38" t="n">
        <v>11642</v>
      </c>
      <c r="AU229" s="37" t="n">
        <f aca="false">AT230</f>
        <v>10319</v>
      </c>
      <c r="AV229" s="38" t="n">
        <v>11642</v>
      </c>
      <c r="AW229" s="38" t="n">
        <v>12239</v>
      </c>
      <c r="AX229" s="39" t="n">
        <f aca="false">AW230</f>
        <v>12310</v>
      </c>
      <c r="AY229" s="39" t="n">
        <f aca="false">AV230</f>
        <v>12239</v>
      </c>
      <c r="AZ229" s="39" t="n">
        <f aca="false">AY230</f>
        <v>14213.190264313</v>
      </c>
      <c r="BA229" s="39" t="n">
        <f aca="false">AZ230</f>
        <v>16480.5676940969</v>
      </c>
      <c r="BB229" s="39" t="n">
        <f aca="false">BA230</f>
        <v>19150.598302018</v>
      </c>
      <c r="BC229" s="39" t="n">
        <f aca="false">BB230</f>
        <v>22104.5247057711</v>
      </c>
      <c r="BD229" s="23"/>
      <c r="BF229" s="7"/>
      <c r="BG229" s="7"/>
      <c r="BH229" s="7"/>
      <c r="BI229" s="7"/>
    </row>
    <row r="230" customFormat="false" ht="15" hidden="false" customHeight="true" outlineLevel="0" collapsed="false">
      <c r="B230" s="19" t="s">
        <v>320</v>
      </c>
      <c r="C230" s="20"/>
      <c r="D230" s="20"/>
      <c r="E230" s="20"/>
      <c r="F230" s="21" t="n">
        <v>507.6</v>
      </c>
      <c r="G230" s="21" t="n">
        <v>828.5</v>
      </c>
      <c r="H230" s="21" t="n">
        <v>1038.3</v>
      </c>
      <c r="I230" s="21" t="n">
        <v>686.1</v>
      </c>
      <c r="J230" s="21" t="n">
        <v>595.9</v>
      </c>
      <c r="K230" s="20" t="n">
        <f aca="false">L230</f>
        <v>1022</v>
      </c>
      <c r="L230" s="21" t="n">
        <v>1022</v>
      </c>
      <c r="M230" s="21" t="n">
        <v>945.8</v>
      </c>
      <c r="N230" s="20" t="n">
        <f aca="false">O230</f>
        <v>1421.6</v>
      </c>
      <c r="O230" s="21" t="n">
        <v>1421.6</v>
      </c>
      <c r="P230" s="21" t="n">
        <v>951.9</v>
      </c>
      <c r="Q230" s="20" t="n">
        <f aca="false">R230</f>
        <v>1571.2</v>
      </c>
      <c r="R230" s="21" t="n">
        <v>1571.2</v>
      </c>
      <c r="S230" s="21" t="n">
        <v>1513.4</v>
      </c>
      <c r="T230" s="20" t="n">
        <f aca="false">U230</f>
        <v>2319.8</v>
      </c>
      <c r="U230" s="21" t="n">
        <v>2319.8</v>
      </c>
      <c r="V230" s="21" t="n">
        <v>2434.3</v>
      </c>
      <c r="W230" s="20" t="n">
        <f aca="false">X230</f>
        <v>2911.7</v>
      </c>
      <c r="X230" s="21" t="n">
        <v>2911.7</v>
      </c>
      <c r="Y230" s="21" t="n">
        <v>2713.2</v>
      </c>
      <c r="Z230" s="20" t="n">
        <f aca="false">AA230</f>
        <v>3465.1</v>
      </c>
      <c r="AA230" s="21" t="n">
        <v>3465.1</v>
      </c>
      <c r="AB230" s="21" t="n">
        <v>3531.7</v>
      </c>
      <c r="AC230" s="20" t="n">
        <f aca="false">AD230</f>
        <v>4371.6</v>
      </c>
      <c r="AD230" s="21" t="n">
        <v>4371.6</v>
      </c>
      <c r="AE230" s="21" t="n">
        <v>3741.8</v>
      </c>
      <c r="AF230" s="20" t="n">
        <f aca="false">AG230</f>
        <v>4716.9</v>
      </c>
      <c r="AG230" s="21" t="n">
        <v>4716.9</v>
      </c>
      <c r="AH230" s="21" t="n">
        <v>5326.4</v>
      </c>
      <c r="AI230" s="20" t="n">
        <f aca="false">AJ230</f>
        <v>6695</v>
      </c>
      <c r="AJ230" s="21" t="n">
        <v>6695</v>
      </c>
      <c r="AK230" s="21" t="n">
        <v>7280</v>
      </c>
      <c r="AL230" s="20" t="n">
        <f aca="false">AM230</f>
        <v>9223</v>
      </c>
      <c r="AM230" s="21" t="n">
        <v>9223</v>
      </c>
      <c r="AN230" s="21" t="n">
        <v>9326</v>
      </c>
      <c r="AO230" s="20" t="n">
        <f aca="false">AP230</f>
        <v>10625</v>
      </c>
      <c r="AP230" s="21" t="n">
        <v>10625</v>
      </c>
      <c r="AQ230" s="21" t="n">
        <v>9477</v>
      </c>
      <c r="AR230" s="20" t="n">
        <f aca="false">AS230</f>
        <v>11642</v>
      </c>
      <c r="AS230" s="21" t="n">
        <v>11642</v>
      </c>
      <c r="AT230" s="21" t="n">
        <v>10319</v>
      </c>
      <c r="AU230" s="20" t="n">
        <f aca="false">AV230</f>
        <v>12239</v>
      </c>
      <c r="AV230" s="21" t="n">
        <v>12239</v>
      </c>
      <c r="AW230" s="21" t="n">
        <v>12310</v>
      </c>
      <c r="AX230" s="22" t="n">
        <f aca="false">AY230</f>
        <v>14213.190264313</v>
      </c>
      <c r="AY230" s="22" t="n">
        <f aca="false">AY229+AY228</f>
        <v>14213.190264313</v>
      </c>
      <c r="AZ230" s="22" t="n">
        <f aca="false">AZ229+AZ228</f>
        <v>16480.5676940969</v>
      </c>
      <c r="BA230" s="22" t="n">
        <f aca="false">BA229+BA228</f>
        <v>19150.598302018</v>
      </c>
      <c r="BB230" s="22" t="n">
        <f aca="false">BB229+BB228</f>
        <v>22104.5247057711</v>
      </c>
      <c r="BC230" s="22" t="n">
        <f aca="false">BC229+BC228</f>
        <v>25316.7433995276</v>
      </c>
      <c r="BD230" s="23"/>
      <c r="BF230" s="7"/>
      <c r="BG230" s="7"/>
      <c r="BH230" s="7"/>
      <c r="BI230" s="7"/>
    </row>
    <row r="231" customFormat="false" ht="15" hidden="false" customHeight="true" outlineLevel="0" collapsed="false">
      <c r="B231" s="43" t="s">
        <v>321</v>
      </c>
      <c r="C231" s="37" t="str">
        <f aca="false">IF(AND(ISNUMBER(C229),ISNUMBER(C230)),ROUND(C229+C228-C230,1),"")</f>
        <v/>
      </c>
      <c r="D231" s="37" t="str">
        <f aca="false">IF(AND(ISNUMBER(D229),ISNUMBER(D230)),ROUND(D229+D228-D230,1),"")</f>
        <v/>
      </c>
      <c r="E231" s="37" t="str">
        <f aca="false">IF(AND(ISNUMBER(E229),ISNUMBER(E230)),ROUND(E229+E228-E230,1),"")</f>
        <v/>
      </c>
      <c r="F231" s="37" t="n">
        <f aca="false">IF(AND(ISNUMBER(F229),ISNUMBER(F230)),ROUND(F229+F228-F230,1),"")</f>
        <v>0</v>
      </c>
      <c r="G231" s="37" t="n">
        <f aca="false">IF(AND(ISNUMBER(G229),ISNUMBER(G230)),ROUND(G229+G228-G230,1),"")</f>
        <v>0</v>
      </c>
      <c r="H231" s="37" t="n">
        <f aca="false">IF(AND(ISNUMBER(H229),ISNUMBER(H230)),ROUND(H229+H228-H230,1),"")</f>
        <v>0</v>
      </c>
      <c r="I231" s="37" t="n">
        <f aca="false">IF(AND(ISNUMBER(I229),ISNUMBER(I230)),ROUND(I229+I228-I230,1),"")</f>
        <v>0</v>
      </c>
      <c r="J231" s="37" t="n">
        <f aca="false">IF(AND(ISNUMBER(J229),ISNUMBER(J230)),ROUND(J229+J228-J230,1),"")</f>
        <v>0</v>
      </c>
      <c r="K231" s="37" t="n">
        <f aca="false">IF(AND(ISNUMBER(K229),ISNUMBER(K230)),ROUND(K229+K228-K230,1),"")</f>
        <v>0</v>
      </c>
      <c r="L231" s="37" t="n">
        <f aca="false">IF(AND(ISNUMBER(L229),ISNUMBER(L230)),ROUND(L229+L228-L230,1),"")</f>
        <v>0</v>
      </c>
      <c r="M231" s="37" t="n">
        <f aca="false">IF(AND(ISNUMBER(M229),ISNUMBER(M230)),ROUND(M229+M228-M230,1),"")</f>
        <v>0</v>
      </c>
      <c r="N231" s="37" t="n">
        <f aca="false">IF(AND(ISNUMBER(N229),ISNUMBER(N230)),ROUND(N229+N228-N230,1),"")</f>
        <v>0</v>
      </c>
      <c r="O231" s="37" t="n">
        <f aca="false">IF(AND(ISNUMBER(O229),ISNUMBER(O230)),ROUND(O229+O228-O230,1),"")</f>
        <v>0</v>
      </c>
      <c r="P231" s="37" t="n">
        <f aca="false">IF(AND(ISNUMBER(P229),ISNUMBER(P230)),ROUND(P229+P228-P230,1),"")</f>
        <v>0</v>
      </c>
      <c r="Q231" s="37" t="n">
        <f aca="false">IF(AND(ISNUMBER(Q229),ISNUMBER(Q230)),ROUND(Q229+Q228-Q230,1),"")</f>
        <v>0</v>
      </c>
      <c r="R231" s="37" t="n">
        <f aca="false">IF(AND(ISNUMBER(R229),ISNUMBER(R230)),ROUND(R229+R228-R230,1),"")</f>
        <v>0</v>
      </c>
      <c r="S231" s="37" t="n">
        <f aca="false">IF(AND(ISNUMBER(S229),ISNUMBER(S230)),ROUND(S229+S228-S230,1),"")</f>
        <v>0</v>
      </c>
      <c r="T231" s="37" t="n">
        <f aca="false">IF(AND(ISNUMBER(T229),ISNUMBER(T230)),ROUND(T229+T228-T230,1),"")</f>
        <v>0</v>
      </c>
      <c r="U231" s="37" t="n">
        <f aca="false">IF(AND(ISNUMBER(U229),ISNUMBER(U230)),ROUND(U229+U228-U230,1),"")</f>
        <v>0</v>
      </c>
      <c r="V231" s="37" t="n">
        <f aca="false">IF(AND(ISNUMBER(V229),ISNUMBER(V230)),ROUND(V229+V228-V230,1),"")</f>
        <v>0</v>
      </c>
      <c r="W231" s="37" t="n">
        <f aca="false">IF(AND(ISNUMBER(W229),ISNUMBER(W230)),ROUND(W229+W228-W230,1),"")</f>
        <v>-0.1</v>
      </c>
      <c r="X231" s="37" t="n">
        <f aca="false">IF(AND(ISNUMBER(X229),ISNUMBER(X230)),ROUND(X229+X228-X230,1),"")</f>
        <v>-0.1</v>
      </c>
      <c r="Y231" s="37" t="n">
        <f aca="false">IF(AND(ISNUMBER(Y229),ISNUMBER(Y230)),ROUND(Y229+Y228-Y230,1),"")</f>
        <v>0</v>
      </c>
      <c r="Z231" s="37" t="n">
        <f aca="false">IF(AND(ISNUMBER(Z229),ISNUMBER(Z230)),ROUND(Z229+Z228-Z230,1),"")</f>
        <v>0</v>
      </c>
      <c r="AA231" s="37" t="n">
        <f aca="false">IF(AND(ISNUMBER(AA229),ISNUMBER(AA230)),ROUND(AA229+AA228-AA230,1),"")</f>
        <v>0</v>
      </c>
      <c r="AB231" s="37" t="n">
        <f aca="false">IF(AND(ISNUMBER(AB229),ISNUMBER(AB230)),ROUND(AB229+AB228-AB230,1),"")</f>
        <v>0</v>
      </c>
      <c r="AC231" s="37" t="n">
        <f aca="false">IF(AND(ISNUMBER(AC229),ISNUMBER(AC230)),ROUND(AC229+AC228-AC230,1),"")</f>
        <v>0</v>
      </c>
      <c r="AD231" s="37" t="n">
        <f aca="false">IF(AND(ISNUMBER(AD229),ISNUMBER(AD230)),ROUND(AD229+AD228-AD230,1),"")</f>
        <v>0</v>
      </c>
      <c r="AE231" s="37" t="n">
        <f aca="false">IF(AND(ISNUMBER(AE229),ISNUMBER(AE230)),ROUND(AE229+AE228-AE230,1),"")</f>
        <v>0</v>
      </c>
      <c r="AF231" s="37" t="n">
        <f aca="false">IF(AND(ISNUMBER(AF229),ISNUMBER(AF230)),ROUND(AF229+AF228-AF230,1),"")</f>
        <v>0</v>
      </c>
      <c r="AG231" s="37" t="n">
        <f aca="false">IF(AND(ISNUMBER(AG229),ISNUMBER(AG230)),ROUND(AG229+AG228-AG230,1),"")</f>
        <v>0</v>
      </c>
      <c r="AH231" s="37" t="n">
        <f aca="false">IF(AND(ISNUMBER(AH229),ISNUMBER(AH230)),ROUND(AH229+AH228-AH230,1),"")</f>
        <v>0</v>
      </c>
      <c r="AI231" s="37" t="n">
        <f aca="false">IF(AND(ISNUMBER(AI229),ISNUMBER(AI230)),ROUND(AI229+AI228-AI230,1),"")</f>
        <v>-0.1</v>
      </c>
      <c r="AJ231" s="37" t="n">
        <f aca="false">IF(AND(ISNUMBER(AJ229),ISNUMBER(AJ230)),ROUND(AJ229+AJ228-AJ230,1),"")</f>
        <v>0</v>
      </c>
      <c r="AK231" s="37" t="n">
        <f aca="false">IF(AND(ISNUMBER(AK229),ISNUMBER(AK230)),ROUND(AK229+AK228-AK230,1),"")</f>
        <v>0</v>
      </c>
      <c r="AL231" s="37" t="n">
        <f aca="false">IF(AND(ISNUMBER(AL229),ISNUMBER(AL230)),ROUND(AL229+AL228-AL230,1),"")</f>
        <v>0</v>
      </c>
      <c r="AM231" s="37" t="n">
        <f aca="false">IF(AND(ISNUMBER(AM229),ISNUMBER(AM230)),ROUND(AM229+AM228-AM230,1),"")</f>
        <v>0</v>
      </c>
      <c r="AN231" s="37" t="n">
        <f aca="false">IF(AND(ISNUMBER(AN229),ISNUMBER(AN230)),ROUND(AN229+AN228-AN230,1),"")</f>
        <v>0</v>
      </c>
      <c r="AO231" s="37" t="n">
        <f aca="false">IF(AND(ISNUMBER(AO229),ISNUMBER(AO230)),ROUND(AO229+AO228-AO230,1),"")</f>
        <v>0</v>
      </c>
      <c r="AP231" s="37" t="n">
        <f aca="false">IF(AND(ISNUMBER(AP229),ISNUMBER(AP230)),ROUND(AP229+AP228-AP230,1),"")</f>
        <v>0</v>
      </c>
      <c r="AQ231" s="37" t="n">
        <f aca="false">IF(AND(ISNUMBER(AQ229),ISNUMBER(AQ230)),ROUND(AQ229+AQ228-AQ230,1),"")</f>
        <v>1</v>
      </c>
      <c r="AR231" s="37" t="n">
        <f aca="false">IF(AND(ISNUMBER(AR229),ISNUMBER(AR230)),ROUND(AR229+AR228-AR230,1),"")</f>
        <v>-1</v>
      </c>
      <c r="AS231" s="37" t="n">
        <f aca="false">IF(AND(ISNUMBER(AS229),ISNUMBER(AS230)),ROUND(AS229+AS228-AS230,1),"")</f>
        <v>0</v>
      </c>
      <c r="AT231" s="37" t="n">
        <f aca="false">IF(AND(ISNUMBER(AT229),ISNUMBER(AT230)),ROUND(AT229+AT228-AT230,1),"")</f>
        <v>1</v>
      </c>
      <c r="AU231" s="37" t="n">
        <f aca="false">IF(AND(ISNUMBER(AU229),ISNUMBER(AU230)),ROUND(AU229+AU228-AU230,1),"")</f>
        <v>-1</v>
      </c>
      <c r="AV231" s="37" t="n">
        <f aca="false">IF(AND(ISNUMBER(AV229),ISNUMBER(AV230)),ROUND(AV229+AV228-AV230,1),"")</f>
        <v>0</v>
      </c>
      <c r="AW231" s="37" t="n">
        <f aca="false">IF(AND(ISNUMBER(AW229),ISNUMBER(AW230)),ROUND(AW229+AW228-AW230,1),"")</f>
        <v>-1</v>
      </c>
      <c r="AX231" s="39" t="n">
        <f aca="false">ROUND(AX229+AX228-AX230,1)</f>
        <v>1</v>
      </c>
      <c r="AY231" s="39" t="n">
        <f aca="false">ROUND(AY229+AY228-AY230,1)</f>
        <v>0</v>
      </c>
      <c r="AZ231" s="39" t="n">
        <f aca="false">ROUND(AZ229+AZ228-AZ230,1)</f>
        <v>0</v>
      </c>
      <c r="BA231" s="39" t="n">
        <f aca="false">ROUND(BA229+BA228-BA230,1)</f>
        <v>0</v>
      </c>
      <c r="BB231" s="39" t="n">
        <f aca="false">ROUND(BB229+BB228-BB230,1)</f>
        <v>0</v>
      </c>
      <c r="BC231" s="39" t="n">
        <f aca="false">ROUND(BC229+BC228-BC230,1)</f>
        <v>0</v>
      </c>
      <c r="BD231" s="23"/>
      <c r="BF231" s="7"/>
      <c r="BG231" s="7"/>
      <c r="BH231" s="7"/>
      <c r="BI231" s="7"/>
    </row>
    <row r="232" customFormat="false" ht="15" hidden="false" customHeight="true" outlineLevel="0" collapsed="false">
      <c r="B232" s="43" t="s">
        <v>322</v>
      </c>
      <c r="C232" s="37" t="str">
        <f aca="false">IF(AND(ISNUMBER(C274),ISNUMBER(C230)),ROUND(C274-N(C303)-C230,0),"")</f>
        <v/>
      </c>
      <c r="D232" s="37" t="str">
        <f aca="false">IF(AND(ISNUMBER(D274),ISNUMBER(D230)),ROUND(D274-N(D303)-D230,0),"")</f>
        <v/>
      </c>
      <c r="E232" s="37" t="str">
        <f aca="false">IF(AND(ISNUMBER(E274),ISNUMBER(E230)),ROUND(E274-N(E303)-E230,0),"")</f>
        <v/>
      </c>
      <c r="F232" s="37" t="n">
        <f aca="false">IF(AND(ISNUMBER(F274),ISNUMBER(F230)),ROUND(F274-N(F303)-F230,0),"")</f>
        <v>0</v>
      </c>
      <c r="G232" s="37" t="n">
        <f aca="false">IF(AND(ISNUMBER(G274),ISNUMBER(G230)),ROUND(G274-N(G303)-G230,0),"")</f>
        <v>-1</v>
      </c>
      <c r="H232" s="37" t="n">
        <f aca="false">IF(AND(ISNUMBER(H274),ISNUMBER(H230)),ROUND(H274-N(H303)-H230,0),"")</f>
        <v>0</v>
      </c>
      <c r="I232" s="37" t="n">
        <f aca="false">IF(AND(ISNUMBER(I274),ISNUMBER(I230)),ROUND(I274-N(I303)-I230,0),"")</f>
        <v>-0</v>
      </c>
      <c r="J232" s="37" t="n">
        <f aca="false">IF(AND(ISNUMBER(J274),ISNUMBER(J230)),ROUND(J274-N(J303)-J230,0),"")</f>
        <v>-1</v>
      </c>
      <c r="K232" s="37" t="n">
        <f aca="false">IF(AND(ISNUMBER(K274),ISNUMBER(K230)),ROUND(K274-N(K303)-K230,0),"")</f>
        <v>-0</v>
      </c>
      <c r="L232" s="37" t="n">
        <f aca="false">IF(AND(ISNUMBER(L274),ISNUMBER(L230)),ROUND(L274-N(L303)-L230,0),"")</f>
        <v>-0</v>
      </c>
      <c r="M232" s="37" t="n">
        <f aca="false">IF(AND(ISNUMBER(M274),ISNUMBER(M230)),ROUND(M274-N(M303)-M230,0),"")</f>
        <v>0</v>
      </c>
      <c r="N232" s="37" t="n">
        <f aca="false">IF(AND(ISNUMBER(N274),ISNUMBER(N230)),ROUND(N274-N(N303)-N230,0),"")</f>
        <v>-2</v>
      </c>
      <c r="O232" s="37" t="n">
        <f aca="false">IF(AND(ISNUMBER(O274),ISNUMBER(O230)),ROUND(O274-N(O303)-O230,0),"")</f>
        <v>-2</v>
      </c>
      <c r="P232" s="37" t="n">
        <f aca="false">IF(AND(ISNUMBER(P274),ISNUMBER(P230)),ROUND(P274-N(P303)-P230,0),"")</f>
        <v>-1</v>
      </c>
      <c r="Q232" s="37" t="n">
        <f aca="false">IF(AND(ISNUMBER(Q274),ISNUMBER(Q230)),ROUND(Q274-N(Q303)-Q230,0),"")</f>
        <v>0</v>
      </c>
      <c r="R232" s="37" t="n">
        <f aca="false">IF(AND(ISNUMBER(R274),ISNUMBER(R230)),ROUND(R274-N(R303)-R230,0),"")</f>
        <v>0</v>
      </c>
      <c r="S232" s="37" t="n">
        <f aca="false">IF(AND(ISNUMBER(S274),ISNUMBER(S230)),ROUND(S274-N(S303)-S230,0),"")</f>
        <v>0</v>
      </c>
      <c r="T232" s="37" t="n">
        <f aca="false">IF(AND(ISNUMBER(T274),ISNUMBER(T230)),ROUND(T274-N(T303)-T230,0),"")</f>
        <v>1</v>
      </c>
      <c r="U232" s="37" t="n">
        <f aca="false">IF(AND(ISNUMBER(U274),ISNUMBER(U230)),ROUND(U274-N(U303)-U230,0),"")</f>
        <v>1</v>
      </c>
      <c r="V232" s="37" t="n">
        <f aca="false">IF(AND(ISNUMBER(V274),ISNUMBER(V230)),ROUND(V274-N(V303)-V230,0),"")</f>
        <v>-0</v>
      </c>
      <c r="W232" s="37" t="n">
        <f aca="false">IF(AND(ISNUMBER(W274),ISNUMBER(W230)),ROUND(W274-N(W303)-W230,0),"")</f>
        <v>-0</v>
      </c>
      <c r="X232" s="37" t="n">
        <f aca="false">IF(AND(ISNUMBER(X274),ISNUMBER(X230)),ROUND(X274-N(X303)-X230,0),"")</f>
        <v>-0</v>
      </c>
      <c r="Y232" s="37" t="n">
        <f aca="false">IF(AND(ISNUMBER(Y274),ISNUMBER(Y230)),ROUND(Y274-N(Y303)-Y230,0),"")</f>
        <v>-0</v>
      </c>
      <c r="Z232" s="37" t="n">
        <f aca="false">IF(AND(ISNUMBER(Z274),ISNUMBER(Z230)),ROUND(Z274-N(Z303)-Z230,0),"")</f>
        <v>-0</v>
      </c>
      <c r="AA232" s="37" t="n">
        <f aca="false">IF(AND(ISNUMBER(AA274),ISNUMBER(AA230)),ROUND(AA274-N(AA303)-AA230,0),"")</f>
        <v>-0</v>
      </c>
      <c r="AB232" s="37" t="n">
        <f aca="false">IF(AND(ISNUMBER(AB274),ISNUMBER(AB230)),ROUND(AB274-N(AB303)-AB230,0),"")</f>
        <v>-0</v>
      </c>
      <c r="AC232" s="37" t="n">
        <f aca="false">IF(AND(ISNUMBER(AC274),ISNUMBER(AC230)),ROUND(AC274-N(AC303)-AC230,0),"")</f>
        <v>0</v>
      </c>
      <c r="AD232" s="37" t="n">
        <f aca="false">IF(AND(ISNUMBER(AD274),ISNUMBER(AD230)),ROUND(AD274-N(AD303)-AD230,0),"")</f>
        <v>0</v>
      </c>
      <c r="AE232" s="37" t="n">
        <f aca="false">IF(AND(ISNUMBER(AE274),ISNUMBER(AE230)),ROUND(AE274-N(AE303)-AE230,0),"")</f>
        <v>0</v>
      </c>
      <c r="AF232" s="37" t="n">
        <f aca="false">IF(AND(ISNUMBER(AF274),ISNUMBER(AF230)),ROUND(AF274-N(AF303)-AF230,0),"")</f>
        <v>-1</v>
      </c>
      <c r="AG232" s="37" t="n">
        <f aca="false">IF(AND(ISNUMBER(AG274),ISNUMBER(AG230)),ROUND(AG274-N(AG303)-AG230,0),"")</f>
        <v>-1</v>
      </c>
      <c r="AH232" s="37" t="n">
        <f aca="false">IF(AND(ISNUMBER(AH274),ISNUMBER(AH230)),ROUND(AH274-N(AH303)-AH230,0),"")</f>
        <v>-0</v>
      </c>
      <c r="AI232" s="37" t="n">
        <f aca="false">IF(AND(ISNUMBER(AI274),ISNUMBER(AI230)),ROUND(AI274-N(AI303)-AI230,0),"")</f>
        <v>0</v>
      </c>
      <c r="AJ232" s="37" t="n">
        <f aca="false">IF(AND(ISNUMBER(AJ274),ISNUMBER(AJ230)),ROUND(AJ274-N(AJ303)-AJ230,0),"")</f>
        <v>0</v>
      </c>
      <c r="AK232" s="37" t="n">
        <f aca="false">IF(AND(ISNUMBER(AK274),ISNUMBER(AK230)),ROUND(AK274-N(AK303)-AK230,0),"")</f>
        <v>-1</v>
      </c>
      <c r="AL232" s="37" t="n">
        <f aca="false">IF(AND(ISNUMBER(AL274),ISNUMBER(AL230)),ROUND(AL274-N(AL303)-AL230,0),"")</f>
        <v>0</v>
      </c>
      <c r="AM232" s="37" t="n">
        <f aca="false">IF(AND(ISNUMBER(AM274),ISNUMBER(AM230)),ROUND(AM274-N(AM303)-AM230,0),"")</f>
        <v>0</v>
      </c>
      <c r="AN232" s="37" t="n">
        <f aca="false">IF(AND(ISNUMBER(AN274),ISNUMBER(AN230)),ROUND(AN274-N(AN303)-AN230,0),"")</f>
        <v>0</v>
      </c>
      <c r="AO232" s="37" t="n">
        <f aca="false">IF(AND(ISNUMBER(AO274),ISNUMBER(AO230)),ROUND(AO274-N(AO303)-AO230,0),"")</f>
        <v>-1</v>
      </c>
      <c r="AP232" s="37" t="n">
        <f aca="false">IF(AND(ISNUMBER(AP274),ISNUMBER(AP230)),ROUND(AP274-N(AP303)-AP230,0),"")</f>
        <v>-1</v>
      </c>
      <c r="AQ232" s="37" t="n">
        <f aca="false">IF(AND(ISNUMBER(AQ274),ISNUMBER(AQ230)),ROUND(AQ274-N(AQ303)-AQ230,0),"")</f>
        <v>0</v>
      </c>
      <c r="AR232" s="37" t="n">
        <f aca="false">IF(AND(ISNUMBER(AR274),ISNUMBER(AR230)),ROUND(AR274-N(AR303)-AR230,0),"")</f>
        <v>0</v>
      </c>
      <c r="AS232" s="37" t="n">
        <f aca="false">IF(AND(ISNUMBER(AS274),ISNUMBER(AS230)),ROUND(AS274-N(AS303)-AS230,0),"")</f>
        <v>0</v>
      </c>
      <c r="AT232" s="37" t="n">
        <f aca="false">IF(AND(ISNUMBER(AT274),ISNUMBER(AT230)),ROUND(AT274-N(AT303)-AT230,0),"")</f>
        <v>0</v>
      </c>
      <c r="AU232" s="37" t="n">
        <f aca="false">IF(AND(ISNUMBER(AU274),ISNUMBER(AU230)),ROUND(AU274-N(AU303)-AU230,0),"")</f>
        <v>0</v>
      </c>
      <c r="AV232" s="37" t="n">
        <f aca="false">IF(AND(ISNUMBER(AV274),ISNUMBER(AV230)),ROUND(AV274-N(AV303)-AV230,0),"")</f>
        <v>0</v>
      </c>
      <c r="AW232" s="37" t="n">
        <f aca="false">IF(AND(ISNUMBER(AW274),ISNUMBER(AW230)),ROUND(AW274-N(AW303)-AW230,0),"")</f>
        <v>-1</v>
      </c>
      <c r="AX232" s="39" t="n">
        <f aca="false">ROUND(AX274-AX303-AX230,0)</f>
        <v>0</v>
      </c>
      <c r="AY232" s="39" t="n">
        <f aca="false">ROUND(AY274-AY303-AY230,0)</f>
        <v>0</v>
      </c>
      <c r="AZ232" s="39" t="n">
        <f aca="false">ROUND(AZ274-AZ303-AZ230,0)</f>
        <v>0</v>
      </c>
      <c r="BA232" s="39" t="n">
        <f aca="false">ROUND(BA274-BA303-BA230,0)</f>
        <v>0</v>
      </c>
      <c r="BB232" s="39" t="n">
        <f aca="false">ROUND(BB274-BB303-BB230,0)</f>
        <v>0</v>
      </c>
      <c r="BC232" s="39" t="n">
        <f aca="false">ROUND(BC274-BC303-BC230,0)</f>
        <v>0</v>
      </c>
      <c r="BD232" s="23"/>
      <c r="BF232" s="7"/>
      <c r="BG232" s="7"/>
      <c r="BH232" s="7"/>
      <c r="BI232" s="7"/>
    </row>
    <row r="233" customFormat="false" ht="15" hidden="false" customHeight="true" outlineLevel="0" collapsed="false">
      <c r="B233" s="13"/>
      <c r="AX233" s="7"/>
      <c r="AY233" s="7"/>
      <c r="AZ233" s="7"/>
      <c r="BA233" s="7"/>
      <c r="BB233" s="7"/>
      <c r="BC233" s="7"/>
      <c r="BD233" s="7"/>
    </row>
    <row r="234" customFormat="false" ht="15" hidden="false" customHeight="true" outlineLevel="0" collapsed="false">
      <c r="B234" s="12" t="s">
        <v>323</v>
      </c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 t="s">
        <v>324</v>
      </c>
    </row>
    <row r="235" customFormat="false" ht="15" hidden="false" customHeight="true" outlineLevel="0" collapsed="false">
      <c r="B235" s="19" t="s">
        <v>298</v>
      </c>
      <c r="C235" s="20" t="n">
        <f aca="false">IF(ISNUMBER(C214),C214,"")</f>
        <v>321.7</v>
      </c>
      <c r="D235" s="20" t="n">
        <f aca="false">IF(ISNUMBER(D214),D214,"")</f>
        <v>356.6</v>
      </c>
      <c r="E235" s="20" t="n">
        <f aca="false">IF(ISNUMBER(E214),E214,"")</f>
        <v>378.9</v>
      </c>
      <c r="F235" s="20" t="n">
        <f aca="false">IF(ISNUMBER(F214),F214,"")</f>
        <v>401.1</v>
      </c>
      <c r="G235" s="20" t="n">
        <f aca="false">IF(ISNUMBER(G214),G214,"")</f>
        <v>571.5</v>
      </c>
      <c r="H235" s="20" t="n">
        <f aca="false">IF(ISNUMBER(H214),H214,"")</f>
        <v>722.8</v>
      </c>
      <c r="I235" s="20" t="n">
        <f aca="false">IF(ISNUMBER(I214),I214,"")</f>
        <v>884.8</v>
      </c>
      <c r="J235" s="20" t="n">
        <f aca="false">IF(ISNUMBER(J214),J214,"")</f>
        <v>476.2</v>
      </c>
      <c r="K235" s="20" t="n">
        <f aca="false">IF(ISNUMBER(K214),K214,"")</f>
        <v>539.7</v>
      </c>
      <c r="L235" s="20" t="n">
        <f aca="false">IF(ISNUMBER(L214),L214,"")</f>
        <v>1015.9</v>
      </c>
      <c r="M235" s="20" t="n">
        <f aca="false">IF(ISNUMBER(M214),M214,"")</f>
        <v>499.1</v>
      </c>
      <c r="N235" s="20" t="n">
        <f aca="false">IF(ISNUMBER(N214),N214,"")</f>
        <v>549.6</v>
      </c>
      <c r="O235" s="20" t="n">
        <f aca="false">IF(ISNUMBER(O214),O214,"")</f>
        <v>1048.7</v>
      </c>
      <c r="P235" s="20" t="n">
        <f aca="false">IF(ISNUMBER(P214),P214,"")</f>
        <v>573.9</v>
      </c>
      <c r="Q235" s="20" t="n">
        <f aca="false">IF(ISNUMBER(Q214),Q214,"")</f>
        <v>644.3</v>
      </c>
      <c r="R235" s="20" t="n">
        <f aca="false">IF(ISNUMBER(R214),R214,"")</f>
        <v>1218.2</v>
      </c>
      <c r="S235" s="20" t="n">
        <f aca="false">IF(ISNUMBER(S214),S214,"")</f>
        <v>699.4</v>
      </c>
      <c r="T235" s="20" t="n">
        <f aca="false">IF(ISNUMBER(T214),T214,"")</f>
        <v>739.3</v>
      </c>
      <c r="U235" s="20" t="n">
        <f aca="false">IF(ISNUMBER(U214),U214,"")</f>
        <v>1438.7</v>
      </c>
      <c r="V235" s="20" t="n">
        <f aca="false">IF(ISNUMBER(V214),V214,"")</f>
        <v>794.2</v>
      </c>
      <c r="W235" s="20" t="n">
        <f aca="false">IF(ISNUMBER(W214),W214,"")</f>
        <v>803.9</v>
      </c>
      <c r="X235" s="20" t="n">
        <f aca="false">IF(ISNUMBER(X214),X214,"")</f>
        <v>1598.1</v>
      </c>
      <c r="Y235" s="20" t="n">
        <f aca="false">IF(ISNUMBER(Y214),Y214,"")</f>
        <v>849</v>
      </c>
      <c r="Z235" s="20" t="n">
        <f aca="false">IF(ISNUMBER(Z214),Z214,"")</f>
        <v>833.7</v>
      </c>
      <c r="AA235" s="20" t="n">
        <f aca="false">IF(ISNUMBER(AA214),AA214,"")</f>
        <v>1682.7</v>
      </c>
      <c r="AB235" s="20" t="n">
        <f aca="false">IF(ISNUMBER(AB214),AB214,"")</f>
        <v>970.8</v>
      </c>
      <c r="AC235" s="20" t="n">
        <f aca="false">IF(ISNUMBER(AC214),AC214,"")</f>
        <v>1092.5</v>
      </c>
      <c r="AD235" s="20" t="n">
        <f aca="false">IF(ISNUMBER(AD214),AD214,"")</f>
        <v>2063.3</v>
      </c>
      <c r="AE235" s="20" t="n">
        <f aca="false">IF(ISNUMBER(AE214),AE214,"")</f>
        <v>634.3</v>
      </c>
      <c r="AF235" s="20" t="n">
        <f aca="false">IF(ISNUMBER(AF214),AF214,"")</f>
        <v>1358.4</v>
      </c>
      <c r="AG235" s="20" t="n">
        <f aca="false">IF(ISNUMBER(AG214),AG214,"")</f>
        <v>1992.7</v>
      </c>
      <c r="AH235" s="20" t="n">
        <f aca="false">IF(ISNUMBER(AH214),AH214,"")</f>
        <v>1486.7</v>
      </c>
      <c r="AI235" s="20" t="n">
        <f aca="false">IF(ISNUMBER(AI214),AI214,"")</f>
        <v>1573.3</v>
      </c>
      <c r="AJ235" s="20" t="n">
        <f aca="false">IF(ISNUMBER(AJ214),AJ214,"")</f>
        <v>3060</v>
      </c>
      <c r="AK235" s="20" t="n">
        <f aca="false">IF(ISNUMBER(AK214),AK214,"")</f>
        <v>2001</v>
      </c>
      <c r="AL235" s="20" t="n">
        <f aca="false">IF(ISNUMBER(AL214),AL214,"")</f>
        <v>2110</v>
      </c>
      <c r="AM235" s="20" t="n">
        <f aca="false">IF(ISNUMBER(AM214),AM214,"")</f>
        <v>4111</v>
      </c>
      <c r="AN235" s="20" t="n">
        <f aca="false">IF(ISNUMBER(AN214),AN214,"")</f>
        <v>2615</v>
      </c>
      <c r="AO235" s="20" t="n">
        <f aca="false">IF(ISNUMBER(AO214),AO214,"")</f>
        <v>2508</v>
      </c>
      <c r="AP235" s="20" t="n">
        <f aca="false">IF(ISNUMBER(AP214),AP214,"")</f>
        <v>5123</v>
      </c>
      <c r="AQ235" s="20" t="n">
        <f aca="false">IF(ISNUMBER(AQ214),AQ214,"")</f>
        <v>2829</v>
      </c>
      <c r="AR235" s="20" t="n">
        <f aca="false">IF(ISNUMBER(AR214),AR214,"")</f>
        <v>2549</v>
      </c>
      <c r="AS235" s="20" t="n">
        <f aca="false">IF(ISNUMBER(AS214),AS214,"")</f>
        <v>5378</v>
      </c>
      <c r="AT235" s="20" t="n">
        <f aca="false">IF(ISNUMBER(AT214),AT214,"")</f>
        <v>2733</v>
      </c>
      <c r="AU235" s="20" t="n">
        <f aca="false">IF(ISNUMBER(AU214),AU214,"")</f>
        <v>2874</v>
      </c>
      <c r="AV235" s="20" t="n">
        <f aca="false">IF(ISNUMBER(AV214),AV214,"")</f>
        <v>5607</v>
      </c>
      <c r="AW235" s="20" t="n">
        <f aca="false">IF(ISNUMBER(AW214),AW214,"")</f>
        <v>2694</v>
      </c>
      <c r="AX235" s="22" t="n">
        <f aca="false">AX214</f>
        <v>3029.9696246</v>
      </c>
      <c r="AY235" s="22" t="n">
        <f aca="false">AY214</f>
        <v>5723.9696246</v>
      </c>
      <c r="AZ235" s="22" t="n">
        <f aca="false">AZ214</f>
        <v>6491.58530789618</v>
      </c>
      <c r="BA235" s="22" t="n">
        <f aca="false">BA214</f>
        <v>7040.12251901656</v>
      </c>
      <c r="BB235" s="22" t="n">
        <f aca="false">BB214</f>
        <v>7601.23560109442</v>
      </c>
      <c r="BC235" s="22" t="n">
        <f aca="false">BC214</f>
        <v>8143.5430121802</v>
      </c>
      <c r="BD235" s="23"/>
      <c r="BF235" s="7"/>
      <c r="BG235" s="7"/>
      <c r="BH235" s="7"/>
      <c r="BI235" s="7"/>
    </row>
    <row r="236" customFormat="false" ht="15" hidden="false" customHeight="true" outlineLevel="0" collapsed="false">
      <c r="B236" s="13" t="s">
        <v>325</v>
      </c>
      <c r="C236" s="37" t="str">
        <f aca="false">IF(ISNUMBER(C217),N(C215)+N(C216),"")</f>
        <v/>
      </c>
      <c r="D236" s="37" t="str">
        <f aca="false">IF(ISNUMBER(D217),N(D215)+N(D216),"")</f>
        <v/>
      </c>
      <c r="E236" s="37" t="str">
        <f aca="false">IF(ISNUMBER(E217),N(E215)+N(E216),"")</f>
        <v/>
      </c>
      <c r="F236" s="37" t="n">
        <f aca="false">IF(ISNUMBER(F217),N(F215)+N(F216),"")</f>
        <v>56.4</v>
      </c>
      <c r="G236" s="37" t="n">
        <f aca="false">IF(ISNUMBER(G217),N(G215)+N(G216),"")</f>
        <v>92.3</v>
      </c>
      <c r="H236" s="37" t="n">
        <f aca="false">IF(ISNUMBER(H217),N(H215)+N(H216),"")</f>
        <v>13.1</v>
      </c>
      <c r="I236" s="37" t="n">
        <f aca="false">IF(ISNUMBER(I217),N(I215)+N(I216),"")</f>
        <v>-113.6</v>
      </c>
      <c r="J236" s="37" t="n">
        <f aca="false">IF(ISNUMBER(J217),N(J215)+N(J216),"")</f>
        <v>-175.5</v>
      </c>
      <c r="K236" s="37" t="n">
        <f aca="false">IF(ISNUMBER(K217),N(K215)+N(K216),"")</f>
        <v>56.5</v>
      </c>
      <c r="L236" s="37" t="n">
        <f aca="false">IF(ISNUMBER(L217),N(L215)+N(L216),"")</f>
        <v>-119</v>
      </c>
      <c r="M236" s="37" t="n">
        <f aca="false">IF(ISNUMBER(M217),N(M215)+N(M216),"")</f>
        <v>-143.3</v>
      </c>
      <c r="N236" s="37" t="n">
        <f aca="false">IF(ISNUMBER(N217),N(N215)+N(N216),"")</f>
        <v>61.4</v>
      </c>
      <c r="O236" s="37" t="n">
        <f aca="false">IF(ISNUMBER(O217),N(O215)+N(O216),"")</f>
        <v>-81.9000000000001</v>
      </c>
      <c r="P236" s="37" t="n">
        <f aca="false">IF(ISNUMBER(P217),N(P215)+N(P216),"")</f>
        <v>-130.6</v>
      </c>
      <c r="Q236" s="37" t="n">
        <f aca="false">IF(ISNUMBER(Q217),N(Q215)+N(Q216),"")</f>
        <v>98.1</v>
      </c>
      <c r="R236" s="37" t="n">
        <f aca="false">IF(ISNUMBER(R217),N(R215)+N(R216),"")</f>
        <v>-32.5</v>
      </c>
      <c r="S236" s="37" t="n">
        <f aca="false">IF(ISNUMBER(S217),N(S215)+N(S216),"")</f>
        <v>-129.3</v>
      </c>
      <c r="T236" s="37" t="n">
        <f aca="false">IF(ISNUMBER(T217),N(T215)+N(T216),"")</f>
        <v>164.5</v>
      </c>
      <c r="U236" s="37" t="n">
        <f aca="false">IF(ISNUMBER(U217),N(U215)+N(U216),"")</f>
        <v>35.2</v>
      </c>
      <c r="V236" s="37" t="n">
        <f aca="false">IF(ISNUMBER(V217),N(V215)+N(V216),"")</f>
        <v>-58.5</v>
      </c>
      <c r="W236" s="37" t="n">
        <f aca="false">IF(ISNUMBER(W217),N(W215)+N(W216),"")</f>
        <v>66</v>
      </c>
      <c r="X236" s="37" t="n">
        <f aca="false">IF(ISNUMBER(X217),N(X215)+N(X216),"")</f>
        <v>7.5</v>
      </c>
      <c r="Y236" s="37" t="n">
        <f aca="false">IF(ISNUMBER(Y217),N(Y215)+N(Y216),"")</f>
        <v>-47.8</v>
      </c>
      <c r="Z236" s="37" t="n">
        <f aca="false">IF(ISNUMBER(Z217),N(Z215)+N(Z216),"")</f>
        <v>124.5</v>
      </c>
      <c r="AA236" s="37" t="n">
        <f aca="false">IF(ISNUMBER(AA217),N(AA215)+N(AA216),"")</f>
        <v>76.7</v>
      </c>
      <c r="AB236" s="37" t="n">
        <f aca="false">IF(ISNUMBER(AB217),N(AB215)+N(AB216),"")</f>
        <v>-88.3</v>
      </c>
      <c r="AC236" s="37" t="n">
        <f aca="false">IF(ISNUMBER(AC217),N(AC215)+N(AC216),"")</f>
        <v>112.3</v>
      </c>
      <c r="AD236" s="37" t="n">
        <f aca="false">IF(ISNUMBER(AD217),N(AD215)+N(AD216),"")</f>
        <v>24</v>
      </c>
      <c r="AE236" s="37" t="n">
        <f aca="false">IF(ISNUMBER(AE217),N(AE215)+N(AE216),"")</f>
        <v>-324.8</v>
      </c>
      <c r="AF236" s="37" t="n">
        <f aca="false">IF(ISNUMBER(AF217),N(AF215)+N(AF216),"")</f>
        <v>-25.5</v>
      </c>
      <c r="AG236" s="37" t="n">
        <f aca="false">IF(ISNUMBER(AG217),N(AG215)+N(AG216),"")</f>
        <v>-350.3</v>
      </c>
      <c r="AH236" s="37" t="n">
        <f aca="false">IF(ISNUMBER(AH217),N(AH215)+N(AH216),"")</f>
        <v>65</v>
      </c>
      <c r="AI236" s="37" t="n">
        <f aca="false">IF(ISNUMBER(AI217),N(AI215)+N(AI216),"")</f>
        <v>280</v>
      </c>
      <c r="AJ236" s="37" t="n">
        <f aca="false">IF(ISNUMBER(AJ217),N(AJ215)+N(AJ216),"")</f>
        <v>345</v>
      </c>
      <c r="AK236" s="37" t="n">
        <f aca="false">IF(ISNUMBER(AK217),N(AK215)+N(AK216),"")</f>
        <v>-261</v>
      </c>
      <c r="AL236" s="37" t="n">
        <f aca="false">IF(ISNUMBER(AL217),N(AL215)+N(AL216),"")</f>
        <v>334</v>
      </c>
      <c r="AM236" s="37" t="n">
        <f aca="false">IF(ISNUMBER(AM217),N(AM215)+N(AM216),"")</f>
        <v>73</v>
      </c>
      <c r="AN236" s="37" t="n">
        <f aca="false">IF(ISNUMBER(AN217),N(AN215)+N(AN216),"")</f>
        <v>-509</v>
      </c>
      <c r="AO236" s="37" t="n">
        <f aca="false">IF(ISNUMBER(AO217),N(AO215)+N(AO216),"")</f>
        <v>-286</v>
      </c>
      <c r="AP236" s="37" t="n">
        <f aca="false">IF(ISNUMBER(AP217),N(AP215)+N(AP216),"")</f>
        <v>-795</v>
      </c>
      <c r="AQ236" s="37" t="n">
        <f aca="false">IF(ISNUMBER(AQ217),N(AQ215)+N(AQ216),"")</f>
        <v>-585</v>
      </c>
      <c r="AR236" s="37" t="n">
        <f aca="false">IF(ISNUMBER(AR217),N(AR215)+N(AR216),"")</f>
        <v>346</v>
      </c>
      <c r="AS236" s="37" t="n">
        <f aca="false">IF(ISNUMBER(AS217),N(AS215)+N(AS216),"")</f>
        <v>-239</v>
      </c>
      <c r="AT236" s="37" t="n">
        <f aca="false">IF(ISNUMBER(AT217),N(AT215)+N(AT216),"")</f>
        <v>-403</v>
      </c>
      <c r="AU236" s="37" t="n">
        <f aca="false">IF(ISNUMBER(AU217),N(AU215)+N(AU216),"")</f>
        <v>170</v>
      </c>
      <c r="AV236" s="37" t="n">
        <f aca="false">IF(ISNUMBER(AV217),N(AV215)+N(AV216),"")</f>
        <v>-233</v>
      </c>
      <c r="AW236" s="37" t="n">
        <f aca="false">IF(ISNUMBER(AW217),N(AW215)+N(AW216),"")</f>
        <v>5</v>
      </c>
      <c r="AX236" s="39" t="n">
        <f aca="false">AX215+AX216</f>
        <v>74.6106397130139</v>
      </c>
      <c r="AY236" s="39" t="n">
        <f aca="false">AY215+AY216</f>
        <v>79.6106397130139</v>
      </c>
      <c r="AZ236" s="39" t="n">
        <f aca="false">AZ215+AZ216</f>
        <v>-207.793543573678</v>
      </c>
      <c r="BA236" s="39" t="n">
        <f aca="false">BA215+BA216</f>
        <v>-127.693766132858</v>
      </c>
      <c r="BB236" s="39" t="n">
        <f aca="false">BB215+BB216</f>
        <v>-131.435286939145</v>
      </c>
      <c r="BC236" s="39" t="n">
        <f aca="false">BC215+BC216</f>
        <v>-141.755615268267</v>
      </c>
      <c r="BD236" s="23"/>
      <c r="BF236" s="7"/>
      <c r="BG236" s="7"/>
      <c r="BH236" s="7"/>
      <c r="BI236" s="7"/>
    </row>
    <row r="237" customFormat="false" ht="15" hidden="false" customHeight="true" outlineLevel="0" collapsed="false">
      <c r="B237" s="13" t="s">
        <v>326</v>
      </c>
      <c r="C237" s="37" t="str">
        <f aca="false">IF(ISNUMBER(C217),N(C218),"")</f>
        <v/>
      </c>
      <c r="D237" s="37" t="str">
        <f aca="false">IF(ISNUMBER(D217),N(D218),"")</f>
        <v/>
      </c>
      <c r="E237" s="37" t="str">
        <f aca="false">IF(ISNUMBER(E217),N(E218),"")</f>
        <v/>
      </c>
      <c r="F237" s="37" t="n">
        <f aca="false">IF(ISNUMBER(F217),N(F218),"")</f>
        <v>-197.8</v>
      </c>
      <c r="G237" s="37" t="n">
        <f aca="false">IF(ISNUMBER(G217),N(G218),"")</f>
        <v>-138.2</v>
      </c>
      <c r="H237" s="37" t="n">
        <f aca="false">IF(ISNUMBER(H217),N(H218),"")</f>
        <v>-185.2</v>
      </c>
      <c r="I237" s="37" t="n">
        <f aca="false">IF(ISNUMBER(I217),N(I218),"")</f>
        <v>-263.1</v>
      </c>
      <c r="J237" s="37" t="n">
        <f aca="false">IF(ISNUMBER(J217),N(J218),"")</f>
        <v>-74.3</v>
      </c>
      <c r="K237" s="37" t="n">
        <f aca="false">IF(ISNUMBER(K217),N(K218),"")</f>
        <v>-137</v>
      </c>
      <c r="L237" s="37" t="n">
        <f aca="false">IF(ISNUMBER(L217),N(L218),"")</f>
        <v>-211.3</v>
      </c>
      <c r="M237" s="37" t="n">
        <f aca="false">IF(ISNUMBER(M217),N(M218),"")</f>
        <v>-91.4</v>
      </c>
      <c r="N237" s="37" t="n">
        <f aca="false">IF(ISNUMBER(N217),N(N218),"")</f>
        <v>-187.6</v>
      </c>
      <c r="O237" s="37" t="n">
        <f aca="false">IF(ISNUMBER(O217),N(O218),"")</f>
        <v>-279</v>
      </c>
      <c r="P237" s="37" t="n">
        <f aca="false">IF(ISNUMBER(P217),N(P218),"")</f>
        <v>-100.4</v>
      </c>
      <c r="Q237" s="37" t="n">
        <f aca="false">IF(ISNUMBER(Q217),N(Q218),"")</f>
        <v>-152</v>
      </c>
      <c r="R237" s="37" t="n">
        <f aca="false">IF(ISNUMBER(R217),N(R218),"")</f>
        <v>-252.4</v>
      </c>
      <c r="S237" s="37" t="n">
        <f aca="false">IF(ISNUMBER(S217),N(S218),"")</f>
        <v>-107.6</v>
      </c>
      <c r="T237" s="37" t="n">
        <f aca="false">IF(ISNUMBER(T217),N(T218),"")</f>
        <v>-154.5</v>
      </c>
      <c r="U237" s="37" t="n">
        <f aca="false">IF(ISNUMBER(U217),N(U218),"")</f>
        <v>-262.1</v>
      </c>
      <c r="V237" s="37" t="n">
        <f aca="false">IF(ISNUMBER(V217),N(V218),"")</f>
        <v>-104.8</v>
      </c>
      <c r="W237" s="37" t="n">
        <f aca="false">IF(ISNUMBER(W217),N(W218),"")</f>
        <v>-160.4</v>
      </c>
      <c r="X237" s="37" t="n">
        <f aca="false">IF(ISNUMBER(X217),N(X218),"")</f>
        <v>-265.2</v>
      </c>
      <c r="Y237" s="37" t="n">
        <f aca="false">IF(ISNUMBER(Y217),N(Y218),"")</f>
        <v>-128</v>
      </c>
      <c r="Z237" s="37" t="n">
        <f aca="false">IF(ISNUMBER(Z217),N(Z218),"")</f>
        <v>-184.3</v>
      </c>
      <c r="AA237" s="37" t="n">
        <f aca="false">IF(ISNUMBER(AA217),N(AA218),"")</f>
        <v>-312.3</v>
      </c>
      <c r="AB237" s="37" t="n">
        <f aca="false">IF(ISNUMBER(AB217),N(AB218),"")</f>
        <v>-169.8</v>
      </c>
      <c r="AC237" s="37" t="n">
        <f aca="false">IF(ISNUMBER(AC217),N(AC218),"")</f>
        <v>-308.2</v>
      </c>
      <c r="AD237" s="37" t="n">
        <f aca="false">IF(ISNUMBER(AD217),N(AD218),"")</f>
        <v>-478</v>
      </c>
      <c r="AE237" s="37" t="n">
        <f aca="false">IF(ISNUMBER(AE217),N(AE218),"")</f>
        <v>-162.2</v>
      </c>
      <c r="AF237" s="37" t="n">
        <f aca="false">IF(ISNUMBER(AF217),N(AF218),"")</f>
        <v>-286.2</v>
      </c>
      <c r="AG237" s="37" t="n">
        <f aca="false">IF(ISNUMBER(AG217),N(AG218),"")</f>
        <v>-448.4</v>
      </c>
      <c r="AH237" s="37" t="n">
        <f aca="false">IF(ISNUMBER(AH217),N(AH218),"")</f>
        <v>-214.4</v>
      </c>
      <c r="AI237" s="37" t="n">
        <f aca="false">IF(ISNUMBER(AI217),N(AI218),"")</f>
        <v>-317.6</v>
      </c>
      <c r="AJ237" s="37" t="n">
        <f aca="false">IF(ISNUMBER(AJ217),N(AJ218),"")</f>
        <v>-532</v>
      </c>
      <c r="AK237" s="37" t="n">
        <f aca="false">IF(ISNUMBER(AK217),N(AK218),"")</f>
        <v>-190</v>
      </c>
      <c r="AL237" s="37" t="n">
        <f aca="false">IF(ISNUMBER(AL217),N(AL218),"")</f>
        <v>-328</v>
      </c>
      <c r="AM237" s="37" t="n">
        <f aca="false">IF(ISNUMBER(AM217),N(AM218),"")</f>
        <v>-518</v>
      </c>
      <c r="AN237" s="37" t="n">
        <f aca="false">IF(ISNUMBER(AN217),N(AN218),"")</f>
        <v>-249</v>
      </c>
      <c r="AO237" s="37" t="n">
        <f aca="false">IF(ISNUMBER(AO217),N(AO218),"")</f>
        <v>-610</v>
      </c>
      <c r="AP237" s="37" t="n">
        <f aca="false">IF(ISNUMBER(AP217),N(AP218),"")</f>
        <v>-859</v>
      </c>
      <c r="AQ237" s="37" t="n">
        <f aca="false">IF(ISNUMBER(AQ217),N(AQ218),"")</f>
        <v>-319</v>
      </c>
      <c r="AR237" s="37" t="n">
        <f aca="false">IF(ISNUMBER(AR217),N(AR218),"")</f>
        <v>-748</v>
      </c>
      <c r="AS237" s="37" t="n">
        <f aca="false">IF(ISNUMBER(AS217),N(AS218),"")</f>
        <v>-1067</v>
      </c>
      <c r="AT237" s="37" t="n">
        <f aca="false">IF(ISNUMBER(AT217),N(AT218),"")</f>
        <v>-316</v>
      </c>
      <c r="AU237" s="37" t="n">
        <f aca="false">IF(ISNUMBER(AU217),N(AU218),"")</f>
        <v>-845</v>
      </c>
      <c r="AV237" s="37" t="n">
        <f aca="false">IF(ISNUMBER(AV217),N(AV218),"")</f>
        <v>-1161</v>
      </c>
      <c r="AW237" s="37" t="n">
        <f aca="false">IF(ISNUMBER(AW217),N(AW218),"")</f>
        <v>-344</v>
      </c>
      <c r="AX237" s="39" t="n">
        <f aca="false">AX218</f>
        <v>-806</v>
      </c>
      <c r="AY237" s="39" t="n">
        <f aca="false">AY218</f>
        <v>-1150</v>
      </c>
      <c r="AZ237" s="39" t="n">
        <f aca="false">AZ218</f>
        <v>-1233.843548</v>
      </c>
      <c r="BA237" s="39" t="n">
        <f aca="false">BA218</f>
        <v>-1288.33734116</v>
      </c>
      <c r="BB237" s="39" t="n">
        <f aca="false">BB218</f>
        <v>-1340.29387174452</v>
      </c>
      <c r="BC237" s="39" t="n">
        <f aca="false">BC218</f>
        <v>-1387.31412916081</v>
      </c>
      <c r="BD237" s="23"/>
      <c r="BF237" s="7"/>
      <c r="BG237" s="7"/>
      <c r="BH237" s="7"/>
      <c r="BI237" s="7"/>
    </row>
    <row r="238" customFormat="false" ht="15" hidden="false" customHeight="true" outlineLevel="0" collapsed="false">
      <c r="B238" s="13" t="s">
        <v>327</v>
      </c>
      <c r="C238" s="37" t="str">
        <f aca="false">IF(ISNUMBER(C217),N(C223),"")</f>
        <v/>
      </c>
      <c r="D238" s="37" t="str">
        <f aca="false">IF(ISNUMBER(D217),N(D223),"")</f>
        <v/>
      </c>
      <c r="E238" s="37" t="str">
        <f aca="false">IF(ISNUMBER(E217),N(E223),"")</f>
        <v/>
      </c>
      <c r="F238" s="37" t="n">
        <f aca="false">IF(ISNUMBER(F217),N(F223),"")</f>
        <v>0</v>
      </c>
      <c r="G238" s="37" t="n">
        <f aca="false">IF(ISNUMBER(G217),N(G223),"")</f>
        <v>0</v>
      </c>
      <c r="H238" s="37" t="n">
        <f aca="false">IF(ISNUMBER(H217),N(H223),"")</f>
        <v>0</v>
      </c>
      <c r="I238" s="37" t="n">
        <f aca="false">IF(ISNUMBER(I217),N(I223),"")</f>
        <v>0</v>
      </c>
      <c r="J238" s="37" t="n">
        <f aca="false">IF(ISNUMBER(J217),N(J223),"")</f>
        <v>0</v>
      </c>
      <c r="K238" s="37" t="n">
        <f aca="false">IF(ISNUMBER(K217),N(K223),"")</f>
        <v>0</v>
      </c>
      <c r="L238" s="37" t="n">
        <f aca="false">IF(ISNUMBER(L217),N(L223),"")</f>
        <v>0</v>
      </c>
      <c r="M238" s="37" t="n">
        <f aca="false">IF(ISNUMBER(M217),N(M223),"")</f>
        <v>0</v>
      </c>
      <c r="N238" s="37" t="n">
        <f aca="false">IF(ISNUMBER(N217),N(N223),"")</f>
        <v>0</v>
      </c>
      <c r="O238" s="37" t="n">
        <f aca="false">IF(ISNUMBER(O217),N(O223),"")</f>
        <v>0</v>
      </c>
      <c r="P238" s="37" t="n">
        <f aca="false">IF(ISNUMBER(P217),N(P223),"")</f>
        <v>0</v>
      </c>
      <c r="Q238" s="37" t="n">
        <f aca="false">IF(ISNUMBER(Q217),N(Q223),"")</f>
        <v>0</v>
      </c>
      <c r="R238" s="37" t="n">
        <f aca="false">IF(ISNUMBER(R217),N(R223),"")</f>
        <v>0</v>
      </c>
      <c r="S238" s="37" t="n">
        <f aca="false">IF(ISNUMBER(S217),N(S223),"")</f>
        <v>0</v>
      </c>
      <c r="T238" s="37" t="n">
        <f aca="false">IF(ISNUMBER(T217),N(T223),"")</f>
        <v>0</v>
      </c>
      <c r="U238" s="37" t="n">
        <f aca="false">IF(ISNUMBER(U217),N(U223),"")</f>
        <v>0</v>
      </c>
      <c r="V238" s="37" t="n">
        <f aca="false">IF(ISNUMBER(V217),N(V223),"")</f>
        <v>0</v>
      </c>
      <c r="W238" s="37" t="n">
        <f aca="false">IF(ISNUMBER(W217),N(W223),"")</f>
        <v>0</v>
      </c>
      <c r="X238" s="37" t="n">
        <f aca="false">IF(ISNUMBER(X217),N(X223),"")</f>
        <v>0</v>
      </c>
      <c r="Y238" s="37" t="n">
        <f aca="false">IF(ISNUMBER(Y217),N(Y223),"")</f>
        <v>0</v>
      </c>
      <c r="Z238" s="37" t="n">
        <f aca="false">IF(ISNUMBER(Z217),N(Z223),"")</f>
        <v>0</v>
      </c>
      <c r="AA238" s="37" t="n">
        <f aca="false">IF(ISNUMBER(AA217),N(AA223),"")</f>
        <v>0</v>
      </c>
      <c r="AB238" s="37" t="n">
        <f aca="false">IF(ISNUMBER(AB217),N(AB223),"")</f>
        <v>-95.2</v>
      </c>
      <c r="AC238" s="37" t="n">
        <f aca="false">IF(ISNUMBER(AC217),N(AC223),"")</f>
        <v>-107.6</v>
      </c>
      <c r="AD238" s="37" t="n">
        <f aca="false">IF(ISNUMBER(AD217),N(AD223),"")</f>
        <v>-202.8</v>
      </c>
      <c r="AE238" s="37" t="n">
        <f aca="false">IF(ISNUMBER(AE217),N(AE223),"")</f>
        <v>-120.1</v>
      </c>
      <c r="AF238" s="37" t="n">
        <f aca="false">IF(ISNUMBER(AF217),N(AF223),"")</f>
        <v>-78.6</v>
      </c>
      <c r="AG238" s="37" t="n">
        <f aca="false">IF(ISNUMBER(AG217),N(AG223),"")</f>
        <v>-198.7</v>
      </c>
      <c r="AH238" s="37" t="n">
        <f aca="false">IF(ISNUMBER(AH217),N(AH223),"")</f>
        <v>-101.8</v>
      </c>
      <c r="AI238" s="37" t="n">
        <f aca="false">IF(ISNUMBER(AI217),N(AI223),"")</f>
        <v>-110.2</v>
      </c>
      <c r="AJ238" s="37" t="n">
        <f aca="false">IF(ISNUMBER(AJ217),N(AJ223),"")</f>
        <v>-212</v>
      </c>
      <c r="AK238" s="37" t="n">
        <f aca="false">IF(ISNUMBER(AK217),N(AK223),"")</f>
        <v>-128</v>
      </c>
      <c r="AL238" s="37" t="n">
        <f aca="false">IF(ISNUMBER(AL217),N(AL223),"")</f>
        <v>-133</v>
      </c>
      <c r="AM238" s="37" t="n">
        <f aca="false">IF(ISNUMBER(AM217),N(AM223),"")</f>
        <v>-261</v>
      </c>
      <c r="AN238" s="37" t="n">
        <f aca="false">IF(ISNUMBER(AN217),N(AN223),"")</f>
        <v>-137</v>
      </c>
      <c r="AO238" s="37" t="n">
        <f aca="false">IF(ISNUMBER(AO217),N(AO223),"")</f>
        <v>-140</v>
      </c>
      <c r="AP238" s="37" t="n">
        <f aca="false">IF(ISNUMBER(AP217),N(AP223),"")</f>
        <v>-277</v>
      </c>
      <c r="AQ238" s="37" t="n">
        <f aca="false">IF(ISNUMBER(AQ217),N(AQ223),"")</f>
        <v>-149</v>
      </c>
      <c r="AR238" s="37" t="n">
        <f aca="false">IF(ISNUMBER(AR217),N(AR223),"")</f>
        <v>-156</v>
      </c>
      <c r="AS238" s="37" t="n">
        <f aca="false">IF(ISNUMBER(AS217),N(AS223),"")</f>
        <v>-305</v>
      </c>
      <c r="AT238" s="37" t="n">
        <f aca="false">IF(ISNUMBER(AT217),N(AT223),"")</f>
        <v>-167</v>
      </c>
      <c r="AU238" s="37" t="n">
        <f aca="false">IF(ISNUMBER(AU217),N(AU223),"")</f>
        <v>-165</v>
      </c>
      <c r="AV238" s="37" t="n">
        <f aca="false">IF(ISNUMBER(AV217),N(AV223),"")</f>
        <v>-332</v>
      </c>
      <c r="AW238" s="37" t="n">
        <f aca="false">IF(ISNUMBER(AW217),N(AW223),"")</f>
        <v>-173</v>
      </c>
      <c r="AX238" s="39" t="n">
        <f aca="false">AX223</f>
        <v>-217.39</v>
      </c>
      <c r="AY238" s="39" t="n">
        <f aca="false">AY223</f>
        <v>-390.39</v>
      </c>
      <c r="AZ238" s="39" t="n">
        <f aca="false">AZ223</f>
        <v>-426.24165675</v>
      </c>
      <c r="BA238" s="39" t="n">
        <f aca="false">BA223</f>
        <v>-463.42427961375</v>
      </c>
      <c r="BB238" s="39" t="n">
        <f aca="false">BB223</f>
        <v>-502.363932639319</v>
      </c>
      <c r="BC238" s="39" t="n">
        <f aca="false">BC223</f>
        <v>-543.001536602778</v>
      </c>
      <c r="BD238" s="23"/>
      <c r="BF238" s="7"/>
      <c r="BG238" s="7"/>
      <c r="BH238" s="7"/>
      <c r="BI238" s="7"/>
    </row>
    <row r="239" customFormat="false" ht="15" hidden="false" customHeight="true" outlineLevel="0" collapsed="false">
      <c r="B239" s="40" t="s">
        <v>328</v>
      </c>
      <c r="C239" s="41" t="str">
        <f aca="false">IF(AND(ISNUMBER(C217),ISNUMBER(C218)),SUM(C235:C238),"")</f>
        <v/>
      </c>
      <c r="D239" s="41" t="str">
        <f aca="false">IF(AND(ISNUMBER(D217),ISNUMBER(D218)),SUM(D235:D238),"")</f>
        <v/>
      </c>
      <c r="E239" s="41" t="str">
        <f aca="false">IF(AND(ISNUMBER(E217),ISNUMBER(E218)),SUM(E235:E238),"")</f>
        <v/>
      </c>
      <c r="F239" s="41" t="n">
        <f aca="false">IF(AND(ISNUMBER(F217),ISNUMBER(F218)),SUM(F235:F238),"")</f>
        <v>259.7</v>
      </c>
      <c r="G239" s="41" t="n">
        <f aca="false">IF(AND(ISNUMBER(G217),ISNUMBER(G218)),SUM(G235:G238),"")</f>
        <v>525.6</v>
      </c>
      <c r="H239" s="41" t="n">
        <f aca="false">IF(AND(ISNUMBER(H217),ISNUMBER(H218)),SUM(H235:H238),"")</f>
        <v>550.7</v>
      </c>
      <c r="I239" s="41" t="n">
        <f aca="false">IF(AND(ISNUMBER(I217),ISNUMBER(I218)),SUM(I235:I238),"")</f>
        <v>508.1</v>
      </c>
      <c r="J239" s="41" t="n">
        <f aca="false">IF(AND(ISNUMBER(J217),ISNUMBER(J218)),SUM(J235:J238),"")</f>
        <v>226.4</v>
      </c>
      <c r="K239" s="41" t="n">
        <f aca="false">IF(AND(ISNUMBER(K217),ISNUMBER(K218)),SUM(K235:K238),"")</f>
        <v>459.2</v>
      </c>
      <c r="L239" s="41" t="n">
        <f aca="false">IF(AND(ISNUMBER(L217),ISNUMBER(L218)),SUM(L235:L238),"")</f>
        <v>685.6</v>
      </c>
      <c r="M239" s="41" t="n">
        <f aca="false">IF(AND(ISNUMBER(M217),ISNUMBER(M218)),SUM(M235:M238),"")</f>
        <v>264.4</v>
      </c>
      <c r="N239" s="41" t="n">
        <f aca="false">IF(AND(ISNUMBER(N217),ISNUMBER(N218)),SUM(N235:N238),"")</f>
        <v>423.4</v>
      </c>
      <c r="O239" s="41" t="n">
        <f aca="false">IF(AND(ISNUMBER(O217),ISNUMBER(O218)),SUM(O235:O238),"")</f>
        <v>687.8</v>
      </c>
      <c r="P239" s="41" t="n">
        <f aca="false">IF(AND(ISNUMBER(P217),ISNUMBER(P218)),SUM(P235:P238),"")</f>
        <v>342.9</v>
      </c>
      <c r="Q239" s="41" t="n">
        <f aca="false">IF(AND(ISNUMBER(Q217),ISNUMBER(Q218)),SUM(Q235:Q238),"")</f>
        <v>590.4</v>
      </c>
      <c r="R239" s="41" t="n">
        <f aca="false">IF(AND(ISNUMBER(R217),ISNUMBER(R218)),SUM(R235:R238),"")</f>
        <v>933.3</v>
      </c>
      <c r="S239" s="41" t="n">
        <f aca="false">IF(AND(ISNUMBER(S217),ISNUMBER(S218)),SUM(S235:S238),"")</f>
        <v>462.5</v>
      </c>
      <c r="T239" s="41" t="n">
        <f aca="false">IF(AND(ISNUMBER(T217),ISNUMBER(T218)),SUM(T235:T238),"")</f>
        <v>749.3</v>
      </c>
      <c r="U239" s="41" t="n">
        <f aca="false">IF(AND(ISNUMBER(U217),ISNUMBER(U218)),SUM(U235:U238),"")</f>
        <v>1211.8</v>
      </c>
      <c r="V239" s="41" t="n">
        <f aca="false">IF(AND(ISNUMBER(V217),ISNUMBER(V218)),SUM(V235:V238),"")</f>
        <v>630.9</v>
      </c>
      <c r="W239" s="41" t="n">
        <f aca="false">IF(AND(ISNUMBER(W217),ISNUMBER(W218)),SUM(W235:W238),"")</f>
        <v>709.5</v>
      </c>
      <c r="X239" s="41" t="n">
        <f aca="false">IF(AND(ISNUMBER(X217),ISNUMBER(X218)),SUM(X235:X238),"")</f>
        <v>1340.4</v>
      </c>
      <c r="Y239" s="41" t="n">
        <f aca="false">IF(AND(ISNUMBER(Y217),ISNUMBER(Y218)),SUM(Y235:Y238),"")</f>
        <v>673.2</v>
      </c>
      <c r="Z239" s="41" t="n">
        <f aca="false">IF(AND(ISNUMBER(Z217),ISNUMBER(Z218)),SUM(Z235:Z238),"")</f>
        <v>773.9</v>
      </c>
      <c r="AA239" s="41" t="n">
        <f aca="false">IF(AND(ISNUMBER(AA217),ISNUMBER(AA218)),SUM(AA235:AA238),"")</f>
        <v>1447.1</v>
      </c>
      <c r="AB239" s="41" t="n">
        <f aca="false">IF(AND(ISNUMBER(AB217),ISNUMBER(AB218)),SUM(AB235:AB238),"")</f>
        <v>617.5</v>
      </c>
      <c r="AC239" s="41" t="n">
        <f aca="false">IF(AND(ISNUMBER(AC217),ISNUMBER(AC218)),SUM(AC235:AC238),"")</f>
        <v>789</v>
      </c>
      <c r="AD239" s="41" t="n">
        <f aca="false">IF(AND(ISNUMBER(AD217),ISNUMBER(AD218)),SUM(AD235:AD238),"")</f>
        <v>1406.5</v>
      </c>
      <c r="AE239" s="41" t="n">
        <f aca="false">IF(AND(ISNUMBER(AE217),ISNUMBER(AE218)),SUM(AE235:AE238),"")</f>
        <v>27.2</v>
      </c>
      <c r="AF239" s="41" t="n">
        <f aca="false">IF(AND(ISNUMBER(AF217),ISNUMBER(AF218)),SUM(AF235:AF238),"")</f>
        <v>968.1</v>
      </c>
      <c r="AG239" s="41" t="n">
        <f aca="false">IF(AND(ISNUMBER(AG217),ISNUMBER(AG218)),SUM(AG235:AG238),"")</f>
        <v>995.3</v>
      </c>
      <c r="AH239" s="41" t="n">
        <f aca="false">IF(AND(ISNUMBER(AH217),ISNUMBER(AH218)),SUM(AH235:AH238),"")</f>
        <v>1235.5</v>
      </c>
      <c r="AI239" s="41" t="n">
        <f aca="false">IF(AND(ISNUMBER(AI217),ISNUMBER(AI218)),SUM(AI235:AI238),"")</f>
        <v>1425.5</v>
      </c>
      <c r="AJ239" s="41" t="n">
        <f aca="false">IF(AND(ISNUMBER(AJ217),ISNUMBER(AJ218)),SUM(AJ235:AJ238),"")</f>
        <v>2661</v>
      </c>
      <c r="AK239" s="41" t="n">
        <f aca="false">IF(AND(ISNUMBER(AK217),ISNUMBER(AK218)),SUM(AK235:AK238),"")</f>
        <v>1422</v>
      </c>
      <c r="AL239" s="41" t="n">
        <f aca="false">IF(AND(ISNUMBER(AL217),ISNUMBER(AL218)),SUM(AL235:AL238),"")</f>
        <v>1983</v>
      </c>
      <c r="AM239" s="41" t="n">
        <f aca="false">IF(AND(ISNUMBER(AM217),ISNUMBER(AM218)),SUM(AM235:AM238),"")</f>
        <v>3405</v>
      </c>
      <c r="AN239" s="41" t="n">
        <f aca="false">IF(AND(ISNUMBER(AN217),ISNUMBER(AN218)),SUM(AN235:AN238),"")</f>
        <v>1720</v>
      </c>
      <c r="AO239" s="41" t="n">
        <f aca="false">IF(AND(ISNUMBER(AO217),ISNUMBER(AO218)),SUM(AO235:AO238),"")</f>
        <v>1472</v>
      </c>
      <c r="AP239" s="41" t="n">
        <f aca="false">IF(AND(ISNUMBER(AP217),ISNUMBER(AP218)),SUM(AP235:AP238),"")</f>
        <v>3192</v>
      </c>
      <c r="AQ239" s="41" t="n">
        <f aca="false">IF(AND(ISNUMBER(AQ217),ISNUMBER(AQ218)),SUM(AQ235:AQ238),"")</f>
        <v>1776</v>
      </c>
      <c r="AR239" s="41" t="n">
        <f aca="false">IF(AND(ISNUMBER(AR217),ISNUMBER(AR218)),SUM(AR235:AR238),"")</f>
        <v>1991</v>
      </c>
      <c r="AS239" s="41" t="n">
        <f aca="false">IF(AND(ISNUMBER(AS217),ISNUMBER(AS218)),SUM(AS235:AS238),"")</f>
        <v>3767</v>
      </c>
      <c r="AT239" s="41" t="n">
        <f aca="false">IF(AND(ISNUMBER(AT217),ISNUMBER(AT218)),SUM(AT235:AT238),"")</f>
        <v>1847</v>
      </c>
      <c r="AU239" s="41" t="n">
        <f aca="false">IF(AND(ISNUMBER(AU217),ISNUMBER(AU218)),SUM(AU235:AU238),"")</f>
        <v>2034</v>
      </c>
      <c r="AV239" s="41" t="n">
        <f aca="false">IF(AND(ISNUMBER(AV217),ISNUMBER(AV218)),SUM(AV235:AV238),"")</f>
        <v>3881</v>
      </c>
      <c r="AW239" s="41" t="n">
        <f aca="false">IF(AND(ISNUMBER(AW217),ISNUMBER(AW218)),SUM(AW235:AW238),"")</f>
        <v>2182</v>
      </c>
      <c r="AX239" s="41" t="n">
        <f aca="false">SUM(AX235:AX238)</f>
        <v>2081.19026431301</v>
      </c>
      <c r="AY239" s="41" t="n">
        <f aca="false">SUM(AY235:AY238)</f>
        <v>4263.19026431301</v>
      </c>
      <c r="AZ239" s="41" t="n">
        <f aca="false">SUM(AZ235:AZ238)</f>
        <v>4623.7065595725</v>
      </c>
      <c r="BA239" s="41" t="n">
        <f aca="false">SUM(BA235:BA238)</f>
        <v>5160.66713210995</v>
      </c>
      <c r="BB239" s="41" t="n">
        <f aca="false">SUM(BB235:BB238)</f>
        <v>5627.14250977143</v>
      </c>
      <c r="BC239" s="41" t="n">
        <f aca="false">SUM(BC235:BC238)</f>
        <v>6071.47173114835</v>
      </c>
      <c r="BD239" s="23"/>
      <c r="BF239" s="24" t="n">
        <f aca="false">IFERROR((BC239/AV239)^(1/5)-1,"n/m")</f>
        <v>0.0936291231711577</v>
      </c>
      <c r="BG239" s="24" t="n">
        <f aca="false">IFERROR((AV239/AG239)^(1/5)-1,"n/m")</f>
        <v>0.31279806444801</v>
      </c>
      <c r="BH239" s="24" t="n">
        <f aca="false">IFERROR((AV239/R239)^(1/10)-1,"n/m")</f>
        <v>0.153167084794714</v>
      </c>
      <c r="BI239" s="24" t="str">
        <f aca="false">IFERROR((AV239/C239)^(1/19)-1,"n/m")</f>
        <v>n/m</v>
      </c>
    </row>
    <row r="240" customFormat="false" ht="15" hidden="false" customHeight="true" outlineLevel="0" collapsed="false">
      <c r="B240" s="36" t="s">
        <v>329</v>
      </c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8" t="n">
        <v>1447.3</v>
      </c>
      <c r="AB240" s="38" t="n">
        <v>617.5</v>
      </c>
      <c r="AC240" s="37" t="n">
        <f aca="false">AD240-AB240</f>
        <v>788.9</v>
      </c>
      <c r="AD240" s="38" t="n">
        <v>1406.4</v>
      </c>
      <c r="AE240" s="38" t="n">
        <v>27.2</v>
      </c>
      <c r="AF240" s="37" t="n">
        <f aca="false">AG240-AE240</f>
        <v>968.1</v>
      </c>
      <c r="AG240" s="38" t="n">
        <v>995.3</v>
      </c>
      <c r="AH240" s="38" t="n">
        <v>1235.6</v>
      </c>
      <c r="AI240" s="37" t="n">
        <f aca="false">AJ240-AH240</f>
        <v>1425.4</v>
      </c>
      <c r="AJ240" s="38" t="n">
        <v>2661</v>
      </c>
      <c r="AK240" s="38" t="n">
        <v>1421</v>
      </c>
      <c r="AL240" s="37" t="n">
        <f aca="false">AM240-AK240</f>
        <v>1983</v>
      </c>
      <c r="AM240" s="38" t="n">
        <v>3404</v>
      </c>
      <c r="AN240" s="38" t="n">
        <v>1720</v>
      </c>
      <c r="AO240" s="37" t="n">
        <f aca="false">AP240-AN240</f>
        <v>1472</v>
      </c>
      <c r="AP240" s="38" t="n">
        <v>3192</v>
      </c>
      <c r="AQ240" s="38" t="n">
        <v>1776</v>
      </c>
      <c r="AR240" s="37" t="n">
        <f aca="false">AS240-AQ240</f>
        <v>1991</v>
      </c>
      <c r="AS240" s="38" t="n">
        <v>3767</v>
      </c>
      <c r="AT240" s="38" t="n">
        <v>1847</v>
      </c>
      <c r="AU240" s="37" t="n">
        <f aca="false">AV240-AT240</f>
        <v>2033</v>
      </c>
      <c r="AV240" s="38" t="n">
        <v>3880</v>
      </c>
      <c r="AW240" s="38" t="n">
        <v>2182</v>
      </c>
      <c r="AX240" s="39"/>
      <c r="AY240" s="39"/>
      <c r="AZ240" s="39"/>
      <c r="BA240" s="39"/>
      <c r="BB240" s="39"/>
      <c r="BC240" s="39"/>
      <c r="BD240" s="23"/>
      <c r="BF240" s="7"/>
      <c r="BG240" s="7"/>
      <c r="BH240" s="7"/>
      <c r="BI240" s="7"/>
    </row>
    <row r="241" customFormat="false" ht="15" hidden="false" customHeight="true" outlineLevel="0" collapsed="false">
      <c r="B241" s="43" t="s">
        <v>330</v>
      </c>
      <c r="C241" s="37" t="str">
        <f aca="false">IF(AND(ISNUMBER(C239),ISNUMBER(C240)),ROUND(C239-C240,0),"n/p")</f>
        <v>n/p</v>
      </c>
      <c r="D241" s="37" t="str">
        <f aca="false">IF(AND(ISNUMBER(D239),ISNUMBER(D240)),ROUND(D239-D240,0),"n/p")</f>
        <v>n/p</v>
      </c>
      <c r="E241" s="37" t="str">
        <f aca="false">IF(AND(ISNUMBER(E239),ISNUMBER(E240)),ROUND(E239-E240,0),"n/p")</f>
        <v>n/p</v>
      </c>
      <c r="F241" s="37" t="str">
        <f aca="false">IF(AND(ISNUMBER(F239),ISNUMBER(F240)),ROUND(F239-F240,0),"n/p")</f>
        <v>n/p</v>
      </c>
      <c r="G241" s="37" t="str">
        <f aca="false">IF(AND(ISNUMBER(G239),ISNUMBER(G240)),ROUND(G239-G240,0),"n/p")</f>
        <v>n/p</v>
      </c>
      <c r="H241" s="37" t="str">
        <f aca="false">IF(AND(ISNUMBER(H239),ISNUMBER(H240)),ROUND(H239-H240,0),"n/p")</f>
        <v>n/p</v>
      </c>
      <c r="I241" s="37" t="str">
        <f aca="false">IF(AND(ISNUMBER(I239),ISNUMBER(I240)),ROUND(I239-I240,0),"n/p")</f>
        <v>n/p</v>
      </c>
      <c r="J241" s="37" t="str">
        <f aca="false">IF(AND(ISNUMBER(J239),ISNUMBER(J240)),ROUND(J239-J240,0),"n/p")</f>
        <v>n/p</v>
      </c>
      <c r="K241" s="37" t="str">
        <f aca="false">IF(AND(ISNUMBER(K239),ISNUMBER(K240)),ROUND(K239-K240,0),"n/p")</f>
        <v>n/p</v>
      </c>
      <c r="L241" s="37" t="str">
        <f aca="false">IF(AND(ISNUMBER(L239),ISNUMBER(L240)),ROUND(L239-L240,0),"n/p")</f>
        <v>n/p</v>
      </c>
      <c r="M241" s="37" t="str">
        <f aca="false">IF(AND(ISNUMBER(M239),ISNUMBER(M240)),ROUND(M239-M240,0),"n/p")</f>
        <v>n/p</v>
      </c>
      <c r="N241" s="37" t="str">
        <f aca="false">IF(AND(ISNUMBER(N239),ISNUMBER(N240)),ROUND(N239-N240,0),"n/p")</f>
        <v>n/p</v>
      </c>
      <c r="O241" s="37" t="str">
        <f aca="false">IF(AND(ISNUMBER(O239),ISNUMBER(O240)),ROUND(O239-O240,0),"n/p")</f>
        <v>n/p</v>
      </c>
      <c r="P241" s="37" t="str">
        <f aca="false">IF(AND(ISNUMBER(P239),ISNUMBER(P240)),ROUND(P239-P240,0),"n/p")</f>
        <v>n/p</v>
      </c>
      <c r="Q241" s="37" t="str">
        <f aca="false">IF(AND(ISNUMBER(Q239),ISNUMBER(Q240)),ROUND(Q239-Q240,0),"n/p")</f>
        <v>n/p</v>
      </c>
      <c r="R241" s="37" t="str">
        <f aca="false">IF(AND(ISNUMBER(R239),ISNUMBER(R240)),ROUND(R239-R240,0),"n/p")</f>
        <v>n/p</v>
      </c>
      <c r="S241" s="37" t="str">
        <f aca="false">IF(AND(ISNUMBER(S239),ISNUMBER(S240)),ROUND(S239-S240,0),"n/p")</f>
        <v>n/p</v>
      </c>
      <c r="T241" s="37" t="str">
        <f aca="false">IF(AND(ISNUMBER(T239),ISNUMBER(T240)),ROUND(T239-T240,0),"n/p")</f>
        <v>n/p</v>
      </c>
      <c r="U241" s="37" t="str">
        <f aca="false">IF(AND(ISNUMBER(U239),ISNUMBER(U240)),ROUND(U239-U240,0),"n/p")</f>
        <v>n/p</v>
      </c>
      <c r="V241" s="37" t="str">
        <f aca="false">IF(AND(ISNUMBER(V239),ISNUMBER(V240)),ROUND(V239-V240,0),"n/p")</f>
        <v>n/p</v>
      </c>
      <c r="W241" s="37" t="str">
        <f aca="false">IF(AND(ISNUMBER(W239),ISNUMBER(W240)),ROUND(W239-W240,0),"n/p")</f>
        <v>n/p</v>
      </c>
      <c r="X241" s="37" t="str">
        <f aca="false">IF(AND(ISNUMBER(X239),ISNUMBER(X240)),ROUND(X239-X240,0),"n/p")</f>
        <v>n/p</v>
      </c>
      <c r="Y241" s="37" t="str">
        <f aca="false">IF(AND(ISNUMBER(Y239),ISNUMBER(Y240)),ROUND(Y239-Y240,0),"n/p")</f>
        <v>n/p</v>
      </c>
      <c r="Z241" s="37" t="str">
        <f aca="false">IF(AND(ISNUMBER(Z239),ISNUMBER(Z240)),ROUND(Z239-Z240,0),"n/p")</f>
        <v>n/p</v>
      </c>
      <c r="AA241" s="37" t="n">
        <f aca="false">IF(AND(ISNUMBER(AA239),ISNUMBER(AA240)),ROUND(AA239-AA240,0),"n/p")</f>
        <v>-0</v>
      </c>
      <c r="AB241" s="37" t="n">
        <f aca="false">IF(AND(ISNUMBER(AB239),ISNUMBER(AB240)),ROUND(AB239-AB240,0),"n/p")</f>
        <v>0</v>
      </c>
      <c r="AC241" s="37" t="n">
        <f aca="false">IF(AND(ISNUMBER(AC239),ISNUMBER(AC240)),ROUND(AC239-AC240,0),"n/p")</f>
        <v>0</v>
      </c>
      <c r="AD241" s="37" t="n">
        <f aca="false">IF(AND(ISNUMBER(AD239),ISNUMBER(AD240)),ROUND(AD239-AD240,0),"n/p")</f>
        <v>0</v>
      </c>
      <c r="AE241" s="37" t="n">
        <f aca="false">IF(AND(ISNUMBER(AE239),ISNUMBER(AE240)),ROUND(AE239-AE240,0),"n/p")</f>
        <v>0</v>
      </c>
      <c r="AF241" s="37" t="n">
        <f aca="false">IF(AND(ISNUMBER(AF239),ISNUMBER(AF240)),ROUND(AF239-AF240,0),"n/p")</f>
        <v>0</v>
      </c>
      <c r="AG241" s="37" t="n">
        <f aca="false">IF(AND(ISNUMBER(AG239),ISNUMBER(AG240)),ROUND(AG239-AG240,0),"n/p")</f>
        <v>0</v>
      </c>
      <c r="AH241" s="37" t="n">
        <f aca="false">IF(AND(ISNUMBER(AH239),ISNUMBER(AH240)),ROUND(AH239-AH240,0),"n/p")</f>
        <v>-0</v>
      </c>
      <c r="AI241" s="37" t="n">
        <f aca="false">IF(AND(ISNUMBER(AI239),ISNUMBER(AI240)),ROUND(AI239-AI240,0),"n/p")</f>
        <v>0</v>
      </c>
      <c r="AJ241" s="37" t="n">
        <f aca="false">IF(AND(ISNUMBER(AJ239),ISNUMBER(AJ240)),ROUND(AJ239-AJ240,0),"n/p")</f>
        <v>0</v>
      </c>
      <c r="AK241" s="37" t="n">
        <f aca="false">IF(AND(ISNUMBER(AK239),ISNUMBER(AK240)),ROUND(AK239-AK240,0),"n/p")</f>
        <v>1</v>
      </c>
      <c r="AL241" s="37" t="n">
        <f aca="false">IF(AND(ISNUMBER(AL239),ISNUMBER(AL240)),ROUND(AL239-AL240,0),"n/p")</f>
        <v>0</v>
      </c>
      <c r="AM241" s="37" t="n">
        <f aca="false">IF(AND(ISNUMBER(AM239),ISNUMBER(AM240)),ROUND(AM239-AM240,0),"n/p")</f>
        <v>1</v>
      </c>
      <c r="AN241" s="37" t="n">
        <f aca="false">IF(AND(ISNUMBER(AN239),ISNUMBER(AN240)),ROUND(AN239-AN240,0),"n/p")</f>
        <v>0</v>
      </c>
      <c r="AO241" s="37" t="n">
        <f aca="false">IF(AND(ISNUMBER(AO239),ISNUMBER(AO240)),ROUND(AO239-AO240,0),"n/p")</f>
        <v>0</v>
      </c>
      <c r="AP241" s="37" t="n">
        <f aca="false">IF(AND(ISNUMBER(AP239),ISNUMBER(AP240)),ROUND(AP239-AP240,0),"n/p")</f>
        <v>0</v>
      </c>
      <c r="AQ241" s="37" t="n">
        <f aca="false">IF(AND(ISNUMBER(AQ239),ISNUMBER(AQ240)),ROUND(AQ239-AQ240,0),"n/p")</f>
        <v>0</v>
      </c>
      <c r="AR241" s="37" t="n">
        <f aca="false">IF(AND(ISNUMBER(AR239),ISNUMBER(AR240)),ROUND(AR239-AR240,0),"n/p")</f>
        <v>0</v>
      </c>
      <c r="AS241" s="37" t="n">
        <f aca="false">IF(AND(ISNUMBER(AS239),ISNUMBER(AS240)),ROUND(AS239-AS240,0),"n/p")</f>
        <v>0</v>
      </c>
      <c r="AT241" s="37" t="n">
        <f aca="false">IF(AND(ISNUMBER(AT239),ISNUMBER(AT240)),ROUND(AT239-AT240,0),"n/p")</f>
        <v>0</v>
      </c>
      <c r="AU241" s="37" t="n">
        <f aca="false">IF(AND(ISNUMBER(AU239),ISNUMBER(AU240)),ROUND(AU239-AU240,0),"n/p")</f>
        <v>1</v>
      </c>
      <c r="AV241" s="37" t="n">
        <f aca="false">IF(AND(ISNUMBER(AV239),ISNUMBER(AV240)),ROUND(AV239-AV240,0),"n/p")</f>
        <v>1</v>
      </c>
      <c r="AW241" s="37" t="n">
        <f aca="false">IF(AND(ISNUMBER(AW239),ISNUMBER(AW240)),ROUND(AW239-AW240,0),"n/p")</f>
        <v>0</v>
      </c>
      <c r="AX241" s="39"/>
      <c r="AY241" s="39"/>
      <c r="AZ241" s="39"/>
      <c r="BA241" s="39"/>
      <c r="BB241" s="39"/>
      <c r="BC241" s="39"/>
      <c r="BD241" s="23"/>
      <c r="BF241" s="7"/>
      <c r="BG241" s="7"/>
      <c r="BH241" s="7"/>
      <c r="BI241" s="7"/>
    </row>
    <row r="242" customFormat="false" ht="15" hidden="false" customHeight="true" outlineLevel="0" collapsed="false">
      <c r="B242" s="56" t="s">
        <v>331</v>
      </c>
      <c r="AA242" s="57" t="s">
        <v>332</v>
      </c>
      <c r="AB242" s="57" t="s">
        <v>333</v>
      </c>
      <c r="AX242" s="7"/>
      <c r="AY242" s="7"/>
      <c r="AZ242" s="7"/>
      <c r="BA242" s="7"/>
      <c r="BB242" s="7"/>
      <c r="BC242" s="7"/>
      <c r="BD242" s="23" t="s">
        <v>262</v>
      </c>
      <c r="BF242" s="7"/>
      <c r="BG242" s="7"/>
      <c r="BH242" s="7"/>
      <c r="BI242" s="7"/>
    </row>
    <row r="243" customFormat="false" ht="15" hidden="false" customHeight="true" outlineLevel="0" collapsed="false">
      <c r="B243" s="26" t="s">
        <v>334</v>
      </c>
      <c r="C243" s="27"/>
      <c r="D243" s="27" t="str">
        <f aca="false">IF(AND(ISNUMBER(D239),ISNUMBER(C239)),IFERROR(D239/C239-1,""),"")</f>
        <v/>
      </c>
      <c r="E243" s="27" t="str">
        <f aca="false">IF(AND(ISNUMBER(E239),ISNUMBER(D239)),IFERROR(E239/D239-1,""),"")</f>
        <v/>
      </c>
      <c r="F243" s="27" t="str">
        <f aca="false">IF(AND(ISNUMBER(F239),ISNUMBER(E239)),IFERROR(F239/E239-1,""),"")</f>
        <v/>
      </c>
      <c r="G243" s="27" t="n">
        <f aca="false">IF(AND(ISNUMBER(G239),ISNUMBER(F239)),IFERROR(G239/F239-1,""),"")</f>
        <v>1.02387370042357</v>
      </c>
      <c r="H243" s="27" t="n">
        <f aca="false">IF(AND(ISNUMBER(H239),ISNUMBER(G239)),IFERROR(H239/G239-1,""),"")</f>
        <v>0.0477549467275498</v>
      </c>
      <c r="I243" s="27" t="n">
        <f aca="false">IF(AND(ISNUMBER(I239),ISNUMBER(H239)),IFERROR(I239/H239-1,""),"")</f>
        <v>-0.0773560922462321</v>
      </c>
      <c r="J243" s="27"/>
      <c r="K243" s="27"/>
      <c r="L243" s="27" t="n">
        <f aca="false">IF(AND(ISNUMBER(L239),ISNUMBER(I239)),IFERROR(L239/I239-1,""),"")</f>
        <v>0.349340680968313</v>
      </c>
      <c r="M243" s="27" t="n">
        <f aca="false">IF(AND(ISNUMBER(M239),ISNUMBER(J239)),IFERROR(M239/J239-1,""),"")</f>
        <v>0.167844522968198</v>
      </c>
      <c r="N243" s="27" t="n">
        <f aca="false">IF(AND(ISNUMBER(N239),ISNUMBER(K239)),IFERROR(N239/K239-1,""),"")</f>
        <v>-0.0779616724738678</v>
      </c>
      <c r="O243" s="27" t="n">
        <f aca="false">IF(AND(ISNUMBER(O239),ISNUMBER(L239)),IFERROR(O239/L239-1,""),"")</f>
        <v>0.0032088681446909</v>
      </c>
      <c r="P243" s="27" t="n">
        <f aca="false">IF(AND(ISNUMBER(P239),ISNUMBER(M239)),IFERROR(P239/M239-1,""),"")</f>
        <v>0.296898638426626</v>
      </c>
      <c r="Q243" s="27" t="n">
        <f aca="false">IF(AND(ISNUMBER(Q239),ISNUMBER(N239)),IFERROR(Q239/N239-1,""),"")</f>
        <v>0.394426074633916</v>
      </c>
      <c r="R243" s="27" t="n">
        <f aca="false">IF(AND(ISNUMBER(R239),ISNUMBER(O239)),IFERROR(R239/O239-1,""),"")</f>
        <v>0.356935155568479</v>
      </c>
      <c r="S243" s="27" t="n">
        <f aca="false">IF(AND(ISNUMBER(S239),ISNUMBER(P239)),IFERROR(S239/P239-1,""),"")</f>
        <v>0.348789734616506</v>
      </c>
      <c r="T243" s="27" t="n">
        <f aca="false">IF(AND(ISNUMBER(T239),ISNUMBER(Q239)),IFERROR(T239/Q239-1,""),"")</f>
        <v>0.269139566395664</v>
      </c>
      <c r="U243" s="27" t="n">
        <f aca="false">IF(AND(ISNUMBER(U239),ISNUMBER(R239)),IFERROR(U239/R239-1,""),"")</f>
        <v>0.298403514411229</v>
      </c>
      <c r="V243" s="27" t="n">
        <f aca="false">IF(AND(ISNUMBER(V239),ISNUMBER(S239)),IFERROR(V239/S239-1,""),"")</f>
        <v>0.364108108108108</v>
      </c>
      <c r="W243" s="27" t="n">
        <f aca="false">IF(AND(ISNUMBER(W239),ISNUMBER(T239)),IFERROR(W239/T239-1,""),"")</f>
        <v>-0.0531162418257042</v>
      </c>
      <c r="X243" s="27" t="n">
        <f aca="false">IF(AND(ISNUMBER(X239),ISNUMBER(U239)),IFERROR(X239/U239-1,""),"")</f>
        <v>0.106123122627496</v>
      </c>
      <c r="Y243" s="27" t="n">
        <f aca="false">IF(AND(ISNUMBER(Y239),ISNUMBER(V239)),IFERROR(Y239/V239-1,""),"")</f>
        <v>0.0670470756062767</v>
      </c>
      <c r="Z243" s="27" t="n">
        <f aca="false">IF(AND(ISNUMBER(Z239),ISNUMBER(W239)),IFERROR(Z239/W239-1,""),"")</f>
        <v>0.0907681465821004</v>
      </c>
      <c r="AA243" s="27" t="n">
        <f aca="false">IF(AND(ISNUMBER(AA239),ISNUMBER(X239)),IFERROR(AA239/X239-1,""),"")</f>
        <v>0.0796031035511791</v>
      </c>
      <c r="AB243" s="27" t="n">
        <f aca="false">IF(AND(ISNUMBER(AB239),ISNUMBER(Y239)),IFERROR(AB239/Y239-1,""),"")</f>
        <v>-0.0827391562685681</v>
      </c>
      <c r="AC243" s="27" t="n">
        <f aca="false">IF(AND(ISNUMBER(AC239),ISNUMBER(Z239)),IFERROR(AC239/Z239-1,""),"")</f>
        <v>0.0195115648016542</v>
      </c>
      <c r="AD243" s="27" t="n">
        <f aca="false">IF(AND(ISNUMBER(AD239),ISNUMBER(AA239)),IFERROR(AD239/AA239-1,""),"")</f>
        <v>-0.0280561122244488</v>
      </c>
      <c r="AE243" s="27" t="n">
        <f aca="false">IF(AND(ISNUMBER(AE239),ISNUMBER(AB239)),IFERROR(AE239/AB239-1,""),"")</f>
        <v>-0.955951417004049</v>
      </c>
      <c r="AF243" s="27" t="n">
        <f aca="false">IF(AND(ISNUMBER(AF239),ISNUMBER(AC239)),IFERROR(AF239/AC239-1,""),"")</f>
        <v>0.226996197718631</v>
      </c>
      <c r="AG243" s="27" t="n">
        <f aca="false">IF(AND(ISNUMBER(AG239),ISNUMBER(AD239)),IFERROR(AG239/AD239-1,""),"")</f>
        <v>-0.292356914326342</v>
      </c>
      <c r="AH243" s="27" t="n">
        <f aca="false">IF(AND(ISNUMBER(AH239),ISNUMBER(AE239)),IFERROR(AH239/AE239-1,""),"")</f>
        <v>44.4227941176471</v>
      </c>
      <c r="AI243" s="27" t="n">
        <f aca="false">IF(AND(ISNUMBER(AI239),ISNUMBER(AF239)),IFERROR(AI239/AF239-1,""),"")</f>
        <v>0.472471852081396</v>
      </c>
      <c r="AJ243" s="27" t="n">
        <f aca="false">IF(AND(ISNUMBER(AJ239),ISNUMBER(AG239)),IFERROR(AJ239/AG239-1,""),"")</f>
        <v>1.67356575906762</v>
      </c>
      <c r="AK243" s="27" t="n">
        <f aca="false">IF(AND(ISNUMBER(AK239),ISNUMBER(AH239)),IFERROR(AK239/AH239-1,""),"")</f>
        <v>0.150951031970862</v>
      </c>
      <c r="AL243" s="27" t="n">
        <f aca="false">IF(AND(ISNUMBER(AL239),ISNUMBER(AI239)),IFERROR(AL239/AI239-1,""),"")</f>
        <v>0.391090845317433</v>
      </c>
      <c r="AM243" s="27" t="n">
        <f aca="false">IF(AND(ISNUMBER(AM239),ISNUMBER(AJ239)),IFERROR(AM239/AJ239-1,""),"")</f>
        <v>0.279594137542277</v>
      </c>
      <c r="AN243" s="27" t="n">
        <f aca="false">IF(AND(ISNUMBER(AN239),ISNUMBER(AK239)),IFERROR(AN239/AK239-1,""),"")</f>
        <v>0.209563994374121</v>
      </c>
      <c r="AO243" s="27" t="n">
        <f aca="false">IF(AND(ISNUMBER(AO239),ISNUMBER(AL239)),IFERROR(AO239/AL239-1,""),"")</f>
        <v>-0.257690368129097</v>
      </c>
      <c r="AP243" s="27" t="n">
        <f aca="false">IF(AND(ISNUMBER(AP239),ISNUMBER(AM239)),IFERROR(AP239/AM239-1,""),"")</f>
        <v>-0.0625550660792952</v>
      </c>
      <c r="AQ243" s="27" t="n">
        <f aca="false">IF(AND(ISNUMBER(AQ239),ISNUMBER(AN239)),IFERROR(AQ239/AN239-1,""),"")</f>
        <v>0.0325581395348837</v>
      </c>
      <c r="AR243" s="27" t="n">
        <f aca="false">IF(AND(ISNUMBER(AR239),ISNUMBER(AO239)),IFERROR(AR239/AO239-1,""),"")</f>
        <v>0.35258152173913</v>
      </c>
      <c r="AS243" s="27" t="n">
        <f aca="false">IF(AND(ISNUMBER(AS239),ISNUMBER(AP239)),IFERROR(AS239/AP239-1,""),"")</f>
        <v>0.180137844611529</v>
      </c>
      <c r="AT243" s="27" t="n">
        <f aca="false">IF(AND(ISNUMBER(AT239),ISNUMBER(AQ239)),IFERROR(AT239/AQ239-1,""),"")</f>
        <v>0.0399774774774775</v>
      </c>
      <c r="AU243" s="27" t="n">
        <f aca="false">IF(AND(ISNUMBER(AU239),ISNUMBER(AR239)),IFERROR(AU239/AR239-1,""),"")</f>
        <v>0.0215971873430436</v>
      </c>
      <c r="AV243" s="27" t="n">
        <f aca="false">IF(AND(ISNUMBER(AV239),ISNUMBER(AS239)),IFERROR(AV239/AS239-1,""),"")</f>
        <v>0.0302628086010088</v>
      </c>
      <c r="AW243" s="27" t="n">
        <f aca="false">IF(AND(ISNUMBER(AW239),ISNUMBER(AT239)),IFERROR(AW239/AT239-1,""),"")</f>
        <v>0.181375203031944</v>
      </c>
      <c r="AX243" s="28" t="n">
        <f aca="false">IF(AND(ISNUMBER(AX239),ISNUMBER(AU239)),IFERROR(AX239/AU239-1,""),"")</f>
        <v>0.0232007199179018</v>
      </c>
      <c r="AY243" s="28" t="n">
        <f aca="false">IF(AND(ISNUMBER(AY239),ISNUMBER(AV239)),IFERROR(AY239/AV239-1,""),"")</f>
        <v>0.0984772647031724</v>
      </c>
      <c r="AZ243" s="28" t="n">
        <f aca="false">IF(AND(ISNUMBER(AZ239),ISNUMBER(AY239)),IFERROR(AZ239/AY239-1,""),"")</f>
        <v>0.0845649086500671</v>
      </c>
      <c r="BA243" s="28" t="n">
        <f aca="false">IF(AND(ISNUMBER(BA239),ISNUMBER(AZ239)),IFERROR(BA239/AZ239-1,""),"")</f>
        <v>0.116132061068144</v>
      </c>
      <c r="BB243" s="28" t="n">
        <f aca="false">IF(AND(ISNUMBER(BB239),ISNUMBER(BA239)),IFERROR(BB239/BA239-1,""),"")</f>
        <v>0.0903905184581748</v>
      </c>
      <c r="BC243" s="28" t="n">
        <f aca="false">IF(AND(ISNUMBER(BC239),ISNUMBER(BB239)),IFERROR(BC239/BB239-1,""),"")</f>
        <v>0.0789617857741023</v>
      </c>
      <c r="BD243" s="23"/>
      <c r="BF243" s="7"/>
      <c r="BG243" s="7"/>
      <c r="BH243" s="7"/>
      <c r="BI243" s="7"/>
    </row>
    <row r="244" customFormat="false" ht="15" hidden="false" customHeight="true" outlineLevel="0" collapsed="false">
      <c r="B244" s="26" t="s">
        <v>335</v>
      </c>
      <c r="C244" s="30" t="str">
        <f aca="false">IF(AND(ISNUMBER(C239),ISNUMBER(C119)),IFERROR(C239/C119,""),"")</f>
        <v/>
      </c>
      <c r="D244" s="30" t="str">
        <f aca="false">IF(AND(ISNUMBER(D239),ISNUMBER(D119)),IFERROR(D239/D119,""),"")</f>
        <v/>
      </c>
      <c r="E244" s="30" t="str">
        <f aca="false">IF(AND(ISNUMBER(E239),ISNUMBER(E119)),IFERROR(E239/E119,""),"")</f>
        <v/>
      </c>
      <c r="F244" s="30" t="n">
        <f aca="false">IF(AND(ISNUMBER(F239),ISNUMBER(F119)),IFERROR(F239/F119,""),"")</f>
        <v>0.135663166692786</v>
      </c>
      <c r="G244" s="30" t="n">
        <f aca="false">IF(AND(ISNUMBER(G239),ISNUMBER(G119)),IFERROR(G239/G119,""),"")</f>
        <v>0.218927024325225</v>
      </c>
      <c r="H244" s="30" t="n">
        <f aca="false">IF(AND(ISNUMBER(H239),ISNUMBER(H119)),IFERROR(H239/H119,""),"")</f>
        <v>0.193826552161059</v>
      </c>
      <c r="I244" s="30" t="n">
        <f aca="false">IF(AND(ISNUMBER(I239),ISNUMBER(I119)),IFERROR(I239/I119,""),"")</f>
        <v>0.145833931287851</v>
      </c>
      <c r="J244" s="30" t="n">
        <f aca="false">IF(AND(ISNUMBER(J239),ISNUMBER(J119)),IFERROR(J239/J119,""),"")</f>
        <v>0.128112267994568</v>
      </c>
      <c r="K244" s="30" t="n">
        <f aca="false">IF(AND(ISNUMBER(K239),ISNUMBER(K119)),IFERROR(K239/K119,""),"")</f>
        <v>0.23103240088549</v>
      </c>
      <c r="L244" s="30" t="n">
        <f aca="false">IF(AND(ISNUMBER(L239),ISNUMBER(L119)),IFERROR(L239/L119,""),"")</f>
        <v>0.182592947693619</v>
      </c>
      <c r="M244" s="30" t="n">
        <f aca="false">IF(AND(ISNUMBER(M239),ISNUMBER(M119)),IFERROR(M239/M119,""),"")</f>
        <v>0.138654360480361</v>
      </c>
      <c r="N244" s="30" t="n">
        <f aca="false">IF(AND(ISNUMBER(N239),ISNUMBER(N119)),IFERROR(N239/N119,""),"")</f>
        <v>0.191436451598318</v>
      </c>
      <c r="O244" s="30" t="n">
        <f aca="false">IF(AND(ISNUMBER(O239),ISNUMBER(O119)),IFERROR(O239/O119,""),"")</f>
        <v>0.166998494634099</v>
      </c>
      <c r="P244" s="30" t="n">
        <f aca="false">IF(AND(ISNUMBER(P239),ISNUMBER(P119)),IFERROR(P239/P119,""),"")</f>
        <v>0.149125858919718</v>
      </c>
      <c r="Q244" s="30" t="n">
        <f aca="false">IF(AND(ISNUMBER(Q239),ISNUMBER(Q119)),IFERROR(Q239/Q119,""),"")</f>
        <v>0.232294617563739</v>
      </c>
      <c r="R244" s="30" t="n">
        <f aca="false">IF(AND(ISNUMBER(R239),ISNUMBER(R119)),IFERROR(R239/R119,""),"")</f>
        <v>0.192790745713696</v>
      </c>
      <c r="S244" s="30" t="n">
        <f aca="false">IF(AND(ISNUMBER(S239),ISNUMBER(S119)),IFERROR(S239/S119,""),"")</f>
        <v>0.189518111784953</v>
      </c>
      <c r="T244" s="30" t="n">
        <f aca="false">IF(AND(ISNUMBER(T239),ISNUMBER(T119)),IFERROR(T239/T119,""),"")</f>
        <v>0.271308566876675</v>
      </c>
      <c r="U244" s="30" t="n">
        <f aca="false">IF(AND(ISNUMBER(U239),ISNUMBER(U119)),IFERROR(U239/U119,""),"")</f>
        <v>0.232939910038061</v>
      </c>
      <c r="V244" s="30" t="n">
        <f aca="false">IF(AND(ISNUMBER(V239),ISNUMBER(V119)),IFERROR(V239/V119,""),"")</f>
        <v>0.232538424680255</v>
      </c>
      <c r="W244" s="30" t="n">
        <f aca="false">IF(AND(ISNUMBER(W239),ISNUMBER(W119)),IFERROR(W239/W119,""),"")</f>
        <v>0.250167483516096</v>
      </c>
      <c r="X244" s="30" t="n">
        <f aca="false">IF(AND(ISNUMBER(X239),ISNUMBER(X119)),IFERROR(X239/X119,""),"")</f>
        <v>0.241548331290997</v>
      </c>
      <c r="Y244" s="30" t="n">
        <f aca="false">IF(AND(ISNUMBER(Y239),ISNUMBER(Y119)),IFERROR(Y239/Y119,""),"")</f>
        <v>0.235929067077872</v>
      </c>
      <c r="Z244" s="30" t="n">
        <f aca="false">IF(AND(ISNUMBER(Z239),ISNUMBER(Z119)),IFERROR(Z239/Z119,""),"")</f>
        <v>0.248626594275067</v>
      </c>
      <c r="AA244" s="30" t="n">
        <f aca="false">IF(AND(ISNUMBER(AA239),ISNUMBER(AA119)),IFERROR(AA239/AA119,""),"")</f>
        <v>0.242553762089137</v>
      </c>
      <c r="AB244" s="30" t="n">
        <f aca="false">IF(AND(ISNUMBER(AB239),ISNUMBER(AB119)),IFERROR(AB239/AB119,""),"")</f>
        <v>0.188021435966141</v>
      </c>
      <c r="AC244" s="30" t="n">
        <f aca="false">IF(AND(ISNUMBER(AC239),ISNUMBER(AC119)),IFERROR(AC239/AC119,""),"")</f>
        <v>0.219215381195821</v>
      </c>
      <c r="AD244" s="30" t="n">
        <f aca="false">IF(AND(ISNUMBER(AD239),ISNUMBER(AD119)),IFERROR(AD239/AD119,""),"")</f>
        <v>0.204332161431851</v>
      </c>
      <c r="AE244" s="30" t="n">
        <f aca="false">IF(AND(ISNUMBER(AE239),ISNUMBER(AE119)),IFERROR(AE239/AE119,""),"")</f>
        <v>0.0109324758842444</v>
      </c>
      <c r="AF244" s="30" t="n">
        <f aca="false">IF(AND(ISNUMBER(AF239),ISNUMBER(AF119)),IFERROR(AF239/AF119,""),"")</f>
        <v>0.248141692725688</v>
      </c>
      <c r="AG244" s="30" t="n">
        <f aca="false">IF(AND(ISNUMBER(AG239),ISNUMBER(AG119)),IFERROR(AG239/AG119,""),"")</f>
        <v>0.155773625066516</v>
      </c>
      <c r="AH244" s="30" t="n">
        <f aca="false">IF(AND(ISNUMBER(AH239),ISNUMBER(AH119)),IFERROR(AH239/AH119,""),"")</f>
        <v>0.291728648674175</v>
      </c>
      <c r="AI244" s="30" t="n">
        <f aca="false">IF(AND(ISNUMBER(AI239),ISNUMBER(AI119)),IFERROR(AI239/AI119,""),"")</f>
        <v>0.300301249236344</v>
      </c>
      <c r="AJ244" s="30" t="n">
        <f aca="false">IF(AND(ISNUMBER(AJ239),ISNUMBER(AJ119)),IFERROR(AJ239/AJ119,""),"")</f>
        <v>0.29625918503674</v>
      </c>
      <c r="AK244" s="30" t="n">
        <f aca="false">IF(AND(ISNUMBER(AK239),ISNUMBER(AK119)),IFERROR(AK239/AK119,""),"")</f>
        <v>0.25972602739726</v>
      </c>
      <c r="AL244" s="30" t="n">
        <f aca="false">IF(AND(ISNUMBER(AL239),ISNUMBER(AL119)),IFERROR(AL239/AL119,""),"")</f>
        <v>0.323649420597356</v>
      </c>
      <c r="AM244" s="30" t="n">
        <f aca="false">IF(AND(ISNUMBER(AM239),ISNUMBER(AM119)),IFERROR(AM239/AM119,""),"")</f>
        <v>0.293483882089295</v>
      </c>
      <c r="AN244" s="30" t="n">
        <f aca="false">IF(AND(ISNUMBER(AN239),ISNUMBER(AN119)),IFERROR(AN239/AN119,""),"")</f>
        <v>0.256793072558973</v>
      </c>
      <c r="AO244" s="30" t="n">
        <f aca="false">IF(AND(ISNUMBER(AO239),ISNUMBER(AO119)),IFERROR(AO239/AO119,""),"")</f>
        <v>0.218754644077872</v>
      </c>
      <c r="AP244" s="30" t="n">
        <f aca="false">IF(AND(ISNUMBER(AP239),ISNUMBER(AP119)),IFERROR(AP239/AP119,""),"")</f>
        <v>0.237729947121472</v>
      </c>
      <c r="AQ244" s="30" t="n">
        <f aca="false">IF(AND(ISNUMBER(AQ239),ISNUMBER(AQ119)),IFERROR(AQ239/AQ119,""),"")</f>
        <v>0.236673773987207</v>
      </c>
      <c r="AR244" s="30" t="n">
        <f aca="false">IF(AND(ISNUMBER(AR239),ISNUMBER(AR119)),IFERROR(AR239/AR119,""),"")</f>
        <v>0.25971823636838</v>
      </c>
      <c r="AS244" s="30" t="n">
        <f aca="false">IF(AND(ISNUMBER(AS239),ISNUMBER(AS119)),IFERROR(AS239/AS119,""),"")</f>
        <v>0.248319050758075</v>
      </c>
      <c r="AT244" s="30" t="n">
        <f aca="false">IF(AND(ISNUMBER(AT239),ISNUMBER(AT119)),IFERROR(AT239/AT119,""),"")</f>
        <v>0.229897933781429</v>
      </c>
      <c r="AU244" s="30" t="n">
        <f aca="false">IF(AND(ISNUMBER(AU239),ISNUMBER(AU119)),IFERROR(AU239/AU119,""),"")</f>
        <v>0.255271084337349</v>
      </c>
      <c r="AV244" s="30" t="n">
        <f aca="false">IF(AND(ISNUMBER(AV239),ISNUMBER(AV119)),IFERROR(AV239/AV119,""),"")</f>
        <v>0.242532183477065</v>
      </c>
      <c r="AW244" s="30" t="n">
        <f aca="false">IF(AND(ISNUMBER(AW239),ISNUMBER(AW119)),IFERROR(AW239/AW119,""),"")</f>
        <v>0.26730368736984</v>
      </c>
      <c r="AX244" s="28" t="n">
        <f aca="false">IF(AND(ISNUMBER(AX239),ISNUMBER(AX119)),IFERROR(AX239/AX119,""),"")</f>
        <v>0.252449392140579</v>
      </c>
      <c r="AY244" s="28" t="n">
        <f aca="false">IF(AND(ISNUMBER(AY239),ISNUMBER(AY119)),IFERROR(AY239/AY119,""),"")</f>
        <v>0.259839877047101</v>
      </c>
      <c r="AZ244" s="28" t="n">
        <f aca="false">IF(AND(ISNUMBER(AZ239),ISNUMBER(AZ119)),IFERROR(AZ239/AZ119,""),"")</f>
        <v>0.262318070791642</v>
      </c>
      <c r="BA244" s="28" t="n">
        <f aca="false">IF(AND(ISNUMBER(BA239),ISNUMBER(BA119)),IFERROR(BA239/BA119,""),"")</f>
        <v>0.272386240600236</v>
      </c>
      <c r="BB244" s="28" t="n">
        <f aca="false">IF(AND(ISNUMBER(BB239),ISNUMBER(BB119)),IFERROR(BB239/BB119,""),"")</f>
        <v>0.277096996020368</v>
      </c>
      <c r="BC244" s="28" t="n">
        <f aca="false">IF(AND(ISNUMBER(BC239),ISNUMBER(BC119)),IFERROR(BC239/BC119,""),"")</f>
        <v>0.280090992101799</v>
      </c>
      <c r="BD244" s="23"/>
      <c r="BF244" s="32" t="n">
        <f aca="false">IFERROR(AVERAGE(AY244,AZ244,BA244,BB244,BC244),"n/m")</f>
        <v>0.270346435312229</v>
      </c>
      <c r="BG244" s="32" t="n">
        <f aca="false">IFERROR(AVERAGE(AJ244,AM244,AP244,AS244,AV244),"n/m")</f>
        <v>0.263664849696529</v>
      </c>
      <c r="BH244" s="32" t="n">
        <f aca="false">IFERROR(AVERAGE(U244,X244,AA244,AD244,AG244,AJ244,AM244,AP244,AS244,AV244),"n/m")</f>
        <v>0.239547203839921</v>
      </c>
      <c r="BI244" s="32" t="n">
        <f aca="false">IFERROR(AVERAGE(C244,D244,E244,F244,G244,H244,I244,L244,O244,R244,U244,X244,AA244,AD244,AG244,AJ244,AM244,AP244,AS244,AV244),"n/m")</f>
        <v>0.21365322946515</v>
      </c>
    </row>
    <row r="245" customFormat="false" ht="15" hidden="false" customHeight="true" outlineLevel="0" collapsed="false">
      <c r="B245" s="26" t="s">
        <v>336</v>
      </c>
      <c r="C245" s="30" t="str">
        <f aca="false">IF(AND(ISNUMBER(C239),ISNUMBER(C187)),IFERROR(C239/C187,""),"")</f>
        <v/>
      </c>
      <c r="D245" s="30" t="str">
        <f aca="false">IF(AND(ISNUMBER(D239),ISNUMBER(D187)),IFERROR(D239/D187,""),"")</f>
        <v/>
      </c>
      <c r="E245" s="30" t="str">
        <f aca="false">IF(AND(ISNUMBER(E239),ISNUMBER(E187)),IFERROR(E239/E187,""),"")</f>
        <v/>
      </c>
      <c r="F245" s="30" t="n">
        <f aca="false">IF(AND(ISNUMBER(F239),ISNUMBER(F187)),IFERROR(F239/F187,""),"")</f>
        <v>0.899238227146815</v>
      </c>
      <c r="G245" s="30" t="n">
        <f aca="false">IF(AND(ISNUMBER(G239),ISNUMBER(G187)),IFERROR(G239/G187,""),"")</f>
        <v>1.24638368508418</v>
      </c>
      <c r="H245" s="30" t="n">
        <f aca="false">IF(AND(ISNUMBER(H239),ISNUMBER(H187)),IFERROR(H239/H187,""),"")</f>
        <v>0.926948325197779</v>
      </c>
      <c r="I245" s="30" t="n">
        <f aca="false">IF(AND(ISNUMBER(I239),ISNUMBER(I187)),IFERROR(I239/I187,""),"")</f>
        <v>0.686621621621621</v>
      </c>
      <c r="J245" s="30" t="n">
        <f aca="false">IF(AND(ISNUMBER(J239),ISNUMBER(J187)),IFERROR(J239/J187,""),"")</f>
        <v>0.593135970657584</v>
      </c>
      <c r="K245" s="30" t="n">
        <f aca="false">IF(AND(ISNUMBER(K239),ISNUMBER(K187)),IFERROR(K239/K187,""),"")</f>
        <v>1.12328767123288</v>
      </c>
      <c r="L245" s="30" t="n">
        <f aca="false">IF(AND(ISNUMBER(L239),ISNUMBER(L187)),IFERROR(L239/L187,""),"")</f>
        <v>0.86729917773561</v>
      </c>
      <c r="M245" s="30" t="n">
        <f aca="false">IF(AND(ISNUMBER(M239),ISNUMBER(M187)),IFERROR(M239/M187,""),"")</f>
        <v>0.640969696969697</v>
      </c>
      <c r="N245" s="30" t="n">
        <f aca="false">IF(AND(ISNUMBER(N239),ISNUMBER(N187)),IFERROR(N239/N187,""),"")</f>
        <v>0.948689222496078</v>
      </c>
      <c r="O245" s="30" t="n">
        <f aca="false">IF(AND(ISNUMBER(O239),ISNUMBER(O187)),IFERROR(O239/O187,""),"")</f>
        <v>0.800884955752212</v>
      </c>
      <c r="P245" s="30" t="n">
        <f aca="false">IF(AND(ISNUMBER(P239),ISNUMBER(P187)),IFERROR(P239/P187,""),"")</f>
        <v>0.710673575129533</v>
      </c>
      <c r="Q245" s="30" t="n">
        <f aca="false">IF(AND(ISNUMBER(Q239),ISNUMBER(Q187)),IFERROR(Q239/Q187,""),"")</f>
        <v>1.20465211181392</v>
      </c>
      <c r="R245" s="30" t="n">
        <f aca="false">IF(AND(ISNUMBER(R239),ISNUMBER(R187)),IFERROR(R239/R187,""),"")</f>
        <v>0.959592843923504</v>
      </c>
      <c r="S245" s="30" t="n">
        <f aca="false">IF(AND(ISNUMBER(S239),ISNUMBER(S187)),IFERROR(S239/S187,""),"")</f>
        <v>0.848001466813348</v>
      </c>
      <c r="T245" s="30" t="n">
        <f aca="false">IF(AND(ISNUMBER(T239),ISNUMBER(T187)),IFERROR(T239/T187,""),"")</f>
        <v>1.35057678442682</v>
      </c>
      <c r="U245" s="30" t="n">
        <f aca="false">IF(AND(ISNUMBER(U239),ISNUMBER(U187)),IFERROR(U239/U187,""),"")</f>
        <v>1.10143610252681</v>
      </c>
      <c r="V245" s="30" t="n">
        <f aca="false">IF(AND(ISNUMBER(V239),ISNUMBER(V187)),IFERROR(V239/V187,""),"")</f>
        <v>1.04246530072703</v>
      </c>
      <c r="W245" s="30" t="n">
        <f aca="false">IF(AND(ISNUMBER(W239),ISNUMBER(W187)),IFERROR(W239/W187,""),"")</f>
        <v>1.15122505273406</v>
      </c>
      <c r="X245" s="30" t="n">
        <f aca="false">IF(AND(ISNUMBER(X239),ISNUMBER(X187)),IFERROR(X239/X187,""),"")</f>
        <v>1.07966169955699</v>
      </c>
      <c r="Y245" s="30" t="n">
        <f aca="false">IF(AND(ISNUMBER(Y239),ISNUMBER(Y187)),IFERROR(Y239/Y187,""),"")</f>
        <v>1.02747252747253</v>
      </c>
      <c r="Z245" s="30" t="n">
        <f aca="false">IF(AND(ISNUMBER(Z239),ISNUMBER(Z187)),IFERROR(Z239/Z187,""),"")</f>
        <v>1.11064867967853</v>
      </c>
      <c r="AA245" s="30" t="n">
        <f aca="false">IF(AND(ISNUMBER(AA239),ISNUMBER(AA187)),IFERROR(AA239/AA187,""),"")</f>
        <v>1.07034023668639</v>
      </c>
      <c r="AB245" s="30" t="n">
        <f aca="false">IF(AND(ISNUMBER(AB239),ISNUMBER(AB187)),IFERROR(AB239/AB187,""),"")</f>
        <v>0.818639798488665</v>
      </c>
      <c r="AC245" s="30" t="n">
        <f aca="false">IF(AND(ISNUMBER(AC239),ISNUMBER(AC187)),IFERROR(AC239/AC187,""),"")</f>
        <v>1.019643318687</v>
      </c>
      <c r="AD245" s="30" t="n">
        <f aca="false">IF(AND(ISNUMBER(AD239),ISNUMBER(AD187)),IFERROR(AD239/AD187,""),"")</f>
        <v>0.920424056017276</v>
      </c>
      <c r="AE245" s="30" t="n">
        <f aca="false">IF(AND(ISNUMBER(AE239),ISNUMBER(AE187)),IFERROR(AE239/AE187,""),"")</f>
        <v>0.081218274111675</v>
      </c>
      <c r="AF245" s="30" t="n">
        <f aca="false">IF(AND(ISNUMBER(AF239),ISNUMBER(AF187)),IFERROR(AF239/AF187,""),"")</f>
        <v>0.980892931305028</v>
      </c>
      <c r="AG245" s="30" t="n">
        <f aca="false">IF(AND(ISNUMBER(AG239),ISNUMBER(AG187)),IFERROR(AG239/AG187,""),"")</f>
        <v>0.768987097272657</v>
      </c>
      <c r="AH245" s="30" t="n">
        <f aca="false">IF(AND(ISNUMBER(AH239),ISNUMBER(AH187)),IFERROR(AH239/AH187,""),"")</f>
        <v>1.05274369461486</v>
      </c>
      <c r="AI245" s="30" t="n">
        <f aca="false">IF(AND(ISNUMBER(AI239),ISNUMBER(AI187)),IFERROR(AI239/AI187,""),"")</f>
        <v>1.12032379754794</v>
      </c>
      <c r="AJ245" s="30" t="n">
        <f aca="false">IF(AND(ISNUMBER(AJ239),ISNUMBER(AJ187)),IFERROR(AJ239/AJ187,""),"")</f>
        <v>1.08789860997547</v>
      </c>
      <c r="AK245" s="30" t="n">
        <f aca="false">IF(AND(ISNUMBER(AK239),ISNUMBER(AK187)),IFERROR(AK239/AK187,""),"")</f>
        <v>0.866017052375152</v>
      </c>
      <c r="AL245" s="30" t="n">
        <f aca="false">IF(AND(ISNUMBER(AL239),ISNUMBER(AL187)),IFERROR(AL239/AL187,""),"")</f>
        <v>1.1495652173913</v>
      </c>
      <c r="AM245" s="30" t="n">
        <f aca="false">IF(AND(ISNUMBER(AM239),ISNUMBER(AM187)),IFERROR(AM239/AM187,""),"")</f>
        <v>1.01128601128601</v>
      </c>
      <c r="AN245" s="30" t="n">
        <f aca="false">IF(AND(ISNUMBER(AN239),ISNUMBER(AN187)),IFERROR(AN239/AN187,""),"")</f>
        <v>0.772686433063792</v>
      </c>
      <c r="AO245" s="30" t="n">
        <f aca="false">IF(AND(ISNUMBER(AO239),ISNUMBER(AO187)),IFERROR(AO239/AO187,""),"")</f>
        <v>0.706673067690831</v>
      </c>
      <c r="AP245" s="30" t="n">
        <f aca="false">IF(AND(ISNUMBER(AP239),ISNUMBER(AP187)),IFERROR(AP239/AP187,""),"")</f>
        <v>0.740775121838013</v>
      </c>
      <c r="AQ245" s="30" t="n">
        <f aca="false">IF(AND(ISNUMBER(AQ239),ISNUMBER(AQ187)),IFERROR(AQ239/AQ187,""),"")</f>
        <v>0.749683410721824</v>
      </c>
      <c r="AR245" s="30" t="n">
        <f aca="false">IF(AND(ISNUMBER(AR239),ISNUMBER(AR187)),IFERROR(AR239/AR187,""),"")</f>
        <v>0.891625615763547</v>
      </c>
      <c r="AS245" s="30" t="n">
        <f aca="false">IF(AND(ISNUMBER(AS239),ISNUMBER(AS187)),IFERROR(AS239/AS187,""),"")</f>
        <v>0.818557149065624</v>
      </c>
      <c r="AT245" s="30" t="n">
        <f aca="false">IF(AND(ISNUMBER(AT239),ISNUMBER(AT187)),IFERROR(AT239/AT187,""),"")</f>
        <v>0.737914502596884</v>
      </c>
      <c r="AU245" s="30" t="n">
        <f aca="false">IF(AND(ISNUMBER(AU239),ISNUMBER(AU187)),IFERROR(AU239/AU187,""),"")</f>
        <v>0.864795918367347</v>
      </c>
      <c r="AV245" s="30" t="n">
        <f aca="false">IF(AND(ISNUMBER(AV239),ISNUMBER(AV187)),IFERROR(AV239/AV187,""),"")</f>
        <v>0.799382080329557</v>
      </c>
      <c r="AW245" s="30" t="n">
        <f aca="false">IF(AND(ISNUMBER(AW239),ISNUMBER(AW187)),IFERROR(AW239/AW187,""),"")</f>
        <v>0.875601926163724</v>
      </c>
      <c r="AX245" s="28" t="n">
        <f aca="false">IF(AND(ISNUMBER(AX239),ISNUMBER(AX187)),IFERROR(AX239/AX187,""),"")</f>
        <v>0.843369365630015</v>
      </c>
      <c r="AY245" s="28" t="n">
        <f aca="false">IF(AND(ISNUMBER(AY239),ISNUMBER(AY187)),IFERROR(AY239/AY187,""),"")</f>
        <v>0.859564577710724</v>
      </c>
      <c r="AZ245" s="28" t="n">
        <f aca="false">IF(AND(ISNUMBER(AZ239),ISNUMBER(AZ187)),IFERROR(AZ239/AZ187,""),"")</f>
        <v>0.873709663946799</v>
      </c>
      <c r="BA245" s="28" t="n">
        <f aca="false">IF(AND(ISNUMBER(BA239),ISNUMBER(BA187)),IFERROR(BA239/BA187,""),"")</f>
        <v>0.898527559874489</v>
      </c>
      <c r="BB245" s="28" t="n">
        <f aca="false">IF(AND(ISNUMBER(BB239),ISNUMBER(BB187)),IFERROR(BB239/BB187,""),"")</f>
        <v>0.907047906651102</v>
      </c>
      <c r="BC245" s="28" t="n">
        <f aca="false">IF(AND(ISNUMBER(BC239),ISNUMBER(BC187)),IFERROR(BC239/BC187,""),"")</f>
        <v>0.913914830200544</v>
      </c>
      <c r="BD245" s="23"/>
      <c r="BF245" s="32" t="n">
        <f aca="false">IFERROR(AVERAGE(AY245,AZ245,BA245,BB245,BC245),"n/m")</f>
        <v>0.890552907676731</v>
      </c>
      <c r="BG245" s="32" t="n">
        <f aca="false">IFERROR(AVERAGE(AJ245,AM245,AP245,AS245,AV245),"n/m")</f>
        <v>0.891579794498935</v>
      </c>
      <c r="BH245" s="32" t="n">
        <f aca="false">IFERROR(AVERAGE(U245,X245,AA245,AD245,AG245,AJ245,AM245,AP245,AS245,AV245),"n/m")</f>
        <v>0.93987481645548</v>
      </c>
      <c r="BI245" s="32" t="n">
        <f aca="false">IFERROR(AVERAGE(C245,D245,E245,F245,G245,H245,I245,L245,O245,R245,U245,X245,AA245,AD245,AG245,AJ245,AM245,AP245,AS245,AV245),"n/m")</f>
        <v>0.92857158829509</v>
      </c>
    </row>
    <row r="246" customFormat="false" ht="15" hidden="false" customHeight="true" outlineLevel="0" collapsed="false">
      <c r="B246" s="13" t="s">
        <v>337</v>
      </c>
      <c r="C246" s="53" t="str">
        <f aca="false">IFERROR(C239/C148,"")</f>
        <v/>
      </c>
      <c r="D246" s="53" t="str">
        <f aca="false">IFERROR(D239/D148,"")</f>
        <v/>
      </c>
      <c r="E246" s="53" t="str">
        <f aca="false">IFERROR(E239/E148,"")</f>
        <v/>
      </c>
      <c r="F246" s="53" t="n">
        <f aca="false">IFERROR(F239/F148,"")</f>
        <v>2.46836782356985</v>
      </c>
      <c r="G246" s="53" t="n">
        <f aca="false">IFERROR(G239/G148,"")</f>
        <v>4.98538563983</v>
      </c>
      <c r="H246" s="53" t="n">
        <f aca="false">IFERROR(H239/H148,"")</f>
        <v>5.24614713742272</v>
      </c>
      <c r="I246" s="53" t="n">
        <f aca="false">IFERROR(I239/I148,"")</f>
        <v>4.85364173391379</v>
      </c>
      <c r="J246" s="53" t="n">
        <f aca="false">IFERROR(J239/J148,"")</f>
        <v>2.16016860154101</v>
      </c>
      <c r="K246" s="53" t="n">
        <f aca="false">IFERROR(K239/K148,"")</f>
        <v>4.37927429855413</v>
      </c>
      <c r="L246" s="53" t="n">
        <f aca="false">IFERROR(L239/L148,"")</f>
        <v>6.5383938569005</v>
      </c>
      <c r="M246" s="53" t="n">
        <f aca="false">IFERROR(M239/M148,"")</f>
        <v>2.5258699379319</v>
      </c>
      <c r="N246" s="53" t="n">
        <f aca="false">IFERROR(N239/N148,"")</f>
        <v>4.03917673259432</v>
      </c>
      <c r="O246" s="53" t="n">
        <f aca="false">IFERROR(O239/O148,"")</f>
        <v>6.5615157219612</v>
      </c>
      <c r="P246" s="53" t="n">
        <f aca="false">IFERROR(P239/P148,"")</f>
        <v>3.26353154257485</v>
      </c>
      <c r="Q246" s="53" t="n">
        <f aca="false">IFERROR(Q239/Q148,"")</f>
        <v>5.618107541236</v>
      </c>
      <c r="R246" s="53" t="n">
        <f aca="false">IFERROR(R239/R148,"")</f>
        <v>8.8810632930819</v>
      </c>
      <c r="S246" s="53" t="n">
        <f aca="false">IFERROR(S239/S148,"")</f>
        <v>4.40724624848529</v>
      </c>
      <c r="T246" s="53" t="n">
        <f aca="false">IFERROR(T239/T148,"")</f>
        <v>7.12808828372786</v>
      </c>
      <c r="U246" s="53" t="n">
        <f aca="false">IFERROR(U239/U148,"")</f>
        <v>11.5278491688528</v>
      </c>
      <c r="V246" s="53" t="n">
        <f aca="false">IFERROR(V239/V148,"")</f>
        <v>5.99809931840904</v>
      </c>
      <c r="W246" s="53" t="n">
        <f aca="false">IFERROR(W239/W148,"")</f>
        <v>6.7468105986261</v>
      </c>
      <c r="X246" s="53" t="n">
        <f aca="false">IFERROR(X239/X148,"")</f>
        <v>12.746194399434</v>
      </c>
      <c r="Y246" s="53" t="n">
        <f aca="false">IFERROR(Y239/Y148,"")</f>
        <v>6.42346014050241</v>
      </c>
      <c r="Z246" s="53" t="n">
        <f aca="false">IFERROR(Z239/Z148,"")</f>
        <v>7.37892210471725</v>
      </c>
      <c r="AA246" s="53" t="n">
        <f aca="false">IFERROR(AA239/AA148,"")</f>
        <v>13.7976976065853</v>
      </c>
      <c r="AB246" s="53" t="n">
        <f aca="false">IFERROR(AB239/AB148,"")</f>
        <v>5.88611383008264</v>
      </c>
      <c r="AC246" s="53" t="n">
        <f aca="false">IFERROR(AC239/AC148,"")</f>
        <v>7.51032805750715</v>
      </c>
      <c r="AD246" s="53" t="n">
        <f aca="false">IFERROR(AD239/AD148,"")</f>
        <v>13.3881830328058</v>
      </c>
      <c r="AE246" s="53" t="n">
        <f aca="false">IFERROR(AE239/AE148,"")</f>
        <v>0.259964270395986</v>
      </c>
      <c r="AF246" s="53" t="n">
        <f aca="false">IFERROR(AF239/AF148,"")</f>
        <v>9.22980020185433</v>
      </c>
      <c r="AG246" s="53" t="n">
        <f aca="false">IFERROR(AG239/AG148,"")</f>
        <v>9.48912317002956</v>
      </c>
      <c r="AH246" s="53" t="n">
        <f aca="false">IFERROR(AH239/AH148,"")</f>
        <v>11.7767577778479</v>
      </c>
      <c r="AI246" s="53" t="n">
        <f aca="false">IFERROR(AI239/AI148,"")</f>
        <v>13.5807948830194</v>
      </c>
      <c r="AJ246" s="53" t="n">
        <f aca="false">IFERROR(AJ239/AJ148,"")</f>
        <v>25.3514522509398</v>
      </c>
      <c r="AK246" s="53" t="n">
        <f aca="false">IFERROR(AK239/AK148,"")</f>
        <v>13.5492642673276</v>
      </c>
      <c r="AL246" s="53" t="n">
        <f aca="false">IFERROR(AL239/AL148,"")</f>
        <v>18.8971794744611</v>
      </c>
      <c r="AM246" s="53" t="n">
        <f aca="false">IFERROR(AM239/AM148,"")</f>
        <v>32.4482582503985</v>
      </c>
      <c r="AN246" s="53" t="n">
        <f aca="false">IFERROR(AN239/AN148,"")</f>
        <v>16.4282165163291</v>
      </c>
      <c r="AO246" s="53" t="n">
        <f aca="false">IFERROR(AO239/AO148,"")</f>
        <v>14.0401100572942</v>
      </c>
      <c r="AP246" s="53" t="n">
        <f aca="false">IFERROR(AP239/AP148,"")</f>
        <v>30.4456734394587</v>
      </c>
      <c r="AQ246" s="53" t="n">
        <f aca="false">IFERROR(AQ239/AQ148,"")</f>
        <v>16.9335284922492</v>
      </c>
      <c r="AR246" s="53" t="n">
        <f aca="false">IFERROR(AR239/AR148,"")</f>
        <v>18.9743172181055</v>
      </c>
      <c r="AS246" s="53" t="n">
        <f aca="false">IFERROR(AS239/AS148,"")</f>
        <v>35.8996750178822</v>
      </c>
      <c r="AT246" s="53" t="n">
        <f aca="false">IFERROR(AT239/AT148,"")</f>
        <v>17.5870949458507</v>
      </c>
      <c r="AU246" s="53" t="n">
        <f aca="false">IFERROR(AU239/AU148,"")</f>
        <v>19.3646594241952</v>
      </c>
      <c r="AV246" s="53" t="n">
        <f aca="false">IFERROR(AV239/AV148,"")</f>
        <v>36.9489888029998</v>
      </c>
      <c r="AW246" s="53" t="n">
        <f aca="false">IFERROR(AW239/AW148,"")</f>
        <v>20.7803632081784</v>
      </c>
      <c r="AX246" s="55" t="n">
        <f aca="false">IFERROR(AX239/AX148,"")</f>
        <v>19.8202977074927</v>
      </c>
      <c r="AY246" s="55" t="n">
        <f aca="false">IFERROR(AY239/AY148,"")</f>
        <v>40.6006609156711</v>
      </c>
      <c r="AZ246" s="55" t="n">
        <f aca="false">IFERROR(AZ239/AZ148,"")</f>
        <v>44.0631859843272</v>
      </c>
      <c r="BA246" s="55" t="n">
        <f aca="false">IFERROR(BA239/BA148,"")</f>
        <v>49.2243900733844</v>
      </c>
      <c r="BB246" s="55" t="n">
        <f aca="false">IFERROR(BB239/BB148,"")</f>
        <v>53.7160973298</v>
      </c>
      <c r="BC246" s="55" t="n">
        <f aca="false">IFERROR(BC239/BC148,"")</f>
        <v>57.9974249800867</v>
      </c>
      <c r="BD246" s="23"/>
      <c r="BF246" s="24" t="n">
        <f aca="false">IFERROR((BC246/AV246)^(1/5)-1,"n/m")</f>
        <v>0.0943625705941831</v>
      </c>
      <c r="BG246" s="24" t="n">
        <f aca="false">IFERROR((AV246/AG246)^(1/5)-1,"n/m")</f>
        <v>0.312427418070946</v>
      </c>
      <c r="BH246" s="24" t="n">
        <f aca="false">IFERROR((AV246/R246)^(1/10)-1,"n/m")</f>
        <v>0.153224231583624</v>
      </c>
      <c r="BI246" s="24" t="str">
        <f aca="false">IFERROR((AV246/C246)^(1/19)-1,"n/m")</f>
        <v>n/m</v>
      </c>
    </row>
    <row r="247" customFormat="false" ht="15" hidden="false" customHeight="true" outlineLevel="0" collapsed="false">
      <c r="B247" s="13" t="s">
        <v>338</v>
      </c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9"/>
      <c r="AY247" s="39"/>
      <c r="AZ247" s="39"/>
      <c r="BA247" s="39"/>
      <c r="BB247" s="39"/>
      <c r="BC247" s="39"/>
      <c r="BD247" s="23"/>
      <c r="BF247" s="7"/>
      <c r="BG247" s="7"/>
      <c r="BH247" s="7"/>
      <c r="BI247" s="7"/>
    </row>
    <row r="248" customFormat="false" ht="15" hidden="false" customHeight="true" outlineLevel="0" collapsed="false">
      <c r="B248" s="26" t="s">
        <v>339</v>
      </c>
      <c r="C248" s="30" t="n">
        <f aca="false">IFERROR(-C218/C119,"")</f>
        <v>0.0886527163509143</v>
      </c>
      <c r="D248" s="30" t="n">
        <f aca="false">IFERROR(-D218/D119,"")</f>
        <v>0.095932557996431</v>
      </c>
      <c r="E248" s="30" t="n">
        <f aca="false">IFERROR(-E218/E119,"")</f>
        <v>0.090898787260569</v>
      </c>
      <c r="F248" s="30" t="n">
        <f aca="false">IFERROR(-F218/F119,"")</f>
        <v>0.103327587107559</v>
      </c>
      <c r="G248" s="30" t="n">
        <f aca="false">IFERROR(-G218/G119,"")</f>
        <v>0.057564145284905</v>
      </c>
      <c r="H248" s="30" t="n">
        <f aca="false">IFERROR(-H218/H119,"")</f>
        <v>0.0651837251865409</v>
      </c>
      <c r="I248" s="30" t="n">
        <f aca="false">IFERROR(-I218/I119,"")</f>
        <v>0.0755144800665882</v>
      </c>
      <c r="J248" s="30" t="n">
        <f aca="false">IFERROR(-J218/J119,"")</f>
        <v>0.0420439112720688</v>
      </c>
      <c r="K248" s="30" t="n">
        <f aca="false">IFERROR(-K218/K119,"")</f>
        <v>0.0689273495673174</v>
      </c>
      <c r="L248" s="30" t="n">
        <f aca="false">IFERROR(-L218/L119,"")</f>
        <v>0.0562746351336955</v>
      </c>
      <c r="M248" s="30" t="n">
        <f aca="false">IFERROR(-M218/M119,"")</f>
        <v>0.0479311972311081</v>
      </c>
      <c r="N248" s="30" t="n">
        <f aca="false">IFERROR(-N218/N119,"")</f>
        <v>0.0848216304200389</v>
      </c>
      <c r="O248" s="30" t="n">
        <f aca="false">IFERROR(-O218/O119,"")</f>
        <v>0.0677414655465449</v>
      </c>
      <c r="P248" s="30" t="n">
        <f aca="false">IFERROR(-P218/P119,"")</f>
        <v>0.0436635644081065</v>
      </c>
      <c r="Q248" s="30" t="n">
        <f aca="false">IFERROR(-Q218/Q119,"")</f>
        <v>0.0598048473402581</v>
      </c>
      <c r="R248" s="30" t="n">
        <f aca="false">IFERROR(-R218/R119,"")</f>
        <v>0.0521379880190043</v>
      </c>
      <c r="S248" s="30" t="n">
        <f aca="false">IFERROR(-S218/S119,"")</f>
        <v>0.0440911326012129</v>
      </c>
      <c r="T248" s="30" t="n">
        <f aca="false">IFERROR(-T218/T119,"")</f>
        <v>0.0559417771018901</v>
      </c>
      <c r="U248" s="30" t="n">
        <f aca="false">IFERROR(-U218/U119,"")</f>
        <v>0.050382530467879</v>
      </c>
      <c r="V248" s="30" t="n">
        <f aca="false">IFERROR(-V218/V119,"")</f>
        <v>0.038627400390697</v>
      </c>
      <c r="W248" s="30" t="n">
        <f aca="false">IFERROR(-W218/W119,"")</f>
        <v>0.0565565389090653</v>
      </c>
      <c r="X248" s="30" t="n">
        <f aca="false">IFERROR(-X218/X119,"")</f>
        <v>0.0477906725293736</v>
      </c>
      <c r="Y248" s="30" t="n">
        <f aca="false">IFERROR(-Y218/Y119,"")</f>
        <v>0.0448587649821266</v>
      </c>
      <c r="Z248" s="30" t="n">
        <f aca="false">IFERROR(-Z218/Z119,"")</f>
        <v>0.0592090468082372</v>
      </c>
      <c r="AA248" s="30" t="n">
        <f aca="false">IFERROR(-AA218/AA119,"")</f>
        <v>0.0523457535073163</v>
      </c>
      <c r="AB248" s="30" t="n">
        <f aca="false">IFERROR(-AB218/AB119,"")</f>
        <v>0.0517020887887461</v>
      </c>
      <c r="AC248" s="30" t="n">
        <f aca="false">IFERROR(-AC218/AC119,"")</f>
        <v>0.085630140031118</v>
      </c>
      <c r="AD248" s="30" t="n">
        <f aca="false">IFERROR(-AD218/AD119,"")</f>
        <v>0.0694424267077317</v>
      </c>
      <c r="AE248" s="30" t="n">
        <f aca="false">IFERROR(-AE218/AE119,"")</f>
        <v>0.0651929260450161</v>
      </c>
      <c r="AF248" s="30" t="n">
        <f aca="false">IFERROR(-AF218/AF119,"")</f>
        <v>0.0733582816424873</v>
      </c>
      <c r="AG248" s="30" t="n">
        <f aca="false">IFERROR(-AG218/AG119,"")</f>
        <v>0.0701787335274048</v>
      </c>
      <c r="AH248" s="30" t="n">
        <f aca="false">IFERROR(-AH218/AH119,"")</f>
        <v>0.0506245425137541</v>
      </c>
      <c r="AI248" s="30" t="n">
        <f aca="false">IFERROR(-AI218/AI119,"")</f>
        <v>0.0669068234005351</v>
      </c>
      <c r="AJ248" s="30" t="n">
        <f aca="false">IFERROR(-AJ218/AJ119,"")</f>
        <v>0.0592295702516143</v>
      </c>
      <c r="AK248" s="30" t="n">
        <f aca="false">IFERROR(-AK218/AK119,"")</f>
        <v>0.034703196347032</v>
      </c>
      <c r="AL248" s="30" t="n">
        <f aca="false">IFERROR(-AL218/AL119,"")</f>
        <v>0.053533540068549</v>
      </c>
      <c r="AM248" s="30" t="n">
        <f aca="false">IFERROR(-AM218/AM119,"")</f>
        <v>0.0446474745733494</v>
      </c>
      <c r="AN248" s="30" t="n">
        <f aca="false">IFERROR(-AN218/AN119,"")</f>
        <v>0.0371752762018513</v>
      </c>
      <c r="AO248" s="30" t="n">
        <f aca="false">IFERROR(-AO218/AO119,"")</f>
        <v>0.0906524000594442</v>
      </c>
      <c r="AP248" s="30" t="n">
        <f aca="false">IFERROR(-AP218/AP119,"")</f>
        <v>0.0639755716094437</v>
      </c>
      <c r="AQ248" s="30" t="n">
        <f aca="false">IFERROR(-AQ218/AQ119,"")</f>
        <v>0.0425106609808102</v>
      </c>
      <c r="AR248" s="30" t="n">
        <f aca="false">IFERROR(-AR218/AR119,"")</f>
        <v>0.0975737020610488</v>
      </c>
      <c r="AS248" s="30" t="n">
        <f aca="false">IFERROR(-AS218/AS119,"")</f>
        <v>0.070336189848385</v>
      </c>
      <c r="AT248" s="30" t="n">
        <f aca="false">IFERROR(-AT218/AT119,"")</f>
        <v>0.0393328354493403</v>
      </c>
      <c r="AU248" s="30" t="n">
        <f aca="false">IFERROR(-AU218/AU119,"")</f>
        <v>0.106049196787149</v>
      </c>
      <c r="AV248" s="30" t="n">
        <f aca="false">IFERROR(-AV218/AV119,"")</f>
        <v>0.0725534308211474</v>
      </c>
      <c r="AW248" s="30" t="n">
        <f aca="false">IFERROR(-AW218/AW119,"")</f>
        <v>0.0421413695945118</v>
      </c>
      <c r="AX248" s="28" t="n">
        <f aca="false">IFERROR(-AX218/AX119,"")</f>
        <v>0.0977681923437559</v>
      </c>
      <c r="AY248" s="28" t="n">
        <f aca="false">IFERROR(-AY218/AY119,"")</f>
        <v>0.0700920766088112</v>
      </c>
      <c r="AZ248" s="42" t="n">
        <v>0.07</v>
      </c>
      <c r="BA248" s="42" t="n">
        <v>0.068</v>
      </c>
      <c r="BB248" s="42" t="n">
        <v>0.066</v>
      </c>
      <c r="BC248" s="42" t="n">
        <v>0.064</v>
      </c>
      <c r="BD248" s="23" t="s">
        <v>340</v>
      </c>
      <c r="BF248" s="32" t="n">
        <f aca="false">IFERROR(AVERAGE(AY248,AZ248,BA248,BB248,BC248),"n/m")</f>
        <v>0.0676184153217622</v>
      </c>
      <c r="BG248" s="32" t="n">
        <f aca="false">IFERROR(AVERAGE(AJ248,AM248,AP248,AS248,AV248),"n/m")</f>
        <v>0.062148447420788</v>
      </c>
      <c r="BH248" s="32" t="n">
        <f aca="false">IFERROR(AVERAGE(U248,X248,AA248,AD248,AG248,AJ248,AM248,AP248,AS248,AV248),"n/m")</f>
        <v>0.0600882353843645</v>
      </c>
      <c r="BI248" s="32" t="n">
        <f aca="false">IFERROR(AVERAGE(C248,D248,E248,F248,G248,H248,I248,L248,O248,R248,U248,X248,AA248,AD248,AG248,AJ248,AM248,AP248,AS248,AV248),"n/m")</f>
        <v>0.0677055220898199</v>
      </c>
    </row>
    <row r="249" customFormat="false" ht="15" hidden="false" customHeight="true" outlineLevel="0" collapsed="false">
      <c r="B249" s="26" t="s">
        <v>341</v>
      </c>
      <c r="C249" s="58" t="str">
        <f aca="false">IFERROR(-C218/C144,"")</f>
        <v/>
      </c>
      <c r="D249" s="58" t="str">
        <f aca="false">IFERROR(-D218/D144,"")</f>
        <v/>
      </c>
      <c r="E249" s="58" t="str">
        <f aca="false">IFERROR(-E218/E144,"")</f>
        <v/>
      </c>
      <c r="F249" s="58" t="n">
        <f aca="false">IFERROR(-F218/F144,"")</f>
        <v>2.34082840236686</v>
      </c>
      <c r="G249" s="58" t="n">
        <f aca="false">IFERROR(-G218/G144,"")</f>
        <v>1.36967294350842</v>
      </c>
      <c r="H249" s="58" t="n">
        <f aca="false">IFERROR(-H218/H144,"")</f>
        <v>1.63604240282686</v>
      </c>
      <c r="I249" s="58" t="n">
        <f aca="false">IFERROR(-I218/I144,"")</f>
        <v>2.19067443796836</v>
      </c>
      <c r="J249" s="58" t="n">
        <f aca="false">IFERROR(-J218/J144,"")</f>
        <v>1.17192429022082</v>
      </c>
      <c r="K249" s="58" t="n">
        <f aca="false">IFERROR(-K218/K144,"")</f>
        <v>1.82423435419441</v>
      </c>
      <c r="L249" s="58" t="n">
        <f aca="false">IFERROR(-L218/L144,"")</f>
        <v>1.52563176895307</v>
      </c>
      <c r="M249" s="58" t="n">
        <f aca="false">IFERROR(-M218/M144,"")</f>
        <v>1.27121001390821</v>
      </c>
      <c r="N249" s="58" t="n">
        <f aca="false">IFERROR(-N218/N144,"")</f>
        <v>1.94002068252327</v>
      </c>
      <c r="O249" s="58" t="n">
        <f aca="false">IFERROR(-O218/O144,"")</f>
        <v>1.65480427046263</v>
      </c>
      <c r="P249" s="58" t="n">
        <f aca="false">IFERROR(-P218/P144,"")</f>
        <v>1.15801614763552</v>
      </c>
      <c r="Q249" s="58" t="n">
        <f aca="false">IFERROR(-Q218/Q144,"")</f>
        <v>1.26878130217028</v>
      </c>
      <c r="R249" s="58" t="n">
        <f aca="false">IFERROR(-R218/R144,"")</f>
        <v>1.22227602905569</v>
      </c>
      <c r="S249" s="58" t="n">
        <f aca="false">IFERROR(-S218/S144,"")</f>
        <v>1.0046685340803</v>
      </c>
      <c r="T249" s="58" t="n">
        <f aca="false">IFERROR(-T218/T144,"")</f>
        <v>1.236</v>
      </c>
      <c r="U249" s="58" t="n">
        <f aca="false">IFERROR(-U218/U144,"")</f>
        <v>1.1292546316243</v>
      </c>
      <c r="V249" s="58" t="n">
        <f aca="false">IFERROR(-V218/V144,"")</f>
        <v>0.895726495726496</v>
      </c>
      <c r="W249" s="58" t="n">
        <f aca="false">IFERROR(-W218/W144,"")</f>
        <v>1.27301587301587</v>
      </c>
      <c r="X249" s="58" t="n">
        <f aca="false">IFERROR(-X218/X144,"")</f>
        <v>1.09135802469136</v>
      </c>
      <c r="Y249" s="58" t="n">
        <f aca="false">IFERROR(-Y218/Y144,"")</f>
        <v>0.918880114860014</v>
      </c>
      <c r="Z249" s="58" t="n">
        <f aca="false">IFERROR(-Z218/Z144,"")</f>
        <v>1.52692626346313</v>
      </c>
      <c r="AA249" s="58" t="n">
        <f aca="false">IFERROR(-AA218/AA144,"")</f>
        <v>1.20115384615385</v>
      </c>
      <c r="AB249" s="58" t="n">
        <f aca="false">IFERROR(-AB218/AB144,"")</f>
        <v>1.23580786026201</v>
      </c>
      <c r="AC249" s="58" t="n">
        <f aca="false">IFERROR(-AC218/AC144,"")</f>
        <v>2.42295597484277</v>
      </c>
      <c r="AD249" s="58" t="n">
        <f aca="false">IFERROR(-AD218/AD144,"")</f>
        <v>1.80650037792895</v>
      </c>
      <c r="AE249" s="58" t="n">
        <f aca="false">IFERROR(-AE218/AE144,"")</f>
        <v>1.21407185628743</v>
      </c>
      <c r="AF249" s="58" t="n">
        <f aca="false">IFERROR(-AF218/AF144,"")</f>
        <v>1.49295774647887</v>
      </c>
      <c r="AG249" s="58" t="n">
        <f aca="false">IFERROR(-AG218/AG144,"")</f>
        <v>1.37841992007378</v>
      </c>
      <c r="AH249" s="58" t="n">
        <f aca="false">IFERROR(-AH218/AH144,"")</f>
        <v>1.13259376650819</v>
      </c>
      <c r="AI249" s="58" t="n">
        <f aca="false">IFERROR(-AI218/AI144,"")</f>
        <v>1.69206180074587</v>
      </c>
      <c r="AJ249" s="58" t="n">
        <f aca="false">IFERROR(-AJ218/AJ144,"")</f>
        <v>1.41114058355438</v>
      </c>
      <c r="AK249" s="58" t="n">
        <f aca="false">IFERROR(-AK218/AK144,"")</f>
        <v>0.822510822510823</v>
      </c>
      <c r="AL249" s="58" t="n">
        <f aca="false">IFERROR(-AL218/AL144,"")</f>
        <v>1.40772532188841</v>
      </c>
      <c r="AM249" s="58" t="n">
        <f aca="false">IFERROR(-AM218/AM144,"")</f>
        <v>1.11637931034483</v>
      </c>
      <c r="AN249" s="58" t="n">
        <f aca="false">IFERROR(-AN218/AN144,"")</f>
        <v>1.21463414634146</v>
      </c>
      <c r="AO249" s="58" t="n">
        <f aca="false">IFERROR(-AO218/AO144,"")</f>
        <v>2.18637992831541</v>
      </c>
      <c r="AP249" s="58" t="n">
        <f aca="false">IFERROR(-AP218/AP144,"")</f>
        <v>1.77479338842975</v>
      </c>
      <c r="AQ249" s="58" t="n">
        <f aca="false">IFERROR(-AQ218/AQ144,"")</f>
        <v>1.46330275229358</v>
      </c>
      <c r="AR249" s="58" t="n">
        <f aca="false">IFERROR(-AR218/AR144,"")</f>
        <v>2.55290102389078</v>
      </c>
      <c r="AS249" s="58" t="n">
        <f aca="false">IFERROR(-AS218/AS144,"")</f>
        <v>2.0880626223092</v>
      </c>
      <c r="AT249" s="58" t="n">
        <f aca="false">IFERROR(-AT218/AT144,"")</f>
        <v>1.08591065292096</v>
      </c>
      <c r="AU249" s="58" t="n">
        <f aca="false">IFERROR(-AU218/AU144,"")</f>
        <v>2.97535211267606</v>
      </c>
      <c r="AV249" s="58" t="n">
        <f aca="false">IFERROR(-AV218/AV144,"")</f>
        <v>2.01913043478261</v>
      </c>
      <c r="AW249" s="58" t="n">
        <f aca="false">IFERROR(-AW218/AW144,"")</f>
        <v>1.02686567164179</v>
      </c>
      <c r="AX249" s="59" t="n">
        <f aca="false">IFERROR(-AX218/AX144,"")</f>
        <v>2.96259670204176</v>
      </c>
      <c r="AY249" s="59" t="n">
        <f aca="false">IFERROR(-AY218/AY144,"")</f>
        <v>1.89438044888679</v>
      </c>
      <c r="AZ249" s="59" t="n">
        <f aca="false">IFERROR(-AZ218/AZ144,"")</f>
        <v>1.89189189189189</v>
      </c>
      <c r="BA249" s="59" t="n">
        <f aca="false">IFERROR(-BA218/BA144,"")</f>
        <v>1.83783783783784</v>
      </c>
      <c r="BB249" s="59" t="n">
        <f aca="false">IFERROR(-BB218/BB144,"")</f>
        <v>1.78378378378378</v>
      </c>
      <c r="BC249" s="59" t="n">
        <f aca="false">IFERROR(-BC218/BC144,"")</f>
        <v>1.72972972972973</v>
      </c>
      <c r="BD249" s="23"/>
      <c r="BF249" s="7"/>
      <c r="BG249" s="7"/>
      <c r="BH249" s="7"/>
      <c r="BI249" s="7"/>
    </row>
    <row r="250" customFormat="false" ht="15" hidden="false" customHeight="true" outlineLevel="0" collapsed="false">
      <c r="B250" s="13"/>
      <c r="AX250" s="7"/>
      <c r="AY250" s="7"/>
      <c r="AZ250" s="7"/>
      <c r="BA250" s="7"/>
      <c r="BB250" s="7"/>
      <c r="BC250" s="7"/>
      <c r="BD250" s="7"/>
    </row>
    <row r="251" customFormat="false" ht="15" hidden="false" customHeight="true" outlineLevel="0" collapsed="false">
      <c r="B251" s="12" t="s">
        <v>342</v>
      </c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 t="s">
        <v>343</v>
      </c>
    </row>
    <row r="252" customFormat="false" ht="15" hidden="false" customHeight="true" outlineLevel="0" collapsed="false">
      <c r="B252" s="13" t="s">
        <v>344</v>
      </c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5"/>
      <c r="AY252" s="55" t="n">
        <f aca="false">AY379</f>
        <v>1299.5</v>
      </c>
      <c r="AZ252" s="55" t="n">
        <f aca="false">AY252*(1+AZ339)</f>
        <v>1390.465</v>
      </c>
      <c r="BA252" s="55" t="n">
        <f aca="false">AZ252*(1+BA339)</f>
        <v>1487.79755</v>
      </c>
      <c r="BB252" s="55" t="n">
        <f aca="false">BA252*(1+BB339)</f>
        <v>1591.9433785</v>
      </c>
      <c r="BC252" s="55" t="n">
        <f aca="false">BB252*(1+BC339)</f>
        <v>1703.379414995</v>
      </c>
      <c r="BD252" s="23"/>
      <c r="BF252" s="7"/>
      <c r="BG252" s="7"/>
      <c r="BH252" s="7"/>
      <c r="BI252" s="7"/>
    </row>
    <row r="253" customFormat="false" ht="15" hidden="false" customHeight="true" outlineLevel="0" collapsed="false">
      <c r="B253" s="13" t="s">
        <v>345</v>
      </c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9"/>
      <c r="AY253" s="39" t="n">
        <f aca="false">-(AY224-AW224)</f>
        <v>50</v>
      </c>
      <c r="AZ253" s="39" t="n">
        <f aca="false">-AZ224</f>
        <v>250</v>
      </c>
      <c r="BA253" s="39" t="n">
        <f aca="false">-BA224</f>
        <v>250</v>
      </c>
      <c r="BB253" s="39" t="n">
        <f aca="false">-BB224</f>
        <v>250</v>
      </c>
      <c r="BC253" s="39" t="n">
        <f aca="false">-BC224</f>
        <v>250</v>
      </c>
      <c r="BD253" s="23" t="s">
        <v>346</v>
      </c>
      <c r="BF253" s="7"/>
      <c r="BG253" s="7"/>
      <c r="BH253" s="7"/>
      <c r="BI253" s="7"/>
    </row>
    <row r="254" customFormat="false" ht="15" hidden="false" customHeight="true" outlineLevel="0" collapsed="false">
      <c r="B254" s="13" t="s">
        <v>347</v>
      </c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51"/>
      <c r="AY254" s="51" t="n">
        <f aca="false">IFERROR(AY253/AY252,0)</f>
        <v>0.0384763370527126</v>
      </c>
      <c r="AZ254" s="51" t="n">
        <f aca="false">IFERROR(AZ253/AZ252,0)</f>
        <v>0.17979596753604</v>
      </c>
      <c r="BA254" s="51" t="n">
        <f aca="false">IFERROR(BA253/BA252,0)</f>
        <v>0.168033614519664</v>
      </c>
      <c r="BB254" s="51" t="n">
        <f aca="false">IFERROR(BB253/BB252,0)</f>
        <v>0.15704076123333</v>
      </c>
      <c r="BC254" s="51" t="n">
        <f aca="false">IFERROR(BC253/BC252,0)</f>
        <v>0.146767066573206</v>
      </c>
      <c r="BD254" s="23"/>
      <c r="BF254" s="7"/>
      <c r="BG254" s="7"/>
      <c r="BH254" s="7"/>
      <c r="BI254" s="7"/>
    </row>
    <row r="255" customFormat="false" ht="15" hidden="false" customHeight="true" outlineLevel="0" collapsed="false">
      <c r="B255" s="13" t="s">
        <v>348</v>
      </c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51"/>
      <c r="AY255" s="60" t="n">
        <v>0.08</v>
      </c>
      <c r="AZ255" s="60" t="n">
        <v>0.08</v>
      </c>
      <c r="BA255" s="60" t="n">
        <v>0.08</v>
      </c>
      <c r="BB255" s="60" t="n">
        <v>0.08</v>
      </c>
      <c r="BC255" s="60" t="n">
        <v>0.08</v>
      </c>
      <c r="BD255" s="23"/>
      <c r="BF255" s="7"/>
      <c r="BG255" s="7"/>
      <c r="BH255" s="7"/>
      <c r="BI255" s="7"/>
    </row>
    <row r="256" customFormat="false" ht="15" hidden="false" customHeight="true" outlineLevel="0" collapsed="false">
      <c r="B256" s="13" t="s">
        <v>349</v>
      </c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51"/>
      <c r="AY256" s="51" t="n">
        <f aca="false">AW299</f>
        <v>104.741925</v>
      </c>
      <c r="AZ256" s="51" t="n">
        <f aca="false">AY257</f>
        <v>104.783448662947</v>
      </c>
      <c r="BA256" s="51" t="n">
        <f aca="false">AZ257</f>
        <v>104.683652695411</v>
      </c>
      <c r="BB256" s="51" t="n">
        <f aca="false">BA257</f>
        <v>104.595619080892</v>
      </c>
      <c r="BC256" s="51" t="n">
        <f aca="false">BB257</f>
        <v>104.518578319658</v>
      </c>
      <c r="BD256" s="23"/>
      <c r="BF256" s="7"/>
      <c r="BG256" s="7"/>
      <c r="BH256" s="7"/>
      <c r="BI256" s="7"/>
    </row>
    <row r="257" customFormat="false" ht="15" hidden="false" customHeight="true" outlineLevel="0" collapsed="false">
      <c r="B257" s="13" t="s">
        <v>350</v>
      </c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51"/>
      <c r="AY257" s="51" t="n">
        <f aca="false">AY256-AY254+AY255</f>
        <v>104.783448662947</v>
      </c>
      <c r="AZ257" s="51" t="n">
        <f aca="false">AZ256-AZ254+AZ255</f>
        <v>104.683652695411</v>
      </c>
      <c r="BA257" s="51" t="n">
        <f aca="false">BA256-BA254+BA255</f>
        <v>104.595619080892</v>
      </c>
      <c r="BB257" s="51" t="n">
        <f aca="false">BB256-BB254+BB255</f>
        <v>104.518578319658</v>
      </c>
      <c r="BC257" s="51" t="n">
        <f aca="false">BC256-BC254+BC255</f>
        <v>104.451811253085</v>
      </c>
      <c r="BD257" s="23"/>
      <c r="BF257" s="7"/>
      <c r="BG257" s="7"/>
      <c r="BH257" s="7"/>
      <c r="BI257" s="7"/>
    </row>
    <row r="258" customFormat="false" ht="15" hidden="false" customHeight="true" outlineLevel="0" collapsed="false">
      <c r="B258" s="26" t="s">
        <v>351</v>
      </c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28"/>
      <c r="AY258" s="28" t="n">
        <f aca="false">IFERROR(AY254/AY256,"")</f>
        <v>0.000367344184792408</v>
      </c>
      <c r="AZ258" s="28" t="n">
        <f aca="false">IFERROR(AZ254/AZ256,"")</f>
        <v>0.00171588137086786</v>
      </c>
      <c r="BA258" s="28" t="n">
        <f aca="false">IFERROR(BA254/BA256,"")</f>
        <v>0.00160515620341006</v>
      </c>
      <c r="BB258" s="28" t="n">
        <f aca="false">IFERROR(BB254/BB256,"")</f>
        <v>0.00150140859257097</v>
      </c>
      <c r="BC258" s="28" t="n">
        <f aca="false">IFERROR(BC254/BC256,"")</f>
        <v>0.00140421989021259</v>
      </c>
      <c r="BD258" s="23"/>
      <c r="BF258" s="7"/>
      <c r="BG258" s="7"/>
      <c r="BH258" s="7"/>
      <c r="BI258" s="7"/>
    </row>
    <row r="259" customFormat="false" ht="15" hidden="false" customHeight="true" outlineLevel="0" collapsed="false">
      <c r="B259" s="36" t="s">
        <v>352</v>
      </c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51"/>
      <c r="AY259" s="51" t="n">
        <f aca="false">AY254</f>
        <v>0.0384763370527126</v>
      </c>
      <c r="AZ259" s="51" t="n">
        <f aca="false">AY259+AZ254</f>
        <v>0.218272304588753</v>
      </c>
      <c r="BA259" s="51" t="n">
        <f aca="false">AZ259+BA254</f>
        <v>0.386305919108416</v>
      </c>
      <c r="BB259" s="51" t="n">
        <f aca="false">BA259+BB254</f>
        <v>0.543346680341747</v>
      </c>
      <c r="BC259" s="51" t="n">
        <f aca="false">BB259+BC254</f>
        <v>0.690113746914953</v>
      </c>
      <c r="BD259" s="23"/>
      <c r="BF259" s="7"/>
      <c r="BG259" s="7"/>
      <c r="BH259" s="7"/>
      <c r="BI259" s="7"/>
    </row>
    <row r="260" customFormat="false" ht="15" hidden="false" customHeight="true" outlineLevel="0" collapsed="false">
      <c r="B260" s="13"/>
      <c r="AX260" s="7"/>
      <c r="AY260" s="7"/>
      <c r="AZ260" s="7"/>
      <c r="BA260" s="7"/>
      <c r="BB260" s="7"/>
      <c r="BC260" s="7"/>
      <c r="BD260" s="7"/>
    </row>
    <row r="261" customFormat="false" ht="15" hidden="false" customHeight="true" outlineLevel="0" collapsed="false">
      <c r="B261" s="12" t="s">
        <v>353</v>
      </c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 t="s">
        <v>354</v>
      </c>
    </row>
    <row r="262" customFormat="false" ht="15" hidden="false" customHeight="true" outlineLevel="0" collapsed="false">
      <c r="B262" s="13" t="s">
        <v>355</v>
      </c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9"/>
      <c r="AY262" s="39"/>
      <c r="AZ262" s="39"/>
      <c r="BA262" s="39"/>
      <c r="BB262" s="39"/>
      <c r="BC262" s="39"/>
      <c r="BD262" s="23"/>
      <c r="BF262" s="7"/>
      <c r="BG262" s="7"/>
      <c r="BH262" s="7"/>
      <c r="BI262" s="7"/>
    </row>
    <row r="263" customFormat="false" ht="15" hidden="false" customHeight="true" outlineLevel="0" collapsed="false">
      <c r="B263" s="13" t="s">
        <v>356</v>
      </c>
      <c r="C263" s="37"/>
      <c r="D263" s="37"/>
      <c r="E263" s="37"/>
      <c r="F263" s="38" t="n">
        <v>34.8</v>
      </c>
      <c r="G263" s="38" t="n">
        <v>37.2</v>
      </c>
      <c r="H263" s="38" t="n">
        <v>38.7</v>
      </c>
      <c r="I263" s="38" t="n">
        <v>79.3</v>
      </c>
      <c r="J263" s="38" t="n">
        <v>76.7</v>
      </c>
      <c r="K263" s="37" t="n">
        <f aca="false">L263</f>
        <v>51.4</v>
      </c>
      <c r="L263" s="38" t="n">
        <v>51.4</v>
      </c>
      <c r="M263" s="38" t="n">
        <v>53.3</v>
      </c>
      <c r="N263" s="37" t="n">
        <f aca="false">O263</f>
        <v>37.4</v>
      </c>
      <c r="O263" s="38" t="n">
        <v>37.4</v>
      </c>
      <c r="P263" s="38" t="n">
        <v>37.2</v>
      </c>
      <c r="Q263" s="37" t="n">
        <f aca="false">R263</f>
        <v>37.9</v>
      </c>
      <c r="R263" s="38" t="n">
        <v>37.9</v>
      </c>
      <c r="S263" s="38" t="n">
        <v>40</v>
      </c>
      <c r="T263" s="37" t="n">
        <f aca="false">U263</f>
        <v>36.6</v>
      </c>
      <c r="U263" s="38" t="n">
        <v>36.6</v>
      </c>
      <c r="V263" s="38" t="n">
        <v>35.9</v>
      </c>
      <c r="W263" s="37" t="n">
        <f aca="false">X263</f>
        <v>32.9</v>
      </c>
      <c r="X263" s="38" t="n">
        <v>32.9</v>
      </c>
      <c r="Y263" s="38" t="n">
        <v>15.4</v>
      </c>
      <c r="Z263" s="37" t="n">
        <f aca="false">AA263</f>
        <v>15.7</v>
      </c>
      <c r="AA263" s="38" t="n">
        <v>15.7</v>
      </c>
      <c r="AB263" s="38" t="n">
        <v>16.2</v>
      </c>
      <c r="AC263" s="37" t="n">
        <f aca="false">AD263</f>
        <v>16.2</v>
      </c>
      <c r="AD263" s="38" t="n">
        <v>16.2</v>
      </c>
      <c r="AE263" s="38" t="n">
        <v>19.2</v>
      </c>
      <c r="AF263" s="37" t="n">
        <f aca="false">AG263</f>
        <v>42.4</v>
      </c>
      <c r="AG263" s="38" t="n">
        <v>42.4</v>
      </c>
      <c r="AH263" s="38" t="n">
        <v>41.8</v>
      </c>
      <c r="AI263" s="37" t="n">
        <f aca="false">AJ263</f>
        <v>42</v>
      </c>
      <c r="AJ263" s="38" t="n">
        <v>42</v>
      </c>
      <c r="AK263" s="38" t="n">
        <v>14</v>
      </c>
      <c r="AL263" s="37" t="n">
        <f aca="false">AM263</f>
        <v>0</v>
      </c>
      <c r="AM263" s="38" t="n">
        <v>0</v>
      </c>
      <c r="AN263" s="38" t="n">
        <v>0</v>
      </c>
      <c r="AO263" s="37" t="n">
        <f aca="false">AP263</f>
        <v>72</v>
      </c>
      <c r="AP263" s="38" t="n">
        <v>72</v>
      </c>
      <c r="AQ263" s="38" t="n">
        <v>241</v>
      </c>
      <c r="AR263" s="37" t="n">
        <f aca="false">AS263</f>
        <v>228</v>
      </c>
      <c r="AS263" s="38" t="n">
        <v>228</v>
      </c>
      <c r="AT263" s="38" t="n">
        <v>203</v>
      </c>
      <c r="AU263" s="37" t="n">
        <f aca="false">AV263</f>
        <v>180</v>
      </c>
      <c r="AV263" s="38" t="n">
        <v>180</v>
      </c>
      <c r="AW263" s="38" t="n">
        <v>185</v>
      </c>
      <c r="AX263" s="39" t="n">
        <f aca="false">AY263</f>
        <v>180</v>
      </c>
      <c r="AY263" s="39" t="n">
        <f aca="false">AV263</f>
        <v>180</v>
      </c>
      <c r="AZ263" s="39" t="n">
        <f aca="false">AY263</f>
        <v>180</v>
      </c>
      <c r="BA263" s="39" t="n">
        <f aca="false">AZ263</f>
        <v>180</v>
      </c>
      <c r="BB263" s="39" t="n">
        <f aca="false">BA263</f>
        <v>180</v>
      </c>
      <c r="BC263" s="39" t="n">
        <f aca="false">BB263</f>
        <v>180</v>
      </c>
      <c r="BD263" s="23"/>
      <c r="BF263" s="7"/>
      <c r="BG263" s="7"/>
      <c r="BH263" s="7"/>
      <c r="BI263" s="7"/>
    </row>
    <row r="264" customFormat="false" ht="15" hidden="false" customHeight="true" outlineLevel="0" collapsed="false">
      <c r="B264" s="13" t="s">
        <v>357</v>
      </c>
      <c r="C264" s="37"/>
      <c r="D264" s="37"/>
      <c r="E264" s="37"/>
      <c r="F264" s="38" t="n">
        <v>61.2</v>
      </c>
      <c r="G264" s="38" t="n">
        <v>75.2</v>
      </c>
      <c r="H264" s="38" t="n">
        <v>96.7</v>
      </c>
      <c r="I264" s="38" t="n">
        <v>101.6</v>
      </c>
      <c r="J264" s="38" t="n">
        <v>102.8</v>
      </c>
      <c r="K264" s="37" t="n">
        <f aca="false">L264</f>
        <v>108.9</v>
      </c>
      <c r="L264" s="38" t="n">
        <v>108.9</v>
      </c>
      <c r="M264" s="38" t="n">
        <v>119</v>
      </c>
      <c r="N264" s="37" t="n">
        <f aca="false">O264</f>
        <v>117.5</v>
      </c>
      <c r="O264" s="38" t="n">
        <v>117.5</v>
      </c>
      <c r="P264" s="38" t="n">
        <v>119.8</v>
      </c>
      <c r="Q264" s="37" t="n">
        <f aca="false">R264</f>
        <v>122.3</v>
      </c>
      <c r="R264" s="38" t="n">
        <v>122.3</v>
      </c>
      <c r="S264" s="38" t="n">
        <v>126.4</v>
      </c>
      <c r="T264" s="37" t="n">
        <f aca="false">U264</f>
        <v>122.1</v>
      </c>
      <c r="U264" s="38" t="n">
        <v>122.1</v>
      </c>
      <c r="V264" s="38" t="n">
        <v>125</v>
      </c>
      <c r="W264" s="37" t="n">
        <f aca="false">X264</f>
        <v>131.9</v>
      </c>
      <c r="X264" s="38" t="n">
        <v>131.9</v>
      </c>
      <c r="Y264" s="38" t="n">
        <v>129.3</v>
      </c>
      <c r="Z264" s="37" t="n">
        <f aca="false">AA264</f>
        <v>142</v>
      </c>
      <c r="AA264" s="38" t="n">
        <v>142</v>
      </c>
      <c r="AB264" s="38" t="n">
        <v>156.9</v>
      </c>
      <c r="AC264" s="37" t="n">
        <f aca="false">AD264</f>
        <v>184.1</v>
      </c>
      <c r="AD264" s="38" t="n">
        <v>184.1</v>
      </c>
      <c r="AE264" s="38" t="n">
        <v>194.5</v>
      </c>
      <c r="AF264" s="37" t="n">
        <f aca="false">AG264</f>
        <v>221.3</v>
      </c>
      <c r="AG264" s="38" t="n">
        <v>221.3</v>
      </c>
      <c r="AH264" s="38" t="n">
        <v>236.4</v>
      </c>
      <c r="AI264" s="37" t="n">
        <f aca="false">AJ264</f>
        <v>258</v>
      </c>
      <c r="AJ264" s="38" t="n">
        <v>258</v>
      </c>
      <c r="AK264" s="38" t="n">
        <v>204</v>
      </c>
      <c r="AL264" s="37" t="n">
        <f aca="false">AM264</f>
        <v>213</v>
      </c>
      <c r="AM264" s="38" t="n">
        <v>213</v>
      </c>
      <c r="AN264" s="38" t="n">
        <v>217</v>
      </c>
      <c r="AO264" s="37" t="n">
        <f aca="false">AP264</f>
        <v>225</v>
      </c>
      <c r="AP264" s="38" t="n">
        <v>225</v>
      </c>
      <c r="AQ264" s="38" t="n">
        <v>228</v>
      </c>
      <c r="AR264" s="37" t="n">
        <f aca="false">AS264</f>
        <v>237</v>
      </c>
      <c r="AS264" s="38" t="n">
        <v>237</v>
      </c>
      <c r="AT264" s="38" t="n">
        <v>229</v>
      </c>
      <c r="AU264" s="37" t="n">
        <f aca="false">AV264</f>
        <v>231</v>
      </c>
      <c r="AV264" s="38" t="n">
        <v>231</v>
      </c>
      <c r="AW264" s="38" t="n">
        <v>228</v>
      </c>
      <c r="AX264" s="39" t="n">
        <f aca="false">AY264</f>
        <v>231</v>
      </c>
      <c r="AY264" s="39" t="n">
        <f aca="false">AV264</f>
        <v>231</v>
      </c>
      <c r="AZ264" s="39" t="n">
        <f aca="false">AY264</f>
        <v>231</v>
      </c>
      <c r="BA264" s="39" t="n">
        <f aca="false">AZ264</f>
        <v>231</v>
      </c>
      <c r="BB264" s="39" t="n">
        <f aca="false">BA264</f>
        <v>231</v>
      </c>
      <c r="BC264" s="39" t="n">
        <f aca="false">BB264</f>
        <v>231</v>
      </c>
      <c r="BD264" s="23"/>
      <c r="BF264" s="7"/>
      <c r="BG264" s="7"/>
      <c r="BH264" s="7"/>
      <c r="BI264" s="7"/>
    </row>
    <row r="265" customFormat="false" ht="15" hidden="false" customHeight="true" outlineLevel="0" collapsed="false">
      <c r="B265" s="13" t="s">
        <v>358</v>
      </c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8" t="n">
        <v>949.1</v>
      </c>
      <c r="AC265" s="37" t="n">
        <f aca="false">AD265</f>
        <v>954.3</v>
      </c>
      <c r="AD265" s="38" t="n">
        <v>954.3</v>
      </c>
      <c r="AE265" s="38" t="n">
        <v>1346.3</v>
      </c>
      <c r="AF265" s="37" t="n">
        <f aca="false">AG265</f>
        <v>1446.1</v>
      </c>
      <c r="AG265" s="38" t="n">
        <v>1446.1</v>
      </c>
      <c r="AH265" s="38" t="n">
        <v>1405.4</v>
      </c>
      <c r="AI265" s="37" t="n">
        <f aca="false">AJ265</f>
        <v>1517</v>
      </c>
      <c r="AJ265" s="38" t="n">
        <v>1517</v>
      </c>
      <c r="AK265" s="38" t="n">
        <v>1665</v>
      </c>
      <c r="AL265" s="37" t="n">
        <f aca="false">AM265</f>
        <v>1582</v>
      </c>
      <c r="AM265" s="38" t="n">
        <v>1582</v>
      </c>
      <c r="AN265" s="38" t="n">
        <v>1624</v>
      </c>
      <c r="AO265" s="37" t="n">
        <f aca="false">AP265</f>
        <v>1716</v>
      </c>
      <c r="AP265" s="38" t="n">
        <v>1716</v>
      </c>
      <c r="AQ265" s="38" t="n">
        <v>1821</v>
      </c>
      <c r="AR265" s="37" t="n">
        <f aca="false">AS265</f>
        <v>1786</v>
      </c>
      <c r="AS265" s="38" t="n">
        <v>1786</v>
      </c>
      <c r="AT265" s="38" t="n">
        <v>1724</v>
      </c>
      <c r="AU265" s="37" t="n">
        <f aca="false">AV265</f>
        <v>2002</v>
      </c>
      <c r="AV265" s="38" t="n">
        <v>2002</v>
      </c>
      <c r="AW265" s="38" t="n">
        <v>1934</v>
      </c>
      <c r="AX265" s="39" t="n">
        <f aca="false">AY265</f>
        <v>2185.85465</v>
      </c>
      <c r="AY265" s="39" t="n">
        <f aca="false">AV265+AY329-AY331</f>
        <v>2185.85465</v>
      </c>
      <c r="AZ265" s="39" t="n">
        <f aca="false">AY265+AZ329-AZ331</f>
        <v>2376.53476725</v>
      </c>
      <c r="BA265" s="39" t="n">
        <f aca="false">AZ265+BA329-BA331</f>
        <v>2576.22529558625</v>
      </c>
      <c r="BB265" s="39" t="n">
        <f aca="false">BA265+BB329-BB331</f>
        <v>2784.62326462963</v>
      </c>
      <c r="BC265" s="39" t="n">
        <f aca="false">BB265+BC329-BC331</f>
        <v>3000.30914241167</v>
      </c>
      <c r="BD265" s="23" t="s">
        <v>359</v>
      </c>
      <c r="BF265" s="7"/>
      <c r="BG265" s="7"/>
      <c r="BH265" s="7"/>
      <c r="BI265" s="7"/>
    </row>
    <row r="266" customFormat="false" ht="15" hidden="false" customHeight="true" outlineLevel="0" collapsed="false">
      <c r="B266" s="13" t="s">
        <v>360</v>
      </c>
      <c r="C266" s="37"/>
      <c r="D266" s="37"/>
      <c r="E266" s="37"/>
      <c r="F266" s="38" t="n">
        <v>685.1</v>
      </c>
      <c r="G266" s="38" t="n">
        <v>774.2</v>
      </c>
      <c r="H266" s="38" t="n">
        <v>869.4</v>
      </c>
      <c r="I266" s="38" t="n">
        <v>1007.5</v>
      </c>
      <c r="J266" s="38" t="n">
        <v>998.7</v>
      </c>
      <c r="K266" s="37" t="n">
        <f aca="false">L266</f>
        <v>1025.1</v>
      </c>
      <c r="L266" s="38" t="n">
        <v>1025.1</v>
      </c>
      <c r="M266" s="38" t="n">
        <v>1047.5</v>
      </c>
      <c r="N266" s="37" t="n">
        <f aca="false">O266</f>
        <v>1181.5</v>
      </c>
      <c r="O266" s="38" t="n">
        <v>1181.5</v>
      </c>
      <c r="P266" s="38" t="n">
        <v>1245.6</v>
      </c>
      <c r="Q266" s="37" t="n">
        <f aca="false">R266</f>
        <v>1287.4</v>
      </c>
      <c r="R266" s="38" t="n">
        <v>1287.4</v>
      </c>
      <c r="S266" s="38" t="n">
        <v>1297</v>
      </c>
      <c r="T266" s="37" t="n">
        <f aca="false">U266</f>
        <v>1334.6</v>
      </c>
      <c r="U266" s="38" t="n">
        <v>1334.6</v>
      </c>
      <c r="V266" s="38" t="n">
        <v>1282.4</v>
      </c>
      <c r="W266" s="37" t="n">
        <f aca="false">X266</f>
        <v>1283.3</v>
      </c>
      <c r="X266" s="38" t="n">
        <v>1283.3</v>
      </c>
      <c r="Y266" s="38" t="n">
        <v>1279.2</v>
      </c>
      <c r="Z266" s="37" t="n">
        <f aca="false">AA266</f>
        <v>1345.4</v>
      </c>
      <c r="AA266" s="38" t="n">
        <v>1345.4</v>
      </c>
      <c r="AB266" s="38" t="n">
        <v>1371.5</v>
      </c>
      <c r="AC266" s="37" t="n">
        <f aca="false">AD266</f>
        <v>1541.8</v>
      </c>
      <c r="AD266" s="38" t="n">
        <v>1541.8</v>
      </c>
      <c r="AE266" s="38" t="n">
        <v>1553.4</v>
      </c>
      <c r="AF266" s="37" t="n">
        <f aca="false">AG266</f>
        <v>1646.1</v>
      </c>
      <c r="AG266" s="38" t="n">
        <v>1646.1</v>
      </c>
      <c r="AH266" s="38" t="n">
        <v>1664.5</v>
      </c>
      <c r="AI266" s="37" t="n">
        <f aca="false">AJ266</f>
        <v>1881</v>
      </c>
      <c r="AJ266" s="38" t="n">
        <v>1881</v>
      </c>
      <c r="AK266" s="38" t="n">
        <v>1916</v>
      </c>
      <c r="AL266" s="37" t="n">
        <f aca="false">AM266</f>
        <v>2007</v>
      </c>
      <c r="AM266" s="38" t="n">
        <v>2007</v>
      </c>
      <c r="AN266" s="38" t="n">
        <v>2018</v>
      </c>
      <c r="AO266" s="37" t="n">
        <f aca="false">AP266</f>
        <v>2340</v>
      </c>
      <c r="AP266" s="38" t="n">
        <v>2340</v>
      </c>
      <c r="AQ266" s="38" t="n">
        <v>2455</v>
      </c>
      <c r="AR266" s="37" t="n">
        <f aca="false">AS266</f>
        <v>2980</v>
      </c>
      <c r="AS266" s="38" t="n">
        <v>2980</v>
      </c>
      <c r="AT266" s="38" t="n">
        <v>2945</v>
      </c>
      <c r="AU266" s="37" t="n">
        <f aca="false">AV266</f>
        <v>3486</v>
      </c>
      <c r="AV266" s="38" t="n">
        <v>3486</v>
      </c>
      <c r="AW266" s="38" t="n">
        <v>3563</v>
      </c>
      <c r="AX266" s="39" t="n">
        <f aca="false">AY266</f>
        <v>4028.94137</v>
      </c>
      <c r="AY266" s="39" t="n">
        <f aca="false">AV266-AY218-AY144</f>
        <v>4028.94137</v>
      </c>
      <c r="AZ266" s="39" t="n">
        <f aca="false">AY266-AZ218-AZ144</f>
        <v>4610.6104712</v>
      </c>
      <c r="BA266" s="39" t="n">
        <f aca="false">AZ266-BA218-BA144</f>
        <v>5197.94072967</v>
      </c>
      <c r="BB266" s="39" t="n">
        <f aca="false">BA266-BB218-BB144</f>
        <v>5786.85773392138</v>
      </c>
      <c r="BC266" s="39" t="n">
        <f aca="false">BB266-BC218-BC144</f>
        <v>6372.1308821611</v>
      </c>
      <c r="BD266" s="23" t="s">
        <v>361</v>
      </c>
      <c r="BF266" s="7"/>
      <c r="BG266" s="7"/>
      <c r="BH266" s="7"/>
      <c r="BI266" s="7"/>
    </row>
    <row r="267" customFormat="false" ht="15" hidden="false" customHeight="true" outlineLevel="0" collapsed="false">
      <c r="B267" s="13" t="s">
        <v>362</v>
      </c>
      <c r="C267" s="37" t="str">
        <f aca="false">IF(ISNUMBER(C270),C270-C263-C264-N(C265)-C266-C268-C269,"")</f>
        <v/>
      </c>
      <c r="D267" s="37" t="str">
        <f aca="false">IF(ISNUMBER(D270),D270-D263-D264-N(D265)-D266-D268-D269,"")</f>
        <v/>
      </c>
      <c r="E267" s="37" t="str">
        <f aca="false">IF(ISNUMBER(E270),E270-E263-E264-N(E265)-E266-E268-E269,"")</f>
        <v/>
      </c>
      <c r="F267" s="37" t="n">
        <f aca="false">IF(ISNUMBER(F270),F270-F263-F264-N(F265)-F266-F268-F269,"")</f>
        <v>236.4</v>
      </c>
      <c r="G267" s="37" t="n">
        <f aca="false">IF(ISNUMBER(G270),G270-G263-G264-N(G265)-G266-G268-G269,"")</f>
        <v>275.8</v>
      </c>
      <c r="H267" s="37" t="n">
        <f aca="false">IF(ISNUMBER(H270),H270-H263-H264-N(H265)-H266-H268-H269,"")</f>
        <v>165.2</v>
      </c>
      <c r="I267" s="37" t="n">
        <f aca="false">IF(ISNUMBER(I270),I270-I263-I264-N(I265)-I266-I268-I269,"")</f>
        <v>171</v>
      </c>
      <c r="J267" s="37" t="n">
        <f aca="false">IF(ISNUMBER(J270),J270-J263-J264-N(J265)-J266-J268-J269,"")</f>
        <v>183.6</v>
      </c>
      <c r="K267" s="37" t="n">
        <f aca="false">IF(ISNUMBER(K270),K270-K263-K264-N(K265)-K266-K268-K269,"")</f>
        <v>216</v>
      </c>
      <c r="L267" s="37" t="n">
        <f aca="false">IF(ISNUMBER(L270),L270-L263-L264-N(L265)-L266-L268-L269,"")</f>
        <v>216</v>
      </c>
      <c r="M267" s="37" t="n">
        <f aca="false">IF(ISNUMBER(M270),M270-M263-M264-N(M265)-M266-M268-M269,"")</f>
        <v>215.1</v>
      </c>
      <c r="N267" s="37" t="n">
        <f aca="false">IF(ISNUMBER(N270),N270-N263-N264-N(N265)-N266-N268-N269,"")</f>
        <v>213.1</v>
      </c>
      <c r="O267" s="37" t="n">
        <f aca="false">IF(ISNUMBER(O270),O270-O263-O264-N(O265)-O266-O268-O269,"")</f>
        <v>213.1</v>
      </c>
      <c r="P267" s="37" t="n">
        <f aca="false">IF(ISNUMBER(P270),P270-P263-P264-N(P265)-P266-P268-P269,"")</f>
        <v>223.5</v>
      </c>
      <c r="Q267" s="37" t="n">
        <f aca="false">IF(ISNUMBER(Q270),Q270-Q263-Q264-N(Q265)-Q266-Q268-Q269,"")</f>
        <v>199.1</v>
      </c>
      <c r="R267" s="37" t="n">
        <f aca="false">IF(ISNUMBER(R270),R270-R263-R264-N(R265)-R266-R268-R269,"")</f>
        <v>199.1</v>
      </c>
      <c r="S267" s="37" t="n">
        <f aca="false">IF(ISNUMBER(S270),S270-S263-S264-N(S265)-S266-S268-S269,"")</f>
        <v>251.2</v>
      </c>
      <c r="T267" s="37" t="n">
        <f aca="false">IF(ISNUMBER(T270),T270-T263-T264-N(T265)-T266-T268-T269,"")</f>
        <v>174.800000000001</v>
      </c>
      <c r="U267" s="37" t="n">
        <f aca="false">IF(ISNUMBER(U270),U270-U263-U264-N(U265)-U266-U268-U269,"")</f>
        <v>174.800000000001</v>
      </c>
      <c r="V267" s="37" t="n">
        <f aca="false">IF(ISNUMBER(V270),V270-V263-V264-N(V265)-V266-V268-V269,"")</f>
        <v>263.1</v>
      </c>
      <c r="W267" s="37" t="n">
        <f aca="false">IF(ISNUMBER(W270),W270-W263-W264-N(W265)-W266-W268-W269,"")</f>
        <v>427.2</v>
      </c>
      <c r="X267" s="37" t="n">
        <f aca="false">IF(ISNUMBER(X270),X270-X263-X264-N(X265)-X266-X268-X269,"")</f>
        <v>427.2</v>
      </c>
      <c r="Y267" s="37" t="n">
        <f aca="false">IF(ISNUMBER(Y270),Y270-Y263-Y264-N(Y265)-Y266-Y268-Y269,"")</f>
        <v>405.8</v>
      </c>
      <c r="Z267" s="37" t="n">
        <f aca="false">IF(ISNUMBER(Z270),Z270-Z263-Z264-N(Z265)-Z266-Z268-Z269,"")</f>
        <v>459.6</v>
      </c>
      <c r="AA267" s="37" t="n">
        <f aca="false">IF(ISNUMBER(AA270),AA270-AA263-AA264-N(AA265)-AA266-AA268-AA269,"")</f>
        <v>459.6</v>
      </c>
      <c r="AB267" s="37" t="n">
        <f aca="false">IF(ISNUMBER(AB270),AB270-AB263-AB264-N(AB265)-AB266-AB268-AB269,"")</f>
        <v>520.9</v>
      </c>
      <c r="AC267" s="37" t="n">
        <f aca="false">IF(ISNUMBER(AC270),AC270-AC263-AC264-N(AC265)-AC266-AC268-AC269,"")</f>
        <v>504.1</v>
      </c>
      <c r="AD267" s="37" t="n">
        <f aca="false">IF(ISNUMBER(AD270),AD270-AD263-AD264-N(AD265)-AD266-AD268-AD269,"")</f>
        <v>504.1</v>
      </c>
      <c r="AE267" s="37" t="n">
        <f aca="false">IF(ISNUMBER(AE270),AE270-AE263-AE264-N(AE265)-AE266-AE268-AE269,"")</f>
        <v>488.6</v>
      </c>
      <c r="AF267" s="37" t="n">
        <f aca="false">IF(ISNUMBER(AF270),AF270-AF263-AF264-N(AF265)-AF266-AF268-AF269,"")</f>
        <v>520.900000000001</v>
      </c>
      <c r="AG267" s="37" t="n">
        <f aca="false">IF(ISNUMBER(AG270),AG270-AG263-AG264-N(AG265)-AG266-AG268-AG269,"")</f>
        <v>520.900000000001</v>
      </c>
      <c r="AH267" s="37" t="n">
        <f aca="false">IF(ISNUMBER(AH270),AH270-AH263-AH264-N(AH265)-AH266-AH268-AH269,"")</f>
        <v>585.9</v>
      </c>
      <c r="AI267" s="37" t="n">
        <f aca="false">IF(ISNUMBER(AI270),AI270-AI263-AI264-N(AI265)-AI266-AI268-AI269,"")</f>
        <v>707</v>
      </c>
      <c r="AJ267" s="37" t="n">
        <f aca="false">IF(ISNUMBER(AJ270),AJ270-AJ263-AJ264-N(AJ265)-AJ266-AJ268-AJ269,"")</f>
        <v>707</v>
      </c>
      <c r="AK267" s="37" t="n">
        <f aca="false">IF(ISNUMBER(AK270),AK270-AK263-AK264-N(AK265)-AK266-AK268-AK269,"")</f>
        <v>745</v>
      </c>
      <c r="AL267" s="37" t="n">
        <f aca="false">IF(ISNUMBER(AL270),AL270-AL263-AL264-N(AL265)-AL266-AL268-AL269,"")</f>
        <v>1219</v>
      </c>
      <c r="AM267" s="37" t="n">
        <f aca="false">IF(ISNUMBER(AM270),AM270-AM263-AM264-N(AM265)-AM266-AM268-AM269,"")</f>
        <v>1219</v>
      </c>
      <c r="AN267" s="37" t="n">
        <f aca="false">IF(ISNUMBER(AN270),AN270-AN263-AN264-N(AN265)-AN266-AN268-AN269,"")</f>
        <v>1239</v>
      </c>
      <c r="AO267" s="37" t="n">
        <f aca="false">IF(ISNUMBER(AO270),AO270-AO263-AO264-N(AO265)-AO266-AO268-AO269,"")</f>
        <v>1254</v>
      </c>
      <c r="AP267" s="37" t="n">
        <f aca="false">IF(ISNUMBER(AP270),AP270-AP263-AP264-N(AP265)-AP266-AP268-AP269,"")</f>
        <v>1254</v>
      </c>
      <c r="AQ267" s="37" t="n">
        <f aca="false">IF(ISNUMBER(AQ270),AQ270-AQ263-AQ264-N(AQ265)-AQ266-AQ268-AQ269,"")</f>
        <v>1340</v>
      </c>
      <c r="AR267" s="37" t="n">
        <f aca="false">IF(ISNUMBER(AR270),AR270-AR263-AR264-N(AR265)-AR266-AR268-AR269,"")</f>
        <v>1210</v>
      </c>
      <c r="AS267" s="37" t="n">
        <f aca="false">IF(ISNUMBER(AS270),AS270-AS263-AS264-N(AS265)-AS266-AS268-AS269,"")</f>
        <v>1210</v>
      </c>
      <c r="AT267" s="37" t="n">
        <f aca="false">IF(ISNUMBER(AT270),AT270-AT263-AT264-N(AT265)-AT266-AT268-AT269,"")</f>
        <v>1241</v>
      </c>
      <c r="AU267" s="37" t="n">
        <f aca="false">IF(ISNUMBER(AU270),AU270-AU263-AU264-N(AU265)-AU266-AU268-AU269,"")</f>
        <v>1372</v>
      </c>
      <c r="AV267" s="37" t="n">
        <f aca="false">IF(ISNUMBER(AV270),AV270-AV263-AV264-N(AV265)-AV266-AV268-AV269,"")</f>
        <v>1372</v>
      </c>
      <c r="AW267" s="37" t="n">
        <f aca="false">IF(ISNUMBER(AW270),AW270-AW263-AW264-N(AW265)-AW266-AW268-AW269,"")</f>
        <v>1430</v>
      </c>
      <c r="AX267" s="39" t="n">
        <f aca="false">AY267</f>
        <v>1497</v>
      </c>
      <c r="AY267" s="39" t="n">
        <f aca="false">AV267-AY220-AY219</f>
        <v>1497</v>
      </c>
      <c r="AZ267" s="39" t="n">
        <f aca="false">AY267-AZ220-AZ219</f>
        <v>1597</v>
      </c>
      <c r="BA267" s="39" t="n">
        <f aca="false">AZ267-BA220-BA219</f>
        <v>1697</v>
      </c>
      <c r="BB267" s="39" t="n">
        <f aca="false">BA267-BB220-BB219</f>
        <v>1797</v>
      </c>
      <c r="BC267" s="39" t="n">
        <f aca="false">BB267-BC220-BC219</f>
        <v>1897</v>
      </c>
      <c r="BD267" s="23" t="s">
        <v>363</v>
      </c>
      <c r="BF267" s="7"/>
      <c r="BG267" s="7"/>
      <c r="BH267" s="7"/>
      <c r="BI267" s="7"/>
    </row>
    <row r="268" customFormat="false" ht="15" hidden="false" customHeight="true" outlineLevel="0" collapsed="false">
      <c r="B268" s="13" t="s">
        <v>364</v>
      </c>
      <c r="C268" s="37"/>
      <c r="D268" s="37"/>
      <c r="E268" s="37"/>
      <c r="F268" s="38" t="n">
        <v>15</v>
      </c>
      <c r="G268" s="38" t="n">
        <v>14.3</v>
      </c>
      <c r="H268" s="38" t="n">
        <v>12.9</v>
      </c>
      <c r="I268" s="38" t="n">
        <v>25.8</v>
      </c>
      <c r="J268" s="38" t="n">
        <v>26.3</v>
      </c>
      <c r="K268" s="37" t="n">
        <f aca="false">L268</f>
        <v>44.5</v>
      </c>
      <c r="L268" s="38" t="n">
        <v>44.5</v>
      </c>
      <c r="M268" s="38" t="n">
        <v>79</v>
      </c>
      <c r="N268" s="37" t="n">
        <f aca="false">O268</f>
        <v>91.3</v>
      </c>
      <c r="O268" s="38" t="n">
        <v>91.3</v>
      </c>
      <c r="P268" s="38" t="n">
        <v>103.6</v>
      </c>
      <c r="Q268" s="37" t="n">
        <f aca="false">R268</f>
        <v>85.4</v>
      </c>
      <c r="R268" s="38" t="n">
        <v>85.4</v>
      </c>
      <c r="S268" s="38" t="n">
        <v>84.9</v>
      </c>
      <c r="T268" s="37" t="n">
        <f aca="false">U268</f>
        <v>87.3</v>
      </c>
      <c r="U268" s="38" t="n">
        <v>87.3</v>
      </c>
      <c r="V268" s="38" t="n">
        <v>89.7</v>
      </c>
      <c r="W268" s="37" t="n">
        <f aca="false">X268</f>
        <v>72.5</v>
      </c>
      <c r="X268" s="38" t="n">
        <v>72.5</v>
      </c>
      <c r="Y268" s="38" t="n">
        <v>77.2</v>
      </c>
      <c r="Z268" s="37" t="n">
        <f aca="false">AA268</f>
        <v>75.1</v>
      </c>
      <c r="AA268" s="38" t="n">
        <v>75.1</v>
      </c>
      <c r="AB268" s="38" t="n">
        <v>84.8</v>
      </c>
      <c r="AC268" s="37" t="n">
        <f aca="false">AD268</f>
        <v>79.3</v>
      </c>
      <c r="AD268" s="38" t="n">
        <v>79.3</v>
      </c>
      <c r="AE268" s="38" t="n">
        <v>79.1</v>
      </c>
      <c r="AF268" s="37" t="n">
        <f aca="false">AG268</f>
        <v>48.8</v>
      </c>
      <c r="AG268" s="38" t="n">
        <v>48.8</v>
      </c>
      <c r="AH268" s="38" t="n">
        <v>49.4</v>
      </c>
      <c r="AI268" s="37" t="n">
        <f aca="false">AJ268</f>
        <v>51</v>
      </c>
      <c r="AJ268" s="38" t="n">
        <v>51</v>
      </c>
      <c r="AK268" s="38" t="n">
        <v>52</v>
      </c>
      <c r="AL268" s="37" t="n">
        <f aca="false">AM268</f>
        <v>54</v>
      </c>
      <c r="AM268" s="38" t="n">
        <v>54</v>
      </c>
      <c r="AN268" s="38" t="n">
        <v>58</v>
      </c>
      <c r="AO268" s="37" t="n">
        <f aca="false">AP268</f>
        <v>200</v>
      </c>
      <c r="AP268" s="38" t="n">
        <v>200</v>
      </c>
      <c r="AQ268" s="38" t="n">
        <v>211</v>
      </c>
      <c r="AR268" s="37" t="n">
        <f aca="false">AS268</f>
        <v>238</v>
      </c>
      <c r="AS268" s="38" t="n">
        <v>238</v>
      </c>
      <c r="AT268" s="38" t="n">
        <v>229</v>
      </c>
      <c r="AU268" s="37" t="n">
        <f aca="false">AV268</f>
        <v>227</v>
      </c>
      <c r="AV268" s="38" t="n">
        <v>227</v>
      </c>
      <c r="AW268" s="38" t="n">
        <v>245</v>
      </c>
      <c r="AX268" s="39" t="n">
        <f aca="false">AY268</f>
        <v>273</v>
      </c>
      <c r="AY268" s="39" t="n">
        <f aca="false">AV268+AY136</f>
        <v>273</v>
      </c>
      <c r="AZ268" s="39" t="n">
        <f aca="false">AY268+AZ136</f>
        <v>323</v>
      </c>
      <c r="BA268" s="39" t="n">
        <f aca="false">AZ268+BA136</f>
        <v>375</v>
      </c>
      <c r="BB268" s="39" t="n">
        <f aca="false">BA268+BB136</f>
        <v>429</v>
      </c>
      <c r="BC268" s="39" t="n">
        <f aca="false">BB268+BC136</f>
        <v>485</v>
      </c>
      <c r="BD268" s="23"/>
      <c r="BF268" s="7"/>
      <c r="BG268" s="7"/>
      <c r="BH268" s="7"/>
      <c r="BI268" s="7"/>
    </row>
    <row r="269" customFormat="false" ht="15" hidden="false" customHeight="true" outlineLevel="0" collapsed="false">
      <c r="B269" s="13" t="s">
        <v>365</v>
      </c>
      <c r="C269" s="37"/>
      <c r="D269" s="37"/>
      <c r="E269" s="37"/>
      <c r="F269" s="38" t="n">
        <v>143.1</v>
      </c>
      <c r="G269" s="38" t="n">
        <v>178.1</v>
      </c>
      <c r="H269" s="38" t="n">
        <v>194.2</v>
      </c>
      <c r="I269" s="38" t="n">
        <v>217.8</v>
      </c>
      <c r="J269" s="38" t="n">
        <v>234.4</v>
      </c>
      <c r="K269" s="37" t="n">
        <f aca="false">L269</f>
        <v>242.5</v>
      </c>
      <c r="L269" s="38" t="n">
        <v>242.5</v>
      </c>
      <c r="M269" s="38" t="n">
        <v>277</v>
      </c>
      <c r="N269" s="37" t="n">
        <f aca="false">O269</f>
        <v>335.8</v>
      </c>
      <c r="O269" s="38" t="n">
        <v>335.8</v>
      </c>
      <c r="P269" s="38" t="n">
        <v>368.5</v>
      </c>
      <c r="Q269" s="37" t="n">
        <f aca="false">R269</f>
        <v>360.3</v>
      </c>
      <c r="R269" s="38" t="n">
        <v>360.3</v>
      </c>
      <c r="S269" s="38" t="n">
        <v>381.8</v>
      </c>
      <c r="T269" s="37" t="n">
        <f aca="false">U269</f>
        <v>430.4</v>
      </c>
      <c r="U269" s="38" t="n">
        <v>430.4</v>
      </c>
      <c r="V269" s="38" t="n">
        <v>424.7</v>
      </c>
      <c r="W269" s="37" t="n">
        <f aca="false">X269</f>
        <v>349.8</v>
      </c>
      <c r="X269" s="38" t="n">
        <v>349.8</v>
      </c>
      <c r="Y269" s="38" t="n">
        <v>377.6</v>
      </c>
      <c r="Z269" s="37" t="n">
        <f aca="false">AA269</f>
        <v>447.7</v>
      </c>
      <c r="AA269" s="38" t="n">
        <v>447.7</v>
      </c>
      <c r="AB269" s="38" t="n">
        <v>473.4</v>
      </c>
      <c r="AC269" s="37" t="n">
        <f aca="false">AD269</f>
        <v>510.8</v>
      </c>
      <c r="AD269" s="38" t="n">
        <v>510.8</v>
      </c>
      <c r="AE269" s="38" t="n">
        <v>528.6</v>
      </c>
      <c r="AF269" s="37" t="n">
        <f aca="false">AG269</f>
        <v>475.2</v>
      </c>
      <c r="AG269" s="38" t="n">
        <v>475.2</v>
      </c>
      <c r="AH269" s="38" t="n">
        <v>539.1</v>
      </c>
      <c r="AI269" s="37" t="n">
        <f aca="false">AJ269</f>
        <v>546</v>
      </c>
      <c r="AJ269" s="38" t="n">
        <v>546</v>
      </c>
      <c r="AK269" s="38" t="n">
        <v>636</v>
      </c>
      <c r="AL269" s="37" t="n">
        <f aca="false">AM269</f>
        <v>555</v>
      </c>
      <c r="AM269" s="38" t="n">
        <v>555</v>
      </c>
      <c r="AN269" s="38" t="n">
        <v>581</v>
      </c>
      <c r="AO269" s="37" t="n">
        <f aca="false">AP269</f>
        <v>631</v>
      </c>
      <c r="AP269" s="38" t="n">
        <v>631</v>
      </c>
      <c r="AQ269" s="38" t="n">
        <v>750</v>
      </c>
      <c r="AR269" s="37" t="n">
        <f aca="false">AS269</f>
        <v>929</v>
      </c>
      <c r="AS269" s="38" t="n">
        <v>929</v>
      </c>
      <c r="AT269" s="38" t="n">
        <v>887</v>
      </c>
      <c r="AU269" s="37" t="n">
        <f aca="false">AV269</f>
        <v>914</v>
      </c>
      <c r="AV269" s="38" t="n">
        <v>914</v>
      </c>
      <c r="AW269" s="38" t="n">
        <v>1089</v>
      </c>
      <c r="AX269" s="39" t="n">
        <f aca="false">AY269</f>
        <v>914</v>
      </c>
      <c r="AY269" s="39" t="n">
        <f aca="false">AV269</f>
        <v>914</v>
      </c>
      <c r="AZ269" s="39" t="n">
        <f aca="false">AY269</f>
        <v>914</v>
      </c>
      <c r="BA269" s="39" t="n">
        <f aca="false">AZ269</f>
        <v>914</v>
      </c>
      <c r="BB269" s="39" t="n">
        <f aca="false">BA269</f>
        <v>914</v>
      </c>
      <c r="BC269" s="39" t="n">
        <f aca="false">BB269</f>
        <v>914</v>
      </c>
      <c r="BD269" s="23"/>
      <c r="BF269" s="7"/>
      <c r="BG269" s="7"/>
      <c r="BH269" s="7"/>
      <c r="BI269" s="7"/>
    </row>
    <row r="270" customFormat="false" ht="15" hidden="false" customHeight="true" outlineLevel="0" collapsed="false">
      <c r="B270" s="19" t="s">
        <v>366</v>
      </c>
      <c r="C270" s="20"/>
      <c r="D270" s="20"/>
      <c r="E270" s="20"/>
      <c r="F270" s="21" t="n">
        <v>1175.6</v>
      </c>
      <c r="G270" s="21" t="n">
        <v>1354.8</v>
      </c>
      <c r="H270" s="21" t="n">
        <v>1377.1</v>
      </c>
      <c r="I270" s="21" t="n">
        <v>1603</v>
      </c>
      <c r="J270" s="21" t="n">
        <v>1622.5</v>
      </c>
      <c r="K270" s="20" t="n">
        <f aca="false">L270</f>
        <v>1688.4</v>
      </c>
      <c r="L270" s="21" t="n">
        <v>1688.4</v>
      </c>
      <c r="M270" s="21" t="n">
        <v>1790.9</v>
      </c>
      <c r="N270" s="20" t="n">
        <f aca="false">O270</f>
        <v>1976.6</v>
      </c>
      <c r="O270" s="21" t="n">
        <v>1976.6</v>
      </c>
      <c r="P270" s="21" t="n">
        <v>2098.2</v>
      </c>
      <c r="Q270" s="20" t="n">
        <f aca="false">R270</f>
        <v>2092.4</v>
      </c>
      <c r="R270" s="21" t="n">
        <v>2092.4</v>
      </c>
      <c r="S270" s="21" t="n">
        <v>2181.3</v>
      </c>
      <c r="T270" s="20" t="n">
        <f aca="false">U270</f>
        <v>2185.8</v>
      </c>
      <c r="U270" s="21" t="n">
        <v>2185.8</v>
      </c>
      <c r="V270" s="21" t="n">
        <v>2220.8</v>
      </c>
      <c r="W270" s="20" t="n">
        <f aca="false">X270</f>
        <v>2297.6</v>
      </c>
      <c r="X270" s="21" t="n">
        <v>2297.6</v>
      </c>
      <c r="Y270" s="21" t="n">
        <v>2284.5</v>
      </c>
      <c r="Z270" s="20" t="n">
        <f aca="false">AA270</f>
        <v>2485.5</v>
      </c>
      <c r="AA270" s="21" t="n">
        <v>2485.5</v>
      </c>
      <c r="AB270" s="21" t="n">
        <v>3572.8</v>
      </c>
      <c r="AC270" s="20" t="n">
        <f aca="false">AD270</f>
        <v>3790.6</v>
      </c>
      <c r="AD270" s="21" t="n">
        <v>3790.6</v>
      </c>
      <c r="AE270" s="21" t="n">
        <v>4209.7</v>
      </c>
      <c r="AF270" s="20" t="n">
        <f aca="false">AG270</f>
        <v>4400.8</v>
      </c>
      <c r="AG270" s="21" t="n">
        <v>4400.8</v>
      </c>
      <c r="AH270" s="21" t="n">
        <v>4522.5</v>
      </c>
      <c r="AI270" s="20" t="n">
        <f aca="false">AJ270</f>
        <v>5002</v>
      </c>
      <c r="AJ270" s="21" t="n">
        <v>5002</v>
      </c>
      <c r="AK270" s="21" t="n">
        <v>5232</v>
      </c>
      <c r="AL270" s="20" t="n">
        <f aca="false">AM270</f>
        <v>5630</v>
      </c>
      <c r="AM270" s="21" t="n">
        <v>5630</v>
      </c>
      <c r="AN270" s="21" t="n">
        <v>5737</v>
      </c>
      <c r="AO270" s="20" t="n">
        <f aca="false">AP270</f>
        <v>6438</v>
      </c>
      <c r="AP270" s="21" t="n">
        <v>6438</v>
      </c>
      <c r="AQ270" s="21" t="n">
        <v>7046</v>
      </c>
      <c r="AR270" s="20" t="n">
        <f aca="false">AS270</f>
        <v>7608</v>
      </c>
      <c r="AS270" s="21" t="n">
        <v>7608</v>
      </c>
      <c r="AT270" s="21" t="n">
        <v>7458</v>
      </c>
      <c r="AU270" s="20" t="n">
        <f aca="false">AV270</f>
        <v>8412</v>
      </c>
      <c r="AV270" s="21" t="n">
        <v>8412</v>
      </c>
      <c r="AW270" s="21" t="n">
        <v>8674</v>
      </c>
      <c r="AX270" s="22" t="n">
        <f aca="false">AY270</f>
        <v>9309.79602</v>
      </c>
      <c r="AY270" s="22" t="n">
        <f aca="false">SUM(AY263:AY269)</f>
        <v>9309.79602</v>
      </c>
      <c r="AZ270" s="22" t="n">
        <f aca="false">SUM(AZ263:AZ269)</f>
        <v>10232.14523845</v>
      </c>
      <c r="BA270" s="22" t="n">
        <f aca="false">SUM(BA263:BA269)</f>
        <v>11171.1660252563</v>
      </c>
      <c r="BB270" s="22" t="n">
        <f aca="false">SUM(BB263:BB269)</f>
        <v>12122.480998551</v>
      </c>
      <c r="BC270" s="22" t="n">
        <f aca="false">SUM(BC263:BC269)</f>
        <v>13079.4400245728</v>
      </c>
      <c r="BD270" s="23"/>
      <c r="BF270" s="7"/>
      <c r="BG270" s="7"/>
      <c r="BH270" s="7"/>
      <c r="BI270" s="7"/>
    </row>
    <row r="271" customFormat="false" ht="15" hidden="false" customHeight="true" outlineLevel="0" collapsed="false">
      <c r="B271" s="13" t="s">
        <v>367</v>
      </c>
      <c r="C271" s="37"/>
      <c r="D271" s="37"/>
      <c r="E271" s="37"/>
      <c r="F271" s="38" t="n">
        <v>485.8</v>
      </c>
      <c r="G271" s="38" t="n">
        <v>468.6</v>
      </c>
      <c r="H271" s="38" t="n">
        <v>534.5</v>
      </c>
      <c r="I271" s="38" t="n">
        <v>726.9</v>
      </c>
      <c r="J271" s="38" t="n">
        <v>815.6</v>
      </c>
      <c r="K271" s="37" t="n">
        <f aca="false">L271</f>
        <v>813.4</v>
      </c>
      <c r="L271" s="38" t="n">
        <v>813.4</v>
      </c>
      <c r="M271" s="38" t="n">
        <v>905.3</v>
      </c>
      <c r="N271" s="37" t="n">
        <f aca="false">O271</f>
        <v>912</v>
      </c>
      <c r="O271" s="38" t="n">
        <v>912</v>
      </c>
      <c r="P271" s="38" t="n">
        <v>1006.4</v>
      </c>
      <c r="Q271" s="37" t="n">
        <f aca="false">R271</f>
        <v>949.2</v>
      </c>
      <c r="R271" s="38" t="n">
        <v>949.2</v>
      </c>
      <c r="S271" s="38" t="n">
        <v>993.6</v>
      </c>
      <c r="T271" s="37" t="n">
        <f aca="false">U271</f>
        <v>915.1</v>
      </c>
      <c r="U271" s="38" t="n">
        <v>915.1</v>
      </c>
      <c r="V271" s="38" t="n">
        <v>930.9</v>
      </c>
      <c r="W271" s="37" t="n">
        <f aca="false">X271</f>
        <v>896.2</v>
      </c>
      <c r="X271" s="38" t="n">
        <v>896.2</v>
      </c>
      <c r="Y271" s="38" t="n">
        <v>953.3</v>
      </c>
      <c r="Z271" s="37" t="n">
        <f aca="false">AA271</f>
        <v>963.6</v>
      </c>
      <c r="AA271" s="38" t="n">
        <v>963.6</v>
      </c>
      <c r="AB271" s="38" t="n">
        <v>1070.9</v>
      </c>
      <c r="AC271" s="37" t="n">
        <f aca="false">AD271</f>
        <v>1132.6</v>
      </c>
      <c r="AD271" s="38" t="n">
        <v>1132.6</v>
      </c>
      <c r="AE271" s="38" t="n">
        <v>1275.4</v>
      </c>
      <c r="AF271" s="37" t="n">
        <f aca="false">AG271</f>
        <v>1289.4</v>
      </c>
      <c r="AG271" s="38" t="n">
        <v>1289.4</v>
      </c>
      <c r="AH271" s="38" t="n">
        <v>1393.7</v>
      </c>
      <c r="AI271" s="37" t="n">
        <f aca="false">AJ271</f>
        <v>1449</v>
      </c>
      <c r="AJ271" s="38" t="n">
        <v>1449</v>
      </c>
      <c r="AK271" s="38" t="n">
        <v>1617</v>
      </c>
      <c r="AL271" s="37" t="n">
        <f aca="false">AM271</f>
        <v>1779</v>
      </c>
      <c r="AM271" s="38" t="n">
        <v>1779</v>
      </c>
      <c r="AN271" s="38" t="n">
        <v>2081</v>
      </c>
      <c r="AO271" s="37" t="n">
        <f aca="false">AP271</f>
        <v>2414</v>
      </c>
      <c r="AP271" s="38" t="n">
        <v>2414</v>
      </c>
      <c r="AQ271" s="38" t="n">
        <v>2780</v>
      </c>
      <c r="AR271" s="37" t="n">
        <f aca="false">AS271</f>
        <v>2797</v>
      </c>
      <c r="AS271" s="38" t="n">
        <v>2797</v>
      </c>
      <c r="AT271" s="38" t="n">
        <v>2732</v>
      </c>
      <c r="AU271" s="37" t="n">
        <f aca="false">AV271</f>
        <v>2575</v>
      </c>
      <c r="AV271" s="38" t="n">
        <v>2575</v>
      </c>
      <c r="AW271" s="38" t="n">
        <v>2704</v>
      </c>
      <c r="AX271" s="39" t="n">
        <f aca="false">AY271</f>
        <v>2587.41103013699</v>
      </c>
      <c r="AY271" s="39" t="n">
        <f aca="false">-AY120*AY318/365</f>
        <v>2587.41103013699</v>
      </c>
      <c r="AZ271" s="39" t="n">
        <f aca="false">-AZ120*AZ318/365</f>
        <v>2781.58075791781</v>
      </c>
      <c r="BA271" s="39" t="n">
        <f aca="false">-BA120*BA318/365</f>
        <v>2979.47475352877</v>
      </c>
      <c r="BB271" s="39" t="n">
        <f aca="false">-BB120*BB318/365</f>
        <v>3182.43293747557</v>
      </c>
      <c r="BC271" s="39" t="n">
        <f aca="false">-BC120*BC318/365</f>
        <v>3397.01918613006</v>
      </c>
      <c r="BD271" s="23" t="s">
        <v>368</v>
      </c>
      <c r="BF271" s="7"/>
      <c r="BG271" s="7"/>
      <c r="BH271" s="7"/>
      <c r="BI271" s="7"/>
    </row>
    <row r="272" customFormat="false" ht="15" hidden="false" customHeight="true" outlineLevel="0" collapsed="false">
      <c r="B272" s="13" t="s">
        <v>369</v>
      </c>
      <c r="C272" s="37"/>
      <c r="D272" s="37"/>
      <c r="E272" s="37"/>
      <c r="F272" s="38" t="n">
        <v>132.3</v>
      </c>
      <c r="G272" s="38" t="n">
        <v>159</v>
      </c>
      <c r="H272" s="38" t="n">
        <v>175.7</v>
      </c>
      <c r="I272" s="38" t="n">
        <v>207.1</v>
      </c>
      <c r="J272" s="38" t="n">
        <v>183.2</v>
      </c>
      <c r="K272" s="37" t="n">
        <f aca="false">L272</f>
        <v>193.6</v>
      </c>
      <c r="L272" s="38" t="n">
        <v>193.6</v>
      </c>
      <c r="M272" s="38" t="n">
        <v>208.2</v>
      </c>
      <c r="N272" s="37" t="n">
        <f aca="false">O272</f>
        <v>249.3</v>
      </c>
      <c r="O272" s="38" t="n">
        <v>249.3</v>
      </c>
      <c r="P272" s="38" t="n">
        <v>262.9</v>
      </c>
      <c r="Q272" s="37" t="n">
        <f aca="false">R272</f>
        <v>303</v>
      </c>
      <c r="R272" s="38" t="n">
        <v>303</v>
      </c>
      <c r="S272" s="38" t="n">
        <v>263.6</v>
      </c>
      <c r="T272" s="37" t="n">
        <f aca="false">U272</f>
        <v>307.2</v>
      </c>
      <c r="U272" s="38" t="n">
        <v>307.2</v>
      </c>
      <c r="V272" s="38" t="n">
        <v>257.1</v>
      </c>
      <c r="W272" s="37" t="n">
        <f aca="false">X272</f>
        <v>255.9</v>
      </c>
      <c r="X272" s="38" t="n">
        <v>255.9</v>
      </c>
      <c r="Y272" s="38" t="n">
        <v>247.9</v>
      </c>
      <c r="Z272" s="37" t="n">
        <f aca="false">AA272</f>
        <v>280.7</v>
      </c>
      <c r="AA272" s="38" t="n">
        <v>280.7</v>
      </c>
      <c r="AB272" s="38" t="n">
        <v>291.8</v>
      </c>
      <c r="AC272" s="37" t="n">
        <f aca="false">AD272</f>
        <v>317.9</v>
      </c>
      <c r="AD272" s="38" t="n">
        <v>317.9</v>
      </c>
      <c r="AE272" s="38" t="n">
        <v>192.1</v>
      </c>
      <c r="AF272" s="37" t="n">
        <f aca="false">AG272</f>
        <v>249.7</v>
      </c>
      <c r="AG272" s="38" t="n">
        <v>249.7</v>
      </c>
      <c r="AH272" s="38" t="n">
        <v>297.7</v>
      </c>
      <c r="AI272" s="37" t="n">
        <f aca="false">AJ272</f>
        <v>333</v>
      </c>
      <c r="AJ272" s="38" t="n">
        <v>333</v>
      </c>
      <c r="AK272" s="38" t="n">
        <v>464</v>
      </c>
      <c r="AL272" s="37" t="n">
        <f aca="false">AM272</f>
        <v>383</v>
      </c>
      <c r="AM272" s="38" t="n">
        <v>383</v>
      </c>
      <c r="AN272" s="38" t="n">
        <v>415</v>
      </c>
      <c r="AO272" s="37" t="n">
        <f aca="false">AP272</f>
        <v>431</v>
      </c>
      <c r="AP272" s="38" t="n">
        <v>431</v>
      </c>
      <c r="AQ272" s="38" t="n">
        <v>535</v>
      </c>
      <c r="AR272" s="37" t="n">
        <f aca="false">AS272</f>
        <v>478</v>
      </c>
      <c r="AS272" s="38" t="n">
        <v>478</v>
      </c>
      <c r="AT272" s="38" t="n">
        <v>461</v>
      </c>
      <c r="AU272" s="37" t="n">
        <f aca="false">AV272</f>
        <v>418</v>
      </c>
      <c r="AV272" s="38" t="n">
        <v>418</v>
      </c>
      <c r="AW272" s="38" t="n">
        <v>532</v>
      </c>
      <c r="AX272" s="39" t="n">
        <f aca="false">AY272</f>
        <v>449.506575342466</v>
      </c>
      <c r="AY272" s="39" t="n">
        <f aca="false">AY119*AY319/365</f>
        <v>449.506575342466</v>
      </c>
      <c r="AZ272" s="39" t="n">
        <f aca="false">AZ119*AZ319/365</f>
        <v>482.913326027397</v>
      </c>
      <c r="BA272" s="39" t="n">
        <f aca="false">BA119*BA319/365</f>
        <v>519.072256712329</v>
      </c>
      <c r="BB272" s="39" t="n">
        <f aca="false">BB119*BB319/365</f>
        <v>556.369394663562</v>
      </c>
      <c r="BC272" s="39" t="n">
        <f aca="false">BC119*BC319/365</f>
        <v>593.884473099661</v>
      </c>
      <c r="BD272" s="23"/>
      <c r="BF272" s="7"/>
      <c r="BG272" s="7"/>
      <c r="BH272" s="7"/>
      <c r="BI272" s="7"/>
    </row>
    <row r="273" customFormat="false" ht="15" hidden="false" customHeight="true" outlineLevel="0" collapsed="false">
      <c r="B273" s="13" t="s">
        <v>370</v>
      </c>
      <c r="C273" s="37" t="str">
        <f aca="false">IF(ISNUMBER(C275),C275-C271-C272-C274,"")</f>
        <v/>
      </c>
      <c r="D273" s="37" t="str">
        <f aca="false">IF(ISNUMBER(D275),D275-D271-D272-D274,"")</f>
        <v/>
      </c>
      <c r="E273" s="37" t="str">
        <f aca="false">IF(ISNUMBER(E275),E275-E271-E272-E274,"")</f>
        <v/>
      </c>
      <c r="F273" s="37" t="n">
        <f aca="false">IF(ISNUMBER(F275),F275-F271-F272-F274,"")</f>
        <v>117.3</v>
      </c>
      <c r="G273" s="37" t="n">
        <f aca="false">IF(ISNUMBER(G275),G275-G271-G272-G274,"")</f>
        <v>92.3999999999999</v>
      </c>
      <c r="H273" s="37" t="n">
        <f aca="false">IF(ISNUMBER(H275),H275-H271-H272-H274,"")</f>
        <v>112.9</v>
      </c>
      <c r="I273" s="37" t="n">
        <f aca="false">IF(ISNUMBER(I275),I275-I271-I272-I274,"")</f>
        <v>171.8</v>
      </c>
      <c r="J273" s="37" t="n">
        <f aca="false">IF(ISNUMBER(J275),J275-J271-J272-J274,"")</f>
        <v>153.4</v>
      </c>
      <c r="K273" s="37" t="n">
        <f aca="false">IF(ISNUMBER(K275),K275-K271-K272-K274,"")</f>
        <v>188.5</v>
      </c>
      <c r="L273" s="37" t="n">
        <f aca="false">IF(ISNUMBER(L275),L275-L271-L272-L274,"")</f>
        <v>188.5</v>
      </c>
      <c r="M273" s="37" t="n">
        <f aca="false">IF(ISNUMBER(M275),M275-M271-M272-M274,"")</f>
        <v>161.2</v>
      </c>
      <c r="N273" s="37" t="n">
        <f aca="false">IF(ISNUMBER(N275),N275-N271-N272-N274,"")</f>
        <v>188.8</v>
      </c>
      <c r="O273" s="37" t="n">
        <f aca="false">IF(ISNUMBER(O275),O275-O271-O272-O274,"")</f>
        <v>188.8</v>
      </c>
      <c r="P273" s="37" t="n">
        <f aca="false">IF(ISNUMBER(P275),P275-P271-P272-P274,"")</f>
        <v>213</v>
      </c>
      <c r="Q273" s="37" t="n">
        <f aca="false">IF(ISNUMBER(Q275),Q275-Q271-Q272-Q274,"")</f>
        <v>253.8</v>
      </c>
      <c r="R273" s="37" t="n">
        <f aca="false">IF(ISNUMBER(R275),R275-R271-R272-R274,"")</f>
        <v>253.8</v>
      </c>
      <c r="S273" s="37" t="n">
        <f aca="false">IF(ISNUMBER(S275),S275-S271-S272-S274,"")</f>
        <v>281.2</v>
      </c>
      <c r="T273" s="37" t="n">
        <f aca="false">IF(ISNUMBER(T275),T275-T271-T272-T274,"")</f>
        <v>261.7</v>
      </c>
      <c r="U273" s="37" t="n">
        <f aca="false">IF(ISNUMBER(U275),U275-U271-U272-U274,"")</f>
        <v>261.7</v>
      </c>
      <c r="V273" s="37" t="n">
        <f aca="false">IF(ISNUMBER(V275),V275-V271-V272-V274,"")</f>
        <v>309.7</v>
      </c>
      <c r="W273" s="37" t="n">
        <f aca="false">IF(ISNUMBER(W275),W275-W271-W272-W274,"")</f>
        <v>386.6</v>
      </c>
      <c r="X273" s="37" t="n">
        <f aca="false">IF(ISNUMBER(X275),X275-X271-X272-X274,"")</f>
        <v>386.6</v>
      </c>
      <c r="Y273" s="37" t="n">
        <f aca="false">IF(ISNUMBER(Y275),Y275-Y271-Y272-Y274,"")</f>
        <v>319.199999999999</v>
      </c>
      <c r="Z273" s="37" t="n">
        <f aca="false">IF(ISNUMBER(Z275),Z275-Z271-Z272-Z274,"")</f>
        <v>259.200000000001</v>
      </c>
      <c r="AA273" s="37" t="n">
        <f aca="false">IF(ISNUMBER(AA275),AA275-AA271-AA272-AA274,"")</f>
        <v>259.200000000001</v>
      </c>
      <c r="AB273" s="37" t="n">
        <f aca="false">IF(ISNUMBER(AB275),AB275-AB271-AB272-AB274,"")</f>
        <v>310.599999999999</v>
      </c>
      <c r="AC273" s="37" t="n">
        <f aca="false">IF(ISNUMBER(AC275),AC275-AC271-AC272-AC274,"")</f>
        <v>255.8</v>
      </c>
      <c r="AD273" s="37" t="n">
        <f aca="false">IF(ISNUMBER(AD275),AD275-AD271-AD272-AD274,"")</f>
        <v>255.8</v>
      </c>
      <c r="AE273" s="37" t="n">
        <f aca="false">IF(ISNUMBER(AE275),AE275-AE271-AE272-AE274,"")</f>
        <v>306</v>
      </c>
      <c r="AF273" s="37" t="n">
        <f aca="false">IF(ISNUMBER(AF275),AF275-AF271-AF272-AF274,"")</f>
        <v>377.9</v>
      </c>
      <c r="AG273" s="37" t="n">
        <f aca="false">IF(ISNUMBER(AG275),AG275-AG271-AG272-AG274,"")</f>
        <v>377.9</v>
      </c>
      <c r="AH273" s="37" t="n">
        <f aca="false">IF(ISNUMBER(AH275),AH275-AH271-AH272-AH274,"")</f>
        <v>319.3</v>
      </c>
      <c r="AI273" s="37" t="n">
        <f aca="false">IF(ISNUMBER(AI275),AI275-AI271-AI272-AI274,"")</f>
        <v>367</v>
      </c>
      <c r="AJ273" s="37" t="n">
        <f aca="false">IF(ISNUMBER(AJ275),AJ275-AJ271-AJ272-AJ274,"")</f>
        <v>367</v>
      </c>
      <c r="AK273" s="37" t="n">
        <f aca="false">IF(ISNUMBER(AK275),AK275-AK271-AK272-AK274,"")</f>
        <v>476</v>
      </c>
      <c r="AL273" s="37" t="n">
        <f aca="false">IF(ISNUMBER(AL275),AL275-AL271-AL272-AL274,"")</f>
        <v>441</v>
      </c>
      <c r="AM273" s="37" t="n">
        <f aca="false">IF(ISNUMBER(AM275),AM275-AM271-AM272-AM274,"")</f>
        <v>441</v>
      </c>
      <c r="AN273" s="37" t="n">
        <f aca="false">IF(ISNUMBER(AN275),AN275-AN271-AN272-AN274,"")</f>
        <v>673</v>
      </c>
      <c r="AO273" s="37" t="n">
        <f aca="false">IF(ISNUMBER(AO275),AO275-AO271-AO272-AO274,"")</f>
        <v>538</v>
      </c>
      <c r="AP273" s="37" t="n">
        <f aca="false">IF(ISNUMBER(AP275),AP275-AP271-AP272-AP274,"")</f>
        <v>538</v>
      </c>
      <c r="AQ273" s="37" t="n">
        <f aca="false">IF(ISNUMBER(AQ275),AQ275-AQ271-AQ272-AQ274,"")</f>
        <v>669</v>
      </c>
      <c r="AR273" s="37" t="n">
        <f aca="false">IF(ISNUMBER(AR275),AR275-AR271-AR272-AR274,"")</f>
        <v>559</v>
      </c>
      <c r="AS273" s="37" t="n">
        <f aca="false">IF(ISNUMBER(AS275),AS275-AS271-AS272-AS274,"")</f>
        <v>559</v>
      </c>
      <c r="AT273" s="37" t="n">
        <f aca="false">IF(ISNUMBER(AT275),AT275-AT271-AT272-AT274,"")</f>
        <v>856</v>
      </c>
      <c r="AU273" s="37" t="n">
        <f aca="false">IF(ISNUMBER(AU275),AU275-AU271-AU272-AU274,"")</f>
        <v>679</v>
      </c>
      <c r="AV273" s="37" t="n">
        <f aca="false">IF(ISNUMBER(AV275),AV275-AV271-AV272-AV274,"")</f>
        <v>679</v>
      </c>
      <c r="AW273" s="37" t="n">
        <f aca="false">IF(ISNUMBER(AW275),AW275-AW271-AW272-AW274,"")</f>
        <v>575</v>
      </c>
      <c r="AX273" s="39" t="n">
        <f aca="false">AY273</f>
        <v>679</v>
      </c>
      <c r="AY273" s="39" t="n">
        <f aca="false">AV273</f>
        <v>679</v>
      </c>
      <c r="AZ273" s="39" t="n">
        <f aca="false">AY273</f>
        <v>679</v>
      </c>
      <c r="BA273" s="39" t="n">
        <f aca="false">AZ273</f>
        <v>679</v>
      </c>
      <c r="BB273" s="39" t="n">
        <f aca="false">BA273</f>
        <v>679</v>
      </c>
      <c r="BC273" s="39" t="n">
        <f aca="false">BB273</f>
        <v>679</v>
      </c>
      <c r="BD273" s="23"/>
      <c r="BF273" s="7"/>
      <c r="BG273" s="7"/>
      <c r="BH273" s="7"/>
      <c r="BI273" s="7"/>
    </row>
    <row r="274" customFormat="false" ht="15" hidden="false" customHeight="true" outlineLevel="0" collapsed="false">
      <c r="B274" s="13" t="s">
        <v>371</v>
      </c>
      <c r="C274" s="37"/>
      <c r="D274" s="37"/>
      <c r="E274" s="37"/>
      <c r="F274" s="38" t="n">
        <v>529.5</v>
      </c>
      <c r="G274" s="38" t="n">
        <v>843.8</v>
      </c>
      <c r="H274" s="38" t="n">
        <v>1048.2</v>
      </c>
      <c r="I274" s="38" t="n">
        <v>697</v>
      </c>
      <c r="J274" s="38" t="n">
        <v>787.5</v>
      </c>
      <c r="K274" s="37" t="n">
        <f aca="false">L274</f>
        <v>1053.7</v>
      </c>
      <c r="L274" s="38" t="n">
        <v>1053.7</v>
      </c>
      <c r="M274" s="38" t="n">
        <v>970.6</v>
      </c>
      <c r="N274" s="37" t="n">
        <f aca="false">O274</f>
        <v>1441.6</v>
      </c>
      <c r="O274" s="38" t="n">
        <v>1441.6</v>
      </c>
      <c r="P274" s="38" t="n">
        <v>968.2</v>
      </c>
      <c r="Q274" s="37" t="n">
        <f aca="false">R274</f>
        <v>1589.2</v>
      </c>
      <c r="R274" s="38" t="n">
        <v>1589.2</v>
      </c>
      <c r="S274" s="38" t="n">
        <v>1527.9</v>
      </c>
      <c r="T274" s="37" t="n">
        <f aca="false">U274</f>
        <v>2328.9</v>
      </c>
      <c r="U274" s="38" t="n">
        <v>2328.9</v>
      </c>
      <c r="V274" s="38" t="n">
        <v>2442.3</v>
      </c>
      <c r="W274" s="37" t="n">
        <f aca="false">X274</f>
        <v>2931.9</v>
      </c>
      <c r="X274" s="38" t="n">
        <v>2931.9</v>
      </c>
      <c r="Y274" s="38" t="n">
        <v>2718.3</v>
      </c>
      <c r="Z274" s="37" t="n">
        <f aca="false">AA274</f>
        <v>3479.1</v>
      </c>
      <c r="AA274" s="38" t="n">
        <v>3479.1</v>
      </c>
      <c r="AB274" s="38" t="n">
        <v>3549.9</v>
      </c>
      <c r="AC274" s="37" t="n">
        <f aca="false">AD274</f>
        <v>4384.2</v>
      </c>
      <c r="AD274" s="38" t="n">
        <v>4384.2</v>
      </c>
      <c r="AE274" s="38" t="n">
        <v>3750.3</v>
      </c>
      <c r="AF274" s="37" t="n">
        <f aca="false">AG274</f>
        <v>4732.7</v>
      </c>
      <c r="AG274" s="38" t="n">
        <v>4732.7</v>
      </c>
      <c r="AH274" s="38" t="n">
        <v>5351.6</v>
      </c>
      <c r="AI274" s="37" t="n">
        <f aca="false">AJ274</f>
        <v>6696</v>
      </c>
      <c r="AJ274" s="38" t="n">
        <v>6696</v>
      </c>
      <c r="AK274" s="38" t="n">
        <v>7293</v>
      </c>
      <c r="AL274" s="37" t="n">
        <f aca="false">AM274</f>
        <v>9225</v>
      </c>
      <c r="AM274" s="38" t="n">
        <v>9225</v>
      </c>
      <c r="AN274" s="38" t="n">
        <v>9349</v>
      </c>
      <c r="AO274" s="37" t="n">
        <f aca="false">AP274</f>
        <v>10625</v>
      </c>
      <c r="AP274" s="38" t="n">
        <v>10625</v>
      </c>
      <c r="AQ274" s="38" t="n">
        <v>9478</v>
      </c>
      <c r="AR274" s="37" t="n">
        <f aca="false">AS274</f>
        <v>11642</v>
      </c>
      <c r="AS274" s="38" t="n">
        <v>11642</v>
      </c>
      <c r="AT274" s="38" t="n">
        <v>10321</v>
      </c>
      <c r="AU274" s="37" t="n">
        <f aca="false">AV274</f>
        <v>12239</v>
      </c>
      <c r="AV274" s="38" t="n">
        <v>12239</v>
      </c>
      <c r="AW274" s="38" t="n">
        <v>12310</v>
      </c>
      <c r="AX274" s="39" t="n">
        <f aca="false">AY274</f>
        <v>14213.190264313</v>
      </c>
      <c r="AY274" s="39" t="n">
        <f aca="false">AY230+AY303</f>
        <v>14213.190264313</v>
      </c>
      <c r="AZ274" s="39" t="n">
        <f aca="false">AZ230+AZ303</f>
        <v>16480.5676940969</v>
      </c>
      <c r="BA274" s="39" t="n">
        <f aca="false">BA230+BA303</f>
        <v>19150.598302018</v>
      </c>
      <c r="BB274" s="39" t="n">
        <f aca="false">BB230+BB303</f>
        <v>22104.5247057711</v>
      </c>
      <c r="BC274" s="39" t="n">
        <f aca="false">BC230+BC303</f>
        <v>25316.7433995276</v>
      </c>
      <c r="BD274" s="23"/>
      <c r="BF274" s="7"/>
      <c r="BG274" s="7"/>
      <c r="BH274" s="7"/>
      <c r="BI274" s="7"/>
    </row>
    <row r="275" customFormat="false" ht="15" hidden="false" customHeight="true" outlineLevel="0" collapsed="false">
      <c r="B275" s="19" t="s">
        <v>372</v>
      </c>
      <c r="C275" s="20"/>
      <c r="D275" s="20"/>
      <c r="E275" s="20"/>
      <c r="F275" s="21" t="n">
        <v>1264.9</v>
      </c>
      <c r="G275" s="21" t="n">
        <v>1563.8</v>
      </c>
      <c r="H275" s="21" t="n">
        <v>1871.3</v>
      </c>
      <c r="I275" s="21" t="n">
        <v>1802.8</v>
      </c>
      <c r="J275" s="21" t="n">
        <v>1939.7</v>
      </c>
      <c r="K275" s="20" t="n">
        <f aca="false">L275</f>
        <v>2249.2</v>
      </c>
      <c r="L275" s="21" t="n">
        <v>2249.2</v>
      </c>
      <c r="M275" s="21" t="n">
        <v>2245.3</v>
      </c>
      <c r="N275" s="20" t="n">
        <f aca="false">O275</f>
        <v>2791.7</v>
      </c>
      <c r="O275" s="21" t="n">
        <v>2791.7</v>
      </c>
      <c r="P275" s="21" t="n">
        <v>2450.5</v>
      </c>
      <c r="Q275" s="20" t="n">
        <f aca="false">R275</f>
        <v>3095.2</v>
      </c>
      <c r="R275" s="21" t="n">
        <v>3095.2</v>
      </c>
      <c r="S275" s="21" t="n">
        <v>3066.3</v>
      </c>
      <c r="T275" s="20" t="n">
        <f aca="false">U275</f>
        <v>3812.9</v>
      </c>
      <c r="U275" s="21" t="n">
        <v>3812.9</v>
      </c>
      <c r="V275" s="21" t="n">
        <v>3940</v>
      </c>
      <c r="W275" s="20" t="n">
        <f aca="false">X275</f>
        <v>4470.6</v>
      </c>
      <c r="X275" s="21" t="n">
        <v>4470.6</v>
      </c>
      <c r="Y275" s="21" t="n">
        <v>4238.7</v>
      </c>
      <c r="Z275" s="20" t="n">
        <f aca="false">AA275</f>
        <v>4982.6</v>
      </c>
      <c r="AA275" s="21" t="n">
        <v>4982.6</v>
      </c>
      <c r="AB275" s="21" t="n">
        <v>5223.2</v>
      </c>
      <c r="AC275" s="20" t="n">
        <f aca="false">AD275</f>
        <v>6090.5</v>
      </c>
      <c r="AD275" s="21" t="n">
        <v>6090.5</v>
      </c>
      <c r="AE275" s="21" t="n">
        <v>5523.8</v>
      </c>
      <c r="AF275" s="20" t="n">
        <f aca="false">AG275</f>
        <v>6649.7</v>
      </c>
      <c r="AG275" s="21" t="n">
        <v>6649.7</v>
      </c>
      <c r="AH275" s="21" t="n">
        <v>7362.3</v>
      </c>
      <c r="AI275" s="20" t="n">
        <f aca="false">AJ275</f>
        <v>8845</v>
      </c>
      <c r="AJ275" s="21" t="n">
        <v>8845</v>
      </c>
      <c r="AK275" s="21" t="n">
        <v>9850</v>
      </c>
      <c r="AL275" s="20" t="n">
        <f aca="false">AM275</f>
        <v>11828</v>
      </c>
      <c r="AM275" s="21" t="n">
        <v>11828</v>
      </c>
      <c r="AN275" s="21" t="n">
        <v>12518</v>
      </c>
      <c r="AO275" s="20" t="n">
        <f aca="false">AP275</f>
        <v>14008</v>
      </c>
      <c r="AP275" s="21" t="n">
        <v>14008</v>
      </c>
      <c r="AQ275" s="21" t="n">
        <v>13462</v>
      </c>
      <c r="AR275" s="20" t="n">
        <f aca="false">AS275</f>
        <v>15476</v>
      </c>
      <c r="AS275" s="21" t="n">
        <v>15476</v>
      </c>
      <c r="AT275" s="21" t="n">
        <v>14370</v>
      </c>
      <c r="AU275" s="20" t="n">
        <f aca="false">AV275</f>
        <v>15911</v>
      </c>
      <c r="AV275" s="21" t="n">
        <v>15911</v>
      </c>
      <c r="AW275" s="21" t="n">
        <v>16121</v>
      </c>
      <c r="AX275" s="22" t="n">
        <f aca="false">AY275</f>
        <v>17929.1078697925</v>
      </c>
      <c r="AY275" s="22" t="n">
        <f aca="false">SUM(AY271:AY274)</f>
        <v>17929.1078697925</v>
      </c>
      <c r="AZ275" s="22" t="n">
        <f aca="false">SUM(AZ271:AZ274)</f>
        <v>20424.0617780421</v>
      </c>
      <c r="BA275" s="22" t="n">
        <f aca="false">SUM(BA271:BA274)</f>
        <v>23328.1453122591</v>
      </c>
      <c r="BB275" s="22" t="n">
        <f aca="false">SUM(BB271:BB274)</f>
        <v>26522.3270379102</v>
      </c>
      <c r="BC275" s="22" t="n">
        <f aca="false">SUM(BC271:BC274)</f>
        <v>29986.6470587573</v>
      </c>
      <c r="BD275" s="23"/>
      <c r="BF275" s="7"/>
      <c r="BG275" s="7"/>
      <c r="BH275" s="7"/>
      <c r="BI275" s="7"/>
    </row>
    <row r="276" customFormat="false" ht="15" hidden="false" customHeight="true" outlineLevel="0" collapsed="false">
      <c r="B276" s="40" t="s">
        <v>373</v>
      </c>
      <c r="C276" s="41" t="str">
        <f aca="false">IF(ISNUMBER(C270),C270+C275,"")</f>
        <v/>
      </c>
      <c r="D276" s="41" t="str">
        <f aca="false">IF(ISNUMBER(D270),D270+D275,"")</f>
        <v/>
      </c>
      <c r="E276" s="41" t="str">
        <f aca="false">IF(ISNUMBER(E270),E270+E275,"")</f>
        <v/>
      </c>
      <c r="F276" s="41" t="n">
        <f aca="false">IF(ISNUMBER(F270),F270+F275,"")</f>
        <v>2440.5</v>
      </c>
      <c r="G276" s="41" t="n">
        <f aca="false">IF(ISNUMBER(G270),G270+G275,"")</f>
        <v>2918.6</v>
      </c>
      <c r="H276" s="41" t="n">
        <f aca="false">IF(ISNUMBER(H270),H270+H275,"")</f>
        <v>3248.4</v>
      </c>
      <c r="I276" s="41" t="n">
        <f aca="false">IF(ISNUMBER(I270),I270+I275,"")</f>
        <v>3405.8</v>
      </c>
      <c r="J276" s="41" t="n">
        <f aca="false">IF(ISNUMBER(J270),J270+J275,"")</f>
        <v>3562.2</v>
      </c>
      <c r="K276" s="41" t="n">
        <f aca="false">IF(ISNUMBER(K270),K270+K275,"")</f>
        <v>3937.6</v>
      </c>
      <c r="L276" s="41" t="n">
        <f aca="false">IF(ISNUMBER(L270),L270+L275,"")</f>
        <v>3937.6</v>
      </c>
      <c r="M276" s="41" t="n">
        <f aca="false">IF(ISNUMBER(M270),M270+M275,"")</f>
        <v>4036.2</v>
      </c>
      <c r="N276" s="41" t="n">
        <f aca="false">IF(ISNUMBER(N270),N270+N275,"")</f>
        <v>4768.3</v>
      </c>
      <c r="O276" s="41" t="n">
        <f aca="false">IF(ISNUMBER(O270),O270+O275,"")</f>
        <v>4768.3</v>
      </c>
      <c r="P276" s="41" t="n">
        <f aca="false">IF(ISNUMBER(P270),P270+P275,"")</f>
        <v>4548.7</v>
      </c>
      <c r="Q276" s="41" t="n">
        <f aca="false">IF(ISNUMBER(Q270),Q270+Q275,"")</f>
        <v>5187.6</v>
      </c>
      <c r="R276" s="41" t="n">
        <f aca="false">IF(ISNUMBER(R270),R270+R275,"")</f>
        <v>5187.6</v>
      </c>
      <c r="S276" s="41" t="n">
        <f aca="false">IF(ISNUMBER(S270),S270+S275,"")</f>
        <v>5247.6</v>
      </c>
      <c r="T276" s="41" t="n">
        <f aca="false">IF(ISNUMBER(T270),T270+T275,"")</f>
        <v>5998.7</v>
      </c>
      <c r="U276" s="41" t="n">
        <f aca="false">IF(ISNUMBER(U270),U270+U275,"")</f>
        <v>5998.7</v>
      </c>
      <c r="V276" s="41" t="n">
        <f aca="false">IF(ISNUMBER(V270),V270+V275,"")</f>
        <v>6160.8</v>
      </c>
      <c r="W276" s="41" t="n">
        <f aca="false">IF(ISNUMBER(W270),W270+W275,"")</f>
        <v>6768.2</v>
      </c>
      <c r="X276" s="41" t="n">
        <f aca="false">IF(ISNUMBER(X270),X270+X275,"")</f>
        <v>6768.2</v>
      </c>
      <c r="Y276" s="41" t="n">
        <f aca="false">IF(ISNUMBER(Y270),Y270+Y275,"")</f>
        <v>6523.2</v>
      </c>
      <c r="Z276" s="41" t="n">
        <f aca="false">IF(ISNUMBER(Z270),Z270+Z275,"")</f>
        <v>7468.1</v>
      </c>
      <c r="AA276" s="41" t="n">
        <f aca="false">IF(ISNUMBER(AA270),AA270+AA275,"")</f>
        <v>7468.1</v>
      </c>
      <c r="AB276" s="41" t="n">
        <f aca="false">IF(ISNUMBER(AB270),AB270+AB275,"")</f>
        <v>8796</v>
      </c>
      <c r="AC276" s="41" t="n">
        <f aca="false">IF(ISNUMBER(AC270),AC270+AC275,"")</f>
        <v>9881.1</v>
      </c>
      <c r="AD276" s="41" t="n">
        <f aca="false">IF(ISNUMBER(AD270),AD270+AD275,"")</f>
        <v>9881.1</v>
      </c>
      <c r="AE276" s="41" t="n">
        <f aca="false">IF(ISNUMBER(AE270),AE270+AE275,"")</f>
        <v>9733.5</v>
      </c>
      <c r="AF276" s="41" t="n">
        <f aca="false">IF(ISNUMBER(AF270),AF270+AF275,"")</f>
        <v>11050.5</v>
      </c>
      <c r="AG276" s="41" t="n">
        <f aca="false">IF(ISNUMBER(AG270),AG270+AG275,"")</f>
        <v>11050.5</v>
      </c>
      <c r="AH276" s="41" t="n">
        <f aca="false">IF(ISNUMBER(AH270),AH270+AH275,"")</f>
        <v>11884.8</v>
      </c>
      <c r="AI276" s="41" t="n">
        <f aca="false">IF(ISNUMBER(AI270),AI270+AI275,"")</f>
        <v>13847</v>
      </c>
      <c r="AJ276" s="41" t="n">
        <f aca="false">IF(ISNUMBER(AJ270),AJ270+AJ275,"")</f>
        <v>13847</v>
      </c>
      <c r="AK276" s="41" t="n">
        <f aca="false">IF(ISNUMBER(AK270),AK270+AK275,"")</f>
        <v>15082</v>
      </c>
      <c r="AL276" s="41" t="n">
        <f aca="false">IF(ISNUMBER(AL270),AL270+AL275,"")</f>
        <v>17458</v>
      </c>
      <c r="AM276" s="41" t="n">
        <f aca="false">IF(ISNUMBER(AM270),AM270+AM275,"")</f>
        <v>17458</v>
      </c>
      <c r="AN276" s="41" t="n">
        <f aca="false">IF(ISNUMBER(AN270),AN270+AN275,"")</f>
        <v>18255</v>
      </c>
      <c r="AO276" s="41" t="n">
        <f aca="false">IF(ISNUMBER(AO270),AO270+AO275,"")</f>
        <v>20446</v>
      </c>
      <c r="AP276" s="41" t="n">
        <f aca="false">IF(ISNUMBER(AP270),AP270+AP275,"")</f>
        <v>20446</v>
      </c>
      <c r="AQ276" s="41" t="n">
        <f aca="false">IF(ISNUMBER(AQ270),AQ270+AQ275,"")</f>
        <v>20508</v>
      </c>
      <c r="AR276" s="41" t="n">
        <f aca="false">IF(ISNUMBER(AR270),AR270+AR275,"")</f>
        <v>23084</v>
      </c>
      <c r="AS276" s="41" t="n">
        <f aca="false">IF(ISNUMBER(AS270),AS270+AS275,"")</f>
        <v>23084</v>
      </c>
      <c r="AT276" s="41" t="n">
        <f aca="false">IF(ISNUMBER(AT270),AT270+AT275,"")</f>
        <v>21828</v>
      </c>
      <c r="AU276" s="41" t="n">
        <f aca="false">IF(ISNUMBER(AU270),AU270+AU275,"")</f>
        <v>24323</v>
      </c>
      <c r="AV276" s="41" t="n">
        <f aca="false">IF(ISNUMBER(AV270),AV270+AV275,"")</f>
        <v>24323</v>
      </c>
      <c r="AW276" s="41" t="n">
        <f aca="false">IF(ISNUMBER(AW270),AW270+AW275,"")</f>
        <v>24795</v>
      </c>
      <c r="AX276" s="41" t="n">
        <f aca="false">AY276</f>
        <v>27238.9038897925</v>
      </c>
      <c r="AY276" s="41" t="n">
        <f aca="false">AY270+AY275</f>
        <v>27238.9038897925</v>
      </c>
      <c r="AZ276" s="41" t="n">
        <f aca="false">AZ270+AZ275</f>
        <v>30656.2070164921</v>
      </c>
      <c r="BA276" s="41" t="n">
        <f aca="false">BA270+BA275</f>
        <v>34499.3113375153</v>
      </c>
      <c r="BB276" s="41" t="n">
        <f aca="false">BB270+BB275</f>
        <v>38644.8080364613</v>
      </c>
      <c r="BC276" s="41" t="n">
        <f aca="false">BC270+BC275</f>
        <v>43066.0870833301</v>
      </c>
      <c r="BD276" s="23"/>
      <c r="BF276" s="7"/>
      <c r="BG276" s="7"/>
      <c r="BH276" s="7"/>
      <c r="BI276" s="7"/>
    </row>
    <row r="277" customFormat="false" ht="15" hidden="false" customHeight="true" outlineLevel="0" collapsed="false">
      <c r="B277" s="13" t="s">
        <v>374</v>
      </c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  <c r="AV277" s="37"/>
      <c r="AW277" s="37"/>
      <c r="AX277" s="39"/>
      <c r="AY277" s="39"/>
      <c r="AZ277" s="39"/>
      <c r="BA277" s="39"/>
      <c r="BB277" s="39"/>
      <c r="BC277" s="39"/>
      <c r="BD277" s="23"/>
      <c r="BF277" s="7"/>
      <c r="BG277" s="7"/>
      <c r="BH277" s="7"/>
      <c r="BI277" s="7"/>
    </row>
    <row r="278" customFormat="false" ht="15" hidden="false" customHeight="true" outlineLevel="0" collapsed="false">
      <c r="B278" s="13" t="s">
        <v>375</v>
      </c>
      <c r="C278" s="37"/>
      <c r="D278" s="37"/>
      <c r="E278" s="37"/>
      <c r="F278" s="38" t="n">
        <v>103.4</v>
      </c>
      <c r="G278" s="38" t="n">
        <v>103.4</v>
      </c>
      <c r="H278" s="38" t="n">
        <v>103.4</v>
      </c>
      <c r="I278" s="38" t="n">
        <v>103.4</v>
      </c>
      <c r="J278" s="38" t="n">
        <v>103.4</v>
      </c>
      <c r="K278" s="37" t="n">
        <f aca="false">L278</f>
        <v>103.4</v>
      </c>
      <c r="L278" s="38" t="n">
        <v>103.4</v>
      </c>
      <c r="M278" s="38" t="n">
        <v>103.4</v>
      </c>
      <c r="N278" s="37" t="n">
        <f aca="false">O278</f>
        <v>103.4</v>
      </c>
      <c r="O278" s="38" t="n">
        <v>103.4</v>
      </c>
      <c r="P278" s="38" t="n">
        <v>103.4</v>
      </c>
      <c r="Q278" s="37" t="n">
        <f aca="false">R278</f>
        <v>103.4</v>
      </c>
      <c r="R278" s="38" t="n">
        <v>103.4</v>
      </c>
      <c r="S278" s="38" t="n">
        <v>103.4</v>
      </c>
      <c r="T278" s="37" t="n">
        <f aca="false">U278</f>
        <v>103.4</v>
      </c>
      <c r="U278" s="38" t="n">
        <v>103.4</v>
      </c>
      <c r="V278" s="38" t="n">
        <v>103.4</v>
      </c>
      <c r="W278" s="37" t="n">
        <f aca="false">X278</f>
        <v>103.4</v>
      </c>
      <c r="X278" s="38" t="n">
        <v>103.4</v>
      </c>
      <c r="Y278" s="38" t="n">
        <v>103.4</v>
      </c>
      <c r="Z278" s="37" t="n">
        <f aca="false">AA278</f>
        <v>103.4</v>
      </c>
      <c r="AA278" s="38" t="n">
        <v>103.4</v>
      </c>
      <c r="AB278" s="38" t="n">
        <v>103.4</v>
      </c>
      <c r="AC278" s="37" t="n">
        <f aca="false">AD278</f>
        <v>103.4</v>
      </c>
      <c r="AD278" s="38" t="n">
        <v>103.4</v>
      </c>
      <c r="AE278" s="38" t="n">
        <v>103.4</v>
      </c>
      <c r="AF278" s="37" t="n">
        <f aca="false">AG278</f>
        <v>103.4</v>
      </c>
      <c r="AG278" s="38" t="n">
        <v>103.4</v>
      </c>
      <c r="AH278" s="38" t="n">
        <v>103.4</v>
      </c>
      <c r="AI278" s="37" t="n">
        <f aca="false">AJ278</f>
        <v>104</v>
      </c>
      <c r="AJ278" s="38" t="n">
        <v>104</v>
      </c>
      <c r="AK278" s="38" t="n">
        <v>104</v>
      </c>
      <c r="AL278" s="37" t="n">
        <f aca="false">AM278</f>
        <v>104</v>
      </c>
      <c r="AM278" s="38" t="n">
        <v>104</v>
      </c>
      <c r="AN278" s="38" t="n">
        <v>104</v>
      </c>
      <c r="AO278" s="37" t="n">
        <f aca="false">AP278</f>
        <v>104</v>
      </c>
      <c r="AP278" s="38" t="n">
        <v>104</v>
      </c>
      <c r="AQ278" s="38" t="n">
        <v>104</v>
      </c>
      <c r="AR278" s="37" t="n">
        <f aca="false">AS278</f>
        <v>104</v>
      </c>
      <c r="AS278" s="38" t="n">
        <v>104</v>
      </c>
      <c r="AT278" s="38" t="n">
        <v>104</v>
      </c>
      <c r="AU278" s="37" t="n">
        <f aca="false">AV278</f>
        <v>104</v>
      </c>
      <c r="AV278" s="38" t="n">
        <v>104</v>
      </c>
      <c r="AW278" s="38" t="n">
        <v>104</v>
      </c>
      <c r="AX278" s="39" t="n">
        <f aca="false">AY278</f>
        <v>104</v>
      </c>
      <c r="AY278" s="39" t="n">
        <f aca="false">AV278</f>
        <v>104</v>
      </c>
      <c r="AZ278" s="39" t="n">
        <f aca="false">AY278</f>
        <v>104</v>
      </c>
      <c r="BA278" s="39" t="n">
        <f aca="false">AZ278</f>
        <v>104</v>
      </c>
      <c r="BB278" s="39" t="n">
        <f aca="false">BA278</f>
        <v>104</v>
      </c>
      <c r="BC278" s="39" t="n">
        <f aca="false">BB278</f>
        <v>104</v>
      </c>
      <c r="BD278" s="23"/>
      <c r="BF278" s="7"/>
      <c r="BG278" s="7"/>
      <c r="BH278" s="7"/>
      <c r="BI278" s="7"/>
    </row>
    <row r="279" customFormat="false" ht="15" hidden="false" customHeight="true" outlineLevel="0" collapsed="false">
      <c r="B279" s="13" t="s">
        <v>376</v>
      </c>
      <c r="C279" s="37"/>
      <c r="D279" s="37"/>
      <c r="E279" s="37"/>
      <c r="F279" s="38" t="n">
        <v>-32.5</v>
      </c>
      <c r="G279" s="38" t="n">
        <v>-33</v>
      </c>
      <c r="H279" s="38" t="n">
        <v>-304.1</v>
      </c>
      <c r="I279" s="38" t="n">
        <v>-313.3</v>
      </c>
      <c r="J279" s="38" t="n">
        <v>-312.4</v>
      </c>
      <c r="K279" s="37" t="n">
        <f aca="false">L279</f>
        <v>-313.9</v>
      </c>
      <c r="L279" s="38" t="n">
        <v>-313.9</v>
      </c>
      <c r="M279" s="38" t="n">
        <v>-266.7</v>
      </c>
      <c r="N279" s="37" t="n">
        <f aca="false">O279</f>
        <v>-266.9</v>
      </c>
      <c r="O279" s="38" t="n">
        <v>-266.9</v>
      </c>
      <c r="P279" s="38" t="n">
        <v>-270.1</v>
      </c>
      <c r="Q279" s="37" t="n">
        <f aca="false">R279</f>
        <v>-271.8</v>
      </c>
      <c r="R279" s="38" t="n">
        <v>-271.8</v>
      </c>
      <c r="S279" s="38" t="n">
        <v>-231.7</v>
      </c>
      <c r="T279" s="37" t="n">
        <f aca="false">U279</f>
        <v>-287.8</v>
      </c>
      <c r="U279" s="38" t="n">
        <v>-287.8</v>
      </c>
      <c r="V279" s="38" t="n">
        <v>-277.5</v>
      </c>
      <c r="W279" s="37" t="n">
        <f aca="false">X279</f>
        <v>-453.6</v>
      </c>
      <c r="X279" s="38" t="n">
        <v>-453.6</v>
      </c>
      <c r="Y279" s="38" t="n">
        <v>-457.2</v>
      </c>
      <c r="Z279" s="37" t="n">
        <f aca="false">AA279</f>
        <v>-465.2</v>
      </c>
      <c r="AA279" s="38" t="n">
        <v>-465.2</v>
      </c>
      <c r="AB279" s="38" t="n">
        <v>-488.5</v>
      </c>
      <c r="AC279" s="37" t="n">
        <f aca="false">AD279</f>
        <v>-508.8</v>
      </c>
      <c r="AD279" s="38" t="n">
        <v>-508.8</v>
      </c>
      <c r="AE279" s="38" t="n">
        <v>-464.7</v>
      </c>
      <c r="AF279" s="37" t="n">
        <f aca="false">AG279</f>
        <v>-463.7</v>
      </c>
      <c r="AG279" s="38" t="n">
        <v>-463.7</v>
      </c>
      <c r="AH279" s="38" t="n">
        <v>-552.1</v>
      </c>
      <c r="AI279" s="37" t="n">
        <f aca="false">AJ279</f>
        <v>-551</v>
      </c>
      <c r="AJ279" s="38" t="n">
        <v>-551</v>
      </c>
      <c r="AK279" s="38" t="n">
        <v>-672</v>
      </c>
      <c r="AL279" s="37" t="n">
        <f aca="false">AM279</f>
        <v>-674</v>
      </c>
      <c r="AM279" s="38" t="n">
        <v>-674</v>
      </c>
      <c r="AN279" s="38" t="n">
        <v>-670</v>
      </c>
      <c r="AO279" s="37" t="n">
        <f aca="false">AP279</f>
        <v>-698</v>
      </c>
      <c r="AP279" s="38" t="n">
        <v>-698</v>
      </c>
      <c r="AQ279" s="38" t="n">
        <v>-698</v>
      </c>
      <c r="AR279" s="37" t="n">
        <f aca="false">AS279</f>
        <v>-670</v>
      </c>
      <c r="AS279" s="38" t="n">
        <v>-670</v>
      </c>
      <c r="AT279" s="38" t="n">
        <v>-675</v>
      </c>
      <c r="AU279" s="37" t="n">
        <f aca="false">AV279</f>
        <v>-677</v>
      </c>
      <c r="AV279" s="38" t="n">
        <v>-677</v>
      </c>
      <c r="AW279" s="38" t="n">
        <v>-836</v>
      </c>
      <c r="AX279" s="39" t="n">
        <f aca="false">AY279</f>
        <v>-887</v>
      </c>
      <c r="AY279" s="39" t="n">
        <f aca="false">AV279+AY224</f>
        <v>-887</v>
      </c>
      <c r="AZ279" s="39" t="n">
        <f aca="false">AY279+AZ224</f>
        <v>-1137</v>
      </c>
      <c r="BA279" s="39" t="n">
        <f aca="false">AZ279+BA224</f>
        <v>-1387</v>
      </c>
      <c r="BB279" s="39" t="n">
        <f aca="false">BA279+BB224</f>
        <v>-1637</v>
      </c>
      <c r="BC279" s="39" t="n">
        <f aca="false">BB279+BC224</f>
        <v>-1887</v>
      </c>
      <c r="BD279" s="23"/>
      <c r="BF279" s="7"/>
      <c r="BG279" s="7"/>
      <c r="BH279" s="7"/>
      <c r="BI279" s="7"/>
    </row>
    <row r="280" customFormat="false" ht="15" hidden="false" customHeight="true" outlineLevel="0" collapsed="false">
      <c r="B280" s="13" t="s">
        <v>377</v>
      </c>
      <c r="C280" s="37"/>
      <c r="D280" s="37"/>
      <c r="E280" s="37"/>
      <c r="F280" s="38" t="n">
        <v>1719</v>
      </c>
      <c r="G280" s="38" t="n">
        <v>2079.9</v>
      </c>
      <c r="H280" s="38" t="n">
        <v>2513.5</v>
      </c>
      <c r="I280" s="38" t="n">
        <v>2554.3</v>
      </c>
      <c r="J280" s="38" t="n">
        <v>2656.1</v>
      </c>
      <c r="K280" s="37" t="n">
        <f aca="false">L280</f>
        <v>3036.1</v>
      </c>
      <c r="L280" s="38" t="n">
        <v>3036.1</v>
      </c>
      <c r="M280" s="38" t="n">
        <v>3134</v>
      </c>
      <c r="N280" s="37" t="n">
        <f aca="false">O280</f>
        <v>3612.5</v>
      </c>
      <c r="O280" s="38" t="n">
        <v>3612.5</v>
      </c>
      <c r="P280" s="38" t="n">
        <v>3394.5</v>
      </c>
      <c r="Q280" s="37" t="n">
        <f aca="false">R280</f>
        <v>3910.4</v>
      </c>
      <c r="R280" s="38" t="n">
        <v>3910.4</v>
      </c>
      <c r="S280" s="38" t="n">
        <v>3991.6</v>
      </c>
      <c r="T280" s="37" t="n">
        <f aca="false">U280</f>
        <v>4567</v>
      </c>
      <c r="U280" s="38" t="n">
        <v>4567</v>
      </c>
      <c r="V280" s="38" t="n">
        <v>4738.6</v>
      </c>
      <c r="W280" s="37" t="n">
        <f aca="false">X280</f>
        <v>5389.2</v>
      </c>
      <c r="X280" s="38" t="n">
        <v>5389.2</v>
      </c>
      <c r="Y280" s="38" t="n">
        <v>5142.8</v>
      </c>
      <c r="Z280" s="37" t="n">
        <f aca="false">AA280</f>
        <v>5864.8</v>
      </c>
      <c r="AA280" s="38" t="n">
        <v>5864.8</v>
      </c>
      <c r="AB280" s="38" t="n">
        <v>6148</v>
      </c>
      <c r="AC280" s="37" t="n">
        <f aca="false">AD280</f>
        <v>6973.5</v>
      </c>
      <c r="AD280" s="38" t="n">
        <v>6973.5</v>
      </c>
      <c r="AE280" s="38" t="n">
        <v>6701.4</v>
      </c>
      <c r="AF280" s="37" t="n">
        <f aca="false">AG280</f>
        <v>7740.4</v>
      </c>
      <c r="AG280" s="38" t="n">
        <v>7740.4</v>
      </c>
      <c r="AH280" s="38" t="n">
        <v>8472.2</v>
      </c>
      <c r="AI280" s="37" t="n">
        <f aca="false">AJ280</f>
        <v>9847</v>
      </c>
      <c r="AJ280" s="38" t="n">
        <v>9847</v>
      </c>
      <c r="AK280" s="38" t="n">
        <v>10827</v>
      </c>
      <c r="AL280" s="37" t="n">
        <f aca="false">AM280</f>
        <v>13010</v>
      </c>
      <c r="AM280" s="38" t="n">
        <v>13010</v>
      </c>
      <c r="AN280" s="38" t="n">
        <v>13815</v>
      </c>
      <c r="AO280" s="37" t="n">
        <f aca="false">AP280</f>
        <v>15795</v>
      </c>
      <c r="AP280" s="38" t="n">
        <v>15795</v>
      </c>
      <c r="AQ280" s="38" t="n">
        <v>15646</v>
      </c>
      <c r="AR280" s="37" t="n">
        <f aca="false">AS280</f>
        <v>17893</v>
      </c>
      <c r="AS280" s="38" t="n">
        <v>17893</v>
      </c>
      <c r="AT280" s="38" t="n">
        <v>17173</v>
      </c>
      <c r="AU280" s="37" t="n">
        <f aca="false">AV280</f>
        <v>19413</v>
      </c>
      <c r="AV280" s="38" t="n">
        <v>19413</v>
      </c>
      <c r="AW280" s="38" t="n">
        <v>19755</v>
      </c>
      <c r="AX280" s="39" t="n">
        <f aca="false">AY280</f>
        <v>22231.5209946</v>
      </c>
      <c r="AY280" s="39" t="n">
        <f aca="false">AV280+AY139+AY145+(AY222-AY336)</f>
        <v>22231.5209946</v>
      </c>
      <c r="AZ280" s="39" t="n">
        <f aca="false">AY280+AZ139+AZ145+(AZ222-AZ336)</f>
        <v>25688.3610691575</v>
      </c>
      <c r="BA280" s="39" t="n">
        <f aca="false">AZ280+BA139+BA145+(BA222-BA336)</f>
        <v>29475.4157016815</v>
      </c>
      <c r="BB280" s="39" t="n">
        <f aca="false">BA280+BB139+BB145+(BB222-BB336)</f>
        <v>33553.6943966252</v>
      </c>
      <c r="BC280" s="39" t="n">
        <f aca="false">BB280+BC139+BC145+(BC222-BC336)</f>
        <v>37898.9418538897</v>
      </c>
      <c r="BD280" s="23" t="s">
        <v>378</v>
      </c>
      <c r="BF280" s="7"/>
      <c r="BG280" s="7"/>
      <c r="BH280" s="7"/>
      <c r="BI280" s="7"/>
    </row>
    <row r="281" customFormat="false" ht="15" hidden="false" customHeight="true" outlineLevel="0" collapsed="false">
      <c r="B281" s="19" t="s">
        <v>379</v>
      </c>
      <c r="C281" s="21" t="n">
        <v>1409</v>
      </c>
      <c r="D281" s="21" t="n">
        <v>1459.8</v>
      </c>
      <c r="E281" s="21" t="n">
        <v>1588.5</v>
      </c>
      <c r="F281" s="20" t="n">
        <f aca="false">IF(ISNUMBER(F278),F278+F279+F280,"")</f>
        <v>1789.9</v>
      </c>
      <c r="G281" s="20" t="n">
        <f aca="false">IF(ISNUMBER(G278),G278+G279+G280,"")</f>
        <v>2150.3</v>
      </c>
      <c r="H281" s="20" t="n">
        <f aca="false">IF(ISNUMBER(H278),H278+H279+H280,"")</f>
        <v>2312.8</v>
      </c>
      <c r="I281" s="20" t="n">
        <f aca="false">IF(ISNUMBER(I278),I278+I279+I280,"")</f>
        <v>2344.4</v>
      </c>
      <c r="J281" s="20" t="n">
        <f aca="false">IF(ISNUMBER(J278),J278+J279+J280,"")</f>
        <v>2447.1</v>
      </c>
      <c r="K281" s="20" t="n">
        <f aca="false">IF(ISNUMBER(K278),K278+K279+K280,"")</f>
        <v>2825.6</v>
      </c>
      <c r="L281" s="20" t="n">
        <f aca="false">IF(ISNUMBER(L278),L278+L279+L280,"")</f>
        <v>2825.6</v>
      </c>
      <c r="M281" s="20" t="n">
        <f aca="false">IF(ISNUMBER(M278),M278+M279+M280,"")</f>
        <v>2970.7</v>
      </c>
      <c r="N281" s="20" t="n">
        <f aca="false">IF(ISNUMBER(N278),N278+N279+N280,"")</f>
        <v>3449</v>
      </c>
      <c r="O281" s="20" t="n">
        <f aca="false">IF(ISNUMBER(O278),O278+O279+O280,"")</f>
        <v>3449</v>
      </c>
      <c r="P281" s="20" t="n">
        <f aca="false">IF(ISNUMBER(P278),P278+P279+P280,"")</f>
        <v>3227.8</v>
      </c>
      <c r="Q281" s="20" t="n">
        <f aca="false">IF(ISNUMBER(Q278),Q278+Q279+Q280,"")</f>
        <v>3742</v>
      </c>
      <c r="R281" s="20" t="n">
        <f aca="false">IF(ISNUMBER(R278),R278+R279+R280,"")</f>
        <v>3742</v>
      </c>
      <c r="S281" s="20" t="n">
        <f aca="false">IF(ISNUMBER(S278),S278+S279+S280,"")</f>
        <v>3863.3</v>
      </c>
      <c r="T281" s="20" t="n">
        <f aca="false">IF(ISNUMBER(T278),T278+T279+T280,"")</f>
        <v>4382.6</v>
      </c>
      <c r="U281" s="20" t="n">
        <f aca="false">IF(ISNUMBER(U278),U278+U279+U280,"")</f>
        <v>4382.6</v>
      </c>
      <c r="V281" s="20" t="n">
        <f aca="false">IF(ISNUMBER(V278),V278+V279+V280,"")</f>
        <v>4564.5</v>
      </c>
      <c r="W281" s="20" t="n">
        <f aca="false">IF(ISNUMBER(W278),W278+W279+W280,"")</f>
        <v>5039</v>
      </c>
      <c r="X281" s="20" t="n">
        <f aca="false">IF(ISNUMBER(X278),X278+X279+X280,"")</f>
        <v>5039</v>
      </c>
      <c r="Y281" s="20" t="n">
        <f aca="false">IF(ISNUMBER(Y278),Y278+Y279+Y280,"")</f>
        <v>4789</v>
      </c>
      <c r="Z281" s="20" t="n">
        <f aca="false">IF(ISNUMBER(Z278),Z278+Z279+Z280,"")</f>
        <v>5503</v>
      </c>
      <c r="AA281" s="20" t="n">
        <f aca="false">IF(ISNUMBER(AA278),AA278+AA279+AA280,"")</f>
        <v>5503</v>
      </c>
      <c r="AB281" s="20" t="n">
        <f aca="false">IF(ISNUMBER(AB278),AB278+AB279+AB280,"")</f>
        <v>5762.9</v>
      </c>
      <c r="AC281" s="20" t="n">
        <f aca="false">IF(ISNUMBER(AC278),AC278+AC279+AC280,"")</f>
        <v>6568.1</v>
      </c>
      <c r="AD281" s="20" t="n">
        <f aca="false">IF(ISNUMBER(AD278),AD278+AD279+AD280,"")</f>
        <v>6568.1</v>
      </c>
      <c r="AE281" s="20" t="n">
        <f aca="false">IF(ISNUMBER(AE278),AE278+AE279+AE280,"")</f>
        <v>6340.1</v>
      </c>
      <c r="AF281" s="20" t="n">
        <f aca="false">IF(ISNUMBER(AF278),AF278+AF279+AF280,"")</f>
        <v>7380.1</v>
      </c>
      <c r="AG281" s="20" t="n">
        <f aca="false">IF(ISNUMBER(AG278),AG278+AG279+AG280,"")</f>
        <v>7380.1</v>
      </c>
      <c r="AH281" s="20" t="n">
        <f aca="false">IF(ISNUMBER(AH278),AH278+AH279+AH280,"")</f>
        <v>8023.5</v>
      </c>
      <c r="AI281" s="20" t="n">
        <f aca="false">IF(ISNUMBER(AI278),AI278+AI279+AI280,"")</f>
        <v>9400</v>
      </c>
      <c r="AJ281" s="20" t="n">
        <f aca="false">IF(ISNUMBER(AJ278),AJ278+AJ279+AJ280,"")</f>
        <v>9400</v>
      </c>
      <c r="AK281" s="20" t="n">
        <f aca="false">IF(ISNUMBER(AK278),AK278+AK279+AK280,"")</f>
        <v>10259</v>
      </c>
      <c r="AL281" s="20" t="n">
        <f aca="false">IF(ISNUMBER(AL278),AL278+AL279+AL280,"")</f>
        <v>12440</v>
      </c>
      <c r="AM281" s="20" t="n">
        <f aca="false">IF(ISNUMBER(AM278),AM278+AM279+AM280,"")</f>
        <v>12440</v>
      </c>
      <c r="AN281" s="20" t="n">
        <f aca="false">IF(ISNUMBER(AN278),AN278+AN279+AN280,"")</f>
        <v>13249</v>
      </c>
      <c r="AO281" s="20" t="n">
        <f aca="false">IF(ISNUMBER(AO278),AO278+AO279+AO280,"")</f>
        <v>15201</v>
      </c>
      <c r="AP281" s="20" t="n">
        <f aca="false">IF(ISNUMBER(AP278),AP278+AP279+AP280,"")</f>
        <v>15201</v>
      </c>
      <c r="AQ281" s="20" t="n">
        <f aca="false">IF(ISNUMBER(AQ278),AQ278+AQ279+AQ280,"")</f>
        <v>15052</v>
      </c>
      <c r="AR281" s="20" t="n">
        <f aca="false">IF(ISNUMBER(AR278),AR278+AR279+AR280,"")</f>
        <v>17327</v>
      </c>
      <c r="AS281" s="20" t="n">
        <f aca="false">IF(ISNUMBER(AS278),AS278+AS279+AS280,"")</f>
        <v>17327</v>
      </c>
      <c r="AT281" s="20" t="n">
        <f aca="false">IF(ISNUMBER(AT278),AT278+AT279+AT280,"")</f>
        <v>16602</v>
      </c>
      <c r="AU281" s="20" t="n">
        <f aca="false">IF(ISNUMBER(AU278),AU278+AU279+AU280,"")</f>
        <v>18840</v>
      </c>
      <c r="AV281" s="20" t="n">
        <f aca="false">IF(ISNUMBER(AV278),AV278+AV279+AV280,"")</f>
        <v>18840</v>
      </c>
      <c r="AW281" s="20" t="n">
        <f aca="false">IF(ISNUMBER(AW278),AW278+AW279+AW280,"")</f>
        <v>19023</v>
      </c>
      <c r="AX281" s="22" t="n">
        <f aca="false">AY281</f>
        <v>21448.5209946</v>
      </c>
      <c r="AY281" s="22" t="n">
        <f aca="false">AY278+AY279+AY280</f>
        <v>21448.5209946</v>
      </c>
      <c r="AZ281" s="22" t="n">
        <f aca="false">AZ278+AZ279+AZ280</f>
        <v>24655.3610691575</v>
      </c>
      <c r="BA281" s="22" t="n">
        <f aca="false">BA278+BA279+BA280</f>
        <v>28192.4157016815</v>
      </c>
      <c r="BB281" s="22" t="n">
        <f aca="false">BB278+BB279+BB280</f>
        <v>32020.6943966252</v>
      </c>
      <c r="BC281" s="22" t="n">
        <f aca="false">BC278+BC279+BC280</f>
        <v>36115.9418538897</v>
      </c>
      <c r="BD281" s="23"/>
      <c r="BF281" s="7"/>
      <c r="BG281" s="7"/>
      <c r="BH281" s="7"/>
      <c r="BI281" s="7"/>
    </row>
    <row r="282" customFormat="false" ht="15" hidden="false" customHeight="true" outlineLevel="0" collapsed="false">
      <c r="B282" s="13" t="s">
        <v>380</v>
      </c>
      <c r="C282" s="37"/>
      <c r="D282" s="37"/>
      <c r="E282" s="37"/>
      <c r="F282" s="38" t="n">
        <v>14</v>
      </c>
      <c r="G282" s="38" t="n">
        <v>12.9</v>
      </c>
      <c r="H282" s="38" t="n">
        <v>12.7</v>
      </c>
      <c r="I282" s="38" t="n">
        <v>13.9</v>
      </c>
      <c r="J282" s="38" t="n">
        <v>14.3</v>
      </c>
      <c r="K282" s="37" t="n">
        <f aca="false">L282</f>
        <v>15.6</v>
      </c>
      <c r="L282" s="38" t="n">
        <v>15.6</v>
      </c>
      <c r="M282" s="38" t="n">
        <v>14.8</v>
      </c>
      <c r="N282" s="37" t="n">
        <f aca="false">O282</f>
        <v>9.5</v>
      </c>
      <c r="O282" s="38" t="n">
        <v>9.5</v>
      </c>
      <c r="P282" s="38" t="n">
        <v>7.4</v>
      </c>
      <c r="Q282" s="37" t="n">
        <f aca="false">R282</f>
        <v>6.7</v>
      </c>
      <c r="R282" s="38" t="n">
        <v>6.7</v>
      </c>
      <c r="S282" s="38" t="n">
        <v>4</v>
      </c>
      <c r="T282" s="37" t="n">
        <f aca="false">U282</f>
        <v>2.2</v>
      </c>
      <c r="U282" s="38" t="n">
        <v>2.2</v>
      </c>
      <c r="V282" s="38" t="n">
        <v>5.7</v>
      </c>
      <c r="W282" s="37" t="n">
        <f aca="false">X282</f>
        <v>6.6</v>
      </c>
      <c r="X282" s="38" t="n">
        <v>6.6</v>
      </c>
      <c r="Y282" s="38" t="n">
        <v>3.5</v>
      </c>
      <c r="Z282" s="37" t="n">
        <f aca="false">AA282</f>
        <v>4.8</v>
      </c>
      <c r="AA282" s="38" t="n">
        <v>4.8</v>
      </c>
      <c r="AB282" s="38" t="n">
        <v>4.7</v>
      </c>
      <c r="AC282" s="37" t="n">
        <f aca="false">AD282</f>
        <v>7.8</v>
      </c>
      <c r="AD282" s="38" t="n">
        <v>7.8</v>
      </c>
      <c r="AE282" s="38" t="n">
        <v>0.4</v>
      </c>
      <c r="AF282" s="37" t="n">
        <f aca="false">AG282</f>
        <v>10.9</v>
      </c>
      <c r="AG282" s="38" t="n">
        <v>10.9</v>
      </c>
      <c r="AH282" s="38" t="n">
        <v>10.4</v>
      </c>
      <c r="AI282" s="37" t="n">
        <f aca="false">AJ282</f>
        <v>12</v>
      </c>
      <c r="AJ282" s="38" t="n">
        <v>12</v>
      </c>
      <c r="AK282" s="38" t="n">
        <v>14</v>
      </c>
      <c r="AL282" s="37" t="n">
        <f aca="false">AM282</f>
        <v>16</v>
      </c>
      <c r="AM282" s="38" t="n">
        <v>16</v>
      </c>
      <c r="AN282" s="38" t="n">
        <v>-5</v>
      </c>
      <c r="AO282" s="37" t="n">
        <f aca="false">AP282</f>
        <v>2</v>
      </c>
      <c r="AP282" s="38" t="n">
        <v>2</v>
      </c>
      <c r="AQ282" s="38" t="n">
        <v>26</v>
      </c>
      <c r="AR282" s="37" t="n">
        <f aca="false">AS282</f>
        <v>7</v>
      </c>
      <c r="AS282" s="38" t="n">
        <v>7</v>
      </c>
      <c r="AT282" s="38" t="n">
        <v>16</v>
      </c>
      <c r="AU282" s="37" t="n">
        <f aca="false">AV282</f>
        <v>6</v>
      </c>
      <c r="AV282" s="38" t="n">
        <v>6</v>
      </c>
      <c r="AW282" s="38" t="n">
        <v>2</v>
      </c>
      <c r="AX282" s="39" t="n">
        <f aca="false">AY282</f>
        <v>6</v>
      </c>
      <c r="AY282" s="39" t="n">
        <f aca="false">AV282-AY138+AY336</f>
        <v>6</v>
      </c>
      <c r="AZ282" s="39" t="n">
        <f aca="false">AY282-AZ138+AZ336</f>
        <v>6</v>
      </c>
      <c r="BA282" s="39" t="n">
        <f aca="false">AZ282-BA138+BA336</f>
        <v>6</v>
      </c>
      <c r="BB282" s="39" t="n">
        <f aca="false">BA282-BB138+BB336</f>
        <v>6</v>
      </c>
      <c r="BC282" s="39" t="n">
        <f aca="false">BB282-BC138+BC336</f>
        <v>6</v>
      </c>
      <c r="BD282" s="23"/>
      <c r="BF282" s="7"/>
      <c r="BG282" s="7"/>
      <c r="BH282" s="7"/>
      <c r="BI282" s="7"/>
    </row>
    <row r="283" customFormat="false" ht="15" hidden="false" customHeight="true" outlineLevel="0" collapsed="false">
      <c r="B283" s="19" t="s">
        <v>381</v>
      </c>
      <c r="C283" s="20"/>
      <c r="D283" s="20"/>
      <c r="E283" s="20"/>
      <c r="F283" s="20" t="n">
        <f aca="false">IF(ISNUMBER(F282),F281+F282,"")</f>
        <v>1803.9</v>
      </c>
      <c r="G283" s="20" t="n">
        <f aca="false">IF(ISNUMBER(G282),G281+G282,"")</f>
        <v>2163.2</v>
      </c>
      <c r="H283" s="20" t="n">
        <f aca="false">IF(ISNUMBER(H282),H281+H282,"")</f>
        <v>2325.5</v>
      </c>
      <c r="I283" s="20" t="n">
        <f aca="false">IF(ISNUMBER(I282),I281+I282,"")</f>
        <v>2358.3</v>
      </c>
      <c r="J283" s="20" t="n">
        <f aca="false">IF(ISNUMBER(J282),J281+J282,"")</f>
        <v>2461.4</v>
      </c>
      <c r="K283" s="20" t="n">
        <f aca="false">IF(ISNUMBER(K282),K281+K282,"")</f>
        <v>2841.2</v>
      </c>
      <c r="L283" s="20" t="n">
        <f aca="false">IF(ISNUMBER(L282),L281+L282,"")</f>
        <v>2841.2</v>
      </c>
      <c r="M283" s="20" t="n">
        <f aca="false">IF(ISNUMBER(M282),M281+M282,"")</f>
        <v>2985.5</v>
      </c>
      <c r="N283" s="20" t="n">
        <f aca="false">IF(ISNUMBER(N282),N281+N282,"")</f>
        <v>3458.5</v>
      </c>
      <c r="O283" s="20" t="n">
        <f aca="false">IF(ISNUMBER(O282),O281+O282,"")</f>
        <v>3458.5</v>
      </c>
      <c r="P283" s="20" t="n">
        <f aca="false">IF(ISNUMBER(P282),P281+P282,"")</f>
        <v>3235.2</v>
      </c>
      <c r="Q283" s="20" t="n">
        <f aca="false">IF(ISNUMBER(Q282),Q281+Q282,"")</f>
        <v>3748.7</v>
      </c>
      <c r="R283" s="20" t="n">
        <f aca="false">IF(ISNUMBER(R282),R281+R282,"")</f>
        <v>3748.7</v>
      </c>
      <c r="S283" s="20" t="n">
        <f aca="false">IF(ISNUMBER(S282),S281+S282,"")</f>
        <v>3867.3</v>
      </c>
      <c r="T283" s="20" t="n">
        <f aca="false">IF(ISNUMBER(T282),T281+T282,"")</f>
        <v>4384.8</v>
      </c>
      <c r="U283" s="20" t="n">
        <f aca="false">IF(ISNUMBER(U282),U281+U282,"")</f>
        <v>4384.8</v>
      </c>
      <c r="V283" s="20" t="n">
        <f aca="false">IF(ISNUMBER(V282),V281+V282,"")</f>
        <v>4570.2</v>
      </c>
      <c r="W283" s="20" t="n">
        <f aca="false">IF(ISNUMBER(W282),W281+W282,"")</f>
        <v>5045.6</v>
      </c>
      <c r="X283" s="20" t="n">
        <f aca="false">IF(ISNUMBER(X282),X281+X282,"")</f>
        <v>5045.6</v>
      </c>
      <c r="Y283" s="20" t="n">
        <f aca="false">IF(ISNUMBER(Y282),Y281+Y282,"")</f>
        <v>4792.5</v>
      </c>
      <c r="Z283" s="20" t="n">
        <f aca="false">IF(ISNUMBER(Z282),Z281+Z282,"")</f>
        <v>5507.8</v>
      </c>
      <c r="AA283" s="20" t="n">
        <f aca="false">IF(ISNUMBER(AA282),AA281+AA282,"")</f>
        <v>5507.8</v>
      </c>
      <c r="AB283" s="20" t="n">
        <f aca="false">IF(ISNUMBER(AB282),AB281+AB282,"")</f>
        <v>5767.6</v>
      </c>
      <c r="AC283" s="20" t="n">
        <f aca="false">IF(ISNUMBER(AC282),AC281+AC282,"")</f>
        <v>6575.9</v>
      </c>
      <c r="AD283" s="20" t="n">
        <f aca="false">IF(ISNUMBER(AD282),AD281+AD282,"")</f>
        <v>6575.9</v>
      </c>
      <c r="AE283" s="20" t="n">
        <f aca="false">IF(ISNUMBER(AE282),AE281+AE282,"")</f>
        <v>6340.5</v>
      </c>
      <c r="AF283" s="20" t="n">
        <f aca="false">IF(ISNUMBER(AF282),AF281+AF282,"")</f>
        <v>7391</v>
      </c>
      <c r="AG283" s="20" t="n">
        <f aca="false">IF(ISNUMBER(AG282),AG281+AG282,"")</f>
        <v>7391</v>
      </c>
      <c r="AH283" s="20" t="n">
        <f aca="false">IF(ISNUMBER(AH282),AH281+AH282,"")</f>
        <v>8033.9</v>
      </c>
      <c r="AI283" s="20" t="n">
        <f aca="false">IF(ISNUMBER(AI282),AI281+AI282,"")</f>
        <v>9412</v>
      </c>
      <c r="AJ283" s="20" t="n">
        <f aca="false">IF(ISNUMBER(AJ282),AJ281+AJ282,"")</f>
        <v>9412</v>
      </c>
      <c r="AK283" s="20" t="n">
        <f aca="false">IF(ISNUMBER(AK282),AK281+AK282,"")</f>
        <v>10273</v>
      </c>
      <c r="AL283" s="20" t="n">
        <f aca="false">IF(ISNUMBER(AL282),AL281+AL282,"")</f>
        <v>12456</v>
      </c>
      <c r="AM283" s="20" t="n">
        <f aca="false">IF(ISNUMBER(AM282),AM281+AM282,"")</f>
        <v>12456</v>
      </c>
      <c r="AN283" s="20" t="n">
        <f aca="false">IF(ISNUMBER(AN282),AN281+AN282,"")</f>
        <v>13244</v>
      </c>
      <c r="AO283" s="20" t="n">
        <f aca="false">IF(ISNUMBER(AO282),AO281+AO282,"")</f>
        <v>15203</v>
      </c>
      <c r="AP283" s="20" t="n">
        <f aca="false">IF(ISNUMBER(AP282),AP281+AP282,"")</f>
        <v>15203</v>
      </c>
      <c r="AQ283" s="20" t="n">
        <f aca="false">IF(ISNUMBER(AQ282),AQ281+AQ282,"")</f>
        <v>15078</v>
      </c>
      <c r="AR283" s="20" t="n">
        <f aca="false">IF(ISNUMBER(AR282),AR281+AR282,"")</f>
        <v>17334</v>
      </c>
      <c r="AS283" s="20" t="n">
        <f aca="false">IF(ISNUMBER(AS282),AS281+AS282,"")</f>
        <v>17334</v>
      </c>
      <c r="AT283" s="20" t="n">
        <f aca="false">IF(ISNUMBER(AT282),AT281+AT282,"")</f>
        <v>16618</v>
      </c>
      <c r="AU283" s="20" t="n">
        <f aca="false">IF(ISNUMBER(AU282),AU281+AU282,"")</f>
        <v>18846</v>
      </c>
      <c r="AV283" s="20" t="n">
        <f aca="false">IF(ISNUMBER(AV282),AV281+AV282,"")</f>
        <v>18846</v>
      </c>
      <c r="AW283" s="20" t="n">
        <f aca="false">IF(ISNUMBER(AW282),AW281+AW282,"")</f>
        <v>19025</v>
      </c>
      <c r="AX283" s="22" t="n">
        <f aca="false">AY283</f>
        <v>21454.5209946</v>
      </c>
      <c r="AY283" s="22" t="n">
        <f aca="false">AY281+AY282</f>
        <v>21454.5209946</v>
      </c>
      <c r="AZ283" s="22" t="n">
        <f aca="false">AZ281+AZ282</f>
        <v>24661.3610691575</v>
      </c>
      <c r="BA283" s="22" t="n">
        <f aca="false">BA281+BA282</f>
        <v>28198.4157016815</v>
      </c>
      <c r="BB283" s="22" t="n">
        <f aca="false">BB281+BB282</f>
        <v>32026.6943966252</v>
      </c>
      <c r="BC283" s="22" t="n">
        <f aca="false">BC281+BC282</f>
        <v>36121.9418538897</v>
      </c>
      <c r="BD283" s="23"/>
      <c r="BF283" s="7"/>
      <c r="BG283" s="7"/>
      <c r="BH283" s="7"/>
      <c r="BI283" s="7"/>
    </row>
    <row r="284" customFormat="false" ht="15" hidden="false" customHeight="true" outlineLevel="0" collapsed="false">
      <c r="B284" s="13" t="s">
        <v>382</v>
      </c>
      <c r="C284" s="37"/>
      <c r="D284" s="37"/>
      <c r="E284" s="37"/>
      <c r="F284" s="38" t="n">
        <v>64.8</v>
      </c>
      <c r="G284" s="38" t="n">
        <v>43.9</v>
      </c>
      <c r="H284" s="38" t="n">
        <v>38.9</v>
      </c>
      <c r="I284" s="38" t="n">
        <v>38.4</v>
      </c>
      <c r="J284" s="38" t="n">
        <v>221.1</v>
      </c>
      <c r="K284" s="37" t="n">
        <f aca="false">L284</f>
        <v>56.6</v>
      </c>
      <c r="L284" s="38" t="n">
        <v>56.6</v>
      </c>
      <c r="M284" s="38" t="n">
        <v>40.7</v>
      </c>
      <c r="N284" s="37" t="n">
        <f aca="false">O284</f>
        <v>41.3</v>
      </c>
      <c r="O284" s="38" t="n">
        <v>41.3</v>
      </c>
      <c r="P284" s="38" t="n">
        <v>42.8</v>
      </c>
      <c r="Q284" s="37" t="n">
        <f aca="false">R284</f>
        <v>41.6</v>
      </c>
      <c r="R284" s="38" t="n">
        <v>41.6</v>
      </c>
      <c r="S284" s="38" t="n">
        <v>37.4</v>
      </c>
      <c r="T284" s="37" t="n">
        <f aca="false">U284</f>
        <v>41</v>
      </c>
      <c r="U284" s="38" t="n">
        <v>41</v>
      </c>
      <c r="V284" s="38" t="n">
        <v>39.9</v>
      </c>
      <c r="W284" s="37" t="n">
        <f aca="false">X284</f>
        <v>53.6</v>
      </c>
      <c r="X284" s="38" t="n">
        <v>53.6</v>
      </c>
      <c r="Y284" s="38" t="n">
        <v>39.3</v>
      </c>
      <c r="Z284" s="37" t="n">
        <f aca="false">AA284</f>
        <v>50</v>
      </c>
      <c r="AA284" s="38" t="n">
        <v>50</v>
      </c>
      <c r="AB284" s="38" t="n">
        <v>54.4</v>
      </c>
      <c r="AC284" s="37" t="n">
        <f aca="false">AD284</f>
        <v>50.1</v>
      </c>
      <c r="AD284" s="38" t="n">
        <v>50.1</v>
      </c>
      <c r="AE284" s="38" t="n">
        <v>45.8</v>
      </c>
      <c r="AF284" s="37" t="n">
        <f aca="false">AG284</f>
        <v>42.9</v>
      </c>
      <c r="AG284" s="38" t="n">
        <v>42.9</v>
      </c>
      <c r="AH284" s="38" t="n">
        <v>43.4</v>
      </c>
      <c r="AI284" s="37" t="n">
        <f aca="false">AJ284</f>
        <v>25</v>
      </c>
      <c r="AJ284" s="38" t="n">
        <v>25</v>
      </c>
      <c r="AK284" s="38" t="n">
        <v>38</v>
      </c>
      <c r="AL284" s="37" t="n">
        <f aca="false">AM284</f>
        <v>37</v>
      </c>
      <c r="AM284" s="38" t="n">
        <v>37</v>
      </c>
      <c r="AN284" s="38" t="n">
        <v>58</v>
      </c>
      <c r="AO284" s="37" t="n">
        <f aca="false">AP284</f>
        <v>51</v>
      </c>
      <c r="AP284" s="38" t="n">
        <v>51</v>
      </c>
      <c r="AQ284" s="38" t="n">
        <v>50</v>
      </c>
      <c r="AR284" s="37" t="n">
        <f aca="false">AS284</f>
        <v>61</v>
      </c>
      <c r="AS284" s="38" t="n">
        <v>61</v>
      </c>
      <c r="AT284" s="38" t="n">
        <v>32</v>
      </c>
      <c r="AU284" s="37" t="n">
        <f aca="false">AV284</f>
        <v>34</v>
      </c>
      <c r="AV284" s="38" t="n">
        <v>34</v>
      </c>
      <c r="AW284" s="38" t="n">
        <v>5</v>
      </c>
      <c r="AX284" s="39" t="n">
        <f aca="false">AY284</f>
        <v>34</v>
      </c>
      <c r="AY284" s="39" t="n">
        <f aca="false">AV284</f>
        <v>34</v>
      </c>
      <c r="AZ284" s="39" t="n">
        <f aca="false">AY284</f>
        <v>34</v>
      </c>
      <c r="BA284" s="39" t="n">
        <f aca="false">AZ284</f>
        <v>34</v>
      </c>
      <c r="BB284" s="39" t="n">
        <f aca="false">BA284</f>
        <v>34</v>
      </c>
      <c r="BC284" s="39" t="n">
        <f aca="false">BB284</f>
        <v>34</v>
      </c>
      <c r="BD284" s="23"/>
      <c r="BF284" s="7"/>
      <c r="BG284" s="7"/>
      <c r="BH284" s="7"/>
      <c r="BI284" s="7"/>
    </row>
    <row r="285" customFormat="false" ht="15" hidden="false" customHeight="true" outlineLevel="0" collapsed="false">
      <c r="B285" s="13" t="s">
        <v>383</v>
      </c>
      <c r="C285" s="37"/>
      <c r="D285" s="37"/>
      <c r="E285" s="37"/>
      <c r="F285" s="38" t="n">
        <v>0</v>
      </c>
      <c r="G285" s="38" t="n">
        <v>0</v>
      </c>
      <c r="H285" s="38" t="n">
        <v>0</v>
      </c>
      <c r="I285" s="38" t="n">
        <v>0</v>
      </c>
      <c r="J285" s="38" t="n">
        <v>0</v>
      </c>
      <c r="K285" s="37" t="n">
        <f aca="false">L285</f>
        <v>0</v>
      </c>
      <c r="L285" s="38" t="n">
        <v>0</v>
      </c>
      <c r="M285" s="38" t="n">
        <v>0</v>
      </c>
      <c r="N285" s="37" t="n">
        <f aca="false">O285</f>
        <v>0</v>
      </c>
      <c r="O285" s="38" t="n">
        <v>0</v>
      </c>
      <c r="P285" s="38" t="n">
        <v>0</v>
      </c>
      <c r="Q285" s="37" t="n">
        <f aca="false">R285</f>
        <v>0</v>
      </c>
      <c r="R285" s="38" t="n">
        <v>0</v>
      </c>
      <c r="S285" s="38" t="n">
        <v>0</v>
      </c>
      <c r="T285" s="37" t="n">
        <f aca="false">U285</f>
        <v>0</v>
      </c>
      <c r="U285" s="38" t="n">
        <v>0</v>
      </c>
      <c r="V285" s="38" t="n">
        <v>0</v>
      </c>
      <c r="W285" s="37" t="n">
        <f aca="false">X285</f>
        <v>0</v>
      </c>
      <c r="X285" s="38" t="n">
        <v>0</v>
      </c>
      <c r="Y285" s="38" t="n">
        <v>0</v>
      </c>
      <c r="Z285" s="37" t="n">
        <f aca="false">AA285</f>
        <v>0</v>
      </c>
      <c r="AA285" s="38" t="n">
        <v>0</v>
      </c>
      <c r="AB285" s="38" t="n">
        <v>902.4</v>
      </c>
      <c r="AC285" s="37" t="n">
        <f aca="false">AD285</f>
        <v>896</v>
      </c>
      <c r="AD285" s="38" t="n">
        <v>896</v>
      </c>
      <c r="AE285" s="38" t="n">
        <v>1300.2</v>
      </c>
      <c r="AF285" s="37" t="n">
        <f aca="false">AG285</f>
        <v>1447.5</v>
      </c>
      <c r="AG285" s="38" t="n">
        <v>1447.5</v>
      </c>
      <c r="AH285" s="38" t="n">
        <v>1405.4</v>
      </c>
      <c r="AI285" s="37" t="n">
        <f aca="false">AJ285</f>
        <v>1529</v>
      </c>
      <c r="AJ285" s="38" t="n">
        <v>1529</v>
      </c>
      <c r="AK285" s="38" t="n">
        <v>1705</v>
      </c>
      <c r="AL285" s="37" t="n">
        <f aca="false">AM285</f>
        <v>1629</v>
      </c>
      <c r="AM285" s="38" t="n">
        <v>1629</v>
      </c>
      <c r="AN285" s="38" t="n">
        <v>1646</v>
      </c>
      <c r="AO285" s="37" t="n">
        <f aca="false">AP285</f>
        <v>1720</v>
      </c>
      <c r="AP285" s="38" t="n">
        <v>1720</v>
      </c>
      <c r="AQ285" s="38" t="n">
        <v>1826</v>
      </c>
      <c r="AR285" s="37" t="n">
        <f aca="false">AS285</f>
        <v>1781</v>
      </c>
      <c r="AS285" s="38" t="n">
        <v>1781</v>
      </c>
      <c r="AT285" s="38" t="n">
        <v>1695</v>
      </c>
      <c r="AU285" s="37" t="n">
        <f aca="false">AV285</f>
        <v>1987</v>
      </c>
      <c r="AV285" s="38" t="n">
        <v>1987</v>
      </c>
      <c r="AW285" s="38" t="n">
        <v>1934</v>
      </c>
      <c r="AX285" s="39" t="n">
        <f aca="false">AY285</f>
        <v>2170.85465</v>
      </c>
      <c r="AY285" s="39" t="n">
        <f aca="false">AY314-AY286</f>
        <v>2170.85465</v>
      </c>
      <c r="AZ285" s="39" t="n">
        <f aca="false">AZ314-AZ286</f>
        <v>2361.53476725</v>
      </c>
      <c r="BA285" s="39" t="n">
        <f aca="false">BA314-BA286</f>
        <v>2561.22529558625</v>
      </c>
      <c r="BB285" s="39" t="n">
        <f aca="false">BB314-BB286</f>
        <v>2769.62326462963</v>
      </c>
      <c r="BC285" s="39" t="n">
        <f aca="false">BC314-BC286</f>
        <v>2985.30914241167</v>
      </c>
      <c r="BD285" s="23"/>
      <c r="BF285" s="7"/>
      <c r="BG285" s="7"/>
      <c r="BH285" s="7"/>
      <c r="BI285" s="7"/>
    </row>
    <row r="286" customFormat="false" ht="15" hidden="false" customHeight="true" outlineLevel="0" collapsed="false">
      <c r="B286" s="13" t="s">
        <v>384</v>
      </c>
      <c r="C286" s="37"/>
      <c r="D286" s="37"/>
      <c r="E286" s="37"/>
      <c r="F286" s="38" t="n">
        <v>0</v>
      </c>
      <c r="G286" s="38" t="n">
        <v>0</v>
      </c>
      <c r="H286" s="38" t="n">
        <v>0</v>
      </c>
      <c r="I286" s="38" t="n">
        <v>0</v>
      </c>
      <c r="J286" s="38" t="n">
        <v>0</v>
      </c>
      <c r="K286" s="37" t="n">
        <f aca="false">L286</f>
        <v>0</v>
      </c>
      <c r="L286" s="38" t="n">
        <v>0</v>
      </c>
      <c r="M286" s="38" t="n">
        <v>0</v>
      </c>
      <c r="N286" s="37" t="n">
        <f aca="false">O286</f>
        <v>0</v>
      </c>
      <c r="O286" s="38" t="n">
        <v>0</v>
      </c>
      <c r="P286" s="38" t="n">
        <v>0</v>
      </c>
      <c r="Q286" s="37" t="n">
        <f aca="false">R286</f>
        <v>0</v>
      </c>
      <c r="R286" s="38" t="n">
        <v>0</v>
      </c>
      <c r="S286" s="38" t="n">
        <v>0</v>
      </c>
      <c r="T286" s="37" t="n">
        <f aca="false">U286</f>
        <v>0</v>
      </c>
      <c r="U286" s="38" t="n">
        <v>0</v>
      </c>
      <c r="V286" s="38" t="n">
        <v>0</v>
      </c>
      <c r="W286" s="37" t="n">
        <f aca="false">X286</f>
        <v>0</v>
      </c>
      <c r="X286" s="38" t="n">
        <v>0</v>
      </c>
      <c r="Y286" s="38" t="n">
        <v>0</v>
      </c>
      <c r="Z286" s="37" t="n">
        <f aca="false">AA286</f>
        <v>0</v>
      </c>
      <c r="AA286" s="38" t="n">
        <v>0</v>
      </c>
      <c r="AB286" s="38" t="n">
        <v>179.3</v>
      </c>
      <c r="AC286" s="37" t="n">
        <f aca="false">AD286</f>
        <v>195.6</v>
      </c>
      <c r="AD286" s="38" t="n">
        <v>195.6</v>
      </c>
      <c r="AE286" s="38" t="n">
        <v>206.1</v>
      </c>
      <c r="AF286" s="37" t="n">
        <f aca="false">AG286</f>
        <v>195.6</v>
      </c>
      <c r="AG286" s="38" t="n">
        <v>195.6</v>
      </c>
      <c r="AH286" s="38" t="n">
        <v>226.7</v>
      </c>
      <c r="AI286" s="37" t="n">
        <f aca="false">AJ286</f>
        <v>248</v>
      </c>
      <c r="AJ286" s="38" t="n">
        <v>248</v>
      </c>
      <c r="AK286" s="38" t="n">
        <v>272</v>
      </c>
      <c r="AL286" s="37" t="n">
        <f aca="false">AM286</f>
        <v>268</v>
      </c>
      <c r="AM286" s="38" t="n">
        <v>268</v>
      </c>
      <c r="AN286" s="38" t="n">
        <v>284</v>
      </c>
      <c r="AO286" s="37" t="n">
        <f aca="false">AP286</f>
        <v>289</v>
      </c>
      <c r="AP286" s="38" t="n">
        <v>289</v>
      </c>
      <c r="AQ286" s="38" t="n">
        <v>305</v>
      </c>
      <c r="AR286" s="37" t="n">
        <f aca="false">AS286</f>
        <v>332</v>
      </c>
      <c r="AS286" s="38" t="n">
        <v>332</v>
      </c>
      <c r="AT286" s="38" t="n">
        <v>334</v>
      </c>
      <c r="AU286" s="37" t="n">
        <f aca="false">AV286</f>
        <v>325</v>
      </c>
      <c r="AV286" s="38" t="n">
        <v>325</v>
      </c>
      <c r="AW286" s="38" t="n">
        <v>345</v>
      </c>
      <c r="AX286" s="39" t="n">
        <f aca="false">AY286</f>
        <v>325</v>
      </c>
      <c r="AY286" s="39" t="n">
        <f aca="false">AV286</f>
        <v>325</v>
      </c>
      <c r="AZ286" s="39" t="n">
        <f aca="false">AY286</f>
        <v>325</v>
      </c>
      <c r="BA286" s="39" t="n">
        <f aca="false">AZ286</f>
        <v>325</v>
      </c>
      <c r="BB286" s="39" t="n">
        <f aca="false">BA286</f>
        <v>325</v>
      </c>
      <c r="BC286" s="39" t="n">
        <f aca="false">BB286</f>
        <v>325</v>
      </c>
      <c r="BD286" s="23"/>
      <c r="BF286" s="7"/>
      <c r="BG286" s="7"/>
      <c r="BH286" s="7"/>
      <c r="BI286" s="7"/>
    </row>
    <row r="287" customFormat="false" ht="15" hidden="false" customHeight="true" outlineLevel="0" collapsed="false">
      <c r="B287" s="13" t="s">
        <v>385</v>
      </c>
      <c r="C287" s="37"/>
      <c r="D287" s="37"/>
      <c r="E287" s="37"/>
      <c r="F287" s="38" t="n">
        <v>80.1</v>
      </c>
      <c r="G287" s="38" t="n">
        <v>107.9</v>
      </c>
      <c r="H287" s="38" t="n">
        <v>110.3</v>
      </c>
      <c r="I287" s="38" t="n">
        <v>119.8</v>
      </c>
      <c r="J287" s="38" t="n">
        <v>118.1</v>
      </c>
      <c r="K287" s="37" t="n">
        <f aca="false">L287</f>
        <v>129.8</v>
      </c>
      <c r="L287" s="38" t="n">
        <v>129.8</v>
      </c>
      <c r="M287" s="38" t="n">
        <v>135.8</v>
      </c>
      <c r="N287" s="37" t="n">
        <f aca="false">O287</f>
        <v>168.5</v>
      </c>
      <c r="O287" s="38" t="n">
        <v>168.5</v>
      </c>
      <c r="P287" s="38" t="n">
        <v>179.7</v>
      </c>
      <c r="Q287" s="37" t="n">
        <f aca="false">R287</f>
        <v>221.2</v>
      </c>
      <c r="R287" s="38" t="n">
        <v>221.2</v>
      </c>
      <c r="S287" s="38" t="n">
        <v>235.8</v>
      </c>
      <c r="T287" s="37" t="n">
        <f aca="false">U287</f>
        <v>287.2</v>
      </c>
      <c r="U287" s="38" t="n">
        <v>287.2</v>
      </c>
      <c r="V287" s="38" t="n">
        <v>333</v>
      </c>
      <c r="W287" s="37" t="n">
        <f aca="false">X287</f>
        <v>353</v>
      </c>
      <c r="X287" s="38" t="n">
        <v>353</v>
      </c>
      <c r="Y287" s="38" t="n">
        <v>407.7</v>
      </c>
      <c r="Z287" s="37" t="n">
        <f aca="false">AA287</f>
        <v>345.8</v>
      </c>
      <c r="AA287" s="38" t="n">
        <v>345.8</v>
      </c>
      <c r="AB287" s="38" t="n">
        <v>329.4</v>
      </c>
      <c r="AC287" s="37" t="n">
        <f aca="false">AD287</f>
        <v>418.6</v>
      </c>
      <c r="AD287" s="38" t="n">
        <v>418.6</v>
      </c>
      <c r="AE287" s="38" t="n">
        <v>414.1</v>
      </c>
      <c r="AF287" s="37" t="n">
        <f aca="false">AG287</f>
        <v>425.1</v>
      </c>
      <c r="AG287" s="38" t="n">
        <v>425.1</v>
      </c>
      <c r="AH287" s="38" t="n">
        <v>441.5</v>
      </c>
      <c r="AI287" s="37" t="n">
        <f aca="false">AJ287</f>
        <v>401</v>
      </c>
      <c r="AJ287" s="38" t="n">
        <v>401</v>
      </c>
      <c r="AK287" s="38" t="n">
        <v>422</v>
      </c>
      <c r="AL287" s="37" t="n">
        <f aca="false">AM287</f>
        <v>359</v>
      </c>
      <c r="AM287" s="38" t="n">
        <v>359</v>
      </c>
      <c r="AN287" s="38" t="n">
        <v>359</v>
      </c>
      <c r="AO287" s="37" t="n">
        <f aca="false">AP287</f>
        <v>332</v>
      </c>
      <c r="AP287" s="38" t="n">
        <v>332</v>
      </c>
      <c r="AQ287" s="38" t="n">
        <v>334</v>
      </c>
      <c r="AR287" s="37" t="n">
        <f aca="false">AS287</f>
        <v>318</v>
      </c>
      <c r="AS287" s="38" t="n">
        <v>318</v>
      </c>
      <c r="AT287" s="38" t="n">
        <v>319</v>
      </c>
      <c r="AU287" s="37" t="n">
        <f aca="false">AV287</f>
        <v>325</v>
      </c>
      <c r="AV287" s="38" t="n">
        <v>325</v>
      </c>
      <c r="AW287" s="38" t="n">
        <v>330</v>
      </c>
      <c r="AX287" s="39" t="n">
        <f aca="false">AY287</f>
        <v>325</v>
      </c>
      <c r="AY287" s="39" t="n">
        <f aca="false">AV287</f>
        <v>325</v>
      </c>
      <c r="AZ287" s="39" t="n">
        <f aca="false">AY287</f>
        <v>325</v>
      </c>
      <c r="BA287" s="39" t="n">
        <f aca="false">AZ287</f>
        <v>325</v>
      </c>
      <c r="BB287" s="39" t="n">
        <f aca="false">BA287</f>
        <v>325</v>
      </c>
      <c r="BC287" s="39" t="n">
        <f aca="false">BB287</f>
        <v>325</v>
      </c>
      <c r="BD287" s="23"/>
      <c r="BF287" s="7"/>
      <c r="BG287" s="7"/>
      <c r="BH287" s="7"/>
      <c r="BI287" s="7"/>
    </row>
    <row r="288" customFormat="false" ht="15" hidden="false" customHeight="true" outlineLevel="0" collapsed="false">
      <c r="B288" s="13" t="s">
        <v>386</v>
      </c>
      <c r="C288" s="37"/>
      <c r="D288" s="37"/>
      <c r="E288" s="37"/>
      <c r="F288" s="38" t="n">
        <v>10</v>
      </c>
      <c r="G288" s="38" t="n">
        <v>12.1</v>
      </c>
      <c r="H288" s="38" t="n">
        <v>17.5</v>
      </c>
      <c r="I288" s="38" t="n">
        <v>23</v>
      </c>
      <c r="J288" s="38" t="n">
        <v>24.1</v>
      </c>
      <c r="K288" s="37" t="n">
        <f aca="false">L288</f>
        <v>25.7</v>
      </c>
      <c r="L288" s="38" t="n">
        <v>25.7</v>
      </c>
      <c r="M288" s="38" t="n">
        <v>28.2</v>
      </c>
      <c r="N288" s="37" t="n">
        <f aca="false">O288</f>
        <v>31.2</v>
      </c>
      <c r="O288" s="38" t="n">
        <v>31.2</v>
      </c>
      <c r="P288" s="38" t="n">
        <v>30.7</v>
      </c>
      <c r="Q288" s="37" t="n">
        <f aca="false">R288</f>
        <v>50.7</v>
      </c>
      <c r="R288" s="38" t="n">
        <v>50.7</v>
      </c>
      <c r="S288" s="38" t="n">
        <v>32.1</v>
      </c>
      <c r="T288" s="37" t="n">
        <f aca="false">U288</f>
        <v>49</v>
      </c>
      <c r="U288" s="38" t="n">
        <v>49</v>
      </c>
      <c r="V288" s="38" t="n">
        <v>48.7</v>
      </c>
      <c r="W288" s="37" t="n">
        <f aca="false">X288</f>
        <v>46.8</v>
      </c>
      <c r="X288" s="38" t="n">
        <v>46.8</v>
      </c>
      <c r="Y288" s="38" t="n">
        <v>21.4</v>
      </c>
      <c r="Z288" s="37" t="n">
        <f aca="false">AA288</f>
        <v>35.9</v>
      </c>
      <c r="AA288" s="38" t="n">
        <v>35.9</v>
      </c>
      <c r="AB288" s="38" t="n">
        <v>27.4</v>
      </c>
      <c r="AC288" s="37" t="n">
        <f aca="false">AD288</f>
        <v>24.6</v>
      </c>
      <c r="AD288" s="38" t="n">
        <v>24.6</v>
      </c>
      <c r="AE288" s="38" t="n">
        <v>22.5</v>
      </c>
      <c r="AF288" s="37" t="n">
        <f aca="false">AG288</f>
        <v>21.9</v>
      </c>
      <c r="AG288" s="38" t="n">
        <v>21.9</v>
      </c>
      <c r="AH288" s="38" t="n">
        <v>16.5</v>
      </c>
      <c r="AI288" s="37" t="n">
        <f aca="false">AJ288</f>
        <v>15</v>
      </c>
      <c r="AJ288" s="38" t="n">
        <v>15</v>
      </c>
      <c r="AK288" s="38" t="n">
        <v>46</v>
      </c>
      <c r="AL288" s="37" t="n">
        <f aca="false">AM288</f>
        <v>20</v>
      </c>
      <c r="AM288" s="38" t="n">
        <v>20</v>
      </c>
      <c r="AN288" s="38" t="n">
        <v>4</v>
      </c>
      <c r="AO288" s="37" t="n">
        <f aca="false">AP288</f>
        <v>2</v>
      </c>
      <c r="AP288" s="38" t="n">
        <v>2</v>
      </c>
      <c r="AQ288" s="38" t="n">
        <v>3</v>
      </c>
      <c r="AR288" s="37" t="n">
        <f aca="false">AS288</f>
        <v>5</v>
      </c>
      <c r="AS288" s="38" t="n">
        <v>5</v>
      </c>
      <c r="AT288" s="38" t="n">
        <v>5</v>
      </c>
      <c r="AU288" s="37" t="n">
        <f aca="false">AV288</f>
        <v>14</v>
      </c>
      <c r="AV288" s="38" t="n">
        <v>14</v>
      </c>
      <c r="AW288" s="38" t="n">
        <v>13</v>
      </c>
      <c r="AX288" s="39" t="n">
        <f aca="false">AY288</f>
        <v>14</v>
      </c>
      <c r="AY288" s="39" t="n">
        <f aca="false">AV288</f>
        <v>14</v>
      </c>
      <c r="AZ288" s="39" t="n">
        <f aca="false">AY288</f>
        <v>14</v>
      </c>
      <c r="BA288" s="39" t="n">
        <f aca="false">AZ288</f>
        <v>14</v>
      </c>
      <c r="BB288" s="39" t="n">
        <f aca="false">BA288</f>
        <v>14</v>
      </c>
      <c r="BC288" s="39" t="n">
        <f aca="false">BB288</f>
        <v>14</v>
      </c>
      <c r="BD288" s="23"/>
      <c r="BF288" s="7"/>
      <c r="BG288" s="7"/>
      <c r="BH288" s="7"/>
      <c r="BI288" s="7"/>
    </row>
    <row r="289" customFormat="false" ht="15" hidden="false" customHeight="true" outlineLevel="0" collapsed="false">
      <c r="B289" s="13" t="s">
        <v>387</v>
      </c>
      <c r="C289" s="37"/>
      <c r="D289" s="37"/>
      <c r="E289" s="37"/>
      <c r="F289" s="38" t="n">
        <v>198.3</v>
      </c>
      <c r="G289" s="38" t="n">
        <v>234.6</v>
      </c>
      <c r="H289" s="38" t="n">
        <v>299.7</v>
      </c>
      <c r="I289" s="38" t="n">
        <v>345.5</v>
      </c>
      <c r="J289" s="38" t="n">
        <v>271.3</v>
      </c>
      <c r="K289" s="37" t="n">
        <f aca="false">L289</f>
        <v>362.1</v>
      </c>
      <c r="L289" s="38" t="n">
        <v>362.1</v>
      </c>
      <c r="M289" s="38" t="n">
        <v>303.5</v>
      </c>
      <c r="N289" s="37" t="n">
        <f aca="false">O289</f>
        <v>398.6</v>
      </c>
      <c r="O289" s="38" t="n">
        <v>398.6</v>
      </c>
      <c r="P289" s="38" t="n">
        <v>351.1</v>
      </c>
      <c r="Q289" s="37" t="n">
        <f aca="false">R289</f>
        <v>440.3</v>
      </c>
      <c r="R289" s="38" t="n">
        <v>440.3</v>
      </c>
      <c r="S289" s="38" t="n">
        <v>374.1</v>
      </c>
      <c r="T289" s="37" t="n">
        <f aca="false">U289</f>
        <v>463.7</v>
      </c>
      <c r="U289" s="38" t="n">
        <v>463.7</v>
      </c>
      <c r="V289" s="38" t="n">
        <v>381.1</v>
      </c>
      <c r="W289" s="37" t="n">
        <f aca="false">X289</f>
        <v>481</v>
      </c>
      <c r="X289" s="38" t="n">
        <v>481</v>
      </c>
      <c r="Y289" s="38" t="n">
        <v>425.8</v>
      </c>
      <c r="Z289" s="37" t="n">
        <f aca="false">AA289</f>
        <v>468</v>
      </c>
      <c r="AA289" s="38" t="n">
        <v>468</v>
      </c>
      <c r="AB289" s="38" t="n">
        <v>409.4</v>
      </c>
      <c r="AC289" s="37" t="n">
        <f aca="false">AD289</f>
        <v>480.4</v>
      </c>
      <c r="AD289" s="38" t="n">
        <v>480.4</v>
      </c>
      <c r="AE289" s="38" t="n">
        <v>333.1</v>
      </c>
      <c r="AF289" s="37" t="n">
        <f aca="false">AG289</f>
        <v>448.2</v>
      </c>
      <c r="AG289" s="38" t="n">
        <v>448.2</v>
      </c>
      <c r="AH289" s="38" t="n">
        <v>383.2</v>
      </c>
      <c r="AI289" s="37" t="n">
        <f aca="false">AJ289</f>
        <v>535</v>
      </c>
      <c r="AJ289" s="38" t="n">
        <v>535</v>
      </c>
      <c r="AK289" s="38" t="n">
        <v>536</v>
      </c>
      <c r="AL289" s="37" t="n">
        <f aca="false">AM289</f>
        <v>777</v>
      </c>
      <c r="AM289" s="38" t="n">
        <v>777</v>
      </c>
      <c r="AN289" s="38" t="n">
        <v>699</v>
      </c>
      <c r="AO289" s="37" t="n">
        <f aca="false">AP289</f>
        <v>880</v>
      </c>
      <c r="AP289" s="38" t="n">
        <v>880</v>
      </c>
      <c r="AQ289" s="38" t="n">
        <v>798</v>
      </c>
      <c r="AR289" s="37" t="n">
        <f aca="false">AS289</f>
        <v>832</v>
      </c>
      <c r="AS289" s="38" t="n">
        <v>832</v>
      </c>
      <c r="AT289" s="38" t="n">
        <v>659</v>
      </c>
      <c r="AU289" s="37" t="n">
        <f aca="false">AV289</f>
        <v>792</v>
      </c>
      <c r="AV289" s="38" t="n">
        <v>792</v>
      </c>
      <c r="AW289" s="38" t="n">
        <v>717</v>
      </c>
      <c r="AX289" s="39" t="n">
        <f aca="false">AY289</f>
        <v>802.097419342466</v>
      </c>
      <c r="AY289" s="39" t="n">
        <f aca="false">-AY120*AY320/365</f>
        <v>802.097419342466</v>
      </c>
      <c r="AZ289" s="39" t="n">
        <f aca="false">-AZ120*AZ320/365</f>
        <v>862.290034954521</v>
      </c>
      <c r="BA289" s="39" t="n">
        <f aca="false">-BA120*BA320/365</f>
        <v>923.637173593918</v>
      </c>
      <c r="BB289" s="39" t="n">
        <f aca="false">-BB120*BB320/365</f>
        <v>986.554210617428</v>
      </c>
      <c r="BC289" s="39" t="n">
        <f aca="false">-BC120*BC320/365</f>
        <v>1053.07594770032</v>
      </c>
      <c r="BD289" s="23"/>
      <c r="BF289" s="7"/>
      <c r="BG289" s="7"/>
      <c r="BH289" s="7"/>
      <c r="BI289" s="7"/>
    </row>
    <row r="290" customFormat="false" ht="15" hidden="false" customHeight="true" outlineLevel="0" collapsed="false">
      <c r="B290" s="13" t="s">
        <v>388</v>
      </c>
      <c r="C290" s="37"/>
      <c r="D290" s="37"/>
      <c r="E290" s="37"/>
      <c r="F290" s="38" t="n">
        <v>39.4</v>
      </c>
      <c r="G290" s="38" t="n">
        <v>76.3</v>
      </c>
      <c r="H290" s="38" t="n">
        <v>89.9</v>
      </c>
      <c r="I290" s="38" t="n">
        <v>124.1</v>
      </c>
      <c r="J290" s="38" t="n">
        <v>100.2</v>
      </c>
      <c r="K290" s="37" t="n">
        <f aca="false">L290</f>
        <v>94.8</v>
      </c>
      <c r="L290" s="38" t="n">
        <v>94.8</v>
      </c>
      <c r="M290" s="38" t="n">
        <v>102.6</v>
      </c>
      <c r="N290" s="37" t="n">
        <f aca="false">O290</f>
        <v>121.4</v>
      </c>
      <c r="O290" s="38" t="n">
        <v>121.4</v>
      </c>
      <c r="P290" s="38" t="n">
        <v>116.6</v>
      </c>
      <c r="Q290" s="37" t="n">
        <f aca="false">R290</f>
        <v>115</v>
      </c>
      <c r="R290" s="38" t="n">
        <v>115</v>
      </c>
      <c r="S290" s="38" t="n">
        <v>133</v>
      </c>
      <c r="T290" s="37" t="n">
        <f aca="false">U290</f>
        <v>128.3</v>
      </c>
      <c r="U290" s="38" t="n">
        <v>128.3</v>
      </c>
      <c r="V290" s="38" t="n">
        <v>148.1</v>
      </c>
      <c r="W290" s="37" t="n">
        <f aca="false">X290</f>
        <v>141.1</v>
      </c>
      <c r="X290" s="38" t="n">
        <v>141.1</v>
      </c>
      <c r="Y290" s="38" t="n">
        <v>171.1</v>
      </c>
      <c r="Z290" s="37" t="n">
        <f aca="false">AA290</f>
        <v>314.6</v>
      </c>
      <c r="AA290" s="38" t="n">
        <v>314.6</v>
      </c>
      <c r="AB290" s="38" t="n">
        <v>408</v>
      </c>
      <c r="AC290" s="37" t="n">
        <f aca="false">AD290</f>
        <v>360.1</v>
      </c>
      <c r="AD290" s="38" t="n">
        <v>360.1</v>
      </c>
      <c r="AE290" s="38" t="n">
        <v>264.9</v>
      </c>
      <c r="AF290" s="37" t="n">
        <f aca="false">AG290</f>
        <v>217.8</v>
      </c>
      <c r="AG290" s="38" t="n">
        <v>217.8</v>
      </c>
      <c r="AH290" s="38" t="n">
        <v>310.9</v>
      </c>
      <c r="AI290" s="37" t="n">
        <f aca="false">AJ290</f>
        <v>347</v>
      </c>
      <c r="AJ290" s="38" t="n">
        <v>347</v>
      </c>
      <c r="AK290" s="38" t="n">
        <v>468</v>
      </c>
      <c r="AL290" s="37" t="n">
        <f aca="false">AM290</f>
        <v>496</v>
      </c>
      <c r="AM290" s="38" t="n">
        <v>496</v>
      </c>
      <c r="AN290" s="38" t="n">
        <v>647</v>
      </c>
      <c r="AO290" s="37" t="n">
        <f aca="false">AP290</f>
        <v>586</v>
      </c>
      <c r="AP290" s="38" t="n">
        <v>586</v>
      </c>
      <c r="AQ290" s="38" t="n">
        <v>738</v>
      </c>
      <c r="AR290" s="37" t="n">
        <f aca="false">AS290</f>
        <v>773</v>
      </c>
      <c r="AS290" s="38" t="n">
        <v>773</v>
      </c>
      <c r="AT290" s="38" t="n">
        <v>715</v>
      </c>
      <c r="AU290" s="37" t="n">
        <f aca="false">AV290</f>
        <v>452</v>
      </c>
      <c r="AV290" s="38" t="n">
        <v>452</v>
      </c>
      <c r="AW290" s="38" t="n">
        <v>787</v>
      </c>
      <c r="AX290" s="39" t="n">
        <f aca="false">AY290</f>
        <v>565.43082585</v>
      </c>
      <c r="AY290" s="39" t="n">
        <f aca="false">-AY131*AY321</f>
        <v>565.43082585</v>
      </c>
      <c r="AZ290" s="39" t="n">
        <f aca="false">-AZ131*AZ321</f>
        <v>525.021145130021</v>
      </c>
      <c r="BA290" s="39" t="n">
        <f aca="false">-BA131*BA321</f>
        <v>570.033166653658</v>
      </c>
      <c r="BB290" s="39" t="n">
        <f aca="false">-BB131*BB321</f>
        <v>615.936164589041</v>
      </c>
      <c r="BC290" s="39" t="n">
        <f aca="false">-BC131*BC321</f>
        <v>659.760139328467</v>
      </c>
      <c r="BD290" s="23"/>
      <c r="BF290" s="7"/>
      <c r="BG290" s="7"/>
      <c r="BH290" s="7"/>
      <c r="BI290" s="7"/>
    </row>
    <row r="291" customFormat="false" ht="15" hidden="false" customHeight="true" outlineLevel="0" collapsed="false">
      <c r="B291" s="13" t="s">
        <v>389</v>
      </c>
      <c r="C291" s="37" t="str">
        <f aca="false">IF(ISNUMBER(C276),C276-C283-C284-C285-C286-C287-C288-C289-C290,"")</f>
        <v/>
      </c>
      <c r="D291" s="37" t="str">
        <f aca="false">IF(ISNUMBER(D276),D276-D283-D284-D285-D286-D287-D288-D289-D290,"")</f>
        <v/>
      </c>
      <c r="E291" s="37" t="str">
        <f aca="false">IF(ISNUMBER(E276),E276-E283-E284-E285-E286-E287-E288-E289-E290,"")</f>
        <v/>
      </c>
      <c r="F291" s="37" t="n">
        <f aca="false">IF(ISNUMBER(F276),F276-F283-F284-F285-F286-F287-F288-F289-F290,"")</f>
        <v>244</v>
      </c>
      <c r="G291" s="37" t="n">
        <f aca="false">IF(ISNUMBER(G276),G276-G283-G284-G285-G286-G287-G288-G289-G290,"")</f>
        <v>280.6</v>
      </c>
      <c r="H291" s="37" t="n">
        <f aca="false">IF(ISNUMBER(H276),H276-H283-H284-H285-H286-H287-H288-H289-H290,"")</f>
        <v>366.6</v>
      </c>
      <c r="I291" s="37" t="n">
        <f aca="false">IF(ISNUMBER(I276),I276-I283-I284-I285-I286-I287-I288-I289-I290,"")</f>
        <v>396.7</v>
      </c>
      <c r="J291" s="37" t="n">
        <f aca="false">IF(ISNUMBER(J276),J276-J283-J284-J285-J286-J287-J288-J289-J290,"")</f>
        <v>366</v>
      </c>
      <c r="K291" s="37" t="n">
        <f aca="false">IF(ISNUMBER(K276),K276-K283-K284-K285-K286-K287-K288-K289-K290,"")</f>
        <v>427.4</v>
      </c>
      <c r="L291" s="37" t="n">
        <f aca="false">IF(ISNUMBER(L276),L276-L283-L284-L285-L286-L287-L288-L289-L290,"")</f>
        <v>427.4</v>
      </c>
      <c r="M291" s="37" t="n">
        <f aca="false">IF(ISNUMBER(M276),M276-M283-M284-M285-M286-M287-M288-M289-M290,"")</f>
        <v>439.9</v>
      </c>
      <c r="N291" s="37" t="n">
        <f aca="false">IF(ISNUMBER(N276),N276-N283-N284-N285-N286-N287-N288-N289-N290,"")</f>
        <v>548.799999999999</v>
      </c>
      <c r="O291" s="37" t="n">
        <f aca="false">IF(ISNUMBER(O276),O276-O283-O284-O285-O286-O287-O288-O289-O290,"")</f>
        <v>548.799999999999</v>
      </c>
      <c r="P291" s="37" t="n">
        <f aca="false">IF(ISNUMBER(P276),P276-P283-P284-P285-P286-P287-P288-P289-P290,"")</f>
        <v>592.6</v>
      </c>
      <c r="Q291" s="37" t="n">
        <f aca="false">IF(ISNUMBER(Q276),Q276-Q283-Q284-Q285-Q286-Q287-Q288-Q289-Q290,"")</f>
        <v>570.100000000001</v>
      </c>
      <c r="R291" s="37" t="n">
        <f aca="false">IF(ISNUMBER(R276),R276-R283-R284-R285-R286-R287-R288-R289-R290,"")</f>
        <v>570.100000000001</v>
      </c>
      <c r="S291" s="37" t="n">
        <f aca="false">IF(ISNUMBER(S276),S276-S283-S284-S285-S286-S287-S288-S289-S290,"")</f>
        <v>567.900000000001</v>
      </c>
      <c r="T291" s="37" t="n">
        <f aca="false">IF(ISNUMBER(T276),T276-T283-T284-T285-T286-T287-T288-T289-T290,"")</f>
        <v>644.700000000001</v>
      </c>
      <c r="U291" s="37" t="n">
        <f aca="false">IF(ISNUMBER(U276),U276-U283-U284-U285-U286-U287-U288-U289-U290,"")</f>
        <v>644.700000000001</v>
      </c>
      <c r="V291" s="37" t="n">
        <f aca="false">IF(ISNUMBER(V276),V276-V283-V284-V285-V286-V287-V288-V289-V290,"")</f>
        <v>639.8</v>
      </c>
      <c r="W291" s="37" t="n">
        <f aca="false">IF(ISNUMBER(W276),W276-W283-W284-W285-W286-W287-W288-W289-W290,"")</f>
        <v>647.100000000001</v>
      </c>
      <c r="X291" s="37" t="n">
        <f aca="false">IF(ISNUMBER(X276),X276-X283-X284-X285-X286-X287-X288-X289-X290,"")</f>
        <v>647.100000000001</v>
      </c>
      <c r="Y291" s="37" t="n">
        <f aca="false">IF(ISNUMBER(Y276),Y276-Y283-Y284-Y285-Y286-Y287-Y288-Y289-Y290,"")</f>
        <v>665.4</v>
      </c>
      <c r="Z291" s="37" t="n">
        <f aca="false">IF(ISNUMBER(Z276),Z276-Z283-Z284-Z285-Z286-Z287-Z288-Z289-Z290,"")</f>
        <v>746</v>
      </c>
      <c r="AA291" s="37" t="n">
        <f aca="false">IF(ISNUMBER(AA276),AA276-AA283-AA284-AA285-AA286-AA287-AA288-AA289-AA290,"")</f>
        <v>746</v>
      </c>
      <c r="AB291" s="37" t="n">
        <f aca="false">IF(ISNUMBER(AB276),AB276-AB283-AB284-AB285-AB286-AB287-AB288-AB289-AB290,"")</f>
        <v>718.1</v>
      </c>
      <c r="AC291" s="37" t="n">
        <f aca="false">IF(ISNUMBER(AC276),AC276-AC283-AC284-AC285-AC286-AC287-AC288-AC289-AC290,"")</f>
        <v>879.8</v>
      </c>
      <c r="AD291" s="37" t="n">
        <f aca="false">IF(ISNUMBER(AD276),AD276-AD283-AD284-AD285-AD286-AD287-AD288-AD289-AD290,"")</f>
        <v>879.8</v>
      </c>
      <c r="AE291" s="37" t="n">
        <f aca="false">IF(ISNUMBER(AE276),AE276-AE283-AE284-AE285-AE286-AE287-AE288-AE289-AE290,"")</f>
        <v>806.300000000001</v>
      </c>
      <c r="AF291" s="37" t="n">
        <f aca="false">IF(ISNUMBER(AF276),AF276-AF283-AF284-AF285-AF286-AF287-AF288-AF289-AF290,"")</f>
        <v>860.500000000001</v>
      </c>
      <c r="AG291" s="37" t="n">
        <f aca="false">IF(ISNUMBER(AG276),AG276-AG283-AG284-AG285-AG286-AG287-AG288-AG289-AG290,"")</f>
        <v>860.500000000001</v>
      </c>
      <c r="AH291" s="37" t="n">
        <f aca="false">IF(ISNUMBER(AH276),AH276-AH283-AH284-AH285-AH286-AH287-AH288-AH289-AH290,"")</f>
        <v>1023.3</v>
      </c>
      <c r="AI291" s="37" t="n">
        <f aca="false">IF(ISNUMBER(AI276),AI276-AI283-AI284-AI285-AI286-AI287-AI288-AI289-AI290,"")</f>
        <v>1335</v>
      </c>
      <c r="AJ291" s="37" t="n">
        <f aca="false">IF(ISNUMBER(AJ276),AJ276-AJ283-AJ284-AJ285-AJ286-AJ287-AJ288-AJ289-AJ290,"")</f>
        <v>1335</v>
      </c>
      <c r="AK291" s="37" t="n">
        <f aca="false">IF(ISNUMBER(AK276),AK276-AK283-AK284-AK285-AK286-AK287-AK288-AK289-AK290,"")</f>
        <v>1322</v>
      </c>
      <c r="AL291" s="37" t="n">
        <f aca="false">IF(ISNUMBER(AL276),AL276-AL283-AL284-AL285-AL286-AL287-AL288-AL289-AL290,"")</f>
        <v>1416</v>
      </c>
      <c r="AM291" s="37" t="n">
        <f aca="false">IF(ISNUMBER(AM276),AM276-AM283-AM284-AM285-AM286-AM287-AM288-AM289-AM290,"")</f>
        <v>1416</v>
      </c>
      <c r="AN291" s="37" t="n">
        <f aca="false">IF(ISNUMBER(AN276),AN276-AN283-AN284-AN285-AN286-AN287-AN288-AN289-AN290,"")</f>
        <v>1314</v>
      </c>
      <c r="AO291" s="37" t="n">
        <f aca="false">IF(ISNUMBER(AO276),AO276-AO283-AO284-AO285-AO286-AO287-AO288-AO289-AO290,"")</f>
        <v>1383</v>
      </c>
      <c r="AP291" s="37" t="n">
        <f aca="false">IF(ISNUMBER(AP276),AP276-AP283-AP284-AP285-AP286-AP287-AP288-AP289-AP290,"")</f>
        <v>1383</v>
      </c>
      <c r="AQ291" s="37" t="n">
        <f aca="false">IF(ISNUMBER(AQ276),AQ276-AQ283-AQ284-AQ285-AQ286-AQ287-AQ288-AQ289-AQ290,"")</f>
        <v>1376</v>
      </c>
      <c r="AR291" s="37" t="n">
        <f aca="false">IF(ISNUMBER(AR276),AR276-AR283-AR284-AR285-AR286-AR287-AR288-AR289-AR290,"")</f>
        <v>1648</v>
      </c>
      <c r="AS291" s="37" t="n">
        <f aca="false">IF(ISNUMBER(AS276),AS276-AS283-AS284-AS285-AS286-AS287-AS288-AS289-AS290,"")</f>
        <v>1648</v>
      </c>
      <c r="AT291" s="37" t="n">
        <f aca="false">IF(ISNUMBER(AT276),AT276-AT283-AT284-AT285-AT286-AT287-AT288-AT289-AT290,"")</f>
        <v>1451</v>
      </c>
      <c r="AU291" s="37" t="n">
        <f aca="false">IF(ISNUMBER(AU276),AU276-AU283-AU284-AU285-AU286-AU287-AU288-AU289-AU290,"")</f>
        <v>1548</v>
      </c>
      <c r="AV291" s="37" t="n">
        <f aca="false">IF(ISNUMBER(AV276),AV276-AV283-AV284-AV285-AV286-AV287-AV288-AV289-AV290,"")</f>
        <v>1548</v>
      </c>
      <c r="AW291" s="37" t="n">
        <f aca="false">IF(ISNUMBER(AW276),AW276-AW283-AW284-AW285-AW286-AW287-AW288-AW289-AW290,"")</f>
        <v>1639</v>
      </c>
      <c r="AX291" s="39" t="n">
        <f aca="false">AY291</f>
        <v>1548</v>
      </c>
      <c r="AY291" s="39" t="n">
        <f aca="false">AV291</f>
        <v>1548</v>
      </c>
      <c r="AZ291" s="39" t="n">
        <f aca="false">AY291</f>
        <v>1548</v>
      </c>
      <c r="BA291" s="39" t="n">
        <f aca="false">AZ291</f>
        <v>1548</v>
      </c>
      <c r="BB291" s="39" t="n">
        <f aca="false">BA291</f>
        <v>1548</v>
      </c>
      <c r="BC291" s="39" t="n">
        <f aca="false">BB291</f>
        <v>1548</v>
      </c>
      <c r="BD291" s="23"/>
      <c r="BF291" s="7"/>
      <c r="BG291" s="7"/>
      <c r="BH291" s="7"/>
      <c r="BI291" s="7"/>
    </row>
    <row r="292" customFormat="false" ht="15" hidden="false" customHeight="true" outlineLevel="0" collapsed="false">
      <c r="B292" s="19" t="s">
        <v>390</v>
      </c>
      <c r="C292" s="20" t="str">
        <f aca="false">IF(ISNUMBER(C284),SUM(C284:C291),"")</f>
        <v/>
      </c>
      <c r="D292" s="20" t="str">
        <f aca="false">IF(ISNUMBER(D284),SUM(D284:D291),"")</f>
        <v/>
      </c>
      <c r="E292" s="20" t="str">
        <f aca="false">IF(ISNUMBER(E284),SUM(E284:E291),"")</f>
        <v/>
      </c>
      <c r="F292" s="20" t="n">
        <f aca="false">IF(ISNUMBER(F284),SUM(F284:F291),"")</f>
        <v>636.6</v>
      </c>
      <c r="G292" s="20" t="n">
        <f aca="false">IF(ISNUMBER(G284),SUM(G284:G291),"")</f>
        <v>755.4</v>
      </c>
      <c r="H292" s="20" t="n">
        <f aca="false">IF(ISNUMBER(H284),SUM(H284:H291),"")</f>
        <v>922.9</v>
      </c>
      <c r="I292" s="20" t="n">
        <f aca="false">IF(ISNUMBER(I284),SUM(I284:I291),"")</f>
        <v>1047.5</v>
      </c>
      <c r="J292" s="20" t="n">
        <f aca="false">IF(ISNUMBER(J284),SUM(J284:J291),"")</f>
        <v>1100.8</v>
      </c>
      <c r="K292" s="20" t="n">
        <f aca="false">IF(ISNUMBER(K284),SUM(K284:K291),"")</f>
        <v>1096.4</v>
      </c>
      <c r="L292" s="20" t="n">
        <f aca="false">IF(ISNUMBER(L284),SUM(L284:L291),"")</f>
        <v>1096.4</v>
      </c>
      <c r="M292" s="20" t="n">
        <f aca="false">IF(ISNUMBER(M284),SUM(M284:M291),"")</f>
        <v>1050.7</v>
      </c>
      <c r="N292" s="20" t="n">
        <f aca="false">IF(ISNUMBER(N284),SUM(N284:N291),"")</f>
        <v>1309.8</v>
      </c>
      <c r="O292" s="20" t="n">
        <f aca="false">IF(ISNUMBER(O284),SUM(O284:O291),"")</f>
        <v>1309.8</v>
      </c>
      <c r="P292" s="20" t="n">
        <f aca="false">IF(ISNUMBER(P284),SUM(P284:P291),"")</f>
        <v>1313.5</v>
      </c>
      <c r="Q292" s="20" t="n">
        <f aca="false">IF(ISNUMBER(Q284),SUM(Q284:Q291),"")</f>
        <v>1438.9</v>
      </c>
      <c r="R292" s="20" t="n">
        <f aca="false">IF(ISNUMBER(R284),SUM(R284:R291),"")</f>
        <v>1438.9</v>
      </c>
      <c r="S292" s="20" t="n">
        <f aca="false">IF(ISNUMBER(S284),SUM(S284:S291),"")</f>
        <v>1380.3</v>
      </c>
      <c r="T292" s="20" t="n">
        <f aca="false">IF(ISNUMBER(T284),SUM(T284:T291),"")</f>
        <v>1613.9</v>
      </c>
      <c r="U292" s="20" t="n">
        <f aca="false">IF(ISNUMBER(U284),SUM(U284:U291),"")</f>
        <v>1613.9</v>
      </c>
      <c r="V292" s="20" t="n">
        <f aca="false">IF(ISNUMBER(V284),SUM(V284:V291),"")</f>
        <v>1590.6</v>
      </c>
      <c r="W292" s="20" t="n">
        <f aca="false">IF(ISNUMBER(W284),SUM(W284:W291),"")</f>
        <v>1722.6</v>
      </c>
      <c r="X292" s="20" t="n">
        <f aca="false">IF(ISNUMBER(X284),SUM(X284:X291),"")</f>
        <v>1722.6</v>
      </c>
      <c r="Y292" s="20" t="n">
        <f aca="false">IF(ISNUMBER(Y284),SUM(Y284:Y291),"")</f>
        <v>1730.7</v>
      </c>
      <c r="Z292" s="20" t="n">
        <f aca="false">IF(ISNUMBER(Z284),SUM(Z284:Z291),"")</f>
        <v>1960.3</v>
      </c>
      <c r="AA292" s="20" t="n">
        <f aca="false">IF(ISNUMBER(AA284),SUM(AA284:AA291),"")</f>
        <v>1960.3</v>
      </c>
      <c r="AB292" s="20" t="n">
        <f aca="false">IF(ISNUMBER(AB284),SUM(AB284:AB291),"")</f>
        <v>3028.4</v>
      </c>
      <c r="AC292" s="20" t="n">
        <f aca="false">IF(ISNUMBER(AC284),SUM(AC284:AC291),"")</f>
        <v>3305.2</v>
      </c>
      <c r="AD292" s="20" t="n">
        <f aca="false">IF(ISNUMBER(AD284),SUM(AD284:AD291),"")</f>
        <v>3305.2</v>
      </c>
      <c r="AE292" s="20" t="n">
        <f aca="false">IF(ISNUMBER(AE284),SUM(AE284:AE291),"")</f>
        <v>3393</v>
      </c>
      <c r="AF292" s="20" t="n">
        <f aca="false">IF(ISNUMBER(AF284),SUM(AF284:AF291),"")</f>
        <v>3659.5</v>
      </c>
      <c r="AG292" s="20" t="n">
        <f aca="false">IF(ISNUMBER(AG284),SUM(AG284:AG291),"")</f>
        <v>3659.5</v>
      </c>
      <c r="AH292" s="20" t="n">
        <f aca="false">IF(ISNUMBER(AH284),SUM(AH284:AH291),"")</f>
        <v>3850.9</v>
      </c>
      <c r="AI292" s="20" t="n">
        <f aca="false">IF(ISNUMBER(AI284),SUM(AI284:AI291),"")</f>
        <v>4435</v>
      </c>
      <c r="AJ292" s="20" t="n">
        <f aca="false">IF(ISNUMBER(AJ284),SUM(AJ284:AJ291),"")</f>
        <v>4435</v>
      </c>
      <c r="AK292" s="20" t="n">
        <f aca="false">IF(ISNUMBER(AK284),SUM(AK284:AK291),"")</f>
        <v>4809</v>
      </c>
      <c r="AL292" s="20" t="n">
        <f aca="false">IF(ISNUMBER(AL284),SUM(AL284:AL291),"")</f>
        <v>5002</v>
      </c>
      <c r="AM292" s="20" t="n">
        <f aca="false">IF(ISNUMBER(AM284),SUM(AM284:AM291),"")</f>
        <v>5002</v>
      </c>
      <c r="AN292" s="20" t="n">
        <f aca="false">IF(ISNUMBER(AN284),SUM(AN284:AN291),"")</f>
        <v>5011</v>
      </c>
      <c r="AO292" s="20" t="n">
        <f aca="false">IF(ISNUMBER(AO284),SUM(AO284:AO291),"")</f>
        <v>5243</v>
      </c>
      <c r="AP292" s="20" t="n">
        <f aca="false">IF(ISNUMBER(AP284),SUM(AP284:AP291),"")</f>
        <v>5243</v>
      </c>
      <c r="AQ292" s="20" t="n">
        <f aca="false">IF(ISNUMBER(AQ284),SUM(AQ284:AQ291),"")</f>
        <v>5430</v>
      </c>
      <c r="AR292" s="20" t="n">
        <f aca="false">IF(ISNUMBER(AR284),SUM(AR284:AR291),"")</f>
        <v>5750</v>
      </c>
      <c r="AS292" s="20" t="n">
        <f aca="false">IF(ISNUMBER(AS284),SUM(AS284:AS291),"")</f>
        <v>5750</v>
      </c>
      <c r="AT292" s="20" t="n">
        <f aca="false">IF(ISNUMBER(AT284),SUM(AT284:AT291),"")</f>
        <v>5210</v>
      </c>
      <c r="AU292" s="20" t="n">
        <f aca="false">IF(ISNUMBER(AU284),SUM(AU284:AU291),"")</f>
        <v>5477</v>
      </c>
      <c r="AV292" s="20" t="n">
        <f aca="false">IF(ISNUMBER(AV284),SUM(AV284:AV291),"")</f>
        <v>5477</v>
      </c>
      <c r="AW292" s="20" t="n">
        <f aca="false">IF(ISNUMBER(AW284),SUM(AW284:AW291),"")</f>
        <v>5770</v>
      </c>
      <c r="AX292" s="22" t="n">
        <f aca="false">AY292</f>
        <v>5784.38289519247</v>
      </c>
      <c r="AY292" s="22" t="n">
        <f aca="false">SUM(AY284:AY291)</f>
        <v>5784.38289519247</v>
      </c>
      <c r="AZ292" s="22" t="n">
        <f aca="false">SUM(AZ284:AZ291)</f>
        <v>5994.84594733454</v>
      </c>
      <c r="BA292" s="22" t="n">
        <f aca="false">SUM(BA284:BA291)</f>
        <v>6300.89563583383</v>
      </c>
      <c r="BB292" s="22" t="n">
        <f aca="false">SUM(BB284:BB291)</f>
        <v>6618.1136398361</v>
      </c>
      <c r="BC292" s="22" t="n">
        <f aca="false">SUM(BC284:BC291)</f>
        <v>6944.14522944046</v>
      </c>
      <c r="BD292" s="23"/>
      <c r="BF292" s="7"/>
      <c r="BG292" s="7"/>
      <c r="BH292" s="7"/>
      <c r="BI292" s="7"/>
    </row>
    <row r="293" customFormat="false" ht="15" hidden="false" customHeight="true" outlineLevel="0" collapsed="false">
      <c r="B293" s="40" t="s">
        <v>391</v>
      </c>
      <c r="C293" s="41"/>
      <c r="D293" s="41"/>
      <c r="E293" s="41"/>
      <c r="F293" s="46" t="n">
        <v>2440.5</v>
      </c>
      <c r="G293" s="46" t="n">
        <v>2918.6</v>
      </c>
      <c r="H293" s="46" t="n">
        <v>3248.4</v>
      </c>
      <c r="I293" s="46" t="n">
        <v>3405.8</v>
      </c>
      <c r="J293" s="46" t="n">
        <v>3562.2</v>
      </c>
      <c r="K293" s="41" t="n">
        <f aca="false">L293</f>
        <v>3937.6</v>
      </c>
      <c r="L293" s="46" t="n">
        <v>3937.6</v>
      </c>
      <c r="M293" s="46" t="n">
        <v>4036.2</v>
      </c>
      <c r="N293" s="41" t="n">
        <f aca="false">O293</f>
        <v>4768.2</v>
      </c>
      <c r="O293" s="46" t="n">
        <v>4768.2</v>
      </c>
      <c r="P293" s="46" t="n">
        <v>4548.7</v>
      </c>
      <c r="Q293" s="41" t="n">
        <f aca="false">R293</f>
        <v>5187.6</v>
      </c>
      <c r="R293" s="46" t="n">
        <v>5187.6</v>
      </c>
      <c r="S293" s="46" t="n">
        <v>5247.6</v>
      </c>
      <c r="T293" s="41" t="n">
        <f aca="false">U293</f>
        <v>5998.7</v>
      </c>
      <c r="U293" s="46" t="n">
        <v>5998.7</v>
      </c>
      <c r="V293" s="46" t="n">
        <v>6160.8</v>
      </c>
      <c r="W293" s="41" t="n">
        <f aca="false">X293</f>
        <v>6768.2</v>
      </c>
      <c r="X293" s="46" t="n">
        <v>6768.2</v>
      </c>
      <c r="Y293" s="46" t="n">
        <v>6523.3</v>
      </c>
      <c r="Z293" s="41" t="n">
        <f aca="false">AA293</f>
        <v>7468.1</v>
      </c>
      <c r="AA293" s="46" t="n">
        <v>7468.1</v>
      </c>
      <c r="AB293" s="46" t="n">
        <v>8796.1</v>
      </c>
      <c r="AC293" s="41" t="n">
        <f aca="false">AD293</f>
        <v>9881.1</v>
      </c>
      <c r="AD293" s="46" t="n">
        <v>9881.1</v>
      </c>
      <c r="AE293" s="46" t="n">
        <v>9733.5</v>
      </c>
      <c r="AF293" s="41" t="n">
        <f aca="false">AG293</f>
        <v>11050.5</v>
      </c>
      <c r="AG293" s="46" t="n">
        <v>11050.5</v>
      </c>
      <c r="AH293" s="46" t="n">
        <v>11884.8</v>
      </c>
      <c r="AI293" s="41" t="n">
        <f aca="false">AJ293</f>
        <v>13847</v>
      </c>
      <c r="AJ293" s="46" t="n">
        <v>13847</v>
      </c>
      <c r="AK293" s="46" t="n">
        <v>15082</v>
      </c>
      <c r="AL293" s="41" t="n">
        <f aca="false">AM293</f>
        <v>17459</v>
      </c>
      <c r="AM293" s="46" t="n">
        <v>17459</v>
      </c>
      <c r="AN293" s="46" t="n">
        <v>18255</v>
      </c>
      <c r="AO293" s="41" t="n">
        <f aca="false">AP293</f>
        <v>20447</v>
      </c>
      <c r="AP293" s="46" t="n">
        <v>20447</v>
      </c>
      <c r="AQ293" s="46" t="n">
        <v>20507</v>
      </c>
      <c r="AR293" s="41" t="n">
        <f aca="false">AS293</f>
        <v>23084</v>
      </c>
      <c r="AS293" s="46" t="n">
        <v>23084</v>
      </c>
      <c r="AT293" s="46" t="n">
        <v>21828</v>
      </c>
      <c r="AU293" s="41" t="n">
        <f aca="false">AV293</f>
        <v>24322</v>
      </c>
      <c r="AV293" s="46" t="n">
        <v>24322</v>
      </c>
      <c r="AW293" s="46" t="n">
        <v>24795</v>
      </c>
      <c r="AX293" s="41" t="n">
        <f aca="false">AY293</f>
        <v>27238.9038897925</v>
      </c>
      <c r="AY293" s="41" t="n">
        <f aca="false">AY283+AY292</f>
        <v>27238.9038897925</v>
      </c>
      <c r="AZ293" s="41" t="n">
        <f aca="false">AZ283+AZ292</f>
        <v>30656.2070164921</v>
      </c>
      <c r="BA293" s="41" t="n">
        <f aca="false">BA283+BA292</f>
        <v>34499.3113375153</v>
      </c>
      <c r="BB293" s="41" t="n">
        <f aca="false">BB283+BB292</f>
        <v>38644.8080364613</v>
      </c>
      <c r="BC293" s="41" t="n">
        <f aca="false">BC283+BC292</f>
        <v>43066.0870833301</v>
      </c>
      <c r="BD293" s="23"/>
      <c r="BF293" s="7"/>
      <c r="BG293" s="7"/>
      <c r="BH293" s="7"/>
      <c r="BI293" s="7"/>
    </row>
    <row r="294" customFormat="false" ht="15" hidden="false" customHeight="true" outlineLevel="0" collapsed="false">
      <c r="B294" s="43" t="s">
        <v>392</v>
      </c>
      <c r="C294" s="37" t="str">
        <f aca="false">IF(ISNUMBER(C276),ROUND(C276-C293,0),"")</f>
        <v/>
      </c>
      <c r="D294" s="37" t="str">
        <f aca="false">IF(ISNUMBER(D276),ROUND(D276-D293,0),"")</f>
        <v/>
      </c>
      <c r="E294" s="37" t="str">
        <f aca="false">IF(ISNUMBER(E276),ROUND(E276-E293,0),"")</f>
        <v/>
      </c>
      <c r="F294" s="37" t="n">
        <f aca="false">IF(ISNUMBER(F276),ROUND(F276-F293,0),"")</f>
        <v>0</v>
      </c>
      <c r="G294" s="37" t="n">
        <f aca="false">IF(ISNUMBER(G276),ROUND(G276-G293,0),"")</f>
        <v>0</v>
      </c>
      <c r="H294" s="37" t="n">
        <f aca="false">IF(ISNUMBER(H276),ROUND(H276-H293,0),"")</f>
        <v>0</v>
      </c>
      <c r="I294" s="37" t="n">
        <f aca="false">IF(ISNUMBER(I276),ROUND(I276-I293,0),"")</f>
        <v>0</v>
      </c>
      <c r="J294" s="37" t="n">
        <f aca="false">IF(ISNUMBER(J276),ROUND(J276-J293,0),"")</f>
        <v>0</v>
      </c>
      <c r="K294" s="37" t="n">
        <f aca="false">IF(ISNUMBER(K276),ROUND(K276-K293,0),"")</f>
        <v>0</v>
      </c>
      <c r="L294" s="37" t="n">
        <f aca="false">IF(ISNUMBER(L276),ROUND(L276-L293,0),"")</f>
        <v>0</v>
      </c>
      <c r="M294" s="37" t="n">
        <f aca="false">IF(ISNUMBER(M276),ROUND(M276-M293,0),"")</f>
        <v>0</v>
      </c>
      <c r="N294" s="37" t="n">
        <f aca="false">IF(ISNUMBER(N276),ROUND(N276-N293,0),"")</f>
        <v>0</v>
      </c>
      <c r="O294" s="37" t="n">
        <f aca="false">IF(ISNUMBER(O276),ROUND(O276-O293,0),"")</f>
        <v>0</v>
      </c>
      <c r="P294" s="37" t="n">
        <f aca="false">IF(ISNUMBER(P276),ROUND(P276-P293,0),"")</f>
        <v>0</v>
      </c>
      <c r="Q294" s="37" t="n">
        <f aca="false">IF(ISNUMBER(Q276),ROUND(Q276-Q293,0),"")</f>
        <v>0</v>
      </c>
      <c r="R294" s="37" t="n">
        <f aca="false">IF(ISNUMBER(R276),ROUND(R276-R293,0),"")</f>
        <v>0</v>
      </c>
      <c r="S294" s="37" t="n">
        <f aca="false">IF(ISNUMBER(S276),ROUND(S276-S293,0),"")</f>
        <v>0</v>
      </c>
      <c r="T294" s="37" t="n">
        <f aca="false">IF(ISNUMBER(T276),ROUND(T276-T293,0),"")</f>
        <v>0</v>
      </c>
      <c r="U294" s="37" t="n">
        <f aca="false">IF(ISNUMBER(U276),ROUND(U276-U293,0),"")</f>
        <v>0</v>
      </c>
      <c r="V294" s="37" t="n">
        <f aca="false">IF(ISNUMBER(V276),ROUND(V276-V293,0),"")</f>
        <v>0</v>
      </c>
      <c r="W294" s="37" t="n">
        <f aca="false">IF(ISNUMBER(W276),ROUND(W276-W293,0),"")</f>
        <v>0</v>
      </c>
      <c r="X294" s="37" t="n">
        <f aca="false">IF(ISNUMBER(X276),ROUND(X276-X293,0),"")</f>
        <v>0</v>
      </c>
      <c r="Y294" s="37" t="n">
        <f aca="false">IF(ISNUMBER(Y276),ROUND(Y276-Y293,0),"")</f>
        <v>-0</v>
      </c>
      <c r="Z294" s="37" t="n">
        <f aca="false">IF(ISNUMBER(Z276),ROUND(Z276-Z293,0),"")</f>
        <v>0</v>
      </c>
      <c r="AA294" s="37" t="n">
        <f aca="false">IF(ISNUMBER(AA276),ROUND(AA276-AA293,0),"")</f>
        <v>0</v>
      </c>
      <c r="AB294" s="37" t="n">
        <f aca="false">IF(ISNUMBER(AB276),ROUND(AB276-AB293,0),"")</f>
        <v>-0</v>
      </c>
      <c r="AC294" s="37" t="n">
        <f aca="false">IF(ISNUMBER(AC276),ROUND(AC276-AC293,0),"")</f>
        <v>0</v>
      </c>
      <c r="AD294" s="37" t="n">
        <f aca="false">IF(ISNUMBER(AD276),ROUND(AD276-AD293,0),"")</f>
        <v>0</v>
      </c>
      <c r="AE294" s="37" t="n">
        <f aca="false">IF(ISNUMBER(AE276),ROUND(AE276-AE293,0),"")</f>
        <v>0</v>
      </c>
      <c r="AF294" s="37" t="n">
        <f aca="false">IF(ISNUMBER(AF276),ROUND(AF276-AF293,0),"")</f>
        <v>0</v>
      </c>
      <c r="AG294" s="37" t="n">
        <f aca="false">IF(ISNUMBER(AG276),ROUND(AG276-AG293,0),"")</f>
        <v>0</v>
      </c>
      <c r="AH294" s="37" t="n">
        <f aca="false">IF(ISNUMBER(AH276),ROUND(AH276-AH293,0),"")</f>
        <v>0</v>
      </c>
      <c r="AI294" s="37" t="n">
        <f aca="false">IF(ISNUMBER(AI276),ROUND(AI276-AI293,0),"")</f>
        <v>0</v>
      </c>
      <c r="AJ294" s="37" t="n">
        <f aca="false">IF(ISNUMBER(AJ276),ROUND(AJ276-AJ293,0),"")</f>
        <v>0</v>
      </c>
      <c r="AK294" s="37" t="n">
        <f aca="false">IF(ISNUMBER(AK276),ROUND(AK276-AK293,0),"")</f>
        <v>0</v>
      </c>
      <c r="AL294" s="37" t="n">
        <f aca="false">IF(ISNUMBER(AL276),ROUND(AL276-AL293,0),"")</f>
        <v>-1</v>
      </c>
      <c r="AM294" s="37" t="n">
        <f aca="false">IF(ISNUMBER(AM276),ROUND(AM276-AM293,0),"")</f>
        <v>-1</v>
      </c>
      <c r="AN294" s="37" t="n">
        <f aca="false">IF(ISNUMBER(AN276),ROUND(AN276-AN293,0),"")</f>
        <v>0</v>
      </c>
      <c r="AO294" s="37" t="n">
        <f aca="false">IF(ISNUMBER(AO276),ROUND(AO276-AO293,0),"")</f>
        <v>-1</v>
      </c>
      <c r="AP294" s="37" t="n">
        <f aca="false">IF(ISNUMBER(AP276),ROUND(AP276-AP293,0),"")</f>
        <v>-1</v>
      </c>
      <c r="AQ294" s="37" t="n">
        <f aca="false">IF(ISNUMBER(AQ276),ROUND(AQ276-AQ293,0),"")</f>
        <v>1</v>
      </c>
      <c r="AR294" s="37" t="n">
        <f aca="false">IF(ISNUMBER(AR276),ROUND(AR276-AR293,0),"")</f>
        <v>0</v>
      </c>
      <c r="AS294" s="37" t="n">
        <f aca="false">IF(ISNUMBER(AS276),ROUND(AS276-AS293,0),"")</f>
        <v>0</v>
      </c>
      <c r="AT294" s="37" t="n">
        <f aca="false">IF(ISNUMBER(AT276),ROUND(AT276-AT293,0),"")</f>
        <v>0</v>
      </c>
      <c r="AU294" s="37" t="n">
        <f aca="false">IF(ISNUMBER(AU276),ROUND(AU276-AU293,0),"")</f>
        <v>1</v>
      </c>
      <c r="AV294" s="37" t="n">
        <f aca="false">IF(ISNUMBER(AV276),ROUND(AV276-AV293,0),"")</f>
        <v>1</v>
      </c>
      <c r="AW294" s="37" t="n">
        <f aca="false">IF(ISNUMBER(AW276),ROUND(AW276-AW293,0),"")</f>
        <v>0</v>
      </c>
      <c r="AX294" s="39" t="n">
        <f aca="false">ROUND(AX276-AX293,1)</f>
        <v>0</v>
      </c>
      <c r="AY294" s="39" t="n">
        <f aca="false">ROUND(AY276-AY293,1)</f>
        <v>0</v>
      </c>
      <c r="AZ294" s="39" t="n">
        <f aca="false">ROUND(AZ276-AZ293,1)</f>
        <v>0</v>
      </c>
      <c r="BA294" s="39" t="n">
        <f aca="false">ROUND(BA276-BA293,1)</f>
        <v>0</v>
      </c>
      <c r="BB294" s="39" t="n">
        <f aca="false">ROUND(BB276-BB293,1)</f>
        <v>0</v>
      </c>
      <c r="BC294" s="39" t="n">
        <f aca="false">ROUND(BC276-BC293,1)</f>
        <v>0</v>
      </c>
      <c r="BD294" s="23"/>
      <c r="BF294" s="7"/>
      <c r="BG294" s="7"/>
      <c r="BH294" s="7"/>
      <c r="BI294" s="7"/>
    </row>
    <row r="295" customFormat="false" ht="15" hidden="false" customHeight="true" outlineLevel="0" collapsed="false">
      <c r="B295" s="43" t="s">
        <v>393</v>
      </c>
      <c r="C295" s="37" t="str">
        <f aca="false">IF(ISNUMBER(C296),ROUND(C276-C296,0),"")</f>
        <v/>
      </c>
      <c r="D295" s="37" t="str">
        <f aca="false">IF(ISNUMBER(D296),ROUND(D276-D296,0),"")</f>
        <v/>
      </c>
      <c r="E295" s="37" t="str">
        <f aca="false">IF(ISNUMBER(E296),ROUND(E276-E296,0),"")</f>
        <v/>
      </c>
      <c r="F295" s="37" t="n">
        <f aca="false">IF(ISNUMBER(F296),ROUND(F276-F296,0),"")</f>
        <v>0</v>
      </c>
      <c r="G295" s="37" t="n">
        <f aca="false">IF(ISNUMBER(G296),ROUND(G276-G296,0),"")</f>
        <v>0</v>
      </c>
      <c r="H295" s="37" t="n">
        <f aca="false">IF(ISNUMBER(H296),ROUND(H276-H296,0),"")</f>
        <v>0</v>
      </c>
      <c r="I295" s="37" t="n">
        <f aca="false">IF(ISNUMBER(I296),ROUND(I276-I296,0),"")</f>
        <v>0</v>
      </c>
      <c r="J295" s="37" t="n">
        <f aca="false">IF(ISNUMBER(J296),ROUND(J276-J296,0),"")</f>
        <v>0</v>
      </c>
      <c r="K295" s="37" t="n">
        <f aca="false">IF(ISNUMBER(K296),ROUND(K276-K296,0),"")</f>
        <v>0</v>
      </c>
      <c r="L295" s="37" t="n">
        <f aca="false">IF(ISNUMBER(L296),ROUND(L276-L296,0),"")</f>
        <v>0</v>
      </c>
      <c r="M295" s="37" t="n">
        <f aca="false">IF(ISNUMBER(M296),ROUND(M276-M296,0),"")</f>
        <v>0</v>
      </c>
      <c r="N295" s="37" t="n">
        <f aca="false">IF(ISNUMBER(N296),ROUND(N276-N296,0),"")</f>
        <v>0</v>
      </c>
      <c r="O295" s="37" t="n">
        <f aca="false">IF(ISNUMBER(O296),ROUND(O276-O296,0),"")</f>
        <v>0</v>
      </c>
      <c r="P295" s="37" t="n">
        <f aca="false">IF(ISNUMBER(P296),ROUND(P276-P296,0),"")</f>
        <v>0</v>
      </c>
      <c r="Q295" s="37" t="n">
        <f aca="false">IF(ISNUMBER(Q296),ROUND(Q276-Q296,0),"")</f>
        <v>0</v>
      </c>
      <c r="R295" s="37" t="n">
        <f aca="false">IF(ISNUMBER(R296),ROUND(R276-R296,0),"")</f>
        <v>0</v>
      </c>
      <c r="S295" s="37" t="n">
        <f aca="false">IF(ISNUMBER(S296),ROUND(S276-S296,0),"")</f>
        <v>0</v>
      </c>
      <c r="T295" s="37" t="n">
        <f aca="false">IF(ISNUMBER(T296),ROUND(T276-T296,0),"")</f>
        <v>0</v>
      </c>
      <c r="U295" s="37" t="n">
        <f aca="false">IF(ISNUMBER(U296),ROUND(U276-U296,0),"")</f>
        <v>0</v>
      </c>
      <c r="V295" s="37" t="n">
        <f aca="false">IF(ISNUMBER(V296),ROUND(V276-V296,0),"")</f>
        <v>0</v>
      </c>
      <c r="W295" s="37" t="n">
        <f aca="false">IF(ISNUMBER(W296),ROUND(W276-W296,0),"")</f>
        <v>0</v>
      </c>
      <c r="X295" s="37" t="n">
        <f aca="false">IF(ISNUMBER(X296),ROUND(X276-X296,0),"")</f>
        <v>0</v>
      </c>
      <c r="Y295" s="37" t="n">
        <f aca="false">IF(ISNUMBER(Y296),ROUND(Y276-Y296,0),"")</f>
        <v>-0</v>
      </c>
      <c r="Z295" s="37" t="n">
        <f aca="false">IF(ISNUMBER(Z296),ROUND(Z276-Z296,0),"")</f>
        <v>0</v>
      </c>
      <c r="AA295" s="37" t="n">
        <f aca="false">IF(ISNUMBER(AA296),ROUND(AA276-AA296,0),"")</f>
        <v>0</v>
      </c>
      <c r="AB295" s="37" t="n">
        <f aca="false">IF(ISNUMBER(AB296),ROUND(AB276-AB296,0),"")</f>
        <v>-0</v>
      </c>
      <c r="AC295" s="37" t="n">
        <f aca="false">IF(ISNUMBER(AC296),ROUND(AC276-AC296,0),"")</f>
        <v>0</v>
      </c>
      <c r="AD295" s="37" t="n">
        <f aca="false">IF(ISNUMBER(AD296),ROUND(AD276-AD296,0),"")</f>
        <v>0</v>
      </c>
      <c r="AE295" s="37" t="n">
        <f aca="false">IF(ISNUMBER(AE296),ROUND(AE276-AE296,0),"")</f>
        <v>0</v>
      </c>
      <c r="AF295" s="37" t="n">
        <f aca="false">IF(ISNUMBER(AF296),ROUND(AF276-AF296,0),"")</f>
        <v>0</v>
      </c>
      <c r="AG295" s="37" t="n">
        <f aca="false">IF(ISNUMBER(AG296),ROUND(AG276-AG296,0),"")</f>
        <v>0</v>
      </c>
      <c r="AH295" s="37" t="n">
        <f aca="false">IF(ISNUMBER(AH296),ROUND(AH276-AH296,0),"")</f>
        <v>0</v>
      </c>
      <c r="AI295" s="37" t="n">
        <f aca="false">IF(ISNUMBER(AI296),ROUND(AI276-AI296,0),"")</f>
        <v>0</v>
      </c>
      <c r="AJ295" s="37" t="n">
        <f aca="false">IF(ISNUMBER(AJ296),ROUND(AJ276-AJ296,0),"")</f>
        <v>0</v>
      </c>
      <c r="AK295" s="37" t="n">
        <f aca="false">IF(ISNUMBER(AK296),ROUND(AK276-AK296,0),"")</f>
        <v>0</v>
      </c>
      <c r="AL295" s="37" t="n">
        <f aca="false">IF(ISNUMBER(AL296),ROUND(AL276-AL296,0),"")</f>
        <v>-1</v>
      </c>
      <c r="AM295" s="37" t="n">
        <f aca="false">IF(ISNUMBER(AM296),ROUND(AM276-AM296,0),"")</f>
        <v>-1</v>
      </c>
      <c r="AN295" s="37" t="n">
        <f aca="false">IF(ISNUMBER(AN296),ROUND(AN276-AN296,0),"")</f>
        <v>0</v>
      </c>
      <c r="AO295" s="37" t="n">
        <f aca="false">IF(ISNUMBER(AO296),ROUND(AO276-AO296,0),"")</f>
        <v>-1</v>
      </c>
      <c r="AP295" s="37" t="n">
        <f aca="false">IF(ISNUMBER(AP296),ROUND(AP276-AP296,0),"")</f>
        <v>-1</v>
      </c>
      <c r="AQ295" s="37" t="n">
        <f aca="false">IF(ISNUMBER(AQ296),ROUND(AQ276-AQ296,0),"")</f>
        <v>1</v>
      </c>
      <c r="AR295" s="37" t="n">
        <f aca="false">IF(ISNUMBER(AR296),ROUND(AR276-AR296,0),"")</f>
        <v>0</v>
      </c>
      <c r="AS295" s="37" t="n">
        <f aca="false">IF(ISNUMBER(AS296),ROUND(AS276-AS296,0),"")</f>
        <v>0</v>
      </c>
      <c r="AT295" s="37" t="n">
        <f aca="false">IF(ISNUMBER(AT296),ROUND(AT276-AT296,0),"")</f>
        <v>0</v>
      </c>
      <c r="AU295" s="37" t="n">
        <f aca="false">IF(ISNUMBER(AU296),ROUND(AU276-AU296,0),"")</f>
        <v>1</v>
      </c>
      <c r="AV295" s="37" t="n">
        <f aca="false">IF(ISNUMBER(AV296),ROUND(AV276-AV296,0),"")</f>
        <v>1</v>
      </c>
      <c r="AW295" s="37" t="n">
        <f aca="false">IF(ISNUMBER(AW296),ROUND(AW276-AW296,0),"")</f>
        <v>0</v>
      </c>
      <c r="AX295" s="39"/>
      <c r="AY295" s="39"/>
      <c r="AZ295" s="39"/>
      <c r="BA295" s="39"/>
      <c r="BB295" s="39"/>
      <c r="BC295" s="39"/>
      <c r="BD295" s="23"/>
      <c r="BF295" s="7"/>
      <c r="BG295" s="7"/>
      <c r="BH295" s="7"/>
      <c r="BI295" s="7"/>
    </row>
    <row r="296" customFormat="false" ht="15" hidden="false" customHeight="true" outlineLevel="0" collapsed="false">
      <c r="B296" s="36" t="s">
        <v>394</v>
      </c>
      <c r="C296" s="37"/>
      <c r="D296" s="37"/>
      <c r="E296" s="37"/>
      <c r="F296" s="38" t="n">
        <v>2440.5</v>
      </c>
      <c r="G296" s="38" t="n">
        <v>2918.6</v>
      </c>
      <c r="H296" s="38" t="n">
        <v>3248.4</v>
      </c>
      <c r="I296" s="38" t="n">
        <v>3405.8</v>
      </c>
      <c r="J296" s="38" t="n">
        <v>3562.2</v>
      </c>
      <c r="K296" s="37" t="n">
        <f aca="false">L296</f>
        <v>3937.6</v>
      </c>
      <c r="L296" s="38" t="n">
        <v>3937.6</v>
      </c>
      <c r="M296" s="38" t="n">
        <v>4036.2</v>
      </c>
      <c r="N296" s="37" t="n">
        <f aca="false">O296</f>
        <v>4768.2</v>
      </c>
      <c r="O296" s="38" t="n">
        <v>4768.2</v>
      </c>
      <c r="P296" s="38" t="n">
        <v>4548.7</v>
      </c>
      <c r="Q296" s="37" t="n">
        <f aca="false">R296</f>
        <v>5187.6</v>
      </c>
      <c r="R296" s="38" t="n">
        <v>5187.6</v>
      </c>
      <c r="S296" s="38" t="n">
        <v>5247.6</v>
      </c>
      <c r="T296" s="37" t="n">
        <f aca="false">U296</f>
        <v>5998.7</v>
      </c>
      <c r="U296" s="38" t="n">
        <v>5998.7</v>
      </c>
      <c r="V296" s="38" t="n">
        <v>6160.8</v>
      </c>
      <c r="W296" s="37" t="n">
        <f aca="false">X296</f>
        <v>6768.2</v>
      </c>
      <c r="X296" s="38" t="n">
        <v>6768.2</v>
      </c>
      <c r="Y296" s="38" t="n">
        <v>6523.3</v>
      </c>
      <c r="Z296" s="37" t="n">
        <f aca="false">AA296</f>
        <v>7468.1</v>
      </c>
      <c r="AA296" s="38" t="n">
        <v>7468.1</v>
      </c>
      <c r="AB296" s="38" t="n">
        <v>8796.1</v>
      </c>
      <c r="AC296" s="37" t="n">
        <f aca="false">AD296</f>
        <v>9881.1</v>
      </c>
      <c r="AD296" s="38" t="n">
        <v>9881.1</v>
      </c>
      <c r="AE296" s="38" t="n">
        <v>9733.5</v>
      </c>
      <c r="AF296" s="37" t="n">
        <f aca="false">AG296</f>
        <v>11050.5</v>
      </c>
      <c r="AG296" s="38" t="n">
        <v>11050.5</v>
      </c>
      <c r="AH296" s="38" t="n">
        <v>11884.8</v>
      </c>
      <c r="AI296" s="37" t="n">
        <f aca="false">AJ296</f>
        <v>13847</v>
      </c>
      <c r="AJ296" s="38" t="n">
        <v>13847</v>
      </c>
      <c r="AK296" s="38" t="n">
        <v>15082</v>
      </c>
      <c r="AL296" s="37" t="n">
        <f aca="false">AM296</f>
        <v>17459</v>
      </c>
      <c r="AM296" s="38" t="n">
        <v>17459</v>
      </c>
      <c r="AN296" s="38" t="n">
        <v>18255</v>
      </c>
      <c r="AO296" s="37" t="n">
        <f aca="false">AP296</f>
        <v>20447</v>
      </c>
      <c r="AP296" s="38" t="n">
        <v>20447</v>
      </c>
      <c r="AQ296" s="38" t="n">
        <v>20507</v>
      </c>
      <c r="AR296" s="37" t="n">
        <f aca="false">AS296</f>
        <v>23084</v>
      </c>
      <c r="AS296" s="38" t="n">
        <v>23084</v>
      </c>
      <c r="AT296" s="38" t="n">
        <v>21828</v>
      </c>
      <c r="AU296" s="37" t="n">
        <f aca="false">AV296</f>
        <v>24322</v>
      </c>
      <c r="AV296" s="38" t="n">
        <v>24322</v>
      </c>
      <c r="AW296" s="38" t="n">
        <v>24795</v>
      </c>
      <c r="AX296" s="39"/>
      <c r="AY296" s="39"/>
      <c r="AZ296" s="39"/>
      <c r="BA296" s="39"/>
      <c r="BB296" s="39"/>
      <c r="BC296" s="39"/>
      <c r="BD296" s="23"/>
      <c r="BF296" s="7"/>
      <c r="BG296" s="7"/>
      <c r="BH296" s="7"/>
      <c r="BI296" s="7"/>
    </row>
    <row r="297" customFormat="false" ht="15" hidden="false" customHeight="true" outlineLevel="0" collapsed="false">
      <c r="B297" s="43" t="s">
        <v>395</v>
      </c>
      <c r="C297" s="37" t="n">
        <f aca="false">IF(AND(ISNUMBER(C281),ISNUMBER(C298)),ROUND(C281-C298,0),"")</f>
        <v>0</v>
      </c>
      <c r="D297" s="37" t="n">
        <f aca="false">IF(AND(ISNUMBER(D281),ISNUMBER(D298)),ROUND(D281-D298,0),"")</f>
        <v>0</v>
      </c>
      <c r="E297" s="37" t="n">
        <f aca="false">IF(AND(ISNUMBER(E281),ISNUMBER(E298)),ROUND(E281-E298,0),"")</f>
        <v>0</v>
      </c>
      <c r="F297" s="37" t="n">
        <f aca="false">IF(AND(ISNUMBER(F281),ISNUMBER(F298)),ROUND(F281-F298,0),"")</f>
        <v>0</v>
      </c>
      <c r="G297" s="37" t="n">
        <f aca="false">IF(AND(ISNUMBER(G281),ISNUMBER(G298)),ROUND(G281-G298,0),"")</f>
        <v>0</v>
      </c>
      <c r="H297" s="37" t="n">
        <f aca="false">IF(AND(ISNUMBER(H281),ISNUMBER(H298)),ROUND(H281-H298,0),"")</f>
        <v>0</v>
      </c>
      <c r="I297" s="37" t="n">
        <f aca="false">IF(AND(ISNUMBER(I281),ISNUMBER(I298)),ROUND(I281-I298,0),"")</f>
        <v>0</v>
      </c>
      <c r="J297" s="37" t="n">
        <f aca="false">IF(AND(ISNUMBER(J281),ISNUMBER(J298)),ROUND(J281-J298,0),"")</f>
        <v>0</v>
      </c>
      <c r="K297" s="37" t="n">
        <f aca="false">IF(AND(ISNUMBER(K281),ISNUMBER(K298)),ROUND(K281-K298,0),"")</f>
        <v>0</v>
      </c>
      <c r="L297" s="37" t="n">
        <f aca="false">IF(AND(ISNUMBER(L281),ISNUMBER(L298)),ROUND(L281-L298,0),"")</f>
        <v>0</v>
      </c>
      <c r="M297" s="37" t="n">
        <f aca="false">IF(AND(ISNUMBER(M281),ISNUMBER(M298)),ROUND(M281-M298,0),"")</f>
        <v>0</v>
      </c>
      <c r="N297" s="37" t="n">
        <f aca="false">IF(AND(ISNUMBER(N281),ISNUMBER(N298)),ROUND(N281-N298,0),"")</f>
        <v>0</v>
      </c>
      <c r="O297" s="37" t="n">
        <f aca="false">IF(AND(ISNUMBER(O281),ISNUMBER(O298)),ROUND(O281-O298,0),"")</f>
        <v>0</v>
      </c>
      <c r="P297" s="37" t="n">
        <f aca="false">IF(AND(ISNUMBER(P281),ISNUMBER(P298)),ROUND(P281-P298,0),"")</f>
        <v>0</v>
      </c>
      <c r="Q297" s="37" t="n">
        <f aca="false">IF(AND(ISNUMBER(Q281),ISNUMBER(Q298)),ROUND(Q281-Q298,0),"")</f>
        <v>0</v>
      </c>
      <c r="R297" s="37" t="n">
        <f aca="false">IF(AND(ISNUMBER(R281),ISNUMBER(R298)),ROUND(R281-R298,0),"")</f>
        <v>0</v>
      </c>
      <c r="S297" s="37" t="n">
        <f aca="false">IF(AND(ISNUMBER(S281),ISNUMBER(S298)),ROUND(S281-S298,0),"")</f>
        <v>0</v>
      </c>
      <c r="T297" s="37" t="n">
        <f aca="false">IF(AND(ISNUMBER(T281),ISNUMBER(T298)),ROUND(T281-T298,0),"")</f>
        <v>0</v>
      </c>
      <c r="U297" s="37" t="n">
        <f aca="false">IF(AND(ISNUMBER(U281),ISNUMBER(U298)),ROUND(U281-U298,0),"")</f>
        <v>0</v>
      </c>
      <c r="V297" s="37" t="n">
        <f aca="false">IF(AND(ISNUMBER(V281),ISNUMBER(V298)),ROUND(V281-V298,0),"")</f>
        <v>0</v>
      </c>
      <c r="W297" s="37" t="n">
        <f aca="false">IF(AND(ISNUMBER(W281),ISNUMBER(W298)),ROUND(W281-W298,0),"")</f>
        <v>0</v>
      </c>
      <c r="X297" s="37" t="n">
        <f aca="false">IF(AND(ISNUMBER(X281),ISNUMBER(X298)),ROUND(X281-X298,0),"")</f>
        <v>0</v>
      </c>
      <c r="Y297" s="37" t="n">
        <f aca="false">IF(AND(ISNUMBER(Y281),ISNUMBER(Y298)),ROUND(Y281-Y298,0),"")</f>
        <v>0</v>
      </c>
      <c r="Z297" s="37" t="n">
        <f aca="false">IF(AND(ISNUMBER(Z281),ISNUMBER(Z298)),ROUND(Z281-Z298,0),"")</f>
        <v>0</v>
      </c>
      <c r="AA297" s="37" t="n">
        <f aca="false">IF(AND(ISNUMBER(AA281),ISNUMBER(AA298)),ROUND(AA281-AA298,0),"")</f>
        <v>0</v>
      </c>
      <c r="AB297" s="37" t="n">
        <f aca="false">IF(AND(ISNUMBER(AB281),ISNUMBER(AB298)),ROUND(AB281-AB298,0),"")</f>
        <v>0</v>
      </c>
      <c r="AC297" s="37" t="n">
        <f aca="false">IF(AND(ISNUMBER(AC281),ISNUMBER(AC298)),ROUND(AC281-AC298,0),"")</f>
        <v>0</v>
      </c>
      <c r="AD297" s="37" t="n">
        <f aca="false">IF(AND(ISNUMBER(AD281),ISNUMBER(AD298)),ROUND(AD281-AD298,0),"")</f>
        <v>0</v>
      </c>
      <c r="AE297" s="37" t="n">
        <f aca="false">IF(AND(ISNUMBER(AE281),ISNUMBER(AE298)),ROUND(AE281-AE298,0),"")</f>
        <v>0</v>
      </c>
      <c r="AF297" s="37" t="n">
        <f aca="false">IF(AND(ISNUMBER(AF281),ISNUMBER(AF298)),ROUND(AF281-AF298,0),"")</f>
        <v>0</v>
      </c>
      <c r="AG297" s="37" t="n">
        <f aca="false">IF(AND(ISNUMBER(AG281),ISNUMBER(AG298)),ROUND(AG281-AG298,0),"")</f>
        <v>0</v>
      </c>
      <c r="AH297" s="37" t="n">
        <f aca="false">IF(AND(ISNUMBER(AH281),ISNUMBER(AH298)),ROUND(AH281-AH298,0),"")</f>
        <v>0</v>
      </c>
      <c r="AI297" s="37" t="n">
        <f aca="false">IF(AND(ISNUMBER(AI281),ISNUMBER(AI298)),ROUND(AI281-AI298,0),"")</f>
        <v>0</v>
      </c>
      <c r="AJ297" s="37" t="n">
        <f aca="false">IF(AND(ISNUMBER(AJ281),ISNUMBER(AJ298)),ROUND(AJ281-AJ298,0),"")</f>
        <v>0</v>
      </c>
      <c r="AK297" s="37" t="n">
        <f aca="false">IF(AND(ISNUMBER(AK281),ISNUMBER(AK298)),ROUND(AK281-AK298,0),"")</f>
        <v>0</v>
      </c>
      <c r="AL297" s="37" t="n">
        <f aca="false">IF(AND(ISNUMBER(AL281),ISNUMBER(AL298)),ROUND(AL281-AL298,0),"")</f>
        <v>0</v>
      </c>
      <c r="AM297" s="37" t="n">
        <f aca="false">IF(AND(ISNUMBER(AM281),ISNUMBER(AM298)),ROUND(AM281-AM298,0),"")</f>
        <v>0</v>
      </c>
      <c r="AN297" s="37" t="n">
        <f aca="false">IF(AND(ISNUMBER(AN281),ISNUMBER(AN298)),ROUND(AN281-AN298,0),"")</f>
        <v>0</v>
      </c>
      <c r="AO297" s="37" t="n">
        <f aca="false">IF(AND(ISNUMBER(AO281),ISNUMBER(AO298)),ROUND(AO281-AO298,0),"")</f>
        <v>0</v>
      </c>
      <c r="AP297" s="37" t="n">
        <f aca="false">IF(AND(ISNUMBER(AP281),ISNUMBER(AP298)),ROUND(AP281-AP298,0),"")</f>
        <v>0</v>
      </c>
      <c r="AQ297" s="37" t="n">
        <f aca="false">IF(AND(ISNUMBER(AQ281),ISNUMBER(AQ298)),ROUND(AQ281-AQ298,0),"")</f>
        <v>0</v>
      </c>
      <c r="AR297" s="37" t="n">
        <f aca="false">IF(AND(ISNUMBER(AR281),ISNUMBER(AR298)),ROUND(AR281-AR298,0),"")</f>
        <v>0</v>
      </c>
      <c r="AS297" s="37" t="n">
        <f aca="false">IF(AND(ISNUMBER(AS281),ISNUMBER(AS298)),ROUND(AS281-AS298,0),"")</f>
        <v>0</v>
      </c>
      <c r="AT297" s="37" t="n">
        <f aca="false">IF(AND(ISNUMBER(AT281),ISNUMBER(AT298)),ROUND(AT281-AT298,0),"")</f>
        <v>0</v>
      </c>
      <c r="AU297" s="37" t="n">
        <f aca="false">IF(AND(ISNUMBER(AU281),ISNUMBER(AU298)),ROUND(AU281-AU298,0),"")</f>
        <v>0</v>
      </c>
      <c r="AV297" s="37" t="n">
        <f aca="false">IF(AND(ISNUMBER(AV281),ISNUMBER(AV298)),ROUND(AV281-AV298,0),"")</f>
        <v>0</v>
      </c>
      <c r="AW297" s="37" t="n">
        <f aca="false">IF(AND(ISNUMBER(AW281),ISNUMBER(AW298)),ROUND(AW281-AW298,0),"")</f>
        <v>0</v>
      </c>
      <c r="AX297" s="39"/>
      <c r="AY297" s="39"/>
      <c r="AZ297" s="39"/>
      <c r="BA297" s="39"/>
      <c r="BB297" s="39"/>
      <c r="BC297" s="39"/>
      <c r="BD297" s="23"/>
      <c r="BF297" s="7"/>
      <c r="BG297" s="7"/>
      <c r="BH297" s="7"/>
      <c r="BI297" s="7"/>
    </row>
    <row r="298" customFormat="false" ht="15" hidden="false" customHeight="true" outlineLevel="0" collapsed="false">
      <c r="B298" s="36" t="s">
        <v>396</v>
      </c>
      <c r="C298" s="38" t="n">
        <v>1409</v>
      </c>
      <c r="D298" s="38" t="n">
        <v>1459.8</v>
      </c>
      <c r="E298" s="38" t="n">
        <v>1588.5</v>
      </c>
      <c r="F298" s="38" t="n">
        <v>1789.9</v>
      </c>
      <c r="G298" s="38" t="n">
        <v>2150.3</v>
      </c>
      <c r="H298" s="38" t="n">
        <v>2312.8</v>
      </c>
      <c r="I298" s="38" t="n">
        <v>2344.4</v>
      </c>
      <c r="J298" s="38" t="n">
        <v>2447.1</v>
      </c>
      <c r="K298" s="37" t="n">
        <f aca="false">L298</f>
        <v>2825.6</v>
      </c>
      <c r="L298" s="38" t="n">
        <v>2825.6</v>
      </c>
      <c r="M298" s="38" t="n">
        <v>2970.7</v>
      </c>
      <c r="N298" s="37" t="n">
        <f aca="false">O298</f>
        <v>3449</v>
      </c>
      <c r="O298" s="38" t="n">
        <v>3449</v>
      </c>
      <c r="P298" s="38" t="n">
        <v>3227.8</v>
      </c>
      <c r="Q298" s="37" t="n">
        <f aca="false">R298</f>
        <v>3742</v>
      </c>
      <c r="R298" s="38" t="n">
        <v>3742</v>
      </c>
      <c r="S298" s="38" t="n">
        <v>3863.3</v>
      </c>
      <c r="T298" s="37" t="n">
        <f aca="false">U298</f>
        <v>4382.6</v>
      </c>
      <c r="U298" s="38" t="n">
        <v>4382.6</v>
      </c>
      <c r="V298" s="38" t="n">
        <v>4564.5</v>
      </c>
      <c r="W298" s="37" t="n">
        <f aca="false">X298</f>
        <v>5039</v>
      </c>
      <c r="X298" s="38" t="n">
        <v>5039</v>
      </c>
      <c r="Y298" s="38" t="n">
        <v>4789</v>
      </c>
      <c r="Z298" s="37" t="n">
        <f aca="false">AA298</f>
        <v>5503</v>
      </c>
      <c r="AA298" s="38" t="n">
        <v>5503</v>
      </c>
      <c r="AB298" s="38" t="n">
        <v>5762.9</v>
      </c>
      <c r="AC298" s="37" t="n">
        <f aca="false">AD298</f>
        <v>6568.1</v>
      </c>
      <c r="AD298" s="38" t="n">
        <v>6568.1</v>
      </c>
      <c r="AE298" s="38" t="n">
        <v>6340.1</v>
      </c>
      <c r="AF298" s="37" t="n">
        <f aca="false">AG298</f>
        <v>7380.1</v>
      </c>
      <c r="AG298" s="38" t="n">
        <v>7380.1</v>
      </c>
      <c r="AH298" s="38" t="n">
        <v>8023.5</v>
      </c>
      <c r="AI298" s="37" t="n">
        <f aca="false">AJ298</f>
        <v>9400</v>
      </c>
      <c r="AJ298" s="38" t="n">
        <v>9400</v>
      </c>
      <c r="AK298" s="38" t="n">
        <v>10259</v>
      </c>
      <c r="AL298" s="37" t="n">
        <f aca="false">AM298</f>
        <v>12440</v>
      </c>
      <c r="AM298" s="38" t="n">
        <v>12440</v>
      </c>
      <c r="AN298" s="38" t="n">
        <v>13249</v>
      </c>
      <c r="AO298" s="37" t="n">
        <f aca="false">AP298</f>
        <v>15201</v>
      </c>
      <c r="AP298" s="38" t="n">
        <v>15201</v>
      </c>
      <c r="AQ298" s="38" t="n">
        <v>15052</v>
      </c>
      <c r="AR298" s="37" t="n">
        <f aca="false">AS298</f>
        <v>17327</v>
      </c>
      <c r="AS298" s="38" t="n">
        <v>17327</v>
      </c>
      <c r="AT298" s="38" t="n">
        <v>16602</v>
      </c>
      <c r="AU298" s="37" t="n">
        <f aca="false">AV298</f>
        <v>18840</v>
      </c>
      <c r="AV298" s="38" t="n">
        <v>18840</v>
      </c>
      <c r="AW298" s="38" t="n">
        <v>19023</v>
      </c>
      <c r="AX298" s="39"/>
      <c r="AY298" s="39"/>
      <c r="AZ298" s="39"/>
      <c r="BA298" s="39"/>
      <c r="BB298" s="39"/>
      <c r="BC298" s="39"/>
      <c r="BD298" s="23"/>
      <c r="BF298" s="7"/>
      <c r="BG298" s="7"/>
      <c r="BH298" s="7"/>
      <c r="BI298" s="7"/>
    </row>
    <row r="299" customFormat="false" ht="15" hidden="false" customHeight="true" outlineLevel="0" collapsed="false">
      <c r="B299" s="36" t="s">
        <v>397</v>
      </c>
      <c r="C299" s="49"/>
      <c r="D299" s="49"/>
      <c r="E299" s="49"/>
      <c r="F299" s="49"/>
      <c r="G299" s="50" t="n">
        <v>105.162762</v>
      </c>
      <c r="H299" s="50" t="n">
        <v>104.047872</v>
      </c>
      <c r="I299" s="50" t="n">
        <v>104.101744</v>
      </c>
      <c r="J299" s="50" t="n">
        <v>104.122058</v>
      </c>
      <c r="K299" s="49" t="n">
        <f aca="false">L299</f>
        <v>104.11767</v>
      </c>
      <c r="L299" s="50" t="n">
        <v>104.11767</v>
      </c>
      <c r="M299" s="50" t="n">
        <v>104.371572</v>
      </c>
      <c r="N299" s="49" t="n">
        <f aca="false">O299</f>
        <v>104.402148</v>
      </c>
      <c r="O299" s="50" t="n">
        <v>104.402148</v>
      </c>
      <c r="P299" s="50" t="n">
        <v>104.394306</v>
      </c>
      <c r="Q299" s="49" t="n">
        <f aca="false">R299</f>
        <v>104.388641</v>
      </c>
      <c r="R299" s="50" t="n">
        <v>104.388641</v>
      </c>
      <c r="S299" s="50" t="n">
        <v>104.643087</v>
      </c>
      <c r="T299" s="49" t="n">
        <f aca="false">U299</f>
        <v>104.489752</v>
      </c>
      <c r="U299" s="50" t="n">
        <v>104.489752</v>
      </c>
      <c r="V299" s="50" t="n">
        <v>104.489752</v>
      </c>
      <c r="W299" s="49" t="n">
        <f aca="false">X299</f>
        <v>104.15371</v>
      </c>
      <c r="X299" s="50" t="n">
        <v>104.15371</v>
      </c>
      <c r="Y299" s="50" t="n">
        <v>104.268196</v>
      </c>
      <c r="Z299" s="49" t="n">
        <f aca="false">AA299</f>
        <v>104.252033</v>
      </c>
      <c r="AA299" s="50" t="n">
        <v>104.252033</v>
      </c>
      <c r="AB299" s="50" t="n">
        <v>104.238287</v>
      </c>
      <c r="AC299" s="49" t="n">
        <f aca="false">AD299</f>
        <v>104.207783</v>
      </c>
      <c r="AD299" s="50" t="n">
        <v>104.207783</v>
      </c>
      <c r="AE299" s="50" t="n">
        <v>104.600648</v>
      </c>
      <c r="AF299" s="49" t="n">
        <f aca="false">AG299</f>
        <v>104.602619</v>
      </c>
      <c r="AG299" s="50" t="n">
        <v>104.602619</v>
      </c>
      <c r="AH299" s="50" t="n">
        <v>104.643643</v>
      </c>
      <c r="AI299" s="49" t="n">
        <f aca="false">AJ299</f>
        <v>104.644259</v>
      </c>
      <c r="AJ299" s="50" t="n">
        <v>104.644259</v>
      </c>
      <c r="AK299" s="50" t="n">
        <v>104.536269</v>
      </c>
      <c r="AL299" s="49" t="n">
        <f aca="false">AM299</f>
        <v>104.535787</v>
      </c>
      <c r="AM299" s="50" t="n">
        <v>104.535787</v>
      </c>
      <c r="AN299" s="50" t="n">
        <v>104.539148</v>
      </c>
      <c r="AO299" s="49" t="n">
        <f aca="false">AP299</f>
        <v>104.730297</v>
      </c>
      <c r="AP299" s="50" t="n">
        <v>104.730297</v>
      </c>
      <c r="AQ299" s="50" t="n">
        <v>104.730554</v>
      </c>
      <c r="AR299" s="49" t="n">
        <f aca="false">AS299</f>
        <v>104.837768</v>
      </c>
      <c r="AS299" s="50" t="n">
        <v>104.837768</v>
      </c>
      <c r="AT299" s="50" t="n">
        <v>104.837397</v>
      </c>
      <c r="AU299" s="49" t="n">
        <f aca="false">AV299</f>
        <v>104.836315</v>
      </c>
      <c r="AV299" s="50" t="n">
        <v>104.836315</v>
      </c>
      <c r="AW299" s="50" t="n">
        <v>104.741925</v>
      </c>
      <c r="AX299" s="51" t="n">
        <f aca="false">AY299</f>
        <v>104.783448662947</v>
      </c>
      <c r="AY299" s="51" t="n">
        <f aca="false">AY257</f>
        <v>104.783448662947</v>
      </c>
      <c r="AZ299" s="51" t="n">
        <f aca="false">AZ257</f>
        <v>104.683652695411</v>
      </c>
      <c r="BA299" s="51" t="n">
        <f aca="false">BA257</f>
        <v>104.595619080892</v>
      </c>
      <c r="BB299" s="51" t="n">
        <f aca="false">BB257</f>
        <v>104.518578319658</v>
      </c>
      <c r="BC299" s="51" t="n">
        <f aca="false">BC257</f>
        <v>104.451811253085</v>
      </c>
      <c r="BD299" s="23"/>
      <c r="BF299" s="7"/>
      <c r="BG299" s="7"/>
      <c r="BH299" s="7"/>
      <c r="BI299" s="7"/>
    </row>
    <row r="300" customFormat="false" ht="15" hidden="false" customHeight="true" outlineLevel="0" collapsed="false">
      <c r="B300" s="13"/>
      <c r="AX300" s="7"/>
      <c r="AY300" s="7"/>
      <c r="AZ300" s="7"/>
      <c r="BA300" s="7"/>
      <c r="BB300" s="7"/>
      <c r="BC300" s="7"/>
      <c r="BD300" s="7"/>
    </row>
    <row r="301" customFormat="false" ht="15" hidden="false" customHeight="true" outlineLevel="0" collapsed="false">
      <c r="B301" s="12" t="s">
        <v>398</v>
      </c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 t="s">
        <v>399</v>
      </c>
    </row>
    <row r="302" customFormat="false" ht="15" hidden="false" customHeight="true" outlineLevel="0" collapsed="false">
      <c r="B302" s="19" t="s">
        <v>400</v>
      </c>
      <c r="C302" s="20" t="str">
        <f aca="false">IF(ISNUMBER(C274),C274,"")</f>
        <v/>
      </c>
      <c r="D302" s="20" t="str">
        <f aca="false">IF(ISNUMBER(D274),D274,"")</f>
        <v/>
      </c>
      <c r="E302" s="20" t="str">
        <f aca="false">IF(ISNUMBER(E274),E274,"")</f>
        <v/>
      </c>
      <c r="F302" s="20" t="n">
        <f aca="false">IF(ISNUMBER(F274),F274,"")</f>
        <v>529.5</v>
      </c>
      <c r="G302" s="20" t="n">
        <f aca="false">IF(ISNUMBER(G274),G274,"")</f>
        <v>843.8</v>
      </c>
      <c r="H302" s="20" t="n">
        <f aca="false">IF(ISNUMBER(H274),H274,"")</f>
        <v>1048.2</v>
      </c>
      <c r="I302" s="20" t="n">
        <f aca="false">IF(ISNUMBER(I274),I274,"")</f>
        <v>697</v>
      </c>
      <c r="J302" s="20" t="n">
        <f aca="false">IF(ISNUMBER(J274),J274,"")</f>
        <v>787.5</v>
      </c>
      <c r="K302" s="20" t="n">
        <f aca="false">IF(ISNUMBER(K274),K274,"")</f>
        <v>1053.7</v>
      </c>
      <c r="L302" s="20" t="n">
        <f aca="false">IF(ISNUMBER(L274),L274,"")</f>
        <v>1053.7</v>
      </c>
      <c r="M302" s="20" t="n">
        <f aca="false">IF(ISNUMBER(M274),M274,"")</f>
        <v>970.6</v>
      </c>
      <c r="N302" s="20" t="n">
        <f aca="false">IF(ISNUMBER(N274),N274,"")</f>
        <v>1441.6</v>
      </c>
      <c r="O302" s="20" t="n">
        <f aca="false">IF(ISNUMBER(O274),O274,"")</f>
        <v>1441.6</v>
      </c>
      <c r="P302" s="20" t="n">
        <f aca="false">IF(ISNUMBER(P274),P274,"")</f>
        <v>968.2</v>
      </c>
      <c r="Q302" s="20" t="n">
        <f aca="false">IF(ISNUMBER(Q274),Q274,"")</f>
        <v>1589.2</v>
      </c>
      <c r="R302" s="20" t="n">
        <f aca="false">IF(ISNUMBER(R274),R274,"")</f>
        <v>1589.2</v>
      </c>
      <c r="S302" s="20" t="n">
        <f aca="false">IF(ISNUMBER(S274),S274,"")</f>
        <v>1527.9</v>
      </c>
      <c r="T302" s="20" t="n">
        <f aca="false">IF(ISNUMBER(T274),T274,"")</f>
        <v>2328.9</v>
      </c>
      <c r="U302" s="20" t="n">
        <f aca="false">IF(ISNUMBER(U274),U274,"")</f>
        <v>2328.9</v>
      </c>
      <c r="V302" s="20" t="n">
        <f aca="false">IF(ISNUMBER(V274),V274,"")</f>
        <v>2442.3</v>
      </c>
      <c r="W302" s="20" t="n">
        <f aca="false">IF(ISNUMBER(W274),W274,"")</f>
        <v>2931.9</v>
      </c>
      <c r="X302" s="20" t="n">
        <f aca="false">IF(ISNUMBER(X274),X274,"")</f>
        <v>2931.9</v>
      </c>
      <c r="Y302" s="20" t="n">
        <f aca="false">IF(ISNUMBER(Y274),Y274,"")</f>
        <v>2718.3</v>
      </c>
      <c r="Z302" s="20" t="n">
        <f aca="false">IF(ISNUMBER(Z274),Z274,"")</f>
        <v>3479.1</v>
      </c>
      <c r="AA302" s="20" t="n">
        <f aca="false">IF(ISNUMBER(AA274),AA274,"")</f>
        <v>3479.1</v>
      </c>
      <c r="AB302" s="20" t="n">
        <f aca="false">IF(ISNUMBER(AB274),AB274,"")</f>
        <v>3549.9</v>
      </c>
      <c r="AC302" s="20" t="n">
        <f aca="false">IF(ISNUMBER(AC274),AC274,"")</f>
        <v>4384.2</v>
      </c>
      <c r="AD302" s="20" t="n">
        <f aca="false">IF(ISNUMBER(AD274),AD274,"")</f>
        <v>4384.2</v>
      </c>
      <c r="AE302" s="20" t="n">
        <f aca="false">IF(ISNUMBER(AE274),AE274,"")</f>
        <v>3750.3</v>
      </c>
      <c r="AF302" s="20" t="n">
        <f aca="false">IF(ISNUMBER(AF274),AF274,"")</f>
        <v>4732.7</v>
      </c>
      <c r="AG302" s="20" t="n">
        <f aca="false">IF(ISNUMBER(AG274),AG274,"")</f>
        <v>4732.7</v>
      </c>
      <c r="AH302" s="20" t="n">
        <f aca="false">IF(ISNUMBER(AH274),AH274,"")</f>
        <v>5351.6</v>
      </c>
      <c r="AI302" s="20" t="n">
        <f aca="false">IF(ISNUMBER(AI274),AI274,"")</f>
        <v>6696</v>
      </c>
      <c r="AJ302" s="20" t="n">
        <f aca="false">IF(ISNUMBER(AJ274),AJ274,"")</f>
        <v>6696</v>
      </c>
      <c r="AK302" s="20" t="n">
        <f aca="false">IF(ISNUMBER(AK274),AK274,"")</f>
        <v>7293</v>
      </c>
      <c r="AL302" s="20" t="n">
        <f aca="false">IF(ISNUMBER(AL274),AL274,"")</f>
        <v>9225</v>
      </c>
      <c r="AM302" s="20" t="n">
        <f aca="false">IF(ISNUMBER(AM274),AM274,"")</f>
        <v>9225</v>
      </c>
      <c r="AN302" s="20" t="n">
        <f aca="false">IF(ISNUMBER(AN274),AN274,"")</f>
        <v>9349</v>
      </c>
      <c r="AO302" s="20" t="n">
        <f aca="false">IF(ISNUMBER(AO274),AO274,"")</f>
        <v>10625</v>
      </c>
      <c r="AP302" s="20" t="n">
        <f aca="false">IF(ISNUMBER(AP274),AP274,"")</f>
        <v>10625</v>
      </c>
      <c r="AQ302" s="20" t="n">
        <f aca="false">IF(ISNUMBER(AQ274),AQ274,"")</f>
        <v>9478</v>
      </c>
      <c r="AR302" s="20" t="n">
        <f aca="false">IF(ISNUMBER(AR274),AR274,"")</f>
        <v>11642</v>
      </c>
      <c r="AS302" s="20" t="n">
        <f aca="false">IF(ISNUMBER(AS274),AS274,"")</f>
        <v>11642</v>
      </c>
      <c r="AT302" s="20" t="n">
        <f aca="false">IF(ISNUMBER(AT274),AT274,"")</f>
        <v>10321</v>
      </c>
      <c r="AU302" s="20" t="n">
        <f aca="false">IF(ISNUMBER(AU274),AU274,"")</f>
        <v>12239</v>
      </c>
      <c r="AV302" s="20" t="n">
        <f aca="false">IF(ISNUMBER(AV274),AV274,"")</f>
        <v>12239</v>
      </c>
      <c r="AW302" s="20" t="n">
        <f aca="false">IF(ISNUMBER(AW274),AW274,"")</f>
        <v>12310</v>
      </c>
      <c r="AX302" s="22" t="n">
        <f aca="false">AY302</f>
        <v>14213.190264313</v>
      </c>
      <c r="AY302" s="22" t="n">
        <f aca="false">AY274</f>
        <v>14213.190264313</v>
      </c>
      <c r="AZ302" s="22" t="n">
        <f aca="false">AZ274</f>
        <v>16480.5676940969</v>
      </c>
      <c r="BA302" s="22" t="n">
        <f aca="false">BA274</f>
        <v>19150.598302018</v>
      </c>
      <c r="BB302" s="22" t="n">
        <f aca="false">BB274</f>
        <v>22104.5247057711</v>
      </c>
      <c r="BC302" s="22" t="n">
        <f aca="false">BC274</f>
        <v>25316.7433995276</v>
      </c>
      <c r="BD302" s="23"/>
      <c r="BF302" s="7"/>
      <c r="BG302" s="7"/>
      <c r="BH302" s="7"/>
      <c r="BI302" s="7"/>
    </row>
    <row r="303" customFormat="false" ht="15" hidden="false" customHeight="true" outlineLevel="0" collapsed="false">
      <c r="B303" s="13" t="s">
        <v>401</v>
      </c>
      <c r="C303" s="37" t="str">
        <f aca="false">IF(AND(ISNUMBER(C274),ISNUMBER(C230)),C274-C230,"")</f>
        <v/>
      </c>
      <c r="D303" s="37" t="str">
        <f aca="false">IF(AND(ISNUMBER(D274),ISNUMBER(D230)),D274-D230,"")</f>
        <v/>
      </c>
      <c r="E303" s="37" t="str">
        <f aca="false">IF(AND(ISNUMBER(E274),ISNUMBER(E230)),E274-E230,"")</f>
        <v/>
      </c>
      <c r="F303" s="38" t="n">
        <v>21.8</v>
      </c>
      <c r="G303" s="38" t="n">
        <v>15.8</v>
      </c>
      <c r="H303" s="38" t="n">
        <v>9.9</v>
      </c>
      <c r="I303" s="38" t="n">
        <v>11.1</v>
      </c>
      <c r="J303" s="38" t="n">
        <v>192.3</v>
      </c>
      <c r="K303" s="37" t="n">
        <f aca="false">L303</f>
        <v>31.9</v>
      </c>
      <c r="L303" s="38" t="n">
        <v>31.9</v>
      </c>
      <c r="M303" s="38" t="n">
        <v>24.8</v>
      </c>
      <c r="N303" s="37" t="n">
        <f aca="false">O303</f>
        <v>21.7</v>
      </c>
      <c r="O303" s="38" t="n">
        <v>21.7</v>
      </c>
      <c r="P303" s="38" t="n">
        <v>17</v>
      </c>
      <c r="Q303" s="37" t="n">
        <f aca="false">R303</f>
        <v>17.6</v>
      </c>
      <c r="R303" s="38" t="n">
        <v>17.6</v>
      </c>
      <c r="S303" s="38" t="n">
        <v>14.5</v>
      </c>
      <c r="T303" s="37" t="n">
        <f aca="false">U303</f>
        <v>8.4</v>
      </c>
      <c r="U303" s="38" t="n">
        <v>8.4</v>
      </c>
      <c r="V303" s="38" t="n">
        <v>8.1</v>
      </c>
      <c r="W303" s="37" t="n">
        <f aca="false">X303</f>
        <v>20.7</v>
      </c>
      <c r="X303" s="38" t="n">
        <v>20.7</v>
      </c>
      <c r="Y303" s="38" t="n">
        <v>5.4</v>
      </c>
      <c r="Z303" s="37" t="n">
        <f aca="false">AA303</f>
        <v>14.3</v>
      </c>
      <c r="AA303" s="38" t="n">
        <v>14.3</v>
      </c>
      <c r="AB303" s="38" t="n">
        <v>18.4</v>
      </c>
      <c r="AC303" s="37" t="n">
        <f aca="false">AD303</f>
        <v>12.6</v>
      </c>
      <c r="AD303" s="38" t="n">
        <v>12.6</v>
      </c>
      <c r="AE303" s="38" t="n">
        <v>8.5</v>
      </c>
      <c r="AF303" s="37" t="n">
        <f aca="false">AG303</f>
        <v>16.4</v>
      </c>
      <c r="AG303" s="38" t="n">
        <v>16.4</v>
      </c>
      <c r="AH303" s="38" t="n">
        <v>25.3</v>
      </c>
      <c r="AI303" s="37" t="n">
        <f aca="false">AJ303</f>
        <v>1</v>
      </c>
      <c r="AJ303" s="38" t="n">
        <v>1</v>
      </c>
      <c r="AK303" s="38" t="n">
        <v>14</v>
      </c>
      <c r="AL303" s="37" t="n">
        <f aca="false">AM303</f>
        <v>2</v>
      </c>
      <c r="AM303" s="38" t="n">
        <v>2</v>
      </c>
      <c r="AN303" s="38" t="n">
        <v>23</v>
      </c>
      <c r="AO303" s="37" t="n">
        <f aca="false">AP303</f>
        <v>1</v>
      </c>
      <c r="AP303" s="38" t="n">
        <v>1</v>
      </c>
      <c r="AQ303" s="38" t="n">
        <v>1</v>
      </c>
      <c r="AR303" s="37" t="n">
        <f aca="false">AS303</f>
        <v>0</v>
      </c>
      <c r="AS303" s="38" t="n">
        <v>0</v>
      </c>
      <c r="AT303" s="38" t="n">
        <v>2</v>
      </c>
      <c r="AU303" s="37" t="n">
        <f aca="false">AV303</f>
        <v>0</v>
      </c>
      <c r="AV303" s="38" t="n">
        <v>0</v>
      </c>
      <c r="AW303" s="38" t="n">
        <v>1</v>
      </c>
      <c r="AX303" s="39" t="n">
        <f aca="false">AY303</f>
        <v>0</v>
      </c>
      <c r="AY303" s="47" t="n">
        <v>0</v>
      </c>
      <c r="AZ303" s="47" t="n">
        <v>0</v>
      </c>
      <c r="BA303" s="47" t="n">
        <v>0</v>
      </c>
      <c r="BB303" s="47" t="n">
        <v>0</v>
      </c>
      <c r="BC303" s="47" t="n">
        <v>0</v>
      </c>
      <c r="BD303" s="23" t="s">
        <v>402</v>
      </c>
      <c r="BF303" s="7"/>
      <c r="BG303" s="7"/>
      <c r="BH303" s="7"/>
      <c r="BI303" s="7"/>
    </row>
    <row r="304" customFormat="false" ht="15" hidden="false" customHeight="true" outlineLevel="0" collapsed="false">
      <c r="B304" s="19" t="s">
        <v>403</v>
      </c>
      <c r="C304" s="20" t="str">
        <f aca="false">IF(ISNUMBER(C302),C302-N(C303),"")</f>
        <v/>
      </c>
      <c r="D304" s="20" t="str">
        <f aca="false">IF(ISNUMBER(D302),D302-N(D303),"")</f>
        <v/>
      </c>
      <c r="E304" s="20" t="str">
        <f aca="false">IF(ISNUMBER(E302),E302-N(E303),"")</f>
        <v/>
      </c>
      <c r="F304" s="20" t="n">
        <f aca="false">IF(ISNUMBER(F302),F302-N(F303),"")</f>
        <v>507.7</v>
      </c>
      <c r="G304" s="20" t="n">
        <f aca="false">IF(ISNUMBER(G302),G302-N(G303),"")</f>
        <v>828</v>
      </c>
      <c r="H304" s="20" t="n">
        <f aca="false">IF(ISNUMBER(H302),H302-N(H303),"")</f>
        <v>1038.3</v>
      </c>
      <c r="I304" s="20" t="n">
        <f aca="false">IF(ISNUMBER(I302),I302-N(I303),"")</f>
        <v>685.9</v>
      </c>
      <c r="J304" s="20" t="n">
        <f aca="false">IF(ISNUMBER(J302),J302-N(J303),"")</f>
        <v>595.2</v>
      </c>
      <c r="K304" s="20" t="n">
        <f aca="false">IF(ISNUMBER(K302),K302-N(K303),"")</f>
        <v>1021.8</v>
      </c>
      <c r="L304" s="20" t="n">
        <f aca="false">IF(ISNUMBER(L302),L302-N(L303),"")</f>
        <v>1021.8</v>
      </c>
      <c r="M304" s="20" t="n">
        <f aca="false">IF(ISNUMBER(M302),M302-N(M303),"")</f>
        <v>945.8</v>
      </c>
      <c r="N304" s="20" t="n">
        <f aca="false">IF(ISNUMBER(N302),N302-N(N303),"")</f>
        <v>1419.9</v>
      </c>
      <c r="O304" s="20" t="n">
        <f aca="false">IF(ISNUMBER(O302),O302-N(O303),"")</f>
        <v>1419.9</v>
      </c>
      <c r="P304" s="20" t="n">
        <f aca="false">IF(ISNUMBER(P302),P302-N(P303),"")</f>
        <v>951.2</v>
      </c>
      <c r="Q304" s="20" t="n">
        <f aca="false">IF(ISNUMBER(Q302),Q302-N(Q303),"")</f>
        <v>1571.6</v>
      </c>
      <c r="R304" s="20" t="n">
        <f aca="false">IF(ISNUMBER(R302),R302-N(R303),"")</f>
        <v>1571.6</v>
      </c>
      <c r="S304" s="20" t="n">
        <f aca="false">IF(ISNUMBER(S302),S302-N(S303),"")</f>
        <v>1513.4</v>
      </c>
      <c r="T304" s="20" t="n">
        <f aca="false">IF(ISNUMBER(T302),T302-N(T303),"")</f>
        <v>2320.5</v>
      </c>
      <c r="U304" s="20" t="n">
        <f aca="false">IF(ISNUMBER(U302),U302-N(U303),"")</f>
        <v>2320.5</v>
      </c>
      <c r="V304" s="20" t="n">
        <f aca="false">IF(ISNUMBER(V302),V302-N(V303),"")</f>
        <v>2434.2</v>
      </c>
      <c r="W304" s="20" t="n">
        <f aca="false">IF(ISNUMBER(W302),W302-N(W303),"")</f>
        <v>2911.2</v>
      </c>
      <c r="X304" s="20" t="n">
        <f aca="false">IF(ISNUMBER(X302),X302-N(X303),"")</f>
        <v>2911.2</v>
      </c>
      <c r="Y304" s="20" t="n">
        <f aca="false">IF(ISNUMBER(Y302),Y302-N(Y303),"")</f>
        <v>2712.9</v>
      </c>
      <c r="Z304" s="20" t="n">
        <f aca="false">IF(ISNUMBER(Z302),Z302-N(Z303),"")</f>
        <v>3464.8</v>
      </c>
      <c r="AA304" s="20" t="n">
        <f aca="false">IF(ISNUMBER(AA302),AA302-N(AA303),"")</f>
        <v>3464.8</v>
      </c>
      <c r="AB304" s="20" t="n">
        <f aca="false">IF(ISNUMBER(AB302),AB302-N(AB303),"")</f>
        <v>3531.5</v>
      </c>
      <c r="AC304" s="20" t="n">
        <f aca="false">IF(ISNUMBER(AC302),AC302-N(AC303),"")</f>
        <v>4371.6</v>
      </c>
      <c r="AD304" s="20" t="n">
        <f aca="false">IF(ISNUMBER(AD302),AD302-N(AD303),"")</f>
        <v>4371.6</v>
      </c>
      <c r="AE304" s="20" t="n">
        <f aca="false">IF(ISNUMBER(AE302),AE302-N(AE303),"")</f>
        <v>3741.8</v>
      </c>
      <c r="AF304" s="20" t="n">
        <f aca="false">IF(ISNUMBER(AF302),AF302-N(AF303),"")</f>
        <v>4716.3</v>
      </c>
      <c r="AG304" s="20" t="n">
        <f aca="false">IF(ISNUMBER(AG302),AG302-N(AG303),"")</f>
        <v>4716.3</v>
      </c>
      <c r="AH304" s="20" t="n">
        <f aca="false">IF(ISNUMBER(AH302),AH302-N(AH303),"")</f>
        <v>5326.3</v>
      </c>
      <c r="AI304" s="20" t="n">
        <f aca="false">IF(ISNUMBER(AI302),AI302-N(AI303),"")</f>
        <v>6695</v>
      </c>
      <c r="AJ304" s="20" t="n">
        <f aca="false">IF(ISNUMBER(AJ302),AJ302-N(AJ303),"")</f>
        <v>6695</v>
      </c>
      <c r="AK304" s="20" t="n">
        <f aca="false">IF(ISNUMBER(AK302),AK302-N(AK303),"")</f>
        <v>7279</v>
      </c>
      <c r="AL304" s="20" t="n">
        <f aca="false">IF(ISNUMBER(AL302),AL302-N(AL303),"")</f>
        <v>9223</v>
      </c>
      <c r="AM304" s="20" t="n">
        <f aca="false">IF(ISNUMBER(AM302),AM302-N(AM303),"")</f>
        <v>9223</v>
      </c>
      <c r="AN304" s="20" t="n">
        <f aca="false">IF(ISNUMBER(AN302),AN302-N(AN303),"")</f>
        <v>9326</v>
      </c>
      <c r="AO304" s="20" t="n">
        <f aca="false">IF(ISNUMBER(AO302),AO302-N(AO303),"")</f>
        <v>10624</v>
      </c>
      <c r="AP304" s="20" t="n">
        <f aca="false">IF(ISNUMBER(AP302),AP302-N(AP303),"")</f>
        <v>10624</v>
      </c>
      <c r="AQ304" s="20" t="n">
        <f aca="false">IF(ISNUMBER(AQ302),AQ302-N(AQ303),"")</f>
        <v>9477</v>
      </c>
      <c r="AR304" s="20" t="n">
        <f aca="false">IF(ISNUMBER(AR302),AR302-N(AR303),"")</f>
        <v>11642</v>
      </c>
      <c r="AS304" s="20" t="n">
        <f aca="false">IF(ISNUMBER(AS302),AS302-N(AS303),"")</f>
        <v>11642</v>
      </c>
      <c r="AT304" s="20" t="n">
        <f aca="false">IF(ISNUMBER(AT302),AT302-N(AT303),"")</f>
        <v>10319</v>
      </c>
      <c r="AU304" s="20" t="n">
        <f aca="false">IF(ISNUMBER(AU302),AU302-N(AU303),"")</f>
        <v>12239</v>
      </c>
      <c r="AV304" s="20" t="n">
        <f aca="false">IF(ISNUMBER(AV302),AV302-N(AV303),"")</f>
        <v>12239</v>
      </c>
      <c r="AW304" s="20" t="n">
        <f aca="false">IF(ISNUMBER(AW302),AW302-N(AW303),"")</f>
        <v>12309</v>
      </c>
      <c r="AX304" s="22" t="n">
        <f aca="false">AY304</f>
        <v>14213.190264313</v>
      </c>
      <c r="AY304" s="22" t="n">
        <f aca="false">AY302-AY303</f>
        <v>14213.190264313</v>
      </c>
      <c r="AZ304" s="22" t="n">
        <f aca="false">AZ302-AZ303</f>
        <v>16480.5676940969</v>
      </c>
      <c r="BA304" s="22" t="n">
        <f aca="false">BA302-BA303</f>
        <v>19150.598302018</v>
      </c>
      <c r="BB304" s="22" t="n">
        <f aca="false">BB302-BB303</f>
        <v>22104.5247057711</v>
      </c>
      <c r="BC304" s="22" t="n">
        <f aca="false">BC302-BC303</f>
        <v>25316.7433995276</v>
      </c>
      <c r="BD304" s="23"/>
      <c r="BF304" s="7"/>
      <c r="BG304" s="7"/>
      <c r="BH304" s="7"/>
      <c r="BI304" s="7"/>
    </row>
    <row r="305" customFormat="false" ht="15" hidden="false" customHeight="true" outlineLevel="0" collapsed="false">
      <c r="B305" s="36" t="s">
        <v>404</v>
      </c>
      <c r="C305" s="38" t="n">
        <v>538.2</v>
      </c>
      <c r="D305" s="38" t="n">
        <v>480.5</v>
      </c>
      <c r="E305" s="38" t="n">
        <v>450.5</v>
      </c>
      <c r="F305" s="38" t="n">
        <v>507.6</v>
      </c>
      <c r="G305" s="38" t="n">
        <v>828.5</v>
      </c>
      <c r="H305" s="38" t="n">
        <v>1038.3</v>
      </c>
      <c r="I305" s="38" t="n">
        <v>686.1</v>
      </c>
      <c r="J305" s="38" t="n">
        <v>595.9</v>
      </c>
      <c r="K305" s="37" t="n">
        <f aca="false">L305</f>
        <v>1022</v>
      </c>
      <c r="L305" s="38" t="n">
        <v>1022</v>
      </c>
      <c r="M305" s="38" t="n">
        <v>945.8</v>
      </c>
      <c r="N305" s="37" t="n">
        <f aca="false">O305</f>
        <v>1421.6</v>
      </c>
      <c r="O305" s="38" t="n">
        <v>1421.6</v>
      </c>
      <c r="P305" s="38" t="n">
        <v>951.9</v>
      </c>
      <c r="Q305" s="37" t="n">
        <f aca="false">R305</f>
        <v>1571.2</v>
      </c>
      <c r="R305" s="38" t="n">
        <v>1571.2</v>
      </c>
      <c r="S305" s="38" t="n">
        <v>1513.4</v>
      </c>
      <c r="T305" s="37" t="n">
        <f aca="false">U305</f>
        <v>2319.8</v>
      </c>
      <c r="U305" s="38" t="n">
        <v>2319.8</v>
      </c>
      <c r="V305" s="38" t="n">
        <v>2434.3</v>
      </c>
      <c r="W305" s="37" t="n">
        <f aca="false">X305</f>
        <v>2911.7</v>
      </c>
      <c r="X305" s="38" t="n">
        <v>2911.7</v>
      </c>
      <c r="Y305" s="38" t="n">
        <v>2713.2</v>
      </c>
      <c r="Z305" s="37" t="n">
        <f aca="false">AA305</f>
        <v>3465.1</v>
      </c>
      <c r="AA305" s="38" t="n">
        <v>3465.1</v>
      </c>
      <c r="AB305" s="38" t="n">
        <v>3531.7</v>
      </c>
      <c r="AC305" s="37" t="n">
        <f aca="false">AD305</f>
        <v>4371.6</v>
      </c>
      <c r="AD305" s="38" t="n">
        <v>4371.6</v>
      </c>
      <c r="AE305" s="38" t="n">
        <v>3741.8</v>
      </c>
      <c r="AF305" s="37" t="n">
        <f aca="false">AG305</f>
        <v>4716.9</v>
      </c>
      <c r="AG305" s="38" t="n">
        <v>4716.9</v>
      </c>
      <c r="AH305" s="38" t="n">
        <v>5326.4</v>
      </c>
      <c r="AI305" s="37" t="n">
        <f aca="false">AJ305</f>
        <v>6695</v>
      </c>
      <c r="AJ305" s="38" t="n">
        <v>6695</v>
      </c>
      <c r="AK305" s="38" t="n">
        <v>7280</v>
      </c>
      <c r="AL305" s="37" t="n">
        <f aca="false">AM305</f>
        <v>9223</v>
      </c>
      <c r="AM305" s="38" t="n">
        <v>9223</v>
      </c>
      <c r="AN305" s="38" t="n">
        <v>9326</v>
      </c>
      <c r="AO305" s="37" t="n">
        <f aca="false">AP305</f>
        <v>10625</v>
      </c>
      <c r="AP305" s="38" t="n">
        <v>10625</v>
      </c>
      <c r="AQ305" s="38" t="n">
        <v>9477</v>
      </c>
      <c r="AR305" s="37" t="n">
        <f aca="false">AS305</f>
        <v>11642</v>
      </c>
      <c r="AS305" s="38" t="n">
        <v>11642</v>
      </c>
      <c r="AT305" s="38" t="n">
        <v>10319</v>
      </c>
      <c r="AU305" s="37" t="n">
        <f aca="false">AV305</f>
        <v>12239</v>
      </c>
      <c r="AV305" s="38" t="n">
        <v>12239</v>
      </c>
      <c r="AW305" s="38" t="n">
        <v>12310</v>
      </c>
      <c r="AX305" s="39"/>
      <c r="AY305" s="39"/>
      <c r="AZ305" s="39"/>
      <c r="BA305" s="39"/>
      <c r="BB305" s="39"/>
      <c r="BC305" s="39"/>
      <c r="BD305" s="23"/>
      <c r="BF305" s="7"/>
      <c r="BG305" s="7"/>
      <c r="BH305" s="7"/>
      <c r="BI305" s="7"/>
    </row>
    <row r="306" customFormat="false" ht="15" hidden="false" customHeight="true" outlineLevel="0" collapsed="false">
      <c r="B306" s="43" t="s">
        <v>405</v>
      </c>
      <c r="C306" s="37" t="str">
        <f aca="false">IF(AND(ISNUMBER(C304),ISNUMBER(C305)),ROUND(C304-C305,0),"n/p")</f>
        <v>n/p</v>
      </c>
      <c r="D306" s="37" t="str">
        <f aca="false">IF(AND(ISNUMBER(D304),ISNUMBER(D305)),ROUND(D304-D305,0),"n/p")</f>
        <v>n/p</v>
      </c>
      <c r="E306" s="37" t="str">
        <f aca="false">IF(AND(ISNUMBER(E304),ISNUMBER(E305)),ROUND(E304-E305,0),"n/p")</f>
        <v>n/p</v>
      </c>
      <c r="F306" s="37" t="n">
        <f aca="false">IF(AND(ISNUMBER(F304),ISNUMBER(F305)),ROUND(F304-F305,0),"n/p")</f>
        <v>0</v>
      </c>
      <c r="G306" s="37" t="n">
        <f aca="false">IF(AND(ISNUMBER(G304),ISNUMBER(G305)),ROUND(G304-G305,0),"n/p")</f>
        <v>-1</v>
      </c>
      <c r="H306" s="37" t="n">
        <f aca="false">IF(AND(ISNUMBER(H304),ISNUMBER(H305)),ROUND(H304-H305,0),"n/p")</f>
        <v>0</v>
      </c>
      <c r="I306" s="37" t="n">
        <f aca="false">IF(AND(ISNUMBER(I304),ISNUMBER(I305)),ROUND(I304-I305,0),"n/p")</f>
        <v>-0</v>
      </c>
      <c r="J306" s="37" t="n">
        <f aca="false">IF(AND(ISNUMBER(J304),ISNUMBER(J305)),ROUND(J304-J305,0),"n/p")</f>
        <v>-1</v>
      </c>
      <c r="K306" s="37" t="n">
        <f aca="false">IF(AND(ISNUMBER(K304),ISNUMBER(K305)),ROUND(K304-K305,0),"n/p")</f>
        <v>-0</v>
      </c>
      <c r="L306" s="37" t="n">
        <f aca="false">IF(AND(ISNUMBER(L304),ISNUMBER(L305)),ROUND(L304-L305,0),"n/p")</f>
        <v>-0</v>
      </c>
      <c r="M306" s="37" t="n">
        <f aca="false">IF(AND(ISNUMBER(M304),ISNUMBER(M305)),ROUND(M304-M305,0),"n/p")</f>
        <v>0</v>
      </c>
      <c r="N306" s="37" t="n">
        <f aca="false">IF(AND(ISNUMBER(N304),ISNUMBER(N305)),ROUND(N304-N305,0),"n/p")</f>
        <v>-2</v>
      </c>
      <c r="O306" s="37" t="n">
        <f aca="false">IF(AND(ISNUMBER(O304),ISNUMBER(O305)),ROUND(O304-O305,0),"n/p")</f>
        <v>-2</v>
      </c>
      <c r="P306" s="37" t="n">
        <f aca="false">IF(AND(ISNUMBER(P304),ISNUMBER(P305)),ROUND(P304-P305,0),"n/p")</f>
        <v>-1</v>
      </c>
      <c r="Q306" s="37" t="n">
        <f aca="false">IF(AND(ISNUMBER(Q304),ISNUMBER(Q305)),ROUND(Q304-Q305,0),"n/p")</f>
        <v>0</v>
      </c>
      <c r="R306" s="37" t="n">
        <f aca="false">IF(AND(ISNUMBER(R304),ISNUMBER(R305)),ROUND(R304-R305,0),"n/p")</f>
        <v>0</v>
      </c>
      <c r="S306" s="37" t="n">
        <f aca="false">IF(AND(ISNUMBER(S304),ISNUMBER(S305)),ROUND(S304-S305,0),"n/p")</f>
        <v>0</v>
      </c>
      <c r="T306" s="37" t="n">
        <f aca="false">IF(AND(ISNUMBER(T304),ISNUMBER(T305)),ROUND(T304-T305,0),"n/p")</f>
        <v>1</v>
      </c>
      <c r="U306" s="37" t="n">
        <f aca="false">IF(AND(ISNUMBER(U304),ISNUMBER(U305)),ROUND(U304-U305,0),"n/p")</f>
        <v>1</v>
      </c>
      <c r="V306" s="37" t="n">
        <f aca="false">IF(AND(ISNUMBER(V304),ISNUMBER(V305)),ROUND(V304-V305,0),"n/p")</f>
        <v>-0</v>
      </c>
      <c r="W306" s="37" t="n">
        <f aca="false">IF(AND(ISNUMBER(W304),ISNUMBER(W305)),ROUND(W304-W305,0),"n/p")</f>
        <v>-0</v>
      </c>
      <c r="X306" s="37" t="n">
        <f aca="false">IF(AND(ISNUMBER(X304),ISNUMBER(X305)),ROUND(X304-X305,0),"n/p")</f>
        <v>-0</v>
      </c>
      <c r="Y306" s="37" t="n">
        <f aca="false">IF(AND(ISNUMBER(Y304),ISNUMBER(Y305)),ROUND(Y304-Y305,0),"n/p")</f>
        <v>-0</v>
      </c>
      <c r="Z306" s="37" t="n">
        <f aca="false">IF(AND(ISNUMBER(Z304),ISNUMBER(Z305)),ROUND(Z304-Z305,0),"n/p")</f>
        <v>-0</v>
      </c>
      <c r="AA306" s="37" t="n">
        <f aca="false">IF(AND(ISNUMBER(AA304),ISNUMBER(AA305)),ROUND(AA304-AA305,0),"n/p")</f>
        <v>-0</v>
      </c>
      <c r="AB306" s="37" t="n">
        <f aca="false">IF(AND(ISNUMBER(AB304),ISNUMBER(AB305)),ROUND(AB304-AB305,0),"n/p")</f>
        <v>-0</v>
      </c>
      <c r="AC306" s="37" t="n">
        <f aca="false">IF(AND(ISNUMBER(AC304),ISNUMBER(AC305)),ROUND(AC304-AC305,0),"n/p")</f>
        <v>0</v>
      </c>
      <c r="AD306" s="37" t="n">
        <f aca="false">IF(AND(ISNUMBER(AD304),ISNUMBER(AD305)),ROUND(AD304-AD305,0),"n/p")</f>
        <v>0</v>
      </c>
      <c r="AE306" s="37" t="n">
        <f aca="false">IF(AND(ISNUMBER(AE304),ISNUMBER(AE305)),ROUND(AE304-AE305,0),"n/p")</f>
        <v>0</v>
      </c>
      <c r="AF306" s="37" t="n">
        <f aca="false">IF(AND(ISNUMBER(AF304),ISNUMBER(AF305)),ROUND(AF304-AF305,0),"n/p")</f>
        <v>-1</v>
      </c>
      <c r="AG306" s="37" t="n">
        <f aca="false">IF(AND(ISNUMBER(AG304),ISNUMBER(AG305)),ROUND(AG304-AG305,0),"n/p")</f>
        <v>-1</v>
      </c>
      <c r="AH306" s="37" t="n">
        <f aca="false">IF(AND(ISNUMBER(AH304),ISNUMBER(AH305)),ROUND(AH304-AH305,0),"n/p")</f>
        <v>-0</v>
      </c>
      <c r="AI306" s="37" t="n">
        <f aca="false">IF(AND(ISNUMBER(AI304),ISNUMBER(AI305)),ROUND(AI304-AI305,0),"n/p")</f>
        <v>0</v>
      </c>
      <c r="AJ306" s="37" t="n">
        <f aca="false">IF(AND(ISNUMBER(AJ304),ISNUMBER(AJ305)),ROUND(AJ304-AJ305,0),"n/p")</f>
        <v>0</v>
      </c>
      <c r="AK306" s="37" t="n">
        <f aca="false">IF(AND(ISNUMBER(AK304),ISNUMBER(AK305)),ROUND(AK304-AK305,0),"n/p")</f>
        <v>-1</v>
      </c>
      <c r="AL306" s="37" t="n">
        <f aca="false">IF(AND(ISNUMBER(AL304),ISNUMBER(AL305)),ROUND(AL304-AL305,0),"n/p")</f>
        <v>0</v>
      </c>
      <c r="AM306" s="37" t="n">
        <f aca="false">IF(AND(ISNUMBER(AM304),ISNUMBER(AM305)),ROUND(AM304-AM305,0),"n/p")</f>
        <v>0</v>
      </c>
      <c r="AN306" s="37" t="n">
        <f aca="false">IF(AND(ISNUMBER(AN304),ISNUMBER(AN305)),ROUND(AN304-AN305,0),"n/p")</f>
        <v>0</v>
      </c>
      <c r="AO306" s="37" t="n">
        <f aca="false">IF(AND(ISNUMBER(AO304),ISNUMBER(AO305)),ROUND(AO304-AO305,0),"n/p")</f>
        <v>-1</v>
      </c>
      <c r="AP306" s="37" t="n">
        <f aca="false">IF(AND(ISNUMBER(AP304),ISNUMBER(AP305)),ROUND(AP304-AP305,0),"n/p")</f>
        <v>-1</v>
      </c>
      <c r="AQ306" s="37" t="n">
        <f aca="false">IF(AND(ISNUMBER(AQ304),ISNUMBER(AQ305)),ROUND(AQ304-AQ305,0),"n/p")</f>
        <v>0</v>
      </c>
      <c r="AR306" s="37" t="n">
        <f aca="false">IF(AND(ISNUMBER(AR304),ISNUMBER(AR305)),ROUND(AR304-AR305,0),"n/p")</f>
        <v>0</v>
      </c>
      <c r="AS306" s="37" t="n">
        <f aca="false">IF(AND(ISNUMBER(AS304),ISNUMBER(AS305)),ROUND(AS304-AS305,0),"n/p")</f>
        <v>0</v>
      </c>
      <c r="AT306" s="37" t="n">
        <f aca="false">IF(AND(ISNUMBER(AT304),ISNUMBER(AT305)),ROUND(AT304-AT305,0),"n/p")</f>
        <v>0</v>
      </c>
      <c r="AU306" s="37" t="n">
        <f aca="false">IF(AND(ISNUMBER(AU304),ISNUMBER(AU305)),ROUND(AU304-AU305,0),"n/p")</f>
        <v>0</v>
      </c>
      <c r="AV306" s="37" t="n">
        <f aca="false">IF(AND(ISNUMBER(AV304),ISNUMBER(AV305)),ROUND(AV304-AV305,0),"n/p")</f>
        <v>0</v>
      </c>
      <c r="AW306" s="37" t="n">
        <f aca="false">IF(AND(ISNUMBER(AW304),ISNUMBER(AW305)),ROUND(AW304-AW305,0),"n/p")</f>
        <v>-1</v>
      </c>
      <c r="AX306" s="39"/>
      <c r="AY306" s="39"/>
      <c r="AZ306" s="39"/>
      <c r="BA306" s="39"/>
      <c r="BB306" s="39"/>
      <c r="BC306" s="39"/>
      <c r="BD306" s="23"/>
      <c r="BF306" s="7"/>
      <c r="BG306" s="7"/>
      <c r="BH306" s="7"/>
      <c r="BI306" s="7"/>
    </row>
    <row r="307" customFormat="false" ht="15" hidden="false" customHeight="true" outlineLevel="0" collapsed="false">
      <c r="B307" s="13" t="s">
        <v>406</v>
      </c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8" t="n">
        <v>208.2</v>
      </c>
      <c r="AC307" s="37" t="n">
        <f aca="false">AD307</f>
        <v>190</v>
      </c>
      <c r="AD307" s="38" t="n">
        <v>190</v>
      </c>
      <c r="AE307" s="38" t="n">
        <v>180</v>
      </c>
      <c r="AF307" s="37" t="n">
        <f aca="false">AG307</f>
        <v>195</v>
      </c>
      <c r="AG307" s="38" t="n">
        <v>195</v>
      </c>
      <c r="AH307" s="38" t="n">
        <v>195</v>
      </c>
      <c r="AI307" s="37" t="n">
        <f aca="false">AJ307</f>
        <v>375</v>
      </c>
      <c r="AJ307" s="38" t="n">
        <v>375</v>
      </c>
      <c r="AK307" s="38" t="n">
        <v>405</v>
      </c>
      <c r="AL307" s="37" t="n">
        <f aca="false">AM307</f>
        <v>521</v>
      </c>
      <c r="AM307" s="38" t="n">
        <v>521</v>
      </c>
      <c r="AN307" s="38" t="n">
        <v>523</v>
      </c>
      <c r="AO307" s="37" t="n">
        <f aca="false">AP307</f>
        <v>541</v>
      </c>
      <c r="AP307" s="38" t="n">
        <v>541</v>
      </c>
      <c r="AQ307" s="38" t="n">
        <v>557</v>
      </c>
      <c r="AR307" s="37" t="n">
        <f aca="false">AS307</f>
        <v>398</v>
      </c>
      <c r="AS307" s="38" t="n">
        <v>398</v>
      </c>
      <c r="AT307" s="38" t="n">
        <v>404</v>
      </c>
      <c r="AU307" s="37" t="n">
        <f aca="false">AV307</f>
        <v>534</v>
      </c>
      <c r="AV307" s="38" t="n">
        <v>534</v>
      </c>
      <c r="AW307" s="38" t="n">
        <v>616</v>
      </c>
      <c r="AX307" s="39" t="n">
        <f aca="false">AY307</f>
        <v>534</v>
      </c>
      <c r="AY307" s="39" t="n">
        <f aca="false">AV307</f>
        <v>534</v>
      </c>
      <c r="AZ307" s="39" t="n">
        <f aca="false">AY307</f>
        <v>534</v>
      </c>
      <c r="BA307" s="39" t="n">
        <f aca="false">AZ307</f>
        <v>534</v>
      </c>
      <c r="BB307" s="39" t="n">
        <f aca="false">BA307</f>
        <v>534</v>
      </c>
      <c r="BC307" s="39" t="n">
        <f aca="false">BB307</f>
        <v>534</v>
      </c>
      <c r="BD307" s="23"/>
      <c r="BF307" s="7"/>
      <c r="BG307" s="7"/>
      <c r="BH307" s="7"/>
      <c r="BI307" s="7"/>
    </row>
    <row r="308" customFormat="false" ht="15" hidden="false" customHeight="true" outlineLevel="0" collapsed="false">
      <c r="B308" s="13" t="s">
        <v>407</v>
      </c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 t="n">
        <f aca="false">AG308</f>
        <v>-8.3</v>
      </c>
      <c r="AG308" s="38" t="n">
        <v>-8.3</v>
      </c>
      <c r="AH308" s="38" t="n">
        <v>-0.5</v>
      </c>
      <c r="AI308" s="37" t="n">
        <f aca="false">AJ308</f>
        <v>0</v>
      </c>
      <c r="AJ308" s="38" t="n">
        <v>0</v>
      </c>
      <c r="AK308" s="38" t="n">
        <v>0</v>
      </c>
      <c r="AL308" s="37" t="n">
        <f aca="false">AM308</f>
        <v>-1</v>
      </c>
      <c r="AM308" s="38" t="n">
        <v>-1</v>
      </c>
      <c r="AN308" s="38" t="n">
        <v>-1</v>
      </c>
      <c r="AO308" s="37" t="n">
        <f aca="false">AP308</f>
        <v>-2</v>
      </c>
      <c r="AP308" s="38" t="n">
        <v>-2</v>
      </c>
      <c r="AQ308" s="38" t="n">
        <v>-1</v>
      </c>
      <c r="AR308" s="37" t="n">
        <f aca="false">AS308</f>
        <v>-1</v>
      </c>
      <c r="AS308" s="38" t="n">
        <v>-1</v>
      </c>
      <c r="AT308" s="38" t="n">
        <v>-1</v>
      </c>
      <c r="AU308" s="37" t="n">
        <f aca="false">AV308</f>
        <v>0</v>
      </c>
      <c r="AV308" s="38" t="n">
        <v>0</v>
      </c>
      <c r="AW308" s="38" t="n">
        <v>0</v>
      </c>
      <c r="AX308" s="39" t="n">
        <f aca="false">AY308</f>
        <v>0</v>
      </c>
      <c r="AY308" s="39" t="n">
        <f aca="false">AV308</f>
        <v>0</v>
      </c>
      <c r="AZ308" s="39" t="n">
        <f aca="false">AY308</f>
        <v>0</v>
      </c>
      <c r="BA308" s="39" t="n">
        <f aca="false">AZ308</f>
        <v>0</v>
      </c>
      <c r="BB308" s="39" t="n">
        <f aca="false">BA308</f>
        <v>0</v>
      </c>
      <c r="BC308" s="39" t="n">
        <f aca="false">BB308</f>
        <v>0</v>
      </c>
      <c r="BD308" s="23"/>
      <c r="BF308" s="7"/>
      <c r="BG308" s="7"/>
      <c r="BH308" s="7"/>
      <c r="BI308" s="7"/>
    </row>
    <row r="309" customFormat="false" ht="15" hidden="false" customHeight="true" outlineLevel="0" collapsed="false">
      <c r="B309" s="40" t="s">
        <v>408</v>
      </c>
      <c r="C309" s="41" t="str">
        <f aca="false">IF(AND(ISNUMBER(C304),ISNUMBER(C307)),C304+C307+N(C308),"")</f>
        <v/>
      </c>
      <c r="D309" s="41" t="str">
        <f aca="false">IF(AND(ISNUMBER(D304),ISNUMBER(D307)),D304+D307+N(D308),"")</f>
        <v/>
      </c>
      <c r="E309" s="41" t="str">
        <f aca="false">IF(AND(ISNUMBER(E304),ISNUMBER(E307)),E304+E307+N(E308),"")</f>
        <v/>
      </c>
      <c r="F309" s="41" t="str">
        <f aca="false">IF(AND(ISNUMBER(F304),ISNUMBER(F307)),F304+F307+N(F308),"")</f>
        <v/>
      </c>
      <c r="G309" s="41" t="str">
        <f aca="false">IF(AND(ISNUMBER(G304),ISNUMBER(G307)),G304+G307+N(G308),"")</f>
        <v/>
      </c>
      <c r="H309" s="41" t="str">
        <f aca="false">IF(AND(ISNUMBER(H304),ISNUMBER(H307)),H304+H307+N(H308),"")</f>
        <v/>
      </c>
      <c r="I309" s="41" t="str">
        <f aca="false">IF(AND(ISNUMBER(I304),ISNUMBER(I307)),I304+I307+N(I308),"")</f>
        <v/>
      </c>
      <c r="J309" s="41" t="str">
        <f aca="false">IF(AND(ISNUMBER(J304),ISNUMBER(J307)),J304+J307+N(J308),"")</f>
        <v/>
      </c>
      <c r="K309" s="41" t="str">
        <f aca="false">IF(AND(ISNUMBER(K304),ISNUMBER(K307)),K304+K307+N(K308),"")</f>
        <v/>
      </c>
      <c r="L309" s="41" t="str">
        <f aca="false">IF(AND(ISNUMBER(L304),ISNUMBER(L307)),L304+L307+N(L308),"")</f>
        <v/>
      </c>
      <c r="M309" s="41" t="str">
        <f aca="false">IF(AND(ISNUMBER(M304),ISNUMBER(M307)),M304+M307+N(M308),"")</f>
        <v/>
      </c>
      <c r="N309" s="41" t="str">
        <f aca="false">IF(AND(ISNUMBER(N304),ISNUMBER(N307)),N304+N307+N(N308),"")</f>
        <v/>
      </c>
      <c r="O309" s="41" t="str">
        <f aca="false">IF(AND(ISNUMBER(O304),ISNUMBER(O307)),O304+O307+N(O308),"")</f>
        <v/>
      </c>
      <c r="P309" s="41" t="str">
        <f aca="false">IF(AND(ISNUMBER(P304),ISNUMBER(P307)),P304+P307+N(P308),"")</f>
        <v/>
      </c>
      <c r="Q309" s="41" t="str">
        <f aca="false">IF(AND(ISNUMBER(Q304),ISNUMBER(Q307)),Q304+Q307+N(Q308),"")</f>
        <v/>
      </c>
      <c r="R309" s="41" t="str">
        <f aca="false">IF(AND(ISNUMBER(R304),ISNUMBER(R307)),R304+R307+N(R308),"")</f>
        <v/>
      </c>
      <c r="S309" s="41" t="str">
        <f aca="false">IF(AND(ISNUMBER(S304),ISNUMBER(S307)),S304+S307+N(S308),"")</f>
        <v/>
      </c>
      <c r="T309" s="41" t="str">
        <f aca="false">IF(AND(ISNUMBER(T304),ISNUMBER(T307)),T304+T307+N(T308),"")</f>
        <v/>
      </c>
      <c r="U309" s="41" t="str">
        <f aca="false">IF(AND(ISNUMBER(U304),ISNUMBER(U307)),U304+U307+N(U308),"")</f>
        <v/>
      </c>
      <c r="V309" s="41" t="str">
        <f aca="false">IF(AND(ISNUMBER(V304),ISNUMBER(V307)),V304+V307+N(V308),"")</f>
        <v/>
      </c>
      <c r="W309" s="41" t="str">
        <f aca="false">IF(AND(ISNUMBER(W304),ISNUMBER(W307)),W304+W307+N(W308),"")</f>
        <v/>
      </c>
      <c r="X309" s="41" t="str">
        <f aca="false">IF(AND(ISNUMBER(X304),ISNUMBER(X307)),X304+X307+N(X308),"")</f>
        <v/>
      </c>
      <c r="Y309" s="41" t="str">
        <f aca="false">IF(AND(ISNUMBER(Y304),ISNUMBER(Y307)),Y304+Y307+N(Y308),"")</f>
        <v/>
      </c>
      <c r="Z309" s="41" t="str">
        <f aca="false">IF(AND(ISNUMBER(Z304),ISNUMBER(Z307)),Z304+Z307+N(Z308),"")</f>
        <v/>
      </c>
      <c r="AA309" s="41" t="str">
        <f aca="false">IF(AND(ISNUMBER(AA304),ISNUMBER(AA307)),AA304+AA307+N(AA308),"")</f>
        <v/>
      </c>
      <c r="AB309" s="41" t="n">
        <f aca="false">IF(AND(ISNUMBER(AB304),ISNUMBER(AB307)),AB304+AB307+N(AB308),"")</f>
        <v>3739.7</v>
      </c>
      <c r="AC309" s="41" t="n">
        <f aca="false">IF(AND(ISNUMBER(AC304),ISNUMBER(AC307)),AC304+AC307+N(AC308),"")</f>
        <v>4561.6</v>
      </c>
      <c r="AD309" s="41" t="n">
        <f aca="false">IF(AND(ISNUMBER(AD304),ISNUMBER(AD307)),AD304+AD307+N(AD308),"")</f>
        <v>4561.6</v>
      </c>
      <c r="AE309" s="41" t="n">
        <f aca="false">IF(AND(ISNUMBER(AE304),ISNUMBER(AE307)),AE304+AE307+N(AE308),"")</f>
        <v>3921.8</v>
      </c>
      <c r="AF309" s="41" t="n">
        <f aca="false">IF(AND(ISNUMBER(AF304),ISNUMBER(AF307)),AF304+AF307+N(AF308),"")</f>
        <v>4903</v>
      </c>
      <c r="AG309" s="41" t="n">
        <f aca="false">IF(AND(ISNUMBER(AG304),ISNUMBER(AG307)),AG304+AG307+N(AG308),"")</f>
        <v>4903</v>
      </c>
      <c r="AH309" s="41" t="n">
        <f aca="false">IF(AND(ISNUMBER(AH304),ISNUMBER(AH307)),AH304+AH307+N(AH308),"")</f>
        <v>5520.8</v>
      </c>
      <c r="AI309" s="41" t="n">
        <f aca="false">IF(AND(ISNUMBER(AI304),ISNUMBER(AI307)),AI304+AI307+N(AI308),"")</f>
        <v>7070</v>
      </c>
      <c r="AJ309" s="41" t="n">
        <f aca="false">IF(AND(ISNUMBER(AJ304),ISNUMBER(AJ307)),AJ304+AJ307+N(AJ308),"")</f>
        <v>7070</v>
      </c>
      <c r="AK309" s="41" t="n">
        <f aca="false">IF(AND(ISNUMBER(AK304),ISNUMBER(AK307)),AK304+AK307+N(AK308),"")</f>
        <v>7684</v>
      </c>
      <c r="AL309" s="41" t="n">
        <f aca="false">IF(AND(ISNUMBER(AL304),ISNUMBER(AL307)),AL304+AL307+N(AL308),"")</f>
        <v>9743</v>
      </c>
      <c r="AM309" s="41" t="n">
        <f aca="false">IF(AND(ISNUMBER(AM304),ISNUMBER(AM307)),AM304+AM307+N(AM308),"")</f>
        <v>9743</v>
      </c>
      <c r="AN309" s="41" t="n">
        <f aca="false">IF(AND(ISNUMBER(AN304),ISNUMBER(AN307)),AN304+AN307+N(AN308),"")</f>
        <v>9848</v>
      </c>
      <c r="AO309" s="41" t="n">
        <f aca="false">IF(AND(ISNUMBER(AO304),ISNUMBER(AO307)),AO304+AO307+N(AO308),"")</f>
        <v>11163</v>
      </c>
      <c r="AP309" s="41" t="n">
        <f aca="false">IF(AND(ISNUMBER(AP304),ISNUMBER(AP307)),AP304+AP307+N(AP308),"")</f>
        <v>11163</v>
      </c>
      <c r="AQ309" s="41" t="n">
        <f aca="false">IF(AND(ISNUMBER(AQ304),ISNUMBER(AQ307)),AQ304+AQ307+N(AQ308),"")</f>
        <v>10033</v>
      </c>
      <c r="AR309" s="41" t="n">
        <f aca="false">IF(AND(ISNUMBER(AR304),ISNUMBER(AR307)),AR304+AR307+N(AR308),"")</f>
        <v>12039</v>
      </c>
      <c r="AS309" s="41" t="n">
        <f aca="false">IF(AND(ISNUMBER(AS304),ISNUMBER(AS307)),AS304+AS307+N(AS308),"")</f>
        <v>12039</v>
      </c>
      <c r="AT309" s="41" t="n">
        <f aca="false">IF(AND(ISNUMBER(AT304),ISNUMBER(AT307)),AT304+AT307+N(AT308),"")</f>
        <v>10722</v>
      </c>
      <c r="AU309" s="41" t="n">
        <f aca="false">IF(AND(ISNUMBER(AU304),ISNUMBER(AU307)),AU304+AU307+N(AU308),"")</f>
        <v>12773</v>
      </c>
      <c r="AV309" s="41" t="n">
        <f aca="false">IF(AND(ISNUMBER(AV304),ISNUMBER(AV307)),AV304+AV307+N(AV308),"")</f>
        <v>12773</v>
      </c>
      <c r="AW309" s="41" t="n">
        <f aca="false">IF(AND(ISNUMBER(AW304),ISNUMBER(AW307)),AW304+AW307+N(AW308),"")</f>
        <v>12925</v>
      </c>
      <c r="AX309" s="41" t="n">
        <f aca="false">AY309</f>
        <v>14747.190264313</v>
      </c>
      <c r="AY309" s="41" t="n">
        <f aca="false">AY304+AY307+AY308</f>
        <v>14747.190264313</v>
      </c>
      <c r="AZ309" s="41" t="n">
        <f aca="false">AZ304+AZ307+AZ308</f>
        <v>17014.5676940969</v>
      </c>
      <c r="BA309" s="41" t="n">
        <f aca="false">BA304+BA307+BA308</f>
        <v>19684.598302018</v>
      </c>
      <c r="BB309" s="41" t="n">
        <f aca="false">BB304+BB307+BB308</f>
        <v>22638.5247057711</v>
      </c>
      <c r="BC309" s="41" t="n">
        <f aca="false">BC304+BC307+BC308</f>
        <v>25850.7433995276</v>
      </c>
      <c r="BD309" s="23"/>
      <c r="BF309" s="7"/>
      <c r="BG309" s="7"/>
      <c r="BH309" s="7"/>
      <c r="BI309" s="7"/>
    </row>
    <row r="310" customFormat="false" ht="15" hidden="false" customHeight="true" outlineLevel="0" collapsed="false">
      <c r="B310" s="36" t="s">
        <v>409</v>
      </c>
      <c r="C310" s="38" t="n">
        <v>536.3</v>
      </c>
      <c r="D310" s="38" t="n">
        <v>485.5</v>
      </c>
      <c r="E310" s="38" t="n">
        <v>432.4</v>
      </c>
      <c r="F310" s="38" t="n">
        <v>576.4</v>
      </c>
      <c r="G310" s="38" t="n">
        <v>950.1</v>
      </c>
      <c r="H310" s="38" t="n">
        <v>1044.2</v>
      </c>
      <c r="I310" s="38" t="n">
        <v>721</v>
      </c>
      <c r="J310" s="38" t="n">
        <v>646.7</v>
      </c>
      <c r="K310" s="37" t="n">
        <f aca="false">L310</f>
        <v>1091</v>
      </c>
      <c r="L310" s="38" t="n">
        <v>1091</v>
      </c>
      <c r="M310" s="38" t="n">
        <v>1016.6</v>
      </c>
      <c r="N310" s="37" t="n">
        <f aca="false">O310</f>
        <v>1493.6</v>
      </c>
      <c r="O310" s="38" t="n">
        <v>1493.6</v>
      </c>
      <c r="P310" s="38" t="n">
        <v>1018.3</v>
      </c>
      <c r="Q310" s="37" t="n">
        <f aca="false">R310</f>
        <v>1614</v>
      </c>
      <c r="R310" s="38" t="n">
        <v>1614</v>
      </c>
      <c r="S310" s="38" t="n">
        <v>1625.4</v>
      </c>
      <c r="T310" s="37" t="n">
        <f aca="false">U310</f>
        <v>2345.3</v>
      </c>
      <c r="U310" s="38" t="n">
        <v>2345.3</v>
      </c>
      <c r="V310" s="38" t="n">
        <v>2530.4</v>
      </c>
      <c r="W310" s="37" t="n">
        <f aca="false">X310</f>
        <v>3049.9</v>
      </c>
      <c r="X310" s="38" t="n">
        <v>3049.9</v>
      </c>
      <c r="Y310" s="38" t="n">
        <v>2798</v>
      </c>
      <c r="Z310" s="37" t="n">
        <f aca="false">AA310</f>
        <v>3615.1</v>
      </c>
      <c r="AA310" s="38" t="n">
        <v>3615.1</v>
      </c>
      <c r="AB310" s="38" t="n">
        <v>3740</v>
      </c>
      <c r="AC310" s="37" t="n">
        <f aca="false">AD310</f>
        <v>4561.6</v>
      </c>
      <c r="AD310" s="38" t="n">
        <v>4561.6</v>
      </c>
      <c r="AE310" s="38" t="n">
        <v>3921.8</v>
      </c>
      <c r="AF310" s="37" t="n">
        <f aca="false">AG310</f>
        <v>4903.5</v>
      </c>
      <c r="AG310" s="38" t="n">
        <v>4903.5</v>
      </c>
      <c r="AH310" s="38" t="n">
        <v>5520.9</v>
      </c>
      <c r="AI310" s="37" t="n">
        <f aca="false">AJ310</f>
        <v>7070</v>
      </c>
      <c r="AJ310" s="38" t="n">
        <v>7070</v>
      </c>
      <c r="AK310" s="38" t="n">
        <v>7685</v>
      </c>
      <c r="AL310" s="37" t="n">
        <f aca="false">AM310</f>
        <v>9742</v>
      </c>
      <c r="AM310" s="38" t="n">
        <v>9742</v>
      </c>
      <c r="AN310" s="38" t="n">
        <v>9848</v>
      </c>
      <c r="AO310" s="37" t="n">
        <f aca="false">AP310</f>
        <v>11164</v>
      </c>
      <c r="AP310" s="38" t="n">
        <v>11164</v>
      </c>
      <c r="AQ310" s="38" t="n">
        <v>10033</v>
      </c>
      <c r="AR310" s="37" t="n">
        <f aca="false">AS310</f>
        <v>12039</v>
      </c>
      <c r="AS310" s="38" t="n">
        <v>12039</v>
      </c>
      <c r="AT310" s="38" t="n">
        <v>10723</v>
      </c>
      <c r="AU310" s="37" t="n">
        <f aca="false">AV310</f>
        <v>12773</v>
      </c>
      <c r="AV310" s="38" t="n">
        <v>12773</v>
      </c>
      <c r="AW310" s="38" t="n">
        <v>12926</v>
      </c>
      <c r="AX310" s="39"/>
      <c r="AY310" s="39"/>
      <c r="AZ310" s="39"/>
      <c r="BA310" s="39"/>
      <c r="BB310" s="39"/>
      <c r="BC310" s="39"/>
      <c r="BD310" s="23"/>
      <c r="BF310" s="7"/>
      <c r="BG310" s="7"/>
      <c r="BH310" s="7"/>
      <c r="BI310" s="7"/>
    </row>
    <row r="311" customFormat="false" ht="15" hidden="false" customHeight="true" outlineLevel="0" collapsed="false">
      <c r="B311" s="43" t="s">
        <v>410</v>
      </c>
      <c r="C311" s="37" t="str">
        <f aca="false">IF(AND(ISNUMBER(C309),ISNUMBER(C310)),ROUND(C309-C310,0),"n/p")</f>
        <v>n/p</v>
      </c>
      <c r="D311" s="37" t="str">
        <f aca="false">IF(AND(ISNUMBER(D309),ISNUMBER(D310)),ROUND(D309-D310,0),"n/p")</f>
        <v>n/p</v>
      </c>
      <c r="E311" s="37" t="str">
        <f aca="false">IF(AND(ISNUMBER(E309),ISNUMBER(E310)),ROUND(E309-E310,0),"n/p")</f>
        <v>n/p</v>
      </c>
      <c r="F311" s="37" t="str">
        <f aca="false">IF(AND(ISNUMBER(F309),ISNUMBER(F310)),ROUND(F309-F310,0),"n/p")</f>
        <v>n/p</v>
      </c>
      <c r="G311" s="37" t="str">
        <f aca="false">IF(AND(ISNUMBER(G309),ISNUMBER(G310)),ROUND(G309-G310,0),"n/p")</f>
        <v>n/p</v>
      </c>
      <c r="H311" s="37" t="str">
        <f aca="false">IF(AND(ISNUMBER(H309),ISNUMBER(H310)),ROUND(H309-H310,0),"n/p")</f>
        <v>n/p</v>
      </c>
      <c r="I311" s="37" t="str">
        <f aca="false">IF(AND(ISNUMBER(I309),ISNUMBER(I310)),ROUND(I309-I310,0),"n/p")</f>
        <v>n/p</v>
      </c>
      <c r="J311" s="37" t="str">
        <f aca="false">IF(AND(ISNUMBER(J309),ISNUMBER(J310)),ROUND(J309-J310,0),"n/p")</f>
        <v>n/p</v>
      </c>
      <c r="K311" s="37" t="str">
        <f aca="false">IF(AND(ISNUMBER(K309),ISNUMBER(K310)),ROUND(K309-K310,0),"n/p")</f>
        <v>n/p</v>
      </c>
      <c r="L311" s="37" t="str">
        <f aca="false">IF(AND(ISNUMBER(L309),ISNUMBER(L310)),ROUND(L309-L310,0),"n/p")</f>
        <v>n/p</v>
      </c>
      <c r="M311" s="37" t="str">
        <f aca="false">IF(AND(ISNUMBER(M309),ISNUMBER(M310)),ROUND(M309-M310,0),"n/p")</f>
        <v>n/p</v>
      </c>
      <c r="N311" s="37" t="str">
        <f aca="false">IF(AND(ISNUMBER(N309),ISNUMBER(N310)),ROUND(N309-N310,0),"n/p")</f>
        <v>n/p</v>
      </c>
      <c r="O311" s="37" t="str">
        <f aca="false">IF(AND(ISNUMBER(O309),ISNUMBER(O310)),ROUND(O309-O310,0),"n/p")</f>
        <v>n/p</v>
      </c>
      <c r="P311" s="37" t="str">
        <f aca="false">IF(AND(ISNUMBER(P309),ISNUMBER(P310)),ROUND(P309-P310,0),"n/p")</f>
        <v>n/p</v>
      </c>
      <c r="Q311" s="37" t="str">
        <f aca="false">IF(AND(ISNUMBER(Q309),ISNUMBER(Q310)),ROUND(Q309-Q310,0),"n/p")</f>
        <v>n/p</v>
      </c>
      <c r="R311" s="37" t="str">
        <f aca="false">IF(AND(ISNUMBER(R309),ISNUMBER(R310)),ROUND(R309-R310,0),"n/p")</f>
        <v>n/p</v>
      </c>
      <c r="S311" s="37" t="str">
        <f aca="false">IF(AND(ISNUMBER(S309),ISNUMBER(S310)),ROUND(S309-S310,0),"n/p")</f>
        <v>n/p</v>
      </c>
      <c r="T311" s="37" t="str">
        <f aca="false">IF(AND(ISNUMBER(T309),ISNUMBER(T310)),ROUND(T309-T310,0),"n/p")</f>
        <v>n/p</v>
      </c>
      <c r="U311" s="37" t="str">
        <f aca="false">IF(AND(ISNUMBER(U309),ISNUMBER(U310)),ROUND(U309-U310,0),"n/p")</f>
        <v>n/p</v>
      </c>
      <c r="V311" s="37" t="str">
        <f aca="false">IF(AND(ISNUMBER(V309),ISNUMBER(V310)),ROUND(V309-V310,0),"n/p")</f>
        <v>n/p</v>
      </c>
      <c r="W311" s="37" t="str">
        <f aca="false">IF(AND(ISNUMBER(W309),ISNUMBER(W310)),ROUND(W309-W310,0),"n/p")</f>
        <v>n/p</v>
      </c>
      <c r="X311" s="37" t="str">
        <f aca="false">IF(AND(ISNUMBER(X309),ISNUMBER(X310)),ROUND(X309-X310,0),"n/p")</f>
        <v>n/p</v>
      </c>
      <c r="Y311" s="37" t="str">
        <f aca="false">IF(AND(ISNUMBER(Y309),ISNUMBER(Y310)),ROUND(Y309-Y310,0),"n/p")</f>
        <v>n/p</v>
      </c>
      <c r="Z311" s="37" t="str">
        <f aca="false">IF(AND(ISNUMBER(Z309),ISNUMBER(Z310)),ROUND(Z309-Z310,0),"n/p")</f>
        <v>n/p</v>
      </c>
      <c r="AA311" s="37" t="str">
        <f aca="false">IF(AND(ISNUMBER(AA309),ISNUMBER(AA310)),ROUND(AA309-AA310,0),"n/p")</f>
        <v>n/p</v>
      </c>
      <c r="AB311" s="37" t="n">
        <f aca="false">IF(AND(ISNUMBER(AB309),ISNUMBER(AB310)),ROUND(AB309-AB310,0),"n/p")</f>
        <v>-0</v>
      </c>
      <c r="AC311" s="37" t="n">
        <f aca="false">IF(AND(ISNUMBER(AC309),ISNUMBER(AC310)),ROUND(AC309-AC310,0),"n/p")</f>
        <v>0</v>
      </c>
      <c r="AD311" s="37" t="n">
        <f aca="false">IF(AND(ISNUMBER(AD309),ISNUMBER(AD310)),ROUND(AD309-AD310,0),"n/p")</f>
        <v>0</v>
      </c>
      <c r="AE311" s="37" t="n">
        <f aca="false">IF(AND(ISNUMBER(AE309),ISNUMBER(AE310)),ROUND(AE309-AE310,0),"n/p")</f>
        <v>0</v>
      </c>
      <c r="AF311" s="37" t="n">
        <f aca="false">IF(AND(ISNUMBER(AF309),ISNUMBER(AF310)),ROUND(AF309-AF310,0),"n/p")</f>
        <v>-1</v>
      </c>
      <c r="AG311" s="37" t="n">
        <f aca="false">IF(AND(ISNUMBER(AG309),ISNUMBER(AG310)),ROUND(AG309-AG310,0),"n/p")</f>
        <v>-1</v>
      </c>
      <c r="AH311" s="37" t="n">
        <f aca="false">IF(AND(ISNUMBER(AH309),ISNUMBER(AH310)),ROUND(AH309-AH310,0),"n/p")</f>
        <v>-0</v>
      </c>
      <c r="AI311" s="37" t="n">
        <f aca="false">IF(AND(ISNUMBER(AI309),ISNUMBER(AI310)),ROUND(AI309-AI310,0),"n/p")</f>
        <v>0</v>
      </c>
      <c r="AJ311" s="37" t="n">
        <f aca="false">IF(AND(ISNUMBER(AJ309),ISNUMBER(AJ310)),ROUND(AJ309-AJ310,0),"n/p")</f>
        <v>0</v>
      </c>
      <c r="AK311" s="37" t="n">
        <f aca="false">IF(AND(ISNUMBER(AK309),ISNUMBER(AK310)),ROUND(AK309-AK310,0),"n/p")</f>
        <v>-1</v>
      </c>
      <c r="AL311" s="37" t="n">
        <f aca="false">IF(AND(ISNUMBER(AL309),ISNUMBER(AL310)),ROUND(AL309-AL310,0),"n/p")</f>
        <v>1</v>
      </c>
      <c r="AM311" s="37" t="n">
        <f aca="false">IF(AND(ISNUMBER(AM309),ISNUMBER(AM310)),ROUND(AM309-AM310,0),"n/p")</f>
        <v>1</v>
      </c>
      <c r="AN311" s="37" t="n">
        <f aca="false">IF(AND(ISNUMBER(AN309),ISNUMBER(AN310)),ROUND(AN309-AN310,0),"n/p")</f>
        <v>0</v>
      </c>
      <c r="AO311" s="37" t="n">
        <f aca="false">IF(AND(ISNUMBER(AO309),ISNUMBER(AO310)),ROUND(AO309-AO310,0),"n/p")</f>
        <v>-1</v>
      </c>
      <c r="AP311" s="37" t="n">
        <f aca="false">IF(AND(ISNUMBER(AP309),ISNUMBER(AP310)),ROUND(AP309-AP310,0),"n/p")</f>
        <v>-1</v>
      </c>
      <c r="AQ311" s="37" t="n">
        <f aca="false">IF(AND(ISNUMBER(AQ309),ISNUMBER(AQ310)),ROUND(AQ309-AQ310,0),"n/p")</f>
        <v>0</v>
      </c>
      <c r="AR311" s="37" t="n">
        <f aca="false">IF(AND(ISNUMBER(AR309),ISNUMBER(AR310)),ROUND(AR309-AR310,0),"n/p")</f>
        <v>0</v>
      </c>
      <c r="AS311" s="37" t="n">
        <f aca="false">IF(AND(ISNUMBER(AS309),ISNUMBER(AS310)),ROUND(AS309-AS310,0),"n/p")</f>
        <v>0</v>
      </c>
      <c r="AT311" s="37" t="n">
        <f aca="false">IF(AND(ISNUMBER(AT309),ISNUMBER(AT310)),ROUND(AT309-AT310,0),"n/p")</f>
        <v>-1</v>
      </c>
      <c r="AU311" s="37" t="n">
        <f aca="false">IF(AND(ISNUMBER(AU309),ISNUMBER(AU310)),ROUND(AU309-AU310,0),"n/p")</f>
        <v>0</v>
      </c>
      <c r="AV311" s="37" t="n">
        <f aca="false">IF(AND(ISNUMBER(AV309),ISNUMBER(AV310)),ROUND(AV309-AV310,0),"n/p")</f>
        <v>0</v>
      </c>
      <c r="AW311" s="37" t="n">
        <f aca="false">IF(AND(ISNUMBER(AW309),ISNUMBER(AW310)),ROUND(AW309-AW310,0),"n/p")</f>
        <v>-1</v>
      </c>
      <c r="AX311" s="39"/>
      <c r="AY311" s="39"/>
      <c r="AZ311" s="39"/>
      <c r="BA311" s="39"/>
      <c r="BB311" s="39"/>
      <c r="BC311" s="39"/>
      <c r="BD311" s="23"/>
      <c r="BF311" s="7"/>
      <c r="BG311" s="7"/>
      <c r="BH311" s="7"/>
      <c r="BI311" s="7"/>
    </row>
    <row r="312" customFormat="false" ht="15" hidden="false" customHeight="true" outlineLevel="0" collapsed="false">
      <c r="B312" s="56" t="s">
        <v>331</v>
      </c>
      <c r="X312" s="57" t="s">
        <v>411</v>
      </c>
      <c r="AG312" s="57" t="s">
        <v>412</v>
      </c>
      <c r="AX312" s="7"/>
      <c r="AY312" s="7"/>
      <c r="AZ312" s="7"/>
      <c r="BA312" s="7"/>
      <c r="BB312" s="7"/>
      <c r="BC312" s="7"/>
      <c r="BD312" s="23" t="s">
        <v>262</v>
      </c>
      <c r="BF312" s="7"/>
      <c r="BG312" s="7"/>
      <c r="BH312" s="7"/>
      <c r="BI312" s="7"/>
    </row>
    <row r="313" customFormat="false" ht="15" hidden="false" customHeight="true" outlineLevel="0" collapsed="false">
      <c r="B313" s="19" t="s">
        <v>413</v>
      </c>
      <c r="C313" s="20" t="n">
        <f aca="false">IF(ISNUMBER(C309),C309,IF(ISNUMBER(C310),C310,""))</f>
        <v>536.3</v>
      </c>
      <c r="D313" s="20" t="n">
        <f aca="false">IF(ISNUMBER(D309),D309,IF(ISNUMBER(D310),D310,""))</f>
        <v>485.5</v>
      </c>
      <c r="E313" s="20" t="n">
        <f aca="false">IF(ISNUMBER(E309),E309,IF(ISNUMBER(E310),E310,""))</f>
        <v>432.4</v>
      </c>
      <c r="F313" s="20" t="n">
        <f aca="false">IF(ISNUMBER(F309),F309,IF(ISNUMBER(F310),F310,""))</f>
        <v>576.4</v>
      </c>
      <c r="G313" s="20" t="n">
        <f aca="false">IF(ISNUMBER(G309),G309,IF(ISNUMBER(G310),G310,""))</f>
        <v>950.1</v>
      </c>
      <c r="H313" s="20" t="n">
        <f aca="false">IF(ISNUMBER(H309),H309,IF(ISNUMBER(H310),H310,""))</f>
        <v>1044.2</v>
      </c>
      <c r="I313" s="20" t="n">
        <f aca="false">IF(ISNUMBER(I309),I309,IF(ISNUMBER(I310),I310,""))</f>
        <v>721</v>
      </c>
      <c r="J313" s="20" t="n">
        <f aca="false">IF(ISNUMBER(J309),J309,IF(ISNUMBER(J310),J310,""))</f>
        <v>646.7</v>
      </c>
      <c r="K313" s="20" t="n">
        <f aca="false">IF(ISNUMBER(K309),K309,IF(ISNUMBER(K310),K310,""))</f>
        <v>1091</v>
      </c>
      <c r="L313" s="20" t="n">
        <f aca="false">IF(ISNUMBER(L309),L309,IF(ISNUMBER(L310),L310,""))</f>
        <v>1091</v>
      </c>
      <c r="M313" s="20" t="n">
        <f aca="false">IF(ISNUMBER(M309),M309,IF(ISNUMBER(M310),M310,""))</f>
        <v>1016.6</v>
      </c>
      <c r="N313" s="20" t="n">
        <f aca="false">IF(ISNUMBER(N309),N309,IF(ISNUMBER(N310),N310,""))</f>
        <v>1493.6</v>
      </c>
      <c r="O313" s="20" t="n">
        <f aca="false">IF(ISNUMBER(O309),O309,IF(ISNUMBER(O310),O310,""))</f>
        <v>1493.6</v>
      </c>
      <c r="P313" s="20" t="n">
        <f aca="false">IF(ISNUMBER(P309),P309,IF(ISNUMBER(P310),P310,""))</f>
        <v>1018.3</v>
      </c>
      <c r="Q313" s="20" t="n">
        <f aca="false">IF(ISNUMBER(Q309),Q309,IF(ISNUMBER(Q310),Q310,""))</f>
        <v>1614</v>
      </c>
      <c r="R313" s="20" t="n">
        <f aca="false">IF(ISNUMBER(R309),R309,IF(ISNUMBER(R310),R310,""))</f>
        <v>1614</v>
      </c>
      <c r="S313" s="20" t="n">
        <f aca="false">IF(ISNUMBER(S309),S309,IF(ISNUMBER(S310),S310,""))</f>
        <v>1625.4</v>
      </c>
      <c r="T313" s="20" t="n">
        <f aca="false">IF(ISNUMBER(T309),T309,IF(ISNUMBER(T310),T310,""))</f>
        <v>2345.3</v>
      </c>
      <c r="U313" s="20" t="n">
        <f aca="false">IF(ISNUMBER(U309),U309,IF(ISNUMBER(U310),U310,""))</f>
        <v>2345.3</v>
      </c>
      <c r="V313" s="20" t="n">
        <f aca="false">IF(ISNUMBER(V309),V309,IF(ISNUMBER(V310),V310,""))</f>
        <v>2530.4</v>
      </c>
      <c r="W313" s="20" t="n">
        <f aca="false">IF(ISNUMBER(W309),W309,IF(ISNUMBER(W310),W310,""))</f>
        <v>3049.9</v>
      </c>
      <c r="X313" s="20" t="n">
        <f aca="false">IF(ISNUMBER(X309),X309,IF(ISNUMBER(X310),X310,""))</f>
        <v>3049.9</v>
      </c>
      <c r="Y313" s="20" t="n">
        <f aca="false">IF(ISNUMBER(Y309),Y309,IF(ISNUMBER(Y310),Y310,""))</f>
        <v>2798</v>
      </c>
      <c r="Z313" s="20" t="n">
        <f aca="false">IF(ISNUMBER(Z309),Z309,IF(ISNUMBER(Z310),Z310,""))</f>
        <v>3615.1</v>
      </c>
      <c r="AA313" s="20" t="n">
        <f aca="false">IF(ISNUMBER(AA309),AA309,IF(ISNUMBER(AA310),AA310,""))</f>
        <v>3615.1</v>
      </c>
      <c r="AB313" s="20" t="n">
        <f aca="false">IF(ISNUMBER(AB309),AB309,IF(ISNUMBER(AB310),AB310,""))</f>
        <v>3739.7</v>
      </c>
      <c r="AC313" s="20" t="n">
        <f aca="false">IF(ISNUMBER(AC309),AC309,IF(ISNUMBER(AC310),AC310,""))</f>
        <v>4561.6</v>
      </c>
      <c r="AD313" s="20" t="n">
        <f aca="false">IF(ISNUMBER(AD309),AD309,IF(ISNUMBER(AD310),AD310,""))</f>
        <v>4561.6</v>
      </c>
      <c r="AE313" s="20" t="n">
        <f aca="false">IF(ISNUMBER(AE309),AE309,IF(ISNUMBER(AE310),AE310,""))</f>
        <v>3921.8</v>
      </c>
      <c r="AF313" s="20" t="n">
        <f aca="false">IF(ISNUMBER(AF309),AF309,IF(ISNUMBER(AF310),AF310,""))</f>
        <v>4903</v>
      </c>
      <c r="AG313" s="20" t="n">
        <f aca="false">IF(ISNUMBER(AG309),AG309,IF(ISNUMBER(AG310),AG310,""))</f>
        <v>4903</v>
      </c>
      <c r="AH313" s="20" t="n">
        <f aca="false">IF(ISNUMBER(AH309),AH309,IF(ISNUMBER(AH310),AH310,""))</f>
        <v>5520.8</v>
      </c>
      <c r="AI313" s="20" t="n">
        <f aca="false">IF(ISNUMBER(AI309),AI309,IF(ISNUMBER(AI310),AI310,""))</f>
        <v>7070</v>
      </c>
      <c r="AJ313" s="20" t="n">
        <f aca="false">IF(ISNUMBER(AJ309),AJ309,IF(ISNUMBER(AJ310),AJ310,""))</f>
        <v>7070</v>
      </c>
      <c r="AK313" s="20" t="n">
        <f aca="false">IF(ISNUMBER(AK309),AK309,IF(ISNUMBER(AK310),AK310,""))</f>
        <v>7684</v>
      </c>
      <c r="AL313" s="20" t="n">
        <f aca="false">IF(ISNUMBER(AL309),AL309,IF(ISNUMBER(AL310),AL310,""))</f>
        <v>9743</v>
      </c>
      <c r="AM313" s="20" t="n">
        <f aca="false">IF(ISNUMBER(AM309),AM309,IF(ISNUMBER(AM310),AM310,""))</f>
        <v>9743</v>
      </c>
      <c r="AN313" s="20" t="n">
        <f aca="false">IF(ISNUMBER(AN309),AN309,IF(ISNUMBER(AN310),AN310,""))</f>
        <v>9848</v>
      </c>
      <c r="AO313" s="20" t="n">
        <f aca="false">IF(ISNUMBER(AO309),AO309,IF(ISNUMBER(AO310),AO310,""))</f>
        <v>11163</v>
      </c>
      <c r="AP313" s="20" t="n">
        <f aca="false">IF(ISNUMBER(AP309),AP309,IF(ISNUMBER(AP310),AP310,""))</f>
        <v>11163</v>
      </c>
      <c r="AQ313" s="20" t="n">
        <f aca="false">IF(ISNUMBER(AQ309),AQ309,IF(ISNUMBER(AQ310),AQ310,""))</f>
        <v>10033</v>
      </c>
      <c r="AR313" s="20" t="n">
        <f aca="false">IF(ISNUMBER(AR309),AR309,IF(ISNUMBER(AR310),AR310,""))</f>
        <v>12039</v>
      </c>
      <c r="AS313" s="20" t="n">
        <f aca="false">IF(ISNUMBER(AS309),AS309,IF(ISNUMBER(AS310),AS310,""))</f>
        <v>12039</v>
      </c>
      <c r="AT313" s="20" t="n">
        <f aca="false">IF(ISNUMBER(AT309),AT309,IF(ISNUMBER(AT310),AT310,""))</f>
        <v>10722</v>
      </c>
      <c r="AU313" s="20" t="n">
        <f aca="false">IF(ISNUMBER(AU309),AU309,IF(ISNUMBER(AU310),AU310,""))</f>
        <v>12773</v>
      </c>
      <c r="AV313" s="20" t="n">
        <f aca="false">IF(ISNUMBER(AV309),AV309,IF(ISNUMBER(AV310),AV310,""))</f>
        <v>12773</v>
      </c>
      <c r="AW313" s="20" t="n">
        <f aca="false">IF(ISNUMBER(AW309),AW309,IF(ISNUMBER(AW310),AW310,""))</f>
        <v>12925</v>
      </c>
      <c r="AX313" s="22" t="n">
        <f aca="false">AY313</f>
        <v>14747.190264313</v>
      </c>
      <c r="AY313" s="22" t="n">
        <f aca="false">AY309</f>
        <v>14747.190264313</v>
      </c>
      <c r="AZ313" s="22" t="n">
        <f aca="false">AZ309</f>
        <v>17014.5676940969</v>
      </c>
      <c r="BA313" s="22" t="n">
        <f aca="false">BA309</f>
        <v>19684.598302018</v>
      </c>
      <c r="BB313" s="22" t="n">
        <f aca="false">BB309</f>
        <v>22638.5247057711</v>
      </c>
      <c r="BC313" s="22" t="n">
        <f aca="false">BC309</f>
        <v>25850.7433995276</v>
      </c>
      <c r="BD313" s="23"/>
      <c r="BF313" s="7"/>
      <c r="BG313" s="7"/>
      <c r="BH313" s="7"/>
      <c r="BI313" s="7"/>
    </row>
    <row r="314" customFormat="false" ht="15" hidden="false" customHeight="true" outlineLevel="0" collapsed="false">
      <c r="B314" s="13" t="s">
        <v>414</v>
      </c>
      <c r="C314" s="37" t="str">
        <f aca="false">IF(ISNUMBER(C285),C285+C286,"")</f>
        <v/>
      </c>
      <c r="D314" s="37" t="str">
        <f aca="false">IF(ISNUMBER(D285),D285+D286,"")</f>
        <v/>
      </c>
      <c r="E314" s="37" t="str">
        <f aca="false">IF(ISNUMBER(E285),E285+E286,"")</f>
        <v/>
      </c>
      <c r="F314" s="37" t="n">
        <f aca="false">IF(ISNUMBER(F285),F285+F286,"")</f>
        <v>0</v>
      </c>
      <c r="G314" s="37" t="n">
        <f aca="false">IF(ISNUMBER(G285),G285+G286,"")</f>
        <v>0</v>
      </c>
      <c r="H314" s="37" t="n">
        <f aca="false">IF(ISNUMBER(H285),H285+H286,"")</f>
        <v>0</v>
      </c>
      <c r="I314" s="37" t="n">
        <f aca="false">IF(ISNUMBER(I285),I285+I286,"")</f>
        <v>0</v>
      </c>
      <c r="J314" s="37" t="n">
        <f aca="false">IF(ISNUMBER(J285),J285+J286,"")</f>
        <v>0</v>
      </c>
      <c r="K314" s="37" t="n">
        <f aca="false">IF(ISNUMBER(K285),K285+K286,"")</f>
        <v>0</v>
      </c>
      <c r="L314" s="37" t="n">
        <f aca="false">IF(ISNUMBER(L285),L285+L286,"")</f>
        <v>0</v>
      </c>
      <c r="M314" s="37" t="n">
        <f aca="false">IF(ISNUMBER(M285),M285+M286,"")</f>
        <v>0</v>
      </c>
      <c r="N314" s="37" t="n">
        <f aca="false">IF(ISNUMBER(N285),N285+N286,"")</f>
        <v>0</v>
      </c>
      <c r="O314" s="37" t="n">
        <f aca="false">IF(ISNUMBER(O285),O285+O286,"")</f>
        <v>0</v>
      </c>
      <c r="P314" s="37" t="n">
        <f aca="false">IF(ISNUMBER(P285),P285+P286,"")</f>
        <v>0</v>
      </c>
      <c r="Q314" s="37" t="n">
        <f aca="false">IF(ISNUMBER(Q285),Q285+Q286,"")</f>
        <v>0</v>
      </c>
      <c r="R314" s="37" t="n">
        <f aca="false">IF(ISNUMBER(R285),R285+R286,"")</f>
        <v>0</v>
      </c>
      <c r="S314" s="37" t="n">
        <f aca="false">IF(ISNUMBER(S285),S285+S286,"")</f>
        <v>0</v>
      </c>
      <c r="T314" s="37" t="n">
        <f aca="false">IF(ISNUMBER(T285),T285+T286,"")</f>
        <v>0</v>
      </c>
      <c r="U314" s="37" t="n">
        <f aca="false">IF(ISNUMBER(U285),U285+U286,"")</f>
        <v>0</v>
      </c>
      <c r="V314" s="37" t="n">
        <f aca="false">IF(ISNUMBER(V285),V285+V286,"")</f>
        <v>0</v>
      </c>
      <c r="W314" s="37" t="n">
        <f aca="false">IF(ISNUMBER(W285),W285+W286,"")</f>
        <v>0</v>
      </c>
      <c r="X314" s="37" t="n">
        <f aca="false">IF(ISNUMBER(X285),X285+X286,"")</f>
        <v>0</v>
      </c>
      <c r="Y314" s="37" t="n">
        <f aca="false">IF(ISNUMBER(Y285),Y285+Y286,"")</f>
        <v>0</v>
      </c>
      <c r="Z314" s="37" t="n">
        <f aca="false">IF(ISNUMBER(Z285),Z285+Z286,"")</f>
        <v>0</v>
      </c>
      <c r="AA314" s="37" t="n">
        <f aca="false">IF(ISNUMBER(AA285),AA285+AA286,"")</f>
        <v>0</v>
      </c>
      <c r="AB314" s="37" t="n">
        <f aca="false">IF(ISNUMBER(AB285),AB285+AB286,"")</f>
        <v>1081.7</v>
      </c>
      <c r="AC314" s="37" t="n">
        <f aca="false">IF(ISNUMBER(AC285),AC285+AC286,"")</f>
        <v>1091.6</v>
      </c>
      <c r="AD314" s="37" t="n">
        <f aca="false">IF(ISNUMBER(AD285),AD285+AD286,"")</f>
        <v>1091.6</v>
      </c>
      <c r="AE314" s="37" t="n">
        <f aca="false">IF(ISNUMBER(AE285),AE285+AE286,"")</f>
        <v>1506.3</v>
      </c>
      <c r="AF314" s="37" t="n">
        <f aca="false">IF(ISNUMBER(AF285),AF285+AF286,"")</f>
        <v>1643.1</v>
      </c>
      <c r="AG314" s="37" t="n">
        <f aca="false">IF(ISNUMBER(AG285),AG285+AG286,"")</f>
        <v>1643.1</v>
      </c>
      <c r="AH314" s="37" t="n">
        <f aca="false">IF(ISNUMBER(AH285),AH285+AH286,"")</f>
        <v>1632.1</v>
      </c>
      <c r="AI314" s="37" t="n">
        <f aca="false">IF(ISNUMBER(AI285),AI285+AI286,"")</f>
        <v>1777</v>
      </c>
      <c r="AJ314" s="37" t="n">
        <f aca="false">IF(ISNUMBER(AJ285),AJ285+AJ286,"")</f>
        <v>1777</v>
      </c>
      <c r="AK314" s="37" t="n">
        <f aca="false">IF(ISNUMBER(AK285),AK285+AK286,"")</f>
        <v>1977</v>
      </c>
      <c r="AL314" s="37" t="n">
        <f aca="false">IF(ISNUMBER(AL285),AL285+AL286,"")</f>
        <v>1897</v>
      </c>
      <c r="AM314" s="37" t="n">
        <f aca="false">IF(ISNUMBER(AM285),AM285+AM286,"")</f>
        <v>1897</v>
      </c>
      <c r="AN314" s="37" t="n">
        <f aca="false">IF(ISNUMBER(AN285),AN285+AN286,"")</f>
        <v>1930</v>
      </c>
      <c r="AO314" s="37" t="n">
        <f aca="false">IF(ISNUMBER(AO285),AO285+AO286,"")</f>
        <v>2009</v>
      </c>
      <c r="AP314" s="37" t="n">
        <f aca="false">IF(ISNUMBER(AP285),AP285+AP286,"")</f>
        <v>2009</v>
      </c>
      <c r="AQ314" s="37" t="n">
        <f aca="false">IF(ISNUMBER(AQ285),AQ285+AQ286,"")</f>
        <v>2131</v>
      </c>
      <c r="AR314" s="37" t="n">
        <f aca="false">IF(ISNUMBER(AR285),AR285+AR286,"")</f>
        <v>2113</v>
      </c>
      <c r="AS314" s="37" t="n">
        <f aca="false">IF(ISNUMBER(AS285),AS285+AS286,"")</f>
        <v>2113</v>
      </c>
      <c r="AT314" s="37" t="n">
        <f aca="false">IF(ISNUMBER(AT285),AT285+AT286,"")</f>
        <v>2029</v>
      </c>
      <c r="AU314" s="37" t="n">
        <f aca="false">IF(ISNUMBER(AU285),AU285+AU286,"")</f>
        <v>2312</v>
      </c>
      <c r="AV314" s="37" t="n">
        <f aca="false">IF(ISNUMBER(AV285),AV285+AV286,"")</f>
        <v>2312</v>
      </c>
      <c r="AW314" s="37" t="n">
        <f aca="false">IF(ISNUMBER(AW285),AW285+AW286,"")</f>
        <v>2279</v>
      </c>
      <c r="AX314" s="39" t="n">
        <f aca="false">AY314</f>
        <v>2495.85465</v>
      </c>
      <c r="AY314" s="39" t="n">
        <f aca="false">AV314+AY329+AY223</f>
        <v>2495.85465</v>
      </c>
      <c r="AZ314" s="39" t="n">
        <f aca="false">AY314+AZ329+AZ223</f>
        <v>2686.53476725</v>
      </c>
      <c r="BA314" s="39" t="n">
        <f aca="false">AZ314+BA329+BA223</f>
        <v>2886.22529558625</v>
      </c>
      <c r="BB314" s="39" t="n">
        <f aca="false">BA314+BB329+BB223</f>
        <v>3094.62326462963</v>
      </c>
      <c r="BC314" s="39" t="n">
        <f aca="false">BB314+BC329+BC223</f>
        <v>3310.30914241167</v>
      </c>
      <c r="BD314" s="23" t="s">
        <v>415</v>
      </c>
      <c r="BF314" s="7"/>
      <c r="BG314" s="7"/>
      <c r="BH314" s="7"/>
      <c r="BI314" s="7"/>
    </row>
    <row r="315" customFormat="false" ht="15" hidden="false" customHeight="true" outlineLevel="0" collapsed="false">
      <c r="B315" s="19" t="s">
        <v>416</v>
      </c>
      <c r="C315" s="20" t="n">
        <f aca="false">IF(ISNUMBER(C313),C313-N(C314),"")</f>
        <v>536.3</v>
      </c>
      <c r="D315" s="20" t="n">
        <f aca="false">IF(ISNUMBER(D313),D313-N(D314),"")</f>
        <v>485.5</v>
      </c>
      <c r="E315" s="20" t="n">
        <f aca="false">IF(ISNUMBER(E313),E313-N(E314),"")</f>
        <v>432.4</v>
      </c>
      <c r="F315" s="20" t="n">
        <f aca="false">IF(ISNUMBER(F313),F313-N(F314),"")</f>
        <v>576.4</v>
      </c>
      <c r="G315" s="20" t="n">
        <f aca="false">IF(ISNUMBER(G313),G313-N(G314),"")</f>
        <v>950.1</v>
      </c>
      <c r="H315" s="20" t="n">
        <f aca="false">IF(ISNUMBER(H313),H313-N(H314),"")</f>
        <v>1044.2</v>
      </c>
      <c r="I315" s="20" t="n">
        <f aca="false">IF(ISNUMBER(I313),I313-N(I314),"")</f>
        <v>721</v>
      </c>
      <c r="J315" s="20" t="n">
        <f aca="false">IF(ISNUMBER(J313),J313-N(J314),"")</f>
        <v>646.7</v>
      </c>
      <c r="K315" s="20" t="n">
        <f aca="false">IF(ISNUMBER(K313),K313-N(K314),"")</f>
        <v>1091</v>
      </c>
      <c r="L315" s="20" t="n">
        <f aca="false">IF(ISNUMBER(L313),L313-N(L314),"")</f>
        <v>1091</v>
      </c>
      <c r="M315" s="20" t="n">
        <f aca="false">IF(ISNUMBER(M313),M313-N(M314),"")</f>
        <v>1016.6</v>
      </c>
      <c r="N315" s="20" t="n">
        <f aca="false">IF(ISNUMBER(N313),N313-N(N314),"")</f>
        <v>1493.6</v>
      </c>
      <c r="O315" s="20" t="n">
        <f aca="false">IF(ISNUMBER(O313),O313-N(O314),"")</f>
        <v>1493.6</v>
      </c>
      <c r="P315" s="20" t="n">
        <f aca="false">IF(ISNUMBER(P313),P313-N(P314),"")</f>
        <v>1018.3</v>
      </c>
      <c r="Q315" s="20" t="n">
        <f aca="false">IF(ISNUMBER(Q313),Q313-N(Q314),"")</f>
        <v>1614</v>
      </c>
      <c r="R315" s="20" t="n">
        <f aca="false">IF(ISNUMBER(R313),R313-N(R314),"")</f>
        <v>1614</v>
      </c>
      <c r="S315" s="20" t="n">
        <f aca="false">IF(ISNUMBER(S313),S313-N(S314),"")</f>
        <v>1625.4</v>
      </c>
      <c r="T315" s="20" t="n">
        <f aca="false">IF(ISNUMBER(T313),T313-N(T314),"")</f>
        <v>2345.3</v>
      </c>
      <c r="U315" s="20" t="n">
        <f aca="false">IF(ISNUMBER(U313),U313-N(U314),"")</f>
        <v>2345.3</v>
      </c>
      <c r="V315" s="20" t="n">
        <f aca="false">IF(ISNUMBER(V313),V313-N(V314),"")</f>
        <v>2530.4</v>
      </c>
      <c r="W315" s="20" t="n">
        <f aca="false">IF(ISNUMBER(W313),W313-N(W314),"")</f>
        <v>3049.9</v>
      </c>
      <c r="X315" s="20" t="n">
        <f aca="false">IF(ISNUMBER(X313),X313-N(X314),"")</f>
        <v>3049.9</v>
      </c>
      <c r="Y315" s="20" t="n">
        <f aca="false">IF(ISNUMBER(Y313),Y313-N(Y314),"")</f>
        <v>2798</v>
      </c>
      <c r="Z315" s="20" t="n">
        <f aca="false">IF(ISNUMBER(Z313),Z313-N(Z314),"")</f>
        <v>3615.1</v>
      </c>
      <c r="AA315" s="20" t="n">
        <f aca="false">IF(ISNUMBER(AA313),AA313-N(AA314),"")</f>
        <v>3615.1</v>
      </c>
      <c r="AB315" s="20" t="n">
        <f aca="false">IF(ISNUMBER(AB313),AB313-N(AB314),"")</f>
        <v>2658</v>
      </c>
      <c r="AC315" s="20" t="n">
        <f aca="false">IF(ISNUMBER(AC313),AC313-N(AC314),"")</f>
        <v>3470</v>
      </c>
      <c r="AD315" s="20" t="n">
        <f aca="false">IF(ISNUMBER(AD313),AD313-N(AD314),"")</f>
        <v>3470</v>
      </c>
      <c r="AE315" s="20" t="n">
        <f aca="false">IF(ISNUMBER(AE313),AE313-N(AE314),"")</f>
        <v>2415.5</v>
      </c>
      <c r="AF315" s="20" t="n">
        <f aca="false">IF(ISNUMBER(AF313),AF313-N(AF314),"")</f>
        <v>3259.9</v>
      </c>
      <c r="AG315" s="20" t="n">
        <f aca="false">IF(ISNUMBER(AG313),AG313-N(AG314),"")</f>
        <v>3259.9</v>
      </c>
      <c r="AH315" s="20" t="n">
        <f aca="false">IF(ISNUMBER(AH313),AH313-N(AH314),"")</f>
        <v>3888.7</v>
      </c>
      <c r="AI315" s="20" t="n">
        <f aca="false">IF(ISNUMBER(AI313),AI313-N(AI314),"")</f>
        <v>5293</v>
      </c>
      <c r="AJ315" s="20" t="n">
        <f aca="false">IF(ISNUMBER(AJ313),AJ313-N(AJ314),"")</f>
        <v>5293</v>
      </c>
      <c r="AK315" s="20" t="n">
        <f aca="false">IF(ISNUMBER(AK313),AK313-N(AK314),"")</f>
        <v>5707</v>
      </c>
      <c r="AL315" s="20" t="n">
        <f aca="false">IF(ISNUMBER(AL313),AL313-N(AL314),"")</f>
        <v>7846</v>
      </c>
      <c r="AM315" s="20" t="n">
        <f aca="false">IF(ISNUMBER(AM313),AM313-N(AM314),"")</f>
        <v>7846</v>
      </c>
      <c r="AN315" s="20" t="n">
        <f aca="false">IF(ISNUMBER(AN313),AN313-N(AN314),"")</f>
        <v>7918</v>
      </c>
      <c r="AO315" s="20" t="n">
        <f aca="false">IF(ISNUMBER(AO313),AO313-N(AO314),"")</f>
        <v>9154</v>
      </c>
      <c r="AP315" s="20" t="n">
        <f aca="false">IF(ISNUMBER(AP313),AP313-N(AP314),"")</f>
        <v>9154</v>
      </c>
      <c r="AQ315" s="20" t="n">
        <f aca="false">IF(ISNUMBER(AQ313),AQ313-N(AQ314),"")</f>
        <v>7902</v>
      </c>
      <c r="AR315" s="20" t="n">
        <f aca="false">IF(ISNUMBER(AR313),AR313-N(AR314),"")</f>
        <v>9926</v>
      </c>
      <c r="AS315" s="20" t="n">
        <f aca="false">IF(ISNUMBER(AS313),AS313-N(AS314),"")</f>
        <v>9926</v>
      </c>
      <c r="AT315" s="20" t="n">
        <f aca="false">IF(ISNUMBER(AT313),AT313-N(AT314),"")</f>
        <v>8693</v>
      </c>
      <c r="AU315" s="20" t="n">
        <f aca="false">IF(ISNUMBER(AU313),AU313-N(AU314),"")</f>
        <v>10461</v>
      </c>
      <c r="AV315" s="20" t="n">
        <f aca="false">IF(ISNUMBER(AV313),AV313-N(AV314),"")</f>
        <v>10461</v>
      </c>
      <c r="AW315" s="20" t="n">
        <f aca="false">IF(ISNUMBER(AW313),AW313-N(AW314),"")</f>
        <v>10646</v>
      </c>
      <c r="AX315" s="22" t="n">
        <f aca="false">AY315</f>
        <v>12251.335614313</v>
      </c>
      <c r="AY315" s="22" t="n">
        <f aca="false">AY313-AY314</f>
        <v>12251.335614313</v>
      </c>
      <c r="AZ315" s="22" t="n">
        <f aca="false">AZ313-AZ314</f>
        <v>14328.0329268469</v>
      </c>
      <c r="BA315" s="22" t="n">
        <f aca="false">BA313-BA314</f>
        <v>16798.3730064317</v>
      </c>
      <c r="BB315" s="22" t="n">
        <f aca="false">BB313-BB314</f>
        <v>19543.9014411415</v>
      </c>
      <c r="BC315" s="22" t="n">
        <f aca="false">BC313-BC314</f>
        <v>22540.434257116</v>
      </c>
      <c r="BD315" s="23"/>
      <c r="BF315" s="7"/>
      <c r="BG315" s="7"/>
      <c r="BH315" s="7"/>
      <c r="BI315" s="7"/>
    </row>
    <row r="316" customFormat="false" ht="15" hidden="false" customHeight="true" outlineLevel="0" collapsed="false">
      <c r="B316" s="13"/>
      <c r="AX316" s="7"/>
      <c r="AY316" s="7"/>
      <c r="AZ316" s="7"/>
      <c r="BA316" s="7"/>
      <c r="BB316" s="7"/>
      <c r="BC316" s="7"/>
      <c r="BD316" s="7"/>
    </row>
    <row r="317" customFormat="false" ht="15" hidden="false" customHeight="true" outlineLevel="0" collapsed="false">
      <c r="B317" s="12" t="s">
        <v>417</v>
      </c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 t="s">
        <v>418</v>
      </c>
    </row>
    <row r="318" customFormat="false" ht="15" hidden="false" customHeight="true" outlineLevel="0" collapsed="false">
      <c r="B318" s="26" t="s">
        <v>419</v>
      </c>
      <c r="C318" s="61" t="str">
        <f aca="false">IFERROR(C271/(-C120*1)*365,"")</f>
        <v/>
      </c>
      <c r="D318" s="61" t="str">
        <f aca="false">IFERROR(D271/(-D120*1)*365,"")</f>
        <v/>
      </c>
      <c r="E318" s="61" t="str">
        <f aca="false">IFERROR(E271/(-E120*1)*365,"")</f>
        <v/>
      </c>
      <c r="F318" s="61" t="n">
        <f aca="false">IFERROR(F271/(-F120*1)*365,"")</f>
        <v>252.696308963945</v>
      </c>
      <c r="G318" s="61" t="n">
        <f aca="false">IFERROR(G271/(-G120*1)*365,"")</f>
        <v>209.863803680982</v>
      </c>
      <c r="H318" s="61" t="n">
        <f aca="false">IFERROR(H271/(-H120*1)*365,"")</f>
        <v>220.095329422383</v>
      </c>
      <c r="I318" s="61" t="n">
        <f aca="false">IFERROR(I271/(-I120*1)*365,"")</f>
        <v>238.853528988117</v>
      </c>
      <c r="J318" s="61" t="n">
        <f aca="false">IFERROR(J271/(-J120*2)*365,"")</f>
        <v>268.676895306859</v>
      </c>
      <c r="K318" s="61" t="n">
        <f aca="false">IFERROR(K271/(-K120*2)*365,"")</f>
        <v>240.865649845854</v>
      </c>
      <c r="L318" s="61" t="n">
        <f aca="false">IFERROR(L271/(-L120*1)*365,"")</f>
        <v>253.687943262411</v>
      </c>
      <c r="M318" s="61" t="n">
        <f aca="false">IFERROR(M271/(-M120*2)*365,"")</f>
        <v>271.515612161052</v>
      </c>
      <c r="N318" s="61" t="n">
        <f aca="false">IFERROR(N271/(-N120*2)*365,"")</f>
        <v>219.838858803329</v>
      </c>
      <c r="O318" s="61" t="n">
        <f aca="false">IFERROR(O271/(-O120*1)*365,"")</f>
        <v>243.760984182777</v>
      </c>
      <c r="P318" s="61" t="n">
        <f aca="false">IFERROR(P271/(-P120*2)*365,"")</f>
        <v>238.344147417597</v>
      </c>
      <c r="Q318" s="61" t="n">
        <f aca="false">IFERROR(Q271/(-Q120*2)*365,"")</f>
        <v>198.679894483312</v>
      </c>
      <c r="R318" s="61" t="n">
        <f aca="false">IFERROR(R271/(-R120*1)*365,"")</f>
        <v>210.933333333333</v>
      </c>
      <c r="S318" s="61" t="n">
        <f aca="false">IFERROR(S271/(-S120*2)*365,"")</f>
        <v>235.404387900818</v>
      </c>
      <c r="T318" s="61" t="n">
        <f aca="false">IFERROR(T271/(-T120*2)*365,"")</f>
        <v>183.200691092584</v>
      </c>
      <c r="U318" s="61" t="n">
        <f aca="false">IFERROR(U271/(-U120*1)*365,"")</f>
        <v>198.59177121113</v>
      </c>
      <c r="V318" s="61" t="n">
        <f aca="false">IFERROR(V271/(-V120*2)*365,"")</f>
        <v>209.765711816274</v>
      </c>
      <c r="W318" s="61" t="n">
        <f aca="false">IFERROR(W271/(-W120*2)*365,"")</f>
        <v>192.55533317636</v>
      </c>
      <c r="X318" s="61" t="n">
        <f aca="false">IFERROR(X271/(-X120*1)*365,"")</f>
        <v>197.139155065389</v>
      </c>
      <c r="Y318" s="61" t="n">
        <f aca="false">IFERROR(Y271/(-Y120*2)*365,"")</f>
        <v>202.487488361266</v>
      </c>
      <c r="Z318" s="61" t="n">
        <f aca="false">IFERROR(Z271/(-Z120*2)*365,"")</f>
        <v>188.728267868641</v>
      </c>
      <c r="AA318" s="61" t="n">
        <f aca="false">IFERROR(AA271/(-AA120*1)*365,"")</f>
        <v>196.378559463987</v>
      </c>
      <c r="AB318" s="61" t="n">
        <f aca="false">IFERROR(AB271/(-AB120*2)*365,"")</f>
        <v>189.912787872899</v>
      </c>
      <c r="AC318" s="61" t="n">
        <f aca="false">IFERROR(AC271/(-AC120*2)*365,"")</f>
        <v>188.628855630589</v>
      </c>
      <c r="AD318" s="61" t="n">
        <f aca="false">IFERROR(AD271/(-AD120*1)*365,"")</f>
        <v>194.549861169937</v>
      </c>
      <c r="AE318" s="61" t="n">
        <f aca="false">IFERROR(AE271/(-AE120*2)*365,"")</f>
        <v>267.325714942001</v>
      </c>
      <c r="AF318" s="61" t="n">
        <f aca="false">IFERROR(AF271/(-AF120*2)*365,"")</f>
        <v>205.94740066515</v>
      </c>
      <c r="AG318" s="61" t="n">
        <f aca="false">IFERROR(AG271/(-AG120*1)*365,"")</f>
        <v>233.760989420355</v>
      </c>
      <c r="AH318" s="61" t="n">
        <f aca="false">IFERROR(AH271/(-AH120*2)*365,"")</f>
        <v>210.694375414182</v>
      </c>
      <c r="AI318" s="61" t="n">
        <f aca="false">IFERROR(AI271/(-AI120*2)*365,"")</f>
        <v>192.630026223776</v>
      </c>
      <c r="AJ318" s="61" t="n">
        <f aca="false">IFERROR(AJ271/(-AJ120*1)*365,"")</f>
        <v>204.994186046512</v>
      </c>
      <c r="AK318" s="61" t="n">
        <f aca="false">IFERROR(AK271/(-AK120*2)*365,"")</f>
        <v>186.067150063052</v>
      </c>
      <c r="AL318" s="61" t="n">
        <f aca="false">IFERROR(AL271/(-AL120*2)*365,"")</f>
        <v>180.07071547421</v>
      </c>
      <c r="AM318" s="61" t="n">
        <f aca="false">IFERROR(AM271/(-AM120*1)*365,"")</f>
        <v>191.600767187961</v>
      </c>
      <c r="AN318" s="61" t="n">
        <f aca="false">IFERROR(AN271/(-AN120*2)*365,"")</f>
        <v>203.855340848094</v>
      </c>
      <c r="AO318" s="61" t="n">
        <f aca="false">IFERROR(AO271/(-AO120*2)*365,"")</f>
        <v>237.240172320948</v>
      </c>
      <c r="AP318" s="61" t="n">
        <f aca="false">IFERROR(AP271/(-AP120*1)*365,"")</f>
        <v>236.85752688172</v>
      </c>
      <c r="AQ318" s="61" t="n">
        <f aca="false">IFERROR(AQ271/(-AQ120*2)*365,"")</f>
        <v>229.986400725295</v>
      </c>
      <c r="AR318" s="61" t="n">
        <f aca="false">IFERROR(AR271/(-AR120*2)*365,"")</f>
        <v>221.454446854664</v>
      </c>
      <c r="AS318" s="61" t="n">
        <f aca="false">IFERROR(AS271/(-AS120*1)*365,"")</f>
        <v>226.314564398138</v>
      </c>
      <c r="AT318" s="61" t="n">
        <f aca="false">IFERROR(AT271/(-AT120*2)*365,"")</f>
        <v>211.625636672326</v>
      </c>
      <c r="AU318" s="61" t="n">
        <f aca="false">IFERROR(AU271/(-AU120*2)*365,"")</f>
        <v>207.294883105426</v>
      </c>
      <c r="AV318" s="61" t="n">
        <f aca="false">IFERROR(AV271/(-AV120*1)*365,"")</f>
        <v>203.304131516331</v>
      </c>
      <c r="AW318" s="61" t="n">
        <f aca="false">IFERROR(AW271/(-AW120*2)*365,"")</f>
        <v>209.456706281834</v>
      </c>
      <c r="AX318" s="62" t="n">
        <f aca="false">IFERROR(AX271/(-AX120*2)*365,"")</f>
        <v>199.576288101386</v>
      </c>
      <c r="AY318" s="63" t="n">
        <v>200</v>
      </c>
      <c r="AZ318" s="63" t="n">
        <v>200</v>
      </c>
      <c r="BA318" s="63" t="n">
        <v>200</v>
      </c>
      <c r="BB318" s="63" t="n">
        <v>200</v>
      </c>
      <c r="BC318" s="63" t="n">
        <v>200</v>
      </c>
      <c r="BD318" s="23" t="s">
        <v>420</v>
      </c>
      <c r="BF318" s="7"/>
      <c r="BG318" s="7"/>
      <c r="BH318" s="7"/>
      <c r="BI318" s="7"/>
    </row>
    <row r="319" customFormat="false" ht="15" hidden="false" customHeight="true" outlineLevel="0" collapsed="false">
      <c r="B319" s="26" t="s">
        <v>421</v>
      </c>
      <c r="C319" s="61" t="n">
        <f aca="false">IFERROR(C272/(C119*1)*365,"")</f>
        <v>0</v>
      </c>
      <c r="D319" s="61" t="n">
        <f aca="false">IFERROR(D272/(D119*1)*365,"")</f>
        <v>0</v>
      </c>
      <c r="E319" s="61" t="n">
        <f aca="false">IFERROR(E272/(E119*1)*365,"")</f>
        <v>0</v>
      </c>
      <c r="F319" s="61" t="n">
        <f aca="false">IFERROR(F272/(F119*1)*365,"")</f>
        <v>25.2256699576869</v>
      </c>
      <c r="G319" s="61" t="n">
        <f aca="false">IFERROR(G272/(G119*1)*365,"")</f>
        <v>24.1731922692436</v>
      </c>
      <c r="H319" s="61" t="n">
        <f aca="false">IFERROR(H272/(H119*1)*365,"")</f>
        <v>22.5716246656342</v>
      </c>
      <c r="I319" s="61" t="n">
        <f aca="false">IFERROR(I272/(I119*1)*365,"")</f>
        <v>21.6961338652737</v>
      </c>
      <c r="J319" s="61" t="n">
        <f aca="false">IFERROR(J272/(J119*2)*365,"")</f>
        <v>18.9191942055229</v>
      </c>
      <c r="K319" s="61" t="n">
        <f aca="false">IFERROR(K272/(K119*2)*365,"")</f>
        <v>17.7762125176092</v>
      </c>
      <c r="L319" s="61" t="n">
        <f aca="false">IFERROR(L272/(L119*1)*365,"")</f>
        <v>18.8196441887717</v>
      </c>
      <c r="M319" s="61" t="n">
        <f aca="false">IFERROR(M272/(M119*2)*365,"")</f>
        <v>19.925795794221</v>
      </c>
      <c r="N319" s="61" t="n">
        <f aca="false">IFERROR(N272/(N119*2)*365,"")</f>
        <v>20.5711669756296</v>
      </c>
      <c r="O319" s="61" t="n">
        <f aca="false">IFERROR(O272/(O119*1)*365,"")</f>
        <v>22.0935512067207</v>
      </c>
      <c r="P319" s="61" t="n">
        <f aca="false">IFERROR(P272/(P119*2)*365,"")</f>
        <v>20.8659867791598</v>
      </c>
      <c r="Q319" s="61" t="n">
        <f aca="false">IFERROR(Q272/(Q119*2)*365,"")</f>
        <v>21.7569641170916</v>
      </c>
      <c r="R319" s="61" t="n">
        <f aca="false">IFERROR(R272/(R119*1)*365,"")</f>
        <v>22.8454864697377</v>
      </c>
      <c r="S319" s="61" t="n">
        <f aca="false">IFERROR(S272/(S119*2)*365,"")</f>
        <v>19.7127520078676</v>
      </c>
      <c r="T319" s="61" t="n">
        <f aca="false">IFERROR(T272/(T119*2)*365,"")</f>
        <v>20.2998044753422</v>
      </c>
      <c r="U319" s="61" t="n">
        <f aca="false">IFERROR(U272/(U119*1)*365,"")</f>
        <v>21.5539579408712</v>
      </c>
      <c r="V319" s="61" t="n">
        <f aca="false">IFERROR(V272/(V119*2)*365,"")</f>
        <v>17.294146916811</v>
      </c>
      <c r="W319" s="61" t="n">
        <f aca="false">IFERROR(W272/(W119*2)*365,"")</f>
        <v>16.4668911533444</v>
      </c>
      <c r="X319" s="61" t="n">
        <f aca="false">IFERROR(X272/(X119*1)*365,"")</f>
        <v>16.8318856772147</v>
      </c>
      <c r="Y319" s="61" t="n">
        <f aca="false">IFERROR(Y272/(Y119*2)*365,"")</f>
        <v>15.8553830517979</v>
      </c>
      <c r="Z319" s="61" t="n">
        <f aca="false">IFERROR(Z272/(Z119*2)*365,"")</f>
        <v>16.4576573392874</v>
      </c>
      <c r="AA319" s="61" t="n">
        <f aca="false">IFERROR(AA272/(AA119*1)*365,"")</f>
        <v>17.1729437991318</v>
      </c>
      <c r="AB319" s="61" t="n">
        <f aca="false">IFERROR(AB272/(AB119*2)*365,"")</f>
        <v>16.2150599841666</v>
      </c>
      <c r="AC319" s="61" t="n">
        <f aca="false">IFERROR(AC272/(AC119*2)*365,"")</f>
        <v>16.1193459657702</v>
      </c>
      <c r="AD319" s="61" t="n">
        <f aca="false">IFERROR(AD272/(AD119*1)*365,"")</f>
        <v>16.8570038062585</v>
      </c>
      <c r="AE319" s="61" t="n">
        <f aca="false">IFERROR(AE272/(AE119*2)*365,"")</f>
        <v>14.0909364951769</v>
      </c>
      <c r="AF319" s="61" t="n">
        <f aca="false">IFERROR(AF272/(AF119*2)*365,"")</f>
        <v>11.6804864920285</v>
      </c>
      <c r="AG319" s="61" t="n">
        <f aca="false">IFERROR(AG272/(AG119*1)*365,"")</f>
        <v>14.2643284189439</v>
      </c>
      <c r="AH319" s="61" t="n">
        <f aca="false">IFERROR(AH272/(AH119*2)*365,"")</f>
        <v>12.8285636702793</v>
      </c>
      <c r="AI319" s="61" t="n">
        <f aca="false">IFERROR(AI272/(AI119*2)*365,"")</f>
        <v>12.802565885104</v>
      </c>
      <c r="AJ319" s="61" t="n">
        <f aca="false">IFERROR(AJ272/(AJ119*1)*365,"")</f>
        <v>13.5320641282565</v>
      </c>
      <c r="AK319" s="61" t="n">
        <f aca="false">IFERROR(AK272/(AK119*2)*365,"")</f>
        <v>15.4666666666667</v>
      </c>
      <c r="AL319" s="61" t="n">
        <f aca="false">IFERROR(AL272/(AL119*2)*365,"")</f>
        <v>11.4081116370165</v>
      </c>
      <c r="AM319" s="61" t="n">
        <f aca="false">IFERROR(AM272/(AM119*1)*365,"")</f>
        <v>12.0492156524737</v>
      </c>
      <c r="AN319" s="61" t="n">
        <f aca="false">IFERROR(AN272/(AN119*2)*365,"")</f>
        <v>11.3074798447298</v>
      </c>
      <c r="AO319" s="61" t="n">
        <f aca="false">IFERROR(AO272/(AO119*2)*365,"")</f>
        <v>11.6893297666815</v>
      </c>
      <c r="AP319" s="61" t="n">
        <f aca="false">IFERROR(AP272/(AP119*1)*365,"")</f>
        <v>11.7163178669844</v>
      </c>
      <c r="AQ319" s="61" t="n">
        <f aca="false">IFERROR(AQ272/(AQ119*2)*365,"")</f>
        <v>13.0113939232409</v>
      </c>
      <c r="AR319" s="61" t="n">
        <f aca="false">IFERROR(AR272/(AR119*2)*365,"")</f>
        <v>11.3794677798069</v>
      </c>
      <c r="AS319" s="61" t="n">
        <f aca="false">IFERROR(AS272/(AS119*1)*365,"")</f>
        <v>11.5009887936717</v>
      </c>
      <c r="AT319" s="61" t="n">
        <f aca="false">IFERROR(AT272/(AT119*2)*365,"")</f>
        <v>10.4720562608912</v>
      </c>
      <c r="AU319" s="61" t="n">
        <f aca="false">IFERROR(AU272/(AU119*2)*365,"")</f>
        <v>9.57392068273092</v>
      </c>
      <c r="AV319" s="61" t="n">
        <f aca="false">IFERROR(AV272/(AV119*1)*365,"")</f>
        <v>9.53443319585052</v>
      </c>
      <c r="AW319" s="61" t="n">
        <f aca="false">IFERROR(AW272/(AW119*2)*365,"")</f>
        <v>11.8939115521254</v>
      </c>
      <c r="AX319" s="62" t="n">
        <f aca="false">IFERROR(AX272/(AX119*2)*365,"")</f>
        <v>9.95087936787891</v>
      </c>
      <c r="AY319" s="63" t="n">
        <v>10</v>
      </c>
      <c r="AZ319" s="63" t="n">
        <v>10</v>
      </c>
      <c r="BA319" s="63" t="n">
        <v>10</v>
      </c>
      <c r="BB319" s="63" t="n">
        <v>10</v>
      </c>
      <c r="BC319" s="63" t="n">
        <v>10</v>
      </c>
      <c r="BD319" s="23"/>
      <c r="BF319" s="7"/>
      <c r="BG319" s="7"/>
      <c r="BH319" s="7"/>
      <c r="BI319" s="7"/>
    </row>
    <row r="320" customFormat="false" ht="15" hidden="false" customHeight="true" outlineLevel="0" collapsed="false">
      <c r="B320" s="26" t="s">
        <v>422</v>
      </c>
      <c r="C320" s="61" t="str">
        <f aca="false">IFERROR(C289/(-C120*1)*365,"")</f>
        <v/>
      </c>
      <c r="D320" s="61" t="str">
        <f aca="false">IFERROR(D289/(-D120*1)*365,"")</f>
        <v/>
      </c>
      <c r="E320" s="61" t="str">
        <f aca="false">IFERROR(E289/(-E120*1)*365,"")</f>
        <v/>
      </c>
      <c r="F320" s="61" t="n">
        <f aca="false">IFERROR(F289/(-F120*1)*365,"")</f>
        <v>103.148781530569</v>
      </c>
      <c r="G320" s="61" t="n">
        <f aca="false">IFERROR(G289/(-G120*1)*365,"")</f>
        <v>105.066257668712</v>
      </c>
      <c r="H320" s="61" t="n">
        <f aca="false">IFERROR(H289/(-H120*1)*365,"")</f>
        <v>123.409860108303</v>
      </c>
      <c r="I320" s="61" t="n">
        <f aca="false">IFERROR(I289/(-I120*1)*365,"")</f>
        <v>113.528537990637</v>
      </c>
      <c r="J320" s="61" t="n">
        <f aca="false">IFERROR(J289/(-J120*2)*365,"")</f>
        <v>89.3722924187726</v>
      </c>
      <c r="K320" s="61" t="n">
        <f aca="false">IFERROR(K289/(-K120*2)*365,"")</f>
        <v>107.225782897939</v>
      </c>
      <c r="L320" s="61" t="n">
        <f aca="false">IFERROR(L289/(-L120*1)*365,"")</f>
        <v>112.933863112023</v>
      </c>
      <c r="M320" s="61" t="n">
        <f aca="false">IFERROR(M289/(-M120*2)*365,"")</f>
        <v>91.0250616269515</v>
      </c>
      <c r="N320" s="61" t="n">
        <f aca="false">IFERROR(N289/(-N120*2)*365,"")</f>
        <v>96.0830801743495</v>
      </c>
      <c r="O320" s="61" t="n">
        <f aca="false">IFERROR(O289/(-O120*1)*365,"")</f>
        <v>106.538517867604</v>
      </c>
      <c r="P320" s="61" t="n">
        <f aca="false">IFERROR(P289/(-P120*2)*365,"")</f>
        <v>83.1504671684402</v>
      </c>
      <c r="Q320" s="61" t="n">
        <f aca="false">IFERROR(Q289/(-Q120*2)*365,"")</f>
        <v>92.1605115265512</v>
      </c>
      <c r="R320" s="61" t="n">
        <f aca="false">IFERROR(R289/(-R120*1)*365,"")</f>
        <v>97.8444444444445</v>
      </c>
      <c r="S320" s="61" t="n">
        <f aca="false">IFERROR(S289/(-S120*2)*365,"")</f>
        <v>88.6320264831884</v>
      </c>
      <c r="T320" s="61" t="n">
        <f aca="false">IFERROR(T289/(-T120*2)*365,"")</f>
        <v>92.8315598946906</v>
      </c>
      <c r="U320" s="61" t="n">
        <f aca="false">IFERROR(U289/(-U120*1)*365,"")</f>
        <v>100.6305368928</v>
      </c>
      <c r="V320" s="61" t="n">
        <f aca="false">IFERROR(V289/(-V120*2)*365,"")</f>
        <v>85.8757253981973</v>
      </c>
      <c r="W320" s="61" t="n">
        <f aca="false">IFERROR(W289/(-W120*2)*365,"")</f>
        <v>103.346479868142</v>
      </c>
      <c r="X320" s="61" t="n">
        <f aca="false">IFERROR(X289/(-X120*1)*365,"")</f>
        <v>105.806665461339</v>
      </c>
      <c r="Y320" s="61" t="n">
        <f aca="false">IFERROR(Y289/(-Y120*2)*365,"")</f>
        <v>90.4428538175047</v>
      </c>
      <c r="Z320" s="61" t="n">
        <f aca="false">IFERROR(Z289/(-Z120*2)*365,"")</f>
        <v>91.6613007083065</v>
      </c>
      <c r="AA320" s="61" t="n">
        <f aca="false">IFERROR(AA289/(-AA120*1)*365,"")</f>
        <v>95.3768844221106</v>
      </c>
      <c r="AB320" s="61" t="n">
        <f aca="false">IFERROR(AB289/(-AB120*2)*365,"")</f>
        <v>72.6027596929356</v>
      </c>
      <c r="AC320" s="61" t="n">
        <f aca="false">IFERROR(AC289/(-AC120*2)*365,"")</f>
        <v>80.0082131775871</v>
      </c>
      <c r="AD320" s="61" t="n">
        <f aca="false">IFERROR(AD289/(-AD120*1)*365,"")</f>
        <v>82.5196479834345</v>
      </c>
      <c r="AE320" s="61" t="n">
        <f aca="false">IFERROR(AE289/(-AE120*2)*365,"")</f>
        <v>69.8182496841622</v>
      </c>
      <c r="AF320" s="61" t="n">
        <f aca="false">IFERROR(AF289/(-AF120*2)*365,"")</f>
        <v>71.5880448100823</v>
      </c>
      <c r="AG320" s="61" t="n">
        <f aca="false">IFERROR(AG289/(-AG120*1)*365,"")</f>
        <v>81.2561466249441</v>
      </c>
      <c r="AH320" s="61" t="n">
        <f aca="false">IFERROR(AH289/(-AH120*2)*365,"")</f>
        <v>57.9307488402916</v>
      </c>
      <c r="AI320" s="61" t="n">
        <f aca="false">IFERROR(AI289/(-AI120*2)*365,"")</f>
        <v>71.1228875291375</v>
      </c>
      <c r="AJ320" s="61" t="n">
        <f aca="false">IFERROR(AJ289/(-AJ120*1)*365,"")</f>
        <v>75.687984496124</v>
      </c>
      <c r="AK320" s="61" t="n">
        <f aca="false">IFERROR(AK289/(-AK120*2)*365,"")</f>
        <v>61.6771752837327</v>
      </c>
      <c r="AL320" s="61" t="n">
        <f aca="false">IFERROR(AL289/(-AL120*2)*365,"")</f>
        <v>78.6480865224626</v>
      </c>
      <c r="AM320" s="61" t="n">
        <f aca="false">IFERROR(AM289/(-AM120*1)*365,"")</f>
        <v>83.6839775745058</v>
      </c>
      <c r="AN320" s="61" t="n">
        <f aca="false">IFERROR(AN289/(-AN120*2)*365,"")</f>
        <v>68.4742351046699</v>
      </c>
      <c r="AO320" s="61" t="n">
        <f aca="false">IFERROR(AO289/(-AO120*2)*365,"")</f>
        <v>86.4835756596661</v>
      </c>
      <c r="AP320" s="61" t="n">
        <f aca="false">IFERROR(AP289/(-AP120*1)*365,"")</f>
        <v>86.3440860215054</v>
      </c>
      <c r="AQ320" s="61" t="n">
        <f aca="false">IFERROR(AQ289/(-AQ120*2)*365,"")</f>
        <v>66.017679057117</v>
      </c>
      <c r="AR320" s="61" t="n">
        <f aca="false">IFERROR(AR289/(-AR120*2)*365,"")</f>
        <v>65.8741865509761</v>
      </c>
      <c r="AS320" s="61" t="n">
        <f aca="false">IFERROR(AS289/(-AS120*1)*365,"")</f>
        <v>67.3198847262248</v>
      </c>
      <c r="AT320" s="61" t="n">
        <f aca="false">IFERROR(AT289/(-AT120*2)*365,"")</f>
        <v>51.0473259762309</v>
      </c>
      <c r="AU320" s="61" t="n">
        <f aca="false">IFERROR(AU289/(-AU120*2)*365,"")</f>
        <v>63.7582708425232</v>
      </c>
      <c r="AV320" s="61" t="n">
        <f aca="false">IFERROR(AV289/(-AV120*1)*365,"")</f>
        <v>62.5308241401687</v>
      </c>
      <c r="AW320" s="61" t="n">
        <f aca="false">IFERROR(AW289/(-AW120*2)*365,"")</f>
        <v>55.5401103565365</v>
      </c>
      <c r="AX320" s="62" t="n">
        <f aca="false">IFERROR(AX289/(-AX120*2)*365,"")</f>
        <v>61.8686493114298</v>
      </c>
      <c r="AY320" s="63" t="n">
        <v>62</v>
      </c>
      <c r="AZ320" s="63" t="n">
        <v>62</v>
      </c>
      <c r="BA320" s="63" t="n">
        <v>62</v>
      </c>
      <c r="BB320" s="63" t="n">
        <v>62</v>
      </c>
      <c r="BC320" s="63" t="n">
        <v>62</v>
      </c>
      <c r="BD320" s="23"/>
      <c r="BF320" s="7"/>
      <c r="BG320" s="7"/>
      <c r="BH320" s="7"/>
      <c r="BI320" s="7"/>
    </row>
    <row r="321" customFormat="false" ht="15" hidden="false" customHeight="true" outlineLevel="0" collapsed="false">
      <c r="B321" s="26" t="s">
        <v>423</v>
      </c>
      <c r="C321" s="30" t="str">
        <f aca="false">IFERROR(C290/(-C131*1),"")</f>
        <v/>
      </c>
      <c r="D321" s="30" t="str">
        <f aca="false">IFERROR(D290/(-D131*1),"")</f>
        <v/>
      </c>
      <c r="E321" s="30" t="str">
        <f aca="false">IFERROR(E290/(-E131*1),"")</f>
        <v/>
      </c>
      <c r="F321" s="30" t="n">
        <f aca="false">IFERROR(F290/(-F131*1),"")</f>
        <v>0.265856950067476</v>
      </c>
      <c r="G321" s="30" t="n">
        <f aca="false">IFERROR(G290/(-G131*1),"")</f>
        <v>0.345405160706202</v>
      </c>
      <c r="H321" s="30" t="n">
        <f aca="false">IFERROR(H290/(-H131*1),"")</f>
        <v>0.310213940648723</v>
      </c>
      <c r="I321" s="30" t="n">
        <f aca="false">IFERROR(I290/(-I131*1),"")</f>
        <v>0.355485534230879</v>
      </c>
      <c r="J321" s="30" t="n">
        <f aca="false">IFERROR(J290/(-J131*2),"")</f>
        <v>0.262166405023548</v>
      </c>
      <c r="K321" s="30" t="n">
        <f aca="false">IFERROR(K290/(-K131*2),"")</f>
        <v>0.22953995157385</v>
      </c>
      <c r="L321" s="30" t="n">
        <f aca="false">IFERROR(L290/(-L131*1),"")</f>
        <v>0.238430583501006</v>
      </c>
      <c r="M321" s="30" t="n">
        <f aca="false">IFERROR(M290/(-M131*2),"")</f>
        <v>0.251840942562592</v>
      </c>
      <c r="N321" s="30" t="n">
        <f aca="false">IFERROR(N290/(-N131*2),"")</f>
        <v>0.275909090909091</v>
      </c>
      <c r="O321" s="30" t="n">
        <f aca="false">IFERROR(O290/(-O131*1),"")</f>
        <v>0.286523483596885</v>
      </c>
      <c r="P321" s="30" t="n">
        <f aca="false">IFERROR(P290/(-P131*2),"")</f>
        <v>0.23508064516129</v>
      </c>
      <c r="Q321" s="30" t="n">
        <f aca="false">IFERROR(Q290/(-Q131*2),"")</f>
        <v>0.199930458970793</v>
      </c>
      <c r="R321" s="30" t="n">
        <f aca="false">IFERROR(R290/(-R131*1),"")</f>
        <v>0.214712471994025</v>
      </c>
      <c r="S321" s="30" t="n">
        <f aca="false">IFERROR(S290/(-S131*2),"")</f>
        <v>0.248319641523525</v>
      </c>
      <c r="T321" s="30" t="n">
        <f aca="false">IFERROR(T290/(-T131*2),"")</f>
        <v>0.222975321515468</v>
      </c>
      <c r="U321" s="30" t="n">
        <f aca="false">IFERROR(U290/(-U131*1),"")</f>
        <v>0.230963096309631</v>
      </c>
      <c r="V321" s="30" t="n">
        <f aca="false">IFERROR(V290/(-V131*2),"")</f>
        <v>0.229612403100775</v>
      </c>
      <c r="W321" s="30" t="n">
        <f aca="false">IFERROR(W290/(-W131*2),"")</f>
        <v>0.20343137254902</v>
      </c>
      <c r="X321" s="30" t="n">
        <f aca="false">IFERROR(X290/(-X131*1),"")</f>
        <v>0.210817271776483</v>
      </c>
      <c r="Y321" s="30" t="n">
        <f aca="false">IFERROR(Y290/(-Y131*2),"")</f>
        <v>0.254840631516235</v>
      </c>
      <c r="Z321" s="30" t="n">
        <f aca="false">IFERROR(Z290/(-Z131*2),"")</f>
        <v>0.470535447203111</v>
      </c>
      <c r="AA321" s="30" t="n">
        <f aca="false">IFERROR(AA290/(-AA131*1),"")</f>
        <v>0.46955223880597</v>
      </c>
      <c r="AB321" s="30" t="n">
        <f aca="false">IFERROR(AB290/(-AB131*2),"")</f>
        <v>0.5320813771518</v>
      </c>
      <c r="AC321" s="30" t="n">
        <f aca="false">IFERROR(AC290/(-AC131*2),"")</f>
        <v>0.489798694232862</v>
      </c>
      <c r="AD321" s="30" t="n">
        <f aca="false">IFERROR(AD290/(-AD131*1),"")</f>
        <v>0.479494007989348</v>
      </c>
      <c r="AE321" s="30" t="n">
        <f aca="false">IFERROR(AE290/(-AE131*2),"")</f>
        <v>0.824206596141879</v>
      </c>
      <c r="AF321" s="30" t="n">
        <f aca="false">IFERROR(AF290/(-AF131*2),"")</f>
        <v>0.24076940084015</v>
      </c>
      <c r="AG321" s="30" t="n">
        <f aca="false">IFERROR(AG290/(-AG131*1),"")</f>
        <v>0.355301794453507</v>
      </c>
      <c r="AH321" s="30" t="n">
        <f aca="false">IFERROR(AH290/(-AH131*2),"")</f>
        <v>0.304326546593579</v>
      </c>
      <c r="AI321" s="30" t="n">
        <f aca="false">IFERROR(AI290/(-AI131*2),"")</f>
        <v>0.344109480364935</v>
      </c>
      <c r="AJ321" s="30" t="n">
        <f aca="false">IFERROR(AJ290/(-AJ131*1),"")</f>
        <v>0.341871921182266</v>
      </c>
      <c r="AK321" s="30" t="n">
        <f aca="false">IFERROR(AK290/(-AK131*2),"")</f>
        <v>0.361669242658424</v>
      </c>
      <c r="AL321" s="30" t="n">
        <f aca="false">IFERROR(AL290/(-AL131*2),"")</f>
        <v>0.376899696048632</v>
      </c>
      <c r="AM321" s="30" t="n">
        <f aca="false">IFERROR(AM290/(-AM131*1),"")</f>
        <v>0.38007662835249</v>
      </c>
      <c r="AN321" s="30" t="n">
        <f aca="false">IFERROR(AN290/(-AN131*2),"")</f>
        <v>0.389290012033694</v>
      </c>
      <c r="AO321" s="30" t="n">
        <f aca="false">IFERROR(AO290/(-AO131*2),"")</f>
        <v>0.369949494949495</v>
      </c>
      <c r="AP321" s="30" t="n">
        <f aca="false">IFERROR(AP290/(-AP131*1),"")</f>
        <v>0.361059765865681</v>
      </c>
      <c r="AQ321" s="30" t="n">
        <f aca="false">IFERROR(AQ290/(-AQ131*2),"")</f>
        <v>0.398058252427184</v>
      </c>
      <c r="AR321" s="30" t="n">
        <f aca="false">IFERROR(AR290/(-AR131*2),"")</f>
        <v>0.421023965141612</v>
      </c>
      <c r="AS321" s="30" t="n">
        <f aca="false">IFERROR(AS290/(-AS131*1),"")</f>
        <v>0.418970189701897</v>
      </c>
      <c r="AT321" s="30" t="n">
        <f aca="false">IFERROR(AT290/(-AT131*2),"")</f>
        <v>0.290650406504065</v>
      </c>
      <c r="AU321" s="30" t="n">
        <f aca="false">IFERROR(AU290/(-AU131*2),"")</f>
        <v>0.218780251694095</v>
      </c>
      <c r="AV321" s="30" t="n">
        <f aca="false">IFERROR(AV290/(-AV131*1),"")</f>
        <v>0.199734865223155</v>
      </c>
      <c r="AW321" s="30" t="n">
        <f aca="false">IFERROR(AW290/(-AW131*2),"")</f>
        <v>0.323336072308956</v>
      </c>
      <c r="AX321" s="28" t="n">
        <f aca="false">IFERROR(AX290/(-AX131*2),"")</f>
        <v>0.270612718223971</v>
      </c>
      <c r="AY321" s="42" t="n">
        <v>0.25</v>
      </c>
      <c r="AZ321" s="42" t="n">
        <v>0.25</v>
      </c>
      <c r="BA321" s="42" t="n">
        <v>0.25</v>
      </c>
      <c r="BB321" s="42" t="n">
        <v>0.25</v>
      </c>
      <c r="BC321" s="42" t="n">
        <v>0.25</v>
      </c>
      <c r="BD321" s="23"/>
      <c r="BF321" s="7"/>
      <c r="BG321" s="7"/>
      <c r="BH321" s="7"/>
      <c r="BI321" s="7"/>
    </row>
    <row r="322" customFormat="false" ht="15" hidden="false" customHeight="true" outlineLevel="0" collapsed="false">
      <c r="B322" s="13" t="s">
        <v>424</v>
      </c>
      <c r="C322" s="37" t="str">
        <f aca="false">IF(ISNUMBER(C271),C271+C272-C289,"")</f>
        <v/>
      </c>
      <c r="D322" s="37" t="str">
        <f aca="false">IF(ISNUMBER(D271),D271+D272-D289,"")</f>
        <v/>
      </c>
      <c r="E322" s="37" t="str">
        <f aca="false">IF(ISNUMBER(E271),E271+E272-E289,"")</f>
        <v/>
      </c>
      <c r="F322" s="37" t="n">
        <f aca="false">IF(ISNUMBER(F271),F271+F272-F289,"")</f>
        <v>419.8</v>
      </c>
      <c r="G322" s="37" t="n">
        <f aca="false">IF(ISNUMBER(G271),G271+G272-G289,"")</f>
        <v>393</v>
      </c>
      <c r="H322" s="37" t="n">
        <f aca="false">IF(ISNUMBER(H271),H271+H272-H289,"")</f>
        <v>410.5</v>
      </c>
      <c r="I322" s="37" t="n">
        <f aca="false">IF(ISNUMBER(I271),I271+I272-I289,"")</f>
        <v>588.5</v>
      </c>
      <c r="J322" s="37" t="n">
        <f aca="false">IF(ISNUMBER(J271),J271+J272-J289,"")</f>
        <v>727.5</v>
      </c>
      <c r="K322" s="37" t="n">
        <f aca="false">IF(ISNUMBER(K271),K271+K272-K289,"")</f>
        <v>644.9</v>
      </c>
      <c r="L322" s="37" t="n">
        <f aca="false">IF(ISNUMBER(L271),L271+L272-L289,"")</f>
        <v>644.9</v>
      </c>
      <c r="M322" s="37" t="n">
        <f aca="false">IF(ISNUMBER(M271),M271+M272-M289,"")</f>
        <v>810</v>
      </c>
      <c r="N322" s="37" t="n">
        <f aca="false">IF(ISNUMBER(N271),N271+N272-N289,"")</f>
        <v>762.7</v>
      </c>
      <c r="O322" s="37" t="n">
        <f aca="false">IF(ISNUMBER(O271),O271+O272-O289,"")</f>
        <v>762.7</v>
      </c>
      <c r="P322" s="37" t="n">
        <f aca="false">IF(ISNUMBER(P271),P271+P272-P289,"")</f>
        <v>918.2</v>
      </c>
      <c r="Q322" s="37" t="n">
        <f aca="false">IF(ISNUMBER(Q271),Q271+Q272-Q289,"")</f>
        <v>811.9</v>
      </c>
      <c r="R322" s="37" t="n">
        <f aca="false">IF(ISNUMBER(R271),R271+R272-R289,"")</f>
        <v>811.9</v>
      </c>
      <c r="S322" s="37" t="n">
        <f aca="false">IF(ISNUMBER(S271),S271+S272-S289,"")</f>
        <v>883.1</v>
      </c>
      <c r="T322" s="37" t="n">
        <f aca="false">IF(ISNUMBER(T271),T271+T272-T289,"")</f>
        <v>758.6</v>
      </c>
      <c r="U322" s="37" t="n">
        <f aca="false">IF(ISNUMBER(U271),U271+U272-U289,"")</f>
        <v>758.6</v>
      </c>
      <c r="V322" s="37" t="n">
        <f aca="false">IF(ISNUMBER(V271),V271+V272-V289,"")</f>
        <v>806.9</v>
      </c>
      <c r="W322" s="37" t="n">
        <f aca="false">IF(ISNUMBER(W271),W271+W272-W289,"")</f>
        <v>671.1</v>
      </c>
      <c r="X322" s="37" t="n">
        <f aca="false">IF(ISNUMBER(X271),X271+X272-X289,"")</f>
        <v>671.1</v>
      </c>
      <c r="Y322" s="37" t="n">
        <f aca="false">IF(ISNUMBER(Y271),Y271+Y272-Y289,"")</f>
        <v>775.4</v>
      </c>
      <c r="Z322" s="37" t="n">
        <f aca="false">IF(ISNUMBER(Z271),Z271+Z272-Z289,"")</f>
        <v>776.3</v>
      </c>
      <c r="AA322" s="37" t="n">
        <f aca="false">IF(ISNUMBER(AA271),AA271+AA272-AA289,"")</f>
        <v>776.3</v>
      </c>
      <c r="AB322" s="37" t="n">
        <f aca="false">IF(ISNUMBER(AB271),AB271+AB272-AB289,"")</f>
        <v>953.3</v>
      </c>
      <c r="AC322" s="37" t="n">
        <f aca="false">IF(ISNUMBER(AC271),AC271+AC272-AC289,"")</f>
        <v>970.1</v>
      </c>
      <c r="AD322" s="37" t="n">
        <f aca="false">IF(ISNUMBER(AD271),AD271+AD272-AD289,"")</f>
        <v>970.1</v>
      </c>
      <c r="AE322" s="37" t="n">
        <f aca="false">IF(ISNUMBER(AE271),AE271+AE272-AE289,"")</f>
        <v>1134.4</v>
      </c>
      <c r="AF322" s="37" t="n">
        <f aca="false">IF(ISNUMBER(AF271),AF271+AF272-AF289,"")</f>
        <v>1090.9</v>
      </c>
      <c r="AG322" s="37" t="n">
        <f aca="false">IF(ISNUMBER(AG271),AG271+AG272-AG289,"")</f>
        <v>1090.9</v>
      </c>
      <c r="AH322" s="37" t="n">
        <f aca="false">IF(ISNUMBER(AH271),AH271+AH272-AH289,"")</f>
        <v>1308.2</v>
      </c>
      <c r="AI322" s="37" t="n">
        <f aca="false">IF(ISNUMBER(AI271),AI271+AI272-AI289,"")</f>
        <v>1247</v>
      </c>
      <c r="AJ322" s="37" t="n">
        <f aca="false">IF(ISNUMBER(AJ271),AJ271+AJ272-AJ289,"")</f>
        <v>1247</v>
      </c>
      <c r="AK322" s="37" t="n">
        <f aca="false">IF(ISNUMBER(AK271),AK271+AK272-AK289,"")</f>
        <v>1545</v>
      </c>
      <c r="AL322" s="37" t="n">
        <f aca="false">IF(ISNUMBER(AL271),AL271+AL272-AL289,"")</f>
        <v>1385</v>
      </c>
      <c r="AM322" s="37" t="n">
        <f aca="false">IF(ISNUMBER(AM271),AM271+AM272-AM289,"")</f>
        <v>1385</v>
      </c>
      <c r="AN322" s="37" t="n">
        <f aca="false">IF(ISNUMBER(AN271),AN271+AN272-AN289,"")</f>
        <v>1797</v>
      </c>
      <c r="AO322" s="37" t="n">
        <f aca="false">IF(ISNUMBER(AO271),AO271+AO272-AO289,"")</f>
        <v>1965</v>
      </c>
      <c r="AP322" s="37" t="n">
        <f aca="false">IF(ISNUMBER(AP271),AP271+AP272-AP289,"")</f>
        <v>1965</v>
      </c>
      <c r="AQ322" s="37" t="n">
        <f aca="false">IF(ISNUMBER(AQ271),AQ271+AQ272-AQ289,"")</f>
        <v>2517</v>
      </c>
      <c r="AR322" s="37" t="n">
        <f aca="false">IF(ISNUMBER(AR271),AR271+AR272-AR289,"")</f>
        <v>2443</v>
      </c>
      <c r="AS322" s="37" t="n">
        <f aca="false">IF(ISNUMBER(AS271),AS271+AS272-AS289,"")</f>
        <v>2443</v>
      </c>
      <c r="AT322" s="37" t="n">
        <f aca="false">IF(ISNUMBER(AT271),AT271+AT272-AT289,"")</f>
        <v>2534</v>
      </c>
      <c r="AU322" s="37" t="n">
        <f aca="false">IF(ISNUMBER(AU271),AU271+AU272-AU289,"")</f>
        <v>2201</v>
      </c>
      <c r="AV322" s="37" t="n">
        <f aca="false">IF(ISNUMBER(AV271),AV271+AV272-AV289,"")</f>
        <v>2201</v>
      </c>
      <c r="AW322" s="37" t="n">
        <f aca="false">IF(ISNUMBER(AW271),AW271+AW272-AW289,"")</f>
        <v>2519</v>
      </c>
      <c r="AX322" s="39" t="n">
        <f aca="false">AX271+AX272-AX289</f>
        <v>2234.82018613699</v>
      </c>
      <c r="AY322" s="39" t="n">
        <f aca="false">AY271+AY272-AY289</f>
        <v>2234.82018613699</v>
      </c>
      <c r="AZ322" s="39" t="n">
        <f aca="false">AZ271+AZ272-AZ289</f>
        <v>2402.20404899069</v>
      </c>
      <c r="BA322" s="39" t="n">
        <f aca="false">BA271+BA272-BA289</f>
        <v>2574.90983664718</v>
      </c>
      <c r="BB322" s="39" t="n">
        <f aca="false">BB271+BB272-BB289</f>
        <v>2752.24812152171</v>
      </c>
      <c r="BC322" s="39" t="n">
        <f aca="false">BC271+BC272-BC289</f>
        <v>2937.8277115294</v>
      </c>
      <c r="BD322" s="23"/>
      <c r="BF322" s="7"/>
      <c r="BG322" s="7"/>
      <c r="BH322" s="7"/>
      <c r="BI322" s="7"/>
    </row>
    <row r="323" customFormat="false" ht="15" hidden="false" customHeight="true" outlineLevel="0" collapsed="false">
      <c r="B323" s="26" t="s">
        <v>425</v>
      </c>
      <c r="C323" s="30" t="str">
        <f aca="false">IFERROR(C322/(C119*1),"")</f>
        <v/>
      </c>
      <c r="D323" s="30" t="str">
        <f aca="false">IFERROR(D322/(D119*1),"")</f>
        <v/>
      </c>
      <c r="E323" s="30" t="str">
        <f aca="false">IFERROR(E322/(E119*1),"")</f>
        <v/>
      </c>
      <c r="F323" s="30" t="n">
        <f aca="false">IFERROR(F322/(F119*1),"")</f>
        <v>0.219296870918874</v>
      </c>
      <c r="G323" s="30" t="n">
        <f aca="false">IFERROR(G322/(G119*1),"")</f>
        <v>0.163695434855048</v>
      </c>
      <c r="H323" s="30" t="n">
        <f aca="false">IFERROR(H322/(H119*1),"")</f>
        <v>0.144481205124595</v>
      </c>
      <c r="I323" s="30" t="n">
        <f aca="false">IFERROR(I322/(I119*1),"")</f>
        <v>0.168910192015155</v>
      </c>
      <c r="J323" s="30" t="n">
        <f aca="false">IFERROR(J322/(J119*2),"")</f>
        <v>0.205834087822544</v>
      </c>
      <c r="K323" s="30" t="n">
        <f aca="false">IFERROR(K322/(K119*2),"")</f>
        <v>0.16223083115315</v>
      </c>
      <c r="L323" s="30" t="n">
        <f aca="false">IFERROR(L322/(L119*1),"")</f>
        <v>0.171753488867583</v>
      </c>
      <c r="M323" s="30" t="n">
        <f aca="false">IFERROR(M322/(M119*2),"")</f>
        <v>0.212386596045938</v>
      </c>
      <c r="N323" s="30" t="n">
        <f aca="false">IFERROR(N322/(N119*2),"")</f>
        <v>0.172423927295745</v>
      </c>
      <c r="O323" s="30" t="n">
        <f aca="false">IFERROR(O322/(O119*1),"")</f>
        <v>0.185184285922401</v>
      </c>
      <c r="P323" s="30" t="n">
        <f aca="false">IFERROR(P322/(P119*2),"")</f>
        <v>0.199660781073323</v>
      </c>
      <c r="Q323" s="30" t="n">
        <f aca="false">IFERROR(Q322/(Q119*2),"")</f>
        <v>0.159722222222222</v>
      </c>
      <c r="R323" s="30" t="n">
        <f aca="false">IFERROR(R322/(R119*1),"")</f>
        <v>0.167713282379674</v>
      </c>
      <c r="S323" s="30" t="n">
        <f aca="false">IFERROR(S322/(S119*2),"")</f>
        <v>0.180933453532208</v>
      </c>
      <c r="T323" s="30" t="n">
        <f aca="false">IFERROR(T322/(T119*2),"")</f>
        <v>0.137337967991889</v>
      </c>
      <c r="U323" s="30" t="n">
        <f aca="false">IFERROR(U322/(U119*1),"")</f>
        <v>0.145822921071854</v>
      </c>
      <c r="V323" s="30" t="n">
        <f aca="false">IFERROR(V322/(V119*2),"")</f>
        <v>0.14870443404224</v>
      </c>
      <c r="W323" s="30" t="n">
        <f aca="false">IFERROR(W322/(W119*2),"")</f>
        <v>0.118313881739008</v>
      </c>
      <c r="X323" s="30" t="n">
        <f aca="false">IFERROR(X322/(X119*1),"")</f>
        <v>0.120936351185757</v>
      </c>
      <c r="Y323" s="30" t="n">
        <f aca="false">IFERROR(Y322/(Y119*2),"")</f>
        <v>0.135872993621644</v>
      </c>
      <c r="Z323" s="30" t="n">
        <f aca="false">IFERROR(Z322/(Z119*2),"")</f>
        <v>0.124698814534006</v>
      </c>
      <c r="AA323" s="30" t="n">
        <f aca="false">IFERROR(AA322/(AA119*1),"")</f>
        <v>0.130118502874575</v>
      </c>
      <c r="AB323" s="30" t="n">
        <f aca="false">IFERROR(AB322/(AB119*2),"")</f>
        <v>0.145134279276536</v>
      </c>
      <c r="AC323" s="30" t="n">
        <f aca="false">IFERROR(AC322/(AC119*2),"")</f>
        <v>0.13476605912425</v>
      </c>
      <c r="AD323" s="30" t="n">
        <f aca="false">IFERROR(AD322/(AD119*1),"")</f>
        <v>0.140933259726298</v>
      </c>
      <c r="AE323" s="30" t="n">
        <f aca="false">IFERROR(AE322/(AE119*2),"")</f>
        <v>0.227974276527331</v>
      </c>
      <c r="AF323" s="30" t="n">
        <f aca="false">IFERROR(AF322/(AF119*2),"")</f>
        <v>0.139808786589429</v>
      </c>
      <c r="AG323" s="30" t="n">
        <f aca="false">IFERROR(AG322/(AG119*1),"")</f>
        <v>0.170735906344884</v>
      </c>
      <c r="AH323" s="30" t="n">
        <f aca="false">IFERROR(AH322/(AH119*2),"")</f>
        <v>0.154447356614956</v>
      </c>
      <c r="AI323" s="30" t="n">
        <f aca="false">IFERROR(AI322/(AI119*2),"")</f>
        <v>0.131348880321894</v>
      </c>
      <c r="AJ323" s="30" t="n">
        <f aca="false">IFERROR(AJ322/(AJ119*1),"")</f>
        <v>0.138833221999555</v>
      </c>
      <c r="AK323" s="30" t="n">
        <f aca="false">IFERROR(AK322/(AK119*2),"")</f>
        <v>0.141095890410959</v>
      </c>
      <c r="AL323" s="30" t="n">
        <f aca="false">IFERROR(AL322/(AL119*2),"")</f>
        <v>0.113024318589848</v>
      </c>
      <c r="AM323" s="30" t="n">
        <f aca="false">IFERROR(AM322/(AM119*1),"")</f>
        <v>0.119375969660403</v>
      </c>
      <c r="AN323" s="30" t="n">
        <f aca="false">IFERROR(AN322/(AN119*2),"")</f>
        <v>0.134144520752463</v>
      </c>
      <c r="AO323" s="30" t="n">
        <f aca="false">IFERROR(AO322/(AO119*2),"")</f>
        <v>0.146009808292465</v>
      </c>
      <c r="AP323" s="30" t="n">
        <f aca="false">IFERROR(AP322/(AP119*1),"")</f>
        <v>0.14634691293662</v>
      </c>
      <c r="AQ323" s="30" t="n">
        <f aca="false">IFERROR(AQ322/(AQ119*2),"")</f>
        <v>0.167710554371002</v>
      </c>
      <c r="AR323" s="30" t="n">
        <f aca="false">IFERROR(AR322/(AR119*2),"")</f>
        <v>0.159339942603705</v>
      </c>
      <c r="AS323" s="30" t="n">
        <f aca="false">IFERROR(AS322/(AS119*1),"")</f>
        <v>0.161041529334212</v>
      </c>
      <c r="AT323" s="30" t="n">
        <f aca="false">IFERROR(AT322/(AT119*2),"")</f>
        <v>0.157704754792133</v>
      </c>
      <c r="AU323" s="30" t="n">
        <f aca="false">IFERROR(AU322/(AU119*2),"")</f>
        <v>0.138114959839357</v>
      </c>
      <c r="AV323" s="30" t="n">
        <f aca="false">IFERROR(AV322/(AV119*1),"")</f>
        <v>0.137545306836645</v>
      </c>
      <c r="AW323" s="30" t="n">
        <f aca="false">IFERROR(AW322/(AW119*2),"")</f>
        <v>0.154293764547348</v>
      </c>
      <c r="AX323" s="28" t="n">
        <f aca="false">IFERROR(AX322/(AX119*2),"")</f>
        <v>0.135542388220812</v>
      </c>
      <c r="AY323" s="28" t="n">
        <f aca="false">IFERROR(AY322/(AY119*1),"")</f>
        <v>0.136211467559679</v>
      </c>
      <c r="AZ323" s="28" t="n">
        <f aca="false">IFERROR(AZ322/(AZ119*1),"")</f>
        <v>0.136284931506849</v>
      </c>
      <c r="BA323" s="28" t="n">
        <f aca="false">IFERROR(BA322/(BA119*1),"")</f>
        <v>0.135906849315069</v>
      </c>
      <c r="BB323" s="28" t="n">
        <f aca="false">IFERROR(BB322/(BB119*1),"")</f>
        <v>0.135528767123288</v>
      </c>
      <c r="BC323" s="28" t="n">
        <f aca="false">IFERROR(BC322/(BC119*1),"")</f>
        <v>0.135528767123288</v>
      </c>
      <c r="BD323" s="23"/>
      <c r="BF323" s="32" t="n">
        <f aca="false">IFERROR(AVERAGE(AY323,AZ323,BA323,BB323,BC323),"n/m")</f>
        <v>0.135892156525635</v>
      </c>
      <c r="BG323" s="32" t="n">
        <f aca="false">IFERROR(AVERAGE(AJ323,AM323,AP323,AS323,AV323),"n/m")</f>
        <v>0.140628588153487</v>
      </c>
      <c r="BH323" s="32" t="n">
        <f aca="false">IFERROR(AVERAGE(U323,X323,AA323,AD323,AG323,AJ323,AM323,AP323,AS323,AV323),"n/m")</f>
        <v>0.14116898819708</v>
      </c>
      <c r="BI323" s="32" t="n">
        <f aca="false">IFERROR(AVERAGE(C323,D323,E323,F323,G323,H323,I323,L323,O323,R323,U323,X323,AA323,AD323,AG323,AJ323,AM323,AP323,AS323,AV323),"n/m")</f>
        <v>0.154866155414949</v>
      </c>
    </row>
    <row r="324" customFormat="false" ht="15" hidden="false" customHeight="true" outlineLevel="0" collapsed="false">
      <c r="B324" s="13" t="s">
        <v>426</v>
      </c>
      <c r="C324" s="37"/>
      <c r="D324" s="37" t="str">
        <f aca="false">IFERROR(D322-C322,"")</f>
        <v/>
      </c>
      <c r="E324" s="37" t="str">
        <f aca="false">IFERROR(E322-D322,"")</f>
        <v/>
      </c>
      <c r="F324" s="37" t="str">
        <f aca="false">IFERROR(F322-E322,"")</f>
        <v/>
      </c>
      <c r="G324" s="37" t="n">
        <f aca="false">IFERROR(G322-F322,"")</f>
        <v>-26.8</v>
      </c>
      <c r="H324" s="37" t="n">
        <f aca="false">IFERROR(H322-G322,"")</f>
        <v>17.5000000000001</v>
      </c>
      <c r="I324" s="37" t="n">
        <f aca="false">IFERROR(I322-H322,"")</f>
        <v>178</v>
      </c>
      <c r="J324" s="37"/>
      <c r="K324" s="37"/>
      <c r="L324" s="37" t="n">
        <f aca="false">IFERROR(L322-I322,"")</f>
        <v>56.4</v>
      </c>
      <c r="M324" s="37" t="n">
        <f aca="false">IFERROR(M322-J322,"")</f>
        <v>82.5</v>
      </c>
      <c r="N324" s="37" t="n">
        <f aca="false">IFERROR(N322-K322,"")</f>
        <v>117.8</v>
      </c>
      <c r="O324" s="37" t="n">
        <f aca="false">IFERROR(O322-L322,"")</f>
        <v>117.8</v>
      </c>
      <c r="P324" s="37" t="n">
        <f aca="false">IFERROR(P322-M322,"")</f>
        <v>108.2</v>
      </c>
      <c r="Q324" s="37" t="n">
        <f aca="false">IFERROR(Q322-N322,"")</f>
        <v>49.2000000000002</v>
      </c>
      <c r="R324" s="37" t="n">
        <f aca="false">IFERROR(R322-O322,"")</f>
        <v>49.2000000000002</v>
      </c>
      <c r="S324" s="37" t="n">
        <f aca="false">IFERROR(S322-P322,"")</f>
        <v>-35.0999999999999</v>
      </c>
      <c r="T324" s="37" t="n">
        <f aca="false">IFERROR(T322-Q322,"")</f>
        <v>-53.3000000000002</v>
      </c>
      <c r="U324" s="37" t="n">
        <f aca="false">IFERROR(U322-R322,"")</f>
        <v>-53.3000000000002</v>
      </c>
      <c r="V324" s="37" t="n">
        <f aca="false">IFERROR(V322-S322,"")</f>
        <v>-76.2000000000001</v>
      </c>
      <c r="W324" s="37" t="n">
        <f aca="false">IFERROR(W322-T322,"")</f>
        <v>-87.4999999999998</v>
      </c>
      <c r="X324" s="37" t="n">
        <f aca="false">IFERROR(X322-U322,"")</f>
        <v>-87.4999999999998</v>
      </c>
      <c r="Y324" s="37" t="n">
        <f aca="false">IFERROR(Y322-V322,"")</f>
        <v>-31.4999999999999</v>
      </c>
      <c r="Z324" s="37" t="n">
        <f aca="false">IFERROR(Z322-W322,"")</f>
        <v>105.2</v>
      </c>
      <c r="AA324" s="37" t="n">
        <f aca="false">IFERROR(AA322-X322,"")</f>
        <v>105.2</v>
      </c>
      <c r="AB324" s="37" t="n">
        <f aca="false">IFERROR(AB322-Y322,"")</f>
        <v>177.9</v>
      </c>
      <c r="AC324" s="37" t="n">
        <f aca="false">IFERROR(AC322-Z322,"")</f>
        <v>193.8</v>
      </c>
      <c r="AD324" s="37" t="n">
        <f aca="false">IFERROR(AD322-AA322,"")</f>
        <v>193.8</v>
      </c>
      <c r="AE324" s="37" t="n">
        <f aca="false">IFERROR(AE322-AB322,"")</f>
        <v>181.1</v>
      </c>
      <c r="AF324" s="37" t="n">
        <f aca="false">IFERROR(AF322-AC322,"")</f>
        <v>120.8</v>
      </c>
      <c r="AG324" s="37" t="n">
        <f aca="false">IFERROR(AG322-AD322,"")</f>
        <v>120.8</v>
      </c>
      <c r="AH324" s="37" t="n">
        <f aca="false">IFERROR(AH322-AE322,"")</f>
        <v>173.8</v>
      </c>
      <c r="AI324" s="37" t="n">
        <f aca="false">IFERROR(AI322-AF322,"")</f>
        <v>156.1</v>
      </c>
      <c r="AJ324" s="37" t="n">
        <f aca="false">IFERROR(AJ322-AG322,"")</f>
        <v>156.1</v>
      </c>
      <c r="AK324" s="37" t="n">
        <f aca="false">IFERROR(AK322-AH322,"")</f>
        <v>236.8</v>
      </c>
      <c r="AL324" s="37" t="n">
        <f aca="false">IFERROR(AL322-AI322,"")</f>
        <v>138</v>
      </c>
      <c r="AM324" s="37" t="n">
        <f aca="false">IFERROR(AM322-AJ322,"")</f>
        <v>138</v>
      </c>
      <c r="AN324" s="37" t="n">
        <f aca="false">IFERROR(AN322-AK322,"")</f>
        <v>252</v>
      </c>
      <c r="AO324" s="37" t="n">
        <f aca="false">IFERROR(AO322-AL322,"")</f>
        <v>580</v>
      </c>
      <c r="AP324" s="37" t="n">
        <f aca="false">IFERROR(AP322-AM322,"")</f>
        <v>580</v>
      </c>
      <c r="AQ324" s="37" t="n">
        <f aca="false">IFERROR(AQ322-AN322,"")</f>
        <v>720</v>
      </c>
      <c r="AR324" s="37" t="n">
        <f aca="false">IFERROR(AR322-AO322,"")</f>
        <v>478</v>
      </c>
      <c r="AS324" s="37" t="n">
        <f aca="false">IFERROR(AS322-AP322,"")</f>
        <v>478</v>
      </c>
      <c r="AT324" s="37" t="n">
        <f aca="false">IFERROR(AT322-AQ322,"")</f>
        <v>17</v>
      </c>
      <c r="AU324" s="37" t="n">
        <f aca="false">IFERROR(AU322-AR322,"")</f>
        <v>-242</v>
      </c>
      <c r="AV324" s="37" t="n">
        <f aca="false">IFERROR(AV322-AS322,"")</f>
        <v>-242</v>
      </c>
      <c r="AW324" s="37" t="n">
        <f aca="false">IFERROR(AW322-AT322,"")</f>
        <v>-15</v>
      </c>
      <c r="AX324" s="39" t="n">
        <f aca="false">IFERROR(AX322-AU322,"")</f>
        <v>33.8201861369857</v>
      </c>
      <c r="AY324" s="39" t="n">
        <f aca="false">IFERROR(AY322-AV322,"")</f>
        <v>33.8201861369857</v>
      </c>
      <c r="AZ324" s="39" t="n">
        <f aca="false">IFERROR(AZ322-AY322,"")</f>
        <v>167.383862853699</v>
      </c>
      <c r="BA324" s="39" t="n">
        <f aca="false">IFERROR(BA322-AZ322,"")</f>
        <v>172.705787656494</v>
      </c>
      <c r="BB324" s="39" t="n">
        <f aca="false">IFERROR(BB322-BA322,"")</f>
        <v>177.338284874529</v>
      </c>
      <c r="BC324" s="39" t="n">
        <f aca="false">IFERROR(BC322-BB322,"")</f>
        <v>185.579590007693</v>
      </c>
      <c r="BD324" s="23"/>
      <c r="BF324" s="7"/>
      <c r="BG324" s="7"/>
      <c r="BH324" s="7"/>
      <c r="BI324" s="7"/>
    </row>
    <row r="325" customFormat="false" ht="15" hidden="false" customHeight="true" outlineLevel="0" collapsed="false">
      <c r="B325" s="13"/>
      <c r="AX325" s="7"/>
      <c r="AY325" s="7"/>
      <c r="AZ325" s="7"/>
      <c r="BA325" s="7"/>
      <c r="BB325" s="7"/>
      <c r="BC325" s="7"/>
      <c r="BD325" s="7"/>
    </row>
    <row r="326" customFormat="false" ht="15" hidden="false" customHeight="true" outlineLevel="0" collapsed="false">
      <c r="B326" s="12" t="s">
        <v>427</v>
      </c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 t="s">
        <v>428</v>
      </c>
    </row>
    <row r="327" customFormat="false" ht="15" hidden="false" customHeight="true" outlineLevel="0" collapsed="false">
      <c r="B327" s="17" t="s">
        <v>429</v>
      </c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</row>
    <row r="328" customFormat="false" ht="15" hidden="false" customHeight="true" outlineLevel="0" collapsed="false">
      <c r="B328" s="48" t="s">
        <v>430</v>
      </c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28"/>
      <c r="AY328" s="42" t="n">
        <v>0.035</v>
      </c>
      <c r="AZ328" s="42" t="n">
        <v>0.035</v>
      </c>
      <c r="BA328" s="42" t="n">
        <v>0.035</v>
      </c>
      <c r="BB328" s="42" t="n">
        <v>0.035</v>
      </c>
      <c r="BC328" s="42" t="n">
        <v>0.035</v>
      </c>
      <c r="BD328" s="23" t="s">
        <v>431</v>
      </c>
      <c r="BF328" s="7"/>
      <c r="BG328" s="7"/>
      <c r="BH328" s="7"/>
      <c r="BI328" s="7"/>
    </row>
    <row r="329" customFormat="false" ht="15" hidden="false" customHeight="true" outlineLevel="0" collapsed="false">
      <c r="B329" s="13" t="s">
        <v>432</v>
      </c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AX329" s="39"/>
      <c r="AY329" s="39" t="n">
        <f aca="false">AY119*AY328</f>
        <v>574.24465</v>
      </c>
      <c r="AZ329" s="39" t="n">
        <f aca="false">AZ119*AZ328</f>
        <v>616.921774</v>
      </c>
      <c r="BA329" s="39" t="n">
        <f aca="false">BA119*BA328</f>
        <v>663.11480795</v>
      </c>
      <c r="BB329" s="39" t="n">
        <f aca="false">BB119*BB328</f>
        <v>710.7619016827</v>
      </c>
      <c r="BC329" s="39" t="n">
        <f aca="false">BC119*BC328</f>
        <v>758.687414384816</v>
      </c>
      <c r="BD329" s="23"/>
      <c r="BF329" s="7"/>
      <c r="BG329" s="7"/>
      <c r="BH329" s="7"/>
      <c r="BI329" s="7"/>
    </row>
    <row r="330" customFormat="false" ht="15" hidden="false" customHeight="true" outlineLevel="0" collapsed="false">
      <c r="B330" s="48" t="s">
        <v>433</v>
      </c>
      <c r="C330" s="30" t="str">
        <f aca="false">IFERROR(C143/none,"")</f>
        <v/>
      </c>
      <c r="D330" s="30" t="str">
        <f aca="false">IFERROR(D143/C265,"")</f>
        <v/>
      </c>
      <c r="E330" s="30" t="str">
        <f aca="false">IFERROR(E143/D265,"")</f>
        <v/>
      </c>
      <c r="F330" s="30" t="str">
        <f aca="false">IFERROR(F143/E265,"")</f>
        <v/>
      </c>
      <c r="G330" s="30" t="str">
        <f aca="false">IFERROR(G143/F265,"")</f>
        <v/>
      </c>
      <c r="H330" s="30" t="str">
        <f aca="false">IFERROR(H143/G265,"")</f>
        <v/>
      </c>
      <c r="I330" s="30" t="str">
        <f aca="false">IFERROR(I143/H265,"")</f>
        <v/>
      </c>
      <c r="J330" s="30"/>
      <c r="K330" s="30"/>
      <c r="L330" s="30" t="str">
        <f aca="false">IFERROR(L143/I265,"")</f>
        <v/>
      </c>
      <c r="M330" s="30"/>
      <c r="N330" s="30"/>
      <c r="O330" s="30" t="str">
        <f aca="false">IFERROR(O143/L265,"")</f>
        <v/>
      </c>
      <c r="P330" s="30"/>
      <c r="Q330" s="30"/>
      <c r="R330" s="30" t="str">
        <f aca="false">IFERROR(R143/O265,"")</f>
        <v/>
      </c>
      <c r="S330" s="30"/>
      <c r="T330" s="30"/>
      <c r="U330" s="30" t="str">
        <f aca="false">IFERROR(U143/R265,"")</f>
        <v/>
      </c>
      <c r="V330" s="30"/>
      <c r="W330" s="30"/>
      <c r="X330" s="30" t="str">
        <f aca="false">IFERROR(X143/U265,"")</f>
        <v/>
      </c>
      <c r="Y330" s="30"/>
      <c r="Z330" s="30"/>
      <c r="AA330" s="30" t="str">
        <f aca="false">IFERROR(AA143/X265,"")</f>
        <v/>
      </c>
      <c r="AB330" s="30"/>
      <c r="AC330" s="30"/>
      <c r="AD330" s="30" t="str">
        <f aca="false">IFERROR(AD143/AA265,"")</f>
        <v/>
      </c>
      <c r="AE330" s="30"/>
      <c r="AF330" s="30"/>
      <c r="AG330" s="30" t="n">
        <f aca="false">IFERROR(AG143/AD265,"")</f>
        <v>0.254846484334067</v>
      </c>
      <c r="AH330" s="30"/>
      <c r="AI330" s="30"/>
      <c r="AJ330" s="30" t="n">
        <f aca="false">IFERROR(AJ143/AG265,"")</f>
        <v>0.173570292510891</v>
      </c>
      <c r="AK330" s="30"/>
      <c r="AL330" s="30"/>
      <c r="AM330" s="30" t="n">
        <f aca="false">IFERROR(AM143/AJ265,"")</f>
        <v>0.175346077785102</v>
      </c>
      <c r="AN330" s="30"/>
      <c r="AO330" s="30"/>
      <c r="AP330" s="30" t="n">
        <f aca="false">IFERROR(AP143/AM265,"")</f>
        <v>0.18204804045512</v>
      </c>
      <c r="AQ330" s="30"/>
      <c r="AR330" s="30"/>
      <c r="AS330" s="30" t="n">
        <f aca="false">IFERROR(AS143/AP265,"")</f>
        <v>0.194055944055944</v>
      </c>
      <c r="AT330" s="30"/>
      <c r="AU330" s="30"/>
      <c r="AV330" s="30" t="n">
        <f aca="false">IFERROR(AV143/AS265,"")</f>
        <v>0.196528555431131</v>
      </c>
      <c r="AW330" s="30"/>
      <c r="AX330" s="28"/>
      <c r="AY330" s="42" t="n">
        <v>0.195</v>
      </c>
      <c r="AZ330" s="42" t="n">
        <v>0.195</v>
      </c>
      <c r="BA330" s="42" t="n">
        <v>0.195</v>
      </c>
      <c r="BB330" s="42" t="n">
        <v>0.195</v>
      </c>
      <c r="BC330" s="42" t="n">
        <v>0.195</v>
      </c>
      <c r="BD330" s="23"/>
      <c r="BF330" s="7"/>
      <c r="BG330" s="7"/>
      <c r="BH330" s="7"/>
      <c r="BI330" s="7"/>
    </row>
    <row r="331" customFormat="false" ht="15" hidden="false" customHeight="true" outlineLevel="0" collapsed="false">
      <c r="B331" s="13" t="s">
        <v>434</v>
      </c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  <c r="AU331" s="37"/>
      <c r="AV331" s="37"/>
      <c r="AW331" s="37"/>
      <c r="AX331" s="39"/>
      <c r="AY331" s="39" t="n">
        <f aca="false">AV265*AY330</f>
        <v>390.39</v>
      </c>
      <c r="AZ331" s="39" t="n">
        <f aca="false">AY265*AZ330</f>
        <v>426.24165675</v>
      </c>
      <c r="BA331" s="39" t="n">
        <f aca="false">AZ265*BA330</f>
        <v>463.42427961375</v>
      </c>
      <c r="BB331" s="39" t="n">
        <f aca="false">BA265*BB330</f>
        <v>502.363932639319</v>
      </c>
      <c r="BC331" s="39" t="n">
        <f aca="false">BB265*BC330</f>
        <v>543.001536602778</v>
      </c>
      <c r="BD331" s="23"/>
      <c r="BF331" s="7"/>
      <c r="BG331" s="7"/>
      <c r="BH331" s="7"/>
      <c r="BI331" s="7"/>
    </row>
    <row r="332" customFormat="false" ht="15" hidden="false" customHeight="true" outlineLevel="0" collapsed="false">
      <c r="B332" s="48" t="s">
        <v>435</v>
      </c>
      <c r="C332" s="30" t="str">
        <f aca="false">IFERROR(C129/none,"")</f>
        <v/>
      </c>
      <c r="D332" s="30" t="str">
        <f aca="false">IFERROR(D129/C314,"")</f>
        <v/>
      </c>
      <c r="E332" s="30" t="str">
        <f aca="false">IFERROR(E129/D314,"")</f>
        <v/>
      </c>
      <c r="F332" s="30" t="str">
        <f aca="false">IFERROR(F129/E314,"")</f>
        <v/>
      </c>
      <c r="G332" s="30" t="str">
        <f aca="false">IFERROR(G129/F314,"")</f>
        <v/>
      </c>
      <c r="H332" s="30" t="str">
        <f aca="false">IFERROR(H129/G314,"")</f>
        <v/>
      </c>
      <c r="I332" s="30" t="str">
        <f aca="false">IFERROR(I129/H314,"")</f>
        <v/>
      </c>
      <c r="J332" s="30"/>
      <c r="K332" s="30"/>
      <c r="L332" s="30" t="str">
        <f aca="false">IFERROR(L129/I314,"")</f>
        <v/>
      </c>
      <c r="M332" s="30"/>
      <c r="N332" s="30"/>
      <c r="O332" s="30" t="str">
        <f aca="false">IFERROR(O129/L314,"")</f>
        <v/>
      </c>
      <c r="P332" s="30"/>
      <c r="Q332" s="30"/>
      <c r="R332" s="30" t="str">
        <f aca="false">IFERROR(R129/O314,"")</f>
        <v/>
      </c>
      <c r="S332" s="30"/>
      <c r="T332" s="30"/>
      <c r="U332" s="30" t="str">
        <f aca="false">IFERROR(U129/R314,"")</f>
        <v/>
      </c>
      <c r="V332" s="30"/>
      <c r="W332" s="30"/>
      <c r="X332" s="30" t="str">
        <f aca="false">IFERROR(X129/U314,"")</f>
        <v/>
      </c>
      <c r="Y332" s="30"/>
      <c r="Z332" s="30"/>
      <c r="AA332" s="30" t="str">
        <f aca="false">IFERROR(AA129/X314,"")</f>
        <v/>
      </c>
      <c r="AB332" s="30"/>
      <c r="AC332" s="30"/>
      <c r="AD332" s="30" t="str">
        <f aca="false">IFERROR(AD129/AA314,"")</f>
        <v/>
      </c>
      <c r="AE332" s="30"/>
      <c r="AF332" s="30"/>
      <c r="AG332" s="30" t="n">
        <f aca="false">IFERROR(AG129/AD314,"")</f>
        <v>0.0262916819347746</v>
      </c>
      <c r="AH332" s="30"/>
      <c r="AI332" s="30"/>
      <c r="AJ332" s="30" t="n">
        <f aca="false">IFERROR(AJ129/AG314,"")</f>
        <v>0.0194753819000669</v>
      </c>
      <c r="AK332" s="30"/>
      <c r="AL332" s="30"/>
      <c r="AM332" s="30" t="n">
        <f aca="false">IFERROR(AM129/AJ314,"")</f>
        <v>0.024198086662915</v>
      </c>
      <c r="AN332" s="30"/>
      <c r="AO332" s="30"/>
      <c r="AP332" s="30" t="n">
        <f aca="false">IFERROR(AP129/AM314,"")</f>
        <v>0.029520295202952</v>
      </c>
      <c r="AQ332" s="30"/>
      <c r="AR332" s="30"/>
      <c r="AS332" s="30" t="n">
        <f aca="false">IFERROR(AS129/AP314,"")</f>
        <v>0.0293678446988552</v>
      </c>
      <c r="AT332" s="30"/>
      <c r="AU332" s="30"/>
      <c r="AV332" s="30" t="n">
        <f aca="false">IFERROR(AV129/AS314,"")</f>
        <v>0.0260293421675343</v>
      </c>
      <c r="AW332" s="30"/>
      <c r="AX332" s="28"/>
      <c r="AY332" s="42" t="n">
        <v>0.026</v>
      </c>
      <c r="AZ332" s="42" t="n">
        <v>0.026</v>
      </c>
      <c r="BA332" s="42" t="n">
        <v>0.026</v>
      </c>
      <c r="BB332" s="42" t="n">
        <v>0.026</v>
      </c>
      <c r="BC332" s="42" t="n">
        <v>0.026</v>
      </c>
      <c r="BD332" s="23"/>
      <c r="BF332" s="7"/>
      <c r="BG332" s="7"/>
      <c r="BH332" s="7"/>
      <c r="BI332" s="7"/>
    </row>
    <row r="333" customFormat="false" ht="15" hidden="false" customHeight="true" outlineLevel="0" collapsed="false">
      <c r="B333" s="17" t="s">
        <v>436</v>
      </c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</row>
    <row r="334" customFormat="false" ht="15" hidden="false" customHeight="true" outlineLevel="0" collapsed="false">
      <c r="B334" s="48" t="s">
        <v>437</v>
      </c>
      <c r="C334" s="30" t="str">
        <f aca="false">IFERROR((C128+N(C129))/none,"")</f>
        <v/>
      </c>
      <c r="D334" s="30" t="n">
        <f aca="false">IFERROR((D128+N(D129))/C313,"")</f>
        <v>0</v>
      </c>
      <c r="E334" s="30" t="n">
        <f aca="false">IFERROR((E128+N(E129))/D313,"")</f>
        <v>0</v>
      </c>
      <c r="F334" s="30" t="n">
        <f aca="false">IFERROR((F128+N(F129))/E313,"")</f>
        <v>-0.0293709528214616</v>
      </c>
      <c r="G334" s="30" t="n">
        <f aca="false">IFERROR((G128+N(G129))/F313,"")</f>
        <v>-0.0216863289382373</v>
      </c>
      <c r="H334" s="30" t="n">
        <f aca="false">IFERROR((H128+N(H129))/G313,"")</f>
        <v>0.0130512577623408</v>
      </c>
      <c r="I334" s="30" t="n">
        <f aca="false">IFERROR((I128+N(I129))/H313,"")</f>
        <v>-0.0178126795633021</v>
      </c>
      <c r="J334" s="30"/>
      <c r="K334" s="30"/>
      <c r="L334" s="30" t="n">
        <f aca="false">IFERROR((L128+N(L129))/I313,"")</f>
        <v>-0.0325936199722608</v>
      </c>
      <c r="M334" s="30"/>
      <c r="N334" s="30"/>
      <c r="O334" s="30" t="n">
        <f aca="false">IFERROR((O128+N(O129))/L313,"")</f>
        <v>-0.0226397800183318</v>
      </c>
      <c r="P334" s="30"/>
      <c r="Q334" s="30"/>
      <c r="R334" s="30" t="n">
        <f aca="false">IFERROR((R128+N(R129))/O313,"")</f>
        <v>-0.0305302624531334</v>
      </c>
      <c r="S334" s="30"/>
      <c r="T334" s="30"/>
      <c r="U334" s="30" t="n">
        <f aca="false">IFERROR((U128+N(U129))/R313,"")</f>
        <v>-0.0296158612143742</v>
      </c>
      <c r="V334" s="30"/>
      <c r="W334" s="30"/>
      <c r="X334" s="30" t="n">
        <f aca="false">IFERROR((X128+N(X129))/U313,"")</f>
        <v>-0.013729586833241</v>
      </c>
      <c r="Y334" s="30"/>
      <c r="Z334" s="30"/>
      <c r="AA334" s="30" t="n">
        <f aca="false">IFERROR((AA128+N(AA129))/X313,"")</f>
        <v>-0.0113446342503033</v>
      </c>
      <c r="AB334" s="30"/>
      <c r="AC334" s="30"/>
      <c r="AD334" s="30" t="n">
        <f aca="false">IFERROR((AD128+N(AD129))/AA313,"")</f>
        <v>-0.012226494426157</v>
      </c>
      <c r="AE334" s="30"/>
      <c r="AF334" s="30"/>
      <c r="AG334" s="30" t="n">
        <f aca="false">IFERROR((AG128+N(AG129))/AD313,"")</f>
        <v>-0.0125833041038232</v>
      </c>
      <c r="AH334" s="30"/>
      <c r="AI334" s="30"/>
      <c r="AJ334" s="30" t="n">
        <f aca="false">IFERROR((AJ128+N(AJ129))/AG313,"")</f>
        <v>-0.0130532327146645</v>
      </c>
      <c r="AK334" s="30"/>
      <c r="AL334" s="30"/>
      <c r="AM334" s="30" t="n">
        <f aca="false">IFERROR((AM128+N(AM129))/AJ313,"")</f>
        <v>-0.00268741159830269</v>
      </c>
      <c r="AN334" s="30"/>
      <c r="AO334" s="30"/>
      <c r="AP334" s="30" t="n">
        <f aca="false">IFERROR((AP128+N(AP129))/AM313,"")</f>
        <v>0.0252488966437442</v>
      </c>
      <c r="AQ334" s="30"/>
      <c r="AR334" s="30"/>
      <c r="AS334" s="30" t="n">
        <f aca="false">IFERROR((AS128+N(AS129))/AP313,"")</f>
        <v>0.0306369255576458</v>
      </c>
      <c r="AT334" s="30"/>
      <c r="AU334" s="30"/>
      <c r="AV334" s="30" t="n">
        <f aca="false">IFERROR((AV128+N(AV129))/AS313,"")</f>
        <v>0.0217626048675139</v>
      </c>
      <c r="AW334" s="30"/>
      <c r="AX334" s="28"/>
      <c r="AY334" s="42" t="n">
        <v>0.02</v>
      </c>
      <c r="AZ334" s="42" t="n">
        <v>0.02</v>
      </c>
      <c r="BA334" s="42" t="n">
        <v>0.02</v>
      </c>
      <c r="BB334" s="42" t="n">
        <v>0.02</v>
      </c>
      <c r="BC334" s="42" t="n">
        <v>0.02</v>
      </c>
      <c r="BD334" s="23" t="s">
        <v>438</v>
      </c>
      <c r="BF334" s="7"/>
      <c r="BG334" s="7"/>
      <c r="BH334" s="7"/>
      <c r="BI334" s="7"/>
    </row>
    <row r="335" customFormat="false" ht="15" hidden="false" customHeight="true" outlineLevel="0" collapsed="false">
      <c r="B335" s="48" t="s">
        <v>439</v>
      </c>
      <c r="C335" s="30" t="str">
        <f aca="false">IFERROR(-C138/C137,"")</f>
        <v/>
      </c>
      <c r="D335" s="30" t="str">
        <f aca="false">IFERROR(-D138/D137,"")</f>
        <v/>
      </c>
      <c r="E335" s="30" t="str">
        <f aca="false">IFERROR(-E138/E137,"")</f>
        <v/>
      </c>
      <c r="F335" s="30" t="n">
        <f aca="false">IFERROR(-F138/F137,"")</f>
        <v>0.022673434856176</v>
      </c>
      <c r="G335" s="30" t="n">
        <f aca="false">IFERROR(-G138/G137,"")</f>
        <v>0.0231642344220523</v>
      </c>
      <c r="H335" s="30" t="n">
        <f aca="false">IFERROR(-H138/H137,"")</f>
        <v>0.0152494612962042</v>
      </c>
      <c r="I335" s="30" t="n">
        <f aca="false">IFERROR(-I138/I137,"")</f>
        <v>0.0141220357047695</v>
      </c>
      <c r="J335" s="30"/>
      <c r="K335" s="30"/>
      <c r="L335" s="30" t="n">
        <f aca="false">IFERROR(-L138/L137,"")</f>
        <v>0.0107621073707921</v>
      </c>
      <c r="M335" s="30"/>
      <c r="N335" s="30"/>
      <c r="O335" s="30" t="n">
        <f aca="false">IFERROR(-O138/O137,"")</f>
        <v>0.00521255646936175</v>
      </c>
      <c r="P335" s="30"/>
      <c r="Q335" s="30"/>
      <c r="R335" s="30" t="n">
        <f aca="false">IFERROR(-R138/R137,"")</f>
        <v>0.00470732705689726</v>
      </c>
      <c r="S335" s="30"/>
      <c r="T335" s="30"/>
      <c r="U335" s="30" t="n">
        <f aca="false">IFERROR(-U138/U137,"")</f>
        <v>0.00353228874196178</v>
      </c>
      <c r="V335" s="30"/>
      <c r="W335" s="30"/>
      <c r="X335" s="30" t="n">
        <f aca="false">IFERROR(-X138/X137,"")</f>
        <v>0.00350791319954316</v>
      </c>
      <c r="Y335" s="30"/>
      <c r="Z335" s="30"/>
      <c r="AA335" s="30" t="n">
        <f aca="false">IFERROR(-AA138/AA137,"")</f>
        <v>0.00354685394055473</v>
      </c>
      <c r="AB335" s="30"/>
      <c r="AC335" s="30"/>
      <c r="AD335" s="30" t="n">
        <f aca="false">IFERROR(-AD138/AD137,"")</f>
        <v>0.00455996352029184</v>
      </c>
      <c r="AE335" s="30"/>
      <c r="AF335" s="30"/>
      <c r="AG335" s="30" t="n">
        <f aca="false">IFERROR(-AG138/AG137,"")</f>
        <v>0.00295070169125585</v>
      </c>
      <c r="AH335" s="30"/>
      <c r="AI335" s="30"/>
      <c r="AJ335" s="30" t="n">
        <f aca="false">IFERROR(-AJ138/AJ137,"")</f>
        <v>0.0032599837000815</v>
      </c>
      <c r="AK335" s="30"/>
      <c r="AL335" s="30"/>
      <c r="AM335" s="30" t="n">
        <f aca="false">IFERROR(-AM138/AM137,"")</f>
        <v>0.00384615384615385</v>
      </c>
      <c r="AN335" s="30"/>
      <c r="AO335" s="30"/>
      <c r="AP335" s="30" t="n">
        <f aca="false">IFERROR(-AP138/AP137,"")</f>
        <v>0.00277713492247165</v>
      </c>
      <c r="AQ335" s="30"/>
      <c r="AR335" s="30"/>
      <c r="AS335" s="30" t="n">
        <f aca="false">IFERROR(-AS138/AS137,"")</f>
        <v>0.0060475161987041</v>
      </c>
      <c r="AT335" s="30"/>
      <c r="AU335" s="30"/>
      <c r="AV335" s="30" t="n">
        <f aca="false">IFERROR(-AV138/AV137,"")</f>
        <v>0.00789473684210526</v>
      </c>
      <c r="AW335" s="30"/>
      <c r="AX335" s="28"/>
      <c r="AY335" s="42" t="n">
        <v>0.005</v>
      </c>
      <c r="AZ335" s="42" t="n">
        <v>0.005</v>
      </c>
      <c r="BA335" s="42" t="n">
        <v>0.005</v>
      </c>
      <c r="BB335" s="42" t="n">
        <v>0.005</v>
      </c>
      <c r="BC335" s="42" t="n">
        <v>0.005</v>
      </c>
      <c r="BD335" s="23"/>
      <c r="BF335" s="7"/>
      <c r="BG335" s="7"/>
      <c r="BH335" s="7"/>
      <c r="BI335" s="7"/>
    </row>
    <row r="336" customFormat="false" ht="15" hidden="false" customHeight="true" outlineLevel="0" collapsed="false">
      <c r="B336" s="13" t="s">
        <v>440</v>
      </c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  <c r="AT336" s="37"/>
      <c r="AU336" s="37"/>
      <c r="AV336" s="37"/>
      <c r="AW336" s="37"/>
      <c r="AX336" s="39"/>
      <c r="AY336" s="39" t="n">
        <f aca="false">AY138</f>
        <v>-20.959918383</v>
      </c>
      <c r="AZ336" s="39" t="n">
        <f aca="false">AZ138</f>
        <v>-26.5931662293309</v>
      </c>
      <c r="BA336" s="39" t="n">
        <f aca="false">BA138</f>
        <v>-28.861664151394</v>
      </c>
      <c r="BB336" s="39" t="n">
        <f aca="false">BB138</f>
        <v>-31.1748672056958</v>
      </c>
      <c r="BC336" s="39" t="n">
        <f aca="false">BC138</f>
        <v>-33.383754359288</v>
      </c>
      <c r="BD336" s="23" t="s">
        <v>441</v>
      </c>
      <c r="BF336" s="7"/>
      <c r="BG336" s="7"/>
      <c r="BH336" s="7"/>
      <c r="BI336" s="7"/>
    </row>
    <row r="337" customFormat="false" ht="15" hidden="false" customHeight="true" outlineLevel="0" collapsed="false">
      <c r="B337" s="17" t="s">
        <v>442</v>
      </c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</row>
    <row r="338" customFormat="false" ht="15" hidden="false" customHeight="true" outlineLevel="0" collapsed="false">
      <c r="B338" s="48" t="s">
        <v>443</v>
      </c>
      <c r="C338" s="49" t="n">
        <f aca="false">IFERROR(C148-C147,"")</f>
        <v>0</v>
      </c>
      <c r="D338" s="49" t="n">
        <f aca="false">IFERROR(D148-D147,"")</f>
        <v>0</v>
      </c>
      <c r="E338" s="49" t="n">
        <f aca="false">IFERROR(E148-E147,"")</f>
        <v>-105.074019</v>
      </c>
      <c r="F338" s="49" t="n">
        <f aca="false">IFERROR(F148-F147,"")</f>
        <v>0.0823539999999952</v>
      </c>
      <c r="G338" s="49" t="n">
        <f aca="false">IFERROR(G148-G147,"")</f>
        <v>0.265707999999989</v>
      </c>
      <c r="H338" s="49" t="n">
        <f aca="false">IFERROR(H148-H147,"")</f>
        <v>0.415329999999997</v>
      </c>
      <c r="I338" s="49" t="n">
        <f aca="false">IFERROR(I148-I147,"")</f>
        <v>0.597054</v>
      </c>
      <c r="J338" s="49"/>
      <c r="K338" s="49"/>
      <c r="L338" s="49" t="n">
        <f aca="false">IFERROR(L148-L147,"")</f>
        <v>0.739367999999999</v>
      </c>
      <c r="M338" s="49"/>
      <c r="N338" s="49"/>
      <c r="O338" s="49" t="n">
        <f aca="false">IFERROR(O148-O147,"")</f>
        <v>0.555617999999996</v>
      </c>
      <c r="P338" s="49"/>
      <c r="Q338" s="49"/>
      <c r="R338" s="49" t="n">
        <f aca="false">IFERROR(R148-R147,"")</f>
        <v>0.692884000000007</v>
      </c>
      <c r="S338" s="49"/>
      <c r="T338" s="49"/>
      <c r="U338" s="49" t="n">
        <f aca="false">IFERROR(U148-U147,"")</f>
        <v>0.600448999999998</v>
      </c>
      <c r="V338" s="49"/>
      <c r="W338" s="49"/>
      <c r="X338" s="49" t="n">
        <f aca="false">IFERROR(X148-X147,"")</f>
        <v>0.725044999999994</v>
      </c>
      <c r="Y338" s="49"/>
      <c r="Z338" s="49"/>
      <c r="AA338" s="49" t="n">
        <f aca="false">IFERROR(AA148-AA147,"")</f>
        <v>0.652740000000009</v>
      </c>
      <c r="AB338" s="49"/>
      <c r="AC338" s="49"/>
      <c r="AD338" s="49" t="n">
        <f aca="false">IFERROR(AD148-AD147,"")</f>
        <v>0.822097999999997</v>
      </c>
      <c r="AE338" s="49"/>
      <c r="AF338" s="49"/>
      <c r="AG338" s="49" t="n">
        <f aca="false">IFERROR(AG148-AG147,"")</f>
        <v>0.457738999999989</v>
      </c>
      <c r="AH338" s="49"/>
      <c r="AI338" s="49"/>
      <c r="AJ338" s="49" t="n">
        <f aca="false">IFERROR(AJ148-AJ147,"")</f>
        <v>0.341070999999999</v>
      </c>
      <c r="AK338" s="49"/>
      <c r="AL338" s="49"/>
      <c r="AM338" s="49" t="n">
        <f aca="false">IFERROR(AM148-AM147,"")</f>
        <v>0.371566000000001</v>
      </c>
      <c r="AN338" s="49"/>
      <c r="AO338" s="49"/>
      <c r="AP338" s="49" t="n">
        <f aca="false">IFERROR(AP148-AP147,"")</f>
        <v>0.194404000000006</v>
      </c>
      <c r="AQ338" s="49"/>
      <c r="AR338" s="49"/>
      <c r="AS338" s="49" t="n">
        <f aca="false">IFERROR(AS148-AS147,"")</f>
        <v>0.144276000000005</v>
      </c>
      <c r="AT338" s="49"/>
      <c r="AU338" s="49"/>
      <c r="AV338" s="49" t="n">
        <f aca="false">IFERROR(AV148-AV147,"")</f>
        <v>0.200595000000007</v>
      </c>
      <c r="AW338" s="49"/>
      <c r="AX338" s="51"/>
      <c r="AY338" s="60" t="n">
        <v>0.2</v>
      </c>
      <c r="AZ338" s="60" t="n">
        <v>0.2</v>
      </c>
      <c r="BA338" s="60" t="n">
        <v>0.2</v>
      </c>
      <c r="BB338" s="60" t="n">
        <v>0.2</v>
      </c>
      <c r="BC338" s="60" t="n">
        <v>0.2</v>
      </c>
      <c r="BD338" s="23"/>
      <c r="BF338" s="7"/>
      <c r="BG338" s="7"/>
      <c r="BH338" s="7"/>
      <c r="BI338" s="7"/>
    </row>
    <row r="339" customFormat="false" ht="15" hidden="false" customHeight="true" outlineLevel="0" collapsed="false">
      <c r="B339" s="48" t="s">
        <v>444</v>
      </c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28"/>
      <c r="AY339" s="28"/>
      <c r="AZ339" s="42" t="n">
        <v>0.07</v>
      </c>
      <c r="BA339" s="42" t="n">
        <v>0.07</v>
      </c>
      <c r="BB339" s="42" t="n">
        <v>0.07</v>
      </c>
      <c r="BC339" s="42" t="n">
        <v>0.07</v>
      </c>
      <c r="BD339" s="23"/>
      <c r="BF339" s="7"/>
      <c r="BG339" s="7"/>
      <c r="BH339" s="7"/>
      <c r="BI339" s="7"/>
    </row>
    <row r="340" customFormat="false" ht="15" hidden="false" customHeight="true" outlineLevel="0" collapsed="false">
      <c r="B340" s="17" t="s">
        <v>445</v>
      </c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</row>
    <row r="341" customFormat="false" ht="15" hidden="false" customHeight="true" outlineLevel="0" collapsed="false">
      <c r="B341" s="26" t="s">
        <v>446</v>
      </c>
      <c r="C341" s="30" t="str">
        <f aca="false">IF(AND(ISNUMBER(C142),ISNUMBER(C119)),IFERROR(C142/C119,""),"")</f>
        <v/>
      </c>
      <c r="D341" s="30" t="str">
        <f aca="false">IF(AND(ISNUMBER(D142),ISNUMBER(D119)),IFERROR(D142/D119,""),"")</f>
        <v/>
      </c>
      <c r="E341" s="30" t="str">
        <f aca="false">IF(AND(ISNUMBER(E142),ISNUMBER(E119)),IFERROR(E142/E119,""),"")</f>
        <v/>
      </c>
      <c r="F341" s="30" t="n">
        <f aca="false">IF(AND(ISNUMBER(F142),ISNUMBER(F119)),IFERROR(F142/F119,""),"")</f>
        <v>0.0441414616308834</v>
      </c>
      <c r="G341" s="30" t="n">
        <f aca="false">IF(AND(ISNUMBER(G142),ISNUMBER(G119)),IFERROR(G142/G119,""),"")</f>
        <v>0.0420276574475175</v>
      </c>
      <c r="H341" s="30" t="n">
        <f aca="false">IF(AND(ISNUMBER(H142),ISNUMBER(H119)),IFERROR(H142/H119,""),"")</f>
        <v>0.039842320146417</v>
      </c>
      <c r="I341" s="30" t="n">
        <f aca="false">IF(AND(ISNUMBER(I142),ISNUMBER(I119)),IFERROR(I142/I119,""),"")</f>
        <v>0.034470882006831</v>
      </c>
      <c r="J341" s="30" t="n">
        <f aca="false">IF(AND(ISNUMBER(J142),ISNUMBER(J119)),IFERROR(J142/J119,""),"")</f>
        <v>0.0358759619737438</v>
      </c>
      <c r="K341" s="30" t="n">
        <f aca="false">IF(AND(ISNUMBER(K142),ISNUMBER(K119)),IFERROR(K142/K119,""),"")</f>
        <v>0.0377842624270477</v>
      </c>
      <c r="L341" s="30" t="n">
        <f aca="false">IF(AND(ISNUMBER(L142),ISNUMBER(L119)),IFERROR(L142/L119,""),"")</f>
        <v>0.0368861191008842</v>
      </c>
      <c r="M341" s="30" t="n">
        <f aca="false">IF(AND(ISNUMBER(M142),ISNUMBER(M119)),IFERROR(M142/M119,""),"")</f>
        <v>0.0377051759400073</v>
      </c>
      <c r="N341" s="30" t="n">
        <f aca="false">IF(AND(ISNUMBER(N142),ISNUMBER(N119)),IFERROR(N142/N119,""),"")</f>
        <v>0.0437220237826107</v>
      </c>
      <c r="O341" s="30" t="n">
        <f aca="false">IF(AND(ISNUMBER(O142),ISNUMBER(O119)),IFERROR(O142/O119,""),"")</f>
        <v>0.0409362404700626</v>
      </c>
      <c r="P341" s="30" t="n">
        <f aca="false">IF(AND(ISNUMBER(P142),ISNUMBER(P119)),IFERROR(P142/P119,""),"")</f>
        <v>0.0377054883882752</v>
      </c>
      <c r="Q341" s="30" t="n">
        <f aca="false">IF(AND(ISNUMBER(Q142),ISNUMBER(Q119)),IFERROR(Q142/Q119,""),"")</f>
        <v>0.0471356625747561</v>
      </c>
      <c r="R341" s="30" t="n">
        <f aca="false">IF(AND(ISNUMBER(R142),ISNUMBER(R119)),IFERROR(R142/R119,""),"")</f>
        <v>0.0426564759347242</v>
      </c>
      <c r="S341" s="30" t="n">
        <f aca="false">IF(AND(ISNUMBER(S142),ISNUMBER(S119)),IFERROR(S142/S119,""),"")</f>
        <v>0.04388624815604</v>
      </c>
      <c r="T341" s="30" t="n">
        <f aca="false">IF(AND(ISNUMBER(T142),ISNUMBER(T119)),IFERROR(T142/T119,""),"")</f>
        <v>0.0452603374610761</v>
      </c>
      <c r="U341" s="30" t="n">
        <f aca="false">IF(AND(ISNUMBER(U142),ISNUMBER(U119)),IFERROR(U142/U119,""),"")</f>
        <v>0.0446157394948291</v>
      </c>
      <c r="V341" s="30" t="n">
        <f aca="false">IF(AND(ISNUMBER(V142),ISNUMBER(V119)),IFERROR(V142/V119,""),"")</f>
        <v>0.0431241015812171</v>
      </c>
      <c r="W341" s="30" t="n">
        <f aca="false">IF(AND(ISNUMBER(W142),ISNUMBER(W119)),IFERROR(W142/W119,""),"")</f>
        <v>0.0444272063749515</v>
      </c>
      <c r="X341" s="30" t="n">
        <f aca="false">IF(AND(ISNUMBER(X142),ISNUMBER(X119)),IFERROR(X142/X119,""),"")</f>
        <v>0.0437900958696749</v>
      </c>
      <c r="Y341" s="30" t="n">
        <f aca="false">IF(AND(ISNUMBER(Y142),ISNUMBER(Y119)),IFERROR(Y142/Y119,""),"")</f>
        <v>0.048818952828205</v>
      </c>
      <c r="Z341" s="30" t="n">
        <f aca="false">IF(AND(ISNUMBER(Z142),ISNUMBER(Z119)),IFERROR(Z142/Z119,""),"")</f>
        <v>0.0387766247951939</v>
      </c>
      <c r="AA341" s="30" t="n">
        <f aca="false">IF(AND(ISNUMBER(AA142),ISNUMBER(AA119)),IFERROR(AA142/AA119,""),"")</f>
        <v>0.0435795578351017</v>
      </c>
      <c r="AB341" s="30" t="n">
        <f aca="false">IF(AND(ISNUMBER(AB142),ISNUMBER(AB119)),IFERROR(AB142/AB119,""),"")</f>
        <v>0.0727117715120882</v>
      </c>
      <c r="AC341" s="30" t="n">
        <f aca="false">IF(AND(ISNUMBER(AC142),ISNUMBER(AC119)),IFERROR(AC142/AC119,""),"")</f>
        <v>0.0659591020226717</v>
      </c>
      <c r="AD341" s="30" t="n">
        <f aca="false">IF(AND(ISNUMBER(AD142),ISNUMBER(AD119)),IFERROR(AD142/AD119,""),"")</f>
        <v>0.0691809280297527</v>
      </c>
      <c r="AE341" s="30" t="n">
        <f aca="false">IF(AND(ISNUMBER(AE142),ISNUMBER(AE119)),IFERROR(AE142/AE119,""),"")</f>
        <v>0.104180064308682</v>
      </c>
      <c r="AF341" s="30" t="n">
        <f aca="false">IF(AND(ISNUMBER(AF142),ISNUMBER(AF119)),IFERROR(AF142/AF119,""),"")</f>
        <v>0.0792792330958118</v>
      </c>
      <c r="AG341" s="30" t="n">
        <f aca="false">IF(AND(ISNUMBER(AG142),ISNUMBER(AG119)),IFERROR(AG142/AG119,""),"")</f>
        <v>0.0889754906563997</v>
      </c>
      <c r="AH341" s="30" t="n">
        <f aca="false">IF(AND(ISNUMBER(AH142),ISNUMBER(AH119)),IFERROR(AH142/AH119,""),"")</f>
        <v>0.0731033505702345</v>
      </c>
      <c r="AI341" s="30" t="n">
        <f aca="false">IF(AND(ISNUMBER(AI142),ISNUMBER(AI119)),IFERROR(AI142/AI119,""),"")</f>
        <v>0.0670753544418463</v>
      </c>
      <c r="AJ341" s="30" t="n">
        <f aca="false">IF(AND(ISNUMBER(AJ142),ISNUMBER(AJ119)),IFERROR(AJ142/AJ119,""),"")</f>
        <v>0.0699176130037854</v>
      </c>
      <c r="AK341" s="30" t="n">
        <f aca="false">IF(AND(ISNUMBER(AK142),ISNUMBER(AK119)),IFERROR(AK142/AK119,""),"")</f>
        <v>0.0653881278538813</v>
      </c>
      <c r="AL341" s="30" t="n">
        <f aca="false">IF(AND(ISNUMBER(AL142),ISNUMBER(AL119)),IFERROR(AL142/AL119,""),"")</f>
        <v>0.06071486861433</v>
      </c>
      <c r="AM341" s="30" t="n">
        <f aca="false">IF(AND(ISNUMBER(AM142),ISNUMBER(AM119)),IFERROR(AM142/AM119,""),"")</f>
        <v>0.0629201861747974</v>
      </c>
      <c r="AN341" s="30" t="n">
        <f aca="false">IF(AND(ISNUMBER(AN142),ISNUMBER(AN119)),IFERROR(AN142/AN119,""),"")</f>
        <v>0.0513586145117946</v>
      </c>
      <c r="AO341" s="30" t="n">
        <f aca="false">IF(AND(ISNUMBER(AO142),ISNUMBER(AO119)),IFERROR(AO142/AO119,""),"")</f>
        <v>0.0636052905335117</v>
      </c>
      <c r="AP341" s="30" t="n">
        <f aca="false">IF(AND(ISNUMBER(AP142),ISNUMBER(AP119)),IFERROR(AP142/AP119,""),"")</f>
        <v>0.057496089967975</v>
      </c>
      <c r="AQ341" s="30" t="n">
        <f aca="false">IF(AND(ISNUMBER(AQ142),ISNUMBER(AQ119)),IFERROR(AQ142/AQ119,""),"")</f>
        <v>0.0510394456289979</v>
      </c>
      <c r="AR341" s="30" t="n">
        <f aca="false">IF(AND(ISNUMBER(AR142),ISNUMBER(AR119)),IFERROR(AR142/AR119,""),"")</f>
        <v>0.0601356639707801</v>
      </c>
      <c r="AS341" s="30" t="n">
        <f aca="false">IF(AND(ISNUMBER(AS142),ISNUMBER(AS119)),IFERROR(AS142/AS119,""),"")</f>
        <v>0.0556361239288069</v>
      </c>
      <c r="AT341" s="30" t="n">
        <f aca="false">IF(AND(ISNUMBER(AT142),ISNUMBER(AT119)),IFERROR(AT142/AT119,""),"")</f>
        <v>0.057630072193179</v>
      </c>
      <c r="AU341" s="30" t="n">
        <f aca="false">IF(AND(ISNUMBER(AU142),ISNUMBER(AU119)),IFERROR(AU142/AU119,""),"")</f>
        <v>0.0581074297188755</v>
      </c>
      <c r="AV341" s="30" t="n">
        <f aca="false">IF(AND(ISNUMBER(AV142),ISNUMBER(AV119)),IFERROR(AV142/AV119,""),"")</f>
        <v>0.0578677665291839</v>
      </c>
      <c r="AW341" s="30" t="n">
        <f aca="false">IF(AND(ISNUMBER(AW142),ISNUMBER(AW119)),IFERROR(AW142/AW119,""),"")</f>
        <v>0.0638245742986647</v>
      </c>
      <c r="AX341" s="28" t="n">
        <f aca="false">IF(AND(ISNUMBER(AX142),ISNUMBER(AX119)),IFERROR(AX142/AX119,""),"")</f>
        <v>0.0577934507441178</v>
      </c>
      <c r="AY341" s="28" t="n">
        <f aca="false">IF(AND(ISNUMBER(AY142),ISNUMBER(AY119)),IFERROR(AY142/AY119,""),"")</f>
        <v>0.0607941267715772</v>
      </c>
      <c r="AZ341" s="28" t="n">
        <f aca="false">IF(AND(ISNUMBER(AZ142),ISNUMBER(AZ119)),IFERROR(AZ142/AZ119,""),"")</f>
        <v>0.0611820902016825</v>
      </c>
      <c r="BA341" s="28" t="n">
        <f aca="false">IF(AND(ISNUMBER(BA142),ISNUMBER(BA119)),IFERROR(BA142/BA119,""),"")</f>
        <v>0.0614600928708325</v>
      </c>
      <c r="BB341" s="28" t="n">
        <f aca="false">IF(AND(ISNUMBER(BB142),ISNUMBER(BB119)),IFERROR(BB142/BB119,""),"")</f>
        <v>0.0617378729793335</v>
      </c>
      <c r="BC341" s="28" t="n">
        <f aca="false">IF(AND(ISNUMBER(BC142),ISNUMBER(BC119)),IFERROR(BC142/BC119,""),"")</f>
        <v>0.0620499130745533</v>
      </c>
      <c r="BD341" s="23"/>
      <c r="BF341" s="32" t="n">
        <f aca="false">IFERROR(AVERAGE(AY341,AZ341,BA341,BB341,BC341),"n/m")</f>
        <v>0.0614448191795958</v>
      </c>
      <c r="BG341" s="32" t="n">
        <f aca="false">IFERROR(AVERAGE(AJ341,AM341,AP341,AS341,AV341),"n/m")</f>
        <v>0.0607675559209097</v>
      </c>
      <c r="BH341" s="32" t="n">
        <f aca="false">IFERROR(AVERAGE(U341,X341,AA341,AD341,AG341,AJ341,AM341,AP341,AS341,AV341),"n/m")</f>
        <v>0.0593979591490307</v>
      </c>
      <c r="BI341" s="32" t="n">
        <f aca="false">IFERROR(AVERAGE(C341,D341,E341,F341,G341,H341,I341,L341,O341,R341,U341,X341,AA341,AD341,AG341,AJ341,AM341,AP341,AS341,AV341),"n/m")</f>
        <v>0.0514671028369192</v>
      </c>
    </row>
    <row r="342" customFormat="false" ht="15" hidden="false" customHeight="true" outlineLevel="0" collapsed="false">
      <c r="B342" s="26" t="s">
        <v>447</v>
      </c>
      <c r="C342" s="30" t="n">
        <f aca="false">IFERROR(-(N(C223)-N(C129))/C119,"")</f>
        <v>-0</v>
      </c>
      <c r="D342" s="30" t="n">
        <f aca="false">IFERROR(-(N(D223)-N(D129))/D119,"")</f>
        <v>-0</v>
      </c>
      <c r="E342" s="30" t="n">
        <f aca="false">IFERROR(-(N(E223)-N(E129))/E119,"")</f>
        <v>-0</v>
      </c>
      <c r="F342" s="30" t="n">
        <f aca="false">IFERROR(-(N(F223)-N(F129))/F119,"")</f>
        <v>-0</v>
      </c>
      <c r="G342" s="30" t="n">
        <f aca="false">IFERROR(-(N(G223)-N(G129))/G119,"")</f>
        <v>-0</v>
      </c>
      <c r="H342" s="30" t="n">
        <f aca="false">IFERROR(-(N(H223)-N(H129))/H119,"")</f>
        <v>-0</v>
      </c>
      <c r="I342" s="30" t="n">
        <f aca="false">IFERROR(-(N(I223)-N(I129))/I119,"")</f>
        <v>-0</v>
      </c>
      <c r="J342" s="30" t="n">
        <f aca="false">IFERROR(-(N(J223)-N(J129))/J119,"")</f>
        <v>-0</v>
      </c>
      <c r="K342" s="30" t="n">
        <f aca="false">IFERROR(-(N(K223)-N(K129))/K119,"")</f>
        <v>-0</v>
      </c>
      <c r="L342" s="30" t="n">
        <f aca="false">IFERROR(-(N(L223)-N(L129))/L119,"")</f>
        <v>-0</v>
      </c>
      <c r="M342" s="30" t="n">
        <f aca="false">IFERROR(-(N(M223)-N(M129))/M119,"")</f>
        <v>-0</v>
      </c>
      <c r="N342" s="30" t="n">
        <f aca="false">IFERROR(-(N(N223)-N(N129))/N119,"")</f>
        <v>-0</v>
      </c>
      <c r="O342" s="30" t="n">
        <f aca="false">IFERROR(-(N(O223)-N(O129))/O119,"")</f>
        <v>-0</v>
      </c>
      <c r="P342" s="30" t="n">
        <f aca="false">IFERROR(-(N(P223)-N(P129))/P119,"")</f>
        <v>-0</v>
      </c>
      <c r="Q342" s="30" t="n">
        <f aca="false">IFERROR(-(N(Q223)-N(Q129))/Q119,"")</f>
        <v>-0</v>
      </c>
      <c r="R342" s="30" t="n">
        <f aca="false">IFERROR(-(N(R223)-N(R129))/R119,"")</f>
        <v>-0</v>
      </c>
      <c r="S342" s="30" t="n">
        <f aca="false">IFERROR(-(N(S223)-N(S129))/S119,"")</f>
        <v>-0</v>
      </c>
      <c r="T342" s="30" t="n">
        <f aca="false">IFERROR(-(N(T223)-N(T129))/T119,"")</f>
        <v>-0</v>
      </c>
      <c r="U342" s="30" t="n">
        <f aca="false">IFERROR(-(N(U223)-N(U129))/U119,"")</f>
        <v>-0</v>
      </c>
      <c r="V342" s="30" t="n">
        <f aca="false">IFERROR(-(N(V223)-N(V129))/V119,"")</f>
        <v>-0</v>
      </c>
      <c r="W342" s="30" t="n">
        <f aca="false">IFERROR(-(N(W223)-N(W129))/W119,"")</f>
        <v>-0</v>
      </c>
      <c r="X342" s="30" t="n">
        <f aca="false">IFERROR(-(N(X223)-N(X129))/X119,"")</f>
        <v>-0</v>
      </c>
      <c r="Y342" s="30" t="n">
        <f aca="false">IFERROR(-(N(Y223)-N(Y129))/Y119,"")</f>
        <v>-0</v>
      </c>
      <c r="Z342" s="30" t="n">
        <f aca="false">IFERROR(-(N(Z223)-N(Z129))/Z119,"")</f>
        <v>-0</v>
      </c>
      <c r="AA342" s="30" t="n">
        <f aca="false">IFERROR(-(N(AA223)-N(AA129))/AA119,"")</f>
        <v>-0</v>
      </c>
      <c r="AB342" s="30" t="n">
        <f aca="false">IFERROR(-(N(AB223)-N(AB129))/AB119,"")</f>
        <v>0.0328238231532793</v>
      </c>
      <c r="AC342" s="30" t="n">
        <f aca="false">IFERROR(-(N(AC223)-N(AC129))/AC119,"")</f>
        <v>0.0331740386752612</v>
      </c>
      <c r="AD342" s="30" t="n">
        <f aca="false">IFERROR(-(N(AD223)-N(AD129))/AD119,"")</f>
        <v>0.0330069442426708</v>
      </c>
      <c r="AE342" s="30" t="n">
        <f aca="false">IFERROR(-(N(AE223)-N(AE129))/AE119,"")</f>
        <v>0.0554662379421222</v>
      </c>
      <c r="AF342" s="30" t="n">
        <f aca="false">IFERROR(-(N(AF223)-N(AF129))/AF119,"")</f>
        <v>0.0229148510790998</v>
      </c>
      <c r="AG342" s="30" t="n">
        <f aca="false">IFERROR(-(N(AG223)-N(AG129))/AG119,"")</f>
        <v>0.0355901962625599</v>
      </c>
      <c r="AH342" s="30" t="n">
        <f aca="false">IFERROR(-(N(AH223)-N(AH129))/AH119,"")</f>
        <v>0.0277679393638875</v>
      </c>
      <c r="AI342" s="30" t="n">
        <f aca="false">IFERROR(-(N(AI223)-N(AI129))/AI119,"")</f>
        <v>0.0266279045271651</v>
      </c>
      <c r="AJ342" s="30" t="n">
        <f aca="false">IFERROR(-(N(AJ223)-N(AJ129))/AJ119,"")</f>
        <v>0.0271654419951013</v>
      </c>
      <c r="AK342" s="30" t="n">
        <f aca="false">IFERROR(-(N(AK223)-N(AK129))/AK119,"")</f>
        <v>0.0266666666666667</v>
      </c>
      <c r="AL342" s="30" t="n">
        <f aca="false">IFERROR(-(N(AL223)-N(AL129))/AL119,"")</f>
        <v>0.0257874979598498</v>
      </c>
      <c r="AM342" s="30" t="n">
        <f aca="false">IFERROR(-(N(AM223)-N(AM129))/AM119,"")</f>
        <v>0.0262023789001896</v>
      </c>
      <c r="AN342" s="30" t="n">
        <f aca="false">IFERROR(-(N(AN223)-N(AN129))/AN119,"")</f>
        <v>0.0241863242759033</v>
      </c>
      <c r="AO342" s="30" t="n">
        <f aca="false">IFERROR(-(N(AO223)-N(AO129))/AO119,"")</f>
        <v>0.0254123941150245</v>
      </c>
      <c r="AP342" s="30" t="n">
        <f aca="false">IFERROR(-(N(AP223)-N(AP129))/AP119,"")</f>
        <v>0.024800774558725</v>
      </c>
      <c r="AQ342" s="30" t="n">
        <f aca="false">IFERROR(-(N(AQ223)-N(AQ129))/AQ119,"")</f>
        <v>0.0237206823027719</v>
      </c>
      <c r="AR342" s="30" t="n">
        <f aca="false">IFERROR(-(N(AR223)-N(AR129))/AR119,"")</f>
        <v>0.0242629793895121</v>
      </c>
      <c r="AS342" s="30" t="n">
        <f aca="false">IFERROR(-(N(AS223)-N(AS129))/AS119,"")</f>
        <v>0.0239947264337508</v>
      </c>
      <c r="AT342" s="30" t="n">
        <f aca="false">IFERROR(-(N(AT223)-N(AT129))/AT119,"")</f>
        <v>0.0240229026636794</v>
      </c>
      <c r="AU342" s="30" t="n">
        <f aca="false">IFERROR(-(N(AU223)-N(AU129))/AU119,"")</f>
        <v>0.0243473895582329</v>
      </c>
      <c r="AV342" s="30" t="n">
        <f aca="false">IFERROR(-(N(AV223)-N(AV129))/AV119,"")</f>
        <v>0.0241844769403825</v>
      </c>
      <c r="AW342" s="30" t="n">
        <f aca="false">IFERROR(-(N(AW223)-N(AW129))/AW119,"")</f>
        <v>0.0247458042386378</v>
      </c>
      <c r="AX342" s="28" t="n">
        <f aca="false">IFERROR(-(AX223-AX129)/AX119,"")</f>
        <v>0.029963282342652</v>
      </c>
      <c r="AY342" s="28" t="n">
        <f aca="false">IFERROR(-(AY223-AY129)/AY119,"")</f>
        <v>0.0273674208370944</v>
      </c>
      <c r="AZ342" s="28" t="n">
        <f aca="false">IFERROR(-(AZ223-AZ129)/AZ119,"")</f>
        <v>0.0278636391876647</v>
      </c>
      <c r="BA342" s="28" t="n">
        <f aca="false">IFERROR(-(BA223-BA129)/BA119,"")</f>
        <v>0.0281468551160542</v>
      </c>
      <c r="BB342" s="28" t="n">
        <f aca="false">IFERROR(-(BB223-BB129)/BB119,"")</f>
        <v>0.0284331540752468</v>
      </c>
      <c r="BC342" s="28" t="n">
        <f aca="false">IFERROR(-(BC223-BC129)/BC119,"")</f>
        <v>0.028761727871292</v>
      </c>
      <c r="BD342" s="23"/>
      <c r="BF342" s="32" t="n">
        <f aca="false">IFERROR(AVERAGE(AY342,AZ342,BA342,BB342,BC342),"n/m")</f>
        <v>0.0281145594174704</v>
      </c>
      <c r="BG342" s="32" t="n">
        <f aca="false">IFERROR(AVERAGE(AJ342,AM342,AP342,AS342,AV342),"n/m")</f>
        <v>0.0252695597656298</v>
      </c>
      <c r="BH342" s="32" t="n">
        <f aca="false">IFERROR(AVERAGE(U342,X342,AA342,AD342,AG342,AJ342,AM342,AP342,AS342,AV342),"n/m")</f>
        <v>0.019494493933338</v>
      </c>
      <c r="BI342" s="32" t="n">
        <f aca="false">IFERROR(AVERAGE(C342,D342,E342,F342,G342,H342,I342,L342,O342,R342,U342,X342,AA342,AD342,AG342,AJ342,AM342,AP342,AS342,AV342),"n/m")</f>
        <v>0.00974724696666899</v>
      </c>
    </row>
    <row r="343" customFormat="false" ht="15" hidden="false" customHeight="true" outlineLevel="0" collapsed="false">
      <c r="B343" s="13"/>
      <c r="AX343" s="7"/>
      <c r="AY343" s="7"/>
      <c r="AZ343" s="7"/>
      <c r="BA343" s="7"/>
      <c r="BB343" s="7"/>
      <c r="BC343" s="7"/>
      <c r="BD343" s="7"/>
    </row>
    <row r="344" customFormat="false" ht="15" hidden="false" customHeight="true" outlineLevel="0" collapsed="false">
      <c r="B344" s="12" t="s">
        <v>448</v>
      </c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</row>
    <row r="345" customFormat="false" ht="15" hidden="false" customHeight="true" outlineLevel="0" collapsed="false">
      <c r="B345" s="17" t="s">
        <v>449</v>
      </c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</row>
    <row r="346" customFormat="false" ht="15" hidden="false" customHeight="true" outlineLevel="0" collapsed="false">
      <c r="B346" s="13" t="s">
        <v>450</v>
      </c>
      <c r="C346" s="37" t="n">
        <f aca="false">C124</f>
        <v>401.1</v>
      </c>
      <c r="D346" s="37" t="n">
        <f aca="false">D124</f>
        <v>414.5</v>
      </c>
      <c r="E346" s="37" t="n">
        <f aca="false">E124</f>
        <v>449.2</v>
      </c>
      <c r="F346" s="37" t="n">
        <f aca="false">F124</f>
        <v>462.9</v>
      </c>
      <c r="G346" s="37" t="n">
        <f aca="false">G124</f>
        <v>668.2</v>
      </c>
      <c r="H346" s="37" t="n">
        <f aca="false">H124</f>
        <v>885.2</v>
      </c>
      <c r="I346" s="37" t="n">
        <f aca="false">I124</f>
        <v>1118.7</v>
      </c>
      <c r="J346" s="37"/>
      <c r="K346" s="37"/>
      <c r="L346" s="37" t="n">
        <f aca="false">L124</f>
        <v>1218.2</v>
      </c>
      <c r="M346" s="37"/>
      <c r="N346" s="37"/>
      <c r="O346" s="37" t="n">
        <f aca="false">O124</f>
        <v>1299.3</v>
      </c>
      <c r="P346" s="37"/>
      <c r="Q346" s="37"/>
      <c r="R346" s="37" t="n">
        <f aca="false">R124</f>
        <v>1540.7</v>
      </c>
      <c r="S346" s="37"/>
      <c r="T346" s="37"/>
      <c r="U346" s="37" t="n">
        <f aca="false">U124</f>
        <v>1696.5</v>
      </c>
      <c r="V346" s="37"/>
      <c r="W346" s="37"/>
      <c r="X346" s="37" t="n">
        <f aca="false">X124</f>
        <v>1922</v>
      </c>
      <c r="Y346" s="37"/>
      <c r="Z346" s="37"/>
      <c r="AA346" s="37" t="n">
        <f aca="false">AA124</f>
        <v>2045</v>
      </c>
      <c r="AB346" s="37"/>
      <c r="AC346" s="37"/>
      <c r="AD346" s="37" t="n">
        <f aca="false">AD124</f>
        <v>2338.8</v>
      </c>
      <c r="AE346" s="37"/>
      <c r="AF346" s="37"/>
      <c r="AG346" s="37" t="n">
        <f aca="false">AG124</f>
        <v>1981.4</v>
      </c>
      <c r="AH346" s="37"/>
      <c r="AI346" s="37"/>
      <c r="AJ346" s="37" t="n">
        <f aca="false">AJ124</f>
        <v>3531</v>
      </c>
      <c r="AK346" s="37"/>
      <c r="AL346" s="37"/>
      <c r="AM346" s="37" t="n">
        <f aca="false">AM124</f>
        <v>4697</v>
      </c>
      <c r="AN346" s="37"/>
      <c r="AO346" s="37"/>
      <c r="AP346" s="37" t="n">
        <f aca="false">AP124</f>
        <v>5649</v>
      </c>
      <c r="AQ346" s="37"/>
      <c r="AR346" s="37"/>
      <c r="AS346" s="37" t="n">
        <f aca="false">AS124</f>
        <v>6148</v>
      </c>
      <c r="AT346" s="37"/>
      <c r="AU346" s="37"/>
      <c r="AV346" s="37" t="n">
        <f aca="false">AV124</f>
        <v>6569</v>
      </c>
      <c r="AW346" s="37"/>
      <c r="AX346" s="39"/>
      <c r="AY346" s="39" t="n">
        <f aca="false">AY124</f>
        <v>6664.08398</v>
      </c>
      <c r="AZ346" s="39" t="n">
        <f aca="false">AZ124</f>
        <v>7138.666242</v>
      </c>
      <c r="BA346" s="39" t="n">
        <f aca="false">BA124</f>
        <v>7730.02404696</v>
      </c>
      <c r="BB346" s="39" t="n">
        <f aca="false">BB124</f>
        <v>8326.0679911402</v>
      </c>
      <c r="BC346" s="39" t="n">
        <f aca="false">BC124</f>
        <v>8887.48113993642</v>
      </c>
      <c r="BD346" s="23"/>
      <c r="BF346" s="7"/>
      <c r="BG346" s="7"/>
      <c r="BH346" s="7"/>
      <c r="BI346" s="7"/>
    </row>
    <row r="347" customFormat="false" ht="15" hidden="false" customHeight="true" outlineLevel="0" collapsed="false">
      <c r="B347" s="13" t="s">
        <v>451</v>
      </c>
      <c r="C347" s="30" t="str">
        <f aca="false">C134</f>
        <v/>
      </c>
      <c r="D347" s="30" t="str">
        <f aca="false">D134</f>
        <v/>
      </c>
      <c r="E347" s="30" t="str">
        <f aca="false">E134</f>
        <v/>
      </c>
      <c r="F347" s="30" t="n">
        <f aca="false">F134</f>
        <v>0.329187027987561</v>
      </c>
      <c r="G347" s="30" t="n">
        <f aca="false">G134</f>
        <v>0.336891871282599</v>
      </c>
      <c r="H347" s="30" t="n">
        <f aca="false">H134</f>
        <v>0.322860962566845</v>
      </c>
      <c r="I347" s="30" t="n">
        <f aca="false">I134</f>
        <v>0.317334787746568</v>
      </c>
      <c r="J347" s="30"/>
      <c r="K347" s="30"/>
      <c r="L347" s="30" t="n">
        <f aca="false">L134</f>
        <v>0.332803214196033</v>
      </c>
      <c r="M347" s="30"/>
      <c r="N347" s="30"/>
      <c r="O347" s="30" t="n">
        <f aca="false">O134</f>
        <v>0.33241801349443</v>
      </c>
      <c r="P347" s="30"/>
      <c r="Q347" s="30"/>
      <c r="R347" s="30" t="n">
        <f aca="false">R134</f>
        <v>0.358236907230286</v>
      </c>
      <c r="S347" s="30"/>
      <c r="T347" s="30"/>
      <c r="U347" s="30" t="n">
        <f aca="false">U134</f>
        <v>0.336932128343543</v>
      </c>
      <c r="V347" s="30"/>
      <c r="W347" s="30"/>
      <c r="X347" s="30" t="n">
        <f aca="false">X134</f>
        <v>0.343581331357816</v>
      </c>
      <c r="Y347" s="30"/>
      <c r="Z347" s="30"/>
      <c r="AA347" s="30" t="n">
        <f aca="false">AA134</f>
        <v>0.324754010954389</v>
      </c>
      <c r="AB347" s="30"/>
      <c r="AC347" s="30"/>
      <c r="AD347" s="30" t="n">
        <f aca="false">AD134</f>
        <v>0.330807858338472</v>
      </c>
      <c r="AE347" s="30"/>
      <c r="AF347" s="30"/>
      <c r="AG347" s="30" t="n">
        <f aca="false">AG134</f>
        <v>0.308598469593234</v>
      </c>
      <c r="AH347" s="30"/>
      <c r="AI347" s="30"/>
      <c r="AJ347" s="30" t="n">
        <f aca="false">AJ134</f>
        <v>0.295487627365357</v>
      </c>
      <c r="AK347" s="30"/>
      <c r="AL347" s="30"/>
      <c r="AM347" s="30" t="n">
        <f aca="false">AM134</f>
        <v>0.281553398058252</v>
      </c>
      <c r="AN347" s="30"/>
      <c r="AO347" s="30"/>
      <c r="AP347" s="30" t="n">
        <f aca="false">AP134</f>
        <v>0.277958554547011</v>
      </c>
      <c r="AQ347" s="30"/>
      <c r="AR347" s="30"/>
      <c r="AS347" s="30" t="n">
        <f aca="false">AS134</f>
        <v>0.286891618721816</v>
      </c>
      <c r="AT347" s="30"/>
      <c r="AU347" s="30"/>
      <c r="AV347" s="30" t="n">
        <f aca="false">AV134</f>
        <v>0.285123966942149</v>
      </c>
      <c r="AW347" s="30"/>
      <c r="AX347" s="28"/>
      <c r="AY347" s="28" t="n">
        <f aca="false">AY134</f>
        <v>0.28</v>
      </c>
      <c r="AZ347" s="28" t="n">
        <f aca="false">AZ134</f>
        <v>0.285</v>
      </c>
      <c r="BA347" s="28" t="n">
        <f aca="false">BA134</f>
        <v>0.285</v>
      </c>
      <c r="BB347" s="28" t="n">
        <f aca="false">BB134</f>
        <v>0.285</v>
      </c>
      <c r="BC347" s="28" t="n">
        <f aca="false">BC134</f>
        <v>0.285</v>
      </c>
      <c r="BD347" s="23"/>
      <c r="BF347" s="7"/>
      <c r="BG347" s="7"/>
      <c r="BH347" s="7"/>
      <c r="BI347" s="7"/>
    </row>
    <row r="348" customFormat="false" ht="15" hidden="false" customHeight="true" outlineLevel="0" collapsed="false">
      <c r="B348" s="13" t="s">
        <v>452</v>
      </c>
      <c r="C348" s="37" t="str">
        <f aca="false">IFERROR(C346*(1-C347),"n/a")</f>
        <v>n/a</v>
      </c>
      <c r="D348" s="37" t="str">
        <f aca="false">IFERROR(D346*(1-D347),"n/a")</f>
        <v>n/a</v>
      </c>
      <c r="E348" s="37" t="str">
        <f aca="false">IFERROR(E346*(1-E347),"n/a")</f>
        <v>n/a</v>
      </c>
      <c r="F348" s="37" t="n">
        <f aca="false">IFERROR(F346*(1-F347),"n/a")</f>
        <v>310.519324744558</v>
      </c>
      <c r="G348" s="37" t="n">
        <f aca="false">IFERROR(G346*(1-G347),"n/a")</f>
        <v>443.088851608968</v>
      </c>
      <c r="H348" s="37" t="n">
        <f aca="false">IFERROR(H346*(1-H347),"n/a")</f>
        <v>599.403475935829</v>
      </c>
      <c r="I348" s="37" t="n">
        <f aca="false">IFERROR(I346*(1-I347),"n/a")</f>
        <v>763.697572947914</v>
      </c>
      <c r="J348" s="37"/>
      <c r="K348" s="37"/>
      <c r="L348" s="37" t="n">
        <f aca="false">IFERROR(L346*(1-L347),"n/a")</f>
        <v>812.779124466393</v>
      </c>
      <c r="M348" s="37"/>
      <c r="N348" s="37"/>
      <c r="O348" s="37" t="n">
        <f aca="false">IFERROR(O346*(1-O347),"n/a")</f>
        <v>867.389275066688</v>
      </c>
      <c r="P348" s="37"/>
      <c r="Q348" s="37"/>
      <c r="R348" s="37" t="n">
        <f aca="false">IFERROR(R346*(1-R347),"n/a")</f>
        <v>988.764397030299</v>
      </c>
      <c r="S348" s="37"/>
      <c r="T348" s="37"/>
      <c r="U348" s="37" t="n">
        <f aca="false">IFERROR(U346*(1-U347),"n/a")</f>
        <v>1124.89464426518</v>
      </c>
      <c r="V348" s="37"/>
      <c r="W348" s="37"/>
      <c r="X348" s="37" t="n">
        <f aca="false">IFERROR(X346*(1-X347),"n/a")</f>
        <v>1261.63668113028</v>
      </c>
      <c r="Y348" s="37"/>
      <c r="Z348" s="37"/>
      <c r="AA348" s="37" t="n">
        <f aca="false">IFERROR(AA346*(1-AA347),"n/a")</f>
        <v>1380.87804759827</v>
      </c>
      <c r="AB348" s="37"/>
      <c r="AC348" s="37"/>
      <c r="AD348" s="37" t="n">
        <f aca="false">IFERROR(AD346*(1-AD347),"n/a")</f>
        <v>1565.10658091798</v>
      </c>
      <c r="AE348" s="37"/>
      <c r="AF348" s="37"/>
      <c r="AG348" s="37" t="n">
        <f aca="false">IFERROR(AG346*(1-AG347),"n/a")</f>
        <v>1369.94299234797</v>
      </c>
      <c r="AH348" s="37"/>
      <c r="AI348" s="37"/>
      <c r="AJ348" s="37" t="n">
        <f aca="false">IFERROR(AJ346*(1-AJ347),"n/a")</f>
        <v>2487.63318777293</v>
      </c>
      <c r="AK348" s="37"/>
      <c r="AL348" s="37"/>
      <c r="AM348" s="37" t="n">
        <f aca="false">IFERROR(AM346*(1-AM347),"n/a")</f>
        <v>3374.54368932039</v>
      </c>
      <c r="AN348" s="37"/>
      <c r="AO348" s="37"/>
      <c r="AP348" s="37" t="n">
        <f aca="false">IFERROR(AP346*(1-AP347),"n/a")</f>
        <v>4078.81212536393</v>
      </c>
      <c r="AQ348" s="37"/>
      <c r="AR348" s="37"/>
      <c r="AS348" s="37" t="n">
        <f aca="false">IFERROR(AS346*(1-AS347),"n/a")</f>
        <v>4384.19032809827</v>
      </c>
      <c r="AT348" s="37"/>
      <c r="AU348" s="37"/>
      <c r="AV348" s="37" t="n">
        <f aca="false">IFERROR(AV346*(1-AV347),"n/a")</f>
        <v>4696.02066115703</v>
      </c>
      <c r="AW348" s="37"/>
      <c r="AX348" s="39"/>
      <c r="AY348" s="39" t="n">
        <f aca="false">IFERROR(AY346*(1-AY347),"n/a")</f>
        <v>4798.1404656</v>
      </c>
      <c r="AZ348" s="39" t="n">
        <f aca="false">IFERROR(AZ346*(1-AZ347),"n/a")</f>
        <v>5104.14636303</v>
      </c>
      <c r="BA348" s="39" t="n">
        <f aca="false">IFERROR(BA346*(1-BA347),"n/a")</f>
        <v>5526.9671935764</v>
      </c>
      <c r="BB348" s="39" t="n">
        <f aca="false">IFERROR(BB346*(1-BB347),"n/a")</f>
        <v>5953.13861366524</v>
      </c>
      <c r="BC348" s="39" t="n">
        <f aca="false">IFERROR(BC346*(1-BC347),"n/a")</f>
        <v>6354.54901505454</v>
      </c>
      <c r="BD348" s="23"/>
      <c r="BF348" s="7"/>
      <c r="BG348" s="7"/>
      <c r="BH348" s="7"/>
      <c r="BI348" s="7"/>
    </row>
    <row r="349" customFormat="false" ht="15" hidden="false" customHeight="true" outlineLevel="0" collapsed="false">
      <c r="B349" s="13" t="s">
        <v>453</v>
      </c>
      <c r="C349" s="37" t="n">
        <f aca="false">IFERROR(C350+N(C314)-C313,"n/a")</f>
        <v>-536.3</v>
      </c>
      <c r="D349" s="37" t="n">
        <f aca="false">IFERROR(D350+N(D314)-D313,"n/a")</f>
        <v>-485.5</v>
      </c>
      <c r="E349" s="37" t="n">
        <f aca="false">IFERROR(E350+N(E314)-E313,"n/a")</f>
        <v>-432.4</v>
      </c>
      <c r="F349" s="37" t="n">
        <f aca="false">IFERROR(F350+N(F314)-F313,"n/a")</f>
        <v>1227.5</v>
      </c>
      <c r="G349" s="37" t="n">
        <f aca="false">IFERROR(G350+N(G314)-G313,"n/a")</f>
        <v>1213.1</v>
      </c>
      <c r="H349" s="37" t="n">
        <f aca="false">IFERROR(H350+N(H314)-H313,"n/a")</f>
        <v>1281.3</v>
      </c>
      <c r="I349" s="37" t="n">
        <f aca="false">IFERROR(I350+N(I314)-I313,"n/a")</f>
        <v>1637.3</v>
      </c>
      <c r="J349" s="37"/>
      <c r="K349" s="37"/>
      <c r="L349" s="37" t="n">
        <f aca="false">IFERROR(L350+N(L314)-L313,"n/a")</f>
        <v>1750.2</v>
      </c>
      <c r="M349" s="37"/>
      <c r="N349" s="37"/>
      <c r="O349" s="37" t="n">
        <f aca="false">IFERROR(O350+N(O314)-O313,"n/a")</f>
        <v>1964.9</v>
      </c>
      <c r="P349" s="37"/>
      <c r="Q349" s="37"/>
      <c r="R349" s="37" t="n">
        <f aca="false">IFERROR(R350+N(R314)-R313,"n/a")</f>
        <v>2134.7</v>
      </c>
      <c r="S349" s="37"/>
      <c r="T349" s="37"/>
      <c r="U349" s="37" t="n">
        <f aca="false">IFERROR(U350+N(U314)-U313,"n/a")</f>
        <v>2039.5</v>
      </c>
      <c r="V349" s="37"/>
      <c r="W349" s="37"/>
      <c r="X349" s="37" t="n">
        <f aca="false">IFERROR(X350+N(X314)-X313,"n/a")</f>
        <v>1995.7</v>
      </c>
      <c r="Y349" s="37"/>
      <c r="Z349" s="37"/>
      <c r="AA349" s="37" t="n">
        <f aca="false">IFERROR(AA350+N(AA314)-AA313,"n/a")</f>
        <v>1892.7</v>
      </c>
      <c r="AB349" s="37"/>
      <c r="AC349" s="37"/>
      <c r="AD349" s="37" t="n">
        <f aca="false">IFERROR(AD350+N(AD314)-AD313,"n/a")</f>
        <v>3105.9</v>
      </c>
      <c r="AE349" s="37"/>
      <c r="AF349" s="37"/>
      <c r="AG349" s="37" t="n">
        <f aca="false">IFERROR(AG350+N(AG314)-AG313,"n/a")</f>
        <v>4131.1</v>
      </c>
      <c r="AH349" s="37"/>
      <c r="AI349" s="37"/>
      <c r="AJ349" s="37" t="n">
        <f aca="false">IFERROR(AJ350+N(AJ314)-AJ313,"n/a")</f>
        <v>4119</v>
      </c>
      <c r="AK349" s="37"/>
      <c r="AL349" s="37"/>
      <c r="AM349" s="37" t="n">
        <f aca="false">IFERROR(AM350+N(AM314)-AM313,"n/a")</f>
        <v>4610</v>
      </c>
      <c r="AN349" s="37"/>
      <c r="AO349" s="37"/>
      <c r="AP349" s="37" t="n">
        <f aca="false">IFERROR(AP350+N(AP314)-AP313,"n/a")</f>
        <v>6049</v>
      </c>
      <c r="AQ349" s="37"/>
      <c r="AR349" s="37"/>
      <c r="AS349" s="37" t="n">
        <f aca="false">IFERROR(AS350+N(AS314)-AS313,"n/a")</f>
        <v>7408</v>
      </c>
      <c r="AT349" s="37"/>
      <c r="AU349" s="37"/>
      <c r="AV349" s="37" t="n">
        <f aca="false">IFERROR(AV350+N(AV314)-AV313,"n/a")</f>
        <v>8385</v>
      </c>
      <c r="AW349" s="37"/>
      <c r="AX349" s="39"/>
      <c r="AY349" s="39" t="n">
        <f aca="false">IFERROR(AY350+N(AY314)-AY313,"n/a")</f>
        <v>9203.18538028699</v>
      </c>
      <c r="AZ349" s="39" t="n">
        <f aca="false">IFERROR(AZ350+N(AZ314)-AZ313,"n/a")</f>
        <v>10333.3281423107</v>
      </c>
      <c r="BA349" s="39" t="n">
        <f aca="false">IFERROR(BA350+N(BA314)-BA313,"n/a")</f>
        <v>11400.0426952498</v>
      </c>
      <c r="BB349" s="39" t="n">
        <f aca="false">IFERROR(BB350+N(BB314)-BB313,"n/a")</f>
        <v>12482.7929554837</v>
      </c>
      <c r="BC349" s="39" t="n">
        <f aca="false">IFERROR(BC350+N(BC314)-BC313,"n/a")</f>
        <v>13581.5075967737</v>
      </c>
      <c r="BD349" s="23"/>
      <c r="BF349" s="7"/>
      <c r="BG349" s="7"/>
      <c r="BH349" s="7"/>
      <c r="BI349" s="7"/>
    </row>
    <row r="350" customFormat="false" ht="15" hidden="false" customHeight="true" outlineLevel="0" collapsed="false">
      <c r="B350" s="13" t="s">
        <v>454</v>
      </c>
      <c r="C350" s="37" t="n">
        <f aca="false">C283</f>
        <v>0</v>
      </c>
      <c r="D350" s="37" t="n">
        <f aca="false">D283</f>
        <v>0</v>
      </c>
      <c r="E350" s="37" t="n">
        <f aca="false">E283</f>
        <v>0</v>
      </c>
      <c r="F350" s="37" t="n">
        <f aca="false">F283</f>
        <v>1803.9</v>
      </c>
      <c r="G350" s="37" t="n">
        <f aca="false">G283</f>
        <v>2163.2</v>
      </c>
      <c r="H350" s="37" t="n">
        <f aca="false">H283</f>
        <v>2325.5</v>
      </c>
      <c r="I350" s="37" t="n">
        <f aca="false">I283</f>
        <v>2358.3</v>
      </c>
      <c r="J350" s="37"/>
      <c r="K350" s="37"/>
      <c r="L350" s="37" t="n">
        <f aca="false">L283</f>
        <v>2841.2</v>
      </c>
      <c r="M350" s="37"/>
      <c r="N350" s="37"/>
      <c r="O350" s="37" t="n">
        <f aca="false">O283</f>
        <v>3458.5</v>
      </c>
      <c r="P350" s="37"/>
      <c r="Q350" s="37"/>
      <c r="R350" s="37" t="n">
        <f aca="false">R283</f>
        <v>3748.7</v>
      </c>
      <c r="S350" s="37"/>
      <c r="T350" s="37"/>
      <c r="U350" s="37" t="n">
        <f aca="false">U283</f>
        <v>4384.8</v>
      </c>
      <c r="V350" s="37"/>
      <c r="W350" s="37"/>
      <c r="X350" s="37" t="n">
        <f aca="false">X283</f>
        <v>5045.6</v>
      </c>
      <c r="Y350" s="37"/>
      <c r="Z350" s="37"/>
      <c r="AA350" s="37" t="n">
        <f aca="false">AA283</f>
        <v>5507.8</v>
      </c>
      <c r="AB350" s="37"/>
      <c r="AC350" s="37"/>
      <c r="AD350" s="37" t="n">
        <f aca="false">AD283</f>
        <v>6575.9</v>
      </c>
      <c r="AE350" s="37"/>
      <c r="AF350" s="37"/>
      <c r="AG350" s="37" t="n">
        <f aca="false">AG283</f>
        <v>7391</v>
      </c>
      <c r="AH350" s="37"/>
      <c r="AI350" s="37"/>
      <c r="AJ350" s="37" t="n">
        <f aca="false">AJ283</f>
        <v>9412</v>
      </c>
      <c r="AK350" s="37"/>
      <c r="AL350" s="37"/>
      <c r="AM350" s="37" t="n">
        <f aca="false">AM283</f>
        <v>12456</v>
      </c>
      <c r="AN350" s="37"/>
      <c r="AO350" s="37"/>
      <c r="AP350" s="37" t="n">
        <f aca="false">AP283</f>
        <v>15203</v>
      </c>
      <c r="AQ350" s="37"/>
      <c r="AR350" s="37"/>
      <c r="AS350" s="37" t="n">
        <f aca="false">AS283</f>
        <v>17334</v>
      </c>
      <c r="AT350" s="37"/>
      <c r="AU350" s="37"/>
      <c r="AV350" s="37" t="n">
        <f aca="false">AV283</f>
        <v>18846</v>
      </c>
      <c r="AW350" s="37"/>
      <c r="AX350" s="39"/>
      <c r="AY350" s="39" t="n">
        <f aca="false">AY283</f>
        <v>21454.5209946</v>
      </c>
      <c r="AZ350" s="39" t="n">
        <f aca="false">AZ283</f>
        <v>24661.3610691575</v>
      </c>
      <c r="BA350" s="39" t="n">
        <f aca="false">BA283</f>
        <v>28198.4157016815</v>
      </c>
      <c r="BB350" s="39" t="n">
        <f aca="false">BB283</f>
        <v>32026.6943966252</v>
      </c>
      <c r="BC350" s="39" t="n">
        <f aca="false">BC283</f>
        <v>36121.9418538897</v>
      </c>
      <c r="BD350" s="23"/>
      <c r="BF350" s="7"/>
      <c r="BG350" s="7"/>
      <c r="BH350" s="7"/>
      <c r="BI350" s="7"/>
    </row>
    <row r="351" customFormat="false" ht="15" hidden="false" customHeight="true" outlineLevel="0" collapsed="false">
      <c r="B351" s="40" t="s">
        <v>455</v>
      </c>
      <c r="C351" s="64" t="str">
        <f aca="false">IFERROR(C348/C349,"n/a")</f>
        <v>n/a</v>
      </c>
      <c r="D351" s="64" t="str">
        <f aca="false">IFERROR(D348/D349,"n/a")</f>
        <v>n/a</v>
      </c>
      <c r="E351" s="64" t="str">
        <f aca="false">IFERROR(E348/E349,"n/a")</f>
        <v>n/a</v>
      </c>
      <c r="F351" s="64" t="n">
        <f aca="false">IFERROR(F348/F349,"n/a")</f>
        <v>0.252968899995566</v>
      </c>
      <c r="G351" s="64" t="n">
        <f aca="false">IFERROR(G348/G349,"n/a")</f>
        <v>0.365253360488804</v>
      </c>
      <c r="H351" s="64" t="n">
        <f aca="false">IFERROR(H348/H349,"n/a")</f>
        <v>0.467808847214414</v>
      </c>
      <c r="I351" s="64" t="n">
        <f aca="false">IFERROR(I348/I349,"n/a")</f>
        <v>0.466437166645034</v>
      </c>
      <c r="J351" s="64"/>
      <c r="K351" s="64"/>
      <c r="L351" s="64" t="n">
        <f aca="false">IFERROR(L348/L349,"n/a")</f>
        <v>0.4643921405933</v>
      </c>
      <c r="M351" s="64"/>
      <c r="N351" s="64"/>
      <c r="O351" s="64" t="n">
        <f aca="false">IFERROR(O348/O349,"n/a")</f>
        <v>0.441441943644302</v>
      </c>
      <c r="P351" s="64"/>
      <c r="Q351" s="64"/>
      <c r="R351" s="64" t="n">
        <f aca="false">IFERROR(R348/R349,"n/a")</f>
        <v>0.463186582203728</v>
      </c>
      <c r="S351" s="64"/>
      <c r="T351" s="64"/>
      <c r="U351" s="64" t="n">
        <f aca="false">IFERROR(U348/U349,"n/a")</f>
        <v>0.551554128102564</v>
      </c>
      <c r="V351" s="64"/>
      <c r="W351" s="64"/>
      <c r="X351" s="64" t="n">
        <f aca="false">IFERROR(X348/X349,"n/a")</f>
        <v>0.63217752223795</v>
      </c>
      <c r="Y351" s="64"/>
      <c r="Z351" s="64"/>
      <c r="AA351" s="64" t="n">
        <f aca="false">IFERROR(AA348/AA349,"n/a")</f>
        <v>0.729581046969026</v>
      </c>
      <c r="AB351" s="64"/>
      <c r="AC351" s="64"/>
      <c r="AD351" s="64" t="n">
        <f aca="false">IFERROR(AD348/AD349,"n/a")</f>
        <v>0.503914028435552</v>
      </c>
      <c r="AE351" s="64"/>
      <c r="AF351" s="64"/>
      <c r="AG351" s="64" t="n">
        <f aca="false">IFERROR(AG348/AG349,"n/a")</f>
        <v>0.33161700088305</v>
      </c>
      <c r="AH351" s="64"/>
      <c r="AI351" s="64"/>
      <c r="AJ351" s="64" t="n">
        <f aca="false">IFERROR(AJ348/AJ349,"n/a")</f>
        <v>0.603941050685343</v>
      </c>
      <c r="AK351" s="64"/>
      <c r="AL351" s="64"/>
      <c r="AM351" s="64" t="n">
        <f aca="false">IFERROR(AM348/AM349,"n/a")</f>
        <v>0.732005138681212</v>
      </c>
      <c r="AN351" s="64"/>
      <c r="AO351" s="64"/>
      <c r="AP351" s="64" t="n">
        <f aca="false">IFERROR(AP348/AP349,"n/a")</f>
        <v>0.674295276138855</v>
      </c>
      <c r="AQ351" s="64"/>
      <c r="AR351" s="64"/>
      <c r="AS351" s="64" t="n">
        <f aca="false">IFERROR(AS348/AS349,"n/a")</f>
        <v>0.591818348825361</v>
      </c>
      <c r="AT351" s="64"/>
      <c r="AU351" s="64"/>
      <c r="AV351" s="64" t="n">
        <f aca="false">IFERROR(AV348/AV349,"n/a")</f>
        <v>0.560050168295411</v>
      </c>
      <c r="AW351" s="64"/>
      <c r="AX351" s="64"/>
      <c r="AY351" s="64" t="n">
        <f aca="false">IFERROR(AY348/AY349,"n/a")</f>
        <v>0.521356494228347</v>
      </c>
      <c r="AZ351" s="64" t="n">
        <f aca="false">IFERROR(AZ348/AZ349,"n/a")</f>
        <v>0.493949896174366</v>
      </c>
      <c r="BA351" s="64" t="n">
        <f aca="false">IFERROR(BA348/BA349,"n/a")</f>
        <v>0.484819867900969</v>
      </c>
      <c r="BB351" s="64" t="n">
        <f aca="false">IFERROR(BB348/BB349,"n/a")</f>
        <v>0.476907582693666</v>
      </c>
      <c r="BC351" s="64" t="n">
        <f aca="false">IFERROR(BC348/BC349,"n/a")</f>
        <v>0.467882447495304</v>
      </c>
      <c r="BD351" s="23"/>
      <c r="BF351" s="32" t="n">
        <f aca="false">IFERROR(AVERAGE(AY351,AZ351,BA351,BB351,BC351),"n/m")</f>
        <v>0.48898325769853</v>
      </c>
      <c r="BG351" s="32" t="n">
        <f aca="false">IFERROR(AVERAGE(AJ351,AM351,AP351,AS351,AV351),"n/m")</f>
        <v>0.632421996525236</v>
      </c>
      <c r="BH351" s="32" t="n">
        <f aca="false">IFERROR(AVERAGE(U351,X351,AA351,AD351,AG351,AJ351,AM351,AP351,AS351,AV351),"n/m")</f>
        <v>0.591095370925432</v>
      </c>
      <c r="BI351" s="32" t="n">
        <f aca="false">IFERROR(AVERAGE(C351,D351,E351,F351,G351,H351,I351,L351,O351,R351,U351,X351,AA351,AD351,AG351,AJ351,AM351,AP351,AS351,AV351),"n/m")</f>
        <v>0.519555450002322</v>
      </c>
    </row>
    <row r="352" customFormat="false" ht="15" hidden="false" customHeight="true" outlineLevel="0" collapsed="false">
      <c r="B352" s="13" t="s">
        <v>456</v>
      </c>
      <c r="C352" s="30" t="n">
        <f aca="false">IFERROR(C346/C119,"n/a")</f>
        <v>0.264769951812001</v>
      </c>
      <c r="D352" s="30" t="n">
        <f aca="false">IFERROR(D346/D119,"n/a")</f>
        <v>0.255061227001415</v>
      </c>
      <c r="E352" s="30" t="n">
        <f aca="false">IFERROR(E346/E119,"n/a")</f>
        <v>0.25456194038309</v>
      </c>
      <c r="F352" s="30" t="n">
        <f aca="false">IFERROR(F346/F119,"n/a")</f>
        <v>0.241811628271431</v>
      </c>
      <c r="G352" s="30" t="n">
        <f aca="false">IFERROR(G346/G119,"n/a")</f>
        <v>0.278323892035988</v>
      </c>
      <c r="H352" s="30" t="n">
        <f aca="false">IFERROR(H346/H119,"n/a")</f>
        <v>0.311558496409968</v>
      </c>
      <c r="I352" s="30" t="n">
        <f aca="false">IFERROR(I346/I119,"n/a")</f>
        <v>0.321087224821331</v>
      </c>
      <c r="J352" s="30"/>
      <c r="K352" s="30"/>
      <c r="L352" s="30" t="n">
        <f aca="false">IFERROR(L346/L119,"n/a")</f>
        <v>0.324438052625972</v>
      </c>
      <c r="M352" s="30"/>
      <c r="N352" s="30"/>
      <c r="O352" s="30" t="n">
        <f aca="false">IFERROR(O346/O119,"n/a")</f>
        <v>0.315471276647405</v>
      </c>
      <c r="P352" s="30"/>
      <c r="Q352" s="30"/>
      <c r="R352" s="30" t="n">
        <f aca="false">IFERROR(R346/R119,"n/a")</f>
        <v>0.318260689940095</v>
      </c>
      <c r="S352" s="30"/>
      <c r="T352" s="30"/>
      <c r="U352" s="30" t="n">
        <f aca="false">IFERROR(U346/U119,"n/a")</f>
        <v>0.32611202952597</v>
      </c>
      <c r="V352" s="30"/>
      <c r="W352" s="30"/>
      <c r="X352" s="30" t="n">
        <f aca="false">IFERROR(X346/X119,"n/a")</f>
        <v>0.346356231528869</v>
      </c>
      <c r="Y352" s="30"/>
      <c r="Z352" s="30"/>
      <c r="AA352" s="30" t="n">
        <f aca="false">IFERROR(AA346/AA119,"n/a")</f>
        <v>0.342769983741473</v>
      </c>
      <c r="AB352" s="30"/>
      <c r="AC352" s="30"/>
      <c r="AD352" s="30" t="n">
        <f aca="false">IFERROR(AD346/AD119,"n/a")</f>
        <v>0.339773948920592</v>
      </c>
      <c r="AE352" s="30"/>
      <c r="AF352" s="30"/>
      <c r="AG352" s="30" t="n">
        <f aca="false">IFERROR(AG346/AG119,"n/a")</f>
        <v>0.310107365323818</v>
      </c>
      <c r="AH352" s="30"/>
      <c r="AI352" s="30"/>
      <c r="AJ352" s="30" t="n">
        <f aca="false">IFERROR(AJ346/AJ119,"n/a")</f>
        <v>0.39311957247829</v>
      </c>
      <c r="AK352" s="30"/>
      <c r="AL352" s="30"/>
      <c r="AM352" s="30" t="n">
        <f aca="false">IFERROR(AM346/AM119,"n/a")</f>
        <v>0.404843992415101</v>
      </c>
      <c r="AN352" s="30"/>
      <c r="AO352" s="30"/>
      <c r="AP352" s="30" t="n">
        <f aca="false">IFERROR(AP346/AP119,"n/a")</f>
        <v>0.420719445892604</v>
      </c>
      <c r="AQ352" s="30"/>
      <c r="AR352" s="30"/>
      <c r="AS352" s="30" t="n">
        <f aca="false">IFERROR(AS346/AS119,"n/a")</f>
        <v>0.405273566249176</v>
      </c>
      <c r="AT352" s="30"/>
      <c r="AU352" s="30"/>
      <c r="AV352" s="30" t="n">
        <f aca="false">IFERROR(AV346/AV119,"n/a")</f>
        <v>0.410511186101737</v>
      </c>
      <c r="AW352" s="30"/>
      <c r="AX352" s="28"/>
      <c r="AY352" s="28" t="n">
        <f aca="false">IFERROR(AY346/AY119,"n/a")</f>
        <v>0.406173465090184</v>
      </c>
      <c r="AZ352" s="28" t="n">
        <f aca="false">IFERROR(AZ346/AZ119,"n/a")</f>
        <v>0.405</v>
      </c>
      <c r="BA352" s="28" t="n">
        <f aca="false">IFERROR(BA346/BA119,"n/a")</f>
        <v>0.408</v>
      </c>
      <c r="BB352" s="28" t="n">
        <f aca="false">IFERROR(BB346/BB119,"n/a")</f>
        <v>0.41</v>
      </c>
      <c r="BC352" s="28" t="n">
        <f aca="false">IFERROR(BC346/BC119,"n/a")</f>
        <v>0.41</v>
      </c>
      <c r="BD352" s="23"/>
      <c r="BF352" s="7"/>
      <c r="BG352" s="7"/>
      <c r="BH352" s="7"/>
      <c r="BI352" s="7"/>
    </row>
    <row r="353" customFormat="false" ht="15" hidden="false" customHeight="true" outlineLevel="0" collapsed="false">
      <c r="B353" s="13" t="s">
        <v>457</v>
      </c>
      <c r="C353" s="58" t="n">
        <f aca="false">IFERROR(C119/C349,"n/a")</f>
        <v>-2.82472496736901</v>
      </c>
      <c r="D353" s="58" t="n">
        <f aca="false">IFERROR(D119/D349,"n/a")</f>
        <v>-3.34727085478888</v>
      </c>
      <c r="E353" s="58" t="n">
        <f aca="false">IFERROR(E119/E349,"n/a")</f>
        <v>-4.08094357076781</v>
      </c>
      <c r="F353" s="58" t="n">
        <f aca="false">IFERROR(F119/F349,"n/a")</f>
        <v>1.55951120162933</v>
      </c>
      <c r="G353" s="58" t="n">
        <f aca="false">IFERROR(G119/G349,"n/a")</f>
        <v>1.97906190750969</v>
      </c>
      <c r="H353" s="58" t="n">
        <f aca="false">IFERROR(H119/H349,"n/a")</f>
        <v>2.21743541715445</v>
      </c>
      <c r="I353" s="58" t="n">
        <f aca="false">IFERROR(I119/I349,"n/a")</f>
        <v>2.12795455933549</v>
      </c>
      <c r="J353" s="58"/>
      <c r="K353" s="58"/>
      <c r="L353" s="58" t="n">
        <f aca="false">IFERROR(L119/L349,"n/a")</f>
        <v>2.14535481659239</v>
      </c>
      <c r="M353" s="58"/>
      <c r="N353" s="58"/>
      <c r="O353" s="58" t="n">
        <f aca="false">IFERROR(O119/O349,"n/a")</f>
        <v>2.09608631482518</v>
      </c>
      <c r="P353" s="58"/>
      <c r="Q353" s="58"/>
      <c r="R353" s="58" t="n">
        <f aca="false">IFERROR(R119/R349,"n/a")</f>
        <v>2.26776596243032</v>
      </c>
      <c r="S353" s="58"/>
      <c r="T353" s="58"/>
      <c r="U353" s="58" t="n">
        <f aca="false">IFERROR(U119/U349,"n/a")</f>
        <v>2.55072321647463</v>
      </c>
      <c r="V353" s="58"/>
      <c r="W353" s="58"/>
      <c r="X353" s="58" t="n">
        <f aca="false">IFERROR(X119/X349,"n/a")</f>
        <v>2.78057824322293</v>
      </c>
      <c r="Y353" s="58"/>
      <c r="Z353" s="58"/>
      <c r="AA353" s="58" t="n">
        <f aca="false">IFERROR(AA119/AA349,"n/a")</f>
        <v>3.15216357584403</v>
      </c>
      <c r="AB353" s="58"/>
      <c r="AC353" s="58"/>
      <c r="AD353" s="58" t="n">
        <f aca="false">IFERROR(AD119/AD349,"n/a")</f>
        <v>2.21623361988474</v>
      </c>
      <c r="AE353" s="58"/>
      <c r="AF353" s="58"/>
      <c r="AG353" s="58" t="n">
        <f aca="false">IFERROR(AG119/AG349,"n/a")</f>
        <v>1.54665827503571</v>
      </c>
      <c r="AH353" s="58"/>
      <c r="AI353" s="58"/>
      <c r="AJ353" s="58" t="n">
        <f aca="false">IFERROR(AJ119/AJ349,"n/a")</f>
        <v>2.18062636562272</v>
      </c>
      <c r="AK353" s="58"/>
      <c r="AL353" s="58"/>
      <c r="AM353" s="58" t="n">
        <f aca="false">IFERROR(AM119/AM349,"n/a")</f>
        <v>2.51670281995662</v>
      </c>
      <c r="AN353" s="58"/>
      <c r="AO353" s="58"/>
      <c r="AP353" s="58" t="n">
        <f aca="false">IFERROR(AP119/AP349,"n/a")</f>
        <v>2.21970573648537</v>
      </c>
      <c r="AQ353" s="58"/>
      <c r="AR353" s="58"/>
      <c r="AS353" s="58" t="n">
        <f aca="false">IFERROR(AS119/AS349,"n/a")</f>
        <v>2.04778617710583</v>
      </c>
      <c r="AT353" s="58"/>
      <c r="AU353" s="58"/>
      <c r="AV353" s="58" t="n">
        <f aca="false">IFERROR(AV119/AV349,"n/a")</f>
        <v>1.90840787119857</v>
      </c>
      <c r="AW353" s="58"/>
      <c r="AX353" s="59"/>
      <c r="AY353" s="59" t="n">
        <f aca="false">IFERROR(AY119/AY349,"n/a")</f>
        <v>1.78275122384728</v>
      </c>
      <c r="AZ353" s="59" t="n">
        <f aca="false">IFERROR(AZ119/AZ349,"n/a")</f>
        <v>1.70577534723082</v>
      </c>
      <c r="BA353" s="59" t="n">
        <f aca="false">IFERROR(BA119/BA349,"n/a")</f>
        <v>1.66193565028441</v>
      </c>
      <c r="BB353" s="59" t="n">
        <f aca="false">IFERROR(BB119/BB349,"n/a")</f>
        <v>1.62683807843652</v>
      </c>
      <c r="BC353" s="59" t="n">
        <f aca="false">IFERROR(BC119/BC349,"n/a")</f>
        <v>1.59605133036092</v>
      </c>
      <c r="BD353" s="23"/>
      <c r="BF353" s="7"/>
      <c r="BG353" s="7"/>
      <c r="BH353" s="7"/>
      <c r="BI353" s="7"/>
    </row>
    <row r="354" customFormat="false" ht="15" hidden="false" customHeight="true" outlineLevel="0" collapsed="false">
      <c r="B354" s="13" t="s">
        <v>458</v>
      </c>
      <c r="C354" s="30" t="str">
        <f aca="false">IFERROR(1-C347,"n/a")</f>
        <v>n/a</v>
      </c>
      <c r="D354" s="30" t="str">
        <f aca="false">IFERROR(1-D347,"n/a")</f>
        <v>n/a</v>
      </c>
      <c r="E354" s="30" t="str">
        <f aca="false">IFERROR(1-E347,"n/a")</f>
        <v>n/a</v>
      </c>
      <c r="F354" s="30" t="n">
        <f aca="false">IFERROR(1-F347,"n/a")</f>
        <v>0.670812972012439</v>
      </c>
      <c r="G354" s="30" t="n">
        <f aca="false">IFERROR(1-G347,"n/a")</f>
        <v>0.663108128717401</v>
      </c>
      <c r="H354" s="30" t="n">
        <f aca="false">IFERROR(1-H347,"n/a")</f>
        <v>0.677139037433155</v>
      </c>
      <c r="I354" s="30" t="n">
        <f aca="false">IFERROR(1-I347,"n/a")</f>
        <v>0.682665212253432</v>
      </c>
      <c r="J354" s="30"/>
      <c r="K354" s="30"/>
      <c r="L354" s="30" t="n">
        <f aca="false">IFERROR(1-L347,"n/a")</f>
        <v>0.667196785803968</v>
      </c>
      <c r="M354" s="30"/>
      <c r="N354" s="30"/>
      <c r="O354" s="30" t="n">
        <f aca="false">IFERROR(1-O347,"n/a")</f>
        <v>0.667581986505571</v>
      </c>
      <c r="P354" s="30"/>
      <c r="Q354" s="30"/>
      <c r="R354" s="30" t="n">
        <f aca="false">IFERROR(1-R347,"n/a")</f>
        <v>0.641763092769714</v>
      </c>
      <c r="S354" s="30"/>
      <c r="T354" s="30"/>
      <c r="U354" s="30" t="n">
        <f aca="false">IFERROR(1-U347,"n/a")</f>
        <v>0.663067871656457</v>
      </c>
      <c r="V354" s="30"/>
      <c r="W354" s="30"/>
      <c r="X354" s="30" t="n">
        <f aca="false">IFERROR(1-X347,"n/a")</f>
        <v>0.656418668642184</v>
      </c>
      <c r="Y354" s="30"/>
      <c r="Z354" s="30"/>
      <c r="AA354" s="30" t="n">
        <f aca="false">IFERROR(1-AA347,"n/a")</f>
        <v>0.675245989045611</v>
      </c>
      <c r="AB354" s="30"/>
      <c r="AC354" s="30"/>
      <c r="AD354" s="30" t="n">
        <f aca="false">IFERROR(1-AD347,"n/a")</f>
        <v>0.669192141661528</v>
      </c>
      <c r="AE354" s="30"/>
      <c r="AF354" s="30"/>
      <c r="AG354" s="30" t="n">
        <f aca="false">IFERROR(1-AG347,"n/a")</f>
        <v>0.691401530406766</v>
      </c>
      <c r="AH354" s="30"/>
      <c r="AI354" s="30"/>
      <c r="AJ354" s="30" t="n">
        <f aca="false">IFERROR(1-AJ347,"n/a")</f>
        <v>0.704512372634643</v>
      </c>
      <c r="AK354" s="30"/>
      <c r="AL354" s="30"/>
      <c r="AM354" s="30" t="n">
        <f aca="false">IFERROR(1-AM347,"n/a")</f>
        <v>0.718446601941748</v>
      </c>
      <c r="AN354" s="30"/>
      <c r="AO354" s="30"/>
      <c r="AP354" s="30" t="n">
        <f aca="false">IFERROR(1-AP347,"n/a")</f>
        <v>0.722041445452989</v>
      </c>
      <c r="AQ354" s="30"/>
      <c r="AR354" s="30"/>
      <c r="AS354" s="30" t="n">
        <f aca="false">IFERROR(1-AS347,"n/a")</f>
        <v>0.713108381278184</v>
      </c>
      <c r="AT354" s="30"/>
      <c r="AU354" s="30"/>
      <c r="AV354" s="30" t="n">
        <f aca="false">IFERROR(1-AV347,"n/a")</f>
        <v>0.714876033057851</v>
      </c>
      <c r="AW354" s="30"/>
      <c r="AX354" s="28"/>
      <c r="AY354" s="28" t="n">
        <f aca="false">IFERROR(1-AY347,"n/a")</f>
        <v>0.72</v>
      </c>
      <c r="AZ354" s="28" t="n">
        <f aca="false">IFERROR(1-AZ347,"n/a")</f>
        <v>0.715</v>
      </c>
      <c r="BA354" s="28" t="n">
        <f aca="false">IFERROR(1-BA347,"n/a")</f>
        <v>0.715</v>
      </c>
      <c r="BB354" s="28" t="n">
        <f aca="false">IFERROR(1-BB347,"n/a")</f>
        <v>0.715</v>
      </c>
      <c r="BC354" s="28" t="n">
        <f aca="false">IFERROR(1-BC347,"n/a")</f>
        <v>0.715</v>
      </c>
      <c r="BD354" s="23"/>
      <c r="BF354" s="7"/>
      <c r="BG354" s="7"/>
      <c r="BH354" s="7"/>
      <c r="BI354" s="7"/>
    </row>
    <row r="355" customFormat="false" ht="15" hidden="false" customHeight="true" outlineLevel="0" collapsed="false">
      <c r="B355" s="13" t="s">
        <v>459</v>
      </c>
      <c r="C355" s="30" t="str">
        <f aca="false">IFERROR(C352*C353*C354,"n/a")</f>
        <v>n/a</v>
      </c>
      <c r="D355" s="30" t="str">
        <f aca="false">IFERROR(D352*D353*D354,"n/a")</f>
        <v>n/a</v>
      </c>
      <c r="E355" s="30" t="str">
        <f aca="false">IFERROR(E352*E353*E354,"n/a")</f>
        <v>n/a</v>
      </c>
      <c r="F355" s="30" t="n">
        <f aca="false">IFERROR(F352*F353*F354,"n/a")</f>
        <v>0.252968899995567</v>
      </c>
      <c r="G355" s="30" t="n">
        <f aca="false">IFERROR(G352*G353*G354,"n/a")</f>
        <v>0.365253360488804</v>
      </c>
      <c r="H355" s="30" t="n">
        <f aca="false">IFERROR(H352*H353*H354,"n/a")</f>
        <v>0.467808847214414</v>
      </c>
      <c r="I355" s="30" t="n">
        <f aca="false">IFERROR(I352*I353*I354,"n/a")</f>
        <v>0.466437166645034</v>
      </c>
      <c r="J355" s="30"/>
      <c r="K355" s="30"/>
      <c r="L355" s="30" t="n">
        <f aca="false">IFERROR(L352*L353*L354,"n/a")</f>
        <v>0.4643921405933</v>
      </c>
      <c r="M355" s="30"/>
      <c r="N355" s="30"/>
      <c r="O355" s="30" t="n">
        <f aca="false">IFERROR(O352*O353*O354,"n/a")</f>
        <v>0.441441943644302</v>
      </c>
      <c r="P355" s="30"/>
      <c r="Q355" s="30"/>
      <c r="R355" s="30" t="n">
        <f aca="false">IFERROR(R352*R353*R354,"n/a")</f>
        <v>0.463186582203728</v>
      </c>
      <c r="S355" s="30"/>
      <c r="T355" s="30"/>
      <c r="U355" s="30" t="n">
        <f aca="false">IFERROR(U352*U353*U354,"n/a")</f>
        <v>0.551554128102564</v>
      </c>
      <c r="V355" s="30"/>
      <c r="W355" s="30"/>
      <c r="X355" s="30" t="n">
        <f aca="false">IFERROR(X352*X353*X354,"n/a")</f>
        <v>0.63217752223795</v>
      </c>
      <c r="Y355" s="30"/>
      <c r="Z355" s="30"/>
      <c r="AA355" s="30" t="n">
        <f aca="false">IFERROR(AA352*AA353*AA354,"n/a")</f>
        <v>0.729581046969026</v>
      </c>
      <c r="AB355" s="30"/>
      <c r="AC355" s="30"/>
      <c r="AD355" s="30" t="n">
        <f aca="false">IFERROR(AD352*AD353*AD354,"n/a")</f>
        <v>0.503914028435552</v>
      </c>
      <c r="AE355" s="30"/>
      <c r="AF355" s="30"/>
      <c r="AG355" s="30" t="n">
        <f aca="false">IFERROR(AG352*AG353*AG354,"n/a")</f>
        <v>0.33161700088305</v>
      </c>
      <c r="AH355" s="30"/>
      <c r="AI355" s="30"/>
      <c r="AJ355" s="30" t="n">
        <f aca="false">IFERROR(AJ352*AJ353*AJ354,"n/a")</f>
        <v>0.603941050685343</v>
      </c>
      <c r="AK355" s="30"/>
      <c r="AL355" s="30"/>
      <c r="AM355" s="30" t="n">
        <f aca="false">IFERROR(AM352*AM353*AM354,"n/a")</f>
        <v>0.732005138681212</v>
      </c>
      <c r="AN355" s="30"/>
      <c r="AO355" s="30"/>
      <c r="AP355" s="30" t="n">
        <f aca="false">IFERROR(AP352*AP353*AP354,"n/a")</f>
        <v>0.674295276138855</v>
      </c>
      <c r="AQ355" s="30"/>
      <c r="AR355" s="30"/>
      <c r="AS355" s="30" t="n">
        <f aca="false">IFERROR(AS352*AS353*AS354,"n/a")</f>
        <v>0.591818348825361</v>
      </c>
      <c r="AT355" s="30"/>
      <c r="AU355" s="30"/>
      <c r="AV355" s="30" t="n">
        <f aca="false">IFERROR(AV352*AV353*AV354,"n/a")</f>
        <v>0.560050168295411</v>
      </c>
      <c r="AW355" s="30"/>
      <c r="AX355" s="28"/>
      <c r="AY355" s="28" t="n">
        <f aca="false">IFERROR(AY352*AY353*AY354,"n/a")</f>
        <v>0.521356494228347</v>
      </c>
      <c r="AZ355" s="28" t="n">
        <f aca="false">IFERROR(AZ352*AZ353*AZ354,"n/a")</f>
        <v>0.493949896174366</v>
      </c>
      <c r="BA355" s="28" t="n">
        <f aca="false">IFERROR(BA352*BA353*BA354,"n/a")</f>
        <v>0.484819867900969</v>
      </c>
      <c r="BB355" s="28" t="n">
        <f aca="false">IFERROR(BB352*BB353*BB354,"n/a")</f>
        <v>0.476907582693666</v>
      </c>
      <c r="BC355" s="28" t="n">
        <f aca="false">IFERROR(BC352*BC353*BC354,"n/a")</f>
        <v>0.467882447495304</v>
      </c>
      <c r="BD355" s="23"/>
      <c r="BF355" s="7"/>
      <c r="BG355" s="7"/>
      <c r="BH355" s="7"/>
      <c r="BI355" s="7"/>
    </row>
    <row r="356" customFormat="false" ht="15" hidden="false" customHeight="true" outlineLevel="0" collapsed="false">
      <c r="B356" s="13"/>
      <c r="AX356" s="7"/>
      <c r="AY356" s="7"/>
      <c r="AZ356" s="7"/>
      <c r="BA356" s="7"/>
      <c r="BB356" s="7"/>
      <c r="BC356" s="7"/>
      <c r="BD356" s="7"/>
    </row>
    <row r="357" customFormat="false" ht="15" hidden="false" customHeight="true" outlineLevel="0" collapsed="false">
      <c r="B357" s="17" t="s">
        <v>460</v>
      </c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</row>
    <row r="358" customFormat="false" ht="15" hidden="false" customHeight="true" outlineLevel="0" collapsed="false">
      <c r="B358" s="13" t="s">
        <v>461</v>
      </c>
      <c r="C358" s="37" t="str">
        <f aca="false">C348</f>
        <v>n/a</v>
      </c>
      <c r="D358" s="37" t="str">
        <f aca="false">D348</f>
        <v>n/a</v>
      </c>
      <c r="E358" s="37" t="str">
        <f aca="false">E348</f>
        <v>n/a</v>
      </c>
      <c r="F358" s="37" t="n">
        <f aca="false">F348</f>
        <v>310.519324744558</v>
      </c>
      <c r="G358" s="37" t="n">
        <f aca="false">G348</f>
        <v>443.088851608968</v>
      </c>
      <c r="H358" s="37" t="n">
        <f aca="false">H348</f>
        <v>599.403475935829</v>
      </c>
      <c r="I358" s="37" t="n">
        <f aca="false">I348</f>
        <v>763.697572947914</v>
      </c>
      <c r="J358" s="37"/>
      <c r="K358" s="37"/>
      <c r="L358" s="37" t="n">
        <f aca="false">L348</f>
        <v>812.779124466393</v>
      </c>
      <c r="M358" s="37"/>
      <c r="N358" s="37"/>
      <c r="O358" s="37" t="n">
        <f aca="false">O348</f>
        <v>867.389275066688</v>
      </c>
      <c r="P358" s="37"/>
      <c r="Q358" s="37"/>
      <c r="R358" s="37" t="n">
        <f aca="false">R348</f>
        <v>988.764397030299</v>
      </c>
      <c r="S358" s="37"/>
      <c r="T358" s="37"/>
      <c r="U358" s="37" t="n">
        <f aca="false">U348</f>
        <v>1124.89464426518</v>
      </c>
      <c r="V358" s="37"/>
      <c r="W358" s="37"/>
      <c r="X358" s="37" t="n">
        <f aca="false">X348</f>
        <v>1261.63668113028</v>
      </c>
      <c r="Y358" s="37"/>
      <c r="Z358" s="37"/>
      <c r="AA358" s="37" t="n">
        <f aca="false">AA348</f>
        <v>1380.87804759827</v>
      </c>
      <c r="AB358" s="37"/>
      <c r="AC358" s="37"/>
      <c r="AD358" s="37" t="n">
        <f aca="false">AD348</f>
        <v>1565.10658091798</v>
      </c>
      <c r="AE358" s="37"/>
      <c r="AF358" s="37"/>
      <c r="AG358" s="37" t="n">
        <f aca="false">AG348</f>
        <v>1369.94299234797</v>
      </c>
      <c r="AH358" s="37"/>
      <c r="AI358" s="37"/>
      <c r="AJ358" s="37" t="n">
        <f aca="false">AJ348</f>
        <v>2487.63318777293</v>
      </c>
      <c r="AK358" s="37"/>
      <c r="AL358" s="37"/>
      <c r="AM358" s="37" t="n">
        <f aca="false">AM348</f>
        <v>3374.54368932039</v>
      </c>
      <c r="AN358" s="37"/>
      <c r="AO358" s="37"/>
      <c r="AP358" s="37" t="n">
        <f aca="false">AP348</f>
        <v>4078.81212536393</v>
      </c>
      <c r="AQ358" s="37"/>
      <c r="AR358" s="37"/>
      <c r="AS358" s="37" t="n">
        <f aca="false">AS348</f>
        <v>4384.19032809827</v>
      </c>
      <c r="AT358" s="37"/>
      <c r="AU358" s="37"/>
      <c r="AV358" s="37" t="n">
        <f aca="false">AV348</f>
        <v>4696.02066115703</v>
      </c>
      <c r="AW358" s="37"/>
      <c r="AX358" s="39"/>
      <c r="AY358" s="39" t="n">
        <f aca="false">AY348</f>
        <v>4798.1404656</v>
      </c>
      <c r="AZ358" s="39" t="n">
        <f aca="false">AZ348</f>
        <v>5104.14636303</v>
      </c>
      <c r="BA358" s="39" t="n">
        <f aca="false">BA348</f>
        <v>5526.9671935764</v>
      </c>
      <c r="BB358" s="39" t="n">
        <f aca="false">BB348</f>
        <v>5953.13861366524</v>
      </c>
      <c r="BC358" s="39" t="n">
        <f aca="false">BC348</f>
        <v>6354.54901505454</v>
      </c>
      <c r="BD358" s="23"/>
      <c r="BF358" s="7"/>
      <c r="BG358" s="7"/>
      <c r="BH358" s="7"/>
      <c r="BI358" s="7"/>
    </row>
    <row r="359" customFormat="false" ht="15" hidden="false" customHeight="true" outlineLevel="0" collapsed="false">
      <c r="B359" s="13" t="s">
        <v>462</v>
      </c>
      <c r="C359" s="37" t="str">
        <f aca="false">C276</f>
        <v/>
      </c>
      <c r="D359" s="37" t="str">
        <f aca="false">D276</f>
        <v/>
      </c>
      <c r="E359" s="37" t="str">
        <f aca="false">E276</f>
        <v/>
      </c>
      <c r="F359" s="37" t="n">
        <f aca="false">F276</f>
        <v>2440.5</v>
      </c>
      <c r="G359" s="37" t="n">
        <f aca="false">G276</f>
        <v>2918.6</v>
      </c>
      <c r="H359" s="37" t="n">
        <f aca="false">H276</f>
        <v>3248.4</v>
      </c>
      <c r="I359" s="37" t="n">
        <f aca="false">I276</f>
        <v>3405.8</v>
      </c>
      <c r="J359" s="37"/>
      <c r="K359" s="37"/>
      <c r="L359" s="37" t="n">
        <f aca="false">L276</f>
        <v>3937.6</v>
      </c>
      <c r="M359" s="37"/>
      <c r="N359" s="37"/>
      <c r="O359" s="37" t="n">
        <f aca="false">O276</f>
        <v>4768.3</v>
      </c>
      <c r="P359" s="37"/>
      <c r="Q359" s="37"/>
      <c r="R359" s="37" t="n">
        <f aca="false">R276</f>
        <v>5187.6</v>
      </c>
      <c r="S359" s="37"/>
      <c r="T359" s="37"/>
      <c r="U359" s="37" t="n">
        <f aca="false">U276</f>
        <v>5998.7</v>
      </c>
      <c r="V359" s="37"/>
      <c r="W359" s="37"/>
      <c r="X359" s="37" t="n">
        <f aca="false">X276</f>
        <v>6768.2</v>
      </c>
      <c r="Y359" s="37"/>
      <c r="Z359" s="37"/>
      <c r="AA359" s="37" t="n">
        <f aca="false">AA276</f>
        <v>7468.1</v>
      </c>
      <c r="AB359" s="37"/>
      <c r="AC359" s="37"/>
      <c r="AD359" s="37" t="n">
        <f aca="false">AD276</f>
        <v>9881.1</v>
      </c>
      <c r="AE359" s="37"/>
      <c r="AF359" s="37"/>
      <c r="AG359" s="37" t="n">
        <f aca="false">AG276</f>
        <v>11050.5</v>
      </c>
      <c r="AH359" s="37"/>
      <c r="AI359" s="37"/>
      <c r="AJ359" s="37" t="n">
        <f aca="false">AJ276</f>
        <v>13847</v>
      </c>
      <c r="AK359" s="37"/>
      <c r="AL359" s="37"/>
      <c r="AM359" s="37" t="n">
        <f aca="false">AM276</f>
        <v>17458</v>
      </c>
      <c r="AN359" s="37"/>
      <c r="AO359" s="37"/>
      <c r="AP359" s="37" t="n">
        <f aca="false">AP276</f>
        <v>20446</v>
      </c>
      <c r="AQ359" s="37"/>
      <c r="AR359" s="37"/>
      <c r="AS359" s="37" t="n">
        <f aca="false">AS276</f>
        <v>23084</v>
      </c>
      <c r="AT359" s="37"/>
      <c r="AU359" s="37"/>
      <c r="AV359" s="37" t="n">
        <f aca="false">AV276</f>
        <v>24323</v>
      </c>
      <c r="AW359" s="37"/>
      <c r="AX359" s="39"/>
      <c r="AY359" s="39" t="n">
        <f aca="false">AY276</f>
        <v>27238.9038897925</v>
      </c>
      <c r="AZ359" s="39" t="n">
        <f aca="false">AZ276</f>
        <v>30656.2070164921</v>
      </c>
      <c r="BA359" s="39" t="n">
        <f aca="false">BA276</f>
        <v>34499.3113375153</v>
      </c>
      <c r="BB359" s="39" t="n">
        <f aca="false">BB276</f>
        <v>38644.8080364613</v>
      </c>
      <c r="BC359" s="39" t="n">
        <f aca="false">BC276</f>
        <v>43066.0870833301</v>
      </c>
      <c r="BD359" s="23"/>
      <c r="BF359" s="7"/>
      <c r="BG359" s="7"/>
      <c r="BH359" s="7"/>
      <c r="BI359" s="7"/>
    </row>
    <row r="360" customFormat="false" ht="15" hidden="false" customHeight="true" outlineLevel="0" collapsed="false">
      <c r="B360" s="13" t="s">
        <v>463</v>
      </c>
      <c r="C360" s="37" t="n">
        <f aca="false">-(C263+C264)</f>
        <v>-0</v>
      </c>
      <c r="D360" s="37" t="n">
        <f aca="false">-(D263+D264)</f>
        <v>-0</v>
      </c>
      <c r="E360" s="37" t="n">
        <f aca="false">-(E263+E264)</f>
        <v>-0</v>
      </c>
      <c r="F360" s="37" t="n">
        <f aca="false">-(F263+F264)</f>
        <v>-96</v>
      </c>
      <c r="G360" s="37" t="n">
        <f aca="false">-(G263+G264)</f>
        <v>-112.4</v>
      </c>
      <c r="H360" s="37" t="n">
        <f aca="false">-(H263+H264)</f>
        <v>-135.4</v>
      </c>
      <c r="I360" s="37" t="n">
        <f aca="false">-(I263+I264)</f>
        <v>-180.9</v>
      </c>
      <c r="J360" s="37"/>
      <c r="K360" s="37"/>
      <c r="L360" s="37" t="n">
        <f aca="false">-(L263+L264)</f>
        <v>-160.3</v>
      </c>
      <c r="M360" s="37"/>
      <c r="N360" s="37"/>
      <c r="O360" s="37" t="n">
        <f aca="false">-(O263+O264)</f>
        <v>-154.9</v>
      </c>
      <c r="P360" s="37"/>
      <c r="Q360" s="37"/>
      <c r="R360" s="37" t="n">
        <f aca="false">-(R263+R264)</f>
        <v>-160.2</v>
      </c>
      <c r="S360" s="37"/>
      <c r="T360" s="37"/>
      <c r="U360" s="37" t="n">
        <f aca="false">-(U263+U264)</f>
        <v>-158.7</v>
      </c>
      <c r="V360" s="37"/>
      <c r="W360" s="37"/>
      <c r="X360" s="37" t="n">
        <f aca="false">-(X263+X264)</f>
        <v>-164.8</v>
      </c>
      <c r="Y360" s="37"/>
      <c r="Z360" s="37"/>
      <c r="AA360" s="37" t="n">
        <f aca="false">-(AA263+AA264)</f>
        <v>-157.7</v>
      </c>
      <c r="AB360" s="37"/>
      <c r="AC360" s="37"/>
      <c r="AD360" s="37" t="n">
        <f aca="false">-(AD263+AD264)</f>
        <v>-200.3</v>
      </c>
      <c r="AE360" s="37"/>
      <c r="AF360" s="37"/>
      <c r="AG360" s="37" t="n">
        <f aca="false">-(AG263+AG264)</f>
        <v>-263.7</v>
      </c>
      <c r="AH360" s="37"/>
      <c r="AI360" s="37"/>
      <c r="AJ360" s="37" t="n">
        <f aca="false">-(AJ263+AJ264)</f>
        <v>-300</v>
      </c>
      <c r="AK360" s="37"/>
      <c r="AL360" s="37"/>
      <c r="AM360" s="37" t="n">
        <f aca="false">-(AM263+AM264)</f>
        <v>-213</v>
      </c>
      <c r="AN360" s="37"/>
      <c r="AO360" s="37"/>
      <c r="AP360" s="37" t="n">
        <f aca="false">-(AP263+AP264)</f>
        <v>-297</v>
      </c>
      <c r="AQ360" s="37"/>
      <c r="AR360" s="37"/>
      <c r="AS360" s="37" t="n">
        <f aca="false">-(AS263+AS264)</f>
        <v>-465</v>
      </c>
      <c r="AT360" s="37"/>
      <c r="AU360" s="37"/>
      <c r="AV360" s="37" t="n">
        <f aca="false">-(AV263+AV264)</f>
        <v>-411</v>
      </c>
      <c r="AW360" s="37"/>
      <c r="AX360" s="39"/>
      <c r="AY360" s="39" t="n">
        <f aca="false">-(AY263+AY264)</f>
        <v>-411</v>
      </c>
      <c r="AZ360" s="39" t="n">
        <f aca="false">-(AZ263+AZ264)</f>
        <v>-411</v>
      </c>
      <c r="BA360" s="39" t="n">
        <f aca="false">-(BA263+BA264)</f>
        <v>-411</v>
      </c>
      <c r="BB360" s="39" t="n">
        <f aca="false">-(BB263+BB264)</f>
        <v>-411</v>
      </c>
      <c r="BC360" s="39" t="n">
        <f aca="false">-(BC263+BC264)</f>
        <v>-411</v>
      </c>
      <c r="BD360" s="23"/>
      <c r="BF360" s="7"/>
      <c r="BG360" s="7"/>
      <c r="BH360" s="7"/>
      <c r="BI360" s="7"/>
    </row>
    <row r="361" customFormat="false" ht="15" hidden="false" customHeight="true" outlineLevel="0" collapsed="false">
      <c r="B361" s="13" t="s">
        <v>464</v>
      </c>
      <c r="C361" s="37" t="n">
        <f aca="false">-C274</f>
        <v>-0</v>
      </c>
      <c r="D361" s="37" t="n">
        <f aca="false">-D274</f>
        <v>-0</v>
      </c>
      <c r="E361" s="37" t="n">
        <f aca="false">-E274</f>
        <v>-0</v>
      </c>
      <c r="F361" s="37" t="n">
        <f aca="false">-F274</f>
        <v>-529.5</v>
      </c>
      <c r="G361" s="37" t="n">
        <f aca="false">-G274</f>
        <v>-843.8</v>
      </c>
      <c r="H361" s="37" t="n">
        <f aca="false">-H274</f>
        <v>-1048.2</v>
      </c>
      <c r="I361" s="37" t="n">
        <f aca="false">-I274</f>
        <v>-697</v>
      </c>
      <c r="J361" s="37"/>
      <c r="K361" s="37"/>
      <c r="L361" s="37" t="n">
        <f aca="false">-L274</f>
        <v>-1053.7</v>
      </c>
      <c r="M361" s="37"/>
      <c r="N361" s="37"/>
      <c r="O361" s="37" t="n">
        <f aca="false">-O274</f>
        <v>-1441.6</v>
      </c>
      <c r="P361" s="37"/>
      <c r="Q361" s="37"/>
      <c r="R361" s="37" t="n">
        <f aca="false">-R274</f>
        <v>-1589.2</v>
      </c>
      <c r="S361" s="37"/>
      <c r="T361" s="37"/>
      <c r="U361" s="37" t="n">
        <f aca="false">-U274</f>
        <v>-2328.9</v>
      </c>
      <c r="V361" s="37"/>
      <c r="W361" s="37"/>
      <c r="X361" s="37" t="n">
        <f aca="false">-X274</f>
        <v>-2931.9</v>
      </c>
      <c r="Y361" s="37"/>
      <c r="Z361" s="37"/>
      <c r="AA361" s="37" t="n">
        <f aca="false">-AA274</f>
        <v>-3479.1</v>
      </c>
      <c r="AB361" s="37"/>
      <c r="AC361" s="37"/>
      <c r="AD361" s="37" t="n">
        <f aca="false">-AD274</f>
        <v>-4384.2</v>
      </c>
      <c r="AE361" s="37"/>
      <c r="AF361" s="37"/>
      <c r="AG361" s="37" t="n">
        <f aca="false">-AG274</f>
        <v>-4732.7</v>
      </c>
      <c r="AH361" s="37"/>
      <c r="AI361" s="37"/>
      <c r="AJ361" s="37" t="n">
        <f aca="false">-AJ274</f>
        <v>-6696</v>
      </c>
      <c r="AK361" s="37"/>
      <c r="AL361" s="37"/>
      <c r="AM361" s="37" t="n">
        <f aca="false">-AM274</f>
        <v>-9225</v>
      </c>
      <c r="AN361" s="37"/>
      <c r="AO361" s="37"/>
      <c r="AP361" s="37" t="n">
        <f aca="false">-AP274</f>
        <v>-10625</v>
      </c>
      <c r="AQ361" s="37"/>
      <c r="AR361" s="37"/>
      <c r="AS361" s="37" t="n">
        <f aca="false">-AS274</f>
        <v>-11642</v>
      </c>
      <c r="AT361" s="37"/>
      <c r="AU361" s="37"/>
      <c r="AV361" s="37" t="n">
        <f aca="false">-AV274</f>
        <v>-12239</v>
      </c>
      <c r="AW361" s="37"/>
      <c r="AX361" s="39"/>
      <c r="AY361" s="39" t="n">
        <f aca="false">-AY274</f>
        <v>-14213.190264313</v>
      </c>
      <c r="AZ361" s="39" t="n">
        <f aca="false">-AZ274</f>
        <v>-16480.5676940969</v>
      </c>
      <c r="BA361" s="39" t="n">
        <f aca="false">-BA274</f>
        <v>-19150.598302018</v>
      </c>
      <c r="BB361" s="39" t="n">
        <f aca="false">-BB274</f>
        <v>-22104.5247057711</v>
      </c>
      <c r="BC361" s="39" t="n">
        <f aca="false">-BC274</f>
        <v>-25316.7433995276</v>
      </c>
      <c r="BD361" s="23"/>
      <c r="BF361" s="7"/>
      <c r="BG361" s="7"/>
      <c r="BH361" s="7"/>
      <c r="BI361" s="7"/>
    </row>
    <row r="362" customFormat="false" ht="15" hidden="false" customHeight="true" outlineLevel="0" collapsed="false">
      <c r="B362" s="13" t="s">
        <v>465</v>
      </c>
      <c r="C362" s="37" t="n">
        <f aca="false">-(N(C289)+N(C290)+N(C291))</f>
        <v>-0</v>
      </c>
      <c r="D362" s="37" t="n">
        <f aca="false">-(N(D289)+N(D290)+N(D291))</f>
        <v>-0</v>
      </c>
      <c r="E362" s="37" t="n">
        <f aca="false">-(N(E289)+N(E290)+N(E291))</f>
        <v>-0</v>
      </c>
      <c r="F362" s="37" t="n">
        <f aca="false">-(N(F289)+N(F290)+N(F291))</f>
        <v>-481.7</v>
      </c>
      <c r="G362" s="37" t="n">
        <f aca="false">-(N(G289)+N(G290)+N(G291))</f>
        <v>-591.5</v>
      </c>
      <c r="H362" s="37" t="n">
        <f aca="false">-(N(H289)+N(H290)+N(H291))</f>
        <v>-756.2</v>
      </c>
      <c r="I362" s="37" t="n">
        <f aca="false">-(N(I289)+N(I290)+N(I291))</f>
        <v>-866.3</v>
      </c>
      <c r="J362" s="37"/>
      <c r="K362" s="37"/>
      <c r="L362" s="37" t="n">
        <f aca="false">-(N(L289)+N(L290)+N(L291))</f>
        <v>-884.3</v>
      </c>
      <c r="M362" s="37"/>
      <c r="N362" s="37"/>
      <c r="O362" s="37" t="n">
        <f aca="false">-(N(O289)+N(O290)+N(O291))</f>
        <v>-1068.8</v>
      </c>
      <c r="P362" s="37"/>
      <c r="Q362" s="37"/>
      <c r="R362" s="37" t="n">
        <f aca="false">-(N(R289)+N(R290)+N(R291))</f>
        <v>-1125.4</v>
      </c>
      <c r="S362" s="37"/>
      <c r="T362" s="37"/>
      <c r="U362" s="37" t="n">
        <f aca="false">-(N(U289)+N(U290)+N(U291))</f>
        <v>-1236.7</v>
      </c>
      <c r="V362" s="37"/>
      <c r="W362" s="37"/>
      <c r="X362" s="37" t="n">
        <f aca="false">-(N(X289)+N(X290)+N(X291))</f>
        <v>-1269.2</v>
      </c>
      <c r="Y362" s="37"/>
      <c r="Z362" s="37"/>
      <c r="AA362" s="37" t="n">
        <f aca="false">-(N(AA289)+N(AA290)+N(AA291))</f>
        <v>-1528.6</v>
      </c>
      <c r="AB362" s="37"/>
      <c r="AC362" s="37"/>
      <c r="AD362" s="37" t="n">
        <f aca="false">-(N(AD289)+N(AD290)+N(AD291))</f>
        <v>-1720.3</v>
      </c>
      <c r="AE362" s="37"/>
      <c r="AF362" s="37"/>
      <c r="AG362" s="37" t="n">
        <f aca="false">-(N(AG289)+N(AG290)+N(AG291))</f>
        <v>-1526.5</v>
      </c>
      <c r="AH362" s="37"/>
      <c r="AI362" s="37"/>
      <c r="AJ362" s="37" t="n">
        <f aca="false">-(N(AJ289)+N(AJ290)+N(AJ291))</f>
        <v>-2217</v>
      </c>
      <c r="AK362" s="37"/>
      <c r="AL362" s="37"/>
      <c r="AM362" s="37" t="n">
        <f aca="false">-(N(AM289)+N(AM290)+N(AM291))</f>
        <v>-2689</v>
      </c>
      <c r="AN362" s="37"/>
      <c r="AO362" s="37"/>
      <c r="AP362" s="37" t="n">
        <f aca="false">-(N(AP289)+N(AP290)+N(AP291))</f>
        <v>-2849</v>
      </c>
      <c r="AQ362" s="37"/>
      <c r="AR362" s="37"/>
      <c r="AS362" s="37" t="n">
        <f aca="false">-(N(AS289)+N(AS290)+N(AS291))</f>
        <v>-3253</v>
      </c>
      <c r="AT362" s="37"/>
      <c r="AU362" s="37"/>
      <c r="AV362" s="37" t="n">
        <f aca="false">-(N(AV289)+N(AV290)+N(AV291))</f>
        <v>-2792</v>
      </c>
      <c r="AW362" s="37"/>
      <c r="AX362" s="39"/>
      <c r="AY362" s="39" t="n">
        <f aca="false">-(N(AY289)+N(AY290)+N(AY291))</f>
        <v>-2915.52824519247</v>
      </c>
      <c r="AZ362" s="39" t="n">
        <f aca="false">-(N(AZ289)+N(AZ290)+N(AZ291))</f>
        <v>-2935.31118008454</v>
      </c>
      <c r="BA362" s="39" t="n">
        <f aca="false">-(N(BA289)+N(BA290)+N(BA291))</f>
        <v>-3041.67034024758</v>
      </c>
      <c r="BB362" s="39" t="n">
        <f aca="false">-(N(BB289)+N(BB290)+N(BB291))</f>
        <v>-3150.49037520647</v>
      </c>
      <c r="BC362" s="39" t="n">
        <f aca="false">-(N(BC289)+N(BC290)+N(BC291))</f>
        <v>-3260.83608702879</v>
      </c>
      <c r="BD362" s="23"/>
      <c r="BF362" s="7"/>
      <c r="BG362" s="7"/>
      <c r="BH362" s="7"/>
      <c r="BI362" s="7"/>
    </row>
    <row r="363" customFormat="false" ht="15" hidden="false" customHeight="true" outlineLevel="0" collapsed="false">
      <c r="B363" s="13" t="s">
        <v>466</v>
      </c>
      <c r="C363" s="37" t="n">
        <f aca="false">SUM(C359:C362)</f>
        <v>0</v>
      </c>
      <c r="D363" s="37" t="n">
        <f aca="false">SUM(D359:D362)</f>
        <v>0</v>
      </c>
      <c r="E363" s="37" t="n">
        <f aca="false">SUM(E359:E362)</f>
        <v>0</v>
      </c>
      <c r="F363" s="37" t="n">
        <f aca="false">SUM(F359:F362)</f>
        <v>1333.3</v>
      </c>
      <c r="G363" s="37" t="n">
        <f aca="false">SUM(G359:G362)</f>
        <v>1370.9</v>
      </c>
      <c r="H363" s="37" t="n">
        <f aca="false">SUM(H359:H362)</f>
        <v>1308.6</v>
      </c>
      <c r="I363" s="37" t="n">
        <f aca="false">SUM(I359:I362)</f>
        <v>1661.6</v>
      </c>
      <c r="J363" s="37"/>
      <c r="K363" s="37"/>
      <c r="L363" s="37" t="n">
        <f aca="false">SUM(L359:L362)</f>
        <v>1839.3</v>
      </c>
      <c r="M363" s="37"/>
      <c r="N363" s="37"/>
      <c r="O363" s="37" t="n">
        <f aca="false">SUM(O359:O362)</f>
        <v>2103</v>
      </c>
      <c r="P363" s="37"/>
      <c r="Q363" s="37"/>
      <c r="R363" s="37" t="n">
        <f aca="false">SUM(R359:R362)</f>
        <v>2312.8</v>
      </c>
      <c r="S363" s="37"/>
      <c r="T363" s="37"/>
      <c r="U363" s="37" t="n">
        <f aca="false">SUM(U359:U362)</f>
        <v>2274.4</v>
      </c>
      <c r="V363" s="37"/>
      <c r="W363" s="37"/>
      <c r="X363" s="37" t="n">
        <f aca="false">SUM(X359:X362)</f>
        <v>2402.3</v>
      </c>
      <c r="Y363" s="37"/>
      <c r="Z363" s="37"/>
      <c r="AA363" s="37" t="n">
        <f aca="false">SUM(AA359:AA362)</f>
        <v>2302.7</v>
      </c>
      <c r="AB363" s="37"/>
      <c r="AC363" s="37"/>
      <c r="AD363" s="37" t="n">
        <f aca="false">SUM(AD359:AD362)</f>
        <v>3576.3</v>
      </c>
      <c r="AE363" s="37"/>
      <c r="AF363" s="37"/>
      <c r="AG363" s="37" t="n">
        <f aca="false">SUM(AG359:AG362)</f>
        <v>4527.6</v>
      </c>
      <c r="AH363" s="37"/>
      <c r="AI363" s="37"/>
      <c r="AJ363" s="37" t="n">
        <f aca="false">SUM(AJ359:AJ362)</f>
        <v>4634</v>
      </c>
      <c r="AK363" s="37"/>
      <c r="AL363" s="37"/>
      <c r="AM363" s="37" t="n">
        <f aca="false">SUM(AM359:AM362)</f>
        <v>5331</v>
      </c>
      <c r="AN363" s="37"/>
      <c r="AO363" s="37"/>
      <c r="AP363" s="37" t="n">
        <f aca="false">SUM(AP359:AP362)</f>
        <v>6675</v>
      </c>
      <c r="AQ363" s="37"/>
      <c r="AR363" s="37"/>
      <c r="AS363" s="37" t="n">
        <f aca="false">SUM(AS359:AS362)</f>
        <v>7724</v>
      </c>
      <c r="AT363" s="37"/>
      <c r="AU363" s="37"/>
      <c r="AV363" s="37" t="n">
        <f aca="false">SUM(AV359:AV362)</f>
        <v>8881</v>
      </c>
      <c r="AW363" s="37"/>
      <c r="AX363" s="39"/>
      <c r="AY363" s="39" t="n">
        <f aca="false">SUM(AY359:AY362)</f>
        <v>9699.18538028699</v>
      </c>
      <c r="AZ363" s="39" t="n">
        <f aca="false">SUM(AZ359:AZ362)</f>
        <v>10829.3281423107</v>
      </c>
      <c r="BA363" s="39" t="n">
        <f aca="false">SUM(BA359:BA362)</f>
        <v>11896.0426952498</v>
      </c>
      <c r="BB363" s="39" t="n">
        <f aca="false">SUM(BB359:BB362)</f>
        <v>12978.7929554837</v>
      </c>
      <c r="BC363" s="39" t="n">
        <f aca="false">SUM(BC359:BC362)</f>
        <v>14077.5075967737</v>
      </c>
      <c r="BD363" s="23"/>
      <c r="BF363" s="7"/>
      <c r="BG363" s="7"/>
      <c r="BH363" s="7"/>
      <c r="BI363" s="7"/>
    </row>
    <row r="364" customFormat="false" ht="15" hidden="false" customHeight="true" outlineLevel="0" collapsed="false">
      <c r="B364" s="40" t="s">
        <v>467</v>
      </c>
      <c r="C364" s="64" t="str">
        <f aca="false">IFERROR(C358/C363,"n/a")</f>
        <v>n/a</v>
      </c>
      <c r="D364" s="64" t="str">
        <f aca="false">IFERROR(D358/D363,"n/a")</f>
        <v>n/a</v>
      </c>
      <c r="E364" s="64" t="str">
        <f aca="false">IFERROR(E358/E363,"n/a")</f>
        <v>n/a</v>
      </c>
      <c r="F364" s="64" t="n">
        <f aca="false">IFERROR(F358/F363,"n/a")</f>
        <v>0.232895315941317</v>
      </c>
      <c r="G364" s="64" t="n">
        <f aca="false">IFERROR(G358/G363,"n/a")</f>
        <v>0.323210191559536</v>
      </c>
      <c r="H364" s="64" t="n">
        <f aca="false">IFERROR(H358/H363,"n/a")</f>
        <v>0.458049423762669</v>
      </c>
      <c r="I364" s="64" t="n">
        <f aca="false">IFERROR(I358/I363,"n/a")</f>
        <v>0.459615775726958</v>
      </c>
      <c r="J364" s="64"/>
      <c r="K364" s="64"/>
      <c r="L364" s="64" t="n">
        <f aca="false">IFERROR(L358/L363,"n/a")</f>
        <v>0.441895897605825</v>
      </c>
      <c r="M364" s="64"/>
      <c r="N364" s="64"/>
      <c r="O364" s="64" t="n">
        <f aca="false">IFERROR(O358/O363,"n/a")</f>
        <v>0.412453292946594</v>
      </c>
      <c r="P364" s="64"/>
      <c r="Q364" s="64"/>
      <c r="R364" s="64" t="n">
        <f aca="false">IFERROR(R358/R363,"n/a")</f>
        <v>0.427518331472803</v>
      </c>
      <c r="S364" s="64"/>
      <c r="T364" s="64"/>
      <c r="U364" s="64" t="n">
        <f aca="false">IFERROR(U358/U363,"n/a")</f>
        <v>0.494589625512301</v>
      </c>
      <c r="V364" s="64"/>
      <c r="W364" s="64"/>
      <c r="X364" s="64" t="n">
        <f aca="false">IFERROR(X358/X363,"n/a")</f>
        <v>0.525178654260616</v>
      </c>
      <c r="Y364" s="64"/>
      <c r="Z364" s="64"/>
      <c r="AA364" s="64" t="n">
        <f aca="false">IFERROR(AA358/AA363,"n/a")</f>
        <v>0.599677790245483</v>
      </c>
      <c r="AB364" s="64"/>
      <c r="AC364" s="64"/>
      <c r="AD364" s="64" t="n">
        <f aca="false">IFERROR(AD358/AD363,"n/a")</f>
        <v>0.437632911365931</v>
      </c>
      <c r="AE364" s="64"/>
      <c r="AF364" s="64"/>
      <c r="AG364" s="64" t="n">
        <f aca="false">IFERROR(AG358/AG363,"n/a")</f>
        <v>0.302575976753239</v>
      </c>
      <c r="AH364" s="64"/>
      <c r="AI364" s="64"/>
      <c r="AJ364" s="64" t="n">
        <f aca="false">IFERROR(AJ358/AJ363,"n/a")</f>
        <v>0.53682200858285</v>
      </c>
      <c r="AK364" s="64"/>
      <c r="AL364" s="64"/>
      <c r="AM364" s="64" t="n">
        <f aca="false">IFERROR(AM358/AM363,"n/a")</f>
        <v>0.633003880945486</v>
      </c>
      <c r="AN364" s="64"/>
      <c r="AO364" s="64"/>
      <c r="AP364" s="64" t="n">
        <f aca="false">IFERROR(AP358/AP363,"n/a")</f>
        <v>0.611057996309203</v>
      </c>
      <c r="AQ364" s="64"/>
      <c r="AR364" s="64"/>
      <c r="AS364" s="64" t="n">
        <f aca="false">IFERROR(AS358/AS363,"n/a")</f>
        <v>0.567606205087814</v>
      </c>
      <c r="AT364" s="64"/>
      <c r="AU364" s="64"/>
      <c r="AV364" s="64" t="n">
        <f aca="false">IFERROR(AV358/AV363,"n/a")</f>
        <v>0.528771609183315</v>
      </c>
      <c r="AW364" s="64"/>
      <c r="AX364" s="64"/>
      <c r="AY364" s="64" t="n">
        <f aca="false">IFERROR(AY358/AY363,"n/a")</f>
        <v>0.494695201449797</v>
      </c>
      <c r="AZ364" s="64" t="n">
        <f aca="false">IFERROR(AZ358/AZ363,"n/a")</f>
        <v>0.471326225962982</v>
      </c>
      <c r="BA364" s="64" t="n">
        <f aca="false">IFERROR(BA358/BA363,"n/a")</f>
        <v>0.464605527667061</v>
      </c>
      <c r="BB364" s="64" t="n">
        <f aca="false">IFERROR(BB358/BB363,"n/a")</f>
        <v>0.458681992546154</v>
      </c>
      <c r="BC364" s="64" t="n">
        <f aca="false">IFERROR(BC358/BC363,"n/a")</f>
        <v>0.451397306758398</v>
      </c>
      <c r="BD364" s="23"/>
      <c r="BF364" s="32" t="n">
        <f aca="false">IFERROR(AVERAGE(AY364,AZ364,BA364,BB364,BC364),"n/m")</f>
        <v>0.468141250876879</v>
      </c>
      <c r="BG364" s="32" t="n">
        <f aca="false">IFERROR(AVERAGE(AJ364,AM364,AP364,AS364,AV364),"n/m")</f>
        <v>0.575452340021734</v>
      </c>
      <c r="BH364" s="32" t="n">
        <f aca="false">IFERROR(AVERAGE(U364,X364,AA364,AD364,AG364,AJ364,AM364,AP364,AS364,AV364),"n/m")</f>
        <v>0.523691665824624</v>
      </c>
      <c r="BI364" s="32" t="n">
        <f aca="false">IFERROR(AVERAGE(C364,D364,E364,F364,G364,H364,I364,L364,O364,R364,U364,X364,AA364,AD364,AG364,AJ364,AM364,AP364,AS364,AV364),"n/m")</f>
        <v>0.470150287485997</v>
      </c>
    </row>
    <row r="365" customFormat="false" ht="15" hidden="false" customHeight="true" outlineLevel="0" collapsed="false">
      <c r="B365" s="13"/>
      <c r="AX365" s="7"/>
      <c r="AY365" s="7"/>
      <c r="AZ365" s="7"/>
      <c r="BA365" s="7"/>
      <c r="BB365" s="7"/>
      <c r="BC365" s="7"/>
      <c r="BD365" s="7"/>
    </row>
    <row r="366" customFormat="false" ht="15" hidden="false" customHeight="true" outlineLevel="0" collapsed="false">
      <c r="B366" s="17" t="s">
        <v>468</v>
      </c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</row>
    <row r="367" customFormat="false" ht="15" hidden="false" customHeight="true" outlineLevel="0" collapsed="false">
      <c r="B367" s="13" t="s">
        <v>216</v>
      </c>
      <c r="C367" s="37" t="n">
        <f aca="false">C139</f>
        <v>268.4</v>
      </c>
      <c r="D367" s="37" t="n">
        <f aca="false">D139</f>
        <v>288</v>
      </c>
      <c r="E367" s="37" t="n">
        <f aca="false">E139</f>
        <v>290.2</v>
      </c>
      <c r="F367" s="37" t="n">
        <f aca="false">F139</f>
        <v>288.8</v>
      </c>
      <c r="G367" s="37" t="n">
        <f aca="false">G139</f>
        <v>421.7</v>
      </c>
      <c r="H367" s="37" t="n">
        <f aca="false">H139</f>
        <v>594.1</v>
      </c>
      <c r="I367" s="37" t="n">
        <f aca="false">I139</f>
        <v>740</v>
      </c>
      <c r="J367" s="37"/>
      <c r="K367" s="37"/>
      <c r="L367" s="37" t="n">
        <f aca="false">L139</f>
        <v>790.5</v>
      </c>
      <c r="M367" s="37"/>
      <c r="N367" s="37"/>
      <c r="O367" s="37" t="n">
        <f aca="false">O139</f>
        <v>858.8</v>
      </c>
      <c r="P367" s="37"/>
      <c r="Q367" s="37"/>
      <c r="R367" s="37" t="n">
        <f aca="false">R139</f>
        <v>972.6</v>
      </c>
      <c r="S367" s="37"/>
      <c r="T367" s="37"/>
      <c r="U367" s="37" t="n">
        <f aca="false">U139</f>
        <v>1100.2</v>
      </c>
      <c r="V367" s="37"/>
      <c r="W367" s="37"/>
      <c r="X367" s="37" t="n">
        <f aca="false">X139</f>
        <v>1221.5</v>
      </c>
      <c r="Y367" s="37"/>
      <c r="Z367" s="37"/>
      <c r="AA367" s="37" t="n">
        <f aca="false">AA139</f>
        <v>1404.7</v>
      </c>
      <c r="AB367" s="37"/>
      <c r="AC367" s="37"/>
      <c r="AD367" s="37" t="n">
        <f aca="false">AD139</f>
        <v>1528.1</v>
      </c>
      <c r="AE367" s="37"/>
      <c r="AF367" s="37"/>
      <c r="AG367" s="37" t="n">
        <f aca="false">AG139</f>
        <v>1385.4</v>
      </c>
      <c r="AH367" s="37"/>
      <c r="AI367" s="37"/>
      <c r="AJ367" s="37" t="n">
        <f aca="false">AJ139</f>
        <v>2446</v>
      </c>
      <c r="AK367" s="37"/>
      <c r="AL367" s="37"/>
      <c r="AM367" s="37" t="n">
        <f aca="false">AM139</f>
        <v>3367</v>
      </c>
      <c r="AN367" s="37"/>
      <c r="AO367" s="37"/>
      <c r="AP367" s="37" t="n">
        <f aca="false">AP139</f>
        <v>4309</v>
      </c>
      <c r="AQ367" s="37"/>
      <c r="AR367" s="37"/>
      <c r="AS367" s="37" t="n">
        <f aca="false">AS139</f>
        <v>4602</v>
      </c>
      <c r="AT367" s="37"/>
      <c r="AU367" s="37"/>
      <c r="AV367" s="37" t="n">
        <f aca="false">AV139</f>
        <v>4524</v>
      </c>
      <c r="AW367" s="37"/>
      <c r="AX367" s="39"/>
      <c r="AY367" s="39" t="n">
        <f aca="false">AY139</f>
        <v>4617.023758217</v>
      </c>
      <c r="AZ367" s="39" t="n">
        <f aca="false">AZ139</f>
        <v>5292.04007963685</v>
      </c>
      <c r="BA367" s="39" t="n">
        <f aca="false">BA139</f>
        <v>5743.47116612742</v>
      </c>
      <c r="BB367" s="39" t="n">
        <f aca="false">BB139</f>
        <v>6203.79857393346</v>
      </c>
      <c r="BC367" s="39" t="n">
        <f aca="false">BC139</f>
        <v>6643.36711749831</v>
      </c>
      <c r="BD367" s="23"/>
      <c r="BF367" s="7"/>
      <c r="BG367" s="7"/>
      <c r="BH367" s="7"/>
      <c r="BI367" s="7"/>
    </row>
    <row r="368" customFormat="false" ht="15" hidden="false" customHeight="true" outlineLevel="0" collapsed="false">
      <c r="B368" s="13" t="s">
        <v>379</v>
      </c>
      <c r="C368" s="37" t="n">
        <f aca="false">C281</f>
        <v>1409</v>
      </c>
      <c r="D368" s="37" t="n">
        <f aca="false">D281</f>
        <v>1459.8</v>
      </c>
      <c r="E368" s="37" t="n">
        <f aca="false">E281</f>
        <v>1588.5</v>
      </c>
      <c r="F368" s="37" t="n">
        <f aca="false">F281</f>
        <v>1789.9</v>
      </c>
      <c r="G368" s="37" t="n">
        <f aca="false">G281</f>
        <v>2150.3</v>
      </c>
      <c r="H368" s="37" t="n">
        <f aca="false">H281</f>
        <v>2312.8</v>
      </c>
      <c r="I368" s="37" t="n">
        <f aca="false">I281</f>
        <v>2344.4</v>
      </c>
      <c r="J368" s="37"/>
      <c r="K368" s="37"/>
      <c r="L368" s="37" t="n">
        <f aca="false">L281</f>
        <v>2825.6</v>
      </c>
      <c r="M368" s="37"/>
      <c r="N368" s="37"/>
      <c r="O368" s="37" t="n">
        <f aca="false">O281</f>
        <v>3449</v>
      </c>
      <c r="P368" s="37"/>
      <c r="Q368" s="37"/>
      <c r="R368" s="37" t="n">
        <f aca="false">R281</f>
        <v>3742</v>
      </c>
      <c r="S368" s="37"/>
      <c r="T368" s="37"/>
      <c r="U368" s="37" t="n">
        <f aca="false">U281</f>
        <v>4382.6</v>
      </c>
      <c r="V368" s="37"/>
      <c r="W368" s="37"/>
      <c r="X368" s="37" t="n">
        <f aca="false">X281</f>
        <v>5039</v>
      </c>
      <c r="Y368" s="37"/>
      <c r="Z368" s="37"/>
      <c r="AA368" s="37" t="n">
        <f aca="false">AA281</f>
        <v>5503</v>
      </c>
      <c r="AB368" s="37"/>
      <c r="AC368" s="37"/>
      <c r="AD368" s="37" t="n">
        <f aca="false">AD281</f>
        <v>6568.1</v>
      </c>
      <c r="AE368" s="37"/>
      <c r="AF368" s="37"/>
      <c r="AG368" s="37" t="n">
        <f aca="false">AG281</f>
        <v>7380.1</v>
      </c>
      <c r="AH368" s="37"/>
      <c r="AI368" s="37"/>
      <c r="AJ368" s="37" t="n">
        <f aca="false">AJ281</f>
        <v>9400</v>
      </c>
      <c r="AK368" s="37"/>
      <c r="AL368" s="37"/>
      <c r="AM368" s="37" t="n">
        <f aca="false">AM281</f>
        <v>12440</v>
      </c>
      <c r="AN368" s="37"/>
      <c r="AO368" s="37"/>
      <c r="AP368" s="37" t="n">
        <f aca="false">AP281</f>
        <v>15201</v>
      </c>
      <c r="AQ368" s="37"/>
      <c r="AR368" s="37"/>
      <c r="AS368" s="37" t="n">
        <f aca="false">AS281</f>
        <v>17327</v>
      </c>
      <c r="AT368" s="37"/>
      <c r="AU368" s="37"/>
      <c r="AV368" s="37" t="n">
        <f aca="false">AV281</f>
        <v>18840</v>
      </c>
      <c r="AW368" s="37"/>
      <c r="AX368" s="39"/>
      <c r="AY368" s="39" t="n">
        <f aca="false">AY281</f>
        <v>21448.5209946</v>
      </c>
      <c r="AZ368" s="39" t="n">
        <f aca="false">AZ281</f>
        <v>24655.3610691575</v>
      </c>
      <c r="BA368" s="39" t="n">
        <f aca="false">BA281</f>
        <v>28192.4157016815</v>
      </c>
      <c r="BB368" s="39" t="n">
        <f aca="false">BB281</f>
        <v>32020.6943966252</v>
      </c>
      <c r="BC368" s="39" t="n">
        <f aca="false">BC281</f>
        <v>36115.9418538897</v>
      </c>
      <c r="BD368" s="23"/>
      <c r="BF368" s="7"/>
      <c r="BG368" s="7"/>
      <c r="BH368" s="7"/>
      <c r="BI368" s="7"/>
    </row>
    <row r="369" customFormat="false" ht="15" hidden="false" customHeight="true" outlineLevel="0" collapsed="false">
      <c r="B369" s="40" t="s">
        <v>469</v>
      </c>
      <c r="C369" s="64" t="n">
        <f aca="false">IFERROR(C367/C368,"n/a")</f>
        <v>0.190489709013485</v>
      </c>
      <c r="D369" s="64" t="n">
        <f aca="false">IFERROR(D367/D368,"n/a")</f>
        <v>0.197287299630086</v>
      </c>
      <c r="E369" s="64" t="n">
        <f aca="false">IFERROR(E367/E368,"n/a")</f>
        <v>0.182688070506767</v>
      </c>
      <c r="F369" s="64" t="n">
        <f aca="false">IFERROR(F367/F368,"n/a")</f>
        <v>0.161349796077993</v>
      </c>
      <c r="G369" s="64" t="n">
        <f aca="false">IFERROR(G367/G368,"n/a")</f>
        <v>0.196112170394829</v>
      </c>
      <c r="H369" s="64" t="n">
        <f aca="false">IFERROR(H367/H368,"n/a")</f>
        <v>0.25687478381183</v>
      </c>
      <c r="I369" s="64" t="n">
        <f aca="false">IFERROR(I367/I368,"n/a")</f>
        <v>0.315645794233066</v>
      </c>
      <c r="J369" s="64"/>
      <c r="K369" s="64"/>
      <c r="L369" s="64" t="n">
        <f aca="false">IFERROR(L367/L368,"n/a")</f>
        <v>0.279763590033975</v>
      </c>
      <c r="M369" s="64"/>
      <c r="N369" s="64"/>
      <c r="O369" s="64" t="n">
        <f aca="false">IFERROR(O367/O368,"n/a")</f>
        <v>0.248999710060887</v>
      </c>
      <c r="P369" s="64"/>
      <c r="Q369" s="64"/>
      <c r="R369" s="64" t="n">
        <f aca="false">IFERROR(R367/R368,"n/a")</f>
        <v>0.25991448423303</v>
      </c>
      <c r="S369" s="64"/>
      <c r="T369" s="64"/>
      <c r="U369" s="64" t="n">
        <f aca="false">IFERROR(U367/U368,"n/a")</f>
        <v>0.251038196504358</v>
      </c>
      <c r="V369" s="64"/>
      <c r="W369" s="64"/>
      <c r="X369" s="64" t="n">
        <f aca="false">IFERROR(X367/X368,"n/a")</f>
        <v>0.242409208176225</v>
      </c>
      <c r="Y369" s="64"/>
      <c r="Z369" s="64"/>
      <c r="AA369" s="64" t="n">
        <f aca="false">IFERROR(AA367/AA368,"n/a")</f>
        <v>0.255260766854443</v>
      </c>
      <c r="AB369" s="64"/>
      <c r="AC369" s="64"/>
      <c r="AD369" s="64" t="n">
        <f aca="false">IFERROR(AD367/AD368,"n/a")</f>
        <v>0.232654801236278</v>
      </c>
      <c r="AE369" s="64"/>
      <c r="AF369" s="64"/>
      <c r="AG369" s="64" t="n">
        <f aca="false">IFERROR(AG367/AG368,"n/a")</f>
        <v>0.187721033590331</v>
      </c>
      <c r="AH369" s="64"/>
      <c r="AI369" s="64"/>
      <c r="AJ369" s="64" t="n">
        <f aca="false">IFERROR(AJ367/AJ368,"n/a")</f>
        <v>0.260212765957447</v>
      </c>
      <c r="AK369" s="64"/>
      <c r="AL369" s="64"/>
      <c r="AM369" s="64" t="n">
        <f aca="false">IFERROR(AM367/AM368,"n/a")</f>
        <v>0.270659163987138</v>
      </c>
      <c r="AN369" s="64"/>
      <c r="AO369" s="64"/>
      <c r="AP369" s="64" t="n">
        <f aca="false">IFERROR(AP367/AP368,"n/a")</f>
        <v>0.283468192882047</v>
      </c>
      <c r="AQ369" s="64"/>
      <c r="AR369" s="64"/>
      <c r="AS369" s="64" t="n">
        <f aca="false">IFERROR(AS367/AS368,"n/a")</f>
        <v>0.265597045074162</v>
      </c>
      <c r="AT369" s="64"/>
      <c r="AU369" s="64"/>
      <c r="AV369" s="64" t="n">
        <f aca="false">IFERROR(AV367/AV368,"n/a")</f>
        <v>0.240127388535032</v>
      </c>
      <c r="AW369" s="64"/>
      <c r="AX369" s="64"/>
      <c r="AY369" s="64" t="n">
        <f aca="false">IFERROR(AY367/AY368,"n/a")</f>
        <v>0.215260705359563</v>
      </c>
      <c r="AZ369" s="64" t="n">
        <f aca="false">IFERROR(AZ367/AZ368,"n/a")</f>
        <v>0.214640542671139</v>
      </c>
      <c r="BA369" s="64" t="n">
        <f aca="false">IFERROR(BA367/BA368,"n/a")</f>
        <v>0.203723981190617</v>
      </c>
      <c r="BB369" s="64" t="n">
        <f aca="false">IFERROR(BB367/BB368,"n/a")</f>
        <v>0.193743411591577</v>
      </c>
      <c r="BC369" s="64" t="n">
        <f aca="false">IFERROR(BC367/BC368,"n/a")</f>
        <v>0.183945559121085</v>
      </c>
      <c r="BD369" s="23"/>
      <c r="BF369" s="32" t="n">
        <f aca="false">IFERROR(AVERAGE(AY369,AZ369,BA369,BB369,BC369),"n/m")</f>
        <v>0.202262839986796</v>
      </c>
      <c r="BG369" s="32" t="n">
        <f aca="false">IFERROR(AVERAGE(AJ369,AM369,AP369,AS369,AV369),"n/m")</f>
        <v>0.264012911287165</v>
      </c>
      <c r="BH369" s="32" t="n">
        <f aca="false">IFERROR(AVERAGE(U369,X369,AA369,AD369,AG369,AJ369,AM369,AP369,AS369,AV369),"n/m")</f>
        <v>0.248914856279746</v>
      </c>
      <c r="BI369" s="32" t="n">
        <f aca="false">IFERROR(AVERAGE(C369,D369,E369,F369,G369,H369,I369,L369,O369,R369,U369,X369,AA369,AD369,AG369,AJ369,AM369,AP369,AS369,AV369),"n/m")</f>
        <v>0.238913698539671</v>
      </c>
    </row>
    <row r="370" customFormat="false" ht="15" hidden="false" customHeight="true" outlineLevel="0" collapsed="false">
      <c r="B370" s="13"/>
      <c r="AX370" s="7"/>
      <c r="AY370" s="7"/>
      <c r="AZ370" s="7"/>
      <c r="BA370" s="7"/>
      <c r="BB370" s="7"/>
      <c r="BC370" s="7"/>
      <c r="BD370" s="7"/>
    </row>
    <row r="371" customFormat="false" ht="15" hidden="false" customHeight="true" outlineLevel="0" collapsed="false">
      <c r="B371" s="17" t="s">
        <v>470</v>
      </c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</row>
    <row r="372" customFormat="false" ht="15" hidden="false" customHeight="true" outlineLevel="0" collapsed="false">
      <c r="B372" s="13" t="s">
        <v>471</v>
      </c>
      <c r="C372" s="37" t="n">
        <f aca="false">-C313</f>
        <v>-536.3</v>
      </c>
      <c r="D372" s="37" t="n">
        <f aca="false">-D313</f>
        <v>-485.5</v>
      </c>
      <c r="E372" s="37" t="n">
        <f aca="false">-E313</f>
        <v>-432.4</v>
      </c>
      <c r="F372" s="37" t="n">
        <f aca="false">-F313</f>
        <v>-576.4</v>
      </c>
      <c r="G372" s="37" t="n">
        <f aca="false">-G313</f>
        <v>-950.1</v>
      </c>
      <c r="H372" s="37" t="n">
        <f aca="false">-H313</f>
        <v>-1044.2</v>
      </c>
      <c r="I372" s="37" t="n">
        <f aca="false">-I313</f>
        <v>-721</v>
      </c>
      <c r="J372" s="37"/>
      <c r="K372" s="37"/>
      <c r="L372" s="37" t="n">
        <f aca="false">-L313</f>
        <v>-1091</v>
      </c>
      <c r="M372" s="37"/>
      <c r="N372" s="37"/>
      <c r="O372" s="37" t="n">
        <f aca="false">-O313</f>
        <v>-1493.6</v>
      </c>
      <c r="P372" s="37"/>
      <c r="Q372" s="37"/>
      <c r="R372" s="37" t="n">
        <f aca="false">-R313</f>
        <v>-1614</v>
      </c>
      <c r="S372" s="37"/>
      <c r="T372" s="37"/>
      <c r="U372" s="37" t="n">
        <f aca="false">-U313</f>
        <v>-2345.3</v>
      </c>
      <c r="V372" s="37"/>
      <c r="W372" s="37"/>
      <c r="X372" s="37" t="n">
        <f aca="false">-X313</f>
        <v>-3049.9</v>
      </c>
      <c r="Y372" s="37"/>
      <c r="Z372" s="37"/>
      <c r="AA372" s="37" t="n">
        <f aca="false">-AA313</f>
        <v>-3615.1</v>
      </c>
      <c r="AB372" s="37"/>
      <c r="AC372" s="37"/>
      <c r="AD372" s="37" t="n">
        <f aca="false">-AD313</f>
        <v>-4561.6</v>
      </c>
      <c r="AE372" s="37"/>
      <c r="AF372" s="37"/>
      <c r="AG372" s="37" t="n">
        <f aca="false">-AG313</f>
        <v>-4903</v>
      </c>
      <c r="AH372" s="37"/>
      <c r="AI372" s="37"/>
      <c r="AJ372" s="37" t="n">
        <f aca="false">-AJ313</f>
        <v>-7070</v>
      </c>
      <c r="AK372" s="37"/>
      <c r="AL372" s="37"/>
      <c r="AM372" s="37" t="n">
        <f aca="false">-AM313</f>
        <v>-9743</v>
      </c>
      <c r="AN372" s="37"/>
      <c r="AO372" s="37"/>
      <c r="AP372" s="37" t="n">
        <f aca="false">-AP313</f>
        <v>-11163</v>
      </c>
      <c r="AQ372" s="37"/>
      <c r="AR372" s="37"/>
      <c r="AS372" s="37" t="n">
        <f aca="false">-AS313</f>
        <v>-12039</v>
      </c>
      <c r="AT372" s="37"/>
      <c r="AU372" s="37"/>
      <c r="AV372" s="37" t="n">
        <f aca="false">-AV313</f>
        <v>-12773</v>
      </c>
      <c r="AW372" s="37"/>
      <c r="AX372" s="39"/>
      <c r="AY372" s="39" t="n">
        <f aca="false">-AY313</f>
        <v>-14747.190264313</v>
      </c>
      <c r="AZ372" s="39" t="n">
        <f aca="false">-AZ313</f>
        <v>-17014.5676940969</v>
      </c>
      <c r="BA372" s="39" t="n">
        <f aca="false">-BA313</f>
        <v>-19684.598302018</v>
      </c>
      <c r="BB372" s="39" t="n">
        <f aca="false">-BB313</f>
        <v>-22638.5247057711</v>
      </c>
      <c r="BC372" s="39" t="n">
        <f aca="false">-BC313</f>
        <v>-25850.7433995276</v>
      </c>
      <c r="BD372" s="23"/>
      <c r="BF372" s="7"/>
      <c r="BG372" s="7"/>
      <c r="BH372" s="7"/>
      <c r="BI372" s="7"/>
    </row>
    <row r="373" customFormat="false" ht="15" hidden="false" customHeight="true" outlineLevel="0" collapsed="false">
      <c r="B373" s="13" t="s">
        <v>472</v>
      </c>
      <c r="C373" s="37" t="n">
        <f aca="false">-C315</f>
        <v>-536.3</v>
      </c>
      <c r="D373" s="37" t="n">
        <f aca="false">-D315</f>
        <v>-485.5</v>
      </c>
      <c r="E373" s="37" t="n">
        <f aca="false">-E315</f>
        <v>-432.4</v>
      </c>
      <c r="F373" s="37" t="n">
        <f aca="false">-F315</f>
        <v>-576.4</v>
      </c>
      <c r="G373" s="37" t="n">
        <f aca="false">-G315</f>
        <v>-950.1</v>
      </c>
      <c r="H373" s="37" t="n">
        <f aca="false">-H315</f>
        <v>-1044.2</v>
      </c>
      <c r="I373" s="37" t="n">
        <f aca="false">-I315</f>
        <v>-721</v>
      </c>
      <c r="J373" s="37"/>
      <c r="K373" s="37"/>
      <c r="L373" s="37" t="n">
        <f aca="false">-L315</f>
        <v>-1091</v>
      </c>
      <c r="M373" s="37"/>
      <c r="N373" s="37"/>
      <c r="O373" s="37" t="n">
        <f aca="false">-O315</f>
        <v>-1493.6</v>
      </c>
      <c r="P373" s="37"/>
      <c r="Q373" s="37"/>
      <c r="R373" s="37" t="n">
        <f aca="false">-R315</f>
        <v>-1614</v>
      </c>
      <c r="S373" s="37"/>
      <c r="T373" s="37"/>
      <c r="U373" s="37" t="n">
        <f aca="false">-U315</f>
        <v>-2345.3</v>
      </c>
      <c r="V373" s="37"/>
      <c r="W373" s="37"/>
      <c r="X373" s="37" t="n">
        <f aca="false">-X315</f>
        <v>-3049.9</v>
      </c>
      <c r="Y373" s="37"/>
      <c r="Z373" s="37"/>
      <c r="AA373" s="37" t="n">
        <f aca="false">-AA315</f>
        <v>-3615.1</v>
      </c>
      <c r="AB373" s="37"/>
      <c r="AC373" s="37"/>
      <c r="AD373" s="37" t="n">
        <f aca="false">-AD315</f>
        <v>-3470</v>
      </c>
      <c r="AE373" s="37"/>
      <c r="AF373" s="37"/>
      <c r="AG373" s="37" t="n">
        <f aca="false">-AG315</f>
        <v>-3259.9</v>
      </c>
      <c r="AH373" s="37"/>
      <c r="AI373" s="37"/>
      <c r="AJ373" s="37" t="n">
        <f aca="false">-AJ315</f>
        <v>-5293</v>
      </c>
      <c r="AK373" s="37"/>
      <c r="AL373" s="37"/>
      <c r="AM373" s="37" t="n">
        <f aca="false">-AM315</f>
        <v>-7846</v>
      </c>
      <c r="AN373" s="37"/>
      <c r="AO373" s="37"/>
      <c r="AP373" s="37" t="n">
        <f aca="false">-AP315</f>
        <v>-9154</v>
      </c>
      <c r="AQ373" s="37"/>
      <c r="AR373" s="37"/>
      <c r="AS373" s="37" t="n">
        <f aca="false">-AS315</f>
        <v>-9926</v>
      </c>
      <c r="AT373" s="37"/>
      <c r="AU373" s="37"/>
      <c r="AV373" s="37" t="n">
        <f aca="false">-AV315</f>
        <v>-10461</v>
      </c>
      <c r="AW373" s="37"/>
      <c r="AX373" s="39"/>
      <c r="AY373" s="39" t="n">
        <f aca="false">-AY315</f>
        <v>-12251.335614313</v>
      </c>
      <c r="AZ373" s="39" t="n">
        <f aca="false">-AZ315</f>
        <v>-14328.0329268469</v>
      </c>
      <c r="BA373" s="39" t="n">
        <f aca="false">-BA315</f>
        <v>-16798.3730064317</v>
      </c>
      <c r="BB373" s="39" t="n">
        <f aca="false">-BB315</f>
        <v>-19543.9014411415</v>
      </c>
      <c r="BC373" s="39" t="n">
        <f aca="false">-BC315</f>
        <v>-22540.434257116</v>
      </c>
      <c r="BD373" s="23"/>
      <c r="BF373" s="7"/>
      <c r="BG373" s="7"/>
      <c r="BH373" s="7"/>
      <c r="BI373" s="7"/>
    </row>
    <row r="374" customFormat="false" ht="15" hidden="false" customHeight="true" outlineLevel="0" collapsed="false">
      <c r="B374" s="13" t="s">
        <v>473</v>
      </c>
      <c r="C374" s="37" t="str">
        <f aca="false">C171</f>
        <v/>
      </c>
      <c r="D374" s="37" t="str">
        <f aca="false">D171</f>
        <v/>
      </c>
      <c r="E374" s="37" t="str">
        <f aca="false">E171</f>
        <v/>
      </c>
      <c r="F374" s="37" t="n">
        <f aca="false">F171</f>
        <v>547.4</v>
      </c>
      <c r="G374" s="37" t="n">
        <f aca="false">G171</f>
        <v>769.1</v>
      </c>
      <c r="H374" s="37" t="n">
        <f aca="false">H171</f>
        <v>998.4</v>
      </c>
      <c r="I374" s="37" t="n">
        <f aca="false">I171</f>
        <v>1238.8</v>
      </c>
      <c r="J374" s="37"/>
      <c r="K374" s="37"/>
      <c r="L374" s="37" t="n">
        <f aca="false">L171</f>
        <v>1356.7</v>
      </c>
      <c r="M374" s="37"/>
      <c r="N374" s="37"/>
      <c r="O374" s="37" t="n">
        <f aca="false">O171</f>
        <v>1467.9</v>
      </c>
      <c r="P374" s="37"/>
      <c r="Q374" s="37"/>
      <c r="R374" s="37" t="n">
        <f aca="false">R171</f>
        <v>1747.2</v>
      </c>
      <c r="S374" s="37"/>
      <c r="T374" s="37"/>
      <c r="U374" s="37" t="n">
        <f aca="false">U171</f>
        <v>1928.6</v>
      </c>
      <c r="V374" s="37"/>
      <c r="W374" s="37"/>
      <c r="X374" s="37" t="n">
        <f aca="false">X171</f>
        <v>2165</v>
      </c>
      <c r="Y374" s="37"/>
      <c r="Z374" s="37"/>
      <c r="AA374" s="37" t="n">
        <f aca="false">AA171</f>
        <v>2305</v>
      </c>
      <c r="AB374" s="37"/>
      <c r="AC374" s="37"/>
      <c r="AD374" s="37" t="n">
        <f aca="false">AD171</f>
        <v>2815</v>
      </c>
      <c r="AE374" s="37"/>
      <c r="AF374" s="37"/>
      <c r="AG374" s="37" t="n">
        <f aca="false">AG171</f>
        <v>2549.9</v>
      </c>
      <c r="AH374" s="37"/>
      <c r="AI374" s="37"/>
      <c r="AJ374" s="37" t="n">
        <f aca="false">AJ171</f>
        <v>4159</v>
      </c>
      <c r="AK374" s="37"/>
      <c r="AL374" s="37"/>
      <c r="AM374" s="37" t="n">
        <f aca="false">AM171</f>
        <v>5427</v>
      </c>
      <c r="AN374" s="37"/>
      <c r="AO374" s="37"/>
      <c r="AP374" s="37" t="n">
        <f aca="false">AP171</f>
        <v>6421</v>
      </c>
      <c r="AQ374" s="37"/>
      <c r="AR374" s="37"/>
      <c r="AS374" s="37" t="n">
        <f aca="false">AS171</f>
        <v>6992</v>
      </c>
      <c r="AT374" s="37"/>
      <c r="AU374" s="37"/>
      <c r="AV374" s="37" t="n">
        <f aca="false">AV171</f>
        <v>7495</v>
      </c>
      <c r="AW374" s="37"/>
      <c r="AX374" s="39"/>
      <c r="AY374" s="39" t="n">
        <f aca="false">AY171</f>
        <v>7661.53261</v>
      </c>
      <c r="AZ374" s="39" t="n">
        <f aca="false">AZ171</f>
        <v>8217.08234555</v>
      </c>
      <c r="BA374" s="39" t="n">
        <f aca="false">BA171</f>
        <v>8894.45540926375</v>
      </c>
      <c r="BB374" s="39" t="n">
        <f aca="false">BB171</f>
        <v>9579.80879127266</v>
      </c>
      <c r="BC374" s="39" t="n">
        <f aca="false">BC171</f>
        <v>10232.5236574603</v>
      </c>
      <c r="BD374" s="23"/>
      <c r="BF374" s="7"/>
      <c r="BG374" s="7"/>
      <c r="BH374" s="7"/>
      <c r="BI374" s="7"/>
    </row>
    <row r="375" customFormat="false" ht="15" hidden="false" customHeight="true" outlineLevel="0" collapsed="false">
      <c r="B375" s="40" t="s">
        <v>474</v>
      </c>
      <c r="C375" s="65" t="str">
        <f aca="false">IFERROR(C372/C374,"n/a")</f>
        <v>n/a</v>
      </c>
      <c r="D375" s="65" t="str">
        <f aca="false">IFERROR(D372/D374,"n/a")</f>
        <v>n/a</v>
      </c>
      <c r="E375" s="65" t="str">
        <f aca="false">IFERROR(E372/E374,"n/a")</f>
        <v>n/a</v>
      </c>
      <c r="F375" s="65" t="n">
        <f aca="false">IFERROR(F372/F374,"n/a")</f>
        <v>-1.05297771282426</v>
      </c>
      <c r="G375" s="65" t="n">
        <f aca="false">IFERROR(G372/G374,"n/a")</f>
        <v>-1.23534000780133</v>
      </c>
      <c r="H375" s="65" t="n">
        <f aca="false">IFERROR(H372/H374,"n/a")</f>
        <v>-1.0458733974359</v>
      </c>
      <c r="I375" s="65" t="n">
        <f aca="false">IFERROR(I372/I374,"n/a")</f>
        <v>-0.582014853083629</v>
      </c>
      <c r="J375" s="65"/>
      <c r="K375" s="65"/>
      <c r="L375" s="65" t="n">
        <f aca="false">IFERROR(L372/L374,"n/a")</f>
        <v>-0.804157146016068</v>
      </c>
      <c r="M375" s="65"/>
      <c r="N375" s="65"/>
      <c r="O375" s="65" t="n">
        <f aca="false">IFERROR(O372/O374,"n/a")</f>
        <v>-1.01750800463247</v>
      </c>
      <c r="P375" s="65"/>
      <c r="Q375" s="65"/>
      <c r="R375" s="65" t="n">
        <f aca="false">IFERROR(R372/R374,"n/a")</f>
        <v>-0.923763736263736</v>
      </c>
      <c r="S375" s="65"/>
      <c r="T375" s="65"/>
      <c r="U375" s="65" t="n">
        <f aca="false">IFERROR(U372/U374,"n/a")</f>
        <v>-1.21606346572643</v>
      </c>
      <c r="V375" s="65"/>
      <c r="W375" s="65"/>
      <c r="X375" s="65" t="n">
        <f aca="false">IFERROR(X372/X374,"n/a")</f>
        <v>-1.40872979214781</v>
      </c>
      <c r="Y375" s="65"/>
      <c r="Z375" s="65"/>
      <c r="AA375" s="65" t="n">
        <f aca="false">IFERROR(AA372/AA374,"n/a")</f>
        <v>-1.56837310195228</v>
      </c>
      <c r="AB375" s="65"/>
      <c r="AC375" s="65"/>
      <c r="AD375" s="65" t="n">
        <f aca="false">IFERROR(AD372/AD374,"n/a")</f>
        <v>-1.62046181172291</v>
      </c>
      <c r="AE375" s="65"/>
      <c r="AF375" s="65"/>
      <c r="AG375" s="65" t="n">
        <f aca="false">IFERROR(AG372/AG374,"n/a")</f>
        <v>-1.92282050276481</v>
      </c>
      <c r="AH375" s="65"/>
      <c r="AI375" s="65"/>
      <c r="AJ375" s="65" t="n">
        <f aca="false">IFERROR(AJ372/AJ374,"n/a")</f>
        <v>-1.69992786727579</v>
      </c>
      <c r="AK375" s="65"/>
      <c r="AL375" s="65"/>
      <c r="AM375" s="65" t="n">
        <f aca="false">IFERROR(AM372/AM374,"n/a")</f>
        <v>-1.79528284503409</v>
      </c>
      <c r="AN375" s="65"/>
      <c r="AO375" s="65"/>
      <c r="AP375" s="65" t="n">
        <f aca="false">IFERROR(AP372/AP374,"n/a")</f>
        <v>-1.7385142501168</v>
      </c>
      <c r="AQ375" s="65"/>
      <c r="AR375" s="65"/>
      <c r="AS375" s="65" t="n">
        <f aca="false">IFERROR(AS372/AS374,"n/a")</f>
        <v>-1.72182494279176</v>
      </c>
      <c r="AT375" s="65"/>
      <c r="AU375" s="65"/>
      <c r="AV375" s="65" t="n">
        <f aca="false">IFERROR(AV372/AV374,"n/a")</f>
        <v>-1.70420280186791</v>
      </c>
      <c r="AW375" s="65"/>
      <c r="AX375" s="65"/>
      <c r="AY375" s="65" t="n">
        <f aca="false">IFERROR(AY372/AY374,"n/a")</f>
        <v>-1.92483554074607</v>
      </c>
      <c r="AZ375" s="65" t="n">
        <f aca="false">IFERROR(AZ372/AZ374,"n/a")</f>
        <v>-2.07063370897229</v>
      </c>
      <c r="BA375" s="65" t="n">
        <f aca="false">IFERROR(BA372/BA374,"n/a")</f>
        <v>-2.21313137187872</v>
      </c>
      <c r="BB375" s="65" t="n">
        <f aca="false">IFERROR(BB372/BB374,"n/a")</f>
        <v>-2.36314995414054</v>
      </c>
      <c r="BC375" s="65" t="n">
        <f aca="false">IFERROR(BC372/BC374,"n/a")</f>
        <v>-2.52633116373794</v>
      </c>
      <c r="BD375" s="23"/>
      <c r="BF375" s="7"/>
      <c r="BG375" s="7"/>
      <c r="BH375" s="7"/>
      <c r="BI375" s="7"/>
    </row>
    <row r="376" customFormat="false" ht="15" hidden="false" customHeight="true" outlineLevel="0" collapsed="false">
      <c r="B376" s="13" t="s">
        <v>475</v>
      </c>
      <c r="C376" s="58" t="str">
        <f aca="false">IFERROR(C373/C374,"n/a")</f>
        <v>n/a</v>
      </c>
      <c r="D376" s="58" t="str">
        <f aca="false">IFERROR(D373/D374,"n/a")</f>
        <v>n/a</v>
      </c>
      <c r="E376" s="58" t="str">
        <f aca="false">IFERROR(E373/E374,"n/a")</f>
        <v>n/a</v>
      </c>
      <c r="F376" s="58" t="n">
        <f aca="false">IFERROR(F373/F374,"n/a")</f>
        <v>-1.05297771282426</v>
      </c>
      <c r="G376" s="58" t="n">
        <f aca="false">IFERROR(G373/G374,"n/a")</f>
        <v>-1.23534000780133</v>
      </c>
      <c r="H376" s="58" t="n">
        <f aca="false">IFERROR(H373/H374,"n/a")</f>
        <v>-1.0458733974359</v>
      </c>
      <c r="I376" s="58" t="n">
        <f aca="false">IFERROR(I373/I374,"n/a")</f>
        <v>-0.582014853083629</v>
      </c>
      <c r="J376" s="58"/>
      <c r="K376" s="58"/>
      <c r="L376" s="58" t="n">
        <f aca="false">IFERROR(L373/L374,"n/a")</f>
        <v>-0.804157146016068</v>
      </c>
      <c r="M376" s="58"/>
      <c r="N376" s="58"/>
      <c r="O376" s="58" t="n">
        <f aca="false">IFERROR(O373/O374,"n/a")</f>
        <v>-1.01750800463247</v>
      </c>
      <c r="P376" s="58"/>
      <c r="Q376" s="58"/>
      <c r="R376" s="58" t="n">
        <f aca="false">IFERROR(R373/R374,"n/a")</f>
        <v>-0.923763736263736</v>
      </c>
      <c r="S376" s="58"/>
      <c r="T376" s="58"/>
      <c r="U376" s="58" t="n">
        <f aca="false">IFERROR(U373/U374,"n/a")</f>
        <v>-1.21606346572643</v>
      </c>
      <c r="V376" s="58"/>
      <c r="W376" s="58"/>
      <c r="X376" s="58" t="n">
        <f aca="false">IFERROR(X373/X374,"n/a")</f>
        <v>-1.40872979214781</v>
      </c>
      <c r="Y376" s="58"/>
      <c r="Z376" s="58"/>
      <c r="AA376" s="58" t="n">
        <f aca="false">IFERROR(AA373/AA374,"n/a")</f>
        <v>-1.56837310195228</v>
      </c>
      <c r="AB376" s="58"/>
      <c r="AC376" s="58"/>
      <c r="AD376" s="58" t="n">
        <f aca="false">IFERROR(AD373/AD374,"n/a")</f>
        <v>-1.23268206039076</v>
      </c>
      <c r="AE376" s="58"/>
      <c r="AF376" s="58"/>
      <c r="AG376" s="58" t="n">
        <f aca="false">IFERROR(AG373/AG374,"n/a")</f>
        <v>-1.27844229185458</v>
      </c>
      <c r="AH376" s="58"/>
      <c r="AI376" s="58"/>
      <c r="AJ376" s="58" t="n">
        <f aca="false">IFERROR(AJ373/AJ374,"n/a")</f>
        <v>-1.27266169752344</v>
      </c>
      <c r="AK376" s="58"/>
      <c r="AL376" s="58"/>
      <c r="AM376" s="58" t="n">
        <f aca="false">IFERROR(AM373/AM374,"n/a")</f>
        <v>-1.44573429150544</v>
      </c>
      <c r="AN376" s="58"/>
      <c r="AO376" s="58"/>
      <c r="AP376" s="58" t="n">
        <f aca="false">IFERROR(AP373/AP374,"n/a")</f>
        <v>-1.42563463634948</v>
      </c>
      <c r="AQ376" s="58"/>
      <c r="AR376" s="58"/>
      <c r="AS376" s="58" t="n">
        <f aca="false">IFERROR(AS373/AS374,"n/a")</f>
        <v>-1.41962242562929</v>
      </c>
      <c r="AT376" s="58"/>
      <c r="AU376" s="58"/>
      <c r="AV376" s="58" t="n">
        <f aca="false">IFERROR(AV373/AV374,"n/a")</f>
        <v>-1.39573048699133</v>
      </c>
      <c r="AW376" s="58"/>
      <c r="AX376" s="59"/>
      <c r="AY376" s="59" t="n">
        <f aca="false">IFERROR(AY373/AY374,"n/a")</f>
        <v>-1.59907113079729</v>
      </c>
      <c r="AZ376" s="59" t="n">
        <f aca="false">IFERROR(AZ373/AZ374,"n/a")</f>
        <v>-1.74368861407435</v>
      </c>
      <c r="BA376" s="59" t="n">
        <f aca="false">IFERROR(BA373/BA374,"n/a")</f>
        <v>-1.88863423711539</v>
      </c>
      <c r="BB376" s="59" t="n">
        <f aca="false">IFERROR(BB373/BB374,"n/a")</f>
        <v>-2.04011393828092</v>
      </c>
      <c r="BC376" s="59" t="n">
        <f aca="false">IFERROR(BC373/BC374,"n/a")</f>
        <v>-2.20282258919404</v>
      </c>
      <c r="BD376" s="23"/>
      <c r="BF376" s="7"/>
      <c r="BG376" s="7"/>
      <c r="BH376" s="7"/>
      <c r="BI376" s="7"/>
    </row>
    <row r="377" customFormat="false" ht="15" hidden="false" customHeight="true" outlineLevel="0" collapsed="false">
      <c r="B377" s="13"/>
      <c r="AX377" s="7"/>
      <c r="AY377" s="7"/>
      <c r="AZ377" s="7"/>
      <c r="BA377" s="7"/>
      <c r="BB377" s="7"/>
      <c r="BC377" s="7"/>
      <c r="BD377" s="7"/>
    </row>
    <row r="378" customFormat="false" ht="15" hidden="false" customHeight="true" outlineLevel="0" collapsed="false">
      <c r="B378" s="12" t="s">
        <v>476</v>
      </c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 t="s">
        <v>477</v>
      </c>
    </row>
    <row r="379" customFormat="false" ht="15" hidden="false" customHeight="true" outlineLevel="0" collapsed="false">
      <c r="B379" s="48" t="s">
        <v>478</v>
      </c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5"/>
      <c r="AY379" s="66" t="n">
        <v>1299.5</v>
      </c>
      <c r="AZ379" s="55" t="n">
        <f aca="false">AY379</f>
        <v>1299.5</v>
      </c>
      <c r="BA379" s="55" t="n">
        <f aca="false">AZ379</f>
        <v>1299.5</v>
      </c>
      <c r="BB379" s="55" t="n">
        <f aca="false">BA379</f>
        <v>1299.5</v>
      </c>
      <c r="BC379" s="55" t="n">
        <f aca="false">BB379</f>
        <v>1299.5</v>
      </c>
      <c r="BD379" s="23" t="s">
        <v>479</v>
      </c>
      <c r="BF379" s="7"/>
      <c r="BG379" s="7"/>
      <c r="BH379" s="7"/>
      <c r="BI379" s="7"/>
    </row>
    <row r="380" customFormat="false" ht="15" hidden="false" customHeight="true" outlineLevel="0" collapsed="false">
      <c r="B380" s="13" t="s">
        <v>480</v>
      </c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  <c r="AR380" s="49"/>
      <c r="AS380" s="49"/>
      <c r="AT380" s="49"/>
      <c r="AU380" s="49"/>
      <c r="AV380" s="49"/>
      <c r="AW380" s="49"/>
      <c r="AX380" s="51"/>
      <c r="AY380" s="51" t="n">
        <f aca="false">AY148</f>
        <v>105.002977</v>
      </c>
      <c r="AZ380" s="51" t="n">
        <f aca="false">AZ148</f>
        <v>104.933550679179</v>
      </c>
      <c r="BA380" s="51" t="n">
        <f aca="false">BA148</f>
        <v>104.839635888151</v>
      </c>
      <c r="BB380" s="51" t="n">
        <f aca="false">BB148</f>
        <v>104.757098700275</v>
      </c>
      <c r="BC380" s="51" t="n">
        <f aca="false">BC148</f>
        <v>104.685194786372</v>
      </c>
      <c r="BD380" s="23"/>
      <c r="BF380" s="7"/>
      <c r="BG380" s="7"/>
      <c r="BH380" s="7"/>
      <c r="BI380" s="7"/>
    </row>
    <row r="381" customFormat="false" ht="15" hidden="false" customHeight="true" outlineLevel="0" collapsed="false">
      <c r="B381" s="13" t="s">
        <v>481</v>
      </c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  <c r="AR381" s="37"/>
      <c r="AS381" s="37"/>
      <c r="AT381" s="37"/>
      <c r="AU381" s="37"/>
      <c r="AV381" s="37"/>
      <c r="AW381" s="37"/>
      <c r="AX381" s="39"/>
      <c r="AY381" s="39" t="n">
        <f aca="false">IFERROR(AY379*AY380,"n/a")</f>
        <v>136451.3686115</v>
      </c>
      <c r="AZ381" s="39" t="n">
        <f aca="false">IFERROR(AZ379*AZ380,"n/a")</f>
        <v>136361.149107593</v>
      </c>
      <c r="BA381" s="39" t="n">
        <f aca="false">IFERROR(BA379*BA380,"n/a")</f>
        <v>136239.106836653</v>
      </c>
      <c r="BB381" s="39" t="n">
        <f aca="false">IFERROR(BB379*BB380,"n/a")</f>
        <v>136131.849761007</v>
      </c>
      <c r="BC381" s="39" t="n">
        <f aca="false">IFERROR(BC379*BC380,"n/a")</f>
        <v>136038.41062489</v>
      </c>
      <c r="BD381" s="23"/>
      <c r="BF381" s="7"/>
      <c r="BG381" s="7"/>
      <c r="BH381" s="7"/>
      <c r="BI381" s="7"/>
    </row>
    <row r="382" customFormat="false" ht="15" hidden="false" customHeight="true" outlineLevel="0" collapsed="false">
      <c r="B382" s="13" t="s">
        <v>482</v>
      </c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  <c r="AQ382" s="37"/>
      <c r="AR382" s="37"/>
      <c r="AS382" s="37"/>
      <c r="AT382" s="37"/>
      <c r="AU382" s="37"/>
      <c r="AV382" s="37"/>
      <c r="AW382" s="37"/>
      <c r="AX382" s="39"/>
      <c r="AY382" s="39" t="n">
        <f aca="false">AY372</f>
        <v>-14747.190264313</v>
      </c>
      <c r="AZ382" s="39" t="n">
        <f aca="false">AZ372</f>
        <v>-17014.5676940969</v>
      </c>
      <c r="BA382" s="39" t="n">
        <f aca="false">BA372</f>
        <v>-19684.598302018</v>
      </c>
      <c r="BB382" s="39" t="n">
        <f aca="false">BB372</f>
        <v>-22638.5247057711</v>
      </c>
      <c r="BC382" s="39" t="n">
        <f aca="false">BC372</f>
        <v>-25850.7433995276</v>
      </c>
      <c r="BD382" s="23"/>
      <c r="BF382" s="7"/>
      <c r="BG382" s="7"/>
      <c r="BH382" s="7"/>
      <c r="BI382" s="7"/>
    </row>
    <row r="383" customFormat="false" ht="15" hidden="false" customHeight="true" outlineLevel="0" collapsed="false">
      <c r="B383" s="13" t="s">
        <v>483</v>
      </c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  <c r="AT383" s="37"/>
      <c r="AU383" s="37"/>
      <c r="AV383" s="37"/>
      <c r="AW383" s="37"/>
      <c r="AX383" s="39"/>
      <c r="AY383" s="39" t="n">
        <f aca="false">AY282</f>
        <v>6</v>
      </c>
      <c r="AZ383" s="39" t="n">
        <f aca="false">AZ282</f>
        <v>6</v>
      </c>
      <c r="BA383" s="39" t="n">
        <f aca="false">BA282</f>
        <v>6</v>
      </c>
      <c r="BB383" s="39" t="n">
        <f aca="false">BB282</f>
        <v>6</v>
      </c>
      <c r="BC383" s="39" t="n">
        <f aca="false">BC282</f>
        <v>6</v>
      </c>
      <c r="BD383" s="23"/>
      <c r="BF383" s="7"/>
      <c r="BG383" s="7"/>
      <c r="BH383" s="7"/>
      <c r="BI383" s="7"/>
    </row>
    <row r="384" customFormat="false" ht="15" hidden="false" customHeight="true" outlineLevel="0" collapsed="false">
      <c r="B384" s="19" t="s">
        <v>484</v>
      </c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2"/>
      <c r="AY384" s="22" t="n">
        <f aca="false">IFERROR(AY381+AY382+AY383,"n/a")</f>
        <v>121710.178347187</v>
      </c>
      <c r="AZ384" s="22" t="n">
        <f aca="false">IFERROR(AZ381+AZ382+AZ383,"n/a")</f>
        <v>119352.581413497</v>
      </c>
      <c r="BA384" s="22" t="n">
        <f aca="false">IFERROR(BA381+BA382+BA383,"n/a")</f>
        <v>116560.508534635</v>
      </c>
      <c r="BB384" s="22" t="n">
        <f aca="false">IFERROR(BB381+BB382+BB383,"n/a")</f>
        <v>113499.325055236</v>
      </c>
      <c r="BC384" s="22" t="n">
        <f aca="false">IFERROR(BC381+BC382+BC383,"n/a")</f>
        <v>110193.667225362</v>
      </c>
      <c r="BD384" s="23"/>
      <c r="BF384" s="7"/>
      <c r="BG384" s="7"/>
      <c r="BH384" s="7"/>
      <c r="BI384" s="7"/>
    </row>
    <row r="385" customFormat="false" ht="15" hidden="false" customHeight="true" outlineLevel="0" collapsed="false">
      <c r="B385" s="17" t="s">
        <v>485</v>
      </c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</row>
    <row r="386" customFormat="false" ht="15" hidden="false" customHeight="true" outlineLevel="0" collapsed="false">
      <c r="B386" s="13" t="s">
        <v>486</v>
      </c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/>
      <c r="AX386" s="59"/>
      <c r="AY386" s="59" t="n">
        <f aca="false">IFERROR(AY384/AY119,"n/a")</f>
        <v>7.41819056068096</v>
      </c>
      <c r="AZ386" s="59" t="n">
        <f aca="false">IFERROR(AZ384/AZ119,"n/a")</f>
        <v>6.77126424374248</v>
      </c>
      <c r="BA386" s="59" t="n">
        <f aca="false">IFERROR(BA384/BA119,"n/a")</f>
        <v>6.15220433898051</v>
      </c>
      <c r="BB386" s="59" t="n">
        <f aca="false">IFERROR(BB384/BB119,"n/a")</f>
        <v>5.58903954689832</v>
      </c>
      <c r="BC386" s="59" t="n">
        <f aca="false">IFERROR(BC384/BC119,"n/a")</f>
        <v>5.08348798169396</v>
      </c>
      <c r="BD386" s="23"/>
      <c r="BF386" s="7"/>
      <c r="BG386" s="7"/>
      <c r="BH386" s="7"/>
      <c r="BI386" s="7"/>
    </row>
    <row r="387" customFormat="false" ht="15" hidden="false" customHeight="true" outlineLevel="0" collapsed="false">
      <c r="B387" s="13" t="s">
        <v>487</v>
      </c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9"/>
      <c r="AY387" s="59" t="n">
        <f aca="false">IFERROR(AY384/AY171,"n/a")</f>
        <v>15.8858787846609</v>
      </c>
      <c r="AZ387" s="59" t="n">
        <f aca="false">IFERROR(AZ384/AZ171,"n/a")</f>
        <v>14.5249343251541</v>
      </c>
      <c r="BA387" s="59" t="n">
        <f aca="false">IFERROR(BA384/BA171,"n/a")</f>
        <v>13.1048505131899</v>
      </c>
      <c r="BB387" s="59" t="n">
        <f aca="false">IFERROR(BB384/BB171,"n/a")</f>
        <v>11.847765182812</v>
      </c>
      <c r="BC387" s="59" t="n">
        <f aca="false">IFERROR(BC384/BC171,"n/a")</f>
        <v>10.7689628594235</v>
      </c>
      <c r="BD387" s="23"/>
      <c r="BF387" s="7"/>
      <c r="BG387" s="7"/>
      <c r="BH387" s="7"/>
      <c r="BI387" s="7"/>
    </row>
    <row r="388" customFormat="false" ht="15" hidden="false" customHeight="true" outlineLevel="0" collapsed="false">
      <c r="B388" s="13" t="s">
        <v>488</v>
      </c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  <c r="AL388" s="58"/>
      <c r="AM388" s="58"/>
      <c r="AN388" s="58"/>
      <c r="AO388" s="58"/>
      <c r="AP388" s="58"/>
      <c r="AQ388" s="58"/>
      <c r="AR388" s="58"/>
      <c r="AS388" s="58"/>
      <c r="AT388" s="58"/>
      <c r="AU388" s="58"/>
      <c r="AV388" s="58"/>
      <c r="AW388" s="58"/>
      <c r="AX388" s="59"/>
      <c r="AY388" s="59" t="n">
        <f aca="false">IFERROR(AY384/AY124,"n/a")</f>
        <v>18.2636021263326</v>
      </c>
      <c r="AZ388" s="59" t="n">
        <f aca="false">IFERROR(AZ384/AZ124,"n/a")</f>
        <v>16.7191709722037</v>
      </c>
      <c r="BA388" s="59" t="n">
        <f aca="false">IFERROR(BA384/BA124,"n/a")</f>
        <v>15.0789322033836</v>
      </c>
      <c r="BB388" s="59" t="n">
        <f aca="false">IFERROR(BB384/BB124,"n/a")</f>
        <v>13.6318037729227</v>
      </c>
      <c r="BC388" s="59" t="n">
        <f aca="false">IFERROR(BC384/BC124,"n/a")</f>
        <v>12.3987511748633</v>
      </c>
      <c r="BD388" s="23"/>
      <c r="BF388" s="7"/>
      <c r="BG388" s="7"/>
      <c r="BH388" s="7"/>
      <c r="BI388" s="7"/>
    </row>
    <row r="389" customFormat="false" ht="15" hidden="false" customHeight="true" outlineLevel="0" collapsed="false">
      <c r="B389" s="13" t="s">
        <v>489</v>
      </c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  <c r="AL389" s="58"/>
      <c r="AM389" s="58"/>
      <c r="AN389" s="58"/>
      <c r="AO389" s="58"/>
      <c r="AP389" s="58"/>
      <c r="AQ389" s="58"/>
      <c r="AR389" s="58"/>
      <c r="AS389" s="58"/>
      <c r="AT389" s="58"/>
      <c r="AU389" s="58"/>
      <c r="AV389" s="58"/>
      <c r="AW389" s="58"/>
      <c r="AX389" s="59"/>
      <c r="AY389" s="59" t="n">
        <f aca="false">IFERROR(AY384/AY349,"n/a")</f>
        <v>13.2247883007863</v>
      </c>
      <c r="AZ389" s="59" t="n">
        <f aca="false">IFERROR(AZ384/AZ349,"n/a")</f>
        <v>11.5502556165615</v>
      </c>
      <c r="BA389" s="59" t="n">
        <f aca="false">IFERROR(BA384/BA349,"n/a")</f>
        <v>10.2245677187862</v>
      </c>
      <c r="BB389" s="59" t="n">
        <f aca="false">IFERROR(BB384/BB349,"n/a")</f>
        <v>9.09246235678178</v>
      </c>
      <c r="BC389" s="59" t="n">
        <f aca="false">IFERROR(BC384/BC349,"n/a")</f>
        <v>8.1135077560564</v>
      </c>
      <c r="BD389" s="23"/>
      <c r="BF389" s="7"/>
      <c r="BG389" s="7"/>
      <c r="BH389" s="7"/>
      <c r="BI389" s="7"/>
    </row>
    <row r="390" customFormat="false" ht="15" hidden="false" customHeight="true" outlineLevel="0" collapsed="false">
      <c r="B390" s="13" t="s">
        <v>490</v>
      </c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9"/>
      <c r="AY390" s="59" t="n">
        <f aca="false">IFERROR(AY379/AY150,"n/a")</f>
        <v>29.5539671782401</v>
      </c>
      <c r="AZ390" s="59" t="n">
        <f aca="false">IFERROR(AZ379/AZ150,"n/a")</f>
        <v>25.767217756399</v>
      </c>
      <c r="BA390" s="59" t="n">
        <f aca="false">IFERROR(BA379/BA150,"n/a")</f>
        <v>23.7206913547567</v>
      </c>
      <c r="BB390" s="59" t="n">
        <f aca="false">IFERROR(BB379/BB150,"n/a")</f>
        <v>21.9433058856865</v>
      </c>
      <c r="BC390" s="59" t="n">
        <f aca="false">IFERROR(BC379/BC150,"n/a")</f>
        <v>20.4773284719689</v>
      </c>
      <c r="BD390" s="23"/>
      <c r="BF390" s="7"/>
      <c r="BG390" s="7"/>
      <c r="BH390" s="7"/>
      <c r="BI390" s="7"/>
    </row>
    <row r="391" customFormat="false" ht="15" hidden="false" customHeight="true" outlineLevel="0" collapsed="false">
      <c r="B391" s="13" t="s">
        <v>491</v>
      </c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9"/>
      <c r="AY391" s="59" t="n">
        <f aca="false">IFERROR(AY379/AY191,"n/a")</f>
        <v>27.5119700897269</v>
      </c>
      <c r="AZ391" s="59" t="n">
        <f aca="false">IFERROR(AZ379/AZ191,"n/a")</f>
        <v>25.767217756399</v>
      </c>
      <c r="BA391" s="59" t="n">
        <f aca="false">IFERROR(BA379/BA191,"n/a")</f>
        <v>23.7206913547567</v>
      </c>
      <c r="BB391" s="59" t="n">
        <f aca="false">IFERROR(BB379/BB191,"n/a")</f>
        <v>21.9433058856865</v>
      </c>
      <c r="BC391" s="59" t="n">
        <f aca="false">IFERROR(BC379/BC191,"n/a")</f>
        <v>20.4773284719689</v>
      </c>
      <c r="BD391" s="23"/>
      <c r="BF391" s="7"/>
      <c r="BG391" s="7"/>
      <c r="BH391" s="7"/>
      <c r="BI391" s="7"/>
    </row>
    <row r="392" customFormat="false" ht="15" hidden="false" customHeight="true" outlineLevel="0" collapsed="false">
      <c r="B392" s="13" t="s">
        <v>492</v>
      </c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28"/>
      <c r="AY392" s="28" t="n">
        <f aca="false">IFERROR(AY239/AY381,"n/a")</f>
        <v>0.0312432942790851</v>
      </c>
      <c r="AZ392" s="28" t="n">
        <f aca="false">IFERROR(AZ239/AZ381,"n/a")</f>
        <v>0.0339077999109867</v>
      </c>
      <c r="BA392" s="28" t="n">
        <f aca="false">IFERROR(BA239/BA381,"n/a")</f>
        <v>0.0378794844735547</v>
      </c>
      <c r="BB392" s="28" t="n">
        <f aca="false">IFERROR(BB239/BB381,"n/a")</f>
        <v>0.041335973320354</v>
      </c>
      <c r="BC392" s="28" t="n">
        <f aca="false">IFERROR(BC239/BC381,"n/a")</f>
        <v>0.0446305694344645</v>
      </c>
      <c r="BD392" s="23"/>
      <c r="BF392" s="7"/>
      <c r="BG392" s="7"/>
      <c r="BH392" s="7"/>
      <c r="BI392" s="7"/>
    </row>
    <row r="393" customFormat="false" ht="15" hidden="false" customHeight="true" outlineLevel="0" collapsed="false">
      <c r="B393" s="13" t="s">
        <v>493</v>
      </c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28"/>
      <c r="AY393" s="28" t="n">
        <f aca="false">IFERROR(AY152/AY379,"n/a")</f>
        <v>0.0145391260129845</v>
      </c>
      <c r="AZ393" s="28" t="n">
        <f aca="false">IFERROR(AZ152/AZ379,"n/a")</f>
        <v>0.0155236007155125</v>
      </c>
      <c r="BA393" s="28" t="n">
        <f aca="false">IFERROR(BA152/BA379,"n/a")</f>
        <v>0.0168629149133037</v>
      </c>
      <c r="BB393" s="28" t="n">
        <f aca="false">IFERROR(BB152/BB379,"n/a")</f>
        <v>0.0182287938783608</v>
      </c>
      <c r="BC393" s="28" t="n">
        <f aca="false">IFERROR(BC152/BC379,"n/a")</f>
        <v>0.0195337981000576</v>
      </c>
      <c r="BD393" s="23"/>
      <c r="BF393" s="7"/>
      <c r="BG393" s="7"/>
      <c r="BH393" s="7"/>
      <c r="BI393" s="7"/>
    </row>
  </sheetData>
  <dataValidations count="1">
    <dataValidation allowBlank="false" errorStyle="stop" operator="between" showDropDown="false" showErrorMessage="false" showInputMessage="false" sqref="BD2" type="list">
      <formula1>"Bull,Base,Bear"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J47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.14"/>
    <col collapsed="false" customWidth="true" hidden="false" outlineLevel="0" max="2" min="2" style="1" width="63.86"/>
    <col collapsed="false" customWidth="true" hidden="false" outlineLevel="0" max="8" min="3" style="1" width="11.86"/>
    <col collapsed="false" customWidth="true" hidden="false" outlineLevel="0" max="9" min="9" style="1" width="13.29"/>
    <col collapsed="false" customWidth="true" hidden="false" outlineLevel="0" max="12" min="10" style="1" width="12.57"/>
    <col collapsed="false" customWidth="true" hidden="false" outlineLevel="0" max="13" min="13" style="1" width="3.86"/>
    <col collapsed="false" customWidth="true" hidden="false" outlineLevel="0" max="14" min="14" style="1" width="63.86"/>
    <col collapsed="false" customWidth="true" hidden="false" outlineLevel="0" max="20" min="15" style="1" width="11.86"/>
    <col collapsed="false" customWidth="true" hidden="false" outlineLevel="0" max="21" min="21" style="1" width="13.29"/>
    <col collapsed="false" customWidth="true" hidden="false" outlineLevel="0" max="24" min="22" style="1" width="12.57"/>
    <col collapsed="false" customWidth="true" hidden="false" outlineLevel="0" max="25" min="25" style="1" width="3.86"/>
    <col collapsed="false" customWidth="true" hidden="false" outlineLevel="0" max="26" min="26" style="1" width="63.86"/>
    <col collapsed="false" customWidth="true" hidden="false" outlineLevel="0" max="32" min="27" style="1" width="11.86"/>
    <col collapsed="false" customWidth="true" hidden="false" outlineLevel="0" max="33" min="33" style="1" width="13.29"/>
    <col collapsed="false" customWidth="true" hidden="false" outlineLevel="0" max="36" min="34" style="1" width="12.57"/>
  </cols>
  <sheetData>
    <row r="2" customFormat="false" ht="19.5" hidden="false" customHeight="true" outlineLevel="0" collapsed="false">
      <c r="B2" s="67" t="s">
        <v>494</v>
      </c>
      <c r="J2" s="12" t="s">
        <v>495</v>
      </c>
      <c r="K2" s="68" t="n">
        <f aca="false">Model!$AY$379</f>
        <v>1299.5</v>
      </c>
    </row>
    <row r="3" customFormat="false" ht="15" hidden="false" customHeight="true" outlineLevel="0" collapsed="false">
      <c r="B3" s="5" t="s">
        <v>496</v>
      </c>
      <c r="J3" s="12" t="s">
        <v>497</v>
      </c>
      <c r="K3" s="69" t="n">
        <f aca="true">TODAY()</f>
        <v>46299</v>
      </c>
    </row>
    <row r="5" customFormat="false" ht="15" hidden="false" customHeight="true" outlineLevel="0" collapsed="false">
      <c r="B5" s="12" t="s">
        <v>498</v>
      </c>
      <c r="C5" s="70" t="str">
        <f aca="false">Model!$BD$2</f>
        <v>Base</v>
      </c>
      <c r="N5" s="71" t="s">
        <v>498</v>
      </c>
      <c r="O5" s="72" t="s">
        <v>52</v>
      </c>
      <c r="P5" s="5" t="s">
        <v>499</v>
      </c>
      <c r="Z5" s="71" t="s">
        <v>498</v>
      </c>
      <c r="AA5" s="72" t="s">
        <v>53</v>
      </c>
      <c r="AB5" s="5" t="s">
        <v>500</v>
      </c>
    </row>
    <row r="7" customFormat="false" ht="15" hidden="false" customHeight="true" outlineLevel="0" collapsed="false">
      <c r="B7" s="73" t="s">
        <v>501</v>
      </c>
      <c r="C7" s="74" t="s">
        <v>502</v>
      </c>
      <c r="D7" s="74" t="s">
        <v>36</v>
      </c>
      <c r="E7" s="74" t="s">
        <v>37</v>
      </c>
      <c r="F7" s="74" t="s">
        <v>38</v>
      </c>
      <c r="G7" s="74" t="s">
        <v>39</v>
      </c>
      <c r="H7" s="74" t="s">
        <v>40</v>
      </c>
      <c r="I7" s="74" t="s">
        <v>503</v>
      </c>
      <c r="J7" s="75" t="s">
        <v>504</v>
      </c>
      <c r="K7" s="75" t="s">
        <v>505</v>
      </c>
      <c r="L7" s="75" t="s">
        <v>506</v>
      </c>
      <c r="N7" s="73" t="s">
        <v>501</v>
      </c>
      <c r="O7" s="74" t="s">
        <v>502</v>
      </c>
      <c r="P7" s="74" t="s">
        <v>36</v>
      </c>
      <c r="Q7" s="74" t="s">
        <v>37</v>
      </c>
      <c r="R7" s="74" t="s">
        <v>38</v>
      </c>
      <c r="S7" s="74" t="s">
        <v>39</v>
      </c>
      <c r="T7" s="74" t="s">
        <v>40</v>
      </c>
      <c r="U7" s="74" t="s">
        <v>503</v>
      </c>
      <c r="V7" s="75" t="s">
        <v>504</v>
      </c>
      <c r="W7" s="75" t="s">
        <v>505</v>
      </c>
      <c r="X7" s="75" t="s">
        <v>506</v>
      </c>
      <c r="Z7" s="73" t="s">
        <v>501</v>
      </c>
      <c r="AA7" s="74" t="s">
        <v>502</v>
      </c>
      <c r="AB7" s="74" t="s">
        <v>36</v>
      </c>
      <c r="AC7" s="74" t="s">
        <v>37</v>
      </c>
      <c r="AD7" s="74" t="s">
        <v>38</v>
      </c>
      <c r="AE7" s="74" t="s">
        <v>39</v>
      </c>
      <c r="AF7" s="74" t="s">
        <v>40</v>
      </c>
      <c r="AG7" s="74" t="s">
        <v>503</v>
      </c>
      <c r="AH7" s="75" t="s">
        <v>504</v>
      </c>
      <c r="AI7" s="75" t="s">
        <v>505</v>
      </c>
      <c r="AJ7" s="75" t="s">
        <v>506</v>
      </c>
    </row>
    <row r="9" customFormat="false" ht="15" hidden="false" customHeight="true" outlineLevel="0" collapsed="false">
      <c r="B9" s="76" t="s">
        <v>188</v>
      </c>
      <c r="C9" s="77" t="n">
        <f aca="false">Model!AV119</f>
        <v>16002</v>
      </c>
      <c r="D9" s="78" t="n">
        <f aca="false">Model!AY119</f>
        <v>16406.99</v>
      </c>
      <c r="E9" s="78" t="n">
        <f aca="false">Model!AZ119</f>
        <v>17626.3364</v>
      </c>
      <c r="F9" s="78" t="n">
        <f aca="false">Model!BA119</f>
        <v>18946.13737</v>
      </c>
      <c r="G9" s="78" t="n">
        <f aca="false">Model!BB119</f>
        <v>20307.48290522</v>
      </c>
      <c r="H9" s="78" t="n">
        <f aca="false">Model!BC119</f>
        <v>21676.7832681376</v>
      </c>
      <c r="I9" s="79" t="n">
        <f aca="false">IFERROR((H9/C9)^(1/5)-1,"n/m")</f>
        <v>0.0625860593576504</v>
      </c>
      <c r="N9" s="76" t="s">
        <v>188</v>
      </c>
      <c r="O9" s="80" t="n">
        <v>16002</v>
      </c>
      <c r="P9" s="80" t="n">
        <v>16646.03</v>
      </c>
      <c r="Q9" s="80" t="n">
        <v>18215.9034</v>
      </c>
      <c r="R9" s="80" t="n">
        <v>19943.908516</v>
      </c>
      <c r="S9" s="80" t="n">
        <v>21775.49503624</v>
      </c>
      <c r="T9" s="80" t="n">
        <v>23678.8741509532</v>
      </c>
      <c r="U9" s="79" t="n">
        <v>0.0815269768618601</v>
      </c>
      <c r="Z9" s="76" t="s">
        <v>188</v>
      </c>
      <c r="AA9" s="80" t="n">
        <v>16002</v>
      </c>
      <c r="AB9" s="80" t="n">
        <v>16008.59</v>
      </c>
      <c r="AC9" s="80" t="n">
        <v>16718.3347</v>
      </c>
      <c r="AD9" s="80" t="n">
        <v>17468.995277</v>
      </c>
      <c r="AE9" s="80" t="n">
        <v>18200.61032756</v>
      </c>
      <c r="AF9" s="80" t="n">
        <v>18882.3988225935</v>
      </c>
      <c r="AG9" s="79" t="n">
        <v>0.0336573093896058</v>
      </c>
    </row>
    <row r="10" customFormat="false" ht="15" hidden="false" customHeight="true" outlineLevel="0" collapsed="false">
      <c r="B10" s="81" t="s">
        <v>507</v>
      </c>
      <c r="C10" s="82"/>
      <c r="D10" s="83" t="n">
        <f aca="false">IFERROR(D9/C9-1,"")</f>
        <v>0.0253087114110737</v>
      </c>
      <c r="E10" s="83" t="n">
        <f aca="false">IFERROR(E9/D9-1,"")</f>
        <v>0.074318714157807</v>
      </c>
      <c r="F10" s="83" t="n">
        <f aca="false">IFERROR(F9/E9-1,"")</f>
        <v>0.0748766470836222</v>
      </c>
      <c r="G10" s="83" t="n">
        <f aca="false">IFERROR(G9/F9-1,"")</f>
        <v>0.0718534606096335</v>
      </c>
      <c r="H10" s="83" t="n">
        <f aca="false">IFERROR(H9/G9-1,"")</f>
        <v>0.0674283646726905</v>
      </c>
      <c r="N10" s="81" t="s">
        <v>507</v>
      </c>
      <c r="O10" s="84"/>
      <c r="P10" s="84" t="n">
        <v>0.0402468441444821</v>
      </c>
      <c r="Q10" s="84" t="n">
        <v>0.0943091776237337</v>
      </c>
      <c r="R10" s="84" t="n">
        <v>0.094862443989465</v>
      </c>
      <c r="S10" s="84" t="n">
        <v>0.091836889382571</v>
      </c>
      <c r="T10" s="84" t="n">
        <v>0.087409223604124</v>
      </c>
      <c r="Z10" s="81" t="s">
        <v>507</v>
      </c>
      <c r="AA10" s="84"/>
      <c r="AB10" s="84" t="n">
        <v>0.000411823522059818</v>
      </c>
      <c r="AC10" s="84" t="n">
        <v>0.0443352412673446</v>
      </c>
      <c r="AD10" s="84" t="n">
        <v>0.0449004395754802</v>
      </c>
      <c r="AE10" s="84" t="n">
        <v>0.04188077442114</v>
      </c>
      <c r="AF10" s="84" t="n">
        <v>0.0374596501305846</v>
      </c>
    </row>
    <row r="11" customFormat="false" ht="15" hidden="false" customHeight="true" outlineLevel="0" collapsed="false">
      <c r="B11" s="76" t="s">
        <v>508</v>
      </c>
      <c r="C11" s="85" t="n">
        <f aca="false">Model!AV197</f>
        <v>0.089</v>
      </c>
      <c r="D11" s="86" t="n">
        <f aca="false">Model!AY197</f>
        <v>0.0628250109368164</v>
      </c>
      <c r="E11" s="86" t="n">
        <f aca="false">Model!AZ197</f>
        <v>0.0743187141578071</v>
      </c>
      <c r="F11" s="86" t="n">
        <f aca="false">Model!BA197</f>
        <v>0.074876647083622</v>
      </c>
      <c r="G11" s="86" t="n">
        <f aca="false">Model!BB197</f>
        <v>0.0718534606096335</v>
      </c>
      <c r="H11" s="86" t="n">
        <f aca="false">Model!BC197</f>
        <v>0.0674283646726904</v>
      </c>
      <c r="N11" s="76" t="s">
        <v>508</v>
      </c>
      <c r="O11" s="87" t="n">
        <v>0.089</v>
      </c>
      <c r="P11" s="87" t="n">
        <v>0.0727843884757204</v>
      </c>
      <c r="Q11" s="87" t="n">
        <v>0.0943091776237337</v>
      </c>
      <c r="R11" s="87" t="n">
        <v>0.0948624439894647</v>
      </c>
      <c r="S11" s="87" t="n">
        <v>0.0918368893825706</v>
      </c>
      <c r="T11" s="87" t="n">
        <v>0.0874092236041242</v>
      </c>
      <c r="Z11" s="76" t="s">
        <v>508</v>
      </c>
      <c r="AA11" s="87" t="n">
        <v>0.089</v>
      </c>
      <c r="AB11" s="87" t="n">
        <v>0.0478859446284607</v>
      </c>
      <c r="AC11" s="87" t="n">
        <v>0.0443352412673446</v>
      </c>
      <c r="AD11" s="87" t="n">
        <v>0.04490043957548</v>
      </c>
      <c r="AE11" s="87" t="n">
        <v>0.0418807744211402</v>
      </c>
      <c r="AF11" s="87" t="n">
        <v>0.0374596501305845</v>
      </c>
    </row>
    <row r="12" customFormat="false" ht="15" hidden="false" customHeight="true" outlineLevel="0" collapsed="false">
      <c r="B12" s="76" t="s">
        <v>509</v>
      </c>
      <c r="C12" s="77" t="n">
        <f aca="false">Model!AV124</f>
        <v>6569</v>
      </c>
      <c r="D12" s="78" t="n">
        <f aca="false">Model!AY124</f>
        <v>6664.08398</v>
      </c>
      <c r="E12" s="78" t="n">
        <f aca="false">Model!AZ124</f>
        <v>7138.666242</v>
      </c>
      <c r="F12" s="78" t="n">
        <f aca="false">Model!BA124</f>
        <v>7730.02404696</v>
      </c>
      <c r="G12" s="78" t="n">
        <f aca="false">Model!BB124</f>
        <v>8326.0679911402</v>
      </c>
      <c r="H12" s="78" t="n">
        <f aca="false">Model!BC124</f>
        <v>8887.48113993642</v>
      </c>
      <c r="I12" s="79" t="n">
        <f aca="false">IFERROR((H12/C12)^(1/5)-1,"n/m")</f>
        <v>0.062321291915411</v>
      </c>
      <c r="N12" s="76" t="s">
        <v>509</v>
      </c>
      <c r="O12" s="80" t="n">
        <v>6569</v>
      </c>
      <c r="P12" s="80" t="n">
        <v>6887.42351</v>
      </c>
      <c r="Q12" s="80" t="n">
        <v>7650.679428</v>
      </c>
      <c r="R12" s="80" t="n">
        <v>8436.273302268</v>
      </c>
      <c r="S12" s="80" t="n">
        <v>9254.585390402</v>
      </c>
      <c r="T12" s="80" t="n">
        <v>10063.5215141551</v>
      </c>
      <c r="U12" s="79" t="n">
        <v>0.0890558281148102</v>
      </c>
      <c r="Z12" s="76" t="s">
        <v>509</v>
      </c>
      <c r="AA12" s="80" t="n">
        <v>6569</v>
      </c>
      <c r="AB12" s="80" t="n">
        <v>6307.78743</v>
      </c>
      <c r="AC12" s="80" t="n">
        <v>6352.967186</v>
      </c>
      <c r="AD12" s="80" t="n">
        <v>6690.625191091</v>
      </c>
      <c r="AE12" s="80" t="n">
        <v>7007.2349761106</v>
      </c>
      <c r="AF12" s="80" t="n">
        <v>7269.7235466985</v>
      </c>
      <c r="AG12" s="79" t="n">
        <v>0.020478188879288</v>
      </c>
    </row>
    <row r="13" customFormat="false" ht="15" hidden="false" customHeight="true" outlineLevel="0" collapsed="false">
      <c r="B13" s="81" t="s">
        <v>510</v>
      </c>
      <c r="C13" s="88" t="n">
        <f aca="false">IFERROR(C12/C9,"")</f>
        <v>0.410511186101737</v>
      </c>
      <c r="D13" s="89" t="n">
        <f aca="false">IFERROR(D12/D9,"")</f>
        <v>0.406173465090184</v>
      </c>
      <c r="E13" s="89" t="n">
        <f aca="false">IFERROR(E12/E9,"")</f>
        <v>0.405</v>
      </c>
      <c r="F13" s="89" t="n">
        <f aca="false">IFERROR(F12/F9,"")</f>
        <v>0.408</v>
      </c>
      <c r="G13" s="89" t="n">
        <f aca="false">IFERROR(G12/G9,"")</f>
        <v>0.41</v>
      </c>
      <c r="H13" s="89" t="n">
        <f aca="false">IFERROR(H12/H9,"")</f>
        <v>0.41</v>
      </c>
      <c r="J13" s="90" t="n">
        <f aca="false">IFERROR(AVERAGE(Model!C203,Model!D203,Model!E203,Model!F203,Model!G203,Model!H203,Model!I203,Model!L203,Model!O203,Model!R203,Model!U203,Model!X203,Model!AA203,Model!AD203,Model!AG203,Model!AJ203,Model!AM203,Model!AP203,Model!AS203,Model!AV203),"")</f>
        <v>0.329246585106316</v>
      </c>
      <c r="K13" s="90" t="n">
        <f aca="false">IFERROR(MIN(Model!C203,Model!D203,Model!E203,Model!F203,Model!G203,Model!H203,Model!I203,Model!L203,Model!O203,Model!R203,Model!U203,Model!X203,Model!AA203,Model!AD203,Model!AG203,Model!AJ203,Model!AM203,Model!AP203,Model!AS203,Model!AV203),"")</f>
        <v>0.241811628271431</v>
      </c>
      <c r="L13" s="90" t="n">
        <f aca="false">IFERROR(MAX(Model!C203,Model!D203,Model!E203,Model!F203,Model!G203,Model!H203,Model!I203,Model!L203,Model!O203,Model!R203,Model!U203,Model!X203,Model!AA203,Model!AD203,Model!AG203,Model!AJ203,Model!AM203,Model!AP203,Model!AS203,Model!AV203),"")</f>
        <v>0.420719445892604</v>
      </c>
      <c r="N13" s="81" t="s">
        <v>510</v>
      </c>
      <c r="O13" s="91" t="n">
        <v>0.410511186101737</v>
      </c>
      <c r="P13" s="91" t="n">
        <v>0.41375772541561</v>
      </c>
      <c r="Q13" s="91" t="n">
        <v>0.42</v>
      </c>
      <c r="R13" s="91" t="n">
        <v>0.423</v>
      </c>
      <c r="S13" s="91" t="n">
        <v>0.425</v>
      </c>
      <c r="T13" s="91" t="n">
        <v>0.425</v>
      </c>
      <c r="V13" s="90" t="n">
        <v>0.329246585106316</v>
      </c>
      <c r="W13" s="90" t="n">
        <v>0.241811628271431</v>
      </c>
      <c r="X13" s="90" t="n">
        <v>0.420719445892604</v>
      </c>
      <c r="Z13" s="81" t="s">
        <v>510</v>
      </c>
      <c r="AA13" s="91" t="n">
        <v>0.410511186101737</v>
      </c>
      <c r="AB13" s="91" t="n">
        <v>0.394025172110723</v>
      </c>
      <c r="AC13" s="91" t="n">
        <v>0.38</v>
      </c>
      <c r="AD13" s="91" t="n">
        <v>0.383</v>
      </c>
      <c r="AE13" s="91" t="n">
        <v>0.385</v>
      </c>
      <c r="AF13" s="91" t="n">
        <v>0.385</v>
      </c>
      <c r="AH13" s="90" t="n">
        <v>0.329246585106316</v>
      </c>
      <c r="AI13" s="90" t="n">
        <v>0.241811628271431</v>
      </c>
      <c r="AJ13" s="90" t="n">
        <v>0.420719445892604</v>
      </c>
    </row>
    <row r="15" customFormat="false" ht="15" hidden="false" customHeight="true" outlineLevel="0" collapsed="false">
      <c r="B15" s="76" t="s">
        <v>511</v>
      </c>
      <c r="C15" s="77" t="n">
        <f aca="false">Model!AV127</f>
        <v>6569</v>
      </c>
      <c r="D15" s="78" t="n">
        <f aca="false">Model!AY127</f>
        <v>6664.08398</v>
      </c>
      <c r="E15" s="78" t="n">
        <f aca="false">Model!AZ127</f>
        <v>7138.666242</v>
      </c>
      <c r="F15" s="78" t="n">
        <f aca="false">Model!BA127</f>
        <v>7730.02404696</v>
      </c>
      <c r="G15" s="78" t="n">
        <f aca="false">Model!BB127</f>
        <v>8326.0679911402</v>
      </c>
      <c r="H15" s="78" t="n">
        <f aca="false">Model!BC127</f>
        <v>8887.48113993642</v>
      </c>
      <c r="I15" s="79" t="n">
        <f aca="false">IFERROR((H15/C15)^(1/5)-1,"n/m")</f>
        <v>0.062321291915411</v>
      </c>
      <c r="N15" s="76" t="s">
        <v>511</v>
      </c>
      <c r="O15" s="80" t="n">
        <v>6569</v>
      </c>
      <c r="P15" s="80" t="n">
        <v>6887.42351</v>
      </c>
      <c r="Q15" s="80" t="n">
        <v>7650.679428</v>
      </c>
      <c r="R15" s="80" t="n">
        <v>8436.273302268</v>
      </c>
      <c r="S15" s="80" t="n">
        <v>9254.585390402</v>
      </c>
      <c r="T15" s="80" t="n">
        <v>10063.5215141551</v>
      </c>
      <c r="U15" s="79" t="n">
        <v>0.0890558281148102</v>
      </c>
      <c r="Z15" s="76" t="s">
        <v>511</v>
      </c>
      <c r="AA15" s="80" t="n">
        <v>6569</v>
      </c>
      <c r="AB15" s="80" t="n">
        <v>6307.78743</v>
      </c>
      <c r="AC15" s="80" t="n">
        <v>6352.967186</v>
      </c>
      <c r="AD15" s="80" t="n">
        <v>6690.625191091</v>
      </c>
      <c r="AE15" s="80" t="n">
        <v>7007.2349761106</v>
      </c>
      <c r="AF15" s="80" t="n">
        <v>7269.7235466985</v>
      </c>
      <c r="AG15" s="79" t="n">
        <v>0.020478188879288</v>
      </c>
    </row>
    <row r="16" customFormat="false" ht="15" hidden="false" customHeight="true" outlineLevel="0" collapsed="false">
      <c r="B16" s="81" t="s">
        <v>512</v>
      </c>
      <c r="C16" s="82"/>
      <c r="D16" s="83" t="n">
        <f aca="false">IFERROR(D15/C15-1,"")</f>
        <v>0.0144746506317552</v>
      </c>
      <c r="E16" s="83" t="n">
        <f aca="false">IFERROR(E15/D15-1,"")</f>
        <v>0.0712149281768206</v>
      </c>
      <c r="F16" s="83" t="n">
        <f aca="false">IFERROR(F15/E15-1,"")</f>
        <v>0.0828386963212786</v>
      </c>
      <c r="G16" s="83" t="n">
        <f aca="false">IFERROR(G15/F15-1,"")</f>
        <v>0.0771076442400727</v>
      </c>
      <c r="H16" s="83" t="n">
        <f aca="false">IFERROR(H15/G15-1,"")</f>
        <v>0.0674283646726905</v>
      </c>
      <c r="N16" s="81" t="s">
        <v>512</v>
      </c>
      <c r="O16" s="84"/>
      <c r="P16" s="84" t="n">
        <v>0.0484736657025424</v>
      </c>
      <c r="Q16" s="84" t="n">
        <v>0.110818786864466</v>
      </c>
      <c r="R16" s="84" t="n">
        <v>0.102682890017961</v>
      </c>
      <c r="S16" s="84" t="n">
        <v>0.0969992387413536</v>
      </c>
      <c r="T16" s="84" t="n">
        <v>0.087409223604124</v>
      </c>
      <c r="Z16" s="81" t="s">
        <v>512</v>
      </c>
      <c r="AA16" s="84"/>
      <c r="AB16" s="84" t="n">
        <v>-0.0397644344649109</v>
      </c>
      <c r="AC16" s="84" t="n">
        <v>0.00716253623023566</v>
      </c>
      <c r="AD16" s="84" t="n">
        <v>0.0531496535721285</v>
      </c>
      <c r="AE16" s="84" t="n">
        <v>0.0473214050969684</v>
      </c>
      <c r="AF16" s="84" t="n">
        <v>0.0374596501305846</v>
      </c>
    </row>
    <row r="17" customFormat="false" ht="15" hidden="false" customHeight="true" outlineLevel="0" collapsed="false">
      <c r="B17" s="81" t="s">
        <v>513</v>
      </c>
      <c r="C17" s="88" t="n">
        <f aca="false">IFERROR(C15/C9,"")</f>
        <v>0.410511186101737</v>
      </c>
      <c r="D17" s="89" t="n">
        <f aca="false">IFERROR(D15/D9,"")</f>
        <v>0.406173465090184</v>
      </c>
      <c r="E17" s="89" t="n">
        <f aca="false">IFERROR(E15/E9,"")</f>
        <v>0.405</v>
      </c>
      <c r="F17" s="89" t="n">
        <f aca="false">IFERROR(F15/F9,"")</f>
        <v>0.408</v>
      </c>
      <c r="G17" s="89" t="n">
        <f aca="false">IFERROR(G15/G9,"")</f>
        <v>0.41</v>
      </c>
      <c r="H17" s="89" t="n">
        <f aca="false">IFERROR(H15/H9,"")</f>
        <v>0.41</v>
      </c>
      <c r="J17" s="90" t="n">
        <f aca="false">IFERROR(AVERAGE(Model!C205,Model!D205,Model!E205,Model!F205,Model!G205,Model!H205,Model!I205,Model!L205,Model!O205,Model!R205,Model!U205,Model!X205,Model!AA205,Model!AD205,Model!AG205,Model!AJ205,Model!AM205,Model!AP205,Model!AS205,Model!AV205),"")</f>
        <v>0.331149583410041</v>
      </c>
      <c r="K17" s="90" t="n">
        <f aca="false">IFERROR(MIN(Model!C205,Model!D205,Model!E205,Model!F205,Model!G205,Model!H205,Model!I205,Model!L205,Model!O205,Model!R205,Model!U205,Model!X205,Model!AA205,Model!AD205,Model!AG205,Model!AJ205,Model!AM205,Model!AP205,Model!AS205,Model!AV205),"")</f>
        <v>0.241811628271431</v>
      </c>
      <c r="L17" s="90" t="n">
        <f aca="false">IFERROR(MAX(Model!C205,Model!D205,Model!E205,Model!F205,Model!G205,Model!H205,Model!I205,Model!L205,Model!O205,Model!R205,Model!U205,Model!X205,Model!AA205,Model!AD205,Model!AG205,Model!AJ205,Model!AM205,Model!AP205,Model!AS205,Model!AV205),"")</f>
        <v>0.420719445892604</v>
      </c>
      <c r="N17" s="81" t="s">
        <v>513</v>
      </c>
      <c r="O17" s="91" t="n">
        <v>0.410511186101737</v>
      </c>
      <c r="P17" s="91" t="n">
        <v>0.41375772541561</v>
      </c>
      <c r="Q17" s="91" t="n">
        <v>0.42</v>
      </c>
      <c r="R17" s="91" t="n">
        <v>0.423</v>
      </c>
      <c r="S17" s="91" t="n">
        <v>0.425</v>
      </c>
      <c r="T17" s="91" t="n">
        <v>0.425</v>
      </c>
      <c r="V17" s="90" t="n">
        <v>0.331149583410041</v>
      </c>
      <c r="W17" s="90" t="n">
        <v>0.241811628271431</v>
      </c>
      <c r="X17" s="90" t="n">
        <v>0.420719445892604</v>
      </c>
      <c r="Z17" s="81" t="s">
        <v>513</v>
      </c>
      <c r="AA17" s="91" t="n">
        <v>0.410511186101737</v>
      </c>
      <c r="AB17" s="91" t="n">
        <v>0.394025172110723</v>
      </c>
      <c r="AC17" s="91" t="n">
        <v>0.38</v>
      </c>
      <c r="AD17" s="91" t="n">
        <v>0.383</v>
      </c>
      <c r="AE17" s="91" t="n">
        <v>0.385</v>
      </c>
      <c r="AF17" s="91" t="n">
        <v>0.385</v>
      </c>
      <c r="AH17" s="90" t="n">
        <v>0.331149583410041</v>
      </c>
      <c r="AI17" s="90" t="n">
        <v>0.241811628271431</v>
      </c>
      <c r="AJ17" s="90" t="n">
        <v>0.420719445892604</v>
      </c>
    </row>
    <row r="19" customFormat="false" ht="15" hidden="false" customHeight="true" outlineLevel="0" collapsed="false">
      <c r="B19" s="76" t="s">
        <v>514</v>
      </c>
      <c r="C19" s="77" t="n">
        <f aca="false">Model!AV187</f>
        <v>4855</v>
      </c>
      <c r="D19" s="78" t="n">
        <f aca="false">Model!AY187</f>
        <v>4959.709107217</v>
      </c>
      <c r="E19" s="78" t="n">
        <f aca="false">Model!AZ187</f>
        <v>5292.04007963685</v>
      </c>
      <c r="F19" s="78" t="n">
        <f aca="false">Model!BA187</f>
        <v>5743.47116612742</v>
      </c>
      <c r="G19" s="78" t="n">
        <f aca="false">Model!BB187</f>
        <v>6203.79857393346</v>
      </c>
      <c r="H19" s="78" t="n">
        <f aca="false">Model!BC187</f>
        <v>6643.36711749831</v>
      </c>
      <c r="I19" s="79" t="n">
        <f aca="false">IFERROR((H19/C19)^(1/5)-1,"n/m")</f>
        <v>0.0647307665548822</v>
      </c>
      <c r="N19" s="76" t="s">
        <v>514</v>
      </c>
      <c r="O19" s="80" t="n">
        <v>4855</v>
      </c>
      <c r="P19" s="80" t="n">
        <v>5119.7653813915</v>
      </c>
      <c r="Q19" s="80" t="n">
        <v>5639.9582048318</v>
      </c>
      <c r="R19" s="80" t="n">
        <v>6210.81016699089</v>
      </c>
      <c r="S19" s="80" t="n">
        <v>6810.03595932645</v>
      </c>
      <c r="T19" s="80" t="n">
        <v>7406.97074564138</v>
      </c>
      <c r="U19" s="79" t="n">
        <v>0.0881537899970826</v>
      </c>
      <c r="Z19" s="76" t="s">
        <v>514</v>
      </c>
      <c r="AA19" s="80" t="n">
        <v>4855</v>
      </c>
      <c r="AB19" s="80" t="n">
        <v>4704.3691846595</v>
      </c>
      <c r="AC19" s="80" t="n">
        <v>4730.32075569794</v>
      </c>
      <c r="AD19" s="80" t="n">
        <v>4998.54588036286</v>
      </c>
      <c r="AE19" s="80" t="n">
        <v>5257.56884921623</v>
      </c>
      <c r="AF19" s="80" t="n">
        <v>5480.62505488805</v>
      </c>
      <c r="AG19" s="79" t="n">
        <v>0.0245382371720086</v>
      </c>
    </row>
    <row r="21" customFormat="false" ht="15" hidden="false" customHeight="true" outlineLevel="0" collapsed="false">
      <c r="B21" s="76" t="s">
        <v>515</v>
      </c>
      <c r="C21" s="92" t="n">
        <f aca="false">Model!AV148</f>
        <v>105.036704</v>
      </c>
      <c r="D21" s="93" t="n">
        <f aca="false">Model!AY148</f>
        <v>105.002977</v>
      </c>
      <c r="E21" s="93" t="n">
        <f aca="false">Model!AZ148</f>
        <v>104.933550679179</v>
      </c>
      <c r="F21" s="93" t="n">
        <f aca="false">Model!BA148</f>
        <v>104.839635888151</v>
      </c>
      <c r="G21" s="93" t="n">
        <f aca="false">Model!BB148</f>
        <v>104.757098700275</v>
      </c>
      <c r="H21" s="93" t="n">
        <f aca="false">Model!BC148</f>
        <v>104.685194786372</v>
      </c>
      <c r="I21" s="79" t="n">
        <f aca="false">IFERROR((H21/C21)^(1/5)-1,"n/m")</f>
        <v>-0.000670205142914493</v>
      </c>
      <c r="N21" s="76" t="s">
        <v>515</v>
      </c>
      <c r="O21" s="94" t="n">
        <v>105.036704</v>
      </c>
      <c r="P21" s="94" t="n">
        <v>105.002977</v>
      </c>
      <c r="Q21" s="94" t="n">
        <v>104.594815076341</v>
      </c>
      <c r="R21" s="94" t="n">
        <v>104.29220253608</v>
      </c>
      <c r="S21" s="94" t="n">
        <v>104.014620722752</v>
      </c>
      <c r="T21" s="94" t="n">
        <v>103.760432112165</v>
      </c>
      <c r="U21" s="79" t="n">
        <v>-0.00244204263955516</v>
      </c>
      <c r="Z21" s="76" t="s">
        <v>515</v>
      </c>
      <c r="AA21" s="94" t="n">
        <v>105.036704</v>
      </c>
      <c r="AB21" s="94" t="n">
        <v>105.002977</v>
      </c>
      <c r="AC21" s="94" t="n">
        <v>105.043945403246</v>
      </c>
      <c r="AD21" s="94" t="n">
        <v>105.089162445041</v>
      </c>
      <c r="AE21" s="94" t="n">
        <v>105.136655007466</v>
      </c>
      <c r="AF21" s="94" t="n">
        <v>105.186274224685</v>
      </c>
      <c r="AG21" s="79" t="n">
        <v>0.000284634033002718</v>
      </c>
    </row>
    <row r="23" customFormat="false" ht="15" hidden="false" customHeight="true" outlineLevel="0" collapsed="false">
      <c r="B23" s="76" t="s">
        <v>516</v>
      </c>
      <c r="C23" s="95" t="n">
        <f aca="false">Model!AV191</f>
        <v>46.2219378094728</v>
      </c>
      <c r="D23" s="96" t="n">
        <f aca="false">Model!AY191</f>
        <v>47.2339856346835</v>
      </c>
      <c r="E23" s="96" t="n">
        <f aca="false">Model!AZ191</f>
        <v>50.4322978245211</v>
      </c>
      <c r="F23" s="96" t="n">
        <f aca="false">Model!BA191</f>
        <v>54.7833948245954</v>
      </c>
      <c r="G23" s="96" t="n">
        <f aca="false">Model!BB191</f>
        <v>59.2207941123247</v>
      </c>
      <c r="H23" s="96" t="n">
        <f aca="false">Model!BC191</f>
        <v>63.460426577562</v>
      </c>
      <c r="I23" s="79" t="n">
        <f aca="false">IFERROR((H23/C23)^(1/5)-1,"n/m")</f>
        <v>0.0654448331615589</v>
      </c>
      <c r="N23" s="76" t="s">
        <v>516</v>
      </c>
      <c r="O23" s="97" t="n">
        <v>46.2219378094728</v>
      </c>
      <c r="P23" s="97" t="n">
        <v>48.758287885414</v>
      </c>
      <c r="Q23" s="97" t="n">
        <v>53.9219673624866</v>
      </c>
      <c r="R23" s="97" t="n">
        <v>59.5520088363485</v>
      </c>
      <c r="S23" s="97" t="n">
        <v>65.4719106987701</v>
      </c>
      <c r="T23" s="97" t="n">
        <v>71.385311287394</v>
      </c>
      <c r="U23" s="79" t="n">
        <v>0.0908176131203002</v>
      </c>
      <c r="Z23" s="76" t="s">
        <v>516</v>
      </c>
      <c r="AA23" s="97" t="n">
        <v>46.2219378094728</v>
      </c>
      <c r="AB23" s="97" t="n">
        <v>44.8022457940359</v>
      </c>
      <c r="AC23" s="97" t="n">
        <v>45.031826799146</v>
      </c>
      <c r="AD23" s="97" t="n">
        <v>47.5648084356651</v>
      </c>
      <c r="AE23" s="97" t="n">
        <v>50.0070013530761</v>
      </c>
      <c r="AF23" s="97" t="n">
        <v>52.1039945114994</v>
      </c>
      <c r="AG23" s="79" t="n">
        <v>0.0242467017025132</v>
      </c>
    </row>
    <row r="24" customFormat="false" ht="15" hidden="false" customHeight="true" outlineLevel="0" collapsed="false">
      <c r="B24" s="81" t="s">
        <v>517</v>
      </c>
      <c r="C24" s="82"/>
      <c r="D24" s="83" t="n">
        <f aca="false">IFERROR(D23/C23-1,"")</f>
        <v>0.0218954001751803</v>
      </c>
      <c r="E24" s="83" t="n">
        <f aca="false">IFERROR(E23/D23-1,"")</f>
        <v>0.0677120964251028</v>
      </c>
      <c r="F24" s="83" t="n">
        <f aca="false">IFERROR(F23/E23-1,"")</f>
        <v>0.0862760014468085</v>
      </c>
      <c r="G24" s="83" t="n">
        <f aca="false">IFERROR(G23/F23-1,"")</f>
        <v>0.0809989833951865</v>
      </c>
      <c r="H24" s="83" t="n">
        <f aca="false">IFERROR(H23/G23-1,"")</f>
        <v>0.0715902670470094</v>
      </c>
      <c r="N24" s="81" t="s">
        <v>517</v>
      </c>
      <c r="O24" s="84"/>
      <c r="P24" s="84" t="n">
        <v>0.0548732960179221</v>
      </c>
      <c r="Q24" s="84" t="n">
        <v>0.105903625845265</v>
      </c>
      <c r="R24" s="84" t="n">
        <v>0.104410906152856</v>
      </c>
      <c r="S24" s="84" t="n">
        <v>0.0994072572545741</v>
      </c>
      <c r="T24" s="84" t="n">
        <v>0.0903196580871288</v>
      </c>
      <c r="Z24" s="81" t="s">
        <v>517</v>
      </c>
      <c r="AA24" s="84"/>
      <c r="AB24" s="84" t="n">
        <v>-0.030714679710938</v>
      </c>
      <c r="AC24" s="84" t="n">
        <v>0.00512431912823064</v>
      </c>
      <c r="AD24" s="84" t="n">
        <v>0.0562486982332939</v>
      </c>
      <c r="AE24" s="84" t="n">
        <v>0.0513445338629768</v>
      </c>
      <c r="AF24" s="84" t="n">
        <v>0.0419339912748897</v>
      </c>
    </row>
    <row r="26" customFormat="false" ht="15" hidden="false" customHeight="true" outlineLevel="0" collapsed="false">
      <c r="B26" s="81" t="s">
        <v>518</v>
      </c>
      <c r="F26" s="98" t="n">
        <v>34</v>
      </c>
      <c r="G26" s="98" t="n">
        <f aca="false">F26</f>
        <v>34</v>
      </c>
      <c r="H26" s="98" t="n">
        <f aca="false">G26</f>
        <v>34</v>
      </c>
      <c r="N26" s="81" t="s">
        <v>518</v>
      </c>
      <c r="R26" s="98" t="n">
        <v>42</v>
      </c>
      <c r="S26" s="98" t="n">
        <f aca="false">R26</f>
        <v>42</v>
      </c>
      <c r="T26" s="98" t="n">
        <f aca="false">S26</f>
        <v>42</v>
      </c>
      <c r="Z26" s="81" t="s">
        <v>518</v>
      </c>
      <c r="AD26" s="98" t="n">
        <v>27</v>
      </c>
      <c r="AE26" s="98" t="n">
        <f aca="false">AD26</f>
        <v>27</v>
      </c>
      <c r="AF26" s="98" t="n">
        <f aca="false">AE26</f>
        <v>27</v>
      </c>
    </row>
    <row r="27" customFormat="false" ht="15" hidden="false" customHeight="true" outlineLevel="0" collapsed="false">
      <c r="B27" s="12" t="s">
        <v>519</v>
      </c>
      <c r="F27" s="99" t="n">
        <f aca="false">F26*F23</f>
        <v>1862.63542403624</v>
      </c>
      <c r="G27" s="99" t="n">
        <f aca="false">G26*G23</f>
        <v>2013.50699981904</v>
      </c>
      <c r="H27" s="99" t="n">
        <f aca="false">H26*H23</f>
        <v>2157.65450363711</v>
      </c>
      <c r="N27" s="12" t="s">
        <v>519</v>
      </c>
      <c r="R27" s="99" t="n">
        <f aca="false">R26*R23</f>
        <v>2501.18437112664</v>
      </c>
      <c r="S27" s="99" t="n">
        <f aca="false">S26*S23</f>
        <v>2749.82024934834</v>
      </c>
      <c r="T27" s="99" t="n">
        <f aca="false">T26*T23</f>
        <v>2998.18307407055</v>
      </c>
      <c r="Z27" s="12" t="s">
        <v>519</v>
      </c>
      <c r="AD27" s="99" t="n">
        <f aca="false">AD26*AD23</f>
        <v>1284.24982776296</v>
      </c>
      <c r="AE27" s="99" t="n">
        <f aca="false">AE26*AE23</f>
        <v>1350.18903653305</v>
      </c>
      <c r="AF27" s="99" t="n">
        <f aca="false">AF26*AF23</f>
        <v>1406.80785181048</v>
      </c>
    </row>
    <row r="28" customFormat="false" ht="15" hidden="false" customHeight="true" outlineLevel="0" collapsed="false">
      <c r="B28" s="81" t="s">
        <v>520</v>
      </c>
      <c r="F28" s="84" t="n">
        <f aca="false">IFERROR(F27/$K$2-1,"")</f>
        <v>0.433347767630813</v>
      </c>
      <c r="G28" s="84" t="n">
        <f aca="false">IFERROR(G27/$K$2-1,"")</f>
        <v>0.549447479660669</v>
      </c>
      <c r="H28" s="84" t="n">
        <f aca="false">IFERROR(H27/$K$2-1,"")</f>
        <v>0.660372838504892</v>
      </c>
      <c r="N28" s="81" t="s">
        <v>520</v>
      </c>
      <c r="R28" s="84" t="n">
        <f aca="false">IFERROR(R27/$K$2-1,"")</f>
        <v>0.924728257888909</v>
      </c>
      <c r="S28" s="84" t="n">
        <f aca="false">IFERROR(S27/$K$2-1,"")</f>
        <v>1.11606021496602</v>
      </c>
      <c r="T28" s="84" t="n">
        <f aca="false">IFERROR(T27/$K$2-1,"")</f>
        <v>1.30718205007353</v>
      </c>
      <c r="Z28" s="81" t="s">
        <v>520</v>
      </c>
      <c r="AD28" s="84" t="n">
        <f aca="false">IFERROR(AD27/$K$2-1,"")</f>
        <v>-0.0117354153420872</v>
      </c>
      <c r="AE28" s="84" t="n">
        <f aca="false">IFERROR(AE27/$K$2-1,"")</f>
        <v>0.0390065690904615</v>
      </c>
      <c r="AF28" s="84" t="n">
        <f aca="false">IFERROR(AF27/$K$2-1,"")</f>
        <v>0.0825762614932541</v>
      </c>
    </row>
    <row r="29" customFormat="false" ht="15" hidden="false" customHeight="true" outlineLevel="0" collapsed="false">
      <c r="B29" s="70" t="s">
        <v>521</v>
      </c>
      <c r="F29" s="100" t="n">
        <f aca="false">IFERROR((F27/$K$2)^(1/((DATE(2028-1,12,31)-$K$3)/365.25))-1,"")</f>
        <v>0.336795356576399</v>
      </c>
      <c r="G29" s="100" t="n">
        <f aca="false">IFERROR((G27/$K$2)^(1/((DATE(2029-1,12,31)-$K$3)/365.25))-1,"")</f>
        <v>0.215663301991312</v>
      </c>
      <c r="H29" s="100" t="n">
        <f aca="false">IFERROR((H27/$K$2)^(1/((DATE(2030-1,12,31)-$K$3)/365.25))-1,"")</f>
        <v>0.169313140106876</v>
      </c>
      <c r="N29" s="70" t="s">
        <v>521</v>
      </c>
      <c r="R29" s="100" t="n">
        <f aca="false">IFERROR((R27/$K$2)^(1/((DATE(2028-1,12,31)-$K$3)/365.25))-1,"")</f>
        <v>0.69544855732018</v>
      </c>
      <c r="S29" s="100" t="n">
        <f aca="false">IFERROR((S27/$K$2)^(1/((DATE(2029-1,12,31)-$K$3)/365.25))-1,"")</f>
        <v>0.396934227420232</v>
      </c>
      <c r="T29" s="100" t="n">
        <f aca="false">IFERROR((T27/$K$2)^(1/((DATE(2030-1,12,31)-$K$3)/365.25))-1,"")</f>
        <v>0.294215098082913</v>
      </c>
      <c r="Z29" s="70" t="s">
        <v>521</v>
      </c>
      <c r="AD29" s="100" t="n">
        <f aca="false">IFERROR((AD27/$K$2)^(1/((DATE(2028-1,12,31)-$K$3)/365.25))-1,"")</f>
        <v>-0.0094729698406113</v>
      </c>
      <c r="AE29" s="100" t="n">
        <f aca="false">IFERROR((AE27/$K$2)^(1/((DATE(2029-1,12,31)-$K$3)/365.25))-1,"")</f>
        <v>0.0172115244838984</v>
      </c>
      <c r="AF29" s="100" t="n">
        <f aca="false">IFERROR((AF27/$K$2)^(1/((DATE(2030-1,12,31)-$K$3)/365.25))-1,"")</f>
        <v>0.0247785812891721</v>
      </c>
    </row>
    <row r="31" customFormat="false" ht="15" hidden="false" customHeight="true" outlineLevel="0" collapsed="false">
      <c r="B31" s="76" t="s">
        <v>522</v>
      </c>
      <c r="C31" s="77" t="n">
        <f aca="false">Model!AV239</f>
        <v>3881</v>
      </c>
      <c r="D31" s="78" t="n">
        <f aca="false">Model!AY239</f>
        <v>4263.19026431301</v>
      </c>
      <c r="E31" s="78" t="n">
        <f aca="false">Model!AZ239</f>
        <v>4623.7065595725</v>
      </c>
      <c r="F31" s="78" t="n">
        <f aca="false">Model!BA239</f>
        <v>5160.66713210995</v>
      </c>
      <c r="G31" s="78" t="n">
        <f aca="false">Model!BB239</f>
        <v>5627.14250977143</v>
      </c>
      <c r="H31" s="78" t="n">
        <f aca="false">Model!BC239</f>
        <v>6071.47173114835</v>
      </c>
      <c r="I31" s="79" t="n">
        <f aca="false">IFERROR((H31/C31)^(1/5)-1,"n/m")</f>
        <v>0.0936291231711577</v>
      </c>
      <c r="N31" s="76" t="s">
        <v>522</v>
      </c>
      <c r="O31" s="80" t="n">
        <v>3881</v>
      </c>
      <c r="P31" s="80" t="n">
        <v>4425.60710825445</v>
      </c>
      <c r="Q31" s="80" t="n">
        <v>4945.70783456254</v>
      </c>
      <c r="R31" s="80" t="n">
        <v>5567.57732594589</v>
      </c>
      <c r="S31" s="80" t="n">
        <v>6159.91099836032</v>
      </c>
      <c r="T31" s="80" t="n">
        <v>6748.24879194466</v>
      </c>
      <c r="U31" s="79" t="n">
        <v>0.116990523450627</v>
      </c>
      <c r="Z31" s="76" t="s">
        <v>522</v>
      </c>
      <c r="AA31" s="80" t="n">
        <v>3881</v>
      </c>
      <c r="AB31" s="80" t="n">
        <v>4001.551940575</v>
      </c>
      <c r="AC31" s="80" t="n">
        <v>4090.87601499932</v>
      </c>
      <c r="AD31" s="80" t="n">
        <v>4501.49772776487</v>
      </c>
      <c r="AE31" s="80" t="n">
        <v>4781.84195825902</v>
      </c>
      <c r="AF31" s="80" t="n">
        <v>5024.33713620393</v>
      </c>
      <c r="AG31" s="79" t="n">
        <v>0.0529967386333634</v>
      </c>
    </row>
    <row r="32" customFormat="false" ht="15" hidden="false" customHeight="true" outlineLevel="0" collapsed="false">
      <c r="B32" s="81" t="s">
        <v>523</v>
      </c>
      <c r="C32" s="88" t="n">
        <f aca="false">IFERROR(C31/C9,"")</f>
        <v>0.242532183477065</v>
      </c>
      <c r="D32" s="89" t="n">
        <f aca="false">IFERROR(D31/D9,"")</f>
        <v>0.259839877047101</v>
      </c>
      <c r="E32" s="89" t="n">
        <f aca="false">IFERROR(E31/E9,"")</f>
        <v>0.262318070791642</v>
      </c>
      <c r="F32" s="89" t="n">
        <f aca="false">IFERROR(F31/F9,"")</f>
        <v>0.272386240600236</v>
      </c>
      <c r="G32" s="89" t="n">
        <f aca="false">IFERROR(G31/G9,"")</f>
        <v>0.277096996020368</v>
      </c>
      <c r="H32" s="89" t="n">
        <f aca="false">IFERROR(H31/H9,"")</f>
        <v>0.280090992101799</v>
      </c>
      <c r="J32" s="90" t="n">
        <f aca="false">IFERROR(AVERAGE(Model!C244,Model!D244,Model!E244,Model!F244,Model!G244,Model!H244,Model!I244,Model!L244,Model!O244,Model!R244,Model!U244,Model!X244,Model!AA244,Model!AD244,Model!AG244,Model!AJ244,Model!AM244,Model!AP244,Model!AS244,Model!AV244),"")</f>
        <v>0.21365322946515</v>
      </c>
      <c r="K32" s="90" t="n">
        <f aca="false">IFERROR(MIN(Model!C244,Model!D244,Model!E244,Model!F244,Model!G244,Model!H244,Model!I244,Model!L244,Model!O244,Model!R244,Model!U244,Model!X244,Model!AA244,Model!AD244,Model!AG244,Model!AJ244,Model!AM244,Model!AP244,Model!AS244,Model!AV244),"")</f>
        <v>0.135663166692786</v>
      </c>
      <c r="L32" s="90" t="n">
        <f aca="false">IFERROR(MAX(Model!C244,Model!D244,Model!E244,Model!F244,Model!G244,Model!H244,Model!I244,Model!L244,Model!O244,Model!R244,Model!U244,Model!X244,Model!AA244,Model!AD244,Model!AG244,Model!AJ244,Model!AM244,Model!AP244,Model!AS244,Model!AV244),"")</f>
        <v>0.29625918503674</v>
      </c>
      <c r="N32" s="81" t="s">
        <v>523</v>
      </c>
      <c r="O32" s="91" t="n">
        <v>0.242532183477065</v>
      </c>
      <c r="P32" s="91" t="n">
        <v>0.26586562130757</v>
      </c>
      <c r="Q32" s="91" t="n">
        <v>0.271504944111778</v>
      </c>
      <c r="R32" s="91" t="n">
        <v>0.279161796268736</v>
      </c>
      <c r="S32" s="91" t="n">
        <v>0.282882707745961</v>
      </c>
      <c r="T32" s="91" t="n">
        <v>0.284990272296076</v>
      </c>
      <c r="V32" s="90" t="n">
        <v>0.21365322946515</v>
      </c>
      <c r="W32" s="90" t="n">
        <v>0.135663166692786</v>
      </c>
      <c r="X32" s="90" t="n">
        <v>0.29625918503674</v>
      </c>
      <c r="Z32" s="81" t="s">
        <v>523</v>
      </c>
      <c r="AA32" s="91" t="n">
        <v>0.242532183477065</v>
      </c>
      <c r="AB32" s="91" t="n">
        <v>0.249962797509025</v>
      </c>
      <c r="AC32" s="91" t="n">
        <v>0.244693989467702</v>
      </c>
      <c r="AD32" s="91" t="n">
        <v>0.25768498167102</v>
      </c>
      <c r="AE32" s="91" t="n">
        <v>0.262729758628929</v>
      </c>
      <c r="AF32" s="91" t="n">
        <v>0.266085743840561</v>
      </c>
      <c r="AH32" s="90" t="n">
        <v>0.21365322946515</v>
      </c>
      <c r="AI32" s="90" t="n">
        <v>0.135663166692786</v>
      </c>
      <c r="AJ32" s="90" t="n">
        <v>0.29625918503674</v>
      </c>
    </row>
    <row r="33" customFormat="false" ht="15" hidden="false" customHeight="true" outlineLevel="0" collapsed="false">
      <c r="B33" s="81" t="s">
        <v>524</v>
      </c>
      <c r="C33" s="101" t="n">
        <f aca="false">IFERROR(C31/C21,"")</f>
        <v>36.9489888029998</v>
      </c>
      <c r="D33" s="102" t="n">
        <f aca="false">IFERROR(D31/D21,"")</f>
        <v>40.6006609156711</v>
      </c>
      <c r="E33" s="102" t="n">
        <f aca="false">IFERROR(E31/E21,"")</f>
        <v>44.0631859843272</v>
      </c>
      <c r="F33" s="102" t="n">
        <f aca="false">IFERROR(F31/F21,"")</f>
        <v>49.2243900733844</v>
      </c>
      <c r="G33" s="102" t="n">
        <f aca="false">IFERROR(G31/G21,"")</f>
        <v>53.7160973298</v>
      </c>
      <c r="H33" s="102" t="n">
        <f aca="false">IFERROR(H31/H21,"")</f>
        <v>57.9974249800867</v>
      </c>
      <c r="N33" s="81" t="s">
        <v>524</v>
      </c>
      <c r="O33" s="103" t="n">
        <v>36.9489888029998</v>
      </c>
      <c r="P33" s="103" t="n">
        <v>42.1474441458403</v>
      </c>
      <c r="Q33" s="103" t="n">
        <v>47.2844455143669</v>
      </c>
      <c r="R33" s="103" t="n">
        <v>53.3844064135071</v>
      </c>
      <c r="S33" s="103" t="n">
        <v>59.2215878456106</v>
      </c>
      <c r="T33" s="103" t="n">
        <v>65.0368223664473</v>
      </c>
      <c r="Z33" s="81" t="s">
        <v>524</v>
      </c>
      <c r="AA33" s="103" t="n">
        <v>36.9489888029998</v>
      </c>
      <c r="AB33" s="103" t="n">
        <v>38.1089380025387</v>
      </c>
      <c r="AC33" s="103" t="n">
        <v>38.9444246338532</v>
      </c>
      <c r="AD33" s="103" t="n">
        <v>42.8350328714348</v>
      </c>
      <c r="AE33" s="103" t="n">
        <v>45.4821580344122</v>
      </c>
      <c r="AF33" s="103" t="n">
        <v>47.7660909014765</v>
      </c>
    </row>
    <row r="34" customFormat="false" ht="15" hidden="false" customHeight="true" outlineLevel="0" collapsed="false">
      <c r="B34" s="81" t="s">
        <v>525</v>
      </c>
      <c r="F34" s="91" t="n">
        <f aca="false">IFERROR(F33/F$27,"")</f>
        <v>0.0264272811727791</v>
      </c>
      <c r="G34" s="91" t="n">
        <f aca="false">IFERROR(G33/G$27,"")</f>
        <v>0.0266778796073853</v>
      </c>
      <c r="H34" s="91" t="n">
        <f aca="false">IFERROR(H33/H$27,"")</f>
        <v>0.0268798479470748</v>
      </c>
      <c r="N34" s="81" t="s">
        <v>525</v>
      </c>
      <c r="R34" s="91" t="n">
        <f aca="false">IFERROR(R33/R$27,"")</f>
        <v>0.0213436510437895</v>
      </c>
      <c r="S34" s="91" t="n">
        <f aca="false">IFERROR(S33/S$27,"")</f>
        <v>0.0215365305640051</v>
      </c>
      <c r="T34" s="91" t="n">
        <f aca="false">IFERROR(T33/T$27,"")</f>
        <v>0.0216920784220654</v>
      </c>
      <c r="Z34" s="81" t="s">
        <v>525</v>
      </c>
      <c r="AD34" s="91" t="n">
        <f aca="false">IFERROR(AD33/AD$27,"")</f>
        <v>0.0333541277915134</v>
      </c>
      <c r="AE34" s="91" t="n">
        <f aca="false">IFERROR(AE33/AE$27,"")</f>
        <v>0.0336857705134378</v>
      </c>
      <c r="AF34" s="91" t="n">
        <f aca="false">IFERROR(AF33/AF$27,"")</f>
        <v>0.0339535287921547</v>
      </c>
    </row>
    <row r="35" customFormat="false" ht="15" hidden="false" customHeight="true" outlineLevel="0" collapsed="false">
      <c r="B35" s="76" t="s">
        <v>473</v>
      </c>
      <c r="C35" s="77" t="n">
        <f aca="false">Model!AV171</f>
        <v>7495</v>
      </c>
      <c r="D35" s="78" t="n">
        <f aca="false">Model!AY171</f>
        <v>7661.53261</v>
      </c>
      <c r="E35" s="78" t="n">
        <f aca="false">Model!AZ171</f>
        <v>8217.08234555</v>
      </c>
      <c r="F35" s="78" t="n">
        <f aca="false">Model!BA171</f>
        <v>8894.45540926375</v>
      </c>
      <c r="G35" s="78" t="n">
        <f aca="false">Model!BB171</f>
        <v>9579.80879127266</v>
      </c>
      <c r="H35" s="78" t="n">
        <f aca="false">Model!BC171</f>
        <v>10232.5236574603</v>
      </c>
      <c r="I35" s="79" t="n">
        <f aca="false">IFERROR((H35/C35)^(1/5)-1,"n/m")</f>
        <v>0.0642464839768386</v>
      </c>
      <c r="N35" s="76" t="s">
        <v>473</v>
      </c>
      <c r="O35" s="80" t="n">
        <v>7495</v>
      </c>
      <c r="P35" s="80" t="n">
        <v>7893.71662</v>
      </c>
      <c r="Q35" s="80" t="n">
        <v>8752.54095855</v>
      </c>
      <c r="R35" s="80" t="n">
        <v>9642.95930738875</v>
      </c>
      <c r="S35" s="80" t="n">
        <v>10573.7488013377</v>
      </c>
      <c r="T35" s="80" t="n">
        <v>11501.6010375116</v>
      </c>
      <c r="U35" s="79" t="n">
        <v>0.0894249878413735</v>
      </c>
      <c r="Z35" s="76" t="s">
        <v>473</v>
      </c>
      <c r="AA35" s="80" t="n">
        <v>7495</v>
      </c>
      <c r="AB35" s="80" t="n">
        <v>7290.49526</v>
      </c>
      <c r="AC35" s="80" t="n">
        <v>7395.06814665</v>
      </c>
      <c r="AD35" s="80" t="n">
        <v>7792.01632495125</v>
      </c>
      <c r="AE35" s="80" t="n">
        <v>8166.1892894279</v>
      </c>
      <c r="AF35" s="80" t="n">
        <v>8483.44451223411</v>
      </c>
      <c r="AG35" s="79" t="n">
        <v>0.0250855634583917</v>
      </c>
    </row>
    <row r="36" customFormat="false" ht="15" hidden="false" customHeight="true" outlineLevel="0" collapsed="false">
      <c r="B36" s="81" t="s">
        <v>526</v>
      </c>
      <c r="C36" s="88" t="n">
        <f aca="false">IFERROR(C35/C9,"")</f>
        <v>0.468378952630921</v>
      </c>
      <c r="D36" s="89" t="n">
        <f aca="false">IFERROR(D35/D9,"")</f>
        <v>0.466967591861761</v>
      </c>
      <c r="E36" s="89" t="n">
        <f aca="false">IFERROR(E35/E9,"")</f>
        <v>0.466182090201683</v>
      </c>
      <c r="F36" s="89" t="n">
        <f aca="false">IFERROR(F35/F9,"")</f>
        <v>0.469460092870832</v>
      </c>
      <c r="G36" s="89" t="n">
        <f aca="false">IFERROR(G35/G9,"")</f>
        <v>0.471737872979333</v>
      </c>
      <c r="H36" s="89" t="n">
        <f aca="false">IFERROR(H35/H9,"")</f>
        <v>0.472049913074553</v>
      </c>
      <c r="J36" s="90" t="n">
        <f aca="false">IFERROR(AVERAGE(Model!C204,Model!D204,Model!E204,Model!F204,Model!G204,Model!H204,Model!I204,Model!L204,Model!O204,Model!R204,Model!U204,Model!X204,Model!AA204,Model!AD204,Model!AG204,Model!AJ204,Model!AM204,Model!AP204,Model!AS204,Model!AV204),"")</f>
        <v>0.393263490068085</v>
      </c>
      <c r="K36" s="90" t="n">
        <f aca="false">IFERROR(MIN(Model!C204,Model!D204,Model!E204,Model!F204,Model!G204,Model!H204,Model!I204,Model!L204,Model!O204,Model!R204,Model!U204,Model!X204,Model!AA204,Model!AD204,Model!AG204,Model!AJ204,Model!AM204,Model!AP204,Model!AS204,Model!AV204),"")</f>
        <v>0.285953089902314</v>
      </c>
      <c r="L36" s="90" t="n">
        <f aca="false">IFERROR(MAX(Model!C204,Model!D204,Model!E204,Model!F204,Model!G204,Model!H204,Model!I204,Model!L204,Model!O204,Model!R204,Model!U204,Model!X204,Model!AA204,Model!AD204,Model!AG204,Model!AJ204,Model!AM204,Model!AP204,Model!AS204,Model!AV204),"")</f>
        <v>0.478215535860579</v>
      </c>
      <c r="N36" s="81" t="s">
        <v>526</v>
      </c>
      <c r="O36" s="91" t="n">
        <v>0.468378952630921</v>
      </c>
      <c r="P36" s="91" t="n">
        <v>0.474210164225344</v>
      </c>
      <c r="Q36" s="91" t="n">
        <v>0.480488986264058</v>
      </c>
      <c r="R36" s="91" t="n">
        <v>0.483503988180285</v>
      </c>
      <c r="S36" s="91" t="n">
        <v>0.485580180094198</v>
      </c>
      <c r="T36" s="91" t="n">
        <v>0.485732597090076</v>
      </c>
      <c r="V36" s="90" t="n">
        <v>0.393263490068085</v>
      </c>
      <c r="W36" s="90" t="n">
        <v>0.285953089902314</v>
      </c>
      <c r="X36" s="90" t="n">
        <v>0.478215535860579</v>
      </c>
      <c r="Z36" s="81" t="s">
        <v>526</v>
      </c>
      <c r="AA36" s="91" t="n">
        <v>0.468378952630921</v>
      </c>
      <c r="AB36" s="91" t="n">
        <v>0.455411454725244</v>
      </c>
      <c r="AC36" s="91" t="n">
        <v>0.442332820783281</v>
      </c>
      <c r="AD36" s="91" t="n">
        <v>0.446048338865279</v>
      </c>
      <c r="AE36" s="91" t="n">
        <v>0.448676673059824</v>
      </c>
      <c r="AF36" s="91" t="n">
        <v>0.449277901178708</v>
      </c>
      <c r="AH36" s="90" t="n">
        <v>0.393263490068085</v>
      </c>
      <c r="AI36" s="90" t="n">
        <v>0.285953089902314</v>
      </c>
      <c r="AJ36" s="90" t="n">
        <v>0.478215535860579</v>
      </c>
    </row>
    <row r="38" customFormat="false" ht="15" hidden="false" customHeight="true" outlineLevel="0" collapsed="false">
      <c r="B38" s="76" t="s">
        <v>527</v>
      </c>
      <c r="C38" s="77" t="n">
        <f aca="false">Model!AV372</f>
        <v>-12773</v>
      </c>
      <c r="D38" s="78" t="n">
        <f aca="false">Model!AY372</f>
        <v>-14747.190264313</v>
      </c>
      <c r="E38" s="78" t="n">
        <f aca="false">Model!AZ372</f>
        <v>-17014.5676940969</v>
      </c>
      <c r="F38" s="78" t="n">
        <f aca="false">Model!BA372</f>
        <v>-19684.598302018</v>
      </c>
      <c r="G38" s="78" t="n">
        <f aca="false">Model!BB372</f>
        <v>-22638.5247057711</v>
      </c>
      <c r="H38" s="78" t="n">
        <f aca="false">Model!BC372</f>
        <v>-25850.7433995276</v>
      </c>
      <c r="N38" s="76" t="s">
        <v>527</v>
      </c>
      <c r="O38" s="80" t="n">
        <v>-12773</v>
      </c>
      <c r="P38" s="80" t="n">
        <v>-13609.6071082545</v>
      </c>
      <c r="Q38" s="80" t="n">
        <v>-14582.9610531705</v>
      </c>
      <c r="R38" s="80" t="n">
        <v>-15940.0284686357</v>
      </c>
      <c r="S38" s="80" t="n">
        <v>-17630.0946862104</v>
      </c>
      <c r="T38" s="80" t="n">
        <v>-19636.409786062</v>
      </c>
      <c r="Z38" s="76" t="s">
        <v>527</v>
      </c>
      <c r="AA38" s="80" t="n">
        <v>-12773</v>
      </c>
      <c r="AB38" s="80" t="n">
        <v>-14535.551940575</v>
      </c>
      <c r="AC38" s="80" t="n">
        <v>-16574.1544401339</v>
      </c>
      <c r="AD38" s="80" t="n">
        <v>-19011.6114431627</v>
      </c>
      <c r="AE38" s="80" t="n">
        <v>-21620.978952518</v>
      </c>
      <c r="AF38" s="80" t="n">
        <v>-24368.2622932028</v>
      </c>
    </row>
    <row r="39" customFormat="false" ht="15" hidden="false" customHeight="true" outlineLevel="0" collapsed="false">
      <c r="B39" s="81" t="s">
        <v>528</v>
      </c>
      <c r="C39" s="104" t="n">
        <f aca="false">IFERROR(C38/C35,"")</f>
        <v>-1.70420280186791</v>
      </c>
      <c r="D39" s="105" t="n">
        <f aca="false">IFERROR(D38/D35,"")</f>
        <v>-1.92483554074607</v>
      </c>
      <c r="E39" s="105" t="n">
        <f aca="false">IFERROR(E38/E35,"")</f>
        <v>-2.07063370897229</v>
      </c>
      <c r="F39" s="105" t="n">
        <f aca="false">IFERROR(F38/F35,"")</f>
        <v>-2.21313137187872</v>
      </c>
      <c r="G39" s="105" t="n">
        <f aca="false">IFERROR(G38/G35,"")</f>
        <v>-2.36314995414054</v>
      </c>
      <c r="H39" s="105" t="n">
        <f aca="false">IFERROR(H38/H35,"")</f>
        <v>-2.52633116373794</v>
      </c>
      <c r="N39" s="81" t="s">
        <v>528</v>
      </c>
      <c r="O39" s="106" t="n">
        <v>-1.70420280186791</v>
      </c>
      <c r="P39" s="106" t="n">
        <v>-1.72410637009344</v>
      </c>
      <c r="Q39" s="106" t="n">
        <v>-1.66614028111745</v>
      </c>
      <c r="R39" s="106" t="n">
        <v>-1.65302247583083</v>
      </c>
      <c r="S39" s="106" t="n">
        <v>-1.66734570845678</v>
      </c>
      <c r="T39" s="106" t="n">
        <v>-1.70727620633157</v>
      </c>
      <c r="Z39" s="81" t="s">
        <v>528</v>
      </c>
      <c r="AA39" s="106" t="n">
        <v>-1.70420280186791</v>
      </c>
      <c r="AB39" s="106" t="n">
        <v>-1.99376742212915</v>
      </c>
      <c r="AC39" s="106" t="n">
        <v>-2.24124431465072</v>
      </c>
      <c r="AD39" s="106" t="n">
        <v>-2.43988342045493</v>
      </c>
      <c r="AE39" s="106" t="n">
        <v>-2.64762157552592</v>
      </c>
      <c r="AF39" s="106" t="n">
        <v>-2.87244906925023</v>
      </c>
    </row>
    <row r="41" customFormat="false" ht="15" hidden="false" customHeight="true" outlineLevel="0" collapsed="false">
      <c r="B41" s="76" t="s">
        <v>529</v>
      </c>
      <c r="C41" s="85" t="n">
        <f aca="false">Model!AV351</f>
        <v>0.560050168295411</v>
      </c>
      <c r="D41" s="86" t="n">
        <f aca="false">Model!AY351</f>
        <v>0.521356494228347</v>
      </c>
      <c r="E41" s="86" t="n">
        <f aca="false">Model!AZ351</f>
        <v>0.493949896174366</v>
      </c>
      <c r="F41" s="86" t="n">
        <f aca="false">Model!BA351</f>
        <v>0.484819867900969</v>
      </c>
      <c r="G41" s="86" t="n">
        <f aca="false">Model!BB351</f>
        <v>0.476907582693666</v>
      </c>
      <c r="H41" s="86" t="n">
        <f aca="false">Model!BC351</f>
        <v>0.467882447495304</v>
      </c>
      <c r="J41" s="90" t="n">
        <f aca="false">IFERROR(AVERAGE(Model!C351,Model!D351,Model!E351,Model!F351,Model!G351,Model!H351,Model!I351,Model!L351,Model!O351,Model!R351,Model!U351,Model!X351,Model!AA351,Model!AD351,Model!AG351,Model!AJ351,Model!AM351,Model!AP351,Model!AS351,Model!AV351),"")</f>
        <v>0.519555450002322</v>
      </c>
      <c r="K41" s="90" t="n">
        <f aca="false">IFERROR(MIN(Model!C351,Model!D351,Model!E351,Model!F351,Model!G351,Model!H351,Model!I351,Model!L351,Model!O351,Model!R351,Model!U351,Model!X351,Model!AA351,Model!AD351,Model!AG351,Model!AJ351,Model!AM351,Model!AP351,Model!AS351,Model!AV351),"")</f>
        <v>0.252968899995566</v>
      </c>
      <c r="L41" s="90" t="n">
        <f aca="false">IFERROR(MAX(Model!C351,Model!D351,Model!E351,Model!F351,Model!G351,Model!H351,Model!I351,Model!L351,Model!O351,Model!R351,Model!U351,Model!X351,Model!AA351,Model!AD351,Model!AG351,Model!AJ351,Model!AM351,Model!AP351,Model!AS351,Model!AV351),"")</f>
        <v>0.732005138681212</v>
      </c>
      <c r="N41" s="76" t="s">
        <v>529</v>
      </c>
      <c r="O41" s="87" t="n">
        <v>0.560050168295411</v>
      </c>
      <c r="P41" s="87" t="n">
        <v>0.538972837276836</v>
      </c>
      <c r="Q41" s="87" t="n">
        <v>0.526876945887671</v>
      </c>
      <c r="R41" s="87" t="n">
        <v>0.522261915815259</v>
      </c>
      <c r="S41" s="87" t="n">
        <v>0.518526560998432</v>
      </c>
      <c r="T41" s="87" t="n">
        <v>0.513293947440064</v>
      </c>
      <c r="V41" s="90" t="n">
        <v>0.519555450002322</v>
      </c>
      <c r="W41" s="90" t="n">
        <v>0.252968899995566</v>
      </c>
      <c r="X41" s="90" t="n">
        <v>0.732005138681212</v>
      </c>
      <c r="Z41" s="76" t="s">
        <v>529</v>
      </c>
      <c r="AA41" s="87" t="n">
        <v>0.560050168295411</v>
      </c>
      <c r="AB41" s="87" t="n">
        <v>0.493176149357599</v>
      </c>
      <c r="AC41" s="87" t="n">
        <v>0.442259922991262</v>
      </c>
      <c r="AD41" s="87" t="n">
        <v>0.427406837892511</v>
      </c>
      <c r="AE41" s="87" t="n">
        <v>0.414218308090731</v>
      </c>
      <c r="AF41" s="87" t="n">
        <v>0.400451946547829</v>
      </c>
      <c r="AH41" s="90" t="n">
        <v>0.519555450002322</v>
      </c>
      <c r="AI41" s="90" t="n">
        <v>0.252968899995566</v>
      </c>
      <c r="AJ41" s="90" t="n">
        <v>0.732005138681212</v>
      </c>
    </row>
    <row r="42" customFormat="false" ht="15" hidden="false" customHeight="true" outlineLevel="0" collapsed="false">
      <c r="B42" s="76" t="s">
        <v>530</v>
      </c>
      <c r="C42" s="85" t="n">
        <f aca="false">Model!AV364</f>
        <v>0.528771609183315</v>
      </c>
      <c r="D42" s="86" t="n">
        <f aca="false">Model!AY364</f>
        <v>0.494695201449797</v>
      </c>
      <c r="E42" s="86" t="n">
        <f aca="false">Model!AZ364</f>
        <v>0.471326225962982</v>
      </c>
      <c r="F42" s="86" t="n">
        <f aca="false">Model!BA364</f>
        <v>0.464605527667061</v>
      </c>
      <c r="G42" s="86" t="n">
        <f aca="false">Model!BB364</f>
        <v>0.458681992546154</v>
      </c>
      <c r="H42" s="86" t="n">
        <f aca="false">Model!BC364</f>
        <v>0.451397306758398</v>
      </c>
      <c r="J42" s="90" t="n">
        <f aca="false">IFERROR(AVERAGE(Model!C364,Model!D364,Model!E364,Model!F364,Model!G364,Model!H364,Model!I364,Model!L364,Model!O364,Model!R364,Model!U364,Model!X364,Model!AA364,Model!AD364,Model!AG364,Model!AJ364,Model!AM364,Model!AP364,Model!AS364,Model!AV364),"")</f>
        <v>0.470150287485997</v>
      </c>
      <c r="K42" s="90" t="n">
        <f aca="false">IFERROR(MIN(Model!C364,Model!D364,Model!E364,Model!F364,Model!G364,Model!H364,Model!I364,Model!L364,Model!O364,Model!R364,Model!U364,Model!X364,Model!AA364,Model!AD364,Model!AG364,Model!AJ364,Model!AM364,Model!AP364,Model!AS364,Model!AV364),"")</f>
        <v>0.232895315941317</v>
      </c>
      <c r="L42" s="90" t="n">
        <f aca="false">IFERROR(MAX(Model!C364,Model!D364,Model!E364,Model!F364,Model!G364,Model!H364,Model!I364,Model!L364,Model!O364,Model!R364,Model!U364,Model!X364,Model!AA364,Model!AD364,Model!AG364,Model!AJ364,Model!AM364,Model!AP364,Model!AS364,Model!AV364),"")</f>
        <v>0.633003880945486</v>
      </c>
      <c r="N42" s="76" t="s">
        <v>530</v>
      </c>
      <c r="O42" s="87" t="n">
        <v>0.528771609183315</v>
      </c>
      <c r="P42" s="87" t="n">
        <v>0.511403702423818</v>
      </c>
      <c r="Q42" s="87" t="n">
        <v>0.502853975093331</v>
      </c>
      <c r="R42" s="87" t="n">
        <v>0.500756874959176</v>
      </c>
      <c r="S42" s="87" t="n">
        <v>0.499126620041984</v>
      </c>
      <c r="T42" s="87" t="n">
        <v>0.495752839971127</v>
      </c>
      <c r="V42" s="90" t="n">
        <v>0.470150287485997</v>
      </c>
      <c r="W42" s="90" t="n">
        <v>0.232895315941317</v>
      </c>
      <c r="X42" s="90" t="n">
        <v>0.633003880945486</v>
      </c>
      <c r="Z42" s="76" t="s">
        <v>530</v>
      </c>
      <c r="AA42" s="87" t="n">
        <v>0.528771609183315</v>
      </c>
      <c r="AB42" s="87" t="n">
        <v>0.467970787334541</v>
      </c>
      <c r="AC42" s="87" t="n">
        <v>0.421886131476654</v>
      </c>
      <c r="AD42" s="87" t="n">
        <v>0.409270050407366</v>
      </c>
      <c r="AE42" s="87" t="n">
        <v>0.397901549995474</v>
      </c>
      <c r="AF42" s="87" t="n">
        <v>0.385712804501959</v>
      </c>
      <c r="AH42" s="90" t="n">
        <v>0.470150287485997</v>
      </c>
      <c r="AI42" s="90" t="n">
        <v>0.232895315941317</v>
      </c>
      <c r="AJ42" s="90" t="n">
        <v>0.633003880945486</v>
      </c>
    </row>
    <row r="44" customFormat="false" ht="15" hidden="false" customHeight="true" outlineLevel="0" collapsed="false">
      <c r="B44" s="81" t="s">
        <v>531</v>
      </c>
      <c r="F44" s="107" t="n">
        <f aca="false">F27*F21</f>
        <v>195278.019648332</v>
      </c>
      <c r="G44" s="107" t="n">
        <f aca="false">G27*G21</f>
        <v>210929.151513738</v>
      </c>
      <c r="H44" s="107" t="n">
        <f aca="false">H27*H21</f>
        <v>225874.481994943</v>
      </c>
      <c r="N44" s="81" t="s">
        <v>531</v>
      </c>
      <c r="R44" s="107" t="n">
        <f aca="false">R27*R21</f>
        <v>260854.027013617</v>
      </c>
      <c r="S44" s="107" t="n">
        <f aca="false">S27*S21</f>
        <v>286021.510291711</v>
      </c>
      <c r="T44" s="107" t="n">
        <f aca="false">T27*T21</f>
        <v>311092.771316939</v>
      </c>
      <c r="Z44" s="81" t="s">
        <v>531</v>
      </c>
      <c r="AD44" s="107" t="n">
        <f aca="false">AD27*AD21</f>
        <v>134960.738769797</v>
      </c>
      <c r="AE44" s="107" t="n">
        <f aca="false">AE27*AE21</f>
        <v>141954.358928839</v>
      </c>
      <c r="AF44" s="107" t="n">
        <f aca="false">AF27*AF21</f>
        <v>147976.876481978</v>
      </c>
    </row>
    <row r="45" customFormat="false" ht="15" hidden="false" customHeight="true" outlineLevel="0" collapsed="false">
      <c r="B45" s="81" t="s">
        <v>532</v>
      </c>
      <c r="F45" s="107" t="n">
        <f aca="false">F38+Model!BA383</f>
        <v>-19678.598302018</v>
      </c>
      <c r="G45" s="107" t="n">
        <f aca="false">G38+Model!BB383</f>
        <v>-22632.5247057711</v>
      </c>
      <c r="H45" s="107" t="n">
        <f aca="false">H38+Model!BC383</f>
        <v>-25844.7433995276</v>
      </c>
      <c r="N45" s="81" t="s">
        <v>532</v>
      </c>
      <c r="R45" s="107" t="n">
        <f aca="false">R38+Model!BA383</f>
        <v>-15934.0284686357</v>
      </c>
      <c r="S45" s="107" t="n">
        <f aca="false">S38+Model!BB383</f>
        <v>-17624.0946862104</v>
      </c>
      <c r="T45" s="107" t="n">
        <f aca="false">T38+Model!BC383</f>
        <v>-19630.409786062</v>
      </c>
      <c r="Z45" s="81" t="s">
        <v>532</v>
      </c>
      <c r="AD45" s="107" t="n">
        <f aca="false">AD38+Model!BA383</f>
        <v>-19005.6114431627</v>
      </c>
      <c r="AE45" s="107" t="n">
        <f aca="false">AE38+Model!BB383</f>
        <v>-21614.978952518</v>
      </c>
      <c r="AF45" s="107" t="n">
        <f aca="false">AF38+Model!BC383</f>
        <v>-24362.2622932028</v>
      </c>
    </row>
    <row r="46" customFormat="false" ht="15" hidden="false" customHeight="true" outlineLevel="0" collapsed="false">
      <c r="B46" s="81" t="s">
        <v>533</v>
      </c>
      <c r="F46" s="107" t="n">
        <f aca="false">F44+F45</f>
        <v>175599.421346314</v>
      </c>
      <c r="G46" s="107" t="n">
        <f aca="false">G44+G45</f>
        <v>188296.626807966</v>
      </c>
      <c r="H46" s="107" t="n">
        <f aca="false">H44+H45</f>
        <v>200029.738595415</v>
      </c>
      <c r="N46" s="81" t="s">
        <v>533</v>
      </c>
      <c r="R46" s="107" t="n">
        <f aca="false">R44+R45</f>
        <v>244919.998544981</v>
      </c>
      <c r="S46" s="107" t="n">
        <f aca="false">S44+S45</f>
        <v>268397.415605501</v>
      </c>
      <c r="T46" s="107" t="n">
        <f aca="false">T44+T45</f>
        <v>291462.361530877</v>
      </c>
      <c r="Z46" s="81" t="s">
        <v>533</v>
      </c>
      <c r="AD46" s="107" t="n">
        <f aca="false">AD44+AD45</f>
        <v>115955.127326635</v>
      </c>
      <c r="AE46" s="107" t="n">
        <f aca="false">AE44+AE45</f>
        <v>120339.379976321</v>
      </c>
      <c r="AF46" s="107" t="n">
        <f aca="false">AF44+AF45</f>
        <v>123614.614188775</v>
      </c>
    </row>
    <row r="47" customFormat="false" ht="15" hidden="false" customHeight="true" outlineLevel="0" collapsed="false">
      <c r="B47" s="81" t="s">
        <v>534</v>
      </c>
      <c r="F47" s="106" t="n">
        <f aca="false">IFERROR(F46/F35,"")</f>
        <v>19.7425714410153</v>
      </c>
      <c r="G47" s="106" t="n">
        <f aca="false">IFERROR(G46/G35,"")</f>
        <v>19.6555725600189</v>
      </c>
      <c r="H47" s="106" t="n">
        <f aca="false">IFERROR(H46/H35,"")</f>
        <v>19.548426692332</v>
      </c>
      <c r="N47" s="81" t="s">
        <v>534</v>
      </c>
      <c r="R47" s="106" t="n">
        <f aca="false">IFERROR(R46/R35,"")</f>
        <v>25.3988418635466</v>
      </c>
      <c r="S47" s="106" t="n">
        <f aca="false">IFERROR(S46/S35,"")</f>
        <v>25.3833735459599</v>
      </c>
      <c r="T47" s="106" t="n">
        <f aca="false">IFERROR(T46/T35,"")</f>
        <v>25.3410251825198</v>
      </c>
      <c r="Z47" s="81" t="s">
        <v>534</v>
      </c>
      <c r="AD47" s="106" t="n">
        <f aca="false">IFERROR(AD46/AD35,"")</f>
        <v>14.8812736640872</v>
      </c>
      <c r="AE47" s="106" t="n">
        <f aca="false">IFERROR(AE46/AE35,"")</f>
        <v>14.7362956834854</v>
      </c>
      <c r="AF47" s="106" t="n">
        <f aca="false">IFERROR(AF46/AF35,"")</f>
        <v>14.5712763265568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18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1" width="50"/>
    <col collapsed="false" customWidth="true" hidden="false" outlineLevel="0" max="15" min="3" style="1" width="12.57"/>
    <col collapsed="false" customWidth="true" hidden="false" outlineLevel="0" max="16" min="16" style="1" width="13.29"/>
  </cols>
  <sheetData>
    <row r="2" customFormat="false" ht="17.25" hidden="false" customHeight="true" outlineLevel="0" collapsed="false">
      <c r="B2" s="108" t="s">
        <v>535</v>
      </c>
    </row>
    <row r="4" customFormat="false" ht="15" hidden="false" customHeight="true" outlineLevel="0" collapsed="false">
      <c r="B4" s="18" t="s">
        <v>536</v>
      </c>
    </row>
    <row r="5" customFormat="false" ht="15" hidden="false" customHeight="true" outlineLevel="0" collapsed="false">
      <c r="B5" s="13" t="s">
        <v>537</v>
      </c>
      <c r="C5" s="109" t="n">
        <v>0.03</v>
      </c>
      <c r="D5" s="5" t="s">
        <v>538</v>
      </c>
    </row>
    <row r="6" customFormat="false" ht="15" hidden="false" customHeight="true" outlineLevel="0" collapsed="false">
      <c r="B6" s="13" t="s">
        <v>539</v>
      </c>
      <c r="C6" s="109" t="n">
        <v>0.055</v>
      </c>
      <c r="D6" s="5" t="s">
        <v>540</v>
      </c>
    </row>
    <row r="7" customFormat="false" ht="15" hidden="false" customHeight="true" outlineLevel="0" collapsed="false">
      <c r="B7" s="13" t="s">
        <v>541</v>
      </c>
      <c r="C7" s="110" t="n">
        <v>0.9</v>
      </c>
      <c r="D7" s="5" t="s">
        <v>542</v>
      </c>
    </row>
    <row r="8" customFormat="false" ht="15" hidden="false" customHeight="true" outlineLevel="0" collapsed="false">
      <c r="B8" s="13" t="s">
        <v>543</v>
      </c>
      <c r="C8" s="111" t="n">
        <f aca="false">C5+C7*C6</f>
        <v>0.0795</v>
      </c>
    </row>
    <row r="9" customFormat="false" ht="15" hidden="false" customHeight="true" outlineLevel="0" collapsed="false">
      <c r="B9" s="13" t="s">
        <v>544</v>
      </c>
      <c r="C9" s="109" t="n">
        <v>0.035</v>
      </c>
      <c r="D9" s="5" t="s">
        <v>545</v>
      </c>
    </row>
    <row r="10" customFormat="false" ht="15" hidden="false" customHeight="true" outlineLevel="0" collapsed="false">
      <c r="B10" s="13" t="s">
        <v>546</v>
      </c>
      <c r="C10" s="109" t="n">
        <v>0.285</v>
      </c>
      <c r="D10" s="5" t="s">
        <v>547</v>
      </c>
    </row>
    <row r="11" customFormat="false" ht="15" hidden="false" customHeight="true" outlineLevel="0" collapsed="false">
      <c r="B11" s="13" t="s">
        <v>548</v>
      </c>
      <c r="C11" s="111" t="n">
        <f aca="false">C9*(1-C10)</f>
        <v>0.025025</v>
      </c>
    </row>
    <row r="12" customFormat="false" ht="15" hidden="false" customHeight="true" outlineLevel="0" collapsed="false">
      <c r="B12" s="13" t="s">
        <v>549</v>
      </c>
      <c r="C12" s="109" t="n">
        <v>0</v>
      </c>
      <c r="D12" s="5" t="s">
        <v>550</v>
      </c>
    </row>
    <row r="13" customFormat="false" ht="15" hidden="false" customHeight="true" outlineLevel="0" collapsed="false">
      <c r="B13" s="71" t="s">
        <v>551</v>
      </c>
      <c r="C13" s="112" t="n">
        <f aca="false">C8*(1-C12)+C11*C12</f>
        <v>0.0795</v>
      </c>
    </row>
    <row r="15" customFormat="false" ht="15" hidden="false" customHeight="true" outlineLevel="0" collapsed="false">
      <c r="B15" s="1" t="s">
        <v>552</v>
      </c>
      <c r="C15" s="69" t="n">
        <f aca="true">TODAY()</f>
        <v>46299</v>
      </c>
      <c r="D15" s="5" t="s">
        <v>553</v>
      </c>
    </row>
    <row r="16" customFormat="false" ht="15" hidden="false" customHeight="true" outlineLevel="0" collapsed="false">
      <c r="B16" s="18" t="s">
        <v>554</v>
      </c>
    </row>
    <row r="17" customFormat="false" ht="15" hidden="false" customHeight="true" outlineLevel="0" collapsed="false">
      <c r="D17" s="12" t="s">
        <v>36</v>
      </c>
      <c r="E17" s="12" t="s">
        <v>37</v>
      </c>
      <c r="F17" s="12" t="s">
        <v>38</v>
      </c>
      <c r="G17" s="12" t="s">
        <v>39</v>
      </c>
      <c r="H17" s="12" t="s">
        <v>40</v>
      </c>
      <c r="I17" s="12" t="s">
        <v>555</v>
      </c>
      <c r="J17" s="12" t="s">
        <v>556</v>
      </c>
      <c r="K17" s="12" t="s">
        <v>557</v>
      </c>
      <c r="L17" s="12" t="s">
        <v>558</v>
      </c>
      <c r="M17" s="12" t="s">
        <v>559</v>
      </c>
      <c r="N17" s="12" t="s">
        <v>560</v>
      </c>
    </row>
    <row r="18" customFormat="false" ht="15" hidden="false" customHeight="true" outlineLevel="0" collapsed="false">
      <c r="B18" s="1" t="s">
        <v>561</v>
      </c>
      <c r="D18" s="113" t="n">
        <f aca="false">Model!AY124</f>
        <v>6664.08398</v>
      </c>
      <c r="E18" s="113" t="n">
        <f aca="false">Model!AZ124</f>
        <v>7138.666242</v>
      </c>
      <c r="F18" s="113" t="n">
        <f aca="false">Model!BA124</f>
        <v>7730.02404696</v>
      </c>
      <c r="G18" s="113" t="n">
        <f aca="false">Model!BB124</f>
        <v>8326.0679911402</v>
      </c>
      <c r="H18" s="113" t="n">
        <f aca="false">Model!BC124</f>
        <v>8887.48113993642</v>
      </c>
      <c r="I18" s="114" t="n">
        <f aca="false">H18*(1+I$31)</f>
        <v>9509.60481973197</v>
      </c>
      <c r="J18" s="114" t="n">
        <f aca="false">I18*(1+J$31)</f>
        <v>10115.8421269899</v>
      </c>
      <c r="K18" s="114" t="n">
        <f aca="false">J18*(1+K$31)</f>
        <v>10697.5030492918</v>
      </c>
      <c r="L18" s="114" t="n">
        <f aca="false">K18*(1+L$31)</f>
        <v>11245.750080568</v>
      </c>
      <c r="M18" s="114" t="n">
        <f aca="false">L18*(1+M$31)</f>
        <v>11751.8088341936</v>
      </c>
    </row>
    <row r="19" customFormat="false" ht="15" hidden="false" customHeight="true" outlineLevel="0" collapsed="false">
      <c r="B19" s="1" t="s">
        <v>562</v>
      </c>
      <c r="E19" s="115" t="n">
        <f aca="false">IFERROR(E18/D18-1,"")</f>
        <v>0.0712149281768206</v>
      </c>
      <c r="F19" s="115" t="n">
        <f aca="false">IFERROR(F18/E18-1,"")</f>
        <v>0.0828386963212786</v>
      </c>
      <c r="G19" s="115" t="n">
        <f aca="false">IFERROR(G18/F18-1,"")</f>
        <v>0.0771076442400727</v>
      </c>
      <c r="H19" s="115" t="n">
        <f aca="false">IFERROR(H18/G18-1,"")</f>
        <v>0.0674283646726905</v>
      </c>
      <c r="I19" s="115" t="n">
        <f aca="false">IFERROR(I18/H18-1,"")</f>
        <v>0.0700000000000001</v>
      </c>
      <c r="J19" s="115" t="n">
        <f aca="false">IFERROR(J18/I18-1,"")</f>
        <v>0.06375</v>
      </c>
      <c r="K19" s="115" t="n">
        <f aca="false">IFERROR(K18/J18-1,"")</f>
        <v>0.0575000000000001</v>
      </c>
      <c r="L19" s="115" t="n">
        <f aca="false">IFERROR(L18/K18-1,"")</f>
        <v>0.05125</v>
      </c>
      <c r="M19" s="115" t="n">
        <f aca="false">IFERROR(M18/L18-1,"")</f>
        <v>0.0449999999999999</v>
      </c>
    </row>
    <row r="20" customFormat="false" ht="15" hidden="false" customHeight="true" outlineLevel="0" collapsed="false">
      <c r="B20" s="1" t="s">
        <v>563</v>
      </c>
      <c r="D20" s="113" t="n">
        <f aca="false">Model!AY126</f>
        <v>0</v>
      </c>
      <c r="E20" s="113" t="n">
        <f aca="false">Model!AZ126</f>
        <v>0</v>
      </c>
      <c r="F20" s="113" t="n">
        <f aca="false">Model!BA126</f>
        <v>0</v>
      </c>
      <c r="G20" s="113" t="n">
        <f aca="false">Model!BB126</f>
        <v>0</v>
      </c>
      <c r="H20" s="113" t="n">
        <f aca="false">Model!BC126</f>
        <v>0</v>
      </c>
      <c r="I20" s="114" t="n">
        <f aca="false">H20*(1+I$31)</f>
        <v>0</v>
      </c>
      <c r="J20" s="114" t="n">
        <f aca="false">I20*(1+J$31)</f>
        <v>0</v>
      </c>
      <c r="K20" s="114" t="n">
        <f aca="false">J20*(1+K$31)</f>
        <v>0</v>
      </c>
      <c r="L20" s="114" t="n">
        <f aca="false">K20*(1+L$31)</f>
        <v>0</v>
      </c>
      <c r="M20" s="114" t="n">
        <f aca="false">L20*(1+M$31)</f>
        <v>0</v>
      </c>
    </row>
    <row r="21" customFormat="false" ht="15" hidden="false" customHeight="true" outlineLevel="0" collapsed="false">
      <c r="B21" s="1" t="s">
        <v>564</v>
      </c>
      <c r="D21" s="115" t="n">
        <f aca="false">1-$C$10</f>
        <v>0.715</v>
      </c>
      <c r="E21" s="115" t="n">
        <f aca="false">1-$C$10</f>
        <v>0.715</v>
      </c>
      <c r="F21" s="115" t="n">
        <f aca="false">1-$C$10</f>
        <v>0.715</v>
      </c>
      <c r="G21" s="115" t="n">
        <f aca="false">1-$C$10</f>
        <v>0.715</v>
      </c>
      <c r="H21" s="115" t="n">
        <f aca="false">1-$C$10</f>
        <v>0.715</v>
      </c>
      <c r="I21" s="115" t="n">
        <f aca="false">1-$C$10</f>
        <v>0.715</v>
      </c>
      <c r="J21" s="115" t="n">
        <f aca="false">1-$C$10</f>
        <v>0.715</v>
      </c>
      <c r="K21" s="115" t="n">
        <f aca="false">1-$C$10</f>
        <v>0.715</v>
      </c>
      <c r="L21" s="115" t="n">
        <f aca="false">1-$C$10</f>
        <v>0.715</v>
      </c>
      <c r="M21" s="115" t="n">
        <f aca="false">1-$C$10</f>
        <v>0.715</v>
      </c>
    </row>
    <row r="22" customFormat="false" ht="15" hidden="false" customHeight="true" outlineLevel="0" collapsed="false">
      <c r="B22" s="1" t="s">
        <v>565</v>
      </c>
      <c r="D22" s="114" t="n">
        <f aca="false">(D18+D20)*D21</f>
        <v>4764.8200457</v>
      </c>
      <c r="E22" s="114" t="n">
        <f aca="false">(E18+E20)*E21</f>
        <v>5104.14636303</v>
      </c>
      <c r="F22" s="114" t="n">
        <f aca="false">(F18+F20)*F21</f>
        <v>5526.9671935764</v>
      </c>
      <c r="G22" s="114" t="n">
        <f aca="false">(G18+G20)*G21</f>
        <v>5953.13861366524</v>
      </c>
      <c r="H22" s="114" t="n">
        <f aca="false">(H18+H20)*H21</f>
        <v>6354.54901505454</v>
      </c>
      <c r="I22" s="114" t="n">
        <f aca="false">(I18+I20)*I21</f>
        <v>6799.36744610836</v>
      </c>
      <c r="J22" s="114" t="n">
        <f aca="false">(J18+J20)*J21</f>
        <v>7232.82712079776</v>
      </c>
      <c r="K22" s="114" t="n">
        <f aca="false">(K18+K20)*K21</f>
        <v>7648.71468024364</v>
      </c>
      <c r="L22" s="114" t="n">
        <f aca="false">(L18+L20)*L21</f>
        <v>8040.71130760612</v>
      </c>
      <c r="M22" s="114" t="n">
        <f aca="false">(M18+M20)*M21</f>
        <v>8402.5433164484</v>
      </c>
    </row>
    <row r="23" customFormat="false" ht="15" hidden="false" customHeight="true" outlineLevel="0" collapsed="false">
      <c r="B23" s="1" t="s">
        <v>566</v>
      </c>
      <c r="D23" s="113" t="n">
        <f aca="false">Model!AY144</f>
        <v>607.05863</v>
      </c>
      <c r="E23" s="113" t="n">
        <f aca="false">Model!AZ144</f>
        <v>652.1744468</v>
      </c>
      <c r="F23" s="113" t="n">
        <f aca="false">Model!BA144</f>
        <v>701.00708269</v>
      </c>
      <c r="G23" s="113" t="n">
        <f aca="false">Model!BB144</f>
        <v>751.37686749314</v>
      </c>
      <c r="H23" s="113" t="n">
        <f aca="false">Model!BC144</f>
        <v>802.040980921091</v>
      </c>
      <c r="I23" s="114" t="n">
        <f aca="false">H23*(1+I$31)</f>
        <v>858.183849585568</v>
      </c>
      <c r="J23" s="114" t="n">
        <f aca="false">I23*(1+J$31)</f>
        <v>912.893069996648</v>
      </c>
      <c r="K23" s="114" t="n">
        <f aca="false">J23*(1+K$31)</f>
        <v>965.384421521455</v>
      </c>
      <c r="L23" s="114" t="n">
        <f aca="false">K23*(1+L$31)</f>
        <v>1014.86037312443</v>
      </c>
      <c r="M23" s="114" t="n">
        <f aca="false">L23*(1+M$31)</f>
        <v>1060.52908991503</v>
      </c>
    </row>
    <row r="24" customFormat="false" ht="15" hidden="false" customHeight="true" outlineLevel="0" collapsed="false">
      <c r="B24" s="1" t="s">
        <v>567</v>
      </c>
      <c r="D24" s="113" t="n">
        <f aca="false">D29+Model!AY219</f>
        <v>-1198</v>
      </c>
      <c r="E24" s="113" t="n">
        <f aca="false">E29+Model!AZ219</f>
        <v>-1233.843548</v>
      </c>
      <c r="F24" s="113" t="n">
        <f aca="false">F29+Model!BA219</f>
        <v>-1288.33734116</v>
      </c>
      <c r="G24" s="113" t="n">
        <f aca="false">G29+Model!BB219</f>
        <v>-1340.29387174452</v>
      </c>
      <c r="H24" s="113" t="n">
        <f aca="false">H29+Model!BC219</f>
        <v>-1387.31412916081</v>
      </c>
      <c r="I24" s="114" t="n">
        <f aca="false">I29</f>
        <v>-1484.42611820206</v>
      </c>
      <c r="J24" s="114" t="n">
        <f aca="false">J29</f>
        <v>-1579.05828323744</v>
      </c>
      <c r="K24" s="114" t="n">
        <f aca="false">K29</f>
        <v>-1669.8541345236</v>
      </c>
      <c r="L24" s="114" t="n">
        <f aca="false">L29</f>
        <v>-1755.43415891793</v>
      </c>
      <c r="M24" s="114" t="n">
        <f aca="false">M29</f>
        <v>-1834.42869606924</v>
      </c>
    </row>
    <row r="25" customFormat="false" ht="15" hidden="false" customHeight="true" outlineLevel="0" collapsed="false">
      <c r="B25" s="1" t="s">
        <v>568</v>
      </c>
      <c r="D25" s="113" t="n">
        <f aca="false">Model!AY215</f>
        <v>79.6106397130139</v>
      </c>
      <c r="E25" s="113" t="n">
        <f aca="false">Model!AZ215</f>
        <v>-207.793543573678</v>
      </c>
      <c r="F25" s="113" t="n">
        <f aca="false">Model!BA215</f>
        <v>-127.693766132858</v>
      </c>
      <c r="G25" s="113" t="n">
        <f aca="false">Model!BB215</f>
        <v>-131.435286939145</v>
      </c>
      <c r="H25" s="113" t="n">
        <f aca="false">Model!BC215</f>
        <v>-141.755615268267</v>
      </c>
      <c r="I25" s="114" t="n">
        <f aca="false">H25*(1+I$31)</f>
        <v>-151.678508337046</v>
      </c>
      <c r="J25" s="114" t="n">
        <f aca="false">I25*(1+J$31)</f>
        <v>-161.348013243533</v>
      </c>
      <c r="K25" s="114" t="n">
        <f aca="false">J25*(1+K$31)</f>
        <v>-170.625524005036</v>
      </c>
      <c r="L25" s="114" t="n">
        <f aca="false">K25*(1+L$31)</f>
        <v>-179.370082110294</v>
      </c>
      <c r="M25" s="114" t="n">
        <f aca="false">L25*(1+M$31)</f>
        <v>-187.441735805257</v>
      </c>
    </row>
    <row r="26" customFormat="false" ht="15" hidden="false" customHeight="true" outlineLevel="0" collapsed="false">
      <c r="B26" s="116" t="s">
        <v>569</v>
      </c>
      <c r="D26" s="117" t="n">
        <f aca="false">D22+D23+D24+D25</f>
        <v>4253.48931541301</v>
      </c>
      <c r="E26" s="117" t="n">
        <f aca="false">E22+E23+E24+E25</f>
        <v>4314.68371825632</v>
      </c>
      <c r="F26" s="117" t="n">
        <f aca="false">F22+F23+F24+F25</f>
        <v>4811.94316897354</v>
      </c>
      <c r="G26" s="117" t="n">
        <f aca="false">G22+G23+G24+G25</f>
        <v>5232.78632247472</v>
      </c>
      <c r="H26" s="117" t="n">
        <f aca="false">H22+H23+H24+H25</f>
        <v>5627.52025154656</v>
      </c>
      <c r="I26" s="117" t="n">
        <f aca="false">I22+I23+I24+I25</f>
        <v>6021.44666915482</v>
      </c>
      <c r="J26" s="117" t="n">
        <f aca="false">J22+J23+J24+J25</f>
        <v>6405.31389431343</v>
      </c>
      <c r="K26" s="117" t="n">
        <f aca="false">K22+K23+K24+K25</f>
        <v>6773.61944323646</v>
      </c>
      <c r="L26" s="117" t="n">
        <f aca="false">L22+L23+L24+L25</f>
        <v>7120.76743970233</v>
      </c>
      <c r="M26" s="117" t="n">
        <f aca="false">M22+M23+M24+M25</f>
        <v>7441.20197448893</v>
      </c>
      <c r="N26" s="117" t="n">
        <f aca="false">M26*(1+$C$32)</f>
        <v>7664.4380337236</v>
      </c>
    </row>
    <row r="27" customFormat="false" ht="15" hidden="false" customHeight="true" outlineLevel="0" collapsed="false">
      <c r="B27" s="1" t="s">
        <v>562</v>
      </c>
      <c r="E27" s="115" t="n">
        <f aca="false">IFERROR(E26/D26-1,"")</f>
        <v>0.0143868711792843</v>
      </c>
      <c r="F27" s="115" t="n">
        <f aca="false">IFERROR(F26/E26-1,"")</f>
        <v>0.115248181138565</v>
      </c>
      <c r="G27" s="115" t="n">
        <f aca="false">IFERROR(G26/F26-1,"")</f>
        <v>0.0874580473465869</v>
      </c>
      <c r="H27" s="115" t="n">
        <f aca="false">IFERROR(H26/G26-1,"")</f>
        <v>0.0754347501973209</v>
      </c>
      <c r="I27" s="115" t="n">
        <f aca="false">IFERROR(I26/H26-1,"")</f>
        <v>0.0700000000000001</v>
      </c>
      <c r="J27" s="115" t="n">
        <f aca="false">IFERROR(J26/I26-1,"")</f>
        <v>0.0637499999999998</v>
      </c>
      <c r="K27" s="115" t="n">
        <f aca="false">IFERROR(K26/J26-1,"")</f>
        <v>0.0575000000000001</v>
      </c>
      <c r="L27" s="115" t="n">
        <f aca="false">IFERROR(L26/K26-1,"")</f>
        <v>0.05125</v>
      </c>
      <c r="M27" s="115" t="n">
        <f aca="false">IFERROR(M26/L26-1,"")</f>
        <v>0.0450000000000002</v>
      </c>
    </row>
    <row r="28" customFormat="false" ht="15" hidden="false" customHeight="true" outlineLevel="0" collapsed="false">
      <c r="B28" s="1" t="s">
        <v>570</v>
      </c>
      <c r="N28" s="117" t="n">
        <f aca="false">N26/($C$13-$C$32)</f>
        <v>154837.131994416</v>
      </c>
    </row>
    <row r="29" customFormat="false" ht="15" hidden="false" customHeight="true" outlineLevel="0" collapsed="false">
      <c r="B29" s="5" t="s">
        <v>571</v>
      </c>
      <c r="D29" s="113" t="n">
        <f aca="false">Model!AY218</f>
        <v>-1150</v>
      </c>
      <c r="E29" s="113" t="n">
        <f aca="false">Model!AZ218</f>
        <v>-1233.843548</v>
      </c>
      <c r="F29" s="113" t="n">
        <f aca="false">Model!BA218</f>
        <v>-1288.33734116</v>
      </c>
      <c r="G29" s="113" t="n">
        <f aca="false">Model!BB218</f>
        <v>-1340.29387174452</v>
      </c>
      <c r="H29" s="113" t="n">
        <f aca="false">Model!BC218</f>
        <v>-1387.31412916081</v>
      </c>
      <c r="I29" s="114" t="n">
        <f aca="false">H29*(1+I$31)</f>
        <v>-1484.42611820206</v>
      </c>
      <c r="J29" s="114" t="n">
        <f aca="false">I29*(1+J$31)</f>
        <v>-1579.05828323744</v>
      </c>
      <c r="K29" s="114" t="n">
        <f aca="false">J29*(1+K$31)</f>
        <v>-1669.8541345236</v>
      </c>
      <c r="L29" s="114" t="n">
        <f aca="false">K29*(1+L$31)</f>
        <v>-1755.43415891793</v>
      </c>
      <c r="M29" s="114" t="n">
        <f aca="false">L29*(1+M$31)</f>
        <v>-1834.42869606924</v>
      </c>
    </row>
    <row r="31" customFormat="false" ht="15" hidden="false" customHeight="true" outlineLevel="0" collapsed="false">
      <c r="B31" s="1" t="s">
        <v>572</v>
      </c>
      <c r="I31" s="118" t="n">
        <v>0.07</v>
      </c>
      <c r="J31" s="119" t="n">
        <f aca="false">I31+($M$31-$I$31)/(COLUMNS($I$31:$M$31)-1)</f>
        <v>0.06375</v>
      </c>
      <c r="K31" s="119" t="n">
        <f aca="false">J31+($M$31-$I$31)/(COLUMNS($I$31:$M$31)-1)</f>
        <v>0.0575</v>
      </c>
      <c r="L31" s="119" t="n">
        <f aca="false">K31+($M$31-$I$31)/(COLUMNS($I$31:$M$31)-1)</f>
        <v>0.05125</v>
      </c>
      <c r="M31" s="118" t="n">
        <v>0.045</v>
      </c>
    </row>
    <row r="32" customFormat="false" ht="15" hidden="false" customHeight="true" outlineLevel="0" collapsed="false">
      <c r="B32" s="1" t="s">
        <v>573</v>
      </c>
      <c r="C32" s="120" t="n">
        <v>0.03</v>
      </c>
    </row>
    <row r="34" customFormat="false" ht="15" hidden="false" customHeight="true" outlineLevel="0" collapsed="false">
      <c r="B34" s="1" t="s">
        <v>574</v>
      </c>
      <c r="D34" s="121" t="n">
        <f aca="false">(DATE(2026,12,31)-$C$15)/365.25</f>
        <v>0.240930869267625</v>
      </c>
      <c r="E34" s="121" t="n">
        <f aca="false">(DATE(2027,12,31)-$C$15)/365.25</f>
        <v>1.24024640657084</v>
      </c>
      <c r="F34" s="121" t="n">
        <f aca="false">(DATE(2028,12,31)-$C$15)/365.25</f>
        <v>2.24229979466119</v>
      </c>
      <c r="G34" s="121" t="n">
        <f aca="false">(DATE(2029,12,31)-$C$15)/365.25</f>
        <v>3.24161533196441</v>
      </c>
      <c r="H34" s="121" t="n">
        <f aca="false">(DATE(2030,12,31)-$C$15)/365.25</f>
        <v>4.24093086926763</v>
      </c>
      <c r="I34" s="121" t="n">
        <f aca="false">(DATE(2031,12,31)-$C$15)/365.25</f>
        <v>5.24024640657084</v>
      </c>
      <c r="J34" s="121" t="n">
        <f aca="false">(DATE(2032,12,31)-$C$15)/365.25</f>
        <v>6.24229979466119</v>
      </c>
      <c r="K34" s="121" t="n">
        <f aca="false">(DATE(2033,12,31)-$C$15)/365.25</f>
        <v>7.24161533196441</v>
      </c>
      <c r="L34" s="121" t="n">
        <f aca="false">(DATE(2034,12,31)-$C$15)/365.25</f>
        <v>8.24093086926763</v>
      </c>
      <c r="M34" s="121" t="n">
        <f aca="false">(DATE(2035,12,31)-$C$15)/365.25</f>
        <v>9.24024640657084</v>
      </c>
      <c r="N34" s="121" t="n">
        <f aca="false">M34</f>
        <v>9.24024640657084</v>
      </c>
    </row>
    <row r="35" customFormat="false" ht="15" hidden="false" customHeight="true" outlineLevel="0" collapsed="false">
      <c r="B35" s="1" t="s">
        <v>575</v>
      </c>
      <c r="D35" s="122" t="n">
        <f aca="false">1/(1+$C$13)^D34</f>
        <v>0.981738084455094</v>
      </c>
      <c r="E35" s="122" t="n">
        <f aca="false">1/(1+$C$13)^E34</f>
        <v>0.909485400291195</v>
      </c>
      <c r="F35" s="122" t="n">
        <f aca="false">1/(1+$C$13)^F34</f>
        <v>0.842373830035961</v>
      </c>
      <c r="G35" s="122" t="n">
        <f aca="false">1/(1+$C$13)^G34</f>
        <v>0.780377895220715</v>
      </c>
      <c r="H35" s="122" t="n">
        <f aca="false">1/(1+$C$13)^H34</f>
        <v>0.72294465667709</v>
      </c>
      <c r="I35" s="122" t="n">
        <f aca="false">1/(1+$C$13)^I34</f>
        <v>0.669738315012286</v>
      </c>
      <c r="J35" s="122" t="n">
        <f aca="false">1/(1+$C$13)^J34</f>
        <v>0.620317851565398</v>
      </c>
      <c r="K35" s="122" t="n">
        <f aca="false">1/(1+$C$13)^K34</f>
        <v>0.574664504180734</v>
      </c>
      <c r="L35" s="122" t="n">
        <f aca="false">1/(1+$C$13)^L34</f>
        <v>0.532371092548629</v>
      </c>
      <c r="M35" s="122" t="n">
        <f aca="false">1/(1+$C$13)^M34</f>
        <v>0.493190336482457</v>
      </c>
      <c r="N35" s="122" t="n">
        <f aca="false">1/(1+$C$13)^N34</f>
        <v>0.493190336482457</v>
      </c>
    </row>
    <row r="36" customFormat="false" ht="15" hidden="false" customHeight="true" outlineLevel="0" collapsed="false">
      <c r="B36" s="1" t="s">
        <v>576</v>
      </c>
      <c r="D36" s="114" t="n">
        <f aca="false">D26*D35</f>
        <v>4175.81245276378</v>
      </c>
      <c r="E36" s="114" t="n">
        <f aca="false">E26*E35</f>
        <v>3924.14184862825</v>
      </c>
      <c r="F36" s="114" t="n">
        <f aca="false">F26*F35</f>
        <v>4053.45499716362</v>
      </c>
      <c r="G36" s="114" t="n">
        <f aca="false">G26*G35</f>
        <v>4083.55077647257</v>
      </c>
      <c r="H36" s="114" t="n">
        <f aca="false">H26*H35</f>
        <v>4068.3856961977</v>
      </c>
      <c r="I36" s="114" t="n">
        <f aca="false">I26*I35</f>
        <v>4032.79354613609</v>
      </c>
      <c r="J36" s="114" t="n">
        <f aca="false">J26*J35</f>
        <v>3973.33055352251</v>
      </c>
      <c r="K36" s="114" t="n">
        <f aca="false">K26*K35</f>
        <v>3892.55865885646</v>
      </c>
      <c r="L36" s="114" t="n">
        <f aca="false">L26*L35</f>
        <v>3790.89074165903</v>
      </c>
      <c r="M36" s="114" t="n">
        <f aca="false">M26*M35</f>
        <v>3669.92890563212</v>
      </c>
      <c r="N36" s="114" t="n">
        <f aca="false">N28*N35</f>
        <v>76364.1772283047</v>
      </c>
    </row>
    <row r="37" customFormat="false" ht="15" hidden="false" customHeight="true" outlineLevel="0" collapsed="false">
      <c r="D37" s="5" t="s">
        <v>577</v>
      </c>
    </row>
    <row r="39" customFormat="false" ht="15" hidden="false" customHeight="true" outlineLevel="0" collapsed="false">
      <c r="B39" s="18" t="s">
        <v>578</v>
      </c>
      <c r="D39" s="71" t="str">
        <f aca="false">D17</f>
        <v>2026E</v>
      </c>
      <c r="E39" s="71" t="str">
        <f aca="false">E17</f>
        <v>2027E</v>
      </c>
      <c r="F39" s="71" t="str">
        <f aca="false">F17</f>
        <v>2028E</v>
      </c>
      <c r="G39" s="71" t="str">
        <f aca="false">G17</f>
        <v>2029E</v>
      </c>
      <c r="H39" s="71" t="str">
        <f aca="false">H17</f>
        <v>2030E</v>
      </c>
      <c r="I39" s="71" t="str">
        <f aca="false">I17</f>
        <v>2031E</v>
      </c>
      <c r="J39" s="71" t="str">
        <f aca="false">J17</f>
        <v>2032E</v>
      </c>
      <c r="K39" s="71" t="str">
        <f aca="false">K17</f>
        <v>2033E</v>
      </c>
      <c r="L39" s="71" t="str">
        <f aca="false">L17</f>
        <v>2034E</v>
      </c>
      <c r="M39" s="71" t="str">
        <f aca="false">M17</f>
        <v>2035E</v>
      </c>
    </row>
    <row r="40" customFormat="false" ht="15" hidden="false" customHeight="true" outlineLevel="0" collapsed="false">
      <c r="B40" s="1" t="s">
        <v>579</v>
      </c>
      <c r="D40" s="114" t="n">
        <f aca="false">D22</f>
        <v>4764.8200457</v>
      </c>
      <c r="E40" s="114" t="n">
        <f aca="false">E22</f>
        <v>5104.14636303</v>
      </c>
      <c r="F40" s="114" t="n">
        <f aca="false">F22</f>
        <v>5526.9671935764</v>
      </c>
      <c r="G40" s="114" t="n">
        <f aca="false">G22</f>
        <v>5953.13861366524</v>
      </c>
      <c r="H40" s="114" t="n">
        <f aca="false">H22</f>
        <v>6354.54901505454</v>
      </c>
      <c r="I40" s="114" t="n">
        <f aca="false">I22</f>
        <v>6799.36744610836</v>
      </c>
      <c r="J40" s="114" t="n">
        <f aca="false">J22</f>
        <v>7232.82712079776</v>
      </c>
      <c r="K40" s="114" t="n">
        <f aca="false">K22</f>
        <v>7648.71468024364</v>
      </c>
      <c r="L40" s="114" t="n">
        <f aca="false">L22</f>
        <v>8040.71130760612</v>
      </c>
      <c r="M40" s="114" t="n">
        <f aca="false">M22</f>
        <v>8402.5433164484</v>
      </c>
    </row>
    <row r="41" customFormat="false" ht="15" hidden="false" customHeight="true" outlineLevel="0" collapsed="false">
      <c r="B41" s="1" t="s">
        <v>580</v>
      </c>
      <c r="D41" s="114" t="n">
        <f aca="false">D40-D26</f>
        <v>511.330730286986</v>
      </c>
      <c r="E41" s="114" t="n">
        <f aca="false">E40-E26</f>
        <v>789.462644773677</v>
      </c>
      <c r="F41" s="114" t="n">
        <f aca="false">F40-F26</f>
        <v>715.024024602858</v>
      </c>
      <c r="G41" s="114" t="n">
        <f aca="false">G40-G26</f>
        <v>720.352291190526</v>
      </c>
      <c r="H41" s="114" t="n">
        <f aca="false">H40-H26</f>
        <v>727.028763507983</v>
      </c>
      <c r="I41" s="114" t="n">
        <f aca="false">I40-I26</f>
        <v>777.920776953542</v>
      </c>
      <c r="J41" s="114" t="n">
        <f aca="false">J40-J26</f>
        <v>827.51322648433</v>
      </c>
      <c r="K41" s="114" t="n">
        <f aca="false">K40-K26</f>
        <v>875.095237007178</v>
      </c>
      <c r="L41" s="114" t="n">
        <f aca="false">L40-L26</f>
        <v>919.943867903797</v>
      </c>
      <c r="M41" s="114" t="n">
        <f aca="false">M40-M26</f>
        <v>961.341341959466</v>
      </c>
    </row>
    <row r="42" customFormat="false" ht="15" hidden="false" customHeight="true" outlineLevel="0" collapsed="false">
      <c r="B42" s="1" t="s">
        <v>581</v>
      </c>
      <c r="D42" s="114" t="n">
        <f aca="false">Model!AV349</f>
        <v>8385</v>
      </c>
      <c r="E42" s="114" t="n">
        <f aca="false">D43</f>
        <v>8896.33073028699</v>
      </c>
      <c r="F42" s="114" t="n">
        <f aca="false">E43</f>
        <v>9685.79337506066</v>
      </c>
      <c r="G42" s="114" t="n">
        <f aca="false">F43</f>
        <v>10400.8173996635</v>
      </c>
      <c r="H42" s="114" t="n">
        <f aca="false">G43</f>
        <v>11121.169690854</v>
      </c>
      <c r="I42" s="114" t="n">
        <f aca="false">H43</f>
        <v>11848.198454362</v>
      </c>
      <c r="J42" s="114" t="n">
        <f aca="false">I43</f>
        <v>12626.1192313156</v>
      </c>
      <c r="K42" s="114" t="n">
        <f aca="false">J43</f>
        <v>13453.6324577999</v>
      </c>
      <c r="L42" s="114" t="n">
        <f aca="false">K43</f>
        <v>14328.7276948071</v>
      </c>
      <c r="M42" s="114" t="n">
        <f aca="false">L43</f>
        <v>15248.6715627109</v>
      </c>
    </row>
    <row r="43" customFormat="false" ht="15" hidden="false" customHeight="true" outlineLevel="0" collapsed="false">
      <c r="B43" s="1" t="s">
        <v>582</v>
      </c>
      <c r="D43" s="114" t="n">
        <f aca="false">D42+D41</f>
        <v>8896.33073028699</v>
      </c>
      <c r="E43" s="114" t="n">
        <f aca="false">E42+E41</f>
        <v>9685.79337506066</v>
      </c>
      <c r="F43" s="114" t="n">
        <f aca="false">F42+F41</f>
        <v>10400.8173996635</v>
      </c>
      <c r="G43" s="114" t="n">
        <f aca="false">G42+G41</f>
        <v>11121.169690854</v>
      </c>
      <c r="H43" s="114" t="n">
        <f aca="false">H42+H41</f>
        <v>11848.198454362</v>
      </c>
      <c r="I43" s="114" t="n">
        <f aca="false">I42+I41</f>
        <v>12626.1192313156</v>
      </c>
      <c r="J43" s="114" t="n">
        <f aca="false">J42+J41</f>
        <v>13453.6324577999</v>
      </c>
      <c r="K43" s="114" t="n">
        <f aca="false">K42+K41</f>
        <v>14328.7276948071</v>
      </c>
      <c r="L43" s="114" t="n">
        <f aca="false">L42+L41</f>
        <v>15248.6715627109</v>
      </c>
      <c r="M43" s="114" t="n">
        <f aca="false">M42+M41</f>
        <v>16210.0129046703</v>
      </c>
    </row>
    <row r="44" customFormat="false" ht="15" hidden="false" customHeight="true" outlineLevel="0" collapsed="false">
      <c r="B44" s="1" t="s">
        <v>583</v>
      </c>
      <c r="D44" s="115" t="n">
        <f aca="false">IFERROR(D40/D42,"")</f>
        <v>0.568255223100775</v>
      </c>
      <c r="E44" s="115" t="n">
        <f aca="false">IFERROR(E40/E42,"")</f>
        <v>0.573736129846574</v>
      </c>
      <c r="F44" s="115" t="n">
        <f aca="false">IFERROR(F40/F42,"")</f>
        <v>0.570626171709118</v>
      </c>
      <c r="G44" s="115" t="n">
        <f aca="false">IFERROR(G40/G42,"")</f>
        <v>0.572372188156849</v>
      </c>
      <c r="H44" s="115" t="n">
        <f aca="false">IFERROR(H40/H42,"")</f>
        <v>0.571392145943107</v>
      </c>
      <c r="I44" s="115" t="n">
        <f aca="false">IFERROR(I40/I42,"")</f>
        <v>0.573873527886858</v>
      </c>
      <c r="J44" s="115" t="n">
        <f aca="false">IFERROR(J40/J42,"")</f>
        <v>0.572846413715051</v>
      </c>
      <c r="K44" s="115" t="n">
        <f aca="false">IFERROR(K40/K42,"")</f>
        <v>0.568524129392966</v>
      </c>
      <c r="L44" s="115" t="n">
        <f aca="false">IFERROR(L40/L42,"")</f>
        <v>0.561160172687222</v>
      </c>
      <c r="M44" s="115" t="n">
        <f aca="false">IFERROR(M40/M42,"")</f>
        <v>0.551034447944698</v>
      </c>
    </row>
    <row r="45" customFormat="false" ht="15" hidden="false" customHeight="true" outlineLevel="0" collapsed="false">
      <c r="B45" s="1" t="s">
        <v>584</v>
      </c>
      <c r="D45" s="115" t="n">
        <f aca="false">IFERROR(D41/D40,"")</f>
        <v>0.107313754849658</v>
      </c>
      <c r="E45" s="115" t="n">
        <f aca="false">IFERROR(E41/E40,"")</f>
        <v>0.154670847703714</v>
      </c>
      <c r="F45" s="115" t="n">
        <f aca="false">IFERROR(F41/F40,"")</f>
        <v>0.129370050438128</v>
      </c>
      <c r="G45" s="115" t="n">
        <f aca="false">IFERROR(G41/G40,"")</f>
        <v>0.121003782699932</v>
      </c>
      <c r="H45" s="115" t="n">
        <f aca="false">IFERROR(H41/H40,"")</f>
        <v>0.114410757047523</v>
      </c>
      <c r="I45" s="115" t="n">
        <f aca="false">IFERROR(I41/I40,"")</f>
        <v>0.114410757047523</v>
      </c>
      <c r="J45" s="115" t="n">
        <f aca="false">IFERROR(J41/J40,"")</f>
        <v>0.114410757047523</v>
      </c>
      <c r="K45" s="115" t="n">
        <f aca="false">IFERROR(K41/K40,"")</f>
        <v>0.114410757047523</v>
      </c>
      <c r="L45" s="115" t="n">
        <f aca="false">IFERROR(L41/L40,"")</f>
        <v>0.114410757047523</v>
      </c>
      <c r="M45" s="115" t="n">
        <f aca="false">IFERROR(M41/M40,"")</f>
        <v>0.114410757047523</v>
      </c>
    </row>
    <row r="46" customFormat="false" ht="15" hidden="false" customHeight="true" outlineLevel="0" collapsed="false">
      <c r="B46" s="1" t="s">
        <v>585</v>
      </c>
      <c r="D46" s="115"/>
      <c r="E46" s="115" t="n">
        <f aca="false">IFERROR((E40-D40)/D41,"")</f>
        <v>0.66361416834766</v>
      </c>
      <c r="F46" s="115" t="n">
        <f aca="false">IFERROR((F40-E40)/E41,"")</f>
        <v>0.535580541201687</v>
      </c>
      <c r="G46" s="115" t="n">
        <f aca="false">IFERROR((G40-F40)/F41,"")</f>
        <v>0.596023917274036</v>
      </c>
      <c r="H46" s="115" t="n">
        <f aca="false">IFERROR((H40-G40)/G41,"")</f>
        <v>0.557241791687627</v>
      </c>
      <c r="I46" s="115" t="n">
        <f aca="false">IFERROR((I40-H40)/H41,"")</f>
        <v>0.611830581375525</v>
      </c>
      <c r="J46" s="115" t="n">
        <f aca="false">IFERROR((J40-I40)/I41,"")</f>
        <v>0.557202850895566</v>
      </c>
      <c r="K46" s="115" t="n">
        <f aca="false">IFERROR((K40-J40)/J41,"")</f>
        <v>0.502575120415611</v>
      </c>
      <c r="L46" s="115" t="n">
        <f aca="false">IFERROR((L40-K40)/K41,"")</f>
        <v>0.447947389935653</v>
      </c>
      <c r="M46" s="115" t="n">
        <f aca="false">IFERROR((M40-L40)/L41,"")</f>
        <v>0.393319659455694</v>
      </c>
    </row>
    <row r="47" customFormat="false" ht="15" hidden="false" customHeight="true" outlineLevel="0" collapsed="false">
      <c r="B47" s="1" t="s">
        <v>586</v>
      </c>
      <c r="C47" s="115" t="n">
        <f aca="false">IFERROR((M40-D40)/SUM(D41:L41),"")</f>
        <v>0.529996698925909</v>
      </c>
    </row>
    <row r="48" customFormat="false" ht="15" hidden="false" customHeight="true" outlineLevel="0" collapsed="false">
      <c r="D48" s="5" t="s">
        <v>587</v>
      </c>
    </row>
    <row r="49" customFormat="false" ht="15" hidden="false" customHeight="true" outlineLevel="0" collapsed="false">
      <c r="B49" s="18" t="s">
        <v>588</v>
      </c>
    </row>
    <row r="50" customFormat="false" ht="15" hidden="false" customHeight="true" outlineLevel="0" collapsed="false">
      <c r="B50" s="13" t="s">
        <v>589</v>
      </c>
      <c r="C50" s="114" t="n">
        <f aca="false">SUM(D36:M36)</f>
        <v>39664.8481770321</v>
      </c>
    </row>
    <row r="51" customFormat="false" ht="15" hidden="false" customHeight="true" outlineLevel="0" collapsed="false">
      <c r="B51" s="13" t="s">
        <v>590</v>
      </c>
      <c r="C51" s="114" t="n">
        <f aca="false">N36</f>
        <v>76364.1772283047</v>
      </c>
    </row>
    <row r="52" customFormat="false" ht="15" hidden="false" customHeight="true" outlineLevel="0" collapsed="false">
      <c r="B52" s="71" t="s">
        <v>591</v>
      </c>
      <c r="C52" s="117" t="n">
        <f aca="false">C50+C51</f>
        <v>116029.025405337</v>
      </c>
    </row>
    <row r="53" customFormat="false" ht="15" hidden="false" customHeight="true" outlineLevel="0" collapsed="false">
      <c r="B53" s="13" t="s">
        <v>592</v>
      </c>
      <c r="C53" s="114" t="n">
        <f aca="false">Model!AY372</f>
        <v>-14747.190264313</v>
      </c>
    </row>
    <row r="54" customFormat="false" ht="15" hidden="false" customHeight="true" outlineLevel="0" collapsed="false">
      <c r="B54" s="13" t="s">
        <v>593</v>
      </c>
      <c r="C54" s="114" t="n">
        <f aca="false">Model!AY383</f>
        <v>6</v>
      </c>
    </row>
    <row r="55" customFormat="false" ht="15" hidden="false" customHeight="true" outlineLevel="0" collapsed="false">
      <c r="B55" s="71" t="s">
        <v>594</v>
      </c>
      <c r="C55" s="117" t="n">
        <f aca="false">C52-C53-C54</f>
        <v>130770.21566965</v>
      </c>
    </row>
    <row r="56" customFormat="false" ht="15" hidden="false" customHeight="true" outlineLevel="0" collapsed="false">
      <c r="B56" s="13" t="s">
        <v>595</v>
      </c>
      <c r="C56" s="123" t="n">
        <f aca="false">Model!AY148</f>
        <v>105.002977</v>
      </c>
    </row>
    <row r="57" customFormat="false" ht="15" hidden="false" customHeight="true" outlineLevel="0" collapsed="false">
      <c r="B57" s="71" t="s">
        <v>596</v>
      </c>
      <c r="C57" s="124" t="n">
        <f aca="false">C55/C56</f>
        <v>1245.39531550281</v>
      </c>
    </row>
    <row r="58" customFormat="false" ht="15" hidden="false" customHeight="true" outlineLevel="0" collapsed="false">
      <c r="B58" s="13" t="s">
        <v>597</v>
      </c>
      <c r="C58" s="125" t="n">
        <f aca="false">Model!AY379</f>
        <v>1299.5</v>
      </c>
    </row>
    <row r="59" customFormat="false" ht="15" hidden="false" customHeight="true" outlineLevel="0" collapsed="false">
      <c r="B59" s="13" t="s">
        <v>598</v>
      </c>
      <c r="C59" s="126" t="n">
        <f aca="false">C57/C58-1</f>
        <v>-0.0416350015368874</v>
      </c>
    </row>
    <row r="60" customFormat="false" ht="15" hidden="false" customHeight="true" outlineLevel="0" collapsed="false">
      <c r="B60" s="1" t="s">
        <v>599</v>
      </c>
      <c r="C60" s="126" t="n">
        <f aca="false">1-((1+C13)/(1+F60))^F61</f>
        <v>0.104606634735019</v>
      </c>
      <c r="E60" s="1" t="s">
        <v>600</v>
      </c>
      <c r="F60" s="127" t="n">
        <v>0.12</v>
      </c>
    </row>
    <row r="61" customFormat="false" ht="15" hidden="false" customHeight="true" outlineLevel="0" collapsed="false">
      <c r="B61" s="1" t="s">
        <v>601</v>
      </c>
      <c r="C61" s="125" t="n">
        <f aca="false">C57*(1-C60)</f>
        <v>1115.11870263331</v>
      </c>
      <c r="D61" s="126" t="n">
        <f aca="false">C61/C58-1</f>
        <v>-0.141886338873945</v>
      </c>
      <c r="E61" s="1" t="s">
        <v>602</v>
      </c>
      <c r="F61" s="128" t="n">
        <v>3</v>
      </c>
    </row>
    <row r="64" customFormat="false" ht="15" hidden="false" customHeight="true" outlineLevel="0" collapsed="false">
      <c r="B64" s="18" t="s">
        <v>603</v>
      </c>
    </row>
    <row r="65" customFormat="false" ht="15" hidden="false" customHeight="true" outlineLevel="0" collapsed="false">
      <c r="B65" s="1" t="s">
        <v>604</v>
      </c>
      <c r="C65" s="129" t="n">
        <v>0.005</v>
      </c>
    </row>
    <row r="66" customFormat="false" ht="15" hidden="false" customHeight="true" outlineLevel="0" collapsed="false">
      <c r="B66" s="1" t="s">
        <v>605</v>
      </c>
      <c r="C66" s="129" t="n">
        <v>0.005</v>
      </c>
    </row>
    <row r="67" customFormat="false" ht="15" hidden="false" customHeight="true" outlineLevel="0" collapsed="false">
      <c r="B67" s="1" t="s">
        <v>606</v>
      </c>
      <c r="D67" s="130" t="n">
        <f aca="false">E67-$C$65</f>
        <v>0.0695</v>
      </c>
      <c r="E67" s="130" t="n">
        <f aca="false">F67-$C$65</f>
        <v>0.0745</v>
      </c>
      <c r="F67" s="130" t="n">
        <f aca="false">$C$13</f>
        <v>0.0795</v>
      </c>
      <c r="G67" s="130" t="n">
        <f aca="false">F67+$C$65</f>
        <v>0.0845</v>
      </c>
      <c r="H67" s="130" t="n">
        <f aca="false">G67+$C$65</f>
        <v>0.0895</v>
      </c>
    </row>
    <row r="68" customFormat="false" ht="15" hidden="false" customHeight="true" outlineLevel="0" collapsed="false">
      <c r="B68" s="130" t="n">
        <f aca="false">B69-$C$66</f>
        <v>0.02</v>
      </c>
      <c r="D68" s="131" t="n">
        <f aca="false">IFERROR((SUMPRODUCT($D$26:$M$26/(1+D$67)^$D$34:$M$34)+($M$26*(1+$B68)/(D$67-$B68))/(1+D$67)^$M$34-$C$53-$C$54)/$C$56,"")</f>
        <v>1319.8821243479</v>
      </c>
      <c r="E68" s="131" t="n">
        <f aca="false">IFERROR((SUMPRODUCT($D$26:$M$26/(1+E$67)^$D$34:$M$34)+($M$26*(1+$B68)/(E$67-$B68))/(1+E$67)^$M$34-$C$53-$C$54)/$C$56,"")</f>
        <v>1209.2230321864</v>
      </c>
      <c r="F68" s="131" t="n">
        <f aca="false">IFERROR((SUMPRODUCT($D$26:$M$26/(1+F$67)^$D$34:$M$34)+($M$26*(1+$B68)/(F$67-$B68))/(1+F$67)^$M$34-$C$53-$C$54)/$C$56,"")</f>
        <v>1117.29313536547</v>
      </c>
      <c r="G68" s="131" t="n">
        <f aca="false">IFERROR((SUMPRODUCT($D$26:$M$26/(1+G$67)^$D$34:$M$34)+($M$26*(1+$B68)/(G$67-$B68))/(1+G$67)^$M$34-$C$53-$C$54)/$C$56,"")</f>
        <v>1039.73241664783</v>
      </c>
      <c r="H68" s="131" t="n">
        <f aca="false">IFERROR((SUMPRODUCT($D$26:$M$26/(1+H$67)^$D$34:$M$34)+($M$26*(1+$B68)/(H$67-$B68))/(1+H$67)^$M$34-$C$53-$C$54)/$C$56,"")</f>
        <v>973.435711955499</v>
      </c>
    </row>
    <row r="69" customFormat="false" ht="15" hidden="false" customHeight="true" outlineLevel="0" collapsed="false">
      <c r="B69" s="130" t="n">
        <f aca="false">B70-$C$66</f>
        <v>0.025</v>
      </c>
      <c r="D69" s="131" t="n">
        <f aca="false">IFERROR((SUMPRODUCT($D$26:$M$26/(1+D$67)^$D$34:$M$34)+($M$26*(1+$B69)/(D$67-$B69))/(1+D$67)^$M$34-$C$53-$C$54)/$C$56,"")</f>
        <v>1412.34968140183</v>
      </c>
      <c r="E69" s="131" t="n">
        <f aca="false">IFERROR((SUMPRODUCT($D$26:$M$26/(1+E$67)^$D$34:$M$34)+($M$26*(1+$B69)/(E$67-$B69))/(1+E$67)^$M$34-$C$53-$C$54)/$C$56,"")</f>
        <v>1281.87731075439</v>
      </c>
      <c r="F69" s="131" t="n">
        <f aca="false">IFERROR((SUMPRODUCT($D$26:$M$26/(1+F$67)^$D$34:$M$34)+($M$26*(1+$B69)/(F$67-$B69))/(1+F$67)^$M$34-$C$53-$C$54)/$C$56,"")</f>
        <v>1175.46797863885</v>
      </c>
      <c r="G69" s="131" t="n">
        <f aca="false">IFERROR((SUMPRODUCT($D$26:$M$26/(1+G$67)^$D$34:$M$34)+($M$26*(1+$B69)/(G$67-$B69))/(1+G$67)^$M$34-$C$53-$C$54)/$C$56,"")</f>
        <v>1087.05131000929</v>
      </c>
      <c r="H69" s="131" t="n">
        <f aca="false">IFERROR((SUMPRODUCT($D$26:$M$26/(1+H$67)^$D$34:$M$34)+($M$26*(1+$B69)/(H$67-$B69))/(1+H$67)^$M$34-$C$53-$C$54)/$C$56,"")</f>
        <v>1012.43937353535</v>
      </c>
    </row>
    <row r="70" customFormat="false" ht="15" hidden="false" customHeight="true" outlineLevel="0" collapsed="false">
      <c r="B70" s="130" t="n">
        <f aca="false">$C$32</f>
        <v>0.03</v>
      </c>
      <c r="D70" s="131" t="n">
        <f aca="false">IFERROR((SUMPRODUCT($D$26:$M$26/(1+D$67)^$D$34:$M$34)+($M$26*(1+$B70)/(D$67-$B70))/(1+D$67)^$M$34-$C$53-$C$54)/$C$56,"")</f>
        <v>1528.22674657067</v>
      </c>
      <c r="E70" s="131" t="n">
        <f aca="false">IFERROR((SUMPRODUCT($D$26:$M$26/(1+E$67)^$D$34:$M$34)+($M$26*(1+$B70)/(E$67-$B70))/(1+E$67)^$M$34-$C$53-$C$54)/$C$56,"")</f>
        <v>1370.85839349496</v>
      </c>
      <c r="F70" s="132" t="n">
        <f aca="false">IFERROR((SUMPRODUCT($D$26:$M$26/(1+F$67)^$D$34:$M$34)+($M$26*(1+$B70)/(F$67-$B70))/(1+F$67)^$M$34-$C$53-$C$54)/$C$56,"")</f>
        <v>1245.39531550281</v>
      </c>
      <c r="G70" s="131" t="n">
        <f aca="false">IFERROR((SUMPRODUCT($D$26:$M$26/(1+G$67)^$D$34:$M$34)+($M$26*(1+$B70)/(G$67-$B70))/(1+G$67)^$M$34-$C$53-$C$54)/$C$56,"")</f>
        <v>1143.05256912516</v>
      </c>
      <c r="H70" s="131" t="n">
        <f aca="false">IFERROR((SUMPRODUCT($D$26:$M$26/(1+H$67)^$D$34:$M$34)+($M$26*(1+$B70)/(H$67-$B70))/(1+H$67)^$M$34-$C$53-$C$54)/$C$56,"")</f>
        <v>1057.99827235552</v>
      </c>
    </row>
    <row r="71" customFormat="false" ht="15" hidden="false" customHeight="true" outlineLevel="0" collapsed="false">
      <c r="B71" s="130" t="n">
        <f aca="false">B70+$C$66</f>
        <v>0.035</v>
      </c>
      <c r="D71" s="131" t="n">
        <f aca="false">IFERROR((SUMPRODUCT($D$26:$M$26/(1+D$67)^$D$34:$M$34)+($M$26*(1+$B71)/(D$67-$B71))/(1+D$67)^$M$34-$C$53-$C$54)/$C$56,"")</f>
        <v>1677.69136686092</v>
      </c>
      <c r="E71" s="131" t="n">
        <f aca="false">IFERROR((SUMPRODUCT($D$26:$M$26/(1+E$67)^$D$34:$M$34)+($M$26*(1+$B71)/(E$67-$B71))/(1+E$67)^$M$34-$C$53-$C$54)/$C$56,"")</f>
        <v>1482.36633262556</v>
      </c>
      <c r="F71" s="131" t="n">
        <f aca="false">IFERROR((SUMPRODUCT($D$26:$M$26/(1+F$67)^$D$34:$M$34)+($M$26*(1+$B71)/(F$67-$B71))/(1+F$67)^$M$34-$C$53-$C$54)/$C$56,"")</f>
        <v>1331.03666065081</v>
      </c>
      <c r="G71" s="131" t="n">
        <f aca="false">IFERROR((SUMPRODUCT($D$26:$M$26/(1+G$67)^$D$34:$M$34)+($M$26*(1+$B71)/(G$67-$B71))/(1+G$67)^$M$34-$C$53-$C$54)/$C$56,"")</f>
        <v>1210.36721392099</v>
      </c>
      <c r="H71" s="131" t="n">
        <f aca="false">IFERROR((SUMPRODUCT($D$26:$M$26/(1+H$67)^$D$34:$M$34)+($M$26*(1+$B71)/(H$67-$B71))/(1+H$67)^$M$34-$C$53-$C$54)/$C$56,"")</f>
        <v>1111.91660215186</v>
      </c>
    </row>
    <row r="72" customFormat="false" ht="15" hidden="false" customHeight="true" outlineLevel="0" collapsed="false">
      <c r="B72" s="130" t="n">
        <f aca="false">B71+$C$66</f>
        <v>0.04</v>
      </c>
      <c r="D72" s="131" t="n">
        <f aca="false">IFERROR((SUMPRODUCT($D$26:$M$26/(1+D$67)^$D$34:$M$34)+($M$26*(1+$B72)/(D$67-$B72))/(1+D$67)^$M$34-$C$53-$C$54)/$C$56,"")</f>
        <v>1877.82196013092</v>
      </c>
      <c r="E72" s="131" t="n">
        <f aca="false">IFERROR((SUMPRODUCT($D$26:$M$26/(1+E$67)^$D$34:$M$34)+($M$26*(1+$B72)/(E$67-$B72))/(1+E$67)^$M$34-$C$53-$C$54)/$C$56,"")</f>
        <v>1626.19541353314</v>
      </c>
      <c r="F72" s="131" t="n">
        <f aca="false">IFERROR((SUMPRODUCT($D$26:$M$26/(1+F$67)^$D$34:$M$34)+($M$26*(1+$B72)/(F$67-$B72))/(1+F$67)^$M$34-$C$53-$C$54)/$C$56,"")</f>
        <v>1438.35935900084</v>
      </c>
      <c r="G72" s="131" t="n">
        <f aca="false">IFERROR((SUMPRODUCT($D$26:$M$26/(1+G$67)^$D$34:$M$34)+($M$26*(1+$B72)/(G$67-$B72))/(1+G$67)^$M$34-$C$53-$C$54)/$C$56,"")</f>
        <v>1292.80874518781</v>
      </c>
      <c r="H72" s="131" t="n">
        <f aca="false">IFERROR((SUMPRODUCT($D$26:$M$26/(1+H$67)^$D$34:$M$34)+($M$26*(1+$B72)/(H$67-$B72))/(1+H$67)^$M$34-$C$53-$C$54)/$C$56,"")</f>
        <v>1176.72752382625</v>
      </c>
    </row>
    <row r="75" customFormat="false" ht="15" hidden="false" customHeight="true" outlineLevel="0" collapsed="false">
      <c r="B75" s="18" t="s">
        <v>607</v>
      </c>
    </row>
    <row r="76" customFormat="false" ht="15" hidden="false" customHeight="true" outlineLevel="0" collapsed="false">
      <c r="B76" s="5" t="s">
        <v>608</v>
      </c>
    </row>
    <row r="78" customFormat="false" ht="15" hidden="false" customHeight="true" outlineLevel="0" collapsed="false">
      <c r="B78" s="18" t="s">
        <v>609</v>
      </c>
    </row>
    <row r="79" customFormat="false" ht="15" hidden="false" customHeight="true" outlineLevel="0" collapsed="false">
      <c r="B79" s="5" t="s">
        <v>610</v>
      </c>
    </row>
    <row r="80" customFormat="false" ht="15" hidden="false" customHeight="true" outlineLevel="0" collapsed="false">
      <c r="B80" s="5" t="s">
        <v>611</v>
      </c>
    </row>
    <row r="82" customFormat="false" ht="15" hidden="false" customHeight="true" outlineLevel="0" collapsed="false">
      <c r="B82" s="18" t="s">
        <v>612</v>
      </c>
      <c r="C82" s="18" t="s">
        <v>613</v>
      </c>
      <c r="D82" s="18" t="s">
        <v>614</v>
      </c>
    </row>
    <row r="83" customFormat="false" ht="15" hidden="false" customHeight="true" outlineLevel="0" collapsed="false">
      <c r="B83" s="1" t="s">
        <v>615</v>
      </c>
      <c r="C83" s="133" t="n">
        <f aca="false">$C$13</f>
        <v>0.0795</v>
      </c>
      <c r="D83" s="5" t="s">
        <v>616</v>
      </c>
    </row>
    <row r="84" customFormat="false" ht="15" hidden="false" customHeight="true" outlineLevel="0" collapsed="false">
      <c r="B84" s="1" t="s">
        <v>617</v>
      </c>
      <c r="C84" s="109" t="n">
        <v>0.08</v>
      </c>
      <c r="D84" s="5" t="s">
        <v>618</v>
      </c>
    </row>
    <row r="85" customFormat="false" ht="15" hidden="false" customHeight="true" outlineLevel="0" collapsed="false">
      <c r="B85" s="1" t="s">
        <v>619</v>
      </c>
      <c r="C85" s="109" t="n">
        <v>0.4</v>
      </c>
      <c r="D85" s="5" t="s">
        <v>620</v>
      </c>
    </row>
    <row r="86" customFormat="false" ht="15" hidden="false" customHeight="true" outlineLevel="0" collapsed="false">
      <c r="B86" s="1" t="s">
        <v>621</v>
      </c>
      <c r="C86" s="134" t="n">
        <v>20</v>
      </c>
      <c r="D86" s="5" t="s">
        <v>622</v>
      </c>
    </row>
    <row r="88" customFormat="false" ht="15" hidden="false" customHeight="true" outlineLevel="0" collapsed="false">
      <c r="B88" s="18" t="s">
        <v>623</v>
      </c>
      <c r="C88" s="18" t="s">
        <v>613</v>
      </c>
    </row>
    <row r="89" customFormat="false" ht="15" hidden="false" customHeight="true" outlineLevel="0" collapsed="false">
      <c r="B89" s="1" t="s">
        <v>624</v>
      </c>
      <c r="C89" s="121" t="n">
        <f aca="false">1/C83</f>
        <v>12.5786163522013</v>
      </c>
    </row>
    <row r="90" customFormat="false" ht="15" hidden="false" customHeight="true" outlineLevel="0" collapsed="false">
      <c r="B90" s="1" t="s">
        <v>625</v>
      </c>
      <c r="C90" s="121" t="n">
        <f aca="false">1-C83/C85</f>
        <v>0.80125</v>
      </c>
    </row>
    <row r="91" customFormat="false" ht="15" hidden="false" customHeight="true" outlineLevel="0" collapsed="false">
      <c r="B91" s="1" t="s">
        <v>626</v>
      </c>
      <c r="C91" s="121" t="n">
        <f aca="false">C84*C90/(C83*(C83-C84))</f>
        <v>-1612.5786163522</v>
      </c>
    </row>
    <row r="92" customFormat="false" ht="15" hidden="false" customHeight="true" outlineLevel="0" collapsed="false">
      <c r="B92" s="1" t="s">
        <v>627</v>
      </c>
      <c r="C92" s="121" t="n">
        <f aca="false">1-((1+C84)/(1+C83))^C86</f>
        <v>-0.00930442276773458</v>
      </c>
    </row>
    <row r="93" customFormat="false" ht="15" hidden="false" customHeight="true" outlineLevel="0" collapsed="false">
      <c r="B93" s="1" t="s">
        <v>628</v>
      </c>
      <c r="C93" s="121" t="n">
        <f aca="false">C91*C92</f>
        <v>15.0041131927493</v>
      </c>
    </row>
    <row r="94" customFormat="false" ht="15" hidden="false" customHeight="true" outlineLevel="0" collapsed="false">
      <c r="B94" s="12" t="s">
        <v>629</v>
      </c>
      <c r="C94" s="135" t="n">
        <f aca="false">C89+C93</f>
        <v>27.5827295449506</v>
      </c>
    </row>
    <row r="96" customFormat="false" ht="15" hidden="false" customHeight="true" outlineLevel="0" collapsed="false">
      <c r="B96" s="18" t="s">
        <v>630</v>
      </c>
      <c r="C96" s="18" t="s">
        <v>631</v>
      </c>
    </row>
    <row r="97" customFormat="false" ht="15" hidden="false" customHeight="true" outlineLevel="0" collapsed="false">
      <c r="B97" s="1" t="s">
        <v>632</v>
      </c>
      <c r="C97" s="114" t="n">
        <f aca="false">Model!BA124</f>
        <v>7730.02404696</v>
      </c>
    </row>
    <row r="98" customFormat="false" ht="15" hidden="false" customHeight="true" outlineLevel="0" collapsed="false">
      <c r="B98" s="1" t="s">
        <v>633</v>
      </c>
      <c r="C98" s="114" t="n">
        <f aca="false">Model!BA126</f>
        <v>0</v>
      </c>
    </row>
    <row r="99" customFormat="false" ht="15" hidden="false" customHeight="true" outlineLevel="0" collapsed="false">
      <c r="B99" s="1" t="s">
        <v>634</v>
      </c>
      <c r="C99" s="126" t="n">
        <f aca="false">$C$10</f>
        <v>0.285</v>
      </c>
    </row>
    <row r="100" customFormat="false" ht="15" hidden="false" customHeight="true" outlineLevel="0" collapsed="false">
      <c r="B100" s="1" t="s">
        <v>635</v>
      </c>
      <c r="C100" s="114" t="n">
        <f aca="false">(C97+C98)*(1-C99)</f>
        <v>5526.9671935764</v>
      </c>
    </row>
    <row r="101" customFormat="false" ht="15" hidden="false" customHeight="true" outlineLevel="0" collapsed="false">
      <c r="B101" s="1" t="s">
        <v>636</v>
      </c>
      <c r="C101" s="136" t="n">
        <f aca="false">C94</f>
        <v>27.5827295449506</v>
      </c>
    </row>
    <row r="102" customFormat="false" ht="15" hidden="false" customHeight="true" outlineLevel="0" collapsed="false">
      <c r="B102" s="1" t="s">
        <v>637</v>
      </c>
      <c r="C102" s="114" t="n">
        <f aca="false">C100*C101</f>
        <v>152448.841304232</v>
      </c>
    </row>
    <row r="103" customFormat="false" ht="15" hidden="false" customHeight="true" outlineLevel="0" collapsed="false">
      <c r="B103" s="1" t="s">
        <v>638</v>
      </c>
      <c r="C103" s="114" t="n">
        <f aca="false">Model!AZ372+Model!AZ383</f>
        <v>-17008.5676940969</v>
      </c>
    </row>
    <row r="104" customFormat="false" ht="15" hidden="false" customHeight="true" outlineLevel="0" collapsed="false">
      <c r="B104" s="1" t="s">
        <v>639</v>
      </c>
      <c r="C104" s="114" t="n">
        <f aca="false">C102-C103</f>
        <v>169457.408998329</v>
      </c>
    </row>
    <row r="105" customFormat="false" ht="15" hidden="false" customHeight="true" outlineLevel="0" collapsed="false">
      <c r="B105" s="1" t="s">
        <v>640</v>
      </c>
      <c r="C105" s="114" t="n">
        <f aca="false">Model!BA148</f>
        <v>104.839635888151</v>
      </c>
    </row>
    <row r="106" customFormat="false" ht="15" hidden="false" customHeight="true" outlineLevel="0" collapsed="false">
      <c r="B106" s="1" t="s">
        <v>641</v>
      </c>
      <c r="C106" s="125" t="n">
        <f aca="false">C104/C105</f>
        <v>1616.34869830257</v>
      </c>
    </row>
    <row r="108" customFormat="false" ht="15" hidden="false" customHeight="true" outlineLevel="0" collapsed="false">
      <c r="B108" s="1" t="s">
        <v>597</v>
      </c>
      <c r="C108" s="125" t="n">
        <f aca="false">C58</f>
        <v>1299.5</v>
      </c>
    </row>
    <row r="109" customFormat="false" ht="15" hidden="false" customHeight="true" outlineLevel="0" collapsed="false">
      <c r="B109" s="1" t="s">
        <v>598</v>
      </c>
      <c r="C109" s="126" t="n">
        <f aca="false">C106/C108-1</f>
        <v>0.243823546212061</v>
      </c>
    </row>
    <row r="111" customFormat="false" ht="15" hidden="false" customHeight="true" outlineLevel="0" collapsed="false">
      <c r="B111" s="18" t="s">
        <v>642</v>
      </c>
      <c r="C111" s="18" t="s">
        <v>631</v>
      </c>
    </row>
    <row r="112" customFormat="false" ht="15" hidden="false" customHeight="true" outlineLevel="0" collapsed="false">
      <c r="B112" s="1" t="s">
        <v>643</v>
      </c>
      <c r="C112" s="114" t="n">
        <f aca="false">C58*C56</f>
        <v>136451.3686115</v>
      </c>
    </row>
    <row r="113" customFormat="false" ht="15" hidden="false" customHeight="true" outlineLevel="0" collapsed="false">
      <c r="B113" s="1" t="s">
        <v>644</v>
      </c>
      <c r="C113" s="114" t="n">
        <f aca="false">C53+C54</f>
        <v>-14741.190264313</v>
      </c>
    </row>
    <row r="114" customFormat="false" ht="15" hidden="false" customHeight="true" outlineLevel="0" collapsed="false">
      <c r="B114" s="1" t="s">
        <v>645</v>
      </c>
      <c r="C114" s="114" t="n">
        <f aca="false">C112+C113</f>
        <v>121710.178347187</v>
      </c>
    </row>
    <row r="115" customFormat="false" ht="15" hidden="false" customHeight="true" outlineLevel="0" collapsed="false">
      <c r="B115" s="1" t="s">
        <v>646</v>
      </c>
      <c r="C115" s="136" t="n">
        <f aca="false">C114/C100</f>
        <v>22.0211508562312</v>
      </c>
    </row>
    <row r="117" customFormat="false" ht="15" hidden="false" customHeight="true" outlineLevel="0" collapsed="false">
      <c r="B117" s="1" t="s">
        <v>647</v>
      </c>
      <c r="C117" s="136" t="n">
        <f aca="false">C94-C115</f>
        <v>5.56157868871934</v>
      </c>
    </row>
    <row r="118" customFormat="false" ht="15" hidden="false" customHeight="true" outlineLevel="0" collapsed="false">
      <c r="B118" s="1" t="s">
        <v>648</v>
      </c>
      <c r="C118" s="126" t="n">
        <f aca="false">C94/C115-1</f>
        <v>0.252556223107005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2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30"/>
  </cols>
  <sheetData>
    <row r="2" customFormat="false" ht="17.25" hidden="false" customHeight="true" outlineLevel="0" collapsed="false">
      <c r="B2" s="137" t="s">
        <v>649</v>
      </c>
    </row>
    <row r="3" customFormat="false" ht="15" hidden="false" customHeight="true" outlineLevel="0" collapsed="false">
      <c r="B3" s="5" t="s">
        <v>650</v>
      </c>
    </row>
    <row r="7" customFormat="false" ht="15" hidden="false" customHeight="true" outlineLevel="0" collapsed="false">
      <c r="C7" s="12" t="n">
        <v>2009</v>
      </c>
      <c r="D7" s="12" t="n">
        <v>2010</v>
      </c>
      <c r="E7" s="12" t="n">
        <v>2011</v>
      </c>
      <c r="F7" s="12" t="n">
        <v>2012</v>
      </c>
      <c r="G7" s="12" t="n">
        <v>2013</v>
      </c>
      <c r="H7" s="12" t="n">
        <v>2014</v>
      </c>
      <c r="I7" s="12" t="n">
        <v>2015</v>
      </c>
      <c r="J7" s="12" t="n">
        <v>2016</v>
      </c>
      <c r="K7" s="12" t="n">
        <v>2017</v>
      </c>
      <c r="L7" s="12" t="n">
        <v>2018</v>
      </c>
      <c r="M7" s="12" t="n">
        <v>2019</v>
      </c>
      <c r="N7" s="12" t="n">
        <v>2020</v>
      </c>
      <c r="O7" s="12" t="n">
        <v>2021</v>
      </c>
      <c r="P7" s="12" t="n">
        <v>2022</v>
      </c>
      <c r="Q7" s="12" t="n">
        <v>2023</v>
      </c>
      <c r="R7" s="12" t="n">
        <v>2024</v>
      </c>
      <c r="S7" s="12" t="n">
        <v>2025</v>
      </c>
    </row>
    <row r="8" customFormat="false" ht="15" hidden="false" customHeight="true" outlineLevel="0" collapsed="false">
      <c r="B8" s="1" t="s">
        <v>651</v>
      </c>
      <c r="C8" s="138" t="n">
        <f aca="false">IFERROR(Model!F63+0,0)</f>
        <v>0</v>
      </c>
      <c r="D8" s="138" t="n">
        <f aca="false">IFERROR(Model!G63+0,0)</f>
        <v>0.189</v>
      </c>
      <c r="E8" s="138" t="n">
        <f aca="false">IFERROR(Model!H63+0,0)</f>
        <v>0.183</v>
      </c>
      <c r="F8" s="138" t="n">
        <f aca="false">IFERROR(Model!I63+0,0)</f>
        <v>0.164</v>
      </c>
      <c r="G8" s="138" t="n">
        <f aca="false">IFERROR(Model!L63+0,0)</f>
        <v>0.13</v>
      </c>
      <c r="H8" s="138" t="n">
        <f aca="false">IFERROR(Model!O63+0,0)</f>
        <v>0.111</v>
      </c>
      <c r="I8" s="138" t="n">
        <f aca="false">IFERROR(Model!R63+0,0)</f>
        <v>0.081</v>
      </c>
      <c r="J8" s="138" t="n">
        <f aca="false">IFERROR(Model!U63+0,0)</f>
        <v>0.074</v>
      </c>
      <c r="K8" s="138" t="n">
        <f aca="false">IFERROR(Model!X63+0,0)</f>
        <v>0.086</v>
      </c>
      <c r="L8" s="138" t="n">
        <f aca="false">IFERROR(Model!AA63+0,0)</f>
        <v>0.104</v>
      </c>
      <c r="M8" s="138" t="n">
        <f aca="false">IFERROR(Model!AD63+0,0)</f>
        <v>0.124</v>
      </c>
      <c r="N8" s="138" t="n">
        <f aca="false">IFERROR(Model!AG63+0,0)</f>
        <v>-0.06</v>
      </c>
      <c r="O8" s="138" t="n">
        <f aca="false">IFERROR(Model!AJ63+0,0)</f>
        <v>0.418</v>
      </c>
      <c r="P8" s="138" t="n">
        <f aca="false">IFERROR(Model!AM63+0,0)</f>
        <v>0.234</v>
      </c>
      <c r="Q8" s="138" t="n">
        <f aca="false">IFERROR(Model!AP63+0,0)</f>
        <v>0.206</v>
      </c>
      <c r="R8" s="138" t="n">
        <f aca="false">IFERROR(Model!AS63+0,0)</f>
        <v>0.147</v>
      </c>
      <c r="S8" s="138" t="n">
        <f aca="false">IFERROR(Model!AV63+0,0)</f>
        <v>0.089</v>
      </c>
    </row>
    <row r="9" customFormat="false" ht="15" hidden="false" customHeight="true" outlineLevel="0" collapsed="false">
      <c r="B9" s="1" t="s">
        <v>652</v>
      </c>
      <c r="C9" s="138" t="n">
        <f aca="false">IFERROR(Model!F64+0,0)</f>
        <v>0</v>
      </c>
      <c r="D9" s="138" t="n">
        <f aca="false">IFERROR(Model!G64+0,0)</f>
        <v>0.0659634273772206</v>
      </c>
      <c r="E9" s="138" t="n">
        <f aca="false">IFERROR(Model!H64+0,0)</f>
        <v>0.000180682764362949</v>
      </c>
      <c r="F9" s="138" t="n">
        <f aca="false">IFERROR(Model!I64+0,0)</f>
        <v>0.0619676284306824</v>
      </c>
      <c r="G9" s="138" t="n">
        <f aca="false">IFERROR(Model!L64+0,0)</f>
        <v>-0.0523064118018483</v>
      </c>
      <c r="H9" s="138" t="n">
        <f aca="false">IFERROR(Model!O64+0,0)</f>
        <v>-0.0141398972009905</v>
      </c>
      <c r="I9" s="138" t="n">
        <f aca="false">IFERROR(Model!R64+0,0)</f>
        <v>0.0944236876608555</v>
      </c>
      <c r="J9" s="138" t="n">
        <f aca="false">IFERROR(Model!U64+0,0)</f>
        <v>0.000590485633430296</v>
      </c>
      <c r="K9" s="138" t="n">
        <f aca="false">IFERROR(Model!X64+0,0)</f>
        <v>-0.0193166737149665</v>
      </c>
      <c r="L9" s="138" t="n">
        <f aca="false">IFERROR(Model!AA64+0,0)</f>
        <v>-0.0288526788127802</v>
      </c>
      <c r="M9" s="138" t="n">
        <f aca="false">IFERROR(Model!AD64+0,0)</f>
        <v>0.0297520323159181</v>
      </c>
      <c r="N9" s="138" t="n">
        <f aca="false">IFERROR(Model!AG64+0,0)</f>
        <v>-0.0117523316965452</v>
      </c>
      <c r="O9" s="138" t="n">
        <f aca="false">IFERROR(Model!AJ64+0,0)</f>
        <v>-0.0124127083496362</v>
      </c>
      <c r="P9" s="138" t="n">
        <f aca="false">IFERROR(Model!AM64+0,0)</f>
        <v>0.0577269791782653</v>
      </c>
      <c r="Q9" s="138" t="n">
        <f aca="false">IFERROR(Model!AP64+0,0)</f>
        <v>-0.0485997758813894</v>
      </c>
      <c r="R9" s="138" t="n">
        <f aca="false">IFERROR(Model!AS64+0,0)</f>
        <v>-0.0171869367691963</v>
      </c>
      <c r="S9" s="138" t="n">
        <f aca="false">IFERROR(Model!AV64+0,0)</f>
        <v>-0.0342208305866843</v>
      </c>
    </row>
    <row r="11" customFormat="false" ht="15" hidden="false" customHeight="true" outlineLevel="0" collapsed="false">
      <c r="C11" s="12" t="n">
        <f aca="false">C7</f>
        <v>2009</v>
      </c>
      <c r="D11" s="12" t="n">
        <f aca="false">D7</f>
        <v>2010</v>
      </c>
      <c r="E11" s="12" t="n">
        <f aca="false">E7</f>
        <v>2011</v>
      </c>
      <c r="F11" s="12" t="n">
        <f aca="false">F7</f>
        <v>2012</v>
      </c>
      <c r="G11" s="12" t="n">
        <f aca="false">G7</f>
        <v>2013</v>
      </c>
      <c r="H11" s="12" t="n">
        <f aca="false">H7</f>
        <v>2014</v>
      </c>
      <c r="I11" s="12" t="n">
        <f aca="false">I7</f>
        <v>2015</v>
      </c>
      <c r="J11" s="12" t="n">
        <f aca="false">J7</f>
        <v>2016</v>
      </c>
      <c r="K11" s="12" t="n">
        <f aca="false">K7</f>
        <v>2017</v>
      </c>
      <c r="L11" s="12" t="n">
        <f aca="false">L7</f>
        <v>2018</v>
      </c>
      <c r="M11" s="12" t="n">
        <f aca="false">M7</f>
        <v>2019</v>
      </c>
      <c r="N11" s="12" t="n">
        <f aca="false">N7</f>
        <v>2020</v>
      </c>
      <c r="O11" s="12" t="n">
        <f aca="false">O7</f>
        <v>2021</v>
      </c>
      <c r="P11" s="12" t="n">
        <f aca="false">P7</f>
        <v>2022</v>
      </c>
      <c r="Q11" s="12" t="n">
        <f aca="false">Q7</f>
        <v>2023</v>
      </c>
      <c r="R11" s="12" t="n">
        <f aca="false">R7</f>
        <v>2024</v>
      </c>
      <c r="S11" s="12" t="n">
        <f aca="false">S7</f>
        <v>2025</v>
      </c>
    </row>
    <row r="12" customFormat="false" ht="15" hidden="false" customHeight="true" outlineLevel="0" collapsed="false">
      <c r="B12" s="1" t="s">
        <v>653</v>
      </c>
      <c r="C12" s="113" t="n">
        <f aca="false">IFERROR(Model!F171+0,0)</f>
        <v>547.4</v>
      </c>
      <c r="D12" s="113" t="n">
        <f aca="false">IFERROR(Model!G171+0,0)</f>
        <v>769.1</v>
      </c>
      <c r="E12" s="113" t="n">
        <f aca="false">IFERROR(Model!H171+0,0)</f>
        <v>998.4</v>
      </c>
      <c r="F12" s="113" t="n">
        <f aca="false">IFERROR(Model!I171+0,0)</f>
        <v>1238.8</v>
      </c>
      <c r="G12" s="113" t="n">
        <f aca="false">IFERROR(Model!L171+0,0)</f>
        <v>1356.7</v>
      </c>
      <c r="H12" s="113" t="n">
        <f aca="false">IFERROR(Model!O171+0,0)</f>
        <v>1467.9</v>
      </c>
      <c r="I12" s="113" t="n">
        <f aca="false">IFERROR(Model!R171+0,0)</f>
        <v>1747.2</v>
      </c>
      <c r="J12" s="113" t="n">
        <f aca="false">IFERROR(Model!U171+0,0)</f>
        <v>1928.6</v>
      </c>
      <c r="K12" s="113" t="n">
        <f aca="false">IFERROR(Model!X171+0,0)</f>
        <v>2165</v>
      </c>
      <c r="L12" s="113" t="n">
        <f aca="false">IFERROR(Model!AA171+0,0)</f>
        <v>2305</v>
      </c>
      <c r="M12" s="113" t="n">
        <f aca="false">IFERROR(Model!AD171+0,0)</f>
        <v>2815</v>
      </c>
      <c r="N12" s="113" t="n">
        <f aca="false">IFERROR(Model!AG171+0,0)</f>
        <v>2549.9</v>
      </c>
      <c r="O12" s="113" t="n">
        <f aca="false">IFERROR(Model!AJ171+0,0)</f>
        <v>4159</v>
      </c>
      <c r="P12" s="113" t="n">
        <f aca="false">IFERROR(Model!AM171+0,0)</f>
        <v>5427</v>
      </c>
      <c r="Q12" s="113" t="n">
        <f aca="false">IFERROR(Model!AP171+0,0)</f>
        <v>6421</v>
      </c>
      <c r="R12" s="113" t="n">
        <f aca="false">IFERROR(Model!AS171+0,0)</f>
        <v>6992</v>
      </c>
      <c r="S12" s="113" t="n">
        <f aca="false">IFERROR(Model!AV171+0,0)</f>
        <v>7495</v>
      </c>
    </row>
    <row r="13" customFormat="false" ht="15" hidden="false" customHeight="true" outlineLevel="0" collapsed="false">
      <c r="B13" s="1" t="s">
        <v>509</v>
      </c>
      <c r="C13" s="113" t="n">
        <f aca="false">Model!F124</f>
        <v>462.9</v>
      </c>
      <c r="D13" s="113" t="n">
        <f aca="false">Model!G124</f>
        <v>668.2</v>
      </c>
      <c r="E13" s="113" t="n">
        <f aca="false">Model!H124</f>
        <v>885.2</v>
      </c>
      <c r="F13" s="113" t="n">
        <f aca="false">Model!I124</f>
        <v>1118.7</v>
      </c>
      <c r="G13" s="113" t="n">
        <f aca="false">Model!L124</f>
        <v>1218.2</v>
      </c>
      <c r="H13" s="113" t="n">
        <f aca="false">Model!O124</f>
        <v>1299.3</v>
      </c>
      <c r="I13" s="113" t="n">
        <f aca="false">Model!R124</f>
        <v>1540.7</v>
      </c>
      <c r="J13" s="113" t="n">
        <f aca="false">Model!U124</f>
        <v>1696.5</v>
      </c>
      <c r="K13" s="113" t="n">
        <f aca="false">Model!X124</f>
        <v>1922</v>
      </c>
      <c r="L13" s="113" t="n">
        <f aca="false">Model!AA124</f>
        <v>2045</v>
      </c>
      <c r="M13" s="113" t="n">
        <f aca="false">Model!AD124</f>
        <v>2338.8</v>
      </c>
      <c r="N13" s="113" t="n">
        <f aca="false">Model!AG124</f>
        <v>1981.4</v>
      </c>
      <c r="O13" s="113" t="n">
        <f aca="false">Model!AJ124</f>
        <v>3531</v>
      </c>
      <c r="P13" s="113" t="n">
        <f aca="false">Model!AM124</f>
        <v>4697</v>
      </c>
      <c r="Q13" s="113" t="n">
        <f aca="false">Model!AP124</f>
        <v>5649</v>
      </c>
      <c r="R13" s="113" t="n">
        <f aca="false">Model!AS124</f>
        <v>6148</v>
      </c>
      <c r="S13" s="113" t="n">
        <f aca="false">Model!AV124</f>
        <v>6569</v>
      </c>
    </row>
    <row r="14" customFormat="false" ht="15" hidden="false" customHeight="true" outlineLevel="0" collapsed="false">
      <c r="B14" s="1" t="s">
        <v>654</v>
      </c>
      <c r="C14" s="138" t="n">
        <f aca="false">IFERROR(Model!F204+0,NA())</f>
        <v>0.285953089902314</v>
      </c>
      <c r="D14" s="138" t="n">
        <f aca="false">IFERROR(Model!G204+0,NA())</f>
        <v>0.320351549483506</v>
      </c>
      <c r="E14" s="138" t="n">
        <f aca="false">IFERROR(Model!H204+0,NA())</f>
        <v>0.351400816556385</v>
      </c>
      <c r="F14" s="138" t="n">
        <f aca="false">IFERROR(Model!I204+0,NA())</f>
        <v>0.355558106828162</v>
      </c>
      <c r="G14" s="138" t="n">
        <f aca="false">IFERROR(Model!L204+0,NA())</f>
        <v>0.361324171726856</v>
      </c>
      <c r="H14" s="138" t="n">
        <f aca="false">IFERROR(Model!O204+0,NA())</f>
        <v>0.356407517117467</v>
      </c>
      <c r="I14" s="138" t="n">
        <f aca="false">IFERROR(Model!R204+0,NA())</f>
        <v>0.360917165874819</v>
      </c>
      <c r="J14" s="138" t="n">
        <f aca="false">IFERROR(Model!U204+0,NA())</f>
        <v>0.370727769020799</v>
      </c>
      <c r="K14" s="138" t="n">
        <f aca="false">IFERROR(Model!X204+0,NA())</f>
        <v>0.390146327398544</v>
      </c>
      <c r="L14" s="138" t="n">
        <f aca="false">IFERROR(Model!AA204+0,NA())</f>
        <v>0.386349541576574</v>
      </c>
      <c r="M14" s="138" t="n">
        <f aca="false">IFERROR(Model!AD204+0,NA())</f>
        <v>0.408954876950344</v>
      </c>
      <c r="N14" s="138" t="n">
        <f aca="false">IFERROR(Model!AG204+0,NA())</f>
        <v>0.399082855980217</v>
      </c>
      <c r="O14" s="138" t="n">
        <f aca="false">IFERROR(Model!AJ204+0,NA())</f>
        <v>0.463037185482075</v>
      </c>
      <c r="P14" s="138" t="n">
        <f aca="false">IFERROR(Model!AM204+0,NA())</f>
        <v>0.467764178589898</v>
      </c>
      <c r="Q14" s="138" t="n">
        <f aca="false">IFERROR(Model!AP204+0,NA())</f>
        <v>0.478215535860579</v>
      </c>
      <c r="R14" s="138" t="n">
        <f aca="false">IFERROR(Model!AS204+0,NA())</f>
        <v>0.460909690177983</v>
      </c>
      <c r="S14" s="138" t="n">
        <f aca="false">IFERROR(Model!AV204+0,NA())</f>
        <v>0.468378952630921</v>
      </c>
    </row>
    <row r="15" customFormat="false" ht="15" hidden="false" customHeight="true" outlineLevel="0" collapsed="false">
      <c r="B15" s="1" t="s">
        <v>655</v>
      </c>
      <c r="C15" s="138" t="n">
        <f aca="false">Model!F203</f>
        <v>0.241811628271431</v>
      </c>
      <c r="D15" s="138" t="n">
        <f aca="false">Model!G203</f>
        <v>0.278323892035988</v>
      </c>
      <c r="E15" s="138" t="n">
        <f aca="false">Model!H203</f>
        <v>0.311558496409968</v>
      </c>
      <c r="F15" s="138" t="n">
        <f aca="false">Model!I203</f>
        <v>0.321087224821331</v>
      </c>
      <c r="G15" s="138" t="n">
        <f aca="false">Model!L203</f>
        <v>0.324438052625972</v>
      </c>
      <c r="H15" s="138" t="n">
        <f aca="false">Model!O203</f>
        <v>0.315471276647405</v>
      </c>
      <c r="I15" s="138" t="n">
        <f aca="false">Model!R203</f>
        <v>0.318260689940095</v>
      </c>
      <c r="J15" s="138" t="n">
        <f aca="false">Model!U203</f>
        <v>0.32611202952597</v>
      </c>
      <c r="K15" s="138" t="n">
        <f aca="false">Model!X203</f>
        <v>0.346356231528869</v>
      </c>
      <c r="L15" s="138" t="n">
        <f aca="false">Model!AA203</f>
        <v>0.342769983741473</v>
      </c>
      <c r="M15" s="138" t="n">
        <f aca="false">Model!AD203</f>
        <v>0.339773948920592</v>
      </c>
      <c r="N15" s="138" t="n">
        <f aca="false">Model!AG203</f>
        <v>0.310107365323818</v>
      </c>
      <c r="O15" s="138" t="n">
        <f aca="false">Model!AJ203</f>
        <v>0.39311957247829</v>
      </c>
      <c r="P15" s="138" t="n">
        <f aca="false">Model!AM203</f>
        <v>0.404843992415101</v>
      </c>
      <c r="Q15" s="138" t="n">
        <f aca="false">Model!AP203</f>
        <v>0.420719445892604</v>
      </c>
      <c r="R15" s="138" t="n">
        <f aca="false">Model!AS203</f>
        <v>0.405273566249176</v>
      </c>
      <c r="S15" s="138" t="n">
        <f aca="false">Model!AV203</f>
        <v>0.410511186101737</v>
      </c>
    </row>
    <row r="17" customFormat="false" ht="15" hidden="false" customHeight="true" outlineLevel="0" collapsed="false">
      <c r="C17" s="12" t="n">
        <f aca="false">C7</f>
        <v>2009</v>
      </c>
      <c r="D17" s="12" t="n">
        <f aca="false">D7</f>
        <v>2010</v>
      </c>
      <c r="E17" s="12" t="n">
        <f aca="false">E7</f>
        <v>2011</v>
      </c>
      <c r="F17" s="12" t="n">
        <f aca="false">F7</f>
        <v>2012</v>
      </c>
      <c r="G17" s="12" t="n">
        <f aca="false">G7</f>
        <v>2013</v>
      </c>
      <c r="H17" s="12" t="n">
        <f aca="false">H7</f>
        <v>2014</v>
      </c>
      <c r="I17" s="12" t="n">
        <f aca="false">I7</f>
        <v>2015</v>
      </c>
      <c r="J17" s="12" t="n">
        <f aca="false">J7</f>
        <v>2016</v>
      </c>
      <c r="K17" s="12" t="n">
        <f aca="false">K7</f>
        <v>2017</v>
      </c>
      <c r="L17" s="12" t="n">
        <f aca="false">L7</f>
        <v>2018</v>
      </c>
      <c r="M17" s="12" t="n">
        <f aca="false">M7</f>
        <v>2019</v>
      </c>
      <c r="N17" s="12" t="n">
        <f aca="false">N7</f>
        <v>2020</v>
      </c>
      <c r="O17" s="12" t="n">
        <f aca="false">O7</f>
        <v>2021</v>
      </c>
      <c r="P17" s="12" t="n">
        <f aca="false">P7</f>
        <v>2022</v>
      </c>
      <c r="Q17" s="12" t="n">
        <f aca="false">Q7</f>
        <v>2023</v>
      </c>
      <c r="R17" s="12" t="n">
        <f aca="false">R7</f>
        <v>2024</v>
      </c>
      <c r="S17" s="12" t="n">
        <f aca="false">S7</f>
        <v>2025</v>
      </c>
    </row>
    <row r="18" customFormat="false" ht="15" hidden="false" customHeight="true" outlineLevel="0" collapsed="false">
      <c r="B18" s="1" t="s">
        <v>529</v>
      </c>
      <c r="C18" s="138" t="n">
        <f aca="false">IFERROR(Model!F351+0,NA())</f>
        <v>0.252968899995566</v>
      </c>
      <c r="D18" s="138" t="n">
        <f aca="false">IFERROR(Model!G351+0,NA())</f>
        <v>0.365253360488804</v>
      </c>
      <c r="E18" s="138" t="n">
        <f aca="false">IFERROR(Model!H351+0,NA())</f>
        <v>0.467808847214414</v>
      </c>
      <c r="F18" s="138" t="n">
        <f aca="false">IFERROR(Model!I351+0,NA())</f>
        <v>0.466437166645034</v>
      </c>
      <c r="G18" s="138" t="n">
        <f aca="false">IFERROR(Model!L351+0,NA())</f>
        <v>0.4643921405933</v>
      </c>
      <c r="H18" s="138" t="n">
        <f aca="false">IFERROR(Model!O351+0,NA())</f>
        <v>0.441441943644302</v>
      </c>
      <c r="I18" s="138" t="n">
        <f aca="false">IFERROR(Model!R351+0,NA())</f>
        <v>0.463186582203728</v>
      </c>
      <c r="J18" s="138" t="n">
        <f aca="false">IFERROR(Model!U351+0,NA())</f>
        <v>0.551554128102564</v>
      </c>
      <c r="K18" s="138" t="n">
        <f aca="false">IFERROR(Model!X351+0,NA())</f>
        <v>0.63217752223795</v>
      </c>
      <c r="L18" s="138" t="n">
        <f aca="false">IFERROR(Model!AA351+0,NA())</f>
        <v>0.729581046969026</v>
      </c>
      <c r="M18" s="138" t="n">
        <f aca="false">IFERROR(Model!AD351+0,NA())</f>
        <v>0.503914028435552</v>
      </c>
      <c r="N18" s="138" t="n">
        <f aca="false">IFERROR(Model!AG351+0,NA())</f>
        <v>0.33161700088305</v>
      </c>
      <c r="O18" s="138" t="n">
        <f aca="false">IFERROR(Model!AJ351+0,NA())</f>
        <v>0.603941050685343</v>
      </c>
      <c r="P18" s="138" t="n">
        <f aca="false">IFERROR(Model!AM351+0,NA())</f>
        <v>0.732005138681212</v>
      </c>
      <c r="Q18" s="138" t="n">
        <f aca="false">IFERROR(Model!AP351+0,NA())</f>
        <v>0.674295276138855</v>
      </c>
      <c r="R18" s="138" t="n">
        <f aca="false">IFERROR(Model!AS351+0,NA())</f>
        <v>0.591818348825361</v>
      </c>
      <c r="S18" s="138" t="n">
        <f aca="false">IFERROR(Model!AV351+0,NA())</f>
        <v>0.560050168295411</v>
      </c>
    </row>
    <row r="19" customFormat="false" ht="15" hidden="false" customHeight="true" outlineLevel="0" collapsed="false">
      <c r="B19" s="1" t="s">
        <v>530</v>
      </c>
      <c r="C19" s="138" t="n">
        <f aca="false">IFERROR(Model!F364+0,NA())</f>
        <v>0.232895315941317</v>
      </c>
      <c r="D19" s="138" t="n">
        <f aca="false">IFERROR(Model!G364+0,NA())</f>
        <v>0.323210191559536</v>
      </c>
      <c r="E19" s="138" t="n">
        <f aca="false">IFERROR(Model!H364+0,NA())</f>
        <v>0.458049423762669</v>
      </c>
      <c r="F19" s="138" t="n">
        <f aca="false">IFERROR(Model!I364+0,NA())</f>
        <v>0.459615775726958</v>
      </c>
      <c r="G19" s="138" t="n">
        <f aca="false">IFERROR(Model!L364+0,NA())</f>
        <v>0.441895897605825</v>
      </c>
      <c r="H19" s="138" t="n">
        <f aca="false">IFERROR(Model!O364+0,NA())</f>
        <v>0.412453292946594</v>
      </c>
      <c r="I19" s="138" t="n">
        <f aca="false">IFERROR(Model!R364+0,NA())</f>
        <v>0.427518331472803</v>
      </c>
      <c r="J19" s="138" t="n">
        <f aca="false">IFERROR(Model!U364+0,NA())</f>
        <v>0.494589625512301</v>
      </c>
      <c r="K19" s="138" t="n">
        <f aca="false">IFERROR(Model!X364+0,NA())</f>
        <v>0.525178654260616</v>
      </c>
      <c r="L19" s="138" t="n">
        <f aca="false">IFERROR(Model!AA364+0,NA())</f>
        <v>0.599677790245483</v>
      </c>
      <c r="M19" s="138" t="n">
        <f aca="false">IFERROR(Model!AD364+0,NA())</f>
        <v>0.437632911365931</v>
      </c>
      <c r="N19" s="138" t="n">
        <f aca="false">IFERROR(Model!AG364+0,NA())</f>
        <v>0.302575976753239</v>
      </c>
      <c r="O19" s="138" t="n">
        <f aca="false">IFERROR(Model!AJ364+0,NA())</f>
        <v>0.53682200858285</v>
      </c>
      <c r="P19" s="138" t="n">
        <f aca="false">IFERROR(Model!AM364+0,NA())</f>
        <v>0.633003880945486</v>
      </c>
      <c r="Q19" s="138" t="n">
        <f aca="false">IFERROR(Model!AP364+0,NA())</f>
        <v>0.611057996309203</v>
      </c>
      <c r="R19" s="138" t="n">
        <f aca="false">IFERROR(Model!AS364+0,NA())</f>
        <v>0.567606205087814</v>
      </c>
      <c r="S19" s="138" t="n">
        <f aca="false">IFERROR(Model!AV364+0,NA())</f>
        <v>0.528771609183315</v>
      </c>
    </row>
    <row r="20" customFormat="false" ht="15" hidden="false" customHeight="true" outlineLevel="0" collapsed="false">
      <c r="B20" s="1" t="s">
        <v>656</v>
      </c>
      <c r="C20" s="138" t="n">
        <f aca="false">IFERROR(Model!F203+0,NA())</f>
        <v>0.241811628271431</v>
      </c>
      <c r="D20" s="138" t="n">
        <f aca="false">IFERROR(Model!G203+0,NA())</f>
        <v>0.278323892035988</v>
      </c>
      <c r="E20" s="138" t="n">
        <f aca="false">IFERROR(Model!H203+0,NA())</f>
        <v>0.311558496409968</v>
      </c>
      <c r="F20" s="138" t="n">
        <f aca="false">IFERROR(Model!I203+0,NA())</f>
        <v>0.321087224821331</v>
      </c>
      <c r="G20" s="138" t="n">
        <f aca="false">IFERROR(Model!L203+0,NA())</f>
        <v>0.324438052625972</v>
      </c>
      <c r="H20" s="138" t="n">
        <f aca="false">IFERROR(Model!O203+0,NA())</f>
        <v>0.315471276647405</v>
      </c>
      <c r="I20" s="138" t="n">
        <f aca="false">IFERROR(Model!R203+0,NA())</f>
        <v>0.318260689940095</v>
      </c>
      <c r="J20" s="138" t="n">
        <f aca="false">IFERROR(Model!U203+0,NA())</f>
        <v>0.32611202952597</v>
      </c>
      <c r="K20" s="138" t="n">
        <f aca="false">IFERROR(Model!X203+0,NA())</f>
        <v>0.346356231528869</v>
      </c>
      <c r="L20" s="138" t="n">
        <f aca="false">IFERROR(Model!AA203+0,NA())</f>
        <v>0.342769983741473</v>
      </c>
      <c r="M20" s="138" t="n">
        <f aca="false">IFERROR(Model!AD203+0,NA())</f>
        <v>0.339773948920592</v>
      </c>
      <c r="N20" s="138" t="n">
        <f aca="false">IFERROR(Model!AG203+0,NA())</f>
        <v>0.310107365323818</v>
      </c>
      <c r="O20" s="138" t="n">
        <f aca="false">IFERROR(Model!AJ203+0,NA())</f>
        <v>0.39311957247829</v>
      </c>
      <c r="P20" s="138" t="n">
        <f aca="false">IFERROR(Model!AM203+0,NA())</f>
        <v>0.404843992415101</v>
      </c>
      <c r="Q20" s="138" t="n">
        <f aca="false">IFERROR(Model!AP203+0,NA())</f>
        <v>0.420719445892604</v>
      </c>
      <c r="R20" s="138" t="n">
        <f aca="false">IFERROR(Model!AS203+0,NA())</f>
        <v>0.405273566249176</v>
      </c>
      <c r="S20" s="138" t="n">
        <f aca="false">IFERROR(Model!AV203+0,NA())</f>
        <v>0.410511186101737</v>
      </c>
    </row>
    <row r="21" customFormat="false" ht="15" hidden="false" customHeight="true" outlineLevel="0" collapsed="false">
      <c r="B21" s="1" t="s">
        <v>657</v>
      </c>
      <c r="C21" s="138" t="n">
        <f aca="false">IFERROR(Model!F244+0,NA())</f>
        <v>0.135663166692786</v>
      </c>
      <c r="D21" s="138" t="n">
        <f aca="false">IFERROR(Model!G244+0,NA())</f>
        <v>0.218927024325225</v>
      </c>
      <c r="E21" s="138" t="n">
        <f aca="false">IFERROR(Model!H244+0,NA())</f>
        <v>0.193826552161059</v>
      </c>
      <c r="F21" s="138" t="n">
        <f aca="false">IFERROR(Model!I244+0,NA())</f>
        <v>0.145833931287851</v>
      </c>
      <c r="G21" s="138" t="n">
        <f aca="false">IFERROR(Model!L244+0,NA())</f>
        <v>0.182592947693619</v>
      </c>
      <c r="H21" s="138" t="n">
        <f aca="false">IFERROR(Model!O244+0,NA())</f>
        <v>0.166998494634099</v>
      </c>
      <c r="I21" s="138" t="n">
        <f aca="false">IFERROR(Model!R244+0,NA())</f>
        <v>0.192790745713696</v>
      </c>
      <c r="J21" s="138" t="n">
        <f aca="false">IFERROR(Model!U244+0,NA())</f>
        <v>0.232939910038061</v>
      </c>
      <c r="K21" s="138" t="n">
        <f aca="false">IFERROR(Model!X244+0,NA())</f>
        <v>0.241548331290997</v>
      </c>
      <c r="L21" s="138" t="n">
        <f aca="false">IFERROR(Model!AA244+0,NA())</f>
        <v>0.242553762089137</v>
      </c>
      <c r="M21" s="138" t="n">
        <f aca="false">IFERROR(Model!AD244+0,NA())</f>
        <v>0.204332161431851</v>
      </c>
      <c r="N21" s="138" t="n">
        <f aca="false">IFERROR(Model!AG244+0,NA())</f>
        <v>0.155773625066516</v>
      </c>
      <c r="O21" s="138" t="n">
        <f aca="false">IFERROR(Model!AJ244+0,NA())</f>
        <v>0.29625918503674</v>
      </c>
      <c r="P21" s="138" t="n">
        <f aca="false">IFERROR(Model!AM244+0,NA())</f>
        <v>0.293483882089295</v>
      </c>
      <c r="Q21" s="138" t="n">
        <f aca="false">IFERROR(Model!AP244+0,NA())</f>
        <v>0.237729947121472</v>
      </c>
      <c r="R21" s="138" t="n">
        <f aca="false">IFERROR(Model!AS244+0,NA())</f>
        <v>0.248319050758075</v>
      </c>
      <c r="S21" s="138" t="n">
        <f aca="false">IFERROR(Model!AV244+0,NA())</f>
        <v>0.242532183477065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2026-10-04T20:29:51Z</dcterms:created>
  <dc:creator>openpyxl</dc:creator>
  <dc:description/>
  <dc:language>en-US</dc:language>
  <cp:lastModifiedBy/>
  <dcterms:modified xsi:type="dcterms:W3CDTF">2026-10-04T20:30:04Z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