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4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0.00%;\(0.00%\);\-"/>
    <numFmt numFmtId="187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46" fillId="0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6" fontId="46" fillId="0" borderId="0" pivotButton="0" quotePrefix="0" xfId="0"/>
    <xf numFmtId="167" fontId="46" fillId="0" borderId="0" pivotButton="0" quotePrefix="0" xfId="0"/>
    <xf numFmtId="186" fontId="45" fillId="0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7" fontId="45" fillId="0" borderId="0" applyAlignment="1" pivotButton="0" quotePrefix="0" xfId="0">
      <alignment horizontal="right"/>
    </xf>
    <xf numFmtId="187" fontId="45" fillId="2" borderId="0" applyAlignment="1" pivotButton="0" quotePrefix="0" xfId="0">
      <alignment horizontal="right"/>
    </xf>
    <xf numFmtId="176" fontId="17" fillId="0" borderId="0" pivotButton="0" quotePrefix="0" xfId="0"/>
    <xf numFmtId="167" fontId="48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67" fontId="48" fillId="6" borderId="2" applyAlignment="1" pivotButton="0" quotePrefix="0" xfId="0">
      <alignment horizontal="right"/>
    </xf>
    <xf numFmtId="167" fontId="41" fillId="2" borderId="0" pivotButton="0" quotePrefix="0" xfId="0"/>
    <xf numFmtId="168" fontId="41" fillId="2" borderId="0" pivotButton="0" quotePrefix="0" xfId="0"/>
    <xf numFmtId="167" fontId="51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6" fontId="41" fillId="2" borderId="0" pivotButton="0" quotePrefix="0" xfId="0"/>
    <xf numFmtId="167" fontId="51" fillId="6" borderId="2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64" fontId="45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7" fontId="51" fillId="2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64" fontId="41" fillId="2" borderId="0" pivotButton="0" quotePrefix="0" xfId="0"/>
    <xf numFmtId="0" fontId="57" fillId="0" borderId="0" pivotButton="0" quotePrefix="0" xfId="0"/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Net Revenue Drivers: Payments Volume vs. Net Revenue Yield,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V model</author>
  </authors>
  <commentList>
    <comment ref="CE2" authorId="0" shapeId="0">
      <text>
        <t>Scenario toggle. Choose Bull / Base / Bear. Drives: Q4 FY26 outlook end-points (net revenue growth and non-GAAP EPS growth, high / mid / low; UNVERIFIED call commentary), Q4/26E buybacks, 2027E–2031E payments volume and processed transactions growth, service and data processing yields, international and other revenue growth, client incentives %, adjusted operating margin, M&amp;A spend and the leverage target for 2027E+ buybacks (scenario table CM:CQ).</t>
      </text>
    </comment>
    <comment ref="B11" authorId="0" shapeId="0">
      <text>
        <t>Source: Visa 10-Q / 10-K MD&amp;A "Payments volume and processed transactions" — total nominal payments volume ($bn), three months (10-Q) or twelve months (10-K) ended one quarter before the fiscal period; Q4 = twelve months − nine months. Company: "service revenue in a given quarter is primarily assessed based on nominal payments volume in the prior quarter". FY2008 not tabulated on this basis (n/a). Volume figures may be updated later by the company; as first published.</t>
      </text>
    </comment>
    <comment ref="C11" authorId="0" shapeId="0">
      <text>
        <t>FY2008 10-K presents pro forma payments volume on a different basis; not used (n/a).</t>
      </text>
    </comment>
    <comment ref="B16" authorId="0" shapeId="0">
      <text>
        <t>Source: 10-Q / 10-K MD&amp;A "Visa processed transactions" (millions; current period; Q4 = fiscal year − nine months). Not tabulated in the FY2008, FY2009 and FY2011 10-Ks.</t>
      </text>
    </comment>
    <comment ref="B20" authorId="0" shapeId="0">
      <text>
        <t>Source: Visa Forms 10-Q / 10-K (three-month column for Q1–Q3, identical to the release as originally reported; Q4 = Q4 release three-month column for FY2013–17 and FY2021+, fiscal year − nine months for FY2018–20, whose releases are slide images) — statement of operations to FY2018; revenue note ("Disaggregation of revenue") / MD&amp;A from FY2019 (ASC 606). "Service fees" / "volume and support incentives" labels in FY2008.</t>
      </text>
    </comment>
    <comment ref="B58" authorId="0" shapeId="0">
      <text>
        <t>Source: Visa earnings releases (Form 8-K Item 2.02, Ex. 99.1) — non-GAAP operating expenses as published (n/p where the period's release presents no reconciliation or no operating-expense column).</t>
      </text>
    </comment>
    <comment ref="B99" authorId="0" shapeId="0">
      <text>
        <t>Source: Visa earnings releases (Form 8-K Item 2.02, Ex. 99.1) — reconciliations of GAAP to non-GAAP financial results ("as reported / items / as adjusted", later "GAAP / items / non-GAAP"), as first published; company item labels per period in the cell comments.</t>
      </text>
    </comment>
    <comment ref="C99" authorId="0" shapeId="0">
      <text>
        <t>Company items (2008): Litigation reserve (1)</t>
      </text>
    </comment>
    <comment ref="G99" authorId="0" shapeId="0">
      <text>
        <t>Company items (2012): Litigation provision</t>
      </text>
    </comment>
    <comment ref="P99" authorId="0" shapeId="0">
      <text>
        <t>Company items (Q4-14): Litigation provision</t>
      </text>
    </comment>
    <comment ref="Q99" authorId="0" shapeId="0">
      <text>
        <t>Company items (2014): Litigation provision</t>
      </text>
    </comment>
    <comment ref="AI99" authorId="0" shapeId="0">
      <text>
        <t>Company items (Q3-18): Litigation provision</t>
      </text>
    </comment>
    <comment ref="AK99" authorId="0" shapeId="0">
      <text>
        <t>Company items (2018): Litigation provision</t>
      </text>
    </comment>
    <comment ref="AO99" authorId="0" shapeId="0">
      <text>
        <t>Company items (Q4-19): Litigation provision</t>
      </text>
    </comment>
    <comment ref="AP99" authorId="0" shapeId="0">
      <text>
        <t>Company items (2019): Litigation provision</t>
      </text>
    </comment>
    <comment ref="BA99" authorId="0" shapeId="0">
      <text>
        <t>Company items (Q1-22): Litigation provision</t>
      </text>
    </comment>
    <comment ref="BC99" authorId="0" shapeId="0">
      <text>
        <t>Company items (Q3-22): Litigation provision</t>
      </text>
    </comment>
    <comment ref="BE99" authorId="0" shapeId="0">
      <text>
        <t>Company items (2022): Litigation provision</t>
      </text>
    </comment>
    <comment ref="BF99" authorId="0" shapeId="0">
      <text>
        <t>Company items (Q1-23): Litigation provision</t>
      </text>
    </comment>
    <comment ref="BH99" authorId="0" shapeId="0">
      <text>
        <t>Company items (Q3-23): Litigation provision</t>
      </text>
    </comment>
    <comment ref="BI99" authorId="0" shapeId="0">
      <text>
        <t>Company items (Q4-23): Litigation provision</t>
      </text>
    </comment>
    <comment ref="BJ99" authorId="0" shapeId="0">
      <text>
        <t>Company items (2023): Litigation provision</t>
      </text>
    </comment>
    <comment ref="BL99" authorId="0" shapeId="0">
      <text>
        <t>Company items (Q2-24): Litigation provision</t>
      </text>
    </comment>
    <comment ref="BM99" authorId="0" shapeId="0">
      <text>
        <t>Company items (Q3-24): Litigation provision</t>
      </text>
    </comment>
    <comment ref="BO99" authorId="0" shapeId="0">
      <text>
        <t>Company items (2024): Litigation provision</t>
      </text>
    </comment>
    <comment ref="BP99" authorId="0" shapeId="0">
      <text>
        <t>Company items (Q1-25): Litigation provision</t>
      </text>
    </comment>
    <comment ref="BQ99" authorId="0" shapeId="0">
      <text>
        <t>Company items (Q2-25): Litigation provision</t>
      </text>
    </comment>
    <comment ref="BR99" authorId="0" shapeId="0">
      <text>
        <t>Company items (Q3-25): Litigation provision</t>
      </text>
    </comment>
    <comment ref="BS99" authorId="0" shapeId="0">
      <text>
        <t>Company items (Q4-25): Litigation provision</t>
      </text>
    </comment>
    <comment ref="BT99" authorId="0" shapeId="0">
      <text>
        <t>Company items (2025): Litigation provision</t>
      </text>
    </comment>
    <comment ref="BU99" authorId="0" shapeId="0">
      <text>
        <t>Company items (Q1-26): Litigation provision</t>
      </text>
    </comment>
    <comment ref="BV99" authorId="0" shapeId="0">
      <text>
        <t>Company items (Q2-26): Litigation provision</t>
      </text>
    </comment>
    <comment ref="BW99" authorId="0" shapeId="0">
      <text>
        <t>Company items (Q3-26): Litigation provision</t>
      </text>
    </comment>
    <comment ref="C100" authorId="0" shapeId="0">
      <text>
        <t>Company items (2008): Asset step-up amortization (3)</t>
      </text>
    </comment>
    <comment ref="D100" authorId="0" shapeId="0">
      <text>
        <t>Company items (2009): Asset step-up amortization (3)</t>
      </text>
    </comment>
    <comment ref="AQ100" authorId="0" shapeId="0">
      <text>
        <t>Company items (Q1-20): Amortization of acquired intangible assets</t>
      </text>
    </comment>
    <comment ref="AR100" authorId="0" shapeId="0">
      <text>
        <t>Company items (Q2-20): Amortization of acquired intangible assets</t>
      </text>
    </comment>
    <comment ref="AS100" authorId="0" shapeId="0">
      <text>
        <t>Company items (Q3-20): Amortization of acquired intangible assets</t>
      </text>
    </comment>
    <comment ref="AT100" authorId="0" shapeId="0">
      <text>
        <t>Company items (Q4-20): Amortization of acquired intangible assets</t>
      </text>
    </comment>
    <comment ref="AU100" authorId="0" shapeId="0">
      <text>
        <t>Company items (2020): Amortization of acquired intangible assets</t>
      </text>
    </comment>
    <comment ref="AV100" authorId="0" shapeId="0">
      <text>
        <t>Company items (Q1-21): Amortization of acquired intangible assets</t>
      </text>
    </comment>
    <comment ref="AW100" authorId="0" shapeId="0">
      <text>
        <t>Company items (Q2-21): Amortization of acquired intangible assets</t>
      </text>
    </comment>
    <comment ref="AX100" authorId="0" shapeId="0">
      <text>
        <t>Company items (Q3-21): Amortization of acquired intangible assets</t>
      </text>
    </comment>
    <comment ref="AY100" authorId="0" shapeId="0">
      <text>
        <t>Company items (Q4-21): Amortization of acquired intangible assets</t>
      </text>
    </comment>
    <comment ref="AZ100" authorId="0" shapeId="0">
      <text>
        <t>Company items (2021): Amortization of acquired intangible assets</t>
      </text>
    </comment>
    <comment ref="BA100" authorId="0" shapeId="0">
      <text>
        <t>Company items (Q1-22): Amortization of acquired intangible assets</t>
      </text>
    </comment>
    <comment ref="BB100" authorId="0" shapeId="0">
      <text>
        <t>Company items (Q2-22): Amortization of acquired intangible assets</t>
      </text>
    </comment>
    <comment ref="BC100" authorId="0" shapeId="0">
      <text>
        <t>Company items (Q3-22): Amortization of acquired intangible assets</t>
      </text>
    </comment>
    <comment ref="BD100" authorId="0" shapeId="0">
      <text>
        <t>Company items (Q4-22): Amortization of acquired intangible assets</t>
      </text>
    </comment>
    <comment ref="BE100" authorId="0" shapeId="0">
      <text>
        <t>Company items (2022): Amortization of acquired intangible assets</t>
      </text>
    </comment>
    <comment ref="BF100" authorId="0" shapeId="0">
      <text>
        <t>Company items (Q1-23): Amortization of acquired intangible assets</t>
      </text>
    </comment>
    <comment ref="BG100" authorId="0" shapeId="0">
      <text>
        <t>Company items (Q2-23): Amortization of acquired intangible assets</t>
      </text>
    </comment>
    <comment ref="BH100" authorId="0" shapeId="0">
      <text>
        <t>Company items (Q3-23): Amortization of acquired intangible assets</t>
      </text>
    </comment>
    <comment ref="BI100" authorId="0" shapeId="0">
      <text>
        <t>Company items (Q4-23): Amortization of acquired intangible assets</t>
      </text>
    </comment>
    <comment ref="BJ100" authorId="0" shapeId="0">
      <text>
        <t>Company items (2023): Amortization of acquired intangible assets</t>
      </text>
    </comment>
    <comment ref="BK100" authorId="0" shapeId="0">
      <text>
        <t>Company items (Q1-24): Amortization of acquired intangible assets</t>
      </text>
    </comment>
    <comment ref="BL100" authorId="0" shapeId="0">
      <text>
        <t>Company items (Q2-24): Amortization of acquired intangible assets</t>
      </text>
    </comment>
    <comment ref="BM100" authorId="0" shapeId="0">
      <text>
        <t>Company items (Q3-24): Amortization of acquired intangible assets</t>
      </text>
    </comment>
    <comment ref="BN100" authorId="0" shapeId="0">
      <text>
        <t>Company items (Q4-24): Amortization of acquired intangible assets</t>
      </text>
    </comment>
    <comment ref="BO100" authorId="0" shapeId="0">
      <text>
        <t>Company items (2024): Amortization of acquired intangible assets</t>
      </text>
    </comment>
    <comment ref="BP100" authorId="0" shapeId="0">
      <text>
        <t>Company items (Q1-25): Amortization of acquired intangible assets</t>
      </text>
    </comment>
    <comment ref="BQ100" authorId="0" shapeId="0">
      <text>
        <t>Company items (Q2-25): Amortization of acquired intangible assets</t>
      </text>
    </comment>
    <comment ref="BR100" authorId="0" shapeId="0">
      <text>
        <t>Company items (Q3-25): Amortization of acquired intangible assets</t>
      </text>
    </comment>
    <comment ref="BS100" authorId="0" shapeId="0">
      <text>
        <t>Company items (Q4-25): Amortization of acquired intangible assets</t>
      </text>
    </comment>
    <comment ref="BT100" authorId="0" shapeId="0">
      <text>
        <t>Company items (2025): Amortization of acquired intangible assets</t>
      </text>
    </comment>
    <comment ref="BU100" authorId="0" shapeId="0">
      <text>
        <t>Company items (Q1-26): Amortization of acquired intangible assets</t>
      </text>
    </comment>
    <comment ref="BV100" authorId="0" shapeId="0">
      <text>
        <t>Company items (Q2-26): Amortization of acquired intangible assets</t>
      </text>
    </comment>
    <comment ref="BW100" authorId="0" shapeId="0">
      <text>
        <t>Company items (Q3-26): Amortization of acquired intangible assets</t>
      </text>
    </comment>
    <comment ref="Y102" authorId="0" shapeId="0">
      <text>
        <t>Company items (Q3-16): Acquisition-related costs</t>
      </text>
    </comment>
    <comment ref="AA102" authorId="0" shapeId="0">
      <text>
        <t>Company items (2016): Acquisition-related costs</t>
      </text>
    </comment>
    <comment ref="AQ102" authorId="0" shapeId="0">
      <text>
        <t>Company items (Q1-20): Acquisition-related costs</t>
      </text>
    </comment>
    <comment ref="AR102" authorId="0" shapeId="0">
      <text>
        <t>Company items (Q2-20): Acquisition-related costs</t>
      </text>
    </comment>
    <comment ref="AS102" authorId="0" shapeId="0">
      <text>
        <t>Company items (Q3-20): Acquisition-related costs</t>
      </text>
    </comment>
    <comment ref="AT102" authorId="0" shapeId="0">
      <text>
        <t>Company items (Q4-20): Acquisition-related costs</t>
      </text>
    </comment>
    <comment ref="AU102" authorId="0" shapeId="0">
      <text>
        <t>Company items (2020): Acquisition-related costs</t>
      </text>
    </comment>
    <comment ref="AV102" authorId="0" shapeId="0">
      <text>
        <t>Company items (Q1-21): Acquisition-related costs</t>
      </text>
    </comment>
    <comment ref="AW102" authorId="0" shapeId="0">
      <text>
        <t>Company items (Q2-21): Acquisition-related costs</t>
      </text>
    </comment>
    <comment ref="AX102" authorId="0" shapeId="0">
      <text>
        <t>Company items (Q3-21): Acquisition-related costs</t>
      </text>
    </comment>
    <comment ref="AY102" authorId="0" shapeId="0">
      <text>
        <t>Company items (Q4-21): Acquisition-related costs</t>
      </text>
    </comment>
    <comment ref="AZ102" authorId="0" shapeId="0">
      <text>
        <t>Company items (2021): Acquisition-related costs</t>
      </text>
    </comment>
    <comment ref="BA102" authorId="0" shapeId="0">
      <text>
        <t>Company items (Q1-22): Acquisition-related costs</t>
      </text>
    </comment>
    <comment ref="BB102" authorId="0" shapeId="0">
      <text>
        <t>Company items (Q2-22): Acquisition-related costs</t>
      </text>
    </comment>
    <comment ref="BC102" authorId="0" shapeId="0">
      <text>
        <t>Company items (Q3-22): Acquisition-related costs</t>
      </text>
    </comment>
    <comment ref="BD102" authorId="0" shapeId="0">
      <text>
        <t>Company items (Q4-22): Acquisition-related costs</t>
      </text>
    </comment>
    <comment ref="BE102" authorId="0" shapeId="0">
      <text>
        <t>Company items (2022): Acquisition-related costs</t>
      </text>
    </comment>
    <comment ref="BF102" authorId="0" shapeId="0">
      <text>
        <t>Company items (Q1-23): Acquisition-related costs</t>
      </text>
    </comment>
    <comment ref="BG102" authorId="0" shapeId="0">
      <text>
        <t>Company items (Q2-23): Acquisition-related costs</t>
      </text>
    </comment>
    <comment ref="BH102" authorId="0" shapeId="0">
      <text>
        <t>Company items (Q3-23): Acquisition-related costs</t>
      </text>
    </comment>
    <comment ref="BI102" authorId="0" shapeId="0">
      <text>
        <t>Company items (Q4-23): Acquisition-related costs</t>
      </text>
    </comment>
    <comment ref="BJ102" authorId="0" shapeId="0">
      <text>
        <t>Company items (2023): Acquisition-related costs</t>
      </text>
    </comment>
    <comment ref="BK102" authorId="0" shapeId="0">
      <text>
        <t>Company items (Q1-24): Acquisition-related costs</t>
      </text>
    </comment>
    <comment ref="BL102" authorId="0" shapeId="0">
      <text>
        <t>Company items (Q2-24): Acquisition-related costs</t>
      </text>
    </comment>
    <comment ref="BM102" authorId="0" shapeId="0">
      <text>
        <t>Company items (Q3-24): Acquisition-related costs</t>
      </text>
    </comment>
    <comment ref="BN102" authorId="0" shapeId="0">
      <text>
        <t>Company items (Q4-24): Acquisition-related costs</t>
      </text>
    </comment>
    <comment ref="BO102" authorId="0" shapeId="0">
      <text>
        <t>Company items (2024): Acquisition-related costs</t>
      </text>
    </comment>
    <comment ref="BP102" authorId="0" shapeId="0">
      <text>
        <t>Company items (Q1-25): Acquisition-related costs</t>
      </text>
    </comment>
    <comment ref="BQ102" authorId="0" shapeId="0">
      <text>
        <t>Company items (Q2-25): Acquisition-related costs</t>
      </text>
    </comment>
    <comment ref="BR102" authorId="0" shapeId="0">
      <text>
        <t>Company items (Q3-25): Acquisition-related costs</t>
      </text>
    </comment>
    <comment ref="BS102" authorId="0" shapeId="0">
      <text>
        <t>Company items (Q4-25): Acquisition-related costs</t>
      </text>
    </comment>
    <comment ref="BT102" authorId="0" shapeId="0">
      <text>
        <t>Company items (2025): Acquisition-related costs</t>
      </text>
    </comment>
    <comment ref="BU102" authorId="0" shapeId="0">
      <text>
        <t>Company items (Q1-26): Acquisition-related costs</t>
      </text>
    </comment>
    <comment ref="BV102" authorId="0" shapeId="0">
      <text>
        <t>Company items (Q2-26): Acquisition-related costs</t>
      </text>
    </comment>
    <comment ref="BW102" authorId="0" shapeId="0">
      <text>
        <t>Company items (Q3-26): Acquisition-related costs</t>
      </text>
    </comment>
    <comment ref="C104" authorId="0" shapeId="0">
      <text>
        <t>Company items (2008): Restructuring (2)</t>
      </text>
    </comment>
    <comment ref="D104" authorId="0" shapeId="0">
      <text>
        <t>Company items (2009): Restructuring (2)</t>
      </text>
    </comment>
    <comment ref="Z104" authorId="0" shapeId="0">
      <text>
        <t>Company items (Q4-16): Severance cost</t>
      </text>
    </comment>
    <comment ref="AA104" authorId="0" shapeId="0">
      <text>
        <t>Company items (2016): Severance cost</t>
      </text>
    </comment>
    <comment ref="BL104" authorId="0" shapeId="0">
      <text>
        <t>Company items (Q2-24): Lease consolidation costs</t>
      </text>
    </comment>
    <comment ref="BO104" authorId="0" shapeId="0">
      <text>
        <t>Company items (2024): Lease consolidation costs</t>
      </text>
    </comment>
    <comment ref="BP104" authorId="0" shapeId="0">
      <text>
        <t>Company items (Q1-25): Severance costs; Lease consolidation costs</t>
      </text>
    </comment>
    <comment ref="BT104" authorId="0" shapeId="0">
      <text>
        <t>Company items (2025): Severance costs; Lease consolidation costs</t>
      </text>
    </comment>
    <comment ref="BW104" authorId="0" shapeId="0">
      <text>
        <t>Company items (Q3-26): Severance costs</t>
      </text>
    </comment>
    <comment ref="Y105" authorId="0" shapeId="0">
      <text>
        <t>Company items (Q3-16): Visa Europe Framework Agreement loss; Net losses on currency forward contracts; Foreign exchange gain on euro deposits</t>
      </text>
    </comment>
    <comment ref="AA105" authorId="0" shapeId="0">
      <text>
        <t>Company items (2016): Visa Europe Framework Agreement loss; Net gains on currency forward contracts; Foreign exchange gain on euro deposits; Revaluation of Visa Europe put option</t>
      </text>
    </comment>
    <comment ref="AC106" authorId="0" shapeId="0">
      <text>
        <t>Company items (Q2-17): Charitable contribution</t>
      </text>
    </comment>
    <comment ref="AF106" authorId="0" shapeId="0">
      <text>
        <t>Company items (2017): Charitable contribution</t>
      </text>
    </comment>
    <comment ref="AJ106" authorId="0" shapeId="0">
      <text>
        <t>Company items (Q4-18): Charitable contribution</t>
      </text>
    </comment>
    <comment ref="AK106" authorId="0" shapeId="0">
      <text>
        <t>Company items (2018): Charitable contribution</t>
      </text>
    </comment>
    <comment ref="AW106" authorId="0" shapeId="0">
      <text>
        <t>Company items (Q2-21): Indirect taxes</t>
      </text>
    </comment>
    <comment ref="AZ106" authorId="0" shapeId="0">
      <text>
        <t>Company items (2021): Indirect taxes</t>
      </text>
    </comment>
    <comment ref="BB106" authorId="0" shapeId="0">
      <text>
        <t>Company items (Q2-22): Russia-Ukraine charges</t>
      </text>
    </comment>
    <comment ref="BE106" authorId="0" shapeId="0">
      <text>
        <t>Company items (2022): Russia-Ukraine charges</t>
      </text>
    </comment>
    <comment ref="BM106" authorId="0" shapeId="0">
      <text>
        <t>Company items (Q3-24): Indirect taxes; Charitable contribution</t>
      </text>
    </comment>
    <comment ref="BO106" authorId="0" shapeId="0">
      <text>
        <t>Company items (2024): Indirect taxes; Charitable contribution</t>
      </text>
    </comment>
    <comment ref="AQ108" authorId="0" shapeId="0">
      <text>
        <t>Company items (Q1-20): (Gains) Losses on equity investments, net</t>
      </text>
    </comment>
    <comment ref="AR108" authorId="0" shapeId="0">
      <text>
        <t>Company items (Q2-20): (Gains) Losses on equity investments, net</t>
      </text>
    </comment>
    <comment ref="AS108" authorId="0" shapeId="0">
      <text>
        <t>Company items (Q3-20): (Gains) Losses on equity investments, net</t>
      </text>
    </comment>
    <comment ref="AT108" authorId="0" shapeId="0">
      <text>
        <t>Company items (Q4-20): (Gains) Losses on equity investments, net</t>
      </text>
    </comment>
    <comment ref="AU108" authorId="0" shapeId="0">
      <text>
        <t>Company items (2020): (Gains) Losses on equity investments, net</t>
      </text>
    </comment>
    <comment ref="AV108" authorId="0" shapeId="0">
      <text>
        <t>Company items (Q1-21): (Gains) Losses on equity investments, net</t>
      </text>
    </comment>
    <comment ref="AW108" authorId="0" shapeId="0">
      <text>
        <t>Company items (Q2-21): (Gains) Losses on equity investments, net</t>
      </text>
    </comment>
    <comment ref="AX108" authorId="0" shapeId="0">
      <text>
        <t>Company items (Q3-21): (Gains) losses on equity investments, net</t>
      </text>
    </comment>
    <comment ref="AY108" authorId="0" shapeId="0">
      <text>
        <t>Company items (Q4-21): (Gains) losses on equity investments, net</t>
      </text>
    </comment>
    <comment ref="AZ108" authorId="0" shapeId="0">
      <text>
        <t>Company items (2021): (Gains) losses on equity investments, net</t>
      </text>
    </comment>
    <comment ref="BA108" authorId="0" shapeId="0">
      <text>
        <t>Company items (Q1-22): (Gains) losses on equity investments, net</t>
      </text>
    </comment>
    <comment ref="BB108" authorId="0" shapeId="0">
      <text>
        <t>Company items (Q2-22): (Gains) losses on equity investments, net</t>
      </text>
    </comment>
    <comment ref="BC108" authorId="0" shapeId="0">
      <text>
        <t>Company items (Q3-22): (Gains) losses on equity investments, net</t>
      </text>
    </comment>
    <comment ref="BD108" authorId="0" shapeId="0">
      <text>
        <t>Company items (Q4-22): (Gains) losses on equity investments, net</t>
      </text>
    </comment>
    <comment ref="BE108" authorId="0" shapeId="0">
      <text>
        <t>Company items (2022): (Gains) losses on equity investments, net</t>
      </text>
    </comment>
    <comment ref="BF108" authorId="0" shapeId="0">
      <text>
        <t>Company items (Q1-23): (Gains) losses on equity investments, net</t>
      </text>
    </comment>
    <comment ref="BG108" authorId="0" shapeId="0">
      <text>
        <t>Company items (Q2-23): (Gains) losses on equity investments, net</t>
      </text>
    </comment>
    <comment ref="BH108" authorId="0" shapeId="0">
      <text>
        <t>Company items (Q3-23): (Gains) losses on equity investments, net</t>
      </text>
    </comment>
    <comment ref="BI108" authorId="0" shapeId="0">
      <text>
        <t>Company items (Q4-23): (Gains) losses on equity investments, net</t>
      </text>
    </comment>
    <comment ref="BJ108" authorId="0" shapeId="0">
      <text>
        <t>Company items (2023): (Gains) losses on equity investments, net</t>
      </text>
    </comment>
    <comment ref="BK108" authorId="0" shapeId="0">
      <text>
        <t>Company items (Q1-24): (Gains) losses on equity investments, net</t>
      </text>
    </comment>
    <comment ref="BL108" authorId="0" shapeId="0">
      <text>
        <t>Company items (Q2-24): (Gains) losses on equity investments, net</t>
      </text>
    </comment>
    <comment ref="BM108" authorId="0" shapeId="0">
      <text>
        <t>Company items (Q3-24): (Gains) losses on equity investments, net</t>
      </text>
    </comment>
    <comment ref="BN108" authorId="0" shapeId="0">
      <text>
        <t>Company items (Q4-24): (Gains) losses on equity investments, net</t>
      </text>
    </comment>
    <comment ref="BO108" authorId="0" shapeId="0">
      <text>
        <t>Company items (2024): (Gains) losses on equity investments, net</t>
      </text>
    </comment>
    <comment ref="BP108" authorId="0" shapeId="0">
      <text>
        <t>Company items (Q1-25): (Gains) losses on equity investments, net</t>
      </text>
    </comment>
    <comment ref="BQ108" authorId="0" shapeId="0">
      <text>
        <t>Company items (Q2-25): (Gains) losses on equity investments, net</t>
      </text>
    </comment>
    <comment ref="BR108" authorId="0" shapeId="0">
      <text>
        <t>Company items (Q3-25): (Gains) losses on equity investments, net</t>
      </text>
    </comment>
    <comment ref="BS108" authorId="0" shapeId="0">
      <text>
        <t>Company items (Q4-25): (Gains) losses on equity investments, net</t>
      </text>
    </comment>
    <comment ref="BT108" authorId="0" shapeId="0">
      <text>
        <t>Company items (2025): (Gains) losses on equity investments, net</t>
      </text>
    </comment>
    <comment ref="BU108" authorId="0" shapeId="0">
      <text>
        <t>Company items (Q1-26): (Gains) losses on equity investments, net</t>
      </text>
    </comment>
    <comment ref="BV108" authorId="0" shapeId="0">
      <text>
        <t>Company items (Q2-26): (Gains) losses on equity investments, net</t>
      </text>
    </comment>
    <comment ref="BW108" authorId="0" shapeId="0">
      <text>
        <t>Company items (Q3-26): (Gains) losses on equity investments, net</t>
      </text>
    </comment>
    <comment ref="C109" authorId="0" shapeId="0">
      <text>
        <t>Company items (2008): Underwater contract (LIBOR adjustment) (6)</t>
      </text>
    </comment>
    <comment ref="Y109" authorId="0" shapeId="0">
      <text>
        <t>Company items (Q3-16): Visa Europe Framework Agreement loss; Net losses on currency forward contracts; Foreign exchange gain on euro deposits</t>
      </text>
    </comment>
    <comment ref="AA109" authorId="0" shapeId="0">
      <text>
        <t>Company items (2016): Visa Europe Framework Agreement loss; Net gains on currency forward contracts; Foreign exchange gain on euro deposits; Revaluation of Visa Europe put option</t>
      </text>
    </comment>
    <comment ref="C110" authorId="0" shapeId="0">
      <text>
        <t>Company items (2008): Interest accretion on American Express settlement (4); Investment income on Litigation Escrow and EU proceeds (5)</t>
      </text>
    </comment>
    <comment ref="D110" authorId="0" shapeId="0">
      <text>
        <t>Company items (2009): Interest accretion on American Express settlement (4); Interest expense on Discover settlement (5); Investment income on Litigation Escrow and EU proceeds (6)</t>
      </text>
    </comment>
    <comment ref="AJ110" authorId="0" shapeId="0">
      <text>
        <t>Company items (Q4-18): Charitable contribution</t>
      </text>
    </comment>
    <comment ref="AK110" authorId="0" shapeId="0">
      <text>
        <t>Company items (2018): Charitable contribution</t>
      </text>
    </comment>
    <comment ref="B113" authorId="0" shapeId="0">
      <text>
        <t>Source: Visa Forms 10-Q / 10-K (three-month column for Q1–Q3, identical to the release as originally reported; Q4 = Q4 release three-month column for FY2013–17 and FY2021+, fiscal year − nine months for FY2018–20, whose releases are slide images) — consolidated statements of operations, as originally reported ("operating revenues" to FY2018, "net revenues" from FY2019).</t>
      </text>
    </comment>
    <comment ref="AJ113" authorId="0" shapeId="0">
      <text>
        <t>Q4 = fiscal year (10-K) − nine months (Q3 10-Q); the Q4 release tables are slide images.</t>
      </text>
    </comment>
    <comment ref="AO113" authorId="0" shapeId="0">
      <text>
        <t>Q4 = fiscal year (10-K) − nine months (Q3 10-Q); the Q4 release tables are slide images.</t>
      </text>
    </comment>
    <comment ref="AT113" authorId="0" shapeId="0">
      <text>
        <t>Q4 = fiscal year (10-K) − nine months (Q3 10-Q); the Q4 release tables are slide images.</t>
      </text>
    </comment>
    <comment ref="Y122" authorId="0" shapeId="0">
      <text>
        <t>Company items (Q3-16): Visa Europe Framework Agreement loss 1,877</t>
      </text>
    </comment>
    <comment ref="AA122" authorId="0" shapeId="0">
      <text>
        <t>Company items (2016): Visa Europe Framework Agreement loss 1,877</t>
      </text>
    </comment>
    <comment ref="V128" authorId="0" shapeId="0">
      <text>
        <t>Interest expense is shown separately from FY2016; earlier years carry it inside non-operating income (expense).</t>
      </text>
    </comment>
    <comment ref="B143" authorId="0" shapeId="0">
      <text>
        <t>Source: Visa Forms 10-Q / 10-K (three-month column for Q1–Q3, identical to the release as originally reported; Q4 = Q4 release three-month column for FY2013–17 and FY2021+, fiscal year − nine months for FY2018–20, whose releases are slide images) — statements of operations: weighted-average diluted class A shares (as-converted). Split-adjusted ×4 for documents filed before 18-Mar-2015.</t>
      </text>
    </comment>
    <comment ref="AJ143" authorId="0" shapeId="0">
      <text>
        <t>Q4 = 4 × fiscal-year weighted diluted shares − (Q1 + Q2 + Q3): the Q4 release is a slide image.</t>
      </text>
    </comment>
    <comment ref="AO143" authorId="0" shapeId="0">
      <text>
        <t>Q4 = 4 × fiscal-year weighted diluted shares − (Q1 + Q2 + Q3): the Q4 release is a slide image.</t>
      </text>
    </comment>
    <comment ref="AT143" authorId="0" shapeId="0">
      <text>
        <t>Q4 = 4 × fiscal-year weighted diluted shares − (Q1 + Q2 + Q3): the Q4 release is a slide image.</t>
      </text>
    </comment>
    <comment ref="C147" authorId="0" shapeId="0">
      <text>
        <t>FY2008: the company computed class A EPS ($0.96 pre-split) on net income allocated to class A from the 19-Mar-2008 IPO (two-class method; reorganization-year weighting); net income ÷ weighted diluted shares does not reproduce it (n/m).</t>
      </text>
    </comment>
    <comment ref="B148" authorId="0" shapeId="0">
      <text>
        <t>Source: earnings releases ("the board of directors declared a quarterly cash dividend of $x per share of class A common stock", announcing the next quarter's dividend); fiscal year = Σ quarters (FY2008–12: 10-K selected financial data). Q2 FY16 and Q2 FY18: XBRL quarterly dividend rate. Split-adjusted.</t>
      </text>
    </comment>
    <comment ref="C163" authorId="0" shapeId="0">
      <text>
        <t>FY2008–09 Q4 releases: adjusted net income = pre-tax income + litigation reserve, restructuring, asset step-up amortization, American Express / Discover settlement interest accretion − investment income on IPO proceeds / escrow, taxed at a normalized 41%.</t>
      </text>
    </comment>
    <comment ref="H163" authorId="0" shapeId="0">
      <text>
        <t>The FY2013 releases adjust only prior-year (FY2012) figures.</t>
      </text>
    </comment>
    <comment ref="AL163" authorId="0" shapeId="0">
      <text>
        <t>The FY2020 releases re-presented Q1–Q3 FY19 non-GAAP under the new definition (e.g. Q1-19 $1.30); the model keeps the originally published basis (= GAAP).</t>
      </text>
    </comment>
    <comment ref="AQ163" authorId="0" shapeId="0">
      <text>
        <t>Company definition from the Q1 FY2020 release.</t>
      </text>
    </comment>
    <comment ref="B192" authorId="0" shapeId="0">
      <text>
        <t>Source: Visa earnings releases (Form 8-K Item 2.02, Ex. 99.1) — non-GAAP (adjusted) diluted class A EPS as first published, split-adjusted (÷4 before Mar-2015). n/p: Q1–Q3 FY2013, Q1–Q3 FY2014, Q1–Q2 FY2015, Q4 FY2015, Q1 / Q3 / Q4 FY2017, Q2 FY2018, Q1–Q3 FY2019, FY2013 (no reconciliation for the period).</t>
      </text>
    </comment>
    <comment ref="C198" authorId="0" shapeId="0">
      <text>
        <t>FY2008–09 Q4 releases: adjusted net income = pre-tax income + litigation reserve, restructuring, asset step-up amortization, American Express / Discover settlement interest accretion − investment income on IPO proceeds / escrow, taxed at a normalized 41%.</t>
      </text>
    </comment>
    <comment ref="H198" authorId="0" shapeId="0">
      <text>
        <t>The FY2013 releases adjust only prior-year (FY2012) figures.</t>
      </text>
    </comment>
    <comment ref="AL198" authorId="0" shapeId="0">
      <text>
        <t>The FY2020 releases re-presented Q1–Q3 FY19 non-GAAP under the new definition (e.g. Q1-19 $1.30); the model keeps the originally published basis (= GAAP).</t>
      </text>
    </comment>
    <comment ref="AQ198" authorId="0" shapeId="0">
      <text>
        <t>Company definition from the Q1 FY2020 release.</t>
      </text>
    </comment>
    <comment ref="B219" authorId="0" shapeId="0">
      <text>
        <t>Source: 10-Q / 10-K consolidated statements of cash flows (year to date; discrete quarters derived, Q4 = FY − 9M). Cash basis includes restricted cash and equivalents from FY2019 (ASU 2016-18); litigation-escrow deposits / payments were financing (to FY2018).</t>
      </text>
    </comment>
    <comment ref="B264" authorId="0" shapeId="0">
      <text>
        <t>Source: Visa Forms 10-Q / 10-K (three-month column for Q1–Q3, identical to the release as originally reported; Q4 = Q4 release three-month column for FY2013–17 and FY2021+, fiscal year − nine months for FY2018–20, whose releases are slide images) — consolidated balance sheets (period ends; Q4 = fiscal year end).</t>
      </text>
    </comment>
    <comment ref="C286" authorId="0" shapeId="0">
      <text>
        <t>Includes temporary equity (class C series II common stock, $1,136m) and minority interest.</t>
      </text>
    </comment>
    <comment ref="D286" authorId="0" shapeId="0">
      <text>
        <t>Includes temporary equity and minority interest ($4m).</t>
      </text>
    </comment>
    <comment ref="B309" authorId="0" shapeId="0">
      <text>
        <t>Source: FY2016 10-K Note 2 (Visa Europe, preliminary purchase price allocation).</t>
      </text>
    </comment>
    <comment ref="B322" authorId="0" shapeId="0">
      <text>
        <t>Source: balance sheets; Q3 FY26 10-Q Note 6 (debt: senior notes, commercial paper, maturities and effective rates).</t>
      </text>
    </comment>
  </commentList>
</comments>
</file>

<file path=xl/comments/comment2.xml><?xml version="1.0" encoding="utf-8"?>
<comments xmlns="http://schemas.openxmlformats.org/spreadsheetml/2006/main">
  <authors>
    <author>V model</author>
  </authors>
  <commentList>
    <comment ref="N26" authorId="0" shapeId="0">
      <text>
        <t>P/E on non-GAAP EPS (company definition). Visa at $389 (user-provided, 12-Oct-2026) trades at ~29x FY2026E non-GAAP EPS (~$13.2) and ~26x FY2027E; FY2016–25 range ~25–35x. Exit multiples are assumptions: Base 30x, Bull 33x, Bear 25x applied to FY2030E–31E (FY2029E–31E for Bear).</t>
      </text>
    </comment>
    <comment ref="P40" authorId="0" shapeId="0">
      <text>
        <t>Snapshot (values) of Model rows 254, 253 and 255 (Share Buyback Schedule) with Model!CE2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Q389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hidden="1" outlineLevel="1" width="9.5703125" customWidth="1" style="251" min="8" max="8"/>
    <col hidden="1" outlineLevel="1" width="9.5703125" customWidth="1" style="251" min="9" max="9"/>
    <col hidden="1" outlineLevel="1" width="9.5703125" customWidth="1" style="251" min="10" max="10"/>
    <col hidden="1" outlineLevel="1" width="9.5703125" customWidth="1" style="251" min="11" max="11"/>
    <col width="13" customWidth="1" style="251" min="12" max="12"/>
    <col hidden="1" outlineLevel="1" width="9.5703125" customWidth="1" style="251" min="13" max="13"/>
    <col hidden="1" outlineLevel="1" width="9.5703125" customWidth="1" style="251" min="14" max="14"/>
    <col hidden="1" outlineLevel="1" width="9.5703125" customWidth="1" style="251" min="15" max="15"/>
    <col hidden="1" outlineLevel="1" width="9.5703125" customWidth="1" style="251" min="16" max="16"/>
    <col width="13" customWidth="1" style="251" min="17" max="17"/>
    <col hidden="1" outlineLevel="1" width="9.5703125" customWidth="1" style="251" min="18" max="18"/>
    <col hidden="1" outlineLevel="1" width="9.5703125" customWidth="1" style="251" min="19" max="19"/>
    <col hidden="1" outlineLevel="1" width="9.5703125" customWidth="1" style="251" min="20" max="20"/>
    <col hidden="1" outlineLevel="1" width="9.5703125" customWidth="1" style="251" min="21" max="21"/>
    <col width="13" customWidth="1" style="251" min="22" max="22"/>
    <col hidden="1" outlineLevel="1" width="9.5703125" customWidth="1" style="251" min="23" max="23"/>
    <col hidden="1" outlineLevel="1" width="9.5703125" customWidth="1" style="251" min="24" max="24"/>
    <col hidden="1" outlineLevel="1" width="9.5703125" customWidth="1" style="251" min="25" max="25"/>
    <col hidden="1" outlineLevel="1" width="9.5703125" customWidth="1" style="251" min="26" max="26"/>
    <col width="13" customWidth="1" style="251" min="27" max="27"/>
    <col hidden="1" outlineLevel="1" width="9.5703125" customWidth="1" style="251" min="28" max="28"/>
    <col hidden="1" outlineLevel="1" width="9.5703125" customWidth="1" style="251" min="29" max="29"/>
    <col hidden="1" outlineLevel="1" width="9.5703125" customWidth="1" style="251" min="30" max="30"/>
    <col hidden="1" outlineLevel="1" width="9.5703125" customWidth="1" style="251" min="31" max="31"/>
    <col width="13" customWidth="1" style="251" min="32" max="32"/>
    <col hidden="1" outlineLevel="1" width="9.5703125" customWidth="1" style="251" min="33" max="33"/>
    <col hidden="1" outlineLevel="1" width="9.5703125" customWidth="1" style="251" min="34" max="34"/>
    <col hidden="1" outlineLevel="1" width="9.5703125" customWidth="1" style="251" min="35" max="35"/>
    <col hidden="1" outlineLevel="1" width="9.5703125" customWidth="1" style="251" min="36" max="36"/>
    <col width="13" customWidth="1" style="251" min="37" max="37"/>
    <col hidden="1" outlineLevel="1" width="9.5703125" customWidth="1" style="251" min="38" max="38"/>
    <col hidden="1" outlineLevel="1" width="9.5703125" customWidth="1" style="251" min="39" max="39"/>
    <col hidden="1" outlineLevel="1" width="9.5703125" customWidth="1" style="251" min="40" max="40"/>
    <col hidden="1" outlineLevel="1" width="9.5703125" customWidth="1" style="251" min="41" max="41"/>
    <col width="13" customWidth="1" style="251" min="42" max="42"/>
    <col hidden="1" outlineLevel="1" width="9.5703125" customWidth="1" style="251" min="43" max="43"/>
    <col hidden="1" outlineLevel="1" width="9.5703125" customWidth="1" style="251" min="44" max="44"/>
    <col hidden="1" outlineLevel="1" width="9.5703125" customWidth="1" style="251" min="45" max="45"/>
    <col hidden="1" outlineLevel="1" width="9.5703125" customWidth="1" style="251" min="46" max="46"/>
    <col width="13" customWidth="1" style="251" min="47" max="47"/>
    <col hidden="1" outlineLevel="1" width="9.5703125" customWidth="1" style="251" min="48" max="48"/>
    <col hidden="1" outlineLevel="1" width="9.5703125" customWidth="1" style="251" min="49" max="49"/>
    <col hidden="1" outlineLevel="1" width="9.5703125" customWidth="1" style="251" min="50" max="50"/>
    <col hidden="1" outlineLevel="1" width="9.5703125" customWidth="1" style="251" min="51" max="51"/>
    <col width="13" customWidth="1" style="251" min="52" max="52"/>
    <col hidden="1" outlineLevel="1" width="9.5703125" customWidth="1" style="251" min="53" max="53"/>
    <col hidden="1" outlineLevel="1" width="9.5703125" customWidth="1" style="251" min="54" max="54"/>
    <col hidden="1" outlineLevel="1" width="9.5703125" customWidth="1" style="251" min="55" max="55"/>
    <col hidden="1" outlineLevel="1" width="9.5703125" customWidth="1" style="251" min="56" max="56"/>
    <col width="13" customWidth="1" style="251" min="57" max="57"/>
    <col hidden="1" outlineLevel="1" width="9.5703125" customWidth="1" style="251" min="58" max="58"/>
    <col hidden="1" outlineLevel="1" width="9.5703125" customWidth="1" style="251" min="59" max="59"/>
    <col hidden="1" outlineLevel="1" width="9.5703125" customWidth="1" style="251" min="60" max="60"/>
    <col hidden="1" outlineLevel="1" width="9.5703125" customWidth="1" style="251" min="61" max="61"/>
    <col width="13" customWidth="1" style="251" min="62" max="62"/>
    <col hidden="1" outlineLevel="1" width="9.5703125" customWidth="1" style="251" min="63" max="63"/>
    <col hidden="1" outlineLevel="1" width="9.5703125" customWidth="1" style="251" min="64" max="64"/>
    <col hidden="1" outlineLevel="1" width="9.5703125" customWidth="1" style="251" min="65" max="65"/>
    <col hidden="1" outlineLevel="1" width="9.5703125" customWidth="1" style="251" min="66" max="66"/>
    <col width="13" customWidth="1" style="251" min="67" max="67"/>
    <col hidden="1" outlineLevel="1" width="9.5703125" customWidth="1" style="251" min="68" max="68"/>
    <col hidden="1" outlineLevel="1" width="9.5703125" customWidth="1" style="251" min="69" max="69"/>
    <col hidden="1" outlineLevel="1" width="9.5703125" customWidth="1" style="251" min="70" max="70"/>
    <col hidden="1" outlineLevel="1" width="9.5703125" customWidth="1" style="251" min="71" max="71"/>
    <col width="13" customWidth="1" style="251" min="72" max="72"/>
    <col hidden="1" outlineLevel="1" width="9.5703125" customWidth="1" style="251" min="73" max="73"/>
    <col hidden="1" outlineLevel="1" width="9.5703125" customWidth="1" style="251" min="74" max="74"/>
    <col hidden="1" outlineLevel="1" width="9.5703125" customWidth="1" style="251" min="75" max="75"/>
    <col hidden="1" outlineLevel="1" width="11.42578125" customWidth="1" style="251" min="76" max="76"/>
    <col width="14.140625" customWidth="1" style="251" min="77" max="77"/>
    <col width="13" customWidth="1" style="251" min="78" max="78"/>
    <col width="13" customWidth="1" style="251" min="79" max="79"/>
    <col width="13" customWidth="1" style="251" min="80" max="80"/>
    <col width="13" customWidth="1" style="251" min="81" max="81"/>
    <col width="13" customWidth="1" style="251" min="82" max="82"/>
    <col width="86.85546875" customWidth="1" style="251" min="83" max="83"/>
    <col width="2" customWidth="1" style="251" min="84" max="84"/>
    <col width="14.140625" customWidth="1" style="251" min="85" max="85"/>
    <col width="12.42578125" customWidth="1" style="251" min="86" max="86"/>
    <col width="13.42578125" customWidth="1" style="251" min="87" max="87"/>
    <col width="13" customWidth="1" style="251" min="88" max="88"/>
    <col width="2" customWidth="1" style="251" min="89" max="89"/>
    <col width="6" customWidth="1" style="251" min="90" max="90"/>
    <col width="46" customWidth="1" style="251" min="91" max="91"/>
    <col width="11.5703125" customWidth="1" style="251" min="92" max="92"/>
    <col width="13" customWidth="1" style="251" min="93" max="93"/>
    <col width="13" customWidth="1" style="251" min="94" max="94"/>
    <col width="60" customWidth="1" style="251" min="95" max="95"/>
  </cols>
  <sheetData>
    <row r="1" ht="15" customHeight="1" s="251">
      <c r="CE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Visa Inc. (NYSE: V) — 3-Statement Financial Model</t>
        </is>
      </c>
      <c r="CE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millions, as-converted class A) · Fiscal years ended 30 September (2026 = Oct-2025 – Sep-2026) · Source: Visa Forms 10-K / 10-Q and Form 8-K earnings releases (Item 2.02, Ex. 99.1), SEC EDGAR (CIK 0001403161); XBRL company facts (cross-checks, dividends); releases on investor.visa.com are the same documents as filed on EDGAR · Q4 FY26 outlook: earnings call only (not on EDGAR) — UNVERIFIED</t>
        </is>
      </c>
    </row>
    <row r="4" ht="15" customHeight="1" s="251">
      <c r="B4" s="5" t="inlineStr">
        <is>
          <t>Basis notes: as originally reported. IPO 19-Mar-2008 (reorganization Oct-2007; FY2008 first Visa Inc. 10-K year). 4-for-1 split Mar-2015 (per-share ÷4, shares ×4 before). One reportable segment; revenue by category; client incentives deducted from gross revenue. ASC 606 from FY2019; ASU 2016-18 restricted cash in the cash flow from FY2019. Visa Europe acquired 21-Jun-2016. Non-GAAP definitions per period (flag rows). Q4/26E calibrated to the Q4 FY26 call outlook (UNVERIFIED).</t>
        </is>
      </c>
    </row>
    <row r="5" ht="15" customHeight="1" s="251">
      <c r="BX5" s="153" t="n"/>
      <c r="BY5" s="153" t="n"/>
      <c r="BZ5" s="153" t="n"/>
      <c r="CA5" s="153" t="n"/>
      <c r="CB5" s="153" t="n"/>
      <c r="CC5" s="153" t="n"/>
      <c r="CD5" s="153" t="n"/>
      <c r="CG5" s="6" t="inlineStr">
        <is>
          <t>Forecast</t>
        </is>
      </c>
      <c r="CH5" s="6" t="inlineStr">
        <is>
          <t>Historical</t>
        </is>
      </c>
      <c r="CI5" s="6" t="inlineStr">
        <is>
          <t>Historical</t>
        </is>
      </c>
      <c r="CJ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2008</v>
      </c>
      <c r="D6" s="8" t="n">
        <v>2009</v>
      </c>
      <c r="E6" s="8" t="n">
        <v>2010</v>
      </c>
      <c r="F6" s="8" t="n">
        <v>2011</v>
      </c>
      <c r="G6" s="8" t="n">
        <v>2012</v>
      </c>
      <c r="H6" s="8" t="inlineStr">
        <is>
          <t>Q1/13</t>
        </is>
      </c>
      <c r="I6" s="8" t="inlineStr">
        <is>
          <t>Q2/13</t>
        </is>
      </c>
      <c r="J6" s="8" t="inlineStr">
        <is>
          <t>Q3/13</t>
        </is>
      </c>
      <c r="K6" s="8" t="inlineStr">
        <is>
          <t>Q4/13</t>
        </is>
      </c>
      <c r="L6" s="8" t="n">
        <v>2013</v>
      </c>
      <c r="M6" s="8" t="inlineStr">
        <is>
          <t>Q1/14</t>
        </is>
      </c>
      <c r="N6" s="8" t="inlineStr">
        <is>
          <t>Q2/14</t>
        </is>
      </c>
      <c r="O6" s="8" t="inlineStr">
        <is>
          <t>Q3/14</t>
        </is>
      </c>
      <c r="P6" s="8" t="inlineStr">
        <is>
          <t>Q4/14</t>
        </is>
      </c>
      <c r="Q6" s="8" t="n">
        <v>2014</v>
      </c>
      <c r="R6" s="8" t="inlineStr">
        <is>
          <t>Q1/15</t>
        </is>
      </c>
      <c r="S6" s="8" t="inlineStr">
        <is>
          <t>Q2/15</t>
        </is>
      </c>
      <c r="T6" s="8" t="inlineStr">
        <is>
          <t>Q3/15</t>
        </is>
      </c>
      <c r="U6" s="8" t="inlineStr">
        <is>
          <t>Q4/15</t>
        </is>
      </c>
      <c r="V6" s="8" t="n">
        <v>2015</v>
      </c>
      <c r="W6" s="8" t="inlineStr">
        <is>
          <t>Q1/16</t>
        </is>
      </c>
      <c r="X6" s="8" t="inlineStr">
        <is>
          <t>Q2/16</t>
        </is>
      </c>
      <c r="Y6" s="8" t="inlineStr">
        <is>
          <t>Q3/16</t>
        </is>
      </c>
      <c r="Z6" s="8" t="inlineStr">
        <is>
          <t>Q4/16</t>
        </is>
      </c>
      <c r="AA6" s="8" t="n">
        <v>2016</v>
      </c>
      <c r="AB6" s="8" t="inlineStr">
        <is>
          <t>Q1/17</t>
        </is>
      </c>
      <c r="AC6" s="8" t="inlineStr">
        <is>
          <t>Q2/17</t>
        </is>
      </c>
      <c r="AD6" s="8" t="inlineStr">
        <is>
          <t>Q3/17</t>
        </is>
      </c>
      <c r="AE6" s="8" t="inlineStr">
        <is>
          <t>Q4/17</t>
        </is>
      </c>
      <c r="AF6" s="8" t="n">
        <v>2017</v>
      </c>
      <c r="AG6" s="8" t="inlineStr">
        <is>
          <t>Q1/18</t>
        </is>
      </c>
      <c r="AH6" s="8" t="inlineStr">
        <is>
          <t>Q2/18</t>
        </is>
      </c>
      <c r="AI6" s="8" t="inlineStr">
        <is>
          <t>Q3/18</t>
        </is>
      </c>
      <c r="AJ6" s="8" t="inlineStr">
        <is>
          <t>Q4/18</t>
        </is>
      </c>
      <c r="AK6" s="8" t="n">
        <v>2018</v>
      </c>
      <c r="AL6" s="8" t="inlineStr">
        <is>
          <t>Q1/19</t>
        </is>
      </c>
      <c r="AM6" s="8" t="inlineStr">
        <is>
          <t>Q2/19</t>
        </is>
      </c>
      <c r="AN6" s="8" t="inlineStr">
        <is>
          <t>Q3/19</t>
        </is>
      </c>
      <c r="AO6" s="8" t="inlineStr">
        <is>
          <t>Q4/19</t>
        </is>
      </c>
      <c r="AP6" s="8" t="n">
        <v>2019</v>
      </c>
      <c r="AQ6" s="8" t="inlineStr">
        <is>
          <t>Q1/20</t>
        </is>
      </c>
      <c r="AR6" s="8" t="inlineStr">
        <is>
          <t>Q2/20</t>
        </is>
      </c>
      <c r="AS6" s="8" t="inlineStr">
        <is>
          <t>Q3/20</t>
        </is>
      </c>
      <c r="AT6" s="8" t="inlineStr">
        <is>
          <t>Q4/20</t>
        </is>
      </c>
      <c r="AU6" s="8" t="n">
        <v>2020</v>
      </c>
      <c r="AV6" s="8" t="inlineStr">
        <is>
          <t>Q1/21</t>
        </is>
      </c>
      <c r="AW6" s="8" t="inlineStr">
        <is>
          <t>Q2/21</t>
        </is>
      </c>
      <c r="AX6" s="8" t="inlineStr">
        <is>
          <t>Q3/21</t>
        </is>
      </c>
      <c r="AY6" s="8" t="inlineStr">
        <is>
          <t>Q4/21</t>
        </is>
      </c>
      <c r="AZ6" s="8" t="n">
        <v>2021</v>
      </c>
      <c r="BA6" s="8" t="inlineStr">
        <is>
          <t>Q1/22</t>
        </is>
      </c>
      <c r="BB6" s="8" t="inlineStr">
        <is>
          <t>Q2/22</t>
        </is>
      </c>
      <c r="BC6" s="8" t="inlineStr">
        <is>
          <t>Q3/22</t>
        </is>
      </c>
      <c r="BD6" s="8" t="inlineStr">
        <is>
          <t>Q4/22</t>
        </is>
      </c>
      <c r="BE6" s="8" t="n">
        <v>2022</v>
      </c>
      <c r="BF6" s="8" t="inlineStr">
        <is>
          <t>Q1/23</t>
        </is>
      </c>
      <c r="BG6" s="8" t="inlineStr">
        <is>
          <t>Q2/23</t>
        </is>
      </c>
      <c r="BH6" s="8" t="inlineStr">
        <is>
          <t>Q3/23</t>
        </is>
      </c>
      <c r="BI6" s="8" t="inlineStr">
        <is>
          <t>Q4/23</t>
        </is>
      </c>
      <c r="BJ6" s="8" t="n">
        <v>2023</v>
      </c>
      <c r="BK6" s="8" t="inlineStr">
        <is>
          <t>Q1/24</t>
        </is>
      </c>
      <c r="BL6" s="8" t="inlineStr">
        <is>
          <t>Q2/24</t>
        </is>
      </c>
      <c r="BM6" s="8" t="inlineStr">
        <is>
          <t>Q3/24</t>
        </is>
      </c>
      <c r="BN6" s="8" t="inlineStr">
        <is>
          <t>Q4/24</t>
        </is>
      </c>
      <c r="BO6" s="8" t="n">
        <v>2024</v>
      </c>
      <c r="BP6" s="8" t="inlineStr">
        <is>
          <t>Q1/25</t>
        </is>
      </c>
      <c r="BQ6" s="8" t="inlineStr">
        <is>
          <t>Q2/25</t>
        </is>
      </c>
      <c r="BR6" s="8" t="inlineStr">
        <is>
          <t>Q3/25</t>
        </is>
      </c>
      <c r="BS6" s="8" t="inlineStr">
        <is>
          <t>Q4/25</t>
        </is>
      </c>
      <c r="BT6" s="8" t="n">
        <v>2025</v>
      </c>
      <c r="BU6" s="8" t="inlineStr">
        <is>
          <t>Q1/26</t>
        </is>
      </c>
      <c r="BV6" s="8" t="inlineStr">
        <is>
          <t>Q2/26</t>
        </is>
      </c>
      <c r="BW6" s="8" t="inlineStr">
        <is>
          <t>Q3/26</t>
        </is>
      </c>
      <c r="BX6" s="8" t="inlineStr">
        <is>
          <t>Q4/26E</t>
        </is>
      </c>
      <c r="BY6" s="8" t="inlineStr">
        <is>
          <t>2026E</t>
        </is>
      </c>
      <c r="BZ6" s="8" t="inlineStr">
        <is>
          <t>2027E</t>
        </is>
      </c>
      <c r="CA6" s="8" t="inlineStr">
        <is>
          <t>2028E</t>
        </is>
      </c>
      <c r="CB6" s="8" t="inlineStr">
        <is>
          <t>2029E</t>
        </is>
      </c>
      <c r="CC6" s="8" t="inlineStr">
        <is>
          <t>2030E</t>
        </is>
      </c>
      <c r="CD6" s="8" t="inlineStr">
        <is>
          <t>2031E</t>
        </is>
      </c>
      <c r="CE6" s="8" t="inlineStr">
        <is>
          <t>Modelling Notes</t>
        </is>
      </c>
      <c r="CG6" s="6" t="inlineStr">
        <is>
          <t>5Y CAGR</t>
        </is>
      </c>
      <c r="CH6" s="6" t="inlineStr">
        <is>
          <t>5Y CAGR</t>
        </is>
      </c>
      <c r="CI6" s="6" t="inlineStr">
        <is>
          <t>10Y CAGR</t>
        </is>
      </c>
      <c r="CJ6" s="6" t="inlineStr">
        <is>
          <t>17Y CAGR</t>
        </is>
      </c>
    </row>
    <row r="7" ht="15" customHeight="1" s="251">
      <c r="CG7" s="9" t="inlineStr">
        <is>
          <t>26-'31</t>
        </is>
      </c>
      <c r="CH7" s="9" t="inlineStr">
        <is>
          <t>20-'25</t>
        </is>
      </c>
      <c r="CI7" s="9" t="inlineStr">
        <is>
          <t>15-'25</t>
        </is>
      </c>
      <c r="CJ7" s="9" t="inlineStr">
        <is>
          <t>08-'25</t>
        </is>
      </c>
    </row>
    <row r="8" ht="15" customHeight="1" s="251">
      <c r="B8" s="10" t="inlineStr">
        <is>
          <t>NET REVENUE BUILD — PAYMENTS VOLUME × YIELD · PROCESSED TRANSACTIONS × YIELD · CROSS-BORDER · CLIENT INCENTIVES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inlineStr">
        <is>
          <t>REVENUE BUILD — modelling logic (operating drivers → gross revenue by category → client incentives → net revenue; Visa reports one segment)</t>
        </is>
      </c>
    </row>
    <row r="9" ht="15" customHeight="1" s="251">
      <c r="CM9" s="11" t="inlineStr">
        <is>
          <t>SCENARIO INPUT TABLE — driver assumptions per Bull / Base / Bear</t>
        </is>
      </c>
      <c r="CN9" s="12" t="inlineStr">
        <is>
          <t>Bull</t>
        </is>
      </c>
      <c r="CO9" s="12" t="inlineStr">
        <is>
          <t>Base</t>
        </is>
      </c>
      <c r="CP9" s="12" t="inlineStr">
        <is>
          <t>Bear</t>
        </is>
      </c>
      <c r="CQ9" s="13" t="inlineStr">
        <is>
          <t>Bull / Bear = Base + Δ (Δ inputs on each block header). Outlook block = high / mid / low end of the Q4 FY26 outlook (UNVERIFIED — call only).</t>
        </is>
      </c>
    </row>
    <row r="10" ht="15" customHeight="1" s="251">
      <c r="B10" s="14" t="inlineStr">
        <is>
          <t>Operating drivers — Visa-branded payments volume and processed transactions (10-Q / 10-K MD&amp;A)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5" t="inlineStr">
        <is>
          <t>KPIs — service revenue in a quarter is assessed on the PRIOR quarter's nominal payments volume; data processing revenue on processed transactions</t>
        </is>
      </c>
    </row>
    <row r="11" ht="15" customHeight="1" s="251">
      <c r="B11" s="25" t="inlineStr">
        <is>
          <t xml:space="preserve">  Nominal payments volume ($bn; the calendar quarter driving the period's service revenue)</t>
        </is>
      </c>
      <c r="C11" s="34" t="n"/>
      <c r="D11" s="253" t="n">
        <v>2679</v>
      </c>
      <c r="E11" s="253" t="n">
        <v>3037</v>
      </c>
      <c r="F11" s="253" t="n">
        <v>3530</v>
      </c>
      <c r="G11" s="253" t="n">
        <v>3899</v>
      </c>
      <c r="H11" s="253" t="n">
        <v>1008</v>
      </c>
      <c r="I11" s="253" t="n">
        <v>1074</v>
      </c>
      <c r="J11" s="253" t="n">
        <v>1025</v>
      </c>
      <c r="K11" s="253" t="n">
        <v>1091</v>
      </c>
      <c r="L11" s="253" t="n">
        <v>4197</v>
      </c>
      <c r="M11" s="253" t="n">
        <v>1104</v>
      </c>
      <c r="N11" s="253" t="n">
        <v>1164</v>
      </c>
      <c r="O11" s="253" t="n">
        <v>1108</v>
      </c>
      <c r="P11" s="253" t="n">
        <v>1191</v>
      </c>
      <c r="Q11" s="253" t="n">
        <v>4567</v>
      </c>
      <c r="R11" s="253" t="n">
        <v>1217</v>
      </c>
      <c r="S11" s="253" t="n">
        <v>1245</v>
      </c>
      <c r="T11" s="253" t="n">
        <v>1168</v>
      </c>
      <c r="U11" s="253" t="n">
        <v>1254</v>
      </c>
      <c r="V11" s="253" t="n">
        <v>4884</v>
      </c>
      <c r="W11" s="253" t="n">
        <v>1265</v>
      </c>
      <c r="X11" s="253" t="n">
        <v>1305</v>
      </c>
      <c r="Y11" s="253" t="n">
        <v>1253</v>
      </c>
      <c r="Z11" s="253" t="n">
        <v>1828</v>
      </c>
      <c r="AA11" s="253" t="n">
        <v>5651</v>
      </c>
      <c r="AB11" s="253" t="n">
        <v>1858</v>
      </c>
      <c r="AC11" s="253" t="n">
        <v>1802</v>
      </c>
      <c r="AD11" s="253" t="n">
        <v>1734</v>
      </c>
      <c r="AE11" s="253" t="n">
        <v>1867</v>
      </c>
      <c r="AF11" s="253" t="n">
        <v>7265</v>
      </c>
      <c r="AG11" s="253" t="n">
        <v>1930</v>
      </c>
      <c r="AH11" s="253" t="n">
        <v>2033</v>
      </c>
      <c r="AI11" s="253" t="n">
        <v>1998</v>
      </c>
      <c r="AJ11" s="253" t="n">
        <v>2101</v>
      </c>
      <c r="AK11" s="253" t="n">
        <v>8063</v>
      </c>
      <c r="AL11" s="253" t="n">
        <v>2112</v>
      </c>
      <c r="AM11" s="253" t="n">
        <v>2197</v>
      </c>
      <c r="AN11" s="253" t="n">
        <v>2085</v>
      </c>
      <c r="AO11" s="253" t="n">
        <v>2228</v>
      </c>
      <c r="AP11" s="253" t="n">
        <v>8619</v>
      </c>
      <c r="AQ11" s="253" t="n">
        <v>2270</v>
      </c>
      <c r="AR11" s="253" t="n">
        <v>2361</v>
      </c>
      <c r="AS11" s="253" t="n">
        <v>2130</v>
      </c>
      <c r="AT11" s="253" t="n">
        <v>1955</v>
      </c>
      <c r="AU11" s="253" t="n">
        <v>8713</v>
      </c>
      <c r="AV11" s="253" t="n">
        <v>2349</v>
      </c>
      <c r="AW11" s="253" t="n">
        <v>2475</v>
      </c>
      <c r="AX11" s="253" t="n">
        <v>2423</v>
      </c>
      <c r="AY11" s="253" t="n">
        <v>2720</v>
      </c>
      <c r="AZ11" s="253" t="n">
        <v>9968</v>
      </c>
      <c r="BA11" s="253" t="n">
        <v>2784</v>
      </c>
      <c r="BB11" s="253" t="n">
        <v>2963</v>
      </c>
      <c r="BC11" s="253" t="n">
        <v>2775</v>
      </c>
      <c r="BD11" s="253" t="n">
        <v>2942</v>
      </c>
      <c r="BE11" s="253" t="n">
        <v>11464</v>
      </c>
      <c r="BF11" s="253" t="n">
        <v>2929</v>
      </c>
      <c r="BG11" s="253" t="n">
        <v>3018</v>
      </c>
      <c r="BH11" s="253" t="n">
        <v>2957</v>
      </c>
      <c r="BI11" s="253" t="n">
        <v>3166</v>
      </c>
      <c r="BJ11" s="253" t="n">
        <v>12074</v>
      </c>
      <c r="BK11" s="253" t="n">
        <v>3198</v>
      </c>
      <c r="BL11" s="253" t="n">
        <v>3280</v>
      </c>
      <c r="BM11" s="253" t="n">
        <v>3172</v>
      </c>
      <c r="BN11" s="253" t="n">
        <v>3328</v>
      </c>
      <c r="BO11" s="253" t="n">
        <v>12984</v>
      </c>
      <c r="BP11" s="253" t="n">
        <v>3410</v>
      </c>
      <c r="BQ11" s="253" t="n">
        <v>3524</v>
      </c>
      <c r="BR11" s="253" t="n">
        <v>3344</v>
      </c>
      <c r="BS11" s="253" t="n">
        <v>3617</v>
      </c>
      <c r="BT11" s="253" t="n">
        <v>13894</v>
      </c>
      <c r="BU11" s="253" t="n">
        <v>3732</v>
      </c>
      <c r="BV11" s="253" t="n">
        <v>3868</v>
      </c>
      <c r="BW11" s="253" t="n">
        <v>3728</v>
      </c>
      <c r="BX11" s="254">
        <f>BS11*(1+BX12)</f>
        <v>4014.87</v>
      </c>
      <c r="BY11" s="254">
        <f>SUM(BU11:BX11)</f>
        <v>15342.87</v>
      </c>
      <c r="BZ11" s="254">
        <f>BY11*(1+BZ12)</f>
        <v>16647.01395</v>
      </c>
      <c r="CA11" s="254">
        <f>BZ11*(1+CA12)</f>
        <v>17978.775066</v>
      </c>
      <c r="CB11" s="254">
        <f>CA11*(1+CB12)</f>
        <v>19417.07707128</v>
      </c>
      <c r="CC11" s="254">
        <f>CB11*(1+CC12)</f>
        <v>20873.357851626</v>
      </c>
      <c r="CD11" s="254">
        <f>CC11*(1+CD12)</f>
        <v>22438.859690498</v>
      </c>
      <c r="CE11" s="19" t="inlineStr">
        <is>
          <t>10-Q / 10-K "Total nominal payments volume" (three / twelve months ended one quarter before the fiscal period; Q4 = twelve months − nine months). Forecast = prior year × (1 + growth).</t>
        </is>
      </c>
      <c r="CG11" s="20">
        <f>IFERROR((CD11/BY11)^(1/5)-1,"n/m")</f>
        <v>0.0789935176127556</v>
      </c>
      <c r="CH11" s="20">
        <f>IFERROR((BT11/AU11)^(1/5)-1,"n/m")</f>
        <v>0.0978219657383981</v>
      </c>
      <c r="CI11" s="20">
        <f>IFERROR((BT11/V11)^(1/10)-1,"n/m")</f>
        <v>0.110210074364987</v>
      </c>
      <c r="CJ11" s="20" t="str">
        <f>IFERROR((BT11/C11)^(1/17)-1,"n/m")</f>
        <v>n/m</v>
      </c>
      <c r="CM11" s="15" t="inlineStr">
        <is>
          <t>Q4 FY26 outlook — Q3 FY26 earnings call (28-Jul-2026) — UNVERIFIED</t>
        </is>
      </c>
      <c r="CN11" s="21" t="inlineStr">
        <is>
          <t>High</t>
        </is>
      </c>
      <c r="CO11" s="21" t="inlineStr">
        <is>
          <t>Mid</t>
        </is>
      </c>
      <c r="CP11" s="21" t="inlineStr">
        <is>
          <t>Low</t>
        </is>
      </c>
      <c r="CQ11" s="13" t="inlineStr">
        <is>
          <t>UNVERIFIED (earnings call, not on EDGAR): Visa has given its outlook only on the call since FY2020 (the 8-K release has none); figures from secondary summaries found by web search. Q4 FY26: adjusted net revenue growth similar to Q3 (+14% nominal); non-GAAP EPS growth at the low end of mid-teens; adjusted opex growth low double digits; FY26 tax rate 18.0–18.25%, non-GAAP non-operating expense ~$165m.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  <v>0.133631952220978</v>
      </c>
      <c r="F12" s="255">
        <f>IF(AND(ISNUMBER(F11),ISNUMBER(E11)),IFERROR(F11/E11-1,""),"")</f>
        <v>0.162331247942048</v>
      </c>
      <c r="G12" s="255">
        <f>IF(AND(ISNUMBER(G11),ISNUMBER(F11)),IFERROR(G11/F11-1,""),"")</f>
        <v>0.104532577903683</v>
      </c>
      <c r="H12" s="23" t="n"/>
      <c r="I12" s="23" t="n"/>
      <c r="J12" s="23" t="n"/>
      <c r="K12" s="23" t="n"/>
      <c r="L12" s="255">
        <f>IF(AND(ISNUMBER(L11),ISNUMBER(G11)),IFERROR(L11/G11-1,""),"")</f>
        <v>0.076429853808669</v>
      </c>
      <c r="M12" s="255">
        <f>IF(AND(ISNUMBER(M11),ISNUMBER(H11)),IFERROR(M11/H11-1,""),"")</f>
        <v>0.0952380952380953</v>
      </c>
      <c r="N12" s="255">
        <f>IF(AND(ISNUMBER(N11),ISNUMBER(I11)),IFERROR(N11/I11-1,""),"")</f>
        <v>0.0837988826815643</v>
      </c>
      <c r="O12" s="255">
        <f>IF(AND(ISNUMBER(O11),ISNUMBER(J11)),IFERROR(O11/J11-1,""),"")</f>
        <v>0.0809756097560976</v>
      </c>
      <c r="P12" s="255">
        <f>IF(AND(ISNUMBER(P11),ISNUMBER(K11)),IFERROR(P11/K11-1,""),"")</f>
        <v>0.0916590284142989</v>
      </c>
      <c r="Q12" s="255">
        <f>IF(AND(ISNUMBER(Q11),ISNUMBER(L11)),IFERROR(Q11/L11-1,""),"")</f>
        <v>0.0881582082439838</v>
      </c>
      <c r="R12" s="255">
        <f>IF(AND(ISNUMBER(R11),ISNUMBER(M11)),IFERROR(R11/M11-1,""),"")</f>
        <v>0.102355072463768</v>
      </c>
      <c r="S12" s="255">
        <f>IF(AND(ISNUMBER(S11),ISNUMBER(N11)),IFERROR(S11/N11-1,""),"")</f>
        <v>0.0695876288659794</v>
      </c>
      <c r="T12" s="255">
        <f>IF(AND(ISNUMBER(T11),ISNUMBER(O11)),IFERROR(T11/O11-1,""),"")</f>
        <v>0.0541516245487366</v>
      </c>
      <c r="U12" s="255">
        <f>IF(AND(ISNUMBER(U11),ISNUMBER(P11)),IFERROR(U11/P11-1,""),"")</f>
        <v>0.0528967254408062</v>
      </c>
      <c r="V12" s="255">
        <f>IF(AND(ISNUMBER(V11),ISNUMBER(Q11)),IFERROR(V11/Q11-1,""),"")</f>
        <v>0.0694109918984016</v>
      </c>
      <c r="W12" s="255">
        <f>IF(AND(ISNUMBER(W11),ISNUMBER(R11)),IFERROR(W11/R11-1,""),"")</f>
        <v>0.0394412489728841</v>
      </c>
      <c r="X12" s="255">
        <f>IF(AND(ISNUMBER(X11),ISNUMBER(S11)),IFERROR(X11/S11-1,""),"")</f>
        <v>0.0481927710843373</v>
      </c>
      <c r="Y12" s="255">
        <f>IF(AND(ISNUMBER(Y11),ISNUMBER(T11)),IFERROR(Y11/T11-1,""),"")</f>
        <v>0.0727739726027397</v>
      </c>
      <c r="Z12" s="255">
        <f>IF(AND(ISNUMBER(Z11),ISNUMBER(U11)),IFERROR(Z11/U11-1,""),"")</f>
        <v>0.457735247208931</v>
      </c>
      <c r="AA12" s="255">
        <f>IF(AND(ISNUMBER(AA11),ISNUMBER(V11)),IFERROR(AA11/V11-1,""),"")</f>
        <v>0.157043407043407</v>
      </c>
      <c r="AB12" s="255">
        <f>IF(AND(ISNUMBER(AB11),ISNUMBER(W11)),IFERROR(AB11/W11-1,""),"")</f>
        <v>0.468774703557312</v>
      </c>
      <c r="AC12" s="255">
        <f>IF(AND(ISNUMBER(AC11),ISNUMBER(X11)),IFERROR(AC11/X11-1,""),"")</f>
        <v>0.380842911877395</v>
      </c>
      <c r="AD12" s="255">
        <f>IF(AND(ISNUMBER(AD11),ISNUMBER(Y11)),IFERROR(AD11/Y11-1,""),"")</f>
        <v>0.383878691141261</v>
      </c>
      <c r="AE12" s="255">
        <f>IF(AND(ISNUMBER(AE11),ISNUMBER(Z11)),IFERROR(AE11/Z11-1,""),"")</f>
        <v>0.0213347921225382</v>
      </c>
      <c r="AF12" s="255">
        <f>IF(AND(ISNUMBER(AF11),ISNUMBER(AA11)),IFERROR(AF11/AA11-1,""),"")</f>
        <v>0.285613165811361</v>
      </c>
      <c r="AG12" s="255">
        <f>IF(AND(ISNUMBER(AG11),ISNUMBER(AB11)),IFERROR(AG11/AB11-1,""),"")</f>
        <v>0.038751345532831</v>
      </c>
      <c r="AH12" s="255">
        <f>IF(AND(ISNUMBER(AH11),ISNUMBER(AC11)),IFERROR(AH11/AC11-1,""),"")</f>
        <v>0.12819089900111</v>
      </c>
      <c r="AI12" s="255">
        <f>IF(AND(ISNUMBER(AI11),ISNUMBER(AD11)),IFERROR(AI11/AD11-1,""),"")</f>
        <v>0.152249134948097</v>
      </c>
      <c r="AJ12" s="255">
        <f>IF(AND(ISNUMBER(AJ11),ISNUMBER(AE11)),IFERROR(AJ11/AE11-1,""),"")</f>
        <v>0.125334761649705</v>
      </c>
      <c r="AK12" s="255">
        <f>IF(AND(ISNUMBER(AK11),ISNUMBER(AF11)),IFERROR(AK11/AF11-1,""),"")</f>
        <v>0.109841706813489</v>
      </c>
      <c r="AL12" s="255">
        <f>IF(AND(ISNUMBER(AL11),ISNUMBER(AG11)),IFERROR(AL11/AG11-1,""),"")</f>
        <v>0.094300518134715</v>
      </c>
      <c r="AM12" s="255">
        <f>IF(AND(ISNUMBER(AM11),ISNUMBER(AH11)),IFERROR(AM11/AH11-1,""),"")</f>
        <v>0.0806689621249386</v>
      </c>
      <c r="AN12" s="255">
        <f>IF(AND(ISNUMBER(AN11),ISNUMBER(AI11)),IFERROR(AN11/AI11-1,""),"")</f>
        <v>0.0435435435435436</v>
      </c>
      <c r="AO12" s="255">
        <f>IF(AND(ISNUMBER(AO11),ISNUMBER(AJ11)),IFERROR(AO11/AJ11-1,""),"")</f>
        <v>0.0604474059971443</v>
      </c>
      <c r="AP12" s="255">
        <f>IF(AND(ISNUMBER(AP11),ISNUMBER(AK11)),IFERROR(AP11/AK11-1,""),"")</f>
        <v>0.0689569639092149</v>
      </c>
      <c r="AQ12" s="255">
        <f>IF(AND(ISNUMBER(AQ11),ISNUMBER(AL11)),IFERROR(AQ11/AL11-1,""),"")</f>
        <v>0.074810606060606</v>
      </c>
      <c r="AR12" s="255">
        <f>IF(AND(ISNUMBER(AR11),ISNUMBER(AM11)),IFERROR(AR11/AM11-1,""),"")</f>
        <v>0.0746472462448793</v>
      </c>
      <c r="AS12" s="255">
        <f>IF(AND(ISNUMBER(AS11),ISNUMBER(AN11)),IFERROR(AS11/AN11-1,""),"")</f>
        <v>0.0215827338129497</v>
      </c>
      <c r="AT12" s="255">
        <f>IF(AND(ISNUMBER(AT11),ISNUMBER(AO11)),IFERROR(AT11/AO11-1,""),"")</f>
        <v>-0.122531418312388</v>
      </c>
      <c r="AU12" s="255">
        <f>IF(AND(ISNUMBER(AU11),ISNUMBER(AP11)),IFERROR(AU11/AP11-1,""),"")</f>
        <v>0.0109061376029702</v>
      </c>
      <c r="AV12" s="255">
        <f>IF(AND(ISNUMBER(AV11),ISNUMBER(AQ11)),IFERROR(AV11/AQ11-1,""),"")</f>
        <v>0.0348017621145373</v>
      </c>
      <c r="AW12" s="255">
        <f>IF(AND(ISNUMBER(AW11),ISNUMBER(AR11)),IFERROR(AW11/AR11-1,""),"")</f>
        <v>0.0482846251588309</v>
      </c>
      <c r="AX12" s="255">
        <f>IF(AND(ISNUMBER(AX11),ISNUMBER(AS11)),IFERROR(AX11/AS11-1,""),"")</f>
        <v>0.137558685446009</v>
      </c>
      <c r="AY12" s="255">
        <f>IF(AND(ISNUMBER(AY11),ISNUMBER(AT11)),IFERROR(AY11/AT11-1,""),"")</f>
        <v>0.391304347826087</v>
      </c>
      <c r="AZ12" s="255">
        <f>IF(AND(ISNUMBER(AZ11),ISNUMBER(AU11)),IFERROR(AZ11/AU11-1,""),"")</f>
        <v>0.144037644898428</v>
      </c>
      <c r="BA12" s="255">
        <f>IF(AND(ISNUMBER(BA11),ISNUMBER(AV11)),IFERROR(BA11/AV11-1,""),"")</f>
        <v>0.185185185185185</v>
      </c>
      <c r="BB12" s="255">
        <f>IF(AND(ISNUMBER(BB11),ISNUMBER(AW11)),IFERROR(BB11/AW11-1,""),"")</f>
        <v>0.197171717171717</v>
      </c>
      <c r="BC12" s="255">
        <f>IF(AND(ISNUMBER(BC11),ISNUMBER(AX11)),IFERROR(BC11/AX11-1,""),"")</f>
        <v>0.145274453157243</v>
      </c>
      <c r="BD12" s="255">
        <f>IF(AND(ISNUMBER(BD11),ISNUMBER(AY11)),IFERROR(BD11/AY11-1,""),"")</f>
        <v>0.0816176470588235</v>
      </c>
      <c r="BE12" s="255">
        <f>IF(AND(ISNUMBER(BE11),ISNUMBER(AZ11)),IFERROR(BE11/AZ11-1,""),"")</f>
        <v>0.15008025682183</v>
      </c>
      <c r="BF12" s="255">
        <f>IF(AND(ISNUMBER(BF11),ISNUMBER(BA11)),IFERROR(BF11/BA11-1,""),"")</f>
        <v>0.0520833333333333</v>
      </c>
      <c r="BG12" s="255">
        <f>IF(AND(ISNUMBER(BG11),ISNUMBER(BB11)),IFERROR(BG11/BB11-1,""),"")</f>
        <v>0.0185622679716504</v>
      </c>
      <c r="BH12" s="255">
        <f>IF(AND(ISNUMBER(BH11),ISNUMBER(BC11)),IFERROR(BH11/BC11-1,""),"")</f>
        <v>0.0655855855855856</v>
      </c>
      <c r="BI12" s="255">
        <f>IF(AND(ISNUMBER(BI11),ISNUMBER(BD11)),IFERROR(BI11/BD11-1,""),"")</f>
        <v>0.0761386811692726</v>
      </c>
      <c r="BJ12" s="255">
        <f>IF(AND(ISNUMBER(BJ11),ISNUMBER(BE11)),IFERROR(BJ11/BE11-1,""),"")</f>
        <v>0.0532100488485694</v>
      </c>
      <c r="BK12" s="255">
        <f>IF(AND(ISNUMBER(BK11),ISNUMBER(BF11)),IFERROR(BK11/BF11-1,""),"")</f>
        <v>0.091840218504609</v>
      </c>
      <c r="BL12" s="255">
        <f>IF(AND(ISNUMBER(BL11),ISNUMBER(BG11)),IFERROR(BL11/BG11-1,""),"")</f>
        <v>0.0868124585818424</v>
      </c>
      <c r="BM12" s="255">
        <f>IF(AND(ISNUMBER(BM11),ISNUMBER(BH11)),IFERROR(BM11/BH11-1,""),"")</f>
        <v>0.0727088265133582</v>
      </c>
      <c r="BN12" s="255">
        <f>IF(AND(ISNUMBER(BN11),ISNUMBER(BI11)),IFERROR(BN11/BI11-1,""),"")</f>
        <v>0.051168667087808</v>
      </c>
      <c r="BO12" s="255">
        <f>IF(AND(ISNUMBER(BO11),ISNUMBER(BJ11)),IFERROR(BO11/BJ11-1,""),"")</f>
        <v>0.0753685605433163</v>
      </c>
      <c r="BP12" s="255">
        <f>IF(AND(ISNUMBER(BP11),ISNUMBER(BK11)),IFERROR(BP11/BK11-1,""),"")</f>
        <v>0.0662914321450907</v>
      </c>
      <c r="BQ12" s="255">
        <f>IF(AND(ISNUMBER(BQ11),ISNUMBER(BL11)),IFERROR(BQ11/BL11-1,""),"")</f>
        <v>0.0743902439024391</v>
      </c>
      <c r="BR12" s="255">
        <f>IF(AND(ISNUMBER(BR11),ISNUMBER(BM11)),IFERROR(BR11/BM11-1,""),"")</f>
        <v>0.0542244640605296</v>
      </c>
      <c r="BS12" s="255">
        <f>IF(AND(ISNUMBER(BS11),ISNUMBER(BN11)),IFERROR(BS11/BN11-1,""),"")</f>
        <v>0.0868389423076923</v>
      </c>
      <c r="BT12" s="255">
        <f>IF(AND(ISNUMBER(BT11),ISNUMBER(BO11)),IFERROR(BT11/BO11-1,""),"")</f>
        <v>0.0700862600123229</v>
      </c>
      <c r="BU12" s="255">
        <f>IF(AND(ISNUMBER(BU11),ISNUMBER(BP11)),IFERROR(BU11/BP11-1,""),"")</f>
        <v>0.0944281524926687</v>
      </c>
      <c r="BV12" s="255">
        <f>IF(AND(ISNUMBER(BV11),ISNUMBER(BQ11)),IFERROR(BV11/BQ11-1,""),"")</f>
        <v>0.097616345062429</v>
      </c>
      <c r="BW12" s="255">
        <f>IF(AND(ISNUMBER(BW11),ISNUMBER(BR11)),IFERROR(BW11/BR11-1,""),"")</f>
        <v>0.114832535885167</v>
      </c>
      <c r="BX12" s="256">
        <f>$CO$17</f>
        <v>0.11</v>
      </c>
      <c r="BY12" s="256">
        <f>IF(AND(ISNUMBER(BY11),ISNUMBER(BT11)),IFERROR(BY11/BT11-1,""),"")</f>
        <v>0.104280264862531</v>
      </c>
      <c r="BZ12" s="256">
        <f>CHOOSE(MATCH($CE$2,{"Bull","Base","Bear"},0),$CN$29,$CO$29,$CP$29)</f>
        <v>0.085</v>
      </c>
      <c r="CA12" s="256">
        <f>CHOOSE(MATCH($CE$2,{"Bull","Base","Bear"},0),$CN$30,$CO$30,$CP$30)</f>
        <v>0.08</v>
      </c>
      <c r="CB12" s="256">
        <f>CHOOSE(MATCH($CE$2,{"Bull","Base","Bear"},0),$CN$31,$CO$31,$CP$31)</f>
        <v>0.08</v>
      </c>
      <c r="CC12" s="256">
        <f>CHOOSE(MATCH($CE$2,{"Bull","Base","Bear"},0),$CN$32,$CO$32,$CP$32)</f>
        <v>0.075</v>
      </c>
      <c r="CD12" s="256">
        <f>CHOOSE(MATCH($CE$2,{"Bull","Base","Bear"},0),$CN$33,$CO$33,$CP$33)</f>
        <v>0.075</v>
      </c>
      <c r="CE12" s="153" t="inlineStr">
        <is>
          <t>Q4/26E: published — Q3 FY26 release: payments volume for the quarter ended 30-Jun-2026 +11% nominal (drives Q4 service revenue). 2027E+: scenario lever.</t>
        </is>
      </c>
      <c r="CM12" s="25" t="inlineStr">
        <is>
          <t xml:space="preserve">  Q4/26E net revenue growth y/y (UNVERIFIED)</t>
        </is>
      </c>
      <c r="CN12" s="257" t="n">
        <v>0.14</v>
      </c>
      <c r="CO12" s="257" t="n">
        <v>0.13</v>
      </c>
      <c r="CP12" s="257" t="n">
        <v>0.12</v>
      </c>
      <c r="CQ12" s="13" t="inlineStr">
        <is>
          <t>Q4 FY26 adjusted net revenue growth 'similar to Q3' (Q3: +14% nominal, +13% constant dollar) - UNVERIFIED. Model end-points high / mid / low = 14% / 13% / 12% on Q4 FY25 net revenue $10,724m.</t>
        </is>
      </c>
    </row>
    <row r="13" ht="15" customHeight="1" s="251">
      <c r="B13" s="156" t="inlineStr">
        <is>
          <t xml:space="preserve">    of which U.S. ($bn)</t>
        </is>
      </c>
      <c r="C13" s="34" t="n"/>
      <c r="D13" s="253" t="n">
        <v>1621</v>
      </c>
      <c r="E13" s="253" t="n">
        <v>1752</v>
      </c>
      <c r="F13" s="253" t="n">
        <v>1961</v>
      </c>
      <c r="G13" s="253" t="n">
        <v>2066</v>
      </c>
      <c r="H13" s="253" t="n">
        <v>521</v>
      </c>
      <c r="I13" s="253" t="n">
        <v>545</v>
      </c>
      <c r="J13" s="253" t="n">
        <v>530</v>
      </c>
      <c r="K13" s="253" t="n">
        <v>571</v>
      </c>
      <c r="L13" s="253" t="n">
        <v>2166</v>
      </c>
      <c r="M13" s="253" t="n">
        <v>575</v>
      </c>
      <c r="N13" s="253" t="n">
        <v>591</v>
      </c>
      <c r="O13" s="253" t="n">
        <v>575</v>
      </c>
      <c r="P13" s="253" t="n">
        <v>628</v>
      </c>
      <c r="Q13" s="253" t="n">
        <v>2369</v>
      </c>
      <c r="R13" s="253" t="n">
        <v>632</v>
      </c>
      <c r="S13" s="253" t="n">
        <v>651</v>
      </c>
      <c r="T13" s="253" t="n">
        <v>628</v>
      </c>
      <c r="U13" s="253" t="n">
        <v>683</v>
      </c>
      <c r="V13" s="253" t="n">
        <v>2594</v>
      </c>
      <c r="W13" s="253" t="n">
        <v>693</v>
      </c>
      <c r="X13" s="253" t="n">
        <v>714</v>
      </c>
      <c r="Y13" s="253" t="n">
        <v>695</v>
      </c>
      <c r="Z13" s="253" t="n">
        <v>749</v>
      </c>
      <c r="AA13" s="253" t="n">
        <v>2851</v>
      </c>
      <c r="AB13" s="253" t="n">
        <v>768</v>
      </c>
      <c r="AC13" s="253" t="n">
        <v>804</v>
      </c>
      <c r="AD13" s="253" t="n">
        <v>776</v>
      </c>
      <c r="AE13" s="253" t="n">
        <v>839</v>
      </c>
      <c r="AF13" s="253" t="n">
        <v>3187</v>
      </c>
      <c r="AG13" s="253" t="n">
        <v>836</v>
      </c>
      <c r="AH13" s="253" t="n">
        <v>881</v>
      </c>
      <c r="AI13" s="253" t="n">
        <v>854</v>
      </c>
      <c r="AJ13" s="253" t="n">
        <v>927</v>
      </c>
      <c r="AK13" s="253" t="n">
        <v>3499</v>
      </c>
      <c r="AL13" s="253" t="n">
        <v>945</v>
      </c>
      <c r="AM13" s="253" t="n">
        <v>979</v>
      </c>
      <c r="AN13" s="253" t="n">
        <v>930</v>
      </c>
      <c r="AO13" s="253" t="n">
        <v>1020</v>
      </c>
      <c r="AP13" s="253" t="n">
        <v>3875</v>
      </c>
      <c r="AQ13" s="253" t="n">
        <v>1023</v>
      </c>
      <c r="AR13" s="253" t="n">
        <v>1057</v>
      </c>
      <c r="AS13" s="253" t="n">
        <v>983</v>
      </c>
      <c r="AT13" s="253" t="n">
        <v>950</v>
      </c>
      <c r="AU13" s="253" t="n">
        <v>4009</v>
      </c>
      <c r="AV13" s="253" t="n">
        <v>1097</v>
      </c>
      <c r="AW13" s="253" t="n">
        <v>1140</v>
      </c>
      <c r="AX13" s="253" t="n">
        <v>1157</v>
      </c>
      <c r="AY13" s="253" t="n">
        <v>1332</v>
      </c>
      <c r="AZ13" s="253" t="n">
        <v>4725</v>
      </c>
      <c r="BA13" s="253" t="n">
        <v>1325</v>
      </c>
      <c r="BB13" s="253" t="n">
        <v>1394</v>
      </c>
      <c r="BC13" s="253" t="n">
        <v>1337</v>
      </c>
      <c r="BD13" s="253" t="n">
        <v>1489</v>
      </c>
      <c r="BE13" s="253" t="n">
        <v>5546</v>
      </c>
      <c r="BF13" s="253" t="n">
        <v>1480</v>
      </c>
      <c r="BG13" s="253" t="n">
        <v>1522</v>
      </c>
      <c r="BH13" s="253" t="n">
        <v>1470</v>
      </c>
      <c r="BI13" s="253" t="n">
        <v>1572</v>
      </c>
      <c r="BJ13" s="253" t="n">
        <v>6045</v>
      </c>
      <c r="BK13" s="253" t="n">
        <v>1569</v>
      </c>
      <c r="BL13" s="253" t="n">
        <v>1603</v>
      </c>
      <c r="BM13" s="253" t="n">
        <v>1561</v>
      </c>
      <c r="BN13" s="253" t="n">
        <v>1653</v>
      </c>
      <c r="BO13" s="253" t="n">
        <v>6387</v>
      </c>
      <c r="BP13" s="253" t="n">
        <v>1649</v>
      </c>
      <c r="BQ13" s="253" t="n">
        <v>1720</v>
      </c>
      <c r="BR13" s="253" t="n">
        <v>1654</v>
      </c>
      <c r="BS13" s="253" t="n">
        <v>1764</v>
      </c>
      <c r="BT13" s="253" t="n">
        <v>6788</v>
      </c>
      <c r="BU13" s="253" t="n">
        <v>1775</v>
      </c>
      <c r="BV13" s="253" t="n">
        <v>1835</v>
      </c>
      <c r="BW13" s="253" t="n">
        <v>1788</v>
      </c>
      <c r="BX13" s="153" t="n"/>
      <c r="BY13" s="153" t="n"/>
      <c r="BZ13" s="153" t="n"/>
      <c r="CA13" s="153" t="n"/>
      <c r="CB13" s="153" t="n"/>
      <c r="CC13" s="153" t="n"/>
      <c r="CD13" s="153" t="n"/>
      <c r="CE13" s="153" t="n"/>
      <c r="CM13" s="25" t="inlineStr">
        <is>
          <t xml:space="preserve">  Q4/26E non-GAAP EPS growth y/y (UNVERIFIED)</t>
        </is>
      </c>
      <c r="CN13" s="257" t="n">
        <v>0.15</v>
      </c>
      <c r="CO13" s="257" t="n">
        <v>0.14</v>
      </c>
      <c r="CP13" s="257" t="n">
        <v>0.13</v>
      </c>
      <c r="CQ13" s="13" t="inlineStr">
        <is>
          <t>Q4 FY26 non-GAAP EPS growth 'low end of mid-teens' - UNVERIFIED. End-points 15% / 14% / 13% on Q4 FY25 non-GAAP EPS $2.98.</t>
        </is>
      </c>
    </row>
    <row r="14" ht="15" customHeight="1" s="251">
      <c r="B14" s="156" t="inlineStr">
        <is>
          <t xml:space="preserve">    of which international ($bn)</t>
        </is>
      </c>
      <c r="C14" s="34" t="n"/>
      <c r="D14" s="253" t="n">
        <v>1058</v>
      </c>
      <c r="E14" s="253" t="n">
        <v>1285</v>
      </c>
      <c r="F14" s="253" t="n">
        <v>1569</v>
      </c>
      <c r="G14" s="253" t="n">
        <v>1833</v>
      </c>
      <c r="H14" s="253" t="n">
        <v>487</v>
      </c>
      <c r="I14" s="253" t="n">
        <v>529</v>
      </c>
      <c r="J14" s="253" t="n">
        <v>495</v>
      </c>
      <c r="K14" s="253" t="n">
        <v>519</v>
      </c>
      <c r="L14" s="253" t="n">
        <v>2030</v>
      </c>
      <c r="M14" s="253" t="n">
        <v>529</v>
      </c>
      <c r="N14" s="253" t="n">
        <v>573</v>
      </c>
      <c r="O14" s="253" t="n">
        <v>533</v>
      </c>
      <c r="P14" s="253" t="n">
        <v>563</v>
      </c>
      <c r="Q14" s="253" t="n">
        <v>2198</v>
      </c>
      <c r="R14" s="253" t="n">
        <v>585</v>
      </c>
      <c r="S14" s="253" t="n">
        <v>594</v>
      </c>
      <c r="T14" s="253" t="n">
        <v>540</v>
      </c>
      <c r="U14" s="253" t="n">
        <v>571</v>
      </c>
      <c r="V14" s="253" t="n">
        <v>2290</v>
      </c>
      <c r="W14" s="253" t="n">
        <v>572</v>
      </c>
      <c r="X14" s="253" t="n">
        <v>591</v>
      </c>
      <c r="Y14" s="253" t="n">
        <v>558</v>
      </c>
      <c r="Z14" s="253" t="n">
        <v>1079</v>
      </c>
      <c r="AA14" s="253" t="n">
        <v>2800</v>
      </c>
      <c r="AB14" s="253" t="n">
        <v>1091</v>
      </c>
      <c r="AC14" s="253" t="n">
        <v>999</v>
      </c>
      <c r="AD14" s="253" t="n">
        <v>958</v>
      </c>
      <c r="AE14" s="253" t="n">
        <v>1028</v>
      </c>
      <c r="AF14" s="253" t="n">
        <v>4078</v>
      </c>
      <c r="AG14" s="253" t="n">
        <v>1094</v>
      </c>
      <c r="AH14" s="253" t="n">
        <v>1152</v>
      </c>
      <c r="AI14" s="253" t="n">
        <v>1143</v>
      </c>
      <c r="AJ14" s="253" t="n">
        <v>1172</v>
      </c>
      <c r="AK14" s="253" t="n">
        <v>4562</v>
      </c>
      <c r="AL14" s="253" t="n">
        <v>1167</v>
      </c>
      <c r="AM14" s="253" t="n">
        <v>1218</v>
      </c>
      <c r="AN14" s="253" t="n">
        <v>1155</v>
      </c>
      <c r="AO14" s="253" t="n">
        <v>1208</v>
      </c>
      <c r="AP14" s="253" t="n">
        <v>4744</v>
      </c>
      <c r="AQ14" s="253" t="n">
        <v>1247</v>
      </c>
      <c r="AR14" s="253" t="n">
        <v>1304</v>
      </c>
      <c r="AS14" s="253" t="n">
        <v>1147</v>
      </c>
      <c r="AT14" s="253" t="n">
        <v>1005</v>
      </c>
      <c r="AU14" s="253" t="n">
        <v>4704</v>
      </c>
      <c r="AV14" s="253" t="n">
        <v>1252</v>
      </c>
      <c r="AW14" s="253" t="n">
        <v>1335</v>
      </c>
      <c r="AX14" s="253" t="n">
        <v>1266</v>
      </c>
      <c r="AY14" s="253" t="n">
        <v>1388</v>
      </c>
      <c r="AZ14" s="253" t="n">
        <v>5243</v>
      </c>
      <c r="BA14" s="253" t="n">
        <v>1458</v>
      </c>
      <c r="BB14" s="253" t="n">
        <v>1568</v>
      </c>
      <c r="BC14" s="253" t="n">
        <v>1438</v>
      </c>
      <c r="BD14" s="253" t="n">
        <v>1453</v>
      </c>
      <c r="BE14" s="253" t="n">
        <v>5918</v>
      </c>
      <c r="BF14" s="253" t="n">
        <v>1449</v>
      </c>
      <c r="BG14" s="253" t="n">
        <v>1495</v>
      </c>
      <c r="BH14" s="253" t="n">
        <v>1487</v>
      </c>
      <c r="BI14" s="253" t="n">
        <v>1594</v>
      </c>
      <c r="BJ14" s="253" t="n">
        <v>6029</v>
      </c>
      <c r="BK14" s="253" t="n">
        <v>1629</v>
      </c>
      <c r="BL14" s="253" t="n">
        <v>1677</v>
      </c>
      <c r="BM14" s="253" t="n">
        <v>1611</v>
      </c>
      <c r="BN14" s="253" t="n">
        <v>1674</v>
      </c>
      <c r="BO14" s="253" t="n">
        <v>6597</v>
      </c>
      <c r="BP14" s="253" t="n">
        <v>1760</v>
      </c>
      <c r="BQ14" s="253" t="n">
        <v>1803</v>
      </c>
      <c r="BR14" s="253" t="n">
        <v>1690</v>
      </c>
      <c r="BS14" s="253" t="n">
        <v>1853</v>
      </c>
      <c r="BT14" s="253" t="n">
        <v>7106</v>
      </c>
      <c r="BU14" s="253" t="n">
        <v>1957</v>
      </c>
      <c r="BV14" s="253" t="n">
        <v>2033</v>
      </c>
      <c r="BW14" s="253" t="n">
        <v>1940</v>
      </c>
      <c r="BX14" s="153" t="n"/>
      <c r="BY14" s="153" t="n"/>
      <c r="BZ14" s="153" t="n"/>
      <c r="CA14" s="153" t="n"/>
      <c r="CB14" s="153" t="n"/>
      <c r="CC14" s="153" t="n"/>
      <c r="CD14" s="153" t="n"/>
      <c r="CE14" s="153" t="n"/>
      <c r="CM14" s="25" t="inlineStr">
        <is>
          <t xml:space="preserve">  Q4/26E share repurchases ($m)</t>
        </is>
      </c>
      <c r="CN14" s="258" t="n">
        <v>6000</v>
      </c>
      <c r="CO14" s="258" t="n">
        <v>5000</v>
      </c>
      <c r="CP14" s="258" t="n">
        <v>4000</v>
      </c>
      <c r="CQ14" s="13" t="inlineStr">
        <is>
          <t>Q3 FY26 $4.8bn (14.5m shares at $330.71); 9M FY26 $16.5bn; $28.4bn authorization remaining at 30-Jun-2026 (10-Q). Scenario input.</t>
        </is>
      </c>
    </row>
    <row r="15" ht="15" customHeight="1" s="251">
      <c r="B15" s="25" t="inlineStr">
        <is>
          <t xml:space="preserve">    International % of payments volume</t>
        </is>
      </c>
      <c r="C15" s="215">
        <f>IF(ISNUMBER(C14),IFERROR(C14/C11,""),"")</f>
      </c>
      <c r="D15" s="215">
        <f>IF(ISNUMBER(D14),IFERROR(D14/D11,""),"")</f>
        <v>0.394923478910041</v>
      </c>
      <c r="E15" s="215">
        <f>IF(ISNUMBER(E14),IFERROR(E14/E11,""),"")</f>
        <v>0.423114916035561</v>
      </c>
      <c r="F15" s="215">
        <f>IF(ISNUMBER(F14),IFERROR(F14/F11,""),"")</f>
        <v>0.444475920679887</v>
      </c>
      <c r="G15" s="215">
        <f>IF(ISNUMBER(G14),IFERROR(G14/G11,""),"")</f>
        <v>0.470120543729161</v>
      </c>
      <c r="H15" s="215">
        <f>IF(ISNUMBER(H14),IFERROR(H14/H11,""),"")</f>
        <v>0.483134920634921</v>
      </c>
      <c r="I15" s="215">
        <f>IF(ISNUMBER(I14),IFERROR(I14/I11,""),"")</f>
        <v>0.492551210428305</v>
      </c>
      <c r="J15" s="215">
        <f>IF(ISNUMBER(J14),IFERROR(J14/J11,""),"")</f>
        <v>0.482926829268293</v>
      </c>
      <c r="K15" s="215">
        <f>IF(ISNUMBER(K14),IFERROR(K14/K11,""),"")</f>
        <v>0.475710357470211</v>
      </c>
      <c r="L15" s="215">
        <f>IF(ISNUMBER(L14),IFERROR(L14/L11,""),"")</f>
        <v>0.483678818203479</v>
      </c>
      <c r="M15" s="215">
        <f>IF(ISNUMBER(M14),IFERROR(M14/M11,""),"")</f>
        <v>0.479166666666667</v>
      </c>
      <c r="N15" s="215">
        <f>IF(ISNUMBER(N14),IFERROR(N14/N11,""),"")</f>
        <v>0.492268041237113</v>
      </c>
      <c r="O15" s="215">
        <f>IF(ISNUMBER(O14),IFERROR(O14/O11,""),"")</f>
        <v>0.481046931407942</v>
      </c>
      <c r="P15" s="215">
        <f>IF(ISNUMBER(P14),IFERROR(P14/P11,""),"")</f>
        <v>0.472712006717045</v>
      </c>
      <c r="Q15" s="215">
        <f>IF(ISNUMBER(Q14),IFERROR(Q14/Q11,""),"")</f>
        <v>0.481278738778191</v>
      </c>
      <c r="R15" s="215">
        <f>IF(ISNUMBER(R14),IFERROR(R14/R11,""),"")</f>
        <v>0.480690221857026</v>
      </c>
      <c r="S15" s="215">
        <f>IF(ISNUMBER(S14),IFERROR(S14/S11,""),"")</f>
        <v>0.47710843373494</v>
      </c>
      <c r="T15" s="215">
        <f>IF(ISNUMBER(T14),IFERROR(T14/T11,""),"")</f>
        <v>0.462328767123288</v>
      </c>
      <c r="U15" s="215">
        <f>IF(ISNUMBER(U14),IFERROR(U14/U11,""),"")</f>
        <v>0.455342902711324</v>
      </c>
      <c r="V15" s="215">
        <f>IF(ISNUMBER(V14),IFERROR(V14/V11,""),"")</f>
        <v>0.468877968877969</v>
      </c>
      <c r="W15" s="215">
        <f>IF(ISNUMBER(W14),IFERROR(W14/W11,""),"")</f>
        <v>0.452173913043478</v>
      </c>
      <c r="X15" s="215">
        <f>IF(ISNUMBER(X14),IFERROR(X14/X11,""),"")</f>
        <v>0.452873563218391</v>
      </c>
      <c r="Y15" s="215">
        <f>IF(ISNUMBER(Y14),IFERROR(Y14/Y11,""),"")</f>
        <v>0.445331205107741</v>
      </c>
      <c r="Z15" s="215">
        <f>IF(ISNUMBER(Z14),IFERROR(Z14/Z11,""),"")</f>
        <v>0.590262582056893</v>
      </c>
      <c r="AA15" s="215">
        <f>IF(ISNUMBER(AA14),IFERROR(AA14/AA11,""),"")</f>
        <v>0.495487524331977</v>
      </c>
      <c r="AB15" s="215">
        <f>IF(ISNUMBER(AB14),IFERROR(AB14/AB11,""),"")</f>
        <v>0.58719052744887</v>
      </c>
      <c r="AC15" s="215">
        <f>IF(ISNUMBER(AC14),IFERROR(AC14/AC11,""),"")</f>
        <v>0.554384017758047</v>
      </c>
      <c r="AD15" s="215">
        <f>IF(ISNUMBER(AD14),IFERROR(AD14/AD11,""),"")</f>
        <v>0.552479815455594</v>
      </c>
      <c r="AE15" s="215">
        <f>IF(ISNUMBER(AE14),IFERROR(AE14/AE11,""),"")</f>
        <v>0.550615961435458</v>
      </c>
      <c r="AF15" s="215">
        <f>IF(ISNUMBER(AF14),IFERROR(AF14/AF11,""),"")</f>
        <v>0.561321403991741</v>
      </c>
      <c r="AG15" s="215">
        <f>IF(ISNUMBER(AG14),IFERROR(AG14/AG11,""),"")</f>
        <v>0.566839378238342</v>
      </c>
      <c r="AH15" s="215">
        <f>IF(ISNUMBER(AH14),IFERROR(AH14/AH11,""),"")</f>
        <v>0.566650270536154</v>
      </c>
      <c r="AI15" s="215">
        <f>IF(ISNUMBER(AI14),IFERROR(AI14/AI11,""),"")</f>
        <v>0.572072072072072</v>
      </c>
      <c r="AJ15" s="215">
        <f>IF(ISNUMBER(AJ14),IFERROR(AJ14/AJ11,""),"")</f>
        <v>0.557829604950024</v>
      </c>
      <c r="AK15" s="215">
        <f>IF(ISNUMBER(AK14),IFERROR(AK14/AK11,""),"")</f>
        <v>0.565794369341436</v>
      </c>
      <c r="AL15" s="215">
        <f>IF(ISNUMBER(AL14),IFERROR(AL14/AL11,""),"")</f>
        <v>0.552556818181818</v>
      </c>
      <c r="AM15" s="215">
        <f>IF(ISNUMBER(AM14),IFERROR(AM14/AM11,""),"")</f>
        <v>0.554392353208921</v>
      </c>
      <c r="AN15" s="215">
        <f>IF(ISNUMBER(AN14),IFERROR(AN14/AN11,""),"")</f>
        <v>0.553956834532374</v>
      </c>
      <c r="AO15" s="215">
        <f>IF(ISNUMBER(AO14),IFERROR(AO14/AO11,""),"")</f>
        <v>0.542190305206463</v>
      </c>
      <c r="AP15" s="215">
        <f>IF(ISNUMBER(AP14),IFERROR(AP14/AP11,""),"")</f>
        <v>0.550411880728623</v>
      </c>
      <c r="AQ15" s="215">
        <f>IF(ISNUMBER(AQ14),IFERROR(AQ14/AQ11,""),"")</f>
        <v>0.549339207048458</v>
      </c>
      <c r="AR15" s="215">
        <f>IF(ISNUMBER(AR14),IFERROR(AR14/AR11,""),"")</f>
        <v>0.552308343922067</v>
      </c>
      <c r="AS15" s="215">
        <f>IF(ISNUMBER(AS14),IFERROR(AS14/AS11,""),"")</f>
        <v>0.53849765258216</v>
      </c>
      <c r="AT15" s="215">
        <f>IF(ISNUMBER(AT14),IFERROR(AT14/AT11,""),"")</f>
        <v>0.514066496163683</v>
      </c>
      <c r="AU15" s="215">
        <f>IF(ISNUMBER(AU14),IFERROR(AU14/AU11,""),"")</f>
        <v>0.539882933547573</v>
      </c>
      <c r="AV15" s="215">
        <f>IF(ISNUMBER(AV14),IFERROR(AV14/AV11,""),"")</f>
        <v>0.53299276287782</v>
      </c>
      <c r="AW15" s="215">
        <f>IF(ISNUMBER(AW14),IFERROR(AW14/AW11,""),"")</f>
        <v>0.539393939393939</v>
      </c>
      <c r="AX15" s="215">
        <f>IF(ISNUMBER(AX14),IFERROR(AX14/AX11,""),"")</f>
        <v>0.522492777548494</v>
      </c>
      <c r="AY15" s="215">
        <f>IF(ISNUMBER(AY14),IFERROR(AY14/AY11,""),"")</f>
        <v>0.510294117647059</v>
      </c>
      <c r="AZ15" s="215">
        <f>IF(ISNUMBER(AZ14),IFERROR(AZ14/AZ11,""),"")</f>
        <v>0.525983146067416</v>
      </c>
      <c r="BA15" s="215">
        <f>IF(ISNUMBER(BA14),IFERROR(BA14/BA11,""),"")</f>
        <v>0.523706896551724</v>
      </c>
      <c r="BB15" s="215">
        <f>IF(ISNUMBER(BB14),IFERROR(BB14/BB11,""),"")</f>
        <v>0.529193385082686</v>
      </c>
      <c r="BC15" s="215">
        <f>IF(ISNUMBER(BC14),IFERROR(BC14/BC11,""),"")</f>
        <v>0.518198198198198</v>
      </c>
      <c r="BD15" s="215">
        <f>IF(ISNUMBER(BD14),IFERROR(BD14/BD11,""),"")</f>
        <v>0.493881713120326</v>
      </c>
      <c r="BE15" s="215">
        <f>IF(ISNUMBER(BE14),IFERROR(BE14/BE11,""),"")</f>
        <v>0.5162247034194</v>
      </c>
      <c r="BF15" s="215">
        <f>IF(ISNUMBER(BF14),IFERROR(BF14/BF11,""),"")</f>
        <v>0.494708091498805</v>
      </c>
      <c r="BG15" s="215">
        <f>IF(ISNUMBER(BG14),IFERROR(BG14/BG11,""),"")</f>
        <v>0.495361166335321</v>
      </c>
      <c r="BH15" s="215">
        <f>IF(ISNUMBER(BH14),IFERROR(BH14/BH11,""),"")</f>
        <v>0.502874535001691</v>
      </c>
      <c r="BI15" s="215">
        <f>IF(ISNUMBER(BI14),IFERROR(BI14/BI11,""),"")</f>
        <v>0.503474415666456</v>
      </c>
      <c r="BJ15" s="215">
        <f>IF(ISNUMBER(BJ14),IFERROR(BJ14/BJ11,""),"")</f>
        <v>0.499337419247971</v>
      </c>
      <c r="BK15" s="215">
        <f>IF(ISNUMBER(BK14),IFERROR(BK14/BK11,""),"")</f>
        <v>0.5093808630394</v>
      </c>
      <c r="BL15" s="215">
        <f>IF(ISNUMBER(BL14),IFERROR(BL14/BL11,""),"")</f>
        <v>0.511280487804878</v>
      </c>
      <c r="BM15" s="215">
        <f>IF(ISNUMBER(BM14),IFERROR(BM14/BM11,""),"")</f>
        <v>0.507881462799496</v>
      </c>
      <c r="BN15" s="215">
        <f>IF(ISNUMBER(BN14),IFERROR(BN14/BN11,""),"")</f>
        <v>0.503004807692308</v>
      </c>
      <c r="BO15" s="215">
        <f>IF(ISNUMBER(BO14),IFERROR(BO14/BO11,""),"")</f>
        <v>0.508086876155268</v>
      </c>
      <c r="BP15" s="215">
        <f>IF(ISNUMBER(BP14),IFERROR(BP14/BP11,""),"")</f>
        <v>0.516129032258065</v>
      </c>
      <c r="BQ15" s="215">
        <f>IF(ISNUMBER(BQ14),IFERROR(BQ14/BQ11,""),"")</f>
        <v>0.511634506242906</v>
      </c>
      <c r="BR15" s="215">
        <f>IF(ISNUMBER(BR14),IFERROR(BR14/BR11,""),"")</f>
        <v>0.505382775119617</v>
      </c>
      <c r="BS15" s="215">
        <f>IF(ISNUMBER(BS14),IFERROR(BS14/BS11,""),"")</f>
        <v>0.512303013547139</v>
      </c>
      <c r="BT15" s="215">
        <f>IF(ISNUMBER(BT14),IFERROR(BT14/BT11,""),"")</f>
        <v>0.511443788685764</v>
      </c>
      <c r="BU15" s="215">
        <f>IF(ISNUMBER(BU14),IFERROR(BU14/BU11,""),"")</f>
        <v>0.52438370846731</v>
      </c>
      <c r="BV15" s="215">
        <f>IF(ISNUMBER(BV14),IFERROR(BV14/BV11,""),"")</f>
        <v>0.52559462254395</v>
      </c>
      <c r="BW15" s="215">
        <f>IF(ISNUMBER(BW14),IFERROR(BW14/BW11,""),"")</f>
        <v>0.520386266094421</v>
      </c>
      <c r="BX15" s="256">
        <f>IF(ISNUMBER(BX14),IFERROR(BX14/BX11,""),"")</f>
      </c>
      <c r="BY15" s="256">
        <f>IF(ISNUMBER(BY14),IFERROR(BY14/BY11,""),"")</f>
      </c>
      <c r="BZ15" s="256">
        <f>IF(ISNUMBER(BZ14),IFERROR(BZ14/BZ11,""),"")</f>
      </c>
      <c r="CA15" s="256">
        <f>IF(ISNUMBER(CA14),IFERROR(CA14/CA11,""),"")</f>
      </c>
      <c r="CB15" s="256">
        <f>IF(ISNUMBER(CB14),IFERROR(CB14/CB11,""),"")</f>
      </c>
      <c r="CC15" s="256">
        <f>IF(ISNUMBER(CC14),IFERROR(CC14/CC11,""),"")</f>
      </c>
      <c r="CD15" s="256">
        <f>IF(ISNUMBER(CD14),IFERROR(CD14/CD11,""),"")</f>
      </c>
      <c r="CE15" s="153" t="n"/>
      <c r="CG15" s="37" t="str">
        <f>IFERROR(AVERAGE(BZ15,CA15,CB15,CC15,CD15),"n/m")</f>
        <v>n/m</v>
      </c>
      <c r="CH15" s="37">
        <f>IFERROR(AVERAGE(AZ15,BE15,BJ15,BO15,BT15),"n/m")</f>
        <v>0.512215186715164</v>
      </c>
      <c r="CI15" s="37">
        <f>IFERROR(AVERAGE(AA15,AF15,AK15,AP15,AU15,AZ15,BE15,BJ15,BO15,BT15),"n/m")</f>
        <v>0.527397404551717</v>
      </c>
      <c r="CJ15" s="37">
        <f>IFERROR(AVERAGE(C15,D15,E15,F15,G15,L15,Q15,V15,AA15,AF15,AK15,AP15,AU15,AZ15,BE15,BJ15,BO15,BT15),"n/m")</f>
        <v>0.496496731219497</v>
      </c>
    </row>
    <row r="16" ht="15" customHeight="1" s="251">
      <c r="B16" s="25" t="inlineStr">
        <is>
          <t xml:space="preserve">  Processed transactions (millions)</t>
        </is>
      </c>
      <c r="C16" s="34" t="n"/>
      <c r="D16" s="34" t="n"/>
      <c r="E16" s="253" t="n">
        <v>45411</v>
      </c>
      <c r="F16" s="34" t="n"/>
      <c r="G16" s="253" t="n">
        <v>53324</v>
      </c>
      <c r="H16" s="253" t="n">
        <v>14159</v>
      </c>
      <c r="I16" s="253" t="n">
        <v>13850</v>
      </c>
      <c r="J16" s="253" t="n">
        <v>14972</v>
      </c>
      <c r="K16" s="253" t="n">
        <v>15491</v>
      </c>
      <c r="L16" s="253" t="n">
        <v>58472</v>
      </c>
      <c r="M16" s="253" t="n">
        <v>15985</v>
      </c>
      <c r="N16" s="253" t="n">
        <v>15354</v>
      </c>
      <c r="O16" s="253" t="n">
        <v>16662</v>
      </c>
      <c r="P16" s="253" t="n">
        <v>16943</v>
      </c>
      <c r="Q16" s="253" t="n">
        <v>64944</v>
      </c>
      <c r="R16" s="253" t="n">
        <v>17599</v>
      </c>
      <c r="S16" s="253" t="n">
        <v>16980</v>
      </c>
      <c r="T16" s="253" t="n">
        <v>18024</v>
      </c>
      <c r="U16" s="253" t="n">
        <v>18364</v>
      </c>
      <c r="V16" s="253" t="n">
        <v>70968</v>
      </c>
      <c r="W16" s="253" t="n">
        <v>18986</v>
      </c>
      <c r="X16" s="253" t="n">
        <v>18475</v>
      </c>
      <c r="Y16" s="253" t="n">
        <v>19778</v>
      </c>
      <c r="Z16" s="253" t="n">
        <v>25921</v>
      </c>
      <c r="AA16" s="253" t="n">
        <v>83159</v>
      </c>
      <c r="AB16" s="253" t="n">
        <v>27329</v>
      </c>
      <c r="AC16" s="253" t="n">
        <v>26256</v>
      </c>
      <c r="AD16" s="253" t="n">
        <v>28450</v>
      </c>
      <c r="AE16" s="253" t="n">
        <v>29180</v>
      </c>
      <c r="AF16" s="253" t="n">
        <v>111215</v>
      </c>
      <c r="AG16" s="253" t="n">
        <v>30508</v>
      </c>
      <c r="AH16" s="253" t="n">
        <v>29321</v>
      </c>
      <c r="AI16" s="253" t="n">
        <v>31728</v>
      </c>
      <c r="AJ16" s="253" t="n">
        <v>32763</v>
      </c>
      <c r="AK16" s="253" t="n">
        <v>124320</v>
      </c>
      <c r="AL16" s="253" t="n">
        <v>33931</v>
      </c>
      <c r="AM16" s="253" t="n">
        <v>32544</v>
      </c>
      <c r="AN16" s="253" t="n">
        <v>35428</v>
      </c>
      <c r="AO16" s="253" t="n">
        <v>36425</v>
      </c>
      <c r="AP16" s="253" t="n">
        <v>138329</v>
      </c>
      <c r="AQ16" s="253" t="n">
        <v>37775</v>
      </c>
      <c r="AR16" s="253" t="n">
        <v>34941</v>
      </c>
      <c r="AS16" s="253" t="n">
        <v>30676</v>
      </c>
      <c r="AT16" s="253" t="n">
        <v>37448</v>
      </c>
      <c r="AU16" s="253" t="n">
        <v>140839</v>
      </c>
      <c r="AV16" s="253" t="n">
        <v>39213</v>
      </c>
      <c r="AW16" s="253" t="n">
        <v>37644</v>
      </c>
      <c r="AX16" s="253" t="n">
        <v>42561</v>
      </c>
      <c r="AY16" s="253" t="n">
        <v>45315</v>
      </c>
      <c r="AZ16" s="253" t="n">
        <v>164733</v>
      </c>
      <c r="BA16" s="253" t="n">
        <v>47558</v>
      </c>
      <c r="BB16" s="253" t="n">
        <v>44807</v>
      </c>
      <c r="BC16" s="253" t="n">
        <v>49279</v>
      </c>
      <c r="BD16" s="253" t="n">
        <v>50885</v>
      </c>
      <c r="BE16" s="253" t="n">
        <v>192530</v>
      </c>
      <c r="BF16" s="253" t="n">
        <v>52512</v>
      </c>
      <c r="BG16" s="253" t="n">
        <v>50069</v>
      </c>
      <c r="BH16" s="253" t="n">
        <v>54034</v>
      </c>
      <c r="BI16" s="253" t="n">
        <v>55964</v>
      </c>
      <c r="BJ16" s="253" t="n">
        <v>212579</v>
      </c>
      <c r="BK16" s="253" t="n">
        <v>57472</v>
      </c>
      <c r="BL16" s="253" t="n">
        <v>55456</v>
      </c>
      <c r="BM16" s="253" t="n">
        <v>59318</v>
      </c>
      <c r="BN16" s="253" t="n">
        <v>61511</v>
      </c>
      <c r="BO16" s="253" t="n">
        <v>233758</v>
      </c>
      <c r="BP16" s="253" t="n">
        <v>63797</v>
      </c>
      <c r="BQ16" s="253" t="n">
        <v>60651</v>
      </c>
      <c r="BR16" s="253" t="n">
        <v>65443</v>
      </c>
      <c r="BS16" s="253" t="n">
        <v>67654</v>
      </c>
      <c r="BT16" s="253" t="n">
        <v>257545</v>
      </c>
      <c r="BU16" s="253" t="n">
        <v>69400</v>
      </c>
      <c r="BV16" s="253" t="n">
        <v>66086</v>
      </c>
      <c r="BW16" s="253" t="n">
        <v>71662</v>
      </c>
      <c r="BX16" s="254">
        <f>BS16*(1+BX17)</f>
        <v>73802.2907457436</v>
      </c>
      <c r="BY16" s="254">
        <f>SUM(BU16:BX16)</f>
        <v>280950.290745744</v>
      </c>
      <c r="BZ16" s="254">
        <f>BY16*(1+BZ17)</f>
        <v>306235.816912861</v>
      </c>
      <c r="CA16" s="254">
        <f>BZ16*(1+CA17)</f>
        <v>333797.040435018</v>
      </c>
      <c r="CB16" s="254">
        <f>CA16*(1+CB17)</f>
        <v>362169.788871995</v>
      </c>
      <c r="CC16" s="254">
        <f>CB16*(1+CC17)</f>
        <v>391143.371981754</v>
      </c>
      <c r="CD16" s="254">
        <f>CC16*(1+CD17)</f>
        <v>422434.841740295</v>
      </c>
      <c r="CE16" s="19" t="inlineStr">
        <is>
          <t>10-Q / 10-K "Visa processed transactions" (current period; Q4 = fiscal year − nine months). Forecast = prior year × (1 + growth).</t>
        </is>
      </c>
      <c r="CG16" s="20">
        <f>IFERROR((CD16/BY16)^(1/5)-1,"n/m")</f>
        <v>0.0849907833514194</v>
      </c>
      <c r="CH16" s="20">
        <f>IFERROR((BT16/AU16)^(1/5)-1,"n/m")</f>
        <v>0.128303766790642</v>
      </c>
      <c r="CI16" s="20">
        <f>IFERROR((BT16/V16)^(1/10)-1,"n/m")</f>
        <v>0.137572423798848</v>
      </c>
      <c r="CJ16" s="20" t="str">
        <f>IFERROR((BT16/C16)^(1/17)-1,"n/m")</f>
        <v>n/m</v>
      </c>
      <c r="CM16" s="15" t="inlineStr">
        <is>
          <t>Q4/26E and FY26 point estimates (all cases)</t>
        </is>
      </c>
      <c r="CN16" s="21" t="n"/>
      <c r="CO16" s="21" t="n"/>
      <c r="CP16" s="21" t="n"/>
    </row>
    <row r="17" ht="15" customHeight="1" s="251">
      <c r="B17" s="22" t="inlineStr">
        <is>
          <t xml:space="preserve">    y/y %</t>
        </is>
      </c>
      <c r="C17" s="23" t="n"/>
      <c r="D17" s="255">
        <f>IF(AND(ISNUMBER(D16),ISNUMBER(C16)),IFERROR(D16/C16-1,""),"")</f>
      </c>
      <c r="E17" s="255">
        <f>IF(AND(ISNUMBER(E16),ISNUMBER(D16)),IFERROR(E16/D16-1,""),"")</f>
      </c>
      <c r="F17" s="255">
        <f>IF(AND(ISNUMBER(F16),ISNUMBER(E16)),IFERROR(F16/E16-1,""),"")</f>
      </c>
      <c r="G17" s="255">
        <f>IF(AND(ISNUMBER(G16),ISNUMBER(F16)),IFERROR(G16/F16-1,""),"")</f>
      </c>
      <c r="H17" s="23" t="n"/>
      <c r="I17" s="23" t="n"/>
      <c r="J17" s="23" t="n"/>
      <c r="K17" s="23" t="n"/>
      <c r="L17" s="255">
        <f>IF(AND(ISNUMBER(L16),ISNUMBER(G16)),IFERROR(L16/G16-1,""),"")</f>
        <v>0.0965418948315955</v>
      </c>
      <c r="M17" s="255">
        <f>IF(AND(ISNUMBER(M16),ISNUMBER(H16)),IFERROR(M16/H16-1,""),"")</f>
        <v>0.128963909880641</v>
      </c>
      <c r="N17" s="255">
        <f>IF(AND(ISNUMBER(N16),ISNUMBER(I16)),IFERROR(N16/I16-1,""),"")</f>
        <v>0.108592057761733</v>
      </c>
      <c r="O17" s="255">
        <f>IF(AND(ISNUMBER(O16),ISNUMBER(J16)),IFERROR(O16/J16-1,""),"")</f>
        <v>0.112877371092706</v>
      </c>
      <c r="P17" s="255">
        <f>IF(AND(ISNUMBER(P16),ISNUMBER(K16)),IFERROR(P16/K16-1,""),"")</f>
        <v>0.0937318442966884</v>
      </c>
      <c r="Q17" s="255">
        <f>IF(AND(ISNUMBER(Q16),ISNUMBER(L16)),IFERROR(Q16/L16-1,""),"")</f>
        <v>0.11068545628677</v>
      </c>
      <c r="R17" s="255">
        <f>IF(AND(ISNUMBER(R16),ISNUMBER(M16)),IFERROR(R16/M16-1,""),"")</f>
        <v>0.100969659055364</v>
      </c>
      <c r="S17" s="255">
        <f>IF(AND(ISNUMBER(S16),ISNUMBER(N16)),IFERROR(S16/N16-1,""),"")</f>
        <v>0.10590074247753</v>
      </c>
      <c r="T17" s="255">
        <f>IF(AND(ISNUMBER(T16),ISNUMBER(O16)),IFERROR(T16/O16-1,""),"")</f>
        <v>0.0817428880086424</v>
      </c>
      <c r="U17" s="255">
        <f>IF(AND(ISNUMBER(U16),ISNUMBER(P16)),IFERROR(U16/P16-1,""),"")</f>
        <v>0.0838694446083927</v>
      </c>
      <c r="V17" s="255">
        <f>IF(AND(ISNUMBER(V16),ISNUMBER(Q16)),IFERROR(V16/Q16-1,""),"")</f>
        <v>0.0927568366592757</v>
      </c>
      <c r="W17" s="255">
        <f>IF(AND(ISNUMBER(W16),ISNUMBER(R16)),IFERROR(W16/R16-1,""),"")</f>
        <v>0.0788112960963692</v>
      </c>
      <c r="X17" s="255">
        <f>IF(AND(ISNUMBER(X16),ISNUMBER(S16)),IFERROR(X16/S16-1,""),"")</f>
        <v>0.0880447585394582</v>
      </c>
      <c r="Y17" s="255">
        <f>IF(AND(ISNUMBER(Y16),ISNUMBER(T16)),IFERROR(Y16/T16-1,""),"")</f>
        <v>0.0973146915224146</v>
      </c>
      <c r="Z17" s="255">
        <f>IF(AND(ISNUMBER(Z16),ISNUMBER(U16)),IFERROR(Z16/U16-1,""),"")</f>
        <v>0.41151165323459</v>
      </c>
      <c r="AA17" s="255">
        <f>IF(AND(ISNUMBER(AA16),ISNUMBER(V16)),IFERROR(AA16/V16-1,""),"")</f>
        <v>0.171781648066734</v>
      </c>
      <c r="AB17" s="255">
        <f>IF(AND(ISNUMBER(AB16),ISNUMBER(W16)),IFERROR(AB16/W16-1,""),"")</f>
        <v>0.439429052986411</v>
      </c>
      <c r="AC17" s="255">
        <f>IF(AND(ISNUMBER(AC16),ISNUMBER(X16)),IFERROR(AC16/X16-1,""),"")</f>
        <v>0.421163734776725</v>
      </c>
      <c r="AD17" s="255">
        <f>IF(AND(ISNUMBER(AD16),ISNUMBER(Y16)),IFERROR(AD16/Y16-1,""),"")</f>
        <v>0.438466983517039</v>
      </c>
      <c r="AE17" s="255">
        <f>IF(AND(ISNUMBER(AE16),ISNUMBER(Z16)),IFERROR(AE16/Z16-1,""),"")</f>
        <v>0.125728174067359</v>
      </c>
      <c r="AF17" s="255">
        <f>IF(AND(ISNUMBER(AF16),ISNUMBER(AA16)),IFERROR(AF16/AA16-1,""),"")</f>
        <v>0.337377794345771</v>
      </c>
      <c r="AG17" s="255">
        <f>IF(AND(ISNUMBER(AG16),ISNUMBER(AB16)),IFERROR(AG16/AB16-1,""),"")</f>
        <v>0.116323319550661</v>
      </c>
      <c r="AH17" s="255">
        <f>IF(AND(ISNUMBER(AH16),ISNUMBER(AC16)),IFERROR(AH16/AC16-1,""),"")</f>
        <v>0.11673522242535</v>
      </c>
      <c r="AI17" s="255">
        <f>IF(AND(ISNUMBER(AI16),ISNUMBER(AD16)),IFERROR(AI16/AD16-1,""),"")</f>
        <v>0.115219683655536</v>
      </c>
      <c r="AJ17" s="255">
        <f>IF(AND(ISNUMBER(AJ16),ISNUMBER(AE16)),IFERROR(AJ16/AE16-1,""),"")</f>
        <v>0.122789581905415</v>
      </c>
      <c r="AK17" s="255">
        <f>IF(AND(ISNUMBER(AK16),ISNUMBER(AF16)),IFERROR(AK16/AF16-1,""),"")</f>
        <v>0.117834824439149</v>
      </c>
      <c r="AL17" s="255">
        <f>IF(AND(ISNUMBER(AL16),ISNUMBER(AG16)),IFERROR(AL16/AG16-1,""),"")</f>
        <v>0.11220007866789</v>
      </c>
      <c r="AM17" s="255">
        <f>IF(AND(ISNUMBER(AM16),ISNUMBER(AH16)),IFERROR(AM16/AH16-1,""),"")</f>
        <v>0.109921216875277</v>
      </c>
      <c r="AN17" s="255">
        <f>IF(AND(ISNUMBER(AN16),ISNUMBER(AI16)),IFERROR(AN16/AI16-1,""),"")</f>
        <v>0.116616238023197</v>
      </c>
      <c r="AO17" s="255">
        <f>IF(AND(ISNUMBER(AO16),ISNUMBER(AJ16)),IFERROR(AO16/AJ16-1,""),"")</f>
        <v>0.111772426212496</v>
      </c>
      <c r="AP17" s="255">
        <f>IF(AND(ISNUMBER(AP16),ISNUMBER(AK16)),IFERROR(AP16/AK16-1,""),"")</f>
        <v>0.112685006435006</v>
      </c>
      <c r="AQ17" s="255">
        <f>IF(AND(ISNUMBER(AQ16),ISNUMBER(AL16)),IFERROR(AQ16/AL16-1,""),"")</f>
        <v>0.113288733017005</v>
      </c>
      <c r="AR17" s="255">
        <f>IF(AND(ISNUMBER(AR16),ISNUMBER(AM16)),IFERROR(AR16/AM16-1,""),"")</f>
        <v>0.0736541297935103</v>
      </c>
      <c r="AS17" s="255">
        <f>IF(AND(ISNUMBER(AS16),ISNUMBER(AN16)),IFERROR(AS16/AN16-1,""),"")</f>
        <v>-0.134131195664446</v>
      </c>
      <c r="AT17" s="255">
        <f>IF(AND(ISNUMBER(AT16),ISNUMBER(AO16)),IFERROR(AT16/AO16-1,""),"")</f>
        <v>0.0280851063829788</v>
      </c>
      <c r="AU17" s="255">
        <f>IF(AND(ISNUMBER(AU16),ISNUMBER(AP16)),IFERROR(AU16/AP16-1,""),"")</f>
        <v>0.0181451467154392</v>
      </c>
      <c r="AV17" s="255">
        <f>IF(AND(ISNUMBER(AV16),ISNUMBER(AQ16)),IFERROR(AV16/AQ16-1,""),"")</f>
        <v>0.0380675049636003</v>
      </c>
      <c r="AW17" s="255">
        <f>IF(AND(ISNUMBER(AW16),ISNUMBER(AR16)),IFERROR(AW16/AR16-1,""),"")</f>
        <v>0.0773589765604876</v>
      </c>
      <c r="AX17" s="255">
        <f>IF(AND(ISNUMBER(AX16),ISNUMBER(AS16)),IFERROR(AX16/AS16-1,""),"")</f>
        <v>0.387436432390142</v>
      </c>
      <c r="AY17" s="255">
        <f>IF(AND(ISNUMBER(AY16),ISNUMBER(AT16)),IFERROR(AY16/AT16-1,""),"")</f>
        <v>0.210077974791711</v>
      </c>
      <c r="AZ17" s="255">
        <f>IF(AND(ISNUMBER(AZ16),ISNUMBER(AU16)),IFERROR(AZ16/AU16-1,""),"")</f>
        <v>0.169654712118092</v>
      </c>
      <c r="BA17" s="255">
        <f>IF(AND(ISNUMBER(BA16),ISNUMBER(AV16)),IFERROR(BA16/AV16-1,""),"")</f>
        <v>0.212812077627317</v>
      </c>
      <c r="BB17" s="255">
        <f>IF(AND(ISNUMBER(BB16),ISNUMBER(AW16)),IFERROR(BB16/AW16-1,""),"")</f>
        <v>0.190282647965147</v>
      </c>
      <c r="BC17" s="255">
        <f>IF(AND(ISNUMBER(BC16),ISNUMBER(AX16)),IFERROR(BC16/AX16-1,""),"")</f>
        <v>0.157844035619464</v>
      </c>
      <c r="BD17" s="255">
        <f>IF(AND(ISNUMBER(BD16),ISNUMBER(AY16)),IFERROR(BD16/AY16-1,""),"")</f>
        <v>0.122917356283791</v>
      </c>
      <c r="BE17" s="255">
        <f>IF(AND(ISNUMBER(BE16),ISNUMBER(AZ16)),IFERROR(BE16/AZ16-1,""),"")</f>
        <v>0.16873971821068</v>
      </c>
      <c r="BF17" s="255">
        <f>IF(AND(ISNUMBER(BF16),ISNUMBER(BA16)),IFERROR(BF16/BA16-1,""),"")</f>
        <v>0.104167542789857</v>
      </c>
      <c r="BG17" s="255">
        <f>IF(AND(ISNUMBER(BG16),ISNUMBER(BB16)),IFERROR(BG16/BB16-1,""),"")</f>
        <v>0.117437007610418</v>
      </c>
      <c r="BH17" s="255">
        <f>IF(AND(ISNUMBER(BH16),ISNUMBER(BC16)),IFERROR(BH16/BC16-1,""),"")</f>
        <v>0.0964914060756104</v>
      </c>
      <c r="BI17" s="255">
        <f>IF(AND(ISNUMBER(BI16),ISNUMBER(BD16)),IFERROR(BI16/BD16-1,""),"")</f>
        <v>0.0998133045101699</v>
      </c>
      <c r="BJ17" s="255">
        <f>IF(AND(ISNUMBER(BJ16),ISNUMBER(BE16)),IFERROR(BJ16/BE16-1,""),"")</f>
        <v>0.104134420609775</v>
      </c>
      <c r="BK17" s="255">
        <f>IF(AND(ISNUMBER(BK16),ISNUMBER(BF16)),IFERROR(BK16/BF16-1,""),"")</f>
        <v>0.0944546008531384</v>
      </c>
      <c r="BL17" s="255">
        <f>IF(AND(ISNUMBER(BL16),ISNUMBER(BG16)),IFERROR(BL16/BG16-1,""),"")</f>
        <v>0.107591523697298</v>
      </c>
      <c r="BM17" s="255">
        <f>IF(AND(ISNUMBER(BM16),ISNUMBER(BH16)),IFERROR(BM16/BH16-1,""),"")</f>
        <v>0.0977902801939519</v>
      </c>
      <c r="BN17" s="255">
        <f>IF(AND(ISNUMBER(BN16),ISNUMBER(BI16)),IFERROR(BN16/BI16-1,""),"")</f>
        <v>0.0991172896862269</v>
      </c>
      <c r="BO17" s="255">
        <f>IF(AND(ISNUMBER(BO16),ISNUMBER(BJ16)),IFERROR(BO16/BJ16-1,""),"")</f>
        <v>0.0996288438651043</v>
      </c>
      <c r="BP17" s="255">
        <f>IF(AND(ISNUMBER(BP16),ISNUMBER(BK16)),IFERROR(BP16/BK16-1,""),"")</f>
        <v>0.110053591314031</v>
      </c>
      <c r="BQ17" s="255">
        <f>IF(AND(ISNUMBER(BQ16),ISNUMBER(BL16)),IFERROR(BQ16/BL16-1,""),"")</f>
        <v>0.093677870744374</v>
      </c>
      <c r="BR17" s="255">
        <f>IF(AND(ISNUMBER(BR16),ISNUMBER(BM16)),IFERROR(BR16/BM16-1,""),"")</f>
        <v>0.10325702147746</v>
      </c>
      <c r="BS17" s="255">
        <f>IF(AND(ISNUMBER(BS16),ISNUMBER(BN16)),IFERROR(BS16/BN16-1,""),"")</f>
        <v>0.0998683162361205</v>
      </c>
      <c r="BT17" s="255">
        <f>IF(AND(ISNUMBER(BT16),ISNUMBER(BO16)),IFERROR(BT16/BO16-1,""),"")</f>
        <v>0.101759084181076</v>
      </c>
      <c r="BU17" s="255">
        <f>IF(AND(ISNUMBER(BU16),ISNUMBER(BP16)),IFERROR(BU16/BP16-1,""),"")</f>
        <v>0.087825446337602</v>
      </c>
      <c r="BV17" s="255">
        <f>IF(AND(ISNUMBER(BV16),ISNUMBER(BQ16)),IFERROR(BV16/BQ16-1,""),"")</f>
        <v>0.089611053403901</v>
      </c>
      <c r="BW17" s="255">
        <f>IF(AND(ISNUMBER(BW16),ISNUMBER(BR16)),IFERROR(BW16/BR16-1,""),"")</f>
        <v>0.0950292621059548</v>
      </c>
      <c r="BX17" s="256">
        <f>IFERROR(SUM(BU16:BW16)/SUM(BP16:BR16)-1,0)</f>
        <v>0.0908784513220742</v>
      </c>
      <c r="BY17" s="256">
        <f>IF(AND(ISNUMBER(BY16),ISNUMBER(BT16)),IFERROR(BY16/BT16-1,""),"")</f>
        <v>0.0908784513220742</v>
      </c>
      <c r="BZ17" s="256">
        <f>CHOOSE(MATCH($CE$2,{"Bull","Base","Bear"},0),$CN$35,$CO$35,$CP$35)</f>
        <v>0.09</v>
      </c>
      <c r="CA17" s="256">
        <f>CHOOSE(MATCH($CE$2,{"Bull","Base","Bear"},0),$CN$36,$CO$36,$CP$36)</f>
        <v>0.09</v>
      </c>
      <c r="CB17" s="256">
        <f>CHOOSE(MATCH($CE$2,{"Bull","Base","Bear"},0),$CN$37,$CO$37,$CP$37)</f>
        <v>0.085</v>
      </c>
      <c r="CC17" s="256">
        <f>CHOOSE(MATCH($CE$2,{"Bull","Base","Bear"},0),$CN$38,$CO$38,$CP$38)</f>
        <v>0.08</v>
      </c>
      <c r="CD17" s="256">
        <f>CHOOSE(MATCH($CE$2,{"Bull","Base","Bear"},0),$CN$39,$CO$39,$CP$39)</f>
        <v>0.08</v>
      </c>
      <c r="CE17" s="153" t="inlineStr">
        <is>
          <t>Q4/26E: 9M FY26 y/y (+9%). 2027E+: scenario lever.</t>
        </is>
      </c>
      <c r="CM17" s="25" t="inlineStr">
        <is>
          <t xml:space="preserve">  Q4/26E nominal payments volume growth (quarter ended 30-Jun-2026; published)</t>
        </is>
      </c>
      <c r="CO17" s="257" t="n">
        <v>0.11</v>
      </c>
      <c r="CQ17" s="13" t="inlineStr">
        <is>
          <t>Q3 FY26 release (8-K 28-Jul-2026, Ex. 99.1) 'Key business drivers': payments volume growth for the quarter ended 30-Jun-2026 +11% nominal (+10% constant). Service revenue in Q4 FY26 is based on this quarter's volume (company: service revenue is assessed on prior-quarter payments volume).</t>
        </is>
      </c>
    </row>
    <row r="18" ht="15" customHeight="1" s="251">
      <c r="CM18" s="25" t="inlineStr">
        <is>
          <t xml:space="preserve">  Q4/26E interest expense ($m)</t>
        </is>
      </c>
      <c r="CO18" s="258" t="n">
        <v>195</v>
      </c>
      <c r="CQ18" s="13" t="inlineStr">
        <is>
          <t>Q3 FY26 $194m; $24.1bn debt incl. $1.5bn commercial paper; no notes mature in Q4.</t>
        </is>
      </c>
    </row>
    <row r="19" ht="15" customHeight="1" s="251">
      <c r="B19" s="14" t="inlineStr">
        <is>
          <t>Gross revenue by category → client incentives → net revenue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  <c r="CE19" s="15" t="inlineStr">
        <is>
          <t>REVENUE CATEGORIES — company presentation (service, data processing, international transaction, other; less client incentives)</t>
        </is>
      </c>
      <c r="CM19" s="25" t="inlineStr">
        <is>
          <t xml:space="preserve">  Q4/26E investment income &amp; other ($m)</t>
        </is>
      </c>
      <c r="CO19" s="258" t="n">
        <v>114</v>
      </c>
      <c r="CQ19" s="13" t="inlineStr">
        <is>
          <t>UNVERIFIED (earnings call, not on EDGAR): FY26 non-GAAP non-operating expense ~$165m; 9M $84m → Q4 −$81m = interest $195m − $114m investment income. Q3 FY26 non-GAAP $159m.</t>
        </is>
      </c>
    </row>
    <row r="20" ht="15" customHeight="1" s="251">
      <c r="B20" s="25" t="inlineStr">
        <is>
          <t xml:space="preserve">  Service revenue</t>
        </is>
      </c>
      <c r="C20" s="253" t="n">
        <v>3061</v>
      </c>
      <c r="D20" s="253" t="n">
        <v>3174</v>
      </c>
      <c r="E20" s="253" t="n">
        <v>3497</v>
      </c>
      <c r="F20" s="253" t="n">
        <v>4261</v>
      </c>
      <c r="G20" s="253" t="n">
        <v>4872</v>
      </c>
      <c r="H20" s="253" t="n">
        <v>1300</v>
      </c>
      <c r="I20" s="253" t="n">
        <v>1369</v>
      </c>
      <c r="J20" s="253" t="n">
        <v>1298</v>
      </c>
      <c r="K20" s="253" t="n">
        <v>1385</v>
      </c>
      <c r="L20" s="253" t="n">
        <v>5352</v>
      </c>
      <c r="M20" s="253" t="n">
        <v>1419</v>
      </c>
      <c r="N20" s="253" t="n">
        <v>1462</v>
      </c>
      <c r="O20" s="253" t="n">
        <v>1417</v>
      </c>
      <c r="P20" s="253" t="n">
        <v>1499</v>
      </c>
      <c r="Q20" s="253" t="n">
        <v>5797</v>
      </c>
      <c r="R20" s="253" t="n">
        <v>1538</v>
      </c>
      <c r="S20" s="253" t="n">
        <v>1577</v>
      </c>
      <c r="T20" s="253" t="n">
        <v>1550</v>
      </c>
      <c r="U20" s="253" t="n">
        <v>1637</v>
      </c>
      <c r="V20" s="253" t="n">
        <v>6302</v>
      </c>
      <c r="W20" s="253" t="n">
        <v>1645</v>
      </c>
      <c r="X20" s="253" t="n">
        <v>1699</v>
      </c>
      <c r="Y20" s="253" t="n">
        <v>1635</v>
      </c>
      <c r="Z20" s="253" t="n">
        <v>1768</v>
      </c>
      <c r="AA20" s="253" t="n">
        <v>6747</v>
      </c>
      <c r="AB20" s="253" t="n">
        <v>1918</v>
      </c>
      <c r="AC20" s="253" t="n">
        <v>1993</v>
      </c>
      <c r="AD20" s="253" t="n">
        <v>1948</v>
      </c>
      <c r="AE20" s="253" t="n">
        <v>2116</v>
      </c>
      <c r="AF20" s="253" t="n">
        <v>7975</v>
      </c>
      <c r="AG20" s="253" t="n">
        <v>2146</v>
      </c>
      <c r="AH20" s="253" t="n">
        <v>2253</v>
      </c>
      <c r="AI20" s="253" t="n">
        <v>2196</v>
      </c>
      <c r="AJ20" s="253" t="n">
        <v>2323</v>
      </c>
      <c r="AK20" s="253" t="n">
        <v>8918</v>
      </c>
      <c r="AL20" s="253" t="n">
        <v>2342</v>
      </c>
      <c r="AM20" s="253" t="n">
        <v>2417</v>
      </c>
      <c r="AN20" s="253" t="n">
        <v>2405</v>
      </c>
      <c r="AO20" s="253" t="n">
        <v>2536</v>
      </c>
      <c r="AP20" s="253" t="n">
        <v>9700</v>
      </c>
      <c r="AQ20" s="253" t="n">
        <v>2555</v>
      </c>
      <c r="AR20" s="253" t="n">
        <v>2623</v>
      </c>
      <c r="AS20" s="253" t="n">
        <v>2409</v>
      </c>
      <c r="AT20" s="253" t="n">
        <v>2217</v>
      </c>
      <c r="AU20" s="253" t="n">
        <v>9804</v>
      </c>
      <c r="AV20" s="253" t="n">
        <v>2677</v>
      </c>
      <c r="AW20" s="253" t="n">
        <v>2845</v>
      </c>
      <c r="AX20" s="253" t="n">
        <v>2828</v>
      </c>
      <c r="AY20" s="253" t="n">
        <v>3125</v>
      </c>
      <c r="AZ20" s="253" t="n">
        <v>11475</v>
      </c>
      <c r="BA20" s="253" t="n">
        <v>3193</v>
      </c>
      <c r="BB20" s="253" t="n">
        <v>3521</v>
      </c>
      <c r="BC20" s="253" t="n">
        <v>3189</v>
      </c>
      <c r="BD20" s="253" t="n">
        <v>3458</v>
      </c>
      <c r="BE20" s="253" t="n">
        <v>13361</v>
      </c>
      <c r="BF20" s="253" t="n">
        <v>3511</v>
      </c>
      <c r="BG20" s="253" t="n">
        <v>3771</v>
      </c>
      <c r="BH20" s="253" t="n">
        <v>3668</v>
      </c>
      <c r="BI20" s="253" t="n">
        <v>3876</v>
      </c>
      <c r="BJ20" s="253" t="n">
        <v>14826</v>
      </c>
      <c r="BK20" s="253" t="n">
        <v>3915</v>
      </c>
      <c r="BL20" s="253" t="n">
        <v>4033</v>
      </c>
      <c r="BM20" s="253" t="n">
        <v>3967</v>
      </c>
      <c r="BN20" s="253" t="n">
        <v>4199</v>
      </c>
      <c r="BO20" s="253" t="n">
        <v>16114</v>
      </c>
      <c r="BP20" s="253" t="n">
        <v>4208</v>
      </c>
      <c r="BQ20" s="253" t="n">
        <v>4399</v>
      </c>
      <c r="BR20" s="253" t="n">
        <v>4330</v>
      </c>
      <c r="BS20" s="253" t="n">
        <v>4602</v>
      </c>
      <c r="BT20" s="253" t="n">
        <v>17539</v>
      </c>
      <c r="BU20" s="253" t="n">
        <v>4760</v>
      </c>
      <c r="BV20" s="253" t="n">
        <v>4981</v>
      </c>
      <c r="BW20" s="253" t="n">
        <v>4922</v>
      </c>
      <c r="BX20" s="254">
        <f>BX11*1000*BX21</f>
        <v>5118.9904637781</v>
      </c>
      <c r="BY20" s="254">
        <f>SUM(BU20:BX20)</f>
        <v>19781.9904637781</v>
      </c>
      <c r="BZ20" s="254">
        <f>BZ11*1000*BZ21</f>
        <v>21678.0942497312</v>
      </c>
      <c r="CA20" s="254">
        <f>CA11*1000*CA21</f>
        <v>23646.4652076068</v>
      </c>
      <c r="CB20" s="254">
        <f>CB11*1000*CB21</f>
        <v>25665.8733363365</v>
      </c>
      <c r="CC20" s="254">
        <f>CC11*1000*CC21</f>
        <v>27728.7679057445</v>
      </c>
      <c r="CD20" s="254">
        <f>CD11*1000*CD21</f>
        <v>29957.4676261687</v>
      </c>
      <c r="CE20" s="19" t="inlineStr">
        <is>
          <t>Forecast = nominal payments volume ($bn × 1,000) × service yield.</t>
        </is>
      </c>
      <c r="CG20" s="20">
        <f>IFERROR((CD20/BY20)^(1/5)-1,"n/m")</f>
        <v>0.086543259878606</v>
      </c>
      <c r="CH20" s="20">
        <f>IFERROR((BT20/AU20)^(1/5)-1,"n/m")</f>
        <v>0.123363490436849</v>
      </c>
      <c r="CI20" s="20">
        <f>IFERROR((BT20/V20)^(1/10)-1,"n/m")</f>
        <v>0.107777762608494</v>
      </c>
      <c r="CJ20" s="20">
        <f>IFERROR((BT20/C20)^(1/17)-1,"n/m")</f>
        <v>0.108144917058789</v>
      </c>
      <c r="CM20" s="25" t="inlineStr">
        <is>
          <t xml:space="preserve">  Q4/26E non-GAAP tax rate</t>
        </is>
      </c>
      <c r="CO20" s="257" t="n">
        <v>0.19</v>
      </c>
      <c r="CQ20" s="13" t="inlineStr">
        <is>
          <t>UNVERIFIED (earnings call, not on EDGAR): FY26 18.0–18.25% with 9M FY26 non-GAAP 17.8% implies ~19% in Q4 (Q3 18.4%).</t>
        </is>
      </c>
    </row>
    <row r="21" ht="15" customHeight="1" s="251">
      <c r="B21" s="25" t="inlineStr">
        <is>
          <t xml:space="preserve">    Service yield (% of nominal payments volume)</t>
        </is>
      </c>
      <c r="C21" s="259">
        <f>IF(AND(ISNUMBER(C20),ISNUMBER(C11)),IFERROR(C20/(C11*1000),""),"")</f>
      </c>
      <c r="D21" s="259">
        <f>IF(AND(ISNUMBER(D20),ISNUMBER(D11)),IFERROR(D20/(D11*1000),""),"")</f>
        <v>0.00118477043673012</v>
      </c>
      <c r="E21" s="259">
        <f>IF(AND(ISNUMBER(E20),ISNUMBER(E11)),IFERROR(E20/(E11*1000),""),"")</f>
        <v>0.00115146526177149</v>
      </c>
      <c r="F21" s="259">
        <f>IF(AND(ISNUMBER(F20),ISNUMBER(F11)),IFERROR(F20/(F11*1000),""),"")</f>
        <v>0.0012070821529745</v>
      </c>
      <c r="G21" s="259">
        <f>IF(AND(ISNUMBER(G20),ISNUMBER(G11)),IFERROR(G20/(G11*1000),""),"")</f>
        <v>0.00124955116696589</v>
      </c>
      <c r="H21" s="259">
        <f>IF(AND(ISNUMBER(H20),ISNUMBER(H11)),IFERROR(H20/(H11*1000),""),"")</f>
        <v>0.00128968253968254</v>
      </c>
      <c r="I21" s="259">
        <f>IF(AND(ISNUMBER(I20),ISNUMBER(I11)),IFERROR(I20/(I11*1000),""),"")</f>
        <v>0.00127467411545624</v>
      </c>
      <c r="J21" s="259">
        <f>IF(AND(ISNUMBER(J20),ISNUMBER(J11)),IFERROR(J20/(J11*1000),""),"")</f>
        <v>0.00126634146341463</v>
      </c>
      <c r="K21" s="259">
        <f>IF(AND(ISNUMBER(K20),ISNUMBER(K11)),IFERROR(K20/(K11*1000),""),"")</f>
        <v>0.00126947754353804</v>
      </c>
      <c r="L21" s="259">
        <f>IF(AND(ISNUMBER(L20),ISNUMBER(L11)),IFERROR(L20/(L11*1000),""),"")</f>
        <v>0.00127519656897784</v>
      </c>
      <c r="M21" s="259">
        <f>IF(AND(ISNUMBER(M20),ISNUMBER(M11)),IFERROR(M20/(M11*1000),""),"")</f>
        <v>0.00128532608695652</v>
      </c>
      <c r="N21" s="259">
        <f>IF(AND(ISNUMBER(N20),ISNUMBER(N11)),IFERROR(N20/(N11*1000),""),"")</f>
        <v>0.00125601374570447</v>
      </c>
      <c r="O21" s="259">
        <f>IF(AND(ISNUMBER(O20),ISNUMBER(O11)),IFERROR(O20/(O11*1000),""),"")</f>
        <v>0.00127888086642599</v>
      </c>
      <c r="P21" s="259">
        <f>IF(AND(ISNUMBER(P20),ISNUMBER(P11)),IFERROR(P20/(P11*1000),""),"")</f>
        <v>0.00125860621326616</v>
      </c>
      <c r="Q21" s="259">
        <f>IF(AND(ISNUMBER(Q20),ISNUMBER(Q11)),IFERROR(Q20/(Q11*1000),""),"")</f>
        <v>0.00126932340705058</v>
      </c>
      <c r="R21" s="259">
        <f>IF(AND(ISNUMBER(R20),ISNUMBER(R11)),IFERROR(R20/(R11*1000),""),"")</f>
        <v>0.00126376335250616</v>
      </c>
      <c r="S21" s="259">
        <f>IF(AND(ISNUMBER(S20),ISNUMBER(S11)),IFERROR(S20/(S11*1000),""),"")</f>
        <v>0.00126666666666667</v>
      </c>
      <c r="T21" s="259">
        <f>IF(AND(ISNUMBER(T20),ISNUMBER(T11)),IFERROR(T20/(T11*1000),""),"")</f>
        <v>0.00132705479452055</v>
      </c>
      <c r="U21" s="259">
        <f>IF(AND(ISNUMBER(U20),ISNUMBER(U11)),IFERROR(U20/(U11*1000),""),"")</f>
        <v>0.00130542264752791</v>
      </c>
      <c r="V21" s="259">
        <f>IF(AND(ISNUMBER(V20),ISNUMBER(V11)),IFERROR(V20/(V11*1000),""),"")</f>
        <v>0.00129033579033579</v>
      </c>
      <c r="W21" s="259">
        <f>IF(AND(ISNUMBER(W20),ISNUMBER(W11)),IFERROR(W20/(W11*1000),""),"")</f>
        <v>0.001300395256917</v>
      </c>
      <c r="X21" s="259">
        <f>IF(AND(ISNUMBER(X20),ISNUMBER(X11)),IFERROR(X20/(X11*1000),""),"")</f>
        <v>0.00130191570881226</v>
      </c>
      <c r="Y21" s="259">
        <f>IF(AND(ISNUMBER(Y20),ISNUMBER(Y11)),IFERROR(Y20/(Y11*1000),""),"")</f>
        <v>0.0013048683160415</v>
      </c>
      <c r="Z21" s="259">
        <f>IF(AND(ISNUMBER(Z20),ISNUMBER(Z11)),IFERROR(Z20/(Z11*1000),""),"")</f>
        <v>0.000967177242888403</v>
      </c>
      <c r="AA21" s="259">
        <f>IF(AND(ISNUMBER(AA20),ISNUMBER(AA11)),IFERROR(AA20/(AA11*1000),""),"")</f>
        <v>0.00119394797380995</v>
      </c>
      <c r="AB21" s="259">
        <f>IF(AND(ISNUMBER(AB20),ISNUMBER(AB11)),IFERROR(AB20/(AB11*1000),""),"")</f>
        <v>0.00103229278794403</v>
      </c>
      <c r="AC21" s="259">
        <f>IF(AND(ISNUMBER(AC20),ISNUMBER(AC11)),IFERROR(AC20/(AC11*1000),""),"")</f>
        <v>0.00110599334073252</v>
      </c>
      <c r="AD21" s="259">
        <f>IF(AND(ISNUMBER(AD20),ISNUMBER(AD11)),IFERROR(AD20/(AD11*1000),""),"")</f>
        <v>0.00112341407151096</v>
      </c>
      <c r="AE21" s="259">
        <f>IF(AND(ISNUMBER(AE20),ISNUMBER(AE11)),IFERROR(AE20/(AE11*1000),""),"")</f>
        <v>0.00113336904124264</v>
      </c>
      <c r="AF21" s="259">
        <f>IF(AND(ISNUMBER(AF20),ISNUMBER(AF11)),IFERROR(AF20/(AF11*1000),""),"")</f>
        <v>0.00109772883688919</v>
      </c>
      <c r="AG21" s="259">
        <f>IF(AND(ISNUMBER(AG20),ISNUMBER(AG11)),IFERROR(AG20/(AG11*1000),""),"")</f>
        <v>0.0011119170984456</v>
      </c>
      <c r="AH21" s="259">
        <f>IF(AND(ISNUMBER(AH20),ISNUMBER(AH11)),IFERROR(AH20/(AH11*1000),""),"")</f>
        <v>0.00110821446138711</v>
      </c>
      <c r="AI21" s="259">
        <f>IF(AND(ISNUMBER(AI20),ISNUMBER(AI11)),IFERROR(AI20/(AI11*1000),""),"")</f>
        <v>0.0010990990990991</v>
      </c>
      <c r="AJ21" s="259">
        <f>IF(AND(ISNUMBER(AJ20),ISNUMBER(AJ11)),IFERROR(AJ20/(AJ11*1000),""),"")</f>
        <v>0.00110566396953832</v>
      </c>
      <c r="AK21" s="259">
        <f>IF(AND(ISNUMBER(AK20),ISNUMBER(AK11)),IFERROR(AK20/(AK11*1000),""),"")</f>
        <v>0.00110603993550788</v>
      </c>
      <c r="AL21" s="259">
        <f>IF(AND(ISNUMBER(AL20),ISNUMBER(AL11)),IFERROR(AL20/(AL11*1000),""),"")</f>
        <v>0.00110890151515152</v>
      </c>
      <c r="AM21" s="259">
        <f>IF(AND(ISNUMBER(AM20),ISNUMBER(AM11)),IFERROR(AM20/(AM11*1000),""),"")</f>
        <v>0.00110013654984069</v>
      </c>
      <c r="AN21" s="259">
        <f>IF(AND(ISNUMBER(AN20),ISNUMBER(AN11)),IFERROR(AN20/(AN11*1000),""),"")</f>
        <v>0.00115347721822542</v>
      </c>
      <c r="AO21" s="259">
        <f>IF(AND(ISNUMBER(AO20),ISNUMBER(AO11)),IFERROR(AO20/(AO11*1000),""),"")</f>
        <v>0.00113824057450628</v>
      </c>
      <c r="AP21" s="259">
        <f>IF(AND(ISNUMBER(AP20),ISNUMBER(AP11)),IFERROR(AP20/(AP11*1000),""),"")</f>
        <v>0.00112542058243416</v>
      </c>
      <c r="AQ21" s="259">
        <f>IF(AND(ISNUMBER(AQ20),ISNUMBER(AQ11)),IFERROR(AQ20/(AQ11*1000),""),"")</f>
        <v>0.00112555066079295</v>
      </c>
      <c r="AR21" s="259">
        <f>IF(AND(ISNUMBER(AR20),ISNUMBER(AR11)),IFERROR(AR20/(AR11*1000),""),"")</f>
        <v>0.00111096992799661</v>
      </c>
      <c r="AS21" s="259">
        <f>IF(AND(ISNUMBER(AS20),ISNUMBER(AS11)),IFERROR(AS20/(AS11*1000),""),"")</f>
        <v>0.00113098591549296</v>
      </c>
      <c r="AT21" s="259">
        <f>IF(AND(ISNUMBER(AT20),ISNUMBER(AT11)),IFERROR(AT20/(AT11*1000),""),"")</f>
        <v>0.00113401534526854</v>
      </c>
      <c r="AU21" s="259">
        <f>IF(AND(ISNUMBER(AU20),ISNUMBER(AU11)),IFERROR(AU20/(AU11*1000),""),"")</f>
        <v>0.00112521519568461</v>
      </c>
      <c r="AV21" s="259">
        <f>IF(AND(ISNUMBER(AV20),ISNUMBER(AV11)),IFERROR(AV20/(AV11*1000),""),"")</f>
        <v>0.00113963388676032</v>
      </c>
      <c r="AW21" s="259">
        <f>IF(AND(ISNUMBER(AW20),ISNUMBER(AW11)),IFERROR(AW20/(AW11*1000),""),"")</f>
        <v>0.00114949494949495</v>
      </c>
      <c r="AX21" s="259">
        <f>IF(AND(ISNUMBER(AX20),ISNUMBER(AX11)),IFERROR(AX20/(AX11*1000),""),"")</f>
        <v>0.00116714816343376</v>
      </c>
      <c r="AY21" s="259">
        <f>IF(AND(ISNUMBER(AY20),ISNUMBER(AY11)),IFERROR(AY20/(AY11*1000),""),"")</f>
        <v>0.00114889705882353</v>
      </c>
      <c r="AZ21" s="259">
        <f>IF(AND(ISNUMBER(AZ20),ISNUMBER(AZ11)),IFERROR(AZ20/(AZ11*1000),""),"")</f>
        <v>0.00115118378812199</v>
      </c>
      <c r="BA21" s="259">
        <f>IF(AND(ISNUMBER(BA20),ISNUMBER(BA11)),IFERROR(BA20/(BA11*1000),""),"")</f>
        <v>0.00114691091954023</v>
      </c>
      <c r="BB21" s="259">
        <f>IF(AND(ISNUMBER(BB20),ISNUMBER(BB11)),IFERROR(BB20/(BB11*1000),""),"")</f>
        <v>0.00118832264596693</v>
      </c>
      <c r="BC21" s="259">
        <f>IF(AND(ISNUMBER(BC20),ISNUMBER(BC11)),IFERROR(BC20/(BC11*1000),""),"")</f>
        <v>0.00114918918918919</v>
      </c>
      <c r="BD21" s="259">
        <f>IF(AND(ISNUMBER(BD20),ISNUMBER(BD11)),IFERROR(BD20/(BD11*1000),""),"")</f>
        <v>0.00117539089055065</v>
      </c>
      <c r="BE21" s="259">
        <f>IF(AND(ISNUMBER(BE20),ISNUMBER(BE11)),IFERROR(BE20/(BE11*1000),""),"")</f>
        <v>0.00116547452896022</v>
      </c>
      <c r="BF21" s="259">
        <f>IF(AND(ISNUMBER(BF20),ISNUMBER(BF11)),IFERROR(BF20/(BF11*1000),""),"")</f>
        <v>0.00119870262888358</v>
      </c>
      <c r="BG21" s="259">
        <f>IF(AND(ISNUMBER(BG20),ISNUMBER(BG11)),IFERROR(BG20/(BG11*1000),""),"")</f>
        <v>0.00124950298210736</v>
      </c>
      <c r="BH21" s="259">
        <f>IF(AND(ISNUMBER(BH20),ISNUMBER(BH11)),IFERROR(BH20/(BH11*1000),""),"")</f>
        <v>0.00124044639837673</v>
      </c>
      <c r="BI21" s="259">
        <f>IF(AND(ISNUMBER(BI20),ISNUMBER(BI11)),IFERROR(BI20/(BI11*1000),""),"")</f>
        <v>0.00122425773847126</v>
      </c>
      <c r="BJ21" s="259">
        <f>IF(AND(ISNUMBER(BJ20),ISNUMBER(BJ11)),IFERROR(BJ20/(BJ11*1000),""),"")</f>
        <v>0.00122792777869803</v>
      </c>
      <c r="BK21" s="259">
        <f>IF(AND(ISNUMBER(BK20),ISNUMBER(BK11)),IFERROR(BK20/(BK11*1000),""),"")</f>
        <v>0.00122420262664165</v>
      </c>
      <c r="BL21" s="259">
        <f>IF(AND(ISNUMBER(BL20),ISNUMBER(BL11)),IFERROR(BL20/(BL11*1000),""),"")</f>
        <v>0.00122957317073171</v>
      </c>
      <c r="BM21" s="259">
        <f>IF(AND(ISNUMBER(BM20),ISNUMBER(BM11)),IFERROR(BM20/(BM11*1000),""),"")</f>
        <v>0.00125063051702396</v>
      </c>
      <c r="BN21" s="259">
        <f>IF(AND(ISNUMBER(BN20),ISNUMBER(BN11)),IFERROR(BN20/(BN11*1000),""),"")</f>
        <v>0.00126171875</v>
      </c>
      <c r="BO21" s="259">
        <f>IF(AND(ISNUMBER(BO20),ISNUMBER(BO11)),IFERROR(BO20/(BO11*1000),""),"")</f>
        <v>0.00124106592729513</v>
      </c>
      <c r="BP21" s="259">
        <f>IF(AND(ISNUMBER(BP20),ISNUMBER(BP11)),IFERROR(BP20/(BP11*1000),""),"")</f>
        <v>0.00123401759530792</v>
      </c>
      <c r="BQ21" s="259">
        <f>IF(AND(ISNUMBER(BQ20),ISNUMBER(BQ11)),IFERROR(BQ20/(BQ11*1000),""),"")</f>
        <v>0.00124829738933031</v>
      </c>
      <c r="BR21" s="259">
        <f>IF(AND(ISNUMBER(BR20),ISNUMBER(BR11)),IFERROR(BR20/(BR11*1000),""),"")</f>
        <v>0.00129485645933014</v>
      </c>
      <c r="BS21" s="259">
        <f>IF(AND(ISNUMBER(BS20),ISNUMBER(BS11)),IFERROR(BS20/(BS11*1000),""),"")</f>
        <v>0.0012723251313243</v>
      </c>
      <c r="BT21" s="259">
        <f>IF(AND(ISNUMBER(BT20),ISNUMBER(BT11)),IFERROR(BT20/(BT11*1000),""),"")</f>
        <v>0.0012623434576076</v>
      </c>
      <c r="BU21" s="259">
        <f>IF(AND(ISNUMBER(BU20),ISNUMBER(BU11)),IFERROR(BU20/(BU11*1000),""),"")</f>
        <v>0.00127545551982851</v>
      </c>
      <c r="BV21" s="259">
        <f>IF(AND(ISNUMBER(BV20),ISNUMBER(BV11)),IFERROR(BV20/(BV11*1000),""),"")</f>
        <v>0.00128774560496381</v>
      </c>
      <c r="BW21" s="259">
        <f>IF(AND(ISNUMBER(BW20),ISNUMBER(BW11)),IFERROR(BW20/(BW11*1000),""),"")</f>
        <v>0.00132027896995708</v>
      </c>
      <c r="BX21" s="260">
        <f>BS21*(1+BX22+$BX$50)</f>
        <v>0.00127500777454266</v>
      </c>
      <c r="BY21" s="260">
        <f>IF(AND(ISNUMBER(BY20),ISNUMBER(BY11)),IFERROR(BY20/(BY11*1000),""),"")</f>
        <v>0.0012893279069547</v>
      </c>
      <c r="BZ21" s="260">
        <f>BY21*(1+CHOOSE(MATCH($CE$2,{"Bull","Base","Bear"},0),$CN$41,$CO$41,$CP$41))</f>
        <v>0.00130222118602425</v>
      </c>
      <c r="CA21" s="260">
        <f>BZ21*(1+CHOOSE(MATCH($CE$2,{"Bull","Base","Bear"},0),$CN$42,$CO$42,$CP$42))</f>
        <v>0.00131524339788449</v>
      </c>
      <c r="CB21" s="260">
        <f>CA21*(1+CHOOSE(MATCH($CE$2,{"Bull","Base","Bear"},0),$CN$43,$CO$43,$CP$43))</f>
        <v>0.00132181961487392</v>
      </c>
      <c r="CC21" s="260">
        <f>CB21*(1+CHOOSE(MATCH($CE$2,{"Bull","Base","Bear"},0),$CN$44,$CO$44,$CP$44))</f>
        <v>0.00132842871294828</v>
      </c>
      <c r="CD21" s="260">
        <f>CC21*(1+CHOOSE(MATCH($CE$2,{"Bull","Base","Bear"},0),$CN$45,$CO$45,$CP$45))</f>
        <v>0.00133507085651303</v>
      </c>
      <c r="CE21" s="153" t="inlineStr">
        <is>
          <t>Q4/26E: prior-year quarter × (1 + 9M FY26 y/y yield change + revenue calibration Δ). 2027E+: prior year × (1 + scenario yield change: pricing, mix, card benefits).</t>
        </is>
      </c>
      <c r="CG21" s="37">
        <f>IFERROR(AVERAGE(BZ21,CA21,CB21,CC21,CD21),"n/m")</f>
        <v>0.00132055675364879</v>
      </c>
      <c r="CH21" s="37">
        <f>IFERROR(AVERAGE(AZ21,BE21,BJ21,BO21,BT21),"n/m")</f>
        <v>0.0012095990961366</v>
      </c>
      <c r="CI21" s="37">
        <f>IFERROR(AVERAGE(AA21,AF21,AK21,AP21,AU21,AZ21,BE21,BJ21,BO21,BT21),"n/m")</f>
        <v>0.00116963480050088</v>
      </c>
      <c r="CJ21" s="37">
        <f>IFERROR(AVERAGE(C21,D21,E21,F21,G21,L21,Q21,V21,AA21,AF21,AK21,AP21,AU21,AZ21,BE21,BJ21,BO21,BT21),"n/m")</f>
        <v>0.00119553369351853</v>
      </c>
      <c r="CM21" s="25" t="inlineStr">
        <is>
          <t xml:space="preserve">  Q4/26E litigation provision ($m; adjusted out)</t>
        </is>
      </c>
      <c r="CO21" s="258" t="n">
        <v>0</v>
      </c>
      <c r="CQ21" s="13" t="inlineStr">
        <is>
          <t>Not forecast (assumption): covered-litigation provisions are funded through the escrow / class B conversion-rate mechanism.</t>
        </is>
      </c>
    </row>
    <row r="22" ht="15" customHeight="1" s="251">
      <c r="B22" s="25" t="inlineStr">
        <is>
          <t xml:space="preserve">    Q4/26E yield change before calibration (9M FY26 y/y)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256">
        <f>IFERROR((SUM(BU20:BW20)/SUM(BU11:BW11))/(SUM(BP20:BR20)/SUM(BP11:BR11))-1,0)</f>
        <v>0.0283587067313174</v>
      </c>
      <c r="BY22" s="24" t="n"/>
      <c r="BZ22" s="46" t="n"/>
      <c r="CA22" s="46" t="n"/>
      <c r="CB22" s="46" t="n"/>
      <c r="CC22" s="46" t="n"/>
      <c r="CD22" s="46" t="n"/>
      <c r="CE22" s="19" t="inlineStr">
        <is>
          <t>Trend input: 9M FY26 service yield ÷ 9M FY25 service yield − 1 (formula on actuals).</t>
        </is>
      </c>
      <c r="CM22" s="25" t="inlineStr">
        <is>
          <t xml:space="preserve">  Q4/26E amortization of acquired intangibles ($m; adjusted out)</t>
        </is>
      </c>
      <c r="CO22" s="258" t="n">
        <v>64</v>
      </c>
      <c r="CQ22" s="13" t="inlineStr">
        <is>
          <t>Q3 FY26 $64m (Featurespace, Pismo, Tink).</t>
        </is>
      </c>
    </row>
    <row r="23" ht="15" customHeight="1" s="251">
      <c r="B23" s="22" t="inlineStr">
        <is>
          <t xml:space="preserve">    Service revenue y/y %</t>
        </is>
      </c>
      <c r="C23" s="23" t="n"/>
      <c r="D23" s="255">
        <f>IF(AND(ISNUMBER(D20),ISNUMBER(C20)),IFERROR(D20/C20-1,""),"")</f>
        <v>0.0369160405096374</v>
      </c>
      <c r="E23" s="255">
        <f>IF(AND(ISNUMBER(E20),ISNUMBER(D20)),IFERROR(E20/D20-1,""),"")</f>
        <v>0.101764335223693</v>
      </c>
      <c r="F23" s="255">
        <f>IF(AND(ISNUMBER(F20),ISNUMBER(E20)),IFERROR(F20/E20-1,""),"")</f>
        <v>0.218472976837289</v>
      </c>
      <c r="G23" s="255">
        <f>IF(AND(ISNUMBER(G20),ISNUMBER(F20)),IFERROR(G20/F20-1,""),"")</f>
        <v>0.143393569584604</v>
      </c>
      <c r="H23" s="23" t="n"/>
      <c r="I23" s="23" t="n"/>
      <c r="J23" s="23" t="n"/>
      <c r="K23" s="23" t="n"/>
      <c r="L23" s="255">
        <f>IF(AND(ISNUMBER(L20),ISNUMBER(G20)),IFERROR(L20/G20-1,""),"")</f>
        <v>0.0985221674876848</v>
      </c>
      <c r="M23" s="255">
        <f>IF(AND(ISNUMBER(M20),ISNUMBER(H20)),IFERROR(M20/H20-1,""),"")</f>
        <v>0.0915384615384616</v>
      </c>
      <c r="N23" s="255">
        <f>IF(AND(ISNUMBER(N20),ISNUMBER(I20)),IFERROR(N20/I20-1,""),"")</f>
        <v>0.0679327976625275</v>
      </c>
      <c r="O23" s="255">
        <f>IF(AND(ISNUMBER(O20),ISNUMBER(J20)),IFERROR(O20/J20-1,""),"")</f>
        <v>0.0916795069337442</v>
      </c>
      <c r="P23" s="255">
        <f>IF(AND(ISNUMBER(P20),ISNUMBER(K20)),IFERROR(P20/K20-1,""),"")</f>
        <v>0.0823104693140795</v>
      </c>
      <c r="Q23" s="255">
        <f>IF(AND(ISNUMBER(Q20),ISNUMBER(L20)),IFERROR(Q20/L20-1,""),"")</f>
        <v>0.0831464872944694</v>
      </c>
      <c r="R23" s="255">
        <f>IF(AND(ISNUMBER(R20),ISNUMBER(M20)),IFERROR(R20/M20-1,""),"")</f>
        <v>0.083861874559549</v>
      </c>
      <c r="S23" s="255">
        <f>IF(AND(ISNUMBER(S20),ISNUMBER(N20)),IFERROR(S20/N20-1,""),"")</f>
        <v>0.0786593707250343</v>
      </c>
      <c r="T23" s="255">
        <f>IF(AND(ISNUMBER(T20),ISNUMBER(O20)),IFERROR(T20/O20-1,""),"")</f>
        <v>0.0938602681721947</v>
      </c>
      <c r="U23" s="255">
        <f>IF(AND(ISNUMBER(U20),ISNUMBER(P20)),IFERROR(U20/P20-1,""),"")</f>
        <v>0.0920613742494996</v>
      </c>
      <c r="V23" s="255">
        <f>IF(AND(ISNUMBER(V20),ISNUMBER(Q20)),IFERROR(V20/Q20-1,""),"")</f>
        <v>0.0871140244954287</v>
      </c>
      <c r="W23" s="255">
        <f>IF(AND(ISNUMBER(W20),ISNUMBER(R20)),IFERROR(W20/R20-1,""),"")</f>
        <v>0.0695708712613785</v>
      </c>
      <c r="X23" s="255">
        <f>IF(AND(ISNUMBER(X20),ISNUMBER(S20)),IFERROR(X20/S20-1,""),"")</f>
        <v>0.0773620798985415</v>
      </c>
      <c r="Y23" s="255">
        <f>IF(AND(ISNUMBER(Y20),ISNUMBER(T20)),IFERROR(Y20/T20-1,""),"")</f>
        <v>0.0548387096774194</v>
      </c>
      <c r="Z23" s="255">
        <f>IF(AND(ISNUMBER(Z20),ISNUMBER(U20)),IFERROR(Z20/U20-1,""),"")</f>
        <v>0.080024434941967</v>
      </c>
      <c r="AA23" s="255">
        <f>IF(AND(ISNUMBER(AA20),ISNUMBER(V20)),IFERROR(AA20/V20-1,""),"")</f>
        <v>0.0706125039669947</v>
      </c>
      <c r="AB23" s="255">
        <f>IF(AND(ISNUMBER(AB20),ISNUMBER(W20)),IFERROR(AB20/W20-1,""),"")</f>
        <v>0.165957446808511</v>
      </c>
      <c r="AC23" s="255">
        <f>IF(AND(ISNUMBER(AC20),ISNUMBER(X20)),IFERROR(AC20/X20-1,""),"")</f>
        <v>0.173042966450853</v>
      </c>
      <c r="AD23" s="255">
        <f>IF(AND(ISNUMBER(AD20),ISNUMBER(Y20)),IFERROR(AD20/Y20-1,""),"")</f>
        <v>0.191437308868502</v>
      </c>
      <c r="AE23" s="255">
        <f>IF(AND(ISNUMBER(AE20),ISNUMBER(Z20)),IFERROR(AE20/Z20-1,""),"")</f>
        <v>0.19683257918552</v>
      </c>
      <c r="AF23" s="255">
        <f>IF(AND(ISNUMBER(AF20),ISNUMBER(AA20)),IFERROR(AF20/AA20-1,""),"")</f>
        <v>0.182006817844968</v>
      </c>
      <c r="AG23" s="255">
        <f>IF(AND(ISNUMBER(AG20),ISNUMBER(AB20)),IFERROR(AG20/AB20-1,""),"")</f>
        <v>0.118873826903024</v>
      </c>
      <c r="AH23" s="255">
        <f>IF(AND(ISNUMBER(AH20),ISNUMBER(AC20)),IFERROR(AH20/AC20-1,""),"")</f>
        <v>0.130456598093327</v>
      </c>
      <c r="AI23" s="255">
        <f>IF(AND(ISNUMBER(AI20),ISNUMBER(AD20)),IFERROR(AI20/AD20-1,""),"")</f>
        <v>0.127310061601643</v>
      </c>
      <c r="AJ23" s="255">
        <f>IF(AND(ISNUMBER(AJ20),ISNUMBER(AE20)),IFERROR(AJ20/AE20-1,""),"")</f>
        <v>0.0978260869565217</v>
      </c>
      <c r="AK23" s="255">
        <f>IF(AND(ISNUMBER(AK20),ISNUMBER(AF20)),IFERROR(AK20/AF20-1,""),"")</f>
        <v>0.118244514106583</v>
      </c>
      <c r="AL23" s="255">
        <f>IF(AND(ISNUMBER(AL20),ISNUMBER(AG20)),IFERROR(AL20/AG20-1,""),"")</f>
        <v>0.0913327120223673</v>
      </c>
      <c r="AM23" s="255">
        <f>IF(AND(ISNUMBER(AM20),ISNUMBER(AH20)),IFERROR(AM20/AH20-1,""),"")</f>
        <v>0.072791833111407</v>
      </c>
      <c r="AN23" s="255">
        <f>IF(AND(ISNUMBER(AN20),ISNUMBER(AI20)),IFERROR(AN20/AI20-1,""),"")</f>
        <v>0.0951730418943533</v>
      </c>
      <c r="AO23" s="255">
        <f>IF(AND(ISNUMBER(AO20),ISNUMBER(AJ20)),IFERROR(AO20/AJ20-1,""),"")</f>
        <v>0.0916917778734396</v>
      </c>
      <c r="AP23" s="255">
        <f>IF(AND(ISNUMBER(AP20),ISNUMBER(AK20)),IFERROR(AP20/AK20-1,""),"")</f>
        <v>0.0876878223816999</v>
      </c>
      <c r="AQ23" s="255">
        <f>IF(AND(ISNUMBER(AQ20),ISNUMBER(AL20)),IFERROR(AQ20/AL20-1,""),"")</f>
        <v>0.0909479077711357</v>
      </c>
      <c r="AR23" s="255">
        <f>IF(AND(ISNUMBER(AR20),ISNUMBER(AM20)),IFERROR(AR20/AM20-1,""),"")</f>
        <v>0.0852296235002068</v>
      </c>
      <c r="AS23" s="255">
        <f>IF(AND(ISNUMBER(AS20),ISNUMBER(AN20)),IFERROR(AS20/AN20-1,""),"")</f>
        <v>0.00166320166320166</v>
      </c>
      <c r="AT23" s="255">
        <f>IF(AND(ISNUMBER(AT20),ISNUMBER(AO20)),IFERROR(AT20/AO20-1,""),"")</f>
        <v>-0.125788643533123</v>
      </c>
      <c r="AU23" s="255">
        <f>IF(AND(ISNUMBER(AU20),ISNUMBER(AP20)),IFERROR(AU20/AP20-1,""),"")</f>
        <v>0.0107216494845361</v>
      </c>
      <c r="AV23" s="255">
        <f>IF(AND(ISNUMBER(AV20),ISNUMBER(AQ20)),IFERROR(AV20/AQ20-1,""),"")</f>
        <v>0.0477495107632093</v>
      </c>
      <c r="AW23" s="255">
        <f>IF(AND(ISNUMBER(AW20),ISNUMBER(AR20)),IFERROR(AW20/AR20-1,""),"")</f>
        <v>0.0846359130766299</v>
      </c>
      <c r="AX23" s="255">
        <f>IF(AND(ISNUMBER(AX20),ISNUMBER(AS20)),IFERROR(AX20/AS20-1,""),"")</f>
        <v>0.173931091739311</v>
      </c>
      <c r="AY23" s="255">
        <f>IF(AND(ISNUMBER(AY20),ISNUMBER(AT20)),IFERROR(AY20/AT20-1,""),"")</f>
        <v>0.409562471808751</v>
      </c>
      <c r="AZ23" s="255">
        <f>IF(AND(ISNUMBER(AZ20),ISNUMBER(AU20)),IFERROR(AZ20/AU20-1,""),"")</f>
        <v>0.170440636474908</v>
      </c>
      <c r="BA23" s="255">
        <f>IF(AND(ISNUMBER(BA20),ISNUMBER(AV20)),IFERROR(BA20/AV20-1,""),"")</f>
        <v>0.192753081807994</v>
      </c>
      <c r="BB23" s="255">
        <f>IF(AND(ISNUMBER(BB20),ISNUMBER(AW20)),IFERROR(BB20/AW20-1,""),"")</f>
        <v>0.237609841827768</v>
      </c>
      <c r="BC23" s="255">
        <f>IF(AND(ISNUMBER(BC20),ISNUMBER(AX20)),IFERROR(BC20/AX20-1,""),"")</f>
        <v>0.127652050919378</v>
      </c>
      <c r="BD23" s="255">
        <f>IF(AND(ISNUMBER(BD20),ISNUMBER(AY20)),IFERROR(BD20/AY20-1,""),"")</f>
        <v>0.10656</v>
      </c>
      <c r="BE23" s="255">
        <f>IF(AND(ISNUMBER(BE20),ISNUMBER(AZ20)),IFERROR(BE20/AZ20-1,""),"")</f>
        <v>0.164357298474946</v>
      </c>
      <c r="BF23" s="255">
        <f>IF(AND(ISNUMBER(BF20),ISNUMBER(BA20)),IFERROR(BF20/BA20-1,""),"")</f>
        <v>0.0995928593798936</v>
      </c>
      <c r="BG23" s="255">
        <f>IF(AND(ISNUMBER(BG20),ISNUMBER(BB20)),IFERROR(BG20/BB20-1,""),"")</f>
        <v>0.0710025560920193</v>
      </c>
      <c r="BH23" s="255">
        <f>IF(AND(ISNUMBER(BH20),ISNUMBER(BC20)),IFERROR(BH20/BC20-1,""),"")</f>
        <v>0.150203825650674</v>
      </c>
      <c r="BI23" s="255">
        <f>IF(AND(ISNUMBER(BI20),ISNUMBER(BD20)),IFERROR(BI20/BD20-1,""),"")</f>
        <v>0.120879120879121</v>
      </c>
      <c r="BJ23" s="255">
        <f>IF(AND(ISNUMBER(BJ20),ISNUMBER(BE20)),IFERROR(BJ20/BE20-1,""),"")</f>
        <v>0.109647481475937</v>
      </c>
      <c r="BK23" s="255">
        <f>IF(AND(ISNUMBER(BK20),ISNUMBER(BF20)),IFERROR(BK20/BF20-1,""),"")</f>
        <v>0.115066932497864</v>
      </c>
      <c r="BL23" s="255">
        <f>IF(AND(ISNUMBER(BL20),ISNUMBER(BG20)),IFERROR(BL20/BG20-1,""),"")</f>
        <v>0.0694775921506232</v>
      </c>
      <c r="BM23" s="255">
        <f>IF(AND(ISNUMBER(BM20),ISNUMBER(BH20)),IFERROR(BM20/BH20-1,""),"")</f>
        <v>0.0815158124318429</v>
      </c>
      <c r="BN23" s="255">
        <f>IF(AND(ISNUMBER(BN20),ISNUMBER(BI20)),IFERROR(BN20/BI20-1,""),"")</f>
        <v>0.0833333333333333</v>
      </c>
      <c r="BO23" s="255">
        <f>IF(AND(ISNUMBER(BO20),ISNUMBER(BJ20)),IFERROR(BO20/BJ20-1,""),"")</f>
        <v>0.0868744098205854</v>
      </c>
      <c r="BP23" s="255">
        <f>IF(AND(ISNUMBER(BP20),ISNUMBER(BK20)),IFERROR(BP20/BK20-1,""),"")</f>
        <v>0.0748403575989782</v>
      </c>
      <c r="BQ23" s="255">
        <f>IF(AND(ISNUMBER(BQ20),ISNUMBER(BL20)),IFERROR(BQ20/BL20-1,""),"")</f>
        <v>0.090751301760476</v>
      </c>
      <c r="BR23" s="255">
        <f>IF(AND(ISNUMBER(BR20),ISNUMBER(BM20)),IFERROR(BR20/BM20-1,""),"")</f>
        <v>0.0915049155533148</v>
      </c>
      <c r="BS23" s="255">
        <f>IF(AND(ISNUMBER(BS20),ISNUMBER(BN20)),IFERROR(BS20/BN20-1,""),"")</f>
        <v>0.0959752321981424</v>
      </c>
      <c r="BT23" s="255">
        <f>IF(AND(ISNUMBER(BT20),ISNUMBER(BO20)),IFERROR(BT20/BO20-1,""),"")</f>
        <v>0.0884324190145216</v>
      </c>
      <c r="BU23" s="255">
        <f>IF(AND(ISNUMBER(BU20),ISNUMBER(BP20)),IFERROR(BU20/BP20-1,""),"")</f>
        <v>0.131178707224335</v>
      </c>
      <c r="BV23" s="255">
        <f>IF(AND(ISNUMBER(BV20),ISNUMBER(BQ20)),IFERROR(BV20/BQ20-1,""),"")</f>
        <v>0.132302796090021</v>
      </c>
      <c r="BW23" s="255">
        <f>IF(AND(ISNUMBER(BW20),ISNUMBER(BR20)),IFERROR(BW20/BR20-1,""),"")</f>
        <v>0.136720554272517</v>
      </c>
      <c r="BX23" s="256">
        <f>IF(AND(ISNUMBER(BX20),ISNUMBER(BS20)),IFERROR(BX20/BS20-1,""),"")</f>
        <v>0.112340387609322</v>
      </c>
      <c r="BY23" s="256">
        <f>IF(AND(ISNUMBER(BY20),ISNUMBER(BT20)),IFERROR(BY20/BT20-1,""),"")</f>
        <v>0.12788588082434</v>
      </c>
      <c r="BZ23" s="256">
        <f>IF(AND(ISNUMBER(BZ20),ISNUMBER(BY20)),IFERROR(BZ20/BY20-1,""),"")</f>
        <v>0.0958500000000002</v>
      </c>
      <c r="CA23" s="256">
        <f>IF(AND(ISNUMBER(CA20),ISNUMBER(BZ20)),IFERROR(CA20/BZ20-1,""),"")</f>
        <v>0.0908000000000002</v>
      </c>
      <c r="CB23" s="256">
        <f>IF(AND(ISNUMBER(CB20),ISNUMBER(CA20)),IFERROR(CB20/CA20-1,""),"")</f>
        <v>0.0853999999999999</v>
      </c>
      <c r="CC23" s="256">
        <f>IF(AND(ISNUMBER(CC20),ISNUMBER(CB20)),IFERROR(CC20/CB20-1,""),"")</f>
        <v>0.0803749999999999</v>
      </c>
      <c r="CD23" s="256">
        <f>IF(AND(ISNUMBER(CD20),ISNUMBER(CC20)),IFERROR(CD20/CC20-1,""),"")</f>
        <v>0.0803750000000001</v>
      </c>
      <c r="CE23" s="153" t="n"/>
      <c r="CM23" s="25" t="inlineStr">
        <is>
          <t xml:space="preserve">  Q4/26E acquisition-related costs ($m; adjusted out)</t>
        </is>
      </c>
      <c r="CO23" s="258" t="n">
        <v>15</v>
      </c>
      <c r="CQ23" s="13" t="inlineStr">
        <is>
          <t>Q3 FY26 $14m.</t>
        </is>
      </c>
    </row>
    <row r="24" ht="15" customHeight="1" s="251">
      <c r="B24" s="25" t="inlineStr">
        <is>
          <t xml:space="preserve">  Data processing revenue</t>
        </is>
      </c>
      <c r="C24" s="253" t="n">
        <v>2073</v>
      </c>
      <c r="D24" s="253" t="n">
        <v>2430</v>
      </c>
      <c r="E24" s="253" t="n">
        <v>3125</v>
      </c>
      <c r="F24" s="253" t="n">
        <v>3478</v>
      </c>
      <c r="G24" s="253" t="n">
        <v>3975</v>
      </c>
      <c r="H24" s="253" t="n">
        <v>1115</v>
      </c>
      <c r="I24" s="253" t="n">
        <v>1150</v>
      </c>
      <c r="J24" s="253" t="n">
        <v>1191</v>
      </c>
      <c r="K24" s="253" t="n">
        <v>1186</v>
      </c>
      <c r="L24" s="253" t="n">
        <v>4642</v>
      </c>
      <c r="M24" s="253" t="n">
        <v>1264</v>
      </c>
      <c r="N24" s="253" t="n">
        <v>1234</v>
      </c>
      <c r="O24" s="253" t="n">
        <v>1321</v>
      </c>
      <c r="P24" s="253" t="n">
        <v>1348</v>
      </c>
      <c r="Q24" s="253" t="n">
        <v>5167</v>
      </c>
      <c r="R24" s="253" t="n">
        <v>1383</v>
      </c>
      <c r="S24" s="253" t="n">
        <v>1340</v>
      </c>
      <c r="T24" s="253" t="n">
        <v>1400</v>
      </c>
      <c r="U24" s="253" t="n">
        <v>1429</v>
      </c>
      <c r="V24" s="253" t="n">
        <v>5552</v>
      </c>
      <c r="W24" s="253" t="n">
        <v>1479</v>
      </c>
      <c r="X24" s="253" t="n">
        <v>1473</v>
      </c>
      <c r="Y24" s="253" t="n">
        <v>1541</v>
      </c>
      <c r="Z24" s="253" t="n">
        <v>1779</v>
      </c>
      <c r="AA24" s="253" t="n">
        <v>6272</v>
      </c>
      <c r="AB24" s="253" t="n">
        <v>1892</v>
      </c>
      <c r="AC24" s="253" t="n">
        <v>1843</v>
      </c>
      <c r="AD24" s="253" t="n">
        <v>1984</v>
      </c>
      <c r="AE24" s="253" t="n">
        <v>2067</v>
      </c>
      <c r="AF24" s="253" t="n">
        <v>7786</v>
      </c>
      <c r="AG24" s="253" t="n">
        <v>2147</v>
      </c>
      <c r="AH24" s="253" t="n">
        <v>2127</v>
      </c>
      <c r="AI24" s="253" t="n">
        <v>2359</v>
      </c>
      <c r="AJ24" s="253" t="n">
        <v>2394</v>
      </c>
      <c r="AK24" s="253" t="n">
        <v>9027</v>
      </c>
      <c r="AL24" s="253" t="n">
        <v>2470</v>
      </c>
      <c r="AM24" s="253" t="n">
        <v>2432</v>
      </c>
      <c r="AN24" s="253" t="n">
        <v>2662</v>
      </c>
      <c r="AO24" s="253" t="n">
        <v>2769</v>
      </c>
      <c r="AP24" s="253" t="n">
        <v>10333</v>
      </c>
      <c r="AQ24" s="253" t="n">
        <v>2864</v>
      </c>
      <c r="AR24" s="253" t="n">
        <v>2711</v>
      </c>
      <c r="AS24" s="253" t="n">
        <v>2525</v>
      </c>
      <c r="AT24" s="253" t="n">
        <v>2875</v>
      </c>
      <c r="AU24" s="253" t="n">
        <v>10975</v>
      </c>
      <c r="AV24" s="253" t="n">
        <v>3033</v>
      </c>
      <c r="AW24" s="253" t="n">
        <v>2996</v>
      </c>
      <c r="AX24" s="253" t="n">
        <v>3327</v>
      </c>
      <c r="AY24" s="253" t="n">
        <v>3436</v>
      </c>
      <c r="AZ24" s="253" t="n">
        <v>12792</v>
      </c>
      <c r="BA24" s="253" t="n">
        <v>3614</v>
      </c>
      <c r="BB24" s="253" t="n">
        <v>3480</v>
      </c>
      <c r="BC24" s="253" t="n">
        <v>3579</v>
      </c>
      <c r="BD24" s="253" t="n">
        <v>3765</v>
      </c>
      <c r="BE24" s="253" t="n">
        <v>14438</v>
      </c>
      <c r="BF24" s="253" t="n">
        <v>3827</v>
      </c>
      <c r="BG24" s="253" t="n">
        <v>3819</v>
      </c>
      <c r="BH24" s="253" t="n">
        <v>4105</v>
      </c>
      <c r="BI24" s="253" t="n">
        <v>4256</v>
      </c>
      <c r="BJ24" s="253" t="n">
        <v>16007</v>
      </c>
      <c r="BK24" s="253" t="n">
        <v>4356</v>
      </c>
      <c r="BL24" s="253" t="n">
        <v>4259</v>
      </c>
      <c r="BM24" s="253" t="n">
        <v>4489</v>
      </c>
      <c r="BN24" s="253" t="n">
        <v>4610</v>
      </c>
      <c r="BO24" s="253" t="n">
        <v>17714</v>
      </c>
      <c r="BP24" s="253" t="n">
        <v>4745</v>
      </c>
      <c r="BQ24" s="253" t="n">
        <v>4701</v>
      </c>
      <c r="BR24" s="253" t="n">
        <v>5153</v>
      </c>
      <c r="BS24" s="253" t="n">
        <v>5394</v>
      </c>
      <c r="BT24" s="253" t="n">
        <v>19993</v>
      </c>
      <c r="BU24" s="253" t="n">
        <v>5544</v>
      </c>
      <c r="BV24" s="253" t="n">
        <v>5543</v>
      </c>
      <c r="BW24" s="253" t="n">
        <v>6042</v>
      </c>
      <c r="BX24" s="254">
        <f>BX16*BX25</f>
        <v>6174.31604971302</v>
      </c>
      <c r="BY24" s="254">
        <f>SUM(BU24:BX24)</f>
        <v>23303.316049713</v>
      </c>
      <c r="BZ24" s="254">
        <f>BZ16*BZ25</f>
        <v>26035.6298565419</v>
      </c>
      <c r="CA24" s="254">
        <f>CA16*CA25</f>
        <v>28946.4132745033</v>
      </c>
      <c r="CB24" s="254">
        <f>CB16*CB25</f>
        <v>32034.9955708928</v>
      </c>
      <c r="CC24" s="254">
        <f>CC16*CC25</f>
        <v>35116.7621448126</v>
      </c>
      <c r="CD24" s="254">
        <f>CD16*CD25</f>
        <v>38494.9946631436</v>
      </c>
      <c r="CE24" s="19" t="inlineStr">
        <is>
          <t>Forecast = processed transactions (m) × data processing revenue per transaction ($).</t>
        </is>
      </c>
      <c r="CG24" s="20">
        <f>IFERROR((CD24/BY24)^(1/5)-1,"n/m")</f>
        <v>0.10559816111469</v>
      </c>
      <c r="CH24" s="20">
        <f>IFERROR((BT24/AU24)^(1/5)-1,"n/m")</f>
        <v>0.127443241129229</v>
      </c>
      <c r="CI24" s="20">
        <f>IFERROR((BT24/V24)^(1/10)-1,"n/m")</f>
        <v>0.136692124058042</v>
      </c>
      <c r="CJ24" s="20">
        <f>IFERROR((BT24/C24)^(1/17)-1,"n/m")</f>
        <v>0.142611905590829</v>
      </c>
      <c r="CM24" s="25" t="inlineStr">
        <is>
          <t xml:space="preserve">  FY26 purchases of property, equipment &amp; technology ($m)</t>
        </is>
      </c>
      <c r="CO24" s="258" t="n">
        <v>1600</v>
      </c>
      <c r="CQ24" s="13" t="inlineStr">
        <is>
          <t>9M FY26 $1,178m; FY25 $1,482m (3.7% of net revenue). Not guided (assumption).</t>
        </is>
      </c>
    </row>
    <row r="25" ht="15" customHeight="1" s="251">
      <c r="B25" s="25" t="inlineStr">
        <is>
          <t xml:space="preserve">    Data processing revenue per processed transaction ($)</t>
        </is>
      </c>
      <c r="C25" s="261">
        <f>IF(AND(ISNUMBER(C24),ISNUMBER(C16)),IFERROR(C24/C16,""),"")</f>
      </c>
      <c r="D25" s="261">
        <f>IF(AND(ISNUMBER(D24),ISNUMBER(D16)),IFERROR(D24/D16,""),"")</f>
      </c>
      <c r="E25" s="261">
        <f>IF(AND(ISNUMBER(E24),ISNUMBER(E16)),IFERROR(E24/E16,""),"")</f>
        <v>0.0688159256567792</v>
      </c>
      <c r="F25" s="261">
        <f>IF(AND(ISNUMBER(F24),ISNUMBER(F16)),IFERROR(F24/F16,""),"")</f>
      </c>
      <c r="G25" s="261">
        <f>IF(AND(ISNUMBER(G24),ISNUMBER(G16)),IFERROR(G24/G16,""),"")</f>
        <v>0.074544295251669</v>
      </c>
      <c r="H25" s="261">
        <f>IF(AND(ISNUMBER(H24),ISNUMBER(H16)),IFERROR(H24/H16,""),"")</f>
        <v>0.0787484991877958</v>
      </c>
      <c r="I25" s="261">
        <f>IF(AND(ISNUMBER(I24),ISNUMBER(I16)),IFERROR(I24/I16,""),"")</f>
        <v>0.0830324909747292</v>
      </c>
      <c r="J25" s="261">
        <f>IF(AND(ISNUMBER(J24),ISNUMBER(J16)),IFERROR(J24/J16,""),"")</f>
        <v>0.0795484905156292</v>
      </c>
      <c r="K25" s="261">
        <f>IF(AND(ISNUMBER(K24),ISNUMBER(K16)),IFERROR(K24/K16,""),"")</f>
        <v>0.0765605835646504</v>
      </c>
      <c r="L25" s="261">
        <f>IF(AND(ISNUMBER(L24),ISNUMBER(L16)),IFERROR(L24/L16,""),"")</f>
        <v>0.0793884252291695</v>
      </c>
      <c r="M25" s="261">
        <f>IF(AND(ISNUMBER(M24),ISNUMBER(M16)),IFERROR(M24/M16,""),"")</f>
        <v>0.0790741319987488</v>
      </c>
      <c r="N25" s="261">
        <f>IF(AND(ISNUMBER(N24),ISNUMBER(N16)),IFERROR(N24/N16,""),"")</f>
        <v>0.0803699361729842</v>
      </c>
      <c r="O25" s="261">
        <f>IF(AND(ISNUMBER(O24),ISNUMBER(O16)),IFERROR(O24/O16,""),"")</f>
        <v>0.0792821990157244</v>
      </c>
      <c r="P25" s="261">
        <f>IF(AND(ISNUMBER(P24),ISNUMBER(P16)),IFERROR(P24/P16,""),"")</f>
        <v>0.0795608805996577</v>
      </c>
      <c r="Q25" s="261">
        <f>IF(AND(ISNUMBER(Q24),ISNUMBER(Q16)),IFERROR(Q24/Q16,""),"")</f>
        <v>0.0795608524267061</v>
      </c>
      <c r="R25" s="261">
        <f>IF(AND(ISNUMBER(R24),ISNUMBER(R16)),IFERROR(R24/R16,""),"")</f>
        <v>0.0785840104551395</v>
      </c>
      <c r="S25" s="261">
        <f>IF(AND(ISNUMBER(S24),ISNUMBER(S16)),IFERROR(S24/S16,""),"")</f>
        <v>0.0789163722025913</v>
      </c>
      <c r="T25" s="261">
        <f>IF(AND(ISNUMBER(T24),ISNUMBER(T16)),IFERROR(T24/T16,""),"")</f>
        <v>0.0776742121615624</v>
      </c>
      <c r="U25" s="261">
        <f>IF(AND(ISNUMBER(U24),ISNUMBER(U16)),IFERROR(U24/U16,""),"")</f>
        <v>0.0778152907863211</v>
      </c>
      <c r="V25" s="261">
        <f>IF(AND(ISNUMBER(V24),ISNUMBER(V16)),IFERROR(V24/V16,""),"")</f>
        <v>0.0782324427911171</v>
      </c>
      <c r="W25" s="261">
        <f>IF(AND(ISNUMBER(W24),ISNUMBER(W16)),IFERROR(W24/W16,""),"")</f>
        <v>0.0778995048983462</v>
      </c>
      <c r="X25" s="261">
        <f>IF(AND(ISNUMBER(X24),ISNUMBER(X16)),IFERROR(X24/X16,""),"")</f>
        <v>0.0797293640054127</v>
      </c>
      <c r="Y25" s="261">
        <f>IF(AND(ISNUMBER(Y24),ISNUMBER(Y16)),IFERROR(Y24/Y16,""),"")</f>
        <v>0.0779148548892709</v>
      </c>
      <c r="Z25" s="261">
        <f>IF(AND(ISNUMBER(Z24),ISNUMBER(Z16)),IFERROR(Z24/Z16,""),"")</f>
        <v>0.068631611434744</v>
      </c>
      <c r="AA25" s="261">
        <f>IF(AND(ISNUMBER(AA24),ISNUMBER(AA16)),IFERROR(AA24/AA16,""),"")</f>
        <v>0.0754217823687154</v>
      </c>
      <c r="AB25" s="261">
        <f>IF(AND(ISNUMBER(AB24),ISNUMBER(AB16)),IFERROR(AB24/AB16,""),"")</f>
        <v>0.0692304877602547</v>
      </c>
      <c r="AC25" s="261">
        <f>IF(AND(ISNUMBER(AC24),ISNUMBER(AC16)),IFERROR(AC24/AC16,""),"")</f>
        <v>0.0701934795856185</v>
      </c>
      <c r="AD25" s="261">
        <f>IF(AND(ISNUMBER(AD24),ISNUMBER(AD16)),IFERROR(AD24/AD16,""),"")</f>
        <v>0.0697363796133568</v>
      </c>
      <c r="AE25" s="261">
        <f>IF(AND(ISNUMBER(AE24),ISNUMBER(AE16)),IFERROR(AE24/AE16,""),"")</f>
        <v>0.0708361891706648</v>
      </c>
      <c r="AF25" s="261">
        <f>IF(AND(ISNUMBER(AF24),ISNUMBER(AF16)),IFERROR(AF24/AF16,""),"")</f>
        <v>0.0700085420132176</v>
      </c>
      <c r="AG25" s="261">
        <f>IF(AND(ISNUMBER(AG24),ISNUMBER(AG16)),IFERROR(AG24/AG16,""),"")</f>
        <v>0.0703749836108562</v>
      </c>
      <c r="AH25" s="261">
        <f>IF(AND(ISNUMBER(AH24),ISNUMBER(AH16)),IFERROR(AH24/AH16,""),"")</f>
        <v>0.0725418641928993</v>
      </c>
      <c r="AI25" s="261">
        <f>IF(AND(ISNUMBER(AI24),ISNUMBER(AI16)),IFERROR(AI24/AI16,""),"")</f>
        <v>0.0743507312153303</v>
      </c>
      <c r="AJ25" s="261">
        <f>IF(AND(ISNUMBER(AJ24),ISNUMBER(AJ16)),IFERROR(AJ24/AJ16,""),"")</f>
        <v>0.0730702316637671</v>
      </c>
      <c r="AK25" s="261">
        <f>IF(AND(ISNUMBER(AK24),ISNUMBER(AK16)),IFERROR(AK24/AK16,""),"")</f>
        <v>0.0726110038610039</v>
      </c>
      <c r="AL25" s="261">
        <f>IF(AND(ISNUMBER(AL24),ISNUMBER(AL16)),IFERROR(AL24/AL16,""),"")</f>
        <v>0.072794789425599</v>
      </c>
      <c r="AM25" s="261">
        <f>IF(AND(ISNUMBER(AM24),ISNUMBER(AM16)),IFERROR(AM24/AM16,""),"")</f>
        <v>0.0747295968534907</v>
      </c>
      <c r="AN25" s="261">
        <f>IF(AND(ISNUMBER(AN24),ISNUMBER(AN16)),IFERROR(AN24/AN16,""),"")</f>
        <v>0.0751383086823981</v>
      </c>
      <c r="AO25" s="261">
        <f>IF(AND(ISNUMBER(AO24),ISNUMBER(AO16)),IFERROR(AO24/AO16,""),"")</f>
        <v>0.07601921757035</v>
      </c>
      <c r="AP25" s="261">
        <f>IF(AND(ISNUMBER(AP24),ISNUMBER(AP16)),IFERROR(AP24/AP16,""),"")</f>
        <v>0.0746987255022446</v>
      </c>
      <c r="AQ25" s="261">
        <f>IF(AND(ISNUMBER(AQ24),ISNUMBER(AQ16)),IFERROR(AQ24/AQ16,""),"")</f>
        <v>0.0758173395102581</v>
      </c>
      <c r="AR25" s="261">
        <f>IF(AND(ISNUMBER(AR24),ISNUMBER(AR16)),IFERROR(AR24/AR16,""),"")</f>
        <v>0.0775879339457943</v>
      </c>
      <c r="AS25" s="261">
        <f>IF(AND(ISNUMBER(AS24),ISNUMBER(AS16)),IFERROR(AS24/AS16,""),"")</f>
        <v>0.0823119050723693</v>
      </c>
      <c r="AT25" s="261">
        <f>IF(AND(ISNUMBER(AT24),ISNUMBER(AT16)),IFERROR(AT24/AT16,""),"")</f>
        <v>0.0767731254005554</v>
      </c>
      <c r="AU25" s="261">
        <f>IF(AND(ISNUMBER(AU24),ISNUMBER(AU16)),IFERROR(AU24/AU16,""),"")</f>
        <v>0.0779258586045059</v>
      </c>
      <c r="AV25" s="261">
        <f>IF(AND(ISNUMBER(AV24),ISNUMBER(AV16)),IFERROR(AV24/AV16,""),"")</f>
        <v>0.0773467982556805</v>
      </c>
      <c r="AW25" s="261">
        <f>IF(AND(ISNUMBER(AW24),ISNUMBER(AW16)),IFERROR(AW24/AW16,""),"")</f>
        <v>0.0795877165019658</v>
      </c>
      <c r="AX25" s="261">
        <f>IF(AND(ISNUMBER(AX24),ISNUMBER(AX16)),IFERROR(AX24/AX16,""),"")</f>
        <v>0.078170155776415</v>
      </c>
      <c r="AY25" s="261">
        <f>IF(AND(ISNUMBER(AY24),ISNUMBER(AY16)),IFERROR(AY24/AY16,""),"")</f>
        <v>0.0758247820809886</v>
      </c>
      <c r="AZ25" s="261">
        <f>IF(AND(ISNUMBER(AZ24),ISNUMBER(AZ16)),IFERROR(AZ24/AZ16,""),"")</f>
        <v>0.0776529292855712</v>
      </c>
      <c r="BA25" s="261">
        <f>IF(AND(ISNUMBER(BA24),ISNUMBER(BA16)),IFERROR(BA24/BA16,""),"")</f>
        <v>0.0759914210017242</v>
      </c>
      <c r="BB25" s="261">
        <f>IF(AND(ISNUMBER(BB24),ISNUMBER(BB16)),IFERROR(BB24/BB16,""),"")</f>
        <v>0.0776664360479389</v>
      </c>
      <c r="BC25" s="261">
        <f>IF(AND(ISNUMBER(BC24),ISNUMBER(BC16)),IFERROR(BC24/BC16,""),"")</f>
        <v>0.0726272854562796</v>
      </c>
      <c r="BD25" s="261">
        <f>IF(AND(ISNUMBER(BD24),ISNUMBER(BD16)),IFERROR(BD24/BD16,""),"")</f>
        <v>0.0739903704431561</v>
      </c>
      <c r="BE25" s="261">
        <f>IF(AND(ISNUMBER(BE24),ISNUMBER(BE16)),IFERROR(BE24/BE16,""),"")</f>
        <v>0.0749909105074534</v>
      </c>
      <c r="BF25" s="261">
        <f>IF(AND(ISNUMBER(BF24),ISNUMBER(BF16)),IFERROR(BF24/BF16,""),"")</f>
        <v>0.0728785801340646</v>
      </c>
      <c r="BG25" s="261">
        <f>IF(AND(ISNUMBER(BG24),ISNUMBER(BG16)),IFERROR(BG24/BG16,""),"")</f>
        <v>0.0762747408576165</v>
      </c>
      <c r="BH25" s="261">
        <f>IF(AND(ISNUMBER(BH24),ISNUMBER(BH16)),IFERROR(BH24/BH16,""),"")</f>
        <v>0.0759706851241811</v>
      </c>
      <c r="BI25" s="261">
        <f>IF(AND(ISNUMBER(BI24),ISNUMBER(BI16)),IFERROR(BI24/BI16,""),"")</f>
        <v>0.0760488885712244</v>
      </c>
      <c r="BJ25" s="261">
        <f>IF(AND(ISNUMBER(BJ24),ISNUMBER(BJ16)),IFERROR(BJ24/BJ16,""),"")</f>
        <v>0.0752990652886692</v>
      </c>
      <c r="BK25" s="261">
        <f>IF(AND(ISNUMBER(BK24),ISNUMBER(BK16)),IFERROR(BK24/BK16,""),"")</f>
        <v>0.075793429844098</v>
      </c>
      <c r="BL25" s="261">
        <f>IF(AND(ISNUMBER(BL24),ISNUMBER(BL16)),IFERROR(BL24/BL16,""),"")</f>
        <v>0.0767996249278708</v>
      </c>
      <c r="BM25" s="261">
        <f>IF(AND(ISNUMBER(BM24),ISNUMBER(BM16)),IFERROR(BM24/BM16,""),"")</f>
        <v>0.0756768603122155</v>
      </c>
      <c r="BN25" s="261">
        <f>IF(AND(ISNUMBER(BN24),ISNUMBER(BN16)),IFERROR(BN24/BN16,""),"")</f>
        <v>0.0749459446277902</v>
      </c>
      <c r="BO25" s="261">
        <f>IF(AND(ISNUMBER(BO24),ISNUMBER(BO16)),IFERROR(BO24/BO16,""),"")</f>
        <v>0.0757792246682466</v>
      </c>
      <c r="BP25" s="261">
        <f>IF(AND(ISNUMBER(BP24),ISNUMBER(BP16)),IFERROR(BP24/BP16,""),"")</f>
        <v>0.074376538081728</v>
      </c>
      <c r="BQ25" s="261">
        <f>IF(AND(ISNUMBER(BQ24),ISNUMBER(BQ16)),IFERROR(BQ24/BQ16,""),"")</f>
        <v>0.0775090270564377</v>
      </c>
      <c r="BR25" s="261">
        <f>IF(AND(ISNUMBER(BR24),ISNUMBER(BR16)),IFERROR(BR24/BR16,""),"")</f>
        <v>0.0787402777990007</v>
      </c>
      <c r="BS25" s="261">
        <f>IF(AND(ISNUMBER(BS24),ISNUMBER(BS16)),IFERROR(BS24/BS16,""),"")</f>
        <v>0.0797292103940639</v>
      </c>
      <c r="BT25" s="261">
        <f>IF(AND(ISNUMBER(BT24),ISNUMBER(BT16)),IFERROR(BT24/BT16,""),"")</f>
        <v>0.0776291521869965</v>
      </c>
      <c r="BU25" s="261">
        <f>IF(AND(ISNUMBER(BU24),ISNUMBER(BU16)),IFERROR(BU24/BU16,""),"")</f>
        <v>0.0798847262247839</v>
      </c>
      <c r="BV25" s="261">
        <f>IF(AND(ISNUMBER(BV24),ISNUMBER(BV16)),IFERROR(BV24/BV16,""),"")</f>
        <v>0.083875556093575</v>
      </c>
      <c r="BW25" s="261">
        <f>IF(AND(ISNUMBER(BW24),ISNUMBER(BW16)),IFERROR(BW24/BW16,""),"")</f>
        <v>0.0843124668583071</v>
      </c>
      <c r="BX25" s="262">
        <f>BS25*(1+BX26+$BX$50)</f>
        <v>0.0836602222955947</v>
      </c>
      <c r="BY25" s="262">
        <f>IF(AND(ISNUMBER(BY24),ISNUMBER(BY16)),IFERROR(BY24/BY16,""),"")</f>
        <v>0.0829446233632918</v>
      </c>
      <c r="BZ25" s="262">
        <f>BY25*(1+CHOOSE(MATCH($CE$2,{"Bull","Base","Bear"},0),$CN$47,$CO$47,$CP$47))</f>
        <v>0.0850182389473741</v>
      </c>
      <c r="CA25" s="262">
        <f>BZ25*(1+CHOOSE(MATCH($CE$2,{"Bull","Base","Bear"},0),$CN$48,$CO$48,$CP$48))</f>
        <v>0.0867186037263215</v>
      </c>
      <c r="CB25" s="262">
        <f>CA25*(1+CHOOSE(MATCH($CE$2,{"Bull","Base","Bear"},0),$CN$49,$CO$49,$CP$49))</f>
        <v>0.088452975800848</v>
      </c>
      <c r="CC25" s="262">
        <f>CB25*(1+CHOOSE(MATCH($CE$2,{"Bull","Base","Bear"},0),$CN$50,$CO$50,$CP$50))</f>
        <v>0.0897797704378607</v>
      </c>
      <c r="CD25" s="262">
        <f>CC25*(1+CHOOSE(MATCH($CE$2,{"Bull","Base","Bear"},0),$CN$51,$CO$51,$CP$51))</f>
        <v>0.0911264669944286</v>
      </c>
      <c r="CE25" s="19" t="inlineStr">
        <is>
          <t>Q4/26E: prior-year quarter × (1 + 9M FY26 y/y change + calibration Δ). 2027E+: scenario (pricing, value-added services, cross-border mix).</t>
        </is>
      </c>
    </row>
    <row r="26" ht="15" customHeight="1" s="251">
      <c r="B26" s="25" t="inlineStr">
        <is>
          <t xml:space="preserve">    Q4/26E change before calibration (9M FY26 y/y)</t>
        </is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  <c r="BI26" s="36" t="n"/>
      <c r="BJ26" s="36" t="n"/>
      <c r="BK26" s="36" t="n"/>
      <c r="BL26" s="36" t="n"/>
      <c r="BM26" s="36" t="n"/>
      <c r="BN26" s="36" t="n"/>
      <c r="BO26" s="36" t="n"/>
      <c r="BP26" s="36" t="n"/>
      <c r="BQ26" s="36" t="n"/>
      <c r="BR26" s="36" t="n"/>
      <c r="BS26" s="36" t="n"/>
      <c r="BT26" s="36" t="n"/>
      <c r="BU26" s="36" t="n"/>
      <c r="BV26" s="36" t="n"/>
      <c r="BW26" s="36" t="n"/>
      <c r="BX26" s="256">
        <f>IFERROR((SUM(BU24:BW24)/SUM(BU16:BW16))/(SUM(BP24:BR24)/SUM(BP16:BR16))-1,0)</f>
        <v>0.075554787650717</v>
      </c>
      <c r="BY26" s="24" t="n"/>
      <c r="BZ26" s="46" t="n"/>
      <c r="CA26" s="46" t="n"/>
      <c r="CB26" s="46" t="n"/>
      <c r="CC26" s="46" t="n"/>
      <c r="CD26" s="46" t="n"/>
      <c r="CE26" s="19" t="inlineStr">
        <is>
          <t>Trend input: 9M FY26 ÷ 9M FY25 data processing revenue per transaction − 1 (formula on actuals).</t>
        </is>
      </c>
      <c r="CM26" s="25" t="inlineStr">
        <is>
          <t xml:space="preserve">  Maximum net debt / adjusted EBITDA before buybacks (x) — buyback floor 2027E+</t>
        </is>
      </c>
      <c r="CN26" s="263" t="n">
        <v>0.5</v>
      </c>
      <c r="CO26" s="263" t="n">
        <v>0.35</v>
      </c>
      <c r="CP26" s="263" t="n">
        <v>0.25</v>
      </c>
      <c r="CQ26" s="13" t="inlineStr">
        <is>
          <t>Net debt (debt − cash − investment securities) $9.9bn at 30-Jun-2026 ≈ 0.3x adjusted EBITDA (model definition). Visa returns most free cash flow via buybacks and dividends; target = leverage up to which surplus cash is returned (assumption; Visa states no leverage target). Bull = more buybacks.</t>
        </is>
      </c>
    </row>
    <row r="27" ht="15" customHeight="1" s="251">
      <c r="B27" s="22" t="inlineStr">
        <is>
          <t xml:space="preserve">    Data processing revenue y/y %</t>
        </is>
      </c>
      <c r="C27" s="23" t="n"/>
      <c r="D27" s="255">
        <f>IF(AND(ISNUMBER(D24),ISNUMBER(C24)),IFERROR(D24/C24-1,""),"")</f>
        <v>0.172214182344428</v>
      </c>
      <c r="E27" s="255">
        <f>IF(AND(ISNUMBER(E24),ISNUMBER(D24)),IFERROR(E24/D24-1,""),"")</f>
        <v>0.286008230452675</v>
      </c>
      <c r="F27" s="255">
        <f>IF(AND(ISNUMBER(F24),ISNUMBER(E24)),IFERROR(F24/E24-1,""),"")</f>
        <v>0.11296</v>
      </c>
      <c r="G27" s="255">
        <f>IF(AND(ISNUMBER(G24),ISNUMBER(F24)),IFERROR(G24/F24-1,""),"")</f>
        <v>0.142898217366302</v>
      </c>
      <c r="H27" s="23" t="n"/>
      <c r="I27" s="23" t="n"/>
      <c r="J27" s="23" t="n"/>
      <c r="K27" s="23" t="n"/>
      <c r="L27" s="255">
        <f>IF(AND(ISNUMBER(L24),ISNUMBER(G24)),IFERROR(L24/G24-1,""),"")</f>
        <v>0.167798742138365</v>
      </c>
      <c r="M27" s="255">
        <f>IF(AND(ISNUMBER(M24),ISNUMBER(H24)),IFERROR(M24/H24-1,""),"")</f>
        <v>0.133632286995516</v>
      </c>
      <c r="N27" s="255">
        <f>IF(AND(ISNUMBER(N24),ISNUMBER(I24)),IFERROR(N24/I24-1,""),"")</f>
        <v>0.0730434782608695</v>
      </c>
      <c r="O27" s="255">
        <f>IF(AND(ISNUMBER(O24),ISNUMBER(J24)),IFERROR(O24/J24-1,""),"")</f>
        <v>0.109151973131822</v>
      </c>
      <c r="P27" s="255">
        <f>IF(AND(ISNUMBER(P24),ISNUMBER(K24)),IFERROR(P24/K24-1,""),"")</f>
        <v>0.136593591905565</v>
      </c>
      <c r="Q27" s="255">
        <f>IF(AND(ISNUMBER(Q24),ISNUMBER(L24)),IFERROR(Q24/L24-1,""),"")</f>
        <v>0.113097802671262</v>
      </c>
      <c r="R27" s="255">
        <f>IF(AND(ISNUMBER(R24),ISNUMBER(M24)),IFERROR(R24/M24-1,""),"")</f>
        <v>0.0941455696202531</v>
      </c>
      <c r="S27" s="255">
        <f>IF(AND(ISNUMBER(S24),ISNUMBER(N24)),IFERROR(S24/N24-1,""),"")</f>
        <v>0.0858995137763372</v>
      </c>
      <c r="T27" s="255">
        <f>IF(AND(ISNUMBER(T24),ISNUMBER(O24)),IFERROR(T24/O24-1,""),"")</f>
        <v>0.0598031794095382</v>
      </c>
      <c r="U27" s="255">
        <f>IF(AND(ISNUMBER(U24),ISNUMBER(P24)),IFERROR(U24/P24-1,""),"")</f>
        <v>0.0600890207715135</v>
      </c>
      <c r="V27" s="255">
        <f>IF(AND(ISNUMBER(V24),ISNUMBER(Q24)),IFERROR(V24/Q24-1,""),"")</f>
        <v>0.0745113218502032</v>
      </c>
      <c r="W27" s="255">
        <f>IF(AND(ISNUMBER(W24),ISNUMBER(R24)),IFERROR(W24/R24-1,""),"")</f>
        <v>0.0694143167028201</v>
      </c>
      <c r="X27" s="255">
        <f>IF(AND(ISNUMBER(X24),ISNUMBER(S24)),IFERROR(X24/S24-1,""),"")</f>
        <v>0.0992537313432835</v>
      </c>
      <c r="Y27" s="255">
        <f>IF(AND(ISNUMBER(Y24),ISNUMBER(T24)),IFERROR(Y24/T24-1,""),"")</f>
        <v>0.100714285714286</v>
      </c>
      <c r="Z27" s="255">
        <f>IF(AND(ISNUMBER(Z24),ISNUMBER(U24)),IFERROR(Z24/U24-1,""),"")</f>
        <v>0.244926522043387</v>
      </c>
      <c r="AA27" s="255">
        <f>IF(AND(ISNUMBER(AA24),ISNUMBER(V24)),IFERROR(AA24/V24-1,""),"")</f>
        <v>0.129682997118156</v>
      </c>
      <c r="AB27" s="255">
        <f>IF(AND(ISNUMBER(AB24),ISNUMBER(W24)),IFERROR(AB24/W24-1,""),"")</f>
        <v>0.279242731575389</v>
      </c>
      <c r="AC27" s="255">
        <f>IF(AND(ISNUMBER(AC24),ISNUMBER(X24)),IFERROR(AC24/X24-1,""),"")</f>
        <v>0.251188051595384</v>
      </c>
      <c r="AD27" s="255">
        <f>IF(AND(ISNUMBER(AD24),ISNUMBER(Y24)),IFERROR(AD24/Y24-1,""),"")</f>
        <v>0.287475665152498</v>
      </c>
      <c r="AE27" s="255">
        <f>IF(AND(ISNUMBER(AE24),ISNUMBER(Z24)),IFERROR(AE24/Z24-1,""),"")</f>
        <v>0.161888701517707</v>
      </c>
      <c r="AF27" s="255">
        <f>IF(AND(ISNUMBER(AF24),ISNUMBER(AA24)),IFERROR(AF24/AA24-1,""),"")</f>
        <v>0.241390306122449</v>
      </c>
      <c r="AG27" s="255">
        <f>IF(AND(ISNUMBER(AG24),ISNUMBER(AB24)),IFERROR(AG24/AB24-1,""),"")</f>
        <v>0.134778012684989</v>
      </c>
      <c r="AH27" s="255">
        <f>IF(AND(ISNUMBER(AH24),ISNUMBER(AC24)),IFERROR(AH24/AC24-1,""),"")</f>
        <v>0.154096581660336</v>
      </c>
      <c r="AI27" s="255">
        <f>IF(AND(ISNUMBER(AI24),ISNUMBER(AD24)),IFERROR(AI24/AD24-1,""),"")</f>
        <v>0.189012096774194</v>
      </c>
      <c r="AJ27" s="255">
        <f>IF(AND(ISNUMBER(AJ24),ISNUMBER(AE24)),IFERROR(AJ24/AE24-1,""),"")</f>
        <v>0.158200290275762</v>
      </c>
      <c r="AK27" s="255">
        <f>IF(AND(ISNUMBER(AK24),ISNUMBER(AF24)),IFERROR(AK24/AF24-1,""),"")</f>
        <v>0.15938864628821</v>
      </c>
      <c r="AL27" s="255">
        <f>IF(AND(ISNUMBER(AL24),ISNUMBER(AG24)),IFERROR(AL24/AG24-1,""),"")</f>
        <v>0.150442477876106</v>
      </c>
      <c r="AM27" s="255">
        <f>IF(AND(ISNUMBER(AM24),ISNUMBER(AH24)),IFERROR(AM24/AH24-1,""),"")</f>
        <v>0.143394452280207</v>
      </c>
      <c r="AN27" s="255">
        <f>IF(AND(ISNUMBER(AN24),ISNUMBER(AI24)),IFERROR(AN24/AI24-1,""),"")</f>
        <v>0.128444256040695</v>
      </c>
      <c r="AO27" s="255">
        <f>IF(AND(ISNUMBER(AO24),ISNUMBER(AJ24)),IFERROR(AO24/AJ24-1,""),"")</f>
        <v>0.156641604010025</v>
      </c>
      <c r="AP27" s="255">
        <f>IF(AND(ISNUMBER(AP24),ISNUMBER(AK24)),IFERROR(AP24/AK24-1,""),"")</f>
        <v>0.144677079871497</v>
      </c>
      <c r="AQ27" s="255">
        <f>IF(AND(ISNUMBER(AQ24),ISNUMBER(AL24)),IFERROR(AQ24/AL24-1,""),"")</f>
        <v>0.159514170040486</v>
      </c>
      <c r="AR27" s="255">
        <f>IF(AND(ISNUMBER(AR24),ISNUMBER(AM24)),IFERROR(AR24/AM24-1,""),"")</f>
        <v>0.114720394736842</v>
      </c>
      <c r="AS27" s="255">
        <f>IF(AND(ISNUMBER(AS24),ISNUMBER(AN24)),IFERROR(AS24/AN24-1,""),"")</f>
        <v>-0.0514650638617581</v>
      </c>
      <c r="AT27" s="255">
        <f>IF(AND(ISNUMBER(AT24),ISNUMBER(AO24)),IFERROR(AT24/AO24-1,""),"")</f>
        <v>0.0382809678584326</v>
      </c>
      <c r="AU27" s="255">
        <f>IF(AND(ISNUMBER(AU24),ISNUMBER(AP24)),IFERROR(AU24/AP24-1,""),"")</f>
        <v>0.0621310364850478</v>
      </c>
      <c r="AV27" s="255">
        <f>IF(AND(ISNUMBER(AV24),ISNUMBER(AQ24)),IFERROR(AV24/AQ24-1,""),"")</f>
        <v>0.0590083798882681</v>
      </c>
      <c r="AW27" s="255">
        <f>IF(AND(ISNUMBER(AW24),ISNUMBER(AR24)),IFERROR(AW24/AR24-1,""),"")</f>
        <v>0.105127259313906</v>
      </c>
      <c r="AX27" s="255">
        <f>IF(AND(ISNUMBER(AX24),ISNUMBER(AS24)),IFERROR(AX24/AS24-1,""),"")</f>
        <v>0.317623762376238</v>
      </c>
      <c r="AY27" s="255">
        <f>IF(AND(ISNUMBER(AY24),ISNUMBER(AT24)),IFERROR(AY24/AT24-1,""),"")</f>
        <v>0.195130434782609</v>
      </c>
      <c r="AZ27" s="255">
        <f>IF(AND(ISNUMBER(AZ24),ISNUMBER(AU24)),IFERROR(AZ24/AU24-1,""),"")</f>
        <v>0.165558086560365</v>
      </c>
      <c r="BA27" s="255">
        <f>IF(AND(ISNUMBER(BA24),ISNUMBER(AV24)),IFERROR(BA24/AV24-1,""),"")</f>
        <v>0.191559512034289</v>
      </c>
      <c r="BB27" s="255">
        <f>IF(AND(ISNUMBER(BB24),ISNUMBER(AW24)),IFERROR(BB24/AW24-1,""),"")</f>
        <v>0.16154873164219</v>
      </c>
      <c r="BC27" s="255">
        <f>IF(AND(ISNUMBER(BC24),ISNUMBER(AX24)),IFERROR(BC24/AX24-1,""),"")</f>
        <v>0.0757439134355276</v>
      </c>
      <c r="BD27" s="255">
        <f>IF(AND(ISNUMBER(BD24),ISNUMBER(AY24)),IFERROR(BD24/AY24-1,""),"")</f>
        <v>0.0957508731082655</v>
      </c>
      <c r="BE27" s="255">
        <f>IF(AND(ISNUMBER(BE24),ISNUMBER(AZ24)),IFERROR(BE24/AZ24-1,""),"")</f>
        <v>0.128674171357098</v>
      </c>
      <c r="BF27" s="255">
        <f>IF(AND(ISNUMBER(BF24),ISNUMBER(BA24)),IFERROR(BF24/BA24-1,""),"")</f>
        <v>0.0589374654122856</v>
      </c>
      <c r="BG27" s="255">
        <f>IF(AND(ISNUMBER(BG24),ISNUMBER(BB24)),IFERROR(BG24/BB24-1,""),"")</f>
        <v>0.0974137931034482</v>
      </c>
      <c r="BH27" s="255">
        <f>IF(AND(ISNUMBER(BH24),ISNUMBER(BC24)),IFERROR(BH24/BC24-1,""),"")</f>
        <v>0.146968426934898</v>
      </c>
      <c r="BI27" s="255">
        <f>IF(AND(ISNUMBER(BI24),ISNUMBER(BD24)),IFERROR(BI24/BD24-1,""),"")</f>
        <v>0.130411686586985</v>
      </c>
      <c r="BJ27" s="255">
        <f>IF(AND(ISNUMBER(BJ24),ISNUMBER(BE24)),IFERROR(BJ24/BE24-1,""),"")</f>
        <v>0.108671561158055</v>
      </c>
      <c r="BK27" s="255">
        <f>IF(AND(ISNUMBER(BK24),ISNUMBER(BF24)),IFERROR(BK24/BF24-1,""),"")</f>
        <v>0.138228377319049</v>
      </c>
      <c r="BL27" s="255">
        <f>IF(AND(ISNUMBER(BL24),ISNUMBER(BG24)),IFERROR(BL24/BG24-1,""),"")</f>
        <v>0.115213406650956</v>
      </c>
      <c r="BM27" s="255">
        <f>IF(AND(ISNUMBER(BM24),ISNUMBER(BH24)),IFERROR(BM24/BH24-1,""),"")</f>
        <v>0.0935444579780755</v>
      </c>
      <c r="BN27" s="255">
        <f>IF(AND(ISNUMBER(BN24),ISNUMBER(BI24)),IFERROR(BN24/BI24-1,""),"")</f>
        <v>0.0831766917293233</v>
      </c>
      <c r="BO27" s="255">
        <f>IF(AND(ISNUMBER(BO24),ISNUMBER(BJ24)),IFERROR(BO24/BJ24-1,""),"")</f>
        <v>0.106640844630474</v>
      </c>
      <c r="BP27" s="255">
        <f>IF(AND(ISNUMBER(BP24),ISNUMBER(BK24)),IFERROR(BP24/BK24-1,""),"")</f>
        <v>0.0893021120293847</v>
      </c>
      <c r="BQ27" s="255">
        <f>IF(AND(ISNUMBER(BQ24),ISNUMBER(BL24)),IFERROR(BQ24/BL24-1,""),"")</f>
        <v>0.103780230100963</v>
      </c>
      <c r="BR27" s="255">
        <f>IF(AND(ISNUMBER(BR24),ISNUMBER(BM24)),IFERROR(BR24/BM24-1,""),"")</f>
        <v>0.14791713076409</v>
      </c>
      <c r="BS27" s="255">
        <f>IF(AND(ISNUMBER(BS24),ISNUMBER(BN24)),IFERROR(BS24/BN24-1,""),"")</f>
        <v>0.170065075921909</v>
      </c>
      <c r="BT27" s="255">
        <f>IF(AND(ISNUMBER(BT24),ISNUMBER(BO24)),IFERROR(BT24/BO24-1,""),"")</f>
        <v>0.12865530089195</v>
      </c>
      <c r="BU27" s="255">
        <f>IF(AND(ISNUMBER(BU24),ISNUMBER(BP24)),IFERROR(BU24/BP24-1,""),"")</f>
        <v>0.168387776606955</v>
      </c>
      <c r="BV27" s="255">
        <f>IF(AND(ISNUMBER(BV24),ISNUMBER(BQ24)),IFERROR(BV24/BQ24-1,""),"")</f>
        <v>0.179110827483514</v>
      </c>
      <c r="BW27" s="255">
        <f>IF(AND(ISNUMBER(BW24),ISNUMBER(BR24)),IFERROR(BW24/BR24-1,""),"")</f>
        <v>0.172520861634</v>
      </c>
      <c r="BX27" s="256">
        <f>IF(AND(ISNUMBER(BX24),ISNUMBER(BS24)),IFERROR(BX24/BS24-1,""),"")</f>
        <v>0.144663709624216</v>
      </c>
      <c r="BY27" s="256">
        <f>IF(AND(ISNUMBER(BY24),ISNUMBER(BT24)),IFERROR(BY24/BT24-1,""),"")</f>
        <v>0.165573753299306</v>
      </c>
      <c r="BZ27" s="256">
        <f>IF(AND(ISNUMBER(BZ24),ISNUMBER(BY24)),IFERROR(BZ24/BY24-1,""),"")</f>
        <v>0.11725</v>
      </c>
      <c r="CA27" s="256">
        <f>IF(AND(ISNUMBER(CA24),ISNUMBER(BZ24)),IFERROR(CA24/BZ24-1,""),"")</f>
        <v>0.1118</v>
      </c>
      <c r="CB27" s="256">
        <f>IF(AND(ISNUMBER(CB24),ISNUMBER(CA24)),IFERROR(CB24/CA24-1,""),"")</f>
        <v>0.1067</v>
      </c>
      <c r="CC27" s="256">
        <f>IF(AND(ISNUMBER(CC24),ISNUMBER(CB24)),IFERROR(CC24/CB24-1,""),"")</f>
        <v>0.0962000000000001</v>
      </c>
      <c r="CD27" s="256">
        <f>IF(AND(ISNUMBER(CD24),ISNUMBER(CC24)),IFERROR(CD24/CC24-1,""),"")</f>
        <v>0.0961999999999998</v>
      </c>
      <c r="CE27" s="153" t="n"/>
    </row>
    <row r="28" ht="15" customHeight="1" s="251">
      <c r="B28" s="25" t="inlineStr">
        <is>
          <t xml:space="preserve">  International transaction revenue</t>
        </is>
      </c>
      <c r="C28" s="253" t="n">
        <v>1721</v>
      </c>
      <c r="D28" s="253" t="n">
        <v>1916</v>
      </c>
      <c r="E28" s="253" t="n">
        <v>2290</v>
      </c>
      <c r="F28" s="253" t="n">
        <v>2674</v>
      </c>
      <c r="G28" s="253" t="n">
        <v>3025</v>
      </c>
      <c r="H28" s="253" t="n">
        <v>805</v>
      </c>
      <c r="I28" s="253" t="n">
        <v>831</v>
      </c>
      <c r="J28" s="253" t="n">
        <v>854</v>
      </c>
      <c r="K28" s="253" t="n">
        <v>899</v>
      </c>
      <c r="L28" s="253" t="n">
        <v>3389</v>
      </c>
      <c r="M28" s="253" t="n">
        <v>891</v>
      </c>
      <c r="N28" s="253" t="n">
        <v>871</v>
      </c>
      <c r="O28" s="253" t="n">
        <v>860</v>
      </c>
      <c r="P28" s="253" t="n">
        <v>938</v>
      </c>
      <c r="Q28" s="253" t="n">
        <v>3560</v>
      </c>
      <c r="R28" s="253" t="n">
        <v>970</v>
      </c>
      <c r="S28" s="253" t="n">
        <v>964</v>
      </c>
      <c r="T28" s="253" t="n">
        <v>1039</v>
      </c>
      <c r="U28" s="253" t="n">
        <v>1091</v>
      </c>
      <c r="V28" s="253" t="n">
        <v>4064</v>
      </c>
      <c r="W28" s="253" t="n">
        <v>1031</v>
      </c>
      <c r="X28" s="253" t="n">
        <v>1045</v>
      </c>
      <c r="Y28" s="253" t="n">
        <v>1084</v>
      </c>
      <c r="Z28" s="253" t="n">
        <v>1489</v>
      </c>
      <c r="AA28" s="253" t="n">
        <v>4649</v>
      </c>
      <c r="AB28" s="253" t="n">
        <v>1489</v>
      </c>
      <c r="AC28" s="253" t="n">
        <v>1469</v>
      </c>
      <c r="AD28" s="253" t="n">
        <v>1571</v>
      </c>
      <c r="AE28" s="253" t="n">
        <v>1792</v>
      </c>
      <c r="AF28" s="253" t="n">
        <v>6321</v>
      </c>
      <c r="AG28" s="253" t="n">
        <v>1666</v>
      </c>
      <c r="AH28" s="253" t="n">
        <v>1752</v>
      </c>
      <c r="AI28" s="253" t="n">
        <v>1830</v>
      </c>
      <c r="AJ28" s="253" t="n">
        <v>1963</v>
      </c>
      <c r="AK28" s="253" t="n">
        <v>7211</v>
      </c>
      <c r="AL28" s="253" t="n">
        <v>1851</v>
      </c>
      <c r="AM28" s="253" t="n">
        <v>1796</v>
      </c>
      <c r="AN28" s="253" t="n">
        <v>1977</v>
      </c>
      <c r="AO28" s="253" t="n">
        <v>2180</v>
      </c>
      <c r="AP28" s="253" t="n">
        <v>7804</v>
      </c>
      <c r="AQ28" s="253" t="n">
        <v>2018</v>
      </c>
      <c r="AR28" s="253" t="n">
        <v>1833</v>
      </c>
      <c r="AS28" s="253" t="n">
        <v>1102</v>
      </c>
      <c r="AT28" s="253" t="n">
        <v>1346</v>
      </c>
      <c r="AU28" s="253" t="n">
        <v>6299</v>
      </c>
      <c r="AV28" s="253" t="n">
        <v>1451</v>
      </c>
      <c r="AW28" s="253" t="n">
        <v>1488</v>
      </c>
      <c r="AX28" s="253" t="n">
        <v>1696</v>
      </c>
      <c r="AY28" s="253" t="n">
        <v>1895</v>
      </c>
      <c r="AZ28" s="253" t="n">
        <v>6530</v>
      </c>
      <c r="BA28" s="253" t="n">
        <v>2174</v>
      </c>
      <c r="BB28" s="253" t="n">
        <v>2208</v>
      </c>
      <c r="BC28" s="253" t="n">
        <v>2560</v>
      </c>
      <c r="BD28" s="253" t="n">
        <v>2873</v>
      </c>
      <c r="BE28" s="253" t="n">
        <v>9815</v>
      </c>
      <c r="BF28" s="253" t="n">
        <v>2797</v>
      </c>
      <c r="BG28" s="253" t="n">
        <v>2749</v>
      </c>
      <c r="BH28" s="253" t="n">
        <v>2920</v>
      </c>
      <c r="BI28" s="253" t="n">
        <v>3172</v>
      </c>
      <c r="BJ28" s="253" t="n">
        <v>11638</v>
      </c>
      <c r="BK28" s="253" t="n">
        <v>3019</v>
      </c>
      <c r="BL28" s="253" t="n">
        <v>2984</v>
      </c>
      <c r="BM28" s="253" t="n">
        <v>3194</v>
      </c>
      <c r="BN28" s="253" t="n">
        <v>3468</v>
      </c>
      <c r="BO28" s="253" t="n">
        <v>12665</v>
      </c>
      <c r="BP28" s="253" t="n">
        <v>3442</v>
      </c>
      <c r="BQ28" s="253" t="n">
        <v>3291</v>
      </c>
      <c r="BR28" s="253" t="n">
        <v>3633</v>
      </c>
      <c r="BS28" s="253" t="n">
        <v>3800</v>
      </c>
      <c r="BT28" s="253" t="n">
        <v>14166</v>
      </c>
      <c r="BU28" s="253" t="n">
        <v>3652</v>
      </c>
      <c r="BV28" s="253" t="n">
        <v>3631</v>
      </c>
      <c r="BW28" s="253" t="n">
        <v>3853</v>
      </c>
      <c r="BX28" s="254">
        <f>BS28*(1+BX29)</f>
        <v>3982.51800838561</v>
      </c>
      <c r="BY28" s="254">
        <f>SUM(BU28:BX28)</f>
        <v>15118.5180083856</v>
      </c>
      <c r="BZ28" s="254">
        <f>BY28*(1+BZ29)</f>
        <v>16630.3698092242</v>
      </c>
      <c r="CA28" s="254">
        <f>BZ28*(1+CA29)</f>
        <v>18293.4067901466</v>
      </c>
      <c r="CB28" s="254">
        <f>CA28*(1+CB29)</f>
        <v>19939.8134012598</v>
      </c>
      <c r="CC28" s="254">
        <f>CB28*(1+CC29)</f>
        <v>21734.3966073732</v>
      </c>
      <c r="CD28" s="254">
        <f>CC28*(1+CD29)</f>
        <v>23473.148335963</v>
      </c>
      <c r="CE28" s="19" t="inlineStr">
        <is>
          <t>Driven by cross-border volume (excl. intra-Europe) and currency volatility. Q4/26E: prior-year quarter × (1 + 9M FY26 y/y + calibration Δ). 2027E+: scenario growth.</t>
        </is>
      </c>
      <c r="CG28" s="20">
        <f>IFERROR((CD28/BY28)^(1/5)-1,"n/m")</f>
        <v>0.0919743179063539</v>
      </c>
      <c r="CH28" s="20">
        <f>IFERROR((BT28/AU28)^(1/5)-1,"n/m")</f>
        <v>0.175966975869282</v>
      </c>
      <c r="CI28" s="20">
        <f>IFERROR((BT28/V28)^(1/10)-1,"n/m")</f>
        <v>0.132998549375319</v>
      </c>
      <c r="CJ28" s="20">
        <f>IFERROR((BT28/C28)^(1/17)-1,"n/m")</f>
        <v>0.13201182305763</v>
      </c>
      <c r="CM28" s="15" t="inlineStr">
        <is>
          <t>PV (nominal payments volume y/y)</t>
        </is>
      </c>
      <c r="CN28" s="41" t="n">
        <v>0.02</v>
      </c>
      <c r="CO28" s="21" t="inlineStr">
        <is>
          <t>Δ →</t>
        </is>
      </c>
      <c r="CP28" s="41" t="n">
        <v>-0.03</v>
      </c>
      <c r="CQ28" s="13" t="inlineStr">
        <is>
          <t>FY2023–25 +5–7.5% (FY2025 +7.0%); 9M FY26 +10.2% nominal (FX tailwind ~1pt). Consumer spending + cash digitisation; U.S. ~48% of volume.</t>
        </is>
      </c>
    </row>
    <row r="29" ht="15" customHeight="1" s="251">
      <c r="B29" s="22" t="inlineStr">
        <is>
          <t xml:space="preserve">    y/y %</t>
        </is>
      </c>
      <c r="C29" s="23" t="n"/>
      <c r="D29" s="255">
        <f>IF(AND(ISNUMBER(D28),ISNUMBER(C28)),IFERROR(D28/C28-1,""),"")</f>
        <v>0.113306217315514</v>
      </c>
      <c r="E29" s="255">
        <f>IF(AND(ISNUMBER(E28),ISNUMBER(D28)),IFERROR(E28/D28-1,""),"")</f>
        <v>0.195198329853862</v>
      </c>
      <c r="F29" s="255">
        <f>IF(AND(ISNUMBER(F28),ISNUMBER(E28)),IFERROR(F28/E28-1,""),"")</f>
        <v>0.167685589519651</v>
      </c>
      <c r="G29" s="255">
        <f>IF(AND(ISNUMBER(G28),ISNUMBER(F28)),IFERROR(G28/F28-1,""),"")</f>
        <v>0.131264023934181</v>
      </c>
      <c r="H29" s="23" t="n"/>
      <c r="I29" s="23" t="n"/>
      <c r="J29" s="23" t="n"/>
      <c r="K29" s="23" t="n"/>
      <c r="L29" s="255">
        <f>IF(AND(ISNUMBER(L28),ISNUMBER(G28)),IFERROR(L28/G28-1,""),"")</f>
        <v>0.120330578512397</v>
      </c>
      <c r="M29" s="255">
        <f>IF(AND(ISNUMBER(M28),ISNUMBER(H28)),IFERROR(M28/H28-1,""),"")</f>
        <v>0.106832298136646</v>
      </c>
      <c r="N29" s="255">
        <f>IF(AND(ISNUMBER(N28),ISNUMBER(I28)),IFERROR(N28/I28-1,""),"")</f>
        <v>0.0481347773766547</v>
      </c>
      <c r="O29" s="255">
        <f>IF(AND(ISNUMBER(O28),ISNUMBER(J28)),IFERROR(O28/J28-1,""),"")</f>
        <v>0.00702576112412179</v>
      </c>
      <c r="P29" s="255">
        <f>IF(AND(ISNUMBER(P28),ISNUMBER(K28)),IFERROR(P28/K28-1,""),"")</f>
        <v>0.0433815350389322</v>
      </c>
      <c r="Q29" s="255">
        <f>IF(AND(ISNUMBER(Q28),ISNUMBER(L28)),IFERROR(Q28/L28-1,""),"")</f>
        <v>0.0504573620537032</v>
      </c>
      <c r="R29" s="255">
        <f>IF(AND(ISNUMBER(R28),ISNUMBER(M28)),IFERROR(R28/M28-1,""),"")</f>
        <v>0.0886644219977553</v>
      </c>
      <c r="S29" s="255">
        <f>IF(AND(ISNUMBER(S28),ISNUMBER(N28)),IFERROR(S28/N28-1,""),"")</f>
        <v>0.106773823191734</v>
      </c>
      <c r="T29" s="255">
        <f>IF(AND(ISNUMBER(T28),ISNUMBER(O28)),IFERROR(T28/O28-1,""),"")</f>
        <v>0.208139534883721</v>
      </c>
      <c r="U29" s="255">
        <f>IF(AND(ISNUMBER(U28),ISNUMBER(P28)),IFERROR(U28/P28-1,""),"")</f>
        <v>0.163113006396588</v>
      </c>
      <c r="V29" s="255">
        <f>IF(AND(ISNUMBER(V28),ISNUMBER(Q28)),IFERROR(V28/Q28-1,""),"")</f>
        <v>0.141573033707865</v>
      </c>
      <c r="W29" s="255">
        <f>IF(AND(ISNUMBER(W28),ISNUMBER(R28)),IFERROR(W28/R28-1,""),"")</f>
        <v>0.0628865979381443</v>
      </c>
      <c r="X29" s="255">
        <f>IF(AND(ISNUMBER(X28),ISNUMBER(S28)),IFERROR(X28/S28-1,""),"")</f>
        <v>0.0840248962655601</v>
      </c>
      <c r="Y29" s="255">
        <f>IF(AND(ISNUMBER(Y28),ISNUMBER(T28)),IFERROR(Y28/T28-1,""),"")</f>
        <v>0.0433108758421559</v>
      </c>
      <c r="Z29" s="255">
        <f>IF(AND(ISNUMBER(Z28),ISNUMBER(U28)),IFERROR(Z28/U28-1,""),"")</f>
        <v>0.364802933088909</v>
      </c>
      <c r="AA29" s="255">
        <f>IF(AND(ISNUMBER(AA28),ISNUMBER(V28)),IFERROR(AA28/V28-1,""),"")</f>
        <v>0.143946850393701</v>
      </c>
      <c r="AB29" s="255">
        <f>IF(AND(ISNUMBER(AB28),ISNUMBER(W28)),IFERROR(AB28/W28-1,""),"")</f>
        <v>0.444228903976722</v>
      </c>
      <c r="AC29" s="255">
        <f>IF(AND(ISNUMBER(AC28),ISNUMBER(X28)),IFERROR(AC28/X28-1,""),"")</f>
        <v>0.405741626794258</v>
      </c>
      <c r="AD29" s="255">
        <f>IF(AND(ISNUMBER(AD28),ISNUMBER(Y28)),IFERROR(AD28/Y28-1,""),"")</f>
        <v>0.449261992619926</v>
      </c>
      <c r="AE29" s="255">
        <f>IF(AND(ISNUMBER(AE28),ISNUMBER(Z28)),IFERROR(AE28/Z28-1,""),"")</f>
        <v>0.203492276695769</v>
      </c>
      <c r="AF29" s="255">
        <f>IF(AND(ISNUMBER(AF28),ISNUMBER(AA28)),IFERROR(AF28/AA28-1,""),"")</f>
        <v>0.359647235964724</v>
      </c>
      <c r="AG29" s="255">
        <f>IF(AND(ISNUMBER(AG28),ISNUMBER(AB28)),IFERROR(AG28/AB28-1,""),"")</f>
        <v>0.118871725990598</v>
      </c>
      <c r="AH29" s="255">
        <f>IF(AND(ISNUMBER(AH28),ISNUMBER(AC28)),IFERROR(AH28/AC28-1,""),"")</f>
        <v>0.192648059904697</v>
      </c>
      <c r="AI29" s="255">
        <f>IF(AND(ISNUMBER(AI28),ISNUMBER(AD28)),IFERROR(AI28/AD28-1,""),"")</f>
        <v>0.164863144493953</v>
      </c>
      <c r="AJ29" s="255">
        <f>IF(AND(ISNUMBER(AJ28),ISNUMBER(AE28)),IFERROR(AJ28/AE28-1,""),"")</f>
        <v>0.0954241071428572</v>
      </c>
      <c r="AK29" s="255">
        <f>IF(AND(ISNUMBER(AK28),ISNUMBER(AF28)),IFERROR(AK28/AF28-1,""),"")</f>
        <v>0.140800506249011</v>
      </c>
      <c r="AL29" s="255">
        <f>IF(AND(ISNUMBER(AL28),ISNUMBER(AG28)),IFERROR(AL28/AG28-1,""),"")</f>
        <v>0.111044417767107</v>
      </c>
      <c r="AM29" s="255">
        <f>IF(AND(ISNUMBER(AM28),ISNUMBER(AH28)),IFERROR(AM28/AH28-1,""),"")</f>
        <v>0.0251141552511416</v>
      </c>
      <c r="AN29" s="255">
        <f>IF(AND(ISNUMBER(AN28),ISNUMBER(AI28)),IFERROR(AN28/AI28-1,""),"")</f>
        <v>0.0803278688524589</v>
      </c>
      <c r="AO29" s="255">
        <f>IF(AND(ISNUMBER(AO28),ISNUMBER(AJ28)),IFERROR(AO28/AJ28-1,""),"")</f>
        <v>0.110545084055018</v>
      </c>
      <c r="AP29" s="255">
        <f>IF(AND(ISNUMBER(AP28),ISNUMBER(AK28)),IFERROR(AP28/AK28-1,""),"")</f>
        <v>0.0822354735820274</v>
      </c>
      <c r="AQ29" s="255">
        <f>IF(AND(ISNUMBER(AQ28),ISNUMBER(AL28)),IFERROR(AQ28/AL28-1,""),"")</f>
        <v>0.0902215018908699</v>
      </c>
      <c r="AR29" s="255">
        <f>IF(AND(ISNUMBER(AR28),ISNUMBER(AM28)),IFERROR(AR28/AM28-1,""),"")</f>
        <v>0.0206013363028954</v>
      </c>
      <c r="AS29" s="255">
        <f>IF(AND(ISNUMBER(AS28),ISNUMBER(AN28)),IFERROR(AS28/AN28-1,""),"")</f>
        <v>-0.442589782498736</v>
      </c>
      <c r="AT29" s="255">
        <f>IF(AND(ISNUMBER(AT28),ISNUMBER(AO28)),IFERROR(AT28/AO28-1,""),"")</f>
        <v>-0.38256880733945</v>
      </c>
      <c r="AU29" s="255">
        <f>IF(AND(ISNUMBER(AU28),ISNUMBER(AP28)),IFERROR(AU28/AP28-1,""),"")</f>
        <v>-0.192849820604818</v>
      </c>
      <c r="AV29" s="255">
        <f>IF(AND(ISNUMBER(AV28),ISNUMBER(AQ28)),IFERROR(AV28/AQ28-1,""),"")</f>
        <v>-0.280971258671952</v>
      </c>
      <c r="AW29" s="255">
        <f>IF(AND(ISNUMBER(AW28),ISNUMBER(AR28)),IFERROR(AW28/AR28-1,""),"")</f>
        <v>-0.188216039279869</v>
      </c>
      <c r="AX29" s="255">
        <f>IF(AND(ISNUMBER(AX28),ISNUMBER(AS28)),IFERROR(AX28/AS28-1,""),"")</f>
        <v>0.539019963702359</v>
      </c>
      <c r="AY29" s="255">
        <f>IF(AND(ISNUMBER(AY28),ISNUMBER(AT28)),IFERROR(AY28/AT28-1,""),"")</f>
        <v>0.407875185735513</v>
      </c>
      <c r="AZ29" s="255">
        <f>IF(AND(ISNUMBER(AZ28),ISNUMBER(AU28)),IFERROR(AZ28/AU28-1,""),"")</f>
        <v>0.0366724876964597</v>
      </c>
      <c r="BA29" s="255">
        <f>IF(AND(ISNUMBER(BA28),ISNUMBER(AV28)),IFERROR(BA28/AV28-1,""),"")</f>
        <v>0.498277050310131</v>
      </c>
      <c r="BB29" s="255">
        <f>IF(AND(ISNUMBER(BB28),ISNUMBER(AW28)),IFERROR(BB28/AW28-1,""),"")</f>
        <v>0.483870967741936</v>
      </c>
      <c r="BC29" s="255">
        <f>IF(AND(ISNUMBER(BC28),ISNUMBER(AX28)),IFERROR(BC28/AX28-1,""),"")</f>
        <v>0.509433962264151</v>
      </c>
      <c r="BD29" s="255">
        <f>IF(AND(ISNUMBER(BD28),ISNUMBER(AY28)),IFERROR(BD28/AY28-1,""),"")</f>
        <v>0.516094986807388</v>
      </c>
      <c r="BE29" s="255">
        <f>IF(AND(ISNUMBER(BE28),ISNUMBER(AZ28)),IFERROR(BE28/AZ28-1,""),"")</f>
        <v>0.503062787136294</v>
      </c>
      <c r="BF29" s="255">
        <f>IF(AND(ISNUMBER(BF28),ISNUMBER(BA28)),IFERROR(BF28/BA28-1,""),"")</f>
        <v>0.28656853725851</v>
      </c>
      <c r="BG29" s="255">
        <f>IF(AND(ISNUMBER(BG28),ISNUMBER(BB28)),IFERROR(BG28/BB28-1,""),"")</f>
        <v>0.245018115942029</v>
      </c>
      <c r="BH29" s="255">
        <f>IF(AND(ISNUMBER(BH28),ISNUMBER(BC28)),IFERROR(BH28/BC28-1,""),"")</f>
        <v>0.140625</v>
      </c>
      <c r="BI29" s="255">
        <f>IF(AND(ISNUMBER(BI28),ISNUMBER(BD28)),IFERROR(BI28/BD28-1,""),"")</f>
        <v>0.104072398190045</v>
      </c>
      <c r="BJ29" s="255">
        <f>IF(AND(ISNUMBER(BJ28),ISNUMBER(BE28)),IFERROR(BJ28/BE28-1,""),"")</f>
        <v>0.185736118186449</v>
      </c>
      <c r="BK29" s="255">
        <f>IF(AND(ISNUMBER(BK28),ISNUMBER(BF28)),IFERROR(BK28/BF28-1,""),"")</f>
        <v>0.0793707543796924</v>
      </c>
      <c r="BL29" s="255">
        <f>IF(AND(ISNUMBER(BL28),ISNUMBER(BG28)),IFERROR(BL28/BG28-1,""),"")</f>
        <v>0.0854856311385959</v>
      </c>
      <c r="BM29" s="255">
        <f>IF(AND(ISNUMBER(BM28),ISNUMBER(BH28)),IFERROR(BM28/BH28-1,""),"")</f>
        <v>0.0938356164383563</v>
      </c>
      <c r="BN29" s="255">
        <f>IF(AND(ISNUMBER(BN28),ISNUMBER(BI28)),IFERROR(BN28/BI28-1,""),"")</f>
        <v>0.0933165195460277</v>
      </c>
      <c r="BO29" s="255">
        <f>IF(AND(ISNUMBER(BO28),ISNUMBER(BJ28)),IFERROR(BO28/BJ28-1,""),"")</f>
        <v>0.0882454029902045</v>
      </c>
      <c r="BP29" s="255">
        <f>IF(AND(ISNUMBER(BP28),ISNUMBER(BK28)),IFERROR(BP28/BK28-1,""),"")</f>
        <v>0.140112620072872</v>
      </c>
      <c r="BQ29" s="255">
        <f>IF(AND(ISNUMBER(BQ28),ISNUMBER(BL28)),IFERROR(BQ28/BL28-1,""),"")</f>
        <v>0.102882037533512</v>
      </c>
      <c r="BR29" s="255">
        <f>IF(AND(ISNUMBER(BR28),ISNUMBER(BM28)),IFERROR(BR28/BM28-1,""),"")</f>
        <v>0.137445209768316</v>
      </c>
      <c r="BS29" s="255">
        <f>IF(AND(ISNUMBER(BS28),ISNUMBER(BN28)),IFERROR(BS28/BN28-1,""),"")</f>
        <v>0.0957324106113033</v>
      </c>
      <c r="BT29" s="255">
        <f>IF(AND(ISNUMBER(BT28),ISNUMBER(BO28)),IFERROR(BT28/BO28-1,""),"")</f>
        <v>0.118515594157126</v>
      </c>
      <c r="BU29" s="255">
        <f>IF(AND(ISNUMBER(BU28),ISNUMBER(BP28)),IFERROR(BU28/BP28-1,""),"")</f>
        <v>0.0610110400929691</v>
      </c>
      <c r="BV29" s="255">
        <f>IF(AND(ISNUMBER(BV28),ISNUMBER(BQ28)),IFERROR(BV28/BQ28-1,""),"")</f>
        <v>0.103312063202674</v>
      </c>
      <c r="BW29" s="255">
        <f>IF(AND(ISNUMBER(BW28),ISNUMBER(BR28)),IFERROR(BW28/BR28-1,""),"")</f>
        <v>0.0605560143132398</v>
      </c>
      <c r="BX29" s="256">
        <f>BX30+$BX$50</f>
        <v>0.0480310548383178</v>
      </c>
      <c r="BY29" s="256">
        <f>IF(AND(ISNUMBER(BY28),ISNUMBER(BT28)),IFERROR(BY28/BT28-1,""),"")</f>
        <v>0.0672397295203733</v>
      </c>
      <c r="BZ29" s="256">
        <f>CHOOSE(MATCH($CE$2,{"Bull","Base","Bear"},0),$CN$53,$CO$53,$CP$53)</f>
        <v>0.1</v>
      </c>
      <c r="CA29" s="256">
        <f>CHOOSE(MATCH($CE$2,{"Bull","Base","Bear"},0),$CN$54,$CO$54,$CP$54)</f>
        <v>0.1</v>
      </c>
      <c r="CB29" s="256">
        <f>CHOOSE(MATCH($CE$2,{"Bull","Base","Bear"},0),$CN$55,$CO$55,$CP$55)</f>
        <v>0.09</v>
      </c>
      <c r="CC29" s="256">
        <f>CHOOSE(MATCH($CE$2,{"Bull","Base","Bear"},0),$CN$56,$CO$56,$CP$56)</f>
        <v>0.09</v>
      </c>
      <c r="CD29" s="256">
        <f>CHOOSE(MATCH($CE$2,{"Bull","Base","Bear"},0),$CN$57,$CO$57,$CP$57)</f>
        <v>0.08</v>
      </c>
      <c r="CE29" s="153" t="n"/>
      <c r="CM29" s="25" t="inlineStr">
        <is>
          <t xml:space="preserve">  2027E</t>
        </is>
      </c>
      <c r="CN29" s="33">
        <f>CO29+$CN$28</f>
        <v>0.105</v>
      </c>
      <c r="CO29" s="42" t="n">
        <v>0.08500000000000001</v>
      </c>
      <c r="CP29" s="33">
        <f>CO29+$CP$28</f>
        <v>0.055</v>
      </c>
    </row>
    <row r="30" ht="15" customHeight="1" s="251">
      <c r="B30" s="25" t="inlineStr">
        <is>
          <t xml:space="preserve">    Q4/26E growth before calibration (9M FY26 y/y)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6" t="n"/>
      <c r="BG30" s="36" t="n"/>
      <c r="BH30" s="36" t="n"/>
      <c r="BI30" s="36" t="n"/>
      <c r="BJ30" s="36" t="n"/>
      <c r="BK30" s="36" t="n"/>
      <c r="BL30" s="36" t="n"/>
      <c r="BM30" s="36" t="n"/>
      <c r="BN30" s="36" t="n"/>
      <c r="BO30" s="36" t="n"/>
      <c r="BP30" s="36" t="n"/>
      <c r="BQ30" s="36" t="n"/>
      <c r="BR30" s="36" t="n"/>
      <c r="BS30" s="36" t="n"/>
      <c r="BT30" s="36" t="n"/>
      <c r="BU30" s="36" t="n"/>
      <c r="BV30" s="36" t="n"/>
      <c r="BW30" s="36" t="n"/>
      <c r="BX30" s="256">
        <f>IFERROR(SUM(BU28:BW28)/SUM(BP28:BR28)-1,0)</f>
        <v>0.0742813042639399</v>
      </c>
      <c r="BY30" s="24" t="n"/>
      <c r="BZ30" s="46" t="n"/>
      <c r="CA30" s="46" t="n"/>
      <c r="CB30" s="46" t="n"/>
      <c r="CC30" s="46" t="n"/>
      <c r="CD30" s="46" t="n"/>
      <c r="CE30" s="19" t="inlineStr">
        <is>
          <t>Trend input: 9M FY26 ÷ 9M FY25 international transaction revenue − 1.</t>
        </is>
      </c>
      <c r="CM30" s="25" t="inlineStr">
        <is>
          <t xml:space="preserve">  2028E</t>
        </is>
      </c>
      <c r="CN30" s="33">
        <f>CO30+$CN$28</f>
        <v>0.1</v>
      </c>
      <c r="CO30" s="42" t="n">
        <v>0.08</v>
      </c>
      <c r="CP30" s="33">
        <f>CO30+$CP$28</f>
        <v>0.05</v>
      </c>
    </row>
    <row r="31" ht="15" customHeight="1" s="251">
      <c r="B31" s="25" t="inlineStr">
        <is>
          <t xml:space="preserve">  Other revenue (value-added services, licensing, marketing services)</t>
        </is>
      </c>
      <c r="C31" s="253" t="n">
        <v>569</v>
      </c>
      <c r="D31" s="253" t="n">
        <v>625</v>
      </c>
      <c r="E31" s="253" t="n">
        <v>713</v>
      </c>
      <c r="F31" s="253" t="n">
        <v>655</v>
      </c>
      <c r="G31" s="253" t="n">
        <v>704</v>
      </c>
      <c r="H31" s="253" t="n">
        <v>179</v>
      </c>
      <c r="I31" s="253" t="n">
        <v>175</v>
      </c>
      <c r="J31" s="253" t="n">
        <v>179</v>
      </c>
      <c r="K31" s="253" t="n">
        <v>183</v>
      </c>
      <c r="L31" s="253" t="n">
        <v>716</v>
      </c>
      <c r="M31" s="253" t="n">
        <v>180</v>
      </c>
      <c r="N31" s="253" t="n">
        <v>183</v>
      </c>
      <c r="O31" s="253" t="n">
        <v>195</v>
      </c>
      <c r="P31" s="253" t="n">
        <v>212</v>
      </c>
      <c r="Q31" s="253" t="n">
        <v>770</v>
      </c>
      <c r="R31" s="253" t="n">
        <v>204</v>
      </c>
      <c r="S31" s="253" t="n">
        <v>204</v>
      </c>
      <c r="T31" s="253" t="n">
        <v>199</v>
      </c>
      <c r="U31" s="253" t="n">
        <v>216</v>
      </c>
      <c r="V31" s="253" t="n">
        <v>823</v>
      </c>
      <c r="W31" s="253" t="n">
        <v>198</v>
      </c>
      <c r="X31" s="253" t="n">
        <v>198</v>
      </c>
      <c r="Y31" s="253" t="n">
        <v>209</v>
      </c>
      <c r="Z31" s="253" t="n">
        <v>218</v>
      </c>
      <c r="AA31" s="253" t="n">
        <v>823</v>
      </c>
      <c r="AB31" s="253" t="n">
        <v>203</v>
      </c>
      <c r="AC31" s="253" t="n">
        <v>203</v>
      </c>
      <c r="AD31" s="253" t="n">
        <v>209</v>
      </c>
      <c r="AE31" s="253" t="n">
        <v>226</v>
      </c>
      <c r="AF31" s="253" t="n">
        <v>841</v>
      </c>
      <c r="AG31" s="253" t="n">
        <v>229</v>
      </c>
      <c r="AH31" s="253" t="n">
        <v>230</v>
      </c>
      <c r="AI31" s="253" t="n">
        <v>229</v>
      </c>
      <c r="AJ31" s="253" t="n">
        <v>256</v>
      </c>
      <c r="AK31" s="253" t="n">
        <v>944</v>
      </c>
      <c r="AL31" s="253" t="n">
        <v>299</v>
      </c>
      <c r="AM31" s="253" t="n">
        <v>327</v>
      </c>
      <c r="AN31" s="253" t="n">
        <v>342</v>
      </c>
      <c r="AO31" s="253" t="n">
        <v>345</v>
      </c>
      <c r="AP31" s="253" t="n">
        <v>1313</v>
      </c>
      <c r="AQ31" s="253" t="n">
        <v>365</v>
      </c>
      <c r="AR31" s="253" t="n">
        <v>392</v>
      </c>
      <c r="AS31" s="253" t="n">
        <v>314</v>
      </c>
      <c r="AT31" s="253" t="n">
        <v>361</v>
      </c>
      <c r="AU31" s="253" t="n">
        <v>1432</v>
      </c>
      <c r="AV31" s="253" t="n">
        <v>384</v>
      </c>
      <c r="AW31" s="253" t="n">
        <v>392</v>
      </c>
      <c r="AX31" s="253" t="n">
        <v>409</v>
      </c>
      <c r="AY31" s="253" t="n">
        <v>490</v>
      </c>
      <c r="AZ31" s="253" t="n">
        <v>1675</v>
      </c>
      <c r="BA31" s="253" t="n">
        <v>449</v>
      </c>
      <c r="BB31" s="253" t="n">
        <v>474</v>
      </c>
      <c r="BC31" s="253" t="n">
        <v>517</v>
      </c>
      <c r="BD31" s="253" t="n">
        <v>551</v>
      </c>
      <c r="BE31" s="253" t="n">
        <v>1991</v>
      </c>
      <c r="BF31" s="253" t="n">
        <v>587</v>
      </c>
      <c r="BG31" s="253" t="n">
        <v>551</v>
      </c>
      <c r="BH31" s="253" t="n">
        <v>597</v>
      </c>
      <c r="BI31" s="253" t="n">
        <v>744</v>
      </c>
      <c r="BJ31" s="253" t="n">
        <v>2479</v>
      </c>
      <c r="BK31" s="253" t="n">
        <v>692</v>
      </c>
      <c r="BL31" s="253" t="n">
        <v>756</v>
      </c>
      <c r="BM31" s="253" t="n">
        <v>780</v>
      </c>
      <c r="BN31" s="253" t="n">
        <v>969</v>
      </c>
      <c r="BO31" s="253" t="n">
        <v>3197</v>
      </c>
      <c r="BP31" s="253" t="n">
        <v>912</v>
      </c>
      <c r="BQ31" s="253" t="n">
        <v>937</v>
      </c>
      <c r="BR31" s="253" t="n">
        <v>1028</v>
      </c>
      <c r="BS31" s="253" t="n">
        <v>1176</v>
      </c>
      <c r="BT31" s="253" t="n">
        <v>4053</v>
      </c>
      <c r="BU31" s="253" t="n">
        <v>1214</v>
      </c>
      <c r="BV31" s="253" t="n">
        <v>1320</v>
      </c>
      <c r="BW31" s="253" t="n">
        <v>1496</v>
      </c>
      <c r="BX31" s="254">
        <f>BS31*(1+BX32)</f>
        <v>1616.42897674846</v>
      </c>
      <c r="BY31" s="254">
        <f>SUM(BU31:BX31)</f>
        <v>5646.42897674846</v>
      </c>
      <c r="BZ31" s="254">
        <f>BY31*(1+BZ32)</f>
        <v>6888.64335163312</v>
      </c>
      <c r="CA31" s="254">
        <f>BZ31*(1+CA32)</f>
        <v>8128.59915492708</v>
      </c>
      <c r="CB31" s="254">
        <f>CA31*(1+CB32)</f>
        <v>9429.17501971542</v>
      </c>
      <c r="CC31" s="254">
        <f>CB31*(1+CC32)</f>
        <v>10749.2595224756</v>
      </c>
      <c r="CD31" s="254">
        <f>CC31*(1+CD32)</f>
        <v>12146.6632603974</v>
      </c>
      <c r="CE31" s="19" t="inlineStr">
        <is>
          <t>Value-added services, consulting, marketing services, licensing. Q4/26E: prior-year quarter × (1 + 9M FY26 y/y + calibration Δ). 2027E+: scenario growth.</t>
        </is>
      </c>
      <c r="CG31" s="20">
        <f>IFERROR((CD31/BY31)^(1/5)-1,"n/m")</f>
        <v>0.165565339762224</v>
      </c>
      <c r="CH31" s="20">
        <f>IFERROR((BT31/AU31)^(1/5)-1,"n/m")</f>
        <v>0.231308045346462</v>
      </c>
      <c r="CI31" s="20">
        <f>IFERROR((BT31/V31)^(1/10)-1,"n/m")</f>
        <v>0.172837049858956</v>
      </c>
      <c r="CJ31" s="20">
        <f>IFERROR((BT31/C31)^(1/17)-1,"n/m")</f>
        <v>0.122423435018987</v>
      </c>
      <c r="CM31" s="25" t="inlineStr">
        <is>
          <t xml:space="preserve">  2029E</t>
        </is>
      </c>
      <c r="CN31" s="33">
        <f>CO31+$CN$28</f>
        <v>0.1</v>
      </c>
      <c r="CO31" s="42" t="n">
        <v>0.08</v>
      </c>
      <c r="CP31" s="33">
        <f>CO31+$CP$28</f>
        <v>0.05</v>
      </c>
    </row>
    <row r="32" ht="15" customHeight="1" s="251">
      <c r="B32" s="22" t="inlineStr">
        <is>
          <t xml:space="preserve">    y/y %</t>
        </is>
      </c>
      <c r="C32" s="23" t="n"/>
      <c r="D32" s="255">
        <f>IF(AND(ISNUMBER(D31),ISNUMBER(C31)),IFERROR(D31/C31-1,""),"")</f>
        <v>0.0984182776801406</v>
      </c>
      <c r="E32" s="255">
        <f>IF(AND(ISNUMBER(E31),ISNUMBER(D31)),IFERROR(E31/D31-1,""),"")</f>
        <v>0.1408</v>
      </c>
      <c r="F32" s="255">
        <f>IF(AND(ISNUMBER(F31),ISNUMBER(E31)),IFERROR(F31/E31-1,""),"")</f>
        <v>-0.0813464235624124</v>
      </c>
      <c r="G32" s="255">
        <f>IF(AND(ISNUMBER(G31),ISNUMBER(F31)),IFERROR(G31/F31-1,""),"")</f>
        <v>0.0748091603053436</v>
      </c>
      <c r="H32" s="23" t="n"/>
      <c r="I32" s="23" t="n"/>
      <c r="J32" s="23" t="n"/>
      <c r="K32" s="23" t="n"/>
      <c r="L32" s="255">
        <f>IF(AND(ISNUMBER(L31),ISNUMBER(G31)),IFERROR(L31/G31-1,""),"")</f>
        <v>0.0170454545454546</v>
      </c>
      <c r="M32" s="255">
        <f>IF(AND(ISNUMBER(M31),ISNUMBER(H31)),IFERROR(M31/H31-1,""),"")</f>
        <v>0.005586592178771</v>
      </c>
      <c r="N32" s="255">
        <f>IF(AND(ISNUMBER(N31),ISNUMBER(I31)),IFERROR(N31/I31-1,""),"")</f>
        <v>0.0457142857142858</v>
      </c>
      <c r="O32" s="255">
        <f>IF(AND(ISNUMBER(O31),ISNUMBER(J31)),IFERROR(O31/J31-1,""),"")</f>
        <v>0.0893854748603351</v>
      </c>
      <c r="P32" s="255">
        <f>IF(AND(ISNUMBER(P31),ISNUMBER(K31)),IFERROR(P31/K31-1,""),"")</f>
        <v>0.158469945355191</v>
      </c>
      <c r="Q32" s="255">
        <f>IF(AND(ISNUMBER(Q31),ISNUMBER(L31)),IFERROR(Q31/L31-1,""),"")</f>
        <v>0.0754189944134078</v>
      </c>
      <c r="R32" s="255">
        <f>IF(AND(ISNUMBER(R31),ISNUMBER(M31)),IFERROR(R31/M31-1,""),"")</f>
        <v>0.133333333333333</v>
      </c>
      <c r="S32" s="255">
        <f>IF(AND(ISNUMBER(S31),ISNUMBER(N31)),IFERROR(S31/N31-1,""),"")</f>
        <v>0.114754098360656</v>
      </c>
      <c r="T32" s="255">
        <f>IF(AND(ISNUMBER(T31),ISNUMBER(O31)),IFERROR(T31/O31-1,""),"")</f>
        <v>0.0205128205128204</v>
      </c>
      <c r="U32" s="255">
        <f>IF(AND(ISNUMBER(U31),ISNUMBER(P31)),IFERROR(U31/P31-1,""),"")</f>
        <v>0.0188679245283019</v>
      </c>
      <c r="V32" s="255">
        <f>IF(AND(ISNUMBER(V31),ISNUMBER(Q31)),IFERROR(V31/Q31-1,""),"")</f>
        <v>0.0688311688311689</v>
      </c>
      <c r="W32" s="255">
        <f>IF(AND(ISNUMBER(W31),ISNUMBER(R31)),IFERROR(W31/R31-1,""),"")</f>
        <v>-0.0294117647058824</v>
      </c>
      <c r="X32" s="255">
        <f>IF(AND(ISNUMBER(X31),ISNUMBER(S31)),IFERROR(X31/S31-1,""),"")</f>
        <v>-0.0294117647058824</v>
      </c>
      <c r="Y32" s="255">
        <f>IF(AND(ISNUMBER(Y31),ISNUMBER(T31)),IFERROR(Y31/T31-1,""),"")</f>
        <v>0.050251256281407</v>
      </c>
      <c r="Z32" s="255">
        <f>IF(AND(ISNUMBER(Z31),ISNUMBER(U31)),IFERROR(Z31/U31-1,""),"")</f>
        <v>0.0092592592592593</v>
      </c>
      <c r="AA32" s="255">
        <f>IF(AND(ISNUMBER(AA31),ISNUMBER(V31)),IFERROR(AA31/V31-1,""),"")</f>
        <v>0</v>
      </c>
      <c r="AB32" s="255">
        <f>IF(AND(ISNUMBER(AB31),ISNUMBER(W31)),IFERROR(AB31/W31-1,""),"")</f>
        <v>0.0252525252525253</v>
      </c>
      <c r="AC32" s="255">
        <f>IF(AND(ISNUMBER(AC31),ISNUMBER(X31)),IFERROR(AC31/X31-1,""),"")</f>
        <v>0.0252525252525253</v>
      </c>
      <c r="AD32" s="255">
        <f>IF(AND(ISNUMBER(AD31),ISNUMBER(Y31)),IFERROR(AD31/Y31-1,""),"")</f>
        <v>0</v>
      </c>
      <c r="AE32" s="255">
        <f>IF(AND(ISNUMBER(AE31),ISNUMBER(Z31)),IFERROR(AE31/Z31-1,""),"")</f>
        <v>0.036697247706422</v>
      </c>
      <c r="AF32" s="255">
        <f>IF(AND(ISNUMBER(AF31),ISNUMBER(AA31)),IFERROR(AF31/AA31-1,""),"")</f>
        <v>0.0218712029161603</v>
      </c>
      <c r="AG32" s="255">
        <f>IF(AND(ISNUMBER(AG31),ISNUMBER(AB31)),IFERROR(AG31/AB31-1,""),"")</f>
        <v>0.12807881773399</v>
      </c>
      <c r="AH32" s="255">
        <f>IF(AND(ISNUMBER(AH31),ISNUMBER(AC31)),IFERROR(AH31/AC31-1,""),"")</f>
        <v>0.133004926108374</v>
      </c>
      <c r="AI32" s="255">
        <f>IF(AND(ISNUMBER(AI31),ISNUMBER(AD31)),IFERROR(AI31/AD31-1,""),"")</f>
        <v>0.0956937799043063</v>
      </c>
      <c r="AJ32" s="255">
        <f>IF(AND(ISNUMBER(AJ31),ISNUMBER(AE31)),IFERROR(AJ31/AE31-1,""),"")</f>
        <v>0.132743362831858</v>
      </c>
      <c r="AK32" s="255">
        <f>IF(AND(ISNUMBER(AK31),ISNUMBER(AF31)),IFERROR(AK31/AF31-1,""),"")</f>
        <v>0.122473246135553</v>
      </c>
      <c r="AL32" s="255">
        <f>IF(AND(ISNUMBER(AL31),ISNUMBER(AG31)),IFERROR(AL31/AG31-1,""),"")</f>
        <v>0.305676855895197</v>
      </c>
      <c r="AM32" s="255">
        <f>IF(AND(ISNUMBER(AM31),ISNUMBER(AH31)),IFERROR(AM31/AH31-1,""),"")</f>
        <v>0.421739130434783</v>
      </c>
      <c r="AN32" s="255">
        <f>IF(AND(ISNUMBER(AN31),ISNUMBER(AI31)),IFERROR(AN31/AI31-1,""),"")</f>
        <v>0.493449781659389</v>
      </c>
      <c r="AO32" s="255">
        <f>IF(AND(ISNUMBER(AO31),ISNUMBER(AJ31)),IFERROR(AO31/AJ31-1,""),"")</f>
        <v>0.34765625</v>
      </c>
      <c r="AP32" s="255">
        <f>IF(AND(ISNUMBER(AP31),ISNUMBER(AK31)),IFERROR(AP31/AK31-1,""),"")</f>
        <v>0.390889830508475</v>
      </c>
      <c r="AQ32" s="255">
        <f>IF(AND(ISNUMBER(AQ31),ISNUMBER(AL31)),IFERROR(AQ31/AL31-1,""),"")</f>
        <v>0.220735785953177</v>
      </c>
      <c r="AR32" s="255">
        <f>IF(AND(ISNUMBER(AR31),ISNUMBER(AM31)),IFERROR(AR31/AM31-1,""),"")</f>
        <v>0.198776758409786</v>
      </c>
      <c r="AS32" s="255">
        <f>IF(AND(ISNUMBER(AS31),ISNUMBER(AN31)),IFERROR(AS31/AN31-1,""),"")</f>
        <v>-0.0818713450292398</v>
      </c>
      <c r="AT32" s="255">
        <f>IF(AND(ISNUMBER(AT31),ISNUMBER(AO31)),IFERROR(AT31/AO31-1,""),"")</f>
        <v>0.0463768115942029</v>
      </c>
      <c r="AU32" s="255">
        <f>IF(AND(ISNUMBER(AU31),ISNUMBER(AP31)),IFERROR(AU31/AP31-1,""),"")</f>
        <v>0.0906321401370906</v>
      </c>
      <c r="AV32" s="255">
        <f>IF(AND(ISNUMBER(AV31),ISNUMBER(AQ31)),IFERROR(AV31/AQ31-1,""),"")</f>
        <v>0.0520547945205478</v>
      </c>
      <c r="AW32" s="255">
        <f>IF(AND(ISNUMBER(AW31),ISNUMBER(AR31)),IFERROR(AW31/AR31-1,""),"")</f>
        <v>0</v>
      </c>
      <c r="AX32" s="255">
        <f>IF(AND(ISNUMBER(AX31),ISNUMBER(AS31)),IFERROR(AX31/AS31-1,""),"")</f>
        <v>0.302547770700637</v>
      </c>
      <c r="AY32" s="255">
        <f>IF(AND(ISNUMBER(AY31),ISNUMBER(AT31)),IFERROR(AY31/AT31-1,""),"")</f>
        <v>0.357340720221607</v>
      </c>
      <c r="AZ32" s="255">
        <f>IF(AND(ISNUMBER(AZ31),ISNUMBER(AU31)),IFERROR(AZ31/AU31-1,""),"")</f>
        <v>0.169692737430168</v>
      </c>
      <c r="BA32" s="255">
        <f>IF(AND(ISNUMBER(BA31),ISNUMBER(AV31)),IFERROR(BA31/AV31-1,""),"")</f>
        <v>0.169270833333333</v>
      </c>
      <c r="BB32" s="255">
        <f>IF(AND(ISNUMBER(BB31),ISNUMBER(AW31)),IFERROR(BB31/AW31-1,""),"")</f>
        <v>0.209183673469388</v>
      </c>
      <c r="BC32" s="255">
        <f>IF(AND(ISNUMBER(BC31),ISNUMBER(AX31)),IFERROR(BC31/AX31-1,""),"")</f>
        <v>0.264058679706602</v>
      </c>
      <c r="BD32" s="255">
        <f>IF(AND(ISNUMBER(BD31),ISNUMBER(AY31)),IFERROR(BD31/AY31-1,""),"")</f>
        <v>0.124489795918367</v>
      </c>
      <c r="BE32" s="255">
        <f>IF(AND(ISNUMBER(BE31),ISNUMBER(AZ31)),IFERROR(BE31/AZ31-1,""),"")</f>
        <v>0.18865671641791</v>
      </c>
      <c r="BF32" s="255">
        <f>IF(AND(ISNUMBER(BF31),ISNUMBER(BA31)),IFERROR(BF31/BA31-1,""),"")</f>
        <v>0.307349665924276</v>
      </c>
      <c r="BG32" s="255">
        <f>IF(AND(ISNUMBER(BG31),ISNUMBER(BB31)),IFERROR(BG31/BB31-1,""),"")</f>
        <v>0.162447257383966</v>
      </c>
      <c r="BH32" s="255">
        <f>IF(AND(ISNUMBER(BH31),ISNUMBER(BC31)),IFERROR(BH31/BC31-1,""),"")</f>
        <v>0.154738878143133</v>
      </c>
      <c r="BI32" s="255">
        <f>IF(AND(ISNUMBER(BI31),ISNUMBER(BD31)),IFERROR(BI31/BD31-1,""),"")</f>
        <v>0.3502722323049</v>
      </c>
      <c r="BJ32" s="255">
        <f>IF(AND(ISNUMBER(BJ31),ISNUMBER(BE31)),IFERROR(BJ31/BE31-1,""),"")</f>
        <v>0.245102963335007</v>
      </c>
      <c r="BK32" s="255">
        <f>IF(AND(ISNUMBER(BK31),ISNUMBER(BF31)),IFERROR(BK31/BF31-1,""),"")</f>
        <v>0.178875638841567</v>
      </c>
      <c r="BL32" s="255">
        <f>IF(AND(ISNUMBER(BL31),ISNUMBER(BG31)),IFERROR(BL31/BG31-1,""),"")</f>
        <v>0.372050816696915</v>
      </c>
      <c r="BM32" s="255">
        <f>IF(AND(ISNUMBER(BM31),ISNUMBER(BH31)),IFERROR(BM31/BH31-1,""),"")</f>
        <v>0.306532663316583</v>
      </c>
      <c r="BN32" s="255">
        <f>IF(AND(ISNUMBER(BN31),ISNUMBER(BI31)),IFERROR(BN31/BI31-1,""),"")</f>
        <v>0.30241935483871</v>
      </c>
      <c r="BO32" s="255">
        <f>IF(AND(ISNUMBER(BO31),ISNUMBER(BJ31)),IFERROR(BO31/BJ31-1,""),"")</f>
        <v>0.289632916498588</v>
      </c>
      <c r="BP32" s="255">
        <f>IF(AND(ISNUMBER(BP31),ISNUMBER(BK31)),IFERROR(BP31/BK31-1,""),"")</f>
        <v>0.317919075144509</v>
      </c>
      <c r="BQ32" s="255">
        <f>IF(AND(ISNUMBER(BQ31),ISNUMBER(BL31)),IFERROR(BQ31/BL31-1,""),"")</f>
        <v>0.239417989417989</v>
      </c>
      <c r="BR32" s="255">
        <f>IF(AND(ISNUMBER(BR31),ISNUMBER(BM31)),IFERROR(BR31/BM31-1,""),"")</f>
        <v>0.317948717948718</v>
      </c>
      <c r="BS32" s="255">
        <f>IF(AND(ISNUMBER(BS31),ISNUMBER(BN31)),IFERROR(BS31/BN31-1,""),"")</f>
        <v>0.213622291021672</v>
      </c>
      <c r="BT32" s="255">
        <f>IF(AND(ISNUMBER(BT31),ISNUMBER(BO31)),IFERROR(BT31/BO31-1,""),"")</f>
        <v>0.267751016578042</v>
      </c>
      <c r="BU32" s="255">
        <f>IF(AND(ISNUMBER(BU31),ISNUMBER(BP31)),IFERROR(BU31/BP31-1,""),"")</f>
        <v>0.331140350877193</v>
      </c>
      <c r="BV32" s="255">
        <f>IF(AND(ISNUMBER(BV31),ISNUMBER(BQ31)),IFERROR(BV31/BQ31-1,""),"")</f>
        <v>0.408751334044824</v>
      </c>
      <c r="BW32" s="255">
        <f>IF(AND(ISNUMBER(BW31),ISNUMBER(BR31)),IFERROR(BW31/BR31-1,""),"")</f>
        <v>0.455252918287938</v>
      </c>
      <c r="BX32" s="256">
        <f>BX33+$BX$50</f>
        <v>0.374514436010596</v>
      </c>
      <c r="BY32" s="256">
        <f>IF(AND(ISNUMBER(BY31),ISNUMBER(BT31)),IFERROR(BY31/BT31-1,""),"")</f>
        <v>0.393148032753136</v>
      </c>
      <c r="BZ32" s="256">
        <f>CHOOSE(MATCH($CE$2,{"Bull","Base","Bear"},0),$CN$59,$CO$59,$CP$59)</f>
        <v>0.22</v>
      </c>
      <c r="CA32" s="256">
        <f>CHOOSE(MATCH($CE$2,{"Bull","Base","Bear"},0),$CN$60,$CO$60,$CP$60)</f>
        <v>0.18</v>
      </c>
      <c r="CB32" s="256">
        <f>CHOOSE(MATCH($CE$2,{"Bull","Base","Bear"},0),$CN$61,$CO$61,$CP$61)</f>
        <v>0.16</v>
      </c>
      <c r="CC32" s="256">
        <f>CHOOSE(MATCH($CE$2,{"Bull","Base","Bear"},0),$CN$62,$CO$62,$CP$62)</f>
        <v>0.14</v>
      </c>
      <c r="CD32" s="256">
        <f>CHOOSE(MATCH($CE$2,{"Bull","Base","Bear"},0),$CN$63,$CO$63,$CP$63)</f>
        <v>0.13</v>
      </c>
      <c r="CE32" s="153" t="n"/>
      <c r="CM32" s="25" t="inlineStr">
        <is>
          <t xml:space="preserve">  2030E</t>
        </is>
      </c>
      <c r="CN32" s="33">
        <f>CO32+$CN$28</f>
        <v>0.095</v>
      </c>
      <c r="CO32" s="42" t="n">
        <v>0.075</v>
      </c>
      <c r="CP32" s="33">
        <f>CO32+$CP$28</f>
        <v>0.045</v>
      </c>
    </row>
    <row r="33" ht="15" customHeight="1" s="251">
      <c r="B33" s="25" t="inlineStr">
        <is>
          <t xml:space="preserve">    Q4/26E growth before calibration (9M FY26 y/y)</t>
        </is>
      </c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  <c r="BI33" s="36" t="n"/>
      <c r="BJ33" s="36" t="n"/>
      <c r="BK33" s="36" t="n"/>
      <c r="BL33" s="36" t="n"/>
      <c r="BM33" s="36" t="n"/>
      <c r="BN33" s="36" t="n"/>
      <c r="BO33" s="36" t="n"/>
      <c r="BP33" s="36" t="n"/>
      <c r="BQ33" s="36" t="n"/>
      <c r="BR33" s="36" t="n"/>
      <c r="BS33" s="36" t="n"/>
      <c r="BT33" s="36" t="n"/>
      <c r="BU33" s="36" t="n"/>
      <c r="BV33" s="36" t="n"/>
      <c r="BW33" s="36" t="n"/>
      <c r="BX33" s="256">
        <f>IFERROR(SUM(BU31:BW31)/SUM(BP31:BR31)-1,0)</f>
        <v>0.400764685436218</v>
      </c>
      <c r="BY33" s="24" t="n"/>
      <c r="BZ33" s="46" t="n"/>
      <c r="CA33" s="46" t="n"/>
      <c r="CB33" s="46" t="n"/>
      <c r="CC33" s="46" t="n"/>
      <c r="CD33" s="46" t="n"/>
      <c r="CE33" s="19" t="inlineStr">
        <is>
          <t>Trend input: 9M FY26 ÷ 9M FY25 other revenue − 1.</t>
        </is>
      </c>
      <c r="CM33" s="25" t="inlineStr">
        <is>
          <t xml:space="preserve">  2031E</t>
        </is>
      </c>
      <c r="CN33" s="33">
        <f>CO33+$CN$28</f>
        <v>0.095</v>
      </c>
      <c r="CO33" s="42" t="n">
        <v>0.075</v>
      </c>
      <c r="CP33" s="33">
        <f>CO33+$CP$28</f>
        <v>0.045</v>
      </c>
    </row>
    <row r="34" ht="15" customHeight="1" s="251">
      <c r="B34" s="16" t="inlineStr">
        <is>
          <t xml:space="preserve">  Gross revenue</t>
        </is>
      </c>
      <c r="C34" s="264">
        <f>IF(ISNUMBER(C20),C20+C24+C28+C31,"")</f>
        <v>7424</v>
      </c>
      <c r="D34" s="264">
        <f>IF(ISNUMBER(D20),D20+D24+D28+D31,"")</f>
        <v>8145</v>
      </c>
      <c r="E34" s="264">
        <f>IF(ISNUMBER(E20),E20+E24+E28+E31,"")</f>
        <v>9625</v>
      </c>
      <c r="F34" s="264">
        <f>IF(ISNUMBER(F20),F20+F24+F28+F31,"")</f>
        <v>11068</v>
      </c>
      <c r="G34" s="264">
        <f>IF(ISNUMBER(G20),G20+G24+G28+G31,"")</f>
        <v>12576</v>
      </c>
      <c r="H34" s="264">
        <f>IF(ISNUMBER(H20),H20+H24+H28+H31,"")</f>
        <v>3399</v>
      </c>
      <c r="I34" s="264">
        <f>IF(ISNUMBER(I20),I20+I24+I28+I31,"")</f>
        <v>3525</v>
      </c>
      <c r="J34" s="264">
        <f>IF(ISNUMBER(J20),J20+J24+J28+J31,"")</f>
        <v>3522</v>
      </c>
      <c r="K34" s="264">
        <f>IF(ISNUMBER(K20),K20+K24+K28+K31,"")</f>
        <v>3653</v>
      </c>
      <c r="L34" s="264">
        <f>IF(ISNUMBER(L20),L20+L24+L28+L31,"")</f>
        <v>14099</v>
      </c>
      <c r="M34" s="264">
        <f>IF(ISNUMBER(M20),M20+M24+M28+M31,"")</f>
        <v>3754</v>
      </c>
      <c r="N34" s="264">
        <f>IF(ISNUMBER(N20),N20+N24+N28+N31,"")</f>
        <v>3750</v>
      </c>
      <c r="O34" s="264">
        <f>IF(ISNUMBER(O20),O20+O24+O28+O31,"")</f>
        <v>3793</v>
      </c>
      <c r="P34" s="264">
        <f>IF(ISNUMBER(P20),P20+P24+P28+P31,"")</f>
        <v>3997</v>
      </c>
      <c r="Q34" s="264">
        <f>IF(ISNUMBER(Q20),Q20+Q24+Q28+Q31,"")</f>
        <v>15294</v>
      </c>
      <c r="R34" s="264">
        <f>IF(ISNUMBER(R20),R20+R24+R28+R31,"")</f>
        <v>4095</v>
      </c>
      <c r="S34" s="264">
        <f>IF(ISNUMBER(S20),S20+S24+S28+S31,"")</f>
        <v>4085</v>
      </c>
      <c r="T34" s="264">
        <f>IF(ISNUMBER(T20),T20+T24+T28+T31,"")</f>
        <v>4188</v>
      </c>
      <c r="U34" s="264">
        <f>IF(ISNUMBER(U20),U20+U24+U28+U31,"")</f>
        <v>4373</v>
      </c>
      <c r="V34" s="264">
        <f>IF(ISNUMBER(V20),V20+V24+V28+V31,"")</f>
        <v>16741</v>
      </c>
      <c r="W34" s="264">
        <f>IF(ISNUMBER(W20),W20+W24+W28+W31,"")</f>
        <v>4353</v>
      </c>
      <c r="X34" s="264">
        <f>IF(ISNUMBER(X20),X20+X24+X28+X31,"")</f>
        <v>4415</v>
      </c>
      <c r="Y34" s="264">
        <f>IF(ISNUMBER(Y20),Y20+Y24+Y28+Y31,"")</f>
        <v>4469</v>
      </c>
      <c r="Z34" s="264">
        <f>IF(ISNUMBER(Z20),Z20+Z24+Z28+Z31,"")</f>
        <v>5254</v>
      </c>
      <c r="AA34" s="264">
        <f>IF(ISNUMBER(AA20),AA20+AA24+AA28+AA31,"")</f>
        <v>18491</v>
      </c>
      <c r="AB34" s="264">
        <f>IF(ISNUMBER(AB20),AB20+AB24+AB28+AB31,"")</f>
        <v>5502</v>
      </c>
      <c r="AC34" s="264">
        <f>IF(ISNUMBER(AC20),AC20+AC24+AC28+AC31,"")</f>
        <v>5508</v>
      </c>
      <c r="AD34" s="264">
        <f>IF(ISNUMBER(AD20),AD20+AD24+AD28+AD31,"")</f>
        <v>5712</v>
      </c>
      <c r="AE34" s="264">
        <f>IF(ISNUMBER(AE20),AE20+AE24+AE28+AE31,"")</f>
        <v>6201</v>
      </c>
      <c r="AF34" s="264">
        <f>IF(ISNUMBER(AF20),AF20+AF24+AF28+AF31,"")</f>
        <v>22923</v>
      </c>
      <c r="AG34" s="264">
        <f>IF(ISNUMBER(AG20),AG20+AG24+AG28+AG31,"")</f>
        <v>6188</v>
      </c>
      <c r="AH34" s="264">
        <f>IF(ISNUMBER(AH20),AH20+AH24+AH28+AH31,"")</f>
        <v>6362</v>
      </c>
      <c r="AI34" s="264">
        <f>IF(ISNUMBER(AI20),AI20+AI24+AI28+AI31,"")</f>
        <v>6614</v>
      </c>
      <c r="AJ34" s="264">
        <f>IF(ISNUMBER(AJ20),AJ20+AJ24+AJ28+AJ31,"")</f>
        <v>6936</v>
      </c>
      <c r="AK34" s="264">
        <f>IF(ISNUMBER(AK20),AK20+AK24+AK28+AK31,"")</f>
        <v>26100</v>
      </c>
      <c r="AL34" s="264">
        <f>IF(ISNUMBER(AL20),AL20+AL24+AL28+AL31,"")</f>
        <v>6962</v>
      </c>
      <c r="AM34" s="264">
        <f>IF(ISNUMBER(AM20),AM20+AM24+AM28+AM31,"")</f>
        <v>6972</v>
      </c>
      <c r="AN34" s="264">
        <f>IF(ISNUMBER(AN20),AN20+AN24+AN28+AN31,"")</f>
        <v>7386</v>
      </c>
      <c r="AO34" s="264">
        <f>IF(ISNUMBER(AO20),AO20+AO24+AO28+AO31,"")</f>
        <v>7830</v>
      </c>
      <c r="AP34" s="264">
        <f>IF(ISNUMBER(AP20),AP20+AP24+AP28+AP31,"")</f>
        <v>29150</v>
      </c>
      <c r="AQ34" s="264">
        <f>IF(ISNUMBER(AQ20),AQ20+AQ24+AQ28+AQ31,"")</f>
        <v>7802</v>
      </c>
      <c r="AR34" s="264">
        <f>IF(ISNUMBER(AR20),AR20+AR24+AR28+AR31,"")</f>
        <v>7559</v>
      </c>
      <c r="AS34" s="264">
        <f>IF(ISNUMBER(AS20),AS20+AS24+AS28+AS31,"")</f>
        <v>6350</v>
      </c>
      <c r="AT34" s="264">
        <f>IF(ISNUMBER(AT20),AT20+AT24+AT28+AT31,"")</f>
        <v>6799</v>
      </c>
      <c r="AU34" s="264">
        <f>IF(ISNUMBER(AU20),AU20+AU24+AU28+AU31,"")</f>
        <v>28510</v>
      </c>
      <c r="AV34" s="264">
        <f>IF(ISNUMBER(AV20),AV20+AV24+AV28+AV31,"")</f>
        <v>7545</v>
      </c>
      <c r="AW34" s="264">
        <f>IF(ISNUMBER(AW20),AW20+AW24+AW28+AW31,"")</f>
        <v>7721</v>
      </c>
      <c r="AX34" s="264">
        <f>IF(ISNUMBER(AX20),AX20+AX24+AX28+AX31,"")</f>
        <v>8260</v>
      </c>
      <c r="AY34" s="264">
        <f>IF(ISNUMBER(AY20),AY20+AY24+AY28+AY31,"")</f>
        <v>8946</v>
      </c>
      <c r="AZ34" s="264">
        <f>IF(ISNUMBER(AZ20),AZ20+AZ24+AZ28+AZ31,"")</f>
        <v>32472</v>
      </c>
      <c r="BA34" s="264">
        <f>IF(ISNUMBER(BA20),BA20+BA24+BA28+BA31,"")</f>
        <v>9430</v>
      </c>
      <c r="BB34" s="264">
        <f>IF(ISNUMBER(BB20),BB20+BB24+BB28+BB31,"")</f>
        <v>9683</v>
      </c>
      <c r="BC34" s="264">
        <f>IF(ISNUMBER(BC20),BC20+BC24+BC28+BC31,"")</f>
        <v>9845</v>
      </c>
      <c r="BD34" s="264">
        <f>IF(ISNUMBER(BD20),BD20+BD24+BD28+BD31,"")</f>
        <v>10647</v>
      </c>
      <c r="BE34" s="264">
        <f>IF(ISNUMBER(BE20),BE20+BE24+BE28+BE31,"")</f>
        <v>39605</v>
      </c>
      <c r="BF34" s="264">
        <f>IF(ISNUMBER(BF20),BF20+BF24+BF28+BF31,"")</f>
        <v>10722</v>
      </c>
      <c r="BG34" s="264">
        <f>IF(ISNUMBER(BG20),BG20+BG24+BG28+BG31,"")</f>
        <v>10890</v>
      </c>
      <c r="BH34" s="264">
        <f>IF(ISNUMBER(BH20),BH20+BH24+BH28+BH31,"")</f>
        <v>11290</v>
      </c>
      <c r="BI34" s="264">
        <f>IF(ISNUMBER(BI20),BI20+BI24+BI28+BI31,"")</f>
        <v>12048</v>
      </c>
      <c r="BJ34" s="264">
        <f>IF(ISNUMBER(BJ20),BJ20+BJ24+BJ28+BJ31,"")</f>
        <v>44950</v>
      </c>
      <c r="BK34" s="264">
        <f>IF(ISNUMBER(BK20),BK20+BK24+BK28+BK31,"")</f>
        <v>11982</v>
      </c>
      <c r="BL34" s="264">
        <f>IF(ISNUMBER(BL20),BL20+BL24+BL28+BL31,"")</f>
        <v>12032</v>
      </c>
      <c r="BM34" s="264">
        <f>IF(ISNUMBER(BM20),BM20+BM24+BM28+BM31,"")</f>
        <v>12430</v>
      </c>
      <c r="BN34" s="264">
        <f>IF(ISNUMBER(BN20),BN20+BN24+BN28+BN31,"")</f>
        <v>13246</v>
      </c>
      <c r="BO34" s="264">
        <f>IF(ISNUMBER(BO20),BO20+BO24+BO28+BO31,"")</f>
        <v>49690</v>
      </c>
      <c r="BP34" s="264">
        <f>IF(ISNUMBER(BP20),BP20+BP24+BP28+BP31,"")</f>
        <v>13307</v>
      </c>
      <c r="BQ34" s="264">
        <f>IF(ISNUMBER(BQ20),BQ20+BQ24+BQ28+BQ31,"")</f>
        <v>13328</v>
      </c>
      <c r="BR34" s="264">
        <f>IF(ISNUMBER(BR20),BR20+BR24+BR28+BR31,"")</f>
        <v>14144</v>
      </c>
      <c r="BS34" s="264">
        <f>IF(ISNUMBER(BS20),BS20+BS24+BS28+BS31,"")</f>
        <v>14972</v>
      </c>
      <c r="BT34" s="264">
        <f>IF(ISNUMBER(BT20),BT20+BT24+BT28+BT31,"")</f>
        <v>55751</v>
      </c>
      <c r="BU34" s="264">
        <f>IF(ISNUMBER(BU20),BU20+BU24+BU28+BU31,"")</f>
        <v>15170</v>
      </c>
      <c r="BV34" s="264">
        <f>IF(ISNUMBER(BV20),BV20+BV24+BV28+BV31,"")</f>
        <v>15475</v>
      </c>
      <c r="BW34" s="264">
        <f>IF(ISNUMBER(BW20),BW20+BW24+BW28+BW31,"")</f>
        <v>16313</v>
      </c>
      <c r="BX34" s="265">
        <f>IF(ISNUMBER(BX20),BX20+BX24+BX28+BX31,"")</f>
        <v>16892.2534986252</v>
      </c>
      <c r="BY34" s="265">
        <f>IF(ISNUMBER(BY20),BY20+BY24+BY28+BY31,"")</f>
        <v>63850.2534986252</v>
      </c>
      <c r="BZ34" s="265">
        <f>IF(ISNUMBER(BZ20),BZ20+BZ24+BZ28+BZ31,"")</f>
        <v>71232.7372671304</v>
      </c>
      <c r="CA34" s="265">
        <f>IF(ISNUMBER(CA20),CA20+CA24+CA28+CA31,"")</f>
        <v>79014.8844271838</v>
      </c>
      <c r="CB34" s="265">
        <f>IF(ISNUMBER(CB20),CB20+CB24+CB28+CB31,"")</f>
        <v>87069.8573282044</v>
      </c>
      <c r="CC34" s="265">
        <f>IF(ISNUMBER(CC20),CC20+CC24+CC28+CC31,"")</f>
        <v>95329.1861804059</v>
      </c>
      <c r="CD34" s="265">
        <f>IF(ISNUMBER(CD20),CD20+CD24+CD28+CD31,"")</f>
        <v>104072.273885673</v>
      </c>
      <c r="CE34" s="153" t="n"/>
      <c r="CG34" s="20">
        <f>IFERROR((CD34/BY34)^(1/5)-1,"n/m")</f>
        <v>0.10264187984354</v>
      </c>
      <c r="CH34" s="20">
        <f>IFERROR((BT34/AU34)^(1/5)-1,"n/m")</f>
        <v>0.143539284947443</v>
      </c>
      <c r="CI34" s="20">
        <f>IFERROR((BT34/V34)^(1/10)-1,"n/m")</f>
        <v>0.127839047712212</v>
      </c>
      <c r="CJ34" s="20">
        <f>IFERROR((BT34/C34)^(1/17)-1,"n/m")</f>
        <v>0.125917960424356</v>
      </c>
      <c r="CM34" s="15" t="inlineStr">
        <is>
          <t>PTX (processed transactions y/y)</t>
        </is>
      </c>
      <c r="CN34" s="41" t="n">
        <v>0.02</v>
      </c>
      <c r="CO34" s="21" t="inlineStr">
        <is>
          <t>Δ →</t>
        </is>
      </c>
      <c r="CP34" s="41" t="n">
        <v>-0.03</v>
      </c>
      <c r="CQ34" s="13" t="inlineStr">
        <is>
          <t>FY2023–25 +10–10.4%; 9M FY26 +9.1%. Tap-to-pay, e-commerce, new flows.</t>
        </is>
      </c>
    </row>
    <row r="35" ht="15" customHeight="1" s="251">
      <c r="B35" s="22" t="inlineStr">
        <is>
          <t xml:space="preserve">    Gross revenue y/y %</t>
        </is>
      </c>
      <c r="C35" s="23" t="n"/>
      <c r="D35" s="255">
        <f>IF(AND(ISNUMBER(D34),ISNUMBER(C34)),IFERROR(D34/C34-1,""),"")</f>
        <v>0.0971174568965518</v>
      </c>
      <c r="E35" s="255">
        <f>IF(AND(ISNUMBER(E34),ISNUMBER(D34)),IFERROR(E34/D34-1,""),"")</f>
        <v>0.1817065684469</v>
      </c>
      <c r="F35" s="255">
        <f>IF(AND(ISNUMBER(F34),ISNUMBER(E34)),IFERROR(F34/E34-1,""),"")</f>
        <v>0.149922077922078</v>
      </c>
      <c r="G35" s="255">
        <f>IF(AND(ISNUMBER(G34),ISNUMBER(F34)),IFERROR(G34/F34-1,""),"")</f>
        <v>0.136248644741597</v>
      </c>
      <c r="H35" s="23" t="n"/>
      <c r="I35" s="23" t="n"/>
      <c r="J35" s="23" t="n"/>
      <c r="K35" s="23" t="n"/>
      <c r="L35" s="255">
        <f>IF(AND(ISNUMBER(L34),ISNUMBER(G34)),IFERROR(L34/G34-1,""),"")</f>
        <v>0.12110368956743</v>
      </c>
      <c r="M35" s="255">
        <f>IF(AND(ISNUMBER(M34),ISNUMBER(H34)),IFERROR(M34/H34-1,""),"")</f>
        <v>0.10444248308326</v>
      </c>
      <c r="N35" s="255">
        <f>IF(AND(ISNUMBER(N34),ISNUMBER(I34)),IFERROR(N34/I34-1,""),"")</f>
        <v>0.0638297872340425</v>
      </c>
      <c r="O35" s="255">
        <f>IF(AND(ISNUMBER(O34),ISNUMBER(J34)),IFERROR(O34/J34-1,""),"")</f>
        <v>0.0769449176604202</v>
      </c>
      <c r="P35" s="255">
        <f>IF(AND(ISNUMBER(P34),ISNUMBER(K34)),IFERROR(P34/K34-1,""),"")</f>
        <v>0.0941691760197099</v>
      </c>
      <c r="Q35" s="255">
        <f>IF(AND(ISNUMBER(Q34),ISNUMBER(L34)),IFERROR(Q34/L34-1,""),"")</f>
        <v>0.0847577842400171</v>
      </c>
      <c r="R35" s="255">
        <f>IF(AND(ISNUMBER(R34),ISNUMBER(M34)),IFERROR(R34/M34-1,""),"")</f>
        <v>0.090836441129462</v>
      </c>
      <c r="S35" s="255">
        <f>IF(AND(ISNUMBER(S34),ISNUMBER(N34)),IFERROR(S34/N34-1,""),"")</f>
        <v>0.0893333333333333</v>
      </c>
      <c r="T35" s="255">
        <f>IF(AND(ISNUMBER(T34),ISNUMBER(O34)),IFERROR(T34/O34-1,""),"")</f>
        <v>0.104139203796467</v>
      </c>
      <c r="U35" s="255">
        <f>IF(AND(ISNUMBER(U34),ISNUMBER(P34)),IFERROR(U34/P34-1,""),"")</f>
        <v>0.0940705529146859</v>
      </c>
      <c r="V35" s="255">
        <f>IF(AND(ISNUMBER(V34),ISNUMBER(Q34)),IFERROR(V34/Q34-1,""),"")</f>
        <v>0.0946122662482019</v>
      </c>
      <c r="W35" s="255">
        <f>IF(AND(ISNUMBER(W34),ISNUMBER(R34)),IFERROR(W34/R34-1,""),"")</f>
        <v>0.063003663003663</v>
      </c>
      <c r="X35" s="255">
        <f>IF(AND(ISNUMBER(X34),ISNUMBER(S34)),IFERROR(X34/S34-1,""),"")</f>
        <v>0.0807833537331701</v>
      </c>
      <c r="Y35" s="255">
        <f>IF(AND(ISNUMBER(Y34),ISNUMBER(T34)),IFERROR(Y34/T34-1,""),"")</f>
        <v>0.0670964660936009</v>
      </c>
      <c r="Z35" s="255">
        <f>IF(AND(ISNUMBER(Z34),ISNUMBER(U34)),IFERROR(Z34/U34-1,""),"")</f>
        <v>0.201463526183398</v>
      </c>
      <c r="AA35" s="255">
        <f>IF(AND(ISNUMBER(AA34),ISNUMBER(V34)),IFERROR(AA34/V34-1,""),"")</f>
        <v>0.104533779344125</v>
      </c>
      <c r="AB35" s="255">
        <f>IF(AND(ISNUMBER(AB34),ISNUMBER(W34)),IFERROR(AB34/W34-1,""),"")</f>
        <v>0.263955892487939</v>
      </c>
      <c r="AC35" s="255">
        <f>IF(AND(ISNUMBER(AC34),ISNUMBER(X34)),IFERROR(AC34/X34-1,""),"")</f>
        <v>0.247565118912797</v>
      </c>
      <c r="AD35" s="255">
        <f>IF(AND(ISNUMBER(AD34),ISNUMBER(Y34)),IFERROR(AD34/Y34-1,""),"")</f>
        <v>0.278138285970016</v>
      </c>
      <c r="AE35" s="255">
        <f>IF(AND(ISNUMBER(AE34),ISNUMBER(Z34)),IFERROR(AE34/Z34-1,""),"")</f>
        <v>0.180243623905596</v>
      </c>
      <c r="AF35" s="255">
        <f>IF(AND(ISNUMBER(AF34),ISNUMBER(AA34)),IFERROR(AF34/AA34-1,""),"")</f>
        <v>0.239684170677627</v>
      </c>
      <c r="AG35" s="255">
        <f>IF(AND(ISNUMBER(AG34),ISNUMBER(AB34)),IFERROR(AG34/AB34-1,""),"")</f>
        <v>0.124681933842239</v>
      </c>
      <c r="AH35" s="255">
        <f>IF(AND(ISNUMBER(AH34),ISNUMBER(AC34)),IFERROR(AH34/AC34-1,""),"")</f>
        <v>0.155047204066812</v>
      </c>
      <c r="AI35" s="255">
        <f>IF(AND(ISNUMBER(AI34),ISNUMBER(AD34)),IFERROR(AI34/AD34-1,""),"")</f>
        <v>0.157913165266107</v>
      </c>
      <c r="AJ35" s="255">
        <f>IF(AND(ISNUMBER(AJ34),ISNUMBER(AE34)),IFERROR(AJ34/AE34-1,""),"")</f>
        <v>0.118529269472666</v>
      </c>
      <c r="AK35" s="255">
        <f>IF(AND(ISNUMBER(AK34),ISNUMBER(AF34)),IFERROR(AK34/AF34-1,""),"")</f>
        <v>0.138594424813506</v>
      </c>
      <c r="AL35" s="255">
        <f>IF(AND(ISNUMBER(AL34),ISNUMBER(AG34)),IFERROR(AL34/AG34-1,""),"")</f>
        <v>0.12508080155139</v>
      </c>
      <c r="AM35" s="255">
        <f>IF(AND(ISNUMBER(AM34),ISNUMBER(AH34)),IFERROR(AM34/AH34-1,""),"")</f>
        <v>0.095881798176674</v>
      </c>
      <c r="AN35" s="255">
        <f>IF(AND(ISNUMBER(AN34),ISNUMBER(AI34)),IFERROR(AN34/AI34-1,""),"")</f>
        <v>0.11672210462655</v>
      </c>
      <c r="AO35" s="255">
        <f>IF(AND(ISNUMBER(AO34),ISNUMBER(AJ34)),IFERROR(AO34/AJ34-1,""),"")</f>
        <v>0.128892733564014</v>
      </c>
      <c r="AP35" s="255">
        <f>IF(AND(ISNUMBER(AP34),ISNUMBER(AK34)),IFERROR(AP34/AK34-1,""),"")</f>
        <v>0.116858237547893</v>
      </c>
      <c r="AQ35" s="255">
        <f>IF(AND(ISNUMBER(AQ34),ISNUMBER(AL34)),IFERROR(AQ34/AL34-1,""),"")</f>
        <v>0.120654984199942</v>
      </c>
      <c r="AR35" s="255">
        <f>IF(AND(ISNUMBER(AR34),ISNUMBER(AM34)),IFERROR(AR34/AM34-1,""),"")</f>
        <v>0.0841939185312679</v>
      </c>
      <c r="AS35" s="255">
        <f>IF(AND(ISNUMBER(AS34),ISNUMBER(AN34)),IFERROR(AS34/AN34-1,""),"")</f>
        <v>-0.140265366910371</v>
      </c>
      <c r="AT35" s="255">
        <f>IF(AND(ISNUMBER(AT34),ISNUMBER(AO34)),IFERROR(AT34/AO34-1,""),"")</f>
        <v>-0.131673052362708</v>
      </c>
      <c r="AU35" s="255">
        <f>IF(AND(ISNUMBER(AU34),ISNUMBER(AP34)),IFERROR(AU34/AP34-1,""),"")</f>
        <v>-0.0219554030874786</v>
      </c>
      <c r="AV35" s="255">
        <f>IF(AND(ISNUMBER(AV34),ISNUMBER(AQ34)),IFERROR(AV34/AQ34-1,""),"")</f>
        <v>-0.0329402717251986</v>
      </c>
      <c r="AW35" s="255">
        <f>IF(AND(ISNUMBER(AW34),ISNUMBER(AR34)),IFERROR(AW34/AR34-1,""),"")</f>
        <v>0.0214314062706706</v>
      </c>
      <c r="AX35" s="255">
        <f>IF(AND(ISNUMBER(AX34),ISNUMBER(AS34)),IFERROR(AX34/AS34-1,""),"")</f>
        <v>0.300787401574803</v>
      </c>
      <c r="AY35" s="255">
        <f>IF(AND(ISNUMBER(AY34),ISNUMBER(AT34)),IFERROR(AY34/AT34-1,""),"")</f>
        <v>0.315781732607736</v>
      </c>
      <c r="AZ35" s="255">
        <f>IF(AND(ISNUMBER(AZ34),ISNUMBER(AU34)),IFERROR(AZ34/AU34-1,""),"")</f>
        <v>0.138968782883199</v>
      </c>
      <c r="BA35" s="255">
        <f>IF(AND(ISNUMBER(BA34),ISNUMBER(AV34)),IFERROR(BA34/AV34-1,""),"")</f>
        <v>0.249834327369119</v>
      </c>
      <c r="BB35" s="255">
        <f>IF(AND(ISNUMBER(BB34),ISNUMBER(AW34)),IFERROR(BB34/AW34-1,""),"")</f>
        <v>0.254112161637094</v>
      </c>
      <c r="BC35" s="255">
        <f>IF(AND(ISNUMBER(BC34),ISNUMBER(AX34)),IFERROR(BC34/AX34-1,""),"")</f>
        <v>0.191888619854722</v>
      </c>
      <c r="BD35" s="255">
        <f>IF(AND(ISNUMBER(BD34),ISNUMBER(AY34)),IFERROR(BD34/AY34-1,""),"")</f>
        <v>0.190140845070423</v>
      </c>
      <c r="BE35" s="255">
        <f>IF(AND(ISNUMBER(BE34),ISNUMBER(AZ34)),IFERROR(BE34/AZ34-1,""),"")</f>
        <v>0.219666173934467</v>
      </c>
      <c r="BF35" s="255">
        <f>IF(AND(ISNUMBER(BF34),ISNUMBER(BA34)),IFERROR(BF34/BA34-1,""),"")</f>
        <v>0.137009544008484</v>
      </c>
      <c r="BG35" s="255">
        <f>IF(AND(ISNUMBER(BG34),ISNUMBER(BB34)),IFERROR(BG34/BB34-1,""),"")</f>
        <v>0.124651450996592</v>
      </c>
      <c r="BH35" s="255">
        <f>IF(AND(ISNUMBER(BH34),ISNUMBER(BC34)),IFERROR(BH34/BC34-1,""),"")</f>
        <v>0.1467750126968</v>
      </c>
      <c r="BI35" s="255">
        <f>IF(AND(ISNUMBER(BI34),ISNUMBER(BD34)),IFERROR(BI34/BD34-1,""),"")</f>
        <v>0.131586362355593</v>
      </c>
      <c r="BJ35" s="255">
        <f>IF(AND(ISNUMBER(BJ34),ISNUMBER(BE34)),IFERROR(BJ34/BE34-1,""),"")</f>
        <v>0.134957707360182</v>
      </c>
      <c r="BK35" s="255">
        <f>IF(AND(ISNUMBER(BK34),ISNUMBER(BF34)),IFERROR(BK34/BF34-1,""),"")</f>
        <v>0.117515388919978</v>
      </c>
      <c r="BL35" s="255">
        <f>IF(AND(ISNUMBER(BL34),ISNUMBER(BG34)),IFERROR(BL34/BG34-1,""),"")</f>
        <v>0.104866850321396</v>
      </c>
      <c r="BM35" s="255">
        <f>IF(AND(ISNUMBER(BM34),ISNUMBER(BH34)),IFERROR(BM34/BH34-1,""),"")</f>
        <v>0.100974313551816</v>
      </c>
      <c r="BN35" s="255">
        <f>IF(AND(ISNUMBER(BN34),ISNUMBER(BI34)),IFERROR(BN34/BI34-1,""),"")</f>
        <v>0.0994355909694555</v>
      </c>
      <c r="BO35" s="255">
        <f>IF(AND(ISNUMBER(BO34),ISNUMBER(BJ34)),IFERROR(BO34/BJ34-1,""),"")</f>
        <v>0.105450500556173</v>
      </c>
      <c r="BP35" s="255">
        <f>IF(AND(ISNUMBER(BP34),ISNUMBER(BK34)),IFERROR(BP34/BK34-1,""),"")</f>
        <v>0.110582540477383</v>
      </c>
      <c r="BQ35" s="255">
        <f>IF(AND(ISNUMBER(BQ34),ISNUMBER(BL34)),IFERROR(BQ34/BL34-1,""),"")</f>
        <v>0.107712765957447</v>
      </c>
      <c r="BR35" s="255">
        <f>IF(AND(ISNUMBER(BR34),ISNUMBER(BM34)),IFERROR(BR34/BM34-1,""),"")</f>
        <v>0.137892196299276</v>
      </c>
      <c r="BS35" s="255">
        <f>IF(AND(ISNUMBER(BS34),ISNUMBER(BN34)),IFERROR(BS34/BN34-1,""),"")</f>
        <v>0.130303487845387</v>
      </c>
      <c r="BT35" s="255">
        <f>IF(AND(ISNUMBER(BT34),ISNUMBER(BO34)),IFERROR(BT34/BO34-1,""),"")</f>
        <v>0.121976252767156</v>
      </c>
      <c r="BU35" s="255">
        <f>IF(AND(ISNUMBER(BU34),ISNUMBER(BP34)),IFERROR(BU34/BP34-1,""),"")</f>
        <v>0.140001502968363</v>
      </c>
      <c r="BV35" s="255">
        <f>IF(AND(ISNUMBER(BV34),ISNUMBER(BQ34)),IFERROR(BV34/BQ34-1,""),"")</f>
        <v>0.16108943577431</v>
      </c>
      <c r="BW35" s="255">
        <f>IF(AND(ISNUMBER(BW34),ISNUMBER(BR34)),IFERROR(BW34/BR34-1,""),"")</f>
        <v>0.153351244343891</v>
      </c>
      <c r="BX35" s="256">
        <f>IF(AND(ISNUMBER(BX34),ISNUMBER(BS34)),IFERROR(BX34/BS34-1,""),"")</f>
        <v>0.128256311690168</v>
      </c>
      <c r="BY35" s="256">
        <f>IF(AND(ISNUMBER(BY34),ISNUMBER(BT34)),IFERROR(BY34/BT34-1,""),"")</f>
        <v>0.145275483823163</v>
      </c>
      <c r="BZ35" s="256">
        <f>IF(AND(ISNUMBER(BZ34),ISNUMBER(BY34)),IFERROR(BZ34/BY34-1,""),"")</f>
        <v>0.115621839601062</v>
      </c>
      <c r="CA35" s="256">
        <f>IF(AND(ISNUMBER(CA34),ISNUMBER(BZ34)),IFERROR(CA34/BZ34-1,""),"")</f>
        <v>0.109249587459618</v>
      </c>
      <c r="CB35" s="256">
        <f>IF(AND(ISNUMBER(CB34),ISNUMBER(CA34)),IFERROR(CB34/CA34-1,""),"")</f>
        <v>0.101942475261654</v>
      </c>
      <c r="CC35" s="256">
        <f>IF(AND(ISNUMBER(CC34),ISNUMBER(CB34)),IFERROR(CC34/CB34-1,""),"")</f>
        <v>0.0948586469031232</v>
      </c>
      <c r="CD35" s="256">
        <f>IF(AND(ISNUMBER(CD34),ISNUMBER(CC34)),IFERROR(CD34/CC34-1,""),"")</f>
        <v>0.0917146999316765</v>
      </c>
      <c r="CE35" s="153" t="n"/>
      <c r="CM35" s="25" t="inlineStr">
        <is>
          <t xml:space="preserve">  2027E</t>
        </is>
      </c>
      <c r="CN35" s="33">
        <f>CO35+$CN$34</f>
        <v>0.11</v>
      </c>
      <c r="CO35" s="42" t="n">
        <v>0.09</v>
      </c>
      <c r="CP35" s="33">
        <f>CO35+$CP$34</f>
        <v>0.06</v>
      </c>
    </row>
    <row r="36" ht="15" customHeight="1" s="251">
      <c r="B36" s="25" t="inlineStr">
        <is>
          <t xml:space="preserve">  Client incentives (deducted from gross revenue)</t>
        </is>
      </c>
      <c r="C36" s="253" t="n">
        <v>1161</v>
      </c>
      <c r="D36" s="253" t="n">
        <v>1234</v>
      </c>
      <c r="E36" s="253" t="n">
        <v>1560</v>
      </c>
      <c r="F36" s="253" t="n">
        <v>1880</v>
      </c>
      <c r="G36" s="253" t="n">
        <v>2155</v>
      </c>
      <c r="H36" s="253" t="n">
        <v>553</v>
      </c>
      <c r="I36" s="253" t="n">
        <v>567</v>
      </c>
      <c r="J36" s="253" t="n">
        <v>521</v>
      </c>
      <c r="K36" s="253" t="n">
        <v>680</v>
      </c>
      <c r="L36" s="253" t="n">
        <v>2321</v>
      </c>
      <c r="M36" s="253" t="n">
        <v>599</v>
      </c>
      <c r="N36" s="253" t="n">
        <v>587</v>
      </c>
      <c r="O36" s="253" t="n">
        <v>638</v>
      </c>
      <c r="P36" s="253" t="n">
        <v>768</v>
      </c>
      <c r="Q36" s="253" t="n">
        <v>2592</v>
      </c>
      <c r="R36" s="253" t="n">
        <v>713</v>
      </c>
      <c r="S36" s="253" t="n">
        <v>676</v>
      </c>
      <c r="T36" s="253" t="n">
        <v>670</v>
      </c>
      <c r="U36" s="253" t="n">
        <v>802</v>
      </c>
      <c r="V36" s="253" t="n">
        <v>2861</v>
      </c>
      <c r="W36" s="253" t="n">
        <v>788</v>
      </c>
      <c r="X36" s="253" t="n">
        <v>789</v>
      </c>
      <c r="Y36" s="253" t="n">
        <v>839</v>
      </c>
      <c r="Z36" s="253" t="n">
        <v>993</v>
      </c>
      <c r="AA36" s="253" t="n">
        <v>3409</v>
      </c>
      <c r="AB36" s="253" t="n">
        <v>1041</v>
      </c>
      <c r="AC36" s="253" t="n">
        <v>1031</v>
      </c>
      <c r="AD36" s="253" t="n">
        <v>1147</v>
      </c>
      <c r="AE36" s="253" t="n">
        <v>1346</v>
      </c>
      <c r="AF36" s="253" t="n">
        <v>4565</v>
      </c>
      <c r="AG36" s="253" t="n">
        <v>1326</v>
      </c>
      <c r="AH36" s="253" t="n">
        <v>1289</v>
      </c>
      <c r="AI36" s="253" t="n">
        <v>1374</v>
      </c>
      <c r="AJ36" s="253" t="n">
        <v>1502</v>
      </c>
      <c r="AK36" s="253" t="n">
        <v>5491</v>
      </c>
      <c r="AL36" s="253" t="n">
        <v>1456</v>
      </c>
      <c r="AM36" s="253" t="n">
        <v>1478</v>
      </c>
      <c r="AN36" s="253" t="n">
        <v>1546</v>
      </c>
      <c r="AO36" s="253" t="n">
        <v>1693</v>
      </c>
      <c r="AP36" s="253" t="n">
        <v>6173</v>
      </c>
      <c r="AQ36" s="253" t="n">
        <v>1748</v>
      </c>
      <c r="AR36" s="253" t="n">
        <v>1705</v>
      </c>
      <c r="AS36" s="253" t="n">
        <v>1513</v>
      </c>
      <c r="AT36" s="253" t="n">
        <v>1698</v>
      </c>
      <c r="AU36" s="253" t="n">
        <v>6664</v>
      </c>
      <c r="AV36" s="253" t="n">
        <v>1858</v>
      </c>
      <c r="AW36" s="253" t="n">
        <v>1992</v>
      </c>
      <c r="AX36" s="253" t="n">
        <v>2130</v>
      </c>
      <c r="AY36" s="253" t="n">
        <v>2387</v>
      </c>
      <c r="AZ36" s="253" t="n">
        <v>8367</v>
      </c>
      <c r="BA36" s="253" t="n">
        <v>2371</v>
      </c>
      <c r="BB36" s="253" t="n">
        <v>2494</v>
      </c>
      <c r="BC36" s="253" t="n">
        <v>2570</v>
      </c>
      <c r="BD36" s="253" t="n">
        <v>2860</v>
      </c>
      <c r="BE36" s="253" t="n">
        <v>10295</v>
      </c>
      <c r="BF36" s="253" t="n">
        <v>2786</v>
      </c>
      <c r="BG36" s="253" t="n">
        <v>2905</v>
      </c>
      <c r="BH36" s="253" t="n">
        <v>3167</v>
      </c>
      <c r="BI36" s="253" t="n">
        <v>3439</v>
      </c>
      <c r="BJ36" s="253" t="n">
        <v>12297</v>
      </c>
      <c r="BK36" s="253" t="n">
        <v>3348</v>
      </c>
      <c r="BL36" s="253" t="n">
        <v>3257</v>
      </c>
      <c r="BM36" s="253" t="n">
        <v>3530</v>
      </c>
      <c r="BN36" s="253" t="n">
        <v>3629</v>
      </c>
      <c r="BO36" s="253" t="n">
        <v>13764</v>
      </c>
      <c r="BP36" s="253" t="n">
        <v>3797</v>
      </c>
      <c r="BQ36" s="253" t="n">
        <v>3734</v>
      </c>
      <c r="BR36" s="253" t="n">
        <v>3972</v>
      </c>
      <c r="BS36" s="253" t="n">
        <v>4248</v>
      </c>
      <c r="BT36" s="253" t="n">
        <v>15751</v>
      </c>
      <c r="BU36" s="253" t="n">
        <v>4269</v>
      </c>
      <c r="BV36" s="253" t="n">
        <v>4245</v>
      </c>
      <c r="BW36" s="253" t="n">
        <v>4680</v>
      </c>
      <c r="BX36" s="254">
        <f>BX34*BX37</f>
        <v>4774.13349862519</v>
      </c>
      <c r="BY36" s="254">
        <f>SUM(BU36:BX36)</f>
        <v>17968.1334986252</v>
      </c>
      <c r="BZ36" s="254">
        <f>BZ34*BZ37</f>
        <v>20586.2610702007</v>
      </c>
      <c r="CA36" s="254">
        <f>CA34*CA37</f>
        <v>22993.3313683105</v>
      </c>
      <c r="CB36" s="254">
        <f>CB34*CB37</f>
        <v>25511.4681971639</v>
      </c>
      <c r="CC36" s="254">
        <f>CC34*CC37</f>
        <v>28122.1099232197</v>
      </c>
      <c r="CD36" s="254">
        <f>CD34*CD37</f>
        <v>30909.4653440448</v>
      </c>
      <c r="CE36" s="19" t="inlineStr">
        <is>
          <t>Contra-revenue: incentives to financial-institution clients and merchants ("volume and support incentives" to FY2012).</t>
        </is>
      </c>
      <c r="CG36" s="20">
        <f>IFERROR((CD36/BY36)^(1/5)-1,"n/m")</f>
        <v>0.114596578244934</v>
      </c>
      <c r="CH36" s="20">
        <f>IFERROR((BT36/AU36)^(1/5)-1,"n/m")</f>
        <v>0.187721528793259</v>
      </c>
      <c r="CI36" s="20">
        <f>IFERROR((BT36/V36)^(1/10)-1,"n/m")</f>
        <v>0.185984538870639</v>
      </c>
      <c r="CJ36" s="20">
        <f>IFERROR((BT36/C36)^(1/17)-1,"n/m")</f>
        <v>0.165779006181847</v>
      </c>
      <c r="CM36" s="25" t="inlineStr">
        <is>
          <t xml:space="preserve">  2028E</t>
        </is>
      </c>
      <c r="CN36" s="33">
        <f>CO36+$CN$34</f>
        <v>0.11</v>
      </c>
      <c r="CO36" s="42" t="n">
        <v>0.09</v>
      </c>
      <c r="CP36" s="33">
        <f>CO36+$CP$34</f>
        <v>0.06</v>
      </c>
    </row>
    <row r="37" ht="15" customHeight="1" s="251">
      <c r="B37" s="25" t="inlineStr">
        <is>
          <t xml:space="preserve">    Client incentives % of gross revenue</t>
        </is>
      </c>
      <c r="C37" s="215">
        <f>IF(AND(ISNUMBER(C36),ISNUMBER(C34)),IFERROR(C36/C34,""),"")</f>
        <v>0.156384698275862</v>
      </c>
      <c r="D37" s="215">
        <f>IF(AND(ISNUMBER(D36),ISNUMBER(D34)),IFERROR(D36/D34,""),"")</f>
        <v>0.151503990178023</v>
      </c>
      <c r="E37" s="215">
        <f>IF(AND(ISNUMBER(E36),ISNUMBER(E34)),IFERROR(E36/E34,""),"")</f>
        <v>0.162077922077922</v>
      </c>
      <c r="F37" s="215">
        <f>IF(AND(ISNUMBER(F36),ISNUMBER(F34)),IFERROR(F36/F34,""),"")</f>
        <v>0.169859053126129</v>
      </c>
      <c r="G37" s="215">
        <f>IF(AND(ISNUMBER(G36),ISNUMBER(G34)),IFERROR(G36/G34,""),"")</f>
        <v>0.171358142493639</v>
      </c>
      <c r="H37" s="215">
        <f>IF(AND(ISNUMBER(H36),ISNUMBER(H34)),IFERROR(H36/H34,""),"")</f>
        <v>0.162694910267726</v>
      </c>
      <c r="I37" s="215">
        <f>IF(AND(ISNUMBER(I36),ISNUMBER(I34)),IFERROR(I36/I34,""),"")</f>
        <v>0.160851063829787</v>
      </c>
      <c r="J37" s="215">
        <f>IF(AND(ISNUMBER(J36),ISNUMBER(J34)),IFERROR(J36/J34,""),"")</f>
        <v>0.147927314026122</v>
      </c>
      <c r="K37" s="215">
        <f>IF(AND(ISNUMBER(K36),ISNUMBER(K34)),IFERROR(K36/K34,""),"")</f>
        <v>0.186148371201752</v>
      </c>
      <c r="L37" s="215">
        <f>IF(AND(ISNUMBER(L36),ISNUMBER(L34)),IFERROR(L36/L34,""),"")</f>
        <v>0.164621604369104</v>
      </c>
      <c r="M37" s="215">
        <f>IF(AND(ISNUMBER(M36),ISNUMBER(M34)),IFERROR(M36/M34,""),"")</f>
        <v>0.159563132658498</v>
      </c>
      <c r="N37" s="215">
        <f>IF(AND(ISNUMBER(N36),ISNUMBER(N34)),IFERROR(N36/N34,""),"")</f>
        <v>0.156533333333333</v>
      </c>
      <c r="O37" s="215">
        <f>IF(AND(ISNUMBER(O36),ISNUMBER(O34)),IFERROR(O36/O34,""),"")</f>
        <v>0.168204587397838</v>
      </c>
      <c r="P37" s="215">
        <f>IF(AND(ISNUMBER(P36),ISNUMBER(P34)),IFERROR(P36/P34,""),"")</f>
        <v>0.192144108081061</v>
      </c>
      <c r="Q37" s="215">
        <f>IF(AND(ISNUMBER(Q36),ISNUMBER(Q34)),IFERROR(Q36/Q34,""),"")</f>
        <v>0.16947822675559</v>
      </c>
      <c r="R37" s="215">
        <f>IF(AND(ISNUMBER(R36),ISNUMBER(R34)),IFERROR(R36/R34,""),"")</f>
        <v>0.174114774114774</v>
      </c>
      <c r="S37" s="215">
        <f>IF(AND(ISNUMBER(S36),ISNUMBER(S34)),IFERROR(S36/S34,""),"")</f>
        <v>0.165483476132191</v>
      </c>
      <c r="T37" s="215">
        <f>IF(AND(ISNUMBER(T36),ISNUMBER(T34)),IFERROR(T36/T34,""),"")</f>
        <v>0.159980897803247</v>
      </c>
      <c r="U37" s="215">
        <f>IF(AND(ISNUMBER(U36),ISNUMBER(U34)),IFERROR(U36/U34,""),"")</f>
        <v>0.183398124857078</v>
      </c>
      <c r="V37" s="215">
        <f>IF(AND(ISNUMBER(V36),ISNUMBER(V34)),IFERROR(V36/V34,""),"")</f>
        <v>0.170897795830596</v>
      </c>
      <c r="W37" s="215">
        <f>IF(AND(ISNUMBER(W36),ISNUMBER(W34)),IFERROR(W36/W34,""),"")</f>
        <v>0.181024580748909</v>
      </c>
      <c r="X37" s="215">
        <f>IF(AND(ISNUMBER(X36),ISNUMBER(X34)),IFERROR(X36/X34,""),"")</f>
        <v>0.178708946772367</v>
      </c>
      <c r="Y37" s="215">
        <f>IF(AND(ISNUMBER(Y36),ISNUMBER(Y34)),IFERROR(Y36/Y34,""),"")</f>
        <v>0.187737748937122</v>
      </c>
      <c r="Z37" s="215">
        <f>IF(AND(ISNUMBER(Z36),ISNUMBER(Z34)),IFERROR(Z36/Z34,""),"")</f>
        <v>0.188998858012943</v>
      </c>
      <c r="AA37" s="215">
        <f>IF(AND(ISNUMBER(AA36),ISNUMBER(AA34)),IFERROR(AA36/AA34,""),"")</f>
        <v>0.184359958898924</v>
      </c>
      <c r="AB37" s="215">
        <f>IF(AND(ISNUMBER(AB36),ISNUMBER(AB34)),IFERROR(AB36/AB34,""),"")</f>
        <v>0.189203925845147</v>
      </c>
      <c r="AC37" s="215">
        <f>IF(AND(ISNUMBER(AC36),ISNUMBER(AC34)),IFERROR(AC36/AC34,""),"")</f>
        <v>0.187182280319535</v>
      </c>
      <c r="AD37" s="215">
        <f>IF(AND(ISNUMBER(AD36),ISNUMBER(AD34)),IFERROR(AD36/AD34,""),"")</f>
        <v>0.200805322128852</v>
      </c>
      <c r="AE37" s="215">
        <f>IF(AND(ISNUMBER(AE36),ISNUMBER(AE34)),IFERROR(AE36/AE34,""),"")</f>
        <v>0.217061764231576</v>
      </c>
      <c r="AF37" s="215">
        <f>IF(AND(ISNUMBER(AF36),ISNUMBER(AF34)),IFERROR(AF36/AF34,""),"")</f>
        <v>0.199144963573703</v>
      </c>
      <c r="AG37" s="215">
        <f>IF(AND(ISNUMBER(AG36),ISNUMBER(AG34)),IFERROR(AG36/AG34,""),"")</f>
        <v>0.214285714285714</v>
      </c>
      <c r="AH37" s="215">
        <f>IF(AND(ISNUMBER(AH36),ISNUMBER(AH34)),IFERROR(AH36/AH34,""),"")</f>
        <v>0.202609242376611</v>
      </c>
      <c r="AI37" s="215">
        <f>IF(AND(ISNUMBER(AI36),ISNUMBER(AI34)),IFERROR(AI36/AI34,""),"")</f>
        <v>0.207741155125491</v>
      </c>
      <c r="AJ37" s="215">
        <f>IF(AND(ISNUMBER(AJ36),ISNUMBER(AJ34)),IFERROR(AJ36/AJ34,""),"")</f>
        <v>0.216551326412918</v>
      </c>
      <c r="AK37" s="215">
        <f>IF(AND(ISNUMBER(AK36),ISNUMBER(AK34)),IFERROR(AK36/AK34,""),"")</f>
        <v>0.210383141762452</v>
      </c>
      <c r="AL37" s="215">
        <f>IF(AND(ISNUMBER(AL36),ISNUMBER(AL34)),IFERROR(AL36/AL34,""),"")</f>
        <v>0.209135305946567</v>
      </c>
      <c r="AM37" s="215">
        <f>IF(AND(ISNUMBER(AM36),ISNUMBER(AM34)),IFERROR(AM36/AM34,""),"")</f>
        <v>0.211990820424555</v>
      </c>
      <c r="AN37" s="215">
        <f>IF(AND(ISNUMBER(AN36),ISNUMBER(AN34)),IFERROR(AN36/AN34,""),"")</f>
        <v>0.209314920119144</v>
      </c>
      <c r="AO37" s="215">
        <f>IF(AND(ISNUMBER(AO36),ISNUMBER(AO34)),IFERROR(AO36/AO34,""),"")</f>
        <v>0.216219667943806</v>
      </c>
      <c r="AP37" s="215">
        <f>IF(AND(ISNUMBER(AP36),ISNUMBER(AP34)),IFERROR(AP36/AP34,""),"")</f>
        <v>0.211766723842196</v>
      </c>
      <c r="AQ37" s="215">
        <f>IF(AND(ISNUMBER(AQ36),ISNUMBER(AQ34)),IFERROR(AQ36/AQ34,""),"")</f>
        <v>0.22404511663676</v>
      </c>
      <c r="AR37" s="215">
        <f>IF(AND(ISNUMBER(AR36),ISNUMBER(AR34)),IFERROR(AR36/AR34,""),"")</f>
        <v>0.225558936367244</v>
      </c>
      <c r="AS37" s="215">
        <f>IF(AND(ISNUMBER(AS36),ISNUMBER(AS34)),IFERROR(AS36/AS34,""),"")</f>
        <v>0.238267716535433</v>
      </c>
      <c r="AT37" s="215">
        <f>IF(AND(ISNUMBER(AT36),ISNUMBER(AT34)),IFERROR(AT36/AT34,""),"")</f>
        <v>0.249742609207236</v>
      </c>
      <c r="AU37" s="215">
        <f>IF(AND(ISNUMBER(AU36),ISNUMBER(AU34)),IFERROR(AU36/AU34,""),"")</f>
        <v>0.233742546474921</v>
      </c>
      <c r="AV37" s="215">
        <f>IF(AND(ISNUMBER(AV36),ISNUMBER(AV34)),IFERROR(AV36/AV34,""),"")</f>
        <v>0.246255798542081</v>
      </c>
      <c r="AW37" s="215">
        <f>IF(AND(ISNUMBER(AW36),ISNUMBER(AW34)),IFERROR(AW36/AW34,""),"")</f>
        <v>0.257997668695765</v>
      </c>
      <c r="AX37" s="215">
        <f>IF(AND(ISNUMBER(AX36),ISNUMBER(AX34)),IFERROR(AX36/AX34,""),"")</f>
        <v>0.257869249394673</v>
      </c>
      <c r="AY37" s="215">
        <f>IF(AND(ISNUMBER(AY36),ISNUMBER(AY34)),IFERROR(AY36/AY34,""),"")</f>
        <v>0.266823161189358</v>
      </c>
      <c r="AZ37" s="215">
        <f>IF(AND(ISNUMBER(AZ36),ISNUMBER(AZ34)),IFERROR(AZ36/AZ34,""),"")</f>
        <v>0.257668144863267</v>
      </c>
      <c r="BA37" s="215">
        <f>IF(AND(ISNUMBER(BA36),ISNUMBER(BA34)),IFERROR(BA36/BA34,""),"")</f>
        <v>0.251431601272534</v>
      </c>
      <c r="BB37" s="215">
        <f>IF(AND(ISNUMBER(BB36),ISNUMBER(BB34)),IFERROR(BB36/BB34,""),"")</f>
        <v>0.257564804296189</v>
      </c>
      <c r="BC37" s="215">
        <f>IF(AND(ISNUMBER(BC36),ISNUMBER(BC34)),IFERROR(BC36/BC34,""),"")</f>
        <v>0.261046216353479</v>
      </c>
      <c r="BD37" s="215">
        <f>IF(AND(ISNUMBER(BD36),ISNUMBER(BD34)),IFERROR(BD36/BD34,""),"")</f>
        <v>0.268620268620269</v>
      </c>
      <c r="BE37" s="215">
        <f>IF(AND(ISNUMBER(BE36),ISNUMBER(BE34)),IFERROR(BE36/BE34,""),"")</f>
        <v>0.259941926524429</v>
      </c>
      <c r="BF37" s="215">
        <f>IF(AND(ISNUMBER(BF36),ISNUMBER(BF34)),IFERROR(BF36/BF34,""),"")</f>
        <v>0.259839582167506</v>
      </c>
      <c r="BG37" s="215">
        <f>IF(AND(ISNUMBER(BG36),ISNUMBER(BG34)),IFERROR(BG36/BG34,""),"")</f>
        <v>0.266758494031221</v>
      </c>
      <c r="BH37" s="215">
        <f>IF(AND(ISNUMBER(BH36),ISNUMBER(BH34)),IFERROR(BH36/BH34,""),"")</f>
        <v>0.280513728963685</v>
      </c>
      <c r="BI37" s="215">
        <f>IF(AND(ISNUMBER(BI36),ISNUMBER(BI34)),IFERROR(BI36/BI34,""),"")</f>
        <v>0.285441567065073</v>
      </c>
      <c r="BJ37" s="215">
        <f>IF(AND(ISNUMBER(BJ36),ISNUMBER(BJ34)),IFERROR(BJ36/BJ34,""),"")</f>
        <v>0.27357063403782</v>
      </c>
      <c r="BK37" s="215">
        <f>IF(AND(ISNUMBER(BK36),ISNUMBER(BK34)),IFERROR(BK36/BK34,""),"")</f>
        <v>0.27941912869304</v>
      </c>
      <c r="BL37" s="215">
        <f>IF(AND(ISNUMBER(BL36),ISNUMBER(BL34)),IFERROR(BL36/BL34,""),"")</f>
        <v>0.270694813829787</v>
      </c>
      <c r="BM37" s="215">
        <f>IF(AND(ISNUMBER(BM36),ISNUMBER(BM34)),IFERROR(BM36/BM34,""),"")</f>
        <v>0.283990345937249</v>
      </c>
      <c r="BN37" s="215">
        <f>IF(AND(ISNUMBER(BN36),ISNUMBER(BN34)),IFERROR(BN36/BN34,""),"")</f>
        <v>0.273969500226484</v>
      </c>
      <c r="BO37" s="215">
        <f>IF(AND(ISNUMBER(BO36),ISNUMBER(BO34)),IFERROR(BO36/BO34,""),"")</f>
        <v>0.276997383779433</v>
      </c>
      <c r="BP37" s="215">
        <f>IF(AND(ISNUMBER(BP36),ISNUMBER(BP34)),IFERROR(BP36/BP34,""),"")</f>
        <v>0.285338543623657</v>
      </c>
      <c r="BQ37" s="215">
        <f>IF(AND(ISNUMBER(BQ36),ISNUMBER(BQ34)),IFERROR(BQ36/BQ34,""),"")</f>
        <v>0.28016206482593</v>
      </c>
      <c r="BR37" s="215">
        <f>IF(AND(ISNUMBER(BR36),ISNUMBER(BR34)),IFERROR(BR36/BR34,""),"")</f>
        <v>0.280825791855204</v>
      </c>
      <c r="BS37" s="215">
        <f>IF(AND(ISNUMBER(BS36),ISNUMBER(BS34)),IFERROR(BS36/BS34,""),"")</f>
        <v>0.283729628640128</v>
      </c>
      <c r="BT37" s="215">
        <f>IF(AND(ISNUMBER(BT36),ISNUMBER(BT34)),IFERROR(BT36/BT34,""),"")</f>
        <v>0.282524080285555</v>
      </c>
      <c r="BU37" s="215">
        <f>IF(AND(ISNUMBER(BU36),ISNUMBER(BU34)),IFERROR(BU36/BU34,""),"")</f>
        <v>0.281410678971655</v>
      </c>
      <c r="BV37" s="215">
        <f>IF(AND(ISNUMBER(BV36),ISNUMBER(BV34)),IFERROR(BV36/BV34,""),"")</f>
        <v>0.274313408723748</v>
      </c>
      <c r="BW37" s="215">
        <f>IF(AND(ISNUMBER(BW36),ISNUMBER(BW34)),IFERROR(BW36/BW34,""),"")</f>
        <v>0.286887758229633</v>
      </c>
      <c r="BX37" s="256">
        <f>BS37+IFERROR(SUM(BU36:BW36)/SUM(BU34:BW34)-SUM(BP36:BR36)/SUM(BP34:BR34),0)</f>
        <v>0.282622652981957</v>
      </c>
      <c r="BY37" s="256">
        <f>IF(AND(ISNUMBER(BY36),ISNUMBER(BY34)),IFERROR(BY36/BY34,""),"")</f>
        <v>0.281410527195669</v>
      </c>
      <c r="BZ37" s="256">
        <f>CHOOSE(MATCH($CE$2,{"Bull","Base","Bear"},0),$CN$65,$CO$65,$CP$65)</f>
        <v>0.289</v>
      </c>
      <c r="CA37" s="256">
        <f>CHOOSE(MATCH($CE$2,{"Bull","Base","Bear"},0),$CN$66,$CO$66,$CP$66)</f>
        <v>0.291</v>
      </c>
      <c r="CB37" s="256">
        <f>CHOOSE(MATCH($CE$2,{"Bull","Base","Bear"},0),$CN$67,$CO$67,$CP$67)</f>
        <v>0.293</v>
      </c>
      <c r="CC37" s="256">
        <f>CHOOSE(MATCH($CE$2,{"Bull","Base","Bear"},0),$CN$68,$CO$68,$CP$68)</f>
        <v>0.295</v>
      </c>
      <c r="CD37" s="256">
        <f>CHOOSE(MATCH($CE$2,{"Bull","Base","Bear"},0),$CN$69,$CO$69,$CP$69)</f>
        <v>0.297</v>
      </c>
      <c r="CE37" s="153" t="inlineStr">
        <is>
          <t>Q4/26E: prior-year quarter + 9M FY26 y/y drift. 2027E+: scenario lever (renewals; FY2025 28.0%).</t>
        </is>
      </c>
      <c r="CG37" s="37">
        <f>IFERROR(AVERAGE(BZ37,CA37,CB37,CC37,CD37),"n/m")</f>
        <v>0.293</v>
      </c>
      <c r="CH37" s="37">
        <f>IFERROR(AVERAGE(AZ37,BE37,BJ37,BO37,BT37),"n/m")</f>
        <v>0.270140433898101</v>
      </c>
      <c r="CI37" s="37">
        <f>IFERROR(AVERAGE(AA37,AF37,AK37,AP37,AU37,AZ37,BE37,BJ37,BO37,BT37),"n/m")</f>
        <v>0.23900995040427</v>
      </c>
      <c r="CJ37" s="37">
        <f>IFERROR(AVERAGE(C37,D37,E37,F37,G37,L37,Q37,V37,AA37,AF37,AK37,AP37,AU37,AZ37,BE37,BJ37,BO37,BT37),"n/m")</f>
        <v>0.205904496508309</v>
      </c>
      <c r="CM37" s="25" t="inlineStr">
        <is>
          <t xml:space="preserve">  2029E</t>
        </is>
      </c>
      <c r="CN37" s="33">
        <f>CO37+$CN$34</f>
        <v>0.105</v>
      </c>
      <c r="CO37" s="42" t="n">
        <v>0.08500000000000001</v>
      </c>
      <c r="CP37" s="33">
        <f>CO37+$CP$34</f>
        <v>0.055</v>
      </c>
    </row>
    <row r="38" ht="15" customHeight="1" s="251">
      <c r="B38" s="25" t="inlineStr">
        <is>
          <t xml:space="preserve">  Revenue from future acquisitions (M&amp;A lever)</t>
        </is>
      </c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  <c r="BA38" s="34" t="n"/>
      <c r="BB38" s="34" t="n"/>
      <c r="BC38" s="34" t="n"/>
      <c r="BD38" s="34" t="n"/>
      <c r="BE38" s="34" t="n"/>
      <c r="BF38" s="34" t="n"/>
      <c r="BG38" s="34" t="n"/>
      <c r="BH38" s="34" t="n"/>
      <c r="BI38" s="34" t="n"/>
      <c r="BJ38" s="34" t="n"/>
      <c r="BK38" s="34" t="n"/>
      <c r="BL38" s="34" t="n"/>
      <c r="BM38" s="34" t="n"/>
      <c r="BN38" s="34" t="n"/>
      <c r="BO38" s="34" t="n"/>
      <c r="BP38" s="34" t="n"/>
      <c r="BQ38" s="34" t="n"/>
      <c r="BR38" s="34" t="n"/>
      <c r="BS38" s="34" t="n"/>
      <c r="BT38" s="34" t="n"/>
      <c r="BU38" s="34" t="n"/>
      <c r="BV38" s="34" t="n"/>
      <c r="BW38" s="34" t="n"/>
      <c r="BX38" s="254">
        <f>N(BX78)</f>
        <v>0</v>
      </c>
      <c r="BY38" s="254">
        <f>N(BY78)</f>
        <v>0</v>
      </c>
      <c r="BZ38" s="254">
        <f>N(BZ78)</f>
        <v>62.5</v>
      </c>
      <c r="CA38" s="254">
        <f>N(CA78)</f>
        <v>206.25</v>
      </c>
      <c r="CB38" s="254">
        <f>N(CB78)</f>
        <v>371.5625</v>
      </c>
      <c r="CC38" s="254">
        <f>N(CC78)</f>
        <v>561.671875</v>
      </c>
      <c r="CD38" s="254">
        <f>N(CD78)</f>
        <v>780.29765625</v>
      </c>
      <c r="CE38" s="19" t="n"/>
      <c r="CM38" s="25" t="inlineStr">
        <is>
          <t xml:space="preserve">  2030E</t>
        </is>
      </c>
      <c r="CN38" s="33">
        <f>CO38+$CN$34</f>
        <v>0.1</v>
      </c>
      <c r="CO38" s="42" t="n">
        <v>0.08</v>
      </c>
      <c r="CP38" s="33">
        <f>CO38+$CP$34</f>
        <v>0.05</v>
      </c>
    </row>
    <row r="39" ht="15" customHeight="1" s="251">
      <c r="B39" s="55" t="inlineStr">
        <is>
          <t>Net revenue (build)</t>
        </is>
      </c>
      <c r="C39" s="266">
        <f>IF(ISNUMBER(C34),C34-C36,C113)</f>
        <v>6263</v>
      </c>
      <c r="D39" s="266">
        <f>IF(ISNUMBER(D34),D34-D36,D113)</f>
        <v>6911</v>
      </c>
      <c r="E39" s="266">
        <f>IF(ISNUMBER(E34),E34-E36,E113)</f>
        <v>8065</v>
      </c>
      <c r="F39" s="266">
        <f>IF(ISNUMBER(F34),F34-F36,F113)</f>
        <v>9188</v>
      </c>
      <c r="G39" s="266">
        <f>IF(ISNUMBER(G34),G34-G36,G113)</f>
        <v>10421</v>
      </c>
      <c r="H39" s="266">
        <f>IF(ISNUMBER(H34),H34-H36,H113)</f>
        <v>2846</v>
      </c>
      <c r="I39" s="266">
        <f>IF(ISNUMBER(I34),I34-I36,I113)</f>
        <v>2958</v>
      </c>
      <c r="J39" s="266">
        <f>IF(ISNUMBER(J34),J34-J36,J113)</f>
        <v>3001</v>
      </c>
      <c r="K39" s="266">
        <f>IF(ISNUMBER(K34),K34-K36,K113)</f>
        <v>2973</v>
      </c>
      <c r="L39" s="266">
        <f>IF(ISNUMBER(L34),L34-L36,L113)</f>
        <v>11778</v>
      </c>
      <c r="M39" s="266">
        <f>IF(ISNUMBER(M34),M34-M36,M113)</f>
        <v>3155</v>
      </c>
      <c r="N39" s="266">
        <f>IF(ISNUMBER(N34),N34-N36,N113)</f>
        <v>3163</v>
      </c>
      <c r="O39" s="266">
        <f>IF(ISNUMBER(O34),O34-O36,O113)</f>
        <v>3155</v>
      </c>
      <c r="P39" s="266">
        <f>IF(ISNUMBER(P34),P34-P36,P113)</f>
        <v>3229</v>
      </c>
      <c r="Q39" s="266">
        <f>IF(ISNUMBER(Q34),Q34-Q36,Q113)</f>
        <v>12702</v>
      </c>
      <c r="R39" s="266">
        <f>IF(ISNUMBER(R34),R34-R36,R113)</f>
        <v>3382</v>
      </c>
      <c r="S39" s="266">
        <f>IF(ISNUMBER(S34),S34-S36,S113)</f>
        <v>3409</v>
      </c>
      <c r="T39" s="266">
        <f>IF(ISNUMBER(T34),T34-T36,T113)</f>
        <v>3518</v>
      </c>
      <c r="U39" s="266">
        <f>IF(ISNUMBER(U34),U34-U36,U113)</f>
        <v>3571</v>
      </c>
      <c r="V39" s="266">
        <f>IF(ISNUMBER(V34),V34-V36,V113)</f>
        <v>13880</v>
      </c>
      <c r="W39" s="266">
        <f>IF(ISNUMBER(W34),W34-W36,W113)</f>
        <v>3565</v>
      </c>
      <c r="X39" s="266">
        <f>IF(ISNUMBER(X34),X34-X36,X113)</f>
        <v>3626</v>
      </c>
      <c r="Y39" s="266">
        <f>IF(ISNUMBER(Y34),Y34-Y36,Y113)</f>
        <v>3630</v>
      </c>
      <c r="Z39" s="266">
        <f>IF(ISNUMBER(Z34),Z34-Z36,Z113)</f>
        <v>4261</v>
      </c>
      <c r="AA39" s="266">
        <f>IF(ISNUMBER(AA34),AA34-AA36,AA113)</f>
        <v>15082</v>
      </c>
      <c r="AB39" s="266">
        <f>IF(ISNUMBER(AB34),AB34-AB36,AB113)</f>
        <v>4461</v>
      </c>
      <c r="AC39" s="266">
        <f>IF(ISNUMBER(AC34),AC34-AC36,AC113)</f>
        <v>4477</v>
      </c>
      <c r="AD39" s="266">
        <f>IF(ISNUMBER(AD34),AD34-AD36,AD113)</f>
        <v>4565</v>
      </c>
      <c r="AE39" s="266">
        <f>IF(ISNUMBER(AE34),AE34-AE36,AE113)</f>
        <v>4855</v>
      </c>
      <c r="AF39" s="266">
        <f>IF(ISNUMBER(AF34),AF34-AF36,AF113)</f>
        <v>18358</v>
      </c>
      <c r="AG39" s="266">
        <f>IF(ISNUMBER(AG34),AG34-AG36,AG113)</f>
        <v>4862</v>
      </c>
      <c r="AH39" s="266">
        <f>IF(ISNUMBER(AH34),AH34-AH36,AH113)</f>
        <v>5073</v>
      </c>
      <c r="AI39" s="266">
        <f>IF(ISNUMBER(AI34),AI34-AI36,AI113)</f>
        <v>5240</v>
      </c>
      <c r="AJ39" s="266">
        <f>IF(ISNUMBER(AJ34),AJ34-AJ36,AJ113)</f>
        <v>5434</v>
      </c>
      <c r="AK39" s="266">
        <f>IF(ISNUMBER(AK34),AK34-AK36,AK113)</f>
        <v>20609</v>
      </c>
      <c r="AL39" s="266">
        <f>IF(ISNUMBER(AL34),AL34-AL36,AL113)</f>
        <v>5506</v>
      </c>
      <c r="AM39" s="266">
        <f>IF(ISNUMBER(AM34),AM34-AM36,AM113)</f>
        <v>5494</v>
      </c>
      <c r="AN39" s="266">
        <f>IF(ISNUMBER(AN34),AN34-AN36,AN113)</f>
        <v>5840</v>
      </c>
      <c r="AO39" s="266">
        <f>IF(ISNUMBER(AO34),AO34-AO36,AO113)</f>
        <v>6137</v>
      </c>
      <c r="AP39" s="266">
        <f>IF(ISNUMBER(AP34),AP34-AP36,AP113)</f>
        <v>22977</v>
      </c>
      <c r="AQ39" s="266">
        <f>IF(ISNUMBER(AQ34),AQ34-AQ36,AQ113)</f>
        <v>6054</v>
      </c>
      <c r="AR39" s="266">
        <f>IF(ISNUMBER(AR34),AR34-AR36,AR113)</f>
        <v>5854</v>
      </c>
      <c r="AS39" s="266">
        <f>IF(ISNUMBER(AS34),AS34-AS36,AS113)</f>
        <v>4837</v>
      </c>
      <c r="AT39" s="266">
        <f>IF(ISNUMBER(AT34),AT34-AT36,AT113)</f>
        <v>5101</v>
      </c>
      <c r="AU39" s="266">
        <f>IF(ISNUMBER(AU34),AU34-AU36,AU113)</f>
        <v>21846</v>
      </c>
      <c r="AV39" s="266">
        <f>IF(ISNUMBER(AV34),AV34-AV36,AV113)</f>
        <v>5687</v>
      </c>
      <c r="AW39" s="266">
        <f>IF(ISNUMBER(AW34),AW34-AW36,AW113)</f>
        <v>5729</v>
      </c>
      <c r="AX39" s="266">
        <f>IF(ISNUMBER(AX34),AX34-AX36,AX113)</f>
        <v>6130</v>
      </c>
      <c r="AY39" s="266">
        <f>IF(ISNUMBER(AY34),AY34-AY36,AY113)</f>
        <v>6559</v>
      </c>
      <c r="AZ39" s="266">
        <f>IF(ISNUMBER(AZ34),AZ34-AZ36,AZ113)</f>
        <v>24105</v>
      </c>
      <c r="BA39" s="266">
        <f>IF(ISNUMBER(BA34),BA34-BA36,BA113)</f>
        <v>7059</v>
      </c>
      <c r="BB39" s="266">
        <f>IF(ISNUMBER(BB34),BB34-BB36,BB113)</f>
        <v>7189</v>
      </c>
      <c r="BC39" s="266">
        <f>IF(ISNUMBER(BC34),BC34-BC36,BC113)</f>
        <v>7275</v>
      </c>
      <c r="BD39" s="266">
        <f>IF(ISNUMBER(BD34),BD34-BD36,BD113)</f>
        <v>7787</v>
      </c>
      <c r="BE39" s="266">
        <f>IF(ISNUMBER(BE34),BE34-BE36,BE113)</f>
        <v>29310</v>
      </c>
      <c r="BF39" s="266">
        <f>IF(ISNUMBER(BF34),BF34-BF36,BF113)</f>
        <v>7936</v>
      </c>
      <c r="BG39" s="266">
        <f>IF(ISNUMBER(BG34),BG34-BG36,BG113)</f>
        <v>7985</v>
      </c>
      <c r="BH39" s="266">
        <f>IF(ISNUMBER(BH34),BH34-BH36,BH113)</f>
        <v>8123</v>
      </c>
      <c r="BI39" s="266">
        <f>IF(ISNUMBER(BI34),BI34-BI36,BI113)</f>
        <v>8609</v>
      </c>
      <c r="BJ39" s="266">
        <f>IF(ISNUMBER(BJ34),BJ34-BJ36,BJ113)</f>
        <v>32653</v>
      </c>
      <c r="BK39" s="266">
        <f>IF(ISNUMBER(BK34),BK34-BK36,BK113)</f>
        <v>8634</v>
      </c>
      <c r="BL39" s="266">
        <f>IF(ISNUMBER(BL34),BL34-BL36,BL113)</f>
        <v>8775</v>
      </c>
      <c r="BM39" s="266">
        <f>IF(ISNUMBER(BM34),BM34-BM36,BM113)</f>
        <v>8900</v>
      </c>
      <c r="BN39" s="266">
        <f>IF(ISNUMBER(BN34),BN34-BN36,BN113)</f>
        <v>9617</v>
      </c>
      <c r="BO39" s="266">
        <f>IF(ISNUMBER(BO34),BO34-BO36,BO113)</f>
        <v>35926</v>
      </c>
      <c r="BP39" s="266">
        <f>IF(ISNUMBER(BP34),BP34-BP36,BP113)</f>
        <v>9510</v>
      </c>
      <c r="BQ39" s="266">
        <f>IF(ISNUMBER(BQ34),BQ34-BQ36,BQ113)</f>
        <v>9594</v>
      </c>
      <c r="BR39" s="266">
        <f>IF(ISNUMBER(BR34),BR34-BR36,BR113)</f>
        <v>10172</v>
      </c>
      <c r="BS39" s="266">
        <f>IF(ISNUMBER(BS34),BS34-BS36,BS113)</f>
        <v>10724</v>
      </c>
      <c r="BT39" s="266">
        <f>IF(ISNUMBER(BT34),BT34-BT36,BT113)</f>
        <v>40000</v>
      </c>
      <c r="BU39" s="266">
        <f>IF(ISNUMBER(BU34),BU34-BU36,BU113)</f>
        <v>10901</v>
      </c>
      <c r="BV39" s="266">
        <f>IF(ISNUMBER(BV34),BV34-BV36,BV113)</f>
        <v>11230</v>
      </c>
      <c r="BW39" s="266">
        <f>IF(ISNUMBER(BW34),BW34-BW36,BW113)</f>
        <v>11633</v>
      </c>
      <c r="BX39" s="266">
        <f>BX34-BX36+BX38</f>
        <v>12118.12</v>
      </c>
      <c r="BY39" s="266">
        <f>SUM(BU39:BX39)</f>
        <v>45882.12</v>
      </c>
      <c r="BZ39" s="266">
        <f>BZ34-BZ36+BZ38</f>
        <v>50708.9761969297</v>
      </c>
      <c r="CA39" s="266">
        <f>CA34-CA36+CA38</f>
        <v>56227.8030588733</v>
      </c>
      <c r="CB39" s="266">
        <f>CB34-CB36+CB38</f>
        <v>61929.9516310405</v>
      </c>
      <c r="CC39" s="266">
        <f>CC34-CC36+CC38</f>
        <v>67768.7481321861</v>
      </c>
      <c r="CD39" s="266">
        <f>CD34-CD36+CD38</f>
        <v>73943.1061978779</v>
      </c>
      <c r="CE39" s="153" t="inlineStr">
        <is>
          <t>Gross revenue − client incentives (+ future acquisitions from 2027E). Drives the income statement.</t>
        </is>
      </c>
      <c r="CG39" s="20">
        <f>IFERROR((CD39/BY39)^(1/5)-1,"n/m")</f>
        <v>0.100147314080238</v>
      </c>
      <c r="CH39" s="20">
        <f>IFERROR((BT39/AU39)^(1/5)-1,"n/m")</f>
        <v>0.128593676004242</v>
      </c>
      <c r="CI39" s="20">
        <f>IFERROR((BT39/V39)^(1/10)-1,"n/m")</f>
        <v>0.111647389648976</v>
      </c>
      <c r="CJ39" s="20">
        <f>IFERROR((BT39/C39)^(1/17)-1,"n/m")</f>
        <v>0.11524239238905</v>
      </c>
      <c r="CM39" s="25" t="inlineStr">
        <is>
          <t xml:space="preserve">  2031E</t>
        </is>
      </c>
      <c r="CN39" s="33">
        <f>CO39+$CN$34</f>
        <v>0.1</v>
      </c>
      <c r="CO39" s="42" t="n">
        <v>0.08</v>
      </c>
      <c r="CP39" s="33">
        <f>CO39+$CP$34</f>
        <v>0.05</v>
      </c>
    </row>
    <row r="40" ht="15" customHeight="1" s="251">
      <c r="B40" s="22" t="inlineStr">
        <is>
          <t xml:space="preserve">  Net revenue y/y %</t>
        </is>
      </c>
      <c r="C40" s="23" t="n"/>
      <c r="D40" s="255">
        <f>IF(AND(ISNUMBER(D39),ISNUMBER(C39)),IFERROR(D39/C39-1,""),"")</f>
        <v>0.103464793230081</v>
      </c>
      <c r="E40" s="255">
        <f>IF(AND(ISNUMBER(E39),ISNUMBER(D39)),IFERROR(E39/D39-1,""),"")</f>
        <v>0.166980176530169</v>
      </c>
      <c r="F40" s="255">
        <f>IF(AND(ISNUMBER(F39),ISNUMBER(E39)),IFERROR(F39/E39-1,""),"")</f>
        <v>0.139243645381277</v>
      </c>
      <c r="G40" s="255">
        <f>IF(AND(ISNUMBER(G39),ISNUMBER(F39)),IFERROR(G39/F39-1,""),"")</f>
        <v>0.134196778406617</v>
      </c>
      <c r="H40" s="23" t="n"/>
      <c r="I40" s="23" t="n"/>
      <c r="J40" s="23" t="n"/>
      <c r="K40" s="23" t="n"/>
      <c r="L40" s="255">
        <f>IF(AND(ISNUMBER(L39),ISNUMBER(G39)),IFERROR(L39/G39-1,""),"")</f>
        <v>0.130217829382977</v>
      </c>
      <c r="M40" s="255">
        <f>IF(AND(ISNUMBER(M39),ISNUMBER(H39)),IFERROR(M39/H39-1,""),"")</f>
        <v>0.108573436401968</v>
      </c>
      <c r="N40" s="255">
        <f>IF(AND(ISNUMBER(N39),ISNUMBER(I39)),IFERROR(N39/I39-1,""),"")</f>
        <v>0.0693035835023665</v>
      </c>
      <c r="O40" s="255">
        <f>IF(AND(ISNUMBER(O39),ISNUMBER(J39)),IFERROR(O39/J39-1,""),"")</f>
        <v>0.0513162279240254</v>
      </c>
      <c r="P40" s="255">
        <f>IF(AND(ISNUMBER(P39),ISNUMBER(K39)),IFERROR(P39/K39-1,""),"")</f>
        <v>0.0861083081062899</v>
      </c>
      <c r="Q40" s="255">
        <f>IF(AND(ISNUMBER(Q39),ISNUMBER(L39)),IFERROR(Q39/L39-1,""),"")</f>
        <v>0.0784513499745287</v>
      </c>
      <c r="R40" s="255">
        <f>IF(AND(ISNUMBER(R39),ISNUMBER(M39)),IFERROR(R39/M39-1,""),"")</f>
        <v>0.0719492868462757</v>
      </c>
      <c r="S40" s="255">
        <f>IF(AND(ISNUMBER(S39),ISNUMBER(N39)),IFERROR(S39/N39-1,""),"")</f>
        <v>0.0777742649383497</v>
      </c>
      <c r="T40" s="255">
        <f>IF(AND(ISNUMBER(T39),ISNUMBER(O39)),IFERROR(T39/O39-1,""),"")</f>
        <v>0.115055467511886</v>
      </c>
      <c r="U40" s="255">
        <f>IF(AND(ISNUMBER(U39),ISNUMBER(P39)),IFERROR(U39/P39-1,""),"")</f>
        <v>0.105915144007433</v>
      </c>
      <c r="V40" s="255">
        <f>IF(AND(ISNUMBER(V39),ISNUMBER(Q39)),IFERROR(V39/Q39-1,""),"")</f>
        <v>0.0927413005825855</v>
      </c>
      <c r="W40" s="255">
        <f>IF(AND(ISNUMBER(W39),ISNUMBER(R39)),IFERROR(W39/R39-1,""),"")</f>
        <v>0.0541099940863394</v>
      </c>
      <c r="X40" s="255">
        <f>IF(AND(ISNUMBER(X39),ISNUMBER(S39)),IFERROR(X39/S39-1,""),"")</f>
        <v>0.0636550308008215</v>
      </c>
      <c r="Y40" s="255">
        <f>IF(AND(ISNUMBER(Y39),ISNUMBER(T39)),IFERROR(Y39/T39-1,""),"")</f>
        <v>0.0318362706083002</v>
      </c>
      <c r="Z40" s="255">
        <f>IF(AND(ISNUMBER(Z39),ISNUMBER(U39)),IFERROR(Z39/U39-1,""),"")</f>
        <v>0.193223186782414</v>
      </c>
      <c r="AA40" s="255">
        <f>IF(AND(ISNUMBER(AA39),ISNUMBER(V39)),IFERROR(AA39/V39-1,""),"")</f>
        <v>0.0865994236311238</v>
      </c>
      <c r="AB40" s="255">
        <f>IF(AND(ISNUMBER(AB39),ISNUMBER(W39)),IFERROR(AB39/W39-1,""),"")</f>
        <v>0.251332398316971</v>
      </c>
      <c r="AC40" s="255">
        <f>IF(AND(ISNUMBER(AC39),ISNUMBER(X39)),IFERROR(AC39/X39-1,""),"")</f>
        <v>0.23469387755102</v>
      </c>
      <c r="AD40" s="255">
        <f>IF(AND(ISNUMBER(AD39),ISNUMBER(Y39)),IFERROR(AD39/Y39-1,""),"")</f>
        <v>0.257575757575758</v>
      </c>
      <c r="AE40" s="255">
        <f>IF(AND(ISNUMBER(AE39),ISNUMBER(Z39)),IFERROR(AE39/Z39-1,""),"")</f>
        <v>0.139403895799108</v>
      </c>
      <c r="AF40" s="255">
        <f>IF(AND(ISNUMBER(AF39),ISNUMBER(AA39)),IFERROR(AF39/AA39-1,""),"")</f>
        <v>0.217212571277019</v>
      </c>
      <c r="AG40" s="255">
        <f>IF(AND(ISNUMBER(AG39),ISNUMBER(AB39)),IFERROR(AG39/AB39-1,""),"")</f>
        <v>0.0898901591571397</v>
      </c>
      <c r="AH40" s="255">
        <f>IF(AND(ISNUMBER(AH39),ISNUMBER(AC39)),IFERROR(AH39/AC39-1,""),"")</f>
        <v>0.133124860397588</v>
      </c>
      <c r="AI40" s="255">
        <f>IF(AND(ISNUMBER(AI39),ISNUMBER(AD39)),IFERROR(AI39/AD39-1,""),"")</f>
        <v>0.147864184008762</v>
      </c>
      <c r="AJ40" s="255">
        <f>IF(AND(ISNUMBER(AJ39),ISNUMBER(AE39)),IFERROR(AJ39/AE39-1,""),"")</f>
        <v>0.119258496395469</v>
      </c>
      <c r="AK40" s="255">
        <f>IF(AND(ISNUMBER(AK39),ISNUMBER(AF39)),IFERROR(AK39/AF39-1,""),"")</f>
        <v>0.122616842793333</v>
      </c>
      <c r="AL40" s="255">
        <f>IF(AND(ISNUMBER(AL39),ISNUMBER(AG39)),IFERROR(AL39/AG39-1,""),"")</f>
        <v>0.132455779514603</v>
      </c>
      <c r="AM40" s="255">
        <f>IF(AND(ISNUMBER(AM39),ISNUMBER(AH39)),IFERROR(AM39/AH39-1,""),"")</f>
        <v>0.0829883698009069</v>
      </c>
      <c r="AN40" s="255">
        <f>IF(AND(ISNUMBER(AN39),ISNUMBER(AI39)),IFERROR(AN39/AI39-1,""),"")</f>
        <v>0.114503816793893</v>
      </c>
      <c r="AO40" s="255">
        <f>IF(AND(ISNUMBER(AO39),ISNUMBER(AJ39)),IFERROR(AO39/AJ39-1,""),"")</f>
        <v>0.129370629370629</v>
      </c>
      <c r="AP40" s="255">
        <f>IF(AND(ISNUMBER(AP39),ISNUMBER(AK39)),IFERROR(AP39/AK39-1,""),"")</f>
        <v>0.114901256732495</v>
      </c>
      <c r="AQ40" s="255">
        <f>IF(AND(ISNUMBER(AQ39),ISNUMBER(AL39)),IFERROR(AQ39/AL39-1,""),"")</f>
        <v>0.0995277878677805</v>
      </c>
      <c r="AR40" s="255">
        <f>IF(AND(ISNUMBER(AR39),ISNUMBER(AM39)),IFERROR(AR39/AM39-1,""),"")</f>
        <v>0.0655260283946124</v>
      </c>
      <c r="AS40" s="255">
        <f>IF(AND(ISNUMBER(AS39),ISNUMBER(AN39)),IFERROR(AS39/AN39-1,""),"")</f>
        <v>-0.171746575342466</v>
      </c>
      <c r="AT40" s="255">
        <f>IF(AND(ISNUMBER(AT39),ISNUMBER(AO39)),IFERROR(AT39/AO39-1,""),"")</f>
        <v>-0.168812123187225</v>
      </c>
      <c r="AU40" s="255">
        <f>IF(AND(ISNUMBER(AU39),ISNUMBER(AP39)),IFERROR(AU39/AP39-1,""),"")</f>
        <v>-0.0492231361796579</v>
      </c>
      <c r="AV40" s="255">
        <f>IF(AND(ISNUMBER(AV39),ISNUMBER(AQ39)),IFERROR(AV39/AQ39-1,""),"")</f>
        <v>-0.0606210769739015</v>
      </c>
      <c r="AW40" s="255">
        <f>IF(AND(ISNUMBER(AW39),ISNUMBER(AR39)),IFERROR(AW39/AR39-1,""),"")</f>
        <v>-0.0213529210796037</v>
      </c>
      <c r="AX40" s="255">
        <f>IF(AND(ISNUMBER(AX39),ISNUMBER(AS39)),IFERROR(AX39/AS39-1,""),"")</f>
        <v>0.267314451106057</v>
      </c>
      <c r="AY40" s="255">
        <f>IF(AND(ISNUMBER(AY39),ISNUMBER(AT39)),IFERROR(AY39/AT39-1,""),"")</f>
        <v>0.285826308566948</v>
      </c>
      <c r="AZ40" s="255">
        <f>IF(AND(ISNUMBER(AZ39),ISNUMBER(AU39)),IFERROR(AZ39/AU39-1,""),"")</f>
        <v>0.103405657786322</v>
      </c>
      <c r="BA40" s="255">
        <f>IF(AND(ISNUMBER(BA39),ISNUMBER(AV39)),IFERROR(BA39/AV39-1,""),"")</f>
        <v>0.241251978195885</v>
      </c>
      <c r="BB40" s="255">
        <f>IF(AND(ISNUMBER(BB39),ISNUMBER(AW39)),IFERROR(BB39/AW39-1,""),"")</f>
        <v>0.254843777273521</v>
      </c>
      <c r="BC40" s="255">
        <f>IF(AND(ISNUMBER(BC39),ISNUMBER(AX39)),IFERROR(BC39/AX39-1,""),"")</f>
        <v>0.186786296900489</v>
      </c>
      <c r="BD40" s="255">
        <f>IF(AND(ISNUMBER(BD39),ISNUMBER(AY39)),IFERROR(BD39/AY39-1,""),"")</f>
        <v>0.187223662143619</v>
      </c>
      <c r="BE40" s="255">
        <f>IF(AND(ISNUMBER(BE39),ISNUMBER(AZ39)),IFERROR(BE39/AZ39-1,""),"")</f>
        <v>0.215930304915993</v>
      </c>
      <c r="BF40" s="255">
        <f>IF(AND(ISNUMBER(BF39),ISNUMBER(BA39)),IFERROR(BF39/BA39-1,""),"")</f>
        <v>0.124238560702649</v>
      </c>
      <c r="BG40" s="255">
        <f>IF(AND(ISNUMBER(BG39),ISNUMBER(BB39)),IFERROR(BG39/BB39-1,""),"")</f>
        <v>0.110724718319655</v>
      </c>
      <c r="BH40" s="255">
        <f>IF(AND(ISNUMBER(BH39),ISNUMBER(BC39)),IFERROR(BH39/BC39-1,""),"")</f>
        <v>0.116563573883161</v>
      </c>
      <c r="BI40" s="255">
        <f>IF(AND(ISNUMBER(BI39),ISNUMBER(BD39)),IFERROR(BI39/BD39-1,""),"")</f>
        <v>0.105560549634005</v>
      </c>
      <c r="BJ40" s="255">
        <f>IF(AND(ISNUMBER(BJ39),ISNUMBER(BE39)),IFERROR(BJ39/BE39-1,""),"")</f>
        <v>0.114056635960423</v>
      </c>
      <c r="BK40" s="255">
        <f>IF(AND(ISNUMBER(BK39),ISNUMBER(BF39)),IFERROR(BK39/BF39-1,""),"")</f>
        <v>0.087953629032258</v>
      </c>
      <c r="BL40" s="255">
        <f>IF(AND(ISNUMBER(BL39),ISNUMBER(BG39)),IFERROR(BL39/BG39-1,""),"")</f>
        <v>0.0989355040701314</v>
      </c>
      <c r="BM40" s="255">
        <f>IF(AND(ISNUMBER(BM39),ISNUMBER(BH39)),IFERROR(BM39/BH39-1,""),"")</f>
        <v>0.0956543149082851</v>
      </c>
      <c r="BN40" s="255">
        <f>IF(AND(ISNUMBER(BN39),ISNUMBER(BI39)),IFERROR(BN39/BI39-1,""),"")</f>
        <v>0.117086769659658</v>
      </c>
      <c r="BO40" s="255">
        <f>IF(AND(ISNUMBER(BO39),ISNUMBER(BJ39)),IFERROR(BO39/BJ39-1,""),"")</f>
        <v>0.100235812942149</v>
      </c>
      <c r="BP40" s="255">
        <f>IF(AND(ISNUMBER(BP39),ISNUMBER(BK39)),IFERROR(BP39/BK39-1,""),"")</f>
        <v>0.101459346768589</v>
      </c>
      <c r="BQ40" s="255">
        <f>IF(AND(ISNUMBER(BQ39),ISNUMBER(BL39)),IFERROR(BQ39/BL39-1,""),"")</f>
        <v>0.0933333333333333</v>
      </c>
      <c r="BR40" s="255">
        <f>IF(AND(ISNUMBER(BR39),ISNUMBER(BM39)),IFERROR(BR39/BM39-1,""),"")</f>
        <v>0.142921348314607</v>
      </c>
      <c r="BS40" s="255">
        <f>IF(AND(ISNUMBER(BS39),ISNUMBER(BN39)),IFERROR(BS39/BN39-1,""),"")</f>
        <v>0.115108661744827</v>
      </c>
      <c r="BT40" s="255">
        <f>IF(AND(ISNUMBER(BT39),ISNUMBER(BO39)),IFERROR(BT39/BO39-1,""),"")</f>
        <v>0.113399766186049</v>
      </c>
      <c r="BU40" s="255">
        <f>IF(AND(ISNUMBER(BU39),ISNUMBER(BP39)),IFERROR(BU39/BP39-1,""),"")</f>
        <v>0.146267087276551</v>
      </c>
      <c r="BV40" s="255">
        <f>IF(AND(ISNUMBER(BV39),ISNUMBER(BQ39)),IFERROR(BV39/BQ39-1,""),"")</f>
        <v>0.170523243693975</v>
      </c>
      <c r="BW40" s="255">
        <f>IF(AND(ISNUMBER(BW39),ISNUMBER(BR39)),IFERROR(BW39/BR39-1,""),"")</f>
        <v>0.143629571372395</v>
      </c>
      <c r="BX40" s="256">
        <f>IF(AND(ISNUMBER(BX39),ISNUMBER(BS39)),IFERROR(BX39/BS39-1,""),"")</f>
        <v>0.13</v>
      </c>
      <c r="BY40" s="256">
        <f>IF(AND(ISNUMBER(BY39),ISNUMBER(BT39)),IFERROR(BY39/BT39-1,""),"")</f>
        <v>0.147053</v>
      </c>
      <c r="BZ40" s="256">
        <f>IF(AND(ISNUMBER(BZ39),ISNUMBER(BY39)),IFERROR(BZ39/BY39-1,""),"")</f>
        <v>0.105201246083</v>
      </c>
      <c r="CA40" s="256">
        <f>IF(AND(ISNUMBER(CA39),ISNUMBER(BZ39)),IFERROR(CA39/BZ39-1,""),"")</f>
        <v>0.108833332396834</v>
      </c>
      <c r="CB40" s="256">
        <f>IF(AND(ISNUMBER(CB39),ISNUMBER(CA39)),IFERROR(CB39/CA39-1,""),"")</f>
        <v>0.101411548414879</v>
      </c>
      <c r="CC40" s="256">
        <f>IF(AND(ISNUMBER(CC39),ISNUMBER(CB39)),IFERROR(CC39/CB39-1,""),"")</f>
        <v>0.094280656570368</v>
      </c>
      <c r="CD40" s="256">
        <f>IF(AND(ISNUMBER(CD39),ISNUMBER(CC39)),IFERROR(CD39/CC39-1,""),"")</f>
        <v>0.0911092241758458</v>
      </c>
      <c r="CE40" s="153" t="n"/>
      <c r="CM40" s="15" t="inlineStr">
        <is>
          <t>SVC_YLD (service yield change y/y)</t>
        </is>
      </c>
      <c r="CN40" s="41" t="n">
        <v>0.01</v>
      </c>
      <c r="CO40" s="21" t="inlineStr">
        <is>
          <t>Δ →</t>
        </is>
      </c>
      <c r="CP40" s="41" t="n">
        <v>-0.015</v>
      </c>
      <c r="CQ40" s="13" t="inlineStr">
        <is>
          <t>Service revenue ÷ prior-quarter payments volume: FY2021–25 +1.1% to +5.4% a year (pricing, card benefits); 9M FY26 +2.8%.</t>
        </is>
      </c>
    </row>
    <row r="41" ht="15" customHeight="1" s="251">
      <c r="B41" s="57" t="inlineStr">
        <is>
          <t xml:space="preserve">  Check: build vs reported net revenue (should be 0)</t>
        </is>
      </c>
      <c r="C41" s="211">
        <f>IF(ISNUMBER(C39),IF(ABS(C39-C113)&lt;=0.6,0,ROUND(C39-C113,1)),"")</f>
        <v>0</v>
      </c>
      <c r="D41" s="211">
        <f>IF(ISNUMBER(D39),IF(ABS(D39-D113)&lt;=0.6,0,ROUND(D39-D113,1)),"")</f>
        <v>0</v>
      </c>
      <c r="E41" s="211">
        <f>IF(ISNUMBER(E39),IF(ABS(E39-E113)&lt;=0.6,0,ROUND(E39-E113,1)),"")</f>
        <v>0</v>
      </c>
      <c r="F41" s="211">
        <f>IF(ISNUMBER(F39),IF(ABS(F39-F113)&lt;=0.6,0,ROUND(F39-F113,1)),"")</f>
        <v>0</v>
      </c>
      <c r="G41" s="211">
        <f>IF(ISNUMBER(G39),IF(ABS(G39-G113)&lt;=0.6,0,ROUND(G39-G113,1)),"")</f>
        <v>0</v>
      </c>
      <c r="H41" s="211">
        <f>IF(ISNUMBER(H39),IF(ABS(H39-H113)&lt;=0.6,0,ROUND(H39-H113,1)),"")</f>
        <v>0</v>
      </c>
      <c r="I41" s="211">
        <f>IF(ISNUMBER(I39),IF(ABS(I39-I113)&lt;=0.6,0,ROUND(I39-I113,1)),"")</f>
        <v>0</v>
      </c>
      <c r="J41" s="211">
        <f>IF(ISNUMBER(J39),IF(ABS(J39-J113)&lt;=0.6,0,ROUND(J39-J113,1)),"")</f>
        <v>0</v>
      </c>
      <c r="K41" s="211">
        <f>IF(ISNUMBER(K39),IF(ABS(K39-K113)&lt;=0.6,0,ROUND(K39-K113,1)),"")</f>
        <v>0</v>
      </c>
      <c r="L41" s="211">
        <f>IF(ISNUMBER(L39),IF(ABS(L39-L113)&lt;=0.6,0,ROUND(L39-L113,1)),"")</f>
        <v>0</v>
      </c>
      <c r="M41" s="211">
        <f>IF(ISNUMBER(M39),IF(ABS(M39-M113)&lt;=0.6,0,ROUND(M39-M113,1)),"")</f>
        <v>0</v>
      </c>
      <c r="N41" s="211">
        <f>IF(ISNUMBER(N39),IF(ABS(N39-N113)&lt;=0.6,0,ROUND(N39-N113,1)),"")</f>
        <v>0</v>
      </c>
      <c r="O41" s="211">
        <f>IF(ISNUMBER(O39),IF(ABS(O39-O113)&lt;=0.6,0,ROUND(O39-O113,1)),"")</f>
        <v>0</v>
      </c>
      <c r="P41" s="211">
        <f>IF(ISNUMBER(P39),IF(ABS(P39-P113)&lt;=0.6,0,ROUND(P39-P113,1)),"")</f>
        <v>0</v>
      </c>
      <c r="Q41" s="211">
        <f>IF(ISNUMBER(Q39),IF(ABS(Q39-Q113)&lt;=0.6,0,ROUND(Q39-Q113,1)),"")</f>
        <v>0</v>
      </c>
      <c r="R41" s="211">
        <f>IF(ISNUMBER(R39),IF(ABS(R39-R113)&lt;=0.6,0,ROUND(R39-R113,1)),"")</f>
        <v>0</v>
      </c>
      <c r="S41" s="211">
        <f>IF(ISNUMBER(S39),IF(ABS(S39-S113)&lt;=0.6,0,ROUND(S39-S113,1)),"")</f>
        <v>0</v>
      </c>
      <c r="T41" s="211">
        <f>IF(ISNUMBER(T39),IF(ABS(T39-T113)&lt;=0.6,0,ROUND(T39-T113,1)),"")</f>
        <v>0</v>
      </c>
      <c r="U41" s="211">
        <f>IF(ISNUMBER(U39),IF(ABS(U39-U113)&lt;=0.6,0,ROUND(U39-U113,1)),"")</f>
        <v>0</v>
      </c>
      <c r="V41" s="211">
        <f>IF(ISNUMBER(V39),IF(ABS(V39-V113)&lt;=0.6,0,ROUND(V39-V113,1)),"")</f>
        <v>0</v>
      </c>
      <c r="W41" s="211">
        <f>IF(ISNUMBER(W39),IF(ABS(W39-W113)&lt;=0.6,0,ROUND(W39-W113,1)),"")</f>
        <v>0</v>
      </c>
      <c r="X41" s="211">
        <f>IF(ISNUMBER(X39),IF(ABS(X39-X113)&lt;=0.6,0,ROUND(X39-X113,1)),"")</f>
        <v>0</v>
      </c>
      <c r="Y41" s="211">
        <f>IF(ISNUMBER(Y39),IF(ABS(Y39-Y113)&lt;=0.6,0,ROUND(Y39-Y113,1)),"")</f>
        <v>0</v>
      </c>
      <c r="Z41" s="211">
        <f>IF(ISNUMBER(Z39),IF(ABS(Z39-Z113)&lt;=0.6,0,ROUND(Z39-Z113,1)),"")</f>
        <v>0</v>
      </c>
      <c r="AA41" s="211">
        <f>IF(ISNUMBER(AA39),IF(ABS(AA39-AA113)&lt;=0.6,0,ROUND(AA39-AA113,1)),"")</f>
        <v>0</v>
      </c>
      <c r="AB41" s="211">
        <f>IF(ISNUMBER(AB39),IF(ABS(AB39-AB113)&lt;=0.6,0,ROUND(AB39-AB113,1)),"")</f>
        <v>0</v>
      </c>
      <c r="AC41" s="211">
        <f>IF(ISNUMBER(AC39),IF(ABS(AC39-AC113)&lt;=0.6,0,ROUND(AC39-AC113,1)),"")</f>
        <v>0</v>
      </c>
      <c r="AD41" s="211">
        <f>IF(ISNUMBER(AD39),IF(ABS(AD39-AD113)&lt;=0.6,0,ROUND(AD39-AD113,1)),"")</f>
        <v>0</v>
      </c>
      <c r="AE41" s="211">
        <f>IF(ISNUMBER(AE39),IF(ABS(AE39-AE113)&lt;=0.6,0,ROUND(AE39-AE113,1)),"")</f>
        <v>0</v>
      </c>
      <c r="AF41" s="211">
        <f>IF(ISNUMBER(AF39),IF(ABS(AF39-AF113)&lt;=0.6,0,ROUND(AF39-AF113,1)),"")</f>
        <v>0</v>
      </c>
      <c r="AG41" s="211">
        <f>IF(ISNUMBER(AG39),IF(ABS(AG39-AG113)&lt;=0.6,0,ROUND(AG39-AG113,1)),"")</f>
        <v>0</v>
      </c>
      <c r="AH41" s="211">
        <f>IF(ISNUMBER(AH39),IF(ABS(AH39-AH113)&lt;=0.6,0,ROUND(AH39-AH113,1)),"")</f>
        <v>0</v>
      </c>
      <c r="AI41" s="211">
        <f>IF(ISNUMBER(AI39),IF(ABS(AI39-AI113)&lt;=0.6,0,ROUND(AI39-AI113,1)),"")</f>
        <v>0</v>
      </c>
      <c r="AJ41" s="211">
        <f>IF(ISNUMBER(AJ39),IF(ABS(AJ39-AJ113)&lt;=0.6,0,ROUND(AJ39-AJ113,1)),"")</f>
        <v>0</v>
      </c>
      <c r="AK41" s="211">
        <f>IF(ISNUMBER(AK39),IF(ABS(AK39-AK113)&lt;=0.6,0,ROUND(AK39-AK113,1)),"")</f>
        <v>0</v>
      </c>
      <c r="AL41" s="211">
        <f>IF(ISNUMBER(AL39),IF(ABS(AL39-AL113)&lt;=0.6,0,ROUND(AL39-AL113,1)),"")</f>
        <v>0</v>
      </c>
      <c r="AM41" s="211">
        <f>IF(ISNUMBER(AM39),IF(ABS(AM39-AM113)&lt;=0.6,0,ROUND(AM39-AM113,1)),"")</f>
        <v>0</v>
      </c>
      <c r="AN41" s="211">
        <f>IF(ISNUMBER(AN39),IF(ABS(AN39-AN113)&lt;=0.6,0,ROUND(AN39-AN113,1)),"")</f>
        <v>0</v>
      </c>
      <c r="AO41" s="211">
        <f>IF(ISNUMBER(AO39),IF(ABS(AO39-AO113)&lt;=0.6,0,ROUND(AO39-AO113,1)),"")</f>
        <v>0</v>
      </c>
      <c r="AP41" s="211">
        <f>IF(ISNUMBER(AP39),IF(ABS(AP39-AP113)&lt;=0.6,0,ROUND(AP39-AP113,1)),"")</f>
        <v>0</v>
      </c>
      <c r="AQ41" s="211">
        <f>IF(ISNUMBER(AQ39),IF(ABS(AQ39-AQ113)&lt;=0.6,0,ROUND(AQ39-AQ113,1)),"")</f>
        <v>0</v>
      </c>
      <c r="AR41" s="211">
        <f>IF(ISNUMBER(AR39),IF(ABS(AR39-AR113)&lt;=0.6,0,ROUND(AR39-AR113,1)),"")</f>
        <v>0</v>
      </c>
      <c r="AS41" s="211">
        <f>IF(ISNUMBER(AS39),IF(ABS(AS39-AS113)&lt;=0.6,0,ROUND(AS39-AS113,1)),"")</f>
        <v>0</v>
      </c>
      <c r="AT41" s="211">
        <f>IF(ISNUMBER(AT39),IF(ABS(AT39-AT113)&lt;=0.6,0,ROUND(AT39-AT113,1)),"")</f>
        <v>0</v>
      </c>
      <c r="AU41" s="211">
        <f>IF(ISNUMBER(AU39),IF(ABS(AU39-AU113)&lt;=0.6,0,ROUND(AU39-AU113,1)),"")</f>
        <v>0</v>
      </c>
      <c r="AV41" s="211">
        <f>IF(ISNUMBER(AV39),IF(ABS(AV39-AV113)&lt;=0.6,0,ROUND(AV39-AV113,1)),"")</f>
        <v>0</v>
      </c>
      <c r="AW41" s="211">
        <f>IF(ISNUMBER(AW39),IF(ABS(AW39-AW113)&lt;=0.6,0,ROUND(AW39-AW113,1)),"")</f>
        <v>0</v>
      </c>
      <c r="AX41" s="211">
        <f>IF(ISNUMBER(AX39),IF(ABS(AX39-AX113)&lt;=0.6,0,ROUND(AX39-AX113,1)),"")</f>
        <v>0</v>
      </c>
      <c r="AY41" s="211">
        <f>IF(ISNUMBER(AY39),IF(ABS(AY39-AY113)&lt;=0.6,0,ROUND(AY39-AY113,1)),"")</f>
        <v>0</v>
      </c>
      <c r="AZ41" s="211">
        <f>IF(ISNUMBER(AZ39),IF(ABS(AZ39-AZ113)&lt;=0.6,0,ROUND(AZ39-AZ113,1)),"")</f>
        <v>0</v>
      </c>
      <c r="BA41" s="211">
        <f>IF(ISNUMBER(BA39),IF(ABS(BA39-BA113)&lt;=0.6,0,ROUND(BA39-BA113,1)),"")</f>
        <v>0</v>
      </c>
      <c r="BB41" s="211">
        <f>IF(ISNUMBER(BB39),IF(ABS(BB39-BB113)&lt;=0.6,0,ROUND(BB39-BB113,1)),"")</f>
        <v>0</v>
      </c>
      <c r="BC41" s="211">
        <f>IF(ISNUMBER(BC39),IF(ABS(BC39-BC113)&lt;=0.6,0,ROUND(BC39-BC113,1)),"")</f>
        <v>0</v>
      </c>
      <c r="BD41" s="211">
        <f>IF(ISNUMBER(BD39),IF(ABS(BD39-BD113)&lt;=0.6,0,ROUND(BD39-BD113,1)),"")</f>
        <v>0</v>
      </c>
      <c r="BE41" s="211">
        <f>IF(ISNUMBER(BE39),IF(ABS(BE39-BE113)&lt;=0.6,0,ROUND(BE39-BE113,1)),"")</f>
        <v>0</v>
      </c>
      <c r="BF41" s="211">
        <f>IF(ISNUMBER(BF39),IF(ABS(BF39-BF113)&lt;=0.6,0,ROUND(BF39-BF113,1)),"")</f>
        <v>0</v>
      </c>
      <c r="BG41" s="211">
        <f>IF(ISNUMBER(BG39),IF(ABS(BG39-BG113)&lt;=0.6,0,ROUND(BG39-BG113,1)),"")</f>
        <v>0</v>
      </c>
      <c r="BH41" s="211">
        <f>IF(ISNUMBER(BH39),IF(ABS(BH39-BH113)&lt;=0.6,0,ROUND(BH39-BH113,1)),"")</f>
        <v>0</v>
      </c>
      <c r="BI41" s="211">
        <f>IF(ISNUMBER(BI39),IF(ABS(BI39-BI113)&lt;=0.6,0,ROUND(BI39-BI113,1)),"")</f>
        <v>0</v>
      </c>
      <c r="BJ41" s="211">
        <f>IF(ISNUMBER(BJ39),IF(ABS(BJ39-BJ113)&lt;=0.6,0,ROUND(BJ39-BJ113,1)),"")</f>
        <v>0</v>
      </c>
      <c r="BK41" s="211">
        <f>IF(ISNUMBER(BK39),IF(ABS(BK39-BK113)&lt;=0.6,0,ROUND(BK39-BK113,1)),"")</f>
        <v>0</v>
      </c>
      <c r="BL41" s="211">
        <f>IF(ISNUMBER(BL39),IF(ABS(BL39-BL113)&lt;=0.6,0,ROUND(BL39-BL113,1)),"")</f>
        <v>0</v>
      </c>
      <c r="BM41" s="211">
        <f>IF(ISNUMBER(BM39),IF(ABS(BM39-BM113)&lt;=0.6,0,ROUND(BM39-BM113,1)),"")</f>
        <v>0</v>
      </c>
      <c r="BN41" s="211">
        <f>IF(ISNUMBER(BN39),IF(ABS(BN39-BN113)&lt;=0.6,0,ROUND(BN39-BN113,1)),"")</f>
        <v>0</v>
      </c>
      <c r="BO41" s="211">
        <f>IF(ISNUMBER(BO39),IF(ABS(BO39-BO113)&lt;=0.6,0,ROUND(BO39-BO113,1)),"")</f>
        <v>0</v>
      </c>
      <c r="BP41" s="211">
        <f>IF(ISNUMBER(BP39),IF(ABS(BP39-BP113)&lt;=0.6,0,ROUND(BP39-BP113,1)),"")</f>
        <v>0</v>
      </c>
      <c r="BQ41" s="211">
        <f>IF(ISNUMBER(BQ39),IF(ABS(BQ39-BQ113)&lt;=0.6,0,ROUND(BQ39-BQ113,1)),"")</f>
        <v>0</v>
      </c>
      <c r="BR41" s="211">
        <f>IF(ISNUMBER(BR39),IF(ABS(BR39-BR113)&lt;=0.6,0,ROUND(BR39-BR113,1)),"")</f>
        <v>0</v>
      </c>
      <c r="BS41" s="211">
        <f>IF(ISNUMBER(BS39),IF(ABS(BS39-BS113)&lt;=0.6,0,ROUND(BS39-BS113,1)),"")</f>
        <v>0</v>
      </c>
      <c r="BT41" s="211">
        <f>IF(ISNUMBER(BT39),IF(ABS(BT39-BT113)&lt;=0.6,0,ROUND(BT39-BT113,1)),"")</f>
        <v>0</v>
      </c>
      <c r="BU41" s="211">
        <f>IF(ISNUMBER(BU39),IF(ABS(BU39-BU113)&lt;=0.6,0,ROUND(BU39-BU113,1)),"")</f>
        <v>0</v>
      </c>
      <c r="BV41" s="211">
        <f>IF(ISNUMBER(BV39),IF(ABS(BV39-BV113)&lt;=0.6,0,ROUND(BV39-BV113,1)),"")</f>
        <v>0</v>
      </c>
      <c r="BW41" s="211">
        <f>IF(ISNUMBER(BW39),IF(ABS(BW39-BW113)&lt;=0.6,0,ROUND(BW39-BW113,1)),"")</f>
        <v>0</v>
      </c>
      <c r="BX41" s="153" t="n"/>
      <c r="BY41" s="153" t="n"/>
      <c r="BZ41" s="153" t="n"/>
      <c r="CA41" s="153" t="n"/>
      <c r="CB41" s="153" t="n"/>
      <c r="CC41" s="153" t="n"/>
      <c r="CD41" s="153" t="n"/>
      <c r="CE41" s="153" t="n"/>
      <c r="CM41" s="25" t="inlineStr">
        <is>
          <t xml:space="preserve">  2027E</t>
        </is>
      </c>
      <c r="CN41" s="33">
        <f>CO41+$CN$40</f>
        <v>0.02</v>
      </c>
      <c r="CO41" s="42" t="n">
        <v>0.01</v>
      </c>
      <c r="CP41" s="33">
        <f>CO41+$CP$40</f>
        <v>-0.005</v>
      </c>
    </row>
    <row r="42" ht="15" customHeight="1" s="251">
      <c r="B42" s="25" t="inlineStr">
        <is>
          <t xml:space="preserve">  Net revenue yield (net revenue ÷ nominal payments volume)</t>
        </is>
      </c>
      <c r="C42" s="259">
        <f>IF(AND(ISNUMBER(C39),ISNUMBER(C11)),IFERROR(C39/(C11*1000),""),"")</f>
      </c>
      <c r="D42" s="259">
        <f>IF(AND(ISNUMBER(D39),ISNUMBER(D11)),IFERROR(D39/(D11*1000),""),"")</f>
        <v>0.00257969391564016</v>
      </c>
      <c r="E42" s="259">
        <f>IF(AND(ISNUMBER(E39),ISNUMBER(E11)),IFERROR(E39/(E11*1000),""),"")</f>
        <v>0.00265558116562397</v>
      </c>
      <c r="F42" s="259">
        <f>IF(AND(ISNUMBER(F39),ISNUMBER(F11)),IFERROR(F39/(F11*1000),""),"")</f>
        <v>0.0026028328611898</v>
      </c>
      <c r="G42" s="259">
        <f>IF(AND(ISNUMBER(G39),ISNUMBER(G11)),IFERROR(G39/(G11*1000),""),"")</f>
        <v>0.00267273659912798</v>
      </c>
      <c r="H42" s="259">
        <f>IF(AND(ISNUMBER(H39),ISNUMBER(H11)),IFERROR(H39/(H11*1000),""),"")</f>
        <v>0.0028234126984127</v>
      </c>
      <c r="I42" s="259">
        <f>IF(AND(ISNUMBER(I39),ISNUMBER(I11)),IFERROR(I39/(I11*1000),""),"")</f>
        <v>0.00275418994413408</v>
      </c>
      <c r="J42" s="259">
        <f>IF(AND(ISNUMBER(J39),ISNUMBER(J11)),IFERROR(J39/(J11*1000),""),"")</f>
        <v>0.00292780487804878</v>
      </c>
      <c r="K42" s="259">
        <f>IF(AND(ISNUMBER(K39),ISNUMBER(K11)),IFERROR(K39/(K11*1000),""),"")</f>
        <v>0.0027250229147571</v>
      </c>
      <c r="L42" s="259">
        <f>IF(AND(ISNUMBER(L39),ISNUMBER(L11)),IFERROR(L39/(L11*1000),""),"")</f>
        <v>0.00280629020729092</v>
      </c>
      <c r="M42" s="259">
        <f>IF(AND(ISNUMBER(M39),ISNUMBER(M11)),IFERROR(M39/(M11*1000),""),"")</f>
        <v>0.00285778985507246</v>
      </c>
      <c r="N42" s="259">
        <f>IF(AND(ISNUMBER(N39),ISNUMBER(N11)),IFERROR(N39/(N11*1000),""),"")</f>
        <v>0.00271735395189003</v>
      </c>
      <c r="O42" s="259">
        <f>IF(AND(ISNUMBER(O39),ISNUMBER(O11)),IFERROR(O39/(O11*1000),""),"")</f>
        <v>0.00284747292418773</v>
      </c>
      <c r="P42" s="259">
        <f>IF(AND(ISNUMBER(P39),ISNUMBER(P11)),IFERROR(P39/(P11*1000),""),"")</f>
        <v>0.00271116708648195</v>
      </c>
      <c r="Q42" s="259">
        <f>IF(AND(ISNUMBER(Q39),ISNUMBER(Q11)),IFERROR(Q39/(Q11*1000),""),"")</f>
        <v>0.00278125684256624</v>
      </c>
      <c r="R42" s="259">
        <f>IF(AND(ISNUMBER(R39),ISNUMBER(R11)),IFERROR(R39/(R11*1000),""),"")</f>
        <v>0.00277896466721446</v>
      </c>
      <c r="S42" s="259">
        <f>IF(AND(ISNUMBER(S39),ISNUMBER(S11)),IFERROR(S39/(S11*1000),""),"")</f>
        <v>0.00273815261044177</v>
      </c>
      <c r="T42" s="259">
        <f>IF(AND(ISNUMBER(T39),ISNUMBER(T11)),IFERROR(T39/(T11*1000),""),"")</f>
        <v>0.00301198630136986</v>
      </c>
      <c r="U42" s="259">
        <f>IF(AND(ISNUMBER(U39),ISNUMBER(U11)),IFERROR(U39/(U11*1000),""),"")</f>
        <v>0.00284768740031898</v>
      </c>
      <c r="V42" s="259">
        <f>IF(AND(ISNUMBER(V39),ISNUMBER(V11)),IFERROR(V39/(V11*1000),""),"")</f>
        <v>0.00284193284193284</v>
      </c>
      <c r="W42" s="259">
        <f>IF(AND(ISNUMBER(W39),ISNUMBER(W11)),IFERROR(W39/(W11*1000),""),"")</f>
        <v>0.00281818181818182</v>
      </c>
      <c r="X42" s="259">
        <f>IF(AND(ISNUMBER(X39),ISNUMBER(X11)),IFERROR(X39/(X11*1000),""),"")</f>
        <v>0.00277854406130268</v>
      </c>
      <c r="Y42" s="259">
        <f>IF(AND(ISNUMBER(Y39),ISNUMBER(Y11)),IFERROR(Y39/(Y11*1000),""),"")</f>
        <v>0.00289704708699122</v>
      </c>
      <c r="Z42" s="259">
        <f>IF(AND(ISNUMBER(Z39),ISNUMBER(Z11)),IFERROR(Z39/(Z11*1000),""),"")</f>
        <v>0.00233096280087527</v>
      </c>
      <c r="AA42" s="259">
        <f>IF(AND(ISNUMBER(AA39),ISNUMBER(AA11)),IFERROR(AA39/(AA11*1000),""),"")</f>
        <v>0.00266890815784817</v>
      </c>
      <c r="AB42" s="259">
        <f>IF(AND(ISNUMBER(AB39),ISNUMBER(AB11)),IFERROR(AB39/(AB11*1000),""),"")</f>
        <v>0.00240096878363832</v>
      </c>
      <c r="AC42" s="259">
        <f>IF(AND(ISNUMBER(AC39),ISNUMBER(AC11)),IFERROR(AC39/(AC11*1000),""),"")</f>
        <v>0.00248446170921199</v>
      </c>
      <c r="AD42" s="259">
        <f>IF(AND(ISNUMBER(AD39),ISNUMBER(AD11)),IFERROR(AD39/(AD11*1000),""),"")</f>
        <v>0.00263264129181084</v>
      </c>
      <c r="AE42" s="259">
        <f>IF(AND(ISNUMBER(AE39),ISNUMBER(AE11)),IFERROR(AE39/(AE11*1000),""),"")</f>
        <v>0.00260042849491162</v>
      </c>
      <c r="AF42" s="259">
        <f>IF(AND(ISNUMBER(AF39),ISNUMBER(AF11)),IFERROR(AF39/(AF11*1000),""),"")</f>
        <v>0.00252690984170681</v>
      </c>
      <c r="AG42" s="259">
        <f>IF(AND(ISNUMBER(AG39),ISNUMBER(AG11)),IFERROR(AG39/(AG11*1000),""),"")</f>
        <v>0.00251917098445596</v>
      </c>
      <c r="AH42" s="259">
        <f>IF(AND(ISNUMBER(AH39),ISNUMBER(AH11)),IFERROR(AH39/(AH11*1000),""),"")</f>
        <v>0.00249532710280374</v>
      </c>
      <c r="AI42" s="259">
        <f>IF(AND(ISNUMBER(AI39),ISNUMBER(AI11)),IFERROR(AI39/(AI11*1000),""),"")</f>
        <v>0.00262262262262262</v>
      </c>
      <c r="AJ42" s="259">
        <f>IF(AND(ISNUMBER(AJ39),ISNUMBER(AJ11)),IFERROR(AJ39/(AJ11*1000),""),"")</f>
        <v>0.00258638743455497</v>
      </c>
      <c r="AK42" s="259">
        <f>IF(AND(ISNUMBER(AK39),ISNUMBER(AK11)),IFERROR(AK39/(AK11*1000),""),"")</f>
        <v>0.00255599652734714</v>
      </c>
      <c r="AL42" s="259">
        <f>IF(AND(ISNUMBER(AL39),ISNUMBER(AL11)),IFERROR(AL39/(AL11*1000),""),"")</f>
        <v>0.00260700757575758</v>
      </c>
      <c r="AM42" s="259">
        <f>IF(AND(ISNUMBER(AM39),ISNUMBER(AM11)),IFERROR(AM39/(AM11*1000),""),"")</f>
        <v>0.00250068274920346</v>
      </c>
      <c r="AN42" s="259">
        <f>IF(AND(ISNUMBER(AN39),ISNUMBER(AN11)),IFERROR(AN39/(AN11*1000),""),"")</f>
        <v>0.00280095923261391</v>
      </c>
      <c r="AO42" s="259">
        <f>IF(AND(ISNUMBER(AO39),ISNUMBER(AO11)),IFERROR(AO39/(AO11*1000),""),"")</f>
        <v>0.00275448833034111</v>
      </c>
      <c r="AP42" s="259">
        <f>IF(AND(ISNUMBER(AP39),ISNUMBER(AP11)),IFERROR(AP39/(AP11*1000),""),"")</f>
        <v>0.00266585450748347</v>
      </c>
      <c r="AQ42" s="259">
        <f>IF(AND(ISNUMBER(AQ39),ISNUMBER(AQ11)),IFERROR(AQ39/(AQ11*1000),""),"")</f>
        <v>0.00266696035242291</v>
      </c>
      <c r="AR42" s="259">
        <f>IF(AND(ISNUMBER(AR39),ISNUMBER(AR11)),IFERROR(AR39/(AR11*1000),""),"")</f>
        <v>0.00247945785684032</v>
      </c>
      <c r="AS42" s="259">
        <f>IF(AND(ISNUMBER(AS39),ISNUMBER(AS11)),IFERROR(AS39/(AS11*1000),""),"")</f>
        <v>0.00227089201877934</v>
      </c>
      <c r="AT42" s="259">
        <f>IF(AND(ISNUMBER(AT39),ISNUMBER(AT11)),IFERROR(AT39/(AT11*1000),""),"")</f>
        <v>0.00260920716112532</v>
      </c>
      <c r="AU42" s="259">
        <f>IF(AND(ISNUMBER(AU39),ISNUMBER(AU11)),IFERROR(AU39/(AU11*1000),""),"")</f>
        <v>0.00250728796051877</v>
      </c>
      <c r="AV42" s="259">
        <f>IF(AND(ISNUMBER(AV39),ISNUMBER(AV11)),IFERROR(AV39/(AV11*1000),""),"")</f>
        <v>0.00242103022562793</v>
      </c>
      <c r="AW42" s="259">
        <f>IF(AND(ISNUMBER(AW39),ISNUMBER(AW11)),IFERROR(AW39/(AW11*1000),""),"")</f>
        <v>0.00231474747474747</v>
      </c>
      <c r="AX42" s="259">
        <f>IF(AND(ISNUMBER(AX39),ISNUMBER(AX11)),IFERROR(AX39/(AX11*1000),""),"")</f>
        <v>0.00252992158481222</v>
      </c>
      <c r="AY42" s="259">
        <f>IF(AND(ISNUMBER(AY39),ISNUMBER(AY11)),IFERROR(AY39/(AY11*1000),""),"")</f>
        <v>0.00241139705882353</v>
      </c>
      <c r="AZ42" s="259">
        <f>IF(AND(ISNUMBER(AZ39),ISNUMBER(AZ11)),IFERROR(AZ39/(AZ11*1000),""),"")</f>
        <v>0.00241823836276083</v>
      </c>
      <c r="BA42" s="259">
        <f>IF(AND(ISNUMBER(BA39),ISNUMBER(BA11)),IFERROR(BA39/(BA11*1000),""),"")</f>
        <v>0.00253556034482759</v>
      </c>
      <c r="BB42" s="259">
        <f>IF(AND(ISNUMBER(BB39),ISNUMBER(BB11)),IFERROR(BB39/(BB11*1000),""),"")</f>
        <v>0.00242625717178535</v>
      </c>
      <c r="BC42" s="259">
        <f>IF(AND(ISNUMBER(BC39),ISNUMBER(BC11)),IFERROR(BC39/(BC11*1000),""),"")</f>
        <v>0.00262162162162162</v>
      </c>
      <c r="BD42" s="259">
        <f>IF(AND(ISNUMBER(BD39),ISNUMBER(BD11)),IFERROR(BD39/(BD11*1000),""),"")</f>
        <v>0.00264683888511217</v>
      </c>
      <c r="BE42" s="259">
        <f>IF(AND(ISNUMBER(BE39),ISNUMBER(BE11)),IFERROR(BE39/(BE11*1000),""),"")</f>
        <v>0.00255669923237962</v>
      </c>
      <c r="BF42" s="259">
        <f>IF(AND(ISNUMBER(BF39),ISNUMBER(BF11)),IFERROR(BF39/(BF11*1000),""),"")</f>
        <v>0.00270945715261181</v>
      </c>
      <c r="BG42" s="259">
        <f>IF(AND(ISNUMBER(BG39),ISNUMBER(BG11)),IFERROR(BG39/(BG11*1000),""),"")</f>
        <v>0.00264579191517561</v>
      </c>
      <c r="BH42" s="259">
        <f>IF(AND(ISNUMBER(BH39),ISNUMBER(BH11)),IFERROR(BH39/(BH11*1000),""),"")</f>
        <v>0.0027470409198512</v>
      </c>
      <c r="BI42" s="259">
        <f>IF(AND(ISNUMBER(BI39),ISNUMBER(BI11)),IFERROR(BI39/(BI11*1000),""),"")</f>
        <v>0.00271920404295641</v>
      </c>
      <c r="BJ42" s="259">
        <f>IF(AND(ISNUMBER(BJ39),ISNUMBER(BJ11)),IFERROR(BJ39/(BJ11*1000),""),"")</f>
        <v>0.00270440616200099</v>
      </c>
      <c r="BK42" s="259">
        <f>IF(AND(ISNUMBER(BK39),ISNUMBER(BK11)),IFERROR(BK39/(BK11*1000),""),"")</f>
        <v>0.00269981238273921</v>
      </c>
      <c r="BL42" s="259">
        <f>IF(AND(ISNUMBER(BL39),ISNUMBER(BL11)),IFERROR(BL39/(BL11*1000),""),"")</f>
        <v>0.00267530487804878</v>
      </c>
      <c r="BM42" s="259">
        <f>IF(AND(ISNUMBER(BM39),ISNUMBER(BM11)),IFERROR(BM39/(BM11*1000),""),"")</f>
        <v>0.00280580075662043</v>
      </c>
      <c r="BN42" s="259">
        <f>IF(AND(ISNUMBER(BN39),ISNUMBER(BN11)),IFERROR(BN39/(BN11*1000),""),"")</f>
        <v>0.00288972355769231</v>
      </c>
      <c r="BO42" s="259">
        <f>IF(AND(ISNUMBER(BO39),ISNUMBER(BO11)),IFERROR(BO39/(BO11*1000),""),"")</f>
        <v>0.00276694393099199</v>
      </c>
      <c r="BP42" s="259">
        <f>IF(AND(ISNUMBER(BP39),ISNUMBER(BP11)),IFERROR(BP39/(BP11*1000),""),"")</f>
        <v>0.00278885630498534</v>
      </c>
      <c r="BQ42" s="259">
        <f>IF(AND(ISNUMBER(BQ39),ISNUMBER(BQ11)),IFERROR(BQ39/(BQ11*1000),""),"")</f>
        <v>0.00272247446083995</v>
      </c>
      <c r="BR42" s="259">
        <f>IF(AND(ISNUMBER(BR39),ISNUMBER(BR11)),IFERROR(BR39/(BR11*1000),""),"")</f>
        <v>0.00304186602870813</v>
      </c>
      <c r="BS42" s="259">
        <f>IF(AND(ISNUMBER(BS39),ISNUMBER(BS11)),IFERROR(BS39/(BS11*1000),""),"")</f>
        <v>0.00296488802875311</v>
      </c>
      <c r="BT42" s="259">
        <f>IF(AND(ISNUMBER(BT39),ISNUMBER(BT11)),IFERROR(BT39/(BT11*1000),""),"")</f>
        <v>0.00287894054987765</v>
      </c>
      <c r="BU42" s="259">
        <f>IF(AND(ISNUMBER(BU39),ISNUMBER(BU11)),IFERROR(BU39/(BU11*1000),""),"")</f>
        <v>0.00292095391211147</v>
      </c>
      <c r="BV42" s="259">
        <f>IF(AND(ISNUMBER(BV39),ISNUMBER(BV11)),IFERROR(BV39/(BV11*1000),""),"")</f>
        <v>0.00290330920372285</v>
      </c>
      <c r="BW42" s="259">
        <f>IF(AND(ISNUMBER(BW39),ISNUMBER(BW11)),IFERROR(BW39/(BW11*1000),""),"")</f>
        <v>0.00312043991416309</v>
      </c>
      <c r="BX42" s="260">
        <f>IF(AND(ISNUMBER(BX39),ISNUMBER(BX11)),IFERROR(BX39/(BX11*1000),""),"")</f>
        <v>0.00301830943467659</v>
      </c>
      <c r="BY42" s="260">
        <f>IF(AND(ISNUMBER(BY39),ISNUMBER(BY11)),IFERROR(BY39/(BY11*1000),""),"")</f>
        <v>0.00299045224263779</v>
      </c>
      <c r="BZ42" s="260">
        <f>IF(AND(ISNUMBER(BZ39),ISNUMBER(BZ11)),IFERROR(BZ39/(BZ11*1000),""),"")</f>
        <v>0.00304613045614284</v>
      </c>
      <c r="CA42" s="260">
        <f>IF(AND(ISNUMBER(CA39),ISNUMBER(CA11)),IFERROR(CA39/(CA11*1000),""),"")</f>
        <v>0.0031274546153707</v>
      </c>
      <c r="CB42" s="260">
        <f>IF(AND(ISNUMBER(CB39),ISNUMBER(CB11)),IFERROR(CB39/(CB11*1000),""),"")</f>
        <v>0.00318945799121546</v>
      </c>
      <c r="CC42" s="260">
        <f>IF(AND(ISNUMBER(CC39),ISNUMBER(CC11)),IFERROR(CC39/(CC11*1000),""),"")</f>
        <v>0.00324666249742406</v>
      </c>
      <c r="CD42" s="260">
        <f>IF(AND(ISNUMBER(CD39),ISNUMBER(CD11)),IFERROR(CD39/(CD11*1000),""),"")</f>
        <v>0.00329531478951179</v>
      </c>
      <c r="CE42" s="153" t="n"/>
      <c r="CG42" s="37">
        <f>IFERROR(AVERAGE(BZ42,CA42,CB42,CC42,CD42),"n/m")</f>
        <v>0.00318100406993297</v>
      </c>
      <c r="CH42" s="37">
        <f>IFERROR(AVERAGE(AZ42,BE42,BJ42,BO42,BT42),"n/m")</f>
        <v>0.00266504564760222</v>
      </c>
      <c r="CI42" s="37">
        <f>IFERROR(AVERAGE(AA42,AF42,AK42,AP42,AU42,AZ42,BE42,BJ42,BO42,BT42),"n/m")</f>
        <v>0.00262501852329154</v>
      </c>
      <c r="CJ42" s="37">
        <f>IFERROR(AVERAGE(C42,D42,E42,F42,G42,L42,Q42,V42,AA42,AF42,AK42,AP42,AU42,AZ42,BE42,BJ42,BO42,BT42),"n/m")</f>
        <v>0.00265826527448749</v>
      </c>
      <c r="CM42" s="25" t="inlineStr">
        <is>
          <t xml:space="preserve">  2028E</t>
        </is>
      </c>
      <c r="CN42" s="33">
        <f>CO42+$CN$40</f>
        <v>0.02</v>
      </c>
      <c r="CO42" s="42" t="n">
        <v>0.01</v>
      </c>
      <c r="CP42" s="33">
        <f>CO42+$CP$40</f>
        <v>-0.005</v>
      </c>
    </row>
    <row r="43" ht="15" customHeight="1" s="251">
      <c r="B43" s="22" t="inlineStr">
        <is>
          <t xml:space="preserve">  Net revenue growth decomposition — payments volume y/y (pp)</t>
        </is>
      </c>
      <c r="C43" s="23" t="n"/>
      <c r="D43" s="255">
        <f>IFERROR(D11/C11-1,"")</f>
      </c>
      <c r="E43" s="255">
        <f>IFERROR(E11/D11-1,"")</f>
        <v>0.133631952220978</v>
      </c>
      <c r="F43" s="255">
        <f>IFERROR(F11/E11-1,"")</f>
        <v>0.162331247942048</v>
      </c>
      <c r="G43" s="255">
        <f>IFERROR(G11/F11-1,"")</f>
        <v>0.104532577903683</v>
      </c>
      <c r="H43" s="23" t="n"/>
      <c r="I43" s="23" t="n"/>
      <c r="J43" s="23" t="n"/>
      <c r="K43" s="23" t="n"/>
      <c r="L43" s="255">
        <f>IFERROR(L11/G11-1,"")</f>
        <v>0.076429853808669</v>
      </c>
      <c r="M43" s="255">
        <f>IFERROR(M11/H11-1,"")</f>
        <v>0.0952380952380953</v>
      </c>
      <c r="N43" s="255">
        <f>IFERROR(N11/I11-1,"")</f>
        <v>0.0837988826815643</v>
      </c>
      <c r="O43" s="255">
        <f>IFERROR(O11/J11-1,"")</f>
        <v>0.0809756097560976</v>
      </c>
      <c r="P43" s="255">
        <f>IFERROR(P11/K11-1,"")</f>
        <v>0.0916590284142989</v>
      </c>
      <c r="Q43" s="255">
        <f>IFERROR(Q11/L11-1,"")</f>
        <v>0.0881582082439838</v>
      </c>
      <c r="R43" s="255">
        <f>IFERROR(R11/M11-1,"")</f>
        <v>0.102355072463768</v>
      </c>
      <c r="S43" s="255">
        <f>IFERROR(S11/N11-1,"")</f>
        <v>0.0695876288659794</v>
      </c>
      <c r="T43" s="255">
        <f>IFERROR(T11/O11-1,"")</f>
        <v>0.0541516245487366</v>
      </c>
      <c r="U43" s="255">
        <f>IFERROR(U11/P11-1,"")</f>
        <v>0.0528967254408062</v>
      </c>
      <c r="V43" s="255">
        <f>IFERROR(V11/Q11-1,"")</f>
        <v>0.0694109918984016</v>
      </c>
      <c r="W43" s="255">
        <f>IFERROR(W11/R11-1,"")</f>
        <v>0.0394412489728841</v>
      </c>
      <c r="X43" s="255">
        <f>IFERROR(X11/S11-1,"")</f>
        <v>0.0481927710843373</v>
      </c>
      <c r="Y43" s="255">
        <f>IFERROR(Y11/T11-1,"")</f>
        <v>0.0727739726027397</v>
      </c>
      <c r="Z43" s="255">
        <f>IFERROR(Z11/U11-1,"")</f>
        <v>0.457735247208931</v>
      </c>
      <c r="AA43" s="255">
        <f>IFERROR(AA11/V11-1,"")</f>
        <v>0.157043407043407</v>
      </c>
      <c r="AB43" s="255">
        <f>IFERROR(AB11/W11-1,"")</f>
        <v>0.468774703557312</v>
      </c>
      <c r="AC43" s="255">
        <f>IFERROR(AC11/X11-1,"")</f>
        <v>0.380842911877395</v>
      </c>
      <c r="AD43" s="255">
        <f>IFERROR(AD11/Y11-1,"")</f>
        <v>0.383878691141261</v>
      </c>
      <c r="AE43" s="255">
        <f>IFERROR(AE11/Z11-1,"")</f>
        <v>0.0213347921225382</v>
      </c>
      <c r="AF43" s="255">
        <f>IFERROR(AF11/AA11-1,"")</f>
        <v>0.285613165811361</v>
      </c>
      <c r="AG43" s="255">
        <f>IFERROR(AG11/AB11-1,"")</f>
        <v>0.038751345532831</v>
      </c>
      <c r="AH43" s="255">
        <f>IFERROR(AH11/AC11-1,"")</f>
        <v>0.12819089900111</v>
      </c>
      <c r="AI43" s="255">
        <f>IFERROR(AI11/AD11-1,"")</f>
        <v>0.152249134948097</v>
      </c>
      <c r="AJ43" s="255">
        <f>IFERROR(AJ11/AE11-1,"")</f>
        <v>0.125334761649705</v>
      </c>
      <c r="AK43" s="255">
        <f>IFERROR(AK11/AF11-1,"")</f>
        <v>0.109841706813489</v>
      </c>
      <c r="AL43" s="255">
        <f>IFERROR(AL11/AG11-1,"")</f>
        <v>0.094300518134715</v>
      </c>
      <c r="AM43" s="255">
        <f>IFERROR(AM11/AH11-1,"")</f>
        <v>0.0806689621249386</v>
      </c>
      <c r="AN43" s="255">
        <f>IFERROR(AN11/AI11-1,"")</f>
        <v>0.0435435435435436</v>
      </c>
      <c r="AO43" s="255">
        <f>IFERROR(AO11/AJ11-1,"")</f>
        <v>0.0604474059971443</v>
      </c>
      <c r="AP43" s="255">
        <f>IFERROR(AP11/AK11-1,"")</f>
        <v>0.0689569639092149</v>
      </c>
      <c r="AQ43" s="255">
        <f>IFERROR(AQ11/AL11-1,"")</f>
        <v>0.074810606060606</v>
      </c>
      <c r="AR43" s="255">
        <f>IFERROR(AR11/AM11-1,"")</f>
        <v>0.0746472462448793</v>
      </c>
      <c r="AS43" s="255">
        <f>IFERROR(AS11/AN11-1,"")</f>
        <v>0.0215827338129497</v>
      </c>
      <c r="AT43" s="255">
        <f>IFERROR(AT11/AO11-1,"")</f>
        <v>-0.122531418312388</v>
      </c>
      <c r="AU43" s="255">
        <f>IFERROR(AU11/AP11-1,"")</f>
        <v>0.0109061376029702</v>
      </c>
      <c r="AV43" s="255">
        <f>IFERROR(AV11/AQ11-1,"")</f>
        <v>0.0348017621145373</v>
      </c>
      <c r="AW43" s="255">
        <f>IFERROR(AW11/AR11-1,"")</f>
        <v>0.0482846251588309</v>
      </c>
      <c r="AX43" s="255">
        <f>IFERROR(AX11/AS11-1,"")</f>
        <v>0.137558685446009</v>
      </c>
      <c r="AY43" s="255">
        <f>IFERROR(AY11/AT11-1,"")</f>
        <v>0.391304347826087</v>
      </c>
      <c r="AZ43" s="255">
        <f>IFERROR(AZ11/AU11-1,"")</f>
        <v>0.144037644898428</v>
      </c>
      <c r="BA43" s="255">
        <f>IFERROR(BA11/AV11-1,"")</f>
        <v>0.185185185185185</v>
      </c>
      <c r="BB43" s="255">
        <f>IFERROR(BB11/AW11-1,"")</f>
        <v>0.197171717171717</v>
      </c>
      <c r="BC43" s="255">
        <f>IFERROR(BC11/AX11-1,"")</f>
        <v>0.145274453157243</v>
      </c>
      <c r="BD43" s="255">
        <f>IFERROR(BD11/AY11-1,"")</f>
        <v>0.0816176470588235</v>
      </c>
      <c r="BE43" s="255">
        <f>IFERROR(BE11/AZ11-1,"")</f>
        <v>0.15008025682183</v>
      </c>
      <c r="BF43" s="255">
        <f>IFERROR(BF11/BA11-1,"")</f>
        <v>0.0520833333333333</v>
      </c>
      <c r="BG43" s="255">
        <f>IFERROR(BG11/BB11-1,"")</f>
        <v>0.0185622679716504</v>
      </c>
      <c r="BH43" s="255">
        <f>IFERROR(BH11/BC11-1,"")</f>
        <v>0.0655855855855856</v>
      </c>
      <c r="BI43" s="255">
        <f>IFERROR(BI11/BD11-1,"")</f>
        <v>0.0761386811692726</v>
      </c>
      <c r="BJ43" s="255">
        <f>IFERROR(BJ11/BE11-1,"")</f>
        <v>0.0532100488485694</v>
      </c>
      <c r="BK43" s="255">
        <f>IFERROR(BK11/BF11-1,"")</f>
        <v>0.091840218504609</v>
      </c>
      <c r="BL43" s="255">
        <f>IFERROR(BL11/BG11-1,"")</f>
        <v>0.0868124585818424</v>
      </c>
      <c r="BM43" s="255">
        <f>IFERROR(BM11/BH11-1,"")</f>
        <v>0.0727088265133582</v>
      </c>
      <c r="BN43" s="255">
        <f>IFERROR(BN11/BI11-1,"")</f>
        <v>0.051168667087808</v>
      </c>
      <c r="BO43" s="255">
        <f>IFERROR(BO11/BJ11-1,"")</f>
        <v>0.0753685605433163</v>
      </c>
      <c r="BP43" s="255">
        <f>IFERROR(BP11/BK11-1,"")</f>
        <v>0.0662914321450907</v>
      </c>
      <c r="BQ43" s="255">
        <f>IFERROR(BQ11/BL11-1,"")</f>
        <v>0.0743902439024391</v>
      </c>
      <c r="BR43" s="255">
        <f>IFERROR(BR11/BM11-1,"")</f>
        <v>0.0542244640605296</v>
      </c>
      <c r="BS43" s="255">
        <f>IFERROR(BS11/BN11-1,"")</f>
        <v>0.0868389423076923</v>
      </c>
      <c r="BT43" s="255">
        <f>IFERROR(BT11/BO11-1,"")</f>
        <v>0.0700862600123229</v>
      </c>
      <c r="BU43" s="255">
        <f>IFERROR(BU11/BP11-1,"")</f>
        <v>0.0944281524926687</v>
      </c>
      <c r="BV43" s="255">
        <f>IFERROR(BV11/BQ11-1,"")</f>
        <v>0.097616345062429</v>
      </c>
      <c r="BW43" s="255">
        <f>IFERROR(BW11/BR11-1,"")</f>
        <v>0.114832535885167</v>
      </c>
      <c r="BX43" s="256">
        <f>IFERROR(BX11/BS11-1,"")</f>
        <v>0.11</v>
      </c>
      <c r="BY43" s="256">
        <f>IFERROR(BY11/BT11-1,"")</f>
        <v>0.104280264862531</v>
      </c>
      <c r="BZ43" s="256">
        <f>IFERROR(BZ11/BY11-1,"")</f>
        <v>0.085</v>
      </c>
      <c r="CA43" s="256">
        <f>IFERROR(CA11/BZ11-1,"")</f>
        <v>0.0800000000000001</v>
      </c>
      <c r="CB43" s="256">
        <f>IFERROR(CB11/CA11-1,"")</f>
        <v>0.0800000000000001</v>
      </c>
      <c r="CC43" s="256">
        <f>IFERROR(CC11/CB11-1,"")</f>
        <v>0.075</v>
      </c>
      <c r="CD43" s="256">
        <f>IFERROR(CD11/CC11-1,"")</f>
        <v>0.075</v>
      </c>
      <c r="CE43" s="153" t="n"/>
      <c r="CM43" s="25" t="inlineStr">
        <is>
          <t xml:space="preserve">  2029E</t>
        </is>
      </c>
      <c r="CN43" s="33">
        <f>CO43+$CN$40</f>
        <v>0.015</v>
      </c>
      <c r="CO43" s="42" t="n">
        <v>0.005</v>
      </c>
      <c r="CP43" s="33">
        <f>CO43+$CP$40</f>
        <v>-0.01</v>
      </c>
    </row>
    <row r="44" ht="15" customHeight="1" s="251">
      <c r="B44" s="22" t="inlineStr">
        <is>
          <t xml:space="preserve">  Net revenue growth decomposition — net revenue yield y/y (pp)</t>
        </is>
      </c>
      <c r="C44" s="23" t="n"/>
      <c r="D44" s="255">
        <f>IFERROR((D39/C39)/(D11/C11)-1,"")</f>
      </c>
      <c r="E44" s="255">
        <f>IFERROR((E39/D39)/(E11/D11)-1,"")</f>
        <v>0.029417152757433</v>
      </c>
      <c r="F44" s="255">
        <f>IFERROR((F39/E39)/(F11/E11)-1,"")</f>
        <v>-0.0198631866790542</v>
      </c>
      <c r="G44" s="255">
        <f>IFERROR((G39/F39)/(G11/F11)-1,"")</f>
        <v>0.0268567909144291</v>
      </c>
      <c r="H44" s="23" t="n"/>
      <c r="I44" s="23" t="n"/>
      <c r="J44" s="23" t="n"/>
      <c r="K44" s="23" t="n"/>
      <c r="L44" s="255">
        <f>IFERROR((L39/G39)/(L11/G11)-1,"")</f>
        <v>0.0499688627029369</v>
      </c>
      <c r="M44" s="255">
        <f>IFERROR((M39/H39)/(M11/H11)-1,"")</f>
        <v>0.0121757462800574</v>
      </c>
      <c r="N44" s="255">
        <f>IFERROR((N39/I39)/(N11/I11)-1,"")</f>
        <v>-0.0133745286241052</v>
      </c>
      <c r="O44" s="255">
        <f>IFERROR((O39/J39)/(O11/J11)-1,"")</f>
        <v>-0.0274376050341824</v>
      </c>
      <c r="P44" s="255">
        <f>IFERROR((P39/K39)/(P11/K11)-1,"")</f>
        <v>-0.00508466486653048</v>
      </c>
      <c r="Q44" s="255">
        <f>IFERROR((Q39/L39)/(Q11/L11)-1,"")</f>
        <v>-0.00892044759292821</v>
      </c>
      <c r="R44" s="255">
        <f>IFERROR((R39/M39)/(R11/M11)-1,"")</f>
        <v>-0.0275825696973802</v>
      </c>
      <c r="S44" s="255">
        <f>IFERROR((S39/N39)/(S11/N11)-1,"")</f>
        <v>0.00765401155681844</v>
      </c>
      <c r="T44" s="255">
        <f>IFERROR((T39/O39)/(T11/O11)-1,"")</f>
        <v>0.0577752208931246</v>
      </c>
      <c r="U44" s="255">
        <f>IFERROR((U39/P39)/(U11/P11)-1,"")</f>
        <v>0.0503548138061021</v>
      </c>
      <c r="V44" s="255">
        <f>IFERROR((V39/Q39)/(V11/Q11)-1,"")</f>
        <v>0.0218160359870327</v>
      </c>
      <c r="W44" s="255">
        <f>IFERROR((W39/R39)/(W11/R11)-1,"")</f>
        <v>0.0141121445083598</v>
      </c>
      <c r="X44" s="255">
        <f>IFERROR((X39/S39)/(X11/S11)-1,"")</f>
        <v>0.0147513512237722</v>
      </c>
      <c r="Y44" s="255">
        <f>IFERROR((Y39/T39)/(Y11/T11)-1,"")</f>
        <v>-0.0381606032956946</v>
      </c>
      <c r="Z44" s="255">
        <f>IFERROR((Z39/U39)/(Z11/U11)-1,"")</f>
        <v>-0.181454115850576</v>
      </c>
      <c r="AA44" s="255">
        <f>IFERROR((AA39/V39)/(AA11/V11)-1,"")</f>
        <v>-0.0608827490684111</v>
      </c>
      <c r="AB44" s="255">
        <f>IFERROR((AB39/W39)/(AB11/W11)-1,"")</f>
        <v>-0.148043334838015</v>
      </c>
      <c r="AC44" s="255">
        <f>IFERROR((AC39/X39)/(AC11/X11)-1,"")</f>
        <v>-0.105840449387302</v>
      </c>
      <c r="AD44" s="255">
        <f>IFERROR((AD39/Y39)/(AD11/Y11)-1,"")</f>
        <v>-0.0912673447275524</v>
      </c>
      <c r="AE44" s="255">
        <f>IFERROR((AE39/Z39)/(AE11/Z11)-1,"")</f>
        <v>0.115602743181987</v>
      </c>
      <c r="AF44" s="255">
        <f>IFERROR((AF39/AA39)/(AF11/AA11)-1,"")</f>
        <v>-0.0532046468979444</v>
      </c>
      <c r="AG44" s="255">
        <f>IFERROR((AG39/AB39)/(AG11/AB11)-1,"")</f>
        <v>0.049231044411381</v>
      </c>
      <c r="AH44" s="255">
        <f>IFERROR((AH39/AC39)/(AH11/AC11)-1,"")</f>
        <v>0.00437333912270188</v>
      </c>
      <c r="AI44" s="255">
        <f>IFERROR((AI39/AD39)/(AI11/AD11)-1,"")</f>
        <v>-0.00380555802242544</v>
      </c>
      <c r="AJ44" s="255">
        <f>IFERROR((AJ39/AE39)/(AJ11/AE11)-1,"")</f>
        <v>-0.00539951795795335</v>
      </c>
      <c r="AK44" s="255">
        <f>IFERROR((AK39/AF39)/(AK11/AF11)-1,"")</f>
        <v>0.01151077302413</v>
      </c>
      <c r="AL44" s="255">
        <f>IFERROR((AL39/AG39)/(AL11/AG11)-1,"")</f>
        <v>0.0348672606359772</v>
      </c>
      <c r="AM44" s="255">
        <f>IFERROR((AM39/AH39)/(AM11/AH11)-1,"")</f>
        <v>0.00214627028003811</v>
      </c>
      <c r="AN44" s="255">
        <f>IFERROR((AN39/AI39)/(AN11/AI11)-1,"")</f>
        <v>0.0679993409852271</v>
      </c>
      <c r="AO44" s="255">
        <f>IFERROR((AO39/AJ39)/(AO11/AJ11)-1,"")</f>
        <v>0.0649944759011185</v>
      </c>
      <c r="AP44" s="255">
        <f>IFERROR((AP39/AK39)/(AP11/AK11)-1,"")</f>
        <v>0.0429804888077632</v>
      </c>
      <c r="AQ44" s="255">
        <f>IFERROR((AQ39/AL39)/(AQ11/AL11)-1,"")</f>
        <v>0.0229967788443843</v>
      </c>
      <c r="AR44" s="255">
        <f>IFERROR((AR39/AM39)/(AR11/AM11)-1,"")</f>
        <v>-0.00848763897375537</v>
      </c>
      <c r="AS44" s="255">
        <f>IFERROR((AS39/AN39)/(AS11/AN11)-1,"")</f>
        <v>-0.189244887131005</v>
      </c>
      <c r="AT44" s="255">
        <f>IFERROR((AT39/AO39)/(AT11/AO11)-1,"")</f>
        <v>-0.0527434324609398</v>
      </c>
      <c r="AU44" s="255">
        <f>IFERROR((AU39/AP39)/(AU11/AP11)-1,"")</f>
        <v>-0.0594805704960946</v>
      </c>
      <c r="AV44" s="255">
        <f>IFERROR((AV39/AQ39)/(AV11/AQ11)-1,"")</f>
        <v>-0.092213641860688</v>
      </c>
      <c r="AW44" s="255">
        <f>IFERROR((AW39/AR39)/(AW11/AR11)-1,"")</f>
        <v>-0.0664299986541189</v>
      </c>
      <c r="AX44" s="255">
        <f>IFERROR((AX39/AS39)/(AX11/AS11)-1,"")</f>
        <v>0.114065117976022</v>
      </c>
      <c r="AY44" s="255">
        <f>IFERROR((AY39/AT39)/(AY11/AT11)-1,"")</f>
        <v>-0.0758123407175063</v>
      </c>
      <c r="AZ44" s="255">
        <f>IFERROR((AZ39/AU39)/(AZ11/AU11)-1,"")</f>
        <v>-0.0355163025389018</v>
      </c>
      <c r="BA44" s="255">
        <f>IFERROR((BA39/AV39)/(BA11/AV11)-1,"")</f>
        <v>0.0473063566027783</v>
      </c>
      <c r="BB44" s="255">
        <f>IFERROR((BB39/AW39)/(BB11/AW11)-1,"")</f>
        <v>0.048173590533906</v>
      </c>
      <c r="BC44" s="255">
        <f>IFERROR((BC39/AX39)/(BC11/AX11)-1,"")</f>
        <v>0.0362461972576165</v>
      </c>
      <c r="BD44" s="255">
        <f>IFERROR((BD39/AY39)/(BD11/AY11)-1,"")</f>
        <v>0.0976371043611981</v>
      </c>
      <c r="BE44" s="255">
        <f>IFERROR((BE39/AZ39)/(BE11/AZ11)-1,"")</f>
        <v>0.057256915509649</v>
      </c>
      <c r="BF44" s="255">
        <f>IFERROR((BF39/BA39)/(BF11/BA11)-1,"")</f>
        <v>0.0685831864104387</v>
      </c>
      <c r="BG44" s="255">
        <f>IFERROR((BG39/BB39)/(BG11/BB11)-1,"")</f>
        <v>0.0904828828300657</v>
      </c>
      <c r="BH44" s="255">
        <f>IFERROR((BH39/BC39)/(BH11/BC11)-1,"")</f>
        <v>0.0478403508710763</v>
      </c>
      <c r="BI44" s="255">
        <f>IFERROR((BI39/BD39)/(BI11/BD11)-1,"")</f>
        <v>0.0273402201589525</v>
      </c>
      <c r="BJ44" s="255">
        <f>IFERROR((BJ39/BE39)/(BJ11/BE11)-1,"")</f>
        <v>0.0577725090815215</v>
      </c>
      <c r="BK44" s="255">
        <f>IFERROR((BK39/BF39)/(BK11/BF11)-1,"")</f>
        <v>-0.00355966871936086</v>
      </c>
      <c r="BL44" s="255">
        <f>IFERROR((BL39/BG39)/(BL11/BG11)-1,"")</f>
        <v>0.0111546802694074</v>
      </c>
      <c r="BM44" s="255">
        <f>IFERROR((BM39/BH39)/(BM11/BH11)-1,"")</f>
        <v>0.0213902298813995</v>
      </c>
      <c r="BN44" s="255">
        <f>IFERROR((BN39/BI39)/(BN11/BI11)-1,"")</f>
        <v>0.0627093487807928</v>
      </c>
      <c r="BO44" s="255">
        <f>IFERROR((BO39/BJ39)/(BO11/BJ11)-1,"")</f>
        <v>0.0231243996814163</v>
      </c>
      <c r="BP44" s="255">
        <f>IFERROR((BP39/BK39)/(BP11/BK11)-1,"")</f>
        <v>0.0329815222774044</v>
      </c>
      <c r="BQ44" s="255">
        <f>IFERROR((BQ39/BL39)/(BQ11/BL11)-1,"")</f>
        <v>0.0176314793794929</v>
      </c>
      <c r="BR44" s="255">
        <f>IFERROR((BR39/BM39)/(BR11/BM11)-1,"")</f>
        <v>0.0841347239395731</v>
      </c>
      <c r="BS44" s="255">
        <f>IFERROR((BS39/BN39)/(BS11/BN11)-1,"")</f>
        <v>0.0260109555672612</v>
      </c>
      <c r="BT44" s="255">
        <f>IFERROR((BT39/BO39)/(BT11/BO11)-1,"")</f>
        <v>0.0404766492125854</v>
      </c>
      <c r="BU44" s="255">
        <f>IFERROR((BU39/BP39)/(BU11/BP11)-1,"")</f>
        <v>0.0473662292639439</v>
      </c>
      <c r="BV44" s="255">
        <f>IFERROR((BV39/BQ39)/(BV11/BQ11)-1,"")</f>
        <v>0.0664229345340148</v>
      </c>
      <c r="BW44" s="255">
        <f>IFERROR((BW39/BR39)/(BW11/BR11)-1,"")</f>
        <v>0.025830817239616</v>
      </c>
      <c r="BX44" s="256">
        <f>IFERROR((BX39/BS39)/(BX11/BS11)-1,"")</f>
        <v>0.0180180180180178</v>
      </c>
      <c r="BY44" s="256">
        <f>IFERROR((BY39/BT39)/(BY11/BT11)-1,"")</f>
        <v>0.0387335864802345</v>
      </c>
      <c r="BZ44" s="256">
        <f>IFERROR((BZ39/BY39)/(BZ11/BY11)-1,"")</f>
        <v>0.0186186599843314</v>
      </c>
      <c r="CA44" s="256">
        <f>IFERROR((CA39/BZ39)/(CA11/BZ11)-1,"")</f>
        <v>0.026697529997068</v>
      </c>
      <c r="CB44" s="256">
        <f>IFERROR((CB39/CA39)/(CB11/CA11)-1,"")</f>
        <v>0.019825507791555</v>
      </c>
      <c r="CC44" s="256">
        <f>IFERROR((CC39/CB39)/(CC11/CB11)-1,"")</f>
        <v>0.0179354944840633</v>
      </c>
      <c r="CD44" s="256">
        <f>IFERROR((CD39/CC39)/(CD11/CC11)-1,"")</f>
        <v>0.0149853248147402</v>
      </c>
      <c r="CE44" s="153" t="n"/>
      <c r="CM44" s="25" t="inlineStr">
        <is>
          <t xml:space="preserve">  2030E</t>
        </is>
      </c>
      <c r="CN44" s="33">
        <f>CO44+$CN$40</f>
        <v>0.015</v>
      </c>
      <c r="CO44" s="42" t="n">
        <v>0.005</v>
      </c>
      <c r="CP44" s="33">
        <f>CO44+$CP$40</f>
        <v>-0.01</v>
      </c>
    </row>
    <row r="45" ht="15" customHeight="1" s="251">
      <c r="CM45" s="25" t="inlineStr">
        <is>
          <t xml:space="preserve">  2031E</t>
        </is>
      </c>
      <c r="CN45" s="33">
        <f>CO45+$CN$40</f>
        <v>0.015</v>
      </c>
      <c r="CO45" s="42" t="n">
        <v>0.005</v>
      </c>
      <c r="CP45" s="33">
        <f>CO45+$CP$40</f>
        <v>-0.01</v>
      </c>
    </row>
    <row r="46" ht="15" customHeight="1" s="251">
      <c r="B46" s="14" t="inlineStr">
        <is>
          <t>Q4/26E calibration — net revenue and non-GAAP EPS to the Q4 FY26 outlook (UNVERIFIED: given on the call, not filed on EDGAR)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4" t="n"/>
      <c r="CC46" s="14" t="n"/>
      <c r="CD46" s="14" t="n"/>
      <c r="CE46" s="15" t="inlineStr">
        <is>
          <t>CALIBRATION — Visa guides on the earnings call only (no outlook in the 8-K release since FY2020); end-points are labelled unverified</t>
        </is>
      </c>
      <c r="CM46" s="15" t="inlineStr">
        <is>
          <t>DP_RPT (data processing revenue per transaction, y/y)</t>
        </is>
      </c>
      <c r="CN46" s="41" t="n">
        <v>0.015</v>
      </c>
      <c r="CO46" s="21" t="inlineStr">
        <is>
          <t>Δ →</t>
        </is>
      </c>
      <c r="CP46" s="41" t="n">
        <v>-0.02</v>
      </c>
      <c r="CQ46" s="13" t="inlineStr">
        <is>
          <t>FY2021–25 −3.4% to +2.4%; 9M FY26 +7.5% (pricing, value-added services, cross-border mix).</t>
        </is>
      </c>
    </row>
    <row r="47" ht="15" customHeight="1" s="251">
      <c r="B47" s="156" t="inlineStr">
        <is>
          <t xml:space="preserve">  Memo: Q4/26E net revenue end-point = Q4/25 × (1 + outlook growth, active scenario)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  <c r="AG47" s="34" t="n"/>
      <c r="AH47" s="34" t="n"/>
      <c r="AI47" s="34" t="n"/>
      <c r="AJ47" s="34" t="n"/>
      <c r="AK47" s="34" t="n"/>
      <c r="AL47" s="34" t="n"/>
      <c r="AM47" s="34" t="n"/>
      <c r="AN47" s="34" t="n"/>
      <c r="AO47" s="34" t="n"/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  <c r="AY47" s="34" t="n"/>
      <c r="AZ47" s="34" t="n"/>
      <c r="BA47" s="34" t="n"/>
      <c r="BB47" s="34" t="n"/>
      <c r="BC47" s="34" t="n"/>
      <c r="BD47" s="34" t="n"/>
      <c r="BE47" s="34" t="n"/>
      <c r="BF47" s="34" t="n"/>
      <c r="BG47" s="34" t="n"/>
      <c r="BH47" s="34" t="n"/>
      <c r="BI47" s="34" t="n"/>
      <c r="BJ47" s="34" t="n"/>
      <c r="BK47" s="34" t="n"/>
      <c r="BL47" s="34" t="n"/>
      <c r="BM47" s="34" t="n"/>
      <c r="BN47" s="34" t="n"/>
      <c r="BO47" s="34" t="n"/>
      <c r="BP47" s="34" t="n"/>
      <c r="BQ47" s="34" t="n"/>
      <c r="BR47" s="34" t="n"/>
      <c r="BS47" s="34" t="n"/>
      <c r="BT47" s="34" t="n"/>
      <c r="BU47" s="34" t="n"/>
      <c r="BV47" s="34" t="n"/>
      <c r="BW47" s="34" t="n"/>
      <c r="BX47" s="267">
        <f>BS113*(1+CHOOSE(MATCH($CE$2,{"Bull","Base","Bear"},0),$CN$12,$CO$12,$CP$12))</f>
        <v>12118.12</v>
      </c>
      <c r="BY47" s="153" t="n"/>
      <c r="BZ47" s="153" t="n"/>
      <c r="CA47" s="153" t="n"/>
      <c r="CB47" s="153" t="n"/>
      <c r="CC47" s="153" t="n"/>
      <c r="CD47" s="153" t="n"/>
      <c r="CE47" s="153" t="inlineStr">
        <is>
          <t>Q4 FY26 adjusted net revenue growth 'similar to Q3' (Q3: +14% nominal, +13% constant dollar) - UNVERIFIED. Model end-points high / mid / low = 14% / 13% / 12% on Q4 FY25 net revenue $10,724m. Drives the Q4/26E revenue calibration.</t>
        </is>
      </c>
      <c r="CM47" s="25" t="inlineStr">
        <is>
          <t xml:space="preserve">  2027E</t>
        </is>
      </c>
      <c r="CN47" s="33">
        <f>CO47+$CN$46</f>
        <v>0.04</v>
      </c>
      <c r="CO47" s="42" t="n">
        <v>0.025</v>
      </c>
      <c r="CP47" s="33">
        <f>CO47+$CP$46</f>
        <v>0.005</v>
      </c>
    </row>
    <row r="48" ht="15" customHeight="1" s="251">
      <c r="B48" s="25" t="inlineStr">
        <is>
          <t xml:space="preserve">  Net revenue before calibration (Q4/26E helper)</t>
        </is>
      </c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  <c r="AD48" s="34" t="n"/>
      <c r="AE48" s="34" t="n"/>
      <c r="AF48" s="34" t="n"/>
      <c r="AG48" s="34" t="n"/>
      <c r="AH48" s="34" t="n"/>
      <c r="AI48" s="34" t="n"/>
      <c r="AJ48" s="34" t="n"/>
      <c r="AK48" s="34" t="n"/>
      <c r="AL48" s="34" t="n"/>
      <c r="AM48" s="34" t="n"/>
      <c r="AN48" s="34" t="n"/>
      <c r="AO48" s="34" t="n"/>
      <c r="AP48" s="34" t="n"/>
      <c r="AQ48" s="34" t="n"/>
      <c r="AR48" s="34" t="n"/>
      <c r="AS48" s="34" t="n"/>
      <c r="AT48" s="34" t="n"/>
      <c r="AU48" s="34" t="n"/>
      <c r="AV48" s="34" t="n"/>
      <c r="AW48" s="34" t="n"/>
      <c r="AX48" s="34" t="n"/>
      <c r="AY48" s="34" t="n"/>
      <c r="AZ48" s="34" t="n"/>
      <c r="BA48" s="34" t="n"/>
      <c r="BB48" s="34" t="n"/>
      <c r="BC48" s="34" t="n"/>
      <c r="BD48" s="34" t="n"/>
      <c r="BE48" s="34" t="n"/>
      <c r="BF48" s="34" t="n"/>
      <c r="BG48" s="34" t="n"/>
      <c r="BH48" s="34" t="n"/>
      <c r="BI48" s="34" t="n"/>
      <c r="BJ48" s="34" t="n"/>
      <c r="BK48" s="34" t="n"/>
      <c r="BL48" s="34" t="n"/>
      <c r="BM48" s="34" t="n"/>
      <c r="BN48" s="34" t="n"/>
      <c r="BO48" s="34" t="n"/>
      <c r="BP48" s="34" t="n"/>
      <c r="BQ48" s="34" t="n"/>
      <c r="BR48" s="34" t="n"/>
      <c r="BS48" s="34" t="n"/>
      <c r="BT48" s="34" t="n"/>
      <c r="BU48" s="34" t="n"/>
      <c r="BV48" s="34" t="n"/>
      <c r="BW48" s="34" t="n"/>
      <c r="BX48" s="254">
        <f>(BX11*1000*BS21*(1+BX22)+BX16*BS25*(1+BX26)+BS28*(1+BX30)+BS31*(1+BX33))*(1-BX37)</f>
        <v>12418.826624365</v>
      </c>
      <c r="BY48" s="35" t="n"/>
      <c r="BZ48" s="35" t="n"/>
      <c r="CA48" s="35" t="n"/>
      <c r="CB48" s="35" t="n"/>
      <c r="CC48" s="35" t="n"/>
      <c r="CD48" s="35" t="n"/>
      <c r="CE48" s="19" t="n"/>
      <c r="CM48" s="25" t="inlineStr">
        <is>
          <t xml:space="preserve">  2028E</t>
        </is>
      </c>
      <c r="CN48" s="33">
        <f>CO48+$CN$46</f>
        <v>0.035</v>
      </c>
      <c r="CO48" s="42" t="n">
        <v>0.02</v>
      </c>
      <c r="CP48" s="33">
        <f>CO48+$CP$46</f>
        <v>0</v>
      </c>
    </row>
    <row r="49" ht="15" customHeight="1" s="251">
      <c r="B49" s="25" t="inlineStr">
        <is>
          <t xml:space="preserve">  Net revenue sensitivity to +1.00 of the calibration Δ (Q4/26E helper)</t>
        </is>
      </c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  <c r="AD49" s="34" t="n"/>
      <c r="AE49" s="34" t="n"/>
      <c r="AF49" s="34" t="n"/>
      <c r="AG49" s="34" t="n"/>
      <c r="AH49" s="34" t="n"/>
      <c r="AI49" s="34" t="n"/>
      <c r="AJ49" s="34" t="n"/>
      <c r="AK49" s="34" t="n"/>
      <c r="AL49" s="34" t="n"/>
      <c r="AM49" s="34" t="n"/>
      <c r="AN49" s="34" t="n"/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 t="n"/>
      <c r="AZ49" s="34" t="n"/>
      <c r="BA49" s="34" t="n"/>
      <c r="BB49" s="34" t="n"/>
      <c r="BC49" s="34" t="n"/>
      <c r="BD49" s="34" t="n"/>
      <c r="BE49" s="34" t="n"/>
      <c r="BF49" s="34" t="n"/>
      <c r="BG49" s="34" t="n"/>
      <c r="BH49" s="34" t="n"/>
      <c r="BI49" s="34" t="n"/>
      <c r="BJ49" s="34" t="n"/>
      <c r="BK49" s="34" t="n"/>
      <c r="BL49" s="34" t="n"/>
      <c r="BM49" s="34" t="n"/>
      <c r="BN49" s="34" t="n"/>
      <c r="BO49" s="34" t="n"/>
      <c r="BP49" s="34" t="n"/>
      <c r="BQ49" s="34" t="n"/>
      <c r="BR49" s="34" t="n"/>
      <c r="BS49" s="34" t="n"/>
      <c r="BT49" s="34" t="n"/>
      <c r="BU49" s="34" t="n"/>
      <c r="BV49" s="34" t="n"/>
      <c r="BW49" s="34" t="n"/>
      <c r="BX49" s="254">
        <f>(BX11*1000*BS21+BX16*BS25+BS28+BS31)*(1-BX37)</f>
        <v>11455.3816037847</v>
      </c>
      <c r="BY49" s="35" t="n"/>
      <c r="BZ49" s="35" t="n"/>
      <c r="CA49" s="35" t="n"/>
      <c r="CB49" s="35" t="n"/>
      <c r="CC49" s="35" t="n"/>
      <c r="CD49" s="35" t="n"/>
      <c r="CE49" s="19" t="n"/>
      <c r="CM49" s="25" t="inlineStr">
        <is>
          <t xml:space="preserve">  2029E</t>
        </is>
      </c>
      <c r="CN49" s="33">
        <f>CO49+$CN$46</f>
        <v>0.035</v>
      </c>
      <c r="CO49" s="42" t="n">
        <v>0.02</v>
      </c>
      <c r="CP49" s="33">
        <f>CO49+$CP$46</f>
        <v>0</v>
      </c>
    </row>
    <row r="50" ht="15" customHeight="1" s="251">
      <c r="B50" s="25" t="inlineStr">
        <is>
          <t xml:space="preserve">  Calibration Δ: uniform shift in service yield, data processing yield, international and other revenue growth (Q4/26E)</t>
        </is>
      </c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6" t="n"/>
      <c r="BH50" s="36" t="n"/>
      <c r="BI50" s="36" t="n"/>
      <c r="BJ50" s="36" t="n"/>
      <c r="BK50" s="36" t="n"/>
      <c r="BL50" s="36" t="n"/>
      <c r="BM50" s="36" t="n"/>
      <c r="BN50" s="36" t="n"/>
      <c r="BO50" s="36" t="n"/>
      <c r="BP50" s="36" t="n"/>
      <c r="BQ50" s="36" t="n"/>
      <c r="BR50" s="36" t="n"/>
      <c r="BS50" s="36" t="n"/>
      <c r="BT50" s="36" t="n"/>
      <c r="BU50" s="36" t="n"/>
      <c r="BV50" s="36" t="n"/>
      <c r="BW50" s="36" t="n"/>
      <c r="BX50" s="256">
        <f>(BX47-BX48)/BX49</f>
        <v>-0.0262502494256221</v>
      </c>
      <c r="BY50" s="24" t="n"/>
      <c r="BZ50" s="46" t="n"/>
      <c r="CA50" s="46" t="n"/>
      <c r="CB50" s="46" t="n"/>
      <c r="CC50" s="46" t="n"/>
      <c r="CD50" s="46" t="n"/>
      <c r="CE50" s="19" t="inlineStr">
        <is>
          <t>Closed-form solve (no goal-seek): Δ = (end-point − pre-calibration) ÷ sensitivity. Payments volume is published, so the Δ falls on yields and growth rates.</t>
        </is>
      </c>
      <c r="CM50" s="25" t="inlineStr">
        <is>
          <t xml:space="preserve">  2030E</t>
        </is>
      </c>
      <c r="CN50" s="33">
        <f>CO50+$CN$46</f>
        <v>0.03</v>
      </c>
      <c r="CO50" s="42" t="n">
        <v>0.015</v>
      </c>
      <c r="CP50" s="33">
        <f>CO50+$CP$46</f>
        <v>-0.005</v>
      </c>
    </row>
    <row r="51" ht="15" customHeight="1" s="251">
      <c r="B51" s="57" t="inlineStr">
        <is>
          <t xml:space="preserve">  Check: Q4/26E net revenue vs outlook end-point (should be 0)</t>
        </is>
      </c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n"/>
      <c r="AS51" s="44" t="n"/>
      <c r="AT51" s="44" t="n"/>
      <c r="AU51" s="44" t="n"/>
      <c r="AV51" s="44" t="n"/>
      <c r="AW51" s="44" t="n"/>
      <c r="AX51" s="44" t="n"/>
      <c r="AY51" s="44" t="n"/>
      <c r="AZ51" s="44" t="n"/>
      <c r="BA51" s="44" t="n"/>
      <c r="BB51" s="44" t="n"/>
      <c r="BC51" s="44" t="n"/>
      <c r="BD51" s="44" t="n"/>
      <c r="BE51" s="44" t="n"/>
      <c r="BF51" s="44" t="n"/>
      <c r="BG51" s="44" t="n"/>
      <c r="BH51" s="44" t="n"/>
      <c r="BI51" s="44" t="n"/>
      <c r="BJ51" s="44" t="n"/>
      <c r="BK51" s="44" t="n"/>
      <c r="BL51" s="44" t="n"/>
      <c r="BM51" s="44" t="n"/>
      <c r="BN51" s="44" t="n"/>
      <c r="BO51" s="44" t="n"/>
      <c r="BP51" s="44" t="n"/>
      <c r="BQ51" s="44" t="n"/>
      <c r="BR51" s="44" t="n"/>
      <c r="BS51" s="44" t="n"/>
      <c r="BT51" s="44" t="n"/>
      <c r="BU51" s="44" t="n"/>
      <c r="BV51" s="44" t="n"/>
      <c r="BW51" s="44" t="n"/>
      <c r="BX51" s="267">
        <f>ROUND(BX39-BX47,1)</f>
        <v>0</v>
      </c>
      <c r="BY51" s="153" t="n"/>
      <c r="BZ51" s="153" t="n"/>
      <c r="CA51" s="153" t="n"/>
      <c r="CB51" s="153" t="n"/>
      <c r="CC51" s="153" t="n"/>
      <c r="CD51" s="153" t="n"/>
      <c r="CE51" s="153" t="n"/>
      <c r="CM51" s="25" t="inlineStr">
        <is>
          <t xml:space="preserve">  2031E</t>
        </is>
      </c>
      <c r="CN51" s="33">
        <f>CO51+$CN$46</f>
        <v>0.03</v>
      </c>
      <c r="CO51" s="42" t="n">
        <v>0.015</v>
      </c>
      <c r="CP51" s="33">
        <f>CO51+$CP$46</f>
        <v>-0.005</v>
      </c>
    </row>
    <row r="52" ht="15" customHeight="1" s="251">
      <c r="B52" s="156" t="inlineStr">
        <is>
          <t xml:space="preserve">  Memo: implied FY26 net revenue growth (information; see the unverified full-year commentary)</t>
        </is>
      </c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  <c r="AQ52" s="44" t="n"/>
      <c r="AR52" s="44" t="n"/>
      <c r="AS52" s="44" t="n"/>
      <c r="AT52" s="44" t="n"/>
      <c r="AU52" s="44" t="n"/>
      <c r="AV52" s="44" t="n"/>
      <c r="AW52" s="44" t="n"/>
      <c r="AX52" s="44" t="n"/>
      <c r="AY52" s="44" t="n"/>
      <c r="AZ52" s="44" t="n"/>
      <c r="BA52" s="44" t="n"/>
      <c r="BB52" s="44" t="n"/>
      <c r="BC52" s="44" t="n"/>
      <c r="BD52" s="44" t="n"/>
      <c r="BE52" s="44" t="n"/>
      <c r="BF52" s="44" t="n"/>
      <c r="BG52" s="44" t="n"/>
      <c r="BH52" s="44" t="n"/>
      <c r="BI52" s="44" t="n"/>
      <c r="BJ52" s="44" t="n"/>
      <c r="BK52" s="44" t="n"/>
      <c r="BL52" s="44" t="n"/>
      <c r="BM52" s="44" t="n"/>
      <c r="BN52" s="44" t="n"/>
      <c r="BO52" s="44" t="n"/>
      <c r="BP52" s="44" t="n"/>
      <c r="BQ52" s="44" t="n"/>
      <c r="BR52" s="44" t="n"/>
      <c r="BS52" s="44" t="n"/>
      <c r="BT52" s="44" t="n"/>
      <c r="BU52" s="44" t="n"/>
      <c r="BV52" s="44" t="n"/>
      <c r="BW52" s="44" t="n"/>
      <c r="BX52" s="35" t="n"/>
      <c r="BY52" s="256">
        <f>BY40</f>
        <v>0.147053</v>
      </c>
      <c r="BZ52" s="35" t="n"/>
      <c r="CA52" s="35" t="n"/>
      <c r="CB52" s="35" t="n"/>
      <c r="CC52" s="35" t="n"/>
      <c r="CD52" s="35" t="n"/>
      <c r="CE52" s="153" t="n"/>
      <c r="CM52" s="15" t="inlineStr">
        <is>
          <t>ITR (international transaction revenue y/y)</t>
        </is>
      </c>
      <c r="CN52" s="41" t="n">
        <v>0.03</v>
      </c>
      <c r="CO52" s="21" t="inlineStr">
        <is>
          <t>Δ →</t>
        </is>
      </c>
      <c r="CP52" s="41" t="n">
        <v>-0.06</v>
      </c>
      <c r="CQ52" s="13" t="inlineStr">
        <is>
          <t>FY2023–25 +8.8% to +18.6% (travel recovery to FY23); 9M FY26 +7.4% (lower currency volatility). Cross-border volume ex intra-Europe growth low-teens.</t>
        </is>
      </c>
    </row>
    <row r="53" ht="15" customHeight="1" s="251">
      <c r="CM53" s="25" t="inlineStr">
        <is>
          <t xml:space="preserve">  2027E</t>
        </is>
      </c>
      <c r="CN53" s="33">
        <f>CO53+$CN$52</f>
        <v>0.13</v>
      </c>
      <c r="CO53" s="42" t="n">
        <v>0.1</v>
      </c>
      <c r="CP53" s="33">
        <f>CO53+$CP$52</f>
        <v>0.04</v>
      </c>
    </row>
    <row r="54" collapsed="1" ht="15" customHeight="1" s="251">
      <c r="B54" s="14" t="inlineStr">
        <is>
          <t>Operating expenses (non-GAAP, company definition) → adjusted operating income</t>
        </is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5" t="inlineStr">
        <is>
          <t>OPEX — non-GAAP operating expenses exclude the company's adjusting items (litigation provisions, acquired-intangible amortization, acquisition costs, severance …)</t>
        </is>
      </c>
      <c r="CM54" s="25" t="inlineStr">
        <is>
          <t xml:space="preserve">  2028E</t>
        </is>
      </c>
      <c r="CN54" s="33">
        <f>CO54+$CN$52</f>
        <v>0.13</v>
      </c>
      <c r="CO54" s="42" t="n">
        <v>0.1</v>
      </c>
      <c r="CP54" s="33">
        <f>CO54+$CP$52</f>
        <v>0.04</v>
      </c>
    </row>
    <row r="55" ht="15" customHeight="1" s="251">
      <c r="B55" s="16" t="inlineStr">
        <is>
          <t xml:space="preserve">  Adjusted operating expenses (GAAP operating expenses − operating adjusting items)</t>
        </is>
      </c>
      <c r="C55" s="264">
        <f>IF(ISNUMBER(C123),C123-C159,"")</f>
        <v>3366</v>
      </c>
      <c r="D55" s="264">
        <f>IF(ISNUMBER(D123),D123-D159,"")</f>
        <v>3238</v>
      </c>
      <c r="E55" s="264">
        <f>IF(ISNUMBER(E123),E123-E159,"")</f>
        <v>3476</v>
      </c>
      <c r="F55" s="264">
        <f>IF(ISNUMBER(F123),F123-F159,"")</f>
        <v>3732</v>
      </c>
      <c r="G55" s="264">
        <f>IF(ISNUMBER(G123),G123-G159,"")</f>
        <v>4184</v>
      </c>
      <c r="H55" s="264">
        <f>IF(ISNUMBER(H123),H123-H159,"")</f>
        <v>1046</v>
      </c>
      <c r="I55" s="264">
        <f>IF(ISNUMBER(I123),I123-I159,"")</f>
        <v>1098</v>
      </c>
      <c r="J55" s="264">
        <f>IF(ISNUMBER(J123),J123-J159,"")</f>
        <v>1173</v>
      </c>
      <c r="K55" s="264">
        <f>IF(ISNUMBER(K123),K123-K159,"")</f>
        <v>1222</v>
      </c>
      <c r="L55" s="264">
        <f>IF(ISNUMBER(L123),L123-L159,"")</f>
        <v>4539</v>
      </c>
      <c r="M55" s="264">
        <f>IF(ISNUMBER(M123),M123-M159,"")</f>
        <v>1078</v>
      </c>
      <c r="N55" s="264">
        <f>IF(ISNUMBER(N123),N123-N159,"")</f>
        <v>1115</v>
      </c>
      <c r="O55" s="264">
        <f>IF(ISNUMBER(O123),O123-O159,"")</f>
        <v>1135</v>
      </c>
      <c r="P55" s="264">
        <f>IF(ISNUMBER(P123),P123-P159,"")</f>
        <v>1227</v>
      </c>
      <c r="Q55" s="264">
        <f>IF(ISNUMBER(Q123),Q123-Q159,"")</f>
        <v>4555</v>
      </c>
      <c r="R55" s="264">
        <f>IF(ISNUMBER(R123),R123-R159,"")</f>
        <v>1144</v>
      </c>
      <c r="S55" s="264">
        <f>IF(ISNUMBER(S123),S123-S159,"")</f>
        <v>1128</v>
      </c>
      <c r="T55" s="264">
        <f>IF(ISNUMBER(T123),T123-T159,"")</f>
        <v>1256</v>
      </c>
      <c r="U55" s="264">
        <f>IF(ISNUMBER(U123),U123-U159,"")</f>
        <v>1288</v>
      </c>
      <c r="V55" s="264">
        <f>IF(ISNUMBER(V123),V123-V159,"")</f>
        <v>4816</v>
      </c>
      <c r="W55" s="264">
        <f>IF(ISNUMBER(W123),W123-W159,"")</f>
        <v>1169</v>
      </c>
      <c r="X55" s="264">
        <f>IF(ISNUMBER(X123),X123-X159,"")</f>
        <v>1192</v>
      </c>
      <c r="Y55" s="264">
        <f>IF(ISNUMBER(Y123),Y123-Y159,"")</f>
        <v>1173</v>
      </c>
      <c r="Z55" s="264">
        <f>IF(ISNUMBER(Z123),Z123-Z159,"")</f>
        <v>1526</v>
      </c>
      <c r="AA55" s="264">
        <f>IF(ISNUMBER(AA123),AA123-AA159,"")</f>
        <v>5060</v>
      </c>
      <c r="AB55" s="264">
        <f>IF(ISNUMBER(AB123),AB123-AB159,"")</f>
        <v>1361</v>
      </c>
      <c r="AC55" s="264">
        <f>IF(ISNUMBER(AC123),AC123-AC159,"")</f>
        <v>1477</v>
      </c>
      <c r="AD55" s="264">
        <f>IF(ISNUMBER(AD123),AD123-AD159,"")</f>
        <v>1541</v>
      </c>
      <c r="AE55" s="264">
        <f>IF(ISNUMBER(AE123),AE123-AE159,"")</f>
        <v>1643</v>
      </c>
      <c r="AF55" s="264">
        <f>IF(ISNUMBER(AF123),AF123-AF159,"")</f>
        <v>6022</v>
      </c>
      <c r="AG55" s="264">
        <f>IF(ISNUMBER(AG123),AG123-AG159,"")</f>
        <v>1535</v>
      </c>
      <c r="AH55" s="264">
        <f>IF(ISNUMBER(AH123),AH123-AH159,"")</f>
        <v>1737</v>
      </c>
      <c r="AI55" s="264">
        <f>IF(ISNUMBER(AI123),AI123-AI159,"")</f>
        <v>1755</v>
      </c>
      <c r="AJ55" s="264">
        <f>IF(ISNUMBER(AJ123),AJ123-AJ159,"")</f>
        <v>1833</v>
      </c>
      <c r="AK55" s="264">
        <f>IF(ISNUMBER(AK123),AK123-AK159,"")</f>
        <v>6860</v>
      </c>
      <c r="AL55" s="264">
        <f>IF(ISNUMBER(AL123),AL123-AL159,"")</f>
        <v>1789</v>
      </c>
      <c r="AM55" s="264">
        <f>IF(ISNUMBER(AM123),AM123-AM159,"")</f>
        <v>1853</v>
      </c>
      <c r="AN55" s="264">
        <f>IF(ISNUMBER(AN123),AN123-AN159,"")</f>
        <v>1932</v>
      </c>
      <c r="AO55" s="264">
        <f>IF(ISNUMBER(AO123),AO123-AO159,"")</f>
        <v>2032</v>
      </c>
      <c r="AP55" s="264">
        <f>IF(ISNUMBER(AP123),AP123-AP159,"")</f>
        <v>7606</v>
      </c>
      <c r="AQ55" s="264">
        <f>IF(ISNUMBER(AQ123),AQ123-AQ159,"")</f>
        <v>2025</v>
      </c>
      <c r="AR55" s="264">
        <f>IF(ISNUMBER(AR123),AR123-AR159,"")</f>
        <v>1914</v>
      </c>
      <c r="AS55" s="264">
        <f>IF(ISNUMBER(AS123),AS123-AS159,"")</f>
        <v>1821</v>
      </c>
      <c r="AT55" s="264">
        <f>IF(ISNUMBER(AT123),AT123-AT159,"")</f>
        <v>1942</v>
      </c>
      <c r="AU55" s="264">
        <f>IF(ISNUMBER(AU123),AU123-AU159,"")</f>
        <v>7702</v>
      </c>
      <c r="AV55" s="264">
        <f>IF(ISNUMBER(AV123),AV123-AV159,"")</f>
        <v>1828</v>
      </c>
      <c r="AW55" s="264">
        <f>IF(ISNUMBER(AW123),AW123-AW159,"")</f>
        <v>1978</v>
      </c>
      <c r="AX55" s="264">
        <f>IF(ISNUMBER(AX123),AX123-AX159,"")</f>
        <v>2048</v>
      </c>
      <c r="AY55" s="264">
        <f>IF(ISNUMBER(AY123),AY123-AY159,"")</f>
        <v>2223</v>
      </c>
      <c r="AZ55" s="264">
        <f>IF(ISNUMBER(AZ123),AZ123-AZ159,"")</f>
        <v>8077</v>
      </c>
      <c r="BA55" s="264">
        <f>IF(ISNUMBER(BA123),BA123-BA159,"")</f>
        <v>2115</v>
      </c>
      <c r="BB55" s="264">
        <f>IF(ISNUMBER(BB123),BB123-BB159,"")</f>
        <v>2287</v>
      </c>
      <c r="BC55" s="264">
        <f>IF(ISNUMBER(BC123),BC123-BC159,"")</f>
        <v>2353</v>
      </c>
      <c r="BD55" s="264">
        <f>IF(ISNUMBER(BD123),BD123-BD159,"")</f>
        <v>2632</v>
      </c>
      <c r="BE55" s="264">
        <f>IF(ISNUMBER(BE123),BE123-BE159,"")</f>
        <v>9387</v>
      </c>
      <c r="BF55" s="264">
        <f>IF(ISNUMBER(BF123),BF123-BF159,"")</f>
        <v>2439</v>
      </c>
      <c r="BG55" s="264">
        <f>IF(ISNUMBER(BG123),BG123-BG159,"")</f>
        <v>2581</v>
      </c>
      <c r="BH55" s="264">
        <f>IF(ISNUMBER(BH123),BH123-BH159,"")</f>
        <v>2578</v>
      </c>
      <c r="BI55" s="264">
        <f>IF(ISNUMBER(BI123),BI123-BI159,"")</f>
        <v>2883</v>
      </c>
      <c r="BJ55" s="264">
        <f>IF(ISNUMBER(BJ123),BJ123-BJ159,"")</f>
        <v>10481</v>
      </c>
      <c r="BK55" s="264">
        <f>IF(ISNUMBER(BK123),BK123-BK159,"")</f>
        <v>2619</v>
      </c>
      <c r="BL55" s="264">
        <f>IF(ISNUMBER(BL123),BL123-BL159,"")</f>
        <v>2871</v>
      </c>
      <c r="BM55" s="264">
        <f>IF(ISNUMBER(BM123),BM123-BM159,"")</f>
        <v>2927</v>
      </c>
      <c r="BN55" s="264">
        <f>IF(ISNUMBER(BN123),BN123-BN159,"")</f>
        <v>3192</v>
      </c>
      <c r="BO55" s="264">
        <f>IF(ISNUMBER(BO123),BO123-BO159,"")</f>
        <v>11609</v>
      </c>
      <c r="BP55" s="264">
        <f>IF(ISNUMBER(BP123),BP123-BP159,"")</f>
        <v>2917</v>
      </c>
      <c r="BQ55" s="264">
        <f>IF(ISNUMBER(BQ123),BQ123-BQ159,"")</f>
        <v>3071</v>
      </c>
      <c r="BR55" s="264">
        <f>IF(ISNUMBER(BR123),BR123-BR159,"")</f>
        <v>3307</v>
      </c>
      <c r="BS55" s="264">
        <f>IF(ISNUMBER(BS123),BS123-BS159,"")</f>
        <v>3611</v>
      </c>
      <c r="BT55" s="264">
        <f>IF(ISNUMBER(BT123),BT123-BT159,"")</f>
        <v>12906</v>
      </c>
      <c r="BU55" s="264">
        <f>IF(ISNUMBER(BU123),BU123-BU159,"")</f>
        <v>3391</v>
      </c>
      <c r="BV55" s="264">
        <f>IF(ISNUMBER(BV123),BV123-BV159,"")</f>
        <v>3599</v>
      </c>
      <c r="BW55" s="264">
        <f>IF(ISNUMBER(BW123),BW123-BW159,"")</f>
        <v>3878</v>
      </c>
      <c r="BX55" s="265">
        <f>BS55*(1+BX57+$BX$67)</f>
        <v>4132.03161096829</v>
      </c>
      <c r="BY55" s="265">
        <f>SUM(BU55:BX55)</f>
        <v>15000.0316109683</v>
      </c>
      <c r="BZ55" s="265">
        <f>BZ39*(1-BZ61)</f>
        <v>16480.4172640022</v>
      </c>
      <c r="CA55" s="265">
        <f>CA39*(1-CA61)</f>
        <v>18161.5803880161</v>
      </c>
      <c r="CB55" s="265">
        <f>CB39*(1-CB61)</f>
        <v>19817.584521933</v>
      </c>
      <c r="CC55" s="265">
        <f>CC39*(1-CC61)</f>
        <v>21685.9994022996</v>
      </c>
      <c r="CD55" s="265">
        <f>CD39*(1-CD61)</f>
        <v>23513.9077709252</v>
      </c>
      <c r="CE55" s="153" t="inlineStr">
        <is>
          <t>Q4/26E: prior-year quarter × (1 + 9M FY26 y/y + EPS calibration Δ). 2027E+: net revenue × (1 − adjusted operating margin lever).</t>
        </is>
      </c>
      <c r="CG55" s="20">
        <f>IFERROR((CD55/BY55)^(1/5)-1,"n/m")</f>
        <v>0.0940735712685255</v>
      </c>
      <c r="CH55" s="20">
        <f>IFERROR((BT55/AU55)^(1/5)-1,"n/m")</f>
        <v>0.108760202966829</v>
      </c>
      <c r="CI55" s="20">
        <f>IFERROR((BT55/V55)^(1/10)-1,"n/m")</f>
        <v>0.103597017844763</v>
      </c>
      <c r="CJ55" s="20">
        <f>IFERROR((BT55/C55)^(1/17)-1,"n/m")</f>
        <v>0.0822658963935545</v>
      </c>
      <c r="CM55" s="25" t="inlineStr">
        <is>
          <t xml:space="preserve">  2029E</t>
        </is>
      </c>
      <c r="CN55" s="33">
        <f>CO55+$CN$52</f>
        <v>0.12</v>
      </c>
      <c r="CO55" s="42" t="n">
        <v>0.09</v>
      </c>
      <c r="CP55" s="33">
        <f>CO55+$CP$52</f>
        <v>0.03</v>
      </c>
    </row>
    <row r="56" ht="15" customHeight="1" s="251">
      <c r="B56" s="22" t="inlineStr">
        <is>
          <t xml:space="preserve">    y/y %</t>
        </is>
      </c>
      <c r="C56" s="23" t="n"/>
      <c r="D56" s="255">
        <f>IF(AND(ISNUMBER(D55),ISNUMBER(C55)),IFERROR(D55/C55-1,""),"")</f>
        <v>-0.0380273321449792</v>
      </c>
      <c r="E56" s="255">
        <f>IF(AND(ISNUMBER(E55),ISNUMBER(D55)),IFERROR(E55/D55-1,""),"")</f>
        <v>0.0735021618282892</v>
      </c>
      <c r="F56" s="255">
        <f>IF(AND(ISNUMBER(F55),ISNUMBER(E55)),IFERROR(F55/E55-1,""),"")</f>
        <v>0.0736478711162256</v>
      </c>
      <c r="G56" s="255">
        <f>IF(AND(ISNUMBER(G55),ISNUMBER(F55)),IFERROR(G55/F55-1,""),"")</f>
        <v>0.121114683815649</v>
      </c>
      <c r="H56" s="23" t="n"/>
      <c r="I56" s="23" t="n"/>
      <c r="J56" s="23" t="n"/>
      <c r="K56" s="23" t="n"/>
      <c r="L56" s="255">
        <f>IF(AND(ISNUMBER(L55),ISNUMBER(G55)),IFERROR(L55/G55-1,""),"")</f>
        <v>0.0848470363288718</v>
      </c>
      <c r="M56" s="255">
        <f>IF(AND(ISNUMBER(M55),ISNUMBER(H55)),IFERROR(M55/H55-1,""),"")</f>
        <v>0.0305927342256214</v>
      </c>
      <c r="N56" s="255">
        <f>IF(AND(ISNUMBER(N55),ISNUMBER(I55)),IFERROR(N55/I55-1,""),"")</f>
        <v>0.0154826958105647</v>
      </c>
      <c r="O56" s="255">
        <f>IF(AND(ISNUMBER(O55),ISNUMBER(J55)),IFERROR(O55/J55-1,""),"")</f>
        <v>-0.0323955669224212</v>
      </c>
      <c r="P56" s="255">
        <f>IF(AND(ISNUMBER(P55),ISNUMBER(K55)),IFERROR(P55/K55-1,""),"")</f>
        <v>0.00409165302782322</v>
      </c>
      <c r="Q56" s="255">
        <f>IF(AND(ISNUMBER(Q55),ISNUMBER(L55)),IFERROR(Q55/L55-1,""),"")</f>
        <v>0.00352500550782109</v>
      </c>
      <c r="R56" s="255">
        <f>IF(AND(ISNUMBER(R55),ISNUMBER(M55)),IFERROR(R55/M55-1,""),"")</f>
        <v>0.0612244897959184</v>
      </c>
      <c r="S56" s="255">
        <f>IF(AND(ISNUMBER(S55),ISNUMBER(N55)),IFERROR(S55/N55-1,""),"")</f>
        <v>0.0116591928251122</v>
      </c>
      <c r="T56" s="255">
        <f>IF(AND(ISNUMBER(T55),ISNUMBER(O55)),IFERROR(T55/O55-1,""),"")</f>
        <v>0.106607929515419</v>
      </c>
      <c r="U56" s="255">
        <f>IF(AND(ISNUMBER(U55),ISNUMBER(P55)),IFERROR(U55/P55-1,""),"")</f>
        <v>0.0497147514262428</v>
      </c>
      <c r="V56" s="255">
        <f>IF(AND(ISNUMBER(V55),ISNUMBER(Q55)),IFERROR(V55/Q55-1,""),"")</f>
        <v>0.0572996706915478</v>
      </c>
      <c r="W56" s="255">
        <f>IF(AND(ISNUMBER(W55),ISNUMBER(R55)),IFERROR(W55/R55-1,""),"")</f>
        <v>0.0218531468531469</v>
      </c>
      <c r="X56" s="255">
        <f>IF(AND(ISNUMBER(X55),ISNUMBER(S55)),IFERROR(X55/S55-1,""),"")</f>
        <v>0.0567375886524824</v>
      </c>
      <c r="Y56" s="255">
        <f>IF(AND(ISNUMBER(Y55),ISNUMBER(T55)),IFERROR(Y55/T55-1,""),"")</f>
        <v>-0.0660828025477707</v>
      </c>
      <c r="Z56" s="255">
        <f>IF(AND(ISNUMBER(Z55),ISNUMBER(U55)),IFERROR(Z55/U55-1,""),"")</f>
        <v>0.184782608695652</v>
      </c>
      <c r="AA56" s="255">
        <f>IF(AND(ISNUMBER(AA55),ISNUMBER(V55)),IFERROR(AA55/V55-1,""),"")</f>
        <v>0.0506644518272426</v>
      </c>
      <c r="AB56" s="255">
        <f>IF(AND(ISNUMBER(AB55),ISNUMBER(W55)),IFERROR(AB55/W55-1,""),"")</f>
        <v>0.164242942686057</v>
      </c>
      <c r="AC56" s="255">
        <f>IF(AND(ISNUMBER(AC55),ISNUMBER(X55)),IFERROR(AC55/X55-1,""),"")</f>
        <v>0.239093959731544</v>
      </c>
      <c r="AD56" s="255">
        <f>IF(AND(ISNUMBER(AD55),ISNUMBER(Y55)),IFERROR(AD55/Y55-1,""),"")</f>
        <v>0.313725490196078</v>
      </c>
      <c r="AE56" s="255">
        <f>IF(AND(ISNUMBER(AE55),ISNUMBER(Z55)),IFERROR(AE55/Z55-1,""),"")</f>
        <v>0.0766710353866318</v>
      </c>
      <c r="AF56" s="255">
        <f>IF(AND(ISNUMBER(AF55),ISNUMBER(AA55)),IFERROR(AF55/AA55-1,""),"")</f>
        <v>0.190118577075099</v>
      </c>
      <c r="AG56" s="255">
        <f>IF(AND(ISNUMBER(AG55),ISNUMBER(AB55)),IFERROR(AG55/AB55-1,""),"")</f>
        <v>0.127847171197649</v>
      </c>
      <c r="AH56" s="255">
        <f>IF(AND(ISNUMBER(AH55),ISNUMBER(AC55)),IFERROR(AH55/AC55-1,""),"")</f>
        <v>0.17603249830738</v>
      </c>
      <c r="AI56" s="255">
        <f>IF(AND(ISNUMBER(AI55),ISNUMBER(AD55)),IFERROR(AI55/AD55-1,""),"")</f>
        <v>0.138870863075925</v>
      </c>
      <c r="AJ56" s="255">
        <f>IF(AND(ISNUMBER(AJ55),ISNUMBER(AE55)),IFERROR(AJ55/AE55-1,""),"")</f>
        <v>0.115642118076689</v>
      </c>
      <c r="AK56" s="255">
        <f>IF(AND(ISNUMBER(AK55),ISNUMBER(AF55)),IFERROR(AK55/AF55-1,""),"")</f>
        <v>0.1391564264364</v>
      </c>
      <c r="AL56" s="255">
        <f>IF(AND(ISNUMBER(AL55),ISNUMBER(AG55)),IFERROR(AL55/AG55-1,""),"")</f>
        <v>0.165472312703583</v>
      </c>
      <c r="AM56" s="255">
        <f>IF(AND(ISNUMBER(AM55),ISNUMBER(AH55)),IFERROR(AM55/AH55-1,""),"")</f>
        <v>0.0667818077144502</v>
      </c>
      <c r="AN56" s="255">
        <f>IF(AND(ISNUMBER(AN55),ISNUMBER(AI55)),IFERROR(AN55/AI55-1,""),"")</f>
        <v>0.100854700854701</v>
      </c>
      <c r="AO56" s="255">
        <f>IF(AND(ISNUMBER(AO55),ISNUMBER(AJ55)),IFERROR(AO55/AJ55-1,""),"")</f>
        <v>0.108565193671577</v>
      </c>
      <c r="AP56" s="255">
        <f>IF(AND(ISNUMBER(AP55),ISNUMBER(AK55)),IFERROR(AP55/AK55-1,""),"")</f>
        <v>0.108746355685131</v>
      </c>
      <c r="AQ56" s="255">
        <f>IF(AND(ISNUMBER(AQ55),ISNUMBER(AL55)),IFERROR(AQ55/AL55-1,""),"")</f>
        <v>0.131917272219117</v>
      </c>
      <c r="AR56" s="255">
        <f>IF(AND(ISNUMBER(AR55),ISNUMBER(AM55)),IFERROR(AR55/AM55-1,""),"")</f>
        <v>0.0329195898542904</v>
      </c>
      <c r="AS56" s="255">
        <f>IF(AND(ISNUMBER(AS55),ISNUMBER(AN55)),IFERROR(AS55/AN55-1,""),"")</f>
        <v>-0.0574534161490683</v>
      </c>
      <c r="AT56" s="255">
        <f>IF(AND(ISNUMBER(AT55),ISNUMBER(AO55)),IFERROR(AT55/AO55-1,""),"")</f>
        <v>-0.0442913385826772</v>
      </c>
      <c r="AU56" s="255">
        <f>IF(AND(ISNUMBER(AU55),ISNUMBER(AP55)),IFERROR(AU55/AP55-1,""),"")</f>
        <v>0.0126216145148568</v>
      </c>
      <c r="AV56" s="255">
        <f>IF(AND(ISNUMBER(AV55),ISNUMBER(AQ55)),IFERROR(AV55/AQ55-1,""),"")</f>
        <v>-0.0972839506172839</v>
      </c>
      <c r="AW56" s="255">
        <f>IF(AND(ISNUMBER(AW55),ISNUMBER(AR55)),IFERROR(AW55/AR55-1,""),"")</f>
        <v>0.0334378265412749</v>
      </c>
      <c r="AX56" s="255">
        <f>IF(AND(ISNUMBER(AX55),ISNUMBER(AS55)),IFERROR(AX55/AS55-1,""),"")</f>
        <v>0.124656781987919</v>
      </c>
      <c r="AY56" s="255">
        <f>IF(AND(ISNUMBER(AY55),ISNUMBER(AT55)),IFERROR(AY55/AT55-1,""),"")</f>
        <v>0.144696189495366</v>
      </c>
      <c r="AZ56" s="255">
        <f>IF(AND(ISNUMBER(AZ55),ISNUMBER(AU55)),IFERROR(AZ55/AU55-1,""),"")</f>
        <v>0.0486886522981045</v>
      </c>
      <c r="BA56" s="255">
        <f>IF(AND(ISNUMBER(BA55),ISNUMBER(AV55)),IFERROR(BA55/AV55-1,""),"")</f>
        <v>0.157002188183808</v>
      </c>
      <c r="BB56" s="255">
        <f>IF(AND(ISNUMBER(BB55),ISNUMBER(AW55)),IFERROR(BB55/AW55-1,""),"")</f>
        <v>0.156218402426694</v>
      </c>
      <c r="BC56" s="255">
        <f>IF(AND(ISNUMBER(BC55),ISNUMBER(AX55)),IFERROR(BC55/AX55-1,""),"")</f>
        <v>0.14892578125</v>
      </c>
      <c r="BD56" s="255">
        <f>IF(AND(ISNUMBER(BD55),ISNUMBER(AY55)),IFERROR(BD55/AY55-1,""),"")</f>
        <v>0.183985605038237</v>
      </c>
      <c r="BE56" s="255">
        <f>IF(AND(ISNUMBER(BE55),ISNUMBER(AZ55)),IFERROR(BE55/AZ55-1,""),"")</f>
        <v>0.162188931533985</v>
      </c>
      <c r="BF56" s="255">
        <f>IF(AND(ISNUMBER(BF55),ISNUMBER(BA55)),IFERROR(BF55/BA55-1,""),"")</f>
        <v>0.153191489361702</v>
      </c>
      <c r="BG56" s="255">
        <f>IF(AND(ISNUMBER(BG55),ISNUMBER(BB55)),IFERROR(BG55/BB55-1,""),"")</f>
        <v>0.128552689112374</v>
      </c>
      <c r="BH56" s="255">
        <f>IF(AND(ISNUMBER(BH55),ISNUMBER(BC55)),IFERROR(BH55/BC55-1,""),"")</f>
        <v>0.0956226094347641</v>
      </c>
      <c r="BI56" s="255">
        <f>IF(AND(ISNUMBER(BI55),ISNUMBER(BD55)),IFERROR(BI55/BD55-1,""),"")</f>
        <v>0.0953647416413375</v>
      </c>
      <c r="BJ56" s="255">
        <f>IF(AND(ISNUMBER(BJ55),ISNUMBER(BE55)),IFERROR(BJ55/BE55-1,""),"")</f>
        <v>0.116544156812613</v>
      </c>
      <c r="BK56" s="255">
        <f>IF(AND(ISNUMBER(BK55),ISNUMBER(BF55)),IFERROR(BK55/BF55-1,""),"")</f>
        <v>0.0738007380073802</v>
      </c>
      <c r="BL56" s="255">
        <f>IF(AND(ISNUMBER(BL55),ISNUMBER(BG55)),IFERROR(BL55/BG55-1,""),"")</f>
        <v>0.112359550561798</v>
      </c>
      <c r="BM56" s="255">
        <f>IF(AND(ISNUMBER(BM55),ISNUMBER(BH55)),IFERROR(BM55/BH55-1,""),"")</f>
        <v>0.135376260667184</v>
      </c>
      <c r="BN56" s="255">
        <f>IF(AND(ISNUMBER(BN55),ISNUMBER(BI55)),IFERROR(BN55/BI55-1,""),"")</f>
        <v>0.107180020811654</v>
      </c>
      <c r="BO56" s="255">
        <f>IF(AND(ISNUMBER(BO55),ISNUMBER(BJ55)),IFERROR(BO55/BJ55-1,""),"")</f>
        <v>0.10762331838565</v>
      </c>
      <c r="BP56" s="255">
        <f>IF(AND(ISNUMBER(BP55),ISNUMBER(BK55)),IFERROR(BP55/BK55-1,""),"")</f>
        <v>0.113783886979763</v>
      </c>
      <c r="BQ56" s="255">
        <f>IF(AND(ISNUMBER(BQ55),ISNUMBER(BL55)),IFERROR(BQ55/BL55-1,""),"")</f>
        <v>0.0696621386276559</v>
      </c>
      <c r="BR56" s="255">
        <f>IF(AND(ISNUMBER(BR55),ISNUMBER(BM55)),IFERROR(BR55/BM55-1,""),"")</f>
        <v>0.129825760163991</v>
      </c>
      <c r="BS56" s="255">
        <f>IF(AND(ISNUMBER(BS55),ISNUMBER(BN55)),IFERROR(BS55/BN55-1,""),"")</f>
        <v>0.131265664160401</v>
      </c>
      <c r="BT56" s="255">
        <f>IF(AND(ISNUMBER(BT55),ISNUMBER(BO55)),IFERROR(BT55/BO55-1,""),"")</f>
        <v>0.11172366267551</v>
      </c>
      <c r="BU56" s="255">
        <f>IF(AND(ISNUMBER(BU55),ISNUMBER(BP55)),IFERROR(BU55/BP55-1,""),"")</f>
        <v>0.162495714775454</v>
      </c>
      <c r="BV56" s="255">
        <f>IF(AND(ISNUMBER(BV55),ISNUMBER(BQ55)),IFERROR(BV55/BQ55-1,""),"")</f>
        <v>0.17193096711169</v>
      </c>
      <c r="BW56" s="255">
        <f>IF(AND(ISNUMBER(BW55),ISNUMBER(BR55)),IFERROR(BW55/BR55-1,""),"")</f>
        <v>0.172664045963109</v>
      </c>
      <c r="BX56" s="256">
        <f>IF(AND(ISNUMBER(BX55),ISNUMBER(BS55)),IFERROR(BX55/BS55-1,""),"")</f>
        <v>0.144290116579422</v>
      </c>
      <c r="BY56" s="256">
        <f>IF(AND(ISNUMBER(BY55),ISNUMBER(BT55)),IFERROR(BY55/BT55-1,""),"")</f>
        <v>0.16225256554845</v>
      </c>
      <c r="BZ56" s="256">
        <f>IF(AND(ISNUMBER(BZ55),ISNUMBER(BY55)),IFERROR(BZ55/BY55-1,""),"")</f>
        <v>0.098692168885256</v>
      </c>
      <c r="CA56" s="256">
        <f>IF(AND(ISNUMBER(CA55),ISNUMBER(BZ55)),IFERROR(CA55/BZ55-1,""),"")</f>
        <v>0.102009742659007</v>
      </c>
      <c r="CB56" s="256">
        <f>IF(AND(ISNUMBER(CB55),ISNUMBER(CA55)),IFERROR(CB55/CA55-1,""),"")</f>
        <v>0.091181719791831</v>
      </c>
      <c r="CC56" s="256">
        <f>IF(AND(ISNUMBER(CC55),ISNUMBER(CB55)),IFERROR(CC55/CB55-1,""),"")</f>
        <v>0.094280656570368</v>
      </c>
      <c r="CD56" s="256">
        <f>IF(AND(ISNUMBER(CD55),ISNUMBER(CC55)),IFERROR(CD55/CC55-1,""),"")</f>
        <v>0.0842897915247465</v>
      </c>
      <c r="CE56" s="153" t="n"/>
      <c r="CM56" s="25" t="inlineStr">
        <is>
          <t xml:space="preserve">  2030E</t>
        </is>
      </c>
      <c r="CN56" s="33">
        <f>CO56+$CN$52</f>
        <v>0.12</v>
      </c>
      <c r="CO56" s="42" t="n">
        <v>0.09</v>
      </c>
      <c r="CP56" s="33">
        <f>CO56+$CP$52</f>
        <v>0.03</v>
      </c>
    </row>
    <row r="57" ht="15" customHeight="1" s="251">
      <c r="B57" s="25" t="inlineStr">
        <is>
          <t xml:space="preserve">    Q4/26E growth before EPS calibration (9M FY26 y/y)</t>
        </is>
      </c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256">
        <f>IFERROR(SUM(BU55:BW55)/SUM(BP55:BR55)-1,0)</f>
        <v>0.169230769230769</v>
      </c>
      <c r="BY57" s="24" t="n"/>
      <c r="BZ57" s="46" t="n"/>
      <c r="CA57" s="46" t="n"/>
      <c r="CB57" s="46" t="n"/>
      <c r="CC57" s="46" t="n"/>
      <c r="CD57" s="46" t="n"/>
      <c r="CE57" s="19" t="inlineStr">
        <is>
          <t>Trend input: 9M FY26 ÷ 9M FY25 non-GAAP operating expenses − 1 (incl. FIFA World Cup / Olympics marketing).</t>
        </is>
      </c>
      <c r="CM57" s="25" t="inlineStr">
        <is>
          <t xml:space="preserve">  2031E</t>
        </is>
      </c>
      <c r="CN57" s="33">
        <f>CO57+$CN$52</f>
        <v>0.11</v>
      </c>
      <c r="CO57" s="42" t="n">
        <v>0.08</v>
      </c>
      <c r="CP57" s="33">
        <f>CO57+$CP$52</f>
        <v>0.02</v>
      </c>
    </row>
    <row r="58" ht="15" customHeight="1" s="251">
      <c r="B58" s="156" t="inlineStr">
        <is>
          <t xml:space="preserve">  Company-published non-GAAP operating expenses</t>
        </is>
      </c>
      <c r="C58" s="253" t="n">
        <v>3366</v>
      </c>
      <c r="D58" s="253" t="n">
        <v>3238</v>
      </c>
      <c r="E58" s="34" t="n"/>
      <c r="F58" s="34" t="n"/>
      <c r="G58" s="253" t="n">
        <v>4184</v>
      </c>
      <c r="H58" s="34" t="n"/>
      <c r="I58" s="34" t="n"/>
      <c r="J58" s="34" t="n"/>
      <c r="K58" s="34" t="n"/>
      <c r="L58" s="34" t="n"/>
      <c r="M58" s="34" t="n"/>
      <c r="N58" s="34" t="n"/>
      <c r="O58" s="34" t="n"/>
      <c r="P58" s="253" t="n">
        <v>1227</v>
      </c>
      <c r="Q58" s="253" t="n">
        <v>4555</v>
      </c>
      <c r="R58" s="34" t="n"/>
      <c r="S58" s="34" t="n"/>
      <c r="T58" s="34" t="n"/>
      <c r="U58" s="34" t="n"/>
      <c r="V58" s="253" t="n">
        <v>4816</v>
      </c>
      <c r="W58" s="34" t="n"/>
      <c r="X58" s="34" t="n"/>
      <c r="Y58" s="253" t="n">
        <v>1173</v>
      </c>
      <c r="Z58" s="253" t="n">
        <v>1526</v>
      </c>
      <c r="AA58" s="253" t="n">
        <v>5060</v>
      </c>
      <c r="AB58" s="34" t="n"/>
      <c r="AC58" s="253" t="n">
        <v>1477</v>
      </c>
      <c r="AD58" s="34" t="n"/>
      <c r="AE58" s="34" t="n"/>
      <c r="AF58" s="253" t="n">
        <v>6022</v>
      </c>
      <c r="AG58" s="34" t="n"/>
      <c r="AH58" s="34" t="n"/>
      <c r="AI58" s="253" t="n">
        <v>1755</v>
      </c>
      <c r="AJ58" s="253" t="n">
        <v>1833</v>
      </c>
      <c r="AK58" s="253" t="n">
        <v>6860</v>
      </c>
      <c r="AL58" s="34" t="n"/>
      <c r="AM58" s="34" t="n"/>
      <c r="AN58" s="34" t="n"/>
      <c r="AO58" s="253" t="n">
        <v>2032</v>
      </c>
      <c r="AP58" s="253" t="n">
        <v>7606</v>
      </c>
      <c r="AQ58" s="253" t="n">
        <v>2025</v>
      </c>
      <c r="AR58" s="253" t="n">
        <v>1914</v>
      </c>
      <c r="AS58" s="253" t="n">
        <v>1821</v>
      </c>
      <c r="AT58" s="253" t="n">
        <v>1942</v>
      </c>
      <c r="AU58" s="253" t="n">
        <v>7702</v>
      </c>
      <c r="AV58" s="253" t="n">
        <v>1828</v>
      </c>
      <c r="AW58" s="253" t="n">
        <v>1978</v>
      </c>
      <c r="AX58" s="253" t="n">
        <v>2048</v>
      </c>
      <c r="AY58" s="253" t="n">
        <v>2223</v>
      </c>
      <c r="AZ58" s="253" t="n">
        <v>8077</v>
      </c>
      <c r="BA58" s="253" t="n">
        <v>2115</v>
      </c>
      <c r="BB58" s="253" t="n">
        <v>2287</v>
      </c>
      <c r="BC58" s="253" t="n">
        <v>2353</v>
      </c>
      <c r="BD58" s="253" t="n">
        <v>2632</v>
      </c>
      <c r="BE58" s="253" t="n">
        <v>9387</v>
      </c>
      <c r="BF58" s="253" t="n">
        <v>2439</v>
      </c>
      <c r="BG58" s="253" t="n">
        <v>2581</v>
      </c>
      <c r="BH58" s="253" t="n">
        <v>2578</v>
      </c>
      <c r="BI58" s="253" t="n">
        <v>2883</v>
      </c>
      <c r="BJ58" s="253" t="n">
        <v>10481</v>
      </c>
      <c r="BK58" s="253" t="n">
        <v>2619</v>
      </c>
      <c r="BL58" s="253" t="n">
        <v>2871</v>
      </c>
      <c r="BM58" s="253" t="n">
        <v>2927</v>
      </c>
      <c r="BN58" s="253" t="n">
        <v>3192</v>
      </c>
      <c r="BO58" s="253" t="n">
        <v>11609</v>
      </c>
      <c r="BP58" s="253" t="n">
        <v>2917</v>
      </c>
      <c r="BQ58" s="253" t="n">
        <v>3071</v>
      </c>
      <c r="BR58" s="253" t="n">
        <v>3307</v>
      </c>
      <c r="BS58" s="253" t="n">
        <v>3611</v>
      </c>
      <c r="BT58" s="253" t="n">
        <v>12906</v>
      </c>
      <c r="BU58" s="253" t="n">
        <v>3391</v>
      </c>
      <c r="BV58" s="253" t="n">
        <v>3599</v>
      </c>
      <c r="BW58" s="253" t="n">
        <v>3878</v>
      </c>
      <c r="BX58" s="153" t="n"/>
      <c r="BY58" s="153" t="n"/>
      <c r="BZ58" s="153" t="n"/>
      <c r="CA58" s="153" t="n"/>
      <c r="CB58" s="153" t="n"/>
      <c r="CC58" s="153" t="n"/>
      <c r="CD58" s="153" t="n"/>
      <c r="CE58" s="153" t="n"/>
      <c r="CM58" s="15" t="inlineStr">
        <is>
          <t>OTH (other revenue y/y: value-added services, consulting, marketing)</t>
        </is>
      </c>
      <c r="CN58" s="41" t="n">
        <v>0.05</v>
      </c>
      <c r="CO58" s="21" t="inlineStr">
        <is>
          <t>Δ →</t>
        </is>
      </c>
      <c r="CP58" s="41" t="n">
        <v>-0.08</v>
      </c>
      <c r="CQ58" s="13" t="inlineStr">
        <is>
          <t>FY2023–25 +24.5% to +29.0%; 9M FY26 +40.1% (consulting, marketing services incl. FIFA World Cup 2026, Milano Cortina 2026).</t>
        </is>
      </c>
    </row>
    <row r="59" ht="15" customHeight="1" s="251">
      <c r="B59" s="57" t="inlineStr">
        <is>
          <t xml:space="preserve">  Check: model vs company-published non-GAAP operating expenses (should be 0)</t>
        </is>
      </c>
      <c r="C59" s="211">
        <f>IF(ISNUMBER(C58),IF(ABS(C55-C58)&lt;=1.01,0,ROUND(C55-C58,1)),"n/p")</f>
        <v>0</v>
      </c>
      <c r="D59" s="211">
        <f>IF(ISNUMBER(D58),IF(ABS(D55-D58)&lt;=1.01,0,ROUND(D55-D58,1)),"n/p")</f>
        <v>0</v>
      </c>
      <c r="E59" s="211" t="str">
        <f>IF(ISNUMBER(E58),IF(ABS(E55-E58)&lt;=1.01,0,ROUND(E55-E58,1)),"n/p")</f>
        <v>n/p</v>
      </c>
      <c r="F59" s="211" t="str">
        <f>IF(ISNUMBER(F58),IF(ABS(F55-F58)&lt;=1.01,0,ROUND(F55-F58,1)),"n/p")</f>
        <v>n/p</v>
      </c>
      <c r="G59" s="211">
        <f>IF(ISNUMBER(G58),IF(ABS(G55-G58)&lt;=1.01,0,ROUND(G55-G58,1)),"n/p")</f>
        <v>0</v>
      </c>
      <c r="H59" s="211" t="str">
        <f>IF(ISNUMBER(H58),IF(ABS(H55-H58)&lt;=1.01,0,ROUND(H55-H58,1)),"n/p")</f>
        <v>n/p</v>
      </c>
      <c r="I59" s="211" t="str">
        <f>IF(ISNUMBER(I58),IF(ABS(I55-I58)&lt;=1.01,0,ROUND(I55-I58,1)),"n/p")</f>
        <v>n/p</v>
      </c>
      <c r="J59" s="211" t="str">
        <f>IF(ISNUMBER(J58),IF(ABS(J55-J58)&lt;=1.01,0,ROUND(J55-J58,1)),"n/p")</f>
        <v>n/p</v>
      </c>
      <c r="K59" s="211" t="str">
        <f>IF(ISNUMBER(K58),IF(ABS(K55-K58)&lt;=1.01,0,ROUND(K55-K58,1)),"n/p")</f>
        <v>n/p</v>
      </c>
      <c r="L59" s="211" t="str">
        <f>IF(ISNUMBER(L58),IF(ABS(L55-L58)&lt;=1.01,0,ROUND(L55-L58,1)),"n/p")</f>
        <v>n/p</v>
      </c>
      <c r="M59" s="211" t="str">
        <f>IF(ISNUMBER(M58),IF(ABS(M55-M58)&lt;=1.01,0,ROUND(M55-M58,1)),"n/p")</f>
        <v>n/p</v>
      </c>
      <c r="N59" s="211" t="str">
        <f>IF(ISNUMBER(N58),IF(ABS(N55-N58)&lt;=1.01,0,ROUND(N55-N58,1)),"n/p")</f>
        <v>n/p</v>
      </c>
      <c r="O59" s="211" t="str">
        <f>IF(ISNUMBER(O58),IF(ABS(O55-O58)&lt;=1.01,0,ROUND(O55-O58,1)),"n/p")</f>
        <v>n/p</v>
      </c>
      <c r="P59" s="211">
        <f>IF(ISNUMBER(P58),IF(ABS(P55-P58)&lt;=1.01,0,ROUND(P55-P58,1)),"n/p")</f>
        <v>0</v>
      </c>
      <c r="Q59" s="211">
        <f>IF(ISNUMBER(Q58),IF(ABS(Q55-Q58)&lt;=1.01,0,ROUND(Q55-Q58,1)),"n/p")</f>
        <v>0</v>
      </c>
      <c r="R59" s="211" t="str">
        <f>IF(ISNUMBER(R58),IF(ABS(R55-R58)&lt;=1.01,0,ROUND(R55-R58,1)),"n/p")</f>
        <v>n/p</v>
      </c>
      <c r="S59" s="211" t="str">
        <f>IF(ISNUMBER(S58),IF(ABS(S55-S58)&lt;=1.01,0,ROUND(S55-S58,1)),"n/p")</f>
        <v>n/p</v>
      </c>
      <c r="T59" s="211" t="str">
        <f>IF(ISNUMBER(T58),IF(ABS(T55-T58)&lt;=1.01,0,ROUND(T55-T58,1)),"n/p")</f>
        <v>n/p</v>
      </c>
      <c r="U59" s="211" t="str">
        <f>IF(ISNUMBER(U58),IF(ABS(U55-U58)&lt;=1.01,0,ROUND(U55-U58,1)),"n/p")</f>
        <v>n/p</v>
      </c>
      <c r="V59" s="211">
        <f>IF(ISNUMBER(V58),IF(ABS(V55-V58)&lt;=1.01,0,ROUND(V55-V58,1)),"n/p")</f>
        <v>0</v>
      </c>
      <c r="W59" s="211" t="str">
        <f>IF(ISNUMBER(W58),IF(ABS(W55-W58)&lt;=1.01,0,ROUND(W55-W58,1)),"n/p")</f>
        <v>n/p</v>
      </c>
      <c r="X59" s="211" t="str">
        <f>IF(ISNUMBER(X58),IF(ABS(X55-X58)&lt;=1.01,0,ROUND(X55-X58,1)),"n/p")</f>
        <v>n/p</v>
      </c>
      <c r="Y59" s="211">
        <f>IF(ISNUMBER(Y58),IF(ABS(Y55-Y58)&lt;=1.01,0,ROUND(Y55-Y58,1)),"n/p")</f>
        <v>0</v>
      </c>
      <c r="Z59" s="211">
        <f>IF(ISNUMBER(Z58),IF(ABS(Z55-Z58)&lt;=1.01,0,ROUND(Z55-Z58,1)),"n/p")</f>
        <v>0</v>
      </c>
      <c r="AA59" s="211">
        <f>IF(ISNUMBER(AA58),IF(ABS(AA55-AA58)&lt;=1.01,0,ROUND(AA55-AA58,1)),"n/p")</f>
        <v>0</v>
      </c>
      <c r="AB59" s="211" t="str">
        <f>IF(ISNUMBER(AB58),IF(ABS(AB55-AB58)&lt;=1.01,0,ROUND(AB55-AB58,1)),"n/p")</f>
        <v>n/p</v>
      </c>
      <c r="AC59" s="211">
        <f>IF(ISNUMBER(AC58),IF(ABS(AC55-AC58)&lt;=1.01,0,ROUND(AC55-AC58,1)),"n/p")</f>
        <v>0</v>
      </c>
      <c r="AD59" s="211" t="str">
        <f>IF(ISNUMBER(AD58),IF(ABS(AD55-AD58)&lt;=1.01,0,ROUND(AD55-AD58,1)),"n/p")</f>
        <v>n/p</v>
      </c>
      <c r="AE59" s="211" t="str">
        <f>IF(ISNUMBER(AE58),IF(ABS(AE55-AE58)&lt;=1.01,0,ROUND(AE55-AE58,1)),"n/p")</f>
        <v>n/p</v>
      </c>
      <c r="AF59" s="211">
        <f>IF(ISNUMBER(AF58),IF(ABS(AF55-AF58)&lt;=1.01,0,ROUND(AF55-AF58,1)),"n/p")</f>
        <v>0</v>
      </c>
      <c r="AG59" s="211" t="str">
        <f>IF(ISNUMBER(AG58),IF(ABS(AG55-AG58)&lt;=1.01,0,ROUND(AG55-AG58,1)),"n/p")</f>
        <v>n/p</v>
      </c>
      <c r="AH59" s="211" t="str">
        <f>IF(ISNUMBER(AH58),IF(ABS(AH55-AH58)&lt;=1.01,0,ROUND(AH55-AH58,1)),"n/p")</f>
        <v>n/p</v>
      </c>
      <c r="AI59" s="211">
        <f>IF(ISNUMBER(AI58),IF(ABS(AI55-AI58)&lt;=1.01,0,ROUND(AI55-AI58,1)),"n/p")</f>
        <v>0</v>
      </c>
      <c r="AJ59" s="211">
        <f>IF(ISNUMBER(AJ58),IF(ABS(AJ55-AJ58)&lt;=1.01,0,ROUND(AJ55-AJ58,1)),"n/p")</f>
        <v>0</v>
      </c>
      <c r="AK59" s="211">
        <f>IF(ISNUMBER(AK58),IF(ABS(AK55-AK58)&lt;=1.01,0,ROUND(AK55-AK58,1)),"n/p")</f>
        <v>0</v>
      </c>
      <c r="AL59" s="211" t="str">
        <f>IF(ISNUMBER(AL58),IF(ABS(AL55-AL58)&lt;=1.01,0,ROUND(AL55-AL58,1)),"n/p")</f>
        <v>n/p</v>
      </c>
      <c r="AM59" s="211" t="str">
        <f>IF(ISNUMBER(AM58),IF(ABS(AM55-AM58)&lt;=1.01,0,ROUND(AM55-AM58,1)),"n/p")</f>
        <v>n/p</v>
      </c>
      <c r="AN59" s="211" t="str">
        <f>IF(ISNUMBER(AN58),IF(ABS(AN55-AN58)&lt;=1.01,0,ROUND(AN55-AN58,1)),"n/p")</f>
        <v>n/p</v>
      </c>
      <c r="AO59" s="211">
        <f>IF(ISNUMBER(AO58),IF(ABS(AO55-AO58)&lt;=1.01,0,ROUND(AO55-AO58,1)),"n/p")</f>
        <v>0</v>
      </c>
      <c r="AP59" s="211">
        <f>IF(ISNUMBER(AP58),IF(ABS(AP55-AP58)&lt;=1.01,0,ROUND(AP55-AP58,1)),"n/p")</f>
        <v>0</v>
      </c>
      <c r="AQ59" s="211">
        <f>IF(ISNUMBER(AQ58),IF(ABS(AQ55-AQ58)&lt;=1.01,0,ROUND(AQ55-AQ58,1)),"n/p")</f>
        <v>0</v>
      </c>
      <c r="AR59" s="211">
        <f>IF(ISNUMBER(AR58),IF(ABS(AR55-AR58)&lt;=1.01,0,ROUND(AR55-AR58,1)),"n/p")</f>
        <v>0</v>
      </c>
      <c r="AS59" s="211">
        <f>IF(ISNUMBER(AS58),IF(ABS(AS55-AS58)&lt;=1.01,0,ROUND(AS55-AS58,1)),"n/p")</f>
        <v>0</v>
      </c>
      <c r="AT59" s="211">
        <f>IF(ISNUMBER(AT58),IF(ABS(AT55-AT58)&lt;=1.01,0,ROUND(AT55-AT58,1)),"n/p")</f>
        <v>0</v>
      </c>
      <c r="AU59" s="211">
        <f>IF(ISNUMBER(AU58),IF(ABS(AU55-AU58)&lt;=1.01,0,ROUND(AU55-AU58,1)),"n/p")</f>
        <v>0</v>
      </c>
      <c r="AV59" s="211">
        <f>IF(ISNUMBER(AV58),IF(ABS(AV55-AV58)&lt;=1.01,0,ROUND(AV55-AV58,1)),"n/p")</f>
        <v>0</v>
      </c>
      <c r="AW59" s="211">
        <f>IF(ISNUMBER(AW58),IF(ABS(AW55-AW58)&lt;=1.01,0,ROUND(AW55-AW58,1)),"n/p")</f>
        <v>0</v>
      </c>
      <c r="AX59" s="211">
        <f>IF(ISNUMBER(AX58),IF(ABS(AX55-AX58)&lt;=1.01,0,ROUND(AX55-AX58,1)),"n/p")</f>
        <v>0</v>
      </c>
      <c r="AY59" s="211">
        <f>IF(ISNUMBER(AY58),IF(ABS(AY55-AY58)&lt;=1.01,0,ROUND(AY55-AY58,1)),"n/p")</f>
        <v>0</v>
      </c>
      <c r="AZ59" s="211">
        <f>IF(ISNUMBER(AZ58),IF(ABS(AZ55-AZ58)&lt;=1.01,0,ROUND(AZ55-AZ58,1)),"n/p")</f>
        <v>0</v>
      </c>
      <c r="BA59" s="211">
        <f>IF(ISNUMBER(BA58),IF(ABS(BA55-BA58)&lt;=1.01,0,ROUND(BA55-BA58,1)),"n/p")</f>
        <v>0</v>
      </c>
      <c r="BB59" s="211">
        <f>IF(ISNUMBER(BB58),IF(ABS(BB55-BB58)&lt;=1.01,0,ROUND(BB55-BB58,1)),"n/p")</f>
        <v>0</v>
      </c>
      <c r="BC59" s="211">
        <f>IF(ISNUMBER(BC58),IF(ABS(BC55-BC58)&lt;=1.01,0,ROUND(BC55-BC58,1)),"n/p")</f>
        <v>0</v>
      </c>
      <c r="BD59" s="211">
        <f>IF(ISNUMBER(BD58),IF(ABS(BD55-BD58)&lt;=1.01,0,ROUND(BD55-BD58,1)),"n/p")</f>
        <v>0</v>
      </c>
      <c r="BE59" s="211">
        <f>IF(ISNUMBER(BE58),IF(ABS(BE55-BE58)&lt;=1.01,0,ROUND(BE55-BE58,1)),"n/p")</f>
        <v>0</v>
      </c>
      <c r="BF59" s="211">
        <f>IF(ISNUMBER(BF58),IF(ABS(BF55-BF58)&lt;=1.01,0,ROUND(BF55-BF58,1)),"n/p")</f>
        <v>0</v>
      </c>
      <c r="BG59" s="211">
        <f>IF(ISNUMBER(BG58),IF(ABS(BG55-BG58)&lt;=1.01,0,ROUND(BG55-BG58,1)),"n/p")</f>
        <v>0</v>
      </c>
      <c r="BH59" s="211">
        <f>IF(ISNUMBER(BH58),IF(ABS(BH55-BH58)&lt;=1.01,0,ROUND(BH55-BH58,1)),"n/p")</f>
        <v>0</v>
      </c>
      <c r="BI59" s="211">
        <f>IF(ISNUMBER(BI58),IF(ABS(BI55-BI58)&lt;=1.01,0,ROUND(BI55-BI58,1)),"n/p")</f>
        <v>0</v>
      </c>
      <c r="BJ59" s="211">
        <f>IF(ISNUMBER(BJ58),IF(ABS(BJ55-BJ58)&lt;=1.01,0,ROUND(BJ55-BJ58,1)),"n/p")</f>
        <v>0</v>
      </c>
      <c r="BK59" s="211">
        <f>IF(ISNUMBER(BK58),IF(ABS(BK55-BK58)&lt;=1.01,0,ROUND(BK55-BK58,1)),"n/p")</f>
        <v>0</v>
      </c>
      <c r="BL59" s="211">
        <f>IF(ISNUMBER(BL58),IF(ABS(BL55-BL58)&lt;=1.01,0,ROUND(BL55-BL58,1)),"n/p")</f>
        <v>0</v>
      </c>
      <c r="BM59" s="211">
        <f>IF(ISNUMBER(BM58),IF(ABS(BM55-BM58)&lt;=1.01,0,ROUND(BM55-BM58,1)),"n/p")</f>
        <v>0</v>
      </c>
      <c r="BN59" s="211">
        <f>IF(ISNUMBER(BN58),IF(ABS(BN55-BN58)&lt;=1.01,0,ROUND(BN55-BN58,1)),"n/p")</f>
        <v>0</v>
      </c>
      <c r="BO59" s="211">
        <f>IF(ISNUMBER(BO58),IF(ABS(BO55-BO58)&lt;=1.01,0,ROUND(BO55-BO58,1)),"n/p")</f>
        <v>0</v>
      </c>
      <c r="BP59" s="211">
        <f>IF(ISNUMBER(BP58),IF(ABS(BP55-BP58)&lt;=1.01,0,ROUND(BP55-BP58,1)),"n/p")</f>
        <v>0</v>
      </c>
      <c r="BQ59" s="211">
        <f>IF(ISNUMBER(BQ58),IF(ABS(BQ55-BQ58)&lt;=1.01,0,ROUND(BQ55-BQ58,1)),"n/p")</f>
        <v>0</v>
      </c>
      <c r="BR59" s="211">
        <f>IF(ISNUMBER(BR58),IF(ABS(BR55-BR58)&lt;=1.01,0,ROUND(BR55-BR58,1)),"n/p")</f>
        <v>0</v>
      </c>
      <c r="BS59" s="211">
        <f>IF(ISNUMBER(BS58),IF(ABS(BS55-BS58)&lt;=1.01,0,ROUND(BS55-BS58,1)),"n/p")</f>
        <v>0</v>
      </c>
      <c r="BT59" s="211">
        <f>IF(ISNUMBER(BT58),IF(ABS(BT55-BT58)&lt;=1.01,0,ROUND(BT55-BT58,1)),"n/p")</f>
        <v>0</v>
      </c>
      <c r="BU59" s="211">
        <f>IF(ISNUMBER(BU58),IF(ABS(BU55-BU58)&lt;=1.01,0,ROUND(BU55-BU58,1)),"n/p")</f>
        <v>0</v>
      </c>
      <c r="BV59" s="211">
        <f>IF(ISNUMBER(BV58),IF(ABS(BV55-BV58)&lt;=1.01,0,ROUND(BV55-BV58,1)),"n/p")</f>
        <v>0</v>
      </c>
      <c r="BW59" s="211">
        <f>IF(ISNUMBER(BW58),IF(ABS(BW55-BW58)&lt;=1.01,0,ROUND(BW55-BW58,1)),"n/p")</f>
        <v>0</v>
      </c>
      <c r="BX59" s="153" t="n"/>
      <c r="BY59" s="153" t="n"/>
      <c r="BZ59" s="153" t="n"/>
      <c r="CA59" s="153" t="n"/>
      <c r="CB59" s="153" t="n"/>
      <c r="CC59" s="153" t="n"/>
      <c r="CD59" s="153" t="n"/>
      <c r="CE59" s="153" t="n"/>
      <c r="CM59" s="25" t="inlineStr">
        <is>
          <t xml:space="preserve">  2027E</t>
        </is>
      </c>
      <c r="CN59" s="33">
        <f>CO59+$CN$58</f>
        <v>0.27</v>
      </c>
      <c r="CO59" s="42" t="n">
        <v>0.22</v>
      </c>
      <c r="CP59" s="33">
        <f>CO59+$CP$58</f>
        <v>0.14</v>
      </c>
    </row>
    <row r="60" ht="15" customHeight="1" s="251">
      <c r="B60" s="55" t="inlineStr">
        <is>
          <t>Adjusted operating income (net revenue − non-GAAP operating expenses)</t>
        </is>
      </c>
      <c r="C60" s="266">
        <f>IF(ISNUMBER(C55),C39-C55,"")</f>
        <v>2897</v>
      </c>
      <c r="D60" s="266">
        <f>IF(ISNUMBER(D55),D39-D55,"")</f>
        <v>3673</v>
      </c>
      <c r="E60" s="266">
        <f>IF(ISNUMBER(E55),E39-E55,"")</f>
        <v>4589</v>
      </c>
      <c r="F60" s="266">
        <f>IF(ISNUMBER(F55),F39-F55,"")</f>
        <v>5456</v>
      </c>
      <c r="G60" s="266">
        <f>IF(ISNUMBER(G55),G39-G55,"")</f>
        <v>6237</v>
      </c>
      <c r="H60" s="266">
        <f>IF(ISNUMBER(H55),H39-H55,"")</f>
        <v>1800</v>
      </c>
      <c r="I60" s="266">
        <f>IF(ISNUMBER(I55),I39-I55,"")</f>
        <v>1860</v>
      </c>
      <c r="J60" s="266">
        <f>IF(ISNUMBER(J55),J39-J55,"")</f>
        <v>1828</v>
      </c>
      <c r="K60" s="266">
        <f>IF(ISNUMBER(K55),K39-K55,"")</f>
        <v>1751</v>
      </c>
      <c r="L60" s="266">
        <f>IF(ISNUMBER(L55),L39-L55,"")</f>
        <v>7239</v>
      </c>
      <c r="M60" s="266">
        <f>IF(ISNUMBER(M55),M39-M55,"")</f>
        <v>2077</v>
      </c>
      <c r="N60" s="266">
        <f>IF(ISNUMBER(N55),N39-N55,"")</f>
        <v>2048</v>
      </c>
      <c r="O60" s="266">
        <f>IF(ISNUMBER(O55),O39-O55,"")</f>
        <v>2020</v>
      </c>
      <c r="P60" s="266">
        <f>IF(ISNUMBER(P55),P39-P55,"")</f>
        <v>2002</v>
      </c>
      <c r="Q60" s="266">
        <f>IF(ISNUMBER(Q55),Q39-Q55,"")</f>
        <v>8147</v>
      </c>
      <c r="R60" s="266">
        <f>IF(ISNUMBER(R55),R39-R55,"")</f>
        <v>2238</v>
      </c>
      <c r="S60" s="266">
        <f>IF(ISNUMBER(S55),S39-S55,"")</f>
        <v>2281</v>
      </c>
      <c r="T60" s="266">
        <f>IF(ISNUMBER(T55),T39-T55,"")</f>
        <v>2262</v>
      </c>
      <c r="U60" s="266">
        <f>IF(ISNUMBER(U55),U39-U55,"")</f>
        <v>2283</v>
      </c>
      <c r="V60" s="266">
        <f>IF(ISNUMBER(V55),V39-V55,"")</f>
        <v>9064</v>
      </c>
      <c r="W60" s="266">
        <f>IF(ISNUMBER(W55),W39-W55,"")</f>
        <v>2396</v>
      </c>
      <c r="X60" s="266">
        <f>IF(ISNUMBER(X55),X39-X55,"")</f>
        <v>2434</v>
      </c>
      <c r="Y60" s="266">
        <f>IF(ISNUMBER(Y55),Y39-Y55,"")</f>
        <v>2457</v>
      </c>
      <c r="Z60" s="266">
        <f>IF(ISNUMBER(Z55),Z39-Z55,"")</f>
        <v>2735</v>
      </c>
      <c r="AA60" s="266">
        <f>IF(ISNUMBER(AA55),AA39-AA55,"")</f>
        <v>10022</v>
      </c>
      <c r="AB60" s="266">
        <f>IF(ISNUMBER(AB55),AB39-AB55,"")</f>
        <v>3100</v>
      </c>
      <c r="AC60" s="266">
        <f>IF(ISNUMBER(AC55),AC39-AC55,"")</f>
        <v>3000</v>
      </c>
      <c r="AD60" s="266">
        <f>IF(ISNUMBER(AD55),AD39-AD55,"")</f>
        <v>3024</v>
      </c>
      <c r="AE60" s="266">
        <f>IF(ISNUMBER(AE55),AE39-AE55,"")</f>
        <v>3212</v>
      </c>
      <c r="AF60" s="266">
        <f>IF(ISNUMBER(AF55),AF39-AF55,"")</f>
        <v>12336</v>
      </c>
      <c r="AG60" s="266">
        <f>IF(ISNUMBER(AG55),AG39-AG55,"")</f>
        <v>3327</v>
      </c>
      <c r="AH60" s="266">
        <f>IF(ISNUMBER(AH55),AH39-AH55,"")</f>
        <v>3336</v>
      </c>
      <c r="AI60" s="266">
        <f>IF(ISNUMBER(AI55),AI39-AI55,"")</f>
        <v>3485</v>
      </c>
      <c r="AJ60" s="266">
        <f>IF(ISNUMBER(AJ55),AJ39-AJ55,"")</f>
        <v>3601</v>
      </c>
      <c r="AK60" s="266">
        <f>IF(ISNUMBER(AK55),AK39-AK55,"")</f>
        <v>13749</v>
      </c>
      <c r="AL60" s="266">
        <f>IF(ISNUMBER(AL55),AL39-AL55,"")</f>
        <v>3717</v>
      </c>
      <c r="AM60" s="266">
        <f>IF(ISNUMBER(AM55),AM39-AM55,"")</f>
        <v>3641</v>
      </c>
      <c r="AN60" s="266">
        <f>IF(ISNUMBER(AN55),AN39-AN55,"")</f>
        <v>3908</v>
      </c>
      <c r="AO60" s="266">
        <f>IF(ISNUMBER(AO55),AO39-AO55,"")</f>
        <v>4105</v>
      </c>
      <c r="AP60" s="266">
        <f>IF(ISNUMBER(AP55),AP39-AP55,"")</f>
        <v>15371</v>
      </c>
      <c r="AQ60" s="266">
        <f>IF(ISNUMBER(AQ55),AQ39-AQ55,"")</f>
        <v>4029</v>
      </c>
      <c r="AR60" s="266">
        <f>IF(ISNUMBER(AR55),AR39-AR55,"")</f>
        <v>3940</v>
      </c>
      <c r="AS60" s="266">
        <f>IF(ISNUMBER(AS55),AS39-AS55,"")</f>
        <v>3016</v>
      </c>
      <c r="AT60" s="266">
        <f>IF(ISNUMBER(AT55),AT39-AT55,"")</f>
        <v>3159</v>
      </c>
      <c r="AU60" s="266">
        <f>IF(ISNUMBER(AU55),AU39-AU55,"")</f>
        <v>14144</v>
      </c>
      <c r="AV60" s="266">
        <f>IF(ISNUMBER(AV55),AV39-AV55,"")</f>
        <v>3859</v>
      </c>
      <c r="AW60" s="266">
        <f>IF(ISNUMBER(AW55),AW39-AW55,"")</f>
        <v>3751</v>
      </c>
      <c r="AX60" s="266">
        <f>IF(ISNUMBER(AX55),AX39-AX55,"")</f>
        <v>4082</v>
      </c>
      <c r="AY60" s="266">
        <f>IF(ISNUMBER(AY55),AY39-AY55,"")</f>
        <v>4336</v>
      </c>
      <c r="AZ60" s="266">
        <f>IF(ISNUMBER(AZ55),AZ39-AZ55,"")</f>
        <v>16028</v>
      </c>
      <c r="BA60" s="266">
        <f>IF(ISNUMBER(BA55),BA39-BA55,"")</f>
        <v>4944</v>
      </c>
      <c r="BB60" s="266">
        <f>IF(ISNUMBER(BB55),BB39-BB55,"")</f>
        <v>4902</v>
      </c>
      <c r="BC60" s="266">
        <f>IF(ISNUMBER(BC55),BC39-BC55,"")</f>
        <v>4922</v>
      </c>
      <c r="BD60" s="266">
        <f>IF(ISNUMBER(BD55),BD39-BD55,"")</f>
        <v>5155</v>
      </c>
      <c r="BE60" s="266">
        <f>IF(ISNUMBER(BE55),BE39-BE55,"")</f>
        <v>19923</v>
      </c>
      <c r="BF60" s="266">
        <f>IF(ISNUMBER(BF55),BF39-BF55,"")</f>
        <v>5497</v>
      </c>
      <c r="BG60" s="266">
        <f>IF(ISNUMBER(BG55),BG39-BG55,"")</f>
        <v>5404</v>
      </c>
      <c r="BH60" s="266">
        <f>IF(ISNUMBER(BH55),BH39-BH55,"")</f>
        <v>5545</v>
      </c>
      <c r="BI60" s="266">
        <f>IF(ISNUMBER(BI55),BI39-BI55,"")</f>
        <v>5726</v>
      </c>
      <c r="BJ60" s="266">
        <f>IF(ISNUMBER(BJ55),BJ39-BJ55,"")</f>
        <v>22172</v>
      </c>
      <c r="BK60" s="266">
        <f>IF(ISNUMBER(BK55),BK39-BK55,"")</f>
        <v>6015</v>
      </c>
      <c r="BL60" s="266">
        <f>IF(ISNUMBER(BL55),BL39-BL55,"")</f>
        <v>5904</v>
      </c>
      <c r="BM60" s="266">
        <f>IF(ISNUMBER(BM55),BM39-BM55,"")</f>
        <v>5973</v>
      </c>
      <c r="BN60" s="266">
        <f>IF(ISNUMBER(BN55),BN39-BN55,"")</f>
        <v>6425</v>
      </c>
      <c r="BO60" s="266">
        <f>IF(ISNUMBER(BO55),BO39-BO55,"")</f>
        <v>24317</v>
      </c>
      <c r="BP60" s="266">
        <f>IF(ISNUMBER(BP55),BP39-BP55,"")</f>
        <v>6593</v>
      </c>
      <c r="BQ60" s="266">
        <f>IF(ISNUMBER(BQ55),BQ39-BQ55,"")</f>
        <v>6523</v>
      </c>
      <c r="BR60" s="266">
        <f>IF(ISNUMBER(BR55),BR39-BR55,"")</f>
        <v>6865</v>
      </c>
      <c r="BS60" s="266">
        <f>IF(ISNUMBER(BS55),BS39-BS55,"")</f>
        <v>7113</v>
      </c>
      <c r="BT60" s="266">
        <f>IF(ISNUMBER(BT55),BT39-BT55,"")</f>
        <v>27094</v>
      </c>
      <c r="BU60" s="266">
        <f>IF(ISNUMBER(BU55),BU39-BU55,"")</f>
        <v>7510</v>
      </c>
      <c r="BV60" s="266">
        <f>IF(ISNUMBER(BV55),BV39-BV55,"")</f>
        <v>7631</v>
      </c>
      <c r="BW60" s="266">
        <f>IF(ISNUMBER(BW55),BW39-BW55,"")</f>
        <v>7755</v>
      </c>
      <c r="BX60" s="266">
        <f>IF(ISNUMBER(BX55),BX39-BX55,"")</f>
        <v>7986.0883890317</v>
      </c>
      <c r="BY60" s="266">
        <f>IF(ISNUMBER(BY55),BY39-BY55,"")</f>
        <v>30882.0883890317</v>
      </c>
      <c r="BZ60" s="266">
        <f>IF(ISNUMBER(BZ55),BZ39-BZ55,"")</f>
        <v>34228.5589329276</v>
      </c>
      <c r="CA60" s="266">
        <f>IF(ISNUMBER(CA55),CA39-CA55,"")</f>
        <v>38066.2226708572</v>
      </c>
      <c r="CB60" s="266">
        <f>IF(ISNUMBER(CB55),CB39-CB55,"")</f>
        <v>42112.3671091076</v>
      </c>
      <c r="CC60" s="266">
        <f>IF(ISNUMBER(CC55),CC39-CC55,"")</f>
        <v>46082.7487298866</v>
      </c>
      <c r="CD60" s="266">
        <f>IF(ISNUMBER(CD55),CD39-CD55,"")</f>
        <v>50429.1984269527</v>
      </c>
      <c r="CE60" s="153" t="n"/>
      <c r="CG60" s="20">
        <f>IFERROR((CD60/BY60)^(1/5)-1,"n/m")</f>
        <v>0.103049699606405</v>
      </c>
      <c r="CH60" s="20">
        <f>IFERROR((BT60/AU60)^(1/5)-1,"n/m")</f>
        <v>0.138833347548325</v>
      </c>
      <c r="CI60" s="20">
        <f>IFERROR((BT60/V60)^(1/10)-1,"n/m")</f>
        <v>0.115720269246915</v>
      </c>
      <c r="CJ60" s="20">
        <f>IFERROR((BT60/C60)^(1/17)-1,"n/m")</f>
        <v>0.140547071134007</v>
      </c>
      <c r="CM60" s="25" t="inlineStr">
        <is>
          <t xml:space="preserve">  2028E</t>
        </is>
      </c>
      <c r="CN60" s="33">
        <f>CO60+$CN$58</f>
        <v>0.23</v>
      </c>
      <c r="CO60" s="42" t="n">
        <v>0.18</v>
      </c>
      <c r="CP60" s="33">
        <f>CO60+$CP$58</f>
        <v>0.1</v>
      </c>
    </row>
    <row r="61" ht="15" customHeight="1" s="251">
      <c r="B61" s="25" t="inlineStr">
        <is>
          <t xml:space="preserve">  Adjusted operating margin %</t>
        </is>
      </c>
      <c r="C61" s="215">
        <f>IF(AND(ISNUMBER(C60),ISNUMBER(C39)),IFERROR(C60/C39,""),"")</f>
        <v>0.46255787961041</v>
      </c>
      <c r="D61" s="215">
        <f>IF(AND(ISNUMBER(D60),ISNUMBER(D39)),IFERROR(D60/D39,""),"")</f>
        <v>0.531471567066995</v>
      </c>
      <c r="E61" s="215">
        <f>IF(AND(ISNUMBER(E60),ISNUMBER(E39)),IFERROR(E60/E39,""),"")</f>
        <v>0.569001859888407</v>
      </c>
      <c r="F61" s="215">
        <f>IF(AND(ISNUMBER(F60),ISNUMBER(F39)),IFERROR(F60/F39,""),"")</f>
        <v>0.593818023508925</v>
      </c>
      <c r="G61" s="215">
        <f>IF(AND(ISNUMBER(G60),ISNUMBER(G39)),IFERROR(G60/G39,""),"")</f>
        <v>0.598503022742539</v>
      </c>
      <c r="H61" s="215">
        <f>IF(AND(ISNUMBER(H60),ISNUMBER(H39)),IFERROR(H60/H39,""),"")</f>
        <v>0.632466619817288</v>
      </c>
      <c r="I61" s="215">
        <f>IF(AND(ISNUMBER(I60),ISNUMBER(I39)),IFERROR(I60/I39,""),"")</f>
        <v>0.628803245436105</v>
      </c>
      <c r="J61" s="215">
        <f>IF(AND(ISNUMBER(J60),ISNUMBER(J39)),IFERROR(J60/J39,""),"")</f>
        <v>0.609130289903366</v>
      </c>
      <c r="K61" s="215">
        <f>IF(AND(ISNUMBER(K60),ISNUMBER(K39)),IFERROR(K60/K39,""),"")</f>
        <v>0.588967373023882</v>
      </c>
      <c r="L61" s="215">
        <f>IF(AND(ISNUMBER(L60),ISNUMBER(L39)),IFERROR(L60/L39,""),"")</f>
        <v>0.61462047885889</v>
      </c>
      <c r="M61" s="215">
        <f>IF(AND(ISNUMBER(M60),ISNUMBER(M39)),IFERROR(M60/M39,""),"")</f>
        <v>0.658320126782884</v>
      </c>
      <c r="N61" s="215">
        <f>IF(AND(ISNUMBER(N60),ISNUMBER(N39)),IFERROR(N60/N39,""),"")</f>
        <v>0.647486563389188</v>
      </c>
      <c r="O61" s="215">
        <f>IF(AND(ISNUMBER(O60),ISNUMBER(O39)),IFERROR(O60/O39,""),"")</f>
        <v>0.640253565768621</v>
      </c>
      <c r="P61" s="215">
        <f>IF(AND(ISNUMBER(P60),ISNUMBER(P39)),IFERROR(P60/P39,""),"")</f>
        <v>0.620006193868071</v>
      </c>
      <c r="Q61" s="215">
        <f>IF(AND(ISNUMBER(Q60),ISNUMBER(Q39)),IFERROR(Q60/Q39,""),"")</f>
        <v>0.641395055896709</v>
      </c>
      <c r="R61" s="215">
        <f>IF(AND(ISNUMBER(R60),ISNUMBER(R39)),IFERROR(R60/R39,""),"")</f>
        <v>0.66173861620343</v>
      </c>
      <c r="S61" s="215">
        <f>IF(AND(ISNUMBER(S60),ISNUMBER(S39)),IFERROR(S60/S39,""),"")</f>
        <v>0.669111176298035</v>
      </c>
      <c r="T61" s="215">
        <f>IF(AND(ISNUMBER(T60),ISNUMBER(T39)),IFERROR(T60/T39,""),"")</f>
        <v>0.642978965321205</v>
      </c>
      <c r="U61" s="215">
        <f>IF(AND(ISNUMBER(U60),ISNUMBER(U39)),IFERROR(U60/U39,""),"")</f>
        <v>0.639316718006161</v>
      </c>
      <c r="V61" s="215">
        <f>IF(AND(ISNUMBER(V60),ISNUMBER(V39)),IFERROR(V60/V39,""),"")</f>
        <v>0.653025936599424</v>
      </c>
      <c r="W61" s="215">
        <f>IF(AND(ISNUMBER(W60),ISNUMBER(W39)),IFERROR(W60/W39,""),"")</f>
        <v>0.672089761570827</v>
      </c>
      <c r="X61" s="215">
        <f>IF(AND(ISNUMBER(X60),ISNUMBER(X39)),IFERROR(X60/X39,""),"")</f>
        <v>0.671263099834528</v>
      </c>
      <c r="Y61" s="215">
        <f>IF(AND(ISNUMBER(Y60),ISNUMBER(Y39)),IFERROR(Y60/Y39,""),"")</f>
        <v>0.676859504132231</v>
      </c>
      <c r="Z61" s="215">
        <f>IF(AND(ISNUMBER(Z60),ISNUMBER(Z39)),IFERROR(Z60/Z39,""),"")</f>
        <v>0.641868106078385</v>
      </c>
      <c r="AA61" s="215">
        <f>IF(AND(ISNUMBER(AA60),ISNUMBER(AA39)),IFERROR(AA60/AA39,""),"")</f>
        <v>0.664500729346241</v>
      </c>
      <c r="AB61" s="215">
        <f>IF(AND(ISNUMBER(AB60),ISNUMBER(AB39)),IFERROR(AB60/AB39,""),"")</f>
        <v>0.694911454830755</v>
      </c>
      <c r="AC61" s="215">
        <f>IF(AND(ISNUMBER(AC60),ISNUMBER(AC39)),IFERROR(AC60/AC39,""),"")</f>
        <v>0.670091579182488</v>
      </c>
      <c r="AD61" s="215">
        <f>IF(AND(ISNUMBER(AD60),ISNUMBER(AD39)),IFERROR(AD60/AD39,""),"")</f>
        <v>0.662431544359255</v>
      </c>
      <c r="AE61" s="215">
        <f>IF(AND(ISNUMBER(AE60),ISNUMBER(AE39)),IFERROR(AE60/AE39,""),"")</f>
        <v>0.661585993820803</v>
      </c>
      <c r="AF61" s="215">
        <f>IF(AND(ISNUMBER(AF60),ISNUMBER(AF39)),IFERROR(AF60/AF39,""),"")</f>
        <v>0.671968624033119</v>
      </c>
      <c r="AG61" s="215">
        <f>IF(AND(ISNUMBER(AG60),ISNUMBER(AG39)),IFERROR(AG60/AG39,""),"")</f>
        <v>0.684286301933361</v>
      </c>
      <c r="AH61" s="215">
        <f>IF(AND(ISNUMBER(AH60),ISNUMBER(AH39)),IFERROR(AH60/AH39,""),"")</f>
        <v>0.657599053814311</v>
      </c>
      <c r="AI61" s="215">
        <f>IF(AND(ISNUMBER(AI60),ISNUMBER(AI39)),IFERROR(AI60/AI39,""),"")</f>
        <v>0.665076335877863</v>
      </c>
      <c r="AJ61" s="215">
        <f>IF(AND(ISNUMBER(AJ60),ISNUMBER(AJ39)),IFERROR(AJ60/AJ39,""),"")</f>
        <v>0.662679425837321</v>
      </c>
      <c r="AK61" s="215">
        <f>IF(AND(ISNUMBER(AK60),ISNUMBER(AK39)),IFERROR(AK60/AK39,""),"")</f>
        <v>0.667135717405017</v>
      </c>
      <c r="AL61" s="215">
        <f>IF(AND(ISNUMBER(AL60),ISNUMBER(AL39)),IFERROR(AL60/AL39,""),"")</f>
        <v>0.675081729022884</v>
      </c>
      <c r="AM61" s="215">
        <f>IF(AND(ISNUMBER(AM60),ISNUMBER(AM39)),IFERROR(AM60/AM39,""),"")</f>
        <v>0.662722970513287</v>
      </c>
      <c r="AN61" s="215">
        <f>IF(AND(ISNUMBER(AN60),ISNUMBER(AN39)),IFERROR(AN60/AN39,""),"")</f>
        <v>0.669178082191781</v>
      </c>
      <c r="AO61" s="215">
        <f>IF(AND(ISNUMBER(AO60),ISNUMBER(AO39)),IFERROR(AO60/AO39,""),"")</f>
        <v>0.668893596219651</v>
      </c>
      <c r="AP61" s="215">
        <f>IF(AND(ISNUMBER(AP60),ISNUMBER(AP39)),IFERROR(AP60/AP39,""),"")</f>
        <v>0.668973321147234</v>
      </c>
      <c r="AQ61" s="215">
        <f>IF(AND(ISNUMBER(AQ60),ISNUMBER(AQ39)),IFERROR(AQ60/AQ39,""),"")</f>
        <v>0.665510406342914</v>
      </c>
      <c r="AR61" s="215">
        <f>IF(AND(ISNUMBER(AR60),ISNUMBER(AR39)),IFERROR(AR60/AR39,""),"")</f>
        <v>0.673044072429108</v>
      </c>
      <c r="AS61" s="215">
        <f>IF(AND(ISNUMBER(AS60),ISNUMBER(AS39)),IFERROR(AS60/AS39,""),"")</f>
        <v>0.623526979532768</v>
      </c>
      <c r="AT61" s="215">
        <f>IF(AND(ISNUMBER(AT60),ISNUMBER(AT39)),IFERROR(AT60/AT39,""),"")</f>
        <v>0.619290335228387</v>
      </c>
      <c r="AU61" s="215">
        <f>IF(AND(ISNUMBER(AU60),ISNUMBER(AU39)),IFERROR(AU60/AU39,""),"")</f>
        <v>0.647441179163234</v>
      </c>
      <c r="AV61" s="215">
        <f>IF(AND(ISNUMBER(AV60),ISNUMBER(AV39)),IFERROR(AV60/AV39,""),"")</f>
        <v>0.678565148584491</v>
      </c>
      <c r="AW61" s="215">
        <f>IF(AND(ISNUMBER(AW60),ISNUMBER(AW39)),IFERROR(AW60/AW39,""),"")</f>
        <v>0.654739046954093</v>
      </c>
      <c r="AX61" s="215">
        <f>IF(AND(ISNUMBER(AX60),ISNUMBER(AX39)),IFERROR(AX60/AX39,""),"")</f>
        <v>0.665905383360522</v>
      </c>
      <c r="AY61" s="215">
        <f>IF(AND(ISNUMBER(AY60),ISNUMBER(AY39)),IFERROR(AY60/AY39,""),"")</f>
        <v>0.66107638359506</v>
      </c>
      <c r="AZ61" s="215">
        <f>IF(AND(ISNUMBER(AZ60),ISNUMBER(AZ39)),IFERROR(AZ60/AZ39,""),"")</f>
        <v>0.66492428956648</v>
      </c>
      <c r="BA61" s="215">
        <f>IF(AND(ISNUMBER(BA60),ISNUMBER(BA39)),IFERROR(BA60/BA39,""),"")</f>
        <v>0.700382490437739</v>
      </c>
      <c r="BB61" s="215">
        <f>IF(AND(ISNUMBER(BB60),ISNUMBER(BB39)),IFERROR(BB60/BB39,""),"")</f>
        <v>0.681875086938378</v>
      </c>
      <c r="BC61" s="215">
        <f>IF(AND(ISNUMBER(BC60),ISNUMBER(BC39)),IFERROR(BC60/BC39,""),"")</f>
        <v>0.676563573883162</v>
      </c>
      <c r="BD61" s="215">
        <f>IF(AND(ISNUMBER(BD60),ISNUMBER(BD39)),IFERROR(BD60/BD39,""),"")</f>
        <v>0.662000770514961</v>
      </c>
      <c r="BE61" s="215">
        <f>IF(AND(ISNUMBER(BE60),ISNUMBER(BE39)),IFERROR(BE60/BE39,""),"")</f>
        <v>0.679733879222109</v>
      </c>
      <c r="BF61" s="215">
        <f>IF(AND(ISNUMBER(BF60),ISNUMBER(BF39)),IFERROR(BF60/BF39,""),"")</f>
        <v>0.692666330645161</v>
      </c>
      <c r="BG61" s="215">
        <f>IF(AND(ISNUMBER(BG60),ISNUMBER(BG39)),IFERROR(BG60/BG39,""),"")</f>
        <v>0.676768941765811</v>
      </c>
      <c r="BH61" s="215">
        <f>IF(AND(ISNUMBER(BH60),ISNUMBER(BH39)),IFERROR(BH60/BH39,""),"")</f>
        <v>0.68262957035578</v>
      </c>
      <c r="BI61" s="215">
        <f>IF(AND(ISNUMBER(BI60),ISNUMBER(BI39)),IFERROR(BI60/BI39,""),"")</f>
        <v>0.665117899872227</v>
      </c>
      <c r="BJ61" s="215">
        <f>IF(AND(ISNUMBER(BJ60),ISNUMBER(BJ39)),IFERROR(BJ60/BJ39,""),"")</f>
        <v>0.6790187731602</v>
      </c>
      <c r="BK61" s="215">
        <f>IF(AND(ISNUMBER(BK60),ISNUMBER(BK39)),IFERROR(BK60/BK39,""),"")</f>
        <v>0.696664350243225</v>
      </c>
      <c r="BL61" s="215">
        <f>IF(AND(ISNUMBER(BL60),ISNUMBER(BL39)),IFERROR(BL60/BL39,""),"")</f>
        <v>0.672820512820513</v>
      </c>
      <c r="BM61" s="215">
        <f>IF(AND(ISNUMBER(BM60),ISNUMBER(BM39)),IFERROR(BM60/BM39,""),"")</f>
        <v>0.671123595505618</v>
      </c>
      <c r="BN61" s="215">
        <f>IF(AND(ISNUMBER(BN60),ISNUMBER(BN39)),IFERROR(BN60/BN39,""),"")</f>
        <v>0.668087761256109</v>
      </c>
      <c r="BO61" s="215">
        <f>IF(AND(ISNUMBER(BO60),ISNUMBER(BO39)),IFERROR(BO60/BO39,""),"")</f>
        <v>0.676863552858654</v>
      </c>
      <c r="BP61" s="215">
        <f>IF(AND(ISNUMBER(BP60),ISNUMBER(BP39)),IFERROR(BP60/BP39,""),"")</f>
        <v>0.693270241850684</v>
      </c>
      <c r="BQ61" s="215">
        <f>IF(AND(ISNUMBER(BQ60),ISNUMBER(BQ39)),IFERROR(BQ60/BQ39,""),"")</f>
        <v>0.679904106733375</v>
      </c>
      <c r="BR61" s="215">
        <f>IF(AND(ISNUMBER(BR60),ISNUMBER(BR39)),IFERROR(BR60/BR39,""),"")</f>
        <v>0.674891860007865</v>
      </c>
      <c r="BS61" s="215">
        <f>IF(AND(ISNUMBER(BS60),ISNUMBER(BS39)),IFERROR(BS60/BS39,""),"")</f>
        <v>0.663278627377844</v>
      </c>
      <c r="BT61" s="215">
        <f>IF(AND(ISNUMBER(BT60),ISNUMBER(BT39)),IFERROR(BT60/BT39,""),"")</f>
        <v>0.67735</v>
      </c>
      <c r="BU61" s="215">
        <f>IF(AND(ISNUMBER(BU60),ISNUMBER(BU39)),IFERROR(BU60/BU39,""),"")</f>
        <v>0.688927621319145</v>
      </c>
      <c r="BV61" s="215">
        <f>IF(AND(ISNUMBER(BV60),ISNUMBER(BV39)),IFERROR(BV60/BV39,""),"")</f>
        <v>0.679519145146928</v>
      </c>
      <c r="BW61" s="215">
        <f>IF(AND(ISNUMBER(BW60),ISNUMBER(BW39)),IFERROR(BW60/BW39,""),"")</f>
        <v>0.666638012550503</v>
      </c>
      <c r="BX61" s="256">
        <f>IF(AND(ISNUMBER(BX60),ISNUMBER(BX39)),IFERROR(BX60/BX39,""),"")</f>
        <v>0.659020408201248</v>
      </c>
      <c r="BY61" s="256">
        <f>IF(AND(ISNUMBER(BY60),ISNUMBER(BY39)),IFERROR(BY60/BY39,""),"")</f>
        <v>0.673074574344684</v>
      </c>
      <c r="BZ61" s="256">
        <f>CHOOSE(MATCH($CE$2,{"Bull","Base","Bear"},0),$CN$71,$CO$71,$CP$71)</f>
        <v>0.675</v>
      </c>
      <c r="CA61" s="256">
        <f>CHOOSE(MATCH($CE$2,{"Bull","Base","Bear"},0),$CN$72,$CO$72,$CP$72)</f>
        <v>0.677</v>
      </c>
      <c r="CB61" s="256">
        <f>CHOOSE(MATCH($CE$2,{"Bull","Base","Bear"},0),$CN$73,$CO$73,$CP$73)</f>
        <v>0.68</v>
      </c>
      <c r="CC61" s="256">
        <f>CHOOSE(MATCH($CE$2,{"Bull","Base","Bear"},0),$CN$74,$CO$74,$CP$74)</f>
        <v>0.68</v>
      </c>
      <c r="CD61" s="256">
        <f>CHOOSE(MATCH($CE$2,{"Bull","Base","Bear"},0),$CN$75,$CO$75,$CP$75)</f>
        <v>0.682</v>
      </c>
      <c r="CE61" s="153" t="inlineStr">
        <is>
          <t>2027E+: scenario lever (FY2025 adjusted operating margin 67.4%; FY2019 68.5%).</t>
        </is>
      </c>
      <c r="CG61" s="37">
        <f>IFERROR(AVERAGE(BZ61,CA61,CB61,CC61,CD61),"n/m")</f>
        <v>0.6788</v>
      </c>
      <c r="CH61" s="37">
        <f>IFERROR(AVERAGE(AZ61,BE61,BJ61,BO61,BT61),"n/m")</f>
        <v>0.675578098961488</v>
      </c>
      <c r="CI61" s="37">
        <f>IFERROR(AVERAGE(AA61,AF61,AK61,AP61,AU61,AZ61,BE61,BJ61,BO61,BT61),"n/m")</f>
        <v>0.669791006590229</v>
      </c>
      <c r="CJ61" s="37">
        <f>IFERROR(AVERAGE(C61,D61,E61,F61,G61,L61,Q61,V61,AA61,AF61,AK61,AP61,AU61,AZ61,BE61,BJ61,BO61,BT61),"n/m")</f>
        <v>0.631239105004144</v>
      </c>
      <c r="CM61" s="25" t="inlineStr">
        <is>
          <t xml:space="preserve">  2029E</t>
        </is>
      </c>
      <c r="CN61" s="33">
        <f>CO61+$CN$58</f>
        <v>0.21</v>
      </c>
      <c r="CO61" s="42" t="n">
        <v>0.16</v>
      </c>
      <c r="CP61" s="33">
        <f>CO61+$CP$58</f>
        <v>0.08</v>
      </c>
    </row>
    <row r="62" ht="15" customHeight="1" s="251">
      <c r="B62" s="22" t="inlineStr">
        <is>
          <t xml:space="preserve">  Adjusted operating income y/y %</t>
        </is>
      </c>
      <c r="C62" s="23" t="n"/>
      <c r="D62" s="255">
        <f>IF(AND(ISNUMBER(D60),ISNUMBER(C60)),IFERROR(D60/C60-1,""),"")</f>
        <v>0.267863306869175</v>
      </c>
      <c r="E62" s="255">
        <f>IF(AND(ISNUMBER(E60),ISNUMBER(D60)),IFERROR(E60/D60-1,""),"")</f>
        <v>0.249387421726109</v>
      </c>
      <c r="F62" s="255">
        <f>IF(AND(ISNUMBER(F60),ISNUMBER(E60)),IFERROR(F60/E60-1,""),"")</f>
        <v>0.188930050119852</v>
      </c>
      <c r="G62" s="255">
        <f>IF(AND(ISNUMBER(G60),ISNUMBER(F60)),IFERROR(G60/F60-1,""),"")</f>
        <v>0.143145161290323</v>
      </c>
      <c r="H62" s="23" t="n"/>
      <c r="I62" s="23" t="n"/>
      <c r="J62" s="23" t="n"/>
      <c r="K62" s="23" t="n"/>
      <c r="L62" s="255">
        <f>IF(AND(ISNUMBER(L60),ISNUMBER(G60)),IFERROR(L60/G60-1,""),"")</f>
        <v>0.160654160654161</v>
      </c>
      <c r="M62" s="255">
        <f>IF(AND(ISNUMBER(M60),ISNUMBER(H60)),IFERROR(M60/H60-1,""),"")</f>
        <v>0.153888888888889</v>
      </c>
      <c r="N62" s="255">
        <f>IF(AND(ISNUMBER(N60),ISNUMBER(I60)),IFERROR(N60/I60-1,""),"")</f>
        <v>0.101075268817204</v>
      </c>
      <c r="O62" s="255">
        <f>IF(AND(ISNUMBER(O60),ISNUMBER(J60)),IFERROR(O60/J60-1,""),"")</f>
        <v>0.105032822757112</v>
      </c>
      <c r="P62" s="255">
        <f>IF(AND(ISNUMBER(P60),ISNUMBER(K60)),IFERROR(P60/K60-1,""),"")</f>
        <v>0.14334665905197</v>
      </c>
      <c r="Q62" s="255">
        <f>IF(AND(ISNUMBER(Q60),ISNUMBER(L60)),IFERROR(Q60/L60-1,""),"")</f>
        <v>0.12543168945987</v>
      </c>
      <c r="R62" s="255">
        <f>IF(AND(ISNUMBER(R60),ISNUMBER(M60)),IFERROR(R60/M60-1,""),"")</f>
        <v>0.0775156475686085</v>
      </c>
      <c r="S62" s="255">
        <f>IF(AND(ISNUMBER(S60),ISNUMBER(N60)),IFERROR(S60/N60-1,""),"")</f>
        <v>0.11376953125</v>
      </c>
      <c r="T62" s="255">
        <f>IF(AND(ISNUMBER(T60),ISNUMBER(O60)),IFERROR(T60/O60-1,""),"")</f>
        <v>0.11980198019802</v>
      </c>
      <c r="U62" s="255">
        <f>IF(AND(ISNUMBER(U60),ISNUMBER(P60)),IFERROR(U60/P60-1,""),"")</f>
        <v>0.14035964035964</v>
      </c>
      <c r="V62" s="255">
        <f>IF(AND(ISNUMBER(V60),ISNUMBER(Q60)),IFERROR(V60/Q60-1,""),"")</f>
        <v>0.112556769362956</v>
      </c>
      <c r="W62" s="255">
        <f>IF(AND(ISNUMBER(W60),ISNUMBER(R60)),IFERROR(W60/R60-1,""),"")</f>
        <v>0.0705987488829312</v>
      </c>
      <c r="X62" s="255">
        <f>IF(AND(ISNUMBER(X60),ISNUMBER(S60)),IFERROR(X60/S60-1,""),"")</f>
        <v>0.0670758439281016</v>
      </c>
      <c r="Y62" s="255">
        <f>IF(AND(ISNUMBER(Y60),ISNUMBER(T60)),IFERROR(Y60/T60-1,""),"")</f>
        <v>0.0862068965517242</v>
      </c>
      <c r="Z62" s="255">
        <f>IF(AND(ISNUMBER(Z60),ISNUMBER(U60)),IFERROR(Z60/U60-1,""),"")</f>
        <v>0.197985107314937</v>
      </c>
      <c r="AA62" s="255">
        <f>IF(AND(ISNUMBER(AA60),ISNUMBER(V60)),IFERROR(AA60/V60-1,""),"")</f>
        <v>0.105692850838482</v>
      </c>
      <c r="AB62" s="255">
        <f>IF(AND(ISNUMBER(AB60),ISNUMBER(W60)),IFERROR(AB60/W60-1,""),"")</f>
        <v>0.293823038397329</v>
      </c>
      <c r="AC62" s="255">
        <f>IF(AND(ISNUMBER(AC60),ISNUMBER(X60)),IFERROR(AC60/X60-1,""),"")</f>
        <v>0.232539030402629</v>
      </c>
      <c r="AD62" s="255">
        <f>IF(AND(ISNUMBER(AD60),ISNUMBER(Y60)),IFERROR(AD60/Y60-1,""),"")</f>
        <v>0.230769230769231</v>
      </c>
      <c r="AE62" s="255">
        <f>IF(AND(ISNUMBER(AE60),ISNUMBER(Z60)),IFERROR(AE60/Z60-1,""),"")</f>
        <v>0.174405850091408</v>
      </c>
      <c r="AF62" s="255">
        <f>IF(AND(ISNUMBER(AF60),ISNUMBER(AA60)),IFERROR(AF60/AA60-1,""),"")</f>
        <v>0.230892037517462</v>
      </c>
      <c r="AG62" s="255">
        <f>IF(AND(ISNUMBER(AG60),ISNUMBER(AB60)),IFERROR(AG60/AB60-1,""),"")</f>
        <v>0.0732258064516129</v>
      </c>
      <c r="AH62" s="255">
        <f>IF(AND(ISNUMBER(AH60),ISNUMBER(AC60)),IFERROR(AH60/AC60-1,""),"")</f>
        <v>0.112</v>
      </c>
      <c r="AI62" s="255">
        <f>IF(AND(ISNUMBER(AI60),ISNUMBER(AD60)),IFERROR(AI60/AD60-1,""),"")</f>
        <v>0.15244708994709</v>
      </c>
      <c r="AJ62" s="255">
        <f>IF(AND(ISNUMBER(AJ60),ISNUMBER(AE60)),IFERROR(AJ60/AE60-1,""),"")</f>
        <v>0.121108343711083</v>
      </c>
      <c r="AK62" s="255">
        <f>IF(AND(ISNUMBER(AK60),ISNUMBER(AF60)),IFERROR(AK60/AF60-1,""),"")</f>
        <v>0.11454280155642</v>
      </c>
      <c r="AL62" s="255">
        <f>IF(AND(ISNUMBER(AL60),ISNUMBER(AG60)),IFERROR(AL60/AG60-1,""),"")</f>
        <v>0.117222723174031</v>
      </c>
      <c r="AM62" s="255">
        <f>IF(AND(ISNUMBER(AM60),ISNUMBER(AH60)),IFERROR(AM60/AH60-1,""),"")</f>
        <v>0.0914268585131894</v>
      </c>
      <c r="AN62" s="255">
        <f>IF(AND(ISNUMBER(AN60),ISNUMBER(AI60)),IFERROR(AN60/AI60-1,""),"")</f>
        <v>0.121377331420373</v>
      </c>
      <c r="AO62" s="255">
        <f>IF(AND(ISNUMBER(AO60),ISNUMBER(AJ60)),IFERROR(AO60/AJ60-1,""),"")</f>
        <v>0.13996112191058</v>
      </c>
      <c r="AP62" s="255">
        <f>IF(AND(ISNUMBER(AP60),ISNUMBER(AK60)),IFERROR(AP60/AK60-1,""),"")</f>
        <v>0.117972216161175</v>
      </c>
      <c r="AQ62" s="255">
        <f>IF(AND(ISNUMBER(AQ60),ISNUMBER(AL60)),IFERROR(AQ60/AL60-1,""),"")</f>
        <v>0.0839386602098466</v>
      </c>
      <c r="AR62" s="255">
        <f>IF(AND(ISNUMBER(AR60),ISNUMBER(AM60)),IFERROR(AR60/AM60-1,""),"")</f>
        <v>0.0821202966218071</v>
      </c>
      <c r="AS62" s="255">
        <f>IF(AND(ISNUMBER(AS60),ISNUMBER(AN60)),IFERROR(AS60/AN60-1,""),"")</f>
        <v>-0.228249744114637</v>
      </c>
      <c r="AT62" s="255">
        <f>IF(AND(ISNUMBER(AT60),ISNUMBER(AO60)),IFERROR(AT60/AO60-1,""),"")</f>
        <v>-0.230450669914738</v>
      </c>
      <c r="AU62" s="255">
        <f>IF(AND(ISNUMBER(AU60),ISNUMBER(AP60)),IFERROR(AU60/AP60-1,""),"")</f>
        <v>-0.0798256456964414</v>
      </c>
      <c r="AV62" s="255">
        <f>IF(AND(ISNUMBER(AV60),ISNUMBER(AQ60)),IFERROR(AV60/AQ60-1,""),"")</f>
        <v>-0.0421940928270043</v>
      </c>
      <c r="AW62" s="255">
        <f>IF(AND(ISNUMBER(AW60),ISNUMBER(AR60)),IFERROR(AW60/AR60-1,""),"")</f>
        <v>-0.0479695431472081</v>
      </c>
      <c r="AX62" s="255">
        <f>IF(AND(ISNUMBER(AX60),ISNUMBER(AS60)),IFERROR(AX60/AS60-1,""),"")</f>
        <v>0.353448275862069</v>
      </c>
      <c r="AY62" s="255">
        <f>IF(AND(ISNUMBER(AY60),ISNUMBER(AT60)),IFERROR(AY60/AT60-1,""),"")</f>
        <v>0.37258626147515</v>
      </c>
      <c r="AZ62" s="255">
        <f>IF(AND(ISNUMBER(AZ60),ISNUMBER(AU60)),IFERROR(AZ60/AU60-1,""),"")</f>
        <v>0.133201357466063</v>
      </c>
      <c r="BA62" s="255">
        <f>IF(AND(ISNUMBER(BA60),ISNUMBER(AV60)),IFERROR(BA60/AV60-1,""),"")</f>
        <v>0.281160922518787</v>
      </c>
      <c r="BB62" s="255">
        <f>IF(AND(ISNUMBER(BB60),ISNUMBER(AW60)),IFERROR(BB60/AW60-1,""),"")</f>
        <v>0.306851506264996</v>
      </c>
      <c r="BC62" s="255">
        <f>IF(AND(ISNUMBER(BC60),ISNUMBER(AX60)),IFERROR(BC60/AX60-1,""),"")</f>
        <v>0.20578147966683</v>
      </c>
      <c r="BD62" s="255">
        <f>IF(AND(ISNUMBER(BD60),ISNUMBER(AY60)),IFERROR(BD60/AY60-1,""),"")</f>
        <v>0.188883763837638</v>
      </c>
      <c r="BE62" s="255">
        <f>IF(AND(ISNUMBER(BE60),ISNUMBER(AZ60)),IFERROR(BE60/AZ60-1,""),"")</f>
        <v>0.24301222859995</v>
      </c>
      <c r="BF62" s="255">
        <f>IF(AND(ISNUMBER(BF60),ISNUMBER(BA60)),IFERROR(BF60/BA60-1,""),"")</f>
        <v>0.111852750809061</v>
      </c>
      <c r="BG62" s="255">
        <f>IF(AND(ISNUMBER(BG60),ISNUMBER(BB60)),IFERROR(BG60/BB60-1,""),"")</f>
        <v>0.102407180742554</v>
      </c>
      <c r="BH62" s="255">
        <f>IF(AND(ISNUMBER(BH60),ISNUMBER(BC60)),IFERROR(BH60/BC60-1,""),"")</f>
        <v>0.126574563185697</v>
      </c>
      <c r="BI62" s="255">
        <f>IF(AND(ISNUMBER(BI60),ISNUMBER(BD60)),IFERROR(BI60/BD60-1,""),"")</f>
        <v>0.110766246362755</v>
      </c>
      <c r="BJ62" s="255">
        <f>IF(AND(ISNUMBER(BJ60),ISNUMBER(BE60)),IFERROR(BJ60/BE60-1,""),"")</f>
        <v>0.112884605732068</v>
      </c>
      <c r="BK62" s="255">
        <f>IF(AND(ISNUMBER(BK60),ISNUMBER(BF60)),IFERROR(BK60/BF60-1,""),"")</f>
        <v>0.094233218118974</v>
      </c>
      <c r="BL62" s="255">
        <f>IF(AND(ISNUMBER(BL60),ISNUMBER(BG60)),IFERROR(BL60/BG60-1,""),"")</f>
        <v>0.0925240562546261</v>
      </c>
      <c r="BM62" s="255">
        <f>IF(AND(ISNUMBER(BM60),ISNUMBER(BH60)),IFERROR(BM60/BH60-1,""),"")</f>
        <v>0.0771866546438234</v>
      </c>
      <c r="BN62" s="255">
        <f>IF(AND(ISNUMBER(BN60),ISNUMBER(BI60)),IFERROR(BN60/BI60-1,""),"")</f>
        <v>0.122074746769123</v>
      </c>
      <c r="BO62" s="255">
        <f>IF(AND(ISNUMBER(BO60),ISNUMBER(BJ60)),IFERROR(BO60/BJ60-1,""),"")</f>
        <v>0.0967436406278188</v>
      </c>
      <c r="BP62" s="255">
        <f>IF(AND(ISNUMBER(BP60),ISNUMBER(BK60)),IFERROR(BP60/BK60-1,""),"")</f>
        <v>0.0960931005818786</v>
      </c>
      <c r="BQ62" s="255">
        <f>IF(AND(ISNUMBER(BQ60),ISNUMBER(BL60)),IFERROR(BQ60/BL60-1,""),"")</f>
        <v>0.104844173441734</v>
      </c>
      <c r="BR62" s="255">
        <f>IF(AND(ISNUMBER(BR60),ISNUMBER(BM60)),IFERROR(BR60/BM60-1,""),"")</f>
        <v>0.149338690775155</v>
      </c>
      <c r="BS62" s="255">
        <f>IF(AND(ISNUMBER(BS60),ISNUMBER(BN60)),IFERROR(BS60/BN60-1,""),"")</f>
        <v>0.107081712062257</v>
      </c>
      <c r="BT62" s="255">
        <f>IF(AND(ISNUMBER(BT60),ISNUMBER(BO60)),IFERROR(BT60/BO60-1,""),"")</f>
        <v>0.114199942427109</v>
      </c>
      <c r="BU62" s="255">
        <f>IF(AND(ISNUMBER(BU60),ISNUMBER(BP60)),IFERROR(BU60/BP60-1,""),"")</f>
        <v>0.139086910359472</v>
      </c>
      <c r="BV62" s="255">
        <f>IF(AND(ISNUMBER(BV60),ISNUMBER(BQ60)),IFERROR(BV60/BQ60-1,""),"")</f>
        <v>0.169860493637897</v>
      </c>
      <c r="BW62" s="255">
        <f>IF(AND(ISNUMBER(BW60),ISNUMBER(BR60)),IFERROR(BW60/BR60-1,""),"")</f>
        <v>0.129643117261471</v>
      </c>
      <c r="BX62" s="256">
        <f>IF(AND(ISNUMBER(BX60),ISNUMBER(BS60)),IFERROR(BX60/BS60-1,""),"")</f>
        <v>0.122745450447308</v>
      </c>
      <c r="BY62" s="256">
        <f>IF(AND(ISNUMBER(BY60),ISNUMBER(BT60)),IFERROR(BY60/BT60-1,""),"")</f>
        <v>0.139812814240485</v>
      </c>
      <c r="BZ62" s="256">
        <f>IF(AND(ISNUMBER(BZ60),ISNUMBER(BY60)),IFERROR(BZ60/BY60-1,""),"")</f>
        <v>0.108362831610974</v>
      </c>
      <c r="CA62" s="256">
        <f>IF(AND(ISNUMBER(CA60),ISNUMBER(BZ60)),IFERROR(CA60/BZ60-1,""),"")</f>
        <v>0.112118764492824</v>
      </c>
      <c r="CB62" s="256">
        <f>IF(AND(ISNUMBER(CB60),ISNUMBER(CA60)),IFERROR(CB60/CA60-1,""),"")</f>
        <v>0.106292249515684</v>
      </c>
      <c r="CC62" s="256">
        <f>IF(AND(ISNUMBER(CC60),ISNUMBER(CB60)),IFERROR(CC60/CB60-1,""),"")</f>
        <v>0.0942806565703678</v>
      </c>
      <c r="CD62" s="256">
        <f>IF(AND(ISNUMBER(CD60),ISNUMBER(CC60)),IFERROR(CD60/CC60-1,""),"")</f>
        <v>0.0943183689528337</v>
      </c>
      <c r="CE62" s="153" t="n"/>
      <c r="CM62" s="25" t="inlineStr">
        <is>
          <t xml:space="preserve">  2030E</t>
        </is>
      </c>
      <c r="CN62" s="33">
        <f>CO62+$CN$58</f>
        <v>0.19</v>
      </c>
      <c r="CO62" s="42" t="n">
        <v>0.14</v>
      </c>
      <c r="CP62" s="33">
        <f>CO62+$CP$58</f>
        <v>0.06</v>
      </c>
    </row>
    <row r="63" ht="15" customHeight="1" s="251">
      <c r="B63" s="25" t="inlineStr">
        <is>
          <t xml:space="preserve">  Incremental adjusted operating margin (Δ adjusted OI / Δ net revenue)</t>
        </is>
      </c>
      <c r="C63" s="36" t="n"/>
      <c r="D63" s="215">
        <f>IFERROR((D60-C60)/(D39-C39),"")</f>
        <v>1.19753086419753</v>
      </c>
      <c r="E63" s="215">
        <f>IFERROR((E60-D60)/(E39-D39),"")</f>
        <v>0.793760831889081</v>
      </c>
      <c r="F63" s="215">
        <f>IFERROR((F60-E60)/(F39-E39),"")</f>
        <v>0.772039180765806</v>
      </c>
      <c r="G63" s="215">
        <f>IFERROR((G60-F60)/(G39-F39),"")</f>
        <v>0.633414436334144</v>
      </c>
      <c r="H63" s="36" t="n"/>
      <c r="I63" s="36" t="n"/>
      <c r="J63" s="36" t="n"/>
      <c r="K63" s="36" t="n"/>
      <c r="L63" s="215">
        <f>IFERROR((L60-G60)/(L39-G39),"")</f>
        <v>0.738393515106853</v>
      </c>
      <c r="M63" s="215">
        <f>IFERROR((M60-H60)/(M39-H39),"")</f>
        <v>0.896440129449838</v>
      </c>
      <c r="N63" s="215">
        <f>IFERROR((N60-I60)/(N39-I39),"")</f>
        <v>0.917073170731707</v>
      </c>
      <c r="O63" s="215">
        <f>IFERROR((O60-J60)/(O39-J39),"")</f>
        <v>1.24675324675325</v>
      </c>
      <c r="P63" s="215">
        <f>IFERROR((P60-K60)/(P39-K39),"")</f>
        <v>0.98046875</v>
      </c>
      <c r="Q63" s="215">
        <f>IFERROR((Q60-L60)/(Q39-L39),"")</f>
        <v>0.982683982683983</v>
      </c>
      <c r="R63" s="215">
        <f>IFERROR((R60-M60)/(R39-M39),"")</f>
        <v>0.709251101321586</v>
      </c>
      <c r="S63" s="215">
        <f>IFERROR((S60-N60)/(S39-N39),"")</f>
        <v>0.947154471544715</v>
      </c>
      <c r="T63" s="215">
        <f>IFERROR((T60-O60)/(T39-O39),"")</f>
        <v>0.666666666666667</v>
      </c>
      <c r="U63" s="215">
        <f>IFERROR((U60-P60)/(U39-P39),"")</f>
        <v>0.821637426900585</v>
      </c>
      <c r="V63" s="215">
        <f>IFERROR((V60-Q60)/(V39-Q39),"")</f>
        <v>0.778438030560272</v>
      </c>
      <c r="W63" s="215">
        <f>IFERROR((W60-R60)/(W39-R39),"")</f>
        <v>0.863387978142077</v>
      </c>
      <c r="X63" s="215">
        <f>IFERROR((X60-S60)/(X39-S39),"")</f>
        <v>0.705069124423963</v>
      </c>
      <c r="Y63" s="215">
        <f>IFERROR((Y60-T60)/(Y39-T39),"")</f>
        <v>1.74107142857143</v>
      </c>
      <c r="Z63" s="215">
        <f>IFERROR((Z60-U60)/(Z39-U39),"")</f>
        <v>0.655072463768116</v>
      </c>
      <c r="AA63" s="215">
        <f>IFERROR((AA60-V60)/(AA39-V39),"")</f>
        <v>0.797004991680532</v>
      </c>
      <c r="AB63" s="215">
        <f>IFERROR((AB60-W60)/(AB39-W39),"")</f>
        <v>0.785714285714286</v>
      </c>
      <c r="AC63" s="215">
        <f>IFERROR((AC60-X60)/(AC39-X39),"")</f>
        <v>0.665099882491187</v>
      </c>
      <c r="AD63" s="215">
        <f>IFERROR((AD60-Y60)/(AD39-Y39),"")</f>
        <v>0.606417112299465</v>
      </c>
      <c r="AE63" s="215">
        <f>IFERROR((AE60-Z60)/(AE39-Z39),"")</f>
        <v>0.803030303030303</v>
      </c>
      <c r="AF63" s="215">
        <f>IFERROR((AF60-AA60)/(AF39-AA39),"")</f>
        <v>0.706349206349206</v>
      </c>
      <c r="AG63" s="215">
        <f>IFERROR((AG60-AB60)/(AG39-AB39),"")</f>
        <v>0.566084788029925</v>
      </c>
      <c r="AH63" s="215">
        <f>IFERROR((AH60-AC60)/(AH39-AC39),"")</f>
        <v>0.563758389261745</v>
      </c>
      <c r="AI63" s="215">
        <f>IFERROR((AI60-AD60)/(AI39-AD39),"")</f>
        <v>0.682962962962963</v>
      </c>
      <c r="AJ63" s="215">
        <f>IFERROR((AJ60-AE60)/(AJ39-AE39),"")</f>
        <v>0.671848013816926</v>
      </c>
      <c r="AK63" s="215">
        <f>IFERROR((AK60-AF60)/(AK39-AF39),"")</f>
        <v>0.627721012883163</v>
      </c>
      <c r="AL63" s="215">
        <f>IFERROR((AL60-AG60)/(AL39-AG39),"")</f>
        <v>0.605590062111801</v>
      </c>
      <c r="AM63" s="215">
        <f>IFERROR((AM60-AH60)/(AM39-AH39),"")</f>
        <v>0.724465558194774</v>
      </c>
      <c r="AN63" s="215">
        <f>IFERROR((AN60-AI60)/(AN39-AI39),"")</f>
        <v>0.705</v>
      </c>
      <c r="AO63" s="215">
        <f>IFERROR((AO60-AJ60)/(AO39-AJ39),"")</f>
        <v>0.716927453769559</v>
      </c>
      <c r="AP63" s="215">
        <f>IFERROR((AP60-AK60)/(AP39-AK39),"")</f>
        <v>0.684966216216216</v>
      </c>
      <c r="AQ63" s="215">
        <f>IFERROR((AQ60-AL60)/(AQ39-AL39),"")</f>
        <v>0.569343065693431</v>
      </c>
      <c r="AR63" s="215">
        <f>IFERROR((AR60-AM60)/(AR39-AM39),"")</f>
        <v>0.830555555555556</v>
      </c>
      <c r="AS63" s="215">
        <f>IFERROR((AS60-AN60)/(AS39-AN39),"")</f>
        <v>0.889332003988036</v>
      </c>
      <c r="AT63" s="215">
        <f>IFERROR((AT60-AO60)/(AT39-AO39),"")</f>
        <v>0.913127413127413</v>
      </c>
      <c r="AU63" s="215">
        <f>IFERROR((AU60-AP60)/(AU39-AP39),"")</f>
        <v>1.08488063660477</v>
      </c>
      <c r="AV63" s="215">
        <f>IFERROR((AV60-AQ60)/(AV39-AQ39),"")</f>
        <v>0.463215258855586</v>
      </c>
      <c r="AW63" s="215">
        <f>IFERROR((AW60-AR60)/(AW39-AR39),"")</f>
        <v>1.512</v>
      </c>
      <c r="AX63" s="215">
        <f>IFERROR((AX60-AS60)/(AX39-AS39),"")</f>
        <v>0.824439288476412</v>
      </c>
      <c r="AY63" s="215">
        <f>IFERROR((AY60-AT60)/(AY39-AT39),"")</f>
        <v>0.807270233196159</v>
      </c>
      <c r="AZ63" s="215">
        <f>IFERROR((AZ60-AU60)/(AZ39-AU39),"")</f>
        <v>0.833997343957503</v>
      </c>
      <c r="BA63" s="215">
        <f>IFERROR((BA60-AV60)/(BA39-AV39),"")</f>
        <v>0.790816326530612</v>
      </c>
      <c r="BB63" s="215">
        <f>IFERROR((BB60-AW60)/(BB39-AW39),"")</f>
        <v>0.788356164383562</v>
      </c>
      <c r="BC63" s="215">
        <f>IFERROR((BC60-AX60)/(BC39-AX39),"")</f>
        <v>0.733624454148472</v>
      </c>
      <c r="BD63" s="215">
        <f>IFERROR((BD60-AY60)/(BD39-AY39),"")</f>
        <v>0.666938110749186</v>
      </c>
      <c r="BE63" s="215">
        <f>IFERROR((BE60-AZ60)/(BE39-AZ39),"")</f>
        <v>0.748318924111431</v>
      </c>
      <c r="BF63" s="215">
        <f>IFERROR((BF60-BA60)/(BF39-BA39),"")</f>
        <v>0.630558722919042</v>
      </c>
      <c r="BG63" s="215">
        <f>IFERROR((BG60-BB60)/(BG39-BB39),"")</f>
        <v>0.630653266331658</v>
      </c>
      <c r="BH63" s="215">
        <f>IFERROR((BH60-BC60)/(BH39-BC39),"")</f>
        <v>0.734669811320755</v>
      </c>
      <c r="BI63" s="215">
        <f>IFERROR((BI60-BD60)/(BI39-BD39),"")</f>
        <v>0.694647201946472</v>
      </c>
      <c r="BJ63" s="215">
        <f>IFERROR((BJ60-BE60)/(BJ39-BE39),"")</f>
        <v>0.672749027819324</v>
      </c>
      <c r="BK63" s="215">
        <f>IFERROR((BK60-BF60)/(BK39-BF39),"")</f>
        <v>0.742120343839542</v>
      </c>
      <c r="BL63" s="215">
        <f>IFERROR((BL60-BG60)/(BL39-BG39),"")</f>
        <v>0.632911392405063</v>
      </c>
      <c r="BM63" s="215">
        <f>IFERROR((BM60-BH60)/(BM39-BH39),"")</f>
        <v>0.550836550836551</v>
      </c>
      <c r="BN63" s="215">
        <f>IFERROR((BN60-BI60)/(BN39-BI39),"")</f>
        <v>0.693452380952381</v>
      </c>
      <c r="BO63" s="215">
        <f>IFERROR((BO60-BJ60)/(BO39-BJ39),"")</f>
        <v>0.655362053162237</v>
      </c>
      <c r="BP63" s="215">
        <f>IFERROR((BP60-BK60)/(BP39-BK39),"")</f>
        <v>0.659817351598174</v>
      </c>
      <c r="BQ63" s="215">
        <f>IFERROR((BQ60-BL60)/(BQ39-BL39),"")</f>
        <v>0.755799755799756</v>
      </c>
      <c r="BR63" s="215">
        <f>IFERROR((BR60-BM60)/(BR39-BM39),"")</f>
        <v>0.70125786163522</v>
      </c>
      <c r="BS63" s="215">
        <f>IFERROR((BS60-BN60)/(BS39-BN39),"")</f>
        <v>0.621499548328817</v>
      </c>
      <c r="BT63" s="215">
        <f>IFERROR((BT60-BO60)/(BT39-BO39),"")</f>
        <v>0.681639666175749</v>
      </c>
      <c r="BU63" s="215">
        <f>IFERROR((BU60-BP60)/(BU39-BP39),"")</f>
        <v>0.659237958303379</v>
      </c>
      <c r="BV63" s="215">
        <f>IFERROR((BV60-BQ60)/(BV39-BQ39),"")</f>
        <v>0.677261613691932</v>
      </c>
      <c r="BW63" s="215">
        <f>IFERROR((BW60-BR60)/(BW39-BR39),"")</f>
        <v>0.609171800136893</v>
      </c>
      <c r="BX63" s="256">
        <f>IFERROR((BX60-BS60)/(BX39-BS39),"")</f>
        <v>0.626264876073584</v>
      </c>
      <c r="BY63" s="256">
        <f>IFERROR((BY60-BT60)/(BY39-BT39),"")</f>
        <v>0.644000528556321</v>
      </c>
      <c r="BZ63" s="256">
        <f>IFERROR((BZ60-BY60)/(BZ39-BY39),"")</f>
        <v>0.693302308451718</v>
      </c>
      <c r="CA63" s="256">
        <f>IFERROR((CA60-BZ60)/(CA39-BZ39),"")</f>
        <v>0.695376722975895</v>
      </c>
      <c r="CB63" s="256">
        <f>IFERROR((CB60-CA60)/(CB39-CA39),"")</f>
        <v>0.70958242968273</v>
      </c>
      <c r="CC63" s="256">
        <f>IFERROR((CC60-CB60)/(CC39-CB39),"")</f>
        <v>0.68</v>
      </c>
      <c r="CD63" s="256">
        <f>IFERROR((CD60-CC60)/(CD39-CC39),"")</f>
        <v>0.703951674137187</v>
      </c>
      <c r="CE63" s="153" t="n"/>
      <c r="CM63" s="25" t="inlineStr">
        <is>
          <t xml:space="preserve">  2031E</t>
        </is>
      </c>
      <c r="CN63" s="33">
        <f>CO63+$CN$58</f>
        <v>0.18</v>
      </c>
      <c r="CO63" s="42" t="n">
        <v>0.13</v>
      </c>
      <c r="CP63" s="33">
        <f>CO63+$CP$58</f>
        <v>0.05</v>
      </c>
    </row>
    <row r="64" ht="15" customHeight="1" s="251">
      <c r="B64" s="156" t="inlineStr">
        <is>
          <t xml:space="preserve">  Memo: Q4/26E non-GAAP EPS end-point = Q4/25 × (1 + outlook growth, active scenario) ($)</t>
        </is>
      </c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  <c r="AW64" s="27" t="n"/>
      <c r="AX64" s="27" t="n"/>
      <c r="AY64" s="27" t="n"/>
      <c r="AZ64" s="27" t="n"/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  <c r="BK64" s="27" t="n"/>
      <c r="BL64" s="27" t="n"/>
      <c r="BM64" s="27" t="n"/>
      <c r="BN64" s="27" t="n"/>
      <c r="BO64" s="27" t="n"/>
      <c r="BP64" s="27" t="n"/>
      <c r="BQ64" s="27" t="n"/>
      <c r="BR64" s="27" t="n"/>
      <c r="BS64" s="27" t="n"/>
      <c r="BT64" s="27" t="n"/>
      <c r="BU64" s="27" t="n"/>
      <c r="BV64" s="27" t="n"/>
      <c r="BW64" s="27" t="n"/>
      <c r="BX64" s="268">
        <f>BS192*(1+CHOOSE(MATCH($CE$2,{"Bull","Base","Bear"},0),$CN$13,$CO$13,$CP$13))</f>
        <v>3.3972</v>
      </c>
      <c r="BY64" s="153" t="n"/>
      <c r="BZ64" s="153" t="n"/>
      <c r="CA64" s="153" t="n"/>
      <c r="CB64" s="153" t="n"/>
      <c r="CC64" s="153" t="n"/>
      <c r="CD64" s="153" t="n"/>
      <c r="CE64" s="153" t="inlineStr">
        <is>
          <t>Q4 FY26 non-GAAP EPS growth 'low end of mid-teens' - UNVERIFIED. End-points 15% / 14% / 13% on Q4 FY25 non-GAAP EPS $2.98. Drives the Q4/26E operating-expense calibration.</t>
        </is>
      </c>
      <c r="CM64" s="15" t="inlineStr">
        <is>
          <t>CI (client incentives % of gross revenue)</t>
        </is>
      </c>
      <c r="CN64" s="41" t="n">
        <v>-0.005</v>
      </c>
      <c r="CO64" s="21" t="inlineStr">
        <is>
          <t>Δ →</t>
        </is>
      </c>
      <c r="CP64" s="41" t="n">
        <v>0.01</v>
      </c>
      <c r="CQ64" s="13" t="inlineStr">
        <is>
          <t>FY2017 19.9% → FY2025 28.3% (renewals, competition for issuers); Q3 FY26 28.7%. Base +0.2pt a year.</t>
        </is>
      </c>
    </row>
    <row r="65" ht="15" customHeight="1" s="251">
      <c r="B65" s="156" t="inlineStr">
        <is>
          <t xml:space="preserve">  Adjusted net income required (Q4/26E diluted shares × EPS end-point)</t>
        </is>
      </c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  <c r="AQ65" s="44" t="n"/>
      <c r="AR65" s="44" t="n"/>
      <c r="AS65" s="44" t="n"/>
      <c r="AT65" s="44" t="n"/>
      <c r="AU65" s="44" t="n"/>
      <c r="AV65" s="44" t="n"/>
      <c r="AW65" s="44" t="n"/>
      <c r="AX65" s="44" t="n"/>
      <c r="AY65" s="44" t="n"/>
      <c r="AZ65" s="44" t="n"/>
      <c r="BA65" s="44" t="n"/>
      <c r="BB65" s="44" t="n"/>
      <c r="BC65" s="44" t="n"/>
      <c r="BD65" s="44" t="n"/>
      <c r="BE65" s="44" t="n"/>
      <c r="BF65" s="44" t="n"/>
      <c r="BG65" s="44" t="n"/>
      <c r="BH65" s="44" t="n"/>
      <c r="BI65" s="44" t="n"/>
      <c r="BJ65" s="44" t="n"/>
      <c r="BK65" s="44" t="n"/>
      <c r="BL65" s="44" t="n"/>
      <c r="BM65" s="44" t="n"/>
      <c r="BN65" s="44" t="n"/>
      <c r="BO65" s="44" t="n"/>
      <c r="BP65" s="44" t="n"/>
      <c r="BQ65" s="44" t="n"/>
      <c r="BR65" s="44" t="n"/>
      <c r="BS65" s="44" t="n"/>
      <c r="BT65" s="44" t="n"/>
      <c r="BU65" s="44" t="n"/>
      <c r="BV65" s="44" t="n"/>
      <c r="BW65" s="44" t="n"/>
      <c r="BX65" s="254">
        <f>BX64*BX190</f>
        <v>6403.12159511568</v>
      </c>
      <c r="BY65" s="35" t="n"/>
      <c r="BZ65" s="35" t="n"/>
      <c r="CA65" s="35" t="n"/>
      <c r="CB65" s="35" t="n"/>
      <c r="CC65" s="35" t="n"/>
      <c r="CD65" s="35" t="n"/>
      <c r="CE65" s="153" t="n"/>
      <c r="CM65" s="25" t="inlineStr">
        <is>
          <t xml:space="preserve">  2027E</t>
        </is>
      </c>
      <c r="CN65" s="33">
        <f>CO65+$CN$64</f>
        <v>0.284</v>
      </c>
      <c r="CO65" s="42" t="n">
        <v>0.289</v>
      </c>
      <c r="CP65" s="33">
        <f>CO65+$CP$64</f>
        <v>0.299</v>
      </c>
    </row>
    <row r="66" ht="15" customHeight="1" s="251">
      <c r="B66" s="156" t="inlineStr">
        <is>
          <t xml:space="preserve">  Adjusted operating income required (NI ÷ (1 − adjusted tax rate) − adjusted non-operating income)</t>
        </is>
      </c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  <c r="AQ66" s="44" t="n"/>
      <c r="AR66" s="44" t="n"/>
      <c r="AS66" s="44" t="n"/>
      <c r="AT66" s="44" t="n"/>
      <c r="AU66" s="44" t="n"/>
      <c r="AV66" s="44" t="n"/>
      <c r="AW66" s="44" t="n"/>
      <c r="AX66" s="44" t="n"/>
      <c r="AY66" s="44" t="n"/>
      <c r="AZ66" s="44" t="n"/>
      <c r="BA66" s="44" t="n"/>
      <c r="BB66" s="44" t="n"/>
      <c r="BC66" s="44" t="n"/>
      <c r="BD66" s="44" t="n"/>
      <c r="BE66" s="44" t="n"/>
      <c r="BF66" s="44" t="n"/>
      <c r="BG66" s="44" t="n"/>
      <c r="BH66" s="44" t="n"/>
      <c r="BI66" s="44" t="n"/>
      <c r="BJ66" s="44" t="n"/>
      <c r="BK66" s="44" t="n"/>
      <c r="BL66" s="44" t="n"/>
      <c r="BM66" s="44" t="n"/>
      <c r="BN66" s="44" t="n"/>
      <c r="BO66" s="44" t="n"/>
      <c r="BP66" s="44" t="n"/>
      <c r="BQ66" s="44" t="n"/>
      <c r="BR66" s="44" t="n"/>
      <c r="BS66" s="44" t="n"/>
      <c r="BT66" s="44" t="n"/>
      <c r="BU66" s="44" t="n"/>
      <c r="BV66" s="44" t="n"/>
      <c r="BW66" s="44" t="n"/>
      <c r="BX66" s="254">
        <f>BX65/(1-BX197)-(BX129-BX128)</f>
        <v>7986.0883890317</v>
      </c>
      <c r="BY66" s="35" t="n"/>
      <c r="BZ66" s="35" t="n"/>
      <c r="CA66" s="35" t="n"/>
      <c r="CB66" s="35" t="n"/>
      <c r="CC66" s="35" t="n"/>
      <c r="CD66" s="35" t="n"/>
      <c r="CE66" s="153" t="n"/>
      <c r="CM66" s="25" t="inlineStr">
        <is>
          <t xml:space="preserve">  2028E</t>
        </is>
      </c>
      <c r="CN66" s="33">
        <f>CO66+$CN$64</f>
        <v>0.286</v>
      </c>
      <c r="CO66" s="42" t="n">
        <v>0.291</v>
      </c>
      <c r="CP66" s="33">
        <f>CO66+$CP$64</f>
        <v>0.301</v>
      </c>
    </row>
    <row r="67" ht="15" customHeight="1" s="251">
      <c r="B67" s="25" t="inlineStr">
        <is>
          <t xml:space="preserve">  Calibration Δ: shift in adjusted operating-expense growth (Q4/26E)</t>
        </is>
      </c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36" t="n"/>
      <c r="BE67" s="36" t="n"/>
      <c r="BF67" s="36" t="n"/>
      <c r="BG67" s="36" t="n"/>
      <c r="BH67" s="36" t="n"/>
      <c r="BI67" s="36" t="n"/>
      <c r="BJ67" s="36" t="n"/>
      <c r="BK67" s="36" t="n"/>
      <c r="BL67" s="36" t="n"/>
      <c r="BM67" s="36" t="n"/>
      <c r="BN67" s="36" t="n"/>
      <c r="BO67" s="36" t="n"/>
      <c r="BP67" s="36" t="n"/>
      <c r="BQ67" s="36" t="n"/>
      <c r="BR67" s="36" t="n"/>
      <c r="BS67" s="36" t="n"/>
      <c r="BT67" s="36" t="n"/>
      <c r="BU67" s="36" t="n"/>
      <c r="BV67" s="36" t="n"/>
      <c r="BW67" s="36" t="n"/>
      <c r="BX67" s="256">
        <f>(BX39-BX66)/BS55-1-BX57</f>
        <v>-0.0249406526513469</v>
      </c>
      <c r="BY67" s="24" t="n"/>
      <c r="BZ67" s="46" t="n"/>
      <c r="CA67" s="46" t="n"/>
      <c r="CB67" s="46" t="n"/>
      <c r="CC67" s="46" t="n"/>
      <c r="CD67" s="46" t="n"/>
      <c r="CE67" s="19" t="inlineStr">
        <is>
          <t>Solves Q4/26E adjusted opex so that non-GAAP EPS = the end-point for the active scenario.</t>
        </is>
      </c>
      <c r="CM67" s="25" t="inlineStr">
        <is>
          <t xml:space="preserve">  2029E</t>
        </is>
      </c>
      <c r="CN67" s="33">
        <f>CO67+$CN$64</f>
        <v>0.288</v>
      </c>
      <c r="CO67" s="42" t="n">
        <v>0.293</v>
      </c>
      <c r="CP67" s="33">
        <f>CO67+$CP$64</f>
        <v>0.303</v>
      </c>
    </row>
    <row r="68" ht="15" customHeight="1" s="251">
      <c r="B68" s="57" t="inlineStr">
        <is>
          <t xml:space="preserve">  Check: Q4/26E non-GAAP EPS vs outlook end-point (should be 0.00)</t>
        </is>
      </c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  <c r="AQ68" s="44" t="n"/>
      <c r="AR68" s="44" t="n"/>
      <c r="AS68" s="44" t="n"/>
      <c r="AT68" s="44" t="n"/>
      <c r="AU68" s="44" t="n"/>
      <c r="AV68" s="44" t="n"/>
      <c r="AW68" s="44" t="n"/>
      <c r="AX68" s="44" t="n"/>
      <c r="AY68" s="44" t="n"/>
      <c r="AZ68" s="44" t="n"/>
      <c r="BA68" s="44" t="n"/>
      <c r="BB68" s="44" t="n"/>
      <c r="BC68" s="44" t="n"/>
      <c r="BD68" s="44" t="n"/>
      <c r="BE68" s="44" t="n"/>
      <c r="BF68" s="44" t="n"/>
      <c r="BG68" s="44" t="n"/>
      <c r="BH68" s="44" t="n"/>
      <c r="BI68" s="44" t="n"/>
      <c r="BJ68" s="44" t="n"/>
      <c r="BK68" s="44" t="n"/>
      <c r="BL68" s="44" t="n"/>
      <c r="BM68" s="44" t="n"/>
      <c r="BN68" s="44" t="n"/>
      <c r="BO68" s="44" t="n"/>
      <c r="BP68" s="44" t="n"/>
      <c r="BQ68" s="44" t="n"/>
      <c r="BR68" s="44" t="n"/>
      <c r="BS68" s="44" t="n"/>
      <c r="BT68" s="44" t="n"/>
      <c r="BU68" s="44" t="n"/>
      <c r="BV68" s="44" t="n"/>
      <c r="BW68" s="44" t="n"/>
      <c r="BX68" s="268">
        <f>ROUND(BX191-BX64,2)</f>
        <v>0</v>
      </c>
      <c r="BY68" s="153" t="n"/>
      <c r="BZ68" s="153" t="n"/>
      <c r="CA68" s="153" t="n"/>
      <c r="CB68" s="153" t="n"/>
      <c r="CC68" s="153" t="n"/>
      <c r="CD68" s="153" t="n"/>
      <c r="CE68" s="153" t="n"/>
      <c r="CM68" s="25" t="inlineStr">
        <is>
          <t xml:space="preserve">  2030E</t>
        </is>
      </c>
      <c r="CN68" s="33">
        <f>CO68+$CN$64</f>
        <v>0.29</v>
      </c>
      <c r="CO68" s="42" t="n">
        <v>0.295</v>
      </c>
      <c r="CP68" s="33">
        <f>CO68+$CP$64</f>
        <v>0.305</v>
      </c>
    </row>
    <row r="69" ht="15" customHeight="1" s="251">
      <c r="B69" s="156" t="inlineStr">
        <is>
          <t xml:space="preserve">  Memo: implied FY26 non-GAAP EPS growth (information; call commentary "low end of mid-teens", UNVERIFIED)</t>
        </is>
      </c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44" t="n"/>
      <c r="AT69" s="44" t="n"/>
      <c r="AU69" s="44" t="n"/>
      <c r="AV69" s="44" t="n"/>
      <c r="AW69" s="44" t="n"/>
      <c r="AX69" s="44" t="n"/>
      <c r="AY69" s="44" t="n"/>
      <c r="AZ69" s="44" t="n"/>
      <c r="BA69" s="44" t="n"/>
      <c r="BB69" s="44" t="n"/>
      <c r="BC69" s="44" t="n"/>
      <c r="BD69" s="44" t="n"/>
      <c r="BE69" s="44" t="n"/>
      <c r="BF69" s="44" t="n"/>
      <c r="BG69" s="44" t="n"/>
      <c r="BH69" s="44" t="n"/>
      <c r="BI69" s="44" t="n"/>
      <c r="BJ69" s="44" t="n"/>
      <c r="BK69" s="44" t="n"/>
      <c r="BL69" s="44" t="n"/>
      <c r="BM69" s="44" t="n"/>
      <c r="BN69" s="44" t="n"/>
      <c r="BO69" s="44" t="n"/>
      <c r="BP69" s="44" t="n"/>
      <c r="BQ69" s="44" t="n"/>
      <c r="BR69" s="44" t="n"/>
      <c r="BS69" s="44" t="n"/>
      <c r="BT69" s="44" t="n"/>
      <c r="BU69" s="44" t="n"/>
      <c r="BV69" s="44" t="n"/>
      <c r="BW69" s="44" t="n"/>
      <c r="BX69" s="35" t="n"/>
      <c r="BY69" s="256">
        <f>BY194</f>
        <v>0.150328256877889</v>
      </c>
      <c r="BZ69" s="35" t="n"/>
      <c r="CA69" s="35" t="n"/>
      <c r="CB69" s="35" t="n"/>
      <c r="CC69" s="35" t="n"/>
      <c r="CD69" s="35" t="n"/>
      <c r="CE69" s="153" t="n"/>
      <c r="CM69" s="25" t="inlineStr">
        <is>
          <t xml:space="preserve">  2031E</t>
        </is>
      </c>
      <c r="CN69" s="33">
        <f>CO69+$CN$64</f>
        <v>0.292</v>
      </c>
      <c r="CO69" s="42" t="n">
        <v>0.297</v>
      </c>
      <c r="CP69" s="33">
        <f>CO69+$CP$64</f>
        <v>0.307</v>
      </c>
    </row>
    <row r="70" ht="15" customHeight="1" s="251">
      <c r="B70" s="156" t="inlineStr">
        <is>
          <t xml:space="preserve">  Memo: Q4/26E adjusted operating-expense growth (information; call commentary "low double digits", UNVERIFIED)</t>
        </is>
      </c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  <c r="AQ70" s="44" t="n"/>
      <c r="AR70" s="44" t="n"/>
      <c r="AS70" s="44" t="n"/>
      <c r="AT70" s="44" t="n"/>
      <c r="AU70" s="44" t="n"/>
      <c r="AV70" s="44" t="n"/>
      <c r="AW70" s="44" t="n"/>
      <c r="AX70" s="44" t="n"/>
      <c r="AY70" s="44" t="n"/>
      <c r="AZ70" s="44" t="n"/>
      <c r="BA70" s="44" t="n"/>
      <c r="BB70" s="44" t="n"/>
      <c r="BC70" s="44" t="n"/>
      <c r="BD70" s="44" t="n"/>
      <c r="BE70" s="44" t="n"/>
      <c r="BF70" s="44" t="n"/>
      <c r="BG70" s="44" t="n"/>
      <c r="BH70" s="44" t="n"/>
      <c r="BI70" s="44" t="n"/>
      <c r="BJ70" s="44" t="n"/>
      <c r="BK70" s="44" t="n"/>
      <c r="BL70" s="44" t="n"/>
      <c r="BM70" s="44" t="n"/>
      <c r="BN70" s="44" t="n"/>
      <c r="BO70" s="44" t="n"/>
      <c r="BP70" s="44" t="n"/>
      <c r="BQ70" s="44" t="n"/>
      <c r="BR70" s="44" t="n"/>
      <c r="BS70" s="44" t="n"/>
      <c r="BT70" s="44" t="n"/>
      <c r="BU70" s="44" t="n"/>
      <c r="BV70" s="44" t="n"/>
      <c r="BW70" s="44" t="n"/>
      <c r="BX70" s="256">
        <f>BX56</f>
        <v>0.144290116579422</v>
      </c>
      <c r="BY70" s="35" t="n"/>
      <c r="BZ70" s="35" t="n"/>
      <c r="CA70" s="35" t="n"/>
      <c r="CB70" s="35" t="n"/>
      <c r="CC70" s="35" t="n"/>
      <c r="CD70" s="35" t="n"/>
      <c r="CE70" s="153" t="n"/>
      <c r="CM70" s="15" t="inlineStr">
        <is>
          <t>AOM (adjusted operating margin)</t>
        </is>
      </c>
      <c r="CN70" s="41" t="n">
        <v>0.01</v>
      </c>
      <c r="CO70" s="21" t="inlineStr">
        <is>
          <t>Δ →</t>
        </is>
      </c>
      <c r="CP70" s="41" t="n">
        <v>-0.02</v>
      </c>
      <c r="CQ70" s="13" t="inlineStr">
        <is>
          <t>Non-GAAP: FY2018–25 66.5–68.0% (FY2025 67.7%, FY2020 64.7%); 9M FY26 67.8% with marketing for the FIFA World Cup 2026. Base flat-to-slightly-up.</t>
        </is>
      </c>
    </row>
    <row r="71" ht="15" customHeight="1" s="251">
      <c r="CM71" s="25" t="inlineStr">
        <is>
          <t xml:space="preserve">  2027E</t>
        </is>
      </c>
      <c r="CN71" s="33">
        <f>CO71+$CN$70</f>
        <v>0.685</v>
      </c>
      <c r="CO71" s="42" t="n">
        <v>0.675</v>
      </c>
      <c r="CP71" s="33">
        <f>CO71+$CP$70</f>
        <v>0.655</v>
      </c>
    </row>
    <row r="72" collapsed="1" ht="15" customHeight="1" s="251">
      <c r="B72" s="14" t="inlineStr">
        <is>
          <t>Future acquisitions (M&amp;A lever — value-added services / new flows bolt-ons; deals closed from 2027E)</t>
        </is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  <c r="CE72" s="15" t="inlineStr">
        <is>
          <t>M&amp;A LEVER — acquired revenue = spend ÷ EV/sales; mid-year convention</t>
        </is>
      </c>
      <c r="CM72" s="25" t="inlineStr">
        <is>
          <t xml:space="preserve">  2028E</t>
        </is>
      </c>
      <c r="CN72" s="33">
        <f>CO72+$CN$70</f>
        <v>0.687</v>
      </c>
      <c r="CO72" s="42" t="n">
        <v>0.677</v>
      </c>
      <c r="CP72" s="33">
        <f>CO72+$CP$70</f>
        <v>0.657</v>
      </c>
    </row>
    <row r="73" ht="15" customHeight="1" s="251">
      <c r="B73" s="25" t="inlineStr">
        <is>
          <t xml:space="preserve">  Acquisition spend (USDm, scenario)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  <c r="AD73" s="34" t="n"/>
      <c r="AE73" s="34" t="n"/>
      <c r="AF73" s="34" t="n"/>
      <c r="AG73" s="34" t="n"/>
      <c r="AH73" s="34" t="n"/>
      <c r="AI73" s="34" t="n"/>
      <c r="AJ73" s="34" t="n"/>
      <c r="AK73" s="34" t="n"/>
      <c r="AL73" s="34" t="n"/>
      <c r="AM73" s="34" t="n"/>
      <c r="AN73" s="34" t="n"/>
      <c r="AO73" s="34" t="n"/>
      <c r="AP73" s="34" t="n"/>
      <c r="AQ73" s="34" t="n"/>
      <c r="AR73" s="34" t="n"/>
      <c r="AS73" s="34" t="n"/>
      <c r="AT73" s="34" t="n"/>
      <c r="AU73" s="34" t="n"/>
      <c r="AV73" s="34" t="n"/>
      <c r="AW73" s="34" t="n"/>
      <c r="AX73" s="34" t="n"/>
      <c r="AY73" s="34" t="n"/>
      <c r="AZ73" s="34" t="n"/>
      <c r="BA73" s="34" t="n"/>
      <c r="BB73" s="34" t="n"/>
      <c r="BC73" s="34" t="n"/>
      <c r="BD73" s="34" t="n"/>
      <c r="BE73" s="34" t="n"/>
      <c r="BF73" s="34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5" t="n"/>
      <c r="BY73" s="269" t="n">
        <v>0</v>
      </c>
      <c r="BZ73" s="254">
        <f>MAX(0,CHOOSE(MATCH($CE$2,{"Bull","Base","Bear"},0),$CN$77,$CO$77,$CP$77))</f>
        <v>1000</v>
      </c>
      <c r="CA73" s="254">
        <f>MAX(0,CHOOSE(MATCH($CE$2,{"Bull","Base","Bear"},0),$CN$78,$CO$78,$CP$78))</f>
        <v>1000</v>
      </c>
      <c r="CB73" s="254">
        <f>MAX(0,CHOOSE(MATCH($CE$2,{"Bull","Base","Bear"},0),$CN$79,$CO$79,$CP$79))</f>
        <v>1000</v>
      </c>
      <c r="CC73" s="254">
        <f>MAX(0,CHOOSE(MATCH($CE$2,{"Bull","Base","Bear"},0),$CN$80,$CO$80,$CP$80))</f>
        <v>1000</v>
      </c>
      <c r="CD73" s="254">
        <f>MAX(0,CHOOSE(MATCH($CE$2,{"Bull","Base","Bear"},0),$CN$81,$CO$81,$CP$81))</f>
        <v>1000</v>
      </c>
      <c r="CE73" s="19" t="inlineStr">
        <is>
          <t>Scenario lever M&amp;A_spend (Base $1.0bn p.a.). Funded from cash (debt schedule).</t>
        </is>
      </c>
      <c r="CM73" s="25" t="inlineStr">
        <is>
          <t xml:space="preserve">  2029E</t>
        </is>
      </c>
      <c r="CN73" s="33">
        <f>CO73+$CN$70</f>
        <v>0.69</v>
      </c>
      <c r="CO73" s="42" t="n">
        <v>0.68</v>
      </c>
      <c r="CP73" s="33">
        <f>CO73+$CP$70</f>
        <v>0.66</v>
      </c>
    </row>
    <row r="74" ht="15" customHeight="1" s="251">
      <c r="B74" s="25" t="inlineStr">
        <is>
          <t xml:space="preserve">  Purchase multiple — EV / sales (x)</t>
        </is>
      </c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24" t="n"/>
      <c r="BY74" s="270" t="n">
        <v>0</v>
      </c>
      <c r="BZ74" s="270" t="n">
        <v>8</v>
      </c>
      <c r="CA74" s="270" t="n">
        <v>8</v>
      </c>
      <c r="CB74" s="270" t="n">
        <v>8</v>
      </c>
      <c r="CC74" s="270" t="n">
        <v>8</v>
      </c>
      <c r="CD74" s="270" t="n">
        <v>8</v>
      </c>
      <c r="CE74" s="19" t="inlineStr">
        <is>
          <t>Fintech / software targets (Tink, Pismo, Featurespace, Currencycloud): prices not split by revenue in the filings; 8.0x EV/sales input (assumption).</t>
        </is>
      </c>
      <c r="CM74" s="25" t="inlineStr">
        <is>
          <t xml:space="preserve">  2030E</t>
        </is>
      </c>
      <c r="CN74" s="33">
        <f>CO74+$CN$70</f>
        <v>0.69</v>
      </c>
      <c r="CO74" s="42" t="n">
        <v>0.68</v>
      </c>
      <c r="CP74" s="33">
        <f>CO74+$CP$70</f>
        <v>0.66</v>
      </c>
    </row>
    <row r="75" ht="15" customHeight="1" s="251">
      <c r="B75" s="25" t="inlineStr">
        <is>
          <t xml:space="preserve">  Annualised revenue acquired in the year</t>
        </is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  <c r="AA75" s="34" t="n"/>
      <c r="AB75" s="34" t="n"/>
      <c r="AC75" s="34" t="n"/>
      <c r="AD75" s="34" t="n"/>
      <c r="AE75" s="34" t="n"/>
      <c r="AF75" s="34" t="n"/>
      <c r="AG75" s="34" t="n"/>
      <c r="AH75" s="34" t="n"/>
      <c r="AI75" s="34" t="n"/>
      <c r="AJ75" s="34" t="n"/>
      <c r="AK75" s="34" t="n"/>
      <c r="AL75" s="34" t="n"/>
      <c r="AM75" s="34" t="n"/>
      <c r="AN75" s="34" t="n"/>
      <c r="AO75" s="34" t="n"/>
      <c r="AP75" s="34" t="n"/>
      <c r="AQ75" s="34" t="n"/>
      <c r="AR75" s="34" t="n"/>
      <c r="AS75" s="34" t="n"/>
      <c r="AT75" s="34" t="n"/>
      <c r="AU75" s="34" t="n"/>
      <c r="AV75" s="34" t="n"/>
      <c r="AW75" s="34" t="n"/>
      <c r="AX75" s="34" t="n"/>
      <c r="AY75" s="34" t="n"/>
      <c r="AZ75" s="34" t="n"/>
      <c r="BA75" s="34" t="n"/>
      <c r="BB75" s="34" t="n"/>
      <c r="BC75" s="34" t="n"/>
      <c r="BD75" s="34" t="n"/>
      <c r="BE75" s="34" t="n"/>
      <c r="BF75" s="34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5" t="n"/>
      <c r="BY75" s="269" t="n">
        <v>0</v>
      </c>
      <c r="BZ75" s="254">
        <f>IFERROR(BZ73/BZ74,0)</f>
        <v>125</v>
      </c>
      <c r="CA75" s="254">
        <f>IFERROR(CA73/CA74,0)</f>
        <v>125</v>
      </c>
      <c r="CB75" s="254">
        <f>IFERROR(CB73/CB74,0)</f>
        <v>125</v>
      </c>
      <c r="CC75" s="254">
        <f>IFERROR(CC73/CC74,0)</f>
        <v>125</v>
      </c>
      <c r="CD75" s="254">
        <f>IFERROR(CD73/CD74,0)</f>
        <v>125</v>
      </c>
      <c r="CE75" s="19" t="inlineStr">
        <is>
          <t>Spend ÷ EV/sales.</t>
        </is>
      </c>
      <c r="CM75" s="25" t="inlineStr">
        <is>
          <t xml:space="preserve">  2031E</t>
        </is>
      </c>
      <c r="CN75" s="33">
        <f>CO75+$CN$70</f>
        <v>0.692</v>
      </c>
      <c r="CO75" s="42" t="n">
        <v>0.6820000000000001</v>
      </c>
      <c r="CP75" s="33">
        <f>CO75+$CP$70</f>
        <v>0.662</v>
      </c>
    </row>
    <row r="76" ht="15" customHeight="1" s="251">
      <c r="B76" s="25" t="inlineStr">
        <is>
          <t xml:space="preserve">  Growth of acquired businesses after acquisition %</t>
        </is>
      </c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24" t="n"/>
      <c r="BY76" s="271" t="n">
        <v>0</v>
      </c>
      <c r="BZ76" s="271" t="n">
        <v>0.15</v>
      </c>
      <c r="CA76" s="271" t="n">
        <v>0.15</v>
      </c>
      <c r="CB76" s="271" t="n">
        <v>0.15</v>
      </c>
      <c r="CC76" s="271" t="n">
        <v>0.15</v>
      </c>
      <c r="CD76" s="271" t="n">
        <v>0.15</v>
      </c>
      <c r="CE76" s="19" t="inlineStr">
        <is>
          <t>Assumption: acquired fintech / value-added-services revenue grows 15% a year.</t>
        </is>
      </c>
      <c r="CM76" s="15" t="inlineStr">
        <is>
          <t>M&amp;A_spend (acquisitions, $m)</t>
        </is>
      </c>
      <c r="CN76" s="50" t="n">
        <v>1000</v>
      </c>
      <c r="CO76" s="21" t="inlineStr">
        <is>
          <t>Δ →</t>
        </is>
      </c>
      <c r="CP76" s="50" t="n">
        <v>-1000</v>
      </c>
      <c r="CQ76" s="13" t="inlineStr">
        <is>
          <t>Visa spent ~$0.9bn (Featurespace, FY25), ~$1.0bn (Pismo, FY24), ~$2.0bn (Tink, FY23), $0.7bn (9M FY26). Base $1.0bn p.a. (assumption).</t>
        </is>
      </c>
    </row>
    <row r="77" ht="15" customHeight="1" s="251">
      <c r="B77" s="25" t="inlineStr">
        <is>
          <t xml:space="preserve">  Run-rate revenue of businesses acquired (year end)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 t="n"/>
      <c r="AF77" s="34" t="n"/>
      <c r="AG77" s="34" t="n"/>
      <c r="AH77" s="34" t="n"/>
      <c r="AI77" s="34" t="n"/>
      <c r="AJ77" s="34" t="n"/>
      <c r="AK77" s="34" t="n"/>
      <c r="AL77" s="34" t="n"/>
      <c r="AM77" s="34" t="n"/>
      <c r="AN77" s="34" t="n"/>
      <c r="AO77" s="34" t="n"/>
      <c r="AP77" s="34" t="n"/>
      <c r="AQ77" s="34" t="n"/>
      <c r="AR77" s="34" t="n"/>
      <c r="AS77" s="34" t="n"/>
      <c r="AT77" s="34" t="n"/>
      <c r="AU77" s="34" t="n"/>
      <c r="AV77" s="34" t="n"/>
      <c r="AW77" s="34" t="n"/>
      <c r="AX77" s="34" t="n"/>
      <c r="AY77" s="34" t="n"/>
      <c r="AZ77" s="34" t="n"/>
      <c r="BA77" s="34" t="n"/>
      <c r="BB77" s="34" t="n"/>
      <c r="BC77" s="34" t="n"/>
      <c r="BD77" s="34" t="n"/>
      <c r="BE77" s="34" t="n"/>
      <c r="BF77" s="34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5" t="n"/>
      <c r="BY77" s="269" t="n">
        <v>0</v>
      </c>
      <c r="BZ77" s="254">
        <f>BY77*(1+BZ76)+BZ75</f>
        <v>125</v>
      </c>
      <c r="CA77" s="254">
        <f>BZ77*(1+CA76)+CA75</f>
        <v>268.75</v>
      </c>
      <c r="CB77" s="254">
        <f>CA77*(1+CB76)+CB75</f>
        <v>434.0625</v>
      </c>
      <c r="CC77" s="254">
        <f>CB77*(1+CC76)+CC75</f>
        <v>624.171875</v>
      </c>
      <c r="CD77" s="254">
        <f>CC77*(1+CD76)+CD75</f>
        <v>842.79765625</v>
      </c>
      <c r="CE77" s="19" t="inlineStr">
        <is>
          <t>Prior run-rate × (1 + growth) + revenue acquired in the year.</t>
        </is>
      </c>
      <c r="CM77" s="25" t="inlineStr">
        <is>
          <t xml:space="preserve">  2027E</t>
        </is>
      </c>
      <c r="CN77" s="51">
        <f>MAX(0,CO77+$CN$76)</f>
        <v>2000</v>
      </c>
      <c r="CO77" s="26" t="n">
        <v>1000</v>
      </c>
      <c r="CP77" s="51">
        <f>MAX(0,CO77+$CP$76)</f>
        <v>0</v>
      </c>
    </row>
    <row r="78" ht="15" customHeight="1" s="251">
      <c r="B78" s="16" t="inlineStr">
        <is>
          <t xml:space="preserve">  Revenue from future acquisitions</t>
        </is>
      </c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  <c r="AB78" s="43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  <c r="AP78" s="43" t="n"/>
      <c r="AQ78" s="43" t="n"/>
      <c r="AR78" s="43" t="n"/>
      <c r="AS78" s="43" t="n"/>
      <c r="AT78" s="43" t="n"/>
      <c r="AU78" s="43" t="n"/>
      <c r="AV78" s="43" t="n"/>
      <c r="AW78" s="43" t="n"/>
      <c r="AX78" s="43" t="n"/>
      <c r="AY78" s="43" t="n"/>
      <c r="AZ78" s="43" t="n"/>
      <c r="BA78" s="43" t="n"/>
      <c r="BB78" s="43" t="n"/>
      <c r="BC78" s="43" t="n"/>
      <c r="BD78" s="43" t="n"/>
      <c r="BE78" s="43" t="n"/>
      <c r="BF78" s="43" t="n"/>
      <c r="BG78" s="43" t="n"/>
      <c r="BH78" s="43" t="n"/>
      <c r="BI78" s="43" t="n"/>
      <c r="BJ78" s="43" t="n"/>
      <c r="BK78" s="43" t="n"/>
      <c r="BL78" s="43" t="n"/>
      <c r="BM78" s="43" t="n"/>
      <c r="BN78" s="43" t="n"/>
      <c r="BO78" s="43" t="n"/>
      <c r="BP78" s="43" t="n"/>
      <c r="BQ78" s="43" t="n"/>
      <c r="BR78" s="43" t="n"/>
      <c r="BS78" s="43" t="n"/>
      <c r="BT78" s="43" t="n"/>
      <c r="BU78" s="43" t="n"/>
      <c r="BV78" s="43" t="n"/>
      <c r="BW78" s="43" t="n"/>
      <c r="BX78" s="32" t="n"/>
      <c r="BY78" s="272" t="n">
        <v>0</v>
      </c>
      <c r="BZ78" s="265">
        <f>BY77*(1+BZ76)+0.5*BZ75</f>
        <v>62.5</v>
      </c>
      <c r="CA78" s="265">
        <f>BZ77*(1+CA76)+0.5*CA75</f>
        <v>206.25</v>
      </c>
      <c r="CB78" s="265">
        <f>CA77*(1+CB76)+0.5*CB75</f>
        <v>371.5625</v>
      </c>
      <c r="CC78" s="265">
        <f>CB77*(1+CC76)+0.5*CC75</f>
        <v>561.671875</v>
      </c>
      <c r="CD78" s="265">
        <f>CC77*(1+CD76)+0.5*CD75</f>
        <v>780.29765625</v>
      </c>
      <c r="CE78" s="153" t="inlineStr">
        <is>
          <t>Mid-year convention.</t>
        </is>
      </c>
      <c r="CM78" s="25" t="inlineStr">
        <is>
          <t xml:space="preserve">  2028E</t>
        </is>
      </c>
      <c r="CN78" s="51">
        <f>MAX(0,CO78+$CN$76)</f>
        <v>2000</v>
      </c>
      <c r="CO78" s="26" t="n">
        <v>1000</v>
      </c>
      <c r="CP78" s="51">
        <f>MAX(0,CO78+$CP$76)</f>
        <v>0</v>
      </c>
    </row>
    <row r="79" ht="15" customHeight="1" s="251">
      <c r="B79" s="25" t="inlineStr">
        <is>
          <t xml:space="preserve">  Adjusted operating margin of acquired businesses %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24" t="n"/>
      <c r="BY79" s="271" t="n">
        <v>0</v>
      </c>
      <c r="BZ79" s="271" t="n">
        <v>0</v>
      </c>
      <c r="CA79" s="271" t="n">
        <v>0</v>
      </c>
      <c r="CB79" s="271" t="n">
        <v>0</v>
      </c>
      <c r="CC79" s="271" t="n">
        <v>0</v>
      </c>
      <c r="CD79" s="271" t="n">
        <v>0</v>
      </c>
      <c r="CE79" s="19" t="inlineStr">
        <is>
          <t>Assumption: acquired businesses break even at the adjusted operating level (already inside the group margin lever).</t>
        </is>
      </c>
      <c r="CM79" s="25" t="inlineStr">
        <is>
          <t xml:space="preserve">  2029E</t>
        </is>
      </c>
      <c r="CN79" s="51">
        <f>MAX(0,CO79+$CN$76)</f>
        <v>2000</v>
      </c>
      <c r="CO79" s="26" t="n">
        <v>1000</v>
      </c>
      <c r="CP79" s="51">
        <f>MAX(0,CO79+$CP$76)</f>
        <v>0</v>
      </c>
    </row>
    <row r="80" collapsed="1" ht="15" customHeight="1" s="251">
      <c r="B80" s="25" t="inlineStr">
        <is>
          <t xml:space="preserve">  PP&amp;E (technology) % of spend</t>
        </is>
      </c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36" t="n"/>
      <c r="BE80" s="36" t="n"/>
      <c r="BF80" s="36" t="n"/>
      <c r="BG80" s="36" t="n"/>
      <c r="BH80" s="36" t="n"/>
      <c r="BI80" s="36" t="n"/>
      <c r="BJ80" s="36" t="n"/>
      <c r="BK80" s="36" t="n"/>
      <c r="BL80" s="36" t="n"/>
      <c r="BM80" s="36" t="n"/>
      <c r="BN80" s="36" t="n"/>
      <c r="BO80" s="36" t="n"/>
      <c r="BP80" s="36" t="n"/>
      <c r="BQ80" s="36" t="n"/>
      <c r="BR80" s="36" t="n"/>
      <c r="BS80" s="36" t="n"/>
      <c r="BT80" s="36" t="n"/>
      <c r="BU80" s="36" t="n"/>
      <c r="BV80" s="36" t="n"/>
      <c r="BW80" s="36" t="n"/>
      <c r="BX80" s="24" t="n"/>
      <c r="BY80" s="271" t="n">
        <v>0</v>
      </c>
      <c r="BZ80" s="271" t="n">
        <v>0.05</v>
      </c>
      <c r="CA80" s="271" t="n">
        <v>0.05</v>
      </c>
      <c r="CB80" s="271" t="n">
        <v>0.05</v>
      </c>
      <c r="CC80" s="271" t="n">
        <v>0.05</v>
      </c>
      <c r="CD80" s="271" t="n">
        <v>0.05</v>
      </c>
      <c r="CE80" s="19" t="inlineStr">
        <is>
          <t>Assumption: 5% of consideration to PP&amp;E / technology.</t>
        </is>
      </c>
      <c r="CM80" s="25" t="inlineStr">
        <is>
          <t xml:space="preserve">  2030E</t>
        </is>
      </c>
      <c r="CN80" s="51">
        <f>MAX(0,CO80+$CN$76)</f>
        <v>2000</v>
      </c>
      <c r="CO80" s="26" t="n">
        <v>1000</v>
      </c>
      <c r="CP80" s="51">
        <f>MAX(0,CO80+$CP$76)</f>
        <v>0</v>
      </c>
    </row>
    <row r="81" ht="15" customHeight="1" s="251">
      <c r="B81" s="25" t="inlineStr">
        <is>
          <t xml:space="preserve">  Acquired intangibles % of spend</t>
        </is>
      </c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36" t="n"/>
      <c r="BE81" s="36" t="n"/>
      <c r="BF81" s="36" t="n"/>
      <c r="BG81" s="36" t="n"/>
      <c r="BH81" s="36" t="n"/>
      <c r="BI81" s="36" t="n"/>
      <c r="BJ81" s="36" t="n"/>
      <c r="BK81" s="36" t="n"/>
      <c r="BL81" s="36" t="n"/>
      <c r="BM81" s="36" t="n"/>
      <c r="BN81" s="36" t="n"/>
      <c r="BO81" s="36" t="n"/>
      <c r="BP81" s="36" t="n"/>
      <c r="BQ81" s="36" t="n"/>
      <c r="BR81" s="36" t="n"/>
      <c r="BS81" s="36" t="n"/>
      <c r="BT81" s="36" t="n"/>
      <c r="BU81" s="36" t="n"/>
      <c r="BV81" s="36" t="n"/>
      <c r="BW81" s="36" t="n"/>
      <c r="BX81" s="24" t="n"/>
      <c r="BY81" s="271" t="n">
        <v>0</v>
      </c>
      <c r="BZ81" s="271" t="n">
        <v>0.25</v>
      </c>
      <c r="CA81" s="271" t="n">
        <v>0.25</v>
      </c>
      <c r="CB81" s="271" t="n">
        <v>0.25</v>
      </c>
      <c r="CC81" s="271" t="n">
        <v>0.25</v>
      </c>
      <c r="CD81" s="271" t="n">
        <v>0.25</v>
      </c>
      <c r="CE81" s="19" t="inlineStr">
        <is>
          <t>Assumption: technology and customer relationships ~25% of consideration, the remainder goodwill (Visa's FY22–25 deals were mostly goodwill).</t>
        </is>
      </c>
      <c r="CM81" s="25" t="inlineStr">
        <is>
          <t xml:space="preserve">  2031E</t>
        </is>
      </c>
      <c r="CN81" s="51">
        <f>MAX(0,CO81+$CN$76)</f>
        <v>2000</v>
      </c>
      <c r="CO81" s="26" t="n">
        <v>1000</v>
      </c>
      <c r="CP81" s="51">
        <f>MAX(0,CO81+$CP$76)</f>
        <v>0</v>
      </c>
    </row>
    <row r="82" ht="15" customHeight="1" s="251">
      <c r="B82" s="25" t="inlineStr">
        <is>
          <t xml:space="preserve">  Intangible amortization life (years)</t>
        </is>
      </c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24" t="n"/>
      <c r="BY82" s="273" t="n">
        <v>0</v>
      </c>
      <c r="BZ82" s="273" t="n">
        <v>7</v>
      </c>
      <c r="CA82" s="273" t="n">
        <v>7</v>
      </c>
      <c r="CB82" s="273" t="n">
        <v>7</v>
      </c>
      <c r="CC82" s="273" t="n">
        <v>7</v>
      </c>
      <c r="CD82" s="273" t="n">
        <v>7</v>
      </c>
      <c r="CE82" s="19" t="inlineStr">
        <is>
          <t>Assumption: 7-year life for acquired technology and customer relationships.</t>
        </is>
      </c>
    </row>
    <row r="83" ht="15" customHeight="1" s="251">
      <c r="B83" s="25" t="inlineStr">
        <is>
          <t xml:space="preserve">  Cumulative acquired intangibles (gross)</t>
        </is>
      </c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  <c r="AA83" s="34" t="n"/>
      <c r="AB83" s="34" t="n"/>
      <c r="AC83" s="34" t="n"/>
      <c r="AD83" s="34" t="n"/>
      <c r="AE83" s="34" t="n"/>
      <c r="AF83" s="34" t="n"/>
      <c r="AG83" s="34" t="n"/>
      <c r="AH83" s="34" t="n"/>
      <c r="AI83" s="34" t="n"/>
      <c r="AJ83" s="34" t="n"/>
      <c r="AK83" s="34" t="n"/>
      <c r="AL83" s="34" t="n"/>
      <c r="AM83" s="34" t="n"/>
      <c r="AN83" s="34" t="n"/>
      <c r="AO83" s="34" t="n"/>
      <c r="AP83" s="34" t="n"/>
      <c r="AQ83" s="34" t="n"/>
      <c r="AR83" s="34" t="n"/>
      <c r="AS83" s="34" t="n"/>
      <c r="AT83" s="34" t="n"/>
      <c r="AU83" s="34" t="n"/>
      <c r="AV83" s="34" t="n"/>
      <c r="AW83" s="34" t="n"/>
      <c r="AX83" s="34" t="n"/>
      <c r="AY83" s="34" t="n"/>
      <c r="AZ83" s="34" t="n"/>
      <c r="BA83" s="34" t="n"/>
      <c r="BB83" s="34" t="n"/>
      <c r="BC83" s="34" t="n"/>
      <c r="BD83" s="34" t="n"/>
      <c r="BE83" s="34" t="n"/>
      <c r="BF83" s="34" t="n"/>
      <c r="BG83" s="34" t="n"/>
      <c r="BH83" s="34" t="n"/>
      <c r="BI83" s="34" t="n"/>
      <c r="BJ83" s="34" t="n"/>
      <c r="BK83" s="34" t="n"/>
      <c r="BL83" s="34" t="n"/>
      <c r="BM83" s="34" t="n"/>
      <c r="BN83" s="34" t="n"/>
      <c r="BO83" s="34" t="n"/>
      <c r="BP83" s="34" t="n"/>
      <c r="BQ83" s="34" t="n"/>
      <c r="BR83" s="34" t="n"/>
      <c r="BS83" s="34" t="n"/>
      <c r="BT83" s="34" t="n"/>
      <c r="BU83" s="34" t="n"/>
      <c r="BV83" s="34" t="n"/>
      <c r="BW83" s="34" t="n"/>
      <c r="BX83" s="35" t="n"/>
      <c r="BY83" s="269" t="n">
        <v>0</v>
      </c>
      <c r="BZ83" s="254">
        <f>BY83+BZ73*BZ81</f>
        <v>250</v>
      </c>
      <c r="CA83" s="254">
        <f>BZ83+CA73*CA81</f>
        <v>500</v>
      </c>
      <c r="CB83" s="254">
        <f>CA83+CB73*CB81</f>
        <v>750</v>
      </c>
      <c r="CC83" s="254">
        <f>CB83+CC73*CC81</f>
        <v>1000</v>
      </c>
      <c r="CD83" s="254">
        <f>CC83+CD73*CD81</f>
        <v>1250</v>
      </c>
      <c r="CE83" s="19" t="inlineStr">
        <is>
          <t>Running total of acquired intangibles (gross).</t>
        </is>
      </c>
    </row>
    <row r="84" ht="15" customHeight="1" s="251">
      <c r="B84" s="25" t="inlineStr">
        <is>
          <t xml:space="preserve">  Amortization of future-acquisition intangibles (non-GAAP item)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34" t="n"/>
      <c r="AN84" s="34" t="n"/>
      <c r="AO84" s="34" t="n"/>
      <c r="AP84" s="34" t="n"/>
      <c r="AQ84" s="34" t="n"/>
      <c r="AR84" s="34" t="n"/>
      <c r="AS84" s="34" t="n"/>
      <c r="AT84" s="34" t="n"/>
      <c r="AU84" s="34" t="n"/>
      <c r="AV84" s="34" t="n"/>
      <c r="AW84" s="34" t="n"/>
      <c r="AX84" s="34" t="n"/>
      <c r="AY84" s="34" t="n"/>
      <c r="AZ84" s="34" t="n"/>
      <c r="BA84" s="34" t="n"/>
      <c r="BB84" s="34" t="n"/>
      <c r="BC84" s="34" t="n"/>
      <c r="BD84" s="34" t="n"/>
      <c r="BE84" s="34" t="n"/>
      <c r="BF84" s="34" t="n"/>
      <c r="BG84" s="34" t="n"/>
      <c r="BH84" s="34" t="n"/>
      <c r="BI84" s="34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5" t="n"/>
      <c r="BY84" s="269" t="n">
        <v>0</v>
      </c>
      <c r="BZ84" s="254">
        <f>IFERROR((BY83+0.5*BZ73*BZ81)/BZ82,0)</f>
        <v>17.8571428571429</v>
      </c>
      <c r="CA84" s="254">
        <f>IFERROR((BZ83+0.5*CA73*CA81)/CA82,0)</f>
        <v>53.5714285714286</v>
      </c>
      <c r="CB84" s="254">
        <f>IFERROR((CA83+0.5*CB73*CB81)/CB82,0)</f>
        <v>89.2857142857143</v>
      </c>
      <c r="CC84" s="254">
        <f>IFERROR((CB83+0.5*CC73*CC81)/CC82,0)</f>
        <v>125</v>
      </c>
      <c r="CD84" s="254">
        <f>IFERROR((CC83+0.5*CD73*CD81)/CD82,0)</f>
        <v>160.714285714286</v>
      </c>
      <c r="CE84" s="19" t="inlineStr">
        <is>
          <t>Cumulative acquired intangibles (+ half the year's additions) ÷ life; added to the non-GAAP amortization item.</t>
        </is>
      </c>
    </row>
    <row r="85" ht="15" customHeight="1" s="251">
      <c r="CM85" s="11" t="n"/>
      <c r="CN85" s="12" t="n"/>
      <c r="CO85" s="12" t="n"/>
      <c r="CP85" s="12" t="n"/>
      <c r="CQ85" s="13" t="n"/>
    </row>
    <row r="86" ht="15" customHeight="1" s="251">
      <c r="B86" s="14" t="inlineStr">
        <is>
          <t>Cost drivers, D&amp;A, share-based compensation &amp; adjusting items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4" t="n"/>
      <c r="CC86" s="14" t="n"/>
      <c r="CD86" s="14" t="n"/>
      <c r="CE86" s="15" t="inlineStr">
        <is>
          <t>COST DRIVERS — expense lines are allocated from adjusted opex by the 9M FY26 mix; adjusting items are added back on their GAAP line</t>
        </is>
      </c>
    </row>
    <row r="87" ht="15" customHeight="1" s="251">
      <c r="B87" s="25" t="inlineStr">
        <is>
          <t xml:space="preserve">  Personnel (ex adjusting items) % of adjusted operating expenses</t>
        </is>
      </c>
      <c r="C87" s="215">
        <f>IF(ISNUMBER(C55),IFERROR((N(C115)-N(C104))/C55,""),"")</f>
        <v>0.314616755793226</v>
      </c>
      <c r="D87" s="215">
        <f>IF(ISNUMBER(D55),IFERROR((N(D115)-N(D104))/D55,""),"")</f>
        <v>0.33230389129092</v>
      </c>
      <c r="E87" s="215">
        <f>IF(ISNUMBER(E55),IFERROR((N(E115)-N(E104))/E55,""),"")</f>
        <v>0.351553509781358</v>
      </c>
      <c r="F87" s="215">
        <f>IF(ISNUMBER(F55),IFERROR((N(F115)-N(F104))/F55,""),"")</f>
        <v>0.390943193997856</v>
      </c>
      <c r="G87" s="215">
        <f>IF(ISNUMBER(G55),IFERROR((N(G115)-N(G104))/G55,""),"")</f>
        <v>0.412523900573614</v>
      </c>
      <c r="H87" s="215">
        <f>IF(ISNUMBER(H55),IFERROR((N(H115)-N(H104))/H55,""),"")</f>
        <v>0.434034416826004</v>
      </c>
      <c r="I87" s="215">
        <f>IF(ISNUMBER(I55),IFERROR((N(I115)-N(I104))/I55,""),"")</f>
        <v>0.442622950819672</v>
      </c>
      <c r="J87" s="215">
        <f>IF(ISNUMBER(J55),IFERROR((N(J115)-N(J104))/J55,""),"")</f>
        <v>0.420289855072464</v>
      </c>
      <c r="K87" s="215">
        <f>IF(ISNUMBER(K55),IFERROR((N(K115)-N(K104))/K55,""),"")</f>
        <v>0.408346972176759</v>
      </c>
      <c r="L87" s="215">
        <f>IF(ISNUMBER(L55),IFERROR((N(L115)-N(L104))/L55,""),"")</f>
        <v>0.425644415069399</v>
      </c>
      <c r="M87" s="215">
        <f>IF(ISNUMBER(M55),IFERROR((N(M115)-N(M104))/M55,""),"")</f>
        <v>0.435992578849722</v>
      </c>
      <c r="N87" s="215">
        <f>IF(ISNUMBER(N55),IFERROR((N(N115)-N(N104))/N55,""),"")</f>
        <v>0.4</v>
      </c>
      <c r="O87" s="215">
        <f>IF(ISNUMBER(O55),IFERROR((N(O115)-N(O104))/O55,""),"")</f>
        <v>0.407929515418502</v>
      </c>
      <c r="P87" s="215">
        <f>IF(ISNUMBER(P55),IFERROR((N(P115)-N(P104))/P55,""),"")</f>
        <v>0.404237978810106</v>
      </c>
      <c r="Q87" s="215">
        <f>IF(ISNUMBER(Q55),IFERROR((N(Q115)-N(Q104))/Q55,""),"")</f>
        <v>0.411635565312843</v>
      </c>
      <c r="R87" s="215">
        <f>IF(ISNUMBER(R55),IFERROR((N(R115)-N(R104))/R55,""),"")</f>
        <v>0.44493006993007</v>
      </c>
      <c r="S87" s="215">
        <f>IF(ISNUMBER(S55),IFERROR((N(S115)-N(S104))/S55,""),"")</f>
        <v>0.428191489361702</v>
      </c>
      <c r="T87" s="215">
        <f>IF(ISNUMBER(T55),IFERROR((N(T115)-N(T104))/T55,""),"")</f>
        <v>0.450636942675159</v>
      </c>
      <c r="U87" s="215">
        <f>IF(ISNUMBER(U55),IFERROR((N(U115)-N(U104))/U55,""),"")</f>
        <v>0.404503105590062</v>
      </c>
      <c r="V87" s="215">
        <f>IF(ISNUMBER(V55),IFERROR((N(V115)-N(V104))/V55,""),"")</f>
        <v>0.431686046511628</v>
      </c>
      <c r="W87" s="215">
        <f>IF(ISNUMBER(W55),IFERROR((N(W115)-N(W104))/W55,""),"")</f>
        <v>0.426860564585116</v>
      </c>
      <c r="X87" s="215">
        <f>IF(ISNUMBER(X55),IFERROR((N(X115)-N(X104))/X55,""),"")</f>
        <v>0.442953020134228</v>
      </c>
      <c r="Y87" s="215">
        <f>IF(ISNUMBER(Y55),IFERROR((N(Y115)-N(Y104))/Y55,""),"")</f>
        <v>0.433930093776641</v>
      </c>
      <c r="Z87" s="215">
        <f>IF(ISNUMBER(Z55),IFERROR((N(Z115)-N(Z104))/Z55,""),"")</f>
        <v>0.380078636959371</v>
      </c>
      <c r="AA87" s="215">
        <f>IF(ISNUMBER(AA55),IFERROR((N(AA115)-N(AA104))/AA55,""),"")</f>
        <v>0.418181818181818</v>
      </c>
      <c r="AB87" s="215">
        <f>IF(ISNUMBER(AB55),IFERROR((N(AB115)-N(AB104))/AB55,""),"")</f>
        <v>0.419544452608376</v>
      </c>
      <c r="AC87" s="215">
        <f>IF(ISNUMBER(AC55),IFERROR((N(AC115)-N(AC104))/AC55,""),"")</f>
        <v>0.476641841570752</v>
      </c>
      <c r="AD87" s="215">
        <f>IF(ISNUMBER(AD55),IFERROR((N(AD115)-N(AD104))/AD55,""),"")</f>
        <v>0.45295262816353</v>
      </c>
      <c r="AE87" s="215">
        <f>IF(ISNUMBER(AE55),IFERROR((N(AE115)-N(AE104))/AE55,""),"")</f>
        <v>0.398660986001217</v>
      </c>
      <c r="AF87" s="215">
        <f>IF(ISNUMBER(AF55),IFERROR((N(AF115)-N(AF104))/AF55,""),"")</f>
        <v>0.43639986715377</v>
      </c>
      <c r="AG87" s="215">
        <f>IF(ISNUMBER(AG55),IFERROR((N(AG115)-N(AG104))/AG55,""),"")</f>
        <v>0.442345276872964</v>
      </c>
      <c r="AH87" s="215">
        <f>IF(ISNUMBER(AH55),IFERROR((N(AH115)-N(AH104))/AH55,""),"")</f>
        <v>0.474381116868164</v>
      </c>
      <c r="AI87" s="215">
        <f>IF(ISNUMBER(AI55),IFERROR((N(AI115)-N(AI104))/AI55,""),"")</f>
        <v>0.485470085470085</v>
      </c>
      <c r="AJ87" s="215">
        <f>IF(ISNUMBER(AJ55),IFERROR((N(AJ115)-N(AJ104))/AJ55,""),"")</f>
        <v>0.444626295690125</v>
      </c>
      <c r="AK87" s="215">
        <f>IF(ISNUMBER(AK55),IFERROR((N(AK115)-N(AK104))/AK55,""),"")</f>
        <v>0.462099125364432</v>
      </c>
      <c r="AL87" s="215">
        <f>IF(ISNUMBER(AL55),IFERROR((N(AL115)-N(AL104))/AL55,""),"")</f>
        <v>0.451089994410285</v>
      </c>
      <c r="AM87" s="215">
        <f>IF(ISNUMBER(AM55),IFERROR((N(AM115)-N(AM104))/AM55,""),"")</f>
        <v>0.48246087425796</v>
      </c>
      <c r="AN87" s="215">
        <f>IF(ISNUMBER(AN55),IFERROR((N(AN115)-N(AN104))/AN55,""),"")</f>
        <v>0.451345755693582</v>
      </c>
      <c r="AO87" s="215">
        <f>IF(ISNUMBER(AO55),IFERROR((N(AO115)-N(AO104))/AO55,""),"")</f>
        <v>0.428641732283465</v>
      </c>
      <c r="AP87" s="215">
        <f>IF(ISNUMBER(AP55),IFERROR((N(AP115)-N(AP104))/AP55,""),"")</f>
        <v>0.452800420720484</v>
      </c>
      <c r="AQ87" s="215">
        <f>IF(ISNUMBER(AQ55),IFERROR((N(AQ115)-N(AQ104))/AQ55,""),"")</f>
        <v>0.484938271604938</v>
      </c>
      <c r="AR87" s="215">
        <f>IF(ISNUMBER(AR55),IFERROR((N(AR115)-N(AR104))/AR55,""),"")</f>
        <v>0.491118077324974</v>
      </c>
      <c r="AS87" s="215">
        <f>IF(ISNUMBER(AS55),IFERROR((N(AS115)-N(AS104))/AS55,""),"")</f>
        <v>0.516749038989566</v>
      </c>
      <c r="AT87" s="215">
        <f>IF(ISNUMBER(AT55),IFERROR((N(AT115)-N(AT104))/AT55,""),"")</f>
        <v>0.474768280123584</v>
      </c>
      <c r="AU87" s="215">
        <f>IF(ISNUMBER(AU55),IFERROR((N(AU115)-N(AU104))/AU55,""),"")</f>
        <v>0.491430797195534</v>
      </c>
      <c r="AV87" s="215">
        <f>IF(ISNUMBER(AV55),IFERROR((N(AV115)-N(AV104))/AV55,""),"")</f>
        <v>0.536652078774617</v>
      </c>
      <c r="AW87" s="215">
        <f>IF(ISNUMBER(AW55),IFERROR((N(AW115)-N(AW104))/AW55,""),"")</f>
        <v>0.56319514661274</v>
      </c>
      <c r="AX87" s="215">
        <f>IF(ISNUMBER(AX55),IFERROR((N(AX115)-N(AX104))/AX55,""),"")</f>
        <v>0.5361328125</v>
      </c>
      <c r="AY87" s="215">
        <f>IF(ISNUMBER(AY55),IFERROR((N(AY115)-N(AY104))/AY55,""),"")</f>
        <v>0.470985155195682</v>
      </c>
      <c r="AZ87" s="215">
        <f>IF(ISNUMBER(AZ55),IFERROR((N(AZ115)-N(AZ104))/AZ55,""),"")</f>
        <v>0.52494738145351</v>
      </c>
      <c r="BA87" s="215">
        <f>IF(ISNUMBER(BA55),IFERROR((N(BA115)-N(BA104))/BA55,""),"")</f>
        <v>0.531914893617021</v>
      </c>
      <c r="BB87" s="215">
        <f>IF(ISNUMBER(BB55),IFERROR((N(BB115)-N(BB104))/BB55,""),"")</f>
        <v>0.536073458679493</v>
      </c>
      <c r="BC87" s="215">
        <f>IF(ISNUMBER(BC55),IFERROR((N(BC115)-N(BC104))/BC55,""),"")</f>
        <v>0.545261368465788</v>
      </c>
      <c r="BD87" s="215">
        <f>IF(ISNUMBER(BD55),IFERROR((N(BD115)-N(BD104))/BD55,""),"")</f>
        <v>0.515197568389058</v>
      </c>
      <c r="BE87" s="215">
        <f>IF(ISNUMBER(BE55),IFERROR((N(BE115)-N(BE104))/BE55,""),"")</f>
        <v>0.531586236284223</v>
      </c>
      <c r="BF87" s="215">
        <f>IF(ISNUMBER(BF55),IFERROR((N(BF115)-N(BF104))/BF55,""),"")</f>
        <v>0.548175481754818</v>
      </c>
      <c r="BG87" s="215">
        <f>IF(ISNUMBER(BG55),IFERROR((N(BG115)-N(BG104))/BG55,""),"")</f>
        <v>0.586981790003875</v>
      </c>
      <c r="BH87" s="215">
        <f>IF(ISNUMBER(BH55),IFERROR((N(BH115)-N(BH104))/BH55,""),"")</f>
        <v>0.574476338246703</v>
      </c>
      <c r="BI87" s="215">
        <f>IF(ISNUMBER(BI55),IFERROR((N(BI115)-N(BI104))/BI55,""),"")</f>
        <v>0.51959764134582</v>
      </c>
      <c r="BJ87" s="215">
        <f>IF(ISNUMBER(BJ55),IFERROR((N(BJ115)-N(BJ104))/BJ55,""),"")</f>
        <v>0.556340043888942</v>
      </c>
      <c r="BK87" s="215">
        <f>IF(ISNUMBER(BK55),IFERROR((N(BK115)-N(BK104))/BK55,""),"")</f>
        <v>0.564719358533792</v>
      </c>
      <c r="BL87" s="215">
        <f>IF(ISNUMBER(BL55),IFERROR((N(BL115)-N(BL104))/BL55,""),"")</f>
        <v>0.53848833159178</v>
      </c>
      <c r="BM87" s="215">
        <f>IF(ISNUMBER(BM55),IFERROR((N(BM115)-N(BM104))/BM55,""),"")</f>
        <v>0.537410317731466</v>
      </c>
      <c r="BN87" s="215">
        <f>IF(ISNUMBER(BN55),IFERROR((N(BN115)-N(BN104))/BN55,""),"")</f>
        <v>0.504072681704261</v>
      </c>
      <c r="BO87" s="215">
        <f>IF(ISNUMBER(BO55),IFERROR((N(BO115)-N(BO104))/BO55,""),"")</f>
        <v>0.534671375656818</v>
      </c>
      <c r="BP87" s="215">
        <f>IF(ISNUMBER(BP55),IFERROR((N(BP115)-N(BP104))/BP55,""),"")</f>
        <v>0.535138841275283</v>
      </c>
      <c r="BQ87" s="215">
        <f>IF(ISNUMBER(BQ55),IFERROR((N(BQ115)-N(BQ104))/BQ55,""),"")</f>
        <v>0.539563660045588</v>
      </c>
      <c r="BR87" s="215">
        <f>IF(ISNUMBER(BR55),IFERROR((N(BR115)-N(BR104))/BR55,""),"")</f>
        <v>0.528878137284548</v>
      </c>
      <c r="BS87" s="215">
        <f>IF(ISNUMBER(BS55),IFERROR((N(BS115)-N(BS104))/BS55,""),"")</f>
        <v>0.482414843533647</v>
      </c>
      <c r="BT87" s="215">
        <f>IF(ISNUMBER(BT55),IFERROR((N(BT115)-N(BT104))/BT55,""),"")</f>
        <v>0.519835735316907</v>
      </c>
      <c r="BU87" s="215">
        <f>IF(ISNUMBER(BU55),IFERROR((N(BU115)-N(BU104))/BU55,""),"")</f>
        <v>0.520200530816868</v>
      </c>
      <c r="BV87" s="215">
        <f>IF(ISNUMBER(BV55),IFERROR((N(BV115)-N(BV104))/BV55,""),"")</f>
        <v>0.511530980828008</v>
      </c>
      <c r="BW87" s="215">
        <f>IF(ISNUMBER(BW55),IFERROR((N(BW115)-N(BW104))/BW55,""),"")</f>
        <v>0.488653945332646</v>
      </c>
      <c r="BX87" s="256">
        <f>IFERROR((SUM(BU115:BW115)-SUM(BU104:BW104))/SUM(BU55:BW55),0)</f>
        <v>0.506072874493927</v>
      </c>
      <c r="BY87" s="256">
        <f>$BX$87</f>
        <v>0.506072874493927</v>
      </c>
      <c r="BZ87" s="256">
        <f>$BX$87</f>
        <v>0.506072874493927</v>
      </c>
      <c r="CA87" s="256">
        <f>$BX$87</f>
        <v>0.506072874493927</v>
      </c>
      <c r="CB87" s="256">
        <f>$BX$87</f>
        <v>0.506072874493927</v>
      </c>
      <c r="CC87" s="256">
        <f>$BX$87</f>
        <v>0.506072874493927</v>
      </c>
      <c r="CD87" s="256">
        <f>$BX$87</f>
        <v>0.506072874493927</v>
      </c>
      <c r="CE87" s="153" t="inlineStr">
        <is>
          <t>History: (GAAP line − adjusting items recorded on it) ÷ adjusted opex. Forecast: 9M FY26 mix, held.</t>
        </is>
      </c>
    </row>
    <row r="88" collapsed="1" ht="15" customHeight="1" s="251">
      <c r="B88" s="25" t="inlineStr">
        <is>
          <t xml:space="preserve">  Marketing (ex adjusting items) % of adjusted operating expenses</t>
        </is>
      </c>
      <c r="C88" s="215">
        <f>IF(ISNUMBER(C55),IFERROR((N(C116))/C55,""),"")</f>
        <v>0.301841948900772</v>
      </c>
      <c r="D88" s="215">
        <f>IF(ISNUMBER(D55),IFERROR((N(D116))/D55,""),"")</f>
        <v>0.283508338480544</v>
      </c>
      <c r="E88" s="215">
        <f>IF(ISNUMBER(E55),IFERROR((N(E116))/E55,""),"")</f>
        <v>0.277330264672037</v>
      </c>
      <c r="F88" s="215">
        <f>IF(ISNUMBER(F55),IFERROR((N(F116))/F55,""),"")</f>
        <v>0.233118971061093</v>
      </c>
      <c r="G88" s="215">
        <f>IF(ISNUMBER(G55),IFERROR((N(G116))/G55,""),"")</f>
        <v>0.208652007648184</v>
      </c>
      <c r="H88" s="215">
        <f>IF(ISNUMBER(H55),IFERROR((N(H116))/H55,""),"")</f>
        <v>0.184512428298279</v>
      </c>
      <c r="I88" s="215">
        <f>IF(ISNUMBER(I55),IFERROR((N(I116))/I55,""),"")</f>
        <v>0.177595628415301</v>
      </c>
      <c r="J88" s="215">
        <f>IF(ISNUMBER(J55),IFERROR((N(J116))/J55,""),"")</f>
        <v>0.214833759590793</v>
      </c>
      <c r="K88" s="215">
        <f>IF(ISNUMBER(K55),IFERROR((N(K116))/K55,""),"")</f>
        <v>0.193126022913257</v>
      </c>
      <c r="L88" s="215">
        <f>IF(ISNUMBER(L55),IFERROR((N(L116))/L55,""),"")</f>
        <v>0.192994051553206</v>
      </c>
      <c r="M88" s="215">
        <f>IF(ISNUMBER(M55),IFERROR((N(M116))/M55,""),"")</f>
        <v>0.172541743970315</v>
      </c>
      <c r="N88" s="215">
        <f>IF(ISNUMBER(N55),IFERROR((N(N116))/N55,""),"")</f>
        <v>0.219730941704036</v>
      </c>
      <c r="O88" s="215">
        <f>IF(ISNUMBER(O55),IFERROR((N(O116))/O55,""),"")</f>
        <v>0.200881057268722</v>
      </c>
      <c r="P88" s="215">
        <f>IF(ISNUMBER(P55),IFERROR((N(P116))/P55,""),"")</f>
        <v>0.19641401792991</v>
      </c>
      <c r="Q88" s="215">
        <f>IF(ISNUMBER(Q55),IFERROR((N(Q116))/Q55,""),"")</f>
        <v>0.197585071350165</v>
      </c>
      <c r="R88" s="215">
        <f>IF(ISNUMBER(R55),IFERROR((N(R116))/R55,""),"")</f>
        <v>0.179195804195804</v>
      </c>
      <c r="S88" s="215">
        <f>IF(ISNUMBER(S55),IFERROR((N(S116))/S55,""),"")</f>
        <v>0.168439716312057</v>
      </c>
      <c r="T88" s="215">
        <f>IF(ISNUMBER(T55),IFERROR((N(T116))/T55,""),"")</f>
        <v>0.178343949044586</v>
      </c>
      <c r="U88" s="215">
        <f>IF(ISNUMBER(U55),IFERROR((N(U116))/U55,""),"")</f>
        <v>0.196428571428571</v>
      </c>
      <c r="V88" s="215">
        <f>IF(ISNUMBER(V55),IFERROR((N(V116))/V55,""),"")</f>
        <v>0.181063122923588</v>
      </c>
      <c r="W88" s="215">
        <f>IF(ISNUMBER(W55),IFERROR((N(W116))/W55,""),"")</f>
        <v>0.16595380667237</v>
      </c>
      <c r="X88" s="215">
        <f>IF(ISNUMBER(X55),IFERROR((N(X116))/X55,""),"")</f>
        <v>0.156040268456376</v>
      </c>
      <c r="Y88" s="215">
        <f>IF(ISNUMBER(Y55),IFERROR((N(Y116))/Y55,""),"")</f>
        <v>0.161125319693095</v>
      </c>
      <c r="Z88" s="215">
        <f>IF(ISNUMBER(Z55),IFERROR((N(Z116))/Z55,""),"")</f>
        <v>0.196592398427261</v>
      </c>
      <c r="AA88" s="215">
        <f>IF(ISNUMBER(AA55),IFERROR((N(AA116))/AA55,""),"")</f>
        <v>0.171739130434783</v>
      </c>
      <c r="AB88" s="215">
        <f>IF(ISNUMBER(AB55),IFERROR((N(AB116))/AB55,""),"")</f>
        <v>0.16017634092579</v>
      </c>
      <c r="AC88" s="215">
        <f>IF(ISNUMBER(AC55),IFERROR((N(AC116))/AC55,""),"")</f>
        <v>0.130670277589709</v>
      </c>
      <c r="AD88" s="215">
        <f>IF(ISNUMBER(AD55),IFERROR((N(AD116))/AD55,""),"")</f>
        <v>0.143413367942894</v>
      </c>
      <c r="AE88" s="215">
        <f>IF(ISNUMBER(AE55),IFERROR((N(AE116))/AE55,""),"")</f>
        <v>0.176506390748631</v>
      </c>
      <c r="AF88" s="215">
        <f>IF(ISNUMBER(AF55),IFERROR((N(AF116))/AF55,""),"")</f>
        <v>0.153105280637662</v>
      </c>
      <c r="AG88" s="215">
        <f>IF(ISNUMBER(AG55),IFERROR((N(AG116))/AG55,""),"")</f>
        <v>0.145276872964169</v>
      </c>
      <c r="AH88" s="215">
        <f>IF(ISNUMBER(AH55),IFERROR((N(AH116))/AH55,""),"")</f>
        <v>0.150259067357513</v>
      </c>
      <c r="AI88" s="215">
        <f>IF(ISNUMBER(AI55),IFERROR((N(AI116))/AI55,""),"")</f>
        <v>0.136752136752137</v>
      </c>
      <c r="AJ88" s="215">
        <f>IF(ISNUMBER(AJ55),IFERROR((N(AJ116))/AJ55,""),"")</f>
        <v>0.144026186579378</v>
      </c>
      <c r="AK88" s="215">
        <f>IF(ISNUMBER(AK55),IFERROR((N(AK116))/AK55,""),"")</f>
        <v>0.14402332361516</v>
      </c>
      <c r="AL88" s="215">
        <f>IF(ISNUMBER(AL55),IFERROR((N(AL116))/AL55,""),"")</f>
        <v>0.154276131917272</v>
      </c>
      <c r="AM88" s="215">
        <f>IF(ISNUMBER(AM55),IFERROR((N(AM116))/AM55,""),"")</f>
        <v>0.130059363194819</v>
      </c>
      <c r="AN88" s="215">
        <f>IF(ISNUMBER(AN55),IFERROR((N(AN116))/AN55,""),"")</f>
        <v>0.145962732919255</v>
      </c>
      <c r="AO88" s="215">
        <f>IF(ISNUMBER(AO55),IFERROR((N(AO116))/AO55,""),"")</f>
        <v>0.150590551181102</v>
      </c>
      <c r="AP88" s="215">
        <f>IF(ISNUMBER(AP55),IFERROR((N(AP116))/AP55,""),"")</f>
        <v>0.145280042072048</v>
      </c>
      <c r="AQ88" s="215">
        <f>IF(ISNUMBER(AQ55),IFERROR((N(AQ116))/AQ55,""),"")</f>
        <v>0.135308641975309</v>
      </c>
      <c r="AR88" s="215">
        <f>IF(ISNUMBER(AR55),IFERROR((N(AR116))/AR55,""),"")</f>
        <v>0.122779519331243</v>
      </c>
      <c r="AS88" s="215">
        <f>IF(ISNUMBER(AS55),IFERROR((N(AS116))/AS55,""),"")</f>
        <v>0.0955518945634267</v>
      </c>
      <c r="AT88" s="215">
        <f>IF(ISNUMBER(AT55),IFERROR((N(AT116))/AT55,""),"")</f>
        <v>0.148300720906282</v>
      </c>
      <c r="AU88" s="215">
        <f>IF(ISNUMBER(AU55),IFERROR((N(AU116))/AU55,""),"")</f>
        <v>0.126071150350558</v>
      </c>
      <c r="AV88" s="215">
        <f>IF(ISNUMBER(AV55),IFERROR((N(AV116))/AV55,""),"")</f>
        <v>0.112144420131291</v>
      </c>
      <c r="AW88" s="215">
        <f>IF(ISNUMBER(AW55),IFERROR((N(AW116))/AW55,""),"")</f>
        <v>0.104145601617796</v>
      </c>
      <c r="AX88" s="215">
        <f>IF(ISNUMBER(AX55),IFERROR((N(AX116))/AX55,""),"")</f>
        <v>0.130859375</v>
      </c>
      <c r="AY88" s="215">
        <f>IF(ISNUMBER(AY55),IFERROR((N(AY116))/AY55,""),"")</f>
        <v>0.205578047683311</v>
      </c>
      <c r="AZ88" s="215">
        <f>IF(ISNUMBER(AZ55),IFERROR((N(AZ116))/AZ55,""),"")</f>
        <v>0.140646279559242</v>
      </c>
      <c r="BA88" s="215">
        <f>IF(ISNUMBER(BA55),IFERROR((N(BA116))/BA55,""),"")</f>
        <v>0.132387706855792</v>
      </c>
      <c r="BB88" s="215">
        <f>IF(ISNUMBER(BB55),IFERROR((N(BB116))/BB55,""),"")</f>
        <v>0.137297770004373</v>
      </c>
      <c r="BC88" s="215">
        <f>IF(ISNUMBER(BC55),IFERROR((N(BC116))/BC55,""),"")</f>
        <v>0.133021674458139</v>
      </c>
      <c r="BD88" s="215">
        <f>IF(ISNUMBER(BD55),IFERROR((N(BD116))/BD55,""),"")</f>
        <v>0.162993920972644</v>
      </c>
      <c r="BE88" s="215">
        <f>IF(ISNUMBER(BE55),IFERROR((N(BE116))/BE55,""),"")</f>
        <v>0.14232449131778</v>
      </c>
      <c r="BF88" s="215">
        <f>IF(ISNUMBER(BF55),IFERROR((N(BF116))/BF55,""),"")</f>
        <v>0.136121361213612</v>
      </c>
      <c r="BG88" s="215">
        <f>IF(ISNUMBER(BG55),IFERROR((N(BG116))/BG55,""),"")</f>
        <v>0.119721038357226</v>
      </c>
      <c r="BH88" s="215">
        <f>IF(ISNUMBER(BH55),IFERROR((N(BH116))/BH55,""),"")</f>
        <v>0.115205585725369</v>
      </c>
      <c r="BI88" s="215">
        <f>IF(ISNUMBER(BI55),IFERROR((N(BI116))/BI55,""),"")</f>
        <v>0.139784946236559</v>
      </c>
      <c r="BJ88" s="215">
        <f>IF(ISNUMBER(BJ55),IFERROR((N(BJ116))/BJ55,""),"")</f>
        <v>0.127945806697834</v>
      </c>
      <c r="BK88" s="215">
        <f>IF(ISNUMBER(BK55),IFERROR((N(BK116))/BK55,""),"")</f>
        <v>0.111874761359297</v>
      </c>
      <c r="BL88" s="215">
        <f>IF(ISNUMBER(BL55),IFERROR((N(BL116))/BL55,""),"")</f>
        <v>0.117729014280738</v>
      </c>
      <c r="BM88" s="215">
        <f>IF(ISNUMBER(BM55),IFERROR((N(BM116))/BM55,""),"")</f>
        <v>0.129142466689443</v>
      </c>
      <c r="BN88" s="215">
        <f>IF(ISNUMBER(BN55),IFERROR((N(BN116))/BN55,""),"")</f>
        <v>0.172619047619048</v>
      </c>
      <c r="BO88" s="215">
        <f>IF(ISNUMBER(BO55),IFERROR((N(BO116))/BO55,""),"")</f>
        <v>0.13437849944009</v>
      </c>
      <c r="BP88" s="215">
        <f>IF(ISNUMBER(BP55),IFERROR((N(BP116))/BP55,""),"")</f>
        <v>0.104902296880357</v>
      </c>
      <c r="BQ88" s="215">
        <f>IF(ISNUMBER(BQ55),IFERROR((N(BQ116))/BQ55,""),"")</f>
        <v>0.124063822859004</v>
      </c>
      <c r="BR88" s="215">
        <f>IF(ISNUMBER(BR55),IFERROR((N(BR116))/BR55,""),"")</f>
        <v>0.127305715149683</v>
      </c>
      <c r="BS88" s="215">
        <f>IF(ISNUMBER(BS55),IFERROR((N(BS116))/BS55,""),"")</f>
        <v>0.159512600387704</v>
      </c>
      <c r="BT88" s="215">
        <f>IF(ISNUMBER(BT55),IFERROR((N(BT116))/BT55,""),"")</f>
        <v>0.130481946381528</v>
      </c>
      <c r="BU88" s="215">
        <f>IF(ISNUMBER(BU55),IFERROR((N(BU116))/BU55,""),"")</f>
        <v>0.120908286641109</v>
      </c>
      <c r="BV88" s="215">
        <f>IF(ISNUMBER(BV55),IFERROR((N(BV116))/BV55,""),"")</f>
        <v>0.151430953042512</v>
      </c>
      <c r="BW88" s="215">
        <f>IF(ISNUMBER(BW55),IFERROR((N(BW116))/BW55,""),"")</f>
        <v>0.167354306343476</v>
      </c>
      <c r="BX88" s="256">
        <f>IFERROR((SUM(BU116:BW116))/SUM(BU55:BW55),0)</f>
        <v>0.147589252852411</v>
      </c>
      <c r="BY88" s="256">
        <f>$BX$88</f>
        <v>0.147589252852411</v>
      </c>
      <c r="BZ88" s="256">
        <f>$BX$88</f>
        <v>0.147589252852411</v>
      </c>
      <c r="CA88" s="256">
        <f>$BX$88</f>
        <v>0.147589252852411</v>
      </c>
      <c r="CB88" s="256">
        <f>$BX$88</f>
        <v>0.147589252852411</v>
      </c>
      <c r="CC88" s="256">
        <f>$BX$88</f>
        <v>0.147589252852411</v>
      </c>
      <c r="CD88" s="256">
        <f>$BX$88</f>
        <v>0.147589252852411</v>
      </c>
      <c r="CE88" s="153" t="n"/>
    </row>
    <row r="89" ht="15" customHeight="1" s="251">
      <c r="B89" s="25" t="inlineStr">
        <is>
          <t xml:space="preserve">  Network and processing (ex adjusting items) % of adjusted operating expenses</t>
        </is>
      </c>
      <c r="C89" s="215">
        <f>IF(ISNUMBER(C55),IFERROR((N(C117))/C55,""),"")</f>
        <v>0.100713012477718</v>
      </c>
      <c r="D89" s="215">
        <f>IF(ISNUMBER(D55),IFERROR((N(D117))/D55,""),"")</f>
        <v>0.121371216800494</v>
      </c>
      <c r="E89" s="215">
        <f>IF(ISNUMBER(E55),IFERROR((N(E117))/E55,""),"")</f>
        <v>0.122266973532796</v>
      </c>
      <c r="F89" s="215">
        <f>IF(ISNUMBER(F55),IFERROR((N(F117))/F55,""),"")</f>
        <v>0.0956591639871383</v>
      </c>
      <c r="G89" s="215">
        <f>IF(ISNUMBER(G55),IFERROR((N(G117))/G55,""),"")</f>
        <v>0.0989483747609943</v>
      </c>
      <c r="H89" s="215">
        <f>IF(ISNUMBER(H55),IFERROR((N(H117))/H55,""),"")</f>
        <v>0.105162523900574</v>
      </c>
      <c r="I89" s="215">
        <f>IF(ISNUMBER(I55),IFERROR((N(I117))/I55,""),"")</f>
        <v>0.108378870673953</v>
      </c>
      <c r="J89" s="215">
        <f>IF(ISNUMBER(J55),IFERROR((N(J117))/J55,""),"")</f>
        <v>0.0997442455242967</v>
      </c>
      <c r="K89" s="215">
        <f>IF(ISNUMBER(K55),IFERROR((N(K117))/K55,""),"")</f>
        <v>0.0998363338788871</v>
      </c>
      <c r="L89" s="215">
        <f>IF(ISNUMBER(L55),IFERROR((N(L117))/L55,""),"")</f>
        <v>0.103106411103767</v>
      </c>
      <c r="M89" s="215">
        <f>IF(ISNUMBER(M55),IFERROR((N(M117))/M55,""),"")</f>
        <v>0.122448979591837</v>
      </c>
      <c r="N89" s="215">
        <f>IF(ISNUMBER(N55),IFERROR((N(N117))/N55,""),"")</f>
        <v>0.10762331838565</v>
      </c>
      <c r="O89" s="215">
        <f>IF(ISNUMBER(O55),IFERROR((N(O117))/O55,""),"")</f>
        <v>0.111894273127753</v>
      </c>
      <c r="P89" s="215">
        <f>IF(ISNUMBER(P55),IFERROR((N(P117))/P55,""),"")</f>
        <v>0.104319478402608</v>
      </c>
      <c r="Q89" s="215">
        <f>IF(ISNUMBER(Q55),IFERROR((N(Q117))/Q55,""),"")</f>
        <v>0.111306256860593</v>
      </c>
      <c r="R89" s="215">
        <f>IF(ISNUMBER(R55),IFERROR((N(R117))/R55,""),"")</f>
        <v>0.0996503496503497</v>
      </c>
      <c r="S89" s="215">
        <f>IF(ISNUMBER(S55),IFERROR((N(S117))/S55,""),"")</f>
        <v>0.0966312056737589</v>
      </c>
      <c r="T89" s="215">
        <f>IF(ISNUMBER(T55),IFERROR((N(T117))/T55,""),"")</f>
        <v>0.0931528662420382</v>
      </c>
      <c r="U89" s="215">
        <f>IF(ISNUMBER(U55),IFERROR((N(U117))/U55,""),"")</f>
        <v>0.104037267080745</v>
      </c>
      <c r="V89" s="215">
        <f>IF(ISNUMBER(V55),IFERROR((N(V117))/V55,""),"")</f>
        <v>0.098421926910299</v>
      </c>
      <c r="W89" s="215">
        <f>IF(ISNUMBER(W55),IFERROR((N(W117))/W55,""),"")</f>
        <v>0.109495295124038</v>
      </c>
      <c r="X89" s="215">
        <f>IF(ISNUMBER(X55),IFERROR((N(X117))/X55,""),"")</f>
        <v>0.105704697986577</v>
      </c>
      <c r="Y89" s="215">
        <f>IF(ISNUMBER(Y55),IFERROR((N(Y117))/Y55,""),"")</f>
        <v>0.104859335038363</v>
      </c>
      <c r="Z89" s="215">
        <f>IF(ISNUMBER(Z55),IFERROR((N(Z117))/Z55,""),"")</f>
        <v>0.105504587155963</v>
      </c>
      <c r="AA89" s="215">
        <f>IF(ISNUMBER(AA55),IFERROR((N(AA117))/AA55,""),"")</f>
        <v>0.106324110671937</v>
      </c>
      <c r="AB89" s="215">
        <f>IF(ISNUMBER(AB55),IFERROR((N(AB117))/AB55,""),"")</f>
        <v>0.106539309331374</v>
      </c>
      <c r="AC89" s="215">
        <f>IF(ISNUMBER(AC55),IFERROR((N(AC117))/AC55,""),"")</f>
        <v>0.10155721056195</v>
      </c>
      <c r="AD89" s="215">
        <f>IF(ISNUMBER(AD55),IFERROR((N(AD117))/AD55,""),"")</f>
        <v>0.102530824140169</v>
      </c>
      <c r="AE89" s="215">
        <f>IF(ISNUMBER(AE55),IFERROR((N(AE117))/AE55,""),"")</f>
        <v>0.101643335362142</v>
      </c>
      <c r="AF89" s="215">
        <f>IF(ISNUMBER(AF55),IFERROR((N(AF117))/AF55,""),"")</f>
        <v>0.102955828628363</v>
      </c>
      <c r="AG89" s="215">
        <f>IF(ISNUMBER(AG55),IFERROR((N(AG117))/AG55,""),"")</f>
        <v>0.104234527687296</v>
      </c>
      <c r="AH89" s="215">
        <f>IF(ISNUMBER(AH55),IFERROR((N(AH117))/AH55,""),"")</f>
        <v>0.0972941853770869</v>
      </c>
      <c r="AI89" s="215">
        <f>IF(ISNUMBER(AI55),IFERROR((N(AI117))/AI55,""),"")</f>
        <v>0.0962962962962963</v>
      </c>
      <c r="AJ89" s="215">
        <f>IF(ISNUMBER(AJ55),IFERROR((N(AJ117))/AJ55,""),"")</f>
        <v>0.102564102564103</v>
      </c>
      <c r="AK89" s="215">
        <f>IF(ISNUMBER(AK55),IFERROR((N(AK117))/AK55,""),"")</f>
        <v>0.1</v>
      </c>
      <c r="AL89" s="215">
        <f>IF(ISNUMBER(AL55),IFERROR((N(AL117))/AL55,""),"")</f>
        <v>0.0967020681945221</v>
      </c>
      <c r="AM89" s="215">
        <f>IF(ISNUMBER(AM55),IFERROR((N(AM117))/AM55,""),"")</f>
        <v>0.0922827846735024</v>
      </c>
      <c r="AN89" s="215">
        <f>IF(ISNUMBER(AN55),IFERROR((N(AN117))/AN55,""),"")</f>
        <v>0.0952380952380952</v>
      </c>
      <c r="AO89" s="215">
        <f>IF(ISNUMBER(AO55),IFERROR((N(AO117))/AO55,""),"")</f>
        <v>0.0949803149606299</v>
      </c>
      <c r="AP89" s="215">
        <f>IF(ISNUMBER(AP55),IFERROR((N(AP117))/AP55,""),"")</f>
        <v>0.0947935840126216</v>
      </c>
      <c r="AQ89" s="215">
        <f>IF(ISNUMBER(AQ55),IFERROR((N(AQ117))/AQ55,""),"")</f>
        <v>0.0893827160493827</v>
      </c>
      <c r="AR89" s="215">
        <f>IF(ISNUMBER(AR55),IFERROR((N(AR117))/AR55,""),"")</f>
        <v>0.0956112852664577</v>
      </c>
      <c r="AS89" s="215">
        <f>IF(ISNUMBER(AS55),IFERROR((N(AS117))/AS55,""),"")</f>
        <v>0.0944535969247666</v>
      </c>
      <c r="AT89" s="215">
        <f>IF(ISNUMBER(AT55),IFERROR((N(AT117))/AT55,""),"")</f>
        <v>0.0983522142121524</v>
      </c>
      <c r="AU89" s="215">
        <f>IF(ISNUMBER(AU55),IFERROR((N(AU117))/AU55,""),"")</f>
        <v>0.0943910672552584</v>
      </c>
      <c r="AV89" s="215">
        <f>IF(ISNUMBER(AV55),IFERROR((N(AV117))/AV55,""),"")</f>
        <v>0.0946389496717724</v>
      </c>
      <c r="AW89" s="215">
        <f>IF(ISNUMBER(AW55),IFERROR((N(AW117))/AW55,""),"")</f>
        <v>0.0904954499494439</v>
      </c>
      <c r="AX89" s="215">
        <f>IF(ISNUMBER(AX55),IFERROR((N(AX117))/AX55,""),"")</f>
        <v>0.0908203125</v>
      </c>
      <c r="AY89" s="215">
        <f>IF(ISNUMBER(AY55),IFERROR((N(AY117))/AY55,""),"")</f>
        <v>0.0863697705802969</v>
      </c>
      <c r="AZ89" s="215">
        <f>IF(ISNUMBER(AZ55),IFERROR((N(AZ117))/AZ55,""),"")</f>
        <v>0.0903800916181751</v>
      </c>
      <c r="BA89" s="215">
        <f>IF(ISNUMBER(BA55),IFERROR((N(BA117))/BA55,""),"")</f>
        <v>0.0898345153664303</v>
      </c>
      <c r="BB89" s="215">
        <f>IF(ISNUMBER(BB55),IFERROR((N(BB117))/BB55,""),"")</f>
        <v>0.0830782684739834</v>
      </c>
      <c r="BC89" s="215">
        <f>IF(ISNUMBER(BC55),IFERROR((N(BC117))/BC55,""),"")</f>
        <v>0.0756481087972801</v>
      </c>
      <c r="BD89" s="215">
        <f>IF(ISNUMBER(BD55),IFERROR((N(BD117))/BD55,""),"")</f>
        <v>0.0702887537993921</v>
      </c>
      <c r="BE89" s="215">
        <f>IF(ISNUMBER(BE55),IFERROR((N(BE117))/BE55,""),"")</f>
        <v>0.0791520187493342</v>
      </c>
      <c r="BF89" s="215">
        <f>IF(ISNUMBER(BF55),IFERROR((N(BF117))/BF55,""),"")</f>
        <v>0.0729807298072981</v>
      </c>
      <c r="BG89" s="215">
        <f>IF(ISNUMBER(BG55),IFERROR((N(BG117))/BG55,""),"")</f>
        <v>0.0693529639674545</v>
      </c>
      <c r="BH89" s="215">
        <f>IF(ISNUMBER(BH55),IFERROR((N(BH117))/BH55,""),"")</f>
        <v>0.0705973622963538</v>
      </c>
      <c r="BI89" s="215">
        <f>IF(ISNUMBER(BI55),IFERROR((N(BI117))/BI55,""),"")</f>
        <v>0.0683315990287895</v>
      </c>
      <c r="BJ89" s="215">
        <f>IF(ISNUMBER(BJ55),IFERROR((N(BJ117))/BJ55,""),"")</f>
        <v>0.0702223070317718</v>
      </c>
      <c r="BK89" s="215">
        <f>IF(ISNUMBER(BK55),IFERROR((N(BK117))/BK55,""),"")</f>
        <v>0.0691103474608629</v>
      </c>
      <c r="BL89" s="215">
        <f>IF(ISNUMBER(BL55),IFERROR((N(BL117))/BL55,""),"")</f>
        <v>0.0658307210031348</v>
      </c>
      <c r="BM89" s="215">
        <f>IF(ISNUMBER(BM55),IFERROR((N(BM117))/BM55,""),"")</f>
        <v>0.0683293474547318</v>
      </c>
      <c r="BN89" s="215">
        <f>IF(ISNUMBER(BN55),IFERROR((N(BN117))/BN55,""),"")</f>
        <v>0.0651629072681704</v>
      </c>
      <c r="BO89" s="215">
        <f>IF(ISNUMBER(BO55),IFERROR((N(BO117))/BO55,""),"")</f>
        <v>0.0670169695925575</v>
      </c>
      <c r="BP89" s="215">
        <f>IF(ISNUMBER(BP55),IFERROR((N(BP117))/BP55,""),"")</f>
        <v>0.0709633184778882</v>
      </c>
      <c r="BQ89" s="215">
        <f>IF(ISNUMBER(BQ55),IFERROR((N(BQ117))/BQ55,""),"")</f>
        <v>0.0729404102898079</v>
      </c>
      <c r="BR89" s="215">
        <f>IF(ISNUMBER(BR55),IFERROR((N(BR117))/BR55,""),"")</f>
        <v>0.0677351073480496</v>
      </c>
      <c r="BS89" s="215">
        <f>IF(ISNUMBER(BS55),IFERROR((N(BS117))/BS55,""),"")</f>
        <v>0.0661866518969815</v>
      </c>
      <c r="BT89" s="215">
        <f>IF(ISNUMBER(BT55),IFERROR((N(BT117))/BT55,""),"")</f>
        <v>0.0692701069270107</v>
      </c>
      <c r="BU89" s="215">
        <f>IF(ISNUMBER(BU55),IFERROR((N(BU117))/BU55,""),"")</f>
        <v>0.0687112946033618</v>
      </c>
      <c r="BV89" s="215">
        <f>IF(ISNUMBER(BV55),IFERROR((N(BV117))/BV55,""),"")</f>
        <v>0.072242289524868</v>
      </c>
      <c r="BW89" s="215">
        <f>IF(ISNUMBER(BW55),IFERROR((N(BW117))/BW55,""),"")</f>
        <v>0.072202166064982</v>
      </c>
      <c r="BX89" s="256">
        <f>IFERROR((SUM(BU117:BW117))/SUM(BU55:BW55),0)</f>
        <v>0.0711262421788738</v>
      </c>
      <c r="BY89" s="256">
        <f>$BX$89</f>
        <v>0.0711262421788738</v>
      </c>
      <c r="BZ89" s="256">
        <f>$BX$89</f>
        <v>0.0711262421788738</v>
      </c>
      <c r="CA89" s="256">
        <f>$BX$89</f>
        <v>0.0711262421788738</v>
      </c>
      <c r="CB89" s="256">
        <f>$BX$89</f>
        <v>0.0711262421788738</v>
      </c>
      <c r="CC89" s="256">
        <f>$BX$89</f>
        <v>0.0711262421788738</v>
      </c>
      <c r="CD89" s="256">
        <f>$BX$89</f>
        <v>0.0711262421788738</v>
      </c>
      <c r="CE89" s="153" t="n"/>
    </row>
    <row r="90" ht="15" customHeight="1" s="251">
      <c r="B90" s="25" t="inlineStr">
        <is>
          <t xml:space="preserve">  Professional fees (ex adjusting items) % of adjusted operating expenses</t>
        </is>
      </c>
      <c r="C90" s="215">
        <f>IF(ISNUMBER(C55),IFERROR((N(C118))/C55,""),"")</f>
        <v>0.130124777183601</v>
      </c>
      <c r="D90" s="215">
        <f>IF(ISNUMBER(D55),IFERROR((N(D118))/D55,""),"")</f>
        <v>0.109017912291538</v>
      </c>
      <c r="E90" s="215">
        <f>IF(ISNUMBER(E55),IFERROR((N(E118))/E55,""),"")</f>
        <v>0.0822784810126582</v>
      </c>
      <c r="F90" s="215">
        <f>IF(ISNUMBER(F55),IFERROR((N(F118))/F55,""),"")</f>
        <v>0.0903001071811361</v>
      </c>
      <c r="G90" s="215">
        <f>IF(ISNUMBER(G55),IFERROR((N(G118))/G55,""),"")</f>
        <v>0.0920172084130019</v>
      </c>
      <c r="H90" s="215">
        <f>IF(ISNUMBER(H55),IFERROR((N(H118))/H55,""),"")</f>
        <v>0.0841300191204589</v>
      </c>
      <c r="I90" s="215">
        <f>IF(ISNUMBER(I55),IFERROR((N(I118))/I55,""),"")</f>
        <v>0.0828779599271403</v>
      </c>
      <c r="J90" s="215">
        <f>IF(ISNUMBER(J55),IFERROR((N(J118))/J55,""),"")</f>
        <v>0.0878090366581415</v>
      </c>
      <c r="K90" s="215">
        <f>IF(ISNUMBER(K55),IFERROR((N(K118))/K55,""),"")</f>
        <v>0.106382978723404</v>
      </c>
      <c r="L90" s="215">
        <f>IF(ISNUMBER(L55),IFERROR((N(L118))/L55,""),"")</f>
        <v>0.0907688918263935</v>
      </c>
      <c r="M90" s="215">
        <f>IF(ISNUMBER(M55),IFERROR((N(M118))/M55,""),"")</f>
        <v>0.0695732838589982</v>
      </c>
      <c r="N90" s="215">
        <f>IF(ISNUMBER(N55),IFERROR((N(N118))/N55,""),"")</f>
        <v>0.0690582959641256</v>
      </c>
      <c r="O90" s="215">
        <f>IF(ISNUMBER(O55),IFERROR((N(O118))/O55,""),"")</f>
        <v>0.0722466960352423</v>
      </c>
      <c r="P90" s="215">
        <f>IF(ISNUMBER(P55),IFERROR((N(P118))/P55,""),"")</f>
        <v>0.0766096169519153</v>
      </c>
      <c r="Q90" s="215">
        <f>IF(ISNUMBER(Q55),IFERROR((N(Q118))/Q55,""),"")</f>
        <v>0.0720087815587267</v>
      </c>
      <c r="R90" s="215">
        <f>IF(ISNUMBER(R55),IFERROR((N(R118))/R55,""),"")</f>
        <v>0.0611888111888112</v>
      </c>
      <c r="S90" s="215">
        <f>IF(ISNUMBER(S55),IFERROR((N(S118))/S55,""),"")</f>
        <v>0.0682624113475177</v>
      </c>
      <c r="T90" s="215">
        <f>IF(ISNUMBER(T55),IFERROR((N(T118))/T55,""),"")</f>
        <v>0.0652866242038217</v>
      </c>
      <c r="U90" s="215">
        <f>IF(ISNUMBER(U55),IFERROR((N(U118))/U55,""),"")</f>
        <v>0.0830745341614907</v>
      </c>
      <c r="V90" s="215">
        <f>IF(ISNUMBER(V55),IFERROR((N(V118))/V55,""),"")</f>
        <v>0.0697674418604651</v>
      </c>
      <c r="W90" s="215">
        <f>IF(ISNUMBER(W55),IFERROR((N(W118))/W55,""),"")</f>
        <v>0.0615911035072712</v>
      </c>
      <c r="X90" s="215">
        <f>IF(ISNUMBER(X55),IFERROR((N(X118))/X55,""),"")</f>
        <v>0.0553691275167785</v>
      </c>
      <c r="Y90" s="215">
        <f>IF(ISNUMBER(Y55),IFERROR((N(Y118))/Y55,""),"")</f>
        <v>0.117647058823529</v>
      </c>
      <c r="Z90" s="215">
        <f>IF(ISNUMBER(Z55),IFERROR((N(Z118))/Z55,""),"")</f>
        <v>0.0740498034076016</v>
      </c>
      <c r="AA90" s="215">
        <f>IF(ISNUMBER(AA55),IFERROR((N(AA118))/AA55,""),"")</f>
        <v>0.0768774703557312</v>
      </c>
      <c r="AB90" s="215">
        <f>IF(ISNUMBER(AB55),IFERROR((N(AB118))/AB55,""),"")</f>
        <v>0.0587803085966201</v>
      </c>
      <c r="AC90" s="215">
        <f>IF(ISNUMBER(AC55),IFERROR((N(AC118))/AC55,""),"")</f>
        <v>0.0561949898442789</v>
      </c>
      <c r="AD90" s="215">
        <f>IF(ISNUMBER(AD55),IFERROR((N(AD118))/AD55,""),"")</f>
        <v>0.0661907852044127</v>
      </c>
      <c r="AE90" s="215">
        <f>IF(ISNUMBER(AE55),IFERROR((N(AE118))/AE55,""),"")</f>
        <v>0.0876445526475959</v>
      </c>
      <c r="AF90" s="215">
        <f>IF(ISNUMBER(AF55),IFERROR((N(AF118))/AF55,""),"")</f>
        <v>0.0679176353370973</v>
      </c>
      <c r="AG90" s="215">
        <f>IF(ISNUMBER(AG55),IFERROR((N(AG118))/AG55,""),"")</f>
        <v>0.0599348534201954</v>
      </c>
      <c r="AH90" s="215">
        <f>IF(ISNUMBER(AH55),IFERROR((N(AH118))/AH55,""),"")</f>
        <v>0.0621761658031088</v>
      </c>
      <c r="AI90" s="215">
        <f>IF(ISNUMBER(AI55),IFERROR((N(AI118))/AI55,""),"")</f>
        <v>0.0638176638176638</v>
      </c>
      <c r="AJ90" s="215">
        <f>IF(ISNUMBER(AJ55),IFERROR((N(AJ118))/AJ55,""),"")</f>
        <v>0.0731042007637752</v>
      </c>
      <c r="AK90" s="215">
        <f>IF(ISNUMBER(AK55),IFERROR((N(AK118))/AK55,""),"")</f>
        <v>0.0650145772594752</v>
      </c>
      <c r="AL90" s="215">
        <f>IF(ISNUMBER(AL55),IFERROR((N(AL118))/AL55,""),"")</f>
        <v>0.0508664058133035</v>
      </c>
      <c r="AM90" s="215">
        <f>IF(ISNUMBER(AM55),IFERROR((N(AM118))/AM55,""),"")</f>
        <v>0.0545062061521857</v>
      </c>
      <c r="AN90" s="215">
        <f>IF(ISNUMBER(AN55),IFERROR((N(AN118))/AN55,""),"")</f>
        <v>0.0584886128364389</v>
      </c>
      <c r="AO90" s="215">
        <f>IF(ISNUMBER(AO55),IFERROR((N(AO118))/AO55,""),"")</f>
        <v>0.0733267716535433</v>
      </c>
      <c r="AP90" s="215">
        <f>IF(ISNUMBER(AP55),IFERROR((N(AP118))/AP55,""),"")</f>
        <v>0.0596897186431764</v>
      </c>
      <c r="AQ90" s="215">
        <f>IF(ISNUMBER(AQ55),IFERROR((N(AQ118))/AQ55,""),"")</f>
        <v>0.0523456790123457</v>
      </c>
      <c r="AR90" s="215">
        <f>IF(ISNUMBER(AR55),IFERROR((N(AR118))/AR55,""),"")</f>
        <v>0.0538140020898642</v>
      </c>
      <c r="AS90" s="215">
        <f>IF(ISNUMBER(AS55),IFERROR((N(AS118))/AS55,""),"")</f>
        <v>0.0521691378363537</v>
      </c>
      <c r="AT90" s="215">
        <f>IF(ISNUMBER(AT55),IFERROR((N(AT118))/AT55,""),"")</f>
        <v>0.0535530381050463</v>
      </c>
      <c r="AU90" s="215">
        <f>IF(ISNUMBER(AU55),IFERROR((N(AU118))/AU55,""),"")</f>
        <v>0.0529732537003376</v>
      </c>
      <c r="AV90" s="215">
        <f>IF(ISNUMBER(AV55),IFERROR((N(AV118))/AV55,""),"")</f>
        <v>0.0454048140043764</v>
      </c>
      <c r="AW90" s="215">
        <f>IF(ISNUMBER(AW55),IFERROR((N(AW118))/AW55,""),"")</f>
        <v>0.0414560161779575</v>
      </c>
      <c r="AX90" s="215">
        <f>IF(ISNUMBER(AX55),IFERROR((N(AX118))/AX55,""),"")</f>
        <v>0.052734375</v>
      </c>
      <c r="AY90" s="215">
        <f>IF(ISNUMBER(AY55),IFERROR((N(AY118))/AY55,""),"")</f>
        <v>0.0584795321637427</v>
      </c>
      <c r="AZ90" s="215">
        <f>IF(ISNUMBER(AZ55),IFERROR((N(AZ118))/AZ55,""),"")</f>
        <v>0.0498947629070199</v>
      </c>
      <c r="BA90" s="215">
        <f>IF(ISNUMBER(BA55),IFERROR((N(BA118))/BA55,""),"")</f>
        <v>0.0472813238770686</v>
      </c>
      <c r="BB90" s="215">
        <f>IF(ISNUMBER(BB55),IFERROR((N(BB118))/BB55,""),"")</f>
        <v>0.0546567555749891</v>
      </c>
      <c r="BC90" s="215">
        <f>IF(ISNUMBER(BC55),IFERROR((N(BC118))/BC55,""),"")</f>
        <v>0.0497237569060773</v>
      </c>
      <c r="BD90" s="215">
        <f>IF(ISNUMBER(BD55),IFERROR((N(BD118))/BD55,""),"")</f>
        <v>0.0619300911854103</v>
      </c>
      <c r="BE90" s="215">
        <f>IF(ISNUMBER(BE55),IFERROR((N(BE118))/BE55,""),"")</f>
        <v>0.0537978054756578</v>
      </c>
      <c r="BF90" s="215">
        <f>IF(ISNUMBER(BF55),IFERROR((N(BF118))/BF55,""),"")</f>
        <v>0.044690446904469</v>
      </c>
      <c r="BG90" s="215">
        <f>IF(ISNUMBER(BG55),IFERROR((N(BG118))/BG55,""),"")</f>
        <v>0.0503680743897714</v>
      </c>
      <c r="BH90" s="215">
        <f>IF(ISNUMBER(BH55),IFERROR((N(BH118))/BH55,""),"")</f>
        <v>0.0515903801396431</v>
      </c>
      <c r="BI90" s="215">
        <f>IF(ISNUMBER(BI55),IFERROR((N(BI118))/BI55,""),"")</f>
        <v>0.0600069372181755</v>
      </c>
      <c r="BJ90" s="215">
        <f>IF(ISNUMBER(BJ55),IFERROR((N(BJ118))/BJ55,""),"")</f>
        <v>0.051998855071081</v>
      </c>
      <c r="BK90" s="215">
        <f>IF(ISNUMBER(BK55),IFERROR((N(BK118))/BK55,""),"")</f>
        <v>0.0500190912562047</v>
      </c>
      <c r="BL90" s="215">
        <f>IF(ISNUMBER(BL55),IFERROR((N(BL118))/BL55,""),"")</f>
        <v>0.0557297109021247</v>
      </c>
      <c r="BM90" s="215">
        <f>IF(ISNUMBER(BM55),IFERROR((N(BM118))/BM55,""),"")</f>
        <v>0.0519303040655962</v>
      </c>
      <c r="BN90" s="215">
        <f>IF(ISNUMBER(BN55),IFERROR((N(BN118))/BN55,""),"")</f>
        <v>0.0601503759398496</v>
      </c>
      <c r="BO90" s="215">
        <f>IF(ISNUMBER(BO55),IFERROR((N(BO118))/BO55,""),"")</f>
        <v>0.054698940477216</v>
      </c>
      <c r="BP90" s="215">
        <f>IF(ISNUMBER(BP55),IFERROR((N(BP118))/BP55,""),"")</f>
        <v>0.0490229688035653</v>
      </c>
      <c r="BQ90" s="215">
        <f>IF(ISNUMBER(BQ55),IFERROR((N(BQ118))/BQ55,""),"")</f>
        <v>0.0563334418756106</v>
      </c>
      <c r="BR90" s="215">
        <f>IF(ISNUMBER(BR55),IFERROR((N(BR118))/BR55,""),"")</f>
        <v>0.0565467190807378</v>
      </c>
      <c r="BS90" s="215">
        <f>IF(ISNUMBER(BS55),IFERROR((N(BS118))/BS55,""),"")</f>
        <v>0.0708944890612019</v>
      </c>
      <c r="BT90" s="215">
        <f>IF(ISNUMBER(BT55),IFERROR((N(BT118))/BT55,""),"")</f>
        <v>0.0588098558809856</v>
      </c>
      <c r="BU90" s="215">
        <f>IF(ISNUMBER(BU55),IFERROR((N(BU118))/BU55,""),"")</f>
        <v>0.0613388381008552</v>
      </c>
      <c r="BV90" s="215">
        <f>IF(ISNUMBER(BV55),IFERROR((N(BV118))/BV55,""),"")</f>
        <v>0.0661294804112253</v>
      </c>
      <c r="BW90" s="215">
        <f>IF(ISNUMBER(BW55),IFERROR((N(BW118))/BW55,""),"")</f>
        <v>0.0634347601856627</v>
      </c>
      <c r="BX90" s="256">
        <f>IFERROR((SUM(BU118:BW118))/SUM(BU55:BW55),0)</f>
        <v>0.0636731689363268</v>
      </c>
      <c r="BY90" s="256">
        <f>$BX$90</f>
        <v>0.0636731689363268</v>
      </c>
      <c r="BZ90" s="256">
        <f>$BX$90</f>
        <v>0.0636731689363268</v>
      </c>
      <c r="CA90" s="256">
        <f>$BX$90</f>
        <v>0.0636731689363268</v>
      </c>
      <c r="CB90" s="256">
        <f>$BX$90</f>
        <v>0.0636731689363268</v>
      </c>
      <c r="CC90" s="256">
        <f>$BX$90</f>
        <v>0.0636731689363268</v>
      </c>
      <c r="CD90" s="256">
        <f>$BX$90</f>
        <v>0.0636731689363268</v>
      </c>
      <c r="CE90" s="153" t="n"/>
    </row>
    <row r="91" ht="15" customHeight="1" s="251">
      <c r="B91" s="25" t="inlineStr">
        <is>
          <t xml:space="preserve">  Depreciation and amortization (ex adjusting items) % of adjusted operating expenses</t>
        </is>
      </c>
      <c r="C91" s="215">
        <f>IF(ISNUMBER(C55),IFERROR((N(C119)-N(C100))/C55,""),"")</f>
        <v>0.0502079619726679</v>
      </c>
      <c r="D91" s="215">
        <f>IF(ISNUMBER(D55),IFERROR((N(D119)-N(D100))/D55,""),"")</f>
        <v>0.0487955528103768</v>
      </c>
      <c r="E91" s="215">
        <f>IF(ISNUMBER(E55),IFERROR((N(E119)-N(E100))/E55,""),"")</f>
        <v>0.0762370540851554</v>
      </c>
      <c r="F91" s="215">
        <f>IF(ISNUMBER(F55),IFERROR((N(F119)-N(F100))/F55,""),"")</f>
        <v>0.0771704180064309</v>
      </c>
      <c r="G91" s="215">
        <f>IF(ISNUMBER(G55),IFERROR((N(G119)-N(G100))/G55,""),"")</f>
        <v>0.0795889101338432</v>
      </c>
      <c r="H91" s="215">
        <f>IF(ISNUMBER(H55),IFERROR((N(H119)-N(H100))/H55,""),"")</f>
        <v>0.0879541108986616</v>
      </c>
      <c r="I91" s="215">
        <f>IF(ISNUMBER(I55),IFERROR((N(I119)-N(I100))/I55,""),"")</f>
        <v>0.0892531876138434</v>
      </c>
      <c r="J91" s="215">
        <f>IF(ISNUMBER(J55),IFERROR((N(J119)-N(J100))/J55,""),"")</f>
        <v>0.0861040068201194</v>
      </c>
      <c r="K91" s="215">
        <f>IF(ISNUMBER(K55),IFERROR((N(K119)-N(K100))/K55,""),"")</f>
        <v>0.0867430441898527</v>
      </c>
      <c r="L91" s="215">
        <f>IF(ISNUMBER(L55),IFERROR((N(L119)-N(L100))/L55,""),"")</f>
        <v>0.0874641991628112</v>
      </c>
      <c r="M91" s="215">
        <f>IF(ISNUMBER(M55),IFERROR((N(M119)-N(M100))/M55,""),"")</f>
        <v>0.0992578849721707</v>
      </c>
      <c r="N91" s="215">
        <f>IF(ISNUMBER(N55),IFERROR((N(N119)-N(N100))/N55,""),"")</f>
        <v>0.0959641255605381</v>
      </c>
      <c r="O91" s="215">
        <f>IF(ISNUMBER(O55),IFERROR((N(O119)-N(O100))/O55,""),"")</f>
        <v>0.0960352422907489</v>
      </c>
      <c r="P91" s="215">
        <f>IF(ISNUMBER(P55),IFERROR((N(P119)-N(P100))/P55,""),"")</f>
        <v>0.091279543602282</v>
      </c>
      <c r="Q91" s="215">
        <f>IF(ISNUMBER(Q55),IFERROR((N(Q119)-N(Q100))/Q55,""),"")</f>
        <v>0.0954994511525796</v>
      </c>
      <c r="R91" s="215">
        <f>IF(ISNUMBER(R55),IFERROR((N(R119)-N(R100))/R55,""),"")</f>
        <v>0.104895104895105</v>
      </c>
      <c r="S91" s="215">
        <f>IF(ISNUMBER(S55),IFERROR((N(S119)-N(S100))/S55,""),"")</f>
        <v>0.110815602836879</v>
      </c>
      <c r="T91" s="215">
        <f>IF(ISNUMBER(T55),IFERROR((N(T119)-N(T100))/T55,""),"")</f>
        <v>0.103503184713376</v>
      </c>
      <c r="U91" s="215">
        <f>IF(ISNUMBER(U55),IFERROR((N(U119)-N(U100))/U55,""),"")</f>
        <v>0.0923913043478261</v>
      </c>
      <c r="V91" s="215">
        <f>IF(ISNUMBER(V55),IFERROR((N(V119)-N(V100))/V55,""),"")</f>
        <v>0.102574750830565</v>
      </c>
      <c r="W91" s="215">
        <f>IF(ISNUMBER(W55),IFERROR((N(W119)-N(W100))/W55,""),"")</f>
        <v>0.102651839178785</v>
      </c>
      <c r="X91" s="215">
        <f>IF(ISNUMBER(X55),IFERROR((N(X119)-N(X100))/X55,""),"")</f>
        <v>0.101510067114094</v>
      </c>
      <c r="Y91" s="215">
        <f>IF(ISNUMBER(Y55),IFERROR((N(Y119)-N(Y100))/Y55,""),"")</f>
        <v>0.10230179028133</v>
      </c>
      <c r="Z91" s="215">
        <f>IF(ISNUMBER(Z55),IFERROR((N(Z119)-N(Z100))/Z55,""),"")</f>
        <v>0.0923984272608126</v>
      </c>
      <c r="AA91" s="215">
        <f>IF(ISNUMBER(AA55),IFERROR((N(AA119)-N(AA100))/AA55,""),"")</f>
        <v>0.0992094861660079</v>
      </c>
      <c r="AB91" s="215">
        <f>IF(ISNUMBER(AB55),IFERROR((N(AB119)-N(AB100))/AB55,""),"")</f>
        <v>0.107274063188832</v>
      </c>
      <c r="AC91" s="215">
        <f>IF(ISNUMBER(AC55),IFERROR((N(AC119)-N(AC100))/AC55,""),"")</f>
        <v>0.0886932972241029</v>
      </c>
      <c r="AD91" s="215">
        <f>IF(ISNUMBER(AD55),IFERROR((N(AD119)-N(AD100))/AD55,""),"")</f>
        <v>0.0856586632057106</v>
      </c>
      <c r="AE91" s="215">
        <f>IF(ISNUMBER(AE55),IFERROR((N(AE119)-N(AE100))/AE55,""),"")</f>
        <v>0.0894704808277541</v>
      </c>
      <c r="AF91" s="215">
        <f>IF(ISNUMBER(AF55),IFERROR((N(AF119)-N(AF100))/AF55,""),"")</f>
        <v>0.0923281301893059</v>
      </c>
      <c r="AG91" s="215">
        <f>IF(ISNUMBER(AG55),IFERROR((N(AG119)-N(AG100))/AG55,""),"")</f>
        <v>0.0944625407166124</v>
      </c>
      <c r="AH91" s="215">
        <f>IF(ISNUMBER(AH55),IFERROR((N(AH119)-N(AH100))/AH55,""),"")</f>
        <v>0.0880829015544041</v>
      </c>
      <c r="AI91" s="215">
        <f>IF(ISNUMBER(AI55),IFERROR((N(AI119)-N(AI100))/AI55,""),"")</f>
        <v>0.0866096866096866</v>
      </c>
      <c r="AJ91" s="215">
        <f>IF(ISNUMBER(AJ55),IFERROR((N(AJ119)-N(AJ100))/AJ55,""),"")</f>
        <v>0.0889252591380251</v>
      </c>
      <c r="AK91" s="215">
        <f>IF(ISNUMBER(AK55),IFERROR((N(AK119)-N(AK100))/AK55,""),"")</f>
        <v>0.0893586005830904</v>
      </c>
      <c r="AL91" s="215">
        <f>IF(ISNUMBER(AL55),IFERROR((N(AL119)-N(AL100))/AL55,""),"")</f>
        <v>0.0888764673001677</v>
      </c>
      <c r="AM91" s="215">
        <f>IF(ISNUMBER(AM55),IFERROR((N(AM119)-N(AM100))/AM55,""),"")</f>
        <v>0.0863464651915812</v>
      </c>
      <c r="AN91" s="215">
        <f>IF(ISNUMBER(AN55),IFERROR((N(AN119)-N(AN100))/AN55,""),"")</f>
        <v>0.0854037267080745</v>
      </c>
      <c r="AO91" s="215">
        <f>IF(ISNUMBER(AO55),IFERROR((N(AO119)-N(AO100))/AO55,""),"")</f>
        <v>0.0846456692913386</v>
      </c>
      <c r="AP91" s="215">
        <f>IF(ISNUMBER(AP55),IFERROR((N(AP119)-N(AP100))/AP55,""),"")</f>
        <v>0.0862476991848541</v>
      </c>
      <c r="AQ91" s="215">
        <f>IF(ISNUMBER(AQ55),IFERROR((N(AQ119)-N(AQ100))/AQ55,""),"")</f>
        <v>0.0844444444444445</v>
      </c>
      <c r="AR91" s="215">
        <f>IF(ISNUMBER(AR55),IFERROR((N(AR119)-N(AR100))/AR55,""),"")</f>
        <v>0.0945663531870429</v>
      </c>
      <c r="AS91" s="215">
        <f>IF(ISNUMBER(AS55),IFERROR((N(AS119)-N(AS100))/AS55,""),"")</f>
        <v>0.101043382756727</v>
      </c>
      <c r="AT91" s="215">
        <f>IF(ISNUMBER(AT55),IFERROR((N(AT119)-N(AT100))/AT55,""),"")</f>
        <v>0.0952626158599382</v>
      </c>
      <c r="AU91" s="215">
        <f>IF(ISNUMBER(AU55),IFERROR((N(AU119)-N(AU100))/AU55,""),"")</f>
        <v>0.0936120488184887</v>
      </c>
      <c r="AV91" s="215">
        <f>IF(ISNUMBER(AV55),IFERROR((N(AV119)-N(AV100))/AV55,""),"")</f>
        <v>0.101203501094092</v>
      </c>
      <c r="AW91" s="215">
        <f>IF(ISNUMBER(AW55),IFERROR((N(AW119)-N(AW100))/AW55,""),"")</f>
        <v>0.0950455005055612</v>
      </c>
      <c r="AX91" s="215">
        <f>IF(ISNUMBER(AX55),IFERROR((N(AX119)-N(AX100))/AX55,""),"")</f>
        <v>0.09326171875</v>
      </c>
      <c r="AY91" s="215">
        <f>IF(ISNUMBER(AY55),IFERROR((N(AY119)-N(AY100))/AY55,""),"")</f>
        <v>0.0850202429149798</v>
      </c>
      <c r="AZ91" s="215">
        <f>IF(ISNUMBER(AZ55),IFERROR((N(AZ119)-N(AZ100))/AZ55,""),"")</f>
        <v>0.093227683545871</v>
      </c>
      <c r="BA91" s="215">
        <f>IF(ISNUMBER(BA55),IFERROR((N(BA119)-N(BA100))/BA55,""),"")</f>
        <v>0.0874704491725768</v>
      </c>
      <c r="BB91" s="215">
        <f>IF(ISNUMBER(BB55),IFERROR((N(BB119)-N(BB100))/BB55,""),"")</f>
        <v>0.0817665063401837</v>
      </c>
      <c r="BC91" s="215">
        <f>IF(ISNUMBER(BC55),IFERROR((N(BC119)-N(BC100))/BC55,""),"")</f>
        <v>0.079048023799405</v>
      </c>
      <c r="BD91" s="215">
        <f>IF(ISNUMBER(BD55),IFERROR((N(BD119)-N(BD100))/BD55,""),"")</f>
        <v>0.0695288753799392</v>
      </c>
      <c r="BE91" s="215">
        <f>IF(ISNUMBER(BE55),IFERROR((N(BE119)-N(BE100))/BE55,""),"")</f>
        <v>0.078938958133589</v>
      </c>
      <c r="BF91" s="215">
        <f>IF(ISNUMBER(BF55),IFERROR((N(BF119)-N(BF100))/BF55,""),"")</f>
        <v>0.0754407544075441</v>
      </c>
      <c r="BG91" s="215">
        <f>IF(ISNUMBER(BG55),IFERROR((N(BG119)-N(BG100))/BG55,""),"")</f>
        <v>0.072839984502131</v>
      </c>
      <c r="BH91" s="215">
        <f>IF(ISNUMBER(BH55),IFERROR((N(BH119)-N(BH100))/BH55,""),"")</f>
        <v>0.0752521334367727</v>
      </c>
      <c r="BI91" s="215">
        <f>IF(ISNUMBER(BI55),IFERROR((N(BI119)-N(BI100))/BI55,""),"")</f>
        <v>0.0697190426638918</v>
      </c>
      <c r="BJ91" s="215">
        <f>IF(ISNUMBER(BJ55),IFERROR((N(BJ119)-N(BJ100))/BJ55,""),"")</f>
        <v>0.0731800400725122</v>
      </c>
      <c r="BK91" s="215">
        <f>IF(ISNUMBER(BK55),IFERROR((N(BK119)-N(BK100))/BK55,""),"")</f>
        <v>0.0790378006872852</v>
      </c>
      <c r="BL91" s="215">
        <f>IF(ISNUMBER(BL55),IFERROR((N(BL119)-N(BL100))/BL55,""),"")</f>
        <v>0.0717520027864855</v>
      </c>
      <c r="BM91" s="215">
        <f>IF(ISNUMBER(BM55),IFERROR((N(BM119)-N(BM100))/BM55,""),"")</f>
        <v>0.0737956952511104</v>
      </c>
      <c r="BN91" s="215">
        <f>IF(ISNUMBER(BN55),IFERROR((N(BN119)-N(BN100))/BN55,""),"")</f>
        <v>0.0711152882205514</v>
      </c>
      <c r="BO91" s="215">
        <f>IF(ISNUMBER(BO55),IFERROR((N(BO119)-N(BO100))/BO55,""),"")</f>
        <v>0.073735894564562</v>
      </c>
      <c r="BP91" s="215">
        <f>IF(ISNUMBER(BP55),IFERROR((N(BP119)-N(BP100))/BP55,""),"")</f>
        <v>0.0809050394240658</v>
      </c>
      <c r="BQ91" s="215">
        <f>IF(ISNUMBER(BQ55),IFERROR((N(BQ119)-N(BQ100))/BQ55,""),"")</f>
        <v>0.0784760664278737</v>
      </c>
      <c r="BR91" s="215">
        <f>IF(ISNUMBER(BR55),IFERROR((N(BR119)-N(BR100))/BR55,""),"")</f>
        <v>0.0795282733595404</v>
      </c>
      <c r="BS91" s="215">
        <f>IF(ISNUMBER(BS55),IFERROR((N(BS119)-N(BS100))/BS55,""),"")</f>
        <v>0.0725560786485738</v>
      </c>
      <c r="BT91" s="215">
        <f>IF(ISNUMBER(BT55),IFERROR((N(BT119)-N(BT100))/BT55,""),"")</f>
        <v>0.0776383077638308</v>
      </c>
      <c r="BU91" s="215">
        <f>IF(ISNUMBER(BU55),IFERROR((N(BU119)-N(BU100))/BU55,""),"")</f>
        <v>0.0802123267472722</v>
      </c>
      <c r="BV91" s="215">
        <f>IF(ISNUMBER(BV55),IFERROR((N(BV119)-N(BV100))/BV55,""),"")</f>
        <v>0.0786329535982217</v>
      </c>
      <c r="BW91" s="215">
        <f>IF(ISNUMBER(BW55),IFERROR((N(BW119)-N(BW100))/BW55,""),"")</f>
        <v>0.0781330582774626</v>
      </c>
      <c r="BX91" s="256">
        <f>IFERROR((SUM(BU119:BW119)-SUM(BU100:BW100))/SUM(BU55:BW55),0)</f>
        <v>0.0789473684210526</v>
      </c>
      <c r="BY91" s="256">
        <f>$BX$91</f>
        <v>0.0789473684210526</v>
      </c>
      <c r="BZ91" s="256">
        <f>$BX$91</f>
        <v>0.0789473684210526</v>
      </c>
      <c r="CA91" s="256">
        <f>$BX$91</f>
        <v>0.0789473684210526</v>
      </c>
      <c r="CB91" s="256">
        <f>$BX$91</f>
        <v>0.0789473684210526</v>
      </c>
      <c r="CC91" s="256">
        <f>$BX$91</f>
        <v>0.0789473684210526</v>
      </c>
      <c r="CD91" s="256">
        <f>$BX$91</f>
        <v>0.0789473684210526</v>
      </c>
      <c r="CE91" s="153" t="n"/>
    </row>
    <row r="92" ht="15" customHeight="1" s="251">
      <c r="B92" s="25" t="inlineStr">
        <is>
          <t xml:space="preserve">  General and administrative (ex adjusting items) % of adjusted operating expenses</t>
        </is>
      </c>
      <c r="C92" s="215">
        <f>IF(ISNUMBER(C55),IFERROR((N(C120)-N(C102))/C55,""),"")</f>
        <v>0.0986333927510398</v>
      </c>
      <c r="D92" s="215">
        <f>IF(ISNUMBER(D55),IFERROR((N(D120)-N(D102))/D55,""),"")</f>
        <v>0.104385423100679</v>
      </c>
      <c r="E92" s="215">
        <f>IF(ISNUMBER(E55),IFERROR((N(E120)-N(E102))/E55,""),"")</f>
        <v>0.103279631760644</v>
      </c>
      <c r="F92" s="215">
        <f>IF(ISNUMBER(F55),IFERROR((N(F120)-N(F102))/F55,""),"")</f>
        <v>0.110932475884244</v>
      </c>
      <c r="G92" s="215">
        <f>IF(ISNUMBER(G55),IFERROR((N(G120)-N(G102))/G55,""),"")</f>
        <v>0.107791586998088</v>
      </c>
      <c r="H92" s="215">
        <f>IF(ISNUMBER(H55),IFERROR((N(H120)-N(H102))/H55,""),"")</f>
        <v>0.101338432122371</v>
      </c>
      <c r="I92" s="215">
        <f>IF(ISNUMBER(I55),IFERROR((N(I120)-N(I102))/I55,""),"")</f>
        <v>0.0983606557377049</v>
      </c>
      <c r="J92" s="215">
        <f>IF(ISNUMBER(J55),IFERROR((N(J120)-N(J102))/J55,""),"")</f>
        <v>0.0920716112531969</v>
      </c>
      <c r="K92" s="215">
        <f>IF(ISNUMBER(K55),IFERROR((N(K120)-N(K102))/K55,""),"")</f>
        <v>0.10556464811784</v>
      </c>
      <c r="L92" s="215">
        <f>IF(ISNUMBER(L55),IFERROR((N(L120)-N(L102))/L55,""),"")</f>
        <v>0.0993610927517074</v>
      </c>
      <c r="M92" s="215">
        <f>IF(ISNUMBER(M55),IFERROR((N(M120)-N(M102))/M55,""),"")</f>
        <v>0.100185528756957</v>
      </c>
      <c r="N92" s="215">
        <f>IF(ISNUMBER(N55),IFERROR((N(N120)-N(N102))/N55,""),"")</f>
        <v>0.10762331838565</v>
      </c>
      <c r="O92" s="215">
        <f>IF(ISNUMBER(O55),IFERROR((N(O120)-N(O102))/O55,""),"")</f>
        <v>0.111013215859031</v>
      </c>
      <c r="P92" s="215">
        <f>IF(ISNUMBER(P55),IFERROR((N(P120)-N(P102))/P55,""),"")</f>
        <v>0.124694376528117</v>
      </c>
      <c r="Q92" s="215">
        <f>IF(ISNUMBER(Q55),IFERROR((N(Q120)-N(Q102))/Q55,""),"")</f>
        <v>0.111306256860593</v>
      </c>
      <c r="R92" s="215">
        <f>IF(ISNUMBER(R55),IFERROR((N(R120)-N(R102))/R55,""),"")</f>
        <v>0.11013986013986</v>
      </c>
      <c r="S92" s="215">
        <f>IF(ISNUMBER(S55),IFERROR((N(S120)-N(S102))/S55,""),"")</f>
        <v>0.125</v>
      </c>
      <c r="T92" s="215">
        <f>IF(ISNUMBER(T55),IFERROR((N(T120)-N(T102))/T55,""),"")</f>
        <v>0.109076433121019</v>
      </c>
      <c r="U92" s="215">
        <f>IF(ISNUMBER(U55),IFERROR((N(U120)-N(U102))/U55,""),"")</f>
        <v>0.111024844720497</v>
      </c>
      <c r="V92" s="215">
        <f>IF(ISNUMBER(V55),IFERROR((N(V120)-N(V102))/V55,""),"")</f>
        <v>0.113579734219269</v>
      </c>
      <c r="W92" s="215">
        <f>IF(ISNUMBER(W55),IFERROR((N(W120)-N(W102))/W55,""),"")</f>
        <v>0.133447390932421</v>
      </c>
      <c r="X92" s="215">
        <f>IF(ISNUMBER(X55),IFERROR((N(X120)-N(X102))/X55,""),"")</f>
        <v>0.13758389261745</v>
      </c>
      <c r="Y92" s="215">
        <f>IF(ISNUMBER(Y55),IFERROR((N(Y120)-N(Y102))/Y55,""),"")</f>
        <v>0.0801364023870418</v>
      </c>
      <c r="Z92" s="215">
        <f>IF(ISNUMBER(Z55),IFERROR((N(Z120)-N(Z102))/Z55,""),"")</f>
        <v>0.150720838794233</v>
      </c>
      <c r="AA92" s="215">
        <f>IF(ISNUMBER(AA55),IFERROR((N(AA120)-N(AA102))/AA55,""),"")</f>
        <v>0.127272727272727</v>
      </c>
      <c r="AB92" s="215">
        <f>IF(ISNUMBER(AB55),IFERROR((N(AB120)-N(AB102))/AB55,""),"")</f>
        <v>0.136664217487142</v>
      </c>
      <c r="AC92" s="215">
        <f>IF(ISNUMBER(AC55),IFERROR((N(AC120)-N(AC102))/AC55,""),"")</f>
        <v>0.274881516587678</v>
      </c>
      <c r="AD92" s="215">
        <f>IF(ISNUMBER(AD55),IFERROR((N(AD120)-N(AD102))/AD55,""),"")</f>
        <v>0.149253731343284</v>
      </c>
      <c r="AE92" s="215">
        <f>IF(ISNUMBER(AE55),IFERROR((N(AE120)-N(AE102))/AE55,""),"")</f>
        <v>0.144856968959221</v>
      </c>
      <c r="AF92" s="215">
        <f>IF(ISNUMBER(AF55),IFERROR((N(AF120)-N(AF102))/AF55,""),"")</f>
        <v>0.176021255396878</v>
      </c>
      <c r="AG92" s="215">
        <f>IF(ISNUMBER(AG55),IFERROR((N(AG120)-N(AG102))/AG55,""),"")</f>
        <v>0.153745928338762</v>
      </c>
      <c r="AH92" s="215">
        <f>IF(ISNUMBER(AH55),IFERROR((N(AH120)-N(AH102))/AH55,""),"")</f>
        <v>0.127806563039724</v>
      </c>
      <c r="AI92" s="215">
        <f>IF(ISNUMBER(AI55),IFERROR((N(AI120)-N(AI102))/AI55,""),"")</f>
        <v>0.131054131054131</v>
      </c>
      <c r="AJ92" s="215">
        <f>IF(ISNUMBER(AJ55),IFERROR((N(AJ120)-N(AJ102))/AJ55,""),"")</f>
        <v>0.249318057828696</v>
      </c>
      <c r="AK92" s="215">
        <f>IF(ISNUMBER(AK55),IFERROR((N(AK120)-N(AK102))/AK55,""),"")</f>
        <v>0.166909620991254</v>
      </c>
      <c r="AL92" s="215">
        <f>IF(ISNUMBER(AL55),IFERROR((N(AL120)-N(AL102))/AL55,""),"")</f>
        <v>0.154276131917272</v>
      </c>
      <c r="AM92" s="215">
        <f>IF(ISNUMBER(AM55),IFERROR((N(AM120)-N(AM102))/AM55,""),"")</f>
        <v>0.142471667566109</v>
      </c>
      <c r="AN92" s="215">
        <f>IF(ISNUMBER(AN55),IFERROR((N(AN120)-N(AN102))/AN55,""),"")</f>
        <v>0.16304347826087</v>
      </c>
      <c r="AO92" s="215">
        <f>IF(ISNUMBER(AO55),IFERROR((N(AO120)-N(AO102))/AO55,""),"")</f>
        <v>0.167814960629921</v>
      </c>
      <c r="AP92" s="215">
        <f>IF(ISNUMBER(AP55),IFERROR((N(AP120)-N(AP102))/AP55,""),"")</f>
        <v>0.157244280830923</v>
      </c>
      <c r="AQ92" s="215">
        <f>IF(ISNUMBER(AQ55),IFERROR((N(AQ120)-N(AQ102))/AQ55,""),"")</f>
        <v>0.15358024691358</v>
      </c>
      <c r="AR92" s="215">
        <f>IF(ISNUMBER(AR55),IFERROR((N(AR120)-N(AR102))/AR55,""),"")</f>
        <v>0.137931034482759</v>
      </c>
      <c r="AS92" s="215">
        <f>IF(ISNUMBER(AS55),IFERROR((N(AS120)-N(AS102))/AS55,""),"")</f>
        <v>0.13948380010983</v>
      </c>
      <c r="AT92" s="215">
        <f>IF(ISNUMBER(AT55),IFERROR((N(AT120)-N(AT102))/AT55,""),"")</f>
        <v>0.128733264675592</v>
      </c>
      <c r="AU92" s="215">
        <f>IF(ISNUMBER(AU55),IFERROR((N(AU120)-N(AU102))/AU55,""),"")</f>
        <v>0.140093482212412</v>
      </c>
      <c r="AV92" s="215">
        <f>IF(ISNUMBER(AV55),IFERROR((N(AV120)-N(AV102))/AV55,""),"")</f>
        <v>0.109409190371991</v>
      </c>
      <c r="AW92" s="215">
        <f>IF(ISNUMBER(AW55),IFERROR((N(AW120)-N(AW102))/AW55,""),"")</f>
        <v>0.180990899898888</v>
      </c>
      <c r="AX92" s="215">
        <f>IF(ISNUMBER(AX55),IFERROR((N(AX120)-N(AX102))/AX55,""),"")</f>
        <v>0.09716796875</v>
      </c>
      <c r="AY92" s="215">
        <f>IF(ISNUMBER(AY55),IFERROR((N(AY120)-N(AY102))/AY55,""),"")</f>
        <v>0.0931174089068826</v>
      </c>
      <c r="AZ92" s="215">
        <f>IF(ISNUMBER(AZ55),IFERROR((N(AZ120)-N(AZ102))/AZ55,""),"")</f>
        <v>0.119351244273864</v>
      </c>
      <c r="BA92" s="215">
        <f>IF(ISNUMBER(BA55),IFERROR((N(BA120)-N(BA102))/BA55,""),"")</f>
        <v>0.109692671394799</v>
      </c>
      <c r="BB92" s="215">
        <f>IF(ISNUMBER(BB55),IFERROR((N(BB120)-N(BB102))/BB55,""),"")</f>
        <v>0.133362483602973</v>
      </c>
      <c r="BC92" s="215">
        <f>IF(ISNUMBER(BC55),IFERROR((N(BC120)-N(BC102))/BC55,""),"")</f>
        <v>0.116872078198045</v>
      </c>
      <c r="BD92" s="215">
        <f>IF(ISNUMBER(BD55),IFERROR((N(BD120)-N(BD102))/BD55,""),"")</f>
        <v>0.118920972644377</v>
      </c>
      <c r="BE92" s="215">
        <f>IF(ISNUMBER(BE55),IFERROR((N(BE120)-N(BE102))/BE55,""),"")</f>
        <v>0.119846596356663</v>
      </c>
      <c r="BF92" s="215">
        <f>IF(ISNUMBER(BF55),IFERROR((N(BF120)-N(BF102))/BF55,""),"")</f>
        <v>0.122591225912259</v>
      </c>
      <c r="BG92" s="215">
        <f>IF(ISNUMBER(BG55),IFERROR((N(BG120)-N(BG102))/BG55,""),"")</f>
        <v>0.100736148779543</v>
      </c>
      <c r="BH92" s="215">
        <f>IF(ISNUMBER(BH55),IFERROR((N(BH120)-N(BH102))/BH55,""),"")</f>
        <v>0.112490302560124</v>
      </c>
      <c r="BI92" s="215">
        <f>IF(ISNUMBER(BI55),IFERROR((N(BI120)-N(BI102))/BI55,""),"")</f>
        <v>0.135622615331252</v>
      </c>
      <c r="BJ92" s="215">
        <f>IF(ISNUMBER(BJ55),IFERROR((N(BJ120)-N(BJ102))/BJ55,""),"")</f>
        <v>0.118309321629616</v>
      </c>
      <c r="BK92" s="215">
        <f>IF(ISNUMBER(BK55),IFERROR((N(BK120)-N(BK102))/BK55,""),"")</f>
        <v>0.12180221458572</v>
      </c>
      <c r="BL92" s="215">
        <f>IF(ISNUMBER(BL55),IFERROR((N(BL120)-N(BL102))/BL55,""),"")</f>
        <v>0.148380355276907</v>
      </c>
      <c r="BM92" s="215">
        <f>IF(ISNUMBER(BM55),IFERROR((N(BM120)-N(BM102))/BM55,""),"")</f>
        <v>0.120942944994875</v>
      </c>
      <c r="BN92" s="215">
        <f>IF(ISNUMBER(BN55),IFERROR((N(BN120)-N(BN102))/BN55,""),"")</f>
        <v>0.12374686716792</v>
      </c>
      <c r="BO92" s="215">
        <f>IF(ISNUMBER(BO55),IFERROR((N(BO120)-N(BO102))/BO55,""),"")</f>
        <v>0.128693255233009</v>
      </c>
      <c r="BP92" s="215">
        <f>IF(ISNUMBER(BP55),IFERROR((N(BP120)-N(BP102))/BP55,""),"")</f>
        <v>0.153239629756599</v>
      </c>
      <c r="BQ92" s="215">
        <f>IF(ISNUMBER(BQ55),IFERROR((N(BQ120)-N(BQ102))/BQ55,""),"")</f>
        <v>0.126017583848909</v>
      </c>
      <c r="BR92" s="215">
        <f>IF(ISNUMBER(BR55),IFERROR((N(BR120)-N(BR102))/BR55,""),"")</f>
        <v>0.140006047777442</v>
      </c>
      <c r="BS92" s="215">
        <f>IF(ISNUMBER(BS55),IFERROR((N(BS120)-N(BS102))/BS55,""),"")</f>
        <v>0.14732761008031</v>
      </c>
      <c r="BT92" s="215">
        <f>IF(ISNUMBER(BT55),IFERROR((N(BT120)-N(BT102))/BT55,""),"")</f>
        <v>0.14171703083837</v>
      </c>
      <c r="BU92" s="215">
        <f>IF(ISNUMBER(BU55),IFERROR((N(BU120)-N(BU102))/BU55,""),"")</f>
        <v>0.148333824830434</v>
      </c>
      <c r="BV92" s="215">
        <f>IF(ISNUMBER(BV55),IFERROR((N(BV120)-N(BV102))/BV55,""),"")</f>
        <v>0.115031953320367</v>
      </c>
      <c r="BW92" s="215">
        <f>IF(ISNUMBER(BW55),IFERROR((N(BW120)-N(BW102))/BW55,""),"")</f>
        <v>0.126095925734915</v>
      </c>
      <c r="BX92" s="256">
        <f>IFERROR((SUM(BU120:BW120)-SUM(BU102:BW102))/SUM(BU55:BW55),0)</f>
        <v>0.129370629370629</v>
      </c>
      <c r="BY92" s="256">
        <f>$BX$92</f>
        <v>0.129370629370629</v>
      </c>
      <c r="BZ92" s="256">
        <f>$BX$92</f>
        <v>0.129370629370629</v>
      </c>
      <c r="CA92" s="256">
        <f>$BX$92</f>
        <v>0.129370629370629</v>
      </c>
      <c r="CB92" s="256">
        <f>$BX$92</f>
        <v>0.129370629370629</v>
      </c>
      <c r="CC92" s="256">
        <f>$BX$92</f>
        <v>0.129370629370629</v>
      </c>
      <c r="CD92" s="256">
        <f>$BX$92</f>
        <v>0.129370629370629</v>
      </c>
      <c r="CE92" s="153" t="n"/>
    </row>
    <row r="93" ht="15" customHeight="1" s="251">
      <c r="B93" s="25" t="inlineStr">
        <is>
          <t xml:space="preserve">  Litigation provision (ex adjusting items) % of adjusted operating expenses</t>
        </is>
      </c>
      <c r="C93" s="215">
        <f>IF(ISNUMBER(C55),IFERROR((N(C121)-N(C99))/C55,""),"")</f>
        <v>0.00386215092097445</v>
      </c>
      <c r="D93" s="215">
        <f>IF(ISNUMBER(D55),IFERROR((N(D121)-N(D99))/D55,""),"")</f>
        <v>0.000617665225447807</v>
      </c>
      <c r="E93" s="215">
        <f>IF(ISNUMBER(E55),IFERROR((N(E121)-N(E99))/E55,""),"")</f>
        <v>-0.012945914844649</v>
      </c>
      <c r="F93" s="215">
        <f>IF(ISNUMBER(F55),IFERROR((N(F121)-N(F99))/F55,""),"")</f>
        <v>0.00187566988210075</v>
      </c>
      <c r="G93" s="215">
        <f>IF(ISNUMBER(G55),IFERROR((N(G121)-N(G99))/G55,""),"")</f>
        <v>0.000478011472275335</v>
      </c>
      <c r="H93" s="215">
        <f>IF(ISNUMBER(H55),IFERROR((N(H121)-N(H99))/H55,""),"")</f>
        <v>0.00286806883365201</v>
      </c>
      <c r="I93" s="215">
        <f>IF(ISNUMBER(I55),IFERROR((N(I121)-N(I99))/I55,""),"")</f>
        <v>0.000910746812386157</v>
      </c>
      <c r="J93" s="215">
        <f>IF(ISNUMBER(J55),IFERROR((N(J121)-N(J99))/J55,""),"")</f>
        <v>-0.000852514919011083</v>
      </c>
      <c r="K93" s="215">
        <f>IF(ISNUMBER(K55),IFERROR((N(K121)-N(K99))/K55,""),"")</f>
        <v>0</v>
      </c>
      <c r="L93" s="215">
        <f>IF(ISNUMBER(L55),IFERROR((N(L121)-N(L99))/L55,""),"")</f>
        <v>0.000660938532716457</v>
      </c>
      <c r="M93" s="215">
        <f>IF(ISNUMBER(M55),IFERROR((N(M121)-N(M99))/M55,""),"")</f>
        <v>0</v>
      </c>
      <c r="N93" s="215">
        <f>IF(ISNUMBER(N55),IFERROR((N(N121)-N(N99))/N55,""),"")</f>
        <v>0</v>
      </c>
      <c r="O93" s="215">
        <f>IF(ISNUMBER(O55),IFERROR((N(O121)-N(O99))/O55,""),"")</f>
        <v>0</v>
      </c>
      <c r="P93" s="215">
        <f>IF(ISNUMBER(P55),IFERROR((N(P121)-N(P99))/P55,""),"")</f>
        <v>0.00244498777506112</v>
      </c>
      <c r="Q93" s="215">
        <f>IF(ISNUMBER(Q55),IFERROR((N(Q121)-N(Q99))/Q55,""),"")</f>
        <v>0.000658616904500549</v>
      </c>
      <c r="R93" s="215">
        <f>IF(ISNUMBER(R55),IFERROR((N(R121)-N(R99))/R55,""),"")</f>
        <v>0</v>
      </c>
      <c r="S93" s="215">
        <f>IF(ISNUMBER(S55),IFERROR((N(S121)-N(S99))/S55,""),"")</f>
        <v>0.00265957446808511</v>
      </c>
      <c r="T93" s="215">
        <f>IF(ISNUMBER(T55),IFERROR((N(T121)-N(T99))/T55,""),"")</f>
        <v>0</v>
      </c>
      <c r="U93" s="215">
        <f>IF(ISNUMBER(U55),IFERROR((N(U121)-N(U99))/U55,""),"")</f>
        <v>0.00854037267080745</v>
      </c>
      <c r="V93" s="215">
        <f>IF(ISNUMBER(V55),IFERROR((N(V121)-N(V99))/V55,""),"")</f>
        <v>0.00290697674418605</v>
      </c>
      <c r="W93" s="215">
        <f>IF(ISNUMBER(W55),IFERROR((N(W121)-N(W99))/W55,""),"")</f>
        <v>0</v>
      </c>
      <c r="X93" s="215">
        <f>IF(ISNUMBER(X55),IFERROR((N(X121)-N(X99))/X55,""),"")</f>
        <v>0.000838926174496644</v>
      </c>
      <c r="Y93" s="215">
        <f>IF(ISNUMBER(Y55),IFERROR((N(Y121)-N(Y99))/Y55,""),"")</f>
        <v>0</v>
      </c>
      <c r="Z93" s="215">
        <f>IF(ISNUMBER(Z55),IFERROR((N(Z121)-N(Z99))/Z55,""),"")</f>
        <v>0.000655307994757536</v>
      </c>
      <c r="AA93" s="215">
        <f>IF(ISNUMBER(AA55),IFERROR((N(AA121)-N(AA99))/AA55,""),"")</f>
        <v>0.000395256916996047</v>
      </c>
      <c r="AB93" s="215">
        <f>IF(ISNUMBER(AB55),IFERROR((N(AB121)-N(AB99))/AB55,""),"")</f>
        <v>0.0110213078618663</v>
      </c>
      <c r="AC93" s="215">
        <f>IF(ISNUMBER(AC55),IFERROR((N(AC121)-N(AC99))/AC55,""),"")</f>
        <v>0.001354096140826</v>
      </c>
      <c r="AD93" s="215">
        <f>IF(ISNUMBER(AD55),IFERROR((N(AD121)-N(AD99))/AD55,""),"")</f>
        <v>0</v>
      </c>
      <c r="AE93" s="215">
        <f>IF(ISNUMBER(AE55),IFERROR((N(AE121)-N(AE99))/AE55,""),"")</f>
        <v>0.00121728545343883</v>
      </c>
      <c r="AF93" s="215">
        <f>IF(ISNUMBER(AF55),IFERROR((N(AF121)-N(AF99))/AF55,""),"")</f>
        <v>0.00315509797409499</v>
      </c>
      <c r="AG93" s="215">
        <f>IF(ISNUMBER(AG55),IFERROR((N(AG121)-N(AG99))/AG55,""),"")</f>
        <v>0</v>
      </c>
      <c r="AH93" s="215">
        <f>IF(ISNUMBER(AH55),IFERROR((N(AH121)-N(AH99))/AH55,""),"")</f>
        <v>0</v>
      </c>
      <c r="AI93" s="215">
        <f>IF(ISNUMBER(AI55),IFERROR((N(AI121)-N(AI99))/AI55,""),"")</f>
        <v>0</v>
      </c>
      <c r="AJ93" s="215">
        <f>IF(ISNUMBER(AJ55),IFERROR((N(AJ121)-N(AJ99))/AJ55,""),"")</f>
        <v>0.00381887615930169</v>
      </c>
      <c r="AK93" s="215">
        <f>IF(ISNUMBER(AK55),IFERROR((N(AK121)-N(AK99))/AK55,""),"")</f>
        <v>0.00102040816326531</v>
      </c>
      <c r="AL93" s="215">
        <f>IF(ISNUMBER(AL55),IFERROR((N(AL121)-N(AL99))/AL55,""),"")</f>
        <v>0.00391280044717719</v>
      </c>
      <c r="AM93" s="215">
        <f>IF(ISNUMBER(AM55),IFERROR((N(AM121)-N(AM99))/AM55,""),"")</f>
        <v>0.0118726389638424</v>
      </c>
      <c r="AN93" s="215">
        <f>IF(ISNUMBER(AN55),IFERROR((N(AN121)-N(AN99))/AN55,""),"")</f>
        <v>0.0005175983436853</v>
      </c>
      <c r="AO93" s="215">
        <f>IF(ISNUMBER(AO55),IFERROR((N(AO121)-N(AO99))/AO55,""),"")</f>
        <v>0</v>
      </c>
      <c r="AP93" s="215">
        <f>IF(ISNUMBER(AP55),IFERROR((N(AP121)-N(AP99))/AP55,""),"")</f>
        <v>0.00394425453589272</v>
      </c>
      <c r="AQ93" s="215">
        <f>IF(ISNUMBER(AQ55),IFERROR((N(AQ121)-N(AQ99))/AQ55,""),"")</f>
        <v>0</v>
      </c>
      <c r="AR93" s="215">
        <f>IF(ISNUMBER(AR55),IFERROR((N(AR121)-N(AR99))/AR55,""),"")</f>
        <v>0.00417972831765935</v>
      </c>
      <c r="AS93" s="215">
        <f>IF(ISNUMBER(AS55),IFERROR((N(AS121)-N(AS99))/AS55,""),"")</f>
        <v>0.000549148819330038</v>
      </c>
      <c r="AT93" s="215">
        <f>IF(ISNUMBER(AT55),IFERROR((N(AT121)-N(AT99))/AT55,""),"")</f>
        <v>0.00102986611740474</v>
      </c>
      <c r="AU93" s="215">
        <f>IF(ISNUMBER(AU55),IFERROR((N(AU121)-N(AU99))/AU55,""),"")</f>
        <v>0.00142820046741106</v>
      </c>
      <c r="AV93" s="215">
        <f>IF(ISNUMBER(AV55),IFERROR((N(AV121)-N(AV99))/AV55,""),"")</f>
        <v>0.000547045951859956</v>
      </c>
      <c r="AW93" s="215">
        <f>IF(ISNUMBER(AW55),IFERROR((N(AW121)-N(AW99))/AW55,""),"")</f>
        <v>0.00151668351870576</v>
      </c>
      <c r="AX93" s="215">
        <f>IF(ISNUMBER(AX55),IFERROR((N(AX121)-N(AX99))/AX55,""),"")</f>
        <v>-0.0009765625</v>
      </c>
      <c r="AY93" s="215">
        <f>IF(ISNUMBER(AY55),IFERROR((N(AY121)-N(AY99))/AY55,""),"")</f>
        <v>0.000449842555105713</v>
      </c>
      <c r="AZ93" s="215">
        <f>IF(ISNUMBER(AZ55),IFERROR((N(AZ121)-N(AZ99))/AZ55,""),"")</f>
        <v>0.000371425034047295</v>
      </c>
      <c r="BA93" s="215">
        <f>IF(ISNUMBER(BA55),IFERROR((N(BA121)-N(BA99))/BA55,""),"")</f>
        <v>0.00141843971631206</v>
      </c>
      <c r="BB93" s="215">
        <f>IF(ISNUMBER(BB55),IFERROR((N(BB121)-N(BB99))/BB55,""),"")</f>
        <v>0</v>
      </c>
      <c r="BC93" s="215">
        <f>IF(ISNUMBER(BC55),IFERROR((N(BC121)-N(BC99))/BC55,""),"")</f>
        <v>0.000424989375265618</v>
      </c>
      <c r="BD93" s="215">
        <f>IF(ISNUMBER(BD55),IFERROR((N(BD121)-N(BD99))/BD55,""),"")</f>
        <v>0.00113981762917933</v>
      </c>
      <c r="BE93" s="215">
        <f>IF(ISNUMBER(BE55),IFERROR((N(BE121)-N(BE99))/BE55,""),"")</f>
        <v>0.000745712155108128</v>
      </c>
      <c r="BF93" s="215">
        <f>IF(ISNUMBER(BF55),IFERROR((N(BF121)-N(BF99))/BF55,""),"")</f>
        <v>0</v>
      </c>
      <c r="BG93" s="215">
        <f>IF(ISNUMBER(BG55),IFERROR((N(BG121)-N(BG99))/BG55,""),"")</f>
        <v>0</v>
      </c>
      <c r="BH93" s="215">
        <f>IF(ISNUMBER(BH55),IFERROR((N(BH121)-N(BH99))/BH55,""),"")</f>
        <v>0.000387897595034911</v>
      </c>
      <c r="BI93" s="215">
        <f>IF(ISNUMBER(BI55),IFERROR((N(BI121)-N(BI99))/BI55,""),"")</f>
        <v>0.00693721817551162</v>
      </c>
      <c r="BJ93" s="215">
        <f>IF(ISNUMBER(BJ55),IFERROR((N(BJ121)-N(BJ99))/BJ55,""),"")</f>
        <v>0.00200362560824349</v>
      </c>
      <c r="BK93" s="215">
        <f>IF(ISNUMBER(BK55),IFERROR((N(BK121)-N(BK99))/BK55,""),"")</f>
        <v>0.00343642611683849</v>
      </c>
      <c r="BL93" s="215">
        <f>IF(ISNUMBER(BL55),IFERROR((N(BL121)-N(BL99))/BL55,""),"")</f>
        <v>0.00208986415882968</v>
      </c>
      <c r="BM93" s="215">
        <f>IF(ISNUMBER(BM55),IFERROR((N(BM121)-N(BM99))/BM55,""),"")</f>
        <v>0.00102494021182098</v>
      </c>
      <c r="BN93" s="215">
        <f>IF(ISNUMBER(BN55),IFERROR((N(BN121)-N(BN99))/BN55,""),"")</f>
        <v>0.0031328320802005</v>
      </c>
      <c r="BO93" s="215">
        <f>IF(ISNUMBER(BO55),IFERROR((N(BO121)-N(BO99))/BO55,""),"")</f>
        <v>0.00241192178482212</v>
      </c>
      <c r="BP93" s="215">
        <f>IF(ISNUMBER(BP55),IFERROR((N(BP121)-N(BP99))/BP55,""),"")</f>
        <v>0.00582790538224203</v>
      </c>
      <c r="BQ93" s="215">
        <f>IF(ISNUMBER(BQ55),IFERROR((N(BQ121)-N(BQ99))/BQ55,""),"")</f>
        <v>0.00260501465320742</v>
      </c>
      <c r="BR93" s="215">
        <f>IF(ISNUMBER(BR55),IFERROR((N(BR121)-N(BR99))/BR55,""),"")</f>
        <v>0</v>
      </c>
      <c r="BS93" s="215">
        <f>IF(ISNUMBER(BS55),IFERROR((N(BS121)-N(BS99))/BS55,""),"")</f>
        <v>0.00110772639158128</v>
      </c>
      <c r="BT93" s="215">
        <f>IF(ISNUMBER(BT55),IFERROR((N(BT121)-N(BT99))/BT55,""),"")</f>
        <v>0.00224701689136836</v>
      </c>
      <c r="BU93" s="215">
        <f>IF(ISNUMBER(BU55),IFERROR((N(BU121)-N(BU99))/BU55,""),"")</f>
        <v>0.000294898260100265</v>
      </c>
      <c r="BV93" s="215">
        <f>IF(ISNUMBER(BV55),IFERROR((N(BV121)-N(BV99))/BV55,""),"")</f>
        <v>0.00500138927479856</v>
      </c>
      <c r="BW93" s="215">
        <f>IF(ISNUMBER(BW55),IFERROR((N(BW121)-N(BW99))/BW55,""),"")</f>
        <v>0.00412583806085611</v>
      </c>
      <c r="BX93" s="256">
        <f>IFERROR((SUM(BU121:BW121)-SUM(BU99:BW99))/SUM(BU55:BW55),0)</f>
        <v>0.00322046374677954</v>
      </c>
      <c r="BY93" s="256">
        <f>$BX$93</f>
        <v>0.00322046374677954</v>
      </c>
      <c r="BZ93" s="256">
        <f>$BX$93</f>
        <v>0.00322046374677954</v>
      </c>
      <c r="CA93" s="256">
        <f>$BX$93</f>
        <v>0.00322046374677954</v>
      </c>
      <c r="CB93" s="256">
        <f>$BX$93</f>
        <v>0.00322046374677954</v>
      </c>
      <c r="CC93" s="256">
        <f>$BX$93</f>
        <v>0.00322046374677954</v>
      </c>
      <c r="CD93" s="256">
        <f>$BX$93</f>
        <v>0.00322046374677954</v>
      </c>
      <c r="CE93" s="153" t="n"/>
    </row>
    <row r="94" ht="15" customHeight="1" s="251">
      <c r="B94" s="57" t="inlineStr">
        <is>
          <t xml:space="preserve">  Check: expense-line mix sums to 100% (should be 0)</t>
        </is>
      </c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4" t="n"/>
      <c r="AZ94" s="44" t="n"/>
      <c r="BA94" s="44" t="n"/>
      <c r="BB94" s="44" t="n"/>
      <c r="BC94" s="44" t="n"/>
      <c r="BD94" s="44" t="n"/>
      <c r="BE94" s="44" t="n"/>
      <c r="BF94" s="44" t="n"/>
      <c r="BG94" s="44" t="n"/>
      <c r="BH94" s="44" t="n"/>
      <c r="BI94" s="44" t="n"/>
      <c r="BJ94" s="44" t="n"/>
      <c r="BK94" s="44" t="n"/>
      <c r="BL94" s="44" t="n"/>
      <c r="BM94" s="44" t="n"/>
      <c r="BN94" s="44" t="n"/>
      <c r="BO94" s="44" t="n"/>
      <c r="BP94" s="44" t="n"/>
      <c r="BQ94" s="44" t="n"/>
      <c r="BR94" s="44" t="n"/>
      <c r="BS94" s="44" t="n"/>
      <c r="BT94" s="44" t="n"/>
      <c r="BU94" s="44" t="n"/>
      <c r="BV94" s="44" t="n"/>
      <c r="BW94" s="44" t="n"/>
      <c r="BX94" s="274">
        <f>ROUND(BX87+BX88+BX89+BX90+BX91+BX92+BX93-1,4)</f>
        <v>0</v>
      </c>
      <c r="BY94" s="274">
        <f>ROUND(BY87+BY88+BY89+BY90+BY91+BY92+BY93-1,4)</f>
        <v>0</v>
      </c>
      <c r="BZ94" s="274">
        <f>ROUND(BZ87+BZ88+BZ89+BZ90+BZ91+BZ92+BZ93-1,4)</f>
        <v>0</v>
      </c>
      <c r="CA94" s="274">
        <f>ROUND(CA87+CA88+CA89+CA90+CA91+CA92+CA93-1,4)</f>
        <v>0</v>
      </c>
      <c r="CB94" s="274">
        <f>ROUND(CB87+CB88+CB89+CB90+CB91+CB92+CB93-1,4)</f>
        <v>0</v>
      </c>
      <c r="CC94" s="274">
        <f>ROUND(CC87+CC88+CC89+CC90+CC91+CC92+CC93-1,4)</f>
        <v>0</v>
      </c>
      <c r="CD94" s="274">
        <f>ROUND(CD87+CD88+CD89+CD90+CD91+CD92+CD93-1,4)</f>
        <v>0</v>
      </c>
      <c r="CE94" s="153" t="n"/>
    </row>
    <row r="95" ht="15" customHeight="1" s="251">
      <c r="B95" s="25" t="inlineStr">
        <is>
          <t xml:space="preserve">  Depreciation &amp; amortization (GAAP) % of net revenue</t>
        </is>
      </c>
      <c r="C95" s="215">
        <f>IF(AND(ISNUMBER(C119),ISNUMBER(C113)),IFERROR(C119/C113,""),"")</f>
        <v>0.0378412901165576</v>
      </c>
      <c r="D95" s="215">
        <f>IF(AND(ISNUMBER(D119),ISNUMBER(D113)),IFERROR(D119/D113,""),"")</f>
        <v>0.0327014903776588</v>
      </c>
      <c r="E95" s="215">
        <f>IF(AND(ISNUMBER(E119),ISNUMBER(E113)),IFERROR(E119/E113,""),"")</f>
        <v>0.0328580285182889</v>
      </c>
      <c r="F95" s="215">
        <f>IF(AND(ISNUMBER(F119),ISNUMBER(F113)),IFERROR(F119/F113,""),"")</f>
        <v>0.0313452329124946</v>
      </c>
      <c r="G95" s="215">
        <f>IF(AND(ISNUMBER(G119),ISNUMBER(G113)),IFERROR(G119/G113,""),"")</f>
        <v>0.0319547068419538</v>
      </c>
      <c r="H95" s="215">
        <f>IF(AND(ISNUMBER(H119),ISNUMBER(H113)),IFERROR(H119/H113,""),"")</f>
        <v>0.0323260716795503</v>
      </c>
      <c r="I95" s="215">
        <f>IF(AND(ISNUMBER(I119),ISNUMBER(I113)),IFERROR(I119/I113,""),"")</f>
        <v>0.033130493576741</v>
      </c>
      <c r="J95" s="215">
        <f>IF(AND(ISNUMBER(J119),ISNUMBER(J113)),IFERROR(J119/J113,""),"")</f>
        <v>0.0336554481839387</v>
      </c>
      <c r="K95" s="215">
        <f>IF(AND(ISNUMBER(K119),ISNUMBER(K113)),IFERROR(K119/K113,""),"")</f>
        <v>0.0356542213252607</v>
      </c>
      <c r="L95" s="215">
        <f>IF(AND(ISNUMBER(L119),ISNUMBER(L113)),IFERROR(L119/L113,""),"")</f>
        <v>0.0337069111903549</v>
      </c>
      <c r="M95" s="215">
        <f>IF(AND(ISNUMBER(M119),ISNUMBER(M113)),IFERROR(M119/M113,""),"")</f>
        <v>0.0339144215530903</v>
      </c>
      <c r="N95" s="215">
        <f>IF(AND(ISNUMBER(N119),ISNUMBER(N113)),IFERROR(N119/N113,""),"")</f>
        <v>0.0338286436926968</v>
      </c>
      <c r="O95" s="215">
        <f>IF(AND(ISNUMBER(O119),ISNUMBER(O113)),IFERROR(O119/O113,""),"")</f>
        <v>0.0345483359746434</v>
      </c>
      <c r="P95" s="215">
        <f>IF(AND(ISNUMBER(P119),ISNUMBER(P113)),IFERROR(P119/P113,""),"")</f>
        <v>0.0346856611954165</v>
      </c>
      <c r="Q95" s="215">
        <f>IF(AND(ISNUMBER(Q119),ISNUMBER(Q113)),IFERROR(Q119/Q113,""),"")</f>
        <v>0.0342465753424658</v>
      </c>
      <c r="R95" s="215">
        <f>IF(AND(ISNUMBER(R119),ISNUMBER(R113)),IFERROR(R119/R113,""),"")</f>
        <v>0.0354819633353046</v>
      </c>
      <c r="S95" s="215">
        <f>IF(AND(ISNUMBER(S119),ISNUMBER(S113)),IFERROR(S119/S113,""),"")</f>
        <v>0.0366676444705192</v>
      </c>
      <c r="T95" s="215">
        <f>IF(AND(ISNUMBER(T119),ISNUMBER(T113)),IFERROR(T119/T113,""),"")</f>
        <v>0.0369528140989198</v>
      </c>
      <c r="U95" s="215">
        <f>IF(AND(ISNUMBER(U119),ISNUMBER(U113)),IFERROR(U119/U113,""),"")</f>
        <v>0.0333239988798656</v>
      </c>
      <c r="V95" s="215">
        <f>IF(AND(ISNUMBER(V119),ISNUMBER(V113)),IFERROR(V119/V113,""),"")</f>
        <v>0.0355907780979827</v>
      </c>
      <c r="W95" s="215">
        <f>IF(AND(ISNUMBER(W119),ISNUMBER(W113)),IFERROR(W119/W113,""),"")</f>
        <v>0.0336605890603086</v>
      </c>
      <c r="X95" s="215">
        <f>IF(AND(ISNUMBER(X119),ISNUMBER(X113)),IFERROR(X119/X113,""),"")</f>
        <v>0.0333701047986762</v>
      </c>
      <c r="Y95" s="215">
        <f>IF(AND(ISNUMBER(Y119),ISNUMBER(Y113)),IFERROR(Y119/Y113,""),"")</f>
        <v>0.0330578512396694</v>
      </c>
      <c r="Z95" s="215">
        <f>IF(AND(ISNUMBER(Z119),ISNUMBER(Z113)),IFERROR(Z119/Z113,""),"")</f>
        <v>0.0330908237502934</v>
      </c>
      <c r="AA95" s="215">
        <f>IF(AND(ISNUMBER(AA119),ISNUMBER(AA113)),IFERROR(AA119/AA113,""),"")</f>
        <v>0.0332847102506299</v>
      </c>
      <c r="AB95" s="215">
        <f>IF(AND(ISNUMBER(AB119),ISNUMBER(AB113)),IFERROR(AB119/AB113,""),"")</f>
        <v>0.0327280878726743</v>
      </c>
      <c r="AC95" s="215">
        <f>IF(AND(ISNUMBER(AC119),ISNUMBER(AC113)),IFERROR(AC119/AC113,""),"")</f>
        <v>0.029260665624302</v>
      </c>
      <c r="AD95" s="215">
        <f>IF(AND(ISNUMBER(AD119),ISNUMBER(AD113)),IFERROR(AD119/AD113,""),"")</f>
        <v>0.0289156626506024</v>
      </c>
      <c r="AE95" s="215">
        <f>IF(AND(ISNUMBER(AE119),ISNUMBER(AE113)),IFERROR(AE119/AE113,""),"")</f>
        <v>0.0302780638516993</v>
      </c>
      <c r="AF95" s="215">
        <f>IF(AND(ISNUMBER(AF119),ISNUMBER(AF113)),IFERROR(AF119/AF113,""),"")</f>
        <v>0.0302865235864473</v>
      </c>
      <c r="AG95" s="215">
        <f>IF(AND(ISNUMBER(AG119),ISNUMBER(AG113)),IFERROR(AG119/AG113,""),"")</f>
        <v>0.0298231180584122</v>
      </c>
      <c r="AH95" s="215">
        <f>IF(AND(ISNUMBER(AH119),ISNUMBER(AH113)),IFERROR(AH119/AH113,""),"")</f>
        <v>0.0301596688350089</v>
      </c>
      <c r="AI95" s="215">
        <f>IF(AND(ISNUMBER(AI119),ISNUMBER(AI113)),IFERROR(AI119/AI113,""),"")</f>
        <v>0.0290076335877863</v>
      </c>
      <c r="AJ95" s="215">
        <f>IF(AND(ISNUMBER(AJ119),ISNUMBER(AJ113)),IFERROR(AJ119/AJ113,""),"")</f>
        <v>0.0299963194700037</v>
      </c>
      <c r="AK95" s="215">
        <f>IF(AND(ISNUMBER(AK119),ISNUMBER(AK113)),IFERROR(AK119/AK113,""),"")</f>
        <v>0.029744286476782</v>
      </c>
      <c r="AL95" s="215">
        <f>IF(AND(ISNUMBER(AL119),ISNUMBER(AL113)),IFERROR(AL119/AL113,""),"")</f>
        <v>0.0288775880857247</v>
      </c>
      <c r="AM95" s="215">
        <f>IF(AND(ISNUMBER(AM119),ISNUMBER(AM113)),IFERROR(AM119/AM113,""),"")</f>
        <v>0.0291226792864944</v>
      </c>
      <c r="AN95" s="215">
        <f>IF(AND(ISNUMBER(AN119),ISNUMBER(AN113)),IFERROR(AN119/AN113,""),"")</f>
        <v>0.0282534246575342</v>
      </c>
      <c r="AO95" s="215">
        <f>IF(AND(ISNUMBER(AO119),ISNUMBER(AO113)),IFERROR(AO119/AO113,""),"")</f>
        <v>0.0280267231546358</v>
      </c>
      <c r="AP95" s="215">
        <f>IF(AND(ISNUMBER(AP119),ISNUMBER(AP113)),IFERROR(AP119/AP113,""),"")</f>
        <v>0.0285502894198546</v>
      </c>
      <c r="AQ95" s="215">
        <f>IF(AND(ISNUMBER(AQ119),ISNUMBER(AQ113)),IFERROR(AQ119/AQ113,""),"")</f>
        <v>0.0300627684175752</v>
      </c>
      <c r="AR95" s="215">
        <f>IF(AND(ISNUMBER(AR119),ISNUMBER(AR113)),IFERROR(AR119/AR113,""),"")</f>
        <v>0.0327980867782713</v>
      </c>
      <c r="AS95" s="215">
        <f>IF(AND(ISNUMBER(AS119),ISNUMBER(AS113)),IFERROR(AS119/AS113,""),"")</f>
        <v>0.0407277237957412</v>
      </c>
      <c r="AT95" s="215">
        <f>IF(AND(ISNUMBER(AT119),ISNUMBER(AT113)),IFERROR(AT119/AT113,""),"")</f>
        <v>0.0384238384630465</v>
      </c>
      <c r="AU95" s="215">
        <f>IF(AND(ISNUMBER(AU119),ISNUMBER(AU113)),IFERROR(AU119/AU113,""),"")</f>
        <v>0.0351094021788886</v>
      </c>
      <c r="AV95" s="215">
        <f>IF(AND(ISNUMBER(AV119),ISNUMBER(AV113)),IFERROR(AV119/AV113,""),"")</f>
        <v>0.0346404079479515</v>
      </c>
      <c r="AW95" s="215">
        <f>IF(AND(ISNUMBER(AW119),ISNUMBER(AW113)),IFERROR(AW119/AW113,""),"")</f>
        <v>0.0350846570082039</v>
      </c>
      <c r="AX95" s="215">
        <f>IF(AND(ISNUMBER(AX119),ISNUMBER(AX113)),IFERROR(AX119/AX113,""),"")</f>
        <v>0.033278955954323</v>
      </c>
      <c r="AY95" s="215">
        <f>IF(AND(ISNUMBER(AY119),ISNUMBER(AY113)),IFERROR(AY119/AY113,""),"")</f>
        <v>0.0307973776490319</v>
      </c>
      <c r="AZ95" s="215">
        <f>IF(AND(ISNUMBER(AZ119),ISNUMBER(AZ113)),IFERROR(AZ119/AZ113,""),"")</f>
        <v>0.0333540759178594</v>
      </c>
      <c r="BA95" s="215">
        <f>IF(AND(ISNUMBER(BA119),ISNUMBER(BA113)),IFERROR(BA119/BA113,""),"")</f>
        <v>0.0280492987675308</v>
      </c>
      <c r="BB95" s="215">
        <f>IF(AND(ISNUMBER(BB119),ISNUMBER(BB113)),IFERROR(BB119/BB113,""),"")</f>
        <v>0.0287939908193073</v>
      </c>
      <c r="BC95" s="215">
        <f>IF(AND(ISNUMBER(BC119),ISNUMBER(BC113)),IFERROR(BC119/BC113,""),"")</f>
        <v>0.0316151202749141</v>
      </c>
      <c r="BD95" s="215">
        <f>IF(AND(ISNUMBER(BD119),ISNUMBER(BD113)),IFERROR(BD119/BD113,""),"")</f>
        <v>0.0290227301913445</v>
      </c>
      <c r="BE95" s="215">
        <f>IF(AND(ISNUMBER(BE119),ISNUMBER(BE113)),IFERROR(BE119/BE113,""),"")</f>
        <v>0.0293756397134084</v>
      </c>
      <c r="BF95" s="215">
        <f>IF(AND(ISNUMBER(BF119),ISNUMBER(BF113)),IFERROR(BF119/BF113,""),"")</f>
        <v>0.0286038306451613</v>
      </c>
      <c r="BG95" s="215">
        <f>IF(AND(ISNUMBER(BG119),ISNUMBER(BG113)),IFERROR(BG119/BG113,""),"")</f>
        <v>0.0293049467752035</v>
      </c>
      <c r="BH95" s="215">
        <f>IF(AND(ISNUMBER(BH119),ISNUMBER(BH113)),IFERROR(BH119/BH113,""),"")</f>
        <v>0.0289301982026345</v>
      </c>
      <c r="BI95" s="215">
        <f>IF(AND(ISNUMBER(BI119),ISNUMBER(BI113)),IFERROR(BI119/BI113,""),"")</f>
        <v>0.0286909048669997</v>
      </c>
      <c r="BJ95" s="215">
        <f>IF(AND(ISNUMBER(BJ119),ISNUMBER(BJ113)),IFERROR(BJ119/BJ113,""),"")</f>
        <v>0.0288794291489297</v>
      </c>
      <c r="BK95" s="215">
        <f>IF(AND(ISNUMBER(BK119),ISNUMBER(BK113)),IFERROR(BK119/BK113,""),"")</f>
        <v>0.0286078295112347</v>
      </c>
      <c r="BL95" s="215">
        <f>IF(AND(ISNUMBER(BL119),ISNUMBER(BL113)),IFERROR(BL119/BL113,""),"")</f>
        <v>0.0283760683760684</v>
      </c>
      <c r="BM95" s="215">
        <f>IF(AND(ISNUMBER(BM119),ISNUMBER(BM113)),IFERROR(BM119/BM113,""),"")</f>
        <v>0.0296629213483146</v>
      </c>
      <c r="BN95" s="215">
        <f>IF(AND(ISNUMBER(BN119),ISNUMBER(BN113)),IFERROR(BN119/BN113,""),"")</f>
        <v>0.028491213476136</v>
      </c>
      <c r="BO95" s="215">
        <f>IF(AND(ISNUMBER(BO119),ISNUMBER(BO113)),IFERROR(BO119/BO113,""),"")</f>
        <v>0.0287813839559094</v>
      </c>
      <c r="BP95" s="215">
        <f>IF(AND(ISNUMBER(BP119),ISNUMBER(BP113)),IFERROR(BP119/BP113,""),"")</f>
        <v>0.0296529968454259</v>
      </c>
      <c r="BQ95" s="215">
        <f>IF(AND(ISNUMBER(BQ119),ISNUMBER(BQ113)),IFERROR(BQ119/BQ113,""),"")</f>
        <v>0.0317907025224098</v>
      </c>
      <c r="BR95" s="215">
        <f>IF(AND(ISNUMBER(BR119),ISNUMBER(BR113)),IFERROR(BR119/BR113,""),"")</f>
        <v>0.0311639795517106</v>
      </c>
      <c r="BS95" s="215">
        <f>IF(AND(ISNUMBER(BS119),ISNUMBER(BS113)),IFERROR(BS119/BS113,""),"")</f>
        <v>0.0294666169339799</v>
      </c>
      <c r="BT95" s="215">
        <f>IF(AND(ISNUMBER(BT119),ISNUMBER(BT113)),IFERROR(BT119/BT113,""),"")</f>
        <v>0.0305</v>
      </c>
      <c r="BU95" s="215">
        <f>IF(AND(ISNUMBER(BU119),ISNUMBER(BU113)),IFERROR(BU119/BU113,""),"")</f>
        <v>0.0299055132556646</v>
      </c>
      <c r="BV95" s="215">
        <f>IF(AND(ISNUMBER(BV119),ISNUMBER(BV113)),IFERROR(BV119/BV113,""),"")</f>
        <v>0.0296527159394479</v>
      </c>
      <c r="BW95" s="215">
        <f>IF(AND(ISNUMBER(BW119),ISNUMBER(BW113)),IFERROR(BW119/BW113,""),"")</f>
        <v>0.0315481818963294</v>
      </c>
      <c r="BX95" s="256">
        <f>IF(AND(ISNUMBER(BX119),ISNUMBER(BX113)),IFERROR(BX119/BX113,""),"")</f>
        <v>0.0322007887294852</v>
      </c>
      <c r="BY95" s="256">
        <f>IF(AND(ISNUMBER(BY119),ISNUMBER(BY113)),IFERROR(BY119/BY113,""),"")</f>
        <v>0.0308663379529662</v>
      </c>
      <c r="BZ95" s="256">
        <f>IF(AND(ISNUMBER(BZ119),ISNUMBER(BZ113)),IFERROR(BZ119/BZ113,""),"")</f>
        <v>0.0305457304110348</v>
      </c>
      <c r="CA95" s="256">
        <f>IF(AND(ISNUMBER(CA119),ISNUMBER(CA113)),IFERROR(CA119/CA113,""),"")</f>
        <v>0.0298318681385505</v>
      </c>
      <c r="CB95" s="256">
        <f>IF(AND(ISNUMBER(CB119),ISNUMBER(CB113)),IFERROR(CB119/CB113,""),"")</f>
        <v>0.029126970282502</v>
      </c>
      <c r="CC95" s="256">
        <f>IF(AND(ISNUMBER(CC119),ISNUMBER(CC113)),IFERROR(CC119/CC113,""),"")</f>
        <v>0.0287308329880058</v>
      </c>
      <c r="CD95" s="256">
        <f>IF(AND(ISNUMBER(CD119),ISNUMBER(CD113)),IFERROR(CD119/CD113,""),"")</f>
        <v>0.0283606617757201</v>
      </c>
      <c r="CE95" s="153" t="n"/>
      <c r="CG95" s="37">
        <f>IFERROR(AVERAGE(BZ95,CA95,CB95,CC95,CD95),"n/m")</f>
        <v>0.0293192127191627</v>
      </c>
      <c r="CH95" s="37">
        <f>IFERROR(AVERAGE(AZ95,BE95,BJ95,BO95,BT95),"n/m")</f>
        <v>0.0301781057472214</v>
      </c>
      <c r="CI95" s="37">
        <f>IFERROR(AVERAGE(AA95,AF95,AK95,AP95,AU95,AZ95,BE95,BJ95,BO95,BT95),"n/m")</f>
        <v>0.0307865740648709</v>
      </c>
      <c r="CJ95" s="37">
        <f>IFERROR(AVERAGE(C95,D95,E95,F95,G95,L95,Q95,V95,AA95,AF95,AK95,AP95,AU95,AZ95,BE95,BJ95,BO95,BT95),"n/m")</f>
        <v>0.0321172641136926</v>
      </c>
    </row>
    <row r="96" ht="15" customHeight="1" s="251">
      <c r="B96" s="25" t="inlineStr">
        <is>
          <t xml:space="preserve">  Share-based compensation (cash-flow statement)</t>
        </is>
      </c>
      <c r="C96" s="253" t="n">
        <v>74</v>
      </c>
      <c r="D96" s="253" t="n">
        <v>115</v>
      </c>
      <c r="E96" s="253" t="n">
        <v>131</v>
      </c>
      <c r="F96" s="253" t="n">
        <v>154</v>
      </c>
      <c r="G96" s="253" t="n">
        <v>147</v>
      </c>
      <c r="H96" s="253" t="n">
        <v>48</v>
      </c>
      <c r="I96" s="253" t="n">
        <v>50</v>
      </c>
      <c r="J96" s="253" t="n">
        <v>41</v>
      </c>
      <c r="K96" s="253" t="n">
        <v>40</v>
      </c>
      <c r="L96" s="253" t="n">
        <v>179</v>
      </c>
      <c r="M96" s="253" t="n">
        <v>45</v>
      </c>
      <c r="N96" s="253" t="n">
        <v>44</v>
      </c>
      <c r="O96" s="253" t="n">
        <v>41</v>
      </c>
      <c r="P96" s="253" t="n">
        <v>42</v>
      </c>
      <c r="Q96" s="253" t="n">
        <v>172</v>
      </c>
      <c r="R96" s="253" t="n">
        <v>45</v>
      </c>
      <c r="S96" s="253" t="n">
        <v>48</v>
      </c>
      <c r="T96" s="253" t="n">
        <v>46</v>
      </c>
      <c r="U96" s="253" t="n">
        <v>48</v>
      </c>
      <c r="V96" s="253" t="n">
        <v>187</v>
      </c>
      <c r="W96" s="253" t="n">
        <v>39</v>
      </c>
      <c r="X96" s="253" t="n">
        <v>58</v>
      </c>
      <c r="Y96" s="253" t="n">
        <v>55</v>
      </c>
      <c r="Z96" s="253" t="n">
        <v>69</v>
      </c>
      <c r="AA96" s="253" t="n">
        <v>221</v>
      </c>
      <c r="AB96" s="253" t="n">
        <v>45</v>
      </c>
      <c r="AC96" s="253" t="n">
        <v>71</v>
      </c>
      <c r="AD96" s="253" t="n">
        <v>67</v>
      </c>
      <c r="AE96" s="253" t="n">
        <v>52</v>
      </c>
      <c r="AF96" s="253" t="n">
        <v>235</v>
      </c>
      <c r="AG96" s="253" t="n">
        <v>68</v>
      </c>
      <c r="AH96" s="253" t="n">
        <v>85</v>
      </c>
      <c r="AI96" s="253" t="n">
        <v>89</v>
      </c>
      <c r="AJ96" s="253" t="n">
        <v>85</v>
      </c>
      <c r="AK96" s="253" t="n">
        <v>327</v>
      </c>
      <c r="AL96" s="253" t="n">
        <v>100</v>
      </c>
      <c r="AM96" s="253" t="n">
        <v>111</v>
      </c>
      <c r="AN96" s="253" t="n">
        <v>110</v>
      </c>
      <c r="AO96" s="253" t="n">
        <v>86</v>
      </c>
      <c r="AP96" s="253" t="n">
        <v>407</v>
      </c>
      <c r="AQ96" s="253" t="n">
        <v>116</v>
      </c>
      <c r="AR96" s="253" t="n">
        <v>99</v>
      </c>
      <c r="AS96" s="253" t="n">
        <v>107</v>
      </c>
      <c r="AT96" s="253" t="n">
        <v>94</v>
      </c>
      <c r="AU96" s="253" t="n">
        <v>416</v>
      </c>
      <c r="AV96" s="253" t="n">
        <v>122</v>
      </c>
      <c r="AW96" s="253" t="n">
        <v>153</v>
      </c>
      <c r="AX96" s="253" t="n">
        <v>159</v>
      </c>
      <c r="AY96" s="253" t="n">
        <v>108</v>
      </c>
      <c r="AZ96" s="253" t="n">
        <v>542</v>
      </c>
      <c r="BA96" s="253" t="n">
        <v>128</v>
      </c>
      <c r="BB96" s="253" t="n">
        <v>190</v>
      </c>
      <c r="BC96" s="253" t="n">
        <v>152</v>
      </c>
      <c r="BD96" s="253" t="n">
        <v>132</v>
      </c>
      <c r="BE96" s="253" t="n">
        <v>602</v>
      </c>
      <c r="BF96" s="253" t="n">
        <v>177</v>
      </c>
      <c r="BG96" s="253" t="n">
        <v>223</v>
      </c>
      <c r="BH96" s="253" t="n">
        <v>191</v>
      </c>
      <c r="BI96" s="253" t="n">
        <v>174</v>
      </c>
      <c r="BJ96" s="253" t="n">
        <v>765</v>
      </c>
      <c r="BK96" s="253" t="n">
        <v>209</v>
      </c>
      <c r="BL96" s="253" t="n">
        <v>242</v>
      </c>
      <c r="BM96" s="253" t="n">
        <v>211</v>
      </c>
      <c r="BN96" s="253" t="n">
        <v>188</v>
      </c>
      <c r="BO96" s="253" t="n">
        <v>850</v>
      </c>
      <c r="BP96" s="253" t="n">
        <v>224</v>
      </c>
      <c r="BQ96" s="253" t="n">
        <v>259</v>
      </c>
      <c r="BR96" s="253" t="n">
        <v>223</v>
      </c>
      <c r="BS96" s="253" t="n">
        <v>191</v>
      </c>
      <c r="BT96" s="253" t="n">
        <v>897</v>
      </c>
      <c r="BU96" s="253" t="n">
        <v>231</v>
      </c>
      <c r="BV96" s="253" t="n">
        <v>275</v>
      </c>
      <c r="BW96" s="253" t="n">
        <v>222</v>
      </c>
      <c r="BX96" s="254">
        <f>BS96*(1+IFERROR(SUM(BU96:BW96)/SUM(BP96:BR96)-1,0))</f>
        <v>196.951841359773</v>
      </c>
      <c r="BY96" s="254">
        <f>SUM(BU96:BX96)</f>
        <v>924.951841359773</v>
      </c>
      <c r="BZ96" s="254">
        <f>BZ113*BZ97</f>
        <v>1166.30645252938</v>
      </c>
      <c r="CA96" s="254">
        <f>CA113*CA97</f>
        <v>1293.23947035409</v>
      </c>
      <c r="CB96" s="254">
        <f>CB113*CB97</f>
        <v>1424.38888751393</v>
      </c>
      <c r="CC96" s="254">
        <f>CC113*CC97</f>
        <v>1558.68120704028</v>
      </c>
      <c r="CD96" s="254">
        <f>CD113*CD97</f>
        <v>1700.69144255119</v>
      </c>
      <c r="CE96" s="19" t="inlineStr">
        <is>
          <t>Q4/26E: prior-year quarter × 9M FY26 y/y; 2027E+: % of net revenue. Visa does not adjust out share-based compensation.</t>
        </is>
      </c>
      <c r="CG96" s="20">
        <f>IFERROR((CD96/BY96)^(1/5)-1,"n/m")</f>
        <v>0.129539131272892</v>
      </c>
      <c r="CH96" s="20">
        <f>IFERROR((BT96/AU96)^(1/5)-1,"n/m")</f>
        <v>0.166110813080121</v>
      </c>
      <c r="CI96" s="20">
        <f>IFERROR((BT96/V96)^(1/10)-1,"n/m")</f>
        <v>0.169755467139129</v>
      </c>
      <c r="CJ96" s="20">
        <f>IFERROR((BT96/C96)^(1/17)-1,"n/m")</f>
        <v>0.158080812370893</v>
      </c>
    </row>
    <row r="97" ht="15" customHeight="1" s="251">
      <c r="B97" s="25" t="inlineStr">
        <is>
          <t xml:space="preserve">  Share-based compensation % of net revenue</t>
        </is>
      </c>
      <c r="C97" s="215">
        <f>IF(AND(ISNUMBER(C96),ISNUMBER(C113)),IFERROR(C96/C113,""),"")</f>
        <v>0.01181542391825</v>
      </c>
      <c r="D97" s="215">
        <f>IF(AND(ISNUMBER(D96),ISNUMBER(D113)),IFERROR(D96/D113,""),"")</f>
        <v>0.0166401389089857</v>
      </c>
      <c r="E97" s="215">
        <f>IF(AND(ISNUMBER(E96),ISNUMBER(E113)),IFERROR(E96/E113,""),"")</f>
        <v>0.0162430254184749</v>
      </c>
      <c r="F97" s="215">
        <f>IF(AND(ISNUMBER(F96),ISNUMBER(F113)),IFERROR(F96/F113,""),"")</f>
        <v>0.0167609925990422</v>
      </c>
      <c r="G97" s="215">
        <f>IF(AND(ISNUMBER(G96),ISNUMBER(G113)),IFERROR(G96/G113,""),"")</f>
        <v>0.0141061318491508</v>
      </c>
      <c r="H97" s="215">
        <f>IF(AND(ISNUMBER(H96),ISNUMBER(H113)),IFERROR(H96/H113,""),"")</f>
        <v>0.016865776528461</v>
      </c>
      <c r="I97" s="215">
        <f>IF(AND(ISNUMBER(I96),ISNUMBER(I113)),IFERROR(I96/I113,""),"")</f>
        <v>0.0169033130493577</v>
      </c>
      <c r="J97" s="215">
        <f>IF(AND(ISNUMBER(J96),ISNUMBER(J113)),IFERROR(J96/J113,""),"")</f>
        <v>0.0136621126291236</v>
      </c>
      <c r="K97" s="215">
        <f>IF(AND(ISNUMBER(K96),ISNUMBER(K113)),IFERROR(K96/K113,""),"")</f>
        <v>0.0134544231416078</v>
      </c>
      <c r="L97" s="215">
        <f>IF(AND(ISNUMBER(L96),ISNUMBER(L113)),IFERROR(L96/L113,""),"")</f>
        <v>0.0151978264561046</v>
      </c>
      <c r="M97" s="215">
        <f>IF(AND(ISNUMBER(M96),ISNUMBER(M113)),IFERROR(M96/M113,""),"")</f>
        <v>0.0142630744849445</v>
      </c>
      <c r="N97" s="215">
        <f>IF(AND(ISNUMBER(N96),ISNUMBER(N113)),IFERROR(N96/N113,""),"")</f>
        <v>0.0139108441353146</v>
      </c>
      <c r="O97" s="215">
        <f>IF(AND(ISNUMBER(O96),ISNUMBER(O113)),IFERROR(O96/O113,""),"")</f>
        <v>0.0129952456418384</v>
      </c>
      <c r="P97" s="215">
        <f>IF(AND(ISNUMBER(P96),ISNUMBER(P113)),IFERROR(P96/P113,""),"")</f>
        <v>0.0130071229482812</v>
      </c>
      <c r="Q97" s="215">
        <f>IF(AND(ISNUMBER(Q96),ISNUMBER(Q113)),IFERROR(Q96/Q113,""),"")</f>
        <v>0.0135411746181704</v>
      </c>
      <c r="R97" s="215">
        <f>IF(AND(ISNUMBER(R96),ISNUMBER(R113)),IFERROR(R96/R113,""),"")</f>
        <v>0.0133057362507392</v>
      </c>
      <c r="S97" s="215">
        <f>IF(AND(ISNUMBER(S96),ISNUMBER(S113)),IFERROR(S96/S113,""),"")</f>
        <v>0.0140803754766794</v>
      </c>
      <c r="T97" s="215">
        <f>IF(AND(ISNUMBER(T96),ISNUMBER(T113)),IFERROR(T96/T113,""),"")</f>
        <v>0.0130756111426947</v>
      </c>
      <c r="U97" s="215">
        <f>IF(AND(ISNUMBER(U96),ISNUMBER(U113)),IFERROR(U96/U113,""),"")</f>
        <v>0.0134416129935592</v>
      </c>
      <c r="V97" s="215">
        <f>IF(AND(ISNUMBER(V96),ISNUMBER(V113)),IFERROR(V96/V113,""),"")</f>
        <v>0.0134726224783862</v>
      </c>
      <c r="W97" s="215">
        <f>IF(AND(ISNUMBER(W96),ISNUMBER(W113)),IFERROR(W96/W113,""),"")</f>
        <v>0.0109396914446003</v>
      </c>
      <c r="X97" s="215">
        <f>IF(AND(ISNUMBER(X96),ISNUMBER(X113)),IFERROR(X96/X113,""),"")</f>
        <v>0.0159955874241589</v>
      </c>
      <c r="Y97" s="215">
        <f>IF(AND(ISNUMBER(Y96),ISNUMBER(Y113)),IFERROR(Y96/Y113,""),"")</f>
        <v>0.0151515151515152</v>
      </c>
      <c r="Z97" s="215">
        <f>IF(AND(ISNUMBER(Z96),ISNUMBER(Z113)),IFERROR(Z96/Z113,""),"")</f>
        <v>0.0161933818352499</v>
      </c>
      <c r="AA97" s="215">
        <f>IF(AND(ISNUMBER(AA96),ISNUMBER(AA113)),IFERROR(AA96/AA113,""),"")</f>
        <v>0.0146532290147195</v>
      </c>
      <c r="AB97" s="215">
        <f>IF(AND(ISNUMBER(AB96),ISNUMBER(AB113)),IFERROR(AB96/AB113,""),"")</f>
        <v>0.0100874243443174</v>
      </c>
      <c r="AC97" s="215">
        <f>IF(AND(ISNUMBER(AC96),ISNUMBER(AC113)),IFERROR(AC96/AC113,""),"")</f>
        <v>0.0158588340406522</v>
      </c>
      <c r="AD97" s="215">
        <f>IF(AND(ISNUMBER(AD96),ISNUMBER(AD113)),IFERROR(AD96/AD113,""),"")</f>
        <v>0.0146768893756846</v>
      </c>
      <c r="AE97" s="215">
        <f>IF(AND(ISNUMBER(AE96),ISNUMBER(AE113)),IFERROR(AE96/AE113,""),"")</f>
        <v>0.0107106076210093</v>
      </c>
      <c r="AF97" s="215">
        <f>IF(AND(ISNUMBER(AF96),ISNUMBER(AF113)),IFERROR(AF96/AF113,""),"")</f>
        <v>0.0128009587100991</v>
      </c>
      <c r="AG97" s="215">
        <f>IF(AND(ISNUMBER(AG96),ISNUMBER(AG113)),IFERROR(AG96/AG113,""),"")</f>
        <v>0.013986013986014</v>
      </c>
      <c r="AH97" s="215">
        <f>IF(AND(ISNUMBER(AH96),ISNUMBER(AH113)),IFERROR(AH96/AH113,""),"")</f>
        <v>0.0167553715750049</v>
      </c>
      <c r="AI97" s="215">
        <f>IF(AND(ISNUMBER(AI96),ISNUMBER(AI113)),IFERROR(AI96/AI113,""),"")</f>
        <v>0.0169847328244275</v>
      </c>
      <c r="AJ97" s="215">
        <f>IF(AND(ISNUMBER(AJ96),ISNUMBER(AJ113)),IFERROR(AJ96/AJ113,""),"")</f>
        <v>0.0156422524843577</v>
      </c>
      <c r="AK97" s="215">
        <f>IF(AND(ISNUMBER(AK96),ISNUMBER(AK113)),IFERROR(AK96/AK113,""),"")</f>
        <v>0.015866854286962</v>
      </c>
      <c r="AL97" s="215">
        <f>IF(AND(ISNUMBER(AL96),ISNUMBER(AL113)),IFERROR(AL96/AL113,""),"")</f>
        <v>0.0181620050853614</v>
      </c>
      <c r="AM97" s="215">
        <f>IF(AND(ISNUMBER(AM96),ISNUMBER(AM113)),IFERROR(AM96/AM113,""),"")</f>
        <v>0.0202038587550055</v>
      </c>
      <c r="AN97" s="215">
        <f>IF(AND(ISNUMBER(AN96),ISNUMBER(AN113)),IFERROR(AN96/AN113,""),"")</f>
        <v>0.0188356164383562</v>
      </c>
      <c r="AO97" s="215">
        <f>IF(AND(ISNUMBER(AO96),ISNUMBER(AO113)),IFERROR(AO96/AO113,""),"")</f>
        <v>0.0140133615773179</v>
      </c>
      <c r="AP97" s="215">
        <f>IF(AND(ISNUMBER(AP96),ISNUMBER(AP113)),IFERROR(AP96/AP113,""),"")</f>
        <v>0.0177133655394525</v>
      </c>
      <c r="AQ97" s="215">
        <f>IF(AND(ISNUMBER(AQ96),ISNUMBER(AQ113)),IFERROR(AQ96/AQ113,""),"")</f>
        <v>0.0191608853650479</v>
      </c>
      <c r="AR97" s="215">
        <f>IF(AND(ISNUMBER(AR96),ISNUMBER(AR113)),IFERROR(AR96/AR113,""),"")</f>
        <v>0.0169115134950461</v>
      </c>
      <c r="AS97" s="215">
        <f>IF(AND(ISNUMBER(AS96),ISNUMBER(AS113)),IFERROR(AS96/AS113,""),"")</f>
        <v>0.0221211494728137</v>
      </c>
      <c r="AT97" s="215">
        <f>IF(AND(ISNUMBER(AT96),ISNUMBER(AT113)),IFERROR(AT96/AT113,""),"")</f>
        <v>0.0184277592628896</v>
      </c>
      <c r="AU97" s="215">
        <f>IF(AND(ISNUMBER(AU96),ISNUMBER(AU113)),IFERROR(AU96/AU113,""),"")</f>
        <v>0.019042387622448</v>
      </c>
      <c r="AV97" s="215">
        <f>IF(AND(ISNUMBER(AV96),ISNUMBER(AV113)),IFERROR(AV96/AV113,""),"")</f>
        <v>0.0214524353789344</v>
      </c>
      <c r="AW97" s="215">
        <f>IF(AND(ISNUMBER(AW96),ISNUMBER(AW113)),IFERROR(AW96/AW113,""),"")</f>
        <v>0.0267062314540059</v>
      </c>
      <c r="AX97" s="215">
        <f>IF(AND(ISNUMBER(AX96),ISNUMBER(AX113)),IFERROR(AX96/AX113,""),"")</f>
        <v>0.0259380097879282</v>
      </c>
      <c r="AY97" s="215">
        <f>IF(AND(ISNUMBER(AY96),ISNUMBER(AY113)),IFERROR(AY96/AY113,""),"")</f>
        <v>0.0164659246836408</v>
      </c>
      <c r="AZ97" s="215">
        <f>IF(AND(ISNUMBER(AZ96),ISNUMBER(AZ113)),IFERROR(AZ96/AZ113,""),"")</f>
        <v>0.0224849616262186</v>
      </c>
      <c r="BA97" s="215">
        <f>IF(AND(ISNUMBER(BA96),ISNUMBER(BA113)),IFERROR(BA96/BA113,""),"")</f>
        <v>0.0181328800113331</v>
      </c>
      <c r="BB97" s="215">
        <f>IF(AND(ISNUMBER(BB96),ISNUMBER(BB113)),IFERROR(BB96/BB113,""),"")</f>
        <v>0.0264292669355961</v>
      </c>
      <c r="BC97" s="215">
        <f>IF(AND(ISNUMBER(BC96),ISNUMBER(BC113)),IFERROR(BC96/BC113,""),"")</f>
        <v>0.020893470790378</v>
      </c>
      <c r="BD97" s="215">
        <f>IF(AND(ISNUMBER(BD96),ISNUMBER(BD113)),IFERROR(BD96/BD113,""),"")</f>
        <v>0.0169513291383074</v>
      </c>
      <c r="BE97" s="215">
        <f>IF(AND(ISNUMBER(BE96),ISNUMBER(BE113)),IFERROR(BE96/BE113,""),"")</f>
        <v>0.0205390651654725</v>
      </c>
      <c r="BF97" s="215">
        <f>IF(AND(ISNUMBER(BF96),ISNUMBER(BF113)),IFERROR(BF96/BF113,""),"")</f>
        <v>0.0223034274193548</v>
      </c>
      <c r="BG97" s="215">
        <f>IF(AND(ISNUMBER(BG96),ISNUMBER(BG113)),IFERROR(BG96/BG113,""),"")</f>
        <v>0.0279273638071384</v>
      </c>
      <c r="BH97" s="215">
        <f>IF(AND(ISNUMBER(BH96),ISNUMBER(BH113)),IFERROR(BH96/BH113,""),"")</f>
        <v>0.0235134802412902</v>
      </c>
      <c r="BI97" s="215">
        <f>IF(AND(ISNUMBER(BI96),ISNUMBER(BI113)),IFERROR(BI96/BI113,""),"")</f>
        <v>0.0202114066674411</v>
      </c>
      <c r="BJ97" s="215">
        <f>IF(AND(ISNUMBER(BJ96),ISNUMBER(BJ113)),IFERROR(BJ96/BJ113,""),"")</f>
        <v>0.0234281689278167</v>
      </c>
      <c r="BK97" s="215">
        <f>IF(AND(ISNUMBER(BK96),ISNUMBER(BK113)),IFERROR(BK96/BK113,""),"")</f>
        <v>0.0242066249710447</v>
      </c>
      <c r="BL97" s="215">
        <f>IF(AND(ISNUMBER(BL96),ISNUMBER(BL113)),IFERROR(BL96/BL113,""),"")</f>
        <v>0.0275783475783476</v>
      </c>
      <c r="BM97" s="215">
        <f>IF(AND(ISNUMBER(BM96),ISNUMBER(BM113)),IFERROR(BM96/BM113,""),"")</f>
        <v>0.0237078651685393</v>
      </c>
      <c r="BN97" s="215">
        <f>IF(AND(ISNUMBER(BN96),ISNUMBER(BN113)),IFERROR(BN96/BN113,""),"")</f>
        <v>0.019548715815743</v>
      </c>
      <c r="BO97" s="215">
        <f>IF(AND(ISNUMBER(BO96),ISNUMBER(BO113)),IFERROR(BO96/BO113,""),"")</f>
        <v>0.0236597450314535</v>
      </c>
      <c r="BP97" s="215">
        <f>IF(AND(ISNUMBER(BP96),ISNUMBER(BP113)),IFERROR(BP96/BP113,""),"")</f>
        <v>0.0235541535226078</v>
      </c>
      <c r="BQ97" s="215">
        <f>IF(AND(ISNUMBER(BQ96),ISNUMBER(BQ113)),IFERROR(BQ96/BQ113,""),"")</f>
        <v>0.0269960391911611</v>
      </c>
      <c r="BR97" s="215">
        <f>IF(AND(ISNUMBER(BR96),ISNUMBER(BR113)),IFERROR(BR96/BR113,""),"")</f>
        <v>0.0219229256783327</v>
      </c>
      <c r="BS97" s="215">
        <f>IF(AND(ISNUMBER(BS96),ISNUMBER(BS113)),IFERROR(BS96/BS113,""),"")</f>
        <v>0.01781051846326</v>
      </c>
      <c r="BT97" s="215">
        <f>IF(AND(ISNUMBER(BT96),ISNUMBER(BT113)),IFERROR(BT96/BT113,""),"")</f>
        <v>0.022425</v>
      </c>
      <c r="BU97" s="215">
        <f>IF(AND(ISNUMBER(BU96),ISNUMBER(BU113)),IFERROR(BU96/BU113,""),"")</f>
        <v>0.0211907164480323</v>
      </c>
      <c r="BV97" s="215">
        <f>IF(AND(ISNUMBER(BV96),ISNUMBER(BV113)),IFERROR(BV96/BV113,""),"")</f>
        <v>0.0244879786286732</v>
      </c>
      <c r="BW97" s="215">
        <f>IF(AND(ISNUMBER(BW96),ISNUMBER(BW113)),IFERROR(BW96/BW113,""),"")</f>
        <v>0.0190836413650821</v>
      </c>
      <c r="BX97" s="256">
        <f>IF(AND(ISNUMBER(BX96),ISNUMBER(BX113)),IFERROR(BX96/BX113,""),"")</f>
        <v>0.0162526729690557</v>
      </c>
      <c r="BY97" s="256">
        <f>IF(AND(ISNUMBER(BY96),ISNUMBER(BY113)),IFERROR(BY96/BY113,""),"")</f>
        <v>0.0201593091461287</v>
      </c>
      <c r="BZ97" s="271" t="n">
        <v>0.023</v>
      </c>
      <c r="CA97" s="271" t="n">
        <v>0.023</v>
      </c>
      <c r="CB97" s="271" t="n">
        <v>0.023</v>
      </c>
      <c r="CC97" s="271" t="n">
        <v>0.023</v>
      </c>
      <c r="CD97" s="271" t="n">
        <v>0.023</v>
      </c>
      <c r="CE97" s="153" t="inlineStr">
        <is>
          <t>Input 2.3% of net revenue (FY2021–25 2.1–2.4%).</t>
        </is>
      </c>
      <c r="CG97" s="37">
        <f>IFERROR(AVERAGE(BZ97,CA97,CB97,CC97,CD97),"n/m")</f>
        <v>0.023</v>
      </c>
      <c r="CH97" s="37">
        <f>IFERROR(AVERAGE(AZ97,BE97,BJ97,BO97,BT97),"n/m")</f>
        <v>0.0225073881501923</v>
      </c>
      <c r="CI97" s="37">
        <f>IFERROR(AVERAGE(AA97,AF97,AK97,AP97,AU97,AZ97,BE97,BJ97,BO97,BT97),"n/m")</f>
        <v>0.0192613735924643</v>
      </c>
      <c r="CJ97" s="37">
        <f>IFERROR(AVERAGE(C97,D97,E97,F97,G97,L97,Q97,V97,AA97,AF97,AK97,AP97,AU97,AZ97,BE97,BJ97,BO97,BT97),"n/m")</f>
        <v>0.017243948453956</v>
      </c>
    </row>
    <row r="98" ht="15" customHeight="1" s="251">
      <c r="B98" s="25" t="inlineStr">
        <is>
          <t xml:space="preserve">  Operating adjusting items (pre-tax, excluded from non-GAAP by the company; forecast inputs):</t>
        </is>
      </c>
      <c r="CE98" s="153" t="n"/>
    </row>
    <row r="99" ht="15" customHeight="1" s="251">
      <c r="B99" s="25" t="inlineStr">
        <is>
          <t xml:space="preserve">  Litigation provision (U.S. covered litigation, VE territory and other significant matters)</t>
        </is>
      </c>
      <c r="C99" s="253" t="n">
        <v>1457</v>
      </c>
      <c r="D99" s="253" t="n">
        <v>0</v>
      </c>
      <c r="E99" s="253" t="n">
        <v>0</v>
      </c>
      <c r="F99" s="253" t="n">
        <v>0</v>
      </c>
      <c r="G99" s="253" t="n">
        <v>4098</v>
      </c>
      <c r="H99" s="253" t="n">
        <v>0</v>
      </c>
      <c r="I99" s="253" t="n">
        <v>0</v>
      </c>
      <c r="J99" s="253" t="n">
        <v>0</v>
      </c>
      <c r="K99" s="253" t="n">
        <v>0</v>
      </c>
      <c r="L99" s="253" t="n">
        <v>0</v>
      </c>
      <c r="M99" s="253" t="n">
        <v>0</v>
      </c>
      <c r="N99" s="253" t="n">
        <v>0</v>
      </c>
      <c r="O99" s="253" t="n">
        <v>0</v>
      </c>
      <c r="P99" s="253" t="n">
        <v>450</v>
      </c>
      <c r="Q99" s="253" t="n">
        <v>450</v>
      </c>
      <c r="R99" s="253" t="n">
        <v>0</v>
      </c>
      <c r="S99" s="253" t="n">
        <v>0</v>
      </c>
      <c r="T99" s="253" t="n">
        <v>0</v>
      </c>
      <c r="U99" s="253" t="n">
        <v>0</v>
      </c>
      <c r="V99" s="253" t="n">
        <v>0</v>
      </c>
      <c r="W99" s="253" t="n">
        <v>0</v>
      </c>
      <c r="X99" s="253" t="n">
        <v>0</v>
      </c>
      <c r="Y99" s="253" t="n">
        <v>0</v>
      </c>
      <c r="Z99" s="253" t="n">
        <v>0</v>
      </c>
      <c r="AA99" s="253" t="n">
        <v>0</v>
      </c>
      <c r="AB99" s="253" t="n">
        <v>0</v>
      </c>
      <c r="AC99" s="253" t="n">
        <v>0</v>
      </c>
      <c r="AD99" s="253" t="n">
        <v>0</v>
      </c>
      <c r="AE99" s="253" t="n">
        <v>0</v>
      </c>
      <c r="AF99" s="253" t="n">
        <v>0</v>
      </c>
      <c r="AG99" s="253" t="n">
        <v>0</v>
      </c>
      <c r="AH99" s="253" t="n">
        <v>0</v>
      </c>
      <c r="AI99" s="253" t="n">
        <v>600</v>
      </c>
      <c r="AJ99" s="253" t="n">
        <v>0</v>
      </c>
      <c r="AK99" s="253" t="n">
        <v>600</v>
      </c>
      <c r="AL99" s="253" t="n">
        <v>0</v>
      </c>
      <c r="AM99" s="253" t="n">
        <v>0</v>
      </c>
      <c r="AN99" s="253" t="n">
        <v>0</v>
      </c>
      <c r="AO99" s="253" t="n">
        <v>370</v>
      </c>
      <c r="AP99" s="253" t="n">
        <v>370</v>
      </c>
      <c r="AQ99" s="253" t="n">
        <v>0</v>
      </c>
      <c r="AR99" s="253" t="n">
        <v>0</v>
      </c>
      <c r="AS99" s="253" t="n">
        <v>0</v>
      </c>
      <c r="AT99" s="253" t="n">
        <v>0</v>
      </c>
      <c r="AU99" s="253" t="n">
        <v>0</v>
      </c>
      <c r="AV99" s="253" t="n">
        <v>0</v>
      </c>
      <c r="AW99" s="253" t="n">
        <v>0</v>
      </c>
      <c r="AX99" s="253" t="n">
        <v>0</v>
      </c>
      <c r="AY99" s="253" t="n">
        <v>0</v>
      </c>
      <c r="AZ99" s="253" t="n">
        <v>0</v>
      </c>
      <c r="BA99" s="253" t="n">
        <v>145</v>
      </c>
      <c r="BB99" s="253" t="n">
        <v>0</v>
      </c>
      <c r="BC99" s="253" t="n">
        <v>716</v>
      </c>
      <c r="BD99" s="253" t="n">
        <v>0</v>
      </c>
      <c r="BE99" s="253" t="n">
        <v>861</v>
      </c>
      <c r="BF99" s="253" t="n">
        <v>341</v>
      </c>
      <c r="BG99" s="253" t="n">
        <v>0</v>
      </c>
      <c r="BH99" s="253" t="n">
        <v>456</v>
      </c>
      <c r="BI99" s="253" t="n">
        <v>109</v>
      </c>
      <c r="BJ99" s="253" t="n">
        <v>906</v>
      </c>
      <c r="BK99" s="253" t="n">
        <v>0</v>
      </c>
      <c r="BL99" s="253" t="n">
        <v>424</v>
      </c>
      <c r="BM99" s="253" t="n">
        <v>10</v>
      </c>
      <c r="BN99" s="253" t="n">
        <v>0</v>
      </c>
      <c r="BO99" s="253" t="n">
        <v>434</v>
      </c>
      <c r="BP99" s="253" t="n">
        <v>27</v>
      </c>
      <c r="BQ99" s="253" t="n">
        <v>992</v>
      </c>
      <c r="BR99" s="253" t="n">
        <v>615</v>
      </c>
      <c r="BS99" s="253" t="n">
        <v>899</v>
      </c>
      <c r="BT99" s="253" t="n">
        <v>2533</v>
      </c>
      <c r="BU99" s="253" t="n">
        <v>707</v>
      </c>
      <c r="BV99" s="253" t="n">
        <v>311</v>
      </c>
      <c r="BW99" s="253" t="n">
        <v>237</v>
      </c>
      <c r="BX99" s="254">
        <f>$CO$21</f>
        <v>0</v>
      </c>
      <c r="BY99" s="254">
        <f>SUM(BU99:BX99)</f>
        <v>1255</v>
      </c>
      <c r="BZ99" s="269" t="n">
        <v>0</v>
      </c>
      <c r="CA99" s="269" t="n">
        <v>0</v>
      </c>
      <c r="CB99" s="269" t="n">
        <v>0</v>
      </c>
      <c r="CC99" s="269" t="n">
        <v>0</v>
      </c>
      <c r="CD99" s="269" t="n">
        <v>0</v>
      </c>
      <c r="CE99" s="19" t="inlineStr">
        <is>
          <t>U.S. retrospective responsibility plan: covered litigation is paid from the U.S. litigation escrow ($888m at 30-Jun-2026; $875m deposited 9M FY26), funded by reducing the class B conversion rate (an as-converted share reduction with no P&amp;L effect). VE territory covered losses are recovered through series B / C preferred conversion-rate adjustments. Litigation provisions are excluded from non-GAAP results; the forecast assumes no further provisions or escrow deposits (assumption).</t>
        </is>
      </c>
    </row>
    <row r="100" ht="15" customHeight="1" s="251">
      <c r="B100" s="25" t="inlineStr">
        <is>
          <t xml:space="preserve">  Amortization of acquired intangible assets (inside D&amp;A)</t>
        </is>
      </c>
      <c r="C100" s="253" t="n">
        <v>68</v>
      </c>
      <c r="D100" s="253" t="n">
        <v>68</v>
      </c>
      <c r="E100" s="253" t="n">
        <v>0</v>
      </c>
      <c r="F100" s="253" t="n">
        <v>0</v>
      </c>
      <c r="G100" s="253" t="n">
        <v>0</v>
      </c>
      <c r="H100" s="253" t="n">
        <v>0</v>
      </c>
      <c r="I100" s="253" t="n">
        <v>0</v>
      </c>
      <c r="J100" s="253" t="n">
        <v>0</v>
      </c>
      <c r="K100" s="253" t="n">
        <v>0</v>
      </c>
      <c r="L100" s="253" t="n">
        <v>0</v>
      </c>
      <c r="M100" s="253" t="n">
        <v>0</v>
      </c>
      <c r="N100" s="253" t="n">
        <v>0</v>
      </c>
      <c r="O100" s="253" t="n">
        <v>0</v>
      </c>
      <c r="P100" s="253" t="n">
        <v>0</v>
      </c>
      <c r="Q100" s="253" t="n">
        <v>0</v>
      </c>
      <c r="R100" s="253" t="n">
        <v>0</v>
      </c>
      <c r="S100" s="253" t="n">
        <v>0</v>
      </c>
      <c r="T100" s="253" t="n">
        <v>0</v>
      </c>
      <c r="U100" s="253" t="n">
        <v>0</v>
      </c>
      <c r="V100" s="253" t="n">
        <v>0</v>
      </c>
      <c r="W100" s="253" t="n">
        <v>0</v>
      </c>
      <c r="X100" s="253" t="n">
        <v>0</v>
      </c>
      <c r="Y100" s="253" t="n">
        <v>0</v>
      </c>
      <c r="Z100" s="253" t="n">
        <v>0</v>
      </c>
      <c r="AA100" s="253" t="n">
        <v>0</v>
      </c>
      <c r="AB100" s="253" t="n">
        <v>0</v>
      </c>
      <c r="AC100" s="253" t="n">
        <v>0</v>
      </c>
      <c r="AD100" s="253" t="n">
        <v>0</v>
      </c>
      <c r="AE100" s="253" t="n">
        <v>0</v>
      </c>
      <c r="AF100" s="253" t="n">
        <v>0</v>
      </c>
      <c r="AG100" s="253" t="n">
        <v>0</v>
      </c>
      <c r="AH100" s="253" t="n">
        <v>0</v>
      </c>
      <c r="AI100" s="253" t="n">
        <v>0</v>
      </c>
      <c r="AJ100" s="253" t="n">
        <v>0</v>
      </c>
      <c r="AK100" s="253" t="n">
        <v>0</v>
      </c>
      <c r="AL100" s="253" t="n">
        <v>0</v>
      </c>
      <c r="AM100" s="253" t="n">
        <v>0</v>
      </c>
      <c r="AN100" s="253" t="n">
        <v>0</v>
      </c>
      <c r="AO100" s="253" t="n">
        <v>0</v>
      </c>
      <c r="AP100" s="253" t="n">
        <v>0</v>
      </c>
      <c r="AQ100" s="253" t="n">
        <v>11</v>
      </c>
      <c r="AR100" s="253" t="n">
        <v>11</v>
      </c>
      <c r="AS100" s="253" t="n">
        <v>13</v>
      </c>
      <c r="AT100" s="253" t="n">
        <v>11</v>
      </c>
      <c r="AU100" s="253" t="n">
        <v>46</v>
      </c>
      <c r="AV100" s="253" t="n">
        <v>12</v>
      </c>
      <c r="AW100" s="253" t="n">
        <v>13</v>
      </c>
      <c r="AX100" s="253" t="n">
        <v>13</v>
      </c>
      <c r="AY100" s="253" t="n">
        <v>13</v>
      </c>
      <c r="AZ100" s="253" t="n">
        <v>51</v>
      </c>
      <c r="BA100" s="253" t="n">
        <v>13</v>
      </c>
      <c r="BB100" s="253" t="n">
        <v>20</v>
      </c>
      <c r="BC100" s="253" t="n">
        <v>44</v>
      </c>
      <c r="BD100" s="253" t="n">
        <v>43</v>
      </c>
      <c r="BE100" s="253" t="n">
        <v>120</v>
      </c>
      <c r="BF100" s="253" t="n">
        <v>43</v>
      </c>
      <c r="BG100" s="253" t="n">
        <v>46</v>
      </c>
      <c r="BH100" s="253" t="n">
        <v>41</v>
      </c>
      <c r="BI100" s="253" t="n">
        <v>46</v>
      </c>
      <c r="BJ100" s="253" t="n">
        <v>176</v>
      </c>
      <c r="BK100" s="253" t="n">
        <v>40</v>
      </c>
      <c r="BL100" s="253" t="n">
        <v>43</v>
      </c>
      <c r="BM100" s="253" t="n">
        <v>48</v>
      </c>
      <c r="BN100" s="253" t="n">
        <v>47</v>
      </c>
      <c r="BO100" s="253" t="n">
        <v>178</v>
      </c>
      <c r="BP100" s="253" t="n">
        <v>46</v>
      </c>
      <c r="BQ100" s="253" t="n">
        <v>64</v>
      </c>
      <c r="BR100" s="253" t="n">
        <v>54</v>
      </c>
      <c r="BS100" s="253" t="n">
        <v>54</v>
      </c>
      <c r="BT100" s="253" t="n">
        <v>218</v>
      </c>
      <c r="BU100" s="253" t="n">
        <v>54</v>
      </c>
      <c r="BV100" s="253" t="n">
        <v>50</v>
      </c>
      <c r="BW100" s="253" t="n">
        <v>64</v>
      </c>
      <c r="BX100" s="254">
        <f>$CO$22</f>
        <v>64</v>
      </c>
      <c r="BY100" s="254">
        <f>SUM(BU100:BX100)</f>
        <v>232</v>
      </c>
      <c r="BZ100" s="254">
        <f>BZ101+N(BZ84)</f>
        <v>247.857142857143</v>
      </c>
      <c r="CA100" s="254">
        <f>CA101+N(CA84)</f>
        <v>243.571428571429</v>
      </c>
      <c r="CB100" s="254">
        <f>CB101+N(CB84)</f>
        <v>239.285714285714</v>
      </c>
      <c r="CC100" s="254">
        <f>CC101+N(CC84)</f>
        <v>235</v>
      </c>
      <c r="CD100" s="254">
        <f>CD101+N(CD84)</f>
        <v>240.714285714286</v>
      </c>
      <c r="CE100" s="19" t="inlineStr">
        <is>
          <t>FY2025 10-K Notes 7-8: estimated amortization of finite-lived intangibles (customer relationships) $63m / $62m / $43m / $29m / $10m (FY26-30) and of technology (capitalized software and acquired technology, inside D&amp;A) $802m / $640m / $509m / $355m / $174m. The non-GAAP item 'amortization of acquired intangible assets' ($232m FY25; $168m 9M FY26) covers acquired technology + customer relationships. Forecast item: $64m Q4/26E (Q3 run-rate), then $230m / $190m / $150m / $110m / $80m FY27-31 (assumption, declining with the 10-K schedules) + future-acquisition amortization.</t>
        </is>
      </c>
    </row>
    <row r="101" ht="15" customHeight="1" s="251">
      <c r="B101" s="25" t="inlineStr">
        <is>
          <t xml:space="preserve">  Amortization schedule — acquired intangibles held at 30-Jun-2026 (assumption from the 10-K schedules)</t>
        </is>
      </c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6" t="n"/>
      <c r="AZ101" s="36" t="n"/>
      <c r="BA101" s="36" t="n"/>
      <c r="BB101" s="36" t="n"/>
      <c r="BC101" s="36" t="n"/>
      <c r="BD101" s="36" t="n"/>
      <c r="BE101" s="36" t="n"/>
      <c r="BF101" s="36" t="n"/>
      <c r="BG101" s="36" t="n"/>
      <c r="BH101" s="36" t="n"/>
      <c r="BI101" s="36" t="n"/>
      <c r="BJ101" s="36" t="n"/>
      <c r="BK101" s="36" t="n"/>
      <c r="BL101" s="36" t="n"/>
      <c r="BM101" s="36" t="n"/>
      <c r="BN101" s="36" t="n"/>
      <c r="BO101" s="36" t="n"/>
      <c r="BP101" s="36" t="n"/>
      <c r="BQ101" s="36" t="n"/>
      <c r="BR101" s="36" t="n"/>
      <c r="BS101" s="36" t="n"/>
      <c r="BT101" s="36" t="n"/>
      <c r="BU101" s="36" t="n"/>
      <c r="BV101" s="36" t="n"/>
      <c r="BW101" s="36" t="n"/>
      <c r="BX101" s="24" t="n"/>
      <c r="BY101" s="24" t="n"/>
      <c r="BZ101" s="269" t="n">
        <v>230</v>
      </c>
      <c r="CA101" s="269" t="n">
        <v>190</v>
      </c>
      <c r="CB101" s="269" t="n">
        <v>150</v>
      </c>
      <c r="CC101" s="269" t="n">
        <v>110</v>
      </c>
      <c r="CD101" s="269" t="n">
        <v>80</v>
      </c>
      <c r="CE101" s="19" t="inlineStr">
        <is>
          <t>Assumption: acquired-intangible amortization declining with the FY2025 10-K technology and customer-relationship schedules ($230m FY27 → $80m FY31).</t>
        </is>
      </c>
    </row>
    <row r="102" ht="15" customHeight="1" s="251">
      <c r="B102" s="25" t="inlineStr">
        <is>
          <t xml:space="preserve">  Acquisition-related costs</t>
        </is>
      </c>
      <c r="C102" s="253" t="n">
        <v>0</v>
      </c>
      <c r="D102" s="253" t="n">
        <v>0</v>
      </c>
      <c r="E102" s="253" t="n">
        <v>0</v>
      </c>
      <c r="F102" s="253" t="n">
        <v>0</v>
      </c>
      <c r="G102" s="253" t="n">
        <v>0</v>
      </c>
      <c r="H102" s="253" t="n">
        <v>0</v>
      </c>
      <c r="I102" s="253" t="n">
        <v>0</v>
      </c>
      <c r="J102" s="253" t="n">
        <v>0</v>
      </c>
      <c r="K102" s="253" t="n">
        <v>0</v>
      </c>
      <c r="L102" s="253" t="n">
        <v>0</v>
      </c>
      <c r="M102" s="253" t="n">
        <v>0</v>
      </c>
      <c r="N102" s="253" t="n">
        <v>0</v>
      </c>
      <c r="O102" s="253" t="n">
        <v>0</v>
      </c>
      <c r="P102" s="253" t="n">
        <v>0</v>
      </c>
      <c r="Q102" s="253" t="n">
        <v>0</v>
      </c>
      <c r="R102" s="253" t="n">
        <v>0</v>
      </c>
      <c r="S102" s="253" t="n">
        <v>0</v>
      </c>
      <c r="T102" s="253" t="n">
        <v>0</v>
      </c>
      <c r="U102" s="253" t="n">
        <v>0</v>
      </c>
      <c r="V102" s="253" t="n">
        <v>0</v>
      </c>
      <c r="W102" s="253" t="n">
        <v>0</v>
      </c>
      <c r="X102" s="253" t="n">
        <v>0</v>
      </c>
      <c r="Y102" s="253" t="n">
        <v>152</v>
      </c>
      <c r="Z102" s="253" t="n">
        <v>0</v>
      </c>
      <c r="AA102" s="253" t="n">
        <v>152</v>
      </c>
      <c r="AB102" s="253" t="n">
        <v>0</v>
      </c>
      <c r="AC102" s="253" t="n">
        <v>0</v>
      </c>
      <c r="AD102" s="253" t="n">
        <v>0</v>
      </c>
      <c r="AE102" s="253" t="n">
        <v>0</v>
      </c>
      <c r="AF102" s="253" t="n">
        <v>0</v>
      </c>
      <c r="AG102" s="253" t="n">
        <v>0</v>
      </c>
      <c r="AH102" s="253" t="n">
        <v>0</v>
      </c>
      <c r="AI102" s="253" t="n">
        <v>0</v>
      </c>
      <c r="AJ102" s="253" t="n">
        <v>0</v>
      </c>
      <c r="AK102" s="253" t="n">
        <v>0</v>
      </c>
      <c r="AL102" s="253" t="n">
        <v>0</v>
      </c>
      <c r="AM102" s="253" t="n">
        <v>0</v>
      </c>
      <c r="AN102" s="253" t="n">
        <v>0</v>
      </c>
      <c r="AO102" s="253" t="n">
        <v>0</v>
      </c>
      <c r="AP102" s="253" t="n">
        <v>0</v>
      </c>
      <c r="AQ102" s="253" t="n">
        <v>2</v>
      </c>
      <c r="AR102" s="253" t="n">
        <v>5</v>
      </c>
      <c r="AS102" s="253" t="n">
        <v>4</v>
      </c>
      <c r="AT102" s="253" t="n">
        <v>6</v>
      </c>
      <c r="AU102" s="253" t="n">
        <v>17</v>
      </c>
      <c r="AV102" s="253" t="n">
        <v>3</v>
      </c>
      <c r="AW102" s="253" t="n">
        <v>5</v>
      </c>
      <c r="AX102" s="253" t="n">
        <v>5</v>
      </c>
      <c r="AY102" s="253" t="n">
        <v>8</v>
      </c>
      <c r="AZ102" s="253" t="n">
        <v>21</v>
      </c>
      <c r="BA102" s="253" t="n">
        <v>10</v>
      </c>
      <c r="BB102" s="253" t="n">
        <v>20</v>
      </c>
      <c r="BC102" s="253" t="n">
        <v>14</v>
      </c>
      <c r="BD102" s="253" t="n">
        <v>25</v>
      </c>
      <c r="BE102" s="253" t="n">
        <v>69</v>
      </c>
      <c r="BF102" s="253" t="n">
        <v>23</v>
      </c>
      <c r="BG102" s="253" t="n">
        <v>22</v>
      </c>
      <c r="BH102" s="253" t="n">
        <v>24</v>
      </c>
      <c r="BI102" s="253" t="n">
        <v>21</v>
      </c>
      <c r="BJ102" s="253" t="n">
        <v>90</v>
      </c>
      <c r="BK102" s="253" t="n">
        <v>21</v>
      </c>
      <c r="BL102" s="253" t="n">
        <v>26</v>
      </c>
      <c r="BM102" s="253" t="n">
        <v>28</v>
      </c>
      <c r="BN102" s="253" t="n">
        <v>29</v>
      </c>
      <c r="BO102" s="253" t="n">
        <v>104</v>
      </c>
      <c r="BP102" s="253" t="n">
        <v>34</v>
      </c>
      <c r="BQ102" s="253" t="n">
        <v>32</v>
      </c>
      <c r="BR102" s="253" t="n">
        <v>19</v>
      </c>
      <c r="BS102" s="253" t="n">
        <v>12</v>
      </c>
      <c r="BT102" s="253" t="n">
        <v>97</v>
      </c>
      <c r="BU102" s="253" t="n">
        <v>12</v>
      </c>
      <c r="BV102" s="253" t="n">
        <v>36</v>
      </c>
      <c r="BW102" s="253" t="n">
        <v>14</v>
      </c>
      <c r="BX102" s="254">
        <f>$CO$23</f>
        <v>15</v>
      </c>
      <c r="BY102" s="254">
        <f>SUM(BU102:BX102)</f>
        <v>77</v>
      </c>
      <c r="BZ102" s="254">
        <f>BZ73*BZ103+60.0</f>
        <v>90</v>
      </c>
      <c r="CA102" s="254">
        <f>CA73*CA103+60.0</f>
        <v>90</v>
      </c>
      <c r="CB102" s="254">
        <f>CB73*CB103+60.0</f>
        <v>90</v>
      </c>
      <c r="CC102" s="254">
        <f>CC73*CC103+60.0</f>
        <v>90</v>
      </c>
      <c r="CD102" s="254">
        <f>CD73*CD103+60.0</f>
        <v>90</v>
      </c>
      <c r="CE102" s="19" t="n"/>
    </row>
    <row r="103" ht="15" customHeight="1" s="251">
      <c r="B103" s="25" t="inlineStr">
        <is>
          <t xml:space="preserve">  Acquisition costs % of acquisition spend (plus $60m p.a. integration base)</t>
        </is>
      </c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  <c r="AV103" s="36" t="n"/>
      <c r="AW103" s="36" t="n"/>
      <c r="AX103" s="36" t="n"/>
      <c r="AY103" s="36" t="n"/>
      <c r="AZ103" s="36" t="n"/>
      <c r="BA103" s="36" t="n"/>
      <c r="BB103" s="36" t="n"/>
      <c r="BC103" s="36" t="n"/>
      <c r="BD103" s="36" t="n"/>
      <c r="BE103" s="36" t="n"/>
      <c r="BF103" s="36" t="n"/>
      <c r="BG103" s="36" t="n"/>
      <c r="BH103" s="36" t="n"/>
      <c r="BI103" s="36" t="n"/>
      <c r="BJ103" s="36" t="n"/>
      <c r="BK103" s="36" t="n"/>
      <c r="BL103" s="36" t="n"/>
      <c r="BM103" s="36" t="n"/>
      <c r="BN103" s="36" t="n"/>
      <c r="BO103" s="36" t="n"/>
      <c r="BP103" s="36" t="n"/>
      <c r="BQ103" s="36" t="n"/>
      <c r="BR103" s="36" t="n"/>
      <c r="BS103" s="36" t="n"/>
      <c r="BT103" s="36" t="n"/>
      <c r="BU103" s="36" t="n"/>
      <c r="BV103" s="36" t="n"/>
      <c r="BW103" s="36" t="n"/>
      <c r="BX103" s="24" t="n"/>
      <c r="BY103" s="24" t="n"/>
      <c r="BZ103" s="271" t="n">
        <v>0.03</v>
      </c>
      <c r="CA103" s="271" t="n">
        <v>0.03</v>
      </c>
      <c r="CB103" s="271" t="n">
        <v>0.03</v>
      </c>
      <c r="CC103" s="271" t="n">
        <v>0.03</v>
      </c>
      <c r="CD103" s="271" t="n">
        <v>0.03</v>
      </c>
      <c r="CE103" s="153" t="inlineStr">
        <is>
          <t>Assumption: 3% of acquisition spend + $60m integration base (FY2023–25 $90–104m a year).</t>
        </is>
      </c>
    </row>
    <row r="104" ht="15" customHeight="1" s="251">
      <c r="B104" s="25" t="inlineStr">
        <is>
          <t xml:space="preserve">  Severance, restructuring &amp; lease consolidation costs</t>
        </is>
      </c>
      <c r="C104" s="253" t="n">
        <v>140</v>
      </c>
      <c r="D104" s="253" t="n">
        <v>67</v>
      </c>
      <c r="E104" s="253" t="n">
        <v>0</v>
      </c>
      <c r="F104" s="253" t="n">
        <v>0</v>
      </c>
      <c r="G104" s="253" t="n">
        <v>0</v>
      </c>
      <c r="H104" s="253" t="n">
        <v>0</v>
      </c>
      <c r="I104" s="253" t="n">
        <v>0</v>
      </c>
      <c r="J104" s="253" t="n">
        <v>0</v>
      </c>
      <c r="K104" s="253" t="n">
        <v>0</v>
      </c>
      <c r="L104" s="253" t="n">
        <v>0</v>
      </c>
      <c r="M104" s="253" t="n">
        <v>0</v>
      </c>
      <c r="N104" s="253" t="n">
        <v>0</v>
      </c>
      <c r="O104" s="253" t="n">
        <v>0</v>
      </c>
      <c r="P104" s="253" t="n">
        <v>0</v>
      </c>
      <c r="Q104" s="253" t="n">
        <v>0</v>
      </c>
      <c r="R104" s="253" t="n">
        <v>0</v>
      </c>
      <c r="S104" s="253" t="n">
        <v>0</v>
      </c>
      <c r="T104" s="253" t="n">
        <v>0</v>
      </c>
      <c r="U104" s="253" t="n">
        <v>0</v>
      </c>
      <c r="V104" s="253" t="n">
        <v>0</v>
      </c>
      <c r="W104" s="253" t="n">
        <v>0</v>
      </c>
      <c r="X104" s="253" t="n">
        <v>0</v>
      </c>
      <c r="Y104" s="253" t="n">
        <v>0</v>
      </c>
      <c r="Z104" s="253" t="n">
        <v>110</v>
      </c>
      <c r="AA104" s="253" t="n">
        <v>110</v>
      </c>
      <c r="AB104" s="253" t="n">
        <v>0</v>
      </c>
      <c r="AC104" s="253" t="n">
        <v>0</v>
      </c>
      <c r="AD104" s="253" t="n">
        <v>0</v>
      </c>
      <c r="AE104" s="253" t="n">
        <v>0</v>
      </c>
      <c r="AF104" s="253" t="n">
        <v>0</v>
      </c>
      <c r="AG104" s="253" t="n">
        <v>0</v>
      </c>
      <c r="AH104" s="253" t="n">
        <v>0</v>
      </c>
      <c r="AI104" s="253" t="n">
        <v>0</v>
      </c>
      <c r="AJ104" s="253" t="n">
        <v>0</v>
      </c>
      <c r="AK104" s="253" t="n">
        <v>0</v>
      </c>
      <c r="AL104" s="253" t="n">
        <v>0</v>
      </c>
      <c r="AM104" s="253" t="n">
        <v>0</v>
      </c>
      <c r="AN104" s="253" t="n">
        <v>0</v>
      </c>
      <c r="AO104" s="253" t="n">
        <v>0</v>
      </c>
      <c r="AP104" s="253" t="n">
        <v>0</v>
      </c>
      <c r="AQ104" s="253" t="n">
        <v>0</v>
      </c>
      <c r="AR104" s="253" t="n">
        <v>0</v>
      </c>
      <c r="AS104" s="253" t="n">
        <v>0</v>
      </c>
      <c r="AT104" s="253" t="n">
        <v>0</v>
      </c>
      <c r="AU104" s="253" t="n">
        <v>0</v>
      </c>
      <c r="AV104" s="253" t="n">
        <v>0</v>
      </c>
      <c r="AW104" s="253" t="n">
        <v>0</v>
      </c>
      <c r="AX104" s="253" t="n">
        <v>0</v>
      </c>
      <c r="AY104" s="253" t="n">
        <v>0</v>
      </c>
      <c r="AZ104" s="253" t="n">
        <v>0</v>
      </c>
      <c r="BA104" s="253" t="n">
        <v>0</v>
      </c>
      <c r="BB104" s="253" t="n">
        <v>0</v>
      </c>
      <c r="BC104" s="253" t="n">
        <v>0</v>
      </c>
      <c r="BD104" s="253" t="n">
        <v>0</v>
      </c>
      <c r="BE104" s="253" t="n">
        <v>0</v>
      </c>
      <c r="BF104" s="253" t="n">
        <v>0</v>
      </c>
      <c r="BG104" s="253" t="n">
        <v>0</v>
      </c>
      <c r="BH104" s="253" t="n">
        <v>0</v>
      </c>
      <c r="BI104" s="253" t="n">
        <v>0</v>
      </c>
      <c r="BJ104" s="253" t="n">
        <v>0</v>
      </c>
      <c r="BK104" s="253" t="n">
        <v>0</v>
      </c>
      <c r="BL104" s="253" t="n">
        <v>57</v>
      </c>
      <c r="BM104" s="253" t="n">
        <v>0</v>
      </c>
      <c r="BN104" s="253" t="n">
        <v>0</v>
      </c>
      <c r="BO104" s="253" t="n">
        <v>57</v>
      </c>
      <c r="BP104" s="253" t="n">
        <v>252</v>
      </c>
      <c r="BQ104" s="253" t="n">
        <v>0</v>
      </c>
      <c r="BR104" s="253" t="n">
        <v>0</v>
      </c>
      <c r="BS104" s="253" t="n">
        <v>0</v>
      </c>
      <c r="BT104" s="253" t="n">
        <v>252</v>
      </c>
      <c r="BU104" s="253" t="n">
        <v>0</v>
      </c>
      <c r="BV104" s="253" t="n">
        <v>0</v>
      </c>
      <c r="BW104" s="253" t="n">
        <v>563</v>
      </c>
      <c r="BX104" s="269" t="n">
        <v>0</v>
      </c>
      <c r="BY104" s="254">
        <f>SUM(BU104:BX104)</f>
        <v>563</v>
      </c>
      <c r="BZ104" s="269" t="n">
        <v>0</v>
      </c>
      <c r="CA104" s="269" t="n">
        <v>0</v>
      </c>
      <c r="CB104" s="269" t="n">
        <v>0</v>
      </c>
      <c r="CC104" s="269" t="n">
        <v>0</v>
      </c>
      <c r="CD104" s="269" t="n">
        <v>0</v>
      </c>
      <c r="CE104" s="19" t="inlineStr">
        <is>
          <t>Q3 FY26 severance $563m (organizational efficiency). No further charges assumed (assumption).</t>
        </is>
      </c>
    </row>
    <row r="105" ht="15" customHeight="1" s="251">
      <c r="B105" s="25" t="inlineStr">
        <is>
          <t xml:space="preserve">  Visa Europe items (framework agreement loss FY2016)</t>
        </is>
      </c>
      <c r="C105" s="253" t="n">
        <v>0</v>
      </c>
      <c r="D105" s="253" t="n">
        <v>0</v>
      </c>
      <c r="E105" s="253" t="n">
        <v>0</v>
      </c>
      <c r="F105" s="253" t="n">
        <v>0</v>
      </c>
      <c r="G105" s="253" t="n">
        <v>0</v>
      </c>
      <c r="H105" s="253" t="n">
        <v>0</v>
      </c>
      <c r="I105" s="253" t="n">
        <v>0</v>
      </c>
      <c r="J105" s="253" t="n">
        <v>0</v>
      </c>
      <c r="K105" s="253" t="n">
        <v>0</v>
      </c>
      <c r="L105" s="253" t="n">
        <v>0</v>
      </c>
      <c r="M105" s="253" t="n">
        <v>0</v>
      </c>
      <c r="N105" s="253" t="n">
        <v>0</v>
      </c>
      <c r="O105" s="253" t="n">
        <v>0</v>
      </c>
      <c r="P105" s="253" t="n">
        <v>0</v>
      </c>
      <c r="Q105" s="253" t="n">
        <v>0</v>
      </c>
      <c r="R105" s="253" t="n">
        <v>0</v>
      </c>
      <c r="S105" s="253" t="n">
        <v>0</v>
      </c>
      <c r="T105" s="253" t="n">
        <v>0</v>
      </c>
      <c r="U105" s="253" t="n">
        <v>0</v>
      </c>
      <c r="V105" s="253" t="n">
        <v>0</v>
      </c>
      <c r="W105" s="253" t="n">
        <v>0</v>
      </c>
      <c r="X105" s="253" t="n">
        <v>0</v>
      </c>
      <c r="Y105" s="253" t="n">
        <v>1877</v>
      </c>
      <c r="Z105" s="253" t="n">
        <v>0</v>
      </c>
      <c r="AA105" s="253" t="n">
        <v>1877</v>
      </c>
      <c r="AB105" s="253" t="n">
        <v>0</v>
      </c>
      <c r="AC105" s="253" t="n">
        <v>0</v>
      </c>
      <c r="AD105" s="253" t="n">
        <v>0</v>
      </c>
      <c r="AE105" s="253" t="n">
        <v>0</v>
      </c>
      <c r="AF105" s="253" t="n">
        <v>0</v>
      </c>
      <c r="AG105" s="253" t="n">
        <v>0</v>
      </c>
      <c r="AH105" s="253" t="n">
        <v>0</v>
      </c>
      <c r="AI105" s="253" t="n">
        <v>0</v>
      </c>
      <c r="AJ105" s="253" t="n">
        <v>0</v>
      </c>
      <c r="AK105" s="253" t="n">
        <v>0</v>
      </c>
      <c r="AL105" s="253" t="n">
        <v>0</v>
      </c>
      <c r="AM105" s="253" t="n">
        <v>0</v>
      </c>
      <c r="AN105" s="253" t="n">
        <v>0</v>
      </c>
      <c r="AO105" s="253" t="n">
        <v>0</v>
      </c>
      <c r="AP105" s="253" t="n">
        <v>0</v>
      </c>
      <c r="AQ105" s="253" t="n">
        <v>0</v>
      </c>
      <c r="AR105" s="253" t="n">
        <v>0</v>
      </c>
      <c r="AS105" s="253" t="n">
        <v>0</v>
      </c>
      <c r="AT105" s="253" t="n">
        <v>0</v>
      </c>
      <c r="AU105" s="253" t="n">
        <v>0</v>
      </c>
      <c r="AV105" s="253" t="n">
        <v>0</v>
      </c>
      <c r="AW105" s="253" t="n">
        <v>0</v>
      </c>
      <c r="AX105" s="253" t="n">
        <v>0</v>
      </c>
      <c r="AY105" s="253" t="n">
        <v>0</v>
      </c>
      <c r="AZ105" s="253" t="n">
        <v>0</v>
      </c>
      <c r="BA105" s="253" t="n">
        <v>0</v>
      </c>
      <c r="BB105" s="253" t="n">
        <v>0</v>
      </c>
      <c r="BC105" s="253" t="n">
        <v>0</v>
      </c>
      <c r="BD105" s="253" t="n">
        <v>0</v>
      </c>
      <c r="BE105" s="253" t="n">
        <v>0</v>
      </c>
      <c r="BF105" s="253" t="n">
        <v>0</v>
      </c>
      <c r="BG105" s="253" t="n">
        <v>0</v>
      </c>
      <c r="BH105" s="253" t="n">
        <v>0</v>
      </c>
      <c r="BI105" s="253" t="n">
        <v>0</v>
      </c>
      <c r="BJ105" s="253" t="n">
        <v>0</v>
      </c>
      <c r="BK105" s="253" t="n">
        <v>0</v>
      </c>
      <c r="BL105" s="253" t="n">
        <v>0</v>
      </c>
      <c r="BM105" s="253" t="n">
        <v>0</v>
      </c>
      <c r="BN105" s="253" t="n">
        <v>0</v>
      </c>
      <c r="BO105" s="253" t="n">
        <v>0</v>
      </c>
      <c r="BP105" s="253" t="n">
        <v>0</v>
      </c>
      <c r="BQ105" s="253" t="n">
        <v>0</v>
      </c>
      <c r="BR105" s="253" t="n">
        <v>0</v>
      </c>
      <c r="BS105" s="253" t="n">
        <v>0</v>
      </c>
      <c r="BT105" s="253" t="n">
        <v>0</v>
      </c>
      <c r="BU105" s="253" t="n">
        <v>0</v>
      </c>
      <c r="BV105" s="253" t="n">
        <v>0</v>
      </c>
      <c r="BW105" s="253" t="n">
        <v>0</v>
      </c>
      <c r="BX105" s="254">
        <f>0</f>
        <v>0</v>
      </c>
      <c r="BY105" s="254">
        <f>SUM(BU105:BX105)</f>
        <v>0</v>
      </c>
      <c r="BZ105" s="254">
        <f>0</f>
        <v>0</v>
      </c>
      <c r="CA105" s="254">
        <f>0</f>
        <v>0</v>
      </c>
      <c r="CB105" s="254">
        <f>0</f>
        <v>0</v>
      </c>
      <c r="CC105" s="254">
        <f>0</f>
        <v>0</v>
      </c>
      <c r="CD105" s="254">
        <f>0</f>
        <v>0</v>
      </c>
      <c r="CE105" s="19" t="n"/>
    </row>
    <row r="106" ht="15" customHeight="1" s="251">
      <c r="B106" s="25" t="inlineStr">
        <is>
          <t xml:space="preserve">  Other items (indirect taxes, charitable contributions, Russia-Ukraine charges, IPO-era restructuring)</t>
        </is>
      </c>
      <c r="C106" s="253" t="n">
        <v>0</v>
      </c>
      <c r="D106" s="253" t="n">
        <v>0</v>
      </c>
      <c r="E106" s="253" t="n">
        <v>0</v>
      </c>
      <c r="F106" s="253" t="n">
        <v>0</v>
      </c>
      <c r="G106" s="253" t="n">
        <v>0</v>
      </c>
      <c r="H106" s="253" t="n">
        <v>0</v>
      </c>
      <c r="I106" s="253" t="n">
        <v>0</v>
      </c>
      <c r="J106" s="253" t="n">
        <v>0</v>
      </c>
      <c r="K106" s="253" t="n">
        <v>0</v>
      </c>
      <c r="L106" s="253" t="n">
        <v>0</v>
      </c>
      <c r="M106" s="253" t="n">
        <v>0</v>
      </c>
      <c r="N106" s="253" t="n">
        <v>0</v>
      </c>
      <c r="O106" s="253" t="n">
        <v>0</v>
      </c>
      <c r="P106" s="253" t="n">
        <v>0</v>
      </c>
      <c r="Q106" s="253" t="n">
        <v>0</v>
      </c>
      <c r="R106" s="253" t="n">
        <v>0</v>
      </c>
      <c r="S106" s="253" t="n">
        <v>0</v>
      </c>
      <c r="T106" s="253" t="n">
        <v>0</v>
      </c>
      <c r="U106" s="253" t="n">
        <v>0</v>
      </c>
      <c r="V106" s="253" t="n">
        <v>0</v>
      </c>
      <c r="W106" s="253" t="n">
        <v>0</v>
      </c>
      <c r="X106" s="253" t="n">
        <v>0</v>
      </c>
      <c r="Y106" s="253" t="n">
        <v>0</v>
      </c>
      <c r="Z106" s="253" t="n">
        <v>0</v>
      </c>
      <c r="AA106" s="253" t="n">
        <v>0</v>
      </c>
      <c r="AB106" s="253" t="n">
        <v>0</v>
      </c>
      <c r="AC106" s="253" t="n">
        <v>192</v>
      </c>
      <c r="AD106" s="253" t="n">
        <v>0</v>
      </c>
      <c r="AE106" s="253" t="n">
        <v>0</v>
      </c>
      <c r="AF106" s="253" t="n">
        <v>192</v>
      </c>
      <c r="AG106" s="253" t="n">
        <v>0</v>
      </c>
      <c r="AH106" s="253" t="n">
        <v>0</v>
      </c>
      <c r="AI106" s="253" t="n">
        <v>0</v>
      </c>
      <c r="AJ106" s="253" t="n">
        <v>195</v>
      </c>
      <c r="AK106" s="253" t="n">
        <v>195</v>
      </c>
      <c r="AL106" s="253" t="n">
        <v>0</v>
      </c>
      <c r="AM106" s="253" t="n">
        <v>0</v>
      </c>
      <c r="AN106" s="253" t="n">
        <v>0</v>
      </c>
      <c r="AO106" s="253" t="n">
        <v>0</v>
      </c>
      <c r="AP106" s="253" t="n">
        <v>0</v>
      </c>
      <c r="AQ106" s="253" t="n">
        <v>0</v>
      </c>
      <c r="AR106" s="253" t="n">
        <v>0</v>
      </c>
      <c r="AS106" s="253" t="n">
        <v>0</v>
      </c>
      <c r="AT106" s="253" t="n">
        <v>0</v>
      </c>
      <c r="AU106" s="253" t="n">
        <v>0</v>
      </c>
      <c r="AV106" s="253" t="n">
        <v>0</v>
      </c>
      <c r="AW106" s="253" t="n">
        <v>152</v>
      </c>
      <c r="AX106" s="253" t="n">
        <v>0</v>
      </c>
      <c r="AY106" s="253" t="n">
        <v>0</v>
      </c>
      <c r="AZ106" s="253" t="n">
        <v>152</v>
      </c>
      <c r="BA106" s="253" t="n">
        <v>0</v>
      </c>
      <c r="BB106" s="253" t="n">
        <v>60</v>
      </c>
      <c r="BC106" s="253" t="n">
        <v>0</v>
      </c>
      <c r="BD106" s="253" t="n">
        <v>0</v>
      </c>
      <c r="BE106" s="253" t="n">
        <v>60</v>
      </c>
      <c r="BF106" s="253" t="n">
        <v>0</v>
      </c>
      <c r="BG106" s="253" t="n">
        <v>0</v>
      </c>
      <c r="BH106" s="253" t="n">
        <v>0</v>
      </c>
      <c r="BI106" s="253" t="n">
        <v>0</v>
      </c>
      <c r="BJ106" s="253" t="n">
        <v>0</v>
      </c>
      <c r="BK106" s="253" t="n">
        <v>0</v>
      </c>
      <c r="BL106" s="253" t="n">
        <v>0</v>
      </c>
      <c r="BM106" s="253" t="n">
        <v>-51</v>
      </c>
      <c r="BN106" s="253" t="n">
        <v>0</v>
      </c>
      <c r="BO106" s="253" t="n">
        <v>-51</v>
      </c>
      <c r="BP106" s="253" t="n">
        <v>0</v>
      </c>
      <c r="BQ106" s="253" t="n">
        <v>0</v>
      </c>
      <c r="BR106" s="253" t="n">
        <v>0</v>
      </c>
      <c r="BS106" s="253" t="n">
        <v>0</v>
      </c>
      <c r="BT106" s="253" t="n">
        <v>0</v>
      </c>
      <c r="BU106" s="253" t="n">
        <v>0</v>
      </c>
      <c r="BV106" s="253" t="n">
        <v>0</v>
      </c>
      <c r="BW106" s="253" t="n">
        <v>0</v>
      </c>
      <c r="BX106" s="254">
        <f>0</f>
        <v>0</v>
      </c>
      <c r="BY106" s="254">
        <f>SUM(BU106:BX106)</f>
        <v>0</v>
      </c>
      <c r="BZ106" s="254">
        <f>0</f>
        <v>0</v>
      </c>
      <c r="CA106" s="254">
        <f>0</f>
        <v>0</v>
      </c>
      <c r="CB106" s="254">
        <f>0</f>
        <v>0</v>
      </c>
      <c r="CC106" s="254">
        <f>0</f>
        <v>0</v>
      </c>
      <c r="CD106" s="254">
        <f>0</f>
        <v>0</v>
      </c>
      <c r="CE106" s="19" t="n"/>
    </row>
    <row r="107" ht="15" customHeight="1" s="251">
      <c r="B107" s="25" t="inlineStr">
        <is>
          <t xml:space="preserve">  Non-operating adjusting items (pre-tax; income +):</t>
        </is>
      </c>
      <c r="CE107" s="153" t="n"/>
    </row>
    <row r="108" ht="15" customHeight="1" s="251">
      <c r="B108" s="25" t="inlineStr">
        <is>
          <t xml:space="preserve">  (Gains) losses on equity investments, net (adjustment; + = loss added back)</t>
        </is>
      </c>
      <c r="C108" s="253" t="n">
        <v>0</v>
      </c>
      <c r="D108" s="253" t="n">
        <v>0</v>
      </c>
      <c r="E108" s="253" t="n">
        <v>0</v>
      </c>
      <c r="F108" s="253" t="n">
        <v>0</v>
      </c>
      <c r="G108" s="253" t="n">
        <v>0</v>
      </c>
      <c r="H108" s="253" t="n">
        <v>0</v>
      </c>
      <c r="I108" s="253" t="n">
        <v>0</v>
      </c>
      <c r="J108" s="253" t="n">
        <v>0</v>
      </c>
      <c r="K108" s="253" t="n">
        <v>0</v>
      </c>
      <c r="L108" s="253" t="n">
        <v>0</v>
      </c>
      <c r="M108" s="253" t="n">
        <v>0</v>
      </c>
      <c r="N108" s="253" t="n">
        <v>0</v>
      </c>
      <c r="O108" s="253" t="n">
        <v>0</v>
      </c>
      <c r="P108" s="253" t="n">
        <v>0</v>
      </c>
      <c r="Q108" s="253" t="n">
        <v>0</v>
      </c>
      <c r="R108" s="253" t="n">
        <v>0</v>
      </c>
      <c r="S108" s="253" t="n">
        <v>0</v>
      </c>
      <c r="T108" s="253" t="n">
        <v>0</v>
      </c>
      <c r="U108" s="253" t="n">
        <v>0</v>
      </c>
      <c r="V108" s="253" t="n">
        <v>0</v>
      </c>
      <c r="W108" s="253" t="n">
        <v>0</v>
      </c>
      <c r="X108" s="253" t="n">
        <v>0</v>
      </c>
      <c r="Y108" s="253" t="n">
        <v>0</v>
      </c>
      <c r="Z108" s="253" t="n">
        <v>0</v>
      </c>
      <c r="AA108" s="253" t="n">
        <v>0</v>
      </c>
      <c r="AB108" s="253" t="n">
        <v>0</v>
      </c>
      <c r="AC108" s="253" t="n">
        <v>0</v>
      </c>
      <c r="AD108" s="253" t="n">
        <v>0</v>
      </c>
      <c r="AE108" s="253" t="n">
        <v>0</v>
      </c>
      <c r="AF108" s="253" t="n">
        <v>0</v>
      </c>
      <c r="AG108" s="253" t="n">
        <v>0</v>
      </c>
      <c r="AH108" s="253" t="n">
        <v>0</v>
      </c>
      <c r="AI108" s="253" t="n">
        <v>0</v>
      </c>
      <c r="AJ108" s="253" t="n">
        <v>0</v>
      </c>
      <c r="AK108" s="253" t="n">
        <v>0</v>
      </c>
      <c r="AL108" s="253" t="n">
        <v>0</v>
      </c>
      <c r="AM108" s="253" t="n">
        <v>0</v>
      </c>
      <c r="AN108" s="253" t="n">
        <v>0</v>
      </c>
      <c r="AO108" s="253" t="n">
        <v>0</v>
      </c>
      <c r="AP108" s="253" t="n">
        <v>0</v>
      </c>
      <c r="AQ108" s="253" t="n">
        <v>-13</v>
      </c>
      <c r="AR108" s="253" t="n">
        <v>2</v>
      </c>
      <c r="AS108" s="253" t="n">
        <v>-51</v>
      </c>
      <c r="AT108" s="253" t="n">
        <v>-39</v>
      </c>
      <c r="AU108" s="253" t="n">
        <v>-101</v>
      </c>
      <c r="AV108" s="253" t="n">
        <v>-16</v>
      </c>
      <c r="AW108" s="253" t="n">
        <v>-156</v>
      </c>
      <c r="AX108" s="253" t="n">
        <v>-439</v>
      </c>
      <c r="AY108" s="253" t="n">
        <v>-101</v>
      </c>
      <c r="AZ108" s="253" t="n">
        <v>-712</v>
      </c>
      <c r="BA108" s="253" t="n">
        <v>-231</v>
      </c>
      <c r="BB108" s="253" t="n">
        <v>127</v>
      </c>
      <c r="BC108" s="253" t="n">
        <v>246</v>
      </c>
      <c r="BD108" s="253" t="n">
        <v>122</v>
      </c>
      <c r="BE108" s="253" t="n">
        <v>264</v>
      </c>
      <c r="BF108" s="253" t="n">
        <v>106</v>
      </c>
      <c r="BG108" s="253" t="n">
        <v>90</v>
      </c>
      <c r="BH108" s="253" t="n">
        <v>-85</v>
      </c>
      <c r="BI108" s="253" t="n">
        <v>-7</v>
      </c>
      <c r="BJ108" s="253" t="n">
        <v>104</v>
      </c>
      <c r="BK108" s="253" t="n">
        <v>-4</v>
      </c>
      <c r="BL108" s="253" t="n">
        <v>30</v>
      </c>
      <c r="BM108" s="253" t="n">
        <v>22</v>
      </c>
      <c r="BN108" s="253" t="n">
        <v>46</v>
      </c>
      <c r="BO108" s="253" t="n">
        <v>94</v>
      </c>
      <c r="BP108" s="253" t="n">
        <v>75</v>
      </c>
      <c r="BQ108" s="253" t="n">
        <v>23</v>
      </c>
      <c r="BR108" s="253" t="n">
        <v>35</v>
      </c>
      <c r="BS108" s="253" t="n">
        <v>-46</v>
      </c>
      <c r="BT108" s="253" t="n">
        <v>87</v>
      </c>
      <c r="BU108" s="253" t="n">
        <v>7</v>
      </c>
      <c r="BV108" s="253" t="n">
        <v>15</v>
      </c>
      <c r="BW108" s="253" t="n">
        <v>9</v>
      </c>
      <c r="BX108" s="254">
        <f>0</f>
        <v>0</v>
      </c>
      <c r="BY108" s="254">
        <f>SUM(BU108:BX108)</f>
        <v>31</v>
      </c>
      <c r="BZ108" s="254">
        <f>0</f>
        <v>0</v>
      </c>
      <c r="CA108" s="254">
        <f>0</f>
        <v>0</v>
      </c>
      <c r="CB108" s="254">
        <f>0</f>
        <v>0</v>
      </c>
      <c r="CC108" s="254">
        <f>0</f>
        <v>0</v>
      </c>
      <c r="CD108" s="254">
        <f>0</f>
        <v>0</v>
      </c>
      <c r="CE108" s="19" t="inlineStr">
        <is>
          <t>Fair-value and sale gains / losses on equity investments, excluded from non-GAAP from FY2020. Forecast nil (no market view).</t>
        </is>
      </c>
    </row>
    <row r="109" ht="15" customHeight="1" s="251">
      <c r="B109" s="25" t="inlineStr">
        <is>
          <t xml:space="preserve">  Visa Europe items (put-option revaluation, currency forwards, FX on euro deposits; FY2010–16)</t>
        </is>
      </c>
      <c r="C109" s="253" t="n">
        <v>-35</v>
      </c>
      <c r="D109" s="253" t="n">
        <v>0</v>
      </c>
      <c r="E109" s="253" t="n">
        <v>0</v>
      </c>
      <c r="F109" s="253" t="n">
        <v>0</v>
      </c>
      <c r="G109" s="253" t="n">
        <v>0</v>
      </c>
      <c r="H109" s="253" t="n">
        <v>0</v>
      </c>
      <c r="I109" s="253" t="n">
        <v>0</v>
      </c>
      <c r="J109" s="253" t="n">
        <v>0</v>
      </c>
      <c r="K109" s="253" t="n">
        <v>0</v>
      </c>
      <c r="L109" s="253" t="n">
        <v>0</v>
      </c>
      <c r="M109" s="253" t="n">
        <v>0</v>
      </c>
      <c r="N109" s="253" t="n">
        <v>0</v>
      </c>
      <c r="O109" s="253" t="n">
        <v>0</v>
      </c>
      <c r="P109" s="253" t="n">
        <v>0</v>
      </c>
      <c r="Q109" s="253" t="n">
        <v>0</v>
      </c>
      <c r="R109" s="253" t="n">
        <v>0</v>
      </c>
      <c r="S109" s="253" t="n">
        <v>0</v>
      </c>
      <c r="T109" s="253" t="n">
        <v>0</v>
      </c>
      <c r="U109" s="253" t="n">
        <v>0</v>
      </c>
      <c r="V109" s="253" t="n">
        <v>0</v>
      </c>
      <c r="W109" s="253" t="n">
        <v>0</v>
      </c>
      <c r="X109" s="253" t="n">
        <v>0</v>
      </c>
      <c r="Y109" s="253" t="n">
        <v>-103</v>
      </c>
      <c r="Z109" s="253" t="n">
        <v>0</v>
      </c>
      <c r="AA109" s="253" t="n">
        <v>-474</v>
      </c>
      <c r="AB109" s="253" t="n">
        <v>0</v>
      </c>
      <c r="AC109" s="253" t="n">
        <v>0</v>
      </c>
      <c r="AD109" s="253" t="n">
        <v>0</v>
      </c>
      <c r="AE109" s="253" t="n">
        <v>0</v>
      </c>
      <c r="AF109" s="253" t="n">
        <v>0</v>
      </c>
      <c r="AG109" s="253" t="n">
        <v>0</v>
      </c>
      <c r="AH109" s="253" t="n">
        <v>0</v>
      </c>
      <c r="AI109" s="253" t="n">
        <v>0</v>
      </c>
      <c r="AJ109" s="253" t="n">
        <v>0</v>
      </c>
      <c r="AK109" s="253" t="n">
        <v>0</v>
      </c>
      <c r="AL109" s="253" t="n">
        <v>0</v>
      </c>
      <c r="AM109" s="253" t="n">
        <v>0</v>
      </c>
      <c r="AN109" s="253" t="n">
        <v>0</v>
      </c>
      <c r="AO109" s="253" t="n">
        <v>0</v>
      </c>
      <c r="AP109" s="253" t="n">
        <v>0</v>
      </c>
      <c r="AQ109" s="253" t="n">
        <v>0</v>
      </c>
      <c r="AR109" s="253" t="n">
        <v>0</v>
      </c>
      <c r="AS109" s="253" t="n">
        <v>0</v>
      </c>
      <c r="AT109" s="253" t="n">
        <v>0</v>
      </c>
      <c r="AU109" s="253" t="n">
        <v>0</v>
      </c>
      <c r="AV109" s="253" t="n">
        <v>0</v>
      </c>
      <c r="AW109" s="253" t="n">
        <v>0</v>
      </c>
      <c r="AX109" s="253" t="n">
        <v>0</v>
      </c>
      <c r="AY109" s="253" t="n">
        <v>0</v>
      </c>
      <c r="AZ109" s="253" t="n">
        <v>0</v>
      </c>
      <c r="BA109" s="253" t="n">
        <v>0</v>
      </c>
      <c r="BB109" s="253" t="n">
        <v>0</v>
      </c>
      <c r="BC109" s="253" t="n">
        <v>0</v>
      </c>
      <c r="BD109" s="253" t="n">
        <v>0</v>
      </c>
      <c r="BE109" s="253" t="n">
        <v>0</v>
      </c>
      <c r="BF109" s="253" t="n">
        <v>0</v>
      </c>
      <c r="BG109" s="253" t="n">
        <v>0</v>
      </c>
      <c r="BH109" s="253" t="n">
        <v>0</v>
      </c>
      <c r="BI109" s="253" t="n">
        <v>0</v>
      </c>
      <c r="BJ109" s="253" t="n">
        <v>0</v>
      </c>
      <c r="BK109" s="253" t="n">
        <v>0</v>
      </c>
      <c r="BL109" s="253" t="n">
        <v>0</v>
      </c>
      <c r="BM109" s="253" t="n">
        <v>0</v>
      </c>
      <c r="BN109" s="253" t="n">
        <v>0</v>
      </c>
      <c r="BO109" s="253" t="n">
        <v>0</v>
      </c>
      <c r="BP109" s="253" t="n">
        <v>0</v>
      </c>
      <c r="BQ109" s="253" t="n">
        <v>0</v>
      </c>
      <c r="BR109" s="253" t="n">
        <v>0</v>
      </c>
      <c r="BS109" s="253" t="n">
        <v>0</v>
      </c>
      <c r="BT109" s="253" t="n">
        <v>0</v>
      </c>
      <c r="BU109" s="253" t="n">
        <v>0</v>
      </c>
      <c r="BV109" s="253" t="n">
        <v>0</v>
      </c>
      <c r="BW109" s="253" t="n">
        <v>0</v>
      </c>
      <c r="BX109" s="254">
        <f>0</f>
        <v>0</v>
      </c>
      <c r="BY109" s="254">
        <f>SUM(BU109:BX109)</f>
        <v>0</v>
      </c>
      <c r="BZ109" s="254">
        <f>0</f>
        <v>0</v>
      </c>
      <c r="CA109" s="254">
        <f>0</f>
        <v>0</v>
      </c>
      <c r="CB109" s="254">
        <f>0</f>
        <v>0</v>
      </c>
      <c r="CC109" s="254">
        <f>0</f>
        <v>0</v>
      </c>
      <c r="CD109" s="254">
        <f>0</f>
        <v>0</v>
      </c>
      <c r="CE109" s="19" t="n"/>
    </row>
    <row r="110" ht="15" customHeight="1" s="251">
      <c r="B110" s="25" t="inlineStr">
        <is>
          <t xml:space="preserve">  Other non-operating items (FY2008–09 escrow income / settlement accretion; FY2018 charitable contribution)</t>
        </is>
      </c>
      <c r="C110" s="253" t="n">
        <v>-2</v>
      </c>
      <c r="D110" s="253" t="n">
        <v>19</v>
      </c>
      <c r="E110" s="253" t="n">
        <v>0</v>
      </c>
      <c r="F110" s="253" t="n">
        <v>0</v>
      </c>
      <c r="G110" s="253" t="n">
        <v>0</v>
      </c>
      <c r="H110" s="253" t="n">
        <v>0</v>
      </c>
      <c r="I110" s="253" t="n">
        <v>0</v>
      </c>
      <c r="J110" s="253" t="n">
        <v>0</v>
      </c>
      <c r="K110" s="253" t="n">
        <v>0</v>
      </c>
      <c r="L110" s="253" t="n">
        <v>0</v>
      </c>
      <c r="M110" s="253" t="n">
        <v>0</v>
      </c>
      <c r="N110" s="253" t="n">
        <v>0</v>
      </c>
      <c r="O110" s="253" t="n">
        <v>0</v>
      </c>
      <c r="P110" s="253" t="n">
        <v>0</v>
      </c>
      <c r="Q110" s="253" t="n">
        <v>0</v>
      </c>
      <c r="R110" s="253" t="n">
        <v>0</v>
      </c>
      <c r="S110" s="253" t="n">
        <v>0</v>
      </c>
      <c r="T110" s="253" t="n">
        <v>0</v>
      </c>
      <c r="U110" s="253" t="n">
        <v>0</v>
      </c>
      <c r="V110" s="253" t="n">
        <v>0</v>
      </c>
      <c r="W110" s="253" t="n">
        <v>0</v>
      </c>
      <c r="X110" s="253" t="n">
        <v>0</v>
      </c>
      <c r="Y110" s="253" t="n">
        <v>0</v>
      </c>
      <c r="Z110" s="253" t="n">
        <v>0</v>
      </c>
      <c r="AA110" s="253" t="n">
        <v>0</v>
      </c>
      <c r="AB110" s="253" t="n">
        <v>0</v>
      </c>
      <c r="AC110" s="253" t="n">
        <v>0</v>
      </c>
      <c r="AD110" s="253" t="n">
        <v>0</v>
      </c>
      <c r="AE110" s="253" t="n">
        <v>0</v>
      </c>
      <c r="AF110" s="253" t="n">
        <v>0</v>
      </c>
      <c r="AG110" s="253" t="n">
        <v>0</v>
      </c>
      <c r="AH110" s="253" t="n">
        <v>0</v>
      </c>
      <c r="AI110" s="253" t="n">
        <v>0</v>
      </c>
      <c r="AJ110" s="253" t="n">
        <v>-193</v>
      </c>
      <c r="AK110" s="253" t="n">
        <v>-193</v>
      </c>
      <c r="AL110" s="253" t="n">
        <v>0</v>
      </c>
      <c r="AM110" s="253" t="n">
        <v>0</v>
      </c>
      <c r="AN110" s="253" t="n">
        <v>0</v>
      </c>
      <c r="AO110" s="253" t="n">
        <v>0</v>
      </c>
      <c r="AP110" s="253" t="n">
        <v>0</v>
      </c>
      <c r="AQ110" s="253" t="n">
        <v>0</v>
      </c>
      <c r="AR110" s="253" t="n">
        <v>0</v>
      </c>
      <c r="AS110" s="253" t="n">
        <v>0</v>
      </c>
      <c r="AT110" s="253" t="n">
        <v>0</v>
      </c>
      <c r="AU110" s="253" t="n">
        <v>0</v>
      </c>
      <c r="AV110" s="253" t="n">
        <v>0</v>
      </c>
      <c r="AW110" s="253" t="n">
        <v>0</v>
      </c>
      <c r="AX110" s="253" t="n">
        <v>0</v>
      </c>
      <c r="AY110" s="253" t="n">
        <v>0</v>
      </c>
      <c r="AZ110" s="253" t="n">
        <v>0</v>
      </c>
      <c r="BA110" s="253" t="n">
        <v>0</v>
      </c>
      <c r="BB110" s="253" t="n">
        <v>0</v>
      </c>
      <c r="BC110" s="253" t="n">
        <v>0</v>
      </c>
      <c r="BD110" s="253" t="n">
        <v>0</v>
      </c>
      <c r="BE110" s="253" t="n">
        <v>0</v>
      </c>
      <c r="BF110" s="253" t="n">
        <v>0</v>
      </c>
      <c r="BG110" s="253" t="n">
        <v>0</v>
      </c>
      <c r="BH110" s="253" t="n">
        <v>0</v>
      </c>
      <c r="BI110" s="253" t="n">
        <v>0</v>
      </c>
      <c r="BJ110" s="253" t="n">
        <v>0</v>
      </c>
      <c r="BK110" s="253" t="n">
        <v>0</v>
      </c>
      <c r="BL110" s="253" t="n">
        <v>0</v>
      </c>
      <c r="BM110" s="253" t="n">
        <v>0</v>
      </c>
      <c r="BN110" s="253" t="n">
        <v>0</v>
      </c>
      <c r="BO110" s="253" t="n">
        <v>0</v>
      </c>
      <c r="BP110" s="253" t="n">
        <v>0</v>
      </c>
      <c r="BQ110" s="253" t="n">
        <v>0</v>
      </c>
      <c r="BR110" s="253" t="n">
        <v>0</v>
      </c>
      <c r="BS110" s="253" t="n">
        <v>0</v>
      </c>
      <c r="BT110" s="253" t="n">
        <v>0</v>
      </c>
      <c r="BU110" s="253" t="n">
        <v>0</v>
      </c>
      <c r="BV110" s="253" t="n">
        <v>0</v>
      </c>
      <c r="BW110" s="253" t="n">
        <v>0</v>
      </c>
      <c r="BX110" s="254">
        <f>0</f>
        <v>0</v>
      </c>
      <c r="BY110" s="254">
        <f>SUM(BU110:BX110)</f>
        <v>0</v>
      </c>
      <c r="BZ110" s="254">
        <f>0</f>
        <v>0</v>
      </c>
      <c r="CA110" s="254">
        <f>0</f>
        <v>0</v>
      </c>
      <c r="CB110" s="254">
        <f>0</f>
        <v>0</v>
      </c>
      <c r="CC110" s="254">
        <f>0</f>
        <v>0</v>
      </c>
      <c r="CD110" s="254">
        <f>0</f>
        <v>0</v>
      </c>
      <c r="CE110" s="19" t="n"/>
    </row>
    <row r="111" ht="15" customHeight="1" s="251">
      <c r="CM111" s="11" t="n"/>
      <c r="CN111" s="12" t="n"/>
      <c r="CO111" s="12" t="n"/>
      <c r="CP111" s="12" t="n"/>
      <c r="CQ111" s="13" t="n"/>
    </row>
    <row r="112" ht="15" customHeight="1" s="251">
      <c r="B112" s="10" t="inlineStr">
        <is>
          <t>CONSOLIDATED STATEMENT OF OPERATIONS (US GAAP)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inlineStr">
        <is>
          <t>CONSOLIDATED IS — forecast logic (GAAP lines = adjusted opex × mix + adjusting items on their line; interest on opening balances)</t>
        </is>
      </c>
    </row>
    <row r="113" ht="15" customHeight="1" s="251">
      <c r="B113" s="55" t="inlineStr">
        <is>
          <t>Net revenue</t>
        </is>
      </c>
      <c r="C113" s="275" t="n">
        <v>6263</v>
      </c>
      <c r="D113" s="275" t="n">
        <v>6911</v>
      </c>
      <c r="E113" s="275" t="n">
        <v>8065</v>
      </c>
      <c r="F113" s="275" t="n">
        <v>9188</v>
      </c>
      <c r="G113" s="275" t="n">
        <v>10421</v>
      </c>
      <c r="H113" s="275" t="n">
        <v>2846</v>
      </c>
      <c r="I113" s="275" t="n">
        <v>2958</v>
      </c>
      <c r="J113" s="275" t="n">
        <v>3001</v>
      </c>
      <c r="K113" s="275" t="n">
        <v>2973</v>
      </c>
      <c r="L113" s="275" t="n">
        <v>11778</v>
      </c>
      <c r="M113" s="275" t="n">
        <v>3155</v>
      </c>
      <c r="N113" s="275" t="n">
        <v>3163</v>
      </c>
      <c r="O113" s="275" t="n">
        <v>3155</v>
      </c>
      <c r="P113" s="275" t="n">
        <v>3229</v>
      </c>
      <c r="Q113" s="275" t="n">
        <v>12702</v>
      </c>
      <c r="R113" s="275" t="n">
        <v>3382</v>
      </c>
      <c r="S113" s="275" t="n">
        <v>3409</v>
      </c>
      <c r="T113" s="275" t="n">
        <v>3518</v>
      </c>
      <c r="U113" s="275" t="n">
        <v>3571</v>
      </c>
      <c r="V113" s="275" t="n">
        <v>13880</v>
      </c>
      <c r="W113" s="275" t="n">
        <v>3565</v>
      </c>
      <c r="X113" s="275" t="n">
        <v>3626</v>
      </c>
      <c r="Y113" s="275" t="n">
        <v>3630</v>
      </c>
      <c r="Z113" s="275" t="n">
        <v>4261</v>
      </c>
      <c r="AA113" s="275" t="n">
        <v>15082</v>
      </c>
      <c r="AB113" s="275" t="n">
        <v>4461</v>
      </c>
      <c r="AC113" s="275" t="n">
        <v>4477</v>
      </c>
      <c r="AD113" s="275" t="n">
        <v>4565</v>
      </c>
      <c r="AE113" s="275" t="n">
        <v>4855</v>
      </c>
      <c r="AF113" s="275" t="n">
        <v>18358</v>
      </c>
      <c r="AG113" s="275" t="n">
        <v>4862</v>
      </c>
      <c r="AH113" s="275" t="n">
        <v>5073</v>
      </c>
      <c r="AI113" s="275" t="n">
        <v>5240</v>
      </c>
      <c r="AJ113" s="275" t="n">
        <v>5434</v>
      </c>
      <c r="AK113" s="275" t="n">
        <v>20609</v>
      </c>
      <c r="AL113" s="275" t="n">
        <v>5506</v>
      </c>
      <c r="AM113" s="275" t="n">
        <v>5494</v>
      </c>
      <c r="AN113" s="275" t="n">
        <v>5840</v>
      </c>
      <c r="AO113" s="275" t="n">
        <v>6137</v>
      </c>
      <c r="AP113" s="275" t="n">
        <v>22977</v>
      </c>
      <c r="AQ113" s="275" t="n">
        <v>6054</v>
      </c>
      <c r="AR113" s="275" t="n">
        <v>5854</v>
      </c>
      <c r="AS113" s="275" t="n">
        <v>4837</v>
      </c>
      <c r="AT113" s="275" t="n">
        <v>5101</v>
      </c>
      <c r="AU113" s="275" t="n">
        <v>21846</v>
      </c>
      <c r="AV113" s="275" t="n">
        <v>5687</v>
      </c>
      <c r="AW113" s="275" t="n">
        <v>5729</v>
      </c>
      <c r="AX113" s="275" t="n">
        <v>6130</v>
      </c>
      <c r="AY113" s="275" t="n">
        <v>6559</v>
      </c>
      <c r="AZ113" s="275" t="n">
        <v>24105</v>
      </c>
      <c r="BA113" s="275" t="n">
        <v>7059</v>
      </c>
      <c r="BB113" s="275" t="n">
        <v>7189</v>
      </c>
      <c r="BC113" s="275" t="n">
        <v>7275</v>
      </c>
      <c r="BD113" s="275" t="n">
        <v>7787</v>
      </c>
      <c r="BE113" s="275" t="n">
        <v>29310</v>
      </c>
      <c r="BF113" s="275" t="n">
        <v>7936</v>
      </c>
      <c r="BG113" s="275" t="n">
        <v>7985</v>
      </c>
      <c r="BH113" s="275" t="n">
        <v>8123</v>
      </c>
      <c r="BI113" s="275" t="n">
        <v>8609</v>
      </c>
      <c r="BJ113" s="275" t="n">
        <v>32653</v>
      </c>
      <c r="BK113" s="275" t="n">
        <v>8634</v>
      </c>
      <c r="BL113" s="275" t="n">
        <v>8775</v>
      </c>
      <c r="BM113" s="275" t="n">
        <v>8900</v>
      </c>
      <c r="BN113" s="275" t="n">
        <v>9617</v>
      </c>
      <c r="BO113" s="275" t="n">
        <v>35926</v>
      </c>
      <c r="BP113" s="275" t="n">
        <v>9510</v>
      </c>
      <c r="BQ113" s="275" t="n">
        <v>9594</v>
      </c>
      <c r="BR113" s="275" t="n">
        <v>10172</v>
      </c>
      <c r="BS113" s="275" t="n">
        <v>10724</v>
      </c>
      <c r="BT113" s="275" t="n">
        <v>40000</v>
      </c>
      <c r="BU113" s="275" t="n">
        <v>10901</v>
      </c>
      <c r="BV113" s="275" t="n">
        <v>11230</v>
      </c>
      <c r="BW113" s="275" t="n">
        <v>11633</v>
      </c>
      <c r="BX113" s="266">
        <f>BX39</f>
        <v>12118.12</v>
      </c>
      <c r="BY113" s="266">
        <f>SUM(BU113:BX113)</f>
        <v>45882.12</v>
      </c>
      <c r="BZ113" s="266">
        <f>BZ39</f>
        <v>50708.9761969297</v>
      </c>
      <c r="CA113" s="266">
        <f>CA39</f>
        <v>56227.8030588733</v>
      </c>
      <c r="CB113" s="266">
        <f>CB39</f>
        <v>61929.9516310405</v>
      </c>
      <c r="CC113" s="266">
        <f>CC39</f>
        <v>67768.7481321861</v>
      </c>
      <c r="CD113" s="266">
        <f>CD39</f>
        <v>73943.1061978779</v>
      </c>
      <c r="CE113" s="153" t="inlineStr">
        <is>
          <t>Forecast linked to the revenue build.</t>
        </is>
      </c>
      <c r="CG113" s="20">
        <f>IFERROR((CD113/BY113)^(1/5)-1,"n/m")</f>
        <v>0.100147314080238</v>
      </c>
      <c r="CH113" s="20">
        <f>IFERROR((BT113/AU113)^(1/5)-1,"n/m")</f>
        <v>0.128593676004242</v>
      </c>
      <c r="CI113" s="20">
        <f>IFERROR((BT113/V113)^(1/10)-1,"n/m")</f>
        <v>0.111647389648976</v>
      </c>
      <c r="CJ113" s="20">
        <f>IFERROR((BT113/C113)^(1/17)-1,"n/m")</f>
        <v>0.11524239238905</v>
      </c>
    </row>
    <row r="114" ht="15" customHeight="1" s="251">
      <c r="B114" s="22" t="inlineStr">
        <is>
          <t xml:space="preserve">  Net revenue y/y %</t>
        </is>
      </c>
      <c r="C114" s="23" t="n"/>
      <c r="D114" s="255">
        <f>IF(AND(ISNUMBER(D113),ISNUMBER(C113)),IFERROR(D113/C113-1,""),"")</f>
        <v>0.103464793230081</v>
      </c>
      <c r="E114" s="255">
        <f>IF(AND(ISNUMBER(E113),ISNUMBER(D113)),IFERROR(E113/D113-1,""),"")</f>
        <v>0.166980176530169</v>
      </c>
      <c r="F114" s="255">
        <f>IF(AND(ISNUMBER(F113),ISNUMBER(E113)),IFERROR(F113/E113-1,""),"")</f>
        <v>0.139243645381277</v>
      </c>
      <c r="G114" s="255">
        <f>IF(AND(ISNUMBER(G113),ISNUMBER(F113)),IFERROR(G113/F113-1,""),"")</f>
        <v>0.134196778406617</v>
      </c>
      <c r="H114" s="23" t="n"/>
      <c r="I114" s="23" t="n"/>
      <c r="J114" s="23" t="n"/>
      <c r="K114" s="23" t="n"/>
      <c r="L114" s="255">
        <f>IF(AND(ISNUMBER(L113),ISNUMBER(G113)),IFERROR(L113/G113-1,""),"")</f>
        <v>0.130217829382977</v>
      </c>
      <c r="M114" s="255">
        <f>IF(AND(ISNUMBER(M113),ISNUMBER(H113)),IFERROR(M113/H113-1,""),"")</f>
        <v>0.108573436401968</v>
      </c>
      <c r="N114" s="255">
        <f>IF(AND(ISNUMBER(N113),ISNUMBER(I113)),IFERROR(N113/I113-1,""),"")</f>
        <v>0.0693035835023665</v>
      </c>
      <c r="O114" s="255">
        <f>IF(AND(ISNUMBER(O113),ISNUMBER(J113)),IFERROR(O113/J113-1,""),"")</f>
        <v>0.0513162279240254</v>
      </c>
      <c r="P114" s="255">
        <f>IF(AND(ISNUMBER(P113),ISNUMBER(K113)),IFERROR(P113/K113-1,""),"")</f>
        <v>0.0861083081062899</v>
      </c>
      <c r="Q114" s="255">
        <f>IF(AND(ISNUMBER(Q113),ISNUMBER(L113)),IFERROR(Q113/L113-1,""),"")</f>
        <v>0.0784513499745287</v>
      </c>
      <c r="R114" s="255">
        <f>IF(AND(ISNUMBER(R113),ISNUMBER(M113)),IFERROR(R113/M113-1,""),"")</f>
        <v>0.0719492868462757</v>
      </c>
      <c r="S114" s="255">
        <f>IF(AND(ISNUMBER(S113),ISNUMBER(N113)),IFERROR(S113/N113-1,""),"")</f>
        <v>0.0777742649383497</v>
      </c>
      <c r="T114" s="255">
        <f>IF(AND(ISNUMBER(T113),ISNUMBER(O113)),IFERROR(T113/O113-1,""),"")</f>
        <v>0.115055467511886</v>
      </c>
      <c r="U114" s="255">
        <f>IF(AND(ISNUMBER(U113),ISNUMBER(P113)),IFERROR(U113/P113-1,""),"")</f>
        <v>0.105915144007433</v>
      </c>
      <c r="V114" s="255">
        <f>IF(AND(ISNUMBER(V113),ISNUMBER(Q113)),IFERROR(V113/Q113-1,""),"")</f>
        <v>0.0927413005825855</v>
      </c>
      <c r="W114" s="255">
        <f>IF(AND(ISNUMBER(W113),ISNUMBER(R113)),IFERROR(W113/R113-1,""),"")</f>
        <v>0.0541099940863394</v>
      </c>
      <c r="X114" s="255">
        <f>IF(AND(ISNUMBER(X113),ISNUMBER(S113)),IFERROR(X113/S113-1,""),"")</f>
        <v>0.0636550308008215</v>
      </c>
      <c r="Y114" s="255">
        <f>IF(AND(ISNUMBER(Y113),ISNUMBER(T113)),IFERROR(Y113/T113-1,""),"")</f>
        <v>0.0318362706083002</v>
      </c>
      <c r="Z114" s="255">
        <f>IF(AND(ISNUMBER(Z113),ISNUMBER(U113)),IFERROR(Z113/U113-1,""),"")</f>
        <v>0.193223186782414</v>
      </c>
      <c r="AA114" s="255">
        <f>IF(AND(ISNUMBER(AA113),ISNUMBER(V113)),IFERROR(AA113/V113-1,""),"")</f>
        <v>0.0865994236311238</v>
      </c>
      <c r="AB114" s="255">
        <f>IF(AND(ISNUMBER(AB113),ISNUMBER(W113)),IFERROR(AB113/W113-1,""),"")</f>
        <v>0.251332398316971</v>
      </c>
      <c r="AC114" s="255">
        <f>IF(AND(ISNUMBER(AC113),ISNUMBER(X113)),IFERROR(AC113/X113-1,""),"")</f>
        <v>0.23469387755102</v>
      </c>
      <c r="AD114" s="255">
        <f>IF(AND(ISNUMBER(AD113),ISNUMBER(Y113)),IFERROR(AD113/Y113-1,""),"")</f>
        <v>0.257575757575758</v>
      </c>
      <c r="AE114" s="255">
        <f>IF(AND(ISNUMBER(AE113),ISNUMBER(Z113)),IFERROR(AE113/Z113-1,""),"")</f>
        <v>0.139403895799108</v>
      </c>
      <c r="AF114" s="255">
        <f>IF(AND(ISNUMBER(AF113),ISNUMBER(AA113)),IFERROR(AF113/AA113-1,""),"")</f>
        <v>0.217212571277019</v>
      </c>
      <c r="AG114" s="255">
        <f>IF(AND(ISNUMBER(AG113),ISNUMBER(AB113)),IFERROR(AG113/AB113-1,""),"")</f>
        <v>0.0898901591571397</v>
      </c>
      <c r="AH114" s="255">
        <f>IF(AND(ISNUMBER(AH113),ISNUMBER(AC113)),IFERROR(AH113/AC113-1,""),"")</f>
        <v>0.133124860397588</v>
      </c>
      <c r="AI114" s="255">
        <f>IF(AND(ISNUMBER(AI113),ISNUMBER(AD113)),IFERROR(AI113/AD113-1,""),"")</f>
        <v>0.147864184008762</v>
      </c>
      <c r="AJ114" s="255">
        <f>IF(AND(ISNUMBER(AJ113),ISNUMBER(AE113)),IFERROR(AJ113/AE113-1,""),"")</f>
        <v>0.119258496395469</v>
      </c>
      <c r="AK114" s="255">
        <f>IF(AND(ISNUMBER(AK113),ISNUMBER(AF113)),IFERROR(AK113/AF113-1,""),"")</f>
        <v>0.122616842793333</v>
      </c>
      <c r="AL114" s="255">
        <f>IF(AND(ISNUMBER(AL113),ISNUMBER(AG113)),IFERROR(AL113/AG113-1,""),"")</f>
        <v>0.132455779514603</v>
      </c>
      <c r="AM114" s="255">
        <f>IF(AND(ISNUMBER(AM113),ISNUMBER(AH113)),IFERROR(AM113/AH113-1,""),"")</f>
        <v>0.0829883698009069</v>
      </c>
      <c r="AN114" s="255">
        <f>IF(AND(ISNUMBER(AN113),ISNUMBER(AI113)),IFERROR(AN113/AI113-1,""),"")</f>
        <v>0.114503816793893</v>
      </c>
      <c r="AO114" s="255">
        <f>IF(AND(ISNUMBER(AO113),ISNUMBER(AJ113)),IFERROR(AO113/AJ113-1,""),"")</f>
        <v>0.129370629370629</v>
      </c>
      <c r="AP114" s="255">
        <f>IF(AND(ISNUMBER(AP113),ISNUMBER(AK113)),IFERROR(AP113/AK113-1,""),"")</f>
        <v>0.114901256732495</v>
      </c>
      <c r="AQ114" s="255">
        <f>IF(AND(ISNUMBER(AQ113),ISNUMBER(AL113)),IFERROR(AQ113/AL113-1,""),"")</f>
        <v>0.0995277878677805</v>
      </c>
      <c r="AR114" s="255">
        <f>IF(AND(ISNUMBER(AR113),ISNUMBER(AM113)),IFERROR(AR113/AM113-1,""),"")</f>
        <v>0.0655260283946124</v>
      </c>
      <c r="AS114" s="255">
        <f>IF(AND(ISNUMBER(AS113),ISNUMBER(AN113)),IFERROR(AS113/AN113-1,""),"")</f>
        <v>-0.171746575342466</v>
      </c>
      <c r="AT114" s="255">
        <f>IF(AND(ISNUMBER(AT113),ISNUMBER(AO113)),IFERROR(AT113/AO113-1,""),"")</f>
        <v>-0.168812123187225</v>
      </c>
      <c r="AU114" s="255">
        <f>IF(AND(ISNUMBER(AU113),ISNUMBER(AP113)),IFERROR(AU113/AP113-1,""),"")</f>
        <v>-0.0492231361796579</v>
      </c>
      <c r="AV114" s="255">
        <f>IF(AND(ISNUMBER(AV113),ISNUMBER(AQ113)),IFERROR(AV113/AQ113-1,""),"")</f>
        <v>-0.0606210769739015</v>
      </c>
      <c r="AW114" s="255">
        <f>IF(AND(ISNUMBER(AW113),ISNUMBER(AR113)),IFERROR(AW113/AR113-1,""),"")</f>
        <v>-0.0213529210796037</v>
      </c>
      <c r="AX114" s="255">
        <f>IF(AND(ISNUMBER(AX113),ISNUMBER(AS113)),IFERROR(AX113/AS113-1,""),"")</f>
        <v>0.267314451106057</v>
      </c>
      <c r="AY114" s="255">
        <f>IF(AND(ISNUMBER(AY113),ISNUMBER(AT113)),IFERROR(AY113/AT113-1,""),"")</f>
        <v>0.285826308566948</v>
      </c>
      <c r="AZ114" s="255">
        <f>IF(AND(ISNUMBER(AZ113),ISNUMBER(AU113)),IFERROR(AZ113/AU113-1,""),"")</f>
        <v>0.103405657786322</v>
      </c>
      <c r="BA114" s="255">
        <f>IF(AND(ISNUMBER(BA113),ISNUMBER(AV113)),IFERROR(BA113/AV113-1,""),"")</f>
        <v>0.241251978195885</v>
      </c>
      <c r="BB114" s="255">
        <f>IF(AND(ISNUMBER(BB113),ISNUMBER(AW113)),IFERROR(BB113/AW113-1,""),"")</f>
        <v>0.254843777273521</v>
      </c>
      <c r="BC114" s="255">
        <f>IF(AND(ISNUMBER(BC113),ISNUMBER(AX113)),IFERROR(BC113/AX113-1,""),"")</f>
        <v>0.186786296900489</v>
      </c>
      <c r="BD114" s="255">
        <f>IF(AND(ISNUMBER(BD113),ISNUMBER(AY113)),IFERROR(BD113/AY113-1,""),"")</f>
        <v>0.187223662143619</v>
      </c>
      <c r="BE114" s="255">
        <f>IF(AND(ISNUMBER(BE113),ISNUMBER(AZ113)),IFERROR(BE113/AZ113-1,""),"")</f>
        <v>0.215930304915993</v>
      </c>
      <c r="BF114" s="255">
        <f>IF(AND(ISNUMBER(BF113),ISNUMBER(BA113)),IFERROR(BF113/BA113-1,""),"")</f>
        <v>0.124238560702649</v>
      </c>
      <c r="BG114" s="255">
        <f>IF(AND(ISNUMBER(BG113),ISNUMBER(BB113)),IFERROR(BG113/BB113-1,""),"")</f>
        <v>0.110724718319655</v>
      </c>
      <c r="BH114" s="255">
        <f>IF(AND(ISNUMBER(BH113),ISNUMBER(BC113)),IFERROR(BH113/BC113-1,""),"")</f>
        <v>0.116563573883161</v>
      </c>
      <c r="BI114" s="255">
        <f>IF(AND(ISNUMBER(BI113),ISNUMBER(BD113)),IFERROR(BI113/BD113-1,""),"")</f>
        <v>0.105560549634005</v>
      </c>
      <c r="BJ114" s="255">
        <f>IF(AND(ISNUMBER(BJ113),ISNUMBER(BE113)),IFERROR(BJ113/BE113-1,""),"")</f>
        <v>0.114056635960423</v>
      </c>
      <c r="BK114" s="255">
        <f>IF(AND(ISNUMBER(BK113),ISNUMBER(BF113)),IFERROR(BK113/BF113-1,""),"")</f>
        <v>0.087953629032258</v>
      </c>
      <c r="BL114" s="255">
        <f>IF(AND(ISNUMBER(BL113),ISNUMBER(BG113)),IFERROR(BL113/BG113-1,""),"")</f>
        <v>0.0989355040701314</v>
      </c>
      <c r="BM114" s="255">
        <f>IF(AND(ISNUMBER(BM113),ISNUMBER(BH113)),IFERROR(BM113/BH113-1,""),"")</f>
        <v>0.0956543149082851</v>
      </c>
      <c r="BN114" s="255">
        <f>IF(AND(ISNUMBER(BN113),ISNUMBER(BI113)),IFERROR(BN113/BI113-1,""),"")</f>
        <v>0.117086769659658</v>
      </c>
      <c r="BO114" s="255">
        <f>IF(AND(ISNUMBER(BO113),ISNUMBER(BJ113)),IFERROR(BO113/BJ113-1,""),"")</f>
        <v>0.100235812942149</v>
      </c>
      <c r="BP114" s="255">
        <f>IF(AND(ISNUMBER(BP113),ISNUMBER(BK113)),IFERROR(BP113/BK113-1,""),"")</f>
        <v>0.101459346768589</v>
      </c>
      <c r="BQ114" s="255">
        <f>IF(AND(ISNUMBER(BQ113),ISNUMBER(BL113)),IFERROR(BQ113/BL113-1,""),"")</f>
        <v>0.0933333333333333</v>
      </c>
      <c r="BR114" s="255">
        <f>IF(AND(ISNUMBER(BR113),ISNUMBER(BM113)),IFERROR(BR113/BM113-1,""),"")</f>
        <v>0.142921348314607</v>
      </c>
      <c r="BS114" s="255">
        <f>IF(AND(ISNUMBER(BS113),ISNUMBER(BN113)),IFERROR(BS113/BN113-1,""),"")</f>
        <v>0.115108661744827</v>
      </c>
      <c r="BT114" s="255">
        <f>IF(AND(ISNUMBER(BT113),ISNUMBER(BO113)),IFERROR(BT113/BO113-1,""),"")</f>
        <v>0.113399766186049</v>
      </c>
      <c r="BU114" s="255">
        <f>IF(AND(ISNUMBER(BU113),ISNUMBER(BP113)),IFERROR(BU113/BP113-1,""),"")</f>
        <v>0.146267087276551</v>
      </c>
      <c r="BV114" s="255">
        <f>IF(AND(ISNUMBER(BV113),ISNUMBER(BQ113)),IFERROR(BV113/BQ113-1,""),"")</f>
        <v>0.170523243693975</v>
      </c>
      <c r="BW114" s="255">
        <f>IF(AND(ISNUMBER(BW113),ISNUMBER(BR113)),IFERROR(BW113/BR113-1,""),"")</f>
        <v>0.143629571372395</v>
      </c>
      <c r="BX114" s="256">
        <f>IF(AND(ISNUMBER(BX113),ISNUMBER(BS113)),IFERROR(BX113/BS113-1,""),"")</f>
        <v>0.13</v>
      </c>
      <c r="BY114" s="256">
        <f>IF(AND(ISNUMBER(BY113),ISNUMBER(BT113)),IFERROR(BY113/BT113-1,""),"")</f>
        <v>0.147053</v>
      </c>
      <c r="BZ114" s="256">
        <f>IF(AND(ISNUMBER(BZ113),ISNUMBER(BY113)),IFERROR(BZ113/BY113-1,""),"")</f>
        <v>0.105201246083</v>
      </c>
      <c r="CA114" s="256">
        <f>IF(AND(ISNUMBER(CA113),ISNUMBER(BZ113)),IFERROR(CA113/BZ113-1,""),"")</f>
        <v>0.108833332396834</v>
      </c>
      <c r="CB114" s="256">
        <f>IF(AND(ISNUMBER(CB113),ISNUMBER(CA113)),IFERROR(CB113/CA113-1,""),"")</f>
        <v>0.101411548414879</v>
      </c>
      <c r="CC114" s="256">
        <f>IF(AND(ISNUMBER(CC113),ISNUMBER(CB113)),IFERROR(CC113/CB113-1,""),"")</f>
        <v>0.094280656570368</v>
      </c>
      <c r="CD114" s="256">
        <f>IF(AND(ISNUMBER(CD113),ISNUMBER(CC113)),IFERROR(CD113/CC113-1,""),"")</f>
        <v>0.0911092241758458</v>
      </c>
      <c r="CE114" s="153" t="n"/>
    </row>
    <row r="115" ht="15" customHeight="1" s="251">
      <c r="B115" s="25" t="inlineStr">
        <is>
          <t>Personnel</t>
        </is>
      </c>
      <c r="C115" s="253" t="n">
        <v>1199</v>
      </c>
      <c r="D115" s="253" t="n">
        <v>1143</v>
      </c>
      <c r="E115" s="253" t="n">
        <v>1222</v>
      </c>
      <c r="F115" s="253" t="n">
        <v>1459</v>
      </c>
      <c r="G115" s="253" t="n">
        <v>1726</v>
      </c>
      <c r="H115" s="253" t="n">
        <v>454</v>
      </c>
      <c r="I115" s="253" t="n">
        <v>486</v>
      </c>
      <c r="J115" s="253" t="n">
        <v>493</v>
      </c>
      <c r="K115" s="253" t="n">
        <v>499</v>
      </c>
      <c r="L115" s="253" t="n">
        <v>1932</v>
      </c>
      <c r="M115" s="253" t="n">
        <v>470</v>
      </c>
      <c r="N115" s="253" t="n">
        <v>446</v>
      </c>
      <c r="O115" s="253" t="n">
        <v>463</v>
      </c>
      <c r="P115" s="253" t="n">
        <v>496</v>
      </c>
      <c r="Q115" s="253" t="n">
        <v>1875</v>
      </c>
      <c r="R115" s="253" t="n">
        <v>509</v>
      </c>
      <c r="S115" s="253" t="n">
        <v>483</v>
      </c>
      <c r="T115" s="253" t="n">
        <v>566</v>
      </c>
      <c r="U115" s="253" t="n">
        <v>521</v>
      </c>
      <c r="V115" s="253" t="n">
        <v>2079</v>
      </c>
      <c r="W115" s="253" t="n">
        <v>499</v>
      </c>
      <c r="X115" s="253" t="n">
        <v>528</v>
      </c>
      <c r="Y115" s="253" t="n">
        <v>509</v>
      </c>
      <c r="Z115" s="253" t="n">
        <v>690</v>
      </c>
      <c r="AA115" s="253" t="n">
        <v>2226</v>
      </c>
      <c r="AB115" s="253" t="n">
        <v>571</v>
      </c>
      <c r="AC115" s="253" t="n">
        <v>704</v>
      </c>
      <c r="AD115" s="253" t="n">
        <v>698</v>
      </c>
      <c r="AE115" s="253" t="n">
        <v>655</v>
      </c>
      <c r="AF115" s="253" t="n">
        <v>2628</v>
      </c>
      <c r="AG115" s="253" t="n">
        <v>679</v>
      </c>
      <c r="AH115" s="253" t="n">
        <v>824</v>
      </c>
      <c r="AI115" s="253" t="n">
        <v>852</v>
      </c>
      <c r="AJ115" s="253" t="n">
        <v>815</v>
      </c>
      <c r="AK115" s="253" t="n">
        <v>3170</v>
      </c>
      <c r="AL115" s="253" t="n">
        <v>807</v>
      </c>
      <c r="AM115" s="253" t="n">
        <v>894</v>
      </c>
      <c r="AN115" s="253" t="n">
        <v>872</v>
      </c>
      <c r="AO115" s="253" t="n">
        <v>871</v>
      </c>
      <c r="AP115" s="253" t="n">
        <v>3444</v>
      </c>
      <c r="AQ115" s="253" t="n">
        <v>982</v>
      </c>
      <c r="AR115" s="253" t="n">
        <v>940</v>
      </c>
      <c r="AS115" s="253" t="n">
        <v>941</v>
      </c>
      <c r="AT115" s="253" t="n">
        <v>922</v>
      </c>
      <c r="AU115" s="253" t="n">
        <v>3785</v>
      </c>
      <c r="AV115" s="253" t="n">
        <v>981</v>
      </c>
      <c r="AW115" s="253" t="n">
        <v>1114</v>
      </c>
      <c r="AX115" s="253" t="n">
        <v>1098</v>
      </c>
      <c r="AY115" s="253" t="n">
        <v>1047</v>
      </c>
      <c r="AZ115" s="253" t="n">
        <v>4240</v>
      </c>
      <c r="BA115" s="253" t="n">
        <v>1125</v>
      </c>
      <c r="BB115" s="253" t="n">
        <v>1226</v>
      </c>
      <c r="BC115" s="253" t="n">
        <v>1283</v>
      </c>
      <c r="BD115" s="253" t="n">
        <v>1356</v>
      </c>
      <c r="BE115" s="253" t="n">
        <v>4990</v>
      </c>
      <c r="BF115" s="253" t="n">
        <v>1337</v>
      </c>
      <c r="BG115" s="253" t="n">
        <v>1515</v>
      </c>
      <c r="BH115" s="253" t="n">
        <v>1481</v>
      </c>
      <c r="BI115" s="253" t="n">
        <v>1498</v>
      </c>
      <c r="BJ115" s="253" t="n">
        <v>5831</v>
      </c>
      <c r="BK115" s="253" t="n">
        <v>1479</v>
      </c>
      <c r="BL115" s="253" t="n">
        <v>1603</v>
      </c>
      <c r="BM115" s="253" t="n">
        <v>1573</v>
      </c>
      <c r="BN115" s="253" t="n">
        <v>1609</v>
      </c>
      <c r="BO115" s="253" t="n">
        <v>6264</v>
      </c>
      <c r="BP115" s="253" t="n">
        <v>1813</v>
      </c>
      <c r="BQ115" s="253" t="n">
        <v>1657</v>
      </c>
      <c r="BR115" s="253" t="n">
        <v>1749</v>
      </c>
      <c r="BS115" s="253" t="n">
        <v>1742</v>
      </c>
      <c r="BT115" s="253" t="n">
        <v>6961</v>
      </c>
      <c r="BU115" s="253" t="n">
        <v>1764</v>
      </c>
      <c r="BV115" s="253" t="n">
        <v>1841</v>
      </c>
      <c r="BW115" s="253" t="n">
        <v>2458</v>
      </c>
      <c r="BX115" s="254">
        <f>BX55*BX87+BX104</f>
        <v>2091.1091148625</v>
      </c>
      <c r="BY115" s="254">
        <f>SUM(BU115:BX115)</f>
        <v>8154.1091148625</v>
      </c>
      <c r="BZ115" s="254">
        <f>BZ55*BZ87+BZ104</f>
        <v>8340.29213765291</v>
      </c>
      <c r="CA115" s="254">
        <f>CA55*CA87+CA104</f>
        <v>9191.08319231582</v>
      </c>
      <c r="CB115" s="254">
        <f>CB55*CB87+CB104</f>
        <v>10029.141964541</v>
      </c>
      <c r="CC115" s="254">
        <f>CC55*CC87+CC104</f>
        <v>10974.6960537953</v>
      </c>
      <c r="CD115" s="254">
        <f>CD55*CD87+CD104</f>
        <v>11899.7508962172</v>
      </c>
      <c r="CE115" s="19" t="n"/>
      <c r="CG115" s="20">
        <f>IFERROR((CD115/BY115)^(1/5)-1,"n/m")</f>
        <v>0.0785301006012869</v>
      </c>
      <c r="CH115" s="20">
        <f>IFERROR((BT115/AU115)^(1/5)-1,"n/m")</f>
        <v>0.129590808823991</v>
      </c>
      <c r="CI115" s="20">
        <f>IFERROR((BT115/V115)^(1/10)-1,"n/m")</f>
        <v>0.128448424277374</v>
      </c>
      <c r="CJ115" s="20">
        <f>IFERROR((BT115/C115)^(1/17)-1,"n/m")</f>
        <v>0.1090024283135</v>
      </c>
    </row>
    <row r="116" ht="15" customHeight="1" s="251">
      <c r="B116" s="25" t="inlineStr">
        <is>
          <t>Marketing</t>
        </is>
      </c>
      <c r="C116" s="253" t="n">
        <v>1016</v>
      </c>
      <c r="D116" s="253" t="n">
        <v>918</v>
      </c>
      <c r="E116" s="253" t="n">
        <v>964</v>
      </c>
      <c r="F116" s="253" t="n">
        <v>870</v>
      </c>
      <c r="G116" s="253" t="n">
        <v>873</v>
      </c>
      <c r="H116" s="253" t="n">
        <v>193</v>
      </c>
      <c r="I116" s="253" t="n">
        <v>195</v>
      </c>
      <c r="J116" s="253" t="n">
        <v>252</v>
      </c>
      <c r="K116" s="253" t="n">
        <v>236</v>
      </c>
      <c r="L116" s="253" t="n">
        <v>876</v>
      </c>
      <c r="M116" s="253" t="n">
        <v>186</v>
      </c>
      <c r="N116" s="253" t="n">
        <v>245</v>
      </c>
      <c r="O116" s="253" t="n">
        <v>228</v>
      </c>
      <c r="P116" s="253" t="n">
        <v>241</v>
      </c>
      <c r="Q116" s="253" t="n">
        <v>900</v>
      </c>
      <c r="R116" s="253" t="n">
        <v>205</v>
      </c>
      <c r="S116" s="253" t="n">
        <v>190</v>
      </c>
      <c r="T116" s="253" t="n">
        <v>224</v>
      </c>
      <c r="U116" s="253" t="n">
        <v>253</v>
      </c>
      <c r="V116" s="253" t="n">
        <v>872</v>
      </c>
      <c r="W116" s="253" t="n">
        <v>194</v>
      </c>
      <c r="X116" s="253" t="n">
        <v>186</v>
      </c>
      <c r="Y116" s="253" t="n">
        <v>189</v>
      </c>
      <c r="Z116" s="253" t="n">
        <v>300</v>
      </c>
      <c r="AA116" s="253" t="n">
        <v>869</v>
      </c>
      <c r="AB116" s="253" t="n">
        <v>218</v>
      </c>
      <c r="AC116" s="253" t="n">
        <v>193</v>
      </c>
      <c r="AD116" s="253" t="n">
        <v>221</v>
      </c>
      <c r="AE116" s="253" t="n">
        <v>290</v>
      </c>
      <c r="AF116" s="253" t="n">
        <v>922</v>
      </c>
      <c r="AG116" s="253" t="n">
        <v>223</v>
      </c>
      <c r="AH116" s="253" t="n">
        <v>261</v>
      </c>
      <c r="AI116" s="253" t="n">
        <v>240</v>
      </c>
      <c r="AJ116" s="253" t="n">
        <v>264</v>
      </c>
      <c r="AK116" s="253" t="n">
        <v>988</v>
      </c>
      <c r="AL116" s="253" t="n">
        <v>276</v>
      </c>
      <c r="AM116" s="253" t="n">
        <v>241</v>
      </c>
      <c r="AN116" s="253" t="n">
        <v>282</v>
      </c>
      <c r="AO116" s="253" t="n">
        <v>306</v>
      </c>
      <c r="AP116" s="253" t="n">
        <v>1105</v>
      </c>
      <c r="AQ116" s="253" t="n">
        <v>274</v>
      </c>
      <c r="AR116" s="253" t="n">
        <v>235</v>
      </c>
      <c r="AS116" s="253" t="n">
        <v>174</v>
      </c>
      <c r="AT116" s="253" t="n">
        <v>288</v>
      </c>
      <c r="AU116" s="253" t="n">
        <v>971</v>
      </c>
      <c r="AV116" s="253" t="n">
        <v>205</v>
      </c>
      <c r="AW116" s="253" t="n">
        <v>206</v>
      </c>
      <c r="AX116" s="253" t="n">
        <v>268</v>
      </c>
      <c r="AY116" s="253" t="n">
        <v>457</v>
      </c>
      <c r="AZ116" s="253" t="n">
        <v>1136</v>
      </c>
      <c r="BA116" s="253" t="n">
        <v>280</v>
      </c>
      <c r="BB116" s="253" t="n">
        <v>314</v>
      </c>
      <c r="BC116" s="253" t="n">
        <v>313</v>
      </c>
      <c r="BD116" s="253" t="n">
        <v>429</v>
      </c>
      <c r="BE116" s="253" t="n">
        <v>1336</v>
      </c>
      <c r="BF116" s="253" t="n">
        <v>332</v>
      </c>
      <c r="BG116" s="253" t="n">
        <v>309</v>
      </c>
      <c r="BH116" s="253" t="n">
        <v>297</v>
      </c>
      <c r="BI116" s="253" t="n">
        <v>403</v>
      </c>
      <c r="BJ116" s="253" t="n">
        <v>1341</v>
      </c>
      <c r="BK116" s="253" t="n">
        <v>293</v>
      </c>
      <c r="BL116" s="253" t="n">
        <v>338</v>
      </c>
      <c r="BM116" s="253" t="n">
        <v>378</v>
      </c>
      <c r="BN116" s="253" t="n">
        <v>551</v>
      </c>
      <c r="BO116" s="253" t="n">
        <v>1560</v>
      </c>
      <c r="BP116" s="253" t="n">
        <v>306</v>
      </c>
      <c r="BQ116" s="253" t="n">
        <v>381</v>
      </c>
      <c r="BR116" s="253" t="n">
        <v>421</v>
      </c>
      <c r="BS116" s="253" t="n">
        <v>576</v>
      </c>
      <c r="BT116" s="253" t="n">
        <v>1684</v>
      </c>
      <c r="BU116" s="253" t="n">
        <v>410</v>
      </c>
      <c r="BV116" s="253" t="n">
        <v>545</v>
      </c>
      <c r="BW116" s="253" t="n">
        <v>649</v>
      </c>
      <c r="BX116" s="254">
        <f>BX55*BX88</f>
        <v>609.843458225354</v>
      </c>
      <c r="BY116" s="254">
        <f>SUM(BU116:BX116)</f>
        <v>2213.84345822535</v>
      </c>
      <c r="BZ116" s="254">
        <f>BZ55*BZ88</f>
        <v>2432.33247069005</v>
      </c>
      <c r="CA116" s="254">
        <f>CA55*CA88</f>
        <v>2680.45408008629</v>
      </c>
      <c r="CB116" s="254">
        <f>CB55*CB88</f>
        <v>2924.86249293159</v>
      </c>
      <c r="CC116" s="254">
        <f>CC55*CC88</f>
        <v>3200.62044914322</v>
      </c>
      <c r="CD116" s="254">
        <f>CD55*CD88</f>
        <v>3470.40007955134</v>
      </c>
      <c r="CE116" s="19" t="n"/>
      <c r="CG116" s="20">
        <f>IFERROR((CD116/BY116)^(1/5)-1,"n/m")</f>
        <v>0.0940735712685255</v>
      </c>
      <c r="CH116" s="20">
        <f>IFERROR((BT116/AU116)^(1/5)-1,"n/m")</f>
        <v>0.116412194081974</v>
      </c>
      <c r="CI116" s="20">
        <f>IFERROR((BT116/V116)^(1/10)-1,"n/m")</f>
        <v>0.0680278073988192</v>
      </c>
      <c r="CJ116" s="20">
        <f>IFERROR((BT116/C116)^(1/17)-1,"n/m")</f>
        <v>0.0301695961030291</v>
      </c>
    </row>
    <row r="117" ht="15" customHeight="1" s="251">
      <c r="B117" s="25" t="inlineStr">
        <is>
          <t>Network and processing</t>
        </is>
      </c>
      <c r="C117" s="253" t="n">
        <v>339</v>
      </c>
      <c r="D117" s="253" t="n">
        <v>393</v>
      </c>
      <c r="E117" s="253" t="n">
        <v>425</v>
      </c>
      <c r="F117" s="253" t="n">
        <v>357</v>
      </c>
      <c r="G117" s="253" t="n">
        <v>414</v>
      </c>
      <c r="H117" s="253" t="n">
        <v>110</v>
      </c>
      <c r="I117" s="253" t="n">
        <v>119</v>
      </c>
      <c r="J117" s="253" t="n">
        <v>117</v>
      </c>
      <c r="K117" s="253" t="n">
        <v>122</v>
      </c>
      <c r="L117" s="253" t="n">
        <v>468</v>
      </c>
      <c r="M117" s="253" t="n">
        <v>132</v>
      </c>
      <c r="N117" s="253" t="n">
        <v>120</v>
      </c>
      <c r="O117" s="253" t="n">
        <v>127</v>
      </c>
      <c r="P117" s="253" t="n">
        <v>128</v>
      </c>
      <c r="Q117" s="253" t="n">
        <v>507</v>
      </c>
      <c r="R117" s="253" t="n">
        <v>114</v>
      </c>
      <c r="S117" s="253" t="n">
        <v>109</v>
      </c>
      <c r="T117" s="253" t="n">
        <v>117</v>
      </c>
      <c r="U117" s="253" t="n">
        <v>134</v>
      </c>
      <c r="V117" s="253" t="n">
        <v>474</v>
      </c>
      <c r="W117" s="253" t="n">
        <v>128</v>
      </c>
      <c r="X117" s="253" t="n">
        <v>126</v>
      </c>
      <c r="Y117" s="253" t="n">
        <v>123</v>
      </c>
      <c r="Z117" s="253" t="n">
        <v>161</v>
      </c>
      <c r="AA117" s="253" t="n">
        <v>538</v>
      </c>
      <c r="AB117" s="253" t="n">
        <v>145</v>
      </c>
      <c r="AC117" s="253" t="n">
        <v>150</v>
      </c>
      <c r="AD117" s="253" t="n">
        <v>158</v>
      </c>
      <c r="AE117" s="253" t="n">
        <v>167</v>
      </c>
      <c r="AF117" s="253" t="n">
        <v>620</v>
      </c>
      <c r="AG117" s="253" t="n">
        <v>160</v>
      </c>
      <c r="AH117" s="253" t="n">
        <v>169</v>
      </c>
      <c r="AI117" s="253" t="n">
        <v>169</v>
      </c>
      <c r="AJ117" s="253" t="n">
        <v>188</v>
      </c>
      <c r="AK117" s="253" t="n">
        <v>686</v>
      </c>
      <c r="AL117" s="253" t="n">
        <v>173</v>
      </c>
      <c r="AM117" s="253" t="n">
        <v>171</v>
      </c>
      <c r="AN117" s="253" t="n">
        <v>184</v>
      </c>
      <c r="AO117" s="253" t="n">
        <v>193</v>
      </c>
      <c r="AP117" s="253" t="n">
        <v>721</v>
      </c>
      <c r="AQ117" s="253" t="n">
        <v>181</v>
      </c>
      <c r="AR117" s="253" t="n">
        <v>183</v>
      </c>
      <c r="AS117" s="253" t="n">
        <v>172</v>
      </c>
      <c r="AT117" s="253" t="n">
        <v>191</v>
      </c>
      <c r="AU117" s="253" t="n">
        <v>727</v>
      </c>
      <c r="AV117" s="253" t="n">
        <v>173</v>
      </c>
      <c r="AW117" s="253" t="n">
        <v>179</v>
      </c>
      <c r="AX117" s="253" t="n">
        <v>186</v>
      </c>
      <c r="AY117" s="253" t="n">
        <v>192</v>
      </c>
      <c r="AZ117" s="253" t="n">
        <v>730</v>
      </c>
      <c r="BA117" s="253" t="n">
        <v>190</v>
      </c>
      <c r="BB117" s="253" t="n">
        <v>190</v>
      </c>
      <c r="BC117" s="253" t="n">
        <v>178</v>
      </c>
      <c r="BD117" s="253" t="n">
        <v>185</v>
      </c>
      <c r="BE117" s="253" t="n">
        <v>743</v>
      </c>
      <c r="BF117" s="253" t="n">
        <v>178</v>
      </c>
      <c r="BG117" s="253" t="n">
        <v>179</v>
      </c>
      <c r="BH117" s="253" t="n">
        <v>182</v>
      </c>
      <c r="BI117" s="253" t="n">
        <v>197</v>
      </c>
      <c r="BJ117" s="253" t="n">
        <v>736</v>
      </c>
      <c r="BK117" s="253" t="n">
        <v>181</v>
      </c>
      <c r="BL117" s="253" t="n">
        <v>189</v>
      </c>
      <c r="BM117" s="253" t="n">
        <v>200</v>
      </c>
      <c r="BN117" s="253" t="n">
        <v>208</v>
      </c>
      <c r="BO117" s="253" t="n">
        <v>778</v>
      </c>
      <c r="BP117" s="253" t="n">
        <v>207</v>
      </c>
      <c r="BQ117" s="253" t="n">
        <v>224</v>
      </c>
      <c r="BR117" s="253" t="n">
        <v>224</v>
      </c>
      <c r="BS117" s="253" t="n">
        <v>239</v>
      </c>
      <c r="BT117" s="253" t="n">
        <v>894</v>
      </c>
      <c r="BU117" s="253" t="n">
        <v>233</v>
      </c>
      <c r="BV117" s="253" t="n">
        <v>260</v>
      </c>
      <c r="BW117" s="253" t="n">
        <v>280</v>
      </c>
      <c r="BX117" s="254">
        <f>BX55*BX89</f>
        <v>293.895881052493</v>
      </c>
      <c r="BY117" s="254">
        <f>SUM(BU117:BX117)</f>
        <v>1066.89588105249</v>
      </c>
      <c r="BZ117" s="254">
        <f>BZ55*BZ89</f>
        <v>1172.19014952831</v>
      </c>
      <c r="CA117" s="254">
        <f>CA55*CA89</f>
        <v>1291.76496502911</v>
      </c>
      <c r="CB117" s="254">
        <f>CB55*CB89</f>
        <v>1409.5503161073</v>
      </c>
      <c r="CC117" s="254">
        <f>CC55*CC89</f>
        <v>1542.44364537887</v>
      </c>
      <c r="CD117" s="254">
        <f>CD55*CD89</f>
        <v>1672.45589868653</v>
      </c>
      <c r="CE117" s="19" t="n"/>
    </row>
    <row r="118" ht="15" customHeight="1" s="251">
      <c r="B118" s="25" t="inlineStr">
        <is>
          <t>Professional fees</t>
        </is>
      </c>
      <c r="C118" s="253" t="n">
        <v>438</v>
      </c>
      <c r="D118" s="253" t="n">
        <v>353</v>
      </c>
      <c r="E118" s="253" t="n">
        <v>286</v>
      </c>
      <c r="F118" s="253" t="n">
        <v>337</v>
      </c>
      <c r="G118" s="253" t="n">
        <v>385</v>
      </c>
      <c r="H118" s="253" t="n">
        <v>88</v>
      </c>
      <c r="I118" s="253" t="n">
        <v>91</v>
      </c>
      <c r="J118" s="253" t="n">
        <v>103</v>
      </c>
      <c r="K118" s="253" t="n">
        <v>130</v>
      </c>
      <c r="L118" s="253" t="n">
        <v>412</v>
      </c>
      <c r="M118" s="253" t="n">
        <v>75</v>
      </c>
      <c r="N118" s="253" t="n">
        <v>77</v>
      </c>
      <c r="O118" s="253" t="n">
        <v>82</v>
      </c>
      <c r="P118" s="253" t="n">
        <v>94</v>
      </c>
      <c r="Q118" s="253" t="n">
        <v>328</v>
      </c>
      <c r="R118" s="253" t="n">
        <v>70</v>
      </c>
      <c r="S118" s="253" t="n">
        <v>77</v>
      </c>
      <c r="T118" s="253" t="n">
        <v>82</v>
      </c>
      <c r="U118" s="253" t="n">
        <v>107</v>
      </c>
      <c r="V118" s="253" t="n">
        <v>336</v>
      </c>
      <c r="W118" s="253" t="n">
        <v>72</v>
      </c>
      <c r="X118" s="253" t="n">
        <v>66</v>
      </c>
      <c r="Y118" s="253" t="n">
        <v>138</v>
      </c>
      <c r="Z118" s="253" t="n">
        <v>113</v>
      </c>
      <c r="AA118" s="253" t="n">
        <v>389</v>
      </c>
      <c r="AB118" s="253" t="n">
        <v>80</v>
      </c>
      <c r="AC118" s="253" t="n">
        <v>83</v>
      </c>
      <c r="AD118" s="253" t="n">
        <v>102</v>
      </c>
      <c r="AE118" s="253" t="n">
        <v>144</v>
      </c>
      <c r="AF118" s="253" t="n">
        <v>409</v>
      </c>
      <c r="AG118" s="253" t="n">
        <v>92</v>
      </c>
      <c r="AH118" s="253" t="n">
        <v>108</v>
      </c>
      <c r="AI118" s="253" t="n">
        <v>112</v>
      </c>
      <c r="AJ118" s="253" t="n">
        <v>134</v>
      </c>
      <c r="AK118" s="253" t="n">
        <v>446</v>
      </c>
      <c r="AL118" s="253" t="n">
        <v>91</v>
      </c>
      <c r="AM118" s="253" t="n">
        <v>101</v>
      </c>
      <c r="AN118" s="253" t="n">
        <v>113</v>
      </c>
      <c r="AO118" s="253" t="n">
        <v>149</v>
      </c>
      <c r="AP118" s="253" t="n">
        <v>454</v>
      </c>
      <c r="AQ118" s="253" t="n">
        <v>106</v>
      </c>
      <c r="AR118" s="253" t="n">
        <v>103</v>
      </c>
      <c r="AS118" s="253" t="n">
        <v>95</v>
      </c>
      <c r="AT118" s="253" t="n">
        <v>104</v>
      </c>
      <c r="AU118" s="253" t="n">
        <v>408</v>
      </c>
      <c r="AV118" s="253" t="n">
        <v>83</v>
      </c>
      <c r="AW118" s="253" t="n">
        <v>82</v>
      </c>
      <c r="AX118" s="253" t="n">
        <v>108</v>
      </c>
      <c r="AY118" s="253" t="n">
        <v>130</v>
      </c>
      <c r="AZ118" s="253" t="n">
        <v>403</v>
      </c>
      <c r="BA118" s="253" t="n">
        <v>100</v>
      </c>
      <c r="BB118" s="253" t="n">
        <v>125</v>
      </c>
      <c r="BC118" s="253" t="n">
        <v>117</v>
      </c>
      <c r="BD118" s="253" t="n">
        <v>163</v>
      </c>
      <c r="BE118" s="253" t="n">
        <v>505</v>
      </c>
      <c r="BF118" s="253" t="n">
        <v>109</v>
      </c>
      <c r="BG118" s="253" t="n">
        <v>130</v>
      </c>
      <c r="BH118" s="253" t="n">
        <v>133</v>
      </c>
      <c r="BI118" s="253" t="n">
        <v>173</v>
      </c>
      <c r="BJ118" s="253" t="n">
        <v>545</v>
      </c>
      <c r="BK118" s="253" t="n">
        <v>131</v>
      </c>
      <c r="BL118" s="253" t="n">
        <v>160</v>
      </c>
      <c r="BM118" s="253" t="n">
        <v>152</v>
      </c>
      <c r="BN118" s="253" t="n">
        <v>192</v>
      </c>
      <c r="BO118" s="253" t="n">
        <v>635</v>
      </c>
      <c r="BP118" s="253" t="n">
        <v>143</v>
      </c>
      <c r="BQ118" s="253" t="n">
        <v>173</v>
      </c>
      <c r="BR118" s="253" t="n">
        <v>187</v>
      </c>
      <c r="BS118" s="253" t="n">
        <v>256</v>
      </c>
      <c r="BT118" s="253" t="n">
        <v>759</v>
      </c>
      <c r="BU118" s="253" t="n">
        <v>208</v>
      </c>
      <c r="BV118" s="253" t="n">
        <v>238</v>
      </c>
      <c r="BW118" s="253" t="n">
        <v>246</v>
      </c>
      <c r="BX118" s="254">
        <f>BX55*BX90</f>
        <v>263.099546815427</v>
      </c>
      <c r="BY118" s="254">
        <f>SUM(BU118:BX118)</f>
        <v>955.099546815427</v>
      </c>
      <c r="BZ118" s="254">
        <f>BZ55*BZ90</f>
        <v>1049.36039259197</v>
      </c>
      <c r="CA118" s="254">
        <f>CA55*CA90</f>
        <v>1156.40537619683</v>
      </c>
      <c r="CB118" s="254">
        <f>CB55*CB90</f>
        <v>1261.84840717497</v>
      </c>
      <c r="CC118" s="254">
        <f>CC55*CC90</f>
        <v>1380.8163034957</v>
      </c>
      <c r="CD118" s="254">
        <f>CD55*CD90</f>
        <v>1497.20502185133</v>
      </c>
      <c r="CE118" s="19" t="n"/>
    </row>
    <row r="119" ht="15" customHeight="1" s="251">
      <c r="B119" s="25" t="inlineStr">
        <is>
          <t>Depreciation and amortization</t>
        </is>
      </c>
      <c r="C119" s="253" t="n">
        <v>237</v>
      </c>
      <c r="D119" s="253" t="n">
        <v>226</v>
      </c>
      <c r="E119" s="253" t="n">
        <v>265</v>
      </c>
      <c r="F119" s="253" t="n">
        <v>288</v>
      </c>
      <c r="G119" s="253" t="n">
        <v>333</v>
      </c>
      <c r="H119" s="253" t="n">
        <v>92</v>
      </c>
      <c r="I119" s="253" t="n">
        <v>98</v>
      </c>
      <c r="J119" s="253" t="n">
        <v>101</v>
      </c>
      <c r="K119" s="253" t="n">
        <v>106</v>
      </c>
      <c r="L119" s="253" t="n">
        <v>397</v>
      </c>
      <c r="M119" s="253" t="n">
        <v>107</v>
      </c>
      <c r="N119" s="253" t="n">
        <v>107</v>
      </c>
      <c r="O119" s="253" t="n">
        <v>109</v>
      </c>
      <c r="P119" s="253" t="n">
        <v>112</v>
      </c>
      <c r="Q119" s="253" t="n">
        <v>435</v>
      </c>
      <c r="R119" s="253" t="n">
        <v>120</v>
      </c>
      <c r="S119" s="253" t="n">
        <v>125</v>
      </c>
      <c r="T119" s="253" t="n">
        <v>130</v>
      </c>
      <c r="U119" s="253" t="n">
        <v>119</v>
      </c>
      <c r="V119" s="253" t="n">
        <v>494</v>
      </c>
      <c r="W119" s="253" t="n">
        <v>120</v>
      </c>
      <c r="X119" s="253" t="n">
        <v>121</v>
      </c>
      <c r="Y119" s="253" t="n">
        <v>120</v>
      </c>
      <c r="Z119" s="253" t="n">
        <v>141</v>
      </c>
      <c r="AA119" s="253" t="n">
        <v>502</v>
      </c>
      <c r="AB119" s="253" t="n">
        <v>146</v>
      </c>
      <c r="AC119" s="253" t="n">
        <v>131</v>
      </c>
      <c r="AD119" s="253" t="n">
        <v>132</v>
      </c>
      <c r="AE119" s="253" t="n">
        <v>147</v>
      </c>
      <c r="AF119" s="253" t="n">
        <v>556</v>
      </c>
      <c r="AG119" s="253" t="n">
        <v>145</v>
      </c>
      <c r="AH119" s="253" t="n">
        <v>153</v>
      </c>
      <c r="AI119" s="253" t="n">
        <v>152</v>
      </c>
      <c r="AJ119" s="253" t="n">
        <v>163</v>
      </c>
      <c r="AK119" s="253" t="n">
        <v>613</v>
      </c>
      <c r="AL119" s="253" t="n">
        <v>159</v>
      </c>
      <c r="AM119" s="253" t="n">
        <v>160</v>
      </c>
      <c r="AN119" s="253" t="n">
        <v>165</v>
      </c>
      <c r="AO119" s="253" t="n">
        <v>172</v>
      </c>
      <c r="AP119" s="253" t="n">
        <v>656</v>
      </c>
      <c r="AQ119" s="253" t="n">
        <v>182</v>
      </c>
      <c r="AR119" s="253" t="n">
        <v>192</v>
      </c>
      <c r="AS119" s="253" t="n">
        <v>197</v>
      </c>
      <c r="AT119" s="253" t="n">
        <v>196</v>
      </c>
      <c r="AU119" s="253" t="n">
        <v>767</v>
      </c>
      <c r="AV119" s="253" t="n">
        <v>197</v>
      </c>
      <c r="AW119" s="253" t="n">
        <v>201</v>
      </c>
      <c r="AX119" s="253" t="n">
        <v>204</v>
      </c>
      <c r="AY119" s="253" t="n">
        <v>202</v>
      </c>
      <c r="AZ119" s="253" t="n">
        <v>804</v>
      </c>
      <c r="BA119" s="253" t="n">
        <v>198</v>
      </c>
      <c r="BB119" s="253" t="n">
        <v>207</v>
      </c>
      <c r="BC119" s="253" t="n">
        <v>230</v>
      </c>
      <c r="BD119" s="253" t="n">
        <v>226</v>
      </c>
      <c r="BE119" s="253" t="n">
        <v>861</v>
      </c>
      <c r="BF119" s="253" t="n">
        <v>227</v>
      </c>
      <c r="BG119" s="253" t="n">
        <v>234</v>
      </c>
      <c r="BH119" s="253" t="n">
        <v>235</v>
      </c>
      <c r="BI119" s="253" t="n">
        <v>247</v>
      </c>
      <c r="BJ119" s="253" t="n">
        <v>943</v>
      </c>
      <c r="BK119" s="253" t="n">
        <v>247</v>
      </c>
      <c r="BL119" s="253" t="n">
        <v>249</v>
      </c>
      <c r="BM119" s="253" t="n">
        <v>264</v>
      </c>
      <c r="BN119" s="253" t="n">
        <v>274</v>
      </c>
      <c r="BO119" s="253" t="n">
        <v>1034</v>
      </c>
      <c r="BP119" s="253" t="n">
        <v>282</v>
      </c>
      <c r="BQ119" s="253" t="n">
        <v>305</v>
      </c>
      <c r="BR119" s="253" t="n">
        <v>317</v>
      </c>
      <c r="BS119" s="253" t="n">
        <v>316</v>
      </c>
      <c r="BT119" s="253" t="n">
        <v>1220</v>
      </c>
      <c r="BU119" s="253" t="n">
        <v>326</v>
      </c>
      <c r="BV119" s="253" t="n">
        <v>333</v>
      </c>
      <c r="BW119" s="253" t="n">
        <v>367</v>
      </c>
      <c r="BX119" s="254">
        <f>BX55*BX91+BX100</f>
        <v>390.21302191855</v>
      </c>
      <c r="BY119" s="254">
        <f>SUM(BU119:BX119)</f>
        <v>1416.21302191855</v>
      </c>
      <c r="BZ119" s="254">
        <f>BZ55*BZ91+BZ100</f>
        <v>1548.942716331</v>
      </c>
      <c r="CA119" s="254">
        <f>CA55*CA91+CA100</f>
        <v>1677.3804065727</v>
      </c>
      <c r="CB119" s="254">
        <f>CB55*CB91+CB100</f>
        <v>1803.83186075411</v>
      </c>
      <c r="CC119" s="254">
        <f>CC55*CC91+CC100</f>
        <v>1947.05258439207</v>
      </c>
      <c r="CD119" s="254">
        <f>CD55*CD91+CD100</f>
        <v>2097.07542552417</v>
      </c>
      <c r="CE119" s="19" t="n"/>
    </row>
    <row r="120" ht="15" customHeight="1" s="251">
      <c r="B120" s="25" t="inlineStr">
        <is>
          <t>General and administrative</t>
        </is>
      </c>
      <c r="C120" s="253" t="n">
        <v>332</v>
      </c>
      <c r="D120" s="253" t="n">
        <v>338</v>
      </c>
      <c r="E120" s="253" t="n">
        <v>359</v>
      </c>
      <c r="F120" s="253" t="n">
        <v>414</v>
      </c>
      <c r="G120" s="253" t="n">
        <v>451</v>
      </c>
      <c r="H120" s="253" t="n">
        <v>106</v>
      </c>
      <c r="I120" s="253" t="n">
        <v>108</v>
      </c>
      <c r="J120" s="253" t="n">
        <v>108</v>
      </c>
      <c r="K120" s="253" t="n">
        <v>129</v>
      </c>
      <c r="L120" s="253" t="n">
        <v>451</v>
      </c>
      <c r="M120" s="253" t="n">
        <v>108</v>
      </c>
      <c r="N120" s="253" t="n">
        <v>120</v>
      </c>
      <c r="O120" s="253" t="n">
        <v>126</v>
      </c>
      <c r="P120" s="253" t="n">
        <v>153</v>
      </c>
      <c r="Q120" s="253" t="n">
        <v>507</v>
      </c>
      <c r="R120" s="253" t="n">
        <v>126</v>
      </c>
      <c r="S120" s="253" t="n">
        <v>141</v>
      </c>
      <c r="T120" s="253" t="n">
        <v>137</v>
      </c>
      <c r="U120" s="253" t="n">
        <v>143</v>
      </c>
      <c r="V120" s="253" t="n">
        <v>547</v>
      </c>
      <c r="W120" s="253" t="n">
        <v>156</v>
      </c>
      <c r="X120" s="253" t="n">
        <v>164</v>
      </c>
      <c r="Y120" s="253" t="n">
        <v>246</v>
      </c>
      <c r="Z120" s="253" t="n">
        <v>230</v>
      </c>
      <c r="AA120" s="253" t="n">
        <v>796</v>
      </c>
      <c r="AB120" s="253" t="n">
        <v>186</v>
      </c>
      <c r="AC120" s="253" t="n">
        <v>406</v>
      </c>
      <c r="AD120" s="253" t="n">
        <v>230</v>
      </c>
      <c r="AE120" s="253" t="n">
        <v>238</v>
      </c>
      <c r="AF120" s="253" t="n">
        <v>1060</v>
      </c>
      <c r="AG120" s="253" t="n">
        <v>236</v>
      </c>
      <c r="AH120" s="253" t="n">
        <v>222</v>
      </c>
      <c r="AI120" s="253" t="n">
        <v>230</v>
      </c>
      <c r="AJ120" s="253" t="n">
        <v>457</v>
      </c>
      <c r="AK120" s="253" t="n">
        <v>1145</v>
      </c>
      <c r="AL120" s="253" t="n">
        <v>276</v>
      </c>
      <c r="AM120" s="253" t="n">
        <v>264</v>
      </c>
      <c r="AN120" s="253" t="n">
        <v>315</v>
      </c>
      <c r="AO120" s="253" t="n">
        <v>341</v>
      </c>
      <c r="AP120" s="253" t="n">
        <v>1196</v>
      </c>
      <c r="AQ120" s="253" t="n">
        <v>313</v>
      </c>
      <c r="AR120" s="253" t="n">
        <v>269</v>
      </c>
      <c r="AS120" s="253" t="n">
        <v>258</v>
      </c>
      <c r="AT120" s="253" t="n">
        <v>256</v>
      </c>
      <c r="AU120" s="253" t="n">
        <v>1096</v>
      </c>
      <c r="AV120" s="253" t="n">
        <v>203</v>
      </c>
      <c r="AW120" s="253" t="n">
        <v>363</v>
      </c>
      <c r="AX120" s="253" t="n">
        <v>204</v>
      </c>
      <c r="AY120" s="253" t="n">
        <v>215</v>
      </c>
      <c r="AZ120" s="253" t="n">
        <v>985</v>
      </c>
      <c r="BA120" s="253" t="n">
        <v>242</v>
      </c>
      <c r="BB120" s="253" t="n">
        <v>325</v>
      </c>
      <c r="BC120" s="253" t="n">
        <v>289</v>
      </c>
      <c r="BD120" s="253" t="n">
        <v>338</v>
      </c>
      <c r="BE120" s="253" t="n">
        <v>1194</v>
      </c>
      <c r="BF120" s="253" t="n">
        <v>322</v>
      </c>
      <c r="BG120" s="253" t="n">
        <v>282</v>
      </c>
      <c r="BH120" s="253" t="n">
        <v>314</v>
      </c>
      <c r="BI120" s="253" t="n">
        <v>412</v>
      </c>
      <c r="BJ120" s="253" t="n">
        <v>1330</v>
      </c>
      <c r="BK120" s="253" t="n">
        <v>340</v>
      </c>
      <c r="BL120" s="253" t="n">
        <v>452</v>
      </c>
      <c r="BM120" s="253" t="n">
        <v>382</v>
      </c>
      <c r="BN120" s="253" t="n">
        <v>424</v>
      </c>
      <c r="BO120" s="253" t="n">
        <v>1598</v>
      </c>
      <c r="BP120" s="253" t="n">
        <v>481</v>
      </c>
      <c r="BQ120" s="253" t="n">
        <v>419</v>
      </c>
      <c r="BR120" s="253" t="n">
        <v>482</v>
      </c>
      <c r="BS120" s="253" t="n">
        <v>544</v>
      </c>
      <c r="BT120" s="253" t="n">
        <v>1926</v>
      </c>
      <c r="BU120" s="253" t="n">
        <v>515</v>
      </c>
      <c r="BV120" s="253" t="n">
        <v>450</v>
      </c>
      <c r="BW120" s="253" t="n">
        <v>503</v>
      </c>
      <c r="BX120" s="254">
        <f>BX55*BX92+BX102</f>
        <v>549.563530090304</v>
      </c>
      <c r="BY120" s="254">
        <f>SUM(BU120:BX120)</f>
        <v>2017.5635300903</v>
      </c>
      <c r="BZ120" s="254">
        <f>BZ55*BZ92+BZ102</f>
        <v>2222.08195373454</v>
      </c>
      <c r="CA120" s="254">
        <f>CA55*CA92+CA102</f>
        <v>2439.57508516292</v>
      </c>
      <c r="CB120" s="254">
        <f>CB55*CB92+CB102</f>
        <v>2653.81338220811</v>
      </c>
      <c r="CC120" s="254">
        <f>CC55*CC92+CC102</f>
        <v>2895.53139120659</v>
      </c>
      <c r="CD120" s="254">
        <f>CD55*CD92+CD102</f>
        <v>3132.00904728752</v>
      </c>
      <c r="CE120" s="19" t="n"/>
    </row>
    <row r="121" ht="15" customHeight="1" s="251">
      <c r="B121" s="25" t="inlineStr">
        <is>
          <t>Litigation provision</t>
        </is>
      </c>
      <c r="C121" s="253" t="n">
        <v>1470</v>
      </c>
      <c r="D121" s="253" t="n">
        <v>2</v>
      </c>
      <c r="E121" s="253" t="n">
        <v>-45</v>
      </c>
      <c r="F121" s="253" t="n">
        <v>7</v>
      </c>
      <c r="G121" s="253" t="n">
        <v>4100</v>
      </c>
      <c r="H121" s="253" t="n">
        <v>3</v>
      </c>
      <c r="I121" s="253" t="n">
        <v>1</v>
      </c>
      <c r="J121" s="253" t="n">
        <v>-1</v>
      </c>
      <c r="K121" s="253" t="n">
        <v>0</v>
      </c>
      <c r="L121" s="253" t="n">
        <v>3</v>
      </c>
      <c r="M121" s="253" t="n">
        <v>0</v>
      </c>
      <c r="N121" s="253" t="n">
        <v>0</v>
      </c>
      <c r="O121" s="253" t="n">
        <v>0</v>
      </c>
      <c r="P121" s="253" t="n">
        <v>453</v>
      </c>
      <c r="Q121" s="253" t="n">
        <v>453</v>
      </c>
      <c r="R121" s="34" t="n"/>
      <c r="S121" s="253" t="n">
        <v>3</v>
      </c>
      <c r="T121" s="253" t="n">
        <v>0</v>
      </c>
      <c r="U121" s="253" t="n">
        <v>11</v>
      </c>
      <c r="V121" s="253" t="n">
        <v>14</v>
      </c>
      <c r="W121" s="34" t="n"/>
      <c r="X121" s="253" t="n">
        <v>1</v>
      </c>
      <c r="Y121" s="253" t="n">
        <v>0</v>
      </c>
      <c r="Z121" s="253" t="n">
        <v>1</v>
      </c>
      <c r="AA121" s="253" t="n">
        <v>2</v>
      </c>
      <c r="AB121" s="253" t="n">
        <v>15</v>
      </c>
      <c r="AC121" s="253" t="n">
        <v>2</v>
      </c>
      <c r="AD121" s="253" t="n">
        <v>0</v>
      </c>
      <c r="AE121" s="253" t="n">
        <v>2</v>
      </c>
      <c r="AF121" s="253" t="n">
        <v>19</v>
      </c>
      <c r="AG121" s="253" t="n">
        <v>0</v>
      </c>
      <c r="AH121" s="253" t="n">
        <v>0</v>
      </c>
      <c r="AI121" s="253" t="n">
        <v>600</v>
      </c>
      <c r="AJ121" s="253" t="n">
        <v>7</v>
      </c>
      <c r="AK121" s="253" t="n">
        <v>607</v>
      </c>
      <c r="AL121" s="253" t="n">
        <v>7</v>
      </c>
      <c r="AM121" s="253" t="n">
        <v>22</v>
      </c>
      <c r="AN121" s="253" t="n">
        <v>1</v>
      </c>
      <c r="AO121" s="253" t="n">
        <v>370</v>
      </c>
      <c r="AP121" s="253" t="n">
        <v>400</v>
      </c>
      <c r="AQ121" s="253" t="n">
        <v>0</v>
      </c>
      <c r="AR121" s="253" t="n">
        <v>8</v>
      </c>
      <c r="AS121" s="253" t="n">
        <v>1</v>
      </c>
      <c r="AT121" s="253" t="n">
        <v>2</v>
      </c>
      <c r="AU121" s="253" t="n">
        <v>11</v>
      </c>
      <c r="AV121" s="253" t="n">
        <v>1</v>
      </c>
      <c r="AW121" s="253" t="n">
        <v>3</v>
      </c>
      <c r="AX121" s="253" t="n">
        <v>-2</v>
      </c>
      <c r="AY121" s="253" t="n">
        <v>1</v>
      </c>
      <c r="AZ121" s="253" t="n">
        <v>3</v>
      </c>
      <c r="BA121" s="253" t="n">
        <v>148</v>
      </c>
      <c r="BB121" s="253" t="n">
        <v>0</v>
      </c>
      <c r="BC121" s="253" t="n">
        <v>717</v>
      </c>
      <c r="BD121" s="253" t="n">
        <v>3</v>
      </c>
      <c r="BE121" s="253" t="n">
        <v>868</v>
      </c>
      <c r="BF121" s="253" t="n">
        <v>341</v>
      </c>
      <c r="BG121" s="253" t="n">
        <v>0</v>
      </c>
      <c r="BH121" s="253" t="n">
        <v>457</v>
      </c>
      <c r="BI121" s="253" t="n">
        <v>129</v>
      </c>
      <c r="BJ121" s="253" t="n">
        <v>927</v>
      </c>
      <c r="BK121" s="253" t="n">
        <v>9</v>
      </c>
      <c r="BL121" s="253" t="n">
        <v>430</v>
      </c>
      <c r="BM121" s="253" t="n">
        <v>13</v>
      </c>
      <c r="BN121" s="253" t="n">
        <v>10</v>
      </c>
      <c r="BO121" s="253" t="n">
        <v>462</v>
      </c>
      <c r="BP121" s="253" t="n">
        <v>44</v>
      </c>
      <c r="BQ121" s="253" t="n">
        <v>1000</v>
      </c>
      <c r="BR121" s="253" t="n">
        <v>615</v>
      </c>
      <c r="BS121" s="253" t="n">
        <v>903</v>
      </c>
      <c r="BT121" s="253" t="n">
        <v>2562</v>
      </c>
      <c r="BU121" s="253" t="n">
        <v>708</v>
      </c>
      <c r="BV121" s="253" t="n">
        <v>329</v>
      </c>
      <c r="BW121" s="253" t="n">
        <v>253</v>
      </c>
      <c r="BX121" s="254">
        <f>BX55*BX93+BX99</f>
        <v>13.3070580036704</v>
      </c>
      <c r="BY121" s="254">
        <f>SUM(BU121:BX121)</f>
        <v>1303.30705800367</v>
      </c>
      <c r="BZ121" s="254">
        <f>BZ55*BZ93+BZ99</f>
        <v>53.0745863305185</v>
      </c>
      <c r="CA121" s="254">
        <f>CA55*CA93+CA99</f>
        <v>58.488711223828</v>
      </c>
      <c r="CB121" s="254">
        <f>CB55*CB93+CB99</f>
        <v>63.8218125016244</v>
      </c>
      <c r="CC121" s="254">
        <f>CC55*CC93+CC99</f>
        <v>69.8389748877884</v>
      </c>
      <c r="CD121" s="254">
        <f>CD55*CD93+CD99</f>
        <v>75.7256875213821</v>
      </c>
      <c r="CE121" s="19" t="n"/>
    </row>
    <row r="122" ht="15" customHeight="1" s="251">
      <c r="B122" s="25" t="inlineStr">
        <is>
          <t>Other operating items shown separately (Visa Europe framework agreement loss FY2016)</t>
        </is>
      </c>
      <c r="C122" s="253" t="n">
        <v>0</v>
      </c>
      <c r="D122" s="253" t="n">
        <v>0</v>
      </c>
      <c r="E122" s="253" t="n">
        <v>0</v>
      </c>
      <c r="F122" s="253" t="n">
        <v>0</v>
      </c>
      <c r="G122" s="253" t="n">
        <v>0</v>
      </c>
      <c r="H122" s="253" t="n">
        <v>0</v>
      </c>
      <c r="I122" s="253" t="n">
        <v>0</v>
      </c>
      <c r="J122" s="253" t="n">
        <v>0</v>
      </c>
      <c r="K122" s="253" t="n">
        <v>0</v>
      </c>
      <c r="L122" s="253" t="n">
        <v>0</v>
      </c>
      <c r="M122" s="253" t="n">
        <v>0</v>
      </c>
      <c r="N122" s="253" t="n">
        <v>0</v>
      </c>
      <c r="O122" s="253" t="n">
        <v>0</v>
      </c>
      <c r="P122" s="253" t="n">
        <v>0</v>
      </c>
      <c r="Q122" s="253" t="n">
        <v>0</v>
      </c>
      <c r="R122" s="253" t="n">
        <v>0</v>
      </c>
      <c r="S122" s="253" t="n">
        <v>0</v>
      </c>
      <c r="T122" s="253" t="n">
        <v>0</v>
      </c>
      <c r="U122" s="253" t="n">
        <v>0</v>
      </c>
      <c r="V122" s="253" t="n">
        <v>0</v>
      </c>
      <c r="W122" s="253" t="n">
        <v>0</v>
      </c>
      <c r="X122" s="253" t="n">
        <v>0</v>
      </c>
      <c r="Y122" s="253" t="n">
        <v>1877</v>
      </c>
      <c r="Z122" s="253" t="n">
        <v>0</v>
      </c>
      <c r="AA122" s="253" t="n">
        <v>1877</v>
      </c>
      <c r="AB122" s="253" t="n">
        <v>0</v>
      </c>
      <c r="AC122" s="253" t="n">
        <v>0</v>
      </c>
      <c r="AD122" s="253" t="n">
        <v>0</v>
      </c>
      <c r="AE122" s="253" t="n">
        <v>0</v>
      </c>
      <c r="AF122" s="253" t="n">
        <v>0</v>
      </c>
      <c r="AG122" s="253" t="n">
        <v>0</v>
      </c>
      <c r="AH122" s="253" t="n">
        <v>0</v>
      </c>
      <c r="AI122" s="253" t="n">
        <v>0</v>
      </c>
      <c r="AJ122" s="253" t="n">
        <v>0</v>
      </c>
      <c r="AK122" s="253" t="n">
        <v>0</v>
      </c>
      <c r="AL122" s="253" t="n">
        <v>0</v>
      </c>
      <c r="AM122" s="253" t="n">
        <v>0</v>
      </c>
      <c r="AN122" s="253" t="n">
        <v>0</v>
      </c>
      <c r="AO122" s="253" t="n">
        <v>0</v>
      </c>
      <c r="AP122" s="253" t="n">
        <v>0</v>
      </c>
      <c r="AQ122" s="253" t="n">
        <v>0</v>
      </c>
      <c r="AR122" s="253" t="n">
        <v>0</v>
      </c>
      <c r="AS122" s="253" t="n">
        <v>0</v>
      </c>
      <c r="AT122" s="253" t="n">
        <v>0</v>
      </c>
      <c r="AU122" s="253" t="n">
        <v>0</v>
      </c>
      <c r="AV122" s="253" t="n">
        <v>0</v>
      </c>
      <c r="AW122" s="253" t="n">
        <v>0</v>
      </c>
      <c r="AX122" s="253" t="n">
        <v>0</v>
      </c>
      <c r="AY122" s="253" t="n">
        <v>0</v>
      </c>
      <c r="AZ122" s="253" t="n">
        <v>0</v>
      </c>
      <c r="BA122" s="253" t="n">
        <v>0</v>
      </c>
      <c r="BB122" s="253" t="n">
        <v>0</v>
      </c>
      <c r="BC122" s="253" t="n">
        <v>0</v>
      </c>
      <c r="BD122" s="253" t="n">
        <v>0</v>
      </c>
      <c r="BE122" s="253" t="n">
        <v>0</v>
      </c>
      <c r="BF122" s="253" t="n">
        <v>0</v>
      </c>
      <c r="BG122" s="253" t="n">
        <v>0</v>
      </c>
      <c r="BH122" s="253" t="n">
        <v>0</v>
      </c>
      <c r="BI122" s="253" t="n">
        <v>0</v>
      </c>
      <c r="BJ122" s="253" t="n">
        <v>0</v>
      </c>
      <c r="BK122" s="253" t="n">
        <v>0</v>
      </c>
      <c r="BL122" s="253" t="n">
        <v>0</v>
      </c>
      <c r="BM122" s="253" t="n">
        <v>0</v>
      </c>
      <c r="BN122" s="253" t="n">
        <v>0</v>
      </c>
      <c r="BO122" s="253" t="n">
        <v>0</v>
      </c>
      <c r="BP122" s="253" t="n">
        <v>0</v>
      </c>
      <c r="BQ122" s="253" t="n">
        <v>0</v>
      </c>
      <c r="BR122" s="253" t="n">
        <v>0</v>
      </c>
      <c r="BS122" s="253" t="n">
        <v>0</v>
      </c>
      <c r="BT122" s="253" t="n">
        <v>0</v>
      </c>
      <c r="BU122" s="253" t="n">
        <v>0</v>
      </c>
      <c r="BV122" s="253" t="n">
        <v>0</v>
      </c>
      <c r="BW122" s="253" t="n">
        <v>0</v>
      </c>
      <c r="BX122" s="254">
        <f>BX105+BX106</f>
        <v>0</v>
      </c>
      <c r="BY122" s="254">
        <f>SUM(BU122:BX122)</f>
        <v>0</v>
      </c>
      <c r="BZ122" s="254">
        <f>BZ105+BZ106</f>
        <v>0</v>
      </c>
      <c r="CA122" s="254">
        <f>CA105+CA106</f>
        <v>0</v>
      </c>
      <c r="CB122" s="254">
        <f>CB105+CB106</f>
        <v>0</v>
      </c>
      <c r="CC122" s="254">
        <f>CC105+CC106</f>
        <v>0</v>
      </c>
      <c r="CD122" s="254">
        <f>CD105+CD106</f>
        <v>0</v>
      </c>
      <c r="CE122" s="19" t="n"/>
    </row>
    <row r="123" ht="15" customHeight="1" s="251">
      <c r="B123" s="16" t="inlineStr">
        <is>
          <t>Total operating expenses</t>
        </is>
      </c>
      <c r="C123" s="276" t="n">
        <v>5031</v>
      </c>
      <c r="D123" s="276" t="n">
        <v>3373</v>
      </c>
      <c r="E123" s="276" t="n">
        <v>3476</v>
      </c>
      <c r="F123" s="276" t="n">
        <v>3732</v>
      </c>
      <c r="G123" s="276" t="n">
        <v>8282</v>
      </c>
      <c r="H123" s="276" t="n">
        <v>1046</v>
      </c>
      <c r="I123" s="276" t="n">
        <v>1098</v>
      </c>
      <c r="J123" s="276" t="n">
        <v>1173</v>
      </c>
      <c r="K123" s="276" t="n">
        <v>1222</v>
      </c>
      <c r="L123" s="276" t="n">
        <v>4539</v>
      </c>
      <c r="M123" s="276" t="n">
        <v>1078</v>
      </c>
      <c r="N123" s="276" t="n">
        <v>1115</v>
      </c>
      <c r="O123" s="276" t="n">
        <v>1135</v>
      </c>
      <c r="P123" s="276" t="n">
        <v>1677</v>
      </c>
      <c r="Q123" s="276" t="n">
        <v>5005</v>
      </c>
      <c r="R123" s="276" t="n">
        <v>1144</v>
      </c>
      <c r="S123" s="276" t="n">
        <v>1128</v>
      </c>
      <c r="T123" s="276" t="n">
        <v>1256</v>
      </c>
      <c r="U123" s="276" t="n">
        <v>1288</v>
      </c>
      <c r="V123" s="276" t="n">
        <v>4816</v>
      </c>
      <c r="W123" s="276" t="n">
        <v>1169</v>
      </c>
      <c r="X123" s="276" t="n">
        <v>1192</v>
      </c>
      <c r="Y123" s="276" t="n">
        <v>3202</v>
      </c>
      <c r="Z123" s="276" t="n">
        <v>1636</v>
      </c>
      <c r="AA123" s="276" t="n">
        <v>7199</v>
      </c>
      <c r="AB123" s="276" t="n">
        <v>1361</v>
      </c>
      <c r="AC123" s="276" t="n">
        <v>1669</v>
      </c>
      <c r="AD123" s="276" t="n">
        <v>1541</v>
      </c>
      <c r="AE123" s="276" t="n">
        <v>1643</v>
      </c>
      <c r="AF123" s="276" t="n">
        <v>6214</v>
      </c>
      <c r="AG123" s="276" t="n">
        <v>1535</v>
      </c>
      <c r="AH123" s="276" t="n">
        <v>1737</v>
      </c>
      <c r="AI123" s="276" t="n">
        <v>2355</v>
      </c>
      <c r="AJ123" s="276" t="n">
        <v>2028</v>
      </c>
      <c r="AK123" s="276" t="n">
        <v>7655</v>
      </c>
      <c r="AL123" s="276" t="n">
        <v>1789</v>
      </c>
      <c r="AM123" s="276" t="n">
        <v>1853</v>
      </c>
      <c r="AN123" s="276" t="n">
        <v>1932</v>
      </c>
      <c r="AO123" s="276" t="n">
        <v>2402</v>
      </c>
      <c r="AP123" s="276" t="n">
        <v>7976</v>
      </c>
      <c r="AQ123" s="276" t="n">
        <v>2038</v>
      </c>
      <c r="AR123" s="276" t="n">
        <v>1930</v>
      </c>
      <c r="AS123" s="276" t="n">
        <v>1838</v>
      </c>
      <c r="AT123" s="276" t="n">
        <v>1959</v>
      </c>
      <c r="AU123" s="276" t="n">
        <v>7765</v>
      </c>
      <c r="AV123" s="276" t="n">
        <v>1843</v>
      </c>
      <c r="AW123" s="276" t="n">
        <v>2148</v>
      </c>
      <c r="AX123" s="276" t="n">
        <v>2066</v>
      </c>
      <c r="AY123" s="276" t="n">
        <v>2244</v>
      </c>
      <c r="AZ123" s="276" t="n">
        <v>8301</v>
      </c>
      <c r="BA123" s="276" t="n">
        <v>2283</v>
      </c>
      <c r="BB123" s="276" t="n">
        <v>2387</v>
      </c>
      <c r="BC123" s="276" t="n">
        <v>3127</v>
      </c>
      <c r="BD123" s="276" t="n">
        <v>2700</v>
      </c>
      <c r="BE123" s="276" t="n">
        <v>10497</v>
      </c>
      <c r="BF123" s="276" t="n">
        <v>2846</v>
      </c>
      <c r="BG123" s="276" t="n">
        <v>2649</v>
      </c>
      <c r="BH123" s="276" t="n">
        <v>3099</v>
      </c>
      <c r="BI123" s="276" t="n">
        <v>3059</v>
      </c>
      <c r="BJ123" s="276" t="n">
        <v>11653</v>
      </c>
      <c r="BK123" s="276" t="n">
        <v>2680</v>
      </c>
      <c r="BL123" s="276" t="n">
        <v>3421</v>
      </c>
      <c r="BM123" s="276" t="n">
        <v>2962</v>
      </c>
      <c r="BN123" s="276" t="n">
        <v>3268</v>
      </c>
      <c r="BO123" s="276" t="n">
        <v>12331</v>
      </c>
      <c r="BP123" s="276" t="n">
        <v>3276</v>
      </c>
      <c r="BQ123" s="276" t="n">
        <v>4159</v>
      </c>
      <c r="BR123" s="276" t="n">
        <v>3995</v>
      </c>
      <c r="BS123" s="276" t="n">
        <v>4576</v>
      </c>
      <c r="BT123" s="276" t="n">
        <v>16006</v>
      </c>
      <c r="BU123" s="276" t="n">
        <v>4164</v>
      </c>
      <c r="BV123" s="276" t="n">
        <v>3996</v>
      </c>
      <c r="BW123" s="276" t="n">
        <v>4756</v>
      </c>
      <c r="BX123" s="265">
        <f>BX115+BX116+BX117+BX118+BX119+BX120+BX121+BX122</f>
        <v>4211.03161096829</v>
      </c>
      <c r="BY123" s="265">
        <f>SUM(BU123:BX123)</f>
        <v>17127.0316109683</v>
      </c>
      <c r="BZ123" s="265">
        <f>BZ115+BZ116+BZ117+BZ118+BZ119+BZ120+BZ121+BZ122</f>
        <v>16818.2744068593</v>
      </c>
      <c r="CA123" s="265">
        <f>CA115+CA116+CA117+CA118+CA119+CA120+CA121+CA122</f>
        <v>18495.1518165875</v>
      </c>
      <c r="CB123" s="265">
        <f>CB115+CB116+CB117+CB118+CB119+CB120+CB121+CB122</f>
        <v>20146.8702362187</v>
      </c>
      <c r="CC123" s="265">
        <f>CC115+CC116+CC117+CC118+CC119+CC120+CC121+CC122</f>
        <v>22010.9994022996</v>
      </c>
      <c r="CD123" s="265">
        <f>CD115+CD116+CD117+CD118+CD119+CD120+CD121+CD122</f>
        <v>23844.6220566395</v>
      </c>
      <c r="CE123" s="153" t="n"/>
    </row>
    <row r="124" ht="15" customHeight="1" s="251">
      <c r="B124" s="57" t="inlineStr">
        <is>
          <t xml:space="preserve">  Check: total operating expenses = adjusted opex + operating adjusting items (should be 0)</t>
        </is>
      </c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  <c r="AQ124" s="44" t="n"/>
      <c r="AR124" s="44" t="n"/>
      <c r="AS124" s="44" t="n"/>
      <c r="AT124" s="44" t="n"/>
      <c r="AU124" s="44" t="n"/>
      <c r="AV124" s="44" t="n"/>
      <c r="AW124" s="44" t="n"/>
      <c r="AX124" s="44" t="n"/>
      <c r="AY124" s="44" t="n"/>
      <c r="AZ124" s="44" t="n"/>
      <c r="BA124" s="44" t="n"/>
      <c r="BB124" s="44" t="n"/>
      <c r="BC124" s="44" t="n"/>
      <c r="BD124" s="44" t="n"/>
      <c r="BE124" s="44" t="n"/>
      <c r="BF124" s="44" t="n"/>
      <c r="BG124" s="44" t="n"/>
      <c r="BH124" s="44" t="n"/>
      <c r="BI124" s="44" t="n"/>
      <c r="BJ124" s="44" t="n"/>
      <c r="BK124" s="44" t="n"/>
      <c r="BL124" s="44" t="n"/>
      <c r="BM124" s="44" t="n"/>
      <c r="BN124" s="44" t="n"/>
      <c r="BO124" s="44" t="n"/>
      <c r="BP124" s="44" t="n"/>
      <c r="BQ124" s="44" t="n"/>
      <c r="BR124" s="44" t="n"/>
      <c r="BS124" s="44" t="n"/>
      <c r="BT124" s="44" t="n"/>
      <c r="BU124" s="44" t="n"/>
      <c r="BV124" s="44" t="n"/>
      <c r="BW124" s="44" t="n"/>
      <c r="BX124" s="267">
        <f>ROUND(BX123-BX55-BX159,1)</f>
        <v>0</v>
      </c>
      <c r="BY124" s="267">
        <f>ROUND(BY123-BY55-BY159,1)</f>
        <v>0</v>
      </c>
      <c r="BZ124" s="267">
        <f>ROUND(BZ123-BZ55-BZ159,1)</f>
        <v>0</v>
      </c>
      <c r="CA124" s="267">
        <f>ROUND(CA123-CA55-CA159,1)</f>
        <v>0</v>
      </c>
      <c r="CB124" s="267">
        <f>ROUND(CB123-CB55-CB159,1)</f>
        <v>0</v>
      </c>
      <c r="CC124" s="267">
        <f>ROUND(CC123-CC55-CC159,1)</f>
        <v>0</v>
      </c>
      <c r="CD124" s="267">
        <f>ROUND(CD123-CD55-CD159,1)</f>
        <v>0</v>
      </c>
      <c r="CE124" s="153" t="n"/>
    </row>
    <row r="125" ht="15" customHeight="1" s="251">
      <c r="B125" s="55" t="inlineStr">
        <is>
          <t>Operating income</t>
        </is>
      </c>
      <c r="C125" s="275" t="n">
        <v>1232</v>
      </c>
      <c r="D125" s="275" t="n">
        <v>3538</v>
      </c>
      <c r="E125" s="275" t="n">
        <v>4589</v>
      </c>
      <c r="F125" s="275" t="n">
        <v>5456</v>
      </c>
      <c r="G125" s="275" t="n">
        <v>2139</v>
      </c>
      <c r="H125" s="275" t="n">
        <v>1800</v>
      </c>
      <c r="I125" s="275" t="n">
        <v>1860</v>
      </c>
      <c r="J125" s="275" t="n">
        <v>1828</v>
      </c>
      <c r="K125" s="275" t="n">
        <v>1751</v>
      </c>
      <c r="L125" s="275" t="n">
        <v>7239</v>
      </c>
      <c r="M125" s="275" t="n">
        <v>2077</v>
      </c>
      <c r="N125" s="275" t="n">
        <v>2048</v>
      </c>
      <c r="O125" s="275" t="n">
        <v>2020</v>
      </c>
      <c r="P125" s="275" t="n">
        <v>1552</v>
      </c>
      <c r="Q125" s="275" t="n">
        <v>7697</v>
      </c>
      <c r="R125" s="275" t="n">
        <v>2238</v>
      </c>
      <c r="S125" s="275" t="n">
        <v>2281</v>
      </c>
      <c r="T125" s="275" t="n">
        <v>2262</v>
      </c>
      <c r="U125" s="275" t="n">
        <v>2283</v>
      </c>
      <c r="V125" s="275" t="n">
        <v>9064</v>
      </c>
      <c r="W125" s="275" t="n">
        <v>2396</v>
      </c>
      <c r="X125" s="275" t="n">
        <v>2434</v>
      </c>
      <c r="Y125" s="275" t="n">
        <v>428</v>
      </c>
      <c r="Z125" s="275" t="n">
        <v>2625</v>
      </c>
      <c r="AA125" s="275" t="n">
        <v>7883</v>
      </c>
      <c r="AB125" s="275" t="n">
        <v>3100</v>
      </c>
      <c r="AC125" s="275" t="n">
        <v>2808</v>
      </c>
      <c r="AD125" s="275" t="n">
        <v>3024</v>
      </c>
      <c r="AE125" s="275" t="n">
        <v>3212</v>
      </c>
      <c r="AF125" s="275" t="n">
        <v>12144</v>
      </c>
      <c r="AG125" s="275" t="n">
        <v>3327</v>
      </c>
      <c r="AH125" s="275" t="n">
        <v>3336</v>
      </c>
      <c r="AI125" s="275" t="n">
        <v>2885</v>
      </c>
      <c r="AJ125" s="275" t="n">
        <v>3406</v>
      </c>
      <c r="AK125" s="275" t="n">
        <v>12954</v>
      </c>
      <c r="AL125" s="275" t="n">
        <v>3717</v>
      </c>
      <c r="AM125" s="275" t="n">
        <v>3641</v>
      </c>
      <c r="AN125" s="275" t="n">
        <v>3908</v>
      </c>
      <c r="AO125" s="275" t="n">
        <v>3735</v>
      </c>
      <c r="AP125" s="275" t="n">
        <v>15001</v>
      </c>
      <c r="AQ125" s="275" t="n">
        <v>4016</v>
      </c>
      <c r="AR125" s="275" t="n">
        <v>3924</v>
      </c>
      <c r="AS125" s="275" t="n">
        <v>2999</v>
      </c>
      <c r="AT125" s="275" t="n">
        <v>3142</v>
      </c>
      <c r="AU125" s="275" t="n">
        <v>14081</v>
      </c>
      <c r="AV125" s="275" t="n">
        <v>3844</v>
      </c>
      <c r="AW125" s="275" t="n">
        <v>3581</v>
      </c>
      <c r="AX125" s="275" t="n">
        <v>4064</v>
      </c>
      <c r="AY125" s="275" t="n">
        <v>4315</v>
      </c>
      <c r="AZ125" s="275" t="n">
        <v>15804</v>
      </c>
      <c r="BA125" s="275" t="n">
        <v>4776</v>
      </c>
      <c r="BB125" s="275" t="n">
        <v>4802</v>
      </c>
      <c r="BC125" s="275" t="n">
        <v>4148</v>
      </c>
      <c r="BD125" s="275" t="n">
        <v>5087</v>
      </c>
      <c r="BE125" s="275" t="n">
        <v>18813</v>
      </c>
      <c r="BF125" s="275" t="n">
        <v>5090</v>
      </c>
      <c r="BG125" s="275" t="n">
        <v>5336</v>
      </c>
      <c r="BH125" s="275" t="n">
        <v>5024</v>
      </c>
      <c r="BI125" s="275" t="n">
        <v>5550</v>
      </c>
      <c r="BJ125" s="275" t="n">
        <v>21000</v>
      </c>
      <c r="BK125" s="275" t="n">
        <v>5954</v>
      </c>
      <c r="BL125" s="275" t="n">
        <v>5354</v>
      </c>
      <c r="BM125" s="275" t="n">
        <v>5938</v>
      </c>
      <c r="BN125" s="275" t="n">
        <v>6349</v>
      </c>
      <c r="BO125" s="275" t="n">
        <v>23595</v>
      </c>
      <c r="BP125" s="275" t="n">
        <v>6234</v>
      </c>
      <c r="BQ125" s="275" t="n">
        <v>5435</v>
      </c>
      <c r="BR125" s="275" t="n">
        <v>6177</v>
      </c>
      <c r="BS125" s="275" t="n">
        <v>6148</v>
      </c>
      <c r="BT125" s="275" t="n">
        <v>23994</v>
      </c>
      <c r="BU125" s="275" t="n">
        <v>6737</v>
      </c>
      <c r="BV125" s="275" t="n">
        <v>7234</v>
      </c>
      <c r="BW125" s="275" t="n">
        <v>6877</v>
      </c>
      <c r="BX125" s="266">
        <f>BX113-BX123</f>
        <v>7907.0883890317</v>
      </c>
      <c r="BY125" s="266">
        <f>SUM(BU125:BX125)</f>
        <v>28755.0883890317</v>
      </c>
      <c r="BZ125" s="266">
        <f>BZ113-BZ123</f>
        <v>33890.7017900704</v>
      </c>
      <c r="CA125" s="266">
        <f>CA113-CA123</f>
        <v>37732.6512422858</v>
      </c>
      <c r="CB125" s="266">
        <f>CB113-CB123</f>
        <v>41783.0813948218</v>
      </c>
      <c r="CC125" s="266">
        <f>CC113-CC123</f>
        <v>45757.7487298866</v>
      </c>
      <c r="CD125" s="266">
        <f>CD113-CD123</f>
        <v>50098.4841412385</v>
      </c>
      <c r="CE125" s="153" t="n"/>
      <c r="CG125" s="20">
        <f>IFERROR((CD125/BY125)^(1/5)-1,"n/m")</f>
        <v>0.117434242516687</v>
      </c>
      <c r="CH125" s="20">
        <f>IFERROR((BT125/AU125)^(1/5)-1,"n/m")</f>
        <v>0.112484147625689</v>
      </c>
      <c r="CI125" s="20">
        <f>IFERROR((BT125/V125)^(1/10)-1,"n/m")</f>
        <v>0.102245351028808</v>
      </c>
      <c r="CJ125" s="20">
        <f>IFERROR((BT125/C125)^(1/17)-1,"n/m")</f>
        <v>0.190837404404888</v>
      </c>
    </row>
    <row r="126" ht="15" customHeight="1" s="251">
      <c r="B126" s="57" t="inlineStr">
        <is>
          <t xml:space="preserve">  Check: net revenue − operating expenses = operating income (should be 0)</t>
        </is>
      </c>
      <c r="C126" s="211">
        <f>IF(ISNUMBER(C125),IF(ABS(C113-C123-C125)&lt;=1.01,0,ROUND(C113-C123-C125,1)),"")</f>
        <v>0</v>
      </c>
      <c r="D126" s="211">
        <f>IF(ISNUMBER(D125),IF(ABS(D113-D123-D125)&lt;=1.01,0,ROUND(D113-D123-D125,1)),"")</f>
        <v>0</v>
      </c>
      <c r="E126" s="211">
        <f>IF(ISNUMBER(E125),IF(ABS(E113-E123-E125)&lt;=1.01,0,ROUND(E113-E123-E125,1)),"")</f>
        <v>0</v>
      </c>
      <c r="F126" s="211">
        <f>IF(ISNUMBER(F125),IF(ABS(F113-F123-F125)&lt;=1.01,0,ROUND(F113-F123-F125,1)),"")</f>
        <v>0</v>
      </c>
      <c r="G126" s="211">
        <f>IF(ISNUMBER(G125),IF(ABS(G113-G123-G125)&lt;=1.01,0,ROUND(G113-G123-G125,1)),"")</f>
        <v>0</v>
      </c>
      <c r="H126" s="211">
        <f>IF(ISNUMBER(H125),IF(ABS(H113-H123-H125)&lt;=1.01,0,ROUND(H113-H123-H125,1)),"")</f>
        <v>0</v>
      </c>
      <c r="I126" s="211">
        <f>IF(ISNUMBER(I125),IF(ABS(I113-I123-I125)&lt;=1.01,0,ROUND(I113-I123-I125,1)),"")</f>
        <v>0</v>
      </c>
      <c r="J126" s="211">
        <f>IF(ISNUMBER(J125),IF(ABS(J113-J123-J125)&lt;=1.01,0,ROUND(J113-J123-J125,1)),"")</f>
        <v>0</v>
      </c>
      <c r="K126" s="211">
        <f>IF(ISNUMBER(K125),IF(ABS(K113-K123-K125)&lt;=1.01,0,ROUND(K113-K123-K125,1)),"")</f>
        <v>0</v>
      </c>
      <c r="L126" s="211">
        <f>IF(ISNUMBER(L125),IF(ABS(L113-L123-L125)&lt;=1.01,0,ROUND(L113-L123-L125,1)),"")</f>
        <v>0</v>
      </c>
      <c r="M126" s="211">
        <f>IF(ISNUMBER(M125),IF(ABS(M113-M123-M125)&lt;=1.01,0,ROUND(M113-M123-M125,1)),"")</f>
        <v>0</v>
      </c>
      <c r="N126" s="211">
        <f>IF(ISNUMBER(N125),IF(ABS(N113-N123-N125)&lt;=1.01,0,ROUND(N113-N123-N125,1)),"")</f>
        <v>0</v>
      </c>
      <c r="O126" s="211">
        <f>IF(ISNUMBER(O125),IF(ABS(O113-O123-O125)&lt;=1.01,0,ROUND(O113-O123-O125,1)),"")</f>
        <v>0</v>
      </c>
      <c r="P126" s="211">
        <f>IF(ISNUMBER(P125),IF(ABS(P113-P123-P125)&lt;=1.01,0,ROUND(P113-P123-P125,1)),"")</f>
        <v>0</v>
      </c>
      <c r="Q126" s="211">
        <f>IF(ISNUMBER(Q125),IF(ABS(Q113-Q123-Q125)&lt;=1.01,0,ROUND(Q113-Q123-Q125,1)),"")</f>
        <v>0</v>
      </c>
      <c r="R126" s="211">
        <f>IF(ISNUMBER(R125),IF(ABS(R113-R123-R125)&lt;=1.01,0,ROUND(R113-R123-R125,1)),"")</f>
        <v>0</v>
      </c>
      <c r="S126" s="211">
        <f>IF(ISNUMBER(S125),IF(ABS(S113-S123-S125)&lt;=1.01,0,ROUND(S113-S123-S125,1)),"")</f>
        <v>0</v>
      </c>
      <c r="T126" s="211">
        <f>IF(ISNUMBER(T125),IF(ABS(T113-T123-T125)&lt;=1.01,0,ROUND(T113-T123-T125,1)),"")</f>
        <v>0</v>
      </c>
      <c r="U126" s="211">
        <f>IF(ISNUMBER(U125),IF(ABS(U113-U123-U125)&lt;=1.01,0,ROUND(U113-U123-U125,1)),"")</f>
        <v>0</v>
      </c>
      <c r="V126" s="211">
        <f>IF(ISNUMBER(V125),IF(ABS(V113-V123-V125)&lt;=1.01,0,ROUND(V113-V123-V125,1)),"")</f>
        <v>0</v>
      </c>
      <c r="W126" s="211">
        <f>IF(ISNUMBER(W125),IF(ABS(W113-W123-W125)&lt;=1.01,0,ROUND(W113-W123-W125,1)),"")</f>
        <v>0</v>
      </c>
      <c r="X126" s="211">
        <f>IF(ISNUMBER(X125),IF(ABS(X113-X123-X125)&lt;=1.01,0,ROUND(X113-X123-X125,1)),"")</f>
        <v>0</v>
      </c>
      <c r="Y126" s="211">
        <f>IF(ISNUMBER(Y125),IF(ABS(Y113-Y123-Y125)&lt;=1.01,0,ROUND(Y113-Y123-Y125,1)),"")</f>
        <v>0</v>
      </c>
      <c r="Z126" s="211">
        <f>IF(ISNUMBER(Z125),IF(ABS(Z113-Z123-Z125)&lt;=1.01,0,ROUND(Z113-Z123-Z125,1)),"")</f>
        <v>0</v>
      </c>
      <c r="AA126" s="211">
        <f>IF(ISNUMBER(AA125),IF(ABS(AA113-AA123-AA125)&lt;=1.01,0,ROUND(AA113-AA123-AA125,1)),"")</f>
        <v>0</v>
      </c>
      <c r="AB126" s="211">
        <f>IF(ISNUMBER(AB125),IF(ABS(AB113-AB123-AB125)&lt;=1.01,0,ROUND(AB113-AB123-AB125,1)),"")</f>
        <v>0</v>
      </c>
      <c r="AC126" s="211">
        <f>IF(ISNUMBER(AC125),IF(ABS(AC113-AC123-AC125)&lt;=1.01,0,ROUND(AC113-AC123-AC125,1)),"")</f>
        <v>0</v>
      </c>
      <c r="AD126" s="211">
        <f>IF(ISNUMBER(AD125),IF(ABS(AD113-AD123-AD125)&lt;=1.01,0,ROUND(AD113-AD123-AD125,1)),"")</f>
        <v>0</v>
      </c>
      <c r="AE126" s="211">
        <f>IF(ISNUMBER(AE125),IF(ABS(AE113-AE123-AE125)&lt;=1.01,0,ROUND(AE113-AE123-AE125,1)),"")</f>
        <v>0</v>
      </c>
      <c r="AF126" s="211">
        <f>IF(ISNUMBER(AF125),IF(ABS(AF113-AF123-AF125)&lt;=1.01,0,ROUND(AF113-AF123-AF125,1)),"")</f>
        <v>0</v>
      </c>
      <c r="AG126" s="211">
        <f>IF(ISNUMBER(AG125),IF(ABS(AG113-AG123-AG125)&lt;=1.01,0,ROUND(AG113-AG123-AG125,1)),"")</f>
        <v>0</v>
      </c>
      <c r="AH126" s="211">
        <f>IF(ISNUMBER(AH125),IF(ABS(AH113-AH123-AH125)&lt;=1.01,0,ROUND(AH113-AH123-AH125,1)),"")</f>
        <v>0</v>
      </c>
      <c r="AI126" s="211">
        <f>IF(ISNUMBER(AI125),IF(ABS(AI113-AI123-AI125)&lt;=1.01,0,ROUND(AI113-AI123-AI125,1)),"")</f>
        <v>0</v>
      </c>
      <c r="AJ126" s="211">
        <f>IF(ISNUMBER(AJ125),IF(ABS(AJ113-AJ123-AJ125)&lt;=1.01,0,ROUND(AJ113-AJ123-AJ125,1)),"")</f>
        <v>0</v>
      </c>
      <c r="AK126" s="211">
        <f>IF(ISNUMBER(AK125),IF(ABS(AK113-AK123-AK125)&lt;=1.01,0,ROUND(AK113-AK123-AK125,1)),"")</f>
        <v>0</v>
      </c>
      <c r="AL126" s="211">
        <f>IF(ISNUMBER(AL125),IF(ABS(AL113-AL123-AL125)&lt;=1.01,0,ROUND(AL113-AL123-AL125,1)),"")</f>
        <v>0</v>
      </c>
      <c r="AM126" s="211">
        <f>IF(ISNUMBER(AM125),IF(ABS(AM113-AM123-AM125)&lt;=1.01,0,ROUND(AM113-AM123-AM125,1)),"")</f>
        <v>0</v>
      </c>
      <c r="AN126" s="211">
        <f>IF(ISNUMBER(AN125),IF(ABS(AN113-AN123-AN125)&lt;=1.01,0,ROUND(AN113-AN123-AN125,1)),"")</f>
        <v>0</v>
      </c>
      <c r="AO126" s="211">
        <f>IF(ISNUMBER(AO125),IF(ABS(AO113-AO123-AO125)&lt;=1.01,0,ROUND(AO113-AO123-AO125,1)),"")</f>
        <v>0</v>
      </c>
      <c r="AP126" s="211">
        <f>IF(ISNUMBER(AP125),IF(ABS(AP113-AP123-AP125)&lt;=1.01,0,ROUND(AP113-AP123-AP125,1)),"")</f>
        <v>0</v>
      </c>
      <c r="AQ126" s="211">
        <f>IF(ISNUMBER(AQ125),IF(ABS(AQ113-AQ123-AQ125)&lt;=1.01,0,ROUND(AQ113-AQ123-AQ125,1)),"")</f>
        <v>0</v>
      </c>
      <c r="AR126" s="211">
        <f>IF(ISNUMBER(AR125),IF(ABS(AR113-AR123-AR125)&lt;=1.01,0,ROUND(AR113-AR123-AR125,1)),"")</f>
        <v>0</v>
      </c>
      <c r="AS126" s="211">
        <f>IF(ISNUMBER(AS125),IF(ABS(AS113-AS123-AS125)&lt;=1.01,0,ROUND(AS113-AS123-AS125,1)),"")</f>
        <v>0</v>
      </c>
      <c r="AT126" s="211">
        <f>IF(ISNUMBER(AT125),IF(ABS(AT113-AT123-AT125)&lt;=1.01,0,ROUND(AT113-AT123-AT125,1)),"")</f>
        <v>0</v>
      </c>
      <c r="AU126" s="211">
        <f>IF(ISNUMBER(AU125),IF(ABS(AU113-AU123-AU125)&lt;=1.01,0,ROUND(AU113-AU123-AU125,1)),"")</f>
        <v>0</v>
      </c>
      <c r="AV126" s="211">
        <f>IF(ISNUMBER(AV125),IF(ABS(AV113-AV123-AV125)&lt;=1.01,0,ROUND(AV113-AV123-AV125,1)),"")</f>
        <v>0</v>
      </c>
      <c r="AW126" s="211">
        <f>IF(ISNUMBER(AW125),IF(ABS(AW113-AW123-AW125)&lt;=1.01,0,ROUND(AW113-AW123-AW125,1)),"")</f>
        <v>0</v>
      </c>
      <c r="AX126" s="211">
        <f>IF(ISNUMBER(AX125),IF(ABS(AX113-AX123-AX125)&lt;=1.01,0,ROUND(AX113-AX123-AX125,1)),"")</f>
        <v>0</v>
      </c>
      <c r="AY126" s="211">
        <f>IF(ISNUMBER(AY125),IF(ABS(AY113-AY123-AY125)&lt;=1.01,0,ROUND(AY113-AY123-AY125,1)),"")</f>
        <v>0</v>
      </c>
      <c r="AZ126" s="211">
        <f>IF(ISNUMBER(AZ125),IF(ABS(AZ113-AZ123-AZ125)&lt;=1.01,0,ROUND(AZ113-AZ123-AZ125,1)),"")</f>
        <v>0</v>
      </c>
      <c r="BA126" s="211">
        <f>IF(ISNUMBER(BA125),IF(ABS(BA113-BA123-BA125)&lt;=1.01,0,ROUND(BA113-BA123-BA125,1)),"")</f>
        <v>0</v>
      </c>
      <c r="BB126" s="211">
        <f>IF(ISNUMBER(BB125),IF(ABS(BB113-BB123-BB125)&lt;=1.01,0,ROUND(BB113-BB123-BB125,1)),"")</f>
        <v>0</v>
      </c>
      <c r="BC126" s="211">
        <f>IF(ISNUMBER(BC125),IF(ABS(BC113-BC123-BC125)&lt;=1.01,0,ROUND(BC113-BC123-BC125,1)),"")</f>
        <v>0</v>
      </c>
      <c r="BD126" s="211">
        <f>IF(ISNUMBER(BD125),IF(ABS(BD113-BD123-BD125)&lt;=1.01,0,ROUND(BD113-BD123-BD125,1)),"")</f>
        <v>0</v>
      </c>
      <c r="BE126" s="211">
        <f>IF(ISNUMBER(BE125),IF(ABS(BE113-BE123-BE125)&lt;=1.01,0,ROUND(BE113-BE123-BE125,1)),"")</f>
        <v>0</v>
      </c>
      <c r="BF126" s="211">
        <f>IF(ISNUMBER(BF125),IF(ABS(BF113-BF123-BF125)&lt;=1.01,0,ROUND(BF113-BF123-BF125,1)),"")</f>
        <v>0</v>
      </c>
      <c r="BG126" s="211">
        <f>IF(ISNUMBER(BG125),IF(ABS(BG113-BG123-BG125)&lt;=1.01,0,ROUND(BG113-BG123-BG125,1)),"")</f>
        <v>0</v>
      </c>
      <c r="BH126" s="211">
        <f>IF(ISNUMBER(BH125),IF(ABS(BH113-BH123-BH125)&lt;=1.01,0,ROUND(BH113-BH123-BH125,1)),"")</f>
        <v>0</v>
      </c>
      <c r="BI126" s="211">
        <f>IF(ISNUMBER(BI125),IF(ABS(BI113-BI123-BI125)&lt;=1.01,0,ROUND(BI113-BI123-BI125,1)),"")</f>
        <v>0</v>
      </c>
      <c r="BJ126" s="211">
        <f>IF(ISNUMBER(BJ125),IF(ABS(BJ113-BJ123-BJ125)&lt;=1.01,0,ROUND(BJ113-BJ123-BJ125,1)),"")</f>
        <v>0</v>
      </c>
      <c r="BK126" s="211">
        <f>IF(ISNUMBER(BK125),IF(ABS(BK113-BK123-BK125)&lt;=1.01,0,ROUND(BK113-BK123-BK125,1)),"")</f>
        <v>0</v>
      </c>
      <c r="BL126" s="211">
        <f>IF(ISNUMBER(BL125),IF(ABS(BL113-BL123-BL125)&lt;=1.01,0,ROUND(BL113-BL123-BL125,1)),"")</f>
        <v>0</v>
      </c>
      <c r="BM126" s="211">
        <f>IF(ISNUMBER(BM125),IF(ABS(BM113-BM123-BM125)&lt;=1.01,0,ROUND(BM113-BM123-BM125,1)),"")</f>
        <v>0</v>
      </c>
      <c r="BN126" s="211">
        <f>IF(ISNUMBER(BN125),IF(ABS(BN113-BN123-BN125)&lt;=1.01,0,ROUND(BN113-BN123-BN125,1)),"")</f>
        <v>0</v>
      </c>
      <c r="BO126" s="211">
        <f>IF(ISNUMBER(BO125),IF(ABS(BO113-BO123-BO125)&lt;=1.01,0,ROUND(BO113-BO123-BO125,1)),"")</f>
        <v>0</v>
      </c>
      <c r="BP126" s="211">
        <f>IF(ISNUMBER(BP125),IF(ABS(BP113-BP123-BP125)&lt;=1.01,0,ROUND(BP113-BP123-BP125,1)),"")</f>
        <v>0</v>
      </c>
      <c r="BQ126" s="211">
        <f>IF(ISNUMBER(BQ125),IF(ABS(BQ113-BQ123-BQ125)&lt;=1.01,0,ROUND(BQ113-BQ123-BQ125,1)),"")</f>
        <v>0</v>
      </c>
      <c r="BR126" s="211">
        <f>IF(ISNUMBER(BR125),IF(ABS(BR113-BR123-BR125)&lt;=1.01,0,ROUND(BR113-BR123-BR125,1)),"")</f>
        <v>0</v>
      </c>
      <c r="BS126" s="211">
        <f>IF(ISNUMBER(BS125),IF(ABS(BS113-BS123-BS125)&lt;=1.01,0,ROUND(BS113-BS123-BS125,1)),"")</f>
        <v>0</v>
      </c>
      <c r="BT126" s="211">
        <f>IF(ISNUMBER(BT125),IF(ABS(BT113-BT123-BT125)&lt;=1.01,0,ROUND(BT113-BT123-BT125,1)),"")</f>
        <v>0</v>
      </c>
      <c r="BU126" s="211">
        <f>IF(ISNUMBER(BU125),IF(ABS(BU113-BU123-BU125)&lt;=1.01,0,ROUND(BU113-BU123-BU125,1)),"")</f>
        <v>0</v>
      </c>
      <c r="BV126" s="211">
        <f>IF(ISNUMBER(BV125),IF(ABS(BV113-BV123-BV125)&lt;=1.01,0,ROUND(BV113-BV123-BV125,1)),"")</f>
        <v>0</v>
      </c>
      <c r="BW126" s="211">
        <f>IF(ISNUMBER(BW125),IF(ABS(BW113-BW123-BW125)&lt;=1.01,0,ROUND(BW113-BW123-BW125,1)),"")</f>
        <v>0</v>
      </c>
      <c r="BX126" s="153" t="n"/>
      <c r="BY126" s="153" t="n"/>
      <c r="BZ126" s="153" t="n"/>
      <c r="CA126" s="153" t="n"/>
      <c r="CB126" s="153" t="n"/>
      <c r="CC126" s="153" t="n"/>
      <c r="CD126" s="153" t="n"/>
      <c r="CE126" s="153" t="n"/>
    </row>
    <row r="127" ht="15" customHeight="1" s="251">
      <c r="B127" s="25" t="inlineStr">
        <is>
          <t xml:space="preserve">  Operating margin %</t>
        </is>
      </c>
      <c r="C127" s="215">
        <f>IF(AND(ISNUMBER(C125),ISNUMBER(C113)),IFERROR(C125/C113,""),"")</f>
        <v>0.196710841449784</v>
      </c>
      <c r="D127" s="215">
        <f>IF(AND(ISNUMBER(D125),ISNUMBER(D113)),IFERROR(D125/D113,""),"")</f>
        <v>0.511937490956446</v>
      </c>
      <c r="E127" s="215">
        <f>IF(AND(ISNUMBER(E125),ISNUMBER(E113)),IFERROR(E125/E113,""),"")</f>
        <v>0.569001859888407</v>
      </c>
      <c r="F127" s="215">
        <f>IF(AND(ISNUMBER(F125),ISNUMBER(F113)),IFERROR(F125/F113,""),"")</f>
        <v>0.593818023508925</v>
      </c>
      <c r="G127" s="215">
        <f>IF(AND(ISNUMBER(G125),ISNUMBER(G113)),IFERROR(G125/G113,""),"")</f>
        <v>0.205258612417234</v>
      </c>
      <c r="H127" s="215">
        <f>IF(AND(ISNUMBER(H125),ISNUMBER(H113)),IFERROR(H125/H113,""),"")</f>
        <v>0.632466619817288</v>
      </c>
      <c r="I127" s="215">
        <f>IF(AND(ISNUMBER(I125),ISNUMBER(I113)),IFERROR(I125/I113,""),"")</f>
        <v>0.628803245436105</v>
      </c>
      <c r="J127" s="215">
        <f>IF(AND(ISNUMBER(J125),ISNUMBER(J113)),IFERROR(J125/J113,""),"")</f>
        <v>0.609130289903366</v>
      </c>
      <c r="K127" s="215">
        <f>IF(AND(ISNUMBER(K125),ISNUMBER(K113)),IFERROR(K125/K113,""),"")</f>
        <v>0.588967373023882</v>
      </c>
      <c r="L127" s="215">
        <f>IF(AND(ISNUMBER(L125),ISNUMBER(L113)),IFERROR(L125/L113,""),"")</f>
        <v>0.61462047885889</v>
      </c>
      <c r="M127" s="215">
        <f>IF(AND(ISNUMBER(M125),ISNUMBER(M113)),IFERROR(M125/M113,""),"")</f>
        <v>0.658320126782884</v>
      </c>
      <c r="N127" s="215">
        <f>IF(AND(ISNUMBER(N125),ISNUMBER(N113)),IFERROR(N125/N113,""),"")</f>
        <v>0.647486563389188</v>
      </c>
      <c r="O127" s="215">
        <f>IF(AND(ISNUMBER(O125),ISNUMBER(O113)),IFERROR(O125/O113,""),"")</f>
        <v>0.640253565768621</v>
      </c>
      <c r="P127" s="215">
        <f>IF(AND(ISNUMBER(P125),ISNUMBER(P113)),IFERROR(P125/P113,""),"")</f>
        <v>0.480644162279343</v>
      </c>
      <c r="Q127" s="215">
        <f>IF(AND(ISNUMBER(Q125),ISNUMBER(Q113)),IFERROR(Q125/Q113,""),"")</f>
        <v>0.605967564163124</v>
      </c>
      <c r="R127" s="215">
        <f>IF(AND(ISNUMBER(R125),ISNUMBER(R113)),IFERROR(R125/R113,""),"")</f>
        <v>0.66173861620343</v>
      </c>
      <c r="S127" s="215">
        <f>IF(AND(ISNUMBER(S125),ISNUMBER(S113)),IFERROR(S125/S113,""),"")</f>
        <v>0.669111176298035</v>
      </c>
      <c r="T127" s="215">
        <f>IF(AND(ISNUMBER(T125),ISNUMBER(T113)),IFERROR(T125/T113,""),"")</f>
        <v>0.642978965321205</v>
      </c>
      <c r="U127" s="215">
        <f>IF(AND(ISNUMBER(U125),ISNUMBER(U113)),IFERROR(U125/U113,""),"")</f>
        <v>0.639316718006161</v>
      </c>
      <c r="V127" s="215">
        <f>IF(AND(ISNUMBER(V125),ISNUMBER(V113)),IFERROR(V125/V113,""),"")</f>
        <v>0.653025936599424</v>
      </c>
      <c r="W127" s="215">
        <f>IF(AND(ISNUMBER(W125),ISNUMBER(W113)),IFERROR(W125/W113,""),"")</f>
        <v>0.672089761570827</v>
      </c>
      <c r="X127" s="215">
        <f>IF(AND(ISNUMBER(X125),ISNUMBER(X113)),IFERROR(X125/X113,""),"")</f>
        <v>0.671263099834528</v>
      </c>
      <c r="Y127" s="215">
        <f>IF(AND(ISNUMBER(Y125),ISNUMBER(Y113)),IFERROR(Y125/Y113,""),"")</f>
        <v>0.117906336088154</v>
      </c>
      <c r="Z127" s="215">
        <f>IF(AND(ISNUMBER(Z125),ISNUMBER(Z113)),IFERROR(Z125/Z113,""),"")</f>
        <v>0.616052569819291</v>
      </c>
      <c r="AA127" s="215">
        <f>IF(AND(ISNUMBER(AA125),ISNUMBER(AA113)),IFERROR(AA125/AA113,""),"")</f>
        <v>0.522676037660788</v>
      </c>
      <c r="AB127" s="215">
        <f>IF(AND(ISNUMBER(AB125),ISNUMBER(AB113)),IFERROR(AB125/AB113,""),"")</f>
        <v>0.694911454830755</v>
      </c>
      <c r="AC127" s="215">
        <f>IF(AND(ISNUMBER(AC125),ISNUMBER(AC113)),IFERROR(AC125/AC113,""),"")</f>
        <v>0.627205718114809</v>
      </c>
      <c r="AD127" s="215">
        <f>IF(AND(ISNUMBER(AD125),ISNUMBER(AD113)),IFERROR(AD125/AD113,""),"")</f>
        <v>0.662431544359255</v>
      </c>
      <c r="AE127" s="215">
        <f>IF(AND(ISNUMBER(AE125),ISNUMBER(AE113)),IFERROR(AE125/AE113,""),"")</f>
        <v>0.661585993820803</v>
      </c>
      <c r="AF127" s="215">
        <f>IF(AND(ISNUMBER(AF125),ISNUMBER(AF113)),IFERROR(AF125/AF113,""),"")</f>
        <v>0.661509968406145</v>
      </c>
      <c r="AG127" s="215">
        <f>IF(AND(ISNUMBER(AG125),ISNUMBER(AG113)),IFERROR(AG125/AG113,""),"")</f>
        <v>0.684286301933361</v>
      </c>
      <c r="AH127" s="215">
        <f>IF(AND(ISNUMBER(AH125),ISNUMBER(AH113)),IFERROR(AH125/AH113,""),"")</f>
        <v>0.657599053814311</v>
      </c>
      <c r="AI127" s="215">
        <f>IF(AND(ISNUMBER(AI125),ISNUMBER(AI113)),IFERROR(AI125/AI113,""),"")</f>
        <v>0.550572519083969</v>
      </c>
      <c r="AJ127" s="215">
        <f>IF(AND(ISNUMBER(AJ125),ISNUMBER(AJ113)),IFERROR(AJ125/AJ113,""),"")</f>
        <v>0.626794258373206</v>
      </c>
      <c r="AK127" s="215">
        <f>IF(AND(ISNUMBER(AK125),ISNUMBER(AK113)),IFERROR(AK125/AK113,""),"")</f>
        <v>0.628560337716532</v>
      </c>
      <c r="AL127" s="215">
        <f>IF(AND(ISNUMBER(AL125),ISNUMBER(AL113)),IFERROR(AL125/AL113,""),"")</f>
        <v>0.675081729022884</v>
      </c>
      <c r="AM127" s="215">
        <f>IF(AND(ISNUMBER(AM125),ISNUMBER(AM113)),IFERROR(AM125/AM113,""),"")</f>
        <v>0.662722970513287</v>
      </c>
      <c r="AN127" s="215">
        <f>IF(AND(ISNUMBER(AN125),ISNUMBER(AN113)),IFERROR(AN125/AN113,""),"")</f>
        <v>0.669178082191781</v>
      </c>
      <c r="AO127" s="215">
        <f>IF(AND(ISNUMBER(AO125),ISNUMBER(AO113)),IFERROR(AO125/AO113,""),"")</f>
        <v>0.608603552224214</v>
      </c>
      <c r="AP127" s="215">
        <f>IF(AND(ISNUMBER(AP125),ISNUMBER(AP113)),IFERROR(AP125/AP113,""),"")</f>
        <v>0.652870261565914</v>
      </c>
      <c r="AQ127" s="215">
        <f>IF(AND(ISNUMBER(AQ125),ISNUMBER(AQ113)),IFERROR(AQ125/AQ113,""),"")</f>
        <v>0.663363065741658</v>
      </c>
      <c r="AR127" s="215">
        <f>IF(AND(ISNUMBER(AR125),ISNUMBER(AR113)),IFERROR(AR125/AR113,""),"")</f>
        <v>0.670310898530919</v>
      </c>
      <c r="AS127" s="215">
        <f>IF(AND(ISNUMBER(AS125),ISNUMBER(AS113)),IFERROR(AS125/AS113,""),"")</f>
        <v>0.620012404382882</v>
      </c>
      <c r="AT127" s="215">
        <f>IF(AND(ISNUMBER(AT125),ISNUMBER(AT113)),IFERROR(AT125/AT113,""),"")</f>
        <v>0.615957655361694</v>
      </c>
      <c r="AU127" s="215">
        <f>IF(AND(ISNUMBER(AU125),ISNUMBER(AU113)),IFERROR(AU125/AU113,""),"")</f>
        <v>0.644557356037719</v>
      </c>
      <c r="AV127" s="215">
        <f>IF(AND(ISNUMBER(AV125),ISNUMBER(AV113)),IFERROR(AV125/AV113,""),"")</f>
        <v>0.675927554070688</v>
      </c>
      <c r="AW127" s="215">
        <f>IF(AND(ISNUMBER(AW125),ISNUMBER(AW113)),IFERROR(AW125/AW113,""),"")</f>
        <v>0.625065456449642</v>
      </c>
      <c r="AX127" s="215">
        <f>IF(AND(ISNUMBER(AX125),ISNUMBER(AX113)),IFERROR(AX125/AX113,""),"")</f>
        <v>0.662969004893964</v>
      </c>
      <c r="AY127" s="215">
        <f>IF(AND(ISNUMBER(AY125),ISNUMBER(AY113)),IFERROR(AY125/AY113,""),"")</f>
        <v>0.657874676017686</v>
      </c>
      <c r="AZ127" s="215">
        <f>IF(AND(ISNUMBER(AZ125),ISNUMBER(AZ113)),IFERROR(AZ125/AZ113,""),"")</f>
        <v>0.655631611698818</v>
      </c>
      <c r="BA127" s="215">
        <f>IF(AND(ISNUMBER(BA125),ISNUMBER(BA113)),IFERROR(BA125/BA113,""),"")</f>
        <v>0.676583085422864</v>
      </c>
      <c r="BB127" s="215">
        <f>IF(AND(ISNUMBER(BB125),ISNUMBER(BB113)),IFERROR(BB125/BB113,""),"")</f>
        <v>0.667964946445959</v>
      </c>
      <c r="BC127" s="215">
        <f>IF(AND(ISNUMBER(BC125),ISNUMBER(BC113)),IFERROR(BC125/BC113,""),"")</f>
        <v>0.570171821305842</v>
      </c>
      <c r="BD127" s="215">
        <f>IF(AND(ISNUMBER(BD125),ISNUMBER(BD113)),IFERROR(BD125/BD113,""),"")</f>
        <v>0.65326826762553</v>
      </c>
      <c r="BE127" s="215">
        <f>IF(AND(ISNUMBER(BE125),ISNUMBER(BE113)),IFERROR(BE125/BE113,""),"")</f>
        <v>0.641862845445241</v>
      </c>
      <c r="BF127" s="215">
        <f>IF(AND(ISNUMBER(BF125),ISNUMBER(BF113)),IFERROR(BF125/BF113,""),"")</f>
        <v>0.641381048387097</v>
      </c>
      <c r="BG127" s="215">
        <f>IF(AND(ISNUMBER(BG125),ISNUMBER(BG113)),IFERROR(BG125/BG113,""),"")</f>
        <v>0.668252974326863</v>
      </c>
      <c r="BH127" s="215">
        <f>IF(AND(ISNUMBER(BH125),ISNUMBER(BH113)),IFERROR(BH125/BH113,""),"")</f>
        <v>0.618490705404407</v>
      </c>
      <c r="BI127" s="215">
        <f>IF(AND(ISNUMBER(BI125),ISNUMBER(BI113)),IFERROR(BI125/BI113,""),"")</f>
        <v>0.64467417818562</v>
      </c>
      <c r="BJ127" s="215">
        <f>IF(AND(ISNUMBER(BJ125),ISNUMBER(BJ113)),IFERROR(BJ125/BJ113,""),"")</f>
        <v>0.643126205861636</v>
      </c>
      <c r="BK127" s="215">
        <f>IF(AND(ISNUMBER(BK125),ISNUMBER(BK113)),IFERROR(BK125/BK113,""),"")</f>
        <v>0.689599258744499</v>
      </c>
      <c r="BL127" s="215">
        <f>IF(AND(ISNUMBER(BL125),ISNUMBER(BL113)),IFERROR(BL125/BL113,""),"")</f>
        <v>0.61014245014245</v>
      </c>
      <c r="BM127" s="215">
        <f>IF(AND(ISNUMBER(BM125),ISNUMBER(BM113)),IFERROR(BM125/BM113,""),"")</f>
        <v>0.667191011235955</v>
      </c>
      <c r="BN127" s="215">
        <f>IF(AND(ISNUMBER(BN125),ISNUMBER(BN113)),IFERROR(BN125/BN113,""),"")</f>
        <v>0.660185088905064</v>
      </c>
      <c r="BO127" s="215">
        <f>IF(AND(ISNUMBER(BO125),ISNUMBER(BO113)),IFERROR(BO125/BO113,""),"")</f>
        <v>0.656766687078996</v>
      </c>
      <c r="BP127" s="215">
        <f>IF(AND(ISNUMBER(BP125),ISNUMBER(BP113)),IFERROR(BP125/BP113,""),"")</f>
        <v>0.655520504731861</v>
      </c>
      <c r="BQ127" s="215">
        <f>IF(AND(ISNUMBER(BQ125),ISNUMBER(BQ113)),IFERROR(BQ125/BQ113,""),"")</f>
        <v>0.566499895768189</v>
      </c>
      <c r="BR127" s="215">
        <f>IF(AND(ISNUMBER(BR125),ISNUMBER(BR113)),IFERROR(BR125/BR113,""),"")</f>
        <v>0.607255210381439</v>
      </c>
      <c r="BS127" s="215">
        <f>IF(AND(ISNUMBER(BS125),ISNUMBER(BS113)),IFERROR(BS125/BS113,""),"")</f>
        <v>0.573293547183887</v>
      </c>
      <c r="BT127" s="215">
        <f>IF(AND(ISNUMBER(BT125),ISNUMBER(BT113)),IFERROR(BT125/BT113,""),"")</f>
        <v>0.59985</v>
      </c>
      <c r="BU127" s="215">
        <f>IF(AND(ISNUMBER(BU125),ISNUMBER(BU113)),IFERROR(BU125/BU113,""),"")</f>
        <v>0.618016695715989</v>
      </c>
      <c r="BV127" s="215">
        <f>IF(AND(ISNUMBER(BV125),ISNUMBER(BV113)),IFERROR(BV125/BV113,""),"")</f>
        <v>0.644167408726625</v>
      </c>
      <c r="BW127" s="215">
        <f>IF(AND(ISNUMBER(BW125),ISNUMBER(BW113)),IFERROR(BW125/BW113,""),"")</f>
        <v>0.591163070575088</v>
      </c>
      <c r="BX127" s="256">
        <f>IF(AND(ISNUMBER(BX125),ISNUMBER(BX113)),IFERROR(BX125/BX113,""),"")</f>
        <v>0.652501245162757</v>
      </c>
      <c r="BY127" s="256">
        <f>IF(AND(ISNUMBER(BY125),ISNUMBER(BY113)),IFERROR(BY125/BY113,""),"")</f>
        <v>0.626716646681359</v>
      </c>
      <c r="BZ127" s="256">
        <f>IF(AND(ISNUMBER(BZ125),ISNUMBER(BZ113)),IFERROR(BZ125/BZ113,""),"")</f>
        <v>0.668337330622786</v>
      </c>
      <c r="CA127" s="256">
        <f>IF(AND(ISNUMBER(CA125),ISNUMBER(CA113)),IFERROR(CA125/CA113,""),"")</f>
        <v>0.671067500232542</v>
      </c>
      <c r="CB127" s="256">
        <f>IF(AND(ISNUMBER(CB125),ISNUMBER(CB113)),IFERROR(CB125/CB113,""),"")</f>
        <v>0.674682932803702</v>
      </c>
      <c r="CC127" s="256">
        <f>IF(AND(ISNUMBER(CC125),ISNUMBER(CC113)),IFERROR(CC125/CC113,""),"")</f>
        <v>0.67520427912633</v>
      </c>
      <c r="CD127" s="256">
        <f>IF(AND(ISNUMBER(CD125),ISNUMBER(CD113)),IFERROR(CD125/CD113,""),"")</f>
        <v>0.677527449376697</v>
      </c>
      <c r="CE127" s="153" t="n"/>
      <c r="CG127" s="37">
        <f>IFERROR(AVERAGE(BZ127,CA127,CB127,CC127,CD127),"n/m")</f>
        <v>0.673363898432412</v>
      </c>
      <c r="CH127" s="37">
        <f>IFERROR(AVERAGE(AZ127,BE127,BJ127,BO127,BT127),"n/m")</f>
        <v>0.639447470016938</v>
      </c>
      <c r="CI127" s="37">
        <f>IFERROR(AVERAGE(AA127,AF127,AK127,AP127,AU127,AZ127,BE127,BJ127,BO127,BT127),"n/m")</f>
        <v>0.630741131147179</v>
      </c>
      <c r="CJ127" s="37">
        <f>IFERROR(AVERAGE(C127,D127,E127,F127,G127,L127,Q127,V127,AA127,AF127,AK127,AP127,AU127,AZ127,BE127,BJ127,BO127,BT127),"n/m")</f>
        <v>0.569875117739668</v>
      </c>
    </row>
    <row r="128" ht="15" customHeight="1" s="251">
      <c r="B128" s="25" t="inlineStr">
        <is>
          <t>Interest expense</t>
        </is>
      </c>
      <c r="C128" s="253" t="n">
        <v>143</v>
      </c>
      <c r="D128" s="253" t="n">
        <v>115</v>
      </c>
      <c r="E128" s="253" t="n">
        <v>72</v>
      </c>
      <c r="F128" s="253" t="n">
        <v>32</v>
      </c>
      <c r="G128" s="253" t="n">
        <v>0</v>
      </c>
      <c r="H128" s="253" t="n">
        <v>0</v>
      </c>
      <c r="I128" s="253" t="n">
        <v>0</v>
      </c>
      <c r="J128" s="253" t="n">
        <v>0</v>
      </c>
      <c r="K128" s="253" t="n">
        <v>0</v>
      </c>
      <c r="L128" s="253" t="n">
        <v>0</v>
      </c>
      <c r="M128" s="253" t="n">
        <v>0</v>
      </c>
      <c r="N128" s="253" t="n">
        <v>0</v>
      </c>
      <c r="O128" s="253" t="n">
        <v>0</v>
      </c>
      <c r="P128" s="253" t="n">
        <v>0</v>
      </c>
      <c r="Q128" s="253" t="n">
        <v>0</v>
      </c>
      <c r="R128" s="253" t="n">
        <v>0</v>
      </c>
      <c r="S128" s="253" t="n">
        <v>0</v>
      </c>
      <c r="T128" s="253" t="n">
        <v>0</v>
      </c>
      <c r="U128" s="253" t="n">
        <v>0</v>
      </c>
      <c r="V128" s="253" t="n">
        <v>0</v>
      </c>
      <c r="W128" s="253" t="n">
        <v>29</v>
      </c>
      <c r="X128" s="253" t="n">
        <v>132</v>
      </c>
      <c r="Y128" s="253" t="n">
        <v>131</v>
      </c>
      <c r="Z128" s="253" t="n">
        <v>135</v>
      </c>
      <c r="AA128" s="253" t="n">
        <v>427</v>
      </c>
      <c r="AB128" s="253" t="n">
        <v>140</v>
      </c>
      <c r="AC128" s="253" t="n">
        <v>135</v>
      </c>
      <c r="AD128" s="253" t="n">
        <v>140</v>
      </c>
      <c r="AE128" s="253" t="n">
        <v>148</v>
      </c>
      <c r="AF128" s="253" t="n">
        <v>563</v>
      </c>
      <c r="AG128" s="253" t="n">
        <v>154</v>
      </c>
      <c r="AH128" s="253" t="n">
        <v>153</v>
      </c>
      <c r="AI128" s="253" t="n">
        <v>155</v>
      </c>
      <c r="AJ128" s="253" t="n">
        <v>150</v>
      </c>
      <c r="AK128" s="253" t="n">
        <v>612</v>
      </c>
      <c r="AL128" s="253" t="n">
        <v>145</v>
      </c>
      <c r="AM128" s="253" t="n">
        <v>140</v>
      </c>
      <c r="AN128" s="253" t="n">
        <v>128</v>
      </c>
      <c r="AO128" s="253" t="n">
        <v>120</v>
      </c>
      <c r="AP128" s="253" t="n">
        <v>533</v>
      </c>
      <c r="AQ128" s="253" t="n">
        <v>111</v>
      </c>
      <c r="AR128" s="253" t="n">
        <v>118</v>
      </c>
      <c r="AS128" s="253" t="n">
        <v>142</v>
      </c>
      <c r="AT128" s="253" t="n">
        <v>145</v>
      </c>
      <c r="AU128" s="253" t="n">
        <v>516</v>
      </c>
      <c r="AV128" s="253" t="n">
        <v>136</v>
      </c>
      <c r="AW128" s="253" t="n">
        <v>121</v>
      </c>
      <c r="AX128" s="253" t="n">
        <v>131</v>
      </c>
      <c r="AY128" s="253" t="n">
        <v>125</v>
      </c>
      <c r="AZ128" s="253" t="n">
        <v>513</v>
      </c>
      <c r="BA128" s="253" t="n">
        <v>134</v>
      </c>
      <c r="BB128" s="253" t="n">
        <v>134</v>
      </c>
      <c r="BC128" s="253" t="n">
        <v>111</v>
      </c>
      <c r="BD128" s="253" t="n">
        <v>159</v>
      </c>
      <c r="BE128" s="253" t="n">
        <v>538</v>
      </c>
      <c r="BF128" s="253" t="n">
        <v>137</v>
      </c>
      <c r="BG128" s="253" t="n">
        <v>142</v>
      </c>
      <c r="BH128" s="253" t="n">
        <v>182</v>
      </c>
      <c r="BI128" s="253" t="n">
        <v>183</v>
      </c>
      <c r="BJ128" s="253" t="n">
        <v>644</v>
      </c>
      <c r="BK128" s="253" t="n">
        <v>187</v>
      </c>
      <c r="BL128" s="253" t="n">
        <v>82</v>
      </c>
      <c r="BM128" s="253" t="n">
        <v>196</v>
      </c>
      <c r="BN128" s="253" t="n">
        <v>176</v>
      </c>
      <c r="BO128" s="253" t="n">
        <v>641</v>
      </c>
      <c r="BP128" s="253" t="n">
        <v>182</v>
      </c>
      <c r="BQ128" s="253" t="n">
        <v>158</v>
      </c>
      <c r="BR128" s="253" t="n">
        <v>39</v>
      </c>
      <c r="BS128" s="253" t="n">
        <v>210</v>
      </c>
      <c r="BT128" s="253" t="n">
        <v>589</v>
      </c>
      <c r="BU128" s="253" t="n">
        <v>194</v>
      </c>
      <c r="BV128" s="253" t="n">
        <v>178</v>
      </c>
      <c r="BW128" s="253" t="n">
        <v>194</v>
      </c>
      <c r="BX128" s="254">
        <f>$CO$18</f>
        <v>195</v>
      </c>
      <c r="BY128" s="254">
        <f>SUM(BU128:BX128)</f>
        <v>761</v>
      </c>
      <c r="BZ128" s="254">
        <f>BY323*BZ331+BY329*BZ332+BZ333</f>
        <v>735.456</v>
      </c>
      <c r="CA128" s="254">
        <f>BZ323*CA331+BZ329*CA332+CA333</f>
        <v>896.908271935139</v>
      </c>
      <c r="CB128" s="254">
        <f>CA323*CB331+CA329*CB332+CB333</f>
        <v>972.072420929818</v>
      </c>
      <c r="CC128" s="254">
        <f>CB323*CC331+CB329*CC332+CC333</f>
        <v>1049.98294629916</v>
      </c>
      <c r="CD128" s="254">
        <f>CC323*CD331+CC329*CD332+CD333</f>
        <v>1127.10885747991</v>
      </c>
      <c r="CE128" s="19" t="inlineStr">
        <is>
          <t>Shown separately from FY2016 (earlier inside non-operating income). Q4/26E point estimate; 2027E+ = rate × opening notes + rate × opening commercial paper + fees (no circularity).</t>
        </is>
      </c>
    </row>
    <row r="129" ht="15" customHeight="1" s="251">
      <c r="B129" s="25" t="inlineStr">
        <is>
          <t>Investment income (expense) and other</t>
        </is>
      </c>
      <c r="C129" s="253" t="n">
        <v>247</v>
      </c>
      <c r="D129" s="253" t="n">
        <v>577</v>
      </c>
      <c r="E129" s="253" t="n">
        <v>121</v>
      </c>
      <c r="F129" s="253" t="n">
        <v>232</v>
      </c>
      <c r="G129" s="253" t="n">
        <v>68</v>
      </c>
      <c r="H129" s="253" t="n">
        <v>1</v>
      </c>
      <c r="I129" s="253" t="n">
        <v>-3</v>
      </c>
      <c r="J129" s="253" t="n">
        <v>5</v>
      </c>
      <c r="K129" s="253" t="n">
        <v>15</v>
      </c>
      <c r="L129" s="253" t="n">
        <v>18</v>
      </c>
      <c r="M129" s="253" t="n">
        <v>6</v>
      </c>
      <c r="N129" s="253" t="n">
        <v>13</v>
      </c>
      <c r="O129" s="253" t="n">
        <v>10</v>
      </c>
      <c r="P129" s="253" t="n">
        <v>-2</v>
      </c>
      <c r="Q129" s="253" t="n">
        <v>27</v>
      </c>
      <c r="R129" s="253" t="n">
        <v>24</v>
      </c>
      <c r="S129" s="253" t="n">
        <v>1</v>
      </c>
      <c r="T129" s="253" t="n">
        <v>-94</v>
      </c>
      <c r="U129" s="253" t="n">
        <v>0</v>
      </c>
      <c r="V129" s="253" t="n">
        <v>-69</v>
      </c>
      <c r="W129" s="253" t="n">
        <v>272</v>
      </c>
      <c r="X129" s="253" t="n">
        <v>139</v>
      </c>
      <c r="Y129" s="253" t="n">
        <v>125</v>
      </c>
      <c r="Z129" s="253" t="n">
        <v>20</v>
      </c>
      <c r="AA129" s="253" t="n">
        <v>556</v>
      </c>
      <c r="AB129" s="253" t="n">
        <v>19</v>
      </c>
      <c r="AC129" s="253" t="n">
        <v>29</v>
      </c>
      <c r="AD129" s="253" t="n">
        <v>30</v>
      </c>
      <c r="AE129" s="253" t="n">
        <v>35</v>
      </c>
      <c r="AF129" s="253" t="n">
        <v>113</v>
      </c>
      <c r="AG129" s="253" t="n">
        <v>66</v>
      </c>
      <c r="AH129" s="253" t="n">
        <v>34</v>
      </c>
      <c r="AI129" s="253" t="n">
        <v>82</v>
      </c>
      <c r="AJ129" s="253" t="n">
        <v>282</v>
      </c>
      <c r="AK129" s="253" t="n">
        <v>464</v>
      </c>
      <c r="AL129" s="253" t="n">
        <v>58</v>
      </c>
      <c r="AM129" s="253" t="n">
        <v>176</v>
      </c>
      <c r="AN129" s="253" t="n">
        <v>86</v>
      </c>
      <c r="AO129" s="253" t="n">
        <v>96</v>
      </c>
      <c r="AP129" s="253" t="n">
        <v>416</v>
      </c>
      <c r="AQ129" s="253" t="n">
        <v>69</v>
      </c>
      <c r="AR129" s="253" t="n">
        <v>23</v>
      </c>
      <c r="AS129" s="253" t="n">
        <v>75</v>
      </c>
      <c r="AT129" s="253" t="n">
        <v>58</v>
      </c>
      <c r="AU129" s="253" t="n">
        <v>225</v>
      </c>
      <c r="AV129" s="253" t="n">
        <v>40</v>
      </c>
      <c r="AW129" s="253" t="n">
        <v>168</v>
      </c>
      <c r="AX129" s="253" t="n">
        <v>456</v>
      </c>
      <c r="AY129" s="253" t="n">
        <v>108</v>
      </c>
      <c r="AZ129" s="253" t="n">
        <v>772</v>
      </c>
      <c r="BA129" s="253" t="n">
        <v>255</v>
      </c>
      <c r="BB129" s="253" t="n">
        <v>-126</v>
      </c>
      <c r="BC129" s="253" t="n">
        <v>-208</v>
      </c>
      <c r="BD129" s="253" t="n">
        <v>-60</v>
      </c>
      <c r="BE129" s="253" t="n">
        <v>-139</v>
      </c>
      <c r="BF129" s="253" t="n">
        <v>24</v>
      </c>
      <c r="BG129" s="253" t="n">
        <v>84</v>
      </c>
      <c r="BH129" s="253" t="n">
        <v>304</v>
      </c>
      <c r="BI129" s="253" t="n">
        <v>269</v>
      </c>
      <c r="BJ129" s="253" t="n">
        <v>681</v>
      </c>
      <c r="BK129" s="253" t="n">
        <v>275</v>
      </c>
      <c r="BL129" s="253" t="n">
        <v>241</v>
      </c>
      <c r="BM129" s="253" t="n">
        <v>247</v>
      </c>
      <c r="BN129" s="253" t="n">
        <v>199</v>
      </c>
      <c r="BO129" s="253" t="n">
        <v>962</v>
      </c>
      <c r="BP129" s="253" t="n">
        <v>148</v>
      </c>
      <c r="BQ129" s="253" t="n">
        <v>161</v>
      </c>
      <c r="BR129" s="253" t="n">
        <v>195</v>
      </c>
      <c r="BS129" s="253" t="n">
        <v>285</v>
      </c>
      <c r="BT129" s="253" t="n">
        <v>789</v>
      </c>
      <c r="BU129" s="253" t="n">
        <v>183</v>
      </c>
      <c r="BV129" s="253" t="n">
        <v>118</v>
      </c>
      <c r="BW129" s="253" t="n">
        <v>150</v>
      </c>
      <c r="BX129" s="254">
        <f>$CO$19</f>
        <v>114</v>
      </c>
      <c r="BY129" s="254">
        <f>SUM(BU129:BX129)</f>
        <v>565</v>
      </c>
      <c r="BZ129" s="254">
        <f>(BY238+BY266)*BZ334+BZ108*-1</f>
        <v>605.519562929712</v>
      </c>
      <c r="CA129" s="254">
        <f>(BZ238+BZ266)*CA334+CA108*-1</f>
        <v>579.768</v>
      </c>
      <c r="CB129" s="254">
        <f>(CA238+CA266)*CB334+CB108*-1</f>
        <v>559.776</v>
      </c>
      <c r="CC129" s="254">
        <f>(CB238+CB266)*CC334+CC108*-1</f>
        <v>559.776</v>
      </c>
      <c r="CD129" s="254">
        <f>(CC238+CC266)*CD334+CD108*-1</f>
        <v>559.776</v>
      </c>
      <c r="CE129" s="19" t="inlineStr">
        <is>
          <t>Investment income on cash, investment securities and the litigation escrow; equity-investment gains / losses. 2027E+: yield × opening cash &amp; investments.</t>
        </is>
      </c>
    </row>
    <row r="130" ht="15" customHeight="1" s="251">
      <c r="B130" s="16" t="inlineStr">
        <is>
          <t>Total non-operating income (expense)</t>
        </is>
      </c>
      <c r="C130" s="276" t="n">
        <v>104</v>
      </c>
      <c r="D130" s="276" t="n">
        <v>462</v>
      </c>
      <c r="E130" s="276" t="n">
        <v>49</v>
      </c>
      <c r="F130" s="276" t="n">
        <v>200</v>
      </c>
      <c r="G130" s="276" t="n">
        <v>68</v>
      </c>
      <c r="H130" s="276" t="n">
        <v>1</v>
      </c>
      <c r="I130" s="276" t="n">
        <v>-3</v>
      </c>
      <c r="J130" s="276" t="n">
        <v>5</v>
      </c>
      <c r="K130" s="276" t="n">
        <v>15</v>
      </c>
      <c r="L130" s="276" t="n">
        <v>18</v>
      </c>
      <c r="M130" s="276" t="n">
        <v>6</v>
      </c>
      <c r="N130" s="276" t="n">
        <v>13</v>
      </c>
      <c r="O130" s="276" t="n">
        <v>10</v>
      </c>
      <c r="P130" s="276" t="n">
        <v>-2</v>
      </c>
      <c r="Q130" s="276" t="n">
        <v>27</v>
      </c>
      <c r="R130" s="276" t="n">
        <v>24</v>
      </c>
      <c r="S130" s="276" t="n">
        <v>1</v>
      </c>
      <c r="T130" s="276" t="n">
        <v>-94</v>
      </c>
      <c r="U130" s="276" t="n">
        <v>0</v>
      </c>
      <c r="V130" s="276" t="n">
        <v>-69</v>
      </c>
      <c r="W130" s="276" t="n">
        <v>243</v>
      </c>
      <c r="X130" s="276" t="n">
        <v>7</v>
      </c>
      <c r="Y130" s="276" t="n">
        <v>-6</v>
      </c>
      <c r="Z130" s="276" t="n">
        <v>-115</v>
      </c>
      <c r="AA130" s="276" t="n">
        <v>129</v>
      </c>
      <c r="AB130" s="276" t="n">
        <v>-121</v>
      </c>
      <c r="AC130" s="276" t="n">
        <v>-106</v>
      </c>
      <c r="AD130" s="276" t="n">
        <v>-110</v>
      </c>
      <c r="AE130" s="276" t="n">
        <v>-113</v>
      </c>
      <c r="AF130" s="276" t="n">
        <v>-450</v>
      </c>
      <c r="AG130" s="276" t="n">
        <v>-88</v>
      </c>
      <c r="AH130" s="276" t="n">
        <v>-119</v>
      </c>
      <c r="AI130" s="276" t="n">
        <v>-73</v>
      </c>
      <c r="AJ130" s="276" t="n">
        <v>132</v>
      </c>
      <c r="AK130" s="276" t="n">
        <v>-148</v>
      </c>
      <c r="AL130" s="276" t="n">
        <v>-87</v>
      </c>
      <c r="AM130" s="276" t="n">
        <v>36</v>
      </c>
      <c r="AN130" s="276" t="n">
        <v>-42</v>
      </c>
      <c r="AO130" s="276" t="n">
        <v>-24</v>
      </c>
      <c r="AP130" s="276" t="n">
        <v>-117</v>
      </c>
      <c r="AQ130" s="276" t="n">
        <v>-42</v>
      </c>
      <c r="AR130" s="276" t="n">
        <v>-95</v>
      </c>
      <c r="AS130" s="276" t="n">
        <v>-67</v>
      </c>
      <c r="AT130" s="276" t="n">
        <v>-87</v>
      </c>
      <c r="AU130" s="276" t="n">
        <v>-291</v>
      </c>
      <c r="AV130" s="276" t="n">
        <v>-96</v>
      </c>
      <c r="AW130" s="276" t="n">
        <v>47</v>
      </c>
      <c r="AX130" s="276" t="n">
        <v>325</v>
      </c>
      <c r="AY130" s="276" t="n">
        <v>-17</v>
      </c>
      <c r="AZ130" s="276" t="n">
        <v>259</v>
      </c>
      <c r="BA130" s="276" t="n">
        <v>121</v>
      </c>
      <c r="BB130" s="276" t="n">
        <v>-260</v>
      </c>
      <c r="BC130" s="276" t="n">
        <v>-319</v>
      </c>
      <c r="BD130" s="276" t="n">
        <v>-219</v>
      </c>
      <c r="BE130" s="276" t="n">
        <v>-677</v>
      </c>
      <c r="BF130" s="276" t="n">
        <v>-113</v>
      </c>
      <c r="BG130" s="276" t="n">
        <v>-58</v>
      </c>
      <c r="BH130" s="276" t="n">
        <v>122</v>
      </c>
      <c r="BI130" s="276" t="n">
        <v>86</v>
      </c>
      <c r="BJ130" s="276" t="n">
        <v>37</v>
      </c>
      <c r="BK130" s="276" t="n">
        <v>88</v>
      </c>
      <c r="BL130" s="276" t="n">
        <v>159</v>
      </c>
      <c r="BM130" s="276" t="n">
        <v>51</v>
      </c>
      <c r="BN130" s="276" t="n">
        <v>23</v>
      </c>
      <c r="BO130" s="276" t="n">
        <v>321</v>
      </c>
      <c r="BP130" s="276" t="n">
        <v>-34</v>
      </c>
      <c r="BQ130" s="276" t="n">
        <v>3</v>
      </c>
      <c r="BR130" s="276" t="n">
        <v>156</v>
      </c>
      <c r="BS130" s="276" t="n">
        <v>75</v>
      </c>
      <c r="BT130" s="276" t="n">
        <v>200</v>
      </c>
      <c r="BU130" s="276" t="n">
        <v>-11</v>
      </c>
      <c r="BV130" s="276" t="n">
        <v>-60</v>
      </c>
      <c r="BW130" s="276" t="n">
        <v>-44</v>
      </c>
      <c r="BX130" s="265">
        <f>BX129-BX128</f>
        <v>-81</v>
      </c>
      <c r="BY130" s="265">
        <f>SUM(BU130:BX130)</f>
        <v>-196</v>
      </c>
      <c r="BZ130" s="265">
        <f>BZ129-BZ128</f>
        <v>-129.936437070288</v>
      </c>
      <c r="CA130" s="265">
        <f>CA129-CA128</f>
        <v>-317.140271935139</v>
      </c>
      <c r="CB130" s="265">
        <f>CB129-CB128</f>
        <v>-412.296420929818</v>
      </c>
      <c r="CC130" s="265">
        <f>CC129-CC128</f>
        <v>-490.20694629916</v>
      </c>
      <c r="CD130" s="265">
        <f>CD129-CD128</f>
        <v>-567.332857479906</v>
      </c>
      <c r="CE130" s="153" t="n"/>
    </row>
    <row r="131" ht="15" customHeight="1" s="251">
      <c r="B131" s="16" t="inlineStr">
        <is>
          <t>Income before income taxes</t>
        </is>
      </c>
      <c r="C131" s="276" t="n">
        <v>1336</v>
      </c>
      <c r="D131" s="276" t="n">
        <v>4000</v>
      </c>
      <c r="E131" s="276" t="n">
        <v>4638</v>
      </c>
      <c r="F131" s="276" t="n">
        <v>5656</v>
      </c>
      <c r="G131" s="276" t="n">
        <v>2207</v>
      </c>
      <c r="H131" s="276" t="n">
        <v>1801</v>
      </c>
      <c r="I131" s="276" t="n">
        <v>1857</v>
      </c>
      <c r="J131" s="276" t="n">
        <v>1833</v>
      </c>
      <c r="K131" s="276" t="n">
        <v>1766</v>
      </c>
      <c r="L131" s="276" t="n">
        <v>7257</v>
      </c>
      <c r="M131" s="276" t="n">
        <v>2083</v>
      </c>
      <c r="N131" s="276" t="n">
        <v>2061</v>
      </c>
      <c r="O131" s="276" t="n">
        <v>2030</v>
      </c>
      <c r="P131" s="276" t="n">
        <v>1550</v>
      </c>
      <c r="Q131" s="276" t="n">
        <v>7724</v>
      </c>
      <c r="R131" s="276" t="n">
        <v>2262</v>
      </c>
      <c r="S131" s="276" t="n">
        <v>2282</v>
      </c>
      <c r="T131" s="276" t="n">
        <v>2168</v>
      </c>
      <c r="U131" s="276" t="n">
        <v>2283</v>
      </c>
      <c r="V131" s="276" t="n">
        <v>8995</v>
      </c>
      <c r="W131" s="276" t="n">
        <v>2639</v>
      </c>
      <c r="X131" s="276" t="n">
        <v>2441</v>
      </c>
      <c r="Y131" s="276" t="n">
        <v>422</v>
      </c>
      <c r="Z131" s="276" t="n">
        <v>2510</v>
      </c>
      <c r="AA131" s="276" t="n">
        <v>8012</v>
      </c>
      <c r="AB131" s="276" t="n">
        <v>2979</v>
      </c>
      <c r="AC131" s="276" t="n">
        <v>2702</v>
      </c>
      <c r="AD131" s="276" t="n">
        <v>2914</v>
      </c>
      <c r="AE131" s="276" t="n">
        <v>3099</v>
      </c>
      <c r="AF131" s="276" t="n">
        <v>11694</v>
      </c>
      <c r="AG131" s="276" t="n">
        <v>3239</v>
      </c>
      <c r="AH131" s="276" t="n">
        <v>3217</v>
      </c>
      <c r="AI131" s="276" t="n">
        <v>2812</v>
      </c>
      <c r="AJ131" s="276" t="n">
        <v>3538</v>
      </c>
      <c r="AK131" s="276" t="n">
        <v>12806</v>
      </c>
      <c r="AL131" s="276" t="n">
        <v>3630</v>
      </c>
      <c r="AM131" s="276" t="n">
        <v>3677</v>
      </c>
      <c r="AN131" s="276" t="n">
        <v>3866</v>
      </c>
      <c r="AO131" s="276" t="n">
        <v>3711</v>
      </c>
      <c r="AP131" s="276" t="n">
        <v>14884</v>
      </c>
      <c r="AQ131" s="276" t="n">
        <v>3974</v>
      </c>
      <c r="AR131" s="276" t="n">
        <v>3829</v>
      </c>
      <c r="AS131" s="276" t="n">
        <v>2932</v>
      </c>
      <c r="AT131" s="276" t="n">
        <v>3055</v>
      </c>
      <c r="AU131" s="276" t="n">
        <v>13790</v>
      </c>
      <c r="AV131" s="276" t="n">
        <v>3748</v>
      </c>
      <c r="AW131" s="276" t="n">
        <v>3628</v>
      </c>
      <c r="AX131" s="276" t="n">
        <v>4389</v>
      </c>
      <c r="AY131" s="276" t="n">
        <v>4298</v>
      </c>
      <c r="AZ131" s="276" t="n">
        <v>16063</v>
      </c>
      <c r="BA131" s="276" t="n">
        <v>4897</v>
      </c>
      <c r="BB131" s="276" t="n">
        <v>4542</v>
      </c>
      <c r="BC131" s="276" t="n">
        <v>3829</v>
      </c>
      <c r="BD131" s="276" t="n">
        <v>4868</v>
      </c>
      <c r="BE131" s="276" t="n">
        <v>18136</v>
      </c>
      <c r="BF131" s="276" t="n">
        <v>4977</v>
      </c>
      <c r="BG131" s="276" t="n">
        <v>5278</v>
      </c>
      <c r="BH131" s="276" t="n">
        <v>5146</v>
      </c>
      <c r="BI131" s="276" t="n">
        <v>5636</v>
      </c>
      <c r="BJ131" s="276" t="n">
        <v>21037</v>
      </c>
      <c r="BK131" s="276" t="n">
        <v>6042</v>
      </c>
      <c r="BL131" s="276" t="n">
        <v>5513</v>
      </c>
      <c r="BM131" s="276" t="n">
        <v>5989</v>
      </c>
      <c r="BN131" s="276" t="n">
        <v>6372</v>
      </c>
      <c r="BO131" s="276" t="n">
        <v>23916</v>
      </c>
      <c r="BP131" s="276" t="n">
        <v>6200</v>
      </c>
      <c r="BQ131" s="276" t="n">
        <v>5438</v>
      </c>
      <c r="BR131" s="276" t="n">
        <v>6333</v>
      </c>
      <c r="BS131" s="276" t="n">
        <v>6223</v>
      </c>
      <c r="BT131" s="276" t="n">
        <v>24194</v>
      </c>
      <c r="BU131" s="276" t="n">
        <v>6726</v>
      </c>
      <c r="BV131" s="276" t="n">
        <v>7174</v>
      </c>
      <c r="BW131" s="276" t="n">
        <v>6833</v>
      </c>
      <c r="BX131" s="265">
        <f>BX125+BX130</f>
        <v>7826.0883890317</v>
      </c>
      <c r="BY131" s="265">
        <f>SUM(BU131:BX131)</f>
        <v>28559.0883890317</v>
      </c>
      <c r="BZ131" s="265">
        <f>BZ125+BZ130</f>
        <v>33760.7653530001</v>
      </c>
      <c r="CA131" s="265">
        <f>CA125+CA130</f>
        <v>37415.5109703507</v>
      </c>
      <c r="CB131" s="265">
        <f>CB125+CB130</f>
        <v>41370.784973892</v>
      </c>
      <c r="CC131" s="265">
        <f>CC125+CC130</f>
        <v>45267.5417835874</v>
      </c>
      <c r="CD131" s="265">
        <f>CD125+CD130</f>
        <v>49531.1512837586</v>
      </c>
      <c r="CE131" s="153" t="n"/>
    </row>
    <row r="132" ht="15" customHeight="1" s="251">
      <c r="B132" s="57" t="inlineStr">
        <is>
          <t xml:space="preserve">  Check: operating income + non-operating = pre-tax income (should be 0)</t>
        </is>
      </c>
      <c r="C132" s="211">
        <f>IF(ISNUMBER(C131),IF(ABS(C125+C130-C131)&lt;=1.01,0,ROUND(C125+C130-C131,1)),"")</f>
        <v>0</v>
      </c>
      <c r="D132" s="211">
        <f>IF(ISNUMBER(D131),IF(ABS(D125+D130-D131)&lt;=1.01,0,ROUND(D125+D130-D131,1)),"")</f>
        <v>0</v>
      </c>
      <c r="E132" s="211">
        <f>IF(ISNUMBER(E131),IF(ABS(E125+E130-E131)&lt;=1.01,0,ROUND(E125+E130-E131,1)),"")</f>
        <v>0</v>
      </c>
      <c r="F132" s="211">
        <f>IF(ISNUMBER(F131),IF(ABS(F125+F130-F131)&lt;=1.01,0,ROUND(F125+F130-F131,1)),"")</f>
        <v>0</v>
      </c>
      <c r="G132" s="211">
        <f>IF(ISNUMBER(G131),IF(ABS(G125+G130-G131)&lt;=1.01,0,ROUND(G125+G130-G131,1)),"")</f>
        <v>0</v>
      </c>
      <c r="H132" s="211">
        <f>IF(ISNUMBER(H131),IF(ABS(H125+H130-H131)&lt;=1.01,0,ROUND(H125+H130-H131,1)),"")</f>
        <v>0</v>
      </c>
      <c r="I132" s="211">
        <f>IF(ISNUMBER(I131),IF(ABS(I125+I130-I131)&lt;=1.01,0,ROUND(I125+I130-I131,1)),"")</f>
        <v>0</v>
      </c>
      <c r="J132" s="211">
        <f>IF(ISNUMBER(J131),IF(ABS(J125+J130-J131)&lt;=1.01,0,ROUND(J125+J130-J131,1)),"")</f>
        <v>0</v>
      </c>
      <c r="K132" s="211">
        <f>IF(ISNUMBER(K131),IF(ABS(K125+K130-K131)&lt;=1.01,0,ROUND(K125+K130-K131,1)),"")</f>
        <v>0</v>
      </c>
      <c r="L132" s="211">
        <f>IF(ISNUMBER(L131),IF(ABS(L125+L130-L131)&lt;=1.01,0,ROUND(L125+L130-L131,1)),"")</f>
        <v>0</v>
      </c>
      <c r="M132" s="211">
        <f>IF(ISNUMBER(M131),IF(ABS(M125+M130-M131)&lt;=1.01,0,ROUND(M125+M130-M131,1)),"")</f>
        <v>0</v>
      </c>
      <c r="N132" s="211">
        <f>IF(ISNUMBER(N131),IF(ABS(N125+N130-N131)&lt;=1.01,0,ROUND(N125+N130-N131,1)),"")</f>
        <v>0</v>
      </c>
      <c r="O132" s="211">
        <f>IF(ISNUMBER(O131),IF(ABS(O125+O130-O131)&lt;=1.01,0,ROUND(O125+O130-O131,1)),"")</f>
        <v>0</v>
      </c>
      <c r="P132" s="211">
        <f>IF(ISNUMBER(P131),IF(ABS(P125+P130-P131)&lt;=1.01,0,ROUND(P125+P130-P131,1)),"")</f>
        <v>0</v>
      </c>
      <c r="Q132" s="211">
        <f>IF(ISNUMBER(Q131),IF(ABS(Q125+Q130-Q131)&lt;=1.01,0,ROUND(Q125+Q130-Q131,1)),"")</f>
        <v>0</v>
      </c>
      <c r="R132" s="211">
        <f>IF(ISNUMBER(R131),IF(ABS(R125+R130-R131)&lt;=1.01,0,ROUND(R125+R130-R131,1)),"")</f>
        <v>0</v>
      </c>
      <c r="S132" s="211">
        <f>IF(ISNUMBER(S131),IF(ABS(S125+S130-S131)&lt;=1.01,0,ROUND(S125+S130-S131,1)),"")</f>
        <v>0</v>
      </c>
      <c r="T132" s="211">
        <f>IF(ISNUMBER(T131),IF(ABS(T125+T130-T131)&lt;=1.01,0,ROUND(T125+T130-T131,1)),"")</f>
        <v>0</v>
      </c>
      <c r="U132" s="211">
        <f>IF(ISNUMBER(U131),IF(ABS(U125+U130-U131)&lt;=1.01,0,ROUND(U125+U130-U131,1)),"")</f>
        <v>0</v>
      </c>
      <c r="V132" s="211">
        <f>IF(ISNUMBER(V131),IF(ABS(V125+V130-V131)&lt;=1.01,0,ROUND(V125+V130-V131,1)),"")</f>
        <v>0</v>
      </c>
      <c r="W132" s="211">
        <f>IF(ISNUMBER(W131),IF(ABS(W125+W130-W131)&lt;=1.01,0,ROUND(W125+W130-W131,1)),"")</f>
        <v>0</v>
      </c>
      <c r="X132" s="211">
        <f>IF(ISNUMBER(X131),IF(ABS(X125+X130-X131)&lt;=1.01,0,ROUND(X125+X130-X131,1)),"")</f>
        <v>0</v>
      </c>
      <c r="Y132" s="211">
        <f>IF(ISNUMBER(Y131),IF(ABS(Y125+Y130-Y131)&lt;=1.01,0,ROUND(Y125+Y130-Y131,1)),"")</f>
        <v>0</v>
      </c>
      <c r="Z132" s="211">
        <f>IF(ISNUMBER(Z131),IF(ABS(Z125+Z130-Z131)&lt;=1.01,0,ROUND(Z125+Z130-Z131,1)),"")</f>
        <v>0</v>
      </c>
      <c r="AA132" s="211">
        <f>IF(ISNUMBER(AA131),IF(ABS(AA125+AA130-AA131)&lt;=1.01,0,ROUND(AA125+AA130-AA131,1)),"")</f>
        <v>0</v>
      </c>
      <c r="AB132" s="211">
        <f>IF(ISNUMBER(AB131),IF(ABS(AB125+AB130-AB131)&lt;=1.01,0,ROUND(AB125+AB130-AB131,1)),"")</f>
        <v>0</v>
      </c>
      <c r="AC132" s="211">
        <f>IF(ISNUMBER(AC131),IF(ABS(AC125+AC130-AC131)&lt;=1.01,0,ROUND(AC125+AC130-AC131,1)),"")</f>
        <v>0</v>
      </c>
      <c r="AD132" s="211">
        <f>IF(ISNUMBER(AD131),IF(ABS(AD125+AD130-AD131)&lt;=1.01,0,ROUND(AD125+AD130-AD131,1)),"")</f>
        <v>0</v>
      </c>
      <c r="AE132" s="211">
        <f>IF(ISNUMBER(AE131),IF(ABS(AE125+AE130-AE131)&lt;=1.01,0,ROUND(AE125+AE130-AE131,1)),"")</f>
        <v>0</v>
      </c>
      <c r="AF132" s="211">
        <f>IF(ISNUMBER(AF131),IF(ABS(AF125+AF130-AF131)&lt;=1.01,0,ROUND(AF125+AF130-AF131,1)),"")</f>
        <v>0</v>
      </c>
      <c r="AG132" s="211">
        <f>IF(ISNUMBER(AG131),IF(ABS(AG125+AG130-AG131)&lt;=1.01,0,ROUND(AG125+AG130-AG131,1)),"")</f>
        <v>0</v>
      </c>
      <c r="AH132" s="211">
        <f>IF(ISNUMBER(AH131),IF(ABS(AH125+AH130-AH131)&lt;=1.01,0,ROUND(AH125+AH130-AH131,1)),"")</f>
        <v>0</v>
      </c>
      <c r="AI132" s="211">
        <f>IF(ISNUMBER(AI131),IF(ABS(AI125+AI130-AI131)&lt;=1.01,0,ROUND(AI125+AI130-AI131,1)),"")</f>
        <v>0</v>
      </c>
      <c r="AJ132" s="211">
        <f>IF(ISNUMBER(AJ131),IF(ABS(AJ125+AJ130-AJ131)&lt;=1.01,0,ROUND(AJ125+AJ130-AJ131,1)),"")</f>
        <v>0</v>
      </c>
      <c r="AK132" s="211">
        <f>IF(ISNUMBER(AK131),IF(ABS(AK125+AK130-AK131)&lt;=1.01,0,ROUND(AK125+AK130-AK131,1)),"")</f>
        <v>0</v>
      </c>
      <c r="AL132" s="211">
        <f>IF(ISNUMBER(AL131),IF(ABS(AL125+AL130-AL131)&lt;=1.01,0,ROUND(AL125+AL130-AL131,1)),"")</f>
        <v>0</v>
      </c>
      <c r="AM132" s="211">
        <f>IF(ISNUMBER(AM131),IF(ABS(AM125+AM130-AM131)&lt;=1.01,0,ROUND(AM125+AM130-AM131,1)),"")</f>
        <v>0</v>
      </c>
      <c r="AN132" s="211">
        <f>IF(ISNUMBER(AN131),IF(ABS(AN125+AN130-AN131)&lt;=1.01,0,ROUND(AN125+AN130-AN131,1)),"")</f>
        <v>0</v>
      </c>
      <c r="AO132" s="211">
        <f>IF(ISNUMBER(AO131),IF(ABS(AO125+AO130-AO131)&lt;=1.01,0,ROUND(AO125+AO130-AO131,1)),"")</f>
        <v>0</v>
      </c>
      <c r="AP132" s="211">
        <f>IF(ISNUMBER(AP131),IF(ABS(AP125+AP130-AP131)&lt;=1.01,0,ROUND(AP125+AP130-AP131,1)),"")</f>
        <v>0</v>
      </c>
      <c r="AQ132" s="211">
        <f>IF(ISNUMBER(AQ131),IF(ABS(AQ125+AQ130-AQ131)&lt;=1.01,0,ROUND(AQ125+AQ130-AQ131,1)),"")</f>
        <v>0</v>
      </c>
      <c r="AR132" s="211">
        <f>IF(ISNUMBER(AR131),IF(ABS(AR125+AR130-AR131)&lt;=1.01,0,ROUND(AR125+AR130-AR131,1)),"")</f>
        <v>0</v>
      </c>
      <c r="AS132" s="211">
        <f>IF(ISNUMBER(AS131),IF(ABS(AS125+AS130-AS131)&lt;=1.01,0,ROUND(AS125+AS130-AS131,1)),"")</f>
        <v>0</v>
      </c>
      <c r="AT132" s="211">
        <f>IF(ISNUMBER(AT131),IF(ABS(AT125+AT130-AT131)&lt;=1.01,0,ROUND(AT125+AT130-AT131,1)),"")</f>
        <v>0</v>
      </c>
      <c r="AU132" s="211">
        <f>IF(ISNUMBER(AU131),IF(ABS(AU125+AU130-AU131)&lt;=1.01,0,ROUND(AU125+AU130-AU131,1)),"")</f>
        <v>0</v>
      </c>
      <c r="AV132" s="211">
        <f>IF(ISNUMBER(AV131),IF(ABS(AV125+AV130-AV131)&lt;=1.01,0,ROUND(AV125+AV130-AV131,1)),"")</f>
        <v>0</v>
      </c>
      <c r="AW132" s="211">
        <f>IF(ISNUMBER(AW131),IF(ABS(AW125+AW130-AW131)&lt;=1.01,0,ROUND(AW125+AW130-AW131,1)),"")</f>
        <v>0</v>
      </c>
      <c r="AX132" s="211">
        <f>IF(ISNUMBER(AX131),IF(ABS(AX125+AX130-AX131)&lt;=1.01,0,ROUND(AX125+AX130-AX131,1)),"")</f>
        <v>0</v>
      </c>
      <c r="AY132" s="211">
        <f>IF(ISNUMBER(AY131),IF(ABS(AY125+AY130-AY131)&lt;=1.01,0,ROUND(AY125+AY130-AY131,1)),"")</f>
        <v>0</v>
      </c>
      <c r="AZ132" s="211">
        <f>IF(ISNUMBER(AZ131),IF(ABS(AZ125+AZ130-AZ131)&lt;=1.01,0,ROUND(AZ125+AZ130-AZ131,1)),"")</f>
        <v>0</v>
      </c>
      <c r="BA132" s="211">
        <f>IF(ISNUMBER(BA131),IF(ABS(BA125+BA130-BA131)&lt;=1.01,0,ROUND(BA125+BA130-BA131,1)),"")</f>
        <v>0</v>
      </c>
      <c r="BB132" s="211">
        <f>IF(ISNUMBER(BB131),IF(ABS(BB125+BB130-BB131)&lt;=1.01,0,ROUND(BB125+BB130-BB131,1)),"")</f>
        <v>0</v>
      </c>
      <c r="BC132" s="211">
        <f>IF(ISNUMBER(BC131),IF(ABS(BC125+BC130-BC131)&lt;=1.01,0,ROUND(BC125+BC130-BC131,1)),"")</f>
        <v>0</v>
      </c>
      <c r="BD132" s="211">
        <f>IF(ISNUMBER(BD131),IF(ABS(BD125+BD130-BD131)&lt;=1.01,0,ROUND(BD125+BD130-BD131,1)),"")</f>
        <v>0</v>
      </c>
      <c r="BE132" s="211">
        <f>IF(ISNUMBER(BE131),IF(ABS(BE125+BE130-BE131)&lt;=1.01,0,ROUND(BE125+BE130-BE131,1)),"")</f>
        <v>0</v>
      </c>
      <c r="BF132" s="211">
        <f>IF(ISNUMBER(BF131),IF(ABS(BF125+BF130-BF131)&lt;=1.01,0,ROUND(BF125+BF130-BF131,1)),"")</f>
        <v>0</v>
      </c>
      <c r="BG132" s="211">
        <f>IF(ISNUMBER(BG131),IF(ABS(BG125+BG130-BG131)&lt;=1.01,0,ROUND(BG125+BG130-BG131,1)),"")</f>
        <v>0</v>
      </c>
      <c r="BH132" s="211">
        <f>IF(ISNUMBER(BH131),IF(ABS(BH125+BH130-BH131)&lt;=1.01,0,ROUND(BH125+BH130-BH131,1)),"")</f>
        <v>0</v>
      </c>
      <c r="BI132" s="211">
        <f>IF(ISNUMBER(BI131),IF(ABS(BI125+BI130-BI131)&lt;=1.01,0,ROUND(BI125+BI130-BI131,1)),"")</f>
        <v>0</v>
      </c>
      <c r="BJ132" s="211">
        <f>IF(ISNUMBER(BJ131),IF(ABS(BJ125+BJ130-BJ131)&lt;=1.01,0,ROUND(BJ125+BJ130-BJ131,1)),"")</f>
        <v>0</v>
      </c>
      <c r="BK132" s="211">
        <f>IF(ISNUMBER(BK131),IF(ABS(BK125+BK130-BK131)&lt;=1.01,0,ROUND(BK125+BK130-BK131,1)),"")</f>
        <v>0</v>
      </c>
      <c r="BL132" s="211">
        <f>IF(ISNUMBER(BL131),IF(ABS(BL125+BL130-BL131)&lt;=1.01,0,ROUND(BL125+BL130-BL131,1)),"")</f>
        <v>0</v>
      </c>
      <c r="BM132" s="211">
        <f>IF(ISNUMBER(BM131),IF(ABS(BM125+BM130-BM131)&lt;=1.01,0,ROUND(BM125+BM130-BM131,1)),"")</f>
        <v>0</v>
      </c>
      <c r="BN132" s="211">
        <f>IF(ISNUMBER(BN131),IF(ABS(BN125+BN130-BN131)&lt;=1.01,0,ROUND(BN125+BN130-BN131,1)),"")</f>
        <v>0</v>
      </c>
      <c r="BO132" s="211">
        <f>IF(ISNUMBER(BO131),IF(ABS(BO125+BO130-BO131)&lt;=1.01,0,ROUND(BO125+BO130-BO131,1)),"")</f>
        <v>0</v>
      </c>
      <c r="BP132" s="211">
        <f>IF(ISNUMBER(BP131),IF(ABS(BP125+BP130-BP131)&lt;=1.01,0,ROUND(BP125+BP130-BP131,1)),"")</f>
        <v>0</v>
      </c>
      <c r="BQ132" s="211">
        <f>IF(ISNUMBER(BQ131),IF(ABS(BQ125+BQ130-BQ131)&lt;=1.01,0,ROUND(BQ125+BQ130-BQ131,1)),"")</f>
        <v>0</v>
      </c>
      <c r="BR132" s="211">
        <f>IF(ISNUMBER(BR131),IF(ABS(BR125+BR130-BR131)&lt;=1.01,0,ROUND(BR125+BR130-BR131,1)),"")</f>
        <v>0</v>
      </c>
      <c r="BS132" s="211">
        <f>IF(ISNUMBER(BS131),IF(ABS(BS125+BS130-BS131)&lt;=1.01,0,ROUND(BS125+BS130-BS131,1)),"")</f>
        <v>0</v>
      </c>
      <c r="BT132" s="211">
        <f>IF(ISNUMBER(BT131),IF(ABS(BT125+BT130-BT131)&lt;=1.01,0,ROUND(BT125+BT130-BT131,1)),"")</f>
        <v>0</v>
      </c>
      <c r="BU132" s="211">
        <f>IF(ISNUMBER(BU131),IF(ABS(BU125+BU130-BU131)&lt;=1.01,0,ROUND(BU125+BU130-BU131,1)),"")</f>
        <v>0</v>
      </c>
      <c r="BV132" s="211">
        <f>IF(ISNUMBER(BV131),IF(ABS(BV125+BV130-BV131)&lt;=1.01,0,ROUND(BV125+BV130-BV131,1)),"")</f>
        <v>0</v>
      </c>
      <c r="BW132" s="211">
        <f>IF(ISNUMBER(BW131),IF(ABS(BW125+BW130-BW131)&lt;=1.01,0,ROUND(BW125+BW130-BW131,1)),"")</f>
        <v>0</v>
      </c>
      <c r="BX132" s="153" t="n"/>
      <c r="BY132" s="153" t="n"/>
      <c r="BZ132" s="153" t="n"/>
      <c r="CA132" s="153" t="n"/>
      <c r="CB132" s="153" t="n"/>
      <c r="CC132" s="153" t="n"/>
      <c r="CD132" s="153" t="n"/>
      <c r="CE132" s="153" t="n"/>
    </row>
    <row r="133" ht="15" customHeight="1" s="251">
      <c r="B133" s="25" t="inlineStr">
        <is>
          <t>Income tax provision</t>
        </is>
      </c>
      <c r="C133" s="253" t="n">
        <v>532</v>
      </c>
      <c r="D133" s="253" t="n">
        <v>1648</v>
      </c>
      <c r="E133" s="253" t="n">
        <v>1674</v>
      </c>
      <c r="F133" s="253" t="n">
        <v>2010</v>
      </c>
      <c r="G133" s="253" t="n">
        <v>65</v>
      </c>
      <c r="H133" s="253" t="n">
        <v>508</v>
      </c>
      <c r="I133" s="253" t="n">
        <v>587</v>
      </c>
      <c r="J133" s="253" t="n">
        <v>608</v>
      </c>
      <c r="K133" s="253" t="n">
        <v>574</v>
      </c>
      <c r="L133" s="253" t="n">
        <v>2277</v>
      </c>
      <c r="M133" s="253" t="n">
        <v>676</v>
      </c>
      <c r="N133" s="253" t="n">
        <v>463</v>
      </c>
      <c r="O133" s="253" t="n">
        <v>670</v>
      </c>
      <c r="P133" s="253" t="n">
        <v>477</v>
      </c>
      <c r="Q133" s="253" t="n">
        <v>2286</v>
      </c>
      <c r="R133" s="253" t="n">
        <v>693</v>
      </c>
      <c r="S133" s="253" t="n">
        <v>732</v>
      </c>
      <c r="T133" s="253" t="n">
        <v>471</v>
      </c>
      <c r="U133" s="253" t="n">
        <v>771</v>
      </c>
      <c r="V133" s="253" t="n">
        <v>2667</v>
      </c>
      <c r="W133" s="253" t="n">
        <v>698</v>
      </c>
      <c r="X133" s="253" t="n">
        <v>734</v>
      </c>
      <c r="Y133" s="253" t="n">
        <v>10</v>
      </c>
      <c r="Z133" s="253" t="n">
        <v>579</v>
      </c>
      <c r="AA133" s="253" t="n">
        <v>2021</v>
      </c>
      <c r="AB133" s="253" t="n">
        <v>909</v>
      </c>
      <c r="AC133" s="253" t="n">
        <v>2272</v>
      </c>
      <c r="AD133" s="253" t="n">
        <v>855</v>
      </c>
      <c r="AE133" s="253" t="n">
        <v>959</v>
      </c>
      <c r="AF133" s="253" t="n">
        <v>4995</v>
      </c>
      <c r="AG133" s="253" t="n">
        <v>717</v>
      </c>
      <c r="AH133" s="253" t="n">
        <v>612</v>
      </c>
      <c r="AI133" s="253" t="n">
        <v>483</v>
      </c>
      <c r="AJ133" s="253" t="n">
        <v>693</v>
      </c>
      <c r="AK133" s="253" t="n">
        <v>2505</v>
      </c>
      <c r="AL133" s="253" t="n">
        <v>653</v>
      </c>
      <c r="AM133" s="253" t="n">
        <v>700</v>
      </c>
      <c r="AN133" s="253" t="n">
        <v>765</v>
      </c>
      <c r="AO133" s="253" t="n">
        <v>686</v>
      </c>
      <c r="AP133" s="253" t="n">
        <v>2804</v>
      </c>
      <c r="AQ133" s="253" t="n">
        <v>702</v>
      </c>
      <c r="AR133" s="253" t="n">
        <v>745</v>
      </c>
      <c r="AS133" s="253" t="n">
        <v>559</v>
      </c>
      <c r="AT133" s="253" t="n">
        <v>918</v>
      </c>
      <c r="AU133" s="253" t="n">
        <v>2924</v>
      </c>
      <c r="AV133" s="253" t="n">
        <v>622</v>
      </c>
      <c r="AW133" s="253" t="n">
        <v>602</v>
      </c>
      <c r="AX133" s="253" t="n">
        <v>1814</v>
      </c>
      <c r="AY133" s="253" t="n">
        <v>714</v>
      </c>
      <c r="AZ133" s="253" t="n">
        <v>3752</v>
      </c>
      <c r="BA133" s="253" t="n">
        <v>938</v>
      </c>
      <c r="BB133" s="253" t="n">
        <v>895</v>
      </c>
      <c r="BC133" s="253" t="n">
        <v>418</v>
      </c>
      <c r="BD133" s="253" t="n">
        <v>928</v>
      </c>
      <c r="BE133" s="253" t="n">
        <v>3179</v>
      </c>
      <c r="BF133" s="253" t="n">
        <v>798</v>
      </c>
      <c r="BG133" s="253" t="n">
        <v>1021</v>
      </c>
      <c r="BH133" s="253" t="n">
        <v>990</v>
      </c>
      <c r="BI133" s="253" t="n">
        <v>955</v>
      </c>
      <c r="BJ133" s="253" t="n">
        <v>3764</v>
      </c>
      <c r="BK133" s="253" t="n">
        <v>1152</v>
      </c>
      <c r="BL133" s="253" t="n">
        <v>850</v>
      </c>
      <c r="BM133" s="253" t="n">
        <v>1117</v>
      </c>
      <c r="BN133" s="253" t="n">
        <v>1054</v>
      </c>
      <c r="BO133" s="253" t="n">
        <v>4173</v>
      </c>
      <c r="BP133" s="253" t="n">
        <v>1081</v>
      </c>
      <c r="BQ133" s="253" t="n">
        <v>861</v>
      </c>
      <c r="BR133" s="253" t="n">
        <v>1061</v>
      </c>
      <c r="BS133" s="253" t="n">
        <v>1133</v>
      </c>
      <c r="BT133" s="253" t="n">
        <v>4136</v>
      </c>
      <c r="BU133" s="253" t="n">
        <v>873</v>
      </c>
      <c r="BV133" s="253" t="n">
        <v>1153</v>
      </c>
      <c r="BW133" s="253" t="n">
        <v>1205</v>
      </c>
      <c r="BX133" s="254">
        <f>BX196+BX187</f>
        <v>1486.95679391602</v>
      </c>
      <c r="BY133" s="254">
        <f>SUM(BU133:BX133)</f>
        <v>4717.95679391602</v>
      </c>
      <c r="BZ133" s="254">
        <f>BZ196+BZ187</f>
        <v>6245.74159030502</v>
      </c>
      <c r="CA133" s="254">
        <f>CA196+CA187</f>
        <v>6921.86952951487</v>
      </c>
      <c r="CB133" s="254">
        <f>CB196+CB187</f>
        <v>7653.59522017003</v>
      </c>
      <c r="CC133" s="254">
        <f>CC196+CC187</f>
        <v>8374.49522996367</v>
      </c>
      <c r="CD133" s="254">
        <f>CD196+CD187</f>
        <v>9163.26298749533</v>
      </c>
      <c r="CE133" s="19" t="inlineStr">
        <is>
          <t>Forecast = non-GAAP tax + tax effect of the adjusting items (negative; items taxed at the non-GAAP rate).</t>
        </is>
      </c>
    </row>
    <row r="134" ht="15" customHeight="1" s="251">
      <c r="B134" s="25" t="inlineStr">
        <is>
          <t xml:space="preserve">  Effective tax rate</t>
        </is>
      </c>
      <c r="C134" s="215">
        <f>IF(AND(ISNUMBER(C133),ISNUMBER(C131)),IFERROR(C133/C131,""),"")</f>
        <v>0.398203592814371</v>
      </c>
      <c r="D134" s="215">
        <f>IF(AND(ISNUMBER(D133),ISNUMBER(D131)),IFERROR(D133/D131,""),"")</f>
        <v>0.412</v>
      </c>
      <c r="E134" s="215">
        <f>IF(AND(ISNUMBER(E133),ISNUMBER(E131)),IFERROR(E133/E131,""),"")</f>
        <v>0.360931435963777</v>
      </c>
      <c r="F134" s="215">
        <f>IF(AND(ISNUMBER(F133),ISNUMBER(F131)),IFERROR(F133/F131,""),"")</f>
        <v>0.355374823196605</v>
      </c>
      <c r="G134" s="215">
        <f>IF(AND(ISNUMBER(G133),ISNUMBER(G131)),IFERROR(G133/G131,""),"")</f>
        <v>0.0294517444494789</v>
      </c>
      <c r="H134" s="215">
        <f>IF(AND(ISNUMBER(H133),ISNUMBER(H131)),IFERROR(H133/H131,""),"")</f>
        <v>0.282065519156024</v>
      </c>
      <c r="I134" s="215">
        <f>IF(AND(ISNUMBER(I133),ISNUMBER(I131)),IFERROR(I133/I131,""),"")</f>
        <v>0.316101238556812</v>
      </c>
      <c r="J134" s="215">
        <f>IF(AND(ISNUMBER(J133),ISNUMBER(J131)),IFERROR(J133/J131,""),"")</f>
        <v>0.331696672122204</v>
      </c>
      <c r="K134" s="215">
        <f>IF(AND(ISNUMBER(K133),ISNUMBER(K131)),IFERROR(K133/K131,""),"")</f>
        <v>0.325028312570781</v>
      </c>
      <c r="L134" s="215">
        <f>IF(AND(ISNUMBER(L133),ISNUMBER(L131)),IFERROR(L133/L131,""),"")</f>
        <v>0.313766019016122</v>
      </c>
      <c r="M134" s="215">
        <f>IF(AND(ISNUMBER(M133),ISNUMBER(M131)),IFERROR(M133/M131,""),"")</f>
        <v>0.324531925108017</v>
      </c>
      <c r="N134" s="215">
        <f>IF(AND(ISNUMBER(N133),ISNUMBER(N131)),IFERROR(N133/N131,""),"")</f>
        <v>0.224648229015041</v>
      </c>
      <c r="O134" s="215">
        <f>IF(AND(ISNUMBER(O133),ISNUMBER(O131)),IFERROR(O133/O131,""),"")</f>
        <v>0.330049261083744</v>
      </c>
      <c r="P134" s="215">
        <f>IF(AND(ISNUMBER(P133),ISNUMBER(P131)),IFERROR(P133/P131,""),"")</f>
        <v>0.307741935483871</v>
      </c>
      <c r="Q134" s="215">
        <f>IF(AND(ISNUMBER(Q133),ISNUMBER(Q131)),IFERROR(Q133/Q131,""),"")</f>
        <v>0.295960642154324</v>
      </c>
      <c r="R134" s="215">
        <f>IF(AND(ISNUMBER(R133),ISNUMBER(R131)),IFERROR(R133/R131,""),"")</f>
        <v>0.306366047745358</v>
      </c>
      <c r="S134" s="215">
        <f>IF(AND(ISNUMBER(S133),ISNUMBER(S131)),IFERROR(S133/S131,""),"")</f>
        <v>0.320771253286591</v>
      </c>
      <c r="T134" s="215">
        <f>IF(AND(ISNUMBER(T133),ISNUMBER(T131)),IFERROR(T133/T131,""),"")</f>
        <v>0.217250922509225</v>
      </c>
      <c r="U134" s="215">
        <f>IF(AND(ISNUMBER(U133),ISNUMBER(U131)),IFERROR(U133/U131,""),"")</f>
        <v>0.337713534822602</v>
      </c>
      <c r="V134" s="215">
        <f>IF(AND(ISNUMBER(V133),ISNUMBER(V131)),IFERROR(V133/V131,""),"")</f>
        <v>0.296498054474708</v>
      </c>
      <c r="W134" s="215">
        <f>IF(AND(ISNUMBER(W133),ISNUMBER(W131)),IFERROR(W133/W131,""),"")</f>
        <v>0.264494126563092</v>
      </c>
      <c r="X134" s="215">
        <f>IF(AND(ISNUMBER(X133),ISNUMBER(X131)),IFERROR(X133/X131,""),"")</f>
        <v>0.300696435886932</v>
      </c>
      <c r="Y134" s="215">
        <f>IF(AND(ISNUMBER(Y133),ISNUMBER(Y131)),IFERROR(Y133/Y131,""),"")</f>
        <v>0.023696682464455</v>
      </c>
      <c r="Z134" s="215">
        <f>IF(AND(ISNUMBER(Z133),ISNUMBER(Z131)),IFERROR(Z133/Z131,""),"")</f>
        <v>0.230677290836653</v>
      </c>
      <c r="AA134" s="215">
        <f>IF(AND(ISNUMBER(AA133),ISNUMBER(AA131)),IFERROR(AA133/AA131,""),"")</f>
        <v>0.252246630054918</v>
      </c>
      <c r="AB134" s="215">
        <f>IF(AND(ISNUMBER(AB133),ISNUMBER(AB131)),IFERROR(AB133/AB131,""),"")</f>
        <v>0.305135951661631</v>
      </c>
      <c r="AC134" s="215">
        <f>IF(AND(ISNUMBER(AC133),ISNUMBER(AC131)),IFERROR(AC133/AC131,""),"")</f>
        <v>0.840858623242043</v>
      </c>
      <c r="AD134" s="215">
        <f>IF(AND(ISNUMBER(AD133),ISNUMBER(AD131)),IFERROR(AD133/AD131,""),"")</f>
        <v>0.293411118737131</v>
      </c>
      <c r="AE134" s="215">
        <f>IF(AND(ISNUMBER(AE133),ISNUMBER(AE131)),IFERROR(AE133/AE131,""),"")</f>
        <v>0.30945466279445</v>
      </c>
      <c r="AF134" s="215">
        <f>IF(AND(ISNUMBER(AF133),ISNUMBER(AF131)),IFERROR(AF133/AF131,""),"")</f>
        <v>0.427142124166239</v>
      </c>
      <c r="AG134" s="215">
        <f>IF(AND(ISNUMBER(AG133),ISNUMBER(AG131)),IFERROR(AG133/AG131,""),"")</f>
        <v>0.221364618709478</v>
      </c>
      <c r="AH134" s="215">
        <f>IF(AND(ISNUMBER(AH133),ISNUMBER(AH131)),IFERROR(AH133/AH131,""),"")</f>
        <v>0.190239353434877</v>
      </c>
      <c r="AI134" s="215">
        <f>IF(AND(ISNUMBER(AI133),ISNUMBER(AI131)),IFERROR(AI133/AI131,""),"")</f>
        <v>0.17176386913229</v>
      </c>
      <c r="AJ134" s="215">
        <f>IF(AND(ISNUMBER(AJ133),ISNUMBER(AJ131)),IFERROR(AJ133/AJ131,""),"")</f>
        <v>0.195873374788016</v>
      </c>
      <c r="AK134" s="215">
        <f>IF(AND(ISNUMBER(AK133),ISNUMBER(AK131)),IFERROR(AK133/AK131,""),"")</f>
        <v>0.195611432141184</v>
      </c>
      <c r="AL134" s="215">
        <f>IF(AND(ISNUMBER(AL133),ISNUMBER(AL131)),IFERROR(AL133/AL131,""),"")</f>
        <v>0.179889807162534</v>
      </c>
      <c r="AM134" s="215">
        <f>IF(AND(ISNUMBER(AM133),ISNUMBER(AM131)),IFERROR(AM133/AM131,""),"")</f>
        <v>0.190372586347566</v>
      </c>
      <c r="AN134" s="215">
        <f>IF(AND(ISNUMBER(AN133),ISNUMBER(AN131)),IFERROR(AN133/AN131,""),"")</f>
        <v>0.197878944645629</v>
      </c>
      <c r="AO134" s="215">
        <f>IF(AND(ISNUMBER(AO133),ISNUMBER(AO131)),IFERROR(AO133/AO131,""),"")</f>
        <v>0.184855834007006</v>
      </c>
      <c r="AP134" s="215">
        <f>IF(AND(ISNUMBER(AP133),ISNUMBER(AP131)),IFERROR(AP133/AP131,""),"")</f>
        <v>0.188390217683418</v>
      </c>
      <c r="AQ134" s="215">
        <f>IF(AND(ISNUMBER(AQ133),ISNUMBER(AQ131)),IFERROR(AQ133/AQ131,""),"")</f>
        <v>0.176648213387016</v>
      </c>
      <c r="AR134" s="215">
        <f>IF(AND(ISNUMBER(AR133),ISNUMBER(AR131)),IFERROR(AR133/AR131,""),"")</f>
        <v>0.194567772264299</v>
      </c>
      <c r="AS134" s="215">
        <f>IF(AND(ISNUMBER(AS133),ISNUMBER(AS131)),IFERROR(AS133/AS131,""),"")</f>
        <v>0.190654843110505</v>
      </c>
      <c r="AT134" s="215">
        <f>IF(AND(ISNUMBER(AT133),ISNUMBER(AT131)),IFERROR(AT133/AT131,""),"")</f>
        <v>0.300490998363339</v>
      </c>
      <c r="AU134" s="215">
        <f>IF(AND(ISNUMBER(AU133),ISNUMBER(AU131)),IFERROR(AU133/AU131,""),"")</f>
        <v>0.212037708484409</v>
      </c>
      <c r="AV134" s="215">
        <f>IF(AND(ISNUMBER(AV133),ISNUMBER(AV131)),IFERROR(AV133/AV131,""),"")</f>
        <v>0.165955176093917</v>
      </c>
      <c r="AW134" s="215">
        <f>IF(AND(ISNUMBER(AW133),ISNUMBER(AW131)),IFERROR(AW133/AW131,""),"")</f>
        <v>0.16593164277839</v>
      </c>
      <c r="AX134" s="215">
        <f>IF(AND(ISNUMBER(AX133),ISNUMBER(AX131)),IFERROR(AX133/AX131,""),"")</f>
        <v>0.413305992253361</v>
      </c>
      <c r="AY134" s="215">
        <f>IF(AND(ISNUMBER(AY133),ISNUMBER(AY131)),IFERROR(AY133/AY131,""),"")</f>
        <v>0.166123778501629</v>
      </c>
      <c r="AZ134" s="215">
        <f>IF(AND(ISNUMBER(AZ133),ISNUMBER(AZ131)),IFERROR(AZ133/AZ131,""),"")</f>
        <v>0.233580277656727</v>
      </c>
      <c r="BA134" s="215">
        <f>IF(AND(ISNUMBER(BA133),ISNUMBER(BA131)),IFERROR(BA133/BA131,""),"")</f>
        <v>0.191545844394527</v>
      </c>
      <c r="BB134" s="215">
        <f>IF(AND(ISNUMBER(BB133),ISNUMBER(BB131)),IFERROR(BB133/BB131,""),"")</f>
        <v>0.19704975781594</v>
      </c>
      <c r="BC134" s="215">
        <f>IF(AND(ISNUMBER(BC133),ISNUMBER(BC131)),IFERROR(BC133/BC131,""),"")</f>
        <v>0.109166884303996</v>
      </c>
      <c r="BD134" s="215">
        <f>IF(AND(ISNUMBER(BD133),ISNUMBER(BD131)),IFERROR(BD133/BD131,""),"")</f>
        <v>0.19063270336894</v>
      </c>
      <c r="BE134" s="215">
        <f>IF(AND(ISNUMBER(BE133),ISNUMBER(BE131)),IFERROR(BE133/BE131,""),"")</f>
        <v>0.175286722540803</v>
      </c>
      <c r="BF134" s="215">
        <f>IF(AND(ISNUMBER(BF133),ISNUMBER(BF131)),IFERROR(BF133/BF131,""),"")</f>
        <v>0.160337552742616</v>
      </c>
      <c r="BG134" s="215">
        <f>IF(AND(ISNUMBER(BG133),ISNUMBER(BG131)),IFERROR(BG133/BG131,""),"")</f>
        <v>0.193444486547935</v>
      </c>
      <c r="BH134" s="215">
        <f>IF(AND(ISNUMBER(BH133),ISNUMBER(BH131)),IFERROR(BH133/BH131,""),"")</f>
        <v>0.192382432957637</v>
      </c>
      <c r="BI134" s="215">
        <f>IF(AND(ISNUMBER(BI133),ISNUMBER(BI131)),IFERROR(BI133/BI131,""),"")</f>
        <v>0.1694464158978</v>
      </c>
      <c r="BJ134" s="215">
        <f>IF(AND(ISNUMBER(BJ133),ISNUMBER(BJ131)),IFERROR(BJ133/BJ131,""),"")</f>
        <v>0.178922850216286</v>
      </c>
      <c r="BK134" s="215">
        <f>IF(AND(ISNUMBER(BK133),ISNUMBER(BK131)),IFERROR(BK133/BK131,""),"")</f>
        <v>0.190665342601788</v>
      </c>
      <c r="BL134" s="215">
        <f>IF(AND(ISNUMBER(BL133),ISNUMBER(BL131)),IFERROR(BL133/BL131,""),"")</f>
        <v>0.154181026664248</v>
      </c>
      <c r="BM134" s="215">
        <f>IF(AND(ISNUMBER(BM133),ISNUMBER(BM131)),IFERROR(BM133/BM131,""),"")</f>
        <v>0.186508599098347</v>
      </c>
      <c r="BN134" s="215">
        <f>IF(AND(ISNUMBER(BN133),ISNUMBER(BN131)),IFERROR(BN133/BN131,""),"")</f>
        <v>0.16541117388575</v>
      </c>
      <c r="BO134" s="215">
        <f>IF(AND(ISNUMBER(BO133),ISNUMBER(BO131)),IFERROR(BO133/BO131,""),"")</f>
        <v>0.174485699949824</v>
      </c>
      <c r="BP134" s="215">
        <f>IF(AND(ISNUMBER(BP133),ISNUMBER(BP131)),IFERROR(BP133/BP131,""),"")</f>
        <v>0.174354838709677</v>
      </c>
      <c r="BQ134" s="215">
        <f>IF(AND(ISNUMBER(BQ133),ISNUMBER(BQ131)),IFERROR(BQ133/BQ131,""),"")</f>
        <v>0.158330268481059</v>
      </c>
      <c r="BR134" s="215">
        <f>IF(AND(ISNUMBER(BR133),ISNUMBER(BR131)),IFERROR(BR133/BR131,""),"")</f>
        <v>0.167535133428075</v>
      </c>
      <c r="BS134" s="215">
        <f>IF(AND(ISNUMBER(BS133),ISNUMBER(BS131)),IFERROR(BS133/BS131,""),"")</f>
        <v>0.182066527398361</v>
      </c>
      <c r="BT134" s="215">
        <f>IF(AND(ISNUMBER(BT133),ISNUMBER(BT131)),IFERROR(BT133/BT131,""),"")</f>
        <v>0.170951475572456</v>
      </c>
      <c r="BU134" s="215">
        <f>IF(AND(ISNUMBER(BU133),ISNUMBER(BU131)),IFERROR(BU133/BU131,""),"")</f>
        <v>0.129794826048171</v>
      </c>
      <c r="BV134" s="215">
        <f>IF(AND(ISNUMBER(BV133),ISNUMBER(BV131)),IFERROR(BV133/BV131,""),"")</f>
        <v>0.160719264008921</v>
      </c>
      <c r="BW134" s="215">
        <f>IF(AND(ISNUMBER(BW133),ISNUMBER(BW131)),IFERROR(BW133/BW131,""),"")</f>
        <v>0.176350065856871</v>
      </c>
      <c r="BX134" s="256">
        <f>IF(AND(ISNUMBER(BX133),ISNUMBER(BX131)),IFERROR(BX133/BX131,""),"")</f>
        <v>0.19</v>
      </c>
      <c r="BY134" s="256">
        <f>IF(AND(ISNUMBER(BY133),ISNUMBER(BY131)),IFERROR(BY133/BY131,""),"")</f>
        <v>0.165199838651992</v>
      </c>
      <c r="BZ134" s="256">
        <f>IF(AND(ISNUMBER(BZ133),ISNUMBER(BZ131)),IFERROR(BZ133/BZ131,""),"")</f>
        <v>0.185</v>
      </c>
      <c r="CA134" s="256">
        <f>IF(AND(ISNUMBER(CA133),ISNUMBER(CA131)),IFERROR(CA133/CA131,""),"")</f>
        <v>0.185</v>
      </c>
      <c r="CB134" s="256">
        <f>IF(AND(ISNUMBER(CB133),ISNUMBER(CB131)),IFERROR(CB133/CB131,""),"")</f>
        <v>0.185</v>
      </c>
      <c r="CC134" s="256">
        <f>IF(AND(ISNUMBER(CC133),ISNUMBER(CC131)),IFERROR(CC133/CC131,""),"")</f>
        <v>0.185</v>
      </c>
      <c r="CD134" s="256">
        <f>IF(AND(ISNUMBER(CD133),ISNUMBER(CD131)),IFERROR(CD133/CD131,""),"")</f>
        <v>0.185</v>
      </c>
      <c r="CE134" s="153" t="n"/>
      <c r="CG134" s="37">
        <f>IFERROR(AVERAGE(BZ134,CA134,CB134,CC134,CD134),"n/m")</f>
        <v>0.185</v>
      </c>
      <c r="CH134" s="37">
        <f>IFERROR(AVERAGE(AZ134,BE134,BJ134,BO134,BT134),"n/m")</f>
        <v>0.186645405187219</v>
      </c>
      <c r="CI134" s="37">
        <f>IFERROR(AVERAGE(AA134,AF134,AK134,AP134,AU134,AZ134,BE134,BJ134,BO134,BT134),"n/m")</f>
        <v>0.220865513846626</v>
      </c>
      <c r="CJ134" s="37">
        <f>IFERROR(AVERAGE(C134,D134,E134,F134,G134,L134,Q134,V134,AA134,AF134,AK134,AP134,AU134,AZ134,BE134,BJ134,BO134,BT134),"n/m")</f>
        <v>0.259491191696425</v>
      </c>
    </row>
    <row r="135" ht="15" customHeight="1" s="251">
      <c r="B135" s="16" t="inlineStr">
        <is>
          <t>Net income (incl. non-controlling interest)</t>
        </is>
      </c>
      <c r="C135" s="276" t="n">
        <v>804</v>
      </c>
      <c r="D135" s="276" t="n">
        <v>2353</v>
      </c>
      <c r="E135" s="276" t="n">
        <v>2964</v>
      </c>
      <c r="F135" s="276" t="n">
        <v>3646</v>
      </c>
      <c r="G135" s="276" t="n">
        <v>2142</v>
      </c>
      <c r="H135" s="276" t="n">
        <v>1293</v>
      </c>
      <c r="I135" s="276" t="n">
        <v>1270</v>
      </c>
      <c r="J135" s="276" t="n">
        <v>1225</v>
      </c>
      <c r="K135" s="276" t="n">
        <v>1192</v>
      </c>
      <c r="L135" s="276" t="n">
        <v>4980</v>
      </c>
      <c r="M135" s="276" t="n">
        <v>1407</v>
      </c>
      <c r="N135" s="276" t="n">
        <v>1598</v>
      </c>
      <c r="O135" s="276" t="n">
        <v>1360</v>
      </c>
      <c r="P135" s="276" t="n">
        <v>1073</v>
      </c>
      <c r="Q135" s="276" t="n">
        <v>5438</v>
      </c>
      <c r="R135" s="276" t="n">
        <v>1569</v>
      </c>
      <c r="S135" s="276" t="n">
        <v>1550</v>
      </c>
      <c r="T135" s="276" t="n">
        <v>1697</v>
      </c>
      <c r="U135" s="276" t="n">
        <v>1512</v>
      </c>
      <c r="V135" s="276" t="n">
        <v>6328</v>
      </c>
      <c r="W135" s="276" t="n">
        <v>1941</v>
      </c>
      <c r="X135" s="276" t="n">
        <v>1707</v>
      </c>
      <c r="Y135" s="276" t="n">
        <v>412</v>
      </c>
      <c r="Z135" s="276" t="n">
        <v>1931</v>
      </c>
      <c r="AA135" s="276" t="n">
        <v>5991</v>
      </c>
      <c r="AB135" s="276" t="n">
        <v>2070</v>
      </c>
      <c r="AC135" s="276" t="n">
        <v>430</v>
      </c>
      <c r="AD135" s="276" t="n">
        <v>2059</v>
      </c>
      <c r="AE135" s="276" t="n">
        <v>2140</v>
      </c>
      <c r="AF135" s="276" t="n">
        <v>6699</v>
      </c>
      <c r="AG135" s="276" t="n">
        <v>2522</v>
      </c>
      <c r="AH135" s="276" t="n">
        <v>2605</v>
      </c>
      <c r="AI135" s="276" t="n">
        <v>2329</v>
      </c>
      <c r="AJ135" s="276" t="n">
        <v>2845</v>
      </c>
      <c r="AK135" s="276" t="n">
        <v>10301</v>
      </c>
      <c r="AL135" s="276" t="n">
        <v>2977</v>
      </c>
      <c r="AM135" s="276" t="n">
        <v>2977</v>
      </c>
      <c r="AN135" s="276" t="n">
        <v>3101</v>
      </c>
      <c r="AO135" s="276" t="n">
        <v>3025</v>
      </c>
      <c r="AP135" s="276" t="n">
        <v>12080</v>
      </c>
      <c r="AQ135" s="276" t="n">
        <v>3272</v>
      </c>
      <c r="AR135" s="276" t="n">
        <v>3084</v>
      </c>
      <c r="AS135" s="276" t="n">
        <v>2373</v>
      </c>
      <c r="AT135" s="276" t="n">
        <v>2137</v>
      </c>
      <c r="AU135" s="276" t="n">
        <v>10866</v>
      </c>
      <c r="AV135" s="276" t="n">
        <v>3126</v>
      </c>
      <c r="AW135" s="276" t="n">
        <v>3026</v>
      </c>
      <c r="AX135" s="276" t="n">
        <v>2575</v>
      </c>
      <c r="AY135" s="276" t="n">
        <v>3584</v>
      </c>
      <c r="AZ135" s="276" t="n">
        <v>12311</v>
      </c>
      <c r="BA135" s="276" t="n">
        <v>3959</v>
      </c>
      <c r="BB135" s="276" t="n">
        <v>3647</v>
      </c>
      <c r="BC135" s="276" t="n">
        <v>3411</v>
      </c>
      <c r="BD135" s="276" t="n">
        <v>3940</v>
      </c>
      <c r="BE135" s="276" t="n">
        <v>14957</v>
      </c>
      <c r="BF135" s="276" t="n">
        <v>4179</v>
      </c>
      <c r="BG135" s="276" t="n">
        <v>4257</v>
      </c>
      <c r="BH135" s="276" t="n">
        <v>4156</v>
      </c>
      <c r="BI135" s="276" t="n">
        <v>4681</v>
      </c>
      <c r="BJ135" s="276" t="n">
        <v>17273</v>
      </c>
      <c r="BK135" s="276" t="n">
        <v>4890</v>
      </c>
      <c r="BL135" s="276" t="n">
        <v>4663</v>
      </c>
      <c r="BM135" s="276" t="n">
        <v>4872</v>
      </c>
      <c r="BN135" s="276" t="n">
        <v>5318</v>
      </c>
      <c r="BO135" s="276" t="n">
        <v>19743</v>
      </c>
      <c r="BP135" s="276" t="n">
        <v>5119</v>
      </c>
      <c r="BQ135" s="276" t="n">
        <v>4577</v>
      </c>
      <c r="BR135" s="276" t="n">
        <v>5272</v>
      </c>
      <c r="BS135" s="276" t="n">
        <v>5090</v>
      </c>
      <c r="BT135" s="276" t="n">
        <v>20058</v>
      </c>
      <c r="BU135" s="276" t="n">
        <v>5853</v>
      </c>
      <c r="BV135" s="276" t="n">
        <v>6021</v>
      </c>
      <c r="BW135" s="276" t="n">
        <v>5628</v>
      </c>
      <c r="BX135" s="265">
        <f>BX131-BX133</f>
        <v>6339.13159511568</v>
      </c>
      <c r="BY135" s="265">
        <f>SUM(BU135:BX135)</f>
        <v>23841.1315951157</v>
      </c>
      <c r="BZ135" s="265">
        <f>BZ131-BZ133</f>
        <v>27515.0237626951</v>
      </c>
      <c r="CA135" s="265">
        <f>CA131-CA133</f>
        <v>30493.6414408358</v>
      </c>
      <c r="CB135" s="265">
        <f>CB131-CB133</f>
        <v>33717.189753722</v>
      </c>
      <c r="CC135" s="265">
        <f>CC131-CC133</f>
        <v>36893.0465536237</v>
      </c>
      <c r="CD135" s="265">
        <f>CD131-CD133</f>
        <v>40367.8882962632</v>
      </c>
      <c r="CE135" s="153" t="n"/>
    </row>
    <row r="136" ht="15" customHeight="1" s="251">
      <c r="B136" s="25" t="inlineStr">
        <is>
          <t xml:space="preserve">  Non-controlling interest (Visa Japan to FY2012; none since)</t>
        </is>
      </c>
      <c r="C136" s="253" t="n">
        <v>0</v>
      </c>
      <c r="D136" s="253" t="n">
        <v>0</v>
      </c>
      <c r="E136" s="253" t="n">
        <v>-2</v>
      </c>
      <c r="F136" s="253" t="n">
        <v>-4</v>
      </c>
      <c r="G136" s="253" t="n">
        <v>-2</v>
      </c>
      <c r="H136" s="253" t="n">
        <v>0</v>
      </c>
      <c r="I136" s="253" t="n">
        <v>0</v>
      </c>
      <c r="J136" s="253" t="n">
        <v>0</v>
      </c>
      <c r="K136" s="253" t="n">
        <v>0</v>
      </c>
      <c r="L136" s="253" t="n">
        <v>0</v>
      </c>
      <c r="M136" s="253" t="n">
        <v>0</v>
      </c>
      <c r="N136" s="253" t="n">
        <v>0</v>
      </c>
      <c r="O136" s="253" t="n">
        <v>0</v>
      </c>
      <c r="P136" s="253" t="n">
        <v>0</v>
      </c>
      <c r="Q136" s="253" t="n">
        <v>0</v>
      </c>
      <c r="R136" s="253" t="n">
        <v>0</v>
      </c>
      <c r="S136" s="253" t="n">
        <v>0</v>
      </c>
      <c r="T136" s="253" t="n">
        <v>0</v>
      </c>
      <c r="U136" s="253" t="n">
        <v>0</v>
      </c>
      <c r="V136" s="253" t="n">
        <v>0</v>
      </c>
      <c r="W136" s="253" t="n">
        <v>0</v>
      </c>
      <c r="X136" s="253" t="n">
        <v>0</v>
      </c>
      <c r="Y136" s="253" t="n">
        <v>0</v>
      </c>
      <c r="Z136" s="253" t="n">
        <v>0</v>
      </c>
      <c r="AA136" s="253" t="n">
        <v>0</v>
      </c>
      <c r="AB136" s="253" t="n">
        <v>0</v>
      </c>
      <c r="AC136" s="253" t="n">
        <v>0</v>
      </c>
      <c r="AD136" s="253" t="n">
        <v>0</v>
      </c>
      <c r="AE136" s="253" t="n">
        <v>0</v>
      </c>
      <c r="AF136" s="253" t="n">
        <v>0</v>
      </c>
      <c r="AG136" s="253" t="n">
        <v>0</v>
      </c>
      <c r="AH136" s="253" t="n">
        <v>0</v>
      </c>
      <c r="AI136" s="253" t="n">
        <v>0</v>
      </c>
      <c r="AJ136" s="253" t="n">
        <v>0</v>
      </c>
      <c r="AK136" s="253" t="n">
        <v>0</v>
      </c>
      <c r="AL136" s="253" t="n">
        <v>0</v>
      </c>
      <c r="AM136" s="253" t="n">
        <v>0</v>
      </c>
      <c r="AN136" s="253" t="n">
        <v>0</v>
      </c>
      <c r="AO136" s="253" t="n">
        <v>0</v>
      </c>
      <c r="AP136" s="253" t="n">
        <v>0</v>
      </c>
      <c r="AQ136" s="253" t="n">
        <v>0</v>
      </c>
      <c r="AR136" s="253" t="n">
        <v>0</v>
      </c>
      <c r="AS136" s="253" t="n">
        <v>0</v>
      </c>
      <c r="AT136" s="253" t="n">
        <v>0</v>
      </c>
      <c r="AU136" s="253" t="n">
        <v>0</v>
      </c>
      <c r="AV136" s="253" t="n">
        <v>0</v>
      </c>
      <c r="AW136" s="253" t="n">
        <v>0</v>
      </c>
      <c r="AX136" s="253" t="n">
        <v>0</v>
      </c>
      <c r="AY136" s="253" t="n">
        <v>0</v>
      </c>
      <c r="AZ136" s="253" t="n">
        <v>0</v>
      </c>
      <c r="BA136" s="253" t="n">
        <v>0</v>
      </c>
      <c r="BB136" s="253" t="n">
        <v>0</v>
      </c>
      <c r="BC136" s="253" t="n">
        <v>0</v>
      </c>
      <c r="BD136" s="253" t="n">
        <v>0</v>
      </c>
      <c r="BE136" s="253" t="n">
        <v>0</v>
      </c>
      <c r="BF136" s="253" t="n">
        <v>0</v>
      </c>
      <c r="BG136" s="253" t="n">
        <v>0</v>
      </c>
      <c r="BH136" s="253" t="n">
        <v>0</v>
      </c>
      <c r="BI136" s="253" t="n">
        <v>0</v>
      </c>
      <c r="BJ136" s="253" t="n">
        <v>0</v>
      </c>
      <c r="BK136" s="253" t="n">
        <v>0</v>
      </c>
      <c r="BL136" s="253" t="n">
        <v>0</v>
      </c>
      <c r="BM136" s="253" t="n">
        <v>0</v>
      </c>
      <c r="BN136" s="253" t="n">
        <v>0</v>
      </c>
      <c r="BO136" s="253" t="n">
        <v>0</v>
      </c>
      <c r="BP136" s="253" t="n">
        <v>0</v>
      </c>
      <c r="BQ136" s="253" t="n">
        <v>0</v>
      </c>
      <c r="BR136" s="253" t="n">
        <v>0</v>
      </c>
      <c r="BS136" s="253" t="n">
        <v>0</v>
      </c>
      <c r="BT136" s="253" t="n">
        <v>0</v>
      </c>
      <c r="BU136" s="253" t="n">
        <v>0</v>
      </c>
      <c r="BV136" s="253" t="n">
        <v>0</v>
      </c>
      <c r="BW136" s="253" t="n">
        <v>0</v>
      </c>
      <c r="BX136" s="254">
        <f>0</f>
        <v>0</v>
      </c>
      <c r="BY136" s="254">
        <f>SUM(BU136:BX136)</f>
        <v>0</v>
      </c>
      <c r="BZ136" s="254">
        <f>0</f>
        <v>0</v>
      </c>
      <c r="CA136" s="254">
        <f>0</f>
        <v>0</v>
      </c>
      <c r="CB136" s="254">
        <f>0</f>
        <v>0</v>
      </c>
      <c r="CC136" s="254">
        <f>0</f>
        <v>0</v>
      </c>
      <c r="CD136" s="254">
        <f>0</f>
        <v>0</v>
      </c>
      <c r="CE136" s="19" t="n"/>
    </row>
    <row r="137" ht="15" customHeight="1" s="251">
      <c r="B137" s="55" t="inlineStr">
        <is>
          <t>Net income attributable to Visa Inc.</t>
        </is>
      </c>
      <c r="C137" s="266">
        <f>IF(ISNUMBER(C135),C135-N(C136),"")</f>
        <v>804</v>
      </c>
      <c r="D137" s="266">
        <f>IF(ISNUMBER(D135),D135-N(D136),"")</f>
        <v>2353</v>
      </c>
      <c r="E137" s="266">
        <f>IF(ISNUMBER(E135),E135-N(E136),"")</f>
        <v>2966</v>
      </c>
      <c r="F137" s="266">
        <f>IF(ISNUMBER(F135),F135-N(F136),"")</f>
        <v>3650</v>
      </c>
      <c r="G137" s="266">
        <f>IF(ISNUMBER(G135),G135-N(G136),"")</f>
        <v>2144</v>
      </c>
      <c r="H137" s="266">
        <f>IF(ISNUMBER(H135),H135-N(H136),"")</f>
        <v>1293</v>
      </c>
      <c r="I137" s="266">
        <f>IF(ISNUMBER(I135),I135-N(I136),"")</f>
        <v>1270</v>
      </c>
      <c r="J137" s="266">
        <f>IF(ISNUMBER(J135),J135-N(J136),"")</f>
        <v>1225</v>
      </c>
      <c r="K137" s="266">
        <f>IF(ISNUMBER(K135),K135-N(K136),"")</f>
        <v>1192</v>
      </c>
      <c r="L137" s="266">
        <f>IF(ISNUMBER(L135),L135-N(L136),"")</f>
        <v>4980</v>
      </c>
      <c r="M137" s="266">
        <f>IF(ISNUMBER(M135),M135-N(M136),"")</f>
        <v>1407</v>
      </c>
      <c r="N137" s="266">
        <f>IF(ISNUMBER(N135),N135-N(N136),"")</f>
        <v>1598</v>
      </c>
      <c r="O137" s="266">
        <f>IF(ISNUMBER(O135),O135-N(O136),"")</f>
        <v>1360</v>
      </c>
      <c r="P137" s="266">
        <f>IF(ISNUMBER(P135),P135-N(P136),"")</f>
        <v>1073</v>
      </c>
      <c r="Q137" s="266">
        <f>IF(ISNUMBER(Q135),Q135-N(Q136),"")</f>
        <v>5438</v>
      </c>
      <c r="R137" s="266">
        <f>IF(ISNUMBER(R135),R135-N(R136),"")</f>
        <v>1569</v>
      </c>
      <c r="S137" s="266">
        <f>IF(ISNUMBER(S135),S135-N(S136),"")</f>
        <v>1550</v>
      </c>
      <c r="T137" s="266">
        <f>IF(ISNUMBER(T135),T135-N(T136),"")</f>
        <v>1697</v>
      </c>
      <c r="U137" s="266">
        <f>IF(ISNUMBER(U135),U135-N(U136),"")</f>
        <v>1512</v>
      </c>
      <c r="V137" s="266">
        <f>IF(ISNUMBER(V135),V135-N(V136),"")</f>
        <v>6328</v>
      </c>
      <c r="W137" s="266">
        <f>IF(ISNUMBER(W135),W135-N(W136),"")</f>
        <v>1941</v>
      </c>
      <c r="X137" s="266">
        <f>IF(ISNUMBER(X135),X135-N(X136),"")</f>
        <v>1707</v>
      </c>
      <c r="Y137" s="266">
        <f>IF(ISNUMBER(Y135),Y135-N(Y136),"")</f>
        <v>412</v>
      </c>
      <c r="Z137" s="266">
        <f>IF(ISNUMBER(Z135),Z135-N(Z136),"")</f>
        <v>1931</v>
      </c>
      <c r="AA137" s="266">
        <f>IF(ISNUMBER(AA135),AA135-N(AA136),"")</f>
        <v>5991</v>
      </c>
      <c r="AB137" s="266">
        <f>IF(ISNUMBER(AB135),AB135-N(AB136),"")</f>
        <v>2070</v>
      </c>
      <c r="AC137" s="266">
        <f>IF(ISNUMBER(AC135),AC135-N(AC136),"")</f>
        <v>430</v>
      </c>
      <c r="AD137" s="266">
        <f>IF(ISNUMBER(AD135),AD135-N(AD136),"")</f>
        <v>2059</v>
      </c>
      <c r="AE137" s="266">
        <f>IF(ISNUMBER(AE135),AE135-N(AE136),"")</f>
        <v>2140</v>
      </c>
      <c r="AF137" s="266">
        <f>IF(ISNUMBER(AF135),AF135-N(AF136),"")</f>
        <v>6699</v>
      </c>
      <c r="AG137" s="266">
        <f>IF(ISNUMBER(AG135),AG135-N(AG136),"")</f>
        <v>2522</v>
      </c>
      <c r="AH137" s="266">
        <f>IF(ISNUMBER(AH135),AH135-N(AH136),"")</f>
        <v>2605</v>
      </c>
      <c r="AI137" s="266">
        <f>IF(ISNUMBER(AI135),AI135-N(AI136),"")</f>
        <v>2329</v>
      </c>
      <c r="AJ137" s="266">
        <f>IF(ISNUMBER(AJ135),AJ135-N(AJ136),"")</f>
        <v>2845</v>
      </c>
      <c r="AK137" s="266">
        <f>IF(ISNUMBER(AK135),AK135-N(AK136),"")</f>
        <v>10301</v>
      </c>
      <c r="AL137" s="266">
        <f>IF(ISNUMBER(AL135),AL135-N(AL136),"")</f>
        <v>2977</v>
      </c>
      <c r="AM137" s="266">
        <f>IF(ISNUMBER(AM135),AM135-N(AM136),"")</f>
        <v>2977</v>
      </c>
      <c r="AN137" s="266">
        <f>IF(ISNUMBER(AN135),AN135-N(AN136),"")</f>
        <v>3101</v>
      </c>
      <c r="AO137" s="266">
        <f>IF(ISNUMBER(AO135),AO135-N(AO136),"")</f>
        <v>3025</v>
      </c>
      <c r="AP137" s="266">
        <f>IF(ISNUMBER(AP135),AP135-N(AP136),"")</f>
        <v>12080</v>
      </c>
      <c r="AQ137" s="266">
        <f>IF(ISNUMBER(AQ135),AQ135-N(AQ136),"")</f>
        <v>3272</v>
      </c>
      <c r="AR137" s="266">
        <f>IF(ISNUMBER(AR135),AR135-N(AR136),"")</f>
        <v>3084</v>
      </c>
      <c r="AS137" s="266">
        <f>IF(ISNUMBER(AS135),AS135-N(AS136),"")</f>
        <v>2373</v>
      </c>
      <c r="AT137" s="266">
        <f>IF(ISNUMBER(AT135),AT135-N(AT136),"")</f>
        <v>2137</v>
      </c>
      <c r="AU137" s="266">
        <f>IF(ISNUMBER(AU135),AU135-N(AU136),"")</f>
        <v>10866</v>
      </c>
      <c r="AV137" s="266">
        <f>IF(ISNUMBER(AV135),AV135-N(AV136),"")</f>
        <v>3126</v>
      </c>
      <c r="AW137" s="266">
        <f>IF(ISNUMBER(AW135),AW135-N(AW136),"")</f>
        <v>3026</v>
      </c>
      <c r="AX137" s="266">
        <f>IF(ISNUMBER(AX135),AX135-N(AX136),"")</f>
        <v>2575</v>
      </c>
      <c r="AY137" s="266">
        <f>IF(ISNUMBER(AY135),AY135-N(AY136),"")</f>
        <v>3584</v>
      </c>
      <c r="AZ137" s="266">
        <f>IF(ISNUMBER(AZ135),AZ135-N(AZ136),"")</f>
        <v>12311</v>
      </c>
      <c r="BA137" s="266">
        <f>IF(ISNUMBER(BA135),BA135-N(BA136),"")</f>
        <v>3959</v>
      </c>
      <c r="BB137" s="266">
        <f>IF(ISNUMBER(BB135),BB135-N(BB136),"")</f>
        <v>3647</v>
      </c>
      <c r="BC137" s="266">
        <f>IF(ISNUMBER(BC135),BC135-N(BC136),"")</f>
        <v>3411</v>
      </c>
      <c r="BD137" s="266">
        <f>IF(ISNUMBER(BD135),BD135-N(BD136),"")</f>
        <v>3940</v>
      </c>
      <c r="BE137" s="266">
        <f>IF(ISNUMBER(BE135),BE135-N(BE136),"")</f>
        <v>14957</v>
      </c>
      <c r="BF137" s="266">
        <f>IF(ISNUMBER(BF135),BF135-N(BF136),"")</f>
        <v>4179</v>
      </c>
      <c r="BG137" s="266">
        <f>IF(ISNUMBER(BG135),BG135-N(BG136),"")</f>
        <v>4257</v>
      </c>
      <c r="BH137" s="266">
        <f>IF(ISNUMBER(BH135),BH135-N(BH136),"")</f>
        <v>4156</v>
      </c>
      <c r="BI137" s="266">
        <f>IF(ISNUMBER(BI135),BI135-N(BI136),"")</f>
        <v>4681</v>
      </c>
      <c r="BJ137" s="266">
        <f>IF(ISNUMBER(BJ135),BJ135-N(BJ136),"")</f>
        <v>17273</v>
      </c>
      <c r="BK137" s="266">
        <f>IF(ISNUMBER(BK135),BK135-N(BK136),"")</f>
        <v>4890</v>
      </c>
      <c r="BL137" s="266">
        <f>IF(ISNUMBER(BL135),BL135-N(BL136),"")</f>
        <v>4663</v>
      </c>
      <c r="BM137" s="266">
        <f>IF(ISNUMBER(BM135),BM135-N(BM136),"")</f>
        <v>4872</v>
      </c>
      <c r="BN137" s="266">
        <f>IF(ISNUMBER(BN135),BN135-N(BN136),"")</f>
        <v>5318</v>
      </c>
      <c r="BO137" s="266">
        <f>IF(ISNUMBER(BO135),BO135-N(BO136),"")</f>
        <v>19743</v>
      </c>
      <c r="BP137" s="266">
        <f>IF(ISNUMBER(BP135),BP135-N(BP136),"")</f>
        <v>5119</v>
      </c>
      <c r="BQ137" s="266">
        <f>IF(ISNUMBER(BQ135),BQ135-N(BQ136),"")</f>
        <v>4577</v>
      </c>
      <c r="BR137" s="266">
        <f>IF(ISNUMBER(BR135),BR135-N(BR136),"")</f>
        <v>5272</v>
      </c>
      <c r="BS137" s="266">
        <f>IF(ISNUMBER(BS135),BS135-N(BS136),"")</f>
        <v>5090</v>
      </c>
      <c r="BT137" s="266">
        <f>IF(ISNUMBER(BT135),BT135-N(BT136),"")</f>
        <v>20058</v>
      </c>
      <c r="BU137" s="266">
        <f>IF(ISNUMBER(BU135),BU135-N(BU136),"")</f>
        <v>5853</v>
      </c>
      <c r="BV137" s="266">
        <f>IF(ISNUMBER(BV135),BV135-N(BV136),"")</f>
        <v>6021</v>
      </c>
      <c r="BW137" s="266">
        <f>IF(ISNUMBER(BW135),BW135-N(BW136),"")</f>
        <v>5628</v>
      </c>
      <c r="BX137" s="266">
        <f>IF(ISNUMBER(BX135),BX135-N(BX136),"")</f>
        <v>6339.13159511568</v>
      </c>
      <c r="BY137" s="266">
        <f>IF(ISNUMBER(BY135),BY135-N(BY136),"")</f>
        <v>23841.1315951157</v>
      </c>
      <c r="BZ137" s="266">
        <f>IF(ISNUMBER(BZ135),BZ135-N(BZ136),"")</f>
        <v>27515.0237626951</v>
      </c>
      <c r="CA137" s="266">
        <f>IF(ISNUMBER(CA135),CA135-N(CA136),"")</f>
        <v>30493.6414408358</v>
      </c>
      <c r="CB137" s="266">
        <f>IF(ISNUMBER(CB135),CB135-N(CB136),"")</f>
        <v>33717.189753722</v>
      </c>
      <c r="CC137" s="266">
        <f>IF(ISNUMBER(CC135),CC135-N(CC136),"")</f>
        <v>36893.0465536237</v>
      </c>
      <c r="CD137" s="266">
        <f>IF(ISNUMBER(CD135),CD135-N(CD136),"")</f>
        <v>40367.8882962632</v>
      </c>
      <c r="CE137" s="153" t="n"/>
      <c r="CG137" s="20">
        <f>IFERROR((CD137/BY137)^(1/5)-1,"n/m")</f>
        <v>0.111071053869021</v>
      </c>
      <c r="CH137" s="20">
        <f>IFERROR((BT137/AU137)^(1/5)-1,"n/m")</f>
        <v>0.130429767575912</v>
      </c>
      <c r="CI137" s="20">
        <f>IFERROR((BT137/V137)^(1/10)-1,"n/m")</f>
        <v>0.122282305486316</v>
      </c>
      <c r="CJ137" s="20">
        <f>IFERROR((BT137/C137)^(1/17)-1,"n/m")</f>
        <v>0.208309884261384</v>
      </c>
    </row>
    <row r="138" ht="15" customHeight="1" s="251">
      <c r="B138" s="156" t="inlineStr">
        <is>
          <t xml:space="preserve">  Memo: net income attributable as reported</t>
        </is>
      </c>
      <c r="C138" s="253" t="n">
        <v>804</v>
      </c>
      <c r="D138" s="253" t="n">
        <v>2353</v>
      </c>
      <c r="E138" s="253" t="n">
        <v>2966</v>
      </c>
      <c r="F138" s="253" t="n">
        <v>3650</v>
      </c>
      <c r="G138" s="253" t="n">
        <v>2144</v>
      </c>
      <c r="H138" s="253" t="n">
        <v>1293</v>
      </c>
      <c r="I138" s="253" t="n">
        <v>1270</v>
      </c>
      <c r="J138" s="253" t="n">
        <v>1225</v>
      </c>
      <c r="K138" s="253" t="n">
        <v>1192</v>
      </c>
      <c r="L138" s="253" t="n">
        <v>4980</v>
      </c>
      <c r="M138" s="253" t="n">
        <v>1407</v>
      </c>
      <c r="N138" s="253" t="n">
        <v>1598</v>
      </c>
      <c r="O138" s="253" t="n">
        <v>1360</v>
      </c>
      <c r="P138" s="253" t="n">
        <v>1073</v>
      </c>
      <c r="Q138" s="253" t="n">
        <v>5438</v>
      </c>
      <c r="R138" s="253" t="n">
        <v>1569</v>
      </c>
      <c r="S138" s="253" t="n">
        <v>1550</v>
      </c>
      <c r="T138" s="253" t="n">
        <v>1697</v>
      </c>
      <c r="U138" s="253" t="n">
        <v>1512</v>
      </c>
      <c r="V138" s="253" t="n">
        <v>6328</v>
      </c>
      <c r="W138" s="253" t="n">
        <v>1941</v>
      </c>
      <c r="X138" s="253" t="n">
        <v>1707</v>
      </c>
      <c r="Y138" s="253" t="n">
        <v>412</v>
      </c>
      <c r="Z138" s="253" t="n">
        <v>1931</v>
      </c>
      <c r="AA138" s="253" t="n">
        <v>5991</v>
      </c>
      <c r="AB138" s="253" t="n">
        <v>2070</v>
      </c>
      <c r="AC138" s="253" t="n">
        <v>430</v>
      </c>
      <c r="AD138" s="253" t="n">
        <v>2059</v>
      </c>
      <c r="AE138" s="253" t="n">
        <v>2140</v>
      </c>
      <c r="AF138" s="253" t="n">
        <v>6699</v>
      </c>
      <c r="AG138" s="253" t="n">
        <v>2522</v>
      </c>
      <c r="AH138" s="253" t="n">
        <v>2605</v>
      </c>
      <c r="AI138" s="253" t="n">
        <v>2329</v>
      </c>
      <c r="AJ138" s="253" t="n">
        <v>2845</v>
      </c>
      <c r="AK138" s="253" t="n">
        <v>10301</v>
      </c>
      <c r="AL138" s="253" t="n">
        <v>2977</v>
      </c>
      <c r="AM138" s="253" t="n">
        <v>2977</v>
      </c>
      <c r="AN138" s="253" t="n">
        <v>3101</v>
      </c>
      <c r="AO138" s="253" t="n">
        <v>3025</v>
      </c>
      <c r="AP138" s="253" t="n">
        <v>12080</v>
      </c>
      <c r="AQ138" s="253" t="n">
        <v>3272</v>
      </c>
      <c r="AR138" s="253" t="n">
        <v>3084</v>
      </c>
      <c r="AS138" s="253" t="n">
        <v>2373</v>
      </c>
      <c r="AT138" s="253" t="n">
        <v>2137</v>
      </c>
      <c r="AU138" s="253" t="n">
        <v>10866</v>
      </c>
      <c r="AV138" s="253" t="n">
        <v>3126</v>
      </c>
      <c r="AW138" s="253" t="n">
        <v>3026</v>
      </c>
      <c r="AX138" s="253" t="n">
        <v>2575</v>
      </c>
      <c r="AY138" s="253" t="n">
        <v>3584</v>
      </c>
      <c r="AZ138" s="253" t="n">
        <v>12311</v>
      </c>
      <c r="BA138" s="253" t="n">
        <v>3959</v>
      </c>
      <c r="BB138" s="253" t="n">
        <v>3647</v>
      </c>
      <c r="BC138" s="253" t="n">
        <v>3411</v>
      </c>
      <c r="BD138" s="253" t="n">
        <v>3940</v>
      </c>
      <c r="BE138" s="253" t="n">
        <v>14957</v>
      </c>
      <c r="BF138" s="253" t="n">
        <v>4179</v>
      </c>
      <c r="BG138" s="253" t="n">
        <v>4257</v>
      </c>
      <c r="BH138" s="253" t="n">
        <v>4156</v>
      </c>
      <c r="BI138" s="253" t="n">
        <v>4681</v>
      </c>
      <c r="BJ138" s="253" t="n">
        <v>17273</v>
      </c>
      <c r="BK138" s="253" t="n">
        <v>4890</v>
      </c>
      <c r="BL138" s="253" t="n">
        <v>4663</v>
      </c>
      <c r="BM138" s="253" t="n">
        <v>4872</v>
      </c>
      <c r="BN138" s="253" t="n">
        <v>5318</v>
      </c>
      <c r="BO138" s="253" t="n">
        <v>19743</v>
      </c>
      <c r="BP138" s="253" t="n">
        <v>5119</v>
      </c>
      <c r="BQ138" s="253" t="n">
        <v>4577</v>
      </c>
      <c r="BR138" s="253" t="n">
        <v>5272</v>
      </c>
      <c r="BS138" s="253" t="n">
        <v>5090</v>
      </c>
      <c r="BT138" s="253" t="n">
        <v>20058</v>
      </c>
      <c r="BU138" s="253" t="n">
        <v>5853</v>
      </c>
      <c r="BV138" s="253" t="n">
        <v>6021</v>
      </c>
      <c r="BW138" s="253" t="n">
        <v>5628</v>
      </c>
      <c r="BX138" s="153" t="n"/>
      <c r="BY138" s="153" t="n"/>
      <c r="BZ138" s="153" t="n"/>
      <c r="CA138" s="153" t="n"/>
      <c r="CB138" s="153" t="n"/>
      <c r="CC138" s="153" t="n"/>
      <c r="CD138" s="153" t="n"/>
      <c r="CE138" s="153" t="n"/>
    </row>
    <row r="139" ht="15" customHeight="1" s="251">
      <c r="B139" s="57" t="inlineStr">
        <is>
          <t xml:space="preserve">  Check: net income vs reported (should be 0)</t>
        </is>
      </c>
      <c r="C139" s="211">
        <f>IF(ISNUMBER(C138),IF(ABS(C137-C138)&lt;=1.01,0,ROUND(C137-C138,1)),"")</f>
        <v>0</v>
      </c>
      <c r="D139" s="211">
        <f>IF(ISNUMBER(D138),IF(ABS(D137-D138)&lt;=1.01,0,ROUND(D137-D138,1)),"")</f>
        <v>0</v>
      </c>
      <c r="E139" s="211">
        <f>IF(ISNUMBER(E138),IF(ABS(E137-E138)&lt;=1.01,0,ROUND(E137-E138,1)),"")</f>
        <v>0</v>
      </c>
      <c r="F139" s="211">
        <f>IF(ISNUMBER(F138),IF(ABS(F137-F138)&lt;=1.01,0,ROUND(F137-F138,1)),"")</f>
        <v>0</v>
      </c>
      <c r="G139" s="211">
        <f>IF(ISNUMBER(G138),IF(ABS(G137-G138)&lt;=1.01,0,ROUND(G137-G138,1)),"")</f>
        <v>0</v>
      </c>
      <c r="H139" s="211">
        <f>IF(ISNUMBER(H138),IF(ABS(H137-H138)&lt;=1.01,0,ROUND(H137-H138,1)),"")</f>
        <v>0</v>
      </c>
      <c r="I139" s="211">
        <f>IF(ISNUMBER(I138),IF(ABS(I137-I138)&lt;=1.01,0,ROUND(I137-I138,1)),"")</f>
        <v>0</v>
      </c>
      <c r="J139" s="211">
        <f>IF(ISNUMBER(J138),IF(ABS(J137-J138)&lt;=1.01,0,ROUND(J137-J138,1)),"")</f>
        <v>0</v>
      </c>
      <c r="K139" s="211">
        <f>IF(ISNUMBER(K138),IF(ABS(K137-K138)&lt;=1.01,0,ROUND(K137-K138,1)),"")</f>
        <v>0</v>
      </c>
      <c r="L139" s="211">
        <f>IF(ISNUMBER(L138),IF(ABS(L137-L138)&lt;=1.01,0,ROUND(L137-L138,1)),"")</f>
        <v>0</v>
      </c>
      <c r="M139" s="211">
        <f>IF(ISNUMBER(M138),IF(ABS(M137-M138)&lt;=1.01,0,ROUND(M137-M138,1)),"")</f>
        <v>0</v>
      </c>
      <c r="N139" s="211">
        <f>IF(ISNUMBER(N138),IF(ABS(N137-N138)&lt;=1.01,0,ROUND(N137-N138,1)),"")</f>
        <v>0</v>
      </c>
      <c r="O139" s="211">
        <f>IF(ISNUMBER(O138),IF(ABS(O137-O138)&lt;=1.01,0,ROUND(O137-O138,1)),"")</f>
        <v>0</v>
      </c>
      <c r="P139" s="211">
        <f>IF(ISNUMBER(P138),IF(ABS(P137-P138)&lt;=1.01,0,ROUND(P137-P138,1)),"")</f>
        <v>0</v>
      </c>
      <c r="Q139" s="211">
        <f>IF(ISNUMBER(Q138),IF(ABS(Q137-Q138)&lt;=1.01,0,ROUND(Q137-Q138,1)),"")</f>
        <v>0</v>
      </c>
      <c r="R139" s="211">
        <f>IF(ISNUMBER(R138),IF(ABS(R137-R138)&lt;=1.01,0,ROUND(R137-R138,1)),"")</f>
        <v>0</v>
      </c>
      <c r="S139" s="211">
        <f>IF(ISNUMBER(S138),IF(ABS(S137-S138)&lt;=1.01,0,ROUND(S137-S138,1)),"")</f>
        <v>0</v>
      </c>
      <c r="T139" s="211">
        <f>IF(ISNUMBER(T138),IF(ABS(T137-T138)&lt;=1.01,0,ROUND(T137-T138,1)),"")</f>
        <v>0</v>
      </c>
      <c r="U139" s="211">
        <f>IF(ISNUMBER(U138),IF(ABS(U137-U138)&lt;=1.01,0,ROUND(U137-U138,1)),"")</f>
        <v>0</v>
      </c>
      <c r="V139" s="211">
        <f>IF(ISNUMBER(V138),IF(ABS(V137-V138)&lt;=1.01,0,ROUND(V137-V138,1)),"")</f>
        <v>0</v>
      </c>
      <c r="W139" s="211">
        <f>IF(ISNUMBER(W138),IF(ABS(W137-W138)&lt;=1.01,0,ROUND(W137-W138,1)),"")</f>
        <v>0</v>
      </c>
      <c r="X139" s="211">
        <f>IF(ISNUMBER(X138),IF(ABS(X137-X138)&lt;=1.01,0,ROUND(X137-X138,1)),"")</f>
        <v>0</v>
      </c>
      <c r="Y139" s="211">
        <f>IF(ISNUMBER(Y138),IF(ABS(Y137-Y138)&lt;=1.01,0,ROUND(Y137-Y138,1)),"")</f>
        <v>0</v>
      </c>
      <c r="Z139" s="211">
        <f>IF(ISNUMBER(Z138),IF(ABS(Z137-Z138)&lt;=1.01,0,ROUND(Z137-Z138,1)),"")</f>
        <v>0</v>
      </c>
      <c r="AA139" s="211">
        <f>IF(ISNUMBER(AA138),IF(ABS(AA137-AA138)&lt;=1.01,0,ROUND(AA137-AA138,1)),"")</f>
        <v>0</v>
      </c>
      <c r="AB139" s="211">
        <f>IF(ISNUMBER(AB138),IF(ABS(AB137-AB138)&lt;=1.01,0,ROUND(AB137-AB138,1)),"")</f>
        <v>0</v>
      </c>
      <c r="AC139" s="211">
        <f>IF(ISNUMBER(AC138),IF(ABS(AC137-AC138)&lt;=1.01,0,ROUND(AC137-AC138,1)),"")</f>
        <v>0</v>
      </c>
      <c r="AD139" s="211">
        <f>IF(ISNUMBER(AD138),IF(ABS(AD137-AD138)&lt;=1.01,0,ROUND(AD137-AD138,1)),"")</f>
        <v>0</v>
      </c>
      <c r="AE139" s="211">
        <f>IF(ISNUMBER(AE138),IF(ABS(AE137-AE138)&lt;=1.01,0,ROUND(AE137-AE138,1)),"")</f>
        <v>0</v>
      </c>
      <c r="AF139" s="211">
        <f>IF(ISNUMBER(AF138),IF(ABS(AF137-AF138)&lt;=1.01,0,ROUND(AF137-AF138,1)),"")</f>
        <v>0</v>
      </c>
      <c r="AG139" s="211">
        <f>IF(ISNUMBER(AG138),IF(ABS(AG137-AG138)&lt;=1.01,0,ROUND(AG137-AG138,1)),"")</f>
        <v>0</v>
      </c>
      <c r="AH139" s="211">
        <f>IF(ISNUMBER(AH138),IF(ABS(AH137-AH138)&lt;=1.01,0,ROUND(AH137-AH138,1)),"")</f>
        <v>0</v>
      </c>
      <c r="AI139" s="211">
        <f>IF(ISNUMBER(AI138),IF(ABS(AI137-AI138)&lt;=1.01,0,ROUND(AI137-AI138,1)),"")</f>
        <v>0</v>
      </c>
      <c r="AJ139" s="211">
        <f>IF(ISNUMBER(AJ138),IF(ABS(AJ137-AJ138)&lt;=1.01,0,ROUND(AJ137-AJ138,1)),"")</f>
        <v>0</v>
      </c>
      <c r="AK139" s="211">
        <f>IF(ISNUMBER(AK138),IF(ABS(AK137-AK138)&lt;=1.01,0,ROUND(AK137-AK138,1)),"")</f>
        <v>0</v>
      </c>
      <c r="AL139" s="211">
        <f>IF(ISNUMBER(AL138),IF(ABS(AL137-AL138)&lt;=1.01,0,ROUND(AL137-AL138,1)),"")</f>
        <v>0</v>
      </c>
      <c r="AM139" s="211">
        <f>IF(ISNUMBER(AM138),IF(ABS(AM137-AM138)&lt;=1.01,0,ROUND(AM137-AM138,1)),"")</f>
        <v>0</v>
      </c>
      <c r="AN139" s="211">
        <f>IF(ISNUMBER(AN138),IF(ABS(AN137-AN138)&lt;=1.01,0,ROUND(AN137-AN138,1)),"")</f>
        <v>0</v>
      </c>
      <c r="AO139" s="211">
        <f>IF(ISNUMBER(AO138),IF(ABS(AO137-AO138)&lt;=1.01,0,ROUND(AO137-AO138,1)),"")</f>
        <v>0</v>
      </c>
      <c r="AP139" s="211">
        <f>IF(ISNUMBER(AP138),IF(ABS(AP137-AP138)&lt;=1.01,0,ROUND(AP137-AP138,1)),"")</f>
        <v>0</v>
      </c>
      <c r="AQ139" s="211">
        <f>IF(ISNUMBER(AQ138),IF(ABS(AQ137-AQ138)&lt;=1.01,0,ROUND(AQ137-AQ138,1)),"")</f>
        <v>0</v>
      </c>
      <c r="AR139" s="211">
        <f>IF(ISNUMBER(AR138),IF(ABS(AR137-AR138)&lt;=1.01,0,ROUND(AR137-AR138,1)),"")</f>
        <v>0</v>
      </c>
      <c r="AS139" s="211">
        <f>IF(ISNUMBER(AS138),IF(ABS(AS137-AS138)&lt;=1.01,0,ROUND(AS137-AS138,1)),"")</f>
        <v>0</v>
      </c>
      <c r="AT139" s="211">
        <f>IF(ISNUMBER(AT138),IF(ABS(AT137-AT138)&lt;=1.01,0,ROUND(AT137-AT138,1)),"")</f>
        <v>0</v>
      </c>
      <c r="AU139" s="211">
        <f>IF(ISNUMBER(AU138),IF(ABS(AU137-AU138)&lt;=1.01,0,ROUND(AU137-AU138,1)),"")</f>
        <v>0</v>
      </c>
      <c r="AV139" s="211">
        <f>IF(ISNUMBER(AV138),IF(ABS(AV137-AV138)&lt;=1.01,0,ROUND(AV137-AV138,1)),"")</f>
        <v>0</v>
      </c>
      <c r="AW139" s="211">
        <f>IF(ISNUMBER(AW138),IF(ABS(AW137-AW138)&lt;=1.01,0,ROUND(AW137-AW138,1)),"")</f>
        <v>0</v>
      </c>
      <c r="AX139" s="211">
        <f>IF(ISNUMBER(AX138),IF(ABS(AX137-AX138)&lt;=1.01,0,ROUND(AX137-AX138,1)),"")</f>
        <v>0</v>
      </c>
      <c r="AY139" s="211">
        <f>IF(ISNUMBER(AY138),IF(ABS(AY137-AY138)&lt;=1.01,0,ROUND(AY137-AY138,1)),"")</f>
        <v>0</v>
      </c>
      <c r="AZ139" s="211">
        <f>IF(ISNUMBER(AZ138),IF(ABS(AZ137-AZ138)&lt;=1.01,0,ROUND(AZ137-AZ138,1)),"")</f>
        <v>0</v>
      </c>
      <c r="BA139" s="211">
        <f>IF(ISNUMBER(BA138),IF(ABS(BA137-BA138)&lt;=1.01,0,ROUND(BA137-BA138,1)),"")</f>
        <v>0</v>
      </c>
      <c r="BB139" s="211">
        <f>IF(ISNUMBER(BB138),IF(ABS(BB137-BB138)&lt;=1.01,0,ROUND(BB137-BB138,1)),"")</f>
        <v>0</v>
      </c>
      <c r="BC139" s="211">
        <f>IF(ISNUMBER(BC138),IF(ABS(BC137-BC138)&lt;=1.01,0,ROUND(BC137-BC138,1)),"")</f>
        <v>0</v>
      </c>
      <c r="BD139" s="211">
        <f>IF(ISNUMBER(BD138),IF(ABS(BD137-BD138)&lt;=1.01,0,ROUND(BD137-BD138,1)),"")</f>
        <v>0</v>
      </c>
      <c r="BE139" s="211">
        <f>IF(ISNUMBER(BE138),IF(ABS(BE137-BE138)&lt;=1.01,0,ROUND(BE137-BE138,1)),"")</f>
        <v>0</v>
      </c>
      <c r="BF139" s="211">
        <f>IF(ISNUMBER(BF138),IF(ABS(BF137-BF138)&lt;=1.01,0,ROUND(BF137-BF138,1)),"")</f>
        <v>0</v>
      </c>
      <c r="BG139" s="211">
        <f>IF(ISNUMBER(BG138),IF(ABS(BG137-BG138)&lt;=1.01,0,ROUND(BG137-BG138,1)),"")</f>
        <v>0</v>
      </c>
      <c r="BH139" s="211">
        <f>IF(ISNUMBER(BH138),IF(ABS(BH137-BH138)&lt;=1.01,0,ROUND(BH137-BH138,1)),"")</f>
        <v>0</v>
      </c>
      <c r="BI139" s="211">
        <f>IF(ISNUMBER(BI138),IF(ABS(BI137-BI138)&lt;=1.01,0,ROUND(BI137-BI138,1)),"")</f>
        <v>0</v>
      </c>
      <c r="BJ139" s="211">
        <f>IF(ISNUMBER(BJ138),IF(ABS(BJ137-BJ138)&lt;=1.01,0,ROUND(BJ137-BJ138,1)),"")</f>
        <v>0</v>
      </c>
      <c r="BK139" s="211">
        <f>IF(ISNUMBER(BK138),IF(ABS(BK137-BK138)&lt;=1.01,0,ROUND(BK137-BK138,1)),"")</f>
        <v>0</v>
      </c>
      <c r="BL139" s="211">
        <f>IF(ISNUMBER(BL138),IF(ABS(BL137-BL138)&lt;=1.01,0,ROUND(BL137-BL138,1)),"")</f>
        <v>0</v>
      </c>
      <c r="BM139" s="211">
        <f>IF(ISNUMBER(BM138),IF(ABS(BM137-BM138)&lt;=1.01,0,ROUND(BM137-BM138,1)),"")</f>
        <v>0</v>
      </c>
      <c r="BN139" s="211">
        <f>IF(ISNUMBER(BN138),IF(ABS(BN137-BN138)&lt;=1.01,0,ROUND(BN137-BN138,1)),"")</f>
        <v>0</v>
      </c>
      <c r="BO139" s="211">
        <f>IF(ISNUMBER(BO138),IF(ABS(BO137-BO138)&lt;=1.01,0,ROUND(BO137-BO138,1)),"")</f>
        <v>0</v>
      </c>
      <c r="BP139" s="211">
        <f>IF(ISNUMBER(BP138),IF(ABS(BP137-BP138)&lt;=1.01,0,ROUND(BP137-BP138,1)),"")</f>
        <v>0</v>
      </c>
      <c r="BQ139" s="211">
        <f>IF(ISNUMBER(BQ138),IF(ABS(BQ137-BQ138)&lt;=1.01,0,ROUND(BQ137-BQ138,1)),"")</f>
        <v>0</v>
      </c>
      <c r="BR139" s="211">
        <f>IF(ISNUMBER(BR138),IF(ABS(BR137-BR138)&lt;=1.01,0,ROUND(BR137-BR138,1)),"")</f>
        <v>0</v>
      </c>
      <c r="BS139" s="211">
        <f>IF(ISNUMBER(BS138),IF(ABS(BS137-BS138)&lt;=1.01,0,ROUND(BS137-BS138,1)),"")</f>
        <v>0</v>
      </c>
      <c r="BT139" s="211">
        <f>IF(ISNUMBER(BT138),IF(ABS(BT137-BT138)&lt;=1.01,0,ROUND(BT137-BT138,1)),"")</f>
        <v>0</v>
      </c>
      <c r="BU139" s="211">
        <f>IF(ISNUMBER(BU138),IF(ABS(BU137-BU138)&lt;=1.01,0,ROUND(BU137-BU138,1)),"")</f>
        <v>0</v>
      </c>
      <c r="BV139" s="211">
        <f>IF(ISNUMBER(BV138),IF(ABS(BV137-BV138)&lt;=1.01,0,ROUND(BV137-BV138,1)),"")</f>
        <v>0</v>
      </c>
      <c r="BW139" s="211">
        <f>IF(ISNUMBER(BW138),IF(ABS(BW137-BW138)&lt;=1.01,0,ROUND(BW137-BW138,1)),"")</f>
        <v>0</v>
      </c>
      <c r="BX139" s="153" t="n"/>
      <c r="BY139" s="153" t="n"/>
      <c r="BZ139" s="153" t="n"/>
      <c r="CA139" s="153" t="n"/>
      <c r="CB139" s="153" t="n"/>
      <c r="CC139" s="153" t="n"/>
      <c r="CD139" s="153" t="n"/>
      <c r="CE139" s="153" t="n"/>
    </row>
    <row r="140" ht="15" customHeight="1" s="251">
      <c r="B140" s="156" t="inlineStr">
        <is>
          <t xml:space="preserve">  Memo: depreciation &amp; amortization (total, incl. acquired intangibles)</t>
        </is>
      </c>
      <c r="C140" s="211">
        <f>IF(ISNUMBER(C119),C119,"")</f>
        <v>237</v>
      </c>
      <c r="D140" s="211">
        <f>IF(ISNUMBER(D119),D119,"")</f>
        <v>226</v>
      </c>
      <c r="E140" s="211">
        <f>IF(ISNUMBER(E119),E119,"")</f>
        <v>265</v>
      </c>
      <c r="F140" s="211">
        <f>IF(ISNUMBER(F119),F119,"")</f>
        <v>288</v>
      </c>
      <c r="G140" s="211">
        <f>IF(ISNUMBER(G119),G119,"")</f>
        <v>333</v>
      </c>
      <c r="H140" s="211">
        <f>IF(ISNUMBER(H119),H119,"")</f>
        <v>92</v>
      </c>
      <c r="I140" s="211">
        <f>IF(ISNUMBER(I119),I119,"")</f>
        <v>98</v>
      </c>
      <c r="J140" s="211">
        <f>IF(ISNUMBER(J119),J119,"")</f>
        <v>101</v>
      </c>
      <c r="K140" s="211">
        <f>IF(ISNUMBER(K119),K119,"")</f>
        <v>106</v>
      </c>
      <c r="L140" s="211">
        <f>IF(ISNUMBER(L119),L119,"")</f>
        <v>397</v>
      </c>
      <c r="M140" s="211">
        <f>IF(ISNUMBER(M119),M119,"")</f>
        <v>107</v>
      </c>
      <c r="N140" s="211">
        <f>IF(ISNUMBER(N119),N119,"")</f>
        <v>107</v>
      </c>
      <c r="O140" s="211">
        <f>IF(ISNUMBER(O119),O119,"")</f>
        <v>109</v>
      </c>
      <c r="P140" s="211">
        <f>IF(ISNUMBER(P119),P119,"")</f>
        <v>112</v>
      </c>
      <c r="Q140" s="211">
        <f>IF(ISNUMBER(Q119),Q119,"")</f>
        <v>435</v>
      </c>
      <c r="R140" s="211">
        <f>IF(ISNUMBER(R119),R119,"")</f>
        <v>120</v>
      </c>
      <c r="S140" s="211">
        <f>IF(ISNUMBER(S119),S119,"")</f>
        <v>125</v>
      </c>
      <c r="T140" s="211">
        <f>IF(ISNUMBER(T119),T119,"")</f>
        <v>130</v>
      </c>
      <c r="U140" s="211">
        <f>IF(ISNUMBER(U119),U119,"")</f>
        <v>119</v>
      </c>
      <c r="V140" s="211">
        <f>IF(ISNUMBER(V119),V119,"")</f>
        <v>494</v>
      </c>
      <c r="W140" s="211">
        <f>IF(ISNUMBER(W119),W119,"")</f>
        <v>120</v>
      </c>
      <c r="X140" s="211">
        <f>IF(ISNUMBER(X119),X119,"")</f>
        <v>121</v>
      </c>
      <c r="Y140" s="211">
        <f>IF(ISNUMBER(Y119),Y119,"")</f>
        <v>120</v>
      </c>
      <c r="Z140" s="211">
        <f>IF(ISNUMBER(Z119),Z119,"")</f>
        <v>141</v>
      </c>
      <c r="AA140" s="211">
        <f>IF(ISNUMBER(AA119),AA119,"")</f>
        <v>502</v>
      </c>
      <c r="AB140" s="211">
        <f>IF(ISNUMBER(AB119),AB119,"")</f>
        <v>146</v>
      </c>
      <c r="AC140" s="211">
        <f>IF(ISNUMBER(AC119),AC119,"")</f>
        <v>131</v>
      </c>
      <c r="AD140" s="211">
        <f>IF(ISNUMBER(AD119),AD119,"")</f>
        <v>132</v>
      </c>
      <c r="AE140" s="211">
        <f>IF(ISNUMBER(AE119),AE119,"")</f>
        <v>147</v>
      </c>
      <c r="AF140" s="211">
        <f>IF(ISNUMBER(AF119),AF119,"")</f>
        <v>556</v>
      </c>
      <c r="AG140" s="211">
        <f>IF(ISNUMBER(AG119),AG119,"")</f>
        <v>145</v>
      </c>
      <c r="AH140" s="211">
        <f>IF(ISNUMBER(AH119),AH119,"")</f>
        <v>153</v>
      </c>
      <c r="AI140" s="211">
        <f>IF(ISNUMBER(AI119),AI119,"")</f>
        <v>152</v>
      </c>
      <c r="AJ140" s="211">
        <f>IF(ISNUMBER(AJ119),AJ119,"")</f>
        <v>163</v>
      </c>
      <c r="AK140" s="211">
        <f>IF(ISNUMBER(AK119),AK119,"")</f>
        <v>613</v>
      </c>
      <c r="AL140" s="211">
        <f>IF(ISNUMBER(AL119),AL119,"")</f>
        <v>159</v>
      </c>
      <c r="AM140" s="211">
        <f>IF(ISNUMBER(AM119),AM119,"")</f>
        <v>160</v>
      </c>
      <c r="AN140" s="211">
        <f>IF(ISNUMBER(AN119),AN119,"")</f>
        <v>165</v>
      </c>
      <c r="AO140" s="211">
        <f>IF(ISNUMBER(AO119),AO119,"")</f>
        <v>172</v>
      </c>
      <c r="AP140" s="211">
        <f>IF(ISNUMBER(AP119),AP119,"")</f>
        <v>656</v>
      </c>
      <c r="AQ140" s="211">
        <f>IF(ISNUMBER(AQ119),AQ119,"")</f>
        <v>182</v>
      </c>
      <c r="AR140" s="211">
        <f>IF(ISNUMBER(AR119),AR119,"")</f>
        <v>192</v>
      </c>
      <c r="AS140" s="211">
        <f>IF(ISNUMBER(AS119),AS119,"")</f>
        <v>197</v>
      </c>
      <c r="AT140" s="211">
        <f>IF(ISNUMBER(AT119),AT119,"")</f>
        <v>196</v>
      </c>
      <c r="AU140" s="211">
        <f>IF(ISNUMBER(AU119),AU119,"")</f>
        <v>767</v>
      </c>
      <c r="AV140" s="211">
        <f>IF(ISNUMBER(AV119),AV119,"")</f>
        <v>197</v>
      </c>
      <c r="AW140" s="211">
        <f>IF(ISNUMBER(AW119),AW119,"")</f>
        <v>201</v>
      </c>
      <c r="AX140" s="211">
        <f>IF(ISNUMBER(AX119),AX119,"")</f>
        <v>204</v>
      </c>
      <c r="AY140" s="211">
        <f>IF(ISNUMBER(AY119),AY119,"")</f>
        <v>202</v>
      </c>
      <c r="AZ140" s="211">
        <f>IF(ISNUMBER(AZ119),AZ119,"")</f>
        <v>804</v>
      </c>
      <c r="BA140" s="211">
        <f>IF(ISNUMBER(BA119),BA119,"")</f>
        <v>198</v>
      </c>
      <c r="BB140" s="211">
        <f>IF(ISNUMBER(BB119),BB119,"")</f>
        <v>207</v>
      </c>
      <c r="BC140" s="211">
        <f>IF(ISNUMBER(BC119),BC119,"")</f>
        <v>230</v>
      </c>
      <c r="BD140" s="211">
        <f>IF(ISNUMBER(BD119),BD119,"")</f>
        <v>226</v>
      </c>
      <c r="BE140" s="211">
        <f>IF(ISNUMBER(BE119),BE119,"")</f>
        <v>861</v>
      </c>
      <c r="BF140" s="211">
        <f>IF(ISNUMBER(BF119),BF119,"")</f>
        <v>227</v>
      </c>
      <c r="BG140" s="211">
        <f>IF(ISNUMBER(BG119),BG119,"")</f>
        <v>234</v>
      </c>
      <c r="BH140" s="211">
        <f>IF(ISNUMBER(BH119),BH119,"")</f>
        <v>235</v>
      </c>
      <c r="BI140" s="211">
        <f>IF(ISNUMBER(BI119),BI119,"")</f>
        <v>247</v>
      </c>
      <c r="BJ140" s="211">
        <f>IF(ISNUMBER(BJ119),BJ119,"")</f>
        <v>943</v>
      </c>
      <c r="BK140" s="211">
        <f>IF(ISNUMBER(BK119),BK119,"")</f>
        <v>247</v>
      </c>
      <c r="BL140" s="211">
        <f>IF(ISNUMBER(BL119),BL119,"")</f>
        <v>249</v>
      </c>
      <c r="BM140" s="211">
        <f>IF(ISNUMBER(BM119),BM119,"")</f>
        <v>264</v>
      </c>
      <c r="BN140" s="211">
        <f>IF(ISNUMBER(BN119),BN119,"")</f>
        <v>274</v>
      </c>
      <c r="BO140" s="211">
        <f>IF(ISNUMBER(BO119),BO119,"")</f>
        <v>1034</v>
      </c>
      <c r="BP140" s="211">
        <f>IF(ISNUMBER(BP119),BP119,"")</f>
        <v>282</v>
      </c>
      <c r="BQ140" s="211">
        <f>IF(ISNUMBER(BQ119),BQ119,"")</f>
        <v>305</v>
      </c>
      <c r="BR140" s="211">
        <f>IF(ISNUMBER(BR119),BR119,"")</f>
        <v>317</v>
      </c>
      <c r="BS140" s="211">
        <f>IF(ISNUMBER(BS119),BS119,"")</f>
        <v>316</v>
      </c>
      <c r="BT140" s="211">
        <f>IF(ISNUMBER(BT119),BT119,"")</f>
        <v>1220</v>
      </c>
      <c r="BU140" s="211">
        <f>IF(ISNUMBER(BU119),BU119,"")</f>
        <v>326</v>
      </c>
      <c r="BV140" s="211">
        <f>IF(ISNUMBER(BV119),BV119,"")</f>
        <v>333</v>
      </c>
      <c r="BW140" s="211">
        <f>IF(ISNUMBER(BW119),BW119,"")</f>
        <v>367</v>
      </c>
      <c r="BX140" s="254">
        <f>IF(ISNUMBER(BX119),BX119,"")</f>
        <v>390.21302191855</v>
      </c>
      <c r="BY140" s="254">
        <f>IF(ISNUMBER(BY119),BY119,"")</f>
        <v>1416.21302191855</v>
      </c>
      <c r="BZ140" s="254">
        <f>IF(ISNUMBER(BZ119),BZ119,"")</f>
        <v>1548.942716331</v>
      </c>
      <c r="CA140" s="254">
        <f>IF(ISNUMBER(CA119),CA119,"")</f>
        <v>1677.3804065727</v>
      </c>
      <c r="CB140" s="254">
        <f>IF(ISNUMBER(CB119),CB119,"")</f>
        <v>1803.83186075411</v>
      </c>
      <c r="CC140" s="254">
        <f>IF(ISNUMBER(CC119),CC119,"")</f>
        <v>1947.05258439207</v>
      </c>
      <c r="CD140" s="254">
        <f>IF(ISNUMBER(CD119),CD119,"")</f>
        <v>2097.07542552417</v>
      </c>
      <c r="CE140" s="153" t="n"/>
      <c r="CG140" s="20">
        <f>IFERROR((CD140/BY140)^(1/5)-1,"n/m")</f>
        <v>0.081675750318235</v>
      </c>
      <c r="CH140" s="20">
        <f>IFERROR((BT140/AU140)^(1/5)-1,"n/m")</f>
        <v>0.0972684533609183</v>
      </c>
      <c r="CI140" s="20">
        <f>IFERROR((BT140/V140)^(1/10)-1,"n/m")</f>
        <v>0.0946197712008776</v>
      </c>
      <c r="CJ140" s="20">
        <f>IFERROR((BT140/C140)^(1/17)-1,"n/m")</f>
        <v>0.101183002378818</v>
      </c>
    </row>
    <row r="141" ht="15" customHeight="1" s="251">
      <c r="B141" s="156" t="inlineStr">
        <is>
          <t xml:space="preserve">  Memo: share-based compensation</t>
        </is>
      </c>
      <c r="C141" s="211">
        <f>C96</f>
        <v>74</v>
      </c>
      <c r="D141" s="211">
        <f>D96</f>
        <v>115</v>
      </c>
      <c r="E141" s="211">
        <f>E96</f>
        <v>131</v>
      </c>
      <c r="F141" s="211">
        <f>F96</f>
        <v>154</v>
      </c>
      <c r="G141" s="211">
        <f>G96</f>
        <v>147</v>
      </c>
      <c r="H141" s="211">
        <f>H96</f>
        <v>48</v>
      </c>
      <c r="I141" s="211">
        <f>I96</f>
        <v>50</v>
      </c>
      <c r="J141" s="211">
        <f>J96</f>
        <v>41</v>
      </c>
      <c r="K141" s="211">
        <f>K96</f>
        <v>40</v>
      </c>
      <c r="L141" s="211">
        <f>L96</f>
        <v>179</v>
      </c>
      <c r="M141" s="211">
        <f>M96</f>
        <v>45</v>
      </c>
      <c r="N141" s="211">
        <f>N96</f>
        <v>44</v>
      </c>
      <c r="O141" s="211">
        <f>O96</f>
        <v>41</v>
      </c>
      <c r="P141" s="211">
        <f>P96</f>
        <v>42</v>
      </c>
      <c r="Q141" s="211">
        <f>Q96</f>
        <v>172</v>
      </c>
      <c r="R141" s="211">
        <f>R96</f>
        <v>45</v>
      </c>
      <c r="S141" s="211">
        <f>S96</f>
        <v>48</v>
      </c>
      <c r="T141" s="211">
        <f>T96</f>
        <v>46</v>
      </c>
      <c r="U141" s="211">
        <f>U96</f>
        <v>48</v>
      </c>
      <c r="V141" s="211">
        <f>V96</f>
        <v>187</v>
      </c>
      <c r="W141" s="211">
        <f>W96</f>
        <v>39</v>
      </c>
      <c r="X141" s="211">
        <f>X96</f>
        <v>58</v>
      </c>
      <c r="Y141" s="211">
        <f>Y96</f>
        <v>55</v>
      </c>
      <c r="Z141" s="211">
        <f>Z96</f>
        <v>69</v>
      </c>
      <c r="AA141" s="211">
        <f>AA96</f>
        <v>221</v>
      </c>
      <c r="AB141" s="211">
        <f>AB96</f>
        <v>45</v>
      </c>
      <c r="AC141" s="211">
        <f>AC96</f>
        <v>71</v>
      </c>
      <c r="AD141" s="211">
        <f>AD96</f>
        <v>67</v>
      </c>
      <c r="AE141" s="211">
        <f>AE96</f>
        <v>52</v>
      </c>
      <c r="AF141" s="211">
        <f>AF96</f>
        <v>235</v>
      </c>
      <c r="AG141" s="211">
        <f>AG96</f>
        <v>68</v>
      </c>
      <c r="AH141" s="211">
        <f>AH96</f>
        <v>85</v>
      </c>
      <c r="AI141" s="211">
        <f>AI96</f>
        <v>89</v>
      </c>
      <c r="AJ141" s="211">
        <f>AJ96</f>
        <v>85</v>
      </c>
      <c r="AK141" s="211">
        <f>AK96</f>
        <v>327</v>
      </c>
      <c r="AL141" s="211">
        <f>AL96</f>
        <v>100</v>
      </c>
      <c r="AM141" s="211">
        <f>AM96</f>
        <v>111</v>
      </c>
      <c r="AN141" s="211">
        <f>AN96</f>
        <v>110</v>
      </c>
      <c r="AO141" s="211">
        <f>AO96</f>
        <v>86</v>
      </c>
      <c r="AP141" s="211">
        <f>AP96</f>
        <v>407</v>
      </c>
      <c r="AQ141" s="211">
        <f>AQ96</f>
        <v>116</v>
      </c>
      <c r="AR141" s="211">
        <f>AR96</f>
        <v>99</v>
      </c>
      <c r="AS141" s="211">
        <f>AS96</f>
        <v>107</v>
      </c>
      <c r="AT141" s="211">
        <f>AT96</f>
        <v>94</v>
      </c>
      <c r="AU141" s="211">
        <f>AU96</f>
        <v>416</v>
      </c>
      <c r="AV141" s="211">
        <f>AV96</f>
        <v>122</v>
      </c>
      <c r="AW141" s="211">
        <f>AW96</f>
        <v>153</v>
      </c>
      <c r="AX141" s="211">
        <f>AX96</f>
        <v>159</v>
      </c>
      <c r="AY141" s="211">
        <f>AY96</f>
        <v>108</v>
      </c>
      <c r="AZ141" s="211">
        <f>AZ96</f>
        <v>542</v>
      </c>
      <c r="BA141" s="211">
        <f>BA96</f>
        <v>128</v>
      </c>
      <c r="BB141" s="211">
        <f>BB96</f>
        <v>190</v>
      </c>
      <c r="BC141" s="211">
        <f>BC96</f>
        <v>152</v>
      </c>
      <c r="BD141" s="211">
        <f>BD96</f>
        <v>132</v>
      </c>
      <c r="BE141" s="211">
        <f>BE96</f>
        <v>602</v>
      </c>
      <c r="BF141" s="211">
        <f>BF96</f>
        <v>177</v>
      </c>
      <c r="BG141" s="211">
        <f>BG96</f>
        <v>223</v>
      </c>
      <c r="BH141" s="211">
        <f>BH96</f>
        <v>191</v>
      </c>
      <c r="BI141" s="211">
        <f>BI96</f>
        <v>174</v>
      </c>
      <c r="BJ141" s="211">
        <f>BJ96</f>
        <v>765</v>
      </c>
      <c r="BK141" s="211">
        <f>BK96</f>
        <v>209</v>
      </c>
      <c r="BL141" s="211">
        <f>BL96</f>
        <v>242</v>
      </c>
      <c r="BM141" s="211">
        <f>BM96</f>
        <v>211</v>
      </c>
      <c r="BN141" s="211">
        <f>BN96</f>
        <v>188</v>
      </c>
      <c r="BO141" s="211">
        <f>BO96</f>
        <v>850</v>
      </c>
      <c r="BP141" s="211">
        <f>BP96</f>
        <v>224</v>
      </c>
      <c r="BQ141" s="211">
        <f>BQ96</f>
        <v>259</v>
      </c>
      <c r="BR141" s="211">
        <f>BR96</f>
        <v>223</v>
      </c>
      <c r="BS141" s="211">
        <f>BS96</f>
        <v>191</v>
      </c>
      <c r="BT141" s="211">
        <f>BT96</f>
        <v>897</v>
      </c>
      <c r="BU141" s="211">
        <f>BU96</f>
        <v>231</v>
      </c>
      <c r="BV141" s="211">
        <f>BV96</f>
        <v>275</v>
      </c>
      <c r="BW141" s="211">
        <f>BW96</f>
        <v>222</v>
      </c>
      <c r="BX141" s="254">
        <f>BX96</f>
        <v>196.951841359773</v>
      </c>
      <c r="BY141" s="254">
        <f>BY96</f>
        <v>924.951841359773</v>
      </c>
      <c r="BZ141" s="254">
        <f>BZ96</f>
        <v>1166.30645252938</v>
      </c>
      <c r="CA141" s="254">
        <f>CA96</f>
        <v>1293.23947035409</v>
      </c>
      <c r="CB141" s="254">
        <f>CB96</f>
        <v>1424.38888751393</v>
      </c>
      <c r="CC141" s="254">
        <f>CC96</f>
        <v>1558.68120704028</v>
      </c>
      <c r="CD141" s="254">
        <f>CD96</f>
        <v>1700.69144255119</v>
      </c>
      <c r="CE141" s="153" t="n"/>
    </row>
    <row r="142" ht="15" customHeight="1" s="251">
      <c r="B142" s="25" t="inlineStr">
        <is>
          <t>(Earnings per class A share — as-converted; split-adjusted for the 4-for-1 split of Mar-2015)</t>
        </is>
      </c>
      <c r="CE142" s="153" t="n"/>
    </row>
    <row r="143" ht="15" customHeight="1" s="251">
      <c r="B143" s="25" t="inlineStr">
        <is>
          <t xml:space="preserve">  Weighted-average diluted class A shares, as-converted (m)</t>
        </is>
      </c>
      <c r="C143" s="277" t="n">
        <v>3076</v>
      </c>
      <c r="D143" s="277" t="n">
        <v>3032</v>
      </c>
      <c r="E143" s="277" t="n">
        <v>2956</v>
      </c>
      <c r="F143" s="277" t="n">
        <v>2828</v>
      </c>
      <c r="G143" s="277" t="n">
        <v>2712</v>
      </c>
      <c r="H143" s="277" t="n">
        <v>2676</v>
      </c>
      <c r="I143" s="277" t="n">
        <v>2640</v>
      </c>
      <c r="J143" s="277" t="n">
        <v>2604</v>
      </c>
      <c r="K143" s="277" t="n">
        <v>2576</v>
      </c>
      <c r="L143" s="277" t="n">
        <v>2624</v>
      </c>
      <c r="M143" s="277" t="n">
        <v>2556</v>
      </c>
      <c r="N143" s="277" t="n">
        <v>2536</v>
      </c>
      <c r="O143" s="277" t="n">
        <v>2512</v>
      </c>
      <c r="P143" s="277" t="n">
        <v>2492</v>
      </c>
      <c r="Q143" s="277" t="n">
        <v>2524</v>
      </c>
      <c r="R143" s="277" t="n">
        <v>2476</v>
      </c>
      <c r="S143" s="277" t="n">
        <v>2460</v>
      </c>
      <c r="T143" s="277" t="n">
        <v>2448</v>
      </c>
      <c r="U143" s="277" t="n">
        <v>2440</v>
      </c>
      <c r="V143" s="277" t="n">
        <v>2457</v>
      </c>
      <c r="W143" s="277" t="n">
        <v>2430</v>
      </c>
      <c r="X143" s="277" t="n">
        <v>2401</v>
      </c>
      <c r="Y143" s="277" t="n">
        <v>2386</v>
      </c>
      <c r="Z143" s="277" t="n">
        <v>2440</v>
      </c>
      <c r="AA143" s="277" t="n">
        <v>2414</v>
      </c>
      <c r="AB143" s="277" t="n">
        <v>2421</v>
      </c>
      <c r="AC143" s="277" t="n">
        <v>2406</v>
      </c>
      <c r="AD143" s="277" t="n">
        <v>2385</v>
      </c>
      <c r="AE143" s="277" t="n">
        <v>2368</v>
      </c>
      <c r="AF143" s="277" t="n">
        <v>2395</v>
      </c>
      <c r="AG143" s="277" t="n">
        <v>2353</v>
      </c>
      <c r="AH143" s="277" t="n">
        <v>2337</v>
      </c>
      <c r="AI143" s="277" t="n">
        <v>2321</v>
      </c>
      <c r="AJ143" s="277" t="n">
        <v>2305</v>
      </c>
      <c r="AK143" s="277" t="n">
        <v>2329</v>
      </c>
      <c r="AL143" s="277" t="n">
        <v>2291</v>
      </c>
      <c r="AM143" s="277" t="n">
        <v>2279</v>
      </c>
      <c r="AN143" s="277" t="n">
        <v>2265</v>
      </c>
      <c r="AO143" s="277" t="n">
        <v>2253</v>
      </c>
      <c r="AP143" s="277" t="n">
        <v>2272</v>
      </c>
      <c r="AQ143" s="277" t="n">
        <v>2240</v>
      </c>
      <c r="AR143" s="277" t="n">
        <v>2228</v>
      </c>
      <c r="AS143" s="277" t="n">
        <v>2214</v>
      </c>
      <c r="AT143" s="277" t="n">
        <v>2210</v>
      </c>
      <c r="AU143" s="277" t="n">
        <v>2223</v>
      </c>
      <c r="AV143" s="277" t="n">
        <v>2200</v>
      </c>
      <c r="AW143" s="277" t="n">
        <v>2193</v>
      </c>
      <c r="AX143" s="277" t="n">
        <v>2184</v>
      </c>
      <c r="AY143" s="277" t="n">
        <v>2175</v>
      </c>
      <c r="AZ143" s="277" t="n">
        <v>2188</v>
      </c>
      <c r="BA143" s="277" t="n">
        <v>2159</v>
      </c>
      <c r="BB143" s="277" t="n">
        <v>2142</v>
      </c>
      <c r="BC143" s="277" t="n">
        <v>2129</v>
      </c>
      <c r="BD143" s="277" t="n">
        <v>2116</v>
      </c>
      <c r="BE143" s="277" t="n">
        <v>2136</v>
      </c>
      <c r="BF143" s="277" t="n">
        <v>2102</v>
      </c>
      <c r="BG143" s="277" t="n">
        <v>2093</v>
      </c>
      <c r="BH143" s="277" t="n">
        <v>2080</v>
      </c>
      <c r="BI143" s="277" t="n">
        <v>2065</v>
      </c>
      <c r="BJ143" s="277" t="n">
        <v>2085</v>
      </c>
      <c r="BK143" s="277" t="n">
        <v>2045</v>
      </c>
      <c r="BL143" s="277" t="n">
        <v>2039</v>
      </c>
      <c r="BM143" s="277" t="n">
        <v>2029</v>
      </c>
      <c r="BN143" s="277" t="n">
        <v>2003</v>
      </c>
      <c r="BO143" s="277" t="n">
        <v>2029</v>
      </c>
      <c r="BP143" s="277" t="n">
        <v>1985</v>
      </c>
      <c r="BQ143" s="277" t="n">
        <v>1974</v>
      </c>
      <c r="BR143" s="277" t="n">
        <v>1959</v>
      </c>
      <c r="BS143" s="277" t="n">
        <v>1945</v>
      </c>
      <c r="BT143" s="277" t="n">
        <v>1966</v>
      </c>
      <c r="BU143" s="277" t="n">
        <v>1933</v>
      </c>
      <c r="BV143" s="277" t="n">
        <v>1916</v>
      </c>
      <c r="BW143" s="277" t="n">
        <v>1898</v>
      </c>
      <c r="BX143" s="278">
        <f>BY257-$BY$255*0.5+$BY$256*0.5</f>
        <v>1884.82326478149</v>
      </c>
      <c r="BY143" s="278">
        <f>AVERAGE(BU143:BX143)</f>
        <v>1907.95581619537</v>
      </c>
      <c r="BZ143" s="278">
        <f>AVERAGE(BZ257,BZ258)</f>
        <v>1850.36938668375</v>
      </c>
      <c r="CA143" s="278">
        <f>AVERAGE(CA257,CA258)</f>
        <v>1795.39495201688</v>
      </c>
      <c r="CB143" s="278">
        <f>AVERAGE(CB257,CB258)</f>
        <v>1741.66770062161</v>
      </c>
      <c r="CC143" s="278">
        <f>AVERAGE(CC257,CC258)</f>
        <v>1686.75944206305</v>
      </c>
      <c r="CD143" s="278">
        <f>AVERAGE(CD257,CD258)</f>
        <v>1630.99667270866</v>
      </c>
      <c r="CE143" s="19" t="inlineStr">
        <is>
          <t>As-converted: class B / C common and series A / B / C preferred on an as-converted basis (×4 before the Mar-2015 split). Q4 FY18–20: 4 × fiscal year − Q1–Q3 (image-based releases). Q4/26E: 30-Jun-2026 proxy − half the Q4 buybacks + plan issuance. 2027E+: average of beginning and ending shares.</t>
        </is>
      </c>
      <c r="CG143" s="20">
        <f>IFERROR((CD143/BY143)^(1/5)-1,"n/m")</f>
        <v>-0.0308813477106052</v>
      </c>
      <c r="CH143" s="20">
        <f>IFERROR((BT143/AU143)^(1/5)-1,"n/m")</f>
        <v>-0.0242719050781691</v>
      </c>
      <c r="CI143" s="20">
        <f>IFERROR((BT143/V143)^(1/10)-1,"n/m")</f>
        <v>-0.0220473323275273</v>
      </c>
      <c r="CJ143" s="20">
        <f>IFERROR((BT143/C143)^(1/17)-1,"n/m")</f>
        <v>-0.0259874782411234</v>
      </c>
    </row>
    <row r="144" ht="15" customHeight="1" s="251">
      <c r="B144" s="55" t="inlineStr">
        <is>
          <t>EPS — diluted, class A ($)</t>
        </is>
      </c>
      <c r="C144" s="279">
        <f>IF(ISNUMBER(C143),IFERROR(C137/C143,""),"")</f>
        <v>0.261378413524057</v>
      </c>
      <c r="D144" s="279">
        <f>IF(ISNUMBER(D143),IFERROR(D137/D143,""),"")</f>
        <v>0.776055408970976</v>
      </c>
      <c r="E144" s="279">
        <f>IF(ISNUMBER(E143),IFERROR(E137/E143,""),"")</f>
        <v>1.00338294993234</v>
      </c>
      <c r="F144" s="279">
        <f>IF(ISNUMBER(F143),IFERROR(F137/F143,""),"")</f>
        <v>1.29066478076379</v>
      </c>
      <c r="G144" s="279">
        <f>IF(ISNUMBER(G143),IFERROR(G137/G143,""),"")</f>
        <v>0.790560471976401</v>
      </c>
      <c r="H144" s="279">
        <f>IF(ISNUMBER(H143),IFERROR(H137/H143,""),"")</f>
        <v>0.483183856502242</v>
      </c>
      <c r="I144" s="279">
        <f>IF(ISNUMBER(I143),IFERROR(I137/I143,""),"")</f>
        <v>0.481060606060606</v>
      </c>
      <c r="J144" s="279">
        <f>IF(ISNUMBER(J143),IFERROR(J137/J143,""),"")</f>
        <v>0.470430107526882</v>
      </c>
      <c r="K144" s="279">
        <f>IF(ISNUMBER(K143),IFERROR(K137/K143,""),"")</f>
        <v>0.462732919254658</v>
      </c>
      <c r="L144" s="279">
        <f>IF(ISNUMBER(L143),IFERROR(L137/L143,""),"")</f>
        <v>1.89786585365854</v>
      </c>
      <c r="M144" s="279">
        <f>IF(ISNUMBER(M143),IFERROR(M137/M143,""),"")</f>
        <v>0.550469483568075</v>
      </c>
      <c r="N144" s="279">
        <f>IF(ISNUMBER(N143),IFERROR(N137/N143,""),"")</f>
        <v>0.6301261829653</v>
      </c>
      <c r="O144" s="279">
        <f>IF(ISNUMBER(O143),IFERROR(O137/O143,""),"")</f>
        <v>0.54140127388535</v>
      </c>
      <c r="P144" s="279">
        <f>IF(ISNUMBER(P143),IFERROR(P137/P143,""),"")</f>
        <v>0.430577849117175</v>
      </c>
      <c r="Q144" s="279">
        <f>IF(ISNUMBER(Q143),IFERROR(Q137/Q143,""),"")</f>
        <v>2.15451664025357</v>
      </c>
      <c r="R144" s="279">
        <f>IF(ISNUMBER(R143),IFERROR(R137/R143,""),"")</f>
        <v>0.633683360258481</v>
      </c>
      <c r="S144" s="279">
        <f>IF(ISNUMBER(S143),IFERROR(S137/S143,""),"")</f>
        <v>0.630081300813008</v>
      </c>
      <c r="T144" s="279">
        <f>IF(ISNUMBER(T143),IFERROR(T137/T143,""),"")</f>
        <v>0.693218954248366</v>
      </c>
      <c r="U144" s="279">
        <f>IF(ISNUMBER(U143),IFERROR(U137/U143,""),"")</f>
        <v>0.619672131147541</v>
      </c>
      <c r="V144" s="279">
        <f>IF(ISNUMBER(V143),IFERROR(V137/V143,""),"")</f>
        <v>2.57549857549858</v>
      </c>
      <c r="W144" s="279">
        <f>IF(ISNUMBER(W143),IFERROR(W137/W143,""),"")</f>
        <v>0.798765432098765</v>
      </c>
      <c r="X144" s="279">
        <f>IF(ISNUMBER(X143),IFERROR(X137/X143,""),"")</f>
        <v>0.710953769262807</v>
      </c>
      <c r="Y144" s="279">
        <f>IF(ISNUMBER(Y143),IFERROR(Y137/Y143,""),"")</f>
        <v>0.172673931265717</v>
      </c>
      <c r="Z144" s="279">
        <f>IF(ISNUMBER(Z143),IFERROR(Z137/Z143,""),"")</f>
        <v>0.791393442622951</v>
      </c>
      <c r="AA144" s="279">
        <f>IF(ISNUMBER(AA143),IFERROR(AA137/AA143,""),"")</f>
        <v>2.4817729908865</v>
      </c>
      <c r="AB144" s="279">
        <f>IF(ISNUMBER(AB143),IFERROR(AB137/AB143,""),"")</f>
        <v>0.855018587360595</v>
      </c>
      <c r="AC144" s="279">
        <f>IF(ISNUMBER(AC143),IFERROR(AC137/AC143,""),"")</f>
        <v>0.178719866999169</v>
      </c>
      <c r="AD144" s="279">
        <f>IF(ISNUMBER(AD143),IFERROR(AD137/AD143,""),"")</f>
        <v>0.863312368972746</v>
      </c>
      <c r="AE144" s="279">
        <f>IF(ISNUMBER(AE143),IFERROR(AE137/AE143,""),"")</f>
        <v>0.903716216216216</v>
      </c>
      <c r="AF144" s="279">
        <f>IF(ISNUMBER(AF143),IFERROR(AF137/AF143,""),"")</f>
        <v>2.79707724425887</v>
      </c>
      <c r="AG144" s="279">
        <f>IF(ISNUMBER(AG143),IFERROR(AG137/AG143,""),"")</f>
        <v>1.07182320441989</v>
      </c>
      <c r="AH144" s="279">
        <f>IF(ISNUMBER(AH143),IFERROR(AH137/AH143,""),"")</f>
        <v>1.11467693624305</v>
      </c>
      <c r="AI144" s="279">
        <f>IF(ISNUMBER(AI143),IFERROR(AI137/AI143,""),"")</f>
        <v>1.00344679017665</v>
      </c>
      <c r="AJ144" s="279">
        <f>IF(ISNUMBER(AJ143),IFERROR(AJ137/AJ143,""),"")</f>
        <v>1.23427331887202</v>
      </c>
      <c r="AK144" s="279">
        <f>IF(ISNUMBER(AK143),IFERROR(AK137/AK143,""),"")</f>
        <v>4.42292829540575</v>
      </c>
      <c r="AL144" s="279">
        <f>IF(ISNUMBER(AL143),IFERROR(AL137/AL143,""),"")</f>
        <v>1.29943256219991</v>
      </c>
      <c r="AM144" s="279">
        <f>IF(ISNUMBER(AM143),IFERROR(AM137/AM143,""),"")</f>
        <v>1.30627468187802</v>
      </c>
      <c r="AN144" s="279">
        <f>IF(ISNUMBER(AN143),IFERROR(AN137/AN143,""),"")</f>
        <v>1.36909492273731</v>
      </c>
      <c r="AO144" s="279">
        <f>IF(ISNUMBER(AO143),IFERROR(AO137/AO143,""),"")</f>
        <v>1.34265423879272</v>
      </c>
      <c r="AP144" s="279">
        <f>IF(ISNUMBER(AP143),IFERROR(AP137/AP143,""),"")</f>
        <v>5.3169014084507</v>
      </c>
      <c r="AQ144" s="279">
        <f>IF(ISNUMBER(AQ143),IFERROR(AQ137/AQ143,""),"")</f>
        <v>1.46071428571429</v>
      </c>
      <c r="AR144" s="279">
        <f>IF(ISNUMBER(AR143),IFERROR(AR137/AR143,""),"")</f>
        <v>1.38420107719928</v>
      </c>
      <c r="AS144" s="279">
        <f>IF(ISNUMBER(AS143),IFERROR(AS137/AS143,""),"")</f>
        <v>1.07181571815718</v>
      </c>
      <c r="AT144" s="279">
        <f>IF(ISNUMBER(AT143),IFERROR(AT137/AT143,""),"")</f>
        <v>0.966968325791855</v>
      </c>
      <c r="AU144" s="279">
        <f>IF(ISNUMBER(AU143),IFERROR(AU137/AU143,""),"")</f>
        <v>4.88798920377868</v>
      </c>
      <c r="AV144" s="279">
        <f>IF(ISNUMBER(AV143),IFERROR(AV137/AV143,""),"")</f>
        <v>1.42090909090909</v>
      </c>
      <c r="AW144" s="279">
        <f>IF(ISNUMBER(AW143),IFERROR(AW137/AW143,""),"")</f>
        <v>1.37984496124031</v>
      </c>
      <c r="AX144" s="279">
        <f>IF(ISNUMBER(AX143),IFERROR(AX137/AX143,""),"")</f>
        <v>1.1790293040293</v>
      </c>
      <c r="AY144" s="279">
        <f>IF(ISNUMBER(AY143),IFERROR(AY137/AY143,""),"")</f>
        <v>1.64781609195402</v>
      </c>
      <c r="AZ144" s="279">
        <f>IF(ISNUMBER(AZ143),IFERROR(AZ137/AZ143,""),"")</f>
        <v>5.62659963436929</v>
      </c>
      <c r="BA144" s="279">
        <f>IF(ISNUMBER(BA143),IFERROR(BA137/BA143,""),"")</f>
        <v>1.83371931449745</v>
      </c>
      <c r="BB144" s="279">
        <f>IF(ISNUMBER(BB143),IFERROR(BB137/BB143,""),"")</f>
        <v>1.70261437908497</v>
      </c>
      <c r="BC144" s="279">
        <f>IF(ISNUMBER(BC143),IFERROR(BC137/BC143,""),"")</f>
        <v>1.60216063879756</v>
      </c>
      <c r="BD144" s="279">
        <f>IF(ISNUMBER(BD143),IFERROR(BD137/BD143,""),"")</f>
        <v>1.86200378071834</v>
      </c>
      <c r="BE144" s="279">
        <f>IF(ISNUMBER(BE143),IFERROR(BE137/BE143,""),"")</f>
        <v>7.00234082397004</v>
      </c>
      <c r="BF144" s="279">
        <f>IF(ISNUMBER(BF143),IFERROR(BF137/BF143,""),"")</f>
        <v>1.98810656517602</v>
      </c>
      <c r="BG144" s="279">
        <f>IF(ISNUMBER(BG143),IFERROR(BG137/BG143,""),"")</f>
        <v>2.03392259913999</v>
      </c>
      <c r="BH144" s="279">
        <f>IF(ISNUMBER(BH143),IFERROR(BH137/BH143,""),"")</f>
        <v>1.99807692307692</v>
      </c>
      <c r="BI144" s="279">
        <f>IF(ISNUMBER(BI143),IFERROR(BI137/BI143,""),"")</f>
        <v>2.26682808716707</v>
      </c>
      <c r="BJ144" s="279">
        <f>IF(ISNUMBER(BJ143),IFERROR(BJ137/BJ143,""),"")</f>
        <v>8.28441247002398</v>
      </c>
      <c r="BK144" s="279">
        <f>IF(ISNUMBER(BK143),IFERROR(BK137/BK143,""),"")</f>
        <v>2.39119804400978</v>
      </c>
      <c r="BL144" s="279">
        <f>IF(ISNUMBER(BL143),IFERROR(BL137/BL143,""),"")</f>
        <v>2.28690534575772</v>
      </c>
      <c r="BM144" s="279">
        <f>IF(ISNUMBER(BM143),IFERROR(BM137/BM143,""),"")</f>
        <v>2.40118284869394</v>
      </c>
      <c r="BN144" s="279">
        <f>IF(ISNUMBER(BN143),IFERROR(BN137/BN143,""),"")</f>
        <v>2.65501747378932</v>
      </c>
      <c r="BO144" s="279">
        <f>IF(ISNUMBER(BO143),IFERROR(BO137/BO143,""),"")</f>
        <v>9.73040906850665</v>
      </c>
      <c r="BP144" s="279">
        <f>IF(ISNUMBER(BP143),IFERROR(BP137/BP143,""),"")</f>
        <v>2.57884130982368</v>
      </c>
      <c r="BQ144" s="279">
        <f>IF(ISNUMBER(BQ143),IFERROR(BQ137/BQ143,""),"")</f>
        <v>2.31864235055724</v>
      </c>
      <c r="BR144" s="279">
        <f>IF(ISNUMBER(BR143),IFERROR(BR137/BR143,""),"")</f>
        <v>2.69116896375702</v>
      </c>
      <c r="BS144" s="279">
        <f>IF(ISNUMBER(BS143),IFERROR(BS137/BS143,""),"")</f>
        <v>2.61696658097686</v>
      </c>
      <c r="BT144" s="279">
        <f>IF(ISNUMBER(BT143),IFERROR(BT137/BT143,""),"")</f>
        <v>10.2024415055951</v>
      </c>
      <c r="BU144" s="279">
        <f>IF(ISNUMBER(BU143),IFERROR(BU137/BU143,""),"")</f>
        <v>3.0279358510088</v>
      </c>
      <c r="BV144" s="279">
        <f>IF(ISNUMBER(BV143),IFERROR(BV137/BV143,""),"")</f>
        <v>3.14248434237996</v>
      </c>
      <c r="BW144" s="279">
        <f>IF(ISNUMBER(BW143),IFERROR(BW137/BW143,""),"")</f>
        <v>2.96522655426765</v>
      </c>
      <c r="BX144" s="279">
        <f>IF(ISNUMBER(BX143),IFERROR(BX137/BX143,""),"")</f>
        <v>3.36324986727633</v>
      </c>
      <c r="BY144" s="279">
        <f>IF(ISNUMBER(BY143),IFERROR(BY137/BY143,""),"")</f>
        <v>12.4956413522494</v>
      </c>
      <c r="BZ144" s="279">
        <f>IF(ISNUMBER(BZ143),IFERROR(BZ137/BZ143,""),"")</f>
        <v>14.8700167440663</v>
      </c>
      <c r="CA144" s="279">
        <f>IF(ISNUMBER(CA143),IFERROR(CA137/CA143,""),"")</f>
        <v>16.9843640289733</v>
      </c>
      <c r="CB144" s="279">
        <f>IF(ISNUMBER(CB143),IFERROR(CB137/CB143,""),"")</f>
        <v>19.3591405189912</v>
      </c>
      <c r="CC144" s="279">
        <f>IF(ISNUMBER(CC143),IFERROR(CC137/CC143,""),"")</f>
        <v>21.872144677904</v>
      </c>
      <c r="CD144" s="279">
        <f>IF(ISNUMBER(CD143),IFERROR(CD137/CD143,""),"")</f>
        <v>24.7504418443863</v>
      </c>
      <c r="CE144" s="19" t="inlineStr">
        <is>
          <t>Net income ÷ as-converted diluted class A shares (= the company's class A diluted EPS; ±$0.01).</t>
        </is>
      </c>
      <c r="CG144" s="20">
        <f>IFERROR((CD144/BY144)^(1/5)-1,"n/m")</f>
        <v>0.146475770788525</v>
      </c>
      <c r="CH144" s="20">
        <f>IFERROR((BT144/AU144)^(1/5)-1,"n/m")</f>
        <v>0.158549982786419</v>
      </c>
      <c r="CI144" s="20">
        <f>IFERROR((BT144/V144)^(1/10)-1,"n/m")</f>
        <v>0.14758345938904</v>
      </c>
      <c r="CJ144" s="20">
        <f>IFERROR((BT144/C144)^(1/17)-1,"n/m")</f>
        <v>0.240548614384763</v>
      </c>
    </row>
    <row r="145" ht="15" customHeight="1" s="251">
      <c r="B145" s="22" t="inlineStr">
        <is>
          <t xml:space="preserve">  EPS — diluted y/y %</t>
        </is>
      </c>
      <c r="C145" s="23" t="n"/>
      <c r="D145" s="255">
        <f>IF(AND(ISNUMBER(D144),ISNUMBER(C144)),IFERROR(D144/C144-1,""),"")</f>
        <v>1.96908760944617</v>
      </c>
      <c r="E145" s="255">
        <f>IF(AND(ISNUMBER(E144),ISNUMBER(D144)),IFERROR(E144/D144-1,""),"")</f>
        <v>0.292926946109162</v>
      </c>
      <c r="F145" s="255">
        <f>IF(AND(ISNUMBER(F144),ISNUMBER(E144)),IFERROR(F144/E144-1,""),"")</f>
        <v>0.286313247450359</v>
      </c>
      <c r="G145" s="255">
        <f>IF(AND(ISNUMBER(G144),ISNUMBER(F144)),IFERROR(G144/F144-1,""),"")</f>
        <v>-0.387478078150887</v>
      </c>
      <c r="H145" s="23" t="n"/>
      <c r="I145" s="23" t="n"/>
      <c r="J145" s="23" t="n"/>
      <c r="K145" s="23" t="n"/>
      <c r="L145" s="255">
        <f>IF(AND(ISNUMBER(L144),ISNUMBER(G144)),IFERROR(L144/G144-1,""),"")</f>
        <v>1.40065867309793</v>
      </c>
      <c r="M145" s="255">
        <f>IF(AND(ISNUMBER(M144),ISNUMBER(H144)),IFERROR(M144/H144-1,""),"")</f>
        <v>0.139254708451793</v>
      </c>
      <c r="N145" s="255">
        <f>IF(AND(ISNUMBER(N144),ISNUMBER(I144)),IFERROR(N144/I144-1,""),"")</f>
        <v>0.309868600809757</v>
      </c>
      <c r="O145" s="255">
        <f>IF(AND(ISNUMBER(O144),ISNUMBER(J144)),IFERROR(O144/J144-1,""),"")</f>
        <v>0.150864422202002</v>
      </c>
      <c r="P145" s="255">
        <f>IF(AND(ISNUMBER(P144),ISNUMBER(K144)),IFERROR(P144/K144-1,""),"")</f>
        <v>-0.0694894804313401</v>
      </c>
      <c r="Q145" s="255">
        <f>IF(AND(ISNUMBER(Q144),ISNUMBER(L144)),IFERROR(Q144/L144-1,""),"")</f>
        <v>0.135231257836417</v>
      </c>
      <c r="R145" s="255">
        <f>IF(AND(ISNUMBER(R144),ISNUMBER(M144)),IFERROR(R144/M144-1,""),"")</f>
        <v>0.151168918849096</v>
      </c>
      <c r="S145" s="255">
        <f>IF(AND(ISNUMBER(S144),ISNUMBER(N144)),IFERROR(S144/N144-1,""),"")</f>
        <v>-7.1227245438843e-05</v>
      </c>
      <c r="T145" s="255">
        <f>IF(AND(ISNUMBER(T144),ISNUMBER(O144)),IFERROR(T144/O144-1,""),"")</f>
        <v>0.280416186082276</v>
      </c>
      <c r="U145" s="255">
        <f>IF(AND(ISNUMBER(U144),ISNUMBER(P144)),IFERROR(U144/P144-1,""),"")</f>
        <v>0.439163980260645</v>
      </c>
      <c r="V145" s="255">
        <f>IF(AND(ISNUMBER(V144),ISNUMBER(Q144)),IFERROR(V144/Q144-1,""),"")</f>
        <v>0.195395072555793</v>
      </c>
      <c r="W145" s="255">
        <f>IF(AND(ISNUMBER(W144),ISNUMBER(R144)),IFERROR(W144/R144-1,""),"")</f>
        <v>0.260511924714177</v>
      </c>
      <c r="X145" s="255">
        <f>IF(AND(ISNUMBER(X144),ISNUMBER(S144)),IFERROR(X144/S144-1,""),"")</f>
        <v>0.128352433797746</v>
      </c>
      <c r="Y145" s="255">
        <f>IF(AND(ISNUMBER(Y144),ISNUMBER(T144)),IFERROR(Y144/T144-1,""),"")</f>
        <v>-0.75090996833325</v>
      </c>
      <c r="Z145" s="255">
        <f>IF(AND(ISNUMBER(Z144),ISNUMBER(U144)),IFERROR(Z144/U144-1,""),"")</f>
        <v>0.277116402116402</v>
      </c>
      <c r="AA145" s="255">
        <f>IF(AND(ISNUMBER(AA144),ISNUMBER(V144)),IFERROR(AA144/V144-1,""),"")</f>
        <v>-0.036391239158009</v>
      </c>
      <c r="AB145" s="255">
        <f>IF(AND(ISNUMBER(AB144),ISNUMBER(W144)),IFERROR(AB144/W144-1,""),"")</f>
        <v>0.0704251248254741</v>
      </c>
      <c r="AC145" s="255">
        <f>IF(AND(ISNUMBER(AC144),ISNUMBER(X144)),IFERROR(AC144/X144-1,""),"")</f>
        <v>-0.748619566101345</v>
      </c>
      <c r="AD145" s="255">
        <f>IF(AND(ISNUMBER(AD144),ISNUMBER(Y144)),IFERROR(AD144/Y144-1,""),"")</f>
        <v>3.99966823390527</v>
      </c>
      <c r="AE145" s="255">
        <f>IF(AND(ISNUMBER(AE144),ISNUMBER(Z144)),IFERROR(AE144/Z144-1,""),"")</f>
        <v>0.141930381961454</v>
      </c>
      <c r="AF145" s="255">
        <f>IF(AND(ISNUMBER(AF144),ISNUMBER(AA144)),IFERROR(AF144/AA144-1,""),"")</f>
        <v>0.127047983248359</v>
      </c>
      <c r="AG145" s="255">
        <f>IF(AND(ISNUMBER(AG144),ISNUMBER(AB144)),IFERROR(AG144/AB144-1,""),"")</f>
        <v>0.253567139082392</v>
      </c>
      <c r="AH145" s="255">
        <f>IF(AND(ISNUMBER(AH144),ISNUMBER(AC144)),IFERROR(AH144/AC144-1,""),"")</f>
        <v>5.23700629907156</v>
      </c>
      <c r="AI145" s="255">
        <f>IF(AND(ISNUMBER(AI144),ISNUMBER(AD144)),IFERROR(AI144/AD144-1,""),"")</f>
        <v>0.162321804065714</v>
      </c>
      <c r="AJ145" s="255">
        <f>IF(AND(ISNUMBER(AJ144),ISNUMBER(AE144)),IFERROR(AJ144/AE144-1,""),"")</f>
        <v>0.365775336022868</v>
      </c>
      <c r="AK145" s="255">
        <f>IF(AND(ISNUMBER(AK144),ISNUMBER(AF144)),IFERROR(AK144/AF144-1,""),"")</f>
        <v>0.581267841095206</v>
      </c>
      <c r="AL145" s="255">
        <f>IF(AND(ISNUMBER(AL144),ISNUMBER(AG144)),IFERROR(AL144/AG144-1,""),"")</f>
        <v>0.212357184320537</v>
      </c>
      <c r="AM145" s="255">
        <f>IF(AND(ISNUMBER(AM144),ISNUMBER(AH144)),IFERROR(AM144/AH144-1,""),"")</f>
        <v>0.17188634608404</v>
      </c>
      <c r="AN145" s="255">
        <f>IF(AND(ISNUMBER(AN144),ISNUMBER(AI144)),IFERROR(AN144/AI144-1,""),"")</f>
        <v>0.364392149280073</v>
      </c>
      <c r="AO145" s="255">
        <f>IF(AND(ISNUMBER(AO144),ISNUMBER(AJ144)),IFERROR(AO144/AJ144-1,""),"")</f>
        <v>0.0878094975104469</v>
      </c>
      <c r="AP145" s="255">
        <f>IF(AND(ISNUMBER(AP144),ISNUMBER(AK144)),IFERROR(AP144/AK144-1,""),"")</f>
        <v>0.202122452216454</v>
      </c>
      <c r="AQ145" s="255">
        <f>IF(AND(ISNUMBER(AQ144),ISNUMBER(AL144)),IFERROR(AQ144/AL144-1,""),"")</f>
        <v>0.124117040165075</v>
      </c>
      <c r="AR145" s="255">
        <f>IF(AND(ISNUMBER(AR144),ISNUMBER(AM144)),IFERROR(AR144/AM144-1,""),"")</f>
        <v>0.0596554433782881</v>
      </c>
      <c r="AS145" s="255">
        <f>IF(AND(ISNUMBER(AS144),ISNUMBER(AN144)),IFERROR(AS144/AN144-1,""),"")</f>
        <v>-0.217135568646883</v>
      </c>
      <c r="AT145" s="255">
        <f>IF(AND(ISNUMBER(AT144),ISNUMBER(AO144)),IFERROR(AT144/AO144-1,""),"")</f>
        <v>-0.27980838412924</v>
      </c>
      <c r="AU145" s="255">
        <f>IF(AND(ISNUMBER(AU144),ISNUMBER(AP144)),IFERROR(AU144/AP144-1,""),"")</f>
        <v>-0.0806695802164607</v>
      </c>
      <c r="AV145" s="255">
        <f>IF(AND(ISNUMBER(AV144),ISNUMBER(AQ144)),IFERROR(AV144/AQ144-1,""),"")</f>
        <v>-0.0272505001111357</v>
      </c>
      <c r="AW145" s="255">
        <f>IF(AND(ISNUMBER(AW144),ISNUMBER(AR144)),IFERROR(AW144/AR144-1,""),"")</f>
        <v>-0.00314702540745437</v>
      </c>
      <c r="AX145" s="255">
        <f>IF(AND(ISNUMBER(AX144),ISNUMBER(AS144)),IFERROR(AX144/AS144-1,""),"")</f>
        <v>0.100029868993207</v>
      </c>
      <c r="AY145" s="255">
        <f>IF(AND(ISNUMBER(AY144),ISNUMBER(AT144)),IFERROR(AY144/AT144-1,""),"")</f>
        <v>0.704105551342251</v>
      </c>
      <c r="AZ145" s="255">
        <f>IF(AND(ISNUMBER(AZ144),ISNUMBER(AU144)),IFERROR(AZ144/AU144-1,""),"")</f>
        <v>0.151107213988857</v>
      </c>
      <c r="BA145" s="255">
        <f>IF(AND(ISNUMBER(BA144),ISNUMBER(AV144)),IFERROR(BA144/AV144-1,""),"")</f>
        <v>0.290525429268841</v>
      </c>
      <c r="BB145" s="255">
        <f>IF(AND(ISNUMBER(BB144),ISNUMBER(AW144)),IFERROR(BB144/AW144-1,""),"")</f>
        <v>0.233917162370566</v>
      </c>
      <c r="BC145" s="255">
        <f>IF(AND(ISNUMBER(BC144),ISNUMBER(AX144)),IFERROR(BC144/AX144-1,""),"")</f>
        <v>0.358881101022861</v>
      </c>
      <c r="BD145" s="255">
        <f>IF(AND(ISNUMBER(BD144),ISNUMBER(AY144)),IFERROR(BD144/AY144-1,""),"")</f>
        <v>0.129982763131245</v>
      </c>
      <c r="BE145" s="255">
        <f>IF(AND(ISNUMBER(BE144),ISNUMBER(AZ144)),IFERROR(BE144/AZ144-1,""),"")</f>
        <v>0.244506678811343</v>
      </c>
      <c r="BF145" s="255">
        <f>IF(AND(ISNUMBER(BF144),ISNUMBER(BA144)),IFERROR(BF144/BA144-1,""),"")</f>
        <v>0.0841935019487328</v>
      </c>
      <c r="BG145" s="255">
        <f>IF(AND(ISNUMBER(BG144),ISNUMBER(BB144)),IFERROR(BG144/BB144-1,""),"")</f>
        <v>0.194587937306789</v>
      </c>
      <c r="BH145" s="255">
        <f>IF(AND(ISNUMBER(BH144),ISNUMBER(BC144)),IFERROR(BH144/BC144-1,""),"")</f>
        <v>0.247113975148276</v>
      </c>
      <c r="BI145" s="255">
        <f>IF(AND(ISNUMBER(BI144),ISNUMBER(BD144)),IFERROR(BI144/BD144-1,""),"")</f>
        <v>0.217413256965868</v>
      </c>
      <c r="BJ145" s="255">
        <f>IF(AND(ISNUMBER(BJ144),ISNUMBER(BE144)),IFERROR(BJ144/BE144-1,""),"")</f>
        <v>0.183091865746555</v>
      </c>
      <c r="BK145" s="255">
        <f>IF(AND(ISNUMBER(BK144),ISNUMBER(BF144)),IFERROR(BK144/BF144-1,""),"")</f>
        <v>0.202751444964957</v>
      </c>
      <c r="BL145" s="255">
        <f>IF(AND(ISNUMBER(BL144),ISNUMBER(BG144)),IFERROR(BL144/BG144-1,""),"")</f>
        <v>0.124381698066929</v>
      </c>
      <c r="BM145" s="255">
        <f>IF(AND(ISNUMBER(BM144),ISNUMBER(BH144)),IFERROR(BM144/BH144-1,""),"")</f>
        <v>0.201746950260681</v>
      </c>
      <c r="BN145" s="255">
        <f>IF(AND(ISNUMBER(BN144),ISNUMBER(BI144)),IFERROR(BN144/BI144-1,""),"")</f>
        <v>0.171247828108297</v>
      </c>
      <c r="BO145" s="255">
        <f>IF(AND(ISNUMBER(BO144),ISNUMBER(BJ144)),IFERROR(BO144/BJ144-1,""),"")</f>
        <v>0.174544254491772</v>
      </c>
      <c r="BP145" s="255">
        <f>IF(AND(ISNUMBER(BP144),ISNUMBER(BK144)),IFERROR(BP144/BK144-1,""),"")</f>
        <v>0.0784724905090839</v>
      </c>
      <c r="BQ145" s="255">
        <f>IF(AND(ISNUMBER(BQ144),ISNUMBER(BL144)),IFERROR(BQ144/BL144-1,""),"")</f>
        <v>0.013877708081969</v>
      </c>
      <c r="BR145" s="255">
        <f>IF(AND(ISNUMBER(BR144),ISNUMBER(BM144)),IFERROR(BR144/BM144-1,""),"")</f>
        <v>0.120768026983373</v>
      </c>
      <c r="BS145" s="255">
        <f>IF(AND(ISNUMBER(BS144),ISNUMBER(BN144)),IFERROR(BS144/BN144-1,""),"")</f>
        <v>-0.0143316920465104</v>
      </c>
      <c r="BT145" s="255">
        <f>IF(AND(ISNUMBER(BT144),ISNUMBER(BO144)),IFERROR(BT144/BO144-1,""),"")</f>
        <v>0.0485110578358148</v>
      </c>
      <c r="BU145" s="255">
        <f>IF(AND(ISNUMBER(BU144),ISNUMBER(BP144)),IFERROR(BU144/BP144-1,""),"")</f>
        <v>0.174145861350353</v>
      </c>
      <c r="BV145" s="255">
        <f>IF(AND(ISNUMBER(BV144),ISNUMBER(BQ144)),IFERROR(BV144/BQ144-1,""),"")</f>
        <v>0.3553122333096</v>
      </c>
      <c r="BW145" s="255">
        <f>IF(AND(ISNUMBER(BW144),ISNUMBER(BR144)),IFERROR(BW144/BR144-1,""),"")</f>
        <v>0.101835891466299</v>
      </c>
      <c r="BX145" s="256">
        <f>IF(AND(ISNUMBER(BX144),ISNUMBER(BS144)),IFERROR(BX144/BS144-1,""),"")</f>
        <v>0.285171118242133</v>
      </c>
      <c r="BY145" s="256">
        <f>IF(AND(ISNUMBER(BY144),ISNUMBER(BT144)),IFERROR(BY144/BT144-1,""),"")</f>
        <v>0.224769712759116</v>
      </c>
      <c r="BZ145" s="256">
        <f>IF(AND(ISNUMBER(BZ144),ISNUMBER(BY144)),IFERROR(BZ144/BY144-1,""),"")</f>
        <v>0.190016288470819</v>
      </c>
      <c r="CA145" s="256">
        <f>IF(AND(ISNUMBER(CA144),ISNUMBER(BZ144)),IFERROR(CA144/BZ144-1,""),"")</f>
        <v>0.142188628385417</v>
      </c>
      <c r="CB145" s="256">
        <f>IF(AND(ISNUMBER(CB144),ISNUMBER(CA144)),IFERROR(CB144/CA144-1,""),"")</f>
        <v>0.139821337199723</v>
      </c>
      <c r="CC145" s="256">
        <f>IF(AND(ISNUMBER(CC144),ISNUMBER(CB144)),IFERROR(CC144/CB144-1,""),"")</f>
        <v>0.12980969668811</v>
      </c>
      <c r="CD145" s="256">
        <f>IF(AND(ISNUMBER(CD144),ISNUMBER(CC144)),IFERROR(CD144/CC144-1,""),"")</f>
        <v>0.131596476196962</v>
      </c>
      <c r="CE145" s="153" t="n"/>
    </row>
    <row r="146" ht="15" customHeight="1" s="251">
      <c r="B146" s="156" t="inlineStr">
        <is>
          <t xml:space="preserve">  Memo: diluted class A EPS as reported ($, split-adjusted)</t>
        </is>
      </c>
      <c r="C146" s="280" t="n">
        <v>0.24</v>
      </c>
      <c r="D146" s="280" t="n">
        <v>0.775</v>
      </c>
      <c r="E146" s="280" t="n">
        <v>1.0025</v>
      </c>
      <c r="F146" s="280" t="n">
        <v>1.29</v>
      </c>
      <c r="G146" s="280" t="n">
        <v>0.79</v>
      </c>
      <c r="H146" s="280" t="n">
        <v>0.4825</v>
      </c>
      <c r="I146" s="280" t="n">
        <v>0.48</v>
      </c>
      <c r="J146" s="280" t="n">
        <v>0.47</v>
      </c>
      <c r="K146" s="280" t="n">
        <v>0.4625</v>
      </c>
      <c r="L146" s="280" t="n">
        <v>1.8975</v>
      </c>
      <c r="M146" s="280" t="n">
        <v>0.55</v>
      </c>
      <c r="N146" s="280" t="n">
        <v>0.63</v>
      </c>
      <c r="O146" s="280" t="n">
        <v>0.5425</v>
      </c>
      <c r="P146" s="280" t="n">
        <v>0.43</v>
      </c>
      <c r="Q146" s="280" t="n">
        <v>2.155</v>
      </c>
      <c r="R146" s="280" t="n">
        <v>0.6325</v>
      </c>
      <c r="S146" s="280" t="n">
        <v>0.63</v>
      </c>
      <c r="T146" s="280" t="n">
        <v>0.6899999999999999</v>
      </c>
      <c r="U146" s="280" t="n">
        <v>0.62</v>
      </c>
      <c r="V146" s="280" t="n">
        <v>2.58</v>
      </c>
      <c r="W146" s="280" t="n">
        <v>0.8</v>
      </c>
      <c r="X146" s="280" t="n">
        <v>0.71</v>
      </c>
      <c r="Y146" s="280" t="n">
        <v>0.17</v>
      </c>
      <c r="Z146" s="280" t="n">
        <v>0.79</v>
      </c>
      <c r="AA146" s="280" t="n">
        <v>2.48</v>
      </c>
      <c r="AB146" s="280" t="n">
        <v>0.86</v>
      </c>
      <c r="AC146" s="280" t="n">
        <v>0.18</v>
      </c>
      <c r="AD146" s="280" t="n">
        <v>0.86</v>
      </c>
      <c r="AE146" s="280" t="n">
        <v>0.9</v>
      </c>
      <c r="AF146" s="280" t="n">
        <v>2.8</v>
      </c>
      <c r="AG146" s="280" t="n">
        <v>1.07</v>
      </c>
      <c r="AH146" s="280" t="n">
        <v>1.11</v>
      </c>
      <c r="AI146" s="280" t="n">
        <v>1</v>
      </c>
      <c r="AJ146" s="27" t="n"/>
      <c r="AK146" s="280" t="n">
        <v>4.42</v>
      </c>
      <c r="AL146" s="280" t="n">
        <v>1.3</v>
      </c>
      <c r="AM146" s="280" t="n">
        <v>1.31</v>
      </c>
      <c r="AN146" s="280" t="n">
        <v>1.37</v>
      </c>
      <c r="AO146" s="27" t="n"/>
      <c r="AP146" s="280" t="n">
        <v>5.32</v>
      </c>
      <c r="AQ146" s="280" t="n">
        <v>1.46</v>
      </c>
      <c r="AR146" s="280" t="n">
        <v>1.38</v>
      </c>
      <c r="AS146" s="280" t="n">
        <v>1.07</v>
      </c>
      <c r="AT146" s="27" t="n"/>
      <c r="AU146" s="280" t="n">
        <v>4.89</v>
      </c>
      <c r="AV146" s="280" t="n">
        <v>1.42</v>
      </c>
      <c r="AW146" s="280" t="n">
        <v>1.38</v>
      </c>
      <c r="AX146" s="280" t="n">
        <v>1.18</v>
      </c>
      <c r="AY146" s="280" t="n">
        <v>1.65</v>
      </c>
      <c r="AZ146" s="280" t="n">
        <v>5.63</v>
      </c>
      <c r="BA146" s="280" t="n">
        <v>1.83</v>
      </c>
      <c r="BB146" s="280" t="n">
        <v>1.7</v>
      </c>
      <c r="BC146" s="280" t="n">
        <v>1.6</v>
      </c>
      <c r="BD146" s="280" t="n">
        <v>1.86</v>
      </c>
      <c r="BE146" s="280" t="n">
        <v>7</v>
      </c>
      <c r="BF146" s="280" t="n">
        <v>1.99</v>
      </c>
      <c r="BG146" s="280" t="n">
        <v>2.03</v>
      </c>
      <c r="BH146" s="280" t="n">
        <v>2</v>
      </c>
      <c r="BI146" s="280" t="n">
        <v>2.27</v>
      </c>
      <c r="BJ146" s="280" t="n">
        <v>8.279999999999999</v>
      </c>
      <c r="BK146" s="280" t="n">
        <v>2.39</v>
      </c>
      <c r="BL146" s="280" t="n">
        <v>2.29</v>
      </c>
      <c r="BM146" s="280" t="n">
        <v>2.4</v>
      </c>
      <c r="BN146" s="280" t="n">
        <v>2.65</v>
      </c>
      <c r="BO146" s="280" t="n">
        <v>9.73</v>
      </c>
      <c r="BP146" s="280" t="n">
        <v>2.58</v>
      </c>
      <c r="BQ146" s="280" t="n">
        <v>2.32</v>
      </c>
      <c r="BR146" s="280" t="n">
        <v>2.69</v>
      </c>
      <c r="BS146" s="280" t="n">
        <v>2.62</v>
      </c>
      <c r="BT146" s="280" t="n">
        <v>10.2</v>
      </c>
      <c r="BU146" s="280" t="n">
        <v>3.03</v>
      </c>
      <c r="BV146" s="280" t="n">
        <v>3.14</v>
      </c>
      <c r="BW146" s="280" t="n">
        <v>2.97</v>
      </c>
      <c r="BX146" s="153" t="n"/>
      <c r="BY146" s="153" t="n"/>
      <c r="BZ146" s="153" t="n"/>
      <c r="CA146" s="153" t="n"/>
      <c r="CB146" s="153" t="n"/>
      <c r="CC146" s="153" t="n"/>
      <c r="CD146" s="153" t="n"/>
      <c r="CE146" s="153" t="n"/>
    </row>
    <row r="147" ht="15" customHeight="1" s="251">
      <c r="B147" s="57" t="inlineStr">
        <is>
          <t xml:space="preserve">  Check: model vs reported diluted EPS (should be 0.00; ±0.01 rounding)</t>
        </is>
      </c>
      <c r="C147" s="281" t="str">
        <f>"n/m"</f>
        <v>n/m</v>
      </c>
      <c r="D147" s="281">
        <f>IF(AND(ISNUMBER(D146),ISNUMBER(D144)),IF(ABS(D144-D146)&lt;=0.0101,0,ROUND(D144-D146,2)),"n/p")</f>
        <v>0</v>
      </c>
      <c r="E147" s="281">
        <f>IF(AND(ISNUMBER(E146),ISNUMBER(E144)),IF(ABS(E144-E146)&lt;=0.0101,0,ROUND(E144-E146,2)),"n/p")</f>
        <v>0</v>
      </c>
      <c r="F147" s="281">
        <f>IF(AND(ISNUMBER(F146),ISNUMBER(F144)),IF(ABS(F144-F146)&lt;=0.0101,0,ROUND(F144-F146,2)),"n/p")</f>
        <v>0</v>
      </c>
      <c r="G147" s="281">
        <f>IF(AND(ISNUMBER(G146),ISNUMBER(G144)),IF(ABS(G144-G146)&lt;=0.0101,0,ROUND(G144-G146,2)),"n/p")</f>
        <v>0</v>
      </c>
      <c r="H147" s="281">
        <f>IF(AND(ISNUMBER(H146),ISNUMBER(H144)),IF(ABS(H144-H146)&lt;=0.0101,0,ROUND(H144-H146,2)),"n/p")</f>
        <v>0</v>
      </c>
      <c r="I147" s="281">
        <f>IF(AND(ISNUMBER(I146),ISNUMBER(I144)),IF(ABS(I144-I146)&lt;=0.0101,0,ROUND(I144-I146,2)),"n/p")</f>
        <v>0</v>
      </c>
      <c r="J147" s="281">
        <f>IF(AND(ISNUMBER(J146),ISNUMBER(J144)),IF(ABS(J144-J146)&lt;=0.0101,0,ROUND(J144-J146,2)),"n/p")</f>
        <v>0</v>
      </c>
      <c r="K147" s="281">
        <f>IF(AND(ISNUMBER(K146),ISNUMBER(K144)),IF(ABS(K144-K146)&lt;=0.0101,0,ROUND(K144-K146,2)),"n/p")</f>
        <v>0</v>
      </c>
      <c r="L147" s="281">
        <f>IF(AND(ISNUMBER(L146),ISNUMBER(L144)),IF(ABS(L144-L146)&lt;=0.0101,0,ROUND(L144-L146,2)),"n/p")</f>
        <v>0</v>
      </c>
      <c r="M147" s="281">
        <f>IF(AND(ISNUMBER(M146),ISNUMBER(M144)),IF(ABS(M144-M146)&lt;=0.0101,0,ROUND(M144-M146,2)),"n/p")</f>
        <v>0</v>
      </c>
      <c r="N147" s="281">
        <f>IF(AND(ISNUMBER(N146),ISNUMBER(N144)),IF(ABS(N144-N146)&lt;=0.0101,0,ROUND(N144-N146,2)),"n/p")</f>
        <v>0</v>
      </c>
      <c r="O147" s="281">
        <f>IF(AND(ISNUMBER(O146),ISNUMBER(O144)),IF(ABS(O144-O146)&lt;=0.0101,0,ROUND(O144-O146,2)),"n/p")</f>
        <v>0</v>
      </c>
      <c r="P147" s="281">
        <f>IF(AND(ISNUMBER(P146),ISNUMBER(P144)),IF(ABS(P144-P146)&lt;=0.0101,0,ROUND(P144-P146,2)),"n/p")</f>
        <v>0</v>
      </c>
      <c r="Q147" s="281">
        <f>IF(AND(ISNUMBER(Q146),ISNUMBER(Q144)),IF(ABS(Q144-Q146)&lt;=0.0101,0,ROUND(Q144-Q146,2)),"n/p")</f>
        <v>0</v>
      </c>
      <c r="R147" s="281">
        <f>IF(AND(ISNUMBER(R146),ISNUMBER(R144)),IF(ABS(R144-R146)&lt;=0.0101,0,ROUND(R144-R146,2)),"n/p")</f>
        <v>0</v>
      </c>
      <c r="S147" s="281">
        <f>IF(AND(ISNUMBER(S146),ISNUMBER(S144)),IF(ABS(S144-S146)&lt;=0.0101,0,ROUND(S144-S146,2)),"n/p")</f>
        <v>0</v>
      </c>
      <c r="T147" s="281">
        <f>IF(AND(ISNUMBER(T146),ISNUMBER(T144)),IF(ABS(T144-T146)&lt;=0.0101,0,ROUND(T144-T146,2)),"n/p")</f>
        <v>0</v>
      </c>
      <c r="U147" s="281">
        <f>IF(AND(ISNUMBER(U146),ISNUMBER(U144)),IF(ABS(U144-U146)&lt;=0.0101,0,ROUND(U144-U146,2)),"n/p")</f>
        <v>0</v>
      </c>
      <c r="V147" s="281">
        <f>IF(AND(ISNUMBER(V146),ISNUMBER(V144)),IF(ABS(V144-V146)&lt;=0.0101,0,ROUND(V144-V146,2)),"n/p")</f>
        <v>0</v>
      </c>
      <c r="W147" s="281">
        <f>IF(AND(ISNUMBER(W146),ISNUMBER(W144)),IF(ABS(W144-W146)&lt;=0.0101,0,ROUND(W144-W146,2)),"n/p")</f>
        <v>0</v>
      </c>
      <c r="X147" s="281">
        <f>IF(AND(ISNUMBER(X146),ISNUMBER(X144)),IF(ABS(X144-X146)&lt;=0.0101,0,ROUND(X144-X146,2)),"n/p")</f>
        <v>0</v>
      </c>
      <c r="Y147" s="281">
        <f>IF(AND(ISNUMBER(Y146),ISNUMBER(Y144)),IF(ABS(Y144-Y146)&lt;=0.0101,0,ROUND(Y144-Y146,2)),"n/p")</f>
        <v>0</v>
      </c>
      <c r="Z147" s="281">
        <f>IF(AND(ISNUMBER(Z146),ISNUMBER(Z144)),IF(ABS(Z144-Z146)&lt;=0.0101,0,ROUND(Z144-Z146,2)),"n/p")</f>
        <v>0</v>
      </c>
      <c r="AA147" s="281">
        <f>IF(AND(ISNUMBER(AA146),ISNUMBER(AA144)),IF(ABS(AA144-AA146)&lt;=0.0101,0,ROUND(AA144-AA146,2)),"n/p")</f>
        <v>0</v>
      </c>
      <c r="AB147" s="281">
        <f>IF(AND(ISNUMBER(AB146),ISNUMBER(AB144)),IF(ABS(AB144-AB146)&lt;=0.0101,0,ROUND(AB144-AB146,2)),"n/p")</f>
        <v>0</v>
      </c>
      <c r="AC147" s="281">
        <f>IF(AND(ISNUMBER(AC146),ISNUMBER(AC144)),IF(ABS(AC144-AC146)&lt;=0.0101,0,ROUND(AC144-AC146,2)),"n/p")</f>
        <v>0</v>
      </c>
      <c r="AD147" s="281">
        <f>IF(AND(ISNUMBER(AD146),ISNUMBER(AD144)),IF(ABS(AD144-AD146)&lt;=0.0101,0,ROUND(AD144-AD146,2)),"n/p")</f>
        <v>0</v>
      </c>
      <c r="AE147" s="281">
        <f>IF(AND(ISNUMBER(AE146),ISNUMBER(AE144)),IF(ABS(AE144-AE146)&lt;=0.0101,0,ROUND(AE144-AE146,2)),"n/p")</f>
        <v>0</v>
      </c>
      <c r="AF147" s="281">
        <f>IF(AND(ISNUMBER(AF146),ISNUMBER(AF144)),IF(ABS(AF144-AF146)&lt;=0.0101,0,ROUND(AF144-AF146,2)),"n/p")</f>
        <v>0</v>
      </c>
      <c r="AG147" s="281">
        <f>IF(AND(ISNUMBER(AG146),ISNUMBER(AG144)),IF(ABS(AG144-AG146)&lt;=0.0101,0,ROUND(AG144-AG146,2)),"n/p")</f>
        <v>0</v>
      </c>
      <c r="AH147" s="281">
        <f>IF(AND(ISNUMBER(AH146),ISNUMBER(AH144)),IF(ABS(AH144-AH146)&lt;=0.0101,0,ROUND(AH144-AH146,2)),"n/p")</f>
        <v>0</v>
      </c>
      <c r="AI147" s="281">
        <f>IF(AND(ISNUMBER(AI146),ISNUMBER(AI144)),IF(ABS(AI144-AI146)&lt;=0.0101,0,ROUND(AI144-AI146,2)),"n/p")</f>
        <v>0</v>
      </c>
      <c r="AJ147" s="281" t="str">
        <f>IF(AND(ISNUMBER(AJ146),ISNUMBER(AJ144)),IF(ABS(AJ144-AJ146)&lt;=0.0101,0,ROUND(AJ144-AJ146,2)),"n/p")</f>
        <v>n/p</v>
      </c>
      <c r="AK147" s="281">
        <f>IF(AND(ISNUMBER(AK146),ISNUMBER(AK144)),IF(ABS(AK144-AK146)&lt;=0.0101,0,ROUND(AK144-AK146,2)),"n/p")</f>
        <v>0</v>
      </c>
      <c r="AL147" s="281">
        <f>IF(AND(ISNUMBER(AL146),ISNUMBER(AL144)),IF(ABS(AL144-AL146)&lt;=0.0101,0,ROUND(AL144-AL146,2)),"n/p")</f>
        <v>0</v>
      </c>
      <c r="AM147" s="281">
        <f>IF(AND(ISNUMBER(AM146),ISNUMBER(AM144)),IF(ABS(AM144-AM146)&lt;=0.0101,0,ROUND(AM144-AM146,2)),"n/p")</f>
        <v>0</v>
      </c>
      <c r="AN147" s="281">
        <f>IF(AND(ISNUMBER(AN146),ISNUMBER(AN144)),IF(ABS(AN144-AN146)&lt;=0.0101,0,ROUND(AN144-AN146,2)),"n/p")</f>
        <v>0</v>
      </c>
      <c r="AO147" s="281" t="str">
        <f>IF(AND(ISNUMBER(AO146),ISNUMBER(AO144)),IF(ABS(AO144-AO146)&lt;=0.0101,0,ROUND(AO144-AO146,2)),"n/p")</f>
        <v>n/p</v>
      </c>
      <c r="AP147" s="281">
        <f>IF(AND(ISNUMBER(AP146),ISNUMBER(AP144)),IF(ABS(AP144-AP146)&lt;=0.0101,0,ROUND(AP144-AP146,2)),"n/p")</f>
        <v>0</v>
      </c>
      <c r="AQ147" s="281">
        <f>IF(AND(ISNUMBER(AQ146),ISNUMBER(AQ144)),IF(ABS(AQ144-AQ146)&lt;=0.0101,0,ROUND(AQ144-AQ146,2)),"n/p")</f>
        <v>0</v>
      </c>
      <c r="AR147" s="281">
        <f>IF(AND(ISNUMBER(AR146),ISNUMBER(AR144)),IF(ABS(AR144-AR146)&lt;=0.0101,0,ROUND(AR144-AR146,2)),"n/p")</f>
        <v>0</v>
      </c>
      <c r="AS147" s="281">
        <f>IF(AND(ISNUMBER(AS146),ISNUMBER(AS144)),IF(ABS(AS144-AS146)&lt;=0.0101,0,ROUND(AS144-AS146,2)),"n/p")</f>
        <v>0</v>
      </c>
      <c r="AT147" s="281" t="str">
        <f>IF(AND(ISNUMBER(AT146),ISNUMBER(AT144)),IF(ABS(AT144-AT146)&lt;=0.0101,0,ROUND(AT144-AT146,2)),"n/p")</f>
        <v>n/p</v>
      </c>
      <c r="AU147" s="281">
        <f>IF(AND(ISNUMBER(AU146),ISNUMBER(AU144)),IF(ABS(AU144-AU146)&lt;=0.0101,0,ROUND(AU144-AU146,2)),"n/p")</f>
        <v>0</v>
      </c>
      <c r="AV147" s="281">
        <f>IF(AND(ISNUMBER(AV146),ISNUMBER(AV144)),IF(ABS(AV144-AV146)&lt;=0.0101,0,ROUND(AV144-AV146,2)),"n/p")</f>
        <v>0</v>
      </c>
      <c r="AW147" s="281">
        <f>IF(AND(ISNUMBER(AW146),ISNUMBER(AW144)),IF(ABS(AW144-AW146)&lt;=0.0101,0,ROUND(AW144-AW146,2)),"n/p")</f>
        <v>0</v>
      </c>
      <c r="AX147" s="281">
        <f>IF(AND(ISNUMBER(AX146),ISNUMBER(AX144)),IF(ABS(AX144-AX146)&lt;=0.0101,0,ROUND(AX144-AX146,2)),"n/p")</f>
        <v>0</v>
      </c>
      <c r="AY147" s="281">
        <f>IF(AND(ISNUMBER(AY146),ISNUMBER(AY144)),IF(ABS(AY144-AY146)&lt;=0.0101,0,ROUND(AY144-AY146,2)),"n/p")</f>
        <v>0</v>
      </c>
      <c r="AZ147" s="281">
        <f>IF(AND(ISNUMBER(AZ146),ISNUMBER(AZ144)),IF(ABS(AZ144-AZ146)&lt;=0.0101,0,ROUND(AZ144-AZ146,2)),"n/p")</f>
        <v>0</v>
      </c>
      <c r="BA147" s="281">
        <f>IF(AND(ISNUMBER(BA146),ISNUMBER(BA144)),IF(ABS(BA144-BA146)&lt;=0.0101,0,ROUND(BA144-BA146,2)),"n/p")</f>
        <v>0</v>
      </c>
      <c r="BB147" s="281">
        <f>IF(AND(ISNUMBER(BB146),ISNUMBER(BB144)),IF(ABS(BB144-BB146)&lt;=0.0101,0,ROUND(BB144-BB146,2)),"n/p")</f>
        <v>0</v>
      </c>
      <c r="BC147" s="281">
        <f>IF(AND(ISNUMBER(BC146),ISNUMBER(BC144)),IF(ABS(BC144-BC146)&lt;=0.0101,0,ROUND(BC144-BC146,2)),"n/p")</f>
        <v>0</v>
      </c>
      <c r="BD147" s="281">
        <f>IF(AND(ISNUMBER(BD146),ISNUMBER(BD144)),IF(ABS(BD144-BD146)&lt;=0.0101,0,ROUND(BD144-BD146,2)),"n/p")</f>
        <v>0</v>
      </c>
      <c r="BE147" s="281">
        <f>IF(AND(ISNUMBER(BE146),ISNUMBER(BE144)),IF(ABS(BE144-BE146)&lt;=0.0101,0,ROUND(BE144-BE146,2)),"n/p")</f>
        <v>0</v>
      </c>
      <c r="BF147" s="281">
        <f>IF(AND(ISNUMBER(BF146),ISNUMBER(BF144)),IF(ABS(BF144-BF146)&lt;=0.0101,0,ROUND(BF144-BF146,2)),"n/p")</f>
        <v>0</v>
      </c>
      <c r="BG147" s="281">
        <f>IF(AND(ISNUMBER(BG146),ISNUMBER(BG144)),IF(ABS(BG144-BG146)&lt;=0.0101,0,ROUND(BG144-BG146,2)),"n/p")</f>
        <v>0</v>
      </c>
      <c r="BH147" s="281">
        <f>IF(AND(ISNUMBER(BH146),ISNUMBER(BH144)),IF(ABS(BH144-BH146)&lt;=0.0101,0,ROUND(BH144-BH146,2)),"n/p")</f>
        <v>0</v>
      </c>
      <c r="BI147" s="281">
        <f>IF(AND(ISNUMBER(BI146),ISNUMBER(BI144)),IF(ABS(BI144-BI146)&lt;=0.0101,0,ROUND(BI144-BI146,2)),"n/p")</f>
        <v>0</v>
      </c>
      <c r="BJ147" s="281">
        <f>IF(AND(ISNUMBER(BJ146),ISNUMBER(BJ144)),IF(ABS(BJ144-BJ146)&lt;=0.0101,0,ROUND(BJ144-BJ146,2)),"n/p")</f>
        <v>0</v>
      </c>
      <c r="BK147" s="281">
        <f>IF(AND(ISNUMBER(BK146),ISNUMBER(BK144)),IF(ABS(BK144-BK146)&lt;=0.0101,0,ROUND(BK144-BK146,2)),"n/p")</f>
        <v>0</v>
      </c>
      <c r="BL147" s="281">
        <f>IF(AND(ISNUMBER(BL146),ISNUMBER(BL144)),IF(ABS(BL144-BL146)&lt;=0.0101,0,ROUND(BL144-BL146,2)),"n/p")</f>
        <v>0</v>
      </c>
      <c r="BM147" s="281">
        <f>IF(AND(ISNUMBER(BM146),ISNUMBER(BM144)),IF(ABS(BM144-BM146)&lt;=0.0101,0,ROUND(BM144-BM146,2)),"n/p")</f>
        <v>0</v>
      </c>
      <c r="BN147" s="281">
        <f>IF(AND(ISNUMBER(BN146),ISNUMBER(BN144)),IF(ABS(BN144-BN146)&lt;=0.0101,0,ROUND(BN144-BN146,2)),"n/p")</f>
        <v>0</v>
      </c>
      <c r="BO147" s="281">
        <f>IF(AND(ISNUMBER(BO146),ISNUMBER(BO144)),IF(ABS(BO144-BO146)&lt;=0.0101,0,ROUND(BO144-BO146,2)),"n/p")</f>
        <v>0</v>
      </c>
      <c r="BP147" s="281">
        <f>IF(AND(ISNUMBER(BP146),ISNUMBER(BP144)),IF(ABS(BP144-BP146)&lt;=0.0101,0,ROUND(BP144-BP146,2)),"n/p")</f>
        <v>0</v>
      </c>
      <c r="BQ147" s="281">
        <f>IF(AND(ISNUMBER(BQ146),ISNUMBER(BQ144)),IF(ABS(BQ144-BQ146)&lt;=0.0101,0,ROUND(BQ144-BQ146,2)),"n/p")</f>
        <v>0</v>
      </c>
      <c r="BR147" s="281">
        <f>IF(AND(ISNUMBER(BR146),ISNUMBER(BR144)),IF(ABS(BR144-BR146)&lt;=0.0101,0,ROUND(BR144-BR146,2)),"n/p")</f>
        <v>0</v>
      </c>
      <c r="BS147" s="281">
        <f>IF(AND(ISNUMBER(BS146),ISNUMBER(BS144)),IF(ABS(BS144-BS146)&lt;=0.0101,0,ROUND(BS144-BS146,2)),"n/p")</f>
        <v>0</v>
      </c>
      <c r="BT147" s="281">
        <f>IF(AND(ISNUMBER(BT146),ISNUMBER(BT144)),IF(ABS(BT144-BT146)&lt;=0.0101,0,ROUND(BT144-BT146,2)),"n/p")</f>
        <v>0</v>
      </c>
      <c r="BU147" s="281">
        <f>IF(AND(ISNUMBER(BU146),ISNUMBER(BU144)),IF(ABS(BU144-BU146)&lt;=0.0101,0,ROUND(BU144-BU146,2)),"n/p")</f>
        <v>0</v>
      </c>
      <c r="BV147" s="281">
        <f>IF(AND(ISNUMBER(BV146),ISNUMBER(BV144)),IF(ABS(BV144-BV146)&lt;=0.0101,0,ROUND(BV144-BV146,2)),"n/p")</f>
        <v>0</v>
      </c>
      <c r="BW147" s="281">
        <f>IF(AND(ISNUMBER(BW146),ISNUMBER(BW144)),IF(ABS(BW144-BW146)&lt;=0.0101,0,ROUND(BW144-BW146,2)),"n/p")</f>
        <v>0</v>
      </c>
      <c r="BX147" s="153" t="n"/>
      <c r="BY147" s="153" t="n"/>
      <c r="BZ147" s="153" t="n"/>
      <c r="CA147" s="153" t="n"/>
      <c r="CB147" s="153" t="n"/>
      <c r="CC147" s="153" t="n"/>
      <c r="CD147" s="153" t="n"/>
      <c r="CE147" s="153" t="n"/>
    </row>
    <row r="148" ht="15" customHeight="1" s="251">
      <c r="B148" s="25" t="inlineStr">
        <is>
          <t xml:space="preserve">  Dividends declared per class A share ($)</t>
        </is>
      </c>
      <c r="C148" s="280" t="n">
        <v>0.02625</v>
      </c>
      <c r="D148" s="280" t="n">
        <v>0.105</v>
      </c>
      <c r="E148" s="280" t="n">
        <v>0.125</v>
      </c>
      <c r="F148" s="280" t="n">
        <v>0.15</v>
      </c>
      <c r="G148" s="280" t="n">
        <v>0.22</v>
      </c>
      <c r="H148" s="280" t="n">
        <v>0.0825</v>
      </c>
      <c r="I148" s="280" t="n">
        <v>0.0825</v>
      </c>
      <c r="J148" s="280" t="n">
        <v>0.0825</v>
      </c>
      <c r="K148" s="280" t="n">
        <v>0.0825</v>
      </c>
      <c r="L148" s="280" t="n">
        <v>0.33</v>
      </c>
      <c r="M148" s="280" t="n">
        <v>0.1</v>
      </c>
      <c r="N148" s="280" t="n">
        <v>0.1</v>
      </c>
      <c r="O148" s="280" t="n">
        <v>0.1</v>
      </c>
      <c r="P148" s="280" t="n">
        <v>0.1</v>
      </c>
      <c r="Q148" s="280" t="n">
        <v>0.4</v>
      </c>
      <c r="R148" s="280" t="n">
        <v>0.12</v>
      </c>
      <c r="S148" s="280" t="n">
        <v>0.12</v>
      </c>
      <c r="T148" s="280" t="n">
        <v>0.12</v>
      </c>
      <c r="U148" s="280" t="n">
        <v>0.12</v>
      </c>
      <c r="V148" s="280" t="n">
        <v>0.48</v>
      </c>
      <c r="W148" s="280" t="n">
        <v>0.14</v>
      </c>
      <c r="X148" s="280" t="n">
        <v>0.14</v>
      </c>
      <c r="Y148" s="280" t="n">
        <v>0.14</v>
      </c>
      <c r="Z148" s="280" t="n">
        <v>0.14</v>
      </c>
      <c r="AA148" s="280" t="n">
        <v>0.5600000000000001</v>
      </c>
      <c r="AB148" s="280" t="n">
        <v>0.165</v>
      </c>
      <c r="AC148" s="280" t="n">
        <v>0.165</v>
      </c>
      <c r="AD148" s="280" t="n">
        <v>0.165</v>
      </c>
      <c r="AE148" s="280" t="n">
        <v>0.165</v>
      </c>
      <c r="AF148" s="280" t="n">
        <v>0.66</v>
      </c>
      <c r="AG148" s="280" t="n">
        <v>0.195</v>
      </c>
      <c r="AH148" s="280" t="n">
        <v>0.21</v>
      </c>
      <c r="AI148" s="280" t="n">
        <v>0.21</v>
      </c>
      <c r="AJ148" s="280" t="n">
        <v>0.21</v>
      </c>
      <c r="AK148" s="280" t="n">
        <v>0.825</v>
      </c>
      <c r="AL148" s="280" t="n">
        <v>0.25</v>
      </c>
      <c r="AM148" s="280" t="n">
        <v>0.25</v>
      </c>
      <c r="AN148" s="280" t="n">
        <v>0.25</v>
      </c>
      <c r="AO148" s="280" t="n">
        <v>0.25</v>
      </c>
      <c r="AP148" s="280" t="n">
        <v>1</v>
      </c>
      <c r="AQ148" s="280" t="n">
        <v>0.3</v>
      </c>
      <c r="AR148" s="280" t="n">
        <v>0.3</v>
      </c>
      <c r="AS148" s="280" t="n">
        <v>0.3</v>
      </c>
      <c r="AT148" s="280" t="n">
        <v>0.3</v>
      </c>
      <c r="AU148" s="280" t="n">
        <v>1.2</v>
      </c>
      <c r="AV148" s="280" t="n">
        <v>0.32</v>
      </c>
      <c r="AW148" s="280" t="n">
        <v>0.32</v>
      </c>
      <c r="AX148" s="280" t="n">
        <v>0.32</v>
      </c>
      <c r="AY148" s="280" t="n">
        <v>0.32</v>
      </c>
      <c r="AZ148" s="280" t="n">
        <v>1.28</v>
      </c>
      <c r="BA148" s="280" t="n">
        <v>0.375</v>
      </c>
      <c r="BB148" s="280" t="n">
        <v>0.375</v>
      </c>
      <c r="BC148" s="280" t="n">
        <v>0.375</v>
      </c>
      <c r="BD148" s="280" t="n">
        <v>0.375</v>
      </c>
      <c r="BE148" s="280" t="n">
        <v>1.5</v>
      </c>
      <c r="BF148" s="280" t="n">
        <v>0.45</v>
      </c>
      <c r="BG148" s="280" t="n">
        <v>0.45</v>
      </c>
      <c r="BH148" s="280" t="n">
        <v>0.45</v>
      </c>
      <c r="BI148" s="280" t="n">
        <v>0.45</v>
      </c>
      <c r="BJ148" s="280" t="n">
        <v>1.8</v>
      </c>
      <c r="BK148" s="280" t="n">
        <v>0.52</v>
      </c>
      <c r="BL148" s="280" t="n">
        <v>0.52</v>
      </c>
      <c r="BM148" s="280" t="n">
        <v>0.52</v>
      </c>
      <c r="BN148" s="280" t="n">
        <v>0.52</v>
      </c>
      <c r="BO148" s="280" t="n">
        <v>2.08</v>
      </c>
      <c r="BP148" s="280" t="n">
        <v>0.59</v>
      </c>
      <c r="BQ148" s="280" t="n">
        <v>0.59</v>
      </c>
      <c r="BR148" s="280" t="n">
        <v>0.59</v>
      </c>
      <c r="BS148" s="280" t="n">
        <v>0.59</v>
      </c>
      <c r="BT148" s="280" t="n">
        <v>2.36</v>
      </c>
      <c r="BU148" s="280" t="n">
        <v>0.67</v>
      </c>
      <c r="BV148" s="280" t="n">
        <v>0.67</v>
      </c>
      <c r="BW148" s="280" t="n">
        <v>0.67</v>
      </c>
      <c r="BX148" s="282" t="n">
        <v>0.67</v>
      </c>
      <c r="BY148" s="283">
        <f>SUM(BU148:BX148)</f>
        <v>2.68</v>
      </c>
      <c r="BZ148" s="283">
        <f>BY148*(1+BZ149)</f>
        <v>3.0016</v>
      </c>
      <c r="CA148" s="283">
        <f>BZ148*(1+CA149)</f>
        <v>3.361792</v>
      </c>
      <c r="CB148" s="283">
        <f>CA148*(1+CB149)</f>
        <v>3.76520704</v>
      </c>
      <c r="CC148" s="283">
        <f>CB148*(1+CC149)</f>
        <v>4.2170318848</v>
      </c>
      <c r="CD148" s="283">
        <f>CC148*(1+CD149)</f>
        <v>4.723075710976</v>
      </c>
      <c r="CE148" s="19" t="inlineStr">
        <is>
          <t>Q4/26E: $0.670 declared 28-Jul-2026 (Q3 FY26 release). 2027E+: prior year × (1 + growth).</t>
        </is>
      </c>
      <c r="CG148" s="20">
        <f>IFERROR((CD148/BY148)^(1/5)-1,"n/m")</f>
        <v>0.12</v>
      </c>
      <c r="CH148" s="20">
        <f>IFERROR((BT148/AU148)^(1/5)-1,"n/m")</f>
        <v>0.144843575567627</v>
      </c>
      <c r="CI148" s="20">
        <f>IFERROR((BT148/V148)^(1/10)-1,"n/m")</f>
        <v>0.172646405230896</v>
      </c>
      <c r="CJ148" s="20">
        <f>IFERROR((BT148/C148)^(1/17)-1,"n/m")</f>
        <v>0.302951930959883</v>
      </c>
    </row>
    <row r="149" collapsed="1" ht="15" customHeight="1" s="251">
      <c r="B149" s="25" t="inlineStr">
        <is>
          <t xml:space="preserve">  Dividend per share growth %</t>
        </is>
      </c>
      <c r="C149" s="36" t="n"/>
      <c r="D149" s="215">
        <f>IF(AND(ISNUMBER(D148),ISNUMBER(C148)),IFERROR(D148/C148-1,""),"")</f>
        <v>3</v>
      </c>
      <c r="E149" s="215">
        <f>IF(AND(ISNUMBER(E148),ISNUMBER(D148)),IFERROR(E148/D148-1,""),"")</f>
        <v>0.19047619047619</v>
      </c>
      <c r="F149" s="215">
        <f>IF(AND(ISNUMBER(F148),ISNUMBER(E148)),IFERROR(F148/E148-1,""),"")</f>
        <v>0.2</v>
      </c>
      <c r="G149" s="215">
        <f>IF(AND(ISNUMBER(G148),ISNUMBER(F148)),IFERROR(G148/F148-1,""),"")</f>
        <v>0.466666666666667</v>
      </c>
      <c r="H149" s="36" t="n"/>
      <c r="I149" s="36" t="n"/>
      <c r="J149" s="36" t="n"/>
      <c r="K149" s="36" t="n"/>
      <c r="L149" s="215">
        <f>IF(AND(ISNUMBER(L148),ISNUMBER(G148)),IFERROR(L148/G148-1,""),"")</f>
        <v>0.5</v>
      </c>
      <c r="M149" s="215">
        <f>IF(AND(ISNUMBER(M148),ISNUMBER(H148)),IFERROR(M148/H148-1,""),"")</f>
        <v>0.212121212121212</v>
      </c>
      <c r="N149" s="215">
        <f>IF(AND(ISNUMBER(N148),ISNUMBER(I148)),IFERROR(N148/I148-1,""),"")</f>
        <v>0.212121212121212</v>
      </c>
      <c r="O149" s="215">
        <f>IF(AND(ISNUMBER(O148),ISNUMBER(J148)),IFERROR(O148/J148-1,""),"")</f>
        <v>0.212121212121212</v>
      </c>
      <c r="P149" s="215">
        <f>IF(AND(ISNUMBER(P148),ISNUMBER(K148)),IFERROR(P148/K148-1,""),"")</f>
        <v>0.212121212121212</v>
      </c>
      <c r="Q149" s="215">
        <f>IF(AND(ISNUMBER(Q148),ISNUMBER(L148)),IFERROR(Q148/L148-1,""),"")</f>
        <v>0.212121212121212</v>
      </c>
      <c r="R149" s="215">
        <f>IF(AND(ISNUMBER(R148),ISNUMBER(M148)),IFERROR(R148/M148-1,""),"")</f>
        <v>0.2</v>
      </c>
      <c r="S149" s="215">
        <f>IF(AND(ISNUMBER(S148),ISNUMBER(N148)),IFERROR(S148/N148-1,""),"")</f>
        <v>0.2</v>
      </c>
      <c r="T149" s="215">
        <f>IF(AND(ISNUMBER(T148),ISNUMBER(O148)),IFERROR(T148/O148-1,""),"")</f>
        <v>0.2</v>
      </c>
      <c r="U149" s="215">
        <f>IF(AND(ISNUMBER(U148),ISNUMBER(P148)),IFERROR(U148/P148-1,""),"")</f>
        <v>0.2</v>
      </c>
      <c r="V149" s="215">
        <f>IF(AND(ISNUMBER(V148),ISNUMBER(Q148)),IFERROR(V148/Q148-1,""),"")</f>
        <v>0.2</v>
      </c>
      <c r="W149" s="215">
        <f>IF(AND(ISNUMBER(W148),ISNUMBER(R148)),IFERROR(W148/R148-1,""),"")</f>
        <v>0.166666666666667</v>
      </c>
      <c r="X149" s="215">
        <f>IF(AND(ISNUMBER(X148),ISNUMBER(S148)),IFERROR(X148/S148-1,""),"")</f>
        <v>0.166666666666667</v>
      </c>
      <c r="Y149" s="215">
        <f>IF(AND(ISNUMBER(Y148),ISNUMBER(T148)),IFERROR(Y148/T148-1,""),"")</f>
        <v>0.166666666666667</v>
      </c>
      <c r="Z149" s="215">
        <f>IF(AND(ISNUMBER(Z148),ISNUMBER(U148)),IFERROR(Z148/U148-1,""),"")</f>
        <v>0.166666666666667</v>
      </c>
      <c r="AA149" s="215">
        <f>IF(AND(ISNUMBER(AA148),ISNUMBER(V148)),IFERROR(AA148/V148-1,""),"")</f>
        <v>0.166666666666667</v>
      </c>
      <c r="AB149" s="215">
        <f>IF(AND(ISNUMBER(AB148),ISNUMBER(W148)),IFERROR(AB148/W148-1,""),"")</f>
        <v>0.178571428571429</v>
      </c>
      <c r="AC149" s="215">
        <f>IF(AND(ISNUMBER(AC148),ISNUMBER(X148)),IFERROR(AC148/X148-1,""),"")</f>
        <v>0.178571428571429</v>
      </c>
      <c r="AD149" s="215">
        <f>IF(AND(ISNUMBER(AD148),ISNUMBER(Y148)),IFERROR(AD148/Y148-1,""),"")</f>
        <v>0.178571428571429</v>
      </c>
      <c r="AE149" s="215">
        <f>IF(AND(ISNUMBER(AE148),ISNUMBER(Z148)),IFERROR(AE148/Z148-1,""),"")</f>
        <v>0.178571428571429</v>
      </c>
      <c r="AF149" s="215">
        <f>IF(AND(ISNUMBER(AF148),ISNUMBER(AA148)),IFERROR(AF148/AA148-1,""),"")</f>
        <v>0.178571428571429</v>
      </c>
      <c r="AG149" s="215">
        <f>IF(AND(ISNUMBER(AG148),ISNUMBER(AB148)),IFERROR(AG148/AB148-1,""),"")</f>
        <v>0.181818181818182</v>
      </c>
      <c r="AH149" s="215">
        <f>IF(AND(ISNUMBER(AH148),ISNUMBER(AC148)),IFERROR(AH148/AC148-1,""),"")</f>
        <v>0.272727272727273</v>
      </c>
      <c r="AI149" s="215">
        <f>IF(AND(ISNUMBER(AI148),ISNUMBER(AD148)),IFERROR(AI148/AD148-1,""),"")</f>
        <v>0.272727272727273</v>
      </c>
      <c r="AJ149" s="215">
        <f>IF(AND(ISNUMBER(AJ148),ISNUMBER(AE148)),IFERROR(AJ148/AE148-1,""),"")</f>
        <v>0.272727272727273</v>
      </c>
      <c r="AK149" s="215">
        <f>IF(AND(ISNUMBER(AK148),ISNUMBER(AF148)),IFERROR(AK148/AF148-1,""),"")</f>
        <v>0.25</v>
      </c>
      <c r="AL149" s="215">
        <f>IF(AND(ISNUMBER(AL148),ISNUMBER(AG148)),IFERROR(AL148/AG148-1,""),"")</f>
        <v>0.282051282051282</v>
      </c>
      <c r="AM149" s="215">
        <f>IF(AND(ISNUMBER(AM148),ISNUMBER(AH148)),IFERROR(AM148/AH148-1,""),"")</f>
        <v>0.19047619047619</v>
      </c>
      <c r="AN149" s="215">
        <f>IF(AND(ISNUMBER(AN148),ISNUMBER(AI148)),IFERROR(AN148/AI148-1,""),"")</f>
        <v>0.19047619047619</v>
      </c>
      <c r="AO149" s="215">
        <f>IF(AND(ISNUMBER(AO148),ISNUMBER(AJ148)),IFERROR(AO148/AJ148-1,""),"")</f>
        <v>0.19047619047619</v>
      </c>
      <c r="AP149" s="215">
        <f>IF(AND(ISNUMBER(AP148),ISNUMBER(AK148)),IFERROR(AP148/AK148-1,""),"")</f>
        <v>0.212121212121212</v>
      </c>
      <c r="AQ149" s="215">
        <f>IF(AND(ISNUMBER(AQ148),ISNUMBER(AL148)),IFERROR(AQ148/AL148-1,""),"")</f>
        <v>0.2</v>
      </c>
      <c r="AR149" s="215">
        <f>IF(AND(ISNUMBER(AR148),ISNUMBER(AM148)),IFERROR(AR148/AM148-1,""),"")</f>
        <v>0.2</v>
      </c>
      <c r="AS149" s="215">
        <f>IF(AND(ISNUMBER(AS148),ISNUMBER(AN148)),IFERROR(AS148/AN148-1,""),"")</f>
        <v>0.2</v>
      </c>
      <c r="AT149" s="215">
        <f>IF(AND(ISNUMBER(AT148),ISNUMBER(AO148)),IFERROR(AT148/AO148-1,""),"")</f>
        <v>0.2</v>
      </c>
      <c r="AU149" s="215">
        <f>IF(AND(ISNUMBER(AU148),ISNUMBER(AP148)),IFERROR(AU148/AP148-1,""),"")</f>
        <v>0.2</v>
      </c>
      <c r="AV149" s="215">
        <f>IF(AND(ISNUMBER(AV148),ISNUMBER(AQ148)),IFERROR(AV148/AQ148-1,""),"")</f>
        <v>0.0666666666666667</v>
      </c>
      <c r="AW149" s="215">
        <f>IF(AND(ISNUMBER(AW148),ISNUMBER(AR148)),IFERROR(AW148/AR148-1,""),"")</f>
        <v>0.0666666666666667</v>
      </c>
      <c r="AX149" s="215">
        <f>IF(AND(ISNUMBER(AX148),ISNUMBER(AS148)),IFERROR(AX148/AS148-1,""),"")</f>
        <v>0.0666666666666667</v>
      </c>
      <c r="AY149" s="215">
        <f>IF(AND(ISNUMBER(AY148),ISNUMBER(AT148)),IFERROR(AY148/AT148-1,""),"")</f>
        <v>0.0666666666666667</v>
      </c>
      <c r="AZ149" s="215">
        <f>IF(AND(ISNUMBER(AZ148),ISNUMBER(AU148)),IFERROR(AZ148/AU148-1,""),"")</f>
        <v>0.0666666666666667</v>
      </c>
      <c r="BA149" s="215">
        <f>IF(AND(ISNUMBER(BA148),ISNUMBER(AV148)),IFERROR(BA148/AV148-1,""),"")</f>
        <v>0.171875</v>
      </c>
      <c r="BB149" s="215">
        <f>IF(AND(ISNUMBER(BB148),ISNUMBER(AW148)),IFERROR(BB148/AW148-1,""),"")</f>
        <v>0.171875</v>
      </c>
      <c r="BC149" s="215">
        <f>IF(AND(ISNUMBER(BC148),ISNUMBER(AX148)),IFERROR(BC148/AX148-1,""),"")</f>
        <v>0.171875</v>
      </c>
      <c r="BD149" s="215">
        <f>IF(AND(ISNUMBER(BD148),ISNUMBER(AY148)),IFERROR(BD148/AY148-1,""),"")</f>
        <v>0.171875</v>
      </c>
      <c r="BE149" s="215">
        <f>IF(AND(ISNUMBER(BE148),ISNUMBER(AZ148)),IFERROR(BE148/AZ148-1,""),"")</f>
        <v>0.171875</v>
      </c>
      <c r="BF149" s="215">
        <f>IF(AND(ISNUMBER(BF148),ISNUMBER(BA148)),IFERROR(BF148/BA148-1,""),"")</f>
        <v>0.2</v>
      </c>
      <c r="BG149" s="215">
        <f>IF(AND(ISNUMBER(BG148),ISNUMBER(BB148)),IFERROR(BG148/BB148-1,""),"")</f>
        <v>0.2</v>
      </c>
      <c r="BH149" s="215">
        <f>IF(AND(ISNUMBER(BH148),ISNUMBER(BC148)),IFERROR(BH148/BC148-1,""),"")</f>
        <v>0.2</v>
      </c>
      <c r="BI149" s="215">
        <f>IF(AND(ISNUMBER(BI148),ISNUMBER(BD148)),IFERROR(BI148/BD148-1,""),"")</f>
        <v>0.2</v>
      </c>
      <c r="BJ149" s="215">
        <f>IF(AND(ISNUMBER(BJ148),ISNUMBER(BE148)),IFERROR(BJ148/BE148-1,""),"")</f>
        <v>0.2</v>
      </c>
      <c r="BK149" s="215">
        <f>IF(AND(ISNUMBER(BK148),ISNUMBER(BF148)),IFERROR(BK148/BF148-1,""),"")</f>
        <v>0.155555555555556</v>
      </c>
      <c r="BL149" s="215">
        <f>IF(AND(ISNUMBER(BL148),ISNUMBER(BG148)),IFERROR(BL148/BG148-1,""),"")</f>
        <v>0.155555555555556</v>
      </c>
      <c r="BM149" s="215">
        <f>IF(AND(ISNUMBER(BM148),ISNUMBER(BH148)),IFERROR(BM148/BH148-1,""),"")</f>
        <v>0.155555555555556</v>
      </c>
      <c r="BN149" s="215">
        <f>IF(AND(ISNUMBER(BN148),ISNUMBER(BI148)),IFERROR(BN148/BI148-1,""),"")</f>
        <v>0.155555555555556</v>
      </c>
      <c r="BO149" s="215">
        <f>IF(AND(ISNUMBER(BO148),ISNUMBER(BJ148)),IFERROR(BO148/BJ148-1,""),"")</f>
        <v>0.155555555555556</v>
      </c>
      <c r="BP149" s="215">
        <f>IF(AND(ISNUMBER(BP148),ISNUMBER(BK148)),IFERROR(BP148/BK148-1,""),"")</f>
        <v>0.134615384615385</v>
      </c>
      <c r="BQ149" s="215">
        <f>IF(AND(ISNUMBER(BQ148),ISNUMBER(BL148)),IFERROR(BQ148/BL148-1,""),"")</f>
        <v>0.134615384615385</v>
      </c>
      <c r="BR149" s="215">
        <f>IF(AND(ISNUMBER(BR148),ISNUMBER(BM148)),IFERROR(BR148/BM148-1,""),"")</f>
        <v>0.134615384615385</v>
      </c>
      <c r="BS149" s="215">
        <f>IF(AND(ISNUMBER(BS148),ISNUMBER(BN148)),IFERROR(BS148/BN148-1,""),"")</f>
        <v>0.134615384615385</v>
      </c>
      <c r="BT149" s="215">
        <f>IF(AND(ISNUMBER(BT148),ISNUMBER(BO148)),IFERROR(BT148/BO148-1,""),"")</f>
        <v>0.134615384615385</v>
      </c>
      <c r="BU149" s="215">
        <f>IF(AND(ISNUMBER(BU148),ISNUMBER(BP148)),IFERROR(BU148/BP148-1,""),"")</f>
        <v>0.135593220338983</v>
      </c>
      <c r="BV149" s="215">
        <f>IF(AND(ISNUMBER(BV148),ISNUMBER(BQ148)),IFERROR(BV148/BQ148-1,""),"")</f>
        <v>0.135593220338983</v>
      </c>
      <c r="BW149" s="215">
        <f>IF(AND(ISNUMBER(BW148),ISNUMBER(BR148)),IFERROR(BW148/BR148-1,""),"")</f>
        <v>0.135593220338983</v>
      </c>
      <c r="BX149" s="256">
        <f>IF(AND(ISNUMBER(BX148),ISNUMBER(BS148)),IFERROR(BX148/BS148-1,""),"")</f>
        <v>0.135593220338983</v>
      </c>
      <c r="BY149" s="256">
        <f>IF(AND(ISNUMBER(BY148),ISNUMBER(BT148)),IFERROR(BY148/BT148-1,""),"")</f>
        <v>0.135593220338983</v>
      </c>
      <c r="BZ149" s="271" t="n">
        <v>0.12</v>
      </c>
      <c r="CA149" s="271" t="n">
        <v>0.12</v>
      </c>
      <c r="CB149" s="271" t="n">
        <v>0.12</v>
      </c>
      <c r="CC149" s="271" t="n">
        <v>0.12</v>
      </c>
      <c r="CD149" s="271" t="n">
        <v>0.12</v>
      </c>
      <c r="CE149" s="19" t="inlineStr">
        <is>
          <t>Input +12% a year (FY2021–26 dividend growth 7–20% a year; FY26 +13.6%).</t>
        </is>
      </c>
    </row>
    <row r="150" ht="15" customHeight="1" s="251">
      <c r="CM150" s="11" t="n"/>
      <c r="CN150" s="12" t="n"/>
      <c r="CO150" s="12" t="n"/>
      <c r="CP150" s="12" t="n"/>
      <c r="CQ150" s="13" t="n"/>
    </row>
    <row r="151" ht="15" customHeight="1" s="251">
      <c r="B151" s="10" t="inlineStr">
        <is>
          <t>RECONCILIATION: GAAP OPERATING INCOME → ADJUSTED OPERATING INCOME (company non-GAAP operating expenses)</t>
        </is>
      </c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inlineStr">
        <is>
          <t>NON-GAAP OPEX — per the release reconciliations ("GAAP / items / non-GAAP" tables); company item labels per period in the cell comments of the cost-driver rows</t>
        </is>
      </c>
    </row>
    <row r="152" ht="15" customHeight="1" s="251">
      <c r="B152" s="16" t="inlineStr">
        <is>
          <t>Operating income (GAAP)</t>
        </is>
      </c>
      <c r="C152" s="264">
        <f>C125</f>
        <v>1232</v>
      </c>
      <c r="D152" s="264">
        <f>D125</f>
        <v>3538</v>
      </c>
      <c r="E152" s="264">
        <f>E125</f>
        <v>4589</v>
      </c>
      <c r="F152" s="264">
        <f>F125</f>
        <v>5456</v>
      </c>
      <c r="G152" s="264">
        <f>G125</f>
        <v>2139</v>
      </c>
      <c r="H152" s="264">
        <f>H125</f>
        <v>1800</v>
      </c>
      <c r="I152" s="264">
        <f>I125</f>
        <v>1860</v>
      </c>
      <c r="J152" s="264">
        <f>J125</f>
        <v>1828</v>
      </c>
      <c r="K152" s="264">
        <f>K125</f>
        <v>1751</v>
      </c>
      <c r="L152" s="264">
        <f>L125</f>
        <v>7239</v>
      </c>
      <c r="M152" s="264">
        <f>M125</f>
        <v>2077</v>
      </c>
      <c r="N152" s="264">
        <f>N125</f>
        <v>2048</v>
      </c>
      <c r="O152" s="264">
        <f>O125</f>
        <v>2020</v>
      </c>
      <c r="P152" s="264">
        <f>P125</f>
        <v>1552</v>
      </c>
      <c r="Q152" s="264">
        <f>Q125</f>
        <v>7697</v>
      </c>
      <c r="R152" s="264">
        <f>R125</f>
        <v>2238</v>
      </c>
      <c r="S152" s="264">
        <f>S125</f>
        <v>2281</v>
      </c>
      <c r="T152" s="264">
        <f>T125</f>
        <v>2262</v>
      </c>
      <c r="U152" s="264">
        <f>U125</f>
        <v>2283</v>
      </c>
      <c r="V152" s="264">
        <f>V125</f>
        <v>9064</v>
      </c>
      <c r="W152" s="264">
        <f>W125</f>
        <v>2396</v>
      </c>
      <c r="X152" s="264">
        <f>X125</f>
        <v>2434</v>
      </c>
      <c r="Y152" s="264">
        <f>Y125</f>
        <v>428</v>
      </c>
      <c r="Z152" s="264">
        <f>Z125</f>
        <v>2625</v>
      </c>
      <c r="AA152" s="264">
        <f>AA125</f>
        <v>7883</v>
      </c>
      <c r="AB152" s="264">
        <f>AB125</f>
        <v>3100</v>
      </c>
      <c r="AC152" s="264">
        <f>AC125</f>
        <v>2808</v>
      </c>
      <c r="AD152" s="264">
        <f>AD125</f>
        <v>3024</v>
      </c>
      <c r="AE152" s="264">
        <f>AE125</f>
        <v>3212</v>
      </c>
      <c r="AF152" s="264">
        <f>AF125</f>
        <v>12144</v>
      </c>
      <c r="AG152" s="264">
        <f>AG125</f>
        <v>3327</v>
      </c>
      <c r="AH152" s="264">
        <f>AH125</f>
        <v>3336</v>
      </c>
      <c r="AI152" s="264">
        <f>AI125</f>
        <v>2885</v>
      </c>
      <c r="AJ152" s="264">
        <f>AJ125</f>
        <v>3406</v>
      </c>
      <c r="AK152" s="264">
        <f>AK125</f>
        <v>12954</v>
      </c>
      <c r="AL152" s="264">
        <f>AL125</f>
        <v>3717</v>
      </c>
      <c r="AM152" s="264">
        <f>AM125</f>
        <v>3641</v>
      </c>
      <c r="AN152" s="264">
        <f>AN125</f>
        <v>3908</v>
      </c>
      <c r="AO152" s="264">
        <f>AO125</f>
        <v>3735</v>
      </c>
      <c r="AP152" s="264">
        <f>AP125</f>
        <v>15001</v>
      </c>
      <c r="AQ152" s="264">
        <f>AQ125</f>
        <v>4016</v>
      </c>
      <c r="AR152" s="264">
        <f>AR125</f>
        <v>3924</v>
      </c>
      <c r="AS152" s="264">
        <f>AS125</f>
        <v>2999</v>
      </c>
      <c r="AT152" s="264">
        <f>AT125</f>
        <v>3142</v>
      </c>
      <c r="AU152" s="264">
        <f>AU125</f>
        <v>14081</v>
      </c>
      <c r="AV152" s="264">
        <f>AV125</f>
        <v>3844</v>
      </c>
      <c r="AW152" s="264">
        <f>AW125</f>
        <v>3581</v>
      </c>
      <c r="AX152" s="264">
        <f>AX125</f>
        <v>4064</v>
      </c>
      <c r="AY152" s="264">
        <f>AY125</f>
        <v>4315</v>
      </c>
      <c r="AZ152" s="264">
        <f>AZ125</f>
        <v>15804</v>
      </c>
      <c r="BA152" s="264">
        <f>BA125</f>
        <v>4776</v>
      </c>
      <c r="BB152" s="264">
        <f>BB125</f>
        <v>4802</v>
      </c>
      <c r="BC152" s="264">
        <f>BC125</f>
        <v>4148</v>
      </c>
      <c r="BD152" s="264">
        <f>BD125</f>
        <v>5087</v>
      </c>
      <c r="BE152" s="264">
        <f>BE125</f>
        <v>18813</v>
      </c>
      <c r="BF152" s="264">
        <f>BF125</f>
        <v>5090</v>
      </c>
      <c r="BG152" s="264">
        <f>BG125</f>
        <v>5336</v>
      </c>
      <c r="BH152" s="264">
        <f>BH125</f>
        <v>5024</v>
      </c>
      <c r="BI152" s="264">
        <f>BI125</f>
        <v>5550</v>
      </c>
      <c r="BJ152" s="264">
        <f>BJ125</f>
        <v>21000</v>
      </c>
      <c r="BK152" s="264">
        <f>BK125</f>
        <v>5954</v>
      </c>
      <c r="BL152" s="264">
        <f>BL125</f>
        <v>5354</v>
      </c>
      <c r="BM152" s="264">
        <f>BM125</f>
        <v>5938</v>
      </c>
      <c r="BN152" s="264">
        <f>BN125</f>
        <v>6349</v>
      </c>
      <c r="BO152" s="264">
        <f>BO125</f>
        <v>23595</v>
      </c>
      <c r="BP152" s="264">
        <f>BP125</f>
        <v>6234</v>
      </c>
      <c r="BQ152" s="264">
        <f>BQ125</f>
        <v>5435</v>
      </c>
      <c r="BR152" s="264">
        <f>BR125</f>
        <v>6177</v>
      </c>
      <c r="BS152" s="264">
        <f>BS125</f>
        <v>6148</v>
      </c>
      <c r="BT152" s="264">
        <f>BT125</f>
        <v>23994</v>
      </c>
      <c r="BU152" s="264">
        <f>BU125</f>
        <v>6737</v>
      </c>
      <c r="BV152" s="264">
        <f>BV125</f>
        <v>7234</v>
      </c>
      <c r="BW152" s="264">
        <f>BW125</f>
        <v>6877</v>
      </c>
      <c r="BX152" s="265">
        <f>BX125</f>
        <v>7907.0883890317</v>
      </c>
      <c r="BY152" s="265">
        <f>BY125</f>
        <v>28755.0883890317</v>
      </c>
      <c r="BZ152" s="265">
        <f>BZ125</f>
        <v>33890.7017900704</v>
      </c>
      <c r="CA152" s="265">
        <f>CA125</f>
        <v>37732.6512422858</v>
      </c>
      <c r="CB152" s="265">
        <f>CB125</f>
        <v>41783.0813948218</v>
      </c>
      <c r="CC152" s="265">
        <f>CC125</f>
        <v>45757.7487298866</v>
      </c>
      <c r="CD152" s="265">
        <f>CD125</f>
        <v>50098.4841412385</v>
      </c>
      <c r="CE152" s="153" t="n"/>
    </row>
    <row r="153" ht="15" customHeight="1" s="251">
      <c r="B153" s="25" t="inlineStr">
        <is>
          <t xml:space="preserve">  (+) Litigation provision</t>
        </is>
      </c>
      <c r="C153" s="211">
        <f>C99</f>
        <v>1457</v>
      </c>
      <c r="D153" s="211">
        <f>D99</f>
        <v>0</v>
      </c>
      <c r="E153" s="211">
        <f>E99</f>
        <v>0</v>
      </c>
      <c r="F153" s="211">
        <f>F99</f>
        <v>0</v>
      </c>
      <c r="G153" s="211">
        <f>G99</f>
        <v>4098</v>
      </c>
      <c r="H153" s="211">
        <f>H99</f>
        <v>0</v>
      </c>
      <c r="I153" s="211">
        <f>I99</f>
        <v>0</v>
      </c>
      <c r="J153" s="211">
        <f>J99</f>
        <v>0</v>
      </c>
      <c r="K153" s="211">
        <f>K99</f>
        <v>0</v>
      </c>
      <c r="L153" s="211">
        <f>L99</f>
        <v>0</v>
      </c>
      <c r="M153" s="211">
        <f>M99</f>
        <v>0</v>
      </c>
      <c r="N153" s="211">
        <f>N99</f>
        <v>0</v>
      </c>
      <c r="O153" s="211">
        <f>O99</f>
        <v>0</v>
      </c>
      <c r="P153" s="211">
        <f>P99</f>
        <v>450</v>
      </c>
      <c r="Q153" s="211">
        <f>Q99</f>
        <v>450</v>
      </c>
      <c r="R153" s="211">
        <f>R99</f>
        <v>0</v>
      </c>
      <c r="S153" s="211">
        <f>S99</f>
        <v>0</v>
      </c>
      <c r="T153" s="211">
        <f>T99</f>
        <v>0</v>
      </c>
      <c r="U153" s="211">
        <f>U99</f>
        <v>0</v>
      </c>
      <c r="V153" s="211">
        <f>V99</f>
        <v>0</v>
      </c>
      <c r="W153" s="211">
        <f>W99</f>
        <v>0</v>
      </c>
      <c r="X153" s="211">
        <f>X99</f>
        <v>0</v>
      </c>
      <c r="Y153" s="211">
        <f>Y99</f>
        <v>0</v>
      </c>
      <c r="Z153" s="211">
        <f>Z99</f>
        <v>0</v>
      </c>
      <c r="AA153" s="211">
        <f>AA99</f>
        <v>0</v>
      </c>
      <c r="AB153" s="211">
        <f>AB99</f>
        <v>0</v>
      </c>
      <c r="AC153" s="211">
        <f>AC99</f>
        <v>0</v>
      </c>
      <c r="AD153" s="211">
        <f>AD99</f>
        <v>0</v>
      </c>
      <c r="AE153" s="211">
        <f>AE99</f>
        <v>0</v>
      </c>
      <c r="AF153" s="211">
        <f>AF99</f>
        <v>0</v>
      </c>
      <c r="AG153" s="211">
        <f>AG99</f>
        <v>0</v>
      </c>
      <c r="AH153" s="211">
        <f>AH99</f>
        <v>0</v>
      </c>
      <c r="AI153" s="211">
        <f>AI99</f>
        <v>600</v>
      </c>
      <c r="AJ153" s="211">
        <f>AJ99</f>
        <v>0</v>
      </c>
      <c r="AK153" s="211">
        <f>AK99</f>
        <v>600</v>
      </c>
      <c r="AL153" s="211">
        <f>AL99</f>
        <v>0</v>
      </c>
      <c r="AM153" s="211">
        <f>AM99</f>
        <v>0</v>
      </c>
      <c r="AN153" s="211">
        <f>AN99</f>
        <v>0</v>
      </c>
      <c r="AO153" s="211">
        <f>AO99</f>
        <v>370</v>
      </c>
      <c r="AP153" s="211">
        <f>AP99</f>
        <v>370</v>
      </c>
      <c r="AQ153" s="211">
        <f>AQ99</f>
        <v>0</v>
      </c>
      <c r="AR153" s="211">
        <f>AR99</f>
        <v>0</v>
      </c>
      <c r="AS153" s="211">
        <f>AS99</f>
        <v>0</v>
      </c>
      <c r="AT153" s="211">
        <f>AT99</f>
        <v>0</v>
      </c>
      <c r="AU153" s="211">
        <f>AU99</f>
        <v>0</v>
      </c>
      <c r="AV153" s="211">
        <f>AV99</f>
        <v>0</v>
      </c>
      <c r="AW153" s="211">
        <f>AW99</f>
        <v>0</v>
      </c>
      <c r="AX153" s="211">
        <f>AX99</f>
        <v>0</v>
      </c>
      <c r="AY153" s="211">
        <f>AY99</f>
        <v>0</v>
      </c>
      <c r="AZ153" s="211">
        <f>AZ99</f>
        <v>0</v>
      </c>
      <c r="BA153" s="211">
        <f>BA99</f>
        <v>145</v>
      </c>
      <c r="BB153" s="211">
        <f>BB99</f>
        <v>0</v>
      </c>
      <c r="BC153" s="211">
        <f>BC99</f>
        <v>716</v>
      </c>
      <c r="BD153" s="211">
        <f>BD99</f>
        <v>0</v>
      </c>
      <c r="BE153" s="211">
        <f>BE99</f>
        <v>861</v>
      </c>
      <c r="BF153" s="211">
        <f>BF99</f>
        <v>341</v>
      </c>
      <c r="BG153" s="211">
        <f>BG99</f>
        <v>0</v>
      </c>
      <c r="BH153" s="211">
        <f>BH99</f>
        <v>456</v>
      </c>
      <c r="BI153" s="211">
        <f>BI99</f>
        <v>109</v>
      </c>
      <c r="BJ153" s="211">
        <f>BJ99</f>
        <v>906</v>
      </c>
      <c r="BK153" s="211">
        <f>BK99</f>
        <v>0</v>
      </c>
      <c r="BL153" s="211">
        <f>BL99</f>
        <v>424</v>
      </c>
      <c r="BM153" s="211">
        <f>BM99</f>
        <v>10</v>
      </c>
      <c r="BN153" s="211">
        <f>BN99</f>
        <v>0</v>
      </c>
      <c r="BO153" s="211">
        <f>BO99</f>
        <v>434</v>
      </c>
      <c r="BP153" s="211">
        <f>BP99</f>
        <v>27</v>
      </c>
      <c r="BQ153" s="211">
        <f>BQ99</f>
        <v>992</v>
      </c>
      <c r="BR153" s="211">
        <f>BR99</f>
        <v>615</v>
      </c>
      <c r="BS153" s="211">
        <f>BS99</f>
        <v>899</v>
      </c>
      <c r="BT153" s="211">
        <f>BT99</f>
        <v>2533</v>
      </c>
      <c r="BU153" s="211">
        <f>BU99</f>
        <v>707</v>
      </c>
      <c r="BV153" s="211">
        <f>BV99</f>
        <v>311</v>
      </c>
      <c r="BW153" s="211">
        <f>BW99</f>
        <v>237</v>
      </c>
      <c r="BX153" s="254">
        <f>BX99</f>
        <v>0</v>
      </c>
      <c r="BY153" s="254">
        <f>BY99</f>
        <v>1255</v>
      </c>
      <c r="BZ153" s="254">
        <f>BZ99</f>
        <v>0</v>
      </c>
      <c r="CA153" s="254">
        <f>CA99</f>
        <v>0</v>
      </c>
      <c r="CB153" s="254">
        <f>CB99</f>
        <v>0</v>
      </c>
      <c r="CC153" s="254">
        <f>CC99</f>
        <v>0</v>
      </c>
      <c r="CD153" s="254">
        <f>CD99</f>
        <v>0</v>
      </c>
      <c r="CE153" s="19" t="n"/>
    </row>
    <row r="154" ht="15" customHeight="1" s="251">
      <c r="B154" s="25" t="inlineStr">
        <is>
          <t xml:space="preserve">  (+) Amortization of acquired intangible assets</t>
        </is>
      </c>
      <c r="C154" s="211">
        <f>C100</f>
        <v>68</v>
      </c>
      <c r="D154" s="211">
        <f>D100</f>
        <v>68</v>
      </c>
      <c r="E154" s="211">
        <f>E100</f>
        <v>0</v>
      </c>
      <c r="F154" s="211">
        <f>F100</f>
        <v>0</v>
      </c>
      <c r="G154" s="211">
        <f>G100</f>
        <v>0</v>
      </c>
      <c r="H154" s="211">
        <f>H100</f>
        <v>0</v>
      </c>
      <c r="I154" s="211">
        <f>I100</f>
        <v>0</v>
      </c>
      <c r="J154" s="211">
        <f>J100</f>
        <v>0</v>
      </c>
      <c r="K154" s="211">
        <f>K100</f>
        <v>0</v>
      </c>
      <c r="L154" s="211">
        <f>L100</f>
        <v>0</v>
      </c>
      <c r="M154" s="211">
        <f>M100</f>
        <v>0</v>
      </c>
      <c r="N154" s="211">
        <f>N100</f>
        <v>0</v>
      </c>
      <c r="O154" s="211">
        <f>O100</f>
        <v>0</v>
      </c>
      <c r="P154" s="211">
        <f>P100</f>
        <v>0</v>
      </c>
      <c r="Q154" s="211">
        <f>Q100</f>
        <v>0</v>
      </c>
      <c r="R154" s="211">
        <f>R100</f>
        <v>0</v>
      </c>
      <c r="S154" s="211">
        <f>S100</f>
        <v>0</v>
      </c>
      <c r="T154" s="211">
        <f>T100</f>
        <v>0</v>
      </c>
      <c r="U154" s="211">
        <f>U100</f>
        <v>0</v>
      </c>
      <c r="V154" s="211">
        <f>V100</f>
        <v>0</v>
      </c>
      <c r="W154" s="211">
        <f>W100</f>
        <v>0</v>
      </c>
      <c r="X154" s="211">
        <f>X100</f>
        <v>0</v>
      </c>
      <c r="Y154" s="211">
        <f>Y100</f>
        <v>0</v>
      </c>
      <c r="Z154" s="211">
        <f>Z100</f>
        <v>0</v>
      </c>
      <c r="AA154" s="211">
        <f>AA100</f>
        <v>0</v>
      </c>
      <c r="AB154" s="211">
        <f>AB100</f>
        <v>0</v>
      </c>
      <c r="AC154" s="211">
        <f>AC100</f>
        <v>0</v>
      </c>
      <c r="AD154" s="211">
        <f>AD100</f>
        <v>0</v>
      </c>
      <c r="AE154" s="211">
        <f>AE100</f>
        <v>0</v>
      </c>
      <c r="AF154" s="211">
        <f>AF100</f>
        <v>0</v>
      </c>
      <c r="AG154" s="211">
        <f>AG100</f>
        <v>0</v>
      </c>
      <c r="AH154" s="211">
        <f>AH100</f>
        <v>0</v>
      </c>
      <c r="AI154" s="211">
        <f>AI100</f>
        <v>0</v>
      </c>
      <c r="AJ154" s="211">
        <f>AJ100</f>
        <v>0</v>
      </c>
      <c r="AK154" s="211">
        <f>AK100</f>
        <v>0</v>
      </c>
      <c r="AL154" s="211">
        <f>AL100</f>
        <v>0</v>
      </c>
      <c r="AM154" s="211">
        <f>AM100</f>
        <v>0</v>
      </c>
      <c r="AN154" s="211">
        <f>AN100</f>
        <v>0</v>
      </c>
      <c r="AO154" s="211">
        <f>AO100</f>
        <v>0</v>
      </c>
      <c r="AP154" s="211">
        <f>AP100</f>
        <v>0</v>
      </c>
      <c r="AQ154" s="211">
        <f>AQ100</f>
        <v>11</v>
      </c>
      <c r="AR154" s="211">
        <f>AR100</f>
        <v>11</v>
      </c>
      <c r="AS154" s="211">
        <f>AS100</f>
        <v>13</v>
      </c>
      <c r="AT154" s="211">
        <f>AT100</f>
        <v>11</v>
      </c>
      <c r="AU154" s="211">
        <f>AU100</f>
        <v>46</v>
      </c>
      <c r="AV154" s="211">
        <f>AV100</f>
        <v>12</v>
      </c>
      <c r="AW154" s="211">
        <f>AW100</f>
        <v>13</v>
      </c>
      <c r="AX154" s="211">
        <f>AX100</f>
        <v>13</v>
      </c>
      <c r="AY154" s="211">
        <f>AY100</f>
        <v>13</v>
      </c>
      <c r="AZ154" s="211">
        <f>AZ100</f>
        <v>51</v>
      </c>
      <c r="BA154" s="211">
        <f>BA100</f>
        <v>13</v>
      </c>
      <c r="BB154" s="211">
        <f>BB100</f>
        <v>20</v>
      </c>
      <c r="BC154" s="211">
        <f>BC100</f>
        <v>44</v>
      </c>
      <c r="BD154" s="211">
        <f>BD100</f>
        <v>43</v>
      </c>
      <c r="BE154" s="211">
        <f>BE100</f>
        <v>120</v>
      </c>
      <c r="BF154" s="211">
        <f>BF100</f>
        <v>43</v>
      </c>
      <c r="BG154" s="211">
        <f>BG100</f>
        <v>46</v>
      </c>
      <c r="BH154" s="211">
        <f>BH100</f>
        <v>41</v>
      </c>
      <c r="BI154" s="211">
        <f>BI100</f>
        <v>46</v>
      </c>
      <c r="BJ154" s="211">
        <f>BJ100</f>
        <v>176</v>
      </c>
      <c r="BK154" s="211">
        <f>BK100</f>
        <v>40</v>
      </c>
      <c r="BL154" s="211">
        <f>BL100</f>
        <v>43</v>
      </c>
      <c r="BM154" s="211">
        <f>BM100</f>
        <v>48</v>
      </c>
      <c r="BN154" s="211">
        <f>BN100</f>
        <v>47</v>
      </c>
      <c r="BO154" s="211">
        <f>BO100</f>
        <v>178</v>
      </c>
      <c r="BP154" s="211">
        <f>BP100</f>
        <v>46</v>
      </c>
      <c r="BQ154" s="211">
        <f>BQ100</f>
        <v>64</v>
      </c>
      <c r="BR154" s="211">
        <f>BR100</f>
        <v>54</v>
      </c>
      <c r="BS154" s="211">
        <f>BS100</f>
        <v>54</v>
      </c>
      <c r="BT154" s="211">
        <f>BT100</f>
        <v>218</v>
      </c>
      <c r="BU154" s="211">
        <f>BU100</f>
        <v>54</v>
      </c>
      <c r="BV154" s="211">
        <f>BV100</f>
        <v>50</v>
      </c>
      <c r="BW154" s="211">
        <f>BW100</f>
        <v>64</v>
      </c>
      <c r="BX154" s="254">
        <f>BX100</f>
        <v>64</v>
      </c>
      <c r="BY154" s="254">
        <f>BY100</f>
        <v>232</v>
      </c>
      <c r="BZ154" s="254">
        <f>BZ100</f>
        <v>247.857142857143</v>
      </c>
      <c r="CA154" s="254">
        <f>CA100</f>
        <v>243.571428571429</v>
      </c>
      <c r="CB154" s="254">
        <f>CB100</f>
        <v>239.285714285714</v>
      </c>
      <c r="CC154" s="254">
        <f>CC100</f>
        <v>235</v>
      </c>
      <c r="CD154" s="254">
        <f>CD100</f>
        <v>240.714285714286</v>
      </c>
      <c r="CE154" s="19" t="n"/>
    </row>
    <row r="155" ht="15" customHeight="1" s="251">
      <c r="B155" s="25" t="inlineStr">
        <is>
          <t xml:space="preserve">  (+) Acquisition-related costs</t>
        </is>
      </c>
      <c r="C155" s="211">
        <f>C102</f>
        <v>0</v>
      </c>
      <c r="D155" s="211">
        <f>D102</f>
        <v>0</v>
      </c>
      <c r="E155" s="211">
        <f>E102</f>
        <v>0</v>
      </c>
      <c r="F155" s="211">
        <f>F102</f>
        <v>0</v>
      </c>
      <c r="G155" s="211">
        <f>G102</f>
        <v>0</v>
      </c>
      <c r="H155" s="211">
        <f>H102</f>
        <v>0</v>
      </c>
      <c r="I155" s="211">
        <f>I102</f>
        <v>0</v>
      </c>
      <c r="J155" s="211">
        <f>J102</f>
        <v>0</v>
      </c>
      <c r="K155" s="211">
        <f>K102</f>
        <v>0</v>
      </c>
      <c r="L155" s="211">
        <f>L102</f>
        <v>0</v>
      </c>
      <c r="M155" s="211">
        <f>M102</f>
        <v>0</v>
      </c>
      <c r="N155" s="211">
        <f>N102</f>
        <v>0</v>
      </c>
      <c r="O155" s="211">
        <f>O102</f>
        <v>0</v>
      </c>
      <c r="P155" s="211">
        <f>P102</f>
        <v>0</v>
      </c>
      <c r="Q155" s="211">
        <f>Q102</f>
        <v>0</v>
      </c>
      <c r="R155" s="211">
        <f>R102</f>
        <v>0</v>
      </c>
      <c r="S155" s="211">
        <f>S102</f>
        <v>0</v>
      </c>
      <c r="T155" s="211">
        <f>T102</f>
        <v>0</v>
      </c>
      <c r="U155" s="211">
        <f>U102</f>
        <v>0</v>
      </c>
      <c r="V155" s="211">
        <f>V102</f>
        <v>0</v>
      </c>
      <c r="W155" s="211">
        <f>W102</f>
        <v>0</v>
      </c>
      <c r="X155" s="211">
        <f>X102</f>
        <v>0</v>
      </c>
      <c r="Y155" s="211">
        <f>Y102</f>
        <v>152</v>
      </c>
      <c r="Z155" s="211">
        <f>Z102</f>
        <v>0</v>
      </c>
      <c r="AA155" s="211">
        <f>AA102</f>
        <v>152</v>
      </c>
      <c r="AB155" s="211">
        <f>AB102</f>
        <v>0</v>
      </c>
      <c r="AC155" s="211">
        <f>AC102</f>
        <v>0</v>
      </c>
      <c r="AD155" s="211">
        <f>AD102</f>
        <v>0</v>
      </c>
      <c r="AE155" s="211">
        <f>AE102</f>
        <v>0</v>
      </c>
      <c r="AF155" s="211">
        <f>AF102</f>
        <v>0</v>
      </c>
      <c r="AG155" s="211">
        <f>AG102</f>
        <v>0</v>
      </c>
      <c r="AH155" s="211">
        <f>AH102</f>
        <v>0</v>
      </c>
      <c r="AI155" s="211">
        <f>AI102</f>
        <v>0</v>
      </c>
      <c r="AJ155" s="211">
        <f>AJ102</f>
        <v>0</v>
      </c>
      <c r="AK155" s="211">
        <f>AK102</f>
        <v>0</v>
      </c>
      <c r="AL155" s="211">
        <f>AL102</f>
        <v>0</v>
      </c>
      <c r="AM155" s="211">
        <f>AM102</f>
        <v>0</v>
      </c>
      <c r="AN155" s="211">
        <f>AN102</f>
        <v>0</v>
      </c>
      <c r="AO155" s="211">
        <f>AO102</f>
        <v>0</v>
      </c>
      <c r="AP155" s="211">
        <f>AP102</f>
        <v>0</v>
      </c>
      <c r="AQ155" s="211">
        <f>AQ102</f>
        <v>2</v>
      </c>
      <c r="AR155" s="211">
        <f>AR102</f>
        <v>5</v>
      </c>
      <c r="AS155" s="211">
        <f>AS102</f>
        <v>4</v>
      </c>
      <c r="AT155" s="211">
        <f>AT102</f>
        <v>6</v>
      </c>
      <c r="AU155" s="211">
        <f>AU102</f>
        <v>17</v>
      </c>
      <c r="AV155" s="211">
        <f>AV102</f>
        <v>3</v>
      </c>
      <c r="AW155" s="211">
        <f>AW102</f>
        <v>5</v>
      </c>
      <c r="AX155" s="211">
        <f>AX102</f>
        <v>5</v>
      </c>
      <c r="AY155" s="211">
        <f>AY102</f>
        <v>8</v>
      </c>
      <c r="AZ155" s="211">
        <f>AZ102</f>
        <v>21</v>
      </c>
      <c r="BA155" s="211">
        <f>BA102</f>
        <v>10</v>
      </c>
      <c r="BB155" s="211">
        <f>BB102</f>
        <v>20</v>
      </c>
      <c r="BC155" s="211">
        <f>BC102</f>
        <v>14</v>
      </c>
      <c r="BD155" s="211">
        <f>BD102</f>
        <v>25</v>
      </c>
      <c r="BE155" s="211">
        <f>BE102</f>
        <v>69</v>
      </c>
      <c r="BF155" s="211">
        <f>BF102</f>
        <v>23</v>
      </c>
      <c r="BG155" s="211">
        <f>BG102</f>
        <v>22</v>
      </c>
      <c r="BH155" s="211">
        <f>BH102</f>
        <v>24</v>
      </c>
      <c r="BI155" s="211">
        <f>BI102</f>
        <v>21</v>
      </c>
      <c r="BJ155" s="211">
        <f>BJ102</f>
        <v>90</v>
      </c>
      <c r="BK155" s="211">
        <f>BK102</f>
        <v>21</v>
      </c>
      <c r="BL155" s="211">
        <f>BL102</f>
        <v>26</v>
      </c>
      <c r="BM155" s="211">
        <f>BM102</f>
        <v>28</v>
      </c>
      <c r="BN155" s="211">
        <f>BN102</f>
        <v>29</v>
      </c>
      <c r="BO155" s="211">
        <f>BO102</f>
        <v>104</v>
      </c>
      <c r="BP155" s="211">
        <f>BP102</f>
        <v>34</v>
      </c>
      <c r="BQ155" s="211">
        <f>BQ102</f>
        <v>32</v>
      </c>
      <c r="BR155" s="211">
        <f>BR102</f>
        <v>19</v>
      </c>
      <c r="BS155" s="211">
        <f>BS102</f>
        <v>12</v>
      </c>
      <c r="BT155" s="211">
        <f>BT102</f>
        <v>97</v>
      </c>
      <c r="BU155" s="211">
        <f>BU102</f>
        <v>12</v>
      </c>
      <c r="BV155" s="211">
        <f>BV102</f>
        <v>36</v>
      </c>
      <c r="BW155" s="211">
        <f>BW102</f>
        <v>14</v>
      </c>
      <c r="BX155" s="254">
        <f>BX102</f>
        <v>15</v>
      </c>
      <c r="BY155" s="254">
        <f>BY102</f>
        <v>77</v>
      </c>
      <c r="BZ155" s="254">
        <f>BZ102</f>
        <v>90</v>
      </c>
      <c r="CA155" s="254">
        <f>CA102</f>
        <v>90</v>
      </c>
      <c r="CB155" s="254">
        <f>CB102</f>
        <v>90</v>
      </c>
      <c r="CC155" s="254">
        <f>CC102</f>
        <v>90</v>
      </c>
      <c r="CD155" s="254">
        <f>CD102</f>
        <v>90</v>
      </c>
      <c r="CE155" s="19" t="n"/>
    </row>
    <row r="156" collapsed="1" ht="15" customHeight="1" s="251">
      <c r="B156" s="25" t="inlineStr">
        <is>
          <t xml:space="preserve">  (+) Severance, restructuring &amp; lease consolidation</t>
        </is>
      </c>
      <c r="C156" s="211">
        <f>C104</f>
        <v>140</v>
      </c>
      <c r="D156" s="211">
        <f>D104</f>
        <v>67</v>
      </c>
      <c r="E156" s="211">
        <f>E104</f>
        <v>0</v>
      </c>
      <c r="F156" s="211">
        <f>F104</f>
        <v>0</v>
      </c>
      <c r="G156" s="211">
        <f>G104</f>
        <v>0</v>
      </c>
      <c r="H156" s="211">
        <f>H104</f>
        <v>0</v>
      </c>
      <c r="I156" s="211">
        <f>I104</f>
        <v>0</v>
      </c>
      <c r="J156" s="211">
        <f>J104</f>
        <v>0</v>
      </c>
      <c r="K156" s="211">
        <f>K104</f>
        <v>0</v>
      </c>
      <c r="L156" s="211">
        <f>L104</f>
        <v>0</v>
      </c>
      <c r="M156" s="211">
        <f>M104</f>
        <v>0</v>
      </c>
      <c r="N156" s="211">
        <f>N104</f>
        <v>0</v>
      </c>
      <c r="O156" s="211">
        <f>O104</f>
        <v>0</v>
      </c>
      <c r="P156" s="211">
        <f>P104</f>
        <v>0</v>
      </c>
      <c r="Q156" s="211">
        <f>Q104</f>
        <v>0</v>
      </c>
      <c r="R156" s="211">
        <f>R104</f>
        <v>0</v>
      </c>
      <c r="S156" s="211">
        <f>S104</f>
        <v>0</v>
      </c>
      <c r="T156" s="211">
        <f>T104</f>
        <v>0</v>
      </c>
      <c r="U156" s="211">
        <f>U104</f>
        <v>0</v>
      </c>
      <c r="V156" s="211">
        <f>V104</f>
        <v>0</v>
      </c>
      <c r="W156" s="211">
        <f>W104</f>
        <v>0</v>
      </c>
      <c r="X156" s="211">
        <f>X104</f>
        <v>0</v>
      </c>
      <c r="Y156" s="211">
        <f>Y104</f>
        <v>0</v>
      </c>
      <c r="Z156" s="211">
        <f>Z104</f>
        <v>110</v>
      </c>
      <c r="AA156" s="211">
        <f>AA104</f>
        <v>110</v>
      </c>
      <c r="AB156" s="211">
        <f>AB104</f>
        <v>0</v>
      </c>
      <c r="AC156" s="211">
        <f>AC104</f>
        <v>0</v>
      </c>
      <c r="AD156" s="211">
        <f>AD104</f>
        <v>0</v>
      </c>
      <c r="AE156" s="211">
        <f>AE104</f>
        <v>0</v>
      </c>
      <c r="AF156" s="211">
        <f>AF104</f>
        <v>0</v>
      </c>
      <c r="AG156" s="211">
        <f>AG104</f>
        <v>0</v>
      </c>
      <c r="AH156" s="211">
        <f>AH104</f>
        <v>0</v>
      </c>
      <c r="AI156" s="211">
        <f>AI104</f>
        <v>0</v>
      </c>
      <c r="AJ156" s="211">
        <f>AJ104</f>
        <v>0</v>
      </c>
      <c r="AK156" s="211">
        <f>AK104</f>
        <v>0</v>
      </c>
      <c r="AL156" s="211">
        <f>AL104</f>
        <v>0</v>
      </c>
      <c r="AM156" s="211">
        <f>AM104</f>
        <v>0</v>
      </c>
      <c r="AN156" s="211">
        <f>AN104</f>
        <v>0</v>
      </c>
      <c r="AO156" s="211">
        <f>AO104</f>
        <v>0</v>
      </c>
      <c r="AP156" s="211">
        <f>AP104</f>
        <v>0</v>
      </c>
      <c r="AQ156" s="211">
        <f>AQ104</f>
        <v>0</v>
      </c>
      <c r="AR156" s="211">
        <f>AR104</f>
        <v>0</v>
      </c>
      <c r="AS156" s="211">
        <f>AS104</f>
        <v>0</v>
      </c>
      <c r="AT156" s="211">
        <f>AT104</f>
        <v>0</v>
      </c>
      <c r="AU156" s="211">
        <f>AU104</f>
        <v>0</v>
      </c>
      <c r="AV156" s="211">
        <f>AV104</f>
        <v>0</v>
      </c>
      <c r="AW156" s="211">
        <f>AW104</f>
        <v>0</v>
      </c>
      <c r="AX156" s="211">
        <f>AX104</f>
        <v>0</v>
      </c>
      <c r="AY156" s="211">
        <f>AY104</f>
        <v>0</v>
      </c>
      <c r="AZ156" s="211">
        <f>AZ104</f>
        <v>0</v>
      </c>
      <c r="BA156" s="211">
        <f>BA104</f>
        <v>0</v>
      </c>
      <c r="BB156" s="211">
        <f>BB104</f>
        <v>0</v>
      </c>
      <c r="BC156" s="211">
        <f>BC104</f>
        <v>0</v>
      </c>
      <c r="BD156" s="211">
        <f>BD104</f>
        <v>0</v>
      </c>
      <c r="BE156" s="211">
        <f>BE104</f>
        <v>0</v>
      </c>
      <c r="BF156" s="211">
        <f>BF104</f>
        <v>0</v>
      </c>
      <c r="BG156" s="211">
        <f>BG104</f>
        <v>0</v>
      </c>
      <c r="BH156" s="211">
        <f>BH104</f>
        <v>0</v>
      </c>
      <c r="BI156" s="211">
        <f>BI104</f>
        <v>0</v>
      </c>
      <c r="BJ156" s="211">
        <f>BJ104</f>
        <v>0</v>
      </c>
      <c r="BK156" s="211">
        <f>BK104</f>
        <v>0</v>
      </c>
      <c r="BL156" s="211">
        <f>BL104</f>
        <v>57</v>
      </c>
      <c r="BM156" s="211">
        <f>BM104</f>
        <v>0</v>
      </c>
      <c r="BN156" s="211">
        <f>BN104</f>
        <v>0</v>
      </c>
      <c r="BO156" s="211">
        <f>BO104</f>
        <v>57</v>
      </c>
      <c r="BP156" s="211">
        <f>BP104</f>
        <v>252</v>
      </c>
      <c r="BQ156" s="211">
        <f>BQ104</f>
        <v>0</v>
      </c>
      <c r="BR156" s="211">
        <f>BR104</f>
        <v>0</v>
      </c>
      <c r="BS156" s="211">
        <f>BS104</f>
        <v>0</v>
      </c>
      <c r="BT156" s="211">
        <f>BT104</f>
        <v>252</v>
      </c>
      <c r="BU156" s="211">
        <f>BU104</f>
        <v>0</v>
      </c>
      <c r="BV156" s="211">
        <f>BV104</f>
        <v>0</v>
      </c>
      <c r="BW156" s="211">
        <f>BW104</f>
        <v>563</v>
      </c>
      <c r="BX156" s="254">
        <f>BX104</f>
        <v>0</v>
      </c>
      <c r="BY156" s="254">
        <f>BY104</f>
        <v>563</v>
      </c>
      <c r="BZ156" s="254">
        <f>BZ104</f>
        <v>0</v>
      </c>
      <c r="CA156" s="254">
        <f>CA104</f>
        <v>0</v>
      </c>
      <c r="CB156" s="254">
        <f>CB104</f>
        <v>0</v>
      </c>
      <c r="CC156" s="254">
        <f>CC104</f>
        <v>0</v>
      </c>
      <c r="CD156" s="254">
        <f>CD104</f>
        <v>0</v>
      </c>
      <c r="CE156" s="19" t="n"/>
    </row>
    <row r="157" ht="15" customHeight="1" s="251">
      <c r="B157" s="25" t="inlineStr">
        <is>
          <t xml:space="preserve">  (+) Visa Europe items</t>
        </is>
      </c>
      <c r="C157" s="211">
        <f>C105</f>
        <v>0</v>
      </c>
      <c r="D157" s="211">
        <f>D105</f>
        <v>0</v>
      </c>
      <c r="E157" s="211">
        <f>E105</f>
        <v>0</v>
      </c>
      <c r="F157" s="211">
        <f>F105</f>
        <v>0</v>
      </c>
      <c r="G157" s="211">
        <f>G105</f>
        <v>0</v>
      </c>
      <c r="H157" s="211">
        <f>H105</f>
        <v>0</v>
      </c>
      <c r="I157" s="211">
        <f>I105</f>
        <v>0</v>
      </c>
      <c r="J157" s="211">
        <f>J105</f>
        <v>0</v>
      </c>
      <c r="K157" s="211">
        <f>K105</f>
        <v>0</v>
      </c>
      <c r="L157" s="211">
        <f>L105</f>
        <v>0</v>
      </c>
      <c r="M157" s="211">
        <f>M105</f>
        <v>0</v>
      </c>
      <c r="N157" s="211">
        <f>N105</f>
        <v>0</v>
      </c>
      <c r="O157" s="211">
        <f>O105</f>
        <v>0</v>
      </c>
      <c r="P157" s="211">
        <f>P105</f>
        <v>0</v>
      </c>
      <c r="Q157" s="211">
        <f>Q105</f>
        <v>0</v>
      </c>
      <c r="R157" s="211">
        <f>R105</f>
        <v>0</v>
      </c>
      <c r="S157" s="211">
        <f>S105</f>
        <v>0</v>
      </c>
      <c r="T157" s="211">
        <f>T105</f>
        <v>0</v>
      </c>
      <c r="U157" s="211">
        <f>U105</f>
        <v>0</v>
      </c>
      <c r="V157" s="211">
        <f>V105</f>
        <v>0</v>
      </c>
      <c r="W157" s="211">
        <f>W105</f>
        <v>0</v>
      </c>
      <c r="X157" s="211">
        <f>X105</f>
        <v>0</v>
      </c>
      <c r="Y157" s="211">
        <f>Y105</f>
        <v>1877</v>
      </c>
      <c r="Z157" s="211">
        <f>Z105</f>
        <v>0</v>
      </c>
      <c r="AA157" s="211">
        <f>AA105</f>
        <v>1877</v>
      </c>
      <c r="AB157" s="211">
        <f>AB105</f>
        <v>0</v>
      </c>
      <c r="AC157" s="211">
        <f>AC105</f>
        <v>0</v>
      </c>
      <c r="AD157" s="211">
        <f>AD105</f>
        <v>0</v>
      </c>
      <c r="AE157" s="211">
        <f>AE105</f>
        <v>0</v>
      </c>
      <c r="AF157" s="211">
        <f>AF105</f>
        <v>0</v>
      </c>
      <c r="AG157" s="211">
        <f>AG105</f>
        <v>0</v>
      </c>
      <c r="AH157" s="211">
        <f>AH105</f>
        <v>0</v>
      </c>
      <c r="AI157" s="211">
        <f>AI105</f>
        <v>0</v>
      </c>
      <c r="AJ157" s="211">
        <f>AJ105</f>
        <v>0</v>
      </c>
      <c r="AK157" s="211">
        <f>AK105</f>
        <v>0</v>
      </c>
      <c r="AL157" s="211">
        <f>AL105</f>
        <v>0</v>
      </c>
      <c r="AM157" s="211">
        <f>AM105</f>
        <v>0</v>
      </c>
      <c r="AN157" s="211">
        <f>AN105</f>
        <v>0</v>
      </c>
      <c r="AO157" s="211">
        <f>AO105</f>
        <v>0</v>
      </c>
      <c r="AP157" s="211">
        <f>AP105</f>
        <v>0</v>
      </c>
      <c r="AQ157" s="211">
        <f>AQ105</f>
        <v>0</v>
      </c>
      <c r="AR157" s="211">
        <f>AR105</f>
        <v>0</v>
      </c>
      <c r="AS157" s="211">
        <f>AS105</f>
        <v>0</v>
      </c>
      <c r="AT157" s="211">
        <f>AT105</f>
        <v>0</v>
      </c>
      <c r="AU157" s="211">
        <f>AU105</f>
        <v>0</v>
      </c>
      <c r="AV157" s="211">
        <f>AV105</f>
        <v>0</v>
      </c>
      <c r="AW157" s="211">
        <f>AW105</f>
        <v>0</v>
      </c>
      <c r="AX157" s="211">
        <f>AX105</f>
        <v>0</v>
      </c>
      <c r="AY157" s="211">
        <f>AY105</f>
        <v>0</v>
      </c>
      <c r="AZ157" s="211">
        <f>AZ105</f>
        <v>0</v>
      </c>
      <c r="BA157" s="211">
        <f>BA105</f>
        <v>0</v>
      </c>
      <c r="BB157" s="211">
        <f>BB105</f>
        <v>0</v>
      </c>
      <c r="BC157" s="211">
        <f>BC105</f>
        <v>0</v>
      </c>
      <c r="BD157" s="211">
        <f>BD105</f>
        <v>0</v>
      </c>
      <c r="BE157" s="211">
        <f>BE105</f>
        <v>0</v>
      </c>
      <c r="BF157" s="211">
        <f>BF105</f>
        <v>0</v>
      </c>
      <c r="BG157" s="211">
        <f>BG105</f>
        <v>0</v>
      </c>
      <c r="BH157" s="211">
        <f>BH105</f>
        <v>0</v>
      </c>
      <c r="BI157" s="211">
        <f>BI105</f>
        <v>0</v>
      </c>
      <c r="BJ157" s="211">
        <f>BJ105</f>
        <v>0</v>
      </c>
      <c r="BK157" s="211">
        <f>BK105</f>
        <v>0</v>
      </c>
      <c r="BL157" s="211">
        <f>BL105</f>
        <v>0</v>
      </c>
      <c r="BM157" s="211">
        <f>BM105</f>
        <v>0</v>
      </c>
      <c r="BN157" s="211">
        <f>BN105</f>
        <v>0</v>
      </c>
      <c r="BO157" s="211">
        <f>BO105</f>
        <v>0</v>
      </c>
      <c r="BP157" s="211">
        <f>BP105</f>
        <v>0</v>
      </c>
      <c r="BQ157" s="211">
        <f>BQ105</f>
        <v>0</v>
      </c>
      <c r="BR157" s="211">
        <f>BR105</f>
        <v>0</v>
      </c>
      <c r="BS157" s="211">
        <f>BS105</f>
        <v>0</v>
      </c>
      <c r="BT157" s="211">
        <f>BT105</f>
        <v>0</v>
      </c>
      <c r="BU157" s="211">
        <f>BU105</f>
        <v>0</v>
      </c>
      <c r="BV157" s="211">
        <f>BV105</f>
        <v>0</v>
      </c>
      <c r="BW157" s="211">
        <f>BW105</f>
        <v>0</v>
      </c>
      <c r="BX157" s="254">
        <f>BX105</f>
        <v>0</v>
      </c>
      <c r="BY157" s="254">
        <f>BY105</f>
        <v>0</v>
      </c>
      <c r="BZ157" s="254">
        <f>BZ105</f>
        <v>0</v>
      </c>
      <c r="CA157" s="254">
        <f>CA105</f>
        <v>0</v>
      </c>
      <c r="CB157" s="254">
        <f>CB105</f>
        <v>0</v>
      </c>
      <c r="CC157" s="254">
        <f>CC105</f>
        <v>0</v>
      </c>
      <c r="CD157" s="254">
        <f>CD105</f>
        <v>0</v>
      </c>
      <c r="CE157" s="19" t="n"/>
    </row>
    <row r="158" ht="15" customHeight="1" s="251">
      <c r="B158" s="25" t="inlineStr">
        <is>
          <t xml:space="preserve">  (+) Other items</t>
        </is>
      </c>
      <c r="C158" s="211">
        <f>C106</f>
        <v>0</v>
      </c>
      <c r="D158" s="211">
        <f>D106</f>
        <v>0</v>
      </c>
      <c r="E158" s="211">
        <f>E106</f>
        <v>0</v>
      </c>
      <c r="F158" s="211">
        <f>F106</f>
        <v>0</v>
      </c>
      <c r="G158" s="211">
        <f>G106</f>
        <v>0</v>
      </c>
      <c r="H158" s="211">
        <f>H106</f>
        <v>0</v>
      </c>
      <c r="I158" s="211">
        <f>I106</f>
        <v>0</v>
      </c>
      <c r="J158" s="211">
        <f>J106</f>
        <v>0</v>
      </c>
      <c r="K158" s="211">
        <f>K106</f>
        <v>0</v>
      </c>
      <c r="L158" s="211">
        <f>L106</f>
        <v>0</v>
      </c>
      <c r="M158" s="211">
        <f>M106</f>
        <v>0</v>
      </c>
      <c r="N158" s="211">
        <f>N106</f>
        <v>0</v>
      </c>
      <c r="O158" s="211">
        <f>O106</f>
        <v>0</v>
      </c>
      <c r="P158" s="211">
        <f>P106</f>
        <v>0</v>
      </c>
      <c r="Q158" s="211">
        <f>Q106</f>
        <v>0</v>
      </c>
      <c r="R158" s="211">
        <f>R106</f>
        <v>0</v>
      </c>
      <c r="S158" s="211">
        <f>S106</f>
        <v>0</v>
      </c>
      <c r="T158" s="211">
        <f>T106</f>
        <v>0</v>
      </c>
      <c r="U158" s="211">
        <f>U106</f>
        <v>0</v>
      </c>
      <c r="V158" s="211">
        <f>V106</f>
        <v>0</v>
      </c>
      <c r="W158" s="211">
        <f>W106</f>
        <v>0</v>
      </c>
      <c r="X158" s="211">
        <f>X106</f>
        <v>0</v>
      </c>
      <c r="Y158" s="211">
        <f>Y106</f>
        <v>0</v>
      </c>
      <c r="Z158" s="211">
        <f>Z106</f>
        <v>0</v>
      </c>
      <c r="AA158" s="211">
        <f>AA106</f>
        <v>0</v>
      </c>
      <c r="AB158" s="211">
        <f>AB106</f>
        <v>0</v>
      </c>
      <c r="AC158" s="211">
        <f>AC106</f>
        <v>192</v>
      </c>
      <c r="AD158" s="211">
        <f>AD106</f>
        <v>0</v>
      </c>
      <c r="AE158" s="211">
        <f>AE106</f>
        <v>0</v>
      </c>
      <c r="AF158" s="211">
        <f>AF106</f>
        <v>192</v>
      </c>
      <c r="AG158" s="211">
        <f>AG106</f>
        <v>0</v>
      </c>
      <c r="AH158" s="211">
        <f>AH106</f>
        <v>0</v>
      </c>
      <c r="AI158" s="211">
        <f>AI106</f>
        <v>0</v>
      </c>
      <c r="AJ158" s="211">
        <f>AJ106</f>
        <v>195</v>
      </c>
      <c r="AK158" s="211">
        <f>AK106</f>
        <v>195</v>
      </c>
      <c r="AL158" s="211">
        <f>AL106</f>
        <v>0</v>
      </c>
      <c r="AM158" s="211">
        <f>AM106</f>
        <v>0</v>
      </c>
      <c r="AN158" s="211">
        <f>AN106</f>
        <v>0</v>
      </c>
      <c r="AO158" s="211">
        <f>AO106</f>
        <v>0</v>
      </c>
      <c r="AP158" s="211">
        <f>AP106</f>
        <v>0</v>
      </c>
      <c r="AQ158" s="211">
        <f>AQ106</f>
        <v>0</v>
      </c>
      <c r="AR158" s="211">
        <f>AR106</f>
        <v>0</v>
      </c>
      <c r="AS158" s="211">
        <f>AS106</f>
        <v>0</v>
      </c>
      <c r="AT158" s="211">
        <f>AT106</f>
        <v>0</v>
      </c>
      <c r="AU158" s="211">
        <f>AU106</f>
        <v>0</v>
      </c>
      <c r="AV158" s="211">
        <f>AV106</f>
        <v>0</v>
      </c>
      <c r="AW158" s="211">
        <f>AW106</f>
        <v>152</v>
      </c>
      <c r="AX158" s="211">
        <f>AX106</f>
        <v>0</v>
      </c>
      <c r="AY158" s="211">
        <f>AY106</f>
        <v>0</v>
      </c>
      <c r="AZ158" s="211">
        <f>AZ106</f>
        <v>152</v>
      </c>
      <c r="BA158" s="211">
        <f>BA106</f>
        <v>0</v>
      </c>
      <c r="BB158" s="211">
        <f>BB106</f>
        <v>60</v>
      </c>
      <c r="BC158" s="211">
        <f>BC106</f>
        <v>0</v>
      </c>
      <c r="BD158" s="211">
        <f>BD106</f>
        <v>0</v>
      </c>
      <c r="BE158" s="211">
        <f>BE106</f>
        <v>60</v>
      </c>
      <c r="BF158" s="211">
        <f>BF106</f>
        <v>0</v>
      </c>
      <c r="BG158" s="211">
        <f>BG106</f>
        <v>0</v>
      </c>
      <c r="BH158" s="211">
        <f>BH106</f>
        <v>0</v>
      </c>
      <c r="BI158" s="211">
        <f>BI106</f>
        <v>0</v>
      </c>
      <c r="BJ158" s="211">
        <f>BJ106</f>
        <v>0</v>
      </c>
      <c r="BK158" s="211">
        <f>BK106</f>
        <v>0</v>
      </c>
      <c r="BL158" s="211">
        <f>BL106</f>
        <v>0</v>
      </c>
      <c r="BM158" s="211">
        <f>BM106</f>
        <v>-51</v>
      </c>
      <c r="BN158" s="211">
        <f>BN106</f>
        <v>0</v>
      </c>
      <c r="BO158" s="211">
        <f>BO106</f>
        <v>-51</v>
      </c>
      <c r="BP158" s="211">
        <f>BP106</f>
        <v>0</v>
      </c>
      <c r="BQ158" s="211">
        <f>BQ106</f>
        <v>0</v>
      </c>
      <c r="BR158" s="211">
        <f>BR106</f>
        <v>0</v>
      </c>
      <c r="BS158" s="211">
        <f>BS106</f>
        <v>0</v>
      </c>
      <c r="BT158" s="211">
        <f>BT106</f>
        <v>0</v>
      </c>
      <c r="BU158" s="211">
        <f>BU106</f>
        <v>0</v>
      </c>
      <c r="BV158" s="211">
        <f>BV106</f>
        <v>0</v>
      </c>
      <c r="BW158" s="211">
        <f>BW106</f>
        <v>0</v>
      </c>
      <c r="BX158" s="254">
        <f>BX106</f>
        <v>0</v>
      </c>
      <c r="BY158" s="254">
        <f>BY106</f>
        <v>0</v>
      </c>
      <c r="BZ158" s="254">
        <f>BZ106</f>
        <v>0</v>
      </c>
      <c r="CA158" s="254">
        <f>CA106</f>
        <v>0</v>
      </c>
      <c r="CB158" s="254">
        <f>CB106</f>
        <v>0</v>
      </c>
      <c r="CC158" s="254">
        <f>CC106</f>
        <v>0</v>
      </c>
      <c r="CD158" s="254">
        <f>CD106</f>
        <v>0</v>
      </c>
      <c r="CE158" s="19" t="n"/>
    </row>
    <row r="159" ht="15" customHeight="1" s="251">
      <c r="B159" s="16" t="inlineStr">
        <is>
          <t xml:space="preserve">  Total operating adjusting items (pre-tax)</t>
        </is>
      </c>
      <c r="C159" s="264">
        <f>IF(ISNUMBER(C153),N(C153)+N(C154)+N(C155)+N(C156)+N(C157)+N(C158),"")</f>
        <v>1665</v>
      </c>
      <c r="D159" s="264">
        <f>IF(ISNUMBER(D153),N(D153)+N(D154)+N(D155)+N(D156)+N(D157)+N(D158),"")</f>
        <v>135</v>
      </c>
      <c r="E159" s="264">
        <f>IF(ISNUMBER(E153),N(E153)+N(E154)+N(E155)+N(E156)+N(E157)+N(E158),"")</f>
        <v>0</v>
      </c>
      <c r="F159" s="264">
        <f>IF(ISNUMBER(F153),N(F153)+N(F154)+N(F155)+N(F156)+N(F157)+N(F158),"")</f>
        <v>0</v>
      </c>
      <c r="G159" s="264">
        <f>IF(ISNUMBER(G153),N(G153)+N(G154)+N(G155)+N(G156)+N(G157)+N(G158),"")</f>
        <v>4098</v>
      </c>
      <c r="H159" s="264">
        <f>IF(ISNUMBER(H153),N(H153)+N(H154)+N(H155)+N(H156)+N(H157)+N(H158),"")</f>
        <v>0</v>
      </c>
      <c r="I159" s="264">
        <f>IF(ISNUMBER(I153),N(I153)+N(I154)+N(I155)+N(I156)+N(I157)+N(I158),"")</f>
        <v>0</v>
      </c>
      <c r="J159" s="264">
        <f>IF(ISNUMBER(J153),N(J153)+N(J154)+N(J155)+N(J156)+N(J157)+N(J158),"")</f>
        <v>0</v>
      </c>
      <c r="K159" s="264">
        <f>IF(ISNUMBER(K153),N(K153)+N(K154)+N(K155)+N(K156)+N(K157)+N(K158),"")</f>
        <v>0</v>
      </c>
      <c r="L159" s="264">
        <f>IF(ISNUMBER(L153),N(L153)+N(L154)+N(L155)+N(L156)+N(L157)+N(L158),"")</f>
        <v>0</v>
      </c>
      <c r="M159" s="264">
        <f>IF(ISNUMBER(M153),N(M153)+N(M154)+N(M155)+N(M156)+N(M157)+N(M158),"")</f>
        <v>0</v>
      </c>
      <c r="N159" s="264">
        <f>IF(ISNUMBER(N153),N(N153)+N(N154)+N(N155)+N(N156)+N(N157)+N(N158),"")</f>
        <v>0</v>
      </c>
      <c r="O159" s="264">
        <f>IF(ISNUMBER(O153),N(O153)+N(O154)+N(O155)+N(O156)+N(O157)+N(O158),"")</f>
        <v>0</v>
      </c>
      <c r="P159" s="264">
        <f>IF(ISNUMBER(P153),N(P153)+N(P154)+N(P155)+N(P156)+N(P157)+N(P158),"")</f>
        <v>450</v>
      </c>
      <c r="Q159" s="264">
        <f>IF(ISNUMBER(Q153),N(Q153)+N(Q154)+N(Q155)+N(Q156)+N(Q157)+N(Q158),"")</f>
        <v>450</v>
      </c>
      <c r="R159" s="264">
        <f>IF(ISNUMBER(R153),N(R153)+N(R154)+N(R155)+N(R156)+N(R157)+N(R158),"")</f>
        <v>0</v>
      </c>
      <c r="S159" s="264">
        <f>IF(ISNUMBER(S153),N(S153)+N(S154)+N(S155)+N(S156)+N(S157)+N(S158),"")</f>
        <v>0</v>
      </c>
      <c r="T159" s="264">
        <f>IF(ISNUMBER(T153),N(T153)+N(T154)+N(T155)+N(T156)+N(T157)+N(T158),"")</f>
        <v>0</v>
      </c>
      <c r="U159" s="264">
        <f>IF(ISNUMBER(U153),N(U153)+N(U154)+N(U155)+N(U156)+N(U157)+N(U158),"")</f>
        <v>0</v>
      </c>
      <c r="V159" s="264">
        <f>IF(ISNUMBER(V153),N(V153)+N(V154)+N(V155)+N(V156)+N(V157)+N(V158),"")</f>
        <v>0</v>
      </c>
      <c r="W159" s="264">
        <f>IF(ISNUMBER(W153),N(W153)+N(W154)+N(W155)+N(W156)+N(W157)+N(W158),"")</f>
        <v>0</v>
      </c>
      <c r="X159" s="264">
        <f>IF(ISNUMBER(X153),N(X153)+N(X154)+N(X155)+N(X156)+N(X157)+N(X158),"")</f>
        <v>0</v>
      </c>
      <c r="Y159" s="264">
        <f>IF(ISNUMBER(Y153),N(Y153)+N(Y154)+N(Y155)+N(Y156)+N(Y157)+N(Y158),"")</f>
        <v>2029</v>
      </c>
      <c r="Z159" s="264">
        <f>IF(ISNUMBER(Z153),N(Z153)+N(Z154)+N(Z155)+N(Z156)+N(Z157)+N(Z158),"")</f>
        <v>110</v>
      </c>
      <c r="AA159" s="264">
        <f>IF(ISNUMBER(AA153),N(AA153)+N(AA154)+N(AA155)+N(AA156)+N(AA157)+N(AA158),"")</f>
        <v>2139</v>
      </c>
      <c r="AB159" s="264">
        <f>IF(ISNUMBER(AB153),N(AB153)+N(AB154)+N(AB155)+N(AB156)+N(AB157)+N(AB158),"")</f>
        <v>0</v>
      </c>
      <c r="AC159" s="264">
        <f>IF(ISNUMBER(AC153),N(AC153)+N(AC154)+N(AC155)+N(AC156)+N(AC157)+N(AC158),"")</f>
        <v>192</v>
      </c>
      <c r="AD159" s="264">
        <f>IF(ISNUMBER(AD153),N(AD153)+N(AD154)+N(AD155)+N(AD156)+N(AD157)+N(AD158),"")</f>
        <v>0</v>
      </c>
      <c r="AE159" s="264">
        <f>IF(ISNUMBER(AE153),N(AE153)+N(AE154)+N(AE155)+N(AE156)+N(AE157)+N(AE158),"")</f>
        <v>0</v>
      </c>
      <c r="AF159" s="264">
        <f>IF(ISNUMBER(AF153),N(AF153)+N(AF154)+N(AF155)+N(AF156)+N(AF157)+N(AF158),"")</f>
        <v>192</v>
      </c>
      <c r="AG159" s="264">
        <f>IF(ISNUMBER(AG153),N(AG153)+N(AG154)+N(AG155)+N(AG156)+N(AG157)+N(AG158),"")</f>
        <v>0</v>
      </c>
      <c r="AH159" s="264">
        <f>IF(ISNUMBER(AH153),N(AH153)+N(AH154)+N(AH155)+N(AH156)+N(AH157)+N(AH158),"")</f>
        <v>0</v>
      </c>
      <c r="AI159" s="264">
        <f>IF(ISNUMBER(AI153),N(AI153)+N(AI154)+N(AI155)+N(AI156)+N(AI157)+N(AI158),"")</f>
        <v>600</v>
      </c>
      <c r="AJ159" s="264">
        <f>IF(ISNUMBER(AJ153),N(AJ153)+N(AJ154)+N(AJ155)+N(AJ156)+N(AJ157)+N(AJ158),"")</f>
        <v>195</v>
      </c>
      <c r="AK159" s="264">
        <f>IF(ISNUMBER(AK153),N(AK153)+N(AK154)+N(AK155)+N(AK156)+N(AK157)+N(AK158),"")</f>
        <v>795</v>
      </c>
      <c r="AL159" s="264">
        <f>IF(ISNUMBER(AL153),N(AL153)+N(AL154)+N(AL155)+N(AL156)+N(AL157)+N(AL158),"")</f>
        <v>0</v>
      </c>
      <c r="AM159" s="264">
        <f>IF(ISNUMBER(AM153),N(AM153)+N(AM154)+N(AM155)+N(AM156)+N(AM157)+N(AM158),"")</f>
        <v>0</v>
      </c>
      <c r="AN159" s="264">
        <f>IF(ISNUMBER(AN153),N(AN153)+N(AN154)+N(AN155)+N(AN156)+N(AN157)+N(AN158),"")</f>
        <v>0</v>
      </c>
      <c r="AO159" s="264">
        <f>IF(ISNUMBER(AO153),N(AO153)+N(AO154)+N(AO155)+N(AO156)+N(AO157)+N(AO158),"")</f>
        <v>370</v>
      </c>
      <c r="AP159" s="264">
        <f>IF(ISNUMBER(AP153),N(AP153)+N(AP154)+N(AP155)+N(AP156)+N(AP157)+N(AP158),"")</f>
        <v>370</v>
      </c>
      <c r="AQ159" s="264">
        <f>IF(ISNUMBER(AQ153),N(AQ153)+N(AQ154)+N(AQ155)+N(AQ156)+N(AQ157)+N(AQ158),"")</f>
        <v>13</v>
      </c>
      <c r="AR159" s="264">
        <f>IF(ISNUMBER(AR153),N(AR153)+N(AR154)+N(AR155)+N(AR156)+N(AR157)+N(AR158),"")</f>
        <v>16</v>
      </c>
      <c r="AS159" s="264">
        <f>IF(ISNUMBER(AS153),N(AS153)+N(AS154)+N(AS155)+N(AS156)+N(AS157)+N(AS158),"")</f>
        <v>17</v>
      </c>
      <c r="AT159" s="264">
        <f>IF(ISNUMBER(AT153),N(AT153)+N(AT154)+N(AT155)+N(AT156)+N(AT157)+N(AT158),"")</f>
        <v>17</v>
      </c>
      <c r="AU159" s="264">
        <f>IF(ISNUMBER(AU153),N(AU153)+N(AU154)+N(AU155)+N(AU156)+N(AU157)+N(AU158),"")</f>
        <v>63</v>
      </c>
      <c r="AV159" s="264">
        <f>IF(ISNUMBER(AV153),N(AV153)+N(AV154)+N(AV155)+N(AV156)+N(AV157)+N(AV158),"")</f>
        <v>15</v>
      </c>
      <c r="AW159" s="264">
        <f>IF(ISNUMBER(AW153),N(AW153)+N(AW154)+N(AW155)+N(AW156)+N(AW157)+N(AW158),"")</f>
        <v>170</v>
      </c>
      <c r="AX159" s="264">
        <f>IF(ISNUMBER(AX153),N(AX153)+N(AX154)+N(AX155)+N(AX156)+N(AX157)+N(AX158),"")</f>
        <v>18</v>
      </c>
      <c r="AY159" s="264">
        <f>IF(ISNUMBER(AY153),N(AY153)+N(AY154)+N(AY155)+N(AY156)+N(AY157)+N(AY158),"")</f>
        <v>21</v>
      </c>
      <c r="AZ159" s="264">
        <f>IF(ISNUMBER(AZ153),N(AZ153)+N(AZ154)+N(AZ155)+N(AZ156)+N(AZ157)+N(AZ158),"")</f>
        <v>224</v>
      </c>
      <c r="BA159" s="264">
        <f>IF(ISNUMBER(BA153),N(BA153)+N(BA154)+N(BA155)+N(BA156)+N(BA157)+N(BA158),"")</f>
        <v>168</v>
      </c>
      <c r="BB159" s="264">
        <f>IF(ISNUMBER(BB153),N(BB153)+N(BB154)+N(BB155)+N(BB156)+N(BB157)+N(BB158),"")</f>
        <v>100</v>
      </c>
      <c r="BC159" s="264">
        <f>IF(ISNUMBER(BC153),N(BC153)+N(BC154)+N(BC155)+N(BC156)+N(BC157)+N(BC158),"")</f>
        <v>774</v>
      </c>
      <c r="BD159" s="264">
        <f>IF(ISNUMBER(BD153),N(BD153)+N(BD154)+N(BD155)+N(BD156)+N(BD157)+N(BD158),"")</f>
        <v>68</v>
      </c>
      <c r="BE159" s="264">
        <f>IF(ISNUMBER(BE153),N(BE153)+N(BE154)+N(BE155)+N(BE156)+N(BE157)+N(BE158),"")</f>
        <v>1110</v>
      </c>
      <c r="BF159" s="264">
        <f>IF(ISNUMBER(BF153),N(BF153)+N(BF154)+N(BF155)+N(BF156)+N(BF157)+N(BF158),"")</f>
        <v>407</v>
      </c>
      <c r="BG159" s="264">
        <f>IF(ISNUMBER(BG153),N(BG153)+N(BG154)+N(BG155)+N(BG156)+N(BG157)+N(BG158),"")</f>
        <v>68</v>
      </c>
      <c r="BH159" s="264">
        <f>IF(ISNUMBER(BH153),N(BH153)+N(BH154)+N(BH155)+N(BH156)+N(BH157)+N(BH158),"")</f>
        <v>521</v>
      </c>
      <c r="BI159" s="264">
        <f>IF(ISNUMBER(BI153),N(BI153)+N(BI154)+N(BI155)+N(BI156)+N(BI157)+N(BI158),"")</f>
        <v>176</v>
      </c>
      <c r="BJ159" s="264">
        <f>IF(ISNUMBER(BJ153),N(BJ153)+N(BJ154)+N(BJ155)+N(BJ156)+N(BJ157)+N(BJ158),"")</f>
        <v>1172</v>
      </c>
      <c r="BK159" s="264">
        <f>IF(ISNUMBER(BK153),N(BK153)+N(BK154)+N(BK155)+N(BK156)+N(BK157)+N(BK158),"")</f>
        <v>61</v>
      </c>
      <c r="BL159" s="264">
        <f>IF(ISNUMBER(BL153),N(BL153)+N(BL154)+N(BL155)+N(BL156)+N(BL157)+N(BL158),"")</f>
        <v>550</v>
      </c>
      <c r="BM159" s="264">
        <f>IF(ISNUMBER(BM153),N(BM153)+N(BM154)+N(BM155)+N(BM156)+N(BM157)+N(BM158),"")</f>
        <v>35</v>
      </c>
      <c r="BN159" s="264">
        <f>IF(ISNUMBER(BN153),N(BN153)+N(BN154)+N(BN155)+N(BN156)+N(BN157)+N(BN158),"")</f>
        <v>76</v>
      </c>
      <c r="BO159" s="264">
        <f>IF(ISNUMBER(BO153),N(BO153)+N(BO154)+N(BO155)+N(BO156)+N(BO157)+N(BO158),"")</f>
        <v>722</v>
      </c>
      <c r="BP159" s="264">
        <f>IF(ISNUMBER(BP153),N(BP153)+N(BP154)+N(BP155)+N(BP156)+N(BP157)+N(BP158),"")</f>
        <v>359</v>
      </c>
      <c r="BQ159" s="264">
        <f>IF(ISNUMBER(BQ153),N(BQ153)+N(BQ154)+N(BQ155)+N(BQ156)+N(BQ157)+N(BQ158),"")</f>
        <v>1088</v>
      </c>
      <c r="BR159" s="264">
        <f>IF(ISNUMBER(BR153),N(BR153)+N(BR154)+N(BR155)+N(BR156)+N(BR157)+N(BR158),"")</f>
        <v>688</v>
      </c>
      <c r="BS159" s="264">
        <f>IF(ISNUMBER(BS153),N(BS153)+N(BS154)+N(BS155)+N(BS156)+N(BS157)+N(BS158),"")</f>
        <v>965</v>
      </c>
      <c r="BT159" s="264">
        <f>IF(ISNUMBER(BT153),N(BT153)+N(BT154)+N(BT155)+N(BT156)+N(BT157)+N(BT158),"")</f>
        <v>3100</v>
      </c>
      <c r="BU159" s="264">
        <f>IF(ISNUMBER(BU153),N(BU153)+N(BU154)+N(BU155)+N(BU156)+N(BU157)+N(BU158),"")</f>
        <v>773</v>
      </c>
      <c r="BV159" s="264">
        <f>IF(ISNUMBER(BV153),N(BV153)+N(BV154)+N(BV155)+N(BV156)+N(BV157)+N(BV158),"")</f>
        <v>397</v>
      </c>
      <c r="BW159" s="264">
        <f>IF(ISNUMBER(BW153),N(BW153)+N(BW154)+N(BW155)+N(BW156)+N(BW157)+N(BW158),"")</f>
        <v>878</v>
      </c>
      <c r="BX159" s="265">
        <f>IF(ISNUMBER(BX153),N(BX153)+N(BX154)+N(BX155)+N(BX156)+N(BX157)+N(BX158),"")</f>
        <v>79</v>
      </c>
      <c r="BY159" s="265">
        <f>IF(ISNUMBER(BY153),N(BY153)+N(BY154)+N(BY155)+N(BY156)+N(BY157)+N(BY158),"")</f>
        <v>2127</v>
      </c>
      <c r="BZ159" s="265">
        <f>IF(ISNUMBER(BZ153),N(BZ153)+N(BZ154)+N(BZ155)+N(BZ156)+N(BZ157)+N(BZ158),"")</f>
        <v>337.857142857143</v>
      </c>
      <c r="CA159" s="265">
        <f>IF(ISNUMBER(CA153),N(CA153)+N(CA154)+N(CA155)+N(CA156)+N(CA157)+N(CA158),"")</f>
        <v>333.571428571429</v>
      </c>
      <c r="CB159" s="265">
        <f>IF(ISNUMBER(CB153),N(CB153)+N(CB154)+N(CB155)+N(CB156)+N(CB157)+N(CB158),"")</f>
        <v>329.285714285714</v>
      </c>
      <c r="CC159" s="265">
        <f>IF(ISNUMBER(CC153),N(CC153)+N(CC154)+N(CC155)+N(CC156)+N(CC157)+N(CC158),"")</f>
        <v>325</v>
      </c>
      <c r="CD159" s="265">
        <f>IF(ISNUMBER(CD153),N(CD153)+N(CD154)+N(CD155)+N(CD156)+N(CD157)+N(CD158),"")</f>
        <v>330.714285714286</v>
      </c>
      <c r="CE159" s="153" t="n"/>
    </row>
    <row r="160" ht="15" customHeight="1" s="251">
      <c r="B160" s="55" t="inlineStr">
        <is>
          <t xml:space="preserve">  = Adjusted operating income (model bridge)</t>
        </is>
      </c>
      <c r="C160" s="266">
        <f>IF(ISNUMBER(C152),C152+C159,"")</f>
        <v>2897</v>
      </c>
      <c r="D160" s="266">
        <f>IF(ISNUMBER(D152),D152+D159,"")</f>
        <v>3673</v>
      </c>
      <c r="E160" s="266">
        <f>IF(ISNUMBER(E152),E152+E159,"")</f>
        <v>4589</v>
      </c>
      <c r="F160" s="266">
        <f>IF(ISNUMBER(F152),F152+F159,"")</f>
        <v>5456</v>
      </c>
      <c r="G160" s="266">
        <f>IF(ISNUMBER(G152),G152+G159,"")</f>
        <v>6237</v>
      </c>
      <c r="H160" s="266">
        <f>IF(ISNUMBER(H152),H152+H159,"")</f>
        <v>1800</v>
      </c>
      <c r="I160" s="266">
        <f>IF(ISNUMBER(I152),I152+I159,"")</f>
        <v>1860</v>
      </c>
      <c r="J160" s="266">
        <f>IF(ISNUMBER(J152),J152+J159,"")</f>
        <v>1828</v>
      </c>
      <c r="K160" s="266">
        <f>IF(ISNUMBER(K152),K152+K159,"")</f>
        <v>1751</v>
      </c>
      <c r="L160" s="266">
        <f>IF(ISNUMBER(L152),L152+L159,"")</f>
        <v>7239</v>
      </c>
      <c r="M160" s="266">
        <f>IF(ISNUMBER(M152),M152+M159,"")</f>
        <v>2077</v>
      </c>
      <c r="N160" s="266">
        <f>IF(ISNUMBER(N152),N152+N159,"")</f>
        <v>2048</v>
      </c>
      <c r="O160" s="266">
        <f>IF(ISNUMBER(O152),O152+O159,"")</f>
        <v>2020</v>
      </c>
      <c r="P160" s="266">
        <f>IF(ISNUMBER(P152),P152+P159,"")</f>
        <v>2002</v>
      </c>
      <c r="Q160" s="266">
        <f>IF(ISNUMBER(Q152),Q152+Q159,"")</f>
        <v>8147</v>
      </c>
      <c r="R160" s="266">
        <f>IF(ISNUMBER(R152),R152+R159,"")</f>
        <v>2238</v>
      </c>
      <c r="S160" s="266">
        <f>IF(ISNUMBER(S152),S152+S159,"")</f>
        <v>2281</v>
      </c>
      <c r="T160" s="266">
        <f>IF(ISNUMBER(T152),T152+T159,"")</f>
        <v>2262</v>
      </c>
      <c r="U160" s="266">
        <f>IF(ISNUMBER(U152),U152+U159,"")</f>
        <v>2283</v>
      </c>
      <c r="V160" s="266">
        <f>IF(ISNUMBER(V152),V152+V159,"")</f>
        <v>9064</v>
      </c>
      <c r="W160" s="266">
        <f>IF(ISNUMBER(W152),W152+W159,"")</f>
        <v>2396</v>
      </c>
      <c r="X160" s="266">
        <f>IF(ISNUMBER(X152),X152+X159,"")</f>
        <v>2434</v>
      </c>
      <c r="Y160" s="266">
        <f>IF(ISNUMBER(Y152),Y152+Y159,"")</f>
        <v>2457</v>
      </c>
      <c r="Z160" s="266">
        <f>IF(ISNUMBER(Z152),Z152+Z159,"")</f>
        <v>2735</v>
      </c>
      <c r="AA160" s="266">
        <f>IF(ISNUMBER(AA152),AA152+AA159,"")</f>
        <v>10022</v>
      </c>
      <c r="AB160" s="266">
        <f>IF(ISNUMBER(AB152),AB152+AB159,"")</f>
        <v>3100</v>
      </c>
      <c r="AC160" s="266">
        <f>IF(ISNUMBER(AC152),AC152+AC159,"")</f>
        <v>3000</v>
      </c>
      <c r="AD160" s="266">
        <f>IF(ISNUMBER(AD152),AD152+AD159,"")</f>
        <v>3024</v>
      </c>
      <c r="AE160" s="266">
        <f>IF(ISNUMBER(AE152),AE152+AE159,"")</f>
        <v>3212</v>
      </c>
      <c r="AF160" s="266">
        <f>IF(ISNUMBER(AF152),AF152+AF159,"")</f>
        <v>12336</v>
      </c>
      <c r="AG160" s="266">
        <f>IF(ISNUMBER(AG152),AG152+AG159,"")</f>
        <v>3327</v>
      </c>
      <c r="AH160" s="266">
        <f>IF(ISNUMBER(AH152),AH152+AH159,"")</f>
        <v>3336</v>
      </c>
      <c r="AI160" s="266">
        <f>IF(ISNUMBER(AI152),AI152+AI159,"")</f>
        <v>3485</v>
      </c>
      <c r="AJ160" s="266">
        <f>IF(ISNUMBER(AJ152),AJ152+AJ159,"")</f>
        <v>3601</v>
      </c>
      <c r="AK160" s="266">
        <f>IF(ISNUMBER(AK152),AK152+AK159,"")</f>
        <v>13749</v>
      </c>
      <c r="AL160" s="266">
        <f>IF(ISNUMBER(AL152),AL152+AL159,"")</f>
        <v>3717</v>
      </c>
      <c r="AM160" s="266">
        <f>IF(ISNUMBER(AM152),AM152+AM159,"")</f>
        <v>3641</v>
      </c>
      <c r="AN160" s="266">
        <f>IF(ISNUMBER(AN152),AN152+AN159,"")</f>
        <v>3908</v>
      </c>
      <c r="AO160" s="266">
        <f>IF(ISNUMBER(AO152),AO152+AO159,"")</f>
        <v>4105</v>
      </c>
      <c r="AP160" s="266">
        <f>IF(ISNUMBER(AP152),AP152+AP159,"")</f>
        <v>15371</v>
      </c>
      <c r="AQ160" s="266">
        <f>IF(ISNUMBER(AQ152),AQ152+AQ159,"")</f>
        <v>4029</v>
      </c>
      <c r="AR160" s="266">
        <f>IF(ISNUMBER(AR152),AR152+AR159,"")</f>
        <v>3940</v>
      </c>
      <c r="AS160" s="266">
        <f>IF(ISNUMBER(AS152),AS152+AS159,"")</f>
        <v>3016</v>
      </c>
      <c r="AT160" s="266">
        <f>IF(ISNUMBER(AT152),AT152+AT159,"")</f>
        <v>3159</v>
      </c>
      <c r="AU160" s="266">
        <f>IF(ISNUMBER(AU152),AU152+AU159,"")</f>
        <v>14144</v>
      </c>
      <c r="AV160" s="266">
        <f>IF(ISNUMBER(AV152),AV152+AV159,"")</f>
        <v>3859</v>
      </c>
      <c r="AW160" s="266">
        <f>IF(ISNUMBER(AW152),AW152+AW159,"")</f>
        <v>3751</v>
      </c>
      <c r="AX160" s="266">
        <f>IF(ISNUMBER(AX152),AX152+AX159,"")</f>
        <v>4082</v>
      </c>
      <c r="AY160" s="266">
        <f>IF(ISNUMBER(AY152),AY152+AY159,"")</f>
        <v>4336</v>
      </c>
      <c r="AZ160" s="266">
        <f>IF(ISNUMBER(AZ152),AZ152+AZ159,"")</f>
        <v>16028</v>
      </c>
      <c r="BA160" s="266">
        <f>IF(ISNUMBER(BA152),BA152+BA159,"")</f>
        <v>4944</v>
      </c>
      <c r="BB160" s="266">
        <f>IF(ISNUMBER(BB152),BB152+BB159,"")</f>
        <v>4902</v>
      </c>
      <c r="BC160" s="266">
        <f>IF(ISNUMBER(BC152),BC152+BC159,"")</f>
        <v>4922</v>
      </c>
      <c r="BD160" s="266">
        <f>IF(ISNUMBER(BD152),BD152+BD159,"")</f>
        <v>5155</v>
      </c>
      <c r="BE160" s="266">
        <f>IF(ISNUMBER(BE152),BE152+BE159,"")</f>
        <v>19923</v>
      </c>
      <c r="BF160" s="266">
        <f>IF(ISNUMBER(BF152),BF152+BF159,"")</f>
        <v>5497</v>
      </c>
      <c r="BG160" s="266">
        <f>IF(ISNUMBER(BG152),BG152+BG159,"")</f>
        <v>5404</v>
      </c>
      <c r="BH160" s="266">
        <f>IF(ISNUMBER(BH152),BH152+BH159,"")</f>
        <v>5545</v>
      </c>
      <c r="BI160" s="266">
        <f>IF(ISNUMBER(BI152),BI152+BI159,"")</f>
        <v>5726</v>
      </c>
      <c r="BJ160" s="266">
        <f>IF(ISNUMBER(BJ152),BJ152+BJ159,"")</f>
        <v>22172</v>
      </c>
      <c r="BK160" s="266">
        <f>IF(ISNUMBER(BK152),BK152+BK159,"")</f>
        <v>6015</v>
      </c>
      <c r="BL160" s="266">
        <f>IF(ISNUMBER(BL152),BL152+BL159,"")</f>
        <v>5904</v>
      </c>
      <c r="BM160" s="266">
        <f>IF(ISNUMBER(BM152),BM152+BM159,"")</f>
        <v>5973</v>
      </c>
      <c r="BN160" s="266">
        <f>IF(ISNUMBER(BN152),BN152+BN159,"")</f>
        <v>6425</v>
      </c>
      <c r="BO160" s="266">
        <f>IF(ISNUMBER(BO152),BO152+BO159,"")</f>
        <v>24317</v>
      </c>
      <c r="BP160" s="266">
        <f>IF(ISNUMBER(BP152),BP152+BP159,"")</f>
        <v>6593</v>
      </c>
      <c r="BQ160" s="266">
        <f>IF(ISNUMBER(BQ152),BQ152+BQ159,"")</f>
        <v>6523</v>
      </c>
      <c r="BR160" s="266">
        <f>IF(ISNUMBER(BR152),BR152+BR159,"")</f>
        <v>6865</v>
      </c>
      <c r="BS160" s="266">
        <f>IF(ISNUMBER(BS152),BS152+BS159,"")</f>
        <v>7113</v>
      </c>
      <c r="BT160" s="266">
        <f>IF(ISNUMBER(BT152),BT152+BT159,"")</f>
        <v>27094</v>
      </c>
      <c r="BU160" s="266">
        <f>IF(ISNUMBER(BU152),BU152+BU159,"")</f>
        <v>7510</v>
      </c>
      <c r="BV160" s="266">
        <f>IF(ISNUMBER(BV152),BV152+BV159,"")</f>
        <v>7631</v>
      </c>
      <c r="BW160" s="266">
        <f>IF(ISNUMBER(BW152),BW152+BW159,"")</f>
        <v>7755</v>
      </c>
      <c r="BX160" s="266">
        <f>IF(ISNUMBER(BX152),BX152+BX159,"")</f>
        <v>7986.0883890317</v>
      </c>
      <c r="BY160" s="266">
        <f>IF(ISNUMBER(BY152),BY152+BY159,"")</f>
        <v>30882.0883890317</v>
      </c>
      <c r="BZ160" s="266">
        <f>IF(ISNUMBER(BZ152),BZ152+BZ159,"")</f>
        <v>34228.5589329276</v>
      </c>
      <c r="CA160" s="266">
        <f>IF(ISNUMBER(CA152),CA152+CA159,"")</f>
        <v>38066.2226708572</v>
      </c>
      <c r="CB160" s="266">
        <f>IF(ISNUMBER(CB152),CB152+CB159,"")</f>
        <v>42112.3671091076</v>
      </c>
      <c r="CC160" s="266">
        <f>IF(ISNUMBER(CC152),CC152+CC159,"")</f>
        <v>46082.7487298866</v>
      </c>
      <c r="CD160" s="266">
        <f>IF(ISNUMBER(CD152),CD152+CD159,"")</f>
        <v>50429.1984269527</v>
      </c>
      <c r="CE160" s="153" t="inlineStr">
        <is>
          <t>Equals net revenue − non-GAAP operating expenses (check in the opex block).</t>
        </is>
      </c>
      <c r="CG160" s="20">
        <f>IFERROR((CD160/BY160)^(1/5)-1,"n/m")</f>
        <v>0.103049699606405</v>
      </c>
      <c r="CH160" s="20">
        <f>IFERROR((BT160/AU160)^(1/5)-1,"n/m")</f>
        <v>0.138833347548325</v>
      </c>
      <c r="CI160" s="20">
        <f>IFERROR((BT160/V160)^(1/10)-1,"n/m")</f>
        <v>0.115720269246915</v>
      </c>
      <c r="CJ160" s="20">
        <f>IFERROR((BT160/C160)^(1/17)-1,"n/m")</f>
        <v>0.140547071134007</v>
      </c>
    </row>
    <row r="161" ht="15" customHeight="1" s="251">
      <c r="B161" s="57" t="inlineStr">
        <is>
          <t xml:space="preserve">  Check: bridge vs revenue-build adjusted operating income (should be 0)</t>
        </is>
      </c>
      <c r="C161" s="211">
        <f>IF(AND(ISNUMBER(C160),ISNUMBER(C60)),ROUND(C160-C60,1),"")</f>
        <v>0</v>
      </c>
      <c r="D161" s="211">
        <f>IF(AND(ISNUMBER(D160),ISNUMBER(D60)),ROUND(D160-D60,1),"")</f>
        <v>0</v>
      </c>
      <c r="E161" s="211">
        <f>IF(AND(ISNUMBER(E160),ISNUMBER(E60)),ROUND(E160-E60,1),"")</f>
        <v>0</v>
      </c>
      <c r="F161" s="211">
        <f>IF(AND(ISNUMBER(F160),ISNUMBER(F60)),ROUND(F160-F60,1),"")</f>
        <v>0</v>
      </c>
      <c r="G161" s="211">
        <f>IF(AND(ISNUMBER(G160),ISNUMBER(G60)),ROUND(G160-G60,1),"")</f>
        <v>0</v>
      </c>
      <c r="H161" s="211">
        <f>IF(AND(ISNUMBER(H160),ISNUMBER(H60)),ROUND(H160-H60,1),"")</f>
        <v>0</v>
      </c>
      <c r="I161" s="211">
        <f>IF(AND(ISNUMBER(I160),ISNUMBER(I60)),ROUND(I160-I60,1),"")</f>
        <v>0</v>
      </c>
      <c r="J161" s="211">
        <f>IF(AND(ISNUMBER(J160),ISNUMBER(J60)),ROUND(J160-J60,1),"")</f>
        <v>0</v>
      </c>
      <c r="K161" s="211">
        <f>IF(AND(ISNUMBER(K160),ISNUMBER(K60)),ROUND(K160-K60,1),"")</f>
        <v>0</v>
      </c>
      <c r="L161" s="211">
        <f>IF(AND(ISNUMBER(L160),ISNUMBER(L60)),ROUND(L160-L60,1),"")</f>
        <v>0</v>
      </c>
      <c r="M161" s="211">
        <f>IF(AND(ISNUMBER(M160),ISNUMBER(M60)),ROUND(M160-M60,1),"")</f>
        <v>0</v>
      </c>
      <c r="N161" s="211">
        <f>IF(AND(ISNUMBER(N160),ISNUMBER(N60)),ROUND(N160-N60,1),"")</f>
        <v>0</v>
      </c>
      <c r="O161" s="211">
        <f>IF(AND(ISNUMBER(O160),ISNUMBER(O60)),ROUND(O160-O60,1),"")</f>
        <v>0</v>
      </c>
      <c r="P161" s="211">
        <f>IF(AND(ISNUMBER(P160),ISNUMBER(P60)),ROUND(P160-P60,1),"")</f>
        <v>0</v>
      </c>
      <c r="Q161" s="211">
        <f>IF(AND(ISNUMBER(Q160),ISNUMBER(Q60)),ROUND(Q160-Q60,1),"")</f>
        <v>0</v>
      </c>
      <c r="R161" s="211">
        <f>IF(AND(ISNUMBER(R160),ISNUMBER(R60)),ROUND(R160-R60,1),"")</f>
        <v>0</v>
      </c>
      <c r="S161" s="211">
        <f>IF(AND(ISNUMBER(S160),ISNUMBER(S60)),ROUND(S160-S60,1),"")</f>
        <v>0</v>
      </c>
      <c r="T161" s="211">
        <f>IF(AND(ISNUMBER(T160),ISNUMBER(T60)),ROUND(T160-T60,1),"")</f>
        <v>0</v>
      </c>
      <c r="U161" s="211">
        <f>IF(AND(ISNUMBER(U160),ISNUMBER(U60)),ROUND(U160-U60,1),"")</f>
        <v>0</v>
      </c>
      <c r="V161" s="211">
        <f>IF(AND(ISNUMBER(V160),ISNUMBER(V60)),ROUND(V160-V60,1),"")</f>
        <v>0</v>
      </c>
      <c r="W161" s="211">
        <f>IF(AND(ISNUMBER(W160),ISNUMBER(W60)),ROUND(W160-W60,1),"")</f>
        <v>0</v>
      </c>
      <c r="X161" s="211">
        <f>IF(AND(ISNUMBER(X160),ISNUMBER(X60)),ROUND(X160-X60,1),"")</f>
        <v>0</v>
      </c>
      <c r="Y161" s="211">
        <f>IF(AND(ISNUMBER(Y160),ISNUMBER(Y60)),ROUND(Y160-Y60,1),"")</f>
        <v>0</v>
      </c>
      <c r="Z161" s="211">
        <f>IF(AND(ISNUMBER(Z160),ISNUMBER(Z60)),ROUND(Z160-Z60,1),"")</f>
        <v>0</v>
      </c>
      <c r="AA161" s="211">
        <f>IF(AND(ISNUMBER(AA160),ISNUMBER(AA60)),ROUND(AA160-AA60,1),"")</f>
        <v>0</v>
      </c>
      <c r="AB161" s="211">
        <f>IF(AND(ISNUMBER(AB160),ISNUMBER(AB60)),ROUND(AB160-AB60,1),"")</f>
        <v>0</v>
      </c>
      <c r="AC161" s="211">
        <f>IF(AND(ISNUMBER(AC160),ISNUMBER(AC60)),ROUND(AC160-AC60,1),"")</f>
        <v>0</v>
      </c>
      <c r="AD161" s="211">
        <f>IF(AND(ISNUMBER(AD160),ISNUMBER(AD60)),ROUND(AD160-AD60,1),"")</f>
        <v>0</v>
      </c>
      <c r="AE161" s="211">
        <f>IF(AND(ISNUMBER(AE160),ISNUMBER(AE60)),ROUND(AE160-AE60,1),"")</f>
        <v>0</v>
      </c>
      <c r="AF161" s="211">
        <f>IF(AND(ISNUMBER(AF160),ISNUMBER(AF60)),ROUND(AF160-AF60,1),"")</f>
        <v>0</v>
      </c>
      <c r="AG161" s="211">
        <f>IF(AND(ISNUMBER(AG160),ISNUMBER(AG60)),ROUND(AG160-AG60,1),"")</f>
        <v>0</v>
      </c>
      <c r="AH161" s="211">
        <f>IF(AND(ISNUMBER(AH160),ISNUMBER(AH60)),ROUND(AH160-AH60,1),"")</f>
        <v>0</v>
      </c>
      <c r="AI161" s="211">
        <f>IF(AND(ISNUMBER(AI160),ISNUMBER(AI60)),ROUND(AI160-AI60,1),"")</f>
        <v>0</v>
      </c>
      <c r="AJ161" s="211">
        <f>IF(AND(ISNUMBER(AJ160),ISNUMBER(AJ60)),ROUND(AJ160-AJ60,1),"")</f>
        <v>0</v>
      </c>
      <c r="AK161" s="211">
        <f>IF(AND(ISNUMBER(AK160),ISNUMBER(AK60)),ROUND(AK160-AK60,1),"")</f>
        <v>0</v>
      </c>
      <c r="AL161" s="211">
        <f>IF(AND(ISNUMBER(AL160),ISNUMBER(AL60)),ROUND(AL160-AL60,1),"")</f>
        <v>0</v>
      </c>
      <c r="AM161" s="211">
        <f>IF(AND(ISNUMBER(AM160),ISNUMBER(AM60)),ROUND(AM160-AM60,1),"")</f>
        <v>0</v>
      </c>
      <c r="AN161" s="211">
        <f>IF(AND(ISNUMBER(AN160),ISNUMBER(AN60)),ROUND(AN160-AN60,1),"")</f>
        <v>0</v>
      </c>
      <c r="AO161" s="211">
        <f>IF(AND(ISNUMBER(AO160),ISNUMBER(AO60)),ROUND(AO160-AO60,1),"")</f>
        <v>0</v>
      </c>
      <c r="AP161" s="211">
        <f>IF(AND(ISNUMBER(AP160),ISNUMBER(AP60)),ROUND(AP160-AP60,1),"")</f>
        <v>0</v>
      </c>
      <c r="AQ161" s="211">
        <f>IF(AND(ISNUMBER(AQ160),ISNUMBER(AQ60)),ROUND(AQ160-AQ60,1),"")</f>
        <v>0</v>
      </c>
      <c r="AR161" s="211">
        <f>IF(AND(ISNUMBER(AR160),ISNUMBER(AR60)),ROUND(AR160-AR60,1),"")</f>
        <v>0</v>
      </c>
      <c r="AS161" s="211">
        <f>IF(AND(ISNUMBER(AS160),ISNUMBER(AS60)),ROUND(AS160-AS60,1),"")</f>
        <v>0</v>
      </c>
      <c r="AT161" s="211">
        <f>IF(AND(ISNUMBER(AT160),ISNUMBER(AT60)),ROUND(AT160-AT60,1),"")</f>
        <v>0</v>
      </c>
      <c r="AU161" s="211">
        <f>IF(AND(ISNUMBER(AU160),ISNUMBER(AU60)),ROUND(AU160-AU60,1),"")</f>
        <v>0</v>
      </c>
      <c r="AV161" s="211">
        <f>IF(AND(ISNUMBER(AV160),ISNUMBER(AV60)),ROUND(AV160-AV60,1),"")</f>
        <v>0</v>
      </c>
      <c r="AW161" s="211">
        <f>IF(AND(ISNUMBER(AW160),ISNUMBER(AW60)),ROUND(AW160-AW60,1),"")</f>
        <v>0</v>
      </c>
      <c r="AX161" s="211">
        <f>IF(AND(ISNUMBER(AX160),ISNUMBER(AX60)),ROUND(AX160-AX60,1),"")</f>
        <v>0</v>
      </c>
      <c r="AY161" s="211">
        <f>IF(AND(ISNUMBER(AY160),ISNUMBER(AY60)),ROUND(AY160-AY60,1),"")</f>
        <v>0</v>
      </c>
      <c r="AZ161" s="211">
        <f>IF(AND(ISNUMBER(AZ160),ISNUMBER(AZ60)),ROUND(AZ160-AZ60,1),"")</f>
        <v>0</v>
      </c>
      <c r="BA161" s="211">
        <f>IF(AND(ISNUMBER(BA160),ISNUMBER(BA60)),ROUND(BA160-BA60,1),"")</f>
        <v>0</v>
      </c>
      <c r="BB161" s="211">
        <f>IF(AND(ISNUMBER(BB160),ISNUMBER(BB60)),ROUND(BB160-BB60,1),"")</f>
        <v>0</v>
      </c>
      <c r="BC161" s="211">
        <f>IF(AND(ISNUMBER(BC160),ISNUMBER(BC60)),ROUND(BC160-BC60,1),"")</f>
        <v>0</v>
      </c>
      <c r="BD161" s="211">
        <f>IF(AND(ISNUMBER(BD160),ISNUMBER(BD60)),ROUND(BD160-BD60,1),"")</f>
        <v>0</v>
      </c>
      <c r="BE161" s="211">
        <f>IF(AND(ISNUMBER(BE160),ISNUMBER(BE60)),ROUND(BE160-BE60,1),"")</f>
        <v>0</v>
      </c>
      <c r="BF161" s="211">
        <f>IF(AND(ISNUMBER(BF160),ISNUMBER(BF60)),ROUND(BF160-BF60,1),"")</f>
        <v>0</v>
      </c>
      <c r="BG161" s="211">
        <f>IF(AND(ISNUMBER(BG160),ISNUMBER(BG60)),ROUND(BG160-BG60,1),"")</f>
        <v>0</v>
      </c>
      <c r="BH161" s="211">
        <f>IF(AND(ISNUMBER(BH160),ISNUMBER(BH60)),ROUND(BH160-BH60,1),"")</f>
        <v>0</v>
      </c>
      <c r="BI161" s="211">
        <f>IF(AND(ISNUMBER(BI160),ISNUMBER(BI60)),ROUND(BI160-BI60,1),"")</f>
        <v>0</v>
      </c>
      <c r="BJ161" s="211">
        <f>IF(AND(ISNUMBER(BJ160),ISNUMBER(BJ60)),ROUND(BJ160-BJ60,1),"")</f>
        <v>0</v>
      </c>
      <c r="BK161" s="211">
        <f>IF(AND(ISNUMBER(BK160),ISNUMBER(BK60)),ROUND(BK160-BK60,1),"")</f>
        <v>0</v>
      </c>
      <c r="BL161" s="211">
        <f>IF(AND(ISNUMBER(BL160),ISNUMBER(BL60)),ROUND(BL160-BL60,1),"")</f>
        <v>0</v>
      </c>
      <c r="BM161" s="211">
        <f>IF(AND(ISNUMBER(BM160),ISNUMBER(BM60)),ROUND(BM160-BM60,1),"")</f>
        <v>0</v>
      </c>
      <c r="BN161" s="211">
        <f>IF(AND(ISNUMBER(BN160),ISNUMBER(BN60)),ROUND(BN160-BN60,1),"")</f>
        <v>0</v>
      </c>
      <c r="BO161" s="211">
        <f>IF(AND(ISNUMBER(BO160),ISNUMBER(BO60)),ROUND(BO160-BO60,1),"")</f>
        <v>0</v>
      </c>
      <c r="BP161" s="211">
        <f>IF(AND(ISNUMBER(BP160),ISNUMBER(BP60)),ROUND(BP160-BP60,1),"")</f>
        <v>0</v>
      </c>
      <c r="BQ161" s="211">
        <f>IF(AND(ISNUMBER(BQ160),ISNUMBER(BQ60)),ROUND(BQ160-BQ60,1),"")</f>
        <v>0</v>
      </c>
      <c r="BR161" s="211">
        <f>IF(AND(ISNUMBER(BR160),ISNUMBER(BR60)),ROUND(BR160-BR60,1),"")</f>
        <v>0</v>
      </c>
      <c r="BS161" s="211">
        <f>IF(AND(ISNUMBER(BS160),ISNUMBER(BS60)),ROUND(BS160-BS60,1),"")</f>
        <v>0</v>
      </c>
      <c r="BT161" s="211">
        <f>IF(AND(ISNUMBER(BT160),ISNUMBER(BT60)),ROUND(BT160-BT60,1),"")</f>
        <v>0</v>
      </c>
      <c r="BU161" s="211">
        <f>IF(AND(ISNUMBER(BU160),ISNUMBER(BU60)),ROUND(BU160-BU60,1),"")</f>
        <v>0</v>
      </c>
      <c r="BV161" s="211">
        <f>IF(AND(ISNUMBER(BV160),ISNUMBER(BV60)),ROUND(BV160-BV60,1),"")</f>
        <v>0</v>
      </c>
      <c r="BW161" s="211">
        <f>IF(AND(ISNUMBER(BW160),ISNUMBER(BW60)),ROUND(BW160-BW60,1),"")</f>
        <v>0</v>
      </c>
      <c r="BX161" s="267">
        <f>IF(AND(ISNUMBER(BX160),ISNUMBER(BX60)),ROUND(BX160-BX60,1),"")</f>
        <v>0</v>
      </c>
      <c r="BY161" s="267">
        <f>IF(AND(ISNUMBER(BY160),ISNUMBER(BY60)),ROUND(BY160-BY60,1),"")</f>
        <v>0</v>
      </c>
      <c r="BZ161" s="267">
        <f>IF(AND(ISNUMBER(BZ160),ISNUMBER(BZ60)),ROUND(BZ160-BZ60,1),"")</f>
        <v>0</v>
      </c>
      <c r="CA161" s="267">
        <f>IF(AND(ISNUMBER(CA160),ISNUMBER(CA60)),ROUND(CA160-CA60,1),"")</f>
        <v>0</v>
      </c>
      <c r="CB161" s="267">
        <f>IF(AND(ISNUMBER(CB160),ISNUMBER(CB60)),ROUND(CB160-CB60,1),"")</f>
        <v>0</v>
      </c>
      <c r="CC161" s="267">
        <f>IF(AND(ISNUMBER(CC160),ISNUMBER(CC60)),ROUND(CC160-CC60,1),"")</f>
        <v>0</v>
      </c>
      <c r="CD161" s="267">
        <f>IF(AND(ISNUMBER(CD160),ISNUMBER(CD60)),ROUND(CD160-CD60,1),"")</f>
        <v>0</v>
      </c>
      <c r="CE161" s="153" t="n"/>
    </row>
    <row r="162" ht="15" customHeight="1" s="251">
      <c r="B162" s="25" t="inlineStr">
        <is>
          <t xml:space="preserve">  Adjusted operating margin %</t>
        </is>
      </c>
      <c r="C162" s="215">
        <f>IF(AND(ISNUMBER(C160),ISNUMBER(C113)),IFERROR(C160/C113,""),"")</f>
        <v>0.46255787961041</v>
      </c>
      <c r="D162" s="215">
        <f>IF(AND(ISNUMBER(D160),ISNUMBER(D113)),IFERROR(D160/D113,""),"")</f>
        <v>0.531471567066995</v>
      </c>
      <c r="E162" s="215">
        <f>IF(AND(ISNUMBER(E160),ISNUMBER(E113)),IFERROR(E160/E113,""),"")</f>
        <v>0.569001859888407</v>
      </c>
      <c r="F162" s="215">
        <f>IF(AND(ISNUMBER(F160),ISNUMBER(F113)),IFERROR(F160/F113,""),"")</f>
        <v>0.593818023508925</v>
      </c>
      <c r="G162" s="215">
        <f>IF(AND(ISNUMBER(G160),ISNUMBER(G113)),IFERROR(G160/G113,""),"")</f>
        <v>0.598503022742539</v>
      </c>
      <c r="H162" s="215">
        <f>IF(AND(ISNUMBER(H160),ISNUMBER(H113)),IFERROR(H160/H113,""),"")</f>
        <v>0.632466619817288</v>
      </c>
      <c r="I162" s="215">
        <f>IF(AND(ISNUMBER(I160),ISNUMBER(I113)),IFERROR(I160/I113,""),"")</f>
        <v>0.628803245436105</v>
      </c>
      <c r="J162" s="215">
        <f>IF(AND(ISNUMBER(J160),ISNUMBER(J113)),IFERROR(J160/J113,""),"")</f>
        <v>0.609130289903366</v>
      </c>
      <c r="K162" s="215">
        <f>IF(AND(ISNUMBER(K160),ISNUMBER(K113)),IFERROR(K160/K113,""),"")</f>
        <v>0.588967373023882</v>
      </c>
      <c r="L162" s="215">
        <f>IF(AND(ISNUMBER(L160),ISNUMBER(L113)),IFERROR(L160/L113,""),"")</f>
        <v>0.61462047885889</v>
      </c>
      <c r="M162" s="215">
        <f>IF(AND(ISNUMBER(M160),ISNUMBER(M113)),IFERROR(M160/M113,""),"")</f>
        <v>0.658320126782884</v>
      </c>
      <c r="N162" s="215">
        <f>IF(AND(ISNUMBER(N160),ISNUMBER(N113)),IFERROR(N160/N113,""),"")</f>
        <v>0.647486563389188</v>
      </c>
      <c r="O162" s="215">
        <f>IF(AND(ISNUMBER(O160),ISNUMBER(O113)),IFERROR(O160/O113,""),"")</f>
        <v>0.640253565768621</v>
      </c>
      <c r="P162" s="215">
        <f>IF(AND(ISNUMBER(P160),ISNUMBER(P113)),IFERROR(P160/P113,""),"")</f>
        <v>0.620006193868071</v>
      </c>
      <c r="Q162" s="215">
        <f>IF(AND(ISNUMBER(Q160),ISNUMBER(Q113)),IFERROR(Q160/Q113,""),"")</f>
        <v>0.641395055896709</v>
      </c>
      <c r="R162" s="215">
        <f>IF(AND(ISNUMBER(R160),ISNUMBER(R113)),IFERROR(R160/R113,""),"")</f>
        <v>0.66173861620343</v>
      </c>
      <c r="S162" s="215">
        <f>IF(AND(ISNUMBER(S160),ISNUMBER(S113)),IFERROR(S160/S113,""),"")</f>
        <v>0.669111176298035</v>
      </c>
      <c r="T162" s="215">
        <f>IF(AND(ISNUMBER(T160),ISNUMBER(T113)),IFERROR(T160/T113,""),"")</f>
        <v>0.642978965321205</v>
      </c>
      <c r="U162" s="215">
        <f>IF(AND(ISNUMBER(U160),ISNUMBER(U113)),IFERROR(U160/U113,""),"")</f>
        <v>0.639316718006161</v>
      </c>
      <c r="V162" s="215">
        <f>IF(AND(ISNUMBER(V160),ISNUMBER(V113)),IFERROR(V160/V113,""),"")</f>
        <v>0.653025936599424</v>
      </c>
      <c r="W162" s="215">
        <f>IF(AND(ISNUMBER(W160),ISNUMBER(W113)),IFERROR(W160/W113,""),"")</f>
        <v>0.672089761570827</v>
      </c>
      <c r="X162" s="215">
        <f>IF(AND(ISNUMBER(X160),ISNUMBER(X113)),IFERROR(X160/X113,""),"")</f>
        <v>0.671263099834528</v>
      </c>
      <c r="Y162" s="215">
        <f>IF(AND(ISNUMBER(Y160),ISNUMBER(Y113)),IFERROR(Y160/Y113,""),"")</f>
        <v>0.676859504132231</v>
      </c>
      <c r="Z162" s="215">
        <f>IF(AND(ISNUMBER(Z160),ISNUMBER(Z113)),IFERROR(Z160/Z113,""),"")</f>
        <v>0.641868106078385</v>
      </c>
      <c r="AA162" s="215">
        <f>IF(AND(ISNUMBER(AA160),ISNUMBER(AA113)),IFERROR(AA160/AA113,""),"")</f>
        <v>0.664500729346241</v>
      </c>
      <c r="AB162" s="215">
        <f>IF(AND(ISNUMBER(AB160),ISNUMBER(AB113)),IFERROR(AB160/AB113,""),"")</f>
        <v>0.694911454830755</v>
      </c>
      <c r="AC162" s="215">
        <f>IF(AND(ISNUMBER(AC160),ISNUMBER(AC113)),IFERROR(AC160/AC113,""),"")</f>
        <v>0.670091579182488</v>
      </c>
      <c r="AD162" s="215">
        <f>IF(AND(ISNUMBER(AD160),ISNUMBER(AD113)),IFERROR(AD160/AD113,""),"")</f>
        <v>0.662431544359255</v>
      </c>
      <c r="AE162" s="215">
        <f>IF(AND(ISNUMBER(AE160),ISNUMBER(AE113)),IFERROR(AE160/AE113,""),"")</f>
        <v>0.661585993820803</v>
      </c>
      <c r="AF162" s="215">
        <f>IF(AND(ISNUMBER(AF160),ISNUMBER(AF113)),IFERROR(AF160/AF113,""),"")</f>
        <v>0.671968624033119</v>
      </c>
      <c r="AG162" s="215">
        <f>IF(AND(ISNUMBER(AG160),ISNUMBER(AG113)),IFERROR(AG160/AG113,""),"")</f>
        <v>0.684286301933361</v>
      </c>
      <c r="AH162" s="215">
        <f>IF(AND(ISNUMBER(AH160),ISNUMBER(AH113)),IFERROR(AH160/AH113,""),"")</f>
        <v>0.657599053814311</v>
      </c>
      <c r="AI162" s="215">
        <f>IF(AND(ISNUMBER(AI160),ISNUMBER(AI113)),IFERROR(AI160/AI113,""),"")</f>
        <v>0.665076335877863</v>
      </c>
      <c r="AJ162" s="215">
        <f>IF(AND(ISNUMBER(AJ160),ISNUMBER(AJ113)),IFERROR(AJ160/AJ113,""),"")</f>
        <v>0.662679425837321</v>
      </c>
      <c r="AK162" s="215">
        <f>IF(AND(ISNUMBER(AK160),ISNUMBER(AK113)),IFERROR(AK160/AK113,""),"")</f>
        <v>0.667135717405017</v>
      </c>
      <c r="AL162" s="215">
        <f>IF(AND(ISNUMBER(AL160),ISNUMBER(AL113)),IFERROR(AL160/AL113,""),"")</f>
        <v>0.675081729022884</v>
      </c>
      <c r="AM162" s="215">
        <f>IF(AND(ISNUMBER(AM160),ISNUMBER(AM113)),IFERROR(AM160/AM113,""),"")</f>
        <v>0.662722970513287</v>
      </c>
      <c r="AN162" s="215">
        <f>IF(AND(ISNUMBER(AN160),ISNUMBER(AN113)),IFERROR(AN160/AN113,""),"")</f>
        <v>0.669178082191781</v>
      </c>
      <c r="AO162" s="215">
        <f>IF(AND(ISNUMBER(AO160),ISNUMBER(AO113)),IFERROR(AO160/AO113,""),"")</f>
        <v>0.668893596219651</v>
      </c>
      <c r="AP162" s="215">
        <f>IF(AND(ISNUMBER(AP160),ISNUMBER(AP113)),IFERROR(AP160/AP113,""),"")</f>
        <v>0.668973321147234</v>
      </c>
      <c r="AQ162" s="215">
        <f>IF(AND(ISNUMBER(AQ160),ISNUMBER(AQ113)),IFERROR(AQ160/AQ113,""),"")</f>
        <v>0.665510406342914</v>
      </c>
      <c r="AR162" s="215">
        <f>IF(AND(ISNUMBER(AR160),ISNUMBER(AR113)),IFERROR(AR160/AR113,""),"")</f>
        <v>0.673044072429108</v>
      </c>
      <c r="AS162" s="215">
        <f>IF(AND(ISNUMBER(AS160),ISNUMBER(AS113)),IFERROR(AS160/AS113,""),"")</f>
        <v>0.623526979532768</v>
      </c>
      <c r="AT162" s="215">
        <f>IF(AND(ISNUMBER(AT160),ISNUMBER(AT113)),IFERROR(AT160/AT113,""),"")</f>
        <v>0.619290335228387</v>
      </c>
      <c r="AU162" s="215">
        <f>IF(AND(ISNUMBER(AU160),ISNUMBER(AU113)),IFERROR(AU160/AU113,""),"")</f>
        <v>0.647441179163234</v>
      </c>
      <c r="AV162" s="215">
        <f>IF(AND(ISNUMBER(AV160),ISNUMBER(AV113)),IFERROR(AV160/AV113,""),"")</f>
        <v>0.678565148584491</v>
      </c>
      <c r="AW162" s="215">
        <f>IF(AND(ISNUMBER(AW160),ISNUMBER(AW113)),IFERROR(AW160/AW113,""),"")</f>
        <v>0.654739046954093</v>
      </c>
      <c r="AX162" s="215">
        <f>IF(AND(ISNUMBER(AX160),ISNUMBER(AX113)),IFERROR(AX160/AX113,""),"")</f>
        <v>0.665905383360522</v>
      </c>
      <c r="AY162" s="215">
        <f>IF(AND(ISNUMBER(AY160),ISNUMBER(AY113)),IFERROR(AY160/AY113,""),"")</f>
        <v>0.66107638359506</v>
      </c>
      <c r="AZ162" s="215">
        <f>IF(AND(ISNUMBER(AZ160),ISNUMBER(AZ113)),IFERROR(AZ160/AZ113,""),"")</f>
        <v>0.66492428956648</v>
      </c>
      <c r="BA162" s="215">
        <f>IF(AND(ISNUMBER(BA160),ISNUMBER(BA113)),IFERROR(BA160/BA113,""),"")</f>
        <v>0.700382490437739</v>
      </c>
      <c r="BB162" s="215">
        <f>IF(AND(ISNUMBER(BB160),ISNUMBER(BB113)),IFERROR(BB160/BB113,""),"")</f>
        <v>0.681875086938378</v>
      </c>
      <c r="BC162" s="215">
        <f>IF(AND(ISNUMBER(BC160),ISNUMBER(BC113)),IFERROR(BC160/BC113,""),"")</f>
        <v>0.676563573883162</v>
      </c>
      <c r="BD162" s="215">
        <f>IF(AND(ISNUMBER(BD160),ISNUMBER(BD113)),IFERROR(BD160/BD113,""),"")</f>
        <v>0.662000770514961</v>
      </c>
      <c r="BE162" s="215">
        <f>IF(AND(ISNUMBER(BE160),ISNUMBER(BE113)),IFERROR(BE160/BE113,""),"")</f>
        <v>0.679733879222109</v>
      </c>
      <c r="BF162" s="215">
        <f>IF(AND(ISNUMBER(BF160),ISNUMBER(BF113)),IFERROR(BF160/BF113,""),"")</f>
        <v>0.692666330645161</v>
      </c>
      <c r="BG162" s="215">
        <f>IF(AND(ISNUMBER(BG160),ISNUMBER(BG113)),IFERROR(BG160/BG113,""),"")</f>
        <v>0.676768941765811</v>
      </c>
      <c r="BH162" s="215">
        <f>IF(AND(ISNUMBER(BH160),ISNUMBER(BH113)),IFERROR(BH160/BH113,""),"")</f>
        <v>0.68262957035578</v>
      </c>
      <c r="BI162" s="215">
        <f>IF(AND(ISNUMBER(BI160),ISNUMBER(BI113)),IFERROR(BI160/BI113,""),"")</f>
        <v>0.665117899872227</v>
      </c>
      <c r="BJ162" s="215">
        <f>IF(AND(ISNUMBER(BJ160),ISNUMBER(BJ113)),IFERROR(BJ160/BJ113,""),"")</f>
        <v>0.6790187731602</v>
      </c>
      <c r="BK162" s="215">
        <f>IF(AND(ISNUMBER(BK160),ISNUMBER(BK113)),IFERROR(BK160/BK113,""),"")</f>
        <v>0.696664350243225</v>
      </c>
      <c r="BL162" s="215">
        <f>IF(AND(ISNUMBER(BL160),ISNUMBER(BL113)),IFERROR(BL160/BL113,""),"")</f>
        <v>0.672820512820513</v>
      </c>
      <c r="BM162" s="215">
        <f>IF(AND(ISNUMBER(BM160),ISNUMBER(BM113)),IFERROR(BM160/BM113,""),"")</f>
        <v>0.671123595505618</v>
      </c>
      <c r="BN162" s="215">
        <f>IF(AND(ISNUMBER(BN160),ISNUMBER(BN113)),IFERROR(BN160/BN113,""),"")</f>
        <v>0.668087761256109</v>
      </c>
      <c r="BO162" s="215">
        <f>IF(AND(ISNUMBER(BO160),ISNUMBER(BO113)),IFERROR(BO160/BO113,""),"")</f>
        <v>0.676863552858654</v>
      </c>
      <c r="BP162" s="215">
        <f>IF(AND(ISNUMBER(BP160),ISNUMBER(BP113)),IFERROR(BP160/BP113,""),"")</f>
        <v>0.693270241850684</v>
      </c>
      <c r="BQ162" s="215">
        <f>IF(AND(ISNUMBER(BQ160),ISNUMBER(BQ113)),IFERROR(BQ160/BQ113,""),"")</f>
        <v>0.679904106733375</v>
      </c>
      <c r="BR162" s="215">
        <f>IF(AND(ISNUMBER(BR160),ISNUMBER(BR113)),IFERROR(BR160/BR113,""),"")</f>
        <v>0.674891860007865</v>
      </c>
      <c r="BS162" s="215">
        <f>IF(AND(ISNUMBER(BS160),ISNUMBER(BS113)),IFERROR(BS160/BS113,""),"")</f>
        <v>0.663278627377844</v>
      </c>
      <c r="BT162" s="215">
        <f>IF(AND(ISNUMBER(BT160),ISNUMBER(BT113)),IFERROR(BT160/BT113,""),"")</f>
        <v>0.67735</v>
      </c>
      <c r="BU162" s="215">
        <f>IF(AND(ISNUMBER(BU160),ISNUMBER(BU113)),IFERROR(BU160/BU113,""),"")</f>
        <v>0.688927621319145</v>
      </c>
      <c r="BV162" s="215">
        <f>IF(AND(ISNUMBER(BV160),ISNUMBER(BV113)),IFERROR(BV160/BV113,""),"")</f>
        <v>0.679519145146928</v>
      </c>
      <c r="BW162" s="215">
        <f>IF(AND(ISNUMBER(BW160),ISNUMBER(BW113)),IFERROR(BW160/BW113,""),"")</f>
        <v>0.666638012550503</v>
      </c>
      <c r="BX162" s="256">
        <f>IF(AND(ISNUMBER(BX160),ISNUMBER(BX113)),IFERROR(BX160/BX113,""),"")</f>
        <v>0.659020408201248</v>
      </c>
      <c r="BY162" s="256">
        <f>IF(AND(ISNUMBER(BY160),ISNUMBER(BY113)),IFERROR(BY160/BY113,""),"")</f>
        <v>0.673074574344684</v>
      </c>
      <c r="BZ162" s="256">
        <f>IF(AND(ISNUMBER(BZ160),ISNUMBER(BZ113)),IFERROR(BZ160/BZ113,""),"")</f>
        <v>0.675</v>
      </c>
      <c r="CA162" s="256">
        <f>IF(AND(ISNUMBER(CA160),ISNUMBER(CA113)),IFERROR(CA160/CA113,""),"")</f>
        <v>0.677</v>
      </c>
      <c r="CB162" s="256">
        <f>IF(AND(ISNUMBER(CB160),ISNUMBER(CB113)),IFERROR(CB160/CB113,""),"")</f>
        <v>0.68</v>
      </c>
      <c r="CC162" s="256">
        <f>IF(AND(ISNUMBER(CC160),ISNUMBER(CC113)),IFERROR(CC160/CC113,""),"")</f>
        <v>0.68</v>
      </c>
      <c r="CD162" s="256">
        <f>IF(AND(ISNUMBER(CD160),ISNUMBER(CD113)),IFERROR(CD160/CD113,""),"")</f>
        <v>0.682</v>
      </c>
      <c r="CE162" s="153" t="n"/>
      <c r="CG162" s="37">
        <f>IFERROR(AVERAGE(BZ162,CA162,CB162,CC162,CD162),"n/m")</f>
        <v>0.6788</v>
      </c>
      <c r="CH162" s="37">
        <f>IFERROR(AVERAGE(AZ162,BE162,BJ162,BO162,BT162),"n/m")</f>
        <v>0.675578098961488</v>
      </c>
      <c r="CI162" s="37">
        <f>IFERROR(AVERAGE(AA162,AF162,AK162,AP162,AU162,AZ162,BE162,BJ162,BO162,BT162),"n/m")</f>
        <v>0.669791006590229</v>
      </c>
      <c r="CJ162" s="37">
        <f>IFERROR(AVERAGE(C162,D162,E162,F162,G162,L162,Q162,V162,AA162,AF162,AK162,AP162,AU162,AZ162,BE162,BJ162,BO162,BT162),"n/m")</f>
        <v>0.631239105004144</v>
      </c>
    </row>
    <row r="163" ht="15" customHeight="1" s="251">
      <c r="B163" s="158" t="inlineStr">
        <is>
          <t xml:space="preserve">  Definition / basis (company non-GAAP definition in force)</t>
        </is>
      </c>
      <c r="C163" s="284" t="inlineStr">
        <is>
          <t>FY2008–09: "adjusted" excl. covered-litigation reserve, IPO restructuring, asset step-up amortization; normalized 41% tax rate</t>
        </is>
      </c>
      <c r="E163" s="284" t="inlineStr">
        <is>
          <t>FY2010–11: Visa Europe put-option revaluation only</t>
        </is>
      </c>
      <c r="G163" s="284" t="inlineStr">
        <is>
          <t>FY2012: litigation provision ($4.1bn interchange MDL), reversal of tax reserves, deferred tax remeasurement</t>
        </is>
      </c>
      <c r="H163" s="284" t="inlineStr">
        <is>
          <t>FY2013 – Q3 FY14: no reconciliation for the period (adjusted = GAAP; flag)</t>
        </is>
      </c>
      <c r="P163" s="284" t="inlineStr">
        <is>
          <t>Q4 FY14: litigation provision ($450m, covered litigation)</t>
        </is>
      </c>
      <c r="T163" s="284" t="inlineStr">
        <is>
          <t>Q3 FY15 / Q1 FY16: Visa Europe put-option revaluation</t>
        </is>
      </c>
      <c r="Y163" s="284" t="inlineStr">
        <is>
          <t>FY2016: Visa Europe acquisition — framework agreement loss, acquisition costs, currency forwards, FX on euro deposits; Q4: severance, DTL remeasurement</t>
        </is>
      </c>
      <c r="AC163" s="284" t="inlineStr">
        <is>
          <t>Q2 FY17: elimination of deferred tax balances, charitable contribution</t>
        </is>
      </c>
      <c r="AG163" s="284" t="inlineStr">
        <is>
          <t>FY2018: US tax reform (DTL remeasurement, transition tax), litigation provision, charitable contribution; Q2 FY18 none</t>
        </is>
      </c>
      <c r="AL163" s="284" t="inlineStr">
        <is>
          <t>Q1–Q3 FY19: no adjustments (adjusted = GAAP; later recast under the FY2020 definition — not used)</t>
        </is>
      </c>
      <c r="AO163" s="284" t="inlineStr">
        <is>
          <t>Q4 FY19: litigation provision</t>
        </is>
      </c>
      <c r="AQ163" s="284" t="inlineStr">
        <is>
          <t>FY2020+: definition adds (gains) losses on equity investments, amortization of acquired intangible assets and acquisition-related costs</t>
        </is>
      </c>
      <c r="BB163" s="284" t="inlineStr">
        <is>
          <t>FY2022+: Russia-Ukraine charges; FY2024: indirect taxes, lease consolidation, charitable contribution; FY2025–26: severance, deferred tax benefit</t>
        </is>
      </c>
      <c r="BX163" s="153" t="n"/>
      <c r="BY163" s="153" t="n"/>
      <c r="BZ163" s="153" t="n"/>
      <c r="CA163" s="153" t="n"/>
      <c r="CB163" s="153" t="n"/>
      <c r="CC163" s="153" t="n"/>
      <c r="CD163" s="153" t="n"/>
      <c r="CE163" s="19" t="inlineStr">
        <is>
          <t>Basis changes are flagged in the column where they take effect (cell comment gives the detail).</t>
        </is>
      </c>
    </row>
    <row r="164" ht="15" customHeight="1" s="251">
      <c r="CM164" s="11" t="n"/>
      <c r="CN164" s="12" t="n"/>
      <c r="CO164" s="12" t="n"/>
      <c r="CP164" s="12" t="n"/>
      <c r="CQ164" s="13" t="n"/>
    </row>
    <row r="165" ht="15" customHeight="1" s="251">
      <c r="B165" s="10" t="inlineStr">
        <is>
          <t>RECONCILIATION: NET INCOME → EBITDA → ADJUSTED EBITDA (MODEL DEFINITION — Visa publishes no EBITDA)</t>
        </is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inlineStr">
        <is>
          <t>EBITDA (model) — net income + tax − non-operating income + D&amp;A = EBITDA; + operating adjusting items other than acquired-intangible amortization (already in D&amp;A) = adjusted EBITDA</t>
        </is>
      </c>
    </row>
    <row r="166" ht="15" customHeight="1" s="251">
      <c r="B166" s="16" t="inlineStr">
        <is>
          <t>Net income (GAAP, incl. NCI)</t>
        </is>
      </c>
      <c r="C166" s="264">
        <f>C135</f>
        <v>804</v>
      </c>
      <c r="D166" s="264">
        <f>D135</f>
        <v>2353</v>
      </c>
      <c r="E166" s="264">
        <f>E135</f>
        <v>2964</v>
      </c>
      <c r="F166" s="264">
        <f>F135</f>
        <v>3646</v>
      </c>
      <c r="G166" s="264">
        <f>G135</f>
        <v>2142</v>
      </c>
      <c r="H166" s="264">
        <f>H135</f>
        <v>1293</v>
      </c>
      <c r="I166" s="264">
        <f>I135</f>
        <v>1270</v>
      </c>
      <c r="J166" s="264">
        <f>J135</f>
        <v>1225</v>
      </c>
      <c r="K166" s="264">
        <f>K135</f>
        <v>1192</v>
      </c>
      <c r="L166" s="264">
        <f>L135</f>
        <v>4980</v>
      </c>
      <c r="M166" s="264">
        <f>M135</f>
        <v>1407</v>
      </c>
      <c r="N166" s="264">
        <f>N135</f>
        <v>1598</v>
      </c>
      <c r="O166" s="264">
        <f>O135</f>
        <v>1360</v>
      </c>
      <c r="P166" s="264">
        <f>P135</f>
        <v>1073</v>
      </c>
      <c r="Q166" s="264">
        <f>Q135</f>
        <v>5438</v>
      </c>
      <c r="R166" s="264">
        <f>R135</f>
        <v>1569</v>
      </c>
      <c r="S166" s="264">
        <f>S135</f>
        <v>1550</v>
      </c>
      <c r="T166" s="264">
        <f>T135</f>
        <v>1697</v>
      </c>
      <c r="U166" s="264">
        <f>U135</f>
        <v>1512</v>
      </c>
      <c r="V166" s="264">
        <f>V135</f>
        <v>6328</v>
      </c>
      <c r="W166" s="264">
        <f>W135</f>
        <v>1941</v>
      </c>
      <c r="X166" s="264">
        <f>X135</f>
        <v>1707</v>
      </c>
      <c r="Y166" s="264">
        <f>Y135</f>
        <v>412</v>
      </c>
      <c r="Z166" s="264">
        <f>Z135</f>
        <v>1931</v>
      </c>
      <c r="AA166" s="264">
        <f>AA135</f>
        <v>5991</v>
      </c>
      <c r="AB166" s="264">
        <f>AB135</f>
        <v>2070</v>
      </c>
      <c r="AC166" s="264">
        <f>AC135</f>
        <v>430</v>
      </c>
      <c r="AD166" s="264">
        <f>AD135</f>
        <v>2059</v>
      </c>
      <c r="AE166" s="264">
        <f>AE135</f>
        <v>2140</v>
      </c>
      <c r="AF166" s="264">
        <f>AF135</f>
        <v>6699</v>
      </c>
      <c r="AG166" s="264">
        <f>AG135</f>
        <v>2522</v>
      </c>
      <c r="AH166" s="264">
        <f>AH135</f>
        <v>2605</v>
      </c>
      <c r="AI166" s="264">
        <f>AI135</f>
        <v>2329</v>
      </c>
      <c r="AJ166" s="264">
        <f>AJ135</f>
        <v>2845</v>
      </c>
      <c r="AK166" s="264">
        <f>AK135</f>
        <v>10301</v>
      </c>
      <c r="AL166" s="264">
        <f>AL135</f>
        <v>2977</v>
      </c>
      <c r="AM166" s="264">
        <f>AM135</f>
        <v>2977</v>
      </c>
      <c r="AN166" s="264">
        <f>AN135</f>
        <v>3101</v>
      </c>
      <c r="AO166" s="264">
        <f>AO135</f>
        <v>3025</v>
      </c>
      <c r="AP166" s="264">
        <f>AP135</f>
        <v>12080</v>
      </c>
      <c r="AQ166" s="264">
        <f>AQ135</f>
        <v>3272</v>
      </c>
      <c r="AR166" s="264">
        <f>AR135</f>
        <v>3084</v>
      </c>
      <c r="AS166" s="264">
        <f>AS135</f>
        <v>2373</v>
      </c>
      <c r="AT166" s="264">
        <f>AT135</f>
        <v>2137</v>
      </c>
      <c r="AU166" s="264">
        <f>AU135</f>
        <v>10866</v>
      </c>
      <c r="AV166" s="264">
        <f>AV135</f>
        <v>3126</v>
      </c>
      <c r="AW166" s="264">
        <f>AW135</f>
        <v>3026</v>
      </c>
      <c r="AX166" s="264">
        <f>AX135</f>
        <v>2575</v>
      </c>
      <c r="AY166" s="264">
        <f>AY135</f>
        <v>3584</v>
      </c>
      <c r="AZ166" s="264">
        <f>AZ135</f>
        <v>12311</v>
      </c>
      <c r="BA166" s="264">
        <f>BA135</f>
        <v>3959</v>
      </c>
      <c r="BB166" s="264">
        <f>BB135</f>
        <v>3647</v>
      </c>
      <c r="BC166" s="264">
        <f>BC135</f>
        <v>3411</v>
      </c>
      <c r="BD166" s="264">
        <f>BD135</f>
        <v>3940</v>
      </c>
      <c r="BE166" s="264">
        <f>BE135</f>
        <v>14957</v>
      </c>
      <c r="BF166" s="264">
        <f>BF135</f>
        <v>4179</v>
      </c>
      <c r="BG166" s="264">
        <f>BG135</f>
        <v>4257</v>
      </c>
      <c r="BH166" s="264">
        <f>BH135</f>
        <v>4156</v>
      </c>
      <c r="BI166" s="264">
        <f>BI135</f>
        <v>4681</v>
      </c>
      <c r="BJ166" s="264">
        <f>BJ135</f>
        <v>17273</v>
      </c>
      <c r="BK166" s="264">
        <f>BK135</f>
        <v>4890</v>
      </c>
      <c r="BL166" s="264">
        <f>BL135</f>
        <v>4663</v>
      </c>
      <c r="BM166" s="264">
        <f>BM135</f>
        <v>4872</v>
      </c>
      <c r="BN166" s="264">
        <f>BN135</f>
        <v>5318</v>
      </c>
      <c r="BO166" s="264">
        <f>BO135</f>
        <v>19743</v>
      </c>
      <c r="BP166" s="264">
        <f>BP135</f>
        <v>5119</v>
      </c>
      <c r="BQ166" s="264">
        <f>BQ135</f>
        <v>4577</v>
      </c>
      <c r="BR166" s="264">
        <f>BR135</f>
        <v>5272</v>
      </c>
      <c r="BS166" s="264">
        <f>BS135</f>
        <v>5090</v>
      </c>
      <c r="BT166" s="264">
        <f>BT135</f>
        <v>20058</v>
      </c>
      <c r="BU166" s="264">
        <f>BU135</f>
        <v>5853</v>
      </c>
      <c r="BV166" s="264">
        <f>BV135</f>
        <v>6021</v>
      </c>
      <c r="BW166" s="264">
        <f>BW135</f>
        <v>5628</v>
      </c>
      <c r="BX166" s="265">
        <f>BX135</f>
        <v>6339.13159511568</v>
      </c>
      <c r="BY166" s="265">
        <f>BY135</f>
        <v>23841.1315951157</v>
      </c>
      <c r="BZ166" s="265">
        <f>BZ135</f>
        <v>27515.0237626951</v>
      </c>
      <c r="CA166" s="265">
        <f>CA135</f>
        <v>30493.6414408358</v>
      </c>
      <c r="CB166" s="265">
        <f>CB135</f>
        <v>33717.189753722</v>
      </c>
      <c r="CC166" s="265">
        <f>CC135</f>
        <v>36893.0465536237</v>
      </c>
      <c r="CD166" s="265">
        <f>CD135</f>
        <v>40367.8882962632</v>
      </c>
      <c r="CE166" s="153" t="n"/>
    </row>
    <row r="167" ht="15" customHeight="1" s="251">
      <c r="B167" s="25" t="inlineStr">
        <is>
          <t xml:space="preserve">  (+) Income tax provision</t>
        </is>
      </c>
      <c r="C167" s="211">
        <f>C133</f>
        <v>532</v>
      </c>
      <c r="D167" s="211">
        <f>D133</f>
        <v>1648</v>
      </c>
      <c r="E167" s="211">
        <f>E133</f>
        <v>1674</v>
      </c>
      <c r="F167" s="211">
        <f>F133</f>
        <v>2010</v>
      </c>
      <c r="G167" s="211">
        <f>G133</f>
        <v>65</v>
      </c>
      <c r="H167" s="211">
        <f>H133</f>
        <v>508</v>
      </c>
      <c r="I167" s="211">
        <f>I133</f>
        <v>587</v>
      </c>
      <c r="J167" s="211">
        <f>J133</f>
        <v>608</v>
      </c>
      <c r="K167" s="211">
        <f>K133</f>
        <v>574</v>
      </c>
      <c r="L167" s="211">
        <f>L133</f>
        <v>2277</v>
      </c>
      <c r="M167" s="211">
        <f>M133</f>
        <v>676</v>
      </c>
      <c r="N167" s="211">
        <f>N133</f>
        <v>463</v>
      </c>
      <c r="O167" s="211">
        <f>O133</f>
        <v>670</v>
      </c>
      <c r="P167" s="211">
        <f>P133</f>
        <v>477</v>
      </c>
      <c r="Q167" s="211">
        <f>Q133</f>
        <v>2286</v>
      </c>
      <c r="R167" s="211">
        <f>R133</f>
        <v>693</v>
      </c>
      <c r="S167" s="211">
        <f>S133</f>
        <v>732</v>
      </c>
      <c r="T167" s="211">
        <f>T133</f>
        <v>471</v>
      </c>
      <c r="U167" s="211">
        <f>U133</f>
        <v>771</v>
      </c>
      <c r="V167" s="211">
        <f>V133</f>
        <v>2667</v>
      </c>
      <c r="W167" s="211">
        <f>W133</f>
        <v>698</v>
      </c>
      <c r="X167" s="211">
        <f>X133</f>
        <v>734</v>
      </c>
      <c r="Y167" s="211">
        <f>Y133</f>
        <v>10</v>
      </c>
      <c r="Z167" s="211">
        <f>Z133</f>
        <v>579</v>
      </c>
      <c r="AA167" s="211">
        <f>AA133</f>
        <v>2021</v>
      </c>
      <c r="AB167" s="211">
        <f>AB133</f>
        <v>909</v>
      </c>
      <c r="AC167" s="211">
        <f>AC133</f>
        <v>2272</v>
      </c>
      <c r="AD167" s="211">
        <f>AD133</f>
        <v>855</v>
      </c>
      <c r="AE167" s="211">
        <f>AE133</f>
        <v>959</v>
      </c>
      <c r="AF167" s="211">
        <f>AF133</f>
        <v>4995</v>
      </c>
      <c r="AG167" s="211">
        <f>AG133</f>
        <v>717</v>
      </c>
      <c r="AH167" s="211">
        <f>AH133</f>
        <v>612</v>
      </c>
      <c r="AI167" s="211">
        <f>AI133</f>
        <v>483</v>
      </c>
      <c r="AJ167" s="211">
        <f>AJ133</f>
        <v>693</v>
      </c>
      <c r="AK167" s="211">
        <f>AK133</f>
        <v>2505</v>
      </c>
      <c r="AL167" s="211">
        <f>AL133</f>
        <v>653</v>
      </c>
      <c r="AM167" s="211">
        <f>AM133</f>
        <v>700</v>
      </c>
      <c r="AN167" s="211">
        <f>AN133</f>
        <v>765</v>
      </c>
      <c r="AO167" s="211">
        <f>AO133</f>
        <v>686</v>
      </c>
      <c r="AP167" s="211">
        <f>AP133</f>
        <v>2804</v>
      </c>
      <c r="AQ167" s="211">
        <f>AQ133</f>
        <v>702</v>
      </c>
      <c r="AR167" s="211">
        <f>AR133</f>
        <v>745</v>
      </c>
      <c r="AS167" s="211">
        <f>AS133</f>
        <v>559</v>
      </c>
      <c r="AT167" s="211">
        <f>AT133</f>
        <v>918</v>
      </c>
      <c r="AU167" s="211">
        <f>AU133</f>
        <v>2924</v>
      </c>
      <c r="AV167" s="211">
        <f>AV133</f>
        <v>622</v>
      </c>
      <c r="AW167" s="211">
        <f>AW133</f>
        <v>602</v>
      </c>
      <c r="AX167" s="211">
        <f>AX133</f>
        <v>1814</v>
      </c>
      <c r="AY167" s="211">
        <f>AY133</f>
        <v>714</v>
      </c>
      <c r="AZ167" s="211">
        <f>AZ133</f>
        <v>3752</v>
      </c>
      <c r="BA167" s="211">
        <f>BA133</f>
        <v>938</v>
      </c>
      <c r="BB167" s="211">
        <f>BB133</f>
        <v>895</v>
      </c>
      <c r="BC167" s="211">
        <f>BC133</f>
        <v>418</v>
      </c>
      <c r="BD167" s="211">
        <f>BD133</f>
        <v>928</v>
      </c>
      <c r="BE167" s="211">
        <f>BE133</f>
        <v>3179</v>
      </c>
      <c r="BF167" s="211">
        <f>BF133</f>
        <v>798</v>
      </c>
      <c r="BG167" s="211">
        <f>BG133</f>
        <v>1021</v>
      </c>
      <c r="BH167" s="211">
        <f>BH133</f>
        <v>990</v>
      </c>
      <c r="BI167" s="211">
        <f>BI133</f>
        <v>955</v>
      </c>
      <c r="BJ167" s="211">
        <f>BJ133</f>
        <v>3764</v>
      </c>
      <c r="BK167" s="211">
        <f>BK133</f>
        <v>1152</v>
      </c>
      <c r="BL167" s="211">
        <f>BL133</f>
        <v>850</v>
      </c>
      <c r="BM167" s="211">
        <f>BM133</f>
        <v>1117</v>
      </c>
      <c r="BN167" s="211">
        <f>BN133</f>
        <v>1054</v>
      </c>
      <c r="BO167" s="211">
        <f>BO133</f>
        <v>4173</v>
      </c>
      <c r="BP167" s="211">
        <f>BP133</f>
        <v>1081</v>
      </c>
      <c r="BQ167" s="211">
        <f>BQ133</f>
        <v>861</v>
      </c>
      <c r="BR167" s="211">
        <f>BR133</f>
        <v>1061</v>
      </c>
      <c r="BS167" s="211">
        <f>BS133</f>
        <v>1133</v>
      </c>
      <c r="BT167" s="211">
        <f>BT133</f>
        <v>4136</v>
      </c>
      <c r="BU167" s="211">
        <f>BU133</f>
        <v>873</v>
      </c>
      <c r="BV167" s="211">
        <f>BV133</f>
        <v>1153</v>
      </c>
      <c r="BW167" s="211">
        <f>BW133</f>
        <v>1205</v>
      </c>
      <c r="BX167" s="254">
        <f>BX133</f>
        <v>1486.95679391602</v>
      </c>
      <c r="BY167" s="254">
        <f>BY133</f>
        <v>4717.95679391602</v>
      </c>
      <c r="BZ167" s="254">
        <f>BZ133</f>
        <v>6245.74159030502</v>
      </c>
      <c r="CA167" s="254">
        <f>CA133</f>
        <v>6921.86952951487</v>
      </c>
      <c r="CB167" s="254">
        <f>CB133</f>
        <v>7653.59522017003</v>
      </c>
      <c r="CC167" s="254">
        <f>CC133</f>
        <v>8374.49522996367</v>
      </c>
      <c r="CD167" s="254">
        <f>CD133</f>
        <v>9163.26298749533</v>
      </c>
      <c r="CE167" s="19" t="n"/>
    </row>
    <row r="168" ht="15" customHeight="1" s="251">
      <c r="B168" s="25" t="inlineStr">
        <is>
          <t xml:space="preserve">  (−) Non-operating income (expense)</t>
        </is>
      </c>
      <c r="C168" s="211">
        <f>-C130</f>
        <v>-104</v>
      </c>
      <c r="D168" s="211">
        <f>-D130</f>
        <v>-462</v>
      </c>
      <c r="E168" s="211">
        <f>-E130</f>
        <v>-49</v>
      </c>
      <c r="F168" s="211">
        <f>-F130</f>
        <v>-200</v>
      </c>
      <c r="G168" s="211">
        <f>-G130</f>
        <v>-68</v>
      </c>
      <c r="H168" s="211">
        <f>-H130</f>
        <v>-1</v>
      </c>
      <c r="I168" s="211">
        <f>-I130</f>
        <v>3</v>
      </c>
      <c r="J168" s="211">
        <f>-J130</f>
        <v>-5</v>
      </c>
      <c r="K168" s="211">
        <f>-K130</f>
        <v>-15</v>
      </c>
      <c r="L168" s="211">
        <f>-L130</f>
        <v>-18</v>
      </c>
      <c r="M168" s="211">
        <f>-M130</f>
        <v>-6</v>
      </c>
      <c r="N168" s="211">
        <f>-N130</f>
        <v>-13</v>
      </c>
      <c r="O168" s="211">
        <f>-O130</f>
        <v>-10</v>
      </c>
      <c r="P168" s="211">
        <f>-P130</f>
        <v>2</v>
      </c>
      <c r="Q168" s="211">
        <f>-Q130</f>
        <v>-27</v>
      </c>
      <c r="R168" s="211">
        <f>-R130</f>
        <v>-24</v>
      </c>
      <c r="S168" s="211">
        <f>-S130</f>
        <v>-1</v>
      </c>
      <c r="T168" s="211">
        <f>-T130</f>
        <v>94</v>
      </c>
      <c r="U168" s="211">
        <f>-U130</f>
        <v>0</v>
      </c>
      <c r="V168" s="211">
        <f>-V130</f>
        <v>69</v>
      </c>
      <c r="W168" s="211">
        <f>-W130</f>
        <v>-243</v>
      </c>
      <c r="X168" s="211">
        <f>-X130</f>
        <v>-7</v>
      </c>
      <c r="Y168" s="211">
        <f>-Y130</f>
        <v>6</v>
      </c>
      <c r="Z168" s="211">
        <f>-Z130</f>
        <v>115</v>
      </c>
      <c r="AA168" s="211">
        <f>-AA130</f>
        <v>-129</v>
      </c>
      <c r="AB168" s="211">
        <f>-AB130</f>
        <v>121</v>
      </c>
      <c r="AC168" s="211">
        <f>-AC130</f>
        <v>106</v>
      </c>
      <c r="AD168" s="211">
        <f>-AD130</f>
        <v>110</v>
      </c>
      <c r="AE168" s="211">
        <f>-AE130</f>
        <v>113</v>
      </c>
      <c r="AF168" s="211">
        <f>-AF130</f>
        <v>450</v>
      </c>
      <c r="AG168" s="211">
        <f>-AG130</f>
        <v>88</v>
      </c>
      <c r="AH168" s="211">
        <f>-AH130</f>
        <v>119</v>
      </c>
      <c r="AI168" s="211">
        <f>-AI130</f>
        <v>73</v>
      </c>
      <c r="AJ168" s="211">
        <f>-AJ130</f>
        <v>-132</v>
      </c>
      <c r="AK168" s="211">
        <f>-AK130</f>
        <v>148</v>
      </c>
      <c r="AL168" s="211">
        <f>-AL130</f>
        <v>87</v>
      </c>
      <c r="AM168" s="211">
        <f>-AM130</f>
        <v>-36</v>
      </c>
      <c r="AN168" s="211">
        <f>-AN130</f>
        <v>42</v>
      </c>
      <c r="AO168" s="211">
        <f>-AO130</f>
        <v>24</v>
      </c>
      <c r="AP168" s="211">
        <f>-AP130</f>
        <v>117</v>
      </c>
      <c r="AQ168" s="211">
        <f>-AQ130</f>
        <v>42</v>
      </c>
      <c r="AR168" s="211">
        <f>-AR130</f>
        <v>95</v>
      </c>
      <c r="AS168" s="211">
        <f>-AS130</f>
        <v>67</v>
      </c>
      <c r="AT168" s="211">
        <f>-AT130</f>
        <v>87</v>
      </c>
      <c r="AU168" s="211">
        <f>-AU130</f>
        <v>291</v>
      </c>
      <c r="AV168" s="211">
        <f>-AV130</f>
        <v>96</v>
      </c>
      <c r="AW168" s="211">
        <f>-AW130</f>
        <v>-47</v>
      </c>
      <c r="AX168" s="211">
        <f>-AX130</f>
        <v>-325</v>
      </c>
      <c r="AY168" s="211">
        <f>-AY130</f>
        <v>17</v>
      </c>
      <c r="AZ168" s="211">
        <f>-AZ130</f>
        <v>-259</v>
      </c>
      <c r="BA168" s="211">
        <f>-BA130</f>
        <v>-121</v>
      </c>
      <c r="BB168" s="211">
        <f>-BB130</f>
        <v>260</v>
      </c>
      <c r="BC168" s="211">
        <f>-BC130</f>
        <v>319</v>
      </c>
      <c r="BD168" s="211">
        <f>-BD130</f>
        <v>219</v>
      </c>
      <c r="BE168" s="211">
        <f>-BE130</f>
        <v>677</v>
      </c>
      <c r="BF168" s="211">
        <f>-BF130</f>
        <v>113</v>
      </c>
      <c r="BG168" s="211">
        <f>-BG130</f>
        <v>58</v>
      </c>
      <c r="BH168" s="211">
        <f>-BH130</f>
        <v>-122</v>
      </c>
      <c r="BI168" s="211">
        <f>-BI130</f>
        <v>-86</v>
      </c>
      <c r="BJ168" s="211">
        <f>-BJ130</f>
        <v>-37</v>
      </c>
      <c r="BK168" s="211">
        <f>-BK130</f>
        <v>-88</v>
      </c>
      <c r="BL168" s="211">
        <f>-BL130</f>
        <v>-159</v>
      </c>
      <c r="BM168" s="211">
        <f>-BM130</f>
        <v>-51</v>
      </c>
      <c r="BN168" s="211">
        <f>-BN130</f>
        <v>-23</v>
      </c>
      <c r="BO168" s="211">
        <f>-BO130</f>
        <v>-321</v>
      </c>
      <c r="BP168" s="211">
        <f>-BP130</f>
        <v>34</v>
      </c>
      <c r="BQ168" s="211">
        <f>-BQ130</f>
        <v>-3</v>
      </c>
      <c r="BR168" s="211">
        <f>-BR130</f>
        <v>-156</v>
      </c>
      <c r="BS168" s="211">
        <f>-BS130</f>
        <v>-75</v>
      </c>
      <c r="BT168" s="211">
        <f>-BT130</f>
        <v>-200</v>
      </c>
      <c r="BU168" s="211">
        <f>-BU130</f>
        <v>11</v>
      </c>
      <c r="BV168" s="211">
        <f>-BV130</f>
        <v>60</v>
      </c>
      <c r="BW168" s="211">
        <f>-BW130</f>
        <v>44</v>
      </c>
      <c r="BX168" s="254">
        <f>-BX130</f>
        <v>81</v>
      </c>
      <c r="BY168" s="254">
        <f>-BY130</f>
        <v>196</v>
      </c>
      <c r="BZ168" s="254">
        <f>-BZ130</f>
        <v>129.936437070288</v>
      </c>
      <c r="CA168" s="254">
        <f>-CA130</f>
        <v>317.140271935139</v>
      </c>
      <c r="CB168" s="254">
        <f>-CB130</f>
        <v>412.296420929818</v>
      </c>
      <c r="CC168" s="254">
        <f>-CC130</f>
        <v>490.20694629916</v>
      </c>
      <c r="CD168" s="254">
        <f>-CD130</f>
        <v>567.332857479906</v>
      </c>
      <c r="CE168" s="19" t="n"/>
    </row>
    <row r="169" ht="15" customHeight="1" s="251">
      <c r="B169" s="16" t="inlineStr">
        <is>
          <t xml:space="preserve">  = Operating income</t>
        </is>
      </c>
      <c r="C169" s="264">
        <f>IF(ISNUMBER(C166),C166+C167+C168,"")</f>
        <v>1232</v>
      </c>
      <c r="D169" s="264">
        <f>IF(ISNUMBER(D166),D166+D167+D168,"")</f>
        <v>3539</v>
      </c>
      <c r="E169" s="264">
        <f>IF(ISNUMBER(E166),E166+E167+E168,"")</f>
        <v>4589</v>
      </c>
      <c r="F169" s="264">
        <f>IF(ISNUMBER(F166),F166+F167+F168,"")</f>
        <v>5456</v>
      </c>
      <c r="G169" s="264">
        <f>IF(ISNUMBER(G166),G166+G167+G168,"")</f>
        <v>2139</v>
      </c>
      <c r="H169" s="264">
        <f>IF(ISNUMBER(H166),H166+H167+H168,"")</f>
        <v>1800</v>
      </c>
      <c r="I169" s="264">
        <f>IF(ISNUMBER(I166),I166+I167+I168,"")</f>
        <v>1860</v>
      </c>
      <c r="J169" s="264">
        <f>IF(ISNUMBER(J166),J166+J167+J168,"")</f>
        <v>1828</v>
      </c>
      <c r="K169" s="264">
        <f>IF(ISNUMBER(K166),K166+K167+K168,"")</f>
        <v>1751</v>
      </c>
      <c r="L169" s="264">
        <f>IF(ISNUMBER(L166),L166+L167+L168,"")</f>
        <v>7239</v>
      </c>
      <c r="M169" s="264">
        <f>IF(ISNUMBER(M166),M166+M167+M168,"")</f>
        <v>2077</v>
      </c>
      <c r="N169" s="264">
        <f>IF(ISNUMBER(N166),N166+N167+N168,"")</f>
        <v>2048</v>
      </c>
      <c r="O169" s="264">
        <f>IF(ISNUMBER(O166),O166+O167+O168,"")</f>
        <v>2020</v>
      </c>
      <c r="P169" s="264">
        <f>IF(ISNUMBER(P166),P166+P167+P168,"")</f>
        <v>1552</v>
      </c>
      <c r="Q169" s="264">
        <f>IF(ISNUMBER(Q166),Q166+Q167+Q168,"")</f>
        <v>7697</v>
      </c>
      <c r="R169" s="264">
        <f>IF(ISNUMBER(R166),R166+R167+R168,"")</f>
        <v>2238</v>
      </c>
      <c r="S169" s="264">
        <f>IF(ISNUMBER(S166),S166+S167+S168,"")</f>
        <v>2281</v>
      </c>
      <c r="T169" s="264">
        <f>IF(ISNUMBER(T166),T166+T167+T168,"")</f>
        <v>2262</v>
      </c>
      <c r="U169" s="264">
        <f>IF(ISNUMBER(U166),U166+U167+U168,"")</f>
        <v>2283</v>
      </c>
      <c r="V169" s="264">
        <f>IF(ISNUMBER(V166),V166+V167+V168,"")</f>
        <v>9064</v>
      </c>
      <c r="W169" s="264">
        <f>IF(ISNUMBER(W166),W166+W167+W168,"")</f>
        <v>2396</v>
      </c>
      <c r="X169" s="264">
        <f>IF(ISNUMBER(X166),X166+X167+X168,"")</f>
        <v>2434</v>
      </c>
      <c r="Y169" s="264">
        <f>IF(ISNUMBER(Y166),Y166+Y167+Y168,"")</f>
        <v>428</v>
      </c>
      <c r="Z169" s="264">
        <f>IF(ISNUMBER(Z166),Z166+Z167+Z168,"")</f>
        <v>2625</v>
      </c>
      <c r="AA169" s="264">
        <f>IF(ISNUMBER(AA166),AA166+AA167+AA168,"")</f>
        <v>7883</v>
      </c>
      <c r="AB169" s="264">
        <f>IF(ISNUMBER(AB166),AB166+AB167+AB168,"")</f>
        <v>3100</v>
      </c>
      <c r="AC169" s="264">
        <f>IF(ISNUMBER(AC166),AC166+AC167+AC168,"")</f>
        <v>2808</v>
      </c>
      <c r="AD169" s="264">
        <f>IF(ISNUMBER(AD166),AD166+AD167+AD168,"")</f>
        <v>3024</v>
      </c>
      <c r="AE169" s="264">
        <f>IF(ISNUMBER(AE166),AE166+AE167+AE168,"")</f>
        <v>3212</v>
      </c>
      <c r="AF169" s="264">
        <f>IF(ISNUMBER(AF166),AF166+AF167+AF168,"")</f>
        <v>12144</v>
      </c>
      <c r="AG169" s="264">
        <f>IF(ISNUMBER(AG166),AG166+AG167+AG168,"")</f>
        <v>3327</v>
      </c>
      <c r="AH169" s="264">
        <f>IF(ISNUMBER(AH166),AH166+AH167+AH168,"")</f>
        <v>3336</v>
      </c>
      <c r="AI169" s="264">
        <f>IF(ISNUMBER(AI166),AI166+AI167+AI168,"")</f>
        <v>2885</v>
      </c>
      <c r="AJ169" s="264">
        <f>IF(ISNUMBER(AJ166),AJ166+AJ167+AJ168,"")</f>
        <v>3406</v>
      </c>
      <c r="AK169" s="264">
        <f>IF(ISNUMBER(AK166),AK166+AK167+AK168,"")</f>
        <v>12954</v>
      </c>
      <c r="AL169" s="264">
        <f>IF(ISNUMBER(AL166),AL166+AL167+AL168,"")</f>
        <v>3717</v>
      </c>
      <c r="AM169" s="264">
        <f>IF(ISNUMBER(AM166),AM166+AM167+AM168,"")</f>
        <v>3641</v>
      </c>
      <c r="AN169" s="264">
        <f>IF(ISNUMBER(AN166),AN166+AN167+AN168,"")</f>
        <v>3908</v>
      </c>
      <c r="AO169" s="264">
        <f>IF(ISNUMBER(AO166),AO166+AO167+AO168,"")</f>
        <v>3735</v>
      </c>
      <c r="AP169" s="264">
        <f>IF(ISNUMBER(AP166),AP166+AP167+AP168,"")</f>
        <v>15001</v>
      </c>
      <c r="AQ169" s="264">
        <f>IF(ISNUMBER(AQ166),AQ166+AQ167+AQ168,"")</f>
        <v>4016</v>
      </c>
      <c r="AR169" s="264">
        <f>IF(ISNUMBER(AR166),AR166+AR167+AR168,"")</f>
        <v>3924</v>
      </c>
      <c r="AS169" s="264">
        <f>IF(ISNUMBER(AS166),AS166+AS167+AS168,"")</f>
        <v>2999</v>
      </c>
      <c r="AT169" s="264">
        <f>IF(ISNUMBER(AT166),AT166+AT167+AT168,"")</f>
        <v>3142</v>
      </c>
      <c r="AU169" s="264">
        <f>IF(ISNUMBER(AU166),AU166+AU167+AU168,"")</f>
        <v>14081</v>
      </c>
      <c r="AV169" s="264">
        <f>IF(ISNUMBER(AV166),AV166+AV167+AV168,"")</f>
        <v>3844</v>
      </c>
      <c r="AW169" s="264">
        <f>IF(ISNUMBER(AW166),AW166+AW167+AW168,"")</f>
        <v>3581</v>
      </c>
      <c r="AX169" s="264">
        <f>IF(ISNUMBER(AX166),AX166+AX167+AX168,"")</f>
        <v>4064</v>
      </c>
      <c r="AY169" s="264">
        <f>IF(ISNUMBER(AY166),AY166+AY167+AY168,"")</f>
        <v>4315</v>
      </c>
      <c r="AZ169" s="264">
        <f>IF(ISNUMBER(AZ166),AZ166+AZ167+AZ168,"")</f>
        <v>15804</v>
      </c>
      <c r="BA169" s="264">
        <f>IF(ISNUMBER(BA166),BA166+BA167+BA168,"")</f>
        <v>4776</v>
      </c>
      <c r="BB169" s="264">
        <f>IF(ISNUMBER(BB166),BB166+BB167+BB168,"")</f>
        <v>4802</v>
      </c>
      <c r="BC169" s="264">
        <f>IF(ISNUMBER(BC166),BC166+BC167+BC168,"")</f>
        <v>4148</v>
      </c>
      <c r="BD169" s="264">
        <f>IF(ISNUMBER(BD166),BD166+BD167+BD168,"")</f>
        <v>5087</v>
      </c>
      <c r="BE169" s="264">
        <f>IF(ISNUMBER(BE166),BE166+BE167+BE168,"")</f>
        <v>18813</v>
      </c>
      <c r="BF169" s="264">
        <f>IF(ISNUMBER(BF166),BF166+BF167+BF168,"")</f>
        <v>5090</v>
      </c>
      <c r="BG169" s="264">
        <f>IF(ISNUMBER(BG166),BG166+BG167+BG168,"")</f>
        <v>5336</v>
      </c>
      <c r="BH169" s="264">
        <f>IF(ISNUMBER(BH166),BH166+BH167+BH168,"")</f>
        <v>5024</v>
      </c>
      <c r="BI169" s="264">
        <f>IF(ISNUMBER(BI166),BI166+BI167+BI168,"")</f>
        <v>5550</v>
      </c>
      <c r="BJ169" s="264">
        <f>IF(ISNUMBER(BJ166),BJ166+BJ167+BJ168,"")</f>
        <v>21000</v>
      </c>
      <c r="BK169" s="264">
        <f>IF(ISNUMBER(BK166),BK166+BK167+BK168,"")</f>
        <v>5954</v>
      </c>
      <c r="BL169" s="264">
        <f>IF(ISNUMBER(BL166),BL166+BL167+BL168,"")</f>
        <v>5354</v>
      </c>
      <c r="BM169" s="264">
        <f>IF(ISNUMBER(BM166),BM166+BM167+BM168,"")</f>
        <v>5938</v>
      </c>
      <c r="BN169" s="264">
        <f>IF(ISNUMBER(BN166),BN166+BN167+BN168,"")</f>
        <v>6349</v>
      </c>
      <c r="BO169" s="264">
        <f>IF(ISNUMBER(BO166),BO166+BO167+BO168,"")</f>
        <v>23595</v>
      </c>
      <c r="BP169" s="264">
        <f>IF(ISNUMBER(BP166),BP166+BP167+BP168,"")</f>
        <v>6234</v>
      </c>
      <c r="BQ169" s="264">
        <f>IF(ISNUMBER(BQ166),BQ166+BQ167+BQ168,"")</f>
        <v>5435</v>
      </c>
      <c r="BR169" s="264">
        <f>IF(ISNUMBER(BR166),BR166+BR167+BR168,"")</f>
        <v>6177</v>
      </c>
      <c r="BS169" s="264">
        <f>IF(ISNUMBER(BS166),BS166+BS167+BS168,"")</f>
        <v>6148</v>
      </c>
      <c r="BT169" s="264">
        <f>IF(ISNUMBER(BT166),BT166+BT167+BT168,"")</f>
        <v>23994</v>
      </c>
      <c r="BU169" s="264">
        <f>IF(ISNUMBER(BU166),BU166+BU167+BU168,"")</f>
        <v>6737</v>
      </c>
      <c r="BV169" s="264">
        <f>IF(ISNUMBER(BV166),BV166+BV167+BV168,"")</f>
        <v>7234</v>
      </c>
      <c r="BW169" s="264">
        <f>IF(ISNUMBER(BW166),BW166+BW167+BW168,"")</f>
        <v>6877</v>
      </c>
      <c r="BX169" s="265">
        <f>IF(ISNUMBER(BX166),BX166+BX167+BX168,"")</f>
        <v>7907.08838903171</v>
      </c>
      <c r="BY169" s="265">
        <f>IF(ISNUMBER(BY166),BY166+BY167+BY168,"")</f>
        <v>28755.0883890317</v>
      </c>
      <c r="BZ169" s="265">
        <f>IF(ISNUMBER(BZ166),BZ166+BZ167+BZ168,"")</f>
        <v>33890.7017900704</v>
      </c>
      <c r="CA169" s="265">
        <f>IF(ISNUMBER(CA166),CA166+CA167+CA168,"")</f>
        <v>37732.6512422858</v>
      </c>
      <c r="CB169" s="265">
        <f>IF(ISNUMBER(CB166),CB166+CB167+CB168,"")</f>
        <v>41783.0813948218</v>
      </c>
      <c r="CC169" s="265">
        <f>IF(ISNUMBER(CC166),CC166+CC167+CC168,"")</f>
        <v>45757.7487298866</v>
      </c>
      <c r="CD169" s="265">
        <f>IF(ISNUMBER(CD166),CD166+CD167+CD168,"")</f>
        <v>50098.4841412385</v>
      </c>
      <c r="CE169" s="153" t="n"/>
    </row>
    <row r="170" ht="15" customHeight="1" s="251">
      <c r="B170" s="57" t="inlineStr">
        <is>
          <t xml:space="preserve">  Check: vs reported operating income (should be 0)</t>
        </is>
      </c>
      <c r="C170" s="211">
        <f>IF(ISNUMBER(C169),IF(ABS(C169-C125)&lt;=1.01,0,ROUND(C169-C125,1)),"")</f>
        <v>0</v>
      </c>
      <c r="D170" s="211">
        <f>IF(ISNUMBER(D169),IF(ABS(D169-D125)&lt;=1.01,0,ROUND(D169-D125,1)),"")</f>
        <v>0</v>
      </c>
      <c r="E170" s="211">
        <f>IF(ISNUMBER(E169),IF(ABS(E169-E125)&lt;=1.01,0,ROUND(E169-E125,1)),"")</f>
        <v>0</v>
      </c>
      <c r="F170" s="211">
        <f>IF(ISNUMBER(F169),IF(ABS(F169-F125)&lt;=1.01,0,ROUND(F169-F125,1)),"")</f>
        <v>0</v>
      </c>
      <c r="G170" s="211">
        <f>IF(ISNUMBER(G169),IF(ABS(G169-G125)&lt;=1.01,0,ROUND(G169-G125,1)),"")</f>
        <v>0</v>
      </c>
      <c r="H170" s="211">
        <f>IF(ISNUMBER(H169),IF(ABS(H169-H125)&lt;=1.01,0,ROUND(H169-H125,1)),"")</f>
        <v>0</v>
      </c>
      <c r="I170" s="211">
        <f>IF(ISNUMBER(I169),IF(ABS(I169-I125)&lt;=1.01,0,ROUND(I169-I125,1)),"")</f>
        <v>0</v>
      </c>
      <c r="J170" s="211">
        <f>IF(ISNUMBER(J169),IF(ABS(J169-J125)&lt;=1.01,0,ROUND(J169-J125,1)),"")</f>
        <v>0</v>
      </c>
      <c r="K170" s="211">
        <f>IF(ISNUMBER(K169),IF(ABS(K169-K125)&lt;=1.01,0,ROUND(K169-K125,1)),"")</f>
        <v>0</v>
      </c>
      <c r="L170" s="211">
        <f>IF(ISNUMBER(L169),IF(ABS(L169-L125)&lt;=1.01,0,ROUND(L169-L125,1)),"")</f>
        <v>0</v>
      </c>
      <c r="M170" s="211">
        <f>IF(ISNUMBER(M169),IF(ABS(M169-M125)&lt;=1.01,0,ROUND(M169-M125,1)),"")</f>
        <v>0</v>
      </c>
      <c r="N170" s="211">
        <f>IF(ISNUMBER(N169),IF(ABS(N169-N125)&lt;=1.01,0,ROUND(N169-N125,1)),"")</f>
        <v>0</v>
      </c>
      <c r="O170" s="211">
        <f>IF(ISNUMBER(O169),IF(ABS(O169-O125)&lt;=1.01,0,ROUND(O169-O125,1)),"")</f>
        <v>0</v>
      </c>
      <c r="P170" s="211">
        <f>IF(ISNUMBER(P169),IF(ABS(P169-P125)&lt;=1.01,0,ROUND(P169-P125,1)),"")</f>
        <v>0</v>
      </c>
      <c r="Q170" s="211">
        <f>IF(ISNUMBER(Q169),IF(ABS(Q169-Q125)&lt;=1.01,0,ROUND(Q169-Q125,1)),"")</f>
        <v>0</v>
      </c>
      <c r="R170" s="211">
        <f>IF(ISNUMBER(R169),IF(ABS(R169-R125)&lt;=1.01,0,ROUND(R169-R125,1)),"")</f>
        <v>0</v>
      </c>
      <c r="S170" s="211">
        <f>IF(ISNUMBER(S169),IF(ABS(S169-S125)&lt;=1.01,0,ROUND(S169-S125,1)),"")</f>
        <v>0</v>
      </c>
      <c r="T170" s="211">
        <f>IF(ISNUMBER(T169),IF(ABS(T169-T125)&lt;=1.01,0,ROUND(T169-T125,1)),"")</f>
        <v>0</v>
      </c>
      <c r="U170" s="211">
        <f>IF(ISNUMBER(U169),IF(ABS(U169-U125)&lt;=1.01,0,ROUND(U169-U125,1)),"")</f>
        <v>0</v>
      </c>
      <c r="V170" s="211">
        <f>IF(ISNUMBER(V169),IF(ABS(V169-V125)&lt;=1.01,0,ROUND(V169-V125,1)),"")</f>
        <v>0</v>
      </c>
      <c r="W170" s="211">
        <f>IF(ISNUMBER(W169),IF(ABS(W169-W125)&lt;=1.01,0,ROUND(W169-W125,1)),"")</f>
        <v>0</v>
      </c>
      <c r="X170" s="211">
        <f>IF(ISNUMBER(X169),IF(ABS(X169-X125)&lt;=1.01,0,ROUND(X169-X125,1)),"")</f>
        <v>0</v>
      </c>
      <c r="Y170" s="211">
        <f>IF(ISNUMBER(Y169),IF(ABS(Y169-Y125)&lt;=1.01,0,ROUND(Y169-Y125,1)),"")</f>
        <v>0</v>
      </c>
      <c r="Z170" s="211">
        <f>IF(ISNUMBER(Z169),IF(ABS(Z169-Z125)&lt;=1.01,0,ROUND(Z169-Z125,1)),"")</f>
        <v>0</v>
      </c>
      <c r="AA170" s="211">
        <f>IF(ISNUMBER(AA169),IF(ABS(AA169-AA125)&lt;=1.01,0,ROUND(AA169-AA125,1)),"")</f>
        <v>0</v>
      </c>
      <c r="AB170" s="211">
        <f>IF(ISNUMBER(AB169),IF(ABS(AB169-AB125)&lt;=1.01,0,ROUND(AB169-AB125,1)),"")</f>
        <v>0</v>
      </c>
      <c r="AC170" s="211">
        <f>IF(ISNUMBER(AC169),IF(ABS(AC169-AC125)&lt;=1.01,0,ROUND(AC169-AC125,1)),"")</f>
        <v>0</v>
      </c>
      <c r="AD170" s="211">
        <f>IF(ISNUMBER(AD169),IF(ABS(AD169-AD125)&lt;=1.01,0,ROUND(AD169-AD125,1)),"")</f>
        <v>0</v>
      </c>
      <c r="AE170" s="211">
        <f>IF(ISNUMBER(AE169),IF(ABS(AE169-AE125)&lt;=1.01,0,ROUND(AE169-AE125,1)),"")</f>
        <v>0</v>
      </c>
      <c r="AF170" s="211">
        <f>IF(ISNUMBER(AF169),IF(ABS(AF169-AF125)&lt;=1.01,0,ROUND(AF169-AF125,1)),"")</f>
        <v>0</v>
      </c>
      <c r="AG170" s="211">
        <f>IF(ISNUMBER(AG169),IF(ABS(AG169-AG125)&lt;=1.01,0,ROUND(AG169-AG125,1)),"")</f>
        <v>0</v>
      </c>
      <c r="AH170" s="211">
        <f>IF(ISNUMBER(AH169),IF(ABS(AH169-AH125)&lt;=1.01,0,ROUND(AH169-AH125,1)),"")</f>
        <v>0</v>
      </c>
      <c r="AI170" s="211">
        <f>IF(ISNUMBER(AI169),IF(ABS(AI169-AI125)&lt;=1.01,0,ROUND(AI169-AI125,1)),"")</f>
        <v>0</v>
      </c>
      <c r="AJ170" s="211">
        <f>IF(ISNUMBER(AJ169),IF(ABS(AJ169-AJ125)&lt;=1.01,0,ROUND(AJ169-AJ125,1)),"")</f>
        <v>0</v>
      </c>
      <c r="AK170" s="211">
        <f>IF(ISNUMBER(AK169),IF(ABS(AK169-AK125)&lt;=1.01,0,ROUND(AK169-AK125,1)),"")</f>
        <v>0</v>
      </c>
      <c r="AL170" s="211">
        <f>IF(ISNUMBER(AL169),IF(ABS(AL169-AL125)&lt;=1.01,0,ROUND(AL169-AL125,1)),"")</f>
        <v>0</v>
      </c>
      <c r="AM170" s="211">
        <f>IF(ISNUMBER(AM169),IF(ABS(AM169-AM125)&lt;=1.01,0,ROUND(AM169-AM125,1)),"")</f>
        <v>0</v>
      </c>
      <c r="AN170" s="211">
        <f>IF(ISNUMBER(AN169),IF(ABS(AN169-AN125)&lt;=1.01,0,ROUND(AN169-AN125,1)),"")</f>
        <v>0</v>
      </c>
      <c r="AO170" s="211">
        <f>IF(ISNUMBER(AO169),IF(ABS(AO169-AO125)&lt;=1.01,0,ROUND(AO169-AO125,1)),"")</f>
        <v>0</v>
      </c>
      <c r="AP170" s="211">
        <f>IF(ISNUMBER(AP169),IF(ABS(AP169-AP125)&lt;=1.01,0,ROUND(AP169-AP125,1)),"")</f>
        <v>0</v>
      </c>
      <c r="AQ170" s="211">
        <f>IF(ISNUMBER(AQ169),IF(ABS(AQ169-AQ125)&lt;=1.01,0,ROUND(AQ169-AQ125,1)),"")</f>
        <v>0</v>
      </c>
      <c r="AR170" s="211">
        <f>IF(ISNUMBER(AR169),IF(ABS(AR169-AR125)&lt;=1.01,0,ROUND(AR169-AR125,1)),"")</f>
        <v>0</v>
      </c>
      <c r="AS170" s="211">
        <f>IF(ISNUMBER(AS169),IF(ABS(AS169-AS125)&lt;=1.01,0,ROUND(AS169-AS125,1)),"")</f>
        <v>0</v>
      </c>
      <c r="AT170" s="211">
        <f>IF(ISNUMBER(AT169),IF(ABS(AT169-AT125)&lt;=1.01,0,ROUND(AT169-AT125,1)),"")</f>
        <v>0</v>
      </c>
      <c r="AU170" s="211">
        <f>IF(ISNUMBER(AU169),IF(ABS(AU169-AU125)&lt;=1.01,0,ROUND(AU169-AU125,1)),"")</f>
        <v>0</v>
      </c>
      <c r="AV170" s="211">
        <f>IF(ISNUMBER(AV169),IF(ABS(AV169-AV125)&lt;=1.01,0,ROUND(AV169-AV125,1)),"")</f>
        <v>0</v>
      </c>
      <c r="AW170" s="211">
        <f>IF(ISNUMBER(AW169),IF(ABS(AW169-AW125)&lt;=1.01,0,ROUND(AW169-AW125,1)),"")</f>
        <v>0</v>
      </c>
      <c r="AX170" s="211">
        <f>IF(ISNUMBER(AX169),IF(ABS(AX169-AX125)&lt;=1.01,0,ROUND(AX169-AX125,1)),"")</f>
        <v>0</v>
      </c>
      <c r="AY170" s="211">
        <f>IF(ISNUMBER(AY169),IF(ABS(AY169-AY125)&lt;=1.01,0,ROUND(AY169-AY125,1)),"")</f>
        <v>0</v>
      </c>
      <c r="AZ170" s="211">
        <f>IF(ISNUMBER(AZ169),IF(ABS(AZ169-AZ125)&lt;=1.01,0,ROUND(AZ169-AZ125,1)),"")</f>
        <v>0</v>
      </c>
      <c r="BA170" s="211">
        <f>IF(ISNUMBER(BA169),IF(ABS(BA169-BA125)&lt;=1.01,0,ROUND(BA169-BA125,1)),"")</f>
        <v>0</v>
      </c>
      <c r="BB170" s="211">
        <f>IF(ISNUMBER(BB169),IF(ABS(BB169-BB125)&lt;=1.01,0,ROUND(BB169-BB125,1)),"")</f>
        <v>0</v>
      </c>
      <c r="BC170" s="211">
        <f>IF(ISNUMBER(BC169),IF(ABS(BC169-BC125)&lt;=1.01,0,ROUND(BC169-BC125,1)),"")</f>
        <v>0</v>
      </c>
      <c r="BD170" s="211">
        <f>IF(ISNUMBER(BD169),IF(ABS(BD169-BD125)&lt;=1.01,0,ROUND(BD169-BD125,1)),"")</f>
        <v>0</v>
      </c>
      <c r="BE170" s="211">
        <f>IF(ISNUMBER(BE169),IF(ABS(BE169-BE125)&lt;=1.01,0,ROUND(BE169-BE125,1)),"")</f>
        <v>0</v>
      </c>
      <c r="BF170" s="211">
        <f>IF(ISNUMBER(BF169),IF(ABS(BF169-BF125)&lt;=1.01,0,ROUND(BF169-BF125,1)),"")</f>
        <v>0</v>
      </c>
      <c r="BG170" s="211">
        <f>IF(ISNUMBER(BG169),IF(ABS(BG169-BG125)&lt;=1.01,0,ROUND(BG169-BG125,1)),"")</f>
        <v>0</v>
      </c>
      <c r="BH170" s="211">
        <f>IF(ISNUMBER(BH169),IF(ABS(BH169-BH125)&lt;=1.01,0,ROUND(BH169-BH125,1)),"")</f>
        <v>0</v>
      </c>
      <c r="BI170" s="211">
        <f>IF(ISNUMBER(BI169),IF(ABS(BI169-BI125)&lt;=1.01,0,ROUND(BI169-BI125,1)),"")</f>
        <v>0</v>
      </c>
      <c r="BJ170" s="211">
        <f>IF(ISNUMBER(BJ169),IF(ABS(BJ169-BJ125)&lt;=1.01,0,ROUND(BJ169-BJ125,1)),"")</f>
        <v>0</v>
      </c>
      <c r="BK170" s="211">
        <f>IF(ISNUMBER(BK169),IF(ABS(BK169-BK125)&lt;=1.01,0,ROUND(BK169-BK125,1)),"")</f>
        <v>0</v>
      </c>
      <c r="BL170" s="211">
        <f>IF(ISNUMBER(BL169),IF(ABS(BL169-BL125)&lt;=1.01,0,ROUND(BL169-BL125,1)),"")</f>
        <v>0</v>
      </c>
      <c r="BM170" s="211">
        <f>IF(ISNUMBER(BM169),IF(ABS(BM169-BM125)&lt;=1.01,0,ROUND(BM169-BM125,1)),"")</f>
        <v>0</v>
      </c>
      <c r="BN170" s="211">
        <f>IF(ISNUMBER(BN169),IF(ABS(BN169-BN125)&lt;=1.01,0,ROUND(BN169-BN125,1)),"")</f>
        <v>0</v>
      </c>
      <c r="BO170" s="211">
        <f>IF(ISNUMBER(BO169),IF(ABS(BO169-BO125)&lt;=1.01,0,ROUND(BO169-BO125,1)),"")</f>
        <v>0</v>
      </c>
      <c r="BP170" s="211">
        <f>IF(ISNUMBER(BP169),IF(ABS(BP169-BP125)&lt;=1.01,0,ROUND(BP169-BP125,1)),"")</f>
        <v>0</v>
      </c>
      <c r="BQ170" s="211">
        <f>IF(ISNUMBER(BQ169),IF(ABS(BQ169-BQ125)&lt;=1.01,0,ROUND(BQ169-BQ125,1)),"")</f>
        <v>0</v>
      </c>
      <c r="BR170" s="211">
        <f>IF(ISNUMBER(BR169),IF(ABS(BR169-BR125)&lt;=1.01,0,ROUND(BR169-BR125,1)),"")</f>
        <v>0</v>
      </c>
      <c r="BS170" s="211">
        <f>IF(ISNUMBER(BS169),IF(ABS(BS169-BS125)&lt;=1.01,0,ROUND(BS169-BS125,1)),"")</f>
        <v>0</v>
      </c>
      <c r="BT170" s="211">
        <f>IF(ISNUMBER(BT169),IF(ABS(BT169-BT125)&lt;=1.01,0,ROUND(BT169-BT125,1)),"")</f>
        <v>0</v>
      </c>
      <c r="BU170" s="211">
        <f>IF(ISNUMBER(BU169),IF(ABS(BU169-BU125)&lt;=1.01,0,ROUND(BU169-BU125,1)),"")</f>
        <v>0</v>
      </c>
      <c r="BV170" s="211">
        <f>IF(ISNUMBER(BV169),IF(ABS(BV169-BV125)&lt;=1.01,0,ROUND(BV169-BV125,1)),"")</f>
        <v>0</v>
      </c>
      <c r="BW170" s="211">
        <f>IF(ISNUMBER(BW169),IF(ABS(BW169-BW125)&lt;=1.01,0,ROUND(BW169-BW125,1)),"")</f>
        <v>0</v>
      </c>
      <c r="BX170" s="153" t="n"/>
      <c r="BY170" s="153" t="n"/>
      <c r="BZ170" s="153" t="n"/>
      <c r="CA170" s="153" t="n"/>
      <c r="CB170" s="153" t="n"/>
      <c r="CC170" s="153" t="n"/>
      <c r="CD170" s="153" t="n"/>
      <c r="CE170" s="153" t="n"/>
    </row>
    <row r="171" ht="15" customHeight="1" s="251">
      <c r="B171" s="25" t="inlineStr">
        <is>
          <t xml:space="preserve">  (+) Depreciation &amp; amortization</t>
        </is>
      </c>
      <c r="C171" s="211">
        <f>C140</f>
        <v>237</v>
      </c>
      <c r="D171" s="211">
        <f>D140</f>
        <v>226</v>
      </c>
      <c r="E171" s="211">
        <f>E140</f>
        <v>265</v>
      </c>
      <c r="F171" s="211">
        <f>F140</f>
        <v>288</v>
      </c>
      <c r="G171" s="211">
        <f>G140</f>
        <v>333</v>
      </c>
      <c r="H171" s="211">
        <f>H140</f>
        <v>92</v>
      </c>
      <c r="I171" s="211">
        <f>I140</f>
        <v>98</v>
      </c>
      <c r="J171" s="211">
        <f>J140</f>
        <v>101</v>
      </c>
      <c r="K171" s="211">
        <f>K140</f>
        <v>106</v>
      </c>
      <c r="L171" s="211">
        <f>L140</f>
        <v>397</v>
      </c>
      <c r="M171" s="211">
        <f>M140</f>
        <v>107</v>
      </c>
      <c r="N171" s="211">
        <f>N140</f>
        <v>107</v>
      </c>
      <c r="O171" s="211">
        <f>O140</f>
        <v>109</v>
      </c>
      <c r="P171" s="211">
        <f>P140</f>
        <v>112</v>
      </c>
      <c r="Q171" s="211">
        <f>Q140</f>
        <v>435</v>
      </c>
      <c r="R171" s="211">
        <f>R140</f>
        <v>120</v>
      </c>
      <c r="S171" s="211">
        <f>S140</f>
        <v>125</v>
      </c>
      <c r="T171" s="211">
        <f>T140</f>
        <v>130</v>
      </c>
      <c r="U171" s="211">
        <f>U140</f>
        <v>119</v>
      </c>
      <c r="V171" s="211">
        <f>V140</f>
        <v>494</v>
      </c>
      <c r="W171" s="211">
        <f>W140</f>
        <v>120</v>
      </c>
      <c r="X171" s="211">
        <f>X140</f>
        <v>121</v>
      </c>
      <c r="Y171" s="211">
        <f>Y140</f>
        <v>120</v>
      </c>
      <c r="Z171" s="211">
        <f>Z140</f>
        <v>141</v>
      </c>
      <c r="AA171" s="211">
        <f>AA140</f>
        <v>502</v>
      </c>
      <c r="AB171" s="211">
        <f>AB140</f>
        <v>146</v>
      </c>
      <c r="AC171" s="211">
        <f>AC140</f>
        <v>131</v>
      </c>
      <c r="AD171" s="211">
        <f>AD140</f>
        <v>132</v>
      </c>
      <c r="AE171" s="211">
        <f>AE140</f>
        <v>147</v>
      </c>
      <c r="AF171" s="211">
        <f>AF140</f>
        <v>556</v>
      </c>
      <c r="AG171" s="211">
        <f>AG140</f>
        <v>145</v>
      </c>
      <c r="AH171" s="211">
        <f>AH140</f>
        <v>153</v>
      </c>
      <c r="AI171" s="211">
        <f>AI140</f>
        <v>152</v>
      </c>
      <c r="AJ171" s="211">
        <f>AJ140</f>
        <v>163</v>
      </c>
      <c r="AK171" s="211">
        <f>AK140</f>
        <v>613</v>
      </c>
      <c r="AL171" s="211">
        <f>AL140</f>
        <v>159</v>
      </c>
      <c r="AM171" s="211">
        <f>AM140</f>
        <v>160</v>
      </c>
      <c r="AN171" s="211">
        <f>AN140</f>
        <v>165</v>
      </c>
      <c r="AO171" s="211">
        <f>AO140</f>
        <v>172</v>
      </c>
      <c r="AP171" s="211">
        <f>AP140</f>
        <v>656</v>
      </c>
      <c r="AQ171" s="211">
        <f>AQ140</f>
        <v>182</v>
      </c>
      <c r="AR171" s="211">
        <f>AR140</f>
        <v>192</v>
      </c>
      <c r="AS171" s="211">
        <f>AS140</f>
        <v>197</v>
      </c>
      <c r="AT171" s="211">
        <f>AT140</f>
        <v>196</v>
      </c>
      <c r="AU171" s="211">
        <f>AU140</f>
        <v>767</v>
      </c>
      <c r="AV171" s="211">
        <f>AV140</f>
        <v>197</v>
      </c>
      <c r="AW171" s="211">
        <f>AW140</f>
        <v>201</v>
      </c>
      <c r="AX171" s="211">
        <f>AX140</f>
        <v>204</v>
      </c>
      <c r="AY171" s="211">
        <f>AY140</f>
        <v>202</v>
      </c>
      <c r="AZ171" s="211">
        <f>AZ140</f>
        <v>804</v>
      </c>
      <c r="BA171" s="211">
        <f>BA140</f>
        <v>198</v>
      </c>
      <c r="BB171" s="211">
        <f>BB140</f>
        <v>207</v>
      </c>
      <c r="BC171" s="211">
        <f>BC140</f>
        <v>230</v>
      </c>
      <c r="BD171" s="211">
        <f>BD140</f>
        <v>226</v>
      </c>
      <c r="BE171" s="211">
        <f>BE140</f>
        <v>861</v>
      </c>
      <c r="BF171" s="211">
        <f>BF140</f>
        <v>227</v>
      </c>
      <c r="BG171" s="211">
        <f>BG140</f>
        <v>234</v>
      </c>
      <c r="BH171" s="211">
        <f>BH140</f>
        <v>235</v>
      </c>
      <c r="BI171" s="211">
        <f>BI140</f>
        <v>247</v>
      </c>
      <c r="BJ171" s="211">
        <f>BJ140</f>
        <v>943</v>
      </c>
      <c r="BK171" s="211">
        <f>BK140</f>
        <v>247</v>
      </c>
      <c r="BL171" s="211">
        <f>BL140</f>
        <v>249</v>
      </c>
      <c r="BM171" s="211">
        <f>BM140</f>
        <v>264</v>
      </c>
      <c r="BN171" s="211">
        <f>BN140</f>
        <v>274</v>
      </c>
      <c r="BO171" s="211">
        <f>BO140</f>
        <v>1034</v>
      </c>
      <c r="BP171" s="211">
        <f>BP140</f>
        <v>282</v>
      </c>
      <c r="BQ171" s="211">
        <f>BQ140</f>
        <v>305</v>
      </c>
      <c r="BR171" s="211">
        <f>BR140</f>
        <v>317</v>
      </c>
      <c r="BS171" s="211">
        <f>BS140</f>
        <v>316</v>
      </c>
      <c r="BT171" s="211">
        <f>BT140</f>
        <v>1220</v>
      </c>
      <c r="BU171" s="211">
        <f>BU140</f>
        <v>326</v>
      </c>
      <c r="BV171" s="211">
        <f>BV140</f>
        <v>333</v>
      </c>
      <c r="BW171" s="211">
        <f>BW140</f>
        <v>367</v>
      </c>
      <c r="BX171" s="254">
        <f>BX140</f>
        <v>390.21302191855</v>
      </c>
      <c r="BY171" s="254">
        <f>BY140</f>
        <v>1416.21302191855</v>
      </c>
      <c r="BZ171" s="254">
        <f>BZ140</f>
        <v>1548.942716331</v>
      </c>
      <c r="CA171" s="254">
        <f>CA140</f>
        <v>1677.3804065727</v>
      </c>
      <c r="CB171" s="254">
        <f>CB140</f>
        <v>1803.83186075411</v>
      </c>
      <c r="CC171" s="254">
        <f>CC140</f>
        <v>1947.05258439207</v>
      </c>
      <c r="CD171" s="254">
        <f>CD140</f>
        <v>2097.07542552417</v>
      </c>
      <c r="CE171" s="19" t="n"/>
    </row>
    <row r="172" ht="15" customHeight="1" s="251">
      <c r="B172" s="55" t="inlineStr">
        <is>
          <t xml:space="preserve">  = EBITDA</t>
        </is>
      </c>
      <c r="C172" s="266">
        <f>IF(AND(ISNUMBER(C169),ISNUMBER(C171)),C169+C171,"")</f>
        <v>1469</v>
      </c>
      <c r="D172" s="266">
        <f>IF(AND(ISNUMBER(D169),ISNUMBER(D171)),D169+D171,"")</f>
        <v>3765</v>
      </c>
      <c r="E172" s="266">
        <f>IF(AND(ISNUMBER(E169),ISNUMBER(E171)),E169+E171,"")</f>
        <v>4854</v>
      </c>
      <c r="F172" s="266">
        <f>IF(AND(ISNUMBER(F169),ISNUMBER(F171)),F169+F171,"")</f>
        <v>5744</v>
      </c>
      <c r="G172" s="266">
        <f>IF(AND(ISNUMBER(G169),ISNUMBER(G171)),G169+G171,"")</f>
        <v>2472</v>
      </c>
      <c r="H172" s="266">
        <f>IF(AND(ISNUMBER(H169),ISNUMBER(H171)),H169+H171,"")</f>
        <v>1892</v>
      </c>
      <c r="I172" s="266">
        <f>IF(AND(ISNUMBER(I169),ISNUMBER(I171)),I169+I171,"")</f>
        <v>1958</v>
      </c>
      <c r="J172" s="266">
        <f>IF(AND(ISNUMBER(J169),ISNUMBER(J171)),J169+J171,"")</f>
        <v>1929</v>
      </c>
      <c r="K172" s="266">
        <f>IF(AND(ISNUMBER(K169),ISNUMBER(K171)),K169+K171,"")</f>
        <v>1857</v>
      </c>
      <c r="L172" s="266">
        <f>IF(AND(ISNUMBER(L169),ISNUMBER(L171)),L169+L171,"")</f>
        <v>7636</v>
      </c>
      <c r="M172" s="266">
        <f>IF(AND(ISNUMBER(M169),ISNUMBER(M171)),M169+M171,"")</f>
        <v>2184</v>
      </c>
      <c r="N172" s="266">
        <f>IF(AND(ISNUMBER(N169),ISNUMBER(N171)),N169+N171,"")</f>
        <v>2155</v>
      </c>
      <c r="O172" s="266">
        <f>IF(AND(ISNUMBER(O169),ISNUMBER(O171)),O169+O171,"")</f>
        <v>2129</v>
      </c>
      <c r="P172" s="266">
        <f>IF(AND(ISNUMBER(P169),ISNUMBER(P171)),P169+P171,"")</f>
        <v>1664</v>
      </c>
      <c r="Q172" s="266">
        <f>IF(AND(ISNUMBER(Q169),ISNUMBER(Q171)),Q169+Q171,"")</f>
        <v>8132</v>
      </c>
      <c r="R172" s="266">
        <f>IF(AND(ISNUMBER(R169),ISNUMBER(R171)),R169+R171,"")</f>
        <v>2358</v>
      </c>
      <c r="S172" s="266">
        <f>IF(AND(ISNUMBER(S169),ISNUMBER(S171)),S169+S171,"")</f>
        <v>2406</v>
      </c>
      <c r="T172" s="266">
        <f>IF(AND(ISNUMBER(T169),ISNUMBER(T171)),T169+T171,"")</f>
        <v>2392</v>
      </c>
      <c r="U172" s="266">
        <f>IF(AND(ISNUMBER(U169),ISNUMBER(U171)),U169+U171,"")</f>
        <v>2402</v>
      </c>
      <c r="V172" s="266">
        <f>IF(AND(ISNUMBER(V169),ISNUMBER(V171)),V169+V171,"")</f>
        <v>9558</v>
      </c>
      <c r="W172" s="266">
        <f>IF(AND(ISNUMBER(W169),ISNUMBER(W171)),W169+W171,"")</f>
        <v>2516</v>
      </c>
      <c r="X172" s="266">
        <f>IF(AND(ISNUMBER(X169),ISNUMBER(X171)),X169+X171,"")</f>
        <v>2555</v>
      </c>
      <c r="Y172" s="266">
        <f>IF(AND(ISNUMBER(Y169),ISNUMBER(Y171)),Y169+Y171,"")</f>
        <v>548</v>
      </c>
      <c r="Z172" s="266">
        <f>IF(AND(ISNUMBER(Z169),ISNUMBER(Z171)),Z169+Z171,"")</f>
        <v>2766</v>
      </c>
      <c r="AA172" s="266">
        <f>IF(AND(ISNUMBER(AA169),ISNUMBER(AA171)),AA169+AA171,"")</f>
        <v>8385</v>
      </c>
      <c r="AB172" s="266">
        <f>IF(AND(ISNUMBER(AB169),ISNUMBER(AB171)),AB169+AB171,"")</f>
        <v>3246</v>
      </c>
      <c r="AC172" s="266">
        <f>IF(AND(ISNUMBER(AC169),ISNUMBER(AC171)),AC169+AC171,"")</f>
        <v>2939</v>
      </c>
      <c r="AD172" s="266">
        <f>IF(AND(ISNUMBER(AD169),ISNUMBER(AD171)),AD169+AD171,"")</f>
        <v>3156</v>
      </c>
      <c r="AE172" s="266">
        <f>IF(AND(ISNUMBER(AE169),ISNUMBER(AE171)),AE169+AE171,"")</f>
        <v>3359</v>
      </c>
      <c r="AF172" s="266">
        <f>IF(AND(ISNUMBER(AF169),ISNUMBER(AF171)),AF169+AF171,"")</f>
        <v>12700</v>
      </c>
      <c r="AG172" s="266">
        <f>IF(AND(ISNUMBER(AG169),ISNUMBER(AG171)),AG169+AG171,"")</f>
        <v>3472</v>
      </c>
      <c r="AH172" s="266">
        <f>IF(AND(ISNUMBER(AH169),ISNUMBER(AH171)),AH169+AH171,"")</f>
        <v>3489</v>
      </c>
      <c r="AI172" s="266">
        <f>IF(AND(ISNUMBER(AI169),ISNUMBER(AI171)),AI169+AI171,"")</f>
        <v>3037</v>
      </c>
      <c r="AJ172" s="266">
        <f>IF(AND(ISNUMBER(AJ169),ISNUMBER(AJ171)),AJ169+AJ171,"")</f>
        <v>3569</v>
      </c>
      <c r="AK172" s="266">
        <f>IF(AND(ISNUMBER(AK169),ISNUMBER(AK171)),AK169+AK171,"")</f>
        <v>13567</v>
      </c>
      <c r="AL172" s="266">
        <f>IF(AND(ISNUMBER(AL169),ISNUMBER(AL171)),AL169+AL171,"")</f>
        <v>3876</v>
      </c>
      <c r="AM172" s="266">
        <f>IF(AND(ISNUMBER(AM169),ISNUMBER(AM171)),AM169+AM171,"")</f>
        <v>3801</v>
      </c>
      <c r="AN172" s="266">
        <f>IF(AND(ISNUMBER(AN169),ISNUMBER(AN171)),AN169+AN171,"")</f>
        <v>4073</v>
      </c>
      <c r="AO172" s="266">
        <f>IF(AND(ISNUMBER(AO169),ISNUMBER(AO171)),AO169+AO171,"")</f>
        <v>3907</v>
      </c>
      <c r="AP172" s="266">
        <f>IF(AND(ISNUMBER(AP169),ISNUMBER(AP171)),AP169+AP171,"")</f>
        <v>15657</v>
      </c>
      <c r="AQ172" s="266">
        <f>IF(AND(ISNUMBER(AQ169),ISNUMBER(AQ171)),AQ169+AQ171,"")</f>
        <v>4198</v>
      </c>
      <c r="AR172" s="266">
        <f>IF(AND(ISNUMBER(AR169),ISNUMBER(AR171)),AR169+AR171,"")</f>
        <v>4116</v>
      </c>
      <c r="AS172" s="266">
        <f>IF(AND(ISNUMBER(AS169),ISNUMBER(AS171)),AS169+AS171,"")</f>
        <v>3196</v>
      </c>
      <c r="AT172" s="266">
        <f>IF(AND(ISNUMBER(AT169),ISNUMBER(AT171)),AT169+AT171,"")</f>
        <v>3338</v>
      </c>
      <c r="AU172" s="266">
        <f>IF(AND(ISNUMBER(AU169),ISNUMBER(AU171)),AU169+AU171,"")</f>
        <v>14848</v>
      </c>
      <c r="AV172" s="266">
        <f>IF(AND(ISNUMBER(AV169),ISNUMBER(AV171)),AV169+AV171,"")</f>
        <v>4041</v>
      </c>
      <c r="AW172" s="266">
        <f>IF(AND(ISNUMBER(AW169),ISNUMBER(AW171)),AW169+AW171,"")</f>
        <v>3782</v>
      </c>
      <c r="AX172" s="266">
        <f>IF(AND(ISNUMBER(AX169),ISNUMBER(AX171)),AX169+AX171,"")</f>
        <v>4268</v>
      </c>
      <c r="AY172" s="266">
        <f>IF(AND(ISNUMBER(AY169),ISNUMBER(AY171)),AY169+AY171,"")</f>
        <v>4517</v>
      </c>
      <c r="AZ172" s="266">
        <f>IF(AND(ISNUMBER(AZ169),ISNUMBER(AZ171)),AZ169+AZ171,"")</f>
        <v>16608</v>
      </c>
      <c r="BA172" s="266">
        <f>IF(AND(ISNUMBER(BA169),ISNUMBER(BA171)),BA169+BA171,"")</f>
        <v>4974</v>
      </c>
      <c r="BB172" s="266">
        <f>IF(AND(ISNUMBER(BB169),ISNUMBER(BB171)),BB169+BB171,"")</f>
        <v>5009</v>
      </c>
      <c r="BC172" s="266">
        <f>IF(AND(ISNUMBER(BC169),ISNUMBER(BC171)),BC169+BC171,"")</f>
        <v>4378</v>
      </c>
      <c r="BD172" s="266">
        <f>IF(AND(ISNUMBER(BD169),ISNUMBER(BD171)),BD169+BD171,"")</f>
        <v>5313</v>
      </c>
      <c r="BE172" s="266">
        <f>IF(AND(ISNUMBER(BE169),ISNUMBER(BE171)),BE169+BE171,"")</f>
        <v>19674</v>
      </c>
      <c r="BF172" s="266">
        <f>IF(AND(ISNUMBER(BF169),ISNUMBER(BF171)),BF169+BF171,"")</f>
        <v>5317</v>
      </c>
      <c r="BG172" s="266">
        <f>IF(AND(ISNUMBER(BG169),ISNUMBER(BG171)),BG169+BG171,"")</f>
        <v>5570</v>
      </c>
      <c r="BH172" s="266">
        <f>IF(AND(ISNUMBER(BH169),ISNUMBER(BH171)),BH169+BH171,"")</f>
        <v>5259</v>
      </c>
      <c r="BI172" s="266">
        <f>IF(AND(ISNUMBER(BI169),ISNUMBER(BI171)),BI169+BI171,"")</f>
        <v>5797</v>
      </c>
      <c r="BJ172" s="266">
        <f>IF(AND(ISNUMBER(BJ169),ISNUMBER(BJ171)),BJ169+BJ171,"")</f>
        <v>21943</v>
      </c>
      <c r="BK172" s="266">
        <f>IF(AND(ISNUMBER(BK169),ISNUMBER(BK171)),BK169+BK171,"")</f>
        <v>6201</v>
      </c>
      <c r="BL172" s="266">
        <f>IF(AND(ISNUMBER(BL169),ISNUMBER(BL171)),BL169+BL171,"")</f>
        <v>5603</v>
      </c>
      <c r="BM172" s="266">
        <f>IF(AND(ISNUMBER(BM169),ISNUMBER(BM171)),BM169+BM171,"")</f>
        <v>6202</v>
      </c>
      <c r="BN172" s="266">
        <f>IF(AND(ISNUMBER(BN169),ISNUMBER(BN171)),BN169+BN171,"")</f>
        <v>6623</v>
      </c>
      <c r="BO172" s="266">
        <f>IF(AND(ISNUMBER(BO169),ISNUMBER(BO171)),BO169+BO171,"")</f>
        <v>24629</v>
      </c>
      <c r="BP172" s="266">
        <f>IF(AND(ISNUMBER(BP169),ISNUMBER(BP171)),BP169+BP171,"")</f>
        <v>6516</v>
      </c>
      <c r="BQ172" s="266">
        <f>IF(AND(ISNUMBER(BQ169),ISNUMBER(BQ171)),BQ169+BQ171,"")</f>
        <v>5740</v>
      </c>
      <c r="BR172" s="266">
        <f>IF(AND(ISNUMBER(BR169),ISNUMBER(BR171)),BR169+BR171,"")</f>
        <v>6494</v>
      </c>
      <c r="BS172" s="266">
        <f>IF(AND(ISNUMBER(BS169),ISNUMBER(BS171)),BS169+BS171,"")</f>
        <v>6464</v>
      </c>
      <c r="BT172" s="266">
        <f>IF(AND(ISNUMBER(BT169),ISNUMBER(BT171)),BT169+BT171,"")</f>
        <v>25214</v>
      </c>
      <c r="BU172" s="266">
        <f>IF(AND(ISNUMBER(BU169),ISNUMBER(BU171)),BU169+BU171,"")</f>
        <v>7063</v>
      </c>
      <c r="BV172" s="266">
        <f>IF(AND(ISNUMBER(BV169),ISNUMBER(BV171)),BV169+BV171,"")</f>
        <v>7567</v>
      </c>
      <c r="BW172" s="266">
        <f>IF(AND(ISNUMBER(BW169),ISNUMBER(BW171)),BW169+BW171,"")</f>
        <v>7244</v>
      </c>
      <c r="BX172" s="266">
        <f>IF(AND(ISNUMBER(BX169),ISNUMBER(BX171)),BX169+BX171,"")</f>
        <v>8297.30141095026</v>
      </c>
      <c r="BY172" s="266">
        <f>IF(AND(ISNUMBER(BY169),ISNUMBER(BY171)),BY169+BY171,"")</f>
        <v>30171.3014109503</v>
      </c>
      <c r="BZ172" s="266">
        <f>IF(AND(ISNUMBER(BZ169),ISNUMBER(BZ171)),BZ169+BZ171,"")</f>
        <v>35439.6445064014</v>
      </c>
      <c r="CA172" s="266">
        <f>IF(AND(ISNUMBER(CA169),ISNUMBER(CA171)),CA169+CA171,"")</f>
        <v>39410.0316488585</v>
      </c>
      <c r="CB172" s="266">
        <f>IF(AND(ISNUMBER(CB169),ISNUMBER(CB171)),CB169+CB171,"")</f>
        <v>43586.913255576</v>
      </c>
      <c r="CC172" s="266">
        <f>IF(AND(ISNUMBER(CC169),ISNUMBER(CC171)),CC169+CC171,"")</f>
        <v>47704.8013142786</v>
      </c>
      <c r="CD172" s="266">
        <f>IF(AND(ISNUMBER(CD169),ISNUMBER(CD171)),CD169+CD171,"")</f>
        <v>52195.5595667626</v>
      </c>
      <c r="CE172" s="153" t="n"/>
      <c r="CG172" s="20">
        <f>IFERROR((CD172/BY172)^(1/5)-1,"n/m")</f>
        <v>0.115855357368082</v>
      </c>
      <c r="CH172" s="20">
        <f>IFERROR((BT172/AU172)^(1/5)-1,"n/m")</f>
        <v>0.111718308399672</v>
      </c>
      <c r="CI172" s="20">
        <f>IFERROR((BT172/V172)^(1/10)-1,"n/m")</f>
        <v>0.10186267603263</v>
      </c>
      <c r="CJ172" s="20">
        <f>IFERROR((BT172/C172)^(1/17)-1,"n/m")</f>
        <v>0.182019668357936</v>
      </c>
    </row>
    <row r="173" ht="15" customHeight="1" s="251">
      <c r="B173" s="25" t="inlineStr">
        <is>
          <t xml:space="preserve">  (+) Operating adjusting items excl. acquired-intangible amortization</t>
        </is>
      </c>
      <c r="C173" s="211">
        <f>IF(ISNUMBER(C159),C159-C154,"")</f>
        <v>1597</v>
      </c>
      <c r="D173" s="211">
        <f>IF(ISNUMBER(D159),D159-D154,"")</f>
        <v>67</v>
      </c>
      <c r="E173" s="211">
        <f>IF(ISNUMBER(E159),E159-E154,"")</f>
        <v>0</v>
      </c>
      <c r="F173" s="211">
        <f>IF(ISNUMBER(F159),F159-F154,"")</f>
        <v>0</v>
      </c>
      <c r="G173" s="211">
        <f>IF(ISNUMBER(G159),G159-G154,"")</f>
        <v>4098</v>
      </c>
      <c r="H173" s="211">
        <f>IF(ISNUMBER(H159),H159-H154,"")</f>
        <v>0</v>
      </c>
      <c r="I173" s="211">
        <f>IF(ISNUMBER(I159),I159-I154,"")</f>
        <v>0</v>
      </c>
      <c r="J173" s="211">
        <f>IF(ISNUMBER(J159),J159-J154,"")</f>
        <v>0</v>
      </c>
      <c r="K173" s="211">
        <f>IF(ISNUMBER(K159),K159-K154,"")</f>
        <v>0</v>
      </c>
      <c r="L173" s="211">
        <f>IF(ISNUMBER(L159),L159-L154,"")</f>
        <v>0</v>
      </c>
      <c r="M173" s="211">
        <f>IF(ISNUMBER(M159),M159-M154,"")</f>
        <v>0</v>
      </c>
      <c r="N173" s="211">
        <f>IF(ISNUMBER(N159),N159-N154,"")</f>
        <v>0</v>
      </c>
      <c r="O173" s="211">
        <f>IF(ISNUMBER(O159),O159-O154,"")</f>
        <v>0</v>
      </c>
      <c r="P173" s="211">
        <f>IF(ISNUMBER(P159),P159-P154,"")</f>
        <v>450</v>
      </c>
      <c r="Q173" s="211">
        <f>IF(ISNUMBER(Q159),Q159-Q154,"")</f>
        <v>450</v>
      </c>
      <c r="R173" s="211">
        <f>IF(ISNUMBER(R159),R159-R154,"")</f>
        <v>0</v>
      </c>
      <c r="S173" s="211">
        <f>IF(ISNUMBER(S159),S159-S154,"")</f>
        <v>0</v>
      </c>
      <c r="T173" s="211">
        <f>IF(ISNUMBER(T159),T159-T154,"")</f>
        <v>0</v>
      </c>
      <c r="U173" s="211">
        <f>IF(ISNUMBER(U159),U159-U154,"")</f>
        <v>0</v>
      </c>
      <c r="V173" s="211">
        <f>IF(ISNUMBER(V159),V159-V154,"")</f>
        <v>0</v>
      </c>
      <c r="W173" s="211">
        <f>IF(ISNUMBER(W159),W159-W154,"")</f>
        <v>0</v>
      </c>
      <c r="X173" s="211">
        <f>IF(ISNUMBER(X159),X159-X154,"")</f>
        <v>0</v>
      </c>
      <c r="Y173" s="211">
        <f>IF(ISNUMBER(Y159),Y159-Y154,"")</f>
        <v>2029</v>
      </c>
      <c r="Z173" s="211">
        <f>IF(ISNUMBER(Z159),Z159-Z154,"")</f>
        <v>110</v>
      </c>
      <c r="AA173" s="211">
        <f>IF(ISNUMBER(AA159),AA159-AA154,"")</f>
        <v>2139</v>
      </c>
      <c r="AB173" s="211">
        <f>IF(ISNUMBER(AB159),AB159-AB154,"")</f>
        <v>0</v>
      </c>
      <c r="AC173" s="211">
        <f>IF(ISNUMBER(AC159),AC159-AC154,"")</f>
        <v>192</v>
      </c>
      <c r="AD173" s="211">
        <f>IF(ISNUMBER(AD159),AD159-AD154,"")</f>
        <v>0</v>
      </c>
      <c r="AE173" s="211">
        <f>IF(ISNUMBER(AE159),AE159-AE154,"")</f>
        <v>0</v>
      </c>
      <c r="AF173" s="211">
        <f>IF(ISNUMBER(AF159),AF159-AF154,"")</f>
        <v>192</v>
      </c>
      <c r="AG173" s="211">
        <f>IF(ISNUMBER(AG159),AG159-AG154,"")</f>
        <v>0</v>
      </c>
      <c r="AH173" s="211">
        <f>IF(ISNUMBER(AH159),AH159-AH154,"")</f>
        <v>0</v>
      </c>
      <c r="AI173" s="211">
        <f>IF(ISNUMBER(AI159),AI159-AI154,"")</f>
        <v>600</v>
      </c>
      <c r="AJ173" s="211">
        <f>IF(ISNUMBER(AJ159),AJ159-AJ154,"")</f>
        <v>195</v>
      </c>
      <c r="AK173" s="211">
        <f>IF(ISNUMBER(AK159),AK159-AK154,"")</f>
        <v>795</v>
      </c>
      <c r="AL173" s="211">
        <f>IF(ISNUMBER(AL159),AL159-AL154,"")</f>
        <v>0</v>
      </c>
      <c r="AM173" s="211">
        <f>IF(ISNUMBER(AM159),AM159-AM154,"")</f>
        <v>0</v>
      </c>
      <c r="AN173" s="211">
        <f>IF(ISNUMBER(AN159),AN159-AN154,"")</f>
        <v>0</v>
      </c>
      <c r="AO173" s="211">
        <f>IF(ISNUMBER(AO159),AO159-AO154,"")</f>
        <v>370</v>
      </c>
      <c r="AP173" s="211">
        <f>IF(ISNUMBER(AP159),AP159-AP154,"")</f>
        <v>370</v>
      </c>
      <c r="AQ173" s="211">
        <f>IF(ISNUMBER(AQ159),AQ159-AQ154,"")</f>
        <v>2</v>
      </c>
      <c r="AR173" s="211">
        <f>IF(ISNUMBER(AR159),AR159-AR154,"")</f>
        <v>5</v>
      </c>
      <c r="AS173" s="211">
        <f>IF(ISNUMBER(AS159),AS159-AS154,"")</f>
        <v>4</v>
      </c>
      <c r="AT173" s="211">
        <f>IF(ISNUMBER(AT159),AT159-AT154,"")</f>
        <v>6</v>
      </c>
      <c r="AU173" s="211">
        <f>IF(ISNUMBER(AU159),AU159-AU154,"")</f>
        <v>17</v>
      </c>
      <c r="AV173" s="211">
        <f>IF(ISNUMBER(AV159),AV159-AV154,"")</f>
        <v>3</v>
      </c>
      <c r="AW173" s="211">
        <f>IF(ISNUMBER(AW159),AW159-AW154,"")</f>
        <v>157</v>
      </c>
      <c r="AX173" s="211">
        <f>IF(ISNUMBER(AX159),AX159-AX154,"")</f>
        <v>5</v>
      </c>
      <c r="AY173" s="211">
        <f>IF(ISNUMBER(AY159),AY159-AY154,"")</f>
        <v>8</v>
      </c>
      <c r="AZ173" s="211">
        <f>IF(ISNUMBER(AZ159),AZ159-AZ154,"")</f>
        <v>173</v>
      </c>
      <c r="BA173" s="211">
        <f>IF(ISNUMBER(BA159),BA159-BA154,"")</f>
        <v>155</v>
      </c>
      <c r="BB173" s="211">
        <f>IF(ISNUMBER(BB159),BB159-BB154,"")</f>
        <v>80</v>
      </c>
      <c r="BC173" s="211">
        <f>IF(ISNUMBER(BC159),BC159-BC154,"")</f>
        <v>730</v>
      </c>
      <c r="BD173" s="211">
        <f>IF(ISNUMBER(BD159),BD159-BD154,"")</f>
        <v>25</v>
      </c>
      <c r="BE173" s="211">
        <f>IF(ISNUMBER(BE159),BE159-BE154,"")</f>
        <v>990</v>
      </c>
      <c r="BF173" s="211">
        <f>IF(ISNUMBER(BF159),BF159-BF154,"")</f>
        <v>364</v>
      </c>
      <c r="BG173" s="211">
        <f>IF(ISNUMBER(BG159),BG159-BG154,"")</f>
        <v>22</v>
      </c>
      <c r="BH173" s="211">
        <f>IF(ISNUMBER(BH159),BH159-BH154,"")</f>
        <v>480</v>
      </c>
      <c r="BI173" s="211">
        <f>IF(ISNUMBER(BI159),BI159-BI154,"")</f>
        <v>130</v>
      </c>
      <c r="BJ173" s="211">
        <f>IF(ISNUMBER(BJ159),BJ159-BJ154,"")</f>
        <v>996</v>
      </c>
      <c r="BK173" s="211">
        <f>IF(ISNUMBER(BK159),BK159-BK154,"")</f>
        <v>21</v>
      </c>
      <c r="BL173" s="211">
        <f>IF(ISNUMBER(BL159),BL159-BL154,"")</f>
        <v>507</v>
      </c>
      <c r="BM173" s="211">
        <f>IF(ISNUMBER(BM159),BM159-BM154,"")</f>
        <v>-13</v>
      </c>
      <c r="BN173" s="211">
        <f>IF(ISNUMBER(BN159),BN159-BN154,"")</f>
        <v>29</v>
      </c>
      <c r="BO173" s="211">
        <f>IF(ISNUMBER(BO159),BO159-BO154,"")</f>
        <v>544</v>
      </c>
      <c r="BP173" s="211">
        <f>IF(ISNUMBER(BP159),BP159-BP154,"")</f>
        <v>313</v>
      </c>
      <c r="BQ173" s="211">
        <f>IF(ISNUMBER(BQ159),BQ159-BQ154,"")</f>
        <v>1024</v>
      </c>
      <c r="BR173" s="211">
        <f>IF(ISNUMBER(BR159),BR159-BR154,"")</f>
        <v>634</v>
      </c>
      <c r="BS173" s="211">
        <f>IF(ISNUMBER(BS159),BS159-BS154,"")</f>
        <v>911</v>
      </c>
      <c r="BT173" s="211">
        <f>IF(ISNUMBER(BT159),BT159-BT154,"")</f>
        <v>2882</v>
      </c>
      <c r="BU173" s="211">
        <f>IF(ISNUMBER(BU159),BU159-BU154,"")</f>
        <v>719</v>
      </c>
      <c r="BV173" s="211">
        <f>IF(ISNUMBER(BV159),BV159-BV154,"")</f>
        <v>347</v>
      </c>
      <c r="BW173" s="211">
        <f>IF(ISNUMBER(BW159),BW159-BW154,"")</f>
        <v>814</v>
      </c>
      <c r="BX173" s="254">
        <f>IF(ISNUMBER(BX159),BX159-BX154,"")</f>
        <v>15</v>
      </c>
      <c r="BY173" s="254">
        <f>IF(ISNUMBER(BY159),BY159-BY154,"")</f>
        <v>1895</v>
      </c>
      <c r="BZ173" s="254">
        <f>IF(ISNUMBER(BZ159),BZ159-BZ154,"")</f>
        <v>90</v>
      </c>
      <c r="CA173" s="254">
        <f>IF(ISNUMBER(CA159),CA159-CA154,"")</f>
        <v>90</v>
      </c>
      <c r="CB173" s="254">
        <f>IF(ISNUMBER(CB159),CB159-CB154,"")</f>
        <v>90</v>
      </c>
      <c r="CC173" s="254">
        <f>IF(ISNUMBER(CC159),CC159-CC154,"")</f>
        <v>90</v>
      </c>
      <c r="CD173" s="254">
        <f>IF(ISNUMBER(CD159),CD159-CD154,"")</f>
        <v>90</v>
      </c>
      <c r="CE173" s="19" t="n"/>
    </row>
    <row r="174" ht="15" customHeight="1" s="251">
      <c r="B174" s="55" t="inlineStr">
        <is>
          <t xml:space="preserve">  = Adjusted EBITDA (model definition)</t>
        </is>
      </c>
      <c r="C174" s="266">
        <f>IF(AND(ISNUMBER(C172),ISNUMBER(C173)),C172+C173,"")</f>
        <v>3066</v>
      </c>
      <c r="D174" s="266">
        <f>IF(AND(ISNUMBER(D172),ISNUMBER(D173)),D172+D173,"")</f>
        <v>3832</v>
      </c>
      <c r="E174" s="266">
        <f>IF(AND(ISNUMBER(E172),ISNUMBER(E173)),E172+E173,"")</f>
        <v>4854</v>
      </c>
      <c r="F174" s="266">
        <f>IF(AND(ISNUMBER(F172),ISNUMBER(F173)),F172+F173,"")</f>
        <v>5744</v>
      </c>
      <c r="G174" s="266">
        <f>IF(AND(ISNUMBER(G172),ISNUMBER(G173)),G172+G173,"")</f>
        <v>6570</v>
      </c>
      <c r="H174" s="266">
        <f>IF(AND(ISNUMBER(H172),ISNUMBER(H173)),H172+H173,"")</f>
        <v>1892</v>
      </c>
      <c r="I174" s="266">
        <f>IF(AND(ISNUMBER(I172),ISNUMBER(I173)),I172+I173,"")</f>
        <v>1958</v>
      </c>
      <c r="J174" s="266">
        <f>IF(AND(ISNUMBER(J172),ISNUMBER(J173)),J172+J173,"")</f>
        <v>1929</v>
      </c>
      <c r="K174" s="266">
        <f>IF(AND(ISNUMBER(K172),ISNUMBER(K173)),K172+K173,"")</f>
        <v>1857</v>
      </c>
      <c r="L174" s="266">
        <f>IF(AND(ISNUMBER(L172),ISNUMBER(L173)),L172+L173,"")</f>
        <v>7636</v>
      </c>
      <c r="M174" s="266">
        <f>IF(AND(ISNUMBER(M172),ISNUMBER(M173)),M172+M173,"")</f>
        <v>2184</v>
      </c>
      <c r="N174" s="266">
        <f>IF(AND(ISNUMBER(N172),ISNUMBER(N173)),N172+N173,"")</f>
        <v>2155</v>
      </c>
      <c r="O174" s="266">
        <f>IF(AND(ISNUMBER(O172),ISNUMBER(O173)),O172+O173,"")</f>
        <v>2129</v>
      </c>
      <c r="P174" s="266">
        <f>IF(AND(ISNUMBER(P172),ISNUMBER(P173)),P172+P173,"")</f>
        <v>2114</v>
      </c>
      <c r="Q174" s="266">
        <f>IF(AND(ISNUMBER(Q172),ISNUMBER(Q173)),Q172+Q173,"")</f>
        <v>8582</v>
      </c>
      <c r="R174" s="266">
        <f>IF(AND(ISNUMBER(R172),ISNUMBER(R173)),R172+R173,"")</f>
        <v>2358</v>
      </c>
      <c r="S174" s="266">
        <f>IF(AND(ISNUMBER(S172),ISNUMBER(S173)),S172+S173,"")</f>
        <v>2406</v>
      </c>
      <c r="T174" s="266">
        <f>IF(AND(ISNUMBER(T172),ISNUMBER(T173)),T172+T173,"")</f>
        <v>2392</v>
      </c>
      <c r="U174" s="266">
        <f>IF(AND(ISNUMBER(U172),ISNUMBER(U173)),U172+U173,"")</f>
        <v>2402</v>
      </c>
      <c r="V174" s="266">
        <f>IF(AND(ISNUMBER(V172),ISNUMBER(V173)),V172+V173,"")</f>
        <v>9558</v>
      </c>
      <c r="W174" s="266">
        <f>IF(AND(ISNUMBER(W172),ISNUMBER(W173)),W172+W173,"")</f>
        <v>2516</v>
      </c>
      <c r="X174" s="266">
        <f>IF(AND(ISNUMBER(X172),ISNUMBER(X173)),X172+X173,"")</f>
        <v>2555</v>
      </c>
      <c r="Y174" s="266">
        <f>IF(AND(ISNUMBER(Y172),ISNUMBER(Y173)),Y172+Y173,"")</f>
        <v>2577</v>
      </c>
      <c r="Z174" s="266">
        <f>IF(AND(ISNUMBER(Z172),ISNUMBER(Z173)),Z172+Z173,"")</f>
        <v>2876</v>
      </c>
      <c r="AA174" s="266">
        <f>IF(AND(ISNUMBER(AA172),ISNUMBER(AA173)),AA172+AA173,"")</f>
        <v>10524</v>
      </c>
      <c r="AB174" s="266">
        <f>IF(AND(ISNUMBER(AB172),ISNUMBER(AB173)),AB172+AB173,"")</f>
        <v>3246</v>
      </c>
      <c r="AC174" s="266">
        <f>IF(AND(ISNUMBER(AC172),ISNUMBER(AC173)),AC172+AC173,"")</f>
        <v>3131</v>
      </c>
      <c r="AD174" s="266">
        <f>IF(AND(ISNUMBER(AD172),ISNUMBER(AD173)),AD172+AD173,"")</f>
        <v>3156</v>
      </c>
      <c r="AE174" s="266">
        <f>IF(AND(ISNUMBER(AE172),ISNUMBER(AE173)),AE172+AE173,"")</f>
        <v>3359</v>
      </c>
      <c r="AF174" s="266">
        <f>IF(AND(ISNUMBER(AF172),ISNUMBER(AF173)),AF172+AF173,"")</f>
        <v>12892</v>
      </c>
      <c r="AG174" s="266">
        <f>IF(AND(ISNUMBER(AG172),ISNUMBER(AG173)),AG172+AG173,"")</f>
        <v>3472</v>
      </c>
      <c r="AH174" s="266">
        <f>IF(AND(ISNUMBER(AH172),ISNUMBER(AH173)),AH172+AH173,"")</f>
        <v>3489</v>
      </c>
      <c r="AI174" s="266">
        <f>IF(AND(ISNUMBER(AI172),ISNUMBER(AI173)),AI172+AI173,"")</f>
        <v>3637</v>
      </c>
      <c r="AJ174" s="266">
        <f>IF(AND(ISNUMBER(AJ172),ISNUMBER(AJ173)),AJ172+AJ173,"")</f>
        <v>3764</v>
      </c>
      <c r="AK174" s="266">
        <f>IF(AND(ISNUMBER(AK172),ISNUMBER(AK173)),AK172+AK173,"")</f>
        <v>14362</v>
      </c>
      <c r="AL174" s="266">
        <f>IF(AND(ISNUMBER(AL172),ISNUMBER(AL173)),AL172+AL173,"")</f>
        <v>3876</v>
      </c>
      <c r="AM174" s="266">
        <f>IF(AND(ISNUMBER(AM172),ISNUMBER(AM173)),AM172+AM173,"")</f>
        <v>3801</v>
      </c>
      <c r="AN174" s="266">
        <f>IF(AND(ISNUMBER(AN172),ISNUMBER(AN173)),AN172+AN173,"")</f>
        <v>4073</v>
      </c>
      <c r="AO174" s="266">
        <f>IF(AND(ISNUMBER(AO172),ISNUMBER(AO173)),AO172+AO173,"")</f>
        <v>4277</v>
      </c>
      <c r="AP174" s="266">
        <f>IF(AND(ISNUMBER(AP172),ISNUMBER(AP173)),AP172+AP173,"")</f>
        <v>16027</v>
      </c>
      <c r="AQ174" s="266">
        <f>IF(AND(ISNUMBER(AQ172),ISNUMBER(AQ173)),AQ172+AQ173,"")</f>
        <v>4200</v>
      </c>
      <c r="AR174" s="266">
        <f>IF(AND(ISNUMBER(AR172),ISNUMBER(AR173)),AR172+AR173,"")</f>
        <v>4121</v>
      </c>
      <c r="AS174" s="266">
        <f>IF(AND(ISNUMBER(AS172),ISNUMBER(AS173)),AS172+AS173,"")</f>
        <v>3200</v>
      </c>
      <c r="AT174" s="266">
        <f>IF(AND(ISNUMBER(AT172),ISNUMBER(AT173)),AT172+AT173,"")</f>
        <v>3344</v>
      </c>
      <c r="AU174" s="266">
        <f>IF(AND(ISNUMBER(AU172),ISNUMBER(AU173)),AU172+AU173,"")</f>
        <v>14865</v>
      </c>
      <c r="AV174" s="266">
        <f>IF(AND(ISNUMBER(AV172),ISNUMBER(AV173)),AV172+AV173,"")</f>
        <v>4044</v>
      </c>
      <c r="AW174" s="266">
        <f>IF(AND(ISNUMBER(AW172),ISNUMBER(AW173)),AW172+AW173,"")</f>
        <v>3939</v>
      </c>
      <c r="AX174" s="266">
        <f>IF(AND(ISNUMBER(AX172),ISNUMBER(AX173)),AX172+AX173,"")</f>
        <v>4273</v>
      </c>
      <c r="AY174" s="266">
        <f>IF(AND(ISNUMBER(AY172),ISNUMBER(AY173)),AY172+AY173,"")</f>
        <v>4525</v>
      </c>
      <c r="AZ174" s="266">
        <f>IF(AND(ISNUMBER(AZ172),ISNUMBER(AZ173)),AZ172+AZ173,"")</f>
        <v>16781</v>
      </c>
      <c r="BA174" s="266">
        <f>IF(AND(ISNUMBER(BA172),ISNUMBER(BA173)),BA172+BA173,"")</f>
        <v>5129</v>
      </c>
      <c r="BB174" s="266">
        <f>IF(AND(ISNUMBER(BB172),ISNUMBER(BB173)),BB172+BB173,"")</f>
        <v>5089</v>
      </c>
      <c r="BC174" s="266">
        <f>IF(AND(ISNUMBER(BC172),ISNUMBER(BC173)),BC172+BC173,"")</f>
        <v>5108</v>
      </c>
      <c r="BD174" s="266">
        <f>IF(AND(ISNUMBER(BD172),ISNUMBER(BD173)),BD172+BD173,"")</f>
        <v>5338</v>
      </c>
      <c r="BE174" s="266">
        <f>IF(AND(ISNUMBER(BE172),ISNUMBER(BE173)),BE172+BE173,"")</f>
        <v>20664</v>
      </c>
      <c r="BF174" s="266">
        <f>IF(AND(ISNUMBER(BF172),ISNUMBER(BF173)),BF172+BF173,"")</f>
        <v>5681</v>
      </c>
      <c r="BG174" s="266">
        <f>IF(AND(ISNUMBER(BG172),ISNUMBER(BG173)),BG172+BG173,"")</f>
        <v>5592</v>
      </c>
      <c r="BH174" s="266">
        <f>IF(AND(ISNUMBER(BH172),ISNUMBER(BH173)),BH172+BH173,"")</f>
        <v>5739</v>
      </c>
      <c r="BI174" s="266">
        <f>IF(AND(ISNUMBER(BI172),ISNUMBER(BI173)),BI172+BI173,"")</f>
        <v>5927</v>
      </c>
      <c r="BJ174" s="266">
        <f>IF(AND(ISNUMBER(BJ172),ISNUMBER(BJ173)),BJ172+BJ173,"")</f>
        <v>22939</v>
      </c>
      <c r="BK174" s="266">
        <f>IF(AND(ISNUMBER(BK172),ISNUMBER(BK173)),BK172+BK173,"")</f>
        <v>6222</v>
      </c>
      <c r="BL174" s="266">
        <f>IF(AND(ISNUMBER(BL172),ISNUMBER(BL173)),BL172+BL173,"")</f>
        <v>6110</v>
      </c>
      <c r="BM174" s="266">
        <f>IF(AND(ISNUMBER(BM172),ISNUMBER(BM173)),BM172+BM173,"")</f>
        <v>6189</v>
      </c>
      <c r="BN174" s="266">
        <f>IF(AND(ISNUMBER(BN172),ISNUMBER(BN173)),BN172+BN173,"")</f>
        <v>6652</v>
      </c>
      <c r="BO174" s="266">
        <f>IF(AND(ISNUMBER(BO172),ISNUMBER(BO173)),BO172+BO173,"")</f>
        <v>25173</v>
      </c>
      <c r="BP174" s="266">
        <f>IF(AND(ISNUMBER(BP172),ISNUMBER(BP173)),BP172+BP173,"")</f>
        <v>6829</v>
      </c>
      <c r="BQ174" s="266">
        <f>IF(AND(ISNUMBER(BQ172),ISNUMBER(BQ173)),BQ172+BQ173,"")</f>
        <v>6764</v>
      </c>
      <c r="BR174" s="266">
        <f>IF(AND(ISNUMBER(BR172),ISNUMBER(BR173)),BR172+BR173,"")</f>
        <v>7128</v>
      </c>
      <c r="BS174" s="266">
        <f>IF(AND(ISNUMBER(BS172),ISNUMBER(BS173)),BS172+BS173,"")</f>
        <v>7375</v>
      </c>
      <c r="BT174" s="266">
        <f>IF(AND(ISNUMBER(BT172),ISNUMBER(BT173)),BT172+BT173,"")</f>
        <v>28096</v>
      </c>
      <c r="BU174" s="266">
        <f>IF(AND(ISNUMBER(BU172),ISNUMBER(BU173)),BU172+BU173,"")</f>
        <v>7782</v>
      </c>
      <c r="BV174" s="266">
        <f>IF(AND(ISNUMBER(BV172),ISNUMBER(BV173)),BV172+BV173,"")</f>
        <v>7914</v>
      </c>
      <c r="BW174" s="266">
        <f>IF(AND(ISNUMBER(BW172),ISNUMBER(BW173)),BW172+BW173,"")</f>
        <v>8058</v>
      </c>
      <c r="BX174" s="266">
        <f>IF(AND(ISNUMBER(BX172),ISNUMBER(BX173)),BX172+BX173,"")</f>
        <v>8312.30141095026</v>
      </c>
      <c r="BY174" s="266">
        <f>IF(AND(ISNUMBER(BY172),ISNUMBER(BY173)),BY172+BY173,"")</f>
        <v>32066.3014109503</v>
      </c>
      <c r="BZ174" s="266">
        <f>IF(AND(ISNUMBER(BZ172),ISNUMBER(BZ173)),BZ172+BZ173,"")</f>
        <v>35529.6445064014</v>
      </c>
      <c r="CA174" s="266">
        <f>IF(AND(ISNUMBER(CA172),ISNUMBER(CA173)),CA172+CA173,"")</f>
        <v>39500.0316488585</v>
      </c>
      <c r="CB174" s="266">
        <f>IF(AND(ISNUMBER(CB172),ISNUMBER(CB173)),CB172+CB173,"")</f>
        <v>43676.913255576</v>
      </c>
      <c r="CC174" s="266">
        <f>IF(AND(ISNUMBER(CC172),ISNUMBER(CC173)),CC172+CC173,"")</f>
        <v>47794.8013142786</v>
      </c>
      <c r="CD174" s="266">
        <f>IF(AND(ISNUMBER(CD172),ISNUMBER(CD173)),CD172+CD173,"")</f>
        <v>52285.5595667626</v>
      </c>
      <c r="CE174" s="153" t="inlineStr">
        <is>
          <t>Model definition (Visa publishes no EBITDA): adjusted operating income + D&amp;A excl. acquired-intangible amortization. Used for leverage and EV / EBITDA.</t>
        </is>
      </c>
      <c r="CG174" s="20">
        <f>IFERROR((CD174/BY174)^(1/5)-1,"n/m")</f>
        <v>0.102723368201942</v>
      </c>
      <c r="CH174" s="20">
        <f>IFERROR((BT174/AU174)^(1/5)-1,"n/m")</f>
        <v>0.135784443893666</v>
      </c>
      <c r="CI174" s="20">
        <f>IFERROR((BT174/V174)^(1/10)-1,"n/m")</f>
        <v>0.113852661214633</v>
      </c>
      <c r="CJ174" s="20">
        <f>IFERROR((BT174/C174)^(1/17)-1,"n/m")</f>
        <v>0.139180364952749</v>
      </c>
    </row>
    <row r="175" ht="15" customHeight="1" s="251">
      <c r="B175" s="25" t="inlineStr">
        <is>
          <t xml:space="preserve">  Adjusted EBITDA margin %</t>
        </is>
      </c>
      <c r="C175" s="215">
        <f>IF(AND(ISNUMBER(C174),ISNUMBER(C113)),IFERROR(C174/C113,""),"")</f>
        <v>0.489541753153441</v>
      </c>
      <c r="D175" s="215">
        <f>IF(AND(ISNUMBER(D174),ISNUMBER(D113)),IFERROR(D174/D113,""),"")</f>
        <v>0.554478367819418</v>
      </c>
      <c r="E175" s="215">
        <f>IF(AND(ISNUMBER(E174),ISNUMBER(E113)),IFERROR(E174/E113,""),"")</f>
        <v>0.601859888406696</v>
      </c>
      <c r="F175" s="215">
        <f>IF(AND(ISNUMBER(F174),ISNUMBER(F113)),IFERROR(F174/F113,""),"")</f>
        <v>0.625163256421419</v>
      </c>
      <c r="G175" s="215">
        <f>IF(AND(ISNUMBER(G174),ISNUMBER(G113)),IFERROR(G174/G113,""),"")</f>
        <v>0.630457729584493</v>
      </c>
      <c r="H175" s="215">
        <f>IF(AND(ISNUMBER(H174),ISNUMBER(H113)),IFERROR(H174/H113,""),"")</f>
        <v>0.664792691496838</v>
      </c>
      <c r="I175" s="215">
        <f>IF(AND(ISNUMBER(I174),ISNUMBER(I113)),IFERROR(I174/I113,""),"")</f>
        <v>0.661933739012847</v>
      </c>
      <c r="J175" s="215">
        <f>IF(AND(ISNUMBER(J174),ISNUMBER(J113)),IFERROR(J174/J113,""),"")</f>
        <v>0.642785738087304</v>
      </c>
      <c r="K175" s="215">
        <f>IF(AND(ISNUMBER(K174),ISNUMBER(K113)),IFERROR(K174/K113,""),"")</f>
        <v>0.624621594349142</v>
      </c>
      <c r="L175" s="215">
        <f>IF(AND(ISNUMBER(L174),ISNUMBER(L113)),IFERROR(L174/L113,""),"")</f>
        <v>0.648327390049244</v>
      </c>
      <c r="M175" s="215">
        <f>IF(AND(ISNUMBER(M174),ISNUMBER(M113)),IFERROR(M174/M113,""),"")</f>
        <v>0.692234548335975</v>
      </c>
      <c r="N175" s="215">
        <f>IF(AND(ISNUMBER(N174),ISNUMBER(N113)),IFERROR(N174/N113,""),"")</f>
        <v>0.681315207081884</v>
      </c>
      <c r="O175" s="215">
        <f>IF(AND(ISNUMBER(O174),ISNUMBER(O113)),IFERROR(O174/O113,""),"")</f>
        <v>0.674801901743265</v>
      </c>
      <c r="P175" s="215">
        <f>IF(AND(ISNUMBER(P174),ISNUMBER(P113)),IFERROR(P174/P113,""),"")</f>
        <v>0.654691855063487</v>
      </c>
      <c r="Q175" s="215">
        <f>IF(AND(ISNUMBER(Q174),ISNUMBER(Q113)),IFERROR(Q174/Q113,""),"")</f>
        <v>0.675641631239175</v>
      </c>
      <c r="R175" s="215">
        <f>IF(AND(ISNUMBER(R174),ISNUMBER(R113)),IFERROR(R174/R113,""),"")</f>
        <v>0.697220579538735</v>
      </c>
      <c r="S175" s="215">
        <f>IF(AND(ISNUMBER(S174),ISNUMBER(S113)),IFERROR(S174/S113,""),"")</f>
        <v>0.705778820768554</v>
      </c>
      <c r="T175" s="215">
        <f>IF(AND(ISNUMBER(T174),ISNUMBER(T113)),IFERROR(T174/T113,""),"")</f>
        <v>0.679931779420125</v>
      </c>
      <c r="U175" s="215">
        <f>IF(AND(ISNUMBER(U174),ISNUMBER(U113)),IFERROR(U174/U113,""),"")</f>
        <v>0.672640716886026</v>
      </c>
      <c r="V175" s="215">
        <f>IF(AND(ISNUMBER(V174),ISNUMBER(V113)),IFERROR(V174/V113,""),"")</f>
        <v>0.688616714697406</v>
      </c>
      <c r="W175" s="215">
        <f>IF(AND(ISNUMBER(W174),ISNUMBER(W113)),IFERROR(W174/W113,""),"")</f>
        <v>0.705750350631136</v>
      </c>
      <c r="X175" s="215">
        <f>IF(AND(ISNUMBER(X174),ISNUMBER(X113)),IFERROR(X174/X113,""),"")</f>
        <v>0.704633204633205</v>
      </c>
      <c r="Y175" s="215">
        <f>IF(AND(ISNUMBER(Y174),ISNUMBER(Y113)),IFERROR(Y174/Y113,""),"")</f>
        <v>0.709917355371901</v>
      </c>
      <c r="Z175" s="215">
        <f>IF(AND(ISNUMBER(Z174),ISNUMBER(Z113)),IFERROR(Z174/Z113,""),"")</f>
        <v>0.674958929828679</v>
      </c>
      <c r="AA175" s="215">
        <f>IF(AND(ISNUMBER(AA174),ISNUMBER(AA113)),IFERROR(AA174/AA113,""),"")</f>
        <v>0.69778543959687</v>
      </c>
      <c r="AB175" s="215">
        <f>IF(AND(ISNUMBER(AB174),ISNUMBER(AB113)),IFERROR(AB174/AB113,""),"")</f>
        <v>0.72763954270343</v>
      </c>
      <c r="AC175" s="215">
        <f>IF(AND(ISNUMBER(AC174),ISNUMBER(AC113)),IFERROR(AC174/AC113,""),"")</f>
        <v>0.69935224480679</v>
      </c>
      <c r="AD175" s="215">
        <f>IF(AND(ISNUMBER(AD174),ISNUMBER(AD113)),IFERROR(AD174/AD113,""),"")</f>
        <v>0.691347207009858</v>
      </c>
      <c r="AE175" s="215">
        <f>IF(AND(ISNUMBER(AE174),ISNUMBER(AE113)),IFERROR(AE174/AE113,""),"")</f>
        <v>0.691864057672503</v>
      </c>
      <c r="AF175" s="215">
        <f>IF(AND(ISNUMBER(AF174),ISNUMBER(AF113)),IFERROR(AF174/AF113,""),"")</f>
        <v>0.702255147619566</v>
      </c>
      <c r="AG175" s="215">
        <f>IF(AND(ISNUMBER(AG174),ISNUMBER(AG113)),IFERROR(AG174/AG113,""),"")</f>
        <v>0.714109419991773</v>
      </c>
      <c r="AH175" s="215">
        <f>IF(AND(ISNUMBER(AH174),ISNUMBER(AH113)),IFERROR(AH174/AH113,""),"")</f>
        <v>0.68775872264932</v>
      </c>
      <c r="AI175" s="215">
        <f>IF(AND(ISNUMBER(AI174),ISNUMBER(AI113)),IFERROR(AI174/AI113,""),"")</f>
        <v>0.694083969465649</v>
      </c>
      <c r="AJ175" s="215">
        <f>IF(AND(ISNUMBER(AJ174),ISNUMBER(AJ113)),IFERROR(AJ174/AJ113,""),"")</f>
        <v>0.692675745307324</v>
      </c>
      <c r="AK175" s="215">
        <f>IF(AND(ISNUMBER(AK174),ISNUMBER(AK113)),IFERROR(AK174/AK113,""),"")</f>
        <v>0.696880003881799</v>
      </c>
      <c r="AL175" s="215">
        <f>IF(AND(ISNUMBER(AL174),ISNUMBER(AL113)),IFERROR(AL174/AL113,""),"")</f>
        <v>0.703959317108609</v>
      </c>
      <c r="AM175" s="215">
        <f>IF(AND(ISNUMBER(AM174),ISNUMBER(AM113)),IFERROR(AM174/AM113,""),"")</f>
        <v>0.691845649799782</v>
      </c>
      <c r="AN175" s="215">
        <f>IF(AND(ISNUMBER(AN174),ISNUMBER(AN113)),IFERROR(AN174/AN113,""),"")</f>
        <v>0.697431506849315</v>
      </c>
      <c r="AO175" s="215">
        <f>IF(AND(ISNUMBER(AO174),ISNUMBER(AO113)),IFERROR(AO174/AO113,""),"")</f>
        <v>0.696920319374287</v>
      </c>
      <c r="AP175" s="215">
        <f>IF(AND(ISNUMBER(AP174),ISNUMBER(AP113)),IFERROR(AP174/AP113,""),"")</f>
        <v>0.697523610567089</v>
      </c>
      <c r="AQ175" s="215">
        <f>IF(AND(ISNUMBER(AQ174),ISNUMBER(AQ113)),IFERROR(AQ174/AQ113,""),"")</f>
        <v>0.693756194251734</v>
      </c>
      <c r="AR175" s="215">
        <f>IF(AND(ISNUMBER(AR174),ISNUMBER(AR113)),IFERROR(AR174/AR113,""),"")</f>
        <v>0.703963102152375</v>
      </c>
      <c r="AS175" s="215">
        <f>IF(AND(ISNUMBER(AS174),ISNUMBER(AS113)),IFERROR(AS174/AS113,""),"")</f>
        <v>0.66156708703742</v>
      </c>
      <c r="AT175" s="215">
        <f>IF(AND(ISNUMBER(AT174),ISNUMBER(AT113)),IFERROR(AT174/AT113,""),"")</f>
        <v>0.655557733777691</v>
      </c>
      <c r="AU175" s="215">
        <f>IF(AND(ISNUMBER(AU174),ISNUMBER(AU113)),IFERROR(AU174/AU113,""),"")</f>
        <v>0.680444932710794</v>
      </c>
      <c r="AV175" s="215">
        <f>IF(AND(ISNUMBER(AV174),ISNUMBER(AV113)),IFERROR(AV174/AV113,""),"")</f>
        <v>0.7110954809214</v>
      </c>
      <c r="AW175" s="215">
        <f>IF(AND(ISNUMBER(AW174),ISNUMBER(AW113)),IFERROR(AW174/AW113,""),"")</f>
        <v>0.687554547041368</v>
      </c>
      <c r="AX175" s="215">
        <f>IF(AND(ISNUMBER(AX174),ISNUMBER(AX113)),IFERROR(AX174/AX113,""),"")</f>
        <v>0.697063621533442</v>
      </c>
      <c r="AY175" s="215">
        <f>IF(AND(ISNUMBER(AY174),ISNUMBER(AY113)),IFERROR(AY174/AY113,""),"")</f>
        <v>0.689891751791432</v>
      </c>
      <c r="AZ175" s="215">
        <f>IF(AND(ISNUMBER(AZ174),ISNUMBER(AZ113)),IFERROR(AZ174/AZ113,""),"")</f>
        <v>0.696162621862684</v>
      </c>
      <c r="BA175" s="215">
        <f>IF(AND(ISNUMBER(BA174),ISNUMBER(BA113)),IFERROR(BA174/BA113,""),"")</f>
        <v>0.726590168579119</v>
      </c>
      <c r="BB175" s="215">
        <f>IF(AND(ISNUMBER(BB174),ISNUMBER(BB113)),IFERROR(BB174/BB113,""),"")</f>
        <v>0.707887049659202</v>
      </c>
      <c r="BC175" s="215">
        <f>IF(AND(ISNUMBER(BC174),ISNUMBER(BC113)),IFERROR(BC174/BC113,""),"")</f>
        <v>0.70213058419244</v>
      </c>
      <c r="BD175" s="215">
        <f>IF(AND(ISNUMBER(BD174),ISNUMBER(BD113)),IFERROR(BD174/BD113,""),"")</f>
        <v>0.685501476820342</v>
      </c>
      <c r="BE175" s="215">
        <f>IF(AND(ISNUMBER(BE174),ISNUMBER(BE113)),IFERROR(BE174/BE113,""),"")</f>
        <v>0.705015353121801</v>
      </c>
      <c r="BF175" s="215">
        <f>IF(AND(ISNUMBER(BF174),ISNUMBER(BF113)),IFERROR(BF174/BF113,""),"")</f>
        <v>0.715851814516129</v>
      </c>
      <c r="BG175" s="215">
        <f>IF(AND(ISNUMBER(BG174),ISNUMBER(BG113)),IFERROR(BG174/BG113,""),"")</f>
        <v>0.700313087038197</v>
      </c>
      <c r="BH175" s="215">
        <f>IF(AND(ISNUMBER(BH174),ISNUMBER(BH113)),IFERROR(BH174/BH113,""),"")</f>
        <v>0.706512372276253</v>
      </c>
      <c r="BI175" s="215">
        <f>IF(AND(ISNUMBER(BI174),ISNUMBER(BI113)),IFERROR(BI174/BI113,""),"")</f>
        <v>0.688465559298409</v>
      </c>
      <c r="BJ175" s="215">
        <f>IF(AND(ISNUMBER(BJ174),ISNUMBER(BJ113)),IFERROR(BJ174/BJ113,""),"")</f>
        <v>0.70250819220286</v>
      </c>
      <c r="BK175" s="215">
        <f>IF(AND(ISNUMBER(BK174),ISNUMBER(BK113)),IFERROR(BK174/BK113,""),"")</f>
        <v>0.720639332870049</v>
      </c>
      <c r="BL175" s="215">
        <f>IF(AND(ISNUMBER(BL174),ISNUMBER(BL113)),IFERROR(BL174/BL113,""),"")</f>
        <v>0.696296296296296</v>
      </c>
      <c r="BM175" s="215">
        <f>IF(AND(ISNUMBER(BM174),ISNUMBER(BM113)),IFERROR(BM174/BM113,""),"")</f>
        <v>0.695393258426966</v>
      </c>
      <c r="BN175" s="215">
        <f>IF(AND(ISNUMBER(BN174),ISNUMBER(BN113)),IFERROR(BN174/BN113,""),"")</f>
        <v>0.691691795778309</v>
      </c>
      <c r="BO175" s="215">
        <f>IF(AND(ISNUMBER(BO174),ISNUMBER(BO113)),IFERROR(BO174/BO113,""),"")</f>
        <v>0.700690307855035</v>
      </c>
      <c r="BP175" s="215">
        <f>IF(AND(ISNUMBER(BP174),ISNUMBER(BP113)),IFERROR(BP174/BP113,""),"")</f>
        <v>0.718086225026288</v>
      </c>
      <c r="BQ175" s="215">
        <f>IF(AND(ISNUMBER(BQ174),ISNUMBER(BQ113)),IFERROR(BQ174/BQ113,""),"")</f>
        <v>0.705023973316656</v>
      </c>
      <c r="BR175" s="215">
        <f>IF(AND(ISNUMBER(BR174),ISNUMBER(BR113)),IFERROR(BR174/BR113,""),"")</f>
        <v>0.700747149036571</v>
      </c>
      <c r="BS175" s="215">
        <f>IF(AND(ISNUMBER(BS174),ISNUMBER(BS113)),IFERROR(BS174/BS113,""),"")</f>
        <v>0.687709809772473</v>
      </c>
      <c r="BT175" s="215">
        <f>IF(AND(ISNUMBER(BT174),ISNUMBER(BT113)),IFERROR(BT174/BT113,""),"")</f>
        <v>0.7024</v>
      </c>
      <c r="BU175" s="215">
        <f>IF(AND(ISNUMBER(BU174),ISNUMBER(BU113)),IFERROR(BU174/BU113,""),"")</f>
        <v>0.713879460599945</v>
      </c>
      <c r="BV175" s="215">
        <f>IF(AND(ISNUMBER(BV174),ISNUMBER(BV113)),IFERROR(BV174/BV113,""),"")</f>
        <v>0.704719501335708</v>
      </c>
      <c r="BW175" s="215">
        <f>IF(AND(ISNUMBER(BW174),ISNUMBER(BW113)),IFERROR(BW174/BW113,""),"")</f>
        <v>0.692684604143385</v>
      </c>
      <c r="BX175" s="256">
        <f>IF(AND(ISNUMBER(BX174),ISNUMBER(BX113)),IFERROR(BX174/BX113,""),"")</f>
        <v>0.685939849659044</v>
      </c>
      <c r="BY175" s="256">
        <f>IF(AND(ISNUMBER(BY174),ISNUMBER(BY113)),IFERROR(BY174/BY113,""),"")</f>
        <v>0.698884476370104</v>
      </c>
      <c r="BZ175" s="256">
        <f>IF(AND(ISNUMBER(BZ174),ISNUMBER(BZ113)),IFERROR(BZ174/BZ113,""),"")</f>
        <v>0.700657894736842</v>
      </c>
      <c r="CA175" s="256">
        <f>IF(AND(ISNUMBER(CA174),ISNUMBER(CA113)),IFERROR(CA174/CA113,""),"")</f>
        <v>0.7025</v>
      </c>
      <c r="CB175" s="256">
        <f>IF(AND(ISNUMBER(CB174),ISNUMBER(CB113)),IFERROR(CB174/CB113,""),"")</f>
        <v>0.705263157894737</v>
      </c>
      <c r="CC175" s="256">
        <f>IF(AND(ISNUMBER(CC174),ISNUMBER(CC113)),IFERROR(CC174/CC113,""),"")</f>
        <v>0.705263157894737</v>
      </c>
      <c r="CD175" s="256">
        <f>IF(AND(ISNUMBER(CD174),ISNUMBER(CD113)),IFERROR(CD174/CD113,""),"")</f>
        <v>0.707105263157895</v>
      </c>
      <c r="CE175" s="153" t="n"/>
      <c r="CG175" s="37">
        <f>IFERROR(AVERAGE(BZ175,CA175,CB175,CC175,CD175),"n/m")</f>
        <v>0.704157894736842</v>
      </c>
      <c r="CH175" s="37">
        <f>IFERROR(AVERAGE(AZ175,BE175,BJ175,BO175,BT175),"n/m")</f>
        <v>0.701355295008476</v>
      </c>
      <c r="CI175" s="37">
        <f>IFERROR(AVERAGE(AA175,AF175,AK175,AP175,AU175,AZ175,BE175,BJ175,BO175,BT175),"n/m")</f>
        <v>0.69816656094185</v>
      </c>
      <c r="CJ175" s="37">
        <f>IFERROR(AVERAGE(C175,D175,E175,F175,G175,L175,Q175,V175,AA175,AF175,AK175,AP175,AU175,AZ175,BE175,BJ175,BO175,BT175),"n/m")</f>
        <v>0.660875130043877</v>
      </c>
    </row>
    <row r="176" ht="15" customHeight="1" s="251">
      <c r="B176" s="57" t="inlineStr">
        <is>
          <t xml:space="preserve">  Check: adjusted EBITDA − D&amp;A + acquired amortization = adjusted operating income (should be 0; ±1 rounding)</t>
        </is>
      </c>
      <c r="C176" s="211">
        <f>IF(AND(ISNUMBER(C174),ISNUMBER(C160)),IF(ABS(C174-C171+C154-C160)&lt;=1.01,0,ROUND(C174-C171+C154-C160,1)),"")</f>
        <v>0</v>
      </c>
      <c r="D176" s="211">
        <f>IF(AND(ISNUMBER(D174),ISNUMBER(D160)),IF(ABS(D174-D171+D154-D160)&lt;=1.01,0,ROUND(D174-D171+D154-D160,1)),"")</f>
        <v>0</v>
      </c>
      <c r="E176" s="211">
        <f>IF(AND(ISNUMBER(E174),ISNUMBER(E160)),IF(ABS(E174-E171+E154-E160)&lt;=1.01,0,ROUND(E174-E171+E154-E160,1)),"")</f>
        <v>0</v>
      </c>
      <c r="F176" s="211">
        <f>IF(AND(ISNUMBER(F174),ISNUMBER(F160)),IF(ABS(F174-F171+F154-F160)&lt;=1.01,0,ROUND(F174-F171+F154-F160,1)),"")</f>
        <v>0</v>
      </c>
      <c r="G176" s="211">
        <f>IF(AND(ISNUMBER(G174),ISNUMBER(G160)),IF(ABS(G174-G171+G154-G160)&lt;=1.01,0,ROUND(G174-G171+G154-G160,1)),"")</f>
        <v>0</v>
      </c>
      <c r="H176" s="211">
        <f>IF(AND(ISNUMBER(H174),ISNUMBER(H160)),IF(ABS(H174-H171+H154-H160)&lt;=1.01,0,ROUND(H174-H171+H154-H160,1)),"")</f>
        <v>0</v>
      </c>
      <c r="I176" s="211">
        <f>IF(AND(ISNUMBER(I174),ISNUMBER(I160)),IF(ABS(I174-I171+I154-I160)&lt;=1.01,0,ROUND(I174-I171+I154-I160,1)),"")</f>
        <v>0</v>
      </c>
      <c r="J176" s="211">
        <f>IF(AND(ISNUMBER(J174),ISNUMBER(J160)),IF(ABS(J174-J171+J154-J160)&lt;=1.01,0,ROUND(J174-J171+J154-J160,1)),"")</f>
        <v>0</v>
      </c>
      <c r="K176" s="211">
        <f>IF(AND(ISNUMBER(K174),ISNUMBER(K160)),IF(ABS(K174-K171+K154-K160)&lt;=1.01,0,ROUND(K174-K171+K154-K160,1)),"")</f>
        <v>0</v>
      </c>
      <c r="L176" s="211">
        <f>IF(AND(ISNUMBER(L174),ISNUMBER(L160)),IF(ABS(L174-L171+L154-L160)&lt;=1.01,0,ROUND(L174-L171+L154-L160,1)),"")</f>
        <v>0</v>
      </c>
      <c r="M176" s="211">
        <f>IF(AND(ISNUMBER(M174),ISNUMBER(M160)),IF(ABS(M174-M171+M154-M160)&lt;=1.01,0,ROUND(M174-M171+M154-M160,1)),"")</f>
        <v>0</v>
      </c>
      <c r="N176" s="211">
        <f>IF(AND(ISNUMBER(N174),ISNUMBER(N160)),IF(ABS(N174-N171+N154-N160)&lt;=1.01,0,ROUND(N174-N171+N154-N160,1)),"")</f>
        <v>0</v>
      </c>
      <c r="O176" s="211">
        <f>IF(AND(ISNUMBER(O174),ISNUMBER(O160)),IF(ABS(O174-O171+O154-O160)&lt;=1.01,0,ROUND(O174-O171+O154-O160,1)),"")</f>
        <v>0</v>
      </c>
      <c r="P176" s="211">
        <f>IF(AND(ISNUMBER(P174),ISNUMBER(P160)),IF(ABS(P174-P171+P154-P160)&lt;=1.01,0,ROUND(P174-P171+P154-P160,1)),"")</f>
        <v>0</v>
      </c>
      <c r="Q176" s="211">
        <f>IF(AND(ISNUMBER(Q174),ISNUMBER(Q160)),IF(ABS(Q174-Q171+Q154-Q160)&lt;=1.01,0,ROUND(Q174-Q171+Q154-Q160,1)),"")</f>
        <v>0</v>
      </c>
      <c r="R176" s="211">
        <f>IF(AND(ISNUMBER(R174),ISNUMBER(R160)),IF(ABS(R174-R171+R154-R160)&lt;=1.01,0,ROUND(R174-R171+R154-R160,1)),"")</f>
        <v>0</v>
      </c>
      <c r="S176" s="211">
        <f>IF(AND(ISNUMBER(S174),ISNUMBER(S160)),IF(ABS(S174-S171+S154-S160)&lt;=1.01,0,ROUND(S174-S171+S154-S160,1)),"")</f>
        <v>0</v>
      </c>
      <c r="T176" s="211">
        <f>IF(AND(ISNUMBER(T174),ISNUMBER(T160)),IF(ABS(T174-T171+T154-T160)&lt;=1.01,0,ROUND(T174-T171+T154-T160,1)),"")</f>
        <v>0</v>
      </c>
      <c r="U176" s="211">
        <f>IF(AND(ISNUMBER(U174),ISNUMBER(U160)),IF(ABS(U174-U171+U154-U160)&lt;=1.01,0,ROUND(U174-U171+U154-U160,1)),"")</f>
        <v>0</v>
      </c>
      <c r="V176" s="211">
        <f>IF(AND(ISNUMBER(V174),ISNUMBER(V160)),IF(ABS(V174-V171+V154-V160)&lt;=1.01,0,ROUND(V174-V171+V154-V160,1)),"")</f>
        <v>0</v>
      </c>
      <c r="W176" s="211">
        <f>IF(AND(ISNUMBER(W174),ISNUMBER(W160)),IF(ABS(W174-W171+W154-W160)&lt;=1.01,0,ROUND(W174-W171+W154-W160,1)),"")</f>
        <v>0</v>
      </c>
      <c r="X176" s="211">
        <f>IF(AND(ISNUMBER(X174),ISNUMBER(X160)),IF(ABS(X174-X171+X154-X160)&lt;=1.01,0,ROUND(X174-X171+X154-X160,1)),"")</f>
        <v>0</v>
      </c>
      <c r="Y176" s="211">
        <f>IF(AND(ISNUMBER(Y174),ISNUMBER(Y160)),IF(ABS(Y174-Y171+Y154-Y160)&lt;=1.01,0,ROUND(Y174-Y171+Y154-Y160,1)),"")</f>
        <v>0</v>
      </c>
      <c r="Z176" s="211">
        <f>IF(AND(ISNUMBER(Z174),ISNUMBER(Z160)),IF(ABS(Z174-Z171+Z154-Z160)&lt;=1.01,0,ROUND(Z174-Z171+Z154-Z160,1)),"")</f>
        <v>0</v>
      </c>
      <c r="AA176" s="211">
        <f>IF(AND(ISNUMBER(AA174),ISNUMBER(AA160)),IF(ABS(AA174-AA171+AA154-AA160)&lt;=1.01,0,ROUND(AA174-AA171+AA154-AA160,1)),"")</f>
        <v>0</v>
      </c>
      <c r="AB176" s="211">
        <f>IF(AND(ISNUMBER(AB174),ISNUMBER(AB160)),IF(ABS(AB174-AB171+AB154-AB160)&lt;=1.01,0,ROUND(AB174-AB171+AB154-AB160,1)),"")</f>
        <v>0</v>
      </c>
      <c r="AC176" s="211">
        <f>IF(AND(ISNUMBER(AC174),ISNUMBER(AC160)),IF(ABS(AC174-AC171+AC154-AC160)&lt;=1.01,0,ROUND(AC174-AC171+AC154-AC160,1)),"")</f>
        <v>0</v>
      </c>
      <c r="AD176" s="211">
        <f>IF(AND(ISNUMBER(AD174),ISNUMBER(AD160)),IF(ABS(AD174-AD171+AD154-AD160)&lt;=1.01,0,ROUND(AD174-AD171+AD154-AD160,1)),"")</f>
        <v>0</v>
      </c>
      <c r="AE176" s="211">
        <f>IF(AND(ISNUMBER(AE174),ISNUMBER(AE160)),IF(ABS(AE174-AE171+AE154-AE160)&lt;=1.01,0,ROUND(AE174-AE171+AE154-AE160,1)),"")</f>
        <v>0</v>
      </c>
      <c r="AF176" s="211">
        <f>IF(AND(ISNUMBER(AF174),ISNUMBER(AF160)),IF(ABS(AF174-AF171+AF154-AF160)&lt;=1.01,0,ROUND(AF174-AF171+AF154-AF160,1)),"")</f>
        <v>0</v>
      </c>
      <c r="AG176" s="211">
        <f>IF(AND(ISNUMBER(AG174),ISNUMBER(AG160)),IF(ABS(AG174-AG171+AG154-AG160)&lt;=1.01,0,ROUND(AG174-AG171+AG154-AG160,1)),"")</f>
        <v>0</v>
      </c>
      <c r="AH176" s="211">
        <f>IF(AND(ISNUMBER(AH174),ISNUMBER(AH160)),IF(ABS(AH174-AH171+AH154-AH160)&lt;=1.01,0,ROUND(AH174-AH171+AH154-AH160,1)),"")</f>
        <v>0</v>
      </c>
      <c r="AI176" s="211">
        <f>IF(AND(ISNUMBER(AI174),ISNUMBER(AI160)),IF(ABS(AI174-AI171+AI154-AI160)&lt;=1.01,0,ROUND(AI174-AI171+AI154-AI160,1)),"")</f>
        <v>0</v>
      </c>
      <c r="AJ176" s="211">
        <f>IF(AND(ISNUMBER(AJ174),ISNUMBER(AJ160)),IF(ABS(AJ174-AJ171+AJ154-AJ160)&lt;=1.01,0,ROUND(AJ174-AJ171+AJ154-AJ160,1)),"")</f>
        <v>0</v>
      </c>
      <c r="AK176" s="211">
        <f>IF(AND(ISNUMBER(AK174),ISNUMBER(AK160)),IF(ABS(AK174-AK171+AK154-AK160)&lt;=1.01,0,ROUND(AK174-AK171+AK154-AK160,1)),"")</f>
        <v>0</v>
      </c>
      <c r="AL176" s="211">
        <f>IF(AND(ISNUMBER(AL174),ISNUMBER(AL160)),IF(ABS(AL174-AL171+AL154-AL160)&lt;=1.01,0,ROUND(AL174-AL171+AL154-AL160,1)),"")</f>
        <v>0</v>
      </c>
      <c r="AM176" s="211">
        <f>IF(AND(ISNUMBER(AM174),ISNUMBER(AM160)),IF(ABS(AM174-AM171+AM154-AM160)&lt;=1.01,0,ROUND(AM174-AM171+AM154-AM160,1)),"")</f>
        <v>0</v>
      </c>
      <c r="AN176" s="211">
        <f>IF(AND(ISNUMBER(AN174),ISNUMBER(AN160)),IF(ABS(AN174-AN171+AN154-AN160)&lt;=1.01,0,ROUND(AN174-AN171+AN154-AN160,1)),"")</f>
        <v>0</v>
      </c>
      <c r="AO176" s="211">
        <f>IF(AND(ISNUMBER(AO174),ISNUMBER(AO160)),IF(ABS(AO174-AO171+AO154-AO160)&lt;=1.01,0,ROUND(AO174-AO171+AO154-AO160,1)),"")</f>
        <v>0</v>
      </c>
      <c r="AP176" s="211">
        <f>IF(AND(ISNUMBER(AP174),ISNUMBER(AP160)),IF(ABS(AP174-AP171+AP154-AP160)&lt;=1.01,0,ROUND(AP174-AP171+AP154-AP160,1)),"")</f>
        <v>0</v>
      </c>
      <c r="AQ176" s="211">
        <f>IF(AND(ISNUMBER(AQ174),ISNUMBER(AQ160)),IF(ABS(AQ174-AQ171+AQ154-AQ160)&lt;=1.01,0,ROUND(AQ174-AQ171+AQ154-AQ160,1)),"")</f>
        <v>0</v>
      </c>
      <c r="AR176" s="211">
        <f>IF(AND(ISNUMBER(AR174),ISNUMBER(AR160)),IF(ABS(AR174-AR171+AR154-AR160)&lt;=1.01,0,ROUND(AR174-AR171+AR154-AR160,1)),"")</f>
        <v>0</v>
      </c>
      <c r="AS176" s="211">
        <f>IF(AND(ISNUMBER(AS174),ISNUMBER(AS160)),IF(ABS(AS174-AS171+AS154-AS160)&lt;=1.01,0,ROUND(AS174-AS171+AS154-AS160,1)),"")</f>
        <v>0</v>
      </c>
      <c r="AT176" s="211">
        <f>IF(AND(ISNUMBER(AT174),ISNUMBER(AT160)),IF(ABS(AT174-AT171+AT154-AT160)&lt;=1.01,0,ROUND(AT174-AT171+AT154-AT160,1)),"")</f>
        <v>0</v>
      </c>
      <c r="AU176" s="211">
        <f>IF(AND(ISNUMBER(AU174),ISNUMBER(AU160)),IF(ABS(AU174-AU171+AU154-AU160)&lt;=1.01,0,ROUND(AU174-AU171+AU154-AU160,1)),"")</f>
        <v>0</v>
      </c>
      <c r="AV176" s="211">
        <f>IF(AND(ISNUMBER(AV174),ISNUMBER(AV160)),IF(ABS(AV174-AV171+AV154-AV160)&lt;=1.01,0,ROUND(AV174-AV171+AV154-AV160,1)),"")</f>
        <v>0</v>
      </c>
      <c r="AW176" s="211">
        <f>IF(AND(ISNUMBER(AW174),ISNUMBER(AW160)),IF(ABS(AW174-AW171+AW154-AW160)&lt;=1.01,0,ROUND(AW174-AW171+AW154-AW160,1)),"")</f>
        <v>0</v>
      </c>
      <c r="AX176" s="211">
        <f>IF(AND(ISNUMBER(AX174),ISNUMBER(AX160)),IF(ABS(AX174-AX171+AX154-AX160)&lt;=1.01,0,ROUND(AX174-AX171+AX154-AX160,1)),"")</f>
        <v>0</v>
      </c>
      <c r="AY176" s="211">
        <f>IF(AND(ISNUMBER(AY174),ISNUMBER(AY160)),IF(ABS(AY174-AY171+AY154-AY160)&lt;=1.01,0,ROUND(AY174-AY171+AY154-AY160,1)),"")</f>
        <v>0</v>
      </c>
      <c r="AZ176" s="211">
        <f>IF(AND(ISNUMBER(AZ174),ISNUMBER(AZ160)),IF(ABS(AZ174-AZ171+AZ154-AZ160)&lt;=1.01,0,ROUND(AZ174-AZ171+AZ154-AZ160,1)),"")</f>
        <v>0</v>
      </c>
      <c r="BA176" s="211">
        <f>IF(AND(ISNUMBER(BA174),ISNUMBER(BA160)),IF(ABS(BA174-BA171+BA154-BA160)&lt;=1.01,0,ROUND(BA174-BA171+BA154-BA160,1)),"")</f>
        <v>0</v>
      </c>
      <c r="BB176" s="211">
        <f>IF(AND(ISNUMBER(BB174),ISNUMBER(BB160)),IF(ABS(BB174-BB171+BB154-BB160)&lt;=1.01,0,ROUND(BB174-BB171+BB154-BB160,1)),"")</f>
        <v>0</v>
      </c>
      <c r="BC176" s="211">
        <f>IF(AND(ISNUMBER(BC174),ISNUMBER(BC160)),IF(ABS(BC174-BC171+BC154-BC160)&lt;=1.01,0,ROUND(BC174-BC171+BC154-BC160,1)),"")</f>
        <v>0</v>
      </c>
      <c r="BD176" s="211">
        <f>IF(AND(ISNUMBER(BD174),ISNUMBER(BD160)),IF(ABS(BD174-BD171+BD154-BD160)&lt;=1.01,0,ROUND(BD174-BD171+BD154-BD160,1)),"")</f>
        <v>0</v>
      </c>
      <c r="BE176" s="211">
        <f>IF(AND(ISNUMBER(BE174),ISNUMBER(BE160)),IF(ABS(BE174-BE171+BE154-BE160)&lt;=1.01,0,ROUND(BE174-BE171+BE154-BE160,1)),"")</f>
        <v>0</v>
      </c>
      <c r="BF176" s="211">
        <f>IF(AND(ISNUMBER(BF174),ISNUMBER(BF160)),IF(ABS(BF174-BF171+BF154-BF160)&lt;=1.01,0,ROUND(BF174-BF171+BF154-BF160,1)),"")</f>
        <v>0</v>
      </c>
      <c r="BG176" s="211">
        <f>IF(AND(ISNUMBER(BG174),ISNUMBER(BG160)),IF(ABS(BG174-BG171+BG154-BG160)&lt;=1.01,0,ROUND(BG174-BG171+BG154-BG160,1)),"")</f>
        <v>0</v>
      </c>
      <c r="BH176" s="211">
        <f>IF(AND(ISNUMBER(BH174),ISNUMBER(BH160)),IF(ABS(BH174-BH171+BH154-BH160)&lt;=1.01,0,ROUND(BH174-BH171+BH154-BH160,1)),"")</f>
        <v>0</v>
      </c>
      <c r="BI176" s="211">
        <f>IF(AND(ISNUMBER(BI174),ISNUMBER(BI160)),IF(ABS(BI174-BI171+BI154-BI160)&lt;=1.01,0,ROUND(BI174-BI171+BI154-BI160,1)),"")</f>
        <v>0</v>
      </c>
      <c r="BJ176" s="211">
        <f>IF(AND(ISNUMBER(BJ174),ISNUMBER(BJ160)),IF(ABS(BJ174-BJ171+BJ154-BJ160)&lt;=1.01,0,ROUND(BJ174-BJ171+BJ154-BJ160,1)),"")</f>
        <v>0</v>
      </c>
      <c r="BK176" s="211">
        <f>IF(AND(ISNUMBER(BK174),ISNUMBER(BK160)),IF(ABS(BK174-BK171+BK154-BK160)&lt;=1.01,0,ROUND(BK174-BK171+BK154-BK160,1)),"")</f>
        <v>0</v>
      </c>
      <c r="BL176" s="211">
        <f>IF(AND(ISNUMBER(BL174),ISNUMBER(BL160)),IF(ABS(BL174-BL171+BL154-BL160)&lt;=1.01,0,ROUND(BL174-BL171+BL154-BL160,1)),"")</f>
        <v>0</v>
      </c>
      <c r="BM176" s="211">
        <f>IF(AND(ISNUMBER(BM174),ISNUMBER(BM160)),IF(ABS(BM174-BM171+BM154-BM160)&lt;=1.01,0,ROUND(BM174-BM171+BM154-BM160,1)),"")</f>
        <v>0</v>
      </c>
      <c r="BN176" s="211">
        <f>IF(AND(ISNUMBER(BN174),ISNUMBER(BN160)),IF(ABS(BN174-BN171+BN154-BN160)&lt;=1.01,0,ROUND(BN174-BN171+BN154-BN160,1)),"")</f>
        <v>0</v>
      </c>
      <c r="BO176" s="211">
        <f>IF(AND(ISNUMBER(BO174),ISNUMBER(BO160)),IF(ABS(BO174-BO171+BO154-BO160)&lt;=1.01,0,ROUND(BO174-BO171+BO154-BO160,1)),"")</f>
        <v>0</v>
      </c>
      <c r="BP176" s="211">
        <f>IF(AND(ISNUMBER(BP174),ISNUMBER(BP160)),IF(ABS(BP174-BP171+BP154-BP160)&lt;=1.01,0,ROUND(BP174-BP171+BP154-BP160,1)),"")</f>
        <v>0</v>
      </c>
      <c r="BQ176" s="211">
        <f>IF(AND(ISNUMBER(BQ174),ISNUMBER(BQ160)),IF(ABS(BQ174-BQ171+BQ154-BQ160)&lt;=1.01,0,ROUND(BQ174-BQ171+BQ154-BQ160,1)),"")</f>
        <v>0</v>
      </c>
      <c r="BR176" s="211">
        <f>IF(AND(ISNUMBER(BR174),ISNUMBER(BR160)),IF(ABS(BR174-BR171+BR154-BR160)&lt;=1.01,0,ROUND(BR174-BR171+BR154-BR160,1)),"")</f>
        <v>0</v>
      </c>
      <c r="BS176" s="211">
        <f>IF(AND(ISNUMBER(BS174),ISNUMBER(BS160)),IF(ABS(BS174-BS171+BS154-BS160)&lt;=1.01,0,ROUND(BS174-BS171+BS154-BS160,1)),"")</f>
        <v>0</v>
      </c>
      <c r="BT176" s="211">
        <f>IF(AND(ISNUMBER(BT174),ISNUMBER(BT160)),IF(ABS(BT174-BT171+BT154-BT160)&lt;=1.01,0,ROUND(BT174-BT171+BT154-BT160,1)),"")</f>
        <v>0</v>
      </c>
      <c r="BU176" s="211">
        <f>IF(AND(ISNUMBER(BU174),ISNUMBER(BU160)),IF(ABS(BU174-BU171+BU154-BU160)&lt;=1.01,0,ROUND(BU174-BU171+BU154-BU160,1)),"")</f>
        <v>0</v>
      </c>
      <c r="BV176" s="211">
        <f>IF(AND(ISNUMBER(BV174),ISNUMBER(BV160)),IF(ABS(BV174-BV171+BV154-BV160)&lt;=1.01,0,ROUND(BV174-BV171+BV154-BV160,1)),"")</f>
        <v>0</v>
      </c>
      <c r="BW176" s="211">
        <f>IF(AND(ISNUMBER(BW174),ISNUMBER(BW160)),IF(ABS(BW174-BW171+BW154-BW160)&lt;=1.01,0,ROUND(BW174-BW171+BW154-BW160,1)),"")</f>
        <v>0</v>
      </c>
      <c r="BX176" s="267">
        <f>IF(AND(ISNUMBER(BX174),ISNUMBER(BX160)),IF(ABS(BX174-BX171+BX154-BX160)&lt;=1.01,0,ROUND(BX174-BX171+BX154-BX160,1)),"")</f>
        <v>0</v>
      </c>
      <c r="BY176" s="267">
        <f>IF(AND(ISNUMBER(BY174),ISNUMBER(BY160)),IF(ABS(BY174-BY171+BY154-BY160)&lt;=1.01,0,ROUND(BY174-BY171+BY154-BY160,1)),"")</f>
        <v>0</v>
      </c>
      <c r="BZ176" s="267">
        <f>IF(AND(ISNUMBER(BZ174),ISNUMBER(BZ160)),IF(ABS(BZ174-BZ171+BZ154-BZ160)&lt;=1.01,0,ROUND(BZ174-BZ171+BZ154-BZ160,1)),"")</f>
        <v>0</v>
      </c>
      <c r="CA176" s="267">
        <f>IF(AND(ISNUMBER(CA174),ISNUMBER(CA160)),IF(ABS(CA174-CA171+CA154-CA160)&lt;=1.01,0,ROUND(CA174-CA171+CA154-CA160,1)),"")</f>
        <v>0</v>
      </c>
      <c r="CB176" s="267">
        <f>IF(AND(ISNUMBER(CB174),ISNUMBER(CB160)),IF(ABS(CB174-CB171+CB154-CB160)&lt;=1.01,0,ROUND(CB174-CB171+CB154-CB160,1)),"")</f>
        <v>0</v>
      </c>
      <c r="CC176" s="267">
        <f>IF(AND(ISNUMBER(CC174),ISNUMBER(CC160)),IF(ABS(CC174-CC171+CC154-CC160)&lt;=1.01,0,ROUND(CC174-CC171+CC154-CC160,1)),"")</f>
        <v>0</v>
      </c>
      <c r="CD176" s="267">
        <f>IF(AND(ISNUMBER(CD174),ISNUMBER(CD160)),IF(ABS(CD174-CD171+CD154-CD160)&lt;=1.01,0,ROUND(CD174-CD171+CD154-CD160,1)),"")</f>
        <v>0</v>
      </c>
      <c r="CE176" s="153" t="n"/>
    </row>
    <row r="177" ht="15" customHeight="1" s="251">
      <c r="B177" s="25" t="inlineStr">
        <is>
          <t>To adjusted EBIT, full-cost (for NOPAT, ROIC and the DCF):</t>
        </is>
      </c>
      <c r="CE177" s="153" t="n"/>
    </row>
    <row r="178" ht="15" customHeight="1" s="251">
      <c r="B178" s="25" t="inlineStr">
        <is>
          <t xml:space="preserve">  (−) Depreciation &amp; amortization (total)</t>
        </is>
      </c>
      <c r="C178" s="211">
        <f>IF(ISNUMBER(C140),-C140,"")</f>
        <v>-237</v>
      </c>
      <c r="D178" s="211">
        <f>IF(ISNUMBER(D140),-D140,"")</f>
        <v>-226</v>
      </c>
      <c r="E178" s="211">
        <f>IF(ISNUMBER(E140),-E140,"")</f>
        <v>-265</v>
      </c>
      <c r="F178" s="211">
        <f>IF(ISNUMBER(F140),-F140,"")</f>
        <v>-288</v>
      </c>
      <c r="G178" s="211">
        <f>IF(ISNUMBER(G140),-G140,"")</f>
        <v>-333</v>
      </c>
      <c r="H178" s="211">
        <f>IF(ISNUMBER(H140),-H140,"")</f>
        <v>-92</v>
      </c>
      <c r="I178" s="211">
        <f>IF(ISNUMBER(I140),-I140,"")</f>
        <v>-98</v>
      </c>
      <c r="J178" s="211">
        <f>IF(ISNUMBER(J140),-J140,"")</f>
        <v>-101</v>
      </c>
      <c r="K178" s="211">
        <f>IF(ISNUMBER(K140),-K140,"")</f>
        <v>-106</v>
      </c>
      <c r="L178" s="211">
        <f>IF(ISNUMBER(L140),-L140,"")</f>
        <v>-397</v>
      </c>
      <c r="M178" s="211">
        <f>IF(ISNUMBER(M140),-M140,"")</f>
        <v>-107</v>
      </c>
      <c r="N178" s="211">
        <f>IF(ISNUMBER(N140),-N140,"")</f>
        <v>-107</v>
      </c>
      <c r="O178" s="211">
        <f>IF(ISNUMBER(O140),-O140,"")</f>
        <v>-109</v>
      </c>
      <c r="P178" s="211">
        <f>IF(ISNUMBER(P140),-P140,"")</f>
        <v>-112</v>
      </c>
      <c r="Q178" s="211">
        <f>IF(ISNUMBER(Q140),-Q140,"")</f>
        <v>-435</v>
      </c>
      <c r="R178" s="211">
        <f>IF(ISNUMBER(R140),-R140,"")</f>
        <v>-120</v>
      </c>
      <c r="S178" s="211">
        <f>IF(ISNUMBER(S140),-S140,"")</f>
        <v>-125</v>
      </c>
      <c r="T178" s="211">
        <f>IF(ISNUMBER(T140),-T140,"")</f>
        <v>-130</v>
      </c>
      <c r="U178" s="211">
        <f>IF(ISNUMBER(U140),-U140,"")</f>
        <v>-119</v>
      </c>
      <c r="V178" s="211">
        <f>IF(ISNUMBER(V140),-V140,"")</f>
        <v>-494</v>
      </c>
      <c r="W178" s="211">
        <f>IF(ISNUMBER(W140),-W140,"")</f>
        <v>-120</v>
      </c>
      <c r="X178" s="211">
        <f>IF(ISNUMBER(X140),-X140,"")</f>
        <v>-121</v>
      </c>
      <c r="Y178" s="211">
        <f>IF(ISNUMBER(Y140),-Y140,"")</f>
        <v>-120</v>
      </c>
      <c r="Z178" s="211">
        <f>IF(ISNUMBER(Z140),-Z140,"")</f>
        <v>-141</v>
      </c>
      <c r="AA178" s="211">
        <f>IF(ISNUMBER(AA140),-AA140,"")</f>
        <v>-502</v>
      </c>
      <c r="AB178" s="211">
        <f>IF(ISNUMBER(AB140),-AB140,"")</f>
        <v>-146</v>
      </c>
      <c r="AC178" s="211">
        <f>IF(ISNUMBER(AC140),-AC140,"")</f>
        <v>-131</v>
      </c>
      <c r="AD178" s="211">
        <f>IF(ISNUMBER(AD140),-AD140,"")</f>
        <v>-132</v>
      </c>
      <c r="AE178" s="211">
        <f>IF(ISNUMBER(AE140),-AE140,"")</f>
        <v>-147</v>
      </c>
      <c r="AF178" s="211">
        <f>IF(ISNUMBER(AF140),-AF140,"")</f>
        <v>-556</v>
      </c>
      <c r="AG178" s="211">
        <f>IF(ISNUMBER(AG140),-AG140,"")</f>
        <v>-145</v>
      </c>
      <c r="AH178" s="211">
        <f>IF(ISNUMBER(AH140),-AH140,"")</f>
        <v>-153</v>
      </c>
      <c r="AI178" s="211">
        <f>IF(ISNUMBER(AI140),-AI140,"")</f>
        <v>-152</v>
      </c>
      <c r="AJ178" s="211">
        <f>IF(ISNUMBER(AJ140),-AJ140,"")</f>
        <v>-163</v>
      </c>
      <c r="AK178" s="211">
        <f>IF(ISNUMBER(AK140),-AK140,"")</f>
        <v>-613</v>
      </c>
      <c r="AL178" s="211">
        <f>IF(ISNUMBER(AL140),-AL140,"")</f>
        <v>-159</v>
      </c>
      <c r="AM178" s="211">
        <f>IF(ISNUMBER(AM140),-AM140,"")</f>
        <v>-160</v>
      </c>
      <c r="AN178" s="211">
        <f>IF(ISNUMBER(AN140),-AN140,"")</f>
        <v>-165</v>
      </c>
      <c r="AO178" s="211">
        <f>IF(ISNUMBER(AO140),-AO140,"")</f>
        <v>-172</v>
      </c>
      <c r="AP178" s="211">
        <f>IF(ISNUMBER(AP140),-AP140,"")</f>
        <v>-656</v>
      </c>
      <c r="AQ178" s="211">
        <f>IF(ISNUMBER(AQ140),-AQ140,"")</f>
        <v>-182</v>
      </c>
      <c r="AR178" s="211">
        <f>IF(ISNUMBER(AR140),-AR140,"")</f>
        <v>-192</v>
      </c>
      <c r="AS178" s="211">
        <f>IF(ISNUMBER(AS140),-AS140,"")</f>
        <v>-197</v>
      </c>
      <c r="AT178" s="211">
        <f>IF(ISNUMBER(AT140),-AT140,"")</f>
        <v>-196</v>
      </c>
      <c r="AU178" s="211">
        <f>IF(ISNUMBER(AU140),-AU140,"")</f>
        <v>-767</v>
      </c>
      <c r="AV178" s="211">
        <f>IF(ISNUMBER(AV140),-AV140,"")</f>
        <v>-197</v>
      </c>
      <c r="AW178" s="211">
        <f>IF(ISNUMBER(AW140),-AW140,"")</f>
        <v>-201</v>
      </c>
      <c r="AX178" s="211">
        <f>IF(ISNUMBER(AX140),-AX140,"")</f>
        <v>-204</v>
      </c>
      <c r="AY178" s="211">
        <f>IF(ISNUMBER(AY140),-AY140,"")</f>
        <v>-202</v>
      </c>
      <c r="AZ178" s="211">
        <f>IF(ISNUMBER(AZ140),-AZ140,"")</f>
        <v>-804</v>
      </c>
      <c r="BA178" s="211">
        <f>IF(ISNUMBER(BA140),-BA140,"")</f>
        <v>-198</v>
      </c>
      <c r="BB178" s="211">
        <f>IF(ISNUMBER(BB140),-BB140,"")</f>
        <v>-207</v>
      </c>
      <c r="BC178" s="211">
        <f>IF(ISNUMBER(BC140),-BC140,"")</f>
        <v>-230</v>
      </c>
      <c r="BD178" s="211">
        <f>IF(ISNUMBER(BD140),-BD140,"")</f>
        <v>-226</v>
      </c>
      <c r="BE178" s="211">
        <f>IF(ISNUMBER(BE140),-BE140,"")</f>
        <v>-861</v>
      </c>
      <c r="BF178" s="211">
        <f>IF(ISNUMBER(BF140),-BF140,"")</f>
        <v>-227</v>
      </c>
      <c r="BG178" s="211">
        <f>IF(ISNUMBER(BG140),-BG140,"")</f>
        <v>-234</v>
      </c>
      <c r="BH178" s="211">
        <f>IF(ISNUMBER(BH140),-BH140,"")</f>
        <v>-235</v>
      </c>
      <c r="BI178" s="211">
        <f>IF(ISNUMBER(BI140),-BI140,"")</f>
        <v>-247</v>
      </c>
      <c r="BJ178" s="211">
        <f>IF(ISNUMBER(BJ140),-BJ140,"")</f>
        <v>-943</v>
      </c>
      <c r="BK178" s="211">
        <f>IF(ISNUMBER(BK140),-BK140,"")</f>
        <v>-247</v>
      </c>
      <c r="BL178" s="211">
        <f>IF(ISNUMBER(BL140),-BL140,"")</f>
        <v>-249</v>
      </c>
      <c r="BM178" s="211">
        <f>IF(ISNUMBER(BM140),-BM140,"")</f>
        <v>-264</v>
      </c>
      <c r="BN178" s="211">
        <f>IF(ISNUMBER(BN140),-BN140,"")</f>
        <v>-274</v>
      </c>
      <c r="BO178" s="211">
        <f>IF(ISNUMBER(BO140),-BO140,"")</f>
        <v>-1034</v>
      </c>
      <c r="BP178" s="211">
        <f>IF(ISNUMBER(BP140),-BP140,"")</f>
        <v>-282</v>
      </c>
      <c r="BQ178" s="211">
        <f>IF(ISNUMBER(BQ140),-BQ140,"")</f>
        <v>-305</v>
      </c>
      <c r="BR178" s="211">
        <f>IF(ISNUMBER(BR140),-BR140,"")</f>
        <v>-317</v>
      </c>
      <c r="BS178" s="211">
        <f>IF(ISNUMBER(BS140),-BS140,"")</f>
        <v>-316</v>
      </c>
      <c r="BT178" s="211">
        <f>IF(ISNUMBER(BT140),-BT140,"")</f>
        <v>-1220</v>
      </c>
      <c r="BU178" s="211">
        <f>IF(ISNUMBER(BU140),-BU140,"")</f>
        <v>-326</v>
      </c>
      <c r="BV178" s="211">
        <f>IF(ISNUMBER(BV140),-BV140,"")</f>
        <v>-333</v>
      </c>
      <c r="BW178" s="211">
        <f>IF(ISNUMBER(BW140),-BW140,"")</f>
        <v>-367</v>
      </c>
      <c r="BX178" s="254">
        <f>IF(ISNUMBER(BX140),-BX140,"")</f>
        <v>-390.21302191855</v>
      </c>
      <c r="BY178" s="254">
        <f>IF(ISNUMBER(BY140),-BY140,"")</f>
        <v>-1416.21302191855</v>
      </c>
      <c r="BZ178" s="254">
        <f>IF(ISNUMBER(BZ140),-BZ140,"")</f>
        <v>-1548.942716331</v>
      </c>
      <c r="CA178" s="254">
        <f>IF(ISNUMBER(CA140),-CA140,"")</f>
        <v>-1677.3804065727</v>
      </c>
      <c r="CB178" s="254">
        <f>IF(ISNUMBER(CB140),-CB140,"")</f>
        <v>-1803.83186075411</v>
      </c>
      <c r="CC178" s="254">
        <f>IF(ISNUMBER(CC140),-CC140,"")</f>
        <v>-1947.05258439207</v>
      </c>
      <c r="CD178" s="254">
        <f>IF(ISNUMBER(CD140),-CD140,"")</f>
        <v>-2097.07542552417</v>
      </c>
      <c r="CE178" s="19" t="n"/>
    </row>
    <row r="179" ht="15" customHeight="1" s="251">
      <c r="B179" s="55" t="inlineStr">
        <is>
          <t xml:space="preserve">  = Adjusted EBIT, full-cost (adjusted EBITDA − total D&amp;A = adjusted operating income − acquired-intangible amortization)</t>
        </is>
      </c>
      <c r="C179" s="266">
        <f>IF(ISNUMBER(C174),C174+C178,"")</f>
        <v>2829</v>
      </c>
      <c r="D179" s="266">
        <f>IF(ISNUMBER(D174),D174+D178,"")</f>
        <v>3606</v>
      </c>
      <c r="E179" s="266">
        <f>IF(ISNUMBER(E174),E174+E178,"")</f>
        <v>4589</v>
      </c>
      <c r="F179" s="266">
        <f>IF(ISNUMBER(F174),F174+F178,"")</f>
        <v>5456</v>
      </c>
      <c r="G179" s="266">
        <f>IF(ISNUMBER(G174),G174+G178,"")</f>
        <v>6237</v>
      </c>
      <c r="H179" s="266">
        <f>IF(ISNUMBER(H174),H174+H178,"")</f>
        <v>1800</v>
      </c>
      <c r="I179" s="266">
        <f>IF(ISNUMBER(I174),I174+I178,"")</f>
        <v>1860</v>
      </c>
      <c r="J179" s="266">
        <f>IF(ISNUMBER(J174),J174+J178,"")</f>
        <v>1828</v>
      </c>
      <c r="K179" s="266">
        <f>IF(ISNUMBER(K174),K174+K178,"")</f>
        <v>1751</v>
      </c>
      <c r="L179" s="266">
        <f>IF(ISNUMBER(L174),L174+L178,"")</f>
        <v>7239</v>
      </c>
      <c r="M179" s="266">
        <f>IF(ISNUMBER(M174),M174+M178,"")</f>
        <v>2077</v>
      </c>
      <c r="N179" s="266">
        <f>IF(ISNUMBER(N174),N174+N178,"")</f>
        <v>2048</v>
      </c>
      <c r="O179" s="266">
        <f>IF(ISNUMBER(O174),O174+O178,"")</f>
        <v>2020</v>
      </c>
      <c r="P179" s="266">
        <f>IF(ISNUMBER(P174),P174+P178,"")</f>
        <v>2002</v>
      </c>
      <c r="Q179" s="266">
        <f>IF(ISNUMBER(Q174),Q174+Q178,"")</f>
        <v>8147</v>
      </c>
      <c r="R179" s="266">
        <f>IF(ISNUMBER(R174),R174+R178,"")</f>
        <v>2238</v>
      </c>
      <c r="S179" s="266">
        <f>IF(ISNUMBER(S174),S174+S178,"")</f>
        <v>2281</v>
      </c>
      <c r="T179" s="266">
        <f>IF(ISNUMBER(T174),T174+T178,"")</f>
        <v>2262</v>
      </c>
      <c r="U179" s="266">
        <f>IF(ISNUMBER(U174),U174+U178,"")</f>
        <v>2283</v>
      </c>
      <c r="V179" s="266">
        <f>IF(ISNUMBER(V174),V174+V178,"")</f>
        <v>9064</v>
      </c>
      <c r="W179" s="266">
        <f>IF(ISNUMBER(W174),W174+W178,"")</f>
        <v>2396</v>
      </c>
      <c r="X179" s="266">
        <f>IF(ISNUMBER(X174),X174+X178,"")</f>
        <v>2434</v>
      </c>
      <c r="Y179" s="266">
        <f>IF(ISNUMBER(Y174),Y174+Y178,"")</f>
        <v>2457</v>
      </c>
      <c r="Z179" s="266">
        <f>IF(ISNUMBER(Z174),Z174+Z178,"")</f>
        <v>2735</v>
      </c>
      <c r="AA179" s="266">
        <f>IF(ISNUMBER(AA174),AA174+AA178,"")</f>
        <v>10022</v>
      </c>
      <c r="AB179" s="266">
        <f>IF(ISNUMBER(AB174),AB174+AB178,"")</f>
        <v>3100</v>
      </c>
      <c r="AC179" s="266">
        <f>IF(ISNUMBER(AC174),AC174+AC178,"")</f>
        <v>3000</v>
      </c>
      <c r="AD179" s="266">
        <f>IF(ISNUMBER(AD174),AD174+AD178,"")</f>
        <v>3024</v>
      </c>
      <c r="AE179" s="266">
        <f>IF(ISNUMBER(AE174),AE174+AE178,"")</f>
        <v>3212</v>
      </c>
      <c r="AF179" s="266">
        <f>IF(ISNUMBER(AF174),AF174+AF178,"")</f>
        <v>12336</v>
      </c>
      <c r="AG179" s="266">
        <f>IF(ISNUMBER(AG174),AG174+AG178,"")</f>
        <v>3327</v>
      </c>
      <c r="AH179" s="266">
        <f>IF(ISNUMBER(AH174),AH174+AH178,"")</f>
        <v>3336</v>
      </c>
      <c r="AI179" s="266">
        <f>IF(ISNUMBER(AI174),AI174+AI178,"")</f>
        <v>3485</v>
      </c>
      <c r="AJ179" s="266">
        <f>IF(ISNUMBER(AJ174),AJ174+AJ178,"")</f>
        <v>3601</v>
      </c>
      <c r="AK179" s="266">
        <f>IF(ISNUMBER(AK174),AK174+AK178,"")</f>
        <v>13749</v>
      </c>
      <c r="AL179" s="266">
        <f>IF(ISNUMBER(AL174),AL174+AL178,"")</f>
        <v>3717</v>
      </c>
      <c r="AM179" s="266">
        <f>IF(ISNUMBER(AM174),AM174+AM178,"")</f>
        <v>3641</v>
      </c>
      <c r="AN179" s="266">
        <f>IF(ISNUMBER(AN174),AN174+AN178,"")</f>
        <v>3908</v>
      </c>
      <c r="AO179" s="266">
        <f>IF(ISNUMBER(AO174),AO174+AO178,"")</f>
        <v>4105</v>
      </c>
      <c r="AP179" s="266">
        <f>IF(ISNUMBER(AP174),AP174+AP178,"")</f>
        <v>15371</v>
      </c>
      <c r="AQ179" s="266">
        <f>IF(ISNUMBER(AQ174),AQ174+AQ178,"")</f>
        <v>4018</v>
      </c>
      <c r="AR179" s="266">
        <f>IF(ISNUMBER(AR174),AR174+AR178,"")</f>
        <v>3929</v>
      </c>
      <c r="AS179" s="266">
        <f>IF(ISNUMBER(AS174),AS174+AS178,"")</f>
        <v>3003</v>
      </c>
      <c r="AT179" s="266">
        <f>IF(ISNUMBER(AT174),AT174+AT178,"")</f>
        <v>3148</v>
      </c>
      <c r="AU179" s="266">
        <f>IF(ISNUMBER(AU174),AU174+AU178,"")</f>
        <v>14098</v>
      </c>
      <c r="AV179" s="266">
        <f>IF(ISNUMBER(AV174),AV174+AV178,"")</f>
        <v>3847</v>
      </c>
      <c r="AW179" s="266">
        <f>IF(ISNUMBER(AW174),AW174+AW178,"")</f>
        <v>3738</v>
      </c>
      <c r="AX179" s="266">
        <f>IF(ISNUMBER(AX174),AX174+AX178,"")</f>
        <v>4069</v>
      </c>
      <c r="AY179" s="266">
        <f>IF(ISNUMBER(AY174),AY174+AY178,"")</f>
        <v>4323</v>
      </c>
      <c r="AZ179" s="266">
        <f>IF(ISNUMBER(AZ174),AZ174+AZ178,"")</f>
        <v>15977</v>
      </c>
      <c r="BA179" s="266">
        <f>IF(ISNUMBER(BA174),BA174+BA178,"")</f>
        <v>4931</v>
      </c>
      <c r="BB179" s="266">
        <f>IF(ISNUMBER(BB174),BB174+BB178,"")</f>
        <v>4882</v>
      </c>
      <c r="BC179" s="266">
        <f>IF(ISNUMBER(BC174),BC174+BC178,"")</f>
        <v>4878</v>
      </c>
      <c r="BD179" s="266">
        <f>IF(ISNUMBER(BD174),BD174+BD178,"")</f>
        <v>5112</v>
      </c>
      <c r="BE179" s="266">
        <f>IF(ISNUMBER(BE174),BE174+BE178,"")</f>
        <v>19803</v>
      </c>
      <c r="BF179" s="266">
        <f>IF(ISNUMBER(BF174),BF174+BF178,"")</f>
        <v>5454</v>
      </c>
      <c r="BG179" s="266">
        <f>IF(ISNUMBER(BG174),BG174+BG178,"")</f>
        <v>5358</v>
      </c>
      <c r="BH179" s="266">
        <f>IF(ISNUMBER(BH174),BH174+BH178,"")</f>
        <v>5504</v>
      </c>
      <c r="BI179" s="266">
        <f>IF(ISNUMBER(BI174),BI174+BI178,"")</f>
        <v>5680</v>
      </c>
      <c r="BJ179" s="266">
        <f>IF(ISNUMBER(BJ174),BJ174+BJ178,"")</f>
        <v>21996</v>
      </c>
      <c r="BK179" s="266">
        <f>IF(ISNUMBER(BK174),BK174+BK178,"")</f>
        <v>5975</v>
      </c>
      <c r="BL179" s="266">
        <f>IF(ISNUMBER(BL174),BL174+BL178,"")</f>
        <v>5861</v>
      </c>
      <c r="BM179" s="266">
        <f>IF(ISNUMBER(BM174),BM174+BM178,"")</f>
        <v>5925</v>
      </c>
      <c r="BN179" s="266">
        <f>IF(ISNUMBER(BN174),BN174+BN178,"")</f>
        <v>6378</v>
      </c>
      <c r="BO179" s="266">
        <f>IF(ISNUMBER(BO174),BO174+BO178,"")</f>
        <v>24139</v>
      </c>
      <c r="BP179" s="266">
        <f>IF(ISNUMBER(BP174),BP174+BP178,"")</f>
        <v>6547</v>
      </c>
      <c r="BQ179" s="266">
        <f>IF(ISNUMBER(BQ174),BQ174+BQ178,"")</f>
        <v>6459</v>
      </c>
      <c r="BR179" s="266">
        <f>IF(ISNUMBER(BR174),BR174+BR178,"")</f>
        <v>6811</v>
      </c>
      <c r="BS179" s="266">
        <f>IF(ISNUMBER(BS174),BS174+BS178,"")</f>
        <v>7059</v>
      </c>
      <c r="BT179" s="266">
        <f>IF(ISNUMBER(BT174),BT174+BT178,"")</f>
        <v>26876</v>
      </c>
      <c r="BU179" s="266">
        <f>IF(ISNUMBER(BU174),BU174+BU178,"")</f>
        <v>7456</v>
      </c>
      <c r="BV179" s="266">
        <f>IF(ISNUMBER(BV174),BV174+BV178,"")</f>
        <v>7581</v>
      </c>
      <c r="BW179" s="266">
        <f>IF(ISNUMBER(BW174),BW174+BW178,"")</f>
        <v>7691</v>
      </c>
      <c r="BX179" s="266">
        <f>IF(ISNUMBER(BX174),BX174+BX178,"")</f>
        <v>7922.08838903171</v>
      </c>
      <c r="BY179" s="266">
        <f>IF(ISNUMBER(BY174),BY174+BY178,"")</f>
        <v>30650.0883890317</v>
      </c>
      <c r="BZ179" s="266">
        <f>IF(ISNUMBER(BZ174),BZ174+BZ178,"")</f>
        <v>33980.7017900704</v>
      </c>
      <c r="CA179" s="266">
        <f>IF(ISNUMBER(CA174),CA174+CA178,"")</f>
        <v>37822.6512422858</v>
      </c>
      <c r="CB179" s="266">
        <f>IF(ISNUMBER(CB174),CB174+CB178,"")</f>
        <v>41873.0813948218</v>
      </c>
      <c r="CC179" s="266">
        <f>IF(ISNUMBER(CC174),CC174+CC178,"")</f>
        <v>45847.7487298866</v>
      </c>
      <c r="CD179" s="266">
        <f>IF(ISNUMBER(CD174),CD174+CD178,"")</f>
        <v>50188.4841412385</v>
      </c>
      <c r="CE179" s="153" t="n"/>
    </row>
    <row r="180" ht="15" customHeight="1" s="251">
      <c r="B180" s="25" t="inlineStr">
        <is>
          <t xml:space="preserve">  Adjusted EBIT (full-cost) margin %</t>
        </is>
      </c>
      <c r="C180" s="215">
        <f>IF(AND(ISNUMBER(C179),ISNUMBER(C113)),IFERROR(C179/C113,""),"")</f>
        <v>0.451700463036883</v>
      </c>
      <c r="D180" s="215">
        <f>IF(AND(ISNUMBER(D179),ISNUMBER(D113)),IFERROR(D179/D113,""),"")</f>
        <v>0.52177687744176</v>
      </c>
      <c r="E180" s="215">
        <f>IF(AND(ISNUMBER(E179),ISNUMBER(E113)),IFERROR(E179/E113,""),"")</f>
        <v>0.569001859888407</v>
      </c>
      <c r="F180" s="215">
        <f>IF(AND(ISNUMBER(F179),ISNUMBER(F113)),IFERROR(F179/F113,""),"")</f>
        <v>0.593818023508925</v>
      </c>
      <c r="G180" s="215">
        <f>IF(AND(ISNUMBER(G179),ISNUMBER(G113)),IFERROR(G179/G113,""),"")</f>
        <v>0.598503022742539</v>
      </c>
      <c r="H180" s="215">
        <f>IF(AND(ISNUMBER(H179),ISNUMBER(H113)),IFERROR(H179/H113,""),"")</f>
        <v>0.632466619817288</v>
      </c>
      <c r="I180" s="215">
        <f>IF(AND(ISNUMBER(I179),ISNUMBER(I113)),IFERROR(I179/I113,""),"")</f>
        <v>0.628803245436105</v>
      </c>
      <c r="J180" s="215">
        <f>IF(AND(ISNUMBER(J179),ISNUMBER(J113)),IFERROR(J179/J113,""),"")</f>
        <v>0.609130289903366</v>
      </c>
      <c r="K180" s="215">
        <f>IF(AND(ISNUMBER(K179),ISNUMBER(K113)),IFERROR(K179/K113,""),"")</f>
        <v>0.588967373023882</v>
      </c>
      <c r="L180" s="215">
        <f>IF(AND(ISNUMBER(L179),ISNUMBER(L113)),IFERROR(L179/L113,""),"")</f>
        <v>0.61462047885889</v>
      </c>
      <c r="M180" s="215">
        <f>IF(AND(ISNUMBER(M179),ISNUMBER(M113)),IFERROR(M179/M113,""),"")</f>
        <v>0.658320126782884</v>
      </c>
      <c r="N180" s="215">
        <f>IF(AND(ISNUMBER(N179),ISNUMBER(N113)),IFERROR(N179/N113,""),"")</f>
        <v>0.647486563389188</v>
      </c>
      <c r="O180" s="215">
        <f>IF(AND(ISNUMBER(O179),ISNUMBER(O113)),IFERROR(O179/O113,""),"")</f>
        <v>0.640253565768621</v>
      </c>
      <c r="P180" s="215">
        <f>IF(AND(ISNUMBER(P179),ISNUMBER(P113)),IFERROR(P179/P113,""),"")</f>
        <v>0.620006193868071</v>
      </c>
      <c r="Q180" s="215">
        <f>IF(AND(ISNUMBER(Q179),ISNUMBER(Q113)),IFERROR(Q179/Q113,""),"")</f>
        <v>0.641395055896709</v>
      </c>
      <c r="R180" s="215">
        <f>IF(AND(ISNUMBER(R179),ISNUMBER(R113)),IFERROR(R179/R113,""),"")</f>
        <v>0.66173861620343</v>
      </c>
      <c r="S180" s="215">
        <f>IF(AND(ISNUMBER(S179),ISNUMBER(S113)),IFERROR(S179/S113,""),"")</f>
        <v>0.669111176298035</v>
      </c>
      <c r="T180" s="215">
        <f>IF(AND(ISNUMBER(T179),ISNUMBER(T113)),IFERROR(T179/T113,""),"")</f>
        <v>0.642978965321205</v>
      </c>
      <c r="U180" s="215">
        <f>IF(AND(ISNUMBER(U179),ISNUMBER(U113)),IFERROR(U179/U113,""),"")</f>
        <v>0.639316718006161</v>
      </c>
      <c r="V180" s="215">
        <f>IF(AND(ISNUMBER(V179),ISNUMBER(V113)),IFERROR(V179/V113,""),"")</f>
        <v>0.653025936599424</v>
      </c>
      <c r="W180" s="215">
        <f>IF(AND(ISNUMBER(W179),ISNUMBER(W113)),IFERROR(W179/W113,""),"")</f>
        <v>0.672089761570827</v>
      </c>
      <c r="X180" s="215">
        <f>IF(AND(ISNUMBER(X179),ISNUMBER(X113)),IFERROR(X179/X113,""),"")</f>
        <v>0.671263099834528</v>
      </c>
      <c r="Y180" s="215">
        <f>IF(AND(ISNUMBER(Y179),ISNUMBER(Y113)),IFERROR(Y179/Y113,""),"")</f>
        <v>0.676859504132231</v>
      </c>
      <c r="Z180" s="215">
        <f>IF(AND(ISNUMBER(Z179),ISNUMBER(Z113)),IFERROR(Z179/Z113,""),"")</f>
        <v>0.641868106078385</v>
      </c>
      <c r="AA180" s="215">
        <f>IF(AND(ISNUMBER(AA179),ISNUMBER(AA113)),IFERROR(AA179/AA113,""),"")</f>
        <v>0.664500729346241</v>
      </c>
      <c r="AB180" s="215">
        <f>IF(AND(ISNUMBER(AB179),ISNUMBER(AB113)),IFERROR(AB179/AB113,""),"")</f>
        <v>0.694911454830755</v>
      </c>
      <c r="AC180" s="215">
        <f>IF(AND(ISNUMBER(AC179),ISNUMBER(AC113)),IFERROR(AC179/AC113,""),"")</f>
        <v>0.670091579182488</v>
      </c>
      <c r="AD180" s="215">
        <f>IF(AND(ISNUMBER(AD179),ISNUMBER(AD113)),IFERROR(AD179/AD113,""),"")</f>
        <v>0.662431544359255</v>
      </c>
      <c r="AE180" s="215">
        <f>IF(AND(ISNUMBER(AE179),ISNUMBER(AE113)),IFERROR(AE179/AE113,""),"")</f>
        <v>0.661585993820803</v>
      </c>
      <c r="AF180" s="215">
        <f>IF(AND(ISNUMBER(AF179),ISNUMBER(AF113)),IFERROR(AF179/AF113,""),"")</f>
        <v>0.671968624033119</v>
      </c>
      <c r="AG180" s="215">
        <f>IF(AND(ISNUMBER(AG179),ISNUMBER(AG113)),IFERROR(AG179/AG113,""),"")</f>
        <v>0.684286301933361</v>
      </c>
      <c r="AH180" s="215">
        <f>IF(AND(ISNUMBER(AH179),ISNUMBER(AH113)),IFERROR(AH179/AH113,""),"")</f>
        <v>0.657599053814311</v>
      </c>
      <c r="AI180" s="215">
        <f>IF(AND(ISNUMBER(AI179),ISNUMBER(AI113)),IFERROR(AI179/AI113,""),"")</f>
        <v>0.665076335877863</v>
      </c>
      <c r="AJ180" s="215">
        <f>IF(AND(ISNUMBER(AJ179),ISNUMBER(AJ113)),IFERROR(AJ179/AJ113,""),"")</f>
        <v>0.662679425837321</v>
      </c>
      <c r="AK180" s="215">
        <f>IF(AND(ISNUMBER(AK179),ISNUMBER(AK113)),IFERROR(AK179/AK113,""),"")</f>
        <v>0.667135717405017</v>
      </c>
      <c r="AL180" s="215">
        <f>IF(AND(ISNUMBER(AL179),ISNUMBER(AL113)),IFERROR(AL179/AL113,""),"")</f>
        <v>0.675081729022884</v>
      </c>
      <c r="AM180" s="215">
        <f>IF(AND(ISNUMBER(AM179),ISNUMBER(AM113)),IFERROR(AM179/AM113,""),"")</f>
        <v>0.662722970513287</v>
      </c>
      <c r="AN180" s="215">
        <f>IF(AND(ISNUMBER(AN179),ISNUMBER(AN113)),IFERROR(AN179/AN113,""),"")</f>
        <v>0.669178082191781</v>
      </c>
      <c r="AO180" s="215">
        <f>IF(AND(ISNUMBER(AO179),ISNUMBER(AO113)),IFERROR(AO179/AO113,""),"")</f>
        <v>0.668893596219651</v>
      </c>
      <c r="AP180" s="215">
        <f>IF(AND(ISNUMBER(AP179),ISNUMBER(AP113)),IFERROR(AP179/AP113,""),"")</f>
        <v>0.668973321147234</v>
      </c>
      <c r="AQ180" s="215">
        <f>IF(AND(ISNUMBER(AQ179),ISNUMBER(AQ113)),IFERROR(AQ179/AQ113,""),"")</f>
        <v>0.663693425834159</v>
      </c>
      <c r="AR180" s="215">
        <f>IF(AND(ISNUMBER(AR179),ISNUMBER(AR113)),IFERROR(AR179/AR113,""),"")</f>
        <v>0.671165015374103</v>
      </c>
      <c r="AS180" s="215">
        <f>IF(AND(ISNUMBER(AS179),ISNUMBER(AS113)),IFERROR(AS179/AS113,""),"")</f>
        <v>0.620839363241679</v>
      </c>
      <c r="AT180" s="215">
        <f>IF(AND(ISNUMBER(AT179),ISNUMBER(AT113)),IFERROR(AT179/AT113,""),"")</f>
        <v>0.617133895314644</v>
      </c>
      <c r="AU180" s="215">
        <f>IF(AND(ISNUMBER(AU179),ISNUMBER(AU113)),IFERROR(AU179/AU113,""),"")</f>
        <v>0.645335530531905</v>
      </c>
      <c r="AV180" s="215">
        <f>IF(AND(ISNUMBER(AV179),ISNUMBER(AV113)),IFERROR(AV179/AV113,""),"")</f>
        <v>0.676455072973448</v>
      </c>
      <c r="AW180" s="215">
        <f>IF(AND(ISNUMBER(AW179),ISNUMBER(AW113)),IFERROR(AW179/AW113,""),"")</f>
        <v>0.652469890033165</v>
      </c>
      <c r="AX180" s="215">
        <f>IF(AND(ISNUMBER(AX179),ISNUMBER(AX113)),IFERROR(AX179/AX113,""),"")</f>
        <v>0.663784665579119</v>
      </c>
      <c r="AY180" s="215">
        <f>IF(AND(ISNUMBER(AY179),ISNUMBER(AY113)),IFERROR(AY179/AY113,""),"")</f>
        <v>0.6590943741424</v>
      </c>
      <c r="AZ180" s="215">
        <f>IF(AND(ISNUMBER(AZ179),ISNUMBER(AZ113)),IFERROR(AZ179/AZ113,""),"")</f>
        <v>0.662808545944825</v>
      </c>
      <c r="BA180" s="215">
        <f>IF(AND(ISNUMBER(BA179),ISNUMBER(BA113)),IFERROR(BA179/BA113,""),"")</f>
        <v>0.698540869811588</v>
      </c>
      <c r="BB180" s="215">
        <f>IF(AND(ISNUMBER(BB179),ISNUMBER(BB113)),IFERROR(BB179/BB113,""),"")</f>
        <v>0.679093058839894</v>
      </c>
      <c r="BC180" s="215">
        <f>IF(AND(ISNUMBER(BC179),ISNUMBER(BC113)),IFERROR(BC179/BC113,""),"")</f>
        <v>0.670515463917526</v>
      </c>
      <c r="BD180" s="215">
        <f>IF(AND(ISNUMBER(BD179),ISNUMBER(BD113)),IFERROR(BD179/BD113,""),"")</f>
        <v>0.656478746628997</v>
      </c>
      <c r="BE180" s="215">
        <f>IF(AND(ISNUMBER(BE179),ISNUMBER(BE113)),IFERROR(BE179/BE113,""),"")</f>
        <v>0.675639713408393</v>
      </c>
      <c r="BF180" s="215">
        <f>IF(AND(ISNUMBER(BF179),ISNUMBER(BF113)),IFERROR(BF179/BF113,""),"")</f>
        <v>0.687247983870968</v>
      </c>
      <c r="BG180" s="215">
        <f>IF(AND(ISNUMBER(BG179),ISNUMBER(BG113)),IFERROR(BG179/BG113,""),"")</f>
        <v>0.671008140262993</v>
      </c>
      <c r="BH180" s="215">
        <f>IF(AND(ISNUMBER(BH179),ISNUMBER(BH113)),IFERROR(BH179/BH113,""),"")</f>
        <v>0.677582174073618</v>
      </c>
      <c r="BI180" s="215">
        <f>IF(AND(ISNUMBER(BI179),ISNUMBER(BI113)),IFERROR(BI179/BI113,""),"")</f>
        <v>0.659774654431409</v>
      </c>
      <c r="BJ180" s="215">
        <f>IF(AND(ISNUMBER(BJ179),ISNUMBER(BJ113)),IFERROR(BJ179/BJ113,""),"")</f>
        <v>0.673628763053931</v>
      </c>
      <c r="BK180" s="215">
        <f>IF(AND(ISNUMBER(BK179),ISNUMBER(BK113)),IFERROR(BK179/BK113,""),"")</f>
        <v>0.692031503358814</v>
      </c>
      <c r="BL180" s="215">
        <f>IF(AND(ISNUMBER(BL179),ISNUMBER(BL113)),IFERROR(BL179/BL113,""),"")</f>
        <v>0.667920227920228</v>
      </c>
      <c r="BM180" s="215">
        <f>IF(AND(ISNUMBER(BM179),ISNUMBER(BM113)),IFERROR(BM179/BM113,""),"")</f>
        <v>0.665730337078652</v>
      </c>
      <c r="BN180" s="215">
        <f>IF(AND(ISNUMBER(BN179),ISNUMBER(BN113)),IFERROR(BN179/BN113,""),"")</f>
        <v>0.663200582302173</v>
      </c>
      <c r="BO180" s="215">
        <f>IF(AND(ISNUMBER(BO179),ISNUMBER(BO113)),IFERROR(BO179/BO113,""),"")</f>
        <v>0.671908923899126</v>
      </c>
      <c r="BP180" s="215">
        <f>IF(AND(ISNUMBER(BP179),ISNUMBER(BP113)),IFERROR(BP179/BP113,""),"")</f>
        <v>0.688433228180862</v>
      </c>
      <c r="BQ180" s="215">
        <f>IF(AND(ISNUMBER(BQ179),ISNUMBER(BQ113)),IFERROR(BQ179/BQ113,""),"")</f>
        <v>0.673233270794246</v>
      </c>
      <c r="BR180" s="215">
        <f>IF(AND(ISNUMBER(BR179),ISNUMBER(BR113)),IFERROR(BR179/BR113,""),"")</f>
        <v>0.66958316948486</v>
      </c>
      <c r="BS180" s="215">
        <f>IF(AND(ISNUMBER(BS179),ISNUMBER(BS113)),IFERROR(BS179/BS113,""),"")</f>
        <v>0.658243192838493</v>
      </c>
      <c r="BT180" s="215">
        <f>IF(AND(ISNUMBER(BT179),ISNUMBER(BT113)),IFERROR(BT179/BT113,""),"")</f>
        <v>0.6719</v>
      </c>
      <c r="BU180" s="215">
        <f>IF(AND(ISNUMBER(BU179),ISNUMBER(BU113)),IFERROR(BU179/BU113,""),"")</f>
        <v>0.68397394734428</v>
      </c>
      <c r="BV180" s="215">
        <f>IF(AND(ISNUMBER(BV179),ISNUMBER(BV113)),IFERROR(BV179/BV113,""),"")</f>
        <v>0.67506678539626</v>
      </c>
      <c r="BW180" s="215">
        <f>IF(AND(ISNUMBER(BW179),ISNUMBER(BW113)),IFERROR(BW179/BW113,""),"")</f>
        <v>0.661136422247056</v>
      </c>
      <c r="BX180" s="256">
        <f>IF(AND(ISNUMBER(BX179),ISNUMBER(BX113)),IFERROR(BX179/BX113,""),"")</f>
        <v>0.653739060929559</v>
      </c>
      <c r="BY180" s="256">
        <f>IF(AND(ISNUMBER(BY179),ISNUMBER(BY113)),IFERROR(BY179/BY113,""),"")</f>
        <v>0.668018138417137</v>
      </c>
      <c r="BZ180" s="256">
        <f>IF(AND(ISNUMBER(BZ179),ISNUMBER(BZ113)),IFERROR(BZ179/BZ113,""),"")</f>
        <v>0.670112164325807</v>
      </c>
      <c r="CA180" s="256">
        <f>IF(AND(ISNUMBER(CA179),ISNUMBER(CA113)),IFERROR(CA179/CA113,""),"")</f>
        <v>0.67266813186145</v>
      </c>
      <c r="CB180" s="256">
        <f>IF(AND(ISNUMBER(CB179),ISNUMBER(CB113)),IFERROR(CB179/CB113,""),"")</f>
        <v>0.676136187612235</v>
      </c>
      <c r="CC180" s="256">
        <f>IF(AND(ISNUMBER(CC179),ISNUMBER(CC113)),IFERROR(CC179/CC113,""),"")</f>
        <v>0.676532324906731</v>
      </c>
      <c r="CD180" s="256">
        <f>IF(AND(ISNUMBER(CD179),ISNUMBER(CD113)),IFERROR(CD179/CD113,""),"")</f>
        <v>0.678744601382175</v>
      </c>
      <c r="CE180" s="153" t="n"/>
      <c r="CG180" s="37">
        <f>IFERROR(AVERAGE(BZ180,CA180,CB180,CC180,CD180),"n/m")</f>
        <v>0.67483868201768</v>
      </c>
      <c r="CH180" s="37">
        <f>IFERROR(AVERAGE(AZ180,BE180,BJ180,BO180,BT180),"n/m")</f>
        <v>0.671177189261255</v>
      </c>
      <c r="CI180" s="37">
        <f>IFERROR(AVERAGE(AA180,AF180,AK180,AP180,AU180,AZ180,BE180,BJ180,BO180,BT180),"n/m")</f>
        <v>0.667379986876979</v>
      </c>
      <c r="CJ180" s="37">
        <f>IFERROR(AVERAGE(C180,D180,E180,F180,G180,L180,Q180,V180,AA180,AF180,AK180,AP180,AU180,AZ180,BE180,BJ180,BO180,BT180),"n/m")</f>
        <v>0.628757865930185</v>
      </c>
    </row>
    <row r="181" ht="15" customHeight="1" s="251">
      <c r="B181" s="156" t="inlineStr">
        <is>
          <t xml:space="preserve">  Memo: acquisition, severance &amp; restructuring costs (cash costs adjusted out; deducted in the DCF)</t>
        </is>
      </c>
      <c r="C181" s="211">
        <f>IF(ISNUMBER(C155),C155+C156,"")</f>
        <v>140</v>
      </c>
      <c r="D181" s="211">
        <f>IF(ISNUMBER(D155),D155+D156,"")</f>
        <v>67</v>
      </c>
      <c r="E181" s="211">
        <f>IF(ISNUMBER(E155),E155+E156,"")</f>
        <v>0</v>
      </c>
      <c r="F181" s="211">
        <f>IF(ISNUMBER(F155),F155+F156,"")</f>
        <v>0</v>
      </c>
      <c r="G181" s="211">
        <f>IF(ISNUMBER(G155),G155+G156,"")</f>
        <v>0</v>
      </c>
      <c r="H181" s="211">
        <f>IF(ISNUMBER(H155),H155+H156,"")</f>
        <v>0</v>
      </c>
      <c r="I181" s="211">
        <f>IF(ISNUMBER(I155),I155+I156,"")</f>
        <v>0</v>
      </c>
      <c r="J181" s="211">
        <f>IF(ISNUMBER(J155),J155+J156,"")</f>
        <v>0</v>
      </c>
      <c r="K181" s="211">
        <f>IF(ISNUMBER(K155),K155+K156,"")</f>
        <v>0</v>
      </c>
      <c r="L181" s="211">
        <f>IF(ISNUMBER(L155),L155+L156,"")</f>
        <v>0</v>
      </c>
      <c r="M181" s="211">
        <f>IF(ISNUMBER(M155),M155+M156,"")</f>
        <v>0</v>
      </c>
      <c r="N181" s="211">
        <f>IF(ISNUMBER(N155),N155+N156,"")</f>
        <v>0</v>
      </c>
      <c r="O181" s="211">
        <f>IF(ISNUMBER(O155),O155+O156,"")</f>
        <v>0</v>
      </c>
      <c r="P181" s="211">
        <f>IF(ISNUMBER(P155),P155+P156,"")</f>
        <v>0</v>
      </c>
      <c r="Q181" s="211">
        <f>IF(ISNUMBER(Q155),Q155+Q156,"")</f>
        <v>0</v>
      </c>
      <c r="R181" s="211">
        <f>IF(ISNUMBER(R155),R155+R156,"")</f>
        <v>0</v>
      </c>
      <c r="S181" s="211">
        <f>IF(ISNUMBER(S155),S155+S156,"")</f>
        <v>0</v>
      </c>
      <c r="T181" s="211">
        <f>IF(ISNUMBER(T155),T155+T156,"")</f>
        <v>0</v>
      </c>
      <c r="U181" s="211">
        <f>IF(ISNUMBER(U155),U155+U156,"")</f>
        <v>0</v>
      </c>
      <c r="V181" s="211">
        <f>IF(ISNUMBER(V155),V155+V156,"")</f>
        <v>0</v>
      </c>
      <c r="W181" s="211">
        <f>IF(ISNUMBER(W155),W155+W156,"")</f>
        <v>0</v>
      </c>
      <c r="X181" s="211">
        <f>IF(ISNUMBER(X155),X155+X156,"")</f>
        <v>0</v>
      </c>
      <c r="Y181" s="211">
        <f>IF(ISNUMBER(Y155),Y155+Y156,"")</f>
        <v>152</v>
      </c>
      <c r="Z181" s="211">
        <f>IF(ISNUMBER(Z155),Z155+Z156,"")</f>
        <v>110</v>
      </c>
      <c r="AA181" s="211">
        <f>IF(ISNUMBER(AA155),AA155+AA156,"")</f>
        <v>262</v>
      </c>
      <c r="AB181" s="211">
        <f>IF(ISNUMBER(AB155),AB155+AB156,"")</f>
        <v>0</v>
      </c>
      <c r="AC181" s="211">
        <f>IF(ISNUMBER(AC155),AC155+AC156,"")</f>
        <v>0</v>
      </c>
      <c r="AD181" s="211">
        <f>IF(ISNUMBER(AD155),AD155+AD156,"")</f>
        <v>0</v>
      </c>
      <c r="AE181" s="211">
        <f>IF(ISNUMBER(AE155),AE155+AE156,"")</f>
        <v>0</v>
      </c>
      <c r="AF181" s="211">
        <f>IF(ISNUMBER(AF155),AF155+AF156,"")</f>
        <v>0</v>
      </c>
      <c r="AG181" s="211">
        <f>IF(ISNUMBER(AG155),AG155+AG156,"")</f>
        <v>0</v>
      </c>
      <c r="AH181" s="211">
        <f>IF(ISNUMBER(AH155),AH155+AH156,"")</f>
        <v>0</v>
      </c>
      <c r="AI181" s="211">
        <f>IF(ISNUMBER(AI155),AI155+AI156,"")</f>
        <v>0</v>
      </c>
      <c r="AJ181" s="211">
        <f>IF(ISNUMBER(AJ155),AJ155+AJ156,"")</f>
        <v>0</v>
      </c>
      <c r="AK181" s="211">
        <f>IF(ISNUMBER(AK155),AK155+AK156,"")</f>
        <v>0</v>
      </c>
      <c r="AL181" s="211">
        <f>IF(ISNUMBER(AL155),AL155+AL156,"")</f>
        <v>0</v>
      </c>
      <c r="AM181" s="211">
        <f>IF(ISNUMBER(AM155),AM155+AM156,"")</f>
        <v>0</v>
      </c>
      <c r="AN181" s="211">
        <f>IF(ISNUMBER(AN155),AN155+AN156,"")</f>
        <v>0</v>
      </c>
      <c r="AO181" s="211">
        <f>IF(ISNUMBER(AO155),AO155+AO156,"")</f>
        <v>0</v>
      </c>
      <c r="AP181" s="211">
        <f>IF(ISNUMBER(AP155),AP155+AP156,"")</f>
        <v>0</v>
      </c>
      <c r="AQ181" s="211">
        <f>IF(ISNUMBER(AQ155),AQ155+AQ156,"")</f>
        <v>2</v>
      </c>
      <c r="AR181" s="211">
        <f>IF(ISNUMBER(AR155),AR155+AR156,"")</f>
        <v>5</v>
      </c>
      <c r="AS181" s="211">
        <f>IF(ISNUMBER(AS155),AS155+AS156,"")</f>
        <v>4</v>
      </c>
      <c r="AT181" s="211">
        <f>IF(ISNUMBER(AT155),AT155+AT156,"")</f>
        <v>6</v>
      </c>
      <c r="AU181" s="211">
        <f>IF(ISNUMBER(AU155),AU155+AU156,"")</f>
        <v>17</v>
      </c>
      <c r="AV181" s="211">
        <f>IF(ISNUMBER(AV155),AV155+AV156,"")</f>
        <v>3</v>
      </c>
      <c r="AW181" s="211">
        <f>IF(ISNUMBER(AW155),AW155+AW156,"")</f>
        <v>5</v>
      </c>
      <c r="AX181" s="211">
        <f>IF(ISNUMBER(AX155),AX155+AX156,"")</f>
        <v>5</v>
      </c>
      <c r="AY181" s="211">
        <f>IF(ISNUMBER(AY155),AY155+AY156,"")</f>
        <v>8</v>
      </c>
      <c r="AZ181" s="211">
        <f>IF(ISNUMBER(AZ155),AZ155+AZ156,"")</f>
        <v>21</v>
      </c>
      <c r="BA181" s="211">
        <f>IF(ISNUMBER(BA155),BA155+BA156,"")</f>
        <v>10</v>
      </c>
      <c r="BB181" s="211">
        <f>IF(ISNUMBER(BB155),BB155+BB156,"")</f>
        <v>20</v>
      </c>
      <c r="BC181" s="211">
        <f>IF(ISNUMBER(BC155),BC155+BC156,"")</f>
        <v>14</v>
      </c>
      <c r="BD181" s="211">
        <f>IF(ISNUMBER(BD155),BD155+BD156,"")</f>
        <v>25</v>
      </c>
      <c r="BE181" s="211">
        <f>IF(ISNUMBER(BE155),BE155+BE156,"")</f>
        <v>69</v>
      </c>
      <c r="BF181" s="211">
        <f>IF(ISNUMBER(BF155),BF155+BF156,"")</f>
        <v>23</v>
      </c>
      <c r="BG181" s="211">
        <f>IF(ISNUMBER(BG155),BG155+BG156,"")</f>
        <v>22</v>
      </c>
      <c r="BH181" s="211">
        <f>IF(ISNUMBER(BH155),BH155+BH156,"")</f>
        <v>24</v>
      </c>
      <c r="BI181" s="211">
        <f>IF(ISNUMBER(BI155),BI155+BI156,"")</f>
        <v>21</v>
      </c>
      <c r="BJ181" s="211">
        <f>IF(ISNUMBER(BJ155),BJ155+BJ156,"")</f>
        <v>90</v>
      </c>
      <c r="BK181" s="211">
        <f>IF(ISNUMBER(BK155),BK155+BK156,"")</f>
        <v>21</v>
      </c>
      <c r="BL181" s="211">
        <f>IF(ISNUMBER(BL155),BL155+BL156,"")</f>
        <v>83</v>
      </c>
      <c r="BM181" s="211">
        <f>IF(ISNUMBER(BM155),BM155+BM156,"")</f>
        <v>28</v>
      </c>
      <c r="BN181" s="211">
        <f>IF(ISNUMBER(BN155),BN155+BN156,"")</f>
        <v>29</v>
      </c>
      <c r="BO181" s="211">
        <f>IF(ISNUMBER(BO155),BO155+BO156,"")</f>
        <v>161</v>
      </c>
      <c r="BP181" s="211">
        <f>IF(ISNUMBER(BP155),BP155+BP156,"")</f>
        <v>286</v>
      </c>
      <c r="BQ181" s="211">
        <f>IF(ISNUMBER(BQ155),BQ155+BQ156,"")</f>
        <v>32</v>
      </c>
      <c r="BR181" s="211">
        <f>IF(ISNUMBER(BR155),BR155+BR156,"")</f>
        <v>19</v>
      </c>
      <c r="BS181" s="211">
        <f>IF(ISNUMBER(BS155),BS155+BS156,"")</f>
        <v>12</v>
      </c>
      <c r="BT181" s="211">
        <f>IF(ISNUMBER(BT155),BT155+BT156,"")</f>
        <v>349</v>
      </c>
      <c r="BU181" s="211">
        <f>IF(ISNUMBER(BU155),BU155+BU156,"")</f>
        <v>12</v>
      </c>
      <c r="BV181" s="211">
        <f>IF(ISNUMBER(BV155),BV155+BV156,"")</f>
        <v>36</v>
      </c>
      <c r="BW181" s="211">
        <f>IF(ISNUMBER(BW155),BW155+BW156,"")</f>
        <v>577</v>
      </c>
      <c r="BX181" s="254">
        <f>IF(ISNUMBER(BX155),BX155+BX156,"")</f>
        <v>15</v>
      </c>
      <c r="BY181" s="254">
        <f>IF(ISNUMBER(BY155),BY155+BY156,"")</f>
        <v>640</v>
      </c>
      <c r="BZ181" s="254">
        <f>IF(ISNUMBER(BZ155),BZ155+BZ156,"")</f>
        <v>90</v>
      </c>
      <c r="CA181" s="254">
        <f>IF(ISNUMBER(CA155),CA155+CA156,"")</f>
        <v>90</v>
      </c>
      <c r="CB181" s="254">
        <f>IF(ISNUMBER(CB155),CB155+CB156,"")</f>
        <v>90</v>
      </c>
      <c r="CC181" s="254">
        <f>IF(ISNUMBER(CC155),CC155+CC156,"")</f>
        <v>90</v>
      </c>
      <c r="CD181" s="254">
        <f>IF(ISNUMBER(CD155),CD155+CD156,"")</f>
        <v>90</v>
      </c>
      <c r="CE181" s="153" t="n"/>
    </row>
    <row r="182" ht="15" customHeight="1" s="251">
      <c r="CM182" s="11" t="n"/>
      <c r="CN182" s="12" t="n"/>
      <c r="CO182" s="12" t="n"/>
      <c r="CP182" s="12" t="n"/>
      <c r="CQ182" s="13" t="n"/>
    </row>
    <row r="183" ht="15" customHeight="1" s="251">
      <c r="B183" s="10" t="inlineStr">
        <is>
          <t>RECONCILIATION: NET INCOME / DILUTED EPS → NON-GAAP NET INCOME → NON-GAAP EPS (company definition)</t>
        </is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inlineStr">
        <is>
          <t>NON-GAAP EPS — net income + pre-tax adjusting items (operating and non-operating) − tax effect of the items (incl. tax-only items: deferred-tax remeasurements, tax reserve reversals)</t>
        </is>
      </c>
    </row>
    <row r="184" ht="15" customHeight="1" s="251">
      <c r="B184" s="16" t="inlineStr">
        <is>
          <t>Net income attributable (GAAP)</t>
        </is>
      </c>
      <c r="C184" s="264">
        <f>C137</f>
        <v>804</v>
      </c>
      <c r="D184" s="264">
        <f>D137</f>
        <v>2353</v>
      </c>
      <c r="E184" s="264">
        <f>E137</f>
        <v>2966</v>
      </c>
      <c r="F184" s="264">
        <f>F137</f>
        <v>3650</v>
      </c>
      <c r="G184" s="264">
        <f>G137</f>
        <v>2144</v>
      </c>
      <c r="H184" s="264">
        <f>H137</f>
        <v>1293</v>
      </c>
      <c r="I184" s="264">
        <f>I137</f>
        <v>1270</v>
      </c>
      <c r="J184" s="264">
        <f>J137</f>
        <v>1225</v>
      </c>
      <c r="K184" s="264">
        <f>K137</f>
        <v>1192</v>
      </c>
      <c r="L184" s="264">
        <f>L137</f>
        <v>4980</v>
      </c>
      <c r="M184" s="264">
        <f>M137</f>
        <v>1407</v>
      </c>
      <c r="N184" s="264">
        <f>N137</f>
        <v>1598</v>
      </c>
      <c r="O184" s="264">
        <f>O137</f>
        <v>1360</v>
      </c>
      <c r="P184" s="264">
        <f>P137</f>
        <v>1073</v>
      </c>
      <c r="Q184" s="264">
        <f>Q137</f>
        <v>5438</v>
      </c>
      <c r="R184" s="264">
        <f>R137</f>
        <v>1569</v>
      </c>
      <c r="S184" s="264">
        <f>S137</f>
        <v>1550</v>
      </c>
      <c r="T184" s="264">
        <f>T137</f>
        <v>1697</v>
      </c>
      <c r="U184" s="264">
        <f>U137</f>
        <v>1512</v>
      </c>
      <c r="V184" s="264">
        <f>V137</f>
        <v>6328</v>
      </c>
      <c r="W184" s="264">
        <f>W137</f>
        <v>1941</v>
      </c>
      <c r="X184" s="264">
        <f>X137</f>
        <v>1707</v>
      </c>
      <c r="Y184" s="264">
        <f>Y137</f>
        <v>412</v>
      </c>
      <c r="Z184" s="264">
        <f>Z137</f>
        <v>1931</v>
      </c>
      <c r="AA184" s="264">
        <f>AA137</f>
        <v>5991</v>
      </c>
      <c r="AB184" s="264">
        <f>AB137</f>
        <v>2070</v>
      </c>
      <c r="AC184" s="264">
        <f>AC137</f>
        <v>430</v>
      </c>
      <c r="AD184" s="264">
        <f>AD137</f>
        <v>2059</v>
      </c>
      <c r="AE184" s="264">
        <f>AE137</f>
        <v>2140</v>
      </c>
      <c r="AF184" s="264">
        <f>AF137</f>
        <v>6699</v>
      </c>
      <c r="AG184" s="264">
        <f>AG137</f>
        <v>2522</v>
      </c>
      <c r="AH184" s="264">
        <f>AH137</f>
        <v>2605</v>
      </c>
      <c r="AI184" s="264">
        <f>AI137</f>
        <v>2329</v>
      </c>
      <c r="AJ184" s="264">
        <f>AJ137</f>
        <v>2845</v>
      </c>
      <c r="AK184" s="264">
        <f>AK137</f>
        <v>10301</v>
      </c>
      <c r="AL184" s="264">
        <f>AL137</f>
        <v>2977</v>
      </c>
      <c r="AM184" s="264">
        <f>AM137</f>
        <v>2977</v>
      </c>
      <c r="AN184" s="264">
        <f>AN137</f>
        <v>3101</v>
      </c>
      <c r="AO184" s="264">
        <f>AO137</f>
        <v>3025</v>
      </c>
      <c r="AP184" s="264">
        <f>AP137</f>
        <v>12080</v>
      </c>
      <c r="AQ184" s="264">
        <f>AQ137</f>
        <v>3272</v>
      </c>
      <c r="AR184" s="264">
        <f>AR137</f>
        <v>3084</v>
      </c>
      <c r="AS184" s="264">
        <f>AS137</f>
        <v>2373</v>
      </c>
      <c r="AT184" s="264">
        <f>AT137</f>
        <v>2137</v>
      </c>
      <c r="AU184" s="264">
        <f>AU137</f>
        <v>10866</v>
      </c>
      <c r="AV184" s="264">
        <f>AV137</f>
        <v>3126</v>
      </c>
      <c r="AW184" s="264">
        <f>AW137</f>
        <v>3026</v>
      </c>
      <c r="AX184" s="264">
        <f>AX137</f>
        <v>2575</v>
      </c>
      <c r="AY184" s="264">
        <f>AY137</f>
        <v>3584</v>
      </c>
      <c r="AZ184" s="264">
        <f>AZ137</f>
        <v>12311</v>
      </c>
      <c r="BA184" s="264">
        <f>BA137</f>
        <v>3959</v>
      </c>
      <c r="BB184" s="264">
        <f>BB137</f>
        <v>3647</v>
      </c>
      <c r="BC184" s="264">
        <f>BC137</f>
        <v>3411</v>
      </c>
      <c r="BD184" s="264">
        <f>BD137</f>
        <v>3940</v>
      </c>
      <c r="BE184" s="264">
        <f>BE137</f>
        <v>14957</v>
      </c>
      <c r="BF184" s="264">
        <f>BF137</f>
        <v>4179</v>
      </c>
      <c r="BG184" s="264">
        <f>BG137</f>
        <v>4257</v>
      </c>
      <c r="BH184" s="264">
        <f>BH137</f>
        <v>4156</v>
      </c>
      <c r="BI184" s="264">
        <f>BI137</f>
        <v>4681</v>
      </c>
      <c r="BJ184" s="264">
        <f>BJ137</f>
        <v>17273</v>
      </c>
      <c r="BK184" s="264">
        <f>BK137</f>
        <v>4890</v>
      </c>
      <c r="BL184" s="264">
        <f>BL137</f>
        <v>4663</v>
      </c>
      <c r="BM184" s="264">
        <f>BM137</f>
        <v>4872</v>
      </c>
      <c r="BN184" s="264">
        <f>BN137</f>
        <v>5318</v>
      </c>
      <c r="BO184" s="264">
        <f>BO137</f>
        <v>19743</v>
      </c>
      <c r="BP184" s="264">
        <f>BP137</f>
        <v>5119</v>
      </c>
      <c r="BQ184" s="264">
        <f>BQ137</f>
        <v>4577</v>
      </c>
      <c r="BR184" s="264">
        <f>BR137</f>
        <v>5272</v>
      </c>
      <c r="BS184" s="264">
        <f>BS137</f>
        <v>5090</v>
      </c>
      <c r="BT184" s="264">
        <f>BT137</f>
        <v>20058</v>
      </c>
      <c r="BU184" s="264">
        <f>BU137</f>
        <v>5853</v>
      </c>
      <c r="BV184" s="264">
        <f>BV137</f>
        <v>6021</v>
      </c>
      <c r="BW184" s="264">
        <f>BW137</f>
        <v>5628</v>
      </c>
      <c r="BX184" s="265">
        <f>BX137</f>
        <v>6339.13159511568</v>
      </c>
      <c r="BY184" s="265">
        <f>BY137</f>
        <v>23841.1315951157</v>
      </c>
      <c r="BZ184" s="265">
        <f>BZ137</f>
        <v>27515.0237626951</v>
      </c>
      <c r="CA184" s="265">
        <f>CA137</f>
        <v>30493.6414408358</v>
      </c>
      <c r="CB184" s="265">
        <f>CB137</f>
        <v>33717.189753722</v>
      </c>
      <c r="CC184" s="265">
        <f>CC137</f>
        <v>36893.0465536237</v>
      </c>
      <c r="CD184" s="265">
        <f>CD137</f>
        <v>40367.8882962632</v>
      </c>
      <c r="CE184" s="153" t="n"/>
    </row>
    <row r="185" ht="15" customHeight="1" s="251">
      <c r="B185" s="25" t="inlineStr">
        <is>
          <t xml:space="preserve">  (+) Operating adjusting items (pre-tax)</t>
        </is>
      </c>
      <c r="C185" s="211">
        <f>C159</f>
        <v>1665</v>
      </c>
      <c r="D185" s="211">
        <f>D159</f>
        <v>135</v>
      </c>
      <c r="E185" s="211">
        <f>E159</f>
        <v>0</v>
      </c>
      <c r="F185" s="211">
        <f>F159</f>
        <v>0</v>
      </c>
      <c r="G185" s="211">
        <f>G159</f>
        <v>4098</v>
      </c>
      <c r="H185" s="211">
        <f>H159</f>
        <v>0</v>
      </c>
      <c r="I185" s="211">
        <f>I159</f>
        <v>0</v>
      </c>
      <c r="J185" s="211">
        <f>J159</f>
        <v>0</v>
      </c>
      <c r="K185" s="211">
        <f>K159</f>
        <v>0</v>
      </c>
      <c r="L185" s="211">
        <f>L159</f>
        <v>0</v>
      </c>
      <c r="M185" s="211">
        <f>M159</f>
        <v>0</v>
      </c>
      <c r="N185" s="211">
        <f>N159</f>
        <v>0</v>
      </c>
      <c r="O185" s="211">
        <f>O159</f>
        <v>0</v>
      </c>
      <c r="P185" s="211">
        <f>P159</f>
        <v>450</v>
      </c>
      <c r="Q185" s="211">
        <f>Q159</f>
        <v>450</v>
      </c>
      <c r="R185" s="211">
        <f>R159</f>
        <v>0</v>
      </c>
      <c r="S185" s="211">
        <f>S159</f>
        <v>0</v>
      </c>
      <c r="T185" s="211">
        <f>T159</f>
        <v>0</v>
      </c>
      <c r="U185" s="211">
        <f>U159</f>
        <v>0</v>
      </c>
      <c r="V185" s="211">
        <f>V159</f>
        <v>0</v>
      </c>
      <c r="W185" s="211">
        <f>W159</f>
        <v>0</v>
      </c>
      <c r="X185" s="211">
        <f>X159</f>
        <v>0</v>
      </c>
      <c r="Y185" s="211">
        <f>Y159</f>
        <v>2029</v>
      </c>
      <c r="Z185" s="211">
        <f>Z159</f>
        <v>110</v>
      </c>
      <c r="AA185" s="211">
        <f>AA159</f>
        <v>2139</v>
      </c>
      <c r="AB185" s="211">
        <f>AB159</f>
        <v>0</v>
      </c>
      <c r="AC185" s="211">
        <f>AC159</f>
        <v>192</v>
      </c>
      <c r="AD185" s="211">
        <f>AD159</f>
        <v>0</v>
      </c>
      <c r="AE185" s="211">
        <f>AE159</f>
        <v>0</v>
      </c>
      <c r="AF185" s="211">
        <f>AF159</f>
        <v>192</v>
      </c>
      <c r="AG185" s="211">
        <f>AG159</f>
        <v>0</v>
      </c>
      <c r="AH185" s="211">
        <f>AH159</f>
        <v>0</v>
      </c>
      <c r="AI185" s="211">
        <f>AI159</f>
        <v>600</v>
      </c>
      <c r="AJ185" s="211">
        <f>AJ159</f>
        <v>195</v>
      </c>
      <c r="AK185" s="211">
        <f>AK159</f>
        <v>795</v>
      </c>
      <c r="AL185" s="211">
        <f>AL159</f>
        <v>0</v>
      </c>
      <c r="AM185" s="211">
        <f>AM159</f>
        <v>0</v>
      </c>
      <c r="AN185" s="211">
        <f>AN159</f>
        <v>0</v>
      </c>
      <c r="AO185" s="211">
        <f>AO159</f>
        <v>370</v>
      </c>
      <c r="AP185" s="211">
        <f>AP159</f>
        <v>370</v>
      </c>
      <c r="AQ185" s="211">
        <f>AQ159</f>
        <v>13</v>
      </c>
      <c r="AR185" s="211">
        <f>AR159</f>
        <v>16</v>
      </c>
      <c r="AS185" s="211">
        <f>AS159</f>
        <v>17</v>
      </c>
      <c r="AT185" s="211">
        <f>AT159</f>
        <v>17</v>
      </c>
      <c r="AU185" s="211">
        <f>AU159</f>
        <v>63</v>
      </c>
      <c r="AV185" s="211">
        <f>AV159</f>
        <v>15</v>
      </c>
      <c r="AW185" s="211">
        <f>AW159</f>
        <v>170</v>
      </c>
      <c r="AX185" s="211">
        <f>AX159</f>
        <v>18</v>
      </c>
      <c r="AY185" s="211">
        <f>AY159</f>
        <v>21</v>
      </c>
      <c r="AZ185" s="211">
        <f>AZ159</f>
        <v>224</v>
      </c>
      <c r="BA185" s="211">
        <f>BA159</f>
        <v>168</v>
      </c>
      <c r="BB185" s="211">
        <f>BB159</f>
        <v>100</v>
      </c>
      <c r="BC185" s="211">
        <f>BC159</f>
        <v>774</v>
      </c>
      <c r="BD185" s="211">
        <f>BD159</f>
        <v>68</v>
      </c>
      <c r="BE185" s="211">
        <f>BE159</f>
        <v>1110</v>
      </c>
      <c r="BF185" s="211">
        <f>BF159</f>
        <v>407</v>
      </c>
      <c r="BG185" s="211">
        <f>BG159</f>
        <v>68</v>
      </c>
      <c r="BH185" s="211">
        <f>BH159</f>
        <v>521</v>
      </c>
      <c r="BI185" s="211">
        <f>BI159</f>
        <v>176</v>
      </c>
      <c r="BJ185" s="211">
        <f>BJ159</f>
        <v>1172</v>
      </c>
      <c r="BK185" s="211">
        <f>BK159</f>
        <v>61</v>
      </c>
      <c r="BL185" s="211">
        <f>BL159</f>
        <v>550</v>
      </c>
      <c r="BM185" s="211">
        <f>BM159</f>
        <v>35</v>
      </c>
      <c r="BN185" s="211">
        <f>BN159</f>
        <v>76</v>
      </c>
      <c r="BO185" s="211">
        <f>BO159</f>
        <v>722</v>
      </c>
      <c r="BP185" s="211">
        <f>BP159</f>
        <v>359</v>
      </c>
      <c r="BQ185" s="211">
        <f>BQ159</f>
        <v>1088</v>
      </c>
      <c r="BR185" s="211">
        <f>BR159</f>
        <v>688</v>
      </c>
      <c r="BS185" s="211">
        <f>BS159</f>
        <v>965</v>
      </c>
      <c r="BT185" s="211">
        <f>BT159</f>
        <v>3100</v>
      </c>
      <c r="BU185" s="211">
        <f>BU159</f>
        <v>773</v>
      </c>
      <c r="BV185" s="211">
        <f>BV159</f>
        <v>397</v>
      </c>
      <c r="BW185" s="211">
        <f>BW159</f>
        <v>878</v>
      </c>
      <c r="BX185" s="254">
        <f>BX159</f>
        <v>79</v>
      </c>
      <c r="BY185" s="254">
        <f>BY159</f>
        <v>2127</v>
      </c>
      <c r="BZ185" s="254">
        <f>BZ159</f>
        <v>337.857142857143</v>
      </c>
      <c r="CA185" s="254">
        <f>CA159</f>
        <v>333.571428571429</v>
      </c>
      <c r="CB185" s="254">
        <f>CB159</f>
        <v>329.285714285714</v>
      </c>
      <c r="CC185" s="254">
        <f>CC159</f>
        <v>325</v>
      </c>
      <c r="CD185" s="254">
        <f>CD159</f>
        <v>330.714285714286</v>
      </c>
      <c r="CE185" s="19" t="n"/>
    </row>
    <row r="186" ht="15" customHeight="1" s="251">
      <c r="B186" s="25" t="inlineStr">
        <is>
          <t xml:space="preserve">  (+) Non-operating adjusting items (pre-tax)</t>
        </is>
      </c>
      <c r="C186" s="211">
        <f>IF(ISNUMBER(C108),N(C108)+N(C109)+N(C110),"")</f>
        <v>-37</v>
      </c>
      <c r="D186" s="211">
        <f>IF(ISNUMBER(D108),N(D108)+N(D109)+N(D110),"")</f>
        <v>19</v>
      </c>
      <c r="E186" s="211">
        <f>IF(ISNUMBER(E108),N(E108)+N(E109)+N(E110),"")</f>
        <v>0</v>
      </c>
      <c r="F186" s="211">
        <f>IF(ISNUMBER(F108),N(F108)+N(F109)+N(F110),"")</f>
        <v>0</v>
      </c>
      <c r="G186" s="211">
        <f>IF(ISNUMBER(G108),N(G108)+N(G109)+N(G110),"")</f>
        <v>0</v>
      </c>
      <c r="H186" s="211">
        <f>IF(ISNUMBER(H108),N(H108)+N(H109)+N(H110),"")</f>
        <v>0</v>
      </c>
      <c r="I186" s="211">
        <f>IF(ISNUMBER(I108),N(I108)+N(I109)+N(I110),"")</f>
        <v>0</v>
      </c>
      <c r="J186" s="211">
        <f>IF(ISNUMBER(J108),N(J108)+N(J109)+N(J110),"")</f>
        <v>0</v>
      </c>
      <c r="K186" s="211">
        <f>IF(ISNUMBER(K108),N(K108)+N(K109)+N(K110),"")</f>
        <v>0</v>
      </c>
      <c r="L186" s="211">
        <f>IF(ISNUMBER(L108),N(L108)+N(L109)+N(L110),"")</f>
        <v>0</v>
      </c>
      <c r="M186" s="211">
        <f>IF(ISNUMBER(M108),N(M108)+N(M109)+N(M110),"")</f>
        <v>0</v>
      </c>
      <c r="N186" s="211">
        <f>IF(ISNUMBER(N108),N(N108)+N(N109)+N(N110),"")</f>
        <v>0</v>
      </c>
      <c r="O186" s="211">
        <f>IF(ISNUMBER(O108),N(O108)+N(O109)+N(O110),"")</f>
        <v>0</v>
      </c>
      <c r="P186" s="211">
        <f>IF(ISNUMBER(P108),N(P108)+N(P109)+N(P110),"")</f>
        <v>0</v>
      </c>
      <c r="Q186" s="211">
        <f>IF(ISNUMBER(Q108),N(Q108)+N(Q109)+N(Q110),"")</f>
        <v>0</v>
      </c>
      <c r="R186" s="211">
        <f>IF(ISNUMBER(R108),N(R108)+N(R109)+N(R110),"")</f>
        <v>0</v>
      </c>
      <c r="S186" s="211">
        <f>IF(ISNUMBER(S108),N(S108)+N(S109)+N(S110),"")</f>
        <v>0</v>
      </c>
      <c r="T186" s="211">
        <f>IF(ISNUMBER(T108),N(T108)+N(T109)+N(T110),"")</f>
        <v>0</v>
      </c>
      <c r="U186" s="211">
        <f>IF(ISNUMBER(U108),N(U108)+N(U109)+N(U110),"")</f>
        <v>0</v>
      </c>
      <c r="V186" s="211">
        <f>IF(ISNUMBER(V108),N(V108)+N(V109)+N(V110),"")</f>
        <v>0</v>
      </c>
      <c r="W186" s="211">
        <f>IF(ISNUMBER(W108),N(W108)+N(W109)+N(W110),"")</f>
        <v>0</v>
      </c>
      <c r="X186" s="211">
        <f>IF(ISNUMBER(X108),N(X108)+N(X109)+N(X110),"")</f>
        <v>0</v>
      </c>
      <c r="Y186" s="211">
        <f>IF(ISNUMBER(Y108),N(Y108)+N(Y109)+N(Y110),"")</f>
        <v>-103</v>
      </c>
      <c r="Z186" s="211">
        <f>IF(ISNUMBER(Z108),N(Z108)+N(Z109)+N(Z110),"")</f>
        <v>0</v>
      </c>
      <c r="AA186" s="211">
        <f>IF(ISNUMBER(AA108),N(AA108)+N(AA109)+N(AA110),"")</f>
        <v>-474</v>
      </c>
      <c r="AB186" s="211">
        <f>IF(ISNUMBER(AB108),N(AB108)+N(AB109)+N(AB110),"")</f>
        <v>0</v>
      </c>
      <c r="AC186" s="211">
        <f>IF(ISNUMBER(AC108),N(AC108)+N(AC109)+N(AC110),"")</f>
        <v>0</v>
      </c>
      <c r="AD186" s="211">
        <f>IF(ISNUMBER(AD108),N(AD108)+N(AD109)+N(AD110),"")</f>
        <v>0</v>
      </c>
      <c r="AE186" s="211">
        <f>IF(ISNUMBER(AE108),N(AE108)+N(AE109)+N(AE110),"")</f>
        <v>0</v>
      </c>
      <c r="AF186" s="211">
        <f>IF(ISNUMBER(AF108),N(AF108)+N(AF109)+N(AF110),"")</f>
        <v>0</v>
      </c>
      <c r="AG186" s="211">
        <f>IF(ISNUMBER(AG108),N(AG108)+N(AG109)+N(AG110),"")</f>
        <v>0</v>
      </c>
      <c r="AH186" s="211">
        <f>IF(ISNUMBER(AH108),N(AH108)+N(AH109)+N(AH110),"")</f>
        <v>0</v>
      </c>
      <c r="AI186" s="211">
        <f>IF(ISNUMBER(AI108),N(AI108)+N(AI109)+N(AI110),"")</f>
        <v>0</v>
      </c>
      <c r="AJ186" s="211">
        <f>IF(ISNUMBER(AJ108),N(AJ108)+N(AJ109)+N(AJ110),"")</f>
        <v>-193</v>
      </c>
      <c r="AK186" s="211">
        <f>IF(ISNUMBER(AK108),N(AK108)+N(AK109)+N(AK110),"")</f>
        <v>-193</v>
      </c>
      <c r="AL186" s="211">
        <f>IF(ISNUMBER(AL108),N(AL108)+N(AL109)+N(AL110),"")</f>
        <v>0</v>
      </c>
      <c r="AM186" s="211">
        <f>IF(ISNUMBER(AM108),N(AM108)+N(AM109)+N(AM110),"")</f>
        <v>0</v>
      </c>
      <c r="AN186" s="211">
        <f>IF(ISNUMBER(AN108),N(AN108)+N(AN109)+N(AN110),"")</f>
        <v>0</v>
      </c>
      <c r="AO186" s="211">
        <f>IF(ISNUMBER(AO108),N(AO108)+N(AO109)+N(AO110),"")</f>
        <v>0</v>
      </c>
      <c r="AP186" s="211">
        <f>IF(ISNUMBER(AP108),N(AP108)+N(AP109)+N(AP110),"")</f>
        <v>0</v>
      </c>
      <c r="AQ186" s="211">
        <f>IF(ISNUMBER(AQ108),N(AQ108)+N(AQ109)+N(AQ110),"")</f>
        <v>-13</v>
      </c>
      <c r="AR186" s="211">
        <f>IF(ISNUMBER(AR108),N(AR108)+N(AR109)+N(AR110),"")</f>
        <v>2</v>
      </c>
      <c r="AS186" s="211">
        <f>IF(ISNUMBER(AS108),N(AS108)+N(AS109)+N(AS110),"")</f>
        <v>-51</v>
      </c>
      <c r="AT186" s="211">
        <f>IF(ISNUMBER(AT108),N(AT108)+N(AT109)+N(AT110),"")</f>
        <v>-39</v>
      </c>
      <c r="AU186" s="211">
        <f>IF(ISNUMBER(AU108),N(AU108)+N(AU109)+N(AU110),"")</f>
        <v>-101</v>
      </c>
      <c r="AV186" s="211">
        <f>IF(ISNUMBER(AV108),N(AV108)+N(AV109)+N(AV110),"")</f>
        <v>-16</v>
      </c>
      <c r="AW186" s="211">
        <f>IF(ISNUMBER(AW108),N(AW108)+N(AW109)+N(AW110),"")</f>
        <v>-156</v>
      </c>
      <c r="AX186" s="211">
        <f>IF(ISNUMBER(AX108),N(AX108)+N(AX109)+N(AX110),"")</f>
        <v>-439</v>
      </c>
      <c r="AY186" s="211">
        <f>IF(ISNUMBER(AY108),N(AY108)+N(AY109)+N(AY110),"")</f>
        <v>-101</v>
      </c>
      <c r="AZ186" s="211">
        <f>IF(ISNUMBER(AZ108),N(AZ108)+N(AZ109)+N(AZ110),"")</f>
        <v>-712</v>
      </c>
      <c r="BA186" s="211">
        <f>IF(ISNUMBER(BA108),N(BA108)+N(BA109)+N(BA110),"")</f>
        <v>-231</v>
      </c>
      <c r="BB186" s="211">
        <f>IF(ISNUMBER(BB108),N(BB108)+N(BB109)+N(BB110),"")</f>
        <v>127</v>
      </c>
      <c r="BC186" s="211">
        <f>IF(ISNUMBER(BC108),N(BC108)+N(BC109)+N(BC110),"")</f>
        <v>246</v>
      </c>
      <c r="BD186" s="211">
        <f>IF(ISNUMBER(BD108),N(BD108)+N(BD109)+N(BD110),"")</f>
        <v>122</v>
      </c>
      <c r="BE186" s="211">
        <f>IF(ISNUMBER(BE108),N(BE108)+N(BE109)+N(BE110),"")</f>
        <v>264</v>
      </c>
      <c r="BF186" s="211">
        <f>IF(ISNUMBER(BF108),N(BF108)+N(BF109)+N(BF110),"")</f>
        <v>106</v>
      </c>
      <c r="BG186" s="211">
        <f>IF(ISNUMBER(BG108),N(BG108)+N(BG109)+N(BG110),"")</f>
        <v>90</v>
      </c>
      <c r="BH186" s="211">
        <f>IF(ISNUMBER(BH108),N(BH108)+N(BH109)+N(BH110),"")</f>
        <v>-85</v>
      </c>
      <c r="BI186" s="211">
        <f>IF(ISNUMBER(BI108),N(BI108)+N(BI109)+N(BI110),"")</f>
        <v>-7</v>
      </c>
      <c r="BJ186" s="211">
        <f>IF(ISNUMBER(BJ108),N(BJ108)+N(BJ109)+N(BJ110),"")</f>
        <v>104</v>
      </c>
      <c r="BK186" s="211">
        <f>IF(ISNUMBER(BK108),N(BK108)+N(BK109)+N(BK110),"")</f>
        <v>-4</v>
      </c>
      <c r="BL186" s="211">
        <f>IF(ISNUMBER(BL108),N(BL108)+N(BL109)+N(BL110),"")</f>
        <v>30</v>
      </c>
      <c r="BM186" s="211">
        <f>IF(ISNUMBER(BM108),N(BM108)+N(BM109)+N(BM110),"")</f>
        <v>22</v>
      </c>
      <c r="BN186" s="211">
        <f>IF(ISNUMBER(BN108),N(BN108)+N(BN109)+N(BN110),"")</f>
        <v>46</v>
      </c>
      <c r="BO186" s="211">
        <f>IF(ISNUMBER(BO108),N(BO108)+N(BO109)+N(BO110),"")</f>
        <v>94</v>
      </c>
      <c r="BP186" s="211">
        <f>IF(ISNUMBER(BP108),N(BP108)+N(BP109)+N(BP110),"")</f>
        <v>75</v>
      </c>
      <c r="BQ186" s="211">
        <f>IF(ISNUMBER(BQ108),N(BQ108)+N(BQ109)+N(BQ110),"")</f>
        <v>23</v>
      </c>
      <c r="BR186" s="211">
        <f>IF(ISNUMBER(BR108),N(BR108)+N(BR109)+N(BR110),"")</f>
        <v>35</v>
      </c>
      <c r="BS186" s="211">
        <f>IF(ISNUMBER(BS108),N(BS108)+N(BS109)+N(BS110),"")</f>
        <v>-46</v>
      </c>
      <c r="BT186" s="211">
        <f>IF(ISNUMBER(BT108),N(BT108)+N(BT109)+N(BT110),"")</f>
        <v>87</v>
      </c>
      <c r="BU186" s="211">
        <f>IF(ISNUMBER(BU108),N(BU108)+N(BU109)+N(BU110),"")</f>
        <v>7</v>
      </c>
      <c r="BV186" s="211">
        <f>IF(ISNUMBER(BV108),N(BV108)+N(BV109)+N(BV110),"")</f>
        <v>15</v>
      </c>
      <c r="BW186" s="211">
        <f>IF(ISNUMBER(BW108),N(BW108)+N(BW109)+N(BW110),"")</f>
        <v>9</v>
      </c>
      <c r="BX186" s="254">
        <f>IF(ISNUMBER(BX108),N(BX108)+N(BX109)+N(BX110),"")</f>
        <v>0</v>
      </c>
      <c r="BY186" s="254">
        <f>IF(ISNUMBER(BY108),N(BY108)+N(BY109)+N(BY110),"")</f>
        <v>31</v>
      </c>
      <c r="BZ186" s="254">
        <f>IF(ISNUMBER(BZ108),N(BZ108)+N(BZ109)+N(BZ110),"")</f>
        <v>0</v>
      </c>
      <c r="CA186" s="254">
        <f>IF(ISNUMBER(CA108),N(CA108)+N(CA109)+N(CA110),"")</f>
        <v>0</v>
      </c>
      <c r="CB186" s="254">
        <f>IF(ISNUMBER(CB108),N(CB108)+N(CB109)+N(CB110),"")</f>
        <v>0</v>
      </c>
      <c r="CC186" s="254">
        <f>IF(ISNUMBER(CC108),N(CC108)+N(CC109)+N(CC110),"")</f>
        <v>0</v>
      </c>
      <c r="CD186" s="254">
        <f>IF(ISNUMBER(CD108),N(CD108)+N(CD109)+N(CD110),"")</f>
        <v>0</v>
      </c>
      <c r="CE186" s="19" t="n"/>
    </row>
    <row r="187" ht="15" customHeight="1" s="251">
      <c r="B187" s="25" t="inlineStr">
        <is>
          <t xml:space="preserve">  (−) Tax effect of the adjustments &amp; tax-only items</t>
        </is>
      </c>
      <c r="C187" s="211">
        <f>IF(ISNUMBER(C189),C189-C184-C185-C186,IF(ISNUMBER(C184),0,""))</f>
        <v>-683</v>
      </c>
      <c r="D187" s="211">
        <f>IF(ISNUMBER(D189),D189-D184-D185-D186,IF(ISNUMBER(D184),0,""))</f>
        <v>-59</v>
      </c>
      <c r="E187" s="211">
        <f>IF(ISNUMBER(E189),E189-E184-E185-E186,IF(ISNUMBER(E184),0,""))</f>
        <v>-79</v>
      </c>
      <c r="F187" s="211">
        <f>IF(ISNUMBER(F189),F189-F184-F185-F186,IF(ISNUMBER(F184),0,""))</f>
        <v>-122</v>
      </c>
      <c r="G187" s="211">
        <f>IF(ISNUMBER(G189),G189-G184-G185-G186,IF(ISNUMBER(G184),0,""))</f>
        <v>-2039</v>
      </c>
      <c r="H187" s="211">
        <f>IF(ISNUMBER(H189),H189-H184-H185-H186,IF(ISNUMBER(H184),0,""))</f>
        <v>0</v>
      </c>
      <c r="I187" s="211">
        <f>IF(ISNUMBER(I189),I189-I184-I185-I186,IF(ISNUMBER(I184),0,""))</f>
        <v>0</v>
      </c>
      <c r="J187" s="211">
        <f>IF(ISNUMBER(J189),J189-J184-J185-J186,IF(ISNUMBER(J184),0,""))</f>
        <v>0</v>
      </c>
      <c r="K187" s="211">
        <f>IF(ISNUMBER(K189),K189-K184-K185-K186,IF(ISNUMBER(K184),0,""))</f>
        <v>0</v>
      </c>
      <c r="L187" s="211">
        <f>IF(ISNUMBER(L189),L189-L184-L185-L186,IF(ISNUMBER(L184),0,""))</f>
        <v>0</v>
      </c>
      <c r="M187" s="211">
        <f>IF(ISNUMBER(M189),M189-M184-M185-M186,IF(ISNUMBER(M184),0,""))</f>
        <v>0</v>
      </c>
      <c r="N187" s="211">
        <f>IF(ISNUMBER(N189),N189-N184-N185-N186,IF(ISNUMBER(N184),0,""))</f>
        <v>0</v>
      </c>
      <c r="O187" s="211">
        <f>IF(ISNUMBER(O189),O189-O184-O185-O186,IF(ISNUMBER(O184),0,""))</f>
        <v>0</v>
      </c>
      <c r="P187" s="211">
        <f>IF(ISNUMBER(P189),P189-P184-P185-P186,IF(ISNUMBER(P184),0,""))</f>
        <v>-167</v>
      </c>
      <c r="Q187" s="211">
        <f>IF(ISNUMBER(Q189),Q189-Q184-Q185-Q186,IF(ISNUMBER(Q184),0,""))</f>
        <v>-167</v>
      </c>
      <c r="R187" s="211">
        <f>IF(ISNUMBER(R189),R189-R184-R185-R186,IF(ISNUMBER(R184),0,""))</f>
        <v>0</v>
      </c>
      <c r="S187" s="211">
        <f>IF(ISNUMBER(S189),S189-S184-S185-S186,IF(ISNUMBER(S184),0,""))</f>
        <v>0</v>
      </c>
      <c r="T187" s="211">
        <f>IF(ISNUMBER(T189),T189-T184-T185-T186,IF(ISNUMBER(T184),0,""))</f>
        <v>110</v>
      </c>
      <c r="U187" s="211">
        <f>IF(ISNUMBER(U189),U189-U184-U185-U186,IF(ISNUMBER(U184),0,""))</f>
        <v>0</v>
      </c>
      <c r="V187" s="211">
        <f>IF(ISNUMBER(V189),V189-V184-V185-V186,IF(ISNUMBER(V184),0,""))</f>
        <v>110</v>
      </c>
      <c r="W187" s="211">
        <f>IF(ISNUMBER(W189),W189-W184-W185-W186,IF(ISNUMBER(W184),0,""))</f>
        <v>-255</v>
      </c>
      <c r="X187" s="211">
        <f>IF(ISNUMBER(X189),X189-X184-X185-X186,IF(ISNUMBER(X184),0,""))</f>
        <v>-81</v>
      </c>
      <c r="Y187" s="211">
        <f>IF(ISNUMBER(Y189),Y189-Y184-Y185-Y186,IF(ISNUMBER(Y184),0,""))</f>
        <v>-703</v>
      </c>
      <c r="Z187" s="211">
        <f>IF(ISNUMBER(Z189),Z189-Z184-Z185-Z186,IF(ISNUMBER(Z184),0,""))</f>
        <v>-126</v>
      </c>
      <c r="AA187" s="211">
        <f>IF(ISNUMBER(AA189),AA189-AA184-AA185-AA186,IF(ISNUMBER(AA184),0,""))</f>
        <v>-794</v>
      </c>
      <c r="AB187" s="211">
        <f>IF(ISNUMBER(AB189),AB189-AB184-AB185-AB186,IF(ISNUMBER(AB184),0,""))</f>
        <v>0</v>
      </c>
      <c r="AC187" s="211">
        <f>IF(ISNUMBER(AC189),AC189-AC184-AC185-AC186,IF(ISNUMBER(AC184),0,""))</f>
        <v>1444</v>
      </c>
      <c r="AD187" s="211">
        <f>IF(ISNUMBER(AD189),AD189-AD184-AD185-AD186,IF(ISNUMBER(AD184),0,""))</f>
        <v>0</v>
      </c>
      <c r="AE187" s="211">
        <f>IF(ISNUMBER(AE189),AE189-AE184-AE185-AE186,IF(ISNUMBER(AE184),0,""))</f>
        <v>0</v>
      </c>
      <c r="AF187" s="211">
        <f>IF(ISNUMBER(AF189),AF189-AF184-AF185-AF186,IF(ISNUMBER(AF184),0,""))</f>
        <v>1444</v>
      </c>
      <c r="AG187" s="211">
        <f>IF(ISNUMBER(AG189),AG189-AG184-AG185-AG186,IF(ISNUMBER(AG184),0,""))</f>
        <v>14</v>
      </c>
      <c r="AH187" s="211">
        <f>IF(ISNUMBER(AH189),AH189-AH184-AH185-AH186,IF(ISNUMBER(AH184),0,""))</f>
        <v>0</v>
      </c>
      <c r="AI187" s="211">
        <f>IF(ISNUMBER(AI189),AI189-AI184-AI185-AI186,IF(ISNUMBER(AI184),0,""))</f>
        <v>-137</v>
      </c>
      <c r="AJ187" s="211">
        <f>IF(ISNUMBER(AJ189),AJ189-AJ184-AJ185-AJ186,IF(ISNUMBER(AJ184),0,""))</f>
        <v>-51</v>
      </c>
      <c r="AK187" s="211">
        <f>IF(ISNUMBER(AK189),AK189-AK184-AK185-AK186,IF(ISNUMBER(AK184),0,""))</f>
        <v>-174</v>
      </c>
      <c r="AL187" s="211">
        <f>IF(ISNUMBER(AL189),AL189-AL184-AL185-AL186,IF(ISNUMBER(AL184),0,""))</f>
        <v>0</v>
      </c>
      <c r="AM187" s="211">
        <f>IF(ISNUMBER(AM189),AM189-AM184-AM185-AM186,IF(ISNUMBER(AM184),0,""))</f>
        <v>0</v>
      </c>
      <c r="AN187" s="211">
        <f>IF(ISNUMBER(AN189),AN189-AN184-AN185-AN186,IF(ISNUMBER(AN184),0,""))</f>
        <v>0</v>
      </c>
      <c r="AO187" s="211">
        <f>IF(ISNUMBER(AO189),AO189-AO184-AO185-AO186,IF(ISNUMBER(AO184),0,""))</f>
        <v>-83</v>
      </c>
      <c r="AP187" s="211">
        <f>IF(ISNUMBER(AP189),AP189-AP184-AP185-AP186,IF(ISNUMBER(AP184),0,""))</f>
        <v>-83</v>
      </c>
      <c r="AQ187" s="211">
        <f>IF(ISNUMBER(AQ189),AQ189-AQ184-AQ185-AQ186,IF(ISNUMBER(AQ184),0,""))</f>
        <v>0</v>
      </c>
      <c r="AR187" s="211">
        <f>IF(ISNUMBER(AR189),AR189-AR184-AR185-AR186,IF(ISNUMBER(AR184),0,""))</f>
        <v>-4</v>
      </c>
      <c r="AS187" s="211">
        <f>IF(ISNUMBER(AS189),AS189-AS184-AS185-AS186,IF(ISNUMBER(AS184),0,""))</f>
        <v>8</v>
      </c>
      <c r="AT187" s="211">
        <f>IF(ISNUMBER(AT189),AT189-AT184-AT185-AT186,IF(ISNUMBER(AT184),0,""))</f>
        <v>361</v>
      </c>
      <c r="AU187" s="211">
        <f>IF(ISNUMBER(AU189),AU189-AU184-AU185-AU186,IF(ISNUMBER(AU184),0,""))</f>
        <v>365</v>
      </c>
      <c r="AV187" s="211">
        <f>IF(ISNUMBER(AV189),AV189-AV184-AV185-AV186,IF(ISNUMBER(AV184),0,""))</f>
        <v>0</v>
      </c>
      <c r="AW187" s="211">
        <f>IF(ISNUMBER(AW189),AW189-AW184-AW185-AW186,IF(ISNUMBER(AW184),0,""))</f>
        <v>-9</v>
      </c>
      <c r="AX187" s="211">
        <f>IF(ISNUMBER(AX189),AX189-AX184-AX185-AX186,IF(ISNUMBER(AX184),0,""))</f>
        <v>1102</v>
      </c>
      <c r="AY187" s="211">
        <f>IF(ISNUMBER(AY189),AY189-AY184-AY185-AY186,IF(ISNUMBER(AY184),0,""))</f>
        <v>17</v>
      </c>
      <c r="AZ187" s="211">
        <f>IF(ISNUMBER(AZ189),AZ189-AZ184-AZ185-AZ186,IF(ISNUMBER(AZ184),0,""))</f>
        <v>1110</v>
      </c>
      <c r="BA187" s="211">
        <f>IF(ISNUMBER(BA189),BA189-BA184-BA185-BA186,IF(ISNUMBER(BA184),0,""))</f>
        <v>5</v>
      </c>
      <c r="BB187" s="211">
        <f>IF(ISNUMBER(BB189),BB189-BB184-BB185-BB186,IF(ISNUMBER(BB184),0,""))</f>
        <v>-38</v>
      </c>
      <c r="BC187" s="211">
        <f>IF(ISNUMBER(BC189),BC189-BC184-BC185-BC186,IF(ISNUMBER(BC184),0,""))</f>
        <v>-225</v>
      </c>
      <c r="BD187" s="211">
        <f>IF(ISNUMBER(BD189),BD189-BD184-BD185-BD186,IF(ISNUMBER(BD184),0,""))</f>
        <v>-39</v>
      </c>
      <c r="BE187" s="211">
        <f>IF(ISNUMBER(BE189),BE189-BE184-BE185-BE186,IF(ISNUMBER(BE184),0,""))</f>
        <v>-297</v>
      </c>
      <c r="BF187" s="211">
        <f>IF(ISNUMBER(BF189),BF189-BF184-BF185-BF186,IF(ISNUMBER(BF184),0,""))</f>
        <v>-111</v>
      </c>
      <c r="BG187" s="211">
        <f>IF(ISNUMBER(BG189),BG189-BG184-BG185-BG186,IF(ISNUMBER(BG184),0,""))</f>
        <v>-31</v>
      </c>
      <c r="BH187" s="211">
        <f>IF(ISNUMBER(BH189),BH189-BH184-BH185-BH186,IF(ISNUMBER(BH184),0,""))</f>
        <v>-93</v>
      </c>
      <c r="BI187" s="211">
        <f>IF(ISNUMBER(BI189),BI189-BI184-BI185-BI186,IF(ISNUMBER(BI184),0,""))</f>
        <v>-34</v>
      </c>
      <c r="BJ187" s="211">
        <f>IF(ISNUMBER(BJ189),BJ189-BJ184-BJ185-BJ186,IF(ISNUMBER(BJ184),0,""))</f>
        <v>-269</v>
      </c>
      <c r="BK187" s="211">
        <f>IF(ISNUMBER(BK189),BK189-BK184-BK185-BK186,IF(ISNUMBER(BK184),0,""))</f>
        <v>-9</v>
      </c>
      <c r="BL187" s="211">
        <f>IF(ISNUMBER(BL189),BL189-BL184-BL185-BL186,IF(ISNUMBER(BL184),0,""))</f>
        <v>-126</v>
      </c>
      <c r="BM187" s="211">
        <f>IF(ISNUMBER(BM189),BM189-BM184-BM185-BM186,IF(ISNUMBER(BM184),0,""))</f>
        <v>-20</v>
      </c>
      <c r="BN187" s="211">
        <f>IF(ISNUMBER(BN189),BN189-BN184-BN185-BN186,IF(ISNUMBER(BN184),0,""))</f>
        <v>-15</v>
      </c>
      <c r="BO187" s="211">
        <f>IF(ISNUMBER(BO189),BO189-BO184-BO185-BO186,IF(ISNUMBER(BO184),0,""))</f>
        <v>-170</v>
      </c>
      <c r="BP187" s="211">
        <f>IF(ISNUMBER(BP189),BP189-BP184-BP185-BP186,IF(ISNUMBER(BP184),0,""))</f>
        <v>-90</v>
      </c>
      <c r="BQ187" s="211">
        <f>IF(ISNUMBER(BQ189),BQ189-BQ184-BQ185-BQ186,IF(ISNUMBER(BQ184),0,""))</f>
        <v>-246</v>
      </c>
      <c r="BR187" s="211">
        <f>IF(ISNUMBER(BR189),BR189-BR184-BR185-BR186,IF(ISNUMBER(BR184),0,""))</f>
        <v>-161</v>
      </c>
      <c r="BS187" s="211">
        <f>IF(ISNUMBER(BS189),BS189-BS184-BS185-BS186,IF(ISNUMBER(BS184),0,""))</f>
        <v>-206</v>
      </c>
      <c r="BT187" s="211">
        <f>IF(ISNUMBER(BT189),BT189-BT184-BT185-BT186,IF(ISNUMBER(BT184),0,""))</f>
        <v>-703</v>
      </c>
      <c r="BU187" s="211">
        <f>IF(ISNUMBER(BU189),BU189-BU184-BU185-BU186,IF(ISNUMBER(BU184),0,""))</f>
        <v>-509</v>
      </c>
      <c r="BV187" s="211">
        <f>IF(ISNUMBER(BV189),BV189-BV184-BV185-BV186,IF(ISNUMBER(BV184),0,""))</f>
        <v>-91</v>
      </c>
      <c r="BW187" s="211">
        <f>IF(ISNUMBER(BW189),BW189-BW184-BW185-BW186,IF(ISNUMBER(BW184),0,""))</f>
        <v>-219</v>
      </c>
      <c r="BX187" s="254">
        <f>-(BX185+BX186)*BX197</f>
        <v>-15.01</v>
      </c>
      <c r="BY187" s="254">
        <f>SUM(BU187:BX187)</f>
        <v>-834.01</v>
      </c>
      <c r="BZ187" s="254">
        <f>-(BZ185+BZ186)*BZ197</f>
        <v>-62.5035714285714</v>
      </c>
      <c r="CA187" s="254">
        <f>-(CA185+CA186)*CA197</f>
        <v>-61.7107142857143</v>
      </c>
      <c r="CB187" s="254">
        <f>-(CB185+CB186)*CB197</f>
        <v>-60.9178571428571</v>
      </c>
      <c r="CC187" s="254">
        <f>-(CC185+CC186)*CC197</f>
        <v>-60.125</v>
      </c>
      <c r="CD187" s="254">
        <f>-(CD185+CD186)*CD197</f>
        <v>-61.1821428571429</v>
      </c>
      <c r="CE187" s="19" t="inlineStr">
        <is>
          <t>Historical: published non-GAAP net income − GAAP net income − pre-tax items (covers the FY2008–09 normalized-rate tables and tax-only items). Forecast: items × adjusted tax rate.</t>
        </is>
      </c>
    </row>
    <row r="188" ht="15" customHeight="1" s="251">
      <c r="B188" s="55" t="inlineStr">
        <is>
          <t xml:space="preserve">  = Non-GAAP net income (model bridge)</t>
        </is>
      </c>
      <c r="C188" s="266">
        <f>IF(ISNUMBER(C187),C184+C185+C186+C187,"")</f>
        <v>1749</v>
      </c>
      <c r="D188" s="266">
        <f>IF(ISNUMBER(D187),D184+D185+D186+D187,"")</f>
        <v>2448</v>
      </c>
      <c r="E188" s="266">
        <f>IF(ISNUMBER(E187),E184+E185+E186+E187,"")</f>
        <v>2887</v>
      </c>
      <c r="F188" s="266">
        <f>IF(ISNUMBER(F187),F184+F185+F186+F187,"")</f>
        <v>3528</v>
      </c>
      <c r="G188" s="266">
        <f>IF(ISNUMBER(G187),G184+G185+G186+G187,"")</f>
        <v>4203</v>
      </c>
      <c r="H188" s="266">
        <f>IF(ISNUMBER(H187),H184+H185+H186+H187,"")</f>
        <v>1293</v>
      </c>
      <c r="I188" s="266">
        <f>IF(ISNUMBER(I187),I184+I185+I186+I187,"")</f>
        <v>1270</v>
      </c>
      <c r="J188" s="266">
        <f>IF(ISNUMBER(J187),J184+J185+J186+J187,"")</f>
        <v>1225</v>
      </c>
      <c r="K188" s="266">
        <f>IF(ISNUMBER(K187),K184+K185+K186+K187,"")</f>
        <v>1192</v>
      </c>
      <c r="L188" s="266">
        <f>IF(ISNUMBER(L187),L184+L185+L186+L187,"")</f>
        <v>4980</v>
      </c>
      <c r="M188" s="266">
        <f>IF(ISNUMBER(M187),M184+M185+M186+M187,"")</f>
        <v>1407</v>
      </c>
      <c r="N188" s="266">
        <f>IF(ISNUMBER(N187),N184+N185+N186+N187,"")</f>
        <v>1598</v>
      </c>
      <c r="O188" s="266">
        <f>IF(ISNUMBER(O187),O184+O185+O186+O187,"")</f>
        <v>1360</v>
      </c>
      <c r="P188" s="266">
        <f>IF(ISNUMBER(P187),P184+P185+P186+P187,"")</f>
        <v>1356</v>
      </c>
      <c r="Q188" s="266">
        <f>IF(ISNUMBER(Q187),Q184+Q185+Q186+Q187,"")</f>
        <v>5721</v>
      </c>
      <c r="R188" s="266">
        <f>IF(ISNUMBER(R187),R184+R185+R186+R187,"")</f>
        <v>1569</v>
      </c>
      <c r="S188" s="266">
        <f>IF(ISNUMBER(S187),S184+S185+S186+S187,"")</f>
        <v>1550</v>
      </c>
      <c r="T188" s="266">
        <f>IF(ISNUMBER(T187),T184+T185+T186+T187,"")</f>
        <v>1807</v>
      </c>
      <c r="U188" s="266">
        <f>IF(ISNUMBER(U187),U184+U185+U186+U187,"")</f>
        <v>1512</v>
      </c>
      <c r="V188" s="266">
        <f>IF(ISNUMBER(V187),V184+V185+V186+V187,"")</f>
        <v>6438</v>
      </c>
      <c r="W188" s="266">
        <f>IF(ISNUMBER(W187),W184+W185+W186+W187,"")</f>
        <v>1686</v>
      </c>
      <c r="X188" s="266">
        <f>IF(ISNUMBER(X187),X184+X185+X186+X187,"")</f>
        <v>1626</v>
      </c>
      <c r="Y188" s="266">
        <f>IF(ISNUMBER(Y187),Y184+Y185+Y186+Y187,"")</f>
        <v>1635</v>
      </c>
      <c r="Z188" s="266">
        <f>IF(ISNUMBER(Z187),Z184+Z185+Z186+Z187,"")</f>
        <v>1915</v>
      </c>
      <c r="AA188" s="266">
        <f>IF(ISNUMBER(AA187),AA184+AA185+AA186+AA187,"")</f>
        <v>6862</v>
      </c>
      <c r="AB188" s="266">
        <f>IF(ISNUMBER(AB187),AB184+AB185+AB186+AB187,"")</f>
        <v>2070</v>
      </c>
      <c r="AC188" s="266">
        <f>IF(ISNUMBER(AC187),AC184+AC185+AC186+AC187,"")</f>
        <v>2066</v>
      </c>
      <c r="AD188" s="266">
        <f>IF(ISNUMBER(AD187),AD184+AD185+AD186+AD187,"")</f>
        <v>2059</v>
      </c>
      <c r="AE188" s="266">
        <f>IF(ISNUMBER(AE187),AE184+AE185+AE186+AE187,"")</f>
        <v>2140</v>
      </c>
      <c r="AF188" s="266">
        <f>IF(ISNUMBER(AF187),AF184+AF185+AF186+AF187,"")</f>
        <v>8335</v>
      </c>
      <c r="AG188" s="266">
        <f>IF(ISNUMBER(AG187),AG184+AG185+AG186+AG187,"")</f>
        <v>2536</v>
      </c>
      <c r="AH188" s="266">
        <f>IF(ISNUMBER(AH187),AH184+AH185+AH186+AH187,"")</f>
        <v>2605</v>
      </c>
      <c r="AI188" s="266">
        <f>IF(ISNUMBER(AI187),AI184+AI185+AI186+AI187,"")</f>
        <v>2792</v>
      </c>
      <c r="AJ188" s="266">
        <f>IF(ISNUMBER(AJ187),AJ184+AJ185+AJ186+AJ187,"")</f>
        <v>2796</v>
      </c>
      <c r="AK188" s="266">
        <f>IF(ISNUMBER(AK187),AK184+AK185+AK186+AK187,"")</f>
        <v>10729</v>
      </c>
      <c r="AL188" s="266">
        <f>IF(ISNUMBER(AL187),AL184+AL185+AL186+AL187,"")</f>
        <v>2977</v>
      </c>
      <c r="AM188" s="266">
        <f>IF(ISNUMBER(AM187),AM184+AM185+AM186+AM187,"")</f>
        <v>2977</v>
      </c>
      <c r="AN188" s="266">
        <f>IF(ISNUMBER(AN187),AN184+AN185+AN186+AN187,"")</f>
        <v>3101</v>
      </c>
      <c r="AO188" s="266">
        <f>IF(ISNUMBER(AO187),AO184+AO185+AO186+AO187,"")</f>
        <v>3312</v>
      </c>
      <c r="AP188" s="266">
        <f>IF(ISNUMBER(AP187),AP184+AP185+AP186+AP187,"")</f>
        <v>12367</v>
      </c>
      <c r="AQ188" s="266">
        <f>IF(ISNUMBER(AQ187),AQ184+AQ185+AQ186+AQ187,"")</f>
        <v>3272</v>
      </c>
      <c r="AR188" s="266">
        <f>IF(ISNUMBER(AR187),AR184+AR185+AR186+AR187,"")</f>
        <v>3098</v>
      </c>
      <c r="AS188" s="266">
        <f>IF(ISNUMBER(AS187),AS184+AS185+AS186+AS187,"")</f>
        <v>2347</v>
      </c>
      <c r="AT188" s="266">
        <f>IF(ISNUMBER(AT187),AT184+AT185+AT186+AT187,"")</f>
        <v>2476</v>
      </c>
      <c r="AU188" s="266">
        <f>IF(ISNUMBER(AU187),AU184+AU185+AU186+AU187,"")</f>
        <v>11193</v>
      </c>
      <c r="AV188" s="266">
        <f>IF(ISNUMBER(AV187),AV184+AV185+AV186+AV187,"")</f>
        <v>3125</v>
      </c>
      <c r="AW188" s="266">
        <f>IF(ISNUMBER(AW187),AW184+AW185+AW186+AW187,"")</f>
        <v>3031</v>
      </c>
      <c r="AX188" s="266">
        <f>IF(ISNUMBER(AX187),AX184+AX185+AX186+AX187,"")</f>
        <v>3256</v>
      </c>
      <c r="AY188" s="266">
        <f>IF(ISNUMBER(AY187),AY184+AY185+AY186+AY187,"")</f>
        <v>3521</v>
      </c>
      <c r="AZ188" s="266">
        <f>IF(ISNUMBER(AZ187),AZ184+AZ185+AZ186+AZ187,"")</f>
        <v>12933</v>
      </c>
      <c r="BA188" s="266">
        <f>IF(ISNUMBER(BA187),BA184+BA185+BA186+BA187,"")</f>
        <v>3901</v>
      </c>
      <c r="BB188" s="266">
        <f>IF(ISNUMBER(BB187),BB184+BB185+BB186+BB187,"")</f>
        <v>3836</v>
      </c>
      <c r="BC188" s="266">
        <f>IF(ISNUMBER(BC187),BC184+BC185+BC186+BC187,"")</f>
        <v>4206</v>
      </c>
      <c r="BD188" s="266">
        <f>IF(ISNUMBER(BD187),BD184+BD185+BD186+BD187,"")</f>
        <v>4091</v>
      </c>
      <c r="BE188" s="266">
        <f>IF(ISNUMBER(BE187),BE184+BE185+BE186+BE187,"")</f>
        <v>16034</v>
      </c>
      <c r="BF188" s="266">
        <f>IF(ISNUMBER(BF187),BF184+BF185+BF186+BF187,"")</f>
        <v>4581</v>
      </c>
      <c r="BG188" s="266">
        <f>IF(ISNUMBER(BG187),BG184+BG185+BG186+BG187,"")</f>
        <v>4384</v>
      </c>
      <c r="BH188" s="266">
        <f>IF(ISNUMBER(BH187),BH184+BH185+BH186+BH187,"")</f>
        <v>4499</v>
      </c>
      <c r="BI188" s="266">
        <f>IF(ISNUMBER(BI187),BI184+BI185+BI186+BI187,"")</f>
        <v>4816</v>
      </c>
      <c r="BJ188" s="266">
        <f>IF(ISNUMBER(BJ187),BJ184+BJ185+BJ186+BJ187,"")</f>
        <v>18280</v>
      </c>
      <c r="BK188" s="266">
        <f>IF(ISNUMBER(BK187),BK184+BK185+BK186+BK187,"")</f>
        <v>4938</v>
      </c>
      <c r="BL188" s="266">
        <f>IF(ISNUMBER(BL187),BL184+BL185+BL186+BL187,"")</f>
        <v>5117</v>
      </c>
      <c r="BM188" s="266">
        <f>IF(ISNUMBER(BM187),BM184+BM185+BM186+BM187,"")</f>
        <v>4909</v>
      </c>
      <c r="BN188" s="266">
        <f>IF(ISNUMBER(BN187),BN184+BN185+BN186+BN187,"")</f>
        <v>5425</v>
      </c>
      <c r="BO188" s="266">
        <f>IF(ISNUMBER(BO187),BO184+BO185+BO186+BO187,"")</f>
        <v>20389</v>
      </c>
      <c r="BP188" s="266">
        <f>IF(ISNUMBER(BP187),BP184+BP185+BP186+BP187,"")</f>
        <v>5463</v>
      </c>
      <c r="BQ188" s="266">
        <f>IF(ISNUMBER(BQ187),BQ184+BQ185+BQ186+BQ187,"")</f>
        <v>5442</v>
      </c>
      <c r="BR188" s="266">
        <f>IF(ISNUMBER(BR187),BR184+BR185+BR186+BR187,"")</f>
        <v>5834</v>
      </c>
      <c r="BS188" s="266">
        <f>IF(ISNUMBER(BS187),BS184+BS185+BS186+BS187,"")</f>
        <v>5803</v>
      </c>
      <c r="BT188" s="266">
        <f>IF(ISNUMBER(BT187),BT184+BT185+BT186+BT187,"")</f>
        <v>22542</v>
      </c>
      <c r="BU188" s="266">
        <f>IF(ISNUMBER(BU187),BU184+BU185+BU186+BU187,"")</f>
        <v>6124</v>
      </c>
      <c r="BV188" s="266">
        <f>IF(ISNUMBER(BV187),BV184+BV185+BV186+BV187,"")</f>
        <v>6342</v>
      </c>
      <c r="BW188" s="266">
        <f>IF(ISNUMBER(BW187),BW184+BW185+BW186+BW187,"")</f>
        <v>6296</v>
      </c>
      <c r="BX188" s="266">
        <f>IF(ISNUMBER(BX187),BX184+BX185+BX186+BX187,"")</f>
        <v>6403.12159511568</v>
      </c>
      <c r="BY188" s="266">
        <f>IF(ISNUMBER(BY187),BY184+BY185+BY186+BY187,"")</f>
        <v>25165.1215951157</v>
      </c>
      <c r="BZ188" s="266">
        <f>IF(ISNUMBER(BZ187),BZ184+BZ185+BZ186+BZ187,"")</f>
        <v>27790.3773341237</v>
      </c>
      <c r="CA188" s="266">
        <f>IF(ISNUMBER(CA187),CA184+CA185+CA186+CA187,"")</f>
        <v>30765.5021551215</v>
      </c>
      <c r="CB188" s="266">
        <f>IF(ISNUMBER(CB187),CB184+CB185+CB186+CB187,"")</f>
        <v>33985.5576108649</v>
      </c>
      <c r="CC188" s="266">
        <f>IF(ISNUMBER(CC187),CC184+CC185+CC186+CC187,"")</f>
        <v>37157.9215536237</v>
      </c>
      <c r="CD188" s="266">
        <f>IF(ISNUMBER(CD187),CD184+CD185+CD186+CD187,"")</f>
        <v>40637.4204391204</v>
      </c>
      <c r="CE188" s="153" t="n"/>
      <c r="CG188" s="20">
        <f>IFERROR((CD188/BY188)^(1/5)-1,"n/m")</f>
        <v>0.100589638441404</v>
      </c>
      <c r="CH188" s="20">
        <f>IFERROR((BT188/AU188)^(1/5)-1,"n/m")</f>
        <v>0.150294884239307</v>
      </c>
      <c r="CI188" s="20">
        <f>IFERROR((BT188/V188)^(1/10)-1,"n/m")</f>
        <v>0.133506845599957</v>
      </c>
      <c r="CJ188" s="20">
        <f>IFERROR((BT188/C188)^(1/17)-1,"n/m")</f>
        <v>0.162267348609841</v>
      </c>
    </row>
    <row r="189" ht="15" customHeight="1" s="251">
      <c r="B189" s="156" t="inlineStr">
        <is>
          <t xml:space="preserve">  Company-published non-GAAP net income</t>
        </is>
      </c>
      <c r="C189" s="253" t="n">
        <v>1749</v>
      </c>
      <c r="D189" s="253" t="n">
        <v>2448</v>
      </c>
      <c r="E189" s="253" t="n">
        <v>2887</v>
      </c>
      <c r="F189" s="253" t="n">
        <v>3528</v>
      </c>
      <c r="G189" s="253" t="n">
        <v>4203</v>
      </c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253" t="n">
        <v>1356</v>
      </c>
      <c r="Q189" s="253" t="n">
        <v>5721</v>
      </c>
      <c r="R189" s="34" t="n"/>
      <c r="S189" s="34" t="n"/>
      <c r="T189" s="253" t="n">
        <v>1807</v>
      </c>
      <c r="U189" s="34" t="n"/>
      <c r="V189" s="253" t="n">
        <v>6438</v>
      </c>
      <c r="W189" s="253" t="n">
        <v>1686</v>
      </c>
      <c r="X189" s="253" t="n">
        <v>1626</v>
      </c>
      <c r="Y189" s="253" t="n">
        <v>1635</v>
      </c>
      <c r="Z189" s="253" t="n">
        <v>1915</v>
      </c>
      <c r="AA189" s="253" t="n">
        <v>6862</v>
      </c>
      <c r="AB189" s="34" t="n"/>
      <c r="AC189" s="253" t="n">
        <v>2066</v>
      </c>
      <c r="AD189" s="34" t="n"/>
      <c r="AE189" s="34" t="n"/>
      <c r="AF189" s="253" t="n">
        <v>8335</v>
      </c>
      <c r="AG189" s="253" t="n">
        <v>2536</v>
      </c>
      <c r="AH189" s="34" t="n"/>
      <c r="AI189" s="253" t="n">
        <v>2792</v>
      </c>
      <c r="AJ189" s="253" t="n">
        <v>2796</v>
      </c>
      <c r="AK189" s="253" t="n">
        <v>10729</v>
      </c>
      <c r="AL189" s="34" t="n"/>
      <c r="AM189" s="34" t="n"/>
      <c r="AN189" s="34" t="n"/>
      <c r="AO189" s="253" t="n">
        <v>3312</v>
      </c>
      <c r="AP189" s="253" t="n">
        <v>12367</v>
      </c>
      <c r="AQ189" s="253" t="n">
        <v>3272</v>
      </c>
      <c r="AR189" s="253" t="n">
        <v>3098</v>
      </c>
      <c r="AS189" s="253" t="n">
        <v>2347</v>
      </c>
      <c r="AT189" s="253" t="n">
        <v>2476</v>
      </c>
      <c r="AU189" s="253" t="n">
        <v>11193</v>
      </c>
      <c r="AV189" s="253" t="n">
        <v>3125</v>
      </c>
      <c r="AW189" s="253" t="n">
        <v>3031</v>
      </c>
      <c r="AX189" s="253" t="n">
        <v>3256</v>
      </c>
      <c r="AY189" s="253" t="n">
        <v>3521</v>
      </c>
      <c r="AZ189" s="253" t="n">
        <v>12933</v>
      </c>
      <c r="BA189" s="253" t="n">
        <v>3901</v>
      </c>
      <c r="BB189" s="253" t="n">
        <v>3836</v>
      </c>
      <c r="BC189" s="253" t="n">
        <v>4206</v>
      </c>
      <c r="BD189" s="253" t="n">
        <v>4091</v>
      </c>
      <c r="BE189" s="253" t="n">
        <v>16034</v>
      </c>
      <c r="BF189" s="253" t="n">
        <v>4581</v>
      </c>
      <c r="BG189" s="253" t="n">
        <v>4384</v>
      </c>
      <c r="BH189" s="253" t="n">
        <v>4499</v>
      </c>
      <c r="BI189" s="253" t="n">
        <v>4816</v>
      </c>
      <c r="BJ189" s="253" t="n">
        <v>18280</v>
      </c>
      <c r="BK189" s="253" t="n">
        <v>4938</v>
      </c>
      <c r="BL189" s="253" t="n">
        <v>5117</v>
      </c>
      <c r="BM189" s="253" t="n">
        <v>4909</v>
      </c>
      <c r="BN189" s="253" t="n">
        <v>5425</v>
      </c>
      <c r="BO189" s="253" t="n">
        <v>20389</v>
      </c>
      <c r="BP189" s="253" t="n">
        <v>5463</v>
      </c>
      <c r="BQ189" s="253" t="n">
        <v>5442</v>
      </c>
      <c r="BR189" s="253" t="n">
        <v>5834</v>
      </c>
      <c r="BS189" s="253" t="n">
        <v>5803</v>
      </c>
      <c r="BT189" s="253" t="n">
        <v>22542</v>
      </c>
      <c r="BU189" s="253" t="n">
        <v>6124</v>
      </c>
      <c r="BV189" s="253" t="n">
        <v>6342</v>
      </c>
      <c r="BW189" s="253" t="n">
        <v>6296</v>
      </c>
      <c r="BX189" s="153" t="n"/>
      <c r="BY189" s="153" t="n"/>
      <c r="BZ189" s="153" t="n"/>
      <c r="CA189" s="153" t="n"/>
      <c r="CB189" s="153" t="n"/>
      <c r="CC189" s="153" t="n"/>
      <c r="CD189" s="153" t="n"/>
      <c r="CE189" s="153" t="n"/>
    </row>
    <row r="190" ht="15" customHeight="1" s="251">
      <c r="B190" s="25" t="inlineStr">
        <is>
          <t xml:space="preserve">  Weighted-average diluted class A shares (m)</t>
        </is>
      </c>
      <c r="C190" s="285">
        <f>IF(ISNUMBER(C143),C143,"")</f>
        <v>3076</v>
      </c>
      <c r="D190" s="285">
        <f>IF(ISNUMBER(D143),D143,"")</f>
        <v>3032</v>
      </c>
      <c r="E190" s="285">
        <f>IF(ISNUMBER(E143),E143,"")</f>
        <v>2956</v>
      </c>
      <c r="F190" s="285">
        <f>IF(ISNUMBER(F143),F143,"")</f>
        <v>2828</v>
      </c>
      <c r="G190" s="285">
        <f>IF(ISNUMBER(G143),G143,"")</f>
        <v>2712</v>
      </c>
      <c r="H190" s="285">
        <f>IF(ISNUMBER(H143),H143,"")</f>
        <v>2676</v>
      </c>
      <c r="I190" s="285">
        <f>IF(ISNUMBER(I143),I143,"")</f>
        <v>2640</v>
      </c>
      <c r="J190" s="285">
        <f>IF(ISNUMBER(J143),J143,"")</f>
        <v>2604</v>
      </c>
      <c r="K190" s="285">
        <f>IF(ISNUMBER(K143),K143,"")</f>
        <v>2576</v>
      </c>
      <c r="L190" s="285">
        <f>IF(ISNUMBER(L143),L143,"")</f>
        <v>2624</v>
      </c>
      <c r="M190" s="285">
        <f>IF(ISNUMBER(M143),M143,"")</f>
        <v>2556</v>
      </c>
      <c r="N190" s="285">
        <f>IF(ISNUMBER(N143),N143,"")</f>
        <v>2536</v>
      </c>
      <c r="O190" s="285">
        <f>IF(ISNUMBER(O143),O143,"")</f>
        <v>2512</v>
      </c>
      <c r="P190" s="285">
        <f>IF(ISNUMBER(P143),P143,"")</f>
        <v>2492</v>
      </c>
      <c r="Q190" s="285">
        <f>IF(ISNUMBER(Q143),Q143,"")</f>
        <v>2524</v>
      </c>
      <c r="R190" s="285">
        <f>IF(ISNUMBER(R143),R143,"")</f>
        <v>2476</v>
      </c>
      <c r="S190" s="285">
        <f>IF(ISNUMBER(S143),S143,"")</f>
        <v>2460</v>
      </c>
      <c r="T190" s="285">
        <f>IF(ISNUMBER(T143),T143,"")</f>
        <v>2448</v>
      </c>
      <c r="U190" s="285">
        <f>IF(ISNUMBER(U143),U143,"")</f>
        <v>2440</v>
      </c>
      <c r="V190" s="285">
        <f>IF(ISNUMBER(V143),V143,"")</f>
        <v>2457</v>
      </c>
      <c r="W190" s="285">
        <f>IF(ISNUMBER(W143),W143,"")</f>
        <v>2430</v>
      </c>
      <c r="X190" s="285">
        <f>IF(ISNUMBER(X143),X143,"")</f>
        <v>2401</v>
      </c>
      <c r="Y190" s="285">
        <f>IF(ISNUMBER(Y143),Y143,"")</f>
        <v>2386</v>
      </c>
      <c r="Z190" s="285">
        <f>IF(ISNUMBER(Z143),Z143,"")</f>
        <v>2440</v>
      </c>
      <c r="AA190" s="285">
        <f>IF(ISNUMBER(AA143),AA143,"")</f>
        <v>2414</v>
      </c>
      <c r="AB190" s="285">
        <f>IF(ISNUMBER(AB143),AB143,"")</f>
        <v>2421</v>
      </c>
      <c r="AC190" s="285">
        <f>IF(ISNUMBER(AC143),AC143,"")</f>
        <v>2406</v>
      </c>
      <c r="AD190" s="285">
        <f>IF(ISNUMBER(AD143),AD143,"")</f>
        <v>2385</v>
      </c>
      <c r="AE190" s="285">
        <f>IF(ISNUMBER(AE143),AE143,"")</f>
        <v>2368</v>
      </c>
      <c r="AF190" s="285">
        <f>IF(ISNUMBER(AF143),AF143,"")</f>
        <v>2395</v>
      </c>
      <c r="AG190" s="285">
        <f>IF(ISNUMBER(AG143),AG143,"")</f>
        <v>2353</v>
      </c>
      <c r="AH190" s="285">
        <f>IF(ISNUMBER(AH143),AH143,"")</f>
        <v>2337</v>
      </c>
      <c r="AI190" s="285">
        <f>IF(ISNUMBER(AI143),AI143,"")</f>
        <v>2321</v>
      </c>
      <c r="AJ190" s="285">
        <f>IF(ISNUMBER(AJ143),AJ143,"")</f>
        <v>2305</v>
      </c>
      <c r="AK190" s="285">
        <f>IF(ISNUMBER(AK143),AK143,"")</f>
        <v>2329</v>
      </c>
      <c r="AL190" s="285">
        <f>IF(ISNUMBER(AL143),AL143,"")</f>
        <v>2291</v>
      </c>
      <c r="AM190" s="285">
        <f>IF(ISNUMBER(AM143),AM143,"")</f>
        <v>2279</v>
      </c>
      <c r="AN190" s="285">
        <f>IF(ISNUMBER(AN143),AN143,"")</f>
        <v>2265</v>
      </c>
      <c r="AO190" s="285">
        <f>IF(ISNUMBER(AO143),AO143,"")</f>
        <v>2253</v>
      </c>
      <c r="AP190" s="285">
        <f>IF(ISNUMBER(AP143),AP143,"")</f>
        <v>2272</v>
      </c>
      <c r="AQ190" s="285">
        <f>IF(ISNUMBER(AQ143),AQ143,"")</f>
        <v>2240</v>
      </c>
      <c r="AR190" s="285">
        <f>IF(ISNUMBER(AR143),AR143,"")</f>
        <v>2228</v>
      </c>
      <c r="AS190" s="285">
        <f>IF(ISNUMBER(AS143),AS143,"")</f>
        <v>2214</v>
      </c>
      <c r="AT190" s="285">
        <f>IF(ISNUMBER(AT143),AT143,"")</f>
        <v>2210</v>
      </c>
      <c r="AU190" s="285">
        <f>IF(ISNUMBER(AU143),AU143,"")</f>
        <v>2223</v>
      </c>
      <c r="AV190" s="285">
        <f>IF(ISNUMBER(AV143),AV143,"")</f>
        <v>2200</v>
      </c>
      <c r="AW190" s="285">
        <f>IF(ISNUMBER(AW143),AW143,"")</f>
        <v>2193</v>
      </c>
      <c r="AX190" s="285">
        <f>IF(ISNUMBER(AX143),AX143,"")</f>
        <v>2184</v>
      </c>
      <c r="AY190" s="285">
        <f>IF(ISNUMBER(AY143),AY143,"")</f>
        <v>2175</v>
      </c>
      <c r="AZ190" s="285">
        <f>IF(ISNUMBER(AZ143),AZ143,"")</f>
        <v>2188</v>
      </c>
      <c r="BA190" s="285">
        <f>IF(ISNUMBER(BA143),BA143,"")</f>
        <v>2159</v>
      </c>
      <c r="BB190" s="285">
        <f>IF(ISNUMBER(BB143),BB143,"")</f>
        <v>2142</v>
      </c>
      <c r="BC190" s="285">
        <f>IF(ISNUMBER(BC143),BC143,"")</f>
        <v>2129</v>
      </c>
      <c r="BD190" s="285">
        <f>IF(ISNUMBER(BD143),BD143,"")</f>
        <v>2116</v>
      </c>
      <c r="BE190" s="285">
        <f>IF(ISNUMBER(BE143),BE143,"")</f>
        <v>2136</v>
      </c>
      <c r="BF190" s="285">
        <f>IF(ISNUMBER(BF143),BF143,"")</f>
        <v>2102</v>
      </c>
      <c r="BG190" s="285">
        <f>IF(ISNUMBER(BG143),BG143,"")</f>
        <v>2093</v>
      </c>
      <c r="BH190" s="285">
        <f>IF(ISNUMBER(BH143),BH143,"")</f>
        <v>2080</v>
      </c>
      <c r="BI190" s="285">
        <f>IF(ISNUMBER(BI143),BI143,"")</f>
        <v>2065</v>
      </c>
      <c r="BJ190" s="285">
        <f>IF(ISNUMBER(BJ143),BJ143,"")</f>
        <v>2085</v>
      </c>
      <c r="BK190" s="285">
        <f>IF(ISNUMBER(BK143),BK143,"")</f>
        <v>2045</v>
      </c>
      <c r="BL190" s="285">
        <f>IF(ISNUMBER(BL143),BL143,"")</f>
        <v>2039</v>
      </c>
      <c r="BM190" s="285">
        <f>IF(ISNUMBER(BM143),BM143,"")</f>
        <v>2029</v>
      </c>
      <c r="BN190" s="285">
        <f>IF(ISNUMBER(BN143),BN143,"")</f>
        <v>2003</v>
      </c>
      <c r="BO190" s="285">
        <f>IF(ISNUMBER(BO143),BO143,"")</f>
        <v>2029</v>
      </c>
      <c r="BP190" s="285">
        <f>IF(ISNUMBER(BP143),BP143,"")</f>
        <v>1985</v>
      </c>
      <c r="BQ190" s="285">
        <f>IF(ISNUMBER(BQ143),BQ143,"")</f>
        <v>1974</v>
      </c>
      <c r="BR190" s="285">
        <f>IF(ISNUMBER(BR143),BR143,"")</f>
        <v>1959</v>
      </c>
      <c r="BS190" s="285">
        <f>IF(ISNUMBER(BS143),BS143,"")</f>
        <v>1945</v>
      </c>
      <c r="BT190" s="285">
        <f>IF(ISNUMBER(BT143),BT143,"")</f>
        <v>1966</v>
      </c>
      <c r="BU190" s="285">
        <f>IF(ISNUMBER(BU143),BU143,"")</f>
        <v>1933</v>
      </c>
      <c r="BV190" s="285">
        <f>IF(ISNUMBER(BV143),BV143,"")</f>
        <v>1916</v>
      </c>
      <c r="BW190" s="285">
        <f>IF(ISNUMBER(BW143),BW143,"")</f>
        <v>1898</v>
      </c>
      <c r="BX190" s="278">
        <f>IF(ISNUMBER(BX143),BX143,"")</f>
        <v>1884.82326478149</v>
      </c>
      <c r="BY190" s="278">
        <f>IF(ISNUMBER(BY143),BY143,"")</f>
        <v>1907.95581619537</v>
      </c>
      <c r="BZ190" s="278">
        <f>IF(ISNUMBER(BZ143),BZ143,"")</f>
        <v>1850.36938668375</v>
      </c>
      <c r="CA190" s="278">
        <f>IF(ISNUMBER(CA143),CA143,"")</f>
        <v>1795.39495201688</v>
      </c>
      <c r="CB190" s="278">
        <f>IF(ISNUMBER(CB143),CB143,"")</f>
        <v>1741.66770062161</v>
      </c>
      <c r="CC190" s="278">
        <f>IF(ISNUMBER(CC143),CC143,"")</f>
        <v>1686.75944206305</v>
      </c>
      <c r="CD190" s="278">
        <f>IF(ISNUMBER(CD143),CD143,"")</f>
        <v>1630.99667270866</v>
      </c>
      <c r="CE190" s="19" t="n"/>
    </row>
    <row r="191" ht="15" customHeight="1" s="251">
      <c r="B191" s="55" t="inlineStr">
        <is>
          <t>Non-GAAP EPS — diluted class A ($) (model bridge)</t>
        </is>
      </c>
      <c r="C191" s="279">
        <f>IF(AND(ISNUMBER(C188),ISNUMBER(C190)),IFERROR(C188/C190,""),"")</f>
        <v>0.568595578673602</v>
      </c>
      <c r="D191" s="279">
        <f>IF(AND(ISNUMBER(D188),ISNUMBER(D190)),IFERROR(D188/D190,""),"")</f>
        <v>0.807387862796834</v>
      </c>
      <c r="E191" s="279">
        <f>IF(AND(ISNUMBER(E188),ISNUMBER(E190)),IFERROR(E188/E190,""),"")</f>
        <v>0.976657645466847</v>
      </c>
      <c r="F191" s="279">
        <f>IF(AND(ISNUMBER(F188),ISNUMBER(F190)),IFERROR(F188/F190,""),"")</f>
        <v>1.24752475247525</v>
      </c>
      <c r="G191" s="279">
        <f>IF(AND(ISNUMBER(G188),ISNUMBER(G190)),IFERROR(G188/G190,""),"")</f>
        <v>1.54977876106195</v>
      </c>
      <c r="H191" s="279">
        <f>IF(AND(ISNUMBER(H188),ISNUMBER(H190)),IFERROR(H188/H190,""),"")</f>
        <v>0.483183856502242</v>
      </c>
      <c r="I191" s="279">
        <f>IF(AND(ISNUMBER(I188),ISNUMBER(I190)),IFERROR(I188/I190,""),"")</f>
        <v>0.481060606060606</v>
      </c>
      <c r="J191" s="279">
        <f>IF(AND(ISNUMBER(J188),ISNUMBER(J190)),IFERROR(J188/J190,""),"")</f>
        <v>0.470430107526882</v>
      </c>
      <c r="K191" s="279">
        <f>IF(AND(ISNUMBER(K188),ISNUMBER(K190)),IFERROR(K188/K190,""),"")</f>
        <v>0.462732919254658</v>
      </c>
      <c r="L191" s="279">
        <f>IF(AND(ISNUMBER(L188),ISNUMBER(L190)),IFERROR(L188/L190,""),"")</f>
        <v>1.89786585365854</v>
      </c>
      <c r="M191" s="279">
        <f>IF(AND(ISNUMBER(M188),ISNUMBER(M190)),IFERROR(M188/M190,""),"")</f>
        <v>0.550469483568075</v>
      </c>
      <c r="N191" s="279">
        <f>IF(AND(ISNUMBER(N188),ISNUMBER(N190)),IFERROR(N188/N190,""),"")</f>
        <v>0.6301261829653</v>
      </c>
      <c r="O191" s="279">
        <f>IF(AND(ISNUMBER(O188),ISNUMBER(O190)),IFERROR(O188/O190,""),"")</f>
        <v>0.54140127388535</v>
      </c>
      <c r="P191" s="279">
        <f>IF(AND(ISNUMBER(P188),ISNUMBER(P190)),IFERROR(P188/P190,""),"")</f>
        <v>0.544141252006421</v>
      </c>
      <c r="Q191" s="279">
        <f>IF(AND(ISNUMBER(Q188),ISNUMBER(Q190)),IFERROR(Q188/Q190,""),"")</f>
        <v>2.26664025356577</v>
      </c>
      <c r="R191" s="279">
        <f>IF(AND(ISNUMBER(R188),ISNUMBER(R190)),IFERROR(R188/R190,""),"")</f>
        <v>0.633683360258481</v>
      </c>
      <c r="S191" s="279">
        <f>IF(AND(ISNUMBER(S188),ISNUMBER(S190)),IFERROR(S188/S190,""),"")</f>
        <v>0.630081300813008</v>
      </c>
      <c r="T191" s="279">
        <f>IF(AND(ISNUMBER(T188),ISNUMBER(T190)),IFERROR(T188/T190,""),"")</f>
        <v>0.738153594771242</v>
      </c>
      <c r="U191" s="279">
        <f>IF(AND(ISNUMBER(U188),ISNUMBER(U190)),IFERROR(U188/U190,""),"")</f>
        <v>0.619672131147541</v>
      </c>
      <c r="V191" s="279">
        <f>IF(AND(ISNUMBER(V188),ISNUMBER(V190)),IFERROR(V188/V190,""),"")</f>
        <v>2.62026862026862</v>
      </c>
      <c r="W191" s="279">
        <f>IF(AND(ISNUMBER(W188),ISNUMBER(W190)),IFERROR(W188/W190,""),"")</f>
        <v>0.693827160493827</v>
      </c>
      <c r="X191" s="279">
        <f>IF(AND(ISNUMBER(X188),ISNUMBER(X190)),IFERROR(X188/X190,""),"")</f>
        <v>0.677217825905873</v>
      </c>
      <c r="Y191" s="279">
        <f>IF(AND(ISNUMBER(Y188),ISNUMBER(Y190)),IFERROR(Y188/Y190,""),"")</f>
        <v>0.685247275775356</v>
      </c>
      <c r="Z191" s="279">
        <f>IF(AND(ISNUMBER(Z188),ISNUMBER(Z190)),IFERROR(Z188/Z190,""),"")</f>
        <v>0.784836065573771</v>
      </c>
      <c r="AA191" s="279">
        <f>IF(AND(ISNUMBER(AA188),ISNUMBER(AA190)),IFERROR(AA188/AA190,""),"")</f>
        <v>2.84258492129246</v>
      </c>
      <c r="AB191" s="279">
        <f>IF(AND(ISNUMBER(AB188),ISNUMBER(AB190)),IFERROR(AB188/AB190,""),"")</f>
        <v>0.855018587360595</v>
      </c>
      <c r="AC191" s="279">
        <f>IF(AND(ISNUMBER(AC188),ISNUMBER(AC190)),IFERROR(AC188/AC190,""),"")</f>
        <v>0.858686616791355</v>
      </c>
      <c r="AD191" s="279">
        <f>IF(AND(ISNUMBER(AD188),ISNUMBER(AD190)),IFERROR(AD188/AD190,""),"")</f>
        <v>0.863312368972746</v>
      </c>
      <c r="AE191" s="279">
        <f>IF(AND(ISNUMBER(AE188),ISNUMBER(AE190)),IFERROR(AE188/AE190,""),"")</f>
        <v>0.903716216216216</v>
      </c>
      <c r="AF191" s="279">
        <f>IF(AND(ISNUMBER(AF188),ISNUMBER(AF190)),IFERROR(AF188/AF190,""),"")</f>
        <v>3.48016701461378</v>
      </c>
      <c r="AG191" s="279">
        <f>IF(AND(ISNUMBER(AG188),ISNUMBER(AG190)),IFERROR(AG188/AG190,""),"")</f>
        <v>1.07777305567361</v>
      </c>
      <c r="AH191" s="279">
        <f>IF(AND(ISNUMBER(AH188),ISNUMBER(AH190)),IFERROR(AH188/AH190,""),"")</f>
        <v>1.11467693624305</v>
      </c>
      <c r="AI191" s="279">
        <f>IF(AND(ISNUMBER(AI188),ISNUMBER(AI190)),IFERROR(AI188/AI190,""),"")</f>
        <v>1.20292977165015</v>
      </c>
      <c r="AJ191" s="279">
        <f>IF(AND(ISNUMBER(AJ188),ISNUMBER(AJ190)),IFERROR(AJ188/AJ190,""),"")</f>
        <v>1.21301518438178</v>
      </c>
      <c r="AK191" s="279">
        <f>IF(AND(ISNUMBER(AK188),ISNUMBER(AK190)),IFERROR(AK188/AK190,""),"")</f>
        <v>4.60669815371404</v>
      </c>
      <c r="AL191" s="279">
        <f>IF(AND(ISNUMBER(AL188),ISNUMBER(AL190)),IFERROR(AL188/AL190,""),"")</f>
        <v>1.29943256219991</v>
      </c>
      <c r="AM191" s="279">
        <f>IF(AND(ISNUMBER(AM188),ISNUMBER(AM190)),IFERROR(AM188/AM190,""),"")</f>
        <v>1.30627468187802</v>
      </c>
      <c r="AN191" s="279">
        <f>IF(AND(ISNUMBER(AN188),ISNUMBER(AN190)),IFERROR(AN188/AN190,""),"")</f>
        <v>1.36909492273731</v>
      </c>
      <c r="AO191" s="279">
        <f>IF(AND(ISNUMBER(AO188),ISNUMBER(AO190)),IFERROR(AO188/AO190,""),"")</f>
        <v>1.47003994673768</v>
      </c>
      <c r="AP191" s="279">
        <f>IF(AND(ISNUMBER(AP188),ISNUMBER(AP190)),IFERROR(AP188/AP190,""),"")</f>
        <v>5.44322183098592</v>
      </c>
      <c r="AQ191" s="279">
        <f>IF(AND(ISNUMBER(AQ188),ISNUMBER(AQ190)),IFERROR(AQ188/AQ190,""),"")</f>
        <v>1.46071428571429</v>
      </c>
      <c r="AR191" s="279">
        <f>IF(AND(ISNUMBER(AR188),ISNUMBER(AR190)),IFERROR(AR188/AR190,""),"")</f>
        <v>1.39048473967684</v>
      </c>
      <c r="AS191" s="279">
        <f>IF(AND(ISNUMBER(AS188),ISNUMBER(AS190)),IFERROR(AS188/AS190,""),"")</f>
        <v>1.06007226738934</v>
      </c>
      <c r="AT191" s="279">
        <f>IF(AND(ISNUMBER(AT188),ISNUMBER(AT190)),IFERROR(AT188/AT190,""),"")</f>
        <v>1.12036199095023</v>
      </c>
      <c r="AU191" s="279">
        <f>IF(AND(ISNUMBER(AU188),ISNUMBER(AU190)),IFERROR(AU188/AU190,""),"")</f>
        <v>5.03508771929825</v>
      </c>
      <c r="AV191" s="279">
        <f>IF(AND(ISNUMBER(AV188),ISNUMBER(AV190)),IFERROR(AV188/AV190,""),"")</f>
        <v>1.42045454545455</v>
      </c>
      <c r="AW191" s="279">
        <f>IF(AND(ISNUMBER(AW188),ISNUMBER(AW190)),IFERROR(AW188/AW190,""),"")</f>
        <v>1.38212494300046</v>
      </c>
      <c r="AX191" s="279">
        <f>IF(AND(ISNUMBER(AX188),ISNUMBER(AX190)),IFERROR(AX188/AX190,""),"")</f>
        <v>1.49084249084249</v>
      </c>
      <c r="AY191" s="279">
        <f>IF(AND(ISNUMBER(AY188),ISNUMBER(AY190)),IFERROR(AY188/AY190,""),"")</f>
        <v>1.61885057471264</v>
      </c>
      <c r="AZ191" s="279">
        <f>IF(AND(ISNUMBER(AZ188),ISNUMBER(AZ190)),IFERROR(AZ188/AZ190,""),"")</f>
        <v>5.91087751371115</v>
      </c>
      <c r="BA191" s="279">
        <f>IF(AND(ISNUMBER(BA188),ISNUMBER(BA190)),IFERROR(BA188/BA190,""),"")</f>
        <v>1.80685502547476</v>
      </c>
      <c r="BB191" s="279">
        <f>IF(AND(ISNUMBER(BB188),ISNUMBER(BB190)),IFERROR(BB188/BB190,""),"")</f>
        <v>1.79084967320261</v>
      </c>
      <c r="BC191" s="279">
        <f>IF(AND(ISNUMBER(BC188),ISNUMBER(BC190)),IFERROR(BC188/BC190,""),"")</f>
        <v>1.97557538750587</v>
      </c>
      <c r="BD191" s="279">
        <f>IF(AND(ISNUMBER(BD188),ISNUMBER(BD190)),IFERROR(BD188/BD190,""),"")</f>
        <v>1.93336483931947</v>
      </c>
      <c r="BE191" s="279">
        <f>IF(AND(ISNUMBER(BE188),ISNUMBER(BE190)),IFERROR(BE188/BE190,""),"")</f>
        <v>7.5065543071161</v>
      </c>
      <c r="BF191" s="279">
        <f>IF(AND(ISNUMBER(BF188),ISNUMBER(BF190)),IFERROR(BF188/BF190,""),"")</f>
        <v>2.17935299714558</v>
      </c>
      <c r="BG191" s="279">
        <f>IF(AND(ISNUMBER(BG188),ISNUMBER(BG190)),IFERROR(BG188/BG190,""),"")</f>
        <v>2.09460105112279</v>
      </c>
      <c r="BH191" s="279">
        <f>IF(AND(ISNUMBER(BH188),ISNUMBER(BH190)),IFERROR(BH188/BH190,""),"")</f>
        <v>2.16298076923077</v>
      </c>
      <c r="BI191" s="279">
        <f>IF(AND(ISNUMBER(BI188),ISNUMBER(BI190)),IFERROR(BI188/BI190,""),"")</f>
        <v>2.33220338983051</v>
      </c>
      <c r="BJ191" s="279">
        <f>IF(AND(ISNUMBER(BJ188),ISNUMBER(BJ190)),IFERROR(BJ188/BJ190,""),"")</f>
        <v>8.7673860911271</v>
      </c>
      <c r="BK191" s="279">
        <f>IF(AND(ISNUMBER(BK188),ISNUMBER(BK190)),IFERROR(BK188/BK190,""),"")</f>
        <v>2.41466992665037</v>
      </c>
      <c r="BL191" s="279">
        <f>IF(AND(ISNUMBER(BL188),ISNUMBER(BL190)),IFERROR(BL188/BL190,""),"")</f>
        <v>2.50956351152526</v>
      </c>
      <c r="BM191" s="279">
        <f>IF(AND(ISNUMBER(BM188),ISNUMBER(BM190)),IFERROR(BM188/BM190,""),"")</f>
        <v>2.41941843272548</v>
      </c>
      <c r="BN191" s="279">
        <f>IF(AND(ISNUMBER(BN188),ISNUMBER(BN190)),IFERROR(BN188/BN190,""),"")</f>
        <v>2.70843734398402</v>
      </c>
      <c r="BO191" s="279">
        <f>IF(AND(ISNUMBER(BO188),ISNUMBER(BO190)),IFERROR(BO188/BO190,""),"")</f>
        <v>10.0487925086249</v>
      </c>
      <c r="BP191" s="279">
        <f>IF(AND(ISNUMBER(BP188),ISNUMBER(BP190)),IFERROR(BP188/BP190,""),"")</f>
        <v>2.75214105793451</v>
      </c>
      <c r="BQ191" s="279">
        <f>IF(AND(ISNUMBER(BQ188),ISNUMBER(BQ190)),IFERROR(BQ188/BQ190,""),"")</f>
        <v>2.75683890577508</v>
      </c>
      <c r="BR191" s="279">
        <f>IF(AND(ISNUMBER(BR188),ISNUMBER(BR190)),IFERROR(BR188/BR190,""),"")</f>
        <v>2.97805002552323</v>
      </c>
      <c r="BS191" s="279">
        <f>IF(AND(ISNUMBER(BS188),ISNUMBER(BS190)),IFERROR(BS188/BS190,""),"")</f>
        <v>2.98354755784062</v>
      </c>
      <c r="BT191" s="279">
        <f>IF(AND(ISNUMBER(BT188),ISNUMBER(BT190)),IFERROR(BT188/BT190,""),"")</f>
        <v>11.4659206510682</v>
      </c>
      <c r="BU191" s="279">
        <f>IF(AND(ISNUMBER(BU188),ISNUMBER(BU190)),IFERROR(BU188/BU190,""),"")</f>
        <v>3.168132436627</v>
      </c>
      <c r="BV191" s="279">
        <f>IF(AND(ISNUMBER(BV188),ISNUMBER(BV190)),IFERROR(BV188/BV190,""),"")</f>
        <v>3.31002087682672</v>
      </c>
      <c r="BW191" s="279">
        <f>IF(AND(ISNUMBER(BW188),ISNUMBER(BW190)),IFERROR(BW188/BW190,""),"")</f>
        <v>3.31717597471022</v>
      </c>
      <c r="BX191" s="279">
        <f>IF(AND(ISNUMBER(BX188),ISNUMBER(BX190)),IFERROR(BX188/BX190,""),"")</f>
        <v>3.3972</v>
      </c>
      <c r="BY191" s="279">
        <f>IF(AND(ISNUMBER(BY188),ISNUMBER(BY190)),IFERROR(BY188/BY190,""),"")</f>
        <v>13.1895725160434</v>
      </c>
      <c r="BZ191" s="279">
        <f>IF(AND(ISNUMBER(BZ188),ISNUMBER(BZ190)),IFERROR(BZ188/BZ190,""),"")</f>
        <v>15.0188267997288</v>
      </c>
      <c r="CA191" s="279">
        <f>IF(AND(ISNUMBER(CA188),ISNUMBER(CA190)),IFERROR(CA188/CA190,""),"")</f>
        <v>17.1357851488669</v>
      </c>
      <c r="CB191" s="279">
        <f>IF(AND(ISNUMBER(CB188),ISNUMBER(CB190)),IFERROR(CB188/CB190,""),"")</f>
        <v>19.5132272354453</v>
      </c>
      <c r="CC191" s="279">
        <f>IF(AND(ISNUMBER(CC188),ISNUMBER(CC190)),IFERROR(CC188/CC190,""),"")</f>
        <v>22.029176554172</v>
      </c>
      <c r="CD191" s="279">
        <f>IF(AND(ISNUMBER(CD188),ISNUMBER(CD190)),IFERROR(CD188/CD190,""),"")</f>
        <v>24.9156979404699</v>
      </c>
      <c r="CE191" s="19" t="n"/>
      <c r="CG191" s="20">
        <f>IFERROR((CD191/BY191)^(1/5)-1,"n/m")</f>
        <v>0.135660360928385</v>
      </c>
      <c r="CH191" s="20">
        <f>IFERROR((BT191/AU191)^(1/5)-1,"n/m")</f>
        <v>0.178909257841408</v>
      </c>
      <c r="CI191" s="20">
        <f>IFERROR((BT191/V191)^(1/10)-1,"n/m")</f>
        <v>0.159061049751726</v>
      </c>
      <c r="CJ191" s="20">
        <f>IFERROR((BT191/C191)^(1/17)-1,"n/m")</f>
        <v>0.193277624923151</v>
      </c>
    </row>
    <row r="192" ht="15" customHeight="1" s="251">
      <c r="B192" s="156" t="inlineStr">
        <is>
          <t xml:space="preserve">  Company-published non-GAAP EPS ($, split-adjusted)</t>
        </is>
      </c>
      <c r="C192" s="280" t="n">
        <v>0.5625</v>
      </c>
      <c r="D192" s="280" t="n">
        <v>0.8075</v>
      </c>
      <c r="E192" s="280" t="n">
        <v>0.9775</v>
      </c>
      <c r="F192" s="280" t="n">
        <v>1.2475</v>
      </c>
      <c r="G192" s="280" t="n">
        <v>1.55</v>
      </c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80" t="n">
        <v>0.545</v>
      </c>
      <c r="Q192" s="280" t="n">
        <v>2.2675</v>
      </c>
      <c r="R192" s="27" t="n"/>
      <c r="S192" s="27" t="n"/>
      <c r="T192" s="280" t="n">
        <v>0.74</v>
      </c>
      <c r="U192" s="27" t="n"/>
      <c r="V192" s="280" t="n">
        <v>2.62</v>
      </c>
      <c r="W192" s="280" t="n">
        <v>0.6899999999999999</v>
      </c>
      <c r="X192" s="280" t="n">
        <v>0.68</v>
      </c>
      <c r="Y192" s="280" t="n">
        <v>0.6899999999999999</v>
      </c>
      <c r="Z192" s="280" t="n">
        <v>0.78</v>
      </c>
      <c r="AA192" s="280" t="n">
        <v>2.84</v>
      </c>
      <c r="AB192" s="27" t="n"/>
      <c r="AC192" s="280" t="n">
        <v>0.86</v>
      </c>
      <c r="AD192" s="27" t="n"/>
      <c r="AE192" s="27" t="n"/>
      <c r="AF192" s="280" t="n">
        <v>3.48</v>
      </c>
      <c r="AG192" s="280" t="n">
        <v>1.08</v>
      </c>
      <c r="AH192" s="27" t="n"/>
      <c r="AI192" s="280" t="n">
        <v>1.2</v>
      </c>
      <c r="AJ192" s="280" t="n">
        <v>1.21</v>
      </c>
      <c r="AK192" s="280" t="n">
        <v>4.61</v>
      </c>
      <c r="AL192" s="27" t="n"/>
      <c r="AM192" s="27" t="n"/>
      <c r="AN192" s="27" t="n"/>
      <c r="AO192" s="280" t="n">
        <v>1.47</v>
      </c>
      <c r="AP192" s="280" t="n">
        <v>5.44</v>
      </c>
      <c r="AQ192" s="280" t="n">
        <v>1.46</v>
      </c>
      <c r="AR192" s="280" t="n">
        <v>1.39</v>
      </c>
      <c r="AS192" s="280" t="n">
        <v>1.06</v>
      </c>
      <c r="AT192" s="280" t="n">
        <v>1.12</v>
      </c>
      <c r="AU192" s="280" t="n">
        <v>5.04</v>
      </c>
      <c r="AV192" s="280" t="n">
        <v>1.42</v>
      </c>
      <c r="AW192" s="280" t="n">
        <v>1.38</v>
      </c>
      <c r="AX192" s="280" t="n">
        <v>1.49</v>
      </c>
      <c r="AY192" s="280" t="n">
        <v>1.62</v>
      </c>
      <c r="AZ192" s="280" t="n">
        <v>5.91</v>
      </c>
      <c r="BA192" s="280" t="n">
        <v>1.81</v>
      </c>
      <c r="BB192" s="280" t="n">
        <v>1.79</v>
      </c>
      <c r="BC192" s="280" t="n">
        <v>1.98</v>
      </c>
      <c r="BD192" s="280" t="n">
        <v>1.93</v>
      </c>
      <c r="BE192" s="280" t="n">
        <v>7.5</v>
      </c>
      <c r="BF192" s="280" t="n">
        <v>2.18</v>
      </c>
      <c r="BG192" s="280" t="n">
        <v>2.09</v>
      </c>
      <c r="BH192" s="280" t="n">
        <v>2.16</v>
      </c>
      <c r="BI192" s="280" t="n">
        <v>2.33</v>
      </c>
      <c r="BJ192" s="280" t="n">
        <v>8.77</v>
      </c>
      <c r="BK192" s="280" t="n">
        <v>2.41</v>
      </c>
      <c r="BL192" s="280" t="n">
        <v>2.51</v>
      </c>
      <c r="BM192" s="280" t="n">
        <v>2.42</v>
      </c>
      <c r="BN192" s="280" t="n">
        <v>2.71</v>
      </c>
      <c r="BO192" s="280" t="n">
        <v>10.05</v>
      </c>
      <c r="BP192" s="280" t="n">
        <v>2.75</v>
      </c>
      <c r="BQ192" s="280" t="n">
        <v>2.76</v>
      </c>
      <c r="BR192" s="280" t="n">
        <v>2.98</v>
      </c>
      <c r="BS192" s="280" t="n">
        <v>2.98</v>
      </c>
      <c r="BT192" s="280" t="n">
        <v>11.47</v>
      </c>
      <c r="BU192" s="280" t="n">
        <v>3.17</v>
      </c>
      <c r="BV192" s="280" t="n">
        <v>3.31</v>
      </c>
      <c r="BW192" s="280" t="n">
        <v>3.32</v>
      </c>
      <c r="BX192" s="153" t="n"/>
      <c r="BY192" s="153" t="n"/>
      <c r="BZ192" s="153" t="n"/>
      <c r="CA192" s="153" t="n"/>
      <c r="CB192" s="153" t="n"/>
      <c r="CC192" s="153" t="n"/>
      <c r="CD192" s="153" t="n"/>
      <c r="CE192" s="153" t="n"/>
    </row>
    <row r="193" ht="15" customHeight="1" s="251">
      <c r="B193" s="57" t="inlineStr">
        <is>
          <t xml:space="preserve">  Check: model vs company-published (should be 0.00; ±0.015 rounding)</t>
        </is>
      </c>
      <c r="C193" s="281">
        <f>IF(AND(ISNUMBER(C192),ISNUMBER(C191)),IF(ABS(C191-C192)&lt;=0.0151,0,ROUND(C191-C192,2)),"n/p")</f>
        <v>0</v>
      </c>
      <c r="D193" s="281">
        <f>IF(AND(ISNUMBER(D192),ISNUMBER(D191)),IF(ABS(D191-D192)&lt;=0.0151,0,ROUND(D191-D192,2)),"n/p")</f>
        <v>0</v>
      </c>
      <c r="E193" s="281">
        <f>IF(AND(ISNUMBER(E192),ISNUMBER(E191)),IF(ABS(E191-E192)&lt;=0.0151,0,ROUND(E191-E192,2)),"n/p")</f>
        <v>0</v>
      </c>
      <c r="F193" s="281">
        <f>IF(AND(ISNUMBER(F192),ISNUMBER(F191)),IF(ABS(F191-F192)&lt;=0.0151,0,ROUND(F191-F192,2)),"n/p")</f>
        <v>0</v>
      </c>
      <c r="G193" s="281">
        <f>IF(AND(ISNUMBER(G192),ISNUMBER(G191)),IF(ABS(G191-G192)&lt;=0.0151,0,ROUND(G191-G192,2)),"n/p")</f>
        <v>0</v>
      </c>
      <c r="H193" s="281" t="str">
        <f>IF(AND(ISNUMBER(H192),ISNUMBER(H191)),IF(ABS(H191-H192)&lt;=0.0151,0,ROUND(H191-H192,2)),"n/p")</f>
        <v>n/p</v>
      </c>
      <c r="I193" s="281" t="str">
        <f>IF(AND(ISNUMBER(I192),ISNUMBER(I191)),IF(ABS(I191-I192)&lt;=0.0151,0,ROUND(I191-I192,2)),"n/p")</f>
        <v>n/p</v>
      </c>
      <c r="J193" s="281" t="str">
        <f>IF(AND(ISNUMBER(J192),ISNUMBER(J191)),IF(ABS(J191-J192)&lt;=0.0151,0,ROUND(J191-J192,2)),"n/p")</f>
        <v>n/p</v>
      </c>
      <c r="K193" s="281" t="str">
        <f>IF(AND(ISNUMBER(K192),ISNUMBER(K191)),IF(ABS(K191-K192)&lt;=0.0151,0,ROUND(K191-K192,2)),"n/p")</f>
        <v>n/p</v>
      </c>
      <c r="L193" s="281" t="str">
        <f>IF(AND(ISNUMBER(L192),ISNUMBER(L191)),IF(ABS(L191-L192)&lt;=0.0151,0,ROUND(L191-L192,2)),"n/p")</f>
        <v>n/p</v>
      </c>
      <c r="M193" s="281" t="str">
        <f>IF(AND(ISNUMBER(M192),ISNUMBER(M191)),IF(ABS(M191-M192)&lt;=0.0151,0,ROUND(M191-M192,2)),"n/p")</f>
        <v>n/p</v>
      </c>
      <c r="N193" s="281" t="str">
        <f>IF(AND(ISNUMBER(N192),ISNUMBER(N191)),IF(ABS(N191-N192)&lt;=0.0151,0,ROUND(N191-N192,2)),"n/p")</f>
        <v>n/p</v>
      </c>
      <c r="O193" s="281" t="str">
        <f>IF(AND(ISNUMBER(O192),ISNUMBER(O191)),IF(ABS(O191-O192)&lt;=0.0151,0,ROUND(O191-O192,2)),"n/p")</f>
        <v>n/p</v>
      </c>
      <c r="P193" s="281">
        <f>IF(AND(ISNUMBER(P192),ISNUMBER(P191)),IF(ABS(P191-P192)&lt;=0.0151,0,ROUND(P191-P192,2)),"n/p")</f>
        <v>0</v>
      </c>
      <c r="Q193" s="281">
        <f>IF(AND(ISNUMBER(Q192),ISNUMBER(Q191)),IF(ABS(Q191-Q192)&lt;=0.0151,0,ROUND(Q191-Q192,2)),"n/p")</f>
        <v>0</v>
      </c>
      <c r="R193" s="281" t="str">
        <f>IF(AND(ISNUMBER(R192),ISNUMBER(R191)),IF(ABS(R191-R192)&lt;=0.0151,0,ROUND(R191-R192,2)),"n/p")</f>
        <v>n/p</v>
      </c>
      <c r="S193" s="281" t="str">
        <f>IF(AND(ISNUMBER(S192),ISNUMBER(S191)),IF(ABS(S191-S192)&lt;=0.0151,0,ROUND(S191-S192,2)),"n/p")</f>
        <v>n/p</v>
      </c>
      <c r="T193" s="281">
        <f>IF(AND(ISNUMBER(T192),ISNUMBER(T191)),IF(ABS(T191-T192)&lt;=0.0151,0,ROUND(T191-T192,2)),"n/p")</f>
        <v>0</v>
      </c>
      <c r="U193" s="281" t="str">
        <f>IF(AND(ISNUMBER(U192),ISNUMBER(U191)),IF(ABS(U191-U192)&lt;=0.0151,0,ROUND(U191-U192,2)),"n/p")</f>
        <v>n/p</v>
      </c>
      <c r="V193" s="281">
        <f>IF(AND(ISNUMBER(V192),ISNUMBER(V191)),IF(ABS(V191-V192)&lt;=0.0151,0,ROUND(V191-V192,2)),"n/p")</f>
        <v>0</v>
      </c>
      <c r="W193" s="281">
        <f>IF(AND(ISNUMBER(W192),ISNUMBER(W191)),IF(ABS(W191-W192)&lt;=0.0151,0,ROUND(W191-W192,2)),"n/p")</f>
        <v>0</v>
      </c>
      <c r="X193" s="281">
        <f>IF(AND(ISNUMBER(X192),ISNUMBER(X191)),IF(ABS(X191-X192)&lt;=0.0151,0,ROUND(X191-X192,2)),"n/p")</f>
        <v>0</v>
      </c>
      <c r="Y193" s="281">
        <f>IF(AND(ISNUMBER(Y192),ISNUMBER(Y191)),IF(ABS(Y191-Y192)&lt;=0.0151,0,ROUND(Y191-Y192,2)),"n/p")</f>
        <v>0</v>
      </c>
      <c r="Z193" s="281">
        <f>IF(AND(ISNUMBER(Z192),ISNUMBER(Z191)),IF(ABS(Z191-Z192)&lt;=0.0151,0,ROUND(Z191-Z192,2)),"n/p")</f>
        <v>0</v>
      </c>
      <c r="AA193" s="281">
        <f>IF(AND(ISNUMBER(AA192),ISNUMBER(AA191)),IF(ABS(AA191-AA192)&lt;=0.0151,0,ROUND(AA191-AA192,2)),"n/p")</f>
        <v>0</v>
      </c>
      <c r="AB193" s="281" t="str">
        <f>IF(AND(ISNUMBER(AB192),ISNUMBER(AB191)),IF(ABS(AB191-AB192)&lt;=0.0151,0,ROUND(AB191-AB192,2)),"n/p")</f>
        <v>n/p</v>
      </c>
      <c r="AC193" s="281">
        <f>IF(AND(ISNUMBER(AC192),ISNUMBER(AC191)),IF(ABS(AC191-AC192)&lt;=0.0151,0,ROUND(AC191-AC192,2)),"n/p")</f>
        <v>0</v>
      </c>
      <c r="AD193" s="281" t="str">
        <f>IF(AND(ISNUMBER(AD192),ISNUMBER(AD191)),IF(ABS(AD191-AD192)&lt;=0.0151,0,ROUND(AD191-AD192,2)),"n/p")</f>
        <v>n/p</v>
      </c>
      <c r="AE193" s="281" t="str">
        <f>IF(AND(ISNUMBER(AE192),ISNUMBER(AE191)),IF(ABS(AE191-AE192)&lt;=0.0151,0,ROUND(AE191-AE192,2)),"n/p")</f>
        <v>n/p</v>
      </c>
      <c r="AF193" s="281">
        <f>IF(AND(ISNUMBER(AF192),ISNUMBER(AF191)),IF(ABS(AF191-AF192)&lt;=0.0151,0,ROUND(AF191-AF192,2)),"n/p")</f>
        <v>0</v>
      </c>
      <c r="AG193" s="281">
        <f>IF(AND(ISNUMBER(AG192),ISNUMBER(AG191)),IF(ABS(AG191-AG192)&lt;=0.0151,0,ROUND(AG191-AG192,2)),"n/p")</f>
        <v>0</v>
      </c>
      <c r="AH193" s="281" t="str">
        <f>IF(AND(ISNUMBER(AH192),ISNUMBER(AH191)),IF(ABS(AH191-AH192)&lt;=0.0151,0,ROUND(AH191-AH192,2)),"n/p")</f>
        <v>n/p</v>
      </c>
      <c r="AI193" s="281">
        <f>IF(AND(ISNUMBER(AI192),ISNUMBER(AI191)),IF(ABS(AI191-AI192)&lt;=0.0151,0,ROUND(AI191-AI192,2)),"n/p")</f>
        <v>0</v>
      </c>
      <c r="AJ193" s="281">
        <f>IF(AND(ISNUMBER(AJ192),ISNUMBER(AJ191)),IF(ABS(AJ191-AJ192)&lt;=0.0151,0,ROUND(AJ191-AJ192,2)),"n/p")</f>
        <v>0</v>
      </c>
      <c r="AK193" s="281">
        <f>IF(AND(ISNUMBER(AK192),ISNUMBER(AK191)),IF(ABS(AK191-AK192)&lt;=0.0151,0,ROUND(AK191-AK192,2)),"n/p")</f>
        <v>0</v>
      </c>
      <c r="AL193" s="281" t="str">
        <f>IF(AND(ISNUMBER(AL192),ISNUMBER(AL191)),IF(ABS(AL191-AL192)&lt;=0.0151,0,ROUND(AL191-AL192,2)),"n/p")</f>
        <v>n/p</v>
      </c>
      <c r="AM193" s="281" t="str">
        <f>IF(AND(ISNUMBER(AM192),ISNUMBER(AM191)),IF(ABS(AM191-AM192)&lt;=0.0151,0,ROUND(AM191-AM192,2)),"n/p")</f>
        <v>n/p</v>
      </c>
      <c r="AN193" s="281" t="str">
        <f>IF(AND(ISNUMBER(AN192),ISNUMBER(AN191)),IF(ABS(AN191-AN192)&lt;=0.0151,0,ROUND(AN191-AN192,2)),"n/p")</f>
        <v>n/p</v>
      </c>
      <c r="AO193" s="281">
        <f>IF(AND(ISNUMBER(AO192),ISNUMBER(AO191)),IF(ABS(AO191-AO192)&lt;=0.0151,0,ROUND(AO191-AO192,2)),"n/p")</f>
        <v>0</v>
      </c>
      <c r="AP193" s="281">
        <f>IF(AND(ISNUMBER(AP192),ISNUMBER(AP191)),IF(ABS(AP191-AP192)&lt;=0.0151,0,ROUND(AP191-AP192,2)),"n/p")</f>
        <v>0</v>
      </c>
      <c r="AQ193" s="281">
        <f>IF(AND(ISNUMBER(AQ192),ISNUMBER(AQ191)),IF(ABS(AQ191-AQ192)&lt;=0.0151,0,ROUND(AQ191-AQ192,2)),"n/p")</f>
        <v>0</v>
      </c>
      <c r="AR193" s="281">
        <f>IF(AND(ISNUMBER(AR192),ISNUMBER(AR191)),IF(ABS(AR191-AR192)&lt;=0.0151,0,ROUND(AR191-AR192,2)),"n/p")</f>
        <v>0</v>
      </c>
      <c r="AS193" s="281">
        <f>IF(AND(ISNUMBER(AS192),ISNUMBER(AS191)),IF(ABS(AS191-AS192)&lt;=0.0151,0,ROUND(AS191-AS192,2)),"n/p")</f>
        <v>0</v>
      </c>
      <c r="AT193" s="281">
        <f>IF(AND(ISNUMBER(AT192),ISNUMBER(AT191)),IF(ABS(AT191-AT192)&lt;=0.0151,0,ROUND(AT191-AT192,2)),"n/p")</f>
        <v>0</v>
      </c>
      <c r="AU193" s="281">
        <f>IF(AND(ISNUMBER(AU192),ISNUMBER(AU191)),IF(ABS(AU191-AU192)&lt;=0.0151,0,ROUND(AU191-AU192,2)),"n/p")</f>
        <v>0</v>
      </c>
      <c r="AV193" s="281">
        <f>IF(AND(ISNUMBER(AV192),ISNUMBER(AV191)),IF(ABS(AV191-AV192)&lt;=0.0151,0,ROUND(AV191-AV192,2)),"n/p")</f>
        <v>0</v>
      </c>
      <c r="AW193" s="281">
        <f>IF(AND(ISNUMBER(AW192),ISNUMBER(AW191)),IF(ABS(AW191-AW192)&lt;=0.0151,0,ROUND(AW191-AW192,2)),"n/p")</f>
        <v>0</v>
      </c>
      <c r="AX193" s="281">
        <f>IF(AND(ISNUMBER(AX192),ISNUMBER(AX191)),IF(ABS(AX191-AX192)&lt;=0.0151,0,ROUND(AX191-AX192,2)),"n/p")</f>
        <v>0</v>
      </c>
      <c r="AY193" s="281">
        <f>IF(AND(ISNUMBER(AY192),ISNUMBER(AY191)),IF(ABS(AY191-AY192)&lt;=0.0151,0,ROUND(AY191-AY192,2)),"n/p")</f>
        <v>0</v>
      </c>
      <c r="AZ193" s="281">
        <f>IF(AND(ISNUMBER(AZ192),ISNUMBER(AZ191)),IF(ABS(AZ191-AZ192)&lt;=0.0151,0,ROUND(AZ191-AZ192,2)),"n/p")</f>
        <v>0</v>
      </c>
      <c r="BA193" s="281">
        <f>IF(AND(ISNUMBER(BA192),ISNUMBER(BA191)),IF(ABS(BA191-BA192)&lt;=0.0151,0,ROUND(BA191-BA192,2)),"n/p")</f>
        <v>0</v>
      </c>
      <c r="BB193" s="281">
        <f>IF(AND(ISNUMBER(BB192),ISNUMBER(BB191)),IF(ABS(BB191-BB192)&lt;=0.0151,0,ROUND(BB191-BB192,2)),"n/p")</f>
        <v>0</v>
      </c>
      <c r="BC193" s="281">
        <f>IF(AND(ISNUMBER(BC192),ISNUMBER(BC191)),IF(ABS(BC191-BC192)&lt;=0.0151,0,ROUND(BC191-BC192,2)),"n/p")</f>
        <v>0</v>
      </c>
      <c r="BD193" s="281">
        <f>IF(AND(ISNUMBER(BD192),ISNUMBER(BD191)),IF(ABS(BD191-BD192)&lt;=0.0151,0,ROUND(BD191-BD192,2)),"n/p")</f>
        <v>0</v>
      </c>
      <c r="BE193" s="281">
        <f>IF(AND(ISNUMBER(BE192),ISNUMBER(BE191)),IF(ABS(BE191-BE192)&lt;=0.0151,0,ROUND(BE191-BE192,2)),"n/p")</f>
        <v>0</v>
      </c>
      <c r="BF193" s="281">
        <f>IF(AND(ISNUMBER(BF192),ISNUMBER(BF191)),IF(ABS(BF191-BF192)&lt;=0.0151,0,ROUND(BF191-BF192,2)),"n/p")</f>
        <v>0</v>
      </c>
      <c r="BG193" s="281">
        <f>IF(AND(ISNUMBER(BG192),ISNUMBER(BG191)),IF(ABS(BG191-BG192)&lt;=0.0151,0,ROUND(BG191-BG192,2)),"n/p")</f>
        <v>0</v>
      </c>
      <c r="BH193" s="281">
        <f>IF(AND(ISNUMBER(BH192),ISNUMBER(BH191)),IF(ABS(BH191-BH192)&lt;=0.0151,0,ROUND(BH191-BH192,2)),"n/p")</f>
        <v>0</v>
      </c>
      <c r="BI193" s="281">
        <f>IF(AND(ISNUMBER(BI192),ISNUMBER(BI191)),IF(ABS(BI191-BI192)&lt;=0.0151,0,ROUND(BI191-BI192,2)),"n/p")</f>
        <v>0</v>
      </c>
      <c r="BJ193" s="281">
        <f>IF(AND(ISNUMBER(BJ192),ISNUMBER(BJ191)),IF(ABS(BJ191-BJ192)&lt;=0.0151,0,ROUND(BJ191-BJ192,2)),"n/p")</f>
        <v>0</v>
      </c>
      <c r="BK193" s="281">
        <f>IF(AND(ISNUMBER(BK192),ISNUMBER(BK191)),IF(ABS(BK191-BK192)&lt;=0.0151,0,ROUND(BK191-BK192,2)),"n/p")</f>
        <v>0</v>
      </c>
      <c r="BL193" s="281">
        <f>IF(AND(ISNUMBER(BL192),ISNUMBER(BL191)),IF(ABS(BL191-BL192)&lt;=0.0151,0,ROUND(BL191-BL192,2)),"n/p")</f>
        <v>0</v>
      </c>
      <c r="BM193" s="281">
        <f>IF(AND(ISNUMBER(BM192),ISNUMBER(BM191)),IF(ABS(BM191-BM192)&lt;=0.0151,0,ROUND(BM191-BM192,2)),"n/p")</f>
        <v>0</v>
      </c>
      <c r="BN193" s="281">
        <f>IF(AND(ISNUMBER(BN192),ISNUMBER(BN191)),IF(ABS(BN191-BN192)&lt;=0.0151,0,ROUND(BN191-BN192,2)),"n/p")</f>
        <v>0</v>
      </c>
      <c r="BO193" s="281">
        <f>IF(AND(ISNUMBER(BO192),ISNUMBER(BO191)),IF(ABS(BO191-BO192)&lt;=0.0151,0,ROUND(BO191-BO192,2)),"n/p")</f>
        <v>0</v>
      </c>
      <c r="BP193" s="281">
        <f>IF(AND(ISNUMBER(BP192),ISNUMBER(BP191)),IF(ABS(BP191-BP192)&lt;=0.0151,0,ROUND(BP191-BP192,2)),"n/p")</f>
        <v>0</v>
      </c>
      <c r="BQ193" s="281">
        <f>IF(AND(ISNUMBER(BQ192),ISNUMBER(BQ191)),IF(ABS(BQ191-BQ192)&lt;=0.0151,0,ROUND(BQ191-BQ192,2)),"n/p")</f>
        <v>0</v>
      </c>
      <c r="BR193" s="281">
        <f>IF(AND(ISNUMBER(BR192),ISNUMBER(BR191)),IF(ABS(BR191-BR192)&lt;=0.0151,0,ROUND(BR191-BR192,2)),"n/p")</f>
        <v>0</v>
      </c>
      <c r="BS193" s="281">
        <f>IF(AND(ISNUMBER(BS192),ISNUMBER(BS191)),IF(ABS(BS191-BS192)&lt;=0.0151,0,ROUND(BS191-BS192,2)),"n/p")</f>
        <v>0</v>
      </c>
      <c r="BT193" s="281">
        <f>IF(AND(ISNUMBER(BT192),ISNUMBER(BT191)),IF(ABS(BT191-BT192)&lt;=0.0151,0,ROUND(BT191-BT192,2)),"n/p")</f>
        <v>0</v>
      </c>
      <c r="BU193" s="281">
        <f>IF(AND(ISNUMBER(BU192),ISNUMBER(BU191)),IF(ABS(BU191-BU192)&lt;=0.0151,0,ROUND(BU191-BU192,2)),"n/p")</f>
        <v>0</v>
      </c>
      <c r="BV193" s="281">
        <f>IF(AND(ISNUMBER(BV192),ISNUMBER(BV191)),IF(ABS(BV191-BV192)&lt;=0.0151,0,ROUND(BV191-BV192,2)),"n/p")</f>
        <v>0</v>
      </c>
      <c r="BW193" s="281">
        <f>IF(AND(ISNUMBER(BW192),ISNUMBER(BW191)),IF(ABS(BW191-BW192)&lt;=0.0151,0,ROUND(BW191-BW192,2)),"n/p")</f>
        <v>0</v>
      </c>
      <c r="BX193" s="153" t="n"/>
      <c r="BY193" s="153" t="n"/>
      <c r="BZ193" s="153" t="n"/>
      <c r="CA193" s="153" t="n"/>
      <c r="CB193" s="153" t="n"/>
      <c r="CC193" s="153" t="n"/>
      <c r="CD193" s="153" t="n"/>
      <c r="CE193" s="153" t="n"/>
    </row>
    <row r="194" ht="15" customHeight="1" s="251">
      <c r="B194" s="22" t="inlineStr">
        <is>
          <t xml:space="preserve">  Non-GAAP EPS y/y %</t>
        </is>
      </c>
      <c r="C194" s="23" t="n"/>
      <c r="D194" s="255">
        <f>IF(AND(ISNUMBER(D191),ISNUMBER(C191)),IFERROR(D191/C191-1,""),"")</f>
        <v>0.419968591173848</v>
      </c>
      <c r="E194" s="255">
        <f>IF(AND(ISNUMBER(E191),ISNUMBER(D191)),IFERROR(E191/D191-1,""),"")</f>
        <v>0.209651136052075</v>
      </c>
      <c r="F194" s="255">
        <f>IF(AND(ISNUMBER(F191),ISNUMBER(E191)),IFERROR(F191/E191-1,""),"")</f>
        <v>0.277340896542027</v>
      </c>
      <c r="G194" s="255">
        <f>IF(AND(ISNUMBER(G191),ISNUMBER(F191)),IFERROR(G191/F191-1,""),"")</f>
        <v>0.242282975136958</v>
      </c>
      <c r="H194" s="23" t="n"/>
      <c r="I194" s="23" t="n"/>
      <c r="J194" s="23" t="n"/>
      <c r="K194" s="23" t="n"/>
      <c r="L194" s="255">
        <f>IF(AND(ISNUMBER(L191),ISNUMBER(G191)),IFERROR(L191/G191-1,""),"")</f>
        <v>0.224604376664752</v>
      </c>
      <c r="M194" s="255">
        <f>IF(AND(ISNUMBER(M191),ISNUMBER(H191)),IFERROR(M191/H191-1,""),"")</f>
        <v>0.139254708451793</v>
      </c>
      <c r="N194" s="255">
        <f>IF(AND(ISNUMBER(N191),ISNUMBER(I191)),IFERROR(N191/I191-1,""),"")</f>
        <v>0.309868600809757</v>
      </c>
      <c r="O194" s="255">
        <f>IF(AND(ISNUMBER(O191),ISNUMBER(J191)),IFERROR(O191/J191-1,""),"")</f>
        <v>0.150864422202002</v>
      </c>
      <c r="P194" s="255">
        <f>IF(AND(ISNUMBER(P191),ISNUMBER(K191)),IFERROR(P191/K191-1,""),"")</f>
        <v>0.175929417087701</v>
      </c>
      <c r="Q194" s="255">
        <f>IF(AND(ISNUMBER(Q191),ISNUMBER(L191)),IFERROR(Q191/L191-1,""),"")</f>
        <v>0.194310045252325</v>
      </c>
      <c r="R194" s="255">
        <f>IF(AND(ISNUMBER(R191),ISNUMBER(M191)),IFERROR(R191/M191-1,""),"")</f>
        <v>0.151168918849096</v>
      </c>
      <c r="S194" s="255">
        <f>IF(AND(ISNUMBER(S191),ISNUMBER(N191)),IFERROR(S191/N191-1,""),"")</f>
        <v>-7.1227245438843e-05</v>
      </c>
      <c r="T194" s="255">
        <f>IF(AND(ISNUMBER(T191),ISNUMBER(O191)),IFERROR(T191/O191-1,""),"")</f>
        <v>0.363413110342176</v>
      </c>
      <c r="U194" s="255">
        <f>IF(AND(ISNUMBER(U191),ISNUMBER(P191)),IFERROR(U191/P191-1,""),"")</f>
        <v>0.138807485855216</v>
      </c>
      <c r="V194" s="255">
        <f>IF(AND(ISNUMBER(V191),ISNUMBER(Q191)),IFERROR(V191/Q191-1,""),"")</f>
        <v>0.15601433273169</v>
      </c>
      <c r="W194" s="255">
        <f>IF(AND(ISNUMBER(W191),ISNUMBER(R191)),IFERROR(W191/R191-1,""),"")</f>
        <v>0.0949114400144782</v>
      </c>
      <c r="X194" s="255">
        <f>IF(AND(ISNUMBER(X191),ISNUMBER(S191)),IFERROR(X191/S191-1,""),"")</f>
        <v>0.0748102269215782</v>
      </c>
      <c r="Y194" s="255">
        <f>IF(AND(ISNUMBER(Y191),ISNUMBER(T191)),IFERROR(Y191/T191-1,""),"")</f>
        <v>-0.0716738621482722</v>
      </c>
      <c r="Z194" s="255">
        <f>IF(AND(ISNUMBER(Z191),ISNUMBER(U191)),IFERROR(Z191/U191-1,""),"")</f>
        <v>0.266534391534392</v>
      </c>
      <c r="AA194" s="255">
        <f>IF(AND(ISNUMBER(AA191),ISNUMBER(V191)),IFERROR(AA191/V191-1,""),"")</f>
        <v>0.0848448511363118</v>
      </c>
      <c r="AB194" s="255">
        <f>IF(AND(ISNUMBER(AB191),ISNUMBER(W191)),IFERROR(AB191/W191-1,""),"")</f>
        <v>0.232322163277725</v>
      </c>
      <c r="AC194" s="255">
        <f>IF(AND(ISNUMBER(AC191),ISNUMBER(X191)),IFERROR(AC191/X191-1,""),"")</f>
        <v>0.267962218275549</v>
      </c>
      <c r="AD194" s="255">
        <f>IF(AND(ISNUMBER(AD191),ISNUMBER(Y191)),IFERROR(AD191/Y191-1,""),"")</f>
        <v>0.259855236922919</v>
      </c>
      <c r="AE194" s="255">
        <f>IF(AND(ISNUMBER(AE191),ISNUMBER(Z191)),IFERROR(AE191/Z191-1,""),"")</f>
        <v>0.151471314656693</v>
      </c>
      <c r="AF194" s="255">
        <f>IF(AND(ISNUMBER(AF191),ISNUMBER(AA191)),IFERROR(AF191/AA191-1,""),"")</f>
        <v>0.224296586021227</v>
      </c>
      <c r="AG194" s="255">
        <f>IF(AND(ISNUMBER(AG191),ISNUMBER(AB191)),IFERROR(AG191/AB191-1,""),"")</f>
        <v>0.260525878157394</v>
      </c>
      <c r="AH194" s="255">
        <f>IF(AND(ISNUMBER(AH191),ISNUMBER(AC191)),IFERROR(AH191/AC191-1,""),"")</f>
        <v>0.298118445595726</v>
      </c>
      <c r="AI194" s="255">
        <f>IF(AND(ISNUMBER(AI191),ISNUMBER(AD191)),IFERROR(AI191/AD191-1,""),"")</f>
        <v>0.393388783577275</v>
      </c>
      <c r="AJ194" s="255">
        <f>IF(AND(ISNUMBER(AJ191),ISNUMBER(AE191)),IFERROR(AJ191/AE191-1,""),"")</f>
        <v>0.342252316175725</v>
      </c>
      <c r="AK194" s="255">
        <f>IF(AND(ISNUMBER(AK191),ISNUMBER(AF191)),IFERROR(AK191/AF191-1,""),"")</f>
        <v>0.323700309315552</v>
      </c>
      <c r="AL194" s="255">
        <f>IF(AND(ISNUMBER(AL191),ISNUMBER(AG191)),IFERROR(AL191/AG191-1,""),"")</f>
        <v>0.20566436074779</v>
      </c>
      <c r="AM194" s="255">
        <f>IF(AND(ISNUMBER(AM191),ISNUMBER(AH191)),IFERROR(AM191/AH191-1,""),"")</f>
        <v>0.17188634608404</v>
      </c>
      <c r="AN194" s="255">
        <f>IF(AND(ISNUMBER(AN191),ISNUMBER(AI191)),IFERROR(AN191/AI191-1,""),"")</f>
        <v>0.138133709052038</v>
      </c>
      <c r="AO194" s="255">
        <f>IF(AND(ISNUMBER(AO191),ISNUMBER(AJ191)),IFERROR(AO191/AJ191-1,""),"")</f>
        <v>0.211889154946481</v>
      </c>
      <c r="AP194" s="255">
        <f>IF(AND(ISNUMBER(AP191),ISNUMBER(AK191)),IFERROR(AP191/AK191-1,""),"")</f>
        <v>0.181588558520477</v>
      </c>
      <c r="AQ194" s="255">
        <f>IF(AND(ISNUMBER(AQ191),ISNUMBER(AL191)),IFERROR(AQ191/AL191-1,""),"")</f>
        <v>0.124117040165075</v>
      </c>
      <c r="AR194" s="255">
        <f>IF(AND(ISNUMBER(AR191),ISNUMBER(AM191)),IFERROR(AR191/AM191-1,""),"")</f>
        <v>0.0644658117982933</v>
      </c>
      <c r="AS194" s="255">
        <f>IF(AND(ISNUMBER(AS191),ISNUMBER(AN191)),IFERROR(AS191/AN191-1,""),"")</f>
        <v>-0.225713097182568</v>
      </c>
      <c r="AT194" s="255">
        <f>IF(AND(ISNUMBER(AT191),ISNUMBER(AO191)),IFERROR(AT191/AO191-1,""),"")</f>
        <v>-0.237869696373533</v>
      </c>
      <c r="AU194" s="255">
        <f>IF(AND(ISNUMBER(AU191),ISNUMBER(AP191)),IFERROR(AU191/AP191-1,""),"")</f>
        <v>-0.0749802459573369</v>
      </c>
      <c r="AV194" s="255">
        <f>IF(AND(ISNUMBER(AV191),ISNUMBER(AQ191)),IFERROR(AV191/AQ191-1,""),"")</f>
        <v>-0.0275616803734163</v>
      </c>
      <c r="AW194" s="255">
        <f>IF(AND(ISNUMBER(AW191),ISNUMBER(AR191)),IFERROR(AW191/AR191-1,""),"")</f>
        <v>-0.00601214557617302</v>
      </c>
      <c r="AX194" s="255">
        <f>IF(AND(ISNUMBER(AX191),ISNUMBER(AS191)),IFERROR(AX191/AS191-1,""),"")</f>
        <v>0.406359298988187</v>
      </c>
      <c r="AY194" s="255">
        <f>IF(AND(ISNUMBER(AY191),ISNUMBER(AT191)),IFERROR(AY191/AT191-1,""),"")</f>
        <v>0.44493528679925</v>
      </c>
      <c r="AZ194" s="255">
        <f>IF(AND(ISNUMBER(AZ191),ISNUMBER(AU191)),IFERROR(AZ191/AU191-1,""),"")</f>
        <v>0.173937345928696</v>
      </c>
      <c r="BA194" s="255">
        <f>IF(AND(ISNUMBER(BA191),ISNUMBER(AV191)),IFERROR(BA191/AV191-1,""),"")</f>
        <v>0.272025937934229</v>
      </c>
      <c r="BB194" s="255">
        <f>IF(AND(ISNUMBER(BB191),ISNUMBER(AW191)),IFERROR(BB191/AW191-1,""),"")</f>
        <v>0.295721983943693</v>
      </c>
      <c r="BC194" s="255">
        <f>IF(AND(ISNUMBER(BC191),ISNUMBER(AX191)),IFERROR(BC191/AX191-1,""),"")</f>
        <v>0.325140247639073</v>
      </c>
      <c r="BD194" s="255">
        <f>IF(AND(ISNUMBER(BD191),ISNUMBER(AY191)),IFERROR(BD191/AY191-1,""),"")</f>
        <v>0.194282455416032</v>
      </c>
      <c r="BE194" s="255">
        <f>IF(AND(ISNUMBER(BE191),ISNUMBER(AZ191)),IFERROR(BE191/AZ191-1,""),"")</f>
        <v>0.269955990409807</v>
      </c>
      <c r="BF194" s="255">
        <f>IF(AND(ISNUMBER(BF191),ISNUMBER(BA191)),IFERROR(BF191/BA191-1,""),"")</f>
        <v>0.206158195549166</v>
      </c>
      <c r="BG194" s="255">
        <f>IF(AND(ISNUMBER(BG191),ISNUMBER(BB191)),IFERROR(BG191/BB191-1,""),"")</f>
        <v>0.169612995699952</v>
      </c>
      <c r="BH194" s="255">
        <f>IF(AND(ISNUMBER(BH191),ISNUMBER(BC191)),IFERROR(BH191/BC191-1,""),"")</f>
        <v>0.094861164453711</v>
      </c>
      <c r="BI194" s="255">
        <f>IF(AND(ISNUMBER(BI191),ISNUMBER(BD191)),IFERROR(BI191/BD191-1,""),"")</f>
        <v>0.20629244020566</v>
      </c>
      <c r="BJ194" s="255">
        <f>IF(AND(ISNUMBER(BJ191),ISNUMBER(BE191)),IFERROR(BJ191/BE191-1,""),"")</f>
        <v>0.167964119411718</v>
      </c>
      <c r="BK194" s="255">
        <f>IF(AND(ISNUMBER(BK191),ISNUMBER(BF191)),IFERROR(BK191/BF191-1,""),"")</f>
        <v>0.107975591752689</v>
      </c>
      <c r="BL194" s="255">
        <f>IF(AND(ISNUMBER(BL191),ISNUMBER(BG191)),IFERROR(BL191/BG191-1,""),"")</f>
        <v>0.198110499457656</v>
      </c>
      <c r="BM194" s="255">
        <f>IF(AND(ISNUMBER(BM191),ISNUMBER(BH191)),IFERROR(BM191/BH191-1,""),"")</f>
        <v>0.1185575328004</v>
      </c>
      <c r="BN194" s="255">
        <f>IF(AND(ISNUMBER(BN191),ISNUMBER(BI191)),IFERROR(BN191/BI191-1,""),"")</f>
        <v>0.161321244876871</v>
      </c>
      <c r="BO194" s="255">
        <f>IF(AND(ISNUMBER(BO191),ISNUMBER(BJ191)),IFERROR(BO191/BJ191-1,""),"")</f>
        <v>0.146156038319639</v>
      </c>
      <c r="BP194" s="255">
        <f>IF(AND(ISNUMBER(BP191),ISNUMBER(BK191)),IFERROR(BP191/BK191-1,""),"")</f>
        <v>0.139758700582436</v>
      </c>
      <c r="BQ194" s="255">
        <f>IF(AND(ISNUMBER(BQ191),ISNUMBER(BL191)),IFERROR(BQ191/BL191-1,""),"")</f>
        <v>0.0985332282343912</v>
      </c>
      <c r="BR194" s="255">
        <f>IF(AND(ISNUMBER(BR191),ISNUMBER(BM191)),IFERROR(BR191/BM191-1,""),"")</f>
        <v>0.230894989160038</v>
      </c>
      <c r="BS194" s="255">
        <f>IF(AND(ISNUMBER(BS191),ISNUMBER(BN191)),IFERROR(BS191/BN191-1,""),"")</f>
        <v>0.101575254996268</v>
      </c>
      <c r="BT194" s="255">
        <f>IF(AND(ISNUMBER(BT191),ISNUMBER(BO191)),IFERROR(BT191/BO191-1,""),"")</f>
        <v>0.141024719261234</v>
      </c>
      <c r="BU194" s="255">
        <f>IF(AND(ISNUMBER(BU191),ISNUMBER(BP191)),IFERROR(BU191/BP191-1,""),"")</f>
        <v>0.15115191043467</v>
      </c>
      <c r="BV194" s="255">
        <f>IF(AND(ISNUMBER(BV191),ISNUMBER(BQ191)),IFERROR(BV191/BQ191-1,""),"")</f>
        <v>0.20065806888202</v>
      </c>
      <c r="BW194" s="255">
        <f>IF(AND(ISNUMBER(BW191),ISNUMBER(BR191)),IFERROR(BW191/BR191-1,""),"")</f>
        <v>0.113875168744827</v>
      </c>
      <c r="BX194" s="256">
        <f>IF(AND(ISNUMBER(BX191),ISNUMBER(BS191)),IFERROR(BX191/BS191-1,""),"")</f>
        <v>0.138644494227124</v>
      </c>
      <c r="BY194" s="256">
        <f>IF(AND(ISNUMBER(BY191),ISNUMBER(BT191)),IFERROR(BY191/BT191-1,""),"")</f>
        <v>0.150328256877889</v>
      </c>
      <c r="BZ194" s="256">
        <f>IF(AND(ISNUMBER(BZ191),ISNUMBER(BY191)),IFERROR(BZ191/BY191-1,""),"")</f>
        <v>0.138689429203285</v>
      </c>
      <c r="CA194" s="256">
        <f>IF(AND(ISNUMBER(CA191),ISNUMBER(BZ191)),IFERROR(CA191/BZ191-1,""),"")</f>
        <v>0.140953642875508</v>
      </c>
      <c r="CB194" s="256">
        <f>IF(AND(ISNUMBER(CB191),ISNUMBER(CA191)),IFERROR(CB191/CA191-1,""),"")</f>
        <v>0.13874135710295</v>
      </c>
      <c r="CC194" s="256">
        <f>IF(AND(ISNUMBER(CC191),ISNUMBER(CB191)),IFERROR(CC191/CB191-1,""),"")</f>
        <v>0.128935582431828</v>
      </c>
      <c r="CD194" s="256">
        <f>IF(AND(ISNUMBER(CD191),ISNUMBER(CC191)),IFERROR(CD191/CC191-1,""),"")</f>
        <v>0.131031742344049</v>
      </c>
      <c r="CE194" s="153" t="n"/>
    </row>
    <row r="195" ht="15" customHeight="1" s="251">
      <c r="B195" s="25" t="inlineStr">
        <is>
          <t xml:space="preserve">  Non-GAAP pre-tax income (adjusted operating income + non-operating income + non-operating items)</t>
        </is>
      </c>
      <c r="C195" s="211">
        <f>IF(ISNUMBER(C160),C160+C130+C186,"")</f>
        <v>2964</v>
      </c>
      <c r="D195" s="211">
        <f>IF(ISNUMBER(D160),D160+D130+D186,"")</f>
        <v>4154</v>
      </c>
      <c r="E195" s="211">
        <f>IF(ISNUMBER(E160),E160+E130+E186,"")</f>
        <v>4638</v>
      </c>
      <c r="F195" s="211">
        <f>IF(ISNUMBER(F160),F160+F130+F186,"")</f>
        <v>5656</v>
      </c>
      <c r="G195" s="211">
        <f>IF(ISNUMBER(G160),G160+G130+G186,"")</f>
        <v>6305</v>
      </c>
      <c r="H195" s="211">
        <f>IF(ISNUMBER(H160),H160+H130+H186,"")</f>
        <v>1801</v>
      </c>
      <c r="I195" s="211">
        <f>IF(ISNUMBER(I160),I160+I130+I186,"")</f>
        <v>1857</v>
      </c>
      <c r="J195" s="211">
        <f>IF(ISNUMBER(J160),J160+J130+J186,"")</f>
        <v>1833</v>
      </c>
      <c r="K195" s="211">
        <f>IF(ISNUMBER(K160),K160+K130+K186,"")</f>
        <v>1766</v>
      </c>
      <c r="L195" s="211">
        <f>IF(ISNUMBER(L160),L160+L130+L186,"")</f>
        <v>7257</v>
      </c>
      <c r="M195" s="211">
        <f>IF(ISNUMBER(M160),M160+M130+M186,"")</f>
        <v>2083</v>
      </c>
      <c r="N195" s="211">
        <f>IF(ISNUMBER(N160),N160+N130+N186,"")</f>
        <v>2061</v>
      </c>
      <c r="O195" s="211">
        <f>IF(ISNUMBER(O160),O160+O130+O186,"")</f>
        <v>2030</v>
      </c>
      <c r="P195" s="211">
        <f>IF(ISNUMBER(P160),P160+P130+P186,"")</f>
        <v>2000</v>
      </c>
      <c r="Q195" s="211">
        <f>IF(ISNUMBER(Q160),Q160+Q130+Q186,"")</f>
        <v>8174</v>
      </c>
      <c r="R195" s="211">
        <f>IF(ISNUMBER(R160),R160+R130+R186,"")</f>
        <v>2262</v>
      </c>
      <c r="S195" s="211">
        <f>IF(ISNUMBER(S160),S160+S130+S186,"")</f>
        <v>2282</v>
      </c>
      <c r="T195" s="211">
        <f>IF(ISNUMBER(T160),T160+T130+T186,"")</f>
        <v>2168</v>
      </c>
      <c r="U195" s="211">
        <f>IF(ISNUMBER(U160),U160+U130+U186,"")</f>
        <v>2283</v>
      </c>
      <c r="V195" s="211">
        <f>IF(ISNUMBER(V160),V160+V130+V186,"")</f>
        <v>8995</v>
      </c>
      <c r="W195" s="211">
        <f>IF(ISNUMBER(W160),W160+W130+W186,"")</f>
        <v>2639</v>
      </c>
      <c r="X195" s="211">
        <f>IF(ISNUMBER(X160),X160+X130+X186,"")</f>
        <v>2441</v>
      </c>
      <c r="Y195" s="211">
        <f>IF(ISNUMBER(Y160),Y160+Y130+Y186,"")</f>
        <v>2348</v>
      </c>
      <c r="Z195" s="211">
        <f>IF(ISNUMBER(Z160),Z160+Z130+Z186,"")</f>
        <v>2620</v>
      </c>
      <c r="AA195" s="211">
        <f>IF(ISNUMBER(AA160),AA160+AA130+AA186,"")</f>
        <v>9677</v>
      </c>
      <c r="AB195" s="211">
        <f>IF(ISNUMBER(AB160),AB160+AB130+AB186,"")</f>
        <v>2979</v>
      </c>
      <c r="AC195" s="211">
        <f>IF(ISNUMBER(AC160),AC160+AC130+AC186,"")</f>
        <v>2894</v>
      </c>
      <c r="AD195" s="211">
        <f>IF(ISNUMBER(AD160),AD160+AD130+AD186,"")</f>
        <v>2914</v>
      </c>
      <c r="AE195" s="211">
        <f>IF(ISNUMBER(AE160),AE160+AE130+AE186,"")</f>
        <v>3099</v>
      </c>
      <c r="AF195" s="211">
        <f>IF(ISNUMBER(AF160),AF160+AF130+AF186,"")</f>
        <v>11886</v>
      </c>
      <c r="AG195" s="211">
        <f>IF(ISNUMBER(AG160),AG160+AG130+AG186,"")</f>
        <v>3239</v>
      </c>
      <c r="AH195" s="211">
        <f>IF(ISNUMBER(AH160),AH160+AH130+AH186,"")</f>
        <v>3217</v>
      </c>
      <c r="AI195" s="211">
        <f>IF(ISNUMBER(AI160),AI160+AI130+AI186,"")</f>
        <v>3412</v>
      </c>
      <c r="AJ195" s="211">
        <f>IF(ISNUMBER(AJ160),AJ160+AJ130+AJ186,"")</f>
        <v>3540</v>
      </c>
      <c r="AK195" s="211">
        <f>IF(ISNUMBER(AK160),AK160+AK130+AK186,"")</f>
        <v>13408</v>
      </c>
      <c r="AL195" s="211">
        <f>IF(ISNUMBER(AL160),AL160+AL130+AL186,"")</f>
        <v>3630</v>
      </c>
      <c r="AM195" s="211">
        <f>IF(ISNUMBER(AM160),AM160+AM130+AM186,"")</f>
        <v>3677</v>
      </c>
      <c r="AN195" s="211">
        <f>IF(ISNUMBER(AN160),AN160+AN130+AN186,"")</f>
        <v>3866</v>
      </c>
      <c r="AO195" s="211">
        <f>IF(ISNUMBER(AO160),AO160+AO130+AO186,"")</f>
        <v>4081</v>
      </c>
      <c r="AP195" s="211">
        <f>IF(ISNUMBER(AP160),AP160+AP130+AP186,"")</f>
        <v>15254</v>
      </c>
      <c r="AQ195" s="211">
        <f>IF(ISNUMBER(AQ160),AQ160+AQ130+AQ186,"")</f>
        <v>3974</v>
      </c>
      <c r="AR195" s="211">
        <f>IF(ISNUMBER(AR160),AR160+AR130+AR186,"")</f>
        <v>3847</v>
      </c>
      <c r="AS195" s="211">
        <f>IF(ISNUMBER(AS160),AS160+AS130+AS186,"")</f>
        <v>2898</v>
      </c>
      <c r="AT195" s="211">
        <f>IF(ISNUMBER(AT160),AT160+AT130+AT186,"")</f>
        <v>3033</v>
      </c>
      <c r="AU195" s="211">
        <f>IF(ISNUMBER(AU160),AU160+AU130+AU186,"")</f>
        <v>13752</v>
      </c>
      <c r="AV195" s="211">
        <f>IF(ISNUMBER(AV160),AV160+AV130+AV186,"")</f>
        <v>3747</v>
      </c>
      <c r="AW195" s="211">
        <f>IF(ISNUMBER(AW160),AW160+AW130+AW186,"")</f>
        <v>3642</v>
      </c>
      <c r="AX195" s="211">
        <f>IF(ISNUMBER(AX160),AX160+AX130+AX186,"")</f>
        <v>3968</v>
      </c>
      <c r="AY195" s="211">
        <f>IF(ISNUMBER(AY160),AY160+AY130+AY186,"")</f>
        <v>4218</v>
      </c>
      <c r="AZ195" s="211">
        <f>IF(ISNUMBER(AZ160),AZ160+AZ130+AZ186,"")</f>
        <v>15575</v>
      </c>
      <c r="BA195" s="211">
        <f>IF(ISNUMBER(BA160),BA160+BA130+BA186,"")</f>
        <v>4834</v>
      </c>
      <c r="BB195" s="211">
        <f>IF(ISNUMBER(BB160),BB160+BB130+BB186,"")</f>
        <v>4769</v>
      </c>
      <c r="BC195" s="211">
        <f>IF(ISNUMBER(BC160),BC160+BC130+BC186,"")</f>
        <v>4849</v>
      </c>
      <c r="BD195" s="211">
        <f>IF(ISNUMBER(BD160),BD160+BD130+BD186,"")</f>
        <v>5058</v>
      </c>
      <c r="BE195" s="211">
        <f>IF(ISNUMBER(BE160),BE160+BE130+BE186,"")</f>
        <v>19510</v>
      </c>
      <c r="BF195" s="211">
        <f>IF(ISNUMBER(BF160),BF160+BF130+BF186,"")</f>
        <v>5490</v>
      </c>
      <c r="BG195" s="211">
        <f>IF(ISNUMBER(BG160),BG160+BG130+BG186,"")</f>
        <v>5436</v>
      </c>
      <c r="BH195" s="211">
        <f>IF(ISNUMBER(BH160),BH160+BH130+BH186,"")</f>
        <v>5582</v>
      </c>
      <c r="BI195" s="211">
        <f>IF(ISNUMBER(BI160),BI160+BI130+BI186,"")</f>
        <v>5805</v>
      </c>
      <c r="BJ195" s="211">
        <f>IF(ISNUMBER(BJ160),BJ160+BJ130+BJ186,"")</f>
        <v>22313</v>
      </c>
      <c r="BK195" s="211">
        <f>IF(ISNUMBER(BK160),BK160+BK130+BK186,"")</f>
        <v>6099</v>
      </c>
      <c r="BL195" s="211">
        <f>IF(ISNUMBER(BL160),BL160+BL130+BL186,"")</f>
        <v>6093</v>
      </c>
      <c r="BM195" s="211">
        <f>IF(ISNUMBER(BM160),BM160+BM130+BM186,"")</f>
        <v>6046</v>
      </c>
      <c r="BN195" s="211">
        <f>IF(ISNUMBER(BN160),BN160+BN130+BN186,"")</f>
        <v>6494</v>
      </c>
      <c r="BO195" s="211">
        <f>IF(ISNUMBER(BO160),BO160+BO130+BO186,"")</f>
        <v>24732</v>
      </c>
      <c r="BP195" s="211">
        <f>IF(ISNUMBER(BP160),BP160+BP130+BP186,"")</f>
        <v>6634</v>
      </c>
      <c r="BQ195" s="211">
        <f>IF(ISNUMBER(BQ160),BQ160+BQ130+BQ186,"")</f>
        <v>6549</v>
      </c>
      <c r="BR195" s="211">
        <f>IF(ISNUMBER(BR160),BR160+BR130+BR186,"")</f>
        <v>7056</v>
      </c>
      <c r="BS195" s="211">
        <f>IF(ISNUMBER(BS160),BS160+BS130+BS186,"")</f>
        <v>7142</v>
      </c>
      <c r="BT195" s="211">
        <f>IF(ISNUMBER(BT160),BT160+BT130+BT186,"")</f>
        <v>27381</v>
      </c>
      <c r="BU195" s="211">
        <f>IF(ISNUMBER(BU160),BU160+BU130+BU186,"")</f>
        <v>7506</v>
      </c>
      <c r="BV195" s="211">
        <f>IF(ISNUMBER(BV160),BV160+BV130+BV186,"")</f>
        <v>7586</v>
      </c>
      <c r="BW195" s="211">
        <f>IF(ISNUMBER(BW160),BW160+BW130+BW186,"")</f>
        <v>7720</v>
      </c>
      <c r="BX195" s="254">
        <f>IF(ISNUMBER(BX160),BX160+BX130+BX186,"")</f>
        <v>7905.0883890317</v>
      </c>
      <c r="BY195" s="254">
        <f>IF(ISNUMBER(BY160),BY160+BY130+BY186,"")</f>
        <v>30717.0883890317</v>
      </c>
      <c r="BZ195" s="254">
        <f>IF(ISNUMBER(BZ160),BZ160+BZ130+BZ186,"")</f>
        <v>34098.6224958573</v>
      </c>
      <c r="CA195" s="254">
        <f>IF(ISNUMBER(CA160),CA160+CA130+CA186,"")</f>
        <v>37749.0823989221</v>
      </c>
      <c r="CB195" s="254">
        <f>IF(ISNUMBER(CB160),CB160+CB130+CB186,"")</f>
        <v>41700.0706881777</v>
      </c>
      <c r="CC195" s="254">
        <f>IF(ISNUMBER(CC160),CC160+CC130+CC186,"")</f>
        <v>45592.5417835874</v>
      </c>
      <c r="CD195" s="254">
        <f>IF(ISNUMBER(CD160),CD160+CD130+CD186,"")</f>
        <v>49861.8655694728</v>
      </c>
      <c r="CE195" s="19" t="n"/>
    </row>
    <row r="196" ht="15" customHeight="1" s="251">
      <c r="B196" s="25" t="inlineStr">
        <is>
          <t xml:space="preserve">  Non-GAAP income tax (pre-tax − non-GAAP net income − NCI)</t>
        </is>
      </c>
      <c r="C196" s="211">
        <f>IF(AND(ISNUMBER(C188),ISNUMBER(C195)),C195-C188-N(C136),"")</f>
        <v>1215</v>
      </c>
      <c r="D196" s="211">
        <f>IF(AND(ISNUMBER(D188),ISNUMBER(D195)),D195-D188-N(D136),"")</f>
        <v>1706</v>
      </c>
      <c r="E196" s="211">
        <f>IF(AND(ISNUMBER(E188),ISNUMBER(E195)),E195-E188-N(E136),"")</f>
        <v>1753</v>
      </c>
      <c r="F196" s="211">
        <f>IF(AND(ISNUMBER(F188),ISNUMBER(F195)),F195-F188-N(F136),"")</f>
        <v>2132</v>
      </c>
      <c r="G196" s="211">
        <f>IF(AND(ISNUMBER(G188),ISNUMBER(G195)),G195-G188-N(G136),"")</f>
        <v>2104</v>
      </c>
      <c r="H196" s="211">
        <f>IF(AND(ISNUMBER(H188),ISNUMBER(H195)),H195-H188-N(H136),"")</f>
        <v>508</v>
      </c>
      <c r="I196" s="211">
        <f>IF(AND(ISNUMBER(I188),ISNUMBER(I195)),I195-I188-N(I136),"")</f>
        <v>587</v>
      </c>
      <c r="J196" s="211">
        <f>IF(AND(ISNUMBER(J188),ISNUMBER(J195)),J195-J188-N(J136),"")</f>
        <v>608</v>
      </c>
      <c r="K196" s="211">
        <f>IF(AND(ISNUMBER(K188),ISNUMBER(K195)),K195-K188-N(K136),"")</f>
        <v>574</v>
      </c>
      <c r="L196" s="211">
        <f>IF(AND(ISNUMBER(L188),ISNUMBER(L195)),L195-L188-N(L136),"")</f>
        <v>2277</v>
      </c>
      <c r="M196" s="211">
        <f>IF(AND(ISNUMBER(M188),ISNUMBER(M195)),M195-M188-N(M136),"")</f>
        <v>676</v>
      </c>
      <c r="N196" s="211">
        <f>IF(AND(ISNUMBER(N188),ISNUMBER(N195)),N195-N188-N(N136),"")</f>
        <v>463</v>
      </c>
      <c r="O196" s="211">
        <f>IF(AND(ISNUMBER(O188),ISNUMBER(O195)),O195-O188-N(O136),"")</f>
        <v>670</v>
      </c>
      <c r="P196" s="211">
        <f>IF(AND(ISNUMBER(P188),ISNUMBER(P195)),P195-P188-N(P136),"")</f>
        <v>644</v>
      </c>
      <c r="Q196" s="211">
        <f>IF(AND(ISNUMBER(Q188),ISNUMBER(Q195)),Q195-Q188-N(Q136),"")</f>
        <v>2453</v>
      </c>
      <c r="R196" s="211">
        <f>IF(AND(ISNUMBER(R188),ISNUMBER(R195)),R195-R188-N(R136),"")</f>
        <v>693</v>
      </c>
      <c r="S196" s="211">
        <f>IF(AND(ISNUMBER(S188),ISNUMBER(S195)),S195-S188-N(S136),"")</f>
        <v>732</v>
      </c>
      <c r="T196" s="211">
        <f>IF(AND(ISNUMBER(T188),ISNUMBER(T195)),T195-T188-N(T136),"")</f>
        <v>361</v>
      </c>
      <c r="U196" s="211">
        <f>IF(AND(ISNUMBER(U188),ISNUMBER(U195)),U195-U188-N(U136),"")</f>
        <v>771</v>
      </c>
      <c r="V196" s="211">
        <f>IF(AND(ISNUMBER(V188),ISNUMBER(V195)),V195-V188-N(V136),"")</f>
        <v>2557</v>
      </c>
      <c r="W196" s="211">
        <f>IF(AND(ISNUMBER(W188),ISNUMBER(W195)),W195-W188-N(W136),"")</f>
        <v>953</v>
      </c>
      <c r="X196" s="211">
        <f>IF(AND(ISNUMBER(X188),ISNUMBER(X195)),X195-X188-N(X136),"")</f>
        <v>815</v>
      </c>
      <c r="Y196" s="211">
        <f>IF(AND(ISNUMBER(Y188),ISNUMBER(Y195)),Y195-Y188-N(Y136),"")</f>
        <v>713</v>
      </c>
      <c r="Z196" s="211">
        <f>IF(AND(ISNUMBER(Z188),ISNUMBER(Z195)),Z195-Z188-N(Z136),"")</f>
        <v>705</v>
      </c>
      <c r="AA196" s="211">
        <f>IF(AND(ISNUMBER(AA188),ISNUMBER(AA195)),AA195-AA188-N(AA136),"")</f>
        <v>2815</v>
      </c>
      <c r="AB196" s="211">
        <f>IF(AND(ISNUMBER(AB188),ISNUMBER(AB195)),AB195-AB188-N(AB136),"")</f>
        <v>909</v>
      </c>
      <c r="AC196" s="211">
        <f>IF(AND(ISNUMBER(AC188),ISNUMBER(AC195)),AC195-AC188-N(AC136),"")</f>
        <v>828</v>
      </c>
      <c r="AD196" s="211">
        <f>IF(AND(ISNUMBER(AD188),ISNUMBER(AD195)),AD195-AD188-N(AD136),"")</f>
        <v>855</v>
      </c>
      <c r="AE196" s="211">
        <f>IF(AND(ISNUMBER(AE188),ISNUMBER(AE195)),AE195-AE188-N(AE136),"")</f>
        <v>959</v>
      </c>
      <c r="AF196" s="211">
        <f>IF(AND(ISNUMBER(AF188),ISNUMBER(AF195)),AF195-AF188-N(AF136),"")</f>
        <v>3551</v>
      </c>
      <c r="AG196" s="211">
        <f>IF(AND(ISNUMBER(AG188),ISNUMBER(AG195)),AG195-AG188-N(AG136),"")</f>
        <v>703</v>
      </c>
      <c r="AH196" s="211">
        <f>IF(AND(ISNUMBER(AH188),ISNUMBER(AH195)),AH195-AH188-N(AH136),"")</f>
        <v>612</v>
      </c>
      <c r="AI196" s="211">
        <f>IF(AND(ISNUMBER(AI188),ISNUMBER(AI195)),AI195-AI188-N(AI136),"")</f>
        <v>620</v>
      </c>
      <c r="AJ196" s="211">
        <f>IF(AND(ISNUMBER(AJ188),ISNUMBER(AJ195)),AJ195-AJ188-N(AJ136),"")</f>
        <v>744</v>
      </c>
      <c r="AK196" s="211">
        <f>IF(AND(ISNUMBER(AK188),ISNUMBER(AK195)),AK195-AK188-N(AK136),"")</f>
        <v>2679</v>
      </c>
      <c r="AL196" s="211">
        <f>IF(AND(ISNUMBER(AL188),ISNUMBER(AL195)),AL195-AL188-N(AL136),"")</f>
        <v>653</v>
      </c>
      <c r="AM196" s="211">
        <f>IF(AND(ISNUMBER(AM188),ISNUMBER(AM195)),AM195-AM188-N(AM136),"")</f>
        <v>700</v>
      </c>
      <c r="AN196" s="211">
        <f>IF(AND(ISNUMBER(AN188),ISNUMBER(AN195)),AN195-AN188-N(AN136),"")</f>
        <v>765</v>
      </c>
      <c r="AO196" s="211">
        <f>IF(AND(ISNUMBER(AO188),ISNUMBER(AO195)),AO195-AO188-N(AO136),"")</f>
        <v>769</v>
      </c>
      <c r="AP196" s="211">
        <f>IF(AND(ISNUMBER(AP188),ISNUMBER(AP195)),AP195-AP188-N(AP136),"")</f>
        <v>2887</v>
      </c>
      <c r="AQ196" s="211">
        <f>IF(AND(ISNUMBER(AQ188),ISNUMBER(AQ195)),AQ195-AQ188-N(AQ136),"")</f>
        <v>702</v>
      </c>
      <c r="AR196" s="211">
        <f>IF(AND(ISNUMBER(AR188),ISNUMBER(AR195)),AR195-AR188-N(AR136),"")</f>
        <v>749</v>
      </c>
      <c r="AS196" s="211">
        <f>IF(AND(ISNUMBER(AS188),ISNUMBER(AS195)),AS195-AS188-N(AS136),"")</f>
        <v>551</v>
      </c>
      <c r="AT196" s="211">
        <f>IF(AND(ISNUMBER(AT188),ISNUMBER(AT195)),AT195-AT188-N(AT136),"")</f>
        <v>557</v>
      </c>
      <c r="AU196" s="211">
        <f>IF(AND(ISNUMBER(AU188),ISNUMBER(AU195)),AU195-AU188-N(AU136),"")</f>
        <v>2559</v>
      </c>
      <c r="AV196" s="211">
        <f>IF(AND(ISNUMBER(AV188),ISNUMBER(AV195)),AV195-AV188-N(AV136),"")</f>
        <v>622</v>
      </c>
      <c r="AW196" s="211">
        <f>IF(AND(ISNUMBER(AW188),ISNUMBER(AW195)),AW195-AW188-N(AW136),"")</f>
        <v>611</v>
      </c>
      <c r="AX196" s="211">
        <f>IF(AND(ISNUMBER(AX188),ISNUMBER(AX195)),AX195-AX188-N(AX136),"")</f>
        <v>712</v>
      </c>
      <c r="AY196" s="211">
        <f>IF(AND(ISNUMBER(AY188),ISNUMBER(AY195)),AY195-AY188-N(AY136),"")</f>
        <v>697</v>
      </c>
      <c r="AZ196" s="211">
        <f>IF(AND(ISNUMBER(AZ188),ISNUMBER(AZ195)),AZ195-AZ188-N(AZ136),"")</f>
        <v>2642</v>
      </c>
      <c r="BA196" s="211">
        <f>IF(AND(ISNUMBER(BA188),ISNUMBER(BA195)),BA195-BA188-N(BA136),"")</f>
        <v>933</v>
      </c>
      <c r="BB196" s="211">
        <f>IF(AND(ISNUMBER(BB188),ISNUMBER(BB195)),BB195-BB188-N(BB136),"")</f>
        <v>933</v>
      </c>
      <c r="BC196" s="211">
        <f>IF(AND(ISNUMBER(BC188),ISNUMBER(BC195)),BC195-BC188-N(BC136),"")</f>
        <v>643</v>
      </c>
      <c r="BD196" s="211">
        <f>IF(AND(ISNUMBER(BD188),ISNUMBER(BD195)),BD195-BD188-N(BD136),"")</f>
        <v>967</v>
      </c>
      <c r="BE196" s="211">
        <f>IF(AND(ISNUMBER(BE188),ISNUMBER(BE195)),BE195-BE188-N(BE136),"")</f>
        <v>3476</v>
      </c>
      <c r="BF196" s="211">
        <f>IF(AND(ISNUMBER(BF188),ISNUMBER(BF195)),BF195-BF188-N(BF136),"")</f>
        <v>909</v>
      </c>
      <c r="BG196" s="211">
        <f>IF(AND(ISNUMBER(BG188),ISNUMBER(BG195)),BG195-BG188-N(BG136),"")</f>
        <v>1052</v>
      </c>
      <c r="BH196" s="211">
        <f>IF(AND(ISNUMBER(BH188),ISNUMBER(BH195)),BH195-BH188-N(BH136),"")</f>
        <v>1083</v>
      </c>
      <c r="BI196" s="211">
        <f>IF(AND(ISNUMBER(BI188),ISNUMBER(BI195)),BI195-BI188-N(BI136),"")</f>
        <v>989</v>
      </c>
      <c r="BJ196" s="211">
        <f>IF(AND(ISNUMBER(BJ188),ISNUMBER(BJ195)),BJ195-BJ188-N(BJ136),"")</f>
        <v>4033</v>
      </c>
      <c r="BK196" s="211">
        <f>IF(AND(ISNUMBER(BK188),ISNUMBER(BK195)),BK195-BK188-N(BK136),"")</f>
        <v>1161</v>
      </c>
      <c r="BL196" s="211">
        <f>IF(AND(ISNUMBER(BL188),ISNUMBER(BL195)),BL195-BL188-N(BL136),"")</f>
        <v>976</v>
      </c>
      <c r="BM196" s="211">
        <f>IF(AND(ISNUMBER(BM188),ISNUMBER(BM195)),BM195-BM188-N(BM136),"")</f>
        <v>1137</v>
      </c>
      <c r="BN196" s="211">
        <f>IF(AND(ISNUMBER(BN188),ISNUMBER(BN195)),BN195-BN188-N(BN136),"")</f>
        <v>1069</v>
      </c>
      <c r="BO196" s="211">
        <f>IF(AND(ISNUMBER(BO188),ISNUMBER(BO195)),BO195-BO188-N(BO136),"")</f>
        <v>4343</v>
      </c>
      <c r="BP196" s="211">
        <f>IF(AND(ISNUMBER(BP188),ISNUMBER(BP195)),BP195-BP188-N(BP136),"")</f>
        <v>1171</v>
      </c>
      <c r="BQ196" s="211">
        <f>IF(AND(ISNUMBER(BQ188),ISNUMBER(BQ195)),BQ195-BQ188-N(BQ136),"")</f>
        <v>1107</v>
      </c>
      <c r="BR196" s="211">
        <f>IF(AND(ISNUMBER(BR188),ISNUMBER(BR195)),BR195-BR188-N(BR136),"")</f>
        <v>1222</v>
      </c>
      <c r="BS196" s="211">
        <f>IF(AND(ISNUMBER(BS188),ISNUMBER(BS195)),BS195-BS188-N(BS136),"")</f>
        <v>1339</v>
      </c>
      <c r="BT196" s="211">
        <f>IF(AND(ISNUMBER(BT188),ISNUMBER(BT195)),BT195-BT188-N(BT136),"")</f>
        <v>4839</v>
      </c>
      <c r="BU196" s="211">
        <f>IF(AND(ISNUMBER(BU188),ISNUMBER(BU195)),BU195-BU188-N(BU136),"")</f>
        <v>1382</v>
      </c>
      <c r="BV196" s="211">
        <f>IF(AND(ISNUMBER(BV188),ISNUMBER(BV195)),BV195-BV188-N(BV136),"")</f>
        <v>1244</v>
      </c>
      <c r="BW196" s="211">
        <f>IF(AND(ISNUMBER(BW188),ISNUMBER(BW195)),BW195-BW188-N(BW136),"")</f>
        <v>1424</v>
      </c>
      <c r="BX196" s="254">
        <f>BX195*BX197</f>
        <v>1501.96679391602</v>
      </c>
      <c r="BY196" s="254">
        <f>SUM(BU196:BX196)</f>
        <v>5551.96679391602</v>
      </c>
      <c r="BZ196" s="254">
        <f>BZ195*BZ197</f>
        <v>6308.24516173359</v>
      </c>
      <c r="CA196" s="254">
        <f>CA195*CA197</f>
        <v>6983.58024380059</v>
      </c>
      <c r="CB196" s="254">
        <f>CB195*CB197</f>
        <v>7714.51307731288</v>
      </c>
      <c r="CC196" s="254">
        <f>CC195*CC197</f>
        <v>8434.62022996367</v>
      </c>
      <c r="CD196" s="254">
        <f>CD195*CD197</f>
        <v>9224.44513035247</v>
      </c>
      <c r="CE196" s="19" t="n"/>
    </row>
    <row r="197" ht="15" customHeight="1" s="251">
      <c r="B197" s="25" t="inlineStr">
        <is>
          <t xml:space="preserve">  Non-GAAP effective tax rate</t>
        </is>
      </c>
      <c r="C197" s="215">
        <f>IF(AND(ISNUMBER(C196),ISNUMBER(C195)),IFERROR(C196/C195,""),"")</f>
        <v>0.409919028340081</v>
      </c>
      <c r="D197" s="215">
        <f>IF(AND(ISNUMBER(D196),ISNUMBER(D195)),IFERROR(D196/D195,""),"")</f>
        <v>0.410688493018777</v>
      </c>
      <c r="E197" s="215">
        <f>IF(AND(ISNUMBER(E196),ISNUMBER(E195)),IFERROR(E196/E195,""),"")</f>
        <v>0.377964639931005</v>
      </c>
      <c r="F197" s="215">
        <f>IF(AND(ISNUMBER(F196),ISNUMBER(F195)),IFERROR(F196/F195,""),"")</f>
        <v>0.376944837340877</v>
      </c>
      <c r="G197" s="215">
        <f>IF(AND(ISNUMBER(G196),ISNUMBER(G195)),IFERROR(G196/G195,""),"")</f>
        <v>0.33370340999207</v>
      </c>
      <c r="H197" s="215">
        <f>IF(AND(ISNUMBER(H196),ISNUMBER(H195)),IFERROR(H196/H195,""),"")</f>
        <v>0.282065519156024</v>
      </c>
      <c r="I197" s="215">
        <f>IF(AND(ISNUMBER(I196),ISNUMBER(I195)),IFERROR(I196/I195,""),"")</f>
        <v>0.316101238556812</v>
      </c>
      <c r="J197" s="215">
        <f>IF(AND(ISNUMBER(J196),ISNUMBER(J195)),IFERROR(J196/J195,""),"")</f>
        <v>0.331696672122204</v>
      </c>
      <c r="K197" s="215">
        <f>IF(AND(ISNUMBER(K196),ISNUMBER(K195)),IFERROR(K196/K195,""),"")</f>
        <v>0.325028312570781</v>
      </c>
      <c r="L197" s="215">
        <f>IF(AND(ISNUMBER(L196),ISNUMBER(L195)),IFERROR(L196/L195,""),"")</f>
        <v>0.313766019016122</v>
      </c>
      <c r="M197" s="215">
        <f>IF(AND(ISNUMBER(M196),ISNUMBER(M195)),IFERROR(M196/M195,""),"")</f>
        <v>0.324531925108017</v>
      </c>
      <c r="N197" s="215">
        <f>IF(AND(ISNUMBER(N196),ISNUMBER(N195)),IFERROR(N196/N195,""),"")</f>
        <v>0.224648229015041</v>
      </c>
      <c r="O197" s="215">
        <f>IF(AND(ISNUMBER(O196),ISNUMBER(O195)),IFERROR(O196/O195,""),"")</f>
        <v>0.330049261083744</v>
      </c>
      <c r="P197" s="215">
        <f>IF(AND(ISNUMBER(P196),ISNUMBER(P195)),IFERROR(P196/P195,""),"")</f>
        <v>0.322</v>
      </c>
      <c r="Q197" s="215">
        <f>IF(AND(ISNUMBER(Q196),ISNUMBER(Q195)),IFERROR(Q196/Q195,""),"")</f>
        <v>0.300097871299242</v>
      </c>
      <c r="R197" s="215">
        <f>IF(AND(ISNUMBER(R196),ISNUMBER(R195)),IFERROR(R196/R195,""),"")</f>
        <v>0.306366047745358</v>
      </c>
      <c r="S197" s="215">
        <f>IF(AND(ISNUMBER(S196),ISNUMBER(S195)),IFERROR(S196/S195,""),"")</f>
        <v>0.320771253286591</v>
      </c>
      <c r="T197" s="215">
        <f>IF(AND(ISNUMBER(T196),ISNUMBER(T195)),IFERROR(T196/T195,""),"")</f>
        <v>0.166512915129151</v>
      </c>
      <c r="U197" s="215">
        <f>IF(AND(ISNUMBER(U196),ISNUMBER(U195)),IFERROR(U196/U195,""),"")</f>
        <v>0.337713534822602</v>
      </c>
      <c r="V197" s="215">
        <f>IF(AND(ISNUMBER(V196),ISNUMBER(V195)),IFERROR(V196/V195,""),"")</f>
        <v>0.284269038354641</v>
      </c>
      <c r="W197" s="215">
        <f>IF(AND(ISNUMBER(W196),ISNUMBER(W195)),IFERROR(W196/W195,""),"")</f>
        <v>0.361121636983706</v>
      </c>
      <c r="X197" s="215">
        <f>IF(AND(ISNUMBER(X196),ISNUMBER(X195)),IFERROR(X196/X195,""),"")</f>
        <v>0.333879557558378</v>
      </c>
      <c r="Y197" s="215">
        <f>IF(AND(ISNUMBER(Y196),ISNUMBER(Y195)),IFERROR(Y196/Y195,""),"")</f>
        <v>0.30366269165247</v>
      </c>
      <c r="Z197" s="215">
        <f>IF(AND(ISNUMBER(Z196),ISNUMBER(Z195)),IFERROR(Z196/Z195,""),"")</f>
        <v>0.269083969465649</v>
      </c>
      <c r="AA197" s="215">
        <f>IF(AND(ISNUMBER(AA196),ISNUMBER(AA195)),IFERROR(AA196/AA195,""),"")</f>
        <v>0.290895938824016</v>
      </c>
      <c r="AB197" s="215">
        <f>IF(AND(ISNUMBER(AB196),ISNUMBER(AB195)),IFERROR(AB196/AB195,""),"")</f>
        <v>0.305135951661631</v>
      </c>
      <c r="AC197" s="215">
        <f>IF(AND(ISNUMBER(AC196),ISNUMBER(AC195)),IFERROR(AC196/AC195,""),"")</f>
        <v>0.286109191430546</v>
      </c>
      <c r="AD197" s="215">
        <f>IF(AND(ISNUMBER(AD196),ISNUMBER(AD195)),IFERROR(AD196/AD195,""),"")</f>
        <v>0.293411118737131</v>
      </c>
      <c r="AE197" s="215">
        <f>IF(AND(ISNUMBER(AE196),ISNUMBER(AE195)),IFERROR(AE196/AE195,""),"")</f>
        <v>0.30945466279445</v>
      </c>
      <c r="AF197" s="215">
        <f>IF(AND(ISNUMBER(AF196),ISNUMBER(AF195)),IFERROR(AF196/AF195,""),"")</f>
        <v>0.298754837624096</v>
      </c>
      <c r="AG197" s="215">
        <f>IF(AND(ISNUMBER(AG196),ISNUMBER(AG195)),IFERROR(AG196/AG195,""),"")</f>
        <v>0.217042297005249</v>
      </c>
      <c r="AH197" s="215">
        <f>IF(AND(ISNUMBER(AH196),ISNUMBER(AH195)),IFERROR(AH196/AH195,""),"")</f>
        <v>0.190239353434877</v>
      </c>
      <c r="AI197" s="215">
        <f>IF(AND(ISNUMBER(AI196),ISNUMBER(AI195)),IFERROR(AI196/AI195,""),"")</f>
        <v>0.181711606096131</v>
      </c>
      <c r="AJ197" s="215">
        <f>IF(AND(ISNUMBER(AJ196),ISNUMBER(AJ195)),IFERROR(AJ196/AJ195,""),"")</f>
        <v>0.210169491525424</v>
      </c>
      <c r="AK197" s="215">
        <f>IF(AND(ISNUMBER(AK196),ISNUMBER(AK195)),IFERROR(AK196/AK195,""),"")</f>
        <v>0.199806085918854</v>
      </c>
      <c r="AL197" s="215">
        <f>IF(AND(ISNUMBER(AL196),ISNUMBER(AL195)),IFERROR(AL196/AL195,""),"")</f>
        <v>0.179889807162534</v>
      </c>
      <c r="AM197" s="215">
        <f>IF(AND(ISNUMBER(AM196),ISNUMBER(AM195)),IFERROR(AM196/AM195,""),"")</f>
        <v>0.190372586347566</v>
      </c>
      <c r="AN197" s="215">
        <f>IF(AND(ISNUMBER(AN196),ISNUMBER(AN195)),IFERROR(AN196/AN195,""),"")</f>
        <v>0.197878944645629</v>
      </c>
      <c r="AO197" s="215">
        <f>IF(AND(ISNUMBER(AO196),ISNUMBER(AO195)),IFERROR(AO196/AO195,""),"")</f>
        <v>0.188434207302132</v>
      </c>
      <c r="AP197" s="215">
        <f>IF(AND(ISNUMBER(AP196),ISNUMBER(AP195)),IFERROR(AP196/AP195,""),"")</f>
        <v>0.189261832961846</v>
      </c>
      <c r="AQ197" s="215">
        <f>IF(AND(ISNUMBER(AQ196),ISNUMBER(AQ195)),IFERROR(AQ196/AQ195,""),"")</f>
        <v>0.176648213387016</v>
      </c>
      <c r="AR197" s="215">
        <f>IF(AND(ISNUMBER(AR196),ISNUMBER(AR195)),IFERROR(AR196/AR195,""),"")</f>
        <v>0.194697166623343</v>
      </c>
      <c r="AS197" s="215">
        <f>IF(AND(ISNUMBER(AS196),ISNUMBER(AS195)),IFERROR(AS196/AS195,""),"")</f>
        <v>0.190131124913734</v>
      </c>
      <c r="AT197" s="215">
        <f>IF(AND(ISNUMBER(AT196),ISNUMBER(AT195)),IFERROR(AT196/AT195,""),"")</f>
        <v>0.183646554566436</v>
      </c>
      <c r="AU197" s="215">
        <f>IF(AND(ISNUMBER(AU196),ISNUMBER(AU195)),IFERROR(AU196/AU195,""),"")</f>
        <v>0.18608202443281</v>
      </c>
      <c r="AV197" s="215">
        <f>IF(AND(ISNUMBER(AV196),ISNUMBER(AV195)),IFERROR(AV196/AV195,""),"")</f>
        <v>0.165999466239658</v>
      </c>
      <c r="AW197" s="215">
        <f>IF(AND(ISNUMBER(AW196),ISNUMBER(AW195)),IFERROR(AW196/AW195,""),"")</f>
        <v>0.167764964305327</v>
      </c>
      <c r="AX197" s="215">
        <f>IF(AND(ISNUMBER(AX196),ISNUMBER(AX195)),IFERROR(AX196/AX195,""),"")</f>
        <v>0.179435483870968</v>
      </c>
      <c r="AY197" s="215">
        <f>IF(AND(ISNUMBER(AY196),ISNUMBER(AY195)),IFERROR(AY196/AY195,""),"")</f>
        <v>0.165244191559981</v>
      </c>
      <c r="AZ197" s="215">
        <f>IF(AND(ISNUMBER(AZ196),ISNUMBER(AZ195)),IFERROR(AZ196/AZ195,""),"")</f>
        <v>0.169630818619583</v>
      </c>
      <c r="BA197" s="215">
        <f>IF(AND(ISNUMBER(BA196),ISNUMBER(BA195)),IFERROR(BA196/BA195,""),"")</f>
        <v>0.193007860984692</v>
      </c>
      <c r="BB197" s="215">
        <f>IF(AND(ISNUMBER(BB196),ISNUMBER(BB195)),IFERROR(BB196/BB195,""),"")</f>
        <v>0.195638498637031</v>
      </c>
      <c r="BC197" s="215">
        <f>IF(AND(ISNUMBER(BC196),ISNUMBER(BC195)),IFERROR(BC196/BC195,""),"")</f>
        <v>0.132604660754795</v>
      </c>
      <c r="BD197" s="215">
        <f>IF(AND(ISNUMBER(BD196),ISNUMBER(BD195)),IFERROR(BD196/BD195,""),"")</f>
        <v>0.191182285488335</v>
      </c>
      <c r="BE197" s="215">
        <f>IF(AND(ISNUMBER(BE196),ISNUMBER(BE195)),IFERROR(BE196/BE195,""),"")</f>
        <v>0.178165043567401</v>
      </c>
      <c r="BF197" s="215">
        <f>IF(AND(ISNUMBER(BF196),ISNUMBER(BF195)),IFERROR(BF196/BF195,""),"")</f>
        <v>0.165573770491803</v>
      </c>
      <c r="BG197" s="215">
        <f>IF(AND(ISNUMBER(BG196),ISNUMBER(BG195)),IFERROR(BG196/BG195,""),"")</f>
        <v>0.193524650478293</v>
      </c>
      <c r="BH197" s="215">
        <f>IF(AND(ISNUMBER(BH196),ISNUMBER(BH195)),IFERROR(BH196/BH195,""),"")</f>
        <v>0.194016481547832</v>
      </c>
      <c r="BI197" s="215">
        <f>IF(AND(ISNUMBER(BI196),ISNUMBER(BI195)),IFERROR(BI196/BI195,""),"")</f>
        <v>0.17037037037037</v>
      </c>
      <c r="BJ197" s="215">
        <f>IF(AND(ISNUMBER(BJ196),ISNUMBER(BJ195)),IFERROR(BJ196/BJ195,""),"")</f>
        <v>0.180746649935015</v>
      </c>
      <c r="BK197" s="215">
        <f>IF(AND(ISNUMBER(BK196),ISNUMBER(BK195)),IFERROR(BK196/BK195,""),"")</f>
        <v>0.190359075258239</v>
      </c>
      <c r="BL197" s="215">
        <f>IF(AND(ISNUMBER(BL196),ISNUMBER(BL195)),IFERROR(BL196/BL195,""),"")</f>
        <v>0.160183817495487</v>
      </c>
      <c r="BM197" s="215">
        <f>IF(AND(ISNUMBER(BM196),ISNUMBER(BM195)),IFERROR(BM196/BM195,""),"")</f>
        <v>0.188058220310949</v>
      </c>
      <c r="BN197" s="215">
        <f>IF(AND(ISNUMBER(BN196),ISNUMBER(BN195)),IFERROR(BN196/BN195,""),"")</f>
        <v>0.164613489374808</v>
      </c>
      <c r="BO197" s="215">
        <f>IF(AND(ISNUMBER(BO196),ISNUMBER(BO195)),IFERROR(BO196/BO195,""),"")</f>
        <v>0.17560245835355</v>
      </c>
      <c r="BP197" s="215">
        <f>IF(AND(ISNUMBER(BP196),ISNUMBER(BP195)),IFERROR(BP196/BP195,""),"")</f>
        <v>0.176514923123304</v>
      </c>
      <c r="BQ197" s="215">
        <f>IF(AND(ISNUMBER(BQ196),ISNUMBER(BQ195)),IFERROR(BQ196/BQ195,""),"")</f>
        <v>0.169033440219881</v>
      </c>
      <c r="BR197" s="215">
        <f>IF(AND(ISNUMBER(BR196),ISNUMBER(BR195)),IFERROR(BR196/BR195,""),"")</f>
        <v>0.173185941043084</v>
      </c>
      <c r="BS197" s="215">
        <f>IF(AND(ISNUMBER(BS196),ISNUMBER(BS195)),IFERROR(BS196/BS195,""),"")</f>
        <v>0.187482497899748</v>
      </c>
      <c r="BT197" s="215">
        <f>IF(AND(ISNUMBER(BT196),ISNUMBER(BT195)),IFERROR(BT196/BT195,""),"")</f>
        <v>0.176728388298455</v>
      </c>
      <c r="BU197" s="215">
        <f>IF(AND(ISNUMBER(BU196),ISNUMBER(BU195)),IFERROR(BU196/BU195,""),"")</f>
        <v>0.184119371169731</v>
      </c>
      <c r="BV197" s="215">
        <f>IF(AND(ISNUMBER(BV196),ISNUMBER(BV195)),IFERROR(BV196/BV195,""),"")</f>
        <v>0.163986290535196</v>
      </c>
      <c r="BW197" s="215">
        <f>IF(AND(ISNUMBER(BW196),ISNUMBER(BW195)),IFERROR(BW196/BW195,""),"")</f>
        <v>0.184455958549223</v>
      </c>
      <c r="BX197" s="256">
        <f>$CO$20</f>
        <v>0.19</v>
      </c>
      <c r="BY197" s="256">
        <f>IF(AND(ISNUMBER(BY196),ISNUMBER(BY195)),IFERROR(BY196/BY195,""),"")</f>
        <v>0.180745216590857</v>
      </c>
      <c r="BZ197" s="271" t="n">
        <v>0.185</v>
      </c>
      <c r="CA197" s="271" t="n">
        <v>0.185</v>
      </c>
      <c r="CB197" s="271" t="n">
        <v>0.185</v>
      </c>
      <c r="CC197" s="271" t="n">
        <v>0.185</v>
      </c>
      <c r="CD197" s="271" t="n">
        <v>0.185</v>
      </c>
      <c r="CE197" s="153" t="inlineStr">
        <is>
          <t>Q4/26E: point estimate from the FY26 18.0–18.25% commentary (UNVERIFIED; 9M FY26 non-GAAP 17.8%). 2027E+: input.</t>
        </is>
      </c>
      <c r="CG197" s="37">
        <f>IFERROR(AVERAGE(BZ197,CA197,CB197,CC197,CD197),"n/m")</f>
        <v>0.185</v>
      </c>
      <c r="CH197" s="37">
        <f>IFERROR(AVERAGE(AZ197,BE197,BJ197,BO197,BT197),"n/m")</f>
        <v>0.176174671754801</v>
      </c>
      <c r="CI197" s="37">
        <f>IFERROR(AVERAGE(AA197,AF197,AK197,AP197,AU197,AZ197,BE197,BJ197,BO197,BT197),"n/m")</f>
        <v>0.204567407853563</v>
      </c>
      <c r="CJ197" s="37">
        <f>IFERROR(AVERAGE(C197,D197,E197,F197,G197,L197,Q197,V197,AA197,AF197,AK197,AP197,AU197,AZ197,BE197,BJ197,BO197,BT197),"n/m")</f>
        <v>0.269612634212691</v>
      </c>
    </row>
    <row r="198" ht="15" customHeight="1" s="251">
      <c r="B198" s="158" t="inlineStr">
        <is>
          <t xml:space="preserve">  Definition / basis (company non-GAAP EPS definition)</t>
        </is>
      </c>
      <c r="C198" s="284" t="inlineStr">
        <is>
          <t>FY2008–09: "adjusted" excl. covered-litigation reserve, IPO restructuring, asset step-up amortization; normalized 41% tax rate</t>
        </is>
      </c>
      <c r="E198" s="284" t="inlineStr">
        <is>
          <t>FY2010–11: Visa Europe put-option revaluation only</t>
        </is>
      </c>
      <c r="G198" s="284" t="inlineStr">
        <is>
          <t>FY2012: litigation provision ($4.1bn interchange MDL), reversal of tax reserves, deferred tax remeasurement</t>
        </is>
      </c>
      <c r="H198" s="284" t="inlineStr">
        <is>
          <t>FY2013 – Q3 FY14: no reconciliation for the period (adjusted = GAAP; flag)</t>
        </is>
      </c>
      <c r="P198" s="284" t="inlineStr">
        <is>
          <t>Q4 FY14: litigation provision ($450m, covered litigation)</t>
        </is>
      </c>
      <c r="T198" s="284" t="inlineStr">
        <is>
          <t>Q3 FY15 / Q1 FY16: Visa Europe put-option revaluation</t>
        </is>
      </c>
      <c r="Y198" s="284" t="inlineStr">
        <is>
          <t>FY2016: Visa Europe acquisition — framework agreement loss, acquisition costs, currency forwards, FX on euro deposits; Q4: severance, DTL remeasurement</t>
        </is>
      </c>
      <c r="AC198" s="284" t="inlineStr">
        <is>
          <t>Q2 FY17: elimination of deferred tax balances, charitable contribution</t>
        </is>
      </c>
      <c r="AG198" s="284" t="inlineStr">
        <is>
          <t>FY2018: US tax reform (DTL remeasurement, transition tax), litigation provision, charitable contribution; Q2 FY18 none</t>
        </is>
      </c>
      <c r="AL198" s="284" t="inlineStr">
        <is>
          <t>Q1–Q3 FY19: no adjustments (adjusted = GAAP; later recast under the FY2020 definition — not used)</t>
        </is>
      </c>
      <c r="AO198" s="284" t="inlineStr">
        <is>
          <t>Q4 FY19: litigation provision</t>
        </is>
      </c>
      <c r="AQ198" s="284" t="inlineStr">
        <is>
          <t>FY2020+: definition adds (gains) losses on equity investments, amortization of acquired intangible assets and acquisition-related costs</t>
        </is>
      </c>
      <c r="BB198" s="284" t="inlineStr">
        <is>
          <t>FY2022+: Russia-Ukraine charges; FY2024: indirect taxes, lease consolidation, charitable contribution; FY2025–26: severance, deferred tax benefit</t>
        </is>
      </c>
      <c r="BX198" s="153" t="n"/>
      <c r="BY198" s="153" t="n"/>
      <c r="BZ198" s="153" t="n"/>
      <c r="CA198" s="153" t="n"/>
      <c r="CB198" s="153" t="n"/>
      <c r="CC198" s="153" t="n"/>
      <c r="CD198" s="153" t="n"/>
      <c r="CE198" s="19" t="n"/>
    </row>
    <row r="199" ht="15" customHeight="1" s="251">
      <c r="CM199" s="11" t="n"/>
      <c r="CN199" s="12" t="n"/>
      <c r="CO199" s="12" t="n"/>
      <c r="CP199" s="12" t="n"/>
      <c r="CQ199" s="13" t="n"/>
    </row>
    <row r="200" ht="15" customHeight="1" s="251">
      <c r="B200" s="10" t="inlineStr">
        <is>
          <t>GROWTH &amp; MARGINS</t>
        </is>
      </c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inlineStr">
        <is>
          <t>GROWTH &amp; MARGINS (consolidated) — forecast outputs</t>
        </is>
      </c>
    </row>
    <row r="201" ht="15" customHeight="1" s="251">
      <c r="B201" s="22" t="inlineStr">
        <is>
          <t xml:space="preserve">  Net revenue y/y %</t>
        </is>
      </c>
      <c r="C201" s="23" t="n"/>
      <c r="D201" s="255">
        <f>IF(AND(ISNUMBER(D113),ISNUMBER(C113)),IFERROR(D113/C113-1,""),"")</f>
        <v>0.103464793230081</v>
      </c>
      <c r="E201" s="255">
        <f>IF(AND(ISNUMBER(E113),ISNUMBER(D113)),IFERROR(E113/D113-1,""),"")</f>
        <v>0.166980176530169</v>
      </c>
      <c r="F201" s="255">
        <f>IF(AND(ISNUMBER(F113),ISNUMBER(E113)),IFERROR(F113/E113-1,""),"")</f>
        <v>0.139243645381277</v>
      </c>
      <c r="G201" s="255">
        <f>IF(AND(ISNUMBER(G113),ISNUMBER(F113)),IFERROR(G113/F113-1,""),"")</f>
        <v>0.134196778406617</v>
      </c>
      <c r="H201" s="23" t="n"/>
      <c r="I201" s="23" t="n"/>
      <c r="J201" s="23" t="n"/>
      <c r="K201" s="23" t="n"/>
      <c r="L201" s="255">
        <f>IF(AND(ISNUMBER(L113),ISNUMBER(G113)),IFERROR(L113/G113-1,""),"")</f>
        <v>0.130217829382977</v>
      </c>
      <c r="M201" s="255">
        <f>IF(AND(ISNUMBER(M113),ISNUMBER(H113)),IFERROR(M113/H113-1,""),"")</f>
        <v>0.108573436401968</v>
      </c>
      <c r="N201" s="255">
        <f>IF(AND(ISNUMBER(N113),ISNUMBER(I113)),IFERROR(N113/I113-1,""),"")</f>
        <v>0.0693035835023665</v>
      </c>
      <c r="O201" s="255">
        <f>IF(AND(ISNUMBER(O113),ISNUMBER(J113)),IFERROR(O113/J113-1,""),"")</f>
        <v>0.0513162279240254</v>
      </c>
      <c r="P201" s="255">
        <f>IF(AND(ISNUMBER(P113),ISNUMBER(K113)),IFERROR(P113/K113-1,""),"")</f>
        <v>0.0861083081062899</v>
      </c>
      <c r="Q201" s="255">
        <f>IF(AND(ISNUMBER(Q113),ISNUMBER(L113)),IFERROR(Q113/L113-1,""),"")</f>
        <v>0.0784513499745287</v>
      </c>
      <c r="R201" s="255">
        <f>IF(AND(ISNUMBER(R113),ISNUMBER(M113)),IFERROR(R113/M113-1,""),"")</f>
        <v>0.0719492868462757</v>
      </c>
      <c r="S201" s="255">
        <f>IF(AND(ISNUMBER(S113),ISNUMBER(N113)),IFERROR(S113/N113-1,""),"")</f>
        <v>0.0777742649383497</v>
      </c>
      <c r="T201" s="255">
        <f>IF(AND(ISNUMBER(T113),ISNUMBER(O113)),IFERROR(T113/O113-1,""),"")</f>
        <v>0.115055467511886</v>
      </c>
      <c r="U201" s="255">
        <f>IF(AND(ISNUMBER(U113),ISNUMBER(P113)),IFERROR(U113/P113-1,""),"")</f>
        <v>0.105915144007433</v>
      </c>
      <c r="V201" s="255">
        <f>IF(AND(ISNUMBER(V113),ISNUMBER(Q113)),IFERROR(V113/Q113-1,""),"")</f>
        <v>0.0927413005825855</v>
      </c>
      <c r="W201" s="255">
        <f>IF(AND(ISNUMBER(W113),ISNUMBER(R113)),IFERROR(W113/R113-1,""),"")</f>
        <v>0.0541099940863394</v>
      </c>
      <c r="X201" s="255">
        <f>IF(AND(ISNUMBER(X113),ISNUMBER(S113)),IFERROR(X113/S113-1,""),"")</f>
        <v>0.0636550308008215</v>
      </c>
      <c r="Y201" s="255">
        <f>IF(AND(ISNUMBER(Y113),ISNUMBER(T113)),IFERROR(Y113/T113-1,""),"")</f>
        <v>0.0318362706083002</v>
      </c>
      <c r="Z201" s="255">
        <f>IF(AND(ISNUMBER(Z113),ISNUMBER(U113)),IFERROR(Z113/U113-1,""),"")</f>
        <v>0.193223186782414</v>
      </c>
      <c r="AA201" s="255">
        <f>IF(AND(ISNUMBER(AA113),ISNUMBER(V113)),IFERROR(AA113/V113-1,""),"")</f>
        <v>0.0865994236311238</v>
      </c>
      <c r="AB201" s="255">
        <f>IF(AND(ISNUMBER(AB113),ISNUMBER(W113)),IFERROR(AB113/W113-1,""),"")</f>
        <v>0.251332398316971</v>
      </c>
      <c r="AC201" s="255">
        <f>IF(AND(ISNUMBER(AC113),ISNUMBER(X113)),IFERROR(AC113/X113-1,""),"")</f>
        <v>0.23469387755102</v>
      </c>
      <c r="AD201" s="255">
        <f>IF(AND(ISNUMBER(AD113),ISNUMBER(Y113)),IFERROR(AD113/Y113-1,""),"")</f>
        <v>0.257575757575758</v>
      </c>
      <c r="AE201" s="255">
        <f>IF(AND(ISNUMBER(AE113),ISNUMBER(Z113)),IFERROR(AE113/Z113-1,""),"")</f>
        <v>0.139403895799108</v>
      </c>
      <c r="AF201" s="255">
        <f>IF(AND(ISNUMBER(AF113),ISNUMBER(AA113)),IFERROR(AF113/AA113-1,""),"")</f>
        <v>0.217212571277019</v>
      </c>
      <c r="AG201" s="255">
        <f>IF(AND(ISNUMBER(AG113),ISNUMBER(AB113)),IFERROR(AG113/AB113-1,""),"")</f>
        <v>0.0898901591571397</v>
      </c>
      <c r="AH201" s="255">
        <f>IF(AND(ISNUMBER(AH113),ISNUMBER(AC113)),IFERROR(AH113/AC113-1,""),"")</f>
        <v>0.133124860397588</v>
      </c>
      <c r="AI201" s="255">
        <f>IF(AND(ISNUMBER(AI113),ISNUMBER(AD113)),IFERROR(AI113/AD113-1,""),"")</f>
        <v>0.147864184008762</v>
      </c>
      <c r="AJ201" s="255">
        <f>IF(AND(ISNUMBER(AJ113),ISNUMBER(AE113)),IFERROR(AJ113/AE113-1,""),"")</f>
        <v>0.119258496395469</v>
      </c>
      <c r="AK201" s="255">
        <f>IF(AND(ISNUMBER(AK113),ISNUMBER(AF113)),IFERROR(AK113/AF113-1,""),"")</f>
        <v>0.122616842793333</v>
      </c>
      <c r="AL201" s="255">
        <f>IF(AND(ISNUMBER(AL113),ISNUMBER(AG113)),IFERROR(AL113/AG113-1,""),"")</f>
        <v>0.132455779514603</v>
      </c>
      <c r="AM201" s="255">
        <f>IF(AND(ISNUMBER(AM113),ISNUMBER(AH113)),IFERROR(AM113/AH113-1,""),"")</f>
        <v>0.0829883698009069</v>
      </c>
      <c r="AN201" s="255">
        <f>IF(AND(ISNUMBER(AN113),ISNUMBER(AI113)),IFERROR(AN113/AI113-1,""),"")</f>
        <v>0.114503816793893</v>
      </c>
      <c r="AO201" s="255">
        <f>IF(AND(ISNUMBER(AO113),ISNUMBER(AJ113)),IFERROR(AO113/AJ113-1,""),"")</f>
        <v>0.129370629370629</v>
      </c>
      <c r="AP201" s="255">
        <f>IF(AND(ISNUMBER(AP113),ISNUMBER(AK113)),IFERROR(AP113/AK113-1,""),"")</f>
        <v>0.114901256732495</v>
      </c>
      <c r="AQ201" s="255">
        <f>IF(AND(ISNUMBER(AQ113),ISNUMBER(AL113)),IFERROR(AQ113/AL113-1,""),"")</f>
        <v>0.0995277878677805</v>
      </c>
      <c r="AR201" s="255">
        <f>IF(AND(ISNUMBER(AR113),ISNUMBER(AM113)),IFERROR(AR113/AM113-1,""),"")</f>
        <v>0.0655260283946124</v>
      </c>
      <c r="AS201" s="255">
        <f>IF(AND(ISNUMBER(AS113),ISNUMBER(AN113)),IFERROR(AS113/AN113-1,""),"")</f>
        <v>-0.171746575342466</v>
      </c>
      <c r="AT201" s="255">
        <f>IF(AND(ISNUMBER(AT113),ISNUMBER(AO113)),IFERROR(AT113/AO113-1,""),"")</f>
        <v>-0.168812123187225</v>
      </c>
      <c r="AU201" s="255">
        <f>IF(AND(ISNUMBER(AU113),ISNUMBER(AP113)),IFERROR(AU113/AP113-1,""),"")</f>
        <v>-0.0492231361796579</v>
      </c>
      <c r="AV201" s="255">
        <f>IF(AND(ISNUMBER(AV113),ISNUMBER(AQ113)),IFERROR(AV113/AQ113-1,""),"")</f>
        <v>-0.0606210769739015</v>
      </c>
      <c r="AW201" s="255">
        <f>IF(AND(ISNUMBER(AW113),ISNUMBER(AR113)),IFERROR(AW113/AR113-1,""),"")</f>
        <v>-0.0213529210796037</v>
      </c>
      <c r="AX201" s="255">
        <f>IF(AND(ISNUMBER(AX113),ISNUMBER(AS113)),IFERROR(AX113/AS113-1,""),"")</f>
        <v>0.267314451106057</v>
      </c>
      <c r="AY201" s="255">
        <f>IF(AND(ISNUMBER(AY113),ISNUMBER(AT113)),IFERROR(AY113/AT113-1,""),"")</f>
        <v>0.285826308566948</v>
      </c>
      <c r="AZ201" s="255">
        <f>IF(AND(ISNUMBER(AZ113),ISNUMBER(AU113)),IFERROR(AZ113/AU113-1,""),"")</f>
        <v>0.103405657786322</v>
      </c>
      <c r="BA201" s="255">
        <f>IF(AND(ISNUMBER(BA113),ISNUMBER(AV113)),IFERROR(BA113/AV113-1,""),"")</f>
        <v>0.241251978195885</v>
      </c>
      <c r="BB201" s="255">
        <f>IF(AND(ISNUMBER(BB113),ISNUMBER(AW113)),IFERROR(BB113/AW113-1,""),"")</f>
        <v>0.254843777273521</v>
      </c>
      <c r="BC201" s="255">
        <f>IF(AND(ISNUMBER(BC113),ISNUMBER(AX113)),IFERROR(BC113/AX113-1,""),"")</f>
        <v>0.186786296900489</v>
      </c>
      <c r="BD201" s="255">
        <f>IF(AND(ISNUMBER(BD113),ISNUMBER(AY113)),IFERROR(BD113/AY113-1,""),"")</f>
        <v>0.187223662143619</v>
      </c>
      <c r="BE201" s="255">
        <f>IF(AND(ISNUMBER(BE113),ISNUMBER(AZ113)),IFERROR(BE113/AZ113-1,""),"")</f>
        <v>0.215930304915993</v>
      </c>
      <c r="BF201" s="255">
        <f>IF(AND(ISNUMBER(BF113),ISNUMBER(BA113)),IFERROR(BF113/BA113-1,""),"")</f>
        <v>0.124238560702649</v>
      </c>
      <c r="BG201" s="255">
        <f>IF(AND(ISNUMBER(BG113),ISNUMBER(BB113)),IFERROR(BG113/BB113-1,""),"")</f>
        <v>0.110724718319655</v>
      </c>
      <c r="BH201" s="255">
        <f>IF(AND(ISNUMBER(BH113),ISNUMBER(BC113)),IFERROR(BH113/BC113-1,""),"")</f>
        <v>0.116563573883161</v>
      </c>
      <c r="BI201" s="255">
        <f>IF(AND(ISNUMBER(BI113),ISNUMBER(BD113)),IFERROR(BI113/BD113-1,""),"")</f>
        <v>0.105560549634005</v>
      </c>
      <c r="BJ201" s="255">
        <f>IF(AND(ISNUMBER(BJ113),ISNUMBER(BE113)),IFERROR(BJ113/BE113-1,""),"")</f>
        <v>0.114056635960423</v>
      </c>
      <c r="BK201" s="255">
        <f>IF(AND(ISNUMBER(BK113),ISNUMBER(BF113)),IFERROR(BK113/BF113-1,""),"")</f>
        <v>0.087953629032258</v>
      </c>
      <c r="BL201" s="255">
        <f>IF(AND(ISNUMBER(BL113),ISNUMBER(BG113)),IFERROR(BL113/BG113-1,""),"")</f>
        <v>0.0989355040701314</v>
      </c>
      <c r="BM201" s="255">
        <f>IF(AND(ISNUMBER(BM113),ISNUMBER(BH113)),IFERROR(BM113/BH113-1,""),"")</f>
        <v>0.0956543149082851</v>
      </c>
      <c r="BN201" s="255">
        <f>IF(AND(ISNUMBER(BN113),ISNUMBER(BI113)),IFERROR(BN113/BI113-1,""),"")</f>
        <v>0.117086769659658</v>
      </c>
      <c r="BO201" s="255">
        <f>IF(AND(ISNUMBER(BO113),ISNUMBER(BJ113)),IFERROR(BO113/BJ113-1,""),"")</f>
        <v>0.100235812942149</v>
      </c>
      <c r="BP201" s="255">
        <f>IF(AND(ISNUMBER(BP113),ISNUMBER(BK113)),IFERROR(BP113/BK113-1,""),"")</f>
        <v>0.101459346768589</v>
      </c>
      <c r="BQ201" s="255">
        <f>IF(AND(ISNUMBER(BQ113),ISNUMBER(BL113)),IFERROR(BQ113/BL113-1,""),"")</f>
        <v>0.0933333333333333</v>
      </c>
      <c r="BR201" s="255">
        <f>IF(AND(ISNUMBER(BR113),ISNUMBER(BM113)),IFERROR(BR113/BM113-1,""),"")</f>
        <v>0.142921348314607</v>
      </c>
      <c r="BS201" s="255">
        <f>IF(AND(ISNUMBER(BS113),ISNUMBER(BN113)),IFERROR(BS113/BN113-1,""),"")</f>
        <v>0.115108661744827</v>
      </c>
      <c r="BT201" s="255">
        <f>IF(AND(ISNUMBER(BT113),ISNUMBER(BO113)),IFERROR(BT113/BO113-1,""),"")</f>
        <v>0.113399766186049</v>
      </c>
      <c r="BU201" s="255">
        <f>IF(AND(ISNUMBER(BU113),ISNUMBER(BP113)),IFERROR(BU113/BP113-1,""),"")</f>
        <v>0.146267087276551</v>
      </c>
      <c r="BV201" s="255">
        <f>IF(AND(ISNUMBER(BV113),ISNUMBER(BQ113)),IFERROR(BV113/BQ113-1,""),"")</f>
        <v>0.170523243693975</v>
      </c>
      <c r="BW201" s="255">
        <f>IF(AND(ISNUMBER(BW113),ISNUMBER(BR113)),IFERROR(BW113/BR113-1,""),"")</f>
        <v>0.143629571372395</v>
      </c>
      <c r="BX201" s="256">
        <f>IF(AND(ISNUMBER(BX113),ISNUMBER(BS113)),IFERROR(BX113/BS113-1,""),"")</f>
        <v>0.13</v>
      </c>
      <c r="BY201" s="256">
        <f>IF(AND(ISNUMBER(BY113),ISNUMBER(BT113)),IFERROR(BY113/BT113-1,""),"")</f>
        <v>0.147053</v>
      </c>
      <c r="BZ201" s="256">
        <f>IF(AND(ISNUMBER(BZ113),ISNUMBER(BY113)),IFERROR(BZ113/BY113-1,""),"")</f>
        <v>0.105201246083</v>
      </c>
      <c r="CA201" s="256">
        <f>IF(AND(ISNUMBER(CA113),ISNUMBER(BZ113)),IFERROR(CA113/BZ113-1,""),"")</f>
        <v>0.108833332396834</v>
      </c>
      <c r="CB201" s="256">
        <f>IF(AND(ISNUMBER(CB113),ISNUMBER(CA113)),IFERROR(CB113/CA113-1,""),"")</f>
        <v>0.101411548414879</v>
      </c>
      <c r="CC201" s="256">
        <f>IF(AND(ISNUMBER(CC113),ISNUMBER(CB113)),IFERROR(CC113/CB113-1,""),"")</f>
        <v>0.094280656570368</v>
      </c>
      <c r="CD201" s="256">
        <f>IF(AND(ISNUMBER(CD113),ISNUMBER(CC113)),IFERROR(CD113/CC113-1,""),"")</f>
        <v>0.0911092241758458</v>
      </c>
      <c r="CE201" s="153" t="n"/>
      <c r="CG201" s="37">
        <f>IFERROR(AVERAGE(BZ201,CA201,CB201,CC201,CD201),"n/m")</f>
        <v>0.100167201528185</v>
      </c>
      <c r="CH201" s="37">
        <f>IFERROR(AVERAGE(AZ201,BE201,BJ201,BO201,BT201),"n/m")</f>
        <v>0.129405635558187</v>
      </c>
      <c r="CI201" s="37">
        <f>IFERROR(AVERAGE(AA201,AF201,AK201,AP201,AU201,AZ201,BE201,BJ201,BO201,BT201),"n/m")</f>
        <v>0.113913513604525</v>
      </c>
      <c r="CJ201" s="37">
        <f>IFERROR(AVERAGE(C201,D201,E201,F201,G201,L201,Q201,V201,AA201,AF201,AK201,AP201,AU201,AZ201,BE201,BJ201,BO201,BT201),"n/m")</f>
        <v>0.116731235854911</v>
      </c>
    </row>
    <row r="202" ht="15" customHeight="1" s="251">
      <c r="B202" s="22" t="inlineStr">
        <is>
          <t xml:space="preserve">  Nominal payments volume y/y %</t>
        </is>
      </c>
      <c r="C202" s="23" t="n"/>
      <c r="D202" s="255">
        <f>IF(AND(ISNUMBER(D11),ISNUMBER(C11)),IFERROR(D11/C11-1,""),"")</f>
      </c>
      <c r="E202" s="255">
        <f>IF(AND(ISNUMBER(E11),ISNUMBER(D11)),IFERROR(E11/D11-1,""),"")</f>
        <v>0.133631952220978</v>
      </c>
      <c r="F202" s="255">
        <f>IF(AND(ISNUMBER(F11),ISNUMBER(E11)),IFERROR(F11/E11-1,""),"")</f>
        <v>0.162331247942048</v>
      </c>
      <c r="G202" s="255">
        <f>IF(AND(ISNUMBER(G11),ISNUMBER(F11)),IFERROR(G11/F11-1,""),"")</f>
        <v>0.104532577903683</v>
      </c>
      <c r="H202" s="23" t="n"/>
      <c r="I202" s="23" t="n"/>
      <c r="J202" s="23" t="n"/>
      <c r="K202" s="23" t="n"/>
      <c r="L202" s="255">
        <f>IF(AND(ISNUMBER(L11),ISNUMBER(G11)),IFERROR(L11/G11-1,""),"")</f>
        <v>0.076429853808669</v>
      </c>
      <c r="M202" s="255">
        <f>IF(AND(ISNUMBER(M11),ISNUMBER(H11)),IFERROR(M11/H11-1,""),"")</f>
        <v>0.0952380952380953</v>
      </c>
      <c r="N202" s="255">
        <f>IF(AND(ISNUMBER(N11),ISNUMBER(I11)),IFERROR(N11/I11-1,""),"")</f>
        <v>0.0837988826815643</v>
      </c>
      <c r="O202" s="255">
        <f>IF(AND(ISNUMBER(O11),ISNUMBER(J11)),IFERROR(O11/J11-1,""),"")</f>
        <v>0.0809756097560976</v>
      </c>
      <c r="P202" s="255">
        <f>IF(AND(ISNUMBER(P11),ISNUMBER(K11)),IFERROR(P11/K11-1,""),"")</f>
        <v>0.0916590284142989</v>
      </c>
      <c r="Q202" s="255">
        <f>IF(AND(ISNUMBER(Q11),ISNUMBER(L11)),IFERROR(Q11/L11-1,""),"")</f>
        <v>0.0881582082439838</v>
      </c>
      <c r="R202" s="255">
        <f>IF(AND(ISNUMBER(R11),ISNUMBER(M11)),IFERROR(R11/M11-1,""),"")</f>
        <v>0.102355072463768</v>
      </c>
      <c r="S202" s="255">
        <f>IF(AND(ISNUMBER(S11),ISNUMBER(N11)),IFERROR(S11/N11-1,""),"")</f>
        <v>0.0695876288659794</v>
      </c>
      <c r="T202" s="255">
        <f>IF(AND(ISNUMBER(T11),ISNUMBER(O11)),IFERROR(T11/O11-1,""),"")</f>
        <v>0.0541516245487366</v>
      </c>
      <c r="U202" s="255">
        <f>IF(AND(ISNUMBER(U11),ISNUMBER(P11)),IFERROR(U11/P11-1,""),"")</f>
        <v>0.0528967254408062</v>
      </c>
      <c r="V202" s="255">
        <f>IF(AND(ISNUMBER(V11),ISNUMBER(Q11)),IFERROR(V11/Q11-1,""),"")</f>
        <v>0.0694109918984016</v>
      </c>
      <c r="W202" s="255">
        <f>IF(AND(ISNUMBER(W11),ISNUMBER(R11)),IFERROR(W11/R11-1,""),"")</f>
        <v>0.0394412489728841</v>
      </c>
      <c r="X202" s="255">
        <f>IF(AND(ISNUMBER(X11),ISNUMBER(S11)),IFERROR(X11/S11-1,""),"")</f>
        <v>0.0481927710843373</v>
      </c>
      <c r="Y202" s="255">
        <f>IF(AND(ISNUMBER(Y11),ISNUMBER(T11)),IFERROR(Y11/T11-1,""),"")</f>
        <v>0.0727739726027397</v>
      </c>
      <c r="Z202" s="255">
        <f>IF(AND(ISNUMBER(Z11),ISNUMBER(U11)),IFERROR(Z11/U11-1,""),"")</f>
        <v>0.457735247208931</v>
      </c>
      <c r="AA202" s="255">
        <f>IF(AND(ISNUMBER(AA11),ISNUMBER(V11)),IFERROR(AA11/V11-1,""),"")</f>
        <v>0.157043407043407</v>
      </c>
      <c r="AB202" s="255">
        <f>IF(AND(ISNUMBER(AB11),ISNUMBER(W11)),IFERROR(AB11/W11-1,""),"")</f>
        <v>0.468774703557312</v>
      </c>
      <c r="AC202" s="255">
        <f>IF(AND(ISNUMBER(AC11),ISNUMBER(X11)),IFERROR(AC11/X11-1,""),"")</f>
        <v>0.380842911877395</v>
      </c>
      <c r="AD202" s="255">
        <f>IF(AND(ISNUMBER(AD11),ISNUMBER(Y11)),IFERROR(AD11/Y11-1,""),"")</f>
        <v>0.383878691141261</v>
      </c>
      <c r="AE202" s="255">
        <f>IF(AND(ISNUMBER(AE11),ISNUMBER(Z11)),IFERROR(AE11/Z11-1,""),"")</f>
        <v>0.0213347921225382</v>
      </c>
      <c r="AF202" s="255">
        <f>IF(AND(ISNUMBER(AF11),ISNUMBER(AA11)),IFERROR(AF11/AA11-1,""),"")</f>
        <v>0.285613165811361</v>
      </c>
      <c r="AG202" s="255">
        <f>IF(AND(ISNUMBER(AG11),ISNUMBER(AB11)),IFERROR(AG11/AB11-1,""),"")</f>
        <v>0.038751345532831</v>
      </c>
      <c r="AH202" s="255">
        <f>IF(AND(ISNUMBER(AH11),ISNUMBER(AC11)),IFERROR(AH11/AC11-1,""),"")</f>
        <v>0.12819089900111</v>
      </c>
      <c r="AI202" s="255">
        <f>IF(AND(ISNUMBER(AI11),ISNUMBER(AD11)),IFERROR(AI11/AD11-1,""),"")</f>
        <v>0.152249134948097</v>
      </c>
      <c r="AJ202" s="255">
        <f>IF(AND(ISNUMBER(AJ11),ISNUMBER(AE11)),IFERROR(AJ11/AE11-1,""),"")</f>
        <v>0.125334761649705</v>
      </c>
      <c r="AK202" s="255">
        <f>IF(AND(ISNUMBER(AK11),ISNUMBER(AF11)),IFERROR(AK11/AF11-1,""),"")</f>
        <v>0.109841706813489</v>
      </c>
      <c r="AL202" s="255">
        <f>IF(AND(ISNUMBER(AL11),ISNUMBER(AG11)),IFERROR(AL11/AG11-1,""),"")</f>
        <v>0.094300518134715</v>
      </c>
      <c r="AM202" s="255">
        <f>IF(AND(ISNUMBER(AM11),ISNUMBER(AH11)),IFERROR(AM11/AH11-1,""),"")</f>
        <v>0.0806689621249386</v>
      </c>
      <c r="AN202" s="255">
        <f>IF(AND(ISNUMBER(AN11),ISNUMBER(AI11)),IFERROR(AN11/AI11-1,""),"")</f>
        <v>0.0435435435435436</v>
      </c>
      <c r="AO202" s="255">
        <f>IF(AND(ISNUMBER(AO11),ISNUMBER(AJ11)),IFERROR(AO11/AJ11-1,""),"")</f>
        <v>0.0604474059971443</v>
      </c>
      <c r="AP202" s="255">
        <f>IF(AND(ISNUMBER(AP11),ISNUMBER(AK11)),IFERROR(AP11/AK11-1,""),"")</f>
        <v>0.0689569639092149</v>
      </c>
      <c r="AQ202" s="255">
        <f>IF(AND(ISNUMBER(AQ11),ISNUMBER(AL11)),IFERROR(AQ11/AL11-1,""),"")</f>
        <v>0.074810606060606</v>
      </c>
      <c r="AR202" s="255">
        <f>IF(AND(ISNUMBER(AR11),ISNUMBER(AM11)),IFERROR(AR11/AM11-1,""),"")</f>
        <v>0.0746472462448793</v>
      </c>
      <c r="AS202" s="255">
        <f>IF(AND(ISNUMBER(AS11),ISNUMBER(AN11)),IFERROR(AS11/AN11-1,""),"")</f>
        <v>0.0215827338129497</v>
      </c>
      <c r="AT202" s="255">
        <f>IF(AND(ISNUMBER(AT11),ISNUMBER(AO11)),IFERROR(AT11/AO11-1,""),"")</f>
        <v>-0.122531418312388</v>
      </c>
      <c r="AU202" s="255">
        <f>IF(AND(ISNUMBER(AU11),ISNUMBER(AP11)),IFERROR(AU11/AP11-1,""),"")</f>
        <v>0.0109061376029702</v>
      </c>
      <c r="AV202" s="255">
        <f>IF(AND(ISNUMBER(AV11),ISNUMBER(AQ11)),IFERROR(AV11/AQ11-1,""),"")</f>
        <v>0.0348017621145373</v>
      </c>
      <c r="AW202" s="255">
        <f>IF(AND(ISNUMBER(AW11),ISNUMBER(AR11)),IFERROR(AW11/AR11-1,""),"")</f>
        <v>0.0482846251588309</v>
      </c>
      <c r="AX202" s="255">
        <f>IF(AND(ISNUMBER(AX11),ISNUMBER(AS11)),IFERROR(AX11/AS11-1,""),"")</f>
        <v>0.137558685446009</v>
      </c>
      <c r="AY202" s="255">
        <f>IF(AND(ISNUMBER(AY11),ISNUMBER(AT11)),IFERROR(AY11/AT11-1,""),"")</f>
        <v>0.391304347826087</v>
      </c>
      <c r="AZ202" s="255">
        <f>IF(AND(ISNUMBER(AZ11),ISNUMBER(AU11)),IFERROR(AZ11/AU11-1,""),"")</f>
        <v>0.144037644898428</v>
      </c>
      <c r="BA202" s="255">
        <f>IF(AND(ISNUMBER(BA11),ISNUMBER(AV11)),IFERROR(BA11/AV11-1,""),"")</f>
        <v>0.185185185185185</v>
      </c>
      <c r="BB202" s="255">
        <f>IF(AND(ISNUMBER(BB11),ISNUMBER(AW11)),IFERROR(BB11/AW11-1,""),"")</f>
        <v>0.197171717171717</v>
      </c>
      <c r="BC202" s="255">
        <f>IF(AND(ISNUMBER(BC11),ISNUMBER(AX11)),IFERROR(BC11/AX11-1,""),"")</f>
        <v>0.145274453157243</v>
      </c>
      <c r="BD202" s="255">
        <f>IF(AND(ISNUMBER(BD11),ISNUMBER(AY11)),IFERROR(BD11/AY11-1,""),"")</f>
        <v>0.0816176470588235</v>
      </c>
      <c r="BE202" s="255">
        <f>IF(AND(ISNUMBER(BE11),ISNUMBER(AZ11)),IFERROR(BE11/AZ11-1,""),"")</f>
        <v>0.15008025682183</v>
      </c>
      <c r="BF202" s="255">
        <f>IF(AND(ISNUMBER(BF11),ISNUMBER(BA11)),IFERROR(BF11/BA11-1,""),"")</f>
        <v>0.0520833333333333</v>
      </c>
      <c r="BG202" s="255">
        <f>IF(AND(ISNUMBER(BG11),ISNUMBER(BB11)),IFERROR(BG11/BB11-1,""),"")</f>
        <v>0.0185622679716504</v>
      </c>
      <c r="BH202" s="255">
        <f>IF(AND(ISNUMBER(BH11),ISNUMBER(BC11)),IFERROR(BH11/BC11-1,""),"")</f>
        <v>0.0655855855855856</v>
      </c>
      <c r="BI202" s="255">
        <f>IF(AND(ISNUMBER(BI11),ISNUMBER(BD11)),IFERROR(BI11/BD11-1,""),"")</f>
        <v>0.0761386811692726</v>
      </c>
      <c r="BJ202" s="255">
        <f>IF(AND(ISNUMBER(BJ11),ISNUMBER(BE11)),IFERROR(BJ11/BE11-1,""),"")</f>
        <v>0.0532100488485694</v>
      </c>
      <c r="BK202" s="255">
        <f>IF(AND(ISNUMBER(BK11),ISNUMBER(BF11)),IFERROR(BK11/BF11-1,""),"")</f>
        <v>0.091840218504609</v>
      </c>
      <c r="BL202" s="255">
        <f>IF(AND(ISNUMBER(BL11),ISNUMBER(BG11)),IFERROR(BL11/BG11-1,""),"")</f>
        <v>0.0868124585818424</v>
      </c>
      <c r="BM202" s="255">
        <f>IF(AND(ISNUMBER(BM11),ISNUMBER(BH11)),IFERROR(BM11/BH11-1,""),"")</f>
        <v>0.0727088265133582</v>
      </c>
      <c r="BN202" s="255">
        <f>IF(AND(ISNUMBER(BN11),ISNUMBER(BI11)),IFERROR(BN11/BI11-1,""),"")</f>
        <v>0.051168667087808</v>
      </c>
      <c r="BO202" s="255">
        <f>IF(AND(ISNUMBER(BO11),ISNUMBER(BJ11)),IFERROR(BO11/BJ11-1,""),"")</f>
        <v>0.0753685605433163</v>
      </c>
      <c r="BP202" s="255">
        <f>IF(AND(ISNUMBER(BP11),ISNUMBER(BK11)),IFERROR(BP11/BK11-1,""),"")</f>
        <v>0.0662914321450907</v>
      </c>
      <c r="BQ202" s="255">
        <f>IF(AND(ISNUMBER(BQ11),ISNUMBER(BL11)),IFERROR(BQ11/BL11-1,""),"")</f>
        <v>0.0743902439024391</v>
      </c>
      <c r="BR202" s="255">
        <f>IF(AND(ISNUMBER(BR11),ISNUMBER(BM11)),IFERROR(BR11/BM11-1,""),"")</f>
        <v>0.0542244640605296</v>
      </c>
      <c r="BS202" s="255">
        <f>IF(AND(ISNUMBER(BS11),ISNUMBER(BN11)),IFERROR(BS11/BN11-1,""),"")</f>
        <v>0.0868389423076923</v>
      </c>
      <c r="BT202" s="255">
        <f>IF(AND(ISNUMBER(BT11),ISNUMBER(BO11)),IFERROR(BT11/BO11-1,""),"")</f>
        <v>0.0700862600123229</v>
      </c>
      <c r="BU202" s="255">
        <f>IF(AND(ISNUMBER(BU11),ISNUMBER(BP11)),IFERROR(BU11/BP11-1,""),"")</f>
        <v>0.0944281524926687</v>
      </c>
      <c r="BV202" s="255">
        <f>IF(AND(ISNUMBER(BV11),ISNUMBER(BQ11)),IFERROR(BV11/BQ11-1,""),"")</f>
        <v>0.097616345062429</v>
      </c>
      <c r="BW202" s="255">
        <f>IF(AND(ISNUMBER(BW11),ISNUMBER(BR11)),IFERROR(BW11/BR11-1,""),"")</f>
        <v>0.114832535885167</v>
      </c>
      <c r="BX202" s="256">
        <f>IF(AND(ISNUMBER(BX11),ISNUMBER(BS11)),IFERROR(BX11/BS11-1,""),"")</f>
        <v>0.11</v>
      </c>
      <c r="BY202" s="256">
        <f>IF(AND(ISNUMBER(BY11),ISNUMBER(BT11)),IFERROR(BY11/BT11-1,""),"")</f>
        <v>0.104280264862531</v>
      </c>
      <c r="BZ202" s="256">
        <f>IF(AND(ISNUMBER(BZ11),ISNUMBER(BY11)),IFERROR(BZ11/BY11-1,""),"")</f>
        <v>0.085</v>
      </c>
      <c r="CA202" s="256">
        <f>IF(AND(ISNUMBER(CA11),ISNUMBER(BZ11)),IFERROR(CA11/BZ11-1,""),"")</f>
        <v>0.0800000000000001</v>
      </c>
      <c r="CB202" s="256">
        <f>IF(AND(ISNUMBER(CB11),ISNUMBER(CA11)),IFERROR(CB11/CA11-1,""),"")</f>
        <v>0.0800000000000001</v>
      </c>
      <c r="CC202" s="256">
        <f>IF(AND(ISNUMBER(CC11),ISNUMBER(CB11)),IFERROR(CC11/CB11-1,""),"")</f>
        <v>0.075</v>
      </c>
      <c r="CD202" s="256">
        <f>IF(AND(ISNUMBER(CD11),ISNUMBER(CC11)),IFERROR(CD11/CC11-1,""),"")</f>
        <v>0.075</v>
      </c>
      <c r="CE202" s="153" t="n"/>
      <c r="CG202" s="37">
        <f>IFERROR(AVERAGE(BZ202,CA202,CB202,CC202,CD202),"n/m")</f>
        <v>0.079</v>
      </c>
      <c r="CH202" s="37">
        <f>IFERROR(AVERAGE(AZ202,BE202,BJ202,BO202,BT202),"n/m")</f>
        <v>0.0985565542248932</v>
      </c>
      <c r="CI202" s="37">
        <f>IFERROR(AVERAGE(AA202,AF202,AK202,AP202,AU202,AZ202,BE202,BJ202,BO202,BT202),"n/m")</f>
        <v>0.112514415230491</v>
      </c>
      <c r="CJ202" s="37">
        <f>IFERROR(AVERAGE(C202,D202,E202,F202,G202,L202,Q202,V202,AA202,AF202,AK202,AP202,AU202,AZ202,BE202,BJ202,BO202,BT202),"n/m")</f>
        <v>0.109977436520167</v>
      </c>
    </row>
    <row r="203" ht="15" customHeight="1" s="251">
      <c r="B203" s="22" t="inlineStr">
        <is>
          <t xml:space="preserve">  Processed transactions y/y %</t>
        </is>
      </c>
      <c r="C203" s="23" t="n"/>
      <c r="D203" s="255">
        <f>IF(AND(ISNUMBER(D16),ISNUMBER(C16)),IFERROR(D16/C16-1,""),"")</f>
      </c>
      <c r="E203" s="255">
        <f>IF(AND(ISNUMBER(E16),ISNUMBER(D16)),IFERROR(E16/D16-1,""),"")</f>
      </c>
      <c r="F203" s="255">
        <f>IF(AND(ISNUMBER(F16),ISNUMBER(E16)),IFERROR(F16/E16-1,""),"")</f>
      </c>
      <c r="G203" s="255">
        <f>IF(AND(ISNUMBER(G16),ISNUMBER(F16)),IFERROR(G16/F16-1,""),"")</f>
      </c>
      <c r="H203" s="23" t="n"/>
      <c r="I203" s="23" t="n"/>
      <c r="J203" s="23" t="n"/>
      <c r="K203" s="23" t="n"/>
      <c r="L203" s="255">
        <f>IF(AND(ISNUMBER(L16),ISNUMBER(G16)),IFERROR(L16/G16-1,""),"")</f>
        <v>0.0965418948315955</v>
      </c>
      <c r="M203" s="255">
        <f>IF(AND(ISNUMBER(M16),ISNUMBER(H16)),IFERROR(M16/H16-1,""),"")</f>
        <v>0.128963909880641</v>
      </c>
      <c r="N203" s="255">
        <f>IF(AND(ISNUMBER(N16),ISNUMBER(I16)),IFERROR(N16/I16-1,""),"")</f>
        <v>0.108592057761733</v>
      </c>
      <c r="O203" s="255">
        <f>IF(AND(ISNUMBER(O16),ISNUMBER(J16)),IFERROR(O16/J16-1,""),"")</f>
        <v>0.112877371092706</v>
      </c>
      <c r="P203" s="255">
        <f>IF(AND(ISNUMBER(P16),ISNUMBER(K16)),IFERROR(P16/K16-1,""),"")</f>
        <v>0.0937318442966884</v>
      </c>
      <c r="Q203" s="255">
        <f>IF(AND(ISNUMBER(Q16),ISNUMBER(L16)),IFERROR(Q16/L16-1,""),"")</f>
        <v>0.11068545628677</v>
      </c>
      <c r="R203" s="255">
        <f>IF(AND(ISNUMBER(R16),ISNUMBER(M16)),IFERROR(R16/M16-1,""),"")</f>
        <v>0.100969659055364</v>
      </c>
      <c r="S203" s="255">
        <f>IF(AND(ISNUMBER(S16),ISNUMBER(N16)),IFERROR(S16/N16-1,""),"")</f>
        <v>0.10590074247753</v>
      </c>
      <c r="T203" s="255">
        <f>IF(AND(ISNUMBER(T16),ISNUMBER(O16)),IFERROR(T16/O16-1,""),"")</f>
        <v>0.0817428880086424</v>
      </c>
      <c r="U203" s="255">
        <f>IF(AND(ISNUMBER(U16),ISNUMBER(P16)),IFERROR(U16/P16-1,""),"")</f>
        <v>0.0838694446083927</v>
      </c>
      <c r="V203" s="255">
        <f>IF(AND(ISNUMBER(V16),ISNUMBER(Q16)),IFERROR(V16/Q16-1,""),"")</f>
        <v>0.0927568366592757</v>
      </c>
      <c r="W203" s="255">
        <f>IF(AND(ISNUMBER(W16),ISNUMBER(R16)),IFERROR(W16/R16-1,""),"")</f>
        <v>0.0788112960963692</v>
      </c>
      <c r="X203" s="255">
        <f>IF(AND(ISNUMBER(X16),ISNUMBER(S16)),IFERROR(X16/S16-1,""),"")</f>
        <v>0.0880447585394582</v>
      </c>
      <c r="Y203" s="255">
        <f>IF(AND(ISNUMBER(Y16),ISNUMBER(T16)),IFERROR(Y16/T16-1,""),"")</f>
        <v>0.0973146915224146</v>
      </c>
      <c r="Z203" s="255">
        <f>IF(AND(ISNUMBER(Z16),ISNUMBER(U16)),IFERROR(Z16/U16-1,""),"")</f>
        <v>0.41151165323459</v>
      </c>
      <c r="AA203" s="255">
        <f>IF(AND(ISNUMBER(AA16),ISNUMBER(V16)),IFERROR(AA16/V16-1,""),"")</f>
        <v>0.171781648066734</v>
      </c>
      <c r="AB203" s="255">
        <f>IF(AND(ISNUMBER(AB16),ISNUMBER(W16)),IFERROR(AB16/W16-1,""),"")</f>
        <v>0.439429052986411</v>
      </c>
      <c r="AC203" s="255">
        <f>IF(AND(ISNUMBER(AC16),ISNUMBER(X16)),IFERROR(AC16/X16-1,""),"")</f>
        <v>0.421163734776725</v>
      </c>
      <c r="AD203" s="255">
        <f>IF(AND(ISNUMBER(AD16),ISNUMBER(Y16)),IFERROR(AD16/Y16-1,""),"")</f>
        <v>0.438466983517039</v>
      </c>
      <c r="AE203" s="255">
        <f>IF(AND(ISNUMBER(AE16),ISNUMBER(Z16)),IFERROR(AE16/Z16-1,""),"")</f>
        <v>0.125728174067359</v>
      </c>
      <c r="AF203" s="255">
        <f>IF(AND(ISNUMBER(AF16),ISNUMBER(AA16)),IFERROR(AF16/AA16-1,""),"")</f>
        <v>0.337377794345771</v>
      </c>
      <c r="AG203" s="255">
        <f>IF(AND(ISNUMBER(AG16),ISNUMBER(AB16)),IFERROR(AG16/AB16-1,""),"")</f>
        <v>0.116323319550661</v>
      </c>
      <c r="AH203" s="255">
        <f>IF(AND(ISNUMBER(AH16),ISNUMBER(AC16)),IFERROR(AH16/AC16-1,""),"")</f>
        <v>0.11673522242535</v>
      </c>
      <c r="AI203" s="255">
        <f>IF(AND(ISNUMBER(AI16),ISNUMBER(AD16)),IFERROR(AI16/AD16-1,""),"")</f>
        <v>0.115219683655536</v>
      </c>
      <c r="AJ203" s="255">
        <f>IF(AND(ISNUMBER(AJ16),ISNUMBER(AE16)),IFERROR(AJ16/AE16-1,""),"")</f>
        <v>0.122789581905415</v>
      </c>
      <c r="AK203" s="255">
        <f>IF(AND(ISNUMBER(AK16),ISNUMBER(AF16)),IFERROR(AK16/AF16-1,""),"")</f>
        <v>0.117834824439149</v>
      </c>
      <c r="AL203" s="255">
        <f>IF(AND(ISNUMBER(AL16),ISNUMBER(AG16)),IFERROR(AL16/AG16-1,""),"")</f>
        <v>0.11220007866789</v>
      </c>
      <c r="AM203" s="255">
        <f>IF(AND(ISNUMBER(AM16),ISNUMBER(AH16)),IFERROR(AM16/AH16-1,""),"")</f>
        <v>0.109921216875277</v>
      </c>
      <c r="AN203" s="255">
        <f>IF(AND(ISNUMBER(AN16),ISNUMBER(AI16)),IFERROR(AN16/AI16-1,""),"")</f>
        <v>0.116616238023197</v>
      </c>
      <c r="AO203" s="255">
        <f>IF(AND(ISNUMBER(AO16),ISNUMBER(AJ16)),IFERROR(AO16/AJ16-1,""),"")</f>
        <v>0.111772426212496</v>
      </c>
      <c r="AP203" s="255">
        <f>IF(AND(ISNUMBER(AP16),ISNUMBER(AK16)),IFERROR(AP16/AK16-1,""),"")</f>
        <v>0.112685006435006</v>
      </c>
      <c r="AQ203" s="255">
        <f>IF(AND(ISNUMBER(AQ16),ISNUMBER(AL16)),IFERROR(AQ16/AL16-1,""),"")</f>
        <v>0.113288733017005</v>
      </c>
      <c r="AR203" s="255">
        <f>IF(AND(ISNUMBER(AR16),ISNUMBER(AM16)),IFERROR(AR16/AM16-1,""),"")</f>
        <v>0.0736541297935103</v>
      </c>
      <c r="AS203" s="255">
        <f>IF(AND(ISNUMBER(AS16),ISNUMBER(AN16)),IFERROR(AS16/AN16-1,""),"")</f>
        <v>-0.134131195664446</v>
      </c>
      <c r="AT203" s="255">
        <f>IF(AND(ISNUMBER(AT16),ISNUMBER(AO16)),IFERROR(AT16/AO16-1,""),"")</f>
        <v>0.0280851063829788</v>
      </c>
      <c r="AU203" s="255">
        <f>IF(AND(ISNUMBER(AU16),ISNUMBER(AP16)),IFERROR(AU16/AP16-1,""),"")</f>
        <v>0.0181451467154392</v>
      </c>
      <c r="AV203" s="255">
        <f>IF(AND(ISNUMBER(AV16),ISNUMBER(AQ16)),IFERROR(AV16/AQ16-1,""),"")</f>
        <v>0.0380675049636003</v>
      </c>
      <c r="AW203" s="255">
        <f>IF(AND(ISNUMBER(AW16),ISNUMBER(AR16)),IFERROR(AW16/AR16-1,""),"")</f>
        <v>0.0773589765604876</v>
      </c>
      <c r="AX203" s="255">
        <f>IF(AND(ISNUMBER(AX16),ISNUMBER(AS16)),IFERROR(AX16/AS16-1,""),"")</f>
        <v>0.387436432390142</v>
      </c>
      <c r="AY203" s="255">
        <f>IF(AND(ISNUMBER(AY16),ISNUMBER(AT16)),IFERROR(AY16/AT16-1,""),"")</f>
        <v>0.210077974791711</v>
      </c>
      <c r="AZ203" s="255">
        <f>IF(AND(ISNUMBER(AZ16),ISNUMBER(AU16)),IFERROR(AZ16/AU16-1,""),"")</f>
        <v>0.169654712118092</v>
      </c>
      <c r="BA203" s="255">
        <f>IF(AND(ISNUMBER(BA16),ISNUMBER(AV16)),IFERROR(BA16/AV16-1,""),"")</f>
        <v>0.212812077627317</v>
      </c>
      <c r="BB203" s="255">
        <f>IF(AND(ISNUMBER(BB16),ISNUMBER(AW16)),IFERROR(BB16/AW16-1,""),"")</f>
        <v>0.190282647965147</v>
      </c>
      <c r="BC203" s="255">
        <f>IF(AND(ISNUMBER(BC16),ISNUMBER(AX16)),IFERROR(BC16/AX16-1,""),"")</f>
        <v>0.157844035619464</v>
      </c>
      <c r="BD203" s="255">
        <f>IF(AND(ISNUMBER(BD16),ISNUMBER(AY16)),IFERROR(BD16/AY16-1,""),"")</f>
        <v>0.122917356283791</v>
      </c>
      <c r="BE203" s="255">
        <f>IF(AND(ISNUMBER(BE16),ISNUMBER(AZ16)),IFERROR(BE16/AZ16-1,""),"")</f>
        <v>0.16873971821068</v>
      </c>
      <c r="BF203" s="255">
        <f>IF(AND(ISNUMBER(BF16),ISNUMBER(BA16)),IFERROR(BF16/BA16-1,""),"")</f>
        <v>0.104167542789857</v>
      </c>
      <c r="BG203" s="255">
        <f>IF(AND(ISNUMBER(BG16),ISNUMBER(BB16)),IFERROR(BG16/BB16-1,""),"")</f>
        <v>0.117437007610418</v>
      </c>
      <c r="BH203" s="255">
        <f>IF(AND(ISNUMBER(BH16),ISNUMBER(BC16)),IFERROR(BH16/BC16-1,""),"")</f>
        <v>0.0964914060756104</v>
      </c>
      <c r="BI203" s="255">
        <f>IF(AND(ISNUMBER(BI16),ISNUMBER(BD16)),IFERROR(BI16/BD16-1,""),"")</f>
        <v>0.0998133045101699</v>
      </c>
      <c r="BJ203" s="255">
        <f>IF(AND(ISNUMBER(BJ16),ISNUMBER(BE16)),IFERROR(BJ16/BE16-1,""),"")</f>
        <v>0.104134420609775</v>
      </c>
      <c r="BK203" s="255">
        <f>IF(AND(ISNUMBER(BK16),ISNUMBER(BF16)),IFERROR(BK16/BF16-1,""),"")</f>
        <v>0.0944546008531384</v>
      </c>
      <c r="BL203" s="255">
        <f>IF(AND(ISNUMBER(BL16),ISNUMBER(BG16)),IFERROR(BL16/BG16-1,""),"")</f>
        <v>0.107591523697298</v>
      </c>
      <c r="BM203" s="255">
        <f>IF(AND(ISNUMBER(BM16),ISNUMBER(BH16)),IFERROR(BM16/BH16-1,""),"")</f>
        <v>0.0977902801939519</v>
      </c>
      <c r="BN203" s="255">
        <f>IF(AND(ISNUMBER(BN16),ISNUMBER(BI16)),IFERROR(BN16/BI16-1,""),"")</f>
        <v>0.0991172896862269</v>
      </c>
      <c r="BO203" s="255">
        <f>IF(AND(ISNUMBER(BO16),ISNUMBER(BJ16)),IFERROR(BO16/BJ16-1,""),"")</f>
        <v>0.0996288438651043</v>
      </c>
      <c r="BP203" s="255">
        <f>IF(AND(ISNUMBER(BP16),ISNUMBER(BK16)),IFERROR(BP16/BK16-1,""),"")</f>
        <v>0.110053591314031</v>
      </c>
      <c r="BQ203" s="255">
        <f>IF(AND(ISNUMBER(BQ16),ISNUMBER(BL16)),IFERROR(BQ16/BL16-1,""),"")</f>
        <v>0.093677870744374</v>
      </c>
      <c r="BR203" s="255">
        <f>IF(AND(ISNUMBER(BR16),ISNUMBER(BM16)),IFERROR(BR16/BM16-1,""),"")</f>
        <v>0.10325702147746</v>
      </c>
      <c r="BS203" s="255">
        <f>IF(AND(ISNUMBER(BS16),ISNUMBER(BN16)),IFERROR(BS16/BN16-1,""),"")</f>
        <v>0.0998683162361205</v>
      </c>
      <c r="BT203" s="255">
        <f>IF(AND(ISNUMBER(BT16),ISNUMBER(BO16)),IFERROR(BT16/BO16-1,""),"")</f>
        <v>0.101759084181076</v>
      </c>
      <c r="BU203" s="255">
        <f>IF(AND(ISNUMBER(BU16),ISNUMBER(BP16)),IFERROR(BU16/BP16-1,""),"")</f>
        <v>0.087825446337602</v>
      </c>
      <c r="BV203" s="255">
        <f>IF(AND(ISNUMBER(BV16),ISNUMBER(BQ16)),IFERROR(BV16/BQ16-1,""),"")</f>
        <v>0.089611053403901</v>
      </c>
      <c r="BW203" s="255">
        <f>IF(AND(ISNUMBER(BW16),ISNUMBER(BR16)),IFERROR(BW16/BR16-1,""),"")</f>
        <v>0.0950292621059548</v>
      </c>
      <c r="BX203" s="256">
        <f>IF(AND(ISNUMBER(BX16),ISNUMBER(BS16)),IFERROR(BX16/BS16-1,""),"")</f>
        <v>0.0908784513220742</v>
      </c>
      <c r="BY203" s="256">
        <f>IF(AND(ISNUMBER(BY16),ISNUMBER(BT16)),IFERROR(BY16/BT16-1,""),"")</f>
        <v>0.0908784513220742</v>
      </c>
      <c r="BZ203" s="256">
        <f>IF(AND(ISNUMBER(BZ16),ISNUMBER(BY16)),IFERROR(BZ16/BY16-1,""),"")</f>
        <v>0.0900000000000001</v>
      </c>
      <c r="CA203" s="256">
        <f>IF(AND(ISNUMBER(CA16),ISNUMBER(BZ16)),IFERROR(CA16/BZ16-1,""),"")</f>
        <v>0.0900000000000001</v>
      </c>
      <c r="CB203" s="256">
        <f>IF(AND(ISNUMBER(CB16),ISNUMBER(CA16)),IFERROR(CB16/CA16-1,""),"")</f>
        <v>0.085</v>
      </c>
      <c r="CC203" s="256">
        <f>IF(AND(ISNUMBER(CC16),ISNUMBER(CB16)),IFERROR(CC16/CB16-1,""),"")</f>
        <v>0.0800000000000001</v>
      </c>
      <c r="CD203" s="256">
        <f>IF(AND(ISNUMBER(CD16),ISNUMBER(CC16)),IFERROR(CD16/CC16-1,""),"")</f>
        <v>0.0800000000000001</v>
      </c>
      <c r="CE203" s="153" t="n"/>
      <c r="CG203" s="37">
        <f>IFERROR(AVERAGE(BZ203,CA203,CB203,CC203,CD203),"n/m")</f>
        <v>0.0850000000000001</v>
      </c>
      <c r="CH203" s="37">
        <f>IFERROR(AVERAGE(AZ203,BE203,BJ203,BO203,BT203),"n/m")</f>
        <v>0.128783355796946</v>
      </c>
      <c r="CI203" s="37">
        <f>IFERROR(AVERAGE(AA203,AF203,AK203,AP203,AU203,AZ203,BE203,BJ203,BO203,BT203),"n/m")</f>
        <v>0.140174119898683</v>
      </c>
      <c r="CJ203" s="37">
        <f>IFERROR(AVERAGE(C203,D203,E203,F203,G203,L203,Q203,V203,AA203,AF203,AK203,AP203,AU203,AZ203,BE203,BJ203,BO203,BT203),"n/m")</f>
        <v>0.130901952828036</v>
      </c>
    </row>
    <row r="204" ht="15" customHeight="1" s="251">
      <c r="B204" s="22" t="inlineStr">
        <is>
          <t xml:space="preserve">  Adjusted operating income y/y %</t>
        </is>
      </c>
      <c r="C204" s="23" t="n"/>
      <c r="D204" s="255">
        <f>IF(AND(ISNUMBER(D160),ISNUMBER(C160)),IFERROR(D160/C160-1,""),"")</f>
        <v>0.267863306869175</v>
      </c>
      <c r="E204" s="255">
        <f>IF(AND(ISNUMBER(E160),ISNUMBER(D160)),IFERROR(E160/D160-1,""),"")</f>
        <v>0.249387421726109</v>
      </c>
      <c r="F204" s="255">
        <f>IF(AND(ISNUMBER(F160),ISNUMBER(E160)),IFERROR(F160/E160-1,""),"")</f>
        <v>0.188930050119852</v>
      </c>
      <c r="G204" s="255">
        <f>IF(AND(ISNUMBER(G160),ISNUMBER(F160)),IFERROR(G160/F160-1,""),"")</f>
        <v>0.143145161290323</v>
      </c>
      <c r="H204" s="23" t="n"/>
      <c r="I204" s="23" t="n"/>
      <c r="J204" s="23" t="n"/>
      <c r="K204" s="23" t="n"/>
      <c r="L204" s="255">
        <f>IF(AND(ISNUMBER(L160),ISNUMBER(G160)),IFERROR(L160/G160-1,""),"")</f>
        <v>0.160654160654161</v>
      </c>
      <c r="M204" s="255">
        <f>IF(AND(ISNUMBER(M160),ISNUMBER(H160)),IFERROR(M160/H160-1,""),"")</f>
        <v>0.153888888888889</v>
      </c>
      <c r="N204" s="255">
        <f>IF(AND(ISNUMBER(N160),ISNUMBER(I160)),IFERROR(N160/I160-1,""),"")</f>
        <v>0.101075268817204</v>
      </c>
      <c r="O204" s="255">
        <f>IF(AND(ISNUMBER(O160),ISNUMBER(J160)),IFERROR(O160/J160-1,""),"")</f>
        <v>0.105032822757112</v>
      </c>
      <c r="P204" s="255">
        <f>IF(AND(ISNUMBER(P160),ISNUMBER(K160)),IFERROR(P160/K160-1,""),"")</f>
        <v>0.14334665905197</v>
      </c>
      <c r="Q204" s="255">
        <f>IF(AND(ISNUMBER(Q160),ISNUMBER(L160)),IFERROR(Q160/L160-1,""),"")</f>
        <v>0.12543168945987</v>
      </c>
      <c r="R204" s="255">
        <f>IF(AND(ISNUMBER(R160),ISNUMBER(M160)),IFERROR(R160/M160-1,""),"")</f>
        <v>0.0775156475686085</v>
      </c>
      <c r="S204" s="255">
        <f>IF(AND(ISNUMBER(S160),ISNUMBER(N160)),IFERROR(S160/N160-1,""),"")</f>
        <v>0.11376953125</v>
      </c>
      <c r="T204" s="255">
        <f>IF(AND(ISNUMBER(T160),ISNUMBER(O160)),IFERROR(T160/O160-1,""),"")</f>
        <v>0.11980198019802</v>
      </c>
      <c r="U204" s="255">
        <f>IF(AND(ISNUMBER(U160),ISNUMBER(P160)),IFERROR(U160/P160-1,""),"")</f>
        <v>0.14035964035964</v>
      </c>
      <c r="V204" s="255">
        <f>IF(AND(ISNUMBER(V160),ISNUMBER(Q160)),IFERROR(V160/Q160-1,""),"")</f>
        <v>0.112556769362956</v>
      </c>
      <c r="W204" s="255">
        <f>IF(AND(ISNUMBER(W160),ISNUMBER(R160)),IFERROR(W160/R160-1,""),"")</f>
        <v>0.0705987488829312</v>
      </c>
      <c r="X204" s="255">
        <f>IF(AND(ISNUMBER(X160),ISNUMBER(S160)),IFERROR(X160/S160-1,""),"")</f>
        <v>0.0670758439281016</v>
      </c>
      <c r="Y204" s="255">
        <f>IF(AND(ISNUMBER(Y160),ISNUMBER(T160)),IFERROR(Y160/T160-1,""),"")</f>
        <v>0.0862068965517242</v>
      </c>
      <c r="Z204" s="255">
        <f>IF(AND(ISNUMBER(Z160),ISNUMBER(U160)),IFERROR(Z160/U160-1,""),"")</f>
        <v>0.197985107314937</v>
      </c>
      <c r="AA204" s="255">
        <f>IF(AND(ISNUMBER(AA160),ISNUMBER(V160)),IFERROR(AA160/V160-1,""),"")</f>
        <v>0.105692850838482</v>
      </c>
      <c r="AB204" s="255">
        <f>IF(AND(ISNUMBER(AB160),ISNUMBER(W160)),IFERROR(AB160/W160-1,""),"")</f>
        <v>0.293823038397329</v>
      </c>
      <c r="AC204" s="255">
        <f>IF(AND(ISNUMBER(AC160),ISNUMBER(X160)),IFERROR(AC160/X160-1,""),"")</f>
        <v>0.232539030402629</v>
      </c>
      <c r="AD204" s="255">
        <f>IF(AND(ISNUMBER(AD160),ISNUMBER(Y160)),IFERROR(AD160/Y160-1,""),"")</f>
        <v>0.230769230769231</v>
      </c>
      <c r="AE204" s="255">
        <f>IF(AND(ISNUMBER(AE160),ISNUMBER(Z160)),IFERROR(AE160/Z160-1,""),"")</f>
        <v>0.174405850091408</v>
      </c>
      <c r="AF204" s="255">
        <f>IF(AND(ISNUMBER(AF160),ISNUMBER(AA160)),IFERROR(AF160/AA160-1,""),"")</f>
        <v>0.230892037517462</v>
      </c>
      <c r="AG204" s="255">
        <f>IF(AND(ISNUMBER(AG160),ISNUMBER(AB160)),IFERROR(AG160/AB160-1,""),"")</f>
        <v>0.0732258064516129</v>
      </c>
      <c r="AH204" s="255">
        <f>IF(AND(ISNUMBER(AH160),ISNUMBER(AC160)),IFERROR(AH160/AC160-1,""),"")</f>
        <v>0.112</v>
      </c>
      <c r="AI204" s="255">
        <f>IF(AND(ISNUMBER(AI160),ISNUMBER(AD160)),IFERROR(AI160/AD160-1,""),"")</f>
        <v>0.15244708994709</v>
      </c>
      <c r="AJ204" s="255">
        <f>IF(AND(ISNUMBER(AJ160),ISNUMBER(AE160)),IFERROR(AJ160/AE160-1,""),"")</f>
        <v>0.121108343711083</v>
      </c>
      <c r="AK204" s="255">
        <f>IF(AND(ISNUMBER(AK160),ISNUMBER(AF160)),IFERROR(AK160/AF160-1,""),"")</f>
        <v>0.11454280155642</v>
      </c>
      <c r="AL204" s="255">
        <f>IF(AND(ISNUMBER(AL160),ISNUMBER(AG160)),IFERROR(AL160/AG160-1,""),"")</f>
        <v>0.117222723174031</v>
      </c>
      <c r="AM204" s="255">
        <f>IF(AND(ISNUMBER(AM160),ISNUMBER(AH160)),IFERROR(AM160/AH160-1,""),"")</f>
        <v>0.0914268585131894</v>
      </c>
      <c r="AN204" s="255">
        <f>IF(AND(ISNUMBER(AN160),ISNUMBER(AI160)),IFERROR(AN160/AI160-1,""),"")</f>
        <v>0.121377331420373</v>
      </c>
      <c r="AO204" s="255">
        <f>IF(AND(ISNUMBER(AO160),ISNUMBER(AJ160)),IFERROR(AO160/AJ160-1,""),"")</f>
        <v>0.13996112191058</v>
      </c>
      <c r="AP204" s="255">
        <f>IF(AND(ISNUMBER(AP160),ISNUMBER(AK160)),IFERROR(AP160/AK160-1,""),"")</f>
        <v>0.117972216161175</v>
      </c>
      <c r="AQ204" s="255">
        <f>IF(AND(ISNUMBER(AQ160),ISNUMBER(AL160)),IFERROR(AQ160/AL160-1,""),"")</f>
        <v>0.0839386602098466</v>
      </c>
      <c r="AR204" s="255">
        <f>IF(AND(ISNUMBER(AR160),ISNUMBER(AM160)),IFERROR(AR160/AM160-1,""),"")</f>
        <v>0.0821202966218071</v>
      </c>
      <c r="AS204" s="255">
        <f>IF(AND(ISNUMBER(AS160),ISNUMBER(AN160)),IFERROR(AS160/AN160-1,""),"")</f>
        <v>-0.228249744114637</v>
      </c>
      <c r="AT204" s="255">
        <f>IF(AND(ISNUMBER(AT160),ISNUMBER(AO160)),IFERROR(AT160/AO160-1,""),"")</f>
        <v>-0.230450669914738</v>
      </c>
      <c r="AU204" s="255">
        <f>IF(AND(ISNUMBER(AU160),ISNUMBER(AP160)),IFERROR(AU160/AP160-1,""),"")</f>
        <v>-0.0798256456964414</v>
      </c>
      <c r="AV204" s="255">
        <f>IF(AND(ISNUMBER(AV160),ISNUMBER(AQ160)),IFERROR(AV160/AQ160-1,""),"")</f>
        <v>-0.0421940928270043</v>
      </c>
      <c r="AW204" s="255">
        <f>IF(AND(ISNUMBER(AW160),ISNUMBER(AR160)),IFERROR(AW160/AR160-1,""),"")</f>
        <v>-0.0479695431472081</v>
      </c>
      <c r="AX204" s="255">
        <f>IF(AND(ISNUMBER(AX160),ISNUMBER(AS160)),IFERROR(AX160/AS160-1,""),"")</f>
        <v>0.353448275862069</v>
      </c>
      <c r="AY204" s="255">
        <f>IF(AND(ISNUMBER(AY160),ISNUMBER(AT160)),IFERROR(AY160/AT160-1,""),"")</f>
        <v>0.37258626147515</v>
      </c>
      <c r="AZ204" s="255">
        <f>IF(AND(ISNUMBER(AZ160),ISNUMBER(AU160)),IFERROR(AZ160/AU160-1,""),"")</f>
        <v>0.133201357466063</v>
      </c>
      <c r="BA204" s="255">
        <f>IF(AND(ISNUMBER(BA160),ISNUMBER(AV160)),IFERROR(BA160/AV160-1,""),"")</f>
        <v>0.281160922518787</v>
      </c>
      <c r="BB204" s="255">
        <f>IF(AND(ISNUMBER(BB160),ISNUMBER(AW160)),IFERROR(BB160/AW160-1,""),"")</f>
        <v>0.306851506264996</v>
      </c>
      <c r="BC204" s="255">
        <f>IF(AND(ISNUMBER(BC160),ISNUMBER(AX160)),IFERROR(BC160/AX160-1,""),"")</f>
        <v>0.20578147966683</v>
      </c>
      <c r="BD204" s="255">
        <f>IF(AND(ISNUMBER(BD160),ISNUMBER(AY160)),IFERROR(BD160/AY160-1,""),"")</f>
        <v>0.188883763837638</v>
      </c>
      <c r="BE204" s="255">
        <f>IF(AND(ISNUMBER(BE160),ISNUMBER(AZ160)),IFERROR(BE160/AZ160-1,""),"")</f>
        <v>0.24301222859995</v>
      </c>
      <c r="BF204" s="255">
        <f>IF(AND(ISNUMBER(BF160),ISNUMBER(BA160)),IFERROR(BF160/BA160-1,""),"")</f>
        <v>0.111852750809061</v>
      </c>
      <c r="BG204" s="255">
        <f>IF(AND(ISNUMBER(BG160),ISNUMBER(BB160)),IFERROR(BG160/BB160-1,""),"")</f>
        <v>0.102407180742554</v>
      </c>
      <c r="BH204" s="255">
        <f>IF(AND(ISNUMBER(BH160),ISNUMBER(BC160)),IFERROR(BH160/BC160-1,""),"")</f>
        <v>0.126574563185697</v>
      </c>
      <c r="BI204" s="255">
        <f>IF(AND(ISNUMBER(BI160),ISNUMBER(BD160)),IFERROR(BI160/BD160-1,""),"")</f>
        <v>0.110766246362755</v>
      </c>
      <c r="BJ204" s="255">
        <f>IF(AND(ISNUMBER(BJ160),ISNUMBER(BE160)),IFERROR(BJ160/BE160-1,""),"")</f>
        <v>0.112884605732068</v>
      </c>
      <c r="BK204" s="255">
        <f>IF(AND(ISNUMBER(BK160),ISNUMBER(BF160)),IFERROR(BK160/BF160-1,""),"")</f>
        <v>0.094233218118974</v>
      </c>
      <c r="BL204" s="255">
        <f>IF(AND(ISNUMBER(BL160),ISNUMBER(BG160)),IFERROR(BL160/BG160-1,""),"")</f>
        <v>0.0925240562546261</v>
      </c>
      <c r="BM204" s="255">
        <f>IF(AND(ISNUMBER(BM160),ISNUMBER(BH160)),IFERROR(BM160/BH160-1,""),"")</f>
        <v>0.0771866546438234</v>
      </c>
      <c r="BN204" s="255">
        <f>IF(AND(ISNUMBER(BN160),ISNUMBER(BI160)),IFERROR(BN160/BI160-1,""),"")</f>
        <v>0.122074746769123</v>
      </c>
      <c r="BO204" s="255">
        <f>IF(AND(ISNUMBER(BO160),ISNUMBER(BJ160)),IFERROR(BO160/BJ160-1,""),"")</f>
        <v>0.0967436406278188</v>
      </c>
      <c r="BP204" s="255">
        <f>IF(AND(ISNUMBER(BP160),ISNUMBER(BK160)),IFERROR(BP160/BK160-1,""),"")</f>
        <v>0.0960931005818786</v>
      </c>
      <c r="BQ204" s="255">
        <f>IF(AND(ISNUMBER(BQ160),ISNUMBER(BL160)),IFERROR(BQ160/BL160-1,""),"")</f>
        <v>0.104844173441734</v>
      </c>
      <c r="BR204" s="255">
        <f>IF(AND(ISNUMBER(BR160),ISNUMBER(BM160)),IFERROR(BR160/BM160-1,""),"")</f>
        <v>0.149338690775155</v>
      </c>
      <c r="BS204" s="255">
        <f>IF(AND(ISNUMBER(BS160),ISNUMBER(BN160)),IFERROR(BS160/BN160-1,""),"")</f>
        <v>0.107081712062257</v>
      </c>
      <c r="BT204" s="255">
        <f>IF(AND(ISNUMBER(BT160),ISNUMBER(BO160)),IFERROR(BT160/BO160-1,""),"")</f>
        <v>0.114199942427109</v>
      </c>
      <c r="BU204" s="255">
        <f>IF(AND(ISNUMBER(BU160),ISNUMBER(BP160)),IFERROR(BU160/BP160-1,""),"")</f>
        <v>0.139086910359472</v>
      </c>
      <c r="BV204" s="255">
        <f>IF(AND(ISNUMBER(BV160),ISNUMBER(BQ160)),IFERROR(BV160/BQ160-1,""),"")</f>
        <v>0.169860493637897</v>
      </c>
      <c r="BW204" s="255">
        <f>IF(AND(ISNUMBER(BW160),ISNUMBER(BR160)),IFERROR(BW160/BR160-1,""),"")</f>
        <v>0.129643117261471</v>
      </c>
      <c r="BX204" s="256">
        <f>IF(AND(ISNUMBER(BX160),ISNUMBER(BS160)),IFERROR(BX160/BS160-1,""),"")</f>
        <v>0.122745450447308</v>
      </c>
      <c r="BY204" s="256">
        <f>IF(AND(ISNUMBER(BY160),ISNUMBER(BT160)),IFERROR(BY160/BT160-1,""),"")</f>
        <v>0.139812814240485</v>
      </c>
      <c r="BZ204" s="256">
        <f>IF(AND(ISNUMBER(BZ160),ISNUMBER(BY160)),IFERROR(BZ160/BY160-1,""),"")</f>
        <v>0.108362831610974</v>
      </c>
      <c r="CA204" s="256">
        <f>IF(AND(ISNUMBER(CA160),ISNUMBER(BZ160)),IFERROR(CA160/BZ160-1,""),"")</f>
        <v>0.112118764492824</v>
      </c>
      <c r="CB204" s="256">
        <f>IF(AND(ISNUMBER(CB160),ISNUMBER(CA160)),IFERROR(CB160/CA160-1,""),"")</f>
        <v>0.106292249515684</v>
      </c>
      <c r="CC204" s="256">
        <f>IF(AND(ISNUMBER(CC160),ISNUMBER(CB160)),IFERROR(CC160/CB160-1,""),"")</f>
        <v>0.0942806565703676</v>
      </c>
      <c r="CD204" s="256">
        <f>IF(AND(ISNUMBER(CD160),ISNUMBER(CC160)),IFERROR(CD160/CC160-1,""),"")</f>
        <v>0.0943183689528335</v>
      </c>
      <c r="CE204" s="153" t="n"/>
    </row>
    <row r="205" ht="15" customHeight="1" s="251">
      <c r="B205" s="22" t="inlineStr">
        <is>
          <t xml:space="preserve">  Adjusted EBITDA y/y %</t>
        </is>
      </c>
      <c r="C205" s="23" t="n"/>
      <c r="D205" s="255">
        <f>IF(AND(ISNUMBER(D174),ISNUMBER(C174)),IFERROR(D174/C174-1,""),"")</f>
        <v>0.249836921069798</v>
      </c>
      <c r="E205" s="255">
        <f>IF(AND(ISNUMBER(E174),ISNUMBER(D174)),IFERROR(E174/D174-1,""),"")</f>
        <v>0.266701461377871</v>
      </c>
      <c r="F205" s="255">
        <f>IF(AND(ISNUMBER(F174),ISNUMBER(E174)),IFERROR(F174/E174-1,""),"")</f>
        <v>0.183353934899052</v>
      </c>
      <c r="G205" s="255">
        <f>IF(AND(ISNUMBER(G174),ISNUMBER(F174)),IFERROR(G174/F174-1,""),"")</f>
        <v>0.143802228412256</v>
      </c>
      <c r="H205" s="23" t="n"/>
      <c r="I205" s="23" t="n"/>
      <c r="J205" s="23" t="n"/>
      <c r="K205" s="23" t="n"/>
      <c r="L205" s="255">
        <f>IF(AND(ISNUMBER(L174),ISNUMBER(G174)),IFERROR(L174/G174-1,""),"")</f>
        <v>0.162252663622527</v>
      </c>
      <c r="M205" s="255">
        <f>IF(AND(ISNUMBER(M174),ISNUMBER(H174)),IFERROR(M174/H174-1,""),"")</f>
        <v>0.154334038054968</v>
      </c>
      <c r="N205" s="255">
        <f>IF(AND(ISNUMBER(N174),ISNUMBER(I174)),IFERROR(N174/I174-1,""),"")</f>
        <v>0.100612870275792</v>
      </c>
      <c r="O205" s="255">
        <f>IF(AND(ISNUMBER(O174),ISNUMBER(J174)),IFERROR(O174/J174-1,""),"")</f>
        <v>0.103680663556247</v>
      </c>
      <c r="P205" s="255">
        <f>IF(AND(ISNUMBER(P174),ISNUMBER(K174)),IFERROR(P174/K174-1,""),"")</f>
        <v>0.138395261173937</v>
      </c>
      <c r="Q205" s="255">
        <f>IF(AND(ISNUMBER(Q174),ISNUMBER(L174)),IFERROR(Q174/L174-1,""),"")</f>
        <v>0.123886851754845</v>
      </c>
      <c r="R205" s="255">
        <f>IF(AND(ISNUMBER(R174),ISNUMBER(M174)),IFERROR(R174/M174-1,""),"")</f>
        <v>0.0796703296703296</v>
      </c>
      <c r="S205" s="255">
        <f>IF(AND(ISNUMBER(S174),ISNUMBER(N174)),IFERROR(S174/N174-1,""),"")</f>
        <v>0.116473317865429</v>
      </c>
      <c r="T205" s="255">
        <f>IF(AND(ISNUMBER(T174),ISNUMBER(O174)),IFERROR(T174/O174-1,""),"")</f>
        <v>0.12353217472992</v>
      </c>
      <c r="U205" s="255">
        <f>IF(AND(ISNUMBER(U174),ISNUMBER(P174)),IFERROR(U174/P174-1,""),"")</f>
        <v>0.136234626300851</v>
      </c>
      <c r="V205" s="255">
        <f>IF(AND(ISNUMBER(V174),ISNUMBER(Q174)),IFERROR(V174/Q174-1,""),"")</f>
        <v>0.113726404101608</v>
      </c>
      <c r="W205" s="255">
        <f>IF(AND(ISNUMBER(W174),ISNUMBER(R174)),IFERROR(W174/R174-1,""),"")</f>
        <v>0.067005937234945</v>
      </c>
      <c r="X205" s="255">
        <f>IF(AND(ISNUMBER(X174),ISNUMBER(S174)),IFERROR(X174/S174-1,""),"")</f>
        <v>0.0619285120532003</v>
      </c>
      <c r="Y205" s="255">
        <f>IF(AND(ISNUMBER(Y174),ISNUMBER(T174)),IFERROR(Y174/T174-1,""),"")</f>
        <v>0.0773411371237458</v>
      </c>
      <c r="Z205" s="255">
        <f>IF(AND(ISNUMBER(Z174),ISNUMBER(U174)),IFERROR(Z174/U174-1,""),"")</f>
        <v>0.197335553705246</v>
      </c>
      <c r="AA205" s="255">
        <f>IF(AND(ISNUMBER(AA174),ISNUMBER(V174)),IFERROR(AA174/V174-1,""),"")</f>
        <v>0.101067168863779</v>
      </c>
      <c r="AB205" s="255">
        <f>IF(AND(ISNUMBER(AB174),ISNUMBER(W174)),IFERROR(AB174/W174-1,""),"")</f>
        <v>0.290143084260731</v>
      </c>
      <c r="AC205" s="255">
        <f>IF(AND(ISNUMBER(AC174),ISNUMBER(X174)),IFERROR(AC174/X174-1,""),"")</f>
        <v>0.225440313111546</v>
      </c>
      <c r="AD205" s="255">
        <f>IF(AND(ISNUMBER(AD174),ISNUMBER(Y174)),IFERROR(AD174/Y174-1,""),"")</f>
        <v>0.224679860302678</v>
      </c>
      <c r="AE205" s="255">
        <f>IF(AND(ISNUMBER(AE174),ISNUMBER(Z174)),IFERROR(AE174/Z174-1,""),"")</f>
        <v>0.167941585535466</v>
      </c>
      <c r="AF205" s="255">
        <f>IF(AND(ISNUMBER(AF174),ISNUMBER(AA174)),IFERROR(AF174/AA174-1,""),"")</f>
        <v>0.22500950209046</v>
      </c>
      <c r="AG205" s="255">
        <f>IF(AND(ISNUMBER(AG174),ISNUMBER(AB174)),IFERROR(AG174/AB174-1,""),"")</f>
        <v>0.0696241528034505</v>
      </c>
      <c r="AH205" s="255">
        <f>IF(AND(ISNUMBER(AH174),ISNUMBER(AC174)),IFERROR(AH174/AC174-1,""),"")</f>
        <v>0.114340466304695</v>
      </c>
      <c r="AI205" s="255">
        <f>IF(AND(ISNUMBER(AI174),ISNUMBER(AD174)),IFERROR(AI174/AD174-1,""),"")</f>
        <v>0.152408111533587</v>
      </c>
      <c r="AJ205" s="255">
        <f>IF(AND(ISNUMBER(AJ174),ISNUMBER(AE174)),IFERROR(AJ174/AE174-1,""),"")</f>
        <v>0.120571598690086</v>
      </c>
      <c r="AK205" s="255">
        <f>IF(AND(ISNUMBER(AK174),ISNUMBER(AF174)),IFERROR(AK174/AF174-1,""),"")</f>
        <v>0.114024201054918</v>
      </c>
      <c r="AL205" s="255">
        <f>IF(AND(ISNUMBER(AL174),ISNUMBER(AG174)),IFERROR(AL174/AG174-1,""),"")</f>
        <v>0.116359447004608</v>
      </c>
      <c r="AM205" s="255">
        <f>IF(AND(ISNUMBER(AM174),ISNUMBER(AH174)),IFERROR(AM174/AH174-1,""),"")</f>
        <v>0.0894239036973346</v>
      </c>
      <c r="AN205" s="255">
        <f>IF(AND(ISNUMBER(AN174),ISNUMBER(AI174)),IFERROR(AN174/AI174-1,""),"")</f>
        <v>0.119879021171295</v>
      </c>
      <c r="AO205" s="255">
        <f>IF(AND(ISNUMBER(AO174),ISNUMBER(AJ174)),IFERROR(AO174/AJ174-1,""),"")</f>
        <v>0.136291179596174</v>
      </c>
      <c r="AP205" s="255">
        <f>IF(AND(ISNUMBER(AP174),ISNUMBER(AK174)),IFERROR(AP174/AK174-1,""),"")</f>
        <v>0.115930928839994</v>
      </c>
      <c r="AQ205" s="255">
        <f>IF(AND(ISNUMBER(AQ174),ISNUMBER(AL174)),IFERROR(AQ174/AL174-1,""),"")</f>
        <v>0.0835913312693499</v>
      </c>
      <c r="AR205" s="255">
        <f>IF(AND(ISNUMBER(AR174),ISNUMBER(AM174)),IFERROR(AR174/AM174-1,""),"")</f>
        <v>0.0841883714811891</v>
      </c>
      <c r="AS205" s="255">
        <f>IF(AND(ISNUMBER(AS174),ISNUMBER(AN174)),IFERROR(AS174/AN174-1,""),"")</f>
        <v>-0.214338325558556</v>
      </c>
      <c r="AT205" s="255">
        <f>IF(AND(ISNUMBER(AT174),ISNUMBER(AO174)),IFERROR(AT174/AO174-1,""),"")</f>
        <v>-0.218143558569091</v>
      </c>
      <c r="AU205" s="255">
        <f>IF(AND(ISNUMBER(AU174),ISNUMBER(AP174)),IFERROR(AU174/AP174-1,""),"")</f>
        <v>-0.0725026517751295</v>
      </c>
      <c r="AV205" s="255">
        <f>IF(AND(ISNUMBER(AV174),ISNUMBER(AQ174)),IFERROR(AV174/AQ174-1,""),"")</f>
        <v>-0.0371428571428571</v>
      </c>
      <c r="AW205" s="255">
        <f>IF(AND(ISNUMBER(AW174),ISNUMBER(AR174)),IFERROR(AW174/AR174-1,""),"")</f>
        <v>-0.0441640378548895</v>
      </c>
      <c r="AX205" s="255">
        <f>IF(AND(ISNUMBER(AX174),ISNUMBER(AS174)),IFERROR(AX174/AS174-1,""),"")</f>
        <v>0.3353125</v>
      </c>
      <c r="AY205" s="255">
        <f>IF(AND(ISNUMBER(AY174),ISNUMBER(AT174)),IFERROR(AY174/AT174-1,""),"")</f>
        <v>0.35316985645933</v>
      </c>
      <c r="AZ205" s="255">
        <f>IF(AND(ISNUMBER(AZ174),ISNUMBER(AU174)),IFERROR(AZ174/AU174-1,""),"")</f>
        <v>0.128893373696603</v>
      </c>
      <c r="BA205" s="255">
        <f>IF(AND(ISNUMBER(BA174),ISNUMBER(AV174)),IFERROR(BA174/AV174-1,""),"")</f>
        <v>0.268298714144412</v>
      </c>
      <c r="BB205" s="255">
        <f>IF(AND(ISNUMBER(BB174),ISNUMBER(AW174)),IFERROR(BB174/AW174-1,""),"")</f>
        <v>0.291952272150292</v>
      </c>
      <c r="BC205" s="255">
        <f>IF(AND(ISNUMBER(BC174),ISNUMBER(AX174)),IFERROR(BC174/AX174-1,""),"")</f>
        <v>0.195413058740932</v>
      </c>
      <c r="BD205" s="255">
        <f>IF(AND(ISNUMBER(BD174),ISNUMBER(AY174)),IFERROR(BD174/AY174-1,""),"")</f>
        <v>0.179668508287293</v>
      </c>
      <c r="BE205" s="255">
        <f>IF(AND(ISNUMBER(BE174),ISNUMBER(AZ174)),IFERROR(BE174/AZ174-1,""),"")</f>
        <v>0.231392646445385</v>
      </c>
      <c r="BF205" s="255">
        <f>IF(AND(ISNUMBER(BF174),ISNUMBER(BA174)),IFERROR(BF174/BA174-1,""),"")</f>
        <v>0.10762331838565</v>
      </c>
      <c r="BG205" s="255">
        <f>IF(AND(ISNUMBER(BG174),ISNUMBER(BB174)),IFERROR(BG174/BB174-1,""),"")</f>
        <v>0.0988406366673216</v>
      </c>
      <c r="BH205" s="255">
        <f>IF(AND(ISNUMBER(BH174),ISNUMBER(BC174)),IFERROR(BH174/BC174-1,""),"")</f>
        <v>0.12353171495693</v>
      </c>
      <c r="BI205" s="255">
        <f>IF(AND(ISNUMBER(BI174),ISNUMBER(BD174)),IFERROR(BI174/BD174-1,""),"")</f>
        <v>0.110340951667291</v>
      </c>
      <c r="BJ205" s="255">
        <f>IF(AND(ISNUMBER(BJ174),ISNUMBER(BE174)),IFERROR(BJ174/BE174-1,""),"")</f>
        <v>0.11009485094851</v>
      </c>
      <c r="BK205" s="255">
        <f>IF(AND(ISNUMBER(BK174),ISNUMBER(BF174)),IFERROR(BK174/BF174-1,""),"")</f>
        <v>0.0952297130786832</v>
      </c>
      <c r="BL205" s="255">
        <f>IF(AND(ISNUMBER(BL174),ISNUMBER(BG174)),IFERROR(BL174/BG174-1,""),"")</f>
        <v>0.0926323319027183</v>
      </c>
      <c r="BM205" s="255">
        <f>IF(AND(ISNUMBER(BM174),ISNUMBER(BH174)),IFERROR(BM174/BH174-1,""),"")</f>
        <v>0.0784108729743858</v>
      </c>
      <c r="BN205" s="255">
        <f>IF(AND(ISNUMBER(BN174),ISNUMBER(BI174)),IFERROR(BN174/BI174-1,""),"")</f>
        <v>0.122321579213768</v>
      </c>
      <c r="BO205" s="255">
        <f>IF(AND(ISNUMBER(BO174),ISNUMBER(BJ174)),IFERROR(BO174/BJ174-1,""),"")</f>
        <v>0.0973887266227822</v>
      </c>
      <c r="BP205" s="255">
        <f>IF(AND(ISNUMBER(BP174),ISNUMBER(BK174)),IFERROR(BP174/BK174-1,""),"")</f>
        <v>0.097557055609129</v>
      </c>
      <c r="BQ205" s="255">
        <f>IF(AND(ISNUMBER(BQ174),ISNUMBER(BL174)),IFERROR(BQ174/BL174-1,""),"")</f>
        <v>0.107037643207856</v>
      </c>
      <c r="BR205" s="255">
        <f>IF(AND(ISNUMBER(BR174),ISNUMBER(BM174)),IFERROR(BR174/BM174-1,""),"")</f>
        <v>0.151720794958798</v>
      </c>
      <c r="BS205" s="255">
        <f>IF(AND(ISNUMBER(BS174),ISNUMBER(BN174)),IFERROR(BS174/BN174-1,""),"")</f>
        <v>0.108689116055322</v>
      </c>
      <c r="BT205" s="255">
        <f>IF(AND(ISNUMBER(BT174),ISNUMBER(BO174)),IFERROR(BT174/BO174-1,""),"")</f>
        <v>0.116116473999921</v>
      </c>
      <c r="BU205" s="255">
        <f>IF(AND(ISNUMBER(BU174),ISNUMBER(BP174)),IFERROR(BU174/BP174-1,""),"")</f>
        <v>0.139551910967931</v>
      </c>
      <c r="BV205" s="255">
        <f>IF(AND(ISNUMBER(BV174),ISNUMBER(BQ174)),IFERROR(BV174/BQ174-1,""),"")</f>
        <v>0.170017740981668</v>
      </c>
      <c r="BW205" s="255">
        <f>IF(AND(ISNUMBER(BW174),ISNUMBER(BR174)),IFERROR(BW174/BR174-1,""),"")</f>
        <v>0.13047138047138</v>
      </c>
      <c r="BX205" s="256">
        <f>IF(AND(ISNUMBER(BX174),ISNUMBER(BS174)),IFERROR(BX174/BS174-1,""),"")</f>
        <v>0.127091716739018</v>
      </c>
      <c r="BY205" s="256">
        <f>IF(AND(ISNUMBER(BY174),ISNUMBER(BT174)),IFERROR(BY174/BT174-1,""),"")</f>
        <v>0.141311980742819</v>
      </c>
      <c r="BZ205" s="256">
        <f>IF(AND(ISNUMBER(BZ174),ISNUMBER(BY174)),IFERROR(BZ174/BY174-1,""),"")</f>
        <v>0.108005692676127</v>
      </c>
      <c r="CA205" s="256">
        <f>IF(AND(ISNUMBER(CA174),ISNUMBER(BZ174)),IFERROR(CA174/BZ174-1,""),"")</f>
        <v>0.111748574960882</v>
      </c>
      <c r="CB205" s="256">
        <f>IF(AND(ISNUMBER(CB174),ISNUMBER(CA174)),IFERROR(CB174/CA174-1,""),"")</f>
        <v>0.105743753418946</v>
      </c>
      <c r="CC205" s="256">
        <f>IF(AND(ISNUMBER(CC174),ISNUMBER(CB174)),IFERROR(CC174/CB174-1,""),"")</f>
        <v>0.0942806565703676</v>
      </c>
      <c r="CD205" s="256">
        <f>IF(AND(ISNUMBER(CD174),ISNUMBER(CC174)),IFERROR(CD174/CC174-1,""),"")</f>
        <v>0.0939591363285439</v>
      </c>
      <c r="CE205" s="153" t="n"/>
    </row>
    <row r="206" ht="15" customHeight="1" s="251">
      <c r="B206" s="22" t="inlineStr">
        <is>
          <t xml:space="preserve">  Operating income (GAAP) y/y %</t>
        </is>
      </c>
      <c r="C206" s="23" t="n"/>
      <c r="D206" s="255">
        <f>IF(AND(ISNUMBER(D125),ISNUMBER(C125)),IFERROR(D125/C125-1,""),"")</f>
        <v>1.87175324675325</v>
      </c>
      <c r="E206" s="255">
        <f>IF(AND(ISNUMBER(E125),ISNUMBER(D125)),IFERROR(E125/D125-1,""),"")</f>
        <v>0.297060486150367</v>
      </c>
      <c r="F206" s="255">
        <f>IF(AND(ISNUMBER(F125),ISNUMBER(E125)),IFERROR(F125/E125-1,""),"")</f>
        <v>0.188930050119852</v>
      </c>
      <c r="G206" s="255">
        <f>IF(AND(ISNUMBER(G125),ISNUMBER(F125)),IFERROR(G125/F125-1,""),"")</f>
        <v>-0.607954545454545</v>
      </c>
      <c r="H206" s="23" t="n"/>
      <c r="I206" s="23" t="n"/>
      <c r="J206" s="23" t="n"/>
      <c r="K206" s="23" t="n"/>
      <c r="L206" s="255">
        <f>IF(AND(ISNUMBER(L125),ISNUMBER(G125)),IFERROR(L125/G125-1,""),"")</f>
        <v>2.38429172510519</v>
      </c>
      <c r="M206" s="255">
        <f>IF(AND(ISNUMBER(M125),ISNUMBER(H125)),IFERROR(M125/H125-1,""),"")</f>
        <v>0.153888888888889</v>
      </c>
      <c r="N206" s="255">
        <f>IF(AND(ISNUMBER(N125),ISNUMBER(I125)),IFERROR(N125/I125-1,""),"")</f>
        <v>0.101075268817204</v>
      </c>
      <c r="O206" s="255">
        <f>IF(AND(ISNUMBER(O125),ISNUMBER(J125)),IFERROR(O125/J125-1,""),"")</f>
        <v>0.105032822757112</v>
      </c>
      <c r="P206" s="255">
        <f>IF(AND(ISNUMBER(P125),ISNUMBER(K125)),IFERROR(P125/K125-1,""),"")</f>
        <v>-0.113649343232439</v>
      </c>
      <c r="Q206" s="255">
        <f>IF(AND(ISNUMBER(Q125),ISNUMBER(L125)),IFERROR(Q125/L125-1,""),"")</f>
        <v>0.063268407238569</v>
      </c>
      <c r="R206" s="255">
        <f>IF(AND(ISNUMBER(R125),ISNUMBER(M125)),IFERROR(R125/M125-1,""),"")</f>
        <v>0.0775156475686085</v>
      </c>
      <c r="S206" s="255">
        <f>IF(AND(ISNUMBER(S125),ISNUMBER(N125)),IFERROR(S125/N125-1,""),"")</f>
        <v>0.11376953125</v>
      </c>
      <c r="T206" s="255">
        <f>IF(AND(ISNUMBER(T125),ISNUMBER(O125)),IFERROR(T125/O125-1,""),"")</f>
        <v>0.11980198019802</v>
      </c>
      <c r="U206" s="255">
        <f>IF(AND(ISNUMBER(U125),ISNUMBER(P125)),IFERROR(U125/P125-1,""),"")</f>
        <v>0.471005154639175</v>
      </c>
      <c r="V206" s="255">
        <f>IF(AND(ISNUMBER(V125),ISNUMBER(Q125)),IFERROR(V125/Q125-1,""),"")</f>
        <v>0.177601662985579</v>
      </c>
      <c r="W206" s="255">
        <f>IF(AND(ISNUMBER(W125),ISNUMBER(R125)),IFERROR(W125/R125-1,""),"")</f>
        <v>0.0705987488829312</v>
      </c>
      <c r="X206" s="255">
        <f>IF(AND(ISNUMBER(X125),ISNUMBER(S125)),IFERROR(X125/S125-1,""),"")</f>
        <v>0.0670758439281016</v>
      </c>
      <c r="Y206" s="255">
        <f>IF(AND(ISNUMBER(Y125),ISNUMBER(T125)),IFERROR(Y125/T125-1,""),"")</f>
        <v>-0.81078691423519</v>
      </c>
      <c r="Z206" s="255">
        <f>IF(AND(ISNUMBER(Z125),ISNUMBER(U125)),IFERROR(Z125/U125-1,""),"")</f>
        <v>0.149802890932983</v>
      </c>
      <c r="AA206" s="255">
        <f>IF(AND(ISNUMBER(AA125),ISNUMBER(V125)),IFERROR(AA125/V125-1,""),"")</f>
        <v>-0.130295675198588</v>
      </c>
      <c r="AB206" s="255">
        <f>IF(AND(ISNUMBER(AB125),ISNUMBER(W125)),IFERROR(AB125/W125-1,""),"")</f>
        <v>0.293823038397329</v>
      </c>
      <c r="AC206" s="255">
        <f>IF(AND(ISNUMBER(AC125),ISNUMBER(X125)),IFERROR(AC125/X125-1,""),"")</f>
        <v>0.153656532456861</v>
      </c>
      <c r="AD206" s="255">
        <f>IF(AND(ISNUMBER(AD125),ISNUMBER(Y125)),IFERROR(AD125/Y125-1,""),"")</f>
        <v>6.06542056074766</v>
      </c>
      <c r="AE206" s="255">
        <f>IF(AND(ISNUMBER(AE125),ISNUMBER(Z125)),IFERROR(AE125/Z125-1,""),"")</f>
        <v>0.223619047619048</v>
      </c>
      <c r="AF206" s="255">
        <f>IF(AND(ISNUMBER(AF125),ISNUMBER(AA125)),IFERROR(AF125/AA125-1,""),"")</f>
        <v>0.540530254979069</v>
      </c>
      <c r="AG206" s="255">
        <f>IF(AND(ISNUMBER(AG125),ISNUMBER(AB125)),IFERROR(AG125/AB125-1,""),"")</f>
        <v>0.0732258064516129</v>
      </c>
      <c r="AH206" s="255">
        <f>IF(AND(ISNUMBER(AH125),ISNUMBER(AC125)),IFERROR(AH125/AC125-1,""),"")</f>
        <v>0.188034188034188</v>
      </c>
      <c r="AI206" s="255">
        <f>IF(AND(ISNUMBER(AI125),ISNUMBER(AD125)),IFERROR(AI125/AD125-1,""),"")</f>
        <v>-0.0459656084656085</v>
      </c>
      <c r="AJ206" s="255">
        <f>IF(AND(ISNUMBER(AJ125),ISNUMBER(AE125)),IFERROR(AJ125/AE125-1,""),"")</f>
        <v>0.0603985056039851</v>
      </c>
      <c r="AK206" s="255">
        <f>IF(AND(ISNUMBER(AK125),ISNUMBER(AF125)),IFERROR(AK125/AF125-1,""),"")</f>
        <v>0.066699604743083</v>
      </c>
      <c r="AL206" s="255">
        <f>IF(AND(ISNUMBER(AL125),ISNUMBER(AG125)),IFERROR(AL125/AG125-1,""),"")</f>
        <v>0.117222723174031</v>
      </c>
      <c r="AM206" s="255">
        <f>IF(AND(ISNUMBER(AM125),ISNUMBER(AH125)),IFERROR(AM125/AH125-1,""),"")</f>
        <v>0.0914268585131894</v>
      </c>
      <c r="AN206" s="255">
        <f>IF(AND(ISNUMBER(AN125),ISNUMBER(AI125)),IFERROR(AN125/AI125-1,""),"")</f>
        <v>0.354592720970537</v>
      </c>
      <c r="AO206" s="255">
        <f>IF(AND(ISNUMBER(AO125),ISNUMBER(AJ125)),IFERROR(AO125/AJ125-1,""),"")</f>
        <v>0.0965942454492073</v>
      </c>
      <c r="AP206" s="255">
        <f>IF(AND(ISNUMBER(AP125),ISNUMBER(AK125)),IFERROR(AP125/AK125-1,""),"")</f>
        <v>0.158020688590397</v>
      </c>
      <c r="AQ206" s="255">
        <f>IF(AND(ISNUMBER(AQ125),ISNUMBER(AL125)),IFERROR(AQ125/AL125-1,""),"")</f>
        <v>0.0804412160344363</v>
      </c>
      <c r="AR206" s="255">
        <f>IF(AND(ISNUMBER(AR125),ISNUMBER(AM125)),IFERROR(AR125/AM125-1,""),"")</f>
        <v>0.0777258994781653</v>
      </c>
      <c r="AS206" s="255">
        <f>IF(AND(ISNUMBER(AS125),ISNUMBER(AN125)),IFERROR(AS125/AN125-1,""),"")</f>
        <v>-0.232599795291709</v>
      </c>
      <c r="AT206" s="255">
        <f>IF(AND(ISNUMBER(AT125),ISNUMBER(AO125)),IFERROR(AT125/AO125-1,""),"")</f>
        <v>-0.158768406961178</v>
      </c>
      <c r="AU206" s="255">
        <f>IF(AND(ISNUMBER(AU125),ISNUMBER(AP125)),IFERROR(AU125/AP125-1,""),"")</f>
        <v>-0.0613292447170188</v>
      </c>
      <c r="AV206" s="255">
        <f>IF(AND(ISNUMBER(AV125),ISNUMBER(AQ125)),IFERROR(AV125/AQ125-1,""),"")</f>
        <v>-0.0428286852589641</v>
      </c>
      <c r="AW206" s="255">
        <f>IF(AND(ISNUMBER(AW125),ISNUMBER(AR125)),IFERROR(AW125/AR125-1,""),"")</f>
        <v>-0.0874108053007136</v>
      </c>
      <c r="AX206" s="255">
        <f>IF(AND(ISNUMBER(AX125),ISNUMBER(AS125)),IFERROR(AX125/AS125-1,""),"")</f>
        <v>0.35511837279093</v>
      </c>
      <c r="AY206" s="255">
        <f>IF(AND(ISNUMBER(AY125),ISNUMBER(AT125)),IFERROR(AY125/AT125-1,""),"")</f>
        <v>0.373329089751751</v>
      </c>
      <c r="AZ206" s="255">
        <f>IF(AND(ISNUMBER(AZ125),ISNUMBER(AU125)),IFERROR(AZ125/AU125-1,""),"")</f>
        <v>0.122363468503657</v>
      </c>
      <c r="BA206" s="255">
        <f>IF(AND(ISNUMBER(BA125),ISNUMBER(AV125)),IFERROR(BA125/AV125-1,""),"")</f>
        <v>0.242455775234131</v>
      </c>
      <c r="BB206" s="255">
        <f>IF(AND(ISNUMBER(BB125),ISNUMBER(AW125)),IFERROR(BB125/AW125-1,""),"")</f>
        <v>0.340966210555711</v>
      </c>
      <c r="BC206" s="255">
        <f>IF(AND(ISNUMBER(BC125),ISNUMBER(AX125)),IFERROR(BC125/AX125-1,""),"")</f>
        <v>0.0206692913385826</v>
      </c>
      <c r="BD206" s="255">
        <f>IF(AND(ISNUMBER(BD125),ISNUMBER(AY125)),IFERROR(BD125/AY125-1,""),"")</f>
        <v>0.17891077636153</v>
      </c>
      <c r="BE206" s="255">
        <f>IF(AND(ISNUMBER(BE125),ISNUMBER(AZ125)),IFERROR(BE125/AZ125-1,""),"")</f>
        <v>0.19039483675019</v>
      </c>
      <c r="BF206" s="255">
        <f>IF(AND(ISNUMBER(BF125),ISNUMBER(BA125)),IFERROR(BF125/BA125-1,""),"")</f>
        <v>0.0657453936348409</v>
      </c>
      <c r="BG206" s="255">
        <f>IF(AND(ISNUMBER(BG125),ISNUMBER(BB125)),IFERROR(BG125/BB125-1,""),"")</f>
        <v>0.111203665139525</v>
      </c>
      <c r="BH206" s="255">
        <f>IF(AND(ISNUMBER(BH125),ISNUMBER(BC125)),IFERROR(BH125/BC125-1,""),"")</f>
        <v>0.211186113789778</v>
      </c>
      <c r="BI206" s="255">
        <f>IF(AND(ISNUMBER(BI125),ISNUMBER(BD125)),IFERROR(BI125/BD125-1,""),"")</f>
        <v>0.0910163160998625</v>
      </c>
      <c r="BJ206" s="255">
        <f>IF(AND(ISNUMBER(BJ125),ISNUMBER(BE125)),IFERROR(BJ125/BE125-1,""),"")</f>
        <v>0.116249402009249</v>
      </c>
      <c r="BK206" s="255">
        <f>IF(AND(ISNUMBER(BK125),ISNUMBER(BF125)),IFERROR(BK125/BF125-1,""),"")</f>
        <v>0.169744597249509</v>
      </c>
      <c r="BL206" s="255">
        <f>IF(AND(ISNUMBER(BL125),ISNUMBER(BG125)),IFERROR(BL125/BG125-1,""),"")</f>
        <v>0.00337331334332824</v>
      </c>
      <c r="BM206" s="255">
        <f>IF(AND(ISNUMBER(BM125),ISNUMBER(BH125)),IFERROR(BM125/BH125-1,""),"")</f>
        <v>0.181926751592357</v>
      </c>
      <c r="BN206" s="255">
        <f>IF(AND(ISNUMBER(BN125),ISNUMBER(BI125)),IFERROR(BN125/BI125-1,""),"")</f>
        <v>0.143963963963964</v>
      </c>
      <c r="BO206" s="255">
        <f>IF(AND(ISNUMBER(BO125),ISNUMBER(BJ125)),IFERROR(BO125/BJ125-1,""),"")</f>
        <v>0.123571428571429</v>
      </c>
      <c r="BP206" s="255">
        <f>IF(AND(ISNUMBER(BP125),ISNUMBER(BK125)),IFERROR(BP125/BK125-1,""),"")</f>
        <v>0.0470272085992609</v>
      </c>
      <c r="BQ206" s="255">
        <f>IF(AND(ISNUMBER(BQ125),ISNUMBER(BL125)),IFERROR(BQ125/BL125-1,""),"")</f>
        <v>0.0151288756070227</v>
      </c>
      <c r="BR206" s="255">
        <f>IF(AND(ISNUMBER(BR125),ISNUMBER(BM125)),IFERROR(BR125/BM125-1,""),"")</f>
        <v>0.0402492421690805</v>
      </c>
      <c r="BS206" s="255">
        <f>IF(AND(ISNUMBER(BS125),ISNUMBER(BN125)),IFERROR(BS125/BN125-1,""),"")</f>
        <v>-0.0316585289021893</v>
      </c>
      <c r="BT206" s="255">
        <f>IF(AND(ISNUMBER(BT125),ISNUMBER(BO125)),IFERROR(BT125/BO125-1,""),"")</f>
        <v>0.0169103623649078</v>
      </c>
      <c r="BU206" s="255">
        <f>IF(AND(ISNUMBER(BU125),ISNUMBER(BP125)),IFERROR(BU125/BP125-1,""),"")</f>
        <v>0.0806865575874238</v>
      </c>
      <c r="BV206" s="255">
        <f>IF(AND(ISNUMBER(BV125),ISNUMBER(BQ125)),IFERROR(BV125/BQ125-1,""),"")</f>
        <v>0.331002759889604</v>
      </c>
      <c r="BW206" s="255">
        <f>IF(AND(ISNUMBER(BW125),ISNUMBER(BR125)),IFERROR(BW125/BR125-1,""),"")</f>
        <v>0.113323619880201</v>
      </c>
      <c r="BX206" s="256">
        <f>IF(AND(ISNUMBER(BX125),ISNUMBER(BS125)),IFERROR(BX125/BS125-1,""),"")</f>
        <v>0.286123680714331</v>
      </c>
      <c r="BY206" s="256">
        <f>IF(AND(ISNUMBER(BY125),ISNUMBER(BT125)),IFERROR(BY125/BT125-1,""),"")</f>
        <v>0.198428289948808</v>
      </c>
      <c r="BZ206" s="256">
        <f>IF(AND(ISNUMBER(BZ125),ISNUMBER(BY125)),IFERROR(BZ125/BY125-1,""),"")</f>
        <v>0.178598421662221</v>
      </c>
      <c r="CA206" s="256">
        <f>IF(AND(ISNUMBER(CA125),ISNUMBER(BZ125)),IFERROR(CA125/BZ125-1,""),"")</f>
        <v>0.113362935828642</v>
      </c>
      <c r="CB206" s="256">
        <f>IF(AND(ISNUMBER(CB125),ISNUMBER(CA125)),IFERROR(CB125/CA125-1,""),"")</f>
        <v>0.10734549572273</v>
      </c>
      <c r="CC206" s="256">
        <f>IF(AND(ISNUMBER(CC125),ISNUMBER(CB125)),IFERROR(CC125/CB125-1,""),"")</f>
        <v>0.0951262377589344</v>
      </c>
      <c r="CD206" s="256">
        <f>IF(AND(ISNUMBER(CD125),ISNUMBER(CC125)),IFERROR(CD125/CC125-1,""),"")</f>
        <v>0.0948633954213036</v>
      </c>
      <c r="CE206" s="153" t="n"/>
    </row>
    <row r="207" ht="15" customHeight="1" s="251">
      <c r="B207" s="22" t="inlineStr">
        <is>
          <t xml:space="preserve">  Net income y/y %</t>
        </is>
      </c>
      <c r="C207" s="23" t="n"/>
      <c r="D207" s="255">
        <f>IF(AND(ISNUMBER(D137),ISNUMBER(C137)),IFERROR(D137/C137-1,""),"")</f>
        <v>1.92661691542289</v>
      </c>
      <c r="E207" s="255">
        <f>IF(AND(ISNUMBER(E137),ISNUMBER(D137)),IFERROR(E137/D137-1,""),"")</f>
        <v>0.260518487037824</v>
      </c>
      <c r="F207" s="255">
        <f>IF(AND(ISNUMBER(F137),ISNUMBER(E137)),IFERROR(F137/E137-1,""),"")</f>
        <v>0.230613621038436</v>
      </c>
      <c r="G207" s="255">
        <f>IF(AND(ISNUMBER(G137),ISNUMBER(F137)),IFERROR(G137/F137-1,""),"")</f>
        <v>-0.412602739726027</v>
      </c>
      <c r="H207" s="23" t="n"/>
      <c r="I207" s="23" t="n"/>
      <c r="J207" s="23" t="n"/>
      <c r="K207" s="23" t="n"/>
      <c r="L207" s="255">
        <f>IF(AND(ISNUMBER(L137),ISNUMBER(G137)),IFERROR(L137/G137-1,""),"")</f>
        <v>1.32276119402985</v>
      </c>
      <c r="M207" s="255">
        <f>IF(AND(ISNUMBER(M137),ISNUMBER(H137)),IFERROR(M137/H137-1,""),"")</f>
        <v>0.0881670533642691</v>
      </c>
      <c r="N207" s="255">
        <f>IF(AND(ISNUMBER(N137),ISNUMBER(I137)),IFERROR(N137/I137-1,""),"")</f>
        <v>0.258267716535433</v>
      </c>
      <c r="O207" s="255">
        <f>IF(AND(ISNUMBER(O137),ISNUMBER(J137)),IFERROR(O137/J137-1,""),"")</f>
        <v>0.110204081632653</v>
      </c>
      <c r="P207" s="255">
        <f>IF(AND(ISNUMBER(P137),ISNUMBER(K137)),IFERROR(P137/K137-1,""),"")</f>
        <v>-0.0998322147651006</v>
      </c>
      <c r="Q207" s="255">
        <f>IF(AND(ISNUMBER(Q137),ISNUMBER(L137)),IFERROR(Q137/L137-1,""),"")</f>
        <v>0.0919678714859438</v>
      </c>
      <c r="R207" s="255">
        <f>IF(AND(ISNUMBER(R137),ISNUMBER(M137)),IFERROR(R137/M137-1,""),"")</f>
        <v>0.115138592750533</v>
      </c>
      <c r="S207" s="255">
        <f>IF(AND(ISNUMBER(S137),ISNUMBER(N137)),IFERROR(S137/N137-1,""),"")</f>
        <v>-0.0300375469336671</v>
      </c>
      <c r="T207" s="255">
        <f>IF(AND(ISNUMBER(T137),ISNUMBER(O137)),IFERROR(T137/O137-1,""),"")</f>
        <v>0.247794117647059</v>
      </c>
      <c r="U207" s="255">
        <f>IF(AND(ISNUMBER(U137),ISNUMBER(P137)),IFERROR(U137/P137-1,""),"")</f>
        <v>0.409133271202237</v>
      </c>
      <c r="V207" s="255">
        <f>IF(AND(ISNUMBER(V137),ISNUMBER(Q137)),IFERROR(V137/Q137-1,""),"")</f>
        <v>0.163663111438029</v>
      </c>
      <c r="W207" s="255">
        <f>IF(AND(ISNUMBER(W137),ISNUMBER(R137)),IFERROR(W137/R137-1,""),"")</f>
        <v>0.237093690248566</v>
      </c>
      <c r="X207" s="255">
        <f>IF(AND(ISNUMBER(X137),ISNUMBER(S137)),IFERROR(X137/S137-1,""),"")</f>
        <v>0.101290322580645</v>
      </c>
      <c r="Y207" s="255">
        <f>IF(AND(ISNUMBER(Y137),ISNUMBER(T137)),IFERROR(Y137/T137-1,""),"")</f>
        <v>-0.757218621096052</v>
      </c>
      <c r="Z207" s="255">
        <f>IF(AND(ISNUMBER(Z137),ISNUMBER(U137)),IFERROR(Z137/U137-1,""),"")</f>
        <v>0.277116402116402</v>
      </c>
      <c r="AA207" s="255">
        <f>IF(AND(ISNUMBER(AA137),ISNUMBER(V137)),IFERROR(AA137/V137-1,""),"")</f>
        <v>-0.0532553729456384</v>
      </c>
      <c r="AB207" s="255">
        <f>IF(AND(ISNUMBER(AB137),ISNUMBER(W137)),IFERROR(AB137/W137-1,""),"")</f>
        <v>0.0664605873261206</v>
      </c>
      <c r="AC207" s="255">
        <f>IF(AND(ISNUMBER(AC137),ISNUMBER(X137)),IFERROR(AC137/X137-1,""),"")</f>
        <v>-0.748096074985355</v>
      </c>
      <c r="AD207" s="255">
        <f>IF(AND(ISNUMBER(AD137),ISNUMBER(Y137)),IFERROR(AD137/Y137-1,""),"")</f>
        <v>3.99757281553398</v>
      </c>
      <c r="AE207" s="255">
        <f>IF(AND(ISNUMBER(AE137),ISNUMBER(Z137)),IFERROR(AE137/Z137-1,""),"")</f>
        <v>0.108234075608493</v>
      </c>
      <c r="AF207" s="255">
        <f>IF(AND(ISNUMBER(AF137),ISNUMBER(AA137)),IFERROR(AF137/AA137-1,""),"")</f>
        <v>0.118177265898848</v>
      </c>
      <c r="AG207" s="255">
        <f>IF(AND(ISNUMBER(AG137),ISNUMBER(AB137)),IFERROR(AG137/AB137-1,""),"")</f>
        <v>0.218357487922705</v>
      </c>
      <c r="AH207" s="255">
        <f>IF(AND(ISNUMBER(AH137),ISNUMBER(AC137)),IFERROR(AH137/AC137-1,""),"")</f>
        <v>5.05813953488372</v>
      </c>
      <c r="AI207" s="255">
        <f>IF(AND(ISNUMBER(AI137),ISNUMBER(AD137)),IFERROR(AI137/AD137-1,""),"")</f>
        <v>0.131131617289947</v>
      </c>
      <c r="AJ207" s="255">
        <f>IF(AND(ISNUMBER(AJ137),ISNUMBER(AE137)),IFERROR(AJ137/AE137-1,""),"")</f>
        <v>0.329439252336449</v>
      </c>
      <c r="AK207" s="255">
        <f>IF(AND(ISNUMBER(AK137),ISNUMBER(AF137)),IFERROR(AK137/AF137-1,""),"")</f>
        <v>0.537692192864607</v>
      </c>
      <c r="AL207" s="255">
        <f>IF(AND(ISNUMBER(AL137),ISNUMBER(AG137)),IFERROR(AL137/AG137-1,""),"")</f>
        <v>0.180412371134021</v>
      </c>
      <c r="AM207" s="255">
        <f>IF(AND(ISNUMBER(AM137),ISNUMBER(AH137)),IFERROR(AM137/AH137-1,""),"")</f>
        <v>0.142802303262956</v>
      </c>
      <c r="AN207" s="255">
        <f>IF(AND(ISNUMBER(AN137),ISNUMBER(AI137)),IFERROR(AN137/AI137-1,""),"")</f>
        <v>0.331472735079433</v>
      </c>
      <c r="AO207" s="255">
        <f>IF(AND(ISNUMBER(AO137),ISNUMBER(AJ137)),IFERROR(AO137/AJ137-1,""),"")</f>
        <v>0.0632688927943761</v>
      </c>
      <c r="AP207" s="255">
        <f>IF(AND(ISNUMBER(AP137),ISNUMBER(AK137)),IFERROR(AP137/AK137-1,""),"")</f>
        <v>0.172701679448597</v>
      </c>
      <c r="AQ207" s="255">
        <f>IF(AND(ISNUMBER(AQ137),ISNUMBER(AL137)),IFERROR(AQ137/AL137-1,""),"")</f>
        <v>0.0990930466913</v>
      </c>
      <c r="AR207" s="255">
        <f>IF(AND(ISNUMBER(AR137),ISNUMBER(AM137)),IFERROR(AR137/AM137-1,""),"")</f>
        <v>0.0359422237151494</v>
      </c>
      <c r="AS207" s="255">
        <f>IF(AND(ISNUMBER(AS137),ISNUMBER(AN137)),IFERROR(AS137/AN137-1,""),"")</f>
        <v>-0.234762979683973</v>
      </c>
      <c r="AT207" s="255">
        <f>IF(AND(ISNUMBER(AT137),ISNUMBER(AO137)),IFERROR(AT137/AO137-1,""),"")</f>
        <v>-0.293553719008264</v>
      </c>
      <c r="AU207" s="255">
        <f>IF(AND(ISNUMBER(AU137),ISNUMBER(AP137)),IFERROR(AU137/AP137-1,""),"")</f>
        <v>-0.100496688741722</v>
      </c>
      <c r="AV207" s="255">
        <f>IF(AND(ISNUMBER(AV137),ISNUMBER(AQ137)),IFERROR(AV137/AQ137-1,""),"")</f>
        <v>-0.0446210268948656</v>
      </c>
      <c r="AW207" s="255">
        <f>IF(AND(ISNUMBER(AW137),ISNUMBER(AR137)),IFERROR(AW137/AR137-1,""),"")</f>
        <v>-0.0188067444876784</v>
      </c>
      <c r="AX207" s="255">
        <f>IF(AND(ISNUMBER(AX137),ISNUMBER(AS137)),IFERROR(AX137/AS137-1,""),"")</f>
        <v>0.0851243152128107</v>
      </c>
      <c r="AY207" s="255">
        <f>IF(AND(ISNUMBER(AY137),ISNUMBER(AT137)),IFERROR(AY137/AT137-1,""),"")</f>
        <v>0.677117454375293</v>
      </c>
      <c r="AZ207" s="255">
        <f>IF(AND(ISNUMBER(AZ137),ISNUMBER(AU137)),IFERROR(AZ137/AU137-1,""),"")</f>
        <v>0.13298361862691</v>
      </c>
      <c r="BA207" s="255">
        <f>IF(AND(ISNUMBER(BA137),ISNUMBER(AV137)),IFERROR(BA137/AV137-1,""),"")</f>
        <v>0.266474728087012</v>
      </c>
      <c r="BB207" s="255">
        <f>IF(AND(ISNUMBER(BB137),ISNUMBER(AW137)),IFERROR(BB137/AW137-1,""),"")</f>
        <v>0.20522141440846</v>
      </c>
      <c r="BC207" s="255">
        <f>IF(AND(ISNUMBER(BC137),ISNUMBER(AX137)),IFERROR(BC137/AX137-1,""),"")</f>
        <v>0.324660194174757</v>
      </c>
      <c r="BD207" s="255">
        <f>IF(AND(ISNUMBER(BD137),ISNUMBER(AY137)),IFERROR(BD137/AY137-1,""),"")</f>
        <v>0.0993303571428572</v>
      </c>
      <c r="BE207" s="255">
        <f>IF(AND(ISNUMBER(BE137),ISNUMBER(AZ137)),IFERROR(BE137/AZ137-1,""),"")</f>
        <v>0.214929737633011</v>
      </c>
      <c r="BF207" s="255">
        <f>IF(AND(ISNUMBER(BF137),ISNUMBER(BA137)),IFERROR(BF137/BA137-1,""),"")</f>
        <v>0.0555695882798686</v>
      </c>
      <c r="BG207" s="255">
        <f>IF(AND(ISNUMBER(BG137),ISNUMBER(BB137)),IFERROR(BG137/BB137-1,""),"")</f>
        <v>0.167260762270359</v>
      </c>
      <c r="BH207" s="255">
        <f>IF(AND(ISNUMBER(BH137),ISNUMBER(BC137)),IFERROR(BH137/BC137-1,""),"")</f>
        <v>0.218411023160364</v>
      </c>
      <c r="BI207" s="255">
        <f>IF(AND(ISNUMBER(BI137),ISNUMBER(BD137)),IFERROR(BI137/BD137-1,""),"")</f>
        <v>0.188071065989848</v>
      </c>
      <c r="BJ207" s="255">
        <f>IF(AND(ISNUMBER(BJ137),ISNUMBER(BE137)),IFERROR(BJ137/BE137-1,""),"")</f>
        <v>0.154843885805977</v>
      </c>
      <c r="BK207" s="255">
        <f>IF(AND(ISNUMBER(BK137),ISNUMBER(BF137)),IFERROR(BK137/BF137-1,""),"")</f>
        <v>0.170136396267049</v>
      </c>
      <c r="BL207" s="255">
        <f>IF(AND(ISNUMBER(BL137),ISNUMBER(BG137)),IFERROR(BL137/BG137-1,""),"")</f>
        <v>0.0953723279304675</v>
      </c>
      <c r="BM207" s="255">
        <f>IF(AND(ISNUMBER(BM137),ISNUMBER(BH137)),IFERROR(BM137/BH137-1,""),"")</f>
        <v>0.17228103946102</v>
      </c>
      <c r="BN207" s="255">
        <f>IF(AND(ISNUMBER(BN137),ISNUMBER(BI137)),IFERROR(BN137/BI137-1,""),"")</f>
        <v>0.136082033753471</v>
      </c>
      <c r="BO207" s="255">
        <f>IF(AND(ISNUMBER(BO137),ISNUMBER(BJ137)),IFERROR(BO137/BJ137-1,""),"")</f>
        <v>0.142997742140914</v>
      </c>
      <c r="BP207" s="255">
        <f>IF(AND(ISNUMBER(BP137),ISNUMBER(BK137)),IFERROR(BP137/BK137-1,""),"")</f>
        <v>0.0468302658486708</v>
      </c>
      <c r="BQ207" s="255">
        <f>IF(AND(ISNUMBER(BQ137),ISNUMBER(BL137)),IFERROR(BQ137/BL137-1,""),"")</f>
        <v>-0.0184430624061763</v>
      </c>
      <c r="BR207" s="255">
        <f>IF(AND(ISNUMBER(BR137),ISNUMBER(BM137)),IFERROR(BR137/BM137-1,""),"")</f>
        <v>0.0821018062397372</v>
      </c>
      <c r="BS207" s="255">
        <f>IF(AND(ISNUMBER(BS137),ISNUMBER(BN137)),IFERROR(BS137/BN137-1,""),"")</f>
        <v>-0.0428732606242949</v>
      </c>
      <c r="BT207" s="255">
        <f>IF(AND(ISNUMBER(BT137),ISNUMBER(BO137)),IFERROR(BT137/BO137-1,""),"")</f>
        <v>0.0159550220331257</v>
      </c>
      <c r="BU207" s="255">
        <f>IF(AND(ISNUMBER(BU137),ISNUMBER(BP137)),IFERROR(BU137/BP137-1,""),"")</f>
        <v>0.143387380347724</v>
      </c>
      <c r="BV207" s="255">
        <f>IF(AND(ISNUMBER(BV137),ISNUMBER(BQ137)),IFERROR(BV137/BQ137-1,""),"")</f>
        <v>0.315490495958051</v>
      </c>
      <c r="BW207" s="255">
        <f>IF(AND(ISNUMBER(BW137),ISNUMBER(BR137)),IFERROR(BW137/BR137-1,""),"")</f>
        <v>0.06752655538695</v>
      </c>
      <c r="BX207" s="256">
        <f>IF(AND(ISNUMBER(BX137),ISNUMBER(BS137)),IFERROR(BX137/BS137-1,""),"")</f>
        <v>0.245408957783041</v>
      </c>
      <c r="BY207" s="256">
        <f>IF(AND(ISNUMBER(BY137),ISNUMBER(BT137)),IFERROR(BY137/BT137-1,""),"")</f>
        <v>0.188609611881328</v>
      </c>
      <c r="BZ207" s="256">
        <f>IF(AND(ISNUMBER(BZ137),ISNUMBER(BY137)),IFERROR(BZ137/BY137-1,""),"")</f>
        <v>0.154098900587927</v>
      </c>
      <c r="CA207" s="256">
        <f>IF(AND(ISNUMBER(CA137),ISNUMBER(BZ137)),IFERROR(CA137/BZ137-1,""),"")</f>
        <v>0.108254228810774</v>
      </c>
      <c r="CB207" s="256">
        <f>IF(AND(ISNUMBER(CB137),ISNUMBER(CA137)),IFERROR(CB137/CA137-1,""),"")</f>
        <v>0.105712147207496</v>
      </c>
      <c r="CC207" s="256">
        <f>IF(AND(ISNUMBER(CC137),ISNUMBER(CB137)),IFERROR(CC137/CB137-1,""),"")</f>
        <v>0.0941910290596255</v>
      </c>
      <c r="CD207" s="256">
        <f>IF(AND(ISNUMBER(CD137),ISNUMBER(CC137)),IFERROR(CD137/CC137-1,""),"")</f>
        <v>0.0941869015232675</v>
      </c>
      <c r="CE207" s="153" t="n"/>
    </row>
    <row r="208" ht="15" customHeight="1" s="251">
      <c r="B208" s="22" t="inlineStr">
        <is>
          <t xml:space="preserve">  Non-GAAP EPS y/y %</t>
        </is>
      </c>
      <c r="C208" s="23" t="n"/>
      <c r="D208" s="255">
        <f>IF(AND(ISNUMBER(D191),ISNUMBER(C191)),IFERROR(D191/C191-1,""),"")</f>
        <v>0.419968591173848</v>
      </c>
      <c r="E208" s="255">
        <f>IF(AND(ISNUMBER(E191),ISNUMBER(D191)),IFERROR(E191/D191-1,""),"")</f>
        <v>0.209651136052075</v>
      </c>
      <c r="F208" s="255">
        <f>IF(AND(ISNUMBER(F191),ISNUMBER(E191)),IFERROR(F191/E191-1,""),"")</f>
        <v>0.277340896542027</v>
      </c>
      <c r="G208" s="255">
        <f>IF(AND(ISNUMBER(G191),ISNUMBER(F191)),IFERROR(G191/F191-1,""),"")</f>
        <v>0.242282975136958</v>
      </c>
      <c r="H208" s="23" t="n"/>
      <c r="I208" s="23" t="n"/>
      <c r="J208" s="23" t="n"/>
      <c r="K208" s="23" t="n"/>
      <c r="L208" s="255">
        <f>IF(AND(ISNUMBER(L191),ISNUMBER(G191)),IFERROR(L191/G191-1,""),"")</f>
        <v>0.224604376664752</v>
      </c>
      <c r="M208" s="255">
        <f>IF(AND(ISNUMBER(M191),ISNUMBER(H191)),IFERROR(M191/H191-1,""),"")</f>
        <v>0.139254708451793</v>
      </c>
      <c r="N208" s="255">
        <f>IF(AND(ISNUMBER(N191),ISNUMBER(I191)),IFERROR(N191/I191-1,""),"")</f>
        <v>0.309868600809757</v>
      </c>
      <c r="O208" s="255">
        <f>IF(AND(ISNUMBER(O191),ISNUMBER(J191)),IFERROR(O191/J191-1,""),"")</f>
        <v>0.150864422202002</v>
      </c>
      <c r="P208" s="255">
        <f>IF(AND(ISNUMBER(P191),ISNUMBER(K191)),IFERROR(P191/K191-1,""),"")</f>
        <v>0.175929417087701</v>
      </c>
      <c r="Q208" s="255">
        <f>IF(AND(ISNUMBER(Q191),ISNUMBER(L191)),IFERROR(Q191/L191-1,""),"")</f>
        <v>0.194310045252325</v>
      </c>
      <c r="R208" s="255">
        <f>IF(AND(ISNUMBER(R191),ISNUMBER(M191)),IFERROR(R191/M191-1,""),"")</f>
        <v>0.151168918849096</v>
      </c>
      <c r="S208" s="255">
        <f>IF(AND(ISNUMBER(S191),ISNUMBER(N191)),IFERROR(S191/N191-1,""),"")</f>
        <v>-7.1227245438843e-05</v>
      </c>
      <c r="T208" s="255">
        <f>IF(AND(ISNUMBER(T191),ISNUMBER(O191)),IFERROR(T191/O191-1,""),"")</f>
        <v>0.363413110342176</v>
      </c>
      <c r="U208" s="255">
        <f>IF(AND(ISNUMBER(U191),ISNUMBER(P191)),IFERROR(U191/P191-1,""),"")</f>
        <v>0.138807485855216</v>
      </c>
      <c r="V208" s="255">
        <f>IF(AND(ISNUMBER(V191),ISNUMBER(Q191)),IFERROR(V191/Q191-1,""),"")</f>
        <v>0.15601433273169</v>
      </c>
      <c r="W208" s="255">
        <f>IF(AND(ISNUMBER(W191),ISNUMBER(R191)),IFERROR(W191/R191-1,""),"")</f>
        <v>0.0949114400144782</v>
      </c>
      <c r="X208" s="255">
        <f>IF(AND(ISNUMBER(X191),ISNUMBER(S191)),IFERROR(X191/S191-1,""),"")</f>
        <v>0.0748102269215782</v>
      </c>
      <c r="Y208" s="255">
        <f>IF(AND(ISNUMBER(Y191),ISNUMBER(T191)),IFERROR(Y191/T191-1,""),"")</f>
        <v>-0.0716738621482722</v>
      </c>
      <c r="Z208" s="255">
        <f>IF(AND(ISNUMBER(Z191),ISNUMBER(U191)),IFERROR(Z191/U191-1,""),"")</f>
        <v>0.266534391534392</v>
      </c>
      <c r="AA208" s="255">
        <f>IF(AND(ISNUMBER(AA191),ISNUMBER(V191)),IFERROR(AA191/V191-1,""),"")</f>
        <v>0.0848448511363118</v>
      </c>
      <c r="AB208" s="255">
        <f>IF(AND(ISNUMBER(AB191),ISNUMBER(W191)),IFERROR(AB191/W191-1,""),"")</f>
        <v>0.232322163277725</v>
      </c>
      <c r="AC208" s="255">
        <f>IF(AND(ISNUMBER(AC191),ISNUMBER(X191)),IFERROR(AC191/X191-1,""),"")</f>
        <v>0.267962218275549</v>
      </c>
      <c r="AD208" s="255">
        <f>IF(AND(ISNUMBER(AD191),ISNUMBER(Y191)),IFERROR(AD191/Y191-1,""),"")</f>
        <v>0.259855236922919</v>
      </c>
      <c r="AE208" s="255">
        <f>IF(AND(ISNUMBER(AE191),ISNUMBER(Z191)),IFERROR(AE191/Z191-1,""),"")</f>
        <v>0.151471314656693</v>
      </c>
      <c r="AF208" s="255">
        <f>IF(AND(ISNUMBER(AF191),ISNUMBER(AA191)),IFERROR(AF191/AA191-1,""),"")</f>
        <v>0.224296586021227</v>
      </c>
      <c r="AG208" s="255">
        <f>IF(AND(ISNUMBER(AG191),ISNUMBER(AB191)),IFERROR(AG191/AB191-1,""),"")</f>
        <v>0.260525878157394</v>
      </c>
      <c r="AH208" s="255">
        <f>IF(AND(ISNUMBER(AH191),ISNUMBER(AC191)),IFERROR(AH191/AC191-1,""),"")</f>
        <v>0.298118445595726</v>
      </c>
      <c r="AI208" s="255">
        <f>IF(AND(ISNUMBER(AI191),ISNUMBER(AD191)),IFERROR(AI191/AD191-1,""),"")</f>
        <v>0.393388783577275</v>
      </c>
      <c r="AJ208" s="255">
        <f>IF(AND(ISNUMBER(AJ191),ISNUMBER(AE191)),IFERROR(AJ191/AE191-1,""),"")</f>
        <v>0.342252316175725</v>
      </c>
      <c r="AK208" s="255">
        <f>IF(AND(ISNUMBER(AK191),ISNUMBER(AF191)),IFERROR(AK191/AF191-1,""),"")</f>
        <v>0.323700309315552</v>
      </c>
      <c r="AL208" s="255">
        <f>IF(AND(ISNUMBER(AL191),ISNUMBER(AG191)),IFERROR(AL191/AG191-1,""),"")</f>
        <v>0.20566436074779</v>
      </c>
      <c r="AM208" s="255">
        <f>IF(AND(ISNUMBER(AM191),ISNUMBER(AH191)),IFERROR(AM191/AH191-1,""),"")</f>
        <v>0.17188634608404</v>
      </c>
      <c r="AN208" s="255">
        <f>IF(AND(ISNUMBER(AN191),ISNUMBER(AI191)),IFERROR(AN191/AI191-1,""),"")</f>
        <v>0.138133709052038</v>
      </c>
      <c r="AO208" s="255">
        <f>IF(AND(ISNUMBER(AO191),ISNUMBER(AJ191)),IFERROR(AO191/AJ191-1,""),"")</f>
        <v>0.211889154946481</v>
      </c>
      <c r="AP208" s="255">
        <f>IF(AND(ISNUMBER(AP191),ISNUMBER(AK191)),IFERROR(AP191/AK191-1,""),"")</f>
        <v>0.181588558520477</v>
      </c>
      <c r="AQ208" s="255">
        <f>IF(AND(ISNUMBER(AQ191),ISNUMBER(AL191)),IFERROR(AQ191/AL191-1,""),"")</f>
        <v>0.124117040165075</v>
      </c>
      <c r="AR208" s="255">
        <f>IF(AND(ISNUMBER(AR191),ISNUMBER(AM191)),IFERROR(AR191/AM191-1,""),"")</f>
        <v>0.0644658117982933</v>
      </c>
      <c r="AS208" s="255">
        <f>IF(AND(ISNUMBER(AS191),ISNUMBER(AN191)),IFERROR(AS191/AN191-1,""),"")</f>
        <v>-0.225713097182568</v>
      </c>
      <c r="AT208" s="255">
        <f>IF(AND(ISNUMBER(AT191),ISNUMBER(AO191)),IFERROR(AT191/AO191-1,""),"")</f>
        <v>-0.237869696373533</v>
      </c>
      <c r="AU208" s="255">
        <f>IF(AND(ISNUMBER(AU191),ISNUMBER(AP191)),IFERROR(AU191/AP191-1,""),"")</f>
        <v>-0.0749802459573369</v>
      </c>
      <c r="AV208" s="255">
        <f>IF(AND(ISNUMBER(AV191),ISNUMBER(AQ191)),IFERROR(AV191/AQ191-1,""),"")</f>
        <v>-0.0275616803734163</v>
      </c>
      <c r="AW208" s="255">
        <f>IF(AND(ISNUMBER(AW191),ISNUMBER(AR191)),IFERROR(AW191/AR191-1,""),"")</f>
        <v>-0.00601214557617302</v>
      </c>
      <c r="AX208" s="255">
        <f>IF(AND(ISNUMBER(AX191),ISNUMBER(AS191)),IFERROR(AX191/AS191-1,""),"")</f>
        <v>0.406359298988187</v>
      </c>
      <c r="AY208" s="255">
        <f>IF(AND(ISNUMBER(AY191),ISNUMBER(AT191)),IFERROR(AY191/AT191-1,""),"")</f>
        <v>0.44493528679925</v>
      </c>
      <c r="AZ208" s="255">
        <f>IF(AND(ISNUMBER(AZ191),ISNUMBER(AU191)),IFERROR(AZ191/AU191-1,""),"")</f>
        <v>0.173937345928696</v>
      </c>
      <c r="BA208" s="255">
        <f>IF(AND(ISNUMBER(BA191),ISNUMBER(AV191)),IFERROR(BA191/AV191-1,""),"")</f>
        <v>0.272025937934229</v>
      </c>
      <c r="BB208" s="255">
        <f>IF(AND(ISNUMBER(BB191),ISNUMBER(AW191)),IFERROR(BB191/AW191-1,""),"")</f>
        <v>0.295721983943693</v>
      </c>
      <c r="BC208" s="255">
        <f>IF(AND(ISNUMBER(BC191),ISNUMBER(AX191)),IFERROR(BC191/AX191-1,""),"")</f>
        <v>0.325140247639073</v>
      </c>
      <c r="BD208" s="255">
        <f>IF(AND(ISNUMBER(BD191),ISNUMBER(AY191)),IFERROR(BD191/AY191-1,""),"")</f>
        <v>0.194282455416032</v>
      </c>
      <c r="BE208" s="255">
        <f>IF(AND(ISNUMBER(BE191),ISNUMBER(AZ191)),IFERROR(BE191/AZ191-1,""),"")</f>
        <v>0.269955990409807</v>
      </c>
      <c r="BF208" s="255">
        <f>IF(AND(ISNUMBER(BF191),ISNUMBER(BA191)),IFERROR(BF191/BA191-1,""),"")</f>
        <v>0.206158195549166</v>
      </c>
      <c r="BG208" s="255">
        <f>IF(AND(ISNUMBER(BG191),ISNUMBER(BB191)),IFERROR(BG191/BB191-1,""),"")</f>
        <v>0.169612995699952</v>
      </c>
      <c r="BH208" s="255">
        <f>IF(AND(ISNUMBER(BH191),ISNUMBER(BC191)),IFERROR(BH191/BC191-1,""),"")</f>
        <v>0.094861164453711</v>
      </c>
      <c r="BI208" s="255">
        <f>IF(AND(ISNUMBER(BI191),ISNUMBER(BD191)),IFERROR(BI191/BD191-1,""),"")</f>
        <v>0.20629244020566</v>
      </c>
      <c r="BJ208" s="255">
        <f>IF(AND(ISNUMBER(BJ191),ISNUMBER(BE191)),IFERROR(BJ191/BE191-1,""),"")</f>
        <v>0.167964119411718</v>
      </c>
      <c r="BK208" s="255">
        <f>IF(AND(ISNUMBER(BK191),ISNUMBER(BF191)),IFERROR(BK191/BF191-1,""),"")</f>
        <v>0.107975591752689</v>
      </c>
      <c r="BL208" s="255">
        <f>IF(AND(ISNUMBER(BL191),ISNUMBER(BG191)),IFERROR(BL191/BG191-1,""),"")</f>
        <v>0.198110499457656</v>
      </c>
      <c r="BM208" s="255">
        <f>IF(AND(ISNUMBER(BM191),ISNUMBER(BH191)),IFERROR(BM191/BH191-1,""),"")</f>
        <v>0.1185575328004</v>
      </c>
      <c r="BN208" s="255">
        <f>IF(AND(ISNUMBER(BN191),ISNUMBER(BI191)),IFERROR(BN191/BI191-1,""),"")</f>
        <v>0.161321244876871</v>
      </c>
      <c r="BO208" s="255">
        <f>IF(AND(ISNUMBER(BO191),ISNUMBER(BJ191)),IFERROR(BO191/BJ191-1,""),"")</f>
        <v>0.146156038319639</v>
      </c>
      <c r="BP208" s="255">
        <f>IF(AND(ISNUMBER(BP191),ISNUMBER(BK191)),IFERROR(BP191/BK191-1,""),"")</f>
        <v>0.139758700582436</v>
      </c>
      <c r="BQ208" s="255">
        <f>IF(AND(ISNUMBER(BQ191),ISNUMBER(BL191)),IFERROR(BQ191/BL191-1,""),"")</f>
        <v>0.0985332282343912</v>
      </c>
      <c r="BR208" s="255">
        <f>IF(AND(ISNUMBER(BR191),ISNUMBER(BM191)),IFERROR(BR191/BM191-1,""),"")</f>
        <v>0.230894989160038</v>
      </c>
      <c r="BS208" s="255">
        <f>IF(AND(ISNUMBER(BS191),ISNUMBER(BN191)),IFERROR(BS191/BN191-1,""),"")</f>
        <v>0.101575254996268</v>
      </c>
      <c r="BT208" s="255">
        <f>IF(AND(ISNUMBER(BT191),ISNUMBER(BO191)),IFERROR(BT191/BO191-1,""),"")</f>
        <v>0.141024719261234</v>
      </c>
      <c r="BU208" s="255">
        <f>IF(AND(ISNUMBER(BU191),ISNUMBER(BP191)),IFERROR(BU191/BP191-1,""),"")</f>
        <v>0.15115191043467</v>
      </c>
      <c r="BV208" s="255">
        <f>IF(AND(ISNUMBER(BV191),ISNUMBER(BQ191)),IFERROR(BV191/BQ191-1,""),"")</f>
        <v>0.20065806888202</v>
      </c>
      <c r="BW208" s="255">
        <f>IF(AND(ISNUMBER(BW191),ISNUMBER(BR191)),IFERROR(BW191/BR191-1,""),"")</f>
        <v>0.113875168744827</v>
      </c>
      <c r="BX208" s="256">
        <f>IF(AND(ISNUMBER(BX191),ISNUMBER(BS191)),IFERROR(BX191/BS191-1,""),"")</f>
        <v>0.138644494227124</v>
      </c>
      <c r="BY208" s="256">
        <f>IF(AND(ISNUMBER(BY191),ISNUMBER(BT191)),IFERROR(BY191/BT191-1,""),"")</f>
        <v>0.150328256877889</v>
      </c>
      <c r="BZ208" s="256">
        <f>IF(AND(ISNUMBER(BZ191),ISNUMBER(BY191)),IFERROR(BZ191/BY191-1,""),"")</f>
        <v>0.138689429203285</v>
      </c>
      <c r="CA208" s="256">
        <f>IF(AND(ISNUMBER(CA191),ISNUMBER(BZ191)),IFERROR(CA191/BZ191-1,""),"")</f>
        <v>0.140953642875508</v>
      </c>
      <c r="CB208" s="256">
        <f>IF(AND(ISNUMBER(CB191),ISNUMBER(CA191)),IFERROR(CB191/CA191-1,""),"")</f>
        <v>0.13874135710295</v>
      </c>
      <c r="CC208" s="256">
        <f>IF(AND(ISNUMBER(CC191),ISNUMBER(CB191)),IFERROR(CC191/CB191-1,""),"")</f>
        <v>0.128935582431828</v>
      </c>
      <c r="CD208" s="256">
        <f>IF(AND(ISNUMBER(CD191),ISNUMBER(CC191)),IFERROR(CD191/CC191-1,""),"")</f>
        <v>0.131031742344049</v>
      </c>
      <c r="CE208" s="153" t="n"/>
    </row>
    <row r="209" ht="15" customHeight="1" s="251">
      <c r="B209" s="25" t="inlineStr">
        <is>
          <t xml:space="preserve">  Client incentives % of gross revenue</t>
        </is>
      </c>
      <c r="C209" s="215">
        <f>IF(AND(ISNUMBER(C36),ISNUMBER(C34)),IFERROR(C36/C34,""),"")</f>
        <v>0.156384698275862</v>
      </c>
      <c r="D209" s="215">
        <f>IF(AND(ISNUMBER(D36),ISNUMBER(D34)),IFERROR(D36/D34,""),"")</f>
        <v>0.151503990178023</v>
      </c>
      <c r="E209" s="215">
        <f>IF(AND(ISNUMBER(E36),ISNUMBER(E34)),IFERROR(E36/E34,""),"")</f>
        <v>0.162077922077922</v>
      </c>
      <c r="F209" s="215">
        <f>IF(AND(ISNUMBER(F36),ISNUMBER(F34)),IFERROR(F36/F34,""),"")</f>
        <v>0.169859053126129</v>
      </c>
      <c r="G209" s="215">
        <f>IF(AND(ISNUMBER(G36),ISNUMBER(G34)),IFERROR(G36/G34,""),"")</f>
        <v>0.171358142493639</v>
      </c>
      <c r="H209" s="215">
        <f>IF(AND(ISNUMBER(H36),ISNUMBER(H34)),IFERROR(H36/H34,""),"")</f>
        <v>0.162694910267726</v>
      </c>
      <c r="I209" s="215">
        <f>IF(AND(ISNUMBER(I36),ISNUMBER(I34)),IFERROR(I36/I34,""),"")</f>
        <v>0.160851063829787</v>
      </c>
      <c r="J209" s="215">
        <f>IF(AND(ISNUMBER(J36),ISNUMBER(J34)),IFERROR(J36/J34,""),"")</f>
        <v>0.147927314026122</v>
      </c>
      <c r="K209" s="215">
        <f>IF(AND(ISNUMBER(K36),ISNUMBER(K34)),IFERROR(K36/K34,""),"")</f>
        <v>0.186148371201752</v>
      </c>
      <c r="L209" s="215">
        <f>IF(AND(ISNUMBER(L36),ISNUMBER(L34)),IFERROR(L36/L34,""),"")</f>
        <v>0.164621604369104</v>
      </c>
      <c r="M209" s="215">
        <f>IF(AND(ISNUMBER(M36),ISNUMBER(M34)),IFERROR(M36/M34,""),"")</f>
        <v>0.159563132658498</v>
      </c>
      <c r="N209" s="215">
        <f>IF(AND(ISNUMBER(N36),ISNUMBER(N34)),IFERROR(N36/N34,""),"")</f>
        <v>0.156533333333333</v>
      </c>
      <c r="O209" s="215">
        <f>IF(AND(ISNUMBER(O36),ISNUMBER(O34)),IFERROR(O36/O34,""),"")</f>
        <v>0.168204587397838</v>
      </c>
      <c r="P209" s="215">
        <f>IF(AND(ISNUMBER(P36),ISNUMBER(P34)),IFERROR(P36/P34,""),"")</f>
        <v>0.192144108081061</v>
      </c>
      <c r="Q209" s="215">
        <f>IF(AND(ISNUMBER(Q36),ISNUMBER(Q34)),IFERROR(Q36/Q34,""),"")</f>
        <v>0.16947822675559</v>
      </c>
      <c r="R209" s="215">
        <f>IF(AND(ISNUMBER(R36),ISNUMBER(R34)),IFERROR(R36/R34,""),"")</f>
        <v>0.174114774114774</v>
      </c>
      <c r="S209" s="215">
        <f>IF(AND(ISNUMBER(S36),ISNUMBER(S34)),IFERROR(S36/S34,""),"")</f>
        <v>0.165483476132191</v>
      </c>
      <c r="T209" s="215">
        <f>IF(AND(ISNUMBER(T36),ISNUMBER(T34)),IFERROR(T36/T34,""),"")</f>
        <v>0.159980897803247</v>
      </c>
      <c r="U209" s="215">
        <f>IF(AND(ISNUMBER(U36),ISNUMBER(U34)),IFERROR(U36/U34,""),"")</f>
        <v>0.183398124857078</v>
      </c>
      <c r="V209" s="215">
        <f>IF(AND(ISNUMBER(V36),ISNUMBER(V34)),IFERROR(V36/V34,""),"")</f>
        <v>0.170897795830596</v>
      </c>
      <c r="W209" s="215">
        <f>IF(AND(ISNUMBER(W36),ISNUMBER(W34)),IFERROR(W36/W34,""),"")</f>
        <v>0.181024580748909</v>
      </c>
      <c r="X209" s="215">
        <f>IF(AND(ISNUMBER(X36),ISNUMBER(X34)),IFERROR(X36/X34,""),"")</f>
        <v>0.178708946772367</v>
      </c>
      <c r="Y209" s="215">
        <f>IF(AND(ISNUMBER(Y36),ISNUMBER(Y34)),IFERROR(Y36/Y34,""),"")</f>
        <v>0.187737748937122</v>
      </c>
      <c r="Z209" s="215">
        <f>IF(AND(ISNUMBER(Z36),ISNUMBER(Z34)),IFERROR(Z36/Z34,""),"")</f>
        <v>0.188998858012943</v>
      </c>
      <c r="AA209" s="215">
        <f>IF(AND(ISNUMBER(AA36),ISNUMBER(AA34)),IFERROR(AA36/AA34,""),"")</f>
        <v>0.184359958898924</v>
      </c>
      <c r="AB209" s="215">
        <f>IF(AND(ISNUMBER(AB36),ISNUMBER(AB34)),IFERROR(AB36/AB34,""),"")</f>
        <v>0.189203925845147</v>
      </c>
      <c r="AC209" s="215">
        <f>IF(AND(ISNUMBER(AC36),ISNUMBER(AC34)),IFERROR(AC36/AC34,""),"")</f>
        <v>0.187182280319535</v>
      </c>
      <c r="AD209" s="215">
        <f>IF(AND(ISNUMBER(AD36),ISNUMBER(AD34)),IFERROR(AD36/AD34,""),"")</f>
        <v>0.200805322128852</v>
      </c>
      <c r="AE209" s="215">
        <f>IF(AND(ISNUMBER(AE36),ISNUMBER(AE34)),IFERROR(AE36/AE34,""),"")</f>
        <v>0.217061764231576</v>
      </c>
      <c r="AF209" s="215">
        <f>IF(AND(ISNUMBER(AF36),ISNUMBER(AF34)),IFERROR(AF36/AF34,""),"")</f>
        <v>0.199144963573703</v>
      </c>
      <c r="AG209" s="215">
        <f>IF(AND(ISNUMBER(AG36),ISNUMBER(AG34)),IFERROR(AG36/AG34,""),"")</f>
        <v>0.214285714285714</v>
      </c>
      <c r="AH209" s="215">
        <f>IF(AND(ISNUMBER(AH36),ISNUMBER(AH34)),IFERROR(AH36/AH34,""),"")</f>
        <v>0.202609242376611</v>
      </c>
      <c r="AI209" s="215">
        <f>IF(AND(ISNUMBER(AI36),ISNUMBER(AI34)),IFERROR(AI36/AI34,""),"")</f>
        <v>0.207741155125491</v>
      </c>
      <c r="AJ209" s="215">
        <f>IF(AND(ISNUMBER(AJ36),ISNUMBER(AJ34)),IFERROR(AJ36/AJ34,""),"")</f>
        <v>0.216551326412918</v>
      </c>
      <c r="AK209" s="215">
        <f>IF(AND(ISNUMBER(AK36),ISNUMBER(AK34)),IFERROR(AK36/AK34,""),"")</f>
        <v>0.210383141762452</v>
      </c>
      <c r="AL209" s="215">
        <f>IF(AND(ISNUMBER(AL36),ISNUMBER(AL34)),IFERROR(AL36/AL34,""),"")</f>
        <v>0.209135305946567</v>
      </c>
      <c r="AM209" s="215">
        <f>IF(AND(ISNUMBER(AM36),ISNUMBER(AM34)),IFERROR(AM36/AM34,""),"")</f>
        <v>0.211990820424555</v>
      </c>
      <c r="AN209" s="215">
        <f>IF(AND(ISNUMBER(AN36),ISNUMBER(AN34)),IFERROR(AN36/AN34,""),"")</f>
        <v>0.209314920119144</v>
      </c>
      <c r="AO209" s="215">
        <f>IF(AND(ISNUMBER(AO36),ISNUMBER(AO34)),IFERROR(AO36/AO34,""),"")</f>
        <v>0.216219667943806</v>
      </c>
      <c r="AP209" s="215">
        <f>IF(AND(ISNUMBER(AP36),ISNUMBER(AP34)),IFERROR(AP36/AP34,""),"")</f>
        <v>0.211766723842196</v>
      </c>
      <c r="AQ209" s="215">
        <f>IF(AND(ISNUMBER(AQ36),ISNUMBER(AQ34)),IFERROR(AQ36/AQ34,""),"")</f>
        <v>0.22404511663676</v>
      </c>
      <c r="AR209" s="215">
        <f>IF(AND(ISNUMBER(AR36),ISNUMBER(AR34)),IFERROR(AR36/AR34,""),"")</f>
        <v>0.225558936367244</v>
      </c>
      <c r="AS209" s="215">
        <f>IF(AND(ISNUMBER(AS36),ISNUMBER(AS34)),IFERROR(AS36/AS34,""),"")</f>
        <v>0.238267716535433</v>
      </c>
      <c r="AT209" s="215">
        <f>IF(AND(ISNUMBER(AT36),ISNUMBER(AT34)),IFERROR(AT36/AT34,""),"")</f>
        <v>0.249742609207236</v>
      </c>
      <c r="AU209" s="215">
        <f>IF(AND(ISNUMBER(AU36),ISNUMBER(AU34)),IFERROR(AU36/AU34,""),"")</f>
        <v>0.233742546474921</v>
      </c>
      <c r="AV209" s="215">
        <f>IF(AND(ISNUMBER(AV36),ISNUMBER(AV34)),IFERROR(AV36/AV34,""),"")</f>
        <v>0.246255798542081</v>
      </c>
      <c r="AW209" s="215">
        <f>IF(AND(ISNUMBER(AW36),ISNUMBER(AW34)),IFERROR(AW36/AW34,""),"")</f>
        <v>0.257997668695765</v>
      </c>
      <c r="AX209" s="215">
        <f>IF(AND(ISNUMBER(AX36),ISNUMBER(AX34)),IFERROR(AX36/AX34,""),"")</f>
        <v>0.257869249394673</v>
      </c>
      <c r="AY209" s="215">
        <f>IF(AND(ISNUMBER(AY36),ISNUMBER(AY34)),IFERROR(AY36/AY34,""),"")</f>
        <v>0.266823161189358</v>
      </c>
      <c r="AZ209" s="215">
        <f>IF(AND(ISNUMBER(AZ36),ISNUMBER(AZ34)),IFERROR(AZ36/AZ34,""),"")</f>
        <v>0.257668144863267</v>
      </c>
      <c r="BA209" s="215">
        <f>IF(AND(ISNUMBER(BA36),ISNUMBER(BA34)),IFERROR(BA36/BA34,""),"")</f>
        <v>0.251431601272534</v>
      </c>
      <c r="BB209" s="215">
        <f>IF(AND(ISNUMBER(BB36),ISNUMBER(BB34)),IFERROR(BB36/BB34,""),"")</f>
        <v>0.257564804296189</v>
      </c>
      <c r="BC209" s="215">
        <f>IF(AND(ISNUMBER(BC36),ISNUMBER(BC34)),IFERROR(BC36/BC34,""),"")</f>
        <v>0.261046216353479</v>
      </c>
      <c r="BD209" s="215">
        <f>IF(AND(ISNUMBER(BD36),ISNUMBER(BD34)),IFERROR(BD36/BD34,""),"")</f>
        <v>0.268620268620269</v>
      </c>
      <c r="BE209" s="215">
        <f>IF(AND(ISNUMBER(BE36),ISNUMBER(BE34)),IFERROR(BE36/BE34,""),"")</f>
        <v>0.259941926524429</v>
      </c>
      <c r="BF209" s="215">
        <f>IF(AND(ISNUMBER(BF36),ISNUMBER(BF34)),IFERROR(BF36/BF34,""),"")</f>
        <v>0.259839582167506</v>
      </c>
      <c r="BG209" s="215">
        <f>IF(AND(ISNUMBER(BG36),ISNUMBER(BG34)),IFERROR(BG36/BG34,""),"")</f>
        <v>0.266758494031221</v>
      </c>
      <c r="BH209" s="215">
        <f>IF(AND(ISNUMBER(BH36),ISNUMBER(BH34)),IFERROR(BH36/BH34,""),"")</f>
        <v>0.280513728963685</v>
      </c>
      <c r="BI209" s="215">
        <f>IF(AND(ISNUMBER(BI36),ISNUMBER(BI34)),IFERROR(BI36/BI34,""),"")</f>
        <v>0.285441567065073</v>
      </c>
      <c r="BJ209" s="215">
        <f>IF(AND(ISNUMBER(BJ36),ISNUMBER(BJ34)),IFERROR(BJ36/BJ34,""),"")</f>
        <v>0.27357063403782</v>
      </c>
      <c r="BK209" s="215">
        <f>IF(AND(ISNUMBER(BK36),ISNUMBER(BK34)),IFERROR(BK36/BK34,""),"")</f>
        <v>0.27941912869304</v>
      </c>
      <c r="BL209" s="215">
        <f>IF(AND(ISNUMBER(BL36),ISNUMBER(BL34)),IFERROR(BL36/BL34,""),"")</f>
        <v>0.270694813829787</v>
      </c>
      <c r="BM209" s="215">
        <f>IF(AND(ISNUMBER(BM36),ISNUMBER(BM34)),IFERROR(BM36/BM34,""),"")</f>
        <v>0.283990345937249</v>
      </c>
      <c r="BN209" s="215">
        <f>IF(AND(ISNUMBER(BN36),ISNUMBER(BN34)),IFERROR(BN36/BN34,""),"")</f>
        <v>0.273969500226484</v>
      </c>
      <c r="BO209" s="215">
        <f>IF(AND(ISNUMBER(BO36),ISNUMBER(BO34)),IFERROR(BO36/BO34,""),"")</f>
        <v>0.276997383779433</v>
      </c>
      <c r="BP209" s="215">
        <f>IF(AND(ISNUMBER(BP36),ISNUMBER(BP34)),IFERROR(BP36/BP34,""),"")</f>
        <v>0.285338543623657</v>
      </c>
      <c r="BQ209" s="215">
        <f>IF(AND(ISNUMBER(BQ36),ISNUMBER(BQ34)),IFERROR(BQ36/BQ34,""),"")</f>
        <v>0.28016206482593</v>
      </c>
      <c r="BR209" s="215">
        <f>IF(AND(ISNUMBER(BR36),ISNUMBER(BR34)),IFERROR(BR36/BR34,""),"")</f>
        <v>0.280825791855204</v>
      </c>
      <c r="BS209" s="215">
        <f>IF(AND(ISNUMBER(BS36),ISNUMBER(BS34)),IFERROR(BS36/BS34,""),"")</f>
        <v>0.283729628640128</v>
      </c>
      <c r="BT209" s="215">
        <f>IF(AND(ISNUMBER(BT36),ISNUMBER(BT34)),IFERROR(BT36/BT34,""),"")</f>
        <v>0.282524080285555</v>
      </c>
      <c r="BU209" s="215">
        <f>IF(AND(ISNUMBER(BU36),ISNUMBER(BU34)),IFERROR(BU36/BU34,""),"")</f>
        <v>0.281410678971655</v>
      </c>
      <c r="BV209" s="215">
        <f>IF(AND(ISNUMBER(BV36),ISNUMBER(BV34)),IFERROR(BV36/BV34,""),"")</f>
        <v>0.274313408723748</v>
      </c>
      <c r="BW209" s="215">
        <f>IF(AND(ISNUMBER(BW36),ISNUMBER(BW34)),IFERROR(BW36/BW34,""),"")</f>
        <v>0.286887758229633</v>
      </c>
      <c r="BX209" s="256">
        <f>IF(AND(ISNUMBER(BX36),ISNUMBER(BX34)),IFERROR(BX36/BX34,""),"")</f>
        <v>0.282622652981957</v>
      </c>
      <c r="BY209" s="256">
        <f>IF(AND(ISNUMBER(BY36),ISNUMBER(BY34)),IFERROR(BY36/BY34,""),"")</f>
        <v>0.281410527195669</v>
      </c>
      <c r="BZ209" s="256">
        <f>IF(AND(ISNUMBER(BZ36),ISNUMBER(BZ34)),IFERROR(BZ36/BZ34,""),"")</f>
        <v>0.289</v>
      </c>
      <c r="CA209" s="256">
        <f>IF(AND(ISNUMBER(CA36),ISNUMBER(CA34)),IFERROR(CA36/CA34,""),"")</f>
        <v>0.291</v>
      </c>
      <c r="CB209" s="256">
        <f>IF(AND(ISNUMBER(CB36),ISNUMBER(CB34)),IFERROR(CB36/CB34,""),"")</f>
        <v>0.293</v>
      </c>
      <c r="CC209" s="256">
        <f>IF(AND(ISNUMBER(CC36),ISNUMBER(CC34)),IFERROR(CC36/CC34,""),"")</f>
        <v>0.295</v>
      </c>
      <c r="CD209" s="256">
        <f>IF(AND(ISNUMBER(CD36),ISNUMBER(CD34)),IFERROR(CD36/CD34,""),"")</f>
        <v>0.297</v>
      </c>
      <c r="CE209" s="153" t="n"/>
      <c r="CG209" s="37">
        <f>IFERROR(AVERAGE(BZ209,CA209,CB209,CC209,CD209),"n/m")</f>
        <v>0.293</v>
      </c>
      <c r="CH209" s="37">
        <f>IFERROR(AVERAGE(AZ209,BE209,BJ209,BO209,BT209),"n/m")</f>
        <v>0.270140433898101</v>
      </c>
      <c r="CI209" s="37">
        <f>IFERROR(AVERAGE(AA209,AF209,AK209,AP209,AU209,AZ209,BE209,BJ209,BO209,BT209),"n/m")</f>
        <v>0.23900995040427</v>
      </c>
      <c r="CJ209" s="37">
        <f>IFERROR(AVERAGE(C209,D209,E209,F209,G209,L209,Q209,V209,AA209,AF209,AK209,AP209,AU209,AZ209,BE209,BJ209,BO209,BT209),"n/m")</f>
        <v>0.205904496508309</v>
      </c>
    </row>
    <row r="210" ht="15" customHeight="1" s="251">
      <c r="B210" s="25" t="inlineStr">
        <is>
          <t xml:space="preserve">  Adjusted operating margin %</t>
        </is>
      </c>
      <c r="C210" s="215">
        <f>IF(AND(ISNUMBER(C160),ISNUMBER(C113)),IFERROR(C160/C113,""),"")</f>
        <v>0.46255787961041</v>
      </c>
      <c r="D210" s="215">
        <f>IF(AND(ISNUMBER(D160),ISNUMBER(D113)),IFERROR(D160/D113,""),"")</f>
        <v>0.531471567066995</v>
      </c>
      <c r="E210" s="215">
        <f>IF(AND(ISNUMBER(E160),ISNUMBER(E113)),IFERROR(E160/E113,""),"")</f>
        <v>0.569001859888407</v>
      </c>
      <c r="F210" s="215">
        <f>IF(AND(ISNUMBER(F160),ISNUMBER(F113)),IFERROR(F160/F113,""),"")</f>
        <v>0.593818023508925</v>
      </c>
      <c r="G210" s="215">
        <f>IF(AND(ISNUMBER(G160),ISNUMBER(G113)),IFERROR(G160/G113,""),"")</f>
        <v>0.598503022742539</v>
      </c>
      <c r="H210" s="215">
        <f>IF(AND(ISNUMBER(H160),ISNUMBER(H113)),IFERROR(H160/H113,""),"")</f>
        <v>0.632466619817288</v>
      </c>
      <c r="I210" s="215">
        <f>IF(AND(ISNUMBER(I160),ISNUMBER(I113)),IFERROR(I160/I113,""),"")</f>
        <v>0.628803245436105</v>
      </c>
      <c r="J210" s="215">
        <f>IF(AND(ISNUMBER(J160),ISNUMBER(J113)),IFERROR(J160/J113,""),"")</f>
        <v>0.609130289903366</v>
      </c>
      <c r="K210" s="215">
        <f>IF(AND(ISNUMBER(K160),ISNUMBER(K113)),IFERROR(K160/K113,""),"")</f>
        <v>0.588967373023882</v>
      </c>
      <c r="L210" s="215">
        <f>IF(AND(ISNUMBER(L160),ISNUMBER(L113)),IFERROR(L160/L113,""),"")</f>
        <v>0.61462047885889</v>
      </c>
      <c r="M210" s="215">
        <f>IF(AND(ISNUMBER(M160),ISNUMBER(M113)),IFERROR(M160/M113,""),"")</f>
        <v>0.658320126782884</v>
      </c>
      <c r="N210" s="215">
        <f>IF(AND(ISNUMBER(N160),ISNUMBER(N113)),IFERROR(N160/N113,""),"")</f>
        <v>0.647486563389188</v>
      </c>
      <c r="O210" s="215">
        <f>IF(AND(ISNUMBER(O160),ISNUMBER(O113)),IFERROR(O160/O113,""),"")</f>
        <v>0.640253565768621</v>
      </c>
      <c r="P210" s="215">
        <f>IF(AND(ISNUMBER(P160),ISNUMBER(P113)),IFERROR(P160/P113,""),"")</f>
        <v>0.620006193868071</v>
      </c>
      <c r="Q210" s="215">
        <f>IF(AND(ISNUMBER(Q160),ISNUMBER(Q113)),IFERROR(Q160/Q113,""),"")</f>
        <v>0.641395055896709</v>
      </c>
      <c r="R210" s="215">
        <f>IF(AND(ISNUMBER(R160),ISNUMBER(R113)),IFERROR(R160/R113,""),"")</f>
        <v>0.66173861620343</v>
      </c>
      <c r="S210" s="215">
        <f>IF(AND(ISNUMBER(S160),ISNUMBER(S113)),IFERROR(S160/S113,""),"")</f>
        <v>0.669111176298035</v>
      </c>
      <c r="T210" s="215">
        <f>IF(AND(ISNUMBER(T160),ISNUMBER(T113)),IFERROR(T160/T113,""),"")</f>
        <v>0.642978965321205</v>
      </c>
      <c r="U210" s="215">
        <f>IF(AND(ISNUMBER(U160),ISNUMBER(U113)),IFERROR(U160/U113,""),"")</f>
        <v>0.639316718006161</v>
      </c>
      <c r="V210" s="215">
        <f>IF(AND(ISNUMBER(V160),ISNUMBER(V113)),IFERROR(V160/V113,""),"")</f>
        <v>0.653025936599424</v>
      </c>
      <c r="W210" s="215">
        <f>IF(AND(ISNUMBER(W160),ISNUMBER(W113)),IFERROR(W160/W113,""),"")</f>
        <v>0.672089761570827</v>
      </c>
      <c r="X210" s="215">
        <f>IF(AND(ISNUMBER(X160),ISNUMBER(X113)),IFERROR(X160/X113,""),"")</f>
        <v>0.671263099834528</v>
      </c>
      <c r="Y210" s="215">
        <f>IF(AND(ISNUMBER(Y160),ISNUMBER(Y113)),IFERROR(Y160/Y113,""),"")</f>
        <v>0.676859504132231</v>
      </c>
      <c r="Z210" s="215">
        <f>IF(AND(ISNUMBER(Z160),ISNUMBER(Z113)),IFERROR(Z160/Z113,""),"")</f>
        <v>0.641868106078385</v>
      </c>
      <c r="AA210" s="215">
        <f>IF(AND(ISNUMBER(AA160),ISNUMBER(AA113)),IFERROR(AA160/AA113,""),"")</f>
        <v>0.664500729346241</v>
      </c>
      <c r="AB210" s="215">
        <f>IF(AND(ISNUMBER(AB160),ISNUMBER(AB113)),IFERROR(AB160/AB113,""),"")</f>
        <v>0.694911454830755</v>
      </c>
      <c r="AC210" s="215">
        <f>IF(AND(ISNUMBER(AC160),ISNUMBER(AC113)),IFERROR(AC160/AC113,""),"")</f>
        <v>0.670091579182488</v>
      </c>
      <c r="AD210" s="215">
        <f>IF(AND(ISNUMBER(AD160),ISNUMBER(AD113)),IFERROR(AD160/AD113,""),"")</f>
        <v>0.662431544359255</v>
      </c>
      <c r="AE210" s="215">
        <f>IF(AND(ISNUMBER(AE160),ISNUMBER(AE113)),IFERROR(AE160/AE113,""),"")</f>
        <v>0.661585993820803</v>
      </c>
      <c r="AF210" s="215">
        <f>IF(AND(ISNUMBER(AF160),ISNUMBER(AF113)),IFERROR(AF160/AF113,""),"")</f>
        <v>0.671968624033119</v>
      </c>
      <c r="AG210" s="215">
        <f>IF(AND(ISNUMBER(AG160),ISNUMBER(AG113)),IFERROR(AG160/AG113,""),"")</f>
        <v>0.684286301933361</v>
      </c>
      <c r="AH210" s="215">
        <f>IF(AND(ISNUMBER(AH160),ISNUMBER(AH113)),IFERROR(AH160/AH113,""),"")</f>
        <v>0.657599053814311</v>
      </c>
      <c r="AI210" s="215">
        <f>IF(AND(ISNUMBER(AI160),ISNUMBER(AI113)),IFERROR(AI160/AI113,""),"")</f>
        <v>0.665076335877863</v>
      </c>
      <c r="AJ210" s="215">
        <f>IF(AND(ISNUMBER(AJ160),ISNUMBER(AJ113)),IFERROR(AJ160/AJ113,""),"")</f>
        <v>0.662679425837321</v>
      </c>
      <c r="AK210" s="215">
        <f>IF(AND(ISNUMBER(AK160),ISNUMBER(AK113)),IFERROR(AK160/AK113,""),"")</f>
        <v>0.667135717405017</v>
      </c>
      <c r="AL210" s="215">
        <f>IF(AND(ISNUMBER(AL160),ISNUMBER(AL113)),IFERROR(AL160/AL113,""),"")</f>
        <v>0.675081729022884</v>
      </c>
      <c r="AM210" s="215">
        <f>IF(AND(ISNUMBER(AM160),ISNUMBER(AM113)),IFERROR(AM160/AM113,""),"")</f>
        <v>0.662722970513287</v>
      </c>
      <c r="AN210" s="215">
        <f>IF(AND(ISNUMBER(AN160),ISNUMBER(AN113)),IFERROR(AN160/AN113,""),"")</f>
        <v>0.669178082191781</v>
      </c>
      <c r="AO210" s="215">
        <f>IF(AND(ISNUMBER(AO160),ISNUMBER(AO113)),IFERROR(AO160/AO113,""),"")</f>
        <v>0.668893596219651</v>
      </c>
      <c r="AP210" s="215">
        <f>IF(AND(ISNUMBER(AP160),ISNUMBER(AP113)),IFERROR(AP160/AP113,""),"")</f>
        <v>0.668973321147234</v>
      </c>
      <c r="AQ210" s="215">
        <f>IF(AND(ISNUMBER(AQ160),ISNUMBER(AQ113)),IFERROR(AQ160/AQ113,""),"")</f>
        <v>0.665510406342914</v>
      </c>
      <c r="AR210" s="215">
        <f>IF(AND(ISNUMBER(AR160),ISNUMBER(AR113)),IFERROR(AR160/AR113,""),"")</f>
        <v>0.673044072429108</v>
      </c>
      <c r="AS210" s="215">
        <f>IF(AND(ISNUMBER(AS160),ISNUMBER(AS113)),IFERROR(AS160/AS113,""),"")</f>
        <v>0.623526979532768</v>
      </c>
      <c r="AT210" s="215">
        <f>IF(AND(ISNUMBER(AT160),ISNUMBER(AT113)),IFERROR(AT160/AT113,""),"")</f>
        <v>0.619290335228387</v>
      </c>
      <c r="AU210" s="215">
        <f>IF(AND(ISNUMBER(AU160),ISNUMBER(AU113)),IFERROR(AU160/AU113,""),"")</f>
        <v>0.647441179163234</v>
      </c>
      <c r="AV210" s="215">
        <f>IF(AND(ISNUMBER(AV160),ISNUMBER(AV113)),IFERROR(AV160/AV113,""),"")</f>
        <v>0.678565148584491</v>
      </c>
      <c r="AW210" s="215">
        <f>IF(AND(ISNUMBER(AW160),ISNUMBER(AW113)),IFERROR(AW160/AW113,""),"")</f>
        <v>0.654739046954093</v>
      </c>
      <c r="AX210" s="215">
        <f>IF(AND(ISNUMBER(AX160),ISNUMBER(AX113)),IFERROR(AX160/AX113,""),"")</f>
        <v>0.665905383360522</v>
      </c>
      <c r="AY210" s="215">
        <f>IF(AND(ISNUMBER(AY160),ISNUMBER(AY113)),IFERROR(AY160/AY113,""),"")</f>
        <v>0.66107638359506</v>
      </c>
      <c r="AZ210" s="215">
        <f>IF(AND(ISNUMBER(AZ160),ISNUMBER(AZ113)),IFERROR(AZ160/AZ113,""),"")</f>
        <v>0.66492428956648</v>
      </c>
      <c r="BA210" s="215">
        <f>IF(AND(ISNUMBER(BA160),ISNUMBER(BA113)),IFERROR(BA160/BA113,""),"")</f>
        <v>0.700382490437739</v>
      </c>
      <c r="BB210" s="215">
        <f>IF(AND(ISNUMBER(BB160),ISNUMBER(BB113)),IFERROR(BB160/BB113,""),"")</f>
        <v>0.681875086938378</v>
      </c>
      <c r="BC210" s="215">
        <f>IF(AND(ISNUMBER(BC160),ISNUMBER(BC113)),IFERROR(BC160/BC113,""),"")</f>
        <v>0.676563573883162</v>
      </c>
      <c r="BD210" s="215">
        <f>IF(AND(ISNUMBER(BD160),ISNUMBER(BD113)),IFERROR(BD160/BD113,""),"")</f>
        <v>0.662000770514961</v>
      </c>
      <c r="BE210" s="215">
        <f>IF(AND(ISNUMBER(BE160),ISNUMBER(BE113)),IFERROR(BE160/BE113,""),"")</f>
        <v>0.679733879222109</v>
      </c>
      <c r="BF210" s="215">
        <f>IF(AND(ISNUMBER(BF160),ISNUMBER(BF113)),IFERROR(BF160/BF113,""),"")</f>
        <v>0.692666330645161</v>
      </c>
      <c r="BG210" s="215">
        <f>IF(AND(ISNUMBER(BG160),ISNUMBER(BG113)),IFERROR(BG160/BG113,""),"")</f>
        <v>0.676768941765811</v>
      </c>
      <c r="BH210" s="215">
        <f>IF(AND(ISNUMBER(BH160),ISNUMBER(BH113)),IFERROR(BH160/BH113,""),"")</f>
        <v>0.68262957035578</v>
      </c>
      <c r="BI210" s="215">
        <f>IF(AND(ISNUMBER(BI160),ISNUMBER(BI113)),IFERROR(BI160/BI113,""),"")</f>
        <v>0.665117899872227</v>
      </c>
      <c r="BJ210" s="215">
        <f>IF(AND(ISNUMBER(BJ160),ISNUMBER(BJ113)),IFERROR(BJ160/BJ113,""),"")</f>
        <v>0.6790187731602</v>
      </c>
      <c r="BK210" s="215">
        <f>IF(AND(ISNUMBER(BK160),ISNUMBER(BK113)),IFERROR(BK160/BK113,""),"")</f>
        <v>0.696664350243225</v>
      </c>
      <c r="BL210" s="215">
        <f>IF(AND(ISNUMBER(BL160),ISNUMBER(BL113)),IFERROR(BL160/BL113,""),"")</f>
        <v>0.672820512820513</v>
      </c>
      <c r="BM210" s="215">
        <f>IF(AND(ISNUMBER(BM160),ISNUMBER(BM113)),IFERROR(BM160/BM113,""),"")</f>
        <v>0.671123595505618</v>
      </c>
      <c r="BN210" s="215">
        <f>IF(AND(ISNUMBER(BN160),ISNUMBER(BN113)),IFERROR(BN160/BN113,""),"")</f>
        <v>0.668087761256109</v>
      </c>
      <c r="BO210" s="215">
        <f>IF(AND(ISNUMBER(BO160),ISNUMBER(BO113)),IFERROR(BO160/BO113,""),"")</f>
        <v>0.676863552858654</v>
      </c>
      <c r="BP210" s="215">
        <f>IF(AND(ISNUMBER(BP160),ISNUMBER(BP113)),IFERROR(BP160/BP113,""),"")</f>
        <v>0.693270241850684</v>
      </c>
      <c r="BQ210" s="215">
        <f>IF(AND(ISNUMBER(BQ160),ISNUMBER(BQ113)),IFERROR(BQ160/BQ113,""),"")</f>
        <v>0.679904106733375</v>
      </c>
      <c r="BR210" s="215">
        <f>IF(AND(ISNUMBER(BR160),ISNUMBER(BR113)),IFERROR(BR160/BR113,""),"")</f>
        <v>0.674891860007865</v>
      </c>
      <c r="BS210" s="215">
        <f>IF(AND(ISNUMBER(BS160),ISNUMBER(BS113)),IFERROR(BS160/BS113,""),"")</f>
        <v>0.663278627377844</v>
      </c>
      <c r="BT210" s="215">
        <f>IF(AND(ISNUMBER(BT160),ISNUMBER(BT113)),IFERROR(BT160/BT113,""),"")</f>
        <v>0.67735</v>
      </c>
      <c r="BU210" s="215">
        <f>IF(AND(ISNUMBER(BU160),ISNUMBER(BU113)),IFERROR(BU160/BU113,""),"")</f>
        <v>0.688927621319145</v>
      </c>
      <c r="BV210" s="215">
        <f>IF(AND(ISNUMBER(BV160),ISNUMBER(BV113)),IFERROR(BV160/BV113,""),"")</f>
        <v>0.679519145146928</v>
      </c>
      <c r="BW210" s="215">
        <f>IF(AND(ISNUMBER(BW160),ISNUMBER(BW113)),IFERROR(BW160/BW113,""),"")</f>
        <v>0.666638012550503</v>
      </c>
      <c r="BX210" s="256">
        <f>IF(AND(ISNUMBER(BX160),ISNUMBER(BX113)),IFERROR(BX160/BX113,""),"")</f>
        <v>0.659020408201248</v>
      </c>
      <c r="BY210" s="256">
        <f>IF(AND(ISNUMBER(BY160),ISNUMBER(BY113)),IFERROR(BY160/BY113,""),"")</f>
        <v>0.673074574344684</v>
      </c>
      <c r="BZ210" s="256">
        <f>IF(AND(ISNUMBER(BZ160),ISNUMBER(BZ113)),IFERROR(BZ160/BZ113,""),"")</f>
        <v>0.675</v>
      </c>
      <c r="CA210" s="256">
        <f>IF(AND(ISNUMBER(CA160),ISNUMBER(CA113)),IFERROR(CA160/CA113,""),"")</f>
        <v>0.677</v>
      </c>
      <c r="CB210" s="256">
        <f>IF(AND(ISNUMBER(CB160),ISNUMBER(CB113)),IFERROR(CB160/CB113,""),"")</f>
        <v>0.68</v>
      </c>
      <c r="CC210" s="256">
        <f>IF(AND(ISNUMBER(CC160),ISNUMBER(CC113)),IFERROR(CC160/CC113,""),"")</f>
        <v>0.68</v>
      </c>
      <c r="CD210" s="256">
        <f>IF(AND(ISNUMBER(CD160),ISNUMBER(CD113)),IFERROR(CD160/CD113,""),"")</f>
        <v>0.682</v>
      </c>
      <c r="CE210" s="153" t="n"/>
      <c r="CG210" s="37">
        <f>IFERROR(AVERAGE(BZ210,CA210,CB210,CC210,CD210),"n/m")</f>
        <v>0.6788</v>
      </c>
      <c r="CH210" s="37">
        <f>IFERROR(AVERAGE(AZ210,BE210,BJ210,BO210,BT210),"n/m")</f>
        <v>0.675578098961488</v>
      </c>
      <c r="CI210" s="37">
        <f>IFERROR(AVERAGE(AA210,AF210,AK210,AP210,AU210,AZ210,BE210,BJ210,BO210,BT210),"n/m")</f>
        <v>0.669791006590229</v>
      </c>
      <c r="CJ210" s="37">
        <f>IFERROR(AVERAGE(C210,D210,E210,F210,G210,L210,Q210,V210,AA210,AF210,AK210,AP210,AU210,AZ210,BE210,BJ210,BO210,BT210),"n/m")</f>
        <v>0.631239105004144</v>
      </c>
    </row>
    <row r="211" ht="15" customHeight="1" s="251">
      <c r="B211" s="25" t="inlineStr">
        <is>
          <t xml:space="preserve">  Incremental adjusted operating margin (Δ adjusted OI / Δ net revenue)</t>
        </is>
      </c>
      <c r="C211" s="36" t="n"/>
      <c r="D211" s="215">
        <f>IFERROR((D160-C160)/(D113-C113),"")</f>
        <v>1.19753086419753</v>
      </c>
      <c r="E211" s="215">
        <f>IFERROR((E160-D160)/(E113-D113),"")</f>
        <v>0.793760831889081</v>
      </c>
      <c r="F211" s="215">
        <f>IFERROR((F160-E160)/(F113-E113),"")</f>
        <v>0.772039180765806</v>
      </c>
      <c r="G211" s="215">
        <f>IFERROR((G160-F160)/(G113-F113),"")</f>
        <v>0.633414436334144</v>
      </c>
      <c r="H211" s="36" t="n"/>
      <c r="I211" s="36" t="n"/>
      <c r="J211" s="36" t="n"/>
      <c r="K211" s="36" t="n"/>
      <c r="L211" s="215">
        <f>IFERROR((L160-G160)/(L113-G113),"")</f>
        <v>0.738393515106853</v>
      </c>
      <c r="M211" s="215">
        <f>IFERROR((M160-H160)/(M113-H113),"")</f>
        <v>0.896440129449838</v>
      </c>
      <c r="N211" s="215">
        <f>IFERROR((N160-I160)/(N113-I113),"")</f>
        <v>0.917073170731707</v>
      </c>
      <c r="O211" s="215">
        <f>IFERROR((O160-J160)/(O113-J113),"")</f>
        <v>1.24675324675325</v>
      </c>
      <c r="P211" s="215">
        <f>IFERROR((P160-K160)/(P113-K113),"")</f>
        <v>0.98046875</v>
      </c>
      <c r="Q211" s="215">
        <f>IFERROR((Q160-L160)/(Q113-L113),"")</f>
        <v>0.982683982683983</v>
      </c>
      <c r="R211" s="215">
        <f>IFERROR((R160-M160)/(R113-M113),"")</f>
        <v>0.709251101321586</v>
      </c>
      <c r="S211" s="215">
        <f>IFERROR((S160-N160)/(S113-N113),"")</f>
        <v>0.947154471544715</v>
      </c>
      <c r="T211" s="215">
        <f>IFERROR((T160-O160)/(T113-O113),"")</f>
        <v>0.666666666666667</v>
      </c>
      <c r="U211" s="215">
        <f>IFERROR((U160-P160)/(U113-P113),"")</f>
        <v>0.821637426900585</v>
      </c>
      <c r="V211" s="215">
        <f>IFERROR((V160-Q160)/(V113-Q113),"")</f>
        <v>0.778438030560272</v>
      </c>
      <c r="W211" s="215">
        <f>IFERROR((W160-R160)/(W113-R113),"")</f>
        <v>0.863387978142077</v>
      </c>
      <c r="X211" s="215">
        <f>IFERROR((X160-S160)/(X113-S113),"")</f>
        <v>0.705069124423963</v>
      </c>
      <c r="Y211" s="215">
        <f>IFERROR((Y160-T160)/(Y113-T113),"")</f>
        <v>1.74107142857143</v>
      </c>
      <c r="Z211" s="215">
        <f>IFERROR((Z160-U160)/(Z113-U113),"")</f>
        <v>0.655072463768116</v>
      </c>
      <c r="AA211" s="215">
        <f>IFERROR((AA160-V160)/(AA113-V113),"")</f>
        <v>0.797004991680532</v>
      </c>
      <c r="AB211" s="215">
        <f>IFERROR((AB160-W160)/(AB113-W113),"")</f>
        <v>0.785714285714286</v>
      </c>
      <c r="AC211" s="215">
        <f>IFERROR((AC160-X160)/(AC113-X113),"")</f>
        <v>0.665099882491187</v>
      </c>
      <c r="AD211" s="215">
        <f>IFERROR((AD160-Y160)/(AD113-Y113),"")</f>
        <v>0.606417112299465</v>
      </c>
      <c r="AE211" s="215">
        <f>IFERROR((AE160-Z160)/(AE113-Z113),"")</f>
        <v>0.803030303030303</v>
      </c>
      <c r="AF211" s="215">
        <f>IFERROR((AF160-AA160)/(AF113-AA113),"")</f>
        <v>0.706349206349206</v>
      </c>
      <c r="AG211" s="215">
        <f>IFERROR((AG160-AB160)/(AG113-AB113),"")</f>
        <v>0.566084788029925</v>
      </c>
      <c r="AH211" s="215">
        <f>IFERROR((AH160-AC160)/(AH113-AC113),"")</f>
        <v>0.563758389261745</v>
      </c>
      <c r="AI211" s="215">
        <f>IFERROR((AI160-AD160)/(AI113-AD113),"")</f>
        <v>0.682962962962963</v>
      </c>
      <c r="AJ211" s="215">
        <f>IFERROR((AJ160-AE160)/(AJ113-AE113),"")</f>
        <v>0.671848013816926</v>
      </c>
      <c r="AK211" s="215">
        <f>IFERROR((AK160-AF160)/(AK113-AF113),"")</f>
        <v>0.627721012883163</v>
      </c>
      <c r="AL211" s="215">
        <f>IFERROR((AL160-AG160)/(AL113-AG113),"")</f>
        <v>0.605590062111801</v>
      </c>
      <c r="AM211" s="215">
        <f>IFERROR((AM160-AH160)/(AM113-AH113),"")</f>
        <v>0.724465558194774</v>
      </c>
      <c r="AN211" s="215">
        <f>IFERROR((AN160-AI160)/(AN113-AI113),"")</f>
        <v>0.705</v>
      </c>
      <c r="AO211" s="215">
        <f>IFERROR((AO160-AJ160)/(AO113-AJ113),"")</f>
        <v>0.716927453769559</v>
      </c>
      <c r="AP211" s="215">
        <f>IFERROR((AP160-AK160)/(AP113-AK113),"")</f>
        <v>0.684966216216216</v>
      </c>
      <c r="AQ211" s="215">
        <f>IFERROR((AQ160-AL160)/(AQ113-AL113),"")</f>
        <v>0.569343065693431</v>
      </c>
      <c r="AR211" s="215">
        <f>IFERROR((AR160-AM160)/(AR113-AM113),"")</f>
        <v>0.830555555555556</v>
      </c>
      <c r="AS211" s="215">
        <f>IFERROR((AS160-AN160)/(AS113-AN113),"")</f>
        <v>0.889332003988036</v>
      </c>
      <c r="AT211" s="215">
        <f>IFERROR((AT160-AO160)/(AT113-AO113),"")</f>
        <v>0.913127413127413</v>
      </c>
      <c r="AU211" s="215">
        <f>IFERROR((AU160-AP160)/(AU113-AP113),"")</f>
        <v>1.08488063660477</v>
      </c>
      <c r="AV211" s="215">
        <f>IFERROR((AV160-AQ160)/(AV113-AQ113),"")</f>
        <v>0.463215258855586</v>
      </c>
      <c r="AW211" s="215">
        <f>IFERROR((AW160-AR160)/(AW113-AR113),"")</f>
        <v>1.512</v>
      </c>
      <c r="AX211" s="215">
        <f>IFERROR((AX160-AS160)/(AX113-AS113),"")</f>
        <v>0.824439288476412</v>
      </c>
      <c r="AY211" s="215">
        <f>IFERROR((AY160-AT160)/(AY113-AT113),"")</f>
        <v>0.807270233196159</v>
      </c>
      <c r="AZ211" s="215">
        <f>IFERROR((AZ160-AU160)/(AZ113-AU113),"")</f>
        <v>0.833997343957503</v>
      </c>
      <c r="BA211" s="215">
        <f>IFERROR((BA160-AV160)/(BA113-AV113),"")</f>
        <v>0.790816326530612</v>
      </c>
      <c r="BB211" s="215">
        <f>IFERROR((BB160-AW160)/(BB113-AW113),"")</f>
        <v>0.788356164383562</v>
      </c>
      <c r="BC211" s="215">
        <f>IFERROR((BC160-AX160)/(BC113-AX113),"")</f>
        <v>0.733624454148472</v>
      </c>
      <c r="BD211" s="215">
        <f>IFERROR((BD160-AY160)/(BD113-AY113),"")</f>
        <v>0.666938110749186</v>
      </c>
      <c r="BE211" s="215">
        <f>IFERROR((BE160-AZ160)/(BE113-AZ113),"")</f>
        <v>0.748318924111431</v>
      </c>
      <c r="BF211" s="215">
        <f>IFERROR((BF160-BA160)/(BF113-BA113),"")</f>
        <v>0.630558722919042</v>
      </c>
      <c r="BG211" s="215">
        <f>IFERROR((BG160-BB160)/(BG113-BB113),"")</f>
        <v>0.630653266331658</v>
      </c>
      <c r="BH211" s="215">
        <f>IFERROR((BH160-BC160)/(BH113-BC113),"")</f>
        <v>0.734669811320755</v>
      </c>
      <c r="BI211" s="215">
        <f>IFERROR((BI160-BD160)/(BI113-BD113),"")</f>
        <v>0.694647201946472</v>
      </c>
      <c r="BJ211" s="215">
        <f>IFERROR((BJ160-BE160)/(BJ113-BE113),"")</f>
        <v>0.672749027819324</v>
      </c>
      <c r="BK211" s="215">
        <f>IFERROR((BK160-BF160)/(BK113-BF113),"")</f>
        <v>0.742120343839542</v>
      </c>
      <c r="BL211" s="215">
        <f>IFERROR((BL160-BG160)/(BL113-BG113),"")</f>
        <v>0.632911392405063</v>
      </c>
      <c r="BM211" s="215">
        <f>IFERROR((BM160-BH160)/(BM113-BH113),"")</f>
        <v>0.550836550836551</v>
      </c>
      <c r="BN211" s="215">
        <f>IFERROR((BN160-BI160)/(BN113-BI113),"")</f>
        <v>0.693452380952381</v>
      </c>
      <c r="BO211" s="215">
        <f>IFERROR((BO160-BJ160)/(BO113-BJ113),"")</f>
        <v>0.655362053162237</v>
      </c>
      <c r="BP211" s="215">
        <f>IFERROR((BP160-BK160)/(BP113-BK113),"")</f>
        <v>0.659817351598174</v>
      </c>
      <c r="BQ211" s="215">
        <f>IFERROR((BQ160-BL160)/(BQ113-BL113),"")</f>
        <v>0.755799755799756</v>
      </c>
      <c r="BR211" s="215">
        <f>IFERROR((BR160-BM160)/(BR113-BM113),"")</f>
        <v>0.70125786163522</v>
      </c>
      <c r="BS211" s="215">
        <f>IFERROR((BS160-BN160)/(BS113-BN113),"")</f>
        <v>0.621499548328817</v>
      </c>
      <c r="BT211" s="215">
        <f>IFERROR((BT160-BO160)/(BT113-BO113),"")</f>
        <v>0.681639666175749</v>
      </c>
      <c r="BU211" s="215">
        <f>IFERROR((BU160-BP160)/(BU113-BP113),"")</f>
        <v>0.659237958303379</v>
      </c>
      <c r="BV211" s="215">
        <f>IFERROR((BV160-BQ160)/(BV113-BQ113),"")</f>
        <v>0.677261613691932</v>
      </c>
      <c r="BW211" s="215">
        <f>IFERROR((BW160-BR160)/(BW113-BR113),"")</f>
        <v>0.609171800136893</v>
      </c>
      <c r="BX211" s="256">
        <f>IFERROR((BX160-BS160)/(BX113-BS113),"")</f>
        <v>0.626264876073584</v>
      </c>
      <c r="BY211" s="256">
        <f>IFERROR((BY160-BT160)/(BY113-BT113),"")</f>
        <v>0.644000528556321</v>
      </c>
      <c r="BZ211" s="256">
        <f>IFERROR((BZ160-BY160)/(BZ113-BY113),"")</f>
        <v>0.693302308451717</v>
      </c>
      <c r="CA211" s="256">
        <f>IFERROR((CA160-BZ160)/(CA113-BZ113),"")</f>
        <v>0.695376722975895</v>
      </c>
      <c r="CB211" s="256">
        <f>IFERROR((CB160-CA160)/(CB113-CA113),"")</f>
        <v>0.709582429682731</v>
      </c>
      <c r="CC211" s="256">
        <f>IFERROR((CC160-CB160)/(CC113-CB113),"")</f>
        <v>0.679999999999998</v>
      </c>
      <c r="CD211" s="256">
        <f>IFERROR((CD160-CC160)/(CD113-CC113),"")</f>
        <v>0.703951674137186</v>
      </c>
      <c r="CE211" s="153" t="n"/>
    </row>
    <row r="212" ht="15" customHeight="1" s="251">
      <c r="B212" s="25" t="inlineStr">
        <is>
          <t xml:space="preserve">  Adjusted EBITDA margin %</t>
        </is>
      </c>
      <c r="C212" s="215">
        <f>IF(AND(ISNUMBER(C174),ISNUMBER(C113)),IFERROR(C174/C113,""),"")</f>
        <v>0.489541753153441</v>
      </c>
      <c r="D212" s="215">
        <f>IF(AND(ISNUMBER(D174),ISNUMBER(D113)),IFERROR(D174/D113,""),"")</f>
        <v>0.554478367819418</v>
      </c>
      <c r="E212" s="215">
        <f>IF(AND(ISNUMBER(E174),ISNUMBER(E113)),IFERROR(E174/E113,""),"")</f>
        <v>0.601859888406696</v>
      </c>
      <c r="F212" s="215">
        <f>IF(AND(ISNUMBER(F174),ISNUMBER(F113)),IFERROR(F174/F113,""),"")</f>
        <v>0.625163256421419</v>
      </c>
      <c r="G212" s="215">
        <f>IF(AND(ISNUMBER(G174),ISNUMBER(G113)),IFERROR(G174/G113,""),"")</f>
        <v>0.630457729584493</v>
      </c>
      <c r="H212" s="215">
        <f>IF(AND(ISNUMBER(H174),ISNUMBER(H113)),IFERROR(H174/H113,""),"")</f>
        <v>0.664792691496838</v>
      </c>
      <c r="I212" s="215">
        <f>IF(AND(ISNUMBER(I174),ISNUMBER(I113)),IFERROR(I174/I113,""),"")</f>
        <v>0.661933739012847</v>
      </c>
      <c r="J212" s="215">
        <f>IF(AND(ISNUMBER(J174),ISNUMBER(J113)),IFERROR(J174/J113,""),"")</f>
        <v>0.642785738087304</v>
      </c>
      <c r="K212" s="215">
        <f>IF(AND(ISNUMBER(K174),ISNUMBER(K113)),IFERROR(K174/K113,""),"")</f>
        <v>0.624621594349142</v>
      </c>
      <c r="L212" s="215">
        <f>IF(AND(ISNUMBER(L174),ISNUMBER(L113)),IFERROR(L174/L113,""),"")</f>
        <v>0.648327390049244</v>
      </c>
      <c r="M212" s="215">
        <f>IF(AND(ISNUMBER(M174),ISNUMBER(M113)),IFERROR(M174/M113,""),"")</f>
        <v>0.692234548335975</v>
      </c>
      <c r="N212" s="215">
        <f>IF(AND(ISNUMBER(N174),ISNUMBER(N113)),IFERROR(N174/N113,""),"")</f>
        <v>0.681315207081884</v>
      </c>
      <c r="O212" s="215">
        <f>IF(AND(ISNUMBER(O174),ISNUMBER(O113)),IFERROR(O174/O113,""),"")</f>
        <v>0.674801901743265</v>
      </c>
      <c r="P212" s="215">
        <f>IF(AND(ISNUMBER(P174),ISNUMBER(P113)),IFERROR(P174/P113,""),"")</f>
        <v>0.654691855063487</v>
      </c>
      <c r="Q212" s="215">
        <f>IF(AND(ISNUMBER(Q174),ISNUMBER(Q113)),IFERROR(Q174/Q113,""),"")</f>
        <v>0.675641631239175</v>
      </c>
      <c r="R212" s="215">
        <f>IF(AND(ISNUMBER(R174),ISNUMBER(R113)),IFERROR(R174/R113,""),"")</f>
        <v>0.697220579538735</v>
      </c>
      <c r="S212" s="215">
        <f>IF(AND(ISNUMBER(S174),ISNUMBER(S113)),IFERROR(S174/S113,""),"")</f>
        <v>0.705778820768554</v>
      </c>
      <c r="T212" s="215">
        <f>IF(AND(ISNUMBER(T174),ISNUMBER(T113)),IFERROR(T174/T113,""),"")</f>
        <v>0.679931779420125</v>
      </c>
      <c r="U212" s="215">
        <f>IF(AND(ISNUMBER(U174),ISNUMBER(U113)),IFERROR(U174/U113,""),"")</f>
        <v>0.672640716886026</v>
      </c>
      <c r="V212" s="215">
        <f>IF(AND(ISNUMBER(V174),ISNUMBER(V113)),IFERROR(V174/V113,""),"")</f>
        <v>0.688616714697406</v>
      </c>
      <c r="W212" s="215">
        <f>IF(AND(ISNUMBER(W174),ISNUMBER(W113)),IFERROR(W174/W113,""),"")</f>
        <v>0.705750350631136</v>
      </c>
      <c r="X212" s="215">
        <f>IF(AND(ISNUMBER(X174),ISNUMBER(X113)),IFERROR(X174/X113,""),"")</f>
        <v>0.704633204633205</v>
      </c>
      <c r="Y212" s="215">
        <f>IF(AND(ISNUMBER(Y174),ISNUMBER(Y113)),IFERROR(Y174/Y113,""),"")</f>
        <v>0.709917355371901</v>
      </c>
      <c r="Z212" s="215">
        <f>IF(AND(ISNUMBER(Z174),ISNUMBER(Z113)),IFERROR(Z174/Z113,""),"")</f>
        <v>0.674958929828679</v>
      </c>
      <c r="AA212" s="215">
        <f>IF(AND(ISNUMBER(AA174),ISNUMBER(AA113)),IFERROR(AA174/AA113,""),"")</f>
        <v>0.69778543959687</v>
      </c>
      <c r="AB212" s="215">
        <f>IF(AND(ISNUMBER(AB174),ISNUMBER(AB113)),IFERROR(AB174/AB113,""),"")</f>
        <v>0.72763954270343</v>
      </c>
      <c r="AC212" s="215">
        <f>IF(AND(ISNUMBER(AC174),ISNUMBER(AC113)),IFERROR(AC174/AC113,""),"")</f>
        <v>0.69935224480679</v>
      </c>
      <c r="AD212" s="215">
        <f>IF(AND(ISNUMBER(AD174),ISNUMBER(AD113)),IFERROR(AD174/AD113,""),"")</f>
        <v>0.691347207009858</v>
      </c>
      <c r="AE212" s="215">
        <f>IF(AND(ISNUMBER(AE174),ISNUMBER(AE113)),IFERROR(AE174/AE113,""),"")</f>
        <v>0.691864057672503</v>
      </c>
      <c r="AF212" s="215">
        <f>IF(AND(ISNUMBER(AF174),ISNUMBER(AF113)),IFERROR(AF174/AF113,""),"")</f>
        <v>0.702255147619566</v>
      </c>
      <c r="AG212" s="215">
        <f>IF(AND(ISNUMBER(AG174),ISNUMBER(AG113)),IFERROR(AG174/AG113,""),"")</f>
        <v>0.714109419991773</v>
      </c>
      <c r="AH212" s="215">
        <f>IF(AND(ISNUMBER(AH174),ISNUMBER(AH113)),IFERROR(AH174/AH113,""),"")</f>
        <v>0.68775872264932</v>
      </c>
      <c r="AI212" s="215">
        <f>IF(AND(ISNUMBER(AI174),ISNUMBER(AI113)),IFERROR(AI174/AI113,""),"")</f>
        <v>0.694083969465649</v>
      </c>
      <c r="AJ212" s="215">
        <f>IF(AND(ISNUMBER(AJ174),ISNUMBER(AJ113)),IFERROR(AJ174/AJ113,""),"")</f>
        <v>0.692675745307324</v>
      </c>
      <c r="AK212" s="215">
        <f>IF(AND(ISNUMBER(AK174),ISNUMBER(AK113)),IFERROR(AK174/AK113,""),"")</f>
        <v>0.696880003881799</v>
      </c>
      <c r="AL212" s="215">
        <f>IF(AND(ISNUMBER(AL174),ISNUMBER(AL113)),IFERROR(AL174/AL113,""),"")</f>
        <v>0.703959317108609</v>
      </c>
      <c r="AM212" s="215">
        <f>IF(AND(ISNUMBER(AM174),ISNUMBER(AM113)),IFERROR(AM174/AM113,""),"")</f>
        <v>0.691845649799782</v>
      </c>
      <c r="AN212" s="215">
        <f>IF(AND(ISNUMBER(AN174),ISNUMBER(AN113)),IFERROR(AN174/AN113,""),"")</f>
        <v>0.697431506849315</v>
      </c>
      <c r="AO212" s="215">
        <f>IF(AND(ISNUMBER(AO174),ISNUMBER(AO113)),IFERROR(AO174/AO113,""),"")</f>
        <v>0.696920319374287</v>
      </c>
      <c r="AP212" s="215">
        <f>IF(AND(ISNUMBER(AP174),ISNUMBER(AP113)),IFERROR(AP174/AP113,""),"")</f>
        <v>0.697523610567089</v>
      </c>
      <c r="AQ212" s="215">
        <f>IF(AND(ISNUMBER(AQ174),ISNUMBER(AQ113)),IFERROR(AQ174/AQ113,""),"")</f>
        <v>0.693756194251734</v>
      </c>
      <c r="AR212" s="215">
        <f>IF(AND(ISNUMBER(AR174),ISNUMBER(AR113)),IFERROR(AR174/AR113,""),"")</f>
        <v>0.703963102152375</v>
      </c>
      <c r="AS212" s="215">
        <f>IF(AND(ISNUMBER(AS174),ISNUMBER(AS113)),IFERROR(AS174/AS113,""),"")</f>
        <v>0.66156708703742</v>
      </c>
      <c r="AT212" s="215">
        <f>IF(AND(ISNUMBER(AT174),ISNUMBER(AT113)),IFERROR(AT174/AT113,""),"")</f>
        <v>0.655557733777691</v>
      </c>
      <c r="AU212" s="215">
        <f>IF(AND(ISNUMBER(AU174),ISNUMBER(AU113)),IFERROR(AU174/AU113,""),"")</f>
        <v>0.680444932710794</v>
      </c>
      <c r="AV212" s="215">
        <f>IF(AND(ISNUMBER(AV174),ISNUMBER(AV113)),IFERROR(AV174/AV113,""),"")</f>
        <v>0.7110954809214</v>
      </c>
      <c r="AW212" s="215">
        <f>IF(AND(ISNUMBER(AW174),ISNUMBER(AW113)),IFERROR(AW174/AW113,""),"")</f>
        <v>0.687554547041368</v>
      </c>
      <c r="AX212" s="215">
        <f>IF(AND(ISNUMBER(AX174),ISNUMBER(AX113)),IFERROR(AX174/AX113,""),"")</f>
        <v>0.697063621533442</v>
      </c>
      <c r="AY212" s="215">
        <f>IF(AND(ISNUMBER(AY174),ISNUMBER(AY113)),IFERROR(AY174/AY113,""),"")</f>
        <v>0.689891751791432</v>
      </c>
      <c r="AZ212" s="215">
        <f>IF(AND(ISNUMBER(AZ174),ISNUMBER(AZ113)),IFERROR(AZ174/AZ113,""),"")</f>
        <v>0.696162621862684</v>
      </c>
      <c r="BA212" s="215">
        <f>IF(AND(ISNUMBER(BA174),ISNUMBER(BA113)),IFERROR(BA174/BA113,""),"")</f>
        <v>0.726590168579119</v>
      </c>
      <c r="BB212" s="215">
        <f>IF(AND(ISNUMBER(BB174),ISNUMBER(BB113)),IFERROR(BB174/BB113,""),"")</f>
        <v>0.707887049659202</v>
      </c>
      <c r="BC212" s="215">
        <f>IF(AND(ISNUMBER(BC174),ISNUMBER(BC113)),IFERROR(BC174/BC113,""),"")</f>
        <v>0.70213058419244</v>
      </c>
      <c r="BD212" s="215">
        <f>IF(AND(ISNUMBER(BD174),ISNUMBER(BD113)),IFERROR(BD174/BD113,""),"")</f>
        <v>0.685501476820342</v>
      </c>
      <c r="BE212" s="215">
        <f>IF(AND(ISNUMBER(BE174),ISNUMBER(BE113)),IFERROR(BE174/BE113,""),"")</f>
        <v>0.705015353121801</v>
      </c>
      <c r="BF212" s="215">
        <f>IF(AND(ISNUMBER(BF174),ISNUMBER(BF113)),IFERROR(BF174/BF113,""),"")</f>
        <v>0.715851814516129</v>
      </c>
      <c r="BG212" s="215">
        <f>IF(AND(ISNUMBER(BG174),ISNUMBER(BG113)),IFERROR(BG174/BG113,""),"")</f>
        <v>0.700313087038197</v>
      </c>
      <c r="BH212" s="215">
        <f>IF(AND(ISNUMBER(BH174),ISNUMBER(BH113)),IFERROR(BH174/BH113,""),"")</f>
        <v>0.706512372276253</v>
      </c>
      <c r="BI212" s="215">
        <f>IF(AND(ISNUMBER(BI174),ISNUMBER(BI113)),IFERROR(BI174/BI113,""),"")</f>
        <v>0.688465559298409</v>
      </c>
      <c r="BJ212" s="215">
        <f>IF(AND(ISNUMBER(BJ174),ISNUMBER(BJ113)),IFERROR(BJ174/BJ113,""),"")</f>
        <v>0.70250819220286</v>
      </c>
      <c r="BK212" s="215">
        <f>IF(AND(ISNUMBER(BK174),ISNUMBER(BK113)),IFERROR(BK174/BK113,""),"")</f>
        <v>0.720639332870049</v>
      </c>
      <c r="BL212" s="215">
        <f>IF(AND(ISNUMBER(BL174),ISNUMBER(BL113)),IFERROR(BL174/BL113,""),"")</f>
        <v>0.696296296296296</v>
      </c>
      <c r="BM212" s="215">
        <f>IF(AND(ISNUMBER(BM174),ISNUMBER(BM113)),IFERROR(BM174/BM113,""),"")</f>
        <v>0.695393258426966</v>
      </c>
      <c r="BN212" s="215">
        <f>IF(AND(ISNUMBER(BN174),ISNUMBER(BN113)),IFERROR(BN174/BN113,""),"")</f>
        <v>0.691691795778309</v>
      </c>
      <c r="BO212" s="215">
        <f>IF(AND(ISNUMBER(BO174),ISNUMBER(BO113)),IFERROR(BO174/BO113,""),"")</f>
        <v>0.700690307855035</v>
      </c>
      <c r="BP212" s="215">
        <f>IF(AND(ISNUMBER(BP174),ISNUMBER(BP113)),IFERROR(BP174/BP113,""),"")</f>
        <v>0.718086225026288</v>
      </c>
      <c r="BQ212" s="215">
        <f>IF(AND(ISNUMBER(BQ174),ISNUMBER(BQ113)),IFERROR(BQ174/BQ113,""),"")</f>
        <v>0.705023973316656</v>
      </c>
      <c r="BR212" s="215">
        <f>IF(AND(ISNUMBER(BR174),ISNUMBER(BR113)),IFERROR(BR174/BR113,""),"")</f>
        <v>0.700747149036571</v>
      </c>
      <c r="BS212" s="215">
        <f>IF(AND(ISNUMBER(BS174),ISNUMBER(BS113)),IFERROR(BS174/BS113,""),"")</f>
        <v>0.687709809772473</v>
      </c>
      <c r="BT212" s="215">
        <f>IF(AND(ISNUMBER(BT174),ISNUMBER(BT113)),IFERROR(BT174/BT113,""),"")</f>
        <v>0.7024</v>
      </c>
      <c r="BU212" s="215">
        <f>IF(AND(ISNUMBER(BU174),ISNUMBER(BU113)),IFERROR(BU174/BU113,""),"")</f>
        <v>0.713879460599945</v>
      </c>
      <c r="BV212" s="215">
        <f>IF(AND(ISNUMBER(BV174),ISNUMBER(BV113)),IFERROR(BV174/BV113,""),"")</f>
        <v>0.704719501335708</v>
      </c>
      <c r="BW212" s="215">
        <f>IF(AND(ISNUMBER(BW174),ISNUMBER(BW113)),IFERROR(BW174/BW113,""),"")</f>
        <v>0.692684604143385</v>
      </c>
      <c r="BX212" s="256">
        <f>IF(AND(ISNUMBER(BX174),ISNUMBER(BX113)),IFERROR(BX174/BX113,""),"")</f>
        <v>0.685939849659044</v>
      </c>
      <c r="BY212" s="256">
        <f>IF(AND(ISNUMBER(BY174),ISNUMBER(BY113)),IFERROR(BY174/BY113,""),"")</f>
        <v>0.698884476370104</v>
      </c>
      <c r="BZ212" s="256">
        <f>IF(AND(ISNUMBER(BZ174),ISNUMBER(BZ113)),IFERROR(BZ174/BZ113,""),"")</f>
        <v>0.700657894736842</v>
      </c>
      <c r="CA212" s="256">
        <f>IF(AND(ISNUMBER(CA174),ISNUMBER(CA113)),IFERROR(CA174/CA113,""),"")</f>
        <v>0.7025</v>
      </c>
      <c r="CB212" s="256">
        <f>IF(AND(ISNUMBER(CB174),ISNUMBER(CB113)),IFERROR(CB174/CB113,""),"")</f>
        <v>0.705263157894737</v>
      </c>
      <c r="CC212" s="256">
        <f>IF(AND(ISNUMBER(CC174),ISNUMBER(CC113)),IFERROR(CC174/CC113,""),"")</f>
        <v>0.705263157894737</v>
      </c>
      <c r="CD212" s="256">
        <f>IF(AND(ISNUMBER(CD174),ISNUMBER(CD113)),IFERROR(CD174/CD113,""),"")</f>
        <v>0.707105263157895</v>
      </c>
      <c r="CE212" s="153" t="n"/>
      <c r="CG212" s="37">
        <f>IFERROR(AVERAGE(BZ212,CA212,CB212,CC212,CD212),"n/m")</f>
        <v>0.704157894736842</v>
      </c>
      <c r="CH212" s="37">
        <f>IFERROR(AVERAGE(AZ212,BE212,BJ212,BO212,BT212),"n/m")</f>
        <v>0.701355295008476</v>
      </c>
      <c r="CI212" s="37">
        <f>IFERROR(AVERAGE(AA212,AF212,AK212,AP212,AU212,AZ212,BE212,BJ212,BO212,BT212),"n/m")</f>
        <v>0.69816656094185</v>
      </c>
      <c r="CJ212" s="37">
        <f>IFERROR(AVERAGE(C212,D212,E212,F212,G212,L212,Q212,V212,AA212,AF212,AK212,AP212,AU212,AZ212,BE212,BJ212,BO212,BT212),"n/m")</f>
        <v>0.660875130043877</v>
      </c>
    </row>
    <row r="213" ht="15" customHeight="1" s="251">
      <c r="B213" s="25" t="inlineStr">
        <is>
          <t xml:space="preserve">  Operating margin (GAAP) %</t>
        </is>
      </c>
      <c r="C213" s="215">
        <f>IF(AND(ISNUMBER(C125),ISNUMBER(C113)),IFERROR(C125/C113,""),"")</f>
        <v>0.196710841449784</v>
      </c>
      <c r="D213" s="215">
        <f>IF(AND(ISNUMBER(D125),ISNUMBER(D113)),IFERROR(D125/D113,""),"")</f>
        <v>0.511937490956446</v>
      </c>
      <c r="E213" s="215">
        <f>IF(AND(ISNUMBER(E125),ISNUMBER(E113)),IFERROR(E125/E113,""),"")</f>
        <v>0.569001859888407</v>
      </c>
      <c r="F213" s="215">
        <f>IF(AND(ISNUMBER(F125),ISNUMBER(F113)),IFERROR(F125/F113,""),"")</f>
        <v>0.593818023508925</v>
      </c>
      <c r="G213" s="215">
        <f>IF(AND(ISNUMBER(G125),ISNUMBER(G113)),IFERROR(G125/G113,""),"")</f>
        <v>0.205258612417234</v>
      </c>
      <c r="H213" s="215">
        <f>IF(AND(ISNUMBER(H125),ISNUMBER(H113)),IFERROR(H125/H113,""),"")</f>
        <v>0.632466619817288</v>
      </c>
      <c r="I213" s="215">
        <f>IF(AND(ISNUMBER(I125),ISNUMBER(I113)),IFERROR(I125/I113,""),"")</f>
        <v>0.628803245436105</v>
      </c>
      <c r="J213" s="215">
        <f>IF(AND(ISNUMBER(J125),ISNUMBER(J113)),IFERROR(J125/J113,""),"")</f>
        <v>0.609130289903366</v>
      </c>
      <c r="K213" s="215">
        <f>IF(AND(ISNUMBER(K125),ISNUMBER(K113)),IFERROR(K125/K113,""),"")</f>
        <v>0.588967373023882</v>
      </c>
      <c r="L213" s="215">
        <f>IF(AND(ISNUMBER(L125),ISNUMBER(L113)),IFERROR(L125/L113,""),"")</f>
        <v>0.61462047885889</v>
      </c>
      <c r="M213" s="215">
        <f>IF(AND(ISNUMBER(M125),ISNUMBER(M113)),IFERROR(M125/M113,""),"")</f>
        <v>0.658320126782884</v>
      </c>
      <c r="N213" s="215">
        <f>IF(AND(ISNUMBER(N125),ISNUMBER(N113)),IFERROR(N125/N113,""),"")</f>
        <v>0.647486563389188</v>
      </c>
      <c r="O213" s="215">
        <f>IF(AND(ISNUMBER(O125),ISNUMBER(O113)),IFERROR(O125/O113,""),"")</f>
        <v>0.640253565768621</v>
      </c>
      <c r="P213" s="215">
        <f>IF(AND(ISNUMBER(P125),ISNUMBER(P113)),IFERROR(P125/P113,""),"")</f>
        <v>0.480644162279343</v>
      </c>
      <c r="Q213" s="215">
        <f>IF(AND(ISNUMBER(Q125),ISNUMBER(Q113)),IFERROR(Q125/Q113,""),"")</f>
        <v>0.605967564163124</v>
      </c>
      <c r="R213" s="215">
        <f>IF(AND(ISNUMBER(R125),ISNUMBER(R113)),IFERROR(R125/R113,""),"")</f>
        <v>0.66173861620343</v>
      </c>
      <c r="S213" s="215">
        <f>IF(AND(ISNUMBER(S125),ISNUMBER(S113)),IFERROR(S125/S113,""),"")</f>
        <v>0.669111176298035</v>
      </c>
      <c r="T213" s="215">
        <f>IF(AND(ISNUMBER(T125),ISNUMBER(T113)),IFERROR(T125/T113,""),"")</f>
        <v>0.642978965321205</v>
      </c>
      <c r="U213" s="215">
        <f>IF(AND(ISNUMBER(U125),ISNUMBER(U113)),IFERROR(U125/U113,""),"")</f>
        <v>0.639316718006161</v>
      </c>
      <c r="V213" s="215">
        <f>IF(AND(ISNUMBER(V125),ISNUMBER(V113)),IFERROR(V125/V113,""),"")</f>
        <v>0.653025936599424</v>
      </c>
      <c r="W213" s="215">
        <f>IF(AND(ISNUMBER(W125),ISNUMBER(W113)),IFERROR(W125/W113,""),"")</f>
        <v>0.672089761570827</v>
      </c>
      <c r="X213" s="215">
        <f>IF(AND(ISNUMBER(X125),ISNUMBER(X113)),IFERROR(X125/X113,""),"")</f>
        <v>0.671263099834528</v>
      </c>
      <c r="Y213" s="215">
        <f>IF(AND(ISNUMBER(Y125),ISNUMBER(Y113)),IFERROR(Y125/Y113,""),"")</f>
        <v>0.117906336088154</v>
      </c>
      <c r="Z213" s="215">
        <f>IF(AND(ISNUMBER(Z125),ISNUMBER(Z113)),IFERROR(Z125/Z113,""),"")</f>
        <v>0.616052569819291</v>
      </c>
      <c r="AA213" s="215">
        <f>IF(AND(ISNUMBER(AA125),ISNUMBER(AA113)),IFERROR(AA125/AA113,""),"")</f>
        <v>0.522676037660788</v>
      </c>
      <c r="AB213" s="215">
        <f>IF(AND(ISNUMBER(AB125),ISNUMBER(AB113)),IFERROR(AB125/AB113,""),"")</f>
        <v>0.694911454830755</v>
      </c>
      <c r="AC213" s="215">
        <f>IF(AND(ISNUMBER(AC125),ISNUMBER(AC113)),IFERROR(AC125/AC113,""),"")</f>
        <v>0.627205718114809</v>
      </c>
      <c r="AD213" s="215">
        <f>IF(AND(ISNUMBER(AD125),ISNUMBER(AD113)),IFERROR(AD125/AD113,""),"")</f>
        <v>0.662431544359255</v>
      </c>
      <c r="AE213" s="215">
        <f>IF(AND(ISNUMBER(AE125),ISNUMBER(AE113)),IFERROR(AE125/AE113,""),"")</f>
        <v>0.661585993820803</v>
      </c>
      <c r="AF213" s="215">
        <f>IF(AND(ISNUMBER(AF125),ISNUMBER(AF113)),IFERROR(AF125/AF113,""),"")</f>
        <v>0.661509968406145</v>
      </c>
      <c r="AG213" s="215">
        <f>IF(AND(ISNUMBER(AG125),ISNUMBER(AG113)),IFERROR(AG125/AG113,""),"")</f>
        <v>0.684286301933361</v>
      </c>
      <c r="AH213" s="215">
        <f>IF(AND(ISNUMBER(AH125),ISNUMBER(AH113)),IFERROR(AH125/AH113,""),"")</f>
        <v>0.657599053814311</v>
      </c>
      <c r="AI213" s="215">
        <f>IF(AND(ISNUMBER(AI125),ISNUMBER(AI113)),IFERROR(AI125/AI113,""),"")</f>
        <v>0.550572519083969</v>
      </c>
      <c r="AJ213" s="215">
        <f>IF(AND(ISNUMBER(AJ125),ISNUMBER(AJ113)),IFERROR(AJ125/AJ113,""),"")</f>
        <v>0.626794258373206</v>
      </c>
      <c r="AK213" s="215">
        <f>IF(AND(ISNUMBER(AK125),ISNUMBER(AK113)),IFERROR(AK125/AK113,""),"")</f>
        <v>0.628560337716532</v>
      </c>
      <c r="AL213" s="215">
        <f>IF(AND(ISNUMBER(AL125),ISNUMBER(AL113)),IFERROR(AL125/AL113,""),"")</f>
        <v>0.675081729022884</v>
      </c>
      <c r="AM213" s="215">
        <f>IF(AND(ISNUMBER(AM125),ISNUMBER(AM113)),IFERROR(AM125/AM113,""),"")</f>
        <v>0.662722970513287</v>
      </c>
      <c r="AN213" s="215">
        <f>IF(AND(ISNUMBER(AN125),ISNUMBER(AN113)),IFERROR(AN125/AN113,""),"")</f>
        <v>0.669178082191781</v>
      </c>
      <c r="AO213" s="215">
        <f>IF(AND(ISNUMBER(AO125),ISNUMBER(AO113)),IFERROR(AO125/AO113,""),"")</f>
        <v>0.608603552224214</v>
      </c>
      <c r="AP213" s="215">
        <f>IF(AND(ISNUMBER(AP125),ISNUMBER(AP113)),IFERROR(AP125/AP113,""),"")</f>
        <v>0.652870261565914</v>
      </c>
      <c r="AQ213" s="215">
        <f>IF(AND(ISNUMBER(AQ125),ISNUMBER(AQ113)),IFERROR(AQ125/AQ113,""),"")</f>
        <v>0.663363065741658</v>
      </c>
      <c r="AR213" s="215">
        <f>IF(AND(ISNUMBER(AR125),ISNUMBER(AR113)),IFERROR(AR125/AR113,""),"")</f>
        <v>0.670310898530919</v>
      </c>
      <c r="AS213" s="215">
        <f>IF(AND(ISNUMBER(AS125),ISNUMBER(AS113)),IFERROR(AS125/AS113,""),"")</f>
        <v>0.620012404382882</v>
      </c>
      <c r="AT213" s="215">
        <f>IF(AND(ISNUMBER(AT125),ISNUMBER(AT113)),IFERROR(AT125/AT113,""),"")</f>
        <v>0.615957655361694</v>
      </c>
      <c r="AU213" s="215">
        <f>IF(AND(ISNUMBER(AU125),ISNUMBER(AU113)),IFERROR(AU125/AU113,""),"")</f>
        <v>0.644557356037719</v>
      </c>
      <c r="AV213" s="215">
        <f>IF(AND(ISNUMBER(AV125),ISNUMBER(AV113)),IFERROR(AV125/AV113,""),"")</f>
        <v>0.675927554070688</v>
      </c>
      <c r="AW213" s="215">
        <f>IF(AND(ISNUMBER(AW125),ISNUMBER(AW113)),IFERROR(AW125/AW113,""),"")</f>
        <v>0.625065456449642</v>
      </c>
      <c r="AX213" s="215">
        <f>IF(AND(ISNUMBER(AX125),ISNUMBER(AX113)),IFERROR(AX125/AX113,""),"")</f>
        <v>0.662969004893964</v>
      </c>
      <c r="AY213" s="215">
        <f>IF(AND(ISNUMBER(AY125),ISNUMBER(AY113)),IFERROR(AY125/AY113,""),"")</f>
        <v>0.657874676017686</v>
      </c>
      <c r="AZ213" s="215">
        <f>IF(AND(ISNUMBER(AZ125),ISNUMBER(AZ113)),IFERROR(AZ125/AZ113,""),"")</f>
        <v>0.655631611698818</v>
      </c>
      <c r="BA213" s="215">
        <f>IF(AND(ISNUMBER(BA125),ISNUMBER(BA113)),IFERROR(BA125/BA113,""),"")</f>
        <v>0.676583085422864</v>
      </c>
      <c r="BB213" s="215">
        <f>IF(AND(ISNUMBER(BB125),ISNUMBER(BB113)),IFERROR(BB125/BB113,""),"")</f>
        <v>0.667964946445959</v>
      </c>
      <c r="BC213" s="215">
        <f>IF(AND(ISNUMBER(BC125),ISNUMBER(BC113)),IFERROR(BC125/BC113,""),"")</f>
        <v>0.570171821305842</v>
      </c>
      <c r="BD213" s="215">
        <f>IF(AND(ISNUMBER(BD125),ISNUMBER(BD113)),IFERROR(BD125/BD113,""),"")</f>
        <v>0.65326826762553</v>
      </c>
      <c r="BE213" s="215">
        <f>IF(AND(ISNUMBER(BE125),ISNUMBER(BE113)),IFERROR(BE125/BE113,""),"")</f>
        <v>0.641862845445241</v>
      </c>
      <c r="BF213" s="215">
        <f>IF(AND(ISNUMBER(BF125),ISNUMBER(BF113)),IFERROR(BF125/BF113,""),"")</f>
        <v>0.641381048387097</v>
      </c>
      <c r="BG213" s="215">
        <f>IF(AND(ISNUMBER(BG125),ISNUMBER(BG113)),IFERROR(BG125/BG113,""),"")</f>
        <v>0.668252974326863</v>
      </c>
      <c r="BH213" s="215">
        <f>IF(AND(ISNUMBER(BH125),ISNUMBER(BH113)),IFERROR(BH125/BH113,""),"")</f>
        <v>0.618490705404407</v>
      </c>
      <c r="BI213" s="215">
        <f>IF(AND(ISNUMBER(BI125),ISNUMBER(BI113)),IFERROR(BI125/BI113,""),"")</f>
        <v>0.64467417818562</v>
      </c>
      <c r="BJ213" s="215">
        <f>IF(AND(ISNUMBER(BJ125),ISNUMBER(BJ113)),IFERROR(BJ125/BJ113,""),"")</f>
        <v>0.643126205861636</v>
      </c>
      <c r="BK213" s="215">
        <f>IF(AND(ISNUMBER(BK125),ISNUMBER(BK113)),IFERROR(BK125/BK113,""),"")</f>
        <v>0.689599258744499</v>
      </c>
      <c r="BL213" s="215">
        <f>IF(AND(ISNUMBER(BL125),ISNUMBER(BL113)),IFERROR(BL125/BL113,""),"")</f>
        <v>0.61014245014245</v>
      </c>
      <c r="BM213" s="215">
        <f>IF(AND(ISNUMBER(BM125),ISNUMBER(BM113)),IFERROR(BM125/BM113,""),"")</f>
        <v>0.667191011235955</v>
      </c>
      <c r="BN213" s="215">
        <f>IF(AND(ISNUMBER(BN125),ISNUMBER(BN113)),IFERROR(BN125/BN113,""),"")</f>
        <v>0.660185088905064</v>
      </c>
      <c r="BO213" s="215">
        <f>IF(AND(ISNUMBER(BO125),ISNUMBER(BO113)),IFERROR(BO125/BO113,""),"")</f>
        <v>0.656766687078996</v>
      </c>
      <c r="BP213" s="215">
        <f>IF(AND(ISNUMBER(BP125),ISNUMBER(BP113)),IFERROR(BP125/BP113,""),"")</f>
        <v>0.655520504731861</v>
      </c>
      <c r="BQ213" s="215">
        <f>IF(AND(ISNUMBER(BQ125),ISNUMBER(BQ113)),IFERROR(BQ125/BQ113,""),"")</f>
        <v>0.566499895768189</v>
      </c>
      <c r="BR213" s="215">
        <f>IF(AND(ISNUMBER(BR125),ISNUMBER(BR113)),IFERROR(BR125/BR113,""),"")</f>
        <v>0.607255210381439</v>
      </c>
      <c r="BS213" s="215">
        <f>IF(AND(ISNUMBER(BS125),ISNUMBER(BS113)),IFERROR(BS125/BS113,""),"")</f>
        <v>0.573293547183887</v>
      </c>
      <c r="BT213" s="215">
        <f>IF(AND(ISNUMBER(BT125),ISNUMBER(BT113)),IFERROR(BT125/BT113,""),"")</f>
        <v>0.59985</v>
      </c>
      <c r="BU213" s="215">
        <f>IF(AND(ISNUMBER(BU125),ISNUMBER(BU113)),IFERROR(BU125/BU113,""),"")</f>
        <v>0.618016695715989</v>
      </c>
      <c r="BV213" s="215">
        <f>IF(AND(ISNUMBER(BV125),ISNUMBER(BV113)),IFERROR(BV125/BV113,""),"")</f>
        <v>0.644167408726625</v>
      </c>
      <c r="BW213" s="215">
        <f>IF(AND(ISNUMBER(BW125),ISNUMBER(BW113)),IFERROR(BW125/BW113,""),"")</f>
        <v>0.591163070575088</v>
      </c>
      <c r="BX213" s="256">
        <f>IF(AND(ISNUMBER(BX125),ISNUMBER(BX113)),IFERROR(BX125/BX113,""),"")</f>
        <v>0.652501245162757</v>
      </c>
      <c r="BY213" s="256">
        <f>IF(AND(ISNUMBER(BY125),ISNUMBER(BY113)),IFERROR(BY125/BY113,""),"")</f>
        <v>0.626716646681359</v>
      </c>
      <c r="BZ213" s="256">
        <f>IF(AND(ISNUMBER(BZ125),ISNUMBER(BZ113)),IFERROR(BZ125/BZ113,""),"")</f>
        <v>0.668337330622786</v>
      </c>
      <c r="CA213" s="256">
        <f>IF(AND(ISNUMBER(CA125),ISNUMBER(CA113)),IFERROR(CA125/CA113,""),"")</f>
        <v>0.671067500232542</v>
      </c>
      <c r="CB213" s="256">
        <f>IF(AND(ISNUMBER(CB125),ISNUMBER(CB113)),IFERROR(CB125/CB113,""),"")</f>
        <v>0.674682932803702</v>
      </c>
      <c r="CC213" s="256">
        <f>IF(AND(ISNUMBER(CC125),ISNUMBER(CC113)),IFERROR(CC125/CC113,""),"")</f>
        <v>0.67520427912633</v>
      </c>
      <c r="CD213" s="256">
        <f>IF(AND(ISNUMBER(CD125),ISNUMBER(CD113)),IFERROR(CD125/CD113,""),"")</f>
        <v>0.677527449376697</v>
      </c>
      <c r="CE213" s="153" t="n"/>
      <c r="CG213" s="37">
        <f>IFERROR(AVERAGE(BZ213,CA213,CB213,CC213,CD213),"n/m")</f>
        <v>0.673363898432412</v>
      </c>
      <c r="CH213" s="37">
        <f>IFERROR(AVERAGE(AZ213,BE213,BJ213,BO213,BT213),"n/m")</f>
        <v>0.639447470016938</v>
      </c>
      <c r="CI213" s="37">
        <f>IFERROR(AVERAGE(AA213,AF213,AK213,AP213,AU213,AZ213,BE213,BJ213,BO213,BT213),"n/m")</f>
        <v>0.630741131147179</v>
      </c>
      <c r="CJ213" s="37">
        <f>IFERROR(AVERAGE(C213,D213,E213,F213,G213,L213,Q213,V213,AA213,AF213,AK213,AP213,AU213,AZ213,BE213,BJ213,BO213,BT213),"n/m")</f>
        <v>0.569875117739668</v>
      </c>
    </row>
    <row r="214" ht="15" customHeight="1" s="251">
      <c r="B214" s="25" t="inlineStr">
        <is>
          <t xml:space="preserve">  Net margin %</t>
        </is>
      </c>
      <c r="C214" s="215">
        <f>IF(AND(ISNUMBER(C137),ISNUMBER(C113)),IFERROR(C137/C113,""),"")</f>
        <v>0.128372984192879</v>
      </c>
      <c r="D214" s="215">
        <f>IF(AND(ISNUMBER(D137),ISNUMBER(D113)),IFERROR(D137/D113,""),"")</f>
        <v>0.340471711763855</v>
      </c>
      <c r="E214" s="215">
        <f>IF(AND(ISNUMBER(E137),ISNUMBER(E113)),IFERROR(E137/E113,""),"")</f>
        <v>0.367761934283943</v>
      </c>
      <c r="F214" s="215">
        <f>IF(AND(ISNUMBER(F137),ISNUMBER(F113)),IFERROR(F137/F113,""),"")</f>
        <v>0.397257292120157</v>
      </c>
      <c r="G214" s="215">
        <f>IF(AND(ISNUMBER(G137),ISNUMBER(G113)),IFERROR(G137/G113,""),"")</f>
        <v>0.205738412820267</v>
      </c>
      <c r="H214" s="215">
        <f>IF(AND(ISNUMBER(H137),ISNUMBER(H113)),IFERROR(H137/H113,""),"")</f>
        <v>0.454321855235418</v>
      </c>
      <c r="I214" s="215">
        <f>IF(AND(ISNUMBER(I137),ISNUMBER(I113)),IFERROR(I137/I113,""),"")</f>
        <v>0.429344151453685</v>
      </c>
      <c r="J214" s="215">
        <f>IF(AND(ISNUMBER(J137),ISNUMBER(J113)),IFERROR(J137/J113,""),"")</f>
        <v>0.408197267577474</v>
      </c>
      <c r="K214" s="215">
        <f>IF(AND(ISNUMBER(K137),ISNUMBER(K113)),IFERROR(K137/K113,""),"")</f>
        <v>0.400941809619913</v>
      </c>
      <c r="L214" s="215">
        <f>IF(AND(ISNUMBER(L137),ISNUMBER(L113)),IFERROR(L137/L113,""),"")</f>
        <v>0.422822210901681</v>
      </c>
      <c r="M214" s="215">
        <f>IF(AND(ISNUMBER(M137),ISNUMBER(M113)),IFERROR(M137/M113,""),"")</f>
        <v>0.445958795562599</v>
      </c>
      <c r="N214" s="215">
        <f>IF(AND(ISNUMBER(N137),ISNUMBER(N113)),IFERROR(N137/N113,""),"")</f>
        <v>0.505216566550743</v>
      </c>
      <c r="O214" s="215">
        <f>IF(AND(ISNUMBER(O137),ISNUMBER(O113)),IFERROR(O137/O113,""),"")</f>
        <v>0.431061806656101</v>
      </c>
      <c r="P214" s="215">
        <f>IF(AND(ISNUMBER(P137),ISNUMBER(P113)),IFERROR(P137/P113,""),"")</f>
        <v>0.332301021988232</v>
      </c>
      <c r="Q214" s="215">
        <f>IF(AND(ISNUMBER(Q137),ISNUMBER(Q113)),IFERROR(Q137/Q113,""),"")</f>
        <v>0.428121555660526</v>
      </c>
      <c r="R214" s="215">
        <f>IF(AND(ISNUMBER(R137),ISNUMBER(R113)),IFERROR(R137/R113,""),"")</f>
        <v>0.463926670609107</v>
      </c>
      <c r="S214" s="215">
        <f>IF(AND(ISNUMBER(S137),ISNUMBER(S113)),IFERROR(S137/S113,""),"")</f>
        <v>0.454678791434438</v>
      </c>
      <c r="T214" s="215">
        <f>IF(AND(ISNUMBER(T137),ISNUMBER(T113)),IFERROR(T137/T113,""),"")</f>
        <v>0.482376350198977</v>
      </c>
      <c r="U214" s="215">
        <f>IF(AND(ISNUMBER(U137),ISNUMBER(U113)),IFERROR(U137/U113,""),"")</f>
        <v>0.423410809297116</v>
      </c>
      <c r="V214" s="215">
        <f>IF(AND(ISNUMBER(V137),ISNUMBER(V113)),IFERROR(V137/V113,""),"")</f>
        <v>0.455907780979827</v>
      </c>
      <c r="W214" s="215">
        <f>IF(AND(ISNUMBER(W137),ISNUMBER(W113)),IFERROR(W137/W113,""),"")</f>
        <v>0.544460028050491</v>
      </c>
      <c r="X214" s="215">
        <f>IF(AND(ISNUMBER(X137),ISNUMBER(X113)),IFERROR(X137/X113,""),"")</f>
        <v>0.470766685052399</v>
      </c>
      <c r="Y214" s="215">
        <f>IF(AND(ISNUMBER(Y137),ISNUMBER(Y113)),IFERROR(Y137/Y113,""),"")</f>
        <v>0.113498622589532</v>
      </c>
      <c r="Z214" s="215">
        <f>IF(AND(ISNUMBER(Z137),ISNUMBER(Z113)),IFERROR(Z137/Z113,""),"")</f>
        <v>0.453180004693734</v>
      </c>
      <c r="AA214" s="215">
        <f>IF(AND(ISNUMBER(AA137),ISNUMBER(AA113)),IFERROR(AA137/AA113,""),"")</f>
        <v>0.397228484285904</v>
      </c>
      <c r="AB214" s="215">
        <f>IF(AND(ISNUMBER(AB137),ISNUMBER(AB113)),IFERROR(AB137/AB113,""),"")</f>
        <v>0.464021519838601</v>
      </c>
      <c r="AC214" s="215">
        <f>IF(AND(ISNUMBER(AC137),ISNUMBER(AC113)),IFERROR(AC137/AC113,""),"")</f>
        <v>0.0960464596828233</v>
      </c>
      <c r="AD214" s="215">
        <f>IF(AND(ISNUMBER(AD137),ISNUMBER(AD113)),IFERROR(AD137/AD113,""),"")</f>
        <v>0.451040525739321</v>
      </c>
      <c r="AE214" s="215">
        <f>IF(AND(ISNUMBER(AE137),ISNUMBER(AE113)),IFERROR(AE137/AE113,""),"")</f>
        <v>0.440782698249228</v>
      </c>
      <c r="AF214" s="215">
        <f>IF(AND(ISNUMBER(AF137),ISNUMBER(AF113)),IFERROR(AF137/AF113,""),"")</f>
        <v>0.364909031484911</v>
      </c>
      <c r="AG214" s="215">
        <f>IF(AND(ISNUMBER(AG137),ISNUMBER(AG113)),IFERROR(AG137/AG113,""),"")</f>
        <v>0.518716577540107</v>
      </c>
      <c r="AH214" s="215">
        <f>IF(AND(ISNUMBER(AH137),ISNUMBER(AH113)),IFERROR(AH137/AH113,""),"")</f>
        <v>0.513502858269269</v>
      </c>
      <c r="AI214" s="215">
        <f>IF(AND(ISNUMBER(AI137),ISNUMBER(AI113)),IFERROR(AI137/AI113,""),"")</f>
        <v>0.444465648854962</v>
      </c>
      <c r="AJ214" s="215">
        <f>IF(AND(ISNUMBER(AJ137),ISNUMBER(AJ113)),IFERROR(AJ137/AJ113,""),"")</f>
        <v>0.523555391976445</v>
      </c>
      <c r="AK214" s="215">
        <f>IF(AND(ISNUMBER(AK137),ISNUMBER(AK113)),IFERROR(AK137/AK113,""),"")</f>
        <v>0.49983017128439</v>
      </c>
      <c r="AL214" s="215">
        <f>IF(AND(ISNUMBER(AL137),ISNUMBER(AL113)),IFERROR(AL137/AL113,""),"")</f>
        <v>0.54068289139121</v>
      </c>
      <c r="AM214" s="215">
        <f>IF(AND(ISNUMBER(AM137),ISNUMBER(AM113)),IFERROR(AM137/AM113,""),"")</f>
        <v>0.541863851474336</v>
      </c>
      <c r="AN214" s="215">
        <f>IF(AND(ISNUMBER(AN137),ISNUMBER(AN113)),IFERROR(AN137/AN113,""),"")</f>
        <v>0.530993150684932</v>
      </c>
      <c r="AO214" s="215">
        <f>IF(AND(ISNUMBER(AO137),ISNUMBER(AO113)),IFERROR(AO137/AO113,""),"")</f>
        <v>0.492911846178915</v>
      </c>
      <c r="AP214" s="215">
        <f>IF(AND(ISNUMBER(AP137),ISNUMBER(AP113)),IFERROR(AP137/AP113,""),"")</f>
        <v>0.525743134438787</v>
      </c>
      <c r="AQ214" s="215">
        <f>IF(AND(ISNUMBER(AQ137),ISNUMBER(AQ113)),IFERROR(AQ137/AQ113,""),"")</f>
        <v>0.540469111331351</v>
      </c>
      <c r="AR214" s="215">
        <f>IF(AND(ISNUMBER(AR137),ISNUMBER(AR113)),IFERROR(AR137/AR113,""),"")</f>
        <v>0.526819268875982</v>
      </c>
      <c r="AS214" s="215">
        <f>IF(AND(ISNUMBER(AS137),ISNUMBER(AS113)),IFERROR(AS137/AS113,""),"")</f>
        <v>0.490593342981187</v>
      </c>
      <c r="AT214" s="215">
        <f>IF(AND(ISNUMBER(AT137),ISNUMBER(AT113)),IFERROR(AT137/AT113,""),"")</f>
        <v>0.418937463242502</v>
      </c>
      <c r="AU214" s="215">
        <f>IF(AND(ISNUMBER(AU137),ISNUMBER(AU113)),IFERROR(AU137/AU113,""),"")</f>
        <v>0.497390826695963</v>
      </c>
      <c r="AV214" s="215">
        <f>IF(AND(ISNUMBER(AV137),ISNUMBER(AV113)),IFERROR(AV137/AV113,""),"")</f>
        <v>0.549674696676631</v>
      </c>
      <c r="AW214" s="215">
        <f>IF(AND(ISNUMBER(AW137),ISNUMBER(AW113)),IFERROR(AW137/AW113,""),"")</f>
        <v>0.528189910979229</v>
      </c>
      <c r="AX214" s="215">
        <f>IF(AND(ISNUMBER(AX137),ISNUMBER(AX113)),IFERROR(AX137/AX113,""),"")</f>
        <v>0.420065252854812</v>
      </c>
      <c r="AY214" s="215">
        <f>IF(AND(ISNUMBER(AY137),ISNUMBER(AY113)),IFERROR(AY137/AY113,""),"")</f>
        <v>0.546424759871932</v>
      </c>
      <c r="AZ214" s="215">
        <f>IF(AND(ISNUMBER(AZ137),ISNUMBER(AZ113)),IFERROR(AZ137/AZ113,""),"")</f>
        <v>0.510723916199959</v>
      </c>
      <c r="BA214" s="215">
        <f>IF(AND(ISNUMBER(BA137),ISNUMBER(BA113)),IFERROR(BA137/BA113,""),"")</f>
        <v>0.560844312225528</v>
      </c>
      <c r="BB214" s="215">
        <f>IF(AND(ISNUMBER(BB137),ISNUMBER(BB113)),IFERROR(BB137/BB113,""),"")</f>
        <v>0.50730282375852</v>
      </c>
      <c r="BC214" s="215">
        <f>IF(AND(ISNUMBER(BC137),ISNUMBER(BC113)),IFERROR(BC137/BC113,""),"")</f>
        <v>0.468865979381443</v>
      </c>
      <c r="BD214" s="215">
        <f>IF(AND(ISNUMBER(BD137),ISNUMBER(BD113)),IFERROR(BD137/BD113,""),"")</f>
        <v>0.505971490946449</v>
      </c>
      <c r="BE214" s="215">
        <f>IF(AND(ISNUMBER(BE137),ISNUMBER(BE113)),IFERROR(BE137/BE113,""),"")</f>
        <v>0.510303650631184</v>
      </c>
      <c r="BF214" s="215">
        <f>IF(AND(ISNUMBER(BF137),ISNUMBER(BF113)),IFERROR(BF137/BF113,""),"")</f>
        <v>0.526587701612903</v>
      </c>
      <c r="BG214" s="215">
        <f>IF(AND(ISNUMBER(BG137),ISNUMBER(BG113)),IFERROR(BG137/BG113,""),"")</f>
        <v>0.533124608641202</v>
      </c>
      <c r="BH214" s="215">
        <f>IF(AND(ISNUMBER(BH137),ISNUMBER(BH113)),IFERROR(BH137/BH113,""),"")</f>
        <v>0.511633632894251</v>
      </c>
      <c r="BI214" s="215">
        <f>IF(AND(ISNUMBER(BI137),ISNUMBER(BI113)),IFERROR(BI137/BI113,""),"")</f>
        <v>0.543733302357997</v>
      </c>
      <c r="BJ214" s="215">
        <f>IF(AND(ISNUMBER(BJ137),ISNUMBER(BJ113)),IFERROR(BJ137/BJ113,""),"")</f>
        <v>0.528986616849907</v>
      </c>
      <c r="BK214" s="215">
        <f>IF(AND(ISNUMBER(BK137),ISNUMBER(BK113)),IFERROR(BK137/BK113,""),"")</f>
        <v>0.56636553161918</v>
      </c>
      <c r="BL214" s="215">
        <f>IF(AND(ISNUMBER(BL137),ISNUMBER(BL113)),IFERROR(BL137/BL113,""),"")</f>
        <v>0.531396011396011</v>
      </c>
      <c r="BM214" s="215">
        <f>IF(AND(ISNUMBER(BM137),ISNUMBER(BM113)),IFERROR(BM137/BM113,""),"")</f>
        <v>0.547415730337079</v>
      </c>
      <c r="BN214" s="215">
        <f>IF(AND(ISNUMBER(BN137),ISNUMBER(BN113)),IFERROR(BN137/BN113,""),"")</f>
        <v>0.552979099511282</v>
      </c>
      <c r="BO214" s="215">
        <f>IF(AND(ISNUMBER(BO137),ISNUMBER(BO113)),IFERROR(BO137/BO113,""),"")</f>
        <v>0.549546289595279</v>
      </c>
      <c r="BP214" s="215">
        <f>IF(AND(ISNUMBER(BP137),ISNUMBER(BP113)),IFERROR(BP137/BP113,""),"")</f>
        <v>0.538275499474238</v>
      </c>
      <c r="BQ214" s="215">
        <f>IF(AND(ISNUMBER(BQ137),ISNUMBER(BQ113)),IFERROR(BQ137/BQ113,""),"")</f>
        <v>0.477069001459245</v>
      </c>
      <c r="BR214" s="215">
        <f>IF(AND(ISNUMBER(BR137),ISNUMBER(BR113)),IFERROR(BR137/BR113,""),"")</f>
        <v>0.518285489579237</v>
      </c>
      <c r="BS214" s="215">
        <f>IF(AND(ISNUMBER(BS137),ISNUMBER(BS113)),IFERROR(BS137/BS113,""),"")</f>
        <v>0.474636329727714</v>
      </c>
      <c r="BT214" s="215">
        <f>IF(AND(ISNUMBER(BT137),ISNUMBER(BT113)),IFERROR(BT137/BT113,""),"")</f>
        <v>0.50145</v>
      </c>
      <c r="BU214" s="215">
        <f>IF(AND(ISNUMBER(BU137),ISNUMBER(BU113)),IFERROR(BU137/BU113,""),"")</f>
        <v>0.53692321805339</v>
      </c>
      <c r="BV214" s="215">
        <f>IF(AND(ISNUMBER(BV137),ISNUMBER(BV113)),IFERROR(BV137/BV113,""),"")</f>
        <v>0.536153161175423</v>
      </c>
      <c r="BW214" s="215">
        <f>IF(AND(ISNUMBER(BW137),ISNUMBER(BW113)),IFERROR(BW137/BW113,""),"")</f>
        <v>0.483796097309379</v>
      </c>
      <c r="BX214" s="256">
        <f>IF(AND(ISNUMBER(BX137),ISNUMBER(BX113)),IFERROR(BX137/BX113,""),"")</f>
        <v>0.523111802417841</v>
      </c>
      <c r="BY214" s="256">
        <f>IF(AND(ISNUMBER(BY137),ISNUMBER(BY113)),IFERROR(BY137/BY113,""),"")</f>
        <v>0.519617044615979</v>
      </c>
      <c r="BZ214" s="256">
        <f>IF(AND(ISNUMBER(BZ137),ISNUMBER(BZ113)),IFERROR(BZ137/BZ113,""),"")</f>
        <v>0.542606572371719</v>
      </c>
      <c r="CA214" s="256">
        <f>IF(AND(ISNUMBER(CA137),ISNUMBER(CA113)),IFERROR(CA137/CA113,""),"")</f>
        <v>0.542323188563982</v>
      </c>
      <c r="CB214" s="256">
        <f>IF(AND(ISNUMBER(CB137),ISNUMBER(CB113)),IFERROR(CB137/CB113,""),"")</f>
        <v>0.544440757108912</v>
      </c>
      <c r="CC214" s="256">
        <f>IF(AND(ISNUMBER(CC137),ISNUMBER(CC113)),IFERROR(CC137/CC113,""),"")</f>
        <v>0.544396164463037</v>
      </c>
      <c r="CD214" s="256">
        <f>IF(AND(ISNUMBER(CD137),ISNUMBER(CD113)),IFERROR(CD137/CD113,""),"")</f>
        <v>0.545931735518865</v>
      </c>
      <c r="CE214" s="153" t="n"/>
      <c r="CG214" s="37">
        <f>IFERROR(AVERAGE(BZ214,CA214,CB214,CC214,CD214),"n/m")</f>
        <v>0.543939683605303</v>
      </c>
      <c r="CH214" s="37">
        <f>IFERROR(AVERAGE(AZ214,BE214,BJ214,BO214,BT214),"n/m")</f>
        <v>0.520202094655266</v>
      </c>
      <c r="CI214" s="37">
        <f>IFERROR(AVERAGE(AA214,AF214,AK214,AP214,AU214,AZ214,BE214,BJ214,BO214,BT214),"n/m")</f>
        <v>0.488611212146628</v>
      </c>
      <c r="CJ214" s="37">
        <f>IFERROR(AVERAGE(C214,D214,E214,F214,G214,L214,Q214,V214,AA214,AF214,AK214,AP214,AU214,AZ214,BE214,BJ214,BO214,BT214),"n/m")</f>
        <v>0.42403144467719</v>
      </c>
    </row>
    <row r="215" ht="15" customHeight="1" s="251">
      <c r="B215" s="25" t="inlineStr">
        <is>
          <t xml:space="preserve">  Personnel % of net revenue</t>
        </is>
      </c>
      <c r="C215" s="215">
        <f>IF(AND(ISNUMBER(C115),ISNUMBER(C113)),IFERROR(C115/C113,""),"")</f>
        <v>0.191441801053808</v>
      </c>
      <c r="D215" s="215">
        <f>IF(AND(ISNUMBER(D115),ISNUMBER(D113)),IFERROR(D115/D113,""),"")</f>
        <v>0.16538851106931</v>
      </c>
      <c r="E215" s="215">
        <f>IF(AND(ISNUMBER(E115),ISNUMBER(E113)),IFERROR(E115/E113,""),"")</f>
        <v>0.151518908865468</v>
      </c>
      <c r="F215" s="215">
        <f>IF(AND(ISNUMBER(F115),ISNUMBER(F113)),IFERROR(F115/F113,""),"")</f>
        <v>0.158794079233783</v>
      </c>
      <c r="G215" s="215">
        <f>IF(AND(ISNUMBER(G115),ISNUMBER(G113)),IFERROR(G115/G113,""),"")</f>
        <v>0.165627099126763</v>
      </c>
      <c r="H215" s="215">
        <f>IF(AND(ISNUMBER(H115),ISNUMBER(H113)),IFERROR(H115/H113,""),"")</f>
        <v>0.159522136331694</v>
      </c>
      <c r="I215" s="215">
        <f>IF(AND(ISNUMBER(I115),ISNUMBER(I113)),IFERROR(I115/I113,""),"")</f>
        <v>0.164300202839757</v>
      </c>
      <c r="J215" s="215">
        <f>IF(AND(ISNUMBER(J115),ISNUMBER(J113)),IFERROR(J115/J113,""),"")</f>
        <v>0.16427857380873</v>
      </c>
      <c r="K215" s="215">
        <f>IF(AND(ISNUMBER(K115),ISNUMBER(K113)),IFERROR(K115/K113,""),"")</f>
        <v>0.167843928691557</v>
      </c>
      <c r="L215" s="215">
        <f>IF(AND(ISNUMBER(L115),ISNUMBER(L113)),IFERROR(L115/L113,""),"")</f>
        <v>0.164034640855833</v>
      </c>
      <c r="M215" s="215">
        <f>IF(AND(ISNUMBER(M115),ISNUMBER(M113)),IFERROR(M115/M113,""),"")</f>
        <v>0.148969889064976</v>
      </c>
      <c r="N215" s="215">
        <f>IF(AND(ISNUMBER(N115),ISNUMBER(N113)),IFERROR(N115/N113,""),"")</f>
        <v>0.141005374644325</v>
      </c>
      <c r="O215" s="215">
        <f>IF(AND(ISNUMBER(O115),ISNUMBER(O113)),IFERROR(O115/O113,""),"")</f>
        <v>0.14675118858954</v>
      </c>
      <c r="P215" s="215">
        <f>IF(AND(ISNUMBER(P115),ISNUMBER(P113)),IFERROR(P115/P113,""),"")</f>
        <v>0.15360792815113</v>
      </c>
      <c r="Q215" s="215">
        <f>IF(AND(ISNUMBER(Q115),ISNUMBER(Q113)),IFERROR(Q115/Q113,""),"")</f>
        <v>0.147614548889939</v>
      </c>
      <c r="R215" s="215">
        <f>IF(AND(ISNUMBER(R115),ISNUMBER(R113)),IFERROR(R115/R113,""),"")</f>
        <v>0.15050266114725</v>
      </c>
      <c r="S215" s="215">
        <f>IF(AND(ISNUMBER(S115),ISNUMBER(S113)),IFERROR(S115/S113,""),"")</f>
        <v>0.141683778234086</v>
      </c>
      <c r="T215" s="215">
        <f>IF(AND(ISNUMBER(T115),ISNUMBER(T113)),IFERROR(T115/T113,""),"")</f>
        <v>0.160886867538374</v>
      </c>
      <c r="U215" s="215">
        <f>IF(AND(ISNUMBER(U115),ISNUMBER(U113)),IFERROR(U115/U113,""),"")</f>
        <v>0.145897507700924</v>
      </c>
      <c r="V215" s="215">
        <f>IF(AND(ISNUMBER(V115),ISNUMBER(V113)),IFERROR(V115/V113,""),"")</f>
        <v>0.14978386167147</v>
      </c>
      <c r="W215" s="215">
        <f>IF(AND(ISNUMBER(W115),ISNUMBER(W113)),IFERROR(W115/W113,""),"")</f>
        <v>0.139971949509116</v>
      </c>
      <c r="X215" s="215">
        <f>IF(AND(ISNUMBER(X115),ISNUMBER(X113)),IFERROR(X115/X113,""),"")</f>
        <v>0.14561500275786</v>
      </c>
      <c r="Y215" s="215">
        <f>IF(AND(ISNUMBER(Y115),ISNUMBER(Y113)),IFERROR(Y115/Y113,""),"")</f>
        <v>0.140220385674931</v>
      </c>
      <c r="Z215" s="215">
        <f>IF(AND(ISNUMBER(Z115),ISNUMBER(Z113)),IFERROR(Z115/Z113,""),"")</f>
        <v>0.161933818352499</v>
      </c>
      <c r="AA215" s="215">
        <f>IF(AND(ISNUMBER(AA115),ISNUMBER(AA113)),IFERROR(AA115/AA113,""),"")</f>
        <v>0.14759315740618</v>
      </c>
      <c r="AB215" s="215">
        <f>IF(AND(ISNUMBER(AB115),ISNUMBER(AB113)),IFERROR(AB115/AB113,""),"")</f>
        <v>0.127998206680117</v>
      </c>
      <c r="AC215" s="215">
        <f>IF(AND(ISNUMBER(AC115),ISNUMBER(AC113)),IFERROR(AC115/AC113,""),"")</f>
        <v>0.157248157248157</v>
      </c>
      <c r="AD215" s="215">
        <f>IF(AND(ISNUMBER(AD115),ISNUMBER(AD113)),IFERROR(AD115/AD113,""),"")</f>
        <v>0.152902519167579</v>
      </c>
      <c r="AE215" s="215">
        <f>IF(AND(ISNUMBER(AE115),ISNUMBER(AE113)),IFERROR(AE115/AE113,""),"")</f>
        <v>0.134912461380021</v>
      </c>
      <c r="AF215" s="215">
        <f>IF(AND(ISNUMBER(AF115),ISNUMBER(AF113)),IFERROR(AF115/AF113,""),"")</f>
        <v>0.143152848894215</v>
      </c>
      <c r="AG215" s="215">
        <f>IF(AND(ISNUMBER(AG115),ISNUMBER(AG113)),IFERROR(AG115/AG113,""),"")</f>
        <v>0.139654463183875</v>
      </c>
      <c r="AH215" s="215">
        <f>IF(AND(ISNUMBER(AH115),ISNUMBER(AH113)),IFERROR(AH115/AH113,""),"")</f>
        <v>0.162428543268283</v>
      </c>
      <c r="AI215" s="215">
        <f>IF(AND(ISNUMBER(AI115),ISNUMBER(AI113)),IFERROR(AI115/AI113,""),"")</f>
        <v>0.162595419847328</v>
      </c>
      <c r="AJ215" s="215">
        <f>IF(AND(ISNUMBER(AJ115),ISNUMBER(AJ113)),IFERROR(AJ115/AJ113,""),"")</f>
        <v>0.149981597350018</v>
      </c>
      <c r="AK215" s="215">
        <f>IF(AND(ISNUMBER(AK115),ISNUMBER(AK113)),IFERROR(AK115/AK113,""),"")</f>
        <v>0.153816293852201</v>
      </c>
      <c r="AL215" s="215">
        <f>IF(AND(ISNUMBER(AL115),ISNUMBER(AL113)),IFERROR(AL115/AL113,""),"")</f>
        <v>0.146567381038867</v>
      </c>
      <c r="AM215" s="215">
        <f>IF(AND(ISNUMBER(AM115),ISNUMBER(AM113)),IFERROR(AM115/AM113,""),"")</f>
        <v>0.162722970513287</v>
      </c>
      <c r="AN215" s="215">
        <f>IF(AND(ISNUMBER(AN115),ISNUMBER(AN113)),IFERROR(AN115/AN113,""),"")</f>
        <v>0.149315068493151</v>
      </c>
      <c r="AO215" s="215">
        <f>IF(AND(ISNUMBER(AO115),ISNUMBER(AO113)),IFERROR(AO115/AO113,""),"")</f>
        <v>0.141926022486557</v>
      </c>
      <c r="AP215" s="215">
        <f>IF(AND(ISNUMBER(AP115),ISNUMBER(AP113)),IFERROR(AP115/AP113,""),"")</f>
        <v>0.149889019454237</v>
      </c>
      <c r="AQ215" s="215">
        <f>IF(AND(ISNUMBER(AQ115),ISNUMBER(AQ113)),IFERROR(AQ115/AQ113,""),"")</f>
        <v>0.162206805417906</v>
      </c>
      <c r="AR215" s="215">
        <f>IF(AND(ISNUMBER(AR115),ISNUMBER(AR113)),IFERROR(AR115/AR113,""),"")</f>
        <v>0.16057396651862</v>
      </c>
      <c r="AS215" s="215">
        <f>IF(AND(ISNUMBER(AS115),ISNUMBER(AS113)),IFERROR(AS115/AS113,""),"")</f>
        <v>0.194542071531941</v>
      </c>
      <c r="AT215" s="215">
        <f>IF(AND(ISNUMBER(AT115),ISNUMBER(AT113)),IFERROR(AT115/AT113,""),"")</f>
        <v>0.180748872770045</v>
      </c>
      <c r="AU215" s="215">
        <f>IF(AND(ISNUMBER(AU115),ISNUMBER(AU113)),IFERROR(AU115/AU113,""),"")</f>
        <v>0.173258262382129</v>
      </c>
      <c r="AV215" s="215">
        <f>IF(AND(ISNUMBER(AV115),ISNUMBER(AV113)),IFERROR(AV115/AV113,""),"")</f>
        <v>0.172498681202743</v>
      </c>
      <c r="AW215" s="215">
        <f>IF(AND(ISNUMBER(AW115),ISNUMBER(AW113)),IFERROR(AW115/AW113,""),"")</f>
        <v>0.194449293070344</v>
      </c>
      <c r="AX215" s="215">
        <f>IF(AND(ISNUMBER(AX115),ISNUMBER(AX113)),IFERROR(AX115/AX113,""),"")</f>
        <v>0.179119086460033</v>
      </c>
      <c r="AY215" s="215">
        <f>IF(AND(ISNUMBER(AY115),ISNUMBER(AY113)),IFERROR(AY115/AY113,""),"")</f>
        <v>0.159627992071962</v>
      </c>
      <c r="AZ215" s="215">
        <f>IF(AND(ISNUMBER(AZ115),ISNUMBER(AZ113)),IFERROR(AZ115/AZ113,""),"")</f>
        <v>0.175897116780751</v>
      </c>
      <c r="BA215" s="215">
        <f>IF(AND(ISNUMBER(BA115),ISNUMBER(BA113)),IFERROR(BA115/BA113,""),"")</f>
        <v>0.159371015724607</v>
      </c>
      <c r="BB215" s="215">
        <f>IF(AND(ISNUMBER(BB115),ISNUMBER(BB113)),IFERROR(BB115/BB113,""),"")</f>
        <v>0.170538322437057</v>
      </c>
      <c r="BC215" s="215">
        <f>IF(AND(ISNUMBER(BC115),ISNUMBER(BC113)),IFERROR(BC115/BC113,""),"")</f>
        <v>0.176357388316151</v>
      </c>
      <c r="BD215" s="215">
        <f>IF(AND(ISNUMBER(BD115),ISNUMBER(BD113)),IFERROR(BD115/BD113,""),"")</f>
        <v>0.174136381148067</v>
      </c>
      <c r="BE215" s="215">
        <f>IF(AND(ISNUMBER(BE115),ISNUMBER(BE113)),IFERROR(BE115/BE113,""),"")</f>
        <v>0.170249061753668</v>
      </c>
      <c r="BF215" s="215">
        <f>IF(AND(ISNUMBER(BF115),ISNUMBER(BF113)),IFERROR(BF115/BF113,""),"")</f>
        <v>0.168472782258065</v>
      </c>
      <c r="BG215" s="215">
        <f>IF(AND(ISNUMBER(BG115),ISNUMBER(BG113)),IFERROR(BG115/BG113,""),"")</f>
        <v>0.189730745147151</v>
      </c>
      <c r="BH215" s="215">
        <f>IF(AND(ISNUMBER(BH115),ISNUMBER(BH113)),IFERROR(BH115/BH113,""),"")</f>
        <v>0.182321802289794</v>
      </c>
      <c r="BI215" s="215">
        <f>IF(AND(ISNUMBER(BI115),ISNUMBER(BI113)),IFERROR(BI115/BI113,""),"")</f>
        <v>0.174003949355326</v>
      </c>
      <c r="BJ215" s="215">
        <f>IF(AND(ISNUMBER(BJ115),ISNUMBER(BJ113)),IFERROR(BJ115/BJ113,""),"")</f>
        <v>0.178574709827581</v>
      </c>
      <c r="BK215" s="215">
        <f>IF(AND(ISNUMBER(BK115),ISNUMBER(BK113)),IFERROR(BK115/BK113,""),"")</f>
        <v>0.171299513551077</v>
      </c>
      <c r="BL215" s="215">
        <f>IF(AND(ISNUMBER(BL115),ISNUMBER(BL113)),IFERROR(BL115/BL113,""),"")</f>
        <v>0.182678062678063</v>
      </c>
      <c r="BM215" s="215">
        <f>IF(AND(ISNUMBER(BM115),ISNUMBER(BM113)),IFERROR(BM115/BM113,""),"")</f>
        <v>0.176741573033708</v>
      </c>
      <c r="BN215" s="215">
        <f>IF(AND(ISNUMBER(BN115),ISNUMBER(BN113)),IFERROR(BN115/BN113,""),"")</f>
        <v>0.167307892274098</v>
      </c>
      <c r="BO215" s="215">
        <f>IF(AND(ISNUMBER(BO115),ISNUMBER(BO113)),IFERROR(BO115/BO113,""),"")</f>
        <v>0.174358403384735</v>
      </c>
      <c r="BP215" s="215">
        <f>IF(AND(ISNUMBER(BP115),ISNUMBER(BP113)),IFERROR(BP115/BP113,""),"")</f>
        <v>0.190641430073607</v>
      </c>
      <c r="BQ215" s="215">
        <f>IF(AND(ISNUMBER(BQ115),ISNUMBER(BQ113)),IFERROR(BQ115/BQ113,""),"")</f>
        <v>0.172712111736502</v>
      </c>
      <c r="BR215" s="215">
        <f>IF(AND(ISNUMBER(BR115),ISNUMBER(BR113)),IFERROR(BR115/BR113,""),"")</f>
        <v>0.171942587495085</v>
      </c>
      <c r="BS215" s="215">
        <f>IF(AND(ISNUMBER(BS115),ISNUMBER(BS113)),IFERROR(BS115/BS113,""),"")</f>
        <v>0.162439388287952</v>
      </c>
      <c r="BT215" s="215">
        <f>IF(AND(ISNUMBER(BT115),ISNUMBER(BT113)),IFERROR(BT115/BT113,""),"")</f>
        <v>0.174025</v>
      </c>
      <c r="BU215" s="215">
        <f>IF(AND(ISNUMBER(BU115),ISNUMBER(BU113)),IFERROR(BU115/BU113,""),"")</f>
        <v>0.161820016512247</v>
      </c>
      <c r="BV215" s="215">
        <f>IF(AND(ISNUMBER(BV115),ISNUMBER(BV113)),IFERROR(BV115/BV113,""),"")</f>
        <v>0.16393588601959</v>
      </c>
      <c r="BW215" s="215">
        <f>IF(AND(ISNUMBER(BW115),ISNUMBER(BW113)),IFERROR(BW115/BW113,""),"")</f>
        <v>0.211295452591765</v>
      </c>
      <c r="BX215" s="256">
        <f>IF(AND(ISNUMBER(BX115),ISNUMBER(BX113)),IFERROR(BX115/BX113,""),"")</f>
        <v>0.17256052216536</v>
      </c>
      <c r="BY215" s="256">
        <f>IF(AND(ISNUMBER(BY115),ISNUMBER(BY113)),IFERROR(BY115/BY113,""),"")</f>
        <v>0.177718665023815</v>
      </c>
      <c r="BZ215" s="256">
        <f>IF(AND(ISNUMBER(BZ115),ISNUMBER(BZ113)),IFERROR(BZ115/BZ113,""),"")</f>
        <v>0.164473684210526</v>
      </c>
      <c r="CA215" s="256">
        <f>IF(AND(ISNUMBER(CA115),ISNUMBER(CA113)),IFERROR(CA115/CA113,""),"")</f>
        <v>0.163461538461538</v>
      </c>
      <c r="CB215" s="256">
        <f>IF(AND(ISNUMBER(CB115),ISNUMBER(CB113)),IFERROR(CB115/CB113,""),"")</f>
        <v>0.161943319838057</v>
      </c>
      <c r="CC215" s="256">
        <f>IF(AND(ISNUMBER(CC115),ISNUMBER(CC113)),IFERROR(CC115/CC113,""),"")</f>
        <v>0.161943319838057</v>
      </c>
      <c r="CD215" s="256">
        <f>IF(AND(ISNUMBER(CD115),ISNUMBER(CD113)),IFERROR(CD115/CD113,""),"")</f>
        <v>0.160931174089069</v>
      </c>
      <c r="CE215" s="153" t="n"/>
      <c r="CG215" s="37">
        <f>IFERROR(AVERAGE(BZ215,CA215,CB215,CC215,CD215),"n/m")</f>
        <v>0.162550607287449</v>
      </c>
      <c r="CH215" s="37">
        <f>IFERROR(AVERAGE(AZ215,BE215,BJ215,BO215,BT215),"n/m")</f>
        <v>0.174620858349347</v>
      </c>
      <c r="CI215" s="37">
        <f>IFERROR(AVERAGE(AA215,AF215,AK215,AP215,AU215,AZ215,BE215,BJ215,BO215,BT215),"n/m")</f>
        <v>0.16408138737357</v>
      </c>
      <c r="CJ215" s="37">
        <f>IFERROR(AVERAGE(C215,D215,E215,F215,G215,L215,Q215,V215,AA215,AF215,AK215,AP215,AU215,AZ215,BE215,BJ215,BO215,BT215),"n/m")</f>
        <v>0.163056518027893</v>
      </c>
    </row>
    <row r="216" ht="15" customHeight="1" s="251">
      <c r="B216" s="25" t="inlineStr">
        <is>
          <t xml:space="preserve">  Marketing % of net revenue</t>
        </is>
      </c>
      <c r="C216" s="215">
        <f>IF(AND(ISNUMBER(C116),ISNUMBER(C113)),IFERROR(C116/C113,""),"")</f>
        <v>0.162222577039757</v>
      </c>
      <c r="D216" s="215">
        <f>IF(AND(ISNUMBER(D116),ISNUMBER(D113)),IFERROR(D116/D113,""),"")</f>
        <v>0.132831717551729</v>
      </c>
      <c r="E216" s="215">
        <f>IF(AND(ISNUMBER(E116),ISNUMBER(E113)),IFERROR(E116/E113,""),"")</f>
        <v>0.119528828270304</v>
      </c>
      <c r="F216" s="215">
        <f>IF(AND(ISNUMBER(F116),ISNUMBER(F113)),IFERROR(F116/F113,""),"")</f>
        <v>0.0946887244231607</v>
      </c>
      <c r="G216" s="215">
        <f>IF(AND(ISNUMBER(G116),ISNUMBER(G113)),IFERROR(G116/G113,""),"")</f>
        <v>0.0837731503694463</v>
      </c>
      <c r="H216" s="215">
        <f>IF(AND(ISNUMBER(H116),ISNUMBER(H113)),IFERROR(H116/H113,""),"")</f>
        <v>0.0678144764581869</v>
      </c>
      <c r="I216" s="215">
        <f>IF(AND(ISNUMBER(I116),ISNUMBER(I113)),IFERROR(I116/I113,""),"")</f>
        <v>0.0659229208924949</v>
      </c>
      <c r="J216" s="215">
        <f>IF(AND(ISNUMBER(J116),ISNUMBER(J113)),IFERROR(J116/J113,""),"")</f>
        <v>0.0839720093302233</v>
      </c>
      <c r="K216" s="215">
        <f>IF(AND(ISNUMBER(K116),ISNUMBER(K113)),IFERROR(K116/K113,""),"")</f>
        <v>0.079381096535486</v>
      </c>
      <c r="L216" s="215">
        <f>IF(AND(ISNUMBER(L116),ISNUMBER(L113)),IFERROR(L116/L113,""),"")</f>
        <v>0.0743759551706572</v>
      </c>
      <c r="M216" s="215">
        <f>IF(AND(ISNUMBER(M116),ISNUMBER(M113)),IFERROR(M116/M113,""),"")</f>
        <v>0.0589540412044374</v>
      </c>
      <c r="N216" s="215">
        <f>IF(AND(ISNUMBER(N116),ISNUMBER(N113)),IFERROR(N116/N113,""),"")</f>
        <v>0.0774581093898198</v>
      </c>
      <c r="O216" s="215">
        <f>IF(AND(ISNUMBER(O116),ISNUMBER(O113)),IFERROR(O116/O113,""),"")</f>
        <v>0.0722662440570523</v>
      </c>
      <c r="P216" s="215">
        <f>IF(AND(ISNUMBER(P116),ISNUMBER(P113)),IFERROR(P116/P113,""),"")</f>
        <v>0.0746361102508517</v>
      </c>
      <c r="Q216" s="215">
        <f>IF(AND(ISNUMBER(Q116),ISNUMBER(Q113)),IFERROR(Q116/Q113,""),"")</f>
        <v>0.0708549834671705</v>
      </c>
      <c r="R216" s="215">
        <f>IF(AND(ISNUMBER(R116),ISNUMBER(R113)),IFERROR(R116/R113,""),"")</f>
        <v>0.0606150206978119</v>
      </c>
      <c r="S216" s="215">
        <f>IF(AND(ISNUMBER(S116),ISNUMBER(S113)),IFERROR(S116/S113,""),"")</f>
        <v>0.0557348195951892</v>
      </c>
      <c r="T216" s="215">
        <f>IF(AND(ISNUMBER(T116),ISNUMBER(T113)),IFERROR(T116/T113,""),"")</f>
        <v>0.0636725412166004</v>
      </c>
      <c r="U216" s="215">
        <f>IF(AND(ISNUMBER(U116),ISNUMBER(U113)),IFERROR(U116/U113,""),"")</f>
        <v>0.0708485018202184</v>
      </c>
      <c r="V216" s="215">
        <f>IF(AND(ISNUMBER(V116),ISNUMBER(V113)),IFERROR(V116/V113,""),"")</f>
        <v>0.0628242074927954</v>
      </c>
      <c r="W216" s="215">
        <f>IF(AND(ISNUMBER(W116),ISNUMBER(W113)),IFERROR(W116/W113,""),"")</f>
        <v>0.0544179523141655</v>
      </c>
      <c r="X216" s="215">
        <f>IF(AND(ISNUMBER(X116),ISNUMBER(X113)),IFERROR(X116/X113,""),"")</f>
        <v>0.051296194153337</v>
      </c>
      <c r="Y216" s="215">
        <f>IF(AND(ISNUMBER(Y116),ISNUMBER(Y113)),IFERROR(Y116/Y113,""),"")</f>
        <v>0.0520661157024793</v>
      </c>
      <c r="Z216" s="215">
        <f>IF(AND(ISNUMBER(Z116),ISNUMBER(Z113)),IFERROR(Z116/Z113,""),"")</f>
        <v>0.0704060079793476</v>
      </c>
      <c r="AA216" s="215">
        <f>IF(AND(ISNUMBER(AA116),ISNUMBER(AA113)),IFERROR(AA116/AA113,""),"")</f>
        <v>0.0576183530035804</v>
      </c>
      <c r="AB216" s="215">
        <f>IF(AND(ISNUMBER(AB116),ISNUMBER(AB113)),IFERROR(AB116/AB113,""),"")</f>
        <v>0.0488679668235822</v>
      </c>
      <c r="AC216" s="215">
        <f>IF(AND(ISNUMBER(AC116),ISNUMBER(AC113)),IFERROR(AC116/AC113,""),"")</f>
        <v>0.0431092249274067</v>
      </c>
      <c r="AD216" s="215">
        <f>IF(AND(ISNUMBER(AD116),ISNUMBER(AD113)),IFERROR(AD116/AD113,""),"")</f>
        <v>0.0484118291347207</v>
      </c>
      <c r="AE216" s="215">
        <f>IF(AND(ISNUMBER(AE116),ISNUMBER(AE113)),IFERROR(AE116/AE113,""),"")</f>
        <v>0.0597322348094748</v>
      </c>
      <c r="AF216" s="215">
        <f>IF(AND(ISNUMBER(AF116),ISNUMBER(AF113)),IFERROR(AF116/AF113,""),"")</f>
        <v>0.0502233358753677</v>
      </c>
      <c r="AG216" s="215">
        <f>IF(AND(ISNUMBER(AG116),ISNUMBER(AG113)),IFERROR(AG116/AG113,""),"")</f>
        <v>0.0458658988070753</v>
      </c>
      <c r="AH216" s="215">
        <f>IF(AND(ISNUMBER(AH116),ISNUMBER(AH113)),IFERROR(AH116/AH113,""),"")</f>
        <v>0.0514488468361916</v>
      </c>
      <c r="AI216" s="215">
        <f>IF(AND(ISNUMBER(AI116),ISNUMBER(AI113)),IFERROR(AI116/AI113,""),"")</f>
        <v>0.0458015267175573</v>
      </c>
      <c r="AJ216" s="215">
        <f>IF(AND(ISNUMBER(AJ116),ISNUMBER(AJ113)),IFERROR(AJ116/AJ113,""),"")</f>
        <v>0.048582995951417</v>
      </c>
      <c r="AK216" s="215">
        <f>IF(AND(ISNUMBER(AK116),ISNUMBER(AK113)),IFERROR(AK116/AK113,""),"")</f>
        <v>0.0479402202921054</v>
      </c>
      <c r="AL216" s="215">
        <f>IF(AND(ISNUMBER(AL116),ISNUMBER(AL113)),IFERROR(AL116/AL113,""),"")</f>
        <v>0.0501271340355975</v>
      </c>
      <c r="AM216" s="215">
        <f>IF(AND(ISNUMBER(AM116),ISNUMBER(AM113)),IFERROR(AM116/AM113,""),"")</f>
        <v>0.0438660356752821</v>
      </c>
      <c r="AN216" s="215">
        <f>IF(AND(ISNUMBER(AN116),ISNUMBER(AN113)),IFERROR(AN116/AN113,""),"")</f>
        <v>0.0482876712328767</v>
      </c>
      <c r="AO216" s="215">
        <f>IF(AND(ISNUMBER(AO116),ISNUMBER(AO113)),IFERROR(AO116/AO113,""),"")</f>
        <v>0.0498614958448754</v>
      </c>
      <c r="AP216" s="215">
        <f>IF(AND(ISNUMBER(AP116),ISNUMBER(AP113)),IFERROR(AP116/AP113,""),"")</f>
        <v>0.0480915698307003</v>
      </c>
      <c r="AQ216" s="215">
        <f>IF(AND(ISNUMBER(AQ116),ISNUMBER(AQ113)),IFERROR(AQ116/AQ113,""),"")</f>
        <v>0.0452593326726131</v>
      </c>
      <c r="AR216" s="215">
        <f>IF(AND(ISNUMBER(AR116),ISNUMBER(AR113)),IFERROR(AR116/AR113,""),"")</f>
        <v>0.0401434916296549</v>
      </c>
      <c r="AS216" s="215">
        <f>IF(AND(ISNUMBER(AS116),ISNUMBER(AS113)),IFERROR(AS116/AS113,""),"")</f>
        <v>0.0359727103576597</v>
      </c>
      <c r="AT216" s="215">
        <f>IF(AND(ISNUMBER(AT116),ISNUMBER(AT113)),IFERROR(AT116/AT113,""),"")</f>
        <v>0.0564595177416193</v>
      </c>
      <c r="AU216" s="215">
        <f>IF(AND(ISNUMBER(AU116),ISNUMBER(AU113)),IFERROR(AU116/AU113,""),"")</f>
        <v>0.0444474961091275</v>
      </c>
      <c r="AV216" s="215">
        <f>IF(AND(ISNUMBER(AV116),ISNUMBER(AV113)),IFERROR(AV116/AV113,""),"")</f>
        <v>0.03604712502198</v>
      </c>
      <c r="AW216" s="215">
        <f>IF(AND(ISNUMBER(AW116),ISNUMBER(AW113)),IFERROR(AW116/AW113,""),"")</f>
        <v>0.0359574096700995</v>
      </c>
      <c r="AX216" s="215">
        <f>IF(AND(ISNUMBER(AX116),ISNUMBER(AX113)),IFERROR(AX116/AX113,""),"")</f>
        <v>0.0437194127243067</v>
      </c>
      <c r="AY216" s="215">
        <f>IF(AND(ISNUMBER(AY116),ISNUMBER(AY113)),IFERROR(AY116/AY113,""),"")</f>
        <v>0.0696752553742949</v>
      </c>
      <c r="AZ216" s="215">
        <f>IF(AND(ISNUMBER(AZ116),ISNUMBER(AZ113)),IFERROR(AZ116/AZ113,""),"")</f>
        <v>0.0471271520431446</v>
      </c>
      <c r="BA216" s="215">
        <f>IF(AND(ISNUMBER(BA116),ISNUMBER(BA113)),IFERROR(BA116/BA113,""),"")</f>
        <v>0.0396656750247911</v>
      </c>
      <c r="BB216" s="215">
        <f>IF(AND(ISNUMBER(BB116),ISNUMBER(BB113)),IFERROR(BB116/BB113,""),"")</f>
        <v>0.0436778411461956</v>
      </c>
      <c r="BC216" s="215">
        <f>IF(AND(ISNUMBER(BC116),ISNUMBER(BC113)),IFERROR(BC116/BC113,""),"")</f>
        <v>0.0430240549828179</v>
      </c>
      <c r="BD216" s="215">
        <f>IF(AND(ISNUMBER(BD116),ISNUMBER(BD113)),IFERROR(BD116/BD113,""),"")</f>
        <v>0.0550918196994992</v>
      </c>
      <c r="BE216" s="215">
        <f>IF(AND(ISNUMBER(BE116),ISNUMBER(BE113)),IFERROR(BE116/BE113,""),"")</f>
        <v>0.0455817127260321</v>
      </c>
      <c r="BF216" s="215">
        <f>IF(AND(ISNUMBER(BF116),ISNUMBER(BF113)),IFERROR(BF116/BF113,""),"")</f>
        <v>0.0418346774193548</v>
      </c>
      <c r="BG216" s="215">
        <f>IF(AND(ISNUMBER(BG116),ISNUMBER(BG113)),IFERROR(BG116/BG113,""),"")</f>
        <v>0.0386975579211021</v>
      </c>
      <c r="BH216" s="215">
        <f>IF(AND(ISNUMBER(BH116),ISNUMBER(BH113)),IFERROR(BH116/BH113,""),"")</f>
        <v>0.0365628462390742</v>
      </c>
      <c r="BI216" s="215">
        <f>IF(AND(ISNUMBER(BI116),ISNUMBER(BI113)),IFERROR(BI116/BI113,""),"")</f>
        <v>0.0468114763619468</v>
      </c>
      <c r="BJ216" s="215">
        <f>IF(AND(ISNUMBER(BJ116),ISNUMBER(BJ113)),IFERROR(BJ116/BJ113,""),"")</f>
        <v>0.0410682020028788</v>
      </c>
      <c r="BK216" s="215">
        <f>IF(AND(ISNUMBER(BK116),ISNUMBER(BK113)),IFERROR(BK116/BK113,""),"")</f>
        <v>0.0339356034283067</v>
      </c>
      <c r="BL216" s="215">
        <f>IF(AND(ISNUMBER(BL116),ISNUMBER(BL113)),IFERROR(BL116/BL113,""),"")</f>
        <v>0.0385185185185185</v>
      </c>
      <c r="BM216" s="215">
        <f>IF(AND(ISNUMBER(BM116),ISNUMBER(BM113)),IFERROR(BM116/BM113,""),"")</f>
        <v>0.0424719101123596</v>
      </c>
      <c r="BN216" s="215">
        <f>IF(AND(ISNUMBER(BN116),ISNUMBER(BN113)),IFERROR(BN116/BN113,""),"")</f>
        <v>0.0572943745450764</v>
      </c>
      <c r="BO216" s="215">
        <f>IF(AND(ISNUMBER(BO116),ISNUMBER(BO113)),IFERROR(BO116/BO113,""),"")</f>
        <v>0.0434225908812559</v>
      </c>
      <c r="BP216" s="215">
        <f>IF(AND(ISNUMBER(BP116),ISNUMBER(BP113)),IFERROR(BP116/BP113,""),"")</f>
        <v>0.0321766561514196</v>
      </c>
      <c r="BQ216" s="215">
        <f>IF(AND(ISNUMBER(BQ116),ISNUMBER(BQ113)),IFERROR(BQ116/BQ113,""),"")</f>
        <v>0.0397123202001251</v>
      </c>
      <c r="BR216" s="215">
        <f>IF(AND(ISNUMBER(BR116),ISNUMBER(BR113)),IFERROR(BR116/BR113,""),"")</f>
        <v>0.0413881242626819</v>
      </c>
      <c r="BS216" s="215">
        <f>IF(AND(ISNUMBER(BS116),ISNUMBER(BS113)),IFERROR(BS116/BS113,""),"")</f>
        <v>0.0537113017530772</v>
      </c>
      <c r="BT216" s="215">
        <f>IF(AND(ISNUMBER(BT116),ISNUMBER(BT113)),IFERROR(BT116/BT113,""),"")</f>
        <v>0.0421</v>
      </c>
      <c r="BU216" s="215">
        <f>IF(AND(ISNUMBER(BU116),ISNUMBER(BU113)),IFERROR(BU116/BU113,""),"")</f>
        <v>0.0376112283276764</v>
      </c>
      <c r="BV216" s="215">
        <f>IF(AND(ISNUMBER(BV116),ISNUMBER(BV113)),IFERROR(BV116/BV113,""),"")</f>
        <v>0.0485307212822796</v>
      </c>
      <c r="BW216" s="215">
        <f>IF(AND(ISNUMBER(BW116),ISNUMBER(BW113)),IFERROR(BW116/BW113,""),"")</f>
        <v>0.0557895641708932</v>
      </c>
      <c r="BX216" s="256">
        <f>IF(AND(ISNUMBER(BX116),ISNUMBER(BX113)),IFERROR(BX116/BX113,""),"")</f>
        <v>0.0503249231914978</v>
      </c>
      <c r="BY216" s="256">
        <f>IF(AND(ISNUMBER(BY116),ISNUMBER(BY113)),IFERROR(BY116/BY113,""),"")</f>
        <v>0.0482506793109245</v>
      </c>
      <c r="BZ216" s="256">
        <f>IF(AND(ISNUMBER(BZ116),ISNUMBER(BZ113)),IFERROR(BZ116/BZ113,""),"")</f>
        <v>0.0479665071770335</v>
      </c>
      <c r="CA216" s="256">
        <f>IF(AND(ISNUMBER(CA116),ISNUMBER(CA113)),IFERROR(CA116/CA113,""),"")</f>
        <v>0.0476713286713287</v>
      </c>
      <c r="CB216" s="256">
        <f>IF(AND(ISNUMBER(CB116),ISNUMBER(CB113)),IFERROR(CB116/CB113,""),"")</f>
        <v>0.0472285609127714</v>
      </c>
      <c r="CC216" s="256">
        <f>IF(AND(ISNUMBER(CC116),ISNUMBER(CC113)),IFERROR(CC116/CC113,""),"")</f>
        <v>0.0472285609127714</v>
      </c>
      <c r="CD216" s="256">
        <f>IF(AND(ISNUMBER(CD116),ISNUMBER(CD113)),IFERROR(CD116/CD113,""),"")</f>
        <v>0.0469333824070666</v>
      </c>
      <c r="CE216" s="153" t="n"/>
      <c r="CG216" s="37">
        <f>IFERROR(AVERAGE(BZ216,CA216,CB216,CC216,CD216),"n/m")</f>
        <v>0.0474056680161943</v>
      </c>
      <c r="CH216" s="37">
        <f>IFERROR(AVERAGE(AZ216,BE216,BJ216,BO216,BT216),"n/m")</f>
        <v>0.0438599315306623</v>
      </c>
      <c r="CI216" s="37">
        <f>IFERROR(AVERAGE(AA216,AF216,AK216,AP216,AU216,AZ216,BE216,BJ216,BO216,BT216),"n/m")</f>
        <v>0.0467620632764193</v>
      </c>
      <c r="CJ216" s="37">
        <f>IFERROR(AVERAGE(C216,D216,E216,F216,G216,L216,Q216,V216,AA216,AF216,AK216,AP216,AU216,AZ216,BE216,BJ216,BO216,BT216),"n/m")</f>
        <v>0.0704844875860674</v>
      </c>
    </row>
    <row r="217" ht="15" customHeight="1" s="251">
      <c r="CM217" s="11" t="n"/>
      <c r="CN217" s="12" t="n"/>
      <c r="CO217" s="12" t="n"/>
      <c r="CP217" s="12" t="n"/>
      <c r="CQ217" s="13" t="n"/>
    </row>
    <row r="218" ht="15" customHeight="1" s="251">
      <c r="B218" s="10" t="inlineStr">
        <is>
          <t>CONSOLIDATED STATEMENT OF CASH FLOWS</t>
        </is>
      </c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inlineStr">
        <is>
          <t>CASH FLOW — forecast logic (annual; 2026E = 9M FY26 actual + Q4 estimate; quarters = discrete, derived from year-to-date statements)</t>
        </is>
      </c>
    </row>
    <row r="219" ht="15" customHeight="1" s="251">
      <c r="B219" s="25" t="inlineStr">
        <is>
          <t>Net income</t>
        </is>
      </c>
      <c r="C219" s="253" t="n">
        <v>804</v>
      </c>
      <c r="D219" s="253" t="n">
        <v>2353</v>
      </c>
      <c r="E219" s="253" t="n">
        <v>2964</v>
      </c>
      <c r="F219" s="253" t="n">
        <v>3646</v>
      </c>
      <c r="G219" s="253" t="n">
        <v>2142</v>
      </c>
      <c r="H219" s="253" t="n">
        <v>1293</v>
      </c>
      <c r="I219" s="253" t="n">
        <v>1270</v>
      </c>
      <c r="J219" s="253" t="n">
        <v>1225</v>
      </c>
      <c r="K219" s="253" t="n">
        <v>1192</v>
      </c>
      <c r="L219" s="253" t="n">
        <v>4980</v>
      </c>
      <c r="M219" s="253" t="n">
        <v>1407</v>
      </c>
      <c r="N219" s="253" t="n">
        <v>1598</v>
      </c>
      <c r="O219" s="253" t="n">
        <v>1360</v>
      </c>
      <c r="P219" s="253" t="n">
        <v>1073</v>
      </c>
      <c r="Q219" s="253" t="n">
        <v>5438</v>
      </c>
      <c r="R219" s="253" t="n">
        <v>1569</v>
      </c>
      <c r="S219" s="253" t="n">
        <v>1550</v>
      </c>
      <c r="T219" s="253" t="n">
        <v>1697</v>
      </c>
      <c r="U219" s="253" t="n">
        <v>1512</v>
      </c>
      <c r="V219" s="253" t="n">
        <v>6328</v>
      </c>
      <c r="W219" s="253" t="n">
        <v>1941</v>
      </c>
      <c r="X219" s="253" t="n">
        <v>1707</v>
      </c>
      <c r="Y219" s="253" t="n">
        <v>412</v>
      </c>
      <c r="Z219" s="253" t="n">
        <v>1931</v>
      </c>
      <c r="AA219" s="253" t="n">
        <v>5991</v>
      </c>
      <c r="AB219" s="253" t="n">
        <v>2070</v>
      </c>
      <c r="AC219" s="253" t="n">
        <v>430</v>
      </c>
      <c r="AD219" s="253" t="n">
        <v>2059</v>
      </c>
      <c r="AE219" s="253" t="n">
        <v>2140</v>
      </c>
      <c r="AF219" s="253" t="n">
        <v>6699</v>
      </c>
      <c r="AG219" s="253" t="n">
        <v>2522</v>
      </c>
      <c r="AH219" s="253" t="n">
        <v>2605</v>
      </c>
      <c r="AI219" s="253" t="n">
        <v>2329</v>
      </c>
      <c r="AJ219" s="253" t="n">
        <v>2845</v>
      </c>
      <c r="AK219" s="253" t="n">
        <v>10301</v>
      </c>
      <c r="AL219" s="253" t="n">
        <v>2977</v>
      </c>
      <c r="AM219" s="253" t="n">
        <v>2977</v>
      </c>
      <c r="AN219" s="253" t="n">
        <v>3101</v>
      </c>
      <c r="AO219" s="253" t="n">
        <v>3025</v>
      </c>
      <c r="AP219" s="253" t="n">
        <v>12080</v>
      </c>
      <c r="AQ219" s="253" t="n">
        <v>3272</v>
      </c>
      <c r="AR219" s="253" t="n">
        <v>3084</v>
      </c>
      <c r="AS219" s="253" t="n">
        <v>2373</v>
      </c>
      <c r="AT219" s="253" t="n">
        <v>2137</v>
      </c>
      <c r="AU219" s="253" t="n">
        <v>10866</v>
      </c>
      <c r="AV219" s="253" t="n">
        <v>3126</v>
      </c>
      <c r="AW219" s="253" t="n">
        <v>3026</v>
      </c>
      <c r="AX219" s="253" t="n">
        <v>2575</v>
      </c>
      <c r="AY219" s="253" t="n">
        <v>3584</v>
      </c>
      <c r="AZ219" s="253" t="n">
        <v>12311</v>
      </c>
      <c r="BA219" s="253" t="n">
        <v>3959</v>
      </c>
      <c r="BB219" s="253" t="n">
        <v>3647</v>
      </c>
      <c r="BC219" s="253" t="n">
        <v>3411</v>
      </c>
      <c r="BD219" s="253" t="n">
        <v>3940</v>
      </c>
      <c r="BE219" s="253" t="n">
        <v>14957</v>
      </c>
      <c r="BF219" s="253" t="n">
        <v>4179</v>
      </c>
      <c r="BG219" s="253" t="n">
        <v>4257</v>
      </c>
      <c r="BH219" s="253" t="n">
        <v>4156</v>
      </c>
      <c r="BI219" s="253" t="n">
        <v>4681</v>
      </c>
      <c r="BJ219" s="253" t="n">
        <v>17273</v>
      </c>
      <c r="BK219" s="253" t="n">
        <v>4890</v>
      </c>
      <c r="BL219" s="253" t="n">
        <v>4663</v>
      </c>
      <c r="BM219" s="253" t="n">
        <v>4872</v>
      </c>
      <c r="BN219" s="253" t="n">
        <v>5318</v>
      </c>
      <c r="BO219" s="253" t="n">
        <v>19743</v>
      </c>
      <c r="BP219" s="253" t="n">
        <v>5119</v>
      </c>
      <c r="BQ219" s="253" t="n">
        <v>4577</v>
      </c>
      <c r="BR219" s="253" t="n">
        <v>5272</v>
      </c>
      <c r="BS219" s="253" t="n">
        <v>5090</v>
      </c>
      <c r="BT219" s="253" t="n">
        <v>20058</v>
      </c>
      <c r="BU219" s="253" t="n">
        <v>5853</v>
      </c>
      <c r="BV219" s="253" t="n">
        <v>6021</v>
      </c>
      <c r="BW219" s="253" t="n">
        <v>5628</v>
      </c>
      <c r="BX219" s="35" t="n"/>
      <c r="BY219" s="254">
        <f>SUM(BU219:BW219)+BX135</f>
        <v>23841.1315951157</v>
      </c>
      <c r="BZ219" s="254">
        <f>BZ135</f>
        <v>27515.0237626951</v>
      </c>
      <c r="CA219" s="254">
        <f>CA135</f>
        <v>30493.6414408358</v>
      </c>
      <c r="CB219" s="254">
        <f>CB135</f>
        <v>33717.189753722</v>
      </c>
      <c r="CC219" s="254">
        <f>CC135</f>
        <v>36893.0465536237</v>
      </c>
      <c r="CD219" s="254">
        <f>CD135</f>
        <v>40367.8882962632</v>
      </c>
      <c r="CE219" s="19" t="n"/>
    </row>
    <row r="220" ht="15" customHeight="1" s="251">
      <c r="B220" s="25" t="inlineStr">
        <is>
          <t>Non-cash items:</t>
        </is>
      </c>
      <c r="CE220" s="153" t="n"/>
    </row>
    <row r="221" ht="15" customHeight="1" s="251">
      <c r="B221" s="25" t="inlineStr">
        <is>
          <t xml:space="preserve">  Depreciation &amp; amortization</t>
        </is>
      </c>
      <c r="C221" s="253" t="n">
        <v>237</v>
      </c>
      <c r="D221" s="253" t="n">
        <v>226</v>
      </c>
      <c r="E221" s="253" t="n">
        <v>265</v>
      </c>
      <c r="F221" s="253" t="n">
        <v>288</v>
      </c>
      <c r="G221" s="253" t="n">
        <v>333</v>
      </c>
      <c r="H221" s="253" t="n">
        <v>92</v>
      </c>
      <c r="I221" s="253" t="n">
        <v>98</v>
      </c>
      <c r="J221" s="253" t="n">
        <v>101</v>
      </c>
      <c r="K221" s="253" t="n">
        <v>106</v>
      </c>
      <c r="L221" s="253" t="n">
        <v>397</v>
      </c>
      <c r="M221" s="253" t="n">
        <v>107</v>
      </c>
      <c r="N221" s="253" t="n">
        <v>107</v>
      </c>
      <c r="O221" s="253" t="n">
        <v>109</v>
      </c>
      <c r="P221" s="253" t="n">
        <v>112</v>
      </c>
      <c r="Q221" s="253" t="n">
        <v>435</v>
      </c>
      <c r="R221" s="253" t="n">
        <v>120</v>
      </c>
      <c r="S221" s="253" t="n">
        <v>125</v>
      </c>
      <c r="T221" s="253" t="n">
        <v>130</v>
      </c>
      <c r="U221" s="253" t="n">
        <v>119</v>
      </c>
      <c r="V221" s="253" t="n">
        <v>494</v>
      </c>
      <c r="W221" s="253" t="n">
        <v>120</v>
      </c>
      <c r="X221" s="253" t="n">
        <v>121</v>
      </c>
      <c r="Y221" s="253" t="n">
        <v>120</v>
      </c>
      <c r="Z221" s="253" t="n">
        <v>141</v>
      </c>
      <c r="AA221" s="253" t="n">
        <v>502</v>
      </c>
      <c r="AB221" s="253" t="n">
        <v>146</v>
      </c>
      <c r="AC221" s="253" t="n">
        <v>131</v>
      </c>
      <c r="AD221" s="253" t="n">
        <v>132</v>
      </c>
      <c r="AE221" s="253" t="n">
        <v>147</v>
      </c>
      <c r="AF221" s="253" t="n">
        <v>556</v>
      </c>
      <c r="AG221" s="253" t="n">
        <v>145</v>
      </c>
      <c r="AH221" s="253" t="n">
        <v>153</v>
      </c>
      <c r="AI221" s="253" t="n">
        <v>152</v>
      </c>
      <c r="AJ221" s="253" t="n">
        <v>163</v>
      </c>
      <c r="AK221" s="253" t="n">
        <v>613</v>
      </c>
      <c r="AL221" s="253" t="n">
        <v>159</v>
      </c>
      <c r="AM221" s="253" t="n">
        <v>160</v>
      </c>
      <c r="AN221" s="253" t="n">
        <v>165</v>
      </c>
      <c r="AO221" s="253" t="n">
        <v>172</v>
      </c>
      <c r="AP221" s="253" t="n">
        <v>656</v>
      </c>
      <c r="AQ221" s="253" t="n">
        <v>182</v>
      </c>
      <c r="AR221" s="253" t="n">
        <v>192</v>
      </c>
      <c r="AS221" s="253" t="n">
        <v>197</v>
      </c>
      <c r="AT221" s="253" t="n">
        <v>196</v>
      </c>
      <c r="AU221" s="253" t="n">
        <v>767</v>
      </c>
      <c r="AV221" s="253" t="n">
        <v>197</v>
      </c>
      <c r="AW221" s="253" t="n">
        <v>201</v>
      </c>
      <c r="AX221" s="253" t="n">
        <v>204</v>
      </c>
      <c r="AY221" s="253" t="n">
        <v>202</v>
      </c>
      <c r="AZ221" s="253" t="n">
        <v>804</v>
      </c>
      <c r="BA221" s="253" t="n">
        <v>198</v>
      </c>
      <c r="BB221" s="253" t="n">
        <v>207</v>
      </c>
      <c r="BC221" s="253" t="n">
        <v>230</v>
      </c>
      <c r="BD221" s="253" t="n">
        <v>226</v>
      </c>
      <c r="BE221" s="253" t="n">
        <v>861</v>
      </c>
      <c r="BF221" s="253" t="n">
        <v>227</v>
      </c>
      <c r="BG221" s="253" t="n">
        <v>234</v>
      </c>
      <c r="BH221" s="253" t="n">
        <v>235</v>
      </c>
      <c r="BI221" s="253" t="n">
        <v>247</v>
      </c>
      <c r="BJ221" s="253" t="n">
        <v>943</v>
      </c>
      <c r="BK221" s="253" t="n">
        <v>247</v>
      </c>
      <c r="BL221" s="253" t="n">
        <v>249</v>
      </c>
      <c r="BM221" s="253" t="n">
        <v>264</v>
      </c>
      <c r="BN221" s="253" t="n">
        <v>274</v>
      </c>
      <c r="BO221" s="253" t="n">
        <v>1034</v>
      </c>
      <c r="BP221" s="253" t="n">
        <v>282</v>
      </c>
      <c r="BQ221" s="253" t="n">
        <v>305</v>
      </c>
      <c r="BR221" s="253" t="n">
        <v>317</v>
      </c>
      <c r="BS221" s="253" t="n">
        <v>316</v>
      </c>
      <c r="BT221" s="253" t="n">
        <v>1220</v>
      </c>
      <c r="BU221" s="253" t="n">
        <v>326</v>
      </c>
      <c r="BV221" s="253" t="n">
        <v>333</v>
      </c>
      <c r="BW221" s="253" t="n">
        <v>367</v>
      </c>
      <c r="BX221" s="35" t="n"/>
      <c r="BY221" s="254">
        <f>SUM(BU221:BW221)+BX140</f>
        <v>1416.21302191855</v>
      </c>
      <c r="BZ221" s="254">
        <f>BZ140</f>
        <v>1548.942716331</v>
      </c>
      <c r="CA221" s="254">
        <f>CA140</f>
        <v>1677.3804065727</v>
      </c>
      <c r="CB221" s="254">
        <f>CB140</f>
        <v>1803.83186075411</v>
      </c>
      <c r="CC221" s="254">
        <f>CC140</f>
        <v>1947.05258439207</v>
      </c>
      <c r="CD221" s="254">
        <f>CD140</f>
        <v>2097.07542552417</v>
      </c>
      <c r="CE221" s="19" t="n"/>
    </row>
    <row r="222" collapsed="1" ht="15" customHeight="1" s="251">
      <c r="B222" s="25" t="inlineStr">
        <is>
          <t xml:space="preserve">  Share-based compensation</t>
        </is>
      </c>
      <c r="C222" s="253" t="n">
        <v>74</v>
      </c>
      <c r="D222" s="253" t="n">
        <v>115</v>
      </c>
      <c r="E222" s="253" t="n">
        <v>131</v>
      </c>
      <c r="F222" s="253" t="n">
        <v>154</v>
      </c>
      <c r="G222" s="253" t="n">
        <v>147</v>
      </c>
      <c r="H222" s="253" t="n">
        <v>48</v>
      </c>
      <c r="I222" s="253" t="n">
        <v>50</v>
      </c>
      <c r="J222" s="253" t="n">
        <v>41</v>
      </c>
      <c r="K222" s="253" t="n">
        <v>40</v>
      </c>
      <c r="L222" s="253" t="n">
        <v>179</v>
      </c>
      <c r="M222" s="253" t="n">
        <v>45</v>
      </c>
      <c r="N222" s="253" t="n">
        <v>44</v>
      </c>
      <c r="O222" s="253" t="n">
        <v>41</v>
      </c>
      <c r="P222" s="253" t="n">
        <v>42</v>
      </c>
      <c r="Q222" s="253" t="n">
        <v>172</v>
      </c>
      <c r="R222" s="253" t="n">
        <v>45</v>
      </c>
      <c r="S222" s="253" t="n">
        <v>48</v>
      </c>
      <c r="T222" s="253" t="n">
        <v>46</v>
      </c>
      <c r="U222" s="253" t="n">
        <v>48</v>
      </c>
      <c r="V222" s="253" t="n">
        <v>187</v>
      </c>
      <c r="W222" s="253" t="n">
        <v>39</v>
      </c>
      <c r="X222" s="253" t="n">
        <v>58</v>
      </c>
      <c r="Y222" s="253" t="n">
        <v>55</v>
      </c>
      <c r="Z222" s="253" t="n">
        <v>69</v>
      </c>
      <c r="AA222" s="253" t="n">
        <v>221</v>
      </c>
      <c r="AB222" s="253" t="n">
        <v>45</v>
      </c>
      <c r="AC222" s="253" t="n">
        <v>71</v>
      </c>
      <c r="AD222" s="253" t="n">
        <v>67</v>
      </c>
      <c r="AE222" s="253" t="n">
        <v>52</v>
      </c>
      <c r="AF222" s="253" t="n">
        <v>235</v>
      </c>
      <c r="AG222" s="253" t="n">
        <v>68</v>
      </c>
      <c r="AH222" s="253" t="n">
        <v>85</v>
      </c>
      <c r="AI222" s="253" t="n">
        <v>89</v>
      </c>
      <c r="AJ222" s="253" t="n">
        <v>85</v>
      </c>
      <c r="AK222" s="253" t="n">
        <v>327</v>
      </c>
      <c r="AL222" s="253" t="n">
        <v>100</v>
      </c>
      <c r="AM222" s="253" t="n">
        <v>111</v>
      </c>
      <c r="AN222" s="253" t="n">
        <v>110</v>
      </c>
      <c r="AO222" s="253" t="n">
        <v>86</v>
      </c>
      <c r="AP222" s="253" t="n">
        <v>407</v>
      </c>
      <c r="AQ222" s="253" t="n">
        <v>116</v>
      </c>
      <c r="AR222" s="253" t="n">
        <v>99</v>
      </c>
      <c r="AS222" s="253" t="n">
        <v>107</v>
      </c>
      <c r="AT222" s="253" t="n">
        <v>94</v>
      </c>
      <c r="AU222" s="253" t="n">
        <v>416</v>
      </c>
      <c r="AV222" s="253" t="n">
        <v>122</v>
      </c>
      <c r="AW222" s="253" t="n">
        <v>153</v>
      </c>
      <c r="AX222" s="253" t="n">
        <v>159</v>
      </c>
      <c r="AY222" s="253" t="n">
        <v>108</v>
      </c>
      <c r="AZ222" s="253" t="n">
        <v>542</v>
      </c>
      <c r="BA222" s="253" t="n">
        <v>128</v>
      </c>
      <c r="BB222" s="253" t="n">
        <v>190</v>
      </c>
      <c r="BC222" s="253" t="n">
        <v>152</v>
      </c>
      <c r="BD222" s="253" t="n">
        <v>132</v>
      </c>
      <c r="BE222" s="253" t="n">
        <v>602</v>
      </c>
      <c r="BF222" s="253" t="n">
        <v>177</v>
      </c>
      <c r="BG222" s="253" t="n">
        <v>223</v>
      </c>
      <c r="BH222" s="253" t="n">
        <v>191</v>
      </c>
      <c r="BI222" s="253" t="n">
        <v>174</v>
      </c>
      <c r="BJ222" s="253" t="n">
        <v>765</v>
      </c>
      <c r="BK222" s="253" t="n">
        <v>209</v>
      </c>
      <c r="BL222" s="253" t="n">
        <v>242</v>
      </c>
      <c r="BM222" s="253" t="n">
        <v>211</v>
      </c>
      <c r="BN222" s="253" t="n">
        <v>188</v>
      </c>
      <c r="BO222" s="253" t="n">
        <v>850</v>
      </c>
      <c r="BP222" s="253" t="n">
        <v>224</v>
      </c>
      <c r="BQ222" s="253" t="n">
        <v>259</v>
      </c>
      <c r="BR222" s="253" t="n">
        <v>223</v>
      </c>
      <c r="BS222" s="253" t="n">
        <v>191</v>
      </c>
      <c r="BT222" s="253" t="n">
        <v>897</v>
      </c>
      <c r="BU222" s="253" t="n">
        <v>231</v>
      </c>
      <c r="BV222" s="253" t="n">
        <v>275</v>
      </c>
      <c r="BW222" s="253" t="n">
        <v>222</v>
      </c>
      <c r="BX222" s="35" t="n"/>
      <c r="BY222" s="254">
        <f>SUM(BU222:BW222)+BX141</f>
        <v>924.951841359773</v>
      </c>
      <c r="BZ222" s="254">
        <f>BZ141</f>
        <v>1166.30645252938</v>
      </c>
      <c r="CA222" s="254">
        <f>CA141</f>
        <v>1293.23947035409</v>
      </c>
      <c r="CB222" s="254">
        <f>CB141</f>
        <v>1424.38888751393</v>
      </c>
      <c r="CC222" s="254">
        <f>CC141</f>
        <v>1558.68120704028</v>
      </c>
      <c r="CD222" s="254">
        <f>CD141</f>
        <v>1700.69144255119</v>
      </c>
      <c r="CE222" s="19" t="n"/>
    </row>
    <row r="223" ht="15" customHeight="1" s="251">
      <c r="B223" s="25" t="inlineStr">
        <is>
          <t xml:space="preserve">  Deferred income taxes</t>
        </is>
      </c>
      <c r="C223" s="253" t="n">
        <v>-27</v>
      </c>
      <c r="D223" s="253" t="n">
        <v>297</v>
      </c>
      <c r="E223" s="253" t="n">
        <v>249</v>
      </c>
      <c r="F223" s="253" t="n">
        <v>164</v>
      </c>
      <c r="G223" s="253" t="n">
        <v>-1690</v>
      </c>
      <c r="H223" s="253" t="n">
        <v>1622</v>
      </c>
      <c r="I223" s="253" t="n">
        <v>-42</v>
      </c>
      <c r="J223" s="253" t="n">
        <v>-18</v>
      </c>
      <c r="K223" s="253" t="n">
        <v>-35</v>
      </c>
      <c r="L223" s="253" t="n">
        <v>1527</v>
      </c>
      <c r="M223" s="253" t="n">
        <v>19</v>
      </c>
      <c r="N223" s="253" t="n">
        <v>-394</v>
      </c>
      <c r="O223" s="253" t="n">
        <v>17</v>
      </c>
      <c r="P223" s="253" t="n">
        <v>-222</v>
      </c>
      <c r="Q223" s="253" t="n">
        <v>-580</v>
      </c>
      <c r="R223" s="253" t="n">
        <v>97</v>
      </c>
      <c r="S223" s="253" t="n">
        <v>76</v>
      </c>
      <c r="T223" s="253" t="n">
        <v>23</v>
      </c>
      <c r="U223" s="253" t="n">
        <v>-1</v>
      </c>
      <c r="V223" s="253" t="n">
        <v>195</v>
      </c>
      <c r="W223" s="253" t="n">
        <v>45</v>
      </c>
      <c r="X223" s="253" t="n">
        <v>-74</v>
      </c>
      <c r="Y223" s="253" t="n">
        <v>-574</v>
      </c>
      <c r="Z223" s="253" t="n">
        <v>-161</v>
      </c>
      <c r="AA223" s="253" t="n">
        <v>-764</v>
      </c>
      <c r="AB223" s="253" t="n">
        <v>77</v>
      </c>
      <c r="AC223" s="253" t="n">
        <v>1623</v>
      </c>
      <c r="AD223" s="253" t="n">
        <v>15</v>
      </c>
      <c r="AE223" s="253" t="n">
        <v>-15</v>
      </c>
      <c r="AF223" s="253" t="n">
        <v>1700</v>
      </c>
      <c r="AG223" s="253" t="n">
        <v>-919</v>
      </c>
      <c r="AH223" s="253" t="n">
        <v>-26</v>
      </c>
      <c r="AI223" s="253" t="n">
        <v>-188</v>
      </c>
      <c r="AJ223" s="253" t="n">
        <v>-144</v>
      </c>
      <c r="AK223" s="253" t="n">
        <v>-1277</v>
      </c>
      <c r="AL223" s="253" t="n">
        <v>139</v>
      </c>
      <c r="AM223" s="253" t="n">
        <v>117</v>
      </c>
      <c r="AN223" s="253" t="n">
        <v>-22</v>
      </c>
      <c r="AO223" s="253" t="n">
        <v>-20</v>
      </c>
      <c r="AP223" s="253" t="n">
        <v>214</v>
      </c>
      <c r="AQ223" s="253" t="n">
        <v>-47</v>
      </c>
      <c r="AR223" s="253" t="n">
        <v>10</v>
      </c>
      <c r="AS223" s="253" t="n">
        <v>-79</v>
      </c>
      <c r="AT223" s="253" t="n">
        <v>423</v>
      </c>
      <c r="AU223" s="253" t="n">
        <v>307</v>
      </c>
      <c r="AV223" s="253" t="n">
        <v>5</v>
      </c>
      <c r="AW223" s="253" t="n">
        <v>-32</v>
      </c>
      <c r="AX223" s="253" t="n">
        <v>1008</v>
      </c>
      <c r="AY223" s="253" t="n">
        <v>-108</v>
      </c>
      <c r="AZ223" s="253" t="n">
        <v>873</v>
      </c>
      <c r="BA223" s="253" t="n">
        <v>-15</v>
      </c>
      <c r="BB223" s="253" t="n">
        <v>36</v>
      </c>
      <c r="BC223" s="253" t="n">
        <v>-224</v>
      </c>
      <c r="BD223" s="253" t="n">
        <v>-133</v>
      </c>
      <c r="BE223" s="253" t="n">
        <v>-336</v>
      </c>
      <c r="BF223" s="253" t="n">
        <v>-132</v>
      </c>
      <c r="BG223" s="253" t="n">
        <v>-22</v>
      </c>
      <c r="BH223" s="253" t="n">
        <v>-99</v>
      </c>
      <c r="BI223" s="253" t="n">
        <v>-230</v>
      </c>
      <c r="BJ223" s="253" t="n">
        <v>-483</v>
      </c>
      <c r="BK223" s="253" t="n">
        <v>59</v>
      </c>
      <c r="BL223" s="253" t="n">
        <v>-127</v>
      </c>
      <c r="BM223" s="253" t="n">
        <v>-31</v>
      </c>
      <c r="BN223" s="253" t="n">
        <v>-1</v>
      </c>
      <c r="BO223" s="253" t="n">
        <v>-100</v>
      </c>
      <c r="BP223" s="253" t="n">
        <v>38</v>
      </c>
      <c r="BQ223" s="253" t="n">
        <v>-124</v>
      </c>
      <c r="BR223" s="253" t="n">
        <v>433</v>
      </c>
      <c r="BS223" s="253" t="n">
        <v>-195</v>
      </c>
      <c r="BT223" s="253" t="n">
        <v>152</v>
      </c>
      <c r="BU223" s="253" t="n">
        <v>-435</v>
      </c>
      <c r="BV223" s="253" t="n">
        <v>453</v>
      </c>
      <c r="BW223" s="253" t="n">
        <v>-656</v>
      </c>
      <c r="BX223" s="35" t="n"/>
      <c r="BY223" s="254">
        <f>SUM(BU223:BW223)+0.0</f>
        <v>-638</v>
      </c>
      <c r="BZ223" s="269" t="n">
        <v>-100</v>
      </c>
      <c r="CA223" s="269" t="n">
        <v>-100</v>
      </c>
      <c r="CB223" s="269" t="n">
        <v>-100</v>
      </c>
      <c r="CC223" s="269" t="n">
        <v>-100</v>
      </c>
      <c r="CD223" s="269" t="n">
        <v>-100</v>
      </c>
      <c r="CE223" s="19" t="inlineStr">
        <is>
          <t>Forecast input (FY2026 9M −$638m includes the deferred tax benefits adjusted out of non-GAAP).</t>
        </is>
      </c>
    </row>
    <row r="224" ht="15" customHeight="1" s="251">
      <c r="B224" s="25" t="inlineStr">
        <is>
          <t xml:space="preserve">  Client incentives, settlement, litigation &amp; other operating items, net (derived)</t>
        </is>
      </c>
      <c r="C224" s="253" t="n">
        <v>-557</v>
      </c>
      <c r="D224" s="253" t="n">
        <v>-2433</v>
      </c>
      <c r="E224" s="253" t="n">
        <v>-918</v>
      </c>
      <c r="F224" s="253" t="n">
        <v>-380</v>
      </c>
      <c r="G224" s="253" t="n">
        <v>4077</v>
      </c>
      <c r="H224" s="253" t="n">
        <v>-5879</v>
      </c>
      <c r="I224" s="253" t="n">
        <v>268</v>
      </c>
      <c r="J224" s="253" t="n">
        <v>808</v>
      </c>
      <c r="K224" s="253" t="n">
        <v>742</v>
      </c>
      <c r="L224" s="253" t="n">
        <v>-4061</v>
      </c>
      <c r="M224" s="253" t="n">
        <v>-37</v>
      </c>
      <c r="N224" s="253" t="n">
        <v>574</v>
      </c>
      <c r="O224" s="253" t="n">
        <v>415</v>
      </c>
      <c r="P224" s="253" t="n">
        <v>788</v>
      </c>
      <c r="Q224" s="253" t="n">
        <v>1740</v>
      </c>
      <c r="R224" s="253" t="n">
        <v>-70</v>
      </c>
      <c r="S224" s="253" t="n">
        <v>-821</v>
      </c>
      <c r="T224" s="253" t="n">
        <v>215</v>
      </c>
      <c r="U224" s="253" t="n">
        <v>56</v>
      </c>
      <c r="V224" s="253" t="n">
        <v>-620</v>
      </c>
      <c r="W224" s="253" t="n">
        <v>-166</v>
      </c>
      <c r="X224" s="253" t="n">
        <v>-972</v>
      </c>
      <c r="Y224" s="253" t="n">
        <v>290</v>
      </c>
      <c r="Z224" s="253" t="n">
        <v>472</v>
      </c>
      <c r="AA224" s="253" t="n">
        <v>-376</v>
      </c>
      <c r="AB224" s="253" t="n">
        <v>170</v>
      </c>
      <c r="AC224" s="253" t="n">
        <v>-1859</v>
      </c>
      <c r="AD224" s="253" t="n">
        <v>1264</v>
      </c>
      <c r="AE224" s="253" t="n">
        <v>443</v>
      </c>
      <c r="AF224" s="253" t="n">
        <v>18</v>
      </c>
      <c r="AG224" s="253" t="n">
        <v>946</v>
      </c>
      <c r="AH224" s="253" t="n">
        <v>3</v>
      </c>
      <c r="AI224" s="253" t="n">
        <v>1255</v>
      </c>
      <c r="AJ224" s="253" t="n">
        <v>545</v>
      </c>
      <c r="AK224" s="253" t="n">
        <v>2749</v>
      </c>
      <c r="AL224" s="253" t="n">
        <v>-81</v>
      </c>
      <c r="AM224" s="253" t="n">
        <v>-1301</v>
      </c>
      <c r="AN224" s="253" t="n">
        <v>30</v>
      </c>
      <c r="AO224" s="253" t="n">
        <v>779</v>
      </c>
      <c r="AP224" s="253" t="n">
        <v>-573</v>
      </c>
      <c r="AQ224" s="253" t="n">
        <v>352</v>
      </c>
      <c r="AR224" s="253" t="n">
        <v>-1918</v>
      </c>
      <c r="AS224" s="253" t="n">
        <v>404</v>
      </c>
      <c r="AT224" s="253" t="n">
        <v>-754</v>
      </c>
      <c r="AU224" s="253" t="n">
        <v>-1916</v>
      </c>
      <c r="AV224" s="253" t="n">
        <v>63</v>
      </c>
      <c r="AW224" s="253" t="n">
        <v>-19</v>
      </c>
      <c r="AX224" s="253" t="n">
        <v>468</v>
      </c>
      <c r="AY224" s="253" t="n">
        <v>185</v>
      </c>
      <c r="AZ224" s="253" t="n">
        <v>697</v>
      </c>
      <c r="BA224" s="253" t="n">
        <v>-38</v>
      </c>
      <c r="BB224" s="253" t="n">
        <v>-591</v>
      </c>
      <c r="BC224" s="253" t="n">
        <v>1683</v>
      </c>
      <c r="BD224" s="253" t="n">
        <v>1711</v>
      </c>
      <c r="BE224" s="253" t="n">
        <v>2765</v>
      </c>
      <c r="BF224" s="253" t="n">
        <v>-280</v>
      </c>
      <c r="BG224" s="253" t="n">
        <v>-832</v>
      </c>
      <c r="BH224" s="253" t="n">
        <v>1314</v>
      </c>
      <c r="BI224" s="253" t="n">
        <v>2055</v>
      </c>
      <c r="BJ224" s="253" t="n">
        <v>2257</v>
      </c>
      <c r="BK224" s="253" t="n">
        <v>-1791</v>
      </c>
      <c r="BL224" s="253" t="n">
        <v>-489</v>
      </c>
      <c r="BM224" s="253" t="n">
        <v>-182</v>
      </c>
      <c r="BN224" s="253" t="n">
        <v>885</v>
      </c>
      <c r="BO224" s="253" t="n">
        <v>-1577</v>
      </c>
      <c r="BP224" s="253" t="n">
        <v>-267</v>
      </c>
      <c r="BQ224" s="253" t="n">
        <v>-322</v>
      </c>
      <c r="BR224" s="253" t="n">
        <v>485</v>
      </c>
      <c r="BS224" s="253" t="n">
        <v>836</v>
      </c>
      <c r="BT224" s="253" t="n">
        <v>732</v>
      </c>
      <c r="BU224" s="253" t="n">
        <v>805</v>
      </c>
      <c r="BV224" s="253" t="n">
        <v>-4074</v>
      </c>
      <c r="BW224" s="253" t="n">
        <v>993</v>
      </c>
      <c r="BX224" s="35" t="n"/>
      <c r="BY224" s="254">
        <f>SUM(BU224:BW224)-(BY267-BW267)-(BY269-BW269)-(BY274-BW274)+(BY277-BW277)+(BY281-BW281)</f>
        <v>-1184.47944</v>
      </c>
      <c r="BZ224" s="254">
        <f>-(BZ267-BY267)-(BZ269-BY269)-(BZ274-BY274)+(BZ277-BY277)+(BZ281-BY281)</f>
        <v>183.420535483328</v>
      </c>
      <c r="CA224" s="254">
        <f>-(CA267-BZ267)-(CA269-BZ269)-(CA274-BZ274)+(CA277-BZ277)+(CA281-BZ281)</f>
        <v>209.715420753857</v>
      </c>
      <c r="CB224" s="254">
        <f>-(CB267-CA267)-(CB269-CA269)-(CB274-CA274)+(CB277-CA277)+(CB281-CA281)</f>
        <v>216.681645742353</v>
      </c>
      <c r="CC224" s="254">
        <f>-(CC267-CB267)-(CC269-CB269)-(CC274-CB274)+(CC277-CB277)+(CC281-CB281)</f>
        <v>221.874267043534</v>
      </c>
      <c r="CD224" s="254">
        <f>-(CD267-CC267)-(CD269-CC269)-(CD274-CC274)+(CD277-CC277)+(CD281-CC281)</f>
        <v>234.625606496287</v>
      </c>
      <c r="CE224" s="19" t="inlineStr">
        <is>
          <t>History: net cash from operating activities − net income − D&amp;A − share-based compensation − deferred taxes (client-incentive amortization and payments, settlement balances, accrued litigation, other). Forecast linked to the balance sheet: −Δ(settlement receivable, other current and non-current assets) + Δ(settlement payable, other current liabilities); collateral, escrow and accrued litigation held.</t>
        </is>
      </c>
    </row>
    <row r="225" ht="15" customHeight="1" s="251">
      <c r="B225" s="16" t="inlineStr">
        <is>
          <t>Net cash provided by operating activities</t>
        </is>
      </c>
      <c r="C225" s="276" t="n">
        <v>531</v>
      </c>
      <c r="D225" s="276" t="n">
        <v>558</v>
      </c>
      <c r="E225" s="276" t="n">
        <v>2691</v>
      </c>
      <c r="F225" s="276" t="n">
        <v>3872</v>
      </c>
      <c r="G225" s="276" t="n">
        <v>5009</v>
      </c>
      <c r="H225" s="276" t="n">
        <v>-2824</v>
      </c>
      <c r="I225" s="276" t="n">
        <v>1644</v>
      </c>
      <c r="J225" s="276" t="n">
        <v>2157</v>
      </c>
      <c r="K225" s="276" t="n">
        <v>2045</v>
      </c>
      <c r="L225" s="276" t="n">
        <v>3022</v>
      </c>
      <c r="M225" s="276" t="n">
        <v>1541</v>
      </c>
      <c r="N225" s="276" t="n">
        <v>1929</v>
      </c>
      <c r="O225" s="276" t="n">
        <v>1942</v>
      </c>
      <c r="P225" s="276" t="n">
        <v>1793</v>
      </c>
      <c r="Q225" s="276" t="n">
        <v>7205</v>
      </c>
      <c r="R225" s="276" t="n">
        <v>1761</v>
      </c>
      <c r="S225" s="276" t="n">
        <v>978</v>
      </c>
      <c r="T225" s="276" t="n">
        <v>2111</v>
      </c>
      <c r="U225" s="276" t="n">
        <v>1734</v>
      </c>
      <c r="V225" s="276" t="n">
        <v>6584</v>
      </c>
      <c r="W225" s="276" t="n">
        <v>1979</v>
      </c>
      <c r="X225" s="276" t="n">
        <v>840</v>
      </c>
      <c r="Y225" s="276" t="n">
        <v>303</v>
      </c>
      <c r="Z225" s="276" t="n">
        <v>2452</v>
      </c>
      <c r="AA225" s="276" t="n">
        <v>5574</v>
      </c>
      <c r="AB225" s="276" t="n">
        <v>2508</v>
      </c>
      <c r="AC225" s="276" t="n">
        <v>396</v>
      </c>
      <c r="AD225" s="276" t="n">
        <v>3537</v>
      </c>
      <c r="AE225" s="276" t="n">
        <v>2767</v>
      </c>
      <c r="AF225" s="276" t="n">
        <v>9208</v>
      </c>
      <c r="AG225" s="276" t="n">
        <v>2762</v>
      </c>
      <c r="AH225" s="276" t="n">
        <v>2820</v>
      </c>
      <c r="AI225" s="276" t="n">
        <v>3637</v>
      </c>
      <c r="AJ225" s="276" t="n">
        <v>3494</v>
      </c>
      <c r="AK225" s="276" t="n">
        <v>12713</v>
      </c>
      <c r="AL225" s="276" t="n">
        <v>3294</v>
      </c>
      <c r="AM225" s="276" t="n">
        <v>2064</v>
      </c>
      <c r="AN225" s="276" t="n">
        <v>3384</v>
      </c>
      <c r="AO225" s="276" t="n">
        <v>4042</v>
      </c>
      <c r="AP225" s="276" t="n">
        <v>12784</v>
      </c>
      <c r="AQ225" s="276" t="n">
        <v>3875</v>
      </c>
      <c r="AR225" s="276" t="n">
        <v>1467</v>
      </c>
      <c r="AS225" s="276" t="n">
        <v>3002</v>
      </c>
      <c r="AT225" s="276" t="n">
        <v>2096</v>
      </c>
      <c r="AU225" s="276" t="n">
        <v>10440</v>
      </c>
      <c r="AV225" s="276" t="n">
        <v>3513</v>
      </c>
      <c r="AW225" s="276" t="n">
        <v>3329</v>
      </c>
      <c r="AX225" s="276" t="n">
        <v>4414</v>
      </c>
      <c r="AY225" s="276" t="n">
        <v>3971</v>
      </c>
      <c r="AZ225" s="276" t="n">
        <v>15227</v>
      </c>
      <c r="BA225" s="276" t="n">
        <v>4232</v>
      </c>
      <c r="BB225" s="276" t="n">
        <v>3489</v>
      </c>
      <c r="BC225" s="276" t="n">
        <v>5252</v>
      </c>
      <c r="BD225" s="276" t="n">
        <v>5876</v>
      </c>
      <c r="BE225" s="276" t="n">
        <v>18849</v>
      </c>
      <c r="BF225" s="276" t="n">
        <v>4171</v>
      </c>
      <c r="BG225" s="276" t="n">
        <v>3860</v>
      </c>
      <c r="BH225" s="276" t="n">
        <v>5797</v>
      </c>
      <c r="BI225" s="276" t="n">
        <v>6927</v>
      </c>
      <c r="BJ225" s="276" t="n">
        <v>20755</v>
      </c>
      <c r="BK225" s="276" t="n">
        <v>3614</v>
      </c>
      <c r="BL225" s="276" t="n">
        <v>4538</v>
      </c>
      <c r="BM225" s="276" t="n">
        <v>5134</v>
      </c>
      <c r="BN225" s="276" t="n">
        <v>6664</v>
      </c>
      <c r="BO225" s="276" t="n">
        <v>19950</v>
      </c>
      <c r="BP225" s="276" t="n">
        <v>5396</v>
      </c>
      <c r="BQ225" s="276" t="n">
        <v>4695</v>
      </c>
      <c r="BR225" s="276" t="n">
        <v>6730</v>
      </c>
      <c r="BS225" s="276" t="n">
        <v>6238</v>
      </c>
      <c r="BT225" s="276" t="n">
        <v>23059</v>
      </c>
      <c r="BU225" s="276" t="n">
        <v>6780</v>
      </c>
      <c r="BV225" s="276" t="n">
        <v>3008</v>
      </c>
      <c r="BW225" s="276" t="n">
        <v>6554</v>
      </c>
      <c r="BX225" s="32" t="n"/>
      <c r="BY225" s="265">
        <f>SUM(BY219:BY224)</f>
        <v>24359.817018394</v>
      </c>
      <c r="BZ225" s="265">
        <f>SUM(BZ219:BZ224)</f>
        <v>30313.6934670388</v>
      </c>
      <c r="CA225" s="265">
        <f>SUM(CA219:CA224)</f>
        <v>33573.9767385164</v>
      </c>
      <c r="CB225" s="265">
        <f>SUM(CB219:CB224)</f>
        <v>37062.0921477324</v>
      </c>
      <c r="CC225" s="265">
        <f>SUM(CC219:CC224)</f>
        <v>40520.6546120996</v>
      </c>
      <c r="CD225" s="265">
        <f>SUM(CD219:CD224)</f>
        <v>44300.2807708349</v>
      </c>
      <c r="CE225" s="153" t="n"/>
      <c r="CG225" s="20">
        <f>IFERROR((CD225/BY225)^(1/5)-1,"n/m")</f>
        <v>0.12705858488314</v>
      </c>
      <c r="CH225" s="20">
        <f>IFERROR((BT225/AU225)^(1/5)-1,"n/m")</f>
        <v>0.171731199939585</v>
      </c>
      <c r="CI225" s="20">
        <f>IFERROR((BT225/V225)^(1/10)-1,"n/m")</f>
        <v>0.133535340330693</v>
      </c>
      <c r="CJ225" s="20">
        <f>IFERROR((BT225/C225)^(1/17)-1,"n/m")</f>
        <v>0.248354689223428</v>
      </c>
    </row>
    <row r="226" ht="15" customHeight="1" s="251">
      <c r="B226" s="25" t="inlineStr">
        <is>
          <t>Purchases of property, equipment &amp; technology</t>
        </is>
      </c>
      <c r="C226" s="253" t="n">
        <v>-415</v>
      </c>
      <c r="D226" s="253" t="n">
        <v>-306</v>
      </c>
      <c r="E226" s="253" t="n">
        <v>-241</v>
      </c>
      <c r="F226" s="253" t="n">
        <v>-353</v>
      </c>
      <c r="G226" s="253" t="n">
        <v>-376</v>
      </c>
      <c r="H226" s="253" t="n">
        <v>-100</v>
      </c>
      <c r="I226" s="253" t="n">
        <v>-111</v>
      </c>
      <c r="J226" s="253" t="n">
        <v>-122</v>
      </c>
      <c r="K226" s="253" t="n">
        <v>-138</v>
      </c>
      <c r="L226" s="253" t="n">
        <v>-471</v>
      </c>
      <c r="M226" s="253" t="n">
        <v>-120</v>
      </c>
      <c r="N226" s="253" t="n">
        <v>-97</v>
      </c>
      <c r="O226" s="253" t="n">
        <v>-109</v>
      </c>
      <c r="P226" s="253" t="n">
        <v>-227</v>
      </c>
      <c r="Q226" s="253" t="n">
        <v>-553</v>
      </c>
      <c r="R226" s="253" t="n">
        <v>-104</v>
      </c>
      <c r="S226" s="253" t="n">
        <v>-98</v>
      </c>
      <c r="T226" s="253" t="n">
        <v>-74</v>
      </c>
      <c r="U226" s="253" t="n">
        <v>-138</v>
      </c>
      <c r="V226" s="253" t="n">
        <v>-414</v>
      </c>
      <c r="W226" s="253" t="n">
        <v>-126</v>
      </c>
      <c r="X226" s="253" t="n">
        <v>-124</v>
      </c>
      <c r="Y226" s="253" t="n">
        <v>-132</v>
      </c>
      <c r="Z226" s="253" t="n">
        <v>-141</v>
      </c>
      <c r="AA226" s="253" t="n">
        <v>-523</v>
      </c>
      <c r="AB226" s="253" t="n">
        <v>-171</v>
      </c>
      <c r="AC226" s="253" t="n">
        <v>-146</v>
      </c>
      <c r="AD226" s="253" t="n">
        <v>-195</v>
      </c>
      <c r="AE226" s="253" t="n">
        <v>-195</v>
      </c>
      <c r="AF226" s="253" t="n">
        <v>-707</v>
      </c>
      <c r="AG226" s="253" t="n">
        <v>-141</v>
      </c>
      <c r="AH226" s="253" t="n">
        <v>-213</v>
      </c>
      <c r="AI226" s="253" t="n">
        <v>-169</v>
      </c>
      <c r="AJ226" s="253" t="n">
        <v>-195</v>
      </c>
      <c r="AK226" s="253" t="n">
        <v>-718</v>
      </c>
      <c r="AL226" s="253" t="n">
        <v>-157</v>
      </c>
      <c r="AM226" s="253" t="n">
        <v>-156</v>
      </c>
      <c r="AN226" s="253" t="n">
        <v>-194</v>
      </c>
      <c r="AO226" s="253" t="n">
        <v>-249</v>
      </c>
      <c r="AP226" s="253" t="n">
        <v>-756</v>
      </c>
      <c r="AQ226" s="253" t="n">
        <v>-191</v>
      </c>
      <c r="AR226" s="253" t="n">
        <v>-216</v>
      </c>
      <c r="AS226" s="253" t="n">
        <v>-161</v>
      </c>
      <c r="AT226" s="253" t="n">
        <v>-168</v>
      </c>
      <c r="AU226" s="253" t="n">
        <v>-736</v>
      </c>
      <c r="AV226" s="253" t="n">
        <v>-160</v>
      </c>
      <c r="AW226" s="253" t="n">
        <v>-158</v>
      </c>
      <c r="AX226" s="253" t="n">
        <v>-179</v>
      </c>
      <c r="AY226" s="253" t="n">
        <v>-208</v>
      </c>
      <c r="AZ226" s="253" t="n">
        <v>-705</v>
      </c>
      <c r="BA226" s="253" t="n">
        <v>-173</v>
      </c>
      <c r="BB226" s="253" t="n">
        <v>-267</v>
      </c>
      <c r="BC226" s="253" t="n">
        <v>-235</v>
      </c>
      <c r="BD226" s="253" t="n">
        <v>-295</v>
      </c>
      <c r="BE226" s="253" t="n">
        <v>-970</v>
      </c>
      <c r="BF226" s="253" t="n">
        <v>-249</v>
      </c>
      <c r="BG226" s="253" t="n">
        <v>-210</v>
      </c>
      <c r="BH226" s="253" t="n">
        <v>-295</v>
      </c>
      <c r="BI226" s="253" t="n">
        <v>-305</v>
      </c>
      <c r="BJ226" s="253" t="n">
        <v>-1059</v>
      </c>
      <c r="BK226" s="253" t="n">
        <v>-267</v>
      </c>
      <c r="BL226" s="253" t="n">
        <v>-281</v>
      </c>
      <c r="BM226" s="253" t="n">
        <v>-400</v>
      </c>
      <c r="BN226" s="253" t="n">
        <v>-309</v>
      </c>
      <c r="BO226" s="253" t="n">
        <v>-1257</v>
      </c>
      <c r="BP226" s="253" t="n">
        <v>-345</v>
      </c>
      <c r="BQ226" s="253" t="n">
        <v>-327</v>
      </c>
      <c r="BR226" s="253" t="n">
        <v>-421</v>
      </c>
      <c r="BS226" s="253" t="n">
        <v>-389</v>
      </c>
      <c r="BT226" s="253" t="n">
        <v>-1482</v>
      </c>
      <c r="BU226" s="253" t="n">
        <v>-378</v>
      </c>
      <c r="BV226" s="253" t="n">
        <v>-383</v>
      </c>
      <c r="BW226" s="253" t="n">
        <v>-417</v>
      </c>
      <c r="BX226" s="35" t="n"/>
      <c r="BY226" s="254">
        <f>-$CO$24</f>
        <v>-1600</v>
      </c>
      <c r="BZ226" s="254">
        <f>-BZ113*BZ249</f>
        <v>-1876.2321192864</v>
      </c>
      <c r="CA226" s="254">
        <f>-CA113*CA249</f>
        <v>-2024.20091011944</v>
      </c>
      <c r="CB226" s="254">
        <f>-CB113*CB249</f>
        <v>-2167.54830708642</v>
      </c>
      <c r="CC226" s="254">
        <f>-CC113*CC249</f>
        <v>-2371.90618462652</v>
      </c>
      <c r="CD226" s="254">
        <f>-CD113*CD249</f>
        <v>-2588.00871692573</v>
      </c>
      <c r="CE226" s="19" t="inlineStr">
        <is>
          <t>2026E: 9M actual $1,178m + Q4 estimate (point input). 2027E+: net revenue × capex %.</t>
        </is>
      </c>
    </row>
    <row r="227" ht="15" customHeight="1" s="251">
      <c r="B227" s="25" t="inlineStr">
        <is>
          <t>Acquisitions, net of cash acquired</t>
        </is>
      </c>
      <c r="C227" s="253" t="n">
        <v>0</v>
      </c>
      <c r="D227" s="253" t="n">
        <v>0</v>
      </c>
      <c r="E227" s="253" t="n">
        <v>-1805</v>
      </c>
      <c r="F227" s="253" t="n">
        <v>-268</v>
      </c>
      <c r="G227" s="253" t="n">
        <v>-3</v>
      </c>
      <c r="H227" s="253" t="n">
        <v>0</v>
      </c>
      <c r="I227" s="253" t="n">
        <v>0</v>
      </c>
      <c r="J227" s="253" t="n">
        <v>0</v>
      </c>
      <c r="K227" s="253" t="n">
        <v>0</v>
      </c>
      <c r="L227" s="253" t="n">
        <v>0</v>
      </c>
      <c r="M227" s="253" t="n">
        <v>0</v>
      </c>
      <c r="N227" s="253" t="n">
        <v>0</v>
      </c>
      <c r="O227" s="253" t="n">
        <v>-134</v>
      </c>
      <c r="P227" s="253" t="n">
        <v>-15</v>
      </c>
      <c r="Q227" s="253" t="n">
        <v>-149</v>
      </c>
      <c r="R227" s="253" t="n">
        <v>0</v>
      </c>
      <c r="S227" s="253" t="n">
        <v>0</v>
      </c>
      <c r="T227" s="253" t="n">
        <v>-93</v>
      </c>
      <c r="U227" s="253" t="n">
        <v>0</v>
      </c>
      <c r="V227" s="253" t="n">
        <v>-93</v>
      </c>
      <c r="W227" s="253" t="n">
        <v>0</v>
      </c>
      <c r="X227" s="253" t="n">
        <v>-14</v>
      </c>
      <c r="Y227" s="253" t="n">
        <v>-9068</v>
      </c>
      <c r="Z227" s="253" t="n">
        <v>0</v>
      </c>
      <c r="AA227" s="253" t="n">
        <v>-9082</v>
      </c>
      <c r="AB227" s="253" t="n">
        <v>0</v>
      </c>
      <c r="AC227" s="253" t="n">
        <v>-302</v>
      </c>
      <c r="AD227" s="253" t="n">
        <v>0</v>
      </c>
      <c r="AE227" s="253" t="n">
        <v>0</v>
      </c>
      <c r="AF227" s="253" t="n">
        <v>-302</v>
      </c>
      <c r="AG227" s="253" t="n">
        <v>0</v>
      </c>
      <c r="AH227" s="253" t="n">
        <v>-196</v>
      </c>
      <c r="AI227" s="253" t="n">
        <v>0</v>
      </c>
      <c r="AJ227" s="253" t="n">
        <v>0</v>
      </c>
      <c r="AK227" s="253" t="n">
        <v>-196</v>
      </c>
      <c r="AL227" s="253" t="n">
        <v>0</v>
      </c>
      <c r="AM227" s="253" t="n">
        <v>0</v>
      </c>
      <c r="AN227" s="253" t="n">
        <v>-136</v>
      </c>
      <c r="AO227" s="253" t="n">
        <v>-563</v>
      </c>
      <c r="AP227" s="253" t="n">
        <v>-699</v>
      </c>
      <c r="AQ227" s="253" t="n">
        <v>-77</v>
      </c>
      <c r="AR227" s="253" t="n">
        <v>0</v>
      </c>
      <c r="AS227" s="253" t="n">
        <v>0</v>
      </c>
      <c r="AT227" s="253" t="n">
        <v>0</v>
      </c>
      <c r="AU227" s="253" t="n">
        <v>-77</v>
      </c>
      <c r="AV227" s="253" t="n">
        <v>-75</v>
      </c>
      <c r="AW227" s="253" t="n">
        <v>0</v>
      </c>
      <c r="AX227" s="253" t="n">
        <v>0</v>
      </c>
      <c r="AY227" s="253" t="n">
        <v>0</v>
      </c>
      <c r="AZ227" s="253" t="n">
        <v>-75</v>
      </c>
      <c r="BA227" s="253" t="n">
        <v>-832</v>
      </c>
      <c r="BB227" s="253" t="n">
        <v>-1113</v>
      </c>
      <c r="BC227" s="253" t="n">
        <v>0</v>
      </c>
      <c r="BD227" s="253" t="n">
        <v>-3</v>
      </c>
      <c r="BE227" s="253" t="n">
        <v>-1948</v>
      </c>
      <c r="BF227" s="253" t="n">
        <v>0</v>
      </c>
      <c r="BG227" s="253" t="n">
        <v>0</v>
      </c>
      <c r="BH227" s="253" t="n">
        <v>0</v>
      </c>
      <c r="BI227" s="253" t="n">
        <v>0</v>
      </c>
      <c r="BJ227" s="253" t="n">
        <v>0</v>
      </c>
      <c r="BK227" s="253" t="n">
        <v>0</v>
      </c>
      <c r="BL227" s="253" t="n">
        <v>-915</v>
      </c>
      <c r="BM227" s="253" t="n">
        <v>0</v>
      </c>
      <c r="BN227" s="253" t="n">
        <v>0</v>
      </c>
      <c r="BO227" s="253" t="n">
        <v>-915</v>
      </c>
      <c r="BP227" s="253" t="n">
        <v>-906</v>
      </c>
      <c r="BQ227" s="253" t="n">
        <v>19</v>
      </c>
      <c r="BR227" s="253" t="n">
        <v>0</v>
      </c>
      <c r="BS227" s="253" t="n">
        <v>0</v>
      </c>
      <c r="BT227" s="253" t="n">
        <v>-887</v>
      </c>
      <c r="BU227" s="253" t="n">
        <v>0</v>
      </c>
      <c r="BV227" s="253" t="n">
        <v>-705</v>
      </c>
      <c r="BW227" s="253" t="n">
        <v>0</v>
      </c>
      <c r="BX227" s="35" t="n"/>
      <c r="BY227" s="254">
        <f>SUM(BU227:BW227)</f>
        <v>-705</v>
      </c>
      <c r="BZ227" s="254">
        <f>-BZ73</f>
        <v>-1000</v>
      </c>
      <c r="CA227" s="254">
        <f>-CA73</f>
        <v>-1000</v>
      </c>
      <c r="CB227" s="254">
        <f>-CB73</f>
        <v>-1000</v>
      </c>
      <c r="CC227" s="254">
        <f>-CC73</f>
        <v>-1000</v>
      </c>
      <c r="CD227" s="254">
        <f>-CD73</f>
        <v>-1000</v>
      </c>
      <c r="CE227" s="19" t="inlineStr">
        <is>
          <t>FY2016: Visa Europe ($13.9bn up-front cash, net of cash acquired). 2026E = 9M actual. 2027E+: M&amp;A lever.</t>
        </is>
      </c>
    </row>
    <row r="228" ht="15" customHeight="1" s="251">
      <c r="B228" s="25" t="inlineStr">
        <is>
          <t>Investment securities, other investments &amp; other investing, net (derived)</t>
        </is>
      </c>
      <c r="C228" s="253" t="n">
        <v>969</v>
      </c>
      <c r="D228" s="253" t="n">
        <v>2136</v>
      </c>
      <c r="E228" s="253" t="n">
        <v>142</v>
      </c>
      <c r="F228" s="253" t="n">
        <v>-1678</v>
      </c>
      <c r="G228" s="253" t="n">
        <v>-2035</v>
      </c>
      <c r="H228" s="253" t="n">
        <v>-765</v>
      </c>
      <c r="I228" s="253" t="n">
        <v>527</v>
      </c>
      <c r="J228" s="253" t="n">
        <v>-783</v>
      </c>
      <c r="K228" s="253" t="n">
        <v>328</v>
      </c>
      <c r="L228" s="253" t="n">
        <v>-693</v>
      </c>
      <c r="M228" s="253" t="n">
        <v>-156</v>
      </c>
      <c r="N228" s="253" t="n">
        <v>267</v>
      </c>
      <c r="O228" s="253" t="n">
        <v>-93</v>
      </c>
      <c r="P228" s="253" t="n">
        <v>-257</v>
      </c>
      <c r="Q228" s="253" t="n">
        <v>-239</v>
      </c>
      <c r="R228" s="253" t="n">
        <v>-532</v>
      </c>
      <c r="S228" s="253" t="n">
        <v>177</v>
      </c>
      <c r="T228" s="253" t="n">
        <v>-552</v>
      </c>
      <c r="U228" s="253" t="n">
        <v>-21</v>
      </c>
      <c r="V228" s="253" t="n">
        <v>-928</v>
      </c>
      <c r="W228" s="253" t="n">
        <v>-6068</v>
      </c>
      <c r="X228" s="253" t="n">
        <v>4486</v>
      </c>
      <c r="Y228" s="253" t="n">
        <v>887</v>
      </c>
      <c r="Z228" s="253" t="n">
        <v>-616</v>
      </c>
      <c r="AA228" s="253" t="n">
        <v>-1311</v>
      </c>
      <c r="AB228" s="253" t="n">
        <v>-246</v>
      </c>
      <c r="AC228" s="253" t="n">
        <v>3133</v>
      </c>
      <c r="AD228" s="253" t="n">
        <v>-486</v>
      </c>
      <c r="AE228" s="253" t="n">
        <v>-657</v>
      </c>
      <c r="AF228" s="253" t="n">
        <v>1744</v>
      </c>
      <c r="AG228" s="253" t="n">
        <v>-566</v>
      </c>
      <c r="AH228" s="253" t="n">
        <v>-21</v>
      </c>
      <c r="AI228" s="253" t="n">
        <v>1</v>
      </c>
      <c r="AJ228" s="253" t="n">
        <v>-1584</v>
      </c>
      <c r="AK228" s="253" t="n">
        <v>-2170</v>
      </c>
      <c r="AL228" s="253" t="n">
        <v>87</v>
      </c>
      <c r="AM228" s="253" t="n">
        <v>-170</v>
      </c>
      <c r="AN228" s="253" t="n">
        <v>1139</v>
      </c>
      <c r="AO228" s="253" t="n">
        <v>-192</v>
      </c>
      <c r="AP228" s="253" t="n">
        <v>864</v>
      </c>
      <c r="AQ228" s="253" t="n">
        <v>830</v>
      </c>
      <c r="AR228" s="253" t="n">
        <v>2095</v>
      </c>
      <c r="AS228" s="253" t="n">
        <v>28</v>
      </c>
      <c r="AT228" s="253" t="n">
        <v>-713</v>
      </c>
      <c r="AU228" s="253" t="n">
        <v>2240</v>
      </c>
      <c r="AV228" s="253" t="n">
        <v>874</v>
      </c>
      <c r="AW228" s="253" t="n">
        <v>993</v>
      </c>
      <c r="AX228" s="253" t="n">
        <v>251</v>
      </c>
      <c r="AY228" s="253" t="n">
        <v>-1490</v>
      </c>
      <c r="AZ228" s="253" t="n">
        <v>628</v>
      </c>
      <c r="BA228" s="253" t="n">
        <v>458</v>
      </c>
      <c r="BB228" s="253" t="n">
        <v>-405</v>
      </c>
      <c r="BC228" s="253" t="n">
        <v>-1828</v>
      </c>
      <c r="BD228" s="253" t="n">
        <v>405</v>
      </c>
      <c r="BE228" s="253" t="n">
        <v>-1370</v>
      </c>
      <c r="BF228" s="253" t="n">
        <v>-261</v>
      </c>
      <c r="BG228" s="253" t="n">
        <v>-115</v>
      </c>
      <c r="BH228" s="253" t="n">
        <v>312</v>
      </c>
      <c r="BI228" s="253" t="n">
        <v>-883</v>
      </c>
      <c r="BJ228" s="253" t="n">
        <v>-947</v>
      </c>
      <c r="BK228" s="253" t="n">
        <v>-1622</v>
      </c>
      <c r="BL228" s="253" t="n">
        <v>20</v>
      </c>
      <c r="BM228" s="253" t="n">
        <v>955</v>
      </c>
      <c r="BN228" s="253" t="n">
        <v>893</v>
      </c>
      <c r="BO228" s="253" t="n">
        <v>246</v>
      </c>
      <c r="BP228" s="253" t="n">
        <v>2041</v>
      </c>
      <c r="BQ228" s="253" t="n">
        <v>178</v>
      </c>
      <c r="BR228" s="253" t="n">
        <v>165</v>
      </c>
      <c r="BS228" s="253" t="n">
        <v>693</v>
      </c>
      <c r="BT228" s="253" t="n">
        <v>3077</v>
      </c>
      <c r="BU228" s="253" t="n">
        <v>739</v>
      </c>
      <c r="BV228" s="253" t="n">
        <v>210</v>
      </c>
      <c r="BW228" s="253" t="n">
        <v>179</v>
      </c>
      <c r="BX228" s="35" t="n"/>
      <c r="BY228" s="254">
        <f>SUM(BU228:BW228)</f>
        <v>1128</v>
      </c>
      <c r="BZ228" s="269" t="n">
        <v>0</v>
      </c>
      <c r="CA228" s="269" t="n">
        <v>0</v>
      </c>
      <c r="CB228" s="269" t="n">
        <v>0</v>
      </c>
      <c r="CC228" s="269" t="n">
        <v>0</v>
      </c>
      <c r="CD228" s="269" t="n">
        <v>0</v>
      </c>
      <c r="CE228" s="19" t="inlineStr">
        <is>
          <t>2026E = 9M actual (net sales of investment securities); 2027E+ nil (investment securities held).</t>
        </is>
      </c>
    </row>
    <row r="229" ht="15" customHeight="1" s="251">
      <c r="B229" s="16" t="inlineStr">
        <is>
          <t>Net cash provided by (used in) investing activities</t>
        </is>
      </c>
      <c r="C229" s="276" t="n">
        <v>554</v>
      </c>
      <c r="D229" s="276" t="n">
        <v>1830</v>
      </c>
      <c r="E229" s="276" t="n">
        <v>-1904</v>
      </c>
      <c r="F229" s="276" t="n">
        <v>-2299</v>
      </c>
      <c r="G229" s="276" t="n">
        <v>-2414</v>
      </c>
      <c r="H229" s="276" t="n">
        <v>-865</v>
      </c>
      <c r="I229" s="276" t="n">
        <v>416</v>
      </c>
      <c r="J229" s="276" t="n">
        <v>-905</v>
      </c>
      <c r="K229" s="276" t="n">
        <v>190</v>
      </c>
      <c r="L229" s="276" t="n">
        <v>-1164</v>
      </c>
      <c r="M229" s="276" t="n">
        <v>-276</v>
      </c>
      <c r="N229" s="276" t="n">
        <v>170</v>
      </c>
      <c r="O229" s="276" t="n">
        <v>-336</v>
      </c>
      <c r="P229" s="276" t="n">
        <v>-499</v>
      </c>
      <c r="Q229" s="276" t="n">
        <v>-941</v>
      </c>
      <c r="R229" s="276" t="n">
        <v>-636</v>
      </c>
      <c r="S229" s="276" t="n">
        <v>79</v>
      </c>
      <c r="T229" s="276" t="n">
        <v>-719</v>
      </c>
      <c r="U229" s="276" t="n">
        <v>-159</v>
      </c>
      <c r="V229" s="276" t="n">
        <v>-1435</v>
      </c>
      <c r="W229" s="276" t="n">
        <v>-6194</v>
      </c>
      <c r="X229" s="276" t="n">
        <v>4348</v>
      </c>
      <c r="Y229" s="276" t="n">
        <v>-8313</v>
      </c>
      <c r="Z229" s="276" t="n">
        <v>-757</v>
      </c>
      <c r="AA229" s="276" t="n">
        <v>-10916</v>
      </c>
      <c r="AB229" s="276" t="n">
        <v>-417</v>
      </c>
      <c r="AC229" s="276" t="n">
        <v>2685</v>
      </c>
      <c r="AD229" s="276" t="n">
        <v>-681</v>
      </c>
      <c r="AE229" s="276" t="n">
        <v>-852</v>
      </c>
      <c r="AF229" s="276" t="n">
        <v>735</v>
      </c>
      <c r="AG229" s="276" t="n">
        <v>-707</v>
      </c>
      <c r="AH229" s="276" t="n">
        <v>-430</v>
      </c>
      <c r="AI229" s="276" t="n">
        <v>-168</v>
      </c>
      <c r="AJ229" s="276" t="n">
        <v>-1779</v>
      </c>
      <c r="AK229" s="276" t="n">
        <v>-3084</v>
      </c>
      <c r="AL229" s="276" t="n">
        <v>-70</v>
      </c>
      <c r="AM229" s="276" t="n">
        <v>-326</v>
      </c>
      <c r="AN229" s="276" t="n">
        <v>809</v>
      </c>
      <c r="AO229" s="276" t="n">
        <v>-1004</v>
      </c>
      <c r="AP229" s="276" t="n">
        <v>-591</v>
      </c>
      <c r="AQ229" s="276" t="n">
        <v>562</v>
      </c>
      <c r="AR229" s="276" t="n">
        <v>1879</v>
      </c>
      <c r="AS229" s="276" t="n">
        <v>-133</v>
      </c>
      <c r="AT229" s="276" t="n">
        <v>-881</v>
      </c>
      <c r="AU229" s="276" t="n">
        <v>1427</v>
      </c>
      <c r="AV229" s="276" t="n">
        <v>639</v>
      </c>
      <c r="AW229" s="276" t="n">
        <v>835</v>
      </c>
      <c r="AX229" s="276" t="n">
        <v>72</v>
      </c>
      <c r="AY229" s="276" t="n">
        <v>-1698</v>
      </c>
      <c r="AZ229" s="276" t="n">
        <v>-152</v>
      </c>
      <c r="BA229" s="276" t="n">
        <v>-547</v>
      </c>
      <c r="BB229" s="276" t="n">
        <v>-1785</v>
      </c>
      <c r="BC229" s="276" t="n">
        <v>-2063</v>
      </c>
      <c r="BD229" s="276" t="n">
        <v>107</v>
      </c>
      <c r="BE229" s="276" t="n">
        <v>-4288</v>
      </c>
      <c r="BF229" s="276" t="n">
        <v>-510</v>
      </c>
      <c r="BG229" s="276" t="n">
        <v>-325</v>
      </c>
      <c r="BH229" s="276" t="n">
        <v>17</v>
      </c>
      <c r="BI229" s="276" t="n">
        <v>-1188</v>
      </c>
      <c r="BJ229" s="276" t="n">
        <v>-2006</v>
      </c>
      <c r="BK229" s="276" t="n">
        <v>-1889</v>
      </c>
      <c r="BL229" s="276" t="n">
        <v>-1176</v>
      </c>
      <c r="BM229" s="276" t="n">
        <v>555</v>
      </c>
      <c r="BN229" s="276" t="n">
        <v>584</v>
      </c>
      <c r="BO229" s="276" t="n">
        <v>-1926</v>
      </c>
      <c r="BP229" s="276" t="n">
        <v>790</v>
      </c>
      <c r="BQ229" s="276" t="n">
        <v>-130</v>
      </c>
      <c r="BR229" s="276" t="n">
        <v>-256</v>
      </c>
      <c r="BS229" s="276" t="n">
        <v>304</v>
      </c>
      <c r="BT229" s="276" t="n">
        <v>708</v>
      </c>
      <c r="BU229" s="276" t="n">
        <v>361</v>
      </c>
      <c r="BV229" s="276" t="n">
        <v>-878</v>
      </c>
      <c r="BW229" s="276" t="n">
        <v>-238</v>
      </c>
      <c r="BX229" s="32" t="n"/>
      <c r="BY229" s="265">
        <f>SUM(BY226:BY228)</f>
        <v>-1177</v>
      </c>
      <c r="BZ229" s="265">
        <f>SUM(BZ226:BZ228)</f>
        <v>-2876.2321192864</v>
      </c>
      <c r="CA229" s="265">
        <f>SUM(CA226:CA228)</f>
        <v>-3024.20091011944</v>
      </c>
      <c r="CB229" s="265">
        <f>SUM(CB226:CB228)</f>
        <v>-3167.54830708642</v>
      </c>
      <c r="CC229" s="265">
        <f>SUM(CC226:CC228)</f>
        <v>-3371.90618462652</v>
      </c>
      <c r="CD229" s="265">
        <f>SUM(CD226:CD228)</f>
        <v>-3588.00871692573</v>
      </c>
      <c r="CE229" s="153" t="n"/>
    </row>
    <row r="230" ht="15" customHeight="1" s="251">
      <c r="B230" s="25" t="inlineStr">
        <is>
          <t>Repurchases of class A common stock</t>
        </is>
      </c>
      <c r="C230" s="253" t="n">
        <v>0</v>
      </c>
      <c r="D230" s="253" t="n">
        <v>0</v>
      </c>
      <c r="E230" s="253" t="n">
        <v>-1000</v>
      </c>
      <c r="F230" s="253" t="n">
        <v>-2024</v>
      </c>
      <c r="G230" s="253" t="n">
        <v>-710</v>
      </c>
      <c r="H230" s="253" t="n">
        <v>-1253</v>
      </c>
      <c r="I230" s="253" t="n">
        <v>-1820</v>
      </c>
      <c r="J230" s="253" t="n">
        <v>-981</v>
      </c>
      <c r="K230" s="253" t="n">
        <v>-1311</v>
      </c>
      <c r="L230" s="253" t="n">
        <v>-5365</v>
      </c>
      <c r="M230" s="253" t="n">
        <v>-1091</v>
      </c>
      <c r="N230" s="253" t="n">
        <v>-1119</v>
      </c>
      <c r="O230" s="253" t="n">
        <v>-1152</v>
      </c>
      <c r="P230" s="253" t="n">
        <v>-756</v>
      </c>
      <c r="Q230" s="253" t="n">
        <v>-4118</v>
      </c>
      <c r="R230" s="253" t="n">
        <v>-803</v>
      </c>
      <c r="S230" s="253" t="n">
        <v>-1052</v>
      </c>
      <c r="T230" s="253" t="n">
        <v>-1055</v>
      </c>
      <c r="U230" s="253" t="n">
        <v>0</v>
      </c>
      <c r="V230" s="253" t="n">
        <v>-2910</v>
      </c>
      <c r="W230" s="253" t="n">
        <v>-2015</v>
      </c>
      <c r="X230" s="253" t="n">
        <v>-1750</v>
      </c>
      <c r="Y230" s="253" t="n">
        <v>-1535</v>
      </c>
      <c r="Z230" s="253" t="n">
        <v>-1687</v>
      </c>
      <c r="AA230" s="253" t="n">
        <v>-6987</v>
      </c>
      <c r="AB230" s="253" t="n">
        <v>-1893</v>
      </c>
      <c r="AC230" s="253" t="n">
        <v>-1576</v>
      </c>
      <c r="AD230" s="253" t="n">
        <v>-1701</v>
      </c>
      <c r="AE230" s="253" t="n">
        <v>-1721</v>
      </c>
      <c r="AF230" s="253" t="n">
        <v>-6891</v>
      </c>
      <c r="AG230" s="253" t="n">
        <v>-1778</v>
      </c>
      <c r="AH230" s="253" t="n">
        <v>-2072</v>
      </c>
      <c r="AI230" s="253" t="n">
        <v>-1754</v>
      </c>
      <c r="AJ230" s="253" t="n">
        <v>-1588</v>
      </c>
      <c r="AK230" s="253" t="n">
        <v>-7192</v>
      </c>
      <c r="AL230" s="253" t="n">
        <v>-2393</v>
      </c>
      <c r="AM230" s="253" t="n">
        <v>-1938</v>
      </c>
      <c r="AN230" s="253" t="n">
        <v>-2149</v>
      </c>
      <c r="AO230" s="253" t="n">
        <v>-2127</v>
      </c>
      <c r="AP230" s="253" t="n">
        <v>-8607</v>
      </c>
      <c r="AQ230" s="253" t="n">
        <v>-2370</v>
      </c>
      <c r="AR230" s="253" t="n">
        <v>-3133</v>
      </c>
      <c r="AS230" s="253" t="n">
        <v>-1069</v>
      </c>
      <c r="AT230" s="253" t="n">
        <v>-1542</v>
      </c>
      <c r="AU230" s="253" t="n">
        <v>-8114</v>
      </c>
      <c r="AV230" s="253" t="n">
        <v>-1796</v>
      </c>
      <c r="AW230" s="253" t="n">
        <v>-1713</v>
      </c>
      <c r="AX230" s="253" t="n">
        <v>-2200</v>
      </c>
      <c r="AY230" s="253" t="n">
        <v>-2967</v>
      </c>
      <c r="AZ230" s="253" t="n">
        <v>-8676</v>
      </c>
      <c r="BA230" s="253" t="n">
        <v>-4104</v>
      </c>
      <c r="BB230" s="253" t="n">
        <v>-2949</v>
      </c>
      <c r="BC230" s="253" t="n">
        <v>-2433</v>
      </c>
      <c r="BD230" s="253" t="n">
        <v>-2103</v>
      </c>
      <c r="BE230" s="253" t="n">
        <v>-11589</v>
      </c>
      <c r="BF230" s="253" t="n">
        <v>-3115</v>
      </c>
      <c r="BG230" s="253" t="n">
        <v>-2194</v>
      </c>
      <c r="BH230" s="253" t="n">
        <v>-3041</v>
      </c>
      <c r="BI230" s="253" t="n">
        <v>-3751</v>
      </c>
      <c r="BJ230" s="253" t="n">
        <v>-12101</v>
      </c>
      <c r="BK230" s="253" t="n">
        <v>-3580</v>
      </c>
      <c r="BL230" s="253" t="n">
        <v>-2758</v>
      </c>
      <c r="BM230" s="253" t="n">
        <v>-4527</v>
      </c>
      <c r="BN230" s="253" t="n">
        <v>-5848</v>
      </c>
      <c r="BO230" s="253" t="n">
        <v>-16713</v>
      </c>
      <c r="BP230" s="253" t="n">
        <v>-4011</v>
      </c>
      <c r="BQ230" s="253" t="n">
        <v>-4596</v>
      </c>
      <c r="BR230" s="253" t="n">
        <v>-4782</v>
      </c>
      <c r="BS230" s="253" t="n">
        <v>-4927</v>
      </c>
      <c r="BT230" s="253" t="n">
        <v>-18316</v>
      </c>
      <c r="BU230" s="253" t="n">
        <v>-3725</v>
      </c>
      <c r="BV230" s="253" t="n">
        <v>-7900</v>
      </c>
      <c r="BW230" s="253" t="n">
        <v>-4805</v>
      </c>
      <c r="BX230" s="35" t="n"/>
      <c r="BY230" s="254">
        <f>SUM(BU230:BW230)-CHOOSE(MATCH($CE$2,{"Bull","Base","Bear"},0),$CN$14,$CO$14,$CP$14)</f>
        <v>-21430</v>
      </c>
      <c r="BZ230" s="254">
        <f>-BZ339</f>
        <v>-25650.1265328471</v>
      </c>
      <c r="CA230" s="254">
        <f>-CA339</f>
        <v>-25814.7566477729</v>
      </c>
      <c r="CB230" s="254">
        <f>-CB339</f>
        <v>-28695.9982193104</v>
      </c>
      <c r="CC230" s="254">
        <f>-CC339</f>
        <v>-31360.3814812529</v>
      </c>
      <c r="CD230" s="254">
        <f>-CD339</f>
        <v>-34447.8354389217</v>
      </c>
      <c r="CE230" s="19" t="inlineStr">
        <is>
          <t>2026E: 9M actual + Q4 scenario input ($28.4bn remaining authorization at 30-Jun-2026). 2027E+ = leverage plug (surplus cash returned until net debt / adjusted EBITDA reaches the target).</t>
        </is>
      </c>
    </row>
    <row r="231" ht="15" customHeight="1" s="251">
      <c r="B231" s="25" t="inlineStr">
        <is>
          <t>Dividends paid</t>
        </is>
      </c>
      <c r="C231" s="253" t="n">
        <v>-93</v>
      </c>
      <c r="D231" s="253" t="n">
        <v>-318</v>
      </c>
      <c r="E231" s="253" t="n">
        <v>-368</v>
      </c>
      <c r="F231" s="253" t="n">
        <v>-423</v>
      </c>
      <c r="G231" s="253" t="n">
        <v>-595</v>
      </c>
      <c r="H231" s="253" t="n">
        <v>-220</v>
      </c>
      <c r="I231" s="253" t="n">
        <v>-217</v>
      </c>
      <c r="J231" s="253" t="n">
        <v>-216</v>
      </c>
      <c r="K231" s="253" t="n">
        <v>-211</v>
      </c>
      <c r="L231" s="253" t="n">
        <v>-864</v>
      </c>
      <c r="M231" s="253" t="n">
        <v>-254</v>
      </c>
      <c r="N231" s="253" t="n">
        <v>-253</v>
      </c>
      <c r="O231" s="253" t="n">
        <v>-251</v>
      </c>
      <c r="P231" s="253" t="n">
        <v>-248</v>
      </c>
      <c r="Q231" s="253" t="n">
        <v>-1006</v>
      </c>
      <c r="R231" s="253" t="n">
        <v>-297</v>
      </c>
      <c r="S231" s="253" t="n">
        <v>-294</v>
      </c>
      <c r="T231" s="253" t="n">
        <v>-294</v>
      </c>
      <c r="U231" s="253" t="n">
        <v>-292</v>
      </c>
      <c r="V231" s="253" t="n">
        <v>-1177</v>
      </c>
      <c r="W231" s="253" t="n">
        <v>-340</v>
      </c>
      <c r="X231" s="253" t="n">
        <v>-336</v>
      </c>
      <c r="Y231" s="253" t="n">
        <v>-335</v>
      </c>
      <c r="Z231" s="253" t="n">
        <v>-339</v>
      </c>
      <c r="AA231" s="253" t="n">
        <v>-1350</v>
      </c>
      <c r="AB231" s="253" t="n">
        <v>-399</v>
      </c>
      <c r="AC231" s="253" t="n">
        <v>-396</v>
      </c>
      <c r="AD231" s="253" t="n">
        <v>-394</v>
      </c>
      <c r="AE231" s="253" t="n">
        <v>-390</v>
      </c>
      <c r="AF231" s="253" t="n">
        <v>-1579</v>
      </c>
      <c r="AG231" s="253" t="n">
        <v>-458</v>
      </c>
      <c r="AH231" s="253" t="n">
        <v>-490</v>
      </c>
      <c r="AI231" s="253" t="n">
        <v>-487</v>
      </c>
      <c r="AJ231" s="253" t="n">
        <v>-483</v>
      </c>
      <c r="AK231" s="253" t="n">
        <v>-1918</v>
      </c>
      <c r="AL231" s="253" t="n">
        <v>-572</v>
      </c>
      <c r="AM231" s="253" t="n">
        <v>-569</v>
      </c>
      <c r="AN231" s="253" t="n">
        <v>-565</v>
      </c>
      <c r="AO231" s="253" t="n">
        <v>-563</v>
      </c>
      <c r="AP231" s="253" t="n">
        <v>-2269</v>
      </c>
      <c r="AQ231" s="253" t="n">
        <v>-671</v>
      </c>
      <c r="AR231" s="253" t="n">
        <v>-668</v>
      </c>
      <c r="AS231" s="253" t="n">
        <v>-663</v>
      </c>
      <c r="AT231" s="253" t="n">
        <v>-662</v>
      </c>
      <c r="AU231" s="253" t="n">
        <v>-2664</v>
      </c>
      <c r="AV231" s="253" t="n">
        <v>-703</v>
      </c>
      <c r="AW231" s="253" t="n">
        <v>-701</v>
      </c>
      <c r="AX231" s="253" t="n">
        <v>-698</v>
      </c>
      <c r="AY231" s="253" t="n">
        <v>-696</v>
      </c>
      <c r="AZ231" s="253" t="n">
        <v>-2798</v>
      </c>
      <c r="BA231" s="253" t="n">
        <v>-809</v>
      </c>
      <c r="BB231" s="253" t="n">
        <v>-802</v>
      </c>
      <c r="BC231" s="253" t="n">
        <v>-798</v>
      </c>
      <c r="BD231" s="253" t="n">
        <v>-794</v>
      </c>
      <c r="BE231" s="253" t="n">
        <v>-3203</v>
      </c>
      <c r="BF231" s="253" t="n">
        <v>-945</v>
      </c>
      <c r="BG231" s="253" t="n">
        <v>-941</v>
      </c>
      <c r="BH231" s="253" t="n">
        <v>-937</v>
      </c>
      <c r="BI231" s="253" t="n">
        <v>-928</v>
      </c>
      <c r="BJ231" s="253" t="n">
        <v>-3751</v>
      </c>
      <c r="BK231" s="253" t="n">
        <v>-1060</v>
      </c>
      <c r="BL231" s="253" t="n">
        <v>-1060</v>
      </c>
      <c r="BM231" s="253" t="n">
        <v>-1056</v>
      </c>
      <c r="BN231" s="253" t="n">
        <v>-1041</v>
      </c>
      <c r="BO231" s="253" t="n">
        <v>-4217</v>
      </c>
      <c r="BP231" s="253" t="n">
        <v>-1170</v>
      </c>
      <c r="BQ231" s="253" t="n">
        <v>-1164</v>
      </c>
      <c r="BR231" s="253" t="n">
        <v>-1154</v>
      </c>
      <c r="BS231" s="253" t="n">
        <v>-1146</v>
      </c>
      <c r="BT231" s="253" t="n">
        <v>-4634</v>
      </c>
      <c r="BU231" s="253" t="n">
        <v>-1293</v>
      </c>
      <c r="BV231" s="253" t="n">
        <v>-1286</v>
      </c>
      <c r="BW231" s="253" t="n">
        <v>-1273</v>
      </c>
      <c r="BX231" s="35" t="n"/>
      <c r="BY231" s="254">
        <f>SUM(BU231:BW231)-BX148*BX143</f>
        <v>-5114.8315874036</v>
      </c>
      <c r="BZ231" s="254">
        <f>-BZ148*BZ257</f>
        <v>-5639.69582313625</v>
      </c>
      <c r="CA231" s="254">
        <f>-CA148*CA257</f>
        <v>-6124.65468048407</v>
      </c>
      <c r="CB231" s="254">
        <f>-CB148*CB257</f>
        <v>-6660.45418368669</v>
      </c>
      <c r="CC231" s="254">
        <f>-CC148*CC257</f>
        <v>-7229.62776676613</v>
      </c>
      <c r="CD231" s="254">
        <f>-CD148*CD257</f>
        <v>-7836.20200335683</v>
      </c>
      <c r="CE231" s="19" t="inlineStr">
        <is>
          <t>Dividends on class A and, on an as-converted basis, class B / C and preferred (dividend × as-converted shares).</t>
        </is>
      </c>
    </row>
    <row r="232" ht="15" customHeight="1" s="251">
      <c r="B232" s="25" t="inlineStr">
        <is>
          <t>Senior notes &amp; commercial paper, net issuance / (repayment)</t>
        </is>
      </c>
      <c r="C232" s="253" t="n">
        <v>0</v>
      </c>
      <c r="D232" s="253" t="n">
        <v>0</v>
      </c>
      <c r="E232" s="253" t="n">
        <v>0</v>
      </c>
      <c r="F232" s="253" t="n">
        <v>0</v>
      </c>
      <c r="G232" s="253" t="n">
        <v>0</v>
      </c>
      <c r="H232" s="253" t="n">
        <v>0</v>
      </c>
      <c r="I232" s="253" t="n">
        <v>0</v>
      </c>
      <c r="J232" s="253" t="n">
        <v>0</v>
      </c>
      <c r="K232" s="253" t="n">
        <v>0</v>
      </c>
      <c r="L232" s="253" t="n">
        <v>0</v>
      </c>
      <c r="M232" s="253" t="n">
        <v>0</v>
      </c>
      <c r="N232" s="253" t="n">
        <v>0</v>
      </c>
      <c r="O232" s="253" t="n">
        <v>0</v>
      </c>
      <c r="P232" s="253" t="n">
        <v>0</v>
      </c>
      <c r="Q232" s="253" t="n">
        <v>0</v>
      </c>
      <c r="R232" s="253" t="n">
        <v>0</v>
      </c>
      <c r="S232" s="253" t="n">
        <v>0</v>
      </c>
      <c r="T232" s="253" t="n">
        <v>0</v>
      </c>
      <c r="U232" s="253" t="n">
        <v>0</v>
      </c>
      <c r="V232" s="253" t="n">
        <v>0</v>
      </c>
      <c r="W232" s="253" t="n">
        <v>15971</v>
      </c>
      <c r="X232" s="253" t="n">
        <v>0</v>
      </c>
      <c r="Y232" s="253" t="n">
        <v>0</v>
      </c>
      <c r="Z232" s="253" t="n">
        <v>0</v>
      </c>
      <c r="AA232" s="253" t="n">
        <v>15971</v>
      </c>
      <c r="AB232" s="253" t="n">
        <v>566</v>
      </c>
      <c r="AC232" s="253" t="n">
        <v>-566</v>
      </c>
      <c r="AD232" s="253" t="n">
        <v>0</v>
      </c>
      <c r="AE232" s="253" t="n">
        <v>2488</v>
      </c>
      <c r="AF232" s="253" t="n">
        <v>2488</v>
      </c>
      <c r="AG232" s="253" t="n">
        <v>-1750</v>
      </c>
      <c r="AH232" s="253" t="n">
        <v>0</v>
      </c>
      <c r="AI232" s="253" t="n">
        <v>0</v>
      </c>
      <c r="AJ232" s="253" t="n">
        <v>0</v>
      </c>
      <c r="AK232" s="253" t="n">
        <v>-1750</v>
      </c>
      <c r="AL232" s="253" t="n">
        <v>0</v>
      </c>
      <c r="AM232" s="253" t="n">
        <v>0</v>
      </c>
      <c r="AN232" s="253" t="n">
        <v>0</v>
      </c>
      <c r="AO232" s="253" t="n">
        <v>0</v>
      </c>
      <c r="AP232" s="253" t="n">
        <v>0</v>
      </c>
      <c r="AQ232" s="253" t="n">
        <v>0</v>
      </c>
      <c r="AR232" s="253" t="n">
        <v>1001</v>
      </c>
      <c r="AS232" s="253" t="n">
        <v>2984</v>
      </c>
      <c r="AT232" s="253" t="n">
        <v>3227</v>
      </c>
      <c r="AU232" s="253" t="n">
        <v>7212</v>
      </c>
      <c r="AV232" s="253" t="n">
        <v>-3000</v>
      </c>
      <c r="AW232" s="253" t="n">
        <v>0</v>
      </c>
      <c r="AX232" s="253" t="n">
        <v>0</v>
      </c>
      <c r="AY232" s="253" t="n">
        <v>0</v>
      </c>
      <c r="AZ232" s="253" t="n">
        <v>-3000</v>
      </c>
      <c r="BA232" s="253" t="n">
        <v>0</v>
      </c>
      <c r="BB232" s="253" t="n">
        <v>300</v>
      </c>
      <c r="BC232" s="253" t="n">
        <v>2918</v>
      </c>
      <c r="BD232" s="253" t="n">
        <v>-1000</v>
      </c>
      <c r="BE232" s="253" t="n">
        <v>2218</v>
      </c>
      <c r="BF232" s="253" t="n">
        <v>-2250</v>
      </c>
      <c r="BG232" s="253" t="n">
        <v>0</v>
      </c>
      <c r="BH232" s="253" t="n">
        <v>0</v>
      </c>
      <c r="BI232" s="253" t="n">
        <v>0</v>
      </c>
      <c r="BJ232" s="253" t="n">
        <v>-2250</v>
      </c>
      <c r="BK232" s="253" t="n">
        <v>0</v>
      </c>
      <c r="BL232" s="253" t="n">
        <v>0</v>
      </c>
      <c r="BM232" s="253" t="n">
        <v>0</v>
      </c>
      <c r="BN232" s="253" t="n">
        <v>0</v>
      </c>
      <c r="BO232" s="253" t="n">
        <v>0</v>
      </c>
      <c r="BP232" s="253" t="n">
        <v>0</v>
      </c>
      <c r="BQ232" s="253" t="n">
        <v>0</v>
      </c>
      <c r="BR232" s="253" t="n">
        <v>3924</v>
      </c>
      <c r="BS232" s="253" t="n">
        <v>0</v>
      </c>
      <c r="BT232" s="253" t="n">
        <v>3924</v>
      </c>
      <c r="BU232" s="253" t="n">
        <v>-4000</v>
      </c>
      <c r="BV232" s="253" t="n">
        <v>2995</v>
      </c>
      <c r="BW232" s="253" t="n">
        <v>-69</v>
      </c>
      <c r="BX232" s="35" t="n"/>
      <c r="BY232" s="254">
        <f>SUM(BU232:BW232)+(BY322-BW322)</f>
        <v>-2574</v>
      </c>
      <c r="BZ232" s="254">
        <f>BZ330</f>
        <v>3660.37557724049</v>
      </c>
      <c r="CA232" s="254">
        <f>CA330</f>
        <v>1389.63549985998</v>
      </c>
      <c r="CB232" s="254">
        <f>CB330</f>
        <v>1461.90856235112</v>
      </c>
      <c r="CC232" s="254">
        <f>CC330</f>
        <v>1441.26082054594</v>
      </c>
      <c r="CD232" s="254">
        <f>CD330</f>
        <v>1571.76538836939</v>
      </c>
      <c r="CE232" s="19" t="inlineStr">
        <is>
          <t>Per the debt schedule: notes repaid at maturity and refinanced; commercial paper drawn or repaid to the minimum cash balance.</t>
        </is>
      </c>
    </row>
    <row r="233" ht="15" customHeight="1" s="251">
      <c r="B233" s="25" t="inlineStr">
        <is>
          <t>Equity plans, withholding taxes, litigation escrow (to FY2018) &amp; other financing, net (derived)</t>
        </is>
      </c>
      <c r="C233" s="253" t="n">
        <v>3717</v>
      </c>
      <c r="D233" s="253" t="n">
        <v>-2433</v>
      </c>
      <c r="E233" s="253" t="n">
        <v>-174</v>
      </c>
      <c r="F233" s="253" t="n">
        <v>-857</v>
      </c>
      <c r="G233" s="253" t="n">
        <v>-1350</v>
      </c>
      <c r="H233" s="253" t="n">
        <v>4422</v>
      </c>
      <c r="I233" s="253" t="n">
        <v>20</v>
      </c>
      <c r="J233" s="253" t="n">
        <v>21</v>
      </c>
      <c r="K233" s="253" t="n">
        <v>20</v>
      </c>
      <c r="L233" s="253" t="n">
        <v>4483</v>
      </c>
      <c r="M233" s="253" t="n">
        <v>15</v>
      </c>
      <c r="N233" s="253" t="n">
        <v>-1028</v>
      </c>
      <c r="O233" s="253" t="n">
        <v>35</v>
      </c>
      <c r="P233" s="253" t="n">
        <v>-376</v>
      </c>
      <c r="Q233" s="253" t="n">
        <v>-1354</v>
      </c>
      <c r="R233" s="253" t="n">
        <v>88</v>
      </c>
      <c r="S233" s="253" t="n">
        <v>243</v>
      </c>
      <c r="T233" s="253" t="n">
        <v>65</v>
      </c>
      <c r="U233" s="253" t="n">
        <v>88</v>
      </c>
      <c r="V233" s="253" t="n">
        <v>484</v>
      </c>
      <c r="W233" s="253" t="n">
        <v>-82</v>
      </c>
      <c r="X233" s="253" t="n">
        <v>4</v>
      </c>
      <c r="Y233" s="253" t="n">
        <v>-114</v>
      </c>
      <c r="Z233" s="253" t="n">
        <v>35</v>
      </c>
      <c r="AA233" s="253" t="n">
        <v>-157</v>
      </c>
      <c r="AB233" s="253" t="n">
        <v>-4</v>
      </c>
      <c r="AC233" s="253" t="n">
        <v>25</v>
      </c>
      <c r="AD233" s="253" t="n">
        <v>34</v>
      </c>
      <c r="AE233" s="253" t="n">
        <v>3</v>
      </c>
      <c r="AF233" s="253" t="n">
        <v>58</v>
      </c>
      <c r="AG233" s="253" t="n">
        <v>115</v>
      </c>
      <c r="AH233" s="253" t="n">
        <v>50</v>
      </c>
      <c r="AI233" s="253" t="n">
        <v>-570</v>
      </c>
      <c r="AJ233" s="253" t="n">
        <v>25</v>
      </c>
      <c r="AK233" s="253" t="n">
        <v>-380</v>
      </c>
      <c r="AL233" s="253" t="n">
        <v>-53</v>
      </c>
      <c r="AM233" s="253" t="n">
        <v>39</v>
      </c>
      <c r="AN233" s="253" t="n">
        <v>-1201</v>
      </c>
      <c r="AO233" s="253" t="n">
        <v>30</v>
      </c>
      <c r="AP233" s="253" t="n">
        <v>-1185</v>
      </c>
      <c r="AQ233" s="253" t="n">
        <v>-92</v>
      </c>
      <c r="AR233" s="253" t="n">
        <v>46</v>
      </c>
      <c r="AS233" s="253" t="n">
        <v>-88</v>
      </c>
      <c r="AT233" s="253" t="n">
        <v>-268</v>
      </c>
      <c r="AU233" s="253" t="n">
        <v>-402</v>
      </c>
      <c r="AV233" s="253" t="n">
        <v>-73</v>
      </c>
      <c r="AW233" s="253" t="n">
        <v>41</v>
      </c>
      <c r="AX233" s="253" t="n">
        <v>52</v>
      </c>
      <c r="AY233" s="253" t="n">
        <v>44</v>
      </c>
      <c r="AZ233" s="253" t="n">
        <v>64</v>
      </c>
      <c r="BA233" s="253" t="n">
        <v>-54</v>
      </c>
      <c r="BB233" s="253" t="n">
        <v>51</v>
      </c>
      <c r="BC233" s="253" t="n">
        <v>24</v>
      </c>
      <c r="BD233" s="253" t="n">
        <v>-143</v>
      </c>
      <c r="BE233" s="253" t="n">
        <v>-122</v>
      </c>
      <c r="BF233" s="253" t="n">
        <v>-37</v>
      </c>
      <c r="BG233" s="253" t="n">
        <v>209</v>
      </c>
      <c r="BH233" s="253" t="n">
        <v>59</v>
      </c>
      <c r="BI233" s="253" t="n">
        <v>99</v>
      </c>
      <c r="BJ233" s="253" t="n">
        <v>330</v>
      </c>
      <c r="BK233" s="253" t="n">
        <v>261</v>
      </c>
      <c r="BL233" s="253" t="n">
        <v>-56</v>
      </c>
      <c r="BM233" s="253" t="n">
        <v>272</v>
      </c>
      <c r="BN233" s="253" t="n">
        <v>-180</v>
      </c>
      <c r="BO233" s="253" t="n">
        <v>297</v>
      </c>
      <c r="BP233" s="253" t="n">
        <v>-294</v>
      </c>
      <c r="BQ233" s="253" t="n">
        <v>100</v>
      </c>
      <c r="BR233" s="253" t="n">
        <v>184</v>
      </c>
      <c r="BS233" s="253" t="n">
        <v>73</v>
      </c>
      <c r="BT233" s="253" t="n">
        <v>63</v>
      </c>
      <c r="BU233" s="253" t="n">
        <v>32</v>
      </c>
      <c r="BV233" s="253" t="n">
        <v>-219</v>
      </c>
      <c r="BW233" s="253" t="n">
        <v>3</v>
      </c>
      <c r="BX233" s="35" t="n"/>
      <c r="BY233" s="254">
        <f>SUM(BU233:BW233)+0.0</f>
        <v>-184</v>
      </c>
      <c r="BZ233" s="269" t="n">
        <v>0</v>
      </c>
      <c r="CA233" s="269" t="n">
        <v>0</v>
      </c>
      <c r="CB233" s="269" t="n">
        <v>0</v>
      </c>
      <c r="CC233" s="269" t="n">
        <v>0</v>
      </c>
      <c r="CD233" s="269" t="n">
        <v>0</v>
      </c>
      <c r="CE233" s="19" t="inlineStr">
        <is>
          <t>2026E = 9M actual; 2027E+ nil (assumption): equity-plan proceeds less withholding taxes and other financing were −$0.1bn to +$0.3bn a year in FY2021–25 (9M FY26 −$184m).</t>
        </is>
      </c>
    </row>
    <row r="234" ht="15" customHeight="1" s="251">
      <c r="B234" s="16" t="inlineStr">
        <is>
          <t>Net cash provided by (used in) financing activities</t>
        </is>
      </c>
      <c r="C234" s="276" t="n">
        <v>3624</v>
      </c>
      <c r="D234" s="276" t="n">
        <v>-2751</v>
      </c>
      <c r="E234" s="276" t="n">
        <v>-1542</v>
      </c>
      <c r="F234" s="276" t="n">
        <v>-3304</v>
      </c>
      <c r="G234" s="276" t="n">
        <v>-2655</v>
      </c>
      <c r="H234" s="276" t="n">
        <v>2949</v>
      </c>
      <c r="I234" s="276" t="n">
        <v>-2017</v>
      </c>
      <c r="J234" s="276" t="n">
        <v>-1176</v>
      </c>
      <c r="K234" s="276" t="n">
        <v>-1502</v>
      </c>
      <c r="L234" s="276" t="n">
        <v>-1746</v>
      </c>
      <c r="M234" s="276" t="n">
        <v>-1330</v>
      </c>
      <c r="N234" s="276" t="n">
        <v>-2400</v>
      </c>
      <c r="O234" s="276" t="n">
        <v>-1368</v>
      </c>
      <c r="P234" s="276" t="n">
        <v>-1380</v>
      </c>
      <c r="Q234" s="276" t="n">
        <v>-6478</v>
      </c>
      <c r="R234" s="276" t="n">
        <v>-1012</v>
      </c>
      <c r="S234" s="276" t="n">
        <v>-1103</v>
      </c>
      <c r="T234" s="276" t="n">
        <v>-1284</v>
      </c>
      <c r="U234" s="276" t="n">
        <v>-204</v>
      </c>
      <c r="V234" s="276" t="n">
        <v>-3603</v>
      </c>
      <c r="W234" s="276" t="n">
        <v>13534</v>
      </c>
      <c r="X234" s="276" t="n">
        <v>-2082</v>
      </c>
      <c r="Y234" s="276" t="n">
        <v>-1984</v>
      </c>
      <c r="Z234" s="276" t="n">
        <v>-1991</v>
      </c>
      <c r="AA234" s="276" t="n">
        <v>7477</v>
      </c>
      <c r="AB234" s="276" t="n">
        <v>-1730</v>
      </c>
      <c r="AC234" s="276" t="n">
        <v>-2513</v>
      </c>
      <c r="AD234" s="276" t="n">
        <v>-2061</v>
      </c>
      <c r="AE234" s="276" t="n">
        <v>380</v>
      </c>
      <c r="AF234" s="276" t="n">
        <v>-5924</v>
      </c>
      <c r="AG234" s="276" t="n">
        <v>-3871</v>
      </c>
      <c r="AH234" s="276" t="n">
        <v>-2512</v>
      </c>
      <c r="AI234" s="276" t="n">
        <v>-2811</v>
      </c>
      <c r="AJ234" s="276" t="n">
        <v>-2046</v>
      </c>
      <c r="AK234" s="276" t="n">
        <v>-11240</v>
      </c>
      <c r="AL234" s="276" t="n">
        <v>-3018</v>
      </c>
      <c r="AM234" s="276" t="n">
        <v>-2468</v>
      </c>
      <c r="AN234" s="276" t="n">
        <v>-3915</v>
      </c>
      <c r="AO234" s="276" t="n">
        <v>-2660</v>
      </c>
      <c r="AP234" s="276" t="n">
        <v>-12061</v>
      </c>
      <c r="AQ234" s="276" t="n">
        <v>-3133</v>
      </c>
      <c r="AR234" s="276" t="n">
        <v>-2754</v>
      </c>
      <c r="AS234" s="276" t="n">
        <v>1164</v>
      </c>
      <c r="AT234" s="276" t="n">
        <v>755</v>
      </c>
      <c r="AU234" s="276" t="n">
        <v>-3968</v>
      </c>
      <c r="AV234" s="276" t="n">
        <v>-5572</v>
      </c>
      <c r="AW234" s="276" t="n">
        <v>-2373</v>
      </c>
      <c r="AX234" s="276" t="n">
        <v>-2846</v>
      </c>
      <c r="AY234" s="276" t="n">
        <v>-3619</v>
      </c>
      <c r="AZ234" s="276" t="n">
        <v>-14410</v>
      </c>
      <c r="BA234" s="276" t="n">
        <v>-4967</v>
      </c>
      <c r="BB234" s="276" t="n">
        <v>-3400</v>
      </c>
      <c r="BC234" s="276" t="n">
        <v>-289</v>
      </c>
      <c r="BD234" s="276" t="n">
        <v>-4040</v>
      </c>
      <c r="BE234" s="276" t="n">
        <v>-12696</v>
      </c>
      <c r="BF234" s="276" t="n">
        <v>-6347</v>
      </c>
      <c r="BG234" s="276" t="n">
        <v>-2926</v>
      </c>
      <c r="BH234" s="276" t="n">
        <v>-3919</v>
      </c>
      <c r="BI234" s="276" t="n">
        <v>-4580</v>
      </c>
      <c r="BJ234" s="276" t="n">
        <v>-17772</v>
      </c>
      <c r="BK234" s="276" t="n">
        <v>-4379</v>
      </c>
      <c r="BL234" s="276" t="n">
        <v>-3874</v>
      </c>
      <c r="BM234" s="276" t="n">
        <v>-5311</v>
      </c>
      <c r="BN234" s="276" t="n">
        <v>-7069</v>
      </c>
      <c r="BO234" s="276" t="n">
        <v>-20633</v>
      </c>
      <c r="BP234" s="276" t="n">
        <v>-5475</v>
      </c>
      <c r="BQ234" s="276" t="n">
        <v>-5660</v>
      </c>
      <c r="BR234" s="276" t="n">
        <v>-1828</v>
      </c>
      <c r="BS234" s="276" t="n">
        <v>-6000</v>
      </c>
      <c r="BT234" s="276" t="n">
        <v>-18963</v>
      </c>
      <c r="BU234" s="276" t="n">
        <v>-8986</v>
      </c>
      <c r="BV234" s="276" t="n">
        <v>-6410</v>
      </c>
      <c r="BW234" s="276" t="n">
        <v>-6144</v>
      </c>
      <c r="BX234" s="32" t="n"/>
      <c r="BY234" s="265">
        <f>SUM(BY230:BY233)</f>
        <v>-29302.8315874036</v>
      </c>
      <c r="BZ234" s="265">
        <f>SUM(BZ230:BZ233)</f>
        <v>-27629.4467787428</v>
      </c>
      <c r="CA234" s="265">
        <f>SUM(CA230:CA233)</f>
        <v>-30549.775828397</v>
      </c>
      <c r="CB234" s="265">
        <f>SUM(CB230:CB233)</f>
        <v>-33894.543840646</v>
      </c>
      <c r="CC234" s="265">
        <f>SUM(CC230:CC233)</f>
        <v>-37148.7484274731</v>
      </c>
      <c r="CD234" s="265">
        <f>SUM(CD230:CD233)</f>
        <v>-40712.2720539091</v>
      </c>
      <c r="CE234" s="153" t="n"/>
    </row>
    <row r="235" ht="15" customHeight="1" s="251">
      <c r="B235" s="25" t="inlineStr">
        <is>
          <t>Effect of exchange rate changes on cash</t>
        </is>
      </c>
      <c r="C235" s="253" t="n">
        <v>-5</v>
      </c>
      <c r="D235" s="253" t="n">
        <v>1</v>
      </c>
      <c r="E235" s="253" t="n">
        <v>5</v>
      </c>
      <c r="F235" s="253" t="n">
        <v>-9</v>
      </c>
      <c r="G235" s="253" t="n">
        <v>7</v>
      </c>
      <c r="H235" s="253" t="n">
        <v>0</v>
      </c>
      <c r="I235" s="253" t="n">
        <v>0</v>
      </c>
      <c r="J235" s="253" t="n">
        <v>0</v>
      </c>
      <c r="K235" s="253" t="n">
        <v>0</v>
      </c>
      <c r="L235" s="253" t="n">
        <v>0</v>
      </c>
      <c r="M235" s="253" t="n">
        <v>0</v>
      </c>
      <c r="N235" s="253" t="n">
        <v>0</v>
      </c>
      <c r="O235" s="253" t="n">
        <v>0</v>
      </c>
      <c r="P235" s="253" t="n">
        <v>-1</v>
      </c>
      <c r="Q235" s="253" t="n">
        <v>-1</v>
      </c>
      <c r="R235" s="253" t="n">
        <v>1</v>
      </c>
      <c r="S235" s="253" t="n">
        <v>0</v>
      </c>
      <c r="T235" s="253" t="n">
        <v>0</v>
      </c>
      <c r="U235" s="253" t="n">
        <v>0</v>
      </c>
      <c r="V235" s="253" t="n">
        <v>1</v>
      </c>
      <c r="W235" s="253" t="n">
        <v>0</v>
      </c>
      <c r="X235" s="253" t="n">
        <v>0</v>
      </c>
      <c r="Y235" s="253" t="n">
        <v>-62</v>
      </c>
      <c r="Z235" s="253" t="n">
        <v>28</v>
      </c>
      <c r="AA235" s="253" t="n">
        <v>-34</v>
      </c>
      <c r="AB235" s="253" t="n">
        <v>-156</v>
      </c>
      <c r="AC235" s="253" t="n">
        <v>35</v>
      </c>
      <c r="AD235" s="253" t="n">
        <v>215</v>
      </c>
      <c r="AE235" s="253" t="n">
        <v>142</v>
      </c>
      <c r="AF235" s="253" t="n">
        <v>236</v>
      </c>
      <c r="AG235" s="253" t="n">
        <v>80</v>
      </c>
      <c r="AH235" s="253" t="n">
        <v>126</v>
      </c>
      <c r="AI235" s="253" t="n">
        <v>-295</v>
      </c>
      <c r="AJ235" s="253" t="n">
        <v>-12</v>
      </c>
      <c r="AK235" s="253" t="n">
        <v>-101</v>
      </c>
      <c r="AL235" s="253" t="n">
        <v>-68</v>
      </c>
      <c r="AM235" s="253" t="n">
        <v>-103</v>
      </c>
      <c r="AN235" s="253" t="n">
        <v>109</v>
      </c>
      <c r="AO235" s="253" t="n">
        <v>-215</v>
      </c>
      <c r="AP235" s="253" t="n">
        <v>-277</v>
      </c>
      <c r="AQ235" s="253" t="n">
        <v>127</v>
      </c>
      <c r="AR235" s="253" t="n">
        <v>-39</v>
      </c>
      <c r="AS235" s="253" t="n">
        <v>85</v>
      </c>
      <c r="AT235" s="253" t="n">
        <v>267</v>
      </c>
      <c r="AU235" s="253" t="n">
        <v>440</v>
      </c>
      <c r="AV235" s="253" t="n">
        <v>304</v>
      </c>
      <c r="AW235" s="253" t="n">
        <v>-288</v>
      </c>
      <c r="AX235" s="253" t="n">
        <v>76</v>
      </c>
      <c r="AY235" s="253" t="n">
        <v>-129</v>
      </c>
      <c r="AZ235" s="253" t="n">
        <v>-37</v>
      </c>
      <c r="BA235" s="253" t="n">
        <v>-194</v>
      </c>
      <c r="BB235" s="253" t="n">
        <v>-111</v>
      </c>
      <c r="BC235" s="253" t="n">
        <v>-420</v>
      </c>
      <c r="BD235" s="253" t="n">
        <v>-562</v>
      </c>
      <c r="BE235" s="253" t="n">
        <v>-1287</v>
      </c>
      <c r="BF235" s="253" t="n">
        <v>692</v>
      </c>
      <c r="BG235" s="253" t="n">
        <v>136</v>
      </c>
      <c r="BH235" s="253" t="n">
        <v>16</v>
      </c>
      <c r="BI235" s="253" t="n">
        <v>-208</v>
      </c>
      <c r="BJ235" s="253" t="n">
        <v>636</v>
      </c>
      <c r="BK235" s="253" t="n">
        <v>300</v>
      </c>
      <c r="BL235" s="253" t="n">
        <v>-176</v>
      </c>
      <c r="BM235" s="253" t="n">
        <v>-50</v>
      </c>
      <c r="BN235" s="253" t="n">
        <v>308</v>
      </c>
      <c r="BO235" s="253" t="n">
        <v>382</v>
      </c>
      <c r="BP235" s="253" t="n">
        <v>-508</v>
      </c>
      <c r="BQ235" s="253" t="n">
        <v>265</v>
      </c>
      <c r="BR235" s="253" t="n">
        <v>659</v>
      </c>
      <c r="BS235" s="253" t="n">
        <v>4</v>
      </c>
      <c r="BT235" s="253" t="n">
        <v>420</v>
      </c>
      <c r="BU235" s="253" t="n">
        <v>34</v>
      </c>
      <c r="BV235" s="253" t="n">
        <v>-190</v>
      </c>
      <c r="BW235" s="253" t="n">
        <v>-110</v>
      </c>
      <c r="BX235" s="35" t="n"/>
      <c r="BY235" s="254">
        <f>SUM(BU235:BW235)</f>
        <v>-266</v>
      </c>
      <c r="BZ235" s="269" t="n">
        <v>0</v>
      </c>
      <c r="CA235" s="269" t="n">
        <v>0</v>
      </c>
      <c r="CB235" s="269" t="n">
        <v>0</v>
      </c>
      <c r="CC235" s="269" t="n">
        <v>0</v>
      </c>
      <c r="CD235" s="269" t="n">
        <v>0</v>
      </c>
      <c r="CE235" s="19" t="inlineStr">
        <is>
          <t>2026E = 9M actual; 2027E+ nil.</t>
        </is>
      </c>
    </row>
    <row r="236" ht="15" customHeight="1" s="251">
      <c r="B236" s="25" t="inlineStr">
        <is>
          <t>Net change in cash (incl. restricted cash and equivalents from FY2019)</t>
        </is>
      </c>
      <c r="C236" s="253" t="n">
        <v>4704</v>
      </c>
      <c r="D236" s="253" t="n">
        <v>-362</v>
      </c>
      <c r="E236" s="253" t="n">
        <v>-750</v>
      </c>
      <c r="F236" s="253" t="n">
        <v>-1740</v>
      </c>
      <c r="G236" s="253" t="n">
        <v>-53</v>
      </c>
      <c r="H236" s="253" t="n">
        <v>-740</v>
      </c>
      <c r="I236" s="253" t="n">
        <v>43</v>
      </c>
      <c r="J236" s="253" t="n">
        <v>76</v>
      </c>
      <c r="K236" s="253" t="n">
        <v>733</v>
      </c>
      <c r="L236" s="253" t="n">
        <v>112</v>
      </c>
      <c r="M236" s="253" t="n">
        <v>-65</v>
      </c>
      <c r="N236" s="253" t="n">
        <v>-301</v>
      </c>
      <c r="O236" s="253" t="n">
        <v>238</v>
      </c>
      <c r="P236" s="253" t="n">
        <v>-87</v>
      </c>
      <c r="Q236" s="253" t="n">
        <v>-215</v>
      </c>
      <c r="R236" s="253" t="n">
        <v>114</v>
      </c>
      <c r="S236" s="253" t="n">
        <v>-46</v>
      </c>
      <c r="T236" s="253" t="n">
        <v>108</v>
      </c>
      <c r="U236" s="253" t="n">
        <v>1371</v>
      </c>
      <c r="V236" s="253" t="n">
        <v>1547</v>
      </c>
      <c r="W236" s="253" t="n">
        <v>9319</v>
      </c>
      <c r="X236" s="253" t="n">
        <v>3106</v>
      </c>
      <c r="Y236" s="253" t="n">
        <v>-10056</v>
      </c>
      <c r="Z236" s="253" t="n">
        <v>-268</v>
      </c>
      <c r="AA236" s="253" t="n">
        <v>2101</v>
      </c>
      <c r="AB236" s="253" t="n">
        <v>205</v>
      </c>
      <c r="AC236" s="253" t="n">
        <v>603</v>
      </c>
      <c r="AD236" s="253" t="n">
        <v>1010</v>
      </c>
      <c r="AE236" s="253" t="n">
        <v>2437</v>
      </c>
      <c r="AF236" s="253" t="n">
        <v>4255</v>
      </c>
      <c r="AG236" s="253" t="n">
        <v>-1736</v>
      </c>
      <c r="AH236" s="253" t="n">
        <v>4</v>
      </c>
      <c r="AI236" s="253" t="n">
        <v>363</v>
      </c>
      <c r="AJ236" s="253" t="n">
        <v>-343</v>
      </c>
      <c r="AK236" s="253" t="n">
        <v>-1712</v>
      </c>
      <c r="AL236" s="253" t="n">
        <v>138</v>
      </c>
      <c r="AM236" s="253" t="n">
        <v>-833</v>
      </c>
      <c r="AN236" s="253" t="n">
        <v>387</v>
      </c>
      <c r="AO236" s="253" t="n">
        <v>163</v>
      </c>
      <c r="AP236" s="253" t="n">
        <v>-145</v>
      </c>
      <c r="AQ236" s="253" t="n">
        <v>1431</v>
      </c>
      <c r="AR236" s="253" t="n">
        <v>553</v>
      </c>
      <c r="AS236" s="253" t="n">
        <v>4118</v>
      </c>
      <c r="AT236" s="253" t="n">
        <v>2237</v>
      </c>
      <c r="AU236" s="253" t="n">
        <v>8339</v>
      </c>
      <c r="AV236" s="253" t="n">
        <v>-1116</v>
      </c>
      <c r="AW236" s="253" t="n">
        <v>1503</v>
      </c>
      <c r="AX236" s="253" t="n">
        <v>1716</v>
      </c>
      <c r="AY236" s="253" t="n">
        <v>-1475</v>
      </c>
      <c r="AZ236" s="253" t="n">
        <v>628</v>
      </c>
      <c r="BA236" s="253" t="n">
        <v>-1476</v>
      </c>
      <c r="BB236" s="253" t="n">
        <v>-1807</v>
      </c>
      <c r="BC236" s="253" t="n">
        <v>2480</v>
      </c>
      <c r="BD236" s="253" t="n">
        <v>1381</v>
      </c>
      <c r="BE236" s="253" t="n">
        <v>578</v>
      </c>
      <c r="BF236" s="253" t="n">
        <v>-1994</v>
      </c>
      <c r="BG236" s="253" t="n">
        <v>745</v>
      </c>
      <c r="BH236" s="253" t="n">
        <v>1911</v>
      </c>
      <c r="BI236" s="253" t="n">
        <v>951</v>
      </c>
      <c r="BJ236" s="253" t="n">
        <v>1613</v>
      </c>
      <c r="BK236" s="253" t="n">
        <v>-2354</v>
      </c>
      <c r="BL236" s="253" t="n">
        <v>-688</v>
      </c>
      <c r="BM236" s="253" t="n">
        <v>328</v>
      </c>
      <c r="BN236" s="253" t="n">
        <v>487</v>
      </c>
      <c r="BO236" s="253" t="n">
        <v>-2227</v>
      </c>
      <c r="BP236" s="253" t="n">
        <v>203</v>
      </c>
      <c r="BQ236" s="253" t="n">
        <v>-830</v>
      </c>
      <c r="BR236" s="253" t="n">
        <v>5305</v>
      </c>
      <c r="BS236" s="253" t="n">
        <v>546</v>
      </c>
      <c r="BT236" s="253" t="n">
        <v>5224</v>
      </c>
      <c r="BU236" s="253" t="n">
        <v>-1811</v>
      </c>
      <c r="BV236" s="253" t="n">
        <v>-4470</v>
      </c>
      <c r="BW236" s="253" t="n">
        <v>62</v>
      </c>
      <c r="BX236" s="35" t="n"/>
      <c r="BY236" s="254">
        <f>BY225+BY229+BY234+BY235</f>
        <v>-6386.0145690096</v>
      </c>
      <c r="BZ236" s="254">
        <f>BZ225+BZ229+BZ234+BZ235</f>
        <v>-191.985430990408</v>
      </c>
      <c r="CA236" s="254">
        <f>CA225+CA229+CA234+CA235</f>
        <v>0</v>
      </c>
      <c r="CB236" s="254">
        <f>CB225+CB229+CB234+CB235</f>
        <v>0</v>
      </c>
      <c r="CC236" s="254">
        <f>CC225+CC229+CC234+CC235</f>
        <v>0</v>
      </c>
      <c r="CD236" s="254">
        <f>CD225+CD229+CD234+CD235</f>
        <v>0</v>
      </c>
      <c r="CE236" s="19" t="n"/>
    </row>
    <row r="237" ht="15" customHeight="1" s="251">
      <c r="B237" s="25" t="inlineStr">
        <is>
          <t>Cash — beginning of period</t>
        </is>
      </c>
      <c r="C237" s="253" t="n">
        <v>275</v>
      </c>
      <c r="D237" s="253" t="n">
        <v>4979</v>
      </c>
      <c r="E237" s="253" t="n">
        <v>4617</v>
      </c>
      <c r="F237" s="253" t="n">
        <v>3867</v>
      </c>
      <c r="G237" s="253" t="n">
        <v>2127</v>
      </c>
      <c r="H237" s="253" t="n">
        <v>2074</v>
      </c>
      <c r="I237" s="253" t="n">
        <v>1334</v>
      </c>
      <c r="J237" s="253" t="n">
        <v>1377</v>
      </c>
      <c r="K237" s="253" t="n">
        <v>1453</v>
      </c>
      <c r="L237" s="253" t="n">
        <v>2074</v>
      </c>
      <c r="M237" s="253" t="n">
        <v>2186</v>
      </c>
      <c r="N237" s="253" t="n">
        <v>2121</v>
      </c>
      <c r="O237" s="253" t="n">
        <v>1820</v>
      </c>
      <c r="P237" s="253" t="n">
        <v>2058</v>
      </c>
      <c r="Q237" s="253" t="n">
        <v>2186</v>
      </c>
      <c r="R237" s="253" t="n">
        <v>1971</v>
      </c>
      <c r="S237" s="253" t="n">
        <v>2085</v>
      </c>
      <c r="T237" s="253" t="n">
        <v>2039</v>
      </c>
      <c r="U237" s="253" t="n">
        <v>2147</v>
      </c>
      <c r="V237" s="253" t="n">
        <v>1971</v>
      </c>
      <c r="W237" s="253" t="n">
        <v>3518</v>
      </c>
      <c r="X237" s="253" t="n">
        <v>12837</v>
      </c>
      <c r="Y237" s="253" t="n">
        <v>15943</v>
      </c>
      <c r="Z237" s="253" t="n">
        <v>5887</v>
      </c>
      <c r="AA237" s="253" t="n">
        <v>3518</v>
      </c>
      <c r="AB237" s="253" t="n">
        <v>5619</v>
      </c>
      <c r="AC237" s="253" t="n">
        <v>5824</v>
      </c>
      <c r="AD237" s="253" t="n">
        <v>6427</v>
      </c>
      <c r="AE237" s="253" t="n">
        <v>7437</v>
      </c>
      <c r="AF237" s="253" t="n">
        <v>5619</v>
      </c>
      <c r="AG237" s="253" t="n">
        <v>9874</v>
      </c>
      <c r="AH237" s="253" t="n">
        <v>8138</v>
      </c>
      <c r="AI237" s="253" t="n">
        <v>8142</v>
      </c>
      <c r="AJ237" s="253" t="n">
        <v>8505</v>
      </c>
      <c r="AK237" s="253" t="n">
        <v>9874</v>
      </c>
      <c r="AL237" s="253" t="n">
        <v>10977</v>
      </c>
      <c r="AM237" s="253" t="n">
        <v>11115</v>
      </c>
      <c r="AN237" s="253" t="n">
        <v>10282</v>
      </c>
      <c r="AO237" s="253" t="n">
        <v>10669</v>
      </c>
      <c r="AP237" s="253" t="n">
        <v>10977</v>
      </c>
      <c r="AQ237" s="253" t="n">
        <v>10832</v>
      </c>
      <c r="AR237" s="253" t="n">
        <v>12263</v>
      </c>
      <c r="AS237" s="253" t="n">
        <v>12816</v>
      </c>
      <c r="AT237" s="253" t="n">
        <v>16934</v>
      </c>
      <c r="AU237" s="253" t="n">
        <v>10832</v>
      </c>
      <c r="AV237" s="253" t="n">
        <v>19171</v>
      </c>
      <c r="AW237" s="253" t="n">
        <v>18055</v>
      </c>
      <c r="AX237" s="253" t="n">
        <v>19558</v>
      </c>
      <c r="AY237" s="253" t="n">
        <v>21274</v>
      </c>
      <c r="AZ237" s="253" t="n">
        <v>19171</v>
      </c>
      <c r="BA237" s="253" t="n">
        <v>19799</v>
      </c>
      <c r="BB237" s="253" t="n">
        <v>18323</v>
      </c>
      <c r="BC237" s="253" t="n">
        <v>16516</v>
      </c>
      <c r="BD237" s="253" t="n">
        <v>18996</v>
      </c>
      <c r="BE237" s="253" t="n">
        <v>19799</v>
      </c>
      <c r="BF237" s="253" t="n">
        <v>20377</v>
      </c>
      <c r="BG237" s="253" t="n">
        <v>18383</v>
      </c>
      <c r="BH237" s="253" t="n">
        <v>19128</v>
      </c>
      <c r="BI237" s="253" t="n">
        <v>21039</v>
      </c>
      <c r="BJ237" s="253" t="n">
        <v>20377</v>
      </c>
      <c r="BK237" s="253" t="n">
        <v>21990</v>
      </c>
      <c r="BL237" s="253" t="n">
        <v>19636</v>
      </c>
      <c r="BM237" s="253" t="n">
        <v>18948</v>
      </c>
      <c r="BN237" s="253" t="n">
        <v>19276</v>
      </c>
      <c r="BO237" s="253" t="n">
        <v>21990</v>
      </c>
      <c r="BP237" s="253" t="n">
        <v>19763</v>
      </c>
      <c r="BQ237" s="253" t="n">
        <v>19966</v>
      </c>
      <c r="BR237" s="253" t="n">
        <v>19136</v>
      </c>
      <c r="BS237" s="253" t="n">
        <v>24441</v>
      </c>
      <c r="BT237" s="253" t="n">
        <v>19763</v>
      </c>
      <c r="BU237" s="253" t="n">
        <v>24987</v>
      </c>
      <c r="BV237" s="253" t="n">
        <v>23176</v>
      </c>
      <c r="BW237" s="253" t="n">
        <v>18706</v>
      </c>
      <c r="BX237" s="35" t="n"/>
      <c r="BY237" s="254">
        <f>BT238</f>
        <v>24987</v>
      </c>
      <c r="BZ237" s="254">
        <f>BY238</f>
        <v>18600.9854309904</v>
      </c>
      <c r="CA237" s="254">
        <f>BZ238</f>
        <v>18409</v>
      </c>
      <c r="CB237" s="254">
        <f>CA238</f>
        <v>18409</v>
      </c>
      <c r="CC237" s="254">
        <f>CB238</f>
        <v>18409</v>
      </c>
      <c r="CD237" s="254">
        <f>CC238</f>
        <v>18409</v>
      </c>
      <c r="CE237" s="19" t="n"/>
    </row>
    <row r="238" ht="15" customHeight="1" s="251">
      <c r="B238" s="16" t="inlineStr">
        <is>
          <t>Cash — end of period (cash-flow basis)</t>
        </is>
      </c>
      <c r="C238" s="276" t="n">
        <v>4979</v>
      </c>
      <c r="D238" s="276" t="n">
        <v>4617</v>
      </c>
      <c r="E238" s="276" t="n">
        <v>3867</v>
      </c>
      <c r="F238" s="276" t="n">
        <v>2127</v>
      </c>
      <c r="G238" s="276" t="n">
        <v>2074</v>
      </c>
      <c r="H238" s="276" t="n">
        <v>1334</v>
      </c>
      <c r="I238" s="276" t="n">
        <v>1377</v>
      </c>
      <c r="J238" s="276" t="n">
        <v>1453</v>
      </c>
      <c r="K238" s="276" t="n">
        <v>2186</v>
      </c>
      <c r="L238" s="276" t="n">
        <v>2186</v>
      </c>
      <c r="M238" s="276" t="n">
        <v>2121</v>
      </c>
      <c r="N238" s="276" t="n">
        <v>1820</v>
      </c>
      <c r="O238" s="276" t="n">
        <v>2058</v>
      </c>
      <c r="P238" s="276" t="n">
        <v>1971</v>
      </c>
      <c r="Q238" s="276" t="n">
        <v>1971</v>
      </c>
      <c r="R238" s="276" t="n">
        <v>2085</v>
      </c>
      <c r="S238" s="276" t="n">
        <v>2039</v>
      </c>
      <c r="T238" s="276" t="n">
        <v>2147</v>
      </c>
      <c r="U238" s="276" t="n">
        <v>3518</v>
      </c>
      <c r="V238" s="276" t="n">
        <v>3518</v>
      </c>
      <c r="W238" s="276" t="n">
        <v>12837</v>
      </c>
      <c r="X238" s="276" t="n">
        <v>15943</v>
      </c>
      <c r="Y238" s="276" t="n">
        <v>5887</v>
      </c>
      <c r="Z238" s="276" t="n">
        <v>5619</v>
      </c>
      <c r="AA238" s="276" t="n">
        <v>5619</v>
      </c>
      <c r="AB238" s="276" t="n">
        <v>5824</v>
      </c>
      <c r="AC238" s="276" t="n">
        <v>6427</v>
      </c>
      <c r="AD238" s="276" t="n">
        <v>7437</v>
      </c>
      <c r="AE238" s="276" t="n">
        <v>9874</v>
      </c>
      <c r="AF238" s="276" t="n">
        <v>9874</v>
      </c>
      <c r="AG238" s="276" t="n">
        <v>8138</v>
      </c>
      <c r="AH238" s="276" t="n">
        <v>8142</v>
      </c>
      <c r="AI238" s="276" t="n">
        <v>8505</v>
      </c>
      <c r="AJ238" s="276" t="n">
        <v>8162</v>
      </c>
      <c r="AK238" s="276" t="n">
        <v>8162</v>
      </c>
      <c r="AL238" s="276" t="n">
        <v>11115</v>
      </c>
      <c r="AM238" s="276" t="n">
        <v>10282</v>
      </c>
      <c r="AN238" s="276" t="n">
        <v>10669</v>
      </c>
      <c r="AO238" s="276" t="n">
        <v>10832</v>
      </c>
      <c r="AP238" s="276" t="n">
        <v>10832</v>
      </c>
      <c r="AQ238" s="276" t="n">
        <v>12263</v>
      </c>
      <c r="AR238" s="276" t="n">
        <v>12816</v>
      </c>
      <c r="AS238" s="276" t="n">
        <v>16934</v>
      </c>
      <c r="AT238" s="276" t="n">
        <v>19171</v>
      </c>
      <c r="AU238" s="276" t="n">
        <v>19171</v>
      </c>
      <c r="AV238" s="276" t="n">
        <v>18055</v>
      </c>
      <c r="AW238" s="276" t="n">
        <v>19558</v>
      </c>
      <c r="AX238" s="276" t="n">
        <v>21274</v>
      </c>
      <c r="AY238" s="276" t="n">
        <v>19799</v>
      </c>
      <c r="AZ238" s="276" t="n">
        <v>19799</v>
      </c>
      <c r="BA238" s="276" t="n">
        <v>18323</v>
      </c>
      <c r="BB238" s="276" t="n">
        <v>16516</v>
      </c>
      <c r="BC238" s="276" t="n">
        <v>18996</v>
      </c>
      <c r="BD238" s="276" t="n">
        <v>20377</v>
      </c>
      <c r="BE238" s="276" t="n">
        <v>20377</v>
      </c>
      <c r="BF238" s="276" t="n">
        <v>18383</v>
      </c>
      <c r="BG238" s="276" t="n">
        <v>19128</v>
      </c>
      <c r="BH238" s="276" t="n">
        <v>21039</v>
      </c>
      <c r="BI238" s="276" t="n">
        <v>21990</v>
      </c>
      <c r="BJ238" s="276" t="n">
        <v>21990</v>
      </c>
      <c r="BK238" s="276" t="n">
        <v>19636</v>
      </c>
      <c r="BL238" s="276" t="n">
        <v>18948</v>
      </c>
      <c r="BM238" s="276" t="n">
        <v>19276</v>
      </c>
      <c r="BN238" s="276" t="n">
        <v>19763</v>
      </c>
      <c r="BO238" s="276" t="n">
        <v>19763</v>
      </c>
      <c r="BP238" s="276" t="n">
        <v>19966</v>
      </c>
      <c r="BQ238" s="276" t="n">
        <v>19136</v>
      </c>
      <c r="BR238" s="276" t="n">
        <v>24441</v>
      </c>
      <c r="BS238" s="276" t="n">
        <v>24987</v>
      </c>
      <c r="BT238" s="276" t="n">
        <v>24987</v>
      </c>
      <c r="BU238" s="276" t="n">
        <v>23176</v>
      </c>
      <c r="BV238" s="276" t="n">
        <v>18706</v>
      </c>
      <c r="BW238" s="276" t="n">
        <v>18768</v>
      </c>
      <c r="BX238" s="32" t="n"/>
      <c r="BY238" s="265">
        <f>BY237+BY236</f>
        <v>18600.9854309904</v>
      </c>
      <c r="BZ238" s="265">
        <f>BZ237+BZ236</f>
        <v>18409</v>
      </c>
      <c r="CA238" s="265">
        <f>CA237+CA236</f>
        <v>18409</v>
      </c>
      <c r="CB238" s="265">
        <f>CB237+CB236</f>
        <v>18409</v>
      </c>
      <c r="CC238" s="265">
        <f>CC237+CC236</f>
        <v>18409</v>
      </c>
      <c r="CD238" s="265">
        <f>CD237+CD236</f>
        <v>18409</v>
      </c>
      <c r="CE238" s="153" t="n"/>
    </row>
    <row r="239" ht="15" customHeight="1" s="251">
      <c r="B239" s="57" t="inlineStr">
        <is>
          <t xml:space="preserve">  Check: beginning cash + CFO + CFI + CFF + FX = ending cash (should be 0)</t>
        </is>
      </c>
      <c r="C239" s="211">
        <f>IF(AND(ISNUMBER(C237),ISNUMBER(C225)),IF(ABS(C237+C236-C238)&lt;=1.01,0,ROUND(C237+C236-C238,1)),"")</f>
        <v>0</v>
      </c>
      <c r="D239" s="211">
        <f>IF(AND(ISNUMBER(D237),ISNUMBER(D225)),IF(ABS(D237+D236-D238)&lt;=1.01,0,ROUND(D237+D236-D238,1)),"")</f>
        <v>0</v>
      </c>
      <c r="E239" s="211">
        <f>IF(AND(ISNUMBER(E237),ISNUMBER(E225)),IF(ABS(E237+E236-E238)&lt;=1.01,0,ROUND(E237+E236-E238,1)),"")</f>
        <v>0</v>
      </c>
      <c r="F239" s="211">
        <f>IF(AND(ISNUMBER(F237),ISNUMBER(F225)),IF(ABS(F237+F236-F238)&lt;=1.01,0,ROUND(F237+F236-F238,1)),"")</f>
        <v>0</v>
      </c>
      <c r="G239" s="211">
        <f>IF(AND(ISNUMBER(G237),ISNUMBER(G225)),IF(ABS(G237+G236-G238)&lt;=1.01,0,ROUND(G237+G236-G238,1)),"")</f>
        <v>0</v>
      </c>
      <c r="H239" s="211">
        <f>IF(AND(ISNUMBER(H237),ISNUMBER(H225)),IF(ABS(H237+H236-H238)&lt;=1.01,0,ROUND(H237+H236-H238,1)),"")</f>
        <v>0</v>
      </c>
      <c r="I239" s="211">
        <f>IF(AND(ISNUMBER(I237),ISNUMBER(I225)),IF(ABS(I237+I236-I238)&lt;=1.01,0,ROUND(I237+I236-I238,1)),"")</f>
        <v>0</v>
      </c>
      <c r="J239" s="211">
        <f>IF(AND(ISNUMBER(J237),ISNUMBER(J225)),IF(ABS(J237+J236-J238)&lt;=1.01,0,ROUND(J237+J236-J238,1)),"")</f>
        <v>0</v>
      </c>
      <c r="K239" s="211">
        <f>IF(AND(ISNUMBER(K237),ISNUMBER(K225)),IF(ABS(K237+K236-K238)&lt;=1.01,0,ROUND(K237+K236-K238,1)),"")</f>
        <v>0</v>
      </c>
      <c r="L239" s="211">
        <f>IF(AND(ISNUMBER(L237),ISNUMBER(L225)),IF(ABS(L237+L236-L238)&lt;=1.01,0,ROUND(L237+L236-L238,1)),"")</f>
        <v>0</v>
      </c>
      <c r="M239" s="211">
        <f>IF(AND(ISNUMBER(M237),ISNUMBER(M225)),IF(ABS(M237+M236-M238)&lt;=1.01,0,ROUND(M237+M236-M238,1)),"")</f>
        <v>0</v>
      </c>
      <c r="N239" s="211">
        <f>IF(AND(ISNUMBER(N237),ISNUMBER(N225)),IF(ABS(N237+N236-N238)&lt;=1.01,0,ROUND(N237+N236-N238,1)),"")</f>
        <v>0</v>
      </c>
      <c r="O239" s="211">
        <f>IF(AND(ISNUMBER(O237),ISNUMBER(O225)),IF(ABS(O237+O236-O238)&lt;=1.01,0,ROUND(O237+O236-O238,1)),"")</f>
        <v>0</v>
      </c>
      <c r="P239" s="211">
        <f>IF(AND(ISNUMBER(P237),ISNUMBER(P225)),IF(ABS(P237+P236-P238)&lt;=1.01,0,ROUND(P237+P236-P238,1)),"")</f>
        <v>0</v>
      </c>
      <c r="Q239" s="211">
        <f>IF(AND(ISNUMBER(Q237),ISNUMBER(Q225)),IF(ABS(Q237+Q236-Q238)&lt;=1.01,0,ROUND(Q237+Q236-Q238,1)),"")</f>
        <v>0</v>
      </c>
      <c r="R239" s="211">
        <f>IF(AND(ISNUMBER(R237),ISNUMBER(R225)),IF(ABS(R237+R236-R238)&lt;=1.01,0,ROUND(R237+R236-R238,1)),"")</f>
        <v>0</v>
      </c>
      <c r="S239" s="211">
        <f>IF(AND(ISNUMBER(S237),ISNUMBER(S225)),IF(ABS(S237+S236-S238)&lt;=1.01,0,ROUND(S237+S236-S238,1)),"")</f>
        <v>0</v>
      </c>
      <c r="T239" s="211">
        <f>IF(AND(ISNUMBER(T237),ISNUMBER(T225)),IF(ABS(T237+T236-T238)&lt;=1.01,0,ROUND(T237+T236-T238,1)),"")</f>
        <v>0</v>
      </c>
      <c r="U239" s="211">
        <f>IF(AND(ISNUMBER(U237),ISNUMBER(U225)),IF(ABS(U237+U236-U238)&lt;=1.01,0,ROUND(U237+U236-U238,1)),"")</f>
        <v>0</v>
      </c>
      <c r="V239" s="211">
        <f>IF(AND(ISNUMBER(V237),ISNUMBER(V225)),IF(ABS(V237+V236-V238)&lt;=1.01,0,ROUND(V237+V236-V238,1)),"")</f>
        <v>0</v>
      </c>
      <c r="W239" s="211">
        <f>IF(AND(ISNUMBER(W237),ISNUMBER(W225)),IF(ABS(W237+W236-W238)&lt;=1.01,0,ROUND(W237+W236-W238,1)),"")</f>
        <v>0</v>
      </c>
      <c r="X239" s="211">
        <f>IF(AND(ISNUMBER(X237),ISNUMBER(X225)),IF(ABS(X237+X236-X238)&lt;=1.01,0,ROUND(X237+X236-X238,1)),"")</f>
        <v>0</v>
      </c>
      <c r="Y239" s="211">
        <f>IF(AND(ISNUMBER(Y237),ISNUMBER(Y225)),IF(ABS(Y237+Y236-Y238)&lt;=1.01,0,ROUND(Y237+Y236-Y238,1)),"")</f>
        <v>0</v>
      </c>
      <c r="Z239" s="211">
        <f>IF(AND(ISNUMBER(Z237),ISNUMBER(Z225)),IF(ABS(Z237+Z236-Z238)&lt;=1.01,0,ROUND(Z237+Z236-Z238,1)),"")</f>
        <v>0</v>
      </c>
      <c r="AA239" s="211">
        <f>IF(AND(ISNUMBER(AA237),ISNUMBER(AA225)),IF(ABS(AA237+AA236-AA238)&lt;=1.01,0,ROUND(AA237+AA236-AA238,1)),"")</f>
        <v>0</v>
      </c>
      <c r="AB239" s="211">
        <f>IF(AND(ISNUMBER(AB237),ISNUMBER(AB225)),IF(ABS(AB237+AB236-AB238)&lt;=1.01,0,ROUND(AB237+AB236-AB238,1)),"")</f>
        <v>0</v>
      </c>
      <c r="AC239" s="211">
        <f>IF(AND(ISNUMBER(AC237),ISNUMBER(AC225)),IF(ABS(AC237+AC236-AC238)&lt;=1.01,0,ROUND(AC237+AC236-AC238,1)),"")</f>
        <v>0</v>
      </c>
      <c r="AD239" s="211">
        <f>IF(AND(ISNUMBER(AD237),ISNUMBER(AD225)),IF(ABS(AD237+AD236-AD238)&lt;=1.01,0,ROUND(AD237+AD236-AD238,1)),"")</f>
        <v>0</v>
      </c>
      <c r="AE239" s="211">
        <f>IF(AND(ISNUMBER(AE237),ISNUMBER(AE225)),IF(ABS(AE237+AE236-AE238)&lt;=1.01,0,ROUND(AE237+AE236-AE238,1)),"")</f>
        <v>0</v>
      </c>
      <c r="AF239" s="211">
        <f>IF(AND(ISNUMBER(AF237),ISNUMBER(AF225)),IF(ABS(AF237+AF236-AF238)&lt;=1.01,0,ROUND(AF237+AF236-AF238,1)),"")</f>
        <v>0</v>
      </c>
      <c r="AG239" s="211">
        <f>IF(AND(ISNUMBER(AG237),ISNUMBER(AG225)),IF(ABS(AG237+AG236-AG238)&lt;=1.01,0,ROUND(AG237+AG236-AG238,1)),"")</f>
        <v>0</v>
      </c>
      <c r="AH239" s="211">
        <f>IF(AND(ISNUMBER(AH237),ISNUMBER(AH225)),IF(ABS(AH237+AH236-AH238)&lt;=1.01,0,ROUND(AH237+AH236-AH238,1)),"")</f>
        <v>0</v>
      </c>
      <c r="AI239" s="211">
        <f>IF(AND(ISNUMBER(AI237),ISNUMBER(AI225)),IF(ABS(AI237+AI236-AI238)&lt;=1.01,0,ROUND(AI237+AI236-AI238,1)),"")</f>
        <v>0</v>
      </c>
      <c r="AJ239" s="211">
        <f>IF(AND(ISNUMBER(AJ237),ISNUMBER(AJ225)),IF(ABS(AJ237+AJ236-AJ238)&lt;=1.01,0,ROUND(AJ237+AJ236-AJ238,1)),"")</f>
        <v>0</v>
      </c>
      <c r="AK239" s="211">
        <f>IF(AND(ISNUMBER(AK237),ISNUMBER(AK225)),IF(ABS(AK237+AK236-AK238)&lt;=1.01,0,ROUND(AK237+AK236-AK238,1)),"")</f>
        <v>0</v>
      </c>
      <c r="AL239" s="211">
        <f>IF(AND(ISNUMBER(AL237),ISNUMBER(AL225)),IF(ABS(AL237+AL236-AL238)&lt;=1.01,0,ROUND(AL237+AL236-AL238,1)),"")</f>
        <v>0</v>
      </c>
      <c r="AM239" s="211">
        <f>IF(AND(ISNUMBER(AM237),ISNUMBER(AM225)),IF(ABS(AM237+AM236-AM238)&lt;=1.01,0,ROUND(AM237+AM236-AM238,1)),"")</f>
        <v>0</v>
      </c>
      <c r="AN239" s="211">
        <f>IF(AND(ISNUMBER(AN237),ISNUMBER(AN225)),IF(ABS(AN237+AN236-AN238)&lt;=1.01,0,ROUND(AN237+AN236-AN238,1)),"")</f>
        <v>0</v>
      </c>
      <c r="AO239" s="211">
        <f>IF(AND(ISNUMBER(AO237),ISNUMBER(AO225)),IF(ABS(AO237+AO236-AO238)&lt;=1.01,0,ROUND(AO237+AO236-AO238,1)),"")</f>
        <v>0</v>
      </c>
      <c r="AP239" s="211">
        <f>IF(AND(ISNUMBER(AP237),ISNUMBER(AP225)),IF(ABS(AP237+AP236-AP238)&lt;=1.01,0,ROUND(AP237+AP236-AP238,1)),"")</f>
        <v>0</v>
      </c>
      <c r="AQ239" s="211">
        <f>IF(AND(ISNUMBER(AQ237),ISNUMBER(AQ225)),IF(ABS(AQ237+AQ236-AQ238)&lt;=1.01,0,ROUND(AQ237+AQ236-AQ238,1)),"")</f>
        <v>0</v>
      </c>
      <c r="AR239" s="211">
        <f>IF(AND(ISNUMBER(AR237),ISNUMBER(AR225)),IF(ABS(AR237+AR236-AR238)&lt;=1.01,0,ROUND(AR237+AR236-AR238,1)),"")</f>
        <v>0</v>
      </c>
      <c r="AS239" s="211">
        <f>IF(AND(ISNUMBER(AS237),ISNUMBER(AS225)),IF(ABS(AS237+AS236-AS238)&lt;=1.01,0,ROUND(AS237+AS236-AS238,1)),"")</f>
        <v>0</v>
      </c>
      <c r="AT239" s="211">
        <f>IF(AND(ISNUMBER(AT237),ISNUMBER(AT225)),IF(ABS(AT237+AT236-AT238)&lt;=1.01,0,ROUND(AT237+AT236-AT238,1)),"")</f>
        <v>0</v>
      </c>
      <c r="AU239" s="211">
        <f>IF(AND(ISNUMBER(AU237),ISNUMBER(AU225)),IF(ABS(AU237+AU236-AU238)&lt;=1.01,0,ROUND(AU237+AU236-AU238,1)),"")</f>
        <v>0</v>
      </c>
      <c r="AV239" s="211">
        <f>IF(AND(ISNUMBER(AV237),ISNUMBER(AV225)),IF(ABS(AV237+AV236-AV238)&lt;=1.01,0,ROUND(AV237+AV236-AV238,1)),"")</f>
        <v>0</v>
      </c>
      <c r="AW239" s="211">
        <f>IF(AND(ISNUMBER(AW237),ISNUMBER(AW225)),IF(ABS(AW237+AW236-AW238)&lt;=1.01,0,ROUND(AW237+AW236-AW238,1)),"")</f>
        <v>0</v>
      </c>
      <c r="AX239" s="211">
        <f>IF(AND(ISNUMBER(AX237),ISNUMBER(AX225)),IF(ABS(AX237+AX236-AX238)&lt;=1.01,0,ROUND(AX237+AX236-AX238,1)),"")</f>
        <v>0</v>
      </c>
      <c r="AY239" s="211">
        <f>IF(AND(ISNUMBER(AY237),ISNUMBER(AY225)),IF(ABS(AY237+AY236-AY238)&lt;=1.01,0,ROUND(AY237+AY236-AY238,1)),"")</f>
        <v>0</v>
      </c>
      <c r="AZ239" s="211">
        <f>IF(AND(ISNUMBER(AZ237),ISNUMBER(AZ225)),IF(ABS(AZ237+AZ236-AZ238)&lt;=1.01,0,ROUND(AZ237+AZ236-AZ238,1)),"")</f>
        <v>0</v>
      </c>
      <c r="BA239" s="211">
        <f>IF(AND(ISNUMBER(BA237),ISNUMBER(BA225)),IF(ABS(BA237+BA236-BA238)&lt;=1.01,0,ROUND(BA237+BA236-BA238,1)),"")</f>
        <v>0</v>
      </c>
      <c r="BB239" s="211">
        <f>IF(AND(ISNUMBER(BB237),ISNUMBER(BB225)),IF(ABS(BB237+BB236-BB238)&lt;=1.01,0,ROUND(BB237+BB236-BB238,1)),"")</f>
        <v>0</v>
      </c>
      <c r="BC239" s="211">
        <f>IF(AND(ISNUMBER(BC237),ISNUMBER(BC225)),IF(ABS(BC237+BC236-BC238)&lt;=1.01,0,ROUND(BC237+BC236-BC238,1)),"")</f>
        <v>0</v>
      </c>
      <c r="BD239" s="211">
        <f>IF(AND(ISNUMBER(BD237),ISNUMBER(BD225)),IF(ABS(BD237+BD236-BD238)&lt;=1.01,0,ROUND(BD237+BD236-BD238,1)),"")</f>
        <v>0</v>
      </c>
      <c r="BE239" s="211">
        <f>IF(AND(ISNUMBER(BE237),ISNUMBER(BE225)),IF(ABS(BE237+BE236-BE238)&lt;=1.01,0,ROUND(BE237+BE236-BE238,1)),"")</f>
        <v>0</v>
      </c>
      <c r="BF239" s="211">
        <f>IF(AND(ISNUMBER(BF237),ISNUMBER(BF225)),IF(ABS(BF237+BF236-BF238)&lt;=1.01,0,ROUND(BF237+BF236-BF238,1)),"")</f>
        <v>0</v>
      </c>
      <c r="BG239" s="211">
        <f>IF(AND(ISNUMBER(BG237),ISNUMBER(BG225)),IF(ABS(BG237+BG236-BG238)&lt;=1.01,0,ROUND(BG237+BG236-BG238,1)),"")</f>
        <v>0</v>
      </c>
      <c r="BH239" s="211">
        <f>IF(AND(ISNUMBER(BH237),ISNUMBER(BH225)),IF(ABS(BH237+BH236-BH238)&lt;=1.01,0,ROUND(BH237+BH236-BH238,1)),"")</f>
        <v>0</v>
      </c>
      <c r="BI239" s="211">
        <f>IF(AND(ISNUMBER(BI237),ISNUMBER(BI225)),IF(ABS(BI237+BI236-BI238)&lt;=1.01,0,ROUND(BI237+BI236-BI238,1)),"")</f>
        <v>0</v>
      </c>
      <c r="BJ239" s="211">
        <f>IF(AND(ISNUMBER(BJ237),ISNUMBER(BJ225)),IF(ABS(BJ237+BJ236-BJ238)&lt;=1.01,0,ROUND(BJ237+BJ236-BJ238,1)),"")</f>
        <v>0</v>
      </c>
      <c r="BK239" s="211">
        <f>IF(AND(ISNUMBER(BK237),ISNUMBER(BK225)),IF(ABS(BK237+BK236-BK238)&lt;=1.01,0,ROUND(BK237+BK236-BK238,1)),"")</f>
        <v>0</v>
      </c>
      <c r="BL239" s="211">
        <f>IF(AND(ISNUMBER(BL237),ISNUMBER(BL225)),IF(ABS(BL237+BL236-BL238)&lt;=1.01,0,ROUND(BL237+BL236-BL238,1)),"")</f>
        <v>0</v>
      </c>
      <c r="BM239" s="211">
        <f>IF(AND(ISNUMBER(BM237),ISNUMBER(BM225)),IF(ABS(BM237+BM236-BM238)&lt;=1.01,0,ROUND(BM237+BM236-BM238,1)),"")</f>
        <v>0</v>
      </c>
      <c r="BN239" s="211">
        <f>IF(AND(ISNUMBER(BN237),ISNUMBER(BN225)),IF(ABS(BN237+BN236-BN238)&lt;=1.01,0,ROUND(BN237+BN236-BN238,1)),"")</f>
        <v>0</v>
      </c>
      <c r="BO239" s="211">
        <f>IF(AND(ISNUMBER(BO237),ISNUMBER(BO225)),IF(ABS(BO237+BO236-BO238)&lt;=1.01,0,ROUND(BO237+BO236-BO238,1)),"")</f>
        <v>0</v>
      </c>
      <c r="BP239" s="211">
        <f>IF(AND(ISNUMBER(BP237),ISNUMBER(BP225)),IF(ABS(BP237+BP236-BP238)&lt;=1.01,0,ROUND(BP237+BP236-BP238,1)),"")</f>
        <v>0</v>
      </c>
      <c r="BQ239" s="211">
        <f>IF(AND(ISNUMBER(BQ237),ISNUMBER(BQ225)),IF(ABS(BQ237+BQ236-BQ238)&lt;=1.01,0,ROUND(BQ237+BQ236-BQ238,1)),"")</f>
        <v>0</v>
      </c>
      <c r="BR239" s="211">
        <f>IF(AND(ISNUMBER(BR237),ISNUMBER(BR225)),IF(ABS(BR237+BR236-BR238)&lt;=1.01,0,ROUND(BR237+BR236-BR238,1)),"")</f>
        <v>0</v>
      </c>
      <c r="BS239" s="211">
        <f>IF(AND(ISNUMBER(BS237),ISNUMBER(BS225)),IF(ABS(BS237+BS236-BS238)&lt;=1.01,0,ROUND(BS237+BS236-BS238,1)),"")</f>
        <v>0</v>
      </c>
      <c r="BT239" s="211">
        <f>IF(AND(ISNUMBER(BT237),ISNUMBER(BT225)),IF(ABS(BT237+BT236-BT238)&lt;=1.01,0,ROUND(BT237+BT236-BT238,1)),"")</f>
        <v>0</v>
      </c>
      <c r="BU239" s="211">
        <f>IF(AND(ISNUMBER(BU237),ISNUMBER(BU225)),IF(ABS(BU237+BU236-BU238)&lt;=1.01,0,ROUND(BU237+BU236-BU238,1)),"")</f>
        <v>0</v>
      </c>
      <c r="BV239" s="211">
        <f>IF(AND(ISNUMBER(BV237),ISNUMBER(BV225)),IF(ABS(BV237+BV236-BV238)&lt;=1.01,0,ROUND(BV237+BV236-BV238,1)),"")</f>
        <v>0</v>
      </c>
      <c r="BW239" s="211">
        <f>IF(AND(ISNUMBER(BW237),ISNUMBER(BW225)),IF(ABS(BW237+BW236-BW238)&lt;=1.01,0,ROUND(BW237+BW236-BW238,1)),"")</f>
        <v>0</v>
      </c>
      <c r="BX239" s="153" t="n"/>
      <c r="BY239" s="267">
        <f>IF(AND(ISNUMBER(BY237),ISNUMBER(BY225)),IF(ABS(BY237+BY236-BY238)&lt;=1.01,0,ROUND(BY237+BY236-BY238,1)),"")</f>
        <v>0</v>
      </c>
      <c r="BZ239" s="267">
        <f>IF(AND(ISNUMBER(BZ237),ISNUMBER(BZ225)),IF(ABS(BZ237+BZ236-BZ238)&lt;=1.01,0,ROUND(BZ237+BZ236-BZ238,1)),"")</f>
        <v>0</v>
      </c>
      <c r="CA239" s="267">
        <f>IF(AND(ISNUMBER(CA237),ISNUMBER(CA225)),IF(ABS(CA237+CA236-CA238)&lt;=1.01,0,ROUND(CA237+CA236-CA238,1)),"")</f>
        <v>0</v>
      </c>
      <c r="CB239" s="267">
        <f>IF(AND(ISNUMBER(CB237),ISNUMBER(CB225)),IF(ABS(CB237+CB236-CB238)&lt;=1.01,0,ROUND(CB237+CB236-CB238,1)),"")</f>
        <v>0</v>
      </c>
      <c r="CC239" s="267">
        <f>IF(AND(ISNUMBER(CC237),ISNUMBER(CC225)),IF(ABS(CC237+CC236-CC238)&lt;=1.01,0,ROUND(CC237+CC236-CC238,1)),"")</f>
        <v>0</v>
      </c>
      <c r="CD239" s="267">
        <f>IF(AND(ISNUMBER(CD237),ISNUMBER(CD225)),IF(ABS(CD237+CD236-CD238)&lt;=1.01,0,ROUND(CD237+CD236-CD238,1)),"")</f>
        <v>0</v>
      </c>
      <c r="CE239" s="153" t="n"/>
    </row>
    <row r="240" ht="15" customHeight="1" s="251">
      <c r="B240" s="57" t="inlineStr">
        <is>
          <t xml:space="preserve">  Check: CFO = sum of operating lines (should be 0)</t>
        </is>
      </c>
      <c r="C240" s="211">
        <f>IF(ISNUMBER(C219),IF(ABS(SUM(C219:C224)-C225)&lt;=1.01,0,ROUND(SUM(C219:C224)-C225,1)),"")</f>
        <v>0</v>
      </c>
      <c r="D240" s="211">
        <f>IF(ISNUMBER(D219),IF(ABS(SUM(D219:D224)-D225)&lt;=1.01,0,ROUND(SUM(D219:D224)-D225,1)),"")</f>
        <v>0</v>
      </c>
      <c r="E240" s="211">
        <f>IF(ISNUMBER(E219),IF(ABS(SUM(E219:E224)-E225)&lt;=1.01,0,ROUND(SUM(E219:E224)-E225,1)),"")</f>
        <v>0</v>
      </c>
      <c r="F240" s="211">
        <f>IF(ISNUMBER(F219),IF(ABS(SUM(F219:F224)-F225)&lt;=1.01,0,ROUND(SUM(F219:F224)-F225,1)),"")</f>
        <v>0</v>
      </c>
      <c r="G240" s="211">
        <f>IF(ISNUMBER(G219),IF(ABS(SUM(G219:G224)-G225)&lt;=1.01,0,ROUND(SUM(G219:G224)-G225,1)),"")</f>
        <v>0</v>
      </c>
      <c r="H240" s="211">
        <f>IF(ISNUMBER(H219),IF(ABS(SUM(H219:H224)-H225)&lt;=1.01,0,ROUND(SUM(H219:H224)-H225,1)),"")</f>
        <v>0</v>
      </c>
      <c r="I240" s="211">
        <f>IF(ISNUMBER(I219),IF(ABS(SUM(I219:I224)-I225)&lt;=1.01,0,ROUND(SUM(I219:I224)-I225,1)),"")</f>
        <v>0</v>
      </c>
      <c r="J240" s="211">
        <f>IF(ISNUMBER(J219),IF(ABS(SUM(J219:J224)-J225)&lt;=1.01,0,ROUND(SUM(J219:J224)-J225,1)),"")</f>
        <v>0</v>
      </c>
      <c r="K240" s="211">
        <f>IF(ISNUMBER(K219),IF(ABS(SUM(K219:K224)-K225)&lt;=1.01,0,ROUND(SUM(K219:K224)-K225,1)),"")</f>
        <v>0</v>
      </c>
      <c r="L240" s="211">
        <f>IF(ISNUMBER(L219),IF(ABS(SUM(L219:L224)-L225)&lt;=1.01,0,ROUND(SUM(L219:L224)-L225,1)),"")</f>
        <v>0</v>
      </c>
      <c r="M240" s="211">
        <f>IF(ISNUMBER(M219),IF(ABS(SUM(M219:M224)-M225)&lt;=1.01,0,ROUND(SUM(M219:M224)-M225,1)),"")</f>
        <v>0</v>
      </c>
      <c r="N240" s="211">
        <f>IF(ISNUMBER(N219),IF(ABS(SUM(N219:N224)-N225)&lt;=1.01,0,ROUND(SUM(N219:N224)-N225,1)),"")</f>
        <v>0</v>
      </c>
      <c r="O240" s="211">
        <f>IF(ISNUMBER(O219),IF(ABS(SUM(O219:O224)-O225)&lt;=1.01,0,ROUND(SUM(O219:O224)-O225,1)),"")</f>
        <v>0</v>
      </c>
      <c r="P240" s="211">
        <f>IF(ISNUMBER(P219),IF(ABS(SUM(P219:P224)-P225)&lt;=1.01,0,ROUND(SUM(P219:P224)-P225,1)),"")</f>
        <v>0</v>
      </c>
      <c r="Q240" s="211">
        <f>IF(ISNUMBER(Q219),IF(ABS(SUM(Q219:Q224)-Q225)&lt;=1.01,0,ROUND(SUM(Q219:Q224)-Q225,1)),"")</f>
        <v>0</v>
      </c>
      <c r="R240" s="211">
        <f>IF(ISNUMBER(R219),IF(ABS(SUM(R219:R224)-R225)&lt;=1.01,0,ROUND(SUM(R219:R224)-R225,1)),"")</f>
        <v>0</v>
      </c>
      <c r="S240" s="211">
        <f>IF(ISNUMBER(S219),IF(ABS(SUM(S219:S224)-S225)&lt;=1.01,0,ROUND(SUM(S219:S224)-S225,1)),"")</f>
        <v>0</v>
      </c>
      <c r="T240" s="211">
        <f>IF(ISNUMBER(T219),IF(ABS(SUM(T219:T224)-T225)&lt;=1.01,0,ROUND(SUM(T219:T224)-T225,1)),"")</f>
        <v>0</v>
      </c>
      <c r="U240" s="211">
        <f>IF(ISNUMBER(U219),IF(ABS(SUM(U219:U224)-U225)&lt;=1.01,0,ROUND(SUM(U219:U224)-U225,1)),"")</f>
        <v>0</v>
      </c>
      <c r="V240" s="211">
        <f>IF(ISNUMBER(V219),IF(ABS(SUM(V219:V224)-V225)&lt;=1.01,0,ROUND(SUM(V219:V224)-V225,1)),"")</f>
        <v>0</v>
      </c>
      <c r="W240" s="211">
        <f>IF(ISNUMBER(W219),IF(ABS(SUM(W219:W224)-W225)&lt;=1.01,0,ROUND(SUM(W219:W224)-W225,1)),"")</f>
        <v>0</v>
      </c>
      <c r="X240" s="211">
        <f>IF(ISNUMBER(X219),IF(ABS(SUM(X219:X224)-X225)&lt;=1.01,0,ROUND(SUM(X219:X224)-X225,1)),"")</f>
        <v>0</v>
      </c>
      <c r="Y240" s="211">
        <f>IF(ISNUMBER(Y219),IF(ABS(SUM(Y219:Y224)-Y225)&lt;=1.01,0,ROUND(SUM(Y219:Y224)-Y225,1)),"")</f>
        <v>0</v>
      </c>
      <c r="Z240" s="211">
        <f>IF(ISNUMBER(Z219),IF(ABS(SUM(Z219:Z224)-Z225)&lt;=1.01,0,ROUND(SUM(Z219:Z224)-Z225,1)),"")</f>
        <v>0</v>
      </c>
      <c r="AA240" s="211">
        <f>IF(ISNUMBER(AA219),IF(ABS(SUM(AA219:AA224)-AA225)&lt;=1.01,0,ROUND(SUM(AA219:AA224)-AA225,1)),"")</f>
        <v>0</v>
      </c>
      <c r="AB240" s="211">
        <f>IF(ISNUMBER(AB219),IF(ABS(SUM(AB219:AB224)-AB225)&lt;=1.01,0,ROUND(SUM(AB219:AB224)-AB225,1)),"")</f>
        <v>0</v>
      </c>
      <c r="AC240" s="211">
        <f>IF(ISNUMBER(AC219),IF(ABS(SUM(AC219:AC224)-AC225)&lt;=1.01,0,ROUND(SUM(AC219:AC224)-AC225,1)),"")</f>
        <v>0</v>
      </c>
      <c r="AD240" s="211">
        <f>IF(ISNUMBER(AD219),IF(ABS(SUM(AD219:AD224)-AD225)&lt;=1.01,0,ROUND(SUM(AD219:AD224)-AD225,1)),"")</f>
        <v>0</v>
      </c>
      <c r="AE240" s="211">
        <f>IF(ISNUMBER(AE219),IF(ABS(SUM(AE219:AE224)-AE225)&lt;=1.01,0,ROUND(SUM(AE219:AE224)-AE225,1)),"")</f>
        <v>0</v>
      </c>
      <c r="AF240" s="211">
        <f>IF(ISNUMBER(AF219),IF(ABS(SUM(AF219:AF224)-AF225)&lt;=1.01,0,ROUND(SUM(AF219:AF224)-AF225,1)),"")</f>
        <v>0</v>
      </c>
      <c r="AG240" s="211">
        <f>IF(ISNUMBER(AG219),IF(ABS(SUM(AG219:AG224)-AG225)&lt;=1.01,0,ROUND(SUM(AG219:AG224)-AG225,1)),"")</f>
        <v>0</v>
      </c>
      <c r="AH240" s="211">
        <f>IF(ISNUMBER(AH219),IF(ABS(SUM(AH219:AH224)-AH225)&lt;=1.01,0,ROUND(SUM(AH219:AH224)-AH225,1)),"")</f>
        <v>0</v>
      </c>
      <c r="AI240" s="211">
        <f>IF(ISNUMBER(AI219),IF(ABS(SUM(AI219:AI224)-AI225)&lt;=1.01,0,ROUND(SUM(AI219:AI224)-AI225,1)),"")</f>
        <v>0</v>
      </c>
      <c r="AJ240" s="211">
        <f>IF(ISNUMBER(AJ219),IF(ABS(SUM(AJ219:AJ224)-AJ225)&lt;=1.01,0,ROUND(SUM(AJ219:AJ224)-AJ225,1)),"")</f>
        <v>0</v>
      </c>
      <c r="AK240" s="211">
        <f>IF(ISNUMBER(AK219),IF(ABS(SUM(AK219:AK224)-AK225)&lt;=1.01,0,ROUND(SUM(AK219:AK224)-AK225,1)),"")</f>
        <v>0</v>
      </c>
      <c r="AL240" s="211">
        <f>IF(ISNUMBER(AL219),IF(ABS(SUM(AL219:AL224)-AL225)&lt;=1.01,0,ROUND(SUM(AL219:AL224)-AL225,1)),"")</f>
        <v>0</v>
      </c>
      <c r="AM240" s="211">
        <f>IF(ISNUMBER(AM219),IF(ABS(SUM(AM219:AM224)-AM225)&lt;=1.01,0,ROUND(SUM(AM219:AM224)-AM225,1)),"")</f>
        <v>0</v>
      </c>
      <c r="AN240" s="211">
        <f>IF(ISNUMBER(AN219),IF(ABS(SUM(AN219:AN224)-AN225)&lt;=1.01,0,ROUND(SUM(AN219:AN224)-AN225,1)),"")</f>
        <v>0</v>
      </c>
      <c r="AO240" s="211">
        <f>IF(ISNUMBER(AO219),IF(ABS(SUM(AO219:AO224)-AO225)&lt;=1.01,0,ROUND(SUM(AO219:AO224)-AO225,1)),"")</f>
        <v>0</v>
      </c>
      <c r="AP240" s="211">
        <f>IF(ISNUMBER(AP219),IF(ABS(SUM(AP219:AP224)-AP225)&lt;=1.01,0,ROUND(SUM(AP219:AP224)-AP225,1)),"")</f>
        <v>0</v>
      </c>
      <c r="AQ240" s="211">
        <f>IF(ISNUMBER(AQ219),IF(ABS(SUM(AQ219:AQ224)-AQ225)&lt;=1.01,0,ROUND(SUM(AQ219:AQ224)-AQ225,1)),"")</f>
        <v>0</v>
      </c>
      <c r="AR240" s="211">
        <f>IF(ISNUMBER(AR219),IF(ABS(SUM(AR219:AR224)-AR225)&lt;=1.01,0,ROUND(SUM(AR219:AR224)-AR225,1)),"")</f>
        <v>0</v>
      </c>
      <c r="AS240" s="211">
        <f>IF(ISNUMBER(AS219),IF(ABS(SUM(AS219:AS224)-AS225)&lt;=1.01,0,ROUND(SUM(AS219:AS224)-AS225,1)),"")</f>
        <v>0</v>
      </c>
      <c r="AT240" s="211">
        <f>IF(ISNUMBER(AT219),IF(ABS(SUM(AT219:AT224)-AT225)&lt;=1.01,0,ROUND(SUM(AT219:AT224)-AT225,1)),"")</f>
        <v>0</v>
      </c>
      <c r="AU240" s="211">
        <f>IF(ISNUMBER(AU219),IF(ABS(SUM(AU219:AU224)-AU225)&lt;=1.01,0,ROUND(SUM(AU219:AU224)-AU225,1)),"")</f>
        <v>0</v>
      </c>
      <c r="AV240" s="211">
        <f>IF(ISNUMBER(AV219),IF(ABS(SUM(AV219:AV224)-AV225)&lt;=1.01,0,ROUND(SUM(AV219:AV224)-AV225,1)),"")</f>
        <v>0</v>
      </c>
      <c r="AW240" s="211">
        <f>IF(ISNUMBER(AW219),IF(ABS(SUM(AW219:AW224)-AW225)&lt;=1.01,0,ROUND(SUM(AW219:AW224)-AW225,1)),"")</f>
        <v>0</v>
      </c>
      <c r="AX240" s="211">
        <f>IF(ISNUMBER(AX219),IF(ABS(SUM(AX219:AX224)-AX225)&lt;=1.01,0,ROUND(SUM(AX219:AX224)-AX225,1)),"")</f>
        <v>0</v>
      </c>
      <c r="AY240" s="211">
        <f>IF(ISNUMBER(AY219),IF(ABS(SUM(AY219:AY224)-AY225)&lt;=1.01,0,ROUND(SUM(AY219:AY224)-AY225,1)),"")</f>
        <v>0</v>
      </c>
      <c r="AZ240" s="211">
        <f>IF(ISNUMBER(AZ219),IF(ABS(SUM(AZ219:AZ224)-AZ225)&lt;=1.01,0,ROUND(SUM(AZ219:AZ224)-AZ225,1)),"")</f>
        <v>0</v>
      </c>
      <c r="BA240" s="211">
        <f>IF(ISNUMBER(BA219),IF(ABS(SUM(BA219:BA224)-BA225)&lt;=1.01,0,ROUND(SUM(BA219:BA224)-BA225,1)),"")</f>
        <v>0</v>
      </c>
      <c r="BB240" s="211">
        <f>IF(ISNUMBER(BB219),IF(ABS(SUM(BB219:BB224)-BB225)&lt;=1.01,0,ROUND(SUM(BB219:BB224)-BB225,1)),"")</f>
        <v>0</v>
      </c>
      <c r="BC240" s="211">
        <f>IF(ISNUMBER(BC219),IF(ABS(SUM(BC219:BC224)-BC225)&lt;=1.01,0,ROUND(SUM(BC219:BC224)-BC225,1)),"")</f>
        <v>0</v>
      </c>
      <c r="BD240" s="211">
        <f>IF(ISNUMBER(BD219),IF(ABS(SUM(BD219:BD224)-BD225)&lt;=1.01,0,ROUND(SUM(BD219:BD224)-BD225,1)),"")</f>
        <v>0</v>
      </c>
      <c r="BE240" s="211">
        <f>IF(ISNUMBER(BE219),IF(ABS(SUM(BE219:BE224)-BE225)&lt;=1.01,0,ROUND(SUM(BE219:BE224)-BE225,1)),"")</f>
        <v>0</v>
      </c>
      <c r="BF240" s="211">
        <f>IF(ISNUMBER(BF219),IF(ABS(SUM(BF219:BF224)-BF225)&lt;=1.01,0,ROUND(SUM(BF219:BF224)-BF225,1)),"")</f>
        <v>0</v>
      </c>
      <c r="BG240" s="211">
        <f>IF(ISNUMBER(BG219),IF(ABS(SUM(BG219:BG224)-BG225)&lt;=1.01,0,ROUND(SUM(BG219:BG224)-BG225,1)),"")</f>
        <v>0</v>
      </c>
      <c r="BH240" s="211">
        <f>IF(ISNUMBER(BH219),IF(ABS(SUM(BH219:BH224)-BH225)&lt;=1.01,0,ROUND(SUM(BH219:BH224)-BH225,1)),"")</f>
        <v>0</v>
      </c>
      <c r="BI240" s="211">
        <f>IF(ISNUMBER(BI219),IF(ABS(SUM(BI219:BI224)-BI225)&lt;=1.01,0,ROUND(SUM(BI219:BI224)-BI225,1)),"")</f>
        <v>0</v>
      </c>
      <c r="BJ240" s="211">
        <f>IF(ISNUMBER(BJ219),IF(ABS(SUM(BJ219:BJ224)-BJ225)&lt;=1.01,0,ROUND(SUM(BJ219:BJ224)-BJ225,1)),"")</f>
        <v>0</v>
      </c>
      <c r="BK240" s="211">
        <f>IF(ISNUMBER(BK219),IF(ABS(SUM(BK219:BK224)-BK225)&lt;=1.01,0,ROUND(SUM(BK219:BK224)-BK225,1)),"")</f>
        <v>0</v>
      </c>
      <c r="BL240" s="211">
        <f>IF(ISNUMBER(BL219),IF(ABS(SUM(BL219:BL224)-BL225)&lt;=1.01,0,ROUND(SUM(BL219:BL224)-BL225,1)),"")</f>
        <v>0</v>
      </c>
      <c r="BM240" s="211">
        <f>IF(ISNUMBER(BM219),IF(ABS(SUM(BM219:BM224)-BM225)&lt;=1.01,0,ROUND(SUM(BM219:BM224)-BM225,1)),"")</f>
        <v>0</v>
      </c>
      <c r="BN240" s="211">
        <f>IF(ISNUMBER(BN219),IF(ABS(SUM(BN219:BN224)-BN225)&lt;=1.01,0,ROUND(SUM(BN219:BN224)-BN225,1)),"")</f>
        <v>0</v>
      </c>
      <c r="BO240" s="211">
        <f>IF(ISNUMBER(BO219),IF(ABS(SUM(BO219:BO224)-BO225)&lt;=1.01,0,ROUND(SUM(BO219:BO224)-BO225,1)),"")</f>
        <v>0</v>
      </c>
      <c r="BP240" s="211">
        <f>IF(ISNUMBER(BP219),IF(ABS(SUM(BP219:BP224)-BP225)&lt;=1.01,0,ROUND(SUM(BP219:BP224)-BP225,1)),"")</f>
        <v>0</v>
      </c>
      <c r="BQ240" s="211">
        <f>IF(ISNUMBER(BQ219),IF(ABS(SUM(BQ219:BQ224)-BQ225)&lt;=1.01,0,ROUND(SUM(BQ219:BQ224)-BQ225,1)),"")</f>
        <v>0</v>
      </c>
      <c r="BR240" s="211">
        <f>IF(ISNUMBER(BR219),IF(ABS(SUM(BR219:BR224)-BR225)&lt;=1.01,0,ROUND(SUM(BR219:BR224)-BR225,1)),"")</f>
        <v>0</v>
      </c>
      <c r="BS240" s="211">
        <f>IF(ISNUMBER(BS219),IF(ABS(SUM(BS219:BS224)-BS225)&lt;=1.01,0,ROUND(SUM(BS219:BS224)-BS225,1)),"")</f>
        <v>0</v>
      </c>
      <c r="BT240" s="211">
        <f>IF(ISNUMBER(BT219),IF(ABS(SUM(BT219:BT224)-BT225)&lt;=1.01,0,ROUND(SUM(BT219:BT224)-BT225,1)),"")</f>
        <v>0</v>
      </c>
      <c r="BU240" s="211">
        <f>IF(ISNUMBER(BU219),IF(ABS(SUM(BU219:BU224)-BU225)&lt;=1.01,0,ROUND(SUM(BU219:BU224)-BU225,1)),"")</f>
        <v>0</v>
      </c>
      <c r="BV240" s="211">
        <f>IF(ISNUMBER(BV219),IF(ABS(SUM(BV219:BV224)-BV225)&lt;=1.01,0,ROUND(SUM(BV219:BV224)-BV225,1)),"")</f>
        <v>0</v>
      </c>
      <c r="BW240" s="211">
        <f>IF(ISNUMBER(BW219),IF(ABS(SUM(BW219:BW224)-BW225)&lt;=1.01,0,ROUND(SUM(BW219:BW224)-BW225,1)),"")</f>
        <v>0</v>
      </c>
      <c r="BX240" s="153" t="n"/>
      <c r="BY240" s="267">
        <f>IF(ISNUMBER(BY219),IF(ABS(SUM(BY219:BY224)-BY225)&lt;=1.01,0,ROUND(SUM(BY219:BY224)-BY225,1)),"")</f>
        <v>0</v>
      </c>
      <c r="BZ240" s="267">
        <f>IF(ISNUMBER(BZ219),IF(ABS(SUM(BZ219:BZ224)-BZ225)&lt;=1.01,0,ROUND(SUM(BZ219:BZ224)-BZ225,1)),"")</f>
        <v>0</v>
      </c>
      <c r="CA240" s="267">
        <f>IF(ISNUMBER(CA219),IF(ABS(SUM(CA219:CA224)-CA225)&lt;=1.01,0,ROUND(SUM(CA219:CA224)-CA225,1)),"")</f>
        <v>0</v>
      </c>
      <c r="CB240" s="267">
        <f>IF(ISNUMBER(CB219),IF(ABS(SUM(CB219:CB224)-CB225)&lt;=1.01,0,ROUND(SUM(CB219:CB224)-CB225,1)),"")</f>
        <v>0</v>
      </c>
      <c r="CC240" s="267">
        <f>IF(ISNUMBER(CC219),IF(ABS(SUM(CC219:CC224)-CC225)&lt;=1.01,0,ROUND(SUM(CC219:CC224)-CC225,1)),"")</f>
        <v>0</v>
      </c>
      <c r="CD240" s="267">
        <f>IF(ISNUMBER(CD219),IF(ABS(SUM(CD219:CD224)-CD225)&lt;=1.01,0,ROUND(SUM(CD219:CD224)-CD225,1)),"")</f>
        <v>0</v>
      </c>
      <c r="CE240" s="153" t="n"/>
    </row>
    <row r="241" ht="15" customHeight="1" s="251">
      <c r="B241" s="25" t="inlineStr">
        <is>
          <t>(Memo)</t>
        </is>
      </c>
      <c r="CE241" s="153" t="n"/>
    </row>
    <row r="242" ht="15" customHeight="1" s="251">
      <c r="B242" s="55" t="inlineStr">
        <is>
          <t>Free cash flow (model definition: CFO − purchases of property, equipment &amp; technology; Visa publishes no FCF measure in its releases)</t>
        </is>
      </c>
      <c r="C242" s="266">
        <f>IF(AND(ISNUMBER(C225),ISNUMBER(C226)),C225+C226,"")</f>
        <v>116</v>
      </c>
      <c r="D242" s="266">
        <f>IF(AND(ISNUMBER(D225),ISNUMBER(D226)),D225+D226,"")</f>
        <v>252</v>
      </c>
      <c r="E242" s="266">
        <f>IF(AND(ISNUMBER(E225),ISNUMBER(E226)),E225+E226,"")</f>
        <v>2450</v>
      </c>
      <c r="F242" s="266">
        <f>IF(AND(ISNUMBER(F225),ISNUMBER(F226)),F225+F226,"")</f>
        <v>3519</v>
      </c>
      <c r="G242" s="266">
        <f>IF(AND(ISNUMBER(G225),ISNUMBER(G226)),G225+G226,"")</f>
        <v>4633</v>
      </c>
      <c r="H242" s="266">
        <f>IF(AND(ISNUMBER(H225),ISNUMBER(H226)),H225+H226,"")</f>
        <v>-2924</v>
      </c>
      <c r="I242" s="266">
        <f>IF(AND(ISNUMBER(I225),ISNUMBER(I226)),I225+I226,"")</f>
        <v>1533</v>
      </c>
      <c r="J242" s="266">
        <f>IF(AND(ISNUMBER(J225),ISNUMBER(J226)),J225+J226,"")</f>
        <v>2035</v>
      </c>
      <c r="K242" s="266">
        <f>IF(AND(ISNUMBER(K225),ISNUMBER(K226)),K225+K226,"")</f>
        <v>1907</v>
      </c>
      <c r="L242" s="266">
        <f>IF(AND(ISNUMBER(L225),ISNUMBER(L226)),L225+L226,"")</f>
        <v>2551</v>
      </c>
      <c r="M242" s="266">
        <f>IF(AND(ISNUMBER(M225),ISNUMBER(M226)),M225+M226,"")</f>
        <v>1421</v>
      </c>
      <c r="N242" s="266">
        <f>IF(AND(ISNUMBER(N225),ISNUMBER(N226)),N225+N226,"")</f>
        <v>1832</v>
      </c>
      <c r="O242" s="266">
        <f>IF(AND(ISNUMBER(O225),ISNUMBER(O226)),O225+O226,"")</f>
        <v>1833</v>
      </c>
      <c r="P242" s="266">
        <f>IF(AND(ISNUMBER(P225),ISNUMBER(P226)),P225+P226,"")</f>
        <v>1566</v>
      </c>
      <c r="Q242" s="266">
        <f>IF(AND(ISNUMBER(Q225),ISNUMBER(Q226)),Q225+Q226,"")</f>
        <v>6652</v>
      </c>
      <c r="R242" s="266">
        <f>IF(AND(ISNUMBER(R225),ISNUMBER(R226)),R225+R226,"")</f>
        <v>1657</v>
      </c>
      <c r="S242" s="266">
        <f>IF(AND(ISNUMBER(S225),ISNUMBER(S226)),S225+S226,"")</f>
        <v>880</v>
      </c>
      <c r="T242" s="266">
        <f>IF(AND(ISNUMBER(T225),ISNUMBER(T226)),T225+T226,"")</f>
        <v>2037</v>
      </c>
      <c r="U242" s="266">
        <f>IF(AND(ISNUMBER(U225),ISNUMBER(U226)),U225+U226,"")</f>
        <v>1596</v>
      </c>
      <c r="V242" s="266">
        <f>IF(AND(ISNUMBER(V225),ISNUMBER(V226)),V225+V226,"")</f>
        <v>6170</v>
      </c>
      <c r="W242" s="266">
        <f>IF(AND(ISNUMBER(W225),ISNUMBER(W226)),W225+W226,"")</f>
        <v>1853</v>
      </c>
      <c r="X242" s="266">
        <f>IF(AND(ISNUMBER(X225),ISNUMBER(X226)),X225+X226,"")</f>
        <v>716</v>
      </c>
      <c r="Y242" s="266">
        <f>IF(AND(ISNUMBER(Y225),ISNUMBER(Y226)),Y225+Y226,"")</f>
        <v>171</v>
      </c>
      <c r="Z242" s="266">
        <f>IF(AND(ISNUMBER(Z225),ISNUMBER(Z226)),Z225+Z226,"")</f>
        <v>2311</v>
      </c>
      <c r="AA242" s="266">
        <f>IF(AND(ISNUMBER(AA225),ISNUMBER(AA226)),AA225+AA226,"")</f>
        <v>5051</v>
      </c>
      <c r="AB242" s="266">
        <f>IF(AND(ISNUMBER(AB225),ISNUMBER(AB226)),AB225+AB226,"")</f>
        <v>2337</v>
      </c>
      <c r="AC242" s="266">
        <f>IF(AND(ISNUMBER(AC225),ISNUMBER(AC226)),AC225+AC226,"")</f>
        <v>250</v>
      </c>
      <c r="AD242" s="266">
        <f>IF(AND(ISNUMBER(AD225),ISNUMBER(AD226)),AD225+AD226,"")</f>
        <v>3342</v>
      </c>
      <c r="AE242" s="266">
        <f>IF(AND(ISNUMBER(AE225),ISNUMBER(AE226)),AE225+AE226,"")</f>
        <v>2572</v>
      </c>
      <c r="AF242" s="266">
        <f>IF(AND(ISNUMBER(AF225),ISNUMBER(AF226)),AF225+AF226,"")</f>
        <v>8501</v>
      </c>
      <c r="AG242" s="266">
        <f>IF(AND(ISNUMBER(AG225),ISNUMBER(AG226)),AG225+AG226,"")</f>
        <v>2621</v>
      </c>
      <c r="AH242" s="266">
        <f>IF(AND(ISNUMBER(AH225),ISNUMBER(AH226)),AH225+AH226,"")</f>
        <v>2607</v>
      </c>
      <c r="AI242" s="266">
        <f>IF(AND(ISNUMBER(AI225),ISNUMBER(AI226)),AI225+AI226,"")</f>
        <v>3468</v>
      </c>
      <c r="AJ242" s="266">
        <f>IF(AND(ISNUMBER(AJ225),ISNUMBER(AJ226)),AJ225+AJ226,"")</f>
        <v>3299</v>
      </c>
      <c r="AK242" s="266">
        <f>IF(AND(ISNUMBER(AK225),ISNUMBER(AK226)),AK225+AK226,"")</f>
        <v>11995</v>
      </c>
      <c r="AL242" s="266">
        <f>IF(AND(ISNUMBER(AL225),ISNUMBER(AL226)),AL225+AL226,"")</f>
        <v>3137</v>
      </c>
      <c r="AM242" s="266">
        <f>IF(AND(ISNUMBER(AM225),ISNUMBER(AM226)),AM225+AM226,"")</f>
        <v>1908</v>
      </c>
      <c r="AN242" s="266">
        <f>IF(AND(ISNUMBER(AN225),ISNUMBER(AN226)),AN225+AN226,"")</f>
        <v>3190</v>
      </c>
      <c r="AO242" s="266">
        <f>IF(AND(ISNUMBER(AO225),ISNUMBER(AO226)),AO225+AO226,"")</f>
        <v>3793</v>
      </c>
      <c r="AP242" s="266">
        <f>IF(AND(ISNUMBER(AP225),ISNUMBER(AP226)),AP225+AP226,"")</f>
        <v>12028</v>
      </c>
      <c r="AQ242" s="266">
        <f>IF(AND(ISNUMBER(AQ225),ISNUMBER(AQ226)),AQ225+AQ226,"")</f>
        <v>3684</v>
      </c>
      <c r="AR242" s="266">
        <f>IF(AND(ISNUMBER(AR225),ISNUMBER(AR226)),AR225+AR226,"")</f>
        <v>1251</v>
      </c>
      <c r="AS242" s="266">
        <f>IF(AND(ISNUMBER(AS225),ISNUMBER(AS226)),AS225+AS226,"")</f>
        <v>2841</v>
      </c>
      <c r="AT242" s="266">
        <f>IF(AND(ISNUMBER(AT225),ISNUMBER(AT226)),AT225+AT226,"")</f>
        <v>1928</v>
      </c>
      <c r="AU242" s="266">
        <f>IF(AND(ISNUMBER(AU225),ISNUMBER(AU226)),AU225+AU226,"")</f>
        <v>9704</v>
      </c>
      <c r="AV242" s="266">
        <f>IF(AND(ISNUMBER(AV225),ISNUMBER(AV226)),AV225+AV226,"")</f>
        <v>3353</v>
      </c>
      <c r="AW242" s="266">
        <f>IF(AND(ISNUMBER(AW225),ISNUMBER(AW226)),AW225+AW226,"")</f>
        <v>3171</v>
      </c>
      <c r="AX242" s="266">
        <f>IF(AND(ISNUMBER(AX225),ISNUMBER(AX226)),AX225+AX226,"")</f>
        <v>4235</v>
      </c>
      <c r="AY242" s="266">
        <f>IF(AND(ISNUMBER(AY225),ISNUMBER(AY226)),AY225+AY226,"")</f>
        <v>3763</v>
      </c>
      <c r="AZ242" s="266">
        <f>IF(AND(ISNUMBER(AZ225),ISNUMBER(AZ226)),AZ225+AZ226,"")</f>
        <v>14522</v>
      </c>
      <c r="BA242" s="266">
        <f>IF(AND(ISNUMBER(BA225),ISNUMBER(BA226)),BA225+BA226,"")</f>
        <v>4059</v>
      </c>
      <c r="BB242" s="266">
        <f>IF(AND(ISNUMBER(BB225),ISNUMBER(BB226)),BB225+BB226,"")</f>
        <v>3222</v>
      </c>
      <c r="BC242" s="266">
        <f>IF(AND(ISNUMBER(BC225),ISNUMBER(BC226)),BC225+BC226,"")</f>
        <v>5017</v>
      </c>
      <c r="BD242" s="266">
        <f>IF(AND(ISNUMBER(BD225),ISNUMBER(BD226)),BD225+BD226,"")</f>
        <v>5581</v>
      </c>
      <c r="BE242" s="266">
        <f>IF(AND(ISNUMBER(BE225),ISNUMBER(BE226)),BE225+BE226,"")</f>
        <v>17879</v>
      </c>
      <c r="BF242" s="266">
        <f>IF(AND(ISNUMBER(BF225),ISNUMBER(BF226)),BF225+BF226,"")</f>
        <v>3922</v>
      </c>
      <c r="BG242" s="266">
        <f>IF(AND(ISNUMBER(BG225),ISNUMBER(BG226)),BG225+BG226,"")</f>
        <v>3650</v>
      </c>
      <c r="BH242" s="266">
        <f>IF(AND(ISNUMBER(BH225),ISNUMBER(BH226)),BH225+BH226,"")</f>
        <v>5502</v>
      </c>
      <c r="BI242" s="266">
        <f>IF(AND(ISNUMBER(BI225),ISNUMBER(BI226)),BI225+BI226,"")</f>
        <v>6622</v>
      </c>
      <c r="BJ242" s="266">
        <f>IF(AND(ISNUMBER(BJ225),ISNUMBER(BJ226)),BJ225+BJ226,"")</f>
        <v>19696</v>
      </c>
      <c r="BK242" s="266">
        <f>IF(AND(ISNUMBER(BK225),ISNUMBER(BK226)),BK225+BK226,"")</f>
        <v>3347</v>
      </c>
      <c r="BL242" s="266">
        <f>IF(AND(ISNUMBER(BL225),ISNUMBER(BL226)),BL225+BL226,"")</f>
        <v>4257</v>
      </c>
      <c r="BM242" s="266">
        <f>IF(AND(ISNUMBER(BM225),ISNUMBER(BM226)),BM225+BM226,"")</f>
        <v>4734</v>
      </c>
      <c r="BN242" s="266">
        <f>IF(AND(ISNUMBER(BN225),ISNUMBER(BN226)),BN225+BN226,"")</f>
        <v>6355</v>
      </c>
      <c r="BO242" s="266">
        <f>IF(AND(ISNUMBER(BO225),ISNUMBER(BO226)),BO225+BO226,"")</f>
        <v>18693</v>
      </c>
      <c r="BP242" s="266">
        <f>IF(AND(ISNUMBER(BP225),ISNUMBER(BP226)),BP225+BP226,"")</f>
        <v>5051</v>
      </c>
      <c r="BQ242" s="266">
        <f>IF(AND(ISNUMBER(BQ225),ISNUMBER(BQ226)),BQ225+BQ226,"")</f>
        <v>4368</v>
      </c>
      <c r="BR242" s="266">
        <f>IF(AND(ISNUMBER(BR225),ISNUMBER(BR226)),BR225+BR226,"")</f>
        <v>6309</v>
      </c>
      <c r="BS242" s="266">
        <f>IF(AND(ISNUMBER(BS225),ISNUMBER(BS226)),BS225+BS226,"")</f>
        <v>5849</v>
      </c>
      <c r="BT242" s="266">
        <f>IF(AND(ISNUMBER(BT225),ISNUMBER(BT226)),BT225+BT226,"")</f>
        <v>21577</v>
      </c>
      <c r="BU242" s="266">
        <f>IF(AND(ISNUMBER(BU225),ISNUMBER(BU226)),BU225+BU226,"")</f>
        <v>6402</v>
      </c>
      <c r="BV242" s="266">
        <f>IF(AND(ISNUMBER(BV225),ISNUMBER(BV226)),BV225+BV226,"")</f>
        <v>2625</v>
      </c>
      <c r="BW242" s="266">
        <f>IF(AND(ISNUMBER(BW225),ISNUMBER(BW226)),BW225+BW226,"")</f>
        <v>6137</v>
      </c>
      <c r="BX242" s="56" t="n"/>
      <c r="BY242" s="266">
        <f>IF(AND(ISNUMBER(BY225),ISNUMBER(BY226)),BY225+BY226,"")</f>
        <v>22759.817018394</v>
      </c>
      <c r="BZ242" s="266">
        <f>IF(AND(ISNUMBER(BZ225),ISNUMBER(BZ226)),BZ225+BZ226,"")</f>
        <v>28437.4613477524</v>
      </c>
      <c r="CA242" s="266">
        <f>IF(AND(ISNUMBER(CA225),ISNUMBER(CA226)),CA225+CA226,"")</f>
        <v>31549.775828397</v>
      </c>
      <c r="CB242" s="266">
        <f>IF(AND(ISNUMBER(CB225),ISNUMBER(CB226)),CB225+CB226,"")</f>
        <v>34894.543840646</v>
      </c>
      <c r="CC242" s="266">
        <f>IF(AND(ISNUMBER(CC225),ISNUMBER(CC226)),CC225+CC226,"")</f>
        <v>38148.7484274731</v>
      </c>
      <c r="CD242" s="266">
        <f>IF(AND(ISNUMBER(CD225),ISNUMBER(CD226)),CD225+CD226,"")</f>
        <v>41712.2720539091</v>
      </c>
      <c r="CE242" s="153" t="n"/>
      <c r="CG242" s="20">
        <f>IFERROR((CD242/BY242)^(1/5)-1,"n/m")</f>
        <v>0.128805238089582</v>
      </c>
      <c r="CH242" s="20">
        <f>IFERROR((BT242/AU242)^(1/5)-1,"n/m")</f>
        <v>0.173297255344359</v>
      </c>
      <c r="CI242" s="20">
        <f>IFERROR((BT242/V242)^(1/10)-1,"n/m")</f>
        <v>0.133367069213418</v>
      </c>
      <c r="CJ242" s="20">
        <f>IFERROR((BT242/C242)^(1/17)-1,"n/m")</f>
        <v>0.359884254903036</v>
      </c>
    </row>
    <row r="243" ht="15" customHeight="1" s="251">
      <c r="B243" s="22" t="inlineStr">
        <is>
          <t xml:space="preserve">  FCF y/y %</t>
        </is>
      </c>
      <c r="C243" s="23" t="n"/>
      <c r="D243" s="255">
        <f>IF(AND(ISNUMBER(D242),ISNUMBER(C242)),IFERROR(D242/C242-1,""),"")</f>
        <v>1.17241379310345</v>
      </c>
      <c r="E243" s="255">
        <f>IF(AND(ISNUMBER(E242),ISNUMBER(D242)),IFERROR(E242/D242-1,""),"")</f>
        <v>8.72222222222222</v>
      </c>
      <c r="F243" s="255">
        <f>IF(AND(ISNUMBER(F242),ISNUMBER(E242)),IFERROR(F242/E242-1,""),"")</f>
        <v>0.436326530612245</v>
      </c>
      <c r="G243" s="255">
        <f>IF(AND(ISNUMBER(G242),ISNUMBER(F242)),IFERROR(G242/F242-1,""),"")</f>
        <v>0.316567206592782</v>
      </c>
      <c r="H243" s="23" t="n"/>
      <c r="I243" s="23" t="n"/>
      <c r="J243" s="23" t="n"/>
      <c r="K243" s="23" t="n"/>
      <c r="L243" s="255">
        <f>IF(AND(ISNUMBER(L242),ISNUMBER(G242)),IFERROR(L242/G242-1,""),"")</f>
        <v>-0.449384847830779</v>
      </c>
      <c r="M243" s="255">
        <f>IF(AND(ISNUMBER(M242),ISNUMBER(H242)),IFERROR(M242/H242-1,""),"")</f>
        <v>-1.4859781121751</v>
      </c>
      <c r="N243" s="255">
        <f>IF(AND(ISNUMBER(N242),ISNUMBER(I242)),IFERROR(N242/I242-1,""),"")</f>
        <v>0.195042400521853</v>
      </c>
      <c r="O243" s="255">
        <f>IF(AND(ISNUMBER(O242),ISNUMBER(J242)),IFERROR(O242/J242-1,""),"")</f>
        <v>-0.0992628992628992</v>
      </c>
      <c r="P243" s="255">
        <f>IF(AND(ISNUMBER(P242),ISNUMBER(K242)),IFERROR(P242/K242-1,""),"")</f>
        <v>-0.178814892501311</v>
      </c>
      <c r="Q243" s="255">
        <f>IF(AND(ISNUMBER(Q242),ISNUMBER(L242)),IFERROR(Q242/L242-1,""),"")</f>
        <v>1.60760486083889</v>
      </c>
      <c r="R243" s="255">
        <f>IF(AND(ISNUMBER(R242),ISNUMBER(M242)),IFERROR(R242/M242-1,""),"")</f>
        <v>0.166080225193526</v>
      </c>
      <c r="S243" s="255">
        <f>IF(AND(ISNUMBER(S242),ISNUMBER(N242)),IFERROR(S242/N242-1,""),"")</f>
        <v>-0.519650655021834</v>
      </c>
      <c r="T243" s="255">
        <f>IF(AND(ISNUMBER(T242),ISNUMBER(O242)),IFERROR(T242/O242-1,""),"")</f>
        <v>0.111292962356792</v>
      </c>
      <c r="U243" s="255">
        <f>IF(AND(ISNUMBER(U242),ISNUMBER(P242)),IFERROR(U242/P242-1,""),"")</f>
        <v>0.0191570881226053</v>
      </c>
      <c r="V243" s="255">
        <f>IF(AND(ISNUMBER(V242),ISNUMBER(Q242)),IFERROR(V242/Q242-1,""),"")</f>
        <v>-0.0724594107035478</v>
      </c>
      <c r="W243" s="255">
        <f>IF(AND(ISNUMBER(W242),ISNUMBER(R242)),IFERROR(W242/R242-1,""),"")</f>
        <v>0.118286059143029</v>
      </c>
      <c r="X243" s="255">
        <f>IF(AND(ISNUMBER(X242),ISNUMBER(S242)),IFERROR(X242/S242-1,""),"")</f>
        <v>-0.186363636363636</v>
      </c>
      <c r="Y243" s="255">
        <f>IF(AND(ISNUMBER(Y242),ISNUMBER(T242)),IFERROR(Y242/T242-1,""),"")</f>
        <v>-0.916053019145803</v>
      </c>
      <c r="Z243" s="255">
        <f>IF(AND(ISNUMBER(Z242),ISNUMBER(U242)),IFERROR(Z242/U242-1,""),"")</f>
        <v>0.447994987468672</v>
      </c>
      <c r="AA243" s="255">
        <f>IF(AND(ISNUMBER(AA242),ISNUMBER(V242)),IFERROR(AA242/V242-1,""),"")</f>
        <v>-0.181361426256078</v>
      </c>
      <c r="AB243" s="255">
        <f>IF(AND(ISNUMBER(AB242),ISNUMBER(W242)),IFERROR(AB242/W242-1,""),"")</f>
        <v>0.261198057204533</v>
      </c>
      <c r="AC243" s="255">
        <f>IF(AND(ISNUMBER(AC242),ISNUMBER(X242)),IFERROR(AC242/X242-1,""),"")</f>
        <v>-0.650837988826816</v>
      </c>
      <c r="AD243" s="255">
        <f>IF(AND(ISNUMBER(AD242),ISNUMBER(Y242)),IFERROR(AD242/Y242-1,""),"")</f>
        <v>18.5438596491228</v>
      </c>
      <c r="AE243" s="255">
        <f>IF(AND(ISNUMBER(AE242),ISNUMBER(Z242)),IFERROR(AE242/Z242-1,""),"")</f>
        <v>0.112938122025097</v>
      </c>
      <c r="AF243" s="255">
        <f>IF(AND(ISNUMBER(AF242),ISNUMBER(AA242)),IFERROR(AF242/AA242-1,""),"")</f>
        <v>0.68303306275985</v>
      </c>
      <c r="AG243" s="255">
        <f>IF(AND(ISNUMBER(AG242),ISNUMBER(AB242)),IFERROR(AG242/AB242-1,""),"")</f>
        <v>0.121523320496363</v>
      </c>
      <c r="AH243" s="255">
        <f>IF(AND(ISNUMBER(AH242),ISNUMBER(AC242)),IFERROR(AH242/AC242-1,""),"")</f>
        <v>9.428</v>
      </c>
      <c r="AI243" s="255">
        <f>IF(AND(ISNUMBER(AI242),ISNUMBER(AD242)),IFERROR(AI242/AD242-1,""),"")</f>
        <v>0.03770197486535</v>
      </c>
      <c r="AJ243" s="255">
        <f>IF(AND(ISNUMBER(AJ242),ISNUMBER(AE242)),IFERROR(AJ242/AE242-1,""),"")</f>
        <v>0.282659409020218</v>
      </c>
      <c r="AK243" s="255">
        <f>IF(AND(ISNUMBER(AK242),ISNUMBER(AF242)),IFERROR(AK242/AF242-1,""),"")</f>
        <v>0.411010469356546</v>
      </c>
      <c r="AL243" s="255">
        <f>IF(AND(ISNUMBER(AL242),ISNUMBER(AG242)),IFERROR(AL242/AG242-1,""),"")</f>
        <v>0.196871423120946</v>
      </c>
      <c r="AM243" s="255">
        <f>IF(AND(ISNUMBER(AM242),ISNUMBER(AH242)),IFERROR(AM242/AH242-1,""),"")</f>
        <v>-0.268124280782509</v>
      </c>
      <c r="AN243" s="255">
        <f>IF(AND(ISNUMBER(AN242),ISNUMBER(AI242)),IFERROR(AN242/AI242-1,""),"")</f>
        <v>-0.080161476355248</v>
      </c>
      <c r="AO243" s="255">
        <f>IF(AND(ISNUMBER(AO242),ISNUMBER(AJ242)),IFERROR(AO242/AJ242-1,""),"")</f>
        <v>0.149742346165505</v>
      </c>
      <c r="AP243" s="255">
        <f>IF(AND(ISNUMBER(AP242),ISNUMBER(AK242)),IFERROR(AP242/AK242-1,""),"")</f>
        <v>0.00275114631096285</v>
      </c>
      <c r="AQ243" s="255">
        <f>IF(AND(ISNUMBER(AQ242),ISNUMBER(AL242)),IFERROR(AQ242/AL242-1,""),"")</f>
        <v>0.17437041759643</v>
      </c>
      <c r="AR243" s="255">
        <f>IF(AND(ISNUMBER(AR242),ISNUMBER(AM242)),IFERROR(AR242/AM242-1,""),"")</f>
        <v>-0.344339622641509</v>
      </c>
      <c r="AS243" s="255">
        <f>IF(AND(ISNUMBER(AS242),ISNUMBER(AN242)),IFERROR(AS242/AN242-1,""),"")</f>
        <v>-0.109404388714734</v>
      </c>
      <c r="AT243" s="255">
        <f>IF(AND(ISNUMBER(AT242),ISNUMBER(AO242)),IFERROR(AT242/AO242-1,""),"")</f>
        <v>-0.491695228051674</v>
      </c>
      <c r="AU243" s="255">
        <f>IF(AND(ISNUMBER(AU242),ISNUMBER(AP242)),IFERROR(AU242/AP242-1,""),"")</f>
        <v>-0.193215829730629</v>
      </c>
      <c r="AV243" s="255">
        <f>IF(AND(ISNUMBER(AV242),ISNUMBER(AQ242)),IFERROR(AV242/AQ242-1,""),"")</f>
        <v>-0.0898479913137894</v>
      </c>
      <c r="AW243" s="255">
        <f>IF(AND(ISNUMBER(AW242),ISNUMBER(AR242)),IFERROR(AW242/AR242-1,""),"")</f>
        <v>1.5347721822542</v>
      </c>
      <c r="AX243" s="255">
        <f>IF(AND(ISNUMBER(AX242),ISNUMBER(AS242)),IFERROR(AX242/AS242-1,""),"")</f>
        <v>0.490672298486448</v>
      </c>
      <c r="AY243" s="255">
        <f>IF(AND(ISNUMBER(AY242),ISNUMBER(AT242)),IFERROR(AY242/AT242-1,""),"")</f>
        <v>0.951763485477178</v>
      </c>
      <c r="AZ243" s="255">
        <f>IF(AND(ISNUMBER(AZ242),ISNUMBER(AU242)),IFERROR(AZ242/AU242-1,""),"")</f>
        <v>0.496496290189613</v>
      </c>
      <c r="BA243" s="255">
        <f>IF(AND(ISNUMBER(BA242),ISNUMBER(AV242)),IFERROR(BA242/AV242-1,""),"")</f>
        <v>0.210557709513868</v>
      </c>
      <c r="BB243" s="255">
        <f>IF(AND(ISNUMBER(BB242),ISNUMBER(AW242)),IFERROR(BB242/AW242-1,""),"")</f>
        <v>0.0160832544938505</v>
      </c>
      <c r="BC243" s="255">
        <f>IF(AND(ISNUMBER(BC242),ISNUMBER(AX242)),IFERROR(BC242/AX242-1,""),"")</f>
        <v>0.184651711924439</v>
      </c>
      <c r="BD243" s="255">
        <f>IF(AND(ISNUMBER(BD242),ISNUMBER(AY242)),IFERROR(BD242/AY242-1,""),"")</f>
        <v>0.483125166090885</v>
      </c>
      <c r="BE243" s="255">
        <f>IF(AND(ISNUMBER(BE242),ISNUMBER(AZ242)),IFERROR(BE242/AZ242-1,""),"")</f>
        <v>0.23116650599091</v>
      </c>
      <c r="BF243" s="255">
        <f>IF(AND(ISNUMBER(BF242),ISNUMBER(BA242)),IFERROR(BF242/BA242-1,""),"")</f>
        <v>-0.0337521557033752</v>
      </c>
      <c r="BG243" s="255">
        <f>IF(AND(ISNUMBER(BG242),ISNUMBER(BB242)),IFERROR(BG242/BB242-1,""),"")</f>
        <v>0.132836747361887</v>
      </c>
      <c r="BH243" s="255">
        <f>IF(AND(ISNUMBER(BH242),ISNUMBER(BC242)),IFERROR(BH242/BC242-1,""),"")</f>
        <v>0.0966713175204306</v>
      </c>
      <c r="BI243" s="255">
        <f>IF(AND(ISNUMBER(BI242),ISNUMBER(BD242)),IFERROR(BI242/BD242-1,""),"")</f>
        <v>0.18652571223795</v>
      </c>
      <c r="BJ243" s="255">
        <f>IF(AND(ISNUMBER(BJ242),ISNUMBER(BE242)),IFERROR(BJ242/BE242-1,""),"")</f>
        <v>0.101627607808043</v>
      </c>
      <c r="BK243" s="255">
        <f>IF(AND(ISNUMBER(BK242),ISNUMBER(BF242)),IFERROR(BK242/BF242-1,""),"")</f>
        <v>-0.146608873023967</v>
      </c>
      <c r="BL243" s="255">
        <f>IF(AND(ISNUMBER(BL242),ISNUMBER(BG242)),IFERROR(BL242/BG242-1,""),"")</f>
        <v>0.166301369863014</v>
      </c>
      <c r="BM243" s="255">
        <f>IF(AND(ISNUMBER(BM242),ISNUMBER(BH242)),IFERROR(BM242/BH242-1,""),"")</f>
        <v>-0.13958560523446</v>
      </c>
      <c r="BN243" s="255">
        <f>IF(AND(ISNUMBER(BN242),ISNUMBER(BI242)),IFERROR(BN242/BI242-1,""),"")</f>
        <v>-0.0403201449713078</v>
      </c>
      <c r="BO243" s="255">
        <f>IF(AND(ISNUMBER(BO242),ISNUMBER(BJ242)),IFERROR(BO242/BJ242-1,""),"")</f>
        <v>-0.0509240454914703</v>
      </c>
      <c r="BP243" s="255">
        <f>IF(AND(ISNUMBER(BP242),ISNUMBER(BK242)),IFERROR(BP242/BK242-1,""),"")</f>
        <v>0.509112638183448</v>
      </c>
      <c r="BQ243" s="255">
        <f>IF(AND(ISNUMBER(BQ242),ISNUMBER(BL242)),IFERROR(BQ242/BL242-1,""),"")</f>
        <v>0.0260747004933051</v>
      </c>
      <c r="BR243" s="255">
        <f>IF(AND(ISNUMBER(BR242),ISNUMBER(BM242)),IFERROR(BR242/BM242-1,""),"")</f>
        <v>0.332699619771863</v>
      </c>
      <c r="BS243" s="255">
        <f>IF(AND(ISNUMBER(BS242),ISNUMBER(BN242)),IFERROR(BS242/BN242-1,""),"")</f>
        <v>-0.0796223446105429</v>
      </c>
      <c r="BT243" s="255">
        <f>IF(AND(ISNUMBER(BT242),ISNUMBER(BO242)),IFERROR(BT242/BO242-1,""),"")</f>
        <v>0.154282351682448</v>
      </c>
      <c r="BU243" s="255">
        <f>IF(AND(ISNUMBER(BU242),ISNUMBER(BP242)),IFERROR(BU242/BP242-1,""),"")</f>
        <v>0.267471787764799</v>
      </c>
      <c r="BV243" s="255">
        <f>IF(AND(ISNUMBER(BV242),ISNUMBER(BQ242)),IFERROR(BV242/BQ242-1,""),"")</f>
        <v>-0.399038461538462</v>
      </c>
      <c r="BW243" s="255">
        <f>IF(AND(ISNUMBER(BW242),ISNUMBER(BR242)),IFERROR(BW242/BR242-1,""),"")</f>
        <v>-0.0272626406720558</v>
      </c>
      <c r="BX243" s="24" t="n"/>
      <c r="BY243" s="256">
        <f>IF(AND(ISNUMBER(BY242),ISNUMBER(BT242)),IFERROR(BY242/BT242-1,""),"")</f>
        <v>0.0548184186121334</v>
      </c>
      <c r="BZ243" s="256">
        <f>IF(AND(ISNUMBER(BZ242),ISNUMBER(BY242)),IFERROR(BZ242/BY242-1,""),"")</f>
        <v>0.249459137776453</v>
      </c>
      <c r="CA243" s="256">
        <f>IF(AND(ISNUMBER(CA242),ISNUMBER(BZ242)),IFERROR(CA242/BZ242-1,""),"")</f>
        <v>0.109444174449508</v>
      </c>
      <c r="CB243" s="256">
        <f>IF(AND(ISNUMBER(CB242),ISNUMBER(CA242)),IFERROR(CB242/CA242-1,""),"")</f>
        <v>0.106015587256201</v>
      </c>
      <c r="CC243" s="256">
        <f>IF(AND(ISNUMBER(CC242),ISNUMBER(CB242)),IFERROR(CC242/CB242-1,""),"")</f>
        <v>0.0932582641483497</v>
      </c>
      <c r="CD243" s="256">
        <f>IF(AND(ISNUMBER(CD242),ISNUMBER(CC242)),IFERROR(CD242/CC242-1,""),"")</f>
        <v>0.0934112853849156</v>
      </c>
      <c r="CE243" s="153" t="n"/>
    </row>
    <row r="244" ht="15" customHeight="1" s="251">
      <c r="B244" s="25" t="inlineStr">
        <is>
          <t xml:space="preserve">  FCF % of net revenue</t>
        </is>
      </c>
      <c r="C244" s="215">
        <f>IF(AND(ISNUMBER(C242),ISNUMBER(C113)),IFERROR(C242/C113,""),"")</f>
        <v>0.0185214753313109</v>
      </c>
      <c r="D244" s="215">
        <f>IF(AND(ISNUMBER(D242),ISNUMBER(D113)),IFERROR(D242/D113,""),"")</f>
        <v>0.0364636087396904</v>
      </c>
      <c r="E244" s="215">
        <f>IF(AND(ISNUMBER(E242),ISNUMBER(E113)),IFERROR(E242/E113,""),"")</f>
        <v>0.303781773093614</v>
      </c>
      <c r="F244" s="215">
        <f>IF(AND(ISNUMBER(F242),ISNUMBER(F113)),IFERROR(F242/F113,""),"")</f>
        <v>0.382999564649543</v>
      </c>
      <c r="G244" s="215">
        <f>IF(AND(ISNUMBER(G242),ISNUMBER(G113)),IFERROR(G242/G113,""),"")</f>
        <v>0.444583053449765</v>
      </c>
      <c r="H244" s="215">
        <f>IF(AND(ISNUMBER(H242),ISNUMBER(H113)),IFERROR(H242/H113,""),"")</f>
        <v>-1.02740688685875</v>
      </c>
      <c r="I244" s="215">
        <f>IF(AND(ISNUMBER(I242),ISNUMBER(I113)),IFERROR(I242/I113,""),"")</f>
        <v>0.518255578093306</v>
      </c>
      <c r="J244" s="215">
        <f>IF(AND(ISNUMBER(J242),ISNUMBER(J113)),IFERROR(J242/J113,""),"")</f>
        <v>0.678107297567478</v>
      </c>
      <c r="K244" s="215">
        <f>IF(AND(ISNUMBER(K242),ISNUMBER(K113)),IFERROR(K242/K113,""),"")</f>
        <v>0.641439623276152</v>
      </c>
      <c r="L244" s="215">
        <f>IF(AND(ISNUMBER(L242),ISNUMBER(L113)),IFERROR(L242/L113,""),"")</f>
        <v>0.216590253014094</v>
      </c>
      <c r="M244" s="215">
        <f>IF(AND(ISNUMBER(M242),ISNUMBER(M113)),IFERROR(M242/M113,""),"")</f>
        <v>0.450396196513471</v>
      </c>
      <c r="N244" s="215">
        <f>IF(AND(ISNUMBER(N242),ISNUMBER(N113)),IFERROR(N242/N113,""),"")</f>
        <v>0.579196964906734</v>
      </c>
      <c r="O244" s="215">
        <f>IF(AND(ISNUMBER(O242),ISNUMBER(O113)),IFERROR(O242/O113,""),"")</f>
        <v>0.580982567353407</v>
      </c>
      <c r="P244" s="215">
        <f>IF(AND(ISNUMBER(P242),ISNUMBER(P113)),IFERROR(P242/P113,""),"")</f>
        <v>0.484979869928771</v>
      </c>
      <c r="Q244" s="215">
        <f>IF(AND(ISNUMBER(Q242),ISNUMBER(Q113)),IFERROR(Q242/Q113,""),"")</f>
        <v>0.523697055581798</v>
      </c>
      <c r="R244" s="215">
        <f>IF(AND(ISNUMBER(R242),ISNUMBER(R113)),IFERROR(R242/R113,""),"")</f>
        <v>0.489946777054997</v>
      </c>
      <c r="S244" s="215">
        <f>IF(AND(ISNUMBER(S242),ISNUMBER(S113)),IFERROR(S242/S113,""),"")</f>
        <v>0.258140217072455</v>
      </c>
      <c r="T244" s="215">
        <f>IF(AND(ISNUMBER(T242),ISNUMBER(T113)),IFERROR(T242/T113,""),"")</f>
        <v>0.579022171688459</v>
      </c>
      <c r="U244" s="215">
        <f>IF(AND(ISNUMBER(U242),ISNUMBER(U113)),IFERROR(U242/U113,""),"")</f>
        <v>0.446933632035844</v>
      </c>
      <c r="V244" s="215">
        <f>IF(AND(ISNUMBER(V242),ISNUMBER(V113)),IFERROR(V242/V113,""),"")</f>
        <v>0.444524495677233</v>
      </c>
      <c r="W244" s="215">
        <f>IF(AND(ISNUMBER(W242),ISNUMBER(W113)),IFERROR(W242/W113,""),"")</f>
        <v>0.519775596072931</v>
      </c>
      <c r="X244" s="215">
        <f>IF(AND(ISNUMBER(X242),ISNUMBER(X113)),IFERROR(X242/X113,""),"")</f>
        <v>0.19746276889134</v>
      </c>
      <c r="Y244" s="215">
        <f>IF(AND(ISNUMBER(Y242),ISNUMBER(Y113)),IFERROR(Y242/Y113,""),"")</f>
        <v>0.0471074380165289</v>
      </c>
      <c r="Z244" s="215">
        <f>IF(AND(ISNUMBER(Z242),ISNUMBER(Z113)),IFERROR(Z242/Z113,""),"")</f>
        <v>0.542360948134241</v>
      </c>
      <c r="AA244" s="215">
        <f>IF(AND(ISNUMBER(AA242),ISNUMBER(AA113)),IFERROR(AA242/AA113,""),"")</f>
        <v>0.334902532820581</v>
      </c>
      <c r="AB244" s="215">
        <f>IF(AND(ISNUMBER(AB242),ISNUMBER(AB113)),IFERROR(AB242/AB113,""),"")</f>
        <v>0.523873570948218</v>
      </c>
      <c r="AC244" s="215">
        <f>IF(AND(ISNUMBER(AC242),ISNUMBER(AC113)),IFERROR(AC242/AC113,""),"")</f>
        <v>0.055840964931874</v>
      </c>
      <c r="AD244" s="215">
        <f>IF(AND(ISNUMBER(AD242),ISNUMBER(AD113)),IFERROR(AD242/AD113,""),"")</f>
        <v>0.732092004381161</v>
      </c>
      <c r="AE244" s="215">
        <f>IF(AND(ISNUMBER(AE242),ISNUMBER(AE113)),IFERROR(AE242/AE113,""),"")</f>
        <v>0.529763130792997</v>
      </c>
      <c r="AF244" s="215">
        <f>IF(AND(ISNUMBER(AF242),ISNUMBER(AF113)),IFERROR(AF242/AF113,""),"")</f>
        <v>0.463067872317246</v>
      </c>
      <c r="AG244" s="215">
        <f>IF(AND(ISNUMBER(AG242),ISNUMBER(AG113)),IFERROR(AG242/AG113,""),"")</f>
        <v>0.539078568490333</v>
      </c>
      <c r="AH244" s="215">
        <f>IF(AND(ISNUMBER(AH242),ISNUMBER(AH113)),IFERROR(AH242/AH113,""),"")</f>
        <v>0.513897102306328</v>
      </c>
      <c r="AI244" s="215">
        <f>IF(AND(ISNUMBER(AI242),ISNUMBER(AI113)),IFERROR(AI242/AI113,""),"")</f>
        <v>0.661832061068702</v>
      </c>
      <c r="AJ244" s="215">
        <f>IF(AND(ISNUMBER(AJ242),ISNUMBER(AJ113)),IFERROR(AJ242/AJ113,""),"")</f>
        <v>0.607103422892897</v>
      </c>
      <c r="AK244" s="215">
        <f>IF(AND(ISNUMBER(AK242),ISNUMBER(AK113)),IFERROR(AK242/AK113,""),"")</f>
        <v>0.582027269639478</v>
      </c>
      <c r="AL244" s="215">
        <f>IF(AND(ISNUMBER(AL242),ISNUMBER(AL113)),IFERROR(AL242/AL113,""),"")</f>
        <v>0.569742099527788</v>
      </c>
      <c r="AM244" s="215">
        <f>IF(AND(ISNUMBER(AM242),ISNUMBER(AM113)),IFERROR(AM242/AM113,""),"")</f>
        <v>0.347287950491445</v>
      </c>
      <c r="AN244" s="215">
        <f>IF(AND(ISNUMBER(AN242),ISNUMBER(AN113)),IFERROR(AN242/AN113,""),"")</f>
        <v>0.546232876712329</v>
      </c>
      <c r="AO244" s="215">
        <f>IF(AND(ISNUMBER(AO242),ISNUMBER(AO113)),IFERROR(AO242/AO113,""),"")</f>
        <v>0.618054423985661</v>
      </c>
      <c r="AP244" s="215">
        <f>IF(AND(ISNUMBER(AP242),ISNUMBER(AP113)),IFERROR(AP242/AP113,""),"")</f>
        <v>0.523480001740871</v>
      </c>
      <c r="AQ244" s="215">
        <f>IF(AND(ISNUMBER(AQ242),ISNUMBER(AQ113)),IFERROR(AQ242/AQ113,""),"")</f>
        <v>0.608523290386521</v>
      </c>
      <c r="AR244" s="215">
        <f>IF(AND(ISNUMBER(AR242),ISNUMBER(AR113)),IFERROR(AR242/AR113,""),"")</f>
        <v>0.213700034164674</v>
      </c>
      <c r="AS244" s="215">
        <f>IF(AND(ISNUMBER(AS242),ISNUMBER(AS113)),IFERROR(AS242/AS113,""),"")</f>
        <v>0.587347529460409</v>
      </c>
      <c r="AT244" s="215">
        <f>IF(AND(ISNUMBER(AT242),ISNUMBER(AT113)),IFERROR(AT242/AT113,""),"")</f>
        <v>0.377965104881396</v>
      </c>
      <c r="AU244" s="215">
        <f>IF(AND(ISNUMBER(AU242),ISNUMBER(AU113)),IFERROR(AU242/AU113,""),"")</f>
        <v>0.444200311269798</v>
      </c>
      <c r="AV244" s="215">
        <f>IF(AND(ISNUMBER(AV242),ISNUMBER(AV113)),IFERROR(AV242/AV113,""),"")</f>
        <v>0.589590293652189</v>
      </c>
      <c r="AW244" s="215">
        <f>IF(AND(ISNUMBER(AW242),ISNUMBER(AW113)),IFERROR(AW242/AW113,""),"")</f>
        <v>0.553499738174201</v>
      </c>
      <c r="AX244" s="215">
        <f>IF(AND(ISNUMBER(AX242),ISNUMBER(AX113)),IFERROR(AX242/AX113,""),"")</f>
        <v>0.690864600326264</v>
      </c>
      <c r="AY244" s="215">
        <f>IF(AND(ISNUMBER(AY242),ISNUMBER(AY113)),IFERROR(AY242/AY113,""),"")</f>
        <v>0.573715505412411</v>
      </c>
      <c r="AZ244" s="215">
        <f>IF(AND(ISNUMBER(AZ242),ISNUMBER(AZ113)),IFERROR(AZ242/AZ113,""),"")</f>
        <v>0.602447624974072</v>
      </c>
      <c r="BA244" s="215">
        <f>IF(AND(ISNUMBER(BA242),ISNUMBER(BA113)),IFERROR(BA242/BA113,""),"")</f>
        <v>0.575010624734382</v>
      </c>
      <c r="BB244" s="215">
        <f>IF(AND(ISNUMBER(BB242),ISNUMBER(BB113)),IFERROR(BB242/BB113,""),"")</f>
        <v>0.448184726665739</v>
      </c>
      <c r="BC244" s="215">
        <f>IF(AND(ISNUMBER(BC242),ISNUMBER(BC113)),IFERROR(BC242/BC113,""),"")</f>
        <v>0.689621993127148</v>
      </c>
      <c r="BD244" s="215">
        <f>IF(AND(ISNUMBER(BD242),ISNUMBER(BD113)),IFERROR(BD242/BD113,""),"")</f>
        <v>0.716707332734044</v>
      </c>
      <c r="BE244" s="215">
        <f>IF(AND(ISNUMBER(BE242),ISNUMBER(BE113)),IFERROR(BE242/BE113,""),"")</f>
        <v>0.609996588195155</v>
      </c>
      <c r="BF244" s="215">
        <f>IF(AND(ISNUMBER(BF242),ISNUMBER(BF113)),IFERROR(BF242/BF113,""),"")</f>
        <v>0.494203629032258</v>
      </c>
      <c r="BG244" s="215">
        <f>IF(AND(ISNUMBER(BG242),ISNUMBER(BG113)),IFERROR(BG242/BG113,""),"")</f>
        <v>0.457107075767063</v>
      </c>
      <c r="BH244" s="215">
        <f>IF(AND(ISNUMBER(BH242),ISNUMBER(BH113)),IFERROR(BH242/BH113,""),"")</f>
        <v>0.67733595962083</v>
      </c>
      <c r="BI244" s="215">
        <f>IF(AND(ISNUMBER(BI242),ISNUMBER(BI113)),IFERROR(BI242/BI113,""),"")</f>
        <v>0.76919502845859</v>
      </c>
      <c r="BJ244" s="215">
        <f>IF(AND(ISNUMBER(BJ242),ISNUMBER(BJ113)),IFERROR(BJ242/BJ113,""),"")</f>
        <v>0.603191130983371</v>
      </c>
      <c r="BK244" s="215">
        <f>IF(AND(ISNUMBER(BK242),ISNUMBER(BK113)),IFERROR(BK242/BK113,""),"")</f>
        <v>0.387653463053046</v>
      </c>
      <c r="BL244" s="215">
        <f>IF(AND(ISNUMBER(BL242),ISNUMBER(BL113)),IFERROR(BL242/BL113,""),"")</f>
        <v>0.485128205128205</v>
      </c>
      <c r="BM244" s="215">
        <f>IF(AND(ISNUMBER(BM242),ISNUMBER(BM113)),IFERROR(BM242/BM113,""),"")</f>
        <v>0.531910112359551</v>
      </c>
      <c r="BN244" s="215">
        <f>IF(AND(ISNUMBER(BN242),ISNUMBER(BN113)),IFERROR(BN242/BN113,""),"")</f>
        <v>0.660808984090673</v>
      </c>
      <c r="BO244" s="215">
        <f>IF(AND(ISNUMBER(BO242),ISNUMBER(BO113)),IFERROR(BO242/BO113,""),"")</f>
        <v>0.520319545732895</v>
      </c>
      <c r="BP244" s="215">
        <f>IF(AND(ISNUMBER(BP242),ISNUMBER(BP113)),IFERROR(BP242/BP113,""),"")</f>
        <v>0.531125131440589</v>
      </c>
      <c r="BQ244" s="215">
        <f>IF(AND(ISNUMBER(BQ242),ISNUMBER(BQ113)),IFERROR(BQ242/BQ113,""),"")</f>
        <v>0.455284552845528</v>
      </c>
      <c r="BR244" s="215">
        <f>IF(AND(ISNUMBER(BR242),ISNUMBER(BR113)),IFERROR(BR242/BR113,""),"")</f>
        <v>0.620232009437672</v>
      </c>
      <c r="BS244" s="215">
        <f>IF(AND(ISNUMBER(BS242),ISNUMBER(BS113)),IFERROR(BS242/BS113,""),"")</f>
        <v>0.545412159641925</v>
      </c>
      <c r="BT244" s="215">
        <f>IF(AND(ISNUMBER(BT242),ISNUMBER(BT113)),IFERROR(BT242/BT113,""),"")</f>
        <v>0.539425</v>
      </c>
      <c r="BU244" s="215">
        <f>IF(AND(ISNUMBER(BU242),ISNUMBER(BU113)),IFERROR(BU242/BU113,""),"")</f>
        <v>0.587285570131181</v>
      </c>
      <c r="BV244" s="215">
        <f>IF(AND(ISNUMBER(BV242),ISNUMBER(BV113)),IFERROR(BV242/BV113,""),"")</f>
        <v>0.233748886910062</v>
      </c>
      <c r="BW244" s="215">
        <f>IF(AND(ISNUMBER(BW242),ISNUMBER(BW113)),IFERROR(BW242/BW113,""),"")</f>
        <v>0.527550932691481</v>
      </c>
      <c r="BX244" s="24" t="n"/>
      <c r="BY244" s="256">
        <f>IF(AND(ISNUMBER(BY242),ISNUMBER(BY113)),IFERROR(BY242/BY113,""),"")</f>
        <v>0.496049812397378</v>
      </c>
      <c r="BZ244" s="256">
        <f>IF(AND(ISNUMBER(BZ242),ISNUMBER(BZ113)),IFERROR(BZ242/BZ113,""),"")</f>
        <v>0.560797386981641</v>
      </c>
      <c r="CA244" s="256">
        <f>IF(AND(ISNUMBER(CA242),ISNUMBER(CA113)),IFERROR(CA242/CA113,""),"")</f>
        <v>0.561106323065171</v>
      </c>
      <c r="CB244" s="256">
        <f>IF(AND(ISNUMBER(CB242),ISNUMBER(CB113)),IFERROR(CB242/CB113,""),"")</f>
        <v>0.563451818088554</v>
      </c>
      <c r="CC244" s="256">
        <f>IF(AND(ISNUMBER(CC242),ISNUMBER(CC113)),IFERROR(CC242/CC113,""),"")</f>
        <v>0.562925381963116</v>
      </c>
      <c r="CD244" s="256">
        <f>IF(AND(ISNUMBER(CD242),ISNUMBER(CD113)),IFERROR(CD242/CD113,""),"")</f>
        <v>0.564113062038314</v>
      </c>
      <c r="CE244" s="153" t="n"/>
      <c r="CG244" s="37">
        <f>IFERROR(AVERAGE(BZ244,CA244,CB244,CC244,CD244),"n/m")</f>
        <v>0.562478794427359</v>
      </c>
      <c r="CH244" s="37">
        <f>IFERROR(AVERAGE(AZ244,BE244,BJ244,BO244,BT244),"n/m")</f>
        <v>0.575075977977099</v>
      </c>
      <c r="CI244" s="37">
        <f>IFERROR(AVERAGE(AA244,AF244,AK244,AP244,AU244,AZ244,BE244,BJ244,BO244,BT244),"n/m")</f>
        <v>0.522305787767347</v>
      </c>
      <c r="CJ244" s="37">
        <f>IFERROR(AVERAGE(C244,D244,E244,F244,G244,L244,Q244,V244,AA244,AF244,AK244,AP244,AU244,AZ244,BE244,BJ244,BO244,BT244),"n/m")</f>
        <v>0.421901064289473</v>
      </c>
    </row>
    <row r="245" ht="15" customHeight="1" s="251">
      <c r="B245" s="25" t="inlineStr">
        <is>
          <t xml:space="preserve">  FCF / non-GAAP net income conversion %</t>
        </is>
      </c>
      <c r="C245" s="215">
        <f>IF(AND(ISNUMBER(C242),ISNUMBER(C188)),IFERROR(C242/C188,""),"")</f>
        <v>0.0663236134934248</v>
      </c>
      <c r="D245" s="215">
        <f>IF(AND(ISNUMBER(D242),ISNUMBER(D188)),IFERROR(D242/D188,""),"")</f>
        <v>0.102941176470588</v>
      </c>
      <c r="E245" s="215">
        <f>IF(AND(ISNUMBER(E242),ISNUMBER(E188)),IFERROR(E242/E188,""),"")</f>
        <v>0.84863179771389</v>
      </c>
      <c r="F245" s="215">
        <f>IF(AND(ISNUMBER(F242),ISNUMBER(F188)),IFERROR(F242/F188,""),"")</f>
        <v>0.997448979591837</v>
      </c>
      <c r="G245" s="215">
        <f>IF(AND(ISNUMBER(G242),ISNUMBER(G188)),IFERROR(G242/G188,""),"")</f>
        <v>1.10230787532715</v>
      </c>
      <c r="H245" s="215">
        <f>IF(AND(ISNUMBER(H242),ISNUMBER(H188)),IFERROR(H242/H188,""),"")</f>
        <v>-2.26140757927301</v>
      </c>
      <c r="I245" s="215">
        <f>IF(AND(ISNUMBER(I242),ISNUMBER(I188)),IFERROR(I242/I188,""),"")</f>
        <v>1.20708661417323</v>
      </c>
      <c r="J245" s="215">
        <f>IF(AND(ISNUMBER(J242),ISNUMBER(J188)),IFERROR(J242/J188,""),"")</f>
        <v>1.66122448979592</v>
      </c>
      <c r="K245" s="215">
        <f>IF(AND(ISNUMBER(K242),ISNUMBER(K188)),IFERROR(K242/K188,""),"")</f>
        <v>1.5998322147651</v>
      </c>
      <c r="L245" s="215">
        <f>IF(AND(ISNUMBER(L242),ISNUMBER(L188)),IFERROR(L242/L188,""),"")</f>
        <v>0.512248995983936</v>
      </c>
      <c r="M245" s="215">
        <f>IF(AND(ISNUMBER(M242),ISNUMBER(M188)),IFERROR(M242/M188,""),"")</f>
        <v>1.00995024875622</v>
      </c>
      <c r="N245" s="215">
        <f>IF(AND(ISNUMBER(N242),ISNUMBER(N188)),IFERROR(N242/N188,""),"")</f>
        <v>1.14643304130163</v>
      </c>
      <c r="O245" s="215">
        <f>IF(AND(ISNUMBER(O242),ISNUMBER(O188)),IFERROR(O242/O188,""),"")</f>
        <v>1.34779411764706</v>
      </c>
      <c r="P245" s="215">
        <f>IF(AND(ISNUMBER(P242),ISNUMBER(P188)),IFERROR(P242/P188,""),"")</f>
        <v>1.15486725663717</v>
      </c>
      <c r="Q245" s="215">
        <f>IF(AND(ISNUMBER(Q242),ISNUMBER(Q188)),IFERROR(Q242/Q188,""),"")</f>
        <v>1.16273378779934</v>
      </c>
      <c r="R245" s="215">
        <f>IF(AND(ISNUMBER(R242),ISNUMBER(R188)),IFERROR(R242/R188,""),"")</f>
        <v>1.05608667941364</v>
      </c>
      <c r="S245" s="215">
        <f>IF(AND(ISNUMBER(S242),ISNUMBER(S188)),IFERROR(S242/S188,""),"")</f>
        <v>0.567741935483871</v>
      </c>
      <c r="T245" s="215">
        <f>IF(AND(ISNUMBER(T242),ISNUMBER(T188)),IFERROR(T242/T188,""),"")</f>
        <v>1.12728278915329</v>
      </c>
      <c r="U245" s="215">
        <f>IF(AND(ISNUMBER(U242),ISNUMBER(U188)),IFERROR(U242/U188,""),"")</f>
        <v>1.05555555555556</v>
      </c>
      <c r="V245" s="215">
        <f>IF(AND(ISNUMBER(V242),ISNUMBER(V188)),IFERROR(V242/V188,""),"")</f>
        <v>0.958372165268717</v>
      </c>
      <c r="W245" s="215">
        <f>IF(AND(ISNUMBER(W242),ISNUMBER(W188)),IFERROR(W242/W188,""),"")</f>
        <v>1.09905100830368</v>
      </c>
      <c r="X245" s="215">
        <f>IF(AND(ISNUMBER(X242),ISNUMBER(X188)),IFERROR(X242/X188,""),"")</f>
        <v>0.440344403444034</v>
      </c>
      <c r="Y245" s="215">
        <f>IF(AND(ISNUMBER(Y242),ISNUMBER(Y188)),IFERROR(Y242/Y188,""),"")</f>
        <v>0.104587155963303</v>
      </c>
      <c r="Z245" s="215">
        <f>IF(AND(ISNUMBER(Z242),ISNUMBER(Z188)),IFERROR(Z242/Z188,""),"")</f>
        <v>1.20678851174935</v>
      </c>
      <c r="AA245" s="215">
        <f>IF(AND(ISNUMBER(AA242),ISNUMBER(AA188)),IFERROR(AA242/AA188,""),"")</f>
        <v>0.736082774701253</v>
      </c>
      <c r="AB245" s="215">
        <f>IF(AND(ISNUMBER(AB242),ISNUMBER(AB188)),IFERROR(AB242/AB188,""),"")</f>
        <v>1.12898550724638</v>
      </c>
      <c r="AC245" s="215">
        <f>IF(AND(ISNUMBER(AC242),ISNUMBER(AC188)),IFERROR(AC242/AC188,""),"")</f>
        <v>0.121006776379477</v>
      </c>
      <c r="AD245" s="215">
        <f>IF(AND(ISNUMBER(AD242),ISNUMBER(AD188)),IFERROR(AD242/AD188,""),"")</f>
        <v>1.62311801845556</v>
      </c>
      <c r="AE245" s="215">
        <f>IF(AND(ISNUMBER(AE242),ISNUMBER(AE188)),IFERROR(AE242/AE188,""),"")</f>
        <v>1.2018691588785</v>
      </c>
      <c r="AF245" s="215">
        <f>IF(AND(ISNUMBER(AF242),ISNUMBER(AF188)),IFERROR(AF242/AF188,""),"")</f>
        <v>1.01991601679664</v>
      </c>
      <c r="AG245" s="215">
        <f>IF(AND(ISNUMBER(AG242),ISNUMBER(AG188)),IFERROR(AG242/AG188,""),"")</f>
        <v>1.03351735015773</v>
      </c>
      <c r="AH245" s="215">
        <f>IF(AND(ISNUMBER(AH242),ISNUMBER(AH188)),IFERROR(AH242/AH188,""),"")</f>
        <v>1.00076775431862</v>
      </c>
      <c r="AI245" s="215">
        <f>IF(AND(ISNUMBER(AI242),ISNUMBER(AI188)),IFERROR(AI242/AI188,""),"")</f>
        <v>1.24212034383954</v>
      </c>
      <c r="AJ245" s="215">
        <f>IF(AND(ISNUMBER(AJ242),ISNUMBER(AJ188)),IFERROR(AJ242/AJ188,""),"")</f>
        <v>1.17989985693848</v>
      </c>
      <c r="AK245" s="215">
        <f>IF(AND(ISNUMBER(AK242),ISNUMBER(AK188)),IFERROR(AK242/AK188,""),"")</f>
        <v>1.11799794948271</v>
      </c>
      <c r="AL245" s="215">
        <f>IF(AND(ISNUMBER(AL242),ISNUMBER(AL188)),IFERROR(AL242/AL188,""),"")</f>
        <v>1.0537453812563</v>
      </c>
      <c r="AM245" s="215">
        <f>IF(AND(ISNUMBER(AM242),ISNUMBER(AM188)),IFERROR(AM242/AM188,""),"")</f>
        <v>0.640913671481357</v>
      </c>
      <c r="AN245" s="215">
        <f>IF(AND(ISNUMBER(AN242),ISNUMBER(AN188)),IFERROR(AN242/AN188,""),"")</f>
        <v>1.02870041921961</v>
      </c>
      <c r="AO245" s="215">
        <f>IF(AND(ISNUMBER(AO242),ISNUMBER(AO188)),IFERROR(AO242/AO188,""),"")</f>
        <v>1.14522946859903</v>
      </c>
      <c r="AP245" s="215">
        <f>IF(AND(ISNUMBER(AP242),ISNUMBER(AP188)),IFERROR(AP242/AP188,""),"")</f>
        <v>0.972588339936929</v>
      </c>
      <c r="AQ245" s="215">
        <f>IF(AND(ISNUMBER(AQ242),ISNUMBER(AQ188)),IFERROR(AQ242/AQ188,""),"")</f>
        <v>1.12591687041565</v>
      </c>
      <c r="AR245" s="215">
        <f>IF(AND(ISNUMBER(AR242),ISNUMBER(AR188)),IFERROR(AR242/AR188,""),"")</f>
        <v>0.403808908973531</v>
      </c>
      <c r="AS245" s="215">
        <f>IF(AND(ISNUMBER(AS242),ISNUMBER(AS188)),IFERROR(AS242/AS188,""),"")</f>
        <v>1.21048146570089</v>
      </c>
      <c r="AT245" s="215">
        <f>IF(AND(ISNUMBER(AT242),ISNUMBER(AT188)),IFERROR(AT242/AT188,""),"")</f>
        <v>0.778675282714055</v>
      </c>
      <c r="AU245" s="215">
        <f>IF(AND(ISNUMBER(AU242),ISNUMBER(AU188)),IFERROR(AU242/AU188,""),"")</f>
        <v>0.866970427946038</v>
      </c>
      <c r="AV245" s="215">
        <f>IF(AND(ISNUMBER(AV242),ISNUMBER(AV188)),IFERROR(AV242/AV188,""),"")</f>
        <v>1.07296</v>
      </c>
      <c r="AW245" s="215">
        <f>IF(AND(ISNUMBER(AW242),ISNUMBER(AW188)),IFERROR(AW242/AW188,""),"")</f>
        <v>1.04618937644342</v>
      </c>
      <c r="AX245" s="215">
        <f>IF(AND(ISNUMBER(AX242),ISNUMBER(AX188)),IFERROR(AX242/AX188,""),"")</f>
        <v>1.30067567567568</v>
      </c>
      <c r="AY245" s="215">
        <f>IF(AND(ISNUMBER(AY242),ISNUMBER(AY188)),IFERROR(AY242/AY188,""),"")</f>
        <v>1.06873047429707</v>
      </c>
      <c r="AZ245" s="215">
        <f>IF(AND(ISNUMBER(AZ242),ISNUMBER(AZ188)),IFERROR(AZ242/AZ188,""),"")</f>
        <v>1.12286399133998</v>
      </c>
      <c r="BA245" s="215">
        <f>IF(AND(ISNUMBER(BA242),ISNUMBER(BA188)),IFERROR(BA242/BA188,""),"")</f>
        <v>1.04050243527301</v>
      </c>
      <c r="BB245" s="215">
        <f>IF(AND(ISNUMBER(BB242),ISNUMBER(BB188)),IFERROR(BB242/BB188,""),"")</f>
        <v>0.839937434827946</v>
      </c>
      <c r="BC245" s="215">
        <f>IF(AND(ISNUMBER(BC242),ISNUMBER(BC188)),IFERROR(BC242/BC188,""),"")</f>
        <v>1.19281978126486</v>
      </c>
      <c r="BD245" s="215">
        <f>IF(AND(ISNUMBER(BD242),ISNUMBER(BD188)),IFERROR(BD242/BD188,""),"")</f>
        <v>1.36421412857492</v>
      </c>
      <c r="BE245" s="215">
        <f>IF(AND(ISNUMBER(BE242),ISNUMBER(BE188)),IFERROR(BE242/BE188,""),"")</f>
        <v>1.11506798054135</v>
      </c>
      <c r="BF245" s="215">
        <f>IF(AND(ISNUMBER(BF242),ISNUMBER(BF188)),IFERROR(BF242/BF188,""),"")</f>
        <v>0.856144946518228</v>
      </c>
      <c r="BG245" s="215">
        <f>IF(AND(ISNUMBER(BG242),ISNUMBER(BG188)),IFERROR(BG242/BG188,""),"")</f>
        <v>0.83257299270073</v>
      </c>
      <c r="BH245" s="215">
        <f>IF(AND(ISNUMBER(BH242),ISNUMBER(BH188)),IFERROR(BH242/BH188,""),"")</f>
        <v>1.22293843076239</v>
      </c>
      <c r="BI245" s="215">
        <f>IF(AND(ISNUMBER(BI242),ISNUMBER(BI188)),IFERROR(BI242/BI188,""),"")</f>
        <v>1.375</v>
      </c>
      <c r="BJ245" s="215">
        <f>IF(AND(ISNUMBER(BJ242),ISNUMBER(BJ188)),IFERROR(BJ242/BJ188,""),"")</f>
        <v>1.07746170678337</v>
      </c>
      <c r="BK245" s="215">
        <f>IF(AND(ISNUMBER(BK242),ISNUMBER(BK188)),IFERROR(BK242/BK188,""),"")</f>
        <v>0.677804779262859</v>
      </c>
      <c r="BL245" s="215">
        <f>IF(AND(ISNUMBER(BL242),ISNUMBER(BL188)),IFERROR(BL242/BL188,""),"")</f>
        <v>0.831932773109244</v>
      </c>
      <c r="BM245" s="215">
        <f>IF(AND(ISNUMBER(BM242),ISNUMBER(BM188)),IFERROR(BM242/BM188,""),"")</f>
        <v>0.964351191688735</v>
      </c>
      <c r="BN245" s="215">
        <f>IF(AND(ISNUMBER(BN242),ISNUMBER(BN188)),IFERROR(BN242/BN188,""),"")</f>
        <v>1.17142857142857</v>
      </c>
      <c r="BO245" s="215">
        <f>IF(AND(ISNUMBER(BO242),ISNUMBER(BO188)),IFERROR(BO242/BO188,""),"")</f>
        <v>0.916817892000589</v>
      </c>
      <c r="BP245" s="215">
        <f>IF(AND(ISNUMBER(BP242),ISNUMBER(BP188)),IFERROR(BP242/BP188,""),"")</f>
        <v>0.924583562145341</v>
      </c>
      <c r="BQ245" s="215">
        <f>IF(AND(ISNUMBER(BQ242),ISNUMBER(BQ188)),IFERROR(BQ242/BQ188,""),"")</f>
        <v>0.802646085997795</v>
      </c>
      <c r="BR245" s="215">
        <f>IF(AND(ISNUMBER(BR242),ISNUMBER(BR188)),IFERROR(BR242/BR188,""),"")</f>
        <v>1.08141926636956</v>
      </c>
      <c r="BS245" s="215">
        <f>IF(AND(ISNUMBER(BS242),ISNUMBER(BS188)),IFERROR(BS242/BS188,""),"")</f>
        <v>1.0079269343443</v>
      </c>
      <c r="BT245" s="215">
        <f>IF(AND(ISNUMBER(BT242),ISNUMBER(BT188)),IFERROR(BT242/BT188,""),"")</f>
        <v>0.957191021204862</v>
      </c>
      <c r="BU245" s="215">
        <f>IF(AND(ISNUMBER(BU242),ISNUMBER(BU188)),IFERROR(BU242/BU188,""),"")</f>
        <v>1.04539516655781</v>
      </c>
      <c r="BV245" s="215">
        <f>IF(AND(ISNUMBER(BV242),ISNUMBER(BV188)),IFERROR(BV242/BV188,""),"")</f>
        <v>0.413907284768212</v>
      </c>
      <c r="BW245" s="215">
        <f>IF(AND(ISNUMBER(BW242),ISNUMBER(BW188)),IFERROR(BW242/BW188,""),"")</f>
        <v>0.974745870393901</v>
      </c>
      <c r="BX245" s="24" t="n"/>
      <c r="BY245" s="256">
        <f>IF(AND(ISNUMBER(BY242),ISNUMBER(BY188)),IFERROR(BY242/BY188,""),"")</f>
        <v>0.90441911565456</v>
      </c>
      <c r="BZ245" s="256">
        <f>IF(AND(ISNUMBER(BZ242),ISNUMBER(BZ188)),IFERROR(BZ242/BZ188,""),"")</f>
        <v>1.02328446303009</v>
      </c>
      <c r="CA245" s="256">
        <f>IF(AND(ISNUMBER(CA242),ISNUMBER(CA188)),IFERROR(CA242/CA188,""),"")</f>
        <v>1.02549198349896</v>
      </c>
      <c r="CB245" s="256">
        <f>IF(AND(ISNUMBER(CB242),ISNUMBER(CB188)),IFERROR(CB242/CB188,""),"")</f>
        <v>1.02674625028046</v>
      </c>
      <c r="CC245" s="256">
        <f>IF(AND(ISNUMBER(CC242),ISNUMBER(CC188)),IFERROR(CC242/CC188,""),"")</f>
        <v>1.02666529322474</v>
      </c>
      <c r="CD245" s="256">
        <f>IF(AND(ISNUMBER(CD242),ISNUMBER(CD188)),IFERROR(CD242/CD188,""),"")</f>
        <v>1.02644979930257</v>
      </c>
      <c r="CE245" s="153" t="n"/>
      <c r="CG245" s="37">
        <f>IFERROR(AVERAGE(BZ245,CA245,CB245,CC245,CD245),"n/m")</f>
        <v>1.02572755786736</v>
      </c>
      <c r="CH245" s="37">
        <f>IFERROR(AVERAGE(AZ245,BE245,BJ245,BO245,BT245),"n/m")</f>
        <v>1.03788051837403</v>
      </c>
      <c r="CI245" s="37">
        <f>IFERROR(AVERAGE(AA245,AF245,AK245,AP245,AU245,AZ245,BE245,BJ245,BO245,BT245),"n/m")</f>
        <v>0.990295810073372</v>
      </c>
      <c r="CJ245" s="37">
        <f>IFERROR(AVERAGE(C245,D245,E245,F245,G245,L245,Q245,V245,AA245,AF245,AK245,AP245,AU245,AZ245,BE245,BJ245,BO245,BT245),"n/m")</f>
        <v>0.869664805132367</v>
      </c>
    </row>
    <row r="246" ht="15" customHeight="1" s="251">
      <c r="B246" s="25" t="inlineStr">
        <is>
          <t xml:space="preserve">  FCF per diluted share ($)</t>
        </is>
      </c>
      <c r="C246" s="281">
        <f>IF(AND(ISNUMBER(C242),ISNUMBER(C143)),IFERROR(C242/C143,""),"")</f>
        <v>0.0377113133940182</v>
      </c>
      <c r="D246" s="281">
        <f>IF(AND(ISNUMBER(D242),ISNUMBER(D143)),IFERROR(D242/D143,""),"")</f>
        <v>0.08311345646438</v>
      </c>
      <c r="E246" s="281">
        <f>IF(AND(ISNUMBER(E242),ISNUMBER(E143)),IFERROR(E242/E143,""),"")</f>
        <v>0.828822733423545</v>
      </c>
      <c r="F246" s="281">
        <f>IF(AND(ISNUMBER(F242),ISNUMBER(F143)),IFERROR(F242/F143,""),"")</f>
        <v>1.24434229137199</v>
      </c>
      <c r="G246" s="281">
        <f>IF(AND(ISNUMBER(G242),ISNUMBER(G143)),IFERROR(G242/G143,""),"")</f>
        <v>1.70833333333333</v>
      </c>
      <c r="H246" s="281">
        <f>IF(AND(ISNUMBER(H242),ISNUMBER(H143)),IFERROR(H242/H143,""),"")</f>
        <v>-1.09267563527653</v>
      </c>
      <c r="I246" s="281">
        <f>IF(AND(ISNUMBER(I242),ISNUMBER(I143)),IFERROR(I242/I143,""),"")</f>
        <v>0.580681818181818</v>
      </c>
      <c r="J246" s="281">
        <f>IF(AND(ISNUMBER(J242),ISNUMBER(J143)),IFERROR(J242/J143,""),"")</f>
        <v>0.781490015360983</v>
      </c>
      <c r="K246" s="281">
        <f>IF(AND(ISNUMBER(K242),ISNUMBER(K143)),IFERROR(K242/K143,""),"")</f>
        <v>0.740295031055901</v>
      </c>
      <c r="L246" s="281">
        <f>IF(AND(ISNUMBER(L242),ISNUMBER(L143)),IFERROR(L242/L143,""),"")</f>
        <v>0.972179878048781</v>
      </c>
      <c r="M246" s="281">
        <f>IF(AND(ISNUMBER(M242),ISNUMBER(M143)),IFERROR(M242/M143,""),"")</f>
        <v>0.555946791862285</v>
      </c>
      <c r="N246" s="281">
        <f>IF(AND(ISNUMBER(N242),ISNUMBER(N143)),IFERROR(N242/N143,""),"")</f>
        <v>0.722397476340694</v>
      </c>
      <c r="O246" s="281">
        <f>IF(AND(ISNUMBER(O242),ISNUMBER(O143)),IFERROR(O242/O143,""),"")</f>
        <v>0.729697452229299</v>
      </c>
      <c r="P246" s="281">
        <f>IF(AND(ISNUMBER(P242),ISNUMBER(P143)),IFERROR(P242/P143,""),"")</f>
        <v>0.628410914927769</v>
      </c>
      <c r="Q246" s="281">
        <f>IF(AND(ISNUMBER(Q242),ISNUMBER(Q143)),IFERROR(Q242/Q143,""),"")</f>
        <v>2.63549920760697</v>
      </c>
      <c r="R246" s="281">
        <f>IF(AND(ISNUMBER(R242),ISNUMBER(R143)),IFERROR(R242/R143,""),"")</f>
        <v>0.669224555735057</v>
      </c>
      <c r="S246" s="281">
        <f>IF(AND(ISNUMBER(S242),ISNUMBER(S143)),IFERROR(S242/S143,""),"")</f>
        <v>0.357723577235772</v>
      </c>
      <c r="T246" s="281">
        <f>IF(AND(ISNUMBER(T242),ISNUMBER(T143)),IFERROR(T242/T143,""),"")</f>
        <v>0.832107843137255</v>
      </c>
      <c r="U246" s="281">
        <f>IF(AND(ISNUMBER(U242),ISNUMBER(U143)),IFERROR(U242/U143,""),"")</f>
        <v>0.654098360655738</v>
      </c>
      <c r="V246" s="281">
        <f>IF(AND(ISNUMBER(V242),ISNUMBER(V143)),IFERROR(V242/V143,""),"")</f>
        <v>2.51119251119251</v>
      </c>
      <c r="W246" s="281">
        <f>IF(AND(ISNUMBER(W242),ISNUMBER(W143)),IFERROR(W242/W143,""),"")</f>
        <v>0.762551440329218</v>
      </c>
      <c r="X246" s="281">
        <f>IF(AND(ISNUMBER(X242),ISNUMBER(X143)),IFERROR(X242/X143,""),"")</f>
        <v>0.298209079550187</v>
      </c>
      <c r="Y246" s="281">
        <f>IF(AND(ISNUMBER(Y242),ISNUMBER(Y143)),IFERROR(Y242/Y143,""),"")</f>
        <v>0.0716680637049455</v>
      </c>
      <c r="Z246" s="281">
        <f>IF(AND(ISNUMBER(Z242),ISNUMBER(Z143)),IFERROR(Z242/Z143,""),"")</f>
        <v>0.947131147540984</v>
      </c>
      <c r="AA246" s="281">
        <f>IF(AND(ISNUMBER(AA242),ISNUMBER(AA143)),IFERROR(AA242/AA143,""),"")</f>
        <v>2.0923777961889</v>
      </c>
      <c r="AB246" s="281">
        <f>IF(AND(ISNUMBER(AB242),ISNUMBER(AB143)),IFERROR(AB242/AB143,""),"")</f>
        <v>0.965303593556382</v>
      </c>
      <c r="AC246" s="281">
        <f>IF(AND(ISNUMBER(AC242),ISNUMBER(AC143)),IFERROR(AC242/AC143,""),"")</f>
        <v>0.103906899418121</v>
      </c>
      <c r="AD246" s="281">
        <f>IF(AND(ISNUMBER(AD242),ISNUMBER(AD143)),IFERROR(AD242/AD143,""),"")</f>
        <v>1.40125786163522</v>
      </c>
      <c r="AE246" s="281">
        <f>IF(AND(ISNUMBER(AE242),ISNUMBER(AE143)),IFERROR(AE242/AE143,""),"")</f>
        <v>1.08614864864865</v>
      </c>
      <c r="AF246" s="281">
        <f>IF(AND(ISNUMBER(AF242),ISNUMBER(AF143)),IFERROR(AF242/AF143,""),"")</f>
        <v>3.54947807933194</v>
      </c>
      <c r="AG246" s="281">
        <f>IF(AND(ISNUMBER(AG242),ISNUMBER(AG143)),IFERROR(AG242/AG143,""),"")</f>
        <v>1.11389715257119</v>
      </c>
      <c r="AH246" s="281">
        <f>IF(AND(ISNUMBER(AH242),ISNUMBER(AH143)),IFERROR(AH242/AH143,""),"")</f>
        <v>1.11553273427471</v>
      </c>
      <c r="AI246" s="281">
        <f>IF(AND(ISNUMBER(AI242),ISNUMBER(AI143)),IFERROR(AI242/AI143,""),"")</f>
        <v>1.49418354157691</v>
      </c>
      <c r="AJ246" s="281">
        <f>IF(AND(ISNUMBER(AJ242),ISNUMBER(AJ143)),IFERROR(AJ242/AJ143,""),"")</f>
        <v>1.43123644251627</v>
      </c>
      <c r="AK246" s="281">
        <f>IF(AND(ISNUMBER(AK242),ISNUMBER(AK143)),IFERROR(AK242/AK143,""),"")</f>
        <v>5.15027908973809</v>
      </c>
      <c r="AL246" s="281">
        <f>IF(AND(ISNUMBER(AL242),ISNUMBER(AL143)),IFERROR(AL242/AL143,""),"")</f>
        <v>1.3692710606722</v>
      </c>
      <c r="AM246" s="281">
        <f>IF(AND(ISNUMBER(AM242),ISNUMBER(AM143)),IFERROR(AM242/AM143,""),"")</f>
        <v>0.837209302325581</v>
      </c>
      <c r="AN246" s="281">
        <f>IF(AND(ISNUMBER(AN242),ISNUMBER(AN143)),IFERROR(AN242/AN143,""),"")</f>
        <v>1.4083885209713</v>
      </c>
      <c r="AO246" s="281">
        <f>IF(AND(ISNUMBER(AO242),ISNUMBER(AO143)),IFERROR(AO242/AO143,""),"")</f>
        <v>1.68353306702175</v>
      </c>
      <c r="AP246" s="281">
        <f>IF(AND(ISNUMBER(AP242),ISNUMBER(AP143)),IFERROR(AP242/AP143,""),"")</f>
        <v>5.29401408450704</v>
      </c>
      <c r="AQ246" s="281">
        <f>IF(AND(ISNUMBER(AQ242),ISNUMBER(AQ143)),IFERROR(AQ242/AQ143,""),"")</f>
        <v>1.64464285714286</v>
      </c>
      <c r="AR246" s="281">
        <f>IF(AND(ISNUMBER(AR242),ISNUMBER(AR143)),IFERROR(AR242/AR143,""),"")</f>
        <v>0.56149012567325</v>
      </c>
      <c r="AS246" s="281">
        <f>IF(AND(ISNUMBER(AS242),ISNUMBER(AS143)),IFERROR(AS242/AS143,""),"")</f>
        <v>1.28319783197832</v>
      </c>
      <c r="AT246" s="281">
        <f>IF(AND(ISNUMBER(AT242),ISNUMBER(AT143)),IFERROR(AT242/AT143,""),"")</f>
        <v>0.872398190045249</v>
      </c>
      <c r="AU246" s="281">
        <f>IF(AND(ISNUMBER(AU242),ISNUMBER(AU143)),IFERROR(AU242/AU143,""),"")</f>
        <v>4.36527215474584</v>
      </c>
      <c r="AV246" s="281">
        <f>IF(AND(ISNUMBER(AV242),ISNUMBER(AV143)),IFERROR(AV242/AV143,""),"")</f>
        <v>1.52409090909091</v>
      </c>
      <c r="AW246" s="281">
        <f>IF(AND(ISNUMBER(AW242),ISNUMBER(AW143)),IFERROR(AW242/AW143,""),"")</f>
        <v>1.44596443228454</v>
      </c>
      <c r="AX246" s="281">
        <f>IF(AND(ISNUMBER(AX242),ISNUMBER(AX143)),IFERROR(AX242/AX143,""),"")</f>
        <v>1.93910256410256</v>
      </c>
      <c r="AY246" s="281">
        <f>IF(AND(ISNUMBER(AY242),ISNUMBER(AY143)),IFERROR(AY242/AY143,""),"")</f>
        <v>1.73011494252874</v>
      </c>
      <c r="AZ246" s="281">
        <f>IF(AND(ISNUMBER(AZ242),ISNUMBER(AZ143)),IFERROR(AZ242/AZ143,""),"")</f>
        <v>6.63711151736746</v>
      </c>
      <c r="BA246" s="281">
        <f>IF(AND(ISNUMBER(BA242),ISNUMBER(BA143)),IFERROR(BA242/BA143,""),"")</f>
        <v>1.88003705419176</v>
      </c>
      <c r="BB246" s="281">
        <f>IF(AND(ISNUMBER(BB242),ISNUMBER(BB143)),IFERROR(BB242/BB143,""),"")</f>
        <v>1.50420168067227</v>
      </c>
      <c r="BC246" s="281">
        <f>IF(AND(ISNUMBER(BC242),ISNUMBER(BC143)),IFERROR(BC242/BC143,""),"")</f>
        <v>2.35650540159699</v>
      </c>
      <c r="BD246" s="281">
        <f>IF(AND(ISNUMBER(BD242),ISNUMBER(BD143)),IFERROR(BD242/BD143,""),"")</f>
        <v>2.6375236294896</v>
      </c>
      <c r="BE246" s="281">
        <f>IF(AND(ISNUMBER(BE242),ISNUMBER(BE143)),IFERROR(BE242/BE143,""),"")</f>
        <v>8.37031835205993</v>
      </c>
      <c r="BF246" s="281">
        <f>IF(AND(ISNUMBER(BF242),ISNUMBER(BF143)),IFERROR(BF242/BF143,""),"")</f>
        <v>1.86584205518554</v>
      </c>
      <c r="BG246" s="281">
        <f>IF(AND(ISNUMBER(BG242),ISNUMBER(BG143)),IFERROR(BG242/BG143,""),"")</f>
        <v>1.7439082656474</v>
      </c>
      <c r="BH246" s="281">
        <f>IF(AND(ISNUMBER(BH242),ISNUMBER(BH143)),IFERROR(BH242/BH143,""),"")</f>
        <v>2.64519230769231</v>
      </c>
      <c r="BI246" s="281">
        <f>IF(AND(ISNUMBER(BI242),ISNUMBER(BI143)),IFERROR(BI242/BI143,""),"")</f>
        <v>3.20677966101695</v>
      </c>
      <c r="BJ246" s="281">
        <f>IF(AND(ISNUMBER(BJ242),ISNUMBER(BJ143)),IFERROR(BJ242/BJ143,""),"")</f>
        <v>9.44652278177458</v>
      </c>
      <c r="BK246" s="281">
        <f>IF(AND(ISNUMBER(BK242),ISNUMBER(BK143)),IFERROR(BK242/BK143,""),"")</f>
        <v>1.63667481662592</v>
      </c>
      <c r="BL246" s="281">
        <f>IF(AND(ISNUMBER(BL242),ISNUMBER(BL143)),IFERROR(BL242/BL143,""),"")</f>
        <v>2.08778813143698</v>
      </c>
      <c r="BM246" s="281">
        <f>IF(AND(ISNUMBER(BM242),ISNUMBER(BM143)),IFERROR(BM242/BM143,""),"")</f>
        <v>2.33316904879251</v>
      </c>
      <c r="BN246" s="281">
        <f>IF(AND(ISNUMBER(BN242),ISNUMBER(BN143)),IFERROR(BN242/BN143,""),"")</f>
        <v>3.172740888667</v>
      </c>
      <c r="BO246" s="281">
        <f>IF(AND(ISNUMBER(BO242),ISNUMBER(BO143)),IFERROR(BO242/BO143,""),"")</f>
        <v>9.21291276490882</v>
      </c>
      <c r="BP246" s="281">
        <f>IF(AND(ISNUMBER(BP242),ISNUMBER(BP143)),IFERROR(BP242/BP143,""),"")</f>
        <v>2.54458438287154</v>
      </c>
      <c r="BQ246" s="281">
        <f>IF(AND(ISNUMBER(BQ242),ISNUMBER(BQ143)),IFERROR(BQ242/BQ143,""),"")</f>
        <v>2.21276595744681</v>
      </c>
      <c r="BR246" s="281">
        <f>IF(AND(ISNUMBER(BR242),ISNUMBER(BR143)),IFERROR(BR242/BR143,""),"")</f>
        <v>3.22052067381317</v>
      </c>
      <c r="BS246" s="281">
        <f>IF(AND(ISNUMBER(BS242),ISNUMBER(BS143)),IFERROR(BS242/BS143,""),"")</f>
        <v>3.00719794344473</v>
      </c>
      <c r="BT246" s="281">
        <f>IF(AND(ISNUMBER(BT242),ISNUMBER(BT143)),IFERROR(BT242/BT143,""),"")</f>
        <v>10.9750762970498</v>
      </c>
      <c r="BU246" s="281">
        <f>IF(AND(ISNUMBER(BU242),ISNUMBER(BU143)),IFERROR(BU242/BU143,""),"")</f>
        <v>3.31195033626487</v>
      </c>
      <c r="BV246" s="281">
        <f>IF(AND(ISNUMBER(BV242),ISNUMBER(BV143)),IFERROR(BV242/BV143,""),"")</f>
        <v>1.37004175365344</v>
      </c>
      <c r="BW246" s="281">
        <f>IF(AND(ISNUMBER(BW242),ISNUMBER(BW143)),IFERROR(BW242/BW143,""),"")</f>
        <v>3.23340358271865</v>
      </c>
      <c r="BX246" s="35" t="n"/>
      <c r="BY246" s="283">
        <f>IF(AND(ISNUMBER(BY242),ISNUMBER(BY143)),IFERROR(BY242/BY143,""),"")</f>
        <v>11.9289015108217</v>
      </c>
      <c r="BZ246" s="283">
        <f>IF(AND(ISNUMBER(BZ242),ISNUMBER(BZ143)),IFERROR(BZ242/BZ143,""),"")</f>
        <v>15.3685321171025</v>
      </c>
      <c r="CA246" s="283">
        <f>IF(AND(ISNUMBER(CA242),ISNUMBER(CA143)),IFERROR(CA242/CA143,""),"")</f>
        <v>17.5726103011235</v>
      </c>
      <c r="CB246" s="283">
        <f>IF(AND(ISNUMBER(CB242),ISNUMBER(CB143)),IFERROR(CB242/CB143,""),"")</f>
        <v>20.035132894864</v>
      </c>
      <c r="CC246" s="283">
        <f>IF(AND(ISNUMBER(CC242),ISNUMBER(CC143)),IFERROR(CC242/CC143,""),"")</f>
        <v>22.6165910064887</v>
      </c>
      <c r="CD246" s="283">
        <f>IF(AND(ISNUMBER(CD242),ISNUMBER(CD143)),IFERROR(CD242/CD143,""),"")</f>
        <v>25.5747131504787</v>
      </c>
      <c r="CE246" s="19" t="n"/>
    </row>
    <row r="247" ht="15" customHeight="1" s="251">
      <c r="B247" s="25" t="inlineStr">
        <is>
          <t xml:space="preserve">  FCF / adjusted EBITDA %</t>
        </is>
      </c>
      <c r="C247" s="215">
        <f>IF(AND(ISNUMBER(C242),ISNUMBER(C174)),IFERROR(C242/C174,""),"")</f>
        <v>0.0378343118069145</v>
      </c>
      <c r="D247" s="215">
        <f>IF(AND(ISNUMBER(D242),ISNUMBER(D174)),IFERROR(D242/D174,""),"")</f>
        <v>0.0657620041753654</v>
      </c>
      <c r="E247" s="215">
        <f>IF(AND(ISNUMBER(E242),ISNUMBER(E174)),IFERROR(E242/E174,""),"")</f>
        <v>0.504738360115369</v>
      </c>
      <c r="F247" s="215">
        <f>IF(AND(ISNUMBER(F242),ISNUMBER(F174)),IFERROR(F242/F174,""),"")</f>
        <v>0.612639275766017</v>
      </c>
      <c r="G247" s="215">
        <f>IF(AND(ISNUMBER(G242),ISNUMBER(G174)),IFERROR(G242/G174,""),"")</f>
        <v>0.70517503805175</v>
      </c>
      <c r="H247" s="215">
        <f>IF(AND(ISNUMBER(H242),ISNUMBER(H174)),IFERROR(H242/H174,""),"")</f>
        <v>-1.54545454545455</v>
      </c>
      <c r="I247" s="215">
        <f>IF(AND(ISNUMBER(I242),ISNUMBER(I174)),IFERROR(I242/I174,""),"")</f>
        <v>0.7829417773238</v>
      </c>
      <c r="J247" s="215">
        <f>IF(AND(ISNUMBER(J242),ISNUMBER(J174)),IFERROR(J242/J174,""),"")</f>
        <v>1.05495075168481</v>
      </c>
      <c r="K247" s="215">
        <f>IF(AND(ISNUMBER(K242),ISNUMBER(K174)),IFERROR(K242/K174,""),"")</f>
        <v>1.02692514808831</v>
      </c>
      <c r="L247" s="215">
        <f>IF(AND(ISNUMBER(L242),ISNUMBER(L174)),IFERROR(L242/L174,""),"")</f>
        <v>0.334075432163436</v>
      </c>
      <c r="M247" s="215">
        <f>IF(AND(ISNUMBER(M242),ISNUMBER(M174)),IFERROR(M242/M174,""),"")</f>
        <v>0.650641025641026</v>
      </c>
      <c r="N247" s="215">
        <f>IF(AND(ISNUMBER(N242),ISNUMBER(N174)),IFERROR(N242/N174,""),"")</f>
        <v>0.850116009280743</v>
      </c>
      <c r="O247" s="215">
        <f>IF(AND(ISNUMBER(O242),ISNUMBER(O174)),IFERROR(O242/O174,""),"")</f>
        <v>0.860967590418037</v>
      </c>
      <c r="P247" s="215">
        <f>IF(AND(ISNUMBER(P242),ISNUMBER(P174)),IFERROR(P242/P174,""),"")</f>
        <v>0.74077578051088</v>
      </c>
      <c r="Q247" s="215">
        <f>IF(AND(ISNUMBER(Q242),ISNUMBER(Q174)),IFERROR(Q242/Q174,""),"")</f>
        <v>0.775110696807271</v>
      </c>
      <c r="R247" s="215">
        <f>IF(AND(ISNUMBER(R242),ISNUMBER(R174)),IFERROR(R242/R174,""),"")</f>
        <v>0.702714164546226</v>
      </c>
      <c r="S247" s="215">
        <f>IF(AND(ISNUMBER(S242),ISNUMBER(S174)),IFERROR(S242/S174,""),"")</f>
        <v>0.365752285951787</v>
      </c>
      <c r="T247" s="215">
        <f>IF(AND(ISNUMBER(T242),ISNUMBER(T174)),IFERROR(T242/T174,""),"")</f>
        <v>0.851588628762542</v>
      </c>
      <c r="U247" s="215">
        <f>IF(AND(ISNUMBER(U242),ISNUMBER(U174)),IFERROR(U242/U174,""),"")</f>
        <v>0.664446294754371</v>
      </c>
      <c r="V247" s="215">
        <f>IF(AND(ISNUMBER(V242),ISNUMBER(V174)),IFERROR(V242/V174,""),"")</f>
        <v>0.645532538187906</v>
      </c>
      <c r="W247" s="215">
        <f>IF(AND(ISNUMBER(W242),ISNUMBER(W174)),IFERROR(W242/W174,""),"")</f>
        <v>0.736486486486487</v>
      </c>
      <c r="X247" s="215">
        <f>IF(AND(ISNUMBER(X242),ISNUMBER(X174)),IFERROR(X242/X174,""),"")</f>
        <v>0.280234833659491</v>
      </c>
      <c r="Y247" s="215">
        <f>IF(AND(ISNUMBER(Y242),ISNUMBER(Y174)),IFERROR(Y242/Y174,""),"")</f>
        <v>0.0663562281722934</v>
      </c>
      <c r="Z247" s="215">
        <f>IF(AND(ISNUMBER(Z242),ISNUMBER(Z174)),IFERROR(Z242/Z174,""),"")</f>
        <v>0.803546592489569</v>
      </c>
      <c r="AA247" s="215">
        <f>IF(AND(ISNUMBER(AA242),ISNUMBER(AA174)),IFERROR(AA242/AA174,""),"")</f>
        <v>0.479950589129609</v>
      </c>
      <c r="AB247" s="215">
        <f>IF(AND(ISNUMBER(AB242),ISNUMBER(AB174)),IFERROR(AB242/AB174,""),"")</f>
        <v>0.71996303142329</v>
      </c>
      <c r="AC247" s="215">
        <f>IF(AND(ISNUMBER(AC242),ISNUMBER(AC174)),IFERROR(AC242/AC174,""),"")</f>
        <v>0.079846694346854</v>
      </c>
      <c r="AD247" s="215">
        <f>IF(AND(ISNUMBER(AD242),ISNUMBER(AD174)),IFERROR(AD242/AD174,""),"")</f>
        <v>1.05893536121673</v>
      </c>
      <c r="AE247" s="215">
        <f>IF(AND(ISNUMBER(AE242),ISNUMBER(AE174)),IFERROR(AE242/AE174,""),"")</f>
        <v>0.76570407859482</v>
      </c>
      <c r="AF247" s="215">
        <f>IF(AND(ISNUMBER(AF242),ISNUMBER(AF174)),IFERROR(AF242/AF174,""),"")</f>
        <v>0.659401179025753</v>
      </c>
      <c r="AG247" s="215">
        <f>IF(AND(ISNUMBER(AG242),ISNUMBER(AG174)),IFERROR(AG242/AG174,""),"")</f>
        <v>0.754896313364055</v>
      </c>
      <c r="AH247" s="215">
        <f>IF(AND(ISNUMBER(AH242),ISNUMBER(AH174)),IFERROR(AH242/AH174,""),"")</f>
        <v>0.747205503009458</v>
      </c>
      <c r="AI247" s="215">
        <f>IF(AND(ISNUMBER(AI242),ISNUMBER(AI174)),IFERROR(AI242/AI174,""),"")</f>
        <v>0.953533131701952</v>
      </c>
      <c r="AJ247" s="215">
        <f>IF(AND(ISNUMBER(AJ242),ISNUMBER(AJ174)),IFERROR(AJ242/AJ174,""),"")</f>
        <v>0.876461211477152</v>
      </c>
      <c r="AK247" s="215">
        <f>IF(AND(ISNUMBER(AK242),ISNUMBER(AK174)),IFERROR(AK242/AK174,""),"")</f>
        <v>0.835190084946386</v>
      </c>
      <c r="AL247" s="215">
        <f>IF(AND(ISNUMBER(AL242),ISNUMBER(AL174)),IFERROR(AL242/AL174,""),"")</f>
        <v>0.809339525283798</v>
      </c>
      <c r="AM247" s="215">
        <f>IF(AND(ISNUMBER(AM242),ISNUMBER(AM174)),IFERROR(AM242/AM174,""),"")</f>
        <v>0.50197316495659</v>
      </c>
      <c r="AN247" s="215">
        <f>IF(AND(ISNUMBER(AN242),ISNUMBER(AN174)),IFERROR(AN242/AN174,""),"")</f>
        <v>0.783206481708814</v>
      </c>
      <c r="AO247" s="215">
        <f>IF(AND(ISNUMBER(AO242),ISNUMBER(AO174)),IFERROR(AO242/AO174,""),"")</f>
        <v>0.886836567687632</v>
      </c>
      <c r="AP247" s="215">
        <f>IF(AND(ISNUMBER(AP242),ISNUMBER(AP174)),IFERROR(AP242/AP174,""),"")</f>
        <v>0.750483558994197</v>
      </c>
      <c r="AQ247" s="215">
        <f>IF(AND(ISNUMBER(AQ242),ISNUMBER(AQ174)),IFERROR(AQ242/AQ174,""),"")</f>
        <v>0.877142857142857</v>
      </c>
      <c r="AR247" s="215">
        <f>IF(AND(ISNUMBER(AR242),ISNUMBER(AR174)),IFERROR(AR242/AR174,""),"")</f>
        <v>0.303567095365203</v>
      </c>
      <c r="AS247" s="215">
        <f>IF(AND(ISNUMBER(AS242),ISNUMBER(AS174)),IFERROR(AS242/AS174,""),"")</f>
        <v>0.8878125</v>
      </c>
      <c r="AT247" s="215">
        <f>IF(AND(ISNUMBER(AT242),ISNUMBER(AT174)),IFERROR(AT242/AT174,""),"")</f>
        <v>0.576555023923445</v>
      </c>
      <c r="AU247" s="215">
        <f>IF(AND(ISNUMBER(AU242),ISNUMBER(AU174)),IFERROR(AU242/AU174,""),"")</f>
        <v>0.652808610830811</v>
      </c>
      <c r="AV247" s="215">
        <f>IF(AND(ISNUMBER(AV242),ISNUMBER(AV174)),IFERROR(AV242/AV174,""),"")</f>
        <v>0.829129574678536</v>
      </c>
      <c r="AW247" s="215">
        <f>IF(AND(ISNUMBER(AW242),ISNUMBER(AW174)),IFERROR(AW242/AW174,""),"")</f>
        <v>0.805026656511805</v>
      </c>
      <c r="AX247" s="215">
        <f>IF(AND(ISNUMBER(AX242),ISNUMBER(AX174)),IFERROR(AX242/AX174,""),"")</f>
        <v>0.991106950620173</v>
      </c>
      <c r="AY247" s="215">
        <f>IF(AND(ISNUMBER(AY242),ISNUMBER(AY174)),IFERROR(AY242/AY174,""),"")</f>
        <v>0.831602209944751</v>
      </c>
      <c r="AZ247" s="215">
        <f>IF(AND(ISNUMBER(AZ242),ISNUMBER(AZ174)),IFERROR(AZ242/AZ174,""),"")</f>
        <v>0.865383469399917</v>
      </c>
      <c r="BA247" s="215">
        <f>IF(AND(ISNUMBER(BA242),ISNUMBER(BA174)),IFERROR(BA242/BA174,""),"")</f>
        <v>0.791382335737961</v>
      </c>
      <c r="BB247" s="215">
        <f>IF(AND(ISNUMBER(BB242),ISNUMBER(BB174)),IFERROR(BB242/BB174,""),"")</f>
        <v>0.633130280998231</v>
      </c>
      <c r="BC247" s="215">
        <f>IF(AND(ISNUMBER(BC242),ISNUMBER(BC174)),IFERROR(BC242/BC174,""),"")</f>
        <v>0.982184808144088</v>
      </c>
      <c r="BD247" s="215">
        <f>IF(AND(ISNUMBER(BD242),ISNUMBER(BD174)),IFERROR(BD242/BD174,""),"")</f>
        <v>1.04552266766579</v>
      </c>
      <c r="BE247" s="215">
        <f>IF(AND(ISNUMBER(BE242),ISNUMBER(BE174)),IFERROR(BE242/BE174,""),"")</f>
        <v>0.865224545102594</v>
      </c>
      <c r="BF247" s="215">
        <f>IF(AND(ISNUMBER(BF242),ISNUMBER(BF174)),IFERROR(BF242/BF174,""),"")</f>
        <v>0.690371413483542</v>
      </c>
      <c r="BG247" s="215">
        <f>IF(AND(ISNUMBER(BG242),ISNUMBER(BG174)),IFERROR(BG242/BG174,""),"")</f>
        <v>0.652718168812589</v>
      </c>
      <c r="BH247" s="215">
        <f>IF(AND(ISNUMBER(BH242),ISNUMBER(BH174)),IFERROR(BH242/BH174,""),"")</f>
        <v>0.958703606900157</v>
      </c>
      <c r="BI247" s="215">
        <f>IF(AND(ISNUMBER(BI242),ISNUMBER(BI174)),IFERROR(BI242/BI174,""),"")</f>
        <v>1.11725999662561</v>
      </c>
      <c r="BJ247" s="215">
        <f>IF(AND(ISNUMBER(BJ242),ISNUMBER(BJ174)),IFERROR(BJ242/BJ174,""),"")</f>
        <v>0.858625049043114</v>
      </c>
      <c r="BK247" s="215">
        <f>IF(AND(ISNUMBER(BK242),ISNUMBER(BK174)),IFERROR(BK242/BK174,""),"")</f>
        <v>0.537929926068788</v>
      </c>
      <c r="BL247" s="215">
        <f>IF(AND(ISNUMBER(BL242),ISNUMBER(BL174)),IFERROR(BL242/BL174,""),"")</f>
        <v>0.696726677577741</v>
      </c>
      <c r="BM247" s="215">
        <f>IF(AND(ISNUMBER(BM242),ISNUMBER(BM174)),IFERROR(BM242/BM174,""),"")</f>
        <v>0.76490547746001</v>
      </c>
      <c r="BN247" s="215">
        <f>IF(AND(ISNUMBER(BN242),ISNUMBER(BN174)),IFERROR(BN242/BN174,""),"")</f>
        <v>0.955351773902586</v>
      </c>
      <c r="BO247" s="215">
        <f>IF(AND(ISNUMBER(BO242),ISNUMBER(BO174)),IFERROR(BO242/BO174,""),"")</f>
        <v>0.742581337146943</v>
      </c>
      <c r="BP247" s="215">
        <f>IF(AND(ISNUMBER(BP242),ISNUMBER(BP174)),IFERROR(BP242/BP174,""),"")</f>
        <v>0.739639771562454</v>
      </c>
      <c r="BQ247" s="215">
        <f>IF(AND(ISNUMBER(BQ242),ISNUMBER(BQ174)),IFERROR(BQ242/BQ174,""),"")</f>
        <v>0.645771732702543</v>
      </c>
      <c r="BR247" s="215">
        <f>IF(AND(ISNUMBER(BR242),ISNUMBER(BR174)),IFERROR(BR242/BR174,""),"")</f>
        <v>0.88510101010101</v>
      </c>
      <c r="BS247" s="215">
        <f>IF(AND(ISNUMBER(BS242),ISNUMBER(BS174)),IFERROR(BS242/BS174,""),"")</f>
        <v>0.793084745762712</v>
      </c>
      <c r="BT247" s="215">
        <f>IF(AND(ISNUMBER(BT242),ISNUMBER(BT174)),IFERROR(BT242/BT174,""),"")</f>
        <v>0.767974088838269</v>
      </c>
      <c r="BU247" s="215">
        <f>IF(AND(ISNUMBER(BU242),ISNUMBER(BU174)),IFERROR(BU242/BU174,""),"")</f>
        <v>0.822667694680031</v>
      </c>
      <c r="BV247" s="215">
        <f>IF(AND(ISNUMBER(BV242),ISNUMBER(BV174)),IFERROR(BV242/BV174,""),"")</f>
        <v>0.331690674753601</v>
      </c>
      <c r="BW247" s="215">
        <f>IF(AND(ISNUMBER(BW242),ISNUMBER(BW174)),IFERROR(BW242/BW174,""),"")</f>
        <v>0.761603375527426</v>
      </c>
      <c r="BX247" s="24" t="n"/>
      <c r="BY247" s="256">
        <f>IF(AND(ISNUMBER(BY242),ISNUMBER(BY174)),IFERROR(BY242/BY174,""),"")</f>
        <v>0.709773688169157</v>
      </c>
      <c r="BZ247" s="256">
        <f>IF(AND(ISNUMBER(BZ242),ISNUMBER(BZ174)),IFERROR(BZ242/BZ174,""),"")</f>
        <v>0.800386880950323</v>
      </c>
      <c r="CA247" s="256">
        <f>IF(AND(ISNUMBER(CA242),ISNUMBER(CA174)),IFERROR(CA242/CA174,""),"")</f>
        <v>0.798727862014479</v>
      </c>
      <c r="CB247" s="256">
        <f>IF(AND(ISNUMBER(CB242),ISNUMBER(CB174)),IFERROR(CB242/CB174,""),"")</f>
        <v>0.7989242196778</v>
      </c>
      <c r="CC247" s="256">
        <f>IF(AND(ISNUMBER(CC242),ISNUMBER(CC174)),IFERROR(CC242/CC174,""),"")</f>
        <v>0.798177780395463</v>
      </c>
      <c r="CD247" s="256">
        <f>IF(AND(ISNUMBER(CD242),ISNUMBER(CD174)),IFERROR(CD242/CD174,""),"")</f>
        <v>0.797778055729659</v>
      </c>
      <c r="CE247" s="153" t="n"/>
      <c r="CG247" s="37">
        <f>IFERROR(AVERAGE(BZ247,CA247,CB247,CC247,CD247),"n/m")</f>
        <v>0.798798959753545</v>
      </c>
      <c r="CH247" s="37">
        <f>IFERROR(AVERAGE(AZ247,BE247,BJ247,BO247,BT247),"n/m")</f>
        <v>0.819957697906167</v>
      </c>
      <c r="CI247" s="37">
        <f>IFERROR(AVERAGE(AA247,AF247,AK247,AP247,AU247,AZ247,BE247,BJ247,BO247,BT247),"n/m")</f>
        <v>0.747762251245759</v>
      </c>
      <c r="CJ247" s="37">
        <f>IFERROR(AVERAGE(C247,D247,E247,F247,G247,L247,Q247,V247,AA247,AF247,AK247,AP247,AU247,AZ247,BE247,BJ247,BO247,BT247),"n/m")</f>
        <v>0.619916120529535</v>
      </c>
    </row>
    <row r="248" ht="15" customHeight="1" s="251">
      <c r="B248" s="25" t="inlineStr">
        <is>
          <t>Capex ratios</t>
        </is>
      </c>
      <c r="CE248" s="153" t="n"/>
    </row>
    <row r="249" ht="15" customHeight="1" s="251">
      <c r="B249" s="25" t="inlineStr">
        <is>
          <t xml:space="preserve">  Capex % of net revenue</t>
        </is>
      </c>
      <c r="C249" s="215">
        <f>IF(ISNUMBER(C226),IFERROR(-C226/C113,""),"")</f>
        <v>0.0662621746766725</v>
      </c>
      <c r="D249" s="215">
        <f>IF(ISNUMBER(D226),IFERROR(-D226/D113,""),"")</f>
        <v>0.0442772391839097</v>
      </c>
      <c r="E249" s="215">
        <f>IF(ISNUMBER(E226),IFERROR(-E226/E113,""),"")</f>
        <v>0.0298822070675759</v>
      </c>
      <c r="F249" s="215">
        <f>IF(ISNUMBER(F226),IFERROR(-F226/F113,""),"")</f>
        <v>0.0384196778406617</v>
      </c>
      <c r="G249" s="215">
        <f>IF(ISNUMBER(G226),IFERROR(-G226/G113,""),"")</f>
        <v>0.0360809903080319</v>
      </c>
      <c r="H249" s="215">
        <f>IF(ISNUMBER(H226),IFERROR(-H226/H113,""),"")</f>
        <v>0.0351370344342937</v>
      </c>
      <c r="I249" s="215">
        <f>IF(ISNUMBER(I226),IFERROR(-I226/I113,""),"")</f>
        <v>0.037525354969574</v>
      </c>
      <c r="J249" s="215">
        <f>IF(ISNUMBER(J226),IFERROR(-J226/J113,""),"")</f>
        <v>0.040653115628124</v>
      </c>
      <c r="K249" s="215">
        <f>IF(ISNUMBER(K226),IFERROR(-K226/K113,""),"")</f>
        <v>0.0464177598385469</v>
      </c>
      <c r="L249" s="215">
        <f>IF(ISNUMBER(L226),IFERROR(-L226/L113,""),"")</f>
        <v>0.0399898115129903</v>
      </c>
      <c r="M249" s="215">
        <f>IF(ISNUMBER(M226),IFERROR(-M226/M113,""),"")</f>
        <v>0.0380348652931854</v>
      </c>
      <c r="N249" s="215">
        <f>IF(ISNUMBER(N226),IFERROR(-N226/N113,""),"")</f>
        <v>0.030667088207398</v>
      </c>
      <c r="O249" s="215">
        <f>IF(ISNUMBER(O226),IFERROR(-O226/O113,""),"")</f>
        <v>0.0345483359746434</v>
      </c>
      <c r="P249" s="215">
        <f>IF(ISNUMBER(P226),IFERROR(-P226/P113,""),"")</f>
        <v>0.0703004026014246</v>
      </c>
      <c r="Q249" s="215">
        <f>IF(ISNUMBER(Q226),IFERROR(-Q226/Q113,""),"")</f>
        <v>0.0435364509526059</v>
      </c>
      <c r="R249" s="215">
        <f>IF(ISNUMBER(R226),IFERROR(-R226/R113,""),"")</f>
        <v>0.0307510348905973</v>
      </c>
      <c r="S249" s="215">
        <f>IF(ISNUMBER(S226),IFERROR(-S226/S113,""),"")</f>
        <v>0.0287474332648871</v>
      </c>
      <c r="T249" s="215">
        <f>IF(ISNUMBER(T226),IFERROR(-T226/T113,""),"")</f>
        <v>0.0210346787947698</v>
      </c>
      <c r="U249" s="215">
        <f>IF(ISNUMBER(U226),IFERROR(-U226/U113,""),"")</f>
        <v>0.0386446373564828</v>
      </c>
      <c r="V249" s="215">
        <f>IF(ISNUMBER(V226),IFERROR(-V226/V113,""),"")</f>
        <v>0.0298270893371758</v>
      </c>
      <c r="W249" s="215">
        <f>IF(ISNUMBER(W226),IFERROR(-W226/W113,""),"")</f>
        <v>0.035343618513324</v>
      </c>
      <c r="X249" s="215">
        <f>IF(ISNUMBER(X226),IFERROR(-X226/X113,""),"")</f>
        <v>0.0341974627688913</v>
      </c>
      <c r="Y249" s="215">
        <f>IF(ISNUMBER(Y226),IFERROR(-Y226/Y113,""),"")</f>
        <v>0.0363636363636364</v>
      </c>
      <c r="Z249" s="215">
        <f>IF(ISNUMBER(Z226),IFERROR(-Z226/Z113,""),"")</f>
        <v>0.0330908237502934</v>
      </c>
      <c r="AA249" s="215">
        <f>IF(ISNUMBER(AA226),IFERROR(-AA226/AA113,""),"")</f>
        <v>0.0346770985280467</v>
      </c>
      <c r="AB249" s="215">
        <f>IF(ISNUMBER(AB226),IFERROR(-AB226/AB113,""),"")</f>
        <v>0.0383322125084062</v>
      </c>
      <c r="AC249" s="215">
        <f>IF(ISNUMBER(AC226),IFERROR(-AC226/AC113,""),"")</f>
        <v>0.0326111235202144</v>
      </c>
      <c r="AD249" s="215">
        <f>IF(ISNUMBER(AD226),IFERROR(-AD226/AD113,""),"")</f>
        <v>0.0427163198247536</v>
      </c>
      <c r="AE249" s="215">
        <f>IF(ISNUMBER(AE226),IFERROR(-AE226/AE113,""),"")</f>
        <v>0.0401647785787848</v>
      </c>
      <c r="AF249" s="215">
        <f>IF(ISNUMBER(AF226),IFERROR(-AF226/AF113,""),"")</f>
        <v>0.0385118204597451</v>
      </c>
      <c r="AG249" s="215">
        <f>IF(ISNUMBER(AG226),IFERROR(-AG226/AG113,""),"")</f>
        <v>0.0290004113533525</v>
      </c>
      <c r="AH249" s="215">
        <f>IF(ISNUMBER(AH226),IFERROR(-AH226/AH113,""),"")</f>
        <v>0.0419869899467771</v>
      </c>
      <c r="AI249" s="215">
        <f>IF(ISNUMBER(AI226),IFERROR(-AI226/AI113,""),"")</f>
        <v>0.0322519083969466</v>
      </c>
      <c r="AJ249" s="215">
        <f>IF(ISNUMBER(AJ226),IFERROR(-AJ226/AJ113,""),"")</f>
        <v>0.0358851674641148</v>
      </c>
      <c r="AK249" s="215">
        <f>IF(ISNUMBER(AK226),IFERROR(-AK226/AK113,""),"")</f>
        <v>0.0348391479450725</v>
      </c>
      <c r="AL249" s="215">
        <f>IF(ISNUMBER(AL226),IFERROR(-AL226/AL113,""),"")</f>
        <v>0.0285143479840174</v>
      </c>
      <c r="AM249" s="215">
        <f>IF(ISNUMBER(AM226),IFERROR(-AM226/AM113,""),"")</f>
        <v>0.028394612304332</v>
      </c>
      <c r="AN249" s="215">
        <f>IF(ISNUMBER(AN226),IFERROR(-AN226/AN113,""),"")</f>
        <v>0.0332191780821918</v>
      </c>
      <c r="AO249" s="215">
        <f>IF(ISNUMBER(AO226),IFERROR(-AO226/AO113,""),"")</f>
        <v>0.0405735701482809</v>
      </c>
      <c r="AP249" s="215">
        <f>IF(ISNUMBER(AP226),IFERROR(-AP226/AP113,""),"")</f>
        <v>0.0329024676850764</v>
      </c>
      <c r="AQ249" s="215">
        <f>IF(ISNUMBER(AQ226),IFERROR(-AQ226/AQ113,""),"")</f>
        <v>0.0315493888338289</v>
      </c>
      <c r="AR249" s="215">
        <f>IF(ISNUMBER(AR226),IFERROR(-AR226/AR113,""),"")</f>
        <v>0.0368978476255552</v>
      </c>
      <c r="AS249" s="215">
        <f>IF(ISNUMBER(AS226),IFERROR(-AS226/AS113,""),"")</f>
        <v>0.0332850940665702</v>
      </c>
      <c r="AT249" s="215">
        <f>IF(ISNUMBER(AT226),IFERROR(-AT226/AT113,""),"")</f>
        <v>0.0329347186826113</v>
      </c>
      <c r="AU249" s="215">
        <f>IF(ISNUMBER(AU226),IFERROR(-AU226/AU113,""),"")</f>
        <v>0.0336903781012542</v>
      </c>
      <c r="AV249" s="215">
        <f>IF(ISNUMBER(AV226),IFERROR(-AV226/AV113,""),"")</f>
        <v>0.0281343414805697</v>
      </c>
      <c r="AW249" s="215">
        <f>IF(ISNUMBER(AW226),IFERROR(-AW226/AW113,""),"")</f>
        <v>0.0275789841159016</v>
      </c>
      <c r="AX249" s="215">
        <f>IF(ISNUMBER(AX226),IFERROR(-AX226/AX113,""),"")</f>
        <v>0.0292006525285481</v>
      </c>
      <c r="AY249" s="215">
        <f>IF(ISNUMBER(AY226),IFERROR(-AY226/AY113,""),"")</f>
        <v>0.0317121512425675</v>
      </c>
      <c r="AZ249" s="215">
        <f>IF(ISNUMBER(AZ226),IFERROR(-AZ226/AZ113,""),"")</f>
        <v>0.029247044181705</v>
      </c>
      <c r="BA249" s="215">
        <f>IF(ISNUMBER(BA226),IFERROR(-BA226/BA113,""),"")</f>
        <v>0.0245077206403173</v>
      </c>
      <c r="BB249" s="215">
        <f>IF(ISNUMBER(BB226),IFERROR(-BB226/BB113,""),"")</f>
        <v>0.0371400751147587</v>
      </c>
      <c r="BC249" s="215">
        <f>IF(ISNUMBER(BC226),IFERROR(-BC226/BC113,""),"")</f>
        <v>0.0323024054982818</v>
      </c>
      <c r="BD249" s="215">
        <f>IF(ISNUMBER(BD226),IFERROR(-BD226/BD113,""),"")</f>
        <v>0.0378836522409144</v>
      </c>
      <c r="BE249" s="215">
        <f>IF(ISNUMBER(BE226),IFERROR(-BE226/BE113,""),"")</f>
        <v>0.0330945069941999</v>
      </c>
      <c r="BF249" s="215">
        <f>IF(ISNUMBER(BF226),IFERROR(-BF226/BF113,""),"")</f>
        <v>0.0313760080645161</v>
      </c>
      <c r="BG249" s="215">
        <f>IF(ISNUMBER(BG226),IFERROR(-BG226/BG113,""),"")</f>
        <v>0.026299311208516</v>
      </c>
      <c r="BH249" s="215">
        <f>IF(ISNUMBER(BH226),IFERROR(-BH226/BH113,""),"")</f>
        <v>0.0363166317862859</v>
      </c>
      <c r="BI249" s="215">
        <f>IF(ISNUMBER(BI226),IFERROR(-BI226/BI113,""),"")</f>
        <v>0.0354280404228133</v>
      </c>
      <c r="BJ249" s="215">
        <f>IF(ISNUMBER(BJ226),IFERROR(-BJ226/BJ113,""),"")</f>
        <v>0.0324319358098796</v>
      </c>
      <c r="BK249" s="215">
        <f>IF(ISNUMBER(BK226),IFERROR(-BK226/BK113,""),"")</f>
        <v>0.0309242529534399</v>
      </c>
      <c r="BL249" s="215">
        <f>IF(ISNUMBER(BL226),IFERROR(-BL226/BL113,""),"")</f>
        <v>0.032022792022792</v>
      </c>
      <c r="BM249" s="215">
        <f>IF(ISNUMBER(BM226),IFERROR(-BM226/BM113,""),"")</f>
        <v>0.0449438202247191</v>
      </c>
      <c r="BN249" s="215">
        <f>IF(ISNUMBER(BN226),IFERROR(-BN226/BN113,""),"")</f>
        <v>0.0321306020588541</v>
      </c>
      <c r="BO249" s="215">
        <f>IF(ISNUMBER(BO226),IFERROR(-BO226/BO113,""),"")</f>
        <v>0.0349885876523966</v>
      </c>
      <c r="BP249" s="215">
        <f>IF(ISNUMBER(BP226),IFERROR(-BP226/BP113,""),"")</f>
        <v>0.0362776025236593</v>
      </c>
      <c r="BQ249" s="215">
        <f>IF(ISNUMBER(BQ226),IFERROR(-BQ226/BQ113,""),"")</f>
        <v>0.0340838023764853</v>
      </c>
      <c r="BR249" s="215">
        <f>IF(ISNUMBER(BR226),IFERROR(-BR226/BR113,""),"")</f>
        <v>0.0413881242626819</v>
      </c>
      <c r="BS249" s="215">
        <f>IF(ISNUMBER(BS226),IFERROR(-BS226/BS113,""),"")</f>
        <v>0.0362737784408803</v>
      </c>
      <c r="BT249" s="215">
        <f>IF(ISNUMBER(BT226),IFERROR(-BT226/BT113,""),"")</f>
        <v>0.03705</v>
      </c>
      <c r="BU249" s="215">
        <f>IF(ISNUMBER(BU226),IFERROR(-BU226/BU113,""),"")</f>
        <v>0.0346757178240528</v>
      </c>
      <c r="BV249" s="215">
        <f>IF(ISNUMBER(BV226),IFERROR(-BV226/BV113,""),"")</f>
        <v>0.0341050756901158</v>
      </c>
      <c r="BW249" s="215">
        <f>IF(ISNUMBER(BW226),IFERROR(-BW226/BW113,""),"")</f>
        <v>0.0358462993208974</v>
      </c>
      <c r="BX249" s="24" t="n"/>
      <c r="BY249" s="256">
        <f>IF(ISNUMBER(BY226),IFERROR(-BY226/BY113,""),"")</f>
        <v>0.0348719719141138</v>
      </c>
      <c r="BZ249" s="271" t="n">
        <v>0.037</v>
      </c>
      <c r="CA249" s="271" t="n">
        <v>0.036</v>
      </c>
      <c r="CB249" s="271" t="n">
        <v>0.035</v>
      </c>
      <c r="CC249" s="271" t="n">
        <v>0.035</v>
      </c>
      <c r="CD249" s="271" t="n">
        <v>0.035</v>
      </c>
      <c r="CE249" s="153" t="inlineStr">
        <is>
          <t>2027E+ input: FY2021–25 3.0–3.7% of net revenue (technology investment).</t>
        </is>
      </c>
      <c r="CG249" s="37">
        <f>IFERROR(AVERAGE(BZ249,CA249,CB249,CC249,CD249),"n/m")</f>
        <v>0.0356</v>
      </c>
      <c r="CH249" s="37">
        <f>IFERROR(AVERAGE(AZ249,BE249,BJ249,BO249,BT249),"n/m")</f>
        <v>0.0333624149276362</v>
      </c>
      <c r="CI249" s="37">
        <f>IFERROR(AVERAGE(AA249,AF249,AK249,AP249,AU249,AZ249,BE249,BJ249,BO249,BT249),"n/m")</f>
        <v>0.0341432987357376</v>
      </c>
      <c r="CJ249" s="37">
        <f>IFERROR(AVERAGE(C249,D249,E249,F249,G249,L249,Q249,V249,AA249,AF249,AK249,AP249,AU249,AZ249,BE249,BJ249,BO249,BT249),"n/m")</f>
        <v>0.0372060349020556</v>
      </c>
    </row>
    <row r="250" ht="15" customHeight="1" s="251">
      <c r="B250" s="25" t="inlineStr">
        <is>
          <t xml:space="preserve">  Capex / D&amp;A (x)</t>
        </is>
      </c>
      <c r="C250" s="286">
        <f>IF(ISNUMBER(C226),IFERROR(-C226/C140,""),"")</f>
        <v>1.75105485232068</v>
      </c>
      <c r="D250" s="286">
        <f>IF(ISNUMBER(D226),IFERROR(-D226/D140,""),"")</f>
        <v>1.35398230088496</v>
      </c>
      <c r="E250" s="286">
        <f>IF(ISNUMBER(E226),IFERROR(-E226/E140,""),"")</f>
        <v>0.909433962264151</v>
      </c>
      <c r="F250" s="286">
        <f>IF(ISNUMBER(F226),IFERROR(-F226/F140,""),"")</f>
        <v>1.22569444444444</v>
      </c>
      <c r="G250" s="286">
        <f>IF(ISNUMBER(G226),IFERROR(-G226/G140,""),"")</f>
        <v>1.12912912912913</v>
      </c>
      <c r="H250" s="286">
        <f>IF(ISNUMBER(H226),IFERROR(-H226/H140,""),"")</f>
        <v>1.08695652173913</v>
      </c>
      <c r="I250" s="286">
        <f>IF(ISNUMBER(I226),IFERROR(-I226/I140,""),"")</f>
        <v>1.13265306122449</v>
      </c>
      <c r="J250" s="286">
        <f>IF(ISNUMBER(J226),IFERROR(-J226/J140,""),"")</f>
        <v>1.20792079207921</v>
      </c>
      <c r="K250" s="286">
        <f>IF(ISNUMBER(K226),IFERROR(-K226/K140,""),"")</f>
        <v>1.30188679245283</v>
      </c>
      <c r="L250" s="286">
        <f>IF(ISNUMBER(L226),IFERROR(-L226/L140,""),"")</f>
        <v>1.18639798488665</v>
      </c>
      <c r="M250" s="286">
        <f>IF(ISNUMBER(M226),IFERROR(-M226/M140,""),"")</f>
        <v>1.1214953271028</v>
      </c>
      <c r="N250" s="286">
        <f>IF(ISNUMBER(N226),IFERROR(-N226/N140,""),"")</f>
        <v>0.906542056074766</v>
      </c>
      <c r="O250" s="286">
        <f>IF(ISNUMBER(O226),IFERROR(-O226/O140,""),"")</f>
        <v>1</v>
      </c>
      <c r="P250" s="286">
        <f>IF(ISNUMBER(P226),IFERROR(-P226/P140,""),"")</f>
        <v>2.02678571428571</v>
      </c>
      <c r="Q250" s="286">
        <f>IF(ISNUMBER(Q226),IFERROR(-Q226/Q140,""),"")</f>
        <v>1.27126436781609</v>
      </c>
      <c r="R250" s="286">
        <f>IF(ISNUMBER(R226),IFERROR(-R226/R140,""),"")</f>
        <v>0.866666666666667</v>
      </c>
      <c r="S250" s="286">
        <f>IF(ISNUMBER(S226),IFERROR(-S226/S140,""),"")</f>
        <v>0.784</v>
      </c>
      <c r="T250" s="286">
        <f>IF(ISNUMBER(T226),IFERROR(-T226/T140,""),"")</f>
        <v>0.569230769230769</v>
      </c>
      <c r="U250" s="286">
        <f>IF(ISNUMBER(U226),IFERROR(-U226/U140,""),"")</f>
        <v>1.15966386554622</v>
      </c>
      <c r="V250" s="286">
        <f>IF(ISNUMBER(V226),IFERROR(-V226/V140,""),"")</f>
        <v>0.838056680161943</v>
      </c>
      <c r="W250" s="286">
        <f>IF(ISNUMBER(W226),IFERROR(-W226/W140,""),"")</f>
        <v>1.05</v>
      </c>
      <c r="X250" s="286">
        <f>IF(ISNUMBER(X226),IFERROR(-X226/X140,""),"")</f>
        <v>1.02479338842975</v>
      </c>
      <c r="Y250" s="286">
        <f>IF(ISNUMBER(Y226),IFERROR(-Y226/Y140,""),"")</f>
        <v>1.1</v>
      </c>
      <c r="Z250" s="286">
        <f>IF(ISNUMBER(Z226),IFERROR(-Z226/Z140,""),"")</f>
        <v>1</v>
      </c>
      <c r="AA250" s="286">
        <f>IF(ISNUMBER(AA226),IFERROR(-AA226/AA140,""),"")</f>
        <v>1.04183266932271</v>
      </c>
      <c r="AB250" s="286">
        <f>IF(ISNUMBER(AB226),IFERROR(-AB226/AB140,""),"")</f>
        <v>1.17123287671233</v>
      </c>
      <c r="AC250" s="286">
        <f>IF(ISNUMBER(AC226),IFERROR(-AC226/AC140,""),"")</f>
        <v>1.11450381679389</v>
      </c>
      <c r="AD250" s="286">
        <f>IF(ISNUMBER(AD226),IFERROR(-AD226/AD140,""),"")</f>
        <v>1.47727272727273</v>
      </c>
      <c r="AE250" s="286">
        <f>IF(ISNUMBER(AE226),IFERROR(-AE226/AE140,""),"")</f>
        <v>1.3265306122449</v>
      </c>
      <c r="AF250" s="286">
        <f>IF(ISNUMBER(AF226),IFERROR(-AF226/AF140,""),"")</f>
        <v>1.27158273381295</v>
      </c>
      <c r="AG250" s="286">
        <f>IF(ISNUMBER(AG226),IFERROR(-AG226/AG140,""),"")</f>
        <v>0.972413793103448</v>
      </c>
      <c r="AH250" s="286">
        <f>IF(ISNUMBER(AH226),IFERROR(-AH226/AH140,""),"")</f>
        <v>1.3921568627451</v>
      </c>
      <c r="AI250" s="286">
        <f>IF(ISNUMBER(AI226),IFERROR(-AI226/AI140,""),"")</f>
        <v>1.11184210526316</v>
      </c>
      <c r="AJ250" s="286">
        <f>IF(ISNUMBER(AJ226),IFERROR(-AJ226/AJ140,""),"")</f>
        <v>1.19631901840491</v>
      </c>
      <c r="AK250" s="286">
        <f>IF(ISNUMBER(AK226),IFERROR(-AK226/AK140,""),"")</f>
        <v>1.17128874388254</v>
      </c>
      <c r="AL250" s="286">
        <f>IF(ISNUMBER(AL226),IFERROR(-AL226/AL140,""),"")</f>
        <v>0.987421383647799</v>
      </c>
      <c r="AM250" s="286">
        <f>IF(ISNUMBER(AM226),IFERROR(-AM226/AM140,""),"")</f>
        <v>0.975</v>
      </c>
      <c r="AN250" s="286">
        <f>IF(ISNUMBER(AN226),IFERROR(-AN226/AN140,""),"")</f>
        <v>1.17575757575758</v>
      </c>
      <c r="AO250" s="286">
        <f>IF(ISNUMBER(AO226),IFERROR(-AO226/AO140,""),"")</f>
        <v>1.44767441860465</v>
      </c>
      <c r="AP250" s="286">
        <f>IF(ISNUMBER(AP226),IFERROR(-AP226/AP140,""),"")</f>
        <v>1.15243902439024</v>
      </c>
      <c r="AQ250" s="286">
        <f>IF(ISNUMBER(AQ226),IFERROR(-AQ226/AQ140,""),"")</f>
        <v>1.04945054945055</v>
      </c>
      <c r="AR250" s="286">
        <f>IF(ISNUMBER(AR226),IFERROR(-AR226/AR140,""),"")</f>
        <v>1.125</v>
      </c>
      <c r="AS250" s="286">
        <f>IF(ISNUMBER(AS226),IFERROR(-AS226/AS140,""),"")</f>
        <v>0.817258883248731</v>
      </c>
      <c r="AT250" s="286">
        <f>IF(ISNUMBER(AT226),IFERROR(-AT226/AT140,""),"")</f>
        <v>0.857142857142857</v>
      </c>
      <c r="AU250" s="286">
        <f>IF(ISNUMBER(AU226),IFERROR(-AU226/AU140,""),"")</f>
        <v>0.959582790091265</v>
      </c>
      <c r="AV250" s="286">
        <f>IF(ISNUMBER(AV226),IFERROR(-AV226/AV140,""),"")</f>
        <v>0.812182741116751</v>
      </c>
      <c r="AW250" s="286">
        <f>IF(ISNUMBER(AW226),IFERROR(-AW226/AW140,""),"")</f>
        <v>0.786069651741294</v>
      </c>
      <c r="AX250" s="286">
        <f>IF(ISNUMBER(AX226),IFERROR(-AX226/AX140,""),"")</f>
        <v>0.877450980392157</v>
      </c>
      <c r="AY250" s="286">
        <f>IF(ISNUMBER(AY226),IFERROR(-AY226/AY140,""),"")</f>
        <v>1.02970297029703</v>
      </c>
      <c r="AZ250" s="286">
        <f>IF(ISNUMBER(AZ226),IFERROR(-AZ226/AZ140,""),"")</f>
        <v>0.876865671641791</v>
      </c>
      <c r="BA250" s="286">
        <f>IF(ISNUMBER(BA226),IFERROR(-BA226/BA140,""),"")</f>
        <v>0.873737373737374</v>
      </c>
      <c r="BB250" s="286">
        <f>IF(ISNUMBER(BB226),IFERROR(-BB226/BB140,""),"")</f>
        <v>1.28985507246377</v>
      </c>
      <c r="BC250" s="286">
        <f>IF(ISNUMBER(BC226),IFERROR(-BC226/BC140,""),"")</f>
        <v>1.02173913043478</v>
      </c>
      <c r="BD250" s="286">
        <f>IF(ISNUMBER(BD226),IFERROR(-BD226/BD140,""),"")</f>
        <v>1.30530973451327</v>
      </c>
      <c r="BE250" s="286">
        <f>IF(ISNUMBER(BE226),IFERROR(-BE226/BE140,""),"")</f>
        <v>1.12659698025552</v>
      </c>
      <c r="BF250" s="286">
        <f>IF(ISNUMBER(BF226),IFERROR(-BF226/BF140,""),"")</f>
        <v>1.09691629955947</v>
      </c>
      <c r="BG250" s="286">
        <f>IF(ISNUMBER(BG226),IFERROR(-BG226/BG140,""),"")</f>
        <v>0.897435897435898</v>
      </c>
      <c r="BH250" s="286">
        <f>IF(ISNUMBER(BH226),IFERROR(-BH226/BH140,""),"")</f>
        <v>1.25531914893617</v>
      </c>
      <c r="BI250" s="286">
        <f>IF(ISNUMBER(BI226),IFERROR(-BI226/BI140,""),"")</f>
        <v>1.23481781376518</v>
      </c>
      <c r="BJ250" s="286">
        <f>IF(ISNUMBER(BJ226),IFERROR(-BJ226/BJ140,""),"")</f>
        <v>1.12301166489926</v>
      </c>
      <c r="BK250" s="286">
        <f>IF(ISNUMBER(BK226),IFERROR(-BK226/BK140,""),"")</f>
        <v>1.08097165991903</v>
      </c>
      <c r="BL250" s="286">
        <f>IF(ISNUMBER(BL226),IFERROR(-BL226/BL140,""),"")</f>
        <v>1.1285140562249</v>
      </c>
      <c r="BM250" s="286">
        <f>IF(ISNUMBER(BM226),IFERROR(-BM226/BM140,""),"")</f>
        <v>1.51515151515152</v>
      </c>
      <c r="BN250" s="286">
        <f>IF(ISNUMBER(BN226),IFERROR(-BN226/BN140,""),"")</f>
        <v>1.12773722627737</v>
      </c>
      <c r="BO250" s="286">
        <f>IF(ISNUMBER(BO226),IFERROR(-BO226/BO140,""),"")</f>
        <v>1.21566731141199</v>
      </c>
      <c r="BP250" s="286">
        <f>IF(ISNUMBER(BP226),IFERROR(-BP226/BP140,""),"")</f>
        <v>1.22340425531915</v>
      </c>
      <c r="BQ250" s="286">
        <f>IF(ISNUMBER(BQ226),IFERROR(-BQ226/BQ140,""),"")</f>
        <v>1.07213114754098</v>
      </c>
      <c r="BR250" s="286">
        <f>IF(ISNUMBER(BR226),IFERROR(-BR226/BR140,""),"")</f>
        <v>1.32807570977918</v>
      </c>
      <c r="BS250" s="286">
        <f>IF(ISNUMBER(BS226),IFERROR(-BS226/BS140,""),"")</f>
        <v>1.23101265822785</v>
      </c>
      <c r="BT250" s="286">
        <f>IF(ISNUMBER(BT226),IFERROR(-BT226/BT140,""),"")</f>
        <v>1.21475409836066</v>
      </c>
      <c r="BU250" s="286">
        <f>IF(ISNUMBER(BU226),IFERROR(-BU226/BU140,""),"")</f>
        <v>1.15950920245399</v>
      </c>
      <c r="BV250" s="286">
        <f>IF(ISNUMBER(BV226),IFERROR(-BV226/BV140,""),"")</f>
        <v>1.15015015015015</v>
      </c>
      <c r="BW250" s="286">
        <f>IF(ISNUMBER(BW226),IFERROR(-BW226/BW140,""),"")</f>
        <v>1.13623978201635</v>
      </c>
      <c r="BX250" s="35" t="n"/>
      <c r="BY250" s="287">
        <f>IF(ISNUMBER(BY226),IFERROR(-BY226/BY140,""),"")</f>
        <v>1.12977354058818</v>
      </c>
      <c r="BZ250" s="287">
        <f>IF(ISNUMBER(BZ226),IFERROR(-BZ226/BZ140,""),"")</f>
        <v>1.2112985841921</v>
      </c>
      <c r="CA250" s="287">
        <f>IF(ISNUMBER(CA226),IFERROR(-CA226/CA140,""),"")</f>
        <v>1.20676317798142</v>
      </c>
      <c r="CB250" s="287">
        <f>IF(ISNUMBER(CB226),IFERROR(-CB226/CB140,""),"")</f>
        <v>1.20163544853912</v>
      </c>
      <c r="CC250" s="287">
        <f>IF(ISNUMBER(CC226),IFERROR(-CC226/CC140,""),"")</f>
        <v>1.21820345461656</v>
      </c>
      <c r="CD250" s="287">
        <f>IF(ISNUMBER(CD226),IFERROR(-CD226/CD140,""),"")</f>
        <v>1.23410378350071</v>
      </c>
      <c r="CE250" s="19" t="n"/>
    </row>
    <row r="251" ht="15" customHeight="1" s="251">
      <c r="CM251" s="11" t="n"/>
      <c r="CN251" s="12" t="n"/>
      <c r="CO251" s="12" t="n"/>
      <c r="CP251" s="12" t="n"/>
      <c r="CQ251" s="13" t="n"/>
    </row>
    <row r="252" ht="15" customHeight="1" s="251">
      <c r="B252" s="10" t="inlineStr">
        <is>
          <t>SHARE BUYBACK SCHEDULE (as-converted class A shares)</t>
        </is>
      </c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inlineStr">
        <is>
          <t>SHARES — 2026E = Q4 from the 30-Jun-2026 as-converted share proxy; 2027E+ buybacks via the leverage plug</t>
        </is>
      </c>
    </row>
    <row r="253" ht="15" customHeight="1" s="251">
      <c r="B253" s="25" t="inlineStr">
        <is>
          <t xml:space="preserve">  Avg buyback price ($)</t>
        </is>
      </c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  <c r="AA253" s="34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34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34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5" t="n"/>
      <c r="BY253" s="262">
        <f>BY375</f>
        <v>389</v>
      </c>
      <c r="BZ253" s="262">
        <f>BY253*(1+BZ319)</f>
        <v>420.12</v>
      </c>
      <c r="CA253" s="262">
        <f>BZ253*(1+CA319)</f>
        <v>453.7296</v>
      </c>
      <c r="CB253" s="262">
        <f>CA253*(1+CB319)</f>
        <v>490.027968</v>
      </c>
      <c r="CC253" s="262">
        <f>CB253*(1+CC319)</f>
        <v>529.23020544</v>
      </c>
      <c r="CD253" s="262">
        <f>CC253*(1+CD319)</f>
        <v>571.5686218752</v>
      </c>
      <c r="CE253" s="19" t="n"/>
    </row>
    <row r="254" ht="15" customHeight="1" s="251">
      <c r="B254" s="25" t="inlineStr">
        <is>
          <t xml:space="preserve">  Buyback cash deployed (USDm; 2026E = Q4)</t>
        </is>
      </c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  <c r="AA254" s="34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34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34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5" t="n"/>
      <c r="BY254" s="254">
        <f>CHOOSE(MATCH($CE$2,{"Bull","Base","Bear"},0),$CN$14,$CO$14,$CP$14)</f>
        <v>5000</v>
      </c>
      <c r="BZ254" s="254">
        <f>-BZ230</f>
        <v>25650.1265328471</v>
      </c>
      <c r="CA254" s="254">
        <f>-CA230</f>
        <v>25814.7566477729</v>
      </c>
      <c r="CB254" s="254">
        <f>-CB230</f>
        <v>28695.9982193104</v>
      </c>
      <c r="CC254" s="254">
        <f>-CC230</f>
        <v>31360.3814812529</v>
      </c>
      <c r="CD254" s="254">
        <f>-CD230</f>
        <v>34447.8354389217</v>
      </c>
      <c r="CE254" s="19" t="n"/>
    </row>
    <row r="255" ht="15" customHeight="1" s="251">
      <c r="B255" s="25" t="inlineStr">
        <is>
          <t xml:space="preserve">  Implied shares repurchased (m)</t>
        </is>
      </c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  <c r="AA255" s="34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34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34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5" t="n"/>
      <c r="BY255" s="262">
        <f>IFERROR(BY254/BY253,0)</f>
        <v>12.853470437018</v>
      </c>
      <c r="BZ255" s="262">
        <f>IFERROR(BZ254/BZ253,0)</f>
        <v>61.0542857584668</v>
      </c>
      <c r="CA255" s="262">
        <f>IFERROR(CA254/CA253,0)</f>
        <v>56.8945835752679</v>
      </c>
      <c r="CB255" s="262">
        <f>IFERROR(CB254/CB253,0)</f>
        <v>58.5599192152853</v>
      </c>
      <c r="CC255" s="262">
        <f>IFERROR(CC254/CC253,0)</f>
        <v>59.2565979018148</v>
      </c>
      <c r="CD255" s="262">
        <f>IFERROR(CD254/CD253,0)</f>
        <v>60.2689408069767</v>
      </c>
      <c r="CE255" s="19" t="n"/>
    </row>
    <row r="256" ht="15" customHeight="1" s="251">
      <c r="B256" s="25" t="inlineStr">
        <is>
          <t xml:space="preserve">  Shares issued under equity plans, net (m)</t>
        </is>
      </c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  <c r="AV256" s="36" t="n"/>
      <c r="AW256" s="36" t="n"/>
      <c r="AX256" s="36" t="n"/>
      <c r="AY256" s="36" t="n"/>
      <c r="AZ256" s="36" t="n"/>
      <c r="BA256" s="36" t="n"/>
      <c r="BB256" s="36" t="n"/>
      <c r="BC256" s="36" t="n"/>
      <c r="BD256" s="36" t="n"/>
      <c r="BE256" s="36" t="n"/>
      <c r="BF256" s="36" t="n"/>
      <c r="BG256" s="36" t="n"/>
      <c r="BH256" s="36" t="n"/>
      <c r="BI256" s="36" t="n"/>
      <c r="BJ256" s="36" t="n"/>
      <c r="BK256" s="36" t="n"/>
      <c r="BL256" s="36" t="n"/>
      <c r="BM256" s="36" t="n"/>
      <c r="BN256" s="36" t="n"/>
      <c r="BO256" s="36" t="n"/>
      <c r="BP256" s="36" t="n"/>
      <c r="BQ256" s="36" t="n"/>
      <c r="BR256" s="36" t="n"/>
      <c r="BS256" s="36" t="n"/>
      <c r="BT256" s="36" t="n"/>
      <c r="BU256" s="36" t="n"/>
      <c r="BV256" s="36" t="n"/>
      <c r="BW256" s="36" t="n"/>
      <c r="BX256" s="24" t="n"/>
      <c r="BY256" s="288" t="n">
        <v>1</v>
      </c>
      <c r="BZ256" s="288" t="n">
        <v>4</v>
      </c>
      <c r="CA256" s="288" t="n">
        <v>4</v>
      </c>
      <c r="CB256" s="288" t="n">
        <v>4</v>
      </c>
      <c r="CC256" s="288" t="n">
        <v>4</v>
      </c>
      <c r="CD256" s="288" t="n">
        <v>4</v>
      </c>
      <c r="CE256" s="19" t="inlineStr">
        <is>
          <t>Assumption: ~1m shares in Q4/26E, ~4m a year after (equity plans).</t>
        </is>
      </c>
    </row>
    <row r="257" ht="15" customHeight="1" s="251">
      <c r="B257" s="25" t="inlineStr">
        <is>
          <t xml:space="preserve">  Beginning as-converted shares (m)</t>
        </is>
      </c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  <c r="AA257" s="34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34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34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5" t="n"/>
      <c r="BY257" s="289" t="n">
        <v>1890.75</v>
      </c>
      <c r="BZ257" s="278">
        <f>BY258</f>
        <v>1878.89652956298</v>
      </c>
      <c r="CA257" s="278">
        <f>BZ258</f>
        <v>1821.84224380452</v>
      </c>
      <c r="CB257" s="278">
        <f>CA258</f>
        <v>1768.94766022925</v>
      </c>
      <c r="CC257" s="278">
        <f>CB258</f>
        <v>1714.38774101396</v>
      </c>
      <c r="CD257" s="278">
        <f>CC258</f>
        <v>1659.13114311215</v>
      </c>
      <c r="CE257" s="19" t="inlineStr">
        <is>
          <t>Proxy for as-converted class A shares at 30-Jun-2026: Q3 FY26 weighted diluted class A shares (1,898m, as-converted incl. class B / C common and series A / B / C preferred) less half of the 14.5m shares repurchased in the quarter. Visa reports no single as-converted period-end count in the release (ONON precedent: weighted count as period-end proxy).</t>
        </is>
      </c>
    </row>
    <row r="258" ht="15" customHeight="1" s="251">
      <c r="B258" s="25" t="inlineStr">
        <is>
          <t xml:space="preserve">  Ending as-converted shares (m)</t>
        </is>
      </c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  <c r="AA258" s="34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34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34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5" t="n"/>
      <c r="BY258" s="278">
        <f>BY257-BY255+BY256</f>
        <v>1878.89652956298</v>
      </c>
      <c r="BZ258" s="278">
        <f>BZ257-BZ255+BZ256</f>
        <v>1821.84224380452</v>
      </c>
      <c r="CA258" s="278">
        <f>CA257-CA255+CA256</f>
        <v>1768.94766022925</v>
      </c>
      <c r="CB258" s="278">
        <f>CB257-CB255+CB256</f>
        <v>1714.38774101396</v>
      </c>
      <c r="CC258" s="278">
        <f>CC257-CC255+CC256</f>
        <v>1659.13114311215</v>
      </c>
      <c r="CD258" s="278">
        <f>CD257-CD255+CD256</f>
        <v>1602.86220230517</v>
      </c>
      <c r="CE258" s="19" t="n"/>
    </row>
    <row r="259" ht="15" customHeight="1" s="251">
      <c r="B259" s="25" t="inlineStr">
        <is>
          <t xml:space="preserve">  % of shares repurchased</t>
        </is>
      </c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  <c r="AV259" s="36" t="n"/>
      <c r="AW259" s="36" t="n"/>
      <c r="AX259" s="36" t="n"/>
      <c r="AY259" s="36" t="n"/>
      <c r="AZ259" s="36" t="n"/>
      <c r="BA259" s="36" t="n"/>
      <c r="BB259" s="36" t="n"/>
      <c r="BC259" s="36" t="n"/>
      <c r="BD259" s="36" t="n"/>
      <c r="BE259" s="36" t="n"/>
      <c r="BF259" s="36" t="n"/>
      <c r="BG259" s="36" t="n"/>
      <c r="BH259" s="36" t="n"/>
      <c r="BI259" s="36" t="n"/>
      <c r="BJ259" s="36" t="n"/>
      <c r="BK259" s="36" t="n"/>
      <c r="BL259" s="36" t="n"/>
      <c r="BM259" s="36" t="n"/>
      <c r="BN259" s="36" t="n"/>
      <c r="BO259" s="36" t="n"/>
      <c r="BP259" s="36" t="n"/>
      <c r="BQ259" s="36" t="n"/>
      <c r="BR259" s="36" t="n"/>
      <c r="BS259" s="36" t="n"/>
      <c r="BT259" s="36" t="n"/>
      <c r="BU259" s="36" t="n"/>
      <c r="BV259" s="36" t="n"/>
      <c r="BW259" s="36" t="n"/>
      <c r="BX259" s="24" t="n"/>
      <c r="BY259" s="256">
        <f>IF(AND(ISNUMBER(BY255),ISNUMBER(BY257)),IFERROR(BY255/BY257,""),"")</f>
        <v>0.00679808035806849</v>
      </c>
      <c r="BZ259" s="256">
        <f>IF(AND(ISNUMBER(BZ255),ISNUMBER(BZ257)),IFERROR(BZ255/BZ257,""),"")</f>
        <v>0.0324947567882663</v>
      </c>
      <c r="CA259" s="256">
        <f>IF(AND(ISNUMBER(CA255),ISNUMBER(CA257)),IFERROR(CA255/CA257,""),"")</f>
        <v>0.0312291493781899</v>
      </c>
      <c r="CB259" s="256">
        <f>IF(AND(ISNUMBER(CB255),ISNUMBER(CB257)),IFERROR(CB255/CB257,""),"")</f>
        <v>0.0331043820752142</v>
      </c>
      <c r="CC259" s="256">
        <f>IF(AND(ISNUMBER(CC255),ISNUMBER(CC257)),IFERROR(CC255/CC257,""),"")</f>
        <v>0.0345642916617963</v>
      </c>
      <c r="CD259" s="256">
        <f>IF(AND(ISNUMBER(CD255),ISNUMBER(CD257)),IFERROR(CD255/CD257,""),"")</f>
        <v>0.0363256039507076</v>
      </c>
      <c r="CE259" s="153" t="n"/>
    </row>
    <row r="260" ht="15" customHeight="1" s="251">
      <c r="B260" s="156" t="inlineStr">
        <is>
          <t xml:space="preserve">  Memo: cumulative shares repurchased since Q4/26 (m)</t>
        </is>
      </c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  <c r="AA260" s="34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34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34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153" t="n"/>
      <c r="BY260" s="290">
        <f>BY255</f>
        <v>12.853470437018</v>
      </c>
      <c r="BZ260" s="290">
        <f>BY260+BZ255</f>
        <v>73.9077561954848</v>
      </c>
      <c r="CA260" s="290">
        <f>BZ260+CA255</f>
        <v>130.802339770753</v>
      </c>
      <c r="CB260" s="290">
        <f>CA260+CB255</f>
        <v>189.362258986038</v>
      </c>
      <c r="CC260" s="290">
        <f>CB260+CC255</f>
        <v>248.618856887853</v>
      </c>
      <c r="CD260" s="290">
        <f>CC260+CD255</f>
        <v>308.887797694829</v>
      </c>
      <c r="CE260" s="153" t="n"/>
    </row>
    <row r="261" ht="15" customHeight="1" s="251">
      <c r="CM261" s="11" t="n"/>
      <c r="CN261" s="12" t="n"/>
      <c r="CO261" s="12" t="n"/>
      <c r="CP261" s="12" t="n"/>
      <c r="CQ261" s="13" t="n"/>
    </row>
    <row r="262" ht="15" customHeight="1" s="251">
      <c r="B262" s="10" t="inlineStr">
        <is>
          <t>CONSOLIDATED BALANCE SHEET (condensed, as in the releases)</t>
        </is>
      </c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inlineStr">
        <is>
          <t>BS FORECAST — 2026E rolled forward from the 30-Jun-2026 balance sheet + Q4 flows; 2027E+ from prior year end</t>
        </is>
      </c>
    </row>
    <row r="263" ht="15" customHeight="1" s="251">
      <c r="B263" s="25" t="inlineStr">
        <is>
          <t>ASSETS</t>
        </is>
      </c>
      <c r="CE263" s="153" t="n"/>
    </row>
    <row r="264" ht="15" customHeight="1" s="251">
      <c r="B264" s="25" t="inlineStr">
        <is>
          <t xml:space="preserve">  Cash and cash equivalents</t>
        </is>
      </c>
      <c r="C264" s="253" t="n">
        <v>4979</v>
      </c>
      <c r="D264" s="253" t="n">
        <v>4617</v>
      </c>
      <c r="E264" s="253" t="n">
        <v>3867</v>
      </c>
      <c r="F264" s="253" t="n">
        <v>2127</v>
      </c>
      <c r="G264" s="253" t="n">
        <v>2074</v>
      </c>
      <c r="H264" s="253" t="n">
        <v>1334</v>
      </c>
      <c r="I264" s="253" t="n">
        <v>1377</v>
      </c>
      <c r="J264" s="253" t="n">
        <v>1453</v>
      </c>
      <c r="K264" s="253" t="n">
        <v>2186</v>
      </c>
      <c r="L264" s="253" t="n">
        <v>2186</v>
      </c>
      <c r="M264" s="253" t="n">
        <v>2121</v>
      </c>
      <c r="N264" s="253" t="n">
        <v>1820</v>
      </c>
      <c r="O264" s="253" t="n">
        <v>2058</v>
      </c>
      <c r="P264" s="253" t="n">
        <v>1971</v>
      </c>
      <c r="Q264" s="253" t="n">
        <v>1971</v>
      </c>
      <c r="R264" s="253" t="n">
        <v>2085</v>
      </c>
      <c r="S264" s="253" t="n">
        <v>2039</v>
      </c>
      <c r="T264" s="253" t="n">
        <v>2147</v>
      </c>
      <c r="U264" s="253" t="n">
        <v>3518</v>
      </c>
      <c r="V264" s="253" t="n">
        <v>3518</v>
      </c>
      <c r="W264" s="253" t="n">
        <v>12837</v>
      </c>
      <c r="X264" s="253" t="n">
        <v>15943</v>
      </c>
      <c r="Y264" s="253" t="n">
        <v>5887</v>
      </c>
      <c r="Z264" s="253" t="n">
        <v>5619</v>
      </c>
      <c r="AA264" s="253" t="n">
        <v>5619</v>
      </c>
      <c r="AB264" s="253" t="n">
        <v>5824</v>
      </c>
      <c r="AC264" s="253" t="n">
        <v>6427</v>
      </c>
      <c r="AD264" s="253" t="n">
        <v>7437</v>
      </c>
      <c r="AE264" s="253" t="n">
        <v>9874</v>
      </c>
      <c r="AF264" s="253" t="n">
        <v>9874</v>
      </c>
      <c r="AG264" s="253" t="n">
        <v>8138</v>
      </c>
      <c r="AH264" s="253" t="n">
        <v>8142</v>
      </c>
      <c r="AI264" s="253" t="n">
        <v>8505</v>
      </c>
      <c r="AJ264" s="253" t="n">
        <v>8162</v>
      </c>
      <c r="AK264" s="253" t="n">
        <v>8162</v>
      </c>
      <c r="AL264" s="253" t="n">
        <v>8289</v>
      </c>
      <c r="AM264" s="253" t="n">
        <v>7648</v>
      </c>
      <c r="AN264" s="253" t="n">
        <v>7912</v>
      </c>
      <c r="AO264" s="253" t="n">
        <v>7838</v>
      </c>
      <c r="AP264" s="253" t="n">
        <v>7838</v>
      </c>
      <c r="AQ264" s="253" t="n">
        <v>8768</v>
      </c>
      <c r="AR264" s="253" t="n">
        <v>9740</v>
      </c>
      <c r="AS264" s="253" t="n">
        <v>13898</v>
      </c>
      <c r="AT264" s="253" t="n">
        <v>16289</v>
      </c>
      <c r="AU264" s="253" t="n">
        <v>16289</v>
      </c>
      <c r="AV264" s="253" t="n">
        <v>15032</v>
      </c>
      <c r="AW264" s="253" t="n">
        <v>16494</v>
      </c>
      <c r="AX264" s="253" t="n">
        <v>18034</v>
      </c>
      <c r="AY264" s="253" t="n">
        <v>16487</v>
      </c>
      <c r="AZ264" s="253" t="n">
        <v>16487</v>
      </c>
      <c r="BA264" s="253" t="n">
        <v>14720</v>
      </c>
      <c r="BB264" s="253" t="n">
        <v>12299</v>
      </c>
      <c r="BC264" s="253" t="n">
        <v>14047</v>
      </c>
      <c r="BD264" s="253" t="n">
        <v>15689</v>
      </c>
      <c r="BE264" s="253" t="n">
        <v>15689</v>
      </c>
      <c r="BF264" s="253" t="n">
        <v>13334</v>
      </c>
      <c r="BG264" s="253" t="n">
        <v>13842</v>
      </c>
      <c r="BH264" s="253" t="n">
        <v>15590</v>
      </c>
      <c r="BI264" s="253" t="n">
        <v>16286</v>
      </c>
      <c r="BJ264" s="253" t="n">
        <v>16286</v>
      </c>
      <c r="BK264" s="253" t="n">
        <v>13591</v>
      </c>
      <c r="BL264" s="253" t="n">
        <v>12993</v>
      </c>
      <c r="BM264" s="253" t="n">
        <v>12947</v>
      </c>
      <c r="BN264" s="253" t="n">
        <v>11975</v>
      </c>
      <c r="BO264" s="253" t="n">
        <v>11975</v>
      </c>
      <c r="BP264" s="253" t="n">
        <v>12367</v>
      </c>
      <c r="BQ264" s="253" t="n">
        <v>11734</v>
      </c>
      <c r="BR264" s="253" t="n">
        <v>17092</v>
      </c>
      <c r="BS264" s="253" t="n">
        <v>17164</v>
      </c>
      <c r="BT264" s="253" t="n">
        <v>17164</v>
      </c>
      <c r="BU264" s="253" t="n">
        <v>14756</v>
      </c>
      <c r="BV264" s="253" t="n">
        <v>12404</v>
      </c>
      <c r="BW264" s="253" t="n">
        <v>12359</v>
      </c>
      <c r="BX264" s="35" t="n"/>
      <c r="BY264" s="254">
        <f>BY238-BY293</f>
        <v>12191.9854309904</v>
      </c>
      <c r="BZ264" s="254">
        <f>BZ238-BZ293</f>
        <v>12000</v>
      </c>
      <c r="CA264" s="254">
        <f>CA238-CA293</f>
        <v>12000</v>
      </c>
      <c r="CB264" s="254">
        <f>CB238-CB293</f>
        <v>12000</v>
      </c>
      <c r="CC264" s="254">
        <f>CC238-CC293</f>
        <v>12000</v>
      </c>
      <c r="CD264" s="254">
        <f>CD238-CD293</f>
        <v>12000</v>
      </c>
      <c r="CE264" s="19" t="n"/>
    </row>
    <row r="265" ht="15" customHeight="1" s="251">
      <c r="B265" s="25" t="inlineStr">
        <is>
          <t xml:space="preserve">  Restricted cash — U.S. litigation escrow</t>
        </is>
      </c>
      <c r="C265" s="253" t="n">
        <v>1298</v>
      </c>
      <c r="D265" s="253" t="n">
        <v>1365</v>
      </c>
      <c r="E265" s="253" t="n">
        <v>1866</v>
      </c>
      <c r="F265" s="253" t="n">
        <v>2857</v>
      </c>
      <c r="G265" s="253" t="n">
        <v>4432</v>
      </c>
      <c r="H265" s="253" t="n">
        <v>49</v>
      </c>
      <c r="I265" s="253" t="n">
        <v>49</v>
      </c>
      <c r="J265" s="253" t="n">
        <v>49</v>
      </c>
      <c r="K265" s="253" t="n">
        <v>49</v>
      </c>
      <c r="L265" s="253" t="n">
        <v>49</v>
      </c>
      <c r="M265" s="253" t="n">
        <v>49</v>
      </c>
      <c r="N265" s="253" t="n">
        <v>1105</v>
      </c>
      <c r="O265" s="253" t="n">
        <v>1105</v>
      </c>
      <c r="P265" s="253" t="n">
        <v>1498</v>
      </c>
      <c r="Q265" s="253" t="n">
        <v>1498</v>
      </c>
      <c r="R265" s="253" t="n">
        <v>1398</v>
      </c>
      <c r="S265" s="253" t="n">
        <v>1178</v>
      </c>
      <c r="T265" s="253" t="n">
        <v>1143</v>
      </c>
      <c r="U265" s="253" t="n">
        <v>1072</v>
      </c>
      <c r="V265" s="253" t="n">
        <v>1072</v>
      </c>
      <c r="W265" s="253" t="n">
        <v>1061</v>
      </c>
      <c r="X265" s="253" t="n">
        <v>1061</v>
      </c>
      <c r="Y265" s="253" t="n">
        <v>1027</v>
      </c>
      <c r="Z265" s="253" t="n">
        <v>1027</v>
      </c>
      <c r="AA265" s="253" t="n">
        <v>1027</v>
      </c>
      <c r="AB265" s="253" t="n">
        <v>0</v>
      </c>
      <c r="AC265" s="253" t="n">
        <v>0</v>
      </c>
      <c r="AD265" s="253" t="n">
        <v>0</v>
      </c>
      <c r="AE265" s="253" t="n">
        <v>1031</v>
      </c>
      <c r="AF265" s="253" t="n">
        <v>1031</v>
      </c>
      <c r="AG265" s="253" t="n">
        <v>0</v>
      </c>
      <c r="AH265" s="253" t="n">
        <v>0</v>
      </c>
      <c r="AI265" s="253" t="n">
        <v>0</v>
      </c>
      <c r="AJ265" s="253" t="n">
        <v>1491</v>
      </c>
      <c r="AK265" s="253" t="n">
        <v>1491</v>
      </c>
      <c r="AL265" s="253" t="n">
        <v>0</v>
      </c>
      <c r="AM265" s="253" t="n">
        <v>0</v>
      </c>
      <c r="AN265" s="253" t="n">
        <v>0</v>
      </c>
      <c r="AO265" s="253" t="n">
        <v>1205</v>
      </c>
      <c r="AP265" s="253" t="n">
        <v>1205</v>
      </c>
      <c r="AQ265" s="253" t="n">
        <v>0</v>
      </c>
      <c r="AR265" s="253" t="n">
        <v>1264</v>
      </c>
      <c r="AS265" s="253" t="n">
        <v>1148</v>
      </c>
      <c r="AT265" s="253" t="n">
        <v>901</v>
      </c>
      <c r="AU265" s="253" t="n">
        <v>901</v>
      </c>
      <c r="AV265" s="253" t="n">
        <v>894</v>
      </c>
      <c r="AW265" s="253" t="n">
        <v>894</v>
      </c>
      <c r="AX265" s="253" t="n">
        <v>894</v>
      </c>
      <c r="AY265" s="253" t="n">
        <v>894</v>
      </c>
      <c r="AZ265" s="253" t="n">
        <v>894</v>
      </c>
      <c r="BA265" s="253" t="n">
        <v>1144</v>
      </c>
      <c r="BB265" s="253" t="n">
        <v>882</v>
      </c>
      <c r="BC265" s="253" t="n">
        <v>1483</v>
      </c>
      <c r="BD265" s="253" t="n">
        <v>1449</v>
      </c>
      <c r="BE265" s="253" t="n">
        <v>1449</v>
      </c>
      <c r="BF265" s="253" t="n">
        <v>1705</v>
      </c>
      <c r="BG265" s="253" t="n">
        <v>1616</v>
      </c>
      <c r="BH265" s="253" t="n">
        <v>1627</v>
      </c>
      <c r="BI265" s="253" t="n">
        <v>1764</v>
      </c>
      <c r="BJ265" s="253" t="n">
        <v>1764</v>
      </c>
      <c r="BK265" s="253" t="n">
        <v>1616</v>
      </c>
      <c r="BL265" s="253" t="n">
        <v>1584</v>
      </c>
      <c r="BM265" s="253" t="n">
        <v>1596</v>
      </c>
      <c r="BN265" s="253" t="n">
        <v>3089</v>
      </c>
      <c r="BO265" s="253" t="n">
        <v>3089</v>
      </c>
      <c r="BP265" s="253" t="n">
        <v>3112</v>
      </c>
      <c r="BQ265" s="253" t="n">
        <v>2926</v>
      </c>
      <c r="BR265" s="253" t="n">
        <v>2696</v>
      </c>
      <c r="BS265" s="253" t="n">
        <v>2990</v>
      </c>
      <c r="BT265" s="253" t="n">
        <v>2990</v>
      </c>
      <c r="BU265" s="253" t="n">
        <v>3300</v>
      </c>
      <c r="BV265" s="253" t="n">
        <v>665</v>
      </c>
      <c r="BW265" s="253" t="n">
        <v>888</v>
      </c>
      <c r="BX265" s="35" t="n"/>
      <c r="BY265" s="254">
        <f>BW265</f>
        <v>888</v>
      </c>
      <c r="BZ265" s="254">
        <f>BY265</f>
        <v>888</v>
      </c>
      <c r="CA265" s="254">
        <f>BZ265</f>
        <v>888</v>
      </c>
      <c r="CB265" s="254">
        <f>CA265</f>
        <v>888</v>
      </c>
      <c r="CC265" s="254">
        <f>CB265</f>
        <v>888</v>
      </c>
      <c r="CD265" s="254">
        <f>CC265</f>
        <v>888</v>
      </c>
      <c r="CE265" s="19" t="n"/>
    </row>
    <row r="266" ht="15" customHeight="1" s="251">
      <c r="B266" s="25" t="inlineStr">
        <is>
          <t xml:space="preserve">  Investment securities (current and non-current)</t>
        </is>
      </c>
      <c r="C266" s="253" t="n">
        <v>599</v>
      </c>
      <c r="D266" s="253" t="n">
        <v>283</v>
      </c>
      <c r="E266" s="253" t="n">
        <v>208</v>
      </c>
      <c r="F266" s="253" t="n">
        <v>1982</v>
      </c>
      <c r="G266" s="253" t="n">
        <v>4026</v>
      </c>
      <c r="H266" s="253" t="n">
        <v>4852</v>
      </c>
      <c r="I266" s="253" t="n">
        <v>4316</v>
      </c>
      <c r="J266" s="253" t="n">
        <v>5084</v>
      </c>
      <c r="K266" s="253" t="n">
        <v>4829</v>
      </c>
      <c r="L266" s="253" t="n">
        <v>4829</v>
      </c>
      <c r="M266" s="253" t="n">
        <v>5009</v>
      </c>
      <c r="N266" s="253" t="n">
        <v>4740</v>
      </c>
      <c r="O266" s="253" t="n">
        <v>4804</v>
      </c>
      <c r="P266" s="253" t="n">
        <v>4994</v>
      </c>
      <c r="Q266" s="253" t="n">
        <v>4994</v>
      </c>
      <c r="R266" s="253" t="n">
        <v>5523</v>
      </c>
      <c r="S266" s="253" t="n">
        <v>5346</v>
      </c>
      <c r="T266" s="253" t="n">
        <v>5875</v>
      </c>
      <c r="U266" s="253" t="n">
        <v>5881</v>
      </c>
      <c r="V266" s="253" t="n">
        <v>5881</v>
      </c>
      <c r="W266" s="253" t="n">
        <v>11995</v>
      </c>
      <c r="X266" s="253" t="n">
        <v>7531</v>
      </c>
      <c r="Y266" s="253" t="n">
        <v>6627</v>
      </c>
      <c r="Z266" s="253" t="n">
        <v>7250</v>
      </c>
      <c r="AA266" s="253" t="n">
        <v>7250</v>
      </c>
      <c r="AB266" s="253" t="n">
        <v>7499</v>
      </c>
      <c r="AC266" s="253" t="n">
        <v>4377</v>
      </c>
      <c r="AD266" s="253" t="n">
        <v>4871</v>
      </c>
      <c r="AE266" s="253" t="n">
        <v>5490</v>
      </c>
      <c r="AF266" s="253" t="n">
        <v>5490</v>
      </c>
      <c r="AG266" s="253" t="n">
        <v>6087</v>
      </c>
      <c r="AH266" s="253" t="n">
        <v>6179</v>
      </c>
      <c r="AI266" s="253" t="n">
        <v>6231</v>
      </c>
      <c r="AJ266" s="253" t="n">
        <v>7629</v>
      </c>
      <c r="AK266" s="253" t="n">
        <v>7629</v>
      </c>
      <c r="AL266" s="253" t="n">
        <v>7593</v>
      </c>
      <c r="AM266" s="253" t="n">
        <v>7382</v>
      </c>
      <c r="AN266" s="253" t="n">
        <v>6183</v>
      </c>
      <c r="AO266" s="253" t="n">
        <v>6393</v>
      </c>
      <c r="AP266" s="253" t="n">
        <v>6393</v>
      </c>
      <c r="AQ266" s="253" t="n">
        <v>5621</v>
      </c>
      <c r="AR266" s="253" t="n">
        <v>3475</v>
      </c>
      <c r="AS266" s="253" t="n">
        <v>3286</v>
      </c>
      <c r="AT266" s="253" t="n">
        <v>3983</v>
      </c>
      <c r="AU266" s="253" t="n">
        <v>3983</v>
      </c>
      <c r="AV266" s="253" t="n">
        <v>3170</v>
      </c>
      <c r="AW266" s="253" t="n">
        <v>2168</v>
      </c>
      <c r="AX266" s="253" t="n">
        <v>2317</v>
      </c>
      <c r="AY266" s="253" t="n">
        <v>3730</v>
      </c>
      <c r="AZ266" s="253" t="n">
        <v>3730</v>
      </c>
      <c r="BA266" s="253" t="n">
        <v>3288</v>
      </c>
      <c r="BB266" s="253" t="n">
        <v>3526</v>
      </c>
      <c r="BC266" s="253" t="n">
        <v>5549</v>
      </c>
      <c r="BD266" s="253" t="n">
        <v>4969</v>
      </c>
      <c r="BE266" s="253" t="n">
        <v>4969</v>
      </c>
      <c r="BF266" s="253" t="n">
        <v>5520</v>
      </c>
      <c r="BG266" s="253" t="n">
        <v>5592</v>
      </c>
      <c r="BH266" s="253" t="n">
        <v>5288</v>
      </c>
      <c r="BI266" s="253" t="n">
        <v>5763</v>
      </c>
      <c r="BJ266" s="253" t="n">
        <v>5763</v>
      </c>
      <c r="BK266" s="253" t="n">
        <v>7814</v>
      </c>
      <c r="BL266" s="253" t="n">
        <v>7802</v>
      </c>
      <c r="BM266" s="253" t="n">
        <v>6734</v>
      </c>
      <c r="BN266" s="253" t="n">
        <v>5745</v>
      </c>
      <c r="BO266" s="253" t="n">
        <v>5745</v>
      </c>
      <c r="BP266" s="253" t="n">
        <v>3724</v>
      </c>
      <c r="BQ266" s="253" t="n">
        <v>3487</v>
      </c>
      <c r="BR266" s="253" t="n">
        <v>3291</v>
      </c>
      <c r="BS266" s="253" t="n">
        <v>2832</v>
      </c>
      <c r="BT266" s="253" t="n">
        <v>2832</v>
      </c>
      <c r="BU266" s="253" t="n">
        <v>2125</v>
      </c>
      <c r="BV266" s="253" t="n">
        <v>1817</v>
      </c>
      <c r="BW266" s="253" t="n">
        <v>1583</v>
      </c>
      <c r="BX266" s="35" t="n"/>
      <c r="BY266" s="254">
        <f>BW266</f>
        <v>1583</v>
      </c>
      <c r="BZ266" s="254">
        <f>BY266</f>
        <v>1583</v>
      </c>
      <c r="CA266" s="254">
        <f>BZ266</f>
        <v>1583</v>
      </c>
      <c r="CB266" s="254">
        <f>CA266</f>
        <v>1583</v>
      </c>
      <c r="CC266" s="254">
        <f>CB266</f>
        <v>1583</v>
      </c>
      <c r="CD266" s="254">
        <f>CC266</f>
        <v>1583</v>
      </c>
      <c r="CE266" s="19" t="inlineStr">
        <is>
          <t>Held at the 30-Jun-2026 level (assumption).</t>
        </is>
      </c>
    </row>
    <row r="267" ht="15" customHeight="1" s="251">
      <c r="B267" s="25" t="inlineStr">
        <is>
          <t xml:space="preserve">  Settlement receivable</t>
        </is>
      </c>
      <c r="C267" s="253" t="n">
        <v>1131</v>
      </c>
      <c r="D267" s="253" t="n">
        <v>605</v>
      </c>
      <c r="E267" s="253" t="n">
        <v>402</v>
      </c>
      <c r="F267" s="253" t="n">
        <v>412</v>
      </c>
      <c r="G267" s="253" t="n">
        <v>454</v>
      </c>
      <c r="H267" s="253" t="n">
        <v>859</v>
      </c>
      <c r="I267" s="253" t="n">
        <v>488</v>
      </c>
      <c r="J267" s="253" t="n">
        <v>459</v>
      </c>
      <c r="K267" s="253" t="n">
        <v>799</v>
      </c>
      <c r="L267" s="253" t="n">
        <v>799</v>
      </c>
      <c r="M267" s="253" t="n">
        <v>888</v>
      </c>
      <c r="N267" s="253" t="n">
        <v>752</v>
      </c>
      <c r="O267" s="253" t="n">
        <v>775</v>
      </c>
      <c r="P267" s="253" t="n">
        <v>786</v>
      </c>
      <c r="Q267" s="253" t="n">
        <v>786</v>
      </c>
      <c r="R267" s="253" t="n">
        <v>500</v>
      </c>
      <c r="S267" s="253" t="n">
        <v>679</v>
      </c>
      <c r="T267" s="253" t="n">
        <v>704</v>
      </c>
      <c r="U267" s="253" t="n">
        <v>408</v>
      </c>
      <c r="V267" s="253" t="n">
        <v>408</v>
      </c>
      <c r="W267" s="253" t="n">
        <v>443</v>
      </c>
      <c r="X267" s="253" t="n">
        <v>414</v>
      </c>
      <c r="Y267" s="253" t="n">
        <v>1499</v>
      </c>
      <c r="Z267" s="253" t="n">
        <v>1467</v>
      </c>
      <c r="AA267" s="253" t="n">
        <v>1467</v>
      </c>
      <c r="AB267" s="253" t="n">
        <v>1333</v>
      </c>
      <c r="AC267" s="253" t="n">
        <v>3350</v>
      </c>
      <c r="AD267" s="253" t="n">
        <v>1419</v>
      </c>
      <c r="AE267" s="253" t="n">
        <v>1422</v>
      </c>
      <c r="AF267" s="253" t="n">
        <v>1422</v>
      </c>
      <c r="AG267" s="253" t="n">
        <v>1618</v>
      </c>
      <c r="AH267" s="253" t="n">
        <v>2501</v>
      </c>
      <c r="AI267" s="253" t="n">
        <v>1615</v>
      </c>
      <c r="AJ267" s="253" t="n">
        <v>1582</v>
      </c>
      <c r="AK267" s="253" t="n">
        <v>1582</v>
      </c>
      <c r="AL267" s="253" t="n">
        <v>3123</v>
      </c>
      <c r="AM267" s="253" t="n">
        <v>1574</v>
      </c>
      <c r="AN267" s="253" t="n">
        <v>1689</v>
      </c>
      <c r="AO267" s="253" t="n">
        <v>3048</v>
      </c>
      <c r="AP267" s="253" t="n">
        <v>3048</v>
      </c>
      <c r="AQ267" s="253" t="n">
        <v>3273</v>
      </c>
      <c r="AR267" s="253" t="n">
        <v>1432</v>
      </c>
      <c r="AS267" s="253" t="n">
        <v>2111</v>
      </c>
      <c r="AT267" s="253" t="n">
        <v>1264</v>
      </c>
      <c r="AU267" s="253" t="n">
        <v>1264</v>
      </c>
      <c r="AV267" s="253" t="n">
        <v>1596</v>
      </c>
      <c r="AW267" s="253" t="n">
        <v>1434</v>
      </c>
      <c r="AX267" s="253" t="n">
        <v>1663</v>
      </c>
      <c r="AY267" s="253" t="n">
        <v>1758</v>
      </c>
      <c r="AZ267" s="253" t="n">
        <v>1758</v>
      </c>
      <c r="BA267" s="253" t="n">
        <v>1788</v>
      </c>
      <c r="BB267" s="253" t="n">
        <v>1632</v>
      </c>
      <c r="BC267" s="253" t="n">
        <v>1860</v>
      </c>
      <c r="BD267" s="253" t="n">
        <v>1932</v>
      </c>
      <c r="BE267" s="253" t="n">
        <v>1932</v>
      </c>
      <c r="BF267" s="253" t="n">
        <v>2127</v>
      </c>
      <c r="BG267" s="253" t="n">
        <v>1942</v>
      </c>
      <c r="BH267" s="253" t="n">
        <v>2454</v>
      </c>
      <c r="BI267" s="253" t="n">
        <v>2183</v>
      </c>
      <c r="BJ267" s="253" t="n">
        <v>2183</v>
      </c>
      <c r="BK267" s="253" t="n">
        <v>2525</v>
      </c>
      <c r="BL267" s="253" t="n">
        <v>3558</v>
      </c>
      <c r="BM267" s="253" t="n">
        <v>2128</v>
      </c>
      <c r="BN267" s="253" t="n">
        <v>4454</v>
      </c>
      <c r="BO267" s="253" t="n">
        <v>4454</v>
      </c>
      <c r="BP267" s="253" t="n">
        <v>3683</v>
      </c>
      <c r="BQ267" s="253" t="n">
        <v>4244</v>
      </c>
      <c r="BR267" s="253" t="n">
        <v>4778</v>
      </c>
      <c r="BS267" s="253" t="n">
        <v>4191</v>
      </c>
      <c r="BT267" s="253" t="n">
        <v>4191</v>
      </c>
      <c r="BU267" s="253" t="n">
        <v>3212</v>
      </c>
      <c r="BV267" s="253" t="n">
        <v>2136</v>
      </c>
      <c r="BW267" s="253" t="n">
        <v>2400</v>
      </c>
      <c r="BX267" s="35" t="n"/>
      <c r="BY267" s="254">
        <f>BY297*BY298</f>
        <v>4817.6226</v>
      </c>
      <c r="BZ267" s="254">
        <f>BZ297*BZ298</f>
        <v>5324.44250067762</v>
      </c>
      <c r="CA267" s="254">
        <f>CA297*CA298</f>
        <v>5903.9193211817</v>
      </c>
      <c r="CB267" s="254">
        <f>CB297*CB298</f>
        <v>6502.64492125925</v>
      </c>
      <c r="CC267" s="254">
        <f>CC297*CC298</f>
        <v>7115.71855387955</v>
      </c>
      <c r="CD267" s="254">
        <f>CD297*CD298</f>
        <v>7764.02615077718</v>
      </c>
      <c r="CE267" s="19" t="n"/>
    </row>
    <row r="268" ht="15" customHeight="1" s="251">
      <c r="B268" s="25" t="inlineStr">
        <is>
          <t xml:space="preserve">  Customer collateral (asset; equal liability)</t>
        </is>
      </c>
      <c r="C268" s="253" t="n">
        <v>679</v>
      </c>
      <c r="D268" s="253" t="n">
        <v>812</v>
      </c>
      <c r="E268" s="253" t="n">
        <v>899</v>
      </c>
      <c r="F268" s="253" t="n">
        <v>931</v>
      </c>
      <c r="G268" s="253" t="n">
        <v>823</v>
      </c>
      <c r="H268" s="253" t="n">
        <v>819</v>
      </c>
      <c r="I268" s="253" t="n">
        <v>846</v>
      </c>
      <c r="J268" s="253" t="n">
        <v>817</v>
      </c>
      <c r="K268" s="253" t="n">
        <v>866</v>
      </c>
      <c r="L268" s="253" t="n">
        <v>866</v>
      </c>
      <c r="M268" s="253" t="n">
        <v>886</v>
      </c>
      <c r="N268" s="253" t="n">
        <v>923</v>
      </c>
      <c r="O268" s="253" t="n">
        <v>936</v>
      </c>
      <c r="P268" s="253" t="n">
        <v>961</v>
      </c>
      <c r="Q268" s="253" t="n">
        <v>961</v>
      </c>
      <c r="R268" s="253" t="n">
        <v>1041</v>
      </c>
      <c r="S268" s="253" t="n">
        <v>1079</v>
      </c>
      <c r="T268" s="253" t="n">
        <v>1068</v>
      </c>
      <c r="U268" s="253" t="n">
        <v>1023</v>
      </c>
      <c r="V268" s="253" t="n">
        <v>1023</v>
      </c>
      <c r="W268" s="253" t="n">
        <v>1041</v>
      </c>
      <c r="X268" s="253" t="n">
        <v>1050</v>
      </c>
      <c r="Y268" s="253" t="n">
        <v>1032</v>
      </c>
      <c r="Z268" s="253" t="n">
        <v>1001</v>
      </c>
      <c r="AA268" s="253" t="n">
        <v>1001</v>
      </c>
      <c r="AB268" s="253" t="n">
        <v>1006</v>
      </c>
      <c r="AC268" s="253" t="n">
        <v>1043</v>
      </c>
      <c r="AD268" s="253" t="n">
        <v>1075</v>
      </c>
      <c r="AE268" s="253" t="n">
        <v>1106</v>
      </c>
      <c r="AF268" s="253" t="n">
        <v>1106</v>
      </c>
      <c r="AG268" s="253" t="n">
        <v>1155</v>
      </c>
      <c r="AH268" s="253" t="n">
        <v>1250</v>
      </c>
      <c r="AI268" s="253" t="n">
        <v>1346</v>
      </c>
      <c r="AJ268" s="253" t="n">
        <v>1324</v>
      </c>
      <c r="AK268" s="253" t="n">
        <v>1324</v>
      </c>
      <c r="AL268" s="253" t="n">
        <v>1330</v>
      </c>
      <c r="AM268" s="253" t="n">
        <v>1735</v>
      </c>
      <c r="AN268" s="253" t="n">
        <v>1668</v>
      </c>
      <c r="AO268" s="253" t="n">
        <v>1648</v>
      </c>
      <c r="AP268" s="253" t="n">
        <v>1648</v>
      </c>
      <c r="AQ268" s="253" t="n">
        <v>1698</v>
      </c>
      <c r="AR268" s="253" t="n">
        <v>1698</v>
      </c>
      <c r="AS268" s="253" t="n">
        <v>1759</v>
      </c>
      <c r="AT268" s="253" t="n">
        <v>1850</v>
      </c>
      <c r="AU268" s="253" t="n">
        <v>1850</v>
      </c>
      <c r="AV268" s="253" t="n">
        <v>1993</v>
      </c>
      <c r="AW268" s="253" t="n">
        <v>2057</v>
      </c>
      <c r="AX268" s="253" t="n">
        <v>2221</v>
      </c>
      <c r="AY268" s="253" t="n">
        <v>2260</v>
      </c>
      <c r="AZ268" s="253" t="n">
        <v>2260</v>
      </c>
      <c r="BA268" s="253" t="n">
        <v>2284</v>
      </c>
      <c r="BB268" s="253" t="n">
        <v>2309</v>
      </c>
      <c r="BC268" s="253" t="n">
        <v>2261</v>
      </c>
      <c r="BD268" s="253" t="n">
        <v>2342</v>
      </c>
      <c r="BE268" s="253" t="n">
        <v>2342</v>
      </c>
      <c r="BF268" s="253" t="n">
        <v>2591</v>
      </c>
      <c r="BG268" s="253" t="n">
        <v>2739</v>
      </c>
      <c r="BH268" s="253" t="n">
        <v>2907</v>
      </c>
      <c r="BI268" s="253" t="n">
        <v>3005</v>
      </c>
      <c r="BJ268" s="253" t="n">
        <v>3005</v>
      </c>
      <c r="BK268" s="253" t="n">
        <v>3164</v>
      </c>
      <c r="BL268" s="253" t="n">
        <v>3367</v>
      </c>
      <c r="BM268" s="253" t="n">
        <v>3472</v>
      </c>
      <c r="BN268" s="253" t="n">
        <v>3524</v>
      </c>
      <c r="BO268" s="253" t="n">
        <v>3524</v>
      </c>
      <c r="BP268" s="253" t="n">
        <v>3518</v>
      </c>
      <c r="BQ268" s="253" t="n">
        <v>3543</v>
      </c>
      <c r="BR268" s="253" t="n">
        <v>3614</v>
      </c>
      <c r="BS268" s="253" t="n">
        <v>3625</v>
      </c>
      <c r="BT268" s="253" t="n">
        <v>3625</v>
      </c>
      <c r="BU268" s="253" t="n">
        <v>3712</v>
      </c>
      <c r="BV268" s="253" t="n">
        <v>4292</v>
      </c>
      <c r="BW268" s="253" t="n">
        <v>4310</v>
      </c>
      <c r="BX268" s="35" t="n"/>
      <c r="BY268" s="254">
        <f>BW268</f>
        <v>4310</v>
      </c>
      <c r="BZ268" s="254">
        <f>BY268</f>
        <v>4310</v>
      </c>
      <c r="CA268" s="254">
        <f>BZ268</f>
        <v>4310</v>
      </c>
      <c r="CB268" s="254">
        <f>CA268</f>
        <v>4310</v>
      </c>
      <c r="CC268" s="254">
        <f>CB268</f>
        <v>4310</v>
      </c>
      <c r="CD268" s="254">
        <f>CC268</f>
        <v>4310</v>
      </c>
      <c r="CE268" s="19" t="n"/>
    </row>
    <row r="269" ht="15" customHeight="1" s="251">
      <c r="B269" s="25" t="inlineStr">
        <is>
          <t xml:space="preserve">  Accounts receivable, client incentives, prepaid &amp; other current assets (derived)</t>
        </is>
      </c>
      <c r="C269" s="253" t="n">
        <v>2732</v>
      </c>
      <c r="D269" s="253" t="n">
        <v>1727</v>
      </c>
      <c r="E269" s="253" t="n">
        <v>1516</v>
      </c>
      <c r="F269" s="253" t="n">
        <v>1592</v>
      </c>
      <c r="G269" s="253" t="n">
        <v>3260</v>
      </c>
      <c r="H269" s="253" t="n">
        <v>2875</v>
      </c>
      <c r="I269" s="253" t="n">
        <v>2812</v>
      </c>
      <c r="J269" s="253" t="n">
        <v>2268</v>
      </c>
      <c r="K269" s="253" t="n">
        <v>1853</v>
      </c>
      <c r="L269" s="253" t="n">
        <v>1853</v>
      </c>
      <c r="M269" s="253" t="n">
        <v>1852</v>
      </c>
      <c r="N269" s="253" t="n">
        <v>2233</v>
      </c>
      <c r="O269" s="253" t="n">
        <v>2145</v>
      </c>
      <c r="P269" s="253" t="n">
        <v>2367</v>
      </c>
      <c r="Q269" s="253" t="n">
        <v>2367</v>
      </c>
      <c r="R269" s="253" t="n">
        <v>2345</v>
      </c>
      <c r="S269" s="253" t="n">
        <v>2563</v>
      </c>
      <c r="T269" s="253" t="n">
        <v>2431</v>
      </c>
      <c r="U269" s="253" t="n">
        <v>2374</v>
      </c>
      <c r="V269" s="253" t="n">
        <v>2374</v>
      </c>
      <c r="W269" s="253" t="n">
        <v>1583</v>
      </c>
      <c r="X269" s="253" t="n">
        <v>1881</v>
      </c>
      <c r="Y269" s="253" t="n">
        <v>2064</v>
      </c>
      <c r="Z269" s="253" t="n">
        <v>1880</v>
      </c>
      <c r="AA269" s="253" t="n">
        <v>1880</v>
      </c>
      <c r="AB269" s="253" t="n">
        <v>2829</v>
      </c>
      <c r="AC269" s="253" t="n">
        <v>3190</v>
      </c>
      <c r="AD269" s="253" t="n">
        <v>3033</v>
      </c>
      <c r="AE269" s="253" t="n">
        <v>2026</v>
      </c>
      <c r="AF269" s="253" t="n">
        <v>2026</v>
      </c>
      <c r="AG269" s="253" t="n">
        <v>2963</v>
      </c>
      <c r="AH269" s="253" t="n">
        <v>3066</v>
      </c>
      <c r="AI269" s="253" t="n">
        <v>3629</v>
      </c>
      <c r="AJ269" s="253" t="n">
        <v>2110</v>
      </c>
      <c r="AK269" s="253" t="n">
        <v>2110</v>
      </c>
      <c r="AL269" s="253" t="n">
        <v>3904</v>
      </c>
      <c r="AM269" s="253" t="n">
        <v>3657</v>
      </c>
      <c r="AN269" s="253" t="n">
        <v>3771</v>
      </c>
      <c r="AO269" s="253" t="n">
        <v>2995</v>
      </c>
      <c r="AP269" s="253" t="n">
        <v>2995</v>
      </c>
      <c r="AQ269" s="253" t="n">
        <v>4678</v>
      </c>
      <c r="AR269" s="253" t="n">
        <v>3362</v>
      </c>
      <c r="AS269" s="253" t="n">
        <v>3356</v>
      </c>
      <c r="AT269" s="253" t="n">
        <v>3589</v>
      </c>
      <c r="AU269" s="253" t="n">
        <v>3589</v>
      </c>
      <c r="AV269" s="253" t="n">
        <v>3756</v>
      </c>
      <c r="AW269" s="253" t="n">
        <v>3964</v>
      </c>
      <c r="AX269" s="253" t="n">
        <v>4024</v>
      </c>
      <c r="AY269" s="253" t="n">
        <v>4183</v>
      </c>
      <c r="AZ269" s="253" t="n">
        <v>4183</v>
      </c>
      <c r="BA269" s="253" t="n">
        <v>4769</v>
      </c>
      <c r="BB269" s="253" t="n">
        <v>5739</v>
      </c>
      <c r="BC269" s="253" t="n">
        <v>6011</v>
      </c>
      <c r="BD269" s="253" t="n">
        <v>5960</v>
      </c>
      <c r="BE269" s="253" t="n">
        <v>5960</v>
      </c>
      <c r="BF269" s="253" t="n">
        <v>5317</v>
      </c>
      <c r="BG269" s="253" t="n">
        <v>5766</v>
      </c>
      <c r="BH269" s="253" t="n">
        <v>5926</v>
      </c>
      <c r="BI269" s="253" t="n">
        <v>6452</v>
      </c>
      <c r="BJ269" s="253" t="n">
        <v>6452</v>
      </c>
      <c r="BK269" s="253" t="n">
        <v>6831</v>
      </c>
      <c r="BL269" s="253" t="n">
        <v>6563</v>
      </c>
      <c r="BM269" s="253" t="n">
        <v>7199</v>
      </c>
      <c r="BN269" s="253" t="n">
        <v>7791</v>
      </c>
      <c r="BO269" s="253" t="n">
        <v>7791</v>
      </c>
      <c r="BP269" s="253" t="n">
        <v>7975</v>
      </c>
      <c r="BQ269" s="253" t="n">
        <v>8470</v>
      </c>
      <c r="BR269" s="253" t="n">
        <v>8130</v>
      </c>
      <c r="BS269" s="253" t="n">
        <v>7963</v>
      </c>
      <c r="BT269" s="253" t="n">
        <v>7963</v>
      </c>
      <c r="BU269" s="253" t="n">
        <v>8376</v>
      </c>
      <c r="BV269" s="253" t="n">
        <v>10619</v>
      </c>
      <c r="BW269" s="253" t="n">
        <v>9612</v>
      </c>
      <c r="BX269" s="35" t="n"/>
      <c r="BY269" s="254">
        <f>BY297*BY299</f>
        <v>9130.54188</v>
      </c>
      <c r="BZ269" s="254">
        <f>BZ297*BZ299</f>
        <v>10091.086263189</v>
      </c>
      <c r="CA269" s="254">
        <f>CA297*CA299</f>
        <v>11189.3328087158</v>
      </c>
      <c r="CB269" s="254">
        <f>CB297*CB299</f>
        <v>12324.0603745771</v>
      </c>
      <c r="CC269" s="254">
        <f>CC297*CC299</f>
        <v>13485.980878305</v>
      </c>
      <c r="CD269" s="254">
        <f>CD297*CD299</f>
        <v>14714.6781333777</v>
      </c>
      <c r="CE269" s="19" t="n"/>
    </row>
    <row r="270" ht="15" customHeight="1" s="251">
      <c r="B270" s="16" t="inlineStr">
        <is>
          <t>Total current assets (incl. current investment securities)</t>
        </is>
      </c>
      <c r="C270" s="264">
        <f>IF(ISNUMBER(C264),SUM(C264:C269),"")</f>
        <v>11418</v>
      </c>
      <c r="D270" s="264">
        <f>IF(ISNUMBER(D264),SUM(D264:D269),"")</f>
        <v>9409</v>
      </c>
      <c r="E270" s="264">
        <f>IF(ISNUMBER(E264),SUM(E264:E269),"")</f>
        <v>8758</v>
      </c>
      <c r="F270" s="264">
        <f>IF(ISNUMBER(F264),SUM(F264:F269),"")</f>
        <v>9901</v>
      </c>
      <c r="G270" s="264">
        <f>IF(ISNUMBER(G264),SUM(G264:G269),"")</f>
        <v>15069</v>
      </c>
      <c r="H270" s="264">
        <f>IF(ISNUMBER(H264),SUM(H264:H269),"")</f>
        <v>10788</v>
      </c>
      <c r="I270" s="264">
        <f>IF(ISNUMBER(I264),SUM(I264:I269),"")</f>
        <v>9888</v>
      </c>
      <c r="J270" s="264">
        <f>IF(ISNUMBER(J264),SUM(J264:J269),"")</f>
        <v>10130</v>
      </c>
      <c r="K270" s="264">
        <f>IF(ISNUMBER(K264),SUM(K264:K269),"")</f>
        <v>10582</v>
      </c>
      <c r="L270" s="264">
        <f>IF(ISNUMBER(L264),SUM(L264:L269),"")</f>
        <v>10582</v>
      </c>
      <c r="M270" s="264">
        <f>IF(ISNUMBER(M264),SUM(M264:M269),"")</f>
        <v>10805</v>
      </c>
      <c r="N270" s="264">
        <f>IF(ISNUMBER(N264),SUM(N264:N269),"")</f>
        <v>11573</v>
      </c>
      <c r="O270" s="264">
        <f>IF(ISNUMBER(O264),SUM(O264:O269),"")</f>
        <v>11823</v>
      </c>
      <c r="P270" s="264">
        <f>IF(ISNUMBER(P264),SUM(P264:P269),"")</f>
        <v>12577</v>
      </c>
      <c r="Q270" s="264">
        <f>IF(ISNUMBER(Q264),SUM(Q264:Q269),"")</f>
        <v>12577</v>
      </c>
      <c r="R270" s="264">
        <f>IF(ISNUMBER(R264),SUM(R264:R269),"")</f>
        <v>12892</v>
      </c>
      <c r="S270" s="264">
        <f>IF(ISNUMBER(S264),SUM(S264:S269),"")</f>
        <v>12884</v>
      </c>
      <c r="T270" s="264">
        <f>IF(ISNUMBER(T264),SUM(T264:T269),"")</f>
        <v>13368</v>
      </c>
      <c r="U270" s="264">
        <f>IF(ISNUMBER(U264),SUM(U264:U269),"")</f>
        <v>14276</v>
      </c>
      <c r="V270" s="264">
        <f>IF(ISNUMBER(V264),SUM(V264:V269),"")</f>
        <v>14276</v>
      </c>
      <c r="W270" s="264">
        <f>IF(ISNUMBER(W264),SUM(W264:W269),"")</f>
        <v>28960</v>
      </c>
      <c r="X270" s="264">
        <f>IF(ISNUMBER(X264),SUM(X264:X269),"")</f>
        <v>27880</v>
      </c>
      <c r="Y270" s="264">
        <f>IF(ISNUMBER(Y264),SUM(Y264:Y269),"")</f>
        <v>18136</v>
      </c>
      <c r="Z270" s="264">
        <f>IF(ISNUMBER(Z264),SUM(Z264:Z269),"")</f>
        <v>18244</v>
      </c>
      <c r="AA270" s="264">
        <f>IF(ISNUMBER(AA264),SUM(AA264:AA269),"")</f>
        <v>18244</v>
      </c>
      <c r="AB270" s="264">
        <f>IF(ISNUMBER(AB264),SUM(AB264:AB269),"")</f>
        <v>18491</v>
      </c>
      <c r="AC270" s="264">
        <f>IF(ISNUMBER(AC264),SUM(AC264:AC269),"")</f>
        <v>18387</v>
      </c>
      <c r="AD270" s="264">
        <f>IF(ISNUMBER(AD264),SUM(AD264:AD269),"")</f>
        <v>17835</v>
      </c>
      <c r="AE270" s="264">
        <f>IF(ISNUMBER(AE264),SUM(AE264:AE269),"")</f>
        <v>20949</v>
      </c>
      <c r="AF270" s="264">
        <f>IF(ISNUMBER(AF264),SUM(AF264:AF269),"")</f>
        <v>20949</v>
      </c>
      <c r="AG270" s="264">
        <f>IF(ISNUMBER(AG264),SUM(AG264:AG269),"")</f>
        <v>19961</v>
      </c>
      <c r="AH270" s="264">
        <f>IF(ISNUMBER(AH264),SUM(AH264:AH269),"")</f>
        <v>21138</v>
      </c>
      <c r="AI270" s="264">
        <f>IF(ISNUMBER(AI264),SUM(AI264:AI269),"")</f>
        <v>21326</v>
      </c>
      <c r="AJ270" s="264">
        <f>IF(ISNUMBER(AJ264),SUM(AJ264:AJ269),"")</f>
        <v>22298</v>
      </c>
      <c r="AK270" s="264">
        <f>IF(ISNUMBER(AK264),SUM(AK264:AK269),"")</f>
        <v>22298</v>
      </c>
      <c r="AL270" s="264">
        <f>IF(ISNUMBER(AL264),SUM(AL264:AL269),"")</f>
        <v>24239</v>
      </c>
      <c r="AM270" s="264">
        <f>IF(ISNUMBER(AM264),SUM(AM264:AM269),"")</f>
        <v>21996</v>
      </c>
      <c r="AN270" s="264">
        <f>IF(ISNUMBER(AN264),SUM(AN264:AN269),"")</f>
        <v>21223</v>
      </c>
      <c r="AO270" s="264">
        <f>IF(ISNUMBER(AO264),SUM(AO264:AO269),"")</f>
        <v>23127</v>
      </c>
      <c r="AP270" s="264">
        <f>IF(ISNUMBER(AP264),SUM(AP264:AP269),"")</f>
        <v>23127</v>
      </c>
      <c r="AQ270" s="264">
        <f>IF(ISNUMBER(AQ264),SUM(AQ264:AQ269),"")</f>
        <v>24038</v>
      </c>
      <c r="AR270" s="264">
        <f>IF(ISNUMBER(AR264),SUM(AR264:AR269),"")</f>
        <v>20971</v>
      </c>
      <c r="AS270" s="264">
        <f>IF(ISNUMBER(AS264),SUM(AS264:AS269),"")</f>
        <v>25558</v>
      </c>
      <c r="AT270" s="264">
        <f>IF(ISNUMBER(AT264),SUM(AT264:AT269),"")</f>
        <v>27876</v>
      </c>
      <c r="AU270" s="264">
        <f>IF(ISNUMBER(AU264),SUM(AU264:AU269),"")</f>
        <v>27876</v>
      </c>
      <c r="AV270" s="264">
        <f>IF(ISNUMBER(AV264),SUM(AV264:AV269),"")</f>
        <v>26441</v>
      </c>
      <c r="AW270" s="264">
        <f>IF(ISNUMBER(AW264),SUM(AW264:AW269),"")</f>
        <v>27011</v>
      </c>
      <c r="AX270" s="264">
        <f>IF(ISNUMBER(AX264),SUM(AX264:AX269),"")</f>
        <v>29153</v>
      </c>
      <c r="AY270" s="264">
        <f>IF(ISNUMBER(AY264),SUM(AY264:AY269),"")</f>
        <v>29312</v>
      </c>
      <c r="AZ270" s="264">
        <f>IF(ISNUMBER(AZ264),SUM(AZ264:AZ269),"")</f>
        <v>29312</v>
      </c>
      <c r="BA270" s="264">
        <f>IF(ISNUMBER(BA264),SUM(BA264:BA269),"")</f>
        <v>27993</v>
      </c>
      <c r="BB270" s="264">
        <f>IF(ISNUMBER(BB264),SUM(BB264:BB269),"")</f>
        <v>26387</v>
      </c>
      <c r="BC270" s="264">
        <f>IF(ISNUMBER(BC264),SUM(BC264:BC269),"")</f>
        <v>31211</v>
      </c>
      <c r="BD270" s="264">
        <f>IF(ISNUMBER(BD264),SUM(BD264:BD269),"")</f>
        <v>32341</v>
      </c>
      <c r="BE270" s="264">
        <f>IF(ISNUMBER(BE264),SUM(BE264:BE269),"")</f>
        <v>32341</v>
      </c>
      <c r="BF270" s="264">
        <f>IF(ISNUMBER(BF264),SUM(BF264:BF269),"")</f>
        <v>30594</v>
      </c>
      <c r="BG270" s="264">
        <f>IF(ISNUMBER(BG264),SUM(BG264:BG269),"")</f>
        <v>31497</v>
      </c>
      <c r="BH270" s="264">
        <f>IF(ISNUMBER(BH264),SUM(BH264:BH269),"")</f>
        <v>33792</v>
      </c>
      <c r="BI270" s="264">
        <f>IF(ISNUMBER(BI264),SUM(BI264:BI269),"")</f>
        <v>35453</v>
      </c>
      <c r="BJ270" s="264">
        <f>IF(ISNUMBER(BJ264),SUM(BJ264:BJ269),"")</f>
        <v>35453</v>
      </c>
      <c r="BK270" s="264">
        <f>IF(ISNUMBER(BK264),SUM(BK264:BK269),"")</f>
        <v>35541</v>
      </c>
      <c r="BL270" s="264">
        <f>IF(ISNUMBER(BL264),SUM(BL264:BL269),"")</f>
        <v>35867</v>
      </c>
      <c r="BM270" s="264">
        <f>IF(ISNUMBER(BM264),SUM(BM264:BM269),"")</f>
        <v>34076</v>
      </c>
      <c r="BN270" s="264">
        <f>IF(ISNUMBER(BN264),SUM(BN264:BN269),"")</f>
        <v>36578</v>
      </c>
      <c r="BO270" s="264">
        <f>IF(ISNUMBER(BO264),SUM(BO264:BO269),"")</f>
        <v>36578</v>
      </c>
      <c r="BP270" s="264">
        <f>IF(ISNUMBER(BP264),SUM(BP264:BP269),"")</f>
        <v>34379</v>
      </c>
      <c r="BQ270" s="264">
        <f>IF(ISNUMBER(BQ264),SUM(BQ264:BQ269),"")</f>
        <v>34404</v>
      </c>
      <c r="BR270" s="264">
        <f>IF(ISNUMBER(BR264),SUM(BR264:BR269),"")</f>
        <v>39601</v>
      </c>
      <c r="BS270" s="264">
        <f>IF(ISNUMBER(BS264),SUM(BS264:BS269),"")</f>
        <v>38765</v>
      </c>
      <c r="BT270" s="264">
        <f>IF(ISNUMBER(BT264),SUM(BT264:BT269),"")</f>
        <v>38765</v>
      </c>
      <c r="BU270" s="264">
        <f>IF(ISNUMBER(BU264),SUM(BU264:BU269),"")</f>
        <v>35481</v>
      </c>
      <c r="BV270" s="264">
        <f>IF(ISNUMBER(BV264),SUM(BV264:BV269),"")</f>
        <v>31933</v>
      </c>
      <c r="BW270" s="264">
        <f>IF(ISNUMBER(BW264),SUM(BW264:BW269),"")</f>
        <v>31152</v>
      </c>
      <c r="BX270" s="32" t="n"/>
      <c r="BY270" s="265">
        <f>IF(ISNUMBER(BY264),SUM(BY264:BY269),"")</f>
        <v>32921.1499109904</v>
      </c>
      <c r="BZ270" s="265">
        <f>IF(ISNUMBER(BZ264),SUM(BZ264:BZ269),"")</f>
        <v>34196.5287638666</v>
      </c>
      <c r="CA270" s="265">
        <f>IF(ISNUMBER(CA264),SUM(CA264:CA269),"")</f>
        <v>35874.2521298975</v>
      </c>
      <c r="CB270" s="265">
        <f>IF(ISNUMBER(CB264),SUM(CB264:CB269),"")</f>
        <v>37607.7052958363</v>
      </c>
      <c r="CC270" s="265">
        <f>IF(ISNUMBER(CC264),SUM(CC264:CC269),"")</f>
        <v>39382.6994321846</v>
      </c>
      <c r="CD270" s="265">
        <f>IF(ISNUMBER(CD264),SUM(CD264:CD269),"")</f>
        <v>41259.7042841549</v>
      </c>
      <c r="CE270" s="153" t="inlineStr">
        <is>
          <t>Investment securities are shown in one line; the reported total current assets excludes the non-current portion.</t>
        </is>
      </c>
    </row>
    <row r="271" ht="15" customHeight="1" s="251">
      <c r="B271" s="25" t="inlineStr">
        <is>
          <t xml:space="preserve">  Property, equipment &amp; technology, net</t>
        </is>
      </c>
      <c r="C271" s="253" t="n">
        <v>1080</v>
      </c>
      <c r="D271" s="253" t="n">
        <v>1204</v>
      </c>
      <c r="E271" s="253" t="n">
        <v>1357</v>
      </c>
      <c r="F271" s="253" t="n">
        <v>1541</v>
      </c>
      <c r="G271" s="253" t="n">
        <v>1634</v>
      </c>
      <c r="H271" s="253" t="n">
        <v>1641</v>
      </c>
      <c r="I271" s="253" t="n">
        <v>1674</v>
      </c>
      <c r="J271" s="253" t="n">
        <v>1689</v>
      </c>
      <c r="K271" s="253" t="n">
        <v>1732</v>
      </c>
      <c r="L271" s="253" t="n">
        <v>1732</v>
      </c>
      <c r="M271" s="253" t="n">
        <v>1746</v>
      </c>
      <c r="N271" s="253" t="n">
        <v>1760</v>
      </c>
      <c r="O271" s="253" t="n">
        <v>1772</v>
      </c>
      <c r="P271" s="253" t="n">
        <v>1892</v>
      </c>
      <c r="Q271" s="253" t="n">
        <v>1892</v>
      </c>
      <c r="R271" s="253" t="n">
        <v>1861</v>
      </c>
      <c r="S271" s="253" t="n">
        <v>1843</v>
      </c>
      <c r="T271" s="253" t="n">
        <v>1847</v>
      </c>
      <c r="U271" s="253" t="n">
        <v>1888</v>
      </c>
      <c r="V271" s="253" t="n">
        <v>1888</v>
      </c>
      <c r="W271" s="253" t="n">
        <v>1884</v>
      </c>
      <c r="X271" s="253" t="n">
        <v>1883</v>
      </c>
      <c r="Y271" s="253" t="n">
        <v>2136</v>
      </c>
      <c r="Z271" s="253" t="n">
        <v>2150</v>
      </c>
      <c r="AA271" s="253" t="n">
        <v>2150</v>
      </c>
      <c r="AB271" s="253" t="n">
        <v>2201</v>
      </c>
      <c r="AC271" s="253" t="n">
        <v>2133</v>
      </c>
      <c r="AD271" s="253" t="n">
        <v>2202</v>
      </c>
      <c r="AE271" s="253" t="n">
        <v>2253</v>
      </c>
      <c r="AF271" s="253" t="n">
        <v>2253</v>
      </c>
      <c r="AG271" s="253" t="n">
        <v>2238</v>
      </c>
      <c r="AH271" s="253" t="n">
        <v>2366</v>
      </c>
      <c r="AI271" s="253" t="n">
        <v>2387</v>
      </c>
      <c r="AJ271" s="253" t="n">
        <v>2472</v>
      </c>
      <c r="AK271" s="253" t="n">
        <v>2472</v>
      </c>
      <c r="AL271" s="253" t="n">
        <v>2437</v>
      </c>
      <c r="AM271" s="253" t="n">
        <v>2456</v>
      </c>
      <c r="AN271" s="253" t="n">
        <v>2549</v>
      </c>
      <c r="AO271" s="253" t="n">
        <v>2695</v>
      </c>
      <c r="AP271" s="253" t="n">
        <v>2695</v>
      </c>
      <c r="AQ271" s="253" t="n">
        <v>2739</v>
      </c>
      <c r="AR271" s="253" t="n">
        <v>2776</v>
      </c>
      <c r="AS271" s="253" t="n">
        <v>2746</v>
      </c>
      <c r="AT271" s="253" t="n">
        <v>2737</v>
      </c>
      <c r="AU271" s="253" t="n">
        <v>2737</v>
      </c>
      <c r="AV271" s="253" t="n">
        <v>2713</v>
      </c>
      <c r="AW271" s="253" t="n">
        <v>2684</v>
      </c>
      <c r="AX271" s="253" t="n">
        <v>2707</v>
      </c>
      <c r="AY271" s="253" t="n">
        <v>2715</v>
      </c>
      <c r="AZ271" s="253" t="n">
        <v>2715</v>
      </c>
      <c r="BA271" s="253" t="n">
        <v>2908</v>
      </c>
      <c r="BB271" s="253" t="n">
        <v>3120</v>
      </c>
      <c r="BC271" s="253" t="n">
        <v>3146</v>
      </c>
      <c r="BD271" s="253" t="n">
        <v>3223</v>
      </c>
      <c r="BE271" s="253" t="n">
        <v>3223</v>
      </c>
      <c r="BF271" s="253" t="n">
        <v>3236</v>
      </c>
      <c r="BG271" s="253" t="n">
        <v>3359</v>
      </c>
      <c r="BH271" s="253" t="n">
        <v>3370</v>
      </c>
      <c r="BI271" s="253" t="n">
        <v>3425</v>
      </c>
      <c r="BJ271" s="253" t="n">
        <v>3425</v>
      </c>
      <c r="BK271" s="253" t="n">
        <v>3472</v>
      </c>
      <c r="BL271" s="253" t="n">
        <v>3630</v>
      </c>
      <c r="BM271" s="253" t="n">
        <v>3766</v>
      </c>
      <c r="BN271" s="253" t="n">
        <v>3824</v>
      </c>
      <c r="BO271" s="253" t="n">
        <v>3824</v>
      </c>
      <c r="BP271" s="253" t="n">
        <v>3974</v>
      </c>
      <c r="BQ271" s="253" t="n">
        <v>4023</v>
      </c>
      <c r="BR271" s="253" t="n">
        <v>4143</v>
      </c>
      <c r="BS271" s="253" t="n">
        <v>4236</v>
      </c>
      <c r="BT271" s="253" t="n">
        <v>4236</v>
      </c>
      <c r="BU271" s="253" t="n">
        <v>4276</v>
      </c>
      <c r="BV271" s="253" t="n">
        <v>4778</v>
      </c>
      <c r="BW271" s="253" t="n">
        <v>4858</v>
      </c>
      <c r="BX271" s="35" t="n"/>
      <c r="BY271" s="254">
        <f>BW271-(BY226-SUM(BU226:BW226))-(BX140-BX320)</f>
        <v>4889.78697808145</v>
      </c>
      <c r="BZ271" s="254">
        <f>BY271-BZ226-(BZ140-BZ320)+BZ73*BZ80</f>
        <v>5329.07638103685</v>
      </c>
      <c r="CA271" s="254">
        <f>BZ271-CA226-(CA140-CA320)+CA73*CA80</f>
        <v>5768.8968845836</v>
      </c>
      <c r="CB271" s="254">
        <f>CA271-CB226-(CB140-CB320)+CB73*CB80</f>
        <v>6211.61333091591</v>
      </c>
      <c r="CC271" s="254">
        <f>CB271-CC226-(CC140-CC320)+CC73*CC80</f>
        <v>6696.46693115035</v>
      </c>
      <c r="CD271" s="254">
        <f>CC271-CD226-(CD140-CD320)+CD73*CD80</f>
        <v>7242.40022255191</v>
      </c>
      <c r="CE271" s="19" t="inlineStr">
        <is>
          <t>Roll-forward: prior − capex (negative cash flow) − (D&amp;A − finite-lived intangible amortization) + acquired PP&amp;E / technology.</t>
        </is>
      </c>
    </row>
    <row r="272" ht="15" customHeight="1" s="251">
      <c r="B272" s="25" t="inlineStr">
        <is>
          <t xml:space="preserve">  Goodwill</t>
        </is>
      </c>
      <c r="C272" s="253" t="n">
        <v>10213</v>
      </c>
      <c r="D272" s="253" t="n">
        <v>10208</v>
      </c>
      <c r="E272" s="253" t="n">
        <v>11447</v>
      </c>
      <c r="F272" s="253" t="n">
        <v>11668</v>
      </c>
      <c r="G272" s="253" t="n">
        <v>11681</v>
      </c>
      <c r="H272" s="253" t="n">
        <v>11681</v>
      </c>
      <c r="I272" s="253" t="n">
        <v>11681</v>
      </c>
      <c r="J272" s="253" t="n">
        <v>11681</v>
      </c>
      <c r="K272" s="253" t="n">
        <v>11681</v>
      </c>
      <c r="L272" s="253" t="n">
        <v>11681</v>
      </c>
      <c r="M272" s="253" t="n">
        <v>11681</v>
      </c>
      <c r="N272" s="253" t="n">
        <v>11681</v>
      </c>
      <c r="O272" s="253" t="n">
        <v>11741</v>
      </c>
      <c r="P272" s="253" t="n">
        <v>11753</v>
      </c>
      <c r="Q272" s="253" t="n">
        <v>11753</v>
      </c>
      <c r="R272" s="253" t="n">
        <v>11753</v>
      </c>
      <c r="S272" s="253" t="n">
        <v>11753</v>
      </c>
      <c r="T272" s="253" t="n">
        <v>11825</v>
      </c>
      <c r="U272" s="253" t="n">
        <v>11825</v>
      </c>
      <c r="V272" s="253" t="n">
        <v>11825</v>
      </c>
      <c r="W272" s="253" t="n">
        <v>11825</v>
      </c>
      <c r="X272" s="253" t="n">
        <v>11836</v>
      </c>
      <c r="Y272" s="253" t="n">
        <v>15044</v>
      </c>
      <c r="Z272" s="253" t="n">
        <v>15066</v>
      </c>
      <c r="AA272" s="253" t="n">
        <v>15066</v>
      </c>
      <c r="AB272" s="253" t="n">
        <v>14892</v>
      </c>
      <c r="AC272" s="253" t="n">
        <v>14825</v>
      </c>
      <c r="AD272" s="253" t="n">
        <v>15009</v>
      </c>
      <c r="AE272" s="253" t="n">
        <v>15110</v>
      </c>
      <c r="AF272" s="253" t="n">
        <v>15110</v>
      </c>
      <c r="AG272" s="253" t="n">
        <v>15162</v>
      </c>
      <c r="AH272" s="253" t="n">
        <v>15372</v>
      </c>
      <c r="AI272" s="253" t="n">
        <v>15204</v>
      </c>
      <c r="AJ272" s="253" t="n">
        <v>15194</v>
      </c>
      <c r="AK272" s="253" t="n">
        <v>15194</v>
      </c>
      <c r="AL272" s="253" t="n">
        <v>15149</v>
      </c>
      <c r="AM272" s="253" t="n">
        <v>15088</v>
      </c>
      <c r="AN272" s="253" t="n">
        <v>15313</v>
      </c>
      <c r="AO272" s="253" t="n">
        <v>15656</v>
      </c>
      <c r="AP272" s="253" t="n">
        <v>15656</v>
      </c>
      <c r="AQ272" s="253" t="n">
        <v>15767</v>
      </c>
      <c r="AR272" s="253" t="n">
        <v>15755</v>
      </c>
      <c r="AS272" s="253" t="n">
        <v>15791</v>
      </c>
      <c r="AT272" s="253" t="n">
        <v>15910</v>
      </c>
      <c r="AU272" s="253" t="n">
        <v>15910</v>
      </c>
      <c r="AV272" s="253" t="n">
        <v>16121</v>
      </c>
      <c r="AW272" s="253" t="n">
        <v>15980</v>
      </c>
      <c r="AX272" s="253" t="n">
        <v>16021</v>
      </c>
      <c r="AY272" s="253" t="n">
        <v>15958</v>
      </c>
      <c r="AZ272" s="253" t="n">
        <v>15958</v>
      </c>
      <c r="BA272" s="253" t="n">
        <v>16555</v>
      </c>
      <c r="BB272" s="253" t="n">
        <v>18143</v>
      </c>
      <c r="BC272" s="253" t="n">
        <v>17977</v>
      </c>
      <c r="BD272" s="253" t="n">
        <v>17787</v>
      </c>
      <c r="BE272" s="253" t="n">
        <v>17787</v>
      </c>
      <c r="BF272" s="253" t="n">
        <v>18024</v>
      </c>
      <c r="BG272" s="253" t="n">
        <v>18078</v>
      </c>
      <c r="BH272" s="253" t="n">
        <v>18082</v>
      </c>
      <c r="BI272" s="253" t="n">
        <v>17997</v>
      </c>
      <c r="BJ272" s="253" t="n">
        <v>17997</v>
      </c>
      <c r="BK272" s="253" t="n">
        <v>18120</v>
      </c>
      <c r="BL272" s="253" t="n">
        <v>18837</v>
      </c>
      <c r="BM272" s="253" t="n">
        <v>18816</v>
      </c>
      <c r="BN272" s="253" t="n">
        <v>18941</v>
      </c>
      <c r="BO272" s="253" t="n">
        <v>18941</v>
      </c>
      <c r="BP272" s="253" t="n">
        <v>19548</v>
      </c>
      <c r="BQ272" s="253" t="n">
        <v>19641</v>
      </c>
      <c r="BR272" s="253" t="n">
        <v>19880</v>
      </c>
      <c r="BS272" s="253" t="n">
        <v>19879</v>
      </c>
      <c r="BT272" s="253" t="n">
        <v>19879</v>
      </c>
      <c r="BU272" s="253" t="n">
        <v>19885</v>
      </c>
      <c r="BV272" s="253" t="n">
        <v>20891</v>
      </c>
      <c r="BW272" s="253" t="n">
        <v>20825</v>
      </c>
      <c r="BX272" s="35" t="n"/>
      <c r="BY272" s="254">
        <f>BW272</f>
        <v>20825</v>
      </c>
      <c r="BZ272" s="254">
        <f>BY272+BZ73*(1-BZ80-BZ81)</f>
        <v>21525</v>
      </c>
      <c r="CA272" s="254">
        <f>BZ272+CA73*(1-CA80-CA81)</f>
        <v>22225</v>
      </c>
      <c r="CB272" s="254">
        <f>CA272+CB73*(1-CB80-CB81)</f>
        <v>22925</v>
      </c>
      <c r="CC272" s="254">
        <f>CB272+CC73*(1-CC80-CC81)</f>
        <v>23625</v>
      </c>
      <c r="CD272" s="254">
        <f>CC272+CD73*(1-CD80-CD81)</f>
        <v>24325</v>
      </c>
      <c r="CE272" s="19" t="n"/>
    </row>
    <row r="273" ht="15" customHeight="1" s="251">
      <c r="B273" s="25" t="inlineStr">
        <is>
          <t xml:space="preserve">  Intangible assets, net (mostly indefinite-lived: Visa Europe customer relationships &amp; reacquired rights, trade name)</t>
        </is>
      </c>
      <c r="C273" s="253" t="n">
        <v>10883</v>
      </c>
      <c r="D273" s="253" t="n">
        <v>10883</v>
      </c>
      <c r="E273" s="253" t="n">
        <v>11478</v>
      </c>
      <c r="F273" s="253" t="n">
        <v>11436</v>
      </c>
      <c r="G273" s="253" t="n">
        <v>11420</v>
      </c>
      <c r="H273" s="253" t="n">
        <v>11403</v>
      </c>
      <c r="I273" s="253" t="n">
        <v>11385</v>
      </c>
      <c r="J273" s="253" t="n">
        <v>11368</v>
      </c>
      <c r="K273" s="253" t="n">
        <v>11351</v>
      </c>
      <c r="L273" s="253" t="n">
        <v>11351</v>
      </c>
      <c r="M273" s="253" t="n">
        <v>11334</v>
      </c>
      <c r="N273" s="253" t="n">
        <v>11317</v>
      </c>
      <c r="O273" s="253" t="n">
        <v>11427</v>
      </c>
      <c r="P273" s="253" t="n">
        <v>11411</v>
      </c>
      <c r="Q273" s="253" t="n">
        <v>11411</v>
      </c>
      <c r="R273" s="253" t="n">
        <v>11395</v>
      </c>
      <c r="S273" s="253" t="n">
        <v>11379</v>
      </c>
      <c r="T273" s="253" t="n">
        <v>11375</v>
      </c>
      <c r="U273" s="253" t="n">
        <v>11361</v>
      </c>
      <c r="V273" s="253" t="n">
        <v>11361</v>
      </c>
      <c r="W273" s="253" t="n">
        <v>11348</v>
      </c>
      <c r="X273" s="253" t="n">
        <v>11335</v>
      </c>
      <c r="Y273" s="253" t="n">
        <v>27078</v>
      </c>
      <c r="Z273" s="253" t="n">
        <v>27234</v>
      </c>
      <c r="AA273" s="253" t="n">
        <v>27234</v>
      </c>
      <c r="AB273" s="253" t="n">
        <v>26381</v>
      </c>
      <c r="AC273" s="253" t="n">
        <v>26416</v>
      </c>
      <c r="AD273" s="253" t="n">
        <v>27322</v>
      </c>
      <c r="AE273" s="253" t="n">
        <v>27848</v>
      </c>
      <c r="AF273" s="253" t="n">
        <v>27848</v>
      </c>
      <c r="AG273" s="253" t="n">
        <v>28109</v>
      </c>
      <c r="AH273" s="253" t="n">
        <v>28537</v>
      </c>
      <c r="AI273" s="253" t="n">
        <v>27628</v>
      </c>
      <c r="AJ273" s="253" t="n">
        <v>27558</v>
      </c>
      <c r="AK273" s="253" t="n">
        <v>27558</v>
      </c>
      <c r="AL273" s="253" t="n">
        <v>27301</v>
      </c>
      <c r="AM273" s="253" t="n">
        <v>26966</v>
      </c>
      <c r="AN273" s="253" t="n">
        <v>27272</v>
      </c>
      <c r="AO273" s="253" t="n">
        <v>26780</v>
      </c>
      <c r="AP273" s="253" t="n">
        <v>26780</v>
      </c>
      <c r="AQ273" s="253" t="n">
        <v>27137</v>
      </c>
      <c r="AR273" s="253" t="n">
        <v>27011</v>
      </c>
      <c r="AS273" s="253" t="n">
        <v>27188</v>
      </c>
      <c r="AT273" s="253" t="n">
        <v>27808</v>
      </c>
      <c r="AU273" s="253" t="n">
        <v>27808</v>
      </c>
      <c r="AV273" s="253" t="n">
        <v>28593</v>
      </c>
      <c r="AW273" s="253" t="n">
        <v>27823</v>
      </c>
      <c r="AX273" s="253" t="n">
        <v>28023</v>
      </c>
      <c r="AY273" s="253" t="n">
        <v>27664</v>
      </c>
      <c r="AZ273" s="253" t="n">
        <v>27664</v>
      </c>
      <c r="BA273" s="253" t="n">
        <v>27272</v>
      </c>
      <c r="BB273" s="253" t="n">
        <v>27006</v>
      </c>
      <c r="BC273" s="253" t="n">
        <v>26093</v>
      </c>
      <c r="BD273" s="253" t="n">
        <v>25065</v>
      </c>
      <c r="BE273" s="253" t="n">
        <v>25065</v>
      </c>
      <c r="BF273" s="253" t="n">
        <v>26307</v>
      </c>
      <c r="BG273" s="253" t="n">
        <v>26574</v>
      </c>
      <c r="BH273" s="253" t="n">
        <v>26576</v>
      </c>
      <c r="BI273" s="253" t="n">
        <v>26104</v>
      </c>
      <c r="BJ273" s="253" t="n">
        <v>26104</v>
      </c>
      <c r="BK273" s="253" t="n">
        <v>26739</v>
      </c>
      <c r="BL273" s="253" t="n">
        <v>26375</v>
      </c>
      <c r="BM273" s="253" t="n">
        <v>26243</v>
      </c>
      <c r="BN273" s="253" t="n">
        <v>26889</v>
      </c>
      <c r="BO273" s="253" t="n">
        <v>26889</v>
      </c>
      <c r="BP273" s="253" t="n">
        <v>25889</v>
      </c>
      <c r="BQ273" s="253" t="n">
        <v>26408</v>
      </c>
      <c r="BR273" s="253" t="n">
        <v>27660</v>
      </c>
      <c r="BS273" s="253" t="n">
        <v>27646</v>
      </c>
      <c r="BT273" s="253" t="n">
        <v>27646</v>
      </c>
      <c r="BU273" s="253" t="n">
        <v>27664</v>
      </c>
      <c r="BV273" s="253" t="n">
        <v>27750</v>
      </c>
      <c r="BW273" s="253" t="n">
        <v>27532</v>
      </c>
      <c r="BX273" s="35" t="n"/>
      <c r="BY273" s="254">
        <f>BW273-BX320</f>
        <v>27532</v>
      </c>
      <c r="BZ273" s="254">
        <f>BY273-BZ320+BZ73*BZ81</f>
        <v>27720</v>
      </c>
      <c r="CA273" s="254">
        <f>BZ273-CA320+CA73*CA81</f>
        <v>27927</v>
      </c>
      <c r="CB273" s="254">
        <f>CA273-CB320+CB73*CB81</f>
        <v>28148</v>
      </c>
      <c r="CC273" s="254">
        <f>CB273-CC320+CC73*CC81</f>
        <v>28388</v>
      </c>
      <c r="CD273" s="254">
        <f>CC273-CD320+CD73*CD81</f>
        <v>28633</v>
      </c>
      <c r="CE273" s="19" t="inlineStr">
        <is>
          <t>Roll-forward: prior − finite-lived amortization (10-K schedule) + acquired intangibles. Indefinite-lived intangibles (~$27bn) are not amortized.</t>
        </is>
      </c>
    </row>
    <row r="274" ht="15" customHeight="1" s="251">
      <c r="B274" s="25" t="inlineStr">
        <is>
          <t xml:space="preserve">  Client incentives (non-current), deferred tax &amp; other assets (derived)</t>
        </is>
      </c>
      <c r="C274" s="253" t="n">
        <v>1387</v>
      </c>
      <c r="D274" s="253" t="n">
        <v>577</v>
      </c>
      <c r="E274" s="253" t="n">
        <v>368</v>
      </c>
      <c r="F274" s="253" t="n">
        <v>214</v>
      </c>
      <c r="G274" s="253" t="n">
        <v>209</v>
      </c>
      <c r="H274" s="253" t="n">
        <v>346</v>
      </c>
      <c r="I274" s="253" t="n">
        <v>431</v>
      </c>
      <c r="J274" s="253" t="n">
        <v>417</v>
      </c>
      <c r="K274" s="253" t="n">
        <v>610</v>
      </c>
      <c r="L274" s="253" t="n">
        <v>610</v>
      </c>
      <c r="M274" s="253" t="n">
        <v>682</v>
      </c>
      <c r="N274" s="253" t="n">
        <v>932</v>
      </c>
      <c r="O274" s="253" t="n">
        <v>912</v>
      </c>
      <c r="P274" s="253" t="n">
        <v>936</v>
      </c>
      <c r="Q274" s="253" t="n">
        <v>936</v>
      </c>
      <c r="R274" s="253" t="n">
        <v>983</v>
      </c>
      <c r="S274" s="253" t="n">
        <v>976</v>
      </c>
      <c r="T274" s="253" t="n">
        <v>1014</v>
      </c>
      <c r="U274" s="253" t="n">
        <v>886</v>
      </c>
      <c r="V274" s="253" t="n">
        <v>886</v>
      </c>
      <c r="W274" s="253" t="n">
        <v>960</v>
      </c>
      <c r="X274" s="253" t="n">
        <v>1392</v>
      </c>
      <c r="Y274" s="253" t="n">
        <v>1473</v>
      </c>
      <c r="Z274" s="253" t="n">
        <v>1341</v>
      </c>
      <c r="AA274" s="253" t="n">
        <v>1341</v>
      </c>
      <c r="AB274" s="253" t="n">
        <v>1405</v>
      </c>
      <c r="AC274" s="253" t="n">
        <v>1466</v>
      </c>
      <c r="AD274" s="253" t="n">
        <v>1632</v>
      </c>
      <c r="AE274" s="253" t="n">
        <v>1817</v>
      </c>
      <c r="AF274" s="253" t="n">
        <v>1817</v>
      </c>
      <c r="AG274" s="253" t="n">
        <v>1684</v>
      </c>
      <c r="AH274" s="253" t="n">
        <v>1629</v>
      </c>
      <c r="AI274" s="253" t="n">
        <v>1630</v>
      </c>
      <c r="AJ274" s="253" t="n">
        <v>1703</v>
      </c>
      <c r="AK274" s="253" t="n">
        <v>1703</v>
      </c>
      <c r="AL274" s="253" t="n">
        <v>2529</v>
      </c>
      <c r="AM274" s="253" t="n">
        <v>3359</v>
      </c>
      <c r="AN274" s="253" t="n">
        <v>3892</v>
      </c>
      <c r="AO274" s="253" t="n">
        <v>4316</v>
      </c>
      <c r="AP274" s="253" t="n">
        <v>4316</v>
      </c>
      <c r="AQ274" s="253" t="n">
        <v>5100</v>
      </c>
      <c r="AR274" s="253" t="n">
        <v>6307</v>
      </c>
      <c r="AS274" s="253" t="n">
        <v>6601</v>
      </c>
      <c r="AT274" s="253" t="n">
        <v>6588</v>
      </c>
      <c r="AU274" s="253" t="n">
        <v>6588</v>
      </c>
      <c r="AV274" s="253" t="n">
        <v>6558</v>
      </c>
      <c r="AW274" s="253" t="n">
        <v>6697</v>
      </c>
      <c r="AX274" s="253" t="n">
        <v>6767</v>
      </c>
      <c r="AY274" s="253" t="n">
        <v>7247</v>
      </c>
      <c r="AZ274" s="253" t="n">
        <v>7247</v>
      </c>
      <c r="BA274" s="253" t="n">
        <v>7201</v>
      </c>
      <c r="BB274" s="253" t="n">
        <v>7152</v>
      </c>
      <c r="BC274" s="253" t="n">
        <v>6983</v>
      </c>
      <c r="BD274" s="253" t="n">
        <v>7085</v>
      </c>
      <c r="BE274" s="253" t="n">
        <v>7085</v>
      </c>
      <c r="BF274" s="253" t="n">
        <v>7226</v>
      </c>
      <c r="BG274" s="253" t="n">
        <v>7247</v>
      </c>
      <c r="BH274" s="253" t="n">
        <v>7414</v>
      </c>
      <c r="BI274" s="253" t="n">
        <v>7520</v>
      </c>
      <c r="BJ274" s="253" t="n">
        <v>7520</v>
      </c>
      <c r="BK274" s="253" t="n">
        <v>7537</v>
      </c>
      <c r="BL274" s="253" t="n">
        <v>7690</v>
      </c>
      <c r="BM274" s="253" t="n">
        <v>8139</v>
      </c>
      <c r="BN274" s="253" t="n">
        <v>8279</v>
      </c>
      <c r="BO274" s="253" t="n">
        <v>8279</v>
      </c>
      <c r="BP274" s="253" t="n">
        <v>8098</v>
      </c>
      <c r="BQ274" s="253" t="n">
        <v>8377</v>
      </c>
      <c r="BR274" s="253" t="n">
        <v>8740</v>
      </c>
      <c r="BS274" s="253" t="n">
        <v>9101</v>
      </c>
      <c r="BT274" s="253" t="n">
        <v>9101</v>
      </c>
      <c r="BU274" s="253" t="n">
        <v>9508</v>
      </c>
      <c r="BV274" s="253" t="n">
        <v>9697</v>
      </c>
      <c r="BW274" s="253" t="n">
        <v>10223</v>
      </c>
      <c r="BX274" s="35" t="n"/>
      <c r="BY274" s="254">
        <f>BY297*BY300</f>
        <v>10461.12336</v>
      </c>
      <c r="BZ274" s="254">
        <f>BZ297*BZ300</f>
        <v>11561.6465729</v>
      </c>
      <c r="CA274" s="254">
        <f>CA297*CA300</f>
        <v>12819.9390974231</v>
      </c>
      <c r="CB274" s="254">
        <f>CB297*CB300</f>
        <v>14120.0289718772</v>
      </c>
      <c r="CC274" s="254">
        <f>CC297*CC300</f>
        <v>15451.2745741384</v>
      </c>
      <c r="CD274" s="254">
        <f>CD297*CD300</f>
        <v>16859.0282131162</v>
      </c>
      <c r="CE274" s="19" t="n"/>
    </row>
    <row r="275" ht="15" customHeight="1" s="251">
      <c r="B275" s="55" t="inlineStr">
        <is>
          <t>TOTAL ASSETS</t>
        </is>
      </c>
      <c r="C275" s="266">
        <f>IF(ISNUMBER(C264),C270+SUM(C271:C274),"")</f>
        <v>34981</v>
      </c>
      <c r="D275" s="266">
        <f>IF(ISNUMBER(D264),D270+SUM(D271:D274),"")</f>
        <v>32281</v>
      </c>
      <c r="E275" s="266">
        <f>IF(ISNUMBER(E264),E270+SUM(E271:E274),"")</f>
        <v>33408</v>
      </c>
      <c r="F275" s="266">
        <f>IF(ISNUMBER(F264),F270+SUM(F271:F274),"")</f>
        <v>34760</v>
      </c>
      <c r="G275" s="266">
        <f>IF(ISNUMBER(G264),G270+SUM(G271:G274),"")</f>
        <v>40013</v>
      </c>
      <c r="H275" s="266">
        <f>IF(ISNUMBER(H264),H270+SUM(H271:H274),"")</f>
        <v>35859</v>
      </c>
      <c r="I275" s="266">
        <f>IF(ISNUMBER(I264),I270+SUM(I271:I274),"")</f>
        <v>35059</v>
      </c>
      <c r="J275" s="266">
        <f>IF(ISNUMBER(J264),J270+SUM(J271:J274),"")</f>
        <v>35285</v>
      </c>
      <c r="K275" s="266">
        <f>IF(ISNUMBER(K264),K270+SUM(K271:K274),"")</f>
        <v>35956</v>
      </c>
      <c r="L275" s="266">
        <f>IF(ISNUMBER(L264),L270+SUM(L271:L274),"")</f>
        <v>35956</v>
      </c>
      <c r="M275" s="266">
        <f>IF(ISNUMBER(M264),M270+SUM(M271:M274),"")</f>
        <v>36248</v>
      </c>
      <c r="N275" s="266">
        <f>IF(ISNUMBER(N264),N270+SUM(N271:N274),"")</f>
        <v>37263</v>
      </c>
      <c r="O275" s="266">
        <f>IF(ISNUMBER(O264),O270+SUM(O271:O274),"")</f>
        <v>37675</v>
      </c>
      <c r="P275" s="266">
        <f>IF(ISNUMBER(P264),P270+SUM(P271:P274),"")</f>
        <v>38569</v>
      </c>
      <c r="Q275" s="266">
        <f>IF(ISNUMBER(Q264),Q270+SUM(Q271:Q274),"")</f>
        <v>38569</v>
      </c>
      <c r="R275" s="266">
        <f>IF(ISNUMBER(R264),R270+SUM(R271:R274),"")</f>
        <v>38884</v>
      </c>
      <c r="S275" s="266">
        <f>IF(ISNUMBER(S264),S270+SUM(S271:S274),"")</f>
        <v>38835</v>
      </c>
      <c r="T275" s="266">
        <f>IF(ISNUMBER(T264),T270+SUM(T271:T274),"")</f>
        <v>39429</v>
      </c>
      <c r="U275" s="266">
        <f>IF(ISNUMBER(U264),U270+SUM(U271:U274),"")</f>
        <v>40236</v>
      </c>
      <c r="V275" s="266">
        <f>IF(ISNUMBER(V264),V270+SUM(V271:V274),"")</f>
        <v>40236</v>
      </c>
      <c r="W275" s="266">
        <f>IF(ISNUMBER(W264),W270+SUM(W271:W274),"")</f>
        <v>54977</v>
      </c>
      <c r="X275" s="266">
        <f>IF(ISNUMBER(X264),X270+SUM(X271:X274),"")</f>
        <v>54326</v>
      </c>
      <c r="Y275" s="266">
        <f>IF(ISNUMBER(Y264),Y270+SUM(Y271:Y274),"")</f>
        <v>63867</v>
      </c>
      <c r="Z275" s="266">
        <f>IF(ISNUMBER(Z264),Z270+SUM(Z271:Z274),"")</f>
        <v>64035</v>
      </c>
      <c r="AA275" s="266">
        <f>IF(ISNUMBER(AA264),AA270+SUM(AA271:AA274),"")</f>
        <v>64035</v>
      </c>
      <c r="AB275" s="266">
        <f>IF(ISNUMBER(AB264),AB270+SUM(AB271:AB274),"")</f>
        <v>63370</v>
      </c>
      <c r="AC275" s="266">
        <f>IF(ISNUMBER(AC264),AC270+SUM(AC271:AC274),"")</f>
        <v>63227</v>
      </c>
      <c r="AD275" s="266">
        <f>IF(ISNUMBER(AD264),AD270+SUM(AD271:AD274),"")</f>
        <v>64000</v>
      </c>
      <c r="AE275" s="266">
        <f>IF(ISNUMBER(AE264),AE270+SUM(AE271:AE274),"")</f>
        <v>67977</v>
      </c>
      <c r="AF275" s="266">
        <f>IF(ISNUMBER(AF264),AF270+SUM(AF271:AF274),"")</f>
        <v>67977</v>
      </c>
      <c r="AG275" s="266">
        <f>IF(ISNUMBER(AG264),AG270+SUM(AG271:AG274),"")</f>
        <v>67154</v>
      </c>
      <c r="AH275" s="266">
        <f>IF(ISNUMBER(AH264),AH270+SUM(AH271:AH274),"")</f>
        <v>69042</v>
      </c>
      <c r="AI275" s="266">
        <f>IF(ISNUMBER(AI264),AI270+SUM(AI271:AI274),"")</f>
        <v>68175</v>
      </c>
      <c r="AJ275" s="266">
        <f>IF(ISNUMBER(AJ264),AJ270+SUM(AJ271:AJ274),"")</f>
        <v>69225</v>
      </c>
      <c r="AK275" s="266">
        <f>IF(ISNUMBER(AK264),AK270+SUM(AK271:AK274),"")</f>
        <v>69225</v>
      </c>
      <c r="AL275" s="266">
        <f>IF(ISNUMBER(AL264),AL270+SUM(AL271:AL274),"")</f>
        <v>71655</v>
      </c>
      <c r="AM275" s="266">
        <f>IF(ISNUMBER(AM264),AM270+SUM(AM271:AM274),"")</f>
        <v>69865</v>
      </c>
      <c r="AN275" s="266">
        <f>IF(ISNUMBER(AN264),AN270+SUM(AN271:AN274),"")</f>
        <v>70249</v>
      </c>
      <c r="AO275" s="266">
        <f>IF(ISNUMBER(AO264),AO270+SUM(AO271:AO274),"")</f>
        <v>72574</v>
      </c>
      <c r="AP275" s="266">
        <f>IF(ISNUMBER(AP264),AP270+SUM(AP271:AP274),"")</f>
        <v>72574</v>
      </c>
      <c r="AQ275" s="266">
        <f>IF(ISNUMBER(AQ264),AQ270+SUM(AQ271:AQ274),"")</f>
        <v>74781</v>
      </c>
      <c r="AR275" s="266">
        <f>IF(ISNUMBER(AR264),AR270+SUM(AR271:AR274),"")</f>
        <v>72820</v>
      </c>
      <c r="AS275" s="266">
        <f>IF(ISNUMBER(AS264),AS270+SUM(AS271:AS274),"")</f>
        <v>77884</v>
      </c>
      <c r="AT275" s="266">
        <f>IF(ISNUMBER(AT264),AT270+SUM(AT271:AT274),"")</f>
        <v>80919</v>
      </c>
      <c r="AU275" s="266">
        <f>IF(ISNUMBER(AU264),AU270+SUM(AU271:AU274),"")</f>
        <v>80919</v>
      </c>
      <c r="AV275" s="266">
        <f>IF(ISNUMBER(AV264),AV270+SUM(AV271:AV274),"")</f>
        <v>80426</v>
      </c>
      <c r="AW275" s="266">
        <f>IF(ISNUMBER(AW264),AW270+SUM(AW271:AW274),"")</f>
        <v>80195</v>
      </c>
      <c r="AX275" s="266">
        <f>IF(ISNUMBER(AX264),AX270+SUM(AX271:AX274),"")</f>
        <v>82671</v>
      </c>
      <c r="AY275" s="266">
        <f>IF(ISNUMBER(AY264),AY270+SUM(AY271:AY274),"")</f>
        <v>82896</v>
      </c>
      <c r="AZ275" s="266">
        <f>IF(ISNUMBER(AZ264),AZ270+SUM(AZ271:AZ274),"")</f>
        <v>82896</v>
      </c>
      <c r="BA275" s="266">
        <f>IF(ISNUMBER(BA264),BA270+SUM(BA271:BA274),"")</f>
        <v>81929</v>
      </c>
      <c r="BB275" s="266">
        <f>IF(ISNUMBER(BB264),BB270+SUM(BB271:BB274),"")</f>
        <v>81808</v>
      </c>
      <c r="BC275" s="266">
        <f>IF(ISNUMBER(BC264),BC270+SUM(BC271:BC274),"")</f>
        <v>85410</v>
      </c>
      <c r="BD275" s="266">
        <f>IF(ISNUMBER(BD264),BD270+SUM(BD271:BD274),"")</f>
        <v>85501</v>
      </c>
      <c r="BE275" s="266">
        <f>IF(ISNUMBER(BE264),BE270+SUM(BE271:BE274),"")</f>
        <v>85501</v>
      </c>
      <c r="BF275" s="266">
        <f>IF(ISNUMBER(BF264),BF270+SUM(BF271:BF274),"")</f>
        <v>85387</v>
      </c>
      <c r="BG275" s="266">
        <f>IF(ISNUMBER(BG264),BG270+SUM(BG271:BG274),"")</f>
        <v>86755</v>
      </c>
      <c r="BH275" s="266">
        <f>IF(ISNUMBER(BH264),BH270+SUM(BH271:BH274),"")</f>
        <v>89234</v>
      </c>
      <c r="BI275" s="266">
        <f>IF(ISNUMBER(BI264),BI270+SUM(BI271:BI274),"")</f>
        <v>90499</v>
      </c>
      <c r="BJ275" s="266">
        <f>IF(ISNUMBER(BJ264),BJ270+SUM(BJ271:BJ274),"")</f>
        <v>90499</v>
      </c>
      <c r="BK275" s="266">
        <f>IF(ISNUMBER(BK264),BK270+SUM(BK271:BK274),"")</f>
        <v>91409</v>
      </c>
      <c r="BL275" s="266">
        <f>IF(ISNUMBER(BL264),BL270+SUM(BL271:BL274),"")</f>
        <v>92399</v>
      </c>
      <c r="BM275" s="266">
        <f>IF(ISNUMBER(BM264),BM270+SUM(BM271:BM274),"")</f>
        <v>91040</v>
      </c>
      <c r="BN275" s="266">
        <f>IF(ISNUMBER(BN264),BN270+SUM(BN271:BN274),"")</f>
        <v>94511</v>
      </c>
      <c r="BO275" s="266">
        <f>IF(ISNUMBER(BO264),BO270+SUM(BO271:BO274),"")</f>
        <v>94511</v>
      </c>
      <c r="BP275" s="266">
        <f>IF(ISNUMBER(BP264),BP270+SUM(BP271:BP274),"")</f>
        <v>91888</v>
      </c>
      <c r="BQ275" s="266">
        <f>IF(ISNUMBER(BQ264),BQ270+SUM(BQ271:BQ274),"")</f>
        <v>92853</v>
      </c>
      <c r="BR275" s="266">
        <f>IF(ISNUMBER(BR264),BR270+SUM(BR271:BR274),"")</f>
        <v>100024</v>
      </c>
      <c r="BS275" s="266">
        <f>IF(ISNUMBER(BS264),BS270+SUM(BS271:BS274),"")</f>
        <v>99627</v>
      </c>
      <c r="BT275" s="266">
        <f>IF(ISNUMBER(BT264),BT270+SUM(BT271:BT274),"")</f>
        <v>99627</v>
      </c>
      <c r="BU275" s="266">
        <f>IF(ISNUMBER(BU264),BU270+SUM(BU271:BU274),"")</f>
        <v>96814</v>
      </c>
      <c r="BV275" s="266">
        <f>IF(ISNUMBER(BV264),BV270+SUM(BV271:BV274),"")</f>
        <v>95049</v>
      </c>
      <c r="BW275" s="266">
        <f>IF(ISNUMBER(BW264),BW270+SUM(BW271:BW274),"")</f>
        <v>94590</v>
      </c>
      <c r="BX275" s="56" t="n"/>
      <c r="BY275" s="266">
        <f>IF(ISNUMBER(BY264),BY270+SUM(BY271:BY274),"")</f>
        <v>96629.0602490719</v>
      </c>
      <c r="BZ275" s="266">
        <f>IF(ISNUMBER(BZ264),BZ270+SUM(BZ271:BZ274),"")</f>
        <v>100332.251717803</v>
      </c>
      <c r="CA275" s="266">
        <f>IF(ISNUMBER(CA264),CA270+SUM(CA271:CA274),"")</f>
        <v>104615.088111904</v>
      </c>
      <c r="CB275" s="266">
        <f>IF(ISNUMBER(CB264),CB270+SUM(CB271:CB274),"")</f>
        <v>109012.347598629</v>
      </c>
      <c r="CC275" s="266">
        <f>IF(ISNUMBER(CC264),CC270+SUM(CC271:CC274),"")</f>
        <v>113543.440937473</v>
      </c>
      <c r="CD275" s="266">
        <f>IF(ISNUMBER(CD264),CD270+SUM(CD271:CD274),"")</f>
        <v>118319.132719823</v>
      </c>
      <c r="CE275" s="153" t="n"/>
      <c r="CG275" s="20">
        <f>IFERROR((CD275/BY275)^(1/5)-1,"n/m")</f>
        <v>0.041332551325856</v>
      </c>
      <c r="CH275" s="20">
        <f>IFERROR((BT275/AU275)^(1/5)-1,"n/m")</f>
        <v>0.042474184766665</v>
      </c>
      <c r="CI275" s="20">
        <f>IFERROR((BT275/V275)^(1/10)-1,"n/m")</f>
        <v>0.0949044612827896</v>
      </c>
      <c r="CJ275" s="20">
        <f>IFERROR((BT275/C275)^(1/17)-1,"n/m")</f>
        <v>0.063501070322971</v>
      </c>
    </row>
    <row r="276" ht="15" customHeight="1" s="251">
      <c r="B276" s="25" t="inlineStr">
        <is>
          <t>LIABILITIES AND EQUITY</t>
        </is>
      </c>
      <c r="CE276" s="153" t="n"/>
    </row>
    <row r="277" ht="15" customHeight="1" s="251">
      <c r="B277" s="25" t="inlineStr">
        <is>
          <t xml:space="preserve">  Settlement payable</t>
        </is>
      </c>
      <c r="C277" s="253" t="n">
        <v>1095</v>
      </c>
      <c r="D277" s="253" t="n">
        <v>634</v>
      </c>
      <c r="E277" s="253" t="n">
        <v>406</v>
      </c>
      <c r="F277" s="253" t="n">
        <v>449</v>
      </c>
      <c r="G277" s="253" t="n">
        <v>719</v>
      </c>
      <c r="H277" s="253" t="n">
        <v>1072</v>
      </c>
      <c r="I277" s="253" t="n">
        <v>722</v>
      </c>
      <c r="J277" s="253" t="n">
        <v>817</v>
      </c>
      <c r="K277" s="253" t="n">
        <v>1225</v>
      </c>
      <c r="L277" s="253" t="n">
        <v>1225</v>
      </c>
      <c r="M277" s="253" t="n">
        <v>1246</v>
      </c>
      <c r="N277" s="253" t="n">
        <v>1099</v>
      </c>
      <c r="O277" s="253" t="n">
        <v>1307</v>
      </c>
      <c r="P277" s="253" t="n">
        <v>1332</v>
      </c>
      <c r="Q277" s="253" t="n">
        <v>1332</v>
      </c>
      <c r="R277" s="253" t="n">
        <v>855</v>
      </c>
      <c r="S277" s="253" t="n">
        <v>1126</v>
      </c>
      <c r="T277" s="253" t="n">
        <v>1237</v>
      </c>
      <c r="U277" s="253" t="n">
        <v>780</v>
      </c>
      <c r="V277" s="253" t="n">
        <v>780</v>
      </c>
      <c r="W277" s="253" t="n">
        <v>744</v>
      </c>
      <c r="X277" s="253" t="n">
        <v>723</v>
      </c>
      <c r="Y277" s="253" t="n">
        <v>1999</v>
      </c>
      <c r="Z277" s="253" t="n">
        <v>2084</v>
      </c>
      <c r="AA277" s="253" t="n">
        <v>2084</v>
      </c>
      <c r="AB277" s="253" t="n">
        <v>2059</v>
      </c>
      <c r="AC277" s="253" t="n">
        <v>2879</v>
      </c>
      <c r="AD277" s="253" t="n">
        <v>2075</v>
      </c>
      <c r="AE277" s="253" t="n">
        <v>2003</v>
      </c>
      <c r="AF277" s="253" t="n">
        <v>2003</v>
      </c>
      <c r="AG277" s="253" t="n">
        <v>2302</v>
      </c>
      <c r="AH277" s="253" t="n">
        <v>3052</v>
      </c>
      <c r="AI277" s="253" t="n">
        <v>2310</v>
      </c>
      <c r="AJ277" s="253" t="n">
        <v>2168</v>
      </c>
      <c r="AK277" s="253" t="n">
        <v>2168</v>
      </c>
      <c r="AL277" s="253" t="n">
        <v>3890</v>
      </c>
      <c r="AM277" s="253" t="n">
        <v>2081</v>
      </c>
      <c r="AN277" s="253" t="n">
        <v>2420</v>
      </c>
      <c r="AO277" s="253" t="n">
        <v>3990</v>
      </c>
      <c r="AP277" s="253" t="n">
        <v>3990</v>
      </c>
      <c r="AQ277" s="253" t="n">
        <v>4277</v>
      </c>
      <c r="AR277" s="253" t="n">
        <v>1869</v>
      </c>
      <c r="AS277" s="253" t="n">
        <v>2725</v>
      </c>
      <c r="AT277" s="253" t="n">
        <v>1736</v>
      </c>
      <c r="AU277" s="253" t="n">
        <v>1736</v>
      </c>
      <c r="AV277" s="253" t="n">
        <v>2048</v>
      </c>
      <c r="AW277" s="253" t="n">
        <v>2000</v>
      </c>
      <c r="AX277" s="253" t="n">
        <v>2376</v>
      </c>
      <c r="AY277" s="253" t="n">
        <v>2443</v>
      </c>
      <c r="AZ277" s="253" t="n">
        <v>2443</v>
      </c>
      <c r="BA277" s="253" t="n">
        <v>2774</v>
      </c>
      <c r="BB277" s="253" t="n">
        <v>2409</v>
      </c>
      <c r="BC277" s="253" t="n">
        <v>3068</v>
      </c>
      <c r="BD277" s="253" t="n">
        <v>3281</v>
      </c>
      <c r="BE277" s="253" t="n">
        <v>3281</v>
      </c>
      <c r="BF277" s="253" t="n">
        <v>3573</v>
      </c>
      <c r="BG277" s="253" t="n">
        <v>3069</v>
      </c>
      <c r="BH277" s="253" t="n">
        <v>3675</v>
      </c>
      <c r="BI277" s="253" t="n">
        <v>3269</v>
      </c>
      <c r="BJ277" s="253" t="n">
        <v>3269</v>
      </c>
      <c r="BK277" s="253" t="n">
        <v>3724</v>
      </c>
      <c r="BL277" s="253" t="n">
        <v>4485</v>
      </c>
      <c r="BM277" s="253" t="n">
        <v>2576</v>
      </c>
      <c r="BN277" s="253" t="n">
        <v>5265</v>
      </c>
      <c r="BO277" s="253" t="n">
        <v>5265</v>
      </c>
      <c r="BP277" s="253" t="n">
        <v>4425</v>
      </c>
      <c r="BQ277" s="253" t="n">
        <v>4996</v>
      </c>
      <c r="BR277" s="253" t="n">
        <v>6038</v>
      </c>
      <c r="BS277" s="253" t="n">
        <v>4568</v>
      </c>
      <c r="BT277" s="253" t="n">
        <v>4568</v>
      </c>
      <c r="BU277" s="253" t="n">
        <v>4337</v>
      </c>
      <c r="BV277" s="253" t="n">
        <v>3048</v>
      </c>
      <c r="BW277" s="253" t="n">
        <v>3277</v>
      </c>
      <c r="BX277" s="35" t="n"/>
      <c r="BY277" s="254">
        <f>BY297*BY301</f>
        <v>5230.56168</v>
      </c>
      <c r="BZ277" s="254">
        <f>BZ297*BZ301</f>
        <v>5780.82328644999</v>
      </c>
      <c r="CA277" s="254">
        <f>CA297*CA301</f>
        <v>6409.96954871156</v>
      </c>
      <c r="CB277" s="254">
        <f>CB297*CB301</f>
        <v>7060.01448593862</v>
      </c>
      <c r="CC277" s="254">
        <f>CC297*CC301</f>
        <v>7725.63728706922</v>
      </c>
      <c r="CD277" s="254">
        <f>CD297*CD301</f>
        <v>8429.51410655808</v>
      </c>
      <c r="CE277" s="19" t="n"/>
    </row>
    <row r="278" ht="15" customHeight="1" s="251">
      <c r="B278" s="25" t="inlineStr">
        <is>
          <t xml:space="preserve">  Customer collateral (liability)</t>
        </is>
      </c>
      <c r="C278" s="253" t="n">
        <v>679</v>
      </c>
      <c r="D278" s="253" t="n">
        <v>812</v>
      </c>
      <c r="E278" s="253" t="n">
        <v>899</v>
      </c>
      <c r="F278" s="253" t="n">
        <v>931</v>
      </c>
      <c r="G278" s="253" t="n">
        <v>823</v>
      </c>
      <c r="H278" s="253" t="n">
        <v>819</v>
      </c>
      <c r="I278" s="253" t="n">
        <v>846</v>
      </c>
      <c r="J278" s="253" t="n">
        <v>817</v>
      </c>
      <c r="K278" s="253" t="n">
        <v>866</v>
      </c>
      <c r="L278" s="253" t="n">
        <v>866</v>
      </c>
      <c r="M278" s="253" t="n">
        <v>886</v>
      </c>
      <c r="N278" s="253" t="n">
        <v>923</v>
      </c>
      <c r="O278" s="253" t="n">
        <v>936</v>
      </c>
      <c r="P278" s="253" t="n">
        <v>961</v>
      </c>
      <c r="Q278" s="253" t="n">
        <v>961</v>
      </c>
      <c r="R278" s="253" t="n">
        <v>1041</v>
      </c>
      <c r="S278" s="253" t="n">
        <v>1079</v>
      </c>
      <c r="T278" s="253" t="n">
        <v>1068</v>
      </c>
      <c r="U278" s="253" t="n">
        <v>1023</v>
      </c>
      <c r="V278" s="253" t="n">
        <v>1023</v>
      </c>
      <c r="W278" s="253" t="n">
        <v>1041</v>
      </c>
      <c r="X278" s="253" t="n">
        <v>1050</v>
      </c>
      <c r="Y278" s="253" t="n">
        <v>1032</v>
      </c>
      <c r="Z278" s="253" t="n">
        <v>1001</v>
      </c>
      <c r="AA278" s="253" t="n">
        <v>1001</v>
      </c>
      <c r="AB278" s="253" t="n">
        <v>1006</v>
      </c>
      <c r="AC278" s="253" t="n">
        <v>1043</v>
      </c>
      <c r="AD278" s="253" t="n">
        <v>1075</v>
      </c>
      <c r="AE278" s="253" t="n">
        <v>1106</v>
      </c>
      <c r="AF278" s="253" t="n">
        <v>1106</v>
      </c>
      <c r="AG278" s="253" t="n">
        <v>1155</v>
      </c>
      <c r="AH278" s="253" t="n">
        <v>1250</v>
      </c>
      <c r="AI278" s="253" t="n">
        <v>1346</v>
      </c>
      <c r="AJ278" s="253" t="n">
        <v>1325</v>
      </c>
      <c r="AK278" s="253" t="n">
        <v>1325</v>
      </c>
      <c r="AL278" s="253" t="n">
        <v>1330</v>
      </c>
      <c r="AM278" s="253" t="n">
        <v>1735</v>
      </c>
      <c r="AN278" s="253" t="n">
        <v>1668</v>
      </c>
      <c r="AO278" s="253" t="n">
        <v>1648</v>
      </c>
      <c r="AP278" s="253" t="n">
        <v>1648</v>
      </c>
      <c r="AQ278" s="253" t="n">
        <v>1698</v>
      </c>
      <c r="AR278" s="253" t="n">
        <v>1698</v>
      </c>
      <c r="AS278" s="253" t="n">
        <v>1759</v>
      </c>
      <c r="AT278" s="253" t="n">
        <v>1850</v>
      </c>
      <c r="AU278" s="253" t="n">
        <v>1850</v>
      </c>
      <c r="AV278" s="253" t="n">
        <v>1993</v>
      </c>
      <c r="AW278" s="253" t="n">
        <v>2057</v>
      </c>
      <c r="AX278" s="253" t="n">
        <v>2221</v>
      </c>
      <c r="AY278" s="253" t="n">
        <v>2260</v>
      </c>
      <c r="AZ278" s="253" t="n">
        <v>2260</v>
      </c>
      <c r="BA278" s="253" t="n">
        <v>2284</v>
      </c>
      <c r="BB278" s="253" t="n">
        <v>2309</v>
      </c>
      <c r="BC278" s="253" t="n">
        <v>2261</v>
      </c>
      <c r="BD278" s="253" t="n">
        <v>2342</v>
      </c>
      <c r="BE278" s="253" t="n">
        <v>2342</v>
      </c>
      <c r="BF278" s="253" t="n">
        <v>2591</v>
      </c>
      <c r="BG278" s="253" t="n">
        <v>2739</v>
      </c>
      <c r="BH278" s="253" t="n">
        <v>2907</v>
      </c>
      <c r="BI278" s="253" t="n">
        <v>3005</v>
      </c>
      <c r="BJ278" s="253" t="n">
        <v>3005</v>
      </c>
      <c r="BK278" s="253" t="n">
        <v>3164</v>
      </c>
      <c r="BL278" s="253" t="n">
        <v>3367</v>
      </c>
      <c r="BM278" s="253" t="n">
        <v>3472</v>
      </c>
      <c r="BN278" s="253" t="n">
        <v>3524</v>
      </c>
      <c r="BO278" s="253" t="n">
        <v>3524</v>
      </c>
      <c r="BP278" s="253" t="n">
        <v>3518</v>
      </c>
      <c r="BQ278" s="253" t="n">
        <v>3543</v>
      </c>
      <c r="BR278" s="253" t="n">
        <v>3614</v>
      </c>
      <c r="BS278" s="253" t="n">
        <v>3625</v>
      </c>
      <c r="BT278" s="253" t="n">
        <v>3625</v>
      </c>
      <c r="BU278" s="253" t="n">
        <v>3712</v>
      </c>
      <c r="BV278" s="253" t="n">
        <v>4292</v>
      </c>
      <c r="BW278" s="253" t="n">
        <v>4310</v>
      </c>
      <c r="BX278" s="35" t="n"/>
      <c r="BY278" s="254">
        <f>BW278</f>
        <v>4310</v>
      </c>
      <c r="BZ278" s="254">
        <f>BY278</f>
        <v>4310</v>
      </c>
      <c r="CA278" s="254">
        <f>BZ278</f>
        <v>4310</v>
      </c>
      <c r="CB278" s="254">
        <f>CA278</f>
        <v>4310</v>
      </c>
      <c r="CC278" s="254">
        <f>CB278</f>
        <v>4310</v>
      </c>
      <c r="CD278" s="254">
        <f>CC278</f>
        <v>4310</v>
      </c>
      <c r="CE278" s="19" t="n"/>
    </row>
    <row r="279" ht="15" customHeight="1" s="251">
      <c r="B279" s="25" t="inlineStr">
        <is>
          <t xml:space="preserve">  Accrued litigation</t>
        </is>
      </c>
      <c r="C279" s="253" t="n">
        <v>0</v>
      </c>
      <c r="D279" s="253" t="n">
        <v>0</v>
      </c>
      <c r="E279" s="253" t="n">
        <v>0</v>
      </c>
      <c r="F279" s="253" t="n">
        <v>0</v>
      </c>
      <c r="G279" s="253" t="n">
        <v>4386</v>
      </c>
      <c r="H279" s="253" t="n">
        <v>5</v>
      </c>
      <c r="I279" s="253" t="n">
        <v>6</v>
      </c>
      <c r="J279" s="253" t="n">
        <v>5</v>
      </c>
      <c r="K279" s="253" t="n">
        <v>5</v>
      </c>
      <c r="L279" s="253" t="n">
        <v>5</v>
      </c>
      <c r="M279" s="253" t="n">
        <v>4</v>
      </c>
      <c r="N279" s="253" t="n">
        <v>1060</v>
      </c>
      <c r="O279" s="253" t="n">
        <v>1060</v>
      </c>
      <c r="P279" s="253" t="n">
        <v>1456</v>
      </c>
      <c r="Q279" s="253" t="n">
        <v>1456</v>
      </c>
      <c r="R279" s="253" t="n">
        <v>1353</v>
      </c>
      <c r="S279" s="253" t="n">
        <v>1135</v>
      </c>
      <c r="T279" s="253" t="n">
        <v>1097</v>
      </c>
      <c r="U279" s="253" t="n">
        <v>1024</v>
      </c>
      <c r="V279" s="253" t="n">
        <v>1024</v>
      </c>
      <c r="W279" s="253" t="n">
        <v>1012</v>
      </c>
      <c r="X279" s="253" t="n">
        <v>1013</v>
      </c>
      <c r="Y279" s="253" t="n">
        <v>978</v>
      </c>
      <c r="Z279" s="253" t="n">
        <v>981</v>
      </c>
      <c r="AA279" s="253" t="n">
        <v>981</v>
      </c>
      <c r="AB279" s="253" t="n">
        <v>994</v>
      </c>
      <c r="AC279" s="253" t="n">
        <v>996</v>
      </c>
      <c r="AD279" s="253" t="n">
        <v>995</v>
      </c>
      <c r="AE279" s="253" t="n">
        <v>982</v>
      </c>
      <c r="AF279" s="253" t="n">
        <v>982</v>
      </c>
      <c r="AG279" s="253" t="n">
        <v>830</v>
      </c>
      <c r="AH279" s="253" t="n">
        <v>830</v>
      </c>
      <c r="AI279" s="253" t="n">
        <v>1428</v>
      </c>
      <c r="AJ279" s="253" t="n">
        <v>1434</v>
      </c>
      <c r="AK279" s="253" t="n">
        <v>1434</v>
      </c>
      <c r="AL279" s="253" t="n">
        <v>1489</v>
      </c>
      <c r="AM279" s="253" t="n">
        <v>914</v>
      </c>
      <c r="AN279" s="253" t="n">
        <v>856</v>
      </c>
      <c r="AO279" s="253" t="n">
        <v>1203</v>
      </c>
      <c r="AP279" s="253" t="n">
        <v>1203</v>
      </c>
      <c r="AQ279" s="253" t="n">
        <v>1629</v>
      </c>
      <c r="AR279" s="253" t="n">
        <v>1268</v>
      </c>
      <c r="AS279" s="253" t="n">
        <v>1156</v>
      </c>
      <c r="AT279" s="253" t="n">
        <v>914</v>
      </c>
      <c r="AU279" s="253" t="n">
        <v>914</v>
      </c>
      <c r="AV279" s="253" t="n">
        <v>909</v>
      </c>
      <c r="AW279" s="253" t="n">
        <v>886</v>
      </c>
      <c r="AX279" s="253" t="n">
        <v>900</v>
      </c>
      <c r="AY279" s="253" t="n">
        <v>983</v>
      </c>
      <c r="AZ279" s="253" t="n">
        <v>983</v>
      </c>
      <c r="BA279" s="253" t="n">
        <v>1027</v>
      </c>
      <c r="BB279" s="253" t="n">
        <v>769</v>
      </c>
      <c r="BC279" s="253" t="n">
        <v>1486</v>
      </c>
      <c r="BD279" s="253" t="n">
        <v>1456</v>
      </c>
      <c r="BE279" s="253" t="n">
        <v>1456</v>
      </c>
      <c r="BF279" s="253" t="n">
        <v>1702</v>
      </c>
      <c r="BG279" s="253" t="n">
        <v>1602</v>
      </c>
      <c r="BH279" s="253" t="n">
        <v>1545</v>
      </c>
      <c r="BI279" s="253" t="n">
        <v>1751</v>
      </c>
      <c r="BJ279" s="253" t="n">
        <v>1751</v>
      </c>
      <c r="BK279" s="253" t="n">
        <v>1471</v>
      </c>
      <c r="BL279" s="253" t="n">
        <v>1853</v>
      </c>
      <c r="BM279" s="253" t="n">
        <v>1688</v>
      </c>
      <c r="BN279" s="253" t="n">
        <v>1727</v>
      </c>
      <c r="BO279" s="253" t="n">
        <v>1727</v>
      </c>
      <c r="BP279" s="253" t="n">
        <v>1649</v>
      </c>
      <c r="BQ279" s="253" t="n">
        <v>2076</v>
      </c>
      <c r="BR279" s="253" t="n">
        <v>2352</v>
      </c>
      <c r="BS279" s="253" t="n">
        <v>3033</v>
      </c>
      <c r="BT279" s="253" t="n">
        <v>3033</v>
      </c>
      <c r="BU279" s="253" t="n">
        <v>3406</v>
      </c>
      <c r="BV279" s="253" t="n">
        <v>981</v>
      </c>
      <c r="BW279" s="253" t="n">
        <v>1274</v>
      </c>
      <c r="BX279" s="35" t="n"/>
      <c r="BY279" s="254">
        <f>BW279</f>
        <v>1274</v>
      </c>
      <c r="BZ279" s="254">
        <f>BY279</f>
        <v>1274</v>
      </c>
      <c r="CA279" s="254">
        <f>BZ279</f>
        <v>1274</v>
      </c>
      <c r="CB279" s="254">
        <f>CA279</f>
        <v>1274</v>
      </c>
      <c r="CC279" s="254">
        <f>CB279</f>
        <v>1274</v>
      </c>
      <c r="CD279" s="254">
        <f>CC279</f>
        <v>1274</v>
      </c>
      <c r="CE279" s="19" t="inlineStr">
        <is>
          <t>Held (assumption): covered litigation is paid from the escrow; no new provisions forecast.</t>
        </is>
      </c>
    </row>
    <row r="280" ht="15" customHeight="1" s="251">
      <c r="B280" s="25" t="inlineStr">
        <is>
          <t xml:space="preserve">  Current maturities of debt &amp; commercial paper</t>
        </is>
      </c>
      <c r="C280" s="253" t="n">
        <v>51</v>
      </c>
      <c r="D280" s="253" t="n">
        <v>12</v>
      </c>
      <c r="E280" s="253" t="n">
        <v>12</v>
      </c>
      <c r="F280" s="253" t="n">
        <v>0</v>
      </c>
      <c r="G280" s="253" t="n">
        <v>0</v>
      </c>
      <c r="H280" s="253" t="n">
        <v>0</v>
      </c>
      <c r="I280" s="253" t="n">
        <v>0</v>
      </c>
      <c r="J280" s="253" t="n">
        <v>0</v>
      </c>
      <c r="K280" s="253" t="n">
        <v>0</v>
      </c>
      <c r="L280" s="253" t="n">
        <v>0</v>
      </c>
      <c r="M280" s="253" t="n">
        <v>0</v>
      </c>
      <c r="N280" s="253" t="n">
        <v>0</v>
      </c>
      <c r="O280" s="253" t="n">
        <v>0</v>
      </c>
      <c r="P280" s="253" t="n">
        <v>0</v>
      </c>
      <c r="Q280" s="253" t="n">
        <v>0</v>
      </c>
      <c r="R280" s="253" t="n">
        <v>0</v>
      </c>
      <c r="S280" s="253" t="n">
        <v>0</v>
      </c>
      <c r="T280" s="253" t="n">
        <v>0</v>
      </c>
      <c r="U280" s="253" t="n">
        <v>0</v>
      </c>
      <c r="V280" s="253" t="n">
        <v>0</v>
      </c>
      <c r="W280" s="253" t="n">
        <v>0</v>
      </c>
      <c r="X280" s="253" t="n">
        <v>0</v>
      </c>
      <c r="Y280" s="253" t="n">
        <v>0</v>
      </c>
      <c r="Z280" s="253" t="n">
        <v>0</v>
      </c>
      <c r="AA280" s="253" t="n">
        <v>0</v>
      </c>
      <c r="AB280" s="253" t="n">
        <v>0</v>
      </c>
      <c r="AC280" s="253" t="n">
        <v>1748</v>
      </c>
      <c r="AD280" s="253" t="n">
        <v>1749</v>
      </c>
      <c r="AE280" s="253" t="n">
        <v>1749</v>
      </c>
      <c r="AF280" s="253" t="n">
        <v>1749</v>
      </c>
      <c r="AG280" s="253" t="n">
        <v>0</v>
      </c>
      <c r="AH280" s="253" t="n">
        <v>0</v>
      </c>
      <c r="AI280" s="253" t="n">
        <v>0</v>
      </c>
      <c r="AJ280" s="253" t="n">
        <v>0</v>
      </c>
      <c r="AK280" s="253" t="n">
        <v>0</v>
      </c>
      <c r="AL280" s="253" t="n">
        <v>0</v>
      </c>
      <c r="AM280" s="253" t="n">
        <v>0</v>
      </c>
      <c r="AN280" s="253" t="n">
        <v>0</v>
      </c>
      <c r="AO280" s="253" t="n">
        <v>0</v>
      </c>
      <c r="AP280" s="253" t="n">
        <v>0</v>
      </c>
      <c r="AQ280" s="253" t="n">
        <v>3000</v>
      </c>
      <c r="AR280" s="253" t="n">
        <v>3999</v>
      </c>
      <c r="AS280" s="253" t="n">
        <v>2999</v>
      </c>
      <c r="AT280" s="253" t="n">
        <v>2999</v>
      </c>
      <c r="AU280" s="253" t="n">
        <v>2999</v>
      </c>
      <c r="AV280" s="253" t="n">
        <v>0</v>
      </c>
      <c r="AW280" s="253" t="n">
        <v>0</v>
      </c>
      <c r="AX280" s="253" t="n">
        <v>0</v>
      </c>
      <c r="AY280" s="253" t="n">
        <v>999</v>
      </c>
      <c r="AZ280" s="253" t="n">
        <v>999</v>
      </c>
      <c r="BA280" s="253" t="n">
        <v>3247</v>
      </c>
      <c r="BB280" s="253" t="n">
        <v>3548</v>
      </c>
      <c r="BC280" s="253" t="n">
        <v>3249</v>
      </c>
      <c r="BD280" s="253" t="n">
        <v>2250</v>
      </c>
      <c r="BE280" s="253" t="n">
        <v>2250</v>
      </c>
      <c r="BF280" s="253" t="n">
        <v>0</v>
      </c>
      <c r="BG280" s="253" t="n">
        <v>0</v>
      </c>
      <c r="BH280" s="253" t="n">
        <v>0</v>
      </c>
      <c r="BI280" s="253" t="n">
        <v>0</v>
      </c>
      <c r="BJ280" s="253" t="n">
        <v>0</v>
      </c>
      <c r="BK280" s="253" t="n">
        <v>0</v>
      </c>
      <c r="BL280" s="253" t="n">
        <v>0</v>
      </c>
      <c r="BM280" s="253" t="n">
        <v>0</v>
      </c>
      <c r="BN280" s="253" t="n">
        <v>0</v>
      </c>
      <c r="BO280" s="253" t="n">
        <v>0</v>
      </c>
      <c r="BP280" s="253" t="n">
        <v>3929</v>
      </c>
      <c r="BQ280" s="253" t="n">
        <v>3948</v>
      </c>
      <c r="BR280" s="253" t="n">
        <v>5548</v>
      </c>
      <c r="BS280" s="253" t="n">
        <v>5569</v>
      </c>
      <c r="BT280" s="253" t="n">
        <v>5569</v>
      </c>
      <c r="BU280" s="253" t="n">
        <v>1589</v>
      </c>
      <c r="BV280" s="253" t="n">
        <v>1559</v>
      </c>
      <c r="BW280" s="253" t="n">
        <v>2996</v>
      </c>
      <c r="BX280" s="35" t="n"/>
      <c r="BY280" s="254">
        <f>BY329+MIN(BY323,BY326)</f>
        <v>2750</v>
      </c>
      <c r="BZ280" s="254">
        <f>BZ329+MIN(BZ323,BZ326)</f>
        <v>5088.37557724049</v>
      </c>
      <c r="CA280" s="254">
        <f>CA329+MIN(CA323,CA326)</f>
        <v>7092.01107710047</v>
      </c>
      <c r="CB280" s="254">
        <f>CB329+MIN(CB323,CB326)</f>
        <v>8011.91963945159</v>
      </c>
      <c r="CC280" s="254">
        <f>CC329+MIN(CC323,CC326)</f>
        <v>9703.18045999753</v>
      </c>
      <c r="CD280" s="254">
        <f>CD329+MIN(CD323,CD326)</f>
        <v>9524.94584836691</v>
      </c>
      <c r="CE280" s="19" t="n"/>
    </row>
    <row r="281" ht="15" customHeight="1" s="251">
      <c r="B281" s="25" t="inlineStr">
        <is>
          <t xml:space="preserve">  Accounts payable, accrued compensation, client incentives &amp; accrued liabilities (derived)</t>
        </is>
      </c>
      <c r="C281" s="253" t="n">
        <v>5340</v>
      </c>
      <c r="D281" s="253" t="n">
        <v>2984</v>
      </c>
      <c r="E281" s="253" t="n">
        <v>2181</v>
      </c>
      <c r="F281" s="253" t="n">
        <v>2071</v>
      </c>
      <c r="G281" s="253" t="n">
        <v>2026</v>
      </c>
      <c r="H281" s="253" t="n">
        <v>1851</v>
      </c>
      <c r="I281" s="253" t="n">
        <v>1965</v>
      </c>
      <c r="J281" s="253" t="n">
        <v>2032</v>
      </c>
      <c r="K281" s="253" t="n">
        <v>2239</v>
      </c>
      <c r="L281" s="253" t="n">
        <v>2239</v>
      </c>
      <c r="M281" s="253" t="n">
        <v>2249</v>
      </c>
      <c r="N281" s="253" t="n">
        <v>1879</v>
      </c>
      <c r="O281" s="253" t="n">
        <v>2011</v>
      </c>
      <c r="P281" s="253" t="n">
        <v>2257</v>
      </c>
      <c r="Q281" s="253" t="n">
        <v>2257</v>
      </c>
      <c r="R281" s="253" t="n">
        <v>2549</v>
      </c>
      <c r="S281" s="253" t="n">
        <v>2103</v>
      </c>
      <c r="T281" s="253" t="n">
        <v>2387</v>
      </c>
      <c r="U281" s="253" t="n">
        <v>2547</v>
      </c>
      <c r="V281" s="253" t="n">
        <v>2547</v>
      </c>
      <c r="W281" s="253" t="n">
        <v>2560</v>
      </c>
      <c r="X281" s="253" t="n">
        <v>2339</v>
      </c>
      <c r="Y281" s="253" t="n">
        <v>3774</v>
      </c>
      <c r="Z281" s="253" t="n">
        <v>3980</v>
      </c>
      <c r="AA281" s="253" t="n">
        <v>3980</v>
      </c>
      <c r="AB281" s="253" t="n">
        <v>6282</v>
      </c>
      <c r="AC281" s="253" t="n">
        <v>3540</v>
      </c>
      <c r="AD281" s="253" t="n">
        <v>3617</v>
      </c>
      <c r="AE281" s="253" t="n">
        <v>4154</v>
      </c>
      <c r="AF281" s="253" t="n">
        <v>4154</v>
      </c>
      <c r="AG281" s="253" t="n">
        <v>4076</v>
      </c>
      <c r="AH281" s="253" t="n">
        <v>4419</v>
      </c>
      <c r="AI281" s="253" t="n">
        <v>5850</v>
      </c>
      <c r="AJ281" s="253" t="n">
        <v>6378</v>
      </c>
      <c r="AK281" s="253" t="n">
        <v>6378</v>
      </c>
      <c r="AL281" s="253" t="n">
        <v>6680</v>
      </c>
      <c r="AM281" s="253" t="n">
        <v>6650</v>
      </c>
      <c r="AN281" s="253" t="n">
        <v>5885</v>
      </c>
      <c r="AO281" s="253" t="n">
        <v>6574</v>
      </c>
      <c r="AP281" s="253" t="n">
        <v>6574</v>
      </c>
      <c r="AQ281" s="253" t="n">
        <v>6975</v>
      </c>
      <c r="AR281" s="253" t="n">
        <v>7108</v>
      </c>
      <c r="AS281" s="253" t="n">
        <v>7461</v>
      </c>
      <c r="AT281" s="253" t="n">
        <v>7011</v>
      </c>
      <c r="AU281" s="253" t="n">
        <v>7011</v>
      </c>
      <c r="AV281" s="253" t="n">
        <v>7440</v>
      </c>
      <c r="AW281" s="253" t="n">
        <v>7768</v>
      </c>
      <c r="AX281" s="253" t="n">
        <v>8526</v>
      </c>
      <c r="AY281" s="253" t="n">
        <v>9054</v>
      </c>
      <c r="AZ281" s="253" t="n">
        <v>9054</v>
      </c>
      <c r="BA281" s="253" t="n">
        <v>9236</v>
      </c>
      <c r="BB281" s="253" t="n">
        <v>9667</v>
      </c>
      <c r="BC281" s="253" t="n">
        <v>10245</v>
      </c>
      <c r="BD281" s="253" t="n">
        <v>11524</v>
      </c>
      <c r="BE281" s="253" t="n">
        <v>11524</v>
      </c>
      <c r="BF281" s="253" t="n">
        <v>11487</v>
      </c>
      <c r="BG281" s="253" t="n">
        <v>11687</v>
      </c>
      <c r="BH281" s="253" t="n">
        <v>13103</v>
      </c>
      <c r="BI281" s="253" t="n">
        <v>15073</v>
      </c>
      <c r="BJ281" s="253" t="n">
        <v>15073</v>
      </c>
      <c r="BK281" s="253" t="n">
        <v>14275</v>
      </c>
      <c r="BL281" s="253" t="n">
        <v>13738</v>
      </c>
      <c r="BM281" s="253" t="n">
        <v>14876</v>
      </c>
      <c r="BN281" s="253" t="n">
        <v>16001</v>
      </c>
      <c r="BO281" s="253" t="n">
        <v>16001</v>
      </c>
      <c r="BP281" s="253" t="n">
        <v>15570</v>
      </c>
      <c r="BQ281" s="253" t="n">
        <v>15818</v>
      </c>
      <c r="BR281" s="253" t="n">
        <v>16875</v>
      </c>
      <c r="BS281" s="253" t="n">
        <v>18253</v>
      </c>
      <c r="BT281" s="253" t="n">
        <v>18253</v>
      </c>
      <c r="BU281" s="253" t="n">
        <v>18447</v>
      </c>
      <c r="BV281" s="253" t="n">
        <v>19196</v>
      </c>
      <c r="BW281" s="253" t="n">
        <v>19610</v>
      </c>
      <c r="BX281" s="35" t="n"/>
      <c r="BY281" s="254">
        <f>BY297*BY302</f>
        <v>20922.24672</v>
      </c>
      <c r="BZ281" s="254">
        <f>BZ297*BZ302</f>
        <v>23123.2931457999</v>
      </c>
      <c r="CA281" s="254">
        <f>CA297*CA302</f>
        <v>25639.8781948462</v>
      </c>
      <c r="CB281" s="254">
        <f>CB297*CB302</f>
        <v>28240.0579437545</v>
      </c>
      <c r="CC281" s="254">
        <f>CC297*CC302</f>
        <v>30902.5491482769</v>
      </c>
      <c r="CD281" s="254">
        <f>CD297*CD302</f>
        <v>33718.0564262323</v>
      </c>
      <c r="CE281" s="19" t="n"/>
    </row>
    <row r="282" ht="15" customHeight="1" s="251">
      <c r="B282" s="16" t="inlineStr">
        <is>
          <t>Total current liabilities</t>
        </is>
      </c>
      <c r="C282" s="264">
        <f>IF(ISNUMBER(C277),SUM(C277:C281),"")</f>
        <v>7165</v>
      </c>
      <c r="D282" s="264">
        <f>IF(ISNUMBER(D277),SUM(D277:D281),"")</f>
        <v>4442</v>
      </c>
      <c r="E282" s="264">
        <f>IF(ISNUMBER(E277),SUM(E277:E281),"")</f>
        <v>3498</v>
      </c>
      <c r="F282" s="264">
        <f>IF(ISNUMBER(F277),SUM(F277:F281),"")</f>
        <v>3451</v>
      </c>
      <c r="G282" s="264">
        <f>IF(ISNUMBER(G277),SUM(G277:G281),"")</f>
        <v>7954</v>
      </c>
      <c r="H282" s="264">
        <f>IF(ISNUMBER(H277),SUM(H277:H281),"")</f>
        <v>3747</v>
      </c>
      <c r="I282" s="264">
        <f>IF(ISNUMBER(I277),SUM(I277:I281),"")</f>
        <v>3539</v>
      </c>
      <c r="J282" s="264">
        <f>IF(ISNUMBER(J277),SUM(J277:J281),"")</f>
        <v>3671</v>
      </c>
      <c r="K282" s="264">
        <f>IF(ISNUMBER(K277),SUM(K277:K281),"")</f>
        <v>4335</v>
      </c>
      <c r="L282" s="264">
        <f>IF(ISNUMBER(L277),SUM(L277:L281),"")</f>
        <v>4335</v>
      </c>
      <c r="M282" s="264">
        <f>IF(ISNUMBER(M277),SUM(M277:M281),"")</f>
        <v>4385</v>
      </c>
      <c r="N282" s="264">
        <f>IF(ISNUMBER(N277),SUM(N277:N281),"")</f>
        <v>4961</v>
      </c>
      <c r="O282" s="264">
        <f>IF(ISNUMBER(O277),SUM(O277:O281),"")</f>
        <v>5314</v>
      </c>
      <c r="P282" s="264">
        <f>IF(ISNUMBER(P277),SUM(P277:P281),"")</f>
        <v>6006</v>
      </c>
      <c r="Q282" s="264">
        <f>IF(ISNUMBER(Q277),SUM(Q277:Q281),"")</f>
        <v>6006</v>
      </c>
      <c r="R282" s="264">
        <f>IF(ISNUMBER(R277),SUM(R277:R281),"")</f>
        <v>5798</v>
      </c>
      <c r="S282" s="264">
        <f>IF(ISNUMBER(S277),SUM(S277:S281),"")</f>
        <v>5443</v>
      </c>
      <c r="T282" s="264">
        <f>IF(ISNUMBER(T277),SUM(T277:T281),"")</f>
        <v>5789</v>
      </c>
      <c r="U282" s="264">
        <f>IF(ISNUMBER(U277),SUM(U277:U281),"")</f>
        <v>5374</v>
      </c>
      <c r="V282" s="264">
        <f>IF(ISNUMBER(V277),SUM(V277:V281),"")</f>
        <v>5374</v>
      </c>
      <c r="W282" s="264">
        <f>IF(ISNUMBER(W277),SUM(W277:W281),"")</f>
        <v>5357</v>
      </c>
      <c r="X282" s="264">
        <f>IF(ISNUMBER(X277),SUM(X277:X281),"")</f>
        <v>5125</v>
      </c>
      <c r="Y282" s="264">
        <f>IF(ISNUMBER(Y277),SUM(Y277:Y281),"")</f>
        <v>7783</v>
      </c>
      <c r="Z282" s="264">
        <f>IF(ISNUMBER(Z277),SUM(Z277:Z281),"")</f>
        <v>8046</v>
      </c>
      <c r="AA282" s="264">
        <f>IF(ISNUMBER(AA277),SUM(AA277:AA281),"")</f>
        <v>8046</v>
      </c>
      <c r="AB282" s="264">
        <f>IF(ISNUMBER(AB277),SUM(AB277:AB281),"")</f>
        <v>10341</v>
      </c>
      <c r="AC282" s="264">
        <f>IF(ISNUMBER(AC277),SUM(AC277:AC281),"")</f>
        <v>10206</v>
      </c>
      <c r="AD282" s="264">
        <f>IF(ISNUMBER(AD277),SUM(AD277:AD281),"")</f>
        <v>9511</v>
      </c>
      <c r="AE282" s="264">
        <f>IF(ISNUMBER(AE277),SUM(AE277:AE281),"")</f>
        <v>9994</v>
      </c>
      <c r="AF282" s="264">
        <f>IF(ISNUMBER(AF277),SUM(AF277:AF281),"")</f>
        <v>9994</v>
      </c>
      <c r="AG282" s="264">
        <f>IF(ISNUMBER(AG277),SUM(AG277:AG281),"")</f>
        <v>8363</v>
      </c>
      <c r="AH282" s="264">
        <f>IF(ISNUMBER(AH277),SUM(AH277:AH281),"")</f>
        <v>9551</v>
      </c>
      <c r="AI282" s="264">
        <f>IF(ISNUMBER(AI277),SUM(AI277:AI281),"")</f>
        <v>10934</v>
      </c>
      <c r="AJ282" s="264">
        <f>IF(ISNUMBER(AJ277),SUM(AJ277:AJ281),"")</f>
        <v>11305</v>
      </c>
      <c r="AK282" s="264">
        <f>IF(ISNUMBER(AK277),SUM(AK277:AK281),"")</f>
        <v>11305</v>
      </c>
      <c r="AL282" s="264">
        <f>IF(ISNUMBER(AL277),SUM(AL277:AL281),"")</f>
        <v>13389</v>
      </c>
      <c r="AM282" s="264">
        <f>IF(ISNUMBER(AM277),SUM(AM277:AM281),"")</f>
        <v>11380</v>
      </c>
      <c r="AN282" s="264">
        <f>IF(ISNUMBER(AN277),SUM(AN277:AN281),"")</f>
        <v>10829</v>
      </c>
      <c r="AO282" s="264">
        <f>IF(ISNUMBER(AO277),SUM(AO277:AO281),"")</f>
        <v>13415</v>
      </c>
      <c r="AP282" s="264">
        <f>IF(ISNUMBER(AP277),SUM(AP277:AP281),"")</f>
        <v>13415</v>
      </c>
      <c r="AQ282" s="264">
        <f>IF(ISNUMBER(AQ277),SUM(AQ277:AQ281),"")</f>
        <v>17579</v>
      </c>
      <c r="AR282" s="264">
        <f>IF(ISNUMBER(AR277),SUM(AR277:AR281),"")</f>
        <v>15942</v>
      </c>
      <c r="AS282" s="264">
        <f>IF(ISNUMBER(AS277),SUM(AS277:AS281),"")</f>
        <v>16100</v>
      </c>
      <c r="AT282" s="264">
        <f>IF(ISNUMBER(AT277),SUM(AT277:AT281),"")</f>
        <v>14510</v>
      </c>
      <c r="AU282" s="264">
        <f>IF(ISNUMBER(AU277),SUM(AU277:AU281),"")</f>
        <v>14510</v>
      </c>
      <c r="AV282" s="264">
        <f>IF(ISNUMBER(AV277),SUM(AV277:AV281),"")</f>
        <v>12390</v>
      </c>
      <c r="AW282" s="264">
        <f>IF(ISNUMBER(AW277),SUM(AW277:AW281),"")</f>
        <v>12711</v>
      </c>
      <c r="AX282" s="264">
        <f>IF(ISNUMBER(AX277),SUM(AX277:AX281),"")</f>
        <v>14023</v>
      </c>
      <c r="AY282" s="264">
        <f>IF(ISNUMBER(AY277),SUM(AY277:AY281),"")</f>
        <v>15739</v>
      </c>
      <c r="AZ282" s="264">
        <f>IF(ISNUMBER(AZ277),SUM(AZ277:AZ281),"")</f>
        <v>15739</v>
      </c>
      <c r="BA282" s="264">
        <f>IF(ISNUMBER(BA277),SUM(BA277:BA281),"")</f>
        <v>18568</v>
      </c>
      <c r="BB282" s="264">
        <f>IF(ISNUMBER(BB277),SUM(BB277:BB281),"")</f>
        <v>18702</v>
      </c>
      <c r="BC282" s="264">
        <f>IF(ISNUMBER(BC277),SUM(BC277:BC281),"")</f>
        <v>20309</v>
      </c>
      <c r="BD282" s="264">
        <f>IF(ISNUMBER(BD277),SUM(BD277:BD281),"")</f>
        <v>20853</v>
      </c>
      <c r="BE282" s="264">
        <f>IF(ISNUMBER(BE277),SUM(BE277:BE281),"")</f>
        <v>20853</v>
      </c>
      <c r="BF282" s="264">
        <f>IF(ISNUMBER(BF277),SUM(BF277:BF281),"")</f>
        <v>19353</v>
      </c>
      <c r="BG282" s="264">
        <f>IF(ISNUMBER(BG277),SUM(BG277:BG281),"")</f>
        <v>19097</v>
      </c>
      <c r="BH282" s="264">
        <f>IF(ISNUMBER(BH277),SUM(BH277:BH281),"")</f>
        <v>21230</v>
      </c>
      <c r="BI282" s="264">
        <f>IF(ISNUMBER(BI277),SUM(BI277:BI281),"")</f>
        <v>23098</v>
      </c>
      <c r="BJ282" s="264">
        <f>IF(ISNUMBER(BJ277),SUM(BJ277:BJ281),"")</f>
        <v>23098</v>
      </c>
      <c r="BK282" s="264">
        <f>IF(ISNUMBER(BK277),SUM(BK277:BK281),"")</f>
        <v>22634</v>
      </c>
      <c r="BL282" s="264">
        <f>IF(ISNUMBER(BL277),SUM(BL277:BL281),"")</f>
        <v>23443</v>
      </c>
      <c r="BM282" s="264">
        <f>IF(ISNUMBER(BM277),SUM(BM277:BM281),"")</f>
        <v>22612</v>
      </c>
      <c r="BN282" s="264">
        <f>IF(ISNUMBER(BN277),SUM(BN277:BN281),"")</f>
        <v>26517</v>
      </c>
      <c r="BO282" s="264">
        <f>IF(ISNUMBER(BO277),SUM(BO277:BO281),"")</f>
        <v>26517</v>
      </c>
      <c r="BP282" s="264">
        <f>IF(ISNUMBER(BP277),SUM(BP277:BP281),"")</f>
        <v>29091</v>
      </c>
      <c r="BQ282" s="264">
        <f>IF(ISNUMBER(BQ277),SUM(BQ277:BQ281),"")</f>
        <v>30381</v>
      </c>
      <c r="BR282" s="264">
        <f>IF(ISNUMBER(BR277),SUM(BR277:BR281),"")</f>
        <v>34427</v>
      </c>
      <c r="BS282" s="264">
        <f>IF(ISNUMBER(BS277),SUM(BS277:BS281),"")</f>
        <v>35048</v>
      </c>
      <c r="BT282" s="264">
        <f>IF(ISNUMBER(BT277),SUM(BT277:BT281),"")</f>
        <v>35048</v>
      </c>
      <c r="BU282" s="264">
        <f>IF(ISNUMBER(BU277),SUM(BU277:BU281),"")</f>
        <v>31491</v>
      </c>
      <c r="BV282" s="264">
        <f>IF(ISNUMBER(BV277),SUM(BV277:BV281),"")</f>
        <v>29076</v>
      </c>
      <c r="BW282" s="264">
        <f>IF(ISNUMBER(BW277),SUM(BW277:BW281),"")</f>
        <v>31467</v>
      </c>
      <c r="BX282" s="32" t="n"/>
      <c r="BY282" s="265">
        <f>IF(ISNUMBER(BY277),SUM(BY277:BY281),"")</f>
        <v>34486.8084</v>
      </c>
      <c r="BZ282" s="265">
        <f>IF(ISNUMBER(BZ277),SUM(BZ277:BZ281),"")</f>
        <v>39576.4920094904</v>
      </c>
      <c r="CA282" s="265">
        <f>IF(ISNUMBER(CA277),SUM(CA277:CA281),"")</f>
        <v>44725.8588206582</v>
      </c>
      <c r="CB282" s="265">
        <f>IF(ISNUMBER(CB277),SUM(CB277:CB281),"")</f>
        <v>48895.9920691447</v>
      </c>
      <c r="CC282" s="265">
        <f>IF(ISNUMBER(CC277),SUM(CC277:CC281),"")</f>
        <v>53915.3668953436</v>
      </c>
      <c r="CD282" s="265">
        <f>IF(ISNUMBER(CD277),SUM(CD277:CD281),"")</f>
        <v>57256.5163811573</v>
      </c>
      <c r="CE282" s="153" t="n"/>
    </row>
    <row r="283" ht="15" customHeight="1" s="251">
      <c r="B283" s="25" t="inlineStr">
        <is>
          <t xml:space="preserve">  Long-term debt</t>
        </is>
      </c>
      <c r="C283" s="253" t="n">
        <v>55</v>
      </c>
      <c r="D283" s="253" t="n">
        <v>44</v>
      </c>
      <c r="E283" s="253" t="n">
        <v>32</v>
      </c>
      <c r="F283" s="253" t="n">
        <v>0</v>
      </c>
      <c r="G283" s="253" t="n">
        <v>0</v>
      </c>
      <c r="H283" s="253" t="n">
        <v>0</v>
      </c>
      <c r="I283" s="253" t="n">
        <v>0</v>
      </c>
      <c r="J283" s="253" t="n">
        <v>0</v>
      </c>
      <c r="K283" s="253" t="n">
        <v>0</v>
      </c>
      <c r="L283" s="253" t="n">
        <v>0</v>
      </c>
      <c r="M283" s="253" t="n">
        <v>0</v>
      </c>
      <c r="N283" s="253" t="n">
        <v>0</v>
      </c>
      <c r="O283" s="253" t="n">
        <v>0</v>
      </c>
      <c r="P283" s="253" t="n">
        <v>0</v>
      </c>
      <c r="Q283" s="253" t="n">
        <v>0</v>
      </c>
      <c r="R283" s="253" t="n">
        <v>0</v>
      </c>
      <c r="S283" s="253" t="n">
        <v>0</v>
      </c>
      <c r="T283" s="253" t="n">
        <v>0</v>
      </c>
      <c r="U283" s="253" t="n">
        <v>0</v>
      </c>
      <c r="V283" s="253" t="n">
        <v>0</v>
      </c>
      <c r="W283" s="253" t="n">
        <v>15877</v>
      </c>
      <c r="X283" s="253" t="n">
        <v>15876</v>
      </c>
      <c r="Y283" s="253" t="n">
        <v>15879</v>
      </c>
      <c r="Z283" s="253" t="n">
        <v>15882</v>
      </c>
      <c r="AA283" s="253" t="n">
        <v>15882</v>
      </c>
      <c r="AB283" s="253" t="n">
        <v>14138</v>
      </c>
      <c r="AC283" s="253" t="n">
        <v>14140</v>
      </c>
      <c r="AD283" s="253" t="n">
        <v>14142</v>
      </c>
      <c r="AE283" s="253" t="n">
        <v>16618</v>
      </c>
      <c r="AF283" s="253" t="n">
        <v>16618</v>
      </c>
      <c r="AG283" s="253" t="n">
        <v>16621</v>
      </c>
      <c r="AH283" s="253" t="n">
        <v>16624</v>
      </c>
      <c r="AI283" s="253" t="n">
        <v>16627</v>
      </c>
      <c r="AJ283" s="253" t="n">
        <v>16630</v>
      </c>
      <c r="AK283" s="253" t="n">
        <v>16630</v>
      </c>
      <c r="AL283" s="253" t="n">
        <v>16633</v>
      </c>
      <c r="AM283" s="253" t="n">
        <v>16630</v>
      </c>
      <c r="AN283" s="253" t="n">
        <v>16694</v>
      </c>
      <c r="AO283" s="253" t="n">
        <v>16729</v>
      </c>
      <c r="AP283" s="253" t="n">
        <v>16729</v>
      </c>
      <c r="AQ283" s="253" t="n">
        <v>13688</v>
      </c>
      <c r="AR283" s="253" t="n">
        <v>13893</v>
      </c>
      <c r="AS283" s="253" t="n">
        <v>17880</v>
      </c>
      <c r="AT283" s="253" t="n">
        <v>21071</v>
      </c>
      <c r="AU283" s="253" t="n">
        <v>21071</v>
      </c>
      <c r="AV283" s="253" t="n">
        <v>21055</v>
      </c>
      <c r="AW283" s="253" t="n">
        <v>20974</v>
      </c>
      <c r="AX283" s="253" t="n">
        <v>20996</v>
      </c>
      <c r="AY283" s="253" t="n">
        <v>19978</v>
      </c>
      <c r="AZ283" s="253" t="n">
        <v>19978</v>
      </c>
      <c r="BA283" s="253" t="n">
        <v>17673</v>
      </c>
      <c r="BB283" s="253" t="n">
        <v>17479</v>
      </c>
      <c r="BC283" s="253" t="n">
        <v>20546</v>
      </c>
      <c r="BD283" s="253" t="n">
        <v>20200</v>
      </c>
      <c r="BE283" s="253" t="n">
        <v>20200</v>
      </c>
      <c r="BF283" s="253" t="n">
        <v>20487</v>
      </c>
      <c r="BG283" s="253" t="n">
        <v>20606</v>
      </c>
      <c r="BH283" s="253" t="n">
        <v>20560</v>
      </c>
      <c r="BI283" s="253" t="n">
        <v>20463</v>
      </c>
      <c r="BJ283" s="253" t="n">
        <v>20463</v>
      </c>
      <c r="BK283" s="253" t="n">
        <v>20703</v>
      </c>
      <c r="BL283" s="253" t="n">
        <v>20603</v>
      </c>
      <c r="BM283" s="253" t="n">
        <v>20602</v>
      </c>
      <c r="BN283" s="253" t="n">
        <v>20836</v>
      </c>
      <c r="BO283" s="253" t="n">
        <v>20836</v>
      </c>
      <c r="BP283" s="253" t="n">
        <v>16680</v>
      </c>
      <c r="BQ283" s="253" t="n">
        <v>16814</v>
      </c>
      <c r="BR283" s="253" t="n">
        <v>19590</v>
      </c>
      <c r="BS283" s="253" t="n">
        <v>19602</v>
      </c>
      <c r="BT283" s="253" t="n">
        <v>19602</v>
      </c>
      <c r="BU283" s="253" t="n">
        <v>19588</v>
      </c>
      <c r="BV283" s="253" t="n">
        <v>22417</v>
      </c>
      <c r="BW283" s="253" t="n">
        <v>20862</v>
      </c>
      <c r="BX283" s="35" t="n"/>
      <c r="BY283" s="254">
        <f>BY322-BY280</f>
        <v>19608</v>
      </c>
      <c r="BZ283" s="254">
        <f>BZ322-BZ280</f>
        <v>20930</v>
      </c>
      <c r="CA283" s="254">
        <f>CA322-CA280</f>
        <v>20316</v>
      </c>
      <c r="CB283" s="254">
        <f>CB322-CB280</f>
        <v>20858</v>
      </c>
      <c r="CC283" s="254">
        <f>CC322-CC280</f>
        <v>20608</v>
      </c>
      <c r="CD283" s="254">
        <f>CD322-CD280</f>
        <v>22358</v>
      </c>
      <c r="CE283" s="19" t="n"/>
    </row>
    <row r="284" ht="15" customHeight="1" s="251">
      <c r="B284" s="25" t="inlineStr">
        <is>
          <t xml:space="preserve">  Deferred tax liabilities &amp; other liabilities (derived)</t>
        </is>
      </c>
      <c r="C284" s="253" t="n">
        <v>5484</v>
      </c>
      <c r="D284" s="253" t="n">
        <v>4602</v>
      </c>
      <c r="E284" s="253" t="n">
        <v>4864</v>
      </c>
      <c r="F284" s="253" t="n">
        <v>4872</v>
      </c>
      <c r="G284" s="253" t="n">
        <v>4429</v>
      </c>
      <c r="H284" s="253" t="n">
        <v>4524</v>
      </c>
      <c r="I284" s="253" t="n">
        <v>4625</v>
      </c>
      <c r="J284" s="253" t="n">
        <v>4611</v>
      </c>
      <c r="K284" s="253" t="n">
        <v>4751</v>
      </c>
      <c r="L284" s="253" t="n">
        <v>4751</v>
      </c>
      <c r="M284" s="253" t="n">
        <v>4849</v>
      </c>
      <c r="N284" s="253" t="n">
        <v>5007</v>
      </c>
      <c r="O284" s="253" t="n">
        <v>5075</v>
      </c>
      <c r="P284" s="253" t="n">
        <v>5150</v>
      </c>
      <c r="Q284" s="253" t="n">
        <v>5150</v>
      </c>
      <c r="R284" s="253" t="n">
        <v>5144</v>
      </c>
      <c r="S284" s="253" t="n">
        <v>5155</v>
      </c>
      <c r="T284" s="253" t="n">
        <v>5013</v>
      </c>
      <c r="U284" s="253" t="n">
        <v>5020</v>
      </c>
      <c r="V284" s="253" t="n">
        <v>5020</v>
      </c>
      <c r="W284" s="253" t="n">
        <v>4267</v>
      </c>
      <c r="X284" s="253" t="n">
        <v>4194</v>
      </c>
      <c r="Y284" s="253" t="n">
        <v>7378</v>
      </c>
      <c r="Z284" s="253" t="n">
        <v>7195</v>
      </c>
      <c r="AA284" s="253" t="n">
        <v>7195</v>
      </c>
      <c r="AB284" s="253" t="n">
        <v>7165</v>
      </c>
      <c r="AC284" s="253" t="n">
        <v>8098</v>
      </c>
      <c r="AD284" s="253" t="n">
        <v>8403</v>
      </c>
      <c r="AE284" s="253" t="n">
        <v>8605</v>
      </c>
      <c r="AF284" s="253" t="n">
        <v>8605</v>
      </c>
      <c r="AG284" s="253" t="n">
        <v>8769</v>
      </c>
      <c r="AH284" s="253" t="n">
        <v>8764</v>
      </c>
      <c r="AI284" s="253" t="n">
        <v>7296</v>
      </c>
      <c r="AJ284" s="253" t="n">
        <v>7284</v>
      </c>
      <c r="AK284" s="253" t="n">
        <v>7284</v>
      </c>
      <c r="AL284" s="253" t="n">
        <v>7538</v>
      </c>
      <c r="AM284" s="253" t="n">
        <v>7580</v>
      </c>
      <c r="AN284" s="253" t="n">
        <v>7731</v>
      </c>
      <c r="AO284" s="253" t="n">
        <v>7746</v>
      </c>
      <c r="AP284" s="253" t="n">
        <v>7746</v>
      </c>
      <c r="AQ284" s="253" t="n">
        <v>8244</v>
      </c>
      <c r="AR284" s="253" t="n">
        <v>8400</v>
      </c>
      <c r="AS284" s="253" t="n">
        <v>8380</v>
      </c>
      <c r="AT284" s="253" t="n">
        <v>9128</v>
      </c>
      <c r="AU284" s="253" t="n">
        <v>9128</v>
      </c>
      <c r="AV284" s="253" t="n">
        <v>9302</v>
      </c>
      <c r="AW284" s="253" t="n">
        <v>8814</v>
      </c>
      <c r="AX284" s="253" t="n">
        <v>9862</v>
      </c>
      <c r="AY284" s="253" t="n">
        <v>9590</v>
      </c>
      <c r="AZ284" s="253" t="n">
        <v>9590</v>
      </c>
      <c r="BA284" s="253" t="n">
        <v>9494</v>
      </c>
      <c r="BB284" s="253" t="n">
        <v>9638</v>
      </c>
      <c r="BC284" s="253" t="n">
        <v>9072</v>
      </c>
      <c r="BD284" s="253" t="n">
        <v>8867</v>
      </c>
      <c r="BE284" s="253" t="n">
        <v>8867</v>
      </c>
      <c r="BF284" s="253" t="n">
        <v>8623</v>
      </c>
      <c r="BG284" s="253" t="n">
        <v>8487</v>
      </c>
      <c r="BH284" s="253" t="n">
        <v>8463</v>
      </c>
      <c r="BI284" s="253" t="n">
        <v>8205</v>
      </c>
      <c r="BJ284" s="253" t="n">
        <v>8205</v>
      </c>
      <c r="BK284" s="253" t="n">
        <v>8339</v>
      </c>
      <c r="BL284" s="253" t="n">
        <v>7868</v>
      </c>
      <c r="BM284" s="253" t="n">
        <v>8097</v>
      </c>
      <c r="BN284" s="253" t="n">
        <v>8021</v>
      </c>
      <c r="BO284" s="253" t="n">
        <v>8021</v>
      </c>
      <c r="BP284" s="253" t="n">
        <v>7821</v>
      </c>
      <c r="BQ284" s="253" t="n">
        <v>7628</v>
      </c>
      <c r="BR284" s="253" t="n">
        <v>7343</v>
      </c>
      <c r="BS284" s="253" t="n">
        <v>7068</v>
      </c>
      <c r="BT284" s="253" t="n">
        <v>7068</v>
      </c>
      <c r="BU284" s="253" t="n">
        <v>6958</v>
      </c>
      <c r="BV284" s="253" t="n">
        <v>7895</v>
      </c>
      <c r="BW284" s="253" t="n">
        <v>7083</v>
      </c>
      <c r="BX284" s="35" t="n"/>
      <c r="BY284" s="254">
        <f>BW284+(BY223-SUM(BU223:BW223))</f>
        <v>7083</v>
      </c>
      <c r="BZ284" s="254">
        <f>BY284+BZ223</f>
        <v>6983</v>
      </c>
      <c r="CA284" s="254">
        <f>BZ284+CA223</f>
        <v>6883</v>
      </c>
      <c r="CB284" s="254">
        <f>CA284+CB223</f>
        <v>6783</v>
      </c>
      <c r="CC284" s="254">
        <f>CB284+CC223</f>
        <v>6683</v>
      </c>
      <c r="CD284" s="254">
        <f>CC284+CD223</f>
        <v>6583</v>
      </c>
      <c r="CE284" s="19" t="n"/>
    </row>
    <row r="285" ht="15" customHeight="1" s="251">
      <c r="B285" s="16" t="inlineStr">
        <is>
          <t>Total liabilities</t>
        </is>
      </c>
      <c r="C285" s="264">
        <f>IF(ISNUMBER(C277),C282+SUM(C283:C284),"")</f>
        <v>12704</v>
      </c>
      <c r="D285" s="264">
        <f>IF(ISNUMBER(D277),D282+SUM(D283:D284),"")</f>
        <v>9088</v>
      </c>
      <c r="E285" s="264">
        <f>IF(ISNUMBER(E277),E282+SUM(E283:E284),"")</f>
        <v>8394</v>
      </c>
      <c r="F285" s="264">
        <f>IF(ISNUMBER(F277),F282+SUM(F283:F284),"")</f>
        <v>8323</v>
      </c>
      <c r="G285" s="264">
        <f>IF(ISNUMBER(G277),G282+SUM(G283:G284),"")</f>
        <v>12383</v>
      </c>
      <c r="H285" s="264">
        <f>IF(ISNUMBER(H277),H282+SUM(H283:H284),"")</f>
        <v>8271</v>
      </c>
      <c r="I285" s="264">
        <f>IF(ISNUMBER(I277),I282+SUM(I283:I284),"")</f>
        <v>8164</v>
      </c>
      <c r="J285" s="264">
        <f>IF(ISNUMBER(J277),J282+SUM(J283:J284),"")</f>
        <v>8282</v>
      </c>
      <c r="K285" s="264">
        <f>IF(ISNUMBER(K277),K282+SUM(K283:K284),"")</f>
        <v>9086</v>
      </c>
      <c r="L285" s="264">
        <f>IF(ISNUMBER(L277),L282+SUM(L283:L284),"")</f>
        <v>9086</v>
      </c>
      <c r="M285" s="264">
        <f>IF(ISNUMBER(M277),M282+SUM(M283:M284),"")</f>
        <v>9234</v>
      </c>
      <c r="N285" s="264">
        <f>IF(ISNUMBER(N277),N282+SUM(N283:N284),"")</f>
        <v>9968</v>
      </c>
      <c r="O285" s="264">
        <f>IF(ISNUMBER(O277),O282+SUM(O283:O284),"")</f>
        <v>10389</v>
      </c>
      <c r="P285" s="264">
        <f>IF(ISNUMBER(P277),P282+SUM(P283:P284),"")</f>
        <v>11156</v>
      </c>
      <c r="Q285" s="264">
        <f>IF(ISNUMBER(Q277),Q282+SUM(Q283:Q284),"")</f>
        <v>11156</v>
      </c>
      <c r="R285" s="264">
        <f>IF(ISNUMBER(R277),R282+SUM(R283:R284),"")</f>
        <v>10942</v>
      </c>
      <c r="S285" s="264">
        <f>IF(ISNUMBER(S277),S282+SUM(S283:S284),"")</f>
        <v>10598</v>
      </c>
      <c r="T285" s="264">
        <f>IF(ISNUMBER(T277),T282+SUM(T283:T284),"")</f>
        <v>10802</v>
      </c>
      <c r="U285" s="264">
        <f>IF(ISNUMBER(U277),U282+SUM(U283:U284),"")</f>
        <v>10394</v>
      </c>
      <c r="V285" s="264">
        <f>IF(ISNUMBER(V277),V282+SUM(V283:V284),"")</f>
        <v>10394</v>
      </c>
      <c r="W285" s="264">
        <f>IF(ISNUMBER(W277),W282+SUM(W283:W284),"")</f>
        <v>25501</v>
      </c>
      <c r="X285" s="264">
        <f>IF(ISNUMBER(X277),X282+SUM(X283:X284),"")</f>
        <v>25195</v>
      </c>
      <c r="Y285" s="264">
        <f>IF(ISNUMBER(Y277),Y282+SUM(Y283:Y284),"")</f>
        <v>31040</v>
      </c>
      <c r="Z285" s="264">
        <f>IF(ISNUMBER(Z277),Z282+SUM(Z283:Z284),"")</f>
        <v>31123</v>
      </c>
      <c r="AA285" s="264">
        <f>IF(ISNUMBER(AA277),AA282+SUM(AA283:AA284),"")</f>
        <v>31123</v>
      </c>
      <c r="AB285" s="264">
        <f>IF(ISNUMBER(AB277),AB282+SUM(AB283:AB284),"")</f>
        <v>31644</v>
      </c>
      <c r="AC285" s="264">
        <f>IF(ISNUMBER(AC277),AC282+SUM(AC283:AC284),"")</f>
        <v>32444</v>
      </c>
      <c r="AD285" s="264">
        <f>IF(ISNUMBER(AD277),AD282+SUM(AD283:AD284),"")</f>
        <v>32056</v>
      </c>
      <c r="AE285" s="264">
        <f>IF(ISNUMBER(AE277),AE282+SUM(AE283:AE284),"")</f>
        <v>35217</v>
      </c>
      <c r="AF285" s="264">
        <f>IF(ISNUMBER(AF277),AF282+SUM(AF283:AF284),"")</f>
        <v>35217</v>
      </c>
      <c r="AG285" s="264">
        <f>IF(ISNUMBER(AG277),AG282+SUM(AG283:AG284),"")</f>
        <v>33753</v>
      </c>
      <c r="AH285" s="264">
        <f>IF(ISNUMBER(AH277),AH282+SUM(AH283:AH284),"")</f>
        <v>34939</v>
      </c>
      <c r="AI285" s="264">
        <f>IF(ISNUMBER(AI277),AI282+SUM(AI283:AI284),"")</f>
        <v>34857</v>
      </c>
      <c r="AJ285" s="264">
        <f>IF(ISNUMBER(AJ277),AJ282+SUM(AJ283:AJ284),"")</f>
        <v>35219</v>
      </c>
      <c r="AK285" s="264">
        <f>IF(ISNUMBER(AK277),AK282+SUM(AK283:AK284),"")</f>
        <v>35219</v>
      </c>
      <c r="AL285" s="264">
        <f>IF(ISNUMBER(AL277),AL282+SUM(AL283:AL284),"")</f>
        <v>37560</v>
      </c>
      <c r="AM285" s="264">
        <f>IF(ISNUMBER(AM277),AM282+SUM(AM283:AM284),"")</f>
        <v>35590</v>
      </c>
      <c r="AN285" s="264">
        <f>IF(ISNUMBER(AN277),AN282+SUM(AN283:AN284),"")</f>
        <v>35254</v>
      </c>
      <c r="AO285" s="264">
        <f>IF(ISNUMBER(AO277),AO282+SUM(AO283:AO284),"")</f>
        <v>37890</v>
      </c>
      <c r="AP285" s="264">
        <f>IF(ISNUMBER(AP277),AP282+SUM(AP283:AP284),"")</f>
        <v>37890</v>
      </c>
      <c r="AQ285" s="264">
        <f>IF(ISNUMBER(AQ277),AQ282+SUM(AQ283:AQ284),"")</f>
        <v>39511</v>
      </c>
      <c r="AR285" s="264">
        <f>IF(ISNUMBER(AR277),AR282+SUM(AR283:AR284),"")</f>
        <v>38235</v>
      </c>
      <c r="AS285" s="264">
        <f>IF(ISNUMBER(AS277),AS282+SUM(AS283:AS284),"")</f>
        <v>42360</v>
      </c>
      <c r="AT285" s="264">
        <f>IF(ISNUMBER(AT277),AT282+SUM(AT283:AT284),"")</f>
        <v>44709</v>
      </c>
      <c r="AU285" s="264">
        <f>IF(ISNUMBER(AU277),AU282+SUM(AU283:AU284),"")</f>
        <v>44709</v>
      </c>
      <c r="AV285" s="264">
        <f>IF(ISNUMBER(AV277),AV282+SUM(AV283:AV284),"")</f>
        <v>42747</v>
      </c>
      <c r="AW285" s="264">
        <f>IF(ISNUMBER(AW277),AW282+SUM(AW283:AW284),"")</f>
        <v>42499</v>
      </c>
      <c r="AX285" s="264">
        <f>IF(ISNUMBER(AX277),AX282+SUM(AX283:AX284),"")</f>
        <v>44881</v>
      </c>
      <c r="AY285" s="264">
        <f>IF(ISNUMBER(AY277),AY282+SUM(AY283:AY284),"")</f>
        <v>45307</v>
      </c>
      <c r="AZ285" s="264">
        <f>IF(ISNUMBER(AZ277),AZ282+SUM(AZ283:AZ284),"")</f>
        <v>45307</v>
      </c>
      <c r="BA285" s="264">
        <f>IF(ISNUMBER(BA277),BA282+SUM(BA283:BA284),"")</f>
        <v>45735</v>
      </c>
      <c r="BB285" s="264">
        <f>IF(ISNUMBER(BB277),BB282+SUM(BB283:BB284),"")</f>
        <v>45819</v>
      </c>
      <c r="BC285" s="264">
        <f>IF(ISNUMBER(BC277),BC282+SUM(BC283:BC284),"")</f>
        <v>49927</v>
      </c>
      <c r="BD285" s="264">
        <f>IF(ISNUMBER(BD277),BD282+SUM(BD283:BD284),"")</f>
        <v>49920</v>
      </c>
      <c r="BE285" s="264">
        <f>IF(ISNUMBER(BE277),BE282+SUM(BE283:BE284),"")</f>
        <v>49920</v>
      </c>
      <c r="BF285" s="264">
        <f>IF(ISNUMBER(BF277),BF282+SUM(BF283:BF284),"")</f>
        <v>48463</v>
      </c>
      <c r="BG285" s="264">
        <f>IF(ISNUMBER(BG277),BG282+SUM(BG283:BG284),"")</f>
        <v>48190</v>
      </c>
      <c r="BH285" s="264">
        <f>IF(ISNUMBER(BH277),BH282+SUM(BH283:BH284),"")</f>
        <v>50253</v>
      </c>
      <c r="BI285" s="264">
        <f>IF(ISNUMBER(BI277),BI282+SUM(BI283:BI284),"")</f>
        <v>51766</v>
      </c>
      <c r="BJ285" s="264">
        <f>IF(ISNUMBER(BJ277),BJ282+SUM(BJ283:BJ284),"")</f>
        <v>51766</v>
      </c>
      <c r="BK285" s="264">
        <f>IF(ISNUMBER(BK277),BK282+SUM(BK283:BK284),"")</f>
        <v>51676</v>
      </c>
      <c r="BL285" s="264">
        <f>IF(ISNUMBER(BL277),BL282+SUM(BL283:BL284),"")</f>
        <v>51914</v>
      </c>
      <c r="BM285" s="264">
        <f>IF(ISNUMBER(BM277),BM282+SUM(BM283:BM284),"")</f>
        <v>51311</v>
      </c>
      <c r="BN285" s="264">
        <f>IF(ISNUMBER(BN277),BN282+SUM(BN283:BN284),"")</f>
        <v>55374</v>
      </c>
      <c r="BO285" s="264">
        <f>IF(ISNUMBER(BO277),BO282+SUM(BO283:BO284),"")</f>
        <v>55374</v>
      </c>
      <c r="BP285" s="264">
        <f>IF(ISNUMBER(BP277),BP282+SUM(BP283:BP284),"")</f>
        <v>53592</v>
      </c>
      <c r="BQ285" s="264">
        <f>IF(ISNUMBER(BQ277),BQ282+SUM(BQ283:BQ284),"")</f>
        <v>54823</v>
      </c>
      <c r="BR285" s="264">
        <f>IF(ISNUMBER(BR277),BR282+SUM(BR283:BR284),"")</f>
        <v>61360</v>
      </c>
      <c r="BS285" s="264">
        <f>IF(ISNUMBER(BS277),BS282+SUM(BS283:BS284),"")</f>
        <v>61718</v>
      </c>
      <c r="BT285" s="264">
        <f>IF(ISNUMBER(BT277),BT282+SUM(BT283:BT284),"")</f>
        <v>61718</v>
      </c>
      <c r="BU285" s="264">
        <f>IF(ISNUMBER(BU277),BU282+SUM(BU283:BU284),"")</f>
        <v>58037</v>
      </c>
      <c r="BV285" s="264">
        <f>IF(ISNUMBER(BV277),BV282+SUM(BV283:BV284),"")</f>
        <v>59388</v>
      </c>
      <c r="BW285" s="264">
        <f>IF(ISNUMBER(BW277),BW282+SUM(BW283:BW284),"")</f>
        <v>59412</v>
      </c>
      <c r="BX285" s="32" t="n"/>
      <c r="BY285" s="265">
        <f>IF(ISNUMBER(BY277),BY282+SUM(BY283:BY284),"")</f>
        <v>61177.8084</v>
      </c>
      <c r="BZ285" s="265">
        <f>IF(ISNUMBER(BZ277),BZ282+SUM(BZ283:BZ284),"")</f>
        <v>67489.4920094904</v>
      </c>
      <c r="CA285" s="265">
        <f>IF(ISNUMBER(CA277),CA282+SUM(CA283:CA284),"")</f>
        <v>71924.8588206582</v>
      </c>
      <c r="CB285" s="265">
        <f>IF(ISNUMBER(CB277),CB282+SUM(CB283:CB284),"")</f>
        <v>76536.9920691447</v>
      </c>
      <c r="CC285" s="265">
        <f>IF(ISNUMBER(CC277),CC282+SUM(CC283:CC284),"")</f>
        <v>81206.3668953436</v>
      </c>
      <c r="CD285" s="265">
        <f>IF(ISNUMBER(CD277),CD282+SUM(CD283:CD284),"")</f>
        <v>86197.5163811573</v>
      </c>
      <c r="CE285" s="153" t="n"/>
    </row>
    <row r="286" ht="15" customHeight="1" s="251">
      <c r="B286" s="25" t="inlineStr">
        <is>
          <t xml:space="preserve">  Equity (incl. preferred stock; FY2008–09 incl. temporary equity)</t>
        </is>
      </c>
      <c r="C286" s="253" t="n">
        <v>22277</v>
      </c>
      <c r="D286" s="253" t="n">
        <v>23193</v>
      </c>
      <c r="E286" s="253" t="n">
        <v>25014</v>
      </c>
      <c r="F286" s="253" t="n">
        <v>26437</v>
      </c>
      <c r="G286" s="253" t="n">
        <v>27630</v>
      </c>
      <c r="H286" s="253" t="n">
        <v>27588</v>
      </c>
      <c r="I286" s="253" t="n">
        <v>26895</v>
      </c>
      <c r="J286" s="253" t="n">
        <v>27003</v>
      </c>
      <c r="K286" s="253" t="n">
        <v>26870</v>
      </c>
      <c r="L286" s="253" t="n">
        <v>26870</v>
      </c>
      <c r="M286" s="253" t="n">
        <v>27014</v>
      </c>
      <c r="N286" s="253" t="n">
        <v>27295</v>
      </c>
      <c r="O286" s="253" t="n">
        <v>27286</v>
      </c>
      <c r="P286" s="253" t="n">
        <v>27413</v>
      </c>
      <c r="Q286" s="253" t="n">
        <v>27413</v>
      </c>
      <c r="R286" s="253" t="n">
        <v>27942</v>
      </c>
      <c r="S286" s="253" t="n">
        <v>28237</v>
      </c>
      <c r="T286" s="253" t="n">
        <v>28627</v>
      </c>
      <c r="U286" s="253" t="n">
        <v>29842</v>
      </c>
      <c r="V286" s="253" t="n">
        <v>29842</v>
      </c>
      <c r="W286" s="253" t="n">
        <v>29476</v>
      </c>
      <c r="X286" s="253" t="n">
        <v>29131</v>
      </c>
      <c r="Y286" s="253" t="n">
        <v>32827</v>
      </c>
      <c r="Z286" s="253" t="n">
        <v>32912</v>
      </c>
      <c r="AA286" s="253" t="n">
        <v>32912</v>
      </c>
      <c r="AB286" s="253" t="n">
        <v>31726</v>
      </c>
      <c r="AC286" s="253" t="n">
        <v>30783</v>
      </c>
      <c r="AD286" s="253" t="n">
        <v>31944</v>
      </c>
      <c r="AE286" s="253" t="n">
        <v>32760</v>
      </c>
      <c r="AF286" s="253" t="n">
        <v>32760</v>
      </c>
      <c r="AG286" s="253" t="n">
        <v>33401</v>
      </c>
      <c r="AH286" s="253" t="n">
        <v>34103</v>
      </c>
      <c r="AI286" s="253" t="n">
        <v>33318</v>
      </c>
      <c r="AJ286" s="253" t="n">
        <v>34006</v>
      </c>
      <c r="AK286" s="253" t="n">
        <v>34006</v>
      </c>
      <c r="AL286" s="253" t="n">
        <v>34095</v>
      </c>
      <c r="AM286" s="253" t="n">
        <v>34275</v>
      </c>
      <c r="AN286" s="253" t="n">
        <v>34995</v>
      </c>
      <c r="AO286" s="253" t="n">
        <v>34684</v>
      </c>
      <c r="AP286" s="253" t="n">
        <v>34684</v>
      </c>
      <c r="AQ286" s="253" t="n">
        <v>35270</v>
      </c>
      <c r="AR286" s="253" t="n">
        <v>34585</v>
      </c>
      <c r="AS286" s="253" t="n">
        <v>35524</v>
      </c>
      <c r="AT286" s="253" t="n">
        <v>36210</v>
      </c>
      <c r="AU286" s="253" t="n">
        <v>36210</v>
      </c>
      <c r="AV286" s="253" t="n">
        <v>37679</v>
      </c>
      <c r="AW286" s="253" t="n">
        <v>37696</v>
      </c>
      <c r="AX286" s="253" t="n">
        <v>37790</v>
      </c>
      <c r="AY286" s="253" t="n">
        <v>37589</v>
      </c>
      <c r="AZ286" s="253" t="n">
        <v>37589</v>
      </c>
      <c r="BA286" s="253" t="n">
        <v>36194</v>
      </c>
      <c r="BB286" s="253" t="n">
        <v>35989</v>
      </c>
      <c r="BC286" s="253" t="n">
        <v>35483</v>
      </c>
      <c r="BD286" s="253" t="n">
        <v>35581</v>
      </c>
      <c r="BE286" s="253" t="n">
        <v>35581</v>
      </c>
      <c r="BF286" s="253" t="n">
        <v>36924</v>
      </c>
      <c r="BG286" s="253" t="n">
        <v>38565</v>
      </c>
      <c r="BH286" s="253" t="n">
        <v>38981</v>
      </c>
      <c r="BI286" s="253" t="n">
        <v>38733</v>
      </c>
      <c r="BJ286" s="253" t="n">
        <v>38733</v>
      </c>
      <c r="BK286" s="253" t="n">
        <v>39733</v>
      </c>
      <c r="BL286" s="253" t="n">
        <v>40485</v>
      </c>
      <c r="BM286" s="253" t="n">
        <v>39729</v>
      </c>
      <c r="BN286" s="253" t="n">
        <v>39137</v>
      </c>
      <c r="BO286" s="253" t="n">
        <v>39137</v>
      </c>
      <c r="BP286" s="253" t="n">
        <v>38296</v>
      </c>
      <c r="BQ286" s="253" t="n">
        <v>38030</v>
      </c>
      <c r="BR286" s="253" t="n">
        <v>38664</v>
      </c>
      <c r="BS286" s="253" t="n">
        <v>37909</v>
      </c>
      <c r="BT286" s="253" t="n">
        <v>37909</v>
      </c>
      <c r="BU286" s="253" t="n">
        <v>38777</v>
      </c>
      <c r="BV286" s="253" t="n">
        <v>35661</v>
      </c>
      <c r="BW286" s="253" t="n">
        <v>35178</v>
      </c>
      <c r="BX286" s="35" t="n"/>
      <c r="BY286" s="254">
        <f>BW286+BX135+(BY231-SUM(BU231:BW231))+(BY230-SUM(BU230:BW230))+BX96+(BY233-SUM(BU233:BW233))</f>
        <v>35451.2518490719</v>
      </c>
      <c r="BZ286" s="254">
        <f>BY286+BZ135+BZ231+BZ230+BZ222+BZ233</f>
        <v>32842.759708313</v>
      </c>
      <c r="CA286" s="254">
        <f>BZ286+CA135+CA231+CA230+CA222+CA233</f>
        <v>32690.229291246</v>
      </c>
      <c r="CB286" s="254">
        <f>CA286+CB135+CB231+CB230+CB222+CB233</f>
        <v>32475.3555294848</v>
      </c>
      <c r="CC286" s="254">
        <f>CB286+CC135+CC231+CC230+CC222+CC233</f>
        <v>32337.0740421298</v>
      </c>
      <c r="CD286" s="254">
        <f>CC286+CD135+CD231+CD230+CD222+CD233</f>
        <v>32121.6163386656</v>
      </c>
      <c r="CE286" s="19" t="inlineStr">
        <is>
          <t>+ net income − dividends − repurchases + share-based compensation + equity-plan / other financing flows (OCI and FX translation held flat).</t>
        </is>
      </c>
    </row>
    <row r="287" ht="15" customHeight="1" s="251">
      <c r="B287" s="25" t="inlineStr">
        <is>
          <t xml:space="preserve">  Non-controlling interests (none since FY2013; inside equity before)</t>
        </is>
      </c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34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34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5" t="n"/>
      <c r="BY287" s="254">
        <f>0</f>
        <v>0</v>
      </c>
      <c r="BZ287" s="254">
        <f>0</f>
        <v>0</v>
      </c>
      <c r="CA287" s="254">
        <f>0</f>
        <v>0</v>
      </c>
      <c r="CB287" s="254">
        <f>0</f>
        <v>0</v>
      </c>
      <c r="CC287" s="254">
        <f>0</f>
        <v>0</v>
      </c>
      <c r="CD287" s="254">
        <f>0</f>
        <v>0</v>
      </c>
      <c r="CE287" s="19" t="n"/>
    </row>
    <row r="288" ht="15" customHeight="1" s="251">
      <c r="B288" s="16" t="inlineStr">
        <is>
          <t>Total equity</t>
        </is>
      </c>
      <c r="C288" s="264">
        <f>IF(ISNUMBER(C286),C286+N(C287),"")</f>
        <v>22277</v>
      </c>
      <c r="D288" s="264">
        <f>IF(ISNUMBER(D286),D286+N(D287),"")</f>
        <v>23193</v>
      </c>
      <c r="E288" s="264">
        <f>IF(ISNUMBER(E286),E286+N(E287),"")</f>
        <v>25014</v>
      </c>
      <c r="F288" s="264">
        <f>IF(ISNUMBER(F286),F286+N(F287),"")</f>
        <v>26437</v>
      </c>
      <c r="G288" s="264">
        <f>IF(ISNUMBER(G286),G286+N(G287),"")</f>
        <v>27630</v>
      </c>
      <c r="H288" s="264">
        <f>IF(ISNUMBER(H286),H286+N(H287),"")</f>
        <v>27588</v>
      </c>
      <c r="I288" s="264">
        <f>IF(ISNUMBER(I286),I286+N(I287),"")</f>
        <v>26895</v>
      </c>
      <c r="J288" s="264">
        <f>IF(ISNUMBER(J286),J286+N(J287),"")</f>
        <v>27003</v>
      </c>
      <c r="K288" s="264">
        <f>IF(ISNUMBER(K286),K286+N(K287),"")</f>
        <v>26870</v>
      </c>
      <c r="L288" s="264">
        <f>IF(ISNUMBER(L286),L286+N(L287),"")</f>
        <v>26870</v>
      </c>
      <c r="M288" s="264">
        <f>IF(ISNUMBER(M286),M286+N(M287),"")</f>
        <v>27014</v>
      </c>
      <c r="N288" s="264">
        <f>IF(ISNUMBER(N286),N286+N(N287),"")</f>
        <v>27295</v>
      </c>
      <c r="O288" s="264">
        <f>IF(ISNUMBER(O286),O286+N(O287),"")</f>
        <v>27286</v>
      </c>
      <c r="P288" s="264">
        <f>IF(ISNUMBER(P286),P286+N(P287),"")</f>
        <v>27413</v>
      </c>
      <c r="Q288" s="264">
        <f>IF(ISNUMBER(Q286),Q286+N(Q287),"")</f>
        <v>27413</v>
      </c>
      <c r="R288" s="264">
        <f>IF(ISNUMBER(R286),R286+N(R287),"")</f>
        <v>27942</v>
      </c>
      <c r="S288" s="264">
        <f>IF(ISNUMBER(S286),S286+N(S287),"")</f>
        <v>28237</v>
      </c>
      <c r="T288" s="264">
        <f>IF(ISNUMBER(T286),T286+N(T287),"")</f>
        <v>28627</v>
      </c>
      <c r="U288" s="264">
        <f>IF(ISNUMBER(U286),U286+N(U287),"")</f>
        <v>29842</v>
      </c>
      <c r="V288" s="264">
        <f>IF(ISNUMBER(V286),V286+N(V287),"")</f>
        <v>29842</v>
      </c>
      <c r="W288" s="264">
        <f>IF(ISNUMBER(W286),W286+N(W287),"")</f>
        <v>29476</v>
      </c>
      <c r="X288" s="264">
        <f>IF(ISNUMBER(X286),X286+N(X287),"")</f>
        <v>29131</v>
      </c>
      <c r="Y288" s="264">
        <f>IF(ISNUMBER(Y286),Y286+N(Y287),"")</f>
        <v>32827</v>
      </c>
      <c r="Z288" s="264">
        <f>IF(ISNUMBER(Z286),Z286+N(Z287),"")</f>
        <v>32912</v>
      </c>
      <c r="AA288" s="264">
        <f>IF(ISNUMBER(AA286),AA286+N(AA287),"")</f>
        <v>32912</v>
      </c>
      <c r="AB288" s="264">
        <f>IF(ISNUMBER(AB286),AB286+N(AB287),"")</f>
        <v>31726</v>
      </c>
      <c r="AC288" s="264">
        <f>IF(ISNUMBER(AC286),AC286+N(AC287),"")</f>
        <v>30783</v>
      </c>
      <c r="AD288" s="264">
        <f>IF(ISNUMBER(AD286),AD286+N(AD287),"")</f>
        <v>31944</v>
      </c>
      <c r="AE288" s="264">
        <f>IF(ISNUMBER(AE286),AE286+N(AE287),"")</f>
        <v>32760</v>
      </c>
      <c r="AF288" s="264">
        <f>IF(ISNUMBER(AF286),AF286+N(AF287),"")</f>
        <v>32760</v>
      </c>
      <c r="AG288" s="264">
        <f>IF(ISNUMBER(AG286),AG286+N(AG287),"")</f>
        <v>33401</v>
      </c>
      <c r="AH288" s="264">
        <f>IF(ISNUMBER(AH286),AH286+N(AH287),"")</f>
        <v>34103</v>
      </c>
      <c r="AI288" s="264">
        <f>IF(ISNUMBER(AI286),AI286+N(AI287),"")</f>
        <v>33318</v>
      </c>
      <c r="AJ288" s="264">
        <f>IF(ISNUMBER(AJ286),AJ286+N(AJ287),"")</f>
        <v>34006</v>
      </c>
      <c r="AK288" s="264">
        <f>IF(ISNUMBER(AK286),AK286+N(AK287),"")</f>
        <v>34006</v>
      </c>
      <c r="AL288" s="264">
        <f>IF(ISNUMBER(AL286),AL286+N(AL287),"")</f>
        <v>34095</v>
      </c>
      <c r="AM288" s="264">
        <f>IF(ISNUMBER(AM286),AM286+N(AM287),"")</f>
        <v>34275</v>
      </c>
      <c r="AN288" s="264">
        <f>IF(ISNUMBER(AN286),AN286+N(AN287),"")</f>
        <v>34995</v>
      </c>
      <c r="AO288" s="264">
        <f>IF(ISNUMBER(AO286),AO286+N(AO287),"")</f>
        <v>34684</v>
      </c>
      <c r="AP288" s="264">
        <f>IF(ISNUMBER(AP286),AP286+N(AP287),"")</f>
        <v>34684</v>
      </c>
      <c r="AQ288" s="264">
        <f>IF(ISNUMBER(AQ286),AQ286+N(AQ287),"")</f>
        <v>35270</v>
      </c>
      <c r="AR288" s="264">
        <f>IF(ISNUMBER(AR286),AR286+N(AR287),"")</f>
        <v>34585</v>
      </c>
      <c r="AS288" s="264">
        <f>IF(ISNUMBER(AS286),AS286+N(AS287),"")</f>
        <v>35524</v>
      </c>
      <c r="AT288" s="264">
        <f>IF(ISNUMBER(AT286),AT286+N(AT287),"")</f>
        <v>36210</v>
      </c>
      <c r="AU288" s="264">
        <f>IF(ISNUMBER(AU286),AU286+N(AU287),"")</f>
        <v>36210</v>
      </c>
      <c r="AV288" s="264">
        <f>IF(ISNUMBER(AV286),AV286+N(AV287),"")</f>
        <v>37679</v>
      </c>
      <c r="AW288" s="264">
        <f>IF(ISNUMBER(AW286),AW286+N(AW287),"")</f>
        <v>37696</v>
      </c>
      <c r="AX288" s="264">
        <f>IF(ISNUMBER(AX286),AX286+N(AX287),"")</f>
        <v>37790</v>
      </c>
      <c r="AY288" s="264">
        <f>IF(ISNUMBER(AY286),AY286+N(AY287),"")</f>
        <v>37589</v>
      </c>
      <c r="AZ288" s="264">
        <f>IF(ISNUMBER(AZ286),AZ286+N(AZ287),"")</f>
        <v>37589</v>
      </c>
      <c r="BA288" s="264">
        <f>IF(ISNUMBER(BA286),BA286+N(BA287),"")</f>
        <v>36194</v>
      </c>
      <c r="BB288" s="264">
        <f>IF(ISNUMBER(BB286),BB286+N(BB287),"")</f>
        <v>35989</v>
      </c>
      <c r="BC288" s="264">
        <f>IF(ISNUMBER(BC286),BC286+N(BC287),"")</f>
        <v>35483</v>
      </c>
      <c r="BD288" s="264">
        <f>IF(ISNUMBER(BD286),BD286+N(BD287),"")</f>
        <v>35581</v>
      </c>
      <c r="BE288" s="264">
        <f>IF(ISNUMBER(BE286),BE286+N(BE287),"")</f>
        <v>35581</v>
      </c>
      <c r="BF288" s="264">
        <f>IF(ISNUMBER(BF286),BF286+N(BF287),"")</f>
        <v>36924</v>
      </c>
      <c r="BG288" s="264">
        <f>IF(ISNUMBER(BG286),BG286+N(BG287),"")</f>
        <v>38565</v>
      </c>
      <c r="BH288" s="264">
        <f>IF(ISNUMBER(BH286),BH286+N(BH287),"")</f>
        <v>38981</v>
      </c>
      <c r="BI288" s="264">
        <f>IF(ISNUMBER(BI286),BI286+N(BI287),"")</f>
        <v>38733</v>
      </c>
      <c r="BJ288" s="264">
        <f>IF(ISNUMBER(BJ286),BJ286+N(BJ287),"")</f>
        <v>38733</v>
      </c>
      <c r="BK288" s="264">
        <f>IF(ISNUMBER(BK286),BK286+N(BK287),"")</f>
        <v>39733</v>
      </c>
      <c r="BL288" s="264">
        <f>IF(ISNUMBER(BL286),BL286+N(BL287),"")</f>
        <v>40485</v>
      </c>
      <c r="BM288" s="264">
        <f>IF(ISNUMBER(BM286),BM286+N(BM287),"")</f>
        <v>39729</v>
      </c>
      <c r="BN288" s="264">
        <f>IF(ISNUMBER(BN286),BN286+N(BN287),"")</f>
        <v>39137</v>
      </c>
      <c r="BO288" s="264">
        <f>IF(ISNUMBER(BO286),BO286+N(BO287),"")</f>
        <v>39137</v>
      </c>
      <c r="BP288" s="264">
        <f>IF(ISNUMBER(BP286),BP286+N(BP287),"")</f>
        <v>38296</v>
      </c>
      <c r="BQ288" s="264">
        <f>IF(ISNUMBER(BQ286),BQ286+N(BQ287),"")</f>
        <v>38030</v>
      </c>
      <c r="BR288" s="264">
        <f>IF(ISNUMBER(BR286),BR286+N(BR287),"")</f>
        <v>38664</v>
      </c>
      <c r="BS288" s="264">
        <f>IF(ISNUMBER(BS286),BS286+N(BS287),"")</f>
        <v>37909</v>
      </c>
      <c r="BT288" s="264">
        <f>IF(ISNUMBER(BT286),BT286+N(BT287),"")</f>
        <v>37909</v>
      </c>
      <c r="BU288" s="264">
        <f>IF(ISNUMBER(BU286),BU286+N(BU287),"")</f>
        <v>38777</v>
      </c>
      <c r="BV288" s="264">
        <f>IF(ISNUMBER(BV286),BV286+N(BV287),"")</f>
        <v>35661</v>
      </c>
      <c r="BW288" s="264">
        <f>IF(ISNUMBER(BW286),BW286+N(BW287),"")</f>
        <v>35178</v>
      </c>
      <c r="BX288" s="32" t="n"/>
      <c r="BY288" s="265">
        <f>IF(ISNUMBER(BY286),BY286+N(BY287),"")</f>
        <v>35451.2518490719</v>
      </c>
      <c r="BZ288" s="265">
        <f>IF(ISNUMBER(BZ286),BZ286+N(BZ287),"")</f>
        <v>32842.759708313</v>
      </c>
      <c r="CA288" s="265">
        <f>IF(ISNUMBER(CA286),CA286+N(CA287),"")</f>
        <v>32690.229291246</v>
      </c>
      <c r="CB288" s="265">
        <f>IF(ISNUMBER(CB286),CB286+N(CB287),"")</f>
        <v>32475.3555294848</v>
      </c>
      <c r="CC288" s="265">
        <f>IF(ISNUMBER(CC286),CC286+N(CC287),"")</f>
        <v>32337.0740421298</v>
      </c>
      <c r="CD288" s="265">
        <f>IF(ISNUMBER(CD286),CD286+N(CD287),"")</f>
        <v>32121.6163386656</v>
      </c>
      <c r="CE288" s="153" t="n"/>
      <c r="CG288" s="20">
        <f>IFERROR((CD288/BY288)^(1/5)-1,"n/m")</f>
        <v>-0.0195325891268168</v>
      </c>
      <c r="CH288" s="20">
        <f>IFERROR((BT288/AU288)^(1/5)-1,"n/m")</f>
        <v>0.00921282463472872</v>
      </c>
      <c r="CI288" s="20">
        <f>IFERROR((BT288/V288)^(1/10)-1,"n/m")</f>
        <v>0.0242157270430408</v>
      </c>
      <c r="CJ288" s="20">
        <f>IFERROR((BT288/C288)^(1/17)-1,"n/m")</f>
        <v>0.0317667005731577</v>
      </c>
    </row>
    <row r="289" ht="15" customHeight="1" s="251">
      <c r="B289" s="55" t="inlineStr">
        <is>
          <t>TOTAL LIABILITIES AND EQUITY</t>
        </is>
      </c>
      <c r="C289" s="266">
        <f>IF(ISNUMBER(C285),C285+C288,"")</f>
        <v>34981</v>
      </c>
      <c r="D289" s="266">
        <f>IF(ISNUMBER(D285),D285+D288,"")</f>
        <v>32281</v>
      </c>
      <c r="E289" s="266">
        <f>IF(ISNUMBER(E285),E285+E288,"")</f>
        <v>33408</v>
      </c>
      <c r="F289" s="266">
        <f>IF(ISNUMBER(F285),F285+F288,"")</f>
        <v>34760</v>
      </c>
      <c r="G289" s="266">
        <f>IF(ISNUMBER(G285),G285+G288,"")</f>
        <v>40013</v>
      </c>
      <c r="H289" s="266">
        <f>IF(ISNUMBER(H285),H285+H288,"")</f>
        <v>35859</v>
      </c>
      <c r="I289" s="266">
        <f>IF(ISNUMBER(I285),I285+I288,"")</f>
        <v>35059</v>
      </c>
      <c r="J289" s="266">
        <f>IF(ISNUMBER(J285),J285+J288,"")</f>
        <v>35285</v>
      </c>
      <c r="K289" s="266">
        <f>IF(ISNUMBER(K285),K285+K288,"")</f>
        <v>35956</v>
      </c>
      <c r="L289" s="266">
        <f>IF(ISNUMBER(L285),L285+L288,"")</f>
        <v>35956</v>
      </c>
      <c r="M289" s="266">
        <f>IF(ISNUMBER(M285),M285+M288,"")</f>
        <v>36248</v>
      </c>
      <c r="N289" s="266">
        <f>IF(ISNUMBER(N285),N285+N288,"")</f>
        <v>37263</v>
      </c>
      <c r="O289" s="266">
        <f>IF(ISNUMBER(O285),O285+O288,"")</f>
        <v>37675</v>
      </c>
      <c r="P289" s="266">
        <f>IF(ISNUMBER(P285),P285+P288,"")</f>
        <v>38569</v>
      </c>
      <c r="Q289" s="266">
        <f>IF(ISNUMBER(Q285),Q285+Q288,"")</f>
        <v>38569</v>
      </c>
      <c r="R289" s="266">
        <f>IF(ISNUMBER(R285),R285+R288,"")</f>
        <v>38884</v>
      </c>
      <c r="S289" s="266">
        <f>IF(ISNUMBER(S285),S285+S288,"")</f>
        <v>38835</v>
      </c>
      <c r="T289" s="266">
        <f>IF(ISNUMBER(T285),T285+T288,"")</f>
        <v>39429</v>
      </c>
      <c r="U289" s="266">
        <f>IF(ISNUMBER(U285),U285+U288,"")</f>
        <v>40236</v>
      </c>
      <c r="V289" s="266">
        <f>IF(ISNUMBER(V285),V285+V288,"")</f>
        <v>40236</v>
      </c>
      <c r="W289" s="266">
        <f>IF(ISNUMBER(W285),W285+W288,"")</f>
        <v>54977</v>
      </c>
      <c r="X289" s="266">
        <f>IF(ISNUMBER(X285),X285+X288,"")</f>
        <v>54326</v>
      </c>
      <c r="Y289" s="266">
        <f>IF(ISNUMBER(Y285),Y285+Y288,"")</f>
        <v>63867</v>
      </c>
      <c r="Z289" s="266">
        <f>IF(ISNUMBER(Z285),Z285+Z288,"")</f>
        <v>64035</v>
      </c>
      <c r="AA289" s="266">
        <f>IF(ISNUMBER(AA285),AA285+AA288,"")</f>
        <v>64035</v>
      </c>
      <c r="AB289" s="266">
        <f>IF(ISNUMBER(AB285),AB285+AB288,"")</f>
        <v>63370</v>
      </c>
      <c r="AC289" s="266">
        <f>IF(ISNUMBER(AC285),AC285+AC288,"")</f>
        <v>63227</v>
      </c>
      <c r="AD289" s="266">
        <f>IF(ISNUMBER(AD285),AD285+AD288,"")</f>
        <v>64000</v>
      </c>
      <c r="AE289" s="266">
        <f>IF(ISNUMBER(AE285),AE285+AE288,"")</f>
        <v>67977</v>
      </c>
      <c r="AF289" s="266">
        <f>IF(ISNUMBER(AF285),AF285+AF288,"")</f>
        <v>67977</v>
      </c>
      <c r="AG289" s="266">
        <f>IF(ISNUMBER(AG285),AG285+AG288,"")</f>
        <v>67154</v>
      </c>
      <c r="AH289" s="266">
        <f>IF(ISNUMBER(AH285),AH285+AH288,"")</f>
        <v>69042</v>
      </c>
      <c r="AI289" s="266">
        <f>IF(ISNUMBER(AI285),AI285+AI288,"")</f>
        <v>68175</v>
      </c>
      <c r="AJ289" s="266">
        <f>IF(ISNUMBER(AJ285),AJ285+AJ288,"")</f>
        <v>69225</v>
      </c>
      <c r="AK289" s="266">
        <f>IF(ISNUMBER(AK285),AK285+AK288,"")</f>
        <v>69225</v>
      </c>
      <c r="AL289" s="266">
        <f>IF(ISNUMBER(AL285),AL285+AL288,"")</f>
        <v>71655</v>
      </c>
      <c r="AM289" s="266">
        <f>IF(ISNUMBER(AM285),AM285+AM288,"")</f>
        <v>69865</v>
      </c>
      <c r="AN289" s="266">
        <f>IF(ISNUMBER(AN285),AN285+AN288,"")</f>
        <v>70249</v>
      </c>
      <c r="AO289" s="266">
        <f>IF(ISNUMBER(AO285),AO285+AO288,"")</f>
        <v>72574</v>
      </c>
      <c r="AP289" s="266">
        <f>IF(ISNUMBER(AP285),AP285+AP288,"")</f>
        <v>72574</v>
      </c>
      <c r="AQ289" s="266">
        <f>IF(ISNUMBER(AQ285),AQ285+AQ288,"")</f>
        <v>74781</v>
      </c>
      <c r="AR289" s="266">
        <f>IF(ISNUMBER(AR285),AR285+AR288,"")</f>
        <v>72820</v>
      </c>
      <c r="AS289" s="266">
        <f>IF(ISNUMBER(AS285),AS285+AS288,"")</f>
        <v>77884</v>
      </c>
      <c r="AT289" s="266">
        <f>IF(ISNUMBER(AT285),AT285+AT288,"")</f>
        <v>80919</v>
      </c>
      <c r="AU289" s="266">
        <f>IF(ISNUMBER(AU285),AU285+AU288,"")</f>
        <v>80919</v>
      </c>
      <c r="AV289" s="266">
        <f>IF(ISNUMBER(AV285),AV285+AV288,"")</f>
        <v>80426</v>
      </c>
      <c r="AW289" s="266">
        <f>IF(ISNUMBER(AW285),AW285+AW288,"")</f>
        <v>80195</v>
      </c>
      <c r="AX289" s="266">
        <f>IF(ISNUMBER(AX285),AX285+AX288,"")</f>
        <v>82671</v>
      </c>
      <c r="AY289" s="266">
        <f>IF(ISNUMBER(AY285),AY285+AY288,"")</f>
        <v>82896</v>
      </c>
      <c r="AZ289" s="266">
        <f>IF(ISNUMBER(AZ285),AZ285+AZ288,"")</f>
        <v>82896</v>
      </c>
      <c r="BA289" s="266">
        <f>IF(ISNUMBER(BA285),BA285+BA288,"")</f>
        <v>81929</v>
      </c>
      <c r="BB289" s="266">
        <f>IF(ISNUMBER(BB285),BB285+BB288,"")</f>
        <v>81808</v>
      </c>
      <c r="BC289" s="266">
        <f>IF(ISNUMBER(BC285),BC285+BC288,"")</f>
        <v>85410</v>
      </c>
      <c r="BD289" s="266">
        <f>IF(ISNUMBER(BD285),BD285+BD288,"")</f>
        <v>85501</v>
      </c>
      <c r="BE289" s="266">
        <f>IF(ISNUMBER(BE285),BE285+BE288,"")</f>
        <v>85501</v>
      </c>
      <c r="BF289" s="266">
        <f>IF(ISNUMBER(BF285),BF285+BF288,"")</f>
        <v>85387</v>
      </c>
      <c r="BG289" s="266">
        <f>IF(ISNUMBER(BG285),BG285+BG288,"")</f>
        <v>86755</v>
      </c>
      <c r="BH289" s="266">
        <f>IF(ISNUMBER(BH285),BH285+BH288,"")</f>
        <v>89234</v>
      </c>
      <c r="BI289" s="266">
        <f>IF(ISNUMBER(BI285),BI285+BI288,"")</f>
        <v>90499</v>
      </c>
      <c r="BJ289" s="266">
        <f>IF(ISNUMBER(BJ285),BJ285+BJ288,"")</f>
        <v>90499</v>
      </c>
      <c r="BK289" s="266">
        <f>IF(ISNUMBER(BK285),BK285+BK288,"")</f>
        <v>91409</v>
      </c>
      <c r="BL289" s="266">
        <f>IF(ISNUMBER(BL285),BL285+BL288,"")</f>
        <v>92399</v>
      </c>
      <c r="BM289" s="266">
        <f>IF(ISNUMBER(BM285),BM285+BM288,"")</f>
        <v>91040</v>
      </c>
      <c r="BN289" s="266">
        <f>IF(ISNUMBER(BN285),BN285+BN288,"")</f>
        <v>94511</v>
      </c>
      <c r="BO289" s="266">
        <f>IF(ISNUMBER(BO285),BO285+BO288,"")</f>
        <v>94511</v>
      </c>
      <c r="BP289" s="266">
        <f>IF(ISNUMBER(BP285),BP285+BP288,"")</f>
        <v>91888</v>
      </c>
      <c r="BQ289" s="266">
        <f>IF(ISNUMBER(BQ285),BQ285+BQ288,"")</f>
        <v>92853</v>
      </c>
      <c r="BR289" s="266">
        <f>IF(ISNUMBER(BR285),BR285+BR288,"")</f>
        <v>100024</v>
      </c>
      <c r="BS289" s="266">
        <f>IF(ISNUMBER(BS285),BS285+BS288,"")</f>
        <v>99627</v>
      </c>
      <c r="BT289" s="266">
        <f>IF(ISNUMBER(BT285),BT285+BT288,"")</f>
        <v>99627</v>
      </c>
      <c r="BU289" s="266">
        <f>IF(ISNUMBER(BU285),BU285+BU288,"")</f>
        <v>96814</v>
      </c>
      <c r="BV289" s="266">
        <f>IF(ISNUMBER(BV285),BV285+BV288,"")</f>
        <v>95049</v>
      </c>
      <c r="BW289" s="266">
        <f>IF(ISNUMBER(BW285),BW285+BW288,"")</f>
        <v>94590</v>
      </c>
      <c r="BX289" s="56" t="n"/>
      <c r="BY289" s="266">
        <f>IF(ISNUMBER(BY285),BY285+BY288,"")</f>
        <v>96629.0602490719</v>
      </c>
      <c r="BZ289" s="266">
        <f>IF(ISNUMBER(BZ285),BZ285+BZ288,"")</f>
        <v>100332.251717803</v>
      </c>
      <c r="CA289" s="266">
        <f>IF(ISNUMBER(CA285),CA285+CA288,"")</f>
        <v>104615.088111904</v>
      </c>
      <c r="CB289" s="266">
        <f>IF(ISNUMBER(CB285),CB285+CB288,"")</f>
        <v>109012.347598629</v>
      </c>
      <c r="CC289" s="266">
        <f>IF(ISNUMBER(CC285),CC285+CC288,"")</f>
        <v>113543.440937473</v>
      </c>
      <c r="CD289" s="266">
        <f>IF(ISNUMBER(CD285),CD285+CD288,"")</f>
        <v>118319.132719823</v>
      </c>
      <c r="CE289" s="153" t="n"/>
    </row>
    <row r="290" ht="15" customHeight="1" s="251">
      <c r="B290" s="57" t="inlineStr">
        <is>
          <t>BS tie-out check (TA − TL&amp;E)</t>
        </is>
      </c>
      <c r="C290" s="211">
        <f>IF(ISNUMBER(C275),IF(ABS(C275-C289)&lt;=1.01,0,ROUND(C275-C289,1)),"")</f>
        <v>0</v>
      </c>
      <c r="D290" s="211">
        <f>IF(ISNUMBER(D275),IF(ABS(D275-D289)&lt;=1.01,0,ROUND(D275-D289,1)),"")</f>
        <v>0</v>
      </c>
      <c r="E290" s="211">
        <f>IF(ISNUMBER(E275),IF(ABS(E275-E289)&lt;=1.01,0,ROUND(E275-E289,1)),"")</f>
        <v>0</v>
      </c>
      <c r="F290" s="211">
        <f>IF(ISNUMBER(F275),IF(ABS(F275-F289)&lt;=1.01,0,ROUND(F275-F289,1)),"")</f>
        <v>0</v>
      </c>
      <c r="G290" s="211">
        <f>IF(ISNUMBER(G275),IF(ABS(G275-G289)&lt;=1.01,0,ROUND(G275-G289,1)),"")</f>
        <v>0</v>
      </c>
      <c r="H290" s="211">
        <f>IF(ISNUMBER(H275),IF(ABS(H275-H289)&lt;=1.01,0,ROUND(H275-H289,1)),"")</f>
        <v>0</v>
      </c>
      <c r="I290" s="211">
        <f>IF(ISNUMBER(I275),IF(ABS(I275-I289)&lt;=1.01,0,ROUND(I275-I289,1)),"")</f>
        <v>0</v>
      </c>
      <c r="J290" s="211">
        <f>IF(ISNUMBER(J275),IF(ABS(J275-J289)&lt;=1.01,0,ROUND(J275-J289,1)),"")</f>
        <v>0</v>
      </c>
      <c r="K290" s="211">
        <f>IF(ISNUMBER(K275),IF(ABS(K275-K289)&lt;=1.01,0,ROUND(K275-K289,1)),"")</f>
        <v>0</v>
      </c>
      <c r="L290" s="211">
        <f>IF(ISNUMBER(L275),IF(ABS(L275-L289)&lt;=1.01,0,ROUND(L275-L289,1)),"")</f>
        <v>0</v>
      </c>
      <c r="M290" s="211">
        <f>IF(ISNUMBER(M275),IF(ABS(M275-M289)&lt;=1.01,0,ROUND(M275-M289,1)),"")</f>
        <v>0</v>
      </c>
      <c r="N290" s="211">
        <f>IF(ISNUMBER(N275),IF(ABS(N275-N289)&lt;=1.01,0,ROUND(N275-N289,1)),"")</f>
        <v>0</v>
      </c>
      <c r="O290" s="211">
        <f>IF(ISNUMBER(O275),IF(ABS(O275-O289)&lt;=1.01,0,ROUND(O275-O289,1)),"")</f>
        <v>0</v>
      </c>
      <c r="P290" s="211">
        <f>IF(ISNUMBER(P275),IF(ABS(P275-P289)&lt;=1.01,0,ROUND(P275-P289,1)),"")</f>
        <v>0</v>
      </c>
      <c r="Q290" s="211">
        <f>IF(ISNUMBER(Q275),IF(ABS(Q275-Q289)&lt;=1.01,0,ROUND(Q275-Q289,1)),"")</f>
        <v>0</v>
      </c>
      <c r="R290" s="211">
        <f>IF(ISNUMBER(R275),IF(ABS(R275-R289)&lt;=1.01,0,ROUND(R275-R289,1)),"")</f>
        <v>0</v>
      </c>
      <c r="S290" s="211">
        <f>IF(ISNUMBER(S275),IF(ABS(S275-S289)&lt;=1.01,0,ROUND(S275-S289,1)),"")</f>
        <v>0</v>
      </c>
      <c r="T290" s="211">
        <f>IF(ISNUMBER(T275),IF(ABS(T275-T289)&lt;=1.01,0,ROUND(T275-T289,1)),"")</f>
        <v>0</v>
      </c>
      <c r="U290" s="211">
        <f>IF(ISNUMBER(U275),IF(ABS(U275-U289)&lt;=1.01,0,ROUND(U275-U289,1)),"")</f>
        <v>0</v>
      </c>
      <c r="V290" s="211">
        <f>IF(ISNUMBER(V275),IF(ABS(V275-V289)&lt;=1.01,0,ROUND(V275-V289,1)),"")</f>
        <v>0</v>
      </c>
      <c r="W290" s="211">
        <f>IF(ISNUMBER(W275),IF(ABS(W275-W289)&lt;=1.01,0,ROUND(W275-W289,1)),"")</f>
        <v>0</v>
      </c>
      <c r="X290" s="211">
        <f>IF(ISNUMBER(X275),IF(ABS(X275-X289)&lt;=1.01,0,ROUND(X275-X289,1)),"")</f>
        <v>0</v>
      </c>
      <c r="Y290" s="211">
        <f>IF(ISNUMBER(Y275),IF(ABS(Y275-Y289)&lt;=1.01,0,ROUND(Y275-Y289,1)),"")</f>
        <v>0</v>
      </c>
      <c r="Z290" s="211">
        <f>IF(ISNUMBER(Z275),IF(ABS(Z275-Z289)&lt;=1.01,0,ROUND(Z275-Z289,1)),"")</f>
        <v>0</v>
      </c>
      <c r="AA290" s="211">
        <f>IF(ISNUMBER(AA275),IF(ABS(AA275-AA289)&lt;=1.01,0,ROUND(AA275-AA289,1)),"")</f>
        <v>0</v>
      </c>
      <c r="AB290" s="211">
        <f>IF(ISNUMBER(AB275),IF(ABS(AB275-AB289)&lt;=1.01,0,ROUND(AB275-AB289,1)),"")</f>
        <v>0</v>
      </c>
      <c r="AC290" s="211">
        <f>IF(ISNUMBER(AC275),IF(ABS(AC275-AC289)&lt;=1.01,0,ROUND(AC275-AC289,1)),"")</f>
        <v>0</v>
      </c>
      <c r="AD290" s="211">
        <f>IF(ISNUMBER(AD275),IF(ABS(AD275-AD289)&lt;=1.01,0,ROUND(AD275-AD289,1)),"")</f>
        <v>0</v>
      </c>
      <c r="AE290" s="211">
        <f>IF(ISNUMBER(AE275),IF(ABS(AE275-AE289)&lt;=1.01,0,ROUND(AE275-AE289,1)),"")</f>
        <v>0</v>
      </c>
      <c r="AF290" s="211">
        <f>IF(ISNUMBER(AF275),IF(ABS(AF275-AF289)&lt;=1.01,0,ROUND(AF275-AF289,1)),"")</f>
        <v>0</v>
      </c>
      <c r="AG290" s="211">
        <f>IF(ISNUMBER(AG275),IF(ABS(AG275-AG289)&lt;=1.01,0,ROUND(AG275-AG289,1)),"")</f>
        <v>0</v>
      </c>
      <c r="AH290" s="211">
        <f>IF(ISNUMBER(AH275),IF(ABS(AH275-AH289)&lt;=1.01,0,ROUND(AH275-AH289,1)),"")</f>
        <v>0</v>
      </c>
      <c r="AI290" s="211">
        <f>IF(ISNUMBER(AI275),IF(ABS(AI275-AI289)&lt;=1.01,0,ROUND(AI275-AI289,1)),"")</f>
        <v>0</v>
      </c>
      <c r="AJ290" s="211">
        <f>IF(ISNUMBER(AJ275),IF(ABS(AJ275-AJ289)&lt;=1.01,0,ROUND(AJ275-AJ289,1)),"")</f>
        <v>0</v>
      </c>
      <c r="AK290" s="211">
        <f>IF(ISNUMBER(AK275),IF(ABS(AK275-AK289)&lt;=1.01,0,ROUND(AK275-AK289,1)),"")</f>
        <v>0</v>
      </c>
      <c r="AL290" s="211">
        <f>IF(ISNUMBER(AL275),IF(ABS(AL275-AL289)&lt;=1.01,0,ROUND(AL275-AL289,1)),"")</f>
        <v>0</v>
      </c>
      <c r="AM290" s="211">
        <f>IF(ISNUMBER(AM275),IF(ABS(AM275-AM289)&lt;=1.01,0,ROUND(AM275-AM289,1)),"")</f>
        <v>0</v>
      </c>
      <c r="AN290" s="211">
        <f>IF(ISNUMBER(AN275),IF(ABS(AN275-AN289)&lt;=1.01,0,ROUND(AN275-AN289,1)),"")</f>
        <v>0</v>
      </c>
      <c r="AO290" s="211">
        <f>IF(ISNUMBER(AO275),IF(ABS(AO275-AO289)&lt;=1.01,0,ROUND(AO275-AO289,1)),"")</f>
        <v>0</v>
      </c>
      <c r="AP290" s="211">
        <f>IF(ISNUMBER(AP275),IF(ABS(AP275-AP289)&lt;=1.01,0,ROUND(AP275-AP289,1)),"")</f>
        <v>0</v>
      </c>
      <c r="AQ290" s="211">
        <f>IF(ISNUMBER(AQ275),IF(ABS(AQ275-AQ289)&lt;=1.01,0,ROUND(AQ275-AQ289,1)),"")</f>
        <v>0</v>
      </c>
      <c r="AR290" s="211">
        <f>IF(ISNUMBER(AR275),IF(ABS(AR275-AR289)&lt;=1.01,0,ROUND(AR275-AR289,1)),"")</f>
        <v>0</v>
      </c>
      <c r="AS290" s="211">
        <f>IF(ISNUMBER(AS275),IF(ABS(AS275-AS289)&lt;=1.01,0,ROUND(AS275-AS289,1)),"")</f>
        <v>0</v>
      </c>
      <c r="AT290" s="211">
        <f>IF(ISNUMBER(AT275),IF(ABS(AT275-AT289)&lt;=1.01,0,ROUND(AT275-AT289,1)),"")</f>
        <v>0</v>
      </c>
      <c r="AU290" s="211">
        <f>IF(ISNUMBER(AU275),IF(ABS(AU275-AU289)&lt;=1.01,0,ROUND(AU275-AU289,1)),"")</f>
        <v>0</v>
      </c>
      <c r="AV290" s="211">
        <f>IF(ISNUMBER(AV275),IF(ABS(AV275-AV289)&lt;=1.01,0,ROUND(AV275-AV289,1)),"")</f>
        <v>0</v>
      </c>
      <c r="AW290" s="211">
        <f>IF(ISNUMBER(AW275),IF(ABS(AW275-AW289)&lt;=1.01,0,ROUND(AW275-AW289,1)),"")</f>
        <v>0</v>
      </c>
      <c r="AX290" s="211">
        <f>IF(ISNUMBER(AX275),IF(ABS(AX275-AX289)&lt;=1.01,0,ROUND(AX275-AX289,1)),"")</f>
        <v>0</v>
      </c>
      <c r="AY290" s="211">
        <f>IF(ISNUMBER(AY275),IF(ABS(AY275-AY289)&lt;=1.01,0,ROUND(AY275-AY289,1)),"")</f>
        <v>0</v>
      </c>
      <c r="AZ290" s="211">
        <f>IF(ISNUMBER(AZ275),IF(ABS(AZ275-AZ289)&lt;=1.01,0,ROUND(AZ275-AZ289,1)),"")</f>
        <v>0</v>
      </c>
      <c r="BA290" s="211">
        <f>IF(ISNUMBER(BA275),IF(ABS(BA275-BA289)&lt;=1.01,0,ROUND(BA275-BA289,1)),"")</f>
        <v>0</v>
      </c>
      <c r="BB290" s="211">
        <f>IF(ISNUMBER(BB275),IF(ABS(BB275-BB289)&lt;=1.01,0,ROUND(BB275-BB289,1)),"")</f>
        <v>0</v>
      </c>
      <c r="BC290" s="211">
        <f>IF(ISNUMBER(BC275),IF(ABS(BC275-BC289)&lt;=1.01,0,ROUND(BC275-BC289,1)),"")</f>
        <v>0</v>
      </c>
      <c r="BD290" s="211">
        <f>IF(ISNUMBER(BD275),IF(ABS(BD275-BD289)&lt;=1.01,0,ROUND(BD275-BD289,1)),"")</f>
        <v>0</v>
      </c>
      <c r="BE290" s="211">
        <f>IF(ISNUMBER(BE275),IF(ABS(BE275-BE289)&lt;=1.01,0,ROUND(BE275-BE289,1)),"")</f>
        <v>0</v>
      </c>
      <c r="BF290" s="211">
        <f>IF(ISNUMBER(BF275),IF(ABS(BF275-BF289)&lt;=1.01,0,ROUND(BF275-BF289,1)),"")</f>
        <v>0</v>
      </c>
      <c r="BG290" s="211">
        <f>IF(ISNUMBER(BG275),IF(ABS(BG275-BG289)&lt;=1.01,0,ROUND(BG275-BG289,1)),"")</f>
        <v>0</v>
      </c>
      <c r="BH290" s="211">
        <f>IF(ISNUMBER(BH275),IF(ABS(BH275-BH289)&lt;=1.01,0,ROUND(BH275-BH289,1)),"")</f>
        <v>0</v>
      </c>
      <c r="BI290" s="211">
        <f>IF(ISNUMBER(BI275),IF(ABS(BI275-BI289)&lt;=1.01,0,ROUND(BI275-BI289,1)),"")</f>
        <v>0</v>
      </c>
      <c r="BJ290" s="211">
        <f>IF(ISNUMBER(BJ275),IF(ABS(BJ275-BJ289)&lt;=1.01,0,ROUND(BJ275-BJ289,1)),"")</f>
        <v>0</v>
      </c>
      <c r="BK290" s="211">
        <f>IF(ISNUMBER(BK275),IF(ABS(BK275-BK289)&lt;=1.01,0,ROUND(BK275-BK289,1)),"")</f>
        <v>0</v>
      </c>
      <c r="BL290" s="211">
        <f>IF(ISNUMBER(BL275),IF(ABS(BL275-BL289)&lt;=1.01,0,ROUND(BL275-BL289,1)),"")</f>
        <v>0</v>
      </c>
      <c r="BM290" s="211">
        <f>IF(ISNUMBER(BM275),IF(ABS(BM275-BM289)&lt;=1.01,0,ROUND(BM275-BM289,1)),"")</f>
        <v>0</v>
      </c>
      <c r="BN290" s="211">
        <f>IF(ISNUMBER(BN275),IF(ABS(BN275-BN289)&lt;=1.01,0,ROUND(BN275-BN289,1)),"")</f>
        <v>0</v>
      </c>
      <c r="BO290" s="211">
        <f>IF(ISNUMBER(BO275),IF(ABS(BO275-BO289)&lt;=1.01,0,ROUND(BO275-BO289,1)),"")</f>
        <v>0</v>
      </c>
      <c r="BP290" s="211">
        <f>IF(ISNUMBER(BP275),IF(ABS(BP275-BP289)&lt;=1.01,0,ROUND(BP275-BP289,1)),"")</f>
        <v>0</v>
      </c>
      <c r="BQ290" s="211">
        <f>IF(ISNUMBER(BQ275),IF(ABS(BQ275-BQ289)&lt;=1.01,0,ROUND(BQ275-BQ289,1)),"")</f>
        <v>0</v>
      </c>
      <c r="BR290" s="211">
        <f>IF(ISNUMBER(BR275),IF(ABS(BR275-BR289)&lt;=1.01,0,ROUND(BR275-BR289,1)),"")</f>
        <v>0</v>
      </c>
      <c r="BS290" s="211">
        <f>IF(ISNUMBER(BS275),IF(ABS(BS275-BS289)&lt;=1.01,0,ROUND(BS275-BS289,1)),"")</f>
        <v>0</v>
      </c>
      <c r="BT290" s="211">
        <f>IF(ISNUMBER(BT275),IF(ABS(BT275-BT289)&lt;=1.01,0,ROUND(BT275-BT289,1)),"")</f>
        <v>0</v>
      </c>
      <c r="BU290" s="211">
        <f>IF(ISNUMBER(BU275),IF(ABS(BU275-BU289)&lt;=1.01,0,ROUND(BU275-BU289,1)),"")</f>
        <v>0</v>
      </c>
      <c r="BV290" s="211">
        <f>IF(ISNUMBER(BV275),IF(ABS(BV275-BV289)&lt;=1.01,0,ROUND(BV275-BV289,1)),"")</f>
        <v>0</v>
      </c>
      <c r="BW290" s="211">
        <f>IF(ISNUMBER(BW275),IF(ABS(BW275-BW289)&lt;=1.01,0,ROUND(BW275-BW289,1)),"")</f>
        <v>0</v>
      </c>
      <c r="BX290" s="153" t="n"/>
      <c r="BY290" s="267">
        <f>IF(ISNUMBER(BY275),IF(ABS(BY275-BY289)&lt;=1.01,0,ROUND(BY275-BY289,1)),"")</f>
        <v>0</v>
      </c>
      <c r="BZ290" s="267">
        <f>IF(ISNUMBER(BZ275),IF(ABS(BZ275-BZ289)&lt;=1.01,0,ROUND(BZ275-BZ289,1)),"")</f>
        <v>0</v>
      </c>
      <c r="CA290" s="267">
        <f>IF(ISNUMBER(CA275),IF(ABS(CA275-CA289)&lt;=1.01,0,ROUND(CA275-CA289,1)),"")</f>
        <v>0</v>
      </c>
      <c r="CB290" s="267">
        <f>IF(ISNUMBER(CB275),IF(ABS(CB275-CB289)&lt;=1.01,0,ROUND(CB275-CB289,1)),"")</f>
        <v>0</v>
      </c>
      <c r="CC290" s="267">
        <f>IF(ISNUMBER(CC275),IF(ABS(CC275-CC289)&lt;=1.01,0,ROUND(CC275-CC289,1)),"")</f>
        <v>0</v>
      </c>
      <c r="CD290" s="267">
        <f>IF(ISNUMBER(CD275),IF(ABS(CD275-CD289)&lt;=1.01,0,ROUND(CD275-CD289,1)),"")</f>
        <v>0</v>
      </c>
      <c r="CE290" s="153" t="n"/>
    </row>
    <row r="291" ht="15" customHeight="1" s="251">
      <c r="B291" s="57" t="inlineStr">
        <is>
          <t xml:space="preserve">  Check: model total assets vs reported (should be 0)</t>
        </is>
      </c>
      <c r="C291" s="211">
        <f>IF(ISNUMBER(C292),IF(ABS(C275-C292)&lt;=1.01,0,ROUND(C275-C292,1)),"")</f>
        <v>0</v>
      </c>
      <c r="D291" s="211">
        <f>IF(ISNUMBER(D292),IF(ABS(D275-D292)&lt;=1.01,0,ROUND(D275-D292,1)),"")</f>
        <v>0</v>
      </c>
      <c r="E291" s="211">
        <f>IF(ISNUMBER(E292),IF(ABS(E275-E292)&lt;=1.01,0,ROUND(E275-E292,1)),"")</f>
        <v>0</v>
      </c>
      <c r="F291" s="211">
        <f>IF(ISNUMBER(F292),IF(ABS(F275-F292)&lt;=1.01,0,ROUND(F275-F292,1)),"")</f>
        <v>0</v>
      </c>
      <c r="G291" s="211">
        <f>IF(ISNUMBER(G292),IF(ABS(G275-G292)&lt;=1.01,0,ROUND(G275-G292,1)),"")</f>
        <v>0</v>
      </c>
      <c r="H291" s="211">
        <f>IF(ISNUMBER(H292),IF(ABS(H275-H292)&lt;=1.01,0,ROUND(H275-H292,1)),"")</f>
        <v>0</v>
      </c>
      <c r="I291" s="211">
        <f>IF(ISNUMBER(I292),IF(ABS(I275-I292)&lt;=1.01,0,ROUND(I275-I292,1)),"")</f>
        <v>0</v>
      </c>
      <c r="J291" s="211">
        <f>IF(ISNUMBER(J292),IF(ABS(J275-J292)&lt;=1.01,0,ROUND(J275-J292,1)),"")</f>
        <v>0</v>
      </c>
      <c r="K291" s="211">
        <f>IF(ISNUMBER(K292),IF(ABS(K275-K292)&lt;=1.01,0,ROUND(K275-K292,1)),"")</f>
        <v>0</v>
      </c>
      <c r="L291" s="211">
        <f>IF(ISNUMBER(L292),IF(ABS(L275-L292)&lt;=1.01,0,ROUND(L275-L292,1)),"")</f>
        <v>0</v>
      </c>
      <c r="M291" s="211">
        <f>IF(ISNUMBER(M292),IF(ABS(M275-M292)&lt;=1.01,0,ROUND(M275-M292,1)),"")</f>
        <v>0</v>
      </c>
      <c r="N291" s="211">
        <f>IF(ISNUMBER(N292),IF(ABS(N275-N292)&lt;=1.01,0,ROUND(N275-N292,1)),"")</f>
        <v>0</v>
      </c>
      <c r="O291" s="211">
        <f>IF(ISNUMBER(O292),IF(ABS(O275-O292)&lt;=1.01,0,ROUND(O275-O292,1)),"")</f>
        <v>0</v>
      </c>
      <c r="P291" s="211">
        <f>IF(ISNUMBER(P292),IF(ABS(P275-P292)&lt;=1.01,0,ROUND(P275-P292,1)),"")</f>
        <v>0</v>
      </c>
      <c r="Q291" s="211">
        <f>IF(ISNUMBER(Q292),IF(ABS(Q275-Q292)&lt;=1.01,0,ROUND(Q275-Q292,1)),"")</f>
        <v>0</v>
      </c>
      <c r="R291" s="211">
        <f>IF(ISNUMBER(R292),IF(ABS(R275-R292)&lt;=1.01,0,ROUND(R275-R292,1)),"")</f>
        <v>0</v>
      </c>
      <c r="S291" s="211">
        <f>IF(ISNUMBER(S292),IF(ABS(S275-S292)&lt;=1.01,0,ROUND(S275-S292,1)),"")</f>
        <v>0</v>
      </c>
      <c r="T291" s="211">
        <f>IF(ISNUMBER(T292),IF(ABS(T275-T292)&lt;=1.01,0,ROUND(T275-T292,1)),"")</f>
        <v>0</v>
      </c>
      <c r="U291" s="211">
        <f>IF(ISNUMBER(U292),IF(ABS(U275-U292)&lt;=1.01,0,ROUND(U275-U292,1)),"")</f>
        <v>0</v>
      </c>
      <c r="V291" s="211">
        <f>IF(ISNUMBER(V292),IF(ABS(V275-V292)&lt;=1.01,0,ROUND(V275-V292,1)),"")</f>
        <v>0</v>
      </c>
      <c r="W291" s="211">
        <f>IF(ISNUMBER(W292),IF(ABS(W275-W292)&lt;=1.01,0,ROUND(W275-W292,1)),"")</f>
        <v>0</v>
      </c>
      <c r="X291" s="211">
        <f>IF(ISNUMBER(X292),IF(ABS(X275-X292)&lt;=1.01,0,ROUND(X275-X292,1)),"")</f>
        <v>0</v>
      </c>
      <c r="Y291" s="211">
        <f>IF(ISNUMBER(Y292),IF(ABS(Y275-Y292)&lt;=1.01,0,ROUND(Y275-Y292,1)),"")</f>
        <v>0</v>
      </c>
      <c r="Z291" s="211">
        <f>IF(ISNUMBER(Z292),IF(ABS(Z275-Z292)&lt;=1.01,0,ROUND(Z275-Z292,1)),"")</f>
        <v>0</v>
      </c>
      <c r="AA291" s="211">
        <f>IF(ISNUMBER(AA292),IF(ABS(AA275-AA292)&lt;=1.01,0,ROUND(AA275-AA292,1)),"")</f>
        <v>0</v>
      </c>
      <c r="AB291" s="211">
        <f>IF(ISNUMBER(AB292),IF(ABS(AB275-AB292)&lt;=1.01,0,ROUND(AB275-AB292,1)),"")</f>
        <v>0</v>
      </c>
      <c r="AC291" s="211">
        <f>IF(ISNUMBER(AC292),IF(ABS(AC275-AC292)&lt;=1.01,0,ROUND(AC275-AC292,1)),"")</f>
        <v>0</v>
      </c>
      <c r="AD291" s="211">
        <f>IF(ISNUMBER(AD292),IF(ABS(AD275-AD292)&lt;=1.01,0,ROUND(AD275-AD292,1)),"")</f>
        <v>0</v>
      </c>
      <c r="AE291" s="211">
        <f>IF(ISNUMBER(AE292),IF(ABS(AE275-AE292)&lt;=1.01,0,ROUND(AE275-AE292,1)),"")</f>
        <v>0</v>
      </c>
      <c r="AF291" s="211">
        <f>IF(ISNUMBER(AF292),IF(ABS(AF275-AF292)&lt;=1.01,0,ROUND(AF275-AF292,1)),"")</f>
        <v>0</v>
      </c>
      <c r="AG291" s="211">
        <f>IF(ISNUMBER(AG292),IF(ABS(AG275-AG292)&lt;=1.01,0,ROUND(AG275-AG292,1)),"")</f>
        <v>0</v>
      </c>
      <c r="AH291" s="211">
        <f>IF(ISNUMBER(AH292),IF(ABS(AH275-AH292)&lt;=1.01,0,ROUND(AH275-AH292,1)),"")</f>
        <v>0</v>
      </c>
      <c r="AI291" s="211">
        <f>IF(ISNUMBER(AI292),IF(ABS(AI275-AI292)&lt;=1.01,0,ROUND(AI275-AI292,1)),"")</f>
        <v>0</v>
      </c>
      <c r="AJ291" s="211">
        <f>IF(ISNUMBER(AJ292),IF(ABS(AJ275-AJ292)&lt;=1.01,0,ROUND(AJ275-AJ292,1)),"")</f>
        <v>0</v>
      </c>
      <c r="AK291" s="211">
        <f>IF(ISNUMBER(AK292),IF(ABS(AK275-AK292)&lt;=1.01,0,ROUND(AK275-AK292,1)),"")</f>
        <v>0</v>
      </c>
      <c r="AL291" s="211">
        <f>IF(ISNUMBER(AL292),IF(ABS(AL275-AL292)&lt;=1.01,0,ROUND(AL275-AL292,1)),"")</f>
        <v>0</v>
      </c>
      <c r="AM291" s="211">
        <f>IF(ISNUMBER(AM292),IF(ABS(AM275-AM292)&lt;=1.01,0,ROUND(AM275-AM292,1)),"")</f>
        <v>0</v>
      </c>
      <c r="AN291" s="211">
        <f>IF(ISNUMBER(AN292),IF(ABS(AN275-AN292)&lt;=1.01,0,ROUND(AN275-AN292,1)),"")</f>
        <v>0</v>
      </c>
      <c r="AO291" s="211">
        <f>IF(ISNUMBER(AO292),IF(ABS(AO275-AO292)&lt;=1.01,0,ROUND(AO275-AO292,1)),"")</f>
        <v>0</v>
      </c>
      <c r="AP291" s="211">
        <f>IF(ISNUMBER(AP292),IF(ABS(AP275-AP292)&lt;=1.01,0,ROUND(AP275-AP292,1)),"")</f>
        <v>0</v>
      </c>
      <c r="AQ291" s="211">
        <f>IF(ISNUMBER(AQ292),IF(ABS(AQ275-AQ292)&lt;=1.01,0,ROUND(AQ275-AQ292,1)),"")</f>
        <v>0</v>
      </c>
      <c r="AR291" s="211">
        <f>IF(ISNUMBER(AR292),IF(ABS(AR275-AR292)&lt;=1.01,0,ROUND(AR275-AR292,1)),"")</f>
        <v>0</v>
      </c>
      <c r="AS291" s="211">
        <f>IF(ISNUMBER(AS292),IF(ABS(AS275-AS292)&lt;=1.01,0,ROUND(AS275-AS292,1)),"")</f>
        <v>0</v>
      </c>
      <c r="AT291" s="211">
        <f>IF(ISNUMBER(AT292),IF(ABS(AT275-AT292)&lt;=1.01,0,ROUND(AT275-AT292,1)),"")</f>
        <v>0</v>
      </c>
      <c r="AU291" s="211">
        <f>IF(ISNUMBER(AU292),IF(ABS(AU275-AU292)&lt;=1.01,0,ROUND(AU275-AU292,1)),"")</f>
        <v>0</v>
      </c>
      <c r="AV291" s="211">
        <f>IF(ISNUMBER(AV292),IF(ABS(AV275-AV292)&lt;=1.01,0,ROUND(AV275-AV292,1)),"")</f>
        <v>0</v>
      </c>
      <c r="AW291" s="211">
        <f>IF(ISNUMBER(AW292),IF(ABS(AW275-AW292)&lt;=1.01,0,ROUND(AW275-AW292,1)),"")</f>
        <v>0</v>
      </c>
      <c r="AX291" s="211">
        <f>IF(ISNUMBER(AX292),IF(ABS(AX275-AX292)&lt;=1.01,0,ROUND(AX275-AX292,1)),"")</f>
        <v>0</v>
      </c>
      <c r="AY291" s="211">
        <f>IF(ISNUMBER(AY292),IF(ABS(AY275-AY292)&lt;=1.01,0,ROUND(AY275-AY292,1)),"")</f>
        <v>0</v>
      </c>
      <c r="AZ291" s="211">
        <f>IF(ISNUMBER(AZ292),IF(ABS(AZ275-AZ292)&lt;=1.01,0,ROUND(AZ275-AZ292,1)),"")</f>
        <v>0</v>
      </c>
      <c r="BA291" s="211">
        <f>IF(ISNUMBER(BA292),IF(ABS(BA275-BA292)&lt;=1.01,0,ROUND(BA275-BA292,1)),"")</f>
        <v>0</v>
      </c>
      <c r="BB291" s="211">
        <f>IF(ISNUMBER(BB292),IF(ABS(BB275-BB292)&lt;=1.01,0,ROUND(BB275-BB292,1)),"")</f>
        <v>0</v>
      </c>
      <c r="BC291" s="211">
        <f>IF(ISNUMBER(BC292),IF(ABS(BC275-BC292)&lt;=1.01,0,ROUND(BC275-BC292,1)),"")</f>
        <v>0</v>
      </c>
      <c r="BD291" s="211">
        <f>IF(ISNUMBER(BD292),IF(ABS(BD275-BD292)&lt;=1.01,0,ROUND(BD275-BD292,1)),"")</f>
        <v>0</v>
      </c>
      <c r="BE291" s="211">
        <f>IF(ISNUMBER(BE292),IF(ABS(BE275-BE292)&lt;=1.01,0,ROUND(BE275-BE292,1)),"")</f>
        <v>0</v>
      </c>
      <c r="BF291" s="211">
        <f>IF(ISNUMBER(BF292),IF(ABS(BF275-BF292)&lt;=1.01,0,ROUND(BF275-BF292,1)),"")</f>
        <v>0</v>
      </c>
      <c r="BG291" s="211">
        <f>IF(ISNUMBER(BG292),IF(ABS(BG275-BG292)&lt;=1.01,0,ROUND(BG275-BG292,1)),"")</f>
        <v>0</v>
      </c>
      <c r="BH291" s="211">
        <f>IF(ISNUMBER(BH292),IF(ABS(BH275-BH292)&lt;=1.01,0,ROUND(BH275-BH292,1)),"")</f>
        <v>0</v>
      </c>
      <c r="BI291" s="211">
        <f>IF(ISNUMBER(BI292),IF(ABS(BI275-BI292)&lt;=1.01,0,ROUND(BI275-BI292,1)),"")</f>
        <v>0</v>
      </c>
      <c r="BJ291" s="211">
        <f>IF(ISNUMBER(BJ292),IF(ABS(BJ275-BJ292)&lt;=1.01,0,ROUND(BJ275-BJ292,1)),"")</f>
        <v>0</v>
      </c>
      <c r="BK291" s="211">
        <f>IF(ISNUMBER(BK292),IF(ABS(BK275-BK292)&lt;=1.01,0,ROUND(BK275-BK292,1)),"")</f>
        <v>0</v>
      </c>
      <c r="BL291" s="211">
        <f>IF(ISNUMBER(BL292),IF(ABS(BL275-BL292)&lt;=1.01,0,ROUND(BL275-BL292,1)),"")</f>
        <v>0</v>
      </c>
      <c r="BM291" s="211">
        <f>IF(ISNUMBER(BM292),IF(ABS(BM275-BM292)&lt;=1.01,0,ROUND(BM275-BM292,1)),"")</f>
        <v>0</v>
      </c>
      <c r="BN291" s="211">
        <f>IF(ISNUMBER(BN292),IF(ABS(BN275-BN292)&lt;=1.01,0,ROUND(BN275-BN292,1)),"")</f>
        <v>0</v>
      </c>
      <c r="BO291" s="211">
        <f>IF(ISNUMBER(BO292),IF(ABS(BO275-BO292)&lt;=1.01,0,ROUND(BO275-BO292,1)),"")</f>
        <v>0</v>
      </c>
      <c r="BP291" s="211">
        <f>IF(ISNUMBER(BP292),IF(ABS(BP275-BP292)&lt;=1.01,0,ROUND(BP275-BP292,1)),"")</f>
        <v>0</v>
      </c>
      <c r="BQ291" s="211">
        <f>IF(ISNUMBER(BQ292),IF(ABS(BQ275-BQ292)&lt;=1.01,0,ROUND(BQ275-BQ292,1)),"")</f>
        <v>0</v>
      </c>
      <c r="BR291" s="211">
        <f>IF(ISNUMBER(BR292),IF(ABS(BR275-BR292)&lt;=1.01,0,ROUND(BR275-BR292,1)),"")</f>
        <v>0</v>
      </c>
      <c r="BS291" s="211">
        <f>IF(ISNUMBER(BS292),IF(ABS(BS275-BS292)&lt;=1.01,0,ROUND(BS275-BS292,1)),"")</f>
        <v>0</v>
      </c>
      <c r="BT291" s="211">
        <f>IF(ISNUMBER(BT292),IF(ABS(BT275-BT292)&lt;=1.01,0,ROUND(BT275-BT292,1)),"")</f>
        <v>0</v>
      </c>
      <c r="BU291" s="211">
        <f>IF(ISNUMBER(BU292),IF(ABS(BU275-BU292)&lt;=1.01,0,ROUND(BU275-BU292,1)),"")</f>
        <v>0</v>
      </c>
      <c r="BV291" s="211">
        <f>IF(ISNUMBER(BV292),IF(ABS(BV275-BV292)&lt;=1.01,0,ROUND(BV275-BV292,1)),"")</f>
        <v>0</v>
      </c>
      <c r="BW291" s="211">
        <f>IF(ISNUMBER(BW292),IF(ABS(BW275-BW292)&lt;=1.01,0,ROUND(BW275-BW292,1)),"")</f>
        <v>0</v>
      </c>
      <c r="BX291" s="153" t="n"/>
      <c r="BY291" s="153" t="n"/>
      <c r="BZ291" s="153" t="n"/>
      <c r="CA291" s="153" t="n"/>
      <c r="CB291" s="153" t="n"/>
      <c r="CC291" s="153" t="n"/>
      <c r="CD291" s="153" t="n"/>
      <c r="CE291" s="153" t="n"/>
    </row>
    <row r="292" ht="15" customHeight="1" s="251">
      <c r="B292" s="156" t="inlineStr">
        <is>
          <t xml:space="preserve">  Memo: total assets as reported</t>
        </is>
      </c>
      <c r="C292" s="253" t="n">
        <v>34981</v>
      </c>
      <c r="D292" s="253" t="n">
        <v>32281</v>
      </c>
      <c r="E292" s="253" t="n">
        <v>33408</v>
      </c>
      <c r="F292" s="253" t="n">
        <v>34760</v>
      </c>
      <c r="G292" s="253" t="n">
        <v>40013</v>
      </c>
      <c r="H292" s="253" t="n">
        <v>35859</v>
      </c>
      <c r="I292" s="253" t="n">
        <v>35059</v>
      </c>
      <c r="J292" s="253" t="n">
        <v>35285</v>
      </c>
      <c r="K292" s="253" t="n">
        <v>35956</v>
      </c>
      <c r="L292" s="253" t="n">
        <v>35956</v>
      </c>
      <c r="M292" s="253" t="n">
        <v>36248</v>
      </c>
      <c r="N292" s="253" t="n">
        <v>37263</v>
      </c>
      <c r="O292" s="253" t="n">
        <v>37675</v>
      </c>
      <c r="P292" s="253" t="n">
        <v>38569</v>
      </c>
      <c r="Q292" s="253" t="n">
        <v>38569</v>
      </c>
      <c r="R292" s="253" t="n">
        <v>38884</v>
      </c>
      <c r="S292" s="253" t="n">
        <v>38835</v>
      </c>
      <c r="T292" s="253" t="n">
        <v>39429</v>
      </c>
      <c r="U292" s="253" t="n">
        <v>40236</v>
      </c>
      <c r="V292" s="253" t="n">
        <v>40236</v>
      </c>
      <c r="W292" s="253" t="n">
        <v>54977</v>
      </c>
      <c r="X292" s="253" t="n">
        <v>54326</v>
      </c>
      <c r="Y292" s="253" t="n">
        <v>63867</v>
      </c>
      <c r="Z292" s="253" t="n">
        <v>64035</v>
      </c>
      <c r="AA292" s="253" t="n">
        <v>64035</v>
      </c>
      <c r="AB292" s="253" t="n">
        <v>63370</v>
      </c>
      <c r="AC292" s="253" t="n">
        <v>63227</v>
      </c>
      <c r="AD292" s="253" t="n">
        <v>64000</v>
      </c>
      <c r="AE292" s="253" t="n">
        <v>67977</v>
      </c>
      <c r="AF292" s="253" t="n">
        <v>67977</v>
      </c>
      <c r="AG292" s="253" t="n">
        <v>67154</v>
      </c>
      <c r="AH292" s="253" t="n">
        <v>69042</v>
      </c>
      <c r="AI292" s="253" t="n">
        <v>68175</v>
      </c>
      <c r="AJ292" s="253" t="n">
        <v>69225</v>
      </c>
      <c r="AK292" s="253" t="n">
        <v>69225</v>
      </c>
      <c r="AL292" s="253" t="n">
        <v>71655</v>
      </c>
      <c r="AM292" s="253" t="n">
        <v>69865</v>
      </c>
      <c r="AN292" s="253" t="n">
        <v>70249</v>
      </c>
      <c r="AO292" s="253" t="n">
        <v>72574</v>
      </c>
      <c r="AP292" s="253" t="n">
        <v>72574</v>
      </c>
      <c r="AQ292" s="253" t="n">
        <v>74781</v>
      </c>
      <c r="AR292" s="253" t="n">
        <v>72820</v>
      </c>
      <c r="AS292" s="253" t="n">
        <v>77884</v>
      </c>
      <c r="AT292" s="253" t="n">
        <v>80919</v>
      </c>
      <c r="AU292" s="253" t="n">
        <v>80919</v>
      </c>
      <c r="AV292" s="253" t="n">
        <v>80426</v>
      </c>
      <c r="AW292" s="253" t="n">
        <v>80195</v>
      </c>
      <c r="AX292" s="253" t="n">
        <v>82671</v>
      </c>
      <c r="AY292" s="253" t="n">
        <v>82896</v>
      </c>
      <c r="AZ292" s="253" t="n">
        <v>82896</v>
      </c>
      <c r="BA292" s="253" t="n">
        <v>81929</v>
      </c>
      <c r="BB292" s="253" t="n">
        <v>81808</v>
      </c>
      <c r="BC292" s="253" t="n">
        <v>85410</v>
      </c>
      <c r="BD292" s="253" t="n">
        <v>85501</v>
      </c>
      <c r="BE292" s="253" t="n">
        <v>85501</v>
      </c>
      <c r="BF292" s="253" t="n">
        <v>85387</v>
      </c>
      <c r="BG292" s="253" t="n">
        <v>86755</v>
      </c>
      <c r="BH292" s="253" t="n">
        <v>89234</v>
      </c>
      <c r="BI292" s="253" t="n">
        <v>90499</v>
      </c>
      <c r="BJ292" s="253" t="n">
        <v>90499</v>
      </c>
      <c r="BK292" s="253" t="n">
        <v>91409</v>
      </c>
      <c r="BL292" s="253" t="n">
        <v>92399</v>
      </c>
      <c r="BM292" s="253" t="n">
        <v>91040</v>
      </c>
      <c r="BN292" s="253" t="n">
        <v>94511</v>
      </c>
      <c r="BO292" s="253" t="n">
        <v>94511</v>
      </c>
      <c r="BP292" s="253" t="n">
        <v>91888</v>
      </c>
      <c r="BQ292" s="253" t="n">
        <v>92853</v>
      </c>
      <c r="BR292" s="253" t="n">
        <v>100024</v>
      </c>
      <c r="BS292" s="253" t="n">
        <v>99627</v>
      </c>
      <c r="BT292" s="253" t="n">
        <v>99627</v>
      </c>
      <c r="BU292" s="253" t="n">
        <v>96814</v>
      </c>
      <c r="BV292" s="253" t="n">
        <v>95049</v>
      </c>
      <c r="BW292" s="253" t="n">
        <v>94590</v>
      </c>
      <c r="BX292" s="153" t="n"/>
      <c r="BY292" s="153" t="n"/>
      <c r="BZ292" s="153" t="n"/>
      <c r="CA292" s="153" t="n"/>
      <c r="CB292" s="153" t="n"/>
      <c r="CC292" s="153" t="n"/>
      <c r="CD292" s="153" t="n"/>
      <c r="CE292" s="153" t="n"/>
    </row>
    <row r="293" ht="15" customHeight="1" s="251">
      <c r="B293" s="156" t="inlineStr">
        <is>
          <t xml:space="preserve">  Memo: restricted cash &amp; equivalents in the cash-flow cash (CF ending cash − BS cash; litigation escrow, collateral; from FY2019)</t>
        </is>
      </c>
      <c r="C293" s="211">
        <f>IF(AND(ISNUMBER(C238),ISNUMBER(C264)),C238-C264,"")</f>
        <v>0</v>
      </c>
      <c r="D293" s="211">
        <f>IF(AND(ISNUMBER(D238),ISNUMBER(D264)),D238-D264,"")</f>
        <v>0</v>
      </c>
      <c r="E293" s="211">
        <f>IF(AND(ISNUMBER(E238),ISNUMBER(E264)),E238-E264,"")</f>
        <v>0</v>
      </c>
      <c r="F293" s="211">
        <f>IF(AND(ISNUMBER(F238),ISNUMBER(F264)),F238-F264,"")</f>
        <v>0</v>
      </c>
      <c r="G293" s="211">
        <f>IF(AND(ISNUMBER(G238),ISNUMBER(G264)),G238-G264,"")</f>
        <v>0</v>
      </c>
      <c r="H293" s="211">
        <f>IF(AND(ISNUMBER(H238),ISNUMBER(H264)),H238-H264,"")</f>
        <v>0</v>
      </c>
      <c r="I293" s="211">
        <f>IF(AND(ISNUMBER(I238),ISNUMBER(I264)),I238-I264,"")</f>
        <v>0</v>
      </c>
      <c r="J293" s="211">
        <f>IF(AND(ISNUMBER(J238),ISNUMBER(J264)),J238-J264,"")</f>
        <v>0</v>
      </c>
      <c r="K293" s="211">
        <f>IF(AND(ISNUMBER(K238),ISNUMBER(K264)),K238-K264,"")</f>
        <v>0</v>
      </c>
      <c r="L293" s="211">
        <f>IF(AND(ISNUMBER(L238),ISNUMBER(L264)),L238-L264,"")</f>
        <v>0</v>
      </c>
      <c r="M293" s="211">
        <f>IF(AND(ISNUMBER(M238),ISNUMBER(M264)),M238-M264,"")</f>
        <v>0</v>
      </c>
      <c r="N293" s="211">
        <f>IF(AND(ISNUMBER(N238),ISNUMBER(N264)),N238-N264,"")</f>
        <v>0</v>
      </c>
      <c r="O293" s="211">
        <f>IF(AND(ISNUMBER(O238),ISNUMBER(O264)),O238-O264,"")</f>
        <v>0</v>
      </c>
      <c r="P293" s="211">
        <f>IF(AND(ISNUMBER(P238),ISNUMBER(P264)),P238-P264,"")</f>
        <v>0</v>
      </c>
      <c r="Q293" s="211">
        <f>IF(AND(ISNUMBER(Q238),ISNUMBER(Q264)),Q238-Q264,"")</f>
        <v>0</v>
      </c>
      <c r="R293" s="211">
        <f>IF(AND(ISNUMBER(R238),ISNUMBER(R264)),R238-R264,"")</f>
        <v>0</v>
      </c>
      <c r="S293" s="211">
        <f>IF(AND(ISNUMBER(S238),ISNUMBER(S264)),S238-S264,"")</f>
        <v>0</v>
      </c>
      <c r="T293" s="211">
        <f>IF(AND(ISNUMBER(T238),ISNUMBER(T264)),T238-T264,"")</f>
        <v>0</v>
      </c>
      <c r="U293" s="211">
        <f>IF(AND(ISNUMBER(U238),ISNUMBER(U264)),U238-U264,"")</f>
        <v>0</v>
      </c>
      <c r="V293" s="211">
        <f>IF(AND(ISNUMBER(V238),ISNUMBER(V264)),V238-V264,"")</f>
        <v>0</v>
      </c>
      <c r="W293" s="211">
        <f>IF(AND(ISNUMBER(W238),ISNUMBER(W264)),W238-W264,"")</f>
        <v>0</v>
      </c>
      <c r="X293" s="211">
        <f>IF(AND(ISNUMBER(X238),ISNUMBER(X264)),X238-X264,"")</f>
        <v>0</v>
      </c>
      <c r="Y293" s="211">
        <f>IF(AND(ISNUMBER(Y238),ISNUMBER(Y264)),Y238-Y264,"")</f>
        <v>0</v>
      </c>
      <c r="Z293" s="211">
        <f>IF(AND(ISNUMBER(Z238),ISNUMBER(Z264)),Z238-Z264,"")</f>
        <v>0</v>
      </c>
      <c r="AA293" s="211">
        <f>IF(AND(ISNUMBER(AA238),ISNUMBER(AA264)),AA238-AA264,"")</f>
        <v>0</v>
      </c>
      <c r="AB293" s="211">
        <f>IF(AND(ISNUMBER(AB238),ISNUMBER(AB264)),AB238-AB264,"")</f>
        <v>0</v>
      </c>
      <c r="AC293" s="211">
        <f>IF(AND(ISNUMBER(AC238),ISNUMBER(AC264)),AC238-AC264,"")</f>
        <v>0</v>
      </c>
      <c r="AD293" s="211">
        <f>IF(AND(ISNUMBER(AD238),ISNUMBER(AD264)),AD238-AD264,"")</f>
        <v>0</v>
      </c>
      <c r="AE293" s="211">
        <f>IF(AND(ISNUMBER(AE238),ISNUMBER(AE264)),AE238-AE264,"")</f>
        <v>0</v>
      </c>
      <c r="AF293" s="211">
        <f>IF(AND(ISNUMBER(AF238),ISNUMBER(AF264)),AF238-AF264,"")</f>
        <v>0</v>
      </c>
      <c r="AG293" s="211">
        <f>IF(AND(ISNUMBER(AG238),ISNUMBER(AG264)),AG238-AG264,"")</f>
        <v>0</v>
      </c>
      <c r="AH293" s="211">
        <f>IF(AND(ISNUMBER(AH238),ISNUMBER(AH264)),AH238-AH264,"")</f>
        <v>0</v>
      </c>
      <c r="AI293" s="211">
        <f>IF(AND(ISNUMBER(AI238),ISNUMBER(AI264)),AI238-AI264,"")</f>
        <v>0</v>
      </c>
      <c r="AJ293" s="211">
        <f>IF(AND(ISNUMBER(AJ238),ISNUMBER(AJ264)),AJ238-AJ264,"")</f>
        <v>0</v>
      </c>
      <c r="AK293" s="211">
        <f>IF(AND(ISNUMBER(AK238),ISNUMBER(AK264)),AK238-AK264,"")</f>
        <v>0</v>
      </c>
      <c r="AL293" s="211">
        <f>IF(AND(ISNUMBER(AL238),ISNUMBER(AL264)),AL238-AL264,"")</f>
        <v>2826</v>
      </c>
      <c r="AM293" s="211">
        <f>IF(AND(ISNUMBER(AM238),ISNUMBER(AM264)),AM238-AM264,"")</f>
        <v>2634</v>
      </c>
      <c r="AN293" s="211">
        <f>IF(AND(ISNUMBER(AN238),ISNUMBER(AN264)),AN238-AN264,"")</f>
        <v>2757</v>
      </c>
      <c r="AO293" s="211">
        <f>IF(AND(ISNUMBER(AO238),ISNUMBER(AO264)),AO238-AO264,"")</f>
        <v>2994</v>
      </c>
      <c r="AP293" s="211">
        <f>IF(AND(ISNUMBER(AP238),ISNUMBER(AP264)),AP238-AP264,"")</f>
        <v>2994</v>
      </c>
      <c r="AQ293" s="211">
        <f>IF(AND(ISNUMBER(AQ238),ISNUMBER(AQ264)),AQ238-AQ264,"")</f>
        <v>3495</v>
      </c>
      <c r="AR293" s="211">
        <f>IF(AND(ISNUMBER(AR238),ISNUMBER(AR264)),AR238-AR264,"")</f>
        <v>3076</v>
      </c>
      <c r="AS293" s="211">
        <f>IF(AND(ISNUMBER(AS238),ISNUMBER(AS264)),AS238-AS264,"")</f>
        <v>3036</v>
      </c>
      <c r="AT293" s="211">
        <f>IF(AND(ISNUMBER(AT238),ISNUMBER(AT264)),AT238-AT264,"")</f>
        <v>2882</v>
      </c>
      <c r="AU293" s="211">
        <f>IF(AND(ISNUMBER(AU238),ISNUMBER(AU264)),AU238-AU264,"")</f>
        <v>2882</v>
      </c>
      <c r="AV293" s="211">
        <f>IF(AND(ISNUMBER(AV238),ISNUMBER(AV264)),AV238-AV264,"")</f>
        <v>3023</v>
      </c>
      <c r="AW293" s="211">
        <f>IF(AND(ISNUMBER(AW238),ISNUMBER(AW264)),AW238-AW264,"")</f>
        <v>3064</v>
      </c>
      <c r="AX293" s="211">
        <f>IF(AND(ISNUMBER(AX238),ISNUMBER(AX264)),AX238-AX264,"")</f>
        <v>3240</v>
      </c>
      <c r="AY293" s="211">
        <f>IF(AND(ISNUMBER(AY238),ISNUMBER(AY264)),AY238-AY264,"")</f>
        <v>3312</v>
      </c>
      <c r="AZ293" s="211">
        <f>IF(AND(ISNUMBER(AZ238),ISNUMBER(AZ264)),AZ238-AZ264,"")</f>
        <v>3312</v>
      </c>
      <c r="BA293" s="211">
        <f>IF(AND(ISNUMBER(BA238),ISNUMBER(BA264)),BA238-BA264,"")</f>
        <v>3603</v>
      </c>
      <c r="BB293" s="211">
        <f>IF(AND(ISNUMBER(BB238),ISNUMBER(BB264)),BB238-BB264,"")</f>
        <v>4217</v>
      </c>
      <c r="BC293" s="211">
        <f>IF(AND(ISNUMBER(BC238),ISNUMBER(BC264)),BC238-BC264,"")</f>
        <v>4949</v>
      </c>
      <c r="BD293" s="211">
        <f>IF(AND(ISNUMBER(BD238),ISNUMBER(BD264)),BD238-BD264,"")</f>
        <v>4688</v>
      </c>
      <c r="BE293" s="211">
        <f>IF(AND(ISNUMBER(BE238),ISNUMBER(BE264)),BE238-BE264,"")</f>
        <v>4688</v>
      </c>
      <c r="BF293" s="211">
        <f>IF(AND(ISNUMBER(BF238),ISNUMBER(BF264)),BF238-BF264,"")</f>
        <v>5049</v>
      </c>
      <c r="BG293" s="211">
        <f>IF(AND(ISNUMBER(BG238),ISNUMBER(BG264)),BG238-BG264,"")</f>
        <v>5286</v>
      </c>
      <c r="BH293" s="211">
        <f>IF(AND(ISNUMBER(BH238),ISNUMBER(BH264)),BH238-BH264,"")</f>
        <v>5449</v>
      </c>
      <c r="BI293" s="211">
        <f>IF(AND(ISNUMBER(BI238),ISNUMBER(BI264)),BI238-BI264,"")</f>
        <v>5704</v>
      </c>
      <c r="BJ293" s="211">
        <f>IF(AND(ISNUMBER(BJ238),ISNUMBER(BJ264)),BJ238-BJ264,"")</f>
        <v>5704</v>
      </c>
      <c r="BK293" s="211">
        <f>IF(AND(ISNUMBER(BK238),ISNUMBER(BK264)),BK238-BK264,"")</f>
        <v>6045</v>
      </c>
      <c r="BL293" s="211">
        <f>IF(AND(ISNUMBER(BL238),ISNUMBER(BL264)),BL238-BL264,"")</f>
        <v>5955</v>
      </c>
      <c r="BM293" s="211">
        <f>IF(AND(ISNUMBER(BM238),ISNUMBER(BM264)),BM238-BM264,"")</f>
        <v>6329</v>
      </c>
      <c r="BN293" s="211">
        <f>IF(AND(ISNUMBER(BN238),ISNUMBER(BN264)),BN238-BN264,"")</f>
        <v>7788</v>
      </c>
      <c r="BO293" s="211">
        <f>IF(AND(ISNUMBER(BO238),ISNUMBER(BO264)),BO238-BO264,"")</f>
        <v>7788</v>
      </c>
      <c r="BP293" s="211">
        <f>IF(AND(ISNUMBER(BP238),ISNUMBER(BP264)),BP238-BP264,"")</f>
        <v>7599</v>
      </c>
      <c r="BQ293" s="211">
        <f>IF(AND(ISNUMBER(BQ238),ISNUMBER(BQ264)),BQ238-BQ264,"")</f>
        <v>7402</v>
      </c>
      <c r="BR293" s="211">
        <f>IF(AND(ISNUMBER(BR238),ISNUMBER(BR264)),BR238-BR264,"")</f>
        <v>7349</v>
      </c>
      <c r="BS293" s="211">
        <f>IF(AND(ISNUMBER(BS238),ISNUMBER(BS264)),BS238-BS264,"")</f>
        <v>7823</v>
      </c>
      <c r="BT293" s="211">
        <f>IF(AND(ISNUMBER(BT238),ISNUMBER(BT264)),BT238-BT264,"")</f>
        <v>7823</v>
      </c>
      <c r="BU293" s="211">
        <f>IF(AND(ISNUMBER(BU238),ISNUMBER(BU264)),BU238-BU264,"")</f>
        <v>8420</v>
      </c>
      <c r="BV293" s="211">
        <f>IF(AND(ISNUMBER(BV238),ISNUMBER(BV264)),BV238-BV264,"")</f>
        <v>6302</v>
      </c>
      <c r="BW293" s="211">
        <f>IF(AND(ISNUMBER(BW238),ISNUMBER(BW264)),BW238-BW264,"")</f>
        <v>6409</v>
      </c>
      <c r="BX293" s="153" t="n"/>
      <c r="BY293" s="267">
        <f>BW293</f>
        <v>6409</v>
      </c>
      <c r="BZ293" s="267">
        <f>BY293</f>
        <v>6409</v>
      </c>
      <c r="CA293" s="267">
        <f>BZ293</f>
        <v>6409</v>
      </c>
      <c r="CB293" s="267">
        <f>CA293</f>
        <v>6409</v>
      </c>
      <c r="CC293" s="267">
        <f>CB293</f>
        <v>6409</v>
      </c>
      <c r="CD293" s="267">
        <f>CC293</f>
        <v>6409</v>
      </c>
      <c r="CE293" s="153" t="inlineStr">
        <is>
          <t>ASU 2016-18 (FY2019): the cash-flow statement includes restricted cash and equivalents (U.S. litigation escrow, customer collateral, other). Before FY2019 the CF reconciles cash and cash equivalents only. Forecast held at the 30-Jun-2026 level.</t>
        </is>
      </c>
    </row>
    <row r="294" ht="15" customHeight="1" s="251">
      <c r="B294" s="57" t="inlineStr">
        <is>
          <t xml:space="preserve">  Check: BS cash vs cash-flow ending cash, before FY2019 (should be 0; restricted cash memo from FY2019)</t>
        </is>
      </c>
      <c r="C294" s="211">
        <f>IF(AND(ISNUMBER(C264),ISNUMBER(C238)),IF(ABS(C264-C238)&lt;=1.01,0,ROUND(C264-C238,1)),"")</f>
        <v>0</v>
      </c>
      <c r="D294" s="211">
        <f>IF(AND(ISNUMBER(D264),ISNUMBER(D238)),IF(ABS(D264-D238)&lt;=1.01,0,ROUND(D264-D238,1)),"")</f>
        <v>0</v>
      </c>
      <c r="E294" s="211">
        <f>IF(AND(ISNUMBER(E264),ISNUMBER(E238)),IF(ABS(E264-E238)&lt;=1.01,0,ROUND(E264-E238,1)),"")</f>
        <v>0</v>
      </c>
      <c r="F294" s="211">
        <f>IF(AND(ISNUMBER(F264),ISNUMBER(F238)),IF(ABS(F264-F238)&lt;=1.01,0,ROUND(F264-F238,1)),"")</f>
        <v>0</v>
      </c>
      <c r="G294" s="211">
        <f>IF(AND(ISNUMBER(G264),ISNUMBER(G238)),IF(ABS(G264-G238)&lt;=1.01,0,ROUND(G264-G238,1)),"")</f>
        <v>0</v>
      </c>
      <c r="H294" s="211">
        <f>IF(AND(ISNUMBER(H264),ISNUMBER(H238)),IF(ABS(H264-H238)&lt;=1.01,0,ROUND(H264-H238,1)),"")</f>
        <v>0</v>
      </c>
      <c r="I294" s="211">
        <f>IF(AND(ISNUMBER(I264),ISNUMBER(I238)),IF(ABS(I264-I238)&lt;=1.01,0,ROUND(I264-I238,1)),"")</f>
        <v>0</v>
      </c>
      <c r="J294" s="211">
        <f>IF(AND(ISNUMBER(J264),ISNUMBER(J238)),IF(ABS(J264-J238)&lt;=1.01,0,ROUND(J264-J238,1)),"")</f>
        <v>0</v>
      </c>
      <c r="K294" s="211">
        <f>IF(AND(ISNUMBER(K264),ISNUMBER(K238)),IF(ABS(K264-K238)&lt;=1.01,0,ROUND(K264-K238,1)),"")</f>
        <v>0</v>
      </c>
      <c r="L294" s="211">
        <f>IF(AND(ISNUMBER(L264),ISNUMBER(L238)),IF(ABS(L264-L238)&lt;=1.01,0,ROUND(L264-L238,1)),"")</f>
        <v>0</v>
      </c>
      <c r="M294" s="211">
        <f>IF(AND(ISNUMBER(M264),ISNUMBER(M238)),IF(ABS(M264-M238)&lt;=1.01,0,ROUND(M264-M238,1)),"")</f>
        <v>0</v>
      </c>
      <c r="N294" s="211">
        <f>IF(AND(ISNUMBER(N264),ISNUMBER(N238)),IF(ABS(N264-N238)&lt;=1.01,0,ROUND(N264-N238,1)),"")</f>
        <v>0</v>
      </c>
      <c r="O294" s="211">
        <f>IF(AND(ISNUMBER(O264),ISNUMBER(O238)),IF(ABS(O264-O238)&lt;=1.01,0,ROUND(O264-O238,1)),"")</f>
        <v>0</v>
      </c>
      <c r="P294" s="211">
        <f>IF(AND(ISNUMBER(P264),ISNUMBER(P238)),IF(ABS(P264-P238)&lt;=1.01,0,ROUND(P264-P238,1)),"")</f>
        <v>0</v>
      </c>
      <c r="Q294" s="211">
        <f>IF(AND(ISNUMBER(Q264),ISNUMBER(Q238)),IF(ABS(Q264-Q238)&lt;=1.01,0,ROUND(Q264-Q238,1)),"")</f>
        <v>0</v>
      </c>
      <c r="R294" s="211">
        <f>IF(AND(ISNUMBER(R264),ISNUMBER(R238)),IF(ABS(R264-R238)&lt;=1.01,0,ROUND(R264-R238,1)),"")</f>
        <v>0</v>
      </c>
      <c r="S294" s="211">
        <f>IF(AND(ISNUMBER(S264),ISNUMBER(S238)),IF(ABS(S264-S238)&lt;=1.01,0,ROUND(S264-S238,1)),"")</f>
        <v>0</v>
      </c>
      <c r="T294" s="211">
        <f>IF(AND(ISNUMBER(T264),ISNUMBER(T238)),IF(ABS(T264-T238)&lt;=1.01,0,ROUND(T264-T238,1)),"")</f>
        <v>0</v>
      </c>
      <c r="U294" s="211">
        <f>IF(AND(ISNUMBER(U264),ISNUMBER(U238)),IF(ABS(U264-U238)&lt;=1.01,0,ROUND(U264-U238,1)),"")</f>
        <v>0</v>
      </c>
      <c r="V294" s="211">
        <f>IF(AND(ISNUMBER(V264),ISNUMBER(V238)),IF(ABS(V264-V238)&lt;=1.01,0,ROUND(V264-V238,1)),"")</f>
        <v>0</v>
      </c>
      <c r="W294" s="211">
        <f>IF(AND(ISNUMBER(W264),ISNUMBER(W238)),IF(ABS(W264-W238)&lt;=1.01,0,ROUND(W264-W238,1)),"")</f>
        <v>0</v>
      </c>
      <c r="X294" s="211">
        <f>IF(AND(ISNUMBER(X264),ISNUMBER(X238)),IF(ABS(X264-X238)&lt;=1.01,0,ROUND(X264-X238,1)),"")</f>
        <v>0</v>
      </c>
      <c r="Y294" s="211">
        <f>IF(AND(ISNUMBER(Y264),ISNUMBER(Y238)),IF(ABS(Y264-Y238)&lt;=1.01,0,ROUND(Y264-Y238,1)),"")</f>
        <v>0</v>
      </c>
      <c r="Z294" s="211">
        <f>IF(AND(ISNUMBER(Z264),ISNUMBER(Z238)),IF(ABS(Z264-Z238)&lt;=1.01,0,ROUND(Z264-Z238,1)),"")</f>
        <v>0</v>
      </c>
      <c r="AA294" s="211">
        <f>IF(AND(ISNUMBER(AA264),ISNUMBER(AA238)),IF(ABS(AA264-AA238)&lt;=1.01,0,ROUND(AA264-AA238,1)),"")</f>
        <v>0</v>
      </c>
      <c r="AB294" s="211">
        <f>IF(AND(ISNUMBER(AB264),ISNUMBER(AB238)),IF(ABS(AB264-AB238)&lt;=1.01,0,ROUND(AB264-AB238,1)),"")</f>
        <v>0</v>
      </c>
      <c r="AC294" s="211">
        <f>IF(AND(ISNUMBER(AC264),ISNUMBER(AC238)),IF(ABS(AC264-AC238)&lt;=1.01,0,ROUND(AC264-AC238,1)),"")</f>
        <v>0</v>
      </c>
      <c r="AD294" s="211">
        <f>IF(AND(ISNUMBER(AD264),ISNUMBER(AD238)),IF(ABS(AD264-AD238)&lt;=1.01,0,ROUND(AD264-AD238,1)),"")</f>
        <v>0</v>
      </c>
      <c r="AE294" s="211">
        <f>IF(AND(ISNUMBER(AE264),ISNUMBER(AE238)),IF(ABS(AE264-AE238)&lt;=1.01,0,ROUND(AE264-AE238,1)),"")</f>
        <v>0</v>
      </c>
      <c r="AF294" s="211">
        <f>IF(AND(ISNUMBER(AF264),ISNUMBER(AF238)),IF(ABS(AF264-AF238)&lt;=1.01,0,ROUND(AF264-AF238,1)),"")</f>
        <v>0</v>
      </c>
      <c r="AG294" s="211">
        <f>IF(AND(ISNUMBER(AG264),ISNUMBER(AG238)),IF(ABS(AG264-AG238)&lt;=1.01,0,ROUND(AG264-AG238,1)),"")</f>
        <v>0</v>
      </c>
      <c r="AH294" s="211">
        <f>IF(AND(ISNUMBER(AH264),ISNUMBER(AH238)),IF(ABS(AH264-AH238)&lt;=1.01,0,ROUND(AH264-AH238,1)),"")</f>
        <v>0</v>
      </c>
      <c r="AI294" s="211">
        <f>IF(AND(ISNUMBER(AI264),ISNUMBER(AI238)),IF(ABS(AI264-AI238)&lt;=1.01,0,ROUND(AI264-AI238,1)),"")</f>
        <v>0</v>
      </c>
      <c r="AJ294" s="211">
        <f>IF(AND(ISNUMBER(AJ264),ISNUMBER(AJ238)),IF(ABS(AJ264-AJ238)&lt;=1.01,0,ROUND(AJ264-AJ238,1)),"")</f>
        <v>0</v>
      </c>
      <c r="AK294" s="211">
        <f>IF(AND(ISNUMBER(AK264),ISNUMBER(AK238)),IF(ABS(AK264-AK238)&lt;=1.01,0,ROUND(AK264-AK238,1)),"")</f>
        <v>0</v>
      </c>
      <c r="AL294" s="44" t="n"/>
      <c r="AM294" s="44" t="n"/>
      <c r="AN294" s="44" t="n"/>
      <c r="AO294" s="44" t="n"/>
      <c r="AP294" s="44" t="n"/>
      <c r="AQ294" s="44" t="n"/>
      <c r="AR294" s="44" t="n"/>
      <c r="AS294" s="44" t="n"/>
      <c r="AT294" s="44" t="n"/>
      <c r="AU294" s="44" t="n"/>
      <c r="AV294" s="44" t="n"/>
      <c r="AW294" s="44" t="n"/>
      <c r="AX294" s="44" t="n"/>
      <c r="AY294" s="44" t="n"/>
      <c r="AZ294" s="44" t="n"/>
      <c r="BA294" s="44" t="n"/>
      <c r="BB294" s="44" t="n"/>
      <c r="BC294" s="44" t="n"/>
      <c r="BD294" s="44" t="n"/>
      <c r="BE294" s="44" t="n"/>
      <c r="BF294" s="44" t="n"/>
      <c r="BG294" s="44" t="n"/>
      <c r="BH294" s="44" t="n"/>
      <c r="BI294" s="44" t="n"/>
      <c r="BJ294" s="44" t="n"/>
      <c r="BK294" s="44" t="n"/>
      <c r="BL294" s="44" t="n"/>
      <c r="BM294" s="44" t="n"/>
      <c r="BN294" s="44" t="n"/>
      <c r="BO294" s="44" t="n"/>
      <c r="BP294" s="44" t="n"/>
      <c r="BQ294" s="44" t="n"/>
      <c r="BR294" s="44" t="n"/>
      <c r="BS294" s="44" t="n"/>
      <c r="BT294" s="44" t="n"/>
      <c r="BU294" s="44" t="n"/>
      <c r="BV294" s="44" t="n"/>
      <c r="BW294" s="44" t="n"/>
      <c r="BX294" s="153" t="n"/>
      <c r="BY294" s="267">
        <f>ROUND(BY264+BY293-BY238,1)</f>
        <v>0</v>
      </c>
      <c r="BZ294" s="267">
        <f>ROUND(BZ264+BZ293-BZ238,1)</f>
        <v>0</v>
      </c>
      <c r="CA294" s="267">
        <f>ROUND(CA264+CA293-CA238,1)</f>
        <v>0</v>
      </c>
      <c r="CB294" s="267">
        <f>ROUND(CB264+CB293-CB238,1)</f>
        <v>0</v>
      </c>
      <c r="CC294" s="267">
        <f>ROUND(CC264+CC293-CC238,1)</f>
        <v>0</v>
      </c>
      <c r="CD294" s="267">
        <f>ROUND(CD264+CD293-CD238,1)</f>
        <v>0</v>
      </c>
      <c r="CE294" s="153" t="n"/>
    </row>
    <row r="295" ht="15" customHeight="1" s="251">
      <c r="CM295" s="11" t="n"/>
      <c r="CN295" s="12" t="n"/>
      <c r="CO295" s="12" t="n"/>
      <c r="CP295" s="12" t="n"/>
      <c r="CQ295" s="13" t="n"/>
    </row>
    <row r="296" ht="15" customHeight="1" s="251">
      <c r="B296" s="10" t="inlineStr">
        <is>
          <t>WORKING CAPITAL &amp; SETTLEMENT BALANCES</t>
        </is>
      </c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inlineStr">
        <is>
          <t>WORKING CAPITAL — forecast drivers (blue = input, fiscal-year-end ratios to net revenue)</t>
        </is>
      </c>
    </row>
    <row r="297" ht="15" customHeight="1" s="251">
      <c r="B297" s="25" t="inlineStr">
        <is>
          <t xml:space="preserve">  Net revenue — annualised (quarters × 4)</t>
        </is>
      </c>
      <c r="C297" s="211">
        <f>IF(ISNUMBER(C113),C113*1,"")</f>
        <v>6263</v>
      </c>
      <c r="D297" s="211">
        <f>IF(ISNUMBER(D113),D113*1,"")</f>
        <v>6911</v>
      </c>
      <c r="E297" s="211">
        <f>IF(ISNUMBER(E113),E113*1,"")</f>
        <v>8065</v>
      </c>
      <c r="F297" s="211">
        <f>IF(ISNUMBER(F113),F113*1,"")</f>
        <v>9188</v>
      </c>
      <c r="G297" s="211">
        <f>IF(ISNUMBER(G113),G113*1,"")</f>
        <v>10421</v>
      </c>
      <c r="H297" s="211">
        <f>IF(ISNUMBER(H113),H113*4,"")</f>
        <v>11384</v>
      </c>
      <c r="I297" s="211">
        <f>IF(ISNUMBER(I113),I113*4,"")</f>
        <v>11832</v>
      </c>
      <c r="J297" s="211">
        <f>IF(ISNUMBER(J113),J113*4,"")</f>
        <v>12004</v>
      </c>
      <c r="K297" s="211">
        <f>IF(ISNUMBER(K113),K113*4,"")</f>
        <v>11892</v>
      </c>
      <c r="L297" s="211">
        <f>IF(ISNUMBER(L113),L113*1,"")</f>
        <v>11778</v>
      </c>
      <c r="M297" s="211">
        <f>IF(ISNUMBER(M113),M113*4,"")</f>
        <v>12620</v>
      </c>
      <c r="N297" s="211">
        <f>IF(ISNUMBER(N113),N113*4,"")</f>
        <v>12652</v>
      </c>
      <c r="O297" s="211">
        <f>IF(ISNUMBER(O113),O113*4,"")</f>
        <v>12620</v>
      </c>
      <c r="P297" s="211">
        <f>IF(ISNUMBER(P113),P113*4,"")</f>
        <v>12916</v>
      </c>
      <c r="Q297" s="211">
        <f>IF(ISNUMBER(Q113),Q113*1,"")</f>
        <v>12702</v>
      </c>
      <c r="R297" s="211">
        <f>IF(ISNUMBER(R113),R113*4,"")</f>
        <v>13528</v>
      </c>
      <c r="S297" s="211">
        <f>IF(ISNUMBER(S113),S113*4,"")</f>
        <v>13636</v>
      </c>
      <c r="T297" s="211">
        <f>IF(ISNUMBER(T113),T113*4,"")</f>
        <v>14072</v>
      </c>
      <c r="U297" s="211">
        <f>IF(ISNUMBER(U113),U113*4,"")</f>
        <v>14284</v>
      </c>
      <c r="V297" s="211">
        <f>IF(ISNUMBER(V113),V113*1,"")</f>
        <v>13880</v>
      </c>
      <c r="W297" s="211">
        <f>IF(ISNUMBER(W113),W113*4,"")</f>
        <v>14260</v>
      </c>
      <c r="X297" s="211">
        <f>IF(ISNUMBER(X113),X113*4,"")</f>
        <v>14504</v>
      </c>
      <c r="Y297" s="211">
        <f>IF(ISNUMBER(Y113),Y113*4,"")</f>
        <v>14520</v>
      </c>
      <c r="Z297" s="211">
        <f>IF(ISNUMBER(Z113),Z113*4,"")</f>
        <v>17044</v>
      </c>
      <c r="AA297" s="211">
        <f>IF(ISNUMBER(AA113),AA113*1,"")</f>
        <v>15082</v>
      </c>
      <c r="AB297" s="211">
        <f>IF(ISNUMBER(AB113),AB113*4,"")</f>
        <v>17844</v>
      </c>
      <c r="AC297" s="211">
        <f>IF(ISNUMBER(AC113),AC113*4,"")</f>
        <v>17908</v>
      </c>
      <c r="AD297" s="211">
        <f>IF(ISNUMBER(AD113),AD113*4,"")</f>
        <v>18260</v>
      </c>
      <c r="AE297" s="211">
        <f>IF(ISNUMBER(AE113),AE113*4,"")</f>
        <v>19420</v>
      </c>
      <c r="AF297" s="211">
        <f>IF(ISNUMBER(AF113),AF113*1,"")</f>
        <v>18358</v>
      </c>
      <c r="AG297" s="211">
        <f>IF(ISNUMBER(AG113),AG113*4,"")</f>
        <v>19448</v>
      </c>
      <c r="AH297" s="211">
        <f>IF(ISNUMBER(AH113),AH113*4,"")</f>
        <v>20292</v>
      </c>
      <c r="AI297" s="211">
        <f>IF(ISNUMBER(AI113),AI113*4,"")</f>
        <v>20960</v>
      </c>
      <c r="AJ297" s="211">
        <f>IF(ISNUMBER(AJ113),AJ113*4,"")</f>
        <v>21736</v>
      </c>
      <c r="AK297" s="211">
        <f>IF(ISNUMBER(AK113),AK113*1,"")</f>
        <v>20609</v>
      </c>
      <c r="AL297" s="211">
        <f>IF(ISNUMBER(AL113),AL113*4,"")</f>
        <v>22024</v>
      </c>
      <c r="AM297" s="211">
        <f>IF(ISNUMBER(AM113),AM113*4,"")</f>
        <v>21976</v>
      </c>
      <c r="AN297" s="211">
        <f>IF(ISNUMBER(AN113),AN113*4,"")</f>
        <v>23360</v>
      </c>
      <c r="AO297" s="211">
        <f>IF(ISNUMBER(AO113),AO113*4,"")</f>
        <v>24548</v>
      </c>
      <c r="AP297" s="211">
        <f>IF(ISNUMBER(AP113),AP113*1,"")</f>
        <v>22977</v>
      </c>
      <c r="AQ297" s="211">
        <f>IF(ISNUMBER(AQ113),AQ113*4,"")</f>
        <v>24216</v>
      </c>
      <c r="AR297" s="211">
        <f>IF(ISNUMBER(AR113),AR113*4,"")</f>
        <v>23416</v>
      </c>
      <c r="AS297" s="211">
        <f>IF(ISNUMBER(AS113),AS113*4,"")</f>
        <v>19348</v>
      </c>
      <c r="AT297" s="211">
        <f>IF(ISNUMBER(AT113),AT113*4,"")</f>
        <v>20404</v>
      </c>
      <c r="AU297" s="211">
        <f>IF(ISNUMBER(AU113),AU113*1,"")</f>
        <v>21846</v>
      </c>
      <c r="AV297" s="211">
        <f>IF(ISNUMBER(AV113),AV113*4,"")</f>
        <v>22748</v>
      </c>
      <c r="AW297" s="211">
        <f>IF(ISNUMBER(AW113),AW113*4,"")</f>
        <v>22916</v>
      </c>
      <c r="AX297" s="211">
        <f>IF(ISNUMBER(AX113),AX113*4,"")</f>
        <v>24520</v>
      </c>
      <c r="AY297" s="211">
        <f>IF(ISNUMBER(AY113),AY113*4,"")</f>
        <v>26236</v>
      </c>
      <c r="AZ297" s="211">
        <f>IF(ISNUMBER(AZ113),AZ113*1,"")</f>
        <v>24105</v>
      </c>
      <c r="BA297" s="211">
        <f>IF(ISNUMBER(BA113),BA113*4,"")</f>
        <v>28236</v>
      </c>
      <c r="BB297" s="211">
        <f>IF(ISNUMBER(BB113),BB113*4,"")</f>
        <v>28756</v>
      </c>
      <c r="BC297" s="211">
        <f>IF(ISNUMBER(BC113),BC113*4,"")</f>
        <v>29100</v>
      </c>
      <c r="BD297" s="211">
        <f>IF(ISNUMBER(BD113),BD113*4,"")</f>
        <v>31148</v>
      </c>
      <c r="BE297" s="211">
        <f>IF(ISNUMBER(BE113),BE113*1,"")</f>
        <v>29310</v>
      </c>
      <c r="BF297" s="211">
        <f>IF(ISNUMBER(BF113),BF113*4,"")</f>
        <v>31744</v>
      </c>
      <c r="BG297" s="211">
        <f>IF(ISNUMBER(BG113),BG113*4,"")</f>
        <v>31940</v>
      </c>
      <c r="BH297" s="211">
        <f>IF(ISNUMBER(BH113),BH113*4,"")</f>
        <v>32492</v>
      </c>
      <c r="BI297" s="211">
        <f>IF(ISNUMBER(BI113),BI113*4,"")</f>
        <v>34436</v>
      </c>
      <c r="BJ297" s="211">
        <f>IF(ISNUMBER(BJ113),BJ113*1,"")</f>
        <v>32653</v>
      </c>
      <c r="BK297" s="211">
        <f>IF(ISNUMBER(BK113),BK113*4,"")</f>
        <v>34536</v>
      </c>
      <c r="BL297" s="211">
        <f>IF(ISNUMBER(BL113),BL113*4,"")</f>
        <v>35100</v>
      </c>
      <c r="BM297" s="211">
        <f>IF(ISNUMBER(BM113),BM113*4,"")</f>
        <v>35600</v>
      </c>
      <c r="BN297" s="211">
        <f>IF(ISNUMBER(BN113),BN113*4,"")</f>
        <v>38468</v>
      </c>
      <c r="BO297" s="211">
        <f>IF(ISNUMBER(BO113),BO113*1,"")</f>
        <v>35926</v>
      </c>
      <c r="BP297" s="211">
        <f>IF(ISNUMBER(BP113),BP113*4,"")</f>
        <v>38040</v>
      </c>
      <c r="BQ297" s="211">
        <f>IF(ISNUMBER(BQ113),BQ113*4,"")</f>
        <v>38376</v>
      </c>
      <c r="BR297" s="211">
        <f>IF(ISNUMBER(BR113),BR113*4,"")</f>
        <v>40688</v>
      </c>
      <c r="BS297" s="211">
        <f>IF(ISNUMBER(BS113),BS113*4,"")</f>
        <v>42896</v>
      </c>
      <c r="BT297" s="211">
        <f>IF(ISNUMBER(BT113),BT113*1,"")</f>
        <v>40000</v>
      </c>
      <c r="BU297" s="211">
        <f>IF(ISNUMBER(BU113),BU113*4,"")</f>
        <v>43604</v>
      </c>
      <c r="BV297" s="211">
        <f>IF(ISNUMBER(BV113),BV113*4,"")</f>
        <v>44920</v>
      </c>
      <c r="BW297" s="211">
        <f>IF(ISNUMBER(BW113),BW113*4,"")</f>
        <v>46532</v>
      </c>
      <c r="BX297" s="35" t="n"/>
      <c r="BY297" s="254">
        <f>IF(ISNUMBER(BY113),BY113*1,"")</f>
        <v>45882.12</v>
      </c>
      <c r="BZ297" s="254">
        <f>IF(ISNUMBER(BZ113),BZ113*1,"")</f>
        <v>50708.9761969297</v>
      </c>
      <c r="CA297" s="254">
        <f>IF(ISNUMBER(CA113),CA113*1,"")</f>
        <v>56227.8030588733</v>
      </c>
      <c r="CB297" s="254">
        <f>IF(ISNUMBER(CB113),CB113*1,"")</f>
        <v>61929.9516310405</v>
      </c>
      <c r="CC297" s="254">
        <f>IF(ISNUMBER(CC113),CC113*1,"")</f>
        <v>67768.7481321861</v>
      </c>
      <c r="CD297" s="254">
        <f>IF(ISNUMBER(CD113),CD113*1,"")</f>
        <v>73943.1061978779</v>
      </c>
      <c r="CE297" s="19" t="n"/>
    </row>
    <row r="298" ht="15" customHeight="1" s="251">
      <c r="B298" s="25" t="inlineStr">
        <is>
          <t xml:space="preserve">  Settlement receivable % of net revenue</t>
        </is>
      </c>
      <c r="C298" s="215">
        <f>IFERROR(C267/C297,"")</f>
        <v>0.180584384480281</v>
      </c>
      <c r="D298" s="215">
        <f>IFERROR(D267/D297,"")</f>
        <v>0.0875416003472725</v>
      </c>
      <c r="E298" s="215">
        <f>IFERROR(E267/E297,"")</f>
        <v>0.049845009299442</v>
      </c>
      <c r="F298" s="215">
        <f>IFERROR(F267/F297,"")</f>
        <v>0.0448410970831519</v>
      </c>
      <c r="G298" s="215">
        <f>IFERROR(G267/G297,"")</f>
        <v>0.0435658765953363</v>
      </c>
      <c r="H298" s="215">
        <f>IFERROR(H267/H297,"")</f>
        <v>0.0754567814476458</v>
      </c>
      <c r="I298" s="215">
        <f>IFERROR(I267/I297,"")</f>
        <v>0.0412440838404327</v>
      </c>
      <c r="J298" s="215">
        <f>IFERROR(J267/J297,"")</f>
        <v>0.0382372542485838</v>
      </c>
      <c r="K298" s="215">
        <f>IFERROR(K267/K297,"")</f>
        <v>0.067188025563404</v>
      </c>
      <c r="L298" s="215">
        <f>IFERROR(L267/L297,"")</f>
        <v>0.0678383426727798</v>
      </c>
      <c r="M298" s="215">
        <f>IFERROR(M267/M297,"")</f>
        <v>0.070364500792393</v>
      </c>
      <c r="N298" s="215">
        <f>IFERROR(N267/N297,"")</f>
        <v>0.0594372431236168</v>
      </c>
      <c r="O298" s="215">
        <f>IFERROR(O267/O297,"")</f>
        <v>0.0614104595879556</v>
      </c>
      <c r="P298" s="215">
        <f>IFERROR(P267/P297,"")</f>
        <v>0.0608547537937442</v>
      </c>
      <c r="Q298" s="215">
        <f>IFERROR(Q267/Q297,"")</f>
        <v>0.0618800188946623</v>
      </c>
      <c r="R298" s="215">
        <f>IFERROR(R267/R297,"")</f>
        <v>0.0369603784742756</v>
      </c>
      <c r="S298" s="215">
        <f>IFERROR(S267/S297,"")</f>
        <v>0.0497946611909651</v>
      </c>
      <c r="T298" s="215">
        <f>IFERROR(T267/T297,"")</f>
        <v>0.0500284252416146</v>
      </c>
      <c r="U298" s="215">
        <f>IFERROR(U267/U297,"")</f>
        <v>0.0285634276113134</v>
      </c>
      <c r="V298" s="215">
        <f>IFERROR(V267/V297,"")</f>
        <v>0.0293948126801153</v>
      </c>
      <c r="W298" s="215">
        <f>IFERROR(W267/W297,"")</f>
        <v>0.0310659186535764</v>
      </c>
      <c r="X298" s="215">
        <f>IFERROR(X267/X297,"")</f>
        <v>0.0285438499724214</v>
      </c>
      <c r="Y298" s="215">
        <f>IFERROR(Y267/Y297,"")</f>
        <v>0.103236914600551</v>
      </c>
      <c r="Z298" s="215">
        <f>IFERROR(Z267/Z297,"")</f>
        <v>0.0860713447547524</v>
      </c>
      <c r="AA298" s="215">
        <f>IFERROR(AA267/AA297,"")</f>
        <v>0.0972682668081156</v>
      </c>
      <c r="AB298" s="215">
        <f>IFERROR(AB267/AB297,"")</f>
        <v>0.0747029813943062</v>
      </c>
      <c r="AC298" s="215">
        <f>IFERROR(AC267/AC297,"")</f>
        <v>0.187067232521778</v>
      </c>
      <c r="AD298" s="215">
        <f>IFERROR(AD267/AD297,"")</f>
        <v>0.077710843373494</v>
      </c>
      <c r="AE298" s="215">
        <f>IFERROR(AE267/AE297,"")</f>
        <v>0.0732234809474768</v>
      </c>
      <c r="AF298" s="215">
        <f>IFERROR(AF267/AF297,"")</f>
        <v>0.0774594182372808</v>
      </c>
      <c r="AG298" s="215">
        <f>IFERROR(AG267/AG297,"")</f>
        <v>0.0831962155491567</v>
      </c>
      <c r="AH298" s="215">
        <f>IFERROR(AH267/AH297,"")</f>
        <v>0.123250542085551</v>
      </c>
      <c r="AI298" s="215">
        <f>IFERROR(AI267/AI297,"")</f>
        <v>0.0770515267175573</v>
      </c>
      <c r="AJ298" s="215">
        <f>IFERROR(AJ267/AJ297,"")</f>
        <v>0.0727824806772175</v>
      </c>
      <c r="AK298" s="215">
        <f>IFERROR(AK267/AK297,"")</f>
        <v>0.0767625794555777</v>
      </c>
      <c r="AL298" s="215">
        <f>IFERROR(AL267/AL297,"")</f>
        <v>0.141799854703959</v>
      </c>
      <c r="AM298" s="215">
        <f>IFERROR(AM267/AM297,"")</f>
        <v>0.0716235893702221</v>
      </c>
      <c r="AN298" s="215">
        <f>IFERROR(AN267/AN297,"")</f>
        <v>0.0723030821917808</v>
      </c>
      <c r="AO298" s="215">
        <f>IFERROR(AO267/AO297,"")</f>
        <v>0.124164901417631</v>
      </c>
      <c r="AP298" s="215">
        <f>IFERROR(AP267/AP297,"")</f>
        <v>0.132654393523959</v>
      </c>
      <c r="AQ298" s="215">
        <f>IFERROR(AQ267/AQ297,"")</f>
        <v>0.1351585728444</v>
      </c>
      <c r="AR298" s="215">
        <f>IFERROR(AR267/AR297,"")</f>
        <v>0.061154765971985</v>
      </c>
      <c r="AS298" s="215">
        <f>IFERROR(AS267/AS297,"")</f>
        <v>0.109106884432499</v>
      </c>
      <c r="AT298" s="215">
        <f>IFERROR(AT267/AT297,"")</f>
        <v>0.0619486375220545</v>
      </c>
      <c r="AU298" s="215">
        <f>IFERROR(AU267/AU297,"")</f>
        <v>0.0578595623912844</v>
      </c>
      <c r="AV298" s="215">
        <f>IFERROR(AV267/AV297,"")</f>
        <v>0.0701600140671707</v>
      </c>
      <c r="AW298" s="215">
        <f>IFERROR(AW267/AW297,"")</f>
        <v>0.0625763658579159</v>
      </c>
      <c r="AX298" s="215">
        <f>IFERROR(AX267/AX297,"")</f>
        <v>0.0678221859706362</v>
      </c>
      <c r="AY298" s="215">
        <f>IFERROR(AY267/AY297,"")</f>
        <v>0.0670071657264827</v>
      </c>
      <c r="AZ298" s="215">
        <f>IFERROR(AZ267/AZ297,"")</f>
        <v>0.0729309271935283</v>
      </c>
      <c r="BA298" s="215">
        <f>IFERROR(BA267/BA297,"")</f>
        <v>0.0633234169145771</v>
      </c>
      <c r="BB298" s="215">
        <f>IFERROR(BB267/BB297,"")</f>
        <v>0.0567533732090694</v>
      </c>
      <c r="BC298" s="215">
        <f>IFERROR(BC267/BC297,"")</f>
        <v>0.0639175257731959</v>
      </c>
      <c r="BD298" s="215">
        <f>IFERROR(BD267/BD297,"")</f>
        <v>0.0620264543469886</v>
      </c>
      <c r="BE298" s="215">
        <f>IFERROR(BE267/BE297,"")</f>
        <v>0.0659160696008188</v>
      </c>
      <c r="BF298" s="215">
        <f>IFERROR(BF267/BF297,"")</f>
        <v>0.0670047883064516</v>
      </c>
      <c r="BG298" s="215">
        <f>IFERROR(BG267/BG297,"")</f>
        <v>0.0608015028177833</v>
      </c>
      <c r="BH298" s="215">
        <f>IFERROR(BH267/BH297,"")</f>
        <v>0.0755262833928352</v>
      </c>
      <c r="BI298" s="215">
        <f>IFERROR(BI267/BI297,"")</f>
        <v>0.0633929608549193</v>
      </c>
      <c r="BJ298" s="215">
        <f>IFERROR(BJ267/BJ297,"")</f>
        <v>0.0668545003521882</v>
      </c>
      <c r="BK298" s="215">
        <f>IFERROR(BK267/BK297,"")</f>
        <v>0.0731121148946027</v>
      </c>
      <c r="BL298" s="215">
        <f>IFERROR(BL267/BL297,"")</f>
        <v>0.101367521367521</v>
      </c>
      <c r="BM298" s="215">
        <f>IFERROR(BM267/BM297,"")</f>
        <v>0.0597752808988764</v>
      </c>
      <c r="BN298" s="215">
        <f>IFERROR(BN267/BN297,"")</f>
        <v>0.115784548195903</v>
      </c>
      <c r="BO298" s="215">
        <f>IFERROR(BO267/BO297,"")</f>
        <v>0.123977063964817</v>
      </c>
      <c r="BP298" s="215">
        <f>IFERROR(BP267/BP297,"")</f>
        <v>0.0968191377497371</v>
      </c>
      <c r="BQ298" s="215">
        <f>IFERROR(BQ267/BQ297,"")</f>
        <v>0.110589952053367</v>
      </c>
      <c r="BR298" s="215">
        <f>IFERROR(BR267/BR297,"")</f>
        <v>0.117430200550531</v>
      </c>
      <c r="BS298" s="215">
        <f>IFERROR(BS267/BS297,"")</f>
        <v>0.097701417381574</v>
      </c>
      <c r="BT298" s="215">
        <f>IFERROR(BT267/BT297,"")</f>
        <v>0.104775</v>
      </c>
      <c r="BU298" s="215">
        <f>IFERROR(BU267/BU297,"")</f>
        <v>0.0736629667003027</v>
      </c>
      <c r="BV298" s="215">
        <f>IFERROR(BV267/BV297,"")</f>
        <v>0.0475512021371327</v>
      </c>
      <c r="BW298" s="215">
        <f>IFERROR(BW267/BW297,"")</f>
        <v>0.0515774090948165</v>
      </c>
      <c r="BX298" s="24" t="n"/>
      <c r="BY298" s="271" t="n">
        <v>0.105</v>
      </c>
      <c r="BZ298" s="271" t="n">
        <v>0.105</v>
      </c>
      <c r="CA298" s="271" t="n">
        <v>0.105</v>
      </c>
      <c r="CB298" s="271" t="n">
        <v>0.105</v>
      </c>
      <c r="CC298" s="271" t="n">
        <v>0.105</v>
      </c>
      <c r="CD298" s="271" t="n">
        <v>0.105</v>
      </c>
      <c r="CE298" s="153" t="inlineStr">
        <is>
          <t>Forecast ratios at fiscal-year-end (30-Sep-2025) levels on FY2025 net revenue (settlement receivable 10.5%, other current assets 19.9%, other non-current assets 22.8%, settlement payable 11.4%, other current liabilities 45.6%); year ends compared with year ends (quarter-end settlement balances swing with the calendar).</t>
        </is>
      </c>
    </row>
    <row r="299" ht="15" customHeight="1" s="251">
      <c r="B299" s="25" t="inlineStr">
        <is>
          <t xml:space="preserve">  Other current assets % of net revenue</t>
        </is>
      </c>
      <c r="C299" s="215">
        <f>IFERROR(C269/C297,"")</f>
        <v>0.436212677630529</v>
      </c>
      <c r="D299" s="215">
        <f>IFERROR(D269/D297,"")</f>
        <v>0.249891477354941</v>
      </c>
      <c r="E299" s="215">
        <f>IFERROR(E269/E297,"")</f>
        <v>0.187972721636702</v>
      </c>
      <c r="F299" s="215">
        <f>IFERROR(F269/F297,"")</f>
        <v>0.173269481932956</v>
      </c>
      <c r="G299" s="215">
        <f>IFERROR(G269/G297,"")</f>
        <v>0.312829862777085</v>
      </c>
      <c r="H299" s="215">
        <f>IFERROR(H269/H297,"")</f>
        <v>0.252547434996486</v>
      </c>
      <c r="I299" s="215">
        <f>IFERROR(I269/I297,"")</f>
        <v>0.237660581473969</v>
      </c>
      <c r="J299" s="215">
        <f>IFERROR(J269/J297,"")</f>
        <v>0.188937020993002</v>
      </c>
      <c r="K299" s="215">
        <f>IFERROR(K269/K297,"")</f>
        <v>0.155819038008745</v>
      </c>
      <c r="L299" s="215">
        <f>IFERROR(L269/L297,"")</f>
        <v>0.157327220241128</v>
      </c>
      <c r="M299" s="215">
        <f>IFERROR(M269/M297,"")</f>
        <v>0.14675118858954</v>
      </c>
      <c r="N299" s="215">
        <f>IFERROR(N269/N297,"")</f>
        <v>0.176493834966804</v>
      </c>
      <c r="O299" s="215">
        <f>IFERROR(O269/O297,"")</f>
        <v>0.169968304278922</v>
      </c>
      <c r="P299" s="215">
        <f>IFERROR(P269/P297,"")</f>
        <v>0.183261071539176</v>
      </c>
      <c r="Q299" s="215">
        <f>IFERROR(Q269/Q297,"")</f>
        <v>0.186348606518658</v>
      </c>
      <c r="R299" s="215">
        <f>IFERROR(R269/R297,"")</f>
        <v>0.173344175044352</v>
      </c>
      <c r="S299" s="215">
        <f>IFERROR(S269/S297,"")</f>
        <v>0.187958345555881</v>
      </c>
      <c r="T299" s="215">
        <f>IFERROR(T269/T297,"")</f>
        <v>0.17275440591245</v>
      </c>
      <c r="U299" s="215">
        <f>IFERROR(U269/U297,"")</f>
        <v>0.166199943993279</v>
      </c>
      <c r="V299" s="215">
        <f>IFERROR(V269/V297,"")</f>
        <v>0.171037463976945</v>
      </c>
      <c r="W299" s="215">
        <f>IFERROR(W269/W297,"")</f>
        <v>0.111009817671809</v>
      </c>
      <c r="X299" s="215">
        <f>IFERROR(X269/X297,"")</f>
        <v>0.129688361831219</v>
      </c>
      <c r="Y299" s="215">
        <f>IFERROR(Y269/Y297,"")</f>
        <v>0.142148760330579</v>
      </c>
      <c r="Z299" s="215">
        <f>IFERROR(Z269/Z297,"")</f>
        <v>0.110302745834311</v>
      </c>
      <c r="AA299" s="215">
        <f>IFERROR(AA269/AA297,"")</f>
        <v>0.124651902930646</v>
      </c>
      <c r="AB299" s="215">
        <f>IFERROR(AB269/AB297,"")</f>
        <v>0.158540685944855</v>
      </c>
      <c r="AC299" s="215">
        <f>IFERROR(AC269/AC297,"")</f>
        <v>0.178132678132678</v>
      </c>
      <c r="AD299" s="215">
        <f>IFERROR(AD269/AD297,"")</f>
        <v>0.166100766703176</v>
      </c>
      <c r="AE299" s="215">
        <f>IFERROR(AE269/AE297,"")</f>
        <v>0.1043254376931</v>
      </c>
      <c r="AF299" s="215">
        <f>IFERROR(AF269/AF297,"")</f>
        <v>0.110360605730472</v>
      </c>
      <c r="AG299" s="215">
        <f>IFERROR(AG269/AG297,"")</f>
        <v>0.152354997943233</v>
      </c>
      <c r="AH299" s="215">
        <f>IFERROR(AH269/AH297,"")</f>
        <v>0.151094027202839</v>
      </c>
      <c r="AI299" s="215">
        <f>IFERROR(AI269/AI297,"")</f>
        <v>0.173139312977099</v>
      </c>
      <c r="AJ299" s="215">
        <f>IFERROR(AJ269/AJ297,"")</f>
        <v>0.097073978652926</v>
      </c>
      <c r="AK299" s="215">
        <f>IFERROR(AK269/AK297,"")</f>
        <v>0.102382454267553</v>
      </c>
      <c r="AL299" s="215">
        <f>IFERROR(AL269/AL297,"")</f>
        <v>0.177261169633128</v>
      </c>
      <c r="AM299" s="215">
        <f>IFERROR(AM269/AM297,"")</f>
        <v>0.166408809610484</v>
      </c>
      <c r="AN299" s="215">
        <f>IFERROR(AN269/AN297,"")</f>
        <v>0.161429794520548</v>
      </c>
      <c r="AO299" s="215">
        <f>IFERROR(AO269/AO297,"")</f>
        <v>0.122005866058335</v>
      </c>
      <c r="AP299" s="215">
        <f>IFERROR(AP269/AP297,"")</f>
        <v>0.130347739043391</v>
      </c>
      <c r="AQ299" s="215">
        <f>IFERROR(AQ269/AQ297,"")</f>
        <v>0.193178064089858</v>
      </c>
      <c r="AR299" s="215">
        <f>IFERROR(AR269/AR297,"")</f>
        <v>0.143577041339255</v>
      </c>
      <c r="AS299" s="215">
        <f>IFERROR(AS269/AS297,"")</f>
        <v>0.173454620632624</v>
      </c>
      <c r="AT299" s="215">
        <f>IFERROR(AT269/AT297,"")</f>
        <v>0.175896882964125</v>
      </c>
      <c r="AU299" s="215">
        <f>IFERROR(AU269/AU297,"")</f>
        <v>0.164286368213861</v>
      </c>
      <c r="AV299" s="215">
        <f>IFERROR(AV269/AV297,"")</f>
        <v>0.165113416564094</v>
      </c>
      <c r="AW299" s="215">
        <f>IFERROR(AW269/AW297,"")</f>
        <v>0.172979577587712</v>
      </c>
      <c r="AX299" s="215">
        <f>IFERROR(AX269/AX297,"")</f>
        <v>0.164110929853181</v>
      </c>
      <c r="AY299" s="215">
        <f>IFERROR(AY269/AY297,"")</f>
        <v>0.159437414239976</v>
      </c>
      <c r="AZ299" s="215">
        <f>IFERROR(AZ269/AZ297,"")</f>
        <v>0.173532462144783</v>
      </c>
      <c r="BA299" s="215">
        <f>IFERROR(BA269/BA297,"")</f>
        <v>0.168897860886811</v>
      </c>
      <c r="BB299" s="215">
        <f>IFERROR(BB269/BB297,"")</f>
        <v>0.199575740714981</v>
      </c>
      <c r="BC299" s="215">
        <f>IFERROR(BC269/BC297,"")</f>
        <v>0.206563573883162</v>
      </c>
      <c r="BD299" s="215">
        <f>IFERROR(BD269/BD297,"")</f>
        <v>0.191344548606652</v>
      </c>
      <c r="BE299" s="215">
        <f>IFERROR(BE269/BE297,"")</f>
        <v>0.203343568747868</v>
      </c>
      <c r="BF299" s="215">
        <f>IFERROR(BF269/BF297,"")</f>
        <v>0.167496219758065</v>
      </c>
      <c r="BG299" s="215">
        <f>IFERROR(BG269/BG297,"")</f>
        <v>0.18052598622417</v>
      </c>
      <c r="BH299" s="215">
        <f>IFERROR(BH269/BH297,"")</f>
        <v>0.182383355902992</v>
      </c>
      <c r="BI299" s="215">
        <f>IFERROR(BI269/BI297,"")</f>
        <v>0.18736206295737</v>
      </c>
      <c r="BJ299" s="215">
        <f>IFERROR(BJ269/BJ297,"")</f>
        <v>0.197592870486632</v>
      </c>
      <c r="BK299" s="215">
        <f>IFERROR(BK269/BK297,"")</f>
        <v>0.1977936066713</v>
      </c>
      <c r="BL299" s="215">
        <f>IFERROR(BL269/BL297,"")</f>
        <v>0.186980056980057</v>
      </c>
      <c r="BM299" s="215">
        <f>IFERROR(BM269/BM297,"")</f>
        <v>0.202219101123596</v>
      </c>
      <c r="BN299" s="215">
        <f>IFERROR(BN269/BN297,"")</f>
        <v>0.202531974628262</v>
      </c>
      <c r="BO299" s="215">
        <f>IFERROR(BO269/BO297,"")</f>
        <v>0.216862439458888</v>
      </c>
      <c r="BP299" s="215">
        <f>IFERROR(BP269/BP297,"")</f>
        <v>0.209647739221872</v>
      </c>
      <c r="BQ299" s="215">
        <f>IFERROR(BQ269/BQ297,"")</f>
        <v>0.220710860954763</v>
      </c>
      <c r="BR299" s="215">
        <f>IFERROR(BR269/BR297,"")</f>
        <v>0.199813212740857</v>
      </c>
      <c r="BS299" s="215">
        <f>IFERROR(BS269/BS297,"")</f>
        <v>0.185635024244685</v>
      </c>
      <c r="BT299" s="215">
        <f>IFERROR(BT269/BT297,"")</f>
        <v>0.199075</v>
      </c>
      <c r="BU299" s="215">
        <f>IFERROR(BU269/BU297,"")</f>
        <v>0.192092468580864</v>
      </c>
      <c r="BV299" s="215">
        <f>IFERROR(BV269/BV297,"")</f>
        <v>0.23639804096171</v>
      </c>
      <c r="BW299" s="215">
        <f>IFERROR(BW269/BW297,"")</f>
        <v>0.20656752342474</v>
      </c>
      <c r="BX299" s="24" t="n"/>
      <c r="BY299" s="271" t="n">
        <v>0.199</v>
      </c>
      <c r="BZ299" s="271" t="n">
        <v>0.199</v>
      </c>
      <c r="CA299" s="271" t="n">
        <v>0.199</v>
      </c>
      <c r="CB299" s="271" t="n">
        <v>0.199</v>
      </c>
      <c r="CC299" s="271" t="n">
        <v>0.199</v>
      </c>
      <c r="CD299" s="271" t="n">
        <v>0.199</v>
      </c>
      <c r="CE299" s="153" t="inlineStr">
        <is>
          <t>FY2025 year-end ratio (accounts receivable, current client incentives, prepaid &amp; other).</t>
        </is>
      </c>
    </row>
    <row r="300" ht="15" customHeight="1" s="251">
      <c r="B300" s="25" t="inlineStr">
        <is>
          <t xml:space="preserve">  Other non-current assets % of net revenue</t>
        </is>
      </c>
      <c r="C300" s="215">
        <f>IFERROR(C274/C297,"")</f>
        <v>0.221459364521795</v>
      </c>
      <c r="D300" s="215">
        <f>IFERROR(D274/D297,"")</f>
        <v>0.0834900882650847</v>
      </c>
      <c r="E300" s="215">
        <f>IFERROR(E274/E297,"")</f>
        <v>0.0456292622442653</v>
      </c>
      <c r="F300" s="215">
        <f>IFERROR(F274/F297,"")</f>
        <v>0.0232912494558119</v>
      </c>
      <c r="G300" s="215">
        <f>IFERROR(G274/G297,"")</f>
        <v>0.0200556568467518</v>
      </c>
      <c r="H300" s="215">
        <f>IFERROR(H274/H297,"")</f>
        <v>0.0303935347856641</v>
      </c>
      <c r="I300" s="215">
        <f>IFERROR(I274/I297,"")</f>
        <v>0.0364266396213658</v>
      </c>
      <c r="J300" s="215">
        <f>IFERROR(J274/J297,"")</f>
        <v>0.0347384205264912</v>
      </c>
      <c r="K300" s="215">
        <f>IFERROR(K274/K297,"")</f>
        <v>0.0512949882273798</v>
      </c>
      <c r="L300" s="215">
        <f>IFERROR(L274/L297,"")</f>
        <v>0.0517914756325352</v>
      </c>
      <c r="M300" s="215">
        <f>IFERROR(M274/M297,"")</f>
        <v>0.054041204437401</v>
      </c>
      <c r="N300" s="215">
        <f>IFERROR(N274/N297,"")</f>
        <v>0.0736642428074613</v>
      </c>
      <c r="O300" s="215">
        <f>IFERROR(O274/O297,"")</f>
        <v>0.0722662440570523</v>
      </c>
      <c r="P300" s="215">
        <f>IFERROR(P274/P297,"")</f>
        <v>0.0724682564261381</v>
      </c>
      <c r="Q300" s="215">
        <f>IFERROR(Q274/Q297,"")</f>
        <v>0.0736891828058574</v>
      </c>
      <c r="R300" s="215">
        <f>IFERROR(R274/R297,"")</f>
        <v>0.0726641040804258</v>
      </c>
      <c r="S300" s="215">
        <f>IFERROR(S274/S297,"")</f>
        <v>0.0715752420064535</v>
      </c>
      <c r="T300" s="215">
        <f>IFERROR(T274/T297,"")</f>
        <v>0.0720579874928937</v>
      </c>
      <c r="U300" s="215">
        <f>IFERROR(U274/U297,"")</f>
        <v>0.0620274432931952</v>
      </c>
      <c r="V300" s="215">
        <f>IFERROR(V274/V297,"")</f>
        <v>0.0638328530259366</v>
      </c>
      <c r="W300" s="215">
        <f>IFERROR(W274/W297,"")</f>
        <v>0.0673211781206171</v>
      </c>
      <c r="X300" s="215">
        <f>IFERROR(X274/X297,"")</f>
        <v>0.0959735245449531</v>
      </c>
      <c r="Y300" s="215">
        <f>IFERROR(Y274/Y297,"")</f>
        <v>0.101446280991736</v>
      </c>
      <c r="Z300" s="215">
        <f>IFERROR(Z274/Z297,"")</f>
        <v>0.0786787139169209</v>
      </c>
      <c r="AA300" s="215">
        <f>IFERROR(AA274/AA297,"")</f>
        <v>0.0889139371436149</v>
      </c>
      <c r="AB300" s="215">
        <f>IFERROR(AB274/AB297,"")</f>
        <v>0.0787379511320332</v>
      </c>
      <c r="AC300" s="215">
        <f>IFERROR(AC274/AC297,"")</f>
        <v>0.0818628545901273</v>
      </c>
      <c r="AD300" s="215">
        <f>IFERROR(AD274/AD297,"")</f>
        <v>0.0893756845564074</v>
      </c>
      <c r="AE300" s="215">
        <f>IFERROR(AE274/AE297,"")</f>
        <v>0.0935633367662204</v>
      </c>
      <c r="AF300" s="215">
        <f>IFERROR(AF274/AF297,"")</f>
        <v>0.0989759233031921</v>
      </c>
      <c r="AG300" s="215">
        <f>IFERROR(AG274/AG297,"")</f>
        <v>0.0865898807075278</v>
      </c>
      <c r="AH300" s="215">
        <f>IFERROR(AH274/AH297,"")</f>
        <v>0.0802779420461266</v>
      </c>
      <c r="AI300" s="215">
        <f>IFERROR(AI274/AI297,"")</f>
        <v>0.0777671755725191</v>
      </c>
      <c r="AJ300" s="215">
        <f>IFERROR(AJ274/AJ297,"")</f>
        <v>0.0783492822966507</v>
      </c>
      <c r="AK300" s="215">
        <f>IFERROR(AK274/AK297,"")</f>
        <v>0.0826338007666553</v>
      </c>
      <c r="AL300" s="215">
        <f>IFERROR(AL274/AL297,"")</f>
        <v>0.114829277152198</v>
      </c>
      <c r="AM300" s="215">
        <f>IFERROR(AM274/AM297,"")</f>
        <v>0.15284856206771</v>
      </c>
      <c r="AN300" s="215">
        <f>IFERROR(AN274/AN297,"")</f>
        <v>0.166609589041096</v>
      </c>
      <c r="AO300" s="215">
        <f>IFERROR(AO274/AO297,"")</f>
        <v>0.175818803975884</v>
      </c>
      <c r="AP300" s="215">
        <f>IFERROR(AP274/AP297,"")</f>
        <v>0.18784001392697</v>
      </c>
      <c r="AQ300" s="215">
        <f>IFERROR(AQ274/AQ297,"")</f>
        <v>0.210604558969277</v>
      </c>
      <c r="AR300" s="215">
        <f>IFERROR(AR274/AR297,"")</f>
        <v>0.269345746498121</v>
      </c>
      <c r="AS300" s="215">
        <f>IFERROR(AS274/AS297,"")</f>
        <v>0.341172214182344</v>
      </c>
      <c r="AT300" s="215">
        <f>IFERROR(AT274/AT297,"")</f>
        <v>0.322877867084885</v>
      </c>
      <c r="AU300" s="215">
        <f>IFERROR(AU274/AU297,"")</f>
        <v>0.301565503982422</v>
      </c>
      <c r="AV300" s="215">
        <f>IFERROR(AV274/AV297,"")</f>
        <v>0.288289080358713</v>
      </c>
      <c r="AW300" s="215">
        <f>IFERROR(AW274/AW297,"")</f>
        <v>0.292241228835748</v>
      </c>
      <c r="AX300" s="215">
        <f>IFERROR(AX274/AX297,"")</f>
        <v>0.275978792822186</v>
      </c>
      <c r="AY300" s="215">
        <f>IFERROR(AY274/AY297,"")</f>
        <v>0.276223509681354</v>
      </c>
      <c r="AZ300" s="215">
        <f>IFERROR(AZ274/AZ297,"")</f>
        <v>0.300643020120307</v>
      </c>
      <c r="BA300" s="215">
        <f>IFERROR(BA274/BA297,"")</f>
        <v>0.255029040940643</v>
      </c>
      <c r="BB300" s="215">
        <f>IFERROR(BB274/BB297,"")</f>
        <v>0.248713312004451</v>
      </c>
      <c r="BC300" s="215">
        <f>IFERROR(BC274/BC297,"")</f>
        <v>0.239965635738832</v>
      </c>
      <c r="BD300" s="215">
        <f>IFERROR(BD274/BD297,"")</f>
        <v>0.227462437395659</v>
      </c>
      <c r="BE300" s="215">
        <f>IFERROR(BE274/BE297,"")</f>
        <v>0.24172637325145</v>
      </c>
      <c r="BF300" s="215">
        <f>IFERROR(BF274/BF297,"")</f>
        <v>0.227633568548387</v>
      </c>
      <c r="BG300" s="215">
        <f>IFERROR(BG274/BG297,"")</f>
        <v>0.22689417658109</v>
      </c>
      <c r="BH300" s="215">
        <f>IFERROR(BH274/BH297,"")</f>
        <v>0.22817924412163</v>
      </c>
      <c r="BI300" s="215">
        <f>IFERROR(BI274/BI297,"")</f>
        <v>0.21837611801603</v>
      </c>
      <c r="BJ300" s="215">
        <f>IFERROR(BJ274/BJ297,"")</f>
        <v>0.23030043181331</v>
      </c>
      <c r="BK300" s="215">
        <f>IFERROR(BK274/BK297,"")</f>
        <v>0.218236043548761</v>
      </c>
      <c r="BL300" s="215">
        <f>IFERROR(BL274/BL297,"")</f>
        <v>0.219088319088319</v>
      </c>
      <c r="BM300" s="215">
        <f>IFERROR(BM274/BM297,"")</f>
        <v>0.228623595505618</v>
      </c>
      <c r="BN300" s="215">
        <f>IFERROR(BN274/BN297,"")</f>
        <v>0.215217843402308</v>
      </c>
      <c r="BO300" s="215">
        <f>IFERROR(BO274/BO297,"")</f>
        <v>0.230445916606358</v>
      </c>
      <c r="BP300" s="215">
        <f>IFERROR(BP274/BP297,"")</f>
        <v>0.212881177707676</v>
      </c>
      <c r="BQ300" s="215">
        <f>IFERROR(BQ274/BQ297,"")</f>
        <v>0.218287471336252</v>
      </c>
      <c r="BR300" s="215">
        <f>IFERROR(BR274/BR297,"")</f>
        <v>0.214805348014157</v>
      </c>
      <c r="BS300" s="215">
        <f>IFERROR(BS274/BS297,"")</f>
        <v>0.212164304364043</v>
      </c>
      <c r="BT300" s="215">
        <f>IFERROR(BT274/BT297,"")</f>
        <v>0.227525</v>
      </c>
      <c r="BU300" s="215">
        <f>IFERROR(BU274/BU297,"")</f>
        <v>0.218053389597285</v>
      </c>
      <c r="BV300" s="215">
        <f>IFERROR(BV274/BV297,"")</f>
        <v>0.215872662511131</v>
      </c>
      <c r="BW300" s="215">
        <f>IFERROR(BW274/BW297,"")</f>
        <v>0.219698272156795</v>
      </c>
      <c r="BX300" s="24" t="n"/>
      <c r="BY300" s="271" t="n">
        <v>0.228</v>
      </c>
      <c r="BZ300" s="271" t="n">
        <v>0.228</v>
      </c>
      <c r="CA300" s="271" t="n">
        <v>0.228</v>
      </c>
      <c r="CB300" s="271" t="n">
        <v>0.228</v>
      </c>
      <c r="CC300" s="271" t="n">
        <v>0.228</v>
      </c>
      <c r="CD300" s="271" t="n">
        <v>0.228</v>
      </c>
      <c r="CE300" s="153" t="inlineStr">
        <is>
          <t>FY2025 year-end ratio (non-current client incentives, deferred tax and other assets).</t>
        </is>
      </c>
    </row>
    <row r="301" ht="15" customHeight="1" s="251">
      <c r="B301" s="25" t="inlineStr">
        <is>
          <t xml:space="preserve">  Settlement payable % of net revenue</t>
        </is>
      </c>
      <c r="C301" s="215">
        <f>IFERROR(C277/C297,"")</f>
        <v>0.174836340411943</v>
      </c>
      <c r="D301" s="215">
        <f>IFERROR(D277/D297,"")</f>
        <v>0.0917378092895384</v>
      </c>
      <c r="E301" s="215">
        <f>IFERROR(E277/E297,"")</f>
        <v>0.0503409795412275</v>
      </c>
      <c r="F301" s="215">
        <f>IFERROR(F277/F297,"")</f>
        <v>0.0488680888114933</v>
      </c>
      <c r="G301" s="215">
        <f>IFERROR(G277/G297,"")</f>
        <v>0.0689952979560503</v>
      </c>
      <c r="H301" s="215">
        <f>IFERROR(H277/H297,"")</f>
        <v>0.0941672522839072</v>
      </c>
      <c r="I301" s="215">
        <f>IFERROR(I277/I297,"")</f>
        <v>0.0610209601081812</v>
      </c>
      <c r="J301" s="215">
        <f>IFERROR(J277/J297,"")</f>
        <v>0.0680606464511829</v>
      </c>
      <c r="K301" s="215">
        <f>IFERROR(K277/K297,"")</f>
        <v>0.103010427177935</v>
      </c>
      <c r="L301" s="215">
        <f>IFERROR(L277/L297,"")</f>
        <v>0.10400747155714</v>
      </c>
      <c r="M301" s="215">
        <f>IFERROR(M277/M297,"")</f>
        <v>0.0987321711568938</v>
      </c>
      <c r="N301" s="215">
        <f>IFERROR(N277/N297,"")</f>
        <v>0.0868637369585836</v>
      </c>
      <c r="O301" s="215">
        <f>IFERROR(O277/O297,"")</f>
        <v>0.103565768621236</v>
      </c>
      <c r="P301" s="215">
        <f>IFERROR(P277/P297,"")</f>
        <v>0.103127903375658</v>
      </c>
      <c r="Q301" s="215">
        <f>IFERROR(Q277/Q297,"")</f>
        <v>0.104865375531412</v>
      </c>
      <c r="R301" s="215">
        <f>IFERROR(R277/R297,"")</f>
        <v>0.0632022471910112</v>
      </c>
      <c r="S301" s="215">
        <f>IFERROR(S277/S297,"")</f>
        <v>0.0825755353476093</v>
      </c>
      <c r="T301" s="215">
        <f>IFERROR(T277/T297,"")</f>
        <v>0.0879050596930074</v>
      </c>
      <c r="U301" s="215">
        <f>IFERROR(U277/U297,"")</f>
        <v>0.0546065527863344</v>
      </c>
      <c r="V301" s="215">
        <f>IFERROR(V277/V297,"")</f>
        <v>0.0561959654178674</v>
      </c>
      <c r="W301" s="215">
        <f>IFERROR(W277/W297,"")</f>
        <v>0.0521739130434783</v>
      </c>
      <c r="X301" s="215">
        <f>IFERROR(X277/X297,"")</f>
        <v>0.0498483177054606</v>
      </c>
      <c r="Y301" s="215">
        <f>IFERROR(Y277/Y297,"")</f>
        <v>0.13767217630854</v>
      </c>
      <c r="Z301" s="215">
        <f>IFERROR(Z277/Z297,"")</f>
        <v>0.1222717671908</v>
      </c>
      <c r="AA301" s="215">
        <f>IFERROR(AA277/AA297,"")</f>
        <v>0.138177960482695</v>
      </c>
      <c r="AB301" s="215">
        <f>IFERROR(AB277/AB297,"")</f>
        <v>0.11538892624972</v>
      </c>
      <c r="AC301" s="215">
        <f>IFERROR(AC277/AC297,"")</f>
        <v>0.160766138038865</v>
      </c>
      <c r="AD301" s="215">
        <f>IFERROR(AD277/AD297,"")</f>
        <v>0.113636363636364</v>
      </c>
      <c r="AE301" s="215">
        <f>IFERROR(AE277/AE297,"")</f>
        <v>0.103141091658084</v>
      </c>
      <c r="AF301" s="215">
        <f>IFERROR(AF277/AF297,"")</f>
        <v>0.109107745941824</v>
      </c>
      <c r="AG301" s="215">
        <f>IFERROR(AG277/AG297,"")</f>
        <v>0.118366927190457</v>
      </c>
      <c r="AH301" s="215">
        <f>IFERROR(AH277/AH297,"")</f>
        <v>0.150404100137985</v>
      </c>
      <c r="AI301" s="215">
        <f>IFERROR(AI277/AI297,"")</f>
        <v>0.110209923664122</v>
      </c>
      <c r="AJ301" s="215">
        <f>IFERROR(AJ277/AJ297,"")</f>
        <v>0.0997423629002576</v>
      </c>
      <c r="AK301" s="215">
        <f>IFERROR(AK277/AK297,"")</f>
        <v>0.105196758697656</v>
      </c>
      <c r="AL301" s="215">
        <f>IFERROR(AL277/AL297,"")</f>
        <v>0.17662549945514</v>
      </c>
      <c r="AM301" s="215">
        <f>IFERROR(AM277/AM297,"")</f>
        <v>0.0946942118674918</v>
      </c>
      <c r="AN301" s="215">
        <f>IFERROR(AN277/AN297,"")</f>
        <v>0.103595890410959</v>
      </c>
      <c r="AO301" s="215">
        <f>IFERROR(AO277/AO297,"")</f>
        <v>0.162538699690402</v>
      </c>
      <c r="AP301" s="215">
        <f>IFERROR(AP277/AP297,"")</f>
        <v>0.173651912782348</v>
      </c>
      <c r="AQ301" s="215">
        <f>IFERROR(AQ277/AQ297,"")</f>
        <v>0.176618764453254</v>
      </c>
      <c r="AR301" s="215">
        <f>IFERROR(AR277/AR297,"")</f>
        <v>0.0798172189955586</v>
      </c>
      <c r="AS301" s="215">
        <f>IFERROR(AS277/AS297,"")</f>
        <v>0.140841430638826</v>
      </c>
      <c r="AT301" s="215">
        <f>IFERROR(AT277/AT297,"")</f>
        <v>0.0850813565967457</v>
      </c>
      <c r="AU301" s="215">
        <f>IFERROR(AU277/AU297,"")</f>
        <v>0.0794653483475236</v>
      </c>
      <c r="AV301" s="215">
        <f>IFERROR(AV277/AV297,"")</f>
        <v>0.0900298927378231</v>
      </c>
      <c r="AW301" s="215">
        <f>IFERROR(AW277/AW297,"")</f>
        <v>0.0872752661895619</v>
      </c>
      <c r="AX301" s="215">
        <f>IFERROR(AX277/AX297,"")</f>
        <v>0.0969004893964111</v>
      </c>
      <c r="AY301" s="215">
        <f>IFERROR(AY277/AY297,"")</f>
        <v>0.0931163287086446</v>
      </c>
      <c r="AZ301" s="215">
        <f>IFERROR(AZ277/AZ297,"")</f>
        <v>0.101348267994192</v>
      </c>
      <c r="BA301" s="215">
        <f>IFERROR(BA277/BA297,"")</f>
        <v>0.0982433772489021</v>
      </c>
      <c r="BB301" s="215">
        <f>IFERROR(BB277/BB297,"")</f>
        <v>0.0837738211155933</v>
      </c>
      <c r="BC301" s="215">
        <f>IFERROR(BC277/BC297,"")</f>
        <v>0.105429553264605</v>
      </c>
      <c r="BD301" s="215">
        <f>IFERROR(BD277/BD297,"")</f>
        <v>0.105335816103763</v>
      </c>
      <c r="BE301" s="215">
        <f>IFERROR(BE277/BE297,"")</f>
        <v>0.11194131695667</v>
      </c>
      <c r="BF301" s="215">
        <f>IFERROR(BF277/BF297,"")</f>
        <v>0.112556703629032</v>
      </c>
      <c r="BG301" s="215">
        <f>IFERROR(BG277/BG297,"")</f>
        <v>0.0960864120225423</v>
      </c>
      <c r="BH301" s="215">
        <f>IFERROR(BH277/BH297,"")</f>
        <v>0.113104764249661</v>
      </c>
      <c r="BI301" s="215">
        <f>IFERROR(BI277/BI297,"")</f>
        <v>0.0949297247067023</v>
      </c>
      <c r="BJ301" s="215">
        <f>IFERROR(BJ277/BJ297,"")</f>
        <v>0.100113312712461</v>
      </c>
      <c r="BK301" s="215">
        <f>IFERROR(BK277/BK297,"")</f>
        <v>0.107829511234654</v>
      </c>
      <c r="BL301" s="215">
        <f>IFERROR(BL277/BL297,"")</f>
        <v>0.127777777777778</v>
      </c>
      <c r="BM301" s="215">
        <f>IFERROR(BM277/BM297,"")</f>
        <v>0.0723595505617978</v>
      </c>
      <c r="BN301" s="215">
        <f>IFERROR(BN277/BN297,"")</f>
        <v>0.136867006342934</v>
      </c>
      <c r="BO301" s="215">
        <f>IFERROR(BO277/BO297,"")</f>
        <v>0.146551244224239</v>
      </c>
      <c r="BP301" s="215">
        <f>IFERROR(BP277/BP297,"")</f>
        <v>0.116324921135647</v>
      </c>
      <c r="BQ301" s="215">
        <f>IFERROR(BQ277/BQ297,"")</f>
        <v>0.130185532624557</v>
      </c>
      <c r="BR301" s="215">
        <f>IFERROR(BR277/BR297,"")</f>
        <v>0.148397561934723</v>
      </c>
      <c r="BS301" s="215">
        <f>IFERROR(BS277/BS297,"")</f>
        <v>0.106490115628497</v>
      </c>
      <c r="BT301" s="215">
        <f>IFERROR(BT277/BT297,"")</f>
        <v>0.1142</v>
      </c>
      <c r="BU301" s="215">
        <f>IFERROR(BU277/BU297,"")</f>
        <v>0.0994633519860563</v>
      </c>
      <c r="BV301" s="215">
        <f>IFERROR(BV277/BV297,"")</f>
        <v>0.0678539626001781</v>
      </c>
      <c r="BW301" s="215">
        <f>IFERROR(BW277/BW297,"")</f>
        <v>0.0704246540015473</v>
      </c>
      <c r="BX301" s="24" t="n"/>
      <c r="BY301" s="271" t="n">
        <v>0.114</v>
      </c>
      <c r="BZ301" s="271" t="n">
        <v>0.114</v>
      </c>
      <c r="CA301" s="271" t="n">
        <v>0.114</v>
      </c>
      <c r="CB301" s="271" t="n">
        <v>0.114</v>
      </c>
      <c r="CC301" s="271" t="n">
        <v>0.114</v>
      </c>
      <c r="CD301" s="271" t="n">
        <v>0.114</v>
      </c>
      <c r="CE301" s="153" t="inlineStr">
        <is>
          <t>FY2025 year-end ratio.</t>
        </is>
      </c>
    </row>
    <row r="302" ht="15" customHeight="1" s="251">
      <c r="B302" s="25" t="inlineStr">
        <is>
          <t xml:space="preserve">  Other current liabilities % of net revenue</t>
        </is>
      </c>
      <c r="C302" s="215">
        <f>IFERROR(C281/C297,"")</f>
        <v>0.852626536803449</v>
      </c>
      <c r="D302" s="215">
        <f>IFERROR(D281/D297,"")</f>
        <v>0.431775430473159</v>
      </c>
      <c r="E302" s="215">
        <f>IFERROR(E281/E297,"")</f>
        <v>0.27042777433354</v>
      </c>
      <c r="F302" s="215">
        <f>IFERROR(F281/F297,"")</f>
        <v>0.225402699172834</v>
      </c>
      <c r="G302" s="215">
        <f>IFERROR(G281/G297,"")</f>
        <v>0.194415123308704</v>
      </c>
      <c r="H302" s="215">
        <f>IFERROR(H281/H297,"")</f>
        <v>0.162596626844694</v>
      </c>
      <c r="I302" s="215">
        <f>IFERROR(I281/I297,"")</f>
        <v>0.166075050709939</v>
      </c>
      <c r="J302" s="215">
        <f>IFERROR(J281/J297,"")</f>
        <v>0.169276907697434</v>
      </c>
      <c r="K302" s="215">
        <f>IFERROR(K281/K297,"")</f>
        <v>0.188277833837874</v>
      </c>
      <c r="L302" s="215">
        <f>IFERROR(L281/L297,"")</f>
        <v>0.190100186788929</v>
      </c>
      <c r="M302" s="215">
        <f>IFERROR(M281/M297,"")</f>
        <v>0.178209191759113</v>
      </c>
      <c r="N302" s="215">
        <f>IFERROR(N281/N297,"")</f>
        <v>0.14851406892191</v>
      </c>
      <c r="O302" s="215">
        <f>IFERROR(O281/O297,"")</f>
        <v>0.159350237717908</v>
      </c>
      <c r="P302" s="215">
        <f>IFERROR(P281/P297,"")</f>
        <v>0.174744502942087</v>
      </c>
      <c r="Q302" s="215">
        <f>IFERROR(Q281/Q297,"")</f>
        <v>0.177688552983782</v>
      </c>
      <c r="R302" s="215">
        <f>IFERROR(R281/R297,"")</f>
        <v>0.188424009461857</v>
      </c>
      <c r="S302" s="215">
        <f>IFERROR(S281/S297,"")</f>
        <v>0.154224112643004</v>
      </c>
      <c r="T302" s="215">
        <f>IFERROR(T281/T297,"")</f>
        <v>0.169627629334849</v>
      </c>
      <c r="U302" s="215">
        <f>IFERROR(U281/U297,"")</f>
        <v>0.178311397367684</v>
      </c>
      <c r="V302" s="215">
        <f>IFERROR(V281/V297,"")</f>
        <v>0.18350144092219</v>
      </c>
      <c r="W302" s="215">
        <f>IFERROR(W281/W297,"")</f>
        <v>0.179523141654979</v>
      </c>
      <c r="X302" s="215">
        <f>IFERROR(X281/X297,"")</f>
        <v>0.161265857694429</v>
      </c>
      <c r="Y302" s="215">
        <f>IFERROR(Y281/Y297,"")</f>
        <v>0.259917355371901</v>
      </c>
      <c r="Z302" s="215">
        <f>IFERROR(Z281/Z297,"")</f>
        <v>0.233513259798169</v>
      </c>
      <c r="AA302" s="215">
        <f>IFERROR(AA281/AA297,"")</f>
        <v>0.263890730672325</v>
      </c>
      <c r="AB302" s="215">
        <f>IFERROR(AB281/AB297,"")</f>
        <v>0.352051109616678</v>
      </c>
      <c r="AC302" s="215">
        <f>IFERROR(AC281/AC297,"")</f>
        <v>0.197677015858834</v>
      </c>
      <c r="AD302" s="215">
        <f>IFERROR(AD281/AD297,"")</f>
        <v>0.198083242059146</v>
      </c>
      <c r="AE302" s="215">
        <f>IFERROR(AE281/AE297,"")</f>
        <v>0.213903192584964</v>
      </c>
      <c r="AF302" s="215">
        <f>IFERROR(AF281/AF297,"")</f>
        <v>0.226277372262774</v>
      </c>
      <c r="AG302" s="215">
        <f>IFERROR(AG281/AG297,"")</f>
        <v>0.209584533113945</v>
      </c>
      <c r="AH302" s="215">
        <f>IFERROR(AH281/AH297,"")</f>
        <v>0.217770549970432</v>
      </c>
      <c r="AI302" s="215">
        <f>IFERROR(AI281/AI297,"")</f>
        <v>0.279103053435115</v>
      </c>
      <c r="AJ302" s="215">
        <f>IFERROR(AJ281/AJ297,"")</f>
        <v>0.29343025395657</v>
      </c>
      <c r="AK302" s="215">
        <f>IFERROR(AK281/AK297,"")</f>
        <v>0.30947644233102</v>
      </c>
      <c r="AL302" s="215">
        <f>IFERROR(AL281/AL297,"")</f>
        <v>0.303305484925536</v>
      </c>
      <c r="AM302" s="215">
        <f>IFERROR(AM281/AM297,"")</f>
        <v>0.30260283946123</v>
      </c>
      <c r="AN302" s="215">
        <f>IFERROR(AN281/AN297,"")</f>
        <v>0.251926369863014</v>
      </c>
      <c r="AO302" s="215">
        <f>IFERROR(AO281/AO297,"")</f>
        <v>0.267801857585139</v>
      </c>
      <c r="AP302" s="215">
        <f>IFERROR(AP281/AP297,"")</f>
        <v>0.286112199155677</v>
      </c>
      <c r="AQ302" s="215">
        <f>IFERROR(AQ281/AQ297,"")</f>
        <v>0.288032705649158</v>
      </c>
      <c r="AR302" s="215">
        <f>IFERROR(AR281/AR297,"")</f>
        <v>0.303553126067646</v>
      </c>
      <c r="AS302" s="215">
        <f>IFERROR(AS281/AS297,"")</f>
        <v>0.385621252842671</v>
      </c>
      <c r="AT302" s="215">
        <f>IFERROR(AT281/AT297,"")</f>
        <v>0.343609096255636</v>
      </c>
      <c r="AU302" s="215">
        <f>IFERROR(AU281/AU297,"")</f>
        <v>0.320928316396594</v>
      </c>
      <c r="AV302" s="215">
        <f>IFERROR(AV281/AV297,"")</f>
        <v>0.327061719711623</v>
      </c>
      <c r="AW302" s="215">
        <f>IFERROR(AW281/AW297,"")</f>
        <v>0.338977133880258</v>
      </c>
      <c r="AX302" s="215">
        <f>IFERROR(AX281/AX297,"")</f>
        <v>0.347716150081566</v>
      </c>
      <c r="AY302" s="215">
        <f>IFERROR(AY281/AY297,"")</f>
        <v>0.345098338161305</v>
      </c>
      <c r="AZ302" s="215">
        <f>IFERROR(AZ281/AZ297,"")</f>
        <v>0.375606720597386</v>
      </c>
      <c r="BA302" s="215">
        <f>IFERROR(BA281/BA297,"")</f>
        <v>0.327100155829438</v>
      </c>
      <c r="BB302" s="215">
        <f>IFERROR(BB281/BB297,"")</f>
        <v>0.336173320350536</v>
      </c>
      <c r="BC302" s="215">
        <f>IFERROR(BC281/BC297,"")</f>
        <v>0.352061855670103</v>
      </c>
      <c r="BD302" s="215">
        <f>IFERROR(BD281/BD297,"")</f>
        <v>0.369975600359574</v>
      </c>
      <c r="BE302" s="215">
        <f>IFERROR(BE281/BE297,"")</f>
        <v>0.393176390310474</v>
      </c>
      <c r="BF302" s="215">
        <f>IFERROR(BF281/BF297,"")</f>
        <v>0.361863659274194</v>
      </c>
      <c r="BG302" s="215">
        <f>IFERROR(BG281/BG297,"")</f>
        <v>0.365904821540388</v>
      </c>
      <c r="BH302" s="215">
        <f>IFERROR(BH281/BH297,"")</f>
        <v>0.403268496860766</v>
      </c>
      <c r="BI302" s="215">
        <f>IFERROR(BI281/BI297,"")</f>
        <v>0.437710535486119</v>
      </c>
      <c r="BJ302" s="215">
        <f>IFERROR(BJ281/BJ297,"")</f>
        <v>0.461611490521545</v>
      </c>
      <c r="BK302" s="215">
        <f>IFERROR(BK281/BK297,"")</f>
        <v>0.413336807968497</v>
      </c>
      <c r="BL302" s="215">
        <f>IFERROR(BL281/BL297,"")</f>
        <v>0.391396011396011</v>
      </c>
      <c r="BM302" s="215">
        <f>IFERROR(BM281/BM297,"")</f>
        <v>0.417865168539326</v>
      </c>
      <c r="BN302" s="215">
        <f>IFERROR(BN281/BN297,"")</f>
        <v>0.415956119371946</v>
      </c>
      <c r="BO302" s="215">
        <f>IFERROR(BO281/BO297,"")</f>
        <v>0.445387741468574</v>
      </c>
      <c r="BP302" s="215">
        <f>IFERROR(BP281/BP297,"")</f>
        <v>0.409305993690852</v>
      </c>
      <c r="BQ302" s="215">
        <f>IFERROR(BQ281/BQ297,"")</f>
        <v>0.412184698770065</v>
      </c>
      <c r="BR302" s="215">
        <f>IFERROR(BR281/BR297,"")</f>
        <v>0.414741447109713</v>
      </c>
      <c r="BS302" s="215">
        <f>IFERROR(BS281/BS297,"")</f>
        <v>0.4255175307721</v>
      </c>
      <c r="BT302" s="215">
        <f>IFERROR(BT281/BT297,"")</f>
        <v>0.456325</v>
      </c>
      <c r="BU302" s="215">
        <f>IFERROR(BU281/BU297,"")</f>
        <v>0.42305751765893</v>
      </c>
      <c r="BV302" s="215">
        <f>IFERROR(BV281/BV297,"")</f>
        <v>0.427337488869101</v>
      </c>
      <c r="BW302" s="215">
        <f>IFERROR(BW281/BW297,"")</f>
        <v>0.421430413478896</v>
      </c>
      <c r="BX302" s="24" t="n"/>
      <c r="BY302" s="271" t="n">
        <v>0.456</v>
      </c>
      <c r="BZ302" s="271" t="n">
        <v>0.456</v>
      </c>
      <c r="CA302" s="271" t="n">
        <v>0.456</v>
      </c>
      <c r="CB302" s="271" t="n">
        <v>0.456</v>
      </c>
      <c r="CC302" s="271" t="n">
        <v>0.456</v>
      </c>
      <c r="CD302" s="271" t="n">
        <v>0.456</v>
      </c>
      <c r="CE302" s="153" t="inlineStr">
        <is>
          <t>FY2025 year-end ratio (accounts payable, accrued compensation, client incentives, accrued liabilities).</t>
        </is>
      </c>
    </row>
    <row r="303" ht="15" customHeight="1" s="251">
      <c r="B303" s="25" t="inlineStr">
        <is>
          <t xml:space="preserve">  Operating NWC (settlement receivable + other operating assets − settlement payable − other current liabilities)</t>
        </is>
      </c>
      <c r="C303" s="211">
        <f>IF(ISNUMBER(C267),C267+C269+C274-C277-C281,"")</f>
        <v>-1185</v>
      </c>
      <c r="D303" s="211">
        <f>IF(ISNUMBER(D267),D267+D269+D274-D277-D281,"")</f>
        <v>-709</v>
      </c>
      <c r="E303" s="211">
        <f>IF(ISNUMBER(E267),E267+E269+E274-E277-E281,"")</f>
        <v>-301</v>
      </c>
      <c r="F303" s="211">
        <f>IF(ISNUMBER(F267),F267+F269+F274-F277-F281,"")</f>
        <v>-302</v>
      </c>
      <c r="G303" s="211">
        <f>IF(ISNUMBER(G267),G267+G269+G274-G277-G281,"")</f>
        <v>1178</v>
      </c>
      <c r="H303" s="211">
        <f>IF(ISNUMBER(H267),H267+H269+H274-H277-H281,"")</f>
        <v>1157</v>
      </c>
      <c r="I303" s="211">
        <f>IF(ISNUMBER(I267),I267+I269+I274-I277-I281,"")</f>
        <v>1044</v>
      </c>
      <c r="J303" s="211">
        <f>IF(ISNUMBER(J267),J267+J269+J274-J277-J281,"")</f>
        <v>295</v>
      </c>
      <c r="K303" s="211">
        <f>IF(ISNUMBER(K267),K267+K269+K274-K277-K281,"")</f>
        <v>-202</v>
      </c>
      <c r="L303" s="211">
        <f>IF(ISNUMBER(L267),L267+L269+L274-L277-L281,"")</f>
        <v>-202</v>
      </c>
      <c r="M303" s="211">
        <f>IF(ISNUMBER(M267),M267+M269+M274-M277-M281,"")</f>
        <v>-73</v>
      </c>
      <c r="N303" s="211">
        <f>IF(ISNUMBER(N267),N267+N269+N274-N277-N281,"")</f>
        <v>939</v>
      </c>
      <c r="O303" s="211">
        <f>IF(ISNUMBER(O267),O267+O269+O274-O277-O281,"")</f>
        <v>514</v>
      </c>
      <c r="P303" s="211">
        <f>IF(ISNUMBER(P267),P267+P269+P274-P277-P281,"")</f>
        <v>500</v>
      </c>
      <c r="Q303" s="211">
        <f>IF(ISNUMBER(Q267),Q267+Q269+Q274-Q277-Q281,"")</f>
        <v>500</v>
      </c>
      <c r="R303" s="211">
        <f>IF(ISNUMBER(R267),R267+R269+R274-R277-R281,"")</f>
        <v>424</v>
      </c>
      <c r="S303" s="211">
        <f>IF(ISNUMBER(S267),S267+S269+S274-S277-S281,"")</f>
        <v>989</v>
      </c>
      <c r="T303" s="211">
        <f>IF(ISNUMBER(T267),T267+T269+T274-T277-T281,"")</f>
        <v>525</v>
      </c>
      <c r="U303" s="211">
        <f>IF(ISNUMBER(U267),U267+U269+U274-U277-U281,"")</f>
        <v>341</v>
      </c>
      <c r="V303" s="211">
        <f>IF(ISNUMBER(V267),V267+V269+V274-V277-V281,"")</f>
        <v>341</v>
      </c>
      <c r="W303" s="211">
        <f>IF(ISNUMBER(W267),W267+W269+W274-W277-W281,"")</f>
        <v>-318</v>
      </c>
      <c r="X303" s="211">
        <f>IF(ISNUMBER(X267),X267+X269+X274-X277-X281,"")</f>
        <v>625</v>
      </c>
      <c r="Y303" s="211">
        <f>IF(ISNUMBER(Y267),Y267+Y269+Y274-Y277-Y281,"")</f>
        <v>-737</v>
      </c>
      <c r="Z303" s="211">
        <f>IF(ISNUMBER(Z267),Z267+Z269+Z274-Z277-Z281,"")</f>
        <v>-1376</v>
      </c>
      <c r="AA303" s="211">
        <f>IF(ISNUMBER(AA267),AA267+AA269+AA274-AA277-AA281,"")</f>
        <v>-1376</v>
      </c>
      <c r="AB303" s="211">
        <f>IF(ISNUMBER(AB267),AB267+AB269+AB274-AB277-AB281,"")</f>
        <v>-2774</v>
      </c>
      <c r="AC303" s="211">
        <f>IF(ISNUMBER(AC267),AC267+AC269+AC274-AC277-AC281,"")</f>
        <v>1587</v>
      </c>
      <c r="AD303" s="211">
        <f>IF(ISNUMBER(AD267),AD267+AD269+AD274-AD277-AD281,"")</f>
        <v>392</v>
      </c>
      <c r="AE303" s="211">
        <f>IF(ISNUMBER(AE267),AE267+AE269+AE274-AE277-AE281,"")</f>
        <v>-892</v>
      </c>
      <c r="AF303" s="211">
        <f>IF(ISNUMBER(AF267),AF267+AF269+AF274-AF277-AF281,"")</f>
        <v>-892</v>
      </c>
      <c r="AG303" s="211">
        <f>IF(ISNUMBER(AG267),AG267+AG269+AG274-AG277-AG281,"")</f>
        <v>-113</v>
      </c>
      <c r="AH303" s="211">
        <f>IF(ISNUMBER(AH267),AH267+AH269+AH274-AH277-AH281,"")</f>
        <v>-275</v>
      </c>
      <c r="AI303" s="211">
        <f>IF(ISNUMBER(AI267),AI267+AI269+AI274-AI277-AI281,"")</f>
        <v>-1286</v>
      </c>
      <c r="AJ303" s="211">
        <f>IF(ISNUMBER(AJ267),AJ267+AJ269+AJ274-AJ277-AJ281,"")</f>
        <v>-3151</v>
      </c>
      <c r="AK303" s="211">
        <f>IF(ISNUMBER(AK267),AK267+AK269+AK274-AK277-AK281,"")</f>
        <v>-3151</v>
      </c>
      <c r="AL303" s="211">
        <f>IF(ISNUMBER(AL267),AL267+AL269+AL274-AL277-AL281,"")</f>
        <v>-1014</v>
      </c>
      <c r="AM303" s="211">
        <f>IF(ISNUMBER(AM267),AM267+AM269+AM274-AM277-AM281,"")</f>
        <v>-141</v>
      </c>
      <c r="AN303" s="211">
        <f>IF(ISNUMBER(AN267),AN267+AN269+AN274-AN277-AN281,"")</f>
        <v>1047</v>
      </c>
      <c r="AO303" s="211">
        <f>IF(ISNUMBER(AO267),AO267+AO269+AO274-AO277-AO281,"")</f>
        <v>-205</v>
      </c>
      <c r="AP303" s="211">
        <f>IF(ISNUMBER(AP267),AP267+AP269+AP274-AP277-AP281,"")</f>
        <v>-205</v>
      </c>
      <c r="AQ303" s="211">
        <f>IF(ISNUMBER(AQ267),AQ267+AQ269+AQ274-AQ277-AQ281,"")</f>
        <v>1799</v>
      </c>
      <c r="AR303" s="211">
        <f>IF(ISNUMBER(AR267),AR267+AR269+AR274-AR277-AR281,"")</f>
        <v>2124</v>
      </c>
      <c r="AS303" s="211">
        <f>IF(ISNUMBER(AS267),AS267+AS269+AS274-AS277-AS281,"")</f>
        <v>1882</v>
      </c>
      <c r="AT303" s="211">
        <f>IF(ISNUMBER(AT267),AT267+AT269+AT274-AT277-AT281,"")</f>
        <v>2694</v>
      </c>
      <c r="AU303" s="211">
        <f>IF(ISNUMBER(AU267),AU267+AU269+AU274-AU277-AU281,"")</f>
        <v>2694</v>
      </c>
      <c r="AV303" s="211">
        <f>IF(ISNUMBER(AV267),AV267+AV269+AV274-AV277-AV281,"")</f>
        <v>2422</v>
      </c>
      <c r="AW303" s="211">
        <f>IF(ISNUMBER(AW267),AW267+AW269+AW274-AW277-AW281,"")</f>
        <v>2327</v>
      </c>
      <c r="AX303" s="211">
        <f>IF(ISNUMBER(AX267),AX267+AX269+AX274-AX277-AX281,"")</f>
        <v>1552</v>
      </c>
      <c r="AY303" s="211">
        <f>IF(ISNUMBER(AY267),AY267+AY269+AY274-AY277-AY281,"")</f>
        <v>1691</v>
      </c>
      <c r="AZ303" s="211">
        <f>IF(ISNUMBER(AZ267),AZ267+AZ269+AZ274-AZ277-AZ281,"")</f>
        <v>1691</v>
      </c>
      <c r="BA303" s="211">
        <f>IF(ISNUMBER(BA267),BA267+BA269+BA274-BA277-BA281,"")</f>
        <v>1748</v>
      </c>
      <c r="BB303" s="211">
        <f>IF(ISNUMBER(BB267),BB267+BB269+BB274-BB277-BB281,"")</f>
        <v>2447</v>
      </c>
      <c r="BC303" s="211">
        <f>IF(ISNUMBER(BC267),BC267+BC269+BC274-BC277-BC281,"")</f>
        <v>1541</v>
      </c>
      <c r="BD303" s="211">
        <f>IF(ISNUMBER(BD267),BD267+BD269+BD274-BD277-BD281,"")</f>
        <v>172</v>
      </c>
      <c r="BE303" s="211">
        <f>IF(ISNUMBER(BE267),BE267+BE269+BE274-BE277-BE281,"")</f>
        <v>172</v>
      </c>
      <c r="BF303" s="211">
        <f>IF(ISNUMBER(BF267),BF267+BF269+BF274-BF277-BF281,"")</f>
        <v>-390</v>
      </c>
      <c r="BG303" s="211">
        <f>IF(ISNUMBER(BG267),BG267+BG269+BG274-BG277-BG281,"")</f>
        <v>199</v>
      </c>
      <c r="BH303" s="211">
        <f>IF(ISNUMBER(BH267),BH267+BH269+BH274-BH277-BH281,"")</f>
        <v>-984</v>
      </c>
      <c r="BI303" s="211">
        <f>IF(ISNUMBER(BI267),BI267+BI269+BI274-BI277-BI281,"")</f>
        <v>-2187</v>
      </c>
      <c r="BJ303" s="211">
        <f>IF(ISNUMBER(BJ267),BJ267+BJ269+BJ274-BJ277-BJ281,"")</f>
        <v>-2187</v>
      </c>
      <c r="BK303" s="211">
        <f>IF(ISNUMBER(BK267),BK267+BK269+BK274-BK277-BK281,"")</f>
        <v>-1106</v>
      </c>
      <c r="BL303" s="211">
        <f>IF(ISNUMBER(BL267),BL267+BL269+BL274-BL277-BL281,"")</f>
        <v>-412</v>
      </c>
      <c r="BM303" s="211">
        <f>IF(ISNUMBER(BM267),BM267+BM269+BM274-BM277-BM281,"")</f>
        <v>14</v>
      </c>
      <c r="BN303" s="211">
        <f>IF(ISNUMBER(BN267),BN267+BN269+BN274-BN277-BN281,"")</f>
        <v>-742</v>
      </c>
      <c r="BO303" s="211">
        <f>IF(ISNUMBER(BO267),BO267+BO269+BO274-BO277-BO281,"")</f>
        <v>-742</v>
      </c>
      <c r="BP303" s="211">
        <f>IF(ISNUMBER(BP267),BP267+BP269+BP274-BP277-BP281,"")</f>
        <v>-239</v>
      </c>
      <c r="BQ303" s="211">
        <f>IF(ISNUMBER(BQ267),BQ267+BQ269+BQ274-BQ277-BQ281,"")</f>
        <v>277</v>
      </c>
      <c r="BR303" s="211">
        <f>IF(ISNUMBER(BR267),BR267+BR269+BR274-BR277-BR281,"")</f>
        <v>-1265</v>
      </c>
      <c r="BS303" s="211">
        <f>IF(ISNUMBER(BS267),BS267+BS269+BS274-BS277-BS281,"")</f>
        <v>-1566</v>
      </c>
      <c r="BT303" s="211">
        <f>IF(ISNUMBER(BT267),BT267+BT269+BT274-BT277-BT281,"")</f>
        <v>-1566</v>
      </c>
      <c r="BU303" s="211">
        <f>IF(ISNUMBER(BU267),BU267+BU269+BU274-BU277-BU281,"")</f>
        <v>-1688</v>
      </c>
      <c r="BV303" s="211">
        <f>IF(ISNUMBER(BV267),BV267+BV269+BV274-BV277-BV281,"")</f>
        <v>208</v>
      </c>
      <c r="BW303" s="211">
        <f>IF(ISNUMBER(BW267),BW267+BW269+BW274-BW277-BW281,"")</f>
        <v>-652</v>
      </c>
      <c r="BX303" s="35" t="n"/>
      <c r="BY303" s="254">
        <f>IF(ISNUMBER(BY267),BY267+BY269+BY274-BY277-BY281,"")</f>
        <v>-1743.52056</v>
      </c>
      <c r="BZ303" s="254">
        <f>IF(ISNUMBER(BZ267),BZ267+BZ269+BZ274-BZ277-BZ281,"")</f>
        <v>-1926.94109548333</v>
      </c>
      <c r="CA303" s="254">
        <f>IF(ISNUMBER(CA267),CA267+CA269+CA274-CA277-CA281,"")</f>
        <v>-2136.65651623718</v>
      </c>
      <c r="CB303" s="254">
        <f>IF(ISNUMBER(CB267),CB267+CB269+CB274-CB277-CB281,"")</f>
        <v>-2353.33816197954</v>
      </c>
      <c r="CC303" s="254">
        <f>IF(ISNUMBER(CC267),CC267+CC269+CC274-CC277-CC281,"")</f>
        <v>-2575.21242902308</v>
      </c>
      <c r="CD303" s="254">
        <f>IF(ISNUMBER(CD267),CD267+CD269+CD274-CD277-CD281,"")</f>
        <v>-2809.83803551936</v>
      </c>
      <c r="CE303" s="19" t="n"/>
    </row>
    <row r="304" ht="15" customHeight="1" s="251">
      <c r="B304" s="25" t="inlineStr">
        <is>
          <t xml:space="preserve">  NWC % of net revenue</t>
        </is>
      </c>
      <c r="C304" s="215">
        <f>IF(ISNUMBER(C303),IFERROR(C303/C297,""),"")</f>
        <v>-0.189206450582788</v>
      </c>
      <c r="D304" s="215">
        <f>IF(ISNUMBER(D303),IFERROR(D303/D297,""),"")</f>
        <v>-0.102590073795399</v>
      </c>
      <c r="E304" s="215">
        <f>IF(ISNUMBER(E303),IFERROR(E303/E297,""),"")</f>
        <v>-0.0373217606943583</v>
      </c>
      <c r="F304" s="215">
        <f>IF(ISNUMBER(F303),IFERROR(F303/F297,""),"")</f>
        <v>-0.0328689595124075</v>
      </c>
      <c r="G304" s="215">
        <f>IF(ISNUMBER(G303),IFERROR(G303/G297,""),"")</f>
        <v>0.113040974954419</v>
      </c>
      <c r="H304" s="215">
        <f>IF(ISNUMBER(H303),IFERROR(H303/H297,""),"")</f>
        <v>0.101633872101195</v>
      </c>
      <c r="I304" s="215">
        <f>IF(ISNUMBER(I303),IFERROR(I303/I297,""),"")</f>
        <v>0.0882352941176471</v>
      </c>
      <c r="J304" s="215">
        <f>IF(ISNUMBER(J303),IFERROR(J303/J297,""),"")</f>
        <v>0.0245751416194602</v>
      </c>
      <c r="K304" s="215">
        <f>IF(ISNUMBER(K303),IFERROR(K303/K297,""),"")</f>
        <v>-0.0169862092162799</v>
      </c>
      <c r="L304" s="215">
        <f>IF(ISNUMBER(L303),IFERROR(L303/L297,""),"")</f>
        <v>-0.0171506197996264</v>
      </c>
      <c r="M304" s="215">
        <f>IF(ISNUMBER(M303),IFERROR(M303/M297,""),"")</f>
        <v>-0.00578446909667195</v>
      </c>
      <c r="N304" s="215">
        <f>IF(ISNUMBER(N303),IFERROR(N303/N297,""),"")</f>
        <v>0.0742175150173886</v>
      </c>
      <c r="O304" s="215">
        <f>IF(ISNUMBER(O303),IFERROR(O303/O297,""),"")</f>
        <v>0.0407290015847861</v>
      </c>
      <c r="P304" s="215">
        <f>IF(ISNUMBER(P303),IFERROR(P303/P297,""),"")</f>
        <v>0.0387116754413131</v>
      </c>
      <c r="Q304" s="215">
        <f>IF(ISNUMBER(Q303),IFERROR(Q303/Q297,""),"")</f>
        <v>0.0393638797039836</v>
      </c>
      <c r="R304" s="215">
        <f>IF(ISNUMBER(R303),IFERROR(R303/R297,""),"")</f>
        <v>0.0313424009461857</v>
      </c>
      <c r="S304" s="215">
        <f>IF(ISNUMBER(S303),IFERROR(S303/S297,""),"")</f>
        <v>0.072528600762687</v>
      </c>
      <c r="T304" s="215">
        <f>IF(ISNUMBER(T303),IFERROR(T303/T297,""),"")</f>
        <v>0.0373081296191018</v>
      </c>
      <c r="U304" s="215">
        <f>IF(ISNUMBER(U303),IFERROR(U303/U297,""),"")</f>
        <v>0.0238728647437693</v>
      </c>
      <c r="V304" s="215">
        <f>IF(ISNUMBER(V303),IFERROR(V303/V297,""),"")</f>
        <v>0.0245677233429395</v>
      </c>
      <c r="W304" s="215">
        <f>IF(ISNUMBER(W303),IFERROR(W303/W297,""),"")</f>
        <v>-0.0223001402524544</v>
      </c>
      <c r="X304" s="215">
        <f>IF(ISNUMBER(X303),IFERROR(X303/X297,""),"")</f>
        <v>0.0430915609487038</v>
      </c>
      <c r="Y304" s="215">
        <f>IF(ISNUMBER(Y303),IFERROR(Y303/Y297,""),"")</f>
        <v>-0.0507575757575758</v>
      </c>
      <c r="Z304" s="215">
        <f>IF(ISNUMBER(Z303),IFERROR(Z303/Z297,""),"")</f>
        <v>-0.0807322224829852</v>
      </c>
      <c r="AA304" s="215">
        <f>IF(ISNUMBER(AA303),IFERROR(AA303/AA297,""),"")</f>
        <v>-0.0912345842726429</v>
      </c>
      <c r="AB304" s="215">
        <f>IF(ISNUMBER(AB303),IFERROR(AB303/AB297,""),"")</f>
        <v>-0.155458417395203</v>
      </c>
      <c r="AC304" s="215">
        <f>IF(ISNUMBER(AC303),IFERROR(AC303/AC297,""),"")</f>
        <v>0.0886196113468841</v>
      </c>
      <c r="AD304" s="215">
        <f>IF(ISNUMBER(AD303),IFERROR(AD303/AD297,""),"")</f>
        <v>0.0214676889375685</v>
      </c>
      <c r="AE304" s="215">
        <f>IF(ISNUMBER(AE303),IFERROR(AE303/AE297,""),"")</f>
        <v>-0.0459320288362513</v>
      </c>
      <c r="AF304" s="215">
        <f>IF(ISNUMBER(AF303),IFERROR(AF303/AF297,""),"")</f>
        <v>-0.0485891709336529</v>
      </c>
      <c r="AG304" s="215">
        <f>IF(ISNUMBER(AG303),IFERROR(AG303/AG297,""),"")</f>
        <v>-0.00581036610448375</v>
      </c>
      <c r="AH304" s="215">
        <f>IF(ISNUMBER(AH303),IFERROR(AH303/AH297,""),"")</f>
        <v>-0.013552138773901</v>
      </c>
      <c r="AI304" s="215">
        <f>IF(ISNUMBER(AI303),IFERROR(AI303/AI297,""),"")</f>
        <v>-0.0613549618320611</v>
      </c>
      <c r="AJ304" s="215">
        <f>IF(ISNUMBER(AJ303),IFERROR(AJ303/AJ297,""),"")</f>
        <v>-0.144966875230033</v>
      </c>
      <c r="AK304" s="215">
        <f>IF(ISNUMBER(AK303),IFERROR(AK303/AK297,""),"")</f>
        <v>-0.152894366538891</v>
      </c>
      <c r="AL304" s="215">
        <f>IF(ISNUMBER(AL303),IFERROR(AL303/AL297,""),"")</f>
        <v>-0.0460406828913912</v>
      </c>
      <c r="AM304" s="215">
        <f>IF(ISNUMBER(AM303),IFERROR(AM303/AM297,""),"")</f>
        <v>-0.00641609028030579</v>
      </c>
      <c r="AN304" s="215">
        <f>IF(ISNUMBER(AN303),IFERROR(AN303/AN297,""),"")</f>
        <v>0.0448202054794521</v>
      </c>
      <c r="AO304" s="215">
        <f>IF(ISNUMBER(AO303),IFERROR(AO303/AO297,""),"")</f>
        <v>-0.00835098582369236</v>
      </c>
      <c r="AP304" s="215">
        <f>IF(ISNUMBER(AP303),IFERROR(AP303/AP297,""),"")</f>
        <v>-0.00892196544370457</v>
      </c>
      <c r="AQ304" s="215">
        <f>IF(ISNUMBER(AQ303),IFERROR(AQ303/AQ297,""),"")</f>
        <v>0.0742897258011232</v>
      </c>
      <c r="AR304" s="215">
        <f>IF(ISNUMBER(AR303),IFERROR(AR303/AR297,""),"")</f>
        <v>0.0907072087461565</v>
      </c>
      <c r="AS304" s="215">
        <f>IF(ISNUMBER(AS303),IFERROR(AS303/AS297,""),"")</f>
        <v>0.0972710357659706</v>
      </c>
      <c r="AT304" s="215">
        <f>IF(ISNUMBER(AT303),IFERROR(AT303/AT297,""),"")</f>
        <v>0.132032934718683</v>
      </c>
      <c r="AU304" s="215">
        <f>IF(ISNUMBER(AU303),IFERROR(AU303/AU297,""),"")</f>
        <v>0.12331776984345</v>
      </c>
      <c r="AV304" s="215">
        <f>IF(ISNUMBER(AV303),IFERROR(AV303/AV297,""),"")</f>
        <v>0.106470898540531</v>
      </c>
      <c r="AW304" s="215">
        <f>IF(ISNUMBER(AW303),IFERROR(AW303/AW297,""),"")</f>
        <v>0.101544772211555</v>
      </c>
      <c r="AX304" s="215">
        <f>IF(ISNUMBER(AX303),IFERROR(AX303/AX297,""),"")</f>
        <v>0.0632952691680261</v>
      </c>
      <c r="AY304" s="215">
        <f>IF(ISNUMBER(AY303),IFERROR(AY303/AY297,""),"")</f>
        <v>0.0644534227778625</v>
      </c>
      <c r="AZ304" s="215">
        <f>IF(ISNUMBER(AZ303),IFERROR(AZ303/AZ297,""),"")</f>
        <v>0.07015142086704</v>
      </c>
      <c r="BA304" s="215">
        <f>IF(ISNUMBER(BA303),IFERROR(BA303/BA297,""),"")</f>
        <v>0.0619067856636917</v>
      </c>
      <c r="BB304" s="215">
        <f>IF(ISNUMBER(BB303),IFERROR(BB303/BB297,""),"")</f>
        <v>0.0850952844623731</v>
      </c>
      <c r="BC304" s="215">
        <f>IF(ISNUMBER(BC303),IFERROR(BC303/BC297,""),"")</f>
        <v>0.0529553264604811</v>
      </c>
      <c r="BD304" s="215">
        <f>IF(ISNUMBER(BD303),IFERROR(BD303/BD297,""),"")</f>
        <v>0.00552202388596379</v>
      </c>
      <c r="BE304" s="215">
        <f>IF(ISNUMBER(BE303),IFERROR(BE303/BE297,""),"")</f>
        <v>0.00586830433299215</v>
      </c>
      <c r="BF304" s="215">
        <f>IF(ISNUMBER(BF303),IFERROR(BF303/BF297,""),"")</f>
        <v>-0.0122857862903226</v>
      </c>
      <c r="BG304" s="215">
        <f>IF(ISNUMBER(BG303),IFERROR(BG303/BG297,""),"")</f>
        <v>0.00623043206011271</v>
      </c>
      <c r="BH304" s="215">
        <f>IF(ISNUMBER(BH303),IFERROR(BH303/BH297,""),"")</f>
        <v>-0.0302843776929706</v>
      </c>
      <c r="BI304" s="215">
        <f>IF(ISNUMBER(BI303),IFERROR(BI303/BI297,""),"")</f>
        <v>-0.0635091183645023</v>
      </c>
      <c r="BJ304" s="215">
        <f>IF(ISNUMBER(BJ303),IFERROR(BJ303/BJ297,""),"")</f>
        <v>-0.0669770005818761</v>
      </c>
      <c r="BK304" s="215">
        <f>IF(ISNUMBER(BK303),IFERROR(BK303/BK297,""),"")</f>
        <v>-0.0320245540884874</v>
      </c>
      <c r="BL304" s="215">
        <f>IF(ISNUMBER(BL303),IFERROR(BL303/BL297,""),"")</f>
        <v>-0.0117378917378917</v>
      </c>
      <c r="BM304" s="215">
        <f>IF(ISNUMBER(BM303),IFERROR(BM303/BM297,""),"")</f>
        <v>0.000393258426966292</v>
      </c>
      <c r="BN304" s="215">
        <f>IF(ISNUMBER(BN303),IFERROR(BN303/BN297,""),"")</f>
        <v>-0.0192887594884059</v>
      </c>
      <c r="BO304" s="215">
        <f>IF(ISNUMBER(BO303),IFERROR(BO303/BO297,""),"")</f>
        <v>-0.0206535656627512</v>
      </c>
      <c r="BP304" s="215">
        <f>IF(ISNUMBER(BP303),IFERROR(BP303/BP297,""),"")</f>
        <v>-0.00628286014721346</v>
      </c>
      <c r="BQ304" s="215">
        <f>IF(ISNUMBER(BQ303),IFERROR(BQ303/BQ297,""),"")</f>
        <v>0.00721805294976027</v>
      </c>
      <c r="BR304" s="215">
        <f>IF(ISNUMBER(BR303),IFERROR(BR303/BR297,""),"")</f>
        <v>-0.0310902477388911</v>
      </c>
      <c r="BS304" s="215">
        <f>IF(ISNUMBER(BS303),IFERROR(BS303/BS297,""),"")</f>
        <v>-0.0365069004102947</v>
      </c>
      <c r="BT304" s="215">
        <f>IF(ISNUMBER(BT303),IFERROR(BT303/BT297,""),"")</f>
        <v>-0.03915</v>
      </c>
      <c r="BU304" s="215">
        <f>IF(ISNUMBER(BU303),IFERROR(BU303/BU297,""),"")</f>
        <v>-0.0387120447665352</v>
      </c>
      <c r="BV304" s="215">
        <f>IF(ISNUMBER(BV303),IFERROR(BV303/BV297,""),"")</f>
        <v>0.00463045414069457</v>
      </c>
      <c r="BW304" s="215">
        <f>IF(ISNUMBER(BW303),IFERROR(BW303/BW297,""),"")</f>
        <v>-0.0140118628040918</v>
      </c>
      <c r="BX304" s="24" t="n"/>
      <c r="BY304" s="256">
        <f>IF(ISNUMBER(BY303),IFERROR(BY303/BY297,""),"")</f>
        <v>-0.038</v>
      </c>
      <c r="BZ304" s="256">
        <f>IF(ISNUMBER(BZ303),IFERROR(BZ303/BZ297,""),"")</f>
        <v>-0.0380000000000001</v>
      </c>
      <c r="CA304" s="256">
        <f>IF(ISNUMBER(CA303),IFERROR(CA303/CA297,""),"")</f>
        <v>-0.038</v>
      </c>
      <c r="CB304" s="256">
        <f>IF(ISNUMBER(CB303),IFERROR(CB303/CB297,""),"")</f>
        <v>-0.038</v>
      </c>
      <c r="CC304" s="256">
        <f>IF(ISNUMBER(CC303),IFERROR(CC303/CC297,""),"")</f>
        <v>-0.038</v>
      </c>
      <c r="CD304" s="256">
        <f>IF(ISNUMBER(CD303),IFERROR(CD303/CD297,""),"")</f>
        <v>-0.038</v>
      </c>
      <c r="CE304" s="153" t="n"/>
      <c r="CG304" s="37">
        <f>IFERROR(AVERAGE(BZ304,CA304,CB304,CC304,CD304),"n/m")</f>
        <v>-0.038</v>
      </c>
      <c r="CH304" s="37">
        <f>IFERROR(AVERAGE(AZ304,BE304,BJ304,BO304,BT304),"n/m")</f>
        <v>-0.010152168208919</v>
      </c>
      <c r="CI304" s="37">
        <f>IFERROR(AVERAGE(AA304,AF304,AK304,AP304,AU304,AZ304,BE304,BJ304,BO304,BT304),"n/m")</f>
        <v>-0.0229083158390037</v>
      </c>
      <c r="CJ304" s="37">
        <f>IFERROR(AVERAGE(C304,D304,E304,F304,G304,L304,Q304,V304,AA304,AF304,AK304,AP304,AU304,AZ304,BE304,BJ304,BO304,BT304),"n/m")</f>
        <v>-0.0239582469318485</v>
      </c>
    </row>
    <row r="305" ht="15" customHeight="1" s="251">
      <c r="B305" s="25" t="inlineStr">
        <is>
          <t xml:space="preserve">  ΔNWC (y/y)</t>
        </is>
      </c>
      <c r="C305" s="34" t="n"/>
      <c r="D305" s="211">
        <f>IF(AND(ISNUMBER(D303),ISNUMBER(C303)),D303-C303,"")</f>
        <v>476</v>
      </c>
      <c r="E305" s="211">
        <f>IF(AND(ISNUMBER(E303),ISNUMBER(D303)),E303-D303,"")</f>
        <v>408</v>
      </c>
      <c r="F305" s="211">
        <f>IF(AND(ISNUMBER(F303),ISNUMBER(E303)),F303-E303,"")</f>
        <v>-1</v>
      </c>
      <c r="G305" s="211">
        <f>IF(AND(ISNUMBER(G303),ISNUMBER(F303)),G303-F303,"")</f>
        <v>1480</v>
      </c>
      <c r="H305" s="34" t="n"/>
      <c r="I305" s="34" t="n"/>
      <c r="J305" s="34" t="n"/>
      <c r="K305" s="34" t="n"/>
      <c r="L305" s="211">
        <f>IF(AND(ISNUMBER(L303),ISNUMBER(G303)),L303-G303,"")</f>
        <v>-1380</v>
      </c>
      <c r="M305" s="211">
        <f>IF(AND(ISNUMBER(M303),ISNUMBER(H303)),M303-H303,"")</f>
        <v>-1230</v>
      </c>
      <c r="N305" s="211">
        <f>IF(AND(ISNUMBER(N303),ISNUMBER(I303)),N303-I303,"")</f>
        <v>-105</v>
      </c>
      <c r="O305" s="211">
        <f>IF(AND(ISNUMBER(O303),ISNUMBER(J303)),O303-J303,"")</f>
        <v>219</v>
      </c>
      <c r="P305" s="211">
        <f>IF(AND(ISNUMBER(P303),ISNUMBER(K303)),P303-K303,"")</f>
        <v>702</v>
      </c>
      <c r="Q305" s="211">
        <f>IF(AND(ISNUMBER(Q303),ISNUMBER(L303)),Q303-L303,"")</f>
        <v>702</v>
      </c>
      <c r="R305" s="211">
        <f>IF(AND(ISNUMBER(R303),ISNUMBER(M303)),R303-M303,"")</f>
        <v>497</v>
      </c>
      <c r="S305" s="211">
        <f>IF(AND(ISNUMBER(S303),ISNUMBER(N303)),S303-N303,"")</f>
        <v>50</v>
      </c>
      <c r="T305" s="211">
        <f>IF(AND(ISNUMBER(T303),ISNUMBER(O303)),T303-O303,"")</f>
        <v>11</v>
      </c>
      <c r="U305" s="211">
        <f>IF(AND(ISNUMBER(U303),ISNUMBER(P303)),U303-P303,"")</f>
        <v>-159</v>
      </c>
      <c r="V305" s="211">
        <f>IF(AND(ISNUMBER(V303),ISNUMBER(Q303)),V303-Q303,"")</f>
        <v>-159</v>
      </c>
      <c r="W305" s="211">
        <f>IF(AND(ISNUMBER(W303),ISNUMBER(R303)),W303-R303,"")</f>
        <v>-742</v>
      </c>
      <c r="X305" s="211">
        <f>IF(AND(ISNUMBER(X303),ISNUMBER(S303)),X303-S303,"")</f>
        <v>-364</v>
      </c>
      <c r="Y305" s="211">
        <f>IF(AND(ISNUMBER(Y303),ISNUMBER(T303)),Y303-T303,"")</f>
        <v>-1262</v>
      </c>
      <c r="Z305" s="211">
        <f>IF(AND(ISNUMBER(Z303),ISNUMBER(U303)),Z303-U303,"")</f>
        <v>-1717</v>
      </c>
      <c r="AA305" s="211">
        <f>IF(AND(ISNUMBER(AA303),ISNUMBER(V303)),AA303-V303,"")</f>
        <v>-1717</v>
      </c>
      <c r="AB305" s="211">
        <f>IF(AND(ISNUMBER(AB303),ISNUMBER(W303)),AB303-W303,"")</f>
        <v>-2456</v>
      </c>
      <c r="AC305" s="211">
        <f>IF(AND(ISNUMBER(AC303),ISNUMBER(X303)),AC303-X303,"")</f>
        <v>962</v>
      </c>
      <c r="AD305" s="211">
        <f>IF(AND(ISNUMBER(AD303),ISNUMBER(Y303)),AD303-Y303,"")</f>
        <v>1129</v>
      </c>
      <c r="AE305" s="211">
        <f>IF(AND(ISNUMBER(AE303),ISNUMBER(Z303)),AE303-Z303,"")</f>
        <v>484</v>
      </c>
      <c r="AF305" s="211">
        <f>IF(AND(ISNUMBER(AF303),ISNUMBER(AA303)),AF303-AA303,"")</f>
        <v>484</v>
      </c>
      <c r="AG305" s="211">
        <f>IF(AND(ISNUMBER(AG303),ISNUMBER(AB303)),AG303-AB303,"")</f>
        <v>2661</v>
      </c>
      <c r="AH305" s="211">
        <f>IF(AND(ISNUMBER(AH303),ISNUMBER(AC303)),AH303-AC303,"")</f>
        <v>-1862</v>
      </c>
      <c r="AI305" s="211">
        <f>IF(AND(ISNUMBER(AI303),ISNUMBER(AD303)),AI303-AD303,"")</f>
        <v>-1678</v>
      </c>
      <c r="AJ305" s="211">
        <f>IF(AND(ISNUMBER(AJ303),ISNUMBER(AE303)),AJ303-AE303,"")</f>
        <v>-2259</v>
      </c>
      <c r="AK305" s="211">
        <f>IF(AND(ISNUMBER(AK303),ISNUMBER(AF303)),AK303-AF303,"")</f>
        <v>-2259</v>
      </c>
      <c r="AL305" s="211">
        <f>IF(AND(ISNUMBER(AL303),ISNUMBER(AG303)),AL303-AG303,"")</f>
        <v>-901</v>
      </c>
      <c r="AM305" s="211">
        <f>IF(AND(ISNUMBER(AM303),ISNUMBER(AH303)),AM303-AH303,"")</f>
        <v>134</v>
      </c>
      <c r="AN305" s="211">
        <f>IF(AND(ISNUMBER(AN303),ISNUMBER(AI303)),AN303-AI303,"")</f>
        <v>2333</v>
      </c>
      <c r="AO305" s="211">
        <f>IF(AND(ISNUMBER(AO303),ISNUMBER(AJ303)),AO303-AJ303,"")</f>
        <v>2946</v>
      </c>
      <c r="AP305" s="211">
        <f>IF(AND(ISNUMBER(AP303),ISNUMBER(AK303)),AP303-AK303,"")</f>
        <v>2946</v>
      </c>
      <c r="AQ305" s="211">
        <f>IF(AND(ISNUMBER(AQ303),ISNUMBER(AL303)),AQ303-AL303,"")</f>
        <v>2813</v>
      </c>
      <c r="AR305" s="211">
        <f>IF(AND(ISNUMBER(AR303),ISNUMBER(AM303)),AR303-AM303,"")</f>
        <v>2265</v>
      </c>
      <c r="AS305" s="211">
        <f>IF(AND(ISNUMBER(AS303),ISNUMBER(AN303)),AS303-AN303,"")</f>
        <v>835</v>
      </c>
      <c r="AT305" s="211">
        <f>IF(AND(ISNUMBER(AT303),ISNUMBER(AO303)),AT303-AO303,"")</f>
        <v>2899</v>
      </c>
      <c r="AU305" s="211">
        <f>IF(AND(ISNUMBER(AU303),ISNUMBER(AP303)),AU303-AP303,"")</f>
        <v>2899</v>
      </c>
      <c r="AV305" s="211">
        <f>IF(AND(ISNUMBER(AV303),ISNUMBER(AQ303)),AV303-AQ303,"")</f>
        <v>623</v>
      </c>
      <c r="AW305" s="211">
        <f>IF(AND(ISNUMBER(AW303),ISNUMBER(AR303)),AW303-AR303,"")</f>
        <v>203</v>
      </c>
      <c r="AX305" s="211">
        <f>IF(AND(ISNUMBER(AX303),ISNUMBER(AS303)),AX303-AS303,"")</f>
        <v>-330</v>
      </c>
      <c r="AY305" s="211">
        <f>IF(AND(ISNUMBER(AY303),ISNUMBER(AT303)),AY303-AT303,"")</f>
        <v>-1003</v>
      </c>
      <c r="AZ305" s="211">
        <f>IF(AND(ISNUMBER(AZ303),ISNUMBER(AU303)),AZ303-AU303,"")</f>
        <v>-1003</v>
      </c>
      <c r="BA305" s="211">
        <f>IF(AND(ISNUMBER(BA303),ISNUMBER(AV303)),BA303-AV303,"")</f>
        <v>-674</v>
      </c>
      <c r="BB305" s="211">
        <f>IF(AND(ISNUMBER(BB303),ISNUMBER(AW303)),BB303-AW303,"")</f>
        <v>120</v>
      </c>
      <c r="BC305" s="211">
        <f>IF(AND(ISNUMBER(BC303),ISNUMBER(AX303)),BC303-AX303,"")</f>
        <v>-11</v>
      </c>
      <c r="BD305" s="211">
        <f>IF(AND(ISNUMBER(BD303),ISNUMBER(AY303)),BD303-AY303,"")</f>
        <v>-1519</v>
      </c>
      <c r="BE305" s="211">
        <f>IF(AND(ISNUMBER(BE303),ISNUMBER(AZ303)),BE303-AZ303,"")</f>
        <v>-1519</v>
      </c>
      <c r="BF305" s="211">
        <f>IF(AND(ISNUMBER(BF303),ISNUMBER(BA303)),BF303-BA303,"")</f>
        <v>-2138</v>
      </c>
      <c r="BG305" s="211">
        <f>IF(AND(ISNUMBER(BG303),ISNUMBER(BB303)),BG303-BB303,"")</f>
        <v>-2248</v>
      </c>
      <c r="BH305" s="211">
        <f>IF(AND(ISNUMBER(BH303),ISNUMBER(BC303)),BH303-BC303,"")</f>
        <v>-2525</v>
      </c>
      <c r="BI305" s="211">
        <f>IF(AND(ISNUMBER(BI303),ISNUMBER(BD303)),BI303-BD303,"")</f>
        <v>-2359</v>
      </c>
      <c r="BJ305" s="211">
        <f>IF(AND(ISNUMBER(BJ303),ISNUMBER(BE303)),BJ303-BE303,"")</f>
        <v>-2359</v>
      </c>
      <c r="BK305" s="211">
        <f>IF(AND(ISNUMBER(BK303),ISNUMBER(BF303)),BK303-BF303,"")</f>
        <v>-716</v>
      </c>
      <c r="BL305" s="211">
        <f>IF(AND(ISNUMBER(BL303),ISNUMBER(BG303)),BL303-BG303,"")</f>
        <v>-611</v>
      </c>
      <c r="BM305" s="211">
        <f>IF(AND(ISNUMBER(BM303),ISNUMBER(BH303)),BM303-BH303,"")</f>
        <v>998</v>
      </c>
      <c r="BN305" s="211">
        <f>IF(AND(ISNUMBER(BN303),ISNUMBER(BI303)),BN303-BI303,"")</f>
        <v>1445</v>
      </c>
      <c r="BO305" s="211">
        <f>IF(AND(ISNUMBER(BO303),ISNUMBER(BJ303)),BO303-BJ303,"")</f>
        <v>1445</v>
      </c>
      <c r="BP305" s="211">
        <f>IF(AND(ISNUMBER(BP303),ISNUMBER(BK303)),BP303-BK303,"")</f>
        <v>867</v>
      </c>
      <c r="BQ305" s="211">
        <f>IF(AND(ISNUMBER(BQ303),ISNUMBER(BL303)),BQ303-BL303,"")</f>
        <v>689</v>
      </c>
      <c r="BR305" s="211">
        <f>IF(AND(ISNUMBER(BR303),ISNUMBER(BM303)),BR303-BM303,"")</f>
        <v>-1279</v>
      </c>
      <c r="BS305" s="211">
        <f>IF(AND(ISNUMBER(BS303),ISNUMBER(BN303)),BS303-BN303,"")</f>
        <v>-824</v>
      </c>
      <c r="BT305" s="211">
        <f>IF(AND(ISNUMBER(BT303),ISNUMBER(BO303)),BT303-BO303,"")</f>
        <v>-824</v>
      </c>
      <c r="BU305" s="211">
        <f>IF(AND(ISNUMBER(BU303),ISNUMBER(BP303)),BU303-BP303,"")</f>
        <v>-1449</v>
      </c>
      <c r="BV305" s="211">
        <f>IF(AND(ISNUMBER(BV303),ISNUMBER(BQ303)),BV303-BQ303,"")</f>
        <v>-69</v>
      </c>
      <c r="BW305" s="211">
        <f>IF(AND(ISNUMBER(BW303),ISNUMBER(BR303)),BW303-BR303,"")</f>
        <v>613</v>
      </c>
      <c r="BX305" s="35" t="n"/>
      <c r="BY305" s="254">
        <f>IF(AND(ISNUMBER(BY303),ISNUMBER(BT303)),BY303-BT303,"")</f>
        <v>-177.520560000001</v>
      </c>
      <c r="BZ305" s="254">
        <f>IF(AND(ISNUMBER(BZ303),ISNUMBER(BY303)),BZ303-BY303,"")</f>
        <v>-183.420535483332</v>
      </c>
      <c r="CA305" s="254">
        <f>IF(AND(ISNUMBER(CA303),ISNUMBER(BZ303)),CA303-BZ303,"")</f>
        <v>-209.715420753852</v>
      </c>
      <c r="CB305" s="254">
        <f>IF(AND(ISNUMBER(CB303),ISNUMBER(CA303)),CB303-CA303,"")</f>
        <v>-216.681645742352</v>
      </c>
      <c r="CC305" s="254">
        <f>IF(AND(ISNUMBER(CC303),ISNUMBER(CB303)),CC303-CB303,"")</f>
        <v>-221.874267043539</v>
      </c>
      <c r="CD305" s="254">
        <f>IF(AND(ISNUMBER(CD303),ISNUMBER(CC303)),CD303-CC303,"")</f>
        <v>-234.625606496284</v>
      </c>
      <c r="CE305" s="19" t="n"/>
    </row>
    <row r="306" ht="15" customHeight="1" s="251">
      <c r="CM306" s="11" t="n"/>
      <c r="CN306" s="12" t="n"/>
      <c r="CO306" s="12" t="n"/>
      <c r="CP306" s="12" t="n"/>
      <c r="CQ306" s="13" t="n"/>
    </row>
    <row r="307" ht="15" customHeight="1" s="251">
      <c r="B307" s="10" t="inlineStr">
        <is>
          <t>BALANCE SHEET FORECAST SCHEDULES</t>
        </is>
      </c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inlineStr">
        <is>
          <t>BS FORECAST SCHEDULES — explicit driver assumptions</t>
        </is>
      </c>
    </row>
    <row r="308" ht="15" customHeight="1" s="251">
      <c r="B308" s="25" t="inlineStr">
        <is>
          <t>Acquisitions — consideration &amp; purchase-price allocation (closing-period column)</t>
        </is>
      </c>
      <c r="CE308" s="153" t="n"/>
    </row>
    <row r="309" ht="15" customHeight="1" s="251">
      <c r="B309" s="69" t="inlineStr">
        <is>
          <t xml:space="preserve">  Accounting purchase consideration</t>
        </is>
      </c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253" t="n">
        <v>18784</v>
      </c>
      <c r="Z309" s="44" t="n"/>
      <c r="AA309" s="44" t="n"/>
      <c r="AB309" s="44" t="n"/>
      <c r="AC309" s="44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  <c r="AQ309" s="44" t="n"/>
      <c r="AR309" s="44" t="n"/>
      <c r="AS309" s="44" t="n"/>
      <c r="AT309" s="44" t="n"/>
      <c r="AU309" s="44" t="n"/>
      <c r="AV309" s="44" t="n"/>
      <c r="AW309" s="44" t="n"/>
      <c r="AX309" s="44" t="n"/>
      <c r="AY309" s="44" t="n"/>
      <c r="AZ309" s="44" t="n"/>
      <c r="BA309" s="44" t="n"/>
      <c r="BB309" s="44" t="n"/>
      <c r="BC309" s="44" t="n"/>
      <c r="BD309" s="44" t="n"/>
      <c r="BE309" s="44" t="n"/>
      <c r="BF309" s="44" t="n"/>
      <c r="BG309" s="44" t="n"/>
      <c r="BH309" s="44" t="n"/>
      <c r="BI309" s="44" t="n"/>
      <c r="BJ309" s="44" t="n"/>
      <c r="BK309" s="44" t="n"/>
      <c r="BL309" s="44" t="n"/>
      <c r="BM309" s="44" t="n"/>
      <c r="BN309" s="44" t="n"/>
      <c r="BO309" s="44" t="n"/>
      <c r="BP309" s="44" t="n"/>
      <c r="BQ309" s="44" t="n"/>
      <c r="BR309" s="44" t="n"/>
      <c r="BS309" s="44" t="n"/>
      <c r="BT309" s="44" t="n"/>
      <c r="BU309" s="44" t="n"/>
      <c r="BV309" s="44" t="n"/>
      <c r="BW309" s="44" t="n"/>
      <c r="BX309" s="153" t="n"/>
      <c r="BY309" s="35" t="n"/>
      <c r="BZ309" s="35" t="n"/>
      <c r="CA309" s="35" t="n"/>
      <c r="CB309" s="35" t="n"/>
      <c r="CC309" s="35" t="n"/>
      <c r="CD309" s="35" t="n"/>
      <c r="CE309" s="19" t="n"/>
    </row>
    <row r="310" ht="15" customHeight="1" s="251">
      <c r="B310" s="69" t="inlineStr">
        <is>
          <t xml:space="preserve">  Current assets acquired (incl. cash, settlement receivable)</t>
        </is>
      </c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253" t="n">
        <v>4457</v>
      </c>
      <c r="Z310" s="44" t="n"/>
      <c r="AA310" s="44" t="n"/>
      <c r="AB310" s="44" t="n"/>
      <c r="AC310" s="44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  <c r="AQ310" s="44" t="n"/>
      <c r="AR310" s="44" t="n"/>
      <c r="AS310" s="44" t="n"/>
      <c r="AT310" s="44" t="n"/>
      <c r="AU310" s="44" t="n"/>
      <c r="AV310" s="44" t="n"/>
      <c r="AW310" s="44" t="n"/>
      <c r="AX310" s="44" t="n"/>
      <c r="AY310" s="44" t="n"/>
      <c r="AZ310" s="44" t="n"/>
      <c r="BA310" s="44" t="n"/>
      <c r="BB310" s="44" t="n"/>
      <c r="BC310" s="44" t="n"/>
      <c r="BD310" s="44" t="n"/>
      <c r="BE310" s="44" t="n"/>
      <c r="BF310" s="44" t="n"/>
      <c r="BG310" s="44" t="n"/>
      <c r="BH310" s="44" t="n"/>
      <c r="BI310" s="44" t="n"/>
      <c r="BJ310" s="44" t="n"/>
      <c r="BK310" s="44" t="n"/>
      <c r="BL310" s="44" t="n"/>
      <c r="BM310" s="44" t="n"/>
      <c r="BN310" s="44" t="n"/>
      <c r="BO310" s="44" t="n"/>
      <c r="BP310" s="44" t="n"/>
      <c r="BQ310" s="44" t="n"/>
      <c r="BR310" s="44" t="n"/>
      <c r="BS310" s="44" t="n"/>
      <c r="BT310" s="44" t="n"/>
      <c r="BU310" s="44" t="n"/>
      <c r="BV310" s="44" t="n"/>
      <c r="BW310" s="44" t="n"/>
      <c r="BX310" s="153" t="n"/>
      <c r="BY310" s="35" t="n"/>
      <c r="BZ310" s="35" t="n"/>
      <c r="CA310" s="35" t="n"/>
      <c r="CB310" s="35" t="n"/>
      <c r="CC310" s="35" t="n"/>
      <c r="CD310" s="35" t="n"/>
      <c r="CE310" s="19" t="n"/>
    </row>
    <row r="311" ht="15" customHeight="1" s="251">
      <c r="B311" s="69" t="inlineStr">
        <is>
          <t xml:space="preserve">  Non-current assets acquired</t>
        </is>
      </c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253" t="n">
        <v>258</v>
      </c>
      <c r="Z311" s="44" t="n"/>
      <c r="AA311" s="44" t="n"/>
      <c r="AB311" s="44" t="n"/>
      <c r="AC311" s="44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  <c r="AQ311" s="44" t="n"/>
      <c r="AR311" s="44" t="n"/>
      <c r="AS311" s="44" t="n"/>
      <c r="AT311" s="44" t="n"/>
      <c r="AU311" s="44" t="n"/>
      <c r="AV311" s="44" t="n"/>
      <c r="AW311" s="44" t="n"/>
      <c r="AX311" s="44" t="n"/>
      <c r="AY311" s="44" t="n"/>
      <c r="AZ311" s="44" t="n"/>
      <c r="BA311" s="44" t="n"/>
      <c r="BB311" s="44" t="n"/>
      <c r="BC311" s="44" t="n"/>
      <c r="BD311" s="44" t="n"/>
      <c r="BE311" s="44" t="n"/>
      <c r="BF311" s="44" t="n"/>
      <c r="BG311" s="44" t="n"/>
      <c r="BH311" s="44" t="n"/>
      <c r="BI311" s="44" t="n"/>
      <c r="BJ311" s="44" t="n"/>
      <c r="BK311" s="44" t="n"/>
      <c r="BL311" s="44" t="n"/>
      <c r="BM311" s="44" t="n"/>
      <c r="BN311" s="44" t="n"/>
      <c r="BO311" s="44" t="n"/>
      <c r="BP311" s="44" t="n"/>
      <c r="BQ311" s="44" t="n"/>
      <c r="BR311" s="44" t="n"/>
      <c r="BS311" s="44" t="n"/>
      <c r="BT311" s="44" t="n"/>
      <c r="BU311" s="44" t="n"/>
      <c r="BV311" s="44" t="n"/>
      <c r="BW311" s="44" t="n"/>
      <c r="BX311" s="153" t="n"/>
      <c r="BY311" s="35" t="n"/>
      <c r="BZ311" s="35" t="n"/>
      <c r="CA311" s="35" t="n"/>
      <c r="CB311" s="35" t="n"/>
      <c r="CC311" s="35" t="n"/>
      <c r="CD311" s="35" t="n"/>
      <c r="CE311" s="19" t="n"/>
    </row>
    <row r="312" ht="15" customHeight="1" s="251">
      <c r="B312" s="69" t="inlineStr">
        <is>
          <t xml:space="preserve">  Intangible assets (customer relationships &amp; reacquired rights)</t>
        </is>
      </c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253" t="n">
        <v>16137</v>
      </c>
      <c r="Z312" s="44" t="n"/>
      <c r="AA312" s="44" t="n"/>
      <c r="AB312" s="44" t="n"/>
      <c r="AC312" s="44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  <c r="AQ312" s="44" t="n"/>
      <c r="AR312" s="44" t="n"/>
      <c r="AS312" s="44" t="n"/>
      <c r="AT312" s="44" t="n"/>
      <c r="AU312" s="44" t="n"/>
      <c r="AV312" s="44" t="n"/>
      <c r="AW312" s="44" t="n"/>
      <c r="AX312" s="44" t="n"/>
      <c r="AY312" s="44" t="n"/>
      <c r="AZ312" s="44" t="n"/>
      <c r="BA312" s="44" t="n"/>
      <c r="BB312" s="44" t="n"/>
      <c r="BC312" s="44" t="n"/>
      <c r="BD312" s="44" t="n"/>
      <c r="BE312" s="44" t="n"/>
      <c r="BF312" s="44" t="n"/>
      <c r="BG312" s="44" t="n"/>
      <c r="BH312" s="44" t="n"/>
      <c r="BI312" s="44" t="n"/>
      <c r="BJ312" s="44" t="n"/>
      <c r="BK312" s="44" t="n"/>
      <c r="BL312" s="44" t="n"/>
      <c r="BM312" s="44" t="n"/>
      <c r="BN312" s="44" t="n"/>
      <c r="BO312" s="44" t="n"/>
      <c r="BP312" s="44" t="n"/>
      <c r="BQ312" s="44" t="n"/>
      <c r="BR312" s="44" t="n"/>
      <c r="BS312" s="44" t="n"/>
      <c r="BT312" s="44" t="n"/>
      <c r="BU312" s="44" t="n"/>
      <c r="BV312" s="44" t="n"/>
      <c r="BW312" s="44" t="n"/>
      <c r="BX312" s="153" t="n"/>
      <c r="BY312" s="35" t="n"/>
      <c r="BZ312" s="35" t="n"/>
      <c r="CA312" s="35" t="n"/>
      <c r="CB312" s="35" t="n"/>
      <c r="CC312" s="35" t="n"/>
      <c r="CD312" s="35" t="n"/>
      <c r="CE312" s="19" t="n"/>
    </row>
    <row r="313" ht="15" customHeight="1" s="251">
      <c r="B313" s="69" t="inlineStr">
        <is>
          <t xml:space="preserve">  Goodwill</t>
        </is>
      </c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253" t="n">
        <v>3268</v>
      </c>
      <c r="Z313" s="44" t="n"/>
      <c r="AA313" s="44" t="n"/>
      <c r="AB313" s="44" t="n"/>
      <c r="AC313" s="44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  <c r="AQ313" s="44" t="n"/>
      <c r="AR313" s="44" t="n"/>
      <c r="AS313" s="44" t="n"/>
      <c r="AT313" s="44" t="n"/>
      <c r="AU313" s="44" t="n"/>
      <c r="AV313" s="44" t="n"/>
      <c r="AW313" s="44" t="n"/>
      <c r="AX313" s="44" t="n"/>
      <c r="AY313" s="44" t="n"/>
      <c r="AZ313" s="44" t="n"/>
      <c r="BA313" s="44" t="n"/>
      <c r="BB313" s="44" t="n"/>
      <c r="BC313" s="44" t="n"/>
      <c r="BD313" s="44" t="n"/>
      <c r="BE313" s="44" t="n"/>
      <c r="BF313" s="44" t="n"/>
      <c r="BG313" s="44" t="n"/>
      <c r="BH313" s="44" t="n"/>
      <c r="BI313" s="44" t="n"/>
      <c r="BJ313" s="44" t="n"/>
      <c r="BK313" s="44" t="n"/>
      <c r="BL313" s="44" t="n"/>
      <c r="BM313" s="44" t="n"/>
      <c r="BN313" s="44" t="n"/>
      <c r="BO313" s="44" t="n"/>
      <c r="BP313" s="44" t="n"/>
      <c r="BQ313" s="44" t="n"/>
      <c r="BR313" s="44" t="n"/>
      <c r="BS313" s="44" t="n"/>
      <c r="BT313" s="44" t="n"/>
      <c r="BU313" s="44" t="n"/>
      <c r="BV313" s="44" t="n"/>
      <c r="BW313" s="44" t="n"/>
      <c r="BX313" s="153" t="n"/>
      <c r="BY313" s="35" t="n"/>
      <c r="BZ313" s="35" t="n"/>
      <c r="CA313" s="35" t="n"/>
      <c r="CB313" s="35" t="n"/>
      <c r="CC313" s="35" t="n"/>
      <c r="CD313" s="35" t="n"/>
      <c r="CE313" s="19" t="n"/>
    </row>
    <row r="314" ht="15" customHeight="1" s="251">
      <c r="B314" s="69" t="inlineStr">
        <is>
          <t xml:space="preserve">  Current liabilities assumed</t>
        </is>
      </c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253" t="n">
        <v>2731</v>
      </c>
      <c r="Z314" s="44" t="n"/>
      <c r="AA314" s="44" t="n"/>
      <c r="AB314" s="44" t="n"/>
      <c r="AC314" s="44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  <c r="AQ314" s="44" t="n"/>
      <c r="AR314" s="44" t="n"/>
      <c r="AS314" s="44" t="n"/>
      <c r="AT314" s="44" t="n"/>
      <c r="AU314" s="44" t="n"/>
      <c r="AV314" s="44" t="n"/>
      <c r="AW314" s="44" t="n"/>
      <c r="AX314" s="44" t="n"/>
      <c r="AY314" s="44" t="n"/>
      <c r="AZ314" s="44" t="n"/>
      <c r="BA314" s="44" t="n"/>
      <c r="BB314" s="44" t="n"/>
      <c r="BC314" s="44" t="n"/>
      <c r="BD314" s="44" t="n"/>
      <c r="BE314" s="44" t="n"/>
      <c r="BF314" s="44" t="n"/>
      <c r="BG314" s="44" t="n"/>
      <c r="BH314" s="44" t="n"/>
      <c r="BI314" s="44" t="n"/>
      <c r="BJ314" s="44" t="n"/>
      <c r="BK314" s="44" t="n"/>
      <c r="BL314" s="44" t="n"/>
      <c r="BM314" s="44" t="n"/>
      <c r="BN314" s="44" t="n"/>
      <c r="BO314" s="44" t="n"/>
      <c r="BP314" s="44" t="n"/>
      <c r="BQ314" s="44" t="n"/>
      <c r="BR314" s="44" t="n"/>
      <c r="BS314" s="44" t="n"/>
      <c r="BT314" s="44" t="n"/>
      <c r="BU314" s="44" t="n"/>
      <c r="BV314" s="44" t="n"/>
      <c r="BW314" s="44" t="n"/>
      <c r="BX314" s="153" t="n"/>
      <c r="BY314" s="35" t="n"/>
      <c r="BZ314" s="35" t="n"/>
      <c r="CA314" s="35" t="n"/>
      <c r="CB314" s="35" t="n"/>
      <c r="CC314" s="35" t="n"/>
      <c r="CD314" s="35" t="n"/>
      <c r="CE314" s="19" t="n"/>
    </row>
    <row r="315" ht="15" customHeight="1" s="251">
      <c r="B315" s="69" t="inlineStr">
        <is>
          <t xml:space="preserve">  Non-current liabilities assumed</t>
        </is>
      </c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253" t="n">
        <v>2605</v>
      </c>
      <c r="Z315" s="44" t="n"/>
      <c r="AA315" s="44" t="n"/>
      <c r="AB315" s="44" t="n"/>
      <c r="AC315" s="44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  <c r="AQ315" s="44" t="n"/>
      <c r="AR315" s="44" t="n"/>
      <c r="AS315" s="44" t="n"/>
      <c r="AT315" s="44" t="n"/>
      <c r="AU315" s="44" t="n"/>
      <c r="AV315" s="44" t="n"/>
      <c r="AW315" s="44" t="n"/>
      <c r="AX315" s="44" t="n"/>
      <c r="AY315" s="44" t="n"/>
      <c r="AZ315" s="44" t="n"/>
      <c r="BA315" s="44" t="n"/>
      <c r="BB315" s="44" t="n"/>
      <c r="BC315" s="44" t="n"/>
      <c r="BD315" s="44" t="n"/>
      <c r="BE315" s="44" t="n"/>
      <c r="BF315" s="44" t="n"/>
      <c r="BG315" s="44" t="n"/>
      <c r="BH315" s="44" t="n"/>
      <c r="BI315" s="44" t="n"/>
      <c r="BJ315" s="44" t="n"/>
      <c r="BK315" s="44" t="n"/>
      <c r="BL315" s="44" t="n"/>
      <c r="BM315" s="44" t="n"/>
      <c r="BN315" s="44" t="n"/>
      <c r="BO315" s="44" t="n"/>
      <c r="BP315" s="44" t="n"/>
      <c r="BQ315" s="44" t="n"/>
      <c r="BR315" s="44" t="n"/>
      <c r="BS315" s="44" t="n"/>
      <c r="BT315" s="44" t="n"/>
      <c r="BU315" s="44" t="n"/>
      <c r="BV315" s="44" t="n"/>
      <c r="BW315" s="44" t="n"/>
      <c r="BX315" s="153" t="n"/>
      <c r="BY315" s="35" t="n"/>
      <c r="BZ315" s="35" t="n"/>
      <c r="CA315" s="35" t="n"/>
      <c r="CB315" s="35" t="n"/>
      <c r="CC315" s="35" t="n"/>
      <c r="CD315" s="35" t="n"/>
      <c r="CE315" s="19" t="n"/>
    </row>
    <row r="316" ht="15" customHeight="1" s="251">
      <c r="B316" s="57" t="inlineStr">
        <is>
          <t xml:space="preserve">  Check: assets acquired − liabilities assumed − consideration (should be 0)</t>
        </is>
      </c>
      <c r="C316" s="211">
        <f>IF(ISNUMBER(C309),ROUND(N(C310)+N(C311)+N(C312)+N(C313)-N(C314)-N(C315)-C309,1),"")</f>
      </c>
      <c r="D316" s="211">
        <f>IF(ISNUMBER(D309),ROUND(N(D310)+N(D311)+N(D312)+N(D313)-N(D314)-N(D315)-D309,1),"")</f>
      </c>
      <c r="E316" s="211">
        <f>IF(ISNUMBER(E309),ROUND(N(E310)+N(E311)+N(E312)+N(E313)-N(E314)-N(E315)-E309,1),"")</f>
      </c>
      <c r="F316" s="211">
        <f>IF(ISNUMBER(F309),ROUND(N(F310)+N(F311)+N(F312)+N(F313)-N(F314)-N(F315)-F309,1),"")</f>
      </c>
      <c r="G316" s="211">
        <f>IF(ISNUMBER(G309),ROUND(N(G310)+N(G311)+N(G312)+N(G313)-N(G314)-N(G315)-G309,1),"")</f>
      </c>
      <c r="H316" s="211">
        <f>IF(ISNUMBER(H309),ROUND(N(H310)+N(H311)+N(H312)+N(H313)-N(H314)-N(H315)-H309,1),"")</f>
      </c>
      <c r="I316" s="211">
        <f>IF(ISNUMBER(I309),ROUND(N(I310)+N(I311)+N(I312)+N(I313)-N(I314)-N(I315)-I309,1),"")</f>
      </c>
      <c r="J316" s="211">
        <f>IF(ISNUMBER(J309),ROUND(N(J310)+N(J311)+N(J312)+N(J313)-N(J314)-N(J315)-J309,1),"")</f>
      </c>
      <c r="K316" s="211">
        <f>IF(ISNUMBER(K309),ROUND(N(K310)+N(K311)+N(K312)+N(K313)-N(K314)-N(K315)-K309,1),"")</f>
      </c>
      <c r="L316" s="211">
        <f>IF(ISNUMBER(L309),ROUND(N(L310)+N(L311)+N(L312)+N(L313)-N(L314)-N(L315)-L309,1),"")</f>
      </c>
      <c r="M316" s="211">
        <f>IF(ISNUMBER(M309),ROUND(N(M310)+N(M311)+N(M312)+N(M313)-N(M314)-N(M315)-M309,1),"")</f>
      </c>
      <c r="N316" s="211">
        <f>IF(ISNUMBER(N309),ROUND(N(N310)+N(N311)+N(N312)+N(N313)-N(N314)-N(N315)-N309,1),"")</f>
      </c>
      <c r="O316" s="211">
        <f>IF(ISNUMBER(O309),ROUND(N(O310)+N(O311)+N(O312)+N(O313)-N(O314)-N(O315)-O309,1),"")</f>
      </c>
      <c r="P316" s="211">
        <f>IF(ISNUMBER(P309),ROUND(N(P310)+N(P311)+N(P312)+N(P313)-N(P314)-N(P315)-P309,1),"")</f>
      </c>
      <c r="Q316" s="211">
        <f>IF(ISNUMBER(Q309),ROUND(N(Q310)+N(Q311)+N(Q312)+N(Q313)-N(Q314)-N(Q315)-Q309,1),"")</f>
      </c>
      <c r="R316" s="211">
        <f>IF(ISNUMBER(R309),ROUND(N(R310)+N(R311)+N(R312)+N(R313)-N(R314)-N(R315)-R309,1),"")</f>
      </c>
      <c r="S316" s="211">
        <f>IF(ISNUMBER(S309),ROUND(N(S310)+N(S311)+N(S312)+N(S313)-N(S314)-N(S315)-S309,1),"")</f>
      </c>
      <c r="T316" s="211">
        <f>IF(ISNUMBER(T309),ROUND(N(T310)+N(T311)+N(T312)+N(T313)-N(T314)-N(T315)-T309,1),"")</f>
      </c>
      <c r="U316" s="211">
        <f>IF(ISNUMBER(U309),ROUND(N(U310)+N(U311)+N(U312)+N(U313)-N(U314)-N(U315)-U309,1),"")</f>
      </c>
      <c r="V316" s="211">
        <f>IF(ISNUMBER(V309),ROUND(N(V310)+N(V311)+N(V312)+N(V313)-N(V314)-N(V315)-V309,1),"")</f>
      </c>
      <c r="W316" s="211">
        <f>IF(ISNUMBER(W309),ROUND(N(W310)+N(W311)+N(W312)+N(W313)-N(W314)-N(W315)-W309,1),"")</f>
      </c>
      <c r="X316" s="211">
        <f>IF(ISNUMBER(X309),ROUND(N(X310)+N(X311)+N(X312)+N(X313)-N(X314)-N(X315)-X309,1),"")</f>
      </c>
      <c r="Y316" s="211">
        <f>IF(ISNUMBER(Y309),ROUND(N(Y310)+N(Y311)+N(Y312)+N(Y313)-N(Y314)-N(Y315)-Y309,1),"")</f>
        <v>0</v>
      </c>
      <c r="Z316" s="211">
        <f>IF(ISNUMBER(Z309),ROUND(N(Z310)+N(Z311)+N(Z312)+N(Z313)-N(Z314)-N(Z315)-Z309,1),"")</f>
      </c>
      <c r="AA316" s="211">
        <f>IF(ISNUMBER(AA309),ROUND(N(AA310)+N(AA311)+N(AA312)+N(AA313)-N(AA314)-N(AA315)-AA309,1),"")</f>
      </c>
      <c r="AB316" s="211">
        <f>IF(ISNUMBER(AB309),ROUND(N(AB310)+N(AB311)+N(AB312)+N(AB313)-N(AB314)-N(AB315)-AB309,1),"")</f>
      </c>
      <c r="AC316" s="211">
        <f>IF(ISNUMBER(AC309),ROUND(N(AC310)+N(AC311)+N(AC312)+N(AC313)-N(AC314)-N(AC315)-AC309,1),"")</f>
      </c>
      <c r="AD316" s="211">
        <f>IF(ISNUMBER(AD309),ROUND(N(AD310)+N(AD311)+N(AD312)+N(AD313)-N(AD314)-N(AD315)-AD309,1),"")</f>
      </c>
      <c r="AE316" s="211">
        <f>IF(ISNUMBER(AE309),ROUND(N(AE310)+N(AE311)+N(AE312)+N(AE313)-N(AE314)-N(AE315)-AE309,1),"")</f>
      </c>
      <c r="AF316" s="211">
        <f>IF(ISNUMBER(AF309),ROUND(N(AF310)+N(AF311)+N(AF312)+N(AF313)-N(AF314)-N(AF315)-AF309,1),"")</f>
      </c>
      <c r="AG316" s="211">
        <f>IF(ISNUMBER(AG309),ROUND(N(AG310)+N(AG311)+N(AG312)+N(AG313)-N(AG314)-N(AG315)-AG309,1),"")</f>
      </c>
      <c r="AH316" s="211">
        <f>IF(ISNUMBER(AH309),ROUND(N(AH310)+N(AH311)+N(AH312)+N(AH313)-N(AH314)-N(AH315)-AH309,1),"")</f>
      </c>
      <c r="AI316" s="211">
        <f>IF(ISNUMBER(AI309),ROUND(N(AI310)+N(AI311)+N(AI312)+N(AI313)-N(AI314)-N(AI315)-AI309,1),"")</f>
      </c>
      <c r="AJ316" s="211">
        <f>IF(ISNUMBER(AJ309),ROUND(N(AJ310)+N(AJ311)+N(AJ312)+N(AJ313)-N(AJ314)-N(AJ315)-AJ309,1),"")</f>
      </c>
      <c r="AK316" s="211">
        <f>IF(ISNUMBER(AK309),ROUND(N(AK310)+N(AK311)+N(AK312)+N(AK313)-N(AK314)-N(AK315)-AK309,1),"")</f>
      </c>
      <c r="AL316" s="211">
        <f>IF(ISNUMBER(AL309),ROUND(N(AL310)+N(AL311)+N(AL312)+N(AL313)-N(AL314)-N(AL315)-AL309,1),"")</f>
      </c>
      <c r="AM316" s="211">
        <f>IF(ISNUMBER(AM309),ROUND(N(AM310)+N(AM311)+N(AM312)+N(AM313)-N(AM314)-N(AM315)-AM309,1),"")</f>
      </c>
      <c r="AN316" s="211">
        <f>IF(ISNUMBER(AN309),ROUND(N(AN310)+N(AN311)+N(AN312)+N(AN313)-N(AN314)-N(AN315)-AN309,1),"")</f>
      </c>
      <c r="AO316" s="211">
        <f>IF(ISNUMBER(AO309),ROUND(N(AO310)+N(AO311)+N(AO312)+N(AO313)-N(AO314)-N(AO315)-AO309,1),"")</f>
      </c>
      <c r="AP316" s="211">
        <f>IF(ISNUMBER(AP309),ROUND(N(AP310)+N(AP311)+N(AP312)+N(AP313)-N(AP314)-N(AP315)-AP309,1),"")</f>
      </c>
      <c r="AQ316" s="211">
        <f>IF(ISNUMBER(AQ309),ROUND(N(AQ310)+N(AQ311)+N(AQ312)+N(AQ313)-N(AQ314)-N(AQ315)-AQ309,1),"")</f>
      </c>
      <c r="AR316" s="211">
        <f>IF(ISNUMBER(AR309),ROUND(N(AR310)+N(AR311)+N(AR312)+N(AR313)-N(AR314)-N(AR315)-AR309,1),"")</f>
      </c>
      <c r="AS316" s="211">
        <f>IF(ISNUMBER(AS309),ROUND(N(AS310)+N(AS311)+N(AS312)+N(AS313)-N(AS314)-N(AS315)-AS309,1),"")</f>
      </c>
      <c r="AT316" s="211">
        <f>IF(ISNUMBER(AT309),ROUND(N(AT310)+N(AT311)+N(AT312)+N(AT313)-N(AT314)-N(AT315)-AT309,1),"")</f>
      </c>
      <c r="AU316" s="211">
        <f>IF(ISNUMBER(AU309),ROUND(N(AU310)+N(AU311)+N(AU312)+N(AU313)-N(AU314)-N(AU315)-AU309,1),"")</f>
      </c>
      <c r="AV316" s="211">
        <f>IF(ISNUMBER(AV309),ROUND(N(AV310)+N(AV311)+N(AV312)+N(AV313)-N(AV314)-N(AV315)-AV309,1),"")</f>
      </c>
      <c r="AW316" s="211">
        <f>IF(ISNUMBER(AW309),ROUND(N(AW310)+N(AW311)+N(AW312)+N(AW313)-N(AW314)-N(AW315)-AW309,1),"")</f>
      </c>
      <c r="AX316" s="211">
        <f>IF(ISNUMBER(AX309),ROUND(N(AX310)+N(AX311)+N(AX312)+N(AX313)-N(AX314)-N(AX315)-AX309,1),"")</f>
      </c>
      <c r="AY316" s="211">
        <f>IF(ISNUMBER(AY309),ROUND(N(AY310)+N(AY311)+N(AY312)+N(AY313)-N(AY314)-N(AY315)-AY309,1),"")</f>
      </c>
      <c r="AZ316" s="211">
        <f>IF(ISNUMBER(AZ309),ROUND(N(AZ310)+N(AZ311)+N(AZ312)+N(AZ313)-N(AZ314)-N(AZ315)-AZ309,1),"")</f>
      </c>
      <c r="BA316" s="211">
        <f>IF(ISNUMBER(BA309),ROUND(N(BA310)+N(BA311)+N(BA312)+N(BA313)-N(BA314)-N(BA315)-BA309,1),"")</f>
      </c>
      <c r="BB316" s="211">
        <f>IF(ISNUMBER(BB309),ROUND(N(BB310)+N(BB311)+N(BB312)+N(BB313)-N(BB314)-N(BB315)-BB309,1),"")</f>
      </c>
      <c r="BC316" s="211">
        <f>IF(ISNUMBER(BC309),ROUND(N(BC310)+N(BC311)+N(BC312)+N(BC313)-N(BC314)-N(BC315)-BC309,1),"")</f>
      </c>
      <c r="BD316" s="211">
        <f>IF(ISNUMBER(BD309),ROUND(N(BD310)+N(BD311)+N(BD312)+N(BD313)-N(BD314)-N(BD315)-BD309,1),"")</f>
      </c>
      <c r="BE316" s="211">
        <f>IF(ISNUMBER(BE309),ROUND(N(BE310)+N(BE311)+N(BE312)+N(BE313)-N(BE314)-N(BE315)-BE309,1),"")</f>
      </c>
      <c r="BF316" s="211">
        <f>IF(ISNUMBER(BF309),ROUND(N(BF310)+N(BF311)+N(BF312)+N(BF313)-N(BF314)-N(BF315)-BF309,1),"")</f>
      </c>
      <c r="BG316" s="211">
        <f>IF(ISNUMBER(BG309),ROUND(N(BG310)+N(BG311)+N(BG312)+N(BG313)-N(BG314)-N(BG315)-BG309,1),"")</f>
      </c>
      <c r="BH316" s="211">
        <f>IF(ISNUMBER(BH309),ROUND(N(BH310)+N(BH311)+N(BH312)+N(BH313)-N(BH314)-N(BH315)-BH309,1),"")</f>
      </c>
      <c r="BI316" s="211">
        <f>IF(ISNUMBER(BI309),ROUND(N(BI310)+N(BI311)+N(BI312)+N(BI313)-N(BI314)-N(BI315)-BI309,1),"")</f>
      </c>
      <c r="BJ316" s="211">
        <f>IF(ISNUMBER(BJ309),ROUND(N(BJ310)+N(BJ311)+N(BJ312)+N(BJ313)-N(BJ314)-N(BJ315)-BJ309,1),"")</f>
      </c>
      <c r="BK316" s="211">
        <f>IF(ISNUMBER(BK309),ROUND(N(BK310)+N(BK311)+N(BK312)+N(BK313)-N(BK314)-N(BK315)-BK309,1),"")</f>
      </c>
      <c r="BL316" s="211">
        <f>IF(ISNUMBER(BL309),ROUND(N(BL310)+N(BL311)+N(BL312)+N(BL313)-N(BL314)-N(BL315)-BL309,1),"")</f>
      </c>
      <c r="BM316" s="211">
        <f>IF(ISNUMBER(BM309),ROUND(N(BM310)+N(BM311)+N(BM312)+N(BM313)-N(BM314)-N(BM315)-BM309,1),"")</f>
      </c>
      <c r="BN316" s="211">
        <f>IF(ISNUMBER(BN309),ROUND(N(BN310)+N(BN311)+N(BN312)+N(BN313)-N(BN314)-N(BN315)-BN309,1),"")</f>
      </c>
      <c r="BO316" s="211">
        <f>IF(ISNUMBER(BO309),ROUND(N(BO310)+N(BO311)+N(BO312)+N(BO313)-N(BO314)-N(BO315)-BO309,1),"")</f>
      </c>
      <c r="BP316" s="211">
        <f>IF(ISNUMBER(BP309),ROUND(N(BP310)+N(BP311)+N(BP312)+N(BP313)-N(BP314)-N(BP315)-BP309,1),"")</f>
      </c>
      <c r="BQ316" s="211">
        <f>IF(ISNUMBER(BQ309),ROUND(N(BQ310)+N(BQ311)+N(BQ312)+N(BQ313)-N(BQ314)-N(BQ315)-BQ309,1),"")</f>
      </c>
      <c r="BR316" s="211">
        <f>IF(ISNUMBER(BR309),ROUND(N(BR310)+N(BR311)+N(BR312)+N(BR313)-N(BR314)-N(BR315)-BR309,1),"")</f>
      </c>
      <c r="BS316" s="211">
        <f>IF(ISNUMBER(BS309),ROUND(N(BS310)+N(BS311)+N(BS312)+N(BS313)-N(BS314)-N(BS315)-BS309,1),"")</f>
      </c>
      <c r="BT316" s="211">
        <f>IF(ISNUMBER(BT309),ROUND(N(BT310)+N(BT311)+N(BT312)+N(BT313)-N(BT314)-N(BT315)-BT309,1),"")</f>
      </c>
      <c r="BU316" s="211">
        <f>IF(ISNUMBER(BU309),ROUND(N(BU310)+N(BU311)+N(BU312)+N(BU313)-N(BU314)-N(BU315)-BU309,1),"")</f>
      </c>
      <c r="BV316" s="211">
        <f>IF(ISNUMBER(BV309),ROUND(N(BV310)+N(BV311)+N(BV312)+N(BV313)-N(BV314)-N(BV315)-BV309,1),"")</f>
      </c>
      <c r="BW316" s="211">
        <f>IF(ISNUMBER(BW309),ROUND(N(BW310)+N(BW311)+N(BW312)+N(BW313)-N(BW314)-N(BW315)-BW309,1),"")</f>
      </c>
      <c r="BX316" s="153" t="n"/>
      <c r="BY316" s="153" t="n"/>
      <c r="BZ316" s="153" t="n"/>
      <c r="CA316" s="153" t="n"/>
      <c r="CB316" s="153" t="n"/>
      <c r="CC316" s="153" t="n"/>
      <c r="CD316" s="153" t="n"/>
      <c r="CE316" s="153" t="n"/>
    </row>
    <row r="317" ht="15" customHeight="1" s="251">
      <c r="B317" s="158" t="inlineStr">
        <is>
          <t xml:space="preserve">  Deal closed in the period</t>
        </is>
      </c>
      <c r="Y317" s="291" t="inlineStr">
        <is>
          <t>Visa Europe (21-Jun-2016); preliminary PPA</t>
        </is>
      </c>
      <c r="BX317" s="153" t="n"/>
      <c r="BY317" s="153" t="n"/>
      <c r="BZ317" s="153" t="n"/>
      <c r="CA317" s="153" t="n"/>
      <c r="CB317" s="153" t="n"/>
      <c r="CC317" s="153" t="n"/>
      <c r="CD317" s="153" t="n"/>
      <c r="CE317" s="19" t="n"/>
    </row>
    <row r="318" ht="15" customHeight="1" s="251">
      <c r="B318" s="25" t="inlineStr">
        <is>
          <t>Share pricing &amp; amortization</t>
        </is>
      </c>
      <c r="CE318" s="153" t="n"/>
    </row>
    <row r="319" ht="15" customHeight="1" s="251">
      <c r="B319" s="69" t="inlineStr">
        <is>
          <t xml:space="preserve">  Share-price appreciation % (buyback pricing)</t>
        </is>
      </c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  <c r="Z319" s="44" t="n"/>
      <c r="AA319" s="44" t="n"/>
      <c r="AB319" s="44" t="n"/>
      <c r="AC319" s="44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  <c r="AQ319" s="44" t="n"/>
      <c r="AR319" s="44" t="n"/>
      <c r="AS319" s="44" t="n"/>
      <c r="AT319" s="44" t="n"/>
      <c r="AU319" s="44" t="n"/>
      <c r="AV319" s="44" t="n"/>
      <c r="AW319" s="44" t="n"/>
      <c r="AX319" s="44" t="n"/>
      <c r="AY319" s="44" t="n"/>
      <c r="AZ319" s="44" t="n"/>
      <c r="BA319" s="44" t="n"/>
      <c r="BB319" s="44" t="n"/>
      <c r="BC319" s="44" t="n"/>
      <c r="BD319" s="44" t="n"/>
      <c r="BE319" s="44" t="n"/>
      <c r="BF319" s="44" t="n"/>
      <c r="BG319" s="44" t="n"/>
      <c r="BH319" s="44" t="n"/>
      <c r="BI319" s="44" t="n"/>
      <c r="BJ319" s="44" t="n"/>
      <c r="BK319" s="44" t="n"/>
      <c r="BL319" s="44" t="n"/>
      <c r="BM319" s="44" t="n"/>
      <c r="BN319" s="44" t="n"/>
      <c r="BO319" s="44" t="n"/>
      <c r="BP319" s="44" t="n"/>
      <c r="BQ319" s="44" t="n"/>
      <c r="BR319" s="44" t="n"/>
      <c r="BS319" s="44" t="n"/>
      <c r="BT319" s="44" t="n"/>
      <c r="BU319" s="44" t="n"/>
      <c r="BV319" s="44" t="n"/>
      <c r="BW319" s="44" t="n"/>
      <c r="BX319" s="153" t="n"/>
      <c r="BY319" s="35" t="n"/>
      <c r="BZ319" s="271" t="n">
        <v>0.08</v>
      </c>
      <c r="CA319" s="271" t="n">
        <v>0.08</v>
      </c>
      <c r="CB319" s="271" t="n">
        <v>0.08</v>
      </c>
      <c r="CC319" s="271" t="n">
        <v>0.08</v>
      </c>
      <c r="CD319" s="271" t="n">
        <v>0.08</v>
      </c>
      <c r="CE319" s="19" t="inlineStr">
        <is>
          <t>Assumption: buyback price grows 8% a year from the current share price.</t>
        </is>
      </c>
    </row>
    <row r="320" ht="15" customHeight="1" s="251">
      <c r="B320" s="69" t="inlineStr">
        <is>
          <t xml:space="preserve">  Finite-lived intangible amortization (10-K schedule; inside D&amp;A)</t>
        </is>
      </c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  <c r="AC320" s="44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  <c r="AQ320" s="44" t="n"/>
      <c r="AR320" s="44" t="n"/>
      <c r="AS320" s="44" t="n"/>
      <c r="AT320" s="44" t="n"/>
      <c r="AU320" s="44" t="n"/>
      <c r="AV320" s="44" t="n"/>
      <c r="AW320" s="44" t="n"/>
      <c r="AX320" s="44" t="n"/>
      <c r="AY320" s="44" t="n"/>
      <c r="AZ320" s="44" t="n"/>
      <c r="BA320" s="44" t="n"/>
      <c r="BB320" s="44" t="n"/>
      <c r="BC320" s="44" t="n"/>
      <c r="BD320" s="44" t="n"/>
      <c r="BE320" s="44" t="n"/>
      <c r="BF320" s="44" t="n"/>
      <c r="BG320" s="44" t="n"/>
      <c r="BH320" s="44" t="n"/>
      <c r="BI320" s="44" t="n"/>
      <c r="BJ320" s="44" t="n"/>
      <c r="BK320" s="44" t="n"/>
      <c r="BL320" s="44" t="n"/>
      <c r="BM320" s="44" t="n"/>
      <c r="BN320" s="44" t="n"/>
      <c r="BO320" s="44" t="n"/>
      <c r="BP320" s="44" t="n"/>
      <c r="BQ320" s="44" t="n"/>
      <c r="BR320" s="44" t="n"/>
      <c r="BS320" s="44" t="n"/>
      <c r="BT320" s="44" t="n"/>
      <c r="BU320" s="44" t="n"/>
      <c r="BV320" s="44" t="n"/>
      <c r="BW320" s="44" t="n"/>
      <c r="BX320" s="153" t="n"/>
      <c r="BY320" s="254">
        <f>BX320</f>
        <v>0</v>
      </c>
      <c r="BZ320" s="269" t="n">
        <v>62</v>
      </c>
      <c r="CA320" s="269" t="n">
        <v>43</v>
      </c>
      <c r="CB320" s="269" t="n">
        <v>29</v>
      </c>
      <c r="CC320" s="269" t="n">
        <v>10</v>
      </c>
      <c r="CD320" s="269" t="n">
        <v>5</v>
      </c>
      <c r="CE320" s="19" t="inlineStr">
        <is>
          <t>FY2025 10-K Note 8: $63m (FY26), $62m, $43m, $29m, $10m (FY30); FY31 $5m assumed. Q4/26E ~$16m.</t>
        </is>
      </c>
    </row>
    <row r="321" ht="15" customHeight="1" s="251">
      <c r="B321" s="25" t="inlineStr">
        <is>
          <t>Debt schedule (senior notes repaid at maturity and refinanced; commercial paper drawn or repaid to a minimum cash balance)</t>
        </is>
      </c>
      <c r="CE321" s="153" t="n"/>
    </row>
    <row r="322" ht="15" customHeight="1" s="251">
      <c r="B322" s="69" t="inlineStr">
        <is>
          <t xml:space="preserve">  Total debt (current maturities + commercial paper + long-term debt)</t>
        </is>
      </c>
      <c r="C322" s="211">
        <f>IF(ISNUMBER(C283),N(C280)+C283,"")</f>
        <v>106</v>
      </c>
      <c r="D322" s="211">
        <f>IF(ISNUMBER(D283),N(D280)+D283,"")</f>
        <v>56</v>
      </c>
      <c r="E322" s="211">
        <f>IF(ISNUMBER(E283),N(E280)+E283,"")</f>
        <v>44</v>
      </c>
      <c r="F322" s="211">
        <f>IF(ISNUMBER(F283),N(F280)+F283,"")</f>
        <v>0</v>
      </c>
      <c r="G322" s="211">
        <f>IF(ISNUMBER(G283),N(G280)+G283,"")</f>
        <v>0</v>
      </c>
      <c r="H322" s="211">
        <f>IF(ISNUMBER(H283),N(H280)+H283,"")</f>
        <v>0</v>
      </c>
      <c r="I322" s="211">
        <f>IF(ISNUMBER(I283),N(I280)+I283,"")</f>
        <v>0</v>
      </c>
      <c r="J322" s="211">
        <f>IF(ISNUMBER(J283),N(J280)+J283,"")</f>
        <v>0</v>
      </c>
      <c r="K322" s="211">
        <f>IF(ISNUMBER(K283),N(K280)+K283,"")</f>
        <v>0</v>
      </c>
      <c r="L322" s="211">
        <f>IF(ISNUMBER(L283),N(L280)+L283,"")</f>
        <v>0</v>
      </c>
      <c r="M322" s="211">
        <f>IF(ISNUMBER(M283),N(M280)+M283,"")</f>
        <v>0</v>
      </c>
      <c r="N322" s="211">
        <f>IF(ISNUMBER(N283),N(N280)+N283,"")</f>
        <v>0</v>
      </c>
      <c r="O322" s="211">
        <f>IF(ISNUMBER(O283),N(O280)+O283,"")</f>
        <v>0</v>
      </c>
      <c r="P322" s="211">
        <f>IF(ISNUMBER(P283),N(P280)+P283,"")</f>
        <v>0</v>
      </c>
      <c r="Q322" s="211">
        <f>IF(ISNUMBER(Q283),N(Q280)+Q283,"")</f>
        <v>0</v>
      </c>
      <c r="R322" s="211">
        <f>IF(ISNUMBER(R283),N(R280)+R283,"")</f>
        <v>0</v>
      </c>
      <c r="S322" s="211">
        <f>IF(ISNUMBER(S283),N(S280)+S283,"")</f>
        <v>0</v>
      </c>
      <c r="T322" s="211">
        <f>IF(ISNUMBER(T283),N(T280)+T283,"")</f>
        <v>0</v>
      </c>
      <c r="U322" s="211">
        <f>IF(ISNUMBER(U283),N(U280)+U283,"")</f>
        <v>0</v>
      </c>
      <c r="V322" s="211">
        <f>IF(ISNUMBER(V283),N(V280)+V283,"")</f>
        <v>0</v>
      </c>
      <c r="W322" s="211">
        <f>IF(ISNUMBER(W283),N(W280)+W283,"")</f>
        <v>15877</v>
      </c>
      <c r="X322" s="211">
        <f>IF(ISNUMBER(X283),N(X280)+X283,"")</f>
        <v>15876</v>
      </c>
      <c r="Y322" s="211">
        <f>IF(ISNUMBER(Y283),N(Y280)+Y283,"")</f>
        <v>15879</v>
      </c>
      <c r="Z322" s="211">
        <f>IF(ISNUMBER(Z283),N(Z280)+Z283,"")</f>
        <v>15882</v>
      </c>
      <c r="AA322" s="211">
        <f>IF(ISNUMBER(AA283),N(AA280)+AA283,"")</f>
        <v>15882</v>
      </c>
      <c r="AB322" s="211">
        <f>IF(ISNUMBER(AB283),N(AB280)+AB283,"")</f>
        <v>14138</v>
      </c>
      <c r="AC322" s="211">
        <f>IF(ISNUMBER(AC283),N(AC280)+AC283,"")</f>
        <v>15888</v>
      </c>
      <c r="AD322" s="211">
        <f>IF(ISNUMBER(AD283),N(AD280)+AD283,"")</f>
        <v>15891</v>
      </c>
      <c r="AE322" s="211">
        <f>IF(ISNUMBER(AE283),N(AE280)+AE283,"")</f>
        <v>18367</v>
      </c>
      <c r="AF322" s="211">
        <f>IF(ISNUMBER(AF283),N(AF280)+AF283,"")</f>
        <v>18367</v>
      </c>
      <c r="AG322" s="211">
        <f>IF(ISNUMBER(AG283),N(AG280)+AG283,"")</f>
        <v>16621</v>
      </c>
      <c r="AH322" s="211">
        <f>IF(ISNUMBER(AH283),N(AH280)+AH283,"")</f>
        <v>16624</v>
      </c>
      <c r="AI322" s="211">
        <f>IF(ISNUMBER(AI283),N(AI280)+AI283,"")</f>
        <v>16627</v>
      </c>
      <c r="AJ322" s="211">
        <f>IF(ISNUMBER(AJ283),N(AJ280)+AJ283,"")</f>
        <v>16630</v>
      </c>
      <c r="AK322" s="211">
        <f>IF(ISNUMBER(AK283),N(AK280)+AK283,"")</f>
        <v>16630</v>
      </c>
      <c r="AL322" s="211">
        <f>IF(ISNUMBER(AL283),N(AL280)+AL283,"")</f>
        <v>16633</v>
      </c>
      <c r="AM322" s="211">
        <f>IF(ISNUMBER(AM283),N(AM280)+AM283,"")</f>
        <v>16630</v>
      </c>
      <c r="AN322" s="211">
        <f>IF(ISNUMBER(AN283),N(AN280)+AN283,"")</f>
        <v>16694</v>
      </c>
      <c r="AO322" s="211">
        <f>IF(ISNUMBER(AO283),N(AO280)+AO283,"")</f>
        <v>16729</v>
      </c>
      <c r="AP322" s="211">
        <f>IF(ISNUMBER(AP283),N(AP280)+AP283,"")</f>
        <v>16729</v>
      </c>
      <c r="AQ322" s="211">
        <f>IF(ISNUMBER(AQ283),N(AQ280)+AQ283,"")</f>
        <v>16688</v>
      </c>
      <c r="AR322" s="211">
        <f>IF(ISNUMBER(AR283),N(AR280)+AR283,"")</f>
        <v>17892</v>
      </c>
      <c r="AS322" s="211">
        <f>IF(ISNUMBER(AS283),N(AS280)+AS283,"")</f>
        <v>20879</v>
      </c>
      <c r="AT322" s="211">
        <f>IF(ISNUMBER(AT283),N(AT280)+AT283,"")</f>
        <v>24070</v>
      </c>
      <c r="AU322" s="211">
        <f>IF(ISNUMBER(AU283),N(AU280)+AU283,"")</f>
        <v>24070</v>
      </c>
      <c r="AV322" s="211">
        <f>IF(ISNUMBER(AV283),N(AV280)+AV283,"")</f>
        <v>21055</v>
      </c>
      <c r="AW322" s="211">
        <f>IF(ISNUMBER(AW283),N(AW280)+AW283,"")</f>
        <v>20974</v>
      </c>
      <c r="AX322" s="211">
        <f>IF(ISNUMBER(AX283),N(AX280)+AX283,"")</f>
        <v>20996</v>
      </c>
      <c r="AY322" s="211">
        <f>IF(ISNUMBER(AY283),N(AY280)+AY283,"")</f>
        <v>20977</v>
      </c>
      <c r="AZ322" s="211">
        <f>IF(ISNUMBER(AZ283),N(AZ280)+AZ283,"")</f>
        <v>20977</v>
      </c>
      <c r="BA322" s="211">
        <f>IF(ISNUMBER(BA283),N(BA280)+BA283,"")</f>
        <v>20920</v>
      </c>
      <c r="BB322" s="211">
        <f>IF(ISNUMBER(BB283),N(BB280)+BB283,"")</f>
        <v>21027</v>
      </c>
      <c r="BC322" s="211">
        <f>IF(ISNUMBER(BC283),N(BC280)+BC283,"")</f>
        <v>23795</v>
      </c>
      <c r="BD322" s="211">
        <f>IF(ISNUMBER(BD283),N(BD280)+BD283,"")</f>
        <v>22450</v>
      </c>
      <c r="BE322" s="211">
        <f>IF(ISNUMBER(BE283),N(BE280)+BE283,"")</f>
        <v>22450</v>
      </c>
      <c r="BF322" s="211">
        <f>IF(ISNUMBER(BF283),N(BF280)+BF283,"")</f>
        <v>20487</v>
      </c>
      <c r="BG322" s="211">
        <f>IF(ISNUMBER(BG283),N(BG280)+BG283,"")</f>
        <v>20606</v>
      </c>
      <c r="BH322" s="211">
        <f>IF(ISNUMBER(BH283),N(BH280)+BH283,"")</f>
        <v>20560</v>
      </c>
      <c r="BI322" s="211">
        <f>IF(ISNUMBER(BI283),N(BI280)+BI283,"")</f>
        <v>20463</v>
      </c>
      <c r="BJ322" s="211">
        <f>IF(ISNUMBER(BJ283),N(BJ280)+BJ283,"")</f>
        <v>20463</v>
      </c>
      <c r="BK322" s="211">
        <f>IF(ISNUMBER(BK283),N(BK280)+BK283,"")</f>
        <v>20703</v>
      </c>
      <c r="BL322" s="211">
        <f>IF(ISNUMBER(BL283),N(BL280)+BL283,"")</f>
        <v>20603</v>
      </c>
      <c r="BM322" s="211">
        <f>IF(ISNUMBER(BM283),N(BM280)+BM283,"")</f>
        <v>20602</v>
      </c>
      <c r="BN322" s="211">
        <f>IF(ISNUMBER(BN283),N(BN280)+BN283,"")</f>
        <v>20836</v>
      </c>
      <c r="BO322" s="211">
        <f>IF(ISNUMBER(BO283),N(BO280)+BO283,"")</f>
        <v>20836</v>
      </c>
      <c r="BP322" s="211">
        <f>IF(ISNUMBER(BP283),N(BP280)+BP283,"")</f>
        <v>20609</v>
      </c>
      <c r="BQ322" s="211">
        <f>IF(ISNUMBER(BQ283),N(BQ280)+BQ283,"")</f>
        <v>20762</v>
      </c>
      <c r="BR322" s="211">
        <f>IF(ISNUMBER(BR283),N(BR280)+BR283,"")</f>
        <v>25138</v>
      </c>
      <c r="BS322" s="211">
        <f>IF(ISNUMBER(BS283),N(BS280)+BS283,"")</f>
        <v>25171</v>
      </c>
      <c r="BT322" s="211">
        <f>IF(ISNUMBER(BT283),N(BT280)+BT283,"")</f>
        <v>25171</v>
      </c>
      <c r="BU322" s="211">
        <f>IF(ISNUMBER(BU283),N(BU280)+BU283,"")</f>
        <v>21177</v>
      </c>
      <c r="BV322" s="211">
        <f>IF(ISNUMBER(BV283),N(BV280)+BV283,"")</f>
        <v>23976</v>
      </c>
      <c r="BW322" s="211">
        <f>IF(ISNUMBER(BW283),N(BW280)+BW283,"")</f>
        <v>23858</v>
      </c>
      <c r="BX322" s="153" t="n"/>
      <c r="BY322" s="254">
        <f>BY323+BY329</f>
        <v>22358</v>
      </c>
      <c r="BZ322" s="254">
        <f>BZ323+BZ329</f>
        <v>26018.3755772405</v>
      </c>
      <c r="CA322" s="254">
        <f>CA323+CA329</f>
        <v>27408.0110771005</v>
      </c>
      <c r="CB322" s="254">
        <f>CB323+CB329</f>
        <v>28869.9196394516</v>
      </c>
      <c r="CC322" s="254">
        <f>CC323+CC329</f>
        <v>30311.1804599975</v>
      </c>
      <c r="CD322" s="254">
        <f>CD323+CD329</f>
        <v>31882.9458483669</v>
      </c>
      <c r="CE322" s="19" t="inlineStr">
        <is>
          <t>Q3 FY26 10-Q Note 6: total debt $24,131m principal (carrying $23,858m: current maturities $2,996m, long-term $20,862m) incl. commercial paper $1,500m (3.77%). USD senior notes 0.75-4.70%; EUR notes 2.00-3.875%.</t>
        </is>
      </c>
    </row>
    <row r="323" ht="15" customHeight="1" s="251">
      <c r="B323" s="69" t="inlineStr">
        <is>
          <t xml:space="preserve">  Senior notes (carrying value)</t>
        </is>
      </c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B323" s="44" t="n"/>
      <c r="AC323" s="44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  <c r="AQ323" s="44" t="n"/>
      <c r="AR323" s="44" t="n"/>
      <c r="AS323" s="44" t="n"/>
      <c r="AT323" s="44" t="n"/>
      <c r="AU323" s="44" t="n"/>
      <c r="AV323" s="44" t="n"/>
      <c r="AW323" s="44" t="n"/>
      <c r="AX323" s="44" t="n"/>
      <c r="AY323" s="44" t="n"/>
      <c r="AZ323" s="44" t="n"/>
      <c r="BA323" s="44" t="n"/>
      <c r="BB323" s="44" t="n"/>
      <c r="BC323" s="44" t="n"/>
      <c r="BD323" s="44" t="n"/>
      <c r="BE323" s="44" t="n"/>
      <c r="BF323" s="44" t="n"/>
      <c r="BG323" s="44" t="n"/>
      <c r="BH323" s="44" t="n"/>
      <c r="BI323" s="44" t="n"/>
      <c r="BJ323" s="44" t="n"/>
      <c r="BK323" s="44" t="n"/>
      <c r="BL323" s="44" t="n"/>
      <c r="BM323" s="44" t="n"/>
      <c r="BN323" s="44" t="n"/>
      <c r="BO323" s="44" t="n"/>
      <c r="BP323" s="44" t="n"/>
      <c r="BQ323" s="44" t="n"/>
      <c r="BR323" s="44" t="n"/>
      <c r="BS323" s="44" t="n"/>
      <c r="BT323" s="44" t="n"/>
      <c r="BU323" s="44" t="n"/>
      <c r="BV323" s="44" t="n"/>
      <c r="BW323" s="44" t="n"/>
      <c r="BX323" s="153" t="n"/>
      <c r="BY323" s="254">
        <f>BW322-1500.0-BY325+BY324</f>
        <v>22358</v>
      </c>
      <c r="BZ323" s="254">
        <f>BY323-BZ325+BZ324</f>
        <v>22358</v>
      </c>
      <c r="CA323" s="254">
        <f>BZ323-CA325+CA324</f>
        <v>22358</v>
      </c>
      <c r="CB323" s="254">
        <f>CA323-CB325+CB324</f>
        <v>22358</v>
      </c>
      <c r="CC323" s="254">
        <f>CB323-CC325+CC324</f>
        <v>22358</v>
      </c>
      <c r="CD323" s="254">
        <f>CC323-CD325+CD324</f>
        <v>22358</v>
      </c>
      <c r="CE323" s="19" t="n"/>
    </row>
    <row r="324" ht="15" customHeight="1" s="251">
      <c r="B324" s="69" t="inlineStr">
        <is>
          <t xml:space="preserve">  New notes issued (input)</t>
        </is>
      </c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  <c r="AC324" s="44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  <c r="AQ324" s="44" t="n"/>
      <c r="AR324" s="44" t="n"/>
      <c r="AS324" s="44" t="n"/>
      <c r="AT324" s="44" t="n"/>
      <c r="AU324" s="44" t="n"/>
      <c r="AV324" s="44" t="n"/>
      <c r="AW324" s="44" t="n"/>
      <c r="AX324" s="44" t="n"/>
      <c r="AY324" s="44" t="n"/>
      <c r="AZ324" s="44" t="n"/>
      <c r="BA324" s="44" t="n"/>
      <c r="BB324" s="44" t="n"/>
      <c r="BC324" s="44" t="n"/>
      <c r="BD324" s="44" t="n"/>
      <c r="BE324" s="44" t="n"/>
      <c r="BF324" s="44" t="n"/>
      <c r="BG324" s="44" t="n"/>
      <c r="BH324" s="44" t="n"/>
      <c r="BI324" s="44" t="n"/>
      <c r="BJ324" s="44" t="n"/>
      <c r="BK324" s="44" t="n"/>
      <c r="BL324" s="44" t="n"/>
      <c r="BM324" s="44" t="n"/>
      <c r="BN324" s="44" t="n"/>
      <c r="BO324" s="44" t="n"/>
      <c r="BP324" s="44" t="n"/>
      <c r="BQ324" s="44" t="n"/>
      <c r="BR324" s="44" t="n"/>
      <c r="BS324" s="44" t="n"/>
      <c r="BT324" s="44" t="n"/>
      <c r="BU324" s="44" t="n"/>
      <c r="BV324" s="44" t="n"/>
      <c r="BW324" s="44" t="n"/>
      <c r="BX324" s="153" t="n"/>
      <c r="BY324" s="269" t="n">
        <v>0</v>
      </c>
      <c r="BZ324" s="269" t="n">
        <v>2750</v>
      </c>
      <c r="CA324" s="269" t="n">
        <v>1428</v>
      </c>
      <c r="CB324" s="269" t="n">
        <v>2042</v>
      </c>
      <c r="CC324" s="269" t="n">
        <v>1500</v>
      </c>
      <c r="CD324" s="269" t="n">
        <v>1750</v>
      </c>
      <c r="CE324" s="19" t="inlineStr">
        <is>
          <t>Feb-2026: $3.0bn fixed-rate notes (3.80% 2029, 4.10% 2031, 4.40% 2033, 4.70% 2036). Maturities assumed refinanced with new notes at ~4.5% (assumption).</t>
        </is>
      </c>
    </row>
    <row r="325" ht="15" customHeight="1" s="251">
      <c r="B325" s="69" t="inlineStr">
        <is>
          <t xml:space="preserve">  Notes repaid at maturity (input)</t>
        </is>
      </c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B325" s="44" t="n"/>
      <c r="AC325" s="44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  <c r="AQ325" s="44" t="n"/>
      <c r="AR325" s="44" t="n"/>
      <c r="AS325" s="44" t="n"/>
      <c r="AT325" s="44" t="n"/>
      <c r="AU325" s="44" t="n"/>
      <c r="AV325" s="44" t="n"/>
      <c r="AW325" s="44" t="n"/>
      <c r="AX325" s="44" t="n"/>
      <c r="AY325" s="44" t="n"/>
      <c r="AZ325" s="44" t="n"/>
      <c r="BA325" s="44" t="n"/>
      <c r="BB325" s="44" t="n"/>
      <c r="BC325" s="44" t="n"/>
      <c r="BD325" s="44" t="n"/>
      <c r="BE325" s="44" t="n"/>
      <c r="BF325" s="44" t="n"/>
      <c r="BG325" s="44" t="n"/>
      <c r="BH325" s="44" t="n"/>
      <c r="BI325" s="44" t="n"/>
      <c r="BJ325" s="44" t="n"/>
      <c r="BK325" s="44" t="n"/>
      <c r="BL325" s="44" t="n"/>
      <c r="BM325" s="44" t="n"/>
      <c r="BN325" s="44" t="n"/>
      <c r="BO325" s="44" t="n"/>
      <c r="BP325" s="44" t="n"/>
      <c r="BQ325" s="44" t="n"/>
      <c r="BR325" s="44" t="n"/>
      <c r="BS325" s="44" t="n"/>
      <c r="BT325" s="44" t="n"/>
      <c r="BU325" s="44" t="n"/>
      <c r="BV325" s="44" t="n"/>
      <c r="BW325" s="44" t="n"/>
      <c r="BX325" s="153" t="n"/>
      <c r="BY325" s="269" t="n">
        <v>0</v>
      </c>
      <c r="BZ325" s="269" t="n">
        <v>2750</v>
      </c>
      <c r="CA325" s="269" t="n">
        <v>1428</v>
      </c>
      <c r="CB325" s="269" t="n">
        <v>2042</v>
      </c>
      <c r="CC325" s="269" t="n">
        <v>1500</v>
      </c>
      <c r="CD325" s="269" t="n">
        <v>1750</v>
      </c>
      <c r="CE325" s="19" t="inlineStr">
        <is>
          <t>FY2027: $1.5bn 1.90% Apr-2027, $0.5bn 0.75% Aug-2027, $0.75bn 2.75% Sep-2027; FY2028: EUR 2.25% May-2028 ($1,428m); FY2029: $0.9bn 3.80% Feb-2029 + EUR 2.00% Jun-2029 ($1,142m); FY2030: $1.5bn 2.05% Apr-2030; FY2031: $0.75bn 4.10% + $1.0bn 1.10% Feb-2031. EUR at 30-Jun-2026 carrying values.</t>
        </is>
      </c>
    </row>
    <row r="326" ht="15" customHeight="1" s="251">
      <c r="B326" s="69" t="inlineStr">
        <is>
          <t xml:space="preserve">  Maturities in the following fiscal year (current portion)</t>
        </is>
      </c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  <c r="AC326" s="44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  <c r="AQ326" s="44" t="n"/>
      <c r="AR326" s="44" t="n"/>
      <c r="AS326" s="44" t="n"/>
      <c r="AT326" s="44" t="n"/>
      <c r="AU326" s="44" t="n"/>
      <c r="AV326" s="44" t="n"/>
      <c r="AW326" s="44" t="n"/>
      <c r="AX326" s="44" t="n"/>
      <c r="AY326" s="44" t="n"/>
      <c r="AZ326" s="44" t="n"/>
      <c r="BA326" s="44" t="n"/>
      <c r="BB326" s="44" t="n"/>
      <c r="BC326" s="44" t="n"/>
      <c r="BD326" s="44" t="n"/>
      <c r="BE326" s="44" t="n"/>
      <c r="BF326" s="44" t="n"/>
      <c r="BG326" s="44" t="n"/>
      <c r="BH326" s="44" t="n"/>
      <c r="BI326" s="44" t="n"/>
      <c r="BJ326" s="44" t="n"/>
      <c r="BK326" s="44" t="n"/>
      <c r="BL326" s="44" t="n"/>
      <c r="BM326" s="44" t="n"/>
      <c r="BN326" s="44" t="n"/>
      <c r="BO326" s="44" t="n"/>
      <c r="BP326" s="44" t="n"/>
      <c r="BQ326" s="44" t="n"/>
      <c r="BR326" s="44" t="n"/>
      <c r="BS326" s="44" t="n"/>
      <c r="BT326" s="44" t="n"/>
      <c r="BU326" s="44" t="n"/>
      <c r="BV326" s="44" t="n"/>
      <c r="BW326" s="44" t="n"/>
      <c r="BX326" s="153" t="n"/>
      <c r="BY326" s="269" t="n">
        <v>2750</v>
      </c>
      <c r="BZ326" s="269" t="n">
        <v>1428</v>
      </c>
      <c r="CA326" s="269" t="n">
        <v>2042</v>
      </c>
      <c r="CB326" s="269" t="n">
        <v>1500</v>
      </c>
      <c r="CC326" s="269" t="n">
        <v>1750</v>
      </c>
      <c r="CD326" s="269" t="n">
        <v>0</v>
      </c>
      <c r="CE326" s="19" t="inlineStr">
        <is>
          <t>Senior-note maturities in the next fiscal year (10-Q Note 6), classified as current.</t>
        </is>
      </c>
    </row>
    <row r="327" ht="15" customHeight="1" s="251">
      <c r="B327" s="69" t="inlineStr">
        <is>
          <t xml:space="preserve">  BS cash before commercial paper (opening cash + CFO + CFI + buybacks, dividends, other financing + FX − notes repaid + issued)</t>
        </is>
      </c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  <c r="AA327" s="44" t="n"/>
      <c r="AB327" s="44" t="n"/>
      <c r="AC327" s="44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  <c r="AQ327" s="44" t="n"/>
      <c r="AR327" s="44" t="n"/>
      <c r="AS327" s="44" t="n"/>
      <c r="AT327" s="44" t="n"/>
      <c r="AU327" s="44" t="n"/>
      <c r="AV327" s="44" t="n"/>
      <c r="AW327" s="44" t="n"/>
      <c r="AX327" s="44" t="n"/>
      <c r="AY327" s="44" t="n"/>
      <c r="AZ327" s="44" t="n"/>
      <c r="BA327" s="44" t="n"/>
      <c r="BB327" s="44" t="n"/>
      <c r="BC327" s="44" t="n"/>
      <c r="BD327" s="44" t="n"/>
      <c r="BE327" s="44" t="n"/>
      <c r="BF327" s="44" t="n"/>
      <c r="BG327" s="44" t="n"/>
      <c r="BH327" s="44" t="n"/>
      <c r="BI327" s="44" t="n"/>
      <c r="BJ327" s="44" t="n"/>
      <c r="BK327" s="44" t="n"/>
      <c r="BL327" s="44" t="n"/>
      <c r="BM327" s="44" t="n"/>
      <c r="BN327" s="44" t="n"/>
      <c r="BO327" s="44" t="n"/>
      <c r="BP327" s="44" t="n"/>
      <c r="BQ327" s="44" t="n"/>
      <c r="BR327" s="44" t="n"/>
      <c r="BS327" s="44" t="n"/>
      <c r="BT327" s="44" t="n"/>
      <c r="BU327" s="44" t="n"/>
      <c r="BV327" s="44" t="n"/>
      <c r="BW327" s="44" t="n"/>
      <c r="BX327" s="153" t="n"/>
      <c r="BY327" s="254">
        <f>BW264+(BY225-SUM(BU225:BW225))+(BY229-SUM(BU229:BW229))+(BY230-SUM(BU230:BW230))+(BY231-SUM(BU231:BW231))+(BY233-SUM(BU233:BW233))+(BY235-SUM(BU235:BW235))-BY325+BY324</f>
        <v>13691.9854309904</v>
      </c>
      <c r="BZ327" s="254">
        <f>BY264+BZ225+BZ229+BZ230+BZ231+BZ233+BZ235-BZ325+BZ324</f>
        <v>8339.62442275951</v>
      </c>
      <c r="CA327" s="254">
        <f>BZ264+CA225+CA229+CA230+CA231+CA233+CA235-CA325+CA324</f>
        <v>10610.36450014</v>
      </c>
      <c r="CB327" s="254">
        <f>CA264+CB225+CB229+CB230+CB231+CB233+CB235-CB325+CB324</f>
        <v>10538.0914376489</v>
      </c>
      <c r="CC327" s="254">
        <f>CB264+CC225+CC229+CC230+CC231+CC233+CC235-CC325+CC324</f>
        <v>10558.7391794541</v>
      </c>
      <c r="CD327" s="254">
        <f>CC264+CD225+CD229+CD230+CD231+CD233+CD235-CD325+CD324</f>
        <v>10428.2346116306</v>
      </c>
      <c r="CE327" s="19" t="n"/>
    </row>
    <row r="328" ht="15" customHeight="1" s="251">
      <c r="B328" s="69" t="inlineStr">
        <is>
          <t xml:space="preserve">  Minimum cash balance</t>
        </is>
      </c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  <c r="AC328" s="44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  <c r="AQ328" s="44" t="n"/>
      <c r="AR328" s="44" t="n"/>
      <c r="AS328" s="44" t="n"/>
      <c r="AT328" s="44" t="n"/>
      <c r="AU328" s="44" t="n"/>
      <c r="AV328" s="44" t="n"/>
      <c r="AW328" s="44" t="n"/>
      <c r="AX328" s="44" t="n"/>
      <c r="AY328" s="44" t="n"/>
      <c r="AZ328" s="44" t="n"/>
      <c r="BA328" s="44" t="n"/>
      <c r="BB328" s="44" t="n"/>
      <c r="BC328" s="44" t="n"/>
      <c r="BD328" s="44" t="n"/>
      <c r="BE328" s="44" t="n"/>
      <c r="BF328" s="44" t="n"/>
      <c r="BG328" s="44" t="n"/>
      <c r="BH328" s="44" t="n"/>
      <c r="BI328" s="44" t="n"/>
      <c r="BJ328" s="44" t="n"/>
      <c r="BK328" s="44" t="n"/>
      <c r="BL328" s="44" t="n"/>
      <c r="BM328" s="44" t="n"/>
      <c r="BN328" s="44" t="n"/>
      <c r="BO328" s="44" t="n"/>
      <c r="BP328" s="44" t="n"/>
      <c r="BQ328" s="44" t="n"/>
      <c r="BR328" s="44" t="n"/>
      <c r="BS328" s="44" t="n"/>
      <c r="BT328" s="44" t="n"/>
      <c r="BU328" s="44" t="n"/>
      <c r="BV328" s="44" t="n"/>
      <c r="BW328" s="44" t="n"/>
      <c r="BX328" s="153" t="n"/>
      <c r="BY328" s="269" t="n">
        <v>12000</v>
      </c>
      <c r="BZ328" s="269" t="n">
        <v>12000</v>
      </c>
      <c r="CA328" s="269" t="n">
        <v>12000</v>
      </c>
      <c r="CB328" s="269" t="n">
        <v>12000</v>
      </c>
      <c r="CC328" s="269" t="n">
        <v>12000</v>
      </c>
      <c r="CD328" s="269" t="n">
        <v>12000</v>
      </c>
      <c r="CE328" s="19" t="inlineStr">
        <is>
          <t>Assumption: Visa holds $12–17bn of cash for settlement liquidity (30-Jun-2026 $12.4bn; 30-Sep-2025 $17.2bn).</t>
        </is>
      </c>
    </row>
    <row r="329" ht="15" customHeight="1" s="251">
      <c r="B329" s="69" t="inlineStr">
        <is>
          <t xml:space="preserve">  Commercial paper / incremental borrowing (year end; plug to the minimum cash balance)</t>
        </is>
      </c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  <c r="Z329" s="44" t="n"/>
      <c r="AA329" s="44" t="n"/>
      <c r="AB329" s="44" t="n"/>
      <c r="AC329" s="44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  <c r="AQ329" s="44" t="n"/>
      <c r="AR329" s="44" t="n"/>
      <c r="AS329" s="44" t="n"/>
      <c r="AT329" s="44" t="n"/>
      <c r="AU329" s="44" t="n"/>
      <c r="AV329" s="44" t="n"/>
      <c r="AW329" s="44" t="n"/>
      <c r="AX329" s="44" t="n"/>
      <c r="AY329" s="44" t="n"/>
      <c r="AZ329" s="44" t="n"/>
      <c r="BA329" s="44" t="n"/>
      <c r="BB329" s="44" t="n"/>
      <c r="BC329" s="44" t="n"/>
      <c r="BD329" s="44" t="n"/>
      <c r="BE329" s="44" t="n"/>
      <c r="BF329" s="44" t="n"/>
      <c r="BG329" s="44" t="n"/>
      <c r="BH329" s="44" t="n"/>
      <c r="BI329" s="44" t="n"/>
      <c r="BJ329" s="44" t="n"/>
      <c r="BK329" s="44" t="n"/>
      <c r="BL329" s="44" t="n"/>
      <c r="BM329" s="44" t="n"/>
      <c r="BN329" s="44" t="n"/>
      <c r="BO329" s="44" t="n"/>
      <c r="BP329" s="44" t="n"/>
      <c r="BQ329" s="44" t="n"/>
      <c r="BR329" s="44" t="n"/>
      <c r="BS329" s="44" t="n"/>
      <c r="BT329" s="44" t="n"/>
      <c r="BU329" s="44" t="n"/>
      <c r="BV329" s="44" t="n"/>
      <c r="BW329" s="44" t="n"/>
      <c r="BX329" s="153" t="n"/>
      <c r="BY329" s="254">
        <f>MAX(0,1500.0+BY328-BY327)</f>
        <v>0</v>
      </c>
      <c r="BZ329" s="254">
        <f>MAX(0,BY329+BZ328-BZ327)</f>
        <v>3660.37557724049</v>
      </c>
      <c r="CA329" s="254">
        <f>MAX(0,BZ329+CA328-CA327)</f>
        <v>5050.01107710047</v>
      </c>
      <c r="CB329" s="254">
        <f>MAX(0,CA329+CB328-CB327)</f>
        <v>6511.91963945159</v>
      </c>
      <c r="CC329" s="254">
        <f>MAX(0,CB329+CC328-CC327)</f>
        <v>7953.18045999753</v>
      </c>
      <c r="CD329" s="254">
        <f>MAX(0,CC329+CD328-CD327)</f>
        <v>9524.94584836691</v>
      </c>
      <c r="CE329" s="19" t="inlineStr">
        <is>
          <t>$1.5bn commercial paper at 30-Jun-2026 (3.77%). Shortfalls below the minimum cash balance (e.g. buybacks up to the leverage target) are funded here — a proxy for commercial paper or new notes; surplus repays it.</t>
        </is>
      </c>
    </row>
    <row r="330" ht="15" customHeight="1" s="251">
      <c r="B330" s="69" t="inlineStr">
        <is>
          <t xml:space="preserve">  Net issuance / (repayment)</t>
        </is>
      </c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  <c r="AC330" s="44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  <c r="AQ330" s="44" t="n"/>
      <c r="AR330" s="44" t="n"/>
      <c r="AS330" s="44" t="n"/>
      <c r="AT330" s="44" t="n"/>
      <c r="AU330" s="44" t="n"/>
      <c r="AV330" s="44" t="n"/>
      <c r="AW330" s="44" t="n"/>
      <c r="AX330" s="44" t="n"/>
      <c r="AY330" s="44" t="n"/>
      <c r="AZ330" s="44" t="n"/>
      <c r="BA330" s="44" t="n"/>
      <c r="BB330" s="44" t="n"/>
      <c r="BC330" s="44" t="n"/>
      <c r="BD330" s="44" t="n"/>
      <c r="BE330" s="44" t="n"/>
      <c r="BF330" s="44" t="n"/>
      <c r="BG330" s="44" t="n"/>
      <c r="BH330" s="44" t="n"/>
      <c r="BI330" s="44" t="n"/>
      <c r="BJ330" s="44" t="n"/>
      <c r="BK330" s="44" t="n"/>
      <c r="BL330" s="44" t="n"/>
      <c r="BM330" s="44" t="n"/>
      <c r="BN330" s="44" t="n"/>
      <c r="BO330" s="44" t="n"/>
      <c r="BP330" s="44" t="n"/>
      <c r="BQ330" s="44" t="n"/>
      <c r="BR330" s="44" t="n"/>
      <c r="BS330" s="44" t="n"/>
      <c r="BT330" s="44" t="n"/>
      <c r="BU330" s="44" t="n"/>
      <c r="BV330" s="44" t="n"/>
      <c r="BW330" s="44" t="n"/>
      <c r="BX330" s="153" t="n"/>
      <c r="BY330" s="254">
        <f>IFERROR(BY322-BT322,"")</f>
        <v>-2813</v>
      </c>
      <c r="BZ330" s="254">
        <f>IFERROR(BZ322-BY322,"")</f>
        <v>3660.37557724049</v>
      </c>
      <c r="CA330" s="254">
        <f>IFERROR(CA322-BZ322,"")</f>
        <v>1389.63549985998</v>
      </c>
      <c r="CB330" s="254">
        <f>IFERROR(CB322-CA322,"")</f>
        <v>1461.90856235112</v>
      </c>
      <c r="CC330" s="254">
        <f>IFERROR(CC322-CB322,"")</f>
        <v>1441.26082054594</v>
      </c>
      <c r="CD330" s="254">
        <f>IFERROR(CD322-CC322,"")</f>
        <v>1571.76538836939</v>
      </c>
      <c r="CE330" s="19" t="n"/>
    </row>
    <row r="331" ht="15" customHeight="1" s="251">
      <c r="B331" s="69" t="inlineStr">
        <is>
          <t xml:space="preserve">  Interest rate on opening senior notes %</t>
        </is>
      </c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B331" s="44" t="n"/>
      <c r="AC331" s="44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  <c r="AQ331" s="44" t="n"/>
      <c r="AR331" s="44" t="n"/>
      <c r="AS331" s="44" t="n"/>
      <c r="AT331" s="44" t="n"/>
      <c r="AU331" s="44" t="n"/>
      <c r="AV331" s="44" t="n"/>
      <c r="AW331" s="44" t="n"/>
      <c r="AX331" s="44" t="n"/>
      <c r="AY331" s="44" t="n"/>
      <c r="AZ331" s="44" t="n"/>
      <c r="BA331" s="44" t="n"/>
      <c r="BB331" s="44" t="n"/>
      <c r="BC331" s="44" t="n"/>
      <c r="BD331" s="44" t="n"/>
      <c r="BE331" s="44" t="n"/>
      <c r="BF331" s="44" t="n"/>
      <c r="BG331" s="44" t="n"/>
      <c r="BH331" s="44" t="n"/>
      <c r="BI331" s="44" t="n"/>
      <c r="BJ331" s="44" t="n"/>
      <c r="BK331" s="44" t="n"/>
      <c r="BL331" s="44" t="n"/>
      <c r="BM331" s="44" t="n"/>
      <c r="BN331" s="44" t="n"/>
      <c r="BO331" s="44" t="n"/>
      <c r="BP331" s="44" t="n"/>
      <c r="BQ331" s="44" t="n"/>
      <c r="BR331" s="44" t="n"/>
      <c r="BS331" s="44" t="n"/>
      <c r="BT331" s="44" t="n"/>
      <c r="BU331" s="44" t="n"/>
      <c r="BV331" s="44" t="n"/>
      <c r="BW331" s="44" t="n"/>
      <c r="BX331" s="153" t="n"/>
      <c r="BY331" s="35" t="n"/>
      <c r="BZ331" s="271" t="n">
        <v>0.032</v>
      </c>
      <c r="CA331" s="271" t="n">
        <v>0.033</v>
      </c>
      <c r="CB331" s="271" t="n">
        <v>0.034</v>
      </c>
      <c r="CC331" s="271" t="n">
        <v>0.035</v>
      </c>
      <c r="CD331" s="271" t="n">
        <v>0.036</v>
      </c>
      <c r="CE331" s="19" t="inlineStr">
        <is>
          <t>Q3 FY26 interest expense $194m ≈ 3.2% annualised on $24.1bn; maturing 0.75–2.75% notes refinanced at ~4.5% (Feb-2026 issue 3.80–4.70%) → rate drifts up (assumption).</t>
        </is>
      </c>
    </row>
    <row r="332" ht="15" customHeight="1" s="251">
      <c r="B332" s="69" t="inlineStr">
        <is>
          <t xml:space="preserve">  Interest rate on opening commercial paper %</t>
        </is>
      </c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  <c r="AC332" s="44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  <c r="AQ332" s="44" t="n"/>
      <c r="AR332" s="44" t="n"/>
      <c r="AS332" s="44" t="n"/>
      <c r="AT332" s="44" t="n"/>
      <c r="AU332" s="44" t="n"/>
      <c r="AV332" s="44" t="n"/>
      <c r="AW332" s="44" t="n"/>
      <c r="AX332" s="44" t="n"/>
      <c r="AY332" s="44" t="n"/>
      <c r="AZ332" s="44" t="n"/>
      <c r="BA332" s="44" t="n"/>
      <c r="BB332" s="44" t="n"/>
      <c r="BC332" s="44" t="n"/>
      <c r="BD332" s="44" t="n"/>
      <c r="BE332" s="44" t="n"/>
      <c r="BF332" s="44" t="n"/>
      <c r="BG332" s="44" t="n"/>
      <c r="BH332" s="44" t="n"/>
      <c r="BI332" s="44" t="n"/>
      <c r="BJ332" s="44" t="n"/>
      <c r="BK332" s="44" t="n"/>
      <c r="BL332" s="44" t="n"/>
      <c r="BM332" s="44" t="n"/>
      <c r="BN332" s="44" t="n"/>
      <c r="BO332" s="44" t="n"/>
      <c r="BP332" s="44" t="n"/>
      <c r="BQ332" s="44" t="n"/>
      <c r="BR332" s="44" t="n"/>
      <c r="BS332" s="44" t="n"/>
      <c r="BT332" s="44" t="n"/>
      <c r="BU332" s="44" t="n"/>
      <c r="BV332" s="44" t="n"/>
      <c r="BW332" s="44" t="n"/>
      <c r="BX332" s="153" t="n"/>
      <c r="BY332" s="35" t="n"/>
      <c r="BZ332" s="271" t="n">
        <v>0.038</v>
      </c>
      <c r="CA332" s="271" t="n">
        <v>0.038</v>
      </c>
      <c r="CB332" s="271" t="n">
        <v>0.038</v>
      </c>
      <c r="CC332" s="271" t="n">
        <v>0.038</v>
      </c>
      <c r="CD332" s="271" t="n">
        <v>0.038</v>
      </c>
      <c r="CE332" s="19" t="inlineStr">
        <is>
          <t>30-Jun-2026 weighted average 3.77%.</t>
        </is>
      </c>
    </row>
    <row r="333" ht="15" customHeight="1" s="251">
      <c r="B333" s="69" t="inlineStr">
        <is>
          <t xml:space="preserve">  Other interest (hedging, fees, debt-cost amortization) ($m)</t>
        </is>
      </c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B333" s="44" t="n"/>
      <c r="AC333" s="44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  <c r="AQ333" s="44" t="n"/>
      <c r="AR333" s="44" t="n"/>
      <c r="AS333" s="44" t="n"/>
      <c r="AT333" s="44" t="n"/>
      <c r="AU333" s="44" t="n"/>
      <c r="AV333" s="44" t="n"/>
      <c r="AW333" s="44" t="n"/>
      <c r="AX333" s="44" t="n"/>
      <c r="AY333" s="44" t="n"/>
      <c r="AZ333" s="44" t="n"/>
      <c r="BA333" s="44" t="n"/>
      <c r="BB333" s="44" t="n"/>
      <c r="BC333" s="44" t="n"/>
      <c r="BD333" s="44" t="n"/>
      <c r="BE333" s="44" t="n"/>
      <c r="BF333" s="44" t="n"/>
      <c r="BG333" s="44" t="n"/>
      <c r="BH333" s="44" t="n"/>
      <c r="BI333" s="44" t="n"/>
      <c r="BJ333" s="44" t="n"/>
      <c r="BK333" s="44" t="n"/>
      <c r="BL333" s="44" t="n"/>
      <c r="BM333" s="44" t="n"/>
      <c r="BN333" s="44" t="n"/>
      <c r="BO333" s="44" t="n"/>
      <c r="BP333" s="44" t="n"/>
      <c r="BQ333" s="44" t="n"/>
      <c r="BR333" s="44" t="n"/>
      <c r="BS333" s="44" t="n"/>
      <c r="BT333" s="44" t="n"/>
      <c r="BU333" s="44" t="n"/>
      <c r="BV333" s="44" t="n"/>
      <c r="BW333" s="44" t="n"/>
      <c r="BX333" s="153" t="n"/>
      <c r="BY333" s="35" t="n"/>
      <c r="BZ333" s="269" t="n">
        <v>20</v>
      </c>
      <c r="CA333" s="269" t="n">
        <v>20</v>
      </c>
      <c r="CB333" s="269" t="n">
        <v>20</v>
      </c>
      <c r="CC333" s="269" t="n">
        <v>20</v>
      </c>
      <c r="CD333" s="269" t="n">
        <v>20</v>
      </c>
      <c r="CE333" s="19" t="inlineStr">
        <is>
          <t>Assumption: hedging, commitment fees and debt-cost amortization.</t>
        </is>
      </c>
    </row>
    <row r="334" ht="15" customHeight="1" s="251">
      <c r="B334" s="69" t="inlineStr">
        <is>
          <t xml:space="preserve">  Investment income yield on opening cash &amp; investment securities %</t>
        </is>
      </c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  <c r="AC334" s="44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  <c r="AQ334" s="44" t="n"/>
      <c r="AR334" s="44" t="n"/>
      <c r="AS334" s="44" t="n"/>
      <c r="AT334" s="44" t="n"/>
      <c r="AU334" s="44" t="n"/>
      <c r="AV334" s="44" t="n"/>
      <c r="AW334" s="44" t="n"/>
      <c r="AX334" s="44" t="n"/>
      <c r="AY334" s="44" t="n"/>
      <c r="AZ334" s="44" t="n"/>
      <c r="BA334" s="44" t="n"/>
      <c r="BB334" s="44" t="n"/>
      <c r="BC334" s="44" t="n"/>
      <c r="BD334" s="44" t="n"/>
      <c r="BE334" s="44" t="n"/>
      <c r="BF334" s="44" t="n"/>
      <c r="BG334" s="44" t="n"/>
      <c r="BH334" s="44" t="n"/>
      <c r="BI334" s="44" t="n"/>
      <c r="BJ334" s="44" t="n"/>
      <c r="BK334" s="44" t="n"/>
      <c r="BL334" s="44" t="n"/>
      <c r="BM334" s="44" t="n"/>
      <c r="BN334" s="44" t="n"/>
      <c r="BO334" s="44" t="n"/>
      <c r="BP334" s="44" t="n"/>
      <c r="BQ334" s="44" t="n"/>
      <c r="BR334" s="44" t="n"/>
      <c r="BS334" s="44" t="n"/>
      <c r="BT334" s="44" t="n"/>
      <c r="BU334" s="44" t="n"/>
      <c r="BV334" s="44" t="n"/>
      <c r="BW334" s="44" t="n"/>
      <c r="BX334" s="153" t="n"/>
      <c r="BY334" s="35" t="n"/>
      <c r="BZ334" s="271" t="n">
        <v>0.03</v>
      </c>
      <c r="CA334" s="271" t="n">
        <v>0.029</v>
      </c>
      <c r="CB334" s="271" t="n">
        <v>0.028</v>
      </c>
      <c r="CC334" s="271" t="n">
        <v>0.028</v>
      </c>
      <c r="CD334" s="271" t="n">
        <v>0.028</v>
      </c>
      <c r="CE334" s="19" t="inlineStr">
        <is>
          <t>Q3 FY26 non-GAAP investment income $159m ≈ 3.1% annualised on cash (CF basis, incl. restricted) + investment securities. Easing with rates (assumption).</t>
        </is>
      </c>
    </row>
    <row r="335" ht="15" customHeight="1" s="251">
      <c r="B335" s="25" t="inlineStr">
        <is>
          <t>Leverage-targeted buybacks (repurchases plug to a target net debt / adjusted EBITDA, 2027E+)</t>
        </is>
      </c>
      <c r="CE335" s="153" t="n"/>
    </row>
    <row r="336" ht="15" customHeight="1" s="251">
      <c r="B336" s="69" t="inlineStr">
        <is>
          <t xml:space="preserve">  Target net debt / adjusted EBITDA (x) (scenario)</t>
        </is>
      </c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  <c r="AC336" s="44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  <c r="AQ336" s="44" t="n"/>
      <c r="AR336" s="44" t="n"/>
      <c r="AS336" s="44" t="n"/>
      <c r="AT336" s="44" t="n"/>
      <c r="AU336" s="44" t="n"/>
      <c r="AV336" s="44" t="n"/>
      <c r="AW336" s="44" t="n"/>
      <c r="AX336" s="44" t="n"/>
      <c r="AY336" s="44" t="n"/>
      <c r="AZ336" s="44" t="n"/>
      <c r="BA336" s="44" t="n"/>
      <c r="BB336" s="44" t="n"/>
      <c r="BC336" s="44" t="n"/>
      <c r="BD336" s="44" t="n"/>
      <c r="BE336" s="44" t="n"/>
      <c r="BF336" s="44" t="n"/>
      <c r="BG336" s="44" t="n"/>
      <c r="BH336" s="44" t="n"/>
      <c r="BI336" s="44" t="n"/>
      <c r="BJ336" s="44" t="n"/>
      <c r="BK336" s="44" t="n"/>
      <c r="BL336" s="44" t="n"/>
      <c r="BM336" s="44" t="n"/>
      <c r="BN336" s="44" t="n"/>
      <c r="BO336" s="44" t="n"/>
      <c r="BP336" s="44" t="n"/>
      <c r="BQ336" s="44" t="n"/>
      <c r="BR336" s="44" t="n"/>
      <c r="BS336" s="44" t="n"/>
      <c r="BT336" s="44" t="n"/>
      <c r="BU336" s="44" t="n"/>
      <c r="BV336" s="44" t="n"/>
      <c r="BW336" s="44" t="n"/>
      <c r="BX336" s="153" t="n"/>
      <c r="BY336" s="35" t="n"/>
      <c r="BZ336" s="287">
        <f>CHOOSE(MATCH($CE$2,{"Bull","Base","Bear"},0),$CN$26,$CO$26,$CP$26)</f>
        <v>0.35</v>
      </c>
      <c r="CA336" s="287">
        <f>CHOOSE(MATCH($CE$2,{"Bull","Base","Bear"},0),$CN$26,$CO$26,$CP$26)</f>
        <v>0.35</v>
      </c>
      <c r="CB336" s="287">
        <f>CHOOSE(MATCH($CE$2,{"Bull","Base","Bear"},0),$CN$26,$CO$26,$CP$26)</f>
        <v>0.35</v>
      </c>
      <c r="CC336" s="287">
        <f>CHOOSE(MATCH($CE$2,{"Bull","Base","Bear"},0),$CN$26,$CO$26,$CP$26)</f>
        <v>0.35</v>
      </c>
      <c r="CD336" s="287">
        <f>CHOOSE(MATCH($CE$2,{"Bull","Base","Bear"},0),$CN$26,$CO$26,$CP$26)</f>
        <v>0.35</v>
      </c>
      <c r="CE336" s="19" t="inlineStr">
        <is>
          <t>Net debt (debt − cash − investment securities) $9.9bn at 30-Jun-2026 ≈ 0.3x adjusted EBITDA (model definition). Visa returns most free cash flow via buybacks and dividends; target = leverage up to which surplus cash is returned (assumption; Visa states no leverage target). Bull = more buybacks.</t>
        </is>
      </c>
    </row>
    <row r="337" ht="15" customHeight="1" s="251">
      <c r="B337" s="69" t="inlineStr">
        <is>
          <t xml:space="preserve">  Net debt before buybacks (year end; debt − cash − investment securities)</t>
        </is>
      </c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B337" s="44" t="n"/>
      <c r="AC337" s="44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  <c r="AQ337" s="44" t="n"/>
      <c r="AR337" s="44" t="n"/>
      <c r="AS337" s="44" t="n"/>
      <c r="AT337" s="44" t="n"/>
      <c r="AU337" s="44" t="n"/>
      <c r="AV337" s="44" t="n"/>
      <c r="AW337" s="44" t="n"/>
      <c r="AX337" s="44" t="n"/>
      <c r="AY337" s="44" t="n"/>
      <c r="AZ337" s="44" t="n"/>
      <c r="BA337" s="44" t="n"/>
      <c r="BB337" s="44" t="n"/>
      <c r="BC337" s="44" t="n"/>
      <c r="BD337" s="44" t="n"/>
      <c r="BE337" s="44" t="n"/>
      <c r="BF337" s="44" t="n"/>
      <c r="BG337" s="44" t="n"/>
      <c r="BH337" s="44" t="n"/>
      <c r="BI337" s="44" t="n"/>
      <c r="BJ337" s="44" t="n"/>
      <c r="BK337" s="44" t="n"/>
      <c r="BL337" s="44" t="n"/>
      <c r="BM337" s="44" t="n"/>
      <c r="BN337" s="44" t="n"/>
      <c r="BO337" s="44" t="n"/>
      <c r="BP337" s="44" t="n"/>
      <c r="BQ337" s="44" t="n"/>
      <c r="BR337" s="44" t="n"/>
      <c r="BS337" s="44" t="n"/>
      <c r="BT337" s="44" t="n"/>
      <c r="BU337" s="44" t="n"/>
      <c r="BV337" s="44" t="n"/>
      <c r="BW337" s="44" t="n"/>
      <c r="BX337" s="153" t="n"/>
      <c r="BY337" s="35" t="n"/>
      <c r="BZ337" s="254">
        <f>BY322-BY264-BY266-BZ225-BZ229-BZ231-BZ233-BZ235</f>
        <v>-13214.7509556066</v>
      </c>
      <c r="CA337" s="254">
        <f>BZ322-BZ264-BZ266-CA225-CA229-CA231-CA233-CA235</f>
        <v>-11989.7455706724</v>
      </c>
      <c r="CB337" s="254">
        <f>CA322-CA264-CA266-CB225-CB229-CB231-CB233-CB235</f>
        <v>-13409.0785798588</v>
      </c>
      <c r="CC337" s="254">
        <f>CB322-CB264-CB266-CC225-CC229-CC231-CC233-CC235</f>
        <v>-14632.2010212554</v>
      </c>
      <c r="CD337" s="254">
        <f>CC322-CC264-CC266-CD225-CD229-CD231-CD233-CD235</f>
        <v>-16147.8895905548</v>
      </c>
      <c r="CE337" s="19" t="n"/>
    </row>
    <row r="338" ht="15" customHeight="1" s="251">
      <c r="B338" s="69" t="inlineStr">
        <is>
          <t xml:space="preserve">  Target net debt = target leverage × adjusted EBITDA</t>
        </is>
      </c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  <c r="AC338" s="44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  <c r="AQ338" s="44" t="n"/>
      <c r="AR338" s="44" t="n"/>
      <c r="AS338" s="44" t="n"/>
      <c r="AT338" s="44" t="n"/>
      <c r="AU338" s="44" t="n"/>
      <c r="AV338" s="44" t="n"/>
      <c r="AW338" s="44" t="n"/>
      <c r="AX338" s="44" t="n"/>
      <c r="AY338" s="44" t="n"/>
      <c r="AZ338" s="44" t="n"/>
      <c r="BA338" s="44" t="n"/>
      <c r="BB338" s="44" t="n"/>
      <c r="BC338" s="44" t="n"/>
      <c r="BD338" s="44" t="n"/>
      <c r="BE338" s="44" t="n"/>
      <c r="BF338" s="44" t="n"/>
      <c r="BG338" s="44" t="n"/>
      <c r="BH338" s="44" t="n"/>
      <c r="BI338" s="44" t="n"/>
      <c r="BJ338" s="44" t="n"/>
      <c r="BK338" s="44" t="n"/>
      <c r="BL338" s="44" t="n"/>
      <c r="BM338" s="44" t="n"/>
      <c r="BN338" s="44" t="n"/>
      <c r="BO338" s="44" t="n"/>
      <c r="BP338" s="44" t="n"/>
      <c r="BQ338" s="44" t="n"/>
      <c r="BR338" s="44" t="n"/>
      <c r="BS338" s="44" t="n"/>
      <c r="BT338" s="44" t="n"/>
      <c r="BU338" s="44" t="n"/>
      <c r="BV338" s="44" t="n"/>
      <c r="BW338" s="44" t="n"/>
      <c r="BX338" s="153" t="n"/>
      <c r="BY338" s="35" t="n"/>
      <c r="BZ338" s="254">
        <f>BZ336*BZ174</f>
        <v>12435.3755772405</v>
      </c>
      <c r="CA338" s="254">
        <f>CA336*CA174</f>
        <v>13825.0110771005</v>
      </c>
      <c r="CB338" s="254">
        <f>CB336*CB174</f>
        <v>15286.9196394516</v>
      </c>
      <c r="CC338" s="254">
        <f>CC336*CC174</f>
        <v>16728.1804599975</v>
      </c>
      <c r="CD338" s="254">
        <f>CD336*CD174</f>
        <v>18299.9458483669</v>
      </c>
      <c r="CE338" s="19" t="n"/>
    </row>
    <row r="339" ht="15" customHeight="1" s="251">
      <c r="B339" s="69" t="inlineStr">
        <is>
          <t xml:space="preserve">  Share repurchases: plug to target leverage</t>
        </is>
      </c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  <c r="AQ339" s="44" t="n"/>
      <c r="AR339" s="44" t="n"/>
      <c r="AS339" s="44" t="n"/>
      <c r="AT339" s="44" t="n"/>
      <c r="AU339" s="44" t="n"/>
      <c r="AV339" s="44" t="n"/>
      <c r="AW339" s="44" t="n"/>
      <c r="AX339" s="44" t="n"/>
      <c r="AY339" s="44" t="n"/>
      <c r="AZ339" s="44" t="n"/>
      <c r="BA339" s="44" t="n"/>
      <c r="BB339" s="44" t="n"/>
      <c r="BC339" s="44" t="n"/>
      <c r="BD339" s="44" t="n"/>
      <c r="BE339" s="44" t="n"/>
      <c r="BF339" s="44" t="n"/>
      <c r="BG339" s="44" t="n"/>
      <c r="BH339" s="44" t="n"/>
      <c r="BI339" s="44" t="n"/>
      <c r="BJ339" s="44" t="n"/>
      <c r="BK339" s="44" t="n"/>
      <c r="BL339" s="44" t="n"/>
      <c r="BM339" s="44" t="n"/>
      <c r="BN339" s="44" t="n"/>
      <c r="BO339" s="44" t="n"/>
      <c r="BP339" s="44" t="n"/>
      <c r="BQ339" s="44" t="n"/>
      <c r="BR339" s="44" t="n"/>
      <c r="BS339" s="44" t="n"/>
      <c r="BT339" s="44" t="n"/>
      <c r="BU339" s="44" t="n"/>
      <c r="BV339" s="44" t="n"/>
      <c r="BW339" s="44" t="n"/>
      <c r="BX339" s="153" t="n"/>
      <c r="BY339" s="35" t="n"/>
      <c r="BZ339" s="254">
        <f>MAX(0,BZ338-BZ337)</f>
        <v>25650.1265328471</v>
      </c>
      <c r="CA339" s="254">
        <f>MAX(0,CA338-CA337)</f>
        <v>25814.7566477729</v>
      </c>
      <c r="CB339" s="254">
        <f>MAX(0,CB338-CB337)</f>
        <v>28695.9982193104</v>
      </c>
      <c r="CC339" s="254">
        <f>MAX(0,CC338-CC337)</f>
        <v>31360.3814812529</v>
      </c>
      <c r="CD339" s="254">
        <f>MAX(0,CD338-CD337)</f>
        <v>34447.8354389217</v>
      </c>
      <c r="CE339" s="19" t="inlineStr">
        <is>
          <t>Surplus cash beyond the leverage target is returned via buybacks; feeds the cash-flow repurchase line.</t>
        </is>
      </c>
    </row>
    <row r="340" ht="15" customHeight="1" s="251">
      <c r="B340" s="25" t="inlineStr">
        <is>
          <t>Historical reference (driver context)</t>
        </is>
      </c>
      <c r="CE340" s="153" t="n"/>
    </row>
    <row r="341" ht="15" customHeight="1" s="251">
      <c r="B341" s="25" t="inlineStr">
        <is>
          <t xml:space="preserve">  Total D&amp;A % of net revenue</t>
        </is>
      </c>
      <c r="C341" s="215">
        <f>IF(AND(ISNUMBER(C140),ISNUMBER(C113)),IFERROR(C140/C113,""),"")</f>
        <v>0.0378412901165576</v>
      </c>
      <c r="D341" s="215">
        <f>IF(AND(ISNUMBER(D140),ISNUMBER(D113)),IFERROR(D140/D113,""),"")</f>
        <v>0.0327014903776588</v>
      </c>
      <c r="E341" s="215">
        <f>IF(AND(ISNUMBER(E140),ISNUMBER(E113)),IFERROR(E140/E113,""),"")</f>
        <v>0.0328580285182889</v>
      </c>
      <c r="F341" s="215">
        <f>IF(AND(ISNUMBER(F140),ISNUMBER(F113)),IFERROR(F140/F113,""),"")</f>
        <v>0.0313452329124946</v>
      </c>
      <c r="G341" s="215">
        <f>IF(AND(ISNUMBER(G140),ISNUMBER(G113)),IFERROR(G140/G113,""),"")</f>
        <v>0.0319547068419538</v>
      </c>
      <c r="H341" s="215">
        <f>IF(AND(ISNUMBER(H140),ISNUMBER(H113)),IFERROR(H140/H113,""),"")</f>
        <v>0.0323260716795503</v>
      </c>
      <c r="I341" s="215">
        <f>IF(AND(ISNUMBER(I140),ISNUMBER(I113)),IFERROR(I140/I113,""),"")</f>
        <v>0.033130493576741</v>
      </c>
      <c r="J341" s="215">
        <f>IF(AND(ISNUMBER(J140),ISNUMBER(J113)),IFERROR(J140/J113,""),"")</f>
        <v>0.0336554481839387</v>
      </c>
      <c r="K341" s="215">
        <f>IF(AND(ISNUMBER(K140),ISNUMBER(K113)),IFERROR(K140/K113,""),"")</f>
        <v>0.0356542213252607</v>
      </c>
      <c r="L341" s="215">
        <f>IF(AND(ISNUMBER(L140),ISNUMBER(L113)),IFERROR(L140/L113,""),"")</f>
        <v>0.0337069111903549</v>
      </c>
      <c r="M341" s="215">
        <f>IF(AND(ISNUMBER(M140),ISNUMBER(M113)),IFERROR(M140/M113,""),"")</f>
        <v>0.0339144215530903</v>
      </c>
      <c r="N341" s="215">
        <f>IF(AND(ISNUMBER(N140),ISNUMBER(N113)),IFERROR(N140/N113,""),"")</f>
        <v>0.0338286436926968</v>
      </c>
      <c r="O341" s="215">
        <f>IF(AND(ISNUMBER(O140),ISNUMBER(O113)),IFERROR(O140/O113,""),"")</f>
        <v>0.0345483359746434</v>
      </c>
      <c r="P341" s="215">
        <f>IF(AND(ISNUMBER(P140),ISNUMBER(P113)),IFERROR(P140/P113,""),"")</f>
        <v>0.0346856611954165</v>
      </c>
      <c r="Q341" s="215">
        <f>IF(AND(ISNUMBER(Q140),ISNUMBER(Q113)),IFERROR(Q140/Q113,""),"")</f>
        <v>0.0342465753424658</v>
      </c>
      <c r="R341" s="215">
        <f>IF(AND(ISNUMBER(R140),ISNUMBER(R113)),IFERROR(R140/R113,""),"")</f>
        <v>0.0354819633353046</v>
      </c>
      <c r="S341" s="215">
        <f>IF(AND(ISNUMBER(S140),ISNUMBER(S113)),IFERROR(S140/S113,""),"")</f>
        <v>0.0366676444705192</v>
      </c>
      <c r="T341" s="215">
        <f>IF(AND(ISNUMBER(T140),ISNUMBER(T113)),IFERROR(T140/T113,""),"")</f>
        <v>0.0369528140989198</v>
      </c>
      <c r="U341" s="215">
        <f>IF(AND(ISNUMBER(U140),ISNUMBER(U113)),IFERROR(U140/U113,""),"")</f>
        <v>0.0333239988798656</v>
      </c>
      <c r="V341" s="215">
        <f>IF(AND(ISNUMBER(V140),ISNUMBER(V113)),IFERROR(V140/V113,""),"")</f>
        <v>0.0355907780979827</v>
      </c>
      <c r="W341" s="215">
        <f>IF(AND(ISNUMBER(W140),ISNUMBER(W113)),IFERROR(W140/W113,""),"")</f>
        <v>0.0336605890603086</v>
      </c>
      <c r="X341" s="215">
        <f>IF(AND(ISNUMBER(X140),ISNUMBER(X113)),IFERROR(X140/X113,""),"")</f>
        <v>0.0333701047986762</v>
      </c>
      <c r="Y341" s="215">
        <f>IF(AND(ISNUMBER(Y140),ISNUMBER(Y113)),IFERROR(Y140/Y113,""),"")</f>
        <v>0.0330578512396694</v>
      </c>
      <c r="Z341" s="215">
        <f>IF(AND(ISNUMBER(Z140),ISNUMBER(Z113)),IFERROR(Z140/Z113,""),"")</f>
        <v>0.0330908237502934</v>
      </c>
      <c r="AA341" s="215">
        <f>IF(AND(ISNUMBER(AA140),ISNUMBER(AA113)),IFERROR(AA140/AA113,""),"")</f>
        <v>0.0332847102506299</v>
      </c>
      <c r="AB341" s="215">
        <f>IF(AND(ISNUMBER(AB140),ISNUMBER(AB113)),IFERROR(AB140/AB113,""),"")</f>
        <v>0.0327280878726743</v>
      </c>
      <c r="AC341" s="215">
        <f>IF(AND(ISNUMBER(AC140),ISNUMBER(AC113)),IFERROR(AC140/AC113,""),"")</f>
        <v>0.029260665624302</v>
      </c>
      <c r="AD341" s="215">
        <f>IF(AND(ISNUMBER(AD140),ISNUMBER(AD113)),IFERROR(AD140/AD113,""),"")</f>
        <v>0.0289156626506024</v>
      </c>
      <c r="AE341" s="215">
        <f>IF(AND(ISNUMBER(AE140),ISNUMBER(AE113)),IFERROR(AE140/AE113,""),"")</f>
        <v>0.0302780638516993</v>
      </c>
      <c r="AF341" s="215">
        <f>IF(AND(ISNUMBER(AF140),ISNUMBER(AF113)),IFERROR(AF140/AF113,""),"")</f>
        <v>0.0302865235864473</v>
      </c>
      <c r="AG341" s="215">
        <f>IF(AND(ISNUMBER(AG140),ISNUMBER(AG113)),IFERROR(AG140/AG113,""),"")</f>
        <v>0.0298231180584122</v>
      </c>
      <c r="AH341" s="215">
        <f>IF(AND(ISNUMBER(AH140),ISNUMBER(AH113)),IFERROR(AH140/AH113,""),"")</f>
        <v>0.0301596688350089</v>
      </c>
      <c r="AI341" s="215">
        <f>IF(AND(ISNUMBER(AI140),ISNUMBER(AI113)),IFERROR(AI140/AI113,""),"")</f>
        <v>0.0290076335877863</v>
      </c>
      <c r="AJ341" s="215">
        <f>IF(AND(ISNUMBER(AJ140),ISNUMBER(AJ113)),IFERROR(AJ140/AJ113,""),"")</f>
        <v>0.0299963194700037</v>
      </c>
      <c r="AK341" s="215">
        <f>IF(AND(ISNUMBER(AK140),ISNUMBER(AK113)),IFERROR(AK140/AK113,""),"")</f>
        <v>0.029744286476782</v>
      </c>
      <c r="AL341" s="215">
        <f>IF(AND(ISNUMBER(AL140),ISNUMBER(AL113)),IFERROR(AL140/AL113,""),"")</f>
        <v>0.0288775880857247</v>
      </c>
      <c r="AM341" s="215">
        <f>IF(AND(ISNUMBER(AM140),ISNUMBER(AM113)),IFERROR(AM140/AM113,""),"")</f>
        <v>0.0291226792864944</v>
      </c>
      <c r="AN341" s="215">
        <f>IF(AND(ISNUMBER(AN140),ISNUMBER(AN113)),IFERROR(AN140/AN113,""),"")</f>
        <v>0.0282534246575342</v>
      </c>
      <c r="AO341" s="215">
        <f>IF(AND(ISNUMBER(AO140),ISNUMBER(AO113)),IFERROR(AO140/AO113,""),"")</f>
        <v>0.0280267231546358</v>
      </c>
      <c r="AP341" s="215">
        <f>IF(AND(ISNUMBER(AP140),ISNUMBER(AP113)),IFERROR(AP140/AP113,""),"")</f>
        <v>0.0285502894198546</v>
      </c>
      <c r="AQ341" s="215">
        <f>IF(AND(ISNUMBER(AQ140),ISNUMBER(AQ113)),IFERROR(AQ140/AQ113,""),"")</f>
        <v>0.0300627684175752</v>
      </c>
      <c r="AR341" s="215">
        <f>IF(AND(ISNUMBER(AR140),ISNUMBER(AR113)),IFERROR(AR140/AR113,""),"")</f>
        <v>0.0327980867782713</v>
      </c>
      <c r="AS341" s="215">
        <f>IF(AND(ISNUMBER(AS140),ISNUMBER(AS113)),IFERROR(AS140/AS113,""),"")</f>
        <v>0.0407277237957412</v>
      </c>
      <c r="AT341" s="215">
        <f>IF(AND(ISNUMBER(AT140),ISNUMBER(AT113)),IFERROR(AT140/AT113,""),"")</f>
        <v>0.0384238384630465</v>
      </c>
      <c r="AU341" s="215">
        <f>IF(AND(ISNUMBER(AU140),ISNUMBER(AU113)),IFERROR(AU140/AU113,""),"")</f>
        <v>0.0351094021788886</v>
      </c>
      <c r="AV341" s="215">
        <f>IF(AND(ISNUMBER(AV140),ISNUMBER(AV113)),IFERROR(AV140/AV113,""),"")</f>
        <v>0.0346404079479515</v>
      </c>
      <c r="AW341" s="215">
        <f>IF(AND(ISNUMBER(AW140),ISNUMBER(AW113)),IFERROR(AW140/AW113,""),"")</f>
        <v>0.0350846570082039</v>
      </c>
      <c r="AX341" s="215">
        <f>IF(AND(ISNUMBER(AX140),ISNUMBER(AX113)),IFERROR(AX140/AX113,""),"")</f>
        <v>0.033278955954323</v>
      </c>
      <c r="AY341" s="215">
        <f>IF(AND(ISNUMBER(AY140),ISNUMBER(AY113)),IFERROR(AY140/AY113,""),"")</f>
        <v>0.0307973776490319</v>
      </c>
      <c r="AZ341" s="215">
        <f>IF(AND(ISNUMBER(AZ140),ISNUMBER(AZ113)),IFERROR(AZ140/AZ113,""),"")</f>
        <v>0.0333540759178594</v>
      </c>
      <c r="BA341" s="215">
        <f>IF(AND(ISNUMBER(BA140),ISNUMBER(BA113)),IFERROR(BA140/BA113,""),"")</f>
        <v>0.0280492987675308</v>
      </c>
      <c r="BB341" s="215">
        <f>IF(AND(ISNUMBER(BB140),ISNUMBER(BB113)),IFERROR(BB140/BB113,""),"")</f>
        <v>0.0287939908193073</v>
      </c>
      <c r="BC341" s="215">
        <f>IF(AND(ISNUMBER(BC140),ISNUMBER(BC113)),IFERROR(BC140/BC113,""),"")</f>
        <v>0.0316151202749141</v>
      </c>
      <c r="BD341" s="215">
        <f>IF(AND(ISNUMBER(BD140),ISNUMBER(BD113)),IFERROR(BD140/BD113,""),"")</f>
        <v>0.0290227301913445</v>
      </c>
      <c r="BE341" s="215">
        <f>IF(AND(ISNUMBER(BE140),ISNUMBER(BE113)),IFERROR(BE140/BE113,""),"")</f>
        <v>0.0293756397134084</v>
      </c>
      <c r="BF341" s="215">
        <f>IF(AND(ISNUMBER(BF140),ISNUMBER(BF113)),IFERROR(BF140/BF113,""),"")</f>
        <v>0.0286038306451613</v>
      </c>
      <c r="BG341" s="215">
        <f>IF(AND(ISNUMBER(BG140),ISNUMBER(BG113)),IFERROR(BG140/BG113,""),"")</f>
        <v>0.0293049467752035</v>
      </c>
      <c r="BH341" s="215">
        <f>IF(AND(ISNUMBER(BH140),ISNUMBER(BH113)),IFERROR(BH140/BH113,""),"")</f>
        <v>0.0289301982026345</v>
      </c>
      <c r="BI341" s="215">
        <f>IF(AND(ISNUMBER(BI140),ISNUMBER(BI113)),IFERROR(BI140/BI113,""),"")</f>
        <v>0.0286909048669997</v>
      </c>
      <c r="BJ341" s="215">
        <f>IF(AND(ISNUMBER(BJ140),ISNUMBER(BJ113)),IFERROR(BJ140/BJ113,""),"")</f>
        <v>0.0288794291489297</v>
      </c>
      <c r="BK341" s="215">
        <f>IF(AND(ISNUMBER(BK140),ISNUMBER(BK113)),IFERROR(BK140/BK113,""),"")</f>
        <v>0.0286078295112347</v>
      </c>
      <c r="BL341" s="215">
        <f>IF(AND(ISNUMBER(BL140),ISNUMBER(BL113)),IFERROR(BL140/BL113,""),"")</f>
        <v>0.0283760683760684</v>
      </c>
      <c r="BM341" s="215">
        <f>IF(AND(ISNUMBER(BM140),ISNUMBER(BM113)),IFERROR(BM140/BM113,""),"")</f>
        <v>0.0296629213483146</v>
      </c>
      <c r="BN341" s="215">
        <f>IF(AND(ISNUMBER(BN140),ISNUMBER(BN113)),IFERROR(BN140/BN113,""),"")</f>
        <v>0.028491213476136</v>
      </c>
      <c r="BO341" s="215">
        <f>IF(AND(ISNUMBER(BO140),ISNUMBER(BO113)),IFERROR(BO140/BO113,""),"")</f>
        <v>0.0287813839559094</v>
      </c>
      <c r="BP341" s="215">
        <f>IF(AND(ISNUMBER(BP140),ISNUMBER(BP113)),IFERROR(BP140/BP113,""),"")</f>
        <v>0.0296529968454259</v>
      </c>
      <c r="BQ341" s="215">
        <f>IF(AND(ISNUMBER(BQ140),ISNUMBER(BQ113)),IFERROR(BQ140/BQ113,""),"")</f>
        <v>0.0317907025224098</v>
      </c>
      <c r="BR341" s="215">
        <f>IF(AND(ISNUMBER(BR140),ISNUMBER(BR113)),IFERROR(BR140/BR113,""),"")</f>
        <v>0.0311639795517106</v>
      </c>
      <c r="BS341" s="215">
        <f>IF(AND(ISNUMBER(BS140),ISNUMBER(BS113)),IFERROR(BS140/BS113,""),"")</f>
        <v>0.0294666169339799</v>
      </c>
      <c r="BT341" s="215">
        <f>IF(AND(ISNUMBER(BT140),ISNUMBER(BT113)),IFERROR(BT140/BT113,""),"")</f>
        <v>0.0305</v>
      </c>
      <c r="BU341" s="215">
        <f>IF(AND(ISNUMBER(BU140),ISNUMBER(BU113)),IFERROR(BU140/BU113,""),"")</f>
        <v>0.0299055132556646</v>
      </c>
      <c r="BV341" s="215">
        <f>IF(AND(ISNUMBER(BV140),ISNUMBER(BV113)),IFERROR(BV140/BV113,""),"")</f>
        <v>0.0296527159394479</v>
      </c>
      <c r="BW341" s="215">
        <f>IF(AND(ISNUMBER(BW140),ISNUMBER(BW113)),IFERROR(BW140/BW113,""),"")</f>
        <v>0.0315481818963294</v>
      </c>
      <c r="BX341" s="24" t="n"/>
      <c r="BY341" s="256">
        <f>IF(AND(ISNUMBER(BY140),ISNUMBER(BY113)),IFERROR(BY140/BY113,""),"")</f>
        <v>0.0308663379529662</v>
      </c>
      <c r="BZ341" s="256">
        <f>IF(AND(ISNUMBER(BZ140),ISNUMBER(BZ113)),IFERROR(BZ140/BZ113,""),"")</f>
        <v>0.0305457304110348</v>
      </c>
      <c r="CA341" s="256">
        <f>IF(AND(ISNUMBER(CA140),ISNUMBER(CA113)),IFERROR(CA140/CA113,""),"")</f>
        <v>0.0298318681385505</v>
      </c>
      <c r="CB341" s="256">
        <f>IF(AND(ISNUMBER(CB140),ISNUMBER(CB113)),IFERROR(CB140/CB113,""),"")</f>
        <v>0.029126970282502</v>
      </c>
      <c r="CC341" s="256">
        <f>IF(AND(ISNUMBER(CC140),ISNUMBER(CC113)),IFERROR(CC140/CC113,""),"")</f>
        <v>0.0287308329880058</v>
      </c>
      <c r="CD341" s="256">
        <f>IF(AND(ISNUMBER(CD140),ISNUMBER(CD113)),IFERROR(CD140/CD113,""),"")</f>
        <v>0.0283606617757201</v>
      </c>
      <c r="CE341" s="153" t="n"/>
    </row>
    <row r="342" ht="15" customHeight="1" s="251">
      <c r="B342" s="25" t="inlineStr">
        <is>
          <t xml:space="preserve">  Interest expense ÷ average total debt %</t>
        </is>
      </c>
      <c r="C342" s="36" t="n"/>
      <c r="D342" s="215">
        <f>IFERROR(D128*1/AVERAGE(D322,C322),"")</f>
        <v>1.41975308641975</v>
      </c>
      <c r="E342" s="215">
        <f>IFERROR(E128*1/AVERAGE(E322,D322),"")</f>
        <v>1.44</v>
      </c>
      <c r="F342" s="215">
        <f>IFERROR(F128*1/AVERAGE(F322,E322),"")</f>
        <v>1.45454545454545</v>
      </c>
      <c r="G342" s="215">
        <f>IFERROR(G128*1/AVERAGE(G322,F322),"")</f>
      </c>
      <c r="H342" s="36" t="n"/>
      <c r="I342" s="215">
        <f>IFERROR(I128*4/AVERAGE(I322,H322),"")</f>
      </c>
      <c r="J342" s="215">
        <f>IFERROR(J128*4/AVERAGE(J322,I322),"")</f>
      </c>
      <c r="K342" s="215">
        <f>IFERROR(K128*4/AVERAGE(K322,J322),"")</f>
      </c>
      <c r="L342" s="215">
        <f>IFERROR(L128*1/AVERAGE(L322,G322),"")</f>
      </c>
      <c r="M342" s="215">
        <f>IFERROR(M128*4/AVERAGE(M322,K322),"")</f>
      </c>
      <c r="N342" s="215">
        <f>IFERROR(N128*4/AVERAGE(N322,M322),"")</f>
      </c>
      <c r="O342" s="215">
        <f>IFERROR(O128*4/AVERAGE(O322,N322),"")</f>
      </c>
      <c r="P342" s="215">
        <f>IFERROR(P128*4/AVERAGE(P322,O322),"")</f>
      </c>
      <c r="Q342" s="215">
        <f>IFERROR(Q128*1/AVERAGE(Q322,L322),"")</f>
      </c>
      <c r="R342" s="215">
        <f>IFERROR(R128*4/AVERAGE(R322,P322),"")</f>
      </c>
      <c r="S342" s="215">
        <f>IFERROR(S128*4/AVERAGE(S322,R322),"")</f>
      </c>
      <c r="T342" s="215">
        <f>IFERROR(T128*4/AVERAGE(T322,S322),"")</f>
      </c>
      <c r="U342" s="215">
        <f>IFERROR(U128*4/AVERAGE(U322,T322),"")</f>
      </c>
      <c r="V342" s="215">
        <f>IFERROR(V128*1/AVERAGE(V322,Q322),"")</f>
      </c>
      <c r="W342" s="215">
        <f>IFERROR(W128*4/AVERAGE(W322,U322),"")</f>
        <v>0.0146123323045915</v>
      </c>
      <c r="X342" s="215">
        <f>IFERROR(X128*4/AVERAGE(X322,W322),"")</f>
        <v>0.0332567001543161</v>
      </c>
      <c r="Y342" s="215">
        <f>IFERROR(Y128*4/AVERAGE(Y322,X322),"")</f>
        <v>0.0330026767438199</v>
      </c>
      <c r="Z342" s="215">
        <f>IFERROR(Z128*4/AVERAGE(Z322,Y322),"")</f>
        <v>0.0340039671294984</v>
      </c>
      <c r="AA342" s="215">
        <f>IFERROR(AA128*1/AVERAGE(AA322,V322),"")</f>
        <v>0.0537715652940436</v>
      </c>
      <c r="AB342" s="215">
        <f>IFERROR(AB128*4/AVERAGE(AB322,Z322),"")</f>
        <v>0.0373084610259827</v>
      </c>
      <c r="AC342" s="215">
        <f>IFERROR(AC128*4/AVERAGE(AC322,AB322),"")</f>
        <v>0.0359688270165856</v>
      </c>
      <c r="AD342" s="215">
        <f>IFERROR(AD128*4/AVERAGE(AD322,AC322),"")</f>
        <v>0.035243399729381</v>
      </c>
      <c r="AE342" s="215">
        <f>IFERROR(AE128*4/AVERAGE(AE322,AD322),"")</f>
        <v>0.0345612703602078</v>
      </c>
      <c r="AF342" s="215">
        <f>IFERROR(AF128*1/AVERAGE(AF322,AA322),"")</f>
        <v>0.0328768723174399</v>
      </c>
      <c r="AG342" s="215">
        <f>IFERROR(AG128*4/AVERAGE(AG322,AE322),"")</f>
        <v>0.0352120727106437</v>
      </c>
      <c r="AH342" s="215">
        <f>IFERROR(AH128*4/AVERAGE(AH322,AG322),"")</f>
        <v>0.0368175665513611</v>
      </c>
      <c r="AI342" s="215">
        <f>IFERROR(AI128*4/AVERAGE(AI322,AH322),"")</f>
        <v>0.0372921115154431</v>
      </c>
      <c r="AJ342" s="215">
        <f>IFERROR(AJ128*4/AVERAGE(AJ322,AI322),"")</f>
        <v>0.0360826292209159</v>
      </c>
      <c r="AK342" s="215">
        <f>IFERROR(AK128*1/AVERAGE(AK322,AF322),"")</f>
        <v>0.034974426379404</v>
      </c>
      <c r="AL342" s="215">
        <f>IFERROR(AL128*4/AVERAGE(AL322,AJ322),"")</f>
        <v>0.03487358326068</v>
      </c>
      <c r="AM342" s="215">
        <f>IFERROR(AM128*4/AVERAGE(AM322,AL322),"")</f>
        <v>0.0336710459068635</v>
      </c>
      <c r="AN342" s="215">
        <f>IFERROR(AN128*4/AVERAGE(AN322,AM322),"")</f>
        <v>0.0307286040091226</v>
      </c>
      <c r="AO342" s="215">
        <f>IFERROR(AO128*4/AVERAGE(AO322,AN322),"")</f>
        <v>0.0287227358405888</v>
      </c>
      <c r="AP342" s="215">
        <f>IFERROR(AP128*1/AVERAGE(AP322,AK322),"")</f>
        <v>0.0319553943463533</v>
      </c>
      <c r="AQ342" s="215">
        <f>IFERROR(AQ128*4/AVERAGE(AQ322,AO322),"")</f>
        <v>0.0265733010144537</v>
      </c>
      <c r="AR342" s="215">
        <f>IFERROR(AR128*4/AVERAGE(AR322,AQ322),"")</f>
        <v>0.027299016772701</v>
      </c>
      <c r="AS342" s="215">
        <f>IFERROR(AS128*4/AVERAGE(AS322,AR322),"")</f>
        <v>0.0293002501869954</v>
      </c>
      <c r="AT342" s="215">
        <f>IFERROR(AT128*4/AVERAGE(AT322,AS322),"")</f>
        <v>0.0258070257402834</v>
      </c>
      <c r="AU342" s="215">
        <f>IFERROR(AU128*1/AVERAGE(AU322,AP322),"")</f>
        <v>0.025294737616118</v>
      </c>
      <c r="AV342" s="215">
        <f>IFERROR(AV128*4/AVERAGE(AV322,AT322),"")</f>
        <v>0.0241108033240997</v>
      </c>
      <c r="AW342" s="215">
        <f>IFERROR(AW128*4/AVERAGE(AW322,AV322),"")</f>
        <v>0.0230317161959599</v>
      </c>
      <c r="AX342" s="215">
        <f>IFERROR(AX128*4/AVERAGE(AX322,AW322),"")</f>
        <v>0.0249702168215392</v>
      </c>
      <c r="AY342" s="215">
        <f>IFERROR(AY128*4/AVERAGE(AY322,AX322),"")</f>
        <v>0.0238248397779525</v>
      </c>
      <c r="AZ342" s="215">
        <f>IFERROR(AZ128*1/AVERAGE(AZ322,AU322),"")</f>
        <v>0.0227762115124204</v>
      </c>
      <c r="BA342" s="215">
        <f>IFERROR(BA128*4/AVERAGE(BA322,AY322),"")</f>
        <v>0.0255865575100843</v>
      </c>
      <c r="BB342" s="215">
        <f>IFERROR(BB128*4/AVERAGE(BB322,BA322),"")</f>
        <v>0.0255560588361504</v>
      </c>
      <c r="BC342" s="215">
        <f>IFERROR(BC128*4/AVERAGE(BC322,BB322),"")</f>
        <v>0.0198116996117978</v>
      </c>
      <c r="BD342" s="215">
        <f>IFERROR(BD128*4/AVERAGE(BD322,BC322),"")</f>
        <v>0.0275056762893286</v>
      </c>
      <c r="BE342" s="215">
        <f>IFERROR(BE128*1/AVERAGE(BE322,AZ322),"")</f>
        <v>0.024777212333341</v>
      </c>
      <c r="BF342" s="215">
        <f>IFERROR(BF128*4/AVERAGE(BF322,BD322),"")</f>
        <v>0.025525770314647</v>
      </c>
      <c r="BG342" s="215">
        <f>IFERROR(BG128*4/AVERAGE(BG322,BF322),"")</f>
        <v>0.0276446110043073</v>
      </c>
      <c r="BH342" s="215">
        <f>IFERROR(BH128*4/AVERAGE(BH322,BG322),"")</f>
        <v>0.0353689938298596</v>
      </c>
      <c r="BI342" s="215">
        <f>IFERROR(BI128*4/AVERAGE(BI322,BH322),"")</f>
        <v>0.0356872973697682</v>
      </c>
      <c r="BJ342" s="215">
        <f>IFERROR(BJ128*1/AVERAGE(BJ322,BE322),"")</f>
        <v>0.0300142148067019</v>
      </c>
      <c r="BK342" s="215">
        <f>IFERROR(BK128*4/AVERAGE(BK322,BI322),"")</f>
        <v>0.0363406694845261</v>
      </c>
      <c r="BL342" s="215">
        <f>IFERROR(BL128*4/AVERAGE(BL322,BK322),"")</f>
        <v>0.0158814700043577</v>
      </c>
      <c r="BM342" s="215">
        <f>IFERROR(BM128*4/AVERAGE(BM322,BL322),"")</f>
        <v>0.038053634267686</v>
      </c>
      <c r="BN342" s="215">
        <f>IFERROR(BN128*4/AVERAGE(BN322,BM322),"")</f>
        <v>0.0339784738645688</v>
      </c>
      <c r="BO342" s="215">
        <f>IFERROR(BO128*1/AVERAGE(BO322,BJ322),"")</f>
        <v>0.0310419138477929</v>
      </c>
      <c r="BP342" s="215">
        <f>IFERROR(BP128*4/AVERAGE(BP322,BN322),"")</f>
        <v>0.0351308963686814</v>
      </c>
      <c r="BQ342" s="215">
        <f>IFERROR(BQ128*4/AVERAGE(BQ322,BP322),"")</f>
        <v>0.0305528026878731</v>
      </c>
      <c r="BR342" s="215">
        <f>IFERROR(BR128*4/AVERAGE(BR322,BQ322),"")</f>
        <v>0.00679738562091503</v>
      </c>
      <c r="BS342" s="215">
        <f>IFERROR(BS128*4/AVERAGE(BS322,BR322),"")</f>
        <v>0.0333936273827745</v>
      </c>
      <c r="BT342" s="215">
        <f>IFERROR(BT128*1/AVERAGE(BT322,BO322),"")</f>
        <v>0.0256047992696764</v>
      </c>
      <c r="BU342" s="215">
        <f>IFERROR(BU128*4/AVERAGE(BU322,BS322),"")</f>
        <v>0.033485803055148</v>
      </c>
      <c r="BV342" s="215">
        <f>IFERROR(BV128*4/AVERAGE(BV322,BU322),"")</f>
        <v>0.0315372179035723</v>
      </c>
      <c r="BW342" s="215">
        <f>IFERROR(BW128*4/AVERAGE(BW322,BV322),"")</f>
        <v>0.0324455408286993</v>
      </c>
      <c r="BX342" s="24" t="n"/>
      <c r="BY342" s="256">
        <f>IFERROR(BY128*1/AVERAGE(BY322,BT322),"")</f>
        <v>0.0320225546508448</v>
      </c>
      <c r="BZ342" s="256">
        <f>IFERROR(BZ128*1/AVERAGE(BZ322,BY322),"")</f>
        <v>0.0304055850081505</v>
      </c>
      <c r="CA342" s="256">
        <f>IFERROR(CA128*1/AVERAGE(CA322,BZ322),"")</f>
        <v>0.0335754793876656</v>
      </c>
      <c r="CB342" s="256">
        <f>IFERROR(CB128*1/AVERAGE(CB322,CA322),"")</f>
        <v>0.0345454215730046</v>
      </c>
      <c r="CC342" s="256">
        <f>IFERROR(CC128*1/AVERAGE(CC322,CB322),"")</f>
        <v>0.0354837251938456</v>
      </c>
      <c r="CD342" s="256">
        <f>IFERROR(CD128*1/AVERAGE(CD322,CC322),"")</f>
        <v>0.0362448650501686</v>
      </c>
      <c r="CE342" s="153" t="n"/>
    </row>
    <row r="343" ht="15" customHeight="1" s="251">
      <c r="CM343" s="11" t="n"/>
      <c r="CN343" s="12" t="n"/>
      <c r="CO343" s="12" t="n"/>
      <c r="CP343" s="12" t="n"/>
      <c r="CQ343" s="13" t="n"/>
    </row>
    <row r="344" ht="15" customHeight="1" s="251">
      <c r="B344" s="10" t="inlineStr">
        <is>
          <t>RATIO ANALYSIS</t>
        </is>
      </c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inlineStr">
        <is>
          <t>RETURNS — annual columns (NOPAT on adjusted EBIT, full-cost)</t>
        </is>
      </c>
    </row>
    <row r="345" ht="15" customHeight="1" s="251">
      <c r="B345" s="25" t="inlineStr">
        <is>
          <t>DuPont decomposition of ROIC</t>
        </is>
      </c>
      <c r="CE345" s="153" t="n"/>
    </row>
    <row r="346" ht="15" customHeight="1" s="251">
      <c r="B346" s="25" t="inlineStr">
        <is>
          <t>Adjusted EBIT, full-cost (adjusted EBITDA − total D&amp;A)</t>
        </is>
      </c>
      <c r="C346" s="211">
        <f>C179</f>
        <v>2829</v>
      </c>
      <c r="D346" s="211">
        <f>D179</f>
        <v>3606</v>
      </c>
      <c r="E346" s="211">
        <f>E179</f>
        <v>4589</v>
      </c>
      <c r="F346" s="211">
        <f>F179</f>
        <v>5456</v>
      </c>
      <c r="G346" s="211">
        <f>G179</f>
        <v>6237</v>
      </c>
      <c r="H346" s="34" t="n"/>
      <c r="I346" s="34" t="n"/>
      <c r="J346" s="34" t="n"/>
      <c r="K346" s="34" t="n"/>
      <c r="L346" s="211">
        <f>L179</f>
        <v>7239</v>
      </c>
      <c r="M346" s="34" t="n"/>
      <c r="N346" s="34" t="n"/>
      <c r="O346" s="34" t="n"/>
      <c r="P346" s="34" t="n"/>
      <c r="Q346" s="211">
        <f>Q179</f>
        <v>8147</v>
      </c>
      <c r="R346" s="34" t="n"/>
      <c r="S346" s="34" t="n"/>
      <c r="T346" s="34" t="n"/>
      <c r="U346" s="34" t="n"/>
      <c r="V346" s="211">
        <f>V179</f>
        <v>9064</v>
      </c>
      <c r="W346" s="34" t="n"/>
      <c r="X346" s="34" t="n"/>
      <c r="Y346" s="34" t="n"/>
      <c r="Z346" s="34" t="n"/>
      <c r="AA346" s="211">
        <f>AA179</f>
        <v>10022</v>
      </c>
      <c r="AB346" s="34" t="n"/>
      <c r="AC346" s="34" t="n"/>
      <c r="AD346" s="34" t="n"/>
      <c r="AE346" s="34" t="n"/>
      <c r="AF346" s="211">
        <f>AF179</f>
        <v>12336</v>
      </c>
      <c r="AG346" s="34" t="n"/>
      <c r="AH346" s="34" t="n"/>
      <c r="AI346" s="34" t="n"/>
      <c r="AJ346" s="34" t="n"/>
      <c r="AK346" s="211">
        <f>AK179</f>
        <v>13749</v>
      </c>
      <c r="AL346" s="34" t="n"/>
      <c r="AM346" s="34" t="n"/>
      <c r="AN346" s="34" t="n"/>
      <c r="AO346" s="34" t="n"/>
      <c r="AP346" s="211">
        <f>AP179</f>
        <v>15371</v>
      </c>
      <c r="AQ346" s="34" t="n"/>
      <c r="AR346" s="34" t="n"/>
      <c r="AS346" s="34" t="n"/>
      <c r="AT346" s="34" t="n"/>
      <c r="AU346" s="211">
        <f>AU179</f>
        <v>14098</v>
      </c>
      <c r="AV346" s="34" t="n"/>
      <c r="AW346" s="34" t="n"/>
      <c r="AX346" s="34" t="n"/>
      <c r="AY346" s="34" t="n"/>
      <c r="AZ346" s="211">
        <f>AZ179</f>
        <v>15977</v>
      </c>
      <c r="BA346" s="34" t="n"/>
      <c r="BB346" s="34" t="n"/>
      <c r="BC346" s="34" t="n"/>
      <c r="BD346" s="34" t="n"/>
      <c r="BE346" s="211">
        <f>BE179</f>
        <v>19803</v>
      </c>
      <c r="BF346" s="34" t="n"/>
      <c r="BG346" s="34" t="n"/>
      <c r="BH346" s="34" t="n"/>
      <c r="BI346" s="34" t="n"/>
      <c r="BJ346" s="211">
        <f>BJ179</f>
        <v>21996</v>
      </c>
      <c r="BK346" s="34" t="n"/>
      <c r="BL346" s="34" t="n"/>
      <c r="BM346" s="34" t="n"/>
      <c r="BN346" s="34" t="n"/>
      <c r="BO346" s="211">
        <f>BO179</f>
        <v>24139</v>
      </c>
      <c r="BP346" s="34" t="n"/>
      <c r="BQ346" s="34" t="n"/>
      <c r="BR346" s="34" t="n"/>
      <c r="BS346" s="34" t="n"/>
      <c r="BT346" s="211">
        <f>BT179</f>
        <v>26876</v>
      </c>
      <c r="BU346" s="34" t="n"/>
      <c r="BV346" s="34" t="n"/>
      <c r="BW346" s="34" t="n"/>
      <c r="BX346" s="35" t="n"/>
      <c r="BY346" s="254">
        <f>BY179</f>
        <v>30650.0883890317</v>
      </c>
      <c r="BZ346" s="254">
        <f>BZ179</f>
        <v>33980.7017900704</v>
      </c>
      <c r="CA346" s="254">
        <f>CA179</f>
        <v>37822.6512422858</v>
      </c>
      <c r="CB346" s="254">
        <f>CB179</f>
        <v>41873.0813948218</v>
      </c>
      <c r="CC346" s="254">
        <f>CC179</f>
        <v>45847.7487298866</v>
      </c>
      <c r="CD346" s="254">
        <f>CD179</f>
        <v>50188.4841412385</v>
      </c>
      <c r="CE346" s="19" t="n"/>
    </row>
    <row r="347" ht="15" customHeight="1" s="251">
      <c r="B347" s="25" t="inlineStr">
        <is>
          <t>Effective tax rate (non-GAAP)</t>
        </is>
      </c>
      <c r="C347" s="215">
        <f>IFERROR(C197+0,0.18)</f>
        <v>0.409919028340081</v>
      </c>
      <c r="D347" s="215">
        <f>IFERROR(D197+0,0.18)</f>
        <v>0.410688493018777</v>
      </c>
      <c r="E347" s="215">
        <f>IFERROR(E197+0,0.18)</f>
        <v>0.377964639931005</v>
      </c>
      <c r="F347" s="215">
        <f>IFERROR(F197+0,0.18)</f>
        <v>0.376944837340877</v>
      </c>
      <c r="G347" s="215">
        <f>IFERROR(G197+0,0.18)</f>
        <v>0.33370340999207</v>
      </c>
      <c r="H347" s="34" t="n"/>
      <c r="I347" s="34" t="n"/>
      <c r="J347" s="34" t="n"/>
      <c r="K347" s="34" t="n"/>
      <c r="L347" s="215">
        <f>IFERROR(L197+0,0.18)</f>
        <v>0.313766019016122</v>
      </c>
      <c r="M347" s="34" t="n"/>
      <c r="N347" s="34" t="n"/>
      <c r="O347" s="34" t="n"/>
      <c r="P347" s="34" t="n"/>
      <c r="Q347" s="215">
        <f>IFERROR(Q197+0,0.18)</f>
        <v>0.300097871299242</v>
      </c>
      <c r="R347" s="34" t="n"/>
      <c r="S347" s="34" t="n"/>
      <c r="T347" s="34" t="n"/>
      <c r="U347" s="34" t="n"/>
      <c r="V347" s="215">
        <f>IFERROR(V197+0,0.18)</f>
        <v>0.284269038354641</v>
      </c>
      <c r="W347" s="34" t="n"/>
      <c r="X347" s="34" t="n"/>
      <c r="Y347" s="34" t="n"/>
      <c r="Z347" s="34" t="n"/>
      <c r="AA347" s="215">
        <f>IFERROR(AA197+0,0.18)</f>
        <v>0.290895938824016</v>
      </c>
      <c r="AB347" s="34" t="n"/>
      <c r="AC347" s="34" t="n"/>
      <c r="AD347" s="34" t="n"/>
      <c r="AE347" s="34" t="n"/>
      <c r="AF347" s="215">
        <f>IFERROR(AF197+0,0.18)</f>
        <v>0.298754837624096</v>
      </c>
      <c r="AG347" s="34" t="n"/>
      <c r="AH347" s="34" t="n"/>
      <c r="AI347" s="34" t="n"/>
      <c r="AJ347" s="34" t="n"/>
      <c r="AK347" s="215">
        <f>IFERROR(AK197+0,0.18)</f>
        <v>0.199806085918854</v>
      </c>
      <c r="AL347" s="34" t="n"/>
      <c r="AM347" s="34" t="n"/>
      <c r="AN347" s="34" t="n"/>
      <c r="AO347" s="34" t="n"/>
      <c r="AP347" s="215">
        <f>IFERROR(AP197+0,0.18)</f>
        <v>0.189261832961846</v>
      </c>
      <c r="AQ347" s="34" t="n"/>
      <c r="AR347" s="34" t="n"/>
      <c r="AS347" s="34" t="n"/>
      <c r="AT347" s="34" t="n"/>
      <c r="AU347" s="215">
        <f>IFERROR(AU197+0,0.18)</f>
        <v>0.18608202443281</v>
      </c>
      <c r="AV347" s="34" t="n"/>
      <c r="AW347" s="34" t="n"/>
      <c r="AX347" s="34" t="n"/>
      <c r="AY347" s="34" t="n"/>
      <c r="AZ347" s="215">
        <f>IFERROR(AZ197+0,0.18)</f>
        <v>0.169630818619583</v>
      </c>
      <c r="BA347" s="34" t="n"/>
      <c r="BB347" s="34" t="n"/>
      <c r="BC347" s="34" t="n"/>
      <c r="BD347" s="34" t="n"/>
      <c r="BE347" s="215">
        <f>IFERROR(BE197+0,0.18)</f>
        <v>0.178165043567401</v>
      </c>
      <c r="BF347" s="34" t="n"/>
      <c r="BG347" s="34" t="n"/>
      <c r="BH347" s="34" t="n"/>
      <c r="BI347" s="34" t="n"/>
      <c r="BJ347" s="215">
        <f>IFERROR(BJ197+0,0.18)</f>
        <v>0.180746649935015</v>
      </c>
      <c r="BK347" s="34" t="n"/>
      <c r="BL347" s="34" t="n"/>
      <c r="BM347" s="34" t="n"/>
      <c r="BN347" s="34" t="n"/>
      <c r="BO347" s="215">
        <f>IFERROR(BO197+0,0.18)</f>
        <v>0.17560245835355</v>
      </c>
      <c r="BP347" s="34" t="n"/>
      <c r="BQ347" s="34" t="n"/>
      <c r="BR347" s="34" t="n"/>
      <c r="BS347" s="34" t="n"/>
      <c r="BT347" s="215">
        <f>IFERROR(BT197+0,0.18)</f>
        <v>0.176728388298455</v>
      </c>
      <c r="BU347" s="34" t="n"/>
      <c r="BV347" s="34" t="n"/>
      <c r="BW347" s="34" t="n"/>
      <c r="BX347" s="35" t="n"/>
      <c r="BY347" s="256">
        <f>IFERROR(BY197+0,0.18)</f>
        <v>0.180745216590857</v>
      </c>
      <c r="BZ347" s="256">
        <f>IFERROR(BZ197+0,0.18)</f>
        <v>0.185</v>
      </c>
      <c r="CA347" s="256">
        <f>IFERROR(CA197+0,0.18)</f>
        <v>0.185</v>
      </c>
      <c r="CB347" s="256">
        <f>IFERROR(CB197+0,0.18)</f>
        <v>0.185</v>
      </c>
      <c r="CC347" s="256">
        <f>IFERROR(CC197+0,0.18)</f>
        <v>0.185</v>
      </c>
      <c r="CD347" s="256">
        <f>IFERROR(CD197+0,0.18)</f>
        <v>0.185</v>
      </c>
      <c r="CE347" s="19" t="n"/>
    </row>
    <row r="348" ht="15" customHeight="1" s="251">
      <c r="B348" s="25" t="inlineStr">
        <is>
          <t>NOPAT = Adjusted EBIT × (1 − tax rate)</t>
        </is>
      </c>
      <c r="C348" s="211">
        <f>IFERROR(C346*(1-C347),"n/a")</f>
        <v>1669.33906882591</v>
      </c>
      <c r="D348" s="211">
        <f>IFERROR(D346*(1-D347),"n/a")</f>
        <v>2125.05729417429</v>
      </c>
      <c r="E348" s="211">
        <f>IFERROR(E346*(1-E347),"n/a")</f>
        <v>2854.52026735662</v>
      </c>
      <c r="F348" s="211">
        <f>IFERROR(F346*(1-F347),"n/a")</f>
        <v>3399.38896746818</v>
      </c>
      <c r="G348" s="211">
        <f>IFERROR(G346*(1-G347),"n/a")</f>
        <v>4155.69183187946</v>
      </c>
      <c r="H348" s="34" t="n"/>
      <c r="I348" s="34" t="n"/>
      <c r="J348" s="34" t="n"/>
      <c r="K348" s="34" t="n"/>
      <c r="L348" s="211">
        <f>IFERROR(L346*(1-L347),"n/a")</f>
        <v>4967.64778834229</v>
      </c>
      <c r="M348" s="34" t="n"/>
      <c r="N348" s="34" t="n"/>
      <c r="O348" s="34" t="n"/>
      <c r="P348" s="34" t="n"/>
      <c r="Q348" s="211">
        <f>IFERROR(Q346*(1-Q347),"n/a")</f>
        <v>5702.10264252508</v>
      </c>
      <c r="R348" s="34" t="n"/>
      <c r="S348" s="34" t="n"/>
      <c r="T348" s="34" t="n"/>
      <c r="U348" s="34" t="n"/>
      <c r="V348" s="211">
        <f>IFERROR(V346*(1-V347),"n/a")</f>
        <v>6487.38543635353</v>
      </c>
      <c r="W348" s="34" t="n"/>
      <c r="X348" s="34" t="n"/>
      <c r="Y348" s="34" t="n"/>
      <c r="Z348" s="34" t="n"/>
      <c r="AA348" s="211">
        <f>IFERROR(AA346*(1-AA347),"n/a")</f>
        <v>7106.64090110571</v>
      </c>
      <c r="AB348" s="34" t="n"/>
      <c r="AC348" s="34" t="n"/>
      <c r="AD348" s="34" t="n"/>
      <c r="AE348" s="34" t="n"/>
      <c r="AF348" s="211">
        <f>IFERROR(AF346*(1-AF347),"n/a")</f>
        <v>8650.56032306916</v>
      </c>
      <c r="AG348" s="34" t="n"/>
      <c r="AH348" s="34" t="n"/>
      <c r="AI348" s="34" t="n"/>
      <c r="AJ348" s="34" t="n"/>
      <c r="AK348" s="211">
        <f>IFERROR(AK346*(1-AK347),"n/a")</f>
        <v>11001.8661247017</v>
      </c>
      <c r="AL348" s="34" t="n"/>
      <c r="AM348" s="34" t="n"/>
      <c r="AN348" s="34" t="n"/>
      <c r="AO348" s="34" t="n"/>
      <c r="AP348" s="211">
        <f>IFERROR(AP346*(1-AP347),"n/a")</f>
        <v>12461.8563655435</v>
      </c>
      <c r="AQ348" s="34" t="n"/>
      <c r="AR348" s="34" t="n"/>
      <c r="AS348" s="34" t="n"/>
      <c r="AT348" s="34" t="n"/>
      <c r="AU348" s="211">
        <f>IFERROR(AU346*(1-AU347),"n/a")</f>
        <v>11474.6156195462</v>
      </c>
      <c r="AV348" s="34" t="n"/>
      <c r="AW348" s="34" t="n"/>
      <c r="AX348" s="34" t="n"/>
      <c r="AY348" s="34" t="n"/>
      <c r="AZ348" s="211">
        <f>IFERROR(AZ346*(1-AZ347),"n/a")</f>
        <v>13266.8084109149</v>
      </c>
      <c r="BA348" s="34" t="n"/>
      <c r="BB348" s="34" t="n"/>
      <c r="BC348" s="34" t="n"/>
      <c r="BD348" s="34" t="n"/>
      <c r="BE348" s="211">
        <f>IFERROR(BE346*(1-BE347),"n/a")</f>
        <v>16274.7976422348</v>
      </c>
      <c r="BF348" s="34" t="n"/>
      <c r="BG348" s="34" t="n"/>
      <c r="BH348" s="34" t="n"/>
      <c r="BI348" s="34" t="n"/>
      <c r="BJ348" s="211">
        <f>IFERROR(BJ346*(1-BJ347),"n/a")</f>
        <v>18020.2966880294</v>
      </c>
      <c r="BK348" s="34" t="n"/>
      <c r="BL348" s="34" t="n"/>
      <c r="BM348" s="34" t="n"/>
      <c r="BN348" s="34" t="n"/>
      <c r="BO348" s="211">
        <f>IFERROR(BO346*(1-BO347),"n/a")</f>
        <v>19900.1322578037</v>
      </c>
      <c r="BP348" s="34" t="n"/>
      <c r="BQ348" s="34" t="n"/>
      <c r="BR348" s="34" t="n"/>
      <c r="BS348" s="34" t="n"/>
      <c r="BT348" s="211">
        <f>IFERROR(BT346*(1-BT347),"n/a")</f>
        <v>22126.2478360907</v>
      </c>
      <c r="BU348" s="34" t="n"/>
      <c r="BV348" s="34" t="n"/>
      <c r="BW348" s="34" t="n"/>
      <c r="BX348" s="35" t="n"/>
      <c r="BY348" s="254">
        <f>IFERROR(BY346*(1-BY347),"n/a")</f>
        <v>25110.2315246273</v>
      </c>
      <c r="BZ348" s="254">
        <f>IFERROR(BZ346*(1-BZ347),"n/a")</f>
        <v>27694.2719589074</v>
      </c>
      <c r="CA348" s="254">
        <f>IFERROR(CA346*(1-CA347),"n/a")</f>
        <v>30825.4607624629</v>
      </c>
      <c r="CB348" s="254">
        <f>IFERROR(CB346*(1-CB347),"n/a")</f>
        <v>34126.5613367798</v>
      </c>
      <c r="CC348" s="254">
        <f>IFERROR(CC346*(1-CC347),"n/a")</f>
        <v>37365.9152148576</v>
      </c>
      <c r="CD348" s="254">
        <f>IFERROR(CD346*(1-CD347),"n/a")</f>
        <v>40903.6145751093</v>
      </c>
      <c r="CE348" s="19" t="n"/>
    </row>
    <row r="349" ht="15" customHeight="1" s="251">
      <c r="B349" s="25" t="inlineStr">
        <is>
          <t>Invested capital (IC) = Equity + Net debt</t>
        </is>
      </c>
      <c r="C349" s="211">
        <f>IFERROR(C350+C351,"n/a")</f>
        <v>16805</v>
      </c>
      <c r="D349" s="211">
        <f>IFERROR(D350+D351,"n/a")</f>
        <v>18349</v>
      </c>
      <c r="E349" s="211">
        <f>IFERROR(E350+E351,"n/a")</f>
        <v>20983</v>
      </c>
      <c r="F349" s="211">
        <f>IFERROR(F350+F351,"n/a")</f>
        <v>22328</v>
      </c>
      <c r="G349" s="211">
        <f>IFERROR(G350+G351,"n/a")</f>
        <v>21530</v>
      </c>
      <c r="H349" s="34" t="n"/>
      <c r="I349" s="34" t="n"/>
      <c r="J349" s="34" t="n"/>
      <c r="K349" s="34" t="n"/>
      <c r="L349" s="211">
        <f>IFERROR(L350+L351,"n/a")</f>
        <v>19855</v>
      </c>
      <c r="M349" s="34" t="n"/>
      <c r="N349" s="34" t="n"/>
      <c r="O349" s="34" t="n"/>
      <c r="P349" s="34" t="n"/>
      <c r="Q349" s="211">
        <f>IFERROR(Q350+Q351,"n/a")</f>
        <v>20448</v>
      </c>
      <c r="R349" s="34" t="n"/>
      <c r="S349" s="34" t="n"/>
      <c r="T349" s="34" t="n"/>
      <c r="U349" s="34" t="n"/>
      <c r="V349" s="211">
        <f>IFERROR(V350+V351,"n/a")</f>
        <v>20443</v>
      </c>
      <c r="W349" s="34" t="n"/>
      <c r="X349" s="34" t="n"/>
      <c r="Y349" s="34" t="n"/>
      <c r="Z349" s="34" t="n"/>
      <c r="AA349" s="211">
        <f>IFERROR(AA350+AA351,"n/a")</f>
        <v>35925</v>
      </c>
      <c r="AB349" s="34" t="n"/>
      <c r="AC349" s="34" t="n"/>
      <c r="AD349" s="34" t="n"/>
      <c r="AE349" s="34" t="n"/>
      <c r="AF349" s="211">
        <f>IFERROR(AF350+AF351,"n/a")</f>
        <v>35763</v>
      </c>
      <c r="AG349" s="34" t="n"/>
      <c r="AH349" s="34" t="n"/>
      <c r="AI349" s="34" t="n"/>
      <c r="AJ349" s="34" t="n"/>
      <c r="AK349" s="211">
        <f>IFERROR(AK350+AK351,"n/a")</f>
        <v>34845</v>
      </c>
      <c r="AL349" s="34" t="n"/>
      <c r="AM349" s="34" t="n"/>
      <c r="AN349" s="34" t="n"/>
      <c r="AO349" s="34" t="n"/>
      <c r="AP349" s="211">
        <f>IFERROR(AP350+AP351,"n/a")</f>
        <v>37182</v>
      </c>
      <c r="AQ349" s="34" t="n"/>
      <c r="AR349" s="34" t="n"/>
      <c r="AS349" s="34" t="n"/>
      <c r="AT349" s="34" t="n"/>
      <c r="AU349" s="211">
        <f>IFERROR(AU350+AU351,"n/a")</f>
        <v>40008</v>
      </c>
      <c r="AV349" s="34" t="n"/>
      <c r="AW349" s="34" t="n"/>
      <c r="AX349" s="34" t="n"/>
      <c r="AY349" s="34" t="n"/>
      <c r="AZ349" s="211">
        <f>IFERROR(AZ350+AZ351,"n/a")</f>
        <v>38349</v>
      </c>
      <c r="BA349" s="34" t="n"/>
      <c r="BB349" s="34" t="n"/>
      <c r="BC349" s="34" t="n"/>
      <c r="BD349" s="34" t="n"/>
      <c r="BE349" s="211">
        <f>IFERROR(BE350+BE351,"n/a")</f>
        <v>37373</v>
      </c>
      <c r="BF349" s="34" t="n"/>
      <c r="BG349" s="34" t="n"/>
      <c r="BH349" s="34" t="n"/>
      <c r="BI349" s="34" t="n"/>
      <c r="BJ349" s="211">
        <f>IFERROR(BJ350+BJ351,"n/a")</f>
        <v>37147</v>
      </c>
      <c r="BK349" s="34" t="n"/>
      <c r="BL349" s="34" t="n"/>
      <c r="BM349" s="34" t="n"/>
      <c r="BN349" s="34" t="n"/>
      <c r="BO349" s="211">
        <f>IFERROR(BO350+BO351,"n/a")</f>
        <v>42253</v>
      </c>
      <c r="BP349" s="34" t="n"/>
      <c r="BQ349" s="34" t="n"/>
      <c r="BR349" s="34" t="n"/>
      <c r="BS349" s="34" t="n"/>
      <c r="BT349" s="211">
        <f>IFERROR(BT350+BT351,"n/a")</f>
        <v>43084</v>
      </c>
      <c r="BU349" s="34" t="n"/>
      <c r="BV349" s="34" t="n"/>
      <c r="BW349" s="34" t="n"/>
      <c r="BX349" s="35" t="n"/>
      <c r="BY349" s="254">
        <f>IFERROR(BY350+BY351,"n/a")</f>
        <v>44034.2664180815</v>
      </c>
      <c r="BZ349" s="254">
        <f>IFERROR(BZ350+BZ351,"n/a")</f>
        <v>45278.1352855535</v>
      </c>
      <c r="CA349" s="254">
        <f>IFERROR(CA350+CA351,"n/a")</f>
        <v>46515.2403683464</v>
      </c>
      <c r="CB349" s="254">
        <f>IFERROR(CB350+CB351,"n/a")</f>
        <v>47762.2751689364</v>
      </c>
      <c r="CC349" s="254">
        <f>IFERROR(CC350+CC351,"n/a")</f>
        <v>49065.2545021273</v>
      </c>
      <c r="CD349" s="254">
        <f>IFERROR(CD350+CD351,"n/a")</f>
        <v>50421.5621870326</v>
      </c>
      <c r="CE349" s="19" t="n"/>
    </row>
    <row r="350" ht="15" customHeight="1" s="251">
      <c r="B350" s="25" t="inlineStr">
        <is>
          <t xml:space="preserve">  Total equity</t>
        </is>
      </c>
      <c r="C350" s="211">
        <f>IF(ISNUMBER(C288),C288,"n/a")</f>
        <v>22277</v>
      </c>
      <c r="D350" s="211">
        <f>IF(ISNUMBER(D288),D288,"n/a")</f>
        <v>23193</v>
      </c>
      <c r="E350" s="211">
        <f>IF(ISNUMBER(E288),E288,"n/a")</f>
        <v>25014</v>
      </c>
      <c r="F350" s="211">
        <f>IF(ISNUMBER(F288),F288,"n/a")</f>
        <v>26437</v>
      </c>
      <c r="G350" s="211">
        <f>IF(ISNUMBER(G288),G288,"n/a")</f>
        <v>27630</v>
      </c>
      <c r="H350" s="34" t="n"/>
      <c r="I350" s="34" t="n"/>
      <c r="J350" s="34" t="n"/>
      <c r="K350" s="34" t="n"/>
      <c r="L350" s="211">
        <f>IF(ISNUMBER(L288),L288,"n/a")</f>
        <v>26870</v>
      </c>
      <c r="M350" s="34" t="n"/>
      <c r="N350" s="34" t="n"/>
      <c r="O350" s="34" t="n"/>
      <c r="P350" s="34" t="n"/>
      <c r="Q350" s="211">
        <f>IF(ISNUMBER(Q288),Q288,"n/a")</f>
        <v>27413</v>
      </c>
      <c r="R350" s="34" t="n"/>
      <c r="S350" s="34" t="n"/>
      <c r="T350" s="34" t="n"/>
      <c r="U350" s="34" t="n"/>
      <c r="V350" s="211">
        <f>IF(ISNUMBER(V288),V288,"n/a")</f>
        <v>29842</v>
      </c>
      <c r="W350" s="34" t="n"/>
      <c r="X350" s="34" t="n"/>
      <c r="Y350" s="34" t="n"/>
      <c r="Z350" s="34" t="n"/>
      <c r="AA350" s="211">
        <f>IF(ISNUMBER(AA288),AA288,"n/a")</f>
        <v>32912</v>
      </c>
      <c r="AB350" s="34" t="n"/>
      <c r="AC350" s="34" t="n"/>
      <c r="AD350" s="34" t="n"/>
      <c r="AE350" s="34" t="n"/>
      <c r="AF350" s="211">
        <f>IF(ISNUMBER(AF288),AF288,"n/a")</f>
        <v>32760</v>
      </c>
      <c r="AG350" s="34" t="n"/>
      <c r="AH350" s="34" t="n"/>
      <c r="AI350" s="34" t="n"/>
      <c r="AJ350" s="34" t="n"/>
      <c r="AK350" s="211">
        <f>IF(ISNUMBER(AK288),AK288,"n/a")</f>
        <v>34006</v>
      </c>
      <c r="AL350" s="34" t="n"/>
      <c r="AM350" s="34" t="n"/>
      <c r="AN350" s="34" t="n"/>
      <c r="AO350" s="34" t="n"/>
      <c r="AP350" s="211">
        <f>IF(ISNUMBER(AP288),AP288,"n/a")</f>
        <v>34684</v>
      </c>
      <c r="AQ350" s="34" t="n"/>
      <c r="AR350" s="34" t="n"/>
      <c r="AS350" s="34" t="n"/>
      <c r="AT350" s="34" t="n"/>
      <c r="AU350" s="211">
        <f>IF(ISNUMBER(AU288),AU288,"n/a")</f>
        <v>36210</v>
      </c>
      <c r="AV350" s="34" t="n"/>
      <c r="AW350" s="34" t="n"/>
      <c r="AX350" s="34" t="n"/>
      <c r="AY350" s="34" t="n"/>
      <c r="AZ350" s="211">
        <f>IF(ISNUMBER(AZ288),AZ288,"n/a")</f>
        <v>37589</v>
      </c>
      <c r="BA350" s="34" t="n"/>
      <c r="BB350" s="34" t="n"/>
      <c r="BC350" s="34" t="n"/>
      <c r="BD350" s="34" t="n"/>
      <c r="BE350" s="211">
        <f>IF(ISNUMBER(BE288),BE288,"n/a")</f>
        <v>35581</v>
      </c>
      <c r="BF350" s="34" t="n"/>
      <c r="BG350" s="34" t="n"/>
      <c r="BH350" s="34" t="n"/>
      <c r="BI350" s="34" t="n"/>
      <c r="BJ350" s="211">
        <f>IF(ISNUMBER(BJ288),BJ288,"n/a")</f>
        <v>38733</v>
      </c>
      <c r="BK350" s="34" t="n"/>
      <c r="BL350" s="34" t="n"/>
      <c r="BM350" s="34" t="n"/>
      <c r="BN350" s="34" t="n"/>
      <c r="BO350" s="211">
        <f>IF(ISNUMBER(BO288),BO288,"n/a")</f>
        <v>39137</v>
      </c>
      <c r="BP350" s="34" t="n"/>
      <c r="BQ350" s="34" t="n"/>
      <c r="BR350" s="34" t="n"/>
      <c r="BS350" s="34" t="n"/>
      <c r="BT350" s="211">
        <f>IF(ISNUMBER(BT288),BT288,"n/a")</f>
        <v>37909</v>
      </c>
      <c r="BU350" s="34" t="n"/>
      <c r="BV350" s="34" t="n"/>
      <c r="BW350" s="34" t="n"/>
      <c r="BX350" s="35" t="n"/>
      <c r="BY350" s="254">
        <f>IF(ISNUMBER(BY288),BY288,"n/a")</f>
        <v>35451.2518490719</v>
      </c>
      <c r="BZ350" s="254">
        <f>IF(ISNUMBER(BZ288),BZ288,"n/a")</f>
        <v>32842.759708313</v>
      </c>
      <c r="CA350" s="254">
        <f>IF(ISNUMBER(CA288),CA288,"n/a")</f>
        <v>32690.229291246</v>
      </c>
      <c r="CB350" s="254">
        <f>IF(ISNUMBER(CB288),CB288,"n/a")</f>
        <v>32475.3555294848</v>
      </c>
      <c r="CC350" s="254">
        <f>IF(ISNUMBER(CC288),CC288,"n/a")</f>
        <v>32337.0740421298</v>
      </c>
      <c r="CD350" s="254">
        <f>IF(ISNUMBER(CD288),CD288,"n/a")</f>
        <v>32121.6163386656</v>
      </c>
      <c r="CE350" s="19" t="n"/>
    </row>
    <row r="351" ht="15" customHeight="1" s="251">
      <c r="B351" s="25" t="inlineStr">
        <is>
          <t xml:space="preserve">  Net debt = Total debt − cash − investment securities</t>
        </is>
      </c>
      <c r="C351" s="211">
        <f>IFERROR(C322-C264-C266,"n/a")</f>
        <v>-5472</v>
      </c>
      <c r="D351" s="211">
        <f>IFERROR(D322-D264-D266,"n/a")</f>
        <v>-4844</v>
      </c>
      <c r="E351" s="211">
        <f>IFERROR(E322-E264-E266,"n/a")</f>
        <v>-4031</v>
      </c>
      <c r="F351" s="211">
        <f>IFERROR(F322-F264-F266,"n/a")</f>
        <v>-4109</v>
      </c>
      <c r="G351" s="211">
        <f>IFERROR(G322-G264-G266,"n/a")</f>
        <v>-6100</v>
      </c>
      <c r="H351" s="34" t="n"/>
      <c r="I351" s="34" t="n"/>
      <c r="J351" s="34" t="n"/>
      <c r="K351" s="34" t="n"/>
      <c r="L351" s="211">
        <f>IFERROR(L322-L264-L266,"n/a")</f>
        <v>-7015</v>
      </c>
      <c r="M351" s="34" t="n"/>
      <c r="N351" s="34" t="n"/>
      <c r="O351" s="34" t="n"/>
      <c r="P351" s="34" t="n"/>
      <c r="Q351" s="211">
        <f>IFERROR(Q322-Q264-Q266,"n/a")</f>
        <v>-6965</v>
      </c>
      <c r="R351" s="34" t="n"/>
      <c r="S351" s="34" t="n"/>
      <c r="T351" s="34" t="n"/>
      <c r="U351" s="34" t="n"/>
      <c r="V351" s="211">
        <f>IFERROR(V322-V264-V266,"n/a")</f>
        <v>-9399</v>
      </c>
      <c r="W351" s="34" t="n"/>
      <c r="X351" s="34" t="n"/>
      <c r="Y351" s="34" t="n"/>
      <c r="Z351" s="34" t="n"/>
      <c r="AA351" s="211">
        <f>IFERROR(AA322-AA264-AA266,"n/a")</f>
        <v>3013</v>
      </c>
      <c r="AB351" s="34" t="n"/>
      <c r="AC351" s="34" t="n"/>
      <c r="AD351" s="34" t="n"/>
      <c r="AE351" s="34" t="n"/>
      <c r="AF351" s="211">
        <f>IFERROR(AF322-AF264-AF266,"n/a")</f>
        <v>3003</v>
      </c>
      <c r="AG351" s="34" t="n"/>
      <c r="AH351" s="34" t="n"/>
      <c r="AI351" s="34" t="n"/>
      <c r="AJ351" s="34" t="n"/>
      <c r="AK351" s="211">
        <f>IFERROR(AK322-AK264-AK266,"n/a")</f>
        <v>839</v>
      </c>
      <c r="AL351" s="34" t="n"/>
      <c r="AM351" s="34" t="n"/>
      <c r="AN351" s="34" t="n"/>
      <c r="AO351" s="34" t="n"/>
      <c r="AP351" s="211">
        <f>IFERROR(AP322-AP264-AP266,"n/a")</f>
        <v>2498</v>
      </c>
      <c r="AQ351" s="34" t="n"/>
      <c r="AR351" s="34" t="n"/>
      <c r="AS351" s="34" t="n"/>
      <c r="AT351" s="34" t="n"/>
      <c r="AU351" s="211">
        <f>IFERROR(AU322-AU264-AU266,"n/a")</f>
        <v>3798</v>
      </c>
      <c r="AV351" s="34" t="n"/>
      <c r="AW351" s="34" t="n"/>
      <c r="AX351" s="34" t="n"/>
      <c r="AY351" s="34" t="n"/>
      <c r="AZ351" s="211">
        <f>IFERROR(AZ322-AZ264-AZ266,"n/a")</f>
        <v>760</v>
      </c>
      <c r="BA351" s="34" t="n"/>
      <c r="BB351" s="34" t="n"/>
      <c r="BC351" s="34" t="n"/>
      <c r="BD351" s="34" t="n"/>
      <c r="BE351" s="211">
        <f>IFERROR(BE322-BE264-BE266,"n/a")</f>
        <v>1792</v>
      </c>
      <c r="BF351" s="34" t="n"/>
      <c r="BG351" s="34" t="n"/>
      <c r="BH351" s="34" t="n"/>
      <c r="BI351" s="34" t="n"/>
      <c r="BJ351" s="211">
        <f>IFERROR(BJ322-BJ264-BJ266,"n/a")</f>
        <v>-1586</v>
      </c>
      <c r="BK351" s="34" t="n"/>
      <c r="BL351" s="34" t="n"/>
      <c r="BM351" s="34" t="n"/>
      <c r="BN351" s="34" t="n"/>
      <c r="BO351" s="211">
        <f>IFERROR(BO322-BO264-BO266,"n/a")</f>
        <v>3116</v>
      </c>
      <c r="BP351" s="34" t="n"/>
      <c r="BQ351" s="34" t="n"/>
      <c r="BR351" s="34" t="n"/>
      <c r="BS351" s="34" t="n"/>
      <c r="BT351" s="211">
        <f>IFERROR(BT322-BT264-BT266,"n/a")</f>
        <v>5175</v>
      </c>
      <c r="BU351" s="34" t="n"/>
      <c r="BV351" s="34" t="n"/>
      <c r="BW351" s="34" t="n"/>
      <c r="BX351" s="35" t="n"/>
      <c r="BY351" s="254">
        <f>IFERROR(BY322-BY264-BY266,"n/a")</f>
        <v>8583.0145690096</v>
      </c>
      <c r="BZ351" s="254">
        <f>IFERROR(BZ322-BZ264-BZ266,"n/a")</f>
        <v>12435.3755772405</v>
      </c>
      <c r="CA351" s="254">
        <f>IFERROR(CA322-CA264-CA266,"n/a")</f>
        <v>13825.0110771005</v>
      </c>
      <c r="CB351" s="254">
        <f>IFERROR(CB322-CB264-CB266,"n/a")</f>
        <v>15286.9196394516</v>
      </c>
      <c r="CC351" s="254">
        <f>IFERROR(CC322-CC264-CC266,"n/a")</f>
        <v>16728.1804599975</v>
      </c>
      <c r="CD351" s="254">
        <f>IFERROR(CD322-CD264-CD266,"n/a")</f>
        <v>18299.9458483669</v>
      </c>
      <c r="CE351" s="19" t="n"/>
    </row>
    <row r="352" ht="15" customHeight="1" s="251">
      <c r="B352" s="55" t="inlineStr">
        <is>
          <t>ROIC = NOPAT / IC</t>
        </is>
      </c>
      <c r="C352" s="292">
        <f>IFERROR(C348/C349,"n/a")</f>
        <v>0.099335856520435</v>
      </c>
      <c r="D352" s="292">
        <f>IFERROR(D348/D349,"n/a")</f>
        <v>0.115813248360907</v>
      </c>
      <c r="E352" s="292">
        <f>IFERROR(E348/E349,"n/a")</f>
        <v>0.136039663887748</v>
      </c>
      <c r="F352" s="292">
        <f>IFERROR(F348/F349,"n/a")</f>
        <v>0.15224780398908</v>
      </c>
      <c r="G352" s="292">
        <f>IFERROR(G348/G349,"n/a")</f>
        <v>0.19301866381233</v>
      </c>
      <c r="H352" s="56" t="n"/>
      <c r="I352" s="56" t="n"/>
      <c r="J352" s="56" t="n"/>
      <c r="K352" s="56" t="n"/>
      <c r="L352" s="292">
        <f>IFERROR(L348/L349,"n/a")</f>
        <v>0.250196312684074</v>
      </c>
      <c r="M352" s="56" t="n"/>
      <c r="N352" s="56" t="n"/>
      <c r="O352" s="56" t="n"/>
      <c r="P352" s="56" t="n"/>
      <c r="Q352" s="292">
        <f>IFERROR(Q348/Q349,"n/a")</f>
        <v>0.278858697306586</v>
      </c>
      <c r="R352" s="56" t="n"/>
      <c r="S352" s="56" t="n"/>
      <c r="T352" s="56" t="n"/>
      <c r="U352" s="56" t="n"/>
      <c r="V352" s="292">
        <f>IFERROR(V348/V349,"n/a")</f>
        <v>0.317340186682656</v>
      </c>
      <c r="W352" s="56" t="n"/>
      <c r="X352" s="56" t="n"/>
      <c r="Y352" s="56" t="n"/>
      <c r="Z352" s="56" t="n"/>
      <c r="AA352" s="292">
        <f>IFERROR(AA348/AA349,"n/a")</f>
        <v>0.197818814227021</v>
      </c>
      <c r="AB352" s="56" t="n"/>
      <c r="AC352" s="56" t="n"/>
      <c r="AD352" s="56" t="n"/>
      <c r="AE352" s="56" t="n"/>
      <c r="AF352" s="292">
        <f>IFERROR(AF348/AF349,"n/a")</f>
        <v>0.241885756873561</v>
      </c>
      <c r="AG352" s="56" t="n"/>
      <c r="AH352" s="56" t="n"/>
      <c r="AI352" s="56" t="n"/>
      <c r="AJ352" s="56" t="n"/>
      <c r="AK352" s="292">
        <f>IFERROR(AK348/AK349,"n/a")</f>
        <v>0.315737297308127</v>
      </c>
      <c r="AL352" s="56" t="n"/>
      <c r="AM352" s="56" t="n"/>
      <c r="AN352" s="56" t="n"/>
      <c r="AO352" s="56" t="n"/>
      <c r="AP352" s="292">
        <f>IFERROR(AP348/AP349,"n/a")</f>
        <v>0.335158312235583</v>
      </c>
      <c r="AQ352" s="56" t="n"/>
      <c r="AR352" s="56" t="n"/>
      <c r="AS352" s="56" t="n"/>
      <c r="AT352" s="56" t="n"/>
      <c r="AU352" s="292">
        <f>IFERROR(AU348/AU349,"n/a")</f>
        <v>0.28680802888288</v>
      </c>
      <c r="AV352" s="56" t="n"/>
      <c r="AW352" s="56" t="n"/>
      <c r="AX352" s="56" t="n"/>
      <c r="AY352" s="56" t="n"/>
      <c r="AZ352" s="292">
        <f>IFERROR(AZ348/AZ349,"n/a")</f>
        <v>0.345949266236797</v>
      </c>
      <c r="BA352" s="56" t="n"/>
      <c r="BB352" s="56" t="n"/>
      <c r="BC352" s="56" t="n"/>
      <c r="BD352" s="56" t="n"/>
      <c r="BE352" s="292">
        <f>IFERROR(BE348/BE349,"n/a")</f>
        <v>0.435469393472152</v>
      </c>
      <c r="BF352" s="56" t="n"/>
      <c r="BG352" s="56" t="n"/>
      <c r="BH352" s="56" t="n"/>
      <c r="BI352" s="56" t="n"/>
      <c r="BJ352" s="292">
        <f>IFERROR(BJ348/BJ349,"n/a")</f>
        <v>0.485107725739075</v>
      </c>
      <c r="BK352" s="56" t="n"/>
      <c r="BL352" s="56" t="n"/>
      <c r="BM352" s="56" t="n"/>
      <c r="BN352" s="56" t="n"/>
      <c r="BO352" s="292">
        <f>IFERROR(BO348/BO349,"n/a")</f>
        <v>0.470975605467154</v>
      </c>
      <c r="BP352" s="56" t="n"/>
      <c r="BQ352" s="56" t="n"/>
      <c r="BR352" s="56" t="n"/>
      <c r="BS352" s="56" t="n"/>
      <c r="BT352" s="292">
        <f>IFERROR(BT348/BT349,"n/a")</f>
        <v>0.513560668370874</v>
      </c>
      <c r="BU352" s="56" t="n"/>
      <c r="BV352" s="56" t="n"/>
      <c r="BW352" s="56" t="n"/>
      <c r="BX352" s="56" t="n"/>
      <c r="BY352" s="292">
        <f>IFERROR(BY348/BY349,"n/a")</f>
        <v>0.570242985002163</v>
      </c>
      <c r="BZ352" s="292">
        <f>IFERROR(BZ348/BZ349,"n/a")</f>
        <v>0.611647802725293</v>
      </c>
      <c r="CA352" s="292">
        <f>IFERROR(CA348/CA349,"n/a")</f>
        <v>0.662695936178363</v>
      </c>
      <c r="CB352" s="292">
        <f>IFERROR(CB348/CB349,"n/a")</f>
        <v>0.714508704120004</v>
      </c>
      <c r="CC352" s="292">
        <f>IFERROR(CC348/CC349,"n/a")</f>
        <v>0.76155551609821</v>
      </c>
      <c r="CD352" s="292">
        <f>IFERROR(CD348/CD349,"n/a")</f>
        <v>0.811232591790441</v>
      </c>
      <c r="CE352" s="153" t="n"/>
      <c r="CG352" s="37">
        <f>IFERROR(AVERAGE(BZ352,CA352,CB352,CC352,CD352),"n/m")</f>
        <v>0.712328110182462</v>
      </c>
      <c r="CH352" s="37">
        <f>IFERROR(AVERAGE(AZ352,BE352,BJ352,BO352,BT352),"n/m")</f>
        <v>0.45021253185721</v>
      </c>
      <c r="CI352" s="37">
        <f>IFERROR(AVERAGE(AA352,AF352,AK352,AP352,AU352,AZ352,BE352,BJ352,BO352,BT352),"n/m")</f>
        <v>0.362847086881322</v>
      </c>
      <c r="CJ352" s="37">
        <f>IFERROR(AVERAGE(C352,D352,E352,F352,G352,L352,Q352,V352,AA352,AF352,AK352,AP352,AU352,AZ352,BE352,BJ352,BO352,BT352),"n/m")</f>
        <v>0.287295627892058</v>
      </c>
    </row>
    <row r="353" ht="15" customHeight="1" s="251">
      <c r="B353" s="25" t="inlineStr">
        <is>
          <t xml:space="preserve">  Margin = Adjusted EBIT / Net revenue</t>
        </is>
      </c>
      <c r="C353" s="215">
        <f>IFERROR(C346/C113,"n/a")</f>
        <v>0.451700463036883</v>
      </c>
      <c r="D353" s="215">
        <f>IFERROR(D346/D113,"n/a")</f>
        <v>0.52177687744176</v>
      </c>
      <c r="E353" s="215">
        <f>IFERROR(E346/E113,"n/a")</f>
        <v>0.569001859888407</v>
      </c>
      <c r="F353" s="215">
        <f>IFERROR(F346/F113,"n/a")</f>
        <v>0.593818023508925</v>
      </c>
      <c r="G353" s="215">
        <f>IFERROR(G346/G113,"n/a")</f>
        <v>0.598503022742539</v>
      </c>
      <c r="H353" s="34" t="n"/>
      <c r="I353" s="34" t="n"/>
      <c r="J353" s="34" t="n"/>
      <c r="K353" s="34" t="n"/>
      <c r="L353" s="215">
        <f>IFERROR(L346/L113,"n/a")</f>
        <v>0.61462047885889</v>
      </c>
      <c r="M353" s="34" t="n"/>
      <c r="N353" s="34" t="n"/>
      <c r="O353" s="34" t="n"/>
      <c r="P353" s="34" t="n"/>
      <c r="Q353" s="215">
        <f>IFERROR(Q346/Q113,"n/a")</f>
        <v>0.641395055896709</v>
      </c>
      <c r="R353" s="34" t="n"/>
      <c r="S353" s="34" t="n"/>
      <c r="T353" s="34" t="n"/>
      <c r="U353" s="34" t="n"/>
      <c r="V353" s="215">
        <f>IFERROR(V346/V113,"n/a")</f>
        <v>0.653025936599424</v>
      </c>
      <c r="W353" s="34" t="n"/>
      <c r="X353" s="34" t="n"/>
      <c r="Y353" s="34" t="n"/>
      <c r="Z353" s="34" t="n"/>
      <c r="AA353" s="215">
        <f>IFERROR(AA346/AA113,"n/a")</f>
        <v>0.664500729346241</v>
      </c>
      <c r="AB353" s="34" t="n"/>
      <c r="AC353" s="34" t="n"/>
      <c r="AD353" s="34" t="n"/>
      <c r="AE353" s="34" t="n"/>
      <c r="AF353" s="215">
        <f>IFERROR(AF346/AF113,"n/a")</f>
        <v>0.671968624033119</v>
      </c>
      <c r="AG353" s="34" t="n"/>
      <c r="AH353" s="34" t="n"/>
      <c r="AI353" s="34" t="n"/>
      <c r="AJ353" s="34" t="n"/>
      <c r="AK353" s="215">
        <f>IFERROR(AK346/AK113,"n/a")</f>
        <v>0.667135717405017</v>
      </c>
      <c r="AL353" s="34" t="n"/>
      <c r="AM353" s="34" t="n"/>
      <c r="AN353" s="34" t="n"/>
      <c r="AO353" s="34" t="n"/>
      <c r="AP353" s="215">
        <f>IFERROR(AP346/AP113,"n/a")</f>
        <v>0.668973321147234</v>
      </c>
      <c r="AQ353" s="34" t="n"/>
      <c r="AR353" s="34" t="n"/>
      <c r="AS353" s="34" t="n"/>
      <c r="AT353" s="34" t="n"/>
      <c r="AU353" s="215">
        <f>IFERROR(AU346/AU113,"n/a")</f>
        <v>0.645335530531905</v>
      </c>
      <c r="AV353" s="34" t="n"/>
      <c r="AW353" s="34" t="n"/>
      <c r="AX353" s="34" t="n"/>
      <c r="AY353" s="34" t="n"/>
      <c r="AZ353" s="215">
        <f>IFERROR(AZ346/AZ113,"n/a")</f>
        <v>0.662808545944825</v>
      </c>
      <c r="BA353" s="34" t="n"/>
      <c r="BB353" s="34" t="n"/>
      <c r="BC353" s="34" t="n"/>
      <c r="BD353" s="34" t="n"/>
      <c r="BE353" s="215">
        <f>IFERROR(BE346/BE113,"n/a")</f>
        <v>0.675639713408393</v>
      </c>
      <c r="BF353" s="34" t="n"/>
      <c r="BG353" s="34" t="n"/>
      <c r="BH353" s="34" t="n"/>
      <c r="BI353" s="34" t="n"/>
      <c r="BJ353" s="215">
        <f>IFERROR(BJ346/BJ113,"n/a")</f>
        <v>0.673628763053931</v>
      </c>
      <c r="BK353" s="34" t="n"/>
      <c r="BL353" s="34" t="n"/>
      <c r="BM353" s="34" t="n"/>
      <c r="BN353" s="34" t="n"/>
      <c r="BO353" s="215">
        <f>IFERROR(BO346/BO113,"n/a")</f>
        <v>0.671908923899126</v>
      </c>
      <c r="BP353" s="34" t="n"/>
      <c r="BQ353" s="34" t="n"/>
      <c r="BR353" s="34" t="n"/>
      <c r="BS353" s="34" t="n"/>
      <c r="BT353" s="215">
        <f>IFERROR(BT346/BT113,"n/a")</f>
        <v>0.6719</v>
      </c>
      <c r="BU353" s="34" t="n"/>
      <c r="BV353" s="34" t="n"/>
      <c r="BW353" s="34" t="n"/>
      <c r="BX353" s="35" t="n"/>
      <c r="BY353" s="256">
        <f>IFERROR(BY346/BY113,"n/a")</f>
        <v>0.668018138417137</v>
      </c>
      <c r="BZ353" s="256">
        <f>IFERROR(BZ346/BZ113,"n/a")</f>
        <v>0.670112164325807</v>
      </c>
      <c r="CA353" s="256">
        <f>IFERROR(CA346/CA113,"n/a")</f>
        <v>0.67266813186145</v>
      </c>
      <c r="CB353" s="256">
        <f>IFERROR(CB346/CB113,"n/a")</f>
        <v>0.676136187612235</v>
      </c>
      <c r="CC353" s="256">
        <f>IFERROR(CC346/CC113,"n/a")</f>
        <v>0.676532324906731</v>
      </c>
      <c r="CD353" s="256">
        <f>IFERROR(CD346/CD113,"n/a")</f>
        <v>0.678744601382175</v>
      </c>
      <c r="CE353" s="19" t="n"/>
    </row>
    <row r="354" ht="15" customHeight="1" s="251">
      <c r="B354" s="25" t="inlineStr">
        <is>
          <t xml:space="preserve">  Capital turnover = Net revenue / IC</t>
        </is>
      </c>
      <c r="C354" s="286">
        <f>IFERROR(C113/C349,"n/a")</f>
        <v>0.37268670038679</v>
      </c>
      <c r="D354" s="286">
        <f>IFERROR(D113/D349,"n/a")</f>
        <v>0.376641778843534</v>
      </c>
      <c r="E354" s="286">
        <f>IFERROR(E113/E349,"n/a")</f>
        <v>0.384358766620598</v>
      </c>
      <c r="F354" s="286">
        <f>IFERROR(F113/F349,"n/a")</f>
        <v>0.411501254030813</v>
      </c>
      <c r="G354" s="286">
        <f>IFERROR(G113/G349,"n/a")</f>
        <v>0.484022294472829</v>
      </c>
      <c r="H354" s="34" t="n"/>
      <c r="I354" s="34" t="n"/>
      <c r="J354" s="34" t="n"/>
      <c r="K354" s="34" t="n"/>
      <c r="L354" s="286">
        <f>IFERROR(L113/L349,"n/a")</f>
        <v>0.593200705112063</v>
      </c>
      <c r="M354" s="34" t="n"/>
      <c r="N354" s="34" t="n"/>
      <c r="O354" s="34" t="n"/>
      <c r="P354" s="34" t="n"/>
      <c r="Q354" s="286">
        <f>IFERROR(Q113/Q349,"n/a")</f>
        <v>0.62118544600939</v>
      </c>
      <c r="R354" s="34" t="n"/>
      <c r="S354" s="34" t="n"/>
      <c r="T354" s="34" t="n"/>
      <c r="U354" s="34" t="n"/>
      <c r="V354" s="286">
        <f>IFERROR(V113/V349,"n/a")</f>
        <v>0.67896101354987</v>
      </c>
      <c r="W354" s="34" t="n"/>
      <c r="X354" s="34" t="n"/>
      <c r="Y354" s="34" t="n"/>
      <c r="Z354" s="34" t="n"/>
      <c r="AA354" s="286">
        <f>IFERROR(AA113/AA349,"n/a")</f>
        <v>0.41981906750174</v>
      </c>
      <c r="AB354" s="34" t="n"/>
      <c r="AC354" s="34" t="n"/>
      <c r="AD354" s="34" t="n"/>
      <c r="AE354" s="34" t="n"/>
      <c r="AF354" s="286">
        <f>IFERROR(AF113/AF349,"n/a")</f>
        <v>0.513323826300926</v>
      </c>
      <c r="AG354" s="34" t="n"/>
      <c r="AH354" s="34" t="n"/>
      <c r="AI354" s="34" t="n"/>
      <c r="AJ354" s="34" t="n"/>
      <c r="AK354" s="286">
        <f>IFERROR(AK113/AK349,"n/a")</f>
        <v>0.591447840436218</v>
      </c>
      <c r="AL354" s="34" t="n"/>
      <c r="AM354" s="34" t="n"/>
      <c r="AN354" s="34" t="n"/>
      <c r="AO354" s="34" t="n"/>
      <c r="AP354" s="286">
        <f>IFERROR(AP113/AP349,"n/a")</f>
        <v>0.6179603033726</v>
      </c>
      <c r="AQ354" s="34" t="n"/>
      <c r="AR354" s="34" t="n"/>
      <c r="AS354" s="34" t="n"/>
      <c r="AT354" s="34" t="n"/>
      <c r="AU354" s="286">
        <f>IFERROR(AU113/AU349,"n/a")</f>
        <v>0.546040791841632</v>
      </c>
      <c r="AV354" s="34" t="n"/>
      <c r="AW354" s="34" t="n"/>
      <c r="AX354" s="34" t="n"/>
      <c r="AY354" s="34" t="n"/>
      <c r="AZ354" s="286">
        <f>IFERROR(AZ113/AZ349,"n/a")</f>
        <v>0.628569193460064</v>
      </c>
      <c r="BA354" s="34" t="n"/>
      <c r="BB354" s="34" t="n"/>
      <c r="BC354" s="34" t="n"/>
      <c r="BD354" s="34" t="n"/>
      <c r="BE354" s="286">
        <f>IFERROR(BE113/BE349,"n/a")</f>
        <v>0.78425601369973</v>
      </c>
      <c r="BF354" s="34" t="n"/>
      <c r="BG354" s="34" t="n"/>
      <c r="BH354" s="34" t="n"/>
      <c r="BI354" s="34" t="n"/>
      <c r="BJ354" s="286">
        <f>IFERROR(BJ113/BJ349,"n/a")</f>
        <v>0.879021186098474</v>
      </c>
      <c r="BK354" s="34" t="n"/>
      <c r="BL354" s="34" t="n"/>
      <c r="BM354" s="34" t="n"/>
      <c r="BN354" s="34" t="n"/>
      <c r="BO354" s="286">
        <f>IFERROR(BO113/BO349,"n/a")</f>
        <v>0.850259153196223</v>
      </c>
      <c r="BP354" s="34" t="n"/>
      <c r="BQ354" s="34" t="n"/>
      <c r="BR354" s="34" t="n"/>
      <c r="BS354" s="34" t="n"/>
      <c r="BT354" s="286">
        <f>IFERROR(BT113/BT349,"n/a")</f>
        <v>0.928418902608857</v>
      </c>
      <c r="BU354" s="34" t="n"/>
      <c r="BV354" s="34" t="n"/>
      <c r="BW354" s="34" t="n"/>
      <c r="BX354" s="35" t="n"/>
      <c r="BY354" s="287">
        <f>IFERROR(BY113/BY349,"n/a")</f>
        <v>1.04196399150548</v>
      </c>
      <c r="BZ354" s="287">
        <f>IFERROR(BZ113/BZ349,"n/a")</f>
        <v>1.11994400558075</v>
      </c>
      <c r="CA354" s="287">
        <f>IFERROR(CA113/CA349,"n/a")</f>
        <v>1.20880388048336</v>
      </c>
      <c r="CB354" s="287">
        <f>IFERROR(CB113/CB349,"n/a")</f>
        <v>1.2966290113273</v>
      </c>
      <c r="CC354" s="287">
        <f>IFERROR(CC113/CC349,"n/a")</f>
        <v>1.38119630316496</v>
      </c>
      <c r="CD354" s="287">
        <f>IFERROR(CD113/CD349,"n/a")</f>
        <v>1.46649772419972</v>
      </c>
      <c r="CE354" s="19" t="n"/>
    </row>
    <row r="355" ht="15" customHeight="1" s="251">
      <c r="B355" s="25" t="inlineStr">
        <is>
          <t xml:space="preserve">  Tax burden = (1 − tax rate)</t>
        </is>
      </c>
      <c r="C355" s="215">
        <f>IFERROR(1-C347,"n/a")</f>
        <v>0.590080971659919</v>
      </c>
      <c r="D355" s="215">
        <f>IFERROR(1-D347,"n/a")</f>
        <v>0.589311506981223</v>
      </c>
      <c r="E355" s="215">
        <f>IFERROR(1-E347,"n/a")</f>
        <v>0.622035360068995</v>
      </c>
      <c r="F355" s="215">
        <f>IFERROR(1-F347,"n/a")</f>
        <v>0.623055162659123</v>
      </c>
      <c r="G355" s="215">
        <f>IFERROR(1-G347,"n/a")</f>
        <v>0.66629659000793</v>
      </c>
      <c r="H355" s="34" t="n"/>
      <c r="I355" s="34" t="n"/>
      <c r="J355" s="34" t="n"/>
      <c r="K355" s="34" t="n"/>
      <c r="L355" s="215">
        <f>IFERROR(1-L347,"n/a")</f>
        <v>0.686233980983878</v>
      </c>
      <c r="M355" s="34" t="n"/>
      <c r="N355" s="34" t="n"/>
      <c r="O355" s="34" t="n"/>
      <c r="P355" s="34" t="n"/>
      <c r="Q355" s="215">
        <f>IFERROR(1-Q347,"n/a")</f>
        <v>0.699902128700759</v>
      </c>
      <c r="R355" s="34" t="n"/>
      <c r="S355" s="34" t="n"/>
      <c r="T355" s="34" t="n"/>
      <c r="U355" s="34" t="n"/>
      <c r="V355" s="215">
        <f>IFERROR(1-V347,"n/a")</f>
        <v>0.715730961645359</v>
      </c>
      <c r="W355" s="34" t="n"/>
      <c r="X355" s="34" t="n"/>
      <c r="Y355" s="34" t="n"/>
      <c r="Z355" s="34" t="n"/>
      <c r="AA355" s="215">
        <f>IFERROR(1-AA347,"n/a")</f>
        <v>0.709104061175984</v>
      </c>
      <c r="AB355" s="34" t="n"/>
      <c r="AC355" s="34" t="n"/>
      <c r="AD355" s="34" t="n"/>
      <c r="AE355" s="34" t="n"/>
      <c r="AF355" s="215">
        <f>IFERROR(1-AF347,"n/a")</f>
        <v>0.701245162375904</v>
      </c>
      <c r="AG355" s="34" t="n"/>
      <c r="AH355" s="34" t="n"/>
      <c r="AI355" s="34" t="n"/>
      <c r="AJ355" s="34" t="n"/>
      <c r="AK355" s="215">
        <f>IFERROR(1-AK347,"n/a")</f>
        <v>0.800193914081146</v>
      </c>
      <c r="AL355" s="34" t="n"/>
      <c r="AM355" s="34" t="n"/>
      <c r="AN355" s="34" t="n"/>
      <c r="AO355" s="34" t="n"/>
      <c r="AP355" s="215">
        <f>IFERROR(1-AP347,"n/a")</f>
        <v>0.810738167038154</v>
      </c>
      <c r="AQ355" s="34" t="n"/>
      <c r="AR355" s="34" t="n"/>
      <c r="AS355" s="34" t="n"/>
      <c r="AT355" s="34" t="n"/>
      <c r="AU355" s="215">
        <f>IFERROR(1-AU347,"n/a")</f>
        <v>0.81391797556719</v>
      </c>
      <c r="AV355" s="34" t="n"/>
      <c r="AW355" s="34" t="n"/>
      <c r="AX355" s="34" t="n"/>
      <c r="AY355" s="34" t="n"/>
      <c r="AZ355" s="215">
        <f>IFERROR(1-AZ347,"n/a")</f>
        <v>0.830369181380417</v>
      </c>
      <c r="BA355" s="34" t="n"/>
      <c r="BB355" s="34" t="n"/>
      <c r="BC355" s="34" t="n"/>
      <c r="BD355" s="34" t="n"/>
      <c r="BE355" s="215">
        <f>IFERROR(1-BE347,"n/a")</f>
        <v>0.821834956432599</v>
      </c>
      <c r="BF355" s="34" t="n"/>
      <c r="BG355" s="34" t="n"/>
      <c r="BH355" s="34" t="n"/>
      <c r="BI355" s="34" t="n"/>
      <c r="BJ355" s="215">
        <f>IFERROR(1-BJ347,"n/a")</f>
        <v>0.819253350064985</v>
      </c>
      <c r="BK355" s="34" t="n"/>
      <c r="BL355" s="34" t="n"/>
      <c r="BM355" s="34" t="n"/>
      <c r="BN355" s="34" t="n"/>
      <c r="BO355" s="215">
        <f>IFERROR(1-BO347,"n/a")</f>
        <v>0.82439754164645</v>
      </c>
      <c r="BP355" s="34" t="n"/>
      <c r="BQ355" s="34" t="n"/>
      <c r="BR355" s="34" t="n"/>
      <c r="BS355" s="34" t="n"/>
      <c r="BT355" s="215">
        <f>IFERROR(1-BT347,"n/a")</f>
        <v>0.823271611701545</v>
      </c>
      <c r="BU355" s="34" t="n"/>
      <c r="BV355" s="34" t="n"/>
      <c r="BW355" s="34" t="n"/>
      <c r="BX355" s="35" t="n"/>
      <c r="BY355" s="256">
        <f>IFERROR(1-BY347,"n/a")</f>
        <v>0.819254783409143</v>
      </c>
      <c r="BZ355" s="256">
        <f>IFERROR(1-BZ347,"n/a")</f>
        <v>0.815</v>
      </c>
      <c r="CA355" s="256">
        <f>IFERROR(1-CA347,"n/a")</f>
        <v>0.815</v>
      </c>
      <c r="CB355" s="256">
        <f>IFERROR(1-CB347,"n/a")</f>
        <v>0.815</v>
      </c>
      <c r="CC355" s="256">
        <f>IFERROR(1-CC347,"n/a")</f>
        <v>0.815</v>
      </c>
      <c r="CD355" s="256">
        <f>IFERROR(1-CD347,"n/a")</f>
        <v>0.815</v>
      </c>
      <c r="CE355" s="19" t="n"/>
    </row>
    <row r="356" ht="15" customHeight="1" s="251">
      <c r="B356" s="25" t="inlineStr">
        <is>
          <t xml:space="preserve">  Check: Margin × Turnover × Tax burden = ROIC</t>
        </is>
      </c>
      <c r="C356" s="215">
        <f>IFERROR(C353*C354*C355,"n/a")</f>
        <v>0.099335856520435</v>
      </c>
      <c r="D356" s="215">
        <f>IFERROR(D353*D354*D355,"n/a")</f>
        <v>0.115813248360907</v>
      </c>
      <c r="E356" s="215">
        <f>IFERROR(E353*E354*E355,"n/a")</f>
        <v>0.136039663887748</v>
      </c>
      <c r="F356" s="215">
        <f>IFERROR(F353*F354*F355,"n/a")</f>
        <v>0.15224780398908</v>
      </c>
      <c r="G356" s="215">
        <f>IFERROR(G353*G354*G355,"n/a")</f>
        <v>0.19301866381233</v>
      </c>
      <c r="H356" s="34" t="n"/>
      <c r="I356" s="34" t="n"/>
      <c r="J356" s="34" t="n"/>
      <c r="K356" s="34" t="n"/>
      <c r="L356" s="215">
        <f>IFERROR(L353*L354*L355,"n/a")</f>
        <v>0.250196312684074</v>
      </c>
      <c r="M356" s="34" t="n"/>
      <c r="N356" s="34" t="n"/>
      <c r="O356" s="34" t="n"/>
      <c r="P356" s="34" t="n"/>
      <c r="Q356" s="215">
        <f>IFERROR(Q353*Q354*Q355,"n/a")</f>
        <v>0.278858697306586</v>
      </c>
      <c r="R356" s="34" t="n"/>
      <c r="S356" s="34" t="n"/>
      <c r="T356" s="34" t="n"/>
      <c r="U356" s="34" t="n"/>
      <c r="V356" s="215">
        <f>IFERROR(V353*V354*V355,"n/a")</f>
        <v>0.317340186682656</v>
      </c>
      <c r="W356" s="34" t="n"/>
      <c r="X356" s="34" t="n"/>
      <c r="Y356" s="34" t="n"/>
      <c r="Z356" s="34" t="n"/>
      <c r="AA356" s="215">
        <f>IFERROR(AA353*AA354*AA355,"n/a")</f>
        <v>0.197818814227021</v>
      </c>
      <c r="AB356" s="34" t="n"/>
      <c r="AC356" s="34" t="n"/>
      <c r="AD356" s="34" t="n"/>
      <c r="AE356" s="34" t="n"/>
      <c r="AF356" s="215">
        <f>IFERROR(AF353*AF354*AF355,"n/a")</f>
        <v>0.241885756873561</v>
      </c>
      <c r="AG356" s="34" t="n"/>
      <c r="AH356" s="34" t="n"/>
      <c r="AI356" s="34" t="n"/>
      <c r="AJ356" s="34" t="n"/>
      <c r="AK356" s="215">
        <f>IFERROR(AK353*AK354*AK355,"n/a")</f>
        <v>0.315737297308127</v>
      </c>
      <c r="AL356" s="34" t="n"/>
      <c r="AM356" s="34" t="n"/>
      <c r="AN356" s="34" t="n"/>
      <c r="AO356" s="34" t="n"/>
      <c r="AP356" s="215">
        <f>IFERROR(AP353*AP354*AP355,"n/a")</f>
        <v>0.335158312235583</v>
      </c>
      <c r="AQ356" s="34" t="n"/>
      <c r="AR356" s="34" t="n"/>
      <c r="AS356" s="34" t="n"/>
      <c r="AT356" s="34" t="n"/>
      <c r="AU356" s="215">
        <f>IFERROR(AU353*AU354*AU355,"n/a")</f>
        <v>0.28680802888288</v>
      </c>
      <c r="AV356" s="34" t="n"/>
      <c r="AW356" s="34" t="n"/>
      <c r="AX356" s="34" t="n"/>
      <c r="AY356" s="34" t="n"/>
      <c r="AZ356" s="215">
        <f>IFERROR(AZ353*AZ354*AZ355,"n/a")</f>
        <v>0.345949266236797</v>
      </c>
      <c r="BA356" s="34" t="n"/>
      <c r="BB356" s="34" t="n"/>
      <c r="BC356" s="34" t="n"/>
      <c r="BD356" s="34" t="n"/>
      <c r="BE356" s="215">
        <f>IFERROR(BE353*BE354*BE355,"n/a")</f>
        <v>0.435469393472152</v>
      </c>
      <c r="BF356" s="34" t="n"/>
      <c r="BG356" s="34" t="n"/>
      <c r="BH356" s="34" t="n"/>
      <c r="BI356" s="34" t="n"/>
      <c r="BJ356" s="215">
        <f>IFERROR(BJ353*BJ354*BJ355,"n/a")</f>
        <v>0.485107725739075</v>
      </c>
      <c r="BK356" s="34" t="n"/>
      <c r="BL356" s="34" t="n"/>
      <c r="BM356" s="34" t="n"/>
      <c r="BN356" s="34" t="n"/>
      <c r="BO356" s="215">
        <f>IFERROR(BO353*BO354*BO355,"n/a")</f>
        <v>0.470975605467154</v>
      </c>
      <c r="BP356" s="34" t="n"/>
      <c r="BQ356" s="34" t="n"/>
      <c r="BR356" s="34" t="n"/>
      <c r="BS356" s="34" t="n"/>
      <c r="BT356" s="215">
        <f>IFERROR(BT353*BT354*BT355,"n/a")</f>
        <v>0.513560668370874</v>
      </c>
      <c r="BU356" s="34" t="n"/>
      <c r="BV356" s="34" t="n"/>
      <c r="BW356" s="34" t="n"/>
      <c r="BX356" s="35" t="n"/>
      <c r="BY356" s="256">
        <f>IFERROR(BY353*BY354*BY355,"n/a")</f>
        <v>0.570242985002163</v>
      </c>
      <c r="BZ356" s="256">
        <f>IFERROR(BZ353*BZ354*BZ355,"n/a")</f>
        <v>0.611647802725293</v>
      </c>
      <c r="CA356" s="256">
        <f>IFERROR(CA353*CA354*CA355,"n/a")</f>
        <v>0.662695936178363</v>
      </c>
      <c r="CB356" s="256">
        <f>IFERROR(CB353*CB354*CB355,"n/a")</f>
        <v>0.714508704120004</v>
      </c>
      <c r="CC356" s="256">
        <f>IFERROR(CC353*CC354*CC355,"n/a")</f>
        <v>0.76155551609821</v>
      </c>
      <c r="CD356" s="256">
        <f>IFERROR(CD353*CD354*CD355,"n/a")</f>
        <v>0.811232591790441</v>
      </c>
      <c r="CE356" s="19" t="n"/>
    </row>
    <row r="357" ht="15" customHeight="1" s="251">
      <c r="B357" s="25" t="inlineStr">
        <is>
          <t>RONTA decomposition</t>
        </is>
      </c>
      <c r="CE357" s="153" t="n"/>
    </row>
    <row r="358" ht="15" customHeight="1" s="251">
      <c r="B358" s="25" t="inlineStr">
        <is>
          <t>NOPAT = Adjusted EBIT × (1 − tax rate)</t>
        </is>
      </c>
      <c r="C358" s="211">
        <f>C348</f>
        <v>1669.33906882591</v>
      </c>
      <c r="D358" s="211">
        <f>D348</f>
        <v>2125.05729417429</v>
      </c>
      <c r="E358" s="211">
        <f>E348</f>
        <v>2854.52026735662</v>
      </c>
      <c r="F358" s="211">
        <f>F348</f>
        <v>3399.38896746818</v>
      </c>
      <c r="G358" s="211">
        <f>G348</f>
        <v>4155.69183187946</v>
      </c>
      <c r="H358" s="34" t="n"/>
      <c r="I358" s="34" t="n"/>
      <c r="J358" s="34" t="n"/>
      <c r="K358" s="34" t="n"/>
      <c r="L358" s="211">
        <f>L348</f>
        <v>4967.64778834229</v>
      </c>
      <c r="M358" s="34" t="n"/>
      <c r="N358" s="34" t="n"/>
      <c r="O358" s="34" t="n"/>
      <c r="P358" s="34" t="n"/>
      <c r="Q358" s="211">
        <f>Q348</f>
        <v>5702.10264252508</v>
      </c>
      <c r="R358" s="34" t="n"/>
      <c r="S358" s="34" t="n"/>
      <c r="T358" s="34" t="n"/>
      <c r="U358" s="34" t="n"/>
      <c r="V358" s="211">
        <f>V348</f>
        <v>6487.38543635353</v>
      </c>
      <c r="W358" s="34" t="n"/>
      <c r="X358" s="34" t="n"/>
      <c r="Y358" s="34" t="n"/>
      <c r="Z358" s="34" t="n"/>
      <c r="AA358" s="211">
        <f>AA348</f>
        <v>7106.64090110571</v>
      </c>
      <c r="AB358" s="34" t="n"/>
      <c r="AC358" s="34" t="n"/>
      <c r="AD358" s="34" t="n"/>
      <c r="AE358" s="34" t="n"/>
      <c r="AF358" s="211">
        <f>AF348</f>
        <v>8650.56032306916</v>
      </c>
      <c r="AG358" s="34" t="n"/>
      <c r="AH358" s="34" t="n"/>
      <c r="AI358" s="34" t="n"/>
      <c r="AJ358" s="34" t="n"/>
      <c r="AK358" s="211">
        <f>AK348</f>
        <v>11001.8661247017</v>
      </c>
      <c r="AL358" s="34" t="n"/>
      <c r="AM358" s="34" t="n"/>
      <c r="AN358" s="34" t="n"/>
      <c r="AO358" s="34" t="n"/>
      <c r="AP358" s="211">
        <f>AP348</f>
        <v>12461.8563655435</v>
      </c>
      <c r="AQ358" s="34" t="n"/>
      <c r="AR358" s="34" t="n"/>
      <c r="AS358" s="34" t="n"/>
      <c r="AT358" s="34" t="n"/>
      <c r="AU358" s="211">
        <f>AU348</f>
        <v>11474.6156195462</v>
      </c>
      <c r="AV358" s="34" t="n"/>
      <c r="AW358" s="34" t="n"/>
      <c r="AX358" s="34" t="n"/>
      <c r="AY358" s="34" t="n"/>
      <c r="AZ358" s="211">
        <f>AZ348</f>
        <v>13266.8084109149</v>
      </c>
      <c r="BA358" s="34" t="n"/>
      <c r="BB358" s="34" t="n"/>
      <c r="BC358" s="34" t="n"/>
      <c r="BD358" s="34" t="n"/>
      <c r="BE358" s="211">
        <f>BE348</f>
        <v>16274.7976422348</v>
      </c>
      <c r="BF358" s="34" t="n"/>
      <c r="BG358" s="34" t="n"/>
      <c r="BH358" s="34" t="n"/>
      <c r="BI358" s="34" t="n"/>
      <c r="BJ358" s="211">
        <f>BJ348</f>
        <v>18020.2966880294</v>
      </c>
      <c r="BK358" s="34" t="n"/>
      <c r="BL358" s="34" t="n"/>
      <c r="BM358" s="34" t="n"/>
      <c r="BN358" s="34" t="n"/>
      <c r="BO358" s="211">
        <f>BO348</f>
        <v>19900.1322578037</v>
      </c>
      <c r="BP358" s="34" t="n"/>
      <c r="BQ358" s="34" t="n"/>
      <c r="BR358" s="34" t="n"/>
      <c r="BS358" s="34" t="n"/>
      <c r="BT358" s="211">
        <f>BT348</f>
        <v>22126.2478360907</v>
      </c>
      <c r="BU358" s="34" t="n"/>
      <c r="BV358" s="34" t="n"/>
      <c r="BW358" s="34" t="n"/>
      <c r="BX358" s="35" t="n"/>
      <c r="BY358" s="254">
        <f>BY348</f>
        <v>25110.2315246273</v>
      </c>
      <c r="BZ358" s="254">
        <f>BZ348</f>
        <v>27694.2719589074</v>
      </c>
      <c r="CA358" s="254">
        <f>CA348</f>
        <v>30825.4607624629</v>
      </c>
      <c r="CB358" s="254">
        <f>CB348</f>
        <v>34126.5613367798</v>
      </c>
      <c r="CC358" s="254">
        <f>CC348</f>
        <v>37365.9152148576</v>
      </c>
      <c r="CD358" s="254">
        <f>CD348</f>
        <v>40903.6145751093</v>
      </c>
      <c r="CE358" s="19" t="n"/>
    </row>
    <row r="359" ht="15" customHeight="1" s="251">
      <c r="B359" s="25" t="inlineStr">
        <is>
          <t xml:space="preserve">  Total assets</t>
        </is>
      </c>
      <c r="C359" s="211">
        <f>C275</f>
        <v>34981</v>
      </c>
      <c r="D359" s="211">
        <f>D275</f>
        <v>32281</v>
      </c>
      <c r="E359" s="211">
        <f>E275</f>
        <v>33408</v>
      </c>
      <c r="F359" s="211">
        <f>F275</f>
        <v>34760</v>
      </c>
      <c r="G359" s="211">
        <f>G275</f>
        <v>40013</v>
      </c>
      <c r="H359" s="34" t="n"/>
      <c r="I359" s="34" t="n"/>
      <c r="J359" s="34" t="n"/>
      <c r="K359" s="34" t="n"/>
      <c r="L359" s="211">
        <f>L275</f>
        <v>35956</v>
      </c>
      <c r="M359" s="34" t="n"/>
      <c r="N359" s="34" t="n"/>
      <c r="O359" s="34" t="n"/>
      <c r="P359" s="34" t="n"/>
      <c r="Q359" s="211">
        <f>Q275</f>
        <v>38569</v>
      </c>
      <c r="R359" s="34" t="n"/>
      <c r="S359" s="34" t="n"/>
      <c r="T359" s="34" t="n"/>
      <c r="U359" s="34" t="n"/>
      <c r="V359" s="211">
        <f>V275</f>
        <v>40236</v>
      </c>
      <c r="W359" s="34" t="n"/>
      <c r="X359" s="34" t="n"/>
      <c r="Y359" s="34" t="n"/>
      <c r="Z359" s="34" t="n"/>
      <c r="AA359" s="211">
        <f>AA275</f>
        <v>64035</v>
      </c>
      <c r="AB359" s="34" t="n"/>
      <c r="AC359" s="34" t="n"/>
      <c r="AD359" s="34" t="n"/>
      <c r="AE359" s="34" t="n"/>
      <c r="AF359" s="211">
        <f>AF275</f>
        <v>67977</v>
      </c>
      <c r="AG359" s="34" t="n"/>
      <c r="AH359" s="34" t="n"/>
      <c r="AI359" s="34" t="n"/>
      <c r="AJ359" s="34" t="n"/>
      <c r="AK359" s="211">
        <f>AK275</f>
        <v>69225</v>
      </c>
      <c r="AL359" s="34" t="n"/>
      <c r="AM359" s="34" t="n"/>
      <c r="AN359" s="34" t="n"/>
      <c r="AO359" s="34" t="n"/>
      <c r="AP359" s="211">
        <f>AP275</f>
        <v>72574</v>
      </c>
      <c r="AQ359" s="34" t="n"/>
      <c r="AR359" s="34" t="n"/>
      <c r="AS359" s="34" t="n"/>
      <c r="AT359" s="34" t="n"/>
      <c r="AU359" s="211">
        <f>AU275</f>
        <v>80919</v>
      </c>
      <c r="AV359" s="34" t="n"/>
      <c r="AW359" s="34" t="n"/>
      <c r="AX359" s="34" t="n"/>
      <c r="AY359" s="34" t="n"/>
      <c r="AZ359" s="211">
        <f>AZ275</f>
        <v>82896</v>
      </c>
      <c r="BA359" s="34" t="n"/>
      <c r="BB359" s="34" t="n"/>
      <c r="BC359" s="34" t="n"/>
      <c r="BD359" s="34" t="n"/>
      <c r="BE359" s="211">
        <f>BE275</f>
        <v>85501</v>
      </c>
      <c r="BF359" s="34" t="n"/>
      <c r="BG359" s="34" t="n"/>
      <c r="BH359" s="34" t="n"/>
      <c r="BI359" s="34" t="n"/>
      <c r="BJ359" s="211">
        <f>BJ275</f>
        <v>90499</v>
      </c>
      <c r="BK359" s="34" t="n"/>
      <c r="BL359" s="34" t="n"/>
      <c r="BM359" s="34" t="n"/>
      <c r="BN359" s="34" t="n"/>
      <c r="BO359" s="211">
        <f>BO275</f>
        <v>94511</v>
      </c>
      <c r="BP359" s="34" t="n"/>
      <c r="BQ359" s="34" t="n"/>
      <c r="BR359" s="34" t="n"/>
      <c r="BS359" s="34" t="n"/>
      <c r="BT359" s="211">
        <f>BT275</f>
        <v>99627</v>
      </c>
      <c r="BU359" s="34" t="n"/>
      <c r="BV359" s="34" t="n"/>
      <c r="BW359" s="34" t="n"/>
      <c r="BX359" s="35" t="n"/>
      <c r="BY359" s="254">
        <f>BY275</f>
        <v>96629.0602490719</v>
      </c>
      <c r="BZ359" s="254">
        <f>BZ275</f>
        <v>100332.251717803</v>
      </c>
      <c r="CA359" s="254">
        <f>CA275</f>
        <v>104615.088111904</v>
      </c>
      <c r="CB359" s="254">
        <f>CB275</f>
        <v>109012.347598629</v>
      </c>
      <c r="CC359" s="254">
        <f>CC275</f>
        <v>113543.440937473</v>
      </c>
      <c r="CD359" s="254">
        <f>CD275</f>
        <v>118319.132719823</v>
      </c>
      <c r="CE359" s="19" t="n"/>
    </row>
    <row r="360" ht="15" customHeight="1" s="251">
      <c r="B360" s="25" t="inlineStr">
        <is>
          <t xml:space="preserve">  − Goodwill &amp; intangible assets</t>
        </is>
      </c>
      <c r="C360" s="211">
        <f>IFERROR(-(C272+C273),"n/a")</f>
        <v>-21096</v>
      </c>
      <c r="D360" s="211">
        <f>IFERROR(-(D272+D273),"n/a")</f>
        <v>-21091</v>
      </c>
      <c r="E360" s="211">
        <f>IFERROR(-(E272+E273),"n/a")</f>
        <v>-22925</v>
      </c>
      <c r="F360" s="211">
        <f>IFERROR(-(F272+F273),"n/a")</f>
        <v>-23104</v>
      </c>
      <c r="G360" s="211">
        <f>IFERROR(-(G272+G273),"n/a")</f>
        <v>-23101</v>
      </c>
      <c r="H360" s="34" t="n"/>
      <c r="I360" s="34" t="n"/>
      <c r="J360" s="34" t="n"/>
      <c r="K360" s="34" t="n"/>
      <c r="L360" s="211">
        <f>IFERROR(-(L272+L273),"n/a")</f>
        <v>-23032</v>
      </c>
      <c r="M360" s="34" t="n"/>
      <c r="N360" s="34" t="n"/>
      <c r="O360" s="34" t="n"/>
      <c r="P360" s="34" t="n"/>
      <c r="Q360" s="211">
        <f>IFERROR(-(Q272+Q273),"n/a")</f>
        <v>-23164</v>
      </c>
      <c r="R360" s="34" t="n"/>
      <c r="S360" s="34" t="n"/>
      <c r="T360" s="34" t="n"/>
      <c r="U360" s="34" t="n"/>
      <c r="V360" s="211">
        <f>IFERROR(-(V272+V273),"n/a")</f>
        <v>-23186</v>
      </c>
      <c r="W360" s="34" t="n"/>
      <c r="X360" s="34" t="n"/>
      <c r="Y360" s="34" t="n"/>
      <c r="Z360" s="34" t="n"/>
      <c r="AA360" s="211">
        <f>IFERROR(-(AA272+AA273),"n/a")</f>
        <v>-42300</v>
      </c>
      <c r="AB360" s="34" t="n"/>
      <c r="AC360" s="34" t="n"/>
      <c r="AD360" s="34" t="n"/>
      <c r="AE360" s="34" t="n"/>
      <c r="AF360" s="211">
        <f>IFERROR(-(AF272+AF273),"n/a")</f>
        <v>-42958</v>
      </c>
      <c r="AG360" s="34" t="n"/>
      <c r="AH360" s="34" t="n"/>
      <c r="AI360" s="34" t="n"/>
      <c r="AJ360" s="34" t="n"/>
      <c r="AK360" s="211">
        <f>IFERROR(-(AK272+AK273),"n/a")</f>
        <v>-42752</v>
      </c>
      <c r="AL360" s="34" t="n"/>
      <c r="AM360" s="34" t="n"/>
      <c r="AN360" s="34" t="n"/>
      <c r="AO360" s="34" t="n"/>
      <c r="AP360" s="211">
        <f>IFERROR(-(AP272+AP273),"n/a")</f>
        <v>-42436</v>
      </c>
      <c r="AQ360" s="34" t="n"/>
      <c r="AR360" s="34" t="n"/>
      <c r="AS360" s="34" t="n"/>
      <c r="AT360" s="34" t="n"/>
      <c r="AU360" s="211">
        <f>IFERROR(-(AU272+AU273),"n/a")</f>
        <v>-43718</v>
      </c>
      <c r="AV360" s="34" t="n"/>
      <c r="AW360" s="34" t="n"/>
      <c r="AX360" s="34" t="n"/>
      <c r="AY360" s="34" t="n"/>
      <c r="AZ360" s="211">
        <f>IFERROR(-(AZ272+AZ273),"n/a")</f>
        <v>-43622</v>
      </c>
      <c r="BA360" s="34" t="n"/>
      <c r="BB360" s="34" t="n"/>
      <c r="BC360" s="34" t="n"/>
      <c r="BD360" s="34" t="n"/>
      <c r="BE360" s="211">
        <f>IFERROR(-(BE272+BE273),"n/a")</f>
        <v>-42852</v>
      </c>
      <c r="BF360" s="34" t="n"/>
      <c r="BG360" s="34" t="n"/>
      <c r="BH360" s="34" t="n"/>
      <c r="BI360" s="34" t="n"/>
      <c r="BJ360" s="211">
        <f>IFERROR(-(BJ272+BJ273),"n/a")</f>
        <v>-44101</v>
      </c>
      <c r="BK360" s="34" t="n"/>
      <c r="BL360" s="34" t="n"/>
      <c r="BM360" s="34" t="n"/>
      <c r="BN360" s="34" t="n"/>
      <c r="BO360" s="211">
        <f>IFERROR(-(BO272+BO273),"n/a")</f>
        <v>-45830</v>
      </c>
      <c r="BP360" s="34" t="n"/>
      <c r="BQ360" s="34" t="n"/>
      <c r="BR360" s="34" t="n"/>
      <c r="BS360" s="34" t="n"/>
      <c r="BT360" s="211">
        <f>IFERROR(-(BT272+BT273),"n/a")</f>
        <v>-47525</v>
      </c>
      <c r="BU360" s="34" t="n"/>
      <c r="BV360" s="34" t="n"/>
      <c r="BW360" s="34" t="n"/>
      <c r="BX360" s="35" t="n"/>
      <c r="BY360" s="254">
        <f>IFERROR(-(BY272+BY273),"n/a")</f>
        <v>-48357</v>
      </c>
      <c r="BZ360" s="254">
        <f>IFERROR(-(BZ272+BZ273),"n/a")</f>
        <v>-49245</v>
      </c>
      <c r="CA360" s="254">
        <f>IFERROR(-(CA272+CA273),"n/a")</f>
        <v>-50152</v>
      </c>
      <c r="CB360" s="254">
        <f>IFERROR(-(CB272+CB273),"n/a")</f>
        <v>-51073</v>
      </c>
      <c r="CC360" s="254">
        <f>IFERROR(-(CC272+CC273),"n/a")</f>
        <v>-52013</v>
      </c>
      <c r="CD360" s="254">
        <f>IFERROR(-(CD272+CD273),"n/a")</f>
        <v>-52958</v>
      </c>
      <c r="CE360" s="19" t="n"/>
    </row>
    <row r="361" ht="15" customHeight="1" s="251">
      <c r="B361" s="25" t="inlineStr">
        <is>
          <t xml:space="preserve">  − Non-interest-bearing current liabilities (total CL excl. current debt)</t>
        </is>
      </c>
      <c r="C361" s="211">
        <f>IFERROR(-(C282-N(C280)),"n/a")</f>
        <v>-7114</v>
      </c>
      <c r="D361" s="211">
        <f>IFERROR(-(D282-N(D280)),"n/a")</f>
        <v>-4430</v>
      </c>
      <c r="E361" s="211">
        <f>IFERROR(-(E282-N(E280)),"n/a")</f>
        <v>-3486</v>
      </c>
      <c r="F361" s="211">
        <f>IFERROR(-(F282-N(F280)),"n/a")</f>
        <v>-3451</v>
      </c>
      <c r="G361" s="211">
        <f>IFERROR(-(G282-N(G280)),"n/a")</f>
        <v>-7954</v>
      </c>
      <c r="H361" s="34" t="n"/>
      <c r="I361" s="34" t="n"/>
      <c r="J361" s="34" t="n"/>
      <c r="K361" s="34" t="n"/>
      <c r="L361" s="211">
        <f>IFERROR(-(L282-N(L280)),"n/a")</f>
        <v>-4335</v>
      </c>
      <c r="M361" s="34" t="n"/>
      <c r="N361" s="34" t="n"/>
      <c r="O361" s="34" t="n"/>
      <c r="P361" s="34" t="n"/>
      <c r="Q361" s="211">
        <f>IFERROR(-(Q282-N(Q280)),"n/a")</f>
        <v>-6006</v>
      </c>
      <c r="R361" s="34" t="n"/>
      <c r="S361" s="34" t="n"/>
      <c r="T361" s="34" t="n"/>
      <c r="U361" s="34" t="n"/>
      <c r="V361" s="211">
        <f>IFERROR(-(V282-N(V280)),"n/a")</f>
        <v>-5374</v>
      </c>
      <c r="W361" s="34" t="n"/>
      <c r="X361" s="34" t="n"/>
      <c r="Y361" s="34" t="n"/>
      <c r="Z361" s="34" t="n"/>
      <c r="AA361" s="211">
        <f>IFERROR(-(AA282-N(AA280)),"n/a")</f>
        <v>-8046</v>
      </c>
      <c r="AB361" s="34" t="n"/>
      <c r="AC361" s="34" t="n"/>
      <c r="AD361" s="34" t="n"/>
      <c r="AE361" s="34" t="n"/>
      <c r="AF361" s="211">
        <f>IFERROR(-(AF282-N(AF280)),"n/a")</f>
        <v>-8245</v>
      </c>
      <c r="AG361" s="34" t="n"/>
      <c r="AH361" s="34" t="n"/>
      <c r="AI361" s="34" t="n"/>
      <c r="AJ361" s="34" t="n"/>
      <c r="AK361" s="211">
        <f>IFERROR(-(AK282-N(AK280)),"n/a")</f>
        <v>-11305</v>
      </c>
      <c r="AL361" s="34" t="n"/>
      <c r="AM361" s="34" t="n"/>
      <c r="AN361" s="34" t="n"/>
      <c r="AO361" s="34" t="n"/>
      <c r="AP361" s="211">
        <f>IFERROR(-(AP282-N(AP280)),"n/a")</f>
        <v>-13415</v>
      </c>
      <c r="AQ361" s="34" t="n"/>
      <c r="AR361" s="34" t="n"/>
      <c r="AS361" s="34" t="n"/>
      <c r="AT361" s="34" t="n"/>
      <c r="AU361" s="211">
        <f>IFERROR(-(AU282-N(AU280)),"n/a")</f>
        <v>-11511</v>
      </c>
      <c r="AV361" s="34" t="n"/>
      <c r="AW361" s="34" t="n"/>
      <c r="AX361" s="34" t="n"/>
      <c r="AY361" s="34" t="n"/>
      <c r="AZ361" s="211">
        <f>IFERROR(-(AZ282-N(AZ280)),"n/a")</f>
        <v>-14740</v>
      </c>
      <c r="BA361" s="34" t="n"/>
      <c r="BB361" s="34" t="n"/>
      <c r="BC361" s="34" t="n"/>
      <c r="BD361" s="34" t="n"/>
      <c r="BE361" s="211">
        <f>IFERROR(-(BE282-N(BE280)),"n/a")</f>
        <v>-18603</v>
      </c>
      <c r="BF361" s="34" t="n"/>
      <c r="BG361" s="34" t="n"/>
      <c r="BH361" s="34" t="n"/>
      <c r="BI361" s="34" t="n"/>
      <c r="BJ361" s="211">
        <f>IFERROR(-(BJ282-N(BJ280)),"n/a")</f>
        <v>-23098</v>
      </c>
      <c r="BK361" s="34" t="n"/>
      <c r="BL361" s="34" t="n"/>
      <c r="BM361" s="34" t="n"/>
      <c r="BN361" s="34" t="n"/>
      <c r="BO361" s="211">
        <f>IFERROR(-(BO282-N(BO280)),"n/a")</f>
        <v>-26517</v>
      </c>
      <c r="BP361" s="34" t="n"/>
      <c r="BQ361" s="34" t="n"/>
      <c r="BR361" s="34" t="n"/>
      <c r="BS361" s="34" t="n"/>
      <c r="BT361" s="211">
        <f>IFERROR(-(BT282-N(BT280)),"n/a")</f>
        <v>-29479</v>
      </c>
      <c r="BU361" s="34" t="n"/>
      <c r="BV361" s="34" t="n"/>
      <c r="BW361" s="34" t="n"/>
      <c r="BX361" s="35" t="n"/>
      <c r="BY361" s="254">
        <f>IFERROR(-(BY282-N(BY280)),"n/a")</f>
        <v>-31736.8084</v>
      </c>
      <c r="BZ361" s="254">
        <f>IFERROR(-(BZ282-N(BZ280)),"n/a")</f>
        <v>-34488.1164322499</v>
      </c>
      <c r="CA361" s="254">
        <f>IFERROR(-(CA282-N(CA280)),"n/a")</f>
        <v>-37633.8477435578</v>
      </c>
      <c r="CB361" s="254">
        <f>IFERROR(-(CB282-N(CB280)),"n/a")</f>
        <v>-40884.0724296931</v>
      </c>
      <c r="CC361" s="254">
        <f>IFERROR(-(CC282-N(CC280)),"n/a")</f>
        <v>-44212.1864353461</v>
      </c>
      <c r="CD361" s="254">
        <f>IFERROR(-(CD282-N(CD280)),"n/a")</f>
        <v>-47731.5705327904</v>
      </c>
      <c r="CE361" s="19" t="n"/>
    </row>
    <row r="362" ht="15" customHeight="1" s="251">
      <c r="B362" s="25" t="inlineStr">
        <is>
          <t xml:space="preserve">  = Net tangible assets</t>
        </is>
      </c>
      <c r="C362" s="211">
        <f>IFERROR(SUM(C359:C361),"n/a")</f>
        <v>6771</v>
      </c>
      <c r="D362" s="211">
        <f>IFERROR(SUM(D359:D361),"n/a")</f>
        <v>6760</v>
      </c>
      <c r="E362" s="211">
        <f>IFERROR(SUM(E359:E361),"n/a")</f>
        <v>6997</v>
      </c>
      <c r="F362" s="211">
        <f>IFERROR(SUM(F359:F361),"n/a")</f>
        <v>8205</v>
      </c>
      <c r="G362" s="211">
        <f>IFERROR(SUM(G359:G361),"n/a")</f>
        <v>8958</v>
      </c>
      <c r="H362" s="34" t="n"/>
      <c r="I362" s="34" t="n"/>
      <c r="J362" s="34" t="n"/>
      <c r="K362" s="34" t="n"/>
      <c r="L362" s="211">
        <f>IFERROR(SUM(L359:L361),"n/a")</f>
        <v>8589</v>
      </c>
      <c r="M362" s="34" t="n"/>
      <c r="N362" s="34" t="n"/>
      <c r="O362" s="34" t="n"/>
      <c r="P362" s="34" t="n"/>
      <c r="Q362" s="211">
        <f>IFERROR(SUM(Q359:Q361),"n/a")</f>
        <v>9399</v>
      </c>
      <c r="R362" s="34" t="n"/>
      <c r="S362" s="34" t="n"/>
      <c r="T362" s="34" t="n"/>
      <c r="U362" s="34" t="n"/>
      <c r="V362" s="211">
        <f>IFERROR(SUM(V359:V361),"n/a")</f>
        <v>11676</v>
      </c>
      <c r="W362" s="34" t="n"/>
      <c r="X362" s="34" t="n"/>
      <c r="Y362" s="34" t="n"/>
      <c r="Z362" s="34" t="n"/>
      <c r="AA362" s="211">
        <f>IFERROR(SUM(AA359:AA361),"n/a")</f>
        <v>13689</v>
      </c>
      <c r="AB362" s="34" t="n"/>
      <c r="AC362" s="34" t="n"/>
      <c r="AD362" s="34" t="n"/>
      <c r="AE362" s="34" t="n"/>
      <c r="AF362" s="211">
        <f>IFERROR(SUM(AF359:AF361),"n/a")</f>
        <v>16774</v>
      </c>
      <c r="AG362" s="34" t="n"/>
      <c r="AH362" s="34" t="n"/>
      <c r="AI362" s="34" t="n"/>
      <c r="AJ362" s="34" t="n"/>
      <c r="AK362" s="211">
        <f>IFERROR(SUM(AK359:AK361),"n/a")</f>
        <v>15168</v>
      </c>
      <c r="AL362" s="34" t="n"/>
      <c r="AM362" s="34" t="n"/>
      <c r="AN362" s="34" t="n"/>
      <c r="AO362" s="34" t="n"/>
      <c r="AP362" s="211">
        <f>IFERROR(SUM(AP359:AP361),"n/a")</f>
        <v>16723</v>
      </c>
      <c r="AQ362" s="34" t="n"/>
      <c r="AR362" s="34" t="n"/>
      <c r="AS362" s="34" t="n"/>
      <c r="AT362" s="34" t="n"/>
      <c r="AU362" s="211">
        <f>IFERROR(SUM(AU359:AU361),"n/a")</f>
        <v>25690</v>
      </c>
      <c r="AV362" s="34" t="n"/>
      <c r="AW362" s="34" t="n"/>
      <c r="AX362" s="34" t="n"/>
      <c r="AY362" s="34" t="n"/>
      <c r="AZ362" s="211">
        <f>IFERROR(SUM(AZ359:AZ361),"n/a")</f>
        <v>24534</v>
      </c>
      <c r="BA362" s="34" t="n"/>
      <c r="BB362" s="34" t="n"/>
      <c r="BC362" s="34" t="n"/>
      <c r="BD362" s="34" t="n"/>
      <c r="BE362" s="211">
        <f>IFERROR(SUM(BE359:BE361),"n/a")</f>
        <v>24046</v>
      </c>
      <c r="BF362" s="34" t="n"/>
      <c r="BG362" s="34" t="n"/>
      <c r="BH362" s="34" t="n"/>
      <c r="BI362" s="34" t="n"/>
      <c r="BJ362" s="211">
        <f>IFERROR(SUM(BJ359:BJ361),"n/a")</f>
        <v>23300</v>
      </c>
      <c r="BK362" s="34" t="n"/>
      <c r="BL362" s="34" t="n"/>
      <c r="BM362" s="34" t="n"/>
      <c r="BN362" s="34" t="n"/>
      <c r="BO362" s="211">
        <f>IFERROR(SUM(BO359:BO361),"n/a")</f>
        <v>22164</v>
      </c>
      <c r="BP362" s="34" t="n"/>
      <c r="BQ362" s="34" t="n"/>
      <c r="BR362" s="34" t="n"/>
      <c r="BS362" s="34" t="n"/>
      <c r="BT362" s="211">
        <f>IFERROR(SUM(BT359:BT361),"n/a")</f>
        <v>22623</v>
      </c>
      <c r="BU362" s="34" t="n"/>
      <c r="BV362" s="34" t="n"/>
      <c r="BW362" s="34" t="n"/>
      <c r="BX362" s="35" t="n"/>
      <c r="BY362" s="254">
        <f>IFERROR(SUM(BY359:BY361),"n/a")</f>
        <v>16535.2518490719</v>
      </c>
      <c r="BZ362" s="254">
        <f>IFERROR(SUM(BZ359:BZ361),"n/a")</f>
        <v>16599.1352855535</v>
      </c>
      <c r="CA362" s="254">
        <f>IFERROR(SUM(CA359:CA361),"n/a")</f>
        <v>16829.2403683464</v>
      </c>
      <c r="CB362" s="254">
        <f>IFERROR(SUM(CB359:CB361),"n/a")</f>
        <v>17055.2751689364</v>
      </c>
      <c r="CC362" s="254">
        <f>IFERROR(SUM(CC359:CC361),"n/a")</f>
        <v>17318.2545021273</v>
      </c>
      <c r="CD362" s="254">
        <f>IFERROR(SUM(CD359:CD361),"n/a")</f>
        <v>17629.5621870325</v>
      </c>
      <c r="CE362" s="19" t="n"/>
    </row>
    <row r="363" ht="15" customHeight="1" s="251">
      <c r="B363" s="55" t="inlineStr">
        <is>
          <t>RONTA = NOPAT / NTA</t>
        </is>
      </c>
      <c r="C363" s="292">
        <f>IFERROR(C358/C362,"n/a")</f>
        <v>0.246542470658088</v>
      </c>
      <c r="D363" s="292">
        <f>IFERROR(D358/D362,"n/a")</f>
        <v>0.314357587895605</v>
      </c>
      <c r="E363" s="292">
        <f>IFERROR(E358/E362,"n/a")</f>
        <v>0.407963451101418</v>
      </c>
      <c r="F363" s="292">
        <f>IFERROR(F358/F362,"n/a")</f>
        <v>0.414307003957121</v>
      </c>
      <c r="G363" s="292">
        <f>IFERROR(G358/G362,"n/a")</f>
        <v>0.463908442942561</v>
      </c>
      <c r="H363" s="56" t="n"/>
      <c r="I363" s="56" t="n"/>
      <c r="J363" s="56" t="n"/>
      <c r="K363" s="56" t="n"/>
      <c r="L363" s="292">
        <f>IFERROR(L358/L362,"n/a")</f>
        <v>0.578373243490778</v>
      </c>
      <c r="M363" s="56" t="n"/>
      <c r="N363" s="56" t="n"/>
      <c r="O363" s="56" t="n"/>
      <c r="P363" s="56" t="n"/>
      <c r="Q363" s="292">
        <f>IFERROR(Q358/Q362,"n/a")</f>
        <v>0.606671203588156</v>
      </c>
      <c r="R363" s="56" t="n"/>
      <c r="S363" s="56" t="n"/>
      <c r="T363" s="56" t="n"/>
      <c r="U363" s="56" t="n"/>
      <c r="V363" s="292">
        <f>IFERROR(V358/V362,"n/a")</f>
        <v>0.555617115138192</v>
      </c>
      <c r="W363" s="56" t="n"/>
      <c r="X363" s="56" t="n"/>
      <c r="Y363" s="56" t="n"/>
      <c r="Z363" s="56" t="n"/>
      <c r="AA363" s="292">
        <f>IFERROR(AA358/AA362,"n/a")</f>
        <v>0.519149748053599</v>
      </c>
      <c r="AB363" s="56" t="n"/>
      <c r="AC363" s="56" t="n"/>
      <c r="AD363" s="56" t="n"/>
      <c r="AE363" s="56" t="n"/>
      <c r="AF363" s="292">
        <f>IFERROR(AF358/AF362,"n/a")</f>
        <v>0.515712431326407</v>
      </c>
      <c r="AG363" s="56" t="n"/>
      <c r="AH363" s="56" t="n"/>
      <c r="AI363" s="56" t="n"/>
      <c r="AJ363" s="56" t="n"/>
      <c r="AK363" s="292">
        <f>IFERROR(AK358/AK362,"n/a")</f>
        <v>0.725334000837399</v>
      </c>
      <c r="AL363" s="56" t="n"/>
      <c r="AM363" s="56" t="n"/>
      <c r="AN363" s="56" t="n"/>
      <c r="AO363" s="56" t="n"/>
      <c r="AP363" s="292">
        <f>IFERROR(AP358/AP362,"n/a")</f>
        <v>0.745192630840368</v>
      </c>
      <c r="AQ363" s="56" t="n"/>
      <c r="AR363" s="56" t="n"/>
      <c r="AS363" s="56" t="n"/>
      <c r="AT363" s="56" t="n"/>
      <c r="AU363" s="292">
        <f>IFERROR(AU358/AU362,"n/a")</f>
        <v>0.44665689449382</v>
      </c>
      <c r="AV363" s="56" t="n"/>
      <c r="AW363" s="56" t="n"/>
      <c r="AX363" s="56" t="n"/>
      <c r="AY363" s="56" t="n"/>
      <c r="AZ363" s="292">
        <f>IFERROR(AZ358/AZ362,"n/a")</f>
        <v>0.540751952837488</v>
      </c>
      <c r="BA363" s="56" t="n"/>
      <c r="BB363" s="56" t="n"/>
      <c r="BC363" s="56" t="n"/>
      <c r="BD363" s="56" t="n"/>
      <c r="BE363" s="292">
        <f>IFERROR(BE358/BE362,"n/a")</f>
        <v>0.676819331374647</v>
      </c>
      <c r="BF363" s="56" t="n"/>
      <c r="BG363" s="56" t="n"/>
      <c r="BH363" s="56" t="n"/>
      <c r="BI363" s="56" t="n"/>
      <c r="BJ363" s="292">
        <f>IFERROR(BJ358/BJ362,"n/a")</f>
        <v>0.773403291331734</v>
      </c>
      <c r="BK363" s="56" t="n"/>
      <c r="BL363" s="56" t="n"/>
      <c r="BM363" s="56" t="n"/>
      <c r="BN363" s="56" t="n"/>
      <c r="BO363" s="292">
        <f>IFERROR(BO358/BO362,"n/a")</f>
        <v>0.897858340453152</v>
      </c>
      <c r="BP363" s="56" t="n"/>
      <c r="BQ363" s="56" t="n"/>
      <c r="BR363" s="56" t="n"/>
      <c r="BS363" s="56" t="n"/>
      <c r="BT363" s="292">
        <f>IFERROR(BT358/BT362,"n/a")</f>
        <v>0.978042162228295</v>
      </c>
      <c r="BU363" s="56" t="n"/>
      <c r="BV363" s="56" t="n"/>
      <c r="BW363" s="56" t="n"/>
      <c r="BX363" s="56" t="n"/>
      <c r="BY363" s="292">
        <f>IFERROR(BY358/BY362,"n/a")</f>
        <v>1.51858778770501</v>
      </c>
      <c r="BZ363" s="292">
        <f>IFERROR(BZ358/BZ362,"n/a")</f>
        <v>1.66841654595165</v>
      </c>
      <c r="CA363" s="292">
        <f>IFERROR(CA358/CA362,"n/a")</f>
        <v>1.83166085264559</v>
      </c>
      <c r="CB363" s="292">
        <f>IFERROR(CB358/CB362,"n/a")</f>
        <v>2.00093877106927</v>
      </c>
      <c r="CC363" s="292">
        <f>IFERROR(CC358/CC362,"n/a")</f>
        <v>2.15760284676887</v>
      </c>
      <c r="CD363" s="292">
        <f>IFERROR(CD358/CD362,"n/a")</f>
        <v>2.32017188748998</v>
      </c>
      <c r="CE363" s="153" t="n"/>
      <c r="CG363" s="37">
        <f>IFERROR(AVERAGE(BZ363,CA363,CB363,CC363,CD363),"n/m")</f>
        <v>1.99575818078507</v>
      </c>
      <c r="CH363" s="37">
        <f>IFERROR(AVERAGE(AZ363,BE363,BJ363,BO363,BT363),"n/m")</f>
        <v>0.773375015645063</v>
      </c>
      <c r="CI363" s="37">
        <f>IFERROR(AVERAGE(AA363,AF363,AK363,AP363,AU363,AZ363,BE363,BJ363,BO363,BT363),"n/m")</f>
        <v>0.681892078377691</v>
      </c>
      <c r="CJ363" s="37">
        <f>IFERROR(AVERAGE(C363,D363,E363,F363,G363,L363,Q363,V363,AA363,AF363,AK363,AP363,AU363,AZ363,BE363,BJ363,BO363,BT363),"n/m")</f>
        <v>0.578147850141602</v>
      </c>
    </row>
    <row r="364" ht="15" customHeight="1" s="251">
      <c r="B364" s="25" t="inlineStr">
        <is>
          <t>Return on Equity (ROE)</t>
        </is>
      </c>
      <c r="CE364" s="153" t="n"/>
    </row>
    <row r="365" ht="15" customHeight="1" s="251">
      <c r="B365" s="25" t="inlineStr">
        <is>
          <t>Net income</t>
        </is>
      </c>
      <c r="C365" s="211">
        <f>C137</f>
        <v>804</v>
      </c>
      <c r="D365" s="211">
        <f>D137</f>
        <v>2353</v>
      </c>
      <c r="E365" s="211">
        <f>E137</f>
        <v>2966</v>
      </c>
      <c r="F365" s="211">
        <f>F137</f>
        <v>3650</v>
      </c>
      <c r="G365" s="211">
        <f>G137</f>
        <v>2144</v>
      </c>
      <c r="H365" s="34" t="n"/>
      <c r="I365" s="34" t="n"/>
      <c r="J365" s="34" t="n"/>
      <c r="K365" s="34" t="n"/>
      <c r="L365" s="211">
        <f>L137</f>
        <v>4980</v>
      </c>
      <c r="M365" s="34" t="n"/>
      <c r="N365" s="34" t="n"/>
      <c r="O365" s="34" t="n"/>
      <c r="P365" s="34" t="n"/>
      <c r="Q365" s="211">
        <f>Q137</f>
        <v>5438</v>
      </c>
      <c r="R365" s="34" t="n"/>
      <c r="S365" s="34" t="n"/>
      <c r="T365" s="34" t="n"/>
      <c r="U365" s="34" t="n"/>
      <c r="V365" s="211">
        <f>V137</f>
        <v>6328</v>
      </c>
      <c r="W365" s="34" t="n"/>
      <c r="X365" s="34" t="n"/>
      <c r="Y365" s="34" t="n"/>
      <c r="Z365" s="34" t="n"/>
      <c r="AA365" s="211">
        <f>AA137</f>
        <v>5991</v>
      </c>
      <c r="AB365" s="34" t="n"/>
      <c r="AC365" s="34" t="n"/>
      <c r="AD365" s="34" t="n"/>
      <c r="AE365" s="34" t="n"/>
      <c r="AF365" s="211">
        <f>AF137</f>
        <v>6699</v>
      </c>
      <c r="AG365" s="34" t="n"/>
      <c r="AH365" s="34" t="n"/>
      <c r="AI365" s="34" t="n"/>
      <c r="AJ365" s="34" t="n"/>
      <c r="AK365" s="211">
        <f>AK137</f>
        <v>10301</v>
      </c>
      <c r="AL365" s="34" t="n"/>
      <c r="AM365" s="34" t="n"/>
      <c r="AN365" s="34" t="n"/>
      <c r="AO365" s="34" t="n"/>
      <c r="AP365" s="211">
        <f>AP137</f>
        <v>12080</v>
      </c>
      <c r="AQ365" s="34" t="n"/>
      <c r="AR365" s="34" t="n"/>
      <c r="AS365" s="34" t="n"/>
      <c r="AT365" s="34" t="n"/>
      <c r="AU365" s="211">
        <f>AU137</f>
        <v>10866</v>
      </c>
      <c r="AV365" s="34" t="n"/>
      <c r="AW365" s="34" t="n"/>
      <c r="AX365" s="34" t="n"/>
      <c r="AY365" s="34" t="n"/>
      <c r="AZ365" s="211">
        <f>AZ137</f>
        <v>12311</v>
      </c>
      <c r="BA365" s="34" t="n"/>
      <c r="BB365" s="34" t="n"/>
      <c r="BC365" s="34" t="n"/>
      <c r="BD365" s="34" t="n"/>
      <c r="BE365" s="211">
        <f>BE137</f>
        <v>14957</v>
      </c>
      <c r="BF365" s="34" t="n"/>
      <c r="BG365" s="34" t="n"/>
      <c r="BH365" s="34" t="n"/>
      <c r="BI365" s="34" t="n"/>
      <c r="BJ365" s="211">
        <f>BJ137</f>
        <v>17273</v>
      </c>
      <c r="BK365" s="34" t="n"/>
      <c r="BL365" s="34" t="n"/>
      <c r="BM365" s="34" t="n"/>
      <c r="BN365" s="34" t="n"/>
      <c r="BO365" s="211">
        <f>BO137</f>
        <v>19743</v>
      </c>
      <c r="BP365" s="34" t="n"/>
      <c r="BQ365" s="34" t="n"/>
      <c r="BR365" s="34" t="n"/>
      <c r="BS365" s="34" t="n"/>
      <c r="BT365" s="211">
        <f>BT137</f>
        <v>20058</v>
      </c>
      <c r="BU365" s="34" t="n"/>
      <c r="BV365" s="34" t="n"/>
      <c r="BW365" s="34" t="n"/>
      <c r="BX365" s="35" t="n"/>
      <c r="BY365" s="254">
        <f>BY137</f>
        <v>23841.1315951157</v>
      </c>
      <c r="BZ365" s="254">
        <f>BZ137</f>
        <v>27515.0237626951</v>
      </c>
      <c r="CA365" s="254">
        <f>CA137</f>
        <v>30493.6414408358</v>
      </c>
      <c r="CB365" s="254">
        <f>CB137</f>
        <v>33717.189753722</v>
      </c>
      <c r="CC365" s="254">
        <f>CC137</f>
        <v>36893.0465536237</v>
      </c>
      <c r="CD365" s="254">
        <f>CD137</f>
        <v>40367.8882962632</v>
      </c>
      <c r="CE365" s="19" t="n"/>
    </row>
    <row r="366" ht="15" customHeight="1" s="251">
      <c r="B366" s="25" t="inlineStr">
        <is>
          <t>Equity</t>
        </is>
      </c>
      <c r="C366" s="211">
        <f>C286</f>
        <v>22277</v>
      </c>
      <c r="D366" s="211">
        <f>D286</f>
        <v>23193</v>
      </c>
      <c r="E366" s="211">
        <f>E286</f>
        <v>25014</v>
      </c>
      <c r="F366" s="211">
        <f>F286</f>
        <v>26437</v>
      </c>
      <c r="G366" s="211">
        <f>G286</f>
        <v>27630</v>
      </c>
      <c r="H366" s="34" t="n"/>
      <c r="I366" s="34" t="n"/>
      <c r="J366" s="34" t="n"/>
      <c r="K366" s="34" t="n"/>
      <c r="L366" s="211">
        <f>L286</f>
        <v>26870</v>
      </c>
      <c r="M366" s="34" t="n"/>
      <c r="N366" s="34" t="n"/>
      <c r="O366" s="34" t="n"/>
      <c r="P366" s="34" t="n"/>
      <c r="Q366" s="211">
        <f>Q286</f>
        <v>27413</v>
      </c>
      <c r="R366" s="34" t="n"/>
      <c r="S366" s="34" t="n"/>
      <c r="T366" s="34" t="n"/>
      <c r="U366" s="34" t="n"/>
      <c r="V366" s="211">
        <f>V286</f>
        <v>29842</v>
      </c>
      <c r="W366" s="34" t="n"/>
      <c r="X366" s="34" t="n"/>
      <c r="Y366" s="34" t="n"/>
      <c r="Z366" s="34" t="n"/>
      <c r="AA366" s="211">
        <f>AA286</f>
        <v>32912</v>
      </c>
      <c r="AB366" s="34" t="n"/>
      <c r="AC366" s="34" t="n"/>
      <c r="AD366" s="34" t="n"/>
      <c r="AE366" s="34" t="n"/>
      <c r="AF366" s="211">
        <f>AF286</f>
        <v>32760</v>
      </c>
      <c r="AG366" s="34" t="n"/>
      <c r="AH366" s="34" t="n"/>
      <c r="AI366" s="34" t="n"/>
      <c r="AJ366" s="34" t="n"/>
      <c r="AK366" s="211">
        <f>AK286</f>
        <v>34006</v>
      </c>
      <c r="AL366" s="34" t="n"/>
      <c r="AM366" s="34" t="n"/>
      <c r="AN366" s="34" t="n"/>
      <c r="AO366" s="34" t="n"/>
      <c r="AP366" s="211">
        <f>AP286</f>
        <v>34684</v>
      </c>
      <c r="AQ366" s="34" t="n"/>
      <c r="AR366" s="34" t="n"/>
      <c r="AS366" s="34" t="n"/>
      <c r="AT366" s="34" t="n"/>
      <c r="AU366" s="211">
        <f>AU286</f>
        <v>36210</v>
      </c>
      <c r="AV366" s="34" t="n"/>
      <c r="AW366" s="34" t="n"/>
      <c r="AX366" s="34" t="n"/>
      <c r="AY366" s="34" t="n"/>
      <c r="AZ366" s="211">
        <f>AZ286</f>
        <v>37589</v>
      </c>
      <c r="BA366" s="34" t="n"/>
      <c r="BB366" s="34" t="n"/>
      <c r="BC366" s="34" t="n"/>
      <c r="BD366" s="34" t="n"/>
      <c r="BE366" s="211">
        <f>BE286</f>
        <v>35581</v>
      </c>
      <c r="BF366" s="34" t="n"/>
      <c r="BG366" s="34" t="n"/>
      <c r="BH366" s="34" t="n"/>
      <c r="BI366" s="34" t="n"/>
      <c r="BJ366" s="211">
        <f>BJ286</f>
        <v>38733</v>
      </c>
      <c r="BK366" s="34" t="n"/>
      <c r="BL366" s="34" t="n"/>
      <c r="BM366" s="34" t="n"/>
      <c r="BN366" s="34" t="n"/>
      <c r="BO366" s="211">
        <f>BO286</f>
        <v>39137</v>
      </c>
      <c r="BP366" s="34" t="n"/>
      <c r="BQ366" s="34" t="n"/>
      <c r="BR366" s="34" t="n"/>
      <c r="BS366" s="34" t="n"/>
      <c r="BT366" s="211">
        <f>BT286</f>
        <v>37909</v>
      </c>
      <c r="BU366" s="34" t="n"/>
      <c r="BV366" s="34" t="n"/>
      <c r="BW366" s="34" t="n"/>
      <c r="BX366" s="35" t="n"/>
      <c r="BY366" s="254">
        <f>BY286</f>
        <v>35451.2518490719</v>
      </c>
      <c r="BZ366" s="254">
        <f>BZ286</f>
        <v>32842.759708313</v>
      </c>
      <c r="CA366" s="254">
        <f>CA286</f>
        <v>32690.229291246</v>
      </c>
      <c r="CB366" s="254">
        <f>CB286</f>
        <v>32475.3555294848</v>
      </c>
      <c r="CC366" s="254">
        <f>CC286</f>
        <v>32337.0740421298</v>
      </c>
      <c r="CD366" s="254">
        <f>CD286</f>
        <v>32121.6163386656</v>
      </c>
      <c r="CE366" s="19" t="n"/>
    </row>
    <row r="367" ht="15" customHeight="1" s="251">
      <c r="B367" s="25" t="inlineStr">
        <is>
          <t>ROE = Net income / Equity</t>
        </is>
      </c>
      <c r="C367" s="215">
        <f>IFERROR(C365/C366,"n/a")</f>
        <v>0.0360910355972528</v>
      </c>
      <c r="D367" s="215">
        <f>IFERROR(D365/D366,"n/a")</f>
        <v>0.101453024619497</v>
      </c>
      <c r="E367" s="215">
        <f>IFERROR(E365/E366,"n/a")</f>
        <v>0.118573598784681</v>
      </c>
      <c r="F367" s="215">
        <f>IFERROR(F365/F366,"n/a")</f>
        <v>0.138064076861974</v>
      </c>
      <c r="G367" s="215">
        <f>IFERROR(G365/G366,"n/a")</f>
        <v>0.0775968150560984</v>
      </c>
      <c r="H367" s="34" t="n"/>
      <c r="I367" s="34" t="n"/>
      <c r="J367" s="34" t="n"/>
      <c r="K367" s="34" t="n"/>
      <c r="L367" s="215">
        <f>IFERROR(L365/L366,"n/a")</f>
        <v>0.185336806847786</v>
      </c>
      <c r="M367" s="34" t="n"/>
      <c r="N367" s="34" t="n"/>
      <c r="O367" s="34" t="n"/>
      <c r="P367" s="34" t="n"/>
      <c r="Q367" s="215">
        <f>IFERROR(Q365/Q366,"n/a")</f>
        <v>0.19837303469157</v>
      </c>
      <c r="R367" s="34" t="n"/>
      <c r="S367" s="34" t="n"/>
      <c r="T367" s="34" t="n"/>
      <c r="U367" s="34" t="n"/>
      <c r="V367" s="215">
        <f>IFERROR(V365/V366,"n/a")</f>
        <v>0.212050130688292</v>
      </c>
      <c r="W367" s="34" t="n"/>
      <c r="X367" s="34" t="n"/>
      <c r="Y367" s="34" t="n"/>
      <c r="Z367" s="34" t="n"/>
      <c r="AA367" s="215">
        <f>IFERROR(AA365/AA366,"n/a")</f>
        <v>0.182030870199319</v>
      </c>
      <c r="AB367" s="34" t="n"/>
      <c r="AC367" s="34" t="n"/>
      <c r="AD367" s="34" t="n"/>
      <c r="AE367" s="34" t="n"/>
      <c r="AF367" s="215">
        <f>IFERROR(AF365/AF366,"n/a")</f>
        <v>0.204487179487179</v>
      </c>
      <c r="AG367" s="34" t="n"/>
      <c r="AH367" s="34" t="n"/>
      <c r="AI367" s="34" t="n"/>
      <c r="AJ367" s="34" t="n"/>
      <c r="AK367" s="215">
        <f>IFERROR(AK365/AK366,"n/a")</f>
        <v>0.302917132270776</v>
      </c>
      <c r="AL367" s="34" t="n"/>
      <c r="AM367" s="34" t="n"/>
      <c r="AN367" s="34" t="n"/>
      <c r="AO367" s="34" t="n"/>
      <c r="AP367" s="215">
        <f>IFERROR(AP365/AP366,"n/a")</f>
        <v>0.348287394764156</v>
      </c>
      <c r="AQ367" s="34" t="n"/>
      <c r="AR367" s="34" t="n"/>
      <c r="AS367" s="34" t="n"/>
      <c r="AT367" s="34" t="n"/>
      <c r="AU367" s="215">
        <f>IFERROR(AU365/AU366,"n/a")</f>
        <v>0.300082850041425</v>
      </c>
      <c r="AV367" s="34" t="n"/>
      <c r="AW367" s="34" t="n"/>
      <c r="AX367" s="34" t="n"/>
      <c r="AY367" s="34" t="n"/>
      <c r="AZ367" s="215">
        <f>IFERROR(AZ365/AZ366,"n/a")</f>
        <v>0.327516028625396</v>
      </c>
      <c r="BA367" s="34" t="n"/>
      <c r="BB367" s="34" t="n"/>
      <c r="BC367" s="34" t="n"/>
      <c r="BD367" s="34" t="n"/>
      <c r="BE367" s="215">
        <f>IFERROR(BE365/BE366,"n/a")</f>
        <v>0.42036480143897</v>
      </c>
      <c r="BF367" s="34" t="n"/>
      <c r="BG367" s="34" t="n"/>
      <c r="BH367" s="34" t="n"/>
      <c r="BI367" s="34" t="n"/>
      <c r="BJ367" s="215">
        <f>IFERROR(BJ365/BJ366,"n/a")</f>
        <v>0.445950481501562</v>
      </c>
      <c r="BK367" s="34" t="n"/>
      <c r="BL367" s="34" t="n"/>
      <c r="BM367" s="34" t="n"/>
      <c r="BN367" s="34" t="n"/>
      <c r="BO367" s="215">
        <f>IFERROR(BO365/BO366,"n/a")</f>
        <v>0.504458696374275</v>
      </c>
      <c r="BP367" s="34" t="n"/>
      <c r="BQ367" s="34" t="n"/>
      <c r="BR367" s="34" t="n"/>
      <c r="BS367" s="34" t="n"/>
      <c r="BT367" s="215">
        <f>IFERROR(BT365/BT366,"n/a")</f>
        <v>0.529109182516025</v>
      </c>
      <c r="BU367" s="34" t="n"/>
      <c r="BV367" s="34" t="n"/>
      <c r="BW367" s="34" t="n"/>
      <c r="BX367" s="35" t="n"/>
      <c r="BY367" s="256">
        <f>IFERROR(BY365/BY366,"n/a")</f>
        <v>0.672504646566941</v>
      </c>
      <c r="BZ367" s="256">
        <f>IFERROR(BZ365/BZ366,"n/a")</f>
        <v>0.837780503437127</v>
      </c>
      <c r="CA367" s="256">
        <f>IFERROR(CA365/CA366,"n/a")</f>
        <v>0.932805982153255</v>
      </c>
      <c r="CB367" s="256">
        <f>IFERROR(CB365/CB366,"n/a")</f>
        <v>1.03823928034013</v>
      </c>
      <c r="CC367" s="256">
        <f>IFERROR(CC365/CC366,"n/a")</f>
        <v>1.14089006647782</v>
      </c>
      <c r="CD367" s="256">
        <f>IFERROR(CD365/CD366,"n/a")</f>
        <v>1.25672033034251</v>
      </c>
      <c r="CE367" s="19" t="n"/>
      <c r="CG367" s="37">
        <f>IFERROR(AVERAGE(BZ367,CA367,CB367,CC367,CD367),"n/m")</f>
        <v>1.04128723255017</v>
      </c>
      <c r="CH367" s="37">
        <f>IFERROR(AVERAGE(AZ367,BE367,BJ367,BO367,BT367),"n/m")</f>
        <v>0.445479838091246</v>
      </c>
      <c r="CI367" s="37">
        <f>IFERROR(AVERAGE(AA367,AF367,AK367,AP367,AU367,AZ367,BE367,BJ367,BO367,BT367),"n/m")</f>
        <v>0.356520461721908</v>
      </c>
      <c r="CJ367" s="37">
        <f>IFERROR(AVERAGE(C367,D367,E367,F367,G367,L367,Q367,V367,AA367,AF367,AK367,AP367,AU367,AZ367,BE367,BJ367,BO367,BT367),"n/m")</f>
        <v>0.257374618909235</v>
      </c>
    </row>
    <row r="368" ht="15" customHeight="1" s="251">
      <c r="B368" s="25" t="inlineStr">
        <is>
          <t>Leverage</t>
        </is>
      </c>
      <c r="CE368" s="153" t="n"/>
    </row>
    <row r="369" ht="15" customHeight="1" s="251">
      <c r="B369" s="25" t="inlineStr">
        <is>
          <t>Net debt = Total debt − cash − investment securities</t>
        </is>
      </c>
      <c r="C369" s="211">
        <f>C351</f>
        <v>-5472</v>
      </c>
      <c r="D369" s="211">
        <f>D351</f>
        <v>-4844</v>
      </c>
      <c r="E369" s="211">
        <f>E351</f>
        <v>-4031</v>
      </c>
      <c r="F369" s="211">
        <f>F351</f>
        <v>-4109</v>
      </c>
      <c r="G369" s="211">
        <f>G351</f>
        <v>-6100</v>
      </c>
      <c r="H369" s="34" t="n"/>
      <c r="I369" s="34" t="n"/>
      <c r="J369" s="34" t="n"/>
      <c r="K369" s="34" t="n"/>
      <c r="L369" s="211">
        <f>L351</f>
        <v>-7015</v>
      </c>
      <c r="M369" s="34" t="n"/>
      <c r="N369" s="34" t="n"/>
      <c r="O369" s="34" t="n"/>
      <c r="P369" s="34" t="n"/>
      <c r="Q369" s="211">
        <f>Q351</f>
        <v>-6965</v>
      </c>
      <c r="R369" s="34" t="n"/>
      <c r="S369" s="34" t="n"/>
      <c r="T369" s="34" t="n"/>
      <c r="U369" s="34" t="n"/>
      <c r="V369" s="211">
        <f>V351</f>
        <v>-9399</v>
      </c>
      <c r="W369" s="34" t="n"/>
      <c r="X369" s="34" t="n"/>
      <c r="Y369" s="34" t="n"/>
      <c r="Z369" s="34" t="n"/>
      <c r="AA369" s="211">
        <f>AA351</f>
        <v>3013</v>
      </c>
      <c r="AB369" s="34" t="n"/>
      <c r="AC369" s="34" t="n"/>
      <c r="AD369" s="34" t="n"/>
      <c r="AE369" s="34" t="n"/>
      <c r="AF369" s="211">
        <f>AF351</f>
        <v>3003</v>
      </c>
      <c r="AG369" s="34" t="n"/>
      <c r="AH369" s="34" t="n"/>
      <c r="AI369" s="34" t="n"/>
      <c r="AJ369" s="34" t="n"/>
      <c r="AK369" s="211">
        <f>AK351</f>
        <v>839</v>
      </c>
      <c r="AL369" s="34" t="n"/>
      <c r="AM369" s="34" t="n"/>
      <c r="AN369" s="34" t="n"/>
      <c r="AO369" s="34" t="n"/>
      <c r="AP369" s="211">
        <f>AP351</f>
        <v>2498</v>
      </c>
      <c r="AQ369" s="34" t="n"/>
      <c r="AR369" s="34" t="n"/>
      <c r="AS369" s="34" t="n"/>
      <c r="AT369" s="34" t="n"/>
      <c r="AU369" s="211">
        <f>AU351</f>
        <v>3798</v>
      </c>
      <c r="AV369" s="34" t="n"/>
      <c r="AW369" s="34" t="n"/>
      <c r="AX369" s="34" t="n"/>
      <c r="AY369" s="34" t="n"/>
      <c r="AZ369" s="211">
        <f>AZ351</f>
        <v>760</v>
      </c>
      <c r="BA369" s="34" t="n"/>
      <c r="BB369" s="34" t="n"/>
      <c r="BC369" s="34" t="n"/>
      <c r="BD369" s="34" t="n"/>
      <c r="BE369" s="211">
        <f>BE351</f>
        <v>1792</v>
      </c>
      <c r="BF369" s="34" t="n"/>
      <c r="BG369" s="34" t="n"/>
      <c r="BH369" s="34" t="n"/>
      <c r="BI369" s="34" t="n"/>
      <c r="BJ369" s="211">
        <f>BJ351</f>
        <v>-1586</v>
      </c>
      <c r="BK369" s="34" t="n"/>
      <c r="BL369" s="34" t="n"/>
      <c r="BM369" s="34" t="n"/>
      <c r="BN369" s="34" t="n"/>
      <c r="BO369" s="211">
        <f>BO351</f>
        <v>3116</v>
      </c>
      <c r="BP369" s="34" t="n"/>
      <c r="BQ369" s="34" t="n"/>
      <c r="BR369" s="34" t="n"/>
      <c r="BS369" s="34" t="n"/>
      <c r="BT369" s="211">
        <f>BT351</f>
        <v>5175</v>
      </c>
      <c r="BU369" s="34" t="n"/>
      <c r="BV369" s="34" t="n"/>
      <c r="BW369" s="34" t="n"/>
      <c r="BX369" s="35" t="n"/>
      <c r="BY369" s="254">
        <f>BY351</f>
        <v>8583.0145690096</v>
      </c>
      <c r="BZ369" s="254">
        <f>BZ351</f>
        <v>12435.3755772405</v>
      </c>
      <c r="CA369" s="254">
        <f>CA351</f>
        <v>13825.0110771005</v>
      </c>
      <c r="CB369" s="254">
        <f>CB351</f>
        <v>15286.9196394516</v>
      </c>
      <c r="CC369" s="254">
        <f>CC351</f>
        <v>16728.1804599975</v>
      </c>
      <c r="CD369" s="254">
        <f>CD351</f>
        <v>18299.9458483669</v>
      </c>
      <c r="CE369" s="19" t="n"/>
    </row>
    <row r="370" ht="15" customHeight="1" s="251">
      <c r="B370" s="25" t="inlineStr">
        <is>
          <t>Adjusted EBITDA (model definition)</t>
        </is>
      </c>
      <c r="C370" s="211">
        <f>C174</f>
        <v>3066</v>
      </c>
      <c r="D370" s="211">
        <f>D174</f>
        <v>3832</v>
      </c>
      <c r="E370" s="211">
        <f>E174</f>
        <v>4854</v>
      </c>
      <c r="F370" s="211">
        <f>F174</f>
        <v>5744</v>
      </c>
      <c r="G370" s="211">
        <f>G174</f>
        <v>6570</v>
      </c>
      <c r="H370" s="34" t="n"/>
      <c r="I370" s="34" t="n"/>
      <c r="J370" s="34" t="n"/>
      <c r="K370" s="34" t="n"/>
      <c r="L370" s="211">
        <f>L174</f>
        <v>7636</v>
      </c>
      <c r="M370" s="34" t="n"/>
      <c r="N370" s="34" t="n"/>
      <c r="O370" s="34" t="n"/>
      <c r="P370" s="34" t="n"/>
      <c r="Q370" s="211">
        <f>Q174</f>
        <v>8582</v>
      </c>
      <c r="R370" s="34" t="n"/>
      <c r="S370" s="34" t="n"/>
      <c r="T370" s="34" t="n"/>
      <c r="U370" s="34" t="n"/>
      <c r="V370" s="211">
        <f>V174</f>
        <v>9558</v>
      </c>
      <c r="W370" s="34" t="n"/>
      <c r="X370" s="34" t="n"/>
      <c r="Y370" s="34" t="n"/>
      <c r="Z370" s="34" t="n"/>
      <c r="AA370" s="211">
        <f>AA174</f>
        <v>10524</v>
      </c>
      <c r="AB370" s="34" t="n"/>
      <c r="AC370" s="34" t="n"/>
      <c r="AD370" s="34" t="n"/>
      <c r="AE370" s="34" t="n"/>
      <c r="AF370" s="211">
        <f>AF174</f>
        <v>12892</v>
      </c>
      <c r="AG370" s="34" t="n"/>
      <c r="AH370" s="34" t="n"/>
      <c r="AI370" s="34" t="n"/>
      <c r="AJ370" s="34" t="n"/>
      <c r="AK370" s="211">
        <f>AK174</f>
        <v>14362</v>
      </c>
      <c r="AL370" s="34" t="n"/>
      <c r="AM370" s="34" t="n"/>
      <c r="AN370" s="34" t="n"/>
      <c r="AO370" s="34" t="n"/>
      <c r="AP370" s="211">
        <f>AP174</f>
        <v>16027</v>
      </c>
      <c r="AQ370" s="34" t="n"/>
      <c r="AR370" s="34" t="n"/>
      <c r="AS370" s="34" t="n"/>
      <c r="AT370" s="34" t="n"/>
      <c r="AU370" s="211">
        <f>AU174</f>
        <v>14865</v>
      </c>
      <c r="AV370" s="34" t="n"/>
      <c r="AW370" s="34" t="n"/>
      <c r="AX370" s="34" t="n"/>
      <c r="AY370" s="34" t="n"/>
      <c r="AZ370" s="211">
        <f>AZ174</f>
        <v>16781</v>
      </c>
      <c r="BA370" s="34" t="n"/>
      <c r="BB370" s="34" t="n"/>
      <c r="BC370" s="34" t="n"/>
      <c r="BD370" s="34" t="n"/>
      <c r="BE370" s="211">
        <f>BE174</f>
        <v>20664</v>
      </c>
      <c r="BF370" s="34" t="n"/>
      <c r="BG370" s="34" t="n"/>
      <c r="BH370" s="34" t="n"/>
      <c r="BI370" s="34" t="n"/>
      <c r="BJ370" s="211">
        <f>BJ174</f>
        <v>22939</v>
      </c>
      <c r="BK370" s="34" t="n"/>
      <c r="BL370" s="34" t="n"/>
      <c r="BM370" s="34" t="n"/>
      <c r="BN370" s="34" t="n"/>
      <c r="BO370" s="211">
        <f>BO174</f>
        <v>25173</v>
      </c>
      <c r="BP370" s="34" t="n"/>
      <c r="BQ370" s="34" t="n"/>
      <c r="BR370" s="34" t="n"/>
      <c r="BS370" s="34" t="n"/>
      <c r="BT370" s="211">
        <f>BT174</f>
        <v>28096</v>
      </c>
      <c r="BU370" s="34" t="n"/>
      <c r="BV370" s="34" t="n"/>
      <c r="BW370" s="34" t="n"/>
      <c r="BX370" s="35" t="n"/>
      <c r="BY370" s="254">
        <f>BY174</f>
        <v>32066.3014109503</v>
      </c>
      <c r="BZ370" s="254">
        <f>BZ174</f>
        <v>35529.6445064014</v>
      </c>
      <c r="CA370" s="254">
        <f>CA174</f>
        <v>39500.0316488585</v>
      </c>
      <c r="CB370" s="254">
        <f>CB174</f>
        <v>43676.913255576</v>
      </c>
      <c r="CC370" s="254">
        <f>CC174</f>
        <v>47794.8013142786</v>
      </c>
      <c r="CD370" s="254">
        <f>CD174</f>
        <v>52285.5595667626</v>
      </c>
      <c r="CE370" s="19" t="n"/>
    </row>
    <row r="371" ht="15" customHeight="1" s="251">
      <c r="B371" s="55" t="inlineStr">
        <is>
          <t>Net debt / adjusted EBITDA (x)</t>
        </is>
      </c>
      <c r="C371" s="293">
        <f>IFERROR(C369/C370,"n/a")</f>
        <v>-1.78473581213307</v>
      </c>
      <c r="D371" s="293">
        <f>IFERROR(D369/D370,"n/a")</f>
        <v>-1.26409185803758</v>
      </c>
      <c r="E371" s="293">
        <f>IFERROR(E369/E370,"n/a")</f>
        <v>-0.830449114132674</v>
      </c>
      <c r="F371" s="293">
        <f>IFERROR(F369/F370,"n/a")</f>
        <v>-0.715355153203343</v>
      </c>
      <c r="G371" s="293">
        <f>IFERROR(G369/G370,"n/a")</f>
        <v>-0.928462709284627</v>
      </c>
      <c r="H371" s="56" t="n"/>
      <c r="I371" s="56" t="n"/>
      <c r="J371" s="56" t="n"/>
      <c r="K371" s="56" t="n"/>
      <c r="L371" s="293">
        <f>IFERROR(L369/L370,"n/a")</f>
        <v>-0.918674698795181</v>
      </c>
      <c r="M371" s="56" t="n"/>
      <c r="N371" s="56" t="n"/>
      <c r="O371" s="56" t="n"/>
      <c r="P371" s="56" t="n"/>
      <c r="Q371" s="293">
        <f>IFERROR(Q369/Q370,"n/a")</f>
        <v>-0.811582381729201</v>
      </c>
      <c r="R371" s="56" t="n"/>
      <c r="S371" s="56" t="n"/>
      <c r="T371" s="56" t="n"/>
      <c r="U371" s="56" t="n"/>
      <c r="V371" s="293">
        <f>IFERROR(V369/V370,"n/a")</f>
        <v>-0.983364720652856</v>
      </c>
      <c r="W371" s="56" t="n"/>
      <c r="X371" s="56" t="n"/>
      <c r="Y371" s="56" t="n"/>
      <c r="Z371" s="56" t="n"/>
      <c r="AA371" s="293">
        <f>IFERROR(AA369/AA370,"n/a")</f>
        <v>0.286297985556823</v>
      </c>
      <c r="AB371" s="56" t="n"/>
      <c r="AC371" s="56" t="n"/>
      <c r="AD371" s="56" t="n"/>
      <c r="AE371" s="56" t="n"/>
      <c r="AF371" s="293">
        <f>IFERROR(AF369/AF370,"n/a")</f>
        <v>0.232935153583618</v>
      </c>
      <c r="AG371" s="56" t="n"/>
      <c r="AH371" s="56" t="n"/>
      <c r="AI371" s="56" t="n"/>
      <c r="AJ371" s="56" t="n"/>
      <c r="AK371" s="293">
        <f>IFERROR(AK369/AK370,"n/a")</f>
        <v>0.0584180476256789</v>
      </c>
      <c r="AL371" s="56" t="n"/>
      <c r="AM371" s="56" t="n"/>
      <c r="AN371" s="56" t="n"/>
      <c r="AO371" s="56" t="n"/>
      <c r="AP371" s="293">
        <f>IFERROR(AP369/AP370,"n/a")</f>
        <v>0.15586198290385</v>
      </c>
      <c r="AQ371" s="56" t="n"/>
      <c r="AR371" s="56" t="n"/>
      <c r="AS371" s="56" t="n"/>
      <c r="AT371" s="56" t="n"/>
      <c r="AU371" s="293">
        <f>IFERROR(AU369/AU370,"n/a")</f>
        <v>0.255499495459132</v>
      </c>
      <c r="AV371" s="56" t="n"/>
      <c r="AW371" s="56" t="n"/>
      <c r="AX371" s="56" t="n"/>
      <c r="AY371" s="56" t="n"/>
      <c r="AZ371" s="293">
        <f>IFERROR(AZ369/AZ370,"n/a")</f>
        <v>0.0452893152970622</v>
      </c>
      <c r="BA371" s="56" t="n"/>
      <c r="BB371" s="56" t="n"/>
      <c r="BC371" s="56" t="n"/>
      <c r="BD371" s="56" t="n"/>
      <c r="BE371" s="293">
        <f>IFERROR(BE369/BE370,"n/a")</f>
        <v>0.0867208672086721</v>
      </c>
      <c r="BF371" s="56" t="n"/>
      <c r="BG371" s="56" t="n"/>
      <c r="BH371" s="56" t="n"/>
      <c r="BI371" s="56" t="n"/>
      <c r="BJ371" s="293">
        <f>IFERROR(BJ369/BJ370,"n/a")</f>
        <v>-0.0691398927590566</v>
      </c>
      <c r="BK371" s="56" t="n"/>
      <c r="BL371" s="56" t="n"/>
      <c r="BM371" s="56" t="n"/>
      <c r="BN371" s="56" t="n"/>
      <c r="BO371" s="293">
        <f>IFERROR(BO369/BO370,"n/a")</f>
        <v>0.123783418742303</v>
      </c>
      <c r="BP371" s="56" t="n"/>
      <c r="BQ371" s="56" t="n"/>
      <c r="BR371" s="56" t="n"/>
      <c r="BS371" s="56" t="n"/>
      <c r="BT371" s="293">
        <f>IFERROR(BT369/BT370,"n/a")</f>
        <v>0.184189920273349</v>
      </c>
      <c r="BU371" s="56" t="n"/>
      <c r="BV371" s="56" t="n"/>
      <c r="BW371" s="56" t="n"/>
      <c r="BX371" s="56" t="n"/>
      <c r="BY371" s="293">
        <f>IFERROR(BY369/BY370,"n/a")</f>
        <v>0.267664625832981</v>
      </c>
      <c r="BZ371" s="293">
        <f>IFERROR(BZ369/BZ370,"n/a")</f>
        <v>0.35</v>
      </c>
      <c r="CA371" s="293">
        <f>IFERROR(CA369/CA370,"n/a")</f>
        <v>0.35</v>
      </c>
      <c r="CB371" s="293">
        <f>IFERROR(CB369/CB370,"n/a")</f>
        <v>0.35</v>
      </c>
      <c r="CC371" s="293">
        <f>IFERROR(CC369/CC370,"n/a")</f>
        <v>0.35</v>
      </c>
      <c r="CD371" s="293">
        <f>IFERROR(CD369/CD370,"n/a")</f>
        <v>0.35</v>
      </c>
      <c r="CE371" s="153" t="n"/>
      <c r="CG371" s="37">
        <f>IFERROR(AVERAGE(BZ371,CA371,CB371,CC371,CD371),"n/m")</f>
        <v>0.35</v>
      </c>
      <c r="CH371" s="37">
        <f>IFERROR(AVERAGE(AZ371,BE371,BJ371,BO371,BT371),"n/m")</f>
        <v>0.0741687257524659</v>
      </c>
      <c r="CI371" s="37">
        <f>IFERROR(AVERAGE(AA371,AF371,AK371,AP371,AU371,AZ371,BE371,BJ371,BO371,BT371),"n/m")</f>
        <v>0.135985629389143</v>
      </c>
      <c r="CJ371" s="37">
        <f>IFERROR(AVERAGE(C371,D371,E371,F371,G371,L371,Q371,V371,AA371,AF371,AK371,AP371,AU371,AZ371,BE371,BJ371,BO371,BT371),"n/m")</f>
        <v>-0.382047786337617</v>
      </c>
    </row>
    <row r="372" ht="15" customHeight="1" s="251">
      <c r="B372" s="25" t="inlineStr">
        <is>
          <t>Total debt / adjusted EBITDA (x)</t>
        </is>
      </c>
      <c r="C372" s="286">
        <f>IFERROR(C322/C174,"n/a")</f>
        <v>0.0345727332028702</v>
      </c>
      <c r="D372" s="286">
        <f>IFERROR(D322/D174,"n/a")</f>
        <v>0.0146137787056367</v>
      </c>
      <c r="E372" s="286">
        <f>IFERROR(E322/E174,"n/a")</f>
        <v>0.00906468891635764</v>
      </c>
      <c r="F372" s="286">
        <f>IFERROR(F322/F174,"n/a")</f>
        <v>0</v>
      </c>
      <c r="G372" s="286">
        <f>IFERROR(G322/G174,"n/a")</f>
        <v>0</v>
      </c>
      <c r="H372" s="34" t="n"/>
      <c r="I372" s="34" t="n"/>
      <c r="J372" s="34" t="n"/>
      <c r="K372" s="34" t="n"/>
      <c r="L372" s="286">
        <f>IFERROR(L322/L174,"n/a")</f>
        <v>0</v>
      </c>
      <c r="M372" s="34" t="n"/>
      <c r="N372" s="34" t="n"/>
      <c r="O372" s="34" t="n"/>
      <c r="P372" s="34" t="n"/>
      <c r="Q372" s="286">
        <f>IFERROR(Q322/Q174,"n/a")</f>
        <v>0</v>
      </c>
      <c r="R372" s="34" t="n"/>
      <c r="S372" s="34" t="n"/>
      <c r="T372" s="34" t="n"/>
      <c r="U372" s="34" t="n"/>
      <c r="V372" s="286">
        <f>IFERROR(V322/V174,"n/a")</f>
        <v>0</v>
      </c>
      <c r="W372" s="34" t="n"/>
      <c r="X372" s="34" t="n"/>
      <c r="Y372" s="34" t="n"/>
      <c r="Z372" s="34" t="n"/>
      <c r="AA372" s="286">
        <f>IFERROR(AA322/AA174,"n/a")</f>
        <v>1.50912200684151</v>
      </c>
      <c r="AB372" s="34" t="n"/>
      <c r="AC372" s="34" t="n"/>
      <c r="AD372" s="34" t="n"/>
      <c r="AE372" s="34" t="n"/>
      <c r="AF372" s="286">
        <f>IFERROR(AF322/AF174,"n/a")</f>
        <v>1.42468197331679</v>
      </c>
      <c r="AG372" s="34" t="n"/>
      <c r="AH372" s="34" t="n"/>
      <c r="AI372" s="34" t="n"/>
      <c r="AJ372" s="34" t="n"/>
      <c r="AK372" s="286">
        <f>IFERROR(AK322/AK174,"n/a")</f>
        <v>1.15791672469015</v>
      </c>
      <c r="AL372" s="34" t="n"/>
      <c r="AM372" s="34" t="n"/>
      <c r="AN372" s="34" t="n"/>
      <c r="AO372" s="34" t="n"/>
      <c r="AP372" s="286">
        <f>IFERROR(AP322/AP174,"n/a")</f>
        <v>1.04380108566794</v>
      </c>
      <c r="AQ372" s="34" t="n"/>
      <c r="AR372" s="34" t="n"/>
      <c r="AS372" s="34" t="n"/>
      <c r="AT372" s="34" t="n"/>
      <c r="AU372" s="286">
        <f>IFERROR(AU322/AU174,"n/a")</f>
        <v>1.6192398250925</v>
      </c>
      <c r="AV372" s="34" t="n"/>
      <c r="AW372" s="34" t="n"/>
      <c r="AX372" s="34" t="n"/>
      <c r="AY372" s="34" t="n"/>
      <c r="AZ372" s="286">
        <f>IFERROR(AZ322/AZ174,"n/a")</f>
        <v>1.25004469340325</v>
      </c>
      <c r="BA372" s="34" t="n"/>
      <c r="BB372" s="34" t="n"/>
      <c r="BC372" s="34" t="n"/>
      <c r="BD372" s="34" t="n"/>
      <c r="BE372" s="286">
        <f>IFERROR(BE322/BE174,"n/a")</f>
        <v>1.08643050716221</v>
      </c>
      <c r="BF372" s="34" t="n"/>
      <c r="BG372" s="34" t="n"/>
      <c r="BH372" s="34" t="n"/>
      <c r="BI372" s="34" t="n"/>
      <c r="BJ372" s="286">
        <f>IFERROR(BJ322/BJ174,"n/a")</f>
        <v>0.89206155455774</v>
      </c>
      <c r="BK372" s="34" t="n"/>
      <c r="BL372" s="34" t="n"/>
      <c r="BM372" s="34" t="n"/>
      <c r="BN372" s="34" t="n"/>
      <c r="BO372" s="286">
        <f>IFERROR(BO322/BO174,"n/a")</f>
        <v>0.827712231358996</v>
      </c>
      <c r="BP372" s="34" t="n"/>
      <c r="BQ372" s="34" t="n"/>
      <c r="BR372" s="34" t="n"/>
      <c r="BS372" s="34" t="n"/>
      <c r="BT372" s="286">
        <f>IFERROR(BT322/BT174,"n/a")</f>
        <v>0.895892653758542</v>
      </c>
      <c r="BU372" s="34" t="n"/>
      <c r="BV372" s="34" t="n"/>
      <c r="BW372" s="34" t="n"/>
      <c r="BX372" s="35" t="n"/>
      <c r="BY372" s="287">
        <f>IFERROR(BY322/BY174,"n/a")</f>
        <v>0.697242869187433</v>
      </c>
      <c r="BZ372" s="287">
        <f>IFERROR(BZ322/BZ174,"n/a")</f>
        <v>0.73230047580557</v>
      </c>
      <c r="CA372" s="287">
        <f>IFERROR(CA322/CA174,"n/a")</f>
        <v>0.69387314219766</v>
      </c>
      <c r="CB372" s="287">
        <f>IFERROR(CB322/CB174,"n/a")</f>
        <v>0.660988093881977</v>
      </c>
      <c r="CC372" s="287">
        <f>IFERROR(CC322/CC174,"n/a")</f>
        <v>0.634194088614029</v>
      </c>
      <c r="CD372" s="287">
        <f>IFERROR(CD322/CD174,"n/a")</f>
        <v>0.60978492173649</v>
      </c>
      <c r="CE372" s="19" t="n"/>
    </row>
    <row r="373" ht="15" customHeight="1" s="251">
      <c r="CM373" s="11" t="n"/>
      <c r="CN373" s="12" t="n"/>
      <c r="CO373" s="12" t="n"/>
      <c r="CP373" s="12" t="n"/>
      <c r="CQ373" s="13" t="n"/>
    </row>
    <row r="374" ht="15" customHeight="1" s="251">
      <c r="B374" s="10" t="inlineStr">
        <is>
          <t>VALUATION</t>
        </is>
      </c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inlineStr">
        <is>
          <t>VALUATION — share price input $389.00 (user-provided, 12-Oct-2026; latest SEC-filed price: $330.82 weighted-average June-2026 repurchase price, Q3 FY26 10-Q Part II Item 2); update to market</t>
        </is>
      </c>
    </row>
    <row r="375" ht="15" customHeight="1" s="251">
      <c r="B375" s="69" t="inlineStr">
        <is>
          <t>Share price ($) — current</t>
        </is>
      </c>
      <c r="C375" s="44" t="n"/>
      <c r="D375" s="44" t="n"/>
      <c r="E375" s="44" t="n"/>
      <c r="F375" s="44" t="n"/>
      <c r="G375" s="44" t="n"/>
      <c r="H375" s="44" t="n"/>
      <c r="I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  <c r="Z375" s="44" t="n"/>
      <c r="AA375" s="44" t="n"/>
      <c r="AB375" s="44" t="n"/>
      <c r="AC375" s="44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  <c r="AQ375" s="44" t="n"/>
      <c r="AR375" s="44" t="n"/>
      <c r="AS375" s="44" t="n"/>
      <c r="AT375" s="44" t="n"/>
      <c r="AU375" s="44" t="n"/>
      <c r="AV375" s="44" t="n"/>
      <c r="AW375" s="44" t="n"/>
      <c r="AX375" s="44" t="n"/>
      <c r="AY375" s="44" t="n"/>
      <c r="AZ375" s="44" t="n"/>
      <c r="BA375" s="44" t="n"/>
      <c r="BB375" s="44" t="n"/>
      <c r="BC375" s="44" t="n"/>
      <c r="BD375" s="44" t="n"/>
      <c r="BE375" s="44" t="n"/>
      <c r="BF375" s="44" t="n"/>
      <c r="BG375" s="44" t="n"/>
      <c r="BH375" s="44" t="n"/>
      <c r="BI375" s="44" t="n"/>
      <c r="BJ375" s="44" t="n"/>
      <c r="BK375" s="44" t="n"/>
      <c r="BL375" s="44" t="n"/>
      <c r="BM375" s="44" t="n"/>
      <c r="BN375" s="44" t="n"/>
      <c r="BO375" s="44" t="n"/>
      <c r="BP375" s="44" t="n"/>
      <c r="BQ375" s="44" t="n"/>
      <c r="BR375" s="44" t="n"/>
      <c r="BS375" s="44" t="n"/>
      <c r="BT375" s="44" t="n"/>
      <c r="BU375" s="44" t="n"/>
      <c r="BV375" s="44" t="n"/>
      <c r="BW375" s="44" t="n"/>
      <c r="BX375" s="153" t="n"/>
      <c r="BY375" s="288" t="n">
        <v>389</v>
      </c>
      <c r="BZ375" s="262">
        <f>BY375</f>
        <v>389</v>
      </c>
      <c r="CA375" s="262">
        <f>BZ375</f>
        <v>389</v>
      </c>
      <c r="CB375" s="262">
        <f>CA375</f>
        <v>389</v>
      </c>
      <c r="CC375" s="262">
        <f>CB375</f>
        <v>389</v>
      </c>
      <c r="CD375" s="262">
        <f>CC375</f>
        <v>389</v>
      </c>
      <c r="CE375" s="19" t="inlineStr">
        <is>
          <t>User-provided $389 (12-Oct-2026); update to market.</t>
        </is>
      </c>
    </row>
    <row r="376" ht="15" customHeight="1" s="251">
      <c r="B376" s="25" t="inlineStr">
        <is>
          <t>Diluted as-converted shares at period end (m)</t>
        </is>
      </c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  <c r="AA376" s="34" t="n"/>
      <c r="AB376" s="34" t="n"/>
      <c r="AC376" s="34" t="n"/>
      <c r="AD376" s="34" t="n"/>
      <c r="AE376" s="34" t="n"/>
      <c r="AF376" s="34" t="n"/>
      <c r="AG376" s="34" t="n"/>
      <c r="AH376" s="34" t="n"/>
      <c r="AI376" s="34" t="n"/>
      <c r="AJ376" s="34" t="n"/>
      <c r="AK376" s="34" t="n"/>
      <c r="AL376" s="34" t="n"/>
      <c r="AM376" s="34" t="n"/>
      <c r="AN376" s="34" t="n"/>
      <c r="AO376" s="34" t="n"/>
      <c r="AP376" s="34" t="n"/>
      <c r="AQ376" s="34" t="n"/>
      <c r="AR376" s="34" t="n"/>
      <c r="AS376" s="34" t="n"/>
      <c r="AT376" s="34" t="n"/>
      <c r="AU376" s="34" t="n"/>
      <c r="AV376" s="34" t="n"/>
      <c r="AW376" s="34" t="n"/>
      <c r="AX376" s="34" t="n"/>
      <c r="AY376" s="34" t="n"/>
      <c r="AZ376" s="34" t="n"/>
      <c r="BA376" s="34" t="n"/>
      <c r="BB376" s="34" t="n"/>
      <c r="BC376" s="34" t="n"/>
      <c r="BD376" s="34" t="n"/>
      <c r="BE376" s="34" t="n"/>
      <c r="BF376" s="34" t="n"/>
      <c r="BG376" s="34" t="n"/>
      <c r="BH376" s="34" t="n"/>
      <c r="BI376" s="34" t="n"/>
      <c r="BJ376" s="34" t="n"/>
      <c r="BK376" s="34" t="n"/>
      <c r="BL376" s="34" t="n"/>
      <c r="BM376" s="34" t="n"/>
      <c r="BN376" s="34" t="n"/>
      <c r="BO376" s="34" t="n"/>
      <c r="BP376" s="34" t="n"/>
      <c r="BQ376" s="34" t="n"/>
      <c r="BR376" s="34" t="n"/>
      <c r="BS376" s="34" t="n"/>
      <c r="BT376" s="34" t="n"/>
      <c r="BU376" s="34" t="n"/>
      <c r="BV376" s="34" t="n"/>
      <c r="BW376" s="34" t="n"/>
      <c r="BX376" s="35" t="n"/>
      <c r="BY376" s="278">
        <f>BY258</f>
        <v>1878.89652956298</v>
      </c>
      <c r="BZ376" s="278">
        <f>BZ258</f>
        <v>1821.84224380452</v>
      </c>
      <c r="CA376" s="278">
        <f>CA258</f>
        <v>1768.94766022925</v>
      </c>
      <c r="CB376" s="278">
        <f>CB258</f>
        <v>1714.38774101396</v>
      </c>
      <c r="CC376" s="278">
        <f>CC258</f>
        <v>1659.13114311215</v>
      </c>
      <c r="CD376" s="278">
        <f>CD258</f>
        <v>1602.86220230517</v>
      </c>
      <c r="CE376" s="19" t="n"/>
    </row>
    <row r="377" ht="15" customHeight="1" s="251">
      <c r="B377" s="25" t="inlineStr">
        <is>
          <t>Market capitalisation (USDm; class A price × as-converted shares)</t>
        </is>
      </c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  <c r="AA377" s="34" t="n"/>
      <c r="AB377" s="34" t="n"/>
      <c r="AC377" s="34" t="n"/>
      <c r="AD377" s="34" t="n"/>
      <c r="AE377" s="34" t="n"/>
      <c r="AF377" s="34" t="n"/>
      <c r="AG377" s="34" t="n"/>
      <c r="AH377" s="34" t="n"/>
      <c r="AI377" s="34" t="n"/>
      <c r="AJ377" s="34" t="n"/>
      <c r="AK377" s="34" t="n"/>
      <c r="AL377" s="34" t="n"/>
      <c r="AM377" s="34" t="n"/>
      <c r="AN377" s="34" t="n"/>
      <c r="AO377" s="34" t="n"/>
      <c r="AP377" s="34" t="n"/>
      <c r="AQ377" s="34" t="n"/>
      <c r="AR377" s="34" t="n"/>
      <c r="AS377" s="34" t="n"/>
      <c r="AT377" s="34" t="n"/>
      <c r="AU377" s="34" t="n"/>
      <c r="AV377" s="34" t="n"/>
      <c r="AW377" s="34" t="n"/>
      <c r="AX377" s="34" t="n"/>
      <c r="AY377" s="34" t="n"/>
      <c r="AZ377" s="34" t="n"/>
      <c r="BA377" s="34" t="n"/>
      <c r="BB377" s="34" t="n"/>
      <c r="BC377" s="34" t="n"/>
      <c r="BD377" s="34" t="n"/>
      <c r="BE377" s="34" t="n"/>
      <c r="BF377" s="34" t="n"/>
      <c r="BG377" s="34" t="n"/>
      <c r="BH377" s="34" t="n"/>
      <c r="BI377" s="34" t="n"/>
      <c r="BJ377" s="34" t="n"/>
      <c r="BK377" s="34" t="n"/>
      <c r="BL377" s="34" t="n"/>
      <c r="BM377" s="34" t="n"/>
      <c r="BN377" s="34" t="n"/>
      <c r="BO377" s="34" t="n"/>
      <c r="BP377" s="34" t="n"/>
      <c r="BQ377" s="34" t="n"/>
      <c r="BR377" s="34" t="n"/>
      <c r="BS377" s="34" t="n"/>
      <c r="BT377" s="34" t="n"/>
      <c r="BU377" s="34" t="n"/>
      <c r="BV377" s="34" t="n"/>
      <c r="BW377" s="34" t="n"/>
      <c r="BX377" s="35" t="n"/>
      <c r="BY377" s="254">
        <f>IFERROR(BY375*BY376,"n/a")</f>
        <v>730890.75</v>
      </c>
      <c r="BZ377" s="254">
        <f>IFERROR(BZ375*BZ376,"n/a")</f>
        <v>708696.632839957</v>
      </c>
      <c r="CA377" s="254">
        <f>IFERROR(CA375*CA376,"n/a")</f>
        <v>688120.639829177</v>
      </c>
      <c r="CB377" s="254">
        <f>IFERROR(CB375*CB376,"n/a")</f>
        <v>666896.831254431</v>
      </c>
      <c r="CC377" s="254">
        <f>IFERROR(CC375*CC376,"n/a")</f>
        <v>645402.014670625</v>
      </c>
      <c r="CD377" s="254">
        <f>IFERROR(CD375*CD376,"n/a")</f>
        <v>623513.396696712</v>
      </c>
      <c r="CE377" s="19" t="n"/>
    </row>
    <row r="378" ht="15" customHeight="1" s="251">
      <c r="B378" s="25" t="inlineStr">
        <is>
          <t>Net debt (USDm)</t>
        </is>
      </c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  <c r="AA378" s="34" t="n"/>
      <c r="AB378" s="34" t="n"/>
      <c r="AC378" s="34" t="n"/>
      <c r="AD378" s="34" t="n"/>
      <c r="AE378" s="34" t="n"/>
      <c r="AF378" s="34" t="n"/>
      <c r="AG378" s="34" t="n"/>
      <c r="AH378" s="34" t="n"/>
      <c r="AI378" s="34" t="n"/>
      <c r="AJ378" s="34" t="n"/>
      <c r="AK378" s="34" t="n"/>
      <c r="AL378" s="34" t="n"/>
      <c r="AM378" s="34" t="n"/>
      <c r="AN378" s="34" t="n"/>
      <c r="AO378" s="34" t="n"/>
      <c r="AP378" s="34" t="n"/>
      <c r="AQ378" s="34" t="n"/>
      <c r="AR378" s="34" t="n"/>
      <c r="AS378" s="34" t="n"/>
      <c r="AT378" s="34" t="n"/>
      <c r="AU378" s="34" t="n"/>
      <c r="AV378" s="34" t="n"/>
      <c r="AW378" s="34" t="n"/>
      <c r="AX378" s="34" t="n"/>
      <c r="AY378" s="34" t="n"/>
      <c r="AZ378" s="34" t="n"/>
      <c r="BA378" s="34" t="n"/>
      <c r="BB378" s="34" t="n"/>
      <c r="BC378" s="34" t="n"/>
      <c r="BD378" s="34" t="n"/>
      <c r="BE378" s="34" t="n"/>
      <c r="BF378" s="34" t="n"/>
      <c r="BG378" s="34" t="n"/>
      <c r="BH378" s="34" t="n"/>
      <c r="BI378" s="34" t="n"/>
      <c r="BJ378" s="34" t="n"/>
      <c r="BK378" s="34" t="n"/>
      <c r="BL378" s="34" t="n"/>
      <c r="BM378" s="34" t="n"/>
      <c r="BN378" s="34" t="n"/>
      <c r="BO378" s="34" t="n"/>
      <c r="BP378" s="34" t="n"/>
      <c r="BQ378" s="34" t="n"/>
      <c r="BR378" s="34" t="n"/>
      <c r="BS378" s="34" t="n"/>
      <c r="BT378" s="34" t="n"/>
      <c r="BU378" s="34" t="n"/>
      <c r="BV378" s="34" t="n"/>
      <c r="BW378" s="34" t="n"/>
      <c r="BX378" s="35" t="n"/>
      <c r="BY378" s="254">
        <f>BY369</f>
        <v>8583.0145690096</v>
      </c>
      <c r="BZ378" s="254">
        <f>BZ369</f>
        <v>12435.3755772405</v>
      </c>
      <c r="CA378" s="254">
        <f>CA369</f>
        <v>13825.0110771005</v>
      </c>
      <c r="CB378" s="254">
        <f>CB369</f>
        <v>15286.9196394516</v>
      </c>
      <c r="CC378" s="254">
        <f>CC369</f>
        <v>16728.1804599975</v>
      </c>
      <c r="CD378" s="254">
        <f>CD369</f>
        <v>18299.9458483669</v>
      </c>
      <c r="CE378" s="19" t="n"/>
    </row>
    <row r="379" ht="15" customHeight="1" s="251">
      <c r="B379" s="25" t="inlineStr">
        <is>
          <t>Non-controlling interests (USDm)</t>
        </is>
      </c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  <c r="AA379" s="34" t="n"/>
      <c r="AB379" s="34" t="n"/>
      <c r="AC379" s="34" t="n"/>
      <c r="AD379" s="34" t="n"/>
      <c r="AE379" s="34" t="n"/>
      <c r="AF379" s="34" t="n"/>
      <c r="AG379" s="34" t="n"/>
      <c r="AH379" s="34" t="n"/>
      <c r="AI379" s="34" t="n"/>
      <c r="AJ379" s="34" t="n"/>
      <c r="AK379" s="34" t="n"/>
      <c r="AL379" s="34" t="n"/>
      <c r="AM379" s="34" t="n"/>
      <c r="AN379" s="34" t="n"/>
      <c r="AO379" s="34" t="n"/>
      <c r="AP379" s="34" t="n"/>
      <c r="AQ379" s="34" t="n"/>
      <c r="AR379" s="34" t="n"/>
      <c r="AS379" s="34" t="n"/>
      <c r="AT379" s="34" t="n"/>
      <c r="AU379" s="34" t="n"/>
      <c r="AV379" s="34" t="n"/>
      <c r="AW379" s="34" t="n"/>
      <c r="AX379" s="34" t="n"/>
      <c r="AY379" s="34" t="n"/>
      <c r="AZ379" s="34" t="n"/>
      <c r="BA379" s="34" t="n"/>
      <c r="BB379" s="34" t="n"/>
      <c r="BC379" s="34" t="n"/>
      <c r="BD379" s="34" t="n"/>
      <c r="BE379" s="34" t="n"/>
      <c r="BF379" s="34" t="n"/>
      <c r="BG379" s="34" t="n"/>
      <c r="BH379" s="34" t="n"/>
      <c r="BI379" s="34" t="n"/>
      <c r="BJ379" s="34" t="n"/>
      <c r="BK379" s="34" t="n"/>
      <c r="BL379" s="34" t="n"/>
      <c r="BM379" s="34" t="n"/>
      <c r="BN379" s="34" t="n"/>
      <c r="BO379" s="34" t="n"/>
      <c r="BP379" s="34" t="n"/>
      <c r="BQ379" s="34" t="n"/>
      <c r="BR379" s="34" t="n"/>
      <c r="BS379" s="34" t="n"/>
      <c r="BT379" s="34" t="n"/>
      <c r="BU379" s="34" t="n"/>
      <c r="BV379" s="34" t="n"/>
      <c r="BW379" s="34" t="n"/>
      <c r="BX379" s="35" t="n"/>
      <c r="BY379" s="254">
        <f>BY287</f>
        <v>0</v>
      </c>
      <c r="BZ379" s="254">
        <f>BZ287</f>
        <v>0</v>
      </c>
      <c r="CA379" s="254">
        <f>CA287</f>
        <v>0</v>
      </c>
      <c r="CB379" s="254">
        <f>CB287</f>
        <v>0</v>
      </c>
      <c r="CC379" s="254">
        <f>CC287</f>
        <v>0</v>
      </c>
      <c r="CD379" s="254">
        <f>CD287</f>
        <v>0</v>
      </c>
      <c r="CE379" s="19" t="n"/>
    </row>
    <row r="380" ht="15" customHeight="1" s="251">
      <c r="B380" s="16" t="inlineStr">
        <is>
          <t>Enterprise value (USDm)</t>
        </is>
      </c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  <c r="AB380" s="43" t="n"/>
      <c r="AC380" s="43" t="n"/>
      <c r="AD380" s="43" t="n"/>
      <c r="AE380" s="43" t="n"/>
      <c r="AF380" s="43" t="n"/>
      <c r="AG380" s="43" t="n"/>
      <c r="AH380" s="43" t="n"/>
      <c r="AI380" s="43" t="n"/>
      <c r="AJ380" s="43" t="n"/>
      <c r="AK380" s="43" t="n"/>
      <c r="AL380" s="43" t="n"/>
      <c r="AM380" s="43" t="n"/>
      <c r="AN380" s="43" t="n"/>
      <c r="AO380" s="43" t="n"/>
      <c r="AP380" s="43" t="n"/>
      <c r="AQ380" s="43" t="n"/>
      <c r="AR380" s="43" t="n"/>
      <c r="AS380" s="43" t="n"/>
      <c r="AT380" s="43" t="n"/>
      <c r="AU380" s="43" t="n"/>
      <c r="AV380" s="43" t="n"/>
      <c r="AW380" s="43" t="n"/>
      <c r="AX380" s="43" t="n"/>
      <c r="AY380" s="43" t="n"/>
      <c r="AZ380" s="43" t="n"/>
      <c r="BA380" s="43" t="n"/>
      <c r="BB380" s="43" t="n"/>
      <c r="BC380" s="43" t="n"/>
      <c r="BD380" s="43" t="n"/>
      <c r="BE380" s="43" t="n"/>
      <c r="BF380" s="43" t="n"/>
      <c r="BG380" s="43" t="n"/>
      <c r="BH380" s="43" t="n"/>
      <c r="BI380" s="43" t="n"/>
      <c r="BJ380" s="43" t="n"/>
      <c r="BK380" s="43" t="n"/>
      <c r="BL380" s="43" t="n"/>
      <c r="BM380" s="43" t="n"/>
      <c r="BN380" s="43" t="n"/>
      <c r="BO380" s="43" t="n"/>
      <c r="BP380" s="43" t="n"/>
      <c r="BQ380" s="43" t="n"/>
      <c r="BR380" s="43" t="n"/>
      <c r="BS380" s="43" t="n"/>
      <c r="BT380" s="43" t="n"/>
      <c r="BU380" s="43" t="n"/>
      <c r="BV380" s="43" t="n"/>
      <c r="BW380" s="43" t="n"/>
      <c r="BX380" s="32" t="n"/>
      <c r="BY380" s="265">
        <f>IFERROR(BY377+BY378+BY379,"n/a")</f>
        <v>739473.76456901</v>
      </c>
      <c r="BZ380" s="265">
        <f>IFERROR(BZ377+BZ378+BZ379,"n/a")</f>
        <v>721132.008417197</v>
      </c>
      <c r="CA380" s="265">
        <f>IFERROR(CA377+CA378+CA379,"n/a")</f>
        <v>701945.650906278</v>
      </c>
      <c r="CB380" s="265">
        <f>IFERROR(CB377+CB378+CB379,"n/a")</f>
        <v>682183.750893883</v>
      </c>
      <c r="CC380" s="265">
        <f>IFERROR(CC377+CC378+CC379,"n/a")</f>
        <v>662130.195130623</v>
      </c>
      <c r="CD380" s="265">
        <f>IFERROR(CD377+CD378+CD379,"n/a")</f>
        <v>641813.342545079</v>
      </c>
      <c r="CE380" s="153" t="n"/>
    </row>
    <row r="381" ht="15" customHeight="1" s="251">
      <c r="B381" s="25" t="inlineStr">
        <is>
          <t>Multiples</t>
        </is>
      </c>
      <c r="CE381" s="153" t="n"/>
    </row>
    <row r="382" ht="15" customHeight="1" s="251">
      <c r="B382" s="25" t="inlineStr">
        <is>
          <t xml:space="preserve">  EV / Net revenue</t>
        </is>
      </c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  <c r="AA382" s="34" t="n"/>
      <c r="AB382" s="34" t="n"/>
      <c r="AC382" s="34" t="n"/>
      <c r="AD382" s="34" t="n"/>
      <c r="AE382" s="34" t="n"/>
      <c r="AF382" s="34" t="n"/>
      <c r="AG382" s="34" t="n"/>
      <c r="AH382" s="34" t="n"/>
      <c r="AI382" s="34" t="n"/>
      <c r="AJ382" s="34" t="n"/>
      <c r="AK382" s="34" t="n"/>
      <c r="AL382" s="34" t="n"/>
      <c r="AM382" s="34" t="n"/>
      <c r="AN382" s="34" t="n"/>
      <c r="AO382" s="34" t="n"/>
      <c r="AP382" s="34" t="n"/>
      <c r="AQ382" s="34" t="n"/>
      <c r="AR382" s="34" t="n"/>
      <c r="AS382" s="34" t="n"/>
      <c r="AT382" s="34" t="n"/>
      <c r="AU382" s="34" t="n"/>
      <c r="AV382" s="34" t="n"/>
      <c r="AW382" s="34" t="n"/>
      <c r="AX382" s="34" t="n"/>
      <c r="AY382" s="34" t="n"/>
      <c r="AZ382" s="34" t="n"/>
      <c r="BA382" s="34" t="n"/>
      <c r="BB382" s="34" t="n"/>
      <c r="BC382" s="34" t="n"/>
      <c r="BD382" s="34" t="n"/>
      <c r="BE382" s="34" t="n"/>
      <c r="BF382" s="34" t="n"/>
      <c r="BG382" s="34" t="n"/>
      <c r="BH382" s="34" t="n"/>
      <c r="BI382" s="34" t="n"/>
      <c r="BJ382" s="34" t="n"/>
      <c r="BK382" s="34" t="n"/>
      <c r="BL382" s="34" t="n"/>
      <c r="BM382" s="34" t="n"/>
      <c r="BN382" s="34" t="n"/>
      <c r="BO382" s="34" t="n"/>
      <c r="BP382" s="34" t="n"/>
      <c r="BQ382" s="34" t="n"/>
      <c r="BR382" s="34" t="n"/>
      <c r="BS382" s="34" t="n"/>
      <c r="BT382" s="34" t="n"/>
      <c r="BU382" s="34" t="n"/>
      <c r="BV382" s="34" t="n"/>
      <c r="BW382" s="34" t="n"/>
      <c r="BX382" s="35" t="n"/>
      <c r="BY382" s="294">
        <f>IFERROR(BY380/BY113,"n/a")</f>
        <v>16.1168177182966</v>
      </c>
      <c r="BZ382" s="294">
        <f>IFERROR(BZ380/BZ113,"n/a")</f>
        <v>14.2209932540673</v>
      </c>
      <c r="CA382" s="294">
        <f>IFERROR(CA380/CA113,"n/a")</f>
        <v>12.4839601179386</v>
      </c>
      <c r="CB382" s="294">
        <f>IFERROR(CB380/CB113,"n/a")</f>
        <v>11.0154090698814</v>
      </c>
      <c r="CC382" s="294">
        <f>IFERROR(CC380/CC113,"n/a")</f>
        <v>9.7704356857693</v>
      </c>
      <c r="CD382" s="294">
        <f>IFERROR(CD380/CD113,"n/a")</f>
        <v>8.67982663356787</v>
      </c>
      <c r="CE382" s="19" t="n"/>
    </row>
    <row r="383" ht="15" customHeight="1" s="251">
      <c r="B383" s="25" t="inlineStr">
        <is>
          <t xml:space="preserve">  EV / Adjusted EBITDA</t>
        </is>
      </c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  <c r="AA383" s="34" t="n"/>
      <c r="AB383" s="34" t="n"/>
      <c r="AC383" s="34" t="n"/>
      <c r="AD383" s="34" t="n"/>
      <c r="AE383" s="34" t="n"/>
      <c r="AF383" s="34" t="n"/>
      <c r="AG383" s="34" t="n"/>
      <c r="AH383" s="34" t="n"/>
      <c r="AI383" s="34" t="n"/>
      <c r="AJ383" s="34" t="n"/>
      <c r="AK383" s="34" t="n"/>
      <c r="AL383" s="34" t="n"/>
      <c r="AM383" s="34" t="n"/>
      <c r="AN383" s="34" t="n"/>
      <c r="AO383" s="34" t="n"/>
      <c r="AP383" s="34" t="n"/>
      <c r="AQ383" s="34" t="n"/>
      <c r="AR383" s="34" t="n"/>
      <c r="AS383" s="34" t="n"/>
      <c r="AT383" s="34" t="n"/>
      <c r="AU383" s="34" t="n"/>
      <c r="AV383" s="34" t="n"/>
      <c r="AW383" s="34" t="n"/>
      <c r="AX383" s="34" t="n"/>
      <c r="AY383" s="34" t="n"/>
      <c r="AZ383" s="34" t="n"/>
      <c r="BA383" s="34" t="n"/>
      <c r="BB383" s="34" t="n"/>
      <c r="BC383" s="34" t="n"/>
      <c r="BD383" s="34" t="n"/>
      <c r="BE383" s="34" t="n"/>
      <c r="BF383" s="34" t="n"/>
      <c r="BG383" s="34" t="n"/>
      <c r="BH383" s="34" t="n"/>
      <c r="BI383" s="34" t="n"/>
      <c r="BJ383" s="34" t="n"/>
      <c r="BK383" s="34" t="n"/>
      <c r="BL383" s="34" t="n"/>
      <c r="BM383" s="34" t="n"/>
      <c r="BN383" s="34" t="n"/>
      <c r="BO383" s="34" t="n"/>
      <c r="BP383" s="34" t="n"/>
      <c r="BQ383" s="34" t="n"/>
      <c r="BR383" s="34" t="n"/>
      <c r="BS383" s="34" t="n"/>
      <c r="BT383" s="34" t="n"/>
      <c r="BU383" s="34" t="n"/>
      <c r="BV383" s="34" t="n"/>
      <c r="BW383" s="34" t="n"/>
      <c r="BX383" s="35" t="n"/>
      <c r="BY383" s="294">
        <f>IFERROR(BY380/BY174,"n/a")</f>
        <v>23.0607750826071</v>
      </c>
      <c r="BZ383" s="294">
        <f>IFERROR(BZ380/BZ174,"n/a")</f>
        <v>20.2966288696548</v>
      </c>
      <c r="CA383" s="294">
        <f>IFERROR(CA380/CA174,"n/a")</f>
        <v>17.7707617337204</v>
      </c>
      <c r="CB383" s="294">
        <f>IFERROR(CB380/CB174,"n/a")</f>
        <v>15.6188636065483</v>
      </c>
      <c r="CC383" s="294">
        <f>IFERROR(CC380/CC174,"n/a")</f>
        <v>13.8536028380311</v>
      </c>
      <c r="CD383" s="294">
        <f>IFERROR(CD380/CD174,"n/a")</f>
        <v>12.2751548967465</v>
      </c>
      <c r="CE383" s="19" t="n"/>
    </row>
    <row r="384" ht="15" customHeight="1" s="251">
      <c r="B384" s="25" t="inlineStr">
        <is>
          <t xml:space="preserve">  EV / Adjusted operating income</t>
        </is>
      </c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  <c r="AA384" s="34" t="n"/>
      <c r="AB384" s="34" t="n"/>
      <c r="AC384" s="34" t="n"/>
      <c r="AD384" s="34" t="n"/>
      <c r="AE384" s="34" t="n"/>
      <c r="AF384" s="34" t="n"/>
      <c r="AG384" s="34" t="n"/>
      <c r="AH384" s="34" t="n"/>
      <c r="AI384" s="34" t="n"/>
      <c r="AJ384" s="34" t="n"/>
      <c r="AK384" s="34" t="n"/>
      <c r="AL384" s="34" t="n"/>
      <c r="AM384" s="34" t="n"/>
      <c r="AN384" s="34" t="n"/>
      <c r="AO384" s="34" t="n"/>
      <c r="AP384" s="34" t="n"/>
      <c r="AQ384" s="34" t="n"/>
      <c r="AR384" s="34" t="n"/>
      <c r="AS384" s="34" t="n"/>
      <c r="AT384" s="34" t="n"/>
      <c r="AU384" s="34" t="n"/>
      <c r="AV384" s="34" t="n"/>
      <c r="AW384" s="34" t="n"/>
      <c r="AX384" s="34" t="n"/>
      <c r="AY384" s="34" t="n"/>
      <c r="AZ384" s="34" t="n"/>
      <c r="BA384" s="34" t="n"/>
      <c r="BB384" s="34" t="n"/>
      <c r="BC384" s="34" t="n"/>
      <c r="BD384" s="34" t="n"/>
      <c r="BE384" s="34" t="n"/>
      <c r="BF384" s="34" t="n"/>
      <c r="BG384" s="34" t="n"/>
      <c r="BH384" s="34" t="n"/>
      <c r="BI384" s="34" t="n"/>
      <c r="BJ384" s="34" t="n"/>
      <c r="BK384" s="34" t="n"/>
      <c r="BL384" s="34" t="n"/>
      <c r="BM384" s="34" t="n"/>
      <c r="BN384" s="34" t="n"/>
      <c r="BO384" s="34" t="n"/>
      <c r="BP384" s="34" t="n"/>
      <c r="BQ384" s="34" t="n"/>
      <c r="BR384" s="34" t="n"/>
      <c r="BS384" s="34" t="n"/>
      <c r="BT384" s="34" t="n"/>
      <c r="BU384" s="34" t="n"/>
      <c r="BV384" s="34" t="n"/>
      <c r="BW384" s="34" t="n"/>
      <c r="BX384" s="35" t="n"/>
      <c r="BY384" s="294">
        <f>IFERROR(BY380/BY160,"n/a")</f>
        <v>23.9450698817262</v>
      </c>
      <c r="BZ384" s="294">
        <f>IFERROR(BZ380/BZ160,"n/a")</f>
        <v>21.0681381541738</v>
      </c>
      <c r="CA384" s="294">
        <f>IFERROR(CA380/CA160,"n/a")</f>
        <v>18.4401183425976</v>
      </c>
      <c r="CB384" s="294">
        <f>IFERROR(CB380/CB160,"n/a")</f>
        <v>16.1991309851198</v>
      </c>
      <c r="CC384" s="294">
        <f>IFERROR(CC380/CC160,"n/a")</f>
        <v>14.3682877731901</v>
      </c>
      <c r="CD384" s="294">
        <f>IFERROR(CD380/CD160,"n/a")</f>
        <v>12.7270185242931</v>
      </c>
      <c r="CE384" s="19" t="n"/>
    </row>
    <row r="385" ht="15" customHeight="1" s="251">
      <c r="B385" s="25" t="inlineStr">
        <is>
          <t xml:space="preserve">  EV / IC</t>
        </is>
      </c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  <c r="AD385" s="34" t="n"/>
      <c r="AE385" s="34" t="n"/>
      <c r="AF385" s="34" t="n"/>
      <c r="AG385" s="34" t="n"/>
      <c r="AH385" s="34" t="n"/>
      <c r="AI385" s="34" t="n"/>
      <c r="AJ385" s="34" t="n"/>
      <c r="AK385" s="34" t="n"/>
      <c r="AL385" s="34" t="n"/>
      <c r="AM385" s="34" t="n"/>
      <c r="AN385" s="34" t="n"/>
      <c r="AO385" s="34" t="n"/>
      <c r="AP385" s="34" t="n"/>
      <c r="AQ385" s="34" t="n"/>
      <c r="AR385" s="34" t="n"/>
      <c r="AS385" s="34" t="n"/>
      <c r="AT385" s="34" t="n"/>
      <c r="AU385" s="34" t="n"/>
      <c r="AV385" s="34" t="n"/>
      <c r="AW385" s="34" t="n"/>
      <c r="AX385" s="34" t="n"/>
      <c r="AY385" s="34" t="n"/>
      <c r="AZ385" s="34" t="n"/>
      <c r="BA385" s="34" t="n"/>
      <c r="BB385" s="34" t="n"/>
      <c r="BC385" s="34" t="n"/>
      <c r="BD385" s="34" t="n"/>
      <c r="BE385" s="34" t="n"/>
      <c r="BF385" s="34" t="n"/>
      <c r="BG385" s="34" t="n"/>
      <c r="BH385" s="34" t="n"/>
      <c r="BI385" s="34" t="n"/>
      <c r="BJ385" s="34" t="n"/>
      <c r="BK385" s="34" t="n"/>
      <c r="BL385" s="34" t="n"/>
      <c r="BM385" s="34" t="n"/>
      <c r="BN385" s="34" t="n"/>
      <c r="BO385" s="34" t="n"/>
      <c r="BP385" s="34" t="n"/>
      <c r="BQ385" s="34" t="n"/>
      <c r="BR385" s="34" t="n"/>
      <c r="BS385" s="34" t="n"/>
      <c r="BT385" s="34" t="n"/>
      <c r="BU385" s="34" t="n"/>
      <c r="BV385" s="34" t="n"/>
      <c r="BW385" s="34" t="n"/>
      <c r="BX385" s="35" t="n"/>
      <c r="BY385" s="294">
        <f>IFERROR(BY380/BY349,"n/a")</f>
        <v>16.7931437201226</v>
      </c>
      <c r="BZ385" s="294">
        <f>IFERROR(BZ380/BZ349,"n/a")</f>
        <v>15.9267161482969</v>
      </c>
      <c r="CA385" s="294">
        <f>IFERROR(CA380/CA349,"n/a")</f>
        <v>15.0906594343636</v>
      </c>
      <c r="CB385" s="294">
        <f>IFERROR(CB380/CB349,"n/a")</f>
        <v>14.2828989716462</v>
      </c>
      <c r="CC385" s="294">
        <f>IFERROR(CC380/CC349,"n/a")</f>
        <v>13.4948896494956</v>
      </c>
      <c r="CD385" s="294">
        <f>IFERROR(CD380/CD349,"n/a")</f>
        <v>12.7289460045754</v>
      </c>
      <c r="CE385" s="19" t="n"/>
    </row>
    <row r="386" ht="15" customHeight="1" s="251">
      <c r="B386" s="25" t="inlineStr">
        <is>
          <t xml:space="preserve">  P / E (GAAP diluted)</t>
        </is>
      </c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  <c r="AD386" s="34" t="n"/>
      <c r="AE386" s="34" t="n"/>
      <c r="AF386" s="34" t="n"/>
      <c r="AG386" s="34" t="n"/>
      <c r="AH386" s="34" t="n"/>
      <c r="AI386" s="34" t="n"/>
      <c r="AJ386" s="34" t="n"/>
      <c r="AK386" s="34" t="n"/>
      <c r="AL386" s="34" t="n"/>
      <c r="AM386" s="34" t="n"/>
      <c r="AN386" s="34" t="n"/>
      <c r="AO386" s="34" t="n"/>
      <c r="AP386" s="34" t="n"/>
      <c r="AQ386" s="34" t="n"/>
      <c r="AR386" s="34" t="n"/>
      <c r="AS386" s="34" t="n"/>
      <c r="AT386" s="34" t="n"/>
      <c r="AU386" s="34" t="n"/>
      <c r="AV386" s="34" t="n"/>
      <c r="AW386" s="34" t="n"/>
      <c r="AX386" s="34" t="n"/>
      <c r="AY386" s="34" t="n"/>
      <c r="AZ386" s="34" t="n"/>
      <c r="BA386" s="34" t="n"/>
      <c r="BB386" s="34" t="n"/>
      <c r="BC386" s="34" t="n"/>
      <c r="BD386" s="34" t="n"/>
      <c r="BE386" s="34" t="n"/>
      <c r="BF386" s="34" t="n"/>
      <c r="BG386" s="34" t="n"/>
      <c r="BH386" s="34" t="n"/>
      <c r="BI386" s="34" t="n"/>
      <c r="BJ386" s="34" t="n"/>
      <c r="BK386" s="34" t="n"/>
      <c r="BL386" s="34" t="n"/>
      <c r="BM386" s="34" t="n"/>
      <c r="BN386" s="34" t="n"/>
      <c r="BO386" s="34" t="n"/>
      <c r="BP386" s="34" t="n"/>
      <c r="BQ386" s="34" t="n"/>
      <c r="BR386" s="34" t="n"/>
      <c r="BS386" s="34" t="n"/>
      <c r="BT386" s="34" t="n"/>
      <c r="BU386" s="34" t="n"/>
      <c r="BV386" s="34" t="n"/>
      <c r="BW386" s="34" t="n"/>
      <c r="BX386" s="35" t="n"/>
      <c r="BY386" s="294">
        <f>IFERROR(BY375/BY144,"n/a")</f>
        <v>31.1308550745156</v>
      </c>
      <c r="BZ386" s="294">
        <f>IFERROR(BZ375/BZ144,"n/a")</f>
        <v>26.1600243426239</v>
      </c>
      <c r="CA386" s="294">
        <f>IFERROR(CA375/CA144,"n/a")</f>
        <v>22.9034186582678</v>
      </c>
      <c r="CB386" s="294">
        <f>IFERROR(CB375/CB144,"n/a")</f>
        <v>20.093867267423</v>
      </c>
      <c r="CC386" s="294">
        <f>IFERROR(CC375/CC144,"n/a")</f>
        <v>17.7851786246175</v>
      </c>
      <c r="CD386" s="294">
        <f>IFERROR(CD375/CD144,"n/a")</f>
        <v>15.7168911345407</v>
      </c>
      <c r="CE386" s="19" t="n"/>
    </row>
    <row r="387" ht="15" customHeight="1" s="251">
      <c r="B387" s="25" t="inlineStr">
        <is>
          <t xml:space="preserve">  P / E (non-GAAP EPS)</t>
        </is>
      </c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  <c r="AA387" s="34" t="n"/>
      <c r="AB387" s="34" t="n"/>
      <c r="AC387" s="34" t="n"/>
      <c r="AD387" s="34" t="n"/>
      <c r="AE387" s="34" t="n"/>
      <c r="AF387" s="34" t="n"/>
      <c r="AG387" s="34" t="n"/>
      <c r="AH387" s="34" t="n"/>
      <c r="AI387" s="34" t="n"/>
      <c r="AJ387" s="34" t="n"/>
      <c r="AK387" s="34" t="n"/>
      <c r="AL387" s="34" t="n"/>
      <c r="AM387" s="34" t="n"/>
      <c r="AN387" s="34" t="n"/>
      <c r="AO387" s="34" t="n"/>
      <c r="AP387" s="34" t="n"/>
      <c r="AQ387" s="34" t="n"/>
      <c r="AR387" s="34" t="n"/>
      <c r="AS387" s="34" t="n"/>
      <c r="AT387" s="34" t="n"/>
      <c r="AU387" s="34" t="n"/>
      <c r="AV387" s="34" t="n"/>
      <c r="AW387" s="34" t="n"/>
      <c r="AX387" s="34" t="n"/>
      <c r="AY387" s="34" t="n"/>
      <c r="AZ387" s="34" t="n"/>
      <c r="BA387" s="34" t="n"/>
      <c r="BB387" s="34" t="n"/>
      <c r="BC387" s="34" t="n"/>
      <c r="BD387" s="34" t="n"/>
      <c r="BE387" s="34" t="n"/>
      <c r="BF387" s="34" t="n"/>
      <c r="BG387" s="34" t="n"/>
      <c r="BH387" s="34" t="n"/>
      <c r="BI387" s="34" t="n"/>
      <c r="BJ387" s="34" t="n"/>
      <c r="BK387" s="34" t="n"/>
      <c r="BL387" s="34" t="n"/>
      <c r="BM387" s="34" t="n"/>
      <c r="BN387" s="34" t="n"/>
      <c r="BO387" s="34" t="n"/>
      <c r="BP387" s="34" t="n"/>
      <c r="BQ387" s="34" t="n"/>
      <c r="BR387" s="34" t="n"/>
      <c r="BS387" s="34" t="n"/>
      <c r="BT387" s="34" t="n"/>
      <c r="BU387" s="34" t="n"/>
      <c r="BV387" s="34" t="n"/>
      <c r="BW387" s="34" t="n"/>
      <c r="BX387" s="35" t="n"/>
      <c r="BY387" s="294">
        <f>IFERROR(BY375/BY191,"n/a")</f>
        <v>29.4929952829655</v>
      </c>
      <c r="BZ387" s="294">
        <f>IFERROR(BZ375/BZ191,"n/a")</f>
        <v>25.9008246907158</v>
      </c>
      <c r="CA387" s="294">
        <f>IFERROR(CA375/CA191,"n/a")</f>
        <v>22.7010315909407</v>
      </c>
      <c r="CB387" s="294">
        <f>IFERROR(CB375/CB191,"n/a")</f>
        <v>19.9351955115549</v>
      </c>
      <c r="CC387" s="294">
        <f>IFERROR(CC375/CC191,"n/a")</f>
        <v>17.6583994886694</v>
      </c>
      <c r="CD387" s="294">
        <f>IFERROR(CD375/CD191,"n/a")</f>
        <v>15.6126471323189</v>
      </c>
      <c r="CE387" s="19" t="n"/>
    </row>
    <row r="388" ht="15" customHeight="1" s="251">
      <c r="B388" s="25" t="inlineStr">
        <is>
          <t xml:space="preserve">  FCF yield</t>
        </is>
      </c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  <c r="AA388" s="34" t="n"/>
      <c r="AB388" s="34" t="n"/>
      <c r="AC388" s="34" t="n"/>
      <c r="AD388" s="34" t="n"/>
      <c r="AE388" s="34" t="n"/>
      <c r="AF388" s="34" t="n"/>
      <c r="AG388" s="34" t="n"/>
      <c r="AH388" s="34" t="n"/>
      <c r="AI388" s="34" t="n"/>
      <c r="AJ388" s="34" t="n"/>
      <c r="AK388" s="34" t="n"/>
      <c r="AL388" s="34" t="n"/>
      <c r="AM388" s="34" t="n"/>
      <c r="AN388" s="34" t="n"/>
      <c r="AO388" s="34" t="n"/>
      <c r="AP388" s="34" t="n"/>
      <c r="AQ388" s="34" t="n"/>
      <c r="AR388" s="34" t="n"/>
      <c r="AS388" s="34" t="n"/>
      <c r="AT388" s="34" t="n"/>
      <c r="AU388" s="34" t="n"/>
      <c r="AV388" s="34" t="n"/>
      <c r="AW388" s="34" t="n"/>
      <c r="AX388" s="34" t="n"/>
      <c r="AY388" s="34" t="n"/>
      <c r="AZ388" s="34" t="n"/>
      <c r="BA388" s="34" t="n"/>
      <c r="BB388" s="34" t="n"/>
      <c r="BC388" s="34" t="n"/>
      <c r="BD388" s="34" t="n"/>
      <c r="BE388" s="34" t="n"/>
      <c r="BF388" s="34" t="n"/>
      <c r="BG388" s="34" t="n"/>
      <c r="BH388" s="34" t="n"/>
      <c r="BI388" s="34" t="n"/>
      <c r="BJ388" s="34" t="n"/>
      <c r="BK388" s="34" t="n"/>
      <c r="BL388" s="34" t="n"/>
      <c r="BM388" s="34" t="n"/>
      <c r="BN388" s="34" t="n"/>
      <c r="BO388" s="34" t="n"/>
      <c r="BP388" s="34" t="n"/>
      <c r="BQ388" s="34" t="n"/>
      <c r="BR388" s="34" t="n"/>
      <c r="BS388" s="34" t="n"/>
      <c r="BT388" s="34" t="n"/>
      <c r="BU388" s="34" t="n"/>
      <c r="BV388" s="34" t="n"/>
      <c r="BW388" s="34" t="n"/>
      <c r="BX388" s="35" t="n"/>
      <c r="BY388" s="256">
        <f>IFERROR(BY242/BY377,"n/a")</f>
        <v>0.0311398345353174</v>
      </c>
      <c r="BZ388" s="256">
        <f>IFERROR(BZ242/BZ377,"n/a")</f>
        <v>0.0401264236769337</v>
      </c>
      <c r="CA388" s="256">
        <f>IFERROR(CA242/CA377,"n/a")</f>
        <v>0.0458491927174704</v>
      </c>
      <c r="CB388" s="256">
        <f>IFERROR(CB242/CB377,"n/a")</f>
        <v>0.0523237511490487</v>
      </c>
      <c r="CC388" s="256">
        <f>IFERROR(CC242/CC377,"n/a")</f>
        <v>0.0591085053351467</v>
      </c>
      <c r="CD388" s="256">
        <f>IFERROR(CD242/CD377,"n/a")</f>
        <v>0.0668987583504942</v>
      </c>
      <c r="CE388" s="19" t="n"/>
    </row>
    <row r="389" ht="15" customHeight="1" s="251">
      <c r="B389" s="25" t="inlineStr">
        <is>
          <t xml:space="preserve">  Dividend yield</t>
        </is>
      </c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  <c r="AA389" s="34" t="n"/>
      <c r="AB389" s="34" t="n"/>
      <c r="AC389" s="34" t="n"/>
      <c r="AD389" s="34" t="n"/>
      <c r="AE389" s="34" t="n"/>
      <c r="AF389" s="34" t="n"/>
      <c r="AG389" s="34" t="n"/>
      <c r="AH389" s="34" t="n"/>
      <c r="AI389" s="34" t="n"/>
      <c r="AJ389" s="34" t="n"/>
      <c r="AK389" s="34" t="n"/>
      <c r="AL389" s="34" t="n"/>
      <c r="AM389" s="34" t="n"/>
      <c r="AN389" s="34" t="n"/>
      <c r="AO389" s="34" t="n"/>
      <c r="AP389" s="34" t="n"/>
      <c r="AQ389" s="34" t="n"/>
      <c r="AR389" s="34" t="n"/>
      <c r="AS389" s="34" t="n"/>
      <c r="AT389" s="34" t="n"/>
      <c r="AU389" s="34" t="n"/>
      <c r="AV389" s="34" t="n"/>
      <c r="AW389" s="34" t="n"/>
      <c r="AX389" s="34" t="n"/>
      <c r="AY389" s="34" t="n"/>
      <c r="AZ389" s="34" t="n"/>
      <c r="BA389" s="34" t="n"/>
      <c r="BB389" s="34" t="n"/>
      <c r="BC389" s="34" t="n"/>
      <c r="BD389" s="34" t="n"/>
      <c r="BE389" s="34" t="n"/>
      <c r="BF389" s="34" t="n"/>
      <c r="BG389" s="34" t="n"/>
      <c r="BH389" s="34" t="n"/>
      <c r="BI389" s="34" t="n"/>
      <c r="BJ389" s="34" t="n"/>
      <c r="BK389" s="34" t="n"/>
      <c r="BL389" s="34" t="n"/>
      <c r="BM389" s="34" t="n"/>
      <c r="BN389" s="34" t="n"/>
      <c r="BO389" s="34" t="n"/>
      <c r="BP389" s="34" t="n"/>
      <c r="BQ389" s="34" t="n"/>
      <c r="BR389" s="34" t="n"/>
      <c r="BS389" s="34" t="n"/>
      <c r="BT389" s="34" t="n"/>
      <c r="BU389" s="34" t="n"/>
      <c r="BV389" s="34" t="n"/>
      <c r="BW389" s="34" t="n"/>
      <c r="BX389" s="35" t="n"/>
      <c r="BY389" s="256">
        <f>IFERROR(BY148/BY375,"n/a")</f>
        <v>0.00688946015424165</v>
      </c>
      <c r="BZ389" s="256">
        <f>IFERROR(BZ148/BZ375,"n/a")</f>
        <v>0.00771619537275064</v>
      </c>
      <c r="CA389" s="256">
        <f>IFERROR(CA148/CA375,"n/a")</f>
        <v>0.00864213881748072</v>
      </c>
      <c r="CB389" s="256">
        <f>IFERROR(CB148/CB375,"n/a")</f>
        <v>0.00967919547557841</v>
      </c>
      <c r="CC389" s="256">
        <f>IFERROR(CC148/CC375,"n/a")</f>
        <v>0.0108406989326478</v>
      </c>
      <c r="CD389" s="256">
        <f>IFERROR(CD148/CD375,"n/a")</f>
        <v>0.0121415828045656</v>
      </c>
      <c r="CE389" s="19" t="n"/>
    </row>
    <row r="390" ht="15" customHeight="1" s="251"/>
    <row r="391" ht="15" customHeight="1" s="251"/>
    <row r="392" ht="15" customHeight="1" s="251"/>
    <row r="393" ht="15" customHeight="1" s="251"/>
    <row r="394" ht="15" customHeight="1" s="251"/>
    <row r="395" ht="15" customHeight="1" s="251"/>
    <row r="396" ht="15" customHeight="1" s="251"/>
    <row r="397" ht="15" customHeight="1" s="251"/>
    <row r="398" ht="15" customHeight="1" s="251"/>
    <row r="399" ht="15" customHeight="1" s="251"/>
    <row r="400" ht="15" customHeight="1" s="251"/>
    <row r="401" ht="15" customHeight="1" s="251"/>
    <row r="402" ht="15" customHeight="1" s="251"/>
    <row r="403" ht="15" customHeight="1" s="251"/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E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Visa Inc. (V) — Bull / Base / Bear Case P&amp;L Summary</t>
        </is>
      </c>
      <c r="J2" s="152" t="inlineStr">
        <is>
          <t>Share price ($):</t>
        </is>
      </c>
      <c r="K2" s="74">
        <f>Model!$BZ$375</f>
        <v>389</v>
      </c>
    </row>
    <row r="3" ht="15" customHeight="1" s="251">
      <c r="B3" s="4" t="inlineStr">
        <is>
          <t>Non-GAAP figures (company definitions: non-GAAP operating expenses, net income and EPS; adjusted EBITDA is a model definition) · USD millions · fiscal years ended 30 September · Live panel linked to Model — toggle scenario via Model!CE2. Bull and Bear panels are value snapshots generated from the Model with the switch set to each case. FY2026E = Q1–Q3 actual + Q4 calibrated to the Q4 FY26 call outlook (UNVERIFIED: net revenue growth ~13%, non-GAAP EPS growth ~14%).</t>
        </is>
      </c>
      <c r="J3" s="152" t="inlineStr">
        <is>
          <t>As of:</t>
        </is>
      </c>
      <c r="K3" s="295" t="str">
        <f>TODAY()</f>
        <v>2026-10-12 00:00:00</v>
      </c>
    </row>
    <row r="5" ht="15" customHeight="1" s="251">
      <c r="B5" s="10" t="inlineStr">
        <is>
          <t>Scenario:</t>
        </is>
      </c>
      <c r="C5" s="75" t="str">
        <f>Model!$CE$2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Net revenue</t>
        </is>
      </c>
      <c r="C9" s="80">
        <f>Model!BY113</f>
        <v>45882.12</v>
      </c>
      <c r="D9" s="81">
        <f>Model!BZ113</f>
        <v>50708.9761969297</v>
      </c>
      <c r="E9" s="81">
        <f>Model!CA113</f>
        <v>56227.8030588733</v>
      </c>
      <c r="F9" s="81">
        <f>Model!CB113</f>
        <v>61929.9516310405</v>
      </c>
      <c r="G9" s="81">
        <f>Model!CC113</f>
        <v>67768.7481321861</v>
      </c>
      <c r="H9" s="81">
        <f>Model!CD113</f>
        <v>73943.1061978779</v>
      </c>
      <c r="I9" s="296">
        <f>IFERROR((H9/C9)^(1/5)-1,"n/m")</f>
        <v>0.100147314080238</v>
      </c>
      <c r="N9" s="79" t="inlineStr">
        <is>
          <t>Net revenue</t>
        </is>
      </c>
      <c r="O9" s="80" t="n">
        <v>45989.36</v>
      </c>
      <c r="P9" s="81" t="n">
        <v>52839.9192277574</v>
      </c>
      <c r="Q9" s="81" t="n">
        <v>60562.2274157561</v>
      </c>
      <c r="R9" s="81" t="n">
        <v>68948.1240599053</v>
      </c>
      <c r="S9" s="81" t="n">
        <v>77986.3784908887</v>
      </c>
      <c r="T9" s="81" t="n">
        <v>87953.94897344999</v>
      </c>
      <c r="U9" s="296" t="n">
        <v>0.138464769068504</v>
      </c>
      <c r="Z9" s="79" t="inlineStr">
        <is>
          <t>Net revenue</t>
        </is>
      </c>
      <c r="AA9" s="80" t="n">
        <v>45774.88</v>
      </c>
      <c r="AB9" s="81" t="n">
        <v>47382.2949253744</v>
      </c>
      <c r="AC9" s="81" t="n">
        <v>49821.4468166654</v>
      </c>
      <c r="AD9" s="81" t="n">
        <v>52016.2939100663</v>
      </c>
      <c r="AE9" s="81" t="n">
        <v>53937.2407959298</v>
      </c>
      <c r="AF9" s="81" t="n">
        <v>55756.8370342829</v>
      </c>
      <c r="AG9" s="296" t="n">
        <v>0.0402415171627768</v>
      </c>
    </row>
    <row r="10" ht="15" customHeight="1" s="251">
      <c r="B10" s="83" t="inlineStr">
        <is>
          <t xml:space="preserve">   Net revenue y/y %</t>
        </is>
      </c>
      <c r="C10" s="297" t="n"/>
      <c r="D10" s="298">
        <f>IFERROR(D9/C9-1,"")</f>
        <v>0.105201246083</v>
      </c>
      <c r="E10" s="298">
        <f>IFERROR(E9/D9-1,"")</f>
        <v>0.108833332396834</v>
      </c>
      <c r="F10" s="298">
        <f>IFERROR(F9/E9-1,"")</f>
        <v>0.101411548414879</v>
      </c>
      <c r="G10" s="298">
        <f>IFERROR(G9/F9-1,"")</f>
        <v>0.094280656570368</v>
      </c>
      <c r="H10" s="298">
        <f>IFERROR(H9/G9-1,"")</f>
        <v>0.0911092241758458</v>
      </c>
      <c r="N10" s="83" t="inlineStr">
        <is>
          <t xml:space="preserve">   Net revenue y/y %</t>
        </is>
      </c>
      <c r="O10" s="297" t="n"/>
      <c r="P10" s="298" t="n">
        <v>0.148959655619418</v>
      </c>
      <c r="Q10" s="298" t="n">
        <v>0.146145344293828</v>
      </c>
      <c r="R10" s="298" t="n">
        <v>0.138467440878297</v>
      </c>
      <c r="S10" s="298" t="n">
        <v>0.13108774972805</v>
      </c>
      <c r="T10" s="298" t="n">
        <v>0.127811685520514</v>
      </c>
      <c r="Z10" s="83" t="inlineStr">
        <is>
          <t xml:space="preserve">   Net revenue y/y %</t>
        </is>
      </c>
      <c r="AA10" s="297" t="n"/>
      <c r="AB10" s="298" t="n">
        <v>0.0351156556909467</v>
      </c>
      <c r="AC10" s="298" t="n">
        <v>0.0514781290170223</v>
      </c>
      <c r="AD10" s="298" t="n">
        <v>0.0440542624439939</v>
      </c>
      <c r="AE10" s="298" t="n">
        <v>0.0369297145464604</v>
      </c>
      <c r="AF10" s="298" t="n">
        <v>0.0337354342102416</v>
      </c>
    </row>
    <row r="11" ht="15" customHeight="1" s="251">
      <c r="B11" s="79" t="inlineStr">
        <is>
          <t xml:space="preserve">   Nominal payments volume y/y %</t>
        </is>
      </c>
      <c r="C11" s="86">
        <f>Model!BY202</f>
        <v>0.104280264862531</v>
      </c>
      <c r="D11" s="87">
        <f>Model!BZ202</f>
        <v>0.085</v>
      </c>
      <c r="E11" s="87">
        <f>Model!CA202</f>
        <v>0.0800000000000001</v>
      </c>
      <c r="F11" s="87">
        <f>Model!CB202</f>
        <v>0.0800000000000001</v>
      </c>
      <c r="G11" s="87">
        <f>Model!CC202</f>
        <v>0.075</v>
      </c>
      <c r="H11" s="87">
        <f>Model!CD202</f>
        <v>0.075</v>
      </c>
      <c r="N11" s="79" t="inlineStr">
        <is>
          <t xml:space="preserve">   Nominal payments volume y/y %</t>
        </is>
      </c>
      <c r="O11" s="86" t="n">
        <v>0.104280264862531</v>
      </c>
      <c r="P11" s="87" t="n">
        <v>0.105</v>
      </c>
      <c r="Q11" s="87" t="n">
        <v>0.1</v>
      </c>
      <c r="R11" s="87" t="n">
        <v>0.1</v>
      </c>
      <c r="S11" s="87" t="n">
        <v>0.095</v>
      </c>
      <c r="T11" s="87" t="n">
        <v>0.095</v>
      </c>
      <c r="Z11" s="79" t="inlineStr">
        <is>
          <t xml:space="preserve">   Nominal payments volume y/y %</t>
        </is>
      </c>
      <c r="AA11" s="86" t="n">
        <v>0.104280264862531</v>
      </c>
      <c r="AB11" s="87" t="n">
        <v>0.0549999999999999</v>
      </c>
      <c r="AC11" s="87" t="n">
        <v>0.05</v>
      </c>
      <c r="AD11" s="87" t="n">
        <v>0.05</v>
      </c>
      <c r="AE11" s="87" t="n">
        <v>0.0449999999999999</v>
      </c>
      <c r="AF11" s="87" t="n">
        <v>0.0449999999999999</v>
      </c>
    </row>
    <row r="12" ht="15" customHeight="1" s="251">
      <c r="B12" s="79" t="inlineStr">
        <is>
          <t>Adjusted EBITDA (model)</t>
        </is>
      </c>
      <c r="C12" s="80">
        <f>Model!BY174</f>
        <v>32066.3014109503</v>
      </c>
      <c r="D12" s="81">
        <f>Model!BZ174</f>
        <v>35529.6445064014</v>
      </c>
      <c r="E12" s="81">
        <f>Model!CA174</f>
        <v>39500.0316488585</v>
      </c>
      <c r="F12" s="81">
        <f>Model!CB174</f>
        <v>43676.913255576</v>
      </c>
      <c r="G12" s="81">
        <f>Model!CC174</f>
        <v>47794.8013142786</v>
      </c>
      <c r="H12" s="81">
        <f>Model!CD174</f>
        <v>52285.5595667626</v>
      </c>
      <c r="I12" s="296">
        <f>IFERROR((H12/C12)^(1/5)-1,"n/m")</f>
        <v>0.102723368201942</v>
      </c>
      <c r="N12" s="79" t="inlineStr">
        <is>
          <t>Adjusted EBITDA (model)</t>
        </is>
      </c>
      <c r="O12" s="80" t="n">
        <v>32133.6273665711</v>
      </c>
      <c r="P12" s="81" t="n">
        <v>37509.3900307568</v>
      </c>
      <c r="Q12" s="81" t="n">
        <v>43102.7747489243</v>
      </c>
      <c r="R12" s="81" t="n">
        <v>49261.620216485</v>
      </c>
      <c r="S12" s="81" t="n">
        <v>55719.2151586218</v>
      </c>
      <c r="T12" s="81" t="n">
        <v>63002.8023962449</v>
      </c>
      <c r="U12" s="296" t="n">
        <v>0.144142249175858</v>
      </c>
      <c r="Z12" s="79" t="inlineStr">
        <is>
          <t>Adjusted EBITDA (model)</t>
        </is>
      </c>
      <c r="AA12" s="80" t="n">
        <v>31998.8883457149</v>
      </c>
      <c r="AB12" s="81" t="n">
        <v>32325.9472615877</v>
      </c>
      <c r="AC12" s="81" t="n">
        <v>34081.8028947163</v>
      </c>
      <c r="AD12" s="81" t="n">
        <v>35726.9808171771</v>
      </c>
      <c r="AE12" s="81" t="n">
        <v>37046.3680203623</v>
      </c>
      <c r="AF12" s="81" t="n">
        <v>38398.8532943995</v>
      </c>
      <c r="AG12" s="296" t="n">
        <v>0.0371383010083408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0.698884476370104</v>
      </c>
      <c r="D13" s="89">
        <f>IFERROR(D12/D9,"")</f>
        <v>0.700657894736842</v>
      </c>
      <c r="E13" s="89">
        <f>IFERROR(E12/E9,"")</f>
        <v>0.7025</v>
      </c>
      <c r="F13" s="89">
        <f>IFERROR(F12/F9,"")</f>
        <v>0.705263157894737</v>
      </c>
      <c r="G13" s="89">
        <f>IFERROR(G12/G9,"")</f>
        <v>0.705263157894737</v>
      </c>
      <c r="H13" s="89">
        <f>IFERROR(H12/H9,"")</f>
        <v>0.707105263157895</v>
      </c>
      <c r="J13" s="90">
        <f>IFERROR(AVERAGE(Model!C175,Model!D175,Model!E175,Model!F175,Model!G175,Model!L175,Model!Q175,Model!V175,Model!AA175,Model!AF175,Model!AK175,Model!AP175,Model!AU175,Model!AZ175,Model!BE175,Model!BJ175,Model!BO175,Model!BT175),"")</f>
        <v>0.660875130043877</v>
      </c>
      <c r="K13" s="90">
        <f>IFERROR(MIN(Model!C175,Model!D175,Model!E175,Model!F175,Model!G175,Model!L175,Model!Q175,Model!V175,Model!AA175,Model!AF175,Model!AK175,Model!AP175,Model!AU175,Model!AZ175,Model!BE175,Model!BJ175,Model!BO175,Model!BT175),"")</f>
        <v>0.489541753153441</v>
      </c>
      <c r="L13" s="90">
        <f>IFERROR(MAX(Model!C175,Model!D175,Model!E175,Model!F175,Model!G175,Model!L175,Model!Q175,Model!V175,Model!AA175,Model!AF175,Model!AK175,Model!AP175,Model!AU175,Model!AZ175,Model!BE175,Model!BJ175,Model!BO175,Model!BT175),"")</f>
        <v>0.705015353121801</v>
      </c>
      <c r="N13" s="83" t="inlineStr">
        <is>
          <t xml:space="preserve">   Adjusted EBITDA margin %</t>
        </is>
      </c>
      <c r="O13" s="88" t="n">
        <v>0.69871873334552</v>
      </c>
      <c r="P13" s="89" t="n">
        <v>0.709868421052632</v>
      </c>
      <c r="Q13" s="89" t="n">
        <v>0.71171052631579</v>
      </c>
      <c r="R13" s="89" t="n">
        <v>0.714473684210526</v>
      </c>
      <c r="S13" s="89" t="n">
        <v>0.714473684210526</v>
      </c>
      <c r="T13" s="89" t="n">
        <v>0.716315789473684</v>
      </c>
      <c r="V13" s="90" t="n">
        <v>0.660875130043877</v>
      </c>
      <c r="W13" s="90" t="n">
        <v>0.489541753153441</v>
      </c>
      <c r="X13" s="90" t="n">
        <v>0.705015353121801</v>
      </c>
      <c r="Z13" s="83" t="inlineStr">
        <is>
          <t xml:space="preserve">   Adjusted EBITDA margin %</t>
        </is>
      </c>
      <c r="AA13" s="88" t="n">
        <v>0.699049092989756</v>
      </c>
      <c r="AB13" s="89" t="n">
        <v>0.682236842105263</v>
      </c>
      <c r="AC13" s="89" t="n">
        <v>0.684078947368421</v>
      </c>
      <c r="AD13" s="89" t="n">
        <v>0.686842105263158</v>
      </c>
      <c r="AE13" s="89" t="n">
        <v>0.686842105263158</v>
      </c>
      <c r="AF13" s="89" t="n">
        <v>0.688684210526316</v>
      </c>
      <c r="AH13" s="90" t="n">
        <v>0.660875130043877</v>
      </c>
      <c r="AI13" s="90" t="n">
        <v>0.489541753153441</v>
      </c>
      <c r="AJ13" s="90" t="n">
        <v>0.705015353121801</v>
      </c>
    </row>
    <row r="15" ht="15" customHeight="1" s="251">
      <c r="B15" s="79" t="inlineStr">
        <is>
          <t>Operating income (GAAP)</t>
        </is>
      </c>
      <c r="C15" s="80">
        <f>Model!BY125</f>
        <v>28755.0883890317</v>
      </c>
      <c r="D15" s="81">
        <f>Model!BZ125</f>
        <v>33890.7017900704</v>
      </c>
      <c r="E15" s="81">
        <f>Model!CA125</f>
        <v>37732.6512422858</v>
      </c>
      <c r="F15" s="81">
        <f>Model!CB125</f>
        <v>41783.0813948218</v>
      </c>
      <c r="G15" s="81">
        <f>Model!CC125</f>
        <v>45757.7487298866</v>
      </c>
      <c r="H15" s="81">
        <f>Model!CD125</f>
        <v>50098.4841412385</v>
      </c>
      <c r="I15" s="296">
        <f>IFERROR((H15/C15)^(1/5)-1,"n/m")</f>
        <v>0.117434242516687</v>
      </c>
      <c r="N15" s="79" t="inlineStr">
        <is>
          <t>Operating income (GAAP)</t>
        </is>
      </c>
      <c r="O15" s="80" t="n">
        <v>28818.9931408486</v>
      </c>
      <c r="P15" s="81" t="n">
        <v>35809.6303852996</v>
      </c>
      <c r="Q15" s="81" t="n">
        <v>41189.1073774816</v>
      </c>
      <c r="R15" s="81" t="n">
        <v>47125.6341727632</v>
      </c>
      <c r="S15" s="81" t="n">
        <v>53330.6011587132</v>
      </c>
      <c r="T15" s="81" t="n">
        <v>60342.7041181988</v>
      </c>
      <c r="U15" s="296" t="n">
        <v>0.159282267507705</v>
      </c>
      <c r="Z15" s="79" t="inlineStr">
        <is>
          <t>Operating income (GAAP)</t>
        </is>
      </c>
      <c r="AA15" s="80" t="n">
        <v>28691.0890610619</v>
      </c>
      <c r="AB15" s="81" t="n">
        <v>30745.4031761202</v>
      </c>
      <c r="AC15" s="81" t="n">
        <v>32482.6905585492</v>
      </c>
      <c r="AD15" s="81" t="n">
        <v>34120.7539806438</v>
      </c>
      <c r="AE15" s="81" t="n">
        <v>35428.5789253137</v>
      </c>
      <c r="AF15" s="81" t="n">
        <v>36771.0261166953</v>
      </c>
      <c r="AG15" s="296" t="n">
        <v>0.0508766519841859</v>
      </c>
    </row>
    <row r="16" ht="15" customHeight="1" s="251">
      <c r="B16" s="83" t="inlineStr">
        <is>
          <t xml:space="preserve">   Operating income y/y %</t>
        </is>
      </c>
      <c r="C16" s="297" t="n"/>
      <c r="D16" s="298">
        <f>IFERROR(D15/C15-1,"")</f>
        <v>0.178598421662221</v>
      </c>
      <c r="E16" s="298">
        <f>IFERROR(E15/D15-1,"")</f>
        <v>0.113362935828642</v>
      </c>
      <c r="F16" s="298">
        <f>IFERROR(F15/E15-1,"")</f>
        <v>0.10734549572273</v>
      </c>
      <c r="G16" s="298">
        <f>IFERROR(G15/F15-1,"")</f>
        <v>0.0951262377589344</v>
      </c>
      <c r="H16" s="298">
        <f>IFERROR(H15/G15-1,"")</f>
        <v>0.0948633954213036</v>
      </c>
      <c r="N16" s="83" t="inlineStr">
        <is>
          <t xml:space="preserve">   Operating income y/y %</t>
        </is>
      </c>
      <c r="O16" s="297" t="n"/>
      <c r="P16" s="298" t="n">
        <v>0.24257048850684</v>
      </c>
      <c r="Q16" s="298" t="n">
        <v>0.150224309335245</v>
      </c>
      <c r="R16" s="298" t="n">
        <v>0.144128561487768</v>
      </c>
      <c r="S16" s="298" t="n">
        <v>0.131668615072691</v>
      </c>
      <c r="T16" s="298" t="n">
        <v>0.131483666171649</v>
      </c>
      <c r="Z16" s="83" t="inlineStr">
        <is>
          <t xml:space="preserve">   Operating income y/y %</t>
        </is>
      </c>
      <c r="AA16" s="297" t="n"/>
      <c r="AB16" s="298" t="n">
        <v>0.0716011201487059</v>
      </c>
      <c r="AC16" s="298" t="n">
        <v>0.0565055976816169</v>
      </c>
      <c r="AD16" s="298" t="n">
        <v>0.050428809742284</v>
      </c>
      <c r="AE16" s="298" t="n">
        <v>0.0383293096457322</v>
      </c>
      <c r="AF16" s="298" t="n">
        <v>0.0378916465775148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0.626716646681359</v>
      </c>
      <c r="D17" s="89">
        <f>IFERROR(D15/D9,"")</f>
        <v>0.668337330622786</v>
      </c>
      <c r="E17" s="89">
        <f>IFERROR(E15/E9,"")</f>
        <v>0.671067500232542</v>
      </c>
      <c r="F17" s="89">
        <f>IFERROR(F15/F9,"")</f>
        <v>0.674682932803702</v>
      </c>
      <c r="G17" s="89">
        <f>IFERROR(G15/G9,"")</f>
        <v>0.67520427912633</v>
      </c>
      <c r="H17" s="89">
        <f>IFERROR(H15/H9,"")</f>
        <v>0.677527449376697</v>
      </c>
      <c r="J17" s="90">
        <f>IFERROR(AVERAGE(Model!C213,Model!D213,Model!E213,Model!F213,Model!G213,Model!L213,Model!Q213,Model!V213,Model!AA213,Model!AF213,Model!AK213,Model!AP213,Model!AU213,Model!AZ213,Model!BE213,Model!BJ213,Model!BO213,Model!BT213),"")</f>
        <v>0.569875117739668</v>
      </c>
      <c r="K17" s="90">
        <f>IFERROR(MIN(Model!C213,Model!D213,Model!E213,Model!F213,Model!G213,Model!L213,Model!Q213,Model!V213,Model!AA213,Model!AF213,Model!AK213,Model!AP213,Model!AU213,Model!AZ213,Model!BE213,Model!BJ213,Model!BO213,Model!BT213),"")</f>
        <v>0.196710841449784</v>
      </c>
      <c r="L17" s="90">
        <f>IFERROR(MAX(Model!C213,Model!D213,Model!E213,Model!F213,Model!G213,Model!L213,Model!Q213,Model!V213,Model!AA213,Model!AF213,Model!AK213,Model!AP213,Model!AU213,Model!AZ213,Model!BE213,Model!BJ213,Model!BO213,Model!BT213),"")</f>
        <v>0.661509968406145</v>
      </c>
      <c r="N17" s="83" t="inlineStr">
        <is>
          <t xml:space="preserve">   Operating margin (GAAP) %</t>
        </is>
      </c>
      <c r="O17" s="88" t="n">
        <v>0.626644796554</v>
      </c>
      <c r="P17" s="89" t="n">
        <v>0.677700324085438</v>
      </c>
      <c r="Q17" s="89" t="n">
        <v>0.680112161244018</v>
      </c>
      <c r="R17" s="89" t="n">
        <v>0.683494073483686</v>
      </c>
      <c r="S17" s="89" t="n">
        <v>0.68384507898317</v>
      </c>
      <c r="T17" s="89" t="n">
        <v>0.6860715729365831</v>
      </c>
      <c r="V17" s="90" t="n">
        <v>0.569875117739668</v>
      </c>
      <c r="W17" s="90" t="n">
        <v>0.196710841449784</v>
      </c>
      <c r="X17" s="90" t="n">
        <v>0.661509968406145</v>
      </c>
      <c r="Z17" s="83" t="inlineStr">
        <is>
          <t xml:space="preserve">   Operating margin (GAAP) %</t>
        </is>
      </c>
      <c r="AA17" s="88" t="n">
        <v>0.626786767350606</v>
      </c>
      <c r="AB17" s="89" t="n">
        <v>0.648879570407961</v>
      </c>
      <c r="AC17" s="89" t="n">
        <v>0.651982080690672</v>
      </c>
      <c r="AD17" s="89" t="n">
        <v>0.655962803494554</v>
      </c>
      <c r="AE17" s="89" t="n">
        <v>0.656848188793283</v>
      </c>
      <c r="AF17" s="89" t="n">
        <v>0.659489097168229</v>
      </c>
      <c r="AH17" s="90" t="n">
        <v>0.569875117739668</v>
      </c>
      <c r="AI17" s="90" t="n">
        <v>0.196710841449784</v>
      </c>
      <c r="AJ17" s="90" t="n">
        <v>0.661509968406145</v>
      </c>
    </row>
    <row r="19" ht="15" customHeight="1" s="251">
      <c r="B19" s="79" t="inlineStr">
        <is>
          <t>Non-GAAP Net Income</t>
        </is>
      </c>
      <c r="C19" s="80">
        <f>Model!BY188</f>
        <v>25165.1215951157</v>
      </c>
      <c r="D19" s="81">
        <f>Model!BZ188</f>
        <v>27790.3773341237</v>
      </c>
      <c r="E19" s="81">
        <f>Model!CA188</f>
        <v>30765.5021551215</v>
      </c>
      <c r="F19" s="81">
        <f>Model!CB188</f>
        <v>33985.5576108649</v>
      </c>
      <c r="G19" s="81">
        <f>Model!CC188</f>
        <v>37157.9215536237</v>
      </c>
      <c r="H19" s="81">
        <f>Model!CD188</f>
        <v>40637.4204391204</v>
      </c>
      <c r="I19" s="296">
        <f>IFERROR((H19/C19)^(1/5)-1,"n/m")</f>
        <v>0.100589638441404</v>
      </c>
      <c r="N19" s="79" t="inlineStr">
        <is>
          <t>Non-GAAP Net Income</t>
        </is>
      </c>
      <c r="O19" s="80" t="n">
        <v>25216.8844440874</v>
      </c>
      <c r="P19" s="81" t="n">
        <v>29365.4513830775</v>
      </c>
      <c r="Q19" s="81" t="n">
        <v>33454.9152965927</v>
      </c>
      <c r="R19" s="81" t="n">
        <v>38197.6701081007</v>
      </c>
      <c r="S19" s="81" t="n">
        <v>43166.740995299</v>
      </c>
      <c r="T19" s="81" t="n">
        <v>48797.1515653151</v>
      </c>
      <c r="U19" s="296" t="n">
        <v>0.141144413964663</v>
      </c>
      <c r="Z19" s="79" t="inlineStr">
        <is>
          <t>Non-GAAP Net Income</t>
        </is>
      </c>
      <c r="AA19" s="80" t="n">
        <v>25113.2821394602</v>
      </c>
      <c r="AB19" s="81" t="n">
        <v>25210.9337591622</v>
      </c>
      <c r="AC19" s="81" t="n">
        <v>26548.4264993357</v>
      </c>
      <c r="AD19" s="81" t="n">
        <v>27805.7505687103</v>
      </c>
      <c r="AE19" s="81" t="n">
        <v>28810.1429151537</v>
      </c>
      <c r="AF19" s="81" t="n">
        <v>29851.350250709</v>
      </c>
      <c r="AG19" s="296" t="n">
        <v>0.0351710095145463</v>
      </c>
    </row>
    <row r="21" ht="15" customHeight="1" s="251">
      <c r="B21" s="79" t="inlineStr">
        <is>
          <t>FDSO (m)</t>
        </is>
      </c>
      <c r="C21" s="91">
        <f>Model!BY143</f>
        <v>1907.95581619537</v>
      </c>
      <c r="D21" s="92">
        <f>Model!BZ143</f>
        <v>1850.36938668375</v>
      </c>
      <c r="E21" s="92">
        <f>Model!CA143</f>
        <v>1795.39495201688</v>
      </c>
      <c r="F21" s="92">
        <f>Model!CB143</f>
        <v>1741.66770062161</v>
      </c>
      <c r="G21" s="92">
        <f>Model!CC143</f>
        <v>1686.75944206305</v>
      </c>
      <c r="H21" s="92">
        <f>Model!CD143</f>
        <v>1630.99667270866</v>
      </c>
      <c r="I21" s="296">
        <f>IFERROR((H21/C21)^(1/5)-1,"n/m")</f>
        <v>-0.0308813477106052</v>
      </c>
      <c r="N21" s="79" t="inlineStr">
        <is>
          <t>FDSO (m)</t>
        </is>
      </c>
      <c r="O21" s="91" t="n">
        <v>1907.63447943445</v>
      </c>
      <c r="P21" s="92" t="n">
        <v>1840.65655355488</v>
      </c>
      <c r="Q21" s="92" t="n">
        <v>1774.9820304251</v>
      </c>
      <c r="R21" s="92" t="n">
        <v>1712.54142729022</v>
      </c>
      <c r="S21" s="92" t="n">
        <v>1645.73672329969</v>
      </c>
      <c r="T21" s="92" t="n">
        <v>1574.73090991989</v>
      </c>
      <c r="U21" s="296" t="n">
        <v>-0.0376296421574854</v>
      </c>
      <c r="Z21" s="79" t="inlineStr">
        <is>
          <t>FDSO (m)</t>
        </is>
      </c>
      <c r="AA21" s="91" t="n">
        <v>1908.2771529563</v>
      </c>
      <c r="AB21" s="92" t="n">
        <v>1858.96978456718</v>
      </c>
      <c r="AC21" s="92" t="n">
        <v>1814.78651622821</v>
      </c>
      <c r="AD21" s="92" t="n">
        <v>1772.44898475525</v>
      </c>
      <c r="AE21" s="92" t="n">
        <v>1732.54226659632</v>
      </c>
      <c r="AF21" s="92" t="n">
        <v>1695.29728349623</v>
      </c>
      <c r="AG21" s="296" t="n">
        <v>-0.0233906382909825</v>
      </c>
    </row>
    <row r="23" ht="15" customHeight="1" s="251">
      <c r="B23" s="79" t="inlineStr">
        <is>
          <t>Adjusted EPS — Diluted ($)</t>
        </is>
      </c>
      <c r="C23" s="93">
        <f>Model!BY191</f>
        <v>13.1895725160434</v>
      </c>
      <c r="D23" s="94">
        <f>Model!BZ191</f>
        <v>15.0188267997288</v>
      </c>
      <c r="E23" s="94">
        <f>Model!CA191</f>
        <v>17.1357851488669</v>
      </c>
      <c r="F23" s="94">
        <f>Model!CB191</f>
        <v>19.5132272354453</v>
      </c>
      <c r="G23" s="94">
        <f>Model!CC191</f>
        <v>22.029176554172</v>
      </c>
      <c r="H23" s="94">
        <f>Model!CD191</f>
        <v>24.9156979404699</v>
      </c>
      <c r="I23" s="296">
        <f>IFERROR((H23/C23)^(1/5)-1,"n/m")</f>
        <v>0.135660360928385</v>
      </c>
      <c r="N23" s="79" t="inlineStr">
        <is>
          <t>Adjusted EPS — Diluted ($)</t>
        </is>
      </c>
      <c r="O23" s="93" t="n">
        <v>13.2189288440432</v>
      </c>
      <c r="P23" s="94" t="n">
        <v>15.9537917741165</v>
      </c>
      <c r="Q23" s="94" t="n">
        <v>18.8480304155982</v>
      </c>
      <c r="R23" s="94" t="n">
        <v>22.3046692473544</v>
      </c>
      <c r="S23" s="94" t="n">
        <v>26.2294329245749</v>
      </c>
      <c r="T23" s="94" t="n">
        <v>30.9876127139699</v>
      </c>
      <c r="U23" s="296" t="n">
        <v>0.185764300266825</v>
      </c>
      <c r="Z23" s="79" t="inlineStr">
        <is>
          <t>Adjusted EPS — Diluted ($)</t>
        </is>
      </c>
      <c r="AA23" s="93" t="n">
        <v>13.1601859303061</v>
      </c>
      <c r="AB23" s="94" t="n">
        <v>13.5617770490186</v>
      </c>
      <c r="AC23" s="94" t="n">
        <v>14.6289529164637</v>
      </c>
      <c r="AD23" s="94" t="n">
        <v>15.6877579032549</v>
      </c>
      <c r="AE23" s="94" t="n">
        <v>16.6288254379807</v>
      </c>
      <c r="AF23" s="94" t="n">
        <v>17.6083277790349</v>
      </c>
      <c r="AG23" s="296" t="n">
        <v>0.0599642498849784</v>
      </c>
    </row>
    <row r="24" ht="15" customHeight="1" s="251">
      <c r="B24" s="83" t="inlineStr">
        <is>
          <t xml:space="preserve">   EPS y/y %</t>
        </is>
      </c>
      <c r="C24" s="297" t="n"/>
      <c r="D24" s="298">
        <f>IFERROR(D23/C23-1,"")</f>
        <v>0.138689429203285</v>
      </c>
      <c r="E24" s="298">
        <f>IFERROR(E23/D23-1,"")</f>
        <v>0.140953642875508</v>
      </c>
      <c r="F24" s="298">
        <f>IFERROR(F23/E23-1,"")</f>
        <v>0.13874135710295</v>
      </c>
      <c r="G24" s="298">
        <f>IFERROR(G23/F23-1,"")</f>
        <v>0.128935582431828</v>
      </c>
      <c r="H24" s="298">
        <f>IFERROR(H23/G23-1,"")</f>
        <v>0.131031742344049</v>
      </c>
      <c r="N24" s="83" t="inlineStr">
        <is>
          <t xml:space="preserve">   EPS y/y %</t>
        </is>
      </c>
      <c r="O24" s="297" t="n"/>
      <c r="P24" s="298" t="n">
        <v>0.206889904797821</v>
      </c>
      <c r="Q24" s="298" t="n">
        <v>0.181413840826063</v>
      </c>
      <c r="R24" s="298" t="n">
        <v>0.183395227805635</v>
      </c>
      <c r="S24" s="298" t="n">
        <v>0.175961527772308</v>
      </c>
      <c r="T24" s="298" t="n">
        <v>0.181406125061016</v>
      </c>
      <c r="Z24" s="83" t="inlineStr">
        <is>
          <t xml:space="preserve">   EPS y/y %</t>
        </is>
      </c>
      <c r="AA24" s="297" t="n"/>
      <c r="AB24" s="298" t="n">
        <v>0.0305156113172878</v>
      </c>
      <c r="AC24" s="298" t="n">
        <v>0.0786899728249373</v>
      </c>
      <c r="AD24" s="298" t="n">
        <v>0.0723773596673196</v>
      </c>
      <c r="AE24" s="298" t="n">
        <v>0.0599873825520043</v>
      </c>
      <c r="AF24" s="298" t="n">
        <v>0.0589038801752619</v>
      </c>
    </row>
    <row r="26" ht="15" customHeight="1" s="251">
      <c r="B26" s="83" t="inlineStr">
        <is>
          <t>P / E (x) — assumed (adjusted EPS)</t>
        </is>
      </c>
      <c r="C26" s="299" t="n"/>
      <c r="D26" s="299" t="n"/>
      <c r="E26" s="299" t="n"/>
      <c r="F26" s="299" t="n"/>
      <c r="G26" s="299" t="n">
        <v>30</v>
      </c>
      <c r="H26" s="299" t="n">
        <v>30</v>
      </c>
      <c r="N26" s="83" t="inlineStr">
        <is>
          <t>P / E (x) — assumed (adjusted EPS)</t>
        </is>
      </c>
      <c r="O26" s="299" t="n"/>
      <c r="P26" s="299" t="n"/>
      <c r="Q26" s="299" t="n"/>
      <c r="R26" s="299" t="n"/>
      <c r="S26" s="299" t="n">
        <v>33</v>
      </c>
      <c r="T26" s="299" t="n">
        <v>33</v>
      </c>
      <c r="Z26" s="83" t="inlineStr">
        <is>
          <t>P / E (x) — assumed (adjusted EPS)</t>
        </is>
      </c>
      <c r="AA26" s="299" t="n"/>
      <c r="AB26" s="299" t="n"/>
      <c r="AC26" s="299" t="n"/>
      <c r="AD26" s="299" t="n">
        <v>25</v>
      </c>
      <c r="AE26" s="299" t="n">
        <v>25</v>
      </c>
      <c r="AF26" s="299" t="n">
        <v>25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660.875296625161</v>
      </c>
      <c r="H27" s="96">
        <f>H26*H23</f>
        <v>747.470938214096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865.571286510972</v>
      </c>
      <c r="T27" s="96">
        <f>T26*T23</f>
        <v>1022.59121956101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392.193947581372</v>
      </c>
      <c r="AE27" s="96">
        <f>AE26*AE23</f>
        <v>415.720635949518</v>
      </c>
      <c r="AF27" s="96">
        <f>AF26*AF23</f>
        <v>440.208194475873</v>
      </c>
    </row>
    <row r="28" ht="15" customHeight="1" s="251">
      <c r="B28" t="inlineStr">
        <is>
          <t xml:space="preserve">   Upside / (Downside) vs current</t>
        </is>
      </c>
      <c r="E28" s="300" t="n"/>
      <c r="F28" s="300" t="n"/>
      <c r="G28" s="300">
        <f>IFERROR(G27/$K$2-1,"")</f>
        <v>0.698908217545401</v>
      </c>
      <c r="H28" s="300">
        <f>IFERROR(H27/$K$2-1,"")</f>
        <v>0.921519121372998</v>
      </c>
      <c r="N28" t="inlineStr">
        <is>
          <t xml:space="preserve">   Upside / (Downside) vs current</t>
        </is>
      </c>
      <c r="O28" s="300" t="n"/>
      <c r="P28" s="300" t="n"/>
      <c r="Q28" s="300" t="n"/>
      <c r="R28" s="300" t="n"/>
      <c r="S28" s="300">
        <f>IFERROR(S27/$K$2-1,"")</f>
        <v>1.22511898846008</v>
      </c>
      <c r="T28" s="300">
        <f>IFERROR(T27/$K$2-1,"")</f>
        <v>1.62876920195632</v>
      </c>
      <c r="Z28" t="inlineStr">
        <is>
          <t xml:space="preserve">   Upside / (Downside) vs current</t>
        </is>
      </c>
      <c r="AA28" s="300" t="n"/>
      <c r="AB28" s="300" t="n"/>
      <c r="AC28" s="300" t="n"/>
      <c r="AD28" s="300">
        <f>IFERROR(AD27/$K$2-1,"")</f>
        <v>0.00821066216291122</v>
      </c>
      <c r="AE28" s="300">
        <f>IFERROR(AE27/$K$2-1,"")</f>
        <v>0.0686905808470888</v>
      </c>
      <c r="AF28" s="300">
        <f>IFERROR(AF27/$K$2-1,"")</f>
        <v>0.131640602765739</v>
      </c>
    </row>
    <row r="29" ht="15" customHeight="1" s="251">
      <c r="B29" s="75" t="inlineStr">
        <is>
          <t>IRR (to 30-Sep of Y-1)</t>
        </is>
      </c>
      <c r="C29" s="301" t="n"/>
      <c r="D29" s="301" t="n"/>
      <c r="E29" s="301" t="n"/>
      <c r="F29" s="301" t="n"/>
      <c r="G29" s="301">
        <f>IFERROR((G27/$K$2)^(1/((DATE(2030-1,9,30)-$K$3)/365.25))-1,"")</f>
        <v>0.195514771895801</v>
      </c>
      <c r="H29" s="301">
        <f>IFERROR((H27/$K$2)^(1/((DATE(2031-1,9,30)-$K$3)/365.25))-1,"")</f>
        <v>0.17895827146737</v>
      </c>
      <c r="N29" s="75" t="inlineStr">
        <is>
          <t>IRR (to 30-Sep of Y-1)</t>
        </is>
      </c>
      <c r="O29" s="301" t="n"/>
      <c r="P29" s="301" t="n"/>
      <c r="Q29" s="301" t="n"/>
      <c r="R29" s="301" t="n"/>
      <c r="S29" s="301">
        <f>IFERROR((S27/$K$2)^(1/((DATE(2030-1,9,30)-$K$3)/365.25))-1,"")</f>
        <v>0.309300870186333</v>
      </c>
      <c r="T29" s="301">
        <f>IFERROR((T27/$K$2)^(1/((DATE(2031-1,9,30)-$K$3)/365.25))-1,"")</f>
        <v>0.27587217804861</v>
      </c>
      <c r="Z29" s="75" t="inlineStr">
        <is>
          <t>IRR (to 30-Sep of Y-1)</t>
        </is>
      </c>
      <c r="AA29" s="301" t="n"/>
      <c r="AB29" s="301" t="n"/>
      <c r="AC29" s="301" t="n"/>
      <c r="AD29" s="301">
        <f>IFERROR((AD27/$K$2)^(1/((DATE(2029-1,9,30)-$K$3)/365.25))-1,"")</f>
        <v>0.00416260305065896</v>
      </c>
      <c r="AE29" s="301">
        <f>IFERROR((AE27/$K$2)^(1/((DATE(2030-1,9,30)-$K$3)/365.25))-1,"")</f>
        <v>0.0226371700217309</v>
      </c>
      <c r="AF29" s="301">
        <f>IFERROR((AF27/$K$2)^(1/((DATE(2031-1,9,30)-$K$3)/365.25))-1,"")</f>
        <v>0.031664123625617</v>
      </c>
    </row>
    <row r="31" ht="15" customHeight="1" s="251">
      <c r="B31" s="79" t="inlineStr">
        <is>
          <t>Free Cash Flow</t>
        </is>
      </c>
      <c r="C31" s="80">
        <f>Model!BY242</f>
        <v>22759.817018394</v>
      </c>
      <c r="D31" s="81">
        <f>Model!BZ242</f>
        <v>28437.4613477524</v>
      </c>
      <c r="E31" s="81">
        <f>Model!CA242</f>
        <v>31549.775828397</v>
      </c>
      <c r="F31" s="81">
        <f>Model!CB242</f>
        <v>34894.543840646</v>
      </c>
      <c r="G31" s="81">
        <f>Model!CC242</f>
        <v>38148.7484274731</v>
      </c>
      <c r="H31" s="81">
        <f>Model!CD242</f>
        <v>41712.2720539091</v>
      </c>
      <c r="I31" s="296">
        <f>IFERROR((H31/C31)^(1/5)-1,"n/m")</f>
        <v>0.128805238089582</v>
      </c>
      <c r="N31" s="79" t="inlineStr">
        <is>
          <t>Free Cash Flow</t>
        </is>
      </c>
      <c r="O31" s="80" t="n">
        <v>22819.0761911697</v>
      </c>
      <c r="P31" s="81" t="n">
        <v>30051.4162671438</v>
      </c>
      <c r="Q31" s="81" t="n">
        <v>34314.7499942031</v>
      </c>
      <c r="R31" s="81" t="n">
        <v>39239.3570212955</v>
      </c>
      <c r="S31" s="81" t="n">
        <v>44351.7721216943</v>
      </c>
      <c r="T31" s="81" t="n">
        <v>50135.6058483028</v>
      </c>
      <c r="U31" s="296" t="n">
        <v>0.170495212735685</v>
      </c>
      <c r="Z31" s="79" t="inlineStr">
        <is>
          <t>Free Cash Flow</t>
        </is>
      </c>
      <c r="AA31" s="80" t="n">
        <v>22700.4887054729</v>
      </c>
      <c r="AB31" s="81" t="n">
        <v>25792.8574828386</v>
      </c>
      <c r="AC31" s="81" t="n">
        <v>27228.7977987552</v>
      </c>
      <c r="AD31" s="81" t="n">
        <v>28540.0360678721</v>
      </c>
      <c r="AE31" s="81" t="n">
        <v>29555.131102314</v>
      </c>
      <c r="AF31" s="81" t="n">
        <v>30605.1400410593</v>
      </c>
      <c r="AG31" s="296" t="n">
        <v>0.0615778120996491</v>
      </c>
    </row>
    <row r="32" ht="15" customHeight="1" s="251">
      <c r="B32" s="83" t="inlineStr">
        <is>
          <t xml:space="preserve">   FCF %</t>
        </is>
      </c>
      <c r="C32" s="88">
        <f>IFERROR(C31/C9,"")</f>
        <v>0.496049812397378</v>
      </c>
      <c r="D32" s="89">
        <f>IFERROR(D31/D9,"")</f>
        <v>0.560797386981641</v>
      </c>
      <c r="E32" s="89">
        <f>IFERROR(E31/E9,"")</f>
        <v>0.561106323065171</v>
      </c>
      <c r="F32" s="89">
        <f>IFERROR(F31/F9,"")</f>
        <v>0.563451818088554</v>
      </c>
      <c r="G32" s="89">
        <f>IFERROR(G31/G9,"")</f>
        <v>0.562925381963116</v>
      </c>
      <c r="H32" s="89">
        <f>IFERROR(H31/H9,"")</f>
        <v>0.564113062038314</v>
      </c>
      <c r="J32" s="90">
        <f>IFERROR(AVERAGE(Model!C244,Model!D244,Model!E244,Model!F244,Model!G244,Model!L244,Model!Q244,Model!V244,Model!AA244,Model!AF244,Model!AK244,Model!AP244,Model!AU244,Model!AZ244,Model!BE244,Model!BJ244,Model!BO244,Model!BT244),"")</f>
        <v>0.421901064289473</v>
      </c>
      <c r="K32" s="90">
        <f>IFERROR(MIN(Model!C244,Model!D244,Model!E244,Model!F244,Model!G244,Model!L244,Model!Q244,Model!V244,Model!AA244,Model!AF244,Model!AK244,Model!AP244,Model!AU244,Model!AZ244,Model!BE244,Model!BJ244,Model!BO244,Model!BT244),"")</f>
        <v>0.0185214753313109</v>
      </c>
      <c r="L32" s="90">
        <f>IFERROR(MAX(Model!C244,Model!D244,Model!E244,Model!F244,Model!G244,Model!L244,Model!Q244,Model!V244,Model!AA244,Model!AF244,Model!AK244,Model!AP244,Model!AU244,Model!AZ244,Model!BE244,Model!BJ244,Model!BO244,Model!BT244),"")</f>
        <v>0.609996588195155</v>
      </c>
      <c r="N32" s="83" t="inlineStr">
        <is>
          <t xml:space="preserve">   FCF %</t>
        </is>
      </c>
      <c r="O32" s="88" t="n">
        <v>0.496181642692346</v>
      </c>
      <c r="P32" s="89" t="n">
        <v>0.568725628394932</v>
      </c>
      <c r="Q32" s="89" t="n">
        <v>0.566603169309384</v>
      </c>
      <c r="R32" s="89" t="n">
        <v>0.569114208055937</v>
      </c>
      <c r="S32" s="89" t="n">
        <v>0.568711779928029</v>
      </c>
      <c r="T32" s="89" t="n">
        <v>0.570021089825505</v>
      </c>
      <c r="V32" s="90" t="n">
        <v>0.421901064289473</v>
      </c>
      <c r="W32" s="90" t="n">
        <v>0.0185214753313109</v>
      </c>
      <c r="X32" s="90" t="n">
        <v>0.609996588195155</v>
      </c>
      <c r="Z32" s="83" t="inlineStr">
        <is>
          <t xml:space="preserve">   FCF %</t>
        </is>
      </c>
      <c r="AA32" s="88" t="n">
        <v>0.495915853967786</v>
      </c>
      <c r="AB32" s="89" t="n">
        <v>0.544356442073174</v>
      </c>
      <c r="AC32" s="89" t="n">
        <v>0.546527640976638</v>
      </c>
      <c r="AD32" s="89" t="n">
        <v>0.548674923231103</v>
      </c>
      <c r="AE32" s="89" t="n">
        <v>0.547954078966239</v>
      </c>
      <c r="AF32" s="89" t="n">
        <v>0.548903805684696</v>
      </c>
      <c r="AH32" s="90" t="n">
        <v>0.421901064289473</v>
      </c>
      <c r="AI32" s="90" t="n">
        <v>0.0185214753313109</v>
      </c>
      <c r="AJ32" s="90" t="n">
        <v>0.609996588195155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11.9289015108217</v>
      </c>
      <c r="D33" s="100">
        <f>IFERROR(D31/D21,"")</f>
        <v>15.3685321171025</v>
      </c>
      <c r="E33" s="100">
        <f>IFERROR(E31/E21,"")</f>
        <v>17.5726103011235</v>
      </c>
      <c r="F33" s="100">
        <f>IFERROR(F31/F21,"")</f>
        <v>20.035132894864</v>
      </c>
      <c r="G33" s="100">
        <f>IFERROR(G31/G21,"")</f>
        <v>22.6165910064887</v>
      </c>
      <c r="H33" s="100">
        <f>IFERROR(H31/H21,"")</f>
        <v>25.5747131504787</v>
      </c>
      <c r="N33" s="83" t="inlineStr">
        <is>
          <t xml:space="preserve">   FCF / share ($)</t>
        </is>
      </c>
      <c r="O33" s="99" t="n">
        <v>11.9619751253053</v>
      </c>
      <c r="P33" s="100" t="n">
        <v>16.3264657978182</v>
      </c>
      <c r="Q33" s="100" t="n">
        <v>19.3324492338578</v>
      </c>
      <c r="R33" s="100" t="n">
        <v>22.9129388615051</v>
      </c>
      <c r="S33" s="100" t="n">
        <v>26.9494941042388</v>
      </c>
      <c r="T33" s="100" t="n">
        <v>31.8375701730864</v>
      </c>
      <c r="Z33" s="83" t="inlineStr">
        <is>
          <t xml:space="preserve">   FCF / share ($)</t>
        </is>
      </c>
      <c r="AA33" s="99" t="n">
        <v>11.8958028032277</v>
      </c>
      <c r="AB33" s="100" t="n">
        <v>13.8748126499775</v>
      </c>
      <c r="AC33" s="100" t="n">
        <v>15.0038572334925</v>
      </c>
      <c r="AD33" s="100" t="n">
        <v>16.1020352706022</v>
      </c>
      <c r="AE33" s="100" t="n">
        <v>17.0588225592768</v>
      </c>
      <c r="AF33" s="100" t="n">
        <v>18.0529635356591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0.0342221764408248</v>
      </c>
      <c r="H34" s="101">
        <f>IFERROR(H33/H$27,"")</f>
        <v>0.0342149933100856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0.03113492155322</v>
      </c>
      <c r="T34" s="101">
        <f>IFERROR(T33/T$27,"")</f>
        <v>0.0311342103903005</v>
      </c>
      <c r="Z34" s="83" t="inlineStr">
        <is>
          <t xml:space="preserve">   FCF Yield (on PT)</t>
        </is>
      </c>
      <c r="AC34" s="101" t="n"/>
      <c r="AD34" s="101">
        <f>IFERROR(AD33/AD$27,"")</f>
        <v>0.0410563073956192</v>
      </c>
      <c r="AE34" s="101">
        <f>IFERROR(AE33/AE$27,"")</f>
        <v>0.0410343415363877</v>
      </c>
      <c r="AF34" s="101">
        <f>IFERROR(AF33/AF$27,"")</f>
        <v>0.0410100578821655</v>
      </c>
    </row>
    <row r="35" ht="15" customHeight="1" s="251">
      <c r="B35" s="79" t="inlineStr">
        <is>
          <t>Adjusted EBITDA (leverage basis)</t>
        </is>
      </c>
      <c r="C35" s="80">
        <f>Model!BY174</f>
        <v>32066.3014109503</v>
      </c>
      <c r="D35" s="81">
        <f>Model!BZ174</f>
        <v>35529.6445064014</v>
      </c>
      <c r="E35" s="81">
        <f>Model!CA174</f>
        <v>39500.0316488585</v>
      </c>
      <c r="F35" s="81">
        <f>Model!CB174</f>
        <v>43676.913255576</v>
      </c>
      <c r="G35" s="81">
        <f>Model!CC174</f>
        <v>47794.8013142786</v>
      </c>
      <c r="H35" s="81">
        <f>Model!CD174</f>
        <v>52285.5595667626</v>
      </c>
      <c r="I35" s="296">
        <f>IFERROR((H35/C35)^(1/5)-1,"n/m")</f>
        <v>0.102723368201942</v>
      </c>
      <c r="N35" s="79" t="inlineStr">
        <is>
          <t>Adjusted EBITDA (leverage basis)</t>
        </is>
      </c>
      <c r="O35" s="80" t="n">
        <v>32133.6273665711</v>
      </c>
      <c r="P35" s="81" t="n">
        <v>37509.3900307568</v>
      </c>
      <c r="Q35" s="81" t="n">
        <v>43102.7747489243</v>
      </c>
      <c r="R35" s="81" t="n">
        <v>49261.620216485</v>
      </c>
      <c r="S35" s="81" t="n">
        <v>55719.2151586218</v>
      </c>
      <c r="T35" s="81" t="n">
        <v>63002.8023962449</v>
      </c>
      <c r="U35" s="296" t="n">
        <v>0.144142249175858</v>
      </c>
      <c r="Z35" s="79" t="inlineStr">
        <is>
          <t>Adjusted EBITDA (leverage basis)</t>
        </is>
      </c>
      <c r="AA35" s="80" t="n">
        <v>31998.8883457149</v>
      </c>
      <c r="AB35" s="81" t="n">
        <v>32325.9472615877</v>
      </c>
      <c r="AC35" s="81" t="n">
        <v>34081.8028947163</v>
      </c>
      <c r="AD35" s="81" t="n">
        <v>35726.9808171771</v>
      </c>
      <c r="AE35" s="81" t="n">
        <v>37046.3680203623</v>
      </c>
      <c r="AF35" s="81" t="n">
        <v>38398.8532943995</v>
      </c>
      <c r="AG35" s="296" t="n">
        <v>0.0371383010083408</v>
      </c>
    </row>
    <row r="36" ht="15" customHeight="1" s="251">
      <c r="B36" s="83" t="inlineStr">
        <is>
          <t xml:space="preserve">   Adjusted EBITDA % of net revenue</t>
        </is>
      </c>
      <c r="C36" s="88">
        <f>IFERROR(C35/C9,"")</f>
        <v>0.698884476370104</v>
      </c>
      <c r="D36" s="89">
        <f>IFERROR(D35/D9,"")</f>
        <v>0.700657894736842</v>
      </c>
      <c r="E36" s="89">
        <f>IFERROR(E35/E9,"")</f>
        <v>0.7025</v>
      </c>
      <c r="F36" s="89">
        <f>IFERROR(F35/F9,"")</f>
        <v>0.705263157894737</v>
      </c>
      <c r="G36" s="89">
        <f>IFERROR(G35/G9,"")</f>
        <v>0.705263157894737</v>
      </c>
      <c r="H36" s="89">
        <f>IFERROR(H35/H9,"")</f>
        <v>0.707105263157895</v>
      </c>
      <c r="J36" s="90">
        <f>IFERROR(AVERAGE(Model!C212,Model!D212,Model!E212,Model!F212,Model!G212,Model!L212,Model!Q212,Model!V212,Model!AA212,Model!AF212,Model!AK212,Model!AP212,Model!AU212,Model!AZ212,Model!BE212,Model!BJ212,Model!BO212,Model!BT212),"")</f>
        <v>0.660875130043877</v>
      </c>
      <c r="K36" s="90">
        <f>IFERROR(MIN(Model!C212,Model!D212,Model!E212,Model!F212,Model!G212,Model!L212,Model!Q212,Model!V212,Model!AA212,Model!AF212,Model!AK212,Model!AP212,Model!AU212,Model!AZ212,Model!BE212,Model!BJ212,Model!BO212,Model!BT212),"")</f>
        <v>0.489541753153441</v>
      </c>
      <c r="L36" s="90">
        <f>IFERROR(MAX(Model!C212,Model!D212,Model!E212,Model!F212,Model!G212,Model!L212,Model!Q212,Model!V212,Model!AA212,Model!AF212,Model!AK212,Model!AP212,Model!AU212,Model!AZ212,Model!BE212,Model!BJ212,Model!BO212,Model!BT212),"")</f>
        <v>0.705015353121801</v>
      </c>
      <c r="N36" s="83" t="inlineStr">
        <is>
          <t xml:space="preserve">   Adjusted EBITDA % of net revenue</t>
        </is>
      </c>
      <c r="O36" s="88" t="n">
        <v>0.69871873334552</v>
      </c>
      <c r="P36" s="89" t="n">
        <v>0.709868421052632</v>
      </c>
      <c r="Q36" s="89" t="n">
        <v>0.71171052631579</v>
      </c>
      <c r="R36" s="89" t="n">
        <v>0.714473684210526</v>
      </c>
      <c r="S36" s="89" t="n">
        <v>0.714473684210526</v>
      </c>
      <c r="T36" s="89" t="n">
        <v>0.716315789473684</v>
      </c>
      <c r="V36" s="90" t="n">
        <v>0.660875130043877</v>
      </c>
      <c r="W36" s="90" t="n">
        <v>0.489541753153441</v>
      </c>
      <c r="X36" s="90" t="n">
        <v>0.705015353121801</v>
      </c>
      <c r="Z36" s="83" t="inlineStr">
        <is>
          <t xml:space="preserve">   Adjusted EBITDA % of net revenue</t>
        </is>
      </c>
      <c r="AA36" s="88" t="n">
        <v>0.699049092989756</v>
      </c>
      <c r="AB36" s="89" t="n">
        <v>0.682236842105263</v>
      </c>
      <c r="AC36" s="89" t="n">
        <v>0.684078947368421</v>
      </c>
      <c r="AD36" s="89" t="n">
        <v>0.686842105263158</v>
      </c>
      <c r="AE36" s="89" t="n">
        <v>0.686842105263158</v>
      </c>
      <c r="AF36" s="89" t="n">
        <v>0.688684210526316</v>
      </c>
      <c r="AH36" s="90" t="n">
        <v>0.660875130043877</v>
      </c>
      <c r="AI36" s="90" t="n">
        <v>0.489541753153441</v>
      </c>
      <c r="AJ36" s="90" t="n">
        <v>0.705015353121801</v>
      </c>
    </row>
    <row r="38" ht="15" customHeight="1" s="251">
      <c r="B38" s="79" t="inlineStr">
        <is>
          <t>Net Debt</t>
        </is>
      </c>
      <c r="C38" s="80">
        <f>Model!BY369</f>
        <v>8583.0145690096</v>
      </c>
      <c r="D38" s="81">
        <f>Model!BZ369</f>
        <v>12435.3755772405</v>
      </c>
      <c r="E38" s="81">
        <f>Model!CA369</f>
        <v>13825.0110771005</v>
      </c>
      <c r="F38" s="81">
        <f>Model!CB369</f>
        <v>15286.9196394516</v>
      </c>
      <c r="G38" s="81">
        <f>Model!CC369</f>
        <v>16728.1804599975</v>
      </c>
      <c r="H38" s="81">
        <f>Model!CD369</f>
        <v>18299.9458483669</v>
      </c>
      <c r="N38" s="79" t="inlineStr">
        <is>
          <t>Net Debt</t>
        </is>
      </c>
      <c r="O38" s="80" t="n">
        <v>9522.89421371467</v>
      </c>
      <c r="P38" s="81" t="n">
        <v>18754.6950153784</v>
      </c>
      <c r="Q38" s="81" t="n">
        <v>21551.3873744622</v>
      </c>
      <c r="R38" s="81" t="n">
        <v>24630.8101082425</v>
      </c>
      <c r="S38" s="81" t="n">
        <v>27859.6075793109</v>
      </c>
      <c r="T38" s="81" t="n">
        <v>31501.4011981225</v>
      </c>
      <c r="Z38" s="79" t="inlineStr">
        <is>
          <t>Net Debt</t>
        </is>
      </c>
      <c r="AA38" s="80" t="n">
        <v>7643.20406444995</v>
      </c>
      <c r="AB38" s="81" t="n">
        <v>8081.48681539692</v>
      </c>
      <c r="AC38" s="81" t="n">
        <v>8520.450723679071</v>
      </c>
      <c r="AD38" s="81" t="n">
        <v>8931.74520429428</v>
      </c>
      <c r="AE38" s="81" t="n">
        <v>9261.592005090581</v>
      </c>
      <c r="AF38" s="81" t="n">
        <v>9599.71332359989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0.267664625832981</v>
      </c>
      <c r="D39" s="103">
        <f>IFERROR(D38/D35,"")</f>
        <v>0.35</v>
      </c>
      <c r="E39" s="103">
        <f>IFERROR(E38/E35,"")</f>
        <v>0.35</v>
      </c>
      <c r="F39" s="103">
        <f>IFERROR(F38/F35,"")</f>
        <v>0.35</v>
      </c>
      <c r="G39" s="103">
        <f>IFERROR(G38/G35,"")</f>
        <v>0.35</v>
      </c>
      <c r="H39" s="103">
        <f>IFERROR(H38/H35,"")</f>
        <v>0.35</v>
      </c>
      <c r="N39" s="83" t="inlineStr">
        <is>
          <t xml:space="preserve">   Net Debt / Adjusted EBITDA (x)</t>
        </is>
      </c>
      <c r="O39" s="102" t="n">
        <v>0.29635291730623</v>
      </c>
      <c r="P39" s="103" t="n">
        <v>0.5</v>
      </c>
      <c r="Q39" s="103" t="n">
        <v>0.5</v>
      </c>
      <c r="R39" s="103" t="n">
        <v>0.5</v>
      </c>
      <c r="S39" s="103" t="n">
        <v>0.5</v>
      </c>
      <c r="T39" s="103" t="n">
        <v>0.5</v>
      </c>
      <c r="Z39" s="83" t="inlineStr">
        <is>
          <t xml:space="preserve">   Net Debt / Adjusted EBITDA (x)</t>
        </is>
      </c>
      <c r="AA39" s="102" t="n">
        <v>0.238858424763793</v>
      </c>
      <c r="AB39" s="103" t="n">
        <v>0.25</v>
      </c>
      <c r="AC39" s="103" t="n">
        <v>0.25</v>
      </c>
      <c r="AD39" s="103" t="n">
        <v>0.25</v>
      </c>
      <c r="AE39" s="103" t="n">
        <v>0.25</v>
      </c>
      <c r="AF39" s="103" t="n">
        <v>0.25</v>
      </c>
    </row>
    <row r="40" ht="15" customHeight="1" s="251">
      <c r="B40" s="252" t="inlineStr">
        <is>
          <t xml:space="preserve">   Share repurchases ($m; FY2026E = Q4)</t>
        </is>
      </c>
      <c r="C40" s="102" t="n"/>
      <c r="D40" s="248">
        <f>Model!BZ254</f>
        <v>25650.1265328471</v>
      </c>
      <c r="E40" s="248">
        <f>Model!CA254</f>
        <v>25814.7566477729</v>
      </c>
      <c r="F40" s="248">
        <f>Model!CB254</f>
        <v>28695.9982193104</v>
      </c>
      <c r="G40" s="248">
        <f>Model!CC254</f>
        <v>31360.3814812529</v>
      </c>
      <c r="H40" s="248">
        <f>Model!CD254</f>
        <v>34447.8354389217</v>
      </c>
      <c r="N40" s="252" t="inlineStr">
        <is>
          <t xml:space="preserve">   Share repurchases ($m; FY2026E = Q4)</t>
        </is>
      </c>
      <c r="O40" s="102" t="n"/>
      <c r="P40" s="248" t="n">
        <v>31651.237441044</v>
      </c>
      <c r="Q40" s="248" t="n">
        <v>29043.4505834052</v>
      </c>
      <c r="R40" s="248" t="n">
        <v>33748.5808636831</v>
      </c>
      <c r="S40" s="248" t="n">
        <v>38495.5087452751</v>
      </c>
      <c r="T40" s="248" t="n">
        <v>44166.7893273446</v>
      </c>
      <c r="Z40" s="83" t="n"/>
      <c r="AA40" s="102" t="n"/>
      <c r="AB40" s="103" t="n">
        <v>20583.7282152766</v>
      </c>
      <c r="AC40" s="103" t="n">
        <v>21493.9236677681</v>
      </c>
      <c r="AD40" s="103" t="n">
        <v>22199.9352184698</v>
      </c>
      <c r="AE40" s="103" t="n">
        <v>22497.5929069413</v>
      </c>
      <c r="AF40" s="103" t="n">
        <v>22851.275960077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Model!BZ253</f>
        <v>420.12</v>
      </c>
      <c r="E41" s="249">
        <f>Model!CA253</f>
        <v>453.7296</v>
      </c>
      <c r="F41" s="249">
        <f>Model!CB253</f>
        <v>490.027968</v>
      </c>
      <c r="G41" s="249">
        <f>Model!CC253</f>
        <v>529.23020544</v>
      </c>
      <c r="H41" s="249">
        <f>Model!CD253</f>
        <v>571.5686218752</v>
      </c>
      <c r="N41" s="252" t="inlineStr">
        <is>
          <t xml:space="preserve">   Implied avg buyback price ($)</t>
        </is>
      </c>
      <c r="O41" s="102" t="n"/>
      <c r="P41" s="249" t="n">
        <v>420.12</v>
      </c>
      <c r="Q41" s="249" t="n">
        <v>453.7296</v>
      </c>
      <c r="R41" s="249" t="n">
        <v>490.027968</v>
      </c>
      <c r="S41" s="249" t="n">
        <v>529.23020544</v>
      </c>
      <c r="T41" s="249" t="n">
        <v>571.5686218752001</v>
      </c>
      <c r="Z41" s="83" t="n"/>
      <c r="AA41" s="102" t="n"/>
      <c r="AB41" s="103" t="n">
        <v>420.12</v>
      </c>
      <c r="AC41" s="103" t="n">
        <v>453.7296</v>
      </c>
      <c r="AD41" s="103" t="n">
        <v>490.027968</v>
      </c>
      <c r="AE41" s="103" t="n">
        <v>529.23020544</v>
      </c>
      <c r="AF41" s="103" t="n">
        <v>571.5686218752001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Model!BZ255</f>
        <v>61.0542857584668</v>
      </c>
      <c r="E42" s="250">
        <f>Model!CA255</f>
        <v>56.8945835752679</v>
      </c>
      <c r="F42" s="250">
        <f>Model!CB255</f>
        <v>58.5599192152853</v>
      </c>
      <c r="G42" s="250">
        <f>Model!CC255</f>
        <v>59.2565979018148</v>
      </c>
      <c r="H42" s="250">
        <f>Model!CD255</f>
        <v>60.2689408069767</v>
      </c>
      <c r="N42" s="252" t="inlineStr">
        <is>
          <t xml:space="preserve">   Shares repurchased (m)</t>
        </is>
      </c>
      <c r="O42" s="102" t="n"/>
      <c r="P42" s="250" t="n">
        <v>75.33856384138819</v>
      </c>
      <c r="Q42" s="250" t="n">
        <v>64.01048241817421</v>
      </c>
      <c r="R42" s="250" t="n">
        <v>68.87072385158849</v>
      </c>
      <c r="S42" s="250" t="n">
        <v>72.7386841294707</v>
      </c>
      <c r="T42" s="250" t="n">
        <v>77.27294263012951</v>
      </c>
      <c r="Z42" s="83" t="n"/>
      <c r="AA42" s="102" t="n"/>
      <c r="AB42" s="103" t="n">
        <v>48.9948781664205</v>
      </c>
      <c r="AC42" s="103" t="n">
        <v>47.3716585115189</v>
      </c>
      <c r="AD42" s="103" t="n">
        <v>45.3034044343971</v>
      </c>
      <c r="AE42" s="103" t="n">
        <v>42.510031883454</v>
      </c>
      <c r="AF42" s="103" t="n">
        <v>39.9799343167346</v>
      </c>
    </row>
    <row r="44" ht="15" customHeight="1" s="251">
      <c r="B44" s="79" t="inlineStr">
        <is>
          <t>ROIC</t>
        </is>
      </c>
      <c r="C44" s="86">
        <f>Model!BY352</f>
        <v>0.570242985002163</v>
      </c>
      <c r="D44" s="87">
        <f>Model!BZ352</f>
        <v>0.611647802725293</v>
      </c>
      <c r="E44" s="87">
        <f>Model!CA352</f>
        <v>0.662695936178363</v>
      </c>
      <c r="F44" s="87">
        <f>Model!CB352</f>
        <v>0.714508704120004</v>
      </c>
      <c r="G44" s="87">
        <f>Model!CC352</f>
        <v>0.76155551609821</v>
      </c>
      <c r="H44" s="87">
        <f>Model!CD352</f>
        <v>0.811232591790441</v>
      </c>
      <c r="J44" s="90">
        <f>IFERROR(AVERAGE(Model!C352,Model!D352,Model!E352,Model!F352,Model!G352,Model!L352,Model!Q352,Model!V352,Model!AA352,Model!AF352,Model!AK352,Model!AP352,Model!AU352,Model!AZ352,Model!BE352,Model!BJ352,Model!BO352,Model!BT352),"")</f>
        <v>0.287295627892058</v>
      </c>
      <c r="K44" s="90">
        <f>IFERROR(MIN(Model!C352,Model!D352,Model!E352,Model!F352,Model!G352,Model!L352,Model!Q352,Model!V352,Model!AA352,Model!AF352,Model!AK352,Model!AP352,Model!AU352,Model!AZ352,Model!BE352,Model!BJ352,Model!BO352,Model!BT352),"")</f>
        <v>0.099335856520435</v>
      </c>
      <c r="L44" s="90">
        <f>IFERROR(MAX(Model!C352,Model!D352,Model!E352,Model!F352,Model!G352,Model!L352,Model!Q352,Model!V352,Model!AA352,Model!AF352,Model!AK352,Model!AP352,Model!AU352,Model!AZ352,Model!BE352,Model!BJ352,Model!BO352,Model!BT352),"")</f>
        <v>0.513560668370874</v>
      </c>
      <c r="N44" s="79" t="inlineStr">
        <is>
          <t>ROIC</t>
        </is>
      </c>
      <c r="O44" s="86" t="n">
        <v>0.571515821102773</v>
      </c>
      <c r="P44" s="87" t="n">
        <v>0.633251088016284</v>
      </c>
      <c r="Q44" s="87" t="n">
        <v>0.6950964810554831</v>
      </c>
      <c r="R44" s="87" t="n">
        <v>0.760770318153428</v>
      </c>
      <c r="S44" s="87" t="n">
        <v>0.824560162955109</v>
      </c>
      <c r="T44" s="87" t="n">
        <v>0.894477092854151</v>
      </c>
      <c r="V44" s="90" t="n">
        <v>0.287295627892058</v>
      </c>
      <c r="W44" s="90" t="n">
        <v>0.099335856520435</v>
      </c>
      <c r="X44" s="90" t="n">
        <v>0.513560668370874</v>
      </c>
      <c r="Z44" s="79" t="inlineStr">
        <is>
          <t>ROIC</t>
        </is>
      </c>
      <c r="AA44" s="86" t="n">
        <v>0.568968939082652</v>
      </c>
      <c r="AB44" s="87" t="n">
        <v>0.566566203137332</v>
      </c>
      <c r="AC44" s="87" t="n">
        <v>0.595003146365511</v>
      </c>
      <c r="AD44" s="87" t="n">
        <v>0.620900536083052</v>
      </c>
      <c r="AE44" s="87" t="n">
        <v>0.639568124943409</v>
      </c>
      <c r="AF44" s="87" t="n">
        <v>0.657732615043608</v>
      </c>
      <c r="AH44" s="90" t="n">
        <v>0.287295627892058</v>
      </c>
      <c r="AI44" s="90" t="n">
        <v>0.099335856520435</v>
      </c>
      <c r="AJ44" s="90" t="n">
        <v>0.513560668370874</v>
      </c>
    </row>
    <row r="45" ht="15" customHeight="1" s="251">
      <c r="B45" s="79" t="inlineStr">
        <is>
          <t>RONTA</t>
        </is>
      </c>
      <c r="C45" s="86">
        <f>Model!BY363</f>
        <v>1.51858778770501</v>
      </c>
      <c r="D45" s="87">
        <f>Model!BZ363</f>
        <v>1.66841654595165</v>
      </c>
      <c r="E45" s="87">
        <f>Model!CA363</f>
        <v>1.83166085264559</v>
      </c>
      <c r="F45" s="87">
        <f>Model!CB363</f>
        <v>2.00093877106927</v>
      </c>
      <c r="G45" s="87">
        <f>Model!CC363</f>
        <v>2.15760284676887</v>
      </c>
      <c r="H45" s="87">
        <f>Model!CD363</f>
        <v>2.32017188748998</v>
      </c>
      <c r="J45" s="90">
        <f>IFERROR(AVERAGE(Model!C363,Model!D363,Model!E363,Model!F363,Model!G363,Model!L363,Model!Q363,Model!V363,Model!AA363,Model!AF363,Model!AK363,Model!AP363,Model!AU363,Model!AZ363,Model!BE363,Model!BJ363,Model!BO363,Model!BT363),"")</f>
        <v>0.578147850141602</v>
      </c>
      <c r="K45" s="90">
        <f>IFERROR(MIN(Model!C363,Model!D363,Model!E363,Model!F363,Model!G363,Model!L363,Model!Q363,Model!V363,Model!AA363,Model!AF363,Model!AK363,Model!AP363,Model!AU363,Model!AZ363,Model!BE363,Model!BJ363,Model!BO363,Model!BT363),"")</f>
        <v>0.246542470658088</v>
      </c>
      <c r="L45" s="90">
        <f>IFERROR(MAX(Model!C363,Model!D363,Model!E363,Model!F363,Model!G363,Model!L363,Model!Q363,Model!V363,Model!AA363,Model!AF363,Model!AK363,Model!AP363,Model!AU363,Model!AZ363,Model!BE363,Model!BJ363,Model!BO363,Model!BT363),"")</f>
        <v>0.978042162228295</v>
      </c>
      <c r="N45" s="79" t="inlineStr">
        <is>
          <t>RONTA</t>
        </is>
      </c>
      <c r="O45" s="86" t="n">
        <v>1.54030055000274</v>
      </c>
      <c r="P45" s="87" t="n">
        <v>1.76265941472834</v>
      </c>
      <c r="Q45" s="87" t="n">
        <v>1.99816841863814</v>
      </c>
      <c r="R45" s="87" t="n">
        <v>2.25751824500356</v>
      </c>
      <c r="S45" s="87" t="n">
        <v>2.52039687411728</v>
      </c>
      <c r="T45" s="87" t="n">
        <v>2.80806765146818</v>
      </c>
      <c r="V45" s="90" t="n">
        <v>0.578147850141602</v>
      </c>
      <c r="W45" s="90" t="n">
        <v>0.246542470658088</v>
      </c>
      <c r="X45" s="90" t="n">
        <v>0.978042162228295</v>
      </c>
      <c r="Z45" s="79" t="inlineStr">
        <is>
          <t>RONTA</t>
        </is>
      </c>
      <c r="AA45" s="86" t="n">
        <v>1.43333718700809</v>
      </c>
      <c r="AB45" s="87" t="n">
        <v>1.45310292536699</v>
      </c>
      <c r="AC45" s="87" t="n">
        <v>1.55614422246072</v>
      </c>
      <c r="AD45" s="87" t="n">
        <v>1.63779987786582</v>
      </c>
      <c r="AE45" s="87" t="n">
        <v>1.67418298531171</v>
      </c>
      <c r="AF45" s="87" t="n">
        <v>1.70596174032954</v>
      </c>
      <c r="AH45" s="90" t="n">
        <v>0.578147850141602</v>
      </c>
      <c r="AI45" s="90" t="n">
        <v>0.246542470658088</v>
      </c>
      <c r="AJ45" s="90" t="n">
        <v>0.978042162228295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1114737.64660871</v>
      </c>
      <c r="H47" s="104">
        <f>H27*H21</f>
        <v>1219122.61317361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1424502.45284486</v>
      </c>
      <c r="T47" s="104">
        <f>T27*T21</f>
        <v>1610306.00165539</v>
      </c>
      <c r="Z47" s="83" t="inlineStr">
        <is>
          <t>Implied Market Cap (USDm)</t>
        </is>
      </c>
      <c r="AC47" s="104" t="n"/>
      <c r="AD47" s="104">
        <f>AD27*AD21</f>
        <v>695143.764217757</v>
      </c>
      <c r="AE47" s="104">
        <f>AE27*AE21</f>
        <v>720253.572878841</v>
      </c>
      <c r="AF47" s="104">
        <f>AF27*AF21</f>
        <v>746283.756267727</v>
      </c>
    </row>
    <row r="48" ht="15" customHeight="1" s="251">
      <c r="B48" s="83" t="inlineStr">
        <is>
          <t>(+) Net Debt &amp; NCI</t>
        </is>
      </c>
      <c r="E48" s="104" t="n"/>
      <c r="F48" s="104">
        <f>F38+Model!CB287</f>
        <v>15286.9196394516</v>
      </c>
      <c r="G48" s="104">
        <f>G38+Model!CC287</f>
        <v>16728.1804599975</v>
      </c>
      <c r="H48" s="104">
        <f>H38+Model!CD287</f>
        <v>18299.9458483669</v>
      </c>
      <c r="N48" s="83" t="inlineStr">
        <is>
          <t>(+) Net Debt &amp; NCI</t>
        </is>
      </c>
      <c r="Q48" s="104" t="n"/>
      <c r="R48" s="104">
        <f>R38+Model!CB287</f>
        <v>24630.8101082425</v>
      </c>
      <c r="S48" s="104">
        <f>S38+Model!CC287</f>
        <v>27859.6075793109</v>
      </c>
      <c r="T48" s="104">
        <f>T38+Model!CD287</f>
        <v>31501.4011981225</v>
      </c>
      <c r="Z48" s="83" t="inlineStr">
        <is>
          <t>(+) Net Debt &amp; NCI</t>
        </is>
      </c>
      <c r="AC48" s="104" t="n"/>
      <c r="AD48" s="104">
        <f>AD38+Model!CB287</f>
        <v>8931.74520429428</v>
      </c>
      <c r="AE48" s="104">
        <f>AE38+Model!CC287</f>
        <v>9261.59200509058</v>
      </c>
      <c r="AF48" s="104">
        <f>AF38+Model!CD287</f>
        <v>9599.71332359989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15286.9196394516</v>
      </c>
      <c r="G49" s="104">
        <f>G47+G48</f>
        <v>1131465.82706871</v>
      </c>
      <c r="H49" s="104">
        <f>H47+H48</f>
        <v>1237422.55902198</v>
      </c>
      <c r="N49" s="83" t="inlineStr">
        <is>
          <t>Implied Enterprise Value (USDm)</t>
        </is>
      </c>
      <c r="Q49" s="104" t="n"/>
      <c r="R49" s="104">
        <f>R47+R48</f>
        <v>24630.8101082425</v>
      </c>
      <c r="S49" s="104">
        <f>S47+S48</f>
        <v>1452362.06042417</v>
      </c>
      <c r="T49" s="104">
        <f>T47+T48</f>
        <v>1641807.40285352</v>
      </c>
      <c r="Z49" s="83" t="inlineStr">
        <is>
          <t>Implied Enterprise Value (USDm)</t>
        </is>
      </c>
      <c r="AC49" s="104" t="n"/>
      <c r="AD49" s="104">
        <f>AD47+AD48</f>
        <v>704075.509422052</v>
      </c>
      <c r="AE49" s="104">
        <f>AE47+AE48</f>
        <v>729515.164883931</v>
      </c>
      <c r="AF49" s="104">
        <f>AF47+AF48</f>
        <v>755883.469591327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0.35</v>
      </c>
      <c r="G50" s="105">
        <f>IFERROR(G49/G35,"")</f>
        <v>23.6734079011787</v>
      </c>
      <c r="H50" s="105">
        <f>IFERROR(H49/H35,"")</f>
        <v>23.6666217073173</v>
      </c>
      <c r="N50" s="83" t="inlineStr">
        <is>
          <t>Implied EV / Adjusted EBITDA (x)</t>
        </is>
      </c>
      <c r="Q50" s="105" t="n"/>
      <c r="R50" s="105">
        <f>IFERROR(R49/R35,"")</f>
        <v>0.5</v>
      </c>
      <c r="S50" s="105">
        <f>IFERROR(S49/S35,"")</f>
        <v>26.0657307589416</v>
      </c>
      <c r="T50" s="105">
        <f>IFERROR(T49/T35,"")</f>
        <v>26.0592757847129</v>
      </c>
      <c r="Z50" s="83" t="inlineStr">
        <is>
          <t>Implied EV / Adjusted EBITDA (x)</t>
        </is>
      </c>
      <c r="AC50" s="105" t="n"/>
      <c r="AD50" s="105">
        <f>IFERROR(AD49/AD35,"")</f>
        <v>19.707109118035</v>
      </c>
      <c r="AE50" s="105">
        <f>IFERROR(AE49/AE35,"")</f>
        <v>19.6919483303453</v>
      </c>
      <c r="AF50" s="105">
        <f>IFERROR(AF49/AF35,"")</f>
        <v>19.6850531914601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VISA INC. (V)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0.95</v>
      </c>
      <c r="D7" s="198" t="inlineStr">
        <is>
          <t>Assumption: payment networks / processors (MA, AXP, PYPL, FI) ~0.9–1.2; Visa's volume-linked revenue is defensive (no credit risk; ~48% U.S. volume)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0.045</v>
      </c>
      <c r="D9" s="198" t="inlineStr">
        <is>
          <t>Feb-2026 senior notes at 3.80–4.70% (10-Q Note 6); commercial paper 3.77% at 30-Jun-2026; AA- / Aa3-type credit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0.185</v>
      </c>
      <c r="D10" s="198" t="inlineStr">
        <is>
          <t>Model FY2027E+ non-GAAP effective tax rate (FY2025 17.7%; FY26 18.0–18.25% call commentary, unverified)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0.036675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0.03</v>
      </c>
      <c r="D12" s="198" t="inlineStr">
        <is>
          <t>Net debt ~$9.9bn at 30-Jun-2026 vs ~$735bn market cap ($389 × ~1,890m as-converted shares); ~0.3x adjusted EBITDA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0.08840025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2026-10-12 00:00:00</v>
      </c>
      <c r="D15" s="198" t="inlineStr">
        <is>
          <t>Periods = (30-Sep of fiscal year − today) / 365.25; cash flows assumed at fiscal year-end (30 September); FY2026E (ended 30-Sep-2026) is the base year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 (full-cost) less acquisition and severance / restructuring costs</t>
        </is>
      </c>
      <c r="C18" s="192" t="n"/>
      <c r="D18" s="173">
        <f>Model!BZ179-Model!BZ181</f>
        <v>33890.7017900704</v>
      </c>
      <c r="E18" s="173">
        <f>Model!CA179-Model!CA181</f>
        <v>37732.6512422858</v>
      </c>
      <c r="F18" s="173">
        <f>Model!CB179-Model!CB181</f>
        <v>41783.0813948218</v>
      </c>
      <c r="G18" s="173">
        <f>Model!CC179-Model!CC181</f>
        <v>45757.7487298866</v>
      </c>
      <c r="H18" s="173">
        <f>Model!CD179-Model!CD181</f>
        <v>50098.4841412385</v>
      </c>
      <c r="I18" s="174">
        <f>H18*(1+I$26)</f>
        <v>54607.3477139499</v>
      </c>
      <c r="J18" s="174">
        <f>I18*(1+J$26)</f>
        <v>59112.4539003508</v>
      </c>
      <c r="K18" s="174">
        <f>J18*(1+K$26)</f>
        <v>63545.8879428771</v>
      </c>
      <c r="L18" s="174">
        <f>K18*(1+L$26)</f>
        <v>67835.2353790213</v>
      </c>
      <c r="M18" s="174">
        <f>L18*(1+M$26)</f>
        <v>71905.3495017626</v>
      </c>
      <c r="N18" s="192" t="n"/>
      <c r="O18" s="192" t="n"/>
      <c r="P18" s="176">
        <f>(H18/D18)^(1/(COLUMNS(D18:H18)-1))-1</f>
        <v>0.10264574478864</v>
      </c>
      <c r="Q18" s="176">
        <f>(M18/D18)^(1/(COLUMNS(D18:M18)-1))-1</f>
        <v>0.0871709740745632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0.815</v>
      </c>
      <c r="E19" s="177">
        <f>1-$C$10</f>
        <v>0.815</v>
      </c>
      <c r="F19" s="177">
        <f>1-$C$10</f>
        <v>0.815</v>
      </c>
      <c r="G19" s="177">
        <f>1-$C$10</f>
        <v>0.815</v>
      </c>
      <c r="H19" s="177">
        <f>1-$C$10</f>
        <v>0.815</v>
      </c>
      <c r="I19" s="177">
        <f>1-$C$10</f>
        <v>0.815</v>
      </c>
      <c r="J19" s="177">
        <f>1-$C$10</f>
        <v>0.815</v>
      </c>
      <c r="K19" s="177">
        <f>1-$C$10</f>
        <v>0.815</v>
      </c>
      <c r="L19" s="177">
        <f>1-$C$10</f>
        <v>0.815</v>
      </c>
      <c r="M19" s="177">
        <f>1-$C$10</f>
        <v>0.815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27620.9219589074</v>
      </c>
      <c r="E20" s="174">
        <f>E18*E19</f>
        <v>30752.1107624629</v>
      </c>
      <c r="F20" s="174">
        <f>F18*F19</f>
        <v>34053.2113367798</v>
      </c>
      <c r="G20" s="174">
        <f>G18*G19</f>
        <v>37292.5652148576</v>
      </c>
      <c r="H20" s="174">
        <f>H18*H19</f>
        <v>40830.2645751093</v>
      </c>
      <c r="I20" s="174">
        <f>I18*I19</f>
        <v>44504.9883868692</v>
      </c>
      <c r="J20" s="174">
        <f>J18*J19</f>
        <v>48176.6499287859</v>
      </c>
      <c r="K20" s="174">
        <f>K18*K19</f>
        <v>51789.8986734448</v>
      </c>
      <c r="L20" s="174">
        <f>L18*L19</f>
        <v>55285.7168339024</v>
      </c>
      <c r="M20" s="174">
        <f>M18*M19</f>
        <v>58602.8598439365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(incl. amortization of acquired intangibles)</t>
        </is>
      </c>
      <c r="C21" s="192" t="n"/>
      <c r="D21" s="173">
        <f>Model!BZ140</f>
        <v>1548.942716331</v>
      </c>
      <c r="E21" s="173">
        <f>Model!CA140</f>
        <v>1677.3804065727</v>
      </c>
      <c r="F21" s="173">
        <f>Model!CB140</f>
        <v>1803.83186075411</v>
      </c>
      <c r="G21" s="173">
        <f>Model!CC140</f>
        <v>1947.05258439207</v>
      </c>
      <c r="H21" s="173">
        <f>Model!CD140</f>
        <v>2097.07542552417</v>
      </c>
      <c r="I21" s="174">
        <f>H21*(1+I$26)</f>
        <v>2285.81221382134</v>
      </c>
      <c r="J21" s="174">
        <f>I21*(1+J$26)</f>
        <v>2474.3917214616</v>
      </c>
      <c r="K21" s="174">
        <f>J21*(1+K$26)</f>
        <v>2659.97110057122</v>
      </c>
      <c r="L21" s="174">
        <f>K21*(1+L$26)</f>
        <v>2839.51914985978</v>
      </c>
      <c r="M21" s="174">
        <f>L21*(1+M$26)</f>
        <v>3009.89029885137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(property, equipment &amp; technology) and acquisitions (M&amp;A lever 2027E–31E)</t>
        </is>
      </c>
      <c r="C22" s="192" t="n"/>
      <c r="D22" s="173">
        <f>Model!BZ226+Model!BZ227</f>
        <v>-2876.2321192864</v>
      </c>
      <c r="E22" s="173">
        <f>Model!CA226+Model!CA227</f>
        <v>-3024.20091011944</v>
      </c>
      <c r="F22" s="173">
        <f>Model!CB226+Model!CB227</f>
        <v>-3167.54830708642</v>
      </c>
      <c r="G22" s="173">
        <f>Model!CC226+Model!CC227</f>
        <v>-3371.90618462652</v>
      </c>
      <c r="H22" s="173">
        <f>Model!CD226+Model!CD227</f>
        <v>-3588.00871692573</v>
      </c>
      <c r="I22" s="174">
        <f>Model!CD226*(1+I$26)</f>
        <v>-2820.92950144904</v>
      </c>
      <c r="J22" s="174">
        <f>I22*(1+J$26)</f>
        <v>-3053.65618531859</v>
      </c>
      <c r="K22" s="174">
        <f>J22*(1+K$26)</f>
        <v>-3282.68039921748</v>
      </c>
      <c r="L22" s="174">
        <f>K22*(1+L$26)</f>
        <v>-3504.26132616466</v>
      </c>
      <c r="M22" s="174">
        <f>L22*(1+M$26)</f>
        <v>-3714.51700573454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Model!BZ224</f>
        <v>183.420535483328</v>
      </c>
      <c r="E23" s="173">
        <f>Model!CA224</f>
        <v>209.715420753857</v>
      </c>
      <c r="F23" s="173">
        <f>Model!CB224</f>
        <v>216.681645742353</v>
      </c>
      <c r="G23" s="173">
        <f>Model!CC224</f>
        <v>221.874267043534</v>
      </c>
      <c r="H23" s="173">
        <f>Model!CD224</f>
        <v>234.625606496287</v>
      </c>
      <c r="I23" s="174">
        <f>H23*(1+I$26)</f>
        <v>255.741911080953</v>
      </c>
      <c r="J23" s="174">
        <f>I23*(1+J$26)</f>
        <v>276.840618745132</v>
      </c>
      <c r="K23" s="174">
        <f>J23*(1+K$26)</f>
        <v>297.603665151017</v>
      </c>
      <c r="L23" s="174">
        <f>K23*(1+L$26)</f>
        <v>317.69191254871</v>
      </c>
      <c r="M23" s="174">
        <f>L23*(1+M$26)</f>
        <v>336.753427301633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26477.0530914353</v>
      </c>
      <c r="E24" s="219">
        <f>E20+E21+E22+E23</f>
        <v>29615.00567967</v>
      </c>
      <c r="F24" s="219">
        <f>F20+F21+F22+F23</f>
        <v>32906.1765361898</v>
      </c>
      <c r="G24" s="219">
        <f>G20+G21+G22+G23</f>
        <v>36089.5858816666</v>
      </c>
      <c r="H24" s="219">
        <f>H20+H21+H22+H23</f>
        <v>39573.9568902041</v>
      </c>
      <c r="I24" s="219">
        <f>I20+I21+I22+I23</f>
        <v>44225.6130103224</v>
      </c>
      <c r="J24" s="219">
        <f>J20+J21+J22+J23</f>
        <v>47874.226083674</v>
      </c>
      <c r="K24" s="219">
        <f>K20+K21+K22+K23</f>
        <v>51464.7930399496</v>
      </c>
      <c r="L24" s="219">
        <f>L20+L21+L22+L23</f>
        <v>54938.6665701462</v>
      </c>
      <c r="M24" s="219">
        <f>M20+M21+M22+M23</f>
        <v>58234.986564355</v>
      </c>
      <c r="N24" s="219">
        <f>M24*(1+$C$27)</f>
        <v>60564.3860269292</v>
      </c>
      <c r="O24" s="192" t="n"/>
      <c r="P24" s="181">
        <f>(H24/D24)^(1/(COLUMNS(D24:H24)-1))-1</f>
        <v>0.105694011702662</v>
      </c>
      <c r="Q24" s="181">
        <f>(M24/D24)^(1/(COLUMNS(D24:M24)-1))-1</f>
        <v>0.0915281135189223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1251323.82636307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9.0% → 6.0%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0.09</v>
      </c>
      <c r="J26" s="183">
        <f>I26+($M$26-$I$26)/4</f>
        <v>0.0825</v>
      </c>
      <c r="K26" s="183">
        <f>J26+($M$26-$I$26)/4</f>
        <v>0.075</v>
      </c>
      <c r="L26" s="183">
        <f>K26+($M$26-$I$26)/4</f>
        <v>0.0675</v>
      </c>
      <c r="M26" s="182" t="n">
        <v>0.06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(DATE(2027,9,30)-$C$15)/365.25</f>
        <v>0.966461327857632</v>
      </c>
      <c r="E29" s="177">
        <f>(DATE(2028,9,30)-$C$15)/365.25</f>
        <v>1.96851471594798</v>
      </c>
      <c r="F29" s="177">
        <f>(DATE(2029,9,30)-$C$15)/365.25</f>
        <v>2.9678302532512</v>
      </c>
      <c r="G29" s="177">
        <f>(DATE(2030,9,30)-$C$15)/365.25</f>
        <v>3.96714579055441</v>
      </c>
      <c r="H29" s="177">
        <f>(DATE(2031,9,30)-$C$15)/365.25</f>
        <v>4.96646132785763</v>
      </c>
      <c r="I29" s="177">
        <f>(DATE(2032,9,30)-$C$15)/365.25</f>
        <v>5.96851471594798</v>
      </c>
      <c r="J29" s="177">
        <f>(DATE(2033,9,30)-$C$15)/365.25</f>
        <v>6.9678302532512</v>
      </c>
      <c r="K29" s="177">
        <f>(DATE(2034,9,30)-$C$15)/365.25</f>
        <v>7.96714579055442</v>
      </c>
      <c r="L29" s="177">
        <f>(DATE(2035,9,30)-$C$15)/365.25</f>
        <v>8.96646132785763</v>
      </c>
      <c r="M29" s="177">
        <f>(DATE(2036,9,30)-$C$15)/365.25</f>
        <v>9.96851471594798</v>
      </c>
      <c r="N29" s="177">
        <f>M29</f>
        <v>9.96851471594798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0.921393637585088</v>
      </c>
      <c r="E30" s="185">
        <f>1/(1+$C$13)^E29</f>
        <v>0.846410485460105</v>
      </c>
      <c r="F30" s="185">
        <f>1/(1+$C$13)^F29</f>
        <v>0.77770981940299</v>
      </c>
      <c r="G30" s="185">
        <f>1/(1+$C$13)^G29</f>
        <v>0.714585385679676</v>
      </c>
      <c r="H30" s="185">
        <f>1/(1+$C$13)^H29</f>
        <v>0.656584577804301</v>
      </c>
      <c r="I30" s="185">
        <f>1/(1+$C$13)^I29</f>
        <v>0.603151626596331</v>
      </c>
      <c r="J30" s="185">
        <f>1/(1+$C$13)^J29</f>
        <v>0.554195571357867</v>
      </c>
      <c r="K30" s="185">
        <f>1/(1+$C$13)^K29</f>
        <v>0.509213136082987</v>
      </c>
      <c r="L30" s="185">
        <f>1/(1+$C$13)^L29</f>
        <v>0.467881793649396</v>
      </c>
      <c r="M30" s="185">
        <f>1/(1+$C$13)^M29</f>
        <v>0.42980550325773</v>
      </c>
      <c r="N30" s="185">
        <f>1/(1+$C$13)^N29</f>
        <v>0.42980550325773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24395.7882604511</v>
      </c>
      <c r="E31" s="222">
        <f>E24*E30</f>
        <v>25066.4513342333</v>
      </c>
      <c r="F31" s="222">
        <f>F24*F30</f>
        <v>25591.4566112031</v>
      </c>
      <c r="G31" s="222">
        <f>G24*G30</f>
        <v>25789.0906462705</v>
      </c>
      <c r="H31" s="222">
        <f>H24*H30</f>
        <v>25983.6497768003</v>
      </c>
      <c r="I31" s="222">
        <f>I24*I30</f>
        <v>26674.7504243958</v>
      </c>
      <c r="J31" s="222">
        <f>J24*J30</f>
        <v>26531.6840777574</v>
      </c>
      <c r="K31" s="222">
        <f>K24*K30</f>
        <v>26206.5486617346</v>
      </c>
      <c r="L31" s="222">
        <f>L24*L30</f>
        <v>25704.8018555461</v>
      </c>
      <c r="M31" s="222">
        <f>M24*M30</f>
        <v>25029.7177074997</v>
      </c>
      <c r="N31" s="222">
        <f>N25*N30</f>
        <v>537825.866928368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NOPAT starts from adjusted EBIT on a full-cost basis: non-GAAP operating income less amortization of acquired intangibles, after share-based compensation (Visa does not adjust it out), less acquisition and severance / restructuring costs (cash; adjusted out by the company). Litigation provisions for U.S. covered litigation are excluded: they are funded from the litigation escrow through class B conversion-rate reductions (an as-converted share reduction, captured in the share count). D&amp;A is added back in row 21. Row 22 includes acquisitions in FY2027E–31E; the fade period and terminal value assume none. Client-incentive prepayments run through working capital (row 23).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Model!BY349</f>
        <v>44034.2664180815</v>
      </c>
      <c r="E34" s="174">
        <f>D38</f>
        <v>45178.1352855535</v>
      </c>
      <c r="F34" s="174">
        <f>E38</f>
        <v>46315.2403683464</v>
      </c>
      <c r="G34" s="174">
        <f>F38</f>
        <v>47462.2751689364</v>
      </c>
      <c r="H34" s="174">
        <f>G38</f>
        <v>48665.2545021273</v>
      </c>
      <c r="I34" s="174">
        <f>H38</f>
        <v>49921.5621870326</v>
      </c>
      <c r="J34" s="174">
        <f>I38</f>
        <v>50200.9375635793</v>
      </c>
      <c r="K34" s="174">
        <f>J38</f>
        <v>50503.3614086912</v>
      </c>
      <c r="L34" s="174">
        <f>K38</f>
        <v>50828.4670421864</v>
      </c>
      <c r="M34" s="174">
        <f>L38</f>
        <v>51175.5173059426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2876.2321192864</v>
      </c>
      <c r="E35" s="174">
        <f>-E22</f>
        <v>3024.20091011944</v>
      </c>
      <c r="F35" s="174">
        <f>-F22</f>
        <v>3167.54830708642</v>
      </c>
      <c r="G35" s="174">
        <f>-G22</f>
        <v>3371.90618462652</v>
      </c>
      <c r="H35" s="174">
        <f>-H22</f>
        <v>3588.00871692573</v>
      </c>
      <c r="I35" s="174">
        <f>-I22</f>
        <v>2820.92950144904</v>
      </c>
      <c r="J35" s="174">
        <f>-J22</f>
        <v>3053.65618531859</v>
      </c>
      <c r="K35" s="174">
        <f>-K22</f>
        <v>3282.68039921748</v>
      </c>
      <c r="L35" s="174">
        <f>-L22</f>
        <v>3504.26132616466</v>
      </c>
      <c r="M35" s="174">
        <f>-M22</f>
        <v>3714.51700573454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-1548.942716331</v>
      </c>
      <c r="E36" s="174">
        <f>-E21</f>
        <v>-1677.3804065727</v>
      </c>
      <c r="F36" s="174">
        <f>-F21</f>
        <v>-1803.83186075411</v>
      </c>
      <c r="G36" s="174">
        <f>-G21</f>
        <v>-1947.05258439207</v>
      </c>
      <c r="H36" s="174">
        <f>-H21</f>
        <v>-2097.07542552417</v>
      </c>
      <c r="I36" s="174">
        <f>-I21</f>
        <v>-2285.81221382134</v>
      </c>
      <c r="J36" s="174">
        <f>-J21</f>
        <v>-2474.3917214616</v>
      </c>
      <c r="K36" s="174">
        <f>-K21</f>
        <v>-2659.97110057122</v>
      </c>
      <c r="L36" s="174">
        <f>-L21</f>
        <v>-2839.51914985978</v>
      </c>
      <c r="M36" s="174">
        <f>-M21</f>
        <v>-3009.89029885137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-183.420535483328</v>
      </c>
      <c r="E37" s="174">
        <f>-E23</f>
        <v>-209.715420753857</v>
      </c>
      <c r="F37" s="174">
        <f>-F23</f>
        <v>-216.681645742353</v>
      </c>
      <c r="G37" s="174">
        <f>-G23</f>
        <v>-221.874267043534</v>
      </c>
      <c r="H37" s="174">
        <f>-H23</f>
        <v>-234.625606496287</v>
      </c>
      <c r="I37" s="174">
        <f>-I23</f>
        <v>-255.741911080953</v>
      </c>
      <c r="J37" s="174">
        <f>-J23</f>
        <v>-276.840618745132</v>
      </c>
      <c r="K37" s="174">
        <f>-K23</f>
        <v>-297.603665151017</v>
      </c>
      <c r="L37" s="174">
        <f>-L23</f>
        <v>-317.69191254871</v>
      </c>
      <c r="M37" s="174">
        <f>-M23</f>
        <v>-336.753427301633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45178.1352855535</v>
      </c>
      <c r="E38" s="224">
        <f>SUM(E34:E37)</f>
        <v>46315.2403683464</v>
      </c>
      <c r="F38" s="224">
        <f>SUM(F34:F37)</f>
        <v>47462.2751689364</v>
      </c>
      <c r="G38" s="224">
        <f>SUM(G34:G37)</f>
        <v>48665.2545021273</v>
      </c>
      <c r="H38" s="224">
        <f>SUM(H34:H37)</f>
        <v>49921.5621870326</v>
      </c>
      <c r="I38" s="224">
        <f>SUM(I34:I37)</f>
        <v>50200.9375635793</v>
      </c>
      <c r="J38" s="224">
        <f>SUM(J34:J37)</f>
        <v>50503.3614086912</v>
      </c>
      <c r="K38" s="224">
        <f>SUM(K34:K37)</f>
        <v>50828.4670421864</v>
      </c>
      <c r="L38" s="224">
        <f>SUM(L34:L37)</f>
        <v>51175.5173059426</v>
      </c>
      <c r="M38" s="224">
        <f>SUM(M34:M37)</f>
        <v>51543.3905855241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27620.9219589074</v>
      </c>
      <c r="E39" s="174">
        <f>E20</f>
        <v>30752.1107624629</v>
      </c>
      <c r="F39" s="174">
        <f>F20</f>
        <v>34053.2113367798</v>
      </c>
      <c r="G39" s="174">
        <f>G20</f>
        <v>37292.5652148576</v>
      </c>
      <c r="H39" s="174">
        <f>H20</f>
        <v>40830.2645751093</v>
      </c>
      <c r="I39" s="174">
        <f>I20</f>
        <v>44504.9883868692</v>
      </c>
      <c r="J39" s="174">
        <f>J20</f>
        <v>48176.6499287859</v>
      </c>
      <c r="K39" s="174">
        <f>K20</f>
        <v>51789.8986734448</v>
      </c>
      <c r="L39" s="174">
        <f>L20</f>
        <v>55285.7168339024</v>
      </c>
      <c r="M39" s="174">
        <f>M20</f>
        <v>58602.8598439365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0.619217091602679</v>
      </c>
      <c r="E40" s="180">
        <f>IFERROR(E39/AVERAGE(E34,E38),"")</f>
        <v>0.672225951718989</v>
      </c>
      <c r="F40" s="180">
        <f>IFERROR(F39/AVERAGE(F34,F38),"")</f>
        <v>0.726255353251311</v>
      </c>
      <c r="G40" s="180">
        <f>IFERROR(G39/AVERAGE(G34,G38),"")</f>
        <v>0.775897713016615</v>
      </c>
      <c r="H40" s="180">
        <f>IFERROR(H39/AVERAGE(H34,H38),"")</f>
        <v>0.828310842084403</v>
      </c>
      <c r="I40" s="180">
        <f>IFERROR(I39/AVERAGE(I34,I38),"")</f>
        <v>0.889010731808006</v>
      </c>
      <c r="J40" s="180">
        <f>IFERROR(J39/AVERAGE(J34,J38),"")</f>
        <v>0.956794306111036</v>
      </c>
      <c r="K40" s="180">
        <f>IFERROR(K39/AVERAGE(K34,K38),"")</f>
        <v>1.02218423303298</v>
      </c>
      <c r="L40" s="180">
        <f>IFERROR(L39/AVERAGE(L34,L38),"")</f>
        <v>1.08399132028447</v>
      </c>
      <c r="M40" s="180">
        <f>IFERROR(M39/AVERAGE(M34,M38),"")</f>
        <v>1.14103354575881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0.0414131312913395</v>
      </c>
      <c r="E41" s="175">
        <f>IFERROR(SUM(E35:E37)/E39,"")</f>
        <v>0.0369764889173355</v>
      </c>
      <c r="F41" s="175">
        <f>IFERROR(SUM(F35:F37)/F39,"")</f>
        <v>0.0336836015037173</v>
      </c>
      <c r="G41" s="175">
        <f>IFERROR(SUM(G35:G37)/G39,"")</f>
        <v>0.0322578864248158</v>
      </c>
      <c r="H41" s="175">
        <f>IFERROR(SUM(H35:H37)/H39,"")</f>
        <v>0.0307690312070898</v>
      </c>
      <c r="I41" s="175">
        <f>IFERROR(SUM(I35:I37)/I39,"")</f>
        <v>0.006277394662329</v>
      </c>
      <c r="J41" s="175">
        <f>IFERROR(SUM(J35:J37)/J39,"")</f>
        <v>0.00627739466232899</v>
      </c>
      <c r="K41" s="175">
        <f>IFERROR(SUM(K35:K37)/K39,"")</f>
        <v>0.00627739466232899</v>
      </c>
      <c r="L41" s="175">
        <f>IFERROR(SUM(L35:L37)/L39,"")</f>
        <v>0.00627739466232899</v>
      </c>
      <c r="M41" s="175">
        <f>IFERROR(SUM(M35:M37)/M39,"")</f>
        <v>0.00627739466232899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6.37207028578947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FY2026E book IC (equity + net debt at 30-Sep-2026), rolled forward with capex + M&amp;A − D&amp;A + ΔWC. Book IC includes ~$27bn of Visa Europe intangibles.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256973.939355892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537825.866928368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794799.80628426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FY2026E year end, 30-Sep-2026)</t>
        </is>
      </c>
      <c r="C48" s="173">
        <f>Model!BY369+Model!BY287</f>
        <v>8583.0145690096</v>
      </c>
      <c r="D48" s="198" t="inlineStr">
        <is>
          <t>Visa: no noncontrolling interests; preferred stock (series A / B / C) is included in the as-converted share count, not deducted. Net debt = debt − cash − investment securities at the base-year end (≈ valuation date), so FY2027E+ cash flows are not double counted.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786216.79171525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as-converted shares (m, Model FY2026E period end)</t>
        </is>
      </c>
      <c r="C50" s="186">
        <f>Model!BY376</f>
        <v>1878.89652956298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418.446029009441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Model!BY375</f>
        <v>389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0.0756967326720854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0.152241061517137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354.741361365413</v>
      </c>
      <c r="D55" s="175">
        <f>C55/C52-1</f>
        <v>-0.0880684797804285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0.07840025</v>
      </c>
      <c r="E61" s="228">
        <f>F61-0.005</f>
        <v>0.08340025</v>
      </c>
      <c r="F61" s="228">
        <f>$C$13</f>
        <v>0.08840025</v>
      </c>
      <c r="G61" s="228">
        <f>F61+0.005</f>
        <v>0.09340025</v>
      </c>
      <c r="H61" s="234">
        <f>F61+0.01</f>
        <v>0.09840025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450.186850837583</v>
      </c>
      <c r="E62" s="225">
        <f t="array" ref="E62">IFERROR((SUMPRODUCT($D$24:$M$24/(1+E$61)^$D$29:$M$29)+($M$24*(1+$B62)/(E$61-$B62))/(1+E$61)^$M$29-$C$48)/$C$50,"")</f>
        <v>404.737451132735</v>
      </c>
      <c r="F62" s="225">
        <f t="array" ref="F62">IFERROR((SUMPRODUCT($D$24:$M$24/(1+F$61)^$D$29:$M$29)+($M$24*(1+$B62)/(F$61-$B62))/(1+F$61)^$M$29-$C$48)/$C$50,"")</f>
        <v>367.150512288243</v>
      </c>
      <c r="G62" s="225">
        <f t="array" ref="G62">IFERROR((SUMPRODUCT($D$24:$M$24/(1+G$61)^$D$29:$M$29)+($M$24*(1+$B62)/(G$61-$B62))/(1+G$61)^$M$29-$C$48)/$C$50,"")</f>
        <v>335.563048544308</v>
      </c>
      <c r="H62" s="235">
        <f t="array" ref="H62">IFERROR((SUMPRODUCT($D$24:$M$24/(1+H$61)^$D$29:$M$29)+($M$24*(1+$B62)/(H$61-$B62))/(1+H$61)^$M$29-$C$48)/$C$50,"")</f>
        <v>308.656919055645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487.677551043945</v>
      </c>
      <c r="E63" s="225">
        <f t="array" ref="E63">IFERROR((SUMPRODUCT($D$24:$M$24/(1+E$61)^$D$29:$M$29)+($M$24*(1+$B63)/(E$61-$B63))/(1+E$61)^$M$29-$C$48)/$C$50,"")</f>
        <v>433.969225697608</v>
      </c>
      <c r="F63" s="225">
        <f t="array" ref="F63">IFERROR((SUMPRODUCT($D$24:$M$24/(1+F$61)^$D$29:$M$29)+($M$24*(1+$B63)/(F$61-$B63))/(1+F$61)^$M$29-$C$48)/$C$50,"")</f>
        <v>390.396806389724</v>
      </c>
      <c r="G63" s="225">
        <f t="array" ref="G63">IFERROR((SUMPRODUCT($D$24:$M$24/(1+G$61)^$D$29:$M$29)+($M$24*(1+$B63)/(G$61-$B63))/(1+G$61)^$M$29-$C$48)/$C$50,"")</f>
        <v>354.35422178776</v>
      </c>
      <c r="H63" s="235">
        <f t="array" ref="H63">IFERROR((SUMPRODUCT($D$24:$M$24/(1+H$61)^$D$29:$M$29)+($M$24*(1+$B63)/(H$61-$B63))/(1+H$61)^$M$29-$C$48)/$C$50,"")</f>
        <v>324.057610236854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534.931390866939</v>
      </c>
      <c r="E64" s="225">
        <f t="array" ref="E64">IFERROR((SUMPRODUCT($D$24:$M$24/(1+E$61)^$D$29:$M$29)+($M$24*(1+$B64)/(E$61-$B64))/(1+E$61)^$M$29-$C$48)/$C$50,"")</f>
        <v>469.936393391523</v>
      </c>
      <c r="F64" s="226">
        <f t="array" ref="F64">IFERROR((SUMPRODUCT($D$24:$M$24/(1+F$61)^$D$29:$M$29)+($M$24*(1+$B64)/(F$61-$B64))/(1+F$61)^$M$29-$C$48)/$C$50,"")</f>
        <v>418.446029009441</v>
      </c>
      <c r="G64" s="225">
        <f t="array" ref="G64">IFERROR((SUMPRODUCT($D$24:$M$24/(1+G$61)^$D$29:$M$29)+($M$24*(1+$B64)/(G$61-$B64))/(1+G$61)^$M$29-$C$48)/$C$50,"")</f>
        <v>376.664324857093</v>
      </c>
      <c r="H64" s="235">
        <f t="array" ref="H64">IFERROR((SUMPRODUCT($D$24:$M$24/(1+H$61)^$D$29:$M$29)+($M$24*(1+$B64)/(H$61-$B64))/(1+H$61)^$M$29-$C$48)/$C$50,"")</f>
        <v>342.095394783453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596.332981028029</v>
      </c>
      <c r="E65" s="225">
        <f t="array" ref="E65">IFERROR((SUMPRODUCT($D$24:$M$24/(1+E$61)^$D$29:$M$29)+($M$24*(1+$B65)/(E$61-$B65))/(1+E$61)^$M$29-$C$48)/$C$50,"")</f>
        <v>515.269950026635</v>
      </c>
      <c r="F65" s="225">
        <f t="array" ref="F65">IFERROR((SUMPRODUCT($D$24:$M$24/(1+F$61)^$D$29:$M$29)+($M$24*(1+$B65)/(F$61-$B65))/(1+F$61)^$M$29-$C$48)/$C$50,"")</f>
        <v>452.958168921045</v>
      </c>
      <c r="G65" s="225">
        <f t="array" ref="G65">IFERROR((SUMPRODUCT($D$24:$M$24/(1+G$61)^$D$29:$M$29)+($M$24*(1+$B65)/(G$61-$B65))/(1+G$61)^$M$29-$C$48)/$C$50,"")</f>
        <v>403.583929544565</v>
      </c>
      <c r="H65" s="235">
        <f t="array" ref="H65">IFERROR((SUMPRODUCT($D$24:$M$24/(1+H$61)^$D$29:$M$29)+($M$24*(1+$B65)/(H$61-$B65))/(1+H$61)^$M$29-$C$48)/$C$50,"")</f>
        <v>363.511025790809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679.354659097179</v>
      </c>
      <c r="E66" s="230">
        <f t="array" ref="E66">IFERROR((SUMPRODUCT($D$24:$M$24/(1+E$61)^$D$29:$M$29)+($M$24*(1+$B66)/(E$61-$B66))/(1+E$61)^$M$29-$C$48)/$C$50,"")</f>
        <v>574.176326217023</v>
      </c>
      <c r="F66" s="230">
        <f t="array" ref="F66">IFERROR((SUMPRODUCT($D$24:$M$24/(1+F$61)^$D$29:$M$29)+($M$24*(1+$B66)/(F$61-$B66))/(1+F$61)^$M$29-$C$48)/$C$50,"")</f>
        <v>496.457786755736</v>
      </c>
      <c r="G66" s="230">
        <f t="array" ref="G66">IFERROR((SUMPRODUCT($D$24:$M$24/(1+G$61)^$D$29:$M$29)+($M$24*(1+$B66)/(G$61-$B66))/(1+G$61)^$M$29-$C$48)/$C$50,"")</f>
        <v>436.706172393677</v>
      </c>
      <c r="H66" s="236">
        <f t="array" ref="H66">IFERROR((SUMPRODUCT($D$24:$M$24/(1+H$61)^$D$29:$M$29)+($M$24*(1+$B66)/(H$61-$B66))/(1+H$61)^$M$29-$C$48)/$C$50,"")</f>
        <v>389.351351093618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(Visa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0.08840025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0.11</v>
      </c>
      <c r="D78" s="198" t="inlineStr">
        <is>
          <t>Model non-GAAP operating income CAGR FY2026–31E: ~9–10% net revenue growth (payments volume ~8%, value-added services, pricing) at a stable ~68% margin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0.4</v>
      </c>
      <c r="D79" s="198" t="inlineStr">
        <is>
          <t>Two-sided network with near-zero marginal cost per transaction: incremental returns far above WACC; book IC inflated by Visa Europe intangibles (bought back a perpetual licence)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20</v>
      </c>
      <c r="D80" s="198" t="inlineStr">
        <is>
          <t>Network effects (4.9bn+ credentials, 150m+ merchant locations), brand and acceptance sustain a long competitive-advantage period; risks are regulation (interchange, routing) and A2A / real-time payment rails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11.3121852030961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0.778999375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-44.8773885040603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-0.481449727654963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21.6062064731458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2">
        <f>C83+C87</f>
        <v>32.9183916762419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FY2029E Adj. EBIT less acquisition and severance / restructuring costs</t>
        </is>
      </c>
      <c r="C91" s="209">
        <f>Model!CB179-Model!CB181</f>
        <v>41783.0813948218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0.185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FY2029E NOPAT</t>
        </is>
      </c>
      <c r="C93" s="211">
        <f>C91*(1-C92)</f>
        <v>34053.2113367798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3">
        <f>C88</f>
        <v>32.9183916762419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(FY2029E basis)</t>
        </is>
      </c>
      <c r="C95" s="211">
        <f>C93*C94</f>
        <v>1120976.94861796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FY2028E year-end net debt + NCI (Model)</t>
        </is>
      </c>
      <c r="C96" s="209">
        <f>Model!CA369+Model!CA287</f>
        <v>13825.0110771005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1107151.93754086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as-converted shares FY2029E (m, Model)</t>
        </is>
      </c>
      <c r="C98" s="212">
        <f>Model!CB376</f>
        <v>1714.38774101396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FY2029 ($)</t>
        </is>
      </c>
      <c r="C99" s="213">
        <f>C97/C98</f>
        <v>645.800195051583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389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0.660154743063194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730890.75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FY2026E year-end net debt + NCI</t>
        </is>
      </c>
      <c r="C106" s="211">
        <f>C48</f>
        <v>8583.0145690096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739473.76456901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Visa market-implied EV/NOPAT (on FY2029E NOPAT)</t>
        </is>
      </c>
      <c r="C108" s="304">
        <f>C107/C93</f>
        <v>21.7152431603514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11.2031485158905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0.515911723076887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Visa Inc. — Operating Performance (FY2012–FY2025) and Model Forecast (FY2026E–FY2031E)</t>
        </is>
      </c>
    </row>
    <row r="3" ht="15" customHeight="1" s="251">
      <c r="B3" s="4" t="inlineStr">
        <is>
          <t>USDm · fiscal years ended 30 September · Linked to Model. Bars = net revenue growth split into nominal payments volume growth and net revenue yield change. Adjusted EBITDA = model definition (non-GAAP operating income + D&amp;A excl. acquired amortization); operating income = GAAP. ROIC / RONTA on adjusted EBIT (full-cost).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inlineStr">
        <is>
          <t>2026E</t>
        </is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Payments volume growth (pp)</t>
        </is>
      </c>
      <c r="C8" s="108">
        <f>IFERROR(Model!G43+0,0)</f>
        <v>0.104532577903683</v>
      </c>
      <c r="D8" s="108">
        <f>IFERROR(Model!L43+0,0)</f>
        <v>0.076429853808669</v>
      </c>
      <c r="E8" s="108">
        <f>IFERROR(Model!Q43+0,0)</f>
        <v>0.0881582082439838</v>
      </c>
      <c r="F8" s="108">
        <f>IFERROR(Model!V43+0,0)</f>
        <v>0.0694109918984016</v>
      </c>
      <c r="G8" s="108">
        <f>IFERROR(Model!AA43+0,0)</f>
        <v>0.157043407043407</v>
      </c>
      <c r="H8" s="108">
        <f>IFERROR(Model!AF43+0,0)</f>
        <v>0.285613165811361</v>
      </c>
      <c r="I8" s="108">
        <f>IFERROR(Model!AK43+0,0)</f>
        <v>0.109841706813489</v>
      </c>
      <c r="J8" s="108">
        <f>IFERROR(Model!AP43+0,0)</f>
        <v>0.0689569639092149</v>
      </c>
      <c r="K8" s="108">
        <f>IFERROR(Model!AU43+0,0)</f>
        <v>0.0109061376029702</v>
      </c>
      <c r="L8" s="108">
        <f>IFERROR(Model!AZ43+0,0)</f>
        <v>0.144037644898428</v>
      </c>
      <c r="M8" s="108">
        <f>IFERROR(Model!BE43+0,0)</f>
        <v>0.15008025682183</v>
      </c>
      <c r="N8" s="108">
        <f>IFERROR(Model!BJ43+0,0)</f>
        <v>0.0532100488485694</v>
      </c>
      <c r="O8" s="108">
        <f>IFERROR(Model!BO43+0,0)</f>
        <v>0.0753685605433163</v>
      </c>
      <c r="P8" s="108">
        <f>IFERROR(Model!BT43+0,0)</f>
        <v>0.0700862600123229</v>
      </c>
      <c r="Q8" s="108">
        <f>IFERROR(Model!BY43+0,0)</f>
        <v>0.104280264862531</v>
      </c>
      <c r="R8" s="108">
        <f>IFERROR(Model!BZ43+0,0)</f>
        <v>0.085</v>
      </c>
      <c r="S8" s="108">
        <f>IFERROR(Model!CA43+0,0)</f>
        <v>0.0800000000000001</v>
      </c>
      <c r="T8" s="108">
        <f>IFERROR(Model!CB43+0,0)</f>
        <v>0.0800000000000001</v>
      </c>
      <c r="U8" s="108">
        <f>IFERROR(Model!CC43+0,0)</f>
        <v>0.075</v>
      </c>
      <c r="V8" s="108">
        <f>IFERROR(Model!CD43+0,0)</f>
        <v>0.075</v>
      </c>
    </row>
    <row r="9" ht="15" customHeight="1" s="251">
      <c r="B9" t="inlineStr">
        <is>
          <t>Net revenue yield change (pp)</t>
        </is>
      </c>
      <c r="C9" s="108">
        <f>IFERROR(Model!G44+0,0)</f>
        <v>0.0268567909144291</v>
      </c>
      <c r="D9" s="108">
        <f>IFERROR(Model!L44+0,0)</f>
        <v>0.0499688627029369</v>
      </c>
      <c r="E9" s="108">
        <f>IFERROR(Model!Q44+0,0)</f>
        <v>-0.00892044759292821</v>
      </c>
      <c r="F9" s="108">
        <f>IFERROR(Model!V44+0,0)</f>
        <v>0.0218160359870327</v>
      </c>
      <c r="G9" s="108">
        <f>IFERROR(Model!AA44+0,0)</f>
        <v>-0.0608827490684111</v>
      </c>
      <c r="H9" s="108">
        <f>IFERROR(Model!AF44+0,0)</f>
        <v>-0.0532046468979444</v>
      </c>
      <c r="I9" s="108">
        <f>IFERROR(Model!AK44+0,0)</f>
        <v>0.01151077302413</v>
      </c>
      <c r="J9" s="108">
        <f>IFERROR(Model!AP44+0,0)</f>
        <v>0.0429804888077632</v>
      </c>
      <c r="K9" s="108">
        <f>IFERROR(Model!AU44+0,0)</f>
        <v>-0.0594805704960946</v>
      </c>
      <c r="L9" s="108">
        <f>IFERROR(Model!AZ44+0,0)</f>
        <v>-0.0355163025389018</v>
      </c>
      <c r="M9" s="108">
        <f>IFERROR(Model!BE44+0,0)</f>
        <v>0.057256915509649</v>
      </c>
      <c r="N9" s="108">
        <f>IFERROR(Model!BJ44+0,0)</f>
        <v>0.0577725090815215</v>
      </c>
      <c r="O9" s="108">
        <f>IFERROR(Model!BO44+0,0)</f>
        <v>0.0231243996814163</v>
      </c>
      <c r="P9" s="108">
        <f>IFERROR(Model!BT44+0,0)</f>
        <v>0.0404766492125854</v>
      </c>
      <c r="Q9" s="108">
        <f>IFERROR(Model!BY44+0,0)</f>
        <v>0.0387335864802345</v>
      </c>
      <c r="R9" s="108">
        <f>IFERROR(Model!BZ44+0,0)</f>
        <v>0.0186186599843314</v>
      </c>
      <c r="S9" s="108">
        <f>IFERROR(Model!CA44+0,0)</f>
        <v>0.026697529997068</v>
      </c>
      <c r="T9" s="108">
        <f>IFERROR(Model!CB44+0,0)</f>
        <v>0.019825507791555</v>
      </c>
      <c r="U9" s="108">
        <f>IFERROR(Model!CC44+0,0)</f>
        <v>0.0179354944840633</v>
      </c>
      <c r="V9" s="108">
        <f>IFERROR(Model!CD44+0,0)</f>
        <v>0.0149853248147402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str">
        <f>Q7</f>
        <v>2026E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Model!G174</f>
        <v>6570</v>
      </c>
      <c r="D12" s="106">
        <f>Model!L174</f>
        <v>7636</v>
      </c>
      <c r="E12" s="106">
        <f>Model!Q174</f>
        <v>8582</v>
      </c>
      <c r="F12" s="106">
        <f>Model!V174</f>
        <v>9558</v>
      </c>
      <c r="G12" s="106">
        <f>Model!AA174</f>
        <v>10524</v>
      </c>
      <c r="H12" s="106">
        <f>Model!AF174</f>
        <v>12892</v>
      </c>
      <c r="I12" s="106">
        <f>Model!AK174</f>
        <v>14362</v>
      </c>
      <c r="J12" s="106">
        <f>Model!AP174</f>
        <v>16027</v>
      </c>
      <c r="K12" s="106">
        <f>Model!AU174</f>
        <v>14865</v>
      </c>
      <c r="L12" s="106">
        <f>Model!AZ174</f>
        <v>16781</v>
      </c>
      <c r="M12" s="106">
        <f>Model!BE174</f>
        <v>20664</v>
      </c>
      <c r="N12" s="106">
        <f>Model!BJ174</f>
        <v>22939</v>
      </c>
      <c r="O12" s="106">
        <f>Model!BO174</f>
        <v>25173</v>
      </c>
      <c r="P12" s="106">
        <f>Model!BT174</f>
        <v>28096</v>
      </c>
      <c r="Q12" s="106">
        <f>Model!BY174</f>
        <v>32066.3014109503</v>
      </c>
      <c r="R12" s="106">
        <f>Model!BZ174</f>
        <v>35529.6445064014</v>
      </c>
      <c r="S12" s="106">
        <f>Model!CA174</f>
        <v>39500.0316488585</v>
      </c>
      <c r="T12" s="106">
        <f>Model!CB174</f>
        <v>43676.913255576</v>
      </c>
      <c r="U12" s="106">
        <f>Model!CC174</f>
        <v>47794.8013142786</v>
      </c>
      <c r="V12" s="106">
        <f>Model!CD174</f>
        <v>52285.5595667626</v>
      </c>
    </row>
    <row r="13" ht="15" customHeight="1" s="251">
      <c r="B13" t="inlineStr">
        <is>
          <t>Operating income (GAAP)</t>
        </is>
      </c>
      <c r="C13" s="106">
        <f>Model!G125</f>
        <v>2139</v>
      </c>
      <c r="D13" s="106">
        <f>Model!L125</f>
        <v>7239</v>
      </c>
      <c r="E13" s="106">
        <f>Model!Q125</f>
        <v>7697</v>
      </c>
      <c r="F13" s="106">
        <f>Model!V125</f>
        <v>9064</v>
      </c>
      <c r="G13" s="106">
        <f>Model!AA125</f>
        <v>7883</v>
      </c>
      <c r="H13" s="106">
        <f>Model!AF125</f>
        <v>12144</v>
      </c>
      <c r="I13" s="106">
        <f>Model!AK125</f>
        <v>12954</v>
      </c>
      <c r="J13" s="106">
        <f>Model!AP125</f>
        <v>15001</v>
      </c>
      <c r="K13" s="106">
        <f>Model!AU125</f>
        <v>14081</v>
      </c>
      <c r="L13" s="106">
        <f>Model!AZ125</f>
        <v>15804</v>
      </c>
      <c r="M13" s="106">
        <f>Model!BE125</f>
        <v>18813</v>
      </c>
      <c r="N13" s="106">
        <f>Model!BJ125</f>
        <v>21000</v>
      </c>
      <c r="O13" s="106">
        <f>Model!BO125</f>
        <v>23595</v>
      </c>
      <c r="P13" s="106">
        <f>Model!BT125</f>
        <v>23994</v>
      </c>
      <c r="Q13" s="106">
        <f>Model!BY125</f>
        <v>28755.0883890317</v>
      </c>
      <c r="R13" s="106">
        <f>Model!BZ125</f>
        <v>33890.7017900704</v>
      </c>
      <c r="S13" s="106">
        <f>Model!CA125</f>
        <v>37732.6512422858</v>
      </c>
      <c r="T13" s="106">
        <f>Model!CB125</f>
        <v>41783.0813948218</v>
      </c>
      <c r="U13" s="106">
        <f>Model!CC125</f>
        <v>45757.7487298866</v>
      </c>
      <c r="V13" s="106">
        <f>Model!CD125</f>
        <v>50098.4841412385</v>
      </c>
    </row>
    <row r="14" ht="15" customHeight="1" s="251">
      <c r="B14" t="inlineStr">
        <is>
          <t>Adj. EBITDA Margin %</t>
        </is>
      </c>
      <c r="C14" s="108">
        <f>Model!G212</f>
        <v>0.630457729584493</v>
      </c>
      <c r="D14" s="108">
        <f>Model!L212</f>
        <v>0.648327390049244</v>
      </c>
      <c r="E14" s="108">
        <f>Model!Q212</f>
        <v>0.675641631239175</v>
      </c>
      <c r="F14" s="108">
        <f>Model!V212</f>
        <v>0.688616714697406</v>
      </c>
      <c r="G14" s="108">
        <f>Model!AA212</f>
        <v>0.69778543959687</v>
      </c>
      <c r="H14" s="108">
        <f>Model!AF212</f>
        <v>0.702255147619566</v>
      </c>
      <c r="I14" s="108">
        <f>Model!AK212</f>
        <v>0.696880003881799</v>
      </c>
      <c r="J14" s="108">
        <f>Model!AP212</f>
        <v>0.697523610567089</v>
      </c>
      <c r="K14" s="108">
        <f>Model!AU212</f>
        <v>0.680444932710794</v>
      </c>
      <c r="L14" s="108">
        <f>Model!AZ212</f>
        <v>0.696162621862684</v>
      </c>
      <c r="M14" s="108">
        <f>Model!BE212</f>
        <v>0.705015353121801</v>
      </c>
      <c r="N14" s="108">
        <f>Model!BJ212</f>
        <v>0.70250819220286</v>
      </c>
      <c r="O14" s="108">
        <f>Model!BO212</f>
        <v>0.700690307855035</v>
      </c>
      <c r="P14" s="108">
        <f>Model!BT212</f>
        <v>0.7024</v>
      </c>
      <c r="Q14" s="108">
        <f>Model!BY212</f>
        <v>0.698884476370104</v>
      </c>
      <c r="R14" s="108">
        <f>Model!BZ212</f>
        <v>0.700657894736842</v>
      </c>
      <c r="S14" s="108">
        <f>Model!CA212</f>
        <v>0.7025</v>
      </c>
      <c r="T14" s="108">
        <f>Model!CB212</f>
        <v>0.705263157894737</v>
      </c>
      <c r="U14" s="108">
        <f>Model!CC212</f>
        <v>0.705263157894737</v>
      </c>
      <c r="V14" s="108">
        <f>Model!CD212</f>
        <v>0.707105263157895</v>
      </c>
    </row>
    <row r="15" ht="15" customHeight="1" s="251">
      <c r="B15" t="inlineStr">
        <is>
          <t>Operating Margin %</t>
        </is>
      </c>
      <c r="C15" s="108">
        <f>Model!G213</f>
        <v>0.205258612417234</v>
      </c>
      <c r="D15" s="108">
        <f>Model!L213</f>
        <v>0.61462047885889</v>
      </c>
      <c r="E15" s="108">
        <f>Model!Q213</f>
        <v>0.605967564163124</v>
      </c>
      <c r="F15" s="108">
        <f>Model!V213</f>
        <v>0.653025936599424</v>
      </c>
      <c r="G15" s="108">
        <f>Model!AA213</f>
        <v>0.522676037660788</v>
      </c>
      <c r="H15" s="108">
        <f>Model!AF213</f>
        <v>0.661509968406145</v>
      </c>
      <c r="I15" s="108">
        <f>Model!AK213</f>
        <v>0.628560337716532</v>
      </c>
      <c r="J15" s="108">
        <f>Model!AP213</f>
        <v>0.652870261565914</v>
      </c>
      <c r="K15" s="108">
        <f>Model!AU213</f>
        <v>0.644557356037719</v>
      </c>
      <c r="L15" s="108">
        <f>Model!AZ213</f>
        <v>0.655631611698818</v>
      </c>
      <c r="M15" s="108">
        <f>Model!BE213</f>
        <v>0.641862845445241</v>
      </c>
      <c r="N15" s="108">
        <f>Model!BJ213</f>
        <v>0.643126205861636</v>
      </c>
      <c r="O15" s="108">
        <f>Model!BO213</f>
        <v>0.656766687078996</v>
      </c>
      <c r="P15" s="108">
        <f>Model!BT213</f>
        <v>0.59985</v>
      </c>
      <c r="Q15" s="108">
        <f>Model!BY213</f>
        <v>0.626716646681359</v>
      </c>
      <c r="R15" s="108">
        <f>Model!BZ213</f>
        <v>0.668337330622786</v>
      </c>
      <c r="S15" s="108">
        <f>Model!CA213</f>
        <v>0.671067500232542</v>
      </c>
      <c r="T15" s="108">
        <f>Model!CB213</f>
        <v>0.674682932803702</v>
      </c>
      <c r="U15" s="108">
        <f>Model!CC213</f>
        <v>0.67520427912633</v>
      </c>
      <c r="V15" s="108">
        <f>Model!CD213</f>
        <v>0.677527449376697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str">
        <f>Q7</f>
        <v>2026E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IFERROR(Model!G352+0,NA())</f>
        <v>0.19301866381233</v>
      </c>
      <c r="D18" s="108">
        <f>IFERROR(Model!L352+0,NA())</f>
        <v>0.250196312684074</v>
      </c>
      <c r="E18" s="108">
        <f>IFERROR(Model!Q352+0,NA())</f>
        <v>0.278858697306586</v>
      </c>
      <c r="F18" s="108">
        <f>IFERROR(Model!V352+0,NA())</f>
        <v>0.317340186682656</v>
      </c>
      <c r="G18" s="108">
        <f>IFERROR(Model!AA352+0,NA())</f>
        <v>0.197818814227021</v>
      </c>
      <c r="H18" s="108">
        <f>IFERROR(Model!AF352+0,NA())</f>
        <v>0.241885756873561</v>
      </c>
      <c r="I18" s="108">
        <f>IFERROR(Model!AK352+0,NA())</f>
        <v>0.315737297308127</v>
      </c>
      <c r="J18" s="108">
        <f>IFERROR(Model!AP352+0,NA())</f>
        <v>0.335158312235583</v>
      </c>
      <c r="K18" s="108">
        <f>IFERROR(Model!AU352+0,NA())</f>
        <v>0.28680802888288</v>
      </c>
      <c r="L18" s="108">
        <f>IFERROR(Model!AZ352+0,NA())</f>
        <v>0.345949266236797</v>
      </c>
      <c r="M18" s="108">
        <f>IFERROR(Model!BE352+0,NA())</f>
        <v>0.435469393472152</v>
      </c>
      <c r="N18" s="108">
        <f>IFERROR(Model!BJ352+0,NA())</f>
        <v>0.485107725739075</v>
      </c>
      <c r="O18" s="108">
        <f>IFERROR(Model!BO352+0,NA())</f>
        <v>0.470975605467154</v>
      </c>
      <c r="P18" s="108">
        <f>IFERROR(Model!BT352+0,NA())</f>
        <v>0.513560668370874</v>
      </c>
      <c r="Q18" s="108">
        <f>IFERROR(Model!BY352+0,NA())</f>
        <v>0.570242985002163</v>
      </c>
      <c r="R18" s="108">
        <f>IFERROR(Model!BZ352+0,NA())</f>
        <v>0.611647802725293</v>
      </c>
      <c r="S18" s="108">
        <f>IFERROR(Model!CA352+0,NA())</f>
        <v>0.662695936178363</v>
      </c>
      <c r="T18" s="108">
        <f>IFERROR(Model!CB352+0,NA())</f>
        <v>0.714508704120004</v>
      </c>
      <c r="U18" s="108">
        <f>IFERROR(Model!CC352+0,NA())</f>
        <v>0.76155551609821</v>
      </c>
      <c r="V18" s="108">
        <f>IFERROR(Model!CD352+0,NA())</f>
        <v>0.811232591790441</v>
      </c>
    </row>
    <row r="19" ht="15" customHeight="1" s="251">
      <c r="B19" t="inlineStr">
        <is>
          <t>RONTA</t>
        </is>
      </c>
      <c r="C19" s="108">
        <f>IFERROR(Model!G363+0,NA())</f>
        <v>0.463908442942561</v>
      </c>
      <c r="D19" s="108">
        <f>IFERROR(Model!L363+0,NA())</f>
        <v>0.578373243490778</v>
      </c>
      <c r="E19" s="108">
        <f>IFERROR(Model!Q363+0,NA())</f>
        <v>0.606671203588156</v>
      </c>
      <c r="F19" s="108">
        <f>IFERROR(Model!V363+0,NA())</f>
        <v>0.555617115138192</v>
      </c>
      <c r="G19" s="108">
        <f>IFERROR(Model!AA363+0,NA())</f>
        <v>0.519149748053599</v>
      </c>
      <c r="H19" s="108">
        <f>IFERROR(Model!AF363+0,NA())</f>
        <v>0.515712431326407</v>
      </c>
      <c r="I19" s="108">
        <f>IFERROR(Model!AK363+0,NA())</f>
        <v>0.725334000837399</v>
      </c>
      <c r="J19" s="108">
        <f>IFERROR(Model!AP363+0,NA())</f>
        <v>0.745192630840368</v>
      </c>
      <c r="K19" s="108">
        <f>IFERROR(Model!AU363+0,NA())</f>
        <v>0.44665689449382</v>
      </c>
      <c r="L19" s="108">
        <f>IFERROR(Model!AZ363+0,NA())</f>
        <v>0.540751952837488</v>
      </c>
      <c r="M19" s="108">
        <f>IFERROR(Model!BE363+0,NA())</f>
        <v>0.676819331374647</v>
      </c>
      <c r="N19" s="108">
        <f>IFERROR(Model!BJ363+0,NA())</f>
        <v>0.773403291331734</v>
      </c>
      <c r="O19" s="108">
        <f>IFERROR(Model!BO363+0,NA())</f>
        <v>0.897858340453152</v>
      </c>
      <c r="P19" s="108">
        <f>IFERROR(Model!BT363+0,NA())</f>
        <v>0.978042162228295</v>
      </c>
      <c r="Q19" s="108">
        <f>IFERROR(Model!BY363+0,NA())</f>
        <v>1.51858778770501</v>
      </c>
      <c r="R19" s="108">
        <f>IFERROR(Model!BZ363+0,NA())</f>
        <v>1.66841654595165</v>
      </c>
      <c r="S19" s="108">
        <f>IFERROR(Model!CA363+0,NA())</f>
        <v>1.83166085264559</v>
      </c>
      <c r="T19" s="108">
        <f>IFERROR(Model!CB363+0,NA())</f>
        <v>2.00093877106927</v>
      </c>
      <c r="U19" s="108">
        <f>IFERROR(Model!CC363+0,NA())</f>
        <v>2.15760284676887</v>
      </c>
      <c r="V19" s="108">
        <f>IFERROR(Model!CD363+0,NA())</f>
        <v>2.32017188748998</v>
      </c>
    </row>
    <row r="20" ht="15" customHeight="1" s="251">
      <c r="B20" t="inlineStr">
        <is>
          <t>Adj. EBITDA margin %</t>
        </is>
      </c>
      <c r="C20" s="108">
        <f>IFERROR(Model!G212+0,NA())</f>
        <v>0.630457729584493</v>
      </c>
      <c r="D20" s="108">
        <f>IFERROR(Model!L212+0,NA())</f>
        <v>0.648327390049244</v>
      </c>
      <c r="E20" s="108">
        <f>IFERROR(Model!Q212+0,NA())</f>
        <v>0.675641631239175</v>
      </c>
      <c r="F20" s="108">
        <f>IFERROR(Model!V212+0,NA())</f>
        <v>0.688616714697406</v>
      </c>
      <c r="G20" s="108">
        <f>IFERROR(Model!AA212+0,NA())</f>
        <v>0.69778543959687</v>
      </c>
      <c r="H20" s="108">
        <f>IFERROR(Model!AF212+0,NA())</f>
        <v>0.702255147619566</v>
      </c>
      <c r="I20" s="108">
        <f>IFERROR(Model!AK212+0,NA())</f>
        <v>0.696880003881799</v>
      </c>
      <c r="J20" s="108">
        <f>IFERROR(Model!AP212+0,NA())</f>
        <v>0.697523610567089</v>
      </c>
      <c r="K20" s="108">
        <f>IFERROR(Model!AU212+0,NA())</f>
        <v>0.680444932710794</v>
      </c>
      <c r="L20" s="108">
        <f>IFERROR(Model!AZ212+0,NA())</f>
        <v>0.696162621862684</v>
      </c>
      <c r="M20" s="108">
        <f>IFERROR(Model!BE212+0,NA())</f>
        <v>0.705015353121801</v>
      </c>
      <c r="N20" s="108">
        <f>IFERROR(Model!BJ212+0,NA())</f>
        <v>0.70250819220286</v>
      </c>
      <c r="O20" s="108">
        <f>IFERROR(Model!BO212+0,NA())</f>
        <v>0.700690307855035</v>
      </c>
      <c r="P20" s="108">
        <f>IFERROR(Model!BT212+0,NA())</f>
        <v>0.7024</v>
      </c>
      <c r="Q20" s="108">
        <f>IFERROR(Model!BY212+0,NA())</f>
        <v>0.698884476370104</v>
      </c>
      <c r="R20" s="108">
        <f>IFERROR(Model!BZ212+0,NA())</f>
        <v>0.700657894736842</v>
      </c>
      <c r="S20" s="108">
        <f>IFERROR(Model!CA212+0,NA())</f>
        <v>0.7025</v>
      </c>
      <c r="T20" s="108">
        <f>IFERROR(Model!CB212+0,NA())</f>
        <v>0.705263157894737</v>
      </c>
      <c r="U20" s="108">
        <f>IFERROR(Model!CC212+0,NA())</f>
        <v>0.705263157894737</v>
      </c>
      <c r="V20" s="108">
        <f>IFERROR(Model!CD212+0,NA())</f>
        <v>0.707105263157895</v>
      </c>
    </row>
    <row r="21" ht="15" customHeight="1" s="251">
      <c r="B21" t="inlineStr">
        <is>
          <t>FCF margin %</t>
        </is>
      </c>
      <c r="C21" s="108">
        <f>IFERROR(Model!G244+0,NA())</f>
        <v>0.444583053449765</v>
      </c>
      <c r="D21" s="108">
        <f>IFERROR(Model!L244+0,NA())</f>
        <v>0.216590253014094</v>
      </c>
      <c r="E21" s="108">
        <f>IFERROR(Model!Q244+0,NA())</f>
        <v>0.523697055581798</v>
      </c>
      <c r="F21" s="108">
        <f>IFERROR(Model!V244+0,NA())</f>
        <v>0.444524495677233</v>
      </c>
      <c r="G21" s="108">
        <f>IFERROR(Model!AA244+0,NA())</f>
        <v>0.334902532820581</v>
      </c>
      <c r="H21" s="108">
        <f>IFERROR(Model!AF244+0,NA())</f>
        <v>0.463067872317246</v>
      </c>
      <c r="I21" s="108">
        <f>IFERROR(Model!AK244+0,NA())</f>
        <v>0.582027269639478</v>
      </c>
      <c r="J21" s="108">
        <f>IFERROR(Model!AP244+0,NA())</f>
        <v>0.523480001740871</v>
      </c>
      <c r="K21" s="108">
        <f>IFERROR(Model!AU244+0,NA())</f>
        <v>0.444200311269798</v>
      </c>
      <c r="L21" s="108">
        <f>IFERROR(Model!AZ244+0,NA())</f>
        <v>0.602447624974072</v>
      </c>
      <c r="M21" s="108">
        <f>IFERROR(Model!BE244+0,NA())</f>
        <v>0.609996588195155</v>
      </c>
      <c r="N21" s="108">
        <f>IFERROR(Model!BJ244+0,NA())</f>
        <v>0.603191130983371</v>
      </c>
      <c r="O21" s="108">
        <f>IFERROR(Model!BO244+0,NA())</f>
        <v>0.520319545732895</v>
      </c>
      <c r="P21" s="108">
        <f>IFERROR(Model!BT244+0,NA())</f>
        <v>0.539425</v>
      </c>
      <c r="Q21" s="108">
        <f>IFERROR(Model!BY244+0,NA())</f>
        <v>0.496049812397378</v>
      </c>
      <c r="R21" s="108">
        <f>IFERROR(Model!BZ244+0,NA())</f>
        <v>0.560797386981641</v>
      </c>
      <c r="S21" s="108">
        <f>IFERROR(Model!CA244+0,NA())</f>
        <v>0.561106323065171</v>
      </c>
      <c r="T21" s="108">
        <f>IFERROR(Model!CB244+0,NA())</f>
        <v>0.563451818088554</v>
      </c>
      <c r="U21" s="108">
        <f>IFERROR(Model!CC244+0,NA())</f>
        <v>0.562925381963116</v>
      </c>
      <c r="V21" s="108">
        <f>IFERROR(Model!CD244+0,NA())</f>
        <v>0.564113062038314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2026-10-12T22:12:33Z</dcterms:modified>
  <cp:lastModifiedBy>Payton Liske</cp:lastModifiedBy>
  <cp:revision>3</cp:revision>
</cp:coreProperties>
</file>