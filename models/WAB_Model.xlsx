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name="Model" sheetId="1" state="visible" r:id="rId1"/>
    <sheet name="Bull-Base-Bear" sheetId="2" state="visible" r:id="rId2"/>
    <sheet name="DCF" sheetId="3" state="visible" r:id="rId3"/>
    <sheet name="Charts" sheetId="4" state="visible" r:id="rId4"/>
  </sheets>
  <definedNames/>
  <calcPr calcId="191029" fullCalcOnLoad="1" iterate="1" iterateDelta="0.0001"/>
</workbook>
</file>

<file path=xl/styles.xml><?xml version="1.0" encoding="utf-8"?>
<styleSheet xmlns="http://schemas.openxmlformats.org/spreadsheetml/2006/main">
  <numFmts count="17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dd\-mmm\-yy"/>
    <numFmt numFmtId="176" formatCode="0%;\(0%\);\-"/>
    <numFmt numFmtId="177" formatCode="0.0\x"/>
    <numFmt numFmtId="178" formatCode="0.0%"/>
    <numFmt numFmtId="179" formatCode="0.000"/>
    <numFmt numFmtId="180" formatCode="#,##0.00;\(#,##0.00\);\-"/>
  </numFmts>
  <fonts count="57">
    <font>
      <name val="Calibri"/>
      <charset val="1"/>
      <family val="2"/>
      <color theme="1"/>
      <sz val="11"/>
    </font>
    <font>
      <name val="Calibri"/>
      <family val="2"/>
      <b val="1"/>
      <color rgb="FFC00000"/>
      <sz val="10"/>
    </font>
    <font>
      <name val="Calibri"/>
      <family val="2"/>
      <b val="1"/>
      <color rgb="FF1F3864"/>
      <sz val="16"/>
    </font>
    <font>
      <name val="Calibri"/>
      <family val="2"/>
      <b val="1"/>
      <color rgb="FF0000FF"/>
      <sz val="12"/>
    </font>
    <font>
      <name val="Calibri"/>
      <family val="2"/>
      <color rgb="FF595959"/>
      <sz val="10"/>
    </font>
    <font>
      <name val="Calibri"/>
      <family val="2"/>
      <color rgb="FFC00000"/>
      <sz val="10"/>
    </font>
    <font>
      <name val="Calibri"/>
      <family val="2"/>
      <b val="1"/>
      <color rgb="FFFFFFFF"/>
      <sz val="12"/>
    </font>
    <font>
      <name val="Calibri"/>
      <family val="2"/>
      <color rgb="FF666666"/>
      <sz val="9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color rgb="FF404040"/>
      <sz val="12"/>
    </font>
    <font>
      <name val="Calibri"/>
      <family val="2"/>
      <color rgb="FFA6A6A6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color rgb="FF0000FF"/>
      <sz val="12"/>
    </font>
    <font>
      <name val="Calibri"/>
      <family val="2"/>
      <b val="1"/>
      <i val="1"/>
      <color rgb="FF666666"/>
      <sz val="12"/>
    </font>
    <font>
      <name val="Calibri"/>
      <family val="2"/>
      <b val="1"/>
      <color rgb="FF595959"/>
      <sz val="12"/>
    </font>
    <font>
      <name val="Calibri"/>
      <family val="2"/>
      <b val="1"/>
      <i val="1"/>
      <color rgb="FFC00000"/>
      <sz val="11"/>
    </font>
    <font>
      <name val="Calibri"/>
      <family val="2"/>
      <b val="1"/>
      <i val="1"/>
      <color rgb="FFC00000"/>
      <sz val="10"/>
    </font>
    <font>
      <name val="Arial"/>
      <family val="2"/>
      <sz val="10"/>
    </font>
    <font>
      <name val="Calibri"/>
      <family val="2"/>
      <b val="1"/>
      <color rgb="FF2F3E46"/>
      <sz val="16"/>
    </font>
    <font>
      <name val="Calibri"/>
      <family val="2"/>
      <b val="1"/>
      <color rgb="FF008000"/>
      <sz val="12"/>
    </font>
    <font>
      <name val="Calibri"/>
      <family val="2"/>
      <b val="1"/>
      <color rgb="FF2F3E46"/>
      <sz val="12"/>
    </font>
    <font>
      <name val="Calibri"/>
      <family val="2"/>
      <b val="1"/>
      <color rgb="FFFFFFFF"/>
      <sz val="9"/>
    </font>
    <font>
      <name val="Calibri"/>
      <family val="2"/>
      <color rgb="FF595959"/>
      <sz val="12"/>
    </font>
    <font>
      <name val="Calibri"/>
      <family val="2"/>
      <color rgb="FF008000"/>
      <sz val="12"/>
    </font>
    <font>
      <name val="Calibri"/>
      <family val="2"/>
      <b val="1"/>
      <sz val="14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i val="1"/>
      <color theme="1"/>
      <sz val="11"/>
    </font>
    <font>
      <name val="Calibri"/>
      <family val="2"/>
      <i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color rgb="FF595959"/>
      <sz val="11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b val="1"/>
      <color rgb="FF0000FF"/>
      <sz val="11"/>
    </font>
    <font>
      <name val="Calibri"/>
      <charset val="1"/>
      <family val="2"/>
      <color theme="1"/>
      <sz val="10"/>
    </font>
    <font>
      <name val="Calibri"/>
      <family val="2"/>
      <color rgb="FF000000"/>
      <sz val="12"/>
    </font>
    <font>
      <name val="Calibri"/>
      <family val="2"/>
      <color rgb="FF0000FF"/>
      <sz val="12"/>
    </font>
    <font>
      <name val="Calibri"/>
      <color rgb="FF0000FF"/>
      <sz val="12"/>
    </font>
    <font>
      <name val="Calibri"/>
      <color rgb="FF000000"/>
      <sz val="12"/>
    </font>
    <font>
      <name val="Calibri"/>
      <color rgb="FFA6A6A6"/>
      <sz val="12"/>
    </font>
    <font>
      <name val="Calibri"/>
      <b val="1"/>
      <color rgb="FF0000FF"/>
      <sz val="12"/>
    </font>
    <font>
      <name val="Calibri"/>
      <b val="1"/>
      <color rgb="FF000000"/>
      <sz val="12"/>
    </font>
    <font>
      <name val="Calibri"/>
      <color rgb="FF000000"/>
      <sz val="11"/>
    </font>
    <font>
      <name val="Calibri"/>
      <b val="1"/>
      <i val="1"/>
      <color rgb="FFC00000"/>
      <sz val="10"/>
    </font>
    <font>
      <name val="Calibri"/>
      <b val="1"/>
      <i val="1"/>
      <color rgb="FF0000FF"/>
      <sz val="10"/>
    </font>
    <font>
      <name val="Calibri"/>
      <color rgb="FF0000FF"/>
      <sz val="11"/>
    </font>
  </fonts>
  <fills count="14">
    <fill>
      <patternFill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30" fillId="0" borderId="0"/>
    <xf numFmtId="9" fontId="30" fillId="0" borderId="0"/>
  </cellStyleXfs>
  <cellXfs count="2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5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11" fillId="7" borderId="0" pivotButton="0" quotePrefix="0" xfId="0"/>
    <xf numFmtId="0" fontId="6" fillId="7" borderId="0" pivotButton="0" quotePrefix="0" xfId="0"/>
    <xf numFmtId="0" fontId="12" fillId="0" borderId="2" pivotButton="0" quotePrefix="0" xfId="0"/>
    <xf numFmtId="164" fontId="3" fillId="0" borderId="2" applyAlignment="1" pivotButton="0" quotePrefix="0" xfId="0">
      <alignment horizontal="right"/>
    </xf>
    <xf numFmtId="164" fontId="9" fillId="2" borderId="2" applyAlignment="1" pivotButton="0" quotePrefix="0" xfId="0">
      <alignment horizontal="right"/>
    </xf>
    <xf numFmtId="0" fontId="10" fillId="2" borderId="0" pivotButton="0" quotePrefix="0" xfId="0"/>
    <xf numFmtId="165" fontId="12" fillId="6" borderId="0" pivotButton="0" quotePrefix="0" xfId="0"/>
    <xf numFmtId="0" fontId="6" fillId="7" borderId="0" applyAlignment="1" pivotButton="0" quotePrefix="0" xfId="0">
      <alignment horizontal="center"/>
    </xf>
    <xf numFmtId="0" fontId="13" fillId="0" borderId="0" pivotButton="0" quotePrefix="0" xfId="0"/>
    <xf numFmtId="166" fontId="14" fillId="0" borderId="0" applyAlignment="1" pivotButton="0" quotePrefix="0" xfId="0">
      <alignment horizontal="right"/>
    </xf>
    <xf numFmtId="166" fontId="15" fillId="2" borderId="0" applyAlignment="1" pivotButton="0" quotePrefix="0" xfId="0">
      <alignment horizontal="right"/>
    </xf>
    <xf numFmtId="0" fontId="16" fillId="0" borderId="0" pivotButton="0" quotePrefix="0" xfId="0"/>
    <xf numFmtId="167" fontId="17" fillId="0" borderId="0" pivotButton="0" quotePrefix="0" xfId="0"/>
    <xf numFmtId="168" fontId="17" fillId="0" borderId="0" applyAlignment="1" pivotButton="0" quotePrefix="0" xfId="0">
      <alignment horizontal="right"/>
    </xf>
    <xf numFmtId="168" fontId="15" fillId="2" borderId="0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0" fontId="0" fillId="0" borderId="2" pivotButton="0" quotePrefix="0" xfId="0"/>
    <xf numFmtId="167" fontId="3" fillId="0" borderId="2" applyAlignment="1" pivotButton="0" quotePrefix="0" xfId="0">
      <alignment horizontal="right"/>
    </xf>
    <xf numFmtId="167" fontId="9" fillId="2" borderId="2" applyAlignment="1" pivotButton="0" quotePrefix="0" xfId="0">
      <alignment horizontal="right"/>
    </xf>
    <xf numFmtId="166" fontId="15" fillId="0" borderId="0" pivotButton="0" quotePrefix="0" xfId="0"/>
    <xf numFmtId="167" fontId="17" fillId="0" borderId="0" applyAlignment="1" pivotButton="0" quotePrefix="0" xfId="0">
      <alignment horizontal="right"/>
    </xf>
    <xf numFmtId="167" fontId="15" fillId="2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6" fontId="12" fillId="6" borderId="0" pivotButton="0" quotePrefix="0" xfId="0"/>
    <xf numFmtId="168" fontId="15" fillId="0" borderId="0" applyAlignment="1" pivotButton="0" quotePrefix="0" xfId="0">
      <alignment horizontal="right"/>
    </xf>
    <xf numFmtId="170" fontId="17" fillId="0" borderId="0" pivotButton="0" quotePrefix="0" xfId="0"/>
    <xf numFmtId="0" fontId="18" fillId="0" borderId="0" pivotButton="0" quotePrefix="0" xfId="0"/>
    <xf numFmtId="166" fontId="17" fillId="0" borderId="0" applyAlignment="1" pivotButton="0" quotePrefix="0" xfId="0">
      <alignment horizontal="right"/>
    </xf>
    <xf numFmtId="171" fontId="3" fillId="8" borderId="0" applyAlignment="1" pivotButton="0" quotePrefix="0" xfId="0">
      <alignment horizontal="center"/>
    </xf>
    <xf numFmtId="166" fontId="17" fillId="0" borderId="0" pivotButton="0" quotePrefix="0" xfId="0"/>
    <xf numFmtId="167" fontId="9" fillId="0" borderId="2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" fontId="3" fillId="2" borderId="0" applyAlignment="1" pivotButton="0" quotePrefix="0" xfId="0">
      <alignment horizontal="right"/>
    </xf>
    <xf numFmtId="1" fontId="15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172" fontId="3" fillId="8" borderId="0" applyAlignment="1" pivotButton="0" quotePrefix="0" xfId="0">
      <alignment horizontal="center"/>
    </xf>
    <xf numFmtId="167" fontId="15" fillId="0" borderId="0" pivotButton="0" quotePrefix="0" xfId="0"/>
    <xf numFmtId="170" fontId="3" fillId="2" borderId="0" applyAlignment="1" pivotButton="0" quotePrefix="0" xfId="0">
      <alignment horizontal="right"/>
    </xf>
    <xf numFmtId="170" fontId="15" fillId="2" borderId="0" applyAlignment="1" pivotButton="0" quotePrefix="0" xfId="0">
      <alignment horizontal="right"/>
    </xf>
    <xf numFmtId="0" fontId="0" fillId="2" borderId="2" pivotButton="0" quotePrefix="0" xfId="0"/>
    <xf numFmtId="167" fontId="3" fillId="2" borderId="2" applyAlignment="1" pivotButton="0" quotePrefix="0" xfId="0">
      <alignment horizontal="right"/>
    </xf>
    <xf numFmtId="0" fontId="11" fillId="5" borderId="2" pivotButton="0" quotePrefix="0" xfId="0"/>
    <xf numFmtId="167" fontId="9" fillId="6" borderId="2" applyAlignment="1" pivotButton="0" quotePrefix="0" xfId="0">
      <alignment horizontal="right"/>
    </xf>
    <xf numFmtId="0" fontId="19" fillId="0" borderId="0" pivotButton="0" quotePrefix="0" xfId="0"/>
    <xf numFmtId="167" fontId="3" fillId="6" borderId="2" applyAlignment="1" pivotButton="0" quotePrefix="0" xfId="0">
      <alignment horizontal="right"/>
    </xf>
    <xf numFmtId="164" fontId="15" fillId="2" borderId="0" applyAlignment="1" pivotButton="0" quotePrefix="0" xfId="0">
      <alignment horizontal="right"/>
    </xf>
    <xf numFmtId="168" fontId="9" fillId="6" borderId="2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8" fontId="9" fillId="2" borderId="2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64" fontId="15" fillId="0" borderId="0" applyAlignment="1" pivotButton="0" quotePrefix="0" xfId="0">
      <alignment horizontal="right"/>
    </xf>
    <xf numFmtId="0" fontId="0" fillId="6" borderId="2" pivotButton="0" quotePrefix="0" xfId="0"/>
    <xf numFmtId="173" fontId="15" fillId="0" borderId="0" applyAlignment="1" pivotButton="0" quotePrefix="0" xfId="0">
      <alignment horizontal="right"/>
    </xf>
    <xf numFmtId="173" fontId="15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174" fontId="3" fillId="2" borderId="0" applyAlignment="1" pivotButton="0" quotePrefix="0" xfId="0">
      <alignment horizontal="right"/>
    </xf>
    <xf numFmtId="0" fontId="13" fillId="8" borderId="0" pivotButton="0" quotePrefix="0" xfId="0"/>
    <xf numFmtId="166" fontId="9" fillId="6" borderId="2" applyAlignment="1" pivotButton="0" quotePrefix="0" xfId="0">
      <alignment horizontal="right"/>
    </xf>
    <xf numFmtId="173" fontId="9" fillId="6" borderId="2" applyAlignment="1" pivotButton="0" quotePrefix="0" xfId="0">
      <alignment horizontal="right"/>
    </xf>
    <xf numFmtId="168" fontId="3" fillId="2" borderId="0" applyAlignment="1" pivotButton="0" quotePrefix="0" xfId="0">
      <alignment horizontal="right"/>
    </xf>
    <xf numFmtId="0" fontId="23" fillId="0" borderId="0" pivotButton="0" quotePrefix="0" xfId="0"/>
    <xf numFmtId="4" fontId="24" fillId="2" borderId="0" pivotButton="0" quotePrefix="0" xfId="0"/>
    <xf numFmtId="175" fontId="0" fillId="0" borderId="0" pivotButton="0" quotePrefix="0" xfId="0"/>
    <xf numFmtId="0" fontId="25" fillId="6" borderId="0" pivotButton="0" quotePrefix="0" xfId="0"/>
    <xf numFmtId="0" fontId="12" fillId="0" borderId="0" pivotButton="0" quotePrefix="0" xfId="0"/>
    <xf numFmtId="0" fontId="24" fillId="3" borderId="0" pivotButton="0" quotePrefix="0" xfId="0"/>
    <xf numFmtId="0" fontId="26" fillId="5" borderId="0" pivotButton="0" quotePrefix="0" xfId="0"/>
    <xf numFmtId="0" fontId="25" fillId="0" borderId="0" pivotButton="0" quotePrefix="0" xfId="0"/>
    <xf numFmtId="167" fontId="24" fillId="9" borderId="0" pivotButton="0" quotePrefix="0" xfId="0"/>
    <xf numFmtId="167" fontId="24" fillId="2" borderId="0" pivotButton="0" quotePrefix="0" xfId="0"/>
    <xf numFmtId="176" fontId="12" fillId="10" borderId="0" pivotButton="0" quotePrefix="0" xfId="0"/>
    <xf numFmtId="0" fontId="27" fillId="0" borderId="0" pivotButton="0" quotePrefix="0" xfId="0"/>
    <xf numFmtId="176" fontId="27" fillId="9" borderId="0" pivotButton="0" quotePrefix="0" xfId="0"/>
    <xf numFmtId="176" fontId="27" fillId="2" borderId="0" pivotButton="0" quotePrefix="0" xfId="0"/>
    <xf numFmtId="166" fontId="24" fillId="9" borderId="0" pivotButton="0" quotePrefix="0" xfId="0"/>
    <xf numFmtId="166" fontId="24" fillId="2" borderId="0" pivotButton="0" quotePrefix="0" xfId="0"/>
    <xf numFmtId="166" fontId="27" fillId="9" borderId="0" pivotButton="0" quotePrefix="0" xfId="0"/>
    <xf numFmtId="166" fontId="27" fillId="2" borderId="0" pivotButton="0" quotePrefix="0" xfId="0"/>
    <xf numFmtId="166" fontId="27" fillId="11" borderId="0" pivotButton="0" quotePrefix="0" xfId="0"/>
    <xf numFmtId="164" fontId="24" fillId="9" borderId="0" pivotButton="0" quotePrefix="0" xfId="0"/>
    <xf numFmtId="164" fontId="24" fillId="2" borderId="0" pivotButton="0" quotePrefix="0" xfId="0"/>
    <xf numFmtId="168" fontId="24" fillId="9" borderId="0" pivotButton="0" quotePrefix="0" xfId="0"/>
    <xf numFmtId="168" fontId="24" fillId="2" borderId="0" pivotButton="0" quotePrefix="0" xfId="0"/>
    <xf numFmtId="177" fontId="3" fillId="12" borderId="0" pivotButton="0" quotePrefix="0" xfId="0"/>
    <xf numFmtId="167" fontId="6" fillId="5" borderId="0" pivotButton="0" quotePrefix="0" xfId="0"/>
    <xf numFmtId="176" fontId="27" fillId="0" borderId="0" pivotButton="0" quotePrefix="0" xfId="0"/>
    <xf numFmtId="176" fontId="25" fillId="6" borderId="0" pivotButton="0" quotePrefix="0" xfId="0"/>
    <xf numFmtId="168" fontId="27" fillId="9" borderId="0" pivotButton="0" quotePrefix="0" xfId="0"/>
    <xf numFmtId="168" fontId="27" fillId="2" borderId="0" pivotButton="0" quotePrefix="0" xfId="0"/>
    <xf numFmtId="166" fontId="27" fillId="0" borderId="0" pivotButton="0" quotePrefix="0" xfId="0"/>
    <xf numFmtId="173" fontId="27" fillId="9" borderId="0" pivotButton="0" quotePrefix="0" xfId="0"/>
    <xf numFmtId="173" fontId="27" fillId="2" borderId="0" pivotButton="0" quotePrefix="0" xfId="0"/>
    <xf numFmtId="167" fontId="27" fillId="0" borderId="0" pivotButton="0" quotePrefix="0" xfId="0"/>
    <xf numFmtId="173" fontId="27" fillId="0" borderId="0" pivotButton="0" quotePrefix="0" xfId="0"/>
    <xf numFmtId="167" fontId="28" fillId="0" borderId="0" pivotButton="0" quotePrefix="0" xfId="0"/>
    <xf numFmtId="0" fontId="29" fillId="0" borderId="0" pivotButton="0" quotePrefix="0" xfId="0"/>
    <xf numFmtId="166" fontId="28" fillId="0" borderId="0" pivotButton="0" quotePrefix="0" xfId="0"/>
    <xf numFmtId="0" fontId="31" fillId="5" borderId="0" pivotButton="0" quotePrefix="0" xfId="0"/>
    <xf numFmtId="0" fontId="32" fillId="0" borderId="0" pivotButton="0" quotePrefix="0" xfId="0"/>
    <xf numFmtId="175" fontId="32" fillId="0" borderId="0" pivotButton="0" quotePrefix="0" xfId="0"/>
    <xf numFmtId="167" fontId="32" fillId="0" borderId="0" pivotButton="0" quotePrefix="0" xfId="0"/>
    <xf numFmtId="166" fontId="33" fillId="0" borderId="0" pivotButton="0" quotePrefix="0" xfId="0"/>
    <xf numFmtId="0" fontId="34" fillId="0" borderId="0" pivotButton="0" quotePrefix="0" xfId="0"/>
    <xf numFmtId="166" fontId="35" fillId="0" borderId="0" pivotButton="0" quotePrefix="0" xfId="0"/>
    <xf numFmtId="178" fontId="32" fillId="0" borderId="0" pivotButton="0" quotePrefix="0" xfId="0"/>
    <xf numFmtId="2" fontId="32" fillId="0" borderId="0" pivotButton="0" quotePrefix="0" xfId="0"/>
    <xf numFmtId="179" fontId="32" fillId="0" borderId="0" pivotButton="0" quotePrefix="0" xfId="0"/>
    <xf numFmtId="167" fontId="33" fillId="0" borderId="0" pivotButton="0" quotePrefix="0" xfId="0"/>
    <xf numFmtId="0" fontId="36" fillId="0" borderId="0" pivotButton="0" quotePrefix="0" xfId="0"/>
    <xf numFmtId="166" fontId="36" fillId="0" borderId="0" pivotButton="0" quotePrefix="0" xfId="0"/>
    <xf numFmtId="166" fontId="37" fillId="0" borderId="0" pivotButton="0" quotePrefix="0" xfId="0"/>
    <xf numFmtId="166" fontId="32" fillId="0" borderId="0" pivotButton="0" quotePrefix="0" xfId="0"/>
    <xf numFmtId="164" fontId="32" fillId="0" borderId="0" pivotButton="0" quotePrefix="0" xfId="0"/>
    <xf numFmtId="4" fontId="32" fillId="0" borderId="0" pivotButton="0" quotePrefix="0" xfId="0"/>
    <xf numFmtId="178" fontId="38" fillId="0" borderId="0" pivotButton="0" quotePrefix="0" xfId="0"/>
    <xf numFmtId="3" fontId="32" fillId="0" borderId="0" pivotButton="0" quotePrefix="0" xfId="0"/>
    <xf numFmtId="3" fontId="32" fillId="3" borderId="0" pivotButton="0" quotePrefix="0" xfId="0"/>
    <xf numFmtId="177" fontId="32" fillId="0" borderId="0" pivotButton="0" quotePrefix="0" xfId="0"/>
    <xf numFmtId="0" fontId="39" fillId="5" borderId="0" pivotButton="0" quotePrefix="0" xfId="0"/>
    <xf numFmtId="0" fontId="39" fillId="7" borderId="0" pivotButton="0" quotePrefix="0" xfId="0"/>
    <xf numFmtId="0" fontId="40" fillId="0" borderId="0" pivotButton="0" quotePrefix="0" xfId="0"/>
    <xf numFmtId="10" fontId="38" fillId="2" borderId="0" pivotButton="0" quotePrefix="0" xfId="0"/>
    <xf numFmtId="0" fontId="41" fillId="0" borderId="0" pivotButton="0" quotePrefix="0" xfId="0"/>
    <xf numFmtId="2" fontId="38" fillId="2" borderId="0" pivotButton="0" quotePrefix="0" xfId="0"/>
    <xf numFmtId="10" fontId="40" fillId="0" borderId="0" pivotButton="0" quotePrefix="0" xfId="0"/>
    <xf numFmtId="0" fontId="42" fillId="0" borderId="0" pivotButton="0" quotePrefix="0" xfId="0"/>
    <xf numFmtId="10" fontId="42" fillId="6" borderId="0" pivotButton="0" quotePrefix="0" xfId="0"/>
    <xf numFmtId="167" fontId="43" fillId="0" borderId="0" pivotButton="0" quotePrefix="0" xfId="0"/>
    <xf numFmtId="0" fontId="42" fillId="6" borderId="0" pivotButton="0" quotePrefix="0" xfId="0"/>
    <xf numFmtId="167" fontId="42" fillId="6" borderId="0" pivotButton="0" quotePrefix="0" xfId="0"/>
    <xf numFmtId="178" fontId="38" fillId="2" borderId="0" pivotButton="0" quotePrefix="0" xfId="0"/>
    <xf numFmtId="178" fontId="33" fillId="2" borderId="0" pivotButton="0" quotePrefix="0" xfId="0"/>
    <xf numFmtId="178" fontId="44" fillId="3" borderId="0" pivotButton="0" quotePrefix="0" xfId="0"/>
    <xf numFmtId="0" fontId="39" fillId="5" borderId="0" applyAlignment="1" pivotButton="0" quotePrefix="0" xfId="0">
      <alignment horizontal="right"/>
    </xf>
    <xf numFmtId="4" fontId="39" fillId="5" borderId="0" pivotButton="0" quotePrefix="0" xfId="0"/>
    <xf numFmtId="178" fontId="37" fillId="0" borderId="0" pivotButton="0" quotePrefix="0" xfId="0"/>
    <xf numFmtId="10" fontId="33" fillId="0" borderId="0" pivotButton="0" quotePrefix="0" xfId="0"/>
    <xf numFmtId="1" fontId="38" fillId="2" borderId="0" pivotButton="0" quotePrefix="0" xfId="0"/>
    <xf numFmtId="177" fontId="39" fillId="5" borderId="0" pivotButton="0" quotePrefix="0" xfId="0"/>
    <xf numFmtId="0" fontId="33" fillId="0" borderId="0" applyAlignment="1" pivotButton="0" quotePrefix="0" xfId="0">
      <alignment horizontal="right"/>
    </xf>
    <xf numFmtId="178" fontId="38" fillId="13" borderId="0" pivotButton="0" quotePrefix="0" xfId="0"/>
    <xf numFmtId="4" fontId="37" fillId="0" borderId="0" pivotButton="0" quotePrefix="0" xfId="0"/>
    <xf numFmtId="1" fontId="38" fillId="13" borderId="0" pivotButton="0" quotePrefix="0" xfId="0"/>
    <xf numFmtId="0" fontId="45" fillId="2" borderId="0" pivotButton="0" quotePrefix="0" xfId="0"/>
    <xf numFmtId="0" fontId="16" fillId="0" borderId="3" pivotButton="0" quotePrefix="0" xfId="0"/>
    <xf numFmtId="168" fontId="15" fillId="0" borderId="3" applyAlignment="1" pivotButton="0" quotePrefix="0" xfId="0">
      <alignment horizontal="right"/>
    </xf>
    <xf numFmtId="168" fontId="15" fillId="2" borderId="3" applyAlignment="1" pivotButton="0" quotePrefix="0" xfId="0">
      <alignment horizontal="right"/>
    </xf>
    <xf numFmtId="166" fontId="47" fillId="2" borderId="0" applyAlignment="1" pivotButton="0" quotePrefix="0" xfId="0">
      <alignment horizontal="right"/>
    </xf>
    <xf numFmtId="167" fontId="46" fillId="2" borderId="0" applyAlignment="1" pivotButton="0" quotePrefix="0" xfId="0">
      <alignment horizontal="right"/>
    </xf>
    <xf numFmtId="166" fontId="46" fillId="2" borderId="0" applyAlignment="1" pivotButton="0" quotePrefix="0" xfId="0">
      <alignment horizontal="right"/>
    </xf>
    <xf numFmtId="9" fontId="33" fillId="0" borderId="0" applyAlignment="1" pivotButton="0" quotePrefix="0" xfId="1">
      <alignment horizontal="left"/>
    </xf>
    <xf numFmtId="0" fontId="11" fillId="5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shrinkToFit="1"/>
    </xf>
    <xf numFmtId="167" fontId="48" fillId="0" borderId="0" applyAlignment="1" pivotButton="0" quotePrefix="0" xfId="0">
      <alignment horizontal="right"/>
    </xf>
    <xf numFmtId="167" fontId="48" fillId="0" borderId="0" pivotButton="0" quotePrefix="0" xfId="0"/>
    <xf numFmtId="173" fontId="49" fillId="0" borderId="0" applyAlignment="1" pivotButton="0" quotePrefix="0" xfId="0">
      <alignment horizontal="right"/>
    </xf>
    <xf numFmtId="168" fontId="48" fillId="0" borderId="0" pivotButton="0" quotePrefix="0" xfId="0"/>
    <xf numFmtId="167" fontId="49" fillId="2" borderId="0" applyAlignment="1" pivotButton="0" quotePrefix="0" xfId="0">
      <alignment horizontal="right"/>
    </xf>
    <xf numFmtId="166" fontId="50" fillId="0" borderId="0" applyAlignment="1" pivotButton="0" quotePrefix="0" xfId="0">
      <alignment horizontal="right"/>
    </xf>
    <xf numFmtId="166" fontId="49" fillId="2" borderId="0" applyAlignment="1" pivotButton="0" quotePrefix="0" xfId="0">
      <alignment horizontal="right"/>
    </xf>
    <xf numFmtId="166" fontId="51" fillId="2" borderId="0" applyAlignment="1" pivotButton="0" quotePrefix="0" xfId="0">
      <alignment horizontal="right"/>
    </xf>
    <xf numFmtId="166" fontId="48" fillId="0" borderId="0" pivotButton="0" quotePrefix="0" xfId="0"/>
    <xf numFmtId="167" fontId="49" fillId="0" borderId="0" applyAlignment="1" pivotButton="0" quotePrefix="0" xfId="0">
      <alignment horizontal="right"/>
    </xf>
    <xf numFmtId="167" fontId="51" fillId="0" borderId="2" applyAlignment="1" pivotButton="0" quotePrefix="0" xfId="0">
      <alignment horizontal="right"/>
    </xf>
    <xf numFmtId="167" fontId="52" fillId="2" borderId="2" applyAlignment="1" pivotButton="0" quotePrefix="0" xfId="0">
      <alignment horizontal="right"/>
    </xf>
    <xf numFmtId="177" fontId="17" fillId="0" borderId="0" pivotButton="0" quotePrefix="0" xfId="0"/>
    <xf numFmtId="166" fontId="49" fillId="0" borderId="0" applyAlignment="1" pivotButton="0" quotePrefix="0" xfId="0">
      <alignment horizontal="right"/>
    </xf>
    <xf numFmtId="167" fontId="51" fillId="2" borderId="0" applyAlignment="1" pivotButton="0" quotePrefix="0" xfId="0">
      <alignment horizontal="right"/>
    </xf>
    <xf numFmtId="164" fontId="49" fillId="0" borderId="0" applyAlignment="1" pivotButton="0" quotePrefix="0" xfId="0">
      <alignment horizontal="right"/>
    </xf>
    <xf numFmtId="173" fontId="51" fillId="2" borderId="0" applyAlignment="1" pivotButton="0" quotePrefix="0" xfId="0">
      <alignment horizontal="right"/>
    </xf>
    <xf numFmtId="167" fontId="51" fillId="2" borderId="2" applyAlignment="1" pivotButton="0" quotePrefix="0" xfId="0">
      <alignment horizontal="right"/>
    </xf>
    <xf numFmtId="0" fontId="51" fillId="2" borderId="0" applyAlignment="1" pivotButton="0" quotePrefix="0" xfId="0">
      <alignment horizontal="right"/>
    </xf>
    <xf numFmtId="167" fontId="52" fillId="6" borderId="2" applyAlignment="1" pivotButton="0" quotePrefix="0" xfId="0">
      <alignment horizontal="right"/>
    </xf>
    <xf numFmtId="164" fontId="53" fillId="2" borderId="0" pivotButton="0" quotePrefix="0" xfId="0"/>
    <xf numFmtId="167" fontId="53" fillId="2" borderId="0" pivotButton="0" quotePrefix="0" xfId="0"/>
    <xf numFmtId="168" fontId="53" fillId="2" borderId="0" pivotButton="0" quotePrefix="0" xfId="0"/>
    <xf numFmtId="167" fontId="51" fillId="6" borderId="2" applyAlignment="1" pivotButton="0" quotePrefix="0" xfId="0">
      <alignment horizontal="right"/>
    </xf>
    <xf numFmtId="167" fontId="52" fillId="0" borderId="2" applyAlignment="1" pivotButton="0" quotePrefix="0" xfId="0">
      <alignment horizontal="right"/>
    </xf>
    <xf numFmtId="164" fontId="48" fillId="0" borderId="0" applyAlignment="1" pivotButton="0" quotePrefix="0" xfId="0">
      <alignment horizontal="right"/>
    </xf>
    <xf numFmtId="164" fontId="49" fillId="2" borderId="0" applyAlignment="1" pivotButton="0" quotePrefix="0" xfId="0">
      <alignment horizontal="right"/>
    </xf>
    <xf numFmtId="168" fontId="49" fillId="0" borderId="0" applyAlignment="1" pivotButton="0" quotePrefix="0" xfId="0">
      <alignment horizontal="right"/>
    </xf>
    <xf numFmtId="168" fontId="49" fillId="2" borderId="0" applyAlignment="1" pivotButton="0" quotePrefix="0" xfId="0">
      <alignment horizontal="right"/>
    </xf>
    <xf numFmtId="168" fontId="52" fillId="6" borderId="2" applyAlignment="1" pivotButton="0" quotePrefix="0" xfId="0">
      <alignment horizontal="right"/>
    </xf>
    <xf numFmtId="168" fontId="48" fillId="0" borderId="0" applyAlignment="1" pivotButton="0" quotePrefix="0" xfId="0">
      <alignment horizontal="right"/>
    </xf>
    <xf numFmtId="0" fontId="54" fillId="0" borderId="0" pivotButton="0" quotePrefix="0" xfId="0"/>
    <xf numFmtId="173" fontId="49" fillId="2" borderId="0" applyAlignment="1" pivotButton="0" quotePrefix="0" xfId="0">
      <alignment horizontal="right"/>
    </xf>
    <xf numFmtId="180" fontId="49" fillId="2" borderId="0" applyAlignment="1" pivotButton="0" quotePrefix="0" xfId="0">
      <alignment horizontal="right"/>
    </xf>
    <xf numFmtId="180" fontId="51" fillId="2" borderId="0" applyAlignment="1" pivotButton="0" quotePrefix="0" xfId="0">
      <alignment horizontal="right"/>
    </xf>
    <xf numFmtId="174" fontId="49" fillId="0" borderId="0" applyAlignment="1" pivotButton="0" quotePrefix="0" xfId="0">
      <alignment horizontal="right"/>
    </xf>
    <xf numFmtId="174" fontId="51" fillId="2" borderId="0" applyAlignment="1" pivotButton="0" quotePrefix="0" xfId="0">
      <alignment horizontal="right"/>
    </xf>
    <xf numFmtId="0" fontId="55" fillId="0" borderId="0" pivotButton="0" quotePrefix="0" xfId="0"/>
    <xf numFmtId="0" fontId="56" fillId="0" borderId="0" pivotButton="0" quotePrefix="0" xfId="0"/>
    <xf numFmtId="164" fontId="51" fillId="2" borderId="0" applyAlignment="1" pivotButton="0" quotePrefix="0" xfId="0">
      <alignment horizontal="right"/>
    </xf>
    <xf numFmtId="177" fontId="49" fillId="2" borderId="0" applyAlignment="1" pivotButton="0" quotePrefix="0" xfId="0">
      <alignment horizontal="right"/>
    </xf>
    <xf numFmtId="166" fontId="52" fillId="6" borderId="2" applyAlignment="1" pivotButton="0" quotePrefix="0" xfId="0">
      <alignment horizontal="right"/>
    </xf>
    <xf numFmtId="173" fontId="52" fillId="6" borderId="2" applyAlignment="1" pivotButton="0" quotePrefix="0" xfId="0">
      <alignment horizontal="right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Segment Sales Growth: Freight vs. Transit,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  <c:strCache>
                <c:ptCount val="1"/>
                <c:pt idx="0">
                  <c:v>Aggregates volume %</c:v>
                </c:pt>
              </c:strCache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Charts!$C$8:$V$8</c:f>
              <c:numCache>
                <c:formatCode>0.0%;\(0.0%\);\-</c:formatCode>
                <c:ptCount val="20"/>
                <c:pt idx="0">
                  <c:v>0</c:v>
                </c:pt>
                <c:pt idx="1">
                  <c:v>-8.1434832989067507E-2</c:v>
                </c:pt>
                <c:pt idx="2">
                  <c:v>-0.12598861380165205</c:v>
                </c:pt>
                <c:pt idx="3">
                  <c:v>-0.22562203884409027</c:v>
                </c:pt>
                <c:pt idx="4">
                  <c:v>5.353279146846468E-2</c:v>
                </c:pt>
                <c:pt idx="5">
                  <c:v>-3.7944110701731537E-2</c:v>
                </c:pt>
                <c:pt idx="6">
                  <c:v>2.6040583974287212E-2</c:v>
                </c:pt>
                <c:pt idx="7">
                  <c:v>7.9481964607142075E-4</c:v>
                </c:pt>
                <c:pt idx="8">
                  <c:v>0.13716879618166677</c:v>
                </c:pt>
                <c:pt idx="9">
                  <c:v>7.1016775077028305E-2</c:v>
                </c:pt>
                <c:pt idx="10">
                  <c:v>1.4090089629336111E-2</c:v>
                </c:pt>
                <c:pt idx="11">
                  <c:v>-5.8502389267837129E-3</c:v>
                </c:pt>
                <c:pt idx="12">
                  <c:v>8.3311139012542945E-2</c:v>
                </c:pt>
                <c:pt idx="13">
                  <c:v>0.11876887775410339</c:v>
                </c:pt>
                <c:pt idx="14">
                  <c:v>-2.420392829860929E-2</c:v>
                </c:pt>
                <c:pt idx="15">
                  <c:v>7.8820375335120652E-2</c:v>
                </c:pt>
                <c:pt idx="16">
                  <c:v>3.2306163021868839E-2</c:v>
                </c:pt>
                <c:pt idx="17">
                  <c:v>-4.2850264805007088E-2</c:v>
                </c:pt>
                <c:pt idx="18">
                  <c:v>-3.8732394366197243E-2</c:v>
                </c:pt>
                <c:pt idx="19">
                  <c:v>3.8723181580324395E-2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9-44E0-9EFD-670A32200F47}"/>
            </c:ext>
          </c:extLst>
        </c:ser>
        <c:ser>
          <c:idx val="1"/>
          <c:order val="1"/>
          <c:tx>
            <c:strRef>
              <c:f>Charts!$B$9</c:f>
              <c:strCache>
                <c:ptCount val="1"/>
                <c:pt idx="0">
                  <c:v>Aggregates price (ASP) %</c:v>
                </c:pt>
              </c:strCache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Charts!$C$9:$V$9</c:f>
              <c:numCache>
                <c:formatCode>0.0%;\(0.0%\);\-</c:formatCode>
                <c:ptCount val="20"/>
                <c:pt idx="0">
                  <c:v>0</c:v>
                </c:pt>
                <c:pt idx="1">
                  <c:v>0.104</c:v>
                </c:pt>
                <c:pt idx="2">
                  <c:v>6.9000000000000006E-2</c:v>
                </c:pt>
                <c:pt idx="3">
                  <c:v>2.1000000000000001E-2</c:v>
                </c:pt>
                <c:pt idx="4">
                  <c:v>-3.4000000000000002E-2</c:v>
                </c:pt>
                <c:pt idx="5">
                  <c:v>2.7E-2</c:v>
                </c:pt>
                <c:pt idx="6">
                  <c:v>8.0000000000000002E-3</c:v>
                </c:pt>
                <c:pt idx="7">
                  <c:v>2.9041626331074655E-2</c:v>
                </c:pt>
                <c:pt idx="8">
                  <c:v>4.4999999999999998E-2</c:v>
                </c:pt>
                <c:pt idx="9">
                  <c:v>0.08</c:v>
                </c:pt>
                <c:pt idx="10">
                  <c:v>7.2999999999999995E-2</c:v>
                </c:pt>
                <c:pt idx="11">
                  <c:v>4.5031055900621064E-2</c:v>
                </c:pt>
                <c:pt idx="12">
                  <c:v>1.857355126300142E-2</c:v>
                </c:pt>
                <c:pt idx="13">
                  <c:v>4.5222465353756292E-2</c:v>
                </c:pt>
                <c:pt idx="14">
                  <c:v>3.0704815073272718E-2</c:v>
                </c:pt>
                <c:pt idx="15">
                  <c:v>2.0988490182803021E-2</c:v>
                </c:pt>
                <c:pt idx="16">
                  <c:v>0.10610079575596809</c:v>
                </c:pt>
                <c:pt idx="17">
                  <c:v>0.18944844124700233</c:v>
                </c:pt>
                <c:pt idx="18">
                  <c:v>9.879032258064524E-2</c:v>
                </c:pt>
                <c:pt idx="19">
                  <c:v>6.8807339449541205E-2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49-44E0-9EFD-670A3220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4735"/>
        <c:axId val="65342648"/>
      </c:barChart>
      <c:catAx>
        <c:axId val="20044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42648"/>
        <c:crosses val="autoZero"/>
        <c:auto val="1"/>
        <c:lblAlgn val="ctr"/>
        <c:lblOffset val="100"/>
        <c:noMultiLvlLbl val="0"/>
      </c:catAx>
      <c:valAx>
        <c:axId val="6534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4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&amp; Income from Operations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  <c:strCache>
                <c:ptCount val="1"/>
                <c:pt idx="0">
                  <c:v>Adjusted EBITDA</c:v>
                </c:pt>
              </c:strCache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Charts!$C$12:$V$12</c:f>
              <c:numCache>
                <c:formatCode>#,##0;\(#,##0\);\-</c:formatCode>
                <c:ptCount val="20"/>
                <c:pt idx="0">
                  <c:v>535</c:v>
                </c:pt>
                <c:pt idx="1">
                  <c:v>590.59999999999991</c:v>
                </c:pt>
                <c:pt idx="2">
                  <c:v>497.69999999999987</c:v>
                </c:pt>
                <c:pt idx="3">
                  <c:v>364.1</c:v>
                </c:pt>
                <c:pt idx="4">
                  <c:v>374.70000000000005</c:v>
                </c:pt>
                <c:pt idx="5">
                  <c:v>335.9</c:v>
                </c:pt>
                <c:pt idx="6">
                  <c:v>329.9</c:v>
                </c:pt>
                <c:pt idx="7">
                  <c:v>390.20000000000005</c:v>
                </c:pt>
                <c:pt idx="8">
                  <c:v>537.00000000000023</c:v>
                </c:pt>
                <c:pt idx="9">
                  <c:v>766.69999999999982</c:v>
                </c:pt>
                <c:pt idx="10">
                  <c:v>971.5999999999998</c:v>
                </c:pt>
                <c:pt idx="11">
                  <c:v>1004.4000000000001</c:v>
                </c:pt>
                <c:pt idx="12">
                  <c:v>1103.7650000000001</c:v>
                </c:pt>
                <c:pt idx="13">
                  <c:v>1254.549</c:v>
                </c:pt>
                <c:pt idx="14">
                  <c:v>1392.7999999999997</c:v>
                </c:pt>
                <c:pt idx="15">
                  <c:v>1528.5000000000002</c:v>
                </c:pt>
                <c:pt idx="16">
                  <c:v>1600.3000000000004</c:v>
                </c:pt>
                <c:pt idx="17">
                  <c:v>2127.6999999999994</c:v>
                </c:pt>
                <c:pt idx="18">
                  <c:v>2066</c:v>
                </c:pt>
                <c:pt idx="19">
                  <c:v>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1-4400-9151-F0905619F4D5}"/>
            </c:ext>
          </c:extLst>
        </c:ser>
        <c:ser>
          <c:idx val="1"/>
          <c:order val="1"/>
          <c:tx>
            <c:strRef>
              <c:f>Charts!$B$13</c:f>
              <c:strCache>
                <c:ptCount val="1"/>
                <c:pt idx="0">
                  <c:v>Earnings from Operations (GAAP)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Charts!$C$13:$V$13</c:f>
              <c:numCache>
                <c:formatCode>#,##0;\(#,##0\);\-</c:formatCode>
                <c:ptCount val="20"/>
                <c:pt idx="0">
                  <c:v>388</c:v>
                </c:pt>
                <c:pt idx="1">
                  <c:v>433</c:v>
                </c:pt>
                <c:pt idx="2">
                  <c:v>323.2999999999999</c:v>
                </c:pt>
                <c:pt idx="3">
                  <c:v>187.5999999999998</c:v>
                </c:pt>
                <c:pt idx="4">
                  <c:v>196.4</c:v>
                </c:pt>
                <c:pt idx="5">
                  <c:v>161</c:v>
                </c:pt>
                <c:pt idx="6">
                  <c:v>154.99999999999986</c:v>
                </c:pt>
                <c:pt idx="7">
                  <c:v>218.00000000000003</c:v>
                </c:pt>
                <c:pt idx="8">
                  <c:v>314.90000000000015</c:v>
                </c:pt>
                <c:pt idx="9">
                  <c:v>479.39999999999975</c:v>
                </c:pt>
                <c:pt idx="10">
                  <c:v>667.3</c:v>
                </c:pt>
                <c:pt idx="11">
                  <c:v>700.40000000000009</c:v>
                </c:pt>
                <c:pt idx="12">
                  <c:v>690.73700000000019</c:v>
                </c:pt>
                <c:pt idx="13">
                  <c:v>884.9340000000002</c:v>
                </c:pt>
                <c:pt idx="14">
                  <c:v>1005.3999999999997</c:v>
                </c:pt>
                <c:pt idx="15">
                  <c:v>973.80000000000007</c:v>
                </c:pt>
                <c:pt idx="16">
                  <c:v>1206.7</c:v>
                </c:pt>
                <c:pt idx="17">
                  <c:v>1595.9999999999995</c:v>
                </c:pt>
                <c:pt idx="18">
                  <c:v>2707</c:v>
                </c:pt>
                <c:pt idx="19">
                  <c:v>1437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8424"/>
        <c:axId val="81960370"/>
      </c:barChart>
      <c:lineChart>
        <c:grouping val="standard"/>
        <c:varyColors val="0"/>
        <c:ser>
          <c:idx val="2"/>
          <c:order val="2"/>
          <c:tx>
            <c:strRef>
              <c:f>Charts!$B$14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Charts!$C$14:$V$14</c:f>
              <c:numCache>
                <c:formatCode>0.0%;\(0.0%\);\-</c:formatCode>
                <c:ptCount val="20"/>
                <c:pt idx="0">
                  <c:v>0.24247643219724438</c:v>
                </c:pt>
                <c:pt idx="1">
                  <c:v>0.26759095645870146</c:v>
                </c:pt>
                <c:pt idx="2">
                  <c:v>0.2347530776850148</c:v>
                </c:pt>
                <c:pt idx="3">
                  <c:v>0.21384940678961592</c:v>
                </c:pt>
                <c:pt idx="4">
                  <c:v>0.21016321723035505</c:v>
                </c:pt>
                <c:pt idx="5">
                  <c:v>0.19598576346344593</c:v>
                </c:pt>
                <c:pt idx="6">
                  <c:v>0.16190616411464467</c:v>
                </c:pt>
                <c:pt idx="7">
                  <c:v>0.18102528415680819</c:v>
                </c:pt>
                <c:pt idx="8">
                  <c:v>0.18154158215010149</c:v>
                </c:pt>
                <c:pt idx="9">
                  <c:v>0.21660639620296074</c:v>
                </c:pt>
                <c:pt idx="10">
                  <c:v>0.25442547397088083</c:v>
                </c:pt>
                <c:pt idx="11">
                  <c:v>0.25327819245511402</c:v>
                </c:pt>
                <c:pt idx="12">
                  <c:v>0.26006034024736913</c:v>
                </c:pt>
                <c:pt idx="13">
                  <c:v>0.26472316039887761</c:v>
                </c:pt>
                <c:pt idx="14">
                  <c:v>0.29446711346962934</c:v>
                </c:pt>
                <c:pt idx="15">
                  <c:v>0.282323605467307</c:v>
                </c:pt>
                <c:pt idx="16">
                  <c:v>0.25975944292044745</c:v>
                </c:pt>
                <c:pt idx="17">
                  <c:v>0.31394971374608976</c:v>
                </c:pt>
                <c:pt idx="18">
                  <c:v>0.31609547123623011</c:v>
                </c:pt>
                <c:pt idx="19">
                  <c:v>0.33577235772357722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0F1-4400-9151-F0905619F4D5}"/>
            </c:ext>
          </c:extLst>
        </c:ser>
        <c:ser>
          <c:idx val="3"/>
          <c:order val="3"/>
          <c:tx>
            <c:strRef>
              <c:f>Charts!$B$15</c:f>
              <c:strCache>
                <c:ptCount val="1"/>
                <c:pt idx="0">
                  <c:v>GAAP Op. Margin %</c:v>
                </c:pt>
              </c:strCache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Charts!$C$15:$V$15</c:f>
              <c:numCache>
                <c:formatCode>0.0%;\(0.0%\);\-</c:formatCode>
                <c:ptCount val="20"/>
                <c:pt idx="0">
                  <c:v>0.17585206671501086</c:v>
                </c:pt>
                <c:pt idx="1">
                  <c:v>0.19618503919169952</c:v>
                </c:pt>
                <c:pt idx="2">
                  <c:v>0.15249280694306869</c:v>
                </c:pt>
                <c:pt idx="3">
                  <c:v>0.11018442382238917</c:v>
                </c:pt>
                <c:pt idx="4">
                  <c:v>0.11015760839082393</c:v>
                </c:pt>
                <c:pt idx="5">
                  <c:v>9.3937802672267923E-2</c:v>
                </c:pt>
                <c:pt idx="6">
                  <c:v>7.6069886140557458E-2</c:v>
                </c:pt>
                <c:pt idx="7">
                  <c:v>0.10113662723266065</c:v>
                </c:pt>
                <c:pt idx="8">
                  <c:v>0.10645706558485468</c:v>
                </c:pt>
                <c:pt idx="9">
                  <c:v>0.13543903265905746</c:v>
                </c:pt>
                <c:pt idx="10">
                  <c:v>0.17474075625851052</c:v>
                </c:pt>
                <c:pt idx="11">
                  <c:v>0.17661892273552554</c:v>
                </c:pt>
                <c:pt idx="12">
                  <c:v>0.16274596426000737</c:v>
                </c:pt>
                <c:pt idx="13">
                  <c:v>0.18673047065074413</c:v>
                </c:pt>
                <c:pt idx="14">
                  <c:v>0.21256263345948115</c:v>
                </c:pt>
                <c:pt idx="15">
                  <c:v>0.17986701145179165</c:v>
                </c:pt>
                <c:pt idx="16">
                  <c:v>0.19587059912022986</c:v>
                </c:pt>
                <c:pt idx="17">
                  <c:v>0.23549548486100449</c:v>
                </c:pt>
                <c:pt idx="18">
                  <c:v>0.41416768665850673</c:v>
                </c:pt>
                <c:pt idx="19">
                  <c:v>0.23365853658536587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874911"/>
        <c:axId val="65694817"/>
      </c:lineChart>
      <c:catAx>
        <c:axId val="22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0370"/>
        <c:crosses val="autoZero"/>
        <c:auto val="1"/>
        <c:lblAlgn val="ctr"/>
        <c:lblOffset val="100"/>
        <c:noMultiLvlLbl val="0"/>
      </c:catAx>
      <c:valAx>
        <c:axId val="81960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08424"/>
        <c:crosses val="autoZero"/>
        <c:crossBetween val="between"/>
      </c:valAx>
      <c:catAx>
        <c:axId val="99874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4817"/>
        <c:crosses val="autoZero"/>
        <c:auto val="1"/>
        <c:lblAlgn val="ctr"/>
        <c:lblOffset val="100"/>
        <c:noMultiLvlLbl val="0"/>
      </c:catAx>
      <c:valAx>
        <c:axId val="656948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749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  <c:strCache>
                <c:ptCount val="1"/>
                <c:pt idx="0">
                  <c:v>ROIC</c:v>
                </c:pt>
              </c:strCache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Charts!$C$18:$V$18</c:f>
              <c:numCache>
                <c:formatCode>0.0%;\(0.0%\);\-</c:formatCode>
                <c:ptCount val="20"/>
                <c:pt idx="0">
                  <c:v>0.14210892254571714</c:v>
                </c:pt>
                <c:pt idx="1">
                  <c:v>0.14888391629115655</c:v>
                </c:pt>
                <c:pt idx="2">
                  <c:v>9.6542534716534664E-2</c:v>
                </c:pt>
                <c:pt idx="3">
                  <c:v>5.9397211205489776E-2</c:v>
                </c:pt>
                <c:pt idx="4">
                  <c:v>6.1867320514460512E-2</c:v>
                </c:pt>
                <c:pt idx="5">
                  <c:v>5.2294966826712072E-2</c:v>
                </c:pt>
                <c:pt idx="6">
                  <c:v>5.2185242159716386E-2</c:v>
                </c:pt>
                <c:pt idx="7">
                  <c:v>6.2340195851760927E-2</c:v>
                </c:pt>
                <c:pt idx="8">
                  <c:v>3.3617149985296635E-2</c:v>
                </c:pt>
                <c:pt idx="9">
                  <c:v>6.4646376575395501E-2</c:v>
                </c:pt>
                <c:pt idx="10">
                  <c:v>8.3522915837170891E-2</c:v>
                </c:pt>
                <c:pt idx="11">
                  <c:v>0.13074083416947649</c:v>
                </c:pt>
                <c:pt idx="12">
                  <c:v>7.7709273461120304E-2</c:v>
                </c:pt>
                <c:pt idx="13">
                  <c:v>8.8493879253323623E-2</c:v>
                </c:pt>
                <c:pt idx="14">
                  <c:v>9.8218958702364564E-2</c:v>
                </c:pt>
                <c:pt idx="15">
                  <c:v>7.8341199660215785E-2</c:v>
                </c:pt>
                <c:pt idx="16">
                  <c:v>7.7645377206850441E-2</c:v>
                </c:pt>
                <c:pt idx="17">
                  <c:v>0.11746405068570739</c:v>
                </c:pt>
                <c:pt idx="18">
                  <c:v>8.1333230459273001E-2</c:v>
                </c:pt>
                <c:pt idx="19">
                  <c:v>7.8373842524675205E-2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EB-4AF7-A066-6A1A3BE056BF}"/>
            </c:ext>
          </c:extLst>
        </c:ser>
        <c:ser>
          <c:idx val="1"/>
          <c:order val="1"/>
          <c:tx>
            <c:strRef>
              <c:f>Charts!$B$19</c:f>
              <c:strCache>
                <c:ptCount val="1"/>
                <c:pt idx="0">
                  <c:v>RONTA</c:v>
                </c:pt>
              </c:strCache>
            </c:strRef>
          </c:tx>
          <c:spPr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Charts!$C$19:$V$19</c:f>
              <c:numCache>
                <c:formatCode>0.0%;\(0.0%\);\-</c:formatCode>
                <c:ptCount val="20"/>
                <c:pt idx="0">
                  <c:v>0.15775686101785949</c:v>
                </c:pt>
                <c:pt idx="1">
                  <c:v>0.16330395128793587</c:v>
                </c:pt>
                <c:pt idx="2">
                  <c:v>0.10230040503111822</c:v>
                </c:pt>
                <c:pt idx="3">
                  <c:v>5.7879714935246941E-2</c:v>
                </c:pt>
                <c:pt idx="4">
                  <c:v>6.5503104987585575E-2</c:v>
                </c:pt>
                <c:pt idx="5">
                  <c:v>5.619788235350321E-2</c:v>
                </c:pt>
                <c:pt idx="6">
                  <c:v>5.5462960652888055E-2</c:v>
                </c:pt>
                <c:pt idx="7">
                  <c:v>6.6682736872343593E-2</c:v>
                </c:pt>
                <c:pt idx="8">
                  <c:v>3.9851224458555365E-2</c:v>
                </c:pt>
                <c:pt idx="9">
                  <c:v>7.8859899247304355E-2</c:v>
                </c:pt>
                <c:pt idx="10">
                  <c:v>0.10256416048000294</c:v>
                </c:pt>
                <c:pt idx="11">
                  <c:v>0.12853746067445987</c:v>
                </c:pt>
                <c:pt idx="12">
                  <c:v>9.9709943626846168E-2</c:v>
                </c:pt>
                <c:pt idx="13">
                  <c:v>0.10627787774494643</c:v>
                </c:pt>
                <c:pt idx="14">
                  <c:v>0.11402700481071498</c:v>
                </c:pt>
                <c:pt idx="15">
                  <c:v>9.817452396578083E-2</c:v>
                </c:pt>
                <c:pt idx="16">
                  <c:v>9.5704037754699822E-2</c:v>
                </c:pt>
                <c:pt idx="17">
                  <c:v>0.12709607767212977</c:v>
                </c:pt>
                <c:pt idx="18">
                  <c:v>9.034975272189151E-2</c:v>
                </c:pt>
                <c:pt idx="19">
                  <c:v>8.7006175285143678E-2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2EB-4AF7-A066-6A1A3BE056BF}"/>
            </c:ext>
          </c:extLst>
        </c:ser>
        <c:ser>
          <c:idx val="2"/>
          <c:order val="2"/>
          <c:tx>
            <c:strRef>
              <c:f>Charts!$B$20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Charts!$C$20:$V$20</c:f>
              <c:numCache>
                <c:formatCode>0.0%;\(0.0%\);\-</c:formatCode>
                <c:ptCount val="20"/>
                <c:pt idx="0">
                  <c:v>0.24247643219724438</c:v>
                </c:pt>
                <c:pt idx="1">
                  <c:v>0.26759095645870146</c:v>
                </c:pt>
                <c:pt idx="2">
                  <c:v>0.2347530776850148</c:v>
                </c:pt>
                <c:pt idx="3">
                  <c:v>0.21384940678961592</c:v>
                </c:pt>
                <c:pt idx="4">
                  <c:v>0.21016321723035505</c:v>
                </c:pt>
                <c:pt idx="5">
                  <c:v>0.19598576346344593</c:v>
                </c:pt>
                <c:pt idx="6">
                  <c:v>0.16190616411464467</c:v>
                </c:pt>
                <c:pt idx="7">
                  <c:v>0.18102528415680819</c:v>
                </c:pt>
                <c:pt idx="8">
                  <c:v>0.18154158215010149</c:v>
                </c:pt>
                <c:pt idx="9">
                  <c:v>0.21660639620296074</c:v>
                </c:pt>
                <c:pt idx="10">
                  <c:v>0.25442547397088083</c:v>
                </c:pt>
                <c:pt idx="11">
                  <c:v>0.25327819245511402</c:v>
                </c:pt>
                <c:pt idx="12">
                  <c:v>0.26006034024736913</c:v>
                </c:pt>
                <c:pt idx="13">
                  <c:v>0.26472316039887761</c:v>
                </c:pt>
                <c:pt idx="14">
                  <c:v>0.29446711346962934</c:v>
                </c:pt>
                <c:pt idx="15">
                  <c:v>0.282323605467307</c:v>
                </c:pt>
                <c:pt idx="16">
                  <c:v>0.25975944292044745</c:v>
                </c:pt>
                <c:pt idx="17">
                  <c:v>0.31394971374608976</c:v>
                </c:pt>
                <c:pt idx="18">
                  <c:v>0.31609547123623011</c:v>
                </c:pt>
                <c:pt idx="19">
                  <c:v>0.33577235772357722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2EB-4AF7-A066-6A1A3BE056BF}"/>
            </c:ext>
          </c:extLst>
        </c:ser>
        <c:ser>
          <c:idx val="3"/>
          <c:order val="3"/>
          <c:tx>
            <c:strRef>
              <c:f>Charts!$B$21</c:f>
              <c:strCache>
                <c:ptCount val="1"/>
                <c:pt idx="0">
                  <c:v>FCF margin %</c:v>
                </c:pt>
              </c:strCache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Charts!$C$21:$V$21</c:f>
              <c:numCache>
                <c:formatCode>0.0%;\(0.0%\);\-</c:formatCode>
                <c:ptCount val="20"/>
                <c:pt idx="0">
                  <c:v>3.2730239303843368E-2</c:v>
                </c:pt>
                <c:pt idx="1">
                  <c:v>5.9193058764895105E-2</c:v>
                </c:pt>
                <c:pt idx="2">
                  <c:v>4.1218810433470136E-2</c:v>
                </c:pt>
                <c:pt idx="3">
                  <c:v>0.10521437801010221</c:v>
                </c:pt>
                <c:pt idx="4">
                  <c:v>7.5097874249817703E-2</c:v>
                </c:pt>
                <c:pt idx="5">
                  <c:v>6.0523367757745486E-2</c:v>
                </c:pt>
                <c:pt idx="6">
                  <c:v>3.5171770710639969E-2</c:v>
                </c:pt>
                <c:pt idx="7">
                  <c:v>7.1314312224541876E-2</c:v>
                </c:pt>
                <c:pt idx="8">
                  <c:v>5.0532454361054774E-2</c:v>
                </c:pt>
                <c:pt idx="9">
                  <c:v>7.201915470674651E-2</c:v>
                </c:pt>
                <c:pt idx="10">
                  <c:v>7.6303288991306159E-2</c:v>
                </c:pt>
                <c:pt idx="11">
                  <c:v>6.2425105910833181E-2</c:v>
                </c:pt>
                <c:pt idx="12">
                  <c:v>7.7562074941126435E-2</c:v>
                </c:pt>
                <c:pt idx="13">
                  <c:v>0.12082468013955398</c:v>
                </c:pt>
                <c:pt idx="14">
                  <c:v>0.14596503097317065</c:v>
                </c:pt>
                <c:pt idx="15">
                  <c:v>0.13199113409678612</c:v>
                </c:pt>
                <c:pt idx="16">
                  <c:v>8.268540912558639E-2</c:v>
                </c:pt>
                <c:pt idx="17">
                  <c:v>0.12956678274213543</c:v>
                </c:pt>
                <c:pt idx="18">
                  <c:v>9.2411260709914317E-2</c:v>
                </c:pt>
                <c:pt idx="19">
                  <c:v>0.15902439024390244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2EB-4AF7-A066-6A1A3BE0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004353"/>
        <c:axId val="61682655"/>
      </c:lineChart>
      <c:catAx>
        <c:axId val="27004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2655"/>
        <c:crosses val="autoZero"/>
        <c:auto val="1"/>
        <c:lblAlgn val="ctr"/>
        <c:lblOffset val="100"/>
        <c:noMultiLvlLbl val="0"/>
      </c:catAx>
      <c:valAx>
        <c:axId val="6168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0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omments/comment1.xml><?xml version="1.0" encoding="utf-8"?>
<comments xmlns="http://schemas.openxmlformats.org/spreadsheetml/2006/main">
  <authors>
    <author>WAB model</author>
  </authors>
  <commentList>
    <comment ref="CF2" authorId="0" shapeId="0">
      <text>
        <t>Scenario toggle. Choose Bull / Base / Bear. Drives: FY26 sales and adjusted-EPS outlook end-points (high / mid / low), 2H/26 buybacks, 2027E–2030E product-line growth and segment adjusted margins, M&amp;A spend and the leverage floor for 2027E+ buybacks (scenario table CN:CR).</t>
      </text>
    </comment>
    <comment ref="B11" authorId="0" shapeId="0">
      <text>
        <t>Source: Wabtec earnings releases (Form 8-K Ex. 99.1) — backlog table (12-month / total by segment); 10-K Item 1 backlog for 2006–2016 year ends.</t>
      </text>
    </comment>
    <comment ref="B14" authorId="0" shapeId="0">
      <text>
        <t>Source: Wabtec earnings releases (Form 8-K Ex. 99.1) — Appendix "Sales by Product Line" (from 2019; 2019 Q1–Q3 on the Q4-19 recast basis).</t>
      </text>
    </comment>
    <comment ref="B27" authorId="0" shapeId="0">
      <text>
        <t>Source: Wabtec earnings releases (Form 8-K Ex. 99.1) — segment table; FY2006–12 from the 10-K segment note. Freight Group / Transit Group to 2018.</t>
      </text>
    </comment>
    <comment ref="B31" authorId="0" shapeId="0">
      <text>
        <t>Source: Wabtec earnings releases (Form 8-K Ex. 99.1) — Appendix "Reconciliation of Reported Results to Adjusted Results — by Segment" (from 2020; 2019 margins only).</t>
      </text>
    </comment>
    <comment ref="B65" authorId="0" shapeId="0">
      <text>
        <t>Source: Wabtec earnings releases (Form 8-K Ex. 99.1) — Appendix "Reconciliation of Changes in Net Sales" (2019+); 10-Q / 10-K MD&amp;A sales-change tables before.</t>
      </text>
    </comment>
    <comment ref="B125" authorId="0" shapeId="0">
      <text>
        <t>Source: 10-K note "Sales by product" (pre-2019 categories), as originally reported.</t>
      </text>
    </comment>
    <comment ref="B142" authorId="0" shapeId="0">
      <text>
        <t>Source: Condensed Consolidated Statements of Income (release Appendix A; 10-K for FY2006–12).</t>
      </text>
    </comment>
    <comment ref="B164" authorId="0" shapeId="0">
      <text>
        <t>Source: EBITDA reconciliation (release appendix) where published, otherwise the cash-flow statement.</t>
      </text>
    </comment>
    <comment ref="B173" authorId="0" shapeId="0">
      <text>
        <t>Source: releases / 10-Q / 10-K (split-adjusted: 2-for-1 split June 2013).</t>
      </text>
    </comment>
    <comment ref="B187" authorId="0" shapeId="0">
      <text>
        <t>Source: Wabtec earnings releases (Form 8-K Ex. 99.1) — Appendix "EBITDA Reconciliation" (published from 2019).</t>
      </text>
    </comment>
    <comment ref="AN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AO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AP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AQ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AR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BF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BG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BH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BI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BJ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BK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BL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BM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BN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BO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BP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BQ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BR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BS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BT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BU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BV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BW192" authorId="0" shapeId="0">
      <text>
        <t>Company Adjusted EBITDA add-back less restructuring / inventory step-up / transaction items in the Reported→Adjusted table (e.g. 2019 one-time PPA &amp; policy harmonization; 2022–24 EBITDA add-back differs from the adjusted-results restructuring row).</t>
      </text>
    </comment>
    <comment ref="AN198" authorId="0" shapeId="0">
      <text>
        <t>Q1–Q4 2019 as originally reported (merger basis). Later releases restated 2019 on the 2020 definition.</t>
      </text>
    </comment>
    <comment ref="AF213" authorId="0" shapeId="0">
      <text>
        <t>Company wording (Reported → Adjusted, income from operations column): Integration &amp; Restructuring costs: 5.9 | Contract Adjustments: 20.4</t>
      </text>
    </comment>
    <comment ref="AG213" authorId="0" shapeId="0">
      <text>
        <t>Company wording (Reported → Adjusted, income from operations column): Integration &amp; Restructuring costs: 17.7 | Contract Adjustments: 24.1</t>
      </text>
    </comment>
    <comment ref="AH213" authorId="0" shapeId="0">
      <text>
        <t>Company wording (Reported → Adjusted, income from operations column): Integration &amp; Restructuring costs: 41.5 | Contract Adjustments: 44.5</t>
      </text>
    </comment>
    <comment ref="AJ213" authorId="0" shapeId="0">
      <text>
        <t>Company wording (Reported → Adjusted, income from operations column): Restructuring costs add-back: 3.8 | GE transaction costs: 9.2 | India Goods and Service tax law change: 4.0</t>
      </text>
    </comment>
    <comment ref="AK213" authorId="0" shapeId="0">
      <text>
        <t>Company wording (Reported → Adjusted, income from operations column): Restructuring cost add-back: 2.4 | GE transaction costs: 7.2 | India GST costs: 0.8</t>
      </text>
    </comment>
    <comment ref="AL213" authorId="0" shapeId="0">
      <text>
        <t>Company wording (Reported → Adjusted, income from operations column): Restructuring Costs: 31.1 | GE Transaction Related Costs: 6.9 | India GST Costs: 2.4 | Litigation Settlement: 6.7</t>
      </text>
    </comment>
    <comment ref="AM213" authorId="0" shapeId="0">
      <text>
        <t>Company wording (Reported → Adjusted, income from operations column): Restructuring Costs: 37.9 | GE Transaction Related Costs: 23.3 | India GST Costs: 7.2 | Litigation Settlement: 6.7</t>
      </text>
    </comment>
    <comment ref="AN213" authorId="0" shapeId="0">
      <text>
        <t>Company wording (Reported → Adjusted, income from operations column): Transaction and Restructuring Costs: 58.9 | One-time PPA Charges: 80.0 | Policy Harmonization: 14.0</t>
      </text>
    </comment>
    <comment ref="AO213" authorId="0" shapeId="0">
      <text>
        <t>Company wording (Reported → Adjusted, income from operations column): Restructuring &amp; Transaction costs: 31.4 | One-time PPA: 89.0 | Policy Harmonization: -1.0</t>
      </text>
    </comment>
    <comment ref="AP213" authorId="0" shapeId="0">
      <text>
        <t>Company wording (Reported → Adjusted, income from operations column): Restructuring, Transaction, &amp; Litigation costs: 68.5 | One-time PPA: 16.0 | Policy Harmonization: 63.0</t>
      </text>
    </comment>
    <comment ref="AQ213" authorId="0" shapeId="0">
      <text>
        <t>Company wording (Reported → Adjusted, income from operations column): Restructuring, Transaction, &amp; Litigation costs: 71.0 | Policy Harmonization: 15.6</t>
      </text>
    </comment>
    <comment ref="AR213" authorId="0" shapeId="0">
      <text>
        <t>Company wording (Reported → Adjusted, income from operations column): Restructuring, Transaction, &amp; Litigation costs: 229.8 | One-time PPA: 185.0 | Policy Harmonization: 91.6</t>
      </text>
    </comment>
    <comment ref="AS213" authorId="0" shapeId="0">
      <text>
        <t>Company wording (Reported → Adjusted, income from operations column): Restructuring &amp; Transaction costs: 16.9 | Non-cash Amortization expense: 69.0</t>
      </text>
    </comment>
    <comment ref="AT213" authorId="0" shapeId="0">
      <text>
        <t>Company wording (Reported → Adjusted, income from operations column): Restructuring &amp; Transaction costs: 30.6 | Non-cash Amortization expense: 72.3</t>
      </text>
    </comment>
    <comment ref="AU213" authorId="0" shapeId="0">
      <text>
        <t>Company wording (Reported → Adjusted, income from operations column): Restructuring &amp; Transaction costs: 16.4 | Non-cash Amortization expense: 70.3</t>
      </text>
    </comment>
    <comment ref="AV213" authorId="0" shapeId="0">
      <text>
        <t>Company wording (Reported → Adjusted, income from operations column): Restructuring &amp; Transaction costs: 51.4 | Non-cash Amortization expense: 70.8</t>
      </text>
    </comment>
    <comment ref="AW213" authorId="0" shapeId="0">
      <text>
        <t>Company wording (Reported → Adjusted, income from operations column): Restructuring &amp; Transaction costs: 115.3 | Non-cash Amortization expense: 282.4</t>
      </text>
    </comment>
    <comment ref="AX213" authorId="0" shapeId="0">
      <text>
        <t>Company wording (Reported → Adjusted, income from operations column): Restructuring &amp; Transaction costs: 15.5 | Non-cash Amortization expense: 69.5</t>
      </text>
    </comment>
    <comment ref="AY213" authorId="0" shapeId="0">
      <text>
        <t>Company wording (Reported → Adjusted, income from operations column): Restructuring &amp; Transaction costs: 29.6 | Non-cash Amortization expense: 72.7</t>
      </text>
    </comment>
    <comment ref="AZ213" authorId="0" shapeId="0">
      <text>
        <t>Company wording (Reported → Adjusted, income from operations column): Restructuring &amp; Transaction costs: 35.1 | Non-cash Amortization expense: 72.5</t>
      </text>
    </comment>
    <comment ref="BA213" authorId="0" shapeId="0">
      <text>
        <t>Company wording (Reported → Adjusted, income from operations column): Restructuring &amp; Transaction costs: -2 | Non-cash Amortization expense: 72</t>
      </text>
    </comment>
    <comment ref="BB213" authorId="0" shapeId="0">
      <text>
        <t>Company wording (Reported → Adjusted, income from operations column): Restructuring &amp; Transaction costs: 78 | Non-cash Amortization expense: 287</t>
      </text>
    </comment>
    <comment ref="BC213" authorId="0" shapeId="0">
      <text>
        <t>Company wording (Reported → Adjusted, income from operations column): Restructuring &amp; Transaction costs: 7 | Non-cash Amortization expense: 73</t>
      </text>
    </comment>
    <comment ref="BD213" authorId="0" shapeId="0">
      <text>
        <t>Company wording (Reported → Adjusted, income from operations column): Restructuring &amp; Transaction costs: 4 | Non-cash Amortization expense: 72</t>
      </text>
    </comment>
    <comment ref="BE213" authorId="0" shapeId="0">
      <text>
        <t>Company wording (Reported → Adjusted, income from operations column): Restructuring &amp; Transaction costs: 9 | Non-cash Amortization expense: 73</t>
      </text>
    </comment>
    <comment ref="BF213" authorId="0" shapeId="0">
      <text>
        <t>Company wording (Reported → Adjusted, income from operations column): Restructuring costs: 32 | Non-cash Amortization expense: 73</t>
      </text>
    </comment>
    <comment ref="BG213" authorId="0" shapeId="0">
      <text>
        <t>Company wording (Reported → Adjusted, income from operations column): Restructuring costs: 52 | Non-cash Amortization expense: 291</t>
      </text>
    </comment>
    <comment ref="BH213" authorId="0" shapeId="0">
      <text>
        <t>Company wording (Reported → Adjusted, income from operations column): Restructuring costs: 9.0 | Non-cash Amortization expense: 75.0</t>
      </text>
    </comment>
    <comment ref="BI213" authorId="0" shapeId="0">
      <text>
        <t>Company wording (Reported → Adjusted, income from operations column): Restructuring costs: 10.0 | Non-cash Amortization expense: 73.0</t>
      </text>
    </comment>
    <comment ref="BJ213" authorId="0" shapeId="0">
      <text>
        <t>Company wording (Reported → Adjusted, income from operations column): Restructuring costs: 13.0 | Non-cash Amortization expense: 74.0</t>
      </text>
    </comment>
    <comment ref="BK213" authorId="0" shapeId="0">
      <text>
        <t>Company wording (Reported → Adjusted, income from operations column): Restructuring and Portfolio Optimization costs: 47.0 | Non-cash Amortization expense: 76.0</t>
      </text>
    </comment>
    <comment ref="BL213" authorId="0" shapeId="0">
      <text>
        <t>Company wording (Reported → Adjusted, income from operations column): Restructuring and Portfolio Optimization costs: 79.0 | Non-cash Amortization expense: 298.0</t>
      </text>
    </comment>
    <comment ref="BM213" authorId="0" shapeId="0">
      <text>
        <t>Company wording (Reported → Adjusted, income from operations column): Restructuring and Portfolio Optimization costs: 10.0 | Non-cash Amortization expense: 73.0</t>
      </text>
    </comment>
    <comment ref="BN213" authorId="0" shapeId="0">
      <text>
        <t>Company wording (Reported → Adjusted, income from operations column): Restructuring and Portfolio Optimization costs: 10.0 | Non-cash Amortization expense: 70.0</t>
      </text>
    </comment>
    <comment ref="BO213" authorId="0" shapeId="0">
      <text>
        <t>Company wording (Reported → Adjusted, income from operations column): Restructuring and Portfolio Optimization costs: 18.0 | Non-cash Amortization expense: 73.0</t>
      </text>
    </comment>
    <comment ref="BP213" authorId="0" shapeId="0">
      <text>
        <t>Company wording (Reported → Adjusted, income from operations column): Restructuring and Portfolio Optimization costs: 32.0 | Non-cash Amortization expense: 72.0</t>
      </text>
    </comment>
    <comment ref="BQ213" authorId="0" shapeId="0">
      <text>
        <t>Company wording (Reported → Adjusted, income from operations column): Restructuring and Portfolio Optimization costs: 70.0 | Non-cash Amortization expense: 288.0</t>
      </text>
    </comment>
    <comment ref="BR213" authorId="0" shapeId="0">
      <text>
        <t>Company wording (Reported → Adjusted, income from operations column): Restructuring and Portfolio Optimization costs: 9.0 | Transaction costs: 10.0 | Non-cash Amortization expense: 72.0</t>
      </text>
    </comment>
    <comment ref="BS213" authorId="0" shapeId="0">
      <text>
        <t>Company wording (Reported → Adjusted, income from operations column): Restructuring and Portfolio Optimization costs: 6.0 | Transaction costs: 25.0 | Non-cash Amortization expense: 69.0</t>
      </text>
    </comment>
    <comment ref="BT213" authorId="0" shapeId="0">
      <text>
        <t>Company wording (Reported → Adjusted, income from operations column): Restructuring and Portfolio Optimization costs: 6.0 | Inventory Purchase Accounting charge: 24.0 | Transaction costs: 9.0 | Non-cash Amortization expense: 77.0</t>
      </text>
    </comment>
    <comment ref="BU213" authorId="0" shapeId="0">
      <text>
        <t>Company wording (Reported → Adjusted, income from operations column): Restructuring and Portfolio Optimization costs: 55.0 | Inventory Purchase Accounting charge: 29.0 | Transaction costs: 5.0 | Non-cash Amortization expense: 78.0</t>
      </text>
    </comment>
    <comment ref="BV213" authorId="0" shapeId="0">
      <text>
        <t>Company wording (Reported → Adjusted, income from operations column): Restructuring and Portfolio Optimization costs: 76.0 | Inventory Purchase Accounting charge: 53.0 | Transaction costs: 49.0 | Non-cash Amortization expense: 296.0</t>
      </text>
    </comment>
    <comment ref="BW213" authorId="0" shapeId="0">
      <text>
        <t>Company wording (Reported → Adjusted, income from operations column): Restructuring and Portfolio Optimization costs: 5.0 | Inventory Purchase Accounting charge: 23.0 | Transaction costs: 13.0 | Non-cash Amortization expense: 87.0</t>
      </text>
    </comment>
    <comment ref="BX213" authorId="0" shapeId="0">
      <text>
        <t>Company wording (Reported → Adjusted, income from operations column): Inventory Purchase Accounting charge: 5.0 | Transaction costs: 1.0 | Non-cash Amortization expense: 91.0</t>
      </text>
    </comment>
    <comment ref="B216" authorId="0" shapeId="0">
      <text>
        <t>Source: Wabtec earnings releases (Form 8-K Ex. 99.1) — Appendix "Reconciliation of Reported Results to Adjusted Results" (income from operations column); Q3-16 narrative.</t>
      </text>
    </comment>
    <comment ref="AN218" authorId="0" shapeId="0">
      <text>
        <t>As originally reported. The 2020 releases restated FY2019 adjusted EPS to $4.86 (vs $4.17) on the new basis.</t>
      </text>
    </comment>
    <comment ref="AF227" authorId="0" shapeId="0">
      <text>
        <t>Tax / NCI-only rows in the company table: Tax on Opening Balance Sheet Adjustments: tax 0.5, NCI 0.0</t>
      </text>
    </comment>
    <comment ref="AG227" authorId="0" shapeId="0">
      <text>
        <t>Tax / NCI-only rows in the company table: Q4 Non-recurring Tax Adjustments: tax 7.9, NCI 0.0</t>
      </text>
    </comment>
    <comment ref="AH227" authorId="0" shapeId="0">
      <text>
        <t>Tax / NCI-only rows in the company table: Tax on Opening Balance Sheet Adjustments: tax 3.0, NCI 0.0 | Q4 Non-recurring Tax Adjustments: tax 7.9, NCI 0.0 | Noncontrolling Interest Adjustment: tax 0.0, NCI -1.9</t>
      </text>
    </comment>
    <comment ref="AJ227" authorId="0" shapeId="0">
      <text>
        <t>Tax / NCI-only rows in the company table: Tax adjustment related to 2017 U.S. tax law change: tax -13.0, NCI 0.0</t>
      </text>
    </comment>
    <comment ref="AK227" authorId="0" shapeId="0">
      <text>
        <t>Tax / NCI-only rows in the company table: Tax adjustment related to 2017 U.S. tax law change: tax -6.5, NCI 0.0</t>
      </text>
    </comment>
    <comment ref="AL227" authorId="0" shapeId="0">
      <text>
        <t>Tax / NCI-only rows in the company table: UK Pension Settlement: tax -0.5, NCI 0.0</t>
      </text>
    </comment>
    <comment ref="AM227" authorId="0" shapeId="0">
      <text>
        <t>Tax / NCI-only rows in the company table: Tax adjustment related to 2017 U.S. tax law change: tax -19.5, NCI 0.0 | UK Pension Settlement: tax -0.5, NCI 0.0</t>
      </text>
    </comment>
    <comment ref="AN227" authorId="0" shapeId="0">
      <text>
        <t>Tax / NCI-only rows in the company table: Tax Adjustment on Transaction Costs: tax 18.0, NCI 0.0</t>
      </text>
    </comment>
    <comment ref="AO227" authorId="0" shapeId="0">
      <text>
        <t>Tax / NCI-only rows in the company table: Tax on Transaction Costs: tax 5.7, NCI 0.0</t>
      </text>
    </comment>
    <comment ref="AP227" authorId="0" shapeId="0">
      <text>
        <t>Tax / NCI-only rows in the company table: Tax on Transaction Costs: tax -7.7, NCI 0.0</t>
      </text>
    </comment>
    <comment ref="AQ227" authorId="0" shapeId="0">
      <text>
        <t>Tax / NCI-only rows in the company table: Tax on Transaction Costs: tax -3.5, NCI 0.0</t>
      </text>
    </comment>
    <comment ref="AR227" authorId="0" shapeId="0">
      <text>
        <t>Tax / NCI-only rows in the company table: Tax on Transaction Costs: tax 12.5, NCI 0.0</t>
      </text>
    </comment>
    <comment ref="AS227" authorId="0" shapeId="0">
      <text>
        <t>Tax / NCI-only rows in the company table: Foreign Exchange Loss: tax -3.5, NCI 0.0</t>
      </text>
    </comment>
    <comment ref="AT227" authorId="0" shapeId="0">
      <text>
        <t>Tax / NCI-only rows in the company table: Foreign Exchange Loss: tax -0.1, NCI 0.0</t>
      </text>
    </comment>
    <comment ref="AU227" authorId="0" shapeId="0">
      <text>
        <t>Tax / NCI-only rows in the company table: Foreign Currency and Interest Gain: tax 3.4, NCI 0.0</t>
      </text>
    </comment>
    <comment ref="AV227" authorId="0" shapeId="0">
      <text>
        <t>Tax / NCI-only rows in the company table: Foreign Currency Loss: tax -0.2, NCI 0.0 | Tax on Transaction Costs: tax 5.7, NCI 0.0</t>
      </text>
    </comment>
    <comment ref="AW227" authorId="0" shapeId="0">
      <text>
        <t>Tax / NCI-only rows in the company table: Foreign Exchange Loss: tax -2.1, NCI 0.0 | Tax on Transaction Costs: tax 5.7, NCI 0.0</t>
      </text>
    </comment>
    <comment ref="AX227" authorId="0" shapeId="0">
      <text>
        <t>Tax / NCI-only rows in the company table: Foreign Exchange Gain: tax 2.4, NCI 0</t>
      </text>
    </comment>
    <comment ref="AY227" authorId="0" shapeId="0">
      <text>
        <t>Tax / NCI-only rows in the company table: Foreign Exchange Gain: tax 0.6, NCI 0</t>
      </text>
    </comment>
    <comment ref="AZ227" authorId="0" shapeId="0">
      <text>
        <t>Tax / NCI-only rows in the company table: Foreign Exchange Gain: tax -0.9, NCI 0</t>
      </text>
    </comment>
    <comment ref="BA227" authorId="0" shapeId="0">
      <text>
        <t>Tax / NCI-only rows in the company table: Amended Return, net: tax -25, NCI 0</t>
      </text>
    </comment>
    <comment ref="BB227" authorId="0" shapeId="0">
      <text>
        <t>Tax / NCI-only rows in the company table: Foreign Currency Loss: tax 2, NCI 0 | Amended Return, net: tax -25, NCI 0</t>
      </text>
    </comment>
    <comment ref="C228" authorId="0" shapeId="0">
      <text>
        <t>Company per-share bridge ($/share, split-adjusted): Q4 net tax benefit (primarily reduction in valuation allowance on NOL carryforwards): -0.04 | Restructuring charge (third quarter 2006): 0.045</t>
      </text>
    </comment>
    <comment ref="H228" authorId="0" shapeId="0">
      <text>
        <t>Company per-share bridge ($/share, split-adjusted): Charge for a court ruling (Q2-11): 0.125 | Benefit for an acquisition settlement (Q2-11): -0.015 | Tax benefit (Q2-11): -0.015</t>
      </text>
    </comment>
    <comment ref="M228" authorId="0" shapeId="0">
      <text>
        <t>Company per-share bridge ($/share, split-adjusted): after-tax expenses, primarily restructuring actions ($3.8m pre-tax): 0.03</t>
      </text>
    </comment>
    <comment ref="V228" authorId="0" shapeId="0">
      <text>
        <t>Company per-share bridge ($/share, split-adjusted): Expenses related to the planned acquisition of Faiveley Transport (about, per diluted share): 0.02</t>
      </text>
    </comment>
    <comment ref="Y228" authorId="0" shapeId="0">
      <text>
        <t>Company per-share bridge ($/share, split-adjusted): Expenses related to the pending acquisition of Faiveley Transport (about): 0.03</t>
      </text>
    </comment>
    <comment ref="Z228" authorId="0" shapeId="0">
      <text>
        <t>Company per-share bridge ($/share, split-adjusted): Expenses related to the pending acquisition of Faiveley Transport (about): 0.05</t>
      </text>
    </comment>
    <comment ref="AA228" authorId="0" shapeId="0">
      <text>
        <t>Company per-share bridge ($/share, split-adjusted): Faiveley Transport acquisition expenses (about): 0.03</t>
      </text>
    </comment>
    <comment ref="AB228" authorId="0" shapeId="0">
      <text>
        <t>Company per-share bridge ($/share, split-adjusted): Faiveley transaction expenses (~$26m), contract adjustments &amp; restructuring (~$15m), debt refinancing / pre-closing interest (~$22m), Faiveley tax items (net benefit ~$18m) and $9m Faiveley non-controlling interest expense - combined effect as stated: 0.39</t>
      </text>
    </comment>
    <comment ref="AC228" authorId="0" shapeId="0">
      <text>
        <t>Company per-share bridge ($/share, split-adjusted): Faiveley transaction expenses (~$39m), contract adjustments &amp; restructuring (~$16m), debt refinancing / pre-closing interest (~$24m), Faiveley Q4 tax items (net benefit ~$18m) and $9m Faiveley NCI expense - combined effect as stated: 0.51</t>
      </text>
    </comment>
    <comment ref="AD228" authorId="0" shapeId="0">
      <text>
        <t>Company per-share bridge ($/share, split-adjusted): Net effect of restructuring and transaction expenses, tax adjustment and non-controlling interest related to the Faiveley acquisition: 0.07</t>
      </text>
    </comment>
    <comment ref="AE228" authorId="0" shapeId="0">
      <text>
        <t>Company per-share bridge ($/share, split-adjusted): Net effect of restructuring and transaction expenses and the interest expense benefit: 0.05</t>
      </text>
    </comment>
    <comment ref="B233" authorId="0" shapeId="0">
      <text>
        <t>Source: Wabtec earnings releases (Form 8-K Ex. 99.1) — adjusted diluted EPS as published (table bridges from Q4-17; narrative per-share bridges: FY2006, Q4-09, FY2011, Q1–Q2-16, Q3-16).</t>
      </text>
    </comment>
    <comment ref="B259" authorId="0" shapeId="0">
      <text>
        <t>Source: Consolidated Statements of Cash Flows (10-K / 10-Q year-to-date; discrete quarters derived; Q4 = FY − 9M).</t>
      </text>
    </comment>
    <comment ref="B307" authorId="0" shapeId="0">
      <text>
        <t>Source: Consolidated Balance Sheets (10-K / 10-Q).</t>
      </text>
    </comment>
    <comment ref="B361" authorId="0" shapeId="0">
      <text>
        <t>Source: 10-K 2025 / Q1-26 &amp; Q2-26 10-Q Note 3 Acquisitions (latest purchase-price allocation; Frauscher &amp; Dellner preliminary).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N26" authorId="0" shapeId="0">
      <text>
        <t>P/E on adjusted EPS (continuing operations). MLM has traded at ~25–35x NTM EPS over 2019–26 (≈28x 2027E adjusted EPS at $518.70). Base 26x, Bull 30x, Bear 21x applied to 2028E–2030E.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22</row>
      <rowOff>160560</rowOff>
    </from>
    <to>
      <col>12</col>
      <colOff>543600</colOff>
      <row>37</row>
      <rowOff>2160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</col>
      <colOff>0</colOff>
      <row>43</row>
      <rowOff>160560</rowOff>
    </from>
    <to>
      <col>12</col>
      <colOff>543600</colOff>
      <row>58</row>
      <rowOff>1800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</col>
      <colOff>0</colOff>
      <row>64</row>
      <rowOff>160560</rowOff>
    </from>
    <to>
      <col>12</col>
      <colOff>543600</colOff>
      <row>79</row>
      <rowOff>2160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R445"/>
  <sheetViews>
    <sheetView showGridLines="0" tabSelected="1" zoomScale="70" zoomScaleNormal="70" workbookViewId="0">
      <pane xSplit="7" ySplit="7" topLeftCell="H8" activePane="bottomRight" state="frozen"/>
      <selection pane="topRight" activeCell="A1" sqref="A1"/>
      <selection pane="bottomLeft" activeCell="A1" sqref="A1"/>
      <selection pane="bottomRight" activeCell="C1" sqref="C1"/>
      <selection pane="bottomLeft" activeCell="A8" sqref="A8"/>
      <selection pane="bottomRight" activeCell="X421" sqref="X421"/>
    </sheetView>
  </sheetViews>
  <sheetFormatPr baseColWidth="8" defaultColWidth="8.5703125" defaultRowHeight="15" outlineLevelRow="2"/>
  <cols>
    <col width="2.42578125" customWidth="1" min="1" max="1"/>
    <col width="62" customWidth="1" min="2" max="2"/>
    <col width="14.140625" customWidth="1" min="3" max="9"/>
    <col hidden="1" outlineLevel="1" width="9.5703125" customWidth="1" min="10" max="13"/>
    <col collapsed="1" width="14.140625" customWidth="1" min="14" max="14"/>
    <col hidden="1" outlineLevel="1" width="9.5703125" customWidth="1" min="15" max="18"/>
    <col collapsed="1" width="14.140625" customWidth="1" min="19" max="19"/>
    <col hidden="1" outlineLevel="1" width="9.5703125" customWidth="1" min="20" max="23"/>
    <col collapsed="1" width="14.140625" customWidth="1" min="24" max="24"/>
    <col hidden="1" outlineLevel="1" width="9.5703125" customWidth="1" min="25" max="28"/>
    <col collapsed="1" width="14.140625" customWidth="1" min="29" max="29"/>
    <col hidden="1" outlineLevel="1" width="9.5703125" customWidth="1" min="30" max="33"/>
    <col collapsed="1" width="14.140625" customWidth="1" min="34" max="34"/>
    <col hidden="1" outlineLevel="1" width="9.5703125" customWidth="1" min="35" max="38"/>
    <col collapsed="1" width="14.140625" customWidth="1" min="39" max="39"/>
    <col hidden="1" outlineLevel="1" width="9.5703125" customWidth="1" min="40" max="43"/>
    <col collapsed="1" width="14.140625" customWidth="1" min="44" max="44"/>
    <col hidden="1" outlineLevel="1" width="9.5703125" customWidth="1" min="45" max="48"/>
    <col collapsed="1" width="14.140625" customWidth="1" min="49" max="49"/>
    <col hidden="1" outlineLevel="1" width="9.5703125" customWidth="1" min="50" max="53"/>
    <col collapsed="1" width="14.140625" customWidth="1" min="54" max="54"/>
    <col hidden="1" outlineLevel="1" width="9.5703125" customWidth="1" min="55" max="58"/>
    <col collapsed="1" width="14.140625" customWidth="1" min="59" max="59"/>
    <col hidden="1" outlineLevel="1" width="9.5703125" customWidth="1" min="60" max="63"/>
    <col collapsed="1" width="14.140625" customWidth="1" min="64" max="64"/>
    <col hidden="1" outlineLevel="1" width="9.5703125" customWidth="1" min="65" max="68"/>
    <col collapsed="1" width="14.140625" customWidth="1" min="69" max="69"/>
    <col hidden="1" outlineLevel="1" width="9.5703125" customWidth="1" min="70" max="73"/>
    <col collapsed="1" width="14.140625" customWidth="1" min="74" max="74"/>
    <col hidden="1" outlineLevel="1" width="9.5703125" customWidth="1" min="75" max="76"/>
    <col hidden="1" outlineLevel="1" width="11.42578125" customWidth="1" min="77" max="78"/>
    <col collapsed="1" width="14.140625" customWidth="1" min="79" max="79"/>
    <col width="14.140625" customWidth="1" min="80" max="83"/>
    <col width="86.85546875" customWidth="1" min="84" max="84"/>
    <col width="2" customWidth="1" min="85" max="85"/>
    <col width="14.140625" customWidth="1" min="86" max="86"/>
    <col width="12.42578125" customWidth="1" min="87" max="87"/>
    <col width="13.42578125" customWidth="1" min="88" max="89"/>
    <col width="2" customWidth="1" min="90" max="90"/>
    <col width="6" customWidth="1" min="91" max="91"/>
    <col width="46" customWidth="1" min="92" max="92"/>
    <col width="11.5703125" customWidth="1" min="93" max="95"/>
    <col width="60" customWidth="1" min="96" max="96"/>
  </cols>
  <sheetData>
    <row r="1" ht="15" customHeight="1">
      <c r="CF1" s="1" t="inlineStr">
        <is>
          <t>SCENARIO SWITCH ▼ (Bull / Base / Bear) — drives all scenario-linked forecast drivers</t>
        </is>
      </c>
    </row>
    <row r="2" ht="21" customHeight="1">
      <c r="B2" s="2" t="inlineStr">
        <is>
          <t>Westinghouse Air Brake Technologies Corporation (Wabtec, NYSE: WAB) — 3-Statement Financial Model</t>
        </is>
      </c>
      <c r="CF2" s="3" t="inlineStr">
        <is>
          <t>Base</t>
        </is>
      </c>
    </row>
    <row r="3" ht="15" customHeight="1">
      <c r="B3" s="4" t="inlineStr">
        <is>
          <t>US GAAP as reported · USD millions (per-share data in USD; shares in millions, split-adjusted) · Source: Wabtec Forms 10-K / 10-Q and Form 8-K earnings releases (Ex. 99.1) and earnings decks, deal 8-Ks, SEC EDGAR CIK 0000943452 (investor-relations releases are the same documents as filed on EDGAR)</t>
        </is>
      </c>
    </row>
    <row r="4" ht="15" customHeight="1">
      <c r="B4" s="5" t="inlineStr">
        <is>
          <t>Basis notes: calendar fiscal year; all periods as originally reported. 2-for-1 stock split Jun-2013 (earlier shares / per-share data restated). Faiveley Transport from 30-Nov-2016; GE Transportation merger 25-Feb-2019 (segments recast Q4-19; product-line sales from 2019); adjusted results add back non-cash amortization from Q1-20 (2019 merger basis as reported). Inspection Technologies 1-Jul-2025; Frauscher 1-Dec-2025; Dellner Couplers 10-Feb-2026. Cash flow incl. restricted cash from 2018 (ASU 2016-18). Q3/26E–Q4/26E calibrated to FY26 sales and adjusted-EPS guidance.</t>
        </is>
      </c>
    </row>
    <row r="5" ht="15" customHeight="1">
      <c r="BY5" s="6" t="n"/>
      <c r="BZ5" s="6" t="n"/>
      <c r="CA5" s="6" t="n"/>
      <c r="CB5" s="6" t="n"/>
      <c r="CC5" s="6" t="n"/>
      <c r="CD5" s="6" t="n"/>
      <c r="CE5" s="6" t="n"/>
      <c r="CH5" s="7" t="inlineStr">
        <is>
          <t>Forecast</t>
        </is>
      </c>
      <c r="CI5" s="7" t="inlineStr">
        <is>
          <t>Historical</t>
        </is>
      </c>
      <c r="CJ5" s="7" t="inlineStr">
        <is>
          <t>Historical</t>
        </is>
      </c>
      <c r="CK5" s="7" t="inlineStr">
        <is>
          <t>Historical</t>
        </is>
      </c>
    </row>
    <row r="6" ht="15" customHeight="1">
      <c r="B6" s="8" t="inlineStr">
        <is>
          <t>(USDm)</t>
        </is>
      </c>
      <c r="C6" s="9" t="n">
        <v>2006</v>
      </c>
      <c r="D6" s="9" t="n">
        <v>2007</v>
      </c>
      <c r="E6" s="9" t="n">
        <v>2008</v>
      </c>
      <c r="F6" s="9" t="n">
        <v>2009</v>
      </c>
      <c r="G6" s="9" t="n">
        <v>2010</v>
      </c>
      <c r="H6" s="9" t="n">
        <v>2011</v>
      </c>
      <c r="I6" s="9" t="n">
        <v>2012</v>
      </c>
      <c r="J6" s="9" t="inlineStr">
        <is>
          <t>Q1/13</t>
        </is>
      </c>
      <c r="K6" s="9" t="inlineStr">
        <is>
          <t>Q2/13</t>
        </is>
      </c>
      <c r="L6" s="9" t="inlineStr">
        <is>
          <t>Q3/13</t>
        </is>
      </c>
      <c r="M6" s="9" t="inlineStr">
        <is>
          <t>Q4/13</t>
        </is>
      </c>
      <c r="N6" s="9" t="n">
        <v>2013</v>
      </c>
      <c r="O6" s="9" t="inlineStr">
        <is>
          <t>Q1/14</t>
        </is>
      </c>
      <c r="P6" s="9" t="inlineStr">
        <is>
          <t>Q2/14</t>
        </is>
      </c>
      <c r="Q6" s="9" t="inlineStr">
        <is>
          <t>Q3/14</t>
        </is>
      </c>
      <c r="R6" s="9" t="inlineStr">
        <is>
          <t>Q4/14</t>
        </is>
      </c>
      <c r="S6" s="9" t="n">
        <v>2014</v>
      </c>
      <c r="T6" s="9" t="inlineStr">
        <is>
          <t>Q1/15</t>
        </is>
      </c>
      <c r="U6" s="9" t="inlineStr">
        <is>
          <t>Q2/15</t>
        </is>
      </c>
      <c r="V6" s="9" t="inlineStr">
        <is>
          <t>Q3/15</t>
        </is>
      </c>
      <c r="W6" s="9" t="inlineStr">
        <is>
          <t>Q4/15</t>
        </is>
      </c>
      <c r="X6" s="9" t="n">
        <v>2015</v>
      </c>
      <c r="Y6" s="9" t="inlineStr">
        <is>
          <t>Q1/16</t>
        </is>
      </c>
      <c r="Z6" s="9" t="inlineStr">
        <is>
          <t>Q2/16</t>
        </is>
      </c>
      <c r="AA6" s="9" t="inlineStr">
        <is>
          <t>Q3/16</t>
        </is>
      </c>
      <c r="AB6" s="9" t="inlineStr">
        <is>
          <t>Q4/16</t>
        </is>
      </c>
      <c r="AC6" s="9" t="n">
        <v>2016</v>
      </c>
      <c r="AD6" s="9" t="inlineStr">
        <is>
          <t>Q1/17</t>
        </is>
      </c>
      <c r="AE6" s="9" t="inlineStr">
        <is>
          <t>Q2/17</t>
        </is>
      </c>
      <c r="AF6" s="9" t="inlineStr">
        <is>
          <t>Q3/17</t>
        </is>
      </c>
      <c r="AG6" s="9" t="inlineStr">
        <is>
          <t>Q4/17</t>
        </is>
      </c>
      <c r="AH6" s="9" t="n">
        <v>2017</v>
      </c>
      <c r="AI6" s="9" t="inlineStr">
        <is>
          <t>Q1/18</t>
        </is>
      </c>
      <c r="AJ6" s="9" t="inlineStr">
        <is>
          <t>Q2/18</t>
        </is>
      </c>
      <c r="AK6" s="9" t="inlineStr">
        <is>
          <t>Q3/18</t>
        </is>
      </c>
      <c r="AL6" s="9" t="inlineStr">
        <is>
          <t>Q4/18</t>
        </is>
      </c>
      <c r="AM6" s="9" t="n">
        <v>2018</v>
      </c>
      <c r="AN6" s="9" t="inlineStr">
        <is>
          <t>Q1/19</t>
        </is>
      </c>
      <c r="AO6" s="9" t="inlineStr">
        <is>
          <t>Q2/19</t>
        </is>
      </c>
      <c r="AP6" s="9" t="inlineStr">
        <is>
          <t>Q3/19</t>
        </is>
      </c>
      <c r="AQ6" s="9" t="inlineStr">
        <is>
          <t>Q4/19</t>
        </is>
      </c>
      <c r="AR6" s="9" t="n">
        <v>2019</v>
      </c>
      <c r="AS6" s="9" t="inlineStr">
        <is>
          <t>Q1/20</t>
        </is>
      </c>
      <c r="AT6" s="9" t="inlineStr">
        <is>
          <t>Q2/20</t>
        </is>
      </c>
      <c r="AU6" s="9" t="inlineStr">
        <is>
          <t>Q3/20</t>
        </is>
      </c>
      <c r="AV6" s="9" t="inlineStr">
        <is>
          <t>Q4/20</t>
        </is>
      </c>
      <c r="AW6" s="9" t="n">
        <v>2020</v>
      </c>
      <c r="AX6" s="9" t="inlineStr">
        <is>
          <t>Q1/21</t>
        </is>
      </c>
      <c r="AY6" s="9" t="inlineStr">
        <is>
          <t>Q2/21</t>
        </is>
      </c>
      <c r="AZ6" s="9" t="inlineStr">
        <is>
          <t>Q3/21</t>
        </is>
      </c>
      <c r="BA6" s="9" t="inlineStr">
        <is>
          <t>Q4/21</t>
        </is>
      </c>
      <c r="BB6" s="9" t="n">
        <v>2021</v>
      </c>
      <c r="BC6" s="9" t="inlineStr">
        <is>
          <t>Q1/22</t>
        </is>
      </c>
      <c r="BD6" s="9" t="inlineStr">
        <is>
          <t>Q2/22</t>
        </is>
      </c>
      <c r="BE6" s="9" t="inlineStr">
        <is>
          <t>Q3/22</t>
        </is>
      </c>
      <c r="BF6" s="9" t="inlineStr">
        <is>
          <t>Q4/22</t>
        </is>
      </c>
      <c r="BG6" s="9" t="n">
        <v>2022</v>
      </c>
      <c r="BH6" s="9" t="inlineStr">
        <is>
          <t>Q1/23</t>
        </is>
      </c>
      <c r="BI6" s="9" t="inlineStr">
        <is>
          <t>Q2/23</t>
        </is>
      </c>
      <c r="BJ6" s="9" t="inlineStr">
        <is>
          <t>Q3/23</t>
        </is>
      </c>
      <c r="BK6" s="9" t="inlineStr">
        <is>
          <t>Q4/23</t>
        </is>
      </c>
      <c r="BL6" s="9" t="n">
        <v>2023</v>
      </c>
      <c r="BM6" s="9" t="inlineStr">
        <is>
          <t>Q1/24</t>
        </is>
      </c>
      <c r="BN6" s="9" t="inlineStr">
        <is>
          <t>Q2/24</t>
        </is>
      </c>
      <c r="BO6" s="9" t="inlineStr">
        <is>
          <t>Q3/24</t>
        </is>
      </c>
      <c r="BP6" s="9" t="inlineStr">
        <is>
          <t>Q4/24</t>
        </is>
      </c>
      <c r="BQ6" s="9" t="n">
        <v>2024</v>
      </c>
      <c r="BR6" s="9" t="inlineStr">
        <is>
          <t>Q1/25</t>
        </is>
      </c>
      <c r="BS6" s="9" t="inlineStr">
        <is>
          <t>Q2/25</t>
        </is>
      </c>
      <c r="BT6" s="9" t="inlineStr">
        <is>
          <t>Q3/25</t>
        </is>
      </c>
      <c r="BU6" s="9" t="inlineStr">
        <is>
          <t>Q4/25</t>
        </is>
      </c>
      <c r="BV6" s="9" t="n">
        <v>2025</v>
      </c>
      <c r="BW6" s="9" t="inlineStr">
        <is>
          <t>Q1/26</t>
        </is>
      </c>
      <c r="BX6" s="9" t="inlineStr">
        <is>
          <t>Q2/26</t>
        </is>
      </c>
      <c r="BY6" s="9" t="inlineStr">
        <is>
          <t>Q3/26E</t>
        </is>
      </c>
      <c r="BZ6" s="9" t="inlineStr">
        <is>
          <t>Q4/26E</t>
        </is>
      </c>
      <c r="CA6" s="9" t="inlineStr">
        <is>
          <t>2026E</t>
        </is>
      </c>
      <c r="CB6" s="9" t="inlineStr">
        <is>
          <t>2027E</t>
        </is>
      </c>
      <c r="CC6" s="9" t="inlineStr">
        <is>
          <t>2028E</t>
        </is>
      </c>
      <c r="CD6" s="9" t="inlineStr">
        <is>
          <t>2029E</t>
        </is>
      </c>
      <c r="CE6" s="9" t="inlineStr">
        <is>
          <t>2030E</t>
        </is>
      </c>
      <c r="CF6" s="9" t="inlineStr">
        <is>
          <t>Modelling Notes</t>
        </is>
      </c>
      <c r="CH6" s="7" t="inlineStr">
        <is>
          <t>5Y CAGR</t>
        </is>
      </c>
      <c r="CI6" s="7" t="inlineStr">
        <is>
          <t>5Y CAGR</t>
        </is>
      </c>
      <c r="CJ6" s="7" t="inlineStr">
        <is>
          <t>10Y CAGR</t>
        </is>
      </c>
      <c r="CK6" s="7" t="inlineStr">
        <is>
          <t>19Y CAGR</t>
        </is>
      </c>
    </row>
    <row r="7" ht="15" customHeight="1">
      <c r="CH7" s="10" t="inlineStr">
        <is>
          <t>25-'30</t>
        </is>
      </c>
      <c r="CI7" s="10" t="inlineStr">
        <is>
          <t>20-'25</t>
        </is>
      </c>
      <c r="CJ7" s="10" t="inlineStr">
        <is>
          <t>15-'25</t>
        </is>
      </c>
      <c r="CK7" s="10" t="inlineStr">
        <is>
          <t>06-'25</t>
        </is>
      </c>
    </row>
    <row r="8" ht="15" customHeight="1">
      <c r="B8" s="11" t="inlineStr">
        <is>
          <t>PRODUCT-LINE P&amp;L — FREIGHT (SERVICES · EQUIPMENT · COMPONENTS · DIGITAL INTELLIGENCE) · TRANSIT (OE · AFTERMARKET) · BACKLOG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1" t="n"/>
      <c r="BR8" s="11" t="n"/>
      <c r="BS8" s="11" t="n"/>
      <c r="BT8" s="11" t="n"/>
      <c r="BU8" s="11" t="n"/>
      <c r="BV8" s="11" t="n"/>
      <c r="BW8" s="11" t="n"/>
      <c r="BX8" s="11" t="n"/>
      <c r="BY8" s="11" t="n"/>
      <c r="BZ8" s="11" t="n"/>
      <c r="CA8" s="11" t="n"/>
      <c r="CB8" s="11" t="n"/>
      <c r="CC8" s="11" t="n"/>
      <c r="CD8" s="11" t="n"/>
      <c r="CE8" s="11" t="n"/>
      <c r="CF8" s="11" t="inlineStr">
        <is>
          <t>PRODUCT-LINE BUILD — modelling logic (product-line sales → segment sales × adjusted operating margin → adjusted operating income → Adjusted EBITDA / adjusted EPS)</t>
        </is>
      </c>
    </row>
    <row r="9" ht="15" customHeight="1">
      <c r="CN9" s="12" t="inlineStr">
        <is>
          <t>SCENARIO INPUT TABLE — driver assumptions per Bull / Base / Bear</t>
        </is>
      </c>
      <c r="CO9" s="13" t="inlineStr">
        <is>
          <t>Bull</t>
        </is>
      </c>
      <c r="CP9" s="13" t="inlineStr">
        <is>
          <t>Base</t>
        </is>
      </c>
      <c r="CQ9" s="13" t="inlineStr">
        <is>
          <t>Bear</t>
        </is>
      </c>
      <c r="CR9" s="14" t="inlineStr">
        <is>
          <t>Bull / Bear = Base + Δ (Δ inputs on each block header). Outlook block = high / mid / low end of FY26 guidance ranges.</t>
        </is>
      </c>
    </row>
    <row r="10" ht="15" customHeight="1">
      <c r="B10" s="15" t="inlineStr">
        <is>
          <t>Freight segment (locomotives &amp; modernizations, services, components, digital intelligence; ~70% of sales)</t>
        </is>
      </c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6" t="inlineStr">
        <is>
          <t>FREIGHT — modelling logic</t>
        </is>
      </c>
    </row>
    <row r="11" ht="15" customHeight="1">
      <c r="B11" s="26" t="inlineStr">
        <is>
          <t xml:space="preserve">  12-month backlog — Freight (period end)</t>
        </is>
      </c>
      <c r="C11" s="174" t="n">
        <v>192.8</v>
      </c>
      <c r="D11" s="174" t="n">
        <v>153.7</v>
      </c>
      <c r="E11" s="174" t="n">
        <v>148.6</v>
      </c>
      <c r="F11" s="174" t="n">
        <v>126.2</v>
      </c>
      <c r="G11" s="174" t="n">
        <v>297.2</v>
      </c>
      <c r="H11" s="174" t="n">
        <v>591.4</v>
      </c>
      <c r="I11" s="174" t="n">
        <v>413.8</v>
      </c>
      <c r="J11" s="36" t="n"/>
      <c r="K11" s="36" t="n"/>
      <c r="L11" s="36" t="n"/>
      <c r="M11" s="174" t="n">
        <v>447.4</v>
      </c>
      <c r="N11" s="174" t="n">
        <v>447.4</v>
      </c>
      <c r="O11" s="36" t="n"/>
      <c r="P11" s="36" t="n"/>
      <c r="Q11" s="36" t="n"/>
      <c r="R11" s="174" t="n">
        <v>843.7</v>
      </c>
      <c r="S11" s="174" t="n">
        <v>843.7</v>
      </c>
      <c r="T11" s="36" t="n"/>
      <c r="U11" s="36" t="n"/>
      <c r="V11" s="36" t="n"/>
      <c r="W11" s="174" t="n">
        <v>586</v>
      </c>
      <c r="X11" s="174" t="n">
        <v>586</v>
      </c>
      <c r="Y11" s="36" t="n"/>
      <c r="Z11" s="36" t="n"/>
      <c r="AA11" s="36" t="n"/>
      <c r="AB11" s="174" t="n">
        <v>396.2</v>
      </c>
      <c r="AC11" s="174" t="n">
        <v>396.2</v>
      </c>
      <c r="AD11" s="36" t="n"/>
      <c r="AE11" s="174" t="n">
        <v>413.2</v>
      </c>
      <c r="AF11" s="174" t="n">
        <v>419.7</v>
      </c>
      <c r="AG11" s="174" t="n">
        <v>423.8</v>
      </c>
      <c r="AH11" s="174" t="n">
        <v>423.8</v>
      </c>
      <c r="AI11" s="174" t="n">
        <v>501.4</v>
      </c>
      <c r="AJ11" s="174" t="n">
        <v>464.3</v>
      </c>
      <c r="AK11" s="174" t="n">
        <v>408.5</v>
      </c>
      <c r="AL11" s="174" t="n">
        <v>503.5</v>
      </c>
      <c r="AM11" s="174" t="n">
        <v>503.5</v>
      </c>
      <c r="AN11" s="174" t="n">
        <v>4061.3</v>
      </c>
      <c r="AO11" s="174" t="n">
        <v>3793.9</v>
      </c>
      <c r="AP11" s="174" t="n">
        <v>3914.2</v>
      </c>
      <c r="AQ11" s="174" t="n">
        <v>3911</v>
      </c>
      <c r="AR11" s="174" t="n">
        <v>3911</v>
      </c>
      <c r="AS11" s="174" t="n">
        <v>3819</v>
      </c>
      <c r="AT11" s="174" t="n">
        <v>3681.8</v>
      </c>
      <c r="AU11" s="174" t="n">
        <v>3626.7</v>
      </c>
      <c r="AV11" s="174" t="n">
        <v>3586.3</v>
      </c>
      <c r="AW11" s="174" t="n">
        <v>3586.3</v>
      </c>
      <c r="AX11" s="174" t="n">
        <v>3910.2</v>
      </c>
      <c r="AY11" s="174" t="n">
        <v>4098.1</v>
      </c>
      <c r="AZ11" s="174" t="n">
        <v>4060.2</v>
      </c>
      <c r="BA11" s="174" t="n">
        <v>4520</v>
      </c>
      <c r="BB11" s="174" t="n">
        <v>4520</v>
      </c>
      <c r="BC11" s="174" t="n">
        <v>4812</v>
      </c>
      <c r="BD11" s="174" t="n">
        <v>4821</v>
      </c>
      <c r="BE11" s="174" t="n">
        <v>4567</v>
      </c>
      <c r="BF11" s="174" t="n">
        <v>4901</v>
      </c>
      <c r="BG11" s="174" t="n">
        <v>4901</v>
      </c>
      <c r="BH11" s="174" t="n">
        <v>4978</v>
      </c>
      <c r="BI11" s="174" t="n">
        <v>5318</v>
      </c>
      <c r="BJ11" s="174" t="n">
        <v>5282</v>
      </c>
      <c r="BK11" s="174" t="n">
        <v>5450</v>
      </c>
      <c r="BL11" s="174" t="n">
        <v>5450</v>
      </c>
      <c r="BM11" s="174" t="n">
        <v>5667</v>
      </c>
      <c r="BN11" s="174" t="n">
        <v>5504</v>
      </c>
      <c r="BO11" s="174" t="n">
        <v>5589</v>
      </c>
      <c r="BP11" s="174" t="n">
        <v>5577</v>
      </c>
      <c r="BQ11" s="174" t="n">
        <v>5577</v>
      </c>
      <c r="BR11" s="174" t="n">
        <v>6069</v>
      </c>
      <c r="BS11" s="174" t="n">
        <v>6024</v>
      </c>
      <c r="BT11" s="174" t="n">
        <v>6085</v>
      </c>
      <c r="BU11" s="174" t="n">
        <v>6022</v>
      </c>
      <c r="BV11" s="174" t="n">
        <v>6022</v>
      </c>
      <c r="BW11" s="174" t="n">
        <v>6679</v>
      </c>
      <c r="BX11" s="174" t="n">
        <v>6638</v>
      </c>
      <c r="BY11" s="37" t="n"/>
      <c r="BZ11" s="37" t="n"/>
      <c r="CA11" s="37" t="n"/>
      <c r="CB11" s="37" t="n"/>
      <c r="CC11" s="37" t="n"/>
      <c r="CD11" s="37" t="n"/>
      <c r="CE11" s="37" t="n"/>
      <c r="CF11" s="20" t="inlineStr">
        <is>
          <t>Company-reported 12-month backlog (subset of total backlog). Historical only; context for the Q3/Q4-26E growth inputs.</t>
        </is>
      </c>
      <c r="CN11" s="16" t="inlineStr">
        <is>
          <t>FY26 outlook — Q2-26 release (22-Jul-26)</t>
        </is>
      </c>
      <c r="CO11" s="22" t="inlineStr">
        <is>
          <t>High</t>
        </is>
      </c>
      <c r="CP11" s="22" t="inlineStr">
        <is>
          <t>Mid</t>
        </is>
      </c>
      <c r="CQ11" s="22" t="inlineStr">
        <is>
          <t>Low</t>
        </is>
      </c>
      <c r="CR11" s="14" t="inlineStr">
        <is>
          <t>Raised in the Q2-26 release (from $12.19–12.49bn / $10.25–10.65 in Q1-26; $10.05–10.45 in Feb-26). Includes Dellner (closed 10-Feb-26).</t>
        </is>
      </c>
    </row>
    <row r="12" ht="15" customHeight="1">
      <c r="B12" s="26" t="inlineStr">
        <is>
          <t xml:space="preserve">  Total (multi-year) backlog — Freight (period end)</t>
        </is>
      </c>
      <c r="C12" s="174" t="n">
        <v>261.8</v>
      </c>
      <c r="D12" s="174" t="n">
        <v>224.9</v>
      </c>
      <c r="E12" s="174" t="n">
        <v>195.7</v>
      </c>
      <c r="F12" s="174" t="n">
        <v>211.3</v>
      </c>
      <c r="G12" s="174" t="n">
        <v>383.6</v>
      </c>
      <c r="H12" s="174" t="n">
        <v>712.9</v>
      </c>
      <c r="I12" s="174" t="n">
        <v>491.8</v>
      </c>
      <c r="J12" s="36" t="n"/>
      <c r="K12" s="36" t="n"/>
      <c r="L12" s="36" t="n"/>
      <c r="M12" s="174" t="n">
        <v>511.7</v>
      </c>
      <c r="N12" s="174" t="n">
        <v>511.7</v>
      </c>
      <c r="O12" s="36" t="n"/>
      <c r="P12" s="36" t="n"/>
      <c r="Q12" s="36" t="n"/>
      <c r="R12" s="174" t="n">
        <v>977.8</v>
      </c>
      <c r="S12" s="174" t="n">
        <v>977.8</v>
      </c>
      <c r="T12" s="36" t="n"/>
      <c r="U12" s="36" t="n"/>
      <c r="V12" s="36" t="n"/>
      <c r="W12" s="174" t="n">
        <v>671.9</v>
      </c>
      <c r="X12" s="174" t="n">
        <v>671.9</v>
      </c>
      <c r="Y12" s="36" t="n"/>
      <c r="Z12" s="36" t="n"/>
      <c r="AA12" s="36" t="n"/>
      <c r="AB12" s="174" t="n">
        <v>575.9</v>
      </c>
      <c r="AC12" s="174" t="n">
        <v>575.9</v>
      </c>
      <c r="AD12" s="36" t="n"/>
      <c r="AE12" s="174" t="n">
        <v>611.2</v>
      </c>
      <c r="AF12" s="174" t="n">
        <v>610.7</v>
      </c>
      <c r="AG12" s="174" t="n">
        <v>549.2</v>
      </c>
      <c r="AH12" s="174" t="n">
        <v>549.2</v>
      </c>
      <c r="AI12" s="174" t="n">
        <v>631.6</v>
      </c>
      <c r="AJ12" s="174" t="n">
        <v>649.3</v>
      </c>
      <c r="AK12" s="174" t="n">
        <v>607.9</v>
      </c>
      <c r="AL12" s="174" t="n">
        <v>664.7</v>
      </c>
      <c r="AM12" s="174" t="n">
        <v>664.7</v>
      </c>
      <c r="AN12" s="174" t="n">
        <v>19466.1</v>
      </c>
      <c r="AO12" s="174" t="n">
        <v>18765.5</v>
      </c>
      <c r="AP12" s="174" t="n">
        <v>18257.6</v>
      </c>
      <c r="AQ12" s="174" t="n">
        <v>18945.3</v>
      </c>
      <c r="AR12" s="174" t="n">
        <v>18945.3</v>
      </c>
      <c r="AS12" s="174" t="n">
        <v>18099.6</v>
      </c>
      <c r="AT12" s="174" t="n">
        <v>17969.8</v>
      </c>
      <c r="AU12" s="174" t="n">
        <v>17840.5</v>
      </c>
      <c r="AV12" s="174" t="n">
        <v>17887.1</v>
      </c>
      <c r="AW12" s="174" t="n">
        <v>17887.1</v>
      </c>
      <c r="AX12" s="174" t="n">
        <v>18005.5</v>
      </c>
      <c r="AY12" s="174" t="n">
        <v>17836.3</v>
      </c>
      <c r="AZ12" s="174" t="n">
        <v>18211</v>
      </c>
      <c r="BA12" s="174" t="n">
        <v>18502</v>
      </c>
      <c r="BB12" s="174" t="n">
        <v>18502</v>
      </c>
      <c r="BC12" s="174" t="n">
        <v>19024</v>
      </c>
      <c r="BD12" s="174" t="n">
        <v>19679</v>
      </c>
      <c r="BE12" s="174" t="n">
        <v>19173</v>
      </c>
      <c r="BF12" s="174" t="n">
        <v>18641</v>
      </c>
      <c r="BG12" s="174" t="n">
        <v>18641</v>
      </c>
      <c r="BH12" s="174" t="n">
        <v>18362</v>
      </c>
      <c r="BI12" s="174" t="n">
        <v>18336</v>
      </c>
      <c r="BJ12" s="174" t="n">
        <v>17614</v>
      </c>
      <c r="BK12" s="174" t="n">
        <v>17831</v>
      </c>
      <c r="BL12" s="174" t="n">
        <v>17831</v>
      </c>
      <c r="BM12" s="174" t="n">
        <v>17898</v>
      </c>
      <c r="BN12" s="174" t="n">
        <v>17929</v>
      </c>
      <c r="BO12" s="174" t="n">
        <v>17756</v>
      </c>
      <c r="BP12" s="174" t="n">
        <v>17986</v>
      </c>
      <c r="BQ12" s="174" t="n">
        <v>17986</v>
      </c>
      <c r="BR12" s="174" t="n">
        <v>17851</v>
      </c>
      <c r="BS12" s="174" t="n">
        <v>17136</v>
      </c>
      <c r="BT12" s="174" t="n">
        <v>20907</v>
      </c>
      <c r="BU12" s="174" t="n">
        <v>22493</v>
      </c>
      <c r="BV12" s="174" t="n">
        <v>22493</v>
      </c>
      <c r="BW12" s="174" t="n">
        <v>25175</v>
      </c>
      <c r="BX12" s="174" t="n">
        <v>25332</v>
      </c>
      <c r="BY12" s="37" t="n"/>
      <c r="BZ12" s="37" t="n"/>
      <c r="CA12" s="37" t="n"/>
      <c r="CB12" s="37" t="n"/>
      <c r="CC12" s="37" t="n"/>
      <c r="CD12" s="37" t="n"/>
      <c r="CE12" s="37" t="n"/>
      <c r="CF12" s="20" t="n"/>
      <c r="CN12" s="26" t="inlineStr">
        <is>
          <t xml:space="preserve">  FY26 net sales ($m)</t>
        </is>
      </c>
      <c r="CO12" s="175" t="n">
        <v>12600</v>
      </c>
      <c r="CP12" s="175" t="n">
        <v>12450</v>
      </c>
      <c r="CQ12" s="175" t="n">
        <v>12300</v>
      </c>
      <c r="CR12" s="14" t="inlineStr">
        <is>
          <t>Guided $12.30–12.60bn (raised $110m at mid-point in Q2-26; +11.5% y/y).</t>
        </is>
      </c>
    </row>
    <row r="13" ht="15" customHeight="1">
      <c r="B13" s="26" t="inlineStr">
        <is>
          <t xml:space="preserve">  12-month backlog ÷ annualised sales (x)</t>
        </is>
      </c>
      <c r="C13" s="176">
        <f>IF(AND(ISNUMBER(C11),ISNUMBER(C27)),IFERROR(C11/(C27*1),""),"")</f>
        <v/>
      </c>
      <c r="D13" s="176">
        <f>IF(AND(ISNUMBER(D11),ISNUMBER(D27)),IFERROR(D11/(D27*1),""),"")</f>
        <v/>
      </c>
      <c r="E13" s="176">
        <f>IF(AND(ISNUMBER(E11),ISNUMBER(E27)),IFERROR(E11/(E27*1),""),"")</f>
        <v/>
      </c>
      <c r="F13" s="176">
        <f>IF(AND(ISNUMBER(F11),ISNUMBER(F27)),IFERROR(F11/(F27*1),""),"")</f>
        <v/>
      </c>
      <c r="G13" s="176">
        <f>IF(AND(ISNUMBER(G11),ISNUMBER(G27)),IFERROR(G11/(G27*1),""),"")</f>
        <v/>
      </c>
      <c r="H13" s="176">
        <f>IF(AND(ISNUMBER(H11),ISNUMBER(H27)),IFERROR(H11/(H27*1),""),"")</f>
        <v/>
      </c>
      <c r="I13" s="176">
        <f>IF(AND(ISNUMBER(I11),ISNUMBER(I27)),IFERROR(I11/(I27*1),""),"")</f>
        <v/>
      </c>
      <c r="J13" s="176">
        <f>IF(AND(ISNUMBER(J11),ISNUMBER(J27)),IFERROR(J11/(J27*4),""),"")</f>
        <v/>
      </c>
      <c r="K13" s="176">
        <f>IF(AND(ISNUMBER(K11),ISNUMBER(K27)),IFERROR(K11/(K27*4),""),"")</f>
        <v/>
      </c>
      <c r="L13" s="176">
        <f>IF(AND(ISNUMBER(L11),ISNUMBER(L27)),IFERROR(L11/(L27*4),""),"")</f>
        <v/>
      </c>
      <c r="M13" s="176">
        <f>IF(AND(ISNUMBER(M11),ISNUMBER(M27)),IFERROR(M11/(M27*4),""),"")</f>
        <v/>
      </c>
      <c r="N13" s="176">
        <f>IF(AND(ISNUMBER(N11),ISNUMBER(N27)),IFERROR(N11/(N27*1),""),"")</f>
        <v/>
      </c>
      <c r="O13" s="176">
        <f>IF(AND(ISNUMBER(O11),ISNUMBER(O27)),IFERROR(O11/(O27*4),""),"")</f>
        <v/>
      </c>
      <c r="P13" s="176">
        <f>IF(AND(ISNUMBER(P11),ISNUMBER(P27)),IFERROR(P11/(P27*4),""),"")</f>
        <v/>
      </c>
      <c r="Q13" s="176">
        <f>IF(AND(ISNUMBER(Q11),ISNUMBER(Q27)),IFERROR(Q11/(Q27*4),""),"")</f>
        <v/>
      </c>
      <c r="R13" s="176">
        <f>IF(AND(ISNUMBER(R11),ISNUMBER(R27)),IFERROR(R11/(R27*4),""),"")</f>
        <v/>
      </c>
      <c r="S13" s="176">
        <f>IF(AND(ISNUMBER(S11),ISNUMBER(S27)),IFERROR(S11/(S27*1),""),"")</f>
        <v/>
      </c>
      <c r="T13" s="176">
        <f>IF(AND(ISNUMBER(T11),ISNUMBER(T27)),IFERROR(T11/(T27*4),""),"")</f>
        <v/>
      </c>
      <c r="U13" s="176">
        <f>IF(AND(ISNUMBER(U11),ISNUMBER(U27)),IFERROR(U11/(U27*4),""),"")</f>
        <v/>
      </c>
      <c r="V13" s="176">
        <f>IF(AND(ISNUMBER(V11),ISNUMBER(V27)),IFERROR(V11/(V27*4),""),"")</f>
        <v/>
      </c>
      <c r="W13" s="176">
        <f>IF(AND(ISNUMBER(W11),ISNUMBER(W27)),IFERROR(W11/(W27*4),""),"")</f>
        <v/>
      </c>
      <c r="X13" s="176">
        <f>IF(AND(ISNUMBER(X11),ISNUMBER(X27)),IFERROR(X11/(X27*1),""),"")</f>
        <v/>
      </c>
      <c r="Y13" s="176">
        <f>IF(AND(ISNUMBER(Y11),ISNUMBER(Y27)),IFERROR(Y11/(Y27*4),""),"")</f>
        <v/>
      </c>
      <c r="Z13" s="176">
        <f>IF(AND(ISNUMBER(Z11),ISNUMBER(Z27)),IFERROR(Z11/(Z27*4),""),"")</f>
        <v/>
      </c>
      <c r="AA13" s="176">
        <f>IF(AND(ISNUMBER(AA11),ISNUMBER(AA27)),IFERROR(AA11/(AA27*4),""),"")</f>
        <v/>
      </c>
      <c r="AB13" s="176">
        <f>IF(AND(ISNUMBER(AB11),ISNUMBER(AB27)),IFERROR(AB11/(AB27*4),""),"")</f>
        <v/>
      </c>
      <c r="AC13" s="176">
        <f>IF(AND(ISNUMBER(AC11),ISNUMBER(AC27)),IFERROR(AC11/(AC27*1),""),"")</f>
        <v/>
      </c>
      <c r="AD13" s="176">
        <f>IF(AND(ISNUMBER(AD11),ISNUMBER(AD27)),IFERROR(AD11/(AD27*4),""),"")</f>
        <v/>
      </c>
      <c r="AE13" s="176">
        <f>IF(AND(ISNUMBER(AE11),ISNUMBER(AE27)),IFERROR(AE11/(AE27*4),""),"")</f>
        <v/>
      </c>
      <c r="AF13" s="176">
        <f>IF(AND(ISNUMBER(AF11),ISNUMBER(AF27)),IFERROR(AF11/(AF27*4),""),"")</f>
        <v/>
      </c>
      <c r="AG13" s="176">
        <f>IF(AND(ISNUMBER(AG11),ISNUMBER(AG27)),IFERROR(AG11/(AG27*4),""),"")</f>
        <v/>
      </c>
      <c r="AH13" s="176">
        <f>IF(AND(ISNUMBER(AH11),ISNUMBER(AH27)),IFERROR(AH11/(AH27*1),""),"")</f>
        <v/>
      </c>
      <c r="AI13" s="176">
        <f>IF(AND(ISNUMBER(AI11),ISNUMBER(AI27)),IFERROR(AI11/(AI27*4),""),"")</f>
        <v/>
      </c>
      <c r="AJ13" s="176">
        <f>IF(AND(ISNUMBER(AJ11),ISNUMBER(AJ27)),IFERROR(AJ11/(AJ27*4),""),"")</f>
        <v/>
      </c>
      <c r="AK13" s="176">
        <f>IF(AND(ISNUMBER(AK11),ISNUMBER(AK27)),IFERROR(AK11/(AK27*4),""),"")</f>
        <v/>
      </c>
      <c r="AL13" s="176">
        <f>IF(AND(ISNUMBER(AL11),ISNUMBER(AL27)),IFERROR(AL11/(AL27*4),""),"")</f>
        <v/>
      </c>
      <c r="AM13" s="176">
        <f>IF(AND(ISNUMBER(AM11),ISNUMBER(AM27)),IFERROR(AM11/(AM27*1),""),"")</f>
        <v/>
      </c>
      <c r="AN13" s="176">
        <f>IF(AND(ISNUMBER(AN11),ISNUMBER(AN27)),IFERROR(AN11/(AN27*4),""),"")</f>
        <v/>
      </c>
      <c r="AO13" s="176">
        <f>IF(AND(ISNUMBER(AO11),ISNUMBER(AO27)),IFERROR(AO11/(AO27*4),""),"")</f>
        <v/>
      </c>
      <c r="AP13" s="176">
        <f>IF(AND(ISNUMBER(AP11),ISNUMBER(AP27)),IFERROR(AP11/(AP27*4),""),"")</f>
        <v/>
      </c>
      <c r="AQ13" s="176">
        <f>IF(AND(ISNUMBER(AQ11),ISNUMBER(AQ27)),IFERROR(AQ11/(AQ27*4),""),"")</f>
        <v/>
      </c>
      <c r="AR13" s="176">
        <f>IF(AND(ISNUMBER(AR11),ISNUMBER(AR27)),IFERROR(AR11/(AR27*1),""),"")</f>
        <v/>
      </c>
      <c r="AS13" s="176">
        <f>IF(AND(ISNUMBER(AS11),ISNUMBER(AS27)),IFERROR(AS11/(AS27*4),""),"")</f>
        <v/>
      </c>
      <c r="AT13" s="176">
        <f>IF(AND(ISNUMBER(AT11),ISNUMBER(AT27)),IFERROR(AT11/(AT27*4),""),"")</f>
        <v/>
      </c>
      <c r="AU13" s="176">
        <f>IF(AND(ISNUMBER(AU11),ISNUMBER(AU27)),IFERROR(AU11/(AU27*4),""),"")</f>
        <v/>
      </c>
      <c r="AV13" s="176">
        <f>IF(AND(ISNUMBER(AV11),ISNUMBER(AV27)),IFERROR(AV11/(AV27*4),""),"")</f>
        <v/>
      </c>
      <c r="AW13" s="176">
        <f>IF(AND(ISNUMBER(AW11),ISNUMBER(AW27)),IFERROR(AW11/(AW27*1),""),"")</f>
        <v/>
      </c>
      <c r="AX13" s="176">
        <f>IF(AND(ISNUMBER(AX11),ISNUMBER(AX27)),IFERROR(AX11/(AX27*4),""),"")</f>
        <v/>
      </c>
      <c r="AY13" s="176">
        <f>IF(AND(ISNUMBER(AY11),ISNUMBER(AY27)),IFERROR(AY11/(AY27*4),""),"")</f>
        <v/>
      </c>
      <c r="AZ13" s="176">
        <f>IF(AND(ISNUMBER(AZ11),ISNUMBER(AZ27)),IFERROR(AZ11/(AZ27*4),""),"")</f>
        <v/>
      </c>
      <c r="BA13" s="176">
        <f>IF(AND(ISNUMBER(BA11),ISNUMBER(BA27)),IFERROR(BA11/(BA27*4),""),"")</f>
        <v/>
      </c>
      <c r="BB13" s="176">
        <f>IF(AND(ISNUMBER(BB11),ISNUMBER(BB27)),IFERROR(BB11/(BB27*1),""),"")</f>
        <v/>
      </c>
      <c r="BC13" s="176">
        <f>IF(AND(ISNUMBER(BC11),ISNUMBER(BC27)),IFERROR(BC11/(BC27*4),""),"")</f>
        <v/>
      </c>
      <c r="BD13" s="176">
        <f>IF(AND(ISNUMBER(BD11),ISNUMBER(BD27)),IFERROR(BD11/(BD27*4),""),"")</f>
        <v/>
      </c>
      <c r="BE13" s="176">
        <f>IF(AND(ISNUMBER(BE11),ISNUMBER(BE27)),IFERROR(BE11/(BE27*4),""),"")</f>
        <v/>
      </c>
      <c r="BF13" s="176">
        <f>IF(AND(ISNUMBER(BF11),ISNUMBER(BF27)),IFERROR(BF11/(BF27*4),""),"")</f>
        <v/>
      </c>
      <c r="BG13" s="176">
        <f>IF(AND(ISNUMBER(BG11),ISNUMBER(BG27)),IFERROR(BG11/(BG27*1),""),"")</f>
        <v/>
      </c>
      <c r="BH13" s="176">
        <f>IF(AND(ISNUMBER(BH11),ISNUMBER(BH27)),IFERROR(BH11/(BH27*4),""),"")</f>
        <v/>
      </c>
      <c r="BI13" s="176">
        <f>IF(AND(ISNUMBER(BI11),ISNUMBER(BI27)),IFERROR(BI11/(BI27*4),""),"")</f>
        <v/>
      </c>
      <c r="BJ13" s="176">
        <f>IF(AND(ISNUMBER(BJ11),ISNUMBER(BJ27)),IFERROR(BJ11/(BJ27*4),""),"")</f>
        <v/>
      </c>
      <c r="BK13" s="176">
        <f>IF(AND(ISNUMBER(BK11),ISNUMBER(BK27)),IFERROR(BK11/(BK27*4),""),"")</f>
        <v/>
      </c>
      <c r="BL13" s="176">
        <f>IF(AND(ISNUMBER(BL11),ISNUMBER(BL27)),IFERROR(BL11/(BL27*1),""),"")</f>
        <v/>
      </c>
      <c r="BM13" s="176">
        <f>IF(AND(ISNUMBER(BM11),ISNUMBER(BM27)),IFERROR(BM11/(BM27*4),""),"")</f>
        <v/>
      </c>
      <c r="BN13" s="176">
        <f>IF(AND(ISNUMBER(BN11),ISNUMBER(BN27)),IFERROR(BN11/(BN27*4),""),"")</f>
        <v/>
      </c>
      <c r="BO13" s="176">
        <f>IF(AND(ISNUMBER(BO11),ISNUMBER(BO27)),IFERROR(BO11/(BO27*4),""),"")</f>
        <v/>
      </c>
      <c r="BP13" s="176">
        <f>IF(AND(ISNUMBER(BP11),ISNUMBER(BP27)),IFERROR(BP11/(BP27*4),""),"")</f>
        <v/>
      </c>
      <c r="BQ13" s="176">
        <f>IF(AND(ISNUMBER(BQ11),ISNUMBER(BQ27)),IFERROR(BQ11/(BQ27*1),""),"")</f>
        <v/>
      </c>
      <c r="BR13" s="176">
        <f>IF(AND(ISNUMBER(BR11),ISNUMBER(BR27)),IFERROR(BR11/(BR27*4),""),"")</f>
        <v/>
      </c>
      <c r="BS13" s="176">
        <f>IF(AND(ISNUMBER(BS11),ISNUMBER(BS27)),IFERROR(BS11/(BS27*4),""),"")</f>
        <v/>
      </c>
      <c r="BT13" s="176">
        <f>IF(AND(ISNUMBER(BT11),ISNUMBER(BT27)),IFERROR(BT11/(BT27*4),""),"")</f>
        <v/>
      </c>
      <c r="BU13" s="176">
        <f>IF(AND(ISNUMBER(BU11),ISNUMBER(BU27)),IFERROR(BU11/(BU27*4),""),"")</f>
        <v/>
      </c>
      <c r="BV13" s="176">
        <f>IF(AND(ISNUMBER(BV11),ISNUMBER(BV27)),IFERROR(BV11/(BV27*1),""),"")</f>
        <v/>
      </c>
      <c r="BW13" s="176">
        <f>IF(AND(ISNUMBER(BW11),ISNUMBER(BW27)),IFERROR(BW11/(BW27*4),""),"")</f>
        <v/>
      </c>
      <c r="BX13" s="176">
        <f>IF(AND(ISNUMBER(BX11),ISNUMBER(BX27)),IFERROR(BX11/(BX27*4),""),"")</f>
        <v/>
      </c>
      <c r="BY13" s="37" t="n"/>
      <c r="BZ13" s="37" t="n"/>
      <c r="CA13" s="37" t="n"/>
      <c r="CB13" s="37" t="n"/>
      <c r="CC13" s="37" t="n"/>
      <c r="CD13" s="37" t="n"/>
      <c r="CE13" s="37" t="n"/>
      <c r="CF13" s="20" t="inlineStr">
        <is>
          <t>12-month backlog over quarterly sales × 4 (annual columns: full-year sales). &gt;1.0x = next-twelve-month sales largely covered.</t>
        </is>
      </c>
      <c r="CN13" s="26" t="inlineStr">
        <is>
          <t xml:space="preserve">  FY26 adjusted diluted EPS ($)</t>
        </is>
      </c>
      <c r="CO13" s="177" t="n">
        <v>10.9</v>
      </c>
      <c r="CP13" s="177" t="n">
        <v>10.75</v>
      </c>
      <c r="CQ13" s="177" t="n">
        <v>10.6</v>
      </c>
      <c r="CR13" s="14" t="inlineStr">
        <is>
          <t>Guided $10.60–10.90 (+19.9% y/y at mid). Drives the Q3/Q4-26E adjusted-margin calibration.</t>
        </is>
      </c>
    </row>
    <row r="14" ht="15" customHeight="1">
      <c r="B14" s="26" t="inlineStr">
        <is>
          <t xml:space="preserve">  Services — sales</t>
        </is>
      </c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174" t="n">
        <v>231.4</v>
      </c>
      <c r="AO14" s="174" t="n">
        <v>556.5</v>
      </c>
      <c r="AP14" s="174" t="n">
        <v>635</v>
      </c>
      <c r="AQ14" s="174" t="n">
        <v>568.2</v>
      </c>
      <c r="AR14" s="174" t="n">
        <v>1991.1</v>
      </c>
      <c r="AS14" s="174" t="n">
        <v>499</v>
      </c>
      <c r="AT14" s="174" t="n">
        <v>508.8</v>
      </c>
      <c r="AU14" s="174" t="n">
        <v>512.8</v>
      </c>
      <c r="AV14" s="174" t="n">
        <v>547.5</v>
      </c>
      <c r="AW14" s="174" t="n">
        <v>2068.1</v>
      </c>
      <c r="AX14" s="174" t="n">
        <v>562.5</v>
      </c>
      <c r="AY14" s="174" t="n">
        <v>622</v>
      </c>
      <c r="AZ14" s="174" t="n">
        <v>582.5</v>
      </c>
      <c r="BA14" s="174" t="n">
        <v>663</v>
      </c>
      <c r="BB14" s="174" t="n">
        <v>2430</v>
      </c>
      <c r="BC14" s="174" t="n">
        <v>666</v>
      </c>
      <c r="BD14" s="174" t="n">
        <v>711</v>
      </c>
      <c r="BE14" s="174" t="n">
        <v>669</v>
      </c>
      <c r="BF14" s="174" t="n">
        <v>773</v>
      </c>
      <c r="BG14" s="174" t="n">
        <v>2819</v>
      </c>
      <c r="BH14" s="174" t="n">
        <v>707</v>
      </c>
      <c r="BI14" s="174" t="n">
        <v>810</v>
      </c>
      <c r="BJ14" s="174" t="n">
        <v>787</v>
      </c>
      <c r="BK14" s="174" t="n">
        <v>958</v>
      </c>
      <c r="BL14" s="174" t="n">
        <v>3262</v>
      </c>
      <c r="BM14" s="174" t="n">
        <v>829</v>
      </c>
      <c r="BN14" s="174" t="n">
        <v>829</v>
      </c>
      <c r="BO14" s="174" t="n">
        <v>917</v>
      </c>
      <c r="BP14" s="174" t="n">
        <v>806</v>
      </c>
      <c r="BQ14" s="174" t="n">
        <v>3381</v>
      </c>
      <c r="BR14" s="174" t="n">
        <v>863</v>
      </c>
      <c r="BS14" s="174" t="n">
        <v>781</v>
      </c>
      <c r="BT14" s="174" t="n">
        <v>744</v>
      </c>
      <c r="BU14" s="174" t="n">
        <v>667</v>
      </c>
      <c r="BV14" s="174" t="n">
        <v>3055</v>
      </c>
      <c r="BW14" s="174" t="n">
        <v>714</v>
      </c>
      <c r="BX14" s="174" t="n">
        <v>748</v>
      </c>
      <c r="BY14" s="178">
        <f>BT14*(1+BY15)</f>
        <v/>
      </c>
      <c r="BZ14" s="178">
        <f>BU14*(1+BZ15)</f>
        <v/>
      </c>
      <c r="CA14" s="178">
        <f>SUM(BW14,BX14,BY14,BZ14)</f>
        <v/>
      </c>
      <c r="CB14" s="178">
        <f>CA14*(1+CB15)</f>
        <v/>
      </c>
      <c r="CC14" s="178">
        <f>CB14*(1+CC15)</f>
        <v/>
      </c>
      <c r="CD14" s="178">
        <f>CC14*(1+CD15)</f>
        <v/>
      </c>
      <c r="CE14" s="178">
        <f>CD14*(1+CE15)</f>
        <v/>
      </c>
      <c r="CF14" s="20" t="inlineStr">
        <is>
          <t>Product-line sales as published (from 2019, GE Transportation merger). Q3/Q4-26E: prior-year quarter × (1 + growth). 2027E+: prior year × (1 + scenario lever).</t>
        </is>
      </c>
      <c r="CH14" s="21">
        <f>IFERROR((CE14/BV14)^(1/5)-1,"n/m")</f>
        <v/>
      </c>
      <c r="CI14" s="21">
        <f>IFERROR((BV14/AW14)^(1/5)-1,"n/m")</f>
        <v/>
      </c>
      <c r="CJ14" s="21">
        <f>IFERROR((BV14/X14)^(1/10)-1,"n/m")</f>
        <v/>
      </c>
      <c r="CK14" s="21">
        <f>IFERROR((BV14/C14)^(1/19)-1,"n/m")</f>
        <v/>
      </c>
      <c r="CN14" s="26" t="inlineStr">
        <is>
          <t xml:space="preserve">  2H/26 share repurchases ($m)</t>
        </is>
      </c>
      <c r="CO14" s="175" t="n">
        <v>500</v>
      </c>
      <c r="CP14" s="175" t="n">
        <v>350</v>
      </c>
      <c r="CQ14" s="175" t="n">
        <v>200</v>
      </c>
      <c r="CR14" s="14" t="inlineStr">
        <is>
          <t>Authorization $760m remaining at 30-Jun-26 (1H/26: $457m, 1.80m shares).</t>
        </is>
      </c>
    </row>
    <row r="15" ht="15" customHeight="1">
      <c r="B15" s="23" t="inlineStr">
        <is>
          <t xml:space="preserve">    y/y %</t>
        </is>
      </c>
      <c r="D15" s="179">
        <f>IF(AND(ISNUMBER(D14),ISNUMBER(C14)),IFERROR(D14/C14-1,""),"")</f>
        <v/>
      </c>
      <c r="E15" s="179">
        <f>IF(AND(ISNUMBER(E14),ISNUMBER(D14)),IFERROR(E14/D14-1,""),"")</f>
        <v/>
      </c>
      <c r="F15" s="179">
        <f>IF(AND(ISNUMBER(F14),ISNUMBER(E14)),IFERROR(F14/E14-1,""),"")</f>
        <v/>
      </c>
      <c r="G15" s="179">
        <f>IF(AND(ISNUMBER(G14),ISNUMBER(F14)),IFERROR(G14/F14-1,""),"")</f>
        <v/>
      </c>
      <c r="H15" s="179">
        <f>IF(AND(ISNUMBER(H14),ISNUMBER(G14)),IFERROR(H14/G14-1,""),"")</f>
        <v/>
      </c>
      <c r="I15" s="179">
        <f>IF(AND(ISNUMBER(I14),ISNUMBER(H14)),IFERROR(I14/H14-1,""),"")</f>
        <v/>
      </c>
      <c r="N15" s="179">
        <f>IF(AND(ISNUMBER(N14),ISNUMBER(I14)),IFERROR(N14/I14-1,""),"")</f>
        <v/>
      </c>
      <c r="O15" s="179">
        <f>IF(AND(ISNUMBER(O14),ISNUMBER(J14)),IFERROR(O14/J14-1,""),"")</f>
        <v/>
      </c>
      <c r="P15" s="179">
        <f>IF(AND(ISNUMBER(P14),ISNUMBER(K14)),IFERROR(P14/K14-1,""),"")</f>
        <v/>
      </c>
      <c r="Q15" s="179">
        <f>IF(AND(ISNUMBER(Q14),ISNUMBER(L14)),IFERROR(Q14/L14-1,""),"")</f>
        <v/>
      </c>
      <c r="R15" s="179">
        <f>IF(AND(ISNUMBER(R14),ISNUMBER(M14)),IFERROR(R14/M14-1,""),"")</f>
        <v/>
      </c>
      <c r="S15" s="179">
        <f>IF(AND(ISNUMBER(S14),ISNUMBER(N14)),IFERROR(S14/N14-1,""),"")</f>
        <v/>
      </c>
      <c r="T15" s="179">
        <f>IF(AND(ISNUMBER(T14),ISNUMBER(O14)),IFERROR(T14/O14-1,""),"")</f>
        <v/>
      </c>
      <c r="U15" s="179">
        <f>IF(AND(ISNUMBER(U14),ISNUMBER(P14)),IFERROR(U14/P14-1,""),"")</f>
        <v/>
      </c>
      <c r="V15" s="179">
        <f>IF(AND(ISNUMBER(V14),ISNUMBER(Q14)),IFERROR(V14/Q14-1,""),"")</f>
        <v/>
      </c>
      <c r="W15" s="179">
        <f>IF(AND(ISNUMBER(W14),ISNUMBER(R14)),IFERROR(W14/R14-1,""),"")</f>
        <v/>
      </c>
      <c r="X15" s="179">
        <f>IF(AND(ISNUMBER(X14),ISNUMBER(S14)),IFERROR(X14/S14-1,""),"")</f>
        <v/>
      </c>
      <c r="Y15" s="179">
        <f>IF(AND(ISNUMBER(Y14),ISNUMBER(T14)),IFERROR(Y14/T14-1,""),"")</f>
        <v/>
      </c>
      <c r="Z15" s="179">
        <f>IF(AND(ISNUMBER(Z14),ISNUMBER(U14)),IFERROR(Z14/U14-1,""),"")</f>
        <v/>
      </c>
      <c r="AA15" s="179">
        <f>IF(AND(ISNUMBER(AA14),ISNUMBER(V14)),IFERROR(AA14/V14-1,""),"")</f>
        <v/>
      </c>
      <c r="AB15" s="179">
        <f>IF(AND(ISNUMBER(AB14),ISNUMBER(W14)),IFERROR(AB14/W14-1,""),"")</f>
        <v/>
      </c>
      <c r="AC15" s="179">
        <f>IF(AND(ISNUMBER(AC14),ISNUMBER(X14)),IFERROR(AC14/X14-1,""),"")</f>
        <v/>
      </c>
      <c r="AD15" s="179">
        <f>IF(AND(ISNUMBER(AD14),ISNUMBER(Y14)),IFERROR(AD14/Y14-1,""),"")</f>
        <v/>
      </c>
      <c r="AE15" s="179">
        <f>IF(AND(ISNUMBER(AE14),ISNUMBER(Z14)),IFERROR(AE14/Z14-1,""),"")</f>
        <v/>
      </c>
      <c r="AF15" s="179">
        <f>IF(AND(ISNUMBER(AF14),ISNUMBER(AA14)),IFERROR(AF14/AA14-1,""),"")</f>
        <v/>
      </c>
      <c r="AG15" s="179">
        <f>IF(AND(ISNUMBER(AG14),ISNUMBER(AB14)),IFERROR(AG14/AB14-1,""),"")</f>
        <v/>
      </c>
      <c r="AH15" s="179">
        <f>IF(AND(ISNUMBER(AH14),ISNUMBER(AC14)),IFERROR(AH14/AC14-1,""),"")</f>
        <v/>
      </c>
      <c r="AI15" s="179">
        <f>IF(AND(ISNUMBER(AI14),ISNUMBER(AD14)),IFERROR(AI14/AD14-1,""),"")</f>
        <v/>
      </c>
      <c r="AJ15" s="179">
        <f>IF(AND(ISNUMBER(AJ14),ISNUMBER(AE14)),IFERROR(AJ14/AE14-1,""),"")</f>
        <v/>
      </c>
      <c r="AK15" s="179">
        <f>IF(AND(ISNUMBER(AK14),ISNUMBER(AF14)),IFERROR(AK14/AF14-1,""),"")</f>
        <v/>
      </c>
      <c r="AL15" s="179">
        <f>IF(AND(ISNUMBER(AL14),ISNUMBER(AG14)),IFERROR(AL14/AG14-1,""),"")</f>
        <v/>
      </c>
      <c r="AM15" s="179">
        <f>IF(AND(ISNUMBER(AM14),ISNUMBER(AH14)),IFERROR(AM14/AH14-1,""),"")</f>
        <v/>
      </c>
      <c r="AN15" s="179">
        <f>IF(AND(ISNUMBER(AN14),ISNUMBER(AI14)),IFERROR(AN14/AI14-1,""),"")</f>
        <v/>
      </c>
      <c r="AO15" s="179">
        <f>IF(AND(ISNUMBER(AO14),ISNUMBER(AJ14)),IFERROR(AO14/AJ14-1,""),"")</f>
        <v/>
      </c>
      <c r="AP15" s="179">
        <f>IF(AND(ISNUMBER(AP14),ISNUMBER(AK14)),IFERROR(AP14/AK14-1,""),"")</f>
        <v/>
      </c>
      <c r="AQ15" s="179">
        <f>IF(AND(ISNUMBER(AQ14),ISNUMBER(AL14)),IFERROR(AQ14/AL14-1,""),"")</f>
        <v/>
      </c>
      <c r="AR15" s="179">
        <f>IF(AND(ISNUMBER(AR14),ISNUMBER(AM14)),IFERROR(AR14/AM14-1,""),"")</f>
        <v/>
      </c>
      <c r="AS15" s="179">
        <f>IF(AND(ISNUMBER(AS14),ISNUMBER(AN14)),IFERROR(AS14/AN14-1,""),"")</f>
        <v/>
      </c>
      <c r="AT15" s="179">
        <f>IF(AND(ISNUMBER(AT14),ISNUMBER(AO14)),IFERROR(AT14/AO14-1,""),"")</f>
        <v/>
      </c>
      <c r="AU15" s="179">
        <f>IF(AND(ISNUMBER(AU14),ISNUMBER(AP14)),IFERROR(AU14/AP14-1,""),"")</f>
        <v/>
      </c>
      <c r="AV15" s="179">
        <f>IF(AND(ISNUMBER(AV14),ISNUMBER(AQ14)),IFERROR(AV14/AQ14-1,""),"")</f>
        <v/>
      </c>
      <c r="AW15" s="179">
        <f>IF(AND(ISNUMBER(AW14),ISNUMBER(AR14)),IFERROR(AW14/AR14-1,""),"")</f>
        <v/>
      </c>
      <c r="AX15" s="179">
        <f>IF(AND(ISNUMBER(AX14),ISNUMBER(AS14)),IFERROR(AX14/AS14-1,""),"")</f>
        <v/>
      </c>
      <c r="AY15" s="179">
        <f>IF(AND(ISNUMBER(AY14),ISNUMBER(AT14)),IFERROR(AY14/AT14-1,""),"")</f>
        <v/>
      </c>
      <c r="AZ15" s="179">
        <f>IF(AND(ISNUMBER(AZ14),ISNUMBER(AU14)),IFERROR(AZ14/AU14-1,""),"")</f>
        <v/>
      </c>
      <c r="BA15" s="179">
        <f>IF(AND(ISNUMBER(BA14),ISNUMBER(AV14)),IFERROR(BA14/AV14-1,""),"")</f>
        <v/>
      </c>
      <c r="BB15" s="179">
        <f>IF(AND(ISNUMBER(BB14),ISNUMBER(AW14)),IFERROR(BB14/AW14-1,""),"")</f>
        <v/>
      </c>
      <c r="BC15" s="179">
        <f>IF(AND(ISNUMBER(BC14),ISNUMBER(AX14)),IFERROR(BC14/AX14-1,""),"")</f>
        <v/>
      </c>
      <c r="BD15" s="179">
        <f>IF(AND(ISNUMBER(BD14),ISNUMBER(AY14)),IFERROR(BD14/AY14-1,""),"")</f>
        <v/>
      </c>
      <c r="BE15" s="179">
        <f>IF(AND(ISNUMBER(BE14),ISNUMBER(AZ14)),IFERROR(BE14/AZ14-1,""),"")</f>
        <v/>
      </c>
      <c r="BF15" s="179">
        <f>IF(AND(ISNUMBER(BF14),ISNUMBER(BA14)),IFERROR(BF14/BA14-1,""),"")</f>
        <v/>
      </c>
      <c r="BG15" s="179">
        <f>IF(AND(ISNUMBER(BG14),ISNUMBER(BB14)),IFERROR(BG14/BB14-1,""),"")</f>
        <v/>
      </c>
      <c r="BH15" s="179">
        <f>IF(AND(ISNUMBER(BH14),ISNUMBER(BC14)),IFERROR(BH14/BC14-1,""),"")</f>
        <v/>
      </c>
      <c r="BI15" s="179">
        <f>IF(AND(ISNUMBER(BI14),ISNUMBER(BD14)),IFERROR(BI14/BD14-1,""),"")</f>
        <v/>
      </c>
      <c r="BJ15" s="179">
        <f>IF(AND(ISNUMBER(BJ14),ISNUMBER(BE14)),IFERROR(BJ14/BE14-1,""),"")</f>
        <v/>
      </c>
      <c r="BK15" s="179">
        <f>IF(AND(ISNUMBER(BK14),ISNUMBER(BF14)),IFERROR(BK14/BF14-1,""),"")</f>
        <v/>
      </c>
      <c r="BL15" s="179">
        <f>IF(AND(ISNUMBER(BL14),ISNUMBER(BG14)),IFERROR(BL14/BG14-1,""),"")</f>
        <v/>
      </c>
      <c r="BM15" s="179">
        <f>IF(AND(ISNUMBER(BM14),ISNUMBER(BH14)),IFERROR(BM14/BH14-1,""),"")</f>
        <v/>
      </c>
      <c r="BN15" s="179">
        <f>IF(AND(ISNUMBER(BN14),ISNUMBER(BI14)),IFERROR(BN14/BI14-1,""),"")</f>
        <v/>
      </c>
      <c r="BO15" s="179">
        <f>IF(AND(ISNUMBER(BO14),ISNUMBER(BJ14)),IFERROR(BO14/BJ14-1,""),"")</f>
        <v/>
      </c>
      <c r="BP15" s="179">
        <f>IF(AND(ISNUMBER(BP14),ISNUMBER(BK14)),IFERROR(BP14/BK14-1,""),"")</f>
        <v/>
      </c>
      <c r="BQ15" s="179">
        <f>IF(AND(ISNUMBER(BQ14),ISNUMBER(BL14)),IFERROR(BQ14/BL14-1,""),"")</f>
        <v/>
      </c>
      <c r="BR15" s="179">
        <f>IF(AND(ISNUMBER(BR14),ISNUMBER(BM14)),IFERROR(BR14/BM14-1,""),"")</f>
        <v/>
      </c>
      <c r="BS15" s="179">
        <f>IF(AND(ISNUMBER(BS14),ISNUMBER(BN14)),IFERROR(BS14/BN14-1,""),"")</f>
        <v/>
      </c>
      <c r="BT15" s="179">
        <f>IF(AND(ISNUMBER(BT14),ISNUMBER(BO14)),IFERROR(BT14/BO14-1,""),"")</f>
        <v/>
      </c>
      <c r="BU15" s="179">
        <f>IF(AND(ISNUMBER(BU14),ISNUMBER(BP14)),IFERROR(BU14/BP14-1,""),"")</f>
        <v/>
      </c>
      <c r="BV15" s="179">
        <f>IF(AND(ISNUMBER(BV14),ISNUMBER(BQ14)),IFERROR(BV14/BQ14-1,""),"")</f>
        <v/>
      </c>
      <c r="BW15" s="179">
        <f>IF(AND(ISNUMBER(BW14),ISNUMBER(BR14)),IFERROR(BW14/BR14-1,""),"")</f>
        <v/>
      </c>
      <c r="BX15" s="179">
        <f>IF(AND(ISNUMBER(BX14),ISNUMBER(BS14)),IFERROR(BX14/BS14-1,""),"")</f>
        <v/>
      </c>
      <c r="BY15" s="180">
        <f>BY16+$BY$109</f>
        <v/>
      </c>
      <c r="BZ15" s="180">
        <f>BZ16+$BY$109</f>
        <v/>
      </c>
      <c r="CA15" s="180">
        <f>IF(AND(ISNUMBER(CA14),ISNUMBER(BV14)),IFERROR(CA14/BV14-1,""),"")</f>
        <v/>
      </c>
      <c r="CB15" s="180">
        <f>CHOOSE(MATCH($CF$2,{"Bull","Base","Bear"},0),$CO$31,$CP$31,$CQ$31)</f>
        <v/>
      </c>
      <c r="CC15" s="180">
        <f>CHOOSE(MATCH($CF$2,{"Bull","Base","Bear"},0),$CO$32,$CP$32,$CQ$32)</f>
        <v/>
      </c>
      <c r="CD15" s="180">
        <f>CHOOSE(MATCH($CF$2,{"Bull","Base","Bear"},0),$CO$33,$CP$33,$CQ$33)</f>
        <v/>
      </c>
      <c r="CE15" s="180">
        <f>CHOOSE(MATCH($CF$2,{"Bull","Base","Bear"},0),$CO$34,$CP$34,$CQ$34)</f>
        <v/>
      </c>
      <c r="CF15" s="6" t="inlineStr">
        <is>
          <t>Q3/Q4-26E: growth input (row below) + revenue-outlook calibration Δ (Group block). 2027E–2030E: scenario lever (Bull/Base/Bear table →).</t>
        </is>
      </c>
      <c r="CN15" s="16" t="inlineStr">
        <is>
          <t>FY26 point estimates (all cases)</t>
        </is>
      </c>
      <c r="CO15" s="22" t="n"/>
      <c r="CP15" s="22" t="n"/>
      <c r="CQ15" s="22" t="n"/>
    </row>
    <row r="16" ht="15" customHeight="1">
      <c r="B16" s="26" t="inlineStr">
        <is>
          <t xml:space="preserve">    Q3/Q4-26E growth input before revenue calibration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  <c r="BA16" s="38" t="n"/>
      <c r="BB16" s="38" t="n"/>
      <c r="BC16" s="38" t="n"/>
      <c r="BD16" s="38" t="n"/>
      <c r="BE16" s="38" t="n"/>
      <c r="BF16" s="38" t="n"/>
      <c r="BG16" s="38" t="n"/>
      <c r="BH16" s="38" t="n"/>
      <c r="BI16" s="38" t="n"/>
      <c r="BJ16" s="38" t="n"/>
      <c r="BK16" s="38" t="n"/>
      <c r="BL16" s="38" t="n"/>
      <c r="BM16" s="38" t="n"/>
      <c r="BN16" s="38" t="n"/>
      <c r="BO16" s="38" t="n"/>
      <c r="BP16" s="38" t="n"/>
      <c r="BQ16" s="38" t="n"/>
      <c r="BR16" s="38" t="n"/>
      <c r="BS16" s="38" t="n"/>
      <c r="BT16" s="38" t="n"/>
      <c r="BU16" s="38" t="n"/>
      <c r="BV16" s="38" t="n"/>
      <c r="BW16" s="38" t="n"/>
      <c r="BX16" s="38" t="n"/>
      <c r="BY16" s="181" t="n">
        <v>-0.04</v>
      </c>
      <c r="BZ16" s="181" t="n">
        <v>-0.04</v>
      </c>
      <c r="CA16" s="25" t="n"/>
      <c r="CB16" s="49" t="n"/>
      <c r="CC16" s="49" t="n"/>
      <c r="CD16" s="49" t="n"/>
      <c r="CE16" s="49" t="n"/>
      <c r="CF16" s="20" t="inlineStr">
        <is>
          <t>Input −4%: 1H/26 −11% y/y (lower N.A. modernization deliveries, as guided), Q2/26 −4%.</t>
        </is>
      </c>
      <c r="CN16" s="26" t="inlineStr">
        <is>
          <t xml:space="preserve">  Interest expense, net ($m)</t>
        </is>
      </c>
      <c r="CP16" s="175" t="n">
        <v>311</v>
      </c>
      <c r="CR16" s="14" t="inlineStr">
        <is>
          <t>1H/26 $151m + Q2/26 run-rate ($80m) × 2 — Dellner financing on the revolver / receivables program; not guided.</t>
        </is>
      </c>
    </row>
    <row r="17" ht="15" customHeight="1">
      <c r="B17" s="26" t="inlineStr">
        <is>
          <t xml:space="preserve">  Equipment — sales</t>
        </is>
      </c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174" t="n">
        <v>267.1</v>
      </c>
      <c r="AO17" s="174" t="n">
        <v>531.3</v>
      </c>
      <c r="AP17" s="174" t="n">
        <v>263.3</v>
      </c>
      <c r="AQ17" s="174" t="n">
        <v>638</v>
      </c>
      <c r="AR17" s="174" t="n">
        <v>1699.7</v>
      </c>
      <c r="AS17" s="174" t="n">
        <v>408</v>
      </c>
      <c r="AT17" s="174" t="n">
        <v>334.9</v>
      </c>
      <c r="AU17" s="174" t="n">
        <v>355.3</v>
      </c>
      <c r="AV17" s="174" t="n">
        <v>433.3</v>
      </c>
      <c r="AW17" s="174" t="n">
        <v>1531.5</v>
      </c>
      <c r="AX17" s="174" t="n">
        <v>261.8</v>
      </c>
      <c r="AY17" s="174" t="n">
        <v>327.8</v>
      </c>
      <c r="AZ17" s="174" t="n">
        <v>335.2</v>
      </c>
      <c r="BA17" s="174" t="n">
        <v>377</v>
      </c>
      <c r="BB17" s="174" t="n">
        <v>1302</v>
      </c>
      <c r="BC17" s="174" t="n">
        <v>274</v>
      </c>
      <c r="BD17" s="174" t="n">
        <v>381</v>
      </c>
      <c r="BE17" s="174" t="n">
        <v>443</v>
      </c>
      <c r="BF17" s="174" t="n">
        <v>430</v>
      </c>
      <c r="BG17" s="174" t="n">
        <v>1528</v>
      </c>
      <c r="BH17" s="174" t="n">
        <v>393</v>
      </c>
      <c r="BI17" s="174" t="n">
        <v>415</v>
      </c>
      <c r="BJ17" s="174" t="n">
        <v>615</v>
      </c>
      <c r="BK17" s="174" t="n">
        <v>347</v>
      </c>
      <c r="BL17" s="174" t="n">
        <v>1770</v>
      </c>
      <c r="BM17" s="174" t="n">
        <v>526</v>
      </c>
      <c r="BN17" s="174" t="n">
        <v>570</v>
      </c>
      <c r="BO17" s="174" t="n">
        <v>513</v>
      </c>
      <c r="BP17" s="174" t="n">
        <v>499</v>
      </c>
      <c r="BQ17" s="174" t="n">
        <v>2108</v>
      </c>
      <c r="BR17" s="174" t="n">
        <v>476</v>
      </c>
      <c r="BS17" s="174" t="n">
        <v>546</v>
      </c>
      <c r="BT17" s="174" t="n">
        <v>677</v>
      </c>
      <c r="BU17" s="174" t="n">
        <v>666</v>
      </c>
      <c r="BV17" s="174" t="n">
        <v>2365</v>
      </c>
      <c r="BW17" s="174" t="n">
        <v>726</v>
      </c>
      <c r="BX17" s="174" t="n">
        <v>737</v>
      </c>
      <c r="BY17" s="178">
        <f>BT17*(1+BY18)</f>
        <v/>
      </c>
      <c r="BZ17" s="178">
        <f>BU17*(1+BZ18)</f>
        <v/>
      </c>
      <c r="CA17" s="178">
        <f>SUM(BW17,BX17,BY17,BZ17)</f>
        <v/>
      </c>
      <c r="CB17" s="178">
        <f>CA17*(1+CB18)</f>
        <v/>
      </c>
      <c r="CC17" s="178">
        <f>CB17*(1+CC18)</f>
        <v/>
      </c>
      <c r="CD17" s="178">
        <f>CC17*(1+CD18)</f>
        <v/>
      </c>
      <c r="CE17" s="178">
        <f>CD17*(1+CE18)</f>
        <v/>
      </c>
      <c r="CF17" s="20" t="inlineStr">
        <is>
          <t>Product-line sales as published (from 2019, GE Transportation merger). Q3/Q4-26E: prior-year quarter × (1 + growth). 2027E+: prior year × (1 + scenario lever).</t>
        </is>
      </c>
      <c r="CH17" s="21">
        <f>IFERROR((CE17/BV17)^(1/5)-1,"n/m")</f>
        <v/>
      </c>
      <c r="CI17" s="21">
        <f>IFERROR((BV17/AW17)^(1/5)-1,"n/m")</f>
        <v/>
      </c>
      <c r="CJ17" s="21">
        <f>IFERROR((BV17/X17)^(1/10)-1,"n/m")</f>
        <v/>
      </c>
      <c r="CK17" s="21">
        <f>IFERROR((BV17/C17)^(1/19)-1,"n/m")</f>
        <v/>
      </c>
      <c r="CN17" s="26" t="inlineStr">
        <is>
          <t xml:space="preserve">  Other income (expense), net ($m)</t>
        </is>
      </c>
      <c r="CP17" s="175" t="n">
        <v>21</v>
      </c>
      <c r="CR17" s="14" t="inlineStr">
        <is>
          <t>1H/26 actual $21m; 2H/26 assumed nil (Q2/26 −$2m).</t>
        </is>
      </c>
    </row>
    <row r="18" ht="15" customHeight="1">
      <c r="B18" s="23" t="inlineStr">
        <is>
          <t xml:space="preserve">    y/y %</t>
        </is>
      </c>
      <c r="D18" s="179">
        <f>IF(AND(ISNUMBER(D17),ISNUMBER(C17)),IFERROR(D17/C17-1,""),"")</f>
        <v/>
      </c>
      <c r="E18" s="179">
        <f>IF(AND(ISNUMBER(E17),ISNUMBER(D17)),IFERROR(E17/D17-1,""),"")</f>
        <v/>
      </c>
      <c r="F18" s="179">
        <f>IF(AND(ISNUMBER(F17),ISNUMBER(E17)),IFERROR(F17/E17-1,""),"")</f>
        <v/>
      </c>
      <c r="G18" s="179">
        <f>IF(AND(ISNUMBER(G17),ISNUMBER(F17)),IFERROR(G17/F17-1,""),"")</f>
        <v/>
      </c>
      <c r="H18" s="179">
        <f>IF(AND(ISNUMBER(H17),ISNUMBER(G17)),IFERROR(H17/G17-1,""),"")</f>
        <v/>
      </c>
      <c r="I18" s="179">
        <f>IF(AND(ISNUMBER(I17),ISNUMBER(H17)),IFERROR(I17/H17-1,""),"")</f>
        <v/>
      </c>
      <c r="N18" s="179">
        <f>IF(AND(ISNUMBER(N17),ISNUMBER(I17)),IFERROR(N17/I17-1,""),"")</f>
        <v/>
      </c>
      <c r="O18" s="179">
        <f>IF(AND(ISNUMBER(O17),ISNUMBER(J17)),IFERROR(O17/J17-1,""),"")</f>
        <v/>
      </c>
      <c r="P18" s="179">
        <f>IF(AND(ISNUMBER(P17),ISNUMBER(K17)),IFERROR(P17/K17-1,""),"")</f>
        <v/>
      </c>
      <c r="Q18" s="179">
        <f>IF(AND(ISNUMBER(Q17),ISNUMBER(L17)),IFERROR(Q17/L17-1,""),"")</f>
        <v/>
      </c>
      <c r="R18" s="179">
        <f>IF(AND(ISNUMBER(R17),ISNUMBER(M17)),IFERROR(R17/M17-1,""),"")</f>
        <v/>
      </c>
      <c r="S18" s="179">
        <f>IF(AND(ISNUMBER(S17),ISNUMBER(N17)),IFERROR(S17/N17-1,""),"")</f>
        <v/>
      </c>
      <c r="T18" s="179">
        <f>IF(AND(ISNUMBER(T17),ISNUMBER(O17)),IFERROR(T17/O17-1,""),"")</f>
        <v/>
      </c>
      <c r="U18" s="179">
        <f>IF(AND(ISNUMBER(U17),ISNUMBER(P17)),IFERROR(U17/P17-1,""),"")</f>
        <v/>
      </c>
      <c r="V18" s="179">
        <f>IF(AND(ISNUMBER(V17),ISNUMBER(Q17)),IFERROR(V17/Q17-1,""),"")</f>
        <v/>
      </c>
      <c r="W18" s="179">
        <f>IF(AND(ISNUMBER(W17),ISNUMBER(R17)),IFERROR(W17/R17-1,""),"")</f>
        <v/>
      </c>
      <c r="X18" s="179">
        <f>IF(AND(ISNUMBER(X17),ISNUMBER(S17)),IFERROR(X17/S17-1,""),"")</f>
        <v/>
      </c>
      <c r="Y18" s="179">
        <f>IF(AND(ISNUMBER(Y17),ISNUMBER(T17)),IFERROR(Y17/T17-1,""),"")</f>
        <v/>
      </c>
      <c r="Z18" s="179">
        <f>IF(AND(ISNUMBER(Z17),ISNUMBER(U17)),IFERROR(Z17/U17-1,""),"")</f>
        <v/>
      </c>
      <c r="AA18" s="179">
        <f>IF(AND(ISNUMBER(AA17),ISNUMBER(V17)),IFERROR(AA17/V17-1,""),"")</f>
        <v/>
      </c>
      <c r="AB18" s="179">
        <f>IF(AND(ISNUMBER(AB17),ISNUMBER(W17)),IFERROR(AB17/W17-1,""),"")</f>
        <v/>
      </c>
      <c r="AC18" s="179">
        <f>IF(AND(ISNUMBER(AC17),ISNUMBER(X17)),IFERROR(AC17/X17-1,""),"")</f>
        <v/>
      </c>
      <c r="AD18" s="179">
        <f>IF(AND(ISNUMBER(AD17),ISNUMBER(Y17)),IFERROR(AD17/Y17-1,""),"")</f>
        <v/>
      </c>
      <c r="AE18" s="179">
        <f>IF(AND(ISNUMBER(AE17),ISNUMBER(Z17)),IFERROR(AE17/Z17-1,""),"")</f>
        <v/>
      </c>
      <c r="AF18" s="179">
        <f>IF(AND(ISNUMBER(AF17),ISNUMBER(AA17)),IFERROR(AF17/AA17-1,""),"")</f>
        <v/>
      </c>
      <c r="AG18" s="179">
        <f>IF(AND(ISNUMBER(AG17),ISNUMBER(AB17)),IFERROR(AG17/AB17-1,""),"")</f>
        <v/>
      </c>
      <c r="AH18" s="179">
        <f>IF(AND(ISNUMBER(AH17),ISNUMBER(AC17)),IFERROR(AH17/AC17-1,""),"")</f>
        <v/>
      </c>
      <c r="AI18" s="179">
        <f>IF(AND(ISNUMBER(AI17),ISNUMBER(AD17)),IFERROR(AI17/AD17-1,""),"")</f>
        <v/>
      </c>
      <c r="AJ18" s="179">
        <f>IF(AND(ISNUMBER(AJ17),ISNUMBER(AE17)),IFERROR(AJ17/AE17-1,""),"")</f>
        <v/>
      </c>
      <c r="AK18" s="179">
        <f>IF(AND(ISNUMBER(AK17),ISNUMBER(AF17)),IFERROR(AK17/AF17-1,""),"")</f>
        <v/>
      </c>
      <c r="AL18" s="179">
        <f>IF(AND(ISNUMBER(AL17),ISNUMBER(AG17)),IFERROR(AL17/AG17-1,""),"")</f>
        <v/>
      </c>
      <c r="AM18" s="179">
        <f>IF(AND(ISNUMBER(AM17),ISNUMBER(AH17)),IFERROR(AM17/AH17-1,""),"")</f>
        <v/>
      </c>
      <c r="AN18" s="179">
        <f>IF(AND(ISNUMBER(AN17),ISNUMBER(AI17)),IFERROR(AN17/AI17-1,""),"")</f>
        <v/>
      </c>
      <c r="AO18" s="179">
        <f>IF(AND(ISNUMBER(AO17),ISNUMBER(AJ17)),IFERROR(AO17/AJ17-1,""),"")</f>
        <v/>
      </c>
      <c r="AP18" s="179">
        <f>IF(AND(ISNUMBER(AP17),ISNUMBER(AK17)),IFERROR(AP17/AK17-1,""),"")</f>
        <v/>
      </c>
      <c r="AQ18" s="179">
        <f>IF(AND(ISNUMBER(AQ17),ISNUMBER(AL17)),IFERROR(AQ17/AL17-1,""),"")</f>
        <v/>
      </c>
      <c r="AR18" s="179">
        <f>IF(AND(ISNUMBER(AR17),ISNUMBER(AM17)),IFERROR(AR17/AM17-1,""),"")</f>
        <v/>
      </c>
      <c r="AS18" s="179">
        <f>IF(AND(ISNUMBER(AS17),ISNUMBER(AN17)),IFERROR(AS17/AN17-1,""),"")</f>
        <v/>
      </c>
      <c r="AT18" s="179">
        <f>IF(AND(ISNUMBER(AT17),ISNUMBER(AO17)),IFERROR(AT17/AO17-1,""),"")</f>
        <v/>
      </c>
      <c r="AU18" s="179">
        <f>IF(AND(ISNUMBER(AU17),ISNUMBER(AP17)),IFERROR(AU17/AP17-1,""),"")</f>
        <v/>
      </c>
      <c r="AV18" s="179">
        <f>IF(AND(ISNUMBER(AV17),ISNUMBER(AQ17)),IFERROR(AV17/AQ17-1,""),"")</f>
        <v/>
      </c>
      <c r="AW18" s="179">
        <f>IF(AND(ISNUMBER(AW17),ISNUMBER(AR17)),IFERROR(AW17/AR17-1,""),"")</f>
        <v/>
      </c>
      <c r="AX18" s="179">
        <f>IF(AND(ISNUMBER(AX17),ISNUMBER(AS17)),IFERROR(AX17/AS17-1,""),"")</f>
        <v/>
      </c>
      <c r="AY18" s="179">
        <f>IF(AND(ISNUMBER(AY17),ISNUMBER(AT17)),IFERROR(AY17/AT17-1,""),"")</f>
        <v/>
      </c>
      <c r="AZ18" s="179">
        <f>IF(AND(ISNUMBER(AZ17),ISNUMBER(AU17)),IFERROR(AZ17/AU17-1,""),"")</f>
        <v/>
      </c>
      <c r="BA18" s="179">
        <f>IF(AND(ISNUMBER(BA17),ISNUMBER(AV17)),IFERROR(BA17/AV17-1,""),"")</f>
        <v/>
      </c>
      <c r="BB18" s="179">
        <f>IF(AND(ISNUMBER(BB17),ISNUMBER(AW17)),IFERROR(BB17/AW17-1,""),"")</f>
        <v/>
      </c>
      <c r="BC18" s="179">
        <f>IF(AND(ISNUMBER(BC17),ISNUMBER(AX17)),IFERROR(BC17/AX17-1,""),"")</f>
        <v/>
      </c>
      <c r="BD18" s="179">
        <f>IF(AND(ISNUMBER(BD17),ISNUMBER(AY17)),IFERROR(BD17/AY17-1,""),"")</f>
        <v/>
      </c>
      <c r="BE18" s="179">
        <f>IF(AND(ISNUMBER(BE17),ISNUMBER(AZ17)),IFERROR(BE17/AZ17-1,""),"")</f>
        <v/>
      </c>
      <c r="BF18" s="179">
        <f>IF(AND(ISNUMBER(BF17),ISNUMBER(BA17)),IFERROR(BF17/BA17-1,""),"")</f>
        <v/>
      </c>
      <c r="BG18" s="179">
        <f>IF(AND(ISNUMBER(BG17),ISNUMBER(BB17)),IFERROR(BG17/BB17-1,""),"")</f>
        <v/>
      </c>
      <c r="BH18" s="179">
        <f>IF(AND(ISNUMBER(BH17),ISNUMBER(BC17)),IFERROR(BH17/BC17-1,""),"")</f>
        <v/>
      </c>
      <c r="BI18" s="179">
        <f>IF(AND(ISNUMBER(BI17),ISNUMBER(BD17)),IFERROR(BI17/BD17-1,""),"")</f>
        <v/>
      </c>
      <c r="BJ18" s="179">
        <f>IF(AND(ISNUMBER(BJ17),ISNUMBER(BE17)),IFERROR(BJ17/BE17-1,""),"")</f>
        <v/>
      </c>
      <c r="BK18" s="179">
        <f>IF(AND(ISNUMBER(BK17),ISNUMBER(BF17)),IFERROR(BK17/BF17-1,""),"")</f>
        <v/>
      </c>
      <c r="BL18" s="179">
        <f>IF(AND(ISNUMBER(BL17),ISNUMBER(BG17)),IFERROR(BL17/BG17-1,""),"")</f>
        <v/>
      </c>
      <c r="BM18" s="179">
        <f>IF(AND(ISNUMBER(BM17),ISNUMBER(BH17)),IFERROR(BM17/BH17-1,""),"")</f>
        <v/>
      </c>
      <c r="BN18" s="179">
        <f>IF(AND(ISNUMBER(BN17),ISNUMBER(BI17)),IFERROR(BN17/BI17-1,""),"")</f>
        <v/>
      </c>
      <c r="BO18" s="179">
        <f>IF(AND(ISNUMBER(BO17),ISNUMBER(BJ17)),IFERROR(BO17/BJ17-1,""),"")</f>
        <v/>
      </c>
      <c r="BP18" s="179">
        <f>IF(AND(ISNUMBER(BP17),ISNUMBER(BK17)),IFERROR(BP17/BK17-1,""),"")</f>
        <v/>
      </c>
      <c r="BQ18" s="179">
        <f>IF(AND(ISNUMBER(BQ17),ISNUMBER(BL17)),IFERROR(BQ17/BL17-1,""),"")</f>
        <v/>
      </c>
      <c r="BR18" s="179">
        <f>IF(AND(ISNUMBER(BR17),ISNUMBER(BM17)),IFERROR(BR17/BM17-1,""),"")</f>
        <v/>
      </c>
      <c r="BS18" s="179">
        <f>IF(AND(ISNUMBER(BS17),ISNUMBER(BN17)),IFERROR(BS17/BN17-1,""),"")</f>
        <v/>
      </c>
      <c r="BT18" s="179">
        <f>IF(AND(ISNUMBER(BT17),ISNUMBER(BO17)),IFERROR(BT17/BO17-1,""),"")</f>
        <v/>
      </c>
      <c r="BU18" s="179">
        <f>IF(AND(ISNUMBER(BU17),ISNUMBER(BP17)),IFERROR(BU17/BP17-1,""),"")</f>
        <v/>
      </c>
      <c r="BV18" s="179">
        <f>IF(AND(ISNUMBER(BV17),ISNUMBER(BQ17)),IFERROR(BV17/BQ17-1,""),"")</f>
        <v/>
      </c>
      <c r="BW18" s="179">
        <f>IF(AND(ISNUMBER(BW17),ISNUMBER(BR17)),IFERROR(BW17/BR17-1,""),"")</f>
        <v/>
      </c>
      <c r="BX18" s="179">
        <f>IF(AND(ISNUMBER(BX17),ISNUMBER(BS17)),IFERROR(BX17/BS17-1,""),"")</f>
        <v/>
      </c>
      <c r="BY18" s="180">
        <f>BY19+$BY$109</f>
        <v/>
      </c>
      <c r="BZ18" s="180">
        <f>BZ19+$BY$109</f>
        <v/>
      </c>
      <c r="CA18" s="180">
        <f>IF(AND(ISNUMBER(CA17),ISNUMBER(BV17)),IFERROR(CA17/BV17-1,""),"")</f>
        <v/>
      </c>
      <c r="CB18" s="180">
        <f>CHOOSE(MATCH($CF$2,{"Bull","Base","Bear"},0),$CO$36,$CP$36,$CQ$36)</f>
        <v/>
      </c>
      <c r="CC18" s="180">
        <f>CHOOSE(MATCH($CF$2,{"Bull","Base","Bear"},0),$CO$37,$CP$37,$CQ$37)</f>
        <v/>
      </c>
      <c r="CD18" s="180">
        <f>CHOOSE(MATCH($CF$2,{"Bull","Base","Bear"},0),$CO$38,$CP$38,$CQ$38)</f>
        <v/>
      </c>
      <c r="CE18" s="180">
        <f>CHOOSE(MATCH($CF$2,{"Bull","Base","Bear"},0),$CO$39,$CP$39,$CQ$39)</f>
        <v/>
      </c>
      <c r="CF18" s="6" t="inlineStr">
        <is>
          <t>Q3/Q4-26E: growth input (row below) + revenue-outlook calibration Δ (Group block). 2027E–2030E: scenario lever (Bull/Base/Bear table →).</t>
        </is>
      </c>
      <c r="CN18" s="26" t="inlineStr">
        <is>
          <t xml:space="preserve">  Tax rate (GAAP &amp; adjusted)</t>
        </is>
      </c>
      <c r="CP18" s="182" t="n">
        <v>0.245</v>
      </c>
      <c r="CR18" s="14" t="inlineStr">
        <is>
          <t>FY26 guidance slide: tax rate ~24.5%.</t>
        </is>
      </c>
    </row>
    <row r="19" ht="15" customHeight="1">
      <c r="B19" s="26" t="inlineStr">
        <is>
          <t xml:space="preserve">    Q3/Q4-26E growth input before revenue calibration</t>
        </is>
      </c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  <c r="BA19" s="38" t="n"/>
      <c r="BB19" s="38" t="n"/>
      <c r="BC19" s="38" t="n"/>
      <c r="BD19" s="38" t="n"/>
      <c r="BE19" s="38" t="n"/>
      <c r="BF19" s="38" t="n"/>
      <c r="BG19" s="38" t="n"/>
      <c r="BH19" s="38" t="n"/>
      <c r="BI19" s="38" t="n"/>
      <c r="BJ19" s="38" t="n"/>
      <c r="BK19" s="38" t="n"/>
      <c r="BL19" s="38" t="n"/>
      <c r="BM19" s="38" t="n"/>
      <c r="BN19" s="38" t="n"/>
      <c r="BO19" s="38" t="n"/>
      <c r="BP19" s="38" t="n"/>
      <c r="BQ19" s="38" t="n"/>
      <c r="BR19" s="38" t="n"/>
      <c r="BS19" s="38" t="n"/>
      <c r="BT19" s="38" t="n"/>
      <c r="BU19" s="38" t="n"/>
      <c r="BV19" s="38" t="n"/>
      <c r="BW19" s="38" t="n"/>
      <c r="BX19" s="38" t="n"/>
      <c r="BY19" s="181" t="n">
        <v>0.12</v>
      </c>
      <c r="BZ19" s="181" t="n">
        <v>0.12</v>
      </c>
      <c r="CA19" s="25" t="n"/>
      <c r="CB19" s="49" t="n"/>
      <c r="CC19" s="49" t="n"/>
      <c r="CD19" s="49" t="n"/>
      <c r="CE19" s="49" t="n"/>
      <c r="CF19" s="20" t="inlineStr">
        <is>
          <t>Input +12%: 1H/26 +43% (international locomotive deliveries); tougher comparisons in 2H (Q3-25 $677m, Q4-25 $666m).</t>
        </is>
      </c>
      <c r="CN19" s="26" t="inlineStr">
        <is>
          <t xml:space="preserve">  Capital expenditures ($m)</t>
        </is>
      </c>
      <c r="CP19" s="175" t="n">
        <v>250</v>
      </c>
      <c r="CR19" s="14" t="inlineStr">
        <is>
          <t>Guidance: capex ~2% of sales (≈$250m on the mid-point); 1H/26 $108m.</t>
        </is>
      </c>
    </row>
    <row r="20" ht="15" customHeight="1">
      <c r="B20" s="26" t="inlineStr">
        <is>
          <t xml:space="preserve">  Components — sales</t>
        </is>
      </c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174" t="n">
        <v>295.2</v>
      </c>
      <c r="AO20" s="174" t="n">
        <v>279.5</v>
      </c>
      <c r="AP20" s="174" t="n">
        <v>248.7</v>
      </c>
      <c r="AQ20" s="174" t="n">
        <v>250.1</v>
      </c>
      <c r="AR20" s="174" t="n">
        <v>1073.5</v>
      </c>
      <c r="AS20" s="174" t="n">
        <v>220.4</v>
      </c>
      <c r="AT20" s="174" t="n">
        <v>195.5</v>
      </c>
      <c r="AU20" s="174" t="n">
        <v>208.2</v>
      </c>
      <c r="AV20" s="174" t="n">
        <v>194.6</v>
      </c>
      <c r="AW20" s="174" t="n">
        <v>818.7</v>
      </c>
      <c r="AX20" s="174" t="n">
        <v>202.5</v>
      </c>
      <c r="AY20" s="174" t="n">
        <v>224.3</v>
      </c>
      <c r="AZ20" s="174" t="n">
        <v>222.1</v>
      </c>
      <c r="BA20" s="174" t="n">
        <v>218</v>
      </c>
      <c r="BB20" s="174" t="n">
        <v>867</v>
      </c>
      <c r="BC20" s="174" t="n">
        <v>229</v>
      </c>
      <c r="BD20" s="174" t="n">
        <v>234</v>
      </c>
      <c r="BE20" s="174" t="n">
        <v>232</v>
      </c>
      <c r="BF20" s="174" t="n">
        <v>241</v>
      </c>
      <c r="BG20" s="174" t="n">
        <v>936</v>
      </c>
      <c r="BH20" s="174" t="n">
        <v>279</v>
      </c>
      <c r="BI20" s="174" t="n">
        <v>288</v>
      </c>
      <c r="BJ20" s="174" t="n">
        <v>307</v>
      </c>
      <c r="BK20" s="174" t="n">
        <v>283</v>
      </c>
      <c r="BL20" s="174" t="n">
        <v>1157</v>
      </c>
      <c r="BM20" s="174" t="n">
        <v>293</v>
      </c>
      <c r="BN20" s="174" t="n">
        <v>322</v>
      </c>
      <c r="BO20" s="174" t="n">
        <v>296</v>
      </c>
      <c r="BP20" s="174" t="n">
        <v>282</v>
      </c>
      <c r="BQ20" s="174" t="n">
        <v>1193</v>
      </c>
      <c r="BR20" s="174" t="n">
        <v>381</v>
      </c>
      <c r="BS20" s="174" t="n">
        <v>401</v>
      </c>
      <c r="BT20" s="174" t="n">
        <v>375</v>
      </c>
      <c r="BU20" s="174" t="n">
        <v>429</v>
      </c>
      <c r="BV20" s="174" t="n">
        <v>1586</v>
      </c>
      <c r="BW20" s="174" t="n">
        <v>357</v>
      </c>
      <c r="BX20" s="174" t="n">
        <v>398</v>
      </c>
      <c r="BY20" s="178">
        <f>BT20*(1+BY21)</f>
        <v/>
      </c>
      <c r="BZ20" s="178">
        <f>BU20*(1+BZ21)</f>
        <v/>
      </c>
      <c r="CA20" s="178">
        <f>SUM(BW20,BX20,BY20,BZ20)</f>
        <v/>
      </c>
      <c r="CB20" s="178">
        <f>CA20*(1+CB21)</f>
        <v/>
      </c>
      <c r="CC20" s="178">
        <f>CB20*(1+CC21)</f>
        <v/>
      </c>
      <c r="CD20" s="178">
        <f>CC20*(1+CD21)</f>
        <v/>
      </c>
      <c r="CE20" s="178">
        <f>CD20*(1+CE21)</f>
        <v/>
      </c>
      <c r="CF20" s="20" t="inlineStr">
        <is>
          <t>Product-line sales as published (from 2019, GE Transportation merger). Q3/Q4-26E: prior-year quarter × (1 + growth). 2027E+: prior year × (1 + scenario lever).</t>
        </is>
      </c>
      <c r="CH20" s="21">
        <f>IFERROR((CE20/BV20)^(1/5)-1,"n/m")</f>
        <v/>
      </c>
      <c r="CI20" s="21">
        <f>IFERROR((BV20/AW20)^(1/5)-1,"n/m")</f>
        <v/>
      </c>
      <c r="CJ20" s="21">
        <f>IFERROR((BV20/X20)^(1/10)-1,"n/m")</f>
        <v/>
      </c>
      <c r="CK20" s="21">
        <f>IFERROR((BV20/C20)^(1/19)-1,"n/m")</f>
        <v/>
      </c>
      <c r="CN20" s="26" t="inlineStr">
        <is>
          <t xml:space="preserve">  Restructuring &amp; portfolio optimization costs ($m)</t>
        </is>
      </c>
      <c r="CP20" s="175" t="n">
        <v>15</v>
      </c>
      <c r="CR20" s="14" t="inlineStr">
        <is>
          <t>1H/26 $5m; Integration 3.0 / Portfolio Optimization; analyst point estimate.</t>
        </is>
      </c>
    </row>
    <row r="21" ht="15" customHeight="1">
      <c r="B21" s="23" t="inlineStr">
        <is>
          <t xml:space="preserve">    y/y %</t>
        </is>
      </c>
      <c r="D21" s="179">
        <f>IF(AND(ISNUMBER(D20),ISNUMBER(C20)),IFERROR(D20/C20-1,""),"")</f>
        <v/>
      </c>
      <c r="E21" s="179">
        <f>IF(AND(ISNUMBER(E20),ISNUMBER(D20)),IFERROR(E20/D20-1,""),"")</f>
        <v/>
      </c>
      <c r="F21" s="179">
        <f>IF(AND(ISNUMBER(F20),ISNUMBER(E20)),IFERROR(F20/E20-1,""),"")</f>
        <v/>
      </c>
      <c r="G21" s="179">
        <f>IF(AND(ISNUMBER(G20),ISNUMBER(F20)),IFERROR(G20/F20-1,""),"")</f>
        <v/>
      </c>
      <c r="H21" s="179">
        <f>IF(AND(ISNUMBER(H20),ISNUMBER(G20)),IFERROR(H20/G20-1,""),"")</f>
        <v/>
      </c>
      <c r="I21" s="179">
        <f>IF(AND(ISNUMBER(I20),ISNUMBER(H20)),IFERROR(I20/H20-1,""),"")</f>
        <v/>
      </c>
      <c r="N21" s="179">
        <f>IF(AND(ISNUMBER(N20),ISNUMBER(I20)),IFERROR(N20/I20-1,""),"")</f>
        <v/>
      </c>
      <c r="O21" s="179">
        <f>IF(AND(ISNUMBER(O20),ISNUMBER(J20)),IFERROR(O20/J20-1,""),"")</f>
        <v/>
      </c>
      <c r="P21" s="179">
        <f>IF(AND(ISNUMBER(P20),ISNUMBER(K20)),IFERROR(P20/K20-1,""),"")</f>
        <v/>
      </c>
      <c r="Q21" s="179">
        <f>IF(AND(ISNUMBER(Q20),ISNUMBER(L20)),IFERROR(Q20/L20-1,""),"")</f>
        <v/>
      </c>
      <c r="R21" s="179">
        <f>IF(AND(ISNUMBER(R20),ISNUMBER(M20)),IFERROR(R20/M20-1,""),"")</f>
        <v/>
      </c>
      <c r="S21" s="179">
        <f>IF(AND(ISNUMBER(S20),ISNUMBER(N20)),IFERROR(S20/N20-1,""),"")</f>
        <v/>
      </c>
      <c r="T21" s="179">
        <f>IF(AND(ISNUMBER(T20),ISNUMBER(O20)),IFERROR(T20/O20-1,""),"")</f>
        <v/>
      </c>
      <c r="U21" s="179">
        <f>IF(AND(ISNUMBER(U20),ISNUMBER(P20)),IFERROR(U20/P20-1,""),"")</f>
        <v/>
      </c>
      <c r="V21" s="179">
        <f>IF(AND(ISNUMBER(V20),ISNUMBER(Q20)),IFERROR(V20/Q20-1,""),"")</f>
        <v/>
      </c>
      <c r="W21" s="179">
        <f>IF(AND(ISNUMBER(W20),ISNUMBER(R20)),IFERROR(W20/R20-1,""),"")</f>
        <v/>
      </c>
      <c r="X21" s="179">
        <f>IF(AND(ISNUMBER(X20),ISNUMBER(S20)),IFERROR(X20/S20-1,""),"")</f>
        <v/>
      </c>
      <c r="Y21" s="179">
        <f>IF(AND(ISNUMBER(Y20),ISNUMBER(T20)),IFERROR(Y20/T20-1,""),"")</f>
        <v/>
      </c>
      <c r="Z21" s="179">
        <f>IF(AND(ISNUMBER(Z20),ISNUMBER(U20)),IFERROR(Z20/U20-1,""),"")</f>
        <v/>
      </c>
      <c r="AA21" s="179">
        <f>IF(AND(ISNUMBER(AA20),ISNUMBER(V20)),IFERROR(AA20/V20-1,""),"")</f>
        <v/>
      </c>
      <c r="AB21" s="179">
        <f>IF(AND(ISNUMBER(AB20),ISNUMBER(W20)),IFERROR(AB20/W20-1,""),"")</f>
        <v/>
      </c>
      <c r="AC21" s="179">
        <f>IF(AND(ISNUMBER(AC20),ISNUMBER(X20)),IFERROR(AC20/X20-1,""),"")</f>
        <v/>
      </c>
      <c r="AD21" s="179">
        <f>IF(AND(ISNUMBER(AD20),ISNUMBER(Y20)),IFERROR(AD20/Y20-1,""),"")</f>
        <v/>
      </c>
      <c r="AE21" s="179">
        <f>IF(AND(ISNUMBER(AE20),ISNUMBER(Z20)),IFERROR(AE20/Z20-1,""),"")</f>
        <v/>
      </c>
      <c r="AF21" s="179">
        <f>IF(AND(ISNUMBER(AF20),ISNUMBER(AA20)),IFERROR(AF20/AA20-1,""),"")</f>
        <v/>
      </c>
      <c r="AG21" s="179">
        <f>IF(AND(ISNUMBER(AG20),ISNUMBER(AB20)),IFERROR(AG20/AB20-1,""),"")</f>
        <v/>
      </c>
      <c r="AH21" s="179">
        <f>IF(AND(ISNUMBER(AH20),ISNUMBER(AC20)),IFERROR(AH20/AC20-1,""),"")</f>
        <v/>
      </c>
      <c r="AI21" s="179">
        <f>IF(AND(ISNUMBER(AI20),ISNUMBER(AD20)),IFERROR(AI20/AD20-1,""),"")</f>
        <v/>
      </c>
      <c r="AJ21" s="179">
        <f>IF(AND(ISNUMBER(AJ20),ISNUMBER(AE20)),IFERROR(AJ20/AE20-1,""),"")</f>
        <v/>
      </c>
      <c r="AK21" s="179">
        <f>IF(AND(ISNUMBER(AK20),ISNUMBER(AF20)),IFERROR(AK20/AF20-1,""),"")</f>
        <v/>
      </c>
      <c r="AL21" s="179">
        <f>IF(AND(ISNUMBER(AL20),ISNUMBER(AG20)),IFERROR(AL20/AG20-1,""),"")</f>
        <v/>
      </c>
      <c r="AM21" s="179">
        <f>IF(AND(ISNUMBER(AM20),ISNUMBER(AH20)),IFERROR(AM20/AH20-1,""),"")</f>
        <v/>
      </c>
      <c r="AN21" s="179">
        <f>IF(AND(ISNUMBER(AN20),ISNUMBER(AI20)),IFERROR(AN20/AI20-1,""),"")</f>
        <v/>
      </c>
      <c r="AO21" s="179">
        <f>IF(AND(ISNUMBER(AO20),ISNUMBER(AJ20)),IFERROR(AO20/AJ20-1,""),"")</f>
        <v/>
      </c>
      <c r="AP21" s="179">
        <f>IF(AND(ISNUMBER(AP20),ISNUMBER(AK20)),IFERROR(AP20/AK20-1,""),"")</f>
        <v/>
      </c>
      <c r="AQ21" s="179">
        <f>IF(AND(ISNUMBER(AQ20),ISNUMBER(AL20)),IFERROR(AQ20/AL20-1,""),"")</f>
        <v/>
      </c>
      <c r="AR21" s="179">
        <f>IF(AND(ISNUMBER(AR20),ISNUMBER(AM20)),IFERROR(AR20/AM20-1,""),"")</f>
        <v/>
      </c>
      <c r="AS21" s="179">
        <f>IF(AND(ISNUMBER(AS20),ISNUMBER(AN20)),IFERROR(AS20/AN20-1,""),"")</f>
        <v/>
      </c>
      <c r="AT21" s="179">
        <f>IF(AND(ISNUMBER(AT20),ISNUMBER(AO20)),IFERROR(AT20/AO20-1,""),"")</f>
        <v/>
      </c>
      <c r="AU21" s="179">
        <f>IF(AND(ISNUMBER(AU20),ISNUMBER(AP20)),IFERROR(AU20/AP20-1,""),"")</f>
        <v/>
      </c>
      <c r="AV21" s="179">
        <f>IF(AND(ISNUMBER(AV20),ISNUMBER(AQ20)),IFERROR(AV20/AQ20-1,""),"")</f>
        <v/>
      </c>
      <c r="AW21" s="179">
        <f>IF(AND(ISNUMBER(AW20),ISNUMBER(AR20)),IFERROR(AW20/AR20-1,""),"")</f>
        <v/>
      </c>
      <c r="AX21" s="179">
        <f>IF(AND(ISNUMBER(AX20),ISNUMBER(AS20)),IFERROR(AX20/AS20-1,""),"")</f>
        <v/>
      </c>
      <c r="AY21" s="179">
        <f>IF(AND(ISNUMBER(AY20),ISNUMBER(AT20)),IFERROR(AY20/AT20-1,""),"")</f>
        <v/>
      </c>
      <c r="AZ21" s="179">
        <f>IF(AND(ISNUMBER(AZ20),ISNUMBER(AU20)),IFERROR(AZ20/AU20-1,""),"")</f>
        <v/>
      </c>
      <c r="BA21" s="179">
        <f>IF(AND(ISNUMBER(BA20),ISNUMBER(AV20)),IFERROR(BA20/AV20-1,""),"")</f>
        <v/>
      </c>
      <c r="BB21" s="179">
        <f>IF(AND(ISNUMBER(BB20),ISNUMBER(AW20)),IFERROR(BB20/AW20-1,""),"")</f>
        <v/>
      </c>
      <c r="BC21" s="179">
        <f>IF(AND(ISNUMBER(BC20),ISNUMBER(AX20)),IFERROR(BC20/AX20-1,""),"")</f>
        <v/>
      </c>
      <c r="BD21" s="179">
        <f>IF(AND(ISNUMBER(BD20),ISNUMBER(AY20)),IFERROR(BD20/AY20-1,""),"")</f>
        <v/>
      </c>
      <c r="BE21" s="179">
        <f>IF(AND(ISNUMBER(BE20),ISNUMBER(AZ20)),IFERROR(BE20/AZ20-1,""),"")</f>
        <v/>
      </c>
      <c r="BF21" s="179">
        <f>IF(AND(ISNUMBER(BF20),ISNUMBER(BA20)),IFERROR(BF20/BA20-1,""),"")</f>
        <v/>
      </c>
      <c r="BG21" s="179">
        <f>IF(AND(ISNUMBER(BG20),ISNUMBER(BB20)),IFERROR(BG20/BB20-1,""),"")</f>
        <v/>
      </c>
      <c r="BH21" s="179">
        <f>IF(AND(ISNUMBER(BH20),ISNUMBER(BC20)),IFERROR(BH20/BC20-1,""),"")</f>
        <v/>
      </c>
      <c r="BI21" s="179">
        <f>IF(AND(ISNUMBER(BI20),ISNUMBER(BD20)),IFERROR(BI20/BD20-1,""),"")</f>
        <v/>
      </c>
      <c r="BJ21" s="179">
        <f>IF(AND(ISNUMBER(BJ20),ISNUMBER(BE20)),IFERROR(BJ20/BE20-1,""),"")</f>
        <v/>
      </c>
      <c r="BK21" s="179">
        <f>IF(AND(ISNUMBER(BK20),ISNUMBER(BF20)),IFERROR(BK20/BF20-1,""),"")</f>
        <v/>
      </c>
      <c r="BL21" s="179">
        <f>IF(AND(ISNUMBER(BL20),ISNUMBER(BG20)),IFERROR(BL20/BG20-1,""),"")</f>
        <v/>
      </c>
      <c r="BM21" s="179">
        <f>IF(AND(ISNUMBER(BM20),ISNUMBER(BH20)),IFERROR(BM20/BH20-1,""),"")</f>
        <v/>
      </c>
      <c r="BN21" s="179">
        <f>IF(AND(ISNUMBER(BN20),ISNUMBER(BI20)),IFERROR(BN20/BI20-1,""),"")</f>
        <v/>
      </c>
      <c r="BO21" s="179">
        <f>IF(AND(ISNUMBER(BO20),ISNUMBER(BJ20)),IFERROR(BO20/BJ20-1,""),"")</f>
        <v/>
      </c>
      <c r="BP21" s="179">
        <f>IF(AND(ISNUMBER(BP20),ISNUMBER(BK20)),IFERROR(BP20/BK20-1,""),"")</f>
        <v/>
      </c>
      <c r="BQ21" s="179">
        <f>IF(AND(ISNUMBER(BQ20),ISNUMBER(BL20)),IFERROR(BQ20/BL20-1,""),"")</f>
        <v/>
      </c>
      <c r="BR21" s="179">
        <f>IF(AND(ISNUMBER(BR20),ISNUMBER(BM20)),IFERROR(BR20/BM20-1,""),"")</f>
        <v/>
      </c>
      <c r="BS21" s="179">
        <f>IF(AND(ISNUMBER(BS20),ISNUMBER(BN20)),IFERROR(BS20/BN20-1,""),"")</f>
        <v/>
      </c>
      <c r="BT21" s="179">
        <f>IF(AND(ISNUMBER(BT20),ISNUMBER(BO20)),IFERROR(BT20/BO20-1,""),"")</f>
        <v/>
      </c>
      <c r="BU21" s="179">
        <f>IF(AND(ISNUMBER(BU20),ISNUMBER(BP20)),IFERROR(BU20/BP20-1,""),"")</f>
        <v/>
      </c>
      <c r="BV21" s="179">
        <f>IF(AND(ISNUMBER(BV20),ISNUMBER(BQ20)),IFERROR(BV20/BQ20-1,""),"")</f>
        <v/>
      </c>
      <c r="BW21" s="179">
        <f>IF(AND(ISNUMBER(BW20),ISNUMBER(BR20)),IFERROR(BW20/BR20-1,""),"")</f>
        <v/>
      </c>
      <c r="BX21" s="179">
        <f>IF(AND(ISNUMBER(BX20),ISNUMBER(BS20)),IFERROR(BX20/BS20-1,""),"")</f>
        <v/>
      </c>
      <c r="BY21" s="180">
        <f>BY22+$BY$109</f>
        <v/>
      </c>
      <c r="BZ21" s="180">
        <f>BZ22+$BY$109</f>
        <v/>
      </c>
      <c r="CA21" s="180">
        <f>IF(AND(ISNUMBER(CA20),ISNUMBER(BV20)),IFERROR(CA20/BV20-1,""),"")</f>
        <v/>
      </c>
      <c r="CB21" s="180">
        <f>CHOOSE(MATCH($CF$2,{"Bull","Base","Bear"},0),$CO$41,$CP$41,$CQ$41)</f>
        <v/>
      </c>
      <c r="CC21" s="180">
        <f>CHOOSE(MATCH($CF$2,{"Bull","Base","Bear"},0),$CO$42,$CP$42,$CQ$42)</f>
        <v/>
      </c>
      <c r="CD21" s="180">
        <f>CHOOSE(MATCH($CF$2,{"Bull","Base","Bear"},0),$CO$43,$CP$43,$CQ$43)</f>
        <v/>
      </c>
      <c r="CE21" s="180">
        <f>CHOOSE(MATCH($CF$2,{"Bull","Base","Bear"},0),$CO$44,$CP$44,$CQ$44)</f>
        <v/>
      </c>
      <c r="CF21" s="6" t="inlineStr">
        <is>
          <t>Q3/Q4-26E: growth input (row below) + revenue-outlook calibration Δ (Group block). 2027E–2030E: scenario lever (Bull/Base/Bear table →).</t>
        </is>
      </c>
    </row>
    <row r="22" ht="15" customHeight="1">
      <c r="B22" s="26" t="inlineStr">
        <is>
          <t xml:space="preserve">    Q3/Q4-26E growth input before revenue calibration</t>
        </is>
      </c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  <c r="BE22" s="38" t="n"/>
      <c r="BF22" s="38" t="n"/>
      <c r="BG22" s="38" t="n"/>
      <c r="BH22" s="38" t="n"/>
      <c r="BI22" s="38" t="n"/>
      <c r="BJ22" s="38" t="n"/>
      <c r="BK22" s="38" t="n"/>
      <c r="BL22" s="38" t="n"/>
      <c r="BM22" s="38" t="n"/>
      <c r="BN22" s="38" t="n"/>
      <c r="BO22" s="38" t="n"/>
      <c r="BP22" s="38" t="n"/>
      <c r="BQ22" s="38" t="n"/>
      <c r="BR22" s="38" t="n"/>
      <c r="BS22" s="38" t="n"/>
      <c r="BT22" s="38" t="n"/>
      <c r="BU22" s="38" t="n"/>
      <c r="BV22" s="38" t="n"/>
      <c r="BW22" s="38" t="n"/>
      <c r="BX22" s="38" t="n"/>
      <c r="BY22" s="181" t="n">
        <v>0</v>
      </c>
      <c r="BZ22" s="181" t="n">
        <v>0</v>
      </c>
      <c r="CA22" s="25" t="n"/>
      <c r="CB22" s="49" t="n"/>
      <c r="CC22" s="49" t="n"/>
      <c r="CD22" s="49" t="n"/>
      <c r="CE22" s="49" t="n"/>
      <c r="CF22" s="20" t="inlineStr">
        <is>
          <t>Input 0%: 1H/26 −3% (N.A. railcar build down; industrial up).</t>
        </is>
      </c>
    </row>
    <row r="23" ht="15" customHeight="1">
      <c r="B23" s="26" t="inlineStr">
        <is>
          <t xml:space="preserve">  Digital Intelligence (Digital Electronics to 2023) — sales</t>
        </is>
      </c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174" t="n">
        <v>121.8</v>
      </c>
      <c r="AO23" s="174" t="n">
        <v>159</v>
      </c>
      <c r="AP23" s="174" t="n">
        <v>185.5</v>
      </c>
      <c r="AQ23" s="174" t="n">
        <v>210.8</v>
      </c>
      <c r="AR23" s="174" t="n">
        <v>677.1</v>
      </c>
      <c r="AS23" s="174" t="n">
        <v>173.6</v>
      </c>
      <c r="AT23" s="174" t="n">
        <v>165.5</v>
      </c>
      <c r="AU23" s="174" t="n">
        <v>161</v>
      </c>
      <c r="AV23" s="174" t="n">
        <v>163.9</v>
      </c>
      <c r="AW23" s="174" t="n">
        <v>664</v>
      </c>
      <c r="AX23" s="174" t="n">
        <v>156.5</v>
      </c>
      <c r="AY23" s="174" t="n">
        <v>161.8</v>
      </c>
      <c r="AZ23" s="174" t="n">
        <v>155.2</v>
      </c>
      <c r="BA23" s="174" t="n">
        <v>167</v>
      </c>
      <c r="BB23" s="174" t="n">
        <v>640</v>
      </c>
      <c r="BC23" s="174" t="n">
        <v>153</v>
      </c>
      <c r="BD23" s="174" t="n">
        <v>164</v>
      </c>
      <c r="BE23" s="174" t="n">
        <v>187</v>
      </c>
      <c r="BF23" s="174" t="n">
        <v>225</v>
      </c>
      <c r="BG23" s="174" t="n">
        <v>729</v>
      </c>
      <c r="BH23" s="174" t="n">
        <v>187</v>
      </c>
      <c r="BI23" s="174" t="n">
        <v>195</v>
      </c>
      <c r="BJ23" s="174" t="n">
        <v>181</v>
      </c>
      <c r="BK23" s="174" t="n">
        <v>210</v>
      </c>
      <c r="BL23" s="174" t="n">
        <v>773</v>
      </c>
      <c r="BM23" s="174" t="n">
        <v>176</v>
      </c>
      <c r="BN23" s="174" t="n">
        <v>199</v>
      </c>
      <c r="BO23" s="174" t="n">
        <v>204</v>
      </c>
      <c r="BP23" s="174" t="n">
        <v>207</v>
      </c>
      <c r="BQ23" s="174" t="n">
        <v>786</v>
      </c>
      <c r="BR23" s="174" t="n">
        <v>181</v>
      </c>
      <c r="BS23" s="174" t="n">
        <v>191</v>
      </c>
      <c r="BT23" s="174" t="n">
        <v>297</v>
      </c>
      <c r="BU23" s="174" t="n">
        <v>361</v>
      </c>
      <c r="BV23" s="174" t="n">
        <v>1030</v>
      </c>
      <c r="BW23" s="174" t="n">
        <v>318</v>
      </c>
      <c r="BX23" s="174" t="n">
        <v>360</v>
      </c>
      <c r="BY23" s="178">
        <f>BT23*(1+BY24)</f>
        <v/>
      </c>
      <c r="BZ23" s="178">
        <f>BU23*(1+BZ24)</f>
        <v/>
      </c>
      <c r="CA23" s="178">
        <f>SUM(BW23,BX23,BY23,BZ23)</f>
        <v/>
      </c>
      <c r="CB23" s="178">
        <f>CA23*(1+CB24)</f>
        <v/>
      </c>
      <c r="CC23" s="178">
        <f>CB23*(1+CC24)</f>
        <v/>
      </c>
      <c r="CD23" s="178">
        <f>CC23*(1+CD24)</f>
        <v/>
      </c>
      <c r="CE23" s="178">
        <f>CD23*(1+CE24)</f>
        <v/>
      </c>
      <c r="CF23" s="20" t="inlineStr">
        <is>
          <t>Product-line sales as published (from 2019, GE Transportation merger). Q3/Q4-26E: prior-year quarter × (1 + growth). 2027E+: prior year × (1 + scenario lever).</t>
        </is>
      </c>
      <c r="CH23" s="21">
        <f>IFERROR((CE23/BV23)^(1/5)-1,"n/m")</f>
        <v/>
      </c>
      <c r="CI23" s="21">
        <f>IFERROR((BV23/AW23)^(1/5)-1,"n/m")</f>
        <v/>
      </c>
      <c r="CJ23" s="21">
        <f>IFERROR((BV23/X23)^(1/10)-1,"n/m")</f>
        <v/>
      </c>
      <c r="CK23" s="21">
        <f>IFERROR((BV23/C23)^(1/19)-1,"n/m")</f>
        <v/>
      </c>
    </row>
    <row r="24" ht="15" customHeight="1">
      <c r="B24" s="23" t="inlineStr">
        <is>
          <t xml:space="preserve">    y/y %</t>
        </is>
      </c>
      <c r="D24" s="179">
        <f>IF(AND(ISNUMBER(D23),ISNUMBER(C23)),IFERROR(D23/C23-1,""),"")</f>
        <v/>
      </c>
      <c r="E24" s="179">
        <f>IF(AND(ISNUMBER(E23),ISNUMBER(D23)),IFERROR(E23/D23-1,""),"")</f>
        <v/>
      </c>
      <c r="F24" s="179">
        <f>IF(AND(ISNUMBER(F23),ISNUMBER(E23)),IFERROR(F23/E23-1,""),"")</f>
        <v/>
      </c>
      <c r="G24" s="179">
        <f>IF(AND(ISNUMBER(G23),ISNUMBER(F23)),IFERROR(G23/F23-1,""),"")</f>
        <v/>
      </c>
      <c r="H24" s="179">
        <f>IF(AND(ISNUMBER(H23),ISNUMBER(G23)),IFERROR(H23/G23-1,""),"")</f>
        <v/>
      </c>
      <c r="I24" s="179">
        <f>IF(AND(ISNUMBER(I23),ISNUMBER(H23)),IFERROR(I23/H23-1,""),"")</f>
        <v/>
      </c>
      <c r="N24" s="179">
        <f>IF(AND(ISNUMBER(N23),ISNUMBER(I23)),IFERROR(N23/I23-1,""),"")</f>
        <v/>
      </c>
      <c r="O24" s="179">
        <f>IF(AND(ISNUMBER(O23),ISNUMBER(J23)),IFERROR(O23/J23-1,""),"")</f>
        <v/>
      </c>
      <c r="P24" s="179">
        <f>IF(AND(ISNUMBER(P23),ISNUMBER(K23)),IFERROR(P23/K23-1,""),"")</f>
        <v/>
      </c>
      <c r="Q24" s="179">
        <f>IF(AND(ISNUMBER(Q23),ISNUMBER(L23)),IFERROR(Q23/L23-1,""),"")</f>
        <v/>
      </c>
      <c r="R24" s="179">
        <f>IF(AND(ISNUMBER(R23),ISNUMBER(M23)),IFERROR(R23/M23-1,""),"")</f>
        <v/>
      </c>
      <c r="S24" s="179">
        <f>IF(AND(ISNUMBER(S23),ISNUMBER(N23)),IFERROR(S23/N23-1,""),"")</f>
        <v/>
      </c>
      <c r="T24" s="179">
        <f>IF(AND(ISNUMBER(T23),ISNUMBER(O23)),IFERROR(T23/O23-1,""),"")</f>
        <v/>
      </c>
      <c r="U24" s="179">
        <f>IF(AND(ISNUMBER(U23),ISNUMBER(P23)),IFERROR(U23/P23-1,""),"")</f>
        <v/>
      </c>
      <c r="V24" s="179">
        <f>IF(AND(ISNUMBER(V23),ISNUMBER(Q23)),IFERROR(V23/Q23-1,""),"")</f>
        <v/>
      </c>
      <c r="W24" s="179">
        <f>IF(AND(ISNUMBER(W23),ISNUMBER(R23)),IFERROR(W23/R23-1,""),"")</f>
        <v/>
      </c>
      <c r="X24" s="179">
        <f>IF(AND(ISNUMBER(X23),ISNUMBER(S23)),IFERROR(X23/S23-1,""),"")</f>
        <v/>
      </c>
      <c r="Y24" s="179">
        <f>IF(AND(ISNUMBER(Y23),ISNUMBER(T23)),IFERROR(Y23/T23-1,""),"")</f>
        <v/>
      </c>
      <c r="Z24" s="179">
        <f>IF(AND(ISNUMBER(Z23),ISNUMBER(U23)),IFERROR(Z23/U23-1,""),"")</f>
        <v/>
      </c>
      <c r="AA24" s="179">
        <f>IF(AND(ISNUMBER(AA23),ISNUMBER(V23)),IFERROR(AA23/V23-1,""),"")</f>
        <v/>
      </c>
      <c r="AB24" s="179">
        <f>IF(AND(ISNUMBER(AB23),ISNUMBER(W23)),IFERROR(AB23/W23-1,""),"")</f>
        <v/>
      </c>
      <c r="AC24" s="179">
        <f>IF(AND(ISNUMBER(AC23),ISNUMBER(X23)),IFERROR(AC23/X23-1,""),"")</f>
        <v/>
      </c>
      <c r="AD24" s="179">
        <f>IF(AND(ISNUMBER(AD23),ISNUMBER(Y23)),IFERROR(AD23/Y23-1,""),"")</f>
        <v/>
      </c>
      <c r="AE24" s="179">
        <f>IF(AND(ISNUMBER(AE23),ISNUMBER(Z23)),IFERROR(AE23/Z23-1,""),"")</f>
        <v/>
      </c>
      <c r="AF24" s="179">
        <f>IF(AND(ISNUMBER(AF23),ISNUMBER(AA23)),IFERROR(AF23/AA23-1,""),"")</f>
        <v/>
      </c>
      <c r="AG24" s="179">
        <f>IF(AND(ISNUMBER(AG23),ISNUMBER(AB23)),IFERROR(AG23/AB23-1,""),"")</f>
        <v/>
      </c>
      <c r="AH24" s="179">
        <f>IF(AND(ISNUMBER(AH23),ISNUMBER(AC23)),IFERROR(AH23/AC23-1,""),"")</f>
        <v/>
      </c>
      <c r="AI24" s="179">
        <f>IF(AND(ISNUMBER(AI23),ISNUMBER(AD23)),IFERROR(AI23/AD23-1,""),"")</f>
        <v/>
      </c>
      <c r="AJ24" s="179">
        <f>IF(AND(ISNUMBER(AJ23),ISNUMBER(AE23)),IFERROR(AJ23/AE23-1,""),"")</f>
        <v/>
      </c>
      <c r="AK24" s="179">
        <f>IF(AND(ISNUMBER(AK23),ISNUMBER(AF23)),IFERROR(AK23/AF23-1,""),"")</f>
        <v/>
      </c>
      <c r="AL24" s="179">
        <f>IF(AND(ISNUMBER(AL23),ISNUMBER(AG23)),IFERROR(AL23/AG23-1,""),"")</f>
        <v/>
      </c>
      <c r="AM24" s="179">
        <f>IF(AND(ISNUMBER(AM23),ISNUMBER(AH23)),IFERROR(AM23/AH23-1,""),"")</f>
        <v/>
      </c>
      <c r="AN24" s="179">
        <f>IF(AND(ISNUMBER(AN23),ISNUMBER(AI23)),IFERROR(AN23/AI23-1,""),"")</f>
        <v/>
      </c>
      <c r="AO24" s="179">
        <f>IF(AND(ISNUMBER(AO23),ISNUMBER(AJ23)),IFERROR(AO23/AJ23-1,""),"")</f>
        <v/>
      </c>
      <c r="AP24" s="179">
        <f>IF(AND(ISNUMBER(AP23),ISNUMBER(AK23)),IFERROR(AP23/AK23-1,""),"")</f>
        <v/>
      </c>
      <c r="AQ24" s="179">
        <f>IF(AND(ISNUMBER(AQ23),ISNUMBER(AL23)),IFERROR(AQ23/AL23-1,""),"")</f>
        <v/>
      </c>
      <c r="AR24" s="179">
        <f>IF(AND(ISNUMBER(AR23),ISNUMBER(AM23)),IFERROR(AR23/AM23-1,""),"")</f>
        <v/>
      </c>
      <c r="AS24" s="179">
        <f>IF(AND(ISNUMBER(AS23),ISNUMBER(AN23)),IFERROR(AS23/AN23-1,""),"")</f>
        <v/>
      </c>
      <c r="AT24" s="179">
        <f>IF(AND(ISNUMBER(AT23),ISNUMBER(AO23)),IFERROR(AT23/AO23-1,""),"")</f>
        <v/>
      </c>
      <c r="AU24" s="179">
        <f>IF(AND(ISNUMBER(AU23),ISNUMBER(AP23)),IFERROR(AU23/AP23-1,""),"")</f>
        <v/>
      </c>
      <c r="AV24" s="179">
        <f>IF(AND(ISNUMBER(AV23),ISNUMBER(AQ23)),IFERROR(AV23/AQ23-1,""),"")</f>
        <v/>
      </c>
      <c r="AW24" s="179">
        <f>IF(AND(ISNUMBER(AW23),ISNUMBER(AR23)),IFERROR(AW23/AR23-1,""),"")</f>
        <v/>
      </c>
      <c r="AX24" s="179">
        <f>IF(AND(ISNUMBER(AX23),ISNUMBER(AS23)),IFERROR(AX23/AS23-1,""),"")</f>
        <v/>
      </c>
      <c r="AY24" s="179">
        <f>IF(AND(ISNUMBER(AY23),ISNUMBER(AT23)),IFERROR(AY23/AT23-1,""),"")</f>
        <v/>
      </c>
      <c r="AZ24" s="179">
        <f>IF(AND(ISNUMBER(AZ23),ISNUMBER(AU23)),IFERROR(AZ23/AU23-1,""),"")</f>
        <v/>
      </c>
      <c r="BA24" s="179">
        <f>IF(AND(ISNUMBER(BA23),ISNUMBER(AV23)),IFERROR(BA23/AV23-1,""),"")</f>
        <v/>
      </c>
      <c r="BB24" s="179">
        <f>IF(AND(ISNUMBER(BB23),ISNUMBER(AW23)),IFERROR(BB23/AW23-1,""),"")</f>
        <v/>
      </c>
      <c r="BC24" s="179">
        <f>IF(AND(ISNUMBER(BC23),ISNUMBER(AX23)),IFERROR(BC23/AX23-1,""),"")</f>
        <v/>
      </c>
      <c r="BD24" s="179">
        <f>IF(AND(ISNUMBER(BD23),ISNUMBER(AY23)),IFERROR(BD23/AY23-1,""),"")</f>
        <v/>
      </c>
      <c r="BE24" s="179">
        <f>IF(AND(ISNUMBER(BE23),ISNUMBER(AZ23)),IFERROR(BE23/AZ23-1,""),"")</f>
        <v/>
      </c>
      <c r="BF24" s="179">
        <f>IF(AND(ISNUMBER(BF23),ISNUMBER(BA23)),IFERROR(BF23/BA23-1,""),"")</f>
        <v/>
      </c>
      <c r="BG24" s="179">
        <f>IF(AND(ISNUMBER(BG23),ISNUMBER(BB23)),IFERROR(BG23/BB23-1,""),"")</f>
        <v/>
      </c>
      <c r="BH24" s="179">
        <f>IF(AND(ISNUMBER(BH23),ISNUMBER(BC23)),IFERROR(BH23/BC23-1,""),"")</f>
        <v/>
      </c>
      <c r="BI24" s="179">
        <f>IF(AND(ISNUMBER(BI23),ISNUMBER(BD23)),IFERROR(BI23/BD23-1,""),"")</f>
        <v/>
      </c>
      <c r="BJ24" s="179">
        <f>IF(AND(ISNUMBER(BJ23),ISNUMBER(BE23)),IFERROR(BJ23/BE23-1,""),"")</f>
        <v/>
      </c>
      <c r="BK24" s="179">
        <f>IF(AND(ISNUMBER(BK23),ISNUMBER(BF23)),IFERROR(BK23/BF23-1,""),"")</f>
        <v/>
      </c>
      <c r="BL24" s="179">
        <f>IF(AND(ISNUMBER(BL23),ISNUMBER(BG23)),IFERROR(BL23/BG23-1,""),"")</f>
        <v/>
      </c>
      <c r="BM24" s="179">
        <f>IF(AND(ISNUMBER(BM23),ISNUMBER(BH23)),IFERROR(BM23/BH23-1,""),"")</f>
        <v/>
      </c>
      <c r="BN24" s="179">
        <f>IF(AND(ISNUMBER(BN23),ISNUMBER(BI23)),IFERROR(BN23/BI23-1,""),"")</f>
        <v/>
      </c>
      <c r="BO24" s="179">
        <f>IF(AND(ISNUMBER(BO23),ISNUMBER(BJ23)),IFERROR(BO23/BJ23-1,""),"")</f>
        <v/>
      </c>
      <c r="BP24" s="179">
        <f>IF(AND(ISNUMBER(BP23),ISNUMBER(BK23)),IFERROR(BP23/BK23-1,""),"")</f>
        <v/>
      </c>
      <c r="BQ24" s="179">
        <f>IF(AND(ISNUMBER(BQ23),ISNUMBER(BL23)),IFERROR(BQ23/BL23-1,""),"")</f>
        <v/>
      </c>
      <c r="BR24" s="179">
        <f>IF(AND(ISNUMBER(BR23),ISNUMBER(BM23)),IFERROR(BR23/BM23-1,""),"")</f>
        <v/>
      </c>
      <c r="BS24" s="179">
        <f>IF(AND(ISNUMBER(BS23),ISNUMBER(BN23)),IFERROR(BS23/BN23-1,""),"")</f>
        <v/>
      </c>
      <c r="BT24" s="179">
        <f>IF(AND(ISNUMBER(BT23),ISNUMBER(BO23)),IFERROR(BT23/BO23-1,""),"")</f>
        <v/>
      </c>
      <c r="BU24" s="179">
        <f>IF(AND(ISNUMBER(BU23),ISNUMBER(BP23)),IFERROR(BU23/BP23-1,""),"")</f>
        <v/>
      </c>
      <c r="BV24" s="179">
        <f>IF(AND(ISNUMBER(BV23),ISNUMBER(BQ23)),IFERROR(BV23/BQ23-1,""),"")</f>
        <v/>
      </c>
      <c r="BW24" s="179">
        <f>IF(AND(ISNUMBER(BW23),ISNUMBER(BR23)),IFERROR(BW23/BR23-1,""),"")</f>
        <v/>
      </c>
      <c r="BX24" s="179">
        <f>IF(AND(ISNUMBER(BX23),ISNUMBER(BS23)),IFERROR(BX23/BS23-1,""),"")</f>
        <v/>
      </c>
      <c r="BY24" s="180">
        <f>BY25+$BY$109</f>
        <v/>
      </c>
      <c r="BZ24" s="180">
        <f>BZ25+$BY$109</f>
        <v/>
      </c>
      <c r="CA24" s="180">
        <f>IF(AND(ISNUMBER(CA23),ISNUMBER(BV23)),IFERROR(CA23/BV23-1,""),"")</f>
        <v/>
      </c>
      <c r="CB24" s="180">
        <f>CHOOSE(MATCH($CF$2,{"Bull","Base","Bear"},0),$CO$46,$CP$46,$CQ$46)</f>
        <v/>
      </c>
      <c r="CC24" s="180">
        <f>CHOOSE(MATCH($CF$2,{"Bull","Base","Bear"},0),$CO$47,$CP$47,$CQ$47)</f>
        <v/>
      </c>
      <c r="CD24" s="180">
        <f>CHOOSE(MATCH($CF$2,{"Bull","Base","Bear"},0),$CO$48,$CP$48,$CQ$48)</f>
        <v/>
      </c>
      <c r="CE24" s="180">
        <f>CHOOSE(MATCH($CF$2,{"Bull","Base","Bear"},0),$CO$49,$CP$49,$CQ$49)</f>
        <v/>
      </c>
      <c r="CF24" s="6" t="inlineStr">
        <is>
          <t>Q3/Q4-26E: growth input (row below) + revenue-outlook calibration Δ (Group block). 2027E–2030E: scenario lever (Bull/Base/Bear table →).</t>
        </is>
      </c>
    </row>
    <row r="25" ht="15" customHeight="1">
      <c r="B25" s="26" t="inlineStr">
        <is>
          <t xml:space="preserve">    Q3/Q4-26E growth input before revenue calibration</t>
        </is>
      </c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  <c r="BE25" s="38" t="n"/>
      <c r="BF25" s="38" t="n"/>
      <c r="BG25" s="38" t="n"/>
      <c r="BH25" s="38" t="n"/>
      <c r="BI25" s="38" t="n"/>
      <c r="BJ25" s="38" t="n"/>
      <c r="BK25" s="38" t="n"/>
      <c r="BL25" s="38" t="n"/>
      <c r="BM25" s="38" t="n"/>
      <c r="BN25" s="38" t="n"/>
      <c r="BO25" s="38" t="n"/>
      <c r="BP25" s="38" t="n"/>
      <c r="BQ25" s="38" t="n"/>
      <c r="BR25" s="38" t="n"/>
      <c r="BS25" s="38" t="n"/>
      <c r="BT25" s="38" t="n"/>
      <c r="BU25" s="38" t="n"/>
      <c r="BV25" s="38" t="n"/>
      <c r="BW25" s="38" t="n"/>
      <c r="BX25" s="38" t="n"/>
      <c r="BY25" s="181" t="n">
        <v>0.262</v>
      </c>
      <c r="BZ25" s="181" t="n">
        <v>0.171</v>
      </c>
      <c r="CA25" s="25" t="n"/>
      <c r="CB25" s="49" t="n"/>
      <c r="CC25" s="49" t="n"/>
      <c r="CD25" s="49" t="n"/>
      <c r="CE25" s="49" t="n"/>
      <c r="CF25" s="20" t="inlineStr">
        <is>
          <t>Input = 6% organic + Frauscher (closed 1-Dec-25) not yet in the prior-year quarter (~$60m in Q3, ~$40m in Q4; analyst estimate). Inspection Technologies anniversaries 1-Jul-26.</t>
        </is>
      </c>
    </row>
    <row r="26" ht="15" customHeight="1">
      <c r="B26" s="26" t="inlineStr">
        <is>
          <t xml:space="preserve">  Freight sales not split by product line (pre-2019 disclosure)</t>
        </is>
      </c>
      <c r="C26" s="183">
        <f>IF(ISNUMBER(C27),C27-(N(C14)+N(C17)+N(C20)+N(C23)),"")</f>
        <v/>
      </c>
      <c r="D26" s="183">
        <f>IF(ISNUMBER(D27),D27-(N(D14)+N(D17)+N(D20)+N(D23)),"")</f>
        <v/>
      </c>
      <c r="E26" s="183">
        <f>IF(ISNUMBER(E27),E27-(N(E14)+N(E17)+N(E20)+N(E23)),"")</f>
        <v/>
      </c>
      <c r="F26" s="183">
        <f>IF(ISNUMBER(F27),F27-(N(F14)+N(F17)+N(F20)+N(F23)),"")</f>
        <v/>
      </c>
      <c r="G26" s="183">
        <f>IF(ISNUMBER(G27),G27-(N(G14)+N(G17)+N(G20)+N(G23)),"")</f>
        <v/>
      </c>
      <c r="H26" s="183">
        <f>IF(ISNUMBER(H27),H27-(N(H14)+N(H17)+N(H20)+N(H23)),"")</f>
        <v/>
      </c>
      <c r="I26" s="183">
        <f>IF(ISNUMBER(I27),I27-(N(I14)+N(I17)+N(I20)+N(I23)),"")</f>
        <v/>
      </c>
      <c r="J26" s="183">
        <f>IF(ISNUMBER(J27),J27-(N(J14)+N(J17)+N(J20)+N(J23)),"")</f>
        <v/>
      </c>
      <c r="K26" s="183">
        <f>IF(ISNUMBER(K27),K27-(N(K14)+N(K17)+N(K20)+N(K23)),"")</f>
        <v/>
      </c>
      <c r="L26" s="183">
        <f>IF(ISNUMBER(L27),L27-(N(L14)+N(L17)+N(L20)+N(L23)),"")</f>
        <v/>
      </c>
      <c r="M26" s="183">
        <f>IF(ISNUMBER(M27),M27-(N(M14)+N(M17)+N(M20)+N(M23)),"")</f>
        <v/>
      </c>
      <c r="N26" s="183">
        <f>IF(ISNUMBER(N27),N27-(N(N14)+N(N17)+N(N20)+N(N23)),"")</f>
        <v/>
      </c>
      <c r="O26" s="183">
        <f>IF(ISNUMBER(O27),O27-(N(O14)+N(O17)+N(O20)+N(O23)),"")</f>
        <v/>
      </c>
      <c r="P26" s="183">
        <f>IF(ISNUMBER(P27),P27-(N(P14)+N(P17)+N(P20)+N(P23)),"")</f>
        <v/>
      </c>
      <c r="Q26" s="183">
        <f>IF(ISNUMBER(Q27),Q27-(N(Q14)+N(Q17)+N(Q20)+N(Q23)),"")</f>
        <v/>
      </c>
      <c r="R26" s="183">
        <f>IF(ISNUMBER(R27),R27-(N(R14)+N(R17)+N(R20)+N(R23)),"")</f>
        <v/>
      </c>
      <c r="S26" s="183">
        <f>IF(ISNUMBER(S27),S27-(N(S14)+N(S17)+N(S20)+N(S23)),"")</f>
        <v/>
      </c>
      <c r="T26" s="183">
        <f>IF(ISNUMBER(T27),T27-(N(T14)+N(T17)+N(T20)+N(T23)),"")</f>
        <v/>
      </c>
      <c r="U26" s="183">
        <f>IF(ISNUMBER(U27),U27-(N(U14)+N(U17)+N(U20)+N(U23)),"")</f>
        <v/>
      </c>
      <c r="V26" s="183">
        <f>IF(ISNUMBER(V27),V27-(N(V14)+N(V17)+N(V20)+N(V23)),"")</f>
        <v/>
      </c>
      <c r="W26" s="183">
        <f>IF(ISNUMBER(W27),W27-(N(W14)+N(W17)+N(W20)+N(W23)),"")</f>
        <v/>
      </c>
      <c r="X26" s="183">
        <f>IF(ISNUMBER(X27),X27-(N(X14)+N(X17)+N(X20)+N(X23)),"")</f>
        <v/>
      </c>
      <c r="Y26" s="183">
        <f>IF(ISNUMBER(Y27),Y27-(N(Y14)+N(Y17)+N(Y20)+N(Y23)),"")</f>
        <v/>
      </c>
      <c r="Z26" s="183">
        <f>IF(ISNUMBER(Z27),Z27-(N(Z14)+N(Z17)+N(Z20)+N(Z23)),"")</f>
        <v/>
      </c>
      <c r="AA26" s="183">
        <f>IF(ISNUMBER(AA27),AA27-(N(AA14)+N(AA17)+N(AA20)+N(AA23)),"")</f>
        <v/>
      </c>
      <c r="AB26" s="183">
        <f>IF(ISNUMBER(AB27),AB27-(N(AB14)+N(AB17)+N(AB20)+N(AB23)),"")</f>
        <v/>
      </c>
      <c r="AC26" s="183">
        <f>IF(ISNUMBER(AC27),AC27-(N(AC14)+N(AC17)+N(AC20)+N(AC23)),"")</f>
        <v/>
      </c>
      <c r="AD26" s="183">
        <f>IF(ISNUMBER(AD27),AD27-(N(AD14)+N(AD17)+N(AD20)+N(AD23)),"")</f>
        <v/>
      </c>
      <c r="AE26" s="183">
        <f>IF(ISNUMBER(AE27),AE27-(N(AE14)+N(AE17)+N(AE20)+N(AE23)),"")</f>
        <v/>
      </c>
      <c r="AF26" s="183">
        <f>IF(ISNUMBER(AF27),AF27-(N(AF14)+N(AF17)+N(AF20)+N(AF23)),"")</f>
        <v/>
      </c>
      <c r="AG26" s="183">
        <f>IF(ISNUMBER(AG27),AG27-(N(AG14)+N(AG17)+N(AG20)+N(AG23)),"")</f>
        <v/>
      </c>
      <c r="AH26" s="183">
        <f>IF(ISNUMBER(AH27),AH27-(N(AH14)+N(AH17)+N(AH20)+N(AH23)),"")</f>
        <v/>
      </c>
      <c r="AI26" s="183">
        <f>IF(ISNUMBER(AI27),AI27-(N(AI14)+N(AI17)+N(AI20)+N(AI23)),"")</f>
        <v/>
      </c>
      <c r="AJ26" s="183">
        <f>IF(ISNUMBER(AJ27),AJ27-(N(AJ14)+N(AJ17)+N(AJ20)+N(AJ23)),"")</f>
        <v/>
      </c>
      <c r="AK26" s="183">
        <f>IF(ISNUMBER(AK27),AK27-(N(AK14)+N(AK17)+N(AK20)+N(AK23)),"")</f>
        <v/>
      </c>
      <c r="AL26" s="183">
        <f>IF(ISNUMBER(AL27),AL27-(N(AL14)+N(AL17)+N(AL20)+N(AL23)),"")</f>
        <v/>
      </c>
      <c r="AM26" s="183">
        <f>IF(ISNUMBER(AM27),AM27-(N(AM14)+N(AM17)+N(AM20)+N(AM23)),"")</f>
        <v/>
      </c>
      <c r="AN26" s="183">
        <f>IF(ISNUMBER(AN27),AN27-(N(AN14)+N(AN17)+N(AN20)+N(AN23)),"")</f>
        <v/>
      </c>
      <c r="AO26" s="183">
        <f>IF(ISNUMBER(AO27),AO27-(N(AO14)+N(AO17)+N(AO20)+N(AO23)),"")</f>
        <v/>
      </c>
      <c r="AP26" s="183">
        <f>IF(ISNUMBER(AP27),AP27-(N(AP14)+N(AP17)+N(AP20)+N(AP23)),"")</f>
        <v/>
      </c>
      <c r="AQ26" s="183">
        <f>IF(ISNUMBER(AQ27),AQ27-(N(AQ14)+N(AQ17)+N(AQ20)+N(AQ23)),"")</f>
        <v/>
      </c>
      <c r="AR26" s="183">
        <f>IF(ISNUMBER(AR27),AR27-(N(AR14)+N(AR17)+N(AR20)+N(AR23)),"")</f>
        <v/>
      </c>
      <c r="AS26" s="183">
        <f>IF(ISNUMBER(AS27),AS27-(N(AS14)+N(AS17)+N(AS20)+N(AS23)),"")</f>
        <v/>
      </c>
      <c r="AT26" s="183">
        <f>IF(ISNUMBER(AT27),AT27-(N(AT14)+N(AT17)+N(AT20)+N(AT23)),"")</f>
        <v/>
      </c>
      <c r="AU26" s="183">
        <f>IF(ISNUMBER(AU27),AU27-(N(AU14)+N(AU17)+N(AU20)+N(AU23)),"")</f>
        <v/>
      </c>
      <c r="AV26" s="183">
        <f>IF(ISNUMBER(AV27),AV27-(N(AV14)+N(AV17)+N(AV20)+N(AV23)),"")</f>
        <v/>
      </c>
      <c r="AW26" s="183">
        <f>IF(ISNUMBER(AW27),AW27-(N(AW14)+N(AW17)+N(AW20)+N(AW23)),"")</f>
        <v/>
      </c>
      <c r="AX26" s="183">
        <f>IF(ISNUMBER(AX27),AX27-(N(AX14)+N(AX17)+N(AX20)+N(AX23)),"")</f>
        <v/>
      </c>
      <c r="AY26" s="183">
        <f>IF(ISNUMBER(AY27),AY27-(N(AY14)+N(AY17)+N(AY20)+N(AY23)),"")</f>
        <v/>
      </c>
      <c r="AZ26" s="183">
        <f>IF(ISNUMBER(AZ27),AZ27-(N(AZ14)+N(AZ17)+N(AZ20)+N(AZ23)),"")</f>
        <v/>
      </c>
      <c r="BA26" s="183">
        <f>IF(ISNUMBER(BA27),BA27-(N(BA14)+N(BA17)+N(BA20)+N(BA23)),"")</f>
        <v/>
      </c>
      <c r="BB26" s="183">
        <f>IF(ISNUMBER(BB27),BB27-(N(BB14)+N(BB17)+N(BB20)+N(BB23)),"")</f>
        <v/>
      </c>
      <c r="BC26" s="183">
        <f>IF(ISNUMBER(BC27),BC27-(N(BC14)+N(BC17)+N(BC20)+N(BC23)),"")</f>
        <v/>
      </c>
      <c r="BD26" s="183">
        <f>IF(ISNUMBER(BD27),BD27-(N(BD14)+N(BD17)+N(BD20)+N(BD23)),"")</f>
        <v/>
      </c>
      <c r="BE26" s="183">
        <f>IF(ISNUMBER(BE27),BE27-(N(BE14)+N(BE17)+N(BE20)+N(BE23)),"")</f>
        <v/>
      </c>
      <c r="BF26" s="183">
        <f>IF(ISNUMBER(BF27),BF27-(N(BF14)+N(BF17)+N(BF20)+N(BF23)),"")</f>
        <v/>
      </c>
      <c r="BG26" s="183">
        <f>IF(ISNUMBER(BG27),BG27-(N(BG14)+N(BG17)+N(BG20)+N(BG23)),"")</f>
        <v/>
      </c>
      <c r="BH26" s="183">
        <f>IF(ISNUMBER(BH27),BH27-(N(BH14)+N(BH17)+N(BH20)+N(BH23)),"")</f>
        <v/>
      </c>
      <c r="BI26" s="183">
        <f>IF(ISNUMBER(BI27),BI27-(N(BI14)+N(BI17)+N(BI20)+N(BI23)),"")</f>
        <v/>
      </c>
      <c r="BJ26" s="183">
        <f>IF(ISNUMBER(BJ27),BJ27-(N(BJ14)+N(BJ17)+N(BJ20)+N(BJ23)),"")</f>
        <v/>
      </c>
      <c r="BK26" s="183">
        <f>IF(ISNUMBER(BK27),BK27-(N(BK14)+N(BK17)+N(BK20)+N(BK23)),"")</f>
        <v/>
      </c>
      <c r="BL26" s="183">
        <f>IF(ISNUMBER(BL27),BL27-(N(BL14)+N(BL17)+N(BL20)+N(BL23)),"")</f>
        <v/>
      </c>
      <c r="BM26" s="183">
        <f>IF(ISNUMBER(BM27),BM27-(N(BM14)+N(BM17)+N(BM20)+N(BM23)),"")</f>
        <v/>
      </c>
      <c r="BN26" s="183">
        <f>IF(ISNUMBER(BN27),BN27-(N(BN14)+N(BN17)+N(BN20)+N(BN23)),"")</f>
        <v/>
      </c>
      <c r="BO26" s="183">
        <f>IF(ISNUMBER(BO27),BO27-(N(BO14)+N(BO17)+N(BO20)+N(BO23)),"")</f>
        <v/>
      </c>
      <c r="BP26" s="183">
        <f>IF(ISNUMBER(BP27),BP27-(N(BP14)+N(BP17)+N(BP20)+N(BP23)),"")</f>
        <v/>
      </c>
      <c r="BQ26" s="183">
        <f>IF(ISNUMBER(BQ27),BQ27-(N(BQ14)+N(BQ17)+N(BQ20)+N(BQ23)),"")</f>
        <v/>
      </c>
      <c r="BR26" s="183">
        <f>IF(ISNUMBER(BR27),BR27-(N(BR14)+N(BR17)+N(BR20)+N(BR23)),"")</f>
        <v/>
      </c>
      <c r="BS26" s="183">
        <f>IF(ISNUMBER(BS27),BS27-(N(BS14)+N(BS17)+N(BS20)+N(BS23)),"")</f>
        <v/>
      </c>
      <c r="BT26" s="183">
        <f>IF(ISNUMBER(BT27),BT27-(N(BT14)+N(BT17)+N(BT20)+N(BT23)),"")</f>
        <v/>
      </c>
      <c r="BU26" s="183">
        <f>IF(ISNUMBER(BU27),BU27-(N(BU14)+N(BU17)+N(BU20)+N(BU23)),"")</f>
        <v/>
      </c>
      <c r="BV26" s="183">
        <f>IF(ISNUMBER(BV27),BV27-(N(BV14)+N(BV17)+N(BV20)+N(BV23)),"")</f>
        <v/>
      </c>
      <c r="BW26" s="183">
        <f>IF(ISNUMBER(BW27),BW27-(N(BW14)+N(BW17)+N(BW20)+N(BW23)),"")</f>
        <v/>
      </c>
      <c r="BX26" s="183">
        <f>IF(ISNUMBER(BX27),BX27-(N(BX14)+N(BX17)+N(BX20)+N(BX23)),"")</f>
        <v/>
      </c>
      <c r="BY26" s="37" t="n"/>
      <c r="BZ26" s="37" t="n"/>
      <c r="CA26" s="37" t="n"/>
      <c r="CB26" s="37" t="n"/>
      <c r="CC26" s="37" t="n"/>
      <c r="CD26" s="37" t="n"/>
      <c r="CE26" s="37" t="n"/>
      <c r="CF26" s="20" t="inlineStr">
        <is>
          <t>Historical segment sales less the product-line split (product lines are published from 2019; earlier years show the segment total here).</t>
        </is>
      </c>
    </row>
    <row r="27" ht="15" customHeight="1">
      <c r="B27" s="17" t="inlineStr">
        <is>
          <t xml:space="preserve">  Freight segment net sales</t>
        </is>
      </c>
      <c r="C27" s="184" t="n">
        <v>709.4</v>
      </c>
      <c r="D27" s="184" t="n">
        <v>734.2</v>
      </c>
      <c r="E27" s="184" t="n">
        <v>773.5</v>
      </c>
      <c r="F27" s="184" t="n">
        <v>588.4</v>
      </c>
      <c r="G27" s="184" t="n">
        <v>784.5</v>
      </c>
      <c r="H27" s="184" t="n">
        <v>1210.1</v>
      </c>
      <c r="I27" s="184" t="n">
        <v>1501.9</v>
      </c>
      <c r="J27" s="184" t="n">
        <v>305.9</v>
      </c>
      <c r="K27" s="184" t="n">
        <v>354.9</v>
      </c>
      <c r="L27" s="184" t="n">
        <v>340.5</v>
      </c>
      <c r="M27" s="184" t="n">
        <v>389</v>
      </c>
      <c r="N27" s="184" t="n">
        <v>1398.1</v>
      </c>
      <c r="O27" s="184" t="n">
        <v>385.5</v>
      </c>
      <c r="P27" s="184" t="n">
        <v>411.5</v>
      </c>
      <c r="Q27" s="184" t="n">
        <v>453.3</v>
      </c>
      <c r="R27" s="184" t="n">
        <v>481.1</v>
      </c>
      <c r="S27" s="184" t="n">
        <v>1731.5</v>
      </c>
      <c r="T27" s="184" t="n">
        <v>511.9</v>
      </c>
      <c r="U27" s="184" t="n">
        <v>534.7</v>
      </c>
      <c r="V27" s="184" t="n">
        <v>507.2</v>
      </c>
      <c r="W27" s="184" t="n">
        <v>501</v>
      </c>
      <c r="X27" s="184" t="n">
        <v>2054.7</v>
      </c>
      <c r="Y27" s="184" t="n">
        <v>442.7</v>
      </c>
      <c r="Z27" s="184" t="n">
        <v>397.1</v>
      </c>
      <c r="AA27" s="184" t="n">
        <v>362</v>
      </c>
      <c r="AB27" s="184" t="n">
        <v>341.4</v>
      </c>
      <c r="AC27" s="184" t="n">
        <v>1543.1</v>
      </c>
      <c r="AD27" s="184" t="n">
        <v>347.9</v>
      </c>
      <c r="AE27" s="184" t="n">
        <v>344.8</v>
      </c>
      <c r="AF27" s="184" t="n">
        <v>340.2</v>
      </c>
      <c r="AG27" s="184" t="n">
        <v>363.6</v>
      </c>
      <c r="AH27" s="184" t="n">
        <v>1396.6</v>
      </c>
      <c r="AI27" s="184" t="n">
        <v>379.6</v>
      </c>
      <c r="AJ27" s="184" t="n">
        <v>412.3</v>
      </c>
      <c r="AK27" s="184" t="n">
        <v>391.6</v>
      </c>
      <c r="AL27" s="184" t="n">
        <v>380.9</v>
      </c>
      <c r="AM27" s="184" t="n">
        <v>1564.3</v>
      </c>
      <c r="AN27" s="184" t="n">
        <v>876.4</v>
      </c>
      <c r="AO27" s="184" t="n">
        <v>1493.9</v>
      </c>
      <c r="AP27" s="184" t="n">
        <v>1295.7</v>
      </c>
      <c r="AQ27" s="184" t="n">
        <v>1667.1</v>
      </c>
      <c r="AR27" s="184" t="n">
        <v>5441.4</v>
      </c>
      <c r="AS27" s="184" t="n">
        <v>1301</v>
      </c>
      <c r="AT27" s="184" t="n">
        <v>1204.7</v>
      </c>
      <c r="AU27" s="184" t="n">
        <v>1237.3</v>
      </c>
      <c r="AV27" s="184" t="n">
        <v>1339.3</v>
      </c>
      <c r="AW27" s="184" t="n">
        <v>5082.3</v>
      </c>
      <c r="AX27" s="184" t="n">
        <v>1183.3</v>
      </c>
      <c r="AY27" s="184" t="n">
        <v>1335.9</v>
      </c>
      <c r="AZ27" s="184" t="n">
        <v>1295</v>
      </c>
      <c r="BA27" s="184" t="n">
        <v>1425</v>
      </c>
      <c r="BB27" s="184" t="n">
        <v>5239</v>
      </c>
      <c r="BC27" s="184" t="n">
        <v>1322</v>
      </c>
      <c r="BD27" s="184" t="n">
        <v>1490</v>
      </c>
      <c r="BE27" s="184" t="n">
        <v>1531</v>
      </c>
      <c r="BF27" s="184" t="n">
        <v>1669</v>
      </c>
      <c r="BG27" s="184" t="n">
        <v>6012</v>
      </c>
      <c r="BH27" s="184" t="n">
        <v>1566</v>
      </c>
      <c r="BI27" s="184" t="n">
        <v>1708</v>
      </c>
      <c r="BJ27" s="184" t="n">
        <v>1890</v>
      </c>
      <c r="BK27" s="184" t="n">
        <v>1798</v>
      </c>
      <c r="BL27" s="184" t="n">
        <v>6962</v>
      </c>
      <c r="BM27" s="184" t="n">
        <v>1824</v>
      </c>
      <c r="BN27" s="184" t="n">
        <v>1920</v>
      </c>
      <c r="BO27" s="184" t="n">
        <v>1930</v>
      </c>
      <c r="BP27" s="184" t="n">
        <v>1794</v>
      </c>
      <c r="BQ27" s="184" t="n">
        <v>7468</v>
      </c>
      <c r="BR27" s="184" t="n">
        <v>1901</v>
      </c>
      <c r="BS27" s="184" t="n">
        <v>1919</v>
      </c>
      <c r="BT27" s="184" t="n">
        <v>2093</v>
      </c>
      <c r="BU27" s="184" t="n">
        <v>2123</v>
      </c>
      <c r="BV27" s="184" t="n">
        <v>8036</v>
      </c>
      <c r="BW27" s="184" t="n">
        <v>2115</v>
      </c>
      <c r="BX27" s="184" t="n">
        <v>2243</v>
      </c>
      <c r="BY27" s="185">
        <f>N(BY14)+N(BY17)+N(BY20)+N(BY23)</f>
        <v/>
      </c>
      <c r="BZ27" s="185">
        <f>N(BZ14)+N(BZ17)+N(BZ20)+N(BZ23)</f>
        <v/>
      </c>
      <c r="CA27" s="185">
        <f>SUM(BW27,BX27,BY27,BZ27)</f>
        <v/>
      </c>
      <c r="CB27" s="185">
        <f>N(CB14)+N(CB17)+N(CB20)+N(CB23)</f>
        <v/>
      </c>
      <c r="CC27" s="185">
        <f>N(CC14)+N(CC17)+N(CC20)+N(CC23)</f>
        <v/>
      </c>
      <c r="CD27" s="185">
        <f>N(CD14)+N(CD17)+N(CD20)+N(CD23)</f>
        <v/>
      </c>
      <c r="CE27" s="185">
        <f>N(CE14)+N(CE17)+N(CE20)+N(CE23)</f>
        <v/>
      </c>
      <c r="CF27" s="6" t="inlineStr">
        <is>
          <t>Historical = segment net sales as originally reported. Forecast = Σ product lines.</t>
        </is>
      </c>
      <c r="CH27" s="21">
        <f>IFERROR((CE27/BV27)^(1/5)-1,"n/m")</f>
        <v/>
      </c>
      <c r="CI27" s="21">
        <f>IFERROR((BV27/AW27)^(1/5)-1,"n/m")</f>
        <v/>
      </c>
      <c r="CJ27" s="21">
        <f>IFERROR((BV27/X27)^(1/10)-1,"n/m")</f>
        <v/>
      </c>
      <c r="CK27" s="21">
        <f>IFERROR((BV27/C27)^(1/19)-1,"n/m")</f>
        <v/>
      </c>
    </row>
    <row r="28" ht="15" customHeight="1">
      <c r="B28" s="23" t="inlineStr">
        <is>
          <t xml:space="preserve">  Segment net sales y/y %</t>
        </is>
      </c>
      <c r="D28" s="179">
        <f>IF(AND(ISNUMBER(D27),ISNUMBER(C27)),IFERROR(D27/C27-1,""),"")</f>
        <v/>
      </c>
      <c r="E28" s="179">
        <f>IF(AND(ISNUMBER(E27),ISNUMBER(D27)),IFERROR(E27/D27-1,""),"")</f>
        <v/>
      </c>
      <c r="F28" s="179">
        <f>IF(AND(ISNUMBER(F27),ISNUMBER(E27)),IFERROR(F27/E27-1,""),"")</f>
        <v/>
      </c>
      <c r="G28" s="179">
        <f>IF(AND(ISNUMBER(G27),ISNUMBER(F27)),IFERROR(G27/F27-1,""),"")</f>
        <v/>
      </c>
      <c r="H28" s="179">
        <f>IF(AND(ISNUMBER(H27),ISNUMBER(G27)),IFERROR(H27/G27-1,""),"")</f>
        <v/>
      </c>
      <c r="I28" s="179">
        <f>IF(AND(ISNUMBER(I27),ISNUMBER(H27)),IFERROR(I27/H27-1,""),"")</f>
        <v/>
      </c>
      <c r="N28" s="179">
        <f>IF(AND(ISNUMBER(N27),ISNUMBER(I27)),IFERROR(N27/I27-1,""),"")</f>
        <v/>
      </c>
      <c r="O28" s="179">
        <f>IF(AND(ISNUMBER(O27),ISNUMBER(J27)),IFERROR(O27/J27-1,""),"")</f>
        <v/>
      </c>
      <c r="P28" s="179">
        <f>IF(AND(ISNUMBER(P27),ISNUMBER(K27)),IFERROR(P27/K27-1,""),"")</f>
        <v/>
      </c>
      <c r="Q28" s="179">
        <f>IF(AND(ISNUMBER(Q27),ISNUMBER(L27)),IFERROR(Q27/L27-1,""),"")</f>
        <v/>
      </c>
      <c r="R28" s="179">
        <f>IF(AND(ISNUMBER(R27),ISNUMBER(M27)),IFERROR(R27/M27-1,""),"")</f>
        <v/>
      </c>
      <c r="S28" s="179">
        <f>IF(AND(ISNUMBER(S27),ISNUMBER(N27)),IFERROR(S27/N27-1,""),"")</f>
        <v/>
      </c>
      <c r="T28" s="179">
        <f>IF(AND(ISNUMBER(T27),ISNUMBER(O27)),IFERROR(T27/O27-1,""),"")</f>
        <v/>
      </c>
      <c r="U28" s="179">
        <f>IF(AND(ISNUMBER(U27),ISNUMBER(P27)),IFERROR(U27/P27-1,""),"")</f>
        <v/>
      </c>
      <c r="V28" s="179">
        <f>IF(AND(ISNUMBER(V27),ISNUMBER(Q27)),IFERROR(V27/Q27-1,""),"")</f>
        <v/>
      </c>
      <c r="W28" s="179">
        <f>IF(AND(ISNUMBER(W27),ISNUMBER(R27)),IFERROR(W27/R27-1,""),"")</f>
        <v/>
      </c>
      <c r="X28" s="179">
        <f>IF(AND(ISNUMBER(X27),ISNUMBER(S27)),IFERROR(X27/S27-1,""),"")</f>
        <v/>
      </c>
      <c r="Y28" s="179">
        <f>IF(AND(ISNUMBER(Y27),ISNUMBER(T27)),IFERROR(Y27/T27-1,""),"")</f>
        <v/>
      </c>
      <c r="Z28" s="179">
        <f>IF(AND(ISNUMBER(Z27),ISNUMBER(U27)),IFERROR(Z27/U27-1,""),"")</f>
        <v/>
      </c>
      <c r="AA28" s="179">
        <f>IF(AND(ISNUMBER(AA27),ISNUMBER(V27)),IFERROR(AA27/V27-1,""),"")</f>
        <v/>
      </c>
      <c r="AB28" s="179">
        <f>IF(AND(ISNUMBER(AB27),ISNUMBER(W27)),IFERROR(AB27/W27-1,""),"")</f>
        <v/>
      </c>
      <c r="AC28" s="179">
        <f>IF(AND(ISNUMBER(AC27),ISNUMBER(X27)),IFERROR(AC27/X27-1,""),"")</f>
        <v/>
      </c>
      <c r="AD28" s="179">
        <f>IF(AND(ISNUMBER(AD27),ISNUMBER(Y27)),IFERROR(AD27/Y27-1,""),"")</f>
        <v/>
      </c>
      <c r="AE28" s="179">
        <f>IF(AND(ISNUMBER(AE27),ISNUMBER(Z27)),IFERROR(AE27/Z27-1,""),"")</f>
        <v/>
      </c>
      <c r="AF28" s="179">
        <f>IF(AND(ISNUMBER(AF27),ISNUMBER(AA27)),IFERROR(AF27/AA27-1,""),"")</f>
        <v/>
      </c>
      <c r="AG28" s="179">
        <f>IF(AND(ISNUMBER(AG27),ISNUMBER(AB27)),IFERROR(AG27/AB27-1,""),"")</f>
        <v/>
      </c>
      <c r="AH28" s="179">
        <f>IF(AND(ISNUMBER(AH27),ISNUMBER(AC27)),IFERROR(AH27/AC27-1,""),"")</f>
        <v/>
      </c>
      <c r="AI28" s="179">
        <f>IF(AND(ISNUMBER(AI27),ISNUMBER(AD27)),IFERROR(AI27/AD27-1,""),"")</f>
        <v/>
      </c>
      <c r="AJ28" s="179">
        <f>IF(AND(ISNUMBER(AJ27),ISNUMBER(AE27)),IFERROR(AJ27/AE27-1,""),"")</f>
        <v/>
      </c>
      <c r="AK28" s="179">
        <f>IF(AND(ISNUMBER(AK27),ISNUMBER(AF27)),IFERROR(AK27/AF27-1,""),"")</f>
        <v/>
      </c>
      <c r="AL28" s="179">
        <f>IF(AND(ISNUMBER(AL27),ISNUMBER(AG27)),IFERROR(AL27/AG27-1,""),"")</f>
        <v/>
      </c>
      <c r="AM28" s="179">
        <f>IF(AND(ISNUMBER(AM27),ISNUMBER(AH27)),IFERROR(AM27/AH27-1,""),"")</f>
        <v/>
      </c>
      <c r="AN28" s="179">
        <f>IF(AND(ISNUMBER(AN27),ISNUMBER(AI27)),IFERROR(AN27/AI27-1,""),"")</f>
        <v/>
      </c>
      <c r="AO28" s="179">
        <f>IF(AND(ISNUMBER(AO27),ISNUMBER(AJ27)),IFERROR(AO27/AJ27-1,""),"")</f>
        <v/>
      </c>
      <c r="AP28" s="179">
        <f>IF(AND(ISNUMBER(AP27),ISNUMBER(AK27)),IFERROR(AP27/AK27-1,""),"")</f>
        <v/>
      </c>
      <c r="AQ28" s="179">
        <f>IF(AND(ISNUMBER(AQ27),ISNUMBER(AL27)),IFERROR(AQ27/AL27-1,""),"")</f>
        <v/>
      </c>
      <c r="AR28" s="179">
        <f>IF(AND(ISNUMBER(AR27),ISNUMBER(AM27)),IFERROR(AR27/AM27-1,""),"")</f>
        <v/>
      </c>
      <c r="AS28" s="179">
        <f>IF(AND(ISNUMBER(AS27),ISNUMBER(AN27)),IFERROR(AS27/AN27-1,""),"")</f>
        <v/>
      </c>
      <c r="AT28" s="179">
        <f>IF(AND(ISNUMBER(AT27),ISNUMBER(AO27)),IFERROR(AT27/AO27-1,""),"")</f>
        <v/>
      </c>
      <c r="AU28" s="179">
        <f>IF(AND(ISNUMBER(AU27),ISNUMBER(AP27)),IFERROR(AU27/AP27-1,""),"")</f>
        <v/>
      </c>
      <c r="AV28" s="179">
        <f>IF(AND(ISNUMBER(AV27),ISNUMBER(AQ27)),IFERROR(AV27/AQ27-1,""),"")</f>
        <v/>
      </c>
      <c r="AW28" s="179">
        <f>IF(AND(ISNUMBER(AW27),ISNUMBER(AR27)),IFERROR(AW27/AR27-1,""),"")</f>
        <v/>
      </c>
      <c r="AX28" s="179">
        <f>IF(AND(ISNUMBER(AX27),ISNUMBER(AS27)),IFERROR(AX27/AS27-1,""),"")</f>
        <v/>
      </c>
      <c r="AY28" s="179">
        <f>IF(AND(ISNUMBER(AY27),ISNUMBER(AT27)),IFERROR(AY27/AT27-1,""),"")</f>
        <v/>
      </c>
      <c r="AZ28" s="179">
        <f>IF(AND(ISNUMBER(AZ27),ISNUMBER(AU27)),IFERROR(AZ27/AU27-1,""),"")</f>
        <v/>
      </c>
      <c r="BA28" s="179">
        <f>IF(AND(ISNUMBER(BA27),ISNUMBER(AV27)),IFERROR(BA27/AV27-1,""),"")</f>
        <v/>
      </c>
      <c r="BB28" s="179">
        <f>IF(AND(ISNUMBER(BB27),ISNUMBER(AW27)),IFERROR(BB27/AW27-1,""),"")</f>
        <v/>
      </c>
      <c r="BC28" s="179">
        <f>IF(AND(ISNUMBER(BC27),ISNUMBER(AX27)),IFERROR(BC27/AX27-1,""),"")</f>
        <v/>
      </c>
      <c r="BD28" s="179">
        <f>IF(AND(ISNUMBER(BD27),ISNUMBER(AY27)),IFERROR(BD27/AY27-1,""),"")</f>
        <v/>
      </c>
      <c r="BE28" s="179">
        <f>IF(AND(ISNUMBER(BE27),ISNUMBER(AZ27)),IFERROR(BE27/AZ27-1,""),"")</f>
        <v/>
      </c>
      <c r="BF28" s="179">
        <f>IF(AND(ISNUMBER(BF27),ISNUMBER(BA27)),IFERROR(BF27/BA27-1,""),"")</f>
        <v/>
      </c>
      <c r="BG28" s="179">
        <f>IF(AND(ISNUMBER(BG27),ISNUMBER(BB27)),IFERROR(BG27/BB27-1,""),"")</f>
        <v/>
      </c>
      <c r="BH28" s="179">
        <f>IF(AND(ISNUMBER(BH27),ISNUMBER(BC27)),IFERROR(BH27/BC27-1,""),"")</f>
        <v/>
      </c>
      <c r="BI28" s="179">
        <f>IF(AND(ISNUMBER(BI27),ISNUMBER(BD27)),IFERROR(BI27/BD27-1,""),"")</f>
        <v/>
      </c>
      <c r="BJ28" s="179">
        <f>IF(AND(ISNUMBER(BJ27),ISNUMBER(BE27)),IFERROR(BJ27/BE27-1,""),"")</f>
        <v/>
      </c>
      <c r="BK28" s="179">
        <f>IF(AND(ISNUMBER(BK27),ISNUMBER(BF27)),IFERROR(BK27/BF27-1,""),"")</f>
        <v/>
      </c>
      <c r="BL28" s="179">
        <f>IF(AND(ISNUMBER(BL27),ISNUMBER(BG27)),IFERROR(BL27/BG27-1,""),"")</f>
        <v/>
      </c>
      <c r="BM28" s="179">
        <f>IF(AND(ISNUMBER(BM27),ISNUMBER(BH27)),IFERROR(BM27/BH27-1,""),"")</f>
        <v/>
      </c>
      <c r="BN28" s="179">
        <f>IF(AND(ISNUMBER(BN27),ISNUMBER(BI27)),IFERROR(BN27/BI27-1,""),"")</f>
        <v/>
      </c>
      <c r="BO28" s="179">
        <f>IF(AND(ISNUMBER(BO27),ISNUMBER(BJ27)),IFERROR(BO27/BJ27-1,""),"")</f>
        <v/>
      </c>
      <c r="BP28" s="179">
        <f>IF(AND(ISNUMBER(BP27),ISNUMBER(BK27)),IFERROR(BP27/BK27-1,""),"")</f>
        <v/>
      </c>
      <c r="BQ28" s="179">
        <f>IF(AND(ISNUMBER(BQ27),ISNUMBER(BL27)),IFERROR(BQ27/BL27-1,""),"")</f>
        <v/>
      </c>
      <c r="BR28" s="179">
        <f>IF(AND(ISNUMBER(BR27),ISNUMBER(BM27)),IFERROR(BR27/BM27-1,""),"")</f>
        <v/>
      </c>
      <c r="BS28" s="179">
        <f>IF(AND(ISNUMBER(BS27),ISNUMBER(BN27)),IFERROR(BS27/BN27-1,""),"")</f>
        <v/>
      </c>
      <c r="BT28" s="179">
        <f>IF(AND(ISNUMBER(BT27),ISNUMBER(BO27)),IFERROR(BT27/BO27-1,""),"")</f>
        <v/>
      </c>
      <c r="BU28" s="179">
        <f>IF(AND(ISNUMBER(BU27),ISNUMBER(BP27)),IFERROR(BU27/BP27-1,""),"")</f>
        <v/>
      </c>
      <c r="BV28" s="179">
        <f>IF(AND(ISNUMBER(BV27),ISNUMBER(BQ27)),IFERROR(BV27/BQ27-1,""),"")</f>
        <v/>
      </c>
      <c r="BW28" s="179">
        <f>IF(AND(ISNUMBER(BW27),ISNUMBER(BR27)),IFERROR(BW27/BR27-1,""),"")</f>
        <v/>
      </c>
      <c r="BX28" s="179">
        <f>IF(AND(ISNUMBER(BX27),ISNUMBER(BS27)),IFERROR(BX27/BS27-1,""),"")</f>
        <v/>
      </c>
      <c r="BY28" s="180">
        <f>IF(AND(ISNUMBER(BY27),ISNUMBER(BT27)),IFERROR(BY27/BT27-1,""),"")</f>
        <v/>
      </c>
      <c r="BZ28" s="180">
        <f>IF(AND(ISNUMBER(BZ27),ISNUMBER(BU27)),IFERROR(BZ27/BU27-1,""),"")</f>
        <v/>
      </c>
      <c r="CA28" s="180">
        <f>IF(AND(ISNUMBER(CA27),ISNUMBER(BV27)),IFERROR(CA27/BV27-1,""),"")</f>
        <v/>
      </c>
      <c r="CB28" s="180">
        <f>IF(AND(ISNUMBER(CB27),ISNUMBER(CA27)),IFERROR(CB27/CA27-1,""),"")</f>
        <v/>
      </c>
      <c r="CC28" s="180">
        <f>IF(AND(ISNUMBER(CC27),ISNUMBER(CB27)),IFERROR(CC27/CB27-1,""),"")</f>
        <v/>
      </c>
      <c r="CD28" s="180">
        <f>IF(AND(ISNUMBER(CD27),ISNUMBER(CC27)),IFERROR(CD27/CC27-1,""),"")</f>
        <v/>
      </c>
      <c r="CE28" s="180">
        <f>IF(AND(ISNUMBER(CE27),ISNUMBER(CD27)),IFERROR(CE27/CD27-1,""),"")</f>
        <v/>
      </c>
      <c r="CF28" s="6" t="n"/>
      <c r="CN28" s="26" t="inlineStr">
        <is>
          <t xml:space="preserve">  Minimum net debt / Adjusted EBITDA (x) — buyback floor 2027E+</t>
        </is>
      </c>
      <c r="CO28" s="186" t="n">
        <v>1.75</v>
      </c>
      <c r="CP28" s="186" t="n">
        <v>1.5</v>
      </c>
      <c r="CQ28" s="186" t="n">
        <v>1.25</v>
      </c>
      <c r="CR28" s="14" t="inlineStr">
        <is>
          <t>Wabtec targets net leverage of ~2.0–2.5x through the cycle; ~1.7x Adjusted EBITDA expected at YE26 (2.0x at 30-Jun-26 after Dellner). Floors leave headroom for bolt-on M&amp;A; buybacks absorb free cash flow once leverage reaches the scenario floor.</t>
        </is>
      </c>
    </row>
    <row r="29" ht="15" customHeight="1">
      <c r="B29" s="26" t="inlineStr">
        <is>
          <t xml:space="preserve">  Segment gross profit (GAAP; published from 2019)</t>
        </is>
      </c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  <c r="AP29" s="36" t="n"/>
      <c r="AQ29" s="174" t="n">
        <v>514.2</v>
      </c>
      <c r="AR29" s="174" t="n">
        <v>1581.4</v>
      </c>
      <c r="AS29" s="36" t="n"/>
      <c r="AT29" s="36" t="n"/>
      <c r="AU29" s="36" t="n"/>
      <c r="AV29" s="36" t="n"/>
      <c r="AW29" s="36" t="n"/>
      <c r="AX29" s="174" t="n">
        <v>356</v>
      </c>
      <c r="AY29" s="174" t="n">
        <v>414</v>
      </c>
      <c r="AZ29" s="174" t="n">
        <v>444</v>
      </c>
      <c r="BA29" s="174" t="n">
        <v>454</v>
      </c>
      <c r="BB29" s="174" t="n">
        <v>1667</v>
      </c>
      <c r="BC29" s="174" t="n">
        <v>424</v>
      </c>
      <c r="BD29" s="174" t="n">
        <v>493</v>
      </c>
      <c r="BE29" s="174" t="n">
        <v>497</v>
      </c>
      <c r="BF29" s="174" t="n">
        <v>482</v>
      </c>
      <c r="BG29" s="174" t="n">
        <v>1896</v>
      </c>
      <c r="BH29" s="174" t="n">
        <v>480</v>
      </c>
      <c r="BI29" s="174" t="n">
        <v>541</v>
      </c>
      <c r="BJ29" s="174" t="n">
        <v>611</v>
      </c>
      <c r="BK29" s="174" t="n">
        <v>558</v>
      </c>
      <c r="BL29" s="174" t="n">
        <v>2190</v>
      </c>
      <c r="BM29" s="174" t="n">
        <v>625</v>
      </c>
      <c r="BN29" s="174" t="n">
        <v>669</v>
      </c>
      <c r="BO29" s="174" t="n">
        <v>673</v>
      </c>
      <c r="BP29" s="174" t="n">
        <v>556</v>
      </c>
      <c r="BQ29" s="174" t="n">
        <v>2523</v>
      </c>
      <c r="BR29" s="174" t="n">
        <v>685</v>
      </c>
      <c r="BS29" s="174" t="n">
        <v>697</v>
      </c>
      <c r="BT29" s="174" t="n">
        <v>750</v>
      </c>
      <c r="BU29" s="174" t="n">
        <v>703</v>
      </c>
      <c r="BV29" s="174" t="n">
        <v>2835</v>
      </c>
      <c r="BW29" s="174" t="n">
        <v>788</v>
      </c>
      <c r="BX29" s="174" t="n">
        <v>854</v>
      </c>
      <c r="BY29" s="37" t="n"/>
      <c r="BZ29" s="37" t="n"/>
      <c r="CA29" s="37" t="n"/>
      <c r="CB29" s="37" t="n"/>
      <c r="CC29" s="37" t="n"/>
      <c r="CD29" s="37" t="n"/>
      <c r="CE29" s="37" t="n"/>
      <c r="CF29" s="20" t="n"/>
    </row>
    <row r="30" ht="15" customHeight="1">
      <c r="B30" s="26" t="inlineStr">
        <is>
          <t xml:space="preserve">  Segment gross margin %</t>
        </is>
      </c>
      <c r="C30" s="187">
        <f>IF(AND(ISNUMBER(C29),ISNUMBER(C27)),IFERROR(C29/C27,""),"")</f>
        <v/>
      </c>
      <c r="D30" s="187">
        <f>IF(AND(ISNUMBER(D29),ISNUMBER(D27)),IFERROR(D29/D27,""),"")</f>
        <v/>
      </c>
      <c r="E30" s="187">
        <f>IF(AND(ISNUMBER(E29),ISNUMBER(E27)),IFERROR(E29/E27,""),"")</f>
        <v/>
      </c>
      <c r="F30" s="187">
        <f>IF(AND(ISNUMBER(F29),ISNUMBER(F27)),IFERROR(F29/F27,""),"")</f>
        <v/>
      </c>
      <c r="G30" s="187">
        <f>IF(AND(ISNUMBER(G29),ISNUMBER(G27)),IFERROR(G29/G27,""),"")</f>
        <v/>
      </c>
      <c r="H30" s="187">
        <f>IF(AND(ISNUMBER(H29),ISNUMBER(H27)),IFERROR(H29/H27,""),"")</f>
        <v/>
      </c>
      <c r="I30" s="187">
        <f>IF(AND(ISNUMBER(I29),ISNUMBER(I27)),IFERROR(I29/I27,""),"")</f>
        <v/>
      </c>
      <c r="J30" s="187">
        <f>IF(AND(ISNUMBER(J29),ISNUMBER(J27)),IFERROR(J29/J27,""),"")</f>
        <v/>
      </c>
      <c r="K30" s="187">
        <f>IF(AND(ISNUMBER(K29),ISNUMBER(K27)),IFERROR(K29/K27,""),"")</f>
        <v/>
      </c>
      <c r="L30" s="187">
        <f>IF(AND(ISNUMBER(L29),ISNUMBER(L27)),IFERROR(L29/L27,""),"")</f>
        <v/>
      </c>
      <c r="M30" s="187">
        <f>IF(AND(ISNUMBER(M29),ISNUMBER(M27)),IFERROR(M29/M27,""),"")</f>
        <v/>
      </c>
      <c r="N30" s="187">
        <f>IF(AND(ISNUMBER(N29),ISNUMBER(N27)),IFERROR(N29/N27,""),"")</f>
        <v/>
      </c>
      <c r="O30" s="187">
        <f>IF(AND(ISNUMBER(O29),ISNUMBER(O27)),IFERROR(O29/O27,""),"")</f>
        <v/>
      </c>
      <c r="P30" s="187">
        <f>IF(AND(ISNUMBER(P29),ISNUMBER(P27)),IFERROR(P29/P27,""),"")</f>
        <v/>
      </c>
      <c r="Q30" s="187">
        <f>IF(AND(ISNUMBER(Q29),ISNUMBER(Q27)),IFERROR(Q29/Q27,""),"")</f>
        <v/>
      </c>
      <c r="R30" s="187">
        <f>IF(AND(ISNUMBER(R29),ISNUMBER(R27)),IFERROR(R29/R27,""),"")</f>
        <v/>
      </c>
      <c r="S30" s="187">
        <f>IF(AND(ISNUMBER(S29),ISNUMBER(S27)),IFERROR(S29/S27,""),"")</f>
        <v/>
      </c>
      <c r="T30" s="187">
        <f>IF(AND(ISNUMBER(T29),ISNUMBER(T27)),IFERROR(T29/T27,""),"")</f>
        <v/>
      </c>
      <c r="U30" s="187">
        <f>IF(AND(ISNUMBER(U29),ISNUMBER(U27)),IFERROR(U29/U27,""),"")</f>
        <v/>
      </c>
      <c r="V30" s="187">
        <f>IF(AND(ISNUMBER(V29),ISNUMBER(V27)),IFERROR(V29/V27,""),"")</f>
        <v/>
      </c>
      <c r="W30" s="187">
        <f>IF(AND(ISNUMBER(W29),ISNUMBER(W27)),IFERROR(W29/W27,""),"")</f>
        <v/>
      </c>
      <c r="X30" s="187">
        <f>IF(AND(ISNUMBER(X29),ISNUMBER(X27)),IFERROR(X29/X27,""),"")</f>
        <v/>
      </c>
      <c r="Y30" s="187">
        <f>IF(AND(ISNUMBER(Y29),ISNUMBER(Y27)),IFERROR(Y29/Y27,""),"")</f>
        <v/>
      </c>
      <c r="Z30" s="187">
        <f>IF(AND(ISNUMBER(Z29),ISNUMBER(Z27)),IFERROR(Z29/Z27,""),"")</f>
        <v/>
      </c>
      <c r="AA30" s="187">
        <f>IF(AND(ISNUMBER(AA29),ISNUMBER(AA27)),IFERROR(AA29/AA27,""),"")</f>
        <v/>
      </c>
      <c r="AB30" s="187">
        <f>IF(AND(ISNUMBER(AB29),ISNUMBER(AB27)),IFERROR(AB29/AB27,""),"")</f>
        <v/>
      </c>
      <c r="AC30" s="187">
        <f>IF(AND(ISNUMBER(AC29),ISNUMBER(AC27)),IFERROR(AC29/AC27,""),"")</f>
        <v/>
      </c>
      <c r="AD30" s="187">
        <f>IF(AND(ISNUMBER(AD29),ISNUMBER(AD27)),IFERROR(AD29/AD27,""),"")</f>
        <v/>
      </c>
      <c r="AE30" s="187">
        <f>IF(AND(ISNUMBER(AE29),ISNUMBER(AE27)),IFERROR(AE29/AE27,""),"")</f>
        <v/>
      </c>
      <c r="AF30" s="187">
        <f>IF(AND(ISNUMBER(AF29),ISNUMBER(AF27)),IFERROR(AF29/AF27,""),"")</f>
        <v/>
      </c>
      <c r="AG30" s="187">
        <f>IF(AND(ISNUMBER(AG29),ISNUMBER(AG27)),IFERROR(AG29/AG27,""),"")</f>
        <v/>
      </c>
      <c r="AH30" s="187">
        <f>IF(AND(ISNUMBER(AH29),ISNUMBER(AH27)),IFERROR(AH29/AH27,""),"")</f>
        <v/>
      </c>
      <c r="AI30" s="187">
        <f>IF(AND(ISNUMBER(AI29),ISNUMBER(AI27)),IFERROR(AI29/AI27,""),"")</f>
        <v/>
      </c>
      <c r="AJ30" s="187">
        <f>IF(AND(ISNUMBER(AJ29),ISNUMBER(AJ27)),IFERROR(AJ29/AJ27,""),"")</f>
        <v/>
      </c>
      <c r="AK30" s="187">
        <f>IF(AND(ISNUMBER(AK29),ISNUMBER(AK27)),IFERROR(AK29/AK27,""),"")</f>
        <v/>
      </c>
      <c r="AL30" s="187">
        <f>IF(AND(ISNUMBER(AL29),ISNUMBER(AL27)),IFERROR(AL29/AL27,""),"")</f>
        <v/>
      </c>
      <c r="AM30" s="187">
        <f>IF(AND(ISNUMBER(AM29),ISNUMBER(AM27)),IFERROR(AM29/AM27,""),"")</f>
        <v/>
      </c>
      <c r="AN30" s="187">
        <f>IF(AND(ISNUMBER(AN29),ISNUMBER(AN27)),IFERROR(AN29/AN27,""),"")</f>
        <v/>
      </c>
      <c r="AO30" s="187">
        <f>IF(AND(ISNUMBER(AO29),ISNUMBER(AO27)),IFERROR(AO29/AO27,""),"")</f>
        <v/>
      </c>
      <c r="AP30" s="187">
        <f>IF(AND(ISNUMBER(AP29),ISNUMBER(AP27)),IFERROR(AP29/AP27,""),"")</f>
        <v/>
      </c>
      <c r="AQ30" s="187">
        <f>IF(AND(ISNUMBER(AQ29),ISNUMBER(AQ27)),IFERROR(AQ29/AQ27,""),"")</f>
        <v/>
      </c>
      <c r="AR30" s="187">
        <f>IF(AND(ISNUMBER(AR29),ISNUMBER(AR27)),IFERROR(AR29/AR27,""),"")</f>
        <v/>
      </c>
      <c r="AS30" s="187">
        <f>IF(AND(ISNUMBER(AS29),ISNUMBER(AS27)),IFERROR(AS29/AS27,""),"")</f>
        <v/>
      </c>
      <c r="AT30" s="187">
        <f>IF(AND(ISNUMBER(AT29),ISNUMBER(AT27)),IFERROR(AT29/AT27,""),"")</f>
        <v/>
      </c>
      <c r="AU30" s="187">
        <f>IF(AND(ISNUMBER(AU29),ISNUMBER(AU27)),IFERROR(AU29/AU27,""),"")</f>
        <v/>
      </c>
      <c r="AV30" s="187">
        <f>IF(AND(ISNUMBER(AV29),ISNUMBER(AV27)),IFERROR(AV29/AV27,""),"")</f>
        <v/>
      </c>
      <c r="AW30" s="187">
        <f>IF(AND(ISNUMBER(AW29),ISNUMBER(AW27)),IFERROR(AW29/AW27,""),"")</f>
        <v/>
      </c>
      <c r="AX30" s="187">
        <f>IF(AND(ISNUMBER(AX29),ISNUMBER(AX27)),IFERROR(AX29/AX27,""),"")</f>
        <v/>
      </c>
      <c r="AY30" s="187">
        <f>IF(AND(ISNUMBER(AY29),ISNUMBER(AY27)),IFERROR(AY29/AY27,""),"")</f>
        <v/>
      </c>
      <c r="AZ30" s="187">
        <f>IF(AND(ISNUMBER(AZ29),ISNUMBER(AZ27)),IFERROR(AZ29/AZ27,""),"")</f>
        <v/>
      </c>
      <c r="BA30" s="187">
        <f>IF(AND(ISNUMBER(BA29),ISNUMBER(BA27)),IFERROR(BA29/BA27,""),"")</f>
        <v/>
      </c>
      <c r="BB30" s="187">
        <f>IF(AND(ISNUMBER(BB29),ISNUMBER(BB27)),IFERROR(BB29/BB27,""),"")</f>
        <v/>
      </c>
      <c r="BC30" s="187">
        <f>IF(AND(ISNUMBER(BC29),ISNUMBER(BC27)),IFERROR(BC29/BC27,""),"")</f>
        <v/>
      </c>
      <c r="BD30" s="187">
        <f>IF(AND(ISNUMBER(BD29),ISNUMBER(BD27)),IFERROR(BD29/BD27,""),"")</f>
        <v/>
      </c>
      <c r="BE30" s="187">
        <f>IF(AND(ISNUMBER(BE29),ISNUMBER(BE27)),IFERROR(BE29/BE27,""),"")</f>
        <v/>
      </c>
      <c r="BF30" s="187">
        <f>IF(AND(ISNUMBER(BF29),ISNUMBER(BF27)),IFERROR(BF29/BF27,""),"")</f>
        <v/>
      </c>
      <c r="BG30" s="187">
        <f>IF(AND(ISNUMBER(BG29),ISNUMBER(BG27)),IFERROR(BG29/BG27,""),"")</f>
        <v/>
      </c>
      <c r="BH30" s="187">
        <f>IF(AND(ISNUMBER(BH29),ISNUMBER(BH27)),IFERROR(BH29/BH27,""),"")</f>
        <v/>
      </c>
      <c r="BI30" s="187">
        <f>IF(AND(ISNUMBER(BI29),ISNUMBER(BI27)),IFERROR(BI29/BI27,""),"")</f>
        <v/>
      </c>
      <c r="BJ30" s="187">
        <f>IF(AND(ISNUMBER(BJ29),ISNUMBER(BJ27)),IFERROR(BJ29/BJ27,""),"")</f>
        <v/>
      </c>
      <c r="BK30" s="187">
        <f>IF(AND(ISNUMBER(BK29),ISNUMBER(BK27)),IFERROR(BK29/BK27,""),"")</f>
        <v/>
      </c>
      <c r="BL30" s="187">
        <f>IF(AND(ISNUMBER(BL29),ISNUMBER(BL27)),IFERROR(BL29/BL27,""),"")</f>
        <v/>
      </c>
      <c r="BM30" s="187">
        <f>IF(AND(ISNUMBER(BM29),ISNUMBER(BM27)),IFERROR(BM29/BM27,""),"")</f>
        <v/>
      </c>
      <c r="BN30" s="187">
        <f>IF(AND(ISNUMBER(BN29),ISNUMBER(BN27)),IFERROR(BN29/BN27,""),"")</f>
        <v/>
      </c>
      <c r="BO30" s="187">
        <f>IF(AND(ISNUMBER(BO29),ISNUMBER(BO27)),IFERROR(BO29/BO27,""),"")</f>
        <v/>
      </c>
      <c r="BP30" s="187">
        <f>IF(AND(ISNUMBER(BP29),ISNUMBER(BP27)),IFERROR(BP29/BP27,""),"")</f>
        <v/>
      </c>
      <c r="BQ30" s="187">
        <f>IF(AND(ISNUMBER(BQ29),ISNUMBER(BQ27)),IFERROR(BQ29/BQ27,""),"")</f>
        <v/>
      </c>
      <c r="BR30" s="187">
        <f>IF(AND(ISNUMBER(BR29),ISNUMBER(BR27)),IFERROR(BR29/BR27,""),"")</f>
        <v/>
      </c>
      <c r="BS30" s="187">
        <f>IF(AND(ISNUMBER(BS29),ISNUMBER(BS27)),IFERROR(BS29/BS27,""),"")</f>
        <v/>
      </c>
      <c r="BT30" s="187">
        <f>IF(AND(ISNUMBER(BT29),ISNUMBER(BT27)),IFERROR(BT29/BT27,""),"")</f>
        <v/>
      </c>
      <c r="BU30" s="187">
        <f>IF(AND(ISNUMBER(BU29),ISNUMBER(BU27)),IFERROR(BU29/BU27,""),"")</f>
        <v/>
      </c>
      <c r="BV30" s="187">
        <f>IF(AND(ISNUMBER(BV29),ISNUMBER(BV27)),IFERROR(BV29/BV27,""),"")</f>
        <v/>
      </c>
      <c r="BW30" s="187">
        <f>IF(AND(ISNUMBER(BW29),ISNUMBER(BW27)),IFERROR(BW29/BW27,""),"")</f>
        <v/>
      </c>
      <c r="BX30" s="187">
        <f>IF(AND(ISNUMBER(BX29),ISNUMBER(BX27)),IFERROR(BX29/BX27,""),"")</f>
        <v/>
      </c>
      <c r="BY30" s="25" t="n"/>
      <c r="BZ30" s="25" t="n"/>
      <c r="CA30" s="25" t="n"/>
      <c r="CB30" s="25" t="n"/>
      <c r="CC30" s="25" t="n"/>
      <c r="CD30" s="25" t="n"/>
      <c r="CE30" s="25" t="n"/>
      <c r="CF30" s="6" t="n"/>
      <c r="CH30" s="39">
        <f>IFERROR(AVERAGE(CA30,CB30,CC30,CD30,CE30),"n/m")</f>
        <v/>
      </c>
      <c r="CI30" s="39">
        <f>IFERROR(AVERAGE(BB30,BG30,BL30,BQ30,BV30),"n/m")</f>
        <v/>
      </c>
      <c r="CJ30" s="39">
        <f>IFERROR(AVERAGE(AC30,AH30,AM30,AR30,AW30,BB30,BG30,BL30,BQ30,BV30),"n/m")</f>
        <v/>
      </c>
      <c r="CK30" s="39">
        <f>IFERROR(AVERAGE(C30,D30,E30,F30,G30,H30,I30,N30,S30,X30,AC30,AH30,AM30,AR30,AW30,BB30,BG30,BL30,BQ30,BV30),"n/m")</f>
        <v/>
      </c>
      <c r="CN30" s="16" t="inlineStr">
        <is>
          <t>FRT_SVC (Freight Services sales y/y)</t>
        </is>
      </c>
      <c r="CO30" s="44" t="n">
        <v>0.02</v>
      </c>
      <c r="CP30" s="22" t="inlineStr">
        <is>
          <t>Δ →</t>
        </is>
      </c>
      <c r="CQ30" s="44" t="n">
        <v>-0.02</v>
      </c>
      <c r="CR30" s="14" t="inlineStr">
        <is>
          <t>Modernizations (lumpy; N.A. mods down in 2026), overhauls, parts &amp; long-term service agreements on the ~25,000 GE-built fleet.</t>
        </is>
      </c>
    </row>
    <row r="31" ht="15" customHeight="1">
      <c r="B31" s="17" t="inlineStr">
        <is>
          <t xml:space="preserve">  Freight adjusted income from operations (company definition)</t>
        </is>
      </c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46" t="n"/>
      <c r="AI31" s="46" t="n"/>
      <c r="AJ31" s="46" t="n"/>
      <c r="AK31" s="46" t="n"/>
      <c r="AL31" s="46" t="n"/>
      <c r="AM31" s="184" t="n">
        <v>308</v>
      </c>
      <c r="AN31" s="46" t="n"/>
      <c r="AO31" s="46" t="n"/>
      <c r="AP31" s="46" t="n"/>
      <c r="AQ31" s="46" t="n"/>
      <c r="AR31" s="46" t="n"/>
      <c r="AS31" s="184" t="n">
        <v>240.6</v>
      </c>
      <c r="AT31" s="184" t="n">
        <v>228.9</v>
      </c>
      <c r="AU31" s="184" t="n">
        <v>234.2</v>
      </c>
      <c r="AV31" s="184" t="n">
        <v>218.4</v>
      </c>
      <c r="AW31" s="184" t="n">
        <v>922.1</v>
      </c>
      <c r="AX31" s="184" t="n">
        <v>214.1</v>
      </c>
      <c r="AY31" s="184" t="n">
        <v>246.7</v>
      </c>
      <c r="AZ31" s="184" t="n">
        <v>266.2</v>
      </c>
      <c r="BA31" s="184" t="n">
        <v>267</v>
      </c>
      <c r="BB31" s="184" t="n">
        <v>993</v>
      </c>
      <c r="BC31" s="184" t="n">
        <v>259</v>
      </c>
      <c r="BD31" s="184" t="n">
        <v>301</v>
      </c>
      <c r="BE31" s="184" t="n">
        <v>307</v>
      </c>
      <c r="BF31" s="184" t="n">
        <v>284</v>
      </c>
      <c r="BG31" s="184" t="n">
        <v>1151</v>
      </c>
      <c r="BH31" s="184" t="n">
        <v>297</v>
      </c>
      <c r="BI31" s="184" t="n">
        <v>346</v>
      </c>
      <c r="BJ31" s="184" t="n">
        <v>399</v>
      </c>
      <c r="BK31" s="184" t="n">
        <v>347</v>
      </c>
      <c r="BL31" s="184" t="n">
        <v>1389</v>
      </c>
      <c r="BM31" s="184" t="n">
        <v>439</v>
      </c>
      <c r="BN31" s="184" t="n">
        <v>462</v>
      </c>
      <c r="BO31" s="184" t="n">
        <v>467</v>
      </c>
      <c r="BP31" s="184" t="n">
        <v>348</v>
      </c>
      <c r="BQ31" s="184" t="n">
        <v>1716</v>
      </c>
      <c r="BR31" s="184" t="n">
        <v>488</v>
      </c>
      <c r="BS31" s="184" t="n">
        <v>480</v>
      </c>
      <c r="BT31" s="184" t="n">
        <v>513</v>
      </c>
      <c r="BU31" s="184" t="n">
        <v>470</v>
      </c>
      <c r="BV31" s="184" t="n">
        <v>1951</v>
      </c>
      <c r="BW31" s="184" t="n">
        <v>550</v>
      </c>
      <c r="BX31" s="184" t="n">
        <v>579</v>
      </c>
      <c r="BY31" s="185">
        <f>BY27*BY32</f>
        <v/>
      </c>
      <c r="BZ31" s="185">
        <f>BZ27*BZ32</f>
        <v/>
      </c>
      <c r="CA31" s="185">
        <f>SUM(BW31,BX31,BY31,BZ31)</f>
        <v/>
      </c>
      <c r="CB31" s="185">
        <f>CB27*CB32</f>
        <v/>
      </c>
      <c r="CC31" s="185">
        <f>CC27*CC32</f>
        <v/>
      </c>
      <c r="CD31" s="185">
        <f>CD27*CD32</f>
        <v/>
      </c>
      <c r="CE31" s="185">
        <f>CE27*CE32</f>
        <v/>
      </c>
      <c r="CF31" s="6" t="inlineStr">
        <is>
          <t>Segment adjusted operating income as published (segment Reported→Adjusted tables). Forecast = segment sales × adjusted operating margin.</t>
        </is>
      </c>
      <c r="CH31" s="21">
        <f>IFERROR((CE31/BV31)^(1/5)-1,"n/m")</f>
        <v/>
      </c>
      <c r="CI31" s="21">
        <f>IFERROR((BV31/AW31)^(1/5)-1,"n/m")</f>
        <v/>
      </c>
      <c r="CJ31" s="21">
        <f>IFERROR((BV31/X31)^(1/10)-1,"n/m")</f>
        <v/>
      </c>
      <c r="CK31" s="21">
        <f>IFERROR((BV31/C31)^(1/19)-1,"n/m")</f>
        <v/>
      </c>
      <c r="CN31" s="26" t="inlineStr">
        <is>
          <t xml:space="preserve">  2027E</t>
        </is>
      </c>
      <c r="CO31" s="35">
        <f>CP31+$CO$30</f>
        <v/>
      </c>
      <c r="CP31" s="45" t="n">
        <v>0.04</v>
      </c>
      <c r="CQ31" s="35">
        <f>CP31+$CQ$30</f>
        <v/>
      </c>
    </row>
    <row r="32" ht="15" customHeight="1">
      <c r="B32" s="26" t="inlineStr">
        <is>
          <t xml:space="preserve">  Adjusted operating margin %</t>
        </is>
      </c>
      <c r="C32" s="187">
        <f>IF(AND(ISNUMBER(C31),ISNUMBER(C27)),IFERROR(C31/C27,""),"")</f>
        <v/>
      </c>
      <c r="D32" s="187">
        <f>IF(AND(ISNUMBER(D31),ISNUMBER(D27)),IFERROR(D31/D27,""),"")</f>
        <v/>
      </c>
      <c r="E32" s="187">
        <f>IF(AND(ISNUMBER(E31),ISNUMBER(E27)),IFERROR(E31/E27,""),"")</f>
        <v/>
      </c>
      <c r="F32" s="187">
        <f>IF(AND(ISNUMBER(F31),ISNUMBER(F27)),IFERROR(F31/F27,""),"")</f>
        <v/>
      </c>
      <c r="G32" s="187">
        <f>IF(AND(ISNUMBER(G31),ISNUMBER(G27)),IFERROR(G31/G27,""),"")</f>
        <v/>
      </c>
      <c r="H32" s="187">
        <f>IF(AND(ISNUMBER(H31),ISNUMBER(H27)),IFERROR(H31/H27,""),"")</f>
        <v/>
      </c>
      <c r="I32" s="187">
        <f>IF(AND(ISNUMBER(I31),ISNUMBER(I27)),IFERROR(I31/I27,""),"")</f>
        <v/>
      </c>
      <c r="J32" s="187">
        <f>IF(AND(ISNUMBER(J31),ISNUMBER(J27)),IFERROR(J31/J27,""),"")</f>
        <v/>
      </c>
      <c r="K32" s="187">
        <f>IF(AND(ISNUMBER(K31),ISNUMBER(K27)),IFERROR(K31/K27,""),"")</f>
        <v/>
      </c>
      <c r="L32" s="187">
        <f>IF(AND(ISNUMBER(L31),ISNUMBER(L27)),IFERROR(L31/L27,""),"")</f>
        <v/>
      </c>
      <c r="M32" s="187">
        <f>IF(AND(ISNUMBER(M31),ISNUMBER(M27)),IFERROR(M31/M27,""),"")</f>
        <v/>
      </c>
      <c r="N32" s="187">
        <f>IF(AND(ISNUMBER(N31),ISNUMBER(N27)),IFERROR(N31/N27,""),"")</f>
        <v/>
      </c>
      <c r="O32" s="187">
        <f>IF(AND(ISNUMBER(O31),ISNUMBER(O27)),IFERROR(O31/O27,""),"")</f>
        <v/>
      </c>
      <c r="P32" s="187">
        <f>IF(AND(ISNUMBER(P31),ISNUMBER(P27)),IFERROR(P31/P27,""),"")</f>
        <v/>
      </c>
      <c r="Q32" s="187">
        <f>IF(AND(ISNUMBER(Q31),ISNUMBER(Q27)),IFERROR(Q31/Q27,""),"")</f>
        <v/>
      </c>
      <c r="R32" s="187">
        <f>IF(AND(ISNUMBER(R31),ISNUMBER(R27)),IFERROR(R31/R27,""),"")</f>
        <v/>
      </c>
      <c r="S32" s="187">
        <f>IF(AND(ISNUMBER(S31),ISNUMBER(S27)),IFERROR(S31/S27,""),"")</f>
        <v/>
      </c>
      <c r="T32" s="187">
        <f>IF(AND(ISNUMBER(T31),ISNUMBER(T27)),IFERROR(T31/T27,""),"")</f>
        <v/>
      </c>
      <c r="U32" s="187">
        <f>IF(AND(ISNUMBER(U31),ISNUMBER(U27)),IFERROR(U31/U27,""),"")</f>
        <v/>
      </c>
      <c r="V32" s="187">
        <f>IF(AND(ISNUMBER(V31),ISNUMBER(V27)),IFERROR(V31/V27,""),"")</f>
        <v/>
      </c>
      <c r="W32" s="187">
        <f>IF(AND(ISNUMBER(W31),ISNUMBER(W27)),IFERROR(W31/W27,""),"")</f>
        <v/>
      </c>
      <c r="X32" s="187">
        <f>IF(AND(ISNUMBER(X31),ISNUMBER(X27)),IFERROR(X31/X27,""),"")</f>
        <v/>
      </c>
      <c r="Y32" s="187">
        <f>IF(AND(ISNUMBER(Y31),ISNUMBER(Y27)),IFERROR(Y31/Y27,""),"")</f>
        <v/>
      </c>
      <c r="Z32" s="187">
        <f>IF(AND(ISNUMBER(Z31),ISNUMBER(Z27)),IFERROR(Z31/Z27,""),"")</f>
        <v/>
      </c>
      <c r="AA32" s="187">
        <f>IF(AND(ISNUMBER(AA31),ISNUMBER(AA27)),IFERROR(AA31/AA27,""),"")</f>
        <v/>
      </c>
      <c r="AB32" s="187">
        <f>IF(AND(ISNUMBER(AB31),ISNUMBER(AB27)),IFERROR(AB31/AB27,""),"")</f>
        <v/>
      </c>
      <c r="AC32" s="187">
        <f>IF(AND(ISNUMBER(AC31),ISNUMBER(AC27)),IFERROR(AC31/AC27,""),"")</f>
        <v/>
      </c>
      <c r="AD32" s="187">
        <f>IF(AND(ISNUMBER(AD31),ISNUMBER(AD27)),IFERROR(AD31/AD27,""),"")</f>
        <v/>
      </c>
      <c r="AE32" s="187">
        <f>IF(AND(ISNUMBER(AE31),ISNUMBER(AE27)),IFERROR(AE31/AE27,""),"")</f>
        <v/>
      </c>
      <c r="AF32" s="187">
        <f>IF(AND(ISNUMBER(AF31),ISNUMBER(AF27)),IFERROR(AF31/AF27,""),"")</f>
        <v/>
      </c>
      <c r="AG32" s="187">
        <f>IF(AND(ISNUMBER(AG31),ISNUMBER(AG27)),IFERROR(AG31/AG27,""),"")</f>
        <v/>
      </c>
      <c r="AH32" s="187">
        <f>IF(AND(ISNUMBER(AH31),ISNUMBER(AH27)),IFERROR(AH31/AH27,""),"")</f>
        <v/>
      </c>
      <c r="AI32" s="187">
        <f>IF(AND(ISNUMBER(AI31),ISNUMBER(AI27)),IFERROR(AI31/AI27,""),"")</f>
        <v/>
      </c>
      <c r="AJ32" s="187">
        <f>IF(AND(ISNUMBER(AJ31),ISNUMBER(AJ27)),IFERROR(AJ31/AJ27,""),"")</f>
        <v/>
      </c>
      <c r="AK32" s="187">
        <f>IF(AND(ISNUMBER(AK31),ISNUMBER(AK27)),IFERROR(AK31/AK27,""),"")</f>
        <v/>
      </c>
      <c r="AL32" s="187">
        <f>IF(AND(ISNUMBER(AL31),ISNUMBER(AL27)),IFERROR(AL31/AL27,""),"")</f>
        <v/>
      </c>
      <c r="AM32" s="187">
        <f>IF(AND(ISNUMBER(AM31),ISNUMBER(AM27)),IFERROR(AM31/AM27,""),"")</f>
        <v/>
      </c>
      <c r="AN32" s="187">
        <f>IF(AND(ISNUMBER(AN31),ISNUMBER(AN27)),IFERROR(AN31/AN27,""),"")</f>
        <v/>
      </c>
      <c r="AO32" s="187">
        <f>IF(AND(ISNUMBER(AO31),ISNUMBER(AO27)),IFERROR(AO31/AO27,""),"")</f>
        <v/>
      </c>
      <c r="AP32" s="187">
        <f>IF(AND(ISNUMBER(AP31),ISNUMBER(AP27)),IFERROR(AP31/AP27,""),"")</f>
        <v/>
      </c>
      <c r="AQ32" s="187">
        <f>IF(AND(ISNUMBER(AQ31),ISNUMBER(AQ27)),IFERROR(AQ31/AQ27,""),"")</f>
        <v/>
      </c>
      <c r="AR32" s="187">
        <f>IF(AND(ISNUMBER(AR31),ISNUMBER(AR27)),IFERROR(AR31/AR27,""),"")</f>
        <v/>
      </c>
      <c r="AS32" s="187">
        <f>IF(AND(ISNUMBER(AS31),ISNUMBER(AS27)),IFERROR(AS31/AS27,""),"")</f>
        <v/>
      </c>
      <c r="AT32" s="187">
        <f>IF(AND(ISNUMBER(AT31),ISNUMBER(AT27)),IFERROR(AT31/AT27,""),"")</f>
        <v/>
      </c>
      <c r="AU32" s="187">
        <f>IF(AND(ISNUMBER(AU31),ISNUMBER(AU27)),IFERROR(AU31/AU27,""),"")</f>
        <v/>
      </c>
      <c r="AV32" s="187">
        <f>IF(AND(ISNUMBER(AV31),ISNUMBER(AV27)),IFERROR(AV31/AV27,""),"")</f>
        <v/>
      </c>
      <c r="AW32" s="187">
        <f>IF(AND(ISNUMBER(AW31),ISNUMBER(AW27)),IFERROR(AW31/AW27,""),"")</f>
        <v/>
      </c>
      <c r="AX32" s="187">
        <f>IF(AND(ISNUMBER(AX31),ISNUMBER(AX27)),IFERROR(AX31/AX27,""),"")</f>
        <v/>
      </c>
      <c r="AY32" s="187">
        <f>IF(AND(ISNUMBER(AY31),ISNUMBER(AY27)),IFERROR(AY31/AY27,""),"")</f>
        <v/>
      </c>
      <c r="AZ32" s="187">
        <f>IF(AND(ISNUMBER(AZ31),ISNUMBER(AZ27)),IFERROR(AZ31/AZ27,""),"")</f>
        <v/>
      </c>
      <c r="BA32" s="187">
        <f>IF(AND(ISNUMBER(BA31),ISNUMBER(BA27)),IFERROR(BA31/BA27,""),"")</f>
        <v/>
      </c>
      <c r="BB32" s="187">
        <f>IF(AND(ISNUMBER(BB31),ISNUMBER(BB27)),IFERROR(BB31/BB27,""),"")</f>
        <v/>
      </c>
      <c r="BC32" s="187">
        <f>IF(AND(ISNUMBER(BC31),ISNUMBER(BC27)),IFERROR(BC31/BC27,""),"")</f>
        <v/>
      </c>
      <c r="BD32" s="187">
        <f>IF(AND(ISNUMBER(BD31),ISNUMBER(BD27)),IFERROR(BD31/BD27,""),"")</f>
        <v/>
      </c>
      <c r="BE32" s="187">
        <f>IF(AND(ISNUMBER(BE31),ISNUMBER(BE27)),IFERROR(BE31/BE27,""),"")</f>
        <v/>
      </c>
      <c r="BF32" s="187">
        <f>IF(AND(ISNUMBER(BF31),ISNUMBER(BF27)),IFERROR(BF31/BF27,""),"")</f>
        <v/>
      </c>
      <c r="BG32" s="187">
        <f>IF(AND(ISNUMBER(BG31),ISNUMBER(BG27)),IFERROR(BG31/BG27,""),"")</f>
        <v/>
      </c>
      <c r="BH32" s="187">
        <f>IF(AND(ISNUMBER(BH31),ISNUMBER(BH27)),IFERROR(BH31/BH27,""),"")</f>
        <v/>
      </c>
      <c r="BI32" s="187">
        <f>IF(AND(ISNUMBER(BI31),ISNUMBER(BI27)),IFERROR(BI31/BI27,""),"")</f>
        <v/>
      </c>
      <c r="BJ32" s="187">
        <f>IF(AND(ISNUMBER(BJ31),ISNUMBER(BJ27)),IFERROR(BJ31/BJ27,""),"")</f>
        <v/>
      </c>
      <c r="BK32" s="187">
        <f>IF(AND(ISNUMBER(BK31),ISNUMBER(BK27)),IFERROR(BK31/BK27,""),"")</f>
        <v/>
      </c>
      <c r="BL32" s="187">
        <f>IF(AND(ISNUMBER(BL31),ISNUMBER(BL27)),IFERROR(BL31/BL27,""),"")</f>
        <v/>
      </c>
      <c r="BM32" s="187">
        <f>IF(AND(ISNUMBER(BM31),ISNUMBER(BM27)),IFERROR(BM31/BM27,""),"")</f>
        <v/>
      </c>
      <c r="BN32" s="187">
        <f>IF(AND(ISNUMBER(BN31),ISNUMBER(BN27)),IFERROR(BN31/BN27,""),"")</f>
        <v/>
      </c>
      <c r="BO32" s="187">
        <f>IF(AND(ISNUMBER(BO31),ISNUMBER(BO27)),IFERROR(BO31/BO27,""),"")</f>
        <v/>
      </c>
      <c r="BP32" s="187">
        <f>IF(AND(ISNUMBER(BP31),ISNUMBER(BP27)),IFERROR(BP31/BP27,""),"")</f>
        <v/>
      </c>
      <c r="BQ32" s="187">
        <f>IF(AND(ISNUMBER(BQ31),ISNUMBER(BQ27)),IFERROR(BQ31/BQ27,""),"")</f>
        <v/>
      </c>
      <c r="BR32" s="187">
        <f>IF(AND(ISNUMBER(BR31),ISNUMBER(BR27)),IFERROR(BR31/BR27,""),"")</f>
        <v/>
      </c>
      <c r="BS32" s="187">
        <f>IF(AND(ISNUMBER(BS31),ISNUMBER(BS27)),IFERROR(BS31/BS27,""),"")</f>
        <v/>
      </c>
      <c r="BT32" s="187">
        <f>IF(AND(ISNUMBER(BT31),ISNUMBER(BT27)),IFERROR(BT31/BT27,""),"")</f>
        <v/>
      </c>
      <c r="BU32" s="187">
        <f>IF(AND(ISNUMBER(BU31),ISNUMBER(BU27)),IFERROR(BU31/BU27,""),"")</f>
        <v/>
      </c>
      <c r="BV32" s="187">
        <f>IF(AND(ISNUMBER(BV31),ISNUMBER(BV27)),IFERROR(BV31/BV27,""),"")</f>
        <v/>
      </c>
      <c r="BW32" s="187">
        <f>IF(AND(ISNUMBER(BW31),ISNUMBER(BW27)),IFERROR(BW31/BW27,""),"")</f>
        <v/>
      </c>
      <c r="BX32" s="187">
        <f>IF(AND(ISNUMBER(BX31),ISNUMBER(BX27)),IFERROR(BX31/BX27,""),"")</f>
        <v/>
      </c>
      <c r="BY32" s="180">
        <f>BY33+$BY$115</f>
        <v/>
      </c>
      <c r="BZ32" s="180">
        <f>BZ33+$BY$115</f>
        <v/>
      </c>
      <c r="CA32" s="180">
        <f>IF(AND(ISNUMBER(CA31),ISNUMBER(CA27)),IFERROR(CA31/CA27,""),"")</f>
        <v/>
      </c>
      <c r="CB32" s="180">
        <f>CHOOSE(MATCH($CF$2,{"Bull","Base","Bear"},0),$CO$61,$CP$61,$CQ$61)</f>
        <v/>
      </c>
      <c r="CC32" s="180">
        <f>CHOOSE(MATCH($CF$2,{"Bull","Base","Bear"},0),$CO$62,$CP$62,$CQ$62)</f>
        <v/>
      </c>
      <c r="CD32" s="180">
        <f>CHOOSE(MATCH($CF$2,{"Bull","Base","Bear"},0),$CO$63,$CP$63,$CQ$63)</f>
        <v/>
      </c>
      <c r="CE32" s="180">
        <f>CHOOSE(MATCH($CF$2,{"Bull","Base","Bear"},0),$CO$64,$CP$64,$CQ$64)</f>
        <v/>
      </c>
      <c r="CF32" s="6" t="inlineStr">
        <is>
          <t>Q3/Q4-26E: margin before calibration + adjusted-EPS-outlook calibration Δ (Group block). 2027E–2030E: scenario lever.</t>
        </is>
      </c>
      <c r="CH32" s="39">
        <f>IFERROR(AVERAGE(CA32,CB32,CC32,CD32,CE32),"n/m")</f>
        <v/>
      </c>
      <c r="CI32" s="39">
        <f>IFERROR(AVERAGE(BB32,BG32,BL32,BQ32,BV32),"n/m")</f>
        <v/>
      </c>
      <c r="CJ32" s="39">
        <f>IFERROR(AVERAGE(AC32,AH32,AM32,AR32,AW32,BB32,BG32,BL32,BQ32,BV32),"n/m")</f>
        <v/>
      </c>
      <c r="CK32" s="39">
        <f>IFERROR(AVERAGE(C32,D32,E32,F32,G32,H32,I32,N32,S32,X32,AC32,AH32,AM32,AR32,AW32,BB32,BG32,BL32,BQ32,BV32),"n/m")</f>
        <v/>
      </c>
      <c r="CN32" s="26" t="inlineStr">
        <is>
          <t xml:space="preserve">  2028E</t>
        </is>
      </c>
      <c r="CO32" s="35">
        <f>CP32+$CO$30</f>
        <v/>
      </c>
      <c r="CP32" s="45" t="n">
        <v>0.05</v>
      </c>
      <c r="CQ32" s="35">
        <f>CP32+$CQ$30</f>
        <v/>
      </c>
    </row>
    <row r="33" ht="15" customHeight="1">
      <c r="B33" s="26" t="inlineStr">
        <is>
          <t xml:space="preserve">  Adjusted operating margin before outlook calibration % (Q3/Q4-26E helper)</t>
        </is>
      </c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38" t="n"/>
      <c r="AP33" s="38" t="n"/>
      <c r="AQ33" s="38" t="n"/>
      <c r="AR33" s="38" t="n"/>
      <c r="AS33" s="38" t="n"/>
      <c r="AT33" s="38" t="n"/>
      <c r="AU33" s="38" t="n"/>
      <c r="AV33" s="38" t="n"/>
      <c r="AW33" s="38" t="n"/>
      <c r="AX33" s="38" t="n"/>
      <c r="AY33" s="38" t="n"/>
      <c r="AZ33" s="38" t="n"/>
      <c r="BA33" s="38" t="n"/>
      <c r="BB33" s="38" t="n"/>
      <c r="BC33" s="38" t="n"/>
      <c r="BD33" s="38" t="n"/>
      <c r="BE33" s="38" t="n"/>
      <c r="BF33" s="38" t="n"/>
      <c r="BG33" s="38" t="n"/>
      <c r="BH33" s="38" t="n"/>
      <c r="BI33" s="38" t="n"/>
      <c r="BJ33" s="38" t="n"/>
      <c r="BK33" s="38" t="n"/>
      <c r="BL33" s="38" t="n"/>
      <c r="BM33" s="38" t="n"/>
      <c r="BN33" s="38" t="n"/>
      <c r="BO33" s="38" t="n"/>
      <c r="BP33" s="38" t="n"/>
      <c r="BQ33" s="38" t="n"/>
      <c r="BR33" s="38" t="n"/>
      <c r="BS33" s="38" t="n"/>
      <c r="BT33" s="38" t="n"/>
      <c r="BU33" s="38" t="n"/>
      <c r="BV33" s="38" t="n"/>
      <c r="BW33" s="38" t="n"/>
      <c r="BX33" s="38" t="n"/>
      <c r="BY33" s="180">
        <f>BT32+((BW31+BX31)/(BW27+BX27)-(BR31+BS31)/(BR27+BS27))</f>
        <v/>
      </c>
      <c r="BZ33" s="180">
        <f>BU32+((BW31+BX31)/(BW27+BX27)-(BR31+BS31)/(BR27+BS27))</f>
        <v/>
      </c>
      <c r="CA33" s="25" t="n"/>
      <c r="CB33" s="25" t="n"/>
      <c r="CC33" s="25" t="n"/>
      <c r="CD33" s="25" t="n"/>
      <c r="CE33" s="25" t="n"/>
      <c r="CF33" s="6" t="inlineStr">
        <is>
          <t>Prior-year quarter margin + (1H/26 − 1H/25 adjusted margin drift).</t>
        </is>
      </c>
      <c r="CN33" s="26" t="inlineStr">
        <is>
          <t xml:space="preserve">  2029E</t>
        </is>
      </c>
      <c r="CO33" s="35">
        <f>CP33+$CO$30</f>
        <v/>
      </c>
      <c r="CP33" s="45" t="n">
        <v>0.05</v>
      </c>
      <c r="CQ33" s="35">
        <f>CP33+$CQ$30</f>
        <v/>
      </c>
    </row>
    <row r="34" ht="15" customHeight="1">
      <c r="B34" s="26" t="inlineStr">
        <is>
          <t xml:space="preserve">  Incremental adjusted operating margin (Δ adj. op. income / Δ sales)</t>
        </is>
      </c>
      <c r="C34" s="38" t="n"/>
      <c r="D34" s="187">
        <f>IFERROR((D31-C31)/(D27-C27),"")</f>
        <v/>
      </c>
      <c r="E34" s="187">
        <f>IFERROR((E31-D31)/(E27-D27),"")</f>
        <v/>
      </c>
      <c r="F34" s="187">
        <f>IFERROR((F31-E31)/(F27-E27),"")</f>
        <v/>
      </c>
      <c r="G34" s="187">
        <f>IFERROR((G31-F31)/(G27-F27),"")</f>
        <v/>
      </c>
      <c r="H34" s="187">
        <f>IFERROR((H31-G31)/(H27-G27),"")</f>
        <v/>
      </c>
      <c r="I34" s="187">
        <f>IFERROR((I31-H31)/(I27-H27),"")</f>
        <v/>
      </c>
      <c r="J34" s="38" t="n"/>
      <c r="K34" s="38" t="n"/>
      <c r="L34" s="38" t="n"/>
      <c r="M34" s="38" t="n"/>
      <c r="N34" s="187">
        <f>IFERROR((N31-I31)/(N27-I27),"")</f>
        <v/>
      </c>
      <c r="O34" s="187">
        <f>IFERROR((O31-J31)/(O27-J27),"")</f>
        <v/>
      </c>
      <c r="P34" s="187">
        <f>IFERROR((P31-K31)/(P27-K27),"")</f>
        <v/>
      </c>
      <c r="Q34" s="187">
        <f>IFERROR((Q31-L31)/(Q27-L27),"")</f>
        <v/>
      </c>
      <c r="R34" s="187">
        <f>IFERROR((R31-M31)/(R27-M27),"")</f>
        <v/>
      </c>
      <c r="S34" s="187">
        <f>IFERROR((S31-N31)/(S27-N27),"")</f>
        <v/>
      </c>
      <c r="T34" s="187">
        <f>IFERROR((T31-O31)/(T27-O27),"")</f>
        <v/>
      </c>
      <c r="U34" s="187">
        <f>IFERROR((U31-P31)/(U27-P27),"")</f>
        <v/>
      </c>
      <c r="V34" s="187">
        <f>IFERROR((V31-Q31)/(V27-Q27),"")</f>
        <v/>
      </c>
      <c r="W34" s="187">
        <f>IFERROR((W31-R31)/(W27-R27),"")</f>
        <v/>
      </c>
      <c r="X34" s="187">
        <f>IFERROR((X31-S31)/(X27-S27),"")</f>
        <v/>
      </c>
      <c r="Y34" s="187">
        <f>IFERROR((Y31-T31)/(Y27-T27),"")</f>
        <v/>
      </c>
      <c r="Z34" s="187">
        <f>IFERROR((Z31-U31)/(Z27-U27),"")</f>
        <v/>
      </c>
      <c r="AA34" s="187">
        <f>IFERROR((AA31-V31)/(AA27-V27),"")</f>
        <v/>
      </c>
      <c r="AB34" s="187">
        <f>IFERROR((AB31-W31)/(AB27-W27),"")</f>
        <v/>
      </c>
      <c r="AC34" s="187">
        <f>IFERROR((AC31-X31)/(AC27-X27),"")</f>
        <v/>
      </c>
      <c r="AD34" s="187">
        <f>IFERROR((AD31-Y31)/(AD27-Y27),"")</f>
        <v/>
      </c>
      <c r="AE34" s="187">
        <f>IFERROR((AE31-Z31)/(AE27-Z27),"")</f>
        <v/>
      </c>
      <c r="AF34" s="187">
        <f>IFERROR((AF31-AA31)/(AF27-AA27),"")</f>
        <v/>
      </c>
      <c r="AG34" s="187">
        <f>IFERROR((AG31-AB31)/(AG27-AB27),"")</f>
        <v/>
      </c>
      <c r="AH34" s="187">
        <f>IFERROR((AH31-AC31)/(AH27-AC27),"")</f>
        <v/>
      </c>
      <c r="AI34" s="187">
        <f>IFERROR((AI31-AD31)/(AI27-AD27),"")</f>
        <v/>
      </c>
      <c r="AJ34" s="187">
        <f>IFERROR((AJ31-AE31)/(AJ27-AE27),"")</f>
        <v/>
      </c>
      <c r="AK34" s="187">
        <f>IFERROR((AK31-AF31)/(AK27-AF27),"")</f>
        <v/>
      </c>
      <c r="AL34" s="187">
        <f>IFERROR((AL31-AG31)/(AL27-AG27),"")</f>
        <v/>
      </c>
      <c r="AM34" s="187">
        <f>IFERROR((AM31-AH31)/(AM27-AH27),"")</f>
        <v/>
      </c>
      <c r="AN34" s="187">
        <f>IFERROR((AN31-AI31)/(AN27-AI27),"")</f>
        <v/>
      </c>
      <c r="AO34" s="187">
        <f>IFERROR((AO31-AJ31)/(AO27-AJ27),"")</f>
        <v/>
      </c>
      <c r="AP34" s="187">
        <f>IFERROR((AP31-AK31)/(AP27-AK27),"")</f>
        <v/>
      </c>
      <c r="AQ34" s="187">
        <f>IFERROR((AQ31-AL31)/(AQ27-AL27),"")</f>
        <v/>
      </c>
      <c r="AR34" s="187">
        <f>IFERROR((AR31-AM31)/(AR27-AM27),"")</f>
        <v/>
      </c>
      <c r="AS34" s="187">
        <f>IFERROR((AS31-AN31)/(AS27-AN27),"")</f>
        <v/>
      </c>
      <c r="AT34" s="187">
        <f>IFERROR((AT31-AO31)/(AT27-AO27),"")</f>
        <v/>
      </c>
      <c r="AU34" s="187">
        <f>IFERROR((AU31-AP31)/(AU27-AP27),"")</f>
        <v/>
      </c>
      <c r="AV34" s="187">
        <f>IFERROR((AV31-AQ31)/(AV27-AQ27),"")</f>
        <v/>
      </c>
      <c r="AW34" s="187">
        <f>IFERROR((AW31-AR31)/(AW27-AR27),"")</f>
        <v/>
      </c>
      <c r="AX34" s="187">
        <f>IFERROR((AX31-AS31)/(AX27-AS27),"")</f>
        <v/>
      </c>
      <c r="AY34" s="187">
        <f>IFERROR((AY31-AT31)/(AY27-AT27),"")</f>
        <v/>
      </c>
      <c r="AZ34" s="187">
        <f>IFERROR((AZ31-AU31)/(AZ27-AU27),"")</f>
        <v/>
      </c>
      <c r="BA34" s="187">
        <f>IFERROR((BA31-AV31)/(BA27-AV27),"")</f>
        <v/>
      </c>
      <c r="BB34" s="187">
        <f>IFERROR((BB31-AW31)/(BB27-AW27),"")</f>
        <v/>
      </c>
      <c r="BC34" s="187">
        <f>IFERROR((BC31-AX31)/(BC27-AX27),"")</f>
        <v/>
      </c>
      <c r="BD34" s="187">
        <f>IFERROR((BD31-AY31)/(BD27-AY27),"")</f>
        <v/>
      </c>
      <c r="BE34" s="187">
        <f>IFERROR((BE31-AZ31)/(BE27-AZ27),"")</f>
        <v/>
      </c>
      <c r="BF34" s="187">
        <f>IFERROR((BF31-BA31)/(BF27-BA27),"")</f>
        <v/>
      </c>
      <c r="BG34" s="187">
        <f>IFERROR((BG31-BB31)/(BG27-BB27),"")</f>
        <v/>
      </c>
      <c r="BH34" s="187">
        <f>IFERROR((BH31-BC31)/(BH27-BC27),"")</f>
        <v/>
      </c>
      <c r="BI34" s="187">
        <f>IFERROR((BI31-BD31)/(BI27-BD27),"")</f>
        <v/>
      </c>
      <c r="BJ34" s="187">
        <f>IFERROR((BJ31-BE31)/(BJ27-BE27),"")</f>
        <v/>
      </c>
      <c r="BK34" s="187">
        <f>IFERROR((BK31-BF31)/(BK27-BF27),"")</f>
        <v/>
      </c>
      <c r="BL34" s="187">
        <f>IFERROR((BL31-BG31)/(BL27-BG27),"")</f>
        <v/>
      </c>
      <c r="BM34" s="187">
        <f>IFERROR((BM31-BH31)/(BM27-BH27),"")</f>
        <v/>
      </c>
      <c r="BN34" s="187">
        <f>IFERROR((BN31-BI31)/(BN27-BI27),"")</f>
        <v/>
      </c>
      <c r="BO34" s="187">
        <f>IFERROR((BO31-BJ31)/(BO27-BJ27),"")</f>
        <v/>
      </c>
      <c r="BP34" s="187">
        <f>IFERROR((BP31-BK31)/(BP27-BK27),"")</f>
        <v/>
      </c>
      <c r="BQ34" s="187">
        <f>IFERROR((BQ31-BL31)/(BQ27-BL27),"")</f>
        <v/>
      </c>
      <c r="BR34" s="187">
        <f>IFERROR((BR31-BM31)/(BR27-BM27),"")</f>
        <v/>
      </c>
      <c r="BS34" s="187">
        <f>IFERROR((BS31-BN31)/(BS27-BN27),"")</f>
        <v/>
      </c>
      <c r="BT34" s="187">
        <f>IFERROR((BT31-BO31)/(BT27-BO27),"")</f>
        <v/>
      </c>
      <c r="BU34" s="187">
        <f>IFERROR((BU31-BP31)/(BU27-BP27),"")</f>
        <v/>
      </c>
      <c r="BV34" s="187">
        <f>IFERROR((BV31-BQ31)/(BV27-BQ27),"")</f>
        <v/>
      </c>
      <c r="BW34" s="187">
        <f>IFERROR((BW31-BR31)/(BW27-BR27),"")</f>
        <v/>
      </c>
      <c r="BX34" s="187">
        <f>IFERROR((BX31-BS31)/(BX27-BS27),"")</f>
        <v/>
      </c>
      <c r="BY34" s="180">
        <f>IFERROR((BY31-BT31)/(BY27-BT27),"")</f>
        <v/>
      </c>
      <c r="BZ34" s="180">
        <f>IFERROR((BZ31-BU31)/(BZ27-BU27),"")</f>
        <v/>
      </c>
      <c r="CA34" s="180">
        <f>IFERROR((CA31-BV31)/(CA27-BV27),"")</f>
        <v/>
      </c>
      <c r="CB34" s="180">
        <f>IFERROR((CB31-CA31)/(CB27-CA27),"")</f>
        <v/>
      </c>
      <c r="CC34" s="180">
        <f>IFERROR((CC31-CB31)/(CC27-CB27),"")</f>
        <v/>
      </c>
      <c r="CD34" s="180">
        <f>IFERROR((CD31-CC31)/(CD27-CC27),"")</f>
        <v/>
      </c>
      <c r="CE34" s="180">
        <f>IFERROR((CE31-CD31)/(CE27-CD27),"")</f>
        <v/>
      </c>
      <c r="CF34" s="6" t="n"/>
      <c r="CN34" s="26" t="inlineStr">
        <is>
          <t xml:space="preserve">  2030E</t>
        </is>
      </c>
      <c r="CO34" s="35">
        <f>CP34+$CO$30</f>
        <v/>
      </c>
      <c r="CP34" s="45" t="n">
        <v>0.05</v>
      </c>
      <c r="CQ34" s="35">
        <f>CP34+$CQ$30</f>
        <v/>
      </c>
    </row>
    <row r="35" ht="15" customHeight="1">
      <c r="B35" s="26" t="inlineStr">
        <is>
          <t xml:space="preserve">  Adjusting items in segment (amortization, restructuring, purchase accounting, transaction)</t>
        </is>
      </c>
      <c r="C35" s="183">
        <f>IF(AND(ISNUMBER(C31),ISNUMBER(C37)),C31-C37,"")</f>
        <v/>
      </c>
      <c r="D35" s="183">
        <f>IF(AND(ISNUMBER(D31),ISNUMBER(D37)),D31-D37,"")</f>
        <v/>
      </c>
      <c r="E35" s="183">
        <f>IF(AND(ISNUMBER(E31),ISNUMBER(E37)),E31-E37,"")</f>
        <v/>
      </c>
      <c r="F35" s="183">
        <f>IF(AND(ISNUMBER(F31),ISNUMBER(F37)),F31-F37,"")</f>
        <v/>
      </c>
      <c r="G35" s="183">
        <f>IF(AND(ISNUMBER(G31),ISNUMBER(G37)),G31-G37,"")</f>
        <v/>
      </c>
      <c r="H35" s="183">
        <f>IF(AND(ISNUMBER(H31),ISNUMBER(H37)),H31-H37,"")</f>
        <v/>
      </c>
      <c r="I35" s="183">
        <f>IF(AND(ISNUMBER(I31),ISNUMBER(I37)),I31-I37,"")</f>
        <v/>
      </c>
      <c r="J35" s="183">
        <f>IF(AND(ISNUMBER(J31),ISNUMBER(J37)),J31-J37,"")</f>
        <v/>
      </c>
      <c r="K35" s="183">
        <f>IF(AND(ISNUMBER(K31),ISNUMBER(K37)),K31-K37,"")</f>
        <v/>
      </c>
      <c r="L35" s="183">
        <f>IF(AND(ISNUMBER(L31),ISNUMBER(L37)),L31-L37,"")</f>
        <v/>
      </c>
      <c r="M35" s="183">
        <f>IF(AND(ISNUMBER(M31),ISNUMBER(M37)),M31-M37,"")</f>
        <v/>
      </c>
      <c r="N35" s="183">
        <f>IF(AND(ISNUMBER(N31),ISNUMBER(N37)),N31-N37,"")</f>
        <v/>
      </c>
      <c r="O35" s="183">
        <f>IF(AND(ISNUMBER(O31),ISNUMBER(O37)),O31-O37,"")</f>
        <v/>
      </c>
      <c r="P35" s="183">
        <f>IF(AND(ISNUMBER(P31),ISNUMBER(P37)),P31-P37,"")</f>
        <v/>
      </c>
      <c r="Q35" s="183">
        <f>IF(AND(ISNUMBER(Q31),ISNUMBER(Q37)),Q31-Q37,"")</f>
        <v/>
      </c>
      <c r="R35" s="183">
        <f>IF(AND(ISNUMBER(R31),ISNUMBER(R37)),R31-R37,"")</f>
        <v/>
      </c>
      <c r="S35" s="183">
        <f>IF(AND(ISNUMBER(S31),ISNUMBER(S37)),S31-S37,"")</f>
        <v/>
      </c>
      <c r="T35" s="183">
        <f>IF(AND(ISNUMBER(T31),ISNUMBER(T37)),T31-T37,"")</f>
        <v/>
      </c>
      <c r="U35" s="183">
        <f>IF(AND(ISNUMBER(U31),ISNUMBER(U37)),U31-U37,"")</f>
        <v/>
      </c>
      <c r="V35" s="183">
        <f>IF(AND(ISNUMBER(V31),ISNUMBER(V37)),V31-V37,"")</f>
        <v/>
      </c>
      <c r="W35" s="183">
        <f>IF(AND(ISNUMBER(W31),ISNUMBER(W37)),W31-W37,"")</f>
        <v/>
      </c>
      <c r="X35" s="183">
        <f>IF(AND(ISNUMBER(X31),ISNUMBER(X37)),X31-X37,"")</f>
        <v/>
      </c>
      <c r="Y35" s="183">
        <f>IF(AND(ISNUMBER(Y31),ISNUMBER(Y37)),Y31-Y37,"")</f>
        <v/>
      </c>
      <c r="Z35" s="183">
        <f>IF(AND(ISNUMBER(Z31),ISNUMBER(Z37)),Z31-Z37,"")</f>
        <v/>
      </c>
      <c r="AA35" s="183">
        <f>IF(AND(ISNUMBER(AA31),ISNUMBER(AA37)),AA31-AA37,"")</f>
        <v/>
      </c>
      <c r="AB35" s="183">
        <f>IF(AND(ISNUMBER(AB31),ISNUMBER(AB37)),AB31-AB37,"")</f>
        <v/>
      </c>
      <c r="AC35" s="183">
        <f>IF(AND(ISNUMBER(AC31),ISNUMBER(AC37)),AC31-AC37,"")</f>
        <v/>
      </c>
      <c r="AD35" s="183">
        <f>IF(AND(ISNUMBER(AD31),ISNUMBER(AD37)),AD31-AD37,"")</f>
        <v/>
      </c>
      <c r="AE35" s="183">
        <f>IF(AND(ISNUMBER(AE31),ISNUMBER(AE37)),AE31-AE37,"")</f>
        <v/>
      </c>
      <c r="AF35" s="183">
        <f>IF(AND(ISNUMBER(AF31),ISNUMBER(AF37)),AF31-AF37,"")</f>
        <v/>
      </c>
      <c r="AG35" s="183">
        <f>IF(AND(ISNUMBER(AG31),ISNUMBER(AG37)),AG31-AG37,"")</f>
        <v/>
      </c>
      <c r="AH35" s="183">
        <f>IF(AND(ISNUMBER(AH31),ISNUMBER(AH37)),AH31-AH37,"")</f>
        <v/>
      </c>
      <c r="AI35" s="183">
        <f>IF(AND(ISNUMBER(AI31),ISNUMBER(AI37)),AI31-AI37,"")</f>
        <v/>
      </c>
      <c r="AJ35" s="183">
        <f>IF(AND(ISNUMBER(AJ31),ISNUMBER(AJ37)),AJ31-AJ37,"")</f>
        <v/>
      </c>
      <c r="AK35" s="183">
        <f>IF(AND(ISNUMBER(AK31),ISNUMBER(AK37)),AK31-AK37,"")</f>
        <v/>
      </c>
      <c r="AL35" s="183">
        <f>IF(AND(ISNUMBER(AL31),ISNUMBER(AL37)),AL31-AL37,"")</f>
        <v/>
      </c>
      <c r="AM35" s="183">
        <f>IF(AND(ISNUMBER(AM31),ISNUMBER(AM37)),AM31-AM37,"")</f>
        <v/>
      </c>
      <c r="AN35" s="183">
        <f>IF(AND(ISNUMBER(AN31),ISNUMBER(AN37)),AN31-AN37,"")</f>
        <v/>
      </c>
      <c r="AO35" s="183">
        <f>IF(AND(ISNUMBER(AO31),ISNUMBER(AO37)),AO31-AO37,"")</f>
        <v/>
      </c>
      <c r="AP35" s="183">
        <f>IF(AND(ISNUMBER(AP31),ISNUMBER(AP37)),AP31-AP37,"")</f>
        <v/>
      </c>
      <c r="AQ35" s="183">
        <f>IF(AND(ISNUMBER(AQ31),ISNUMBER(AQ37)),AQ31-AQ37,"")</f>
        <v/>
      </c>
      <c r="AR35" s="183">
        <f>IF(AND(ISNUMBER(AR31),ISNUMBER(AR37)),AR31-AR37,"")</f>
        <v/>
      </c>
      <c r="AS35" s="183">
        <f>IF(AND(ISNUMBER(AS31),ISNUMBER(AS37)),AS31-AS37,"")</f>
        <v/>
      </c>
      <c r="AT35" s="183">
        <f>IF(AND(ISNUMBER(AT31),ISNUMBER(AT37)),AT31-AT37,"")</f>
        <v/>
      </c>
      <c r="AU35" s="183">
        <f>IF(AND(ISNUMBER(AU31),ISNUMBER(AU37)),AU31-AU37,"")</f>
        <v/>
      </c>
      <c r="AV35" s="183">
        <f>IF(AND(ISNUMBER(AV31),ISNUMBER(AV37)),AV31-AV37,"")</f>
        <v/>
      </c>
      <c r="AW35" s="183">
        <f>IF(AND(ISNUMBER(AW31),ISNUMBER(AW37)),AW31-AW37,"")</f>
        <v/>
      </c>
      <c r="AX35" s="183">
        <f>IF(AND(ISNUMBER(AX31),ISNUMBER(AX37)),AX31-AX37,"")</f>
        <v/>
      </c>
      <c r="AY35" s="183">
        <f>IF(AND(ISNUMBER(AY31),ISNUMBER(AY37)),AY31-AY37,"")</f>
        <v/>
      </c>
      <c r="AZ35" s="183">
        <f>IF(AND(ISNUMBER(AZ31),ISNUMBER(AZ37)),AZ31-AZ37,"")</f>
        <v/>
      </c>
      <c r="BA35" s="183">
        <f>IF(AND(ISNUMBER(BA31),ISNUMBER(BA37)),BA31-BA37,"")</f>
        <v/>
      </c>
      <c r="BB35" s="183">
        <f>IF(AND(ISNUMBER(BB31),ISNUMBER(BB37)),BB31-BB37,"")</f>
        <v/>
      </c>
      <c r="BC35" s="183">
        <f>IF(AND(ISNUMBER(BC31),ISNUMBER(BC37)),BC31-BC37,"")</f>
        <v/>
      </c>
      <c r="BD35" s="183">
        <f>IF(AND(ISNUMBER(BD31),ISNUMBER(BD37)),BD31-BD37,"")</f>
        <v/>
      </c>
      <c r="BE35" s="183">
        <f>IF(AND(ISNUMBER(BE31),ISNUMBER(BE37)),BE31-BE37,"")</f>
        <v/>
      </c>
      <c r="BF35" s="183">
        <f>IF(AND(ISNUMBER(BF31),ISNUMBER(BF37)),BF31-BF37,"")</f>
        <v/>
      </c>
      <c r="BG35" s="183">
        <f>IF(AND(ISNUMBER(BG31),ISNUMBER(BG37)),BG31-BG37,"")</f>
        <v/>
      </c>
      <c r="BH35" s="183">
        <f>IF(AND(ISNUMBER(BH31),ISNUMBER(BH37)),BH31-BH37,"")</f>
        <v/>
      </c>
      <c r="BI35" s="183">
        <f>IF(AND(ISNUMBER(BI31),ISNUMBER(BI37)),BI31-BI37,"")</f>
        <v/>
      </c>
      <c r="BJ35" s="183">
        <f>IF(AND(ISNUMBER(BJ31),ISNUMBER(BJ37)),BJ31-BJ37,"")</f>
        <v/>
      </c>
      <c r="BK35" s="183">
        <f>IF(AND(ISNUMBER(BK31),ISNUMBER(BK37)),BK31-BK37,"")</f>
        <v/>
      </c>
      <c r="BL35" s="183">
        <f>IF(AND(ISNUMBER(BL31),ISNUMBER(BL37)),BL31-BL37,"")</f>
        <v/>
      </c>
      <c r="BM35" s="183">
        <f>IF(AND(ISNUMBER(BM31),ISNUMBER(BM37)),BM31-BM37,"")</f>
        <v/>
      </c>
      <c r="BN35" s="183">
        <f>IF(AND(ISNUMBER(BN31),ISNUMBER(BN37)),BN31-BN37,"")</f>
        <v/>
      </c>
      <c r="BO35" s="183">
        <f>IF(AND(ISNUMBER(BO31),ISNUMBER(BO37)),BO31-BO37,"")</f>
        <v/>
      </c>
      <c r="BP35" s="183">
        <f>IF(AND(ISNUMBER(BP31),ISNUMBER(BP37)),BP31-BP37,"")</f>
        <v/>
      </c>
      <c r="BQ35" s="183">
        <f>IF(AND(ISNUMBER(BQ31),ISNUMBER(BQ37)),BQ31-BQ37,"")</f>
        <v/>
      </c>
      <c r="BR35" s="183">
        <f>IF(AND(ISNUMBER(BR31),ISNUMBER(BR37)),BR31-BR37,"")</f>
        <v/>
      </c>
      <c r="BS35" s="183">
        <f>IF(AND(ISNUMBER(BS31),ISNUMBER(BS37)),BS31-BS37,"")</f>
        <v/>
      </c>
      <c r="BT35" s="183">
        <f>IF(AND(ISNUMBER(BT31),ISNUMBER(BT37)),BT31-BT37,"")</f>
        <v/>
      </c>
      <c r="BU35" s="183">
        <f>IF(AND(ISNUMBER(BU31),ISNUMBER(BU37)),BU31-BU37,"")</f>
        <v/>
      </c>
      <c r="BV35" s="183">
        <f>IF(AND(ISNUMBER(BV31),ISNUMBER(BV37)),BV31-BV37,"")</f>
        <v/>
      </c>
      <c r="BW35" s="183">
        <f>IF(AND(ISNUMBER(BW31),ISNUMBER(BW37)),BW31-BW37,"")</f>
        <v/>
      </c>
      <c r="BX35" s="183">
        <f>IF(AND(ISNUMBER(BX31),ISNUMBER(BX37)),BX31-BX37,"")</f>
        <v/>
      </c>
      <c r="BY35" s="178">
        <f>BY213*BY36</f>
        <v/>
      </c>
      <c r="BZ35" s="178">
        <f>BZ213*BZ36</f>
        <v/>
      </c>
      <c r="CA35" s="178">
        <f>SUM(BW35,BX35,BY35,BZ35)</f>
        <v/>
      </c>
      <c r="CB35" s="178">
        <f>CB213*CB36</f>
        <v/>
      </c>
      <c r="CC35" s="178">
        <f>CC213*CC36</f>
        <v/>
      </c>
      <c r="CD35" s="178">
        <f>CD213*CD36</f>
        <v/>
      </c>
      <c r="CE35" s="178">
        <f>CE213*CE36</f>
        <v/>
      </c>
      <c r="CF35" s="20" t="inlineStr">
        <is>
          <t>Historical = adjusted − GAAP segment operating income. Forecast = consolidated operating-level adjusting items × segment share.</t>
        </is>
      </c>
      <c r="CN35" s="16" t="inlineStr">
        <is>
          <t>FRT_EQ (Freight Equipment sales y/y)</t>
        </is>
      </c>
      <c r="CO35" s="44" t="n">
        <v>0.03</v>
      </c>
      <c r="CP35" s="22" t="inlineStr">
        <is>
          <t>Δ →</t>
        </is>
      </c>
      <c r="CQ35" s="44" t="n">
        <v>-0.04</v>
      </c>
      <c r="CR35" s="14" t="inlineStr">
        <is>
          <t>New locomotives (international orders: Kazakhstan, India, Brazil, Africa) &amp; mining; $25.3bn Freight backlog at 30-Jun-26.</t>
        </is>
      </c>
    </row>
    <row r="36" ht="15" customHeight="1">
      <c r="B36" s="26" t="inlineStr">
        <is>
          <t xml:space="preserve">  Segment share of consolidated operating-level adjusting items %</t>
        </is>
      </c>
      <c r="C36" s="187">
        <f>IF(ISNUMBER(C35),IFERROR(C35/C213,""),"")</f>
        <v/>
      </c>
      <c r="D36" s="187">
        <f>IF(ISNUMBER(D35),IFERROR(D35/D213,""),"")</f>
        <v/>
      </c>
      <c r="E36" s="187">
        <f>IF(ISNUMBER(E35),IFERROR(E35/E213,""),"")</f>
        <v/>
      </c>
      <c r="F36" s="187">
        <f>IF(ISNUMBER(F35),IFERROR(F35/F213,""),"")</f>
        <v/>
      </c>
      <c r="G36" s="187">
        <f>IF(ISNUMBER(G35),IFERROR(G35/G213,""),"")</f>
        <v/>
      </c>
      <c r="H36" s="187">
        <f>IF(ISNUMBER(H35),IFERROR(H35/H213,""),"")</f>
        <v/>
      </c>
      <c r="I36" s="187">
        <f>IF(ISNUMBER(I35),IFERROR(I35/I213,""),"")</f>
        <v/>
      </c>
      <c r="J36" s="187">
        <f>IF(ISNUMBER(J35),IFERROR(J35/J213,""),"")</f>
        <v/>
      </c>
      <c r="K36" s="187">
        <f>IF(ISNUMBER(K35),IFERROR(K35/K213,""),"")</f>
        <v/>
      </c>
      <c r="L36" s="187">
        <f>IF(ISNUMBER(L35),IFERROR(L35/L213,""),"")</f>
        <v/>
      </c>
      <c r="M36" s="187">
        <f>IF(ISNUMBER(M35),IFERROR(M35/M213,""),"")</f>
        <v/>
      </c>
      <c r="N36" s="187">
        <f>IF(ISNUMBER(N35),IFERROR(N35/N213,""),"")</f>
        <v/>
      </c>
      <c r="O36" s="187">
        <f>IF(ISNUMBER(O35),IFERROR(O35/O213,""),"")</f>
        <v/>
      </c>
      <c r="P36" s="187">
        <f>IF(ISNUMBER(P35),IFERROR(P35/P213,""),"")</f>
        <v/>
      </c>
      <c r="Q36" s="187">
        <f>IF(ISNUMBER(Q35),IFERROR(Q35/Q213,""),"")</f>
        <v/>
      </c>
      <c r="R36" s="187">
        <f>IF(ISNUMBER(R35),IFERROR(R35/R213,""),"")</f>
        <v/>
      </c>
      <c r="S36" s="187">
        <f>IF(ISNUMBER(S35),IFERROR(S35/S213,""),"")</f>
        <v/>
      </c>
      <c r="T36" s="187">
        <f>IF(ISNUMBER(T35),IFERROR(T35/T213,""),"")</f>
        <v/>
      </c>
      <c r="U36" s="187">
        <f>IF(ISNUMBER(U35),IFERROR(U35/U213,""),"")</f>
        <v/>
      </c>
      <c r="V36" s="187">
        <f>IF(ISNUMBER(V35),IFERROR(V35/V213,""),"")</f>
        <v/>
      </c>
      <c r="W36" s="187">
        <f>IF(ISNUMBER(W35),IFERROR(W35/W213,""),"")</f>
        <v/>
      </c>
      <c r="X36" s="187">
        <f>IF(ISNUMBER(X35),IFERROR(X35/X213,""),"")</f>
        <v/>
      </c>
      <c r="Y36" s="187">
        <f>IF(ISNUMBER(Y35),IFERROR(Y35/Y213,""),"")</f>
        <v/>
      </c>
      <c r="Z36" s="187">
        <f>IF(ISNUMBER(Z35),IFERROR(Z35/Z213,""),"")</f>
        <v/>
      </c>
      <c r="AA36" s="187">
        <f>IF(ISNUMBER(AA35),IFERROR(AA35/AA213,""),"")</f>
        <v/>
      </c>
      <c r="AB36" s="187">
        <f>IF(ISNUMBER(AB35),IFERROR(AB35/AB213,""),"")</f>
        <v/>
      </c>
      <c r="AC36" s="187">
        <f>IF(ISNUMBER(AC35),IFERROR(AC35/AC213,""),"")</f>
        <v/>
      </c>
      <c r="AD36" s="187">
        <f>IF(ISNUMBER(AD35),IFERROR(AD35/AD213,""),"")</f>
        <v/>
      </c>
      <c r="AE36" s="187">
        <f>IF(ISNUMBER(AE35),IFERROR(AE35/AE213,""),"")</f>
        <v/>
      </c>
      <c r="AF36" s="187">
        <f>IF(ISNUMBER(AF35),IFERROR(AF35/AF213,""),"")</f>
        <v/>
      </c>
      <c r="AG36" s="187">
        <f>IF(ISNUMBER(AG35),IFERROR(AG35/AG213,""),"")</f>
        <v/>
      </c>
      <c r="AH36" s="187">
        <f>IF(ISNUMBER(AH35),IFERROR(AH35/AH213,""),"")</f>
        <v/>
      </c>
      <c r="AI36" s="187">
        <f>IF(ISNUMBER(AI35),IFERROR(AI35/AI213,""),"")</f>
        <v/>
      </c>
      <c r="AJ36" s="187">
        <f>IF(ISNUMBER(AJ35),IFERROR(AJ35/AJ213,""),"")</f>
        <v/>
      </c>
      <c r="AK36" s="187">
        <f>IF(ISNUMBER(AK35),IFERROR(AK35/AK213,""),"")</f>
        <v/>
      </c>
      <c r="AL36" s="187">
        <f>IF(ISNUMBER(AL35),IFERROR(AL35/AL213,""),"")</f>
        <v/>
      </c>
      <c r="AM36" s="187">
        <f>IF(ISNUMBER(AM35),IFERROR(AM35/AM213,""),"")</f>
        <v/>
      </c>
      <c r="AN36" s="187">
        <f>IF(ISNUMBER(AN35),IFERROR(AN35/AN213,""),"")</f>
        <v/>
      </c>
      <c r="AO36" s="187">
        <f>IF(ISNUMBER(AO35),IFERROR(AO35/AO213,""),"")</f>
        <v/>
      </c>
      <c r="AP36" s="187">
        <f>IF(ISNUMBER(AP35),IFERROR(AP35/AP213,""),"")</f>
        <v/>
      </c>
      <c r="AQ36" s="187">
        <f>IF(ISNUMBER(AQ35),IFERROR(AQ35/AQ213,""),"")</f>
        <v/>
      </c>
      <c r="AR36" s="187">
        <f>IF(ISNUMBER(AR35),IFERROR(AR35/AR213,""),"")</f>
        <v/>
      </c>
      <c r="AS36" s="187">
        <f>IF(ISNUMBER(AS35),IFERROR(AS35/AS213,""),"")</f>
        <v/>
      </c>
      <c r="AT36" s="187">
        <f>IF(ISNUMBER(AT35),IFERROR(AT35/AT213,""),"")</f>
        <v/>
      </c>
      <c r="AU36" s="187">
        <f>IF(ISNUMBER(AU35),IFERROR(AU35/AU213,""),"")</f>
        <v/>
      </c>
      <c r="AV36" s="187">
        <f>IF(ISNUMBER(AV35),IFERROR(AV35/AV213,""),"")</f>
        <v/>
      </c>
      <c r="AW36" s="187">
        <f>IF(ISNUMBER(AW35),IFERROR(AW35/AW213,""),"")</f>
        <v/>
      </c>
      <c r="AX36" s="187">
        <f>IF(ISNUMBER(AX35),IFERROR(AX35/AX213,""),"")</f>
        <v/>
      </c>
      <c r="AY36" s="187">
        <f>IF(ISNUMBER(AY35),IFERROR(AY35/AY213,""),"")</f>
        <v/>
      </c>
      <c r="AZ36" s="187">
        <f>IF(ISNUMBER(AZ35),IFERROR(AZ35/AZ213,""),"")</f>
        <v/>
      </c>
      <c r="BA36" s="187">
        <f>IF(ISNUMBER(BA35),IFERROR(BA35/BA213,""),"")</f>
        <v/>
      </c>
      <c r="BB36" s="187">
        <f>IF(ISNUMBER(BB35),IFERROR(BB35/BB213,""),"")</f>
        <v/>
      </c>
      <c r="BC36" s="187">
        <f>IF(ISNUMBER(BC35),IFERROR(BC35/BC213,""),"")</f>
        <v/>
      </c>
      <c r="BD36" s="187">
        <f>IF(ISNUMBER(BD35),IFERROR(BD35/BD213,""),"")</f>
        <v/>
      </c>
      <c r="BE36" s="187">
        <f>IF(ISNUMBER(BE35),IFERROR(BE35/BE213,""),"")</f>
        <v/>
      </c>
      <c r="BF36" s="187">
        <f>IF(ISNUMBER(BF35),IFERROR(BF35/BF213,""),"")</f>
        <v/>
      </c>
      <c r="BG36" s="187">
        <f>IF(ISNUMBER(BG35),IFERROR(BG35/BG213,""),"")</f>
        <v/>
      </c>
      <c r="BH36" s="187">
        <f>IF(ISNUMBER(BH35),IFERROR(BH35/BH213,""),"")</f>
        <v/>
      </c>
      <c r="BI36" s="187">
        <f>IF(ISNUMBER(BI35),IFERROR(BI35/BI213,""),"")</f>
        <v/>
      </c>
      <c r="BJ36" s="187">
        <f>IF(ISNUMBER(BJ35),IFERROR(BJ35/BJ213,""),"")</f>
        <v/>
      </c>
      <c r="BK36" s="187">
        <f>IF(ISNUMBER(BK35),IFERROR(BK35/BK213,""),"")</f>
        <v/>
      </c>
      <c r="BL36" s="187">
        <f>IF(ISNUMBER(BL35),IFERROR(BL35/BL213,""),"")</f>
        <v/>
      </c>
      <c r="BM36" s="187">
        <f>IF(ISNUMBER(BM35),IFERROR(BM35/BM213,""),"")</f>
        <v/>
      </c>
      <c r="BN36" s="187">
        <f>IF(ISNUMBER(BN35),IFERROR(BN35/BN213,""),"")</f>
        <v/>
      </c>
      <c r="BO36" s="187">
        <f>IF(ISNUMBER(BO35),IFERROR(BO35/BO213,""),"")</f>
        <v/>
      </c>
      <c r="BP36" s="187">
        <f>IF(ISNUMBER(BP35),IFERROR(BP35/BP213,""),"")</f>
        <v/>
      </c>
      <c r="BQ36" s="187">
        <f>IF(ISNUMBER(BQ35),IFERROR(BQ35/BQ213,""),"")</f>
        <v/>
      </c>
      <c r="BR36" s="187">
        <f>IF(ISNUMBER(BR35),IFERROR(BR35/BR213,""),"")</f>
        <v/>
      </c>
      <c r="BS36" s="187">
        <f>IF(ISNUMBER(BS35),IFERROR(BS35/BS213,""),"")</f>
        <v/>
      </c>
      <c r="BT36" s="187">
        <f>IF(ISNUMBER(BT35),IFERROR(BT35/BT213,""),"")</f>
        <v/>
      </c>
      <c r="BU36" s="187">
        <f>IF(ISNUMBER(BU35),IFERROR(BU35/BU213,""),"")</f>
        <v/>
      </c>
      <c r="BV36" s="187">
        <f>IF(ISNUMBER(BV35),IFERROR(BV35/BV213,""),"")</f>
        <v/>
      </c>
      <c r="BW36" s="187">
        <f>IF(ISNUMBER(BW35),IFERROR(BW35/BW213,""),"")</f>
        <v/>
      </c>
      <c r="BX36" s="187">
        <f>IF(ISNUMBER(BX35),IFERROR(BX35/BX213,""),"")</f>
        <v/>
      </c>
      <c r="BY36" s="180">
        <f>IFERROR((BW35+BX35)/(BW213+BX213),0)</f>
        <v/>
      </c>
      <c r="BZ36" s="180">
        <f>IFERROR((BW35+BX35)/(BW213+BX213),0)</f>
        <v/>
      </c>
      <c r="CA36" s="180">
        <f>IFERROR(CA35/CA213,"")</f>
        <v/>
      </c>
      <c r="CB36" s="180">
        <f>$BZ$36</f>
        <v/>
      </c>
      <c r="CC36" s="180">
        <f>$BZ$36</f>
        <v/>
      </c>
      <c r="CD36" s="180">
        <f>$BZ$36</f>
        <v/>
      </c>
      <c r="CE36" s="180">
        <f>$BZ$36</f>
        <v/>
      </c>
      <c r="CF36" s="6" t="inlineStr">
        <is>
          <t>Forecast at the 1H/26 share (Freight carries most acquired-intangible amortization).</t>
        </is>
      </c>
      <c r="CN36" s="26" t="inlineStr">
        <is>
          <t xml:space="preserve">  2027E</t>
        </is>
      </c>
      <c r="CO36" s="35">
        <f>CP36+$CO$35</f>
        <v/>
      </c>
      <c r="CP36" s="45" t="n">
        <v>0.06</v>
      </c>
      <c r="CQ36" s="35">
        <f>CP36+$CQ$35</f>
        <v/>
      </c>
    </row>
    <row r="37" ht="15" customHeight="1">
      <c r="B37" s="26" t="inlineStr">
        <is>
          <t xml:space="preserve">  Freight income from operations (GAAP)</t>
        </is>
      </c>
      <c r="C37" s="174" t="n">
        <v>109.8</v>
      </c>
      <c r="D37" s="174" t="n">
        <v>126.5</v>
      </c>
      <c r="E37" s="174" t="n">
        <v>133.5</v>
      </c>
      <c r="F37" s="174" t="n">
        <v>74.09999999999999</v>
      </c>
      <c r="G37" s="174" t="n">
        <v>122.1</v>
      </c>
      <c r="H37" s="174" t="n">
        <v>225.3</v>
      </c>
      <c r="I37" s="174" t="n">
        <v>316.1</v>
      </c>
      <c r="J37" s="174" t="n">
        <v>75.40000000000001</v>
      </c>
      <c r="K37" s="174" t="n">
        <v>78.59999999999999</v>
      </c>
      <c r="L37" s="174" t="n">
        <v>77.3</v>
      </c>
      <c r="M37" s="174" t="n">
        <v>83.40000000000001</v>
      </c>
      <c r="N37" s="174" t="n">
        <v>309.1</v>
      </c>
      <c r="O37" s="174" t="n">
        <v>91.90000000000001</v>
      </c>
      <c r="P37" s="174" t="n">
        <v>100.3</v>
      </c>
      <c r="Q37" s="174" t="n">
        <v>102.2</v>
      </c>
      <c r="R37" s="174" t="n">
        <v>108.1</v>
      </c>
      <c r="S37" s="174" t="n">
        <v>402.5</v>
      </c>
      <c r="T37" s="174" t="n">
        <v>111.6</v>
      </c>
      <c r="U37" s="174" t="n">
        <v>125.2</v>
      </c>
      <c r="V37" s="174" t="n">
        <v>119.9</v>
      </c>
      <c r="W37" s="174" t="n">
        <v>125.9</v>
      </c>
      <c r="X37" s="174" t="n">
        <v>482.6</v>
      </c>
      <c r="Y37" s="174" t="n">
        <v>106.7</v>
      </c>
      <c r="Z37" s="174" t="n">
        <v>92.3</v>
      </c>
      <c r="AA37" s="174" t="n">
        <v>78</v>
      </c>
      <c r="AB37" s="174" t="n">
        <v>67.5</v>
      </c>
      <c r="AC37" s="174" t="n">
        <v>344.5</v>
      </c>
      <c r="AD37" s="174" t="n">
        <v>71.40000000000001</v>
      </c>
      <c r="AE37" s="174" t="n">
        <v>63.3</v>
      </c>
      <c r="AF37" s="174" t="n">
        <v>61.6</v>
      </c>
      <c r="AG37" s="174" t="n">
        <v>68.3</v>
      </c>
      <c r="AH37" s="174" t="n">
        <v>264.6</v>
      </c>
      <c r="AI37" s="174" t="n">
        <v>69.59999999999999</v>
      </c>
      <c r="AJ37" s="174" t="n">
        <v>84.3</v>
      </c>
      <c r="AK37" s="174" t="n">
        <v>79.40000000000001</v>
      </c>
      <c r="AL37" s="174" t="n">
        <v>71.40000000000001</v>
      </c>
      <c r="AM37" s="174" t="n">
        <v>304.8</v>
      </c>
      <c r="AN37" s="174" t="n">
        <v>75.2</v>
      </c>
      <c r="AO37" s="174" t="n">
        <v>152</v>
      </c>
      <c r="AP37" s="174" t="n">
        <v>148.1</v>
      </c>
      <c r="AQ37" s="174" t="n">
        <v>239.2</v>
      </c>
      <c r="AR37" s="174" t="n">
        <v>642.9</v>
      </c>
      <c r="AS37" s="174" t="n">
        <v>161.7</v>
      </c>
      <c r="AT37" s="174" t="n">
        <v>141.5</v>
      </c>
      <c r="AU37" s="174" t="n">
        <v>160.2</v>
      </c>
      <c r="AV37" s="174" t="n">
        <v>120.5</v>
      </c>
      <c r="AW37" s="174" t="n">
        <v>583.9</v>
      </c>
      <c r="AX37" s="174" t="n">
        <v>141.8</v>
      </c>
      <c r="AY37" s="174" t="n">
        <v>173.2</v>
      </c>
      <c r="AZ37" s="174" t="n">
        <v>195.2</v>
      </c>
      <c r="BA37" s="174" t="n">
        <v>207</v>
      </c>
      <c r="BB37" s="174" t="n">
        <v>717</v>
      </c>
      <c r="BC37" s="174" t="n">
        <v>189</v>
      </c>
      <c r="BD37" s="174" t="n">
        <v>233</v>
      </c>
      <c r="BE37" s="174" t="n">
        <v>233</v>
      </c>
      <c r="BF37" s="174" t="n">
        <v>209</v>
      </c>
      <c r="BG37" s="174" t="n">
        <v>864</v>
      </c>
      <c r="BH37" s="174" t="n">
        <v>227</v>
      </c>
      <c r="BI37" s="174" t="n">
        <v>271</v>
      </c>
      <c r="BJ37" s="174" t="n">
        <v>327</v>
      </c>
      <c r="BK37" s="174" t="n">
        <v>246</v>
      </c>
      <c r="BL37" s="174" t="n">
        <v>1071</v>
      </c>
      <c r="BM37" s="174" t="n">
        <v>368</v>
      </c>
      <c r="BN37" s="174" t="n">
        <v>391</v>
      </c>
      <c r="BO37" s="174" t="n">
        <v>390</v>
      </c>
      <c r="BP37" s="174" t="n">
        <v>273</v>
      </c>
      <c r="BQ37" s="174" t="n">
        <v>1422</v>
      </c>
      <c r="BR37" s="174" t="n">
        <v>420</v>
      </c>
      <c r="BS37" s="174" t="n">
        <v>415</v>
      </c>
      <c r="BT37" s="174" t="n">
        <v>414</v>
      </c>
      <c r="BU37" s="174" t="n">
        <v>318</v>
      </c>
      <c r="BV37" s="174" t="n">
        <v>1567</v>
      </c>
      <c r="BW37" s="174" t="n">
        <v>450</v>
      </c>
      <c r="BX37" s="174" t="n">
        <v>504</v>
      </c>
      <c r="BY37" s="178">
        <f>BY31-BY35</f>
        <v/>
      </c>
      <c r="BZ37" s="178">
        <f>BZ31-BZ35</f>
        <v/>
      </c>
      <c r="CA37" s="178">
        <f>SUM(BW37,BX37,BY37,BZ37)</f>
        <v/>
      </c>
      <c r="CB37" s="178">
        <f>CB31-CB35</f>
        <v/>
      </c>
      <c r="CC37" s="178">
        <f>CC31-CC35</f>
        <v/>
      </c>
      <c r="CD37" s="178">
        <f>CD31-CD35</f>
        <v/>
      </c>
      <c r="CE37" s="178">
        <f>CE31-CE35</f>
        <v/>
      </c>
      <c r="CF37" s="20" t="n"/>
      <c r="CN37" s="26" t="inlineStr">
        <is>
          <t xml:space="preserve">  2028E</t>
        </is>
      </c>
      <c r="CO37" s="35">
        <f>CP37+$CO$35</f>
        <v/>
      </c>
      <c r="CP37" s="45" t="n">
        <v>0.05</v>
      </c>
      <c r="CQ37" s="35">
        <f>CP37+$CQ$35</f>
        <v/>
      </c>
    </row>
    <row r="38" ht="15" customHeight="1">
      <c r="B38" s="26" t="inlineStr">
        <is>
          <t xml:space="preserve">  GAAP operating margin %</t>
        </is>
      </c>
      <c r="C38" s="187">
        <f>IF(AND(ISNUMBER(C37),ISNUMBER(C27)),IFERROR(C37/C27,""),"")</f>
        <v/>
      </c>
      <c r="D38" s="187">
        <f>IF(AND(ISNUMBER(D37),ISNUMBER(D27)),IFERROR(D37/D27,""),"")</f>
        <v/>
      </c>
      <c r="E38" s="187">
        <f>IF(AND(ISNUMBER(E37),ISNUMBER(E27)),IFERROR(E37/E27,""),"")</f>
        <v/>
      </c>
      <c r="F38" s="187">
        <f>IF(AND(ISNUMBER(F37),ISNUMBER(F27)),IFERROR(F37/F27,""),"")</f>
        <v/>
      </c>
      <c r="G38" s="187">
        <f>IF(AND(ISNUMBER(G37),ISNUMBER(G27)),IFERROR(G37/G27,""),"")</f>
        <v/>
      </c>
      <c r="H38" s="187">
        <f>IF(AND(ISNUMBER(H37),ISNUMBER(H27)),IFERROR(H37/H27,""),"")</f>
        <v/>
      </c>
      <c r="I38" s="187">
        <f>IF(AND(ISNUMBER(I37),ISNUMBER(I27)),IFERROR(I37/I27,""),"")</f>
        <v/>
      </c>
      <c r="J38" s="187">
        <f>IF(AND(ISNUMBER(J37),ISNUMBER(J27)),IFERROR(J37/J27,""),"")</f>
        <v/>
      </c>
      <c r="K38" s="187">
        <f>IF(AND(ISNUMBER(K37),ISNUMBER(K27)),IFERROR(K37/K27,""),"")</f>
        <v/>
      </c>
      <c r="L38" s="187">
        <f>IF(AND(ISNUMBER(L37),ISNUMBER(L27)),IFERROR(L37/L27,""),"")</f>
        <v/>
      </c>
      <c r="M38" s="187">
        <f>IF(AND(ISNUMBER(M37),ISNUMBER(M27)),IFERROR(M37/M27,""),"")</f>
        <v/>
      </c>
      <c r="N38" s="187">
        <f>IF(AND(ISNUMBER(N37),ISNUMBER(N27)),IFERROR(N37/N27,""),"")</f>
        <v/>
      </c>
      <c r="O38" s="187">
        <f>IF(AND(ISNUMBER(O37),ISNUMBER(O27)),IFERROR(O37/O27,""),"")</f>
        <v/>
      </c>
      <c r="P38" s="187">
        <f>IF(AND(ISNUMBER(P37),ISNUMBER(P27)),IFERROR(P37/P27,""),"")</f>
        <v/>
      </c>
      <c r="Q38" s="187">
        <f>IF(AND(ISNUMBER(Q37),ISNUMBER(Q27)),IFERROR(Q37/Q27,""),"")</f>
        <v/>
      </c>
      <c r="R38" s="187">
        <f>IF(AND(ISNUMBER(R37),ISNUMBER(R27)),IFERROR(R37/R27,""),"")</f>
        <v/>
      </c>
      <c r="S38" s="187">
        <f>IF(AND(ISNUMBER(S37),ISNUMBER(S27)),IFERROR(S37/S27,""),"")</f>
        <v/>
      </c>
      <c r="T38" s="187">
        <f>IF(AND(ISNUMBER(T37),ISNUMBER(T27)),IFERROR(T37/T27,""),"")</f>
        <v/>
      </c>
      <c r="U38" s="187">
        <f>IF(AND(ISNUMBER(U37),ISNUMBER(U27)),IFERROR(U37/U27,""),"")</f>
        <v/>
      </c>
      <c r="V38" s="187">
        <f>IF(AND(ISNUMBER(V37),ISNUMBER(V27)),IFERROR(V37/V27,""),"")</f>
        <v/>
      </c>
      <c r="W38" s="187">
        <f>IF(AND(ISNUMBER(W37),ISNUMBER(W27)),IFERROR(W37/W27,""),"")</f>
        <v/>
      </c>
      <c r="X38" s="187">
        <f>IF(AND(ISNUMBER(X37),ISNUMBER(X27)),IFERROR(X37/X27,""),"")</f>
        <v/>
      </c>
      <c r="Y38" s="187">
        <f>IF(AND(ISNUMBER(Y37),ISNUMBER(Y27)),IFERROR(Y37/Y27,""),"")</f>
        <v/>
      </c>
      <c r="Z38" s="187">
        <f>IF(AND(ISNUMBER(Z37),ISNUMBER(Z27)),IFERROR(Z37/Z27,""),"")</f>
        <v/>
      </c>
      <c r="AA38" s="187">
        <f>IF(AND(ISNUMBER(AA37),ISNUMBER(AA27)),IFERROR(AA37/AA27,""),"")</f>
        <v/>
      </c>
      <c r="AB38" s="187">
        <f>IF(AND(ISNUMBER(AB37),ISNUMBER(AB27)),IFERROR(AB37/AB27,""),"")</f>
        <v/>
      </c>
      <c r="AC38" s="187">
        <f>IF(AND(ISNUMBER(AC37),ISNUMBER(AC27)),IFERROR(AC37/AC27,""),"")</f>
        <v/>
      </c>
      <c r="AD38" s="187">
        <f>IF(AND(ISNUMBER(AD37),ISNUMBER(AD27)),IFERROR(AD37/AD27,""),"")</f>
        <v/>
      </c>
      <c r="AE38" s="187">
        <f>IF(AND(ISNUMBER(AE37),ISNUMBER(AE27)),IFERROR(AE37/AE27,""),"")</f>
        <v/>
      </c>
      <c r="AF38" s="187">
        <f>IF(AND(ISNUMBER(AF37),ISNUMBER(AF27)),IFERROR(AF37/AF27,""),"")</f>
        <v/>
      </c>
      <c r="AG38" s="187">
        <f>IF(AND(ISNUMBER(AG37),ISNUMBER(AG27)),IFERROR(AG37/AG27,""),"")</f>
        <v/>
      </c>
      <c r="AH38" s="187">
        <f>IF(AND(ISNUMBER(AH37),ISNUMBER(AH27)),IFERROR(AH37/AH27,""),"")</f>
        <v/>
      </c>
      <c r="AI38" s="187">
        <f>IF(AND(ISNUMBER(AI37),ISNUMBER(AI27)),IFERROR(AI37/AI27,""),"")</f>
        <v/>
      </c>
      <c r="AJ38" s="187">
        <f>IF(AND(ISNUMBER(AJ37),ISNUMBER(AJ27)),IFERROR(AJ37/AJ27,""),"")</f>
        <v/>
      </c>
      <c r="AK38" s="187">
        <f>IF(AND(ISNUMBER(AK37),ISNUMBER(AK27)),IFERROR(AK37/AK27,""),"")</f>
        <v/>
      </c>
      <c r="AL38" s="187">
        <f>IF(AND(ISNUMBER(AL37),ISNUMBER(AL27)),IFERROR(AL37/AL27,""),"")</f>
        <v/>
      </c>
      <c r="AM38" s="187">
        <f>IF(AND(ISNUMBER(AM37),ISNUMBER(AM27)),IFERROR(AM37/AM27,""),"")</f>
        <v/>
      </c>
      <c r="AN38" s="187">
        <f>IF(AND(ISNUMBER(AN37),ISNUMBER(AN27)),IFERROR(AN37/AN27,""),"")</f>
        <v/>
      </c>
      <c r="AO38" s="187">
        <f>IF(AND(ISNUMBER(AO37),ISNUMBER(AO27)),IFERROR(AO37/AO27,""),"")</f>
        <v/>
      </c>
      <c r="AP38" s="187">
        <f>IF(AND(ISNUMBER(AP37),ISNUMBER(AP27)),IFERROR(AP37/AP27,""),"")</f>
        <v/>
      </c>
      <c r="AQ38" s="187">
        <f>IF(AND(ISNUMBER(AQ37),ISNUMBER(AQ27)),IFERROR(AQ37/AQ27,""),"")</f>
        <v/>
      </c>
      <c r="AR38" s="187">
        <f>IF(AND(ISNUMBER(AR37),ISNUMBER(AR27)),IFERROR(AR37/AR27,""),"")</f>
        <v/>
      </c>
      <c r="AS38" s="187">
        <f>IF(AND(ISNUMBER(AS37),ISNUMBER(AS27)),IFERROR(AS37/AS27,""),"")</f>
        <v/>
      </c>
      <c r="AT38" s="187">
        <f>IF(AND(ISNUMBER(AT37),ISNUMBER(AT27)),IFERROR(AT37/AT27,""),"")</f>
        <v/>
      </c>
      <c r="AU38" s="187">
        <f>IF(AND(ISNUMBER(AU37),ISNUMBER(AU27)),IFERROR(AU37/AU27,""),"")</f>
        <v/>
      </c>
      <c r="AV38" s="187">
        <f>IF(AND(ISNUMBER(AV37),ISNUMBER(AV27)),IFERROR(AV37/AV27,""),"")</f>
        <v/>
      </c>
      <c r="AW38" s="187">
        <f>IF(AND(ISNUMBER(AW37),ISNUMBER(AW27)),IFERROR(AW37/AW27,""),"")</f>
        <v/>
      </c>
      <c r="AX38" s="187">
        <f>IF(AND(ISNUMBER(AX37),ISNUMBER(AX27)),IFERROR(AX37/AX27,""),"")</f>
        <v/>
      </c>
      <c r="AY38" s="187">
        <f>IF(AND(ISNUMBER(AY37),ISNUMBER(AY27)),IFERROR(AY37/AY27,""),"")</f>
        <v/>
      </c>
      <c r="AZ38" s="187">
        <f>IF(AND(ISNUMBER(AZ37),ISNUMBER(AZ27)),IFERROR(AZ37/AZ27,""),"")</f>
        <v/>
      </c>
      <c r="BA38" s="187">
        <f>IF(AND(ISNUMBER(BA37),ISNUMBER(BA27)),IFERROR(BA37/BA27,""),"")</f>
        <v/>
      </c>
      <c r="BB38" s="187">
        <f>IF(AND(ISNUMBER(BB37),ISNUMBER(BB27)),IFERROR(BB37/BB27,""),"")</f>
        <v/>
      </c>
      <c r="BC38" s="187">
        <f>IF(AND(ISNUMBER(BC37),ISNUMBER(BC27)),IFERROR(BC37/BC27,""),"")</f>
        <v/>
      </c>
      <c r="BD38" s="187">
        <f>IF(AND(ISNUMBER(BD37),ISNUMBER(BD27)),IFERROR(BD37/BD27,""),"")</f>
        <v/>
      </c>
      <c r="BE38" s="187">
        <f>IF(AND(ISNUMBER(BE37),ISNUMBER(BE27)),IFERROR(BE37/BE27,""),"")</f>
        <v/>
      </c>
      <c r="BF38" s="187">
        <f>IF(AND(ISNUMBER(BF37),ISNUMBER(BF27)),IFERROR(BF37/BF27,""),"")</f>
        <v/>
      </c>
      <c r="BG38" s="187">
        <f>IF(AND(ISNUMBER(BG37),ISNUMBER(BG27)),IFERROR(BG37/BG27,""),"")</f>
        <v/>
      </c>
      <c r="BH38" s="187">
        <f>IF(AND(ISNUMBER(BH37),ISNUMBER(BH27)),IFERROR(BH37/BH27,""),"")</f>
        <v/>
      </c>
      <c r="BI38" s="187">
        <f>IF(AND(ISNUMBER(BI37),ISNUMBER(BI27)),IFERROR(BI37/BI27,""),"")</f>
        <v/>
      </c>
      <c r="BJ38" s="187">
        <f>IF(AND(ISNUMBER(BJ37),ISNUMBER(BJ27)),IFERROR(BJ37/BJ27,""),"")</f>
        <v/>
      </c>
      <c r="BK38" s="187">
        <f>IF(AND(ISNUMBER(BK37),ISNUMBER(BK27)),IFERROR(BK37/BK27,""),"")</f>
        <v/>
      </c>
      <c r="BL38" s="187">
        <f>IF(AND(ISNUMBER(BL37),ISNUMBER(BL27)),IFERROR(BL37/BL27,""),"")</f>
        <v/>
      </c>
      <c r="BM38" s="187">
        <f>IF(AND(ISNUMBER(BM37),ISNUMBER(BM27)),IFERROR(BM37/BM27,""),"")</f>
        <v/>
      </c>
      <c r="BN38" s="187">
        <f>IF(AND(ISNUMBER(BN37),ISNUMBER(BN27)),IFERROR(BN37/BN27,""),"")</f>
        <v/>
      </c>
      <c r="BO38" s="187">
        <f>IF(AND(ISNUMBER(BO37),ISNUMBER(BO27)),IFERROR(BO37/BO27,""),"")</f>
        <v/>
      </c>
      <c r="BP38" s="187">
        <f>IF(AND(ISNUMBER(BP37),ISNUMBER(BP27)),IFERROR(BP37/BP27,""),"")</f>
        <v/>
      </c>
      <c r="BQ38" s="187">
        <f>IF(AND(ISNUMBER(BQ37),ISNUMBER(BQ27)),IFERROR(BQ37/BQ27,""),"")</f>
        <v/>
      </c>
      <c r="BR38" s="187">
        <f>IF(AND(ISNUMBER(BR37),ISNUMBER(BR27)),IFERROR(BR37/BR27,""),"")</f>
        <v/>
      </c>
      <c r="BS38" s="187">
        <f>IF(AND(ISNUMBER(BS37),ISNUMBER(BS27)),IFERROR(BS37/BS27,""),"")</f>
        <v/>
      </c>
      <c r="BT38" s="187">
        <f>IF(AND(ISNUMBER(BT37),ISNUMBER(BT27)),IFERROR(BT37/BT27,""),"")</f>
        <v/>
      </c>
      <c r="BU38" s="187">
        <f>IF(AND(ISNUMBER(BU37),ISNUMBER(BU27)),IFERROR(BU37/BU27,""),"")</f>
        <v/>
      </c>
      <c r="BV38" s="187">
        <f>IF(AND(ISNUMBER(BV37),ISNUMBER(BV27)),IFERROR(BV37/BV27,""),"")</f>
        <v/>
      </c>
      <c r="BW38" s="187">
        <f>IF(AND(ISNUMBER(BW37),ISNUMBER(BW27)),IFERROR(BW37/BW27,""),"")</f>
        <v/>
      </c>
      <c r="BX38" s="187">
        <f>IF(AND(ISNUMBER(BX37),ISNUMBER(BX27)),IFERROR(BX37/BX27,""),"")</f>
        <v/>
      </c>
      <c r="BY38" s="180">
        <f>IF(AND(ISNUMBER(BY37),ISNUMBER(BY27)),IFERROR(BY37/BY27,""),"")</f>
        <v/>
      </c>
      <c r="BZ38" s="180">
        <f>IF(AND(ISNUMBER(BZ37),ISNUMBER(BZ27)),IFERROR(BZ37/BZ27,""),"")</f>
        <v/>
      </c>
      <c r="CA38" s="180">
        <f>IF(AND(ISNUMBER(CA37),ISNUMBER(CA27)),IFERROR(CA37/CA27,""),"")</f>
        <v/>
      </c>
      <c r="CB38" s="180">
        <f>IF(AND(ISNUMBER(CB37),ISNUMBER(CB27)),IFERROR(CB37/CB27,""),"")</f>
        <v/>
      </c>
      <c r="CC38" s="180">
        <f>IF(AND(ISNUMBER(CC37),ISNUMBER(CC27)),IFERROR(CC37/CC27,""),"")</f>
        <v/>
      </c>
      <c r="CD38" s="180">
        <f>IF(AND(ISNUMBER(CD37),ISNUMBER(CD27)),IFERROR(CD37/CD27,""),"")</f>
        <v/>
      </c>
      <c r="CE38" s="180">
        <f>IF(AND(ISNUMBER(CE37),ISNUMBER(CE27)),IFERROR(CE37/CE27,""),"")</f>
        <v/>
      </c>
      <c r="CF38" s="6" t="n"/>
      <c r="CN38" s="26" t="inlineStr">
        <is>
          <t xml:space="preserve">  2029E</t>
        </is>
      </c>
      <c r="CO38" s="35">
        <f>CP38+$CO$35</f>
        <v/>
      </c>
      <c r="CP38" s="45" t="n">
        <v>0.04</v>
      </c>
      <c r="CQ38" s="35">
        <f>CP38+$CQ$35</f>
        <v/>
      </c>
    </row>
    <row r="39" ht="15" customHeight="1">
      <c r="CN39" s="26" t="inlineStr">
        <is>
          <t xml:space="preserve">  2030E</t>
        </is>
      </c>
      <c r="CO39" s="35">
        <f>CP39+$CO$35</f>
        <v/>
      </c>
      <c r="CP39" s="45" t="n">
        <v>0.04</v>
      </c>
      <c r="CQ39" s="35">
        <f>CP39+$CQ$35</f>
        <v/>
      </c>
    </row>
    <row r="40" ht="15" customHeight="1">
      <c r="B40" s="15" t="inlineStr">
        <is>
          <t>Transit segment (passenger-rail original equipment &amp; aftermarket: brakes, doors, HVAC, couplers, pantographs)</t>
        </is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5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5" t="n"/>
      <c r="CE40" s="15" t="n"/>
      <c r="CF40" s="16" t="inlineStr">
        <is>
          <t>TRANSIT — modelling logic</t>
        </is>
      </c>
      <c r="CN40" s="16" t="inlineStr">
        <is>
          <t>FRT_COMP (Freight Components sales y/y)</t>
        </is>
      </c>
      <c r="CO40" s="44" t="n">
        <v>0.02</v>
      </c>
      <c r="CP40" s="22" t="inlineStr">
        <is>
          <t>Δ →</t>
        </is>
      </c>
      <c r="CQ40" s="44" t="n">
        <v>-0.03</v>
      </c>
      <c r="CR40" s="14" t="inlineStr">
        <is>
          <t>N.A. railcar build (soft 2025–26) and industrial (L&amp;M, cooling); North American freight car cycle recovery from 2027.</t>
        </is>
      </c>
    </row>
    <row r="41" ht="15" customHeight="1">
      <c r="B41" s="26" t="inlineStr">
        <is>
          <t xml:space="preserve">  12-month backlog — Transit (period end)</t>
        </is>
      </c>
      <c r="C41" s="174" t="n">
        <v>346.8</v>
      </c>
      <c r="D41" s="174" t="n">
        <v>378.7</v>
      </c>
      <c r="E41" s="174" t="n">
        <v>417</v>
      </c>
      <c r="F41" s="174" t="n">
        <v>425.5</v>
      </c>
      <c r="G41" s="174" t="n">
        <v>292.7</v>
      </c>
      <c r="H41" s="174" t="n">
        <v>481.7</v>
      </c>
      <c r="I41" s="174" t="n">
        <v>703</v>
      </c>
      <c r="J41" s="36" t="n"/>
      <c r="K41" s="36" t="n"/>
      <c r="L41" s="36" t="n"/>
      <c r="M41" s="174" t="n">
        <v>650.7</v>
      </c>
      <c r="N41" s="174" t="n">
        <v>650.7</v>
      </c>
      <c r="O41" s="36" t="n"/>
      <c r="P41" s="36" t="n"/>
      <c r="Q41" s="36" t="n"/>
      <c r="R41" s="174" t="n">
        <v>659.2</v>
      </c>
      <c r="S41" s="174" t="n">
        <v>659.2</v>
      </c>
      <c r="T41" s="36" t="n"/>
      <c r="U41" s="36" t="n"/>
      <c r="V41" s="36" t="n"/>
      <c r="W41" s="174" t="n">
        <v>621.7</v>
      </c>
      <c r="X41" s="174" t="n">
        <v>621.7</v>
      </c>
      <c r="Y41" s="36" t="n"/>
      <c r="Z41" s="36" t="n"/>
      <c r="AA41" s="36" t="n"/>
      <c r="AB41" s="174" t="n">
        <v>1565.5</v>
      </c>
      <c r="AC41" s="174" t="n">
        <v>1565.5</v>
      </c>
      <c r="AD41" s="36" t="n"/>
      <c r="AE41" s="174" t="n">
        <v>1729.2</v>
      </c>
      <c r="AF41" s="174" t="n">
        <v>1822.2</v>
      </c>
      <c r="AG41" s="174" t="n">
        <v>1891.1</v>
      </c>
      <c r="AH41" s="174" t="n">
        <v>1891.1</v>
      </c>
      <c r="AI41" s="174" t="n">
        <v>1976.3</v>
      </c>
      <c r="AJ41" s="174" t="n">
        <v>2044.4</v>
      </c>
      <c r="AK41" s="174" t="n">
        <v>1791.9</v>
      </c>
      <c r="AL41" s="174" t="n">
        <v>1954.6</v>
      </c>
      <c r="AM41" s="174" t="n">
        <v>1954.6</v>
      </c>
      <c r="AN41" s="174" t="n">
        <v>2048.7</v>
      </c>
      <c r="AO41" s="174" t="n">
        <v>2058.9</v>
      </c>
      <c r="AP41" s="174" t="n">
        <v>1813.1</v>
      </c>
      <c r="AQ41" s="174" t="n">
        <v>1692.8</v>
      </c>
      <c r="AR41" s="174" t="n">
        <v>1692.8</v>
      </c>
      <c r="AS41" s="174" t="n">
        <v>1801</v>
      </c>
      <c r="AT41" s="174" t="n">
        <v>1648.9</v>
      </c>
      <c r="AU41" s="174" t="n">
        <v>1557.6</v>
      </c>
      <c r="AV41" s="174" t="n">
        <v>1934.4</v>
      </c>
      <c r="AW41" s="174" t="n">
        <v>1934.4</v>
      </c>
      <c r="AX41" s="174" t="n">
        <v>1796</v>
      </c>
      <c r="AY41" s="174" t="n">
        <v>1724.8</v>
      </c>
      <c r="AZ41" s="174" t="n">
        <v>1647.5</v>
      </c>
      <c r="BA41" s="174" t="n">
        <v>1748</v>
      </c>
      <c r="BB41" s="174" t="n">
        <v>1748</v>
      </c>
      <c r="BC41" s="174" t="n">
        <v>1819</v>
      </c>
      <c r="BD41" s="174" t="n">
        <v>1745</v>
      </c>
      <c r="BE41" s="174" t="n">
        <v>1700</v>
      </c>
      <c r="BF41" s="174" t="n">
        <v>1859</v>
      </c>
      <c r="BG41" s="174" t="n">
        <v>1859</v>
      </c>
      <c r="BH41" s="174" t="n">
        <v>1947</v>
      </c>
      <c r="BI41" s="174" t="n">
        <v>1902</v>
      </c>
      <c r="BJ41" s="174" t="n">
        <v>1809</v>
      </c>
      <c r="BK41" s="174" t="n">
        <v>2007</v>
      </c>
      <c r="BL41" s="174" t="n">
        <v>2007</v>
      </c>
      <c r="BM41" s="174" t="n">
        <v>2043</v>
      </c>
      <c r="BN41" s="174" t="n">
        <v>1830</v>
      </c>
      <c r="BO41" s="174" t="n">
        <v>2035</v>
      </c>
      <c r="BP41" s="174" t="n">
        <v>2104</v>
      </c>
      <c r="BQ41" s="174" t="n">
        <v>2104</v>
      </c>
      <c r="BR41" s="174" t="n">
        <v>2127</v>
      </c>
      <c r="BS41" s="174" t="n">
        <v>2186</v>
      </c>
      <c r="BT41" s="174" t="n">
        <v>2182</v>
      </c>
      <c r="BU41" s="174" t="n">
        <v>2212</v>
      </c>
      <c r="BV41" s="174" t="n">
        <v>2212</v>
      </c>
      <c r="BW41" s="174" t="n">
        <v>2568</v>
      </c>
      <c r="BX41" s="174" t="n">
        <v>2502</v>
      </c>
      <c r="BY41" s="37" t="n"/>
      <c r="BZ41" s="37" t="n"/>
      <c r="CA41" s="37" t="n"/>
      <c r="CB41" s="37" t="n"/>
      <c r="CC41" s="37" t="n"/>
      <c r="CD41" s="37" t="n"/>
      <c r="CE41" s="37" t="n"/>
      <c r="CF41" s="20" t="inlineStr">
        <is>
          <t>Company-reported 12-month backlog (subset of total backlog). Historical only; context for the Q3/Q4-26E growth inputs.</t>
        </is>
      </c>
      <c r="CN41" s="26" t="inlineStr">
        <is>
          <t xml:space="preserve">  2027E</t>
        </is>
      </c>
      <c r="CO41" s="35">
        <f>CP41+$CO$40</f>
        <v/>
      </c>
      <c r="CP41" s="45" t="n">
        <v>0.03</v>
      </c>
      <c r="CQ41" s="35">
        <f>CP41+$CQ$40</f>
        <v/>
      </c>
    </row>
    <row r="42" ht="15" customHeight="1">
      <c r="B42" s="26" t="inlineStr">
        <is>
          <t xml:space="preserve">  Total (multi-year) backlog — Transit (period end)</t>
        </is>
      </c>
      <c r="C42" s="174" t="n">
        <v>779.4</v>
      </c>
      <c r="D42" s="174" t="n">
        <v>796.3</v>
      </c>
      <c r="E42" s="174" t="n">
        <v>865</v>
      </c>
      <c r="F42" s="174" t="n">
        <v>739.3</v>
      </c>
      <c r="G42" s="174" t="n">
        <v>695.1</v>
      </c>
      <c r="H42" s="174" t="n">
        <v>836.5</v>
      </c>
      <c r="I42" s="174" t="n">
        <v>1167.7</v>
      </c>
      <c r="J42" s="36" t="n"/>
      <c r="K42" s="36" t="n"/>
      <c r="L42" s="36" t="n"/>
      <c r="M42" s="174" t="n">
        <v>1182.2</v>
      </c>
      <c r="N42" s="174" t="n">
        <v>1182.2</v>
      </c>
      <c r="O42" s="36" t="n"/>
      <c r="P42" s="36" t="n"/>
      <c r="Q42" s="36" t="n"/>
      <c r="R42" s="174" t="n">
        <v>1344.2</v>
      </c>
      <c r="S42" s="174" t="n">
        <v>1344.2</v>
      </c>
      <c r="T42" s="36" t="n"/>
      <c r="U42" s="36" t="n"/>
      <c r="V42" s="36" t="n"/>
      <c r="W42" s="174" t="n">
        <v>1475</v>
      </c>
      <c r="X42" s="174" t="n">
        <v>1475</v>
      </c>
      <c r="Y42" s="36" t="n"/>
      <c r="Z42" s="36" t="n"/>
      <c r="AA42" s="36" t="n"/>
      <c r="AB42" s="174" t="n">
        <v>3405.6</v>
      </c>
      <c r="AC42" s="174" t="n">
        <v>3405.6</v>
      </c>
      <c r="AD42" s="36" t="n"/>
      <c r="AE42" s="174" t="n">
        <v>3843</v>
      </c>
      <c r="AF42" s="174" t="n">
        <v>3920.3</v>
      </c>
      <c r="AG42" s="174" t="n">
        <v>4050.5</v>
      </c>
      <c r="AH42" s="174" t="n">
        <v>4050.5</v>
      </c>
      <c r="AI42" s="174" t="n">
        <v>4265.6</v>
      </c>
      <c r="AJ42" s="174" t="n">
        <v>4012</v>
      </c>
      <c r="AK42" s="174" t="n">
        <v>3959.4</v>
      </c>
      <c r="AL42" s="174" t="n">
        <v>3816.9</v>
      </c>
      <c r="AM42" s="174" t="n">
        <v>3816.9</v>
      </c>
      <c r="AN42" s="174" t="n">
        <v>3795.2</v>
      </c>
      <c r="AO42" s="174" t="n">
        <v>3847.8</v>
      </c>
      <c r="AP42" s="174" t="n">
        <v>3672.9</v>
      </c>
      <c r="AQ42" s="174" t="n">
        <v>3486.4</v>
      </c>
      <c r="AR42" s="174" t="n">
        <v>3486.4</v>
      </c>
      <c r="AS42" s="174" t="n">
        <v>3431.3</v>
      </c>
      <c r="AT42" s="174" t="n">
        <v>3432.8</v>
      </c>
      <c r="AU42" s="174" t="n">
        <v>3541.9</v>
      </c>
      <c r="AV42" s="174" t="n">
        <v>3704.2</v>
      </c>
      <c r="AW42" s="174" t="n">
        <v>3704.2</v>
      </c>
      <c r="AX42" s="174" t="n">
        <v>3666</v>
      </c>
      <c r="AY42" s="174" t="n">
        <v>3693.3</v>
      </c>
      <c r="AZ42" s="174" t="n">
        <v>3632.5</v>
      </c>
      <c r="BA42" s="174" t="n">
        <v>3667</v>
      </c>
      <c r="BB42" s="174" t="n">
        <v>3667</v>
      </c>
      <c r="BC42" s="174" t="n">
        <v>3735</v>
      </c>
      <c r="BD42" s="174" t="n">
        <v>3548</v>
      </c>
      <c r="BE42" s="174" t="n">
        <v>3437</v>
      </c>
      <c r="BF42" s="174" t="n">
        <v>3800</v>
      </c>
      <c r="BG42" s="174" t="n">
        <v>3800</v>
      </c>
      <c r="BH42" s="174" t="n">
        <v>3972</v>
      </c>
      <c r="BI42" s="174" t="n">
        <v>4095</v>
      </c>
      <c r="BJ42" s="174" t="n">
        <v>3869</v>
      </c>
      <c r="BK42" s="174" t="n">
        <v>4168</v>
      </c>
      <c r="BL42" s="174" t="n">
        <v>4168</v>
      </c>
      <c r="BM42" s="174" t="n">
        <v>4185</v>
      </c>
      <c r="BN42" s="174" t="n">
        <v>4146</v>
      </c>
      <c r="BO42" s="174" t="n">
        <v>4478</v>
      </c>
      <c r="BP42" s="174" t="n">
        <v>4286</v>
      </c>
      <c r="BQ42" s="174" t="n">
        <v>4286</v>
      </c>
      <c r="BR42" s="174" t="n">
        <v>4451</v>
      </c>
      <c r="BS42" s="174" t="n">
        <v>4692</v>
      </c>
      <c r="BT42" s="174" t="n">
        <v>4670</v>
      </c>
      <c r="BU42" s="174" t="n">
        <v>4914</v>
      </c>
      <c r="BV42" s="174" t="n">
        <v>4914</v>
      </c>
      <c r="BW42" s="174" t="n">
        <v>5627</v>
      </c>
      <c r="BX42" s="174" t="n">
        <v>5600</v>
      </c>
      <c r="BY42" s="37" t="n"/>
      <c r="BZ42" s="37" t="n"/>
      <c r="CA42" s="37" t="n"/>
      <c r="CB42" s="37" t="n"/>
      <c r="CC42" s="37" t="n"/>
      <c r="CD42" s="37" t="n"/>
      <c r="CE42" s="37" t="n"/>
      <c r="CF42" s="20" t="n"/>
      <c r="CN42" s="26" t="inlineStr">
        <is>
          <t xml:space="preserve">  2028E</t>
        </is>
      </c>
      <c r="CO42" s="35">
        <f>CP42+$CO$40</f>
        <v/>
      </c>
      <c r="CP42" s="45" t="n">
        <v>0.04</v>
      </c>
      <c r="CQ42" s="35">
        <f>CP42+$CQ$40</f>
        <v/>
      </c>
    </row>
    <row r="43" ht="15" customHeight="1">
      <c r="B43" s="26" t="inlineStr">
        <is>
          <t xml:space="preserve">  12-month backlog ÷ annualised sales (x)</t>
        </is>
      </c>
      <c r="C43" s="176">
        <f>IF(AND(ISNUMBER(C41),ISNUMBER(C51)),IFERROR(C41/(C51*1),""),"")</f>
        <v/>
      </c>
      <c r="D43" s="176">
        <f>IF(AND(ISNUMBER(D41),ISNUMBER(D51)),IFERROR(D41/(D51*1),""),"")</f>
        <v/>
      </c>
      <c r="E43" s="176">
        <f>IF(AND(ISNUMBER(E41),ISNUMBER(E51)),IFERROR(E41/(E51*1),""),"")</f>
        <v/>
      </c>
      <c r="F43" s="176">
        <f>IF(AND(ISNUMBER(F41),ISNUMBER(F51)),IFERROR(F41/(F51*1),""),"")</f>
        <v/>
      </c>
      <c r="G43" s="176">
        <f>IF(AND(ISNUMBER(G41),ISNUMBER(G51)),IFERROR(G41/(G51*1),""),"")</f>
        <v/>
      </c>
      <c r="H43" s="176">
        <f>IF(AND(ISNUMBER(H41),ISNUMBER(H51)),IFERROR(H41/(H51*1),""),"")</f>
        <v/>
      </c>
      <c r="I43" s="176">
        <f>IF(AND(ISNUMBER(I41),ISNUMBER(I51)),IFERROR(I41/(I51*1),""),"")</f>
        <v/>
      </c>
      <c r="J43" s="176">
        <f>IF(AND(ISNUMBER(J41),ISNUMBER(J51)),IFERROR(J41/(J51*4),""),"")</f>
        <v/>
      </c>
      <c r="K43" s="176">
        <f>IF(AND(ISNUMBER(K41),ISNUMBER(K51)),IFERROR(K41/(K51*4),""),"")</f>
        <v/>
      </c>
      <c r="L43" s="176">
        <f>IF(AND(ISNUMBER(L41),ISNUMBER(L51)),IFERROR(L41/(L51*4),""),"")</f>
        <v/>
      </c>
      <c r="M43" s="176">
        <f>IF(AND(ISNUMBER(M41),ISNUMBER(M51)),IFERROR(M41/(M51*4),""),"")</f>
        <v/>
      </c>
      <c r="N43" s="176">
        <f>IF(AND(ISNUMBER(N41),ISNUMBER(N51)),IFERROR(N41/(N51*1),""),"")</f>
        <v/>
      </c>
      <c r="O43" s="176">
        <f>IF(AND(ISNUMBER(O41),ISNUMBER(O51)),IFERROR(O41/(O51*4),""),"")</f>
        <v/>
      </c>
      <c r="P43" s="176">
        <f>IF(AND(ISNUMBER(P41),ISNUMBER(P51)),IFERROR(P41/(P51*4),""),"")</f>
        <v/>
      </c>
      <c r="Q43" s="176">
        <f>IF(AND(ISNUMBER(Q41),ISNUMBER(Q51)),IFERROR(Q41/(Q51*4),""),"")</f>
        <v/>
      </c>
      <c r="R43" s="176">
        <f>IF(AND(ISNUMBER(R41),ISNUMBER(R51)),IFERROR(R41/(R51*4),""),"")</f>
        <v/>
      </c>
      <c r="S43" s="176">
        <f>IF(AND(ISNUMBER(S41),ISNUMBER(S51)),IFERROR(S41/(S51*1),""),"")</f>
        <v/>
      </c>
      <c r="T43" s="176">
        <f>IF(AND(ISNUMBER(T41),ISNUMBER(T51)),IFERROR(T41/(T51*4),""),"")</f>
        <v/>
      </c>
      <c r="U43" s="176">
        <f>IF(AND(ISNUMBER(U41),ISNUMBER(U51)),IFERROR(U41/(U51*4),""),"")</f>
        <v/>
      </c>
      <c r="V43" s="176">
        <f>IF(AND(ISNUMBER(V41),ISNUMBER(V51)),IFERROR(V41/(V51*4),""),"")</f>
        <v/>
      </c>
      <c r="W43" s="176">
        <f>IF(AND(ISNUMBER(W41),ISNUMBER(W51)),IFERROR(W41/(W51*4),""),"")</f>
        <v/>
      </c>
      <c r="X43" s="176">
        <f>IF(AND(ISNUMBER(X41),ISNUMBER(X51)),IFERROR(X41/(X51*1),""),"")</f>
        <v/>
      </c>
      <c r="Y43" s="176">
        <f>IF(AND(ISNUMBER(Y41),ISNUMBER(Y51)),IFERROR(Y41/(Y51*4),""),"")</f>
        <v/>
      </c>
      <c r="Z43" s="176">
        <f>IF(AND(ISNUMBER(Z41),ISNUMBER(Z51)),IFERROR(Z41/(Z51*4),""),"")</f>
        <v/>
      </c>
      <c r="AA43" s="176">
        <f>IF(AND(ISNUMBER(AA41),ISNUMBER(AA51)),IFERROR(AA41/(AA51*4),""),"")</f>
        <v/>
      </c>
      <c r="AB43" s="176">
        <f>IF(AND(ISNUMBER(AB41),ISNUMBER(AB51)),IFERROR(AB41/(AB51*4),""),"")</f>
        <v/>
      </c>
      <c r="AC43" s="176">
        <f>IF(AND(ISNUMBER(AC41),ISNUMBER(AC51)),IFERROR(AC41/(AC51*1),""),"")</f>
        <v/>
      </c>
      <c r="AD43" s="176">
        <f>IF(AND(ISNUMBER(AD41),ISNUMBER(AD51)),IFERROR(AD41/(AD51*4),""),"")</f>
        <v/>
      </c>
      <c r="AE43" s="176">
        <f>IF(AND(ISNUMBER(AE41),ISNUMBER(AE51)),IFERROR(AE41/(AE51*4),""),"")</f>
        <v/>
      </c>
      <c r="AF43" s="176">
        <f>IF(AND(ISNUMBER(AF41),ISNUMBER(AF51)),IFERROR(AF41/(AF51*4),""),"")</f>
        <v/>
      </c>
      <c r="AG43" s="176">
        <f>IF(AND(ISNUMBER(AG41),ISNUMBER(AG51)),IFERROR(AG41/(AG51*4),""),"")</f>
        <v/>
      </c>
      <c r="AH43" s="176">
        <f>IF(AND(ISNUMBER(AH41),ISNUMBER(AH51)),IFERROR(AH41/(AH51*1),""),"")</f>
        <v/>
      </c>
      <c r="AI43" s="176">
        <f>IF(AND(ISNUMBER(AI41),ISNUMBER(AI51)),IFERROR(AI41/(AI51*4),""),"")</f>
        <v/>
      </c>
      <c r="AJ43" s="176">
        <f>IF(AND(ISNUMBER(AJ41),ISNUMBER(AJ51)),IFERROR(AJ41/(AJ51*4),""),"")</f>
        <v/>
      </c>
      <c r="AK43" s="176">
        <f>IF(AND(ISNUMBER(AK41),ISNUMBER(AK51)),IFERROR(AK41/(AK51*4),""),"")</f>
        <v/>
      </c>
      <c r="AL43" s="176">
        <f>IF(AND(ISNUMBER(AL41),ISNUMBER(AL51)),IFERROR(AL41/(AL51*4),""),"")</f>
        <v/>
      </c>
      <c r="AM43" s="176">
        <f>IF(AND(ISNUMBER(AM41),ISNUMBER(AM51)),IFERROR(AM41/(AM51*1),""),"")</f>
        <v/>
      </c>
      <c r="AN43" s="176">
        <f>IF(AND(ISNUMBER(AN41),ISNUMBER(AN51)),IFERROR(AN41/(AN51*4),""),"")</f>
        <v/>
      </c>
      <c r="AO43" s="176">
        <f>IF(AND(ISNUMBER(AO41),ISNUMBER(AO51)),IFERROR(AO41/(AO51*4),""),"")</f>
        <v/>
      </c>
      <c r="AP43" s="176">
        <f>IF(AND(ISNUMBER(AP41),ISNUMBER(AP51)),IFERROR(AP41/(AP51*4),""),"")</f>
        <v/>
      </c>
      <c r="AQ43" s="176">
        <f>IF(AND(ISNUMBER(AQ41),ISNUMBER(AQ51)),IFERROR(AQ41/(AQ51*4),""),"")</f>
        <v/>
      </c>
      <c r="AR43" s="176">
        <f>IF(AND(ISNUMBER(AR41),ISNUMBER(AR51)),IFERROR(AR41/(AR51*1),""),"")</f>
        <v/>
      </c>
      <c r="AS43" s="176">
        <f>IF(AND(ISNUMBER(AS41),ISNUMBER(AS51)),IFERROR(AS41/(AS51*4),""),"")</f>
        <v/>
      </c>
      <c r="AT43" s="176">
        <f>IF(AND(ISNUMBER(AT41),ISNUMBER(AT51)),IFERROR(AT41/(AT51*4),""),"")</f>
        <v/>
      </c>
      <c r="AU43" s="176">
        <f>IF(AND(ISNUMBER(AU41),ISNUMBER(AU51)),IFERROR(AU41/(AU51*4),""),"")</f>
        <v/>
      </c>
      <c r="AV43" s="176">
        <f>IF(AND(ISNUMBER(AV41),ISNUMBER(AV51)),IFERROR(AV41/(AV51*4),""),"")</f>
        <v/>
      </c>
      <c r="AW43" s="176">
        <f>IF(AND(ISNUMBER(AW41),ISNUMBER(AW51)),IFERROR(AW41/(AW51*1),""),"")</f>
        <v/>
      </c>
      <c r="AX43" s="176">
        <f>IF(AND(ISNUMBER(AX41),ISNUMBER(AX51)),IFERROR(AX41/(AX51*4),""),"")</f>
        <v/>
      </c>
      <c r="AY43" s="176">
        <f>IF(AND(ISNUMBER(AY41),ISNUMBER(AY51)),IFERROR(AY41/(AY51*4),""),"")</f>
        <v/>
      </c>
      <c r="AZ43" s="176">
        <f>IF(AND(ISNUMBER(AZ41),ISNUMBER(AZ51)),IFERROR(AZ41/(AZ51*4),""),"")</f>
        <v/>
      </c>
      <c r="BA43" s="176">
        <f>IF(AND(ISNUMBER(BA41),ISNUMBER(BA51)),IFERROR(BA41/(BA51*4),""),"")</f>
        <v/>
      </c>
      <c r="BB43" s="176">
        <f>IF(AND(ISNUMBER(BB41),ISNUMBER(BB51)),IFERROR(BB41/(BB51*1),""),"")</f>
        <v/>
      </c>
      <c r="BC43" s="176">
        <f>IF(AND(ISNUMBER(BC41),ISNUMBER(BC51)),IFERROR(BC41/(BC51*4),""),"")</f>
        <v/>
      </c>
      <c r="BD43" s="176">
        <f>IF(AND(ISNUMBER(BD41),ISNUMBER(BD51)),IFERROR(BD41/(BD51*4),""),"")</f>
        <v/>
      </c>
      <c r="BE43" s="176">
        <f>IF(AND(ISNUMBER(BE41),ISNUMBER(BE51)),IFERROR(BE41/(BE51*4),""),"")</f>
        <v/>
      </c>
      <c r="BF43" s="176">
        <f>IF(AND(ISNUMBER(BF41),ISNUMBER(BF51)),IFERROR(BF41/(BF51*4),""),"")</f>
        <v/>
      </c>
      <c r="BG43" s="176">
        <f>IF(AND(ISNUMBER(BG41),ISNUMBER(BG51)),IFERROR(BG41/(BG51*1),""),"")</f>
        <v/>
      </c>
      <c r="BH43" s="176">
        <f>IF(AND(ISNUMBER(BH41),ISNUMBER(BH51)),IFERROR(BH41/(BH51*4),""),"")</f>
        <v/>
      </c>
      <c r="BI43" s="176">
        <f>IF(AND(ISNUMBER(BI41),ISNUMBER(BI51)),IFERROR(BI41/(BI51*4),""),"")</f>
        <v/>
      </c>
      <c r="BJ43" s="176">
        <f>IF(AND(ISNUMBER(BJ41),ISNUMBER(BJ51)),IFERROR(BJ41/(BJ51*4),""),"")</f>
        <v/>
      </c>
      <c r="BK43" s="176">
        <f>IF(AND(ISNUMBER(BK41),ISNUMBER(BK51)),IFERROR(BK41/(BK51*4),""),"")</f>
        <v/>
      </c>
      <c r="BL43" s="176">
        <f>IF(AND(ISNUMBER(BL41),ISNUMBER(BL51)),IFERROR(BL41/(BL51*1),""),"")</f>
        <v/>
      </c>
      <c r="BM43" s="176">
        <f>IF(AND(ISNUMBER(BM41),ISNUMBER(BM51)),IFERROR(BM41/(BM51*4),""),"")</f>
        <v/>
      </c>
      <c r="BN43" s="176">
        <f>IF(AND(ISNUMBER(BN41),ISNUMBER(BN51)),IFERROR(BN41/(BN51*4),""),"")</f>
        <v/>
      </c>
      <c r="BO43" s="176">
        <f>IF(AND(ISNUMBER(BO41),ISNUMBER(BO51)),IFERROR(BO41/(BO51*4),""),"")</f>
        <v/>
      </c>
      <c r="BP43" s="176">
        <f>IF(AND(ISNUMBER(BP41),ISNUMBER(BP51)),IFERROR(BP41/(BP51*4),""),"")</f>
        <v/>
      </c>
      <c r="BQ43" s="176">
        <f>IF(AND(ISNUMBER(BQ41),ISNUMBER(BQ51)),IFERROR(BQ41/(BQ51*1),""),"")</f>
        <v/>
      </c>
      <c r="BR43" s="176">
        <f>IF(AND(ISNUMBER(BR41),ISNUMBER(BR51)),IFERROR(BR41/(BR51*4),""),"")</f>
        <v/>
      </c>
      <c r="BS43" s="176">
        <f>IF(AND(ISNUMBER(BS41),ISNUMBER(BS51)),IFERROR(BS41/(BS51*4),""),"")</f>
        <v/>
      </c>
      <c r="BT43" s="176">
        <f>IF(AND(ISNUMBER(BT41),ISNUMBER(BT51)),IFERROR(BT41/(BT51*4),""),"")</f>
        <v/>
      </c>
      <c r="BU43" s="176">
        <f>IF(AND(ISNUMBER(BU41),ISNUMBER(BU51)),IFERROR(BU41/(BU51*4),""),"")</f>
        <v/>
      </c>
      <c r="BV43" s="176">
        <f>IF(AND(ISNUMBER(BV41),ISNUMBER(BV51)),IFERROR(BV41/(BV51*1),""),"")</f>
        <v/>
      </c>
      <c r="BW43" s="176">
        <f>IF(AND(ISNUMBER(BW41),ISNUMBER(BW51)),IFERROR(BW41/(BW51*4),""),"")</f>
        <v/>
      </c>
      <c r="BX43" s="176">
        <f>IF(AND(ISNUMBER(BX41),ISNUMBER(BX51)),IFERROR(BX41/(BX51*4),""),"")</f>
        <v/>
      </c>
      <c r="BY43" s="37" t="n"/>
      <c r="BZ43" s="37" t="n"/>
      <c r="CA43" s="37" t="n"/>
      <c r="CB43" s="37" t="n"/>
      <c r="CC43" s="37" t="n"/>
      <c r="CD43" s="37" t="n"/>
      <c r="CE43" s="37" t="n"/>
      <c r="CF43" s="20" t="inlineStr">
        <is>
          <t>12-month backlog over quarterly sales × 4 (annual columns: full-year sales). &gt;1.0x = next-twelve-month sales largely covered.</t>
        </is>
      </c>
      <c r="CN43" s="26" t="inlineStr">
        <is>
          <t xml:space="preserve">  2029E</t>
        </is>
      </c>
      <c r="CO43" s="35">
        <f>CP43+$CO$40</f>
        <v/>
      </c>
      <c r="CP43" s="45" t="n">
        <v>0.04</v>
      </c>
      <c r="CQ43" s="35">
        <f>CP43+$CQ$40</f>
        <v/>
      </c>
    </row>
    <row r="44" ht="15" customHeight="1">
      <c r="B44" s="26" t="inlineStr">
        <is>
          <t xml:space="preserve">  Original Equipment Manufacturer (OE) — sales</t>
        </is>
      </c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174" t="n">
        <v>327.3</v>
      </c>
      <c r="AO44" s="174" t="n">
        <v>335.7</v>
      </c>
      <c r="AP44" s="174" t="n">
        <v>309.8</v>
      </c>
      <c r="AQ44" s="174" t="n">
        <v>313.8</v>
      </c>
      <c r="AR44" s="174" t="n">
        <v>1286.6</v>
      </c>
      <c r="AS44" s="174" t="n">
        <v>287</v>
      </c>
      <c r="AT44" s="174" t="n">
        <v>227.3</v>
      </c>
      <c r="AU44" s="174" t="n">
        <v>303.1</v>
      </c>
      <c r="AV44" s="174" t="n">
        <v>321.2</v>
      </c>
      <c r="AW44" s="174" t="n">
        <v>1138.6</v>
      </c>
      <c r="AX44" s="174" t="n">
        <v>286.8</v>
      </c>
      <c r="AY44" s="174" t="n">
        <v>320.4</v>
      </c>
      <c r="AZ44" s="174" t="n">
        <v>286.9</v>
      </c>
      <c r="BA44" s="174" t="n">
        <v>299</v>
      </c>
      <c r="BB44" s="174" t="n">
        <v>1193</v>
      </c>
      <c r="BC44" s="174" t="n">
        <v>292</v>
      </c>
      <c r="BD44" s="174" t="n">
        <v>259</v>
      </c>
      <c r="BE44" s="174" t="n">
        <v>264</v>
      </c>
      <c r="BF44" s="174" t="n">
        <v>280</v>
      </c>
      <c r="BG44" s="174" t="n">
        <v>1095</v>
      </c>
      <c r="BH44" s="174" t="n">
        <v>282</v>
      </c>
      <c r="BI44" s="174" t="n">
        <v>325</v>
      </c>
      <c r="BJ44" s="174" t="n">
        <v>302</v>
      </c>
      <c r="BK44" s="174" t="n">
        <v>326</v>
      </c>
      <c r="BL44" s="174" t="n">
        <v>1235</v>
      </c>
      <c r="BM44" s="174" t="n">
        <v>310</v>
      </c>
      <c r="BN44" s="174" t="n">
        <v>310</v>
      </c>
      <c r="BO44" s="174" t="n">
        <v>349</v>
      </c>
      <c r="BP44" s="174" t="n">
        <v>339</v>
      </c>
      <c r="BQ44" s="174" t="n">
        <v>1308</v>
      </c>
      <c r="BR44" s="174" t="n">
        <v>322</v>
      </c>
      <c r="BS44" s="174" t="n">
        <v>353</v>
      </c>
      <c r="BT44" s="174" t="n">
        <v>367</v>
      </c>
      <c r="BU44" s="174" t="n">
        <v>351</v>
      </c>
      <c r="BV44" s="174" t="n">
        <v>1393</v>
      </c>
      <c r="BW44" s="174" t="n">
        <v>381</v>
      </c>
      <c r="BX44" s="174" t="n">
        <v>411</v>
      </c>
      <c r="BY44" s="178">
        <f>BT44*(1+BY45)</f>
        <v/>
      </c>
      <c r="BZ44" s="178">
        <f>BU44*(1+BZ45)</f>
        <v/>
      </c>
      <c r="CA44" s="178">
        <f>SUM(BW44,BX44,BY44,BZ44)</f>
        <v/>
      </c>
      <c r="CB44" s="178">
        <f>CA44*(1+CB45)</f>
        <v/>
      </c>
      <c r="CC44" s="178">
        <f>CB44*(1+CC45)</f>
        <v/>
      </c>
      <c r="CD44" s="178">
        <f>CC44*(1+CD45)</f>
        <v/>
      </c>
      <c r="CE44" s="178">
        <f>CD44*(1+CE45)</f>
        <v/>
      </c>
      <c r="CF44" s="20" t="inlineStr">
        <is>
          <t>Product-line sales as published (from 2019, GE Transportation merger). Q3/Q4-26E: prior-year quarter × (1 + growth). 2027E+: prior year × (1 + scenario lever).</t>
        </is>
      </c>
      <c r="CH44" s="21">
        <f>IFERROR((CE44/BV44)^(1/5)-1,"n/m")</f>
        <v/>
      </c>
      <c r="CI44" s="21">
        <f>IFERROR((BV44/AW44)^(1/5)-1,"n/m")</f>
        <v/>
      </c>
      <c r="CJ44" s="21">
        <f>IFERROR((BV44/X44)^(1/10)-1,"n/m")</f>
        <v/>
      </c>
      <c r="CK44" s="21">
        <f>IFERROR((BV44/C44)^(1/19)-1,"n/m")</f>
        <v/>
      </c>
      <c r="CN44" s="26" t="inlineStr">
        <is>
          <t xml:space="preserve">  2030E</t>
        </is>
      </c>
      <c r="CO44" s="35">
        <f>CP44+$CO$40</f>
        <v/>
      </c>
      <c r="CP44" s="45" t="n">
        <v>0.04</v>
      </c>
      <c r="CQ44" s="35">
        <f>CP44+$CQ$40</f>
        <v/>
      </c>
    </row>
    <row r="45" ht="15" customHeight="1">
      <c r="B45" s="23" t="inlineStr">
        <is>
          <t xml:space="preserve">    y/y %</t>
        </is>
      </c>
      <c r="D45" s="179">
        <f>IF(AND(ISNUMBER(D44),ISNUMBER(C44)),IFERROR(D44/C44-1,""),"")</f>
        <v/>
      </c>
      <c r="E45" s="179">
        <f>IF(AND(ISNUMBER(E44),ISNUMBER(D44)),IFERROR(E44/D44-1,""),"")</f>
        <v/>
      </c>
      <c r="F45" s="179">
        <f>IF(AND(ISNUMBER(F44),ISNUMBER(E44)),IFERROR(F44/E44-1,""),"")</f>
        <v/>
      </c>
      <c r="G45" s="179">
        <f>IF(AND(ISNUMBER(G44),ISNUMBER(F44)),IFERROR(G44/F44-1,""),"")</f>
        <v/>
      </c>
      <c r="H45" s="179">
        <f>IF(AND(ISNUMBER(H44),ISNUMBER(G44)),IFERROR(H44/G44-1,""),"")</f>
        <v/>
      </c>
      <c r="I45" s="179">
        <f>IF(AND(ISNUMBER(I44),ISNUMBER(H44)),IFERROR(I44/H44-1,""),"")</f>
        <v/>
      </c>
      <c r="N45" s="179">
        <f>IF(AND(ISNUMBER(N44),ISNUMBER(I44)),IFERROR(N44/I44-1,""),"")</f>
        <v/>
      </c>
      <c r="O45" s="179">
        <f>IF(AND(ISNUMBER(O44),ISNUMBER(J44)),IFERROR(O44/J44-1,""),"")</f>
        <v/>
      </c>
      <c r="P45" s="179">
        <f>IF(AND(ISNUMBER(P44),ISNUMBER(K44)),IFERROR(P44/K44-1,""),"")</f>
        <v/>
      </c>
      <c r="Q45" s="179">
        <f>IF(AND(ISNUMBER(Q44),ISNUMBER(L44)),IFERROR(Q44/L44-1,""),"")</f>
        <v/>
      </c>
      <c r="R45" s="179">
        <f>IF(AND(ISNUMBER(R44),ISNUMBER(M44)),IFERROR(R44/M44-1,""),"")</f>
        <v/>
      </c>
      <c r="S45" s="179">
        <f>IF(AND(ISNUMBER(S44),ISNUMBER(N44)),IFERROR(S44/N44-1,""),"")</f>
        <v/>
      </c>
      <c r="T45" s="179">
        <f>IF(AND(ISNUMBER(T44),ISNUMBER(O44)),IFERROR(T44/O44-1,""),"")</f>
        <v/>
      </c>
      <c r="U45" s="179">
        <f>IF(AND(ISNUMBER(U44),ISNUMBER(P44)),IFERROR(U44/P44-1,""),"")</f>
        <v/>
      </c>
      <c r="V45" s="179">
        <f>IF(AND(ISNUMBER(V44),ISNUMBER(Q44)),IFERROR(V44/Q44-1,""),"")</f>
        <v/>
      </c>
      <c r="W45" s="179">
        <f>IF(AND(ISNUMBER(W44),ISNUMBER(R44)),IFERROR(W44/R44-1,""),"")</f>
        <v/>
      </c>
      <c r="X45" s="179">
        <f>IF(AND(ISNUMBER(X44),ISNUMBER(S44)),IFERROR(X44/S44-1,""),"")</f>
        <v/>
      </c>
      <c r="Y45" s="179">
        <f>IF(AND(ISNUMBER(Y44),ISNUMBER(T44)),IFERROR(Y44/T44-1,""),"")</f>
        <v/>
      </c>
      <c r="Z45" s="179">
        <f>IF(AND(ISNUMBER(Z44),ISNUMBER(U44)),IFERROR(Z44/U44-1,""),"")</f>
        <v/>
      </c>
      <c r="AA45" s="179">
        <f>IF(AND(ISNUMBER(AA44),ISNUMBER(V44)),IFERROR(AA44/V44-1,""),"")</f>
        <v/>
      </c>
      <c r="AB45" s="179">
        <f>IF(AND(ISNUMBER(AB44),ISNUMBER(W44)),IFERROR(AB44/W44-1,""),"")</f>
        <v/>
      </c>
      <c r="AC45" s="179">
        <f>IF(AND(ISNUMBER(AC44),ISNUMBER(X44)),IFERROR(AC44/X44-1,""),"")</f>
        <v/>
      </c>
      <c r="AD45" s="179">
        <f>IF(AND(ISNUMBER(AD44),ISNUMBER(Y44)),IFERROR(AD44/Y44-1,""),"")</f>
        <v/>
      </c>
      <c r="AE45" s="179">
        <f>IF(AND(ISNUMBER(AE44),ISNUMBER(Z44)),IFERROR(AE44/Z44-1,""),"")</f>
        <v/>
      </c>
      <c r="AF45" s="179">
        <f>IF(AND(ISNUMBER(AF44),ISNUMBER(AA44)),IFERROR(AF44/AA44-1,""),"")</f>
        <v/>
      </c>
      <c r="AG45" s="179">
        <f>IF(AND(ISNUMBER(AG44),ISNUMBER(AB44)),IFERROR(AG44/AB44-1,""),"")</f>
        <v/>
      </c>
      <c r="AH45" s="179">
        <f>IF(AND(ISNUMBER(AH44),ISNUMBER(AC44)),IFERROR(AH44/AC44-1,""),"")</f>
        <v/>
      </c>
      <c r="AI45" s="179">
        <f>IF(AND(ISNUMBER(AI44),ISNUMBER(AD44)),IFERROR(AI44/AD44-1,""),"")</f>
        <v/>
      </c>
      <c r="AJ45" s="179">
        <f>IF(AND(ISNUMBER(AJ44),ISNUMBER(AE44)),IFERROR(AJ44/AE44-1,""),"")</f>
        <v/>
      </c>
      <c r="AK45" s="179">
        <f>IF(AND(ISNUMBER(AK44),ISNUMBER(AF44)),IFERROR(AK44/AF44-1,""),"")</f>
        <v/>
      </c>
      <c r="AL45" s="179">
        <f>IF(AND(ISNUMBER(AL44),ISNUMBER(AG44)),IFERROR(AL44/AG44-1,""),"")</f>
        <v/>
      </c>
      <c r="AM45" s="179">
        <f>IF(AND(ISNUMBER(AM44),ISNUMBER(AH44)),IFERROR(AM44/AH44-1,""),"")</f>
        <v/>
      </c>
      <c r="AN45" s="179">
        <f>IF(AND(ISNUMBER(AN44),ISNUMBER(AI44)),IFERROR(AN44/AI44-1,""),"")</f>
        <v/>
      </c>
      <c r="AO45" s="179">
        <f>IF(AND(ISNUMBER(AO44),ISNUMBER(AJ44)),IFERROR(AO44/AJ44-1,""),"")</f>
        <v/>
      </c>
      <c r="AP45" s="179">
        <f>IF(AND(ISNUMBER(AP44),ISNUMBER(AK44)),IFERROR(AP44/AK44-1,""),"")</f>
        <v/>
      </c>
      <c r="AQ45" s="179">
        <f>IF(AND(ISNUMBER(AQ44),ISNUMBER(AL44)),IFERROR(AQ44/AL44-1,""),"")</f>
        <v/>
      </c>
      <c r="AR45" s="179">
        <f>IF(AND(ISNUMBER(AR44),ISNUMBER(AM44)),IFERROR(AR44/AM44-1,""),"")</f>
        <v/>
      </c>
      <c r="AS45" s="179">
        <f>IF(AND(ISNUMBER(AS44),ISNUMBER(AN44)),IFERROR(AS44/AN44-1,""),"")</f>
        <v/>
      </c>
      <c r="AT45" s="179">
        <f>IF(AND(ISNUMBER(AT44),ISNUMBER(AO44)),IFERROR(AT44/AO44-1,""),"")</f>
        <v/>
      </c>
      <c r="AU45" s="179">
        <f>IF(AND(ISNUMBER(AU44),ISNUMBER(AP44)),IFERROR(AU44/AP44-1,""),"")</f>
        <v/>
      </c>
      <c r="AV45" s="179">
        <f>IF(AND(ISNUMBER(AV44),ISNUMBER(AQ44)),IFERROR(AV44/AQ44-1,""),"")</f>
        <v/>
      </c>
      <c r="AW45" s="179">
        <f>IF(AND(ISNUMBER(AW44),ISNUMBER(AR44)),IFERROR(AW44/AR44-1,""),"")</f>
        <v/>
      </c>
      <c r="AX45" s="179">
        <f>IF(AND(ISNUMBER(AX44),ISNUMBER(AS44)),IFERROR(AX44/AS44-1,""),"")</f>
        <v/>
      </c>
      <c r="AY45" s="179">
        <f>IF(AND(ISNUMBER(AY44),ISNUMBER(AT44)),IFERROR(AY44/AT44-1,""),"")</f>
        <v/>
      </c>
      <c r="AZ45" s="179">
        <f>IF(AND(ISNUMBER(AZ44),ISNUMBER(AU44)),IFERROR(AZ44/AU44-1,""),"")</f>
        <v/>
      </c>
      <c r="BA45" s="179">
        <f>IF(AND(ISNUMBER(BA44),ISNUMBER(AV44)),IFERROR(BA44/AV44-1,""),"")</f>
        <v/>
      </c>
      <c r="BB45" s="179">
        <f>IF(AND(ISNUMBER(BB44),ISNUMBER(AW44)),IFERROR(BB44/AW44-1,""),"")</f>
        <v/>
      </c>
      <c r="BC45" s="179">
        <f>IF(AND(ISNUMBER(BC44),ISNUMBER(AX44)),IFERROR(BC44/AX44-1,""),"")</f>
        <v/>
      </c>
      <c r="BD45" s="179">
        <f>IF(AND(ISNUMBER(BD44),ISNUMBER(AY44)),IFERROR(BD44/AY44-1,""),"")</f>
        <v/>
      </c>
      <c r="BE45" s="179">
        <f>IF(AND(ISNUMBER(BE44),ISNUMBER(AZ44)),IFERROR(BE44/AZ44-1,""),"")</f>
        <v/>
      </c>
      <c r="BF45" s="179">
        <f>IF(AND(ISNUMBER(BF44),ISNUMBER(BA44)),IFERROR(BF44/BA44-1,""),"")</f>
        <v/>
      </c>
      <c r="BG45" s="179">
        <f>IF(AND(ISNUMBER(BG44),ISNUMBER(BB44)),IFERROR(BG44/BB44-1,""),"")</f>
        <v/>
      </c>
      <c r="BH45" s="179">
        <f>IF(AND(ISNUMBER(BH44),ISNUMBER(BC44)),IFERROR(BH44/BC44-1,""),"")</f>
        <v/>
      </c>
      <c r="BI45" s="179">
        <f>IF(AND(ISNUMBER(BI44),ISNUMBER(BD44)),IFERROR(BI44/BD44-1,""),"")</f>
        <v/>
      </c>
      <c r="BJ45" s="179">
        <f>IF(AND(ISNUMBER(BJ44),ISNUMBER(BE44)),IFERROR(BJ44/BE44-1,""),"")</f>
        <v/>
      </c>
      <c r="BK45" s="179">
        <f>IF(AND(ISNUMBER(BK44),ISNUMBER(BF44)),IFERROR(BK44/BF44-1,""),"")</f>
        <v/>
      </c>
      <c r="BL45" s="179">
        <f>IF(AND(ISNUMBER(BL44),ISNUMBER(BG44)),IFERROR(BL44/BG44-1,""),"")</f>
        <v/>
      </c>
      <c r="BM45" s="179">
        <f>IF(AND(ISNUMBER(BM44),ISNUMBER(BH44)),IFERROR(BM44/BH44-1,""),"")</f>
        <v/>
      </c>
      <c r="BN45" s="179">
        <f>IF(AND(ISNUMBER(BN44),ISNUMBER(BI44)),IFERROR(BN44/BI44-1,""),"")</f>
        <v/>
      </c>
      <c r="BO45" s="179">
        <f>IF(AND(ISNUMBER(BO44),ISNUMBER(BJ44)),IFERROR(BO44/BJ44-1,""),"")</f>
        <v/>
      </c>
      <c r="BP45" s="179">
        <f>IF(AND(ISNUMBER(BP44),ISNUMBER(BK44)),IFERROR(BP44/BK44-1,""),"")</f>
        <v/>
      </c>
      <c r="BQ45" s="179">
        <f>IF(AND(ISNUMBER(BQ44),ISNUMBER(BL44)),IFERROR(BQ44/BL44-1,""),"")</f>
        <v/>
      </c>
      <c r="BR45" s="179">
        <f>IF(AND(ISNUMBER(BR44),ISNUMBER(BM44)),IFERROR(BR44/BM44-1,""),"")</f>
        <v/>
      </c>
      <c r="BS45" s="179">
        <f>IF(AND(ISNUMBER(BS44),ISNUMBER(BN44)),IFERROR(BS44/BN44-1,""),"")</f>
        <v/>
      </c>
      <c r="BT45" s="179">
        <f>IF(AND(ISNUMBER(BT44),ISNUMBER(BO44)),IFERROR(BT44/BO44-1,""),"")</f>
        <v/>
      </c>
      <c r="BU45" s="179">
        <f>IF(AND(ISNUMBER(BU44),ISNUMBER(BP44)),IFERROR(BU44/BP44-1,""),"")</f>
        <v/>
      </c>
      <c r="BV45" s="179">
        <f>IF(AND(ISNUMBER(BV44),ISNUMBER(BQ44)),IFERROR(BV44/BQ44-1,""),"")</f>
        <v/>
      </c>
      <c r="BW45" s="179">
        <f>IF(AND(ISNUMBER(BW44),ISNUMBER(BR44)),IFERROR(BW44/BR44-1,""),"")</f>
        <v/>
      </c>
      <c r="BX45" s="179">
        <f>IF(AND(ISNUMBER(BX44),ISNUMBER(BS44)),IFERROR(BX44/BS44-1,""),"")</f>
        <v/>
      </c>
      <c r="BY45" s="180">
        <f>BY46+$BY$109</f>
        <v/>
      </c>
      <c r="BZ45" s="180">
        <f>BZ46+$BY$109</f>
        <v/>
      </c>
      <c r="CA45" s="180">
        <f>IF(AND(ISNUMBER(CA44),ISNUMBER(BV44)),IFERROR(CA44/BV44-1,""),"")</f>
        <v/>
      </c>
      <c r="CB45" s="180">
        <f>CHOOSE(MATCH($CF$2,{"Bull","Base","Bear"},0),$CO$51,$CP$51,$CQ$51)</f>
        <v/>
      </c>
      <c r="CC45" s="180">
        <f>CHOOSE(MATCH($CF$2,{"Bull","Base","Bear"},0),$CO$52,$CP$52,$CQ$52)</f>
        <v/>
      </c>
      <c r="CD45" s="180">
        <f>CHOOSE(MATCH($CF$2,{"Bull","Base","Bear"},0),$CO$53,$CP$53,$CQ$53)</f>
        <v/>
      </c>
      <c r="CE45" s="180">
        <f>CHOOSE(MATCH($CF$2,{"Bull","Base","Bear"},0),$CO$54,$CP$54,$CQ$54)</f>
        <v/>
      </c>
      <c r="CF45" s="6" t="inlineStr">
        <is>
          <t>Q3/Q4-26E: growth input (row below) + revenue-outlook calibration Δ (Group block). 2027E–2030E: scenario lever (Bull/Base/Bear table →).</t>
        </is>
      </c>
      <c r="CN45" s="16" t="inlineStr">
        <is>
          <t>FRT_DIG (Freight Digital Intelligence sales y/y)</t>
        </is>
      </c>
      <c r="CO45" s="44" t="n">
        <v>0.03</v>
      </c>
      <c r="CP45" s="22" t="inlineStr">
        <is>
          <t>Δ →</t>
        </is>
      </c>
      <c r="CQ45" s="44" t="n">
        <v>-0.03</v>
      </c>
      <c r="CR45" s="14" t="inlineStr">
        <is>
          <t>PTC / train control, signalling (Frauscher axle counters), inspection (Inspection Technologies), software; organic high-single digit.</t>
        </is>
      </c>
    </row>
    <row r="46" ht="15" customHeight="1">
      <c r="B46" s="26" t="inlineStr">
        <is>
          <t xml:space="preserve">    Q3/Q4-26E growth input before revenue calibration</t>
        </is>
      </c>
      <c r="C46" s="38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8" t="n"/>
      <c r="M46" s="38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  <c r="AJ46" s="38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  <c r="BB46" s="38" t="n"/>
      <c r="BC46" s="38" t="n"/>
      <c r="BD46" s="38" t="n"/>
      <c r="BE46" s="38" t="n"/>
      <c r="BF46" s="38" t="n"/>
      <c r="BG46" s="38" t="n"/>
      <c r="BH46" s="38" t="n"/>
      <c r="BI46" s="38" t="n"/>
      <c r="BJ46" s="38" t="n"/>
      <c r="BK46" s="38" t="n"/>
      <c r="BL46" s="38" t="n"/>
      <c r="BM46" s="38" t="n"/>
      <c r="BN46" s="38" t="n"/>
      <c r="BO46" s="38" t="n"/>
      <c r="BP46" s="38" t="n"/>
      <c r="BQ46" s="38" t="n"/>
      <c r="BR46" s="38" t="n"/>
      <c r="BS46" s="38" t="n"/>
      <c r="BT46" s="38" t="n"/>
      <c r="BU46" s="38" t="n"/>
      <c r="BV46" s="38" t="n"/>
      <c r="BW46" s="38" t="n"/>
      <c r="BX46" s="38" t="n"/>
      <c r="BY46" s="181" t="n">
        <v>0.145</v>
      </c>
      <c r="BZ46" s="181" t="n">
        <v>0.15</v>
      </c>
      <c r="CA46" s="25" t="n"/>
      <c r="CB46" s="49" t="n"/>
      <c r="CC46" s="49" t="n"/>
      <c r="CD46" s="49" t="n"/>
      <c r="CE46" s="49" t="n"/>
      <c r="CF46" s="20" t="inlineStr">
        <is>
          <t>Input = 5% organic + ~half of Dellner (closed 10-Feb-26; $69m of sales in Q2/26) ≈ $35m per quarter.</t>
        </is>
      </c>
      <c r="CN46" s="26" t="inlineStr">
        <is>
          <t xml:space="preserve">  2027E</t>
        </is>
      </c>
      <c r="CO46" s="35">
        <f>CP46+$CO$45</f>
        <v/>
      </c>
      <c r="CP46" s="45" t="n">
        <v>0.08</v>
      </c>
      <c r="CQ46" s="35">
        <f>CP46+$CQ$45</f>
        <v/>
      </c>
    </row>
    <row r="47" ht="15" customHeight="1">
      <c r="B47" s="26" t="inlineStr">
        <is>
          <t xml:space="preserve">  Aftermarket — sales</t>
        </is>
      </c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174" t="n">
        <v>350.8</v>
      </c>
      <c r="AO47" s="174" t="n">
        <v>374.3</v>
      </c>
      <c r="AP47" s="174" t="n">
        <v>359.4</v>
      </c>
      <c r="AQ47" s="174" t="n">
        <v>387.5</v>
      </c>
      <c r="AR47" s="174" t="n">
        <v>1472</v>
      </c>
      <c r="AS47" s="174" t="n">
        <v>341.9</v>
      </c>
      <c r="AT47" s="174" t="n">
        <v>305.4</v>
      </c>
      <c r="AU47" s="174" t="n">
        <v>324.7</v>
      </c>
      <c r="AV47" s="174" t="n">
        <v>363.2</v>
      </c>
      <c r="AW47" s="174" t="n">
        <v>1335.2</v>
      </c>
      <c r="AX47" s="174" t="n">
        <v>360.1</v>
      </c>
      <c r="AY47" s="174" t="n">
        <v>356</v>
      </c>
      <c r="AZ47" s="174" t="n">
        <v>325</v>
      </c>
      <c r="BA47" s="174" t="n">
        <v>349</v>
      </c>
      <c r="BB47" s="174" t="n">
        <v>1390</v>
      </c>
      <c r="BC47" s="174" t="n">
        <v>313</v>
      </c>
      <c r="BD47" s="174" t="n">
        <v>299</v>
      </c>
      <c r="BE47" s="174" t="n">
        <v>286</v>
      </c>
      <c r="BF47" s="174" t="n">
        <v>357</v>
      </c>
      <c r="BG47" s="174" t="n">
        <v>1255</v>
      </c>
      <c r="BH47" s="174" t="n">
        <v>346</v>
      </c>
      <c r="BI47" s="174" t="n">
        <v>374</v>
      </c>
      <c r="BJ47" s="174" t="n">
        <v>358</v>
      </c>
      <c r="BK47" s="174" t="n">
        <v>402</v>
      </c>
      <c r="BL47" s="174" t="n">
        <v>1480</v>
      </c>
      <c r="BM47" s="174" t="n">
        <v>363</v>
      </c>
      <c r="BN47" s="174" t="n">
        <v>414</v>
      </c>
      <c r="BO47" s="174" t="n">
        <v>384</v>
      </c>
      <c r="BP47" s="174" t="n">
        <v>450</v>
      </c>
      <c r="BQ47" s="174" t="n">
        <v>1611</v>
      </c>
      <c r="BR47" s="174" t="n">
        <v>387</v>
      </c>
      <c r="BS47" s="174" t="n">
        <v>434</v>
      </c>
      <c r="BT47" s="174" t="n">
        <v>426</v>
      </c>
      <c r="BU47" s="174" t="n">
        <v>491</v>
      </c>
      <c r="BV47" s="174" t="n">
        <v>1738</v>
      </c>
      <c r="BW47" s="174" t="n">
        <v>454</v>
      </c>
      <c r="BX47" s="174" t="n">
        <v>525</v>
      </c>
      <c r="BY47" s="178">
        <f>BT47*(1+BY48)</f>
        <v/>
      </c>
      <c r="BZ47" s="178">
        <f>BU47*(1+BZ48)</f>
        <v/>
      </c>
      <c r="CA47" s="178">
        <f>SUM(BW47,BX47,BY47,BZ47)</f>
        <v/>
      </c>
      <c r="CB47" s="178">
        <f>CA47*(1+CB48)</f>
        <v/>
      </c>
      <c r="CC47" s="178">
        <f>CB47*(1+CC48)</f>
        <v/>
      </c>
      <c r="CD47" s="178">
        <f>CC47*(1+CD48)</f>
        <v/>
      </c>
      <c r="CE47" s="178">
        <f>CD47*(1+CE48)</f>
        <v/>
      </c>
      <c r="CF47" s="20" t="inlineStr">
        <is>
          <t>Product-line sales as published (from 2019, GE Transportation merger). Q3/Q4-26E: prior-year quarter × (1 + growth). 2027E+: prior year × (1 + scenario lever).</t>
        </is>
      </c>
      <c r="CH47" s="21">
        <f>IFERROR((CE47/BV47)^(1/5)-1,"n/m")</f>
        <v/>
      </c>
      <c r="CI47" s="21">
        <f>IFERROR((BV47/AW47)^(1/5)-1,"n/m")</f>
        <v/>
      </c>
      <c r="CJ47" s="21">
        <f>IFERROR((BV47/X47)^(1/10)-1,"n/m")</f>
        <v/>
      </c>
      <c r="CK47" s="21">
        <f>IFERROR((BV47/C47)^(1/19)-1,"n/m")</f>
        <v/>
      </c>
      <c r="CN47" s="26" t="inlineStr">
        <is>
          <t xml:space="preserve">  2028E</t>
        </is>
      </c>
      <c r="CO47" s="35">
        <f>CP47+$CO$45</f>
        <v/>
      </c>
      <c r="CP47" s="45" t="n">
        <v>0.08</v>
      </c>
      <c r="CQ47" s="35">
        <f>CP47+$CQ$45</f>
        <v/>
      </c>
    </row>
    <row r="48" ht="15" customHeight="1">
      <c r="B48" s="23" t="inlineStr">
        <is>
          <t xml:space="preserve">    y/y %</t>
        </is>
      </c>
      <c r="D48" s="179">
        <f>IF(AND(ISNUMBER(D47),ISNUMBER(C47)),IFERROR(D47/C47-1,""),"")</f>
        <v/>
      </c>
      <c r="E48" s="179">
        <f>IF(AND(ISNUMBER(E47),ISNUMBER(D47)),IFERROR(E47/D47-1,""),"")</f>
        <v/>
      </c>
      <c r="F48" s="179">
        <f>IF(AND(ISNUMBER(F47),ISNUMBER(E47)),IFERROR(F47/E47-1,""),"")</f>
        <v/>
      </c>
      <c r="G48" s="179">
        <f>IF(AND(ISNUMBER(G47),ISNUMBER(F47)),IFERROR(G47/F47-1,""),"")</f>
        <v/>
      </c>
      <c r="H48" s="179">
        <f>IF(AND(ISNUMBER(H47),ISNUMBER(G47)),IFERROR(H47/G47-1,""),"")</f>
        <v/>
      </c>
      <c r="I48" s="179">
        <f>IF(AND(ISNUMBER(I47),ISNUMBER(H47)),IFERROR(I47/H47-1,""),"")</f>
        <v/>
      </c>
      <c r="N48" s="179">
        <f>IF(AND(ISNUMBER(N47),ISNUMBER(I47)),IFERROR(N47/I47-1,""),"")</f>
        <v/>
      </c>
      <c r="O48" s="179">
        <f>IF(AND(ISNUMBER(O47),ISNUMBER(J47)),IFERROR(O47/J47-1,""),"")</f>
        <v/>
      </c>
      <c r="P48" s="179">
        <f>IF(AND(ISNUMBER(P47),ISNUMBER(K47)),IFERROR(P47/K47-1,""),"")</f>
        <v/>
      </c>
      <c r="Q48" s="179">
        <f>IF(AND(ISNUMBER(Q47),ISNUMBER(L47)),IFERROR(Q47/L47-1,""),"")</f>
        <v/>
      </c>
      <c r="R48" s="179">
        <f>IF(AND(ISNUMBER(R47),ISNUMBER(M47)),IFERROR(R47/M47-1,""),"")</f>
        <v/>
      </c>
      <c r="S48" s="179">
        <f>IF(AND(ISNUMBER(S47),ISNUMBER(N47)),IFERROR(S47/N47-1,""),"")</f>
        <v/>
      </c>
      <c r="T48" s="179">
        <f>IF(AND(ISNUMBER(T47),ISNUMBER(O47)),IFERROR(T47/O47-1,""),"")</f>
        <v/>
      </c>
      <c r="U48" s="179">
        <f>IF(AND(ISNUMBER(U47),ISNUMBER(P47)),IFERROR(U47/P47-1,""),"")</f>
        <v/>
      </c>
      <c r="V48" s="179">
        <f>IF(AND(ISNUMBER(V47),ISNUMBER(Q47)),IFERROR(V47/Q47-1,""),"")</f>
        <v/>
      </c>
      <c r="W48" s="179">
        <f>IF(AND(ISNUMBER(W47),ISNUMBER(R47)),IFERROR(W47/R47-1,""),"")</f>
        <v/>
      </c>
      <c r="X48" s="179">
        <f>IF(AND(ISNUMBER(X47),ISNUMBER(S47)),IFERROR(X47/S47-1,""),"")</f>
        <v/>
      </c>
      <c r="Y48" s="179">
        <f>IF(AND(ISNUMBER(Y47),ISNUMBER(T47)),IFERROR(Y47/T47-1,""),"")</f>
        <v/>
      </c>
      <c r="Z48" s="179">
        <f>IF(AND(ISNUMBER(Z47),ISNUMBER(U47)),IFERROR(Z47/U47-1,""),"")</f>
        <v/>
      </c>
      <c r="AA48" s="179">
        <f>IF(AND(ISNUMBER(AA47),ISNUMBER(V47)),IFERROR(AA47/V47-1,""),"")</f>
        <v/>
      </c>
      <c r="AB48" s="179">
        <f>IF(AND(ISNUMBER(AB47),ISNUMBER(W47)),IFERROR(AB47/W47-1,""),"")</f>
        <v/>
      </c>
      <c r="AC48" s="179">
        <f>IF(AND(ISNUMBER(AC47),ISNUMBER(X47)),IFERROR(AC47/X47-1,""),"")</f>
        <v/>
      </c>
      <c r="AD48" s="179">
        <f>IF(AND(ISNUMBER(AD47),ISNUMBER(Y47)),IFERROR(AD47/Y47-1,""),"")</f>
        <v/>
      </c>
      <c r="AE48" s="179">
        <f>IF(AND(ISNUMBER(AE47),ISNUMBER(Z47)),IFERROR(AE47/Z47-1,""),"")</f>
        <v/>
      </c>
      <c r="AF48" s="179">
        <f>IF(AND(ISNUMBER(AF47),ISNUMBER(AA47)),IFERROR(AF47/AA47-1,""),"")</f>
        <v/>
      </c>
      <c r="AG48" s="179">
        <f>IF(AND(ISNUMBER(AG47),ISNUMBER(AB47)),IFERROR(AG47/AB47-1,""),"")</f>
        <v/>
      </c>
      <c r="AH48" s="179">
        <f>IF(AND(ISNUMBER(AH47),ISNUMBER(AC47)),IFERROR(AH47/AC47-1,""),"")</f>
        <v/>
      </c>
      <c r="AI48" s="179">
        <f>IF(AND(ISNUMBER(AI47),ISNUMBER(AD47)),IFERROR(AI47/AD47-1,""),"")</f>
        <v/>
      </c>
      <c r="AJ48" s="179">
        <f>IF(AND(ISNUMBER(AJ47),ISNUMBER(AE47)),IFERROR(AJ47/AE47-1,""),"")</f>
        <v/>
      </c>
      <c r="AK48" s="179">
        <f>IF(AND(ISNUMBER(AK47),ISNUMBER(AF47)),IFERROR(AK47/AF47-1,""),"")</f>
        <v/>
      </c>
      <c r="AL48" s="179">
        <f>IF(AND(ISNUMBER(AL47),ISNUMBER(AG47)),IFERROR(AL47/AG47-1,""),"")</f>
        <v/>
      </c>
      <c r="AM48" s="179">
        <f>IF(AND(ISNUMBER(AM47),ISNUMBER(AH47)),IFERROR(AM47/AH47-1,""),"")</f>
        <v/>
      </c>
      <c r="AN48" s="179">
        <f>IF(AND(ISNUMBER(AN47),ISNUMBER(AI47)),IFERROR(AN47/AI47-1,""),"")</f>
        <v/>
      </c>
      <c r="AO48" s="179">
        <f>IF(AND(ISNUMBER(AO47),ISNUMBER(AJ47)),IFERROR(AO47/AJ47-1,""),"")</f>
        <v/>
      </c>
      <c r="AP48" s="179">
        <f>IF(AND(ISNUMBER(AP47),ISNUMBER(AK47)),IFERROR(AP47/AK47-1,""),"")</f>
        <v/>
      </c>
      <c r="AQ48" s="179">
        <f>IF(AND(ISNUMBER(AQ47),ISNUMBER(AL47)),IFERROR(AQ47/AL47-1,""),"")</f>
        <v/>
      </c>
      <c r="AR48" s="179">
        <f>IF(AND(ISNUMBER(AR47),ISNUMBER(AM47)),IFERROR(AR47/AM47-1,""),"")</f>
        <v/>
      </c>
      <c r="AS48" s="179">
        <f>IF(AND(ISNUMBER(AS47),ISNUMBER(AN47)),IFERROR(AS47/AN47-1,""),"")</f>
        <v/>
      </c>
      <c r="AT48" s="179">
        <f>IF(AND(ISNUMBER(AT47),ISNUMBER(AO47)),IFERROR(AT47/AO47-1,""),"")</f>
        <v/>
      </c>
      <c r="AU48" s="179">
        <f>IF(AND(ISNUMBER(AU47),ISNUMBER(AP47)),IFERROR(AU47/AP47-1,""),"")</f>
        <v/>
      </c>
      <c r="AV48" s="179">
        <f>IF(AND(ISNUMBER(AV47),ISNUMBER(AQ47)),IFERROR(AV47/AQ47-1,""),"")</f>
        <v/>
      </c>
      <c r="AW48" s="179">
        <f>IF(AND(ISNUMBER(AW47),ISNUMBER(AR47)),IFERROR(AW47/AR47-1,""),"")</f>
        <v/>
      </c>
      <c r="AX48" s="179">
        <f>IF(AND(ISNUMBER(AX47),ISNUMBER(AS47)),IFERROR(AX47/AS47-1,""),"")</f>
        <v/>
      </c>
      <c r="AY48" s="179">
        <f>IF(AND(ISNUMBER(AY47),ISNUMBER(AT47)),IFERROR(AY47/AT47-1,""),"")</f>
        <v/>
      </c>
      <c r="AZ48" s="179">
        <f>IF(AND(ISNUMBER(AZ47),ISNUMBER(AU47)),IFERROR(AZ47/AU47-1,""),"")</f>
        <v/>
      </c>
      <c r="BA48" s="179">
        <f>IF(AND(ISNUMBER(BA47),ISNUMBER(AV47)),IFERROR(BA47/AV47-1,""),"")</f>
        <v/>
      </c>
      <c r="BB48" s="179">
        <f>IF(AND(ISNUMBER(BB47),ISNUMBER(AW47)),IFERROR(BB47/AW47-1,""),"")</f>
        <v/>
      </c>
      <c r="BC48" s="179">
        <f>IF(AND(ISNUMBER(BC47),ISNUMBER(AX47)),IFERROR(BC47/AX47-1,""),"")</f>
        <v/>
      </c>
      <c r="BD48" s="179">
        <f>IF(AND(ISNUMBER(BD47),ISNUMBER(AY47)),IFERROR(BD47/AY47-1,""),"")</f>
        <v/>
      </c>
      <c r="BE48" s="179">
        <f>IF(AND(ISNUMBER(BE47),ISNUMBER(AZ47)),IFERROR(BE47/AZ47-1,""),"")</f>
        <v/>
      </c>
      <c r="BF48" s="179">
        <f>IF(AND(ISNUMBER(BF47),ISNUMBER(BA47)),IFERROR(BF47/BA47-1,""),"")</f>
        <v/>
      </c>
      <c r="BG48" s="179">
        <f>IF(AND(ISNUMBER(BG47),ISNUMBER(BB47)),IFERROR(BG47/BB47-1,""),"")</f>
        <v/>
      </c>
      <c r="BH48" s="179">
        <f>IF(AND(ISNUMBER(BH47),ISNUMBER(BC47)),IFERROR(BH47/BC47-1,""),"")</f>
        <v/>
      </c>
      <c r="BI48" s="179">
        <f>IF(AND(ISNUMBER(BI47),ISNUMBER(BD47)),IFERROR(BI47/BD47-1,""),"")</f>
        <v/>
      </c>
      <c r="BJ48" s="179">
        <f>IF(AND(ISNUMBER(BJ47),ISNUMBER(BE47)),IFERROR(BJ47/BE47-1,""),"")</f>
        <v/>
      </c>
      <c r="BK48" s="179">
        <f>IF(AND(ISNUMBER(BK47),ISNUMBER(BF47)),IFERROR(BK47/BF47-1,""),"")</f>
        <v/>
      </c>
      <c r="BL48" s="179">
        <f>IF(AND(ISNUMBER(BL47),ISNUMBER(BG47)),IFERROR(BL47/BG47-1,""),"")</f>
        <v/>
      </c>
      <c r="BM48" s="179">
        <f>IF(AND(ISNUMBER(BM47),ISNUMBER(BH47)),IFERROR(BM47/BH47-1,""),"")</f>
        <v/>
      </c>
      <c r="BN48" s="179">
        <f>IF(AND(ISNUMBER(BN47),ISNUMBER(BI47)),IFERROR(BN47/BI47-1,""),"")</f>
        <v/>
      </c>
      <c r="BO48" s="179">
        <f>IF(AND(ISNUMBER(BO47),ISNUMBER(BJ47)),IFERROR(BO47/BJ47-1,""),"")</f>
        <v/>
      </c>
      <c r="BP48" s="179">
        <f>IF(AND(ISNUMBER(BP47),ISNUMBER(BK47)),IFERROR(BP47/BK47-1,""),"")</f>
        <v/>
      </c>
      <c r="BQ48" s="179">
        <f>IF(AND(ISNUMBER(BQ47),ISNUMBER(BL47)),IFERROR(BQ47/BL47-1,""),"")</f>
        <v/>
      </c>
      <c r="BR48" s="179">
        <f>IF(AND(ISNUMBER(BR47),ISNUMBER(BM47)),IFERROR(BR47/BM47-1,""),"")</f>
        <v/>
      </c>
      <c r="BS48" s="179">
        <f>IF(AND(ISNUMBER(BS47),ISNUMBER(BN47)),IFERROR(BS47/BN47-1,""),"")</f>
        <v/>
      </c>
      <c r="BT48" s="179">
        <f>IF(AND(ISNUMBER(BT47),ISNUMBER(BO47)),IFERROR(BT47/BO47-1,""),"")</f>
        <v/>
      </c>
      <c r="BU48" s="179">
        <f>IF(AND(ISNUMBER(BU47),ISNUMBER(BP47)),IFERROR(BU47/BP47-1,""),"")</f>
        <v/>
      </c>
      <c r="BV48" s="179">
        <f>IF(AND(ISNUMBER(BV47),ISNUMBER(BQ47)),IFERROR(BV47/BQ47-1,""),"")</f>
        <v/>
      </c>
      <c r="BW48" s="179">
        <f>IF(AND(ISNUMBER(BW47),ISNUMBER(BR47)),IFERROR(BW47/BR47-1,""),"")</f>
        <v/>
      </c>
      <c r="BX48" s="179">
        <f>IF(AND(ISNUMBER(BX47),ISNUMBER(BS47)),IFERROR(BX47/BS47-1,""),"")</f>
        <v/>
      </c>
      <c r="BY48" s="180">
        <f>BY49+$BY$109</f>
        <v/>
      </c>
      <c r="BZ48" s="180">
        <f>BZ49+$BY$109</f>
        <v/>
      </c>
      <c r="CA48" s="180">
        <f>IF(AND(ISNUMBER(CA47),ISNUMBER(BV47)),IFERROR(CA47/BV47-1,""),"")</f>
        <v/>
      </c>
      <c r="CB48" s="180">
        <f>CHOOSE(MATCH($CF$2,{"Bull","Base","Bear"},0),$CO$56,$CP$56,$CQ$56)</f>
        <v/>
      </c>
      <c r="CC48" s="180">
        <f>CHOOSE(MATCH($CF$2,{"Bull","Base","Bear"},0),$CO$57,$CP$57,$CQ$57)</f>
        <v/>
      </c>
      <c r="CD48" s="180">
        <f>CHOOSE(MATCH($CF$2,{"Bull","Base","Bear"},0),$CO$58,$CP$58,$CQ$58)</f>
        <v/>
      </c>
      <c r="CE48" s="180">
        <f>CHOOSE(MATCH($CF$2,{"Bull","Base","Bear"},0),$CO$59,$CP$59,$CQ$59)</f>
        <v/>
      </c>
      <c r="CF48" s="6" t="inlineStr">
        <is>
          <t>Q3/Q4-26E: growth input (row below) + revenue-outlook calibration Δ (Group block). 2027E–2030E: scenario lever (Bull/Base/Bear table →).</t>
        </is>
      </c>
      <c r="CN48" s="26" t="inlineStr">
        <is>
          <t xml:space="preserve">  2029E</t>
        </is>
      </c>
      <c r="CO48" s="35">
        <f>CP48+$CO$45</f>
        <v/>
      </c>
      <c r="CP48" s="45" t="n">
        <v>0.07000000000000001</v>
      </c>
      <c r="CQ48" s="35">
        <f>CP48+$CQ$45</f>
        <v/>
      </c>
    </row>
    <row r="49" ht="15" customHeight="1">
      <c r="B49" s="26" t="inlineStr">
        <is>
          <t xml:space="preserve">    Q3/Q4-26E growth input before revenue calibration</t>
        </is>
      </c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38" t="n"/>
      <c r="AJ49" s="38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  <c r="BB49" s="38" t="n"/>
      <c r="BC49" s="38" t="n"/>
      <c r="BD49" s="38" t="n"/>
      <c r="BE49" s="38" t="n"/>
      <c r="BF49" s="38" t="n"/>
      <c r="BG49" s="38" t="n"/>
      <c r="BH49" s="38" t="n"/>
      <c r="BI49" s="38" t="n"/>
      <c r="BJ49" s="38" t="n"/>
      <c r="BK49" s="38" t="n"/>
      <c r="BL49" s="38" t="n"/>
      <c r="BM49" s="38" t="n"/>
      <c r="BN49" s="38" t="n"/>
      <c r="BO49" s="38" t="n"/>
      <c r="BP49" s="38" t="n"/>
      <c r="BQ49" s="38" t="n"/>
      <c r="BR49" s="38" t="n"/>
      <c r="BS49" s="38" t="n"/>
      <c r="BT49" s="38" t="n"/>
      <c r="BU49" s="38" t="n"/>
      <c r="BV49" s="38" t="n"/>
      <c r="BW49" s="38" t="n"/>
      <c r="BX49" s="38" t="n"/>
      <c r="BY49" s="181" t="n">
        <v>0.142</v>
      </c>
      <c r="BZ49" s="181" t="n">
        <v>0.131</v>
      </c>
      <c r="CA49" s="25" t="n"/>
      <c r="CB49" s="49" t="n"/>
      <c r="CC49" s="49" t="n"/>
      <c r="CD49" s="49" t="n"/>
      <c r="CE49" s="49" t="n"/>
      <c r="CF49" s="20" t="inlineStr">
        <is>
          <t>Input = 6% organic + ~half of Dellner ≈ $35m per quarter.</t>
        </is>
      </c>
      <c r="CN49" s="26" t="inlineStr">
        <is>
          <t xml:space="preserve">  2030E</t>
        </is>
      </c>
      <c r="CO49" s="35">
        <f>CP49+$CO$45</f>
        <v/>
      </c>
      <c r="CP49" s="45" t="n">
        <v>0.07000000000000001</v>
      </c>
      <c r="CQ49" s="35">
        <f>CP49+$CQ$45</f>
        <v/>
      </c>
    </row>
    <row r="50" ht="15" customHeight="1">
      <c r="B50" s="26" t="inlineStr">
        <is>
          <t xml:space="preserve">  Transit sales not split by product line (pre-2019 disclosure)</t>
        </is>
      </c>
      <c r="C50" s="183">
        <f>IF(ISNUMBER(C51),C51-(N(C44)+N(C47)),"")</f>
        <v/>
      </c>
      <c r="D50" s="183">
        <f>IF(ISNUMBER(D51),D51-(N(D44)+N(D47)),"")</f>
        <v/>
      </c>
      <c r="E50" s="183">
        <f>IF(ISNUMBER(E51),E51-(N(E44)+N(E47)),"")</f>
        <v/>
      </c>
      <c r="F50" s="183">
        <f>IF(ISNUMBER(F51),F51-(N(F44)+N(F47)),"")</f>
        <v/>
      </c>
      <c r="G50" s="183">
        <f>IF(ISNUMBER(G51),G51-(N(G44)+N(G47)),"")</f>
        <v/>
      </c>
      <c r="H50" s="183">
        <f>IF(ISNUMBER(H51),H51-(N(H44)+N(H47)),"")</f>
        <v/>
      </c>
      <c r="I50" s="183">
        <f>IF(ISNUMBER(I51),I51-(N(I44)+N(I47)),"")</f>
        <v/>
      </c>
      <c r="J50" s="183">
        <f>IF(ISNUMBER(J51),J51-(N(J44)+N(J47)),"")</f>
        <v/>
      </c>
      <c r="K50" s="183">
        <f>IF(ISNUMBER(K51),K51-(N(K44)+N(K47)),"")</f>
        <v/>
      </c>
      <c r="L50" s="183">
        <f>IF(ISNUMBER(L51),L51-(N(L44)+N(L47)),"")</f>
        <v/>
      </c>
      <c r="M50" s="183">
        <f>IF(ISNUMBER(M51),M51-(N(M44)+N(M47)),"")</f>
        <v/>
      </c>
      <c r="N50" s="183">
        <f>IF(ISNUMBER(N51),N51-(N(N44)+N(N47)),"")</f>
        <v/>
      </c>
      <c r="O50" s="183">
        <f>IF(ISNUMBER(O51),O51-(N(O44)+N(O47)),"")</f>
        <v/>
      </c>
      <c r="P50" s="183">
        <f>IF(ISNUMBER(P51),P51-(N(P44)+N(P47)),"")</f>
        <v/>
      </c>
      <c r="Q50" s="183">
        <f>IF(ISNUMBER(Q51),Q51-(N(Q44)+N(Q47)),"")</f>
        <v/>
      </c>
      <c r="R50" s="183">
        <f>IF(ISNUMBER(R51),R51-(N(R44)+N(R47)),"")</f>
        <v/>
      </c>
      <c r="S50" s="183">
        <f>IF(ISNUMBER(S51),S51-(N(S44)+N(S47)),"")</f>
        <v/>
      </c>
      <c r="T50" s="183">
        <f>IF(ISNUMBER(T51),T51-(N(T44)+N(T47)),"")</f>
        <v/>
      </c>
      <c r="U50" s="183">
        <f>IF(ISNUMBER(U51),U51-(N(U44)+N(U47)),"")</f>
        <v/>
      </c>
      <c r="V50" s="183">
        <f>IF(ISNUMBER(V51),V51-(N(V44)+N(V47)),"")</f>
        <v/>
      </c>
      <c r="W50" s="183">
        <f>IF(ISNUMBER(W51),W51-(N(W44)+N(W47)),"")</f>
        <v/>
      </c>
      <c r="X50" s="183">
        <f>IF(ISNUMBER(X51),X51-(N(X44)+N(X47)),"")</f>
        <v/>
      </c>
      <c r="Y50" s="183">
        <f>IF(ISNUMBER(Y51),Y51-(N(Y44)+N(Y47)),"")</f>
        <v/>
      </c>
      <c r="Z50" s="183">
        <f>IF(ISNUMBER(Z51),Z51-(N(Z44)+N(Z47)),"")</f>
        <v/>
      </c>
      <c r="AA50" s="183">
        <f>IF(ISNUMBER(AA51),AA51-(N(AA44)+N(AA47)),"")</f>
        <v/>
      </c>
      <c r="AB50" s="183">
        <f>IF(ISNUMBER(AB51),AB51-(N(AB44)+N(AB47)),"")</f>
        <v/>
      </c>
      <c r="AC50" s="183">
        <f>IF(ISNUMBER(AC51),AC51-(N(AC44)+N(AC47)),"")</f>
        <v/>
      </c>
      <c r="AD50" s="183">
        <f>IF(ISNUMBER(AD51),AD51-(N(AD44)+N(AD47)),"")</f>
        <v/>
      </c>
      <c r="AE50" s="183">
        <f>IF(ISNUMBER(AE51),AE51-(N(AE44)+N(AE47)),"")</f>
        <v/>
      </c>
      <c r="AF50" s="183">
        <f>IF(ISNUMBER(AF51),AF51-(N(AF44)+N(AF47)),"")</f>
        <v/>
      </c>
      <c r="AG50" s="183">
        <f>IF(ISNUMBER(AG51),AG51-(N(AG44)+N(AG47)),"")</f>
        <v/>
      </c>
      <c r="AH50" s="183">
        <f>IF(ISNUMBER(AH51),AH51-(N(AH44)+N(AH47)),"")</f>
        <v/>
      </c>
      <c r="AI50" s="183">
        <f>IF(ISNUMBER(AI51),AI51-(N(AI44)+N(AI47)),"")</f>
        <v/>
      </c>
      <c r="AJ50" s="183">
        <f>IF(ISNUMBER(AJ51),AJ51-(N(AJ44)+N(AJ47)),"")</f>
        <v/>
      </c>
      <c r="AK50" s="183">
        <f>IF(ISNUMBER(AK51),AK51-(N(AK44)+N(AK47)),"")</f>
        <v/>
      </c>
      <c r="AL50" s="183">
        <f>IF(ISNUMBER(AL51),AL51-(N(AL44)+N(AL47)),"")</f>
        <v/>
      </c>
      <c r="AM50" s="183">
        <f>IF(ISNUMBER(AM51),AM51-(N(AM44)+N(AM47)),"")</f>
        <v/>
      </c>
      <c r="AN50" s="183">
        <f>IF(ISNUMBER(AN51),AN51-(N(AN44)+N(AN47)),"")</f>
        <v/>
      </c>
      <c r="AO50" s="183">
        <f>IF(ISNUMBER(AO51),AO51-(N(AO44)+N(AO47)),"")</f>
        <v/>
      </c>
      <c r="AP50" s="183">
        <f>IF(ISNUMBER(AP51),AP51-(N(AP44)+N(AP47)),"")</f>
        <v/>
      </c>
      <c r="AQ50" s="183">
        <f>IF(ISNUMBER(AQ51),AQ51-(N(AQ44)+N(AQ47)),"")</f>
        <v/>
      </c>
      <c r="AR50" s="183">
        <f>IF(ISNUMBER(AR51),AR51-(N(AR44)+N(AR47)),"")</f>
        <v/>
      </c>
      <c r="AS50" s="183">
        <f>IF(ISNUMBER(AS51),AS51-(N(AS44)+N(AS47)),"")</f>
        <v/>
      </c>
      <c r="AT50" s="183">
        <f>IF(ISNUMBER(AT51),AT51-(N(AT44)+N(AT47)),"")</f>
        <v/>
      </c>
      <c r="AU50" s="183">
        <f>IF(ISNUMBER(AU51),AU51-(N(AU44)+N(AU47)),"")</f>
        <v/>
      </c>
      <c r="AV50" s="183">
        <f>IF(ISNUMBER(AV51),AV51-(N(AV44)+N(AV47)),"")</f>
        <v/>
      </c>
      <c r="AW50" s="183">
        <f>IF(ISNUMBER(AW51),AW51-(N(AW44)+N(AW47)),"")</f>
        <v/>
      </c>
      <c r="AX50" s="183">
        <f>IF(ISNUMBER(AX51),AX51-(N(AX44)+N(AX47)),"")</f>
        <v/>
      </c>
      <c r="AY50" s="183">
        <f>IF(ISNUMBER(AY51),AY51-(N(AY44)+N(AY47)),"")</f>
        <v/>
      </c>
      <c r="AZ50" s="183">
        <f>IF(ISNUMBER(AZ51),AZ51-(N(AZ44)+N(AZ47)),"")</f>
        <v/>
      </c>
      <c r="BA50" s="183">
        <f>IF(ISNUMBER(BA51),BA51-(N(BA44)+N(BA47)),"")</f>
        <v/>
      </c>
      <c r="BB50" s="183">
        <f>IF(ISNUMBER(BB51),BB51-(N(BB44)+N(BB47)),"")</f>
        <v/>
      </c>
      <c r="BC50" s="183">
        <f>IF(ISNUMBER(BC51),BC51-(N(BC44)+N(BC47)),"")</f>
        <v/>
      </c>
      <c r="BD50" s="183">
        <f>IF(ISNUMBER(BD51),BD51-(N(BD44)+N(BD47)),"")</f>
        <v/>
      </c>
      <c r="BE50" s="183">
        <f>IF(ISNUMBER(BE51),BE51-(N(BE44)+N(BE47)),"")</f>
        <v/>
      </c>
      <c r="BF50" s="183">
        <f>IF(ISNUMBER(BF51),BF51-(N(BF44)+N(BF47)),"")</f>
        <v/>
      </c>
      <c r="BG50" s="183">
        <f>IF(ISNUMBER(BG51),BG51-(N(BG44)+N(BG47)),"")</f>
        <v/>
      </c>
      <c r="BH50" s="183">
        <f>IF(ISNUMBER(BH51),BH51-(N(BH44)+N(BH47)),"")</f>
        <v/>
      </c>
      <c r="BI50" s="183">
        <f>IF(ISNUMBER(BI51),BI51-(N(BI44)+N(BI47)),"")</f>
        <v/>
      </c>
      <c r="BJ50" s="183">
        <f>IF(ISNUMBER(BJ51),BJ51-(N(BJ44)+N(BJ47)),"")</f>
        <v/>
      </c>
      <c r="BK50" s="183">
        <f>IF(ISNUMBER(BK51),BK51-(N(BK44)+N(BK47)),"")</f>
        <v/>
      </c>
      <c r="BL50" s="183">
        <f>IF(ISNUMBER(BL51),BL51-(N(BL44)+N(BL47)),"")</f>
        <v/>
      </c>
      <c r="BM50" s="183">
        <f>IF(ISNUMBER(BM51),BM51-(N(BM44)+N(BM47)),"")</f>
        <v/>
      </c>
      <c r="BN50" s="183">
        <f>IF(ISNUMBER(BN51),BN51-(N(BN44)+N(BN47)),"")</f>
        <v/>
      </c>
      <c r="BO50" s="183">
        <f>IF(ISNUMBER(BO51),BO51-(N(BO44)+N(BO47)),"")</f>
        <v/>
      </c>
      <c r="BP50" s="183">
        <f>IF(ISNUMBER(BP51),BP51-(N(BP44)+N(BP47)),"")</f>
        <v/>
      </c>
      <c r="BQ50" s="183">
        <f>IF(ISNUMBER(BQ51),BQ51-(N(BQ44)+N(BQ47)),"")</f>
        <v/>
      </c>
      <c r="BR50" s="183">
        <f>IF(ISNUMBER(BR51),BR51-(N(BR44)+N(BR47)),"")</f>
        <v/>
      </c>
      <c r="BS50" s="183">
        <f>IF(ISNUMBER(BS51),BS51-(N(BS44)+N(BS47)),"")</f>
        <v/>
      </c>
      <c r="BT50" s="183">
        <f>IF(ISNUMBER(BT51),BT51-(N(BT44)+N(BT47)),"")</f>
        <v/>
      </c>
      <c r="BU50" s="183">
        <f>IF(ISNUMBER(BU51),BU51-(N(BU44)+N(BU47)),"")</f>
        <v/>
      </c>
      <c r="BV50" s="183">
        <f>IF(ISNUMBER(BV51),BV51-(N(BV44)+N(BV47)),"")</f>
        <v/>
      </c>
      <c r="BW50" s="183">
        <f>IF(ISNUMBER(BW51),BW51-(N(BW44)+N(BW47)),"")</f>
        <v/>
      </c>
      <c r="BX50" s="183">
        <f>IF(ISNUMBER(BX51),BX51-(N(BX44)+N(BX47)),"")</f>
        <v/>
      </c>
      <c r="BY50" s="37" t="n"/>
      <c r="BZ50" s="37" t="n"/>
      <c r="CA50" s="37" t="n"/>
      <c r="CB50" s="37" t="n"/>
      <c r="CC50" s="37" t="n"/>
      <c r="CD50" s="37" t="n"/>
      <c r="CE50" s="37" t="n"/>
      <c r="CF50" s="20" t="inlineStr">
        <is>
          <t>Historical segment sales less the product-line split (product lines are published from 2019; earlier years show the segment total here).</t>
        </is>
      </c>
      <c r="CN50" s="16" t="inlineStr">
        <is>
          <t>TRN_OE (Transit original equipment sales y/y)</t>
        </is>
      </c>
      <c r="CO50" s="44" t="n">
        <v>0.025</v>
      </c>
      <c r="CP50" s="22" t="inlineStr">
        <is>
          <t>Δ →</t>
        </is>
      </c>
      <c r="CQ50" s="44" t="n">
        <v>-0.03</v>
      </c>
      <c r="CR50" s="14" t="inlineStr">
        <is>
          <t>Car-builder backlogs (Europe, India); Dellner couplers anniversary in Feb-27.</t>
        </is>
      </c>
    </row>
    <row r="51" ht="15" customHeight="1">
      <c r="B51" s="17" t="inlineStr">
        <is>
          <t xml:space="preserve">  Transit segment net sales</t>
        </is>
      </c>
      <c r="C51" s="184" t="n">
        <v>378.3</v>
      </c>
      <c r="D51" s="184" t="n">
        <v>625.9</v>
      </c>
      <c r="E51" s="184" t="n">
        <v>801.2</v>
      </c>
      <c r="F51" s="184" t="n">
        <v>813.2</v>
      </c>
      <c r="G51" s="184" t="n">
        <v>722.5</v>
      </c>
      <c r="H51" s="184" t="n">
        <v>757.6</v>
      </c>
      <c r="I51" s="184" t="n">
        <v>889.2</v>
      </c>
      <c r="J51" s="184" t="n">
        <v>309.6</v>
      </c>
      <c r="K51" s="184" t="n">
        <v>283.1</v>
      </c>
      <c r="L51" s="184" t="n">
        <v>290.9</v>
      </c>
      <c r="M51" s="184" t="n">
        <v>292.4</v>
      </c>
      <c r="N51" s="184" t="n">
        <v>1168.3</v>
      </c>
      <c r="O51" s="184" t="n">
        <v>309.7</v>
      </c>
      <c r="P51" s="184" t="n">
        <v>319.6</v>
      </c>
      <c r="Q51" s="184" t="n">
        <v>343.9</v>
      </c>
      <c r="R51" s="184" t="n">
        <v>339.7</v>
      </c>
      <c r="S51" s="184" t="n">
        <v>1313</v>
      </c>
      <c r="T51" s="184" t="n">
        <v>306.7</v>
      </c>
      <c r="U51" s="184" t="n">
        <v>312.4</v>
      </c>
      <c r="V51" s="184" t="n">
        <v>302.4</v>
      </c>
      <c r="W51" s="184" t="n">
        <v>331.9</v>
      </c>
      <c r="X51" s="184" t="n">
        <v>1253.3</v>
      </c>
      <c r="Y51" s="184" t="n">
        <v>329.4</v>
      </c>
      <c r="Z51" s="184" t="n">
        <v>326.5</v>
      </c>
      <c r="AA51" s="184" t="n">
        <v>313.6</v>
      </c>
      <c r="AB51" s="184" t="n">
        <v>418.6</v>
      </c>
      <c r="AC51" s="184" t="n">
        <v>1388.1</v>
      </c>
      <c r="AD51" s="184" t="n">
        <v>568.1</v>
      </c>
      <c r="AE51" s="184" t="n">
        <v>587.4</v>
      </c>
      <c r="AF51" s="184" t="n">
        <v>617.7</v>
      </c>
      <c r="AG51" s="184" t="n">
        <v>711.9</v>
      </c>
      <c r="AH51" s="184" t="n">
        <v>2485.2</v>
      </c>
      <c r="AI51" s="184" t="n">
        <v>676.6</v>
      </c>
      <c r="AJ51" s="184" t="n">
        <v>699.4</v>
      </c>
      <c r="AK51" s="184" t="n">
        <v>686.2</v>
      </c>
      <c r="AL51" s="184" t="n">
        <v>737</v>
      </c>
      <c r="AM51" s="184" t="n">
        <v>2799.3</v>
      </c>
      <c r="AN51" s="184" t="n">
        <v>717.2</v>
      </c>
      <c r="AO51" s="184" t="n">
        <v>742.3</v>
      </c>
      <c r="AP51" s="184" t="n">
        <v>706</v>
      </c>
      <c r="AQ51" s="184" t="n">
        <v>701.3</v>
      </c>
      <c r="AR51" s="184" t="n">
        <v>2758.6</v>
      </c>
      <c r="AS51" s="184" t="n">
        <v>628.9</v>
      </c>
      <c r="AT51" s="184" t="n">
        <v>532.7</v>
      </c>
      <c r="AU51" s="184" t="n">
        <v>627.8</v>
      </c>
      <c r="AV51" s="184" t="n">
        <v>684.4</v>
      </c>
      <c r="AW51" s="184" t="n">
        <v>2473.8</v>
      </c>
      <c r="AX51" s="184" t="n">
        <v>646.9</v>
      </c>
      <c r="AY51" s="184" t="n">
        <v>676.4</v>
      </c>
      <c r="AZ51" s="184" t="n">
        <v>611.9</v>
      </c>
      <c r="BA51" s="184" t="n">
        <v>648</v>
      </c>
      <c r="BB51" s="184" t="n">
        <v>2583</v>
      </c>
      <c r="BC51" s="184" t="n">
        <v>605</v>
      </c>
      <c r="BD51" s="184" t="n">
        <v>558</v>
      </c>
      <c r="BE51" s="184" t="n">
        <v>550</v>
      </c>
      <c r="BF51" s="184" t="n">
        <v>637</v>
      </c>
      <c r="BG51" s="184" t="n">
        <v>2350</v>
      </c>
      <c r="BH51" s="184" t="n">
        <v>628</v>
      </c>
      <c r="BI51" s="184" t="n">
        <v>699</v>
      </c>
      <c r="BJ51" s="184" t="n">
        <v>660</v>
      </c>
      <c r="BK51" s="184" t="n">
        <v>728</v>
      </c>
      <c r="BL51" s="184" t="n">
        <v>2715</v>
      </c>
      <c r="BM51" s="184" t="n">
        <v>673</v>
      </c>
      <c r="BN51" s="184" t="n">
        <v>724</v>
      </c>
      <c r="BO51" s="184" t="n">
        <v>733</v>
      </c>
      <c r="BP51" s="184" t="n">
        <v>789</v>
      </c>
      <c r="BQ51" s="184" t="n">
        <v>2919</v>
      </c>
      <c r="BR51" s="184" t="n">
        <v>709</v>
      </c>
      <c r="BS51" s="184" t="n">
        <v>787</v>
      </c>
      <c r="BT51" s="184" t="n">
        <v>793</v>
      </c>
      <c r="BU51" s="184" t="n">
        <v>842</v>
      </c>
      <c r="BV51" s="184" t="n">
        <v>3131</v>
      </c>
      <c r="BW51" s="184" t="n">
        <v>835</v>
      </c>
      <c r="BX51" s="184" t="n">
        <v>936</v>
      </c>
      <c r="BY51" s="185">
        <f>N(BY44)+N(BY47)</f>
        <v/>
      </c>
      <c r="BZ51" s="185">
        <f>N(BZ44)+N(BZ47)</f>
        <v/>
      </c>
      <c r="CA51" s="185">
        <f>SUM(BW51,BX51,BY51,BZ51)</f>
        <v/>
      </c>
      <c r="CB51" s="185">
        <f>N(CB44)+N(CB47)</f>
        <v/>
      </c>
      <c r="CC51" s="185">
        <f>N(CC44)+N(CC47)</f>
        <v/>
      </c>
      <c r="CD51" s="185">
        <f>N(CD44)+N(CD47)</f>
        <v/>
      </c>
      <c r="CE51" s="185">
        <f>N(CE44)+N(CE47)</f>
        <v/>
      </c>
      <c r="CF51" s="6" t="inlineStr">
        <is>
          <t>Historical = segment net sales as originally reported. Forecast = Σ product lines.</t>
        </is>
      </c>
      <c r="CH51" s="21">
        <f>IFERROR((CE51/BV51)^(1/5)-1,"n/m")</f>
        <v/>
      </c>
      <c r="CI51" s="21">
        <f>IFERROR((BV51/AW51)^(1/5)-1,"n/m")</f>
        <v/>
      </c>
      <c r="CJ51" s="21">
        <f>IFERROR((BV51/X51)^(1/10)-1,"n/m")</f>
        <v/>
      </c>
      <c r="CK51" s="21">
        <f>IFERROR((BV51/C51)^(1/19)-1,"n/m")</f>
        <v/>
      </c>
      <c r="CN51" s="26" t="inlineStr">
        <is>
          <t xml:space="preserve">  2027E</t>
        </is>
      </c>
      <c r="CO51" s="35">
        <f>CP51+$CO$50</f>
        <v/>
      </c>
      <c r="CP51" s="45" t="n">
        <v>0.05</v>
      </c>
      <c r="CQ51" s="35">
        <f>CP51+$CQ$50</f>
        <v/>
      </c>
    </row>
    <row r="52" ht="15" customHeight="1">
      <c r="B52" s="23" t="inlineStr">
        <is>
          <t xml:space="preserve">  Segment net sales y/y %</t>
        </is>
      </c>
      <c r="D52" s="179">
        <f>IF(AND(ISNUMBER(D51),ISNUMBER(C51)),IFERROR(D51/C51-1,""),"")</f>
        <v/>
      </c>
      <c r="E52" s="179">
        <f>IF(AND(ISNUMBER(E51),ISNUMBER(D51)),IFERROR(E51/D51-1,""),"")</f>
        <v/>
      </c>
      <c r="F52" s="179">
        <f>IF(AND(ISNUMBER(F51),ISNUMBER(E51)),IFERROR(F51/E51-1,""),"")</f>
        <v/>
      </c>
      <c r="G52" s="179">
        <f>IF(AND(ISNUMBER(G51),ISNUMBER(F51)),IFERROR(G51/F51-1,""),"")</f>
        <v/>
      </c>
      <c r="H52" s="179">
        <f>IF(AND(ISNUMBER(H51),ISNUMBER(G51)),IFERROR(H51/G51-1,""),"")</f>
        <v/>
      </c>
      <c r="I52" s="179">
        <f>IF(AND(ISNUMBER(I51),ISNUMBER(H51)),IFERROR(I51/H51-1,""),"")</f>
        <v/>
      </c>
      <c r="N52" s="179">
        <f>IF(AND(ISNUMBER(N51),ISNUMBER(I51)),IFERROR(N51/I51-1,""),"")</f>
        <v/>
      </c>
      <c r="O52" s="179">
        <f>IF(AND(ISNUMBER(O51),ISNUMBER(J51)),IFERROR(O51/J51-1,""),"")</f>
        <v/>
      </c>
      <c r="P52" s="179">
        <f>IF(AND(ISNUMBER(P51),ISNUMBER(K51)),IFERROR(P51/K51-1,""),"")</f>
        <v/>
      </c>
      <c r="Q52" s="179">
        <f>IF(AND(ISNUMBER(Q51),ISNUMBER(L51)),IFERROR(Q51/L51-1,""),"")</f>
        <v/>
      </c>
      <c r="R52" s="179">
        <f>IF(AND(ISNUMBER(R51),ISNUMBER(M51)),IFERROR(R51/M51-1,""),"")</f>
        <v/>
      </c>
      <c r="S52" s="179">
        <f>IF(AND(ISNUMBER(S51),ISNUMBER(N51)),IFERROR(S51/N51-1,""),"")</f>
        <v/>
      </c>
      <c r="T52" s="179">
        <f>IF(AND(ISNUMBER(T51),ISNUMBER(O51)),IFERROR(T51/O51-1,""),"")</f>
        <v/>
      </c>
      <c r="U52" s="179">
        <f>IF(AND(ISNUMBER(U51),ISNUMBER(P51)),IFERROR(U51/P51-1,""),"")</f>
        <v/>
      </c>
      <c r="V52" s="179">
        <f>IF(AND(ISNUMBER(V51),ISNUMBER(Q51)),IFERROR(V51/Q51-1,""),"")</f>
        <v/>
      </c>
      <c r="W52" s="179">
        <f>IF(AND(ISNUMBER(W51),ISNUMBER(R51)),IFERROR(W51/R51-1,""),"")</f>
        <v/>
      </c>
      <c r="X52" s="179">
        <f>IF(AND(ISNUMBER(X51),ISNUMBER(S51)),IFERROR(X51/S51-1,""),"")</f>
        <v/>
      </c>
      <c r="Y52" s="179">
        <f>IF(AND(ISNUMBER(Y51),ISNUMBER(T51)),IFERROR(Y51/T51-1,""),"")</f>
        <v/>
      </c>
      <c r="Z52" s="179">
        <f>IF(AND(ISNUMBER(Z51),ISNUMBER(U51)),IFERROR(Z51/U51-1,""),"")</f>
        <v/>
      </c>
      <c r="AA52" s="179">
        <f>IF(AND(ISNUMBER(AA51),ISNUMBER(V51)),IFERROR(AA51/V51-1,""),"")</f>
        <v/>
      </c>
      <c r="AB52" s="179">
        <f>IF(AND(ISNUMBER(AB51),ISNUMBER(W51)),IFERROR(AB51/W51-1,""),"")</f>
        <v/>
      </c>
      <c r="AC52" s="179">
        <f>IF(AND(ISNUMBER(AC51),ISNUMBER(X51)),IFERROR(AC51/X51-1,""),"")</f>
        <v/>
      </c>
      <c r="AD52" s="179">
        <f>IF(AND(ISNUMBER(AD51),ISNUMBER(Y51)),IFERROR(AD51/Y51-1,""),"")</f>
        <v/>
      </c>
      <c r="AE52" s="179">
        <f>IF(AND(ISNUMBER(AE51),ISNUMBER(Z51)),IFERROR(AE51/Z51-1,""),"")</f>
        <v/>
      </c>
      <c r="AF52" s="179">
        <f>IF(AND(ISNUMBER(AF51),ISNUMBER(AA51)),IFERROR(AF51/AA51-1,""),"")</f>
        <v/>
      </c>
      <c r="AG52" s="179">
        <f>IF(AND(ISNUMBER(AG51),ISNUMBER(AB51)),IFERROR(AG51/AB51-1,""),"")</f>
        <v/>
      </c>
      <c r="AH52" s="179">
        <f>IF(AND(ISNUMBER(AH51),ISNUMBER(AC51)),IFERROR(AH51/AC51-1,""),"")</f>
        <v/>
      </c>
      <c r="AI52" s="179">
        <f>IF(AND(ISNUMBER(AI51),ISNUMBER(AD51)),IFERROR(AI51/AD51-1,""),"")</f>
        <v/>
      </c>
      <c r="AJ52" s="179">
        <f>IF(AND(ISNUMBER(AJ51),ISNUMBER(AE51)),IFERROR(AJ51/AE51-1,""),"")</f>
        <v/>
      </c>
      <c r="AK52" s="179">
        <f>IF(AND(ISNUMBER(AK51),ISNUMBER(AF51)),IFERROR(AK51/AF51-1,""),"")</f>
        <v/>
      </c>
      <c r="AL52" s="179">
        <f>IF(AND(ISNUMBER(AL51),ISNUMBER(AG51)),IFERROR(AL51/AG51-1,""),"")</f>
        <v/>
      </c>
      <c r="AM52" s="179">
        <f>IF(AND(ISNUMBER(AM51),ISNUMBER(AH51)),IFERROR(AM51/AH51-1,""),"")</f>
        <v/>
      </c>
      <c r="AN52" s="179">
        <f>IF(AND(ISNUMBER(AN51),ISNUMBER(AI51)),IFERROR(AN51/AI51-1,""),"")</f>
        <v/>
      </c>
      <c r="AO52" s="179">
        <f>IF(AND(ISNUMBER(AO51),ISNUMBER(AJ51)),IFERROR(AO51/AJ51-1,""),"")</f>
        <v/>
      </c>
      <c r="AP52" s="179">
        <f>IF(AND(ISNUMBER(AP51),ISNUMBER(AK51)),IFERROR(AP51/AK51-1,""),"")</f>
        <v/>
      </c>
      <c r="AQ52" s="179">
        <f>IF(AND(ISNUMBER(AQ51),ISNUMBER(AL51)),IFERROR(AQ51/AL51-1,""),"")</f>
        <v/>
      </c>
      <c r="AR52" s="179">
        <f>IF(AND(ISNUMBER(AR51),ISNUMBER(AM51)),IFERROR(AR51/AM51-1,""),"")</f>
        <v/>
      </c>
      <c r="AS52" s="179">
        <f>IF(AND(ISNUMBER(AS51),ISNUMBER(AN51)),IFERROR(AS51/AN51-1,""),"")</f>
        <v/>
      </c>
      <c r="AT52" s="179">
        <f>IF(AND(ISNUMBER(AT51),ISNUMBER(AO51)),IFERROR(AT51/AO51-1,""),"")</f>
        <v/>
      </c>
      <c r="AU52" s="179">
        <f>IF(AND(ISNUMBER(AU51),ISNUMBER(AP51)),IFERROR(AU51/AP51-1,""),"")</f>
        <v/>
      </c>
      <c r="AV52" s="179">
        <f>IF(AND(ISNUMBER(AV51),ISNUMBER(AQ51)),IFERROR(AV51/AQ51-1,""),"")</f>
        <v/>
      </c>
      <c r="AW52" s="179">
        <f>IF(AND(ISNUMBER(AW51),ISNUMBER(AR51)),IFERROR(AW51/AR51-1,""),"")</f>
        <v/>
      </c>
      <c r="AX52" s="179">
        <f>IF(AND(ISNUMBER(AX51),ISNUMBER(AS51)),IFERROR(AX51/AS51-1,""),"")</f>
        <v/>
      </c>
      <c r="AY52" s="179">
        <f>IF(AND(ISNUMBER(AY51),ISNUMBER(AT51)),IFERROR(AY51/AT51-1,""),"")</f>
        <v/>
      </c>
      <c r="AZ52" s="179">
        <f>IF(AND(ISNUMBER(AZ51),ISNUMBER(AU51)),IFERROR(AZ51/AU51-1,""),"")</f>
        <v/>
      </c>
      <c r="BA52" s="179">
        <f>IF(AND(ISNUMBER(BA51),ISNUMBER(AV51)),IFERROR(BA51/AV51-1,""),"")</f>
        <v/>
      </c>
      <c r="BB52" s="179">
        <f>IF(AND(ISNUMBER(BB51),ISNUMBER(AW51)),IFERROR(BB51/AW51-1,""),"")</f>
        <v/>
      </c>
      <c r="BC52" s="179">
        <f>IF(AND(ISNUMBER(BC51),ISNUMBER(AX51)),IFERROR(BC51/AX51-1,""),"")</f>
        <v/>
      </c>
      <c r="BD52" s="179">
        <f>IF(AND(ISNUMBER(BD51),ISNUMBER(AY51)),IFERROR(BD51/AY51-1,""),"")</f>
        <v/>
      </c>
      <c r="BE52" s="179">
        <f>IF(AND(ISNUMBER(BE51),ISNUMBER(AZ51)),IFERROR(BE51/AZ51-1,""),"")</f>
        <v/>
      </c>
      <c r="BF52" s="179">
        <f>IF(AND(ISNUMBER(BF51),ISNUMBER(BA51)),IFERROR(BF51/BA51-1,""),"")</f>
        <v/>
      </c>
      <c r="BG52" s="179">
        <f>IF(AND(ISNUMBER(BG51),ISNUMBER(BB51)),IFERROR(BG51/BB51-1,""),"")</f>
        <v/>
      </c>
      <c r="BH52" s="179">
        <f>IF(AND(ISNUMBER(BH51),ISNUMBER(BC51)),IFERROR(BH51/BC51-1,""),"")</f>
        <v/>
      </c>
      <c r="BI52" s="179">
        <f>IF(AND(ISNUMBER(BI51),ISNUMBER(BD51)),IFERROR(BI51/BD51-1,""),"")</f>
        <v/>
      </c>
      <c r="BJ52" s="179">
        <f>IF(AND(ISNUMBER(BJ51),ISNUMBER(BE51)),IFERROR(BJ51/BE51-1,""),"")</f>
        <v/>
      </c>
      <c r="BK52" s="179">
        <f>IF(AND(ISNUMBER(BK51),ISNUMBER(BF51)),IFERROR(BK51/BF51-1,""),"")</f>
        <v/>
      </c>
      <c r="BL52" s="179">
        <f>IF(AND(ISNUMBER(BL51),ISNUMBER(BG51)),IFERROR(BL51/BG51-1,""),"")</f>
        <v/>
      </c>
      <c r="BM52" s="179">
        <f>IF(AND(ISNUMBER(BM51),ISNUMBER(BH51)),IFERROR(BM51/BH51-1,""),"")</f>
        <v/>
      </c>
      <c r="BN52" s="179">
        <f>IF(AND(ISNUMBER(BN51),ISNUMBER(BI51)),IFERROR(BN51/BI51-1,""),"")</f>
        <v/>
      </c>
      <c r="BO52" s="179">
        <f>IF(AND(ISNUMBER(BO51),ISNUMBER(BJ51)),IFERROR(BO51/BJ51-1,""),"")</f>
        <v/>
      </c>
      <c r="BP52" s="179">
        <f>IF(AND(ISNUMBER(BP51),ISNUMBER(BK51)),IFERROR(BP51/BK51-1,""),"")</f>
        <v/>
      </c>
      <c r="BQ52" s="179">
        <f>IF(AND(ISNUMBER(BQ51),ISNUMBER(BL51)),IFERROR(BQ51/BL51-1,""),"")</f>
        <v/>
      </c>
      <c r="BR52" s="179">
        <f>IF(AND(ISNUMBER(BR51),ISNUMBER(BM51)),IFERROR(BR51/BM51-1,""),"")</f>
        <v/>
      </c>
      <c r="BS52" s="179">
        <f>IF(AND(ISNUMBER(BS51),ISNUMBER(BN51)),IFERROR(BS51/BN51-1,""),"")</f>
        <v/>
      </c>
      <c r="BT52" s="179">
        <f>IF(AND(ISNUMBER(BT51),ISNUMBER(BO51)),IFERROR(BT51/BO51-1,""),"")</f>
        <v/>
      </c>
      <c r="BU52" s="179">
        <f>IF(AND(ISNUMBER(BU51),ISNUMBER(BP51)),IFERROR(BU51/BP51-1,""),"")</f>
        <v/>
      </c>
      <c r="BV52" s="179">
        <f>IF(AND(ISNUMBER(BV51),ISNUMBER(BQ51)),IFERROR(BV51/BQ51-1,""),"")</f>
        <v/>
      </c>
      <c r="BW52" s="179">
        <f>IF(AND(ISNUMBER(BW51),ISNUMBER(BR51)),IFERROR(BW51/BR51-1,""),"")</f>
        <v/>
      </c>
      <c r="BX52" s="179">
        <f>IF(AND(ISNUMBER(BX51),ISNUMBER(BS51)),IFERROR(BX51/BS51-1,""),"")</f>
        <v/>
      </c>
      <c r="BY52" s="180">
        <f>IF(AND(ISNUMBER(BY51),ISNUMBER(BT51)),IFERROR(BY51/BT51-1,""),"")</f>
        <v/>
      </c>
      <c r="BZ52" s="180">
        <f>IF(AND(ISNUMBER(BZ51),ISNUMBER(BU51)),IFERROR(BZ51/BU51-1,""),"")</f>
        <v/>
      </c>
      <c r="CA52" s="180">
        <f>IF(AND(ISNUMBER(CA51),ISNUMBER(BV51)),IFERROR(CA51/BV51-1,""),"")</f>
        <v/>
      </c>
      <c r="CB52" s="180">
        <f>IF(AND(ISNUMBER(CB51),ISNUMBER(CA51)),IFERROR(CB51/CA51-1,""),"")</f>
        <v/>
      </c>
      <c r="CC52" s="180">
        <f>IF(AND(ISNUMBER(CC51),ISNUMBER(CB51)),IFERROR(CC51/CB51-1,""),"")</f>
        <v/>
      </c>
      <c r="CD52" s="180">
        <f>IF(AND(ISNUMBER(CD51),ISNUMBER(CC51)),IFERROR(CD51/CC51-1,""),"")</f>
        <v/>
      </c>
      <c r="CE52" s="180">
        <f>IF(AND(ISNUMBER(CE51),ISNUMBER(CD51)),IFERROR(CE51/CD51-1,""),"")</f>
        <v/>
      </c>
      <c r="CF52" s="6" t="n"/>
      <c r="CN52" s="26" t="inlineStr">
        <is>
          <t xml:space="preserve">  2028E</t>
        </is>
      </c>
      <c r="CO52" s="35">
        <f>CP52+$CO$50</f>
        <v/>
      </c>
      <c r="CP52" s="45" t="n">
        <v>0.05</v>
      </c>
      <c r="CQ52" s="35">
        <f>CP52+$CQ$50</f>
        <v/>
      </c>
    </row>
    <row r="53" ht="15" customHeight="1">
      <c r="B53" s="26" t="inlineStr">
        <is>
          <t xml:space="preserve">  Segment gross profit (GAAP; published from 2019)</t>
        </is>
      </c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  <c r="AP53" s="36" t="n"/>
      <c r="AQ53" s="174" t="n">
        <v>160.7</v>
      </c>
      <c r="AR53" s="174" t="n">
        <v>696.6</v>
      </c>
      <c r="AS53" s="36" t="n"/>
      <c r="AT53" s="36" t="n"/>
      <c r="AU53" s="36" t="n"/>
      <c r="AV53" s="36" t="n"/>
      <c r="AW53" s="36" t="n"/>
      <c r="AX53" s="174" t="n">
        <v>178</v>
      </c>
      <c r="AY53" s="174" t="n">
        <v>166</v>
      </c>
      <c r="AZ53" s="174" t="n">
        <v>159</v>
      </c>
      <c r="BA53" s="174" t="n">
        <v>198</v>
      </c>
      <c r="BB53" s="174" t="n">
        <v>702</v>
      </c>
      <c r="BC53" s="174" t="n">
        <v>171</v>
      </c>
      <c r="BD53" s="174" t="n">
        <v>152</v>
      </c>
      <c r="BE53" s="174" t="n">
        <v>151</v>
      </c>
      <c r="BF53" s="174" t="n">
        <v>170</v>
      </c>
      <c r="BG53" s="174" t="n">
        <v>644</v>
      </c>
      <c r="BH53" s="174" t="n">
        <v>185</v>
      </c>
      <c r="BI53" s="174" t="n">
        <v>182</v>
      </c>
      <c r="BJ53" s="174" t="n">
        <v>181</v>
      </c>
      <c r="BK53" s="174" t="n">
        <v>206</v>
      </c>
      <c r="BL53" s="174" t="n">
        <v>754</v>
      </c>
      <c r="BM53" s="174" t="n">
        <v>190</v>
      </c>
      <c r="BN53" s="174" t="n">
        <v>205</v>
      </c>
      <c r="BO53" s="174" t="n">
        <v>207</v>
      </c>
      <c r="BP53" s="174" t="n">
        <v>241</v>
      </c>
      <c r="BQ53" s="174" t="n">
        <v>843</v>
      </c>
      <c r="BR53" s="174" t="n">
        <v>215</v>
      </c>
      <c r="BS53" s="174" t="n">
        <v>241</v>
      </c>
      <c r="BT53" s="174" t="n">
        <v>252</v>
      </c>
      <c r="BU53" s="174" t="n">
        <v>263</v>
      </c>
      <c r="BV53" s="174" t="n">
        <v>971</v>
      </c>
      <c r="BW53" s="174" t="n">
        <v>273</v>
      </c>
      <c r="BX53" s="174" t="n">
        <v>307</v>
      </c>
      <c r="BY53" s="37" t="n"/>
      <c r="BZ53" s="37" t="n"/>
      <c r="CA53" s="37" t="n"/>
      <c r="CB53" s="37" t="n"/>
      <c r="CC53" s="37" t="n"/>
      <c r="CD53" s="37" t="n"/>
      <c r="CE53" s="37" t="n"/>
      <c r="CF53" s="20" t="n"/>
      <c r="CN53" s="26" t="inlineStr">
        <is>
          <t xml:space="preserve">  2029E</t>
        </is>
      </c>
      <c r="CO53" s="35">
        <f>CP53+$CO$50</f>
        <v/>
      </c>
      <c r="CP53" s="45" t="n">
        <v>0.04</v>
      </c>
      <c r="CQ53" s="35">
        <f>CP53+$CQ$50</f>
        <v/>
      </c>
    </row>
    <row r="54" collapsed="1" ht="15" customHeight="1">
      <c r="B54" s="26" t="inlineStr">
        <is>
          <t xml:space="preserve">  Segment gross margin %</t>
        </is>
      </c>
      <c r="C54" s="187">
        <f>IF(AND(ISNUMBER(C53),ISNUMBER(C51)),IFERROR(C53/C51,""),"")</f>
        <v/>
      </c>
      <c r="D54" s="187">
        <f>IF(AND(ISNUMBER(D53),ISNUMBER(D51)),IFERROR(D53/D51,""),"")</f>
        <v/>
      </c>
      <c r="E54" s="187">
        <f>IF(AND(ISNUMBER(E53),ISNUMBER(E51)),IFERROR(E53/E51,""),"")</f>
        <v/>
      </c>
      <c r="F54" s="187">
        <f>IF(AND(ISNUMBER(F53),ISNUMBER(F51)),IFERROR(F53/F51,""),"")</f>
        <v/>
      </c>
      <c r="G54" s="187">
        <f>IF(AND(ISNUMBER(G53),ISNUMBER(G51)),IFERROR(G53/G51,""),"")</f>
        <v/>
      </c>
      <c r="H54" s="187">
        <f>IF(AND(ISNUMBER(H53),ISNUMBER(H51)),IFERROR(H53/H51,""),"")</f>
        <v/>
      </c>
      <c r="I54" s="187">
        <f>IF(AND(ISNUMBER(I53),ISNUMBER(I51)),IFERROR(I53/I51,""),"")</f>
        <v/>
      </c>
      <c r="J54" s="187">
        <f>IF(AND(ISNUMBER(J53),ISNUMBER(J51)),IFERROR(J53/J51,""),"")</f>
        <v/>
      </c>
      <c r="K54" s="187">
        <f>IF(AND(ISNUMBER(K53),ISNUMBER(K51)),IFERROR(K53/K51,""),"")</f>
        <v/>
      </c>
      <c r="L54" s="187">
        <f>IF(AND(ISNUMBER(L53),ISNUMBER(L51)),IFERROR(L53/L51,""),"")</f>
        <v/>
      </c>
      <c r="M54" s="187">
        <f>IF(AND(ISNUMBER(M53),ISNUMBER(M51)),IFERROR(M53/M51,""),"")</f>
        <v/>
      </c>
      <c r="N54" s="187">
        <f>IF(AND(ISNUMBER(N53),ISNUMBER(N51)),IFERROR(N53/N51,""),"")</f>
        <v/>
      </c>
      <c r="O54" s="187">
        <f>IF(AND(ISNUMBER(O53),ISNUMBER(O51)),IFERROR(O53/O51,""),"")</f>
        <v/>
      </c>
      <c r="P54" s="187">
        <f>IF(AND(ISNUMBER(P53),ISNUMBER(P51)),IFERROR(P53/P51,""),"")</f>
        <v/>
      </c>
      <c r="Q54" s="187">
        <f>IF(AND(ISNUMBER(Q53),ISNUMBER(Q51)),IFERROR(Q53/Q51,""),"")</f>
        <v/>
      </c>
      <c r="R54" s="187">
        <f>IF(AND(ISNUMBER(R53),ISNUMBER(R51)),IFERROR(R53/R51,""),"")</f>
        <v/>
      </c>
      <c r="S54" s="187">
        <f>IF(AND(ISNUMBER(S53),ISNUMBER(S51)),IFERROR(S53/S51,""),"")</f>
        <v/>
      </c>
      <c r="T54" s="187">
        <f>IF(AND(ISNUMBER(T53),ISNUMBER(T51)),IFERROR(T53/T51,""),"")</f>
        <v/>
      </c>
      <c r="U54" s="187">
        <f>IF(AND(ISNUMBER(U53),ISNUMBER(U51)),IFERROR(U53/U51,""),"")</f>
        <v/>
      </c>
      <c r="V54" s="187">
        <f>IF(AND(ISNUMBER(V53),ISNUMBER(V51)),IFERROR(V53/V51,""),"")</f>
        <v/>
      </c>
      <c r="W54" s="187">
        <f>IF(AND(ISNUMBER(W53),ISNUMBER(W51)),IFERROR(W53/W51,""),"")</f>
        <v/>
      </c>
      <c r="X54" s="187">
        <f>IF(AND(ISNUMBER(X53),ISNUMBER(X51)),IFERROR(X53/X51,""),"")</f>
        <v/>
      </c>
      <c r="Y54" s="187">
        <f>IF(AND(ISNUMBER(Y53),ISNUMBER(Y51)),IFERROR(Y53/Y51,""),"")</f>
        <v/>
      </c>
      <c r="Z54" s="187">
        <f>IF(AND(ISNUMBER(Z53),ISNUMBER(Z51)),IFERROR(Z53/Z51,""),"")</f>
        <v/>
      </c>
      <c r="AA54" s="187">
        <f>IF(AND(ISNUMBER(AA53),ISNUMBER(AA51)),IFERROR(AA53/AA51,""),"")</f>
        <v/>
      </c>
      <c r="AB54" s="187">
        <f>IF(AND(ISNUMBER(AB53),ISNUMBER(AB51)),IFERROR(AB53/AB51,""),"")</f>
        <v/>
      </c>
      <c r="AC54" s="187">
        <f>IF(AND(ISNUMBER(AC53),ISNUMBER(AC51)),IFERROR(AC53/AC51,""),"")</f>
        <v/>
      </c>
      <c r="AD54" s="187">
        <f>IF(AND(ISNUMBER(AD53),ISNUMBER(AD51)),IFERROR(AD53/AD51,""),"")</f>
        <v/>
      </c>
      <c r="AE54" s="187">
        <f>IF(AND(ISNUMBER(AE53),ISNUMBER(AE51)),IFERROR(AE53/AE51,""),"")</f>
        <v/>
      </c>
      <c r="AF54" s="187">
        <f>IF(AND(ISNUMBER(AF53),ISNUMBER(AF51)),IFERROR(AF53/AF51,""),"")</f>
        <v/>
      </c>
      <c r="AG54" s="187">
        <f>IF(AND(ISNUMBER(AG53),ISNUMBER(AG51)),IFERROR(AG53/AG51,""),"")</f>
        <v/>
      </c>
      <c r="AH54" s="187">
        <f>IF(AND(ISNUMBER(AH53),ISNUMBER(AH51)),IFERROR(AH53/AH51,""),"")</f>
        <v/>
      </c>
      <c r="AI54" s="187">
        <f>IF(AND(ISNUMBER(AI53),ISNUMBER(AI51)),IFERROR(AI53/AI51,""),"")</f>
        <v/>
      </c>
      <c r="AJ54" s="187">
        <f>IF(AND(ISNUMBER(AJ53),ISNUMBER(AJ51)),IFERROR(AJ53/AJ51,""),"")</f>
        <v/>
      </c>
      <c r="AK54" s="187">
        <f>IF(AND(ISNUMBER(AK53),ISNUMBER(AK51)),IFERROR(AK53/AK51,""),"")</f>
        <v/>
      </c>
      <c r="AL54" s="187">
        <f>IF(AND(ISNUMBER(AL53),ISNUMBER(AL51)),IFERROR(AL53/AL51,""),"")</f>
        <v/>
      </c>
      <c r="AM54" s="187">
        <f>IF(AND(ISNUMBER(AM53),ISNUMBER(AM51)),IFERROR(AM53/AM51,""),"")</f>
        <v/>
      </c>
      <c r="AN54" s="187">
        <f>IF(AND(ISNUMBER(AN53),ISNUMBER(AN51)),IFERROR(AN53/AN51,""),"")</f>
        <v/>
      </c>
      <c r="AO54" s="187">
        <f>IF(AND(ISNUMBER(AO53),ISNUMBER(AO51)),IFERROR(AO53/AO51,""),"")</f>
        <v/>
      </c>
      <c r="AP54" s="187">
        <f>IF(AND(ISNUMBER(AP53),ISNUMBER(AP51)),IFERROR(AP53/AP51,""),"")</f>
        <v/>
      </c>
      <c r="AQ54" s="187">
        <f>IF(AND(ISNUMBER(AQ53),ISNUMBER(AQ51)),IFERROR(AQ53/AQ51,""),"")</f>
        <v/>
      </c>
      <c r="AR54" s="187">
        <f>IF(AND(ISNUMBER(AR53),ISNUMBER(AR51)),IFERROR(AR53/AR51,""),"")</f>
        <v/>
      </c>
      <c r="AS54" s="187">
        <f>IF(AND(ISNUMBER(AS53),ISNUMBER(AS51)),IFERROR(AS53/AS51,""),"")</f>
        <v/>
      </c>
      <c r="AT54" s="187">
        <f>IF(AND(ISNUMBER(AT53),ISNUMBER(AT51)),IFERROR(AT53/AT51,""),"")</f>
        <v/>
      </c>
      <c r="AU54" s="187">
        <f>IF(AND(ISNUMBER(AU53),ISNUMBER(AU51)),IFERROR(AU53/AU51,""),"")</f>
        <v/>
      </c>
      <c r="AV54" s="187">
        <f>IF(AND(ISNUMBER(AV53),ISNUMBER(AV51)),IFERROR(AV53/AV51,""),"")</f>
        <v/>
      </c>
      <c r="AW54" s="187">
        <f>IF(AND(ISNUMBER(AW53),ISNUMBER(AW51)),IFERROR(AW53/AW51,""),"")</f>
        <v/>
      </c>
      <c r="AX54" s="187">
        <f>IF(AND(ISNUMBER(AX53),ISNUMBER(AX51)),IFERROR(AX53/AX51,""),"")</f>
        <v/>
      </c>
      <c r="AY54" s="187">
        <f>IF(AND(ISNUMBER(AY53),ISNUMBER(AY51)),IFERROR(AY53/AY51,""),"")</f>
        <v/>
      </c>
      <c r="AZ54" s="187">
        <f>IF(AND(ISNUMBER(AZ53),ISNUMBER(AZ51)),IFERROR(AZ53/AZ51,""),"")</f>
        <v/>
      </c>
      <c r="BA54" s="187">
        <f>IF(AND(ISNUMBER(BA53),ISNUMBER(BA51)),IFERROR(BA53/BA51,""),"")</f>
        <v/>
      </c>
      <c r="BB54" s="187">
        <f>IF(AND(ISNUMBER(BB53),ISNUMBER(BB51)),IFERROR(BB53/BB51,""),"")</f>
        <v/>
      </c>
      <c r="BC54" s="187">
        <f>IF(AND(ISNUMBER(BC53),ISNUMBER(BC51)),IFERROR(BC53/BC51,""),"")</f>
        <v/>
      </c>
      <c r="BD54" s="187">
        <f>IF(AND(ISNUMBER(BD53),ISNUMBER(BD51)),IFERROR(BD53/BD51,""),"")</f>
        <v/>
      </c>
      <c r="BE54" s="187">
        <f>IF(AND(ISNUMBER(BE53),ISNUMBER(BE51)),IFERROR(BE53/BE51,""),"")</f>
        <v/>
      </c>
      <c r="BF54" s="187">
        <f>IF(AND(ISNUMBER(BF53),ISNUMBER(BF51)),IFERROR(BF53/BF51,""),"")</f>
        <v/>
      </c>
      <c r="BG54" s="187">
        <f>IF(AND(ISNUMBER(BG53),ISNUMBER(BG51)),IFERROR(BG53/BG51,""),"")</f>
        <v/>
      </c>
      <c r="BH54" s="187">
        <f>IF(AND(ISNUMBER(BH53),ISNUMBER(BH51)),IFERROR(BH53/BH51,""),"")</f>
        <v/>
      </c>
      <c r="BI54" s="187">
        <f>IF(AND(ISNUMBER(BI53),ISNUMBER(BI51)),IFERROR(BI53/BI51,""),"")</f>
        <v/>
      </c>
      <c r="BJ54" s="187">
        <f>IF(AND(ISNUMBER(BJ53),ISNUMBER(BJ51)),IFERROR(BJ53/BJ51,""),"")</f>
        <v/>
      </c>
      <c r="BK54" s="187">
        <f>IF(AND(ISNUMBER(BK53),ISNUMBER(BK51)),IFERROR(BK53/BK51,""),"")</f>
        <v/>
      </c>
      <c r="BL54" s="187">
        <f>IF(AND(ISNUMBER(BL53),ISNUMBER(BL51)),IFERROR(BL53/BL51,""),"")</f>
        <v/>
      </c>
      <c r="BM54" s="187">
        <f>IF(AND(ISNUMBER(BM53),ISNUMBER(BM51)),IFERROR(BM53/BM51,""),"")</f>
        <v/>
      </c>
      <c r="BN54" s="187">
        <f>IF(AND(ISNUMBER(BN53),ISNUMBER(BN51)),IFERROR(BN53/BN51,""),"")</f>
        <v/>
      </c>
      <c r="BO54" s="187">
        <f>IF(AND(ISNUMBER(BO53),ISNUMBER(BO51)),IFERROR(BO53/BO51,""),"")</f>
        <v/>
      </c>
      <c r="BP54" s="187">
        <f>IF(AND(ISNUMBER(BP53),ISNUMBER(BP51)),IFERROR(BP53/BP51,""),"")</f>
        <v/>
      </c>
      <c r="BQ54" s="187">
        <f>IF(AND(ISNUMBER(BQ53),ISNUMBER(BQ51)),IFERROR(BQ53/BQ51,""),"")</f>
        <v/>
      </c>
      <c r="BR54" s="187">
        <f>IF(AND(ISNUMBER(BR53),ISNUMBER(BR51)),IFERROR(BR53/BR51,""),"")</f>
        <v/>
      </c>
      <c r="BS54" s="187">
        <f>IF(AND(ISNUMBER(BS53),ISNUMBER(BS51)),IFERROR(BS53/BS51,""),"")</f>
        <v/>
      </c>
      <c r="BT54" s="187">
        <f>IF(AND(ISNUMBER(BT53),ISNUMBER(BT51)),IFERROR(BT53/BT51,""),"")</f>
        <v/>
      </c>
      <c r="BU54" s="187">
        <f>IF(AND(ISNUMBER(BU53),ISNUMBER(BU51)),IFERROR(BU53/BU51,""),"")</f>
        <v/>
      </c>
      <c r="BV54" s="187">
        <f>IF(AND(ISNUMBER(BV53),ISNUMBER(BV51)),IFERROR(BV53/BV51,""),"")</f>
        <v/>
      </c>
      <c r="BW54" s="187">
        <f>IF(AND(ISNUMBER(BW53),ISNUMBER(BW51)),IFERROR(BW53/BW51,""),"")</f>
        <v/>
      </c>
      <c r="BX54" s="187">
        <f>IF(AND(ISNUMBER(BX53),ISNUMBER(BX51)),IFERROR(BX53/BX51,""),"")</f>
        <v/>
      </c>
      <c r="BY54" s="25" t="n"/>
      <c r="BZ54" s="25" t="n"/>
      <c r="CA54" s="25" t="n"/>
      <c r="CB54" s="25" t="n"/>
      <c r="CC54" s="25" t="n"/>
      <c r="CD54" s="25" t="n"/>
      <c r="CE54" s="25" t="n"/>
      <c r="CF54" s="6" t="n"/>
      <c r="CH54" s="39">
        <f>IFERROR(AVERAGE(CA54,CB54,CC54,CD54,CE54),"n/m")</f>
        <v/>
      </c>
      <c r="CI54" s="39">
        <f>IFERROR(AVERAGE(BB54,BG54,BL54,BQ54,BV54),"n/m")</f>
        <v/>
      </c>
      <c r="CJ54" s="39">
        <f>IFERROR(AVERAGE(AC54,AH54,AM54,AR54,AW54,BB54,BG54,BL54,BQ54,BV54),"n/m")</f>
        <v/>
      </c>
      <c r="CK54" s="39">
        <f>IFERROR(AVERAGE(C54,D54,E54,F54,G54,H54,I54,N54,S54,X54,AC54,AH54,AM54,AR54,AW54,BB54,BG54,BL54,BQ54,BV54),"n/m")</f>
        <v/>
      </c>
      <c r="CN54" s="26" t="inlineStr">
        <is>
          <t xml:space="preserve">  2030E</t>
        </is>
      </c>
      <c r="CO54" s="35">
        <f>CP54+$CO$50</f>
        <v/>
      </c>
      <c r="CP54" s="45" t="n">
        <v>0.04</v>
      </c>
      <c r="CQ54" s="35">
        <f>CP54+$CQ$50</f>
        <v/>
      </c>
    </row>
    <row r="55" ht="15" customHeight="1">
      <c r="B55" s="17" t="inlineStr">
        <is>
          <t xml:space="preserve">  Transit adjusted income from operations (company definition)</t>
        </is>
      </c>
      <c r="C55" s="46" t="n"/>
      <c r="D55" s="46" t="n"/>
      <c r="E55" s="46" t="n"/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46" t="n"/>
      <c r="AE55" s="46" t="n"/>
      <c r="AF55" s="46" t="n"/>
      <c r="AG55" s="46" t="n"/>
      <c r="AH55" s="46" t="n"/>
      <c r="AI55" s="46" t="n"/>
      <c r="AJ55" s="46" t="n"/>
      <c r="AK55" s="46" t="n"/>
      <c r="AL55" s="184" t="n">
        <v>74</v>
      </c>
      <c r="AM55" s="184" t="n">
        <v>269</v>
      </c>
      <c r="AN55" s="46" t="n"/>
      <c r="AO55" s="46" t="n"/>
      <c r="AP55" s="46" t="n"/>
      <c r="AQ55" s="46" t="n"/>
      <c r="AR55" s="46" t="n"/>
      <c r="AS55" s="184" t="n">
        <v>74.59999999999999</v>
      </c>
      <c r="AT55" s="184" t="n">
        <v>51.3</v>
      </c>
      <c r="AU55" s="184" t="n">
        <v>75.09999999999999</v>
      </c>
      <c r="AV55" s="184" t="n">
        <v>77.09999999999999</v>
      </c>
      <c r="AW55" s="184" t="n">
        <v>278.1</v>
      </c>
      <c r="AX55" s="184" t="n">
        <v>78.90000000000001</v>
      </c>
      <c r="AY55" s="184" t="n">
        <v>73.2</v>
      </c>
      <c r="AZ55" s="184" t="n">
        <v>76.5</v>
      </c>
      <c r="BA55" s="184" t="n">
        <v>88</v>
      </c>
      <c r="BB55" s="184" t="n">
        <v>317</v>
      </c>
      <c r="BC55" s="184" t="n">
        <v>74</v>
      </c>
      <c r="BD55" s="184" t="n">
        <v>58</v>
      </c>
      <c r="BE55" s="184" t="n">
        <v>60</v>
      </c>
      <c r="BF55" s="184" t="n">
        <v>95</v>
      </c>
      <c r="BG55" s="184" t="n">
        <v>287</v>
      </c>
      <c r="BH55" s="184" t="n">
        <v>83</v>
      </c>
      <c r="BI55" s="184" t="n">
        <v>76</v>
      </c>
      <c r="BJ55" s="184" t="n">
        <v>83</v>
      </c>
      <c r="BK55" s="184" t="n">
        <v>108</v>
      </c>
      <c r="BL55" s="184" t="n">
        <v>348</v>
      </c>
      <c r="BM55" s="184" t="n">
        <v>86</v>
      </c>
      <c r="BN55" s="184" t="n">
        <v>91</v>
      </c>
      <c r="BO55" s="184" t="n">
        <v>93</v>
      </c>
      <c r="BP55" s="184" t="n">
        <v>130</v>
      </c>
      <c r="BQ55" s="184" t="n">
        <v>400</v>
      </c>
      <c r="BR55" s="184" t="n">
        <v>103</v>
      </c>
      <c r="BS55" s="184" t="n">
        <v>120</v>
      </c>
      <c r="BT55" s="184" t="n">
        <v>123</v>
      </c>
      <c r="BU55" s="184" t="n">
        <v>118</v>
      </c>
      <c r="BV55" s="184" t="n">
        <v>464</v>
      </c>
      <c r="BW55" s="184" t="n">
        <v>138</v>
      </c>
      <c r="BX55" s="184" t="n">
        <v>166</v>
      </c>
      <c r="BY55" s="185">
        <f>BY51*BY56</f>
        <v/>
      </c>
      <c r="BZ55" s="185">
        <f>BZ51*BZ56</f>
        <v/>
      </c>
      <c r="CA55" s="185">
        <f>SUM(BW55,BX55,BY55,BZ55)</f>
        <v/>
      </c>
      <c r="CB55" s="185">
        <f>CB51*CB56</f>
        <v/>
      </c>
      <c r="CC55" s="185">
        <f>CC51*CC56</f>
        <v/>
      </c>
      <c r="CD55" s="185">
        <f>CD51*CD56</f>
        <v/>
      </c>
      <c r="CE55" s="185">
        <f>CE51*CE56</f>
        <v/>
      </c>
      <c r="CF55" s="6" t="inlineStr">
        <is>
          <t>Segment adjusted operating income as published (segment Reported→Adjusted tables). Forecast = segment sales × adjusted operating margin.</t>
        </is>
      </c>
      <c r="CH55" s="21">
        <f>IFERROR((CE55/BV55)^(1/5)-1,"n/m")</f>
        <v/>
      </c>
      <c r="CI55" s="21">
        <f>IFERROR((BV55/AW55)^(1/5)-1,"n/m")</f>
        <v/>
      </c>
      <c r="CJ55" s="21">
        <f>IFERROR((BV55/X55)^(1/10)-1,"n/m")</f>
        <v/>
      </c>
      <c r="CK55" s="21">
        <f>IFERROR((BV55/C55)^(1/19)-1,"n/m")</f>
        <v/>
      </c>
      <c r="CN55" s="16" t="inlineStr">
        <is>
          <t>TRN_AM (Transit aftermarket sales y/y)</t>
        </is>
      </c>
      <c r="CO55" s="44" t="n">
        <v>0.02</v>
      </c>
      <c r="CP55" s="22" t="inlineStr">
        <is>
          <t>Δ →</t>
        </is>
      </c>
      <c r="CQ55" s="44" t="n">
        <v>-0.02</v>
      </c>
      <c r="CR55" s="14" t="inlineStr">
        <is>
          <t>Installed-base aftermarket (~60% of Transit); pricing.</t>
        </is>
      </c>
    </row>
    <row r="56" ht="15" customHeight="1">
      <c r="B56" s="26" t="inlineStr">
        <is>
          <t xml:space="preserve">  Adjusted operating margin %</t>
        </is>
      </c>
      <c r="C56" s="187">
        <f>IF(AND(ISNUMBER(C55),ISNUMBER(C51)),IFERROR(C55/C51,""),"")</f>
        <v/>
      </c>
      <c r="D56" s="187">
        <f>IF(AND(ISNUMBER(D55),ISNUMBER(D51)),IFERROR(D55/D51,""),"")</f>
        <v/>
      </c>
      <c r="E56" s="187">
        <f>IF(AND(ISNUMBER(E55),ISNUMBER(E51)),IFERROR(E55/E51,""),"")</f>
        <v/>
      </c>
      <c r="F56" s="187">
        <f>IF(AND(ISNUMBER(F55),ISNUMBER(F51)),IFERROR(F55/F51,""),"")</f>
        <v/>
      </c>
      <c r="G56" s="187">
        <f>IF(AND(ISNUMBER(G55),ISNUMBER(G51)),IFERROR(G55/G51,""),"")</f>
        <v/>
      </c>
      <c r="H56" s="187">
        <f>IF(AND(ISNUMBER(H55),ISNUMBER(H51)),IFERROR(H55/H51,""),"")</f>
        <v/>
      </c>
      <c r="I56" s="187">
        <f>IF(AND(ISNUMBER(I55),ISNUMBER(I51)),IFERROR(I55/I51,""),"")</f>
        <v/>
      </c>
      <c r="J56" s="187">
        <f>IF(AND(ISNUMBER(J55),ISNUMBER(J51)),IFERROR(J55/J51,""),"")</f>
        <v/>
      </c>
      <c r="K56" s="187">
        <f>IF(AND(ISNUMBER(K55),ISNUMBER(K51)),IFERROR(K55/K51,""),"")</f>
        <v/>
      </c>
      <c r="L56" s="187">
        <f>IF(AND(ISNUMBER(L55),ISNUMBER(L51)),IFERROR(L55/L51,""),"")</f>
        <v/>
      </c>
      <c r="M56" s="187">
        <f>IF(AND(ISNUMBER(M55),ISNUMBER(M51)),IFERROR(M55/M51,""),"")</f>
        <v/>
      </c>
      <c r="N56" s="187">
        <f>IF(AND(ISNUMBER(N55),ISNUMBER(N51)),IFERROR(N55/N51,""),"")</f>
        <v/>
      </c>
      <c r="O56" s="187">
        <f>IF(AND(ISNUMBER(O55),ISNUMBER(O51)),IFERROR(O55/O51,""),"")</f>
        <v/>
      </c>
      <c r="P56" s="187">
        <f>IF(AND(ISNUMBER(P55),ISNUMBER(P51)),IFERROR(P55/P51,""),"")</f>
        <v/>
      </c>
      <c r="Q56" s="187">
        <f>IF(AND(ISNUMBER(Q55),ISNUMBER(Q51)),IFERROR(Q55/Q51,""),"")</f>
        <v/>
      </c>
      <c r="R56" s="187">
        <f>IF(AND(ISNUMBER(R55),ISNUMBER(R51)),IFERROR(R55/R51,""),"")</f>
        <v/>
      </c>
      <c r="S56" s="187">
        <f>IF(AND(ISNUMBER(S55),ISNUMBER(S51)),IFERROR(S55/S51,""),"")</f>
        <v/>
      </c>
      <c r="T56" s="187">
        <f>IF(AND(ISNUMBER(T55),ISNUMBER(T51)),IFERROR(T55/T51,""),"")</f>
        <v/>
      </c>
      <c r="U56" s="187">
        <f>IF(AND(ISNUMBER(U55),ISNUMBER(U51)),IFERROR(U55/U51,""),"")</f>
        <v/>
      </c>
      <c r="V56" s="187">
        <f>IF(AND(ISNUMBER(V55),ISNUMBER(V51)),IFERROR(V55/V51,""),"")</f>
        <v/>
      </c>
      <c r="W56" s="187">
        <f>IF(AND(ISNUMBER(W55),ISNUMBER(W51)),IFERROR(W55/W51,""),"")</f>
        <v/>
      </c>
      <c r="X56" s="187">
        <f>IF(AND(ISNUMBER(X55),ISNUMBER(X51)),IFERROR(X55/X51,""),"")</f>
        <v/>
      </c>
      <c r="Y56" s="187">
        <f>IF(AND(ISNUMBER(Y55),ISNUMBER(Y51)),IFERROR(Y55/Y51,""),"")</f>
        <v/>
      </c>
      <c r="Z56" s="187">
        <f>IF(AND(ISNUMBER(Z55),ISNUMBER(Z51)),IFERROR(Z55/Z51,""),"")</f>
        <v/>
      </c>
      <c r="AA56" s="187">
        <f>IF(AND(ISNUMBER(AA55),ISNUMBER(AA51)),IFERROR(AA55/AA51,""),"")</f>
        <v/>
      </c>
      <c r="AB56" s="187">
        <f>IF(AND(ISNUMBER(AB55),ISNUMBER(AB51)),IFERROR(AB55/AB51,""),"")</f>
        <v/>
      </c>
      <c r="AC56" s="187">
        <f>IF(AND(ISNUMBER(AC55),ISNUMBER(AC51)),IFERROR(AC55/AC51,""),"")</f>
        <v/>
      </c>
      <c r="AD56" s="187">
        <f>IF(AND(ISNUMBER(AD55),ISNUMBER(AD51)),IFERROR(AD55/AD51,""),"")</f>
        <v/>
      </c>
      <c r="AE56" s="187">
        <f>IF(AND(ISNUMBER(AE55),ISNUMBER(AE51)),IFERROR(AE55/AE51,""),"")</f>
        <v/>
      </c>
      <c r="AF56" s="187">
        <f>IF(AND(ISNUMBER(AF55),ISNUMBER(AF51)),IFERROR(AF55/AF51,""),"")</f>
        <v/>
      </c>
      <c r="AG56" s="187">
        <f>IF(AND(ISNUMBER(AG55),ISNUMBER(AG51)),IFERROR(AG55/AG51,""),"")</f>
        <v/>
      </c>
      <c r="AH56" s="187">
        <f>IF(AND(ISNUMBER(AH55),ISNUMBER(AH51)),IFERROR(AH55/AH51,""),"")</f>
        <v/>
      </c>
      <c r="AI56" s="187">
        <f>IF(AND(ISNUMBER(AI55),ISNUMBER(AI51)),IFERROR(AI55/AI51,""),"")</f>
        <v/>
      </c>
      <c r="AJ56" s="187">
        <f>IF(AND(ISNUMBER(AJ55),ISNUMBER(AJ51)),IFERROR(AJ55/AJ51,""),"")</f>
        <v/>
      </c>
      <c r="AK56" s="187">
        <f>IF(AND(ISNUMBER(AK55),ISNUMBER(AK51)),IFERROR(AK55/AK51,""),"")</f>
        <v/>
      </c>
      <c r="AL56" s="187">
        <f>IF(AND(ISNUMBER(AL55),ISNUMBER(AL51)),IFERROR(AL55/AL51,""),"")</f>
        <v/>
      </c>
      <c r="AM56" s="187">
        <f>IF(AND(ISNUMBER(AM55),ISNUMBER(AM51)),IFERROR(AM55/AM51,""),"")</f>
        <v/>
      </c>
      <c r="AN56" s="187">
        <f>IF(AND(ISNUMBER(AN55),ISNUMBER(AN51)),IFERROR(AN55/AN51,""),"")</f>
        <v/>
      </c>
      <c r="AO56" s="187">
        <f>IF(AND(ISNUMBER(AO55),ISNUMBER(AO51)),IFERROR(AO55/AO51,""),"")</f>
        <v/>
      </c>
      <c r="AP56" s="187">
        <f>IF(AND(ISNUMBER(AP55),ISNUMBER(AP51)),IFERROR(AP55/AP51,""),"")</f>
        <v/>
      </c>
      <c r="AQ56" s="187">
        <f>IF(AND(ISNUMBER(AQ55),ISNUMBER(AQ51)),IFERROR(AQ55/AQ51,""),"")</f>
        <v/>
      </c>
      <c r="AR56" s="187">
        <f>IF(AND(ISNUMBER(AR55),ISNUMBER(AR51)),IFERROR(AR55/AR51,""),"")</f>
        <v/>
      </c>
      <c r="AS56" s="187">
        <f>IF(AND(ISNUMBER(AS55),ISNUMBER(AS51)),IFERROR(AS55/AS51,""),"")</f>
        <v/>
      </c>
      <c r="AT56" s="187">
        <f>IF(AND(ISNUMBER(AT55),ISNUMBER(AT51)),IFERROR(AT55/AT51,""),"")</f>
        <v/>
      </c>
      <c r="AU56" s="187">
        <f>IF(AND(ISNUMBER(AU55),ISNUMBER(AU51)),IFERROR(AU55/AU51,""),"")</f>
        <v/>
      </c>
      <c r="AV56" s="187">
        <f>IF(AND(ISNUMBER(AV55),ISNUMBER(AV51)),IFERROR(AV55/AV51,""),"")</f>
        <v/>
      </c>
      <c r="AW56" s="187">
        <f>IF(AND(ISNUMBER(AW55),ISNUMBER(AW51)),IFERROR(AW55/AW51,""),"")</f>
        <v/>
      </c>
      <c r="AX56" s="187">
        <f>IF(AND(ISNUMBER(AX55),ISNUMBER(AX51)),IFERROR(AX55/AX51,""),"")</f>
        <v/>
      </c>
      <c r="AY56" s="187">
        <f>IF(AND(ISNUMBER(AY55),ISNUMBER(AY51)),IFERROR(AY55/AY51,""),"")</f>
        <v/>
      </c>
      <c r="AZ56" s="187">
        <f>IF(AND(ISNUMBER(AZ55),ISNUMBER(AZ51)),IFERROR(AZ55/AZ51,""),"")</f>
        <v/>
      </c>
      <c r="BA56" s="187">
        <f>IF(AND(ISNUMBER(BA55),ISNUMBER(BA51)),IFERROR(BA55/BA51,""),"")</f>
        <v/>
      </c>
      <c r="BB56" s="187">
        <f>IF(AND(ISNUMBER(BB55),ISNUMBER(BB51)),IFERROR(BB55/BB51,""),"")</f>
        <v/>
      </c>
      <c r="BC56" s="187">
        <f>IF(AND(ISNUMBER(BC55),ISNUMBER(BC51)),IFERROR(BC55/BC51,""),"")</f>
        <v/>
      </c>
      <c r="BD56" s="187">
        <f>IF(AND(ISNUMBER(BD55),ISNUMBER(BD51)),IFERROR(BD55/BD51,""),"")</f>
        <v/>
      </c>
      <c r="BE56" s="187">
        <f>IF(AND(ISNUMBER(BE55),ISNUMBER(BE51)),IFERROR(BE55/BE51,""),"")</f>
        <v/>
      </c>
      <c r="BF56" s="187">
        <f>IF(AND(ISNUMBER(BF55),ISNUMBER(BF51)),IFERROR(BF55/BF51,""),"")</f>
        <v/>
      </c>
      <c r="BG56" s="187">
        <f>IF(AND(ISNUMBER(BG55),ISNUMBER(BG51)),IFERROR(BG55/BG51,""),"")</f>
        <v/>
      </c>
      <c r="BH56" s="187">
        <f>IF(AND(ISNUMBER(BH55),ISNUMBER(BH51)),IFERROR(BH55/BH51,""),"")</f>
        <v/>
      </c>
      <c r="BI56" s="187">
        <f>IF(AND(ISNUMBER(BI55),ISNUMBER(BI51)),IFERROR(BI55/BI51,""),"")</f>
        <v/>
      </c>
      <c r="BJ56" s="187">
        <f>IF(AND(ISNUMBER(BJ55),ISNUMBER(BJ51)),IFERROR(BJ55/BJ51,""),"")</f>
        <v/>
      </c>
      <c r="BK56" s="187">
        <f>IF(AND(ISNUMBER(BK55),ISNUMBER(BK51)),IFERROR(BK55/BK51,""),"")</f>
        <v/>
      </c>
      <c r="BL56" s="187">
        <f>IF(AND(ISNUMBER(BL55),ISNUMBER(BL51)),IFERROR(BL55/BL51,""),"")</f>
        <v/>
      </c>
      <c r="BM56" s="187">
        <f>IF(AND(ISNUMBER(BM55),ISNUMBER(BM51)),IFERROR(BM55/BM51,""),"")</f>
        <v/>
      </c>
      <c r="BN56" s="187">
        <f>IF(AND(ISNUMBER(BN55),ISNUMBER(BN51)),IFERROR(BN55/BN51,""),"")</f>
        <v/>
      </c>
      <c r="BO56" s="187">
        <f>IF(AND(ISNUMBER(BO55),ISNUMBER(BO51)),IFERROR(BO55/BO51,""),"")</f>
        <v/>
      </c>
      <c r="BP56" s="187">
        <f>IF(AND(ISNUMBER(BP55),ISNUMBER(BP51)),IFERROR(BP55/BP51,""),"")</f>
        <v/>
      </c>
      <c r="BQ56" s="187">
        <f>IF(AND(ISNUMBER(BQ55),ISNUMBER(BQ51)),IFERROR(BQ55/BQ51,""),"")</f>
        <v/>
      </c>
      <c r="BR56" s="187">
        <f>IF(AND(ISNUMBER(BR55),ISNUMBER(BR51)),IFERROR(BR55/BR51,""),"")</f>
        <v/>
      </c>
      <c r="BS56" s="187">
        <f>IF(AND(ISNUMBER(BS55),ISNUMBER(BS51)),IFERROR(BS55/BS51,""),"")</f>
        <v/>
      </c>
      <c r="BT56" s="187">
        <f>IF(AND(ISNUMBER(BT55),ISNUMBER(BT51)),IFERROR(BT55/BT51,""),"")</f>
        <v/>
      </c>
      <c r="BU56" s="187">
        <f>IF(AND(ISNUMBER(BU55),ISNUMBER(BU51)),IFERROR(BU55/BU51,""),"")</f>
        <v/>
      </c>
      <c r="BV56" s="187">
        <f>IF(AND(ISNUMBER(BV55),ISNUMBER(BV51)),IFERROR(BV55/BV51,""),"")</f>
        <v/>
      </c>
      <c r="BW56" s="187">
        <f>IF(AND(ISNUMBER(BW55),ISNUMBER(BW51)),IFERROR(BW55/BW51,""),"")</f>
        <v/>
      </c>
      <c r="BX56" s="187">
        <f>IF(AND(ISNUMBER(BX55),ISNUMBER(BX51)),IFERROR(BX55/BX51,""),"")</f>
        <v/>
      </c>
      <c r="BY56" s="180">
        <f>BY57+$BY$115</f>
        <v/>
      </c>
      <c r="BZ56" s="180">
        <f>BZ57+$BY$115</f>
        <v/>
      </c>
      <c r="CA56" s="180">
        <f>IF(AND(ISNUMBER(CA55),ISNUMBER(CA51)),IFERROR(CA55/CA51,""),"")</f>
        <v/>
      </c>
      <c r="CB56" s="180">
        <f>CHOOSE(MATCH($CF$2,{"Bull","Base","Bear"},0),$CO$66,$CP$66,$CQ$66)</f>
        <v/>
      </c>
      <c r="CC56" s="180">
        <f>CHOOSE(MATCH($CF$2,{"Bull","Base","Bear"},0),$CO$67,$CP$67,$CQ$67)</f>
        <v/>
      </c>
      <c r="CD56" s="180">
        <f>CHOOSE(MATCH($CF$2,{"Bull","Base","Bear"},0),$CO$68,$CP$68,$CQ$68)</f>
        <v/>
      </c>
      <c r="CE56" s="180">
        <f>CHOOSE(MATCH($CF$2,{"Bull","Base","Bear"},0),$CO$69,$CP$69,$CQ$69)</f>
        <v/>
      </c>
      <c r="CF56" s="6" t="inlineStr">
        <is>
          <t>Q3/Q4-26E: margin before calibration + adjusted-EPS-outlook calibration Δ (Group block). 2027E–2030E: scenario lever.</t>
        </is>
      </c>
      <c r="CH56" s="39">
        <f>IFERROR(AVERAGE(CA56,CB56,CC56,CD56,CE56),"n/m")</f>
        <v/>
      </c>
      <c r="CI56" s="39">
        <f>IFERROR(AVERAGE(BB56,BG56,BL56,BQ56,BV56),"n/m")</f>
        <v/>
      </c>
      <c r="CJ56" s="39">
        <f>IFERROR(AVERAGE(AC56,AH56,AM56,AR56,AW56,BB56,BG56,BL56,BQ56,BV56),"n/m")</f>
        <v/>
      </c>
      <c r="CK56" s="39">
        <f>IFERROR(AVERAGE(C56,D56,E56,F56,G56,H56,I56,N56,S56,X56,AC56,AH56,AM56,AR56,AW56,BB56,BG56,BL56,BQ56,BV56),"n/m")</f>
        <v/>
      </c>
      <c r="CN56" s="26" t="inlineStr">
        <is>
          <t xml:space="preserve">  2027E</t>
        </is>
      </c>
      <c r="CO56" s="35">
        <f>CP56+$CO$55</f>
        <v/>
      </c>
      <c r="CP56" s="45" t="n">
        <v>0.06</v>
      </c>
      <c r="CQ56" s="35">
        <f>CP56+$CQ$55</f>
        <v/>
      </c>
    </row>
    <row r="57" ht="15" customHeight="1">
      <c r="B57" s="26" t="inlineStr">
        <is>
          <t xml:space="preserve">  Adjusted operating margin before outlook calibration % (Q3/Q4-26E helper)</t>
        </is>
      </c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A57" s="38" t="n"/>
      <c r="AB57" s="38" t="n"/>
      <c r="AC57" s="38" t="n"/>
      <c r="AD57" s="38" t="n"/>
      <c r="AE57" s="38" t="n"/>
      <c r="AF57" s="38" t="n"/>
      <c r="AG57" s="38" t="n"/>
      <c r="AH57" s="38" t="n"/>
      <c r="AI57" s="38" t="n"/>
      <c r="AJ57" s="38" t="n"/>
      <c r="AK57" s="38" t="n"/>
      <c r="AL57" s="38" t="n"/>
      <c r="AM57" s="38" t="n"/>
      <c r="AN57" s="38" t="n"/>
      <c r="AO57" s="38" t="n"/>
      <c r="AP57" s="38" t="n"/>
      <c r="AQ57" s="38" t="n"/>
      <c r="AR57" s="38" t="n"/>
      <c r="AS57" s="38" t="n"/>
      <c r="AT57" s="38" t="n"/>
      <c r="AU57" s="38" t="n"/>
      <c r="AV57" s="38" t="n"/>
      <c r="AW57" s="38" t="n"/>
      <c r="AX57" s="38" t="n"/>
      <c r="AY57" s="38" t="n"/>
      <c r="AZ57" s="38" t="n"/>
      <c r="BA57" s="38" t="n"/>
      <c r="BB57" s="38" t="n"/>
      <c r="BC57" s="38" t="n"/>
      <c r="BD57" s="38" t="n"/>
      <c r="BE57" s="38" t="n"/>
      <c r="BF57" s="38" t="n"/>
      <c r="BG57" s="38" t="n"/>
      <c r="BH57" s="38" t="n"/>
      <c r="BI57" s="38" t="n"/>
      <c r="BJ57" s="38" t="n"/>
      <c r="BK57" s="38" t="n"/>
      <c r="BL57" s="38" t="n"/>
      <c r="BM57" s="38" t="n"/>
      <c r="BN57" s="38" t="n"/>
      <c r="BO57" s="38" t="n"/>
      <c r="BP57" s="38" t="n"/>
      <c r="BQ57" s="38" t="n"/>
      <c r="BR57" s="38" t="n"/>
      <c r="BS57" s="38" t="n"/>
      <c r="BT57" s="38" t="n"/>
      <c r="BU57" s="38" t="n"/>
      <c r="BV57" s="38" t="n"/>
      <c r="BW57" s="38" t="n"/>
      <c r="BX57" s="38" t="n"/>
      <c r="BY57" s="180">
        <f>BT56+((BW55+BX55)/(BW51+BX51)-(BR55+BS55)/(BR51+BS51))</f>
        <v/>
      </c>
      <c r="BZ57" s="180">
        <f>BU56+((BW55+BX55)/(BW51+BX51)-(BR55+BS55)/(BR51+BS51))</f>
        <v/>
      </c>
      <c r="CA57" s="25" t="n"/>
      <c r="CB57" s="25" t="n"/>
      <c r="CC57" s="25" t="n"/>
      <c r="CD57" s="25" t="n"/>
      <c r="CE57" s="25" t="n"/>
      <c r="CF57" s="6" t="inlineStr">
        <is>
          <t>Prior-year quarter margin + (1H/26 − 1H/25 adjusted margin drift).</t>
        </is>
      </c>
      <c r="CN57" s="26" t="inlineStr">
        <is>
          <t xml:space="preserve">  2028E</t>
        </is>
      </c>
      <c r="CO57" s="35">
        <f>CP57+$CO$55</f>
        <v/>
      </c>
      <c r="CP57" s="45" t="n">
        <v>0.05</v>
      </c>
      <c r="CQ57" s="35">
        <f>CP57+$CQ$55</f>
        <v/>
      </c>
    </row>
    <row r="58" ht="15" customHeight="1">
      <c r="B58" s="26" t="inlineStr">
        <is>
          <t xml:space="preserve">  Incremental adjusted operating margin (Δ adj. op. income / Δ sales)</t>
        </is>
      </c>
      <c r="C58" s="38" t="n"/>
      <c r="D58" s="187">
        <f>IFERROR((D55-C55)/(D51-C51),"")</f>
        <v/>
      </c>
      <c r="E58" s="187">
        <f>IFERROR((E55-D55)/(E51-D51),"")</f>
        <v/>
      </c>
      <c r="F58" s="187">
        <f>IFERROR((F55-E55)/(F51-E51),"")</f>
        <v/>
      </c>
      <c r="G58" s="187">
        <f>IFERROR((G55-F55)/(G51-F51),"")</f>
        <v/>
      </c>
      <c r="H58" s="187">
        <f>IFERROR((H55-G55)/(H51-G51),"")</f>
        <v/>
      </c>
      <c r="I58" s="187">
        <f>IFERROR((I55-H55)/(I51-H51),"")</f>
        <v/>
      </c>
      <c r="J58" s="38" t="n"/>
      <c r="K58" s="38" t="n"/>
      <c r="L58" s="38" t="n"/>
      <c r="M58" s="38" t="n"/>
      <c r="N58" s="187">
        <f>IFERROR((N55-I55)/(N51-I51),"")</f>
        <v/>
      </c>
      <c r="O58" s="187">
        <f>IFERROR((O55-J55)/(O51-J51),"")</f>
        <v/>
      </c>
      <c r="P58" s="187">
        <f>IFERROR((P55-K55)/(P51-K51),"")</f>
        <v/>
      </c>
      <c r="Q58" s="187">
        <f>IFERROR((Q55-L55)/(Q51-L51),"")</f>
        <v/>
      </c>
      <c r="R58" s="187">
        <f>IFERROR((R55-M55)/(R51-M51),"")</f>
        <v/>
      </c>
      <c r="S58" s="187">
        <f>IFERROR((S55-N55)/(S51-N51),"")</f>
        <v/>
      </c>
      <c r="T58" s="187">
        <f>IFERROR((T55-O55)/(T51-O51),"")</f>
        <v/>
      </c>
      <c r="U58" s="187">
        <f>IFERROR((U55-P55)/(U51-P51),"")</f>
        <v/>
      </c>
      <c r="V58" s="187">
        <f>IFERROR((V55-Q55)/(V51-Q51),"")</f>
        <v/>
      </c>
      <c r="W58" s="187">
        <f>IFERROR((W55-R55)/(W51-R51),"")</f>
        <v/>
      </c>
      <c r="X58" s="187">
        <f>IFERROR((X55-S55)/(X51-S51),"")</f>
        <v/>
      </c>
      <c r="Y58" s="187">
        <f>IFERROR((Y55-T55)/(Y51-T51),"")</f>
        <v/>
      </c>
      <c r="Z58" s="187">
        <f>IFERROR((Z55-U55)/(Z51-U51),"")</f>
        <v/>
      </c>
      <c r="AA58" s="187">
        <f>IFERROR((AA55-V55)/(AA51-V51),"")</f>
        <v/>
      </c>
      <c r="AB58" s="187">
        <f>IFERROR((AB55-W55)/(AB51-W51),"")</f>
        <v/>
      </c>
      <c r="AC58" s="187">
        <f>IFERROR((AC55-X55)/(AC51-X51),"")</f>
        <v/>
      </c>
      <c r="AD58" s="187">
        <f>IFERROR((AD55-Y55)/(AD51-Y51),"")</f>
        <v/>
      </c>
      <c r="AE58" s="187">
        <f>IFERROR((AE55-Z55)/(AE51-Z51),"")</f>
        <v/>
      </c>
      <c r="AF58" s="187">
        <f>IFERROR((AF55-AA55)/(AF51-AA51),"")</f>
        <v/>
      </c>
      <c r="AG58" s="187">
        <f>IFERROR((AG55-AB55)/(AG51-AB51),"")</f>
        <v/>
      </c>
      <c r="AH58" s="187">
        <f>IFERROR((AH55-AC55)/(AH51-AC51),"")</f>
        <v/>
      </c>
      <c r="AI58" s="187">
        <f>IFERROR((AI55-AD55)/(AI51-AD51),"")</f>
        <v/>
      </c>
      <c r="AJ58" s="187">
        <f>IFERROR((AJ55-AE55)/(AJ51-AE51),"")</f>
        <v/>
      </c>
      <c r="AK58" s="187">
        <f>IFERROR((AK55-AF55)/(AK51-AF51),"")</f>
        <v/>
      </c>
      <c r="AL58" s="187">
        <f>IFERROR((AL55-AG55)/(AL51-AG51),"")</f>
        <v/>
      </c>
      <c r="AM58" s="187">
        <f>IFERROR((AM55-AH55)/(AM51-AH51),"")</f>
        <v/>
      </c>
      <c r="AN58" s="187">
        <f>IFERROR((AN55-AI55)/(AN51-AI51),"")</f>
        <v/>
      </c>
      <c r="AO58" s="187">
        <f>IFERROR((AO55-AJ55)/(AO51-AJ51),"")</f>
        <v/>
      </c>
      <c r="AP58" s="187">
        <f>IFERROR((AP55-AK55)/(AP51-AK51),"")</f>
        <v/>
      </c>
      <c r="AQ58" s="187">
        <f>IFERROR((AQ55-AL55)/(AQ51-AL51),"")</f>
        <v/>
      </c>
      <c r="AR58" s="187">
        <f>IFERROR((AR55-AM55)/(AR51-AM51),"")</f>
        <v/>
      </c>
      <c r="AS58" s="187">
        <f>IFERROR((AS55-AN55)/(AS51-AN51),"")</f>
        <v/>
      </c>
      <c r="AT58" s="187">
        <f>IFERROR((AT55-AO55)/(AT51-AO51),"")</f>
        <v/>
      </c>
      <c r="AU58" s="187">
        <f>IFERROR((AU55-AP55)/(AU51-AP51),"")</f>
        <v/>
      </c>
      <c r="AV58" s="187">
        <f>IFERROR((AV55-AQ55)/(AV51-AQ51),"")</f>
        <v/>
      </c>
      <c r="AW58" s="187">
        <f>IFERROR((AW55-AR55)/(AW51-AR51),"")</f>
        <v/>
      </c>
      <c r="AX58" s="187">
        <f>IFERROR((AX55-AS55)/(AX51-AS51),"")</f>
        <v/>
      </c>
      <c r="AY58" s="187">
        <f>IFERROR((AY55-AT55)/(AY51-AT51),"")</f>
        <v/>
      </c>
      <c r="AZ58" s="187">
        <f>IFERROR((AZ55-AU55)/(AZ51-AU51),"")</f>
        <v/>
      </c>
      <c r="BA58" s="187">
        <f>IFERROR((BA55-AV55)/(BA51-AV51),"")</f>
        <v/>
      </c>
      <c r="BB58" s="187">
        <f>IFERROR((BB55-AW55)/(BB51-AW51),"")</f>
        <v/>
      </c>
      <c r="BC58" s="187">
        <f>IFERROR((BC55-AX55)/(BC51-AX51),"")</f>
        <v/>
      </c>
      <c r="BD58" s="187">
        <f>IFERROR((BD55-AY55)/(BD51-AY51),"")</f>
        <v/>
      </c>
      <c r="BE58" s="187">
        <f>IFERROR((BE55-AZ55)/(BE51-AZ51),"")</f>
        <v/>
      </c>
      <c r="BF58" s="187">
        <f>IFERROR((BF55-BA55)/(BF51-BA51),"")</f>
        <v/>
      </c>
      <c r="BG58" s="187">
        <f>IFERROR((BG55-BB55)/(BG51-BB51),"")</f>
        <v/>
      </c>
      <c r="BH58" s="187">
        <f>IFERROR((BH55-BC55)/(BH51-BC51),"")</f>
        <v/>
      </c>
      <c r="BI58" s="187">
        <f>IFERROR((BI55-BD55)/(BI51-BD51),"")</f>
        <v/>
      </c>
      <c r="BJ58" s="187">
        <f>IFERROR((BJ55-BE55)/(BJ51-BE51),"")</f>
        <v/>
      </c>
      <c r="BK58" s="187">
        <f>IFERROR((BK55-BF55)/(BK51-BF51),"")</f>
        <v/>
      </c>
      <c r="BL58" s="187">
        <f>IFERROR((BL55-BG55)/(BL51-BG51),"")</f>
        <v/>
      </c>
      <c r="BM58" s="187">
        <f>IFERROR((BM55-BH55)/(BM51-BH51),"")</f>
        <v/>
      </c>
      <c r="BN58" s="187">
        <f>IFERROR((BN55-BI55)/(BN51-BI51),"")</f>
        <v/>
      </c>
      <c r="BO58" s="187">
        <f>IFERROR((BO55-BJ55)/(BO51-BJ51),"")</f>
        <v/>
      </c>
      <c r="BP58" s="187">
        <f>IFERROR((BP55-BK55)/(BP51-BK51),"")</f>
        <v/>
      </c>
      <c r="BQ58" s="187">
        <f>IFERROR((BQ55-BL55)/(BQ51-BL51),"")</f>
        <v/>
      </c>
      <c r="BR58" s="187">
        <f>IFERROR((BR55-BM55)/(BR51-BM51),"")</f>
        <v/>
      </c>
      <c r="BS58" s="187">
        <f>IFERROR((BS55-BN55)/(BS51-BN51),"")</f>
        <v/>
      </c>
      <c r="BT58" s="187">
        <f>IFERROR((BT55-BO55)/(BT51-BO51),"")</f>
        <v/>
      </c>
      <c r="BU58" s="187">
        <f>IFERROR((BU55-BP55)/(BU51-BP51),"")</f>
        <v/>
      </c>
      <c r="BV58" s="187">
        <f>IFERROR((BV55-BQ55)/(BV51-BQ51),"")</f>
        <v/>
      </c>
      <c r="BW58" s="187">
        <f>IFERROR((BW55-BR55)/(BW51-BR51),"")</f>
        <v/>
      </c>
      <c r="BX58" s="187">
        <f>IFERROR((BX55-BS55)/(BX51-BS51),"")</f>
        <v/>
      </c>
      <c r="BY58" s="180">
        <f>IFERROR((BY55-BT55)/(BY51-BT51),"")</f>
        <v/>
      </c>
      <c r="BZ58" s="180">
        <f>IFERROR((BZ55-BU55)/(BZ51-BU51),"")</f>
        <v/>
      </c>
      <c r="CA58" s="180">
        <f>IFERROR((CA55-BV55)/(CA51-BV51),"")</f>
        <v/>
      </c>
      <c r="CB58" s="180">
        <f>IFERROR((CB55-CA55)/(CB51-CA51),"")</f>
        <v/>
      </c>
      <c r="CC58" s="180">
        <f>IFERROR((CC55-CB55)/(CC51-CB51),"")</f>
        <v/>
      </c>
      <c r="CD58" s="180">
        <f>IFERROR((CD55-CC55)/(CD51-CC51),"")</f>
        <v/>
      </c>
      <c r="CE58" s="180">
        <f>IFERROR((CE55-CD55)/(CE51-CD51),"")</f>
        <v/>
      </c>
      <c r="CF58" s="6" t="n"/>
      <c r="CN58" s="26" t="inlineStr">
        <is>
          <t xml:space="preserve">  2029E</t>
        </is>
      </c>
      <c r="CO58" s="35">
        <f>CP58+$CO$55</f>
        <v/>
      </c>
      <c r="CP58" s="45" t="n">
        <v>0.05</v>
      </c>
      <c r="CQ58" s="35">
        <f>CP58+$CQ$55</f>
        <v/>
      </c>
    </row>
    <row r="59" ht="15" customHeight="1">
      <c r="B59" s="26" t="inlineStr">
        <is>
          <t xml:space="preserve">  Adjusting items in segment (amortization, restructuring, purchase accounting, transaction)</t>
        </is>
      </c>
      <c r="C59" s="183">
        <f>IF(AND(ISNUMBER(C55),ISNUMBER(C61)),C55-C61,"")</f>
        <v/>
      </c>
      <c r="D59" s="183">
        <f>IF(AND(ISNUMBER(D55),ISNUMBER(D61)),D55-D61,"")</f>
        <v/>
      </c>
      <c r="E59" s="183">
        <f>IF(AND(ISNUMBER(E55),ISNUMBER(E61)),E55-E61,"")</f>
        <v/>
      </c>
      <c r="F59" s="183">
        <f>IF(AND(ISNUMBER(F55),ISNUMBER(F61)),F55-F61,"")</f>
        <v/>
      </c>
      <c r="G59" s="183">
        <f>IF(AND(ISNUMBER(G55),ISNUMBER(G61)),G55-G61,"")</f>
        <v/>
      </c>
      <c r="H59" s="183">
        <f>IF(AND(ISNUMBER(H55),ISNUMBER(H61)),H55-H61,"")</f>
        <v/>
      </c>
      <c r="I59" s="183">
        <f>IF(AND(ISNUMBER(I55),ISNUMBER(I61)),I55-I61,"")</f>
        <v/>
      </c>
      <c r="J59" s="183">
        <f>IF(AND(ISNUMBER(J55),ISNUMBER(J61)),J55-J61,"")</f>
        <v/>
      </c>
      <c r="K59" s="183">
        <f>IF(AND(ISNUMBER(K55),ISNUMBER(K61)),K55-K61,"")</f>
        <v/>
      </c>
      <c r="L59" s="183">
        <f>IF(AND(ISNUMBER(L55),ISNUMBER(L61)),L55-L61,"")</f>
        <v/>
      </c>
      <c r="M59" s="183">
        <f>IF(AND(ISNUMBER(M55),ISNUMBER(M61)),M55-M61,"")</f>
        <v/>
      </c>
      <c r="N59" s="183">
        <f>IF(AND(ISNUMBER(N55),ISNUMBER(N61)),N55-N61,"")</f>
        <v/>
      </c>
      <c r="O59" s="183">
        <f>IF(AND(ISNUMBER(O55),ISNUMBER(O61)),O55-O61,"")</f>
        <v/>
      </c>
      <c r="P59" s="183">
        <f>IF(AND(ISNUMBER(P55),ISNUMBER(P61)),P55-P61,"")</f>
        <v/>
      </c>
      <c r="Q59" s="183">
        <f>IF(AND(ISNUMBER(Q55),ISNUMBER(Q61)),Q55-Q61,"")</f>
        <v/>
      </c>
      <c r="R59" s="183">
        <f>IF(AND(ISNUMBER(R55),ISNUMBER(R61)),R55-R61,"")</f>
        <v/>
      </c>
      <c r="S59" s="183">
        <f>IF(AND(ISNUMBER(S55),ISNUMBER(S61)),S55-S61,"")</f>
        <v/>
      </c>
      <c r="T59" s="183">
        <f>IF(AND(ISNUMBER(T55),ISNUMBER(T61)),T55-T61,"")</f>
        <v/>
      </c>
      <c r="U59" s="183">
        <f>IF(AND(ISNUMBER(U55),ISNUMBER(U61)),U55-U61,"")</f>
        <v/>
      </c>
      <c r="V59" s="183">
        <f>IF(AND(ISNUMBER(V55),ISNUMBER(V61)),V55-V61,"")</f>
        <v/>
      </c>
      <c r="W59" s="183">
        <f>IF(AND(ISNUMBER(W55),ISNUMBER(W61)),W55-W61,"")</f>
        <v/>
      </c>
      <c r="X59" s="183">
        <f>IF(AND(ISNUMBER(X55),ISNUMBER(X61)),X55-X61,"")</f>
        <v/>
      </c>
      <c r="Y59" s="183">
        <f>IF(AND(ISNUMBER(Y55),ISNUMBER(Y61)),Y55-Y61,"")</f>
        <v/>
      </c>
      <c r="Z59" s="183">
        <f>IF(AND(ISNUMBER(Z55),ISNUMBER(Z61)),Z55-Z61,"")</f>
        <v/>
      </c>
      <c r="AA59" s="183">
        <f>IF(AND(ISNUMBER(AA55),ISNUMBER(AA61)),AA55-AA61,"")</f>
        <v/>
      </c>
      <c r="AB59" s="183">
        <f>IF(AND(ISNUMBER(AB55),ISNUMBER(AB61)),AB55-AB61,"")</f>
        <v/>
      </c>
      <c r="AC59" s="183">
        <f>IF(AND(ISNUMBER(AC55),ISNUMBER(AC61)),AC55-AC61,"")</f>
        <v/>
      </c>
      <c r="AD59" s="183">
        <f>IF(AND(ISNUMBER(AD55),ISNUMBER(AD61)),AD55-AD61,"")</f>
        <v/>
      </c>
      <c r="AE59" s="183">
        <f>IF(AND(ISNUMBER(AE55),ISNUMBER(AE61)),AE55-AE61,"")</f>
        <v/>
      </c>
      <c r="AF59" s="183">
        <f>IF(AND(ISNUMBER(AF55),ISNUMBER(AF61)),AF55-AF61,"")</f>
        <v/>
      </c>
      <c r="AG59" s="183">
        <f>IF(AND(ISNUMBER(AG55),ISNUMBER(AG61)),AG55-AG61,"")</f>
        <v/>
      </c>
      <c r="AH59" s="183">
        <f>IF(AND(ISNUMBER(AH55),ISNUMBER(AH61)),AH55-AH61,"")</f>
        <v/>
      </c>
      <c r="AI59" s="183">
        <f>IF(AND(ISNUMBER(AI55),ISNUMBER(AI61)),AI55-AI61,"")</f>
        <v/>
      </c>
      <c r="AJ59" s="183">
        <f>IF(AND(ISNUMBER(AJ55),ISNUMBER(AJ61)),AJ55-AJ61,"")</f>
        <v/>
      </c>
      <c r="AK59" s="183">
        <f>IF(AND(ISNUMBER(AK55),ISNUMBER(AK61)),AK55-AK61,"")</f>
        <v/>
      </c>
      <c r="AL59" s="183">
        <f>IF(AND(ISNUMBER(AL55),ISNUMBER(AL61)),AL55-AL61,"")</f>
        <v/>
      </c>
      <c r="AM59" s="183">
        <f>IF(AND(ISNUMBER(AM55),ISNUMBER(AM61)),AM55-AM61,"")</f>
        <v/>
      </c>
      <c r="AN59" s="183">
        <f>IF(AND(ISNUMBER(AN55),ISNUMBER(AN61)),AN55-AN61,"")</f>
        <v/>
      </c>
      <c r="AO59" s="183">
        <f>IF(AND(ISNUMBER(AO55),ISNUMBER(AO61)),AO55-AO61,"")</f>
        <v/>
      </c>
      <c r="AP59" s="183">
        <f>IF(AND(ISNUMBER(AP55),ISNUMBER(AP61)),AP55-AP61,"")</f>
        <v/>
      </c>
      <c r="AQ59" s="183">
        <f>IF(AND(ISNUMBER(AQ55),ISNUMBER(AQ61)),AQ55-AQ61,"")</f>
        <v/>
      </c>
      <c r="AR59" s="183">
        <f>IF(AND(ISNUMBER(AR55),ISNUMBER(AR61)),AR55-AR61,"")</f>
        <v/>
      </c>
      <c r="AS59" s="183">
        <f>IF(AND(ISNUMBER(AS55),ISNUMBER(AS61)),AS55-AS61,"")</f>
        <v/>
      </c>
      <c r="AT59" s="183">
        <f>IF(AND(ISNUMBER(AT55),ISNUMBER(AT61)),AT55-AT61,"")</f>
        <v/>
      </c>
      <c r="AU59" s="183">
        <f>IF(AND(ISNUMBER(AU55),ISNUMBER(AU61)),AU55-AU61,"")</f>
        <v/>
      </c>
      <c r="AV59" s="183">
        <f>IF(AND(ISNUMBER(AV55),ISNUMBER(AV61)),AV55-AV61,"")</f>
        <v/>
      </c>
      <c r="AW59" s="183">
        <f>IF(AND(ISNUMBER(AW55),ISNUMBER(AW61)),AW55-AW61,"")</f>
        <v/>
      </c>
      <c r="AX59" s="183">
        <f>IF(AND(ISNUMBER(AX55),ISNUMBER(AX61)),AX55-AX61,"")</f>
        <v/>
      </c>
      <c r="AY59" s="183">
        <f>IF(AND(ISNUMBER(AY55),ISNUMBER(AY61)),AY55-AY61,"")</f>
        <v/>
      </c>
      <c r="AZ59" s="183">
        <f>IF(AND(ISNUMBER(AZ55),ISNUMBER(AZ61)),AZ55-AZ61,"")</f>
        <v/>
      </c>
      <c r="BA59" s="183">
        <f>IF(AND(ISNUMBER(BA55),ISNUMBER(BA61)),BA55-BA61,"")</f>
        <v/>
      </c>
      <c r="BB59" s="183">
        <f>IF(AND(ISNUMBER(BB55),ISNUMBER(BB61)),BB55-BB61,"")</f>
        <v/>
      </c>
      <c r="BC59" s="183">
        <f>IF(AND(ISNUMBER(BC55),ISNUMBER(BC61)),BC55-BC61,"")</f>
        <v/>
      </c>
      <c r="BD59" s="183">
        <f>IF(AND(ISNUMBER(BD55),ISNUMBER(BD61)),BD55-BD61,"")</f>
        <v/>
      </c>
      <c r="BE59" s="183">
        <f>IF(AND(ISNUMBER(BE55),ISNUMBER(BE61)),BE55-BE61,"")</f>
        <v/>
      </c>
      <c r="BF59" s="183">
        <f>IF(AND(ISNUMBER(BF55),ISNUMBER(BF61)),BF55-BF61,"")</f>
        <v/>
      </c>
      <c r="BG59" s="183">
        <f>IF(AND(ISNUMBER(BG55),ISNUMBER(BG61)),BG55-BG61,"")</f>
        <v/>
      </c>
      <c r="BH59" s="183">
        <f>IF(AND(ISNUMBER(BH55),ISNUMBER(BH61)),BH55-BH61,"")</f>
        <v/>
      </c>
      <c r="BI59" s="183">
        <f>IF(AND(ISNUMBER(BI55),ISNUMBER(BI61)),BI55-BI61,"")</f>
        <v/>
      </c>
      <c r="BJ59" s="183">
        <f>IF(AND(ISNUMBER(BJ55),ISNUMBER(BJ61)),BJ55-BJ61,"")</f>
        <v/>
      </c>
      <c r="BK59" s="183">
        <f>IF(AND(ISNUMBER(BK55),ISNUMBER(BK61)),BK55-BK61,"")</f>
        <v/>
      </c>
      <c r="BL59" s="183">
        <f>IF(AND(ISNUMBER(BL55),ISNUMBER(BL61)),BL55-BL61,"")</f>
        <v/>
      </c>
      <c r="BM59" s="183">
        <f>IF(AND(ISNUMBER(BM55),ISNUMBER(BM61)),BM55-BM61,"")</f>
        <v/>
      </c>
      <c r="BN59" s="183">
        <f>IF(AND(ISNUMBER(BN55),ISNUMBER(BN61)),BN55-BN61,"")</f>
        <v/>
      </c>
      <c r="BO59" s="183">
        <f>IF(AND(ISNUMBER(BO55),ISNUMBER(BO61)),BO55-BO61,"")</f>
        <v/>
      </c>
      <c r="BP59" s="183">
        <f>IF(AND(ISNUMBER(BP55),ISNUMBER(BP61)),BP55-BP61,"")</f>
        <v/>
      </c>
      <c r="BQ59" s="183">
        <f>IF(AND(ISNUMBER(BQ55),ISNUMBER(BQ61)),BQ55-BQ61,"")</f>
        <v/>
      </c>
      <c r="BR59" s="183">
        <f>IF(AND(ISNUMBER(BR55),ISNUMBER(BR61)),BR55-BR61,"")</f>
        <v/>
      </c>
      <c r="BS59" s="183">
        <f>IF(AND(ISNUMBER(BS55),ISNUMBER(BS61)),BS55-BS61,"")</f>
        <v/>
      </c>
      <c r="BT59" s="183">
        <f>IF(AND(ISNUMBER(BT55),ISNUMBER(BT61)),BT55-BT61,"")</f>
        <v/>
      </c>
      <c r="BU59" s="183">
        <f>IF(AND(ISNUMBER(BU55),ISNUMBER(BU61)),BU55-BU61,"")</f>
        <v/>
      </c>
      <c r="BV59" s="183">
        <f>IF(AND(ISNUMBER(BV55),ISNUMBER(BV61)),BV55-BV61,"")</f>
        <v/>
      </c>
      <c r="BW59" s="183">
        <f>IF(AND(ISNUMBER(BW55),ISNUMBER(BW61)),BW55-BW61,"")</f>
        <v/>
      </c>
      <c r="BX59" s="183">
        <f>IF(AND(ISNUMBER(BX55),ISNUMBER(BX61)),BX55-BX61,"")</f>
        <v/>
      </c>
      <c r="BY59" s="178">
        <f>BY213*BY60</f>
        <v/>
      </c>
      <c r="BZ59" s="178">
        <f>BZ213*BZ60</f>
        <v/>
      </c>
      <c r="CA59" s="178">
        <f>SUM(BW59,BX59,BY59,BZ59)</f>
        <v/>
      </c>
      <c r="CB59" s="178">
        <f>CB213*CB60</f>
        <v/>
      </c>
      <c r="CC59" s="178">
        <f>CC213*CC60</f>
        <v/>
      </c>
      <c r="CD59" s="178">
        <f>CD213*CD60</f>
        <v/>
      </c>
      <c r="CE59" s="178">
        <f>CE213*CE60</f>
        <v/>
      </c>
      <c r="CF59" s="20" t="inlineStr">
        <is>
          <t>Historical = adjusted − GAAP segment operating income. Forecast = consolidated operating-level adjusting items × segment share.</t>
        </is>
      </c>
      <c r="CN59" s="26" t="inlineStr">
        <is>
          <t xml:space="preserve">  2030E</t>
        </is>
      </c>
      <c r="CO59" s="35">
        <f>CP59+$CO$55</f>
        <v/>
      </c>
      <c r="CP59" s="45" t="n">
        <v>0.05</v>
      </c>
      <c r="CQ59" s="35">
        <f>CP59+$CQ$55</f>
        <v/>
      </c>
    </row>
    <row r="60" ht="15" customHeight="1">
      <c r="B60" s="26" t="inlineStr">
        <is>
          <t xml:space="preserve">  Segment share of consolidated operating-level adjusting items %</t>
        </is>
      </c>
      <c r="C60" s="187">
        <f>IF(ISNUMBER(C59),IFERROR(C59/C213,""),"")</f>
        <v/>
      </c>
      <c r="D60" s="187">
        <f>IF(ISNUMBER(D59),IFERROR(D59/D213,""),"")</f>
        <v/>
      </c>
      <c r="E60" s="187">
        <f>IF(ISNUMBER(E59),IFERROR(E59/E213,""),"")</f>
        <v/>
      </c>
      <c r="F60" s="187">
        <f>IF(ISNUMBER(F59),IFERROR(F59/F213,""),"")</f>
        <v/>
      </c>
      <c r="G60" s="187">
        <f>IF(ISNUMBER(G59),IFERROR(G59/G213,""),"")</f>
        <v/>
      </c>
      <c r="H60" s="187">
        <f>IF(ISNUMBER(H59),IFERROR(H59/H213,""),"")</f>
        <v/>
      </c>
      <c r="I60" s="187">
        <f>IF(ISNUMBER(I59),IFERROR(I59/I213,""),"")</f>
        <v/>
      </c>
      <c r="J60" s="187">
        <f>IF(ISNUMBER(J59),IFERROR(J59/J213,""),"")</f>
        <v/>
      </c>
      <c r="K60" s="187">
        <f>IF(ISNUMBER(K59),IFERROR(K59/K213,""),"")</f>
        <v/>
      </c>
      <c r="L60" s="187">
        <f>IF(ISNUMBER(L59),IFERROR(L59/L213,""),"")</f>
        <v/>
      </c>
      <c r="M60" s="187">
        <f>IF(ISNUMBER(M59),IFERROR(M59/M213,""),"")</f>
        <v/>
      </c>
      <c r="N60" s="187">
        <f>IF(ISNUMBER(N59),IFERROR(N59/N213,""),"")</f>
        <v/>
      </c>
      <c r="O60" s="187">
        <f>IF(ISNUMBER(O59),IFERROR(O59/O213,""),"")</f>
        <v/>
      </c>
      <c r="P60" s="187">
        <f>IF(ISNUMBER(P59),IFERROR(P59/P213,""),"")</f>
        <v/>
      </c>
      <c r="Q60" s="187">
        <f>IF(ISNUMBER(Q59),IFERROR(Q59/Q213,""),"")</f>
        <v/>
      </c>
      <c r="R60" s="187">
        <f>IF(ISNUMBER(R59),IFERROR(R59/R213,""),"")</f>
        <v/>
      </c>
      <c r="S60" s="187">
        <f>IF(ISNUMBER(S59),IFERROR(S59/S213,""),"")</f>
        <v/>
      </c>
      <c r="T60" s="187">
        <f>IF(ISNUMBER(T59),IFERROR(T59/T213,""),"")</f>
        <v/>
      </c>
      <c r="U60" s="187">
        <f>IF(ISNUMBER(U59),IFERROR(U59/U213,""),"")</f>
        <v/>
      </c>
      <c r="V60" s="187">
        <f>IF(ISNUMBER(V59),IFERROR(V59/V213,""),"")</f>
        <v/>
      </c>
      <c r="W60" s="187">
        <f>IF(ISNUMBER(W59),IFERROR(W59/W213,""),"")</f>
        <v/>
      </c>
      <c r="X60" s="187">
        <f>IF(ISNUMBER(X59),IFERROR(X59/X213,""),"")</f>
        <v/>
      </c>
      <c r="Y60" s="187">
        <f>IF(ISNUMBER(Y59),IFERROR(Y59/Y213,""),"")</f>
        <v/>
      </c>
      <c r="Z60" s="187">
        <f>IF(ISNUMBER(Z59),IFERROR(Z59/Z213,""),"")</f>
        <v/>
      </c>
      <c r="AA60" s="187">
        <f>IF(ISNUMBER(AA59),IFERROR(AA59/AA213,""),"")</f>
        <v/>
      </c>
      <c r="AB60" s="187">
        <f>IF(ISNUMBER(AB59),IFERROR(AB59/AB213,""),"")</f>
        <v/>
      </c>
      <c r="AC60" s="187">
        <f>IF(ISNUMBER(AC59),IFERROR(AC59/AC213,""),"")</f>
        <v/>
      </c>
      <c r="AD60" s="187">
        <f>IF(ISNUMBER(AD59),IFERROR(AD59/AD213,""),"")</f>
        <v/>
      </c>
      <c r="AE60" s="187">
        <f>IF(ISNUMBER(AE59),IFERROR(AE59/AE213,""),"")</f>
        <v/>
      </c>
      <c r="AF60" s="187">
        <f>IF(ISNUMBER(AF59),IFERROR(AF59/AF213,""),"")</f>
        <v/>
      </c>
      <c r="AG60" s="187">
        <f>IF(ISNUMBER(AG59),IFERROR(AG59/AG213,""),"")</f>
        <v/>
      </c>
      <c r="AH60" s="187">
        <f>IF(ISNUMBER(AH59),IFERROR(AH59/AH213,""),"")</f>
        <v/>
      </c>
      <c r="AI60" s="187">
        <f>IF(ISNUMBER(AI59),IFERROR(AI59/AI213,""),"")</f>
        <v/>
      </c>
      <c r="AJ60" s="187">
        <f>IF(ISNUMBER(AJ59),IFERROR(AJ59/AJ213,""),"")</f>
        <v/>
      </c>
      <c r="AK60" s="187">
        <f>IF(ISNUMBER(AK59),IFERROR(AK59/AK213,""),"")</f>
        <v/>
      </c>
      <c r="AL60" s="187">
        <f>IF(ISNUMBER(AL59),IFERROR(AL59/AL213,""),"")</f>
        <v/>
      </c>
      <c r="AM60" s="187">
        <f>IF(ISNUMBER(AM59),IFERROR(AM59/AM213,""),"")</f>
        <v/>
      </c>
      <c r="AN60" s="187">
        <f>IF(ISNUMBER(AN59),IFERROR(AN59/AN213,""),"")</f>
        <v/>
      </c>
      <c r="AO60" s="187">
        <f>IF(ISNUMBER(AO59),IFERROR(AO59/AO213,""),"")</f>
        <v/>
      </c>
      <c r="AP60" s="187">
        <f>IF(ISNUMBER(AP59),IFERROR(AP59/AP213,""),"")</f>
        <v/>
      </c>
      <c r="AQ60" s="187">
        <f>IF(ISNUMBER(AQ59),IFERROR(AQ59/AQ213,""),"")</f>
        <v/>
      </c>
      <c r="AR60" s="187">
        <f>IF(ISNUMBER(AR59),IFERROR(AR59/AR213,""),"")</f>
        <v/>
      </c>
      <c r="AS60" s="187">
        <f>IF(ISNUMBER(AS59),IFERROR(AS59/AS213,""),"")</f>
        <v/>
      </c>
      <c r="AT60" s="187">
        <f>IF(ISNUMBER(AT59),IFERROR(AT59/AT213,""),"")</f>
        <v/>
      </c>
      <c r="AU60" s="187">
        <f>IF(ISNUMBER(AU59),IFERROR(AU59/AU213,""),"")</f>
        <v/>
      </c>
      <c r="AV60" s="187">
        <f>IF(ISNUMBER(AV59),IFERROR(AV59/AV213,""),"")</f>
        <v/>
      </c>
      <c r="AW60" s="187">
        <f>IF(ISNUMBER(AW59),IFERROR(AW59/AW213,""),"")</f>
        <v/>
      </c>
      <c r="AX60" s="187">
        <f>IF(ISNUMBER(AX59),IFERROR(AX59/AX213,""),"")</f>
        <v/>
      </c>
      <c r="AY60" s="187">
        <f>IF(ISNUMBER(AY59),IFERROR(AY59/AY213,""),"")</f>
        <v/>
      </c>
      <c r="AZ60" s="187">
        <f>IF(ISNUMBER(AZ59),IFERROR(AZ59/AZ213,""),"")</f>
        <v/>
      </c>
      <c r="BA60" s="187">
        <f>IF(ISNUMBER(BA59),IFERROR(BA59/BA213,""),"")</f>
        <v/>
      </c>
      <c r="BB60" s="187">
        <f>IF(ISNUMBER(BB59),IFERROR(BB59/BB213,""),"")</f>
        <v/>
      </c>
      <c r="BC60" s="187">
        <f>IF(ISNUMBER(BC59),IFERROR(BC59/BC213,""),"")</f>
        <v/>
      </c>
      <c r="BD60" s="187">
        <f>IF(ISNUMBER(BD59),IFERROR(BD59/BD213,""),"")</f>
        <v/>
      </c>
      <c r="BE60" s="187">
        <f>IF(ISNUMBER(BE59),IFERROR(BE59/BE213,""),"")</f>
        <v/>
      </c>
      <c r="BF60" s="187">
        <f>IF(ISNUMBER(BF59),IFERROR(BF59/BF213,""),"")</f>
        <v/>
      </c>
      <c r="BG60" s="187">
        <f>IF(ISNUMBER(BG59),IFERROR(BG59/BG213,""),"")</f>
        <v/>
      </c>
      <c r="BH60" s="187">
        <f>IF(ISNUMBER(BH59),IFERROR(BH59/BH213,""),"")</f>
        <v/>
      </c>
      <c r="BI60" s="187">
        <f>IF(ISNUMBER(BI59),IFERROR(BI59/BI213,""),"")</f>
        <v/>
      </c>
      <c r="BJ60" s="187">
        <f>IF(ISNUMBER(BJ59),IFERROR(BJ59/BJ213,""),"")</f>
        <v/>
      </c>
      <c r="BK60" s="187">
        <f>IF(ISNUMBER(BK59),IFERROR(BK59/BK213,""),"")</f>
        <v/>
      </c>
      <c r="BL60" s="187">
        <f>IF(ISNUMBER(BL59),IFERROR(BL59/BL213,""),"")</f>
        <v/>
      </c>
      <c r="BM60" s="187">
        <f>IF(ISNUMBER(BM59),IFERROR(BM59/BM213,""),"")</f>
        <v/>
      </c>
      <c r="BN60" s="187">
        <f>IF(ISNUMBER(BN59),IFERROR(BN59/BN213,""),"")</f>
        <v/>
      </c>
      <c r="BO60" s="187">
        <f>IF(ISNUMBER(BO59),IFERROR(BO59/BO213,""),"")</f>
        <v/>
      </c>
      <c r="BP60" s="187">
        <f>IF(ISNUMBER(BP59),IFERROR(BP59/BP213,""),"")</f>
        <v/>
      </c>
      <c r="BQ60" s="187">
        <f>IF(ISNUMBER(BQ59),IFERROR(BQ59/BQ213,""),"")</f>
        <v/>
      </c>
      <c r="BR60" s="187">
        <f>IF(ISNUMBER(BR59),IFERROR(BR59/BR213,""),"")</f>
        <v/>
      </c>
      <c r="BS60" s="187">
        <f>IF(ISNUMBER(BS59),IFERROR(BS59/BS213,""),"")</f>
        <v/>
      </c>
      <c r="BT60" s="187">
        <f>IF(ISNUMBER(BT59),IFERROR(BT59/BT213,""),"")</f>
        <v/>
      </c>
      <c r="BU60" s="187">
        <f>IF(ISNUMBER(BU59),IFERROR(BU59/BU213,""),"")</f>
        <v/>
      </c>
      <c r="BV60" s="187">
        <f>IF(ISNUMBER(BV59),IFERROR(BV59/BV213,""),"")</f>
        <v/>
      </c>
      <c r="BW60" s="187">
        <f>IF(ISNUMBER(BW59),IFERROR(BW59/BW213,""),"")</f>
        <v/>
      </c>
      <c r="BX60" s="187">
        <f>IF(ISNUMBER(BX59),IFERROR(BX59/BX213,""),"")</f>
        <v/>
      </c>
      <c r="BY60" s="180">
        <f>IFERROR((BW59+BX59)/(BW213+BX213),0)</f>
        <v/>
      </c>
      <c r="BZ60" s="180">
        <f>IFERROR((BW59+BX59)/(BW213+BX213),0)</f>
        <v/>
      </c>
      <c r="CA60" s="180">
        <f>IFERROR(CA59/CA213,"")</f>
        <v/>
      </c>
      <c r="CB60" s="180">
        <f>$BZ$60</f>
        <v/>
      </c>
      <c r="CC60" s="180">
        <f>$BZ$60</f>
        <v/>
      </c>
      <c r="CD60" s="180">
        <f>$BZ$60</f>
        <v/>
      </c>
      <c r="CE60" s="180">
        <f>$BZ$60</f>
        <v/>
      </c>
      <c r="CF60" s="6" t="inlineStr">
        <is>
          <t>Forecast at the 1H/26 share (Freight carries most acquired-intangible amortization).</t>
        </is>
      </c>
      <c r="CN60" s="16" t="inlineStr">
        <is>
          <t>FRT_OPM (Freight adjusted operating margin)</t>
        </is>
      </c>
      <c r="CO60" s="44" t="n">
        <v>0.01</v>
      </c>
      <c r="CP60" s="22" t="inlineStr">
        <is>
          <t>Δ →</t>
        </is>
      </c>
      <c r="CQ60" s="44" t="n">
        <v>-0.015</v>
      </c>
      <c r="CR60" s="14" t="inlineStr">
        <is>
          <t>FY25 24.3%; 1H/26 25.9%. Five-year outlook (2025–29): 350+ bps consolidated adjusted margin expansion.</t>
        </is>
      </c>
    </row>
    <row r="61" ht="15" customHeight="1">
      <c r="B61" s="26" t="inlineStr">
        <is>
          <t xml:space="preserve">  Transit income from operations (GAAP)</t>
        </is>
      </c>
      <c r="C61" s="174" t="n">
        <v>32.5</v>
      </c>
      <c r="D61" s="174" t="n">
        <v>69</v>
      </c>
      <c r="E61" s="174" t="n">
        <v>98.8</v>
      </c>
      <c r="F61" s="174" t="n">
        <v>128.8</v>
      </c>
      <c r="G61" s="174" t="n">
        <v>95.59999999999999</v>
      </c>
      <c r="H61" s="174" t="n">
        <v>83.8</v>
      </c>
      <c r="I61" s="174" t="n">
        <v>93.40000000000001</v>
      </c>
      <c r="J61" s="174" t="n">
        <v>43.6</v>
      </c>
      <c r="K61" s="174" t="n">
        <v>35.9</v>
      </c>
      <c r="L61" s="174" t="n">
        <v>36.3</v>
      </c>
      <c r="M61" s="174" t="n">
        <v>32.8</v>
      </c>
      <c r="N61" s="174" t="n">
        <v>143.6</v>
      </c>
      <c r="O61" s="174" t="n">
        <v>34.5</v>
      </c>
      <c r="P61" s="174" t="n">
        <v>36.8</v>
      </c>
      <c r="Q61" s="174" t="n">
        <v>40.7</v>
      </c>
      <c r="R61" s="174" t="n">
        <v>35.8</v>
      </c>
      <c r="S61" s="174" t="n">
        <v>147.8</v>
      </c>
      <c r="T61" s="174" t="n">
        <v>41.4</v>
      </c>
      <c r="U61" s="174" t="n">
        <v>37.5</v>
      </c>
      <c r="V61" s="174" t="n">
        <v>38.8</v>
      </c>
      <c r="W61" s="174" t="n">
        <v>33.3</v>
      </c>
      <c r="X61" s="174" t="n">
        <v>151</v>
      </c>
      <c r="Y61" s="174" t="n">
        <v>45</v>
      </c>
      <c r="Z61" s="174" t="n">
        <v>52.1</v>
      </c>
      <c r="AA61" s="174" t="n">
        <v>51.2</v>
      </c>
      <c r="AB61" s="174" t="n">
        <v>23.1</v>
      </c>
      <c r="AC61" s="174" t="n">
        <v>171.4</v>
      </c>
      <c r="AD61" s="174" t="n">
        <v>49.1</v>
      </c>
      <c r="AE61" s="174" t="n">
        <v>59.2</v>
      </c>
      <c r="AF61" s="174" t="n">
        <v>47.5</v>
      </c>
      <c r="AG61" s="174" t="n">
        <v>32.6</v>
      </c>
      <c r="AH61" s="174" t="n">
        <v>188.5</v>
      </c>
      <c r="AI61" s="174" t="n">
        <v>68.09999999999999</v>
      </c>
      <c r="AJ61" s="174" t="n">
        <v>58</v>
      </c>
      <c r="AK61" s="174" t="n">
        <v>60.7</v>
      </c>
      <c r="AL61" s="174" t="n">
        <v>41.1</v>
      </c>
      <c r="AM61" s="174" t="n">
        <v>227.9</v>
      </c>
      <c r="AN61" s="174" t="n">
        <v>58.9</v>
      </c>
      <c r="AO61" s="174" t="n">
        <v>71.2</v>
      </c>
      <c r="AP61" s="174" t="n">
        <v>55.8</v>
      </c>
      <c r="AQ61" s="174" t="n">
        <v>39</v>
      </c>
      <c r="AR61" s="174" t="n">
        <v>214.4</v>
      </c>
      <c r="AS61" s="174" t="n">
        <v>68.59999999999999</v>
      </c>
      <c r="AT61" s="174" t="n">
        <v>40.2</v>
      </c>
      <c r="AU61" s="174" t="n">
        <v>64.09999999999999</v>
      </c>
      <c r="AV61" s="174" t="n">
        <v>56.8</v>
      </c>
      <c r="AW61" s="174" t="n">
        <v>229.7</v>
      </c>
      <c r="AX61" s="174" t="n">
        <v>70.09999999999999</v>
      </c>
      <c r="AY61" s="174" t="n">
        <v>45.3</v>
      </c>
      <c r="AZ61" s="174" t="n">
        <v>43.9</v>
      </c>
      <c r="BA61" s="174" t="n">
        <v>79</v>
      </c>
      <c r="BB61" s="174" t="n">
        <v>238</v>
      </c>
      <c r="BC61" s="174" t="n">
        <v>65</v>
      </c>
      <c r="BD61" s="174" t="n">
        <v>50</v>
      </c>
      <c r="BE61" s="174" t="n">
        <v>53</v>
      </c>
      <c r="BF61" s="174" t="n">
        <v>63</v>
      </c>
      <c r="BG61" s="174" t="n">
        <v>231</v>
      </c>
      <c r="BH61" s="174" t="n">
        <v>69</v>
      </c>
      <c r="BI61" s="174" t="n">
        <v>66</v>
      </c>
      <c r="BJ61" s="174" t="n">
        <v>68</v>
      </c>
      <c r="BK61" s="174" t="n">
        <v>86</v>
      </c>
      <c r="BL61" s="174" t="n">
        <v>289</v>
      </c>
      <c r="BM61" s="174" t="n">
        <v>74</v>
      </c>
      <c r="BN61" s="174" t="n">
        <v>82</v>
      </c>
      <c r="BO61" s="174" t="n">
        <v>79</v>
      </c>
      <c r="BP61" s="174" t="n">
        <v>103</v>
      </c>
      <c r="BQ61" s="174" t="n">
        <v>338</v>
      </c>
      <c r="BR61" s="174" t="n">
        <v>90</v>
      </c>
      <c r="BS61" s="174" t="n">
        <v>109</v>
      </c>
      <c r="BT61" s="174" t="n">
        <v>115</v>
      </c>
      <c r="BU61" s="174" t="n">
        <v>108</v>
      </c>
      <c r="BV61" s="174" t="n">
        <v>422</v>
      </c>
      <c r="BW61" s="174" t="n">
        <v>121</v>
      </c>
      <c r="BX61" s="174" t="n">
        <v>146</v>
      </c>
      <c r="BY61" s="178">
        <f>BY55-BY59</f>
        <v/>
      </c>
      <c r="BZ61" s="178">
        <f>BZ55-BZ59</f>
        <v/>
      </c>
      <c r="CA61" s="178">
        <f>SUM(BW61,BX61,BY61,BZ61)</f>
        <v/>
      </c>
      <c r="CB61" s="178">
        <f>CB55-CB59</f>
        <v/>
      </c>
      <c r="CC61" s="178">
        <f>CC55-CC59</f>
        <v/>
      </c>
      <c r="CD61" s="178">
        <f>CD55-CD59</f>
        <v/>
      </c>
      <c r="CE61" s="178">
        <f>CE55-CE59</f>
        <v/>
      </c>
      <c r="CF61" s="20" t="n"/>
      <c r="CN61" s="26" t="inlineStr">
        <is>
          <t xml:space="preserve">  2027E</t>
        </is>
      </c>
      <c r="CO61" s="35">
        <f>CP61+$CO$60</f>
        <v/>
      </c>
      <c r="CP61" s="45" t="n">
        <v>0.265</v>
      </c>
      <c r="CQ61" s="35">
        <f>CP61+$CQ$60</f>
        <v/>
      </c>
    </row>
    <row r="62" ht="15" customHeight="1">
      <c r="B62" s="26" t="inlineStr">
        <is>
          <t xml:space="preserve">  GAAP operating margin %</t>
        </is>
      </c>
      <c r="C62" s="187">
        <f>IF(AND(ISNUMBER(C61),ISNUMBER(C51)),IFERROR(C61/C51,""),"")</f>
        <v/>
      </c>
      <c r="D62" s="187">
        <f>IF(AND(ISNUMBER(D61),ISNUMBER(D51)),IFERROR(D61/D51,""),"")</f>
        <v/>
      </c>
      <c r="E62" s="187">
        <f>IF(AND(ISNUMBER(E61),ISNUMBER(E51)),IFERROR(E61/E51,""),"")</f>
        <v/>
      </c>
      <c r="F62" s="187">
        <f>IF(AND(ISNUMBER(F61),ISNUMBER(F51)),IFERROR(F61/F51,""),"")</f>
        <v/>
      </c>
      <c r="G62" s="187">
        <f>IF(AND(ISNUMBER(G61),ISNUMBER(G51)),IFERROR(G61/G51,""),"")</f>
        <v/>
      </c>
      <c r="H62" s="187">
        <f>IF(AND(ISNUMBER(H61),ISNUMBER(H51)),IFERROR(H61/H51,""),"")</f>
        <v/>
      </c>
      <c r="I62" s="187">
        <f>IF(AND(ISNUMBER(I61),ISNUMBER(I51)),IFERROR(I61/I51,""),"")</f>
        <v/>
      </c>
      <c r="J62" s="187">
        <f>IF(AND(ISNUMBER(J61),ISNUMBER(J51)),IFERROR(J61/J51,""),"")</f>
        <v/>
      </c>
      <c r="K62" s="187">
        <f>IF(AND(ISNUMBER(K61),ISNUMBER(K51)),IFERROR(K61/K51,""),"")</f>
        <v/>
      </c>
      <c r="L62" s="187">
        <f>IF(AND(ISNUMBER(L61),ISNUMBER(L51)),IFERROR(L61/L51,""),"")</f>
        <v/>
      </c>
      <c r="M62" s="187">
        <f>IF(AND(ISNUMBER(M61),ISNUMBER(M51)),IFERROR(M61/M51,""),"")</f>
        <v/>
      </c>
      <c r="N62" s="187">
        <f>IF(AND(ISNUMBER(N61),ISNUMBER(N51)),IFERROR(N61/N51,""),"")</f>
        <v/>
      </c>
      <c r="O62" s="187">
        <f>IF(AND(ISNUMBER(O61),ISNUMBER(O51)),IFERROR(O61/O51,""),"")</f>
        <v/>
      </c>
      <c r="P62" s="187">
        <f>IF(AND(ISNUMBER(P61),ISNUMBER(P51)),IFERROR(P61/P51,""),"")</f>
        <v/>
      </c>
      <c r="Q62" s="187">
        <f>IF(AND(ISNUMBER(Q61),ISNUMBER(Q51)),IFERROR(Q61/Q51,""),"")</f>
        <v/>
      </c>
      <c r="R62" s="187">
        <f>IF(AND(ISNUMBER(R61),ISNUMBER(R51)),IFERROR(R61/R51,""),"")</f>
        <v/>
      </c>
      <c r="S62" s="187">
        <f>IF(AND(ISNUMBER(S61),ISNUMBER(S51)),IFERROR(S61/S51,""),"")</f>
        <v/>
      </c>
      <c r="T62" s="187">
        <f>IF(AND(ISNUMBER(T61),ISNUMBER(T51)),IFERROR(T61/T51,""),"")</f>
        <v/>
      </c>
      <c r="U62" s="187">
        <f>IF(AND(ISNUMBER(U61),ISNUMBER(U51)),IFERROR(U61/U51,""),"")</f>
        <v/>
      </c>
      <c r="V62" s="187">
        <f>IF(AND(ISNUMBER(V61),ISNUMBER(V51)),IFERROR(V61/V51,""),"")</f>
        <v/>
      </c>
      <c r="W62" s="187">
        <f>IF(AND(ISNUMBER(W61),ISNUMBER(W51)),IFERROR(W61/W51,""),"")</f>
        <v/>
      </c>
      <c r="X62" s="187">
        <f>IF(AND(ISNUMBER(X61),ISNUMBER(X51)),IFERROR(X61/X51,""),"")</f>
        <v/>
      </c>
      <c r="Y62" s="187">
        <f>IF(AND(ISNUMBER(Y61),ISNUMBER(Y51)),IFERROR(Y61/Y51,""),"")</f>
        <v/>
      </c>
      <c r="Z62" s="187">
        <f>IF(AND(ISNUMBER(Z61),ISNUMBER(Z51)),IFERROR(Z61/Z51,""),"")</f>
        <v/>
      </c>
      <c r="AA62" s="187">
        <f>IF(AND(ISNUMBER(AA61),ISNUMBER(AA51)),IFERROR(AA61/AA51,""),"")</f>
        <v/>
      </c>
      <c r="AB62" s="187">
        <f>IF(AND(ISNUMBER(AB61),ISNUMBER(AB51)),IFERROR(AB61/AB51,""),"")</f>
        <v/>
      </c>
      <c r="AC62" s="187">
        <f>IF(AND(ISNUMBER(AC61),ISNUMBER(AC51)),IFERROR(AC61/AC51,""),"")</f>
        <v/>
      </c>
      <c r="AD62" s="187">
        <f>IF(AND(ISNUMBER(AD61),ISNUMBER(AD51)),IFERROR(AD61/AD51,""),"")</f>
        <v/>
      </c>
      <c r="AE62" s="187">
        <f>IF(AND(ISNUMBER(AE61),ISNUMBER(AE51)),IFERROR(AE61/AE51,""),"")</f>
        <v/>
      </c>
      <c r="AF62" s="187">
        <f>IF(AND(ISNUMBER(AF61),ISNUMBER(AF51)),IFERROR(AF61/AF51,""),"")</f>
        <v/>
      </c>
      <c r="AG62" s="187">
        <f>IF(AND(ISNUMBER(AG61),ISNUMBER(AG51)),IFERROR(AG61/AG51,""),"")</f>
        <v/>
      </c>
      <c r="AH62" s="187">
        <f>IF(AND(ISNUMBER(AH61),ISNUMBER(AH51)),IFERROR(AH61/AH51,""),"")</f>
        <v/>
      </c>
      <c r="AI62" s="187">
        <f>IF(AND(ISNUMBER(AI61),ISNUMBER(AI51)),IFERROR(AI61/AI51,""),"")</f>
        <v/>
      </c>
      <c r="AJ62" s="187">
        <f>IF(AND(ISNUMBER(AJ61),ISNUMBER(AJ51)),IFERROR(AJ61/AJ51,""),"")</f>
        <v/>
      </c>
      <c r="AK62" s="187">
        <f>IF(AND(ISNUMBER(AK61),ISNUMBER(AK51)),IFERROR(AK61/AK51,""),"")</f>
        <v/>
      </c>
      <c r="AL62" s="187">
        <f>IF(AND(ISNUMBER(AL61),ISNUMBER(AL51)),IFERROR(AL61/AL51,""),"")</f>
        <v/>
      </c>
      <c r="AM62" s="187">
        <f>IF(AND(ISNUMBER(AM61),ISNUMBER(AM51)),IFERROR(AM61/AM51,""),"")</f>
        <v/>
      </c>
      <c r="AN62" s="187">
        <f>IF(AND(ISNUMBER(AN61),ISNUMBER(AN51)),IFERROR(AN61/AN51,""),"")</f>
        <v/>
      </c>
      <c r="AO62" s="187">
        <f>IF(AND(ISNUMBER(AO61),ISNUMBER(AO51)),IFERROR(AO61/AO51,""),"")</f>
        <v/>
      </c>
      <c r="AP62" s="187">
        <f>IF(AND(ISNUMBER(AP61),ISNUMBER(AP51)),IFERROR(AP61/AP51,""),"")</f>
        <v/>
      </c>
      <c r="AQ62" s="187">
        <f>IF(AND(ISNUMBER(AQ61),ISNUMBER(AQ51)),IFERROR(AQ61/AQ51,""),"")</f>
        <v/>
      </c>
      <c r="AR62" s="187">
        <f>IF(AND(ISNUMBER(AR61),ISNUMBER(AR51)),IFERROR(AR61/AR51,""),"")</f>
        <v/>
      </c>
      <c r="AS62" s="187">
        <f>IF(AND(ISNUMBER(AS61),ISNUMBER(AS51)),IFERROR(AS61/AS51,""),"")</f>
        <v/>
      </c>
      <c r="AT62" s="187">
        <f>IF(AND(ISNUMBER(AT61),ISNUMBER(AT51)),IFERROR(AT61/AT51,""),"")</f>
        <v/>
      </c>
      <c r="AU62" s="187">
        <f>IF(AND(ISNUMBER(AU61),ISNUMBER(AU51)),IFERROR(AU61/AU51,""),"")</f>
        <v/>
      </c>
      <c r="AV62" s="187">
        <f>IF(AND(ISNUMBER(AV61),ISNUMBER(AV51)),IFERROR(AV61/AV51,""),"")</f>
        <v/>
      </c>
      <c r="AW62" s="187">
        <f>IF(AND(ISNUMBER(AW61),ISNUMBER(AW51)),IFERROR(AW61/AW51,""),"")</f>
        <v/>
      </c>
      <c r="AX62" s="187">
        <f>IF(AND(ISNUMBER(AX61),ISNUMBER(AX51)),IFERROR(AX61/AX51,""),"")</f>
        <v/>
      </c>
      <c r="AY62" s="187">
        <f>IF(AND(ISNUMBER(AY61),ISNUMBER(AY51)),IFERROR(AY61/AY51,""),"")</f>
        <v/>
      </c>
      <c r="AZ62" s="187">
        <f>IF(AND(ISNUMBER(AZ61),ISNUMBER(AZ51)),IFERROR(AZ61/AZ51,""),"")</f>
        <v/>
      </c>
      <c r="BA62" s="187">
        <f>IF(AND(ISNUMBER(BA61),ISNUMBER(BA51)),IFERROR(BA61/BA51,""),"")</f>
        <v/>
      </c>
      <c r="BB62" s="187">
        <f>IF(AND(ISNUMBER(BB61),ISNUMBER(BB51)),IFERROR(BB61/BB51,""),"")</f>
        <v/>
      </c>
      <c r="BC62" s="187">
        <f>IF(AND(ISNUMBER(BC61),ISNUMBER(BC51)),IFERROR(BC61/BC51,""),"")</f>
        <v/>
      </c>
      <c r="BD62" s="187">
        <f>IF(AND(ISNUMBER(BD61),ISNUMBER(BD51)),IFERROR(BD61/BD51,""),"")</f>
        <v/>
      </c>
      <c r="BE62" s="187">
        <f>IF(AND(ISNUMBER(BE61),ISNUMBER(BE51)),IFERROR(BE61/BE51,""),"")</f>
        <v/>
      </c>
      <c r="BF62" s="187">
        <f>IF(AND(ISNUMBER(BF61),ISNUMBER(BF51)),IFERROR(BF61/BF51,""),"")</f>
        <v/>
      </c>
      <c r="BG62" s="187">
        <f>IF(AND(ISNUMBER(BG61),ISNUMBER(BG51)),IFERROR(BG61/BG51,""),"")</f>
        <v/>
      </c>
      <c r="BH62" s="187">
        <f>IF(AND(ISNUMBER(BH61),ISNUMBER(BH51)),IFERROR(BH61/BH51,""),"")</f>
        <v/>
      </c>
      <c r="BI62" s="187">
        <f>IF(AND(ISNUMBER(BI61),ISNUMBER(BI51)),IFERROR(BI61/BI51,""),"")</f>
        <v/>
      </c>
      <c r="BJ62" s="187">
        <f>IF(AND(ISNUMBER(BJ61),ISNUMBER(BJ51)),IFERROR(BJ61/BJ51,""),"")</f>
        <v/>
      </c>
      <c r="BK62" s="187">
        <f>IF(AND(ISNUMBER(BK61),ISNUMBER(BK51)),IFERROR(BK61/BK51,""),"")</f>
        <v/>
      </c>
      <c r="BL62" s="187">
        <f>IF(AND(ISNUMBER(BL61),ISNUMBER(BL51)),IFERROR(BL61/BL51,""),"")</f>
        <v/>
      </c>
      <c r="BM62" s="187">
        <f>IF(AND(ISNUMBER(BM61),ISNUMBER(BM51)),IFERROR(BM61/BM51,""),"")</f>
        <v/>
      </c>
      <c r="BN62" s="187">
        <f>IF(AND(ISNUMBER(BN61),ISNUMBER(BN51)),IFERROR(BN61/BN51,""),"")</f>
        <v/>
      </c>
      <c r="BO62" s="187">
        <f>IF(AND(ISNUMBER(BO61),ISNUMBER(BO51)),IFERROR(BO61/BO51,""),"")</f>
        <v/>
      </c>
      <c r="BP62" s="187">
        <f>IF(AND(ISNUMBER(BP61),ISNUMBER(BP51)),IFERROR(BP61/BP51,""),"")</f>
        <v/>
      </c>
      <c r="BQ62" s="187">
        <f>IF(AND(ISNUMBER(BQ61),ISNUMBER(BQ51)),IFERROR(BQ61/BQ51,""),"")</f>
        <v/>
      </c>
      <c r="BR62" s="187">
        <f>IF(AND(ISNUMBER(BR61),ISNUMBER(BR51)),IFERROR(BR61/BR51,""),"")</f>
        <v/>
      </c>
      <c r="BS62" s="187">
        <f>IF(AND(ISNUMBER(BS61),ISNUMBER(BS51)),IFERROR(BS61/BS51,""),"")</f>
        <v/>
      </c>
      <c r="BT62" s="187">
        <f>IF(AND(ISNUMBER(BT61),ISNUMBER(BT51)),IFERROR(BT61/BT51,""),"")</f>
        <v/>
      </c>
      <c r="BU62" s="187">
        <f>IF(AND(ISNUMBER(BU61),ISNUMBER(BU51)),IFERROR(BU61/BU51,""),"")</f>
        <v/>
      </c>
      <c r="BV62" s="187">
        <f>IF(AND(ISNUMBER(BV61),ISNUMBER(BV51)),IFERROR(BV61/BV51,""),"")</f>
        <v/>
      </c>
      <c r="BW62" s="187">
        <f>IF(AND(ISNUMBER(BW61),ISNUMBER(BW51)),IFERROR(BW61/BW51,""),"")</f>
        <v/>
      </c>
      <c r="BX62" s="187">
        <f>IF(AND(ISNUMBER(BX61),ISNUMBER(BX51)),IFERROR(BX61/BX51,""),"")</f>
        <v/>
      </c>
      <c r="BY62" s="180">
        <f>IF(AND(ISNUMBER(BY61),ISNUMBER(BY51)),IFERROR(BY61/BY51,""),"")</f>
        <v/>
      </c>
      <c r="BZ62" s="180">
        <f>IF(AND(ISNUMBER(BZ61),ISNUMBER(BZ51)),IFERROR(BZ61/BZ51,""),"")</f>
        <v/>
      </c>
      <c r="CA62" s="180">
        <f>IF(AND(ISNUMBER(CA61),ISNUMBER(CA51)),IFERROR(CA61/CA51,""),"")</f>
        <v/>
      </c>
      <c r="CB62" s="180">
        <f>IF(AND(ISNUMBER(CB61),ISNUMBER(CB51)),IFERROR(CB61/CB51,""),"")</f>
        <v/>
      </c>
      <c r="CC62" s="180">
        <f>IF(AND(ISNUMBER(CC61),ISNUMBER(CC51)),IFERROR(CC61/CC51,""),"")</f>
        <v/>
      </c>
      <c r="CD62" s="180">
        <f>IF(AND(ISNUMBER(CD61),ISNUMBER(CD51)),IFERROR(CD61/CD51,""),"")</f>
        <v/>
      </c>
      <c r="CE62" s="180">
        <f>IF(AND(ISNUMBER(CE61),ISNUMBER(CE51)),IFERROR(CE61/CE51,""),"")</f>
        <v/>
      </c>
      <c r="CF62" s="6" t="n"/>
      <c r="CN62" s="26" t="inlineStr">
        <is>
          <t xml:space="preserve">  2028E</t>
        </is>
      </c>
      <c r="CO62" s="35">
        <f>CP62+$CO$60</f>
        <v/>
      </c>
      <c r="CP62" s="45" t="n">
        <v>0.27</v>
      </c>
      <c r="CQ62" s="35">
        <f>CP62+$CQ$60</f>
        <v/>
      </c>
    </row>
    <row r="63" ht="15" customHeight="1">
      <c r="CN63" s="26" t="inlineStr">
        <is>
          <t xml:space="preserve">  2029E</t>
        </is>
      </c>
      <c r="CO63" s="35">
        <f>CP63+$CO$60</f>
        <v/>
      </c>
      <c r="CP63" s="45" t="n">
        <v>0.275</v>
      </c>
      <c r="CQ63" s="35">
        <f>CP63+$CQ$60</f>
        <v/>
      </c>
    </row>
    <row r="64" ht="15" customHeight="1">
      <c r="B64" s="15" t="inlineStr">
        <is>
          <t>2025–26 acquired businesses (Frauscher · Inspection Technologies · Dellner Couplers · 2026 bolt-ons) &amp; sales-change bridge</t>
        </is>
      </c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  <c r="AS64" s="15" t="n"/>
      <c r="AT64" s="15" t="n"/>
      <c r="AU64" s="15" t="n"/>
      <c r="AV64" s="15" t="n"/>
      <c r="AW64" s="15" t="n"/>
      <c r="AX64" s="15" t="n"/>
      <c r="AY64" s="15" t="n"/>
      <c r="AZ64" s="15" t="n"/>
      <c r="BA64" s="15" t="n"/>
      <c r="BB64" s="15" t="n"/>
      <c r="BC64" s="15" t="n"/>
      <c r="BD64" s="15" t="n"/>
      <c r="BE64" s="15" t="n"/>
      <c r="BF64" s="15" t="n"/>
      <c r="BG64" s="15" t="n"/>
      <c r="BH64" s="15" t="n"/>
      <c r="BI64" s="15" t="n"/>
      <c r="BJ64" s="15" t="n"/>
      <c r="BK64" s="15" t="n"/>
      <c r="BL64" s="15" t="n"/>
      <c r="BM64" s="15" t="n"/>
      <c r="BN64" s="15" t="n"/>
      <c r="BO64" s="15" t="n"/>
      <c r="BP64" s="15" t="n"/>
      <c r="BQ64" s="15" t="n"/>
      <c r="BR64" s="15" t="n"/>
      <c r="BS64" s="15" t="n"/>
      <c r="BT64" s="15" t="n"/>
      <c r="BU64" s="15" t="n"/>
      <c r="BV64" s="15" t="n"/>
      <c r="BW64" s="15" t="n"/>
      <c r="BX64" s="15" t="n"/>
      <c r="BY64" s="15" t="n"/>
      <c r="BZ64" s="15" t="n"/>
      <c r="CA64" s="15" t="n"/>
      <c r="CB64" s="15" t="n"/>
      <c r="CC64" s="15" t="n"/>
      <c r="CD64" s="15" t="n"/>
      <c r="CE64" s="15" t="n"/>
      <c r="CF64" s="16" t="inlineStr">
        <is>
          <t>ACQUIRED BUSINESSES — sales-change bridge as published (acquisitions / portfolio optimization / FX / organic); purchase-price allocations in the BS schedules</t>
        </is>
      </c>
      <c r="CN64" s="26" t="inlineStr">
        <is>
          <t xml:space="preserve">  2030E</t>
        </is>
      </c>
      <c r="CO64" s="35">
        <f>CP64+$CO$60</f>
        <v/>
      </c>
      <c r="CP64" s="45" t="n">
        <v>0.28</v>
      </c>
      <c r="CQ64" s="35">
        <f>CP64+$CQ$60</f>
        <v/>
      </c>
    </row>
    <row r="65" ht="15" customHeight="1">
      <c r="B65" s="26" t="inlineStr">
        <is>
          <t xml:space="preserve">  Sales change from acquisitions (y/y, as published)</t>
        </is>
      </c>
      <c r="C65" s="36" t="n"/>
      <c r="D65" s="36" t="n"/>
      <c r="E65" s="36" t="n"/>
      <c r="F65" s="174" t="n">
        <v>114.9</v>
      </c>
      <c r="G65" s="174" t="n">
        <v>86.09999999999999</v>
      </c>
      <c r="H65" s="174" t="n">
        <v>128.3</v>
      </c>
      <c r="I65" s="174" t="n">
        <v>138.3</v>
      </c>
      <c r="J65" s="174" t="n">
        <v>41.4</v>
      </c>
      <c r="K65" s="174" t="n">
        <v>49</v>
      </c>
      <c r="L65" s="174" t="n">
        <v>34.8</v>
      </c>
      <c r="M65" s="36" t="n"/>
      <c r="N65" s="174" t="n">
        <v>157.9</v>
      </c>
      <c r="O65" s="174" t="n">
        <v>20.7</v>
      </c>
      <c r="P65" s="174" t="n">
        <v>39.6</v>
      </c>
      <c r="Q65" s="174" t="n">
        <v>86.59999999999999</v>
      </c>
      <c r="R65" s="36" t="n"/>
      <c r="S65" s="174" t="n">
        <v>229.4</v>
      </c>
      <c r="T65" s="174" t="n">
        <v>78</v>
      </c>
      <c r="U65" s="174" t="n">
        <v>82.5</v>
      </c>
      <c r="V65" s="174" t="n">
        <v>42.7</v>
      </c>
      <c r="W65" s="36" t="n"/>
      <c r="X65" s="174" t="n">
        <v>262.8</v>
      </c>
      <c r="Y65" s="174" t="n">
        <v>20.2</v>
      </c>
      <c r="Z65" s="174" t="n">
        <v>16.8</v>
      </c>
      <c r="AA65" s="174" t="n">
        <v>15.3</v>
      </c>
      <c r="AB65" s="36" t="n"/>
      <c r="AC65" s="174" t="n">
        <v>189.2</v>
      </c>
      <c r="AD65" s="174" t="n">
        <v>307.2</v>
      </c>
      <c r="AE65" s="174" t="n">
        <v>326.7</v>
      </c>
      <c r="AF65" s="174" t="n">
        <v>330.6</v>
      </c>
      <c r="AG65" s="174" t="n">
        <v>219</v>
      </c>
      <c r="AH65" s="174" t="n">
        <v>1183.2</v>
      </c>
      <c r="AI65" s="174" t="n">
        <v>35</v>
      </c>
      <c r="AJ65" s="174" t="n">
        <v>39.2</v>
      </c>
      <c r="AK65" s="174" t="n">
        <v>32.2</v>
      </c>
      <c r="AL65" s="174" t="n">
        <v>28</v>
      </c>
      <c r="AM65" s="174" t="n">
        <v>134.7</v>
      </c>
      <c r="AN65" s="174" t="n">
        <v>509.7</v>
      </c>
      <c r="AO65" s="174" t="n">
        <v>1125</v>
      </c>
      <c r="AP65" s="174" t="n">
        <v>955.9</v>
      </c>
      <c r="AQ65" s="174" t="n">
        <v>1271.5</v>
      </c>
      <c r="AR65" s="174" t="n">
        <v>3863.5</v>
      </c>
      <c r="AS65" s="174" t="n">
        <v>509.4</v>
      </c>
      <c r="AT65" s="174" t="n">
        <v>18.5</v>
      </c>
      <c r="AU65" s="174" t="n">
        <v>8.9</v>
      </c>
      <c r="AV65" s="174" t="n">
        <v>10</v>
      </c>
      <c r="AW65" s="174" t="n">
        <v>546.4</v>
      </c>
      <c r="AX65" s="36" t="n"/>
      <c r="AY65" s="174" t="n">
        <v>38</v>
      </c>
      <c r="AZ65" s="174" t="n">
        <v>38</v>
      </c>
      <c r="BA65" s="174" t="n">
        <v>61</v>
      </c>
      <c r="BB65" s="174" t="n">
        <v>138</v>
      </c>
      <c r="BC65" s="174" t="n">
        <v>40</v>
      </c>
      <c r="BD65" s="174" t="n">
        <v>6</v>
      </c>
      <c r="BE65" s="174" t="n">
        <v>19</v>
      </c>
      <c r="BF65" s="174" t="n">
        <v>22</v>
      </c>
      <c r="BG65" s="174" t="n">
        <v>87</v>
      </c>
      <c r="BH65" s="174" t="n">
        <v>21</v>
      </c>
      <c r="BI65" s="174" t="n">
        <v>11</v>
      </c>
      <c r="BJ65" s="174" t="n">
        <v>45</v>
      </c>
      <c r="BK65" s="174" t="n">
        <v>32</v>
      </c>
      <c r="BL65" s="174" t="n">
        <v>109</v>
      </c>
      <c r="BM65" s="174" t="n">
        <v>36</v>
      </c>
      <c r="BN65" s="174" t="n">
        <v>34</v>
      </c>
      <c r="BO65" s="174" t="n">
        <v>2</v>
      </c>
      <c r="BP65" s="174" t="n">
        <v>9</v>
      </c>
      <c r="BQ65" s="174" t="n">
        <v>81</v>
      </c>
      <c r="BR65" s="174" t="n">
        <v>23</v>
      </c>
      <c r="BS65" s="174" t="n">
        <v>27</v>
      </c>
      <c r="BT65" s="174" t="n">
        <v>134</v>
      </c>
      <c r="BU65" s="174" t="n">
        <v>171</v>
      </c>
      <c r="BV65" s="174" t="n">
        <v>355</v>
      </c>
      <c r="BW65" s="174" t="n">
        <v>225</v>
      </c>
      <c r="BX65" s="174" t="n">
        <v>232</v>
      </c>
      <c r="BY65" s="188" t="n">
        <v>130</v>
      </c>
      <c r="BZ65" s="188" t="n">
        <v>110</v>
      </c>
      <c r="CA65" s="178">
        <f>SUM(BW65,BX65,BY65,BZ65)</f>
        <v/>
      </c>
      <c r="CB65" s="37" t="n"/>
      <c r="CC65" s="37" t="n"/>
      <c r="CD65" s="37" t="n"/>
      <c r="CE65" s="37" t="n"/>
      <c r="CF65" s="20" t="inlineStr">
        <is>
          <t>Q3/Q4-26E inputs: Frauscher (~$60m / ~$40m) + Dellner (~$70m per quarter) not in the prior-year quarter (analyst estimate; Q2/26 published $232m incl. Inspection Technologies).</t>
        </is>
      </c>
      <c r="CN65" s="16" t="inlineStr">
        <is>
          <t>TRN_OPM (Transit adjusted operating margin)</t>
        </is>
      </c>
      <c r="CO65" s="44" t="n">
        <v>0.01</v>
      </c>
      <c r="CP65" s="22" t="inlineStr">
        <is>
          <t>Δ →</t>
        </is>
      </c>
      <c r="CQ65" s="44" t="n">
        <v>-0.015</v>
      </c>
      <c r="CR65" s="14" t="inlineStr">
        <is>
          <t>FY25 14.8%; 1H/26 17.2% (Dellner mix, Integration 3.0, low-margin pruning).</t>
        </is>
      </c>
    </row>
    <row r="66" ht="15" customHeight="1">
      <c r="B66" s="26" t="inlineStr">
        <is>
          <t xml:space="preserve">    of which: Freight</t>
        </is>
      </c>
      <c r="C66" s="36" t="n"/>
      <c r="D66" s="36" t="n"/>
      <c r="E66" s="36" t="n"/>
      <c r="F66" s="174" t="n">
        <v>103.1</v>
      </c>
      <c r="G66" s="174" t="n">
        <v>81.8</v>
      </c>
      <c r="H66" s="174" t="n">
        <v>47.6</v>
      </c>
      <c r="I66" s="174" t="n">
        <v>65.7</v>
      </c>
      <c r="J66" s="174" t="n">
        <v>2.1</v>
      </c>
      <c r="K66" s="174" t="n">
        <v>15</v>
      </c>
      <c r="L66" s="174" t="n">
        <v>14.8</v>
      </c>
      <c r="M66" s="36" t="n"/>
      <c r="N66" s="174" t="n">
        <v>72.40000000000001</v>
      </c>
      <c r="O66" s="174" t="n">
        <v>20.7</v>
      </c>
      <c r="P66" s="174" t="n">
        <v>24.1</v>
      </c>
      <c r="Q66" s="174" t="n">
        <v>29.4</v>
      </c>
      <c r="R66" s="36" t="n"/>
      <c r="S66" s="174" t="n">
        <v>93.3</v>
      </c>
      <c r="T66" s="174" t="n">
        <v>18.1</v>
      </c>
      <c r="U66" s="174" t="n">
        <v>40.3</v>
      </c>
      <c r="V66" s="174" t="n">
        <v>34</v>
      </c>
      <c r="W66" s="36" t="n"/>
      <c r="X66" s="174" t="n">
        <v>145.5</v>
      </c>
      <c r="Y66" s="174" t="n">
        <v>14.5</v>
      </c>
      <c r="Z66" s="174" t="n">
        <v>10.5</v>
      </c>
      <c r="AA66" s="174" t="n">
        <v>13.2</v>
      </c>
      <c r="AB66" s="36" t="n"/>
      <c r="AC66" s="174" t="n">
        <v>55.1</v>
      </c>
      <c r="AD66" s="174" t="n">
        <v>36.9</v>
      </c>
      <c r="AE66" s="174" t="n">
        <v>43.7</v>
      </c>
      <c r="AF66" s="174" t="n">
        <v>40.6</v>
      </c>
      <c r="AG66" s="174" t="n">
        <v>27</v>
      </c>
      <c r="AH66" s="174" t="n">
        <v>148.1</v>
      </c>
      <c r="AI66" s="174" t="n">
        <v>22.6</v>
      </c>
      <c r="AJ66" s="174" t="n">
        <v>11.1</v>
      </c>
      <c r="AK66" s="174" t="n">
        <v>11</v>
      </c>
      <c r="AL66" s="174" t="n">
        <v>6</v>
      </c>
      <c r="AM66" s="174" t="n">
        <v>50.9</v>
      </c>
      <c r="AN66" s="174" t="n">
        <v>495</v>
      </c>
      <c r="AO66" s="174" t="n">
        <v>1122.1</v>
      </c>
      <c r="AP66" s="174" t="n">
        <v>953.9</v>
      </c>
      <c r="AQ66" s="174" t="n">
        <v>1269.5</v>
      </c>
      <c r="AR66" s="174" t="n">
        <v>3840.7</v>
      </c>
      <c r="AS66" s="174" t="n">
        <v>506.4</v>
      </c>
      <c r="AT66" s="174" t="n">
        <v>18.5</v>
      </c>
      <c r="AU66" s="174" t="n">
        <v>8.9</v>
      </c>
      <c r="AV66" s="174" t="n">
        <v>10</v>
      </c>
      <c r="AW66" s="174" t="n">
        <v>543.4</v>
      </c>
      <c r="AX66" s="36" t="n"/>
      <c r="AY66" s="174" t="n">
        <v>38</v>
      </c>
      <c r="AZ66" s="174" t="n">
        <v>38</v>
      </c>
      <c r="BA66" s="174" t="n">
        <v>61</v>
      </c>
      <c r="BB66" s="174" t="n">
        <v>138</v>
      </c>
      <c r="BC66" s="174" t="n">
        <v>39</v>
      </c>
      <c r="BD66" s="174" t="n">
        <v>5</v>
      </c>
      <c r="BE66" s="174" t="n">
        <v>18</v>
      </c>
      <c r="BF66" s="174" t="n">
        <v>21</v>
      </c>
      <c r="BG66" s="174" t="n">
        <v>83</v>
      </c>
      <c r="BH66" s="174" t="n">
        <v>21</v>
      </c>
      <c r="BI66" s="174" t="n">
        <v>11</v>
      </c>
      <c r="BJ66" s="174" t="n">
        <v>45</v>
      </c>
      <c r="BK66" s="174" t="n">
        <v>32</v>
      </c>
      <c r="BL66" s="174" t="n">
        <v>109</v>
      </c>
      <c r="BM66" s="174" t="n">
        <v>36</v>
      </c>
      <c r="BN66" s="174" t="n">
        <v>34</v>
      </c>
      <c r="BO66" s="174" t="n">
        <v>2</v>
      </c>
      <c r="BP66" s="174" t="n">
        <v>6</v>
      </c>
      <c r="BQ66" s="174" t="n">
        <v>78</v>
      </c>
      <c r="BR66" s="174" t="n">
        <v>15</v>
      </c>
      <c r="BS66" s="174" t="n">
        <v>18</v>
      </c>
      <c r="BT66" s="174" t="n">
        <v>128</v>
      </c>
      <c r="BU66" s="174" t="n">
        <v>167</v>
      </c>
      <c r="BV66" s="174" t="n">
        <v>328</v>
      </c>
      <c r="BW66" s="174" t="n">
        <v>184</v>
      </c>
      <c r="BX66" s="174" t="n">
        <v>163</v>
      </c>
      <c r="BY66" s="37" t="n"/>
      <c r="BZ66" s="37" t="n"/>
      <c r="CA66" s="37" t="n"/>
      <c r="CB66" s="37" t="n"/>
      <c r="CC66" s="37" t="n"/>
      <c r="CD66" s="37" t="n"/>
      <c r="CE66" s="37" t="n"/>
      <c r="CF66" s="20" t="n"/>
      <c r="CN66" s="26" t="inlineStr">
        <is>
          <t xml:space="preserve">  2027E</t>
        </is>
      </c>
      <c r="CO66" s="35">
        <f>CP66+$CO$65</f>
        <v/>
      </c>
      <c r="CP66" s="45" t="n">
        <v>0.18</v>
      </c>
      <c r="CQ66" s="35">
        <f>CP66+$CQ$65</f>
        <v/>
      </c>
    </row>
    <row r="67" ht="15" customHeight="1">
      <c r="B67" s="26" t="inlineStr">
        <is>
          <t xml:space="preserve">    of which: Transit</t>
        </is>
      </c>
      <c r="C67" s="36" t="n"/>
      <c r="D67" s="36" t="n"/>
      <c r="E67" s="36" t="n"/>
      <c r="F67" s="174" t="n">
        <v>11.8</v>
      </c>
      <c r="G67" s="174" t="n">
        <v>4.3</v>
      </c>
      <c r="H67" s="174" t="n">
        <v>80.7</v>
      </c>
      <c r="I67" s="174" t="n">
        <v>72.59999999999999</v>
      </c>
      <c r="J67" s="174" t="n">
        <v>39.3</v>
      </c>
      <c r="K67" s="174" t="n">
        <v>34</v>
      </c>
      <c r="L67" s="174" t="n">
        <v>20</v>
      </c>
      <c r="M67" s="36" t="n"/>
      <c r="N67" s="174" t="n">
        <v>85.5</v>
      </c>
      <c r="O67" s="174" t="n">
        <v>0</v>
      </c>
      <c r="P67" s="174" t="n">
        <v>15.5</v>
      </c>
      <c r="Q67" s="174" t="n">
        <v>57.2</v>
      </c>
      <c r="R67" s="36" t="n"/>
      <c r="S67" s="174" t="n">
        <v>136.1</v>
      </c>
      <c r="T67" s="174" t="n">
        <v>59.8</v>
      </c>
      <c r="U67" s="174" t="n">
        <v>42.2</v>
      </c>
      <c r="V67" s="174" t="n">
        <v>8.699999999999999</v>
      </c>
      <c r="W67" s="36" t="n"/>
      <c r="X67" s="174" t="n">
        <v>117.3</v>
      </c>
      <c r="Y67" s="174" t="n">
        <v>5.7</v>
      </c>
      <c r="Z67" s="174" t="n">
        <v>6.2</v>
      </c>
      <c r="AA67" s="174" t="n">
        <v>2.2</v>
      </c>
      <c r="AB67" s="36" t="n"/>
      <c r="AC67" s="174" t="n">
        <v>134.1</v>
      </c>
      <c r="AD67" s="174" t="n">
        <v>270.4</v>
      </c>
      <c r="AE67" s="174" t="n">
        <v>283</v>
      </c>
      <c r="AF67" s="174" t="n">
        <v>289.9</v>
      </c>
      <c r="AG67" s="174" t="n">
        <v>192</v>
      </c>
      <c r="AH67" s="174" t="n">
        <v>1035.1</v>
      </c>
      <c r="AI67" s="174" t="n">
        <v>12.3</v>
      </c>
      <c r="AJ67" s="174" t="n">
        <v>28.1</v>
      </c>
      <c r="AK67" s="174" t="n">
        <v>21.2</v>
      </c>
      <c r="AL67" s="174" t="n">
        <v>22</v>
      </c>
      <c r="AM67" s="174" t="n">
        <v>83.8</v>
      </c>
      <c r="AN67" s="174" t="n">
        <v>14.7</v>
      </c>
      <c r="AO67" s="174" t="n">
        <v>2.8</v>
      </c>
      <c r="AP67" s="174" t="n">
        <v>2</v>
      </c>
      <c r="AQ67" s="174" t="n">
        <v>2</v>
      </c>
      <c r="AR67" s="174" t="n">
        <v>22.8</v>
      </c>
      <c r="AS67" s="174" t="n">
        <v>3</v>
      </c>
      <c r="AT67" s="174" t="n">
        <v>0</v>
      </c>
      <c r="AU67" s="174" t="n">
        <v>0</v>
      </c>
      <c r="AV67" s="36" t="n"/>
      <c r="AW67" s="174" t="n">
        <v>3</v>
      </c>
      <c r="AX67" s="36" t="n"/>
      <c r="AY67" s="36" t="n"/>
      <c r="AZ67" s="36" t="n"/>
      <c r="BA67" s="174" t="n">
        <v>0</v>
      </c>
      <c r="BB67" s="174" t="n">
        <v>0</v>
      </c>
      <c r="BC67" s="174" t="n">
        <v>1</v>
      </c>
      <c r="BD67" s="174" t="n">
        <v>1</v>
      </c>
      <c r="BE67" s="174" t="n">
        <v>1</v>
      </c>
      <c r="BF67" s="174" t="n">
        <v>1</v>
      </c>
      <c r="BG67" s="174" t="n">
        <v>4</v>
      </c>
      <c r="BH67" s="174" t="n">
        <v>0</v>
      </c>
      <c r="BI67" s="174" t="n">
        <v>0</v>
      </c>
      <c r="BJ67" s="174" t="n">
        <v>0</v>
      </c>
      <c r="BK67" s="174" t="n">
        <v>0</v>
      </c>
      <c r="BL67" s="174" t="n">
        <v>0</v>
      </c>
      <c r="BM67" s="174" t="n">
        <v>0</v>
      </c>
      <c r="BN67" s="174" t="n">
        <v>0</v>
      </c>
      <c r="BO67" s="174" t="n">
        <v>0</v>
      </c>
      <c r="BP67" s="174" t="n">
        <v>3</v>
      </c>
      <c r="BQ67" s="174" t="n">
        <v>3</v>
      </c>
      <c r="BR67" s="174" t="n">
        <v>8</v>
      </c>
      <c r="BS67" s="174" t="n">
        <v>9</v>
      </c>
      <c r="BT67" s="174" t="n">
        <v>6</v>
      </c>
      <c r="BU67" s="174" t="n">
        <v>4</v>
      </c>
      <c r="BV67" s="174" t="n">
        <v>27</v>
      </c>
      <c r="BW67" s="174" t="n">
        <v>41</v>
      </c>
      <c r="BX67" s="174" t="n">
        <v>69</v>
      </c>
      <c r="BY67" s="37" t="n"/>
      <c r="BZ67" s="37" t="n"/>
      <c r="CA67" s="37" t="n"/>
      <c r="CB67" s="37" t="n"/>
      <c r="CC67" s="37" t="n"/>
      <c r="CD67" s="37" t="n"/>
      <c r="CE67" s="37" t="n"/>
      <c r="CF67" s="20" t="n"/>
      <c r="CN67" s="26" t="inlineStr">
        <is>
          <t xml:space="preserve">  2028E</t>
        </is>
      </c>
      <c r="CO67" s="35">
        <f>CP67+$CO$65</f>
        <v/>
      </c>
      <c r="CP67" s="45" t="n">
        <v>0.185</v>
      </c>
      <c r="CQ67" s="35">
        <f>CP67+$CQ$65</f>
        <v/>
      </c>
    </row>
    <row r="68" ht="15" customHeight="1">
      <c r="B68" s="26" t="inlineStr">
        <is>
          <t xml:space="preserve">  Sales change from portfolio optimization / divestitures (y/y)</t>
        </is>
      </c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  <c r="AP68" s="36" t="n"/>
      <c r="AQ68" s="36" t="n"/>
      <c r="AR68" s="36" t="n"/>
      <c r="AS68" s="36" t="n"/>
      <c r="AT68" s="36" t="n"/>
      <c r="AU68" s="36" t="n"/>
      <c r="AV68" s="36" t="n"/>
      <c r="AW68" s="36" t="n"/>
      <c r="AX68" s="36" t="n"/>
      <c r="AY68" s="36" t="n"/>
      <c r="AZ68" s="36" t="n"/>
      <c r="BA68" s="36" t="n"/>
      <c r="BB68" s="36" t="n"/>
      <c r="BC68" s="36" t="n"/>
      <c r="BD68" s="36" t="n"/>
      <c r="BE68" s="36" t="n"/>
      <c r="BF68" s="36" t="n"/>
      <c r="BG68" s="36" t="n"/>
      <c r="BH68" s="36" t="n"/>
      <c r="BI68" s="36" t="n"/>
      <c r="BJ68" s="36" t="n"/>
      <c r="BK68" s="36" t="n"/>
      <c r="BL68" s="36" t="n"/>
      <c r="BM68" s="36" t="n"/>
      <c r="BN68" s="36" t="n"/>
      <c r="BO68" s="36" t="n"/>
      <c r="BP68" s="36" t="n"/>
      <c r="BQ68" s="36" t="n"/>
      <c r="BR68" s="36" t="n"/>
      <c r="BS68" s="36" t="n"/>
      <c r="BT68" s="174" t="n">
        <v>-13</v>
      </c>
      <c r="BU68" s="174" t="n">
        <v>-21</v>
      </c>
      <c r="BV68" s="174" t="n">
        <v>-72</v>
      </c>
      <c r="BW68" s="174" t="n">
        <v>-13</v>
      </c>
      <c r="BX68" s="174" t="n">
        <v>-12</v>
      </c>
      <c r="BY68" s="188" t="n">
        <v>0</v>
      </c>
      <c r="BZ68" s="188" t="n">
        <v>0</v>
      </c>
      <c r="CA68" s="178">
        <f>SUM(BW68,BX68,BY68,BZ68)</f>
        <v/>
      </c>
      <c r="CB68" s="37" t="n"/>
      <c r="CC68" s="37" t="n"/>
      <c r="CD68" s="37" t="n"/>
      <c r="CE68" s="37" t="n"/>
      <c r="CF68" s="20" t="n"/>
      <c r="CN68" s="26" t="inlineStr">
        <is>
          <t xml:space="preserve">  2029E</t>
        </is>
      </c>
      <c r="CO68" s="35">
        <f>CP68+$CO$65</f>
        <v/>
      </c>
      <c r="CP68" s="45" t="n">
        <v>0.19</v>
      </c>
      <c r="CQ68" s="35">
        <f>CP68+$CQ$65</f>
        <v/>
      </c>
    </row>
    <row r="69" ht="15" customHeight="1">
      <c r="B69" s="26" t="inlineStr">
        <is>
          <t xml:space="preserve">  Sales change from foreign exchange (y/y)</t>
        </is>
      </c>
      <c r="C69" s="36" t="n"/>
      <c r="D69" s="36" t="n"/>
      <c r="E69" s="36" t="n"/>
      <c r="F69" s="174" t="n">
        <v>-35.1</v>
      </c>
      <c r="G69" s="174" t="n">
        <v>4.2</v>
      </c>
      <c r="H69" s="174" t="n">
        <v>29.6</v>
      </c>
      <c r="I69" s="174" t="n">
        <v>-19.9</v>
      </c>
      <c r="J69" s="174" t="n">
        <v>-3.7</v>
      </c>
      <c r="K69" s="174" t="n">
        <v>-3.7</v>
      </c>
      <c r="L69" s="174" t="n">
        <v>-6.3</v>
      </c>
      <c r="M69" s="36" t="n"/>
      <c r="N69" s="174" t="n">
        <v>-15.6</v>
      </c>
      <c r="O69" s="174" t="n">
        <v>1.4</v>
      </c>
      <c r="P69" s="174" t="n">
        <v>11.3</v>
      </c>
      <c r="Q69" s="174" t="n">
        <v>12.8</v>
      </c>
      <c r="R69" s="36" t="n"/>
      <c r="S69" s="174" t="n">
        <v>11.2</v>
      </c>
      <c r="T69" s="174" t="n">
        <v>-38.7</v>
      </c>
      <c r="U69" s="174" t="n">
        <v>-45.3</v>
      </c>
      <c r="V69" s="174" t="n">
        <v>-38.8</v>
      </c>
      <c r="W69" s="174" t="n">
        <v>-27</v>
      </c>
      <c r="X69" s="174" t="n">
        <v>-151.8</v>
      </c>
      <c r="Y69" s="174" t="n">
        <v>-17.7</v>
      </c>
      <c r="Z69" s="174" t="n">
        <v>-9.199999999999999</v>
      </c>
      <c r="AA69" s="174" t="n">
        <v>-18.1</v>
      </c>
      <c r="AB69" s="174" t="n">
        <v>-22</v>
      </c>
      <c r="AC69" s="174" t="n">
        <v>-71.09999999999999</v>
      </c>
      <c r="AD69" s="174" t="n">
        <v>-24.8</v>
      </c>
      <c r="AE69" s="174" t="n">
        <v>-14.7</v>
      </c>
      <c r="AF69" s="174" t="n">
        <v>6.9</v>
      </c>
      <c r="AG69" s="174" t="n">
        <v>17</v>
      </c>
      <c r="AH69" s="174" t="n">
        <v>-5.3</v>
      </c>
      <c r="AI69" s="174" t="n">
        <v>70.3</v>
      </c>
      <c r="AJ69" s="174" t="n">
        <v>35</v>
      </c>
      <c r="AK69" s="174" t="n">
        <v>-19.7</v>
      </c>
      <c r="AL69" s="174" t="n">
        <v>-33</v>
      </c>
      <c r="AM69" s="174" t="n">
        <v>62.3</v>
      </c>
      <c r="AN69" s="174" t="n">
        <v>-58.2</v>
      </c>
      <c r="AO69" s="174" t="n">
        <v>-47.6</v>
      </c>
      <c r="AP69" s="174" t="n">
        <v>-30.2</v>
      </c>
      <c r="AQ69" s="174" t="n">
        <v>-18</v>
      </c>
      <c r="AR69" s="174" t="n">
        <v>-154.4</v>
      </c>
      <c r="AS69" s="174" t="n">
        <v>-31.4</v>
      </c>
      <c r="AT69" s="174" t="n">
        <v>-43.1</v>
      </c>
      <c r="AU69" s="174" t="n">
        <v>-2.1</v>
      </c>
      <c r="AV69" s="174" t="n">
        <v>26</v>
      </c>
      <c r="AW69" s="174" t="n">
        <v>-50</v>
      </c>
      <c r="AX69" s="36" t="n"/>
      <c r="AY69" s="174" t="n">
        <v>84</v>
      </c>
      <c r="AZ69" s="174" t="n">
        <v>23</v>
      </c>
      <c r="BA69" s="174" t="n">
        <v>-17</v>
      </c>
      <c r="BB69" s="174" t="n">
        <v>134</v>
      </c>
      <c r="BC69" s="174" t="n">
        <v>-37</v>
      </c>
      <c r="BD69" s="174" t="n">
        <v>-76</v>
      </c>
      <c r="BE69" s="174" t="n">
        <v>-99</v>
      </c>
      <c r="BF69" s="174" t="n">
        <v>-92</v>
      </c>
      <c r="BG69" s="174" t="n">
        <v>-304</v>
      </c>
      <c r="BH69" s="174" t="n">
        <v>-56</v>
      </c>
      <c r="BI69" s="174" t="n">
        <v>-7</v>
      </c>
      <c r="BJ69" s="174" t="n">
        <v>32</v>
      </c>
      <c r="BK69" s="174" t="n">
        <v>33</v>
      </c>
      <c r="BL69" s="174" t="n">
        <v>2</v>
      </c>
      <c r="BM69" s="174" t="n">
        <v>5</v>
      </c>
      <c r="BN69" s="174" t="n">
        <v>-18</v>
      </c>
      <c r="BO69" s="174" t="n">
        <v>-3</v>
      </c>
      <c r="BP69" s="174" t="n">
        <v>-17</v>
      </c>
      <c r="BQ69" s="174" t="n">
        <v>-33</v>
      </c>
      <c r="BR69" s="174" t="n">
        <v>-43</v>
      </c>
      <c r="BS69" s="174" t="n">
        <v>11</v>
      </c>
      <c r="BT69" s="174" t="n">
        <v>23</v>
      </c>
      <c r="BU69" s="174" t="n">
        <v>42</v>
      </c>
      <c r="BV69" s="174" t="n">
        <v>33</v>
      </c>
      <c r="BW69" s="174" t="n">
        <v>68</v>
      </c>
      <c r="BX69" s="174" t="n">
        <v>24</v>
      </c>
      <c r="BY69" s="188" t="n">
        <v>0</v>
      </c>
      <c r="BZ69" s="188" t="n">
        <v>0</v>
      </c>
      <c r="CA69" s="178">
        <f>SUM(BW69,BX69,BY69,BZ69)</f>
        <v/>
      </c>
      <c r="CB69" s="37" t="n"/>
      <c r="CC69" s="37" t="n"/>
      <c r="CD69" s="37" t="n"/>
      <c r="CE69" s="37" t="n"/>
      <c r="CF69" s="20" t="n"/>
      <c r="CN69" s="26" t="inlineStr">
        <is>
          <t xml:space="preserve">  2030E</t>
        </is>
      </c>
      <c r="CO69" s="35">
        <f>CP69+$CO$65</f>
        <v/>
      </c>
      <c r="CP69" s="45" t="n">
        <v>0.195</v>
      </c>
      <c r="CQ69" s="35">
        <f>CP69+$CQ$65</f>
        <v/>
      </c>
    </row>
    <row r="70" ht="15" customHeight="1">
      <c r="B70" s="26" t="inlineStr">
        <is>
          <t xml:space="preserve">  Organic sales change (y/y)</t>
        </is>
      </c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174" t="n">
        <v>33</v>
      </c>
      <c r="O70" s="174" t="n">
        <v>57.6</v>
      </c>
      <c r="P70" s="174" t="n">
        <v>42.2</v>
      </c>
      <c r="Q70" s="174" t="n">
        <v>66.5</v>
      </c>
      <c r="R70" s="36" t="n"/>
      <c r="S70" s="174" t="n">
        <v>237.5</v>
      </c>
      <c r="T70" s="174" t="n">
        <v>84.09999999999999</v>
      </c>
      <c r="U70" s="174" t="n">
        <v>78.7</v>
      </c>
      <c r="V70" s="174" t="n">
        <v>8.300000000000001</v>
      </c>
      <c r="W70" s="36" t="n"/>
      <c r="X70" s="174" t="n">
        <v>152.5</v>
      </c>
      <c r="Y70" s="174" t="n">
        <v>-49</v>
      </c>
      <c r="Z70" s="174" t="n">
        <v>-131</v>
      </c>
      <c r="AA70" s="174" t="n">
        <v>-131.1</v>
      </c>
      <c r="AB70" s="36" t="n"/>
      <c r="AC70" s="174" t="n">
        <v>-494.9</v>
      </c>
      <c r="AD70" s="174" t="n">
        <v>-138.5</v>
      </c>
      <c r="AE70" s="174" t="n">
        <v>-103.3</v>
      </c>
      <c r="AF70" s="174" t="n">
        <v>-55.1</v>
      </c>
      <c r="AG70" s="174" t="n">
        <v>80</v>
      </c>
      <c r="AH70" s="174" t="n">
        <v>-227.4</v>
      </c>
      <c r="AI70" s="174" t="n">
        <v>34.9</v>
      </c>
      <c r="AJ70" s="174" t="n">
        <v>105.1</v>
      </c>
      <c r="AK70" s="174" t="n">
        <v>107.4</v>
      </c>
      <c r="AL70" s="174" t="n">
        <v>47</v>
      </c>
      <c r="AM70" s="174" t="n">
        <v>284.8</v>
      </c>
      <c r="AN70" s="174" t="n">
        <v>85.90000000000001</v>
      </c>
      <c r="AO70" s="174" t="n">
        <v>47.2</v>
      </c>
      <c r="AP70" s="174" t="n">
        <v>-1.8</v>
      </c>
      <c r="AQ70" s="174" t="n">
        <v>-3</v>
      </c>
      <c r="AR70" s="174" t="n">
        <v>127.4</v>
      </c>
      <c r="AS70" s="174" t="n">
        <v>-141.7</v>
      </c>
      <c r="AT70" s="174" t="n">
        <v>-474.3</v>
      </c>
      <c r="AU70" s="174" t="n">
        <v>-143.4</v>
      </c>
      <c r="AV70" s="174" t="n">
        <v>-381</v>
      </c>
      <c r="AW70" s="174" t="n">
        <v>-1140.3</v>
      </c>
      <c r="AX70" s="36" t="n"/>
      <c r="AY70" s="174" t="n">
        <v>153</v>
      </c>
      <c r="AZ70" s="174" t="n">
        <v>-19</v>
      </c>
      <c r="BA70" s="174" t="n">
        <v>5</v>
      </c>
      <c r="BB70" s="174" t="n">
        <v>-6</v>
      </c>
      <c r="BC70" s="174" t="n">
        <v>94</v>
      </c>
      <c r="BD70" s="174" t="n">
        <v>106</v>
      </c>
      <c r="BE70" s="174" t="n">
        <v>254</v>
      </c>
      <c r="BF70" s="174" t="n">
        <v>303</v>
      </c>
      <c r="BG70" s="174" t="n">
        <v>757</v>
      </c>
      <c r="BH70" s="174" t="n">
        <v>302</v>
      </c>
      <c r="BI70" s="174" t="n">
        <v>355</v>
      </c>
      <c r="BJ70" s="174" t="n">
        <v>392</v>
      </c>
      <c r="BK70" s="174" t="n">
        <v>155</v>
      </c>
      <c r="BL70" s="174" t="n">
        <v>1204</v>
      </c>
      <c r="BM70" s="174" t="n">
        <v>262</v>
      </c>
      <c r="BN70" s="174" t="n">
        <v>221</v>
      </c>
      <c r="BO70" s="174" t="n">
        <v>114</v>
      </c>
      <c r="BP70" s="174" t="n">
        <v>65</v>
      </c>
      <c r="BQ70" s="174" t="n">
        <v>662</v>
      </c>
      <c r="BR70" s="174" t="n">
        <v>133</v>
      </c>
      <c r="BS70" s="174" t="n">
        <v>24</v>
      </c>
      <c r="BT70" s="174" t="n">
        <v>79</v>
      </c>
      <c r="BU70" s="174" t="n">
        <v>190</v>
      </c>
      <c r="BV70" s="174" t="n">
        <v>464</v>
      </c>
      <c r="BW70" s="174" t="n">
        <v>60</v>
      </c>
      <c r="BX70" s="174" t="n">
        <v>229</v>
      </c>
      <c r="BY70" s="178">
        <f>BY142-BT142-BY65-BY68-BY69</f>
        <v/>
      </c>
      <c r="BZ70" s="178">
        <f>BZ142-BU142-BZ65-BZ68-BZ69</f>
        <v/>
      </c>
      <c r="CA70" s="178">
        <f>SUM(BW70,BX70,BY70,BZ70)</f>
        <v/>
      </c>
      <c r="CB70" s="37" t="n"/>
      <c r="CC70" s="37" t="n"/>
      <c r="CD70" s="37" t="n"/>
      <c r="CE70" s="37" t="n"/>
      <c r="CF70" s="20" t="inlineStr">
        <is>
          <t>Forecast = total change − acquisitions − divestitures − FX (FX assumed nil).</t>
        </is>
      </c>
      <c r="CN70" s="16" t="inlineStr">
        <is>
          <t>M&amp;A_spend (bolt-on acquisitions, $m)</t>
        </is>
      </c>
      <c r="CO70" s="53" t="n">
        <v>500</v>
      </c>
      <c r="CP70" s="22" t="inlineStr">
        <is>
          <t>Δ →</t>
        </is>
      </c>
      <c r="CQ70" s="53" t="n">
        <v>-500</v>
      </c>
      <c r="CR70" s="14" t="inlineStr">
        <is>
          <t>Wabtec deployed ~$2.5bn on acquisitions in 2025 and ~$1.1bn in 1H/26 (Dellner); Base assumes ~$0.75bn p.a. of bolt-ons.</t>
        </is>
      </c>
    </row>
    <row r="71" ht="15" customHeight="1">
      <c r="B71" s="23" t="inlineStr">
        <is>
          <t xml:space="preserve">  Organic sales growth %</t>
        </is>
      </c>
      <c r="D71" s="179">
        <f>IF(AND(ISNUMBER(D70),ISNUMBER(C142)),IFERROR(D70/C142,""),"")</f>
        <v/>
      </c>
      <c r="E71" s="179">
        <f>IF(AND(ISNUMBER(E70),ISNUMBER(D142)),IFERROR(E70/D142,""),"")</f>
        <v/>
      </c>
      <c r="F71" s="179">
        <f>IF(AND(ISNUMBER(F70),ISNUMBER(E142)),IFERROR(F70/E142,""),"")</f>
        <v/>
      </c>
      <c r="G71" s="179">
        <f>IF(AND(ISNUMBER(G70),ISNUMBER(F142)),IFERROR(G70/F142,""),"")</f>
        <v/>
      </c>
      <c r="H71" s="179">
        <f>IF(AND(ISNUMBER(H70),ISNUMBER(G142)),IFERROR(H70/G142,""),"")</f>
        <v/>
      </c>
      <c r="I71" s="179">
        <f>IF(AND(ISNUMBER(I70),ISNUMBER(H142)),IFERROR(I70/H142,""),"")</f>
        <v/>
      </c>
      <c r="N71" s="179">
        <f>IF(AND(ISNUMBER(N70),ISNUMBER(I142)),IFERROR(N70/I142,""),"")</f>
        <v/>
      </c>
      <c r="O71" s="179">
        <f>IF(AND(ISNUMBER(O70),ISNUMBER(J142)),IFERROR(O70/J142,""),"")</f>
        <v/>
      </c>
      <c r="P71" s="179">
        <f>IF(AND(ISNUMBER(P70),ISNUMBER(K142)),IFERROR(P70/K142,""),"")</f>
        <v/>
      </c>
      <c r="Q71" s="179">
        <f>IF(AND(ISNUMBER(Q70),ISNUMBER(L142)),IFERROR(Q70/L142,""),"")</f>
        <v/>
      </c>
      <c r="R71" s="179">
        <f>IF(AND(ISNUMBER(R70),ISNUMBER(M142)),IFERROR(R70/M142,""),"")</f>
        <v/>
      </c>
      <c r="S71" s="179">
        <f>IF(AND(ISNUMBER(S70),ISNUMBER(N142)),IFERROR(S70/N142,""),"")</f>
        <v/>
      </c>
      <c r="T71" s="179">
        <f>IF(AND(ISNUMBER(T70),ISNUMBER(O142)),IFERROR(T70/O142,""),"")</f>
        <v/>
      </c>
      <c r="U71" s="179">
        <f>IF(AND(ISNUMBER(U70),ISNUMBER(P142)),IFERROR(U70/P142,""),"")</f>
        <v/>
      </c>
      <c r="V71" s="179">
        <f>IF(AND(ISNUMBER(V70),ISNUMBER(Q142)),IFERROR(V70/Q142,""),"")</f>
        <v/>
      </c>
      <c r="W71" s="179">
        <f>IF(AND(ISNUMBER(W70),ISNUMBER(R142)),IFERROR(W70/R142,""),"")</f>
        <v/>
      </c>
      <c r="X71" s="179">
        <f>IF(AND(ISNUMBER(X70),ISNUMBER(S142)),IFERROR(X70/S142,""),"")</f>
        <v/>
      </c>
      <c r="Y71" s="179">
        <f>IF(AND(ISNUMBER(Y70),ISNUMBER(T142)),IFERROR(Y70/T142,""),"")</f>
        <v/>
      </c>
      <c r="Z71" s="179">
        <f>IF(AND(ISNUMBER(Z70),ISNUMBER(U142)),IFERROR(Z70/U142,""),"")</f>
        <v/>
      </c>
      <c r="AA71" s="179">
        <f>IF(AND(ISNUMBER(AA70),ISNUMBER(V142)),IFERROR(AA70/V142,""),"")</f>
        <v/>
      </c>
      <c r="AB71" s="179">
        <f>IF(AND(ISNUMBER(AB70),ISNUMBER(W142)),IFERROR(AB70/W142,""),"")</f>
        <v/>
      </c>
      <c r="AC71" s="179">
        <f>IF(AND(ISNUMBER(AC70),ISNUMBER(X142)),IFERROR(AC70/X142,""),"")</f>
        <v/>
      </c>
      <c r="AD71" s="179">
        <f>IF(AND(ISNUMBER(AD70),ISNUMBER(Y142)),IFERROR(AD70/Y142,""),"")</f>
        <v/>
      </c>
      <c r="AE71" s="179">
        <f>IF(AND(ISNUMBER(AE70),ISNUMBER(Z142)),IFERROR(AE70/Z142,""),"")</f>
        <v/>
      </c>
      <c r="AF71" s="179">
        <f>IF(AND(ISNUMBER(AF70),ISNUMBER(AA142)),IFERROR(AF70/AA142,""),"")</f>
        <v/>
      </c>
      <c r="AG71" s="179">
        <f>IF(AND(ISNUMBER(AG70),ISNUMBER(AB142)),IFERROR(AG70/AB142,""),"")</f>
        <v/>
      </c>
      <c r="AH71" s="179">
        <f>IF(AND(ISNUMBER(AH70),ISNUMBER(AC142)),IFERROR(AH70/AC142,""),"")</f>
        <v/>
      </c>
      <c r="AI71" s="179">
        <f>IF(AND(ISNUMBER(AI70),ISNUMBER(AD142)),IFERROR(AI70/AD142,""),"")</f>
        <v/>
      </c>
      <c r="AJ71" s="179">
        <f>IF(AND(ISNUMBER(AJ70),ISNUMBER(AE142)),IFERROR(AJ70/AE142,""),"")</f>
        <v/>
      </c>
      <c r="AK71" s="179">
        <f>IF(AND(ISNUMBER(AK70),ISNUMBER(AF142)),IFERROR(AK70/AF142,""),"")</f>
        <v/>
      </c>
      <c r="AL71" s="179">
        <f>IF(AND(ISNUMBER(AL70),ISNUMBER(AG142)),IFERROR(AL70/AG142,""),"")</f>
        <v/>
      </c>
      <c r="AM71" s="179">
        <f>IF(AND(ISNUMBER(AM70),ISNUMBER(AH142)),IFERROR(AM70/AH142,""),"")</f>
        <v/>
      </c>
      <c r="AN71" s="179">
        <f>IF(AND(ISNUMBER(AN70),ISNUMBER(AI142)),IFERROR(AN70/AI142,""),"")</f>
        <v/>
      </c>
      <c r="AO71" s="179">
        <f>IF(AND(ISNUMBER(AO70),ISNUMBER(AJ142)),IFERROR(AO70/AJ142,""),"")</f>
        <v/>
      </c>
      <c r="AP71" s="179">
        <f>IF(AND(ISNUMBER(AP70),ISNUMBER(AK142)),IFERROR(AP70/AK142,""),"")</f>
        <v/>
      </c>
      <c r="AQ71" s="179">
        <f>IF(AND(ISNUMBER(AQ70),ISNUMBER(AL142)),IFERROR(AQ70/AL142,""),"")</f>
        <v/>
      </c>
      <c r="AR71" s="179">
        <f>IF(AND(ISNUMBER(AR70),ISNUMBER(AM142)),IFERROR(AR70/AM142,""),"")</f>
        <v/>
      </c>
      <c r="AS71" s="179">
        <f>IF(AND(ISNUMBER(AS70),ISNUMBER(AN142)),IFERROR(AS70/AN142,""),"")</f>
        <v/>
      </c>
      <c r="AT71" s="179">
        <f>IF(AND(ISNUMBER(AT70),ISNUMBER(AO142)),IFERROR(AT70/AO142,""),"")</f>
        <v/>
      </c>
      <c r="AU71" s="179">
        <f>IF(AND(ISNUMBER(AU70),ISNUMBER(AP142)),IFERROR(AU70/AP142,""),"")</f>
        <v/>
      </c>
      <c r="AV71" s="179">
        <f>IF(AND(ISNUMBER(AV70),ISNUMBER(AQ142)),IFERROR(AV70/AQ142,""),"")</f>
        <v/>
      </c>
      <c r="AW71" s="179">
        <f>IF(AND(ISNUMBER(AW70),ISNUMBER(AR142)),IFERROR(AW70/AR142,""),"")</f>
        <v/>
      </c>
      <c r="AX71" s="179">
        <f>IF(AND(ISNUMBER(AX70),ISNUMBER(AS142)),IFERROR(AX70/AS142,""),"")</f>
        <v/>
      </c>
      <c r="AY71" s="179">
        <f>IF(AND(ISNUMBER(AY70),ISNUMBER(AT142)),IFERROR(AY70/AT142,""),"")</f>
        <v/>
      </c>
      <c r="AZ71" s="179">
        <f>IF(AND(ISNUMBER(AZ70),ISNUMBER(AU142)),IFERROR(AZ70/AU142,""),"")</f>
        <v/>
      </c>
      <c r="BA71" s="179">
        <f>IF(AND(ISNUMBER(BA70),ISNUMBER(AV142)),IFERROR(BA70/AV142,""),"")</f>
        <v/>
      </c>
      <c r="BB71" s="179">
        <f>IF(AND(ISNUMBER(BB70),ISNUMBER(AW142)),IFERROR(BB70/AW142,""),"")</f>
        <v/>
      </c>
      <c r="BC71" s="179">
        <f>IF(AND(ISNUMBER(BC70),ISNUMBER(AX142)),IFERROR(BC70/AX142,""),"")</f>
        <v/>
      </c>
      <c r="BD71" s="179">
        <f>IF(AND(ISNUMBER(BD70),ISNUMBER(AY142)),IFERROR(BD70/AY142,""),"")</f>
        <v/>
      </c>
      <c r="BE71" s="179">
        <f>IF(AND(ISNUMBER(BE70),ISNUMBER(AZ142)),IFERROR(BE70/AZ142,""),"")</f>
        <v/>
      </c>
      <c r="BF71" s="179">
        <f>IF(AND(ISNUMBER(BF70),ISNUMBER(BA142)),IFERROR(BF70/BA142,""),"")</f>
        <v/>
      </c>
      <c r="BG71" s="179">
        <f>IF(AND(ISNUMBER(BG70),ISNUMBER(BB142)),IFERROR(BG70/BB142,""),"")</f>
        <v/>
      </c>
      <c r="BH71" s="179">
        <f>IF(AND(ISNUMBER(BH70),ISNUMBER(BC142)),IFERROR(BH70/BC142,""),"")</f>
        <v/>
      </c>
      <c r="BI71" s="179">
        <f>IF(AND(ISNUMBER(BI70),ISNUMBER(BD142)),IFERROR(BI70/BD142,""),"")</f>
        <v/>
      </c>
      <c r="BJ71" s="179">
        <f>IF(AND(ISNUMBER(BJ70),ISNUMBER(BE142)),IFERROR(BJ70/BE142,""),"")</f>
        <v/>
      </c>
      <c r="BK71" s="179">
        <f>IF(AND(ISNUMBER(BK70),ISNUMBER(BF142)),IFERROR(BK70/BF142,""),"")</f>
        <v/>
      </c>
      <c r="BL71" s="179">
        <f>IF(AND(ISNUMBER(BL70),ISNUMBER(BG142)),IFERROR(BL70/BG142,""),"")</f>
        <v/>
      </c>
      <c r="BM71" s="179">
        <f>IF(AND(ISNUMBER(BM70),ISNUMBER(BH142)),IFERROR(BM70/BH142,""),"")</f>
        <v/>
      </c>
      <c r="BN71" s="179">
        <f>IF(AND(ISNUMBER(BN70),ISNUMBER(BI142)),IFERROR(BN70/BI142,""),"")</f>
        <v/>
      </c>
      <c r="BO71" s="179">
        <f>IF(AND(ISNUMBER(BO70),ISNUMBER(BJ142)),IFERROR(BO70/BJ142,""),"")</f>
        <v/>
      </c>
      <c r="BP71" s="179">
        <f>IF(AND(ISNUMBER(BP70),ISNUMBER(BK142)),IFERROR(BP70/BK142,""),"")</f>
        <v/>
      </c>
      <c r="BQ71" s="179">
        <f>IF(AND(ISNUMBER(BQ70),ISNUMBER(BL142)),IFERROR(BQ70/BL142,""),"")</f>
        <v/>
      </c>
      <c r="BR71" s="179">
        <f>IF(AND(ISNUMBER(BR70),ISNUMBER(BM142)),IFERROR(BR70/BM142,""),"")</f>
        <v/>
      </c>
      <c r="BS71" s="179">
        <f>IF(AND(ISNUMBER(BS70),ISNUMBER(BN142)),IFERROR(BS70/BN142,""),"")</f>
        <v/>
      </c>
      <c r="BT71" s="179">
        <f>IF(AND(ISNUMBER(BT70),ISNUMBER(BO142)),IFERROR(BT70/BO142,""),"")</f>
        <v/>
      </c>
      <c r="BU71" s="179">
        <f>IF(AND(ISNUMBER(BU70),ISNUMBER(BP142)),IFERROR(BU70/BP142,""),"")</f>
        <v/>
      </c>
      <c r="BV71" s="179">
        <f>IF(AND(ISNUMBER(BV70),ISNUMBER(BQ142)),IFERROR(BV70/BQ142,""),"")</f>
        <v/>
      </c>
      <c r="BW71" s="179">
        <f>IF(AND(ISNUMBER(BW70),ISNUMBER(BR142)),IFERROR(BW70/BR142,""),"")</f>
        <v/>
      </c>
      <c r="BX71" s="179">
        <f>IF(AND(ISNUMBER(BX70),ISNUMBER(BS142)),IFERROR(BX70/BS142,""),"")</f>
        <v/>
      </c>
      <c r="BY71" s="180">
        <f>IF(AND(ISNUMBER(BY70),ISNUMBER(BT142)),IFERROR(BY70/BT142,""),"")</f>
        <v/>
      </c>
      <c r="BZ71" s="180">
        <f>IF(AND(ISNUMBER(BZ70),ISNUMBER(BU142)),IFERROR(BZ70/BU142,""),"")</f>
        <v/>
      </c>
      <c r="CA71" s="180">
        <f>IF(AND(ISNUMBER(CA70),ISNUMBER(BV142)),IFERROR(CA70/BV142,""),"")</f>
        <v/>
      </c>
      <c r="CB71" s="180">
        <f>IFERROR((CB142-CB88-(CA142-CA88))/CA142,"")</f>
        <v/>
      </c>
      <c r="CC71" s="180">
        <f>IFERROR((CC142-CC88-(CB142-CB88))/CB142,"")</f>
        <v/>
      </c>
      <c r="CD71" s="180">
        <f>IFERROR((CD142-CD88-(CC142-CC88))/CC142,"")</f>
        <v/>
      </c>
      <c r="CE71" s="180">
        <f>IFERROR((CE142-CE88-(CD142-CD88))/CD142,"")</f>
        <v/>
      </c>
      <c r="CF71" s="6" t="inlineStr">
        <is>
          <t>2027E+: growth excluding sales from future acquisitions (FX nil).</t>
        </is>
      </c>
      <c r="CH71" s="39">
        <f>IFERROR(AVERAGE(CA71,CB71,CC71,CD71,CE71),"n/m")</f>
        <v/>
      </c>
      <c r="CI71" s="39">
        <f>IFERROR(AVERAGE(BB71,BG71,BL71,BQ71,BV71),"n/m")</f>
        <v/>
      </c>
      <c r="CJ71" s="39">
        <f>IFERROR(AVERAGE(AC71,AH71,AM71,AR71,AW71,BB71,BG71,BL71,BQ71,BV71),"n/m")</f>
        <v/>
      </c>
      <c r="CK71" s="39">
        <f>IFERROR(AVERAGE(C71,D71,E71,F71,G71,H71,I71,N71,S71,X71,AC71,AH71,AM71,AR71,AW71,BB71,BG71,BL71,BQ71,BV71),"n/m")</f>
        <v/>
      </c>
      <c r="CN71" s="26" t="inlineStr">
        <is>
          <t xml:space="preserve">  2027E</t>
        </is>
      </c>
      <c r="CO71" s="54">
        <f>MAX(0,CP71+$CO$70)</f>
        <v/>
      </c>
      <c r="CP71" s="27" t="n">
        <v>750</v>
      </c>
      <c r="CQ71" s="54">
        <f>MAX(0,CP71+$CQ$70)</f>
        <v/>
      </c>
    </row>
    <row r="72" collapsed="1" ht="15" customHeight="1">
      <c r="B72" s="23" t="inlineStr">
        <is>
          <t xml:space="preserve">  Acquisition contribution to growth %</t>
        </is>
      </c>
      <c r="D72" s="179">
        <f>IF(AND(ISNUMBER(D65),ISNUMBER(C142)),IFERROR(D65/C142,""),"")</f>
        <v/>
      </c>
      <c r="E72" s="179">
        <f>IF(AND(ISNUMBER(E65),ISNUMBER(D142)),IFERROR(E65/D142,""),"")</f>
        <v/>
      </c>
      <c r="F72" s="179">
        <f>IF(AND(ISNUMBER(F65),ISNUMBER(E142)),IFERROR(F65/E142,""),"")</f>
        <v/>
      </c>
      <c r="G72" s="179">
        <f>IF(AND(ISNUMBER(G65),ISNUMBER(F142)),IFERROR(G65/F142,""),"")</f>
        <v/>
      </c>
      <c r="H72" s="179">
        <f>IF(AND(ISNUMBER(H65),ISNUMBER(G142)),IFERROR(H65/G142,""),"")</f>
        <v/>
      </c>
      <c r="I72" s="179">
        <f>IF(AND(ISNUMBER(I65),ISNUMBER(H142)),IFERROR(I65/H142,""),"")</f>
        <v/>
      </c>
      <c r="N72" s="179">
        <f>IF(AND(ISNUMBER(N65),ISNUMBER(I142)),IFERROR(N65/I142,""),"")</f>
        <v/>
      </c>
      <c r="O72" s="179">
        <f>IF(AND(ISNUMBER(O65),ISNUMBER(J142)),IFERROR(O65/J142,""),"")</f>
        <v/>
      </c>
      <c r="P72" s="179">
        <f>IF(AND(ISNUMBER(P65),ISNUMBER(K142)),IFERROR(P65/K142,""),"")</f>
        <v/>
      </c>
      <c r="Q72" s="179">
        <f>IF(AND(ISNUMBER(Q65),ISNUMBER(L142)),IFERROR(Q65/L142,""),"")</f>
        <v/>
      </c>
      <c r="R72" s="179">
        <f>IF(AND(ISNUMBER(R65),ISNUMBER(M142)),IFERROR(R65/M142,""),"")</f>
        <v/>
      </c>
      <c r="S72" s="179">
        <f>IF(AND(ISNUMBER(S65),ISNUMBER(N142)),IFERROR(S65/N142,""),"")</f>
        <v/>
      </c>
      <c r="T72" s="179">
        <f>IF(AND(ISNUMBER(T65),ISNUMBER(O142)),IFERROR(T65/O142,""),"")</f>
        <v/>
      </c>
      <c r="U72" s="179">
        <f>IF(AND(ISNUMBER(U65),ISNUMBER(P142)),IFERROR(U65/P142,""),"")</f>
        <v/>
      </c>
      <c r="V72" s="179">
        <f>IF(AND(ISNUMBER(V65),ISNUMBER(Q142)),IFERROR(V65/Q142,""),"")</f>
        <v/>
      </c>
      <c r="W72" s="179">
        <f>IF(AND(ISNUMBER(W65),ISNUMBER(R142)),IFERROR(W65/R142,""),"")</f>
        <v/>
      </c>
      <c r="X72" s="179">
        <f>IF(AND(ISNUMBER(X65),ISNUMBER(S142)),IFERROR(X65/S142,""),"")</f>
        <v/>
      </c>
      <c r="Y72" s="179">
        <f>IF(AND(ISNUMBER(Y65),ISNUMBER(T142)),IFERROR(Y65/T142,""),"")</f>
        <v/>
      </c>
      <c r="Z72" s="179">
        <f>IF(AND(ISNUMBER(Z65),ISNUMBER(U142)),IFERROR(Z65/U142,""),"")</f>
        <v/>
      </c>
      <c r="AA72" s="179">
        <f>IF(AND(ISNUMBER(AA65),ISNUMBER(V142)),IFERROR(AA65/V142,""),"")</f>
        <v/>
      </c>
      <c r="AB72" s="179">
        <f>IF(AND(ISNUMBER(AB65),ISNUMBER(W142)),IFERROR(AB65/W142,""),"")</f>
        <v/>
      </c>
      <c r="AC72" s="179">
        <f>IF(AND(ISNUMBER(AC65),ISNUMBER(X142)),IFERROR(AC65/X142,""),"")</f>
        <v/>
      </c>
      <c r="AD72" s="179">
        <f>IF(AND(ISNUMBER(AD65),ISNUMBER(Y142)),IFERROR(AD65/Y142,""),"")</f>
        <v/>
      </c>
      <c r="AE72" s="179">
        <f>IF(AND(ISNUMBER(AE65),ISNUMBER(Z142)),IFERROR(AE65/Z142,""),"")</f>
        <v/>
      </c>
      <c r="AF72" s="179">
        <f>IF(AND(ISNUMBER(AF65),ISNUMBER(AA142)),IFERROR(AF65/AA142,""),"")</f>
        <v/>
      </c>
      <c r="AG72" s="179">
        <f>IF(AND(ISNUMBER(AG65),ISNUMBER(AB142)),IFERROR(AG65/AB142,""),"")</f>
        <v/>
      </c>
      <c r="AH72" s="179">
        <f>IF(AND(ISNUMBER(AH65),ISNUMBER(AC142)),IFERROR(AH65/AC142,""),"")</f>
        <v/>
      </c>
      <c r="AI72" s="179">
        <f>IF(AND(ISNUMBER(AI65),ISNUMBER(AD142)),IFERROR(AI65/AD142,""),"")</f>
        <v/>
      </c>
      <c r="AJ72" s="179">
        <f>IF(AND(ISNUMBER(AJ65),ISNUMBER(AE142)),IFERROR(AJ65/AE142,""),"")</f>
        <v/>
      </c>
      <c r="AK72" s="179">
        <f>IF(AND(ISNUMBER(AK65),ISNUMBER(AF142)),IFERROR(AK65/AF142,""),"")</f>
        <v/>
      </c>
      <c r="AL72" s="179">
        <f>IF(AND(ISNUMBER(AL65),ISNUMBER(AG142)),IFERROR(AL65/AG142,""),"")</f>
        <v/>
      </c>
      <c r="AM72" s="179">
        <f>IF(AND(ISNUMBER(AM65),ISNUMBER(AH142)),IFERROR(AM65/AH142,""),"")</f>
        <v/>
      </c>
      <c r="AN72" s="179">
        <f>IF(AND(ISNUMBER(AN65),ISNUMBER(AI142)),IFERROR(AN65/AI142,""),"")</f>
        <v/>
      </c>
      <c r="AO72" s="179">
        <f>IF(AND(ISNUMBER(AO65),ISNUMBER(AJ142)),IFERROR(AO65/AJ142,""),"")</f>
        <v/>
      </c>
      <c r="AP72" s="179">
        <f>IF(AND(ISNUMBER(AP65),ISNUMBER(AK142)),IFERROR(AP65/AK142,""),"")</f>
        <v/>
      </c>
      <c r="AQ72" s="179">
        <f>IF(AND(ISNUMBER(AQ65),ISNUMBER(AL142)),IFERROR(AQ65/AL142,""),"")</f>
        <v/>
      </c>
      <c r="AR72" s="179">
        <f>IF(AND(ISNUMBER(AR65),ISNUMBER(AM142)),IFERROR(AR65/AM142,""),"")</f>
        <v/>
      </c>
      <c r="AS72" s="179">
        <f>IF(AND(ISNUMBER(AS65),ISNUMBER(AN142)),IFERROR(AS65/AN142,""),"")</f>
        <v/>
      </c>
      <c r="AT72" s="179">
        <f>IF(AND(ISNUMBER(AT65),ISNUMBER(AO142)),IFERROR(AT65/AO142,""),"")</f>
        <v/>
      </c>
      <c r="AU72" s="179">
        <f>IF(AND(ISNUMBER(AU65),ISNUMBER(AP142)),IFERROR(AU65/AP142,""),"")</f>
        <v/>
      </c>
      <c r="AV72" s="179">
        <f>IF(AND(ISNUMBER(AV65),ISNUMBER(AQ142)),IFERROR(AV65/AQ142,""),"")</f>
        <v/>
      </c>
      <c r="AW72" s="179">
        <f>IF(AND(ISNUMBER(AW65),ISNUMBER(AR142)),IFERROR(AW65/AR142,""),"")</f>
        <v/>
      </c>
      <c r="AX72" s="179">
        <f>IF(AND(ISNUMBER(AX65),ISNUMBER(AS142)),IFERROR(AX65/AS142,""),"")</f>
        <v/>
      </c>
      <c r="AY72" s="179">
        <f>IF(AND(ISNUMBER(AY65),ISNUMBER(AT142)),IFERROR(AY65/AT142,""),"")</f>
        <v/>
      </c>
      <c r="AZ72" s="179">
        <f>IF(AND(ISNUMBER(AZ65),ISNUMBER(AU142)),IFERROR(AZ65/AU142,""),"")</f>
        <v/>
      </c>
      <c r="BA72" s="179">
        <f>IF(AND(ISNUMBER(BA65),ISNUMBER(AV142)),IFERROR(BA65/AV142,""),"")</f>
        <v/>
      </c>
      <c r="BB72" s="179">
        <f>IF(AND(ISNUMBER(BB65),ISNUMBER(AW142)),IFERROR(BB65/AW142,""),"")</f>
        <v/>
      </c>
      <c r="BC72" s="179">
        <f>IF(AND(ISNUMBER(BC65),ISNUMBER(AX142)),IFERROR(BC65/AX142,""),"")</f>
        <v/>
      </c>
      <c r="BD72" s="179">
        <f>IF(AND(ISNUMBER(BD65),ISNUMBER(AY142)),IFERROR(BD65/AY142,""),"")</f>
        <v/>
      </c>
      <c r="BE72" s="179">
        <f>IF(AND(ISNUMBER(BE65),ISNUMBER(AZ142)),IFERROR(BE65/AZ142,""),"")</f>
        <v/>
      </c>
      <c r="BF72" s="179">
        <f>IF(AND(ISNUMBER(BF65),ISNUMBER(BA142)),IFERROR(BF65/BA142,""),"")</f>
        <v/>
      </c>
      <c r="BG72" s="179">
        <f>IF(AND(ISNUMBER(BG65),ISNUMBER(BB142)),IFERROR(BG65/BB142,""),"")</f>
        <v/>
      </c>
      <c r="BH72" s="179">
        <f>IF(AND(ISNUMBER(BH65),ISNUMBER(BC142)),IFERROR(BH65/BC142,""),"")</f>
        <v/>
      </c>
      <c r="BI72" s="179">
        <f>IF(AND(ISNUMBER(BI65),ISNUMBER(BD142)),IFERROR(BI65/BD142,""),"")</f>
        <v/>
      </c>
      <c r="BJ72" s="179">
        <f>IF(AND(ISNUMBER(BJ65),ISNUMBER(BE142)),IFERROR(BJ65/BE142,""),"")</f>
        <v/>
      </c>
      <c r="BK72" s="179">
        <f>IF(AND(ISNUMBER(BK65),ISNUMBER(BF142)),IFERROR(BK65/BF142,""),"")</f>
        <v/>
      </c>
      <c r="BL72" s="179">
        <f>IF(AND(ISNUMBER(BL65),ISNUMBER(BG142)),IFERROR(BL65/BG142,""),"")</f>
        <v/>
      </c>
      <c r="BM72" s="179">
        <f>IF(AND(ISNUMBER(BM65),ISNUMBER(BH142)),IFERROR(BM65/BH142,""),"")</f>
        <v/>
      </c>
      <c r="BN72" s="179">
        <f>IF(AND(ISNUMBER(BN65),ISNUMBER(BI142)),IFERROR(BN65/BI142,""),"")</f>
        <v/>
      </c>
      <c r="BO72" s="179">
        <f>IF(AND(ISNUMBER(BO65),ISNUMBER(BJ142)),IFERROR(BO65/BJ142,""),"")</f>
        <v/>
      </c>
      <c r="BP72" s="179">
        <f>IF(AND(ISNUMBER(BP65),ISNUMBER(BK142)),IFERROR(BP65/BK142,""),"")</f>
        <v/>
      </c>
      <c r="BQ72" s="179">
        <f>IF(AND(ISNUMBER(BQ65),ISNUMBER(BL142)),IFERROR(BQ65/BL142,""),"")</f>
        <v/>
      </c>
      <c r="BR72" s="179">
        <f>IF(AND(ISNUMBER(BR65),ISNUMBER(BM142)),IFERROR(BR65/BM142,""),"")</f>
        <v/>
      </c>
      <c r="BS72" s="179">
        <f>IF(AND(ISNUMBER(BS65),ISNUMBER(BN142)),IFERROR(BS65/BN142,""),"")</f>
        <v/>
      </c>
      <c r="BT72" s="179">
        <f>IF(AND(ISNUMBER(BT65),ISNUMBER(BO142)),IFERROR(BT65/BO142,""),"")</f>
        <v/>
      </c>
      <c r="BU72" s="179">
        <f>IF(AND(ISNUMBER(BU65),ISNUMBER(BP142)),IFERROR(BU65/BP142,""),"")</f>
        <v/>
      </c>
      <c r="BV72" s="179">
        <f>IF(AND(ISNUMBER(BV65),ISNUMBER(BQ142)),IFERROR(BV65/BQ142,""),"")</f>
        <v/>
      </c>
      <c r="BW72" s="179">
        <f>IF(AND(ISNUMBER(BW65),ISNUMBER(BR142)),IFERROR(BW65/BR142,""),"")</f>
        <v/>
      </c>
      <c r="BX72" s="179">
        <f>IF(AND(ISNUMBER(BX65),ISNUMBER(BS142)),IFERROR(BX65/BS142,""),"")</f>
        <v/>
      </c>
      <c r="BY72" s="180">
        <f>IF(AND(ISNUMBER(BY65),ISNUMBER(BT142)),IFERROR(BY65/BT142,""),"")</f>
        <v/>
      </c>
      <c r="BZ72" s="180">
        <f>IF(AND(ISNUMBER(BZ65),ISNUMBER(BU142)),IFERROR(BZ65/BU142,""),"")</f>
        <v/>
      </c>
      <c r="CA72" s="180">
        <f>IF(AND(ISNUMBER(CA65),ISNUMBER(BV142)),IFERROR(CA65/BV142,""),"")</f>
        <v/>
      </c>
      <c r="CB72" s="180">
        <f>IFERROR((CB88-CA88)/CA142,"")</f>
        <v/>
      </c>
      <c r="CC72" s="180">
        <f>IFERROR((CC88-CB88)/CB142,"")</f>
        <v/>
      </c>
      <c r="CD72" s="180">
        <f>IFERROR((CD88-CC88)/CC142,"")</f>
        <v/>
      </c>
      <c r="CE72" s="180">
        <f>IFERROR((CE88-CD88)/CD142,"")</f>
        <v/>
      </c>
      <c r="CF72" s="6" t="n"/>
      <c r="CH72" s="39">
        <f>IFERROR(AVERAGE(CA72,CB72,CC72,CD72,CE72),"n/m")</f>
        <v/>
      </c>
      <c r="CI72" s="39">
        <f>IFERROR(AVERAGE(BB72,BG72,BL72,BQ72,BV72),"n/m")</f>
        <v/>
      </c>
      <c r="CJ72" s="39">
        <f>IFERROR(AVERAGE(AC72,AH72,AM72,AR72,AW72,BB72,BG72,BL72,BQ72,BV72),"n/m")</f>
        <v/>
      </c>
      <c r="CK72" s="39">
        <f>IFERROR(AVERAGE(C72,D72,E72,F72,G72,H72,I72,N72,S72,X72,AC72,AH72,AM72,AR72,AW72,BB72,BG72,BL72,BQ72,BV72),"n/m")</f>
        <v/>
      </c>
      <c r="CN72" s="26" t="inlineStr">
        <is>
          <t xml:space="preserve">  2028E</t>
        </is>
      </c>
      <c r="CO72" s="54">
        <f>MAX(0,CP72+$CO$70)</f>
        <v/>
      </c>
      <c r="CP72" s="27" t="n">
        <v>750</v>
      </c>
      <c r="CQ72" s="54">
        <f>MAX(0,CP72+$CQ$70)</f>
        <v/>
      </c>
    </row>
    <row r="73" ht="15" customHeight="1">
      <c r="B73" s="23" t="inlineStr">
        <is>
          <t xml:space="preserve">  FX contribution to growth %</t>
        </is>
      </c>
      <c r="D73" s="179">
        <f>IF(AND(ISNUMBER(D69),ISNUMBER(C142)),IFERROR(D69/C142,""),"")</f>
        <v/>
      </c>
      <c r="E73" s="179">
        <f>IF(AND(ISNUMBER(E69),ISNUMBER(D142)),IFERROR(E69/D142,""),"")</f>
        <v/>
      </c>
      <c r="F73" s="179">
        <f>IF(AND(ISNUMBER(F69),ISNUMBER(E142)),IFERROR(F69/E142,""),"")</f>
        <v/>
      </c>
      <c r="G73" s="179">
        <f>IF(AND(ISNUMBER(G69),ISNUMBER(F142)),IFERROR(G69/F142,""),"")</f>
        <v/>
      </c>
      <c r="H73" s="179">
        <f>IF(AND(ISNUMBER(H69),ISNUMBER(G142)),IFERROR(H69/G142,""),"")</f>
        <v/>
      </c>
      <c r="I73" s="179">
        <f>IF(AND(ISNUMBER(I69),ISNUMBER(H142)),IFERROR(I69/H142,""),"")</f>
        <v/>
      </c>
      <c r="N73" s="179">
        <f>IF(AND(ISNUMBER(N69),ISNUMBER(I142)),IFERROR(N69/I142,""),"")</f>
        <v/>
      </c>
      <c r="O73" s="179">
        <f>IF(AND(ISNUMBER(O69),ISNUMBER(J142)),IFERROR(O69/J142,""),"")</f>
        <v/>
      </c>
      <c r="P73" s="179">
        <f>IF(AND(ISNUMBER(P69),ISNUMBER(K142)),IFERROR(P69/K142,""),"")</f>
        <v/>
      </c>
      <c r="Q73" s="179">
        <f>IF(AND(ISNUMBER(Q69),ISNUMBER(L142)),IFERROR(Q69/L142,""),"")</f>
        <v/>
      </c>
      <c r="R73" s="179">
        <f>IF(AND(ISNUMBER(R69),ISNUMBER(M142)),IFERROR(R69/M142,""),"")</f>
        <v/>
      </c>
      <c r="S73" s="179">
        <f>IF(AND(ISNUMBER(S69),ISNUMBER(N142)),IFERROR(S69/N142,""),"")</f>
        <v/>
      </c>
      <c r="T73" s="179">
        <f>IF(AND(ISNUMBER(T69),ISNUMBER(O142)),IFERROR(T69/O142,""),"")</f>
        <v/>
      </c>
      <c r="U73" s="179">
        <f>IF(AND(ISNUMBER(U69),ISNUMBER(P142)),IFERROR(U69/P142,""),"")</f>
        <v/>
      </c>
      <c r="V73" s="179">
        <f>IF(AND(ISNUMBER(V69),ISNUMBER(Q142)),IFERROR(V69/Q142,""),"")</f>
        <v/>
      </c>
      <c r="W73" s="179">
        <f>IF(AND(ISNUMBER(W69),ISNUMBER(R142)),IFERROR(W69/R142,""),"")</f>
        <v/>
      </c>
      <c r="X73" s="179">
        <f>IF(AND(ISNUMBER(X69),ISNUMBER(S142)),IFERROR(X69/S142,""),"")</f>
        <v/>
      </c>
      <c r="Y73" s="179">
        <f>IF(AND(ISNUMBER(Y69),ISNUMBER(T142)),IFERROR(Y69/T142,""),"")</f>
        <v/>
      </c>
      <c r="Z73" s="179">
        <f>IF(AND(ISNUMBER(Z69),ISNUMBER(U142)),IFERROR(Z69/U142,""),"")</f>
        <v/>
      </c>
      <c r="AA73" s="179">
        <f>IF(AND(ISNUMBER(AA69),ISNUMBER(V142)),IFERROR(AA69/V142,""),"")</f>
        <v/>
      </c>
      <c r="AB73" s="179">
        <f>IF(AND(ISNUMBER(AB69),ISNUMBER(W142)),IFERROR(AB69/W142,""),"")</f>
        <v/>
      </c>
      <c r="AC73" s="179">
        <f>IF(AND(ISNUMBER(AC69),ISNUMBER(X142)),IFERROR(AC69/X142,""),"")</f>
        <v/>
      </c>
      <c r="AD73" s="179">
        <f>IF(AND(ISNUMBER(AD69),ISNUMBER(Y142)),IFERROR(AD69/Y142,""),"")</f>
        <v/>
      </c>
      <c r="AE73" s="179">
        <f>IF(AND(ISNUMBER(AE69),ISNUMBER(Z142)),IFERROR(AE69/Z142,""),"")</f>
        <v/>
      </c>
      <c r="AF73" s="179">
        <f>IF(AND(ISNUMBER(AF69),ISNUMBER(AA142)),IFERROR(AF69/AA142,""),"")</f>
        <v/>
      </c>
      <c r="AG73" s="179">
        <f>IF(AND(ISNUMBER(AG69),ISNUMBER(AB142)),IFERROR(AG69/AB142,""),"")</f>
        <v/>
      </c>
      <c r="AH73" s="179">
        <f>IF(AND(ISNUMBER(AH69),ISNUMBER(AC142)),IFERROR(AH69/AC142,""),"")</f>
        <v/>
      </c>
      <c r="AI73" s="179">
        <f>IF(AND(ISNUMBER(AI69),ISNUMBER(AD142)),IFERROR(AI69/AD142,""),"")</f>
        <v/>
      </c>
      <c r="AJ73" s="179">
        <f>IF(AND(ISNUMBER(AJ69),ISNUMBER(AE142)),IFERROR(AJ69/AE142,""),"")</f>
        <v/>
      </c>
      <c r="AK73" s="179">
        <f>IF(AND(ISNUMBER(AK69),ISNUMBER(AF142)),IFERROR(AK69/AF142,""),"")</f>
        <v/>
      </c>
      <c r="AL73" s="179">
        <f>IF(AND(ISNUMBER(AL69),ISNUMBER(AG142)),IFERROR(AL69/AG142,""),"")</f>
        <v/>
      </c>
      <c r="AM73" s="179">
        <f>IF(AND(ISNUMBER(AM69),ISNUMBER(AH142)),IFERROR(AM69/AH142,""),"")</f>
        <v/>
      </c>
      <c r="AN73" s="179">
        <f>IF(AND(ISNUMBER(AN69),ISNUMBER(AI142)),IFERROR(AN69/AI142,""),"")</f>
        <v/>
      </c>
      <c r="AO73" s="179">
        <f>IF(AND(ISNUMBER(AO69),ISNUMBER(AJ142)),IFERROR(AO69/AJ142,""),"")</f>
        <v/>
      </c>
      <c r="AP73" s="179">
        <f>IF(AND(ISNUMBER(AP69),ISNUMBER(AK142)),IFERROR(AP69/AK142,""),"")</f>
        <v/>
      </c>
      <c r="AQ73" s="179">
        <f>IF(AND(ISNUMBER(AQ69),ISNUMBER(AL142)),IFERROR(AQ69/AL142,""),"")</f>
        <v/>
      </c>
      <c r="AR73" s="179">
        <f>IF(AND(ISNUMBER(AR69),ISNUMBER(AM142)),IFERROR(AR69/AM142,""),"")</f>
        <v/>
      </c>
      <c r="AS73" s="179">
        <f>IF(AND(ISNUMBER(AS69),ISNUMBER(AN142)),IFERROR(AS69/AN142,""),"")</f>
        <v/>
      </c>
      <c r="AT73" s="179">
        <f>IF(AND(ISNUMBER(AT69),ISNUMBER(AO142)),IFERROR(AT69/AO142,""),"")</f>
        <v/>
      </c>
      <c r="AU73" s="179">
        <f>IF(AND(ISNUMBER(AU69),ISNUMBER(AP142)),IFERROR(AU69/AP142,""),"")</f>
        <v/>
      </c>
      <c r="AV73" s="179">
        <f>IF(AND(ISNUMBER(AV69),ISNUMBER(AQ142)),IFERROR(AV69/AQ142,""),"")</f>
        <v/>
      </c>
      <c r="AW73" s="179">
        <f>IF(AND(ISNUMBER(AW69),ISNUMBER(AR142)),IFERROR(AW69/AR142,""),"")</f>
        <v/>
      </c>
      <c r="AX73" s="179">
        <f>IF(AND(ISNUMBER(AX69),ISNUMBER(AS142)),IFERROR(AX69/AS142,""),"")</f>
        <v/>
      </c>
      <c r="AY73" s="179">
        <f>IF(AND(ISNUMBER(AY69),ISNUMBER(AT142)),IFERROR(AY69/AT142,""),"")</f>
        <v/>
      </c>
      <c r="AZ73" s="179">
        <f>IF(AND(ISNUMBER(AZ69),ISNUMBER(AU142)),IFERROR(AZ69/AU142,""),"")</f>
        <v/>
      </c>
      <c r="BA73" s="179">
        <f>IF(AND(ISNUMBER(BA69),ISNUMBER(AV142)),IFERROR(BA69/AV142,""),"")</f>
        <v/>
      </c>
      <c r="BB73" s="179">
        <f>IF(AND(ISNUMBER(BB69),ISNUMBER(AW142)),IFERROR(BB69/AW142,""),"")</f>
        <v/>
      </c>
      <c r="BC73" s="179">
        <f>IF(AND(ISNUMBER(BC69),ISNUMBER(AX142)),IFERROR(BC69/AX142,""),"")</f>
        <v/>
      </c>
      <c r="BD73" s="179">
        <f>IF(AND(ISNUMBER(BD69),ISNUMBER(AY142)),IFERROR(BD69/AY142,""),"")</f>
        <v/>
      </c>
      <c r="BE73" s="179">
        <f>IF(AND(ISNUMBER(BE69),ISNUMBER(AZ142)),IFERROR(BE69/AZ142,""),"")</f>
        <v/>
      </c>
      <c r="BF73" s="179">
        <f>IF(AND(ISNUMBER(BF69),ISNUMBER(BA142)),IFERROR(BF69/BA142,""),"")</f>
        <v/>
      </c>
      <c r="BG73" s="179">
        <f>IF(AND(ISNUMBER(BG69),ISNUMBER(BB142)),IFERROR(BG69/BB142,""),"")</f>
        <v/>
      </c>
      <c r="BH73" s="179">
        <f>IF(AND(ISNUMBER(BH69),ISNUMBER(BC142)),IFERROR(BH69/BC142,""),"")</f>
        <v/>
      </c>
      <c r="BI73" s="179">
        <f>IF(AND(ISNUMBER(BI69),ISNUMBER(BD142)),IFERROR(BI69/BD142,""),"")</f>
        <v/>
      </c>
      <c r="BJ73" s="179">
        <f>IF(AND(ISNUMBER(BJ69),ISNUMBER(BE142)),IFERROR(BJ69/BE142,""),"")</f>
        <v/>
      </c>
      <c r="BK73" s="179">
        <f>IF(AND(ISNUMBER(BK69),ISNUMBER(BF142)),IFERROR(BK69/BF142,""),"")</f>
        <v/>
      </c>
      <c r="BL73" s="179">
        <f>IF(AND(ISNUMBER(BL69),ISNUMBER(BG142)),IFERROR(BL69/BG142,""),"")</f>
        <v/>
      </c>
      <c r="BM73" s="179">
        <f>IF(AND(ISNUMBER(BM69),ISNUMBER(BH142)),IFERROR(BM69/BH142,""),"")</f>
        <v/>
      </c>
      <c r="BN73" s="179">
        <f>IF(AND(ISNUMBER(BN69),ISNUMBER(BI142)),IFERROR(BN69/BI142,""),"")</f>
        <v/>
      </c>
      <c r="BO73" s="179">
        <f>IF(AND(ISNUMBER(BO69),ISNUMBER(BJ142)),IFERROR(BO69/BJ142,""),"")</f>
        <v/>
      </c>
      <c r="BP73" s="179">
        <f>IF(AND(ISNUMBER(BP69),ISNUMBER(BK142)),IFERROR(BP69/BK142,""),"")</f>
        <v/>
      </c>
      <c r="BQ73" s="179">
        <f>IF(AND(ISNUMBER(BQ69),ISNUMBER(BL142)),IFERROR(BQ69/BL142,""),"")</f>
        <v/>
      </c>
      <c r="BR73" s="179">
        <f>IF(AND(ISNUMBER(BR69),ISNUMBER(BM142)),IFERROR(BR69/BM142,""),"")</f>
        <v/>
      </c>
      <c r="BS73" s="179">
        <f>IF(AND(ISNUMBER(BS69),ISNUMBER(BN142)),IFERROR(BS69/BN142,""),"")</f>
        <v/>
      </c>
      <c r="BT73" s="179">
        <f>IF(AND(ISNUMBER(BT69),ISNUMBER(BO142)),IFERROR(BT69/BO142,""),"")</f>
        <v/>
      </c>
      <c r="BU73" s="179">
        <f>IF(AND(ISNUMBER(BU69),ISNUMBER(BP142)),IFERROR(BU69/BP142,""),"")</f>
        <v/>
      </c>
      <c r="BV73" s="179">
        <f>IF(AND(ISNUMBER(BV69),ISNUMBER(BQ142)),IFERROR(BV69/BQ142,""),"")</f>
        <v/>
      </c>
      <c r="BW73" s="179">
        <f>IF(AND(ISNUMBER(BW69),ISNUMBER(BR142)),IFERROR(BW69/BR142,""),"")</f>
        <v/>
      </c>
      <c r="BX73" s="179">
        <f>IF(AND(ISNUMBER(BX69),ISNUMBER(BS142)),IFERROR(BX69/BS142,""),"")</f>
        <v/>
      </c>
      <c r="BY73" s="180">
        <f>IF(AND(ISNUMBER(BY69),ISNUMBER(BT142)),IFERROR(BY69/BT142,""),"")</f>
        <v/>
      </c>
      <c r="BZ73" s="180">
        <f>IF(AND(ISNUMBER(BZ69),ISNUMBER(BU142)),IFERROR(BZ69/BU142,""),"")</f>
        <v/>
      </c>
      <c r="CA73" s="180">
        <f>IF(AND(ISNUMBER(CA69),ISNUMBER(BV142)),IFERROR(CA69/BV142,""),"")</f>
        <v/>
      </c>
      <c r="CB73" s="180">
        <f>IF(AND(ISNUMBER(CB69),ISNUMBER(CA142)),IFERROR(CB69/CA142,""),"")</f>
        <v/>
      </c>
      <c r="CC73" s="180">
        <f>IF(AND(ISNUMBER(CC69),ISNUMBER(CB142)),IFERROR(CC69/CB142,""),"")</f>
        <v/>
      </c>
      <c r="CD73" s="180">
        <f>IF(AND(ISNUMBER(CD69),ISNUMBER(CC142)),IFERROR(CD69/CC142,""),"")</f>
        <v/>
      </c>
      <c r="CE73" s="180">
        <f>IF(AND(ISNUMBER(CE69),ISNUMBER(CD142)),IFERROR(CE69/CD142,""),"")</f>
        <v/>
      </c>
      <c r="CF73" s="6" t="n"/>
      <c r="CN73" s="26" t="inlineStr">
        <is>
          <t xml:space="preserve">  2029E</t>
        </is>
      </c>
      <c r="CO73" s="54">
        <f>MAX(0,CP73+$CO$70)</f>
        <v/>
      </c>
      <c r="CP73" s="27" t="n">
        <v>750</v>
      </c>
      <c r="CQ73" s="54">
        <f>MAX(0,CP73+$CQ$70)</f>
        <v/>
      </c>
    </row>
    <row r="74" ht="15" customHeight="1">
      <c r="B74" s="61" t="inlineStr">
        <is>
          <t xml:space="preserve">  Check: bridge vs reported sales change (should be 0)</t>
        </is>
      </c>
      <c r="C74" s="47" t="n"/>
      <c r="D74" s="189">
        <f>IF(AND(ISNUMBER(D70),ISNUMBER(D65),ISNUMBER(C142)),ROUND(D142-C142-D65-N(D68)-N(D69)-D70,0),"n/p")</f>
        <v/>
      </c>
      <c r="E74" s="189">
        <f>IF(AND(ISNUMBER(E70),ISNUMBER(E65),ISNUMBER(D142)),ROUND(E142-D142-E65-N(E68)-N(E69)-E70,0),"n/p")</f>
        <v/>
      </c>
      <c r="F74" s="189">
        <f>IF(AND(ISNUMBER(F70),ISNUMBER(F65),ISNUMBER(E142)),ROUND(F142-E142-F65-N(F68)-N(F69)-F70,0),"n/p")</f>
        <v/>
      </c>
      <c r="G74" s="189">
        <f>IF(AND(ISNUMBER(G70),ISNUMBER(G65),ISNUMBER(F142)),ROUND(G142-F142-G65-N(G68)-N(G69)-G70,0),"n/p")</f>
        <v/>
      </c>
      <c r="H74" s="189">
        <f>IF(AND(ISNUMBER(H70),ISNUMBER(H65),ISNUMBER(G142)),ROUND(H142-G142-H65-N(H68)-N(H69)-H70,0),"n/p")</f>
        <v/>
      </c>
      <c r="I74" s="189">
        <f>IF(AND(ISNUMBER(I70),ISNUMBER(I65),ISNUMBER(H142)),ROUND(I142-H142-I65-N(I68)-N(I69)-I70,0),"n/p")</f>
        <v/>
      </c>
      <c r="J74" s="47" t="n"/>
      <c r="K74" s="47" t="n"/>
      <c r="L74" s="47" t="n"/>
      <c r="M74" s="47" t="n"/>
      <c r="N74" s="189">
        <f>IF(AND(ISNUMBER(N70),ISNUMBER(N65),ISNUMBER(I142)),ROUND(N142-I142-N65-N(N68)-N(N69)-N70,0),"n/p")</f>
        <v/>
      </c>
      <c r="O74" s="189">
        <f>IF(AND(ISNUMBER(O70),ISNUMBER(O65),ISNUMBER(J142)),ROUND(O142-J142-O65-N(O68)-N(O69)-O70,0),"n/p")</f>
        <v/>
      </c>
      <c r="P74" s="189">
        <f>IF(AND(ISNUMBER(P70),ISNUMBER(P65),ISNUMBER(K142)),ROUND(P142-K142-P65-N(P68)-N(P69)-P70,0),"n/p")</f>
        <v/>
      </c>
      <c r="Q74" s="189">
        <f>IF(AND(ISNUMBER(Q70),ISNUMBER(Q65),ISNUMBER(L142)),ROUND(Q142-L142-Q65-N(Q68)-N(Q69)-Q70,0),"n/p")</f>
        <v/>
      </c>
      <c r="R74" s="189">
        <f>IF(AND(ISNUMBER(R70),ISNUMBER(R65),ISNUMBER(M142)),ROUND(R142-M142-R65-N(R68)-N(R69)-R70,0),"n/p")</f>
        <v/>
      </c>
      <c r="S74" s="189">
        <f>IF(AND(ISNUMBER(S70),ISNUMBER(S65),ISNUMBER(N142)),ROUND(S142-N142-S65-N(S68)-N(S69)-S70,0),"n/p")</f>
        <v/>
      </c>
      <c r="T74" s="189">
        <f>IF(AND(ISNUMBER(T70),ISNUMBER(T65),ISNUMBER(O142)),ROUND(T142-O142-T65-N(T68)-N(T69)-T70,0),"n/p")</f>
        <v/>
      </c>
      <c r="U74" s="189">
        <f>IF(AND(ISNUMBER(U70),ISNUMBER(U65),ISNUMBER(P142)),ROUND(U142-P142-U65-N(U68)-N(U69)-U70,0),"n/p")</f>
        <v/>
      </c>
      <c r="V74" s="189">
        <f>IF(AND(ISNUMBER(V70),ISNUMBER(V65),ISNUMBER(Q142)),ROUND(V142-Q142-V65-N(V68)-N(V69)-V70,0),"n/p")</f>
        <v/>
      </c>
      <c r="W74" s="189">
        <f>IF(AND(ISNUMBER(W70),ISNUMBER(W65),ISNUMBER(R142)),ROUND(W142-R142-W65-N(W68)-N(W69)-W70,0),"n/p")</f>
        <v/>
      </c>
      <c r="X74" s="189">
        <f>IF(AND(ISNUMBER(X70),ISNUMBER(X65),ISNUMBER(S142)),ROUND(X142-S142-X65-N(X68)-N(X69)-X70,0),"n/p")</f>
        <v/>
      </c>
      <c r="Y74" s="189">
        <f>IF(AND(ISNUMBER(Y70),ISNUMBER(Y65),ISNUMBER(T142)),ROUND(Y142-T142-Y65-N(Y68)-N(Y69)-Y70,0),"n/p")</f>
        <v/>
      </c>
      <c r="Z74" s="189">
        <f>IF(AND(ISNUMBER(Z70),ISNUMBER(Z65),ISNUMBER(U142)),ROUND(Z142-U142-Z65-N(Z68)-N(Z69)-Z70,0),"n/p")</f>
        <v/>
      </c>
      <c r="AA74" s="189">
        <f>IF(AND(ISNUMBER(AA70),ISNUMBER(AA65),ISNUMBER(V142)),ROUND(AA142-V142-AA65-N(AA68)-N(AA69)-AA70,0),"n/p")</f>
        <v/>
      </c>
      <c r="AB74" s="189">
        <f>IF(AND(ISNUMBER(AB70),ISNUMBER(AB65),ISNUMBER(W142)),ROUND(AB142-W142-AB65-N(AB68)-N(AB69)-AB70,0),"n/p")</f>
        <v/>
      </c>
      <c r="AC74" s="189">
        <f>IF(AND(ISNUMBER(AC70),ISNUMBER(AC65),ISNUMBER(X142)),ROUND(AC142-X142-AC65-N(AC68)-N(AC69)-AC70,0),"n/p")</f>
        <v/>
      </c>
      <c r="AD74" s="189">
        <f>IF(AND(ISNUMBER(AD70),ISNUMBER(AD65),ISNUMBER(Y142)),ROUND(AD142-Y142-AD65-N(AD68)-N(AD69)-AD70,0),"n/p")</f>
        <v/>
      </c>
      <c r="AE74" s="189">
        <f>IF(AND(ISNUMBER(AE70),ISNUMBER(AE65),ISNUMBER(Z142)),ROUND(AE142-Z142-AE65-N(AE68)-N(AE69)-AE70,0),"n/p")</f>
        <v/>
      </c>
      <c r="AF74" s="189">
        <f>IF(AND(ISNUMBER(AF70),ISNUMBER(AF65),ISNUMBER(AA142)),ROUND(AF142-AA142-AF65-N(AF68)-N(AF69)-AF70,0),"n/p")</f>
        <v/>
      </c>
      <c r="AG74" s="189">
        <f>IF(AND(ISNUMBER(AG70),ISNUMBER(AG65),ISNUMBER(AB142)),ROUND(AG142-AB142-AG65-N(AG68)-N(AG69)-AG70,0),"n/p")</f>
        <v/>
      </c>
      <c r="AH74" s="189">
        <f>IF(AND(ISNUMBER(AH70),ISNUMBER(AH65),ISNUMBER(AC142)),ROUND(AH142-AC142-AH65-N(AH68)-N(AH69)-AH70,0),"n/p")</f>
        <v/>
      </c>
      <c r="AI74" s="189">
        <f>IF(AND(ISNUMBER(AI70),ISNUMBER(AI65),ISNUMBER(AD142)),ROUND(AI142-AD142-AI65-N(AI68)-N(AI69)-AI70,0),"n/p")</f>
        <v/>
      </c>
      <c r="AJ74" s="189">
        <f>IF(AND(ISNUMBER(AJ70),ISNUMBER(AJ65),ISNUMBER(AE142)),ROUND(AJ142-AE142-AJ65-N(AJ68)-N(AJ69)-AJ70,0),"n/p")</f>
        <v/>
      </c>
      <c r="AK74" s="189">
        <f>IF(AND(ISNUMBER(AK70),ISNUMBER(AK65),ISNUMBER(AF142)),ROUND(AK142-AF142-AK65-N(AK68)-N(AK69)-AK70,0),"n/p")</f>
        <v/>
      </c>
      <c r="AL74" s="189">
        <f>IF(AND(ISNUMBER(AL70),ISNUMBER(AL65),ISNUMBER(AG142)),ROUND(AL142-AG142-AL65-N(AL68)-N(AL69)-AL70,0),"n/p")</f>
        <v/>
      </c>
      <c r="AM74" s="189">
        <f>IF(AND(ISNUMBER(AM70),ISNUMBER(AM65),ISNUMBER(AH142)),ROUND(AM142-AH142-AM65-N(AM68)-N(AM69)-AM70,0),"n/p")</f>
        <v/>
      </c>
      <c r="AN74" s="189">
        <f>IF(AND(ISNUMBER(AN70),ISNUMBER(AN65),ISNUMBER(AI142)),ROUND(AN142-AI142-AN65-N(AN68)-N(AN69)-AN70,0),"n/p")</f>
        <v/>
      </c>
      <c r="AO74" s="189">
        <f>IF(AND(ISNUMBER(AO70),ISNUMBER(AO65),ISNUMBER(AJ142)),ROUND(AO142-AJ142-AO65-N(AO68)-N(AO69)-AO70,0),"n/p")</f>
        <v/>
      </c>
      <c r="AP74" s="189">
        <f>IF(AND(ISNUMBER(AP70),ISNUMBER(AP65),ISNUMBER(AK142)),ROUND(AP142-AK142-AP65-N(AP68)-N(AP69)-AP70,0),"n/p")</f>
        <v/>
      </c>
      <c r="AQ74" s="189">
        <f>IF(AND(ISNUMBER(AQ70),ISNUMBER(AQ65),ISNUMBER(AL142)),ROUND(AQ142-AL142-AQ65-N(AQ68)-N(AQ69)-AQ70,0),"n/p")</f>
        <v/>
      </c>
      <c r="AR74" s="189">
        <f>IF(AND(ISNUMBER(AR70),ISNUMBER(AR65),ISNUMBER(AM142)),ROUND(AR142-AM142-AR65-N(AR68)-N(AR69)-AR70,0),"n/p")</f>
        <v/>
      </c>
      <c r="AS74" s="189">
        <f>IF(AND(ISNUMBER(AS70),ISNUMBER(AS65),ISNUMBER(AN142)),ROUND(AS142-AN142-AS65-N(AS68)-N(AS69)-AS70,0),"n/p")</f>
        <v/>
      </c>
      <c r="AT74" s="189">
        <f>IF(AND(ISNUMBER(AT70),ISNUMBER(AT65),ISNUMBER(AO142)),ROUND(AT142-AO142-AT65-N(AT68)-N(AT69)-AT70,0),"n/p")</f>
        <v/>
      </c>
      <c r="AU74" s="189">
        <f>IF(AND(ISNUMBER(AU70),ISNUMBER(AU65),ISNUMBER(AP142)),ROUND(AU142-AP142-AU65-N(AU68)-N(AU69)-AU70,0),"n/p")</f>
        <v/>
      </c>
      <c r="AV74" s="189">
        <f>IF(AND(ISNUMBER(AV70),ISNUMBER(AV65),ISNUMBER(AQ142)),ROUND(AV142-AQ142-AV65-N(AV68)-N(AV69)-AV70,0),"n/p")</f>
        <v/>
      </c>
      <c r="AW74" s="189">
        <f>IF(AND(ISNUMBER(AW70),ISNUMBER(AW65),ISNUMBER(AR142)),ROUND(AW142-AR142-AW65-N(AW68)-N(AW69)-AW70,0),"n/p")</f>
        <v/>
      </c>
      <c r="AX74" s="189">
        <f>IF(AND(ISNUMBER(AX70),ISNUMBER(AX65),ISNUMBER(AS142)),ROUND(AX142-AS142-AX65-N(AX68)-N(AX69)-AX70,0),"n/p")</f>
        <v/>
      </c>
      <c r="AY74" s="189">
        <f>IF(AND(ISNUMBER(AY70),ISNUMBER(AY65),ISNUMBER(AT142)),ROUND(AY142-AT142-AY65-N(AY68)-N(AY69)-AY70,0),"n/p")</f>
        <v/>
      </c>
      <c r="AZ74" s="189">
        <f>IF(AND(ISNUMBER(AZ70),ISNUMBER(AZ65),ISNUMBER(AU142)),ROUND(AZ142-AU142-AZ65-N(AZ68)-N(AZ69)-AZ70,0),"n/p")</f>
        <v/>
      </c>
      <c r="BA74" s="189">
        <f>IF(AND(ISNUMBER(BA70),ISNUMBER(BA65),ISNUMBER(AV142)),ROUND(BA142-AV142-BA65-N(BA68)-N(BA69)-BA70,0),"n/p")</f>
        <v/>
      </c>
      <c r="BB74" s="189">
        <f>IF(AND(ISNUMBER(BB70),ISNUMBER(BB65),ISNUMBER(AW142)),ROUND(BB142-AW142-BB65-N(BB68)-N(BB69)-BB70,0),"n/p")</f>
        <v/>
      </c>
      <c r="BC74" s="189">
        <f>IF(AND(ISNUMBER(BC70),ISNUMBER(BC65),ISNUMBER(AX142)),ROUND(BC142-AX142-BC65-N(BC68)-N(BC69)-BC70,0),"n/p")</f>
        <v/>
      </c>
      <c r="BD74" s="189">
        <f>IF(AND(ISNUMBER(BD70),ISNUMBER(BD65),ISNUMBER(AY142)),ROUND(BD142-AY142-BD65-N(BD68)-N(BD69)-BD70,0),"n/p")</f>
        <v/>
      </c>
      <c r="BE74" s="189">
        <f>IF(AND(ISNUMBER(BE70),ISNUMBER(BE65),ISNUMBER(AZ142)),ROUND(BE142-AZ142-BE65-N(BE68)-N(BE69)-BE70,0),"n/p")</f>
        <v/>
      </c>
      <c r="BF74" s="189">
        <f>IF(AND(ISNUMBER(BF70),ISNUMBER(BF65),ISNUMBER(BA142)),ROUND(BF142-BA142-BF65-N(BF68)-N(BF69)-BF70,0),"n/p")</f>
        <v/>
      </c>
      <c r="BG74" s="189">
        <f>IF(AND(ISNUMBER(BG70),ISNUMBER(BG65),ISNUMBER(BB142)),ROUND(BG142-BB142-BG65-N(BG68)-N(BG69)-BG70,0),"n/p")</f>
        <v/>
      </c>
      <c r="BH74" s="189">
        <f>IF(AND(ISNUMBER(BH70),ISNUMBER(BH65),ISNUMBER(BC142)),ROUND(BH142-BC142-BH65-N(BH68)-N(BH69)-BH70,0),"n/p")</f>
        <v/>
      </c>
      <c r="BI74" s="189">
        <f>IF(AND(ISNUMBER(BI70),ISNUMBER(BI65),ISNUMBER(BD142)),ROUND(BI142-BD142-BI65-N(BI68)-N(BI69)-BI70,0),"n/p")</f>
        <v/>
      </c>
      <c r="BJ74" s="189">
        <f>IF(AND(ISNUMBER(BJ70),ISNUMBER(BJ65),ISNUMBER(BE142)),ROUND(BJ142-BE142-BJ65-N(BJ68)-N(BJ69)-BJ70,0),"n/p")</f>
        <v/>
      </c>
      <c r="BK74" s="189">
        <f>IF(AND(ISNUMBER(BK70),ISNUMBER(BK65),ISNUMBER(BF142)),ROUND(BK142-BF142-BK65-N(BK68)-N(BK69)-BK70,0),"n/p")</f>
        <v/>
      </c>
      <c r="BL74" s="189">
        <f>IF(AND(ISNUMBER(BL70),ISNUMBER(BL65),ISNUMBER(BG142)),ROUND(BL142-BG142-BL65-N(BL68)-N(BL69)-BL70,0),"n/p")</f>
        <v/>
      </c>
      <c r="BM74" s="189">
        <f>IF(AND(ISNUMBER(BM70),ISNUMBER(BM65),ISNUMBER(BH142)),ROUND(BM142-BH142-BM65-N(BM68)-N(BM69)-BM70,0),"n/p")</f>
        <v/>
      </c>
      <c r="BN74" s="189">
        <f>IF(AND(ISNUMBER(BN70),ISNUMBER(BN65),ISNUMBER(BI142)),ROUND(BN142-BI142-BN65-N(BN68)-N(BN69)-BN70,0),"n/p")</f>
        <v/>
      </c>
      <c r="BO74" s="189">
        <f>IF(AND(ISNUMBER(BO70),ISNUMBER(BO65),ISNUMBER(BJ142)),ROUND(BO142-BJ142-BO65-N(BO68)-N(BO69)-BO70,0),"n/p")</f>
        <v/>
      </c>
      <c r="BP74" s="189">
        <f>IF(AND(ISNUMBER(BP70),ISNUMBER(BP65),ISNUMBER(BK142)),ROUND(BP142-BK142-BP65-N(BP68)-N(BP69)-BP70,0),"n/p")</f>
        <v/>
      </c>
      <c r="BQ74" s="189">
        <f>IF(AND(ISNUMBER(BQ70),ISNUMBER(BQ65),ISNUMBER(BL142)),ROUND(BQ142-BL142-BQ65-N(BQ68)-N(BQ69)-BQ70,0),"n/p")</f>
        <v/>
      </c>
      <c r="BR74" s="189">
        <f>IF(AND(ISNUMBER(BR70),ISNUMBER(BR65),ISNUMBER(BM142)),ROUND(BR142-BM142-BR65-N(BR68)-N(BR69)-BR70,0),"n/p")</f>
        <v/>
      </c>
      <c r="BS74" s="189">
        <f>IF(AND(ISNUMBER(BS70),ISNUMBER(BS65),ISNUMBER(BN142)),ROUND(BS142-BN142-BS65-N(BS68)-N(BS69)-BS70,0),"n/p")</f>
        <v/>
      </c>
      <c r="BT74" s="189">
        <f>IF(AND(ISNUMBER(BT70),ISNUMBER(BT65),ISNUMBER(BO142)),ROUND(BT142-BO142-BT65-N(BT68)-N(BT69)-BT70,0),"n/p")</f>
        <v/>
      </c>
      <c r="BU74" s="189">
        <f>IF(AND(ISNUMBER(BU70),ISNUMBER(BU65),ISNUMBER(BP142)),ROUND(BU142-BP142-BU65-N(BU68)-N(BU69)-BU70,0),"n/p")</f>
        <v/>
      </c>
      <c r="BV74" s="189">
        <f>IF(AND(ISNUMBER(BV70),ISNUMBER(BV65),ISNUMBER(BQ142)),ROUND(BV142-BQ142-BV65-N(BV68)-N(BV69)-BV70,0),"n/p")</f>
        <v/>
      </c>
      <c r="BW74" s="189">
        <f>IF(AND(ISNUMBER(BW70),ISNUMBER(BW65),ISNUMBER(BR142)),ROUND(BW142-BR142-BW65-N(BW68)-N(BW69)-BW70,0),"n/p")</f>
        <v/>
      </c>
      <c r="BX74" s="189">
        <f>IF(AND(ISNUMBER(BX70),ISNUMBER(BX65),ISNUMBER(BS142)),ROUND(BX142-BS142-BX65-N(BX68)-N(BX69)-BX70,0),"n/p")</f>
        <v/>
      </c>
      <c r="BY74" s="6" t="n"/>
      <c r="BZ74" s="6" t="n"/>
      <c r="CA74" s="6" t="n"/>
      <c r="CB74" s="6" t="n"/>
      <c r="CC74" s="6" t="n"/>
      <c r="CD74" s="6" t="n"/>
      <c r="CE74" s="6" t="n"/>
      <c r="CF74" s="6" t="n"/>
      <c r="CN74" s="26" t="inlineStr">
        <is>
          <t xml:space="preserve">  2030E</t>
        </is>
      </c>
      <c r="CO74" s="54">
        <f>MAX(0,CP74+$CO$70)</f>
        <v/>
      </c>
      <c r="CP74" s="27" t="n">
        <v>750</v>
      </c>
      <c r="CQ74" s="54">
        <f>MAX(0,CP74+$CQ$70)</f>
        <v/>
      </c>
    </row>
    <row r="75" ht="15" customHeight="1"/>
    <row r="76" ht="15" customHeight="1">
      <c r="B76" s="15" t="inlineStr">
        <is>
          <t>Corporate activities &amp; elimination (unallocated)</t>
        </is>
      </c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  <c r="AS76" s="15" t="n"/>
      <c r="AT76" s="15" t="n"/>
      <c r="AU76" s="15" t="n"/>
      <c r="AV76" s="15" t="n"/>
      <c r="AW76" s="15" t="n"/>
      <c r="AX76" s="15" t="n"/>
      <c r="AY76" s="15" t="n"/>
      <c r="AZ76" s="15" t="n"/>
      <c r="BA76" s="15" t="n"/>
      <c r="BB76" s="15" t="n"/>
      <c r="BC76" s="15" t="n"/>
      <c r="BD76" s="15" t="n"/>
      <c r="BE76" s="15" t="n"/>
      <c r="BF76" s="15" t="n"/>
      <c r="BG76" s="15" t="n"/>
      <c r="BH76" s="15" t="n"/>
      <c r="BI76" s="15" t="n"/>
      <c r="BJ76" s="15" t="n"/>
      <c r="BK76" s="15" t="n"/>
      <c r="BL76" s="15" t="n"/>
      <c r="BM76" s="15" t="n"/>
      <c r="BN76" s="15" t="n"/>
      <c r="BO76" s="15" t="n"/>
      <c r="BP76" s="15" t="n"/>
      <c r="BQ76" s="15" t="n"/>
      <c r="BR76" s="15" t="n"/>
      <c r="BS76" s="15" t="n"/>
      <c r="BT76" s="15" t="n"/>
      <c r="BU76" s="15" t="n"/>
      <c r="BV76" s="15" t="n"/>
      <c r="BW76" s="15" t="n"/>
      <c r="BX76" s="15" t="n"/>
      <c r="BY76" s="15" t="n"/>
      <c r="BZ76" s="15" t="n"/>
      <c r="CA76" s="15" t="n"/>
      <c r="CB76" s="15" t="n"/>
      <c r="CC76" s="15" t="n"/>
      <c r="CD76" s="15" t="n"/>
      <c r="CE76" s="15" t="n"/>
      <c r="CF76" s="16" t="inlineStr">
        <is>
          <t>CORPORATE &amp; RECONCILING ITEMS</t>
        </is>
      </c>
    </row>
    <row r="77" ht="15" customHeight="1">
      <c r="B77" s="26" t="inlineStr">
        <is>
          <t xml:space="preserve">  Corporate adjusted income (loss) from operations</t>
        </is>
      </c>
      <c r="C77" s="183">
        <f>IF(AND(ISNUMBER(C216),ISNUMBER(C31),ISNUMBER(C55)),C216-C31-C55,"")</f>
        <v/>
      </c>
      <c r="D77" s="183">
        <f>IF(AND(ISNUMBER(D216),ISNUMBER(D31),ISNUMBER(D55)),D216-D31-D55,"")</f>
        <v/>
      </c>
      <c r="E77" s="183">
        <f>IF(AND(ISNUMBER(E216),ISNUMBER(E31),ISNUMBER(E55)),E216-E31-E55,"")</f>
        <v/>
      </c>
      <c r="F77" s="183">
        <f>IF(AND(ISNUMBER(F216),ISNUMBER(F31),ISNUMBER(F55)),F216-F31-F55,"")</f>
        <v/>
      </c>
      <c r="G77" s="183">
        <f>IF(AND(ISNUMBER(G216),ISNUMBER(G31),ISNUMBER(G55)),G216-G31-G55,"")</f>
        <v/>
      </c>
      <c r="H77" s="183">
        <f>IF(AND(ISNUMBER(H216),ISNUMBER(H31),ISNUMBER(H55)),H216-H31-H55,"")</f>
        <v/>
      </c>
      <c r="I77" s="183">
        <f>IF(AND(ISNUMBER(I216),ISNUMBER(I31),ISNUMBER(I55)),I216-I31-I55,"")</f>
        <v/>
      </c>
      <c r="J77" s="183">
        <f>IF(AND(ISNUMBER(J216),ISNUMBER(J31),ISNUMBER(J55)),J216-J31-J55,"")</f>
        <v/>
      </c>
      <c r="K77" s="183">
        <f>IF(AND(ISNUMBER(K216),ISNUMBER(K31),ISNUMBER(K55)),K216-K31-K55,"")</f>
        <v/>
      </c>
      <c r="L77" s="183">
        <f>IF(AND(ISNUMBER(L216),ISNUMBER(L31),ISNUMBER(L55)),L216-L31-L55,"")</f>
        <v/>
      </c>
      <c r="M77" s="183">
        <f>IF(AND(ISNUMBER(M216),ISNUMBER(M31),ISNUMBER(M55)),M216-M31-M55,"")</f>
        <v/>
      </c>
      <c r="N77" s="183">
        <f>IF(AND(ISNUMBER(N216),ISNUMBER(N31),ISNUMBER(N55)),N216-N31-N55,"")</f>
        <v/>
      </c>
      <c r="O77" s="183">
        <f>IF(AND(ISNUMBER(O216),ISNUMBER(O31),ISNUMBER(O55)),O216-O31-O55,"")</f>
        <v/>
      </c>
      <c r="P77" s="183">
        <f>IF(AND(ISNUMBER(P216),ISNUMBER(P31),ISNUMBER(P55)),P216-P31-P55,"")</f>
        <v/>
      </c>
      <c r="Q77" s="183">
        <f>IF(AND(ISNUMBER(Q216),ISNUMBER(Q31),ISNUMBER(Q55)),Q216-Q31-Q55,"")</f>
        <v/>
      </c>
      <c r="R77" s="183">
        <f>IF(AND(ISNUMBER(R216),ISNUMBER(R31),ISNUMBER(R55)),R216-R31-R55,"")</f>
        <v/>
      </c>
      <c r="S77" s="183">
        <f>IF(AND(ISNUMBER(S216),ISNUMBER(S31),ISNUMBER(S55)),S216-S31-S55,"")</f>
        <v/>
      </c>
      <c r="T77" s="183">
        <f>IF(AND(ISNUMBER(T216),ISNUMBER(T31),ISNUMBER(T55)),T216-T31-T55,"")</f>
        <v/>
      </c>
      <c r="U77" s="183">
        <f>IF(AND(ISNUMBER(U216),ISNUMBER(U31),ISNUMBER(U55)),U216-U31-U55,"")</f>
        <v/>
      </c>
      <c r="V77" s="183">
        <f>IF(AND(ISNUMBER(V216),ISNUMBER(V31),ISNUMBER(V55)),V216-V31-V55,"")</f>
        <v/>
      </c>
      <c r="W77" s="183">
        <f>IF(AND(ISNUMBER(W216),ISNUMBER(W31),ISNUMBER(W55)),W216-W31-W55,"")</f>
        <v/>
      </c>
      <c r="X77" s="183">
        <f>IF(AND(ISNUMBER(X216),ISNUMBER(X31),ISNUMBER(X55)),X216-X31-X55,"")</f>
        <v/>
      </c>
      <c r="Y77" s="183">
        <f>IF(AND(ISNUMBER(Y216),ISNUMBER(Y31),ISNUMBER(Y55)),Y216-Y31-Y55,"")</f>
        <v/>
      </c>
      <c r="Z77" s="183">
        <f>IF(AND(ISNUMBER(Z216),ISNUMBER(Z31),ISNUMBER(Z55)),Z216-Z31-Z55,"")</f>
        <v/>
      </c>
      <c r="AA77" s="183">
        <f>IF(AND(ISNUMBER(AA216),ISNUMBER(AA31),ISNUMBER(AA55)),AA216-AA31-AA55,"")</f>
        <v/>
      </c>
      <c r="AB77" s="183">
        <f>IF(AND(ISNUMBER(AB216),ISNUMBER(AB31),ISNUMBER(AB55)),AB216-AB31-AB55,"")</f>
        <v/>
      </c>
      <c r="AC77" s="183">
        <f>IF(AND(ISNUMBER(AC216),ISNUMBER(AC31),ISNUMBER(AC55)),AC216-AC31-AC55,"")</f>
        <v/>
      </c>
      <c r="AD77" s="183">
        <f>IF(AND(ISNUMBER(AD216),ISNUMBER(AD31),ISNUMBER(AD55)),AD216-AD31-AD55,"")</f>
        <v/>
      </c>
      <c r="AE77" s="183">
        <f>IF(AND(ISNUMBER(AE216),ISNUMBER(AE31),ISNUMBER(AE55)),AE216-AE31-AE55,"")</f>
        <v/>
      </c>
      <c r="AF77" s="183">
        <f>IF(AND(ISNUMBER(AF216),ISNUMBER(AF31),ISNUMBER(AF55)),AF216-AF31-AF55,"")</f>
        <v/>
      </c>
      <c r="AG77" s="183">
        <f>IF(AND(ISNUMBER(AG216),ISNUMBER(AG31),ISNUMBER(AG55)),AG216-AG31-AG55,"")</f>
        <v/>
      </c>
      <c r="AH77" s="183">
        <f>IF(AND(ISNUMBER(AH216),ISNUMBER(AH31),ISNUMBER(AH55)),AH216-AH31-AH55,"")</f>
        <v/>
      </c>
      <c r="AI77" s="183">
        <f>IF(AND(ISNUMBER(AI216),ISNUMBER(AI31),ISNUMBER(AI55)),AI216-AI31-AI55,"")</f>
        <v/>
      </c>
      <c r="AJ77" s="183">
        <f>IF(AND(ISNUMBER(AJ216),ISNUMBER(AJ31),ISNUMBER(AJ55)),AJ216-AJ31-AJ55,"")</f>
        <v/>
      </c>
      <c r="AK77" s="183">
        <f>IF(AND(ISNUMBER(AK216),ISNUMBER(AK31),ISNUMBER(AK55)),AK216-AK31-AK55,"")</f>
        <v/>
      </c>
      <c r="AL77" s="183">
        <f>IF(AND(ISNUMBER(AL216),ISNUMBER(AL31),ISNUMBER(AL55)),AL216-AL31-AL55,"")</f>
        <v/>
      </c>
      <c r="AM77" s="183">
        <f>IF(AND(ISNUMBER(AM216),ISNUMBER(AM31),ISNUMBER(AM55)),AM216-AM31-AM55,"")</f>
        <v/>
      </c>
      <c r="AN77" s="183">
        <f>IF(AND(ISNUMBER(AN216),ISNUMBER(AN31),ISNUMBER(AN55)),AN216-AN31-AN55,"")</f>
        <v/>
      </c>
      <c r="AO77" s="183">
        <f>IF(AND(ISNUMBER(AO216),ISNUMBER(AO31),ISNUMBER(AO55)),AO216-AO31-AO55,"")</f>
        <v/>
      </c>
      <c r="AP77" s="183">
        <f>IF(AND(ISNUMBER(AP216),ISNUMBER(AP31),ISNUMBER(AP55)),AP216-AP31-AP55,"")</f>
        <v/>
      </c>
      <c r="AQ77" s="183">
        <f>IF(AND(ISNUMBER(AQ216),ISNUMBER(AQ31),ISNUMBER(AQ55)),AQ216-AQ31-AQ55,"")</f>
        <v/>
      </c>
      <c r="AR77" s="183">
        <f>IF(AND(ISNUMBER(AR216),ISNUMBER(AR31),ISNUMBER(AR55)),AR216-AR31-AR55,"")</f>
        <v/>
      </c>
      <c r="AS77" s="183">
        <f>IF(AND(ISNUMBER(AS216),ISNUMBER(AS31),ISNUMBER(AS55)),AS216-AS31-AS55,"")</f>
        <v/>
      </c>
      <c r="AT77" s="183">
        <f>IF(AND(ISNUMBER(AT216),ISNUMBER(AT31),ISNUMBER(AT55)),AT216-AT31-AT55,"")</f>
        <v/>
      </c>
      <c r="AU77" s="183">
        <f>IF(AND(ISNUMBER(AU216),ISNUMBER(AU31),ISNUMBER(AU55)),AU216-AU31-AU55,"")</f>
        <v/>
      </c>
      <c r="AV77" s="183">
        <f>IF(AND(ISNUMBER(AV216),ISNUMBER(AV31),ISNUMBER(AV55)),AV216-AV31-AV55,"")</f>
        <v/>
      </c>
      <c r="AW77" s="183">
        <f>IF(AND(ISNUMBER(AW216),ISNUMBER(AW31),ISNUMBER(AW55)),AW216-AW31-AW55,"")</f>
        <v/>
      </c>
      <c r="AX77" s="183">
        <f>IF(AND(ISNUMBER(AX216),ISNUMBER(AX31),ISNUMBER(AX55)),AX216-AX31-AX55,"")</f>
        <v/>
      </c>
      <c r="AY77" s="183">
        <f>IF(AND(ISNUMBER(AY216),ISNUMBER(AY31),ISNUMBER(AY55)),AY216-AY31-AY55,"")</f>
        <v/>
      </c>
      <c r="AZ77" s="183">
        <f>IF(AND(ISNUMBER(AZ216),ISNUMBER(AZ31),ISNUMBER(AZ55)),AZ216-AZ31-AZ55,"")</f>
        <v/>
      </c>
      <c r="BA77" s="183">
        <f>IF(AND(ISNUMBER(BA216),ISNUMBER(BA31),ISNUMBER(BA55)),BA216-BA31-BA55,"")</f>
        <v/>
      </c>
      <c r="BB77" s="183">
        <f>IF(AND(ISNUMBER(BB216),ISNUMBER(BB31),ISNUMBER(BB55)),BB216-BB31-BB55,"")</f>
        <v/>
      </c>
      <c r="BC77" s="183">
        <f>IF(AND(ISNUMBER(BC216),ISNUMBER(BC31),ISNUMBER(BC55)),BC216-BC31-BC55,"")</f>
        <v/>
      </c>
      <c r="BD77" s="183">
        <f>IF(AND(ISNUMBER(BD216),ISNUMBER(BD31),ISNUMBER(BD55)),BD216-BD31-BD55,"")</f>
        <v/>
      </c>
      <c r="BE77" s="183">
        <f>IF(AND(ISNUMBER(BE216),ISNUMBER(BE31),ISNUMBER(BE55)),BE216-BE31-BE55,"")</f>
        <v/>
      </c>
      <c r="BF77" s="183">
        <f>IF(AND(ISNUMBER(BF216),ISNUMBER(BF31),ISNUMBER(BF55)),BF216-BF31-BF55,"")</f>
        <v/>
      </c>
      <c r="BG77" s="183">
        <f>IF(AND(ISNUMBER(BG216),ISNUMBER(BG31),ISNUMBER(BG55)),BG216-BG31-BG55,"")</f>
        <v/>
      </c>
      <c r="BH77" s="183">
        <f>IF(AND(ISNUMBER(BH216),ISNUMBER(BH31),ISNUMBER(BH55)),BH216-BH31-BH55,"")</f>
        <v/>
      </c>
      <c r="BI77" s="183">
        <f>IF(AND(ISNUMBER(BI216),ISNUMBER(BI31),ISNUMBER(BI55)),BI216-BI31-BI55,"")</f>
        <v/>
      </c>
      <c r="BJ77" s="183">
        <f>IF(AND(ISNUMBER(BJ216),ISNUMBER(BJ31),ISNUMBER(BJ55)),BJ216-BJ31-BJ55,"")</f>
        <v/>
      </c>
      <c r="BK77" s="183">
        <f>IF(AND(ISNUMBER(BK216),ISNUMBER(BK31),ISNUMBER(BK55)),BK216-BK31-BK55,"")</f>
        <v/>
      </c>
      <c r="BL77" s="183">
        <f>IF(AND(ISNUMBER(BL216),ISNUMBER(BL31),ISNUMBER(BL55)),BL216-BL31-BL55,"")</f>
        <v/>
      </c>
      <c r="BM77" s="183">
        <f>IF(AND(ISNUMBER(BM216),ISNUMBER(BM31),ISNUMBER(BM55)),BM216-BM31-BM55,"")</f>
        <v/>
      </c>
      <c r="BN77" s="183">
        <f>IF(AND(ISNUMBER(BN216),ISNUMBER(BN31),ISNUMBER(BN55)),BN216-BN31-BN55,"")</f>
        <v/>
      </c>
      <c r="BO77" s="183">
        <f>IF(AND(ISNUMBER(BO216),ISNUMBER(BO31),ISNUMBER(BO55)),BO216-BO31-BO55,"")</f>
        <v/>
      </c>
      <c r="BP77" s="183">
        <f>IF(AND(ISNUMBER(BP216),ISNUMBER(BP31),ISNUMBER(BP55)),BP216-BP31-BP55,"")</f>
        <v/>
      </c>
      <c r="BQ77" s="183">
        <f>IF(AND(ISNUMBER(BQ216),ISNUMBER(BQ31),ISNUMBER(BQ55)),BQ216-BQ31-BQ55,"")</f>
        <v/>
      </c>
      <c r="BR77" s="183">
        <f>IF(AND(ISNUMBER(BR216),ISNUMBER(BR31),ISNUMBER(BR55)),BR216-BR31-BR55,"")</f>
        <v/>
      </c>
      <c r="BS77" s="183">
        <f>IF(AND(ISNUMBER(BS216),ISNUMBER(BS31),ISNUMBER(BS55)),BS216-BS31-BS55,"")</f>
        <v/>
      </c>
      <c r="BT77" s="183">
        <f>IF(AND(ISNUMBER(BT216),ISNUMBER(BT31),ISNUMBER(BT55)),BT216-BT31-BT55,"")</f>
        <v/>
      </c>
      <c r="BU77" s="183">
        <f>IF(AND(ISNUMBER(BU216),ISNUMBER(BU31),ISNUMBER(BU55)),BU216-BU31-BU55,"")</f>
        <v/>
      </c>
      <c r="BV77" s="183">
        <f>IF(AND(ISNUMBER(BV216),ISNUMBER(BV31),ISNUMBER(BV55)),BV216-BV31-BV55,"")</f>
        <v/>
      </c>
      <c r="BW77" s="183">
        <f>IF(AND(ISNUMBER(BW216),ISNUMBER(BW31),ISNUMBER(BW55)),BW216-BW31-BW55,"")</f>
        <v/>
      </c>
      <c r="BX77" s="183">
        <f>IF(AND(ISNUMBER(BX216),ISNUMBER(BX31),ISNUMBER(BX55)),BX216-BX31-BX55,"")</f>
        <v/>
      </c>
      <c r="BY77" s="178">
        <f>(BW77+BX77)/2</f>
        <v/>
      </c>
      <c r="BZ77" s="178">
        <f>(BW77+BX77)/2</f>
        <v/>
      </c>
      <c r="CA77" s="178">
        <f>SUM(BW77,BX77,BY77,BZ77)</f>
        <v/>
      </c>
      <c r="CB77" s="178">
        <f>CB142*CB78</f>
        <v/>
      </c>
      <c r="CC77" s="178">
        <f>CC142*CC78</f>
        <v/>
      </c>
      <c r="CD77" s="178">
        <f>CD142*CD78</f>
        <v/>
      </c>
      <c r="CE77" s="178">
        <f>CE142*CE78</f>
        <v/>
      </c>
      <c r="CF77" s="20" t="inlineStr">
        <is>
          <t>Historical = published consolidated adjusted operating income − segment adjusted operating income. Q3/Q4-26E: 1H/26 run-rate; 2027E+: % of sales input.</t>
        </is>
      </c>
    </row>
    <row r="78" ht="15" customHeight="1">
      <c r="B78" s="26" t="inlineStr">
        <is>
          <t xml:space="preserve">  Corporate adjusted cost % of sales</t>
        </is>
      </c>
      <c r="C78" s="187">
        <f>IF(AND(ISNUMBER(C77),ISNUMBER(C142)),IFERROR(C77/C142,""),"")</f>
        <v/>
      </c>
      <c r="D78" s="187">
        <f>IF(AND(ISNUMBER(D77),ISNUMBER(D142)),IFERROR(D77/D142,""),"")</f>
        <v/>
      </c>
      <c r="E78" s="187">
        <f>IF(AND(ISNUMBER(E77),ISNUMBER(E142)),IFERROR(E77/E142,""),"")</f>
        <v/>
      </c>
      <c r="F78" s="187">
        <f>IF(AND(ISNUMBER(F77),ISNUMBER(F142)),IFERROR(F77/F142,""),"")</f>
        <v/>
      </c>
      <c r="G78" s="187">
        <f>IF(AND(ISNUMBER(G77),ISNUMBER(G142)),IFERROR(G77/G142,""),"")</f>
        <v/>
      </c>
      <c r="H78" s="187">
        <f>IF(AND(ISNUMBER(H77),ISNUMBER(H142)),IFERROR(H77/H142,""),"")</f>
        <v/>
      </c>
      <c r="I78" s="187">
        <f>IF(AND(ISNUMBER(I77),ISNUMBER(I142)),IFERROR(I77/I142,""),"")</f>
        <v/>
      </c>
      <c r="J78" s="187">
        <f>IF(AND(ISNUMBER(J77),ISNUMBER(J142)),IFERROR(J77/J142,""),"")</f>
        <v/>
      </c>
      <c r="K78" s="187">
        <f>IF(AND(ISNUMBER(K77),ISNUMBER(K142)),IFERROR(K77/K142,""),"")</f>
        <v/>
      </c>
      <c r="L78" s="187">
        <f>IF(AND(ISNUMBER(L77),ISNUMBER(L142)),IFERROR(L77/L142,""),"")</f>
        <v/>
      </c>
      <c r="M78" s="187">
        <f>IF(AND(ISNUMBER(M77),ISNUMBER(M142)),IFERROR(M77/M142,""),"")</f>
        <v/>
      </c>
      <c r="N78" s="187">
        <f>IF(AND(ISNUMBER(N77),ISNUMBER(N142)),IFERROR(N77/N142,""),"")</f>
        <v/>
      </c>
      <c r="O78" s="187">
        <f>IF(AND(ISNUMBER(O77),ISNUMBER(O142)),IFERROR(O77/O142,""),"")</f>
        <v/>
      </c>
      <c r="P78" s="187">
        <f>IF(AND(ISNUMBER(P77),ISNUMBER(P142)),IFERROR(P77/P142,""),"")</f>
        <v/>
      </c>
      <c r="Q78" s="187">
        <f>IF(AND(ISNUMBER(Q77),ISNUMBER(Q142)),IFERROR(Q77/Q142,""),"")</f>
        <v/>
      </c>
      <c r="R78" s="187">
        <f>IF(AND(ISNUMBER(R77),ISNUMBER(R142)),IFERROR(R77/R142,""),"")</f>
        <v/>
      </c>
      <c r="S78" s="187">
        <f>IF(AND(ISNUMBER(S77),ISNUMBER(S142)),IFERROR(S77/S142,""),"")</f>
        <v/>
      </c>
      <c r="T78" s="187">
        <f>IF(AND(ISNUMBER(T77),ISNUMBER(T142)),IFERROR(T77/T142,""),"")</f>
        <v/>
      </c>
      <c r="U78" s="187">
        <f>IF(AND(ISNUMBER(U77),ISNUMBER(U142)),IFERROR(U77/U142,""),"")</f>
        <v/>
      </c>
      <c r="V78" s="187">
        <f>IF(AND(ISNUMBER(V77),ISNUMBER(V142)),IFERROR(V77/V142,""),"")</f>
        <v/>
      </c>
      <c r="W78" s="187">
        <f>IF(AND(ISNUMBER(W77),ISNUMBER(W142)),IFERROR(W77/W142,""),"")</f>
        <v/>
      </c>
      <c r="X78" s="187">
        <f>IF(AND(ISNUMBER(X77),ISNUMBER(X142)),IFERROR(X77/X142,""),"")</f>
        <v/>
      </c>
      <c r="Y78" s="187">
        <f>IF(AND(ISNUMBER(Y77),ISNUMBER(Y142)),IFERROR(Y77/Y142,""),"")</f>
        <v/>
      </c>
      <c r="Z78" s="187">
        <f>IF(AND(ISNUMBER(Z77),ISNUMBER(Z142)),IFERROR(Z77/Z142,""),"")</f>
        <v/>
      </c>
      <c r="AA78" s="187">
        <f>IF(AND(ISNUMBER(AA77),ISNUMBER(AA142)),IFERROR(AA77/AA142,""),"")</f>
        <v/>
      </c>
      <c r="AB78" s="187">
        <f>IF(AND(ISNUMBER(AB77),ISNUMBER(AB142)),IFERROR(AB77/AB142,""),"")</f>
        <v/>
      </c>
      <c r="AC78" s="187">
        <f>IF(AND(ISNUMBER(AC77),ISNUMBER(AC142)),IFERROR(AC77/AC142,""),"")</f>
        <v/>
      </c>
      <c r="AD78" s="187">
        <f>IF(AND(ISNUMBER(AD77),ISNUMBER(AD142)),IFERROR(AD77/AD142,""),"")</f>
        <v/>
      </c>
      <c r="AE78" s="187">
        <f>IF(AND(ISNUMBER(AE77),ISNUMBER(AE142)),IFERROR(AE77/AE142,""),"")</f>
        <v/>
      </c>
      <c r="AF78" s="187">
        <f>IF(AND(ISNUMBER(AF77),ISNUMBER(AF142)),IFERROR(AF77/AF142,""),"")</f>
        <v/>
      </c>
      <c r="AG78" s="187">
        <f>IF(AND(ISNUMBER(AG77),ISNUMBER(AG142)),IFERROR(AG77/AG142,""),"")</f>
        <v/>
      </c>
      <c r="AH78" s="187">
        <f>IF(AND(ISNUMBER(AH77),ISNUMBER(AH142)),IFERROR(AH77/AH142,""),"")</f>
        <v/>
      </c>
      <c r="AI78" s="187">
        <f>IF(AND(ISNUMBER(AI77),ISNUMBER(AI142)),IFERROR(AI77/AI142,""),"")</f>
        <v/>
      </c>
      <c r="AJ78" s="187">
        <f>IF(AND(ISNUMBER(AJ77),ISNUMBER(AJ142)),IFERROR(AJ77/AJ142,""),"")</f>
        <v/>
      </c>
      <c r="AK78" s="187">
        <f>IF(AND(ISNUMBER(AK77),ISNUMBER(AK142)),IFERROR(AK77/AK142,""),"")</f>
        <v/>
      </c>
      <c r="AL78" s="187">
        <f>IF(AND(ISNUMBER(AL77),ISNUMBER(AL142)),IFERROR(AL77/AL142,""),"")</f>
        <v/>
      </c>
      <c r="AM78" s="187">
        <f>IF(AND(ISNUMBER(AM77),ISNUMBER(AM142)),IFERROR(AM77/AM142,""),"")</f>
        <v/>
      </c>
      <c r="AN78" s="187">
        <f>IF(AND(ISNUMBER(AN77),ISNUMBER(AN142)),IFERROR(AN77/AN142,""),"")</f>
        <v/>
      </c>
      <c r="AO78" s="187">
        <f>IF(AND(ISNUMBER(AO77),ISNUMBER(AO142)),IFERROR(AO77/AO142,""),"")</f>
        <v/>
      </c>
      <c r="AP78" s="187">
        <f>IF(AND(ISNUMBER(AP77),ISNUMBER(AP142)),IFERROR(AP77/AP142,""),"")</f>
        <v/>
      </c>
      <c r="AQ78" s="187">
        <f>IF(AND(ISNUMBER(AQ77),ISNUMBER(AQ142)),IFERROR(AQ77/AQ142,""),"")</f>
        <v/>
      </c>
      <c r="AR78" s="187">
        <f>IF(AND(ISNUMBER(AR77),ISNUMBER(AR142)),IFERROR(AR77/AR142,""),"")</f>
        <v/>
      </c>
      <c r="AS78" s="187">
        <f>IF(AND(ISNUMBER(AS77),ISNUMBER(AS142)),IFERROR(AS77/AS142,""),"")</f>
        <v/>
      </c>
      <c r="AT78" s="187">
        <f>IF(AND(ISNUMBER(AT77),ISNUMBER(AT142)),IFERROR(AT77/AT142,""),"")</f>
        <v/>
      </c>
      <c r="AU78" s="187">
        <f>IF(AND(ISNUMBER(AU77),ISNUMBER(AU142)),IFERROR(AU77/AU142,""),"")</f>
        <v/>
      </c>
      <c r="AV78" s="187">
        <f>IF(AND(ISNUMBER(AV77),ISNUMBER(AV142)),IFERROR(AV77/AV142,""),"")</f>
        <v/>
      </c>
      <c r="AW78" s="187">
        <f>IF(AND(ISNUMBER(AW77),ISNUMBER(AW142)),IFERROR(AW77/AW142,""),"")</f>
        <v/>
      </c>
      <c r="AX78" s="187">
        <f>IF(AND(ISNUMBER(AX77),ISNUMBER(AX142)),IFERROR(AX77/AX142,""),"")</f>
        <v/>
      </c>
      <c r="AY78" s="187">
        <f>IF(AND(ISNUMBER(AY77),ISNUMBER(AY142)),IFERROR(AY77/AY142,""),"")</f>
        <v/>
      </c>
      <c r="AZ78" s="187">
        <f>IF(AND(ISNUMBER(AZ77),ISNUMBER(AZ142)),IFERROR(AZ77/AZ142,""),"")</f>
        <v/>
      </c>
      <c r="BA78" s="187">
        <f>IF(AND(ISNUMBER(BA77),ISNUMBER(BA142)),IFERROR(BA77/BA142,""),"")</f>
        <v/>
      </c>
      <c r="BB78" s="187">
        <f>IF(AND(ISNUMBER(BB77),ISNUMBER(BB142)),IFERROR(BB77/BB142,""),"")</f>
        <v/>
      </c>
      <c r="BC78" s="187">
        <f>IF(AND(ISNUMBER(BC77),ISNUMBER(BC142)),IFERROR(BC77/BC142,""),"")</f>
        <v/>
      </c>
      <c r="BD78" s="187">
        <f>IF(AND(ISNUMBER(BD77),ISNUMBER(BD142)),IFERROR(BD77/BD142,""),"")</f>
        <v/>
      </c>
      <c r="BE78" s="187">
        <f>IF(AND(ISNUMBER(BE77),ISNUMBER(BE142)),IFERROR(BE77/BE142,""),"")</f>
        <v/>
      </c>
      <c r="BF78" s="187">
        <f>IF(AND(ISNUMBER(BF77),ISNUMBER(BF142)),IFERROR(BF77/BF142,""),"")</f>
        <v/>
      </c>
      <c r="BG78" s="187">
        <f>IF(AND(ISNUMBER(BG77),ISNUMBER(BG142)),IFERROR(BG77/BG142,""),"")</f>
        <v/>
      </c>
      <c r="BH78" s="187">
        <f>IF(AND(ISNUMBER(BH77),ISNUMBER(BH142)),IFERROR(BH77/BH142,""),"")</f>
        <v/>
      </c>
      <c r="BI78" s="187">
        <f>IF(AND(ISNUMBER(BI77),ISNUMBER(BI142)),IFERROR(BI77/BI142,""),"")</f>
        <v/>
      </c>
      <c r="BJ78" s="187">
        <f>IF(AND(ISNUMBER(BJ77),ISNUMBER(BJ142)),IFERROR(BJ77/BJ142,""),"")</f>
        <v/>
      </c>
      <c r="BK78" s="187">
        <f>IF(AND(ISNUMBER(BK77),ISNUMBER(BK142)),IFERROR(BK77/BK142,""),"")</f>
        <v/>
      </c>
      <c r="BL78" s="187">
        <f>IF(AND(ISNUMBER(BL77),ISNUMBER(BL142)),IFERROR(BL77/BL142,""),"")</f>
        <v/>
      </c>
      <c r="BM78" s="187">
        <f>IF(AND(ISNUMBER(BM77),ISNUMBER(BM142)),IFERROR(BM77/BM142,""),"")</f>
        <v/>
      </c>
      <c r="BN78" s="187">
        <f>IF(AND(ISNUMBER(BN77),ISNUMBER(BN142)),IFERROR(BN77/BN142,""),"")</f>
        <v/>
      </c>
      <c r="BO78" s="187">
        <f>IF(AND(ISNUMBER(BO77),ISNUMBER(BO142)),IFERROR(BO77/BO142,""),"")</f>
        <v/>
      </c>
      <c r="BP78" s="187">
        <f>IF(AND(ISNUMBER(BP77),ISNUMBER(BP142)),IFERROR(BP77/BP142,""),"")</f>
        <v/>
      </c>
      <c r="BQ78" s="187">
        <f>IF(AND(ISNUMBER(BQ77),ISNUMBER(BQ142)),IFERROR(BQ77/BQ142,""),"")</f>
        <v/>
      </c>
      <c r="BR78" s="187">
        <f>IF(AND(ISNUMBER(BR77),ISNUMBER(BR142)),IFERROR(BR77/BR142,""),"")</f>
        <v/>
      </c>
      <c r="BS78" s="187">
        <f>IF(AND(ISNUMBER(BS77),ISNUMBER(BS142)),IFERROR(BS77/BS142,""),"")</f>
        <v/>
      </c>
      <c r="BT78" s="187">
        <f>IF(AND(ISNUMBER(BT77),ISNUMBER(BT142)),IFERROR(BT77/BT142,""),"")</f>
        <v/>
      </c>
      <c r="BU78" s="187">
        <f>IF(AND(ISNUMBER(BU77),ISNUMBER(BU142)),IFERROR(BU77/BU142,""),"")</f>
        <v/>
      </c>
      <c r="BV78" s="187">
        <f>IF(AND(ISNUMBER(BV77),ISNUMBER(BV142)),IFERROR(BV77/BV142,""),"")</f>
        <v/>
      </c>
      <c r="BW78" s="187">
        <f>IF(AND(ISNUMBER(BW77),ISNUMBER(BW142)),IFERROR(BW77/BW142,""),"")</f>
        <v/>
      </c>
      <c r="BX78" s="187">
        <f>IF(AND(ISNUMBER(BX77),ISNUMBER(BX142)),IFERROR(BX77/BX142,""),"")</f>
        <v/>
      </c>
      <c r="BY78" s="25" t="n"/>
      <c r="BZ78" s="25" t="n"/>
      <c r="CA78" s="180">
        <f>IF(AND(ISNUMBER(CA77),ISNUMBER(CA142)),IFERROR(CA77/CA142,""),"")</f>
        <v/>
      </c>
      <c r="CB78" s="181" t="n">
        <v>-0.017</v>
      </c>
      <c r="CC78" s="181" t="n">
        <v>-0.017</v>
      </c>
      <c r="CD78" s="181" t="n">
        <v>-0.017</v>
      </c>
      <c r="CE78" s="181" t="n">
        <v>-0.017</v>
      </c>
      <c r="CF78" s="6" t="n"/>
    </row>
    <row r="79" ht="15" customHeight="1">
      <c r="B79" s="26" t="inlineStr">
        <is>
          <t xml:space="preserve">  Corporate adjusting items</t>
        </is>
      </c>
      <c r="C79" s="183">
        <f>IF(AND(ISNUMBER(C77),ISNUMBER(C80)),C77-C80,"")</f>
        <v/>
      </c>
      <c r="D79" s="183">
        <f>IF(AND(ISNUMBER(D77),ISNUMBER(D80)),D77-D80,"")</f>
        <v/>
      </c>
      <c r="E79" s="183">
        <f>IF(AND(ISNUMBER(E77),ISNUMBER(E80)),E77-E80,"")</f>
        <v/>
      </c>
      <c r="F79" s="183">
        <f>IF(AND(ISNUMBER(F77),ISNUMBER(F80)),F77-F80,"")</f>
        <v/>
      </c>
      <c r="G79" s="183">
        <f>IF(AND(ISNUMBER(G77),ISNUMBER(G80)),G77-G80,"")</f>
        <v/>
      </c>
      <c r="H79" s="183">
        <f>IF(AND(ISNUMBER(H77),ISNUMBER(H80)),H77-H80,"")</f>
        <v/>
      </c>
      <c r="I79" s="183">
        <f>IF(AND(ISNUMBER(I77),ISNUMBER(I80)),I77-I80,"")</f>
        <v/>
      </c>
      <c r="J79" s="183">
        <f>IF(AND(ISNUMBER(J77),ISNUMBER(J80)),J77-J80,"")</f>
        <v/>
      </c>
      <c r="K79" s="183">
        <f>IF(AND(ISNUMBER(K77),ISNUMBER(K80)),K77-K80,"")</f>
        <v/>
      </c>
      <c r="L79" s="183">
        <f>IF(AND(ISNUMBER(L77),ISNUMBER(L80)),L77-L80,"")</f>
        <v/>
      </c>
      <c r="M79" s="183">
        <f>IF(AND(ISNUMBER(M77),ISNUMBER(M80)),M77-M80,"")</f>
        <v/>
      </c>
      <c r="N79" s="183">
        <f>IF(AND(ISNUMBER(N77),ISNUMBER(N80)),N77-N80,"")</f>
        <v/>
      </c>
      <c r="O79" s="183">
        <f>IF(AND(ISNUMBER(O77),ISNUMBER(O80)),O77-O80,"")</f>
        <v/>
      </c>
      <c r="P79" s="183">
        <f>IF(AND(ISNUMBER(P77),ISNUMBER(P80)),P77-P80,"")</f>
        <v/>
      </c>
      <c r="Q79" s="183">
        <f>IF(AND(ISNUMBER(Q77),ISNUMBER(Q80)),Q77-Q80,"")</f>
        <v/>
      </c>
      <c r="R79" s="183">
        <f>IF(AND(ISNUMBER(R77),ISNUMBER(R80)),R77-R80,"")</f>
        <v/>
      </c>
      <c r="S79" s="183">
        <f>IF(AND(ISNUMBER(S77),ISNUMBER(S80)),S77-S80,"")</f>
        <v/>
      </c>
      <c r="T79" s="183">
        <f>IF(AND(ISNUMBER(T77),ISNUMBER(T80)),T77-T80,"")</f>
        <v/>
      </c>
      <c r="U79" s="183">
        <f>IF(AND(ISNUMBER(U77),ISNUMBER(U80)),U77-U80,"")</f>
        <v/>
      </c>
      <c r="V79" s="183">
        <f>IF(AND(ISNUMBER(V77),ISNUMBER(V80)),V77-V80,"")</f>
        <v/>
      </c>
      <c r="W79" s="183">
        <f>IF(AND(ISNUMBER(W77),ISNUMBER(W80)),W77-W80,"")</f>
        <v/>
      </c>
      <c r="X79" s="183">
        <f>IF(AND(ISNUMBER(X77),ISNUMBER(X80)),X77-X80,"")</f>
        <v/>
      </c>
      <c r="Y79" s="183">
        <f>IF(AND(ISNUMBER(Y77),ISNUMBER(Y80)),Y77-Y80,"")</f>
        <v/>
      </c>
      <c r="Z79" s="183">
        <f>IF(AND(ISNUMBER(Z77),ISNUMBER(Z80)),Z77-Z80,"")</f>
        <v/>
      </c>
      <c r="AA79" s="183">
        <f>IF(AND(ISNUMBER(AA77),ISNUMBER(AA80)),AA77-AA80,"")</f>
        <v/>
      </c>
      <c r="AB79" s="183">
        <f>IF(AND(ISNUMBER(AB77),ISNUMBER(AB80)),AB77-AB80,"")</f>
        <v/>
      </c>
      <c r="AC79" s="183">
        <f>IF(AND(ISNUMBER(AC77),ISNUMBER(AC80)),AC77-AC80,"")</f>
        <v/>
      </c>
      <c r="AD79" s="183">
        <f>IF(AND(ISNUMBER(AD77),ISNUMBER(AD80)),AD77-AD80,"")</f>
        <v/>
      </c>
      <c r="AE79" s="183">
        <f>IF(AND(ISNUMBER(AE77),ISNUMBER(AE80)),AE77-AE80,"")</f>
        <v/>
      </c>
      <c r="AF79" s="183">
        <f>IF(AND(ISNUMBER(AF77),ISNUMBER(AF80)),AF77-AF80,"")</f>
        <v/>
      </c>
      <c r="AG79" s="183">
        <f>IF(AND(ISNUMBER(AG77),ISNUMBER(AG80)),AG77-AG80,"")</f>
        <v/>
      </c>
      <c r="AH79" s="183">
        <f>IF(AND(ISNUMBER(AH77),ISNUMBER(AH80)),AH77-AH80,"")</f>
        <v/>
      </c>
      <c r="AI79" s="183">
        <f>IF(AND(ISNUMBER(AI77),ISNUMBER(AI80)),AI77-AI80,"")</f>
        <v/>
      </c>
      <c r="AJ79" s="183">
        <f>IF(AND(ISNUMBER(AJ77),ISNUMBER(AJ80)),AJ77-AJ80,"")</f>
        <v/>
      </c>
      <c r="AK79" s="183">
        <f>IF(AND(ISNUMBER(AK77),ISNUMBER(AK80)),AK77-AK80,"")</f>
        <v/>
      </c>
      <c r="AL79" s="183">
        <f>IF(AND(ISNUMBER(AL77),ISNUMBER(AL80)),AL77-AL80,"")</f>
        <v/>
      </c>
      <c r="AM79" s="183">
        <f>IF(AND(ISNUMBER(AM77),ISNUMBER(AM80)),AM77-AM80,"")</f>
        <v/>
      </c>
      <c r="AN79" s="183">
        <f>IF(AND(ISNUMBER(AN77),ISNUMBER(AN80)),AN77-AN80,"")</f>
        <v/>
      </c>
      <c r="AO79" s="183">
        <f>IF(AND(ISNUMBER(AO77),ISNUMBER(AO80)),AO77-AO80,"")</f>
        <v/>
      </c>
      <c r="AP79" s="183">
        <f>IF(AND(ISNUMBER(AP77),ISNUMBER(AP80)),AP77-AP80,"")</f>
        <v/>
      </c>
      <c r="AQ79" s="183">
        <f>IF(AND(ISNUMBER(AQ77),ISNUMBER(AQ80)),AQ77-AQ80,"")</f>
        <v/>
      </c>
      <c r="AR79" s="183">
        <f>IF(AND(ISNUMBER(AR77),ISNUMBER(AR80)),AR77-AR80,"")</f>
        <v/>
      </c>
      <c r="AS79" s="183">
        <f>IF(AND(ISNUMBER(AS77),ISNUMBER(AS80)),AS77-AS80,"")</f>
        <v/>
      </c>
      <c r="AT79" s="183">
        <f>IF(AND(ISNUMBER(AT77),ISNUMBER(AT80)),AT77-AT80,"")</f>
        <v/>
      </c>
      <c r="AU79" s="183">
        <f>IF(AND(ISNUMBER(AU77),ISNUMBER(AU80)),AU77-AU80,"")</f>
        <v/>
      </c>
      <c r="AV79" s="183">
        <f>IF(AND(ISNUMBER(AV77),ISNUMBER(AV80)),AV77-AV80,"")</f>
        <v/>
      </c>
      <c r="AW79" s="183">
        <f>IF(AND(ISNUMBER(AW77),ISNUMBER(AW80)),AW77-AW80,"")</f>
        <v/>
      </c>
      <c r="AX79" s="183">
        <f>IF(AND(ISNUMBER(AX77),ISNUMBER(AX80)),AX77-AX80,"")</f>
        <v/>
      </c>
      <c r="AY79" s="183">
        <f>IF(AND(ISNUMBER(AY77),ISNUMBER(AY80)),AY77-AY80,"")</f>
        <v/>
      </c>
      <c r="AZ79" s="183">
        <f>IF(AND(ISNUMBER(AZ77),ISNUMBER(AZ80)),AZ77-AZ80,"")</f>
        <v/>
      </c>
      <c r="BA79" s="183">
        <f>IF(AND(ISNUMBER(BA77),ISNUMBER(BA80)),BA77-BA80,"")</f>
        <v/>
      </c>
      <c r="BB79" s="183">
        <f>IF(AND(ISNUMBER(BB77),ISNUMBER(BB80)),BB77-BB80,"")</f>
        <v/>
      </c>
      <c r="BC79" s="183">
        <f>IF(AND(ISNUMBER(BC77),ISNUMBER(BC80)),BC77-BC80,"")</f>
        <v/>
      </c>
      <c r="BD79" s="183">
        <f>IF(AND(ISNUMBER(BD77),ISNUMBER(BD80)),BD77-BD80,"")</f>
        <v/>
      </c>
      <c r="BE79" s="183">
        <f>IF(AND(ISNUMBER(BE77),ISNUMBER(BE80)),BE77-BE80,"")</f>
        <v/>
      </c>
      <c r="BF79" s="183">
        <f>IF(AND(ISNUMBER(BF77),ISNUMBER(BF80)),BF77-BF80,"")</f>
        <v/>
      </c>
      <c r="BG79" s="183">
        <f>IF(AND(ISNUMBER(BG77),ISNUMBER(BG80)),BG77-BG80,"")</f>
        <v/>
      </c>
      <c r="BH79" s="183">
        <f>IF(AND(ISNUMBER(BH77),ISNUMBER(BH80)),BH77-BH80,"")</f>
        <v/>
      </c>
      <c r="BI79" s="183">
        <f>IF(AND(ISNUMBER(BI77),ISNUMBER(BI80)),BI77-BI80,"")</f>
        <v/>
      </c>
      <c r="BJ79" s="183">
        <f>IF(AND(ISNUMBER(BJ77),ISNUMBER(BJ80)),BJ77-BJ80,"")</f>
        <v/>
      </c>
      <c r="BK79" s="183">
        <f>IF(AND(ISNUMBER(BK77),ISNUMBER(BK80)),BK77-BK80,"")</f>
        <v/>
      </c>
      <c r="BL79" s="183">
        <f>IF(AND(ISNUMBER(BL77),ISNUMBER(BL80)),BL77-BL80,"")</f>
        <v/>
      </c>
      <c r="BM79" s="183">
        <f>IF(AND(ISNUMBER(BM77),ISNUMBER(BM80)),BM77-BM80,"")</f>
        <v/>
      </c>
      <c r="BN79" s="183">
        <f>IF(AND(ISNUMBER(BN77),ISNUMBER(BN80)),BN77-BN80,"")</f>
        <v/>
      </c>
      <c r="BO79" s="183">
        <f>IF(AND(ISNUMBER(BO77),ISNUMBER(BO80)),BO77-BO80,"")</f>
        <v/>
      </c>
      <c r="BP79" s="183">
        <f>IF(AND(ISNUMBER(BP77),ISNUMBER(BP80)),BP77-BP80,"")</f>
        <v/>
      </c>
      <c r="BQ79" s="183">
        <f>IF(AND(ISNUMBER(BQ77),ISNUMBER(BQ80)),BQ77-BQ80,"")</f>
        <v/>
      </c>
      <c r="BR79" s="183">
        <f>IF(AND(ISNUMBER(BR77),ISNUMBER(BR80)),BR77-BR80,"")</f>
        <v/>
      </c>
      <c r="BS79" s="183">
        <f>IF(AND(ISNUMBER(BS77),ISNUMBER(BS80)),BS77-BS80,"")</f>
        <v/>
      </c>
      <c r="BT79" s="183">
        <f>IF(AND(ISNUMBER(BT77),ISNUMBER(BT80)),BT77-BT80,"")</f>
        <v/>
      </c>
      <c r="BU79" s="183">
        <f>IF(AND(ISNUMBER(BU77),ISNUMBER(BU80)),BU77-BU80,"")</f>
        <v/>
      </c>
      <c r="BV79" s="183">
        <f>IF(AND(ISNUMBER(BV77),ISNUMBER(BV80)),BV77-BV80,"")</f>
        <v/>
      </c>
      <c r="BW79" s="183">
        <f>IF(AND(ISNUMBER(BW77),ISNUMBER(BW80)),BW77-BW80,"")</f>
        <v/>
      </c>
      <c r="BX79" s="183">
        <f>IF(AND(ISNUMBER(BX77),ISNUMBER(BX80)),BX77-BX80,"")</f>
        <v/>
      </c>
      <c r="BY79" s="178">
        <f>BY213-BY35-BY59-N(BY95)</f>
        <v/>
      </c>
      <c r="BZ79" s="178">
        <f>BZ213-BZ35-BZ59-N(BZ95)</f>
        <v/>
      </c>
      <c r="CA79" s="178">
        <f>SUM(BW79,BX79,BY79,BZ79)</f>
        <v/>
      </c>
      <c r="CB79" s="178">
        <f>CB213-CB35-CB59-N(CB95)</f>
        <v/>
      </c>
      <c r="CC79" s="178">
        <f>CC213-CC35-CC59-N(CC95)</f>
        <v/>
      </c>
      <c r="CD79" s="178">
        <f>CD213-CD35-CD59-N(CD95)</f>
        <v/>
      </c>
      <c r="CE79" s="178">
        <f>CE213-CE35-CE59-N(CE95)</f>
        <v/>
      </c>
      <c r="CF79" s="20" t="n"/>
    </row>
    <row r="80" collapsed="1" ht="15" customHeight="1">
      <c r="B80" s="26" t="inlineStr">
        <is>
          <t xml:space="preserve">  Corporate income (loss) from operations (GAAP)</t>
        </is>
      </c>
      <c r="C80" s="174" t="n">
        <v>-12.7</v>
      </c>
      <c r="D80" s="174" t="n">
        <v>-15.8</v>
      </c>
      <c r="E80" s="174" t="n">
        <v>-19.7</v>
      </c>
      <c r="F80" s="174" t="n">
        <v>-22.9</v>
      </c>
      <c r="G80" s="174" t="n">
        <v>-14.9</v>
      </c>
      <c r="H80" s="174" t="n">
        <v>-38.3</v>
      </c>
      <c r="I80" s="174" t="n">
        <v>-17.2</v>
      </c>
      <c r="J80" s="174" t="n">
        <v>-15.3</v>
      </c>
      <c r="K80" s="174" t="n">
        <v>-1.9</v>
      </c>
      <c r="L80" s="174" t="n">
        <v>-3.8</v>
      </c>
      <c r="M80" s="174" t="n">
        <v>-5</v>
      </c>
      <c r="N80" s="174" t="n">
        <v>-15.5</v>
      </c>
      <c r="O80" s="174" t="n">
        <v>-4.6</v>
      </c>
      <c r="P80" s="174" t="n">
        <v>-4.7</v>
      </c>
      <c r="Q80" s="174" t="n">
        <v>-6.9</v>
      </c>
      <c r="R80" s="174" t="n">
        <v>-6.9</v>
      </c>
      <c r="S80" s="174" t="n">
        <v>-23.2</v>
      </c>
      <c r="T80" s="174" t="n">
        <v>-4.6</v>
      </c>
      <c r="U80" s="174" t="n">
        <v>-6.9</v>
      </c>
      <c r="V80" s="174" t="n">
        <v>-6.6</v>
      </c>
      <c r="W80" s="174" t="n">
        <v>-8</v>
      </c>
      <c r="X80" s="174" t="n">
        <v>-26.1</v>
      </c>
      <c r="Y80" s="174" t="n">
        <v>-9.5</v>
      </c>
      <c r="Z80" s="174" t="n">
        <v>-11.2</v>
      </c>
      <c r="AA80" s="174" t="n">
        <v>-9.1</v>
      </c>
      <c r="AB80" s="174" t="n">
        <v>-27.8</v>
      </c>
      <c r="AC80" s="174" t="n">
        <v>-57.5</v>
      </c>
      <c r="AD80" s="174" t="n">
        <v>-5.7</v>
      </c>
      <c r="AE80" s="174" t="n">
        <v>-8.9</v>
      </c>
      <c r="AF80" s="174" t="n">
        <v>-7.1</v>
      </c>
      <c r="AG80" s="174" t="n">
        <v>-9.800000000000001</v>
      </c>
      <c r="AH80" s="174" t="n">
        <v>-31.4</v>
      </c>
      <c r="AI80" s="174" t="n">
        <v>-6.4</v>
      </c>
      <c r="AJ80" s="174" t="n">
        <v>-18.8</v>
      </c>
      <c r="AK80" s="174" t="n">
        <v>-15</v>
      </c>
      <c r="AL80" s="174" t="n">
        <v>-19.1</v>
      </c>
      <c r="AM80" s="174" t="n">
        <v>-59.3</v>
      </c>
      <c r="AN80" s="174" t="n">
        <v>-66.8</v>
      </c>
      <c r="AO80" s="174" t="n">
        <v>-22.6</v>
      </c>
      <c r="AP80" s="174" t="n">
        <v>-34.8</v>
      </c>
      <c r="AQ80" s="174" t="n">
        <v>-52.1</v>
      </c>
      <c r="AR80" s="174" t="n">
        <v>-194.2</v>
      </c>
      <c r="AS80" s="174" t="n">
        <v>-13</v>
      </c>
      <c r="AT80" s="174" t="n">
        <v>-22.3</v>
      </c>
      <c r="AU80" s="174" t="n">
        <v>-17.6</v>
      </c>
      <c r="AV80" s="174" t="n">
        <v>-16.2</v>
      </c>
      <c r="AW80" s="174" t="n">
        <v>-69.09999999999999</v>
      </c>
      <c r="AX80" s="174" t="n">
        <v>-20.3</v>
      </c>
      <c r="AY80" s="174" t="n">
        <v>-15.2</v>
      </c>
      <c r="AZ80" s="174" t="n">
        <v>-22.1</v>
      </c>
      <c r="BA80" s="174" t="n">
        <v>-22</v>
      </c>
      <c r="BB80" s="174" t="n">
        <v>-79</v>
      </c>
      <c r="BC80" s="174" t="n">
        <v>-15</v>
      </c>
      <c r="BD80" s="174" t="n">
        <v>-19</v>
      </c>
      <c r="BE80" s="174" t="n">
        <v>-25</v>
      </c>
      <c r="BF80" s="174" t="n">
        <v>-25</v>
      </c>
      <c r="BG80" s="174" t="n">
        <v>-84</v>
      </c>
      <c r="BH80" s="174" t="n">
        <v>-20</v>
      </c>
      <c r="BI80" s="174" t="n">
        <v>-25</v>
      </c>
      <c r="BJ80" s="174" t="n">
        <v>-25</v>
      </c>
      <c r="BK80" s="174" t="n">
        <v>-24</v>
      </c>
      <c r="BL80" s="174" t="n">
        <v>-94</v>
      </c>
      <c r="BM80" s="174" t="n">
        <v>-30</v>
      </c>
      <c r="BN80" s="174" t="n">
        <v>-43</v>
      </c>
      <c r="BO80" s="174" t="n">
        <v>-36</v>
      </c>
      <c r="BP80" s="174" t="n">
        <v>-42</v>
      </c>
      <c r="BQ80" s="174" t="n">
        <v>-151</v>
      </c>
      <c r="BR80" s="174" t="n">
        <v>-36</v>
      </c>
      <c r="BS80" s="174" t="n">
        <v>-52</v>
      </c>
      <c r="BT80" s="174" t="n">
        <v>-38</v>
      </c>
      <c r="BU80" s="174" t="n">
        <v>-70</v>
      </c>
      <c r="BV80" s="174" t="n">
        <v>-196</v>
      </c>
      <c r="BW80" s="174" t="n">
        <v>-54</v>
      </c>
      <c r="BX80" s="174" t="n">
        <v>-50</v>
      </c>
      <c r="BY80" s="178">
        <f>BY77-BY79</f>
        <v/>
      </c>
      <c r="BZ80" s="178">
        <f>BZ77-BZ79</f>
        <v/>
      </c>
      <c r="CA80" s="178">
        <f>SUM(BW80,BX80,BY80,BZ80)</f>
        <v/>
      </c>
      <c r="CB80" s="178">
        <f>CB77-CB79</f>
        <v/>
      </c>
      <c r="CC80" s="178">
        <f>CC77-CC79</f>
        <v/>
      </c>
      <c r="CD80" s="178">
        <f>CD77-CD79</f>
        <v/>
      </c>
      <c r="CE80" s="178">
        <f>CE77-CE79</f>
        <v/>
      </c>
      <c r="CF80" s="20" t="n"/>
    </row>
    <row r="81" ht="15" customHeight="1"/>
    <row r="82" ht="15" customHeight="1">
      <c r="B82" s="15" t="inlineStr">
        <is>
          <t>Future acquisitions (M&amp;A lever — bolt-ons, unallocated; deals closed from 2027E)</t>
        </is>
      </c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  <c r="AS82" s="15" t="n"/>
      <c r="AT82" s="15" t="n"/>
      <c r="AU82" s="15" t="n"/>
      <c r="AV82" s="15" t="n"/>
      <c r="AW82" s="15" t="n"/>
      <c r="AX82" s="15" t="n"/>
      <c r="AY82" s="15" t="n"/>
      <c r="AZ82" s="15" t="n"/>
      <c r="BA82" s="15" t="n"/>
      <c r="BB82" s="15" t="n"/>
      <c r="BC82" s="15" t="n"/>
      <c r="BD82" s="15" t="n"/>
      <c r="BE82" s="15" t="n"/>
      <c r="BF82" s="15" t="n"/>
      <c r="BG82" s="15" t="n"/>
      <c r="BH82" s="15" t="n"/>
      <c r="BI82" s="15" t="n"/>
      <c r="BJ82" s="15" t="n"/>
      <c r="BK82" s="15" t="n"/>
      <c r="BL82" s="15" t="n"/>
      <c r="BM82" s="15" t="n"/>
      <c r="BN82" s="15" t="n"/>
      <c r="BO82" s="15" t="n"/>
      <c r="BP82" s="15" t="n"/>
      <c r="BQ82" s="15" t="n"/>
      <c r="BR82" s="15" t="n"/>
      <c r="BS82" s="15" t="n"/>
      <c r="BT82" s="15" t="n"/>
      <c r="BU82" s="15" t="n"/>
      <c r="BV82" s="15" t="n"/>
      <c r="BW82" s="15" t="n"/>
      <c r="BX82" s="15" t="n"/>
      <c r="BY82" s="15" t="n"/>
      <c r="BZ82" s="15" t="n"/>
      <c r="CA82" s="15" t="n"/>
      <c r="CB82" s="15" t="n"/>
      <c r="CC82" s="15" t="n"/>
      <c r="CD82" s="15" t="n"/>
      <c r="CE82" s="15" t="n"/>
      <c r="CF82" s="16" t="inlineStr">
        <is>
          <t>M&amp;A LEVER — acquired sales = spend ÷ EV/sales; mid-year convention</t>
        </is>
      </c>
    </row>
    <row r="83" ht="15" customHeight="1">
      <c r="B83" s="26" t="inlineStr">
        <is>
          <t xml:space="preserve">  Acquisition spend (USDm, scenario)</t>
        </is>
      </c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  <c r="AP83" s="36" t="n"/>
      <c r="AQ83" s="36" t="n"/>
      <c r="AR83" s="36" t="n"/>
      <c r="AS83" s="36" t="n"/>
      <c r="AT83" s="36" t="n"/>
      <c r="AU83" s="36" t="n"/>
      <c r="AV83" s="36" t="n"/>
      <c r="AW83" s="36" t="n"/>
      <c r="AX83" s="36" t="n"/>
      <c r="AY83" s="36" t="n"/>
      <c r="AZ83" s="36" t="n"/>
      <c r="BA83" s="36" t="n"/>
      <c r="BB83" s="36" t="n"/>
      <c r="BC83" s="36" t="n"/>
      <c r="BD83" s="36" t="n"/>
      <c r="BE83" s="36" t="n"/>
      <c r="BF83" s="36" t="n"/>
      <c r="BG83" s="36" t="n"/>
      <c r="BH83" s="36" t="n"/>
      <c r="BI83" s="36" t="n"/>
      <c r="BJ83" s="36" t="n"/>
      <c r="BK83" s="36" t="n"/>
      <c r="BL83" s="36" t="n"/>
      <c r="BM83" s="36" t="n"/>
      <c r="BN83" s="36" t="n"/>
      <c r="BO83" s="36" t="n"/>
      <c r="BP83" s="36" t="n"/>
      <c r="BQ83" s="36" t="n"/>
      <c r="BR83" s="36" t="n"/>
      <c r="BS83" s="36" t="n"/>
      <c r="BT83" s="36" t="n"/>
      <c r="BU83" s="36" t="n"/>
      <c r="BV83" s="36" t="n"/>
      <c r="BW83" s="36" t="n"/>
      <c r="BX83" s="36" t="n"/>
      <c r="BY83" s="37" t="n"/>
      <c r="BZ83" s="37" t="n"/>
      <c r="CA83" s="188" t="n">
        <v>0</v>
      </c>
      <c r="CB83" s="178">
        <f>MAX(0,CHOOSE(MATCH($CF$2,{"Bull","Base","Bear"},0),$CO$71,$CP$71,$CQ$71))</f>
        <v/>
      </c>
      <c r="CC83" s="178">
        <f>MAX(0,CHOOSE(MATCH($CF$2,{"Bull","Base","Bear"},0),$CO$72,$CP$72,$CQ$72))</f>
        <v/>
      </c>
      <c r="CD83" s="178">
        <f>MAX(0,CHOOSE(MATCH($CF$2,{"Bull","Base","Bear"},0),$CO$73,$CP$73,$CQ$73))</f>
        <v/>
      </c>
      <c r="CE83" s="178">
        <f>MAX(0,CHOOSE(MATCH($CF$2,{"Bull","Base","Bear"},0),$CO$74,$CP$74,$CQ$74))</f>
        <v/>
      </c>
      <c r="CF83" s="20" t="inlineStr">
        <is>
          <t>Scenario lever M&amp;A_spend. Wabtec deployed ~$2.5bn (2025: Inspection Technologies, Frauscher) and ~$1.1bn (1H/26: Dellner); Base assumes ~$0.75bn p.a. of bolt-ons from 2027.</t>
        </is>
      </c>
    </row>
    <row r="84" ht="15" customHeight="1">
      <c r="B84" s="26" t="inlineStr">
        <is>
          <t xml:space="preserve">  Purchase multiple — EV / sales (x)</t>
        </is>
      </c>
      <c r="C84" s="38" t="n"/>
      <c r="D84" s="38" t="n"/>
      <c r="E84" s="38" t="n"/>
      <c r="F84" s="38" t="n"/>
      <c r="G84" s="38" t="n"/>
      <c r="H84" s="38" t="n"/>
      <c r="I84" s="38" t="n"/>
      <c r="J84" s="38" t="n"/>
      <c r="K84" s="38" t="n"/>
      <c r="L84" s="38" t="n"/>
      <c r="M84" s="38" t="n"/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38" t="n"/>
      <c r="Z84" s="38" t="n"/>
      <c r="AA84" s="38" t="n"/>
      <c r="AB84" s="38" t="n"/>
      <c r="AC84" s="38" t="n"/>
      <c r="AD84" s="38" t="n"/>
      <c r="AE84" s="38" t="n"/>
      <c r="AF84" s="38" t="n"/>
      <c r="AG84" s="38" t="n"/>
      <c r="AH84" s="38" t="n"/>
      <c r="AI84" s="38" t="n"/>
      <c r="AJ84" s="38" t="n"/>
      <c r="AK84" s="38" t="n"/>
      <c r="AL84" s="38" t="n"/>
      <c r="AM84" s="38" t="n"/>
      <c r="AN84" s="38" t="n"/>
      <c r="AO84" s="38" t="n"/>
      <c r="AP84" s="38" t="n"/>
      <c r="AQ84" s="38" t="n"/>
      <c r="AR84" s="38" t="n"/>
      <c r="AS84" s="38" t="n"/>
      <c r="AT84" s="38" t="n"/>
      <c r="AU84" s="38" t="n"/>
      <c r="AV84" s="38" t="n"/>
      <c r="AW84" s="38" t="n"/>
      <c r="AX84" s="38" t="n"/>
      <c r="AY84" s="38" t="n"/>
      <c r="AZ84" s="38" t="n"/>
      <c r="BA84" s="38" t="n"/>
      <c r="BB84" s="38" t="n"/>
      <c r="BC84" s="38" t="n"/>
      <c r="BD84" s="38" t="n"/>
      <c r="BE84" s="38" t="n"/>
      <c r="BF84" s="38" t="n"/>
      <c r="BG84" s="38" t="n"/>
      <c r="BH84" s="38" t="n"/>
      <c r="BI84" s="38" t="n"/>
      <c r="BJ84" s="38" t="n"/>
      <c r="BK84" s="38" t="n"/>
      <c r="BL84" s="38" t="n"/>
      <c r="BM84" s="38" t="n"/>
      <c r="BN84" s="38" t="n"/>
      <c r="BO84" s="38" t="n"/>
      <c r="BP84" s="38" t="n"/>
      <c r="BQ84" s="38" t="n"/>
      <c r="BR84" s="38" t="n"/>
      <c r="BS84" s="38" t="n"/>
      <c r="BT84" s="38" t="n"/>
      <c r="BU84" s="38" t="n"/>
      <c r="BV84" s="38" t="n"/>
      <c r="BW84" s="38" t="n"/>
      <c r="BX84" s="38" t="n"/>
      <c r="BY84" s="25" t="n"/>
      <c r="BZ84" s="25" t="n"/>
      <c r="CA84" s="190" t="n">
        <v>0</v>
      </c>
      <c r="CB84" s="190" t="n">
        <v>3.5</v>
      </c>
      <c r="CC84" s="190" t="n">
        <v>3.5</v>
      </c>
      <c r="CD84" s="190" t="n">
        <v>3.5</v>
      </c>
      <c r="CE84" s="190" t="n">
        <v>3.5</v>
      </c>
      <c r="CF84" s="20" t="inlineStr">
        <is>
          <t>Wabtec bolt-ons: Inspection Technologies ~$1.78bn on ~$0.45bn sales (~4x), Dellner ~$0.96bn, Frauscher ~€0.68bn; 3.5x input.</t>
        </is>
      </c>
    </row>
    <row r="85" ht="15" customHeight="1">
      <c r="B85" s="26" t="inlineStr">
        <is>
          <t xml:space="preserve">  Annualised sales acquired in the year</t>
        </is>
      </c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  <c r="AU85" s="36" t="n"/>
      <c r="AV85" s="36" t="n"/>
      <c r="AW85" s="36" t="n"/>
      <c r="AX85" s="36" t="n"/>
      <c r="AY85" s="36" t="n"/>
      <c r="AZ85" s="36" t="n"/>
      <c r="BA85" s="36" t="n"/>
      <c r="BB85" s="36" t="n"/>
      <c r="BC85" s="36" t="n"/>
      <c r="BD85" s="36" t="n"/>
      <c r="BE85" s="36" t="n"/>
      <c r="BF85" s="36" t="n"/>
      <c r="BG85" s="36" t="n"/>
      <c r="BH85" s="36" t="n"/>
      <c r="BI85" s="36" t="n"/>
      <c r="BJ85" s="36" t="n"/>
      <c r="BK85" s="36" t="n"/>
      <c r="BL85" s="36" t="n"/>
      <c r="BM85" s="36" t="n"/>
      <c r="BN85" s="36" t="n"/>
      <c r="BO85" s="36" t="n"/>
      <c r="BP85" s="36" t="n"/>
      <c r="BQ85" s="36" t="n"/>
      <c r="BR85" s="36" t="n"/>
      <c r="BS85" s="36" t="n"/>
      <c r="BT85" s="36" t="n"/>
      <c r="BU85" s="36" t="n"/>
      <c r="BV85" s="36" t="n"/>
      <c r="BW85" s="36" t="n"/>
      <c r="BX85" s="36" t="n"/>
      <c r="BY85" s="37" t="n"/>
      <c r="BZ85" s="37" t="n"/>
      <c r="CA85" s="188" t="n">
        <v>0</v>
      </c>
      <c r="CB85" s="178">
        <f>IFERROR(CB83/CB84,0)</f>
        <v/>
      </c>
      <c r="CC85" s="178">
        <f>IFERROR(CC83/CC84,0)</f>
        <v/>
      </c>
      <c r="CD85" s="178">
        <f>IFERROR(CD83/CD84,0)</f>
        <v/>
      </c>
      <c r="CE85" s="178">
        <f>IFERROR(CE83/CE84,0)</f>
        <v/>
      </c>
      <c r="CF85" s="20" t="n"/>
    </row>
    <row r="86" ht="15" customHeight="1">
      <c r="B86" s="26" t="inlineStr">
        <is>
          <t xml:space="preserve">  Growth of acquired businesses after acquisition %</t>
        </is>
      </c>
      <c r="C86" s="38" t="n"/>
      <c r="D86" s="38" t="n"/>
      <c r="E86" s="38" t="n"/>
      <c r="F86" s="38" t="n"/>
      <c r="G86" s="38" t="n"/>
      <c r="H86" s="38" t="n"/>
      <c r="I86" s="38" t="n"/>
      <c r="J86" s="38" t="n"/>
      <c r="K86" s="38" t="n"/>
      <c r="L86" s="38" t="n"/>
      <c r="M86" s="38" t="n"/>
      <c r="N86" s="38" t="n"/>
      <c r="O86" s="38" t="n"/>
      <c r="P86" s="38" t="n"/>
      <c r="Q86" s="38" t="n"/>
      <c r="R86" s="38" t="n"/>
      <c r="S86" s="38" t="n"/>
      <c r="T86" s="38" t="n"/>
      <c r="U86" s="38" t="n"/>
      <c r="V86" s="38" t="n"/>
      <c r="W86" s="38" t="n"/>
      <c r="X86" s="38" t="n"/>
      <c r="Y86" s="38" t="n"/>
      <c r="Z86" s="38" t="n"/>
      <c r="AA86" s="38" t="n"/>
      <c r="AB86" s="38" t="n"/>
      <c r="AC86" s="38" t="n"/>
      <c r="AD86" s="38" t="n"/>
      <c r="AE86" s="38" t="n"/>
      <c r="AF86" s="38" t="n"/>
      <c r="AG86" s="38" t="n"/>
      <c r="AH86" s="38" t="n"/>
      <c r="AI86" s="38" t="n"/>
      <c r="AJ86" s="38" t="n"/>
      <c r="AK86" s="38" t="n"/>
      <c r="AL86" s="38" t="n"/>
      <c r="AM86" s="38" t="n"/>
      <c r="AN86" s="38" t="n"/>
      <c r="AO86" s="38" t="n"/>
      <c r="AP86" s="38" t="n"/>
      <c r="AQ86" s="38" t="n"/>
      <c r="AR86" s="38" t="n"/>
      <c r="AS86" s="38" t="n"/>
      <c r="AT86" s="38" t="n"/>
      <c r="AU86" s="38" t="n"/>
      <c r="AV86" s="38" t="n"/>
      <c r="AW86" s="38" t="n"/>
      <c r="AX86" s="38" t="n"/>
      <c r="AY86" s="38" t="n"/>
      <c r="AZ86" s="38" t="n"/>
      <c r="BA86" s="38" t="n"/>
      <c r="BB86" s="38" t="n"/>
      <c r="BC86" s="38" t="n"/>
      <c r="BD86" s="38" t="n"/>
      <c r="BE86" s="38" t="n"/>
      <c r="BF86" s="38" t="n"/>
      <c r="BG86" s="38" t="n"/>
      <c r="BH86" s="38" t="n"/>
      <c r="BI86" s="38" t="n"/>
      <c r="BJ86" s="38" t="n"/>
      <c r="BK86" s="38" t="n"/>
      <c r="BL86" s="38" t="n"/>
      <c r="BM86" s="38" t="n"/>
      <c r="BN86" s="38" t="n"/>
      <c r="BO86" s="38" t="n"/>
      <c r="BP86" s="38" t="n"/>
      <c r="BQ86" s="38" t="n"/>
      <c r="BR86" s="38" t="n"/>
      <c r="BS86" s="38" t="n"/>
      <c r="BT86" s="38" t="n"/>
      <c r="BU86" s="38" t="n"/>
      <c r="BV86" s="38" t="n"/>
      <c r="BW86" s="38" t="n"/>
      <c r="BX86" s="38" t="n"/>
      <c r="BY86" s="25" t="n"/>
      <c r="BZ86" s="25" t="n"/>
      <c r="CA86" s="181" t="n">
        <v>0</v>
      </c>
      <c r="CB86" s="181" t="n">
        <v>0.06</v>
      </c>
      <c r="CC86" s="181" t="n">
        <v>0.06</v>
      </c>
      <c r="CD86" s="181" t="n">
        <v>0.06</v>
      </c>
      <c r="CE86" s="181" t="n">
        <v>0.06</v>
      </c>
      <c r="CF86" s="20" t="n"/>
    </row>
    <row r="87" ht="15" customHeight="1">
      <c r="B87" s="26" t="inlineStr">
        <is>
          <t xml:space="preserve">  Run-rate sales of businesses acquired (year end)</t>
        </is>
      </c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  <c r="AU87" s="36" t="n"/>
      <c r="AV87" s="36" t="n"/>
      <c r="AW87" s="36" t="n"/>
      <c r="AX87" s="36" t="n"/>
      <c r="AY87" s="36" t="n"/>
      <c r="AZ87" s="36" t="n"/>
      <c r="BA87" s="36" t="n"/>
      <c r="BB87" s="36" t="n"/>
      <c r="BC87" s="36" t="n"/>
      <c r="BD87" s="36" t="n"/>
      <c r="BE87" s="36" t="n"/>
      <c r="BF87" s="36" t="n"/>
      <c r="BG87" s="36" t="n"/>
      <c r="BH87" s="36" t="n"/>
      <c r="BI87" s="36" t="n"/>
      <c r="BJ87" s="36" t="n"/>
      <c r="BK87" s="36" t="n"/>
      <c r="BL87" s="36" t="n"/>
      <c r="BM87" s="36" t="n"/>
      <c r="BN87" s="36" t="n"/>
      <c r="BO87" s="36" t="n"/>
      <c r="BP87" s="36" t="n"/>
      <c r="BQ87" s="36" t="n"/>
      <c r="BR87" s="36" t="n"/>
      <c r="BS87" s="36" t="n"/>
      <c r="BT87" s="36" t="n"/>
      <c r="BU87" s="36" t="n"/>
      <c r="BV87" s="36" t="n"/>
      <c r="BW87" s="36" t="n"/>
      <c r="BX87" s="36" t="n"/>
      <c r="BY87" s="37" t="n"/>
      <c r="BZ87" s="37" t="n"/>
      <c r="CA87" s="188" t="n">
        <v>0</v>
      </c>
      <c r="CB87" s="178">
        <f>CA87*(1+CB86)+CB85</f>
        <v/>
      </c>
      <c r="CC87" s="178">
        <f>CB87*(1+CC86)+CC85</f>
        <v/>
      </c>
      <c r="CD87" s="178">
        <f>CC87*(1+CD86)+CD85</f>
        <v/>
      </c>
      <c r="CE87" s="178">
        <f>CD87*(1+CE86)+CE85</f>
        <v/>
      </c>
      <c r="CF87" s="20" t="n"/>
    </row>
    <row r="88" collapsed="1" ht="15" customHeight="1">
      <c r="B88" s="17" t="inlineStr">
        <is>
          <t xml:space="preserve">  Sales from future acquisitions</t>
        </is>
      </c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6" t="n"/>
      <c r="X88" s="46" t="n"/>
      <c r="Y88" s="46" t="n"/>
      <c r="Z88" s="46" t="n"/>
      <c r="AA88" s="46" t="n"/>
      <c r="AB88" s="46" t="n"/>
      <c r="AC88" s="46" t="n"/>
      <c r="AD88" s="46" t="n"/>
      <c r="AE88" s="46" t="n"/>
      <c r="AF88" s="46" t="n"/>
      <c r="AG88" s="46" t="n"/>
      <c r="AH88" s="46" t="n"/>
      <c r="AI88" s="46" t="n"/>
      <c r="AJ88" s="46" t="n"/>
      <c r="AK88" s="46" t="n"/>
      <c r="AL88" s="46" t="n"/>
      <c r="AM88" s="46" t="n"/>
      <c r="AN88" s="46" t="n"/>
      <c r="AO88" s="46" t="n"/>
      <c r="AP88" s="46" t="n"/>
      <c r="AQ88" s="46" t="n"/>
      <c r="AR88" s="46" t="n"/>
      <c r="AS88" s="46" t="n"/>
      <c r="AT88" s="46" t="n"/>
      <c r="AU88" s="46" t="n"/>
      <c r="AV88" s="46" t="n"/>
      <c r="AW88" s="46" t="n"/>
      <c r="AX88" s="46" t="n"/>
      <c r="AY88" s="46" t="n"/>
      <c r="AZ88" s="46" t="n"/>
      <c r="BA88" s="46" t="n"/>
      <c r="BB88" s="46" t="n"/>
      <c r="BC88" s="46" t="n"/>
      <c r="BD88" s="46" t="n"/>
      <c r="BE88" s="46" t="n"/>
      <c r="BF88" s="46" t="n"/>
      <c r="BG88" s="46" t="n"/>
      <c r="BH88" s="46" t="n"/>
      <c r="BI88" s="46" t="n"/>
      <c r="BJ88" s="46" t="n"/>
      <c r="BK88" s="46" t="n"/>
      <c r="BL88" s="46" t="n"/>
      <c r="BM88" s="46" t="n"/>
      <c r="BN88" s="46" t="n"/>
      <c r="BO88" s="46" t="n"/>
      <c r="BP88" s="46" t="n"/>
      <c r="BQ88" s="46" t="n"/>
      <c r="BR88" s="46" t="n"/>
      <c r="BS88" s="46" t="n"/>
      <c r="BT88" s="46" t="n"/>
      <c r="BU88" s="46" t="n"/>
      <c r="BV88" s="46" t="n"/>
      <c r="BW88" s="46" t="n"/>
      <c r="BX88" s="46" t="n"/>
      <c r="BY88" s="34" t="n"/>
      <c r="BZ88" s="34" t="n"/>
      <c r="CA88" s="191" t="n">
        <v>0</v>
      </c>
      <c r="CB88" s="185">
        <f>CA87*(1+CB86)+0.5*CB85</f>
        <v/>
      </c>
      <c r="CC88" s="185">
        <f>CB87*(1+CC86)+0.5*CC85</f>
        <v/>
      </c>
      <c r="CD88" s="185">
        <f>CC87*(1+CD86)+0.5*CD85</f>
        <v/>
      </c>
      <c r="CE88" s="185">
        <f>CD87*(1+CE86)+0.5*CE85</f>
        <v/>
      </c>
      <c r="CF88" s="6" t="inlineStr">
        <is>
          <t>Mid-year convention: deals close evenly through the year (half a year of sales in year 1). Allocated to neither segment (unallocated line in the Group build).</t>
        </is>
      </c>
    </row>
    <row r="89" ht="15" customHeight="1">
      <c r="B89" s="26" t="inlineStr">
        <is>
          <t xml:space="preserve">  Adjusted operating margin of acquired businesses % (before PPA amortization)</t>
        </is>
      </c>
      <c r="C89" s="38" t="n"/>
      <c r="D89" s="38" t="n"/>
      <c r="E89" s="38" t="n"/>
      <c r="F89" s="38" t="n"/>
      <c r="G89" s="38" t="n"/>
      <c r="H89" s="38" t="n"/>
      <c r="I89" s="38" t="n"/>
      <c r="J89" s="38" t="n"/>
      <c r="K89" s="38" t="n"/>
      <c r="L89" s="38" t="n"/>
      <c r="M89" s="38" t="n"/>
      <c r="N89" s="38" t="n"/>
      <c r="O89" s="38" t="n"/>
      <c r="P89" s="38" t="n"/>
      <c r="Q89" s="38" t="n"/>
      <c r="R89" s="38" t="n"/>
      <c r="S89" s="38" t="n"/>
      <c r="T89" s="38" t="n"/>
      <c r="U89" s="38" t="n"/>
      <c r="V89" s="38" t="n"/>
      <c r="W89" s="38" t="n"/>
      <c r="X89" s="38" t="n"/>
      <c r="Y89" s="38" t="n"/>
      <c r="Z89" s="38" t="n"/>
      <c r="AA89" s="38" t="n"/>
      <c r="AB89" s="38" t="n"/>
      <c r="AC89" s="38" t="n"/>
      <c r="AD89" s="38" t="n"/>
      <c r="AE89" s="38" t="n"/>
      <c r="AF89" s="38" t="n"/>
      <c r="AG89" s="38" t="n"/>
      <c r="AH89" s="38" t="n"/>
      <c r="AI89" s="38" t="n"/>
      <c r="AJ89" s="38" t="n"/>
      <c r="AK89" s="38" t="n"/>
      <c r="AL89" s="38" t="n"/>
      <c r="AM89" s="38" t="n"/>
      <c r="AN89" s="38" t="n"/>
      <c r="AO89" s="38" t="n"/>
      <c r="AP89" s="38" t="n"/>
      <c r="AQ89" s="38" t="n"/>
      <c r="AR89" s="38" t="n"/>
      <c r="AS89" s="38" t="n"/>
      <c r="AT89" s="38" t="n"/>
      <c r="AU89" s="38" t="n"/>
      <c r="AV89" s="38" t="n"/>
      <c r="AW89" s="38" t="n"/>
      <c r="AX89" s="38" t="n"/>
      <c r="AY89" s="38" t="n"/>
      <c r="AZ89" s="38" t="n"/>
      <c r="BA89" s="38" t="n"/>
      <c r="BB89" s="38" t="n"/>
      <c r="BC89" s="38" t="n"/>
      <c r="BD89" s="38" t="n"/>
      <c r="BE89" s="38" t="n"/>
      <c r="BF89" s="38" t="n"/>
      <c r="BG89" s="38" t="n"/>
      <c r="BH89" s="38" t="n"/>
      <c r="BI89" s="38" t="n"/>
      <c r="BJ89" s="38" t="n"/>
      <c r="BK89" s="38" t="n"/>
      <c r="BL89" s="38" t="n"/>
      <c r="BM89" s="38" t="n"/>
      <c r="BN89" s="38" t="n"/>
      <c r="BO89" s="38" t="n"/>
      <c r="BP89" s="38" t="n"/>
      <c r="BQ89" s="38" t="n"/>
      <c r="BR89" s="38" t="n"/>
      <c r="BS89" s="38" t="n"/>
      <c r="BT89" s="38" t="n"/>
      <c r="BU89" s="38" t="n"/>
      <c r="BV89" s="38" t="n"/>
      <c r="BW89" s="38" t="n"/>
      <c r="BX89" s="38" t="n"/>
      <c r="BY89" s="25" t="n"/>
      <c r="BZ89" s="25" t="n"/>
      <c r="CA89" s="181" t="n">
        <v>0</v>
      </c>
      <c r="CB89" s="181" t="n">
        <v>0.22</v>
      </c>
      <c r="CC89" s="181" t="n">
        <v>0.22</v>
      </c>
      <c r="CD89" s="181" t="n">
        <v>0.22</v>
      </c>
      <c r="CE89" s="181" t="n">
        <v>0.22</v>
      </c>
      <c r="CF89" s="20" t="n"/>
    </row>
    <row r="90" ht="15" customHeight="1">
      <c r="B90" s="26" t="inlineStr">
        <is>
          <t xml:space="preserve">  Adjusted operating income from future acquisitions</t>
        </is>
      </c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  <c r="AU90" s="36" t="n"/>
      <c r="AV90" s="36" t="n"/>
      <c r="AW90" s="36" t="n"/>
      <c r="AX90" s="36" t="n"/>
      <c r="AY90" s="36" t="n"/>
      <c r="AZ90" s="36" t="n"/>
      <c r="BA90" s="36" t="n"/>
      <c r="BB90" s="36" t="n"/>
      <c r="BC90" s="36" t="n"/>
      <c r="BD90" s="36" t="n"/>
      <c r="BE90" s="36" t="n"/>
      <c r="BF90" s="36" t="n"/>
      <c r="BG90" s="36" t="n"/>
      <c r="BH90" s="36" t="n"/>
      <c r="BI90" s="36" t="n"/>
      <c r="BJ90" s="36" t="n"/>
      <c r="BK90" s="36" t="n"/>
      <c r="BL90" s="36" t="n"/>
      <c r="BM90" s="36" t="n"/>
      <c r="BN90" s="36" t="n"/>
      <c r="BO90" s="36" t="n"/>
      <c r="BP90" s="36" t="n"/>
      <c r="BQ90" s="36" t="n"/>
      <c r="BR90" s="36" t="n"/>
      <c r="BS90" s="36" t="n"/>
      <c r="BT90" s="36" t="n"/>
      <c r="BU90" s="36" t="n"/>
      <c r="BV90" s="36" t="n"/>
      <c r="BW90" s="36" t="n"/>
      <c r="BX90" s="36" t="n"/>
      <c r="BY90" s="37" t="n"/>
      <c r="BZ90" s="37" t="n"/>
      <c r="CA90" s="188" t="n">
        <v>0</v>
      </c>
      <c r="CB90" s="178">
        <f>CB88*CB89</f>
        <v/>
      </c>
      <c r="CC90" s="178">
        <f>CC88*CC89</f>
        <v/>
      </c>
      <c r="CD90" s="178">
        <f>CD88*CD89</f>
        <v/>
      </c>
      <c r="CE90" s="178">
        <f>CE88*CE89</f>
        <v/>
      </c>
      <c r="CF90" s="20" t="n"/>
    </row>
    <row r="91" ht="15" customHeight="1">
      <c r="B91" s="26" t="inlineStr">
        <is>
          <t xml:space="preserve">  PP&amp;E % of spend</t>
        </is>
      </c>
      <c r="C91" s="38" t="n"/>
      <c r="D91" s="38" t="n"/>
      <c r="E91" s="38" t="n"/>
      <c r="F91" s="38" t="n"/>
      <c r="G91" s="38" t="n"/>
      <c r="H91" s="38" t="n"/>
      <c r="I91" s="38" t="n"/>
      <c r="J91" s="38" t="n"/>
      <c r="K91" s="38" t="n"/>
      <c r="L91" s="38" t="n"/>
      <c r="M91" s="38" t="n"/>
      <c r="N91" s="38" t="n"/>
      <c r="O91" s="38" t="n"/>
      <c r="P91" s="38" t="n"/>
      <c r="Q91" s="38" t="n"/>
      <c r="R91" s="38" t="n"/>
      <c r="S91" s="38" t="n"/>
      <c r="T91" s="38" t="n"/>
      <c r="U91" s="38" t="n"/>
      <c r="V91" s="38" t="n"/>
      <c r="W91" s="38" t="n"/>
      <c r="X91" s="38" t="n"/>
      <c r="Y91" s="38" t="n"/>
      <c r="Z91" s="38" t="n"/>
      <c r="AA91" s="38" t="n"/>
      <c r="AB91" s="38" t="n"/>
      <c r="AC91" s="38" t="n"/>
      <c r="AD91" s="38" t="n"/>
      <c r="AE91" s="38" t="n"/>
      <c r="AF91" s="38" t="n"/>
      <c r="AG91" s="38" t="n"/>
      <c r="AH91" s="38" t="n"/>
      <c r="AI91" s="38" t="n"/>
      <c r="AJ91" s="38" t="n"/>
      <c r="AK91" s="38" t="n"/>
      <c r="AL91" s="38" t="n"/>
      <c r="AM91" s="38" t="n"/>
      <c r="AN91" s="38" t="n"/>
      <c r="AO91" s="38" t="n"/>
      <c r="AP91" s="38" t="n"/>
      <c r="AQ91" s="38" t="n"/>
      <c r="AR91" s="38" t="n"/>
      <c r="AS91" s="38" t="n"/>
      <c r="AT91" s="38" t="n"/>
      <c r="AU91" s="38" t="n"/>
      <c r="AV91" s="38" t="n"/>
      <c r="AW91" s="38" t="n"/>
      <c r="AX91" s="38" t="n"/>
      <c r="AY91" s="38" t="n"/>
      <c r="AZ91" s="38" t="n"/>
      <c r="BA91" s="38" t="n"/>
      <c r="BB91" s="38" t="n"/>
      <c r="BC91" s="38" t="n"/>
      <c r="BD91" s="38" t="n"/>
      <c r="BE91" s="38" t="n"/>
      <c r="BF91" s="38" t="n"/>
      <c r="BG91" s="38" t="n"/>
      <c r="BH91" s="38" t="n"/>
      <c r="BI91" s="38" t="n"/>
      <c r="BJ91" s="38" t="n"/>
      <c r="BK91" s="38" t="n"/>
      <c r="BL91" s="38" t="n"/>
      <c r="BM91" s="38" t="n"/>
      <c r="BN91" s="38" t="n"/>
      <c r="BO91" s="38" t="n"/>
      <c r="BP91" s="38" t="n"/>
      <c r="BQ91" s="38" t="n"/>
      <c r="BR91" s="38" t="n"/>
      <c r="BS91" s="38" t="n"/>
      <c r="BT91" s="38" t="n"/>
      <c r="BU91" s="38" t="n"/>
      <c r="BV91" s="38" t="n"/>
      <c r="BW91" s="38" t="n"/>
      <c r="BX91" s="38" t="n"/>
      <c r="BY91" s="25" t="n"/>
      <c r="BZ91" s="25" t="n"/>
      <c r="CA91" s="181" t="n">
        <v>0</v>
      </c>
      <c r="CB91" s="181" t="n">
        <v>0.08</v>
      </c>
      <c r="CC91" s="181" t="n">
        <v>0.08</v>
      </c>
      <c r="CD91" s="181" t="n">
        <v>0.08</v>
      </c>
      <c r="CE91" s="181" t="n">
        <v>0.08</v>
      </c>
      <c r="CF91" s="20" t="n"/>
    </row>
    <row r="92" ht="15" customHeight="1">
      <c r="B92" s="26" t="inlineStr">
        <is>
          <t xml:space="preserve">  Acquired intangibles % of spend</t>
        </is>
      </c>
      <c r="C92" s="38" t="n"/>
      <c r="D92" s="38" t="n"/>
      <c r="E92" s="38" t="n"/>
      <c r="F92" s="38" t="n"/>
      <c r="G92" s="38" t="n"/>
      <c r="H92" s="38" t="n"/>
      <c r="I92" s="38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  <c r="AA92" s="38" t="n"/>
      <c r="AB92" s="38" t="n"/>
      <c r="AC92" s="38" t="n"/>
      <c r="AD92" s="38" t="n"/>
      <c r="AE92" s="38" t="n"/>
      <c r="AF92" s="38" t="n"/>
      <c r="AG92" s="38" t="n"/>
      <c r="AH92" s="38" t="n"/>
      <c r="AI92" s="38" t="n"/>
      <c r="AJ92" s="38" t="n"/>
      <c r="AK92" s="38" t="n"/>
      <c r="AL92" s="38" t="n"/>
      <c r="AM92" s="38" t="n"/>
      <c r="AN92" s="38" t="n"/>
      <c r="AO92" s="38" t="n"/>
      <c r="AP92" s="38" t="n"/>
      <c r="AQ92" s="38" t="n"/>
      <c r="AR92" s="38" t="n"/>
      <c r="AS92" s="38" t="n"/>
      <c r="AT92" s="38" t="n"/>
      <c r="AU92" s="38" t="n"/>
      <c r="AV92" s="38" t="n"/>
      <c r="AW92" s="38" t="n"/>
      <c r="AX92" s="38" t="n"/>
      <c r="AY92" s="38" t="n"/>
      <c r="AZ92" s="38" t="n"/>
      <c r="BA92" s="38" t="n"/>
      <c r="BB92" s="38" t="n"/>
      <c r="BC92" s="38" t="n"/>
      <c r="BD92" s="38" t="n"/>
      <c r="BE92" s="38" t="n"/>
      <c r="BF92" s="38" t="n"/>
      <c r="BG92" s="38" t="n"/>
      <c r="BH92" s="38" t="n"/>
      <c r="BI92" s="38" t="n"/>
      <c r="BJ92" s="38" t="n"/>
      <c r="BK92" s="38" t="n"/>
      <c r="BL92" s="38" t="n"/>
      <c r="BM92" s="38" t="n"/>
      <c r="BN92" s="38" t="n"/>
      <c r="BO92" s="38" t="n"/>
      <c r="BP92" s="38" t="n"/>
      <c r="BQ92" s="38" t="n"/>
      <c r="BR92" s="38" t="n"/>
      <c r="BS92" s="38" t="n"/>
      <c r="BT92" s="38" t="n"/>
      <c r="BU92" s="38" t="n"/>
      <c r="BV92" s="38" t="n"/>
      <c r="BW92" s="38" t="n"/>
      <c r="BX92" s="38" t="n"/>
      <c r="BY92" s="25" t="n"/>
      <c r="BZ92" s="25" t="n"/>
      <c r="CA92" s="181" t="n">
        <v>0</v>
      </c>
      <c r="CB92" s="181" t="n">
        <v>0.35</v>
      </c>
      <c r="CC92" s="181" t="n">
        <v>0.35</v>
      </c>
      <c r="CD92" s="181" t="n">
        <v>0.35</v>
      </c>
      <c r="CE92" s="181" t="n">
        <v>0.35</v>
      </c>
      <c r="CF92" s="20" t="inlineStr">
        <is>
          <t>Inspection Technologies / Dellner PPAs: customer relationships, technology and trade names ~30–40% of consideration; balance goodwill.</t>
        </is>
      </c>
    </row>
    <row r="93" ht="15" customHeight="1">
      <c r="B93" s="26" t="inlineStr">
        <is>
          <t xml:space="preserve">  Intangible amortization life (years)</t>
        </is>
      </c>
      <c r="C93" s="38" t="n"/>
      <c r="D93" s="38" t="n"/>
      <c r="E93" s="38" t="n"/>
      <c r="F93" s="38" t="n"/>
      <c r="G93" s="38" t="n"/>
      <c r="H93" s="38" t="n"/>
      <c r="I93" s="38" t="n"/>
      <c r="J93" s="38" t="n"/>
      <c r="K93" s="38" t="n"/>
      <c r="L93" s="38" t="n"/>
      <c r="M93" s="38" t="n"/>
      <c r="N93" s="38" t="n"/>
      <c r="O93" s="38" t="n"/>
      <c r="P93" s="38" t="n"/>
      <c r="Q93" s="38" t="n"/>
      <c r="R93" s="38" t="n"/>
      <c r="S93" s="38" t="n"/>
      <c r="T93" s="38" t="n"/>
      <c r="U93" s="38" t="n"/>
      <c r="V93" s="38" t="n"/>
      <c r="W93" s="38" t="n"/>
      <c r="X93" s="38" t="n"/>
      <c r="Y93" s="38" t="n"/>
      <c r="Z93" s="38" t="n"/>
      <c r="AA93" s="38" t="n"/>
      <c r="AB93" s="38" t="n"/>
      <c r="AC93" s="38" t="n"/>
      <c r="AD93" s="38" t="n"/>
      <c r="AE93" s="38" t="n"/>
      <c r="AF93" s="38" t="n"/>
      <c r="AG93" s="38" t="n"/>
      <c r="AH93" s="38" t="n"/>
      <c r="AI93" s="38" t="n"/>
      <c r="AJ93" s="38" t="n"/>
      <c r="AK93" s="38" t="n"/>
      <c r="AL93" s="38" t="n"/>
      <c r="AM93" s="38" t="n"/>
      <c r="AN93" s="38" t="n"/>
      <c r="AO93" s="38" t="n"/>
      <c r="AP93" s="38" t="n"/>
      <c r="AQ93" s="38" t="n"/>
      <c r="AR93" s="38" t="n"/>
      <c r="AS93" s="38" t="n"/>
      <c r="AT93" s="38" t="n"/>
      <c r="AU93" s="38" t="n"/>
      <c r="AV93" s="38" t="n"/>
      <c r="AW93" s="38" t="n"/>
      <c r="AX93" s="38" t="n"/>
      <c r="AY93" s="38" t="n"/>
      <c r="AZ93" s="38" t="n"/>
      <c r="BA93" s="38" t="n"/>
      <c r="BB93" s="38" t="n"/>
      <c r="BC93" s="38" t="n"/>
      <c r="BD93" s="38" t="n"/>
      <c r="BE93" s="38" t="n"/>
      <c r="BF93" s="38" t="n"/>
      <c r="BG93" s="38" t="n"/>
      <c r="BH93" s="38" t="n"/>
      <c r="BI93" s="38" t="n"/>
      <c r="BJ93" s="38" t="n"/>
      <c r="BK93" s="38" t="n"/>
      <c r="BL93" s="38" t="n"/>
      <c r="BM93" s="38" t="n"/>
      <c r="BN93" s="38" t="n"/>
      <c r="BO93" s="38" t="n"/>
      <c r="BP93" s="38" t="n"/>
      <c r="BQ93" s="38" t="n"/>
      <c r="BR93" s="38" t="n"/>
      <c r="BS93" s="38" t="n"/>
      <c r="BT93" s="38" t="n"/>
      <c r="BU93" s="38" t="n"/>
      <c r="BV93" s="38" t="n"/>
      <c r="BW93" s="38" t="n"/>
      <c r="BX93" s="38" t="n"/>
      <c r="BY93" s="25" t="n"/>
      <c r="BZ93" s="25" t="n"/>
      <c r="CA93" s="192" t="n">
        <v>0</v>
      </c>
      <c r="CB93" s="192" t="n">
        <v>15</v>
      </c>
      <c r="CC93" s="192" t="n">
        <v>15</v>
      </c>
      <c r="CD93" s="192" t="n">
        <v>15</v>
      </c>
      <c r="CE93" s="192" t="n">
        <v>15</v>
      </c>
      <c r="CF93" s="20" t="n"/>
    </row>
    <row r="94" ht="15" customHeight="1">
      <c r="B94" s="26" t="inlineStr">
        <is>
          <t xml:space="preserve">  Cumulative acquired intangibles (gross)</t>
        </is>
      </c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  <c r="AU94" s="36" t="n"/>
      <c r="AV94" s="36" t="n"/>
      <c r="AW94" s="36" t="n"/>
      <c r="AX94" s="36" t="n"/>
      <c r="AY94" s="36" t="n"/>
      <c r="AZ94" s="36" t="n"/>
      <c r="BA94" s="36" t="n"/>
      <c r="BB94" s="36" t="n"/>
      <c r="BC94" s="36" t="n"/>
      <c r="BD94" s="36" t="n"/>
      <c r="BE94" s="36" t="n"/>
      <c r="BF94" s="36" t="n"/>
      <c r="BG94" s="36" t="n"/>
      <c r="BH94" s="36" t="n"/>
      <c r="BI94" s="36" t="n"/>
      <c r="BJ94" s="36" t="n"/>
      <c r="BK94" s="36" t="n"/>
      <c r="BL94" s="36" t="n"/>
      <c r="BM94" s="36" t="n"/>
      <c r="BN94" s="36" t="n"/>
      <c r="BO94" s="36" t="n"/>
      <c r="BP94" s="36" t="n"/>
      <c r="BQ94" s="36" t="n"/>
      <c r="BR94" s="36" t="n"/>
      <c r="BS94" s="36" t="n"/>
      <c r="BT94" s="36" t="n"/>
      <c r="BU94" s="36" t="n"/>
      <c r="BV94" s="36" t="n"/>
      <c r="BW94" s="36" t="n"/>
      <c r="BX94" s="36" t="n"/>
      <c r="BY94" s="37" t="n"/>
      <c r="BZ94" s="37" t="n"/>
      <c r="CA94" s="188" t="n">
        <v>0</v>
      </c>
      <c r="CB94" s="178">
        <f>CA94+CB83*CB92</f>
        <v/>
      </c>
      <c r="CC94" s="178">
        <f>CB94+CC83*CC92</f>
        <v/>
      </c>
      <c r="CD94" s="178">
        <f>CC94+CD83*CD92</f>
        <v/>
      </c>
      <c r="CE94" s="178">
        <f>CD94+CE83*CE92</f>
        <v/>
      </c>
      <c r="CF94" s="20" t="n"/>
    </row>
    <row r="95" ht="15" customHeight="1">
      <c r="B95" s="26" t="inlineStr">
        <is>
          <t xml:space="preserve">  Amortization of future-acquisition intangibles (within amortization expense)</t>
        </is>
      </c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  <c r="AU95" s="36" t="n"/>
      <c r="AV95" s="36" t="n"/>
      <c r="AW95" s="36" t="n"/>
      <c r="AX95" s="36" t="n"/>
      <c r="AY95" s="36" t="n"/>
      <c r="AZ95" s="36" t="n"/>
      <c r="BA95" s="36" t="n"/>
      <c r="BB95" s="36" t="n"/>
      <c r="BC95" s="36" t="n"/>
      <c r="BD95" s="36" t="n"/>
      <c r="BE95" s="36" t="n"/>
      <c r="BF95" s="36" t="n"/>
      <c r="BG95" s="36" t="n"/>
      <c r="BH95" s="36" t="n"/>
      <c r="BI95" s="36" t="n"/>
      <c r="BJ95" s="36" t="n"/>
      <c r="BK95" s="36" t="n"/>
      <c r="BL95" s="36" t="n"/>
      <c r="BM95" s="36" t="n"/>
      <c r="BN95" s="36" t="n"/>
      <c r="BO95" s="36" t="n"/>
      <c r="BP95" s="36" t="n"/>
      <c r="BQ95" s="36" t="n"/>
      <c r="BR95" s="36" t="n"/>
      <c r="BS95" s="36" t="n"/>
      <c r="BT95" s="36" t="n"/>
      <c r="BU95" s="36" t="n"/>
      <c r="BV95" s="36" t="n"/>
      <c r="BW95" s="36" t="n"/>
      <c r="BX95" s="36" t="n"/>
      <c r="BY95" s="37" t="n"/>
      <c r="BZ95" s="37" t="n"/>
      <c r="CA95" s="188" t="n">
        <v>0</v>
      </c>
      <c r="CB95" s="178">
        <f>IFERROR((CA94+0.5*CB83*CB92)/CB93,0)</f>
        <v/>
      </c>
      <c r="CC95" s="178">
        <f>IFERROR((CB94+0.5*CC83*CC92)/CC93,0)</f>
        <v/>
      </c>
      <c r="CD95" s="178">
        <f>IFERROR((CC94+0.5*CD83*CD92)/CD93,0)</f>
        <v/>
      </c>
      <c r="CE95" s="178">
        <f>IFERROR((CD94+0.5*CE83*CE92)/CE93,0)</f>
        <v/>
      </c>
      <c r="CF95" s="20" t="inlineStr">
        <is>
          <t>Non-cash; added back in adjusted operating income / adjusted EPS (company definition).</t>
        </is>
      </c>
    </row>
    <row r="96" ht="15" customHeight="1"/>
    <row r="97" ht="15" customHeight="1">
      <c r="B97" s="15" t="inlineStr">
        <is>
          <t>Group Total — net sales &amp; adjusted operating income (product-line build) → FY26 outlook calibration</t>
        </is>
      </c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  <c r="AS97" s="15" t="n"/>
      <c r="AT97" s="15" t="n"/>
      <c r="AU97" s="15" t="n"/>
      <c r="AV97" s="15" t="n"/>
      <c r="AW97" s="15" t="n"/>
      <c r="AX97" s="15" t="n"/>
      <c r="AY97" s="15" t="n"/>
      <c r="AZ97" s="15" t="n"/>
      <c r="BA97" s="15" t="n"/>
      <c r="BB97" s="15" t="n"/>
      <c r="BC97" s="15" t="n"/>
      <c r="BD97" s="15" t="n"/>
      <c r="BE97" s="15" t="n"/>
      <c r="BF97" s="15" t="n"/>
      <c r="BG97" s="15" t="n"/>
      <c r="BH97" s="15" t="n"/>
      <c r="BI97" s="15" t="n"/>
      <c r="BJ97" s="15" t="n"/>
      <c r="BK97" s="15" t="n"/>
      <c r="BL97" s="15" t="n"/>
      <c r="BM97" s="15" t="n"/>
      <c r="BN97" s="15" t="n"/>
      <c r="BO97" s="15" t="n"/>
      <c r="BP97" s="15" t="n"/>
      <c r="BQ97" s="15" t="n"/>
      <c r="BR97" s="15" t="n"/>
      <c r="BS97" s="15" t="n"/>
      <c r="BT97" s="15" t="n"/>
      <c r="BU97" s="15" t="n"/>
      <c r="BV97" s="15" t="n"/>
      <c r="BW97" s="15" t="n"/>
      <c r="BX97" s="15" t="n"/>
      <c r="BY97" s="15" t="n"/>
      <c r="BZ97" s="15" t="n"/>
      <c r="CA97" s="15" t="n"/>
      <c r="CB97" s="15" t="n"/>
      <c r="CC97" s="15" t="n"/>
      <c r="CD97" s="15" t="n"/>
      <c r="CE97" s="15" t="n"/>
      <c r="CF97" s="16" t="inlineStr">
        <is>
          <t>GROUP TOTAL (CONSOLIDATED) — modelling logic</t>
        </is>
      </c>
    </row>
    <row r="98" ht="15" customHeight="1">
      <c r="B98" s="59" t="inlineStr">
        <is>
          <t>Net sales (product-line build)</t>
        </is>
      </c>
      <c r="C98" s="193">
        <f>IF(ISNUMBER(C27),N(C27)+N(C51),"")</f>
        <v/>
      </c>
      <c r="D98" s="193">
        <f>IF(ISNUMBER(D27),N(D27)+N(D51),"")</f>
        <v/>
      </c>
      <c r="E98" s="193">
        <f>IF(ISNUMBER(E27),N(E27)+N(E51),"")</f>
        <v/>
      </c>
      <c r="F98" s="193">
        <f>IF(ISNUMBER(F27),N(F27)+N(F51),"")</f>
        <v/>
      </c>
      <c r="G98" s="193">
        <f>IF(ISNUMBER(G27),N(G27)+N(G51),"")</f>
        <v/>
      </c>
      <c r="H98" s="193">
        <f>IF(ISNUMBER(H27),N(H27)+N(H51),"")</f>
        <v/>
      </c>
      <c r="I98" s="193">
        <f>IF(ISNUMBER(I27),N(I27)+N(I51),"")</f>
        <v/>
      </c>
      <c r="J98" s="193">
        <f>IF(ISNUMBER(J27),N(J27)+N(J51),"")</f>
        <v/>
      </c>
      <c r="K98" s="193">
        <f>IF(ISNUMBER(K27),N(K27)+N(K51),"")</f>
        <v/>
      </c>
      <c r="L98" s="193">
        <f>IF(ISNUMBER(L27),N(L27)+N(L51),"")</f>
        <v/>
      </c>
      <c r="M98" s="193">
        <f>IF(ISNUMBER(M27),N(M27)+N(M51),"")</f>
        <v/>
      </c>
      <c r="N98" s="193">
        <f>IF(ISNUMBER(N27),N(N27)+N(N51),"")</f>
        <v/>
      </c>
      <c r="O98" s="193">
        <f>IF(ISNUMBER(O27),N(O27)+N(O51),"")</f>
        <v/>
      </c>
      <c r="P98" s="193">
        <f>IF(ISNUMBER(P27),N(P27)+N(P51),"")</f>
        <v/>
      </c>
      <c r="Q98" s="193">
        <f>IF(ISNUMBER(Q27),N(Q27)+N(Q51),"")</f>
        <v/>
      </c>
      <c r="R98" s="193">
        <f>IF(ISNUMBER(R27),N(R27)+N(R51),"")</f>
        <v/>
      </c>
      <c r="S98" s="193">
        <f>IF(ISNUMBER(S27),N(S27)+N(S51),"")</f>
        <v/>
      </c>
      <c r="T98" s="193">
        <f>IF(ISNUMBER(T27),N(T27)+N(T51),"")</f>
        <v/>
      </c>
      <c r="U98" s="193">
        <f>IF(ISNUMBER(U27),N(U27)+N(U51),"")</f>
        <v/>
      </c>
      <c r="V98" s="193">
        <f>IF(ISNUMBER(V27),N(V27)+N(V51),"")</f>
        <v/>
      </c>
      <c r="W98" s="193">
        <f>IF(ISNUMBER(W27),N(W27)+N(W51),"")</f>
        <v/>
      </c>
      <c r="X98" s="193">
        <f>IF(ISNUMBER(X27),N(X27)+N(X51),"")</f>
        <v/>
      </c>
      <c r="Y98" s="193">
        <f>IF(ISNUMBER(Y27),N(Y27)+N(Y51),"")</f>
        <v/>
      </c>
      <c r="Z98" s="193">
        <f>IF(ISNUMBER(Z27),N(Z27)+N(Z51),"")</f>
        <v/>
      </c>
      <c r="AA98" s="193">
        <f>IF(ISNUMBER(AA27),N(AA27)+N(AA51),"")</f>
        <v/>
      </c>
      <c r="AB98" s="193">
        <f>IF(ISNUMBER(AB27),N(AB27)+N(AB51),"")</f>
        <v/>
      </c>
      <c r="AC98" s="193">
        <f>IF(ISNUMBER(AC27),N(AC27)+N(AC51),"")</f>
        <v/>
      </c>
      <c r="AD98" s="193">
        <f>IF(ISNUMBER(AD27),N(AD27)+N(AD51),"")</f>
        <v/>
      </c>
      <c r="AE98" s="193">
        <f>IF(ISNUMBER(AE27),N(AE27)+N(AE51),"")</f>
        <v/>
      </c>
      <c r="AF98" s="193">
        <f>IF(ISNUMBER(AF27),N(AF27)+N(AF51),"")</f>
        <v/>
      </c>
      <c r="AG98" s="193">
        <f>IF(ISNUMBER(AG27),N(AG27)+N(AG51),"")</f>
        <v/>
      </c>
      <c r="AH98" s="193">
        <f>IF(ISNUMBER(AH27),N(AH27)+N(AH51),"")</f>
        <v/>
      </c>
      <c r="AI98" s="193">
        <f>IF(ISNUMBER(AI27),N(AI27)+N(AI51),"")</f>
        <v/>
      </c>
      <c r="AJ98" s="193">
        <f>IF(ISNUMBER(AJ27),N(AJ27)+N(AJ51),"")</f>
        <v/>
      </c>
      <c r="AK98" s="193">
        <f>IF(ISNUMBER(AK27),N(AK27)+N(AK51),"")</f>
        <v/>
      </c>
      <c r="AL98" s="193">
        <f>IF(ISNUMBER(AL27),N(AL27)+N(AL51),"")</f>
        <v/>
      </c>
      <c r="AM98" s="193">
        <f>IF(ISNUMBER(AM27),N(AM27)+N(AM51),"")</f>
        <v/>
      </c>
      <c r="AN98" s="193">
        <f>IF(ISNUMBER(AN27),N(AN27)+N(AN51),"")</f>
        <v/>
      </c>
      <c r="AO98" s="193">
        <f>IF(ISNUMBER(AO27),N(AO27)+N(AO51),"")</f>
        <v/>
      </c>
      <c r="AP98" s="193">
        <f>IF(ISNUMBER(AP27),N(AP27)+N(AP51),"")</f>
        <v/>
      </c>
      <c r="AQ98" s="193">
        <f>IF(ISNUMBER(AQ27),N(AQ27)+N(AQ51),"")</f>
        <v/>
      </c>
      <c r="AR98" s="193">
        <f>IF(ISNUMBER(AR27),N(AR27)+N(AR51),"")</f>
        <v/>
      </c>
      <c r="AS98" s="193">
        <f>IF(ISNUMBER(AS27),N(AS27)+N(AS51),"")</f>
        <v/>
      </c>
      <c r="AT98" s="193">
        <f>IF(ISNUMBER(AT27),N(AT27)+N(AT51),"")</f>
        <v/>
      </c>
      <c r="AU98" s="193">
        <f>IF(ISNUMBER(AU27),N(AU27)+N(AU51),"")</f>
        <v/>
      </c>
      <c r="AV98" s="193">
        <f>IF(ISNUMBER(AV27),N(AV27)+N(AV51),"")</f>
        <v/>
      </c>
      <c r="AW98" s="193">
        <f>IF(ISNUMBER(AW27),N(AW27)+N(AW51),"")</f>
        <v/>
      </c>
      <c r="AX98" s="193">
        <f>IF(ISNUMBER(AX27),N(AX27)+N(AX51),"")</f>
        <v/>
      </c>
      <c r="AY98" s="193">
        <f>IF(ISNUMBER(AY27),N(AY27)+N(AY51),"")</f>
        <v/>
      </c>
      <c r="AZ98" s="193">
        <f>IF(ISNUMBER(AZ27),N(AZ27)+N(AZ51),"")</f>
        <v/>
      </c>
      <c r="BA98" s="193">
        <f>IF(ISNUMBER(BA27),N(BA27)+N(BA51),"")</f>
        <v/>
      </c>
      <c r="BB98" s="193">
        <f>IF(ISNUMBER(BB27),N(BB27)+N(BB51),"")</f>
        <v/>
      </c>
      <c r="BC98" s="193">
        <f>IF(ISNUMBER(BC27),N(BC27)+N(BC51),"")</f>
        <v/>
      </c>
      <c r="BD98" s="193">
        <f>IF(ISNUMBER(BD27),N(BD27)+N(BD51),"")</f>
        <v/>
      </c>
      <c r="BE98" s="193">
        <f>IF(ISNUMBER(BE27),N(BE27)+N(BE51),"")</f>
        <v/>
      </c>
      <c r="BF98" s="193">
        <f>IF(ISNUMBER(BF27),N(BF27)+N(BF51),"")</f>
        <v/>
      </c>
      <c r="BG98" s="193">
        <f>IF(ISNUMBER(BG27),N(BG27)+N(BG51),"")</f>
        <v/>
      </c>
      <c r="BH98" s="193">
        <f>IF(ISNUMBER(BH27),N(BH27)+N(BH51),"")</f>
        <v/>
      </c>
      <c r="BI98" s="193">
        <f>IF(ISNUMBER(BI27),N(BI27)+N(BI51),"")</f>
        <v/>
      </c>
      <c r="BJ98" s="193">
        <f>IF(ISNUMBER(BJ27),N(BJ27)+N(BJ51),"")</f>
        <v/>
      </c>
      <c r="BK98" s="193">
        <f>IF(ISNUMBER(BK27),N(BK27)+N(BK51),"")</f>
        <v/>
      </c>
      <c r="BL98" s="193">
        <f>IF(ISNUMBER(BL27),N(BL27)+N(BL51),"")</f>
        <v/>
      </c>
      <c r="BM98" s="193">
        <f>IF(ISNUMBER(BM27),N(BM27)+N(BM51),"")</f>
        <v/>
      </c>
      <c r="BN98" s="193">
        <f>IF(ISNUMBER(BN27),N(BN27)+N(BN51),"")</f>
        <v/>
      </c>
      <c r="BO98" s="193">
        <f>IF(ISNUMBER(BO27),N(BO27)+N(BO51),"")</f>
        <v/>
      </c>
      <c r="BP98" s="193">
        <f>IF(ISNUMBER(BP27),N(BP27)+N(BP51),"")</f>
        <v/>
      </c>
      <c r="BQ98" s="193">
        <f>IF(ISNUMBER(BQ27),N(BQ27)+N(BQ51),"")</f>
        <v/>
      </c>
      <c r="BR98" s="193">
        <f>IF(ISNUMBER(BR27),N(BR27)+N(BR51),"")</f>
        <v/>
      </c>
      <c r="BS98" s="193">
        <f>IF(ISNUMBER(BS27),N(BS27)+N(BS51),"")</f>
        <v/>
      </c>
      <c r="BT98" s="193">
        <f>IF(ISNUMBER(BT27),N(BT27)+N(BT51),"")</f>
        <v/>
      </c>
      <c r="BU98" s="193">
        <f>IF(ISNUMBER(BU27),N(BU27)+N(BU51),"")</f>
        <v/>
      </c>
      <c r="BV98" s="193">
        <f>IF(ISNUMBER(BV27),N(BV27)+N(BV51),"")</f>
        <v/>
      </c>
      <c r="BW98" s="193">
        <f>IF(ISNUMBER(BW27),N(BW27)+N(BW51),"")</f>
        <v/>
      </c>
      <c r="BX98" s="193">
        <f>IF(ISNUMBER(BX27),N(BX27)+N(BX51),"")</f>
        <v/>
      </c>
      <c r="BY98" s="193">
        <f>N(BY27)+N(BY51)+N(BY88)</f>
        <v/>
      </c>
      <c r="BZ98" s="193">
        <f>N(BZ27)+N(BZ51)+N(BZ88)</f>
        <v/>
      </c>
      <c r="CA98" s="193">
        <f>N(CA27)+N(CA51)+N(CA88)</f>
        <v/>
      </c>
      <c r="CB98" s="193">
        <f>N(CB27)+N(CB51)+N(CB88)</f>
        <v/>
      </c>
      <c r="CC98" s="193">
        <f>N(CC27)+N(CC51)+N(CC88)</f>
        <v/>
      </c>
      <c r="CD98" s="193">
        <f>N(CD27)+N(CD51)+N(CD88)</f>
        <v/>
      </c>
      <c r="CE98" s="193">
        <f>N(CE27)+N(CE51)+N(CE88)</f>
        <v/>
      </c>
      <c r="CF98" s="6" t="inlineStr">
        <is>
          <t>Σ Freight + Transit segment sales (+ future acquisitions from 2027E).</t>
        </is>
      </c>
      <c r="CH98" s="21">
        <f>IFERROR((CE98/BV98)^(1/5)-1,"n/m")</f>
        <v/>
      </c>
      <c r="CI98" s="21">
        <f>IFERROR((BV98/AW98)^(1/5)-1,"n/m")</f>
        <v/>
      </c>
      <c r="CJ98" s="21">
        <f>IFERROR((BV98/X98)^(1/10)-1,"n/m")</f>
        <v/>
      </c>
      <c r="CK98" s="21">
        <f>IFERROR((BV98/C98)^(1/19)-1,"n/m")</f>
        <v/>
      </c>
    </row>
    <row r="99" ht="15" customHeight="1">
      <c r="B99" s="59" t="inlineStr">
        <is>
          <t>Adjusted income from operations (product-line build)</t>
        </is>
      </c>
      <c r="C99" s="193">
        <f>IF(AND(ISNUMBER(C31),ISNUMBER(C77)),C31+C55+C77,"")</f>
        <v/>
      </c>
      <c r="D99" s="193">
        <f>IF(AND(ISNUMBER(D31),ISNUMBER(D77)),D31+D55+D77,"")</f>
        <v/>
      </c>
      <c r="E99" s="193">
        <f>IF(AND(ISNUMBER(E31),ISNUMBER(E77)),E31+E55+E77,"")</f>
        <v/>
      </c>
      <c r="F99" s="193">
        <f>IF(AND(ISNUMBER(F31),ISNUMBER(F77)),F31+F55+F77,"")</f>
        <v/>
      </c>
      <c r="G99" s="193">
        <f>IF(AND(ISNUMBER(G31),ISNUMBER(G77)),G31+G55+G77,"")</f>
        <v/>
      </c>
      <c r="H99" s="193">
        <f>IF(AND(ISNUMBER(H31),ISNUMBER(H77)),H31+H55+H77,"")</f>
        <v/>
      </c>
      <c r="I99" s="193">
        <f>IF(AND(ISNUMBER(I31),ISNUMBER(I77)),I31+I55+I77,"")</f>
        <v/>
      </c>
      <c r="J99" s="193">
        <f>IF(AND(ISNUMBER(J31),ISNUMBER(J77)),J31+J55+J77,"")</f>
        <v/>
      </c>
      <c r="K99" s="193">
        <f>IF(AND(ISNUMBER(K31),ISNUMBER(K77)),K31+K55+K77,"")</f>
        <v/>
      </c>
      <c r="L99" s="193">
        <f>IF(AND(ISNUMBER(L31),ISNUMBER(L77)),L31+L55+L77,"")</f>
        <v/>
      </c>
      <c r="M99" s="193">
        <f>IF(AND(ISNUMBER(M31),ISNUMBER(M77)),M31+M55+M77,"")</f>
        <v/>
      </c>
      <c r="N99" s="193">
        <f>IF(AND(ISNUMBER(N31),ISNUMBER(N77)),N31+N55+N77,"")</f>
        <v/>
      </c>
      <c r="O99" s="193">
        <f>IF(AND(ISNUMBER(O31),ISNUMBER(O77)),O31+O55+O77,"")</f>
        <v/>
      </c>
      <c r="P99" s="193">
        <f>IF(AND(ISNUMBER(P31),ISNUMBER(P77)),P31+P55+P77,"")</f>
        <v/>
      </c>
      <c r="Q99" s="193">
        <f>IF(AND(ISNUMBER(Q31),ISNUMBER(Q77)),Q31+Q55+Q77,"")</f>
        <v/>
      </c>
      <c r="R99" s="193">
        <f>IF(AND(ISNUMBER(R31),ISNUMBER(R77)),R31+R55+R77,"")</f>
        <v/>
      </c>
      <c r="S99" s="193">
        <f>IF(AND(ISNUMBER(S31),ISNUMBER(S77)),S31+S55+S77,"")</f>
        <v/>
      </c>
      <c r="T99" s="193">
        <f>IF(AND(ISNUMBER(T31),ISNUMBER(T77)),T31+T55+T77,"")</f>
        <v/>
      </c>
      <c r="U99" s="193">
        <f>IF(AND(ISNUMBER(U31),ISNUMBER(U77)),U31+U55+U77,"")</f>
        <v/>
      </c>
      <c r="V99" s="193">
        <f>IF(AND(ISNUMBER(V31),ISNUMBER(V77)),V31+V55+V77,"")</f>
        <v/>
      </c>
      <c r="W99" s="193">
        <f>IF(AND(ISNUMBER(W31),ISNUMBER(W77)),W31+W55+W77,"")</f>
        <v/>
      </c>
      <c r="X99" s="193">
        <f>IF(AND(ISNUMBER(X31),ISNUMBER(X77)),X31+X55+X77,"")</f>
        <v/>
      </c>
      <c r="Y99" s="193">
        <f>IF(AND(ISNUMBER(Y31),ISNUMBER(Y77)),Y31+Y55+Y77,"")</f>
        <v/>
      </c>
      <c r="Z99" s="193">
        <f>IF(AND(ISNUMBER(Z31),ISNUMBER(Z77)),Z31+Z55+Z77,"")</f>
        <v/>
      </c>
      <c r="AA99" s="193">
        <f>IF(AND(ISNUMBER(AA31),ISNUMBER(AA77)),AA31+AA55+AA77,"")</f>
        <v/>
      </c>
      <c r="AB99" s="193">
        <f>IF(AND(ISNUMBER(AB31),ISNUMBER(AB77)),AB31+AB55+AB77,"")</f>
        <v/>
      </c>
      <c r="AC99" s="193">
        <f>IF(AND(ISNUMBER(AC31),ISNUMBER(AC77)),AC31+AC55+AC77,"")</f>
        <v/>
      </c>
      <c r="AD99" s="193">
        <f>IF(AND(ISNUMBER(AD31),ISNUMBER(AD77)),AD31+AD55+AD77,"")</f>
        <v/>
      </c>
      <c r="AE99" s="193">
        <f>IF(AND(ISNUMBER(AE31),ISNUMBER(AE77)),AE31+AE55+AE77,"")</f>
        <v/>
      </c>
      <c r="AF99" s="193">
        <f>IF(AND(ISNUMBER(AF31),ISNUMBER(AF77)),AF31+AF55+AF77,"")</f>
        <v/>
      </c>
      <c r="AG99" s="193">
        <f>IF(AND(ISNUMBER(AG31),ISNUMBER(AG77)),AG31+AG55+AG77,"")</f>
        <v/>
      </c>
      <c r="AH99" s="193">
        <f>IF(AND(ISNUMBER(AH31),ISNUMBER(AH77)),AH31+AH55+AH77,"")</f>
        <v/>
      </c>
      <c r="AI99" s="193">
        <f>IF(AND(ISNUMBER(AI31),ISNUMBER(AI77)),AI31+AI55+AI77,"")</f>
        <v/>
      </c>
      <c r="AJ99" s="193">
        <f>IF(AND(ISNUMBER(AJ31),ISNUMBER(AJ77)),AJ31+AJ55+AJ77,"")</f>
        <v/>
      </c>
      <c r="AK99" s="193">
        <f>IF(AND(ISNUMBER(AK31),ISNUMBER(AK77)),AK31+AK55+AK77,"")</f>
        <v/>
      </c>
      <c r="AL99" s="193">
        <f>IF(AND(ISNUMBER(AL31),ISNUMBER(AL77)),AL31+AL55+AL77,"")</f>
        <v/>
      </c>
      <c r="AM99" s="193">
        <f>IF(AND(ISNUMBER(AM31),ISNUMBER(AM77)),AM31+AM55+AM77,"")</f>
        <v/>
      </c>
      <c r="AN99" s="193">
        <f>IF(AND(ISNUMBER(AN31),ISNUMBER(AN77)),AN31+AN55+AN77,"")</f>
        <v/>
      </c>
      <c r="AO99" s="193">
        <f>IF(AND(ISNUMBER(AO31),ISNUMBER(AO77)),AO31+AO55+AO77,"")</f>
        <v/>
      </c>
      <c r="AP99" s="193">
        <f>IF(AND(ISNUMBER(AP31),ISNUMBER(AP77)),AP31+AP55+AP77,"")</f>
        <v/>
      </c>
      <c r="AQ99" s="193">
        <f>IF(AND(ISNUMBER(AQ31),ISNUMBER(AQ77)),AQ31+AQ55+AQ77,"")</f>
        <v/>
      </c>
      <c r="AR99" s="193">
        <f>IF(AND(ISNUMBER(AR31),ISNUMBER(AR77)),AR31+AR55+AR77,"")</f>
        <v/>
      </c>
      <c r="AS99" s="193">
        <f>IF(AND(ISNUMBER(AS31),ISNUMBER(AS77)),AS31+AS55+AS77,"")</f>
        <v/>
      </c>
      <c r="AT99" s="193">
        <f>IF(AND(ISNUMBER(AT31),ISNUMBER(AT77)),AT31+AT55+AT77,"")</f>
        <v/>
      </c>
      <c r="AU99" s="193">
        <f>IF(AND(ISNUMBER(AU31),ISNUMBER(AU77)),AU31+AU55+AU77,"")</f>
        <v/>
      </c>
      <c r="AV99" s="193">
        <f>IF(AND(ISNUMBER(AV31),ISNUMBER(AV77)),AV31+AV55+AV77,"")</f>
        <v/>
      </c>
      <c r="AW99" s="193">
        <f>IF(AND(ISNUMBER(AW31),ISNUMBER(AW77)),AW31+AW55+AW77,"")</f>
        <v/>
      </c>
      <c r="AX99" s="193">
        <f>IF(AND(ISNUMBER(AX31),ISNUMBER(AX77)),AX31+AX55+AX77,"")</f>
        <v/>
      </c>
      <c r="AY99" s="193">
        <f>IF(AND(ISNUMBER(AY31),ISNUMBER(AY77)),AY31+AY55+AY77,"")</f>
        <v/>
      </c>
      <c r="AZ99" s="193">
        <f>IF(AND(ISNUMBER(AZ31),ISNUMBER(AZ77)),AZ31+AZ55+AZ77,"")</f>
        <v/>
      </c>
      <c r="BA99" s="193">
        <f>IF(AND(ISNUMBER(BA31),ISNUMBER(BA77)),BA31+BA55+BA77,"")</f>
        <v/>
      </c>
      <c r="BB99" s="193">
        <f>IF(AND(ISNUMBER(BB31),ISNUMBER(BB77)),BB31+BB55+BB77,"")</f>
        <v/>
      </c>
      <c r="BC99" s="193">
        <f>IF(AND(ISNUMBER(BC31),ISNUMBER(BC77)),BC31+BC55+BC77,"")</f>
        <v/>
      </c>
      <c r="BD99" s="193">
        <f>IF(AND(ISNUMBER(BD31),ISNUMBER(BD77)),BD31+BD55+BD77,"")</f>
        <v/>
      </c>
      <c r="BE99" s="193">
        <f>IF(AND(ISNUMBER(BE31),ISNUMBER(BE77)),BE31+BE55+BE77,"")</f>
        <v/>
      </c>
      <c r="BF99" s="193">
        <f>IF(AND(ISNUMBER(BF31),ISNUMBER(BF77)),BF31+BF55+BF77,"")</f>
        <v/>
      </c>
      <c r="BG99" s="193">
        <f>IF(AND(ISNUMBER(BG31),ISNUMBER(BG77)),BG31+BG55+BG77,"")</f>
        <v/>
      </c>
      <c r="BH99" s="193">
        <f>IF(AND(ISNUMBER(BH31),ISNUMBER(BH77)),BH31+BH55+BH77,"")</f>
        <v/>
      </c>
      <c r="BI99" s="193">
        <f>IF(AND(ISNUMBER(BI31),ISNUMBER(BI77)),BI31+BI55+BI77,"")</f>
        <v/>
      </c>
      <c r="BJ99" s="193">
        <f>IF(AND(ISNUMBER(BJ31),ISNUMBER(BJ77)),BJ31+BJ55+BJ77,"")</f>
        <v/>
      </c>
      <c r="BK99" s="193">
        <f>IF(AND(ISNUMBER(BK31),ISNUMBER(BK77)),BK31+BK55+BK77,"")</f>
        <v/>
      </c>
      <c r="BL99" s="193">
        <f>IF(AND(ISNUMBER(BL31),ISNUMBER(BL77)),BL31+BL55+BL77,"")</f>
        <v/>
      </c>
      <c r="BM99" s="193">
        <f>IF(AND(ISNUMBER(BM31),ISNUMBER(BM77)),BM31+BM55+BM77,"")</f>
        <v/>
      </c>
      <c r="BN99" s="193">
        <f>IF(AND(ISNUMBER(BN31),ISNUMBER(BN77)),BN31+BN55+BN77,"")</f>
        <v/>
      </c>
      <c r="BO99" s="193">
        <f>IF(AND(ISNUMBER(BO31),ISNUMBER(BO77)),BO31+BO55+BO77,"")</f>
        <v/>
      </c>
      <c r="BP99" s="193">
        <f>IF(AND(ISNUMBER(BP31),ISNUMBER(BP77)),BP31+BP55+BP77,"")</f>
        <v/>
      </c>
      <c r="BQ99" s="193">
        <f>IF(AND(ISNUMBER(BQ31),ISNUMBER(BQ77)),BQ31+BQ55+BQ77,"")</f>
        <v/>
      </c>
      <c r="BR99" s="193">
        <f>IF(AND(ISNUMBER(BR31),ISNUMBER(BR77)),BR31+BR55+BR77,"")</f>
        <v/>
      </c>
      <c r="BS99" s="193">
        <f>IF(AND(ISNUMBER(BS31),ISNUMBER(BS77)),BS31+BS55+BS77,"")</f>
        <v/>
      </c>
      <c r="BT99" s="193">
        <f>IF(AND(ISNUMBER(BT31),ISNUMBER(BT77)),BT31+BT55+BT77,"")</f>
        <v/>
      </c>
      <c r="BU99" s="193">
        <f>IF(AND(ISNUMBER(BU31),ISNUMBER(BU77)),BU31+BU55+BU77,"")</f>
        <v/>
      </c>
      <c r="BV99" s="193">
        <f>IF(AND(ISNUMBER(BV31),ISNUMBER(BV77)),BV31+BV55+BV77,"")</f>
        <v/>
      </c>
      <c r="BW99" s="193">
        <f>IF(AND(ISNUMBER(BW31),ISNUMBER(BW77)),BW31+BW55+BW77,"")</f>
        <v/>
      </c>
      <c r="BX99" s="193">
        <f>IF(AND(ISNUMBER(BX31),ISNUMBER(BX77)),BX31+BX55+BX77,"")</f>
        <v/>
      </c>
      <c r="BY99" s="193">
        <f>BY31+BY55+BY77+N(BY90)</f>
        <v/>
      </c>
      <c r="BZ99" s="193">
        <f>BZ31+BZ55+BZ77+N(BZ90)</f>
        <v/>
      </c>
      <c r="CA99" s="193">
        <f>CA31+CA55+CA77+N(CA90)</f>
        <v/>
      </c>
      <c r="CB99" s="193">
        <f>CB31+CB55+CB77+N(CB90)</f>
        <v/>
      </c>
      <c r="CC99" s="193">
        <f>CC31+CC55+CC77+N(CC90)</f>
        <v/>
      </c>
      <c r="CD99" s="193">
        <f>CD31+CD55+CD77+N(CD90)</f>
        <v/>
      </c>
      <c r="CE99" s="193">
        <f>CE31+CE55+CE77+N(CE90)</f>
        <v/>
      </c>
      <c r="CF99" s="6" t="inlineStr">
        <is>
          <t>Σ segment adjusted operating income + corporate (+ future acquisitions). Wabtec's primary profit KPI.</t>
        </is>
      </c>
      <c r="CH99" s="21">
        <f>IFERROR((CE99/BV99)^(1/5)-1,"n/m")</f>
        <v/>
      </c>
      <c r="CI99" s="21">
        <f>IFERROR((BV99/AW99)^(1/5)-1,"n/m")</f>
        <v/>
      </c>
      <c r="CJ99" s="21">
        <f>IFERROR((BV99/X99)^(1/10)-1,"n/m")</f>
        <v/>
      </c>
      <c r="CK99" s="21">
        <f>IFERROR((BV99/C99)^(1/19)-1,"n/m")</f>
        <v/>
      </c>
    </row>
    <row r="100" ht="15" customHeight="1">
      <c r="B100" s="26" t="inlineStr">
        <is>
          <t xml:space="preserve">  Adjusted operating margin %</t>
        </is>
      </c>
      <c r="C100" s="187">
        <f>IF(AND(ISNUMBER(C99),ISNUMBER(C98)),IFERROR(C99/C98,""),"")</f>
        <v/>
      </c>
      <c r="D100" s="187">
        <f>IF(AND(ISNUMBER(D99),ISNUMBER(D98)),IFERROR(D99/D98,""),"")</f>
        <v/>
      </c>
      <c r="E100" s="187">
        <f>IF(AND(ISNUMBER(E99),ISNUMBER(E98)),IFERROR(E99/E98,""),"")</f>
        <v/>
      </c>
      <c r="F100" s="187">
        <f>IF(AND(ISNUMBER(F99),ISNUMBER(F98)),IFERROR(F99/F98,""),"")</f>
        <v/>
      </c>
      <c r="G100" s="187">
        <f>IF(AND(ISNUMBER(G99),ISNUMBER(G98)),IFERROR(G99/G98,""),"")</f>
        <v/>
      </c>
      <c r="H100" s="187">
        <f>IF(AND(ISNUMBER(H99),ISNUMBER(H98)),IFERROR(H99/H98,""),"")</f>
        <v/>
      </c>
      <c r="I100" s="187">
        <f>IF(AND(ISNUMBER(I99),ISNUMBER(I98)),IFERROR(I99/I98,""),"")</f>
        <v/>
      </c>
      <c r="J100" s="187">
        <f>IF(AND(ISNUMBER(J99),ISNUMBER(J98)),IFERROR(J99/J98,""),"")</f>
        <v/>
      </c>
      <c r="K100" s="187">
        <f>IF(AND(ISNUMBER(K99),ISNUMBER(K98)),IFERROR(K99/K98,""),"")</f>
        <v/>
      </c>
      <c r="L100" s="187">
        <f>IF(AND(ISNUMBER(L99),ISNUMBER(L98)),IFERROR(L99/L98,""),"")</f>
        <v/>
      </c>
      <c r="M100" s="187">
        <f>IF(AND(ISNUMBER(M99),ISNUMBER(M98)),IFERROR(M99/M98,""),"")</f>
        <v/>
      </c>
      <c r="N100" s="187">
        <f>IF(AND(ISNUMBER(N99),ISNUMBER(N98)),IFERROR(N99/N98,""),"")</f>
        <v/>
      </c>
      <c r="O100" s="187">
        <f>IF(AND(ISNUMBER(O99),ISNUMBER(O98)),IFERROR(O99/O98,""),"")</f>
        <v/>
      </c>
      <c r="P100" s="187">
        <f>IF(AND(ISNUMBER(P99),ISNUMBER(P98)),IFERROR(P99/P98,""),"")</f>
        <v/>
      </c>
      <c r="Q100" s="187">
        <f>IF(AND(ISNUMBER(Q99),ISNUMBER(Q98)),IFERROR(Q99/Q98,""),"")</f>
        <v/>
      </c>
      <c r="R100" s="187">
        <f>IF(AND(ISNUMBER(R99),ISNUMBER(R98)),IFERROR(R99/R98,""),"")</f>
        <v/>
      </c>
      <c r="S100" s="187">
        <f>IF(AND(ISNUMBER(S99),ISNUMBER(S98)),IFERROR(S99/S98,""),"")</f>
        <v/>
      </c>
      <c r="T100" s="187">
        <f>IF(AND(ISNUMBER(T99),ISNUMBER(T98)),IFERROR(T99/T98,""),"")</f>
        <v/>
      </c>
      <c r="U100" s="187">
        <f>IF(AND(ISNUMBER(U99),ISNUMBER(U98)),IFERROR(U99/U98,""),"")</f>
        <v/>
      </c>
      <c r="V100" s="187">
        <f>IF(AND(ISNUMBER(V99),ISNUMBER(V98)),IFERROR(V99/V98,""),"")</f>
        <v/>
      </c>
      <c r="W100" s="187">
        <f>IF(AND(ISNUMBER(W99),ISNUMBER(W98)),IFERROR(W99/W98,""),"")</f>
        <v/>
      </c>
      <c r="X100" s="187">
        <f>IF(AND(ISNUMBER(X99),ISNUMBER(X98)),IFERROR(X99/X98,""),"")</f>
        <v/>
      </c>
      <c r="Y100" s="187">
        <f>IF(AND(ISNUMBER(Y99),ISNUMBER(Y98)),IFERROR(Y99/Y98,""),"")</f>
        <v/>
      </c>
      <c r="Z100" s="187">
        <f>IF(AND(ISNUMBER(Z99),ISNUMBER(Z98)),IFERROR(Z99/Z98,""),"")</f>
        <v/>
      </c>
      <c r="AA100" s="187">
        <f>IF(AND(ISNUMBER(AA99),ISNUMBER(AA98)),IFERROR(AA99/AA98,""),"")</f>
        <v/>
      </c>
      <c r="AB100" s="187">
        <f>IF(AND(ISNUMBER(AB99),ISNUMBER(AB98)),IFERROR(AB99/AB98,""),"")</f>
        <v/>
      </c>
      <c r="AC100" s="187">
        <f>IF(AND(ISNUMBER(AC99),ISNUMBER(AC98)),IFERROR(AC99/AC98,""),"")</f>
        <v/>
      </c>
      <c r="AD100" s="187">
        <f>IF(AND(ISNUMBER(AD99),ISNUMBER(AD98)),IFERROR(AD99/AD98,""),"")</f>
        <v/>
      </c>
      <c r="AE100" s="187">
        <f>IF(AND(ISNUMBER(AE99),ISNUMBER(AE98)),IFERROR(AE99/AE98,""),"")</f>
        <v/>
      </c>
      <c r="AF100" s="187">
        <f>IF(AND(ISNUMBER(AF99),ISNUMBER(AF98)),IFERROR(AF99/AF98,""),"")</f>
        <v/>
      </c>
      <c r="AG100" s="187">
        <f>IF(AND(ISNUMBER(AG99),ISNUMBER(AG98)),IFERROR(AG99/AG98,""),"")</f>
        <v/>
      </c>
      <c r="AH100" s="187">
        <f>IF(AND(ISNUMBER(AH99),ISNUMBER(AH98)),IFERROR(AH99/AH98,""),"")</f>
        <v/>
      </c>
      <c r="AI100" s="187">
        <f>IF(AND(ISNUMBER(AI99),ISNUMBER(AI98)),IFERROR(AI99/AI98,""),"")</f>
        <v/>
      </c>
      <c r="AJ100" s="187">
        <f>IF(AND(ISNUMBER(AJ99),ISNUMBER(AJ98)),IFERROR(AJ99/AJ98,""),"")</f>
        <v/>
      </c>
      <c r="AK100" s="187">
        <f>IF(AND(ISNUMBER(AK99),ISNUMBER(AK98)),IFERROR(AK99/AK98,""),"")</f>
        <v/>
      </c>
      <c r="AL100" s="187">
        <f>IF(AND(ISNUMBER(AL99),ISNUMBER(AL98)),IFERROR(AL99/AL98,""),"")</f>
        <v/>
      </c>
      <c r="AM100" s="187">
        <f>IF(AND(ISNUMBER(AM99),ISNUMBER(AM98)),IFERROR(AM99/AM98,""),"")</f>
        <v/>
      </c>
      <c r="AN100" s="187">
        <f>IF(AND(ISNUMBER(AN99),ISNUMBER(AN98)),IFERROR(AN99/AN98,""),"")</f>
        <v/>
      </c>
      <c r="AO100" s="187">
        <f>IF(AND(ISNUMBER(AO99),ISNUMBER(AO98)),IFERROR(AO99/AO98,""),"")</f>
        <v/>
      </c>
      <c r="AP100" s="187">
        <f>IF(AND(ISNUMBER(AP99),ISNUMBER(AP98)),IFERROR(AP99/AP98,""),"")</f>
        <v/>
      </c>
      <c r="AQ100" s="187">
        <f>IF(AND(ISNUMBER(AQ99),ISNUMBER(AQ98)),IFERROR(AQ99/AQ98,""),"")</f>
        <v/>
      </c>
      <c r="AR100" s="187">
        <f>IF(AND(ISNUMBER(AR99),ISNUMBER(AR98)),IFERROR(AR99/AR98,""),"")</f>
        <v/>
      </c>
      <c r="AS100" s="187">
        <f>IF(AND(ISNUMBER(AS99),ISNUMBER(AS98)),IFERROR(AS99/AS98,""),"")</f>
        <v/>
      </c>
      <c r="AT100" s="187">
        <f>IF(AND(ISNUMBER(AT99),ISNUMBER(AT98)),IFERROR(AT99/AT98,""),"")</f>
        <v/>
      </c>
      <c r="AU100" s="187">
        <f>IF(AND(ISNUMBER(AU99),ISNUMBER(AU98)),IFERROR(AU99/AU98,""),"")</f>
        <v/>
      </c>
      <c r="AV100" s="187">
        <f>IF(AND(ISNUMBER(AV99),ISNUMBER(AV98)),IFERROR(AV99/AV98,""),"")</f>
        <v/>
      </c>
      <c r="AW100" s="187">
        <f>IF(AND(ISNUMBER(AW99),ISNUMBER(AW98)),IFERROR(AW99/AW98,""),"")</f>
        <v/>
      </c>
      <c r="AX100" s="187">
        <f>IF(AND(ISNUMBER(AX99),ISNUMBER(AX98)),IFERROR(AX99/AX98,""),"")</f>
        <v/>
      </c>
      <c r="AY100" s="187">
        <f>IF(AND(ISNUMBER(AY99),ISNUMBER(AY98)),IFERROR(AY99/AY98,""),"")</f>
        <v/>
      </c>
      <c r="AZ100" s="187">
        <f>IF(AND(ISNUMBER(AZ99),ISNUMBER(AZ98)),IFERROR(AZ99/AZ98,""),"")</f>
        <v/>
      </c>
      <c r="BA100" s="187">
        <f>IF(AND(ISNUMBER(BA99),ISNUMBER(BA98)),IFERROR(BA99/BA98,""),"")</f>
        <v/>
      </c>
      <c r="BB100" s="187">
        <f>IF(AND(ISNUMBER(BB99),ISNUMBER(BB98)),IFERROR(BB99/BB98,""),"")</f>
        <v/>
      </c>
      <c r="BC100" s="187">
        <f>IF(AND(ISNUMBER(BC99),ISNUMBER(BC98)),IFERROR(BC99/BC98,""),"")</f>
        <v/>
      </c>
      <c r="BD100" s="187">
        <f>IF(AND(ISNUMBER(BD99),ISNUMBER(BD98)),IFERROR(BD99/BD98,""),"")</f>
        <v/>
      </c>
      <c r="BE100" s="187">
        <f>IF(AND(ISNUMBER(BE99),ISNUMBER(BE98)),IFERROR(BE99/BE98,""),"")</f>
        <v/>
      </c>
      <c r="BF100" s="187">
        <f>IF(AND(ISNUMBER(BF99),ISNUMBER(BF98)),IFERROR(BF99/BF98,""),"")</f>
        <v/>
      </c>
      <c r="BG100" s="187">
        <f>IF(AND(ISNUMBER(BG99),ISNUMBER(BG98)),IFERROR(BG99/BG98,""),"")</f>
        <v/>
      </c>
      <c r="BH100" s="187">
        <f>IF(AND(ISNUMBER(BH99),ISNUMBER(BH98)),IFERROR(BH99/BH98,""),"")</f>
        <v/>
      </c>
      <c r="BI100" s="187">
        <f>IF(AND(ISNUMBER(BI99),ISNUMBER(BI98)),IFERROR(BI99/BI98,""),"")</f>
        <v/>
      </c>
      <c r="BJ100" s="187">
        <f>IF(AND(ISNUMBER(BJ99),ISNUMBER(BJ98)),IFERROR(BJ99/BJ98,""),"")</f>
        <v/>
      </c>
      <c r="BK100" s="187">
        <f>IF(AND(ISNUMBER(BK99),ISNUMBER(BK98)),IFERROR(BK99/BK98,""),"")</f>
        <v/>
      </c>
      <c r="BL100" s="187">
        <f>IF(AND(ISNUMBER(BL99),ISNUMBER(BL98)),IFERROR(BL99/BL98,""),"")</f>
        <v/>
      </c>
      <c r="BM100" s="187">
        <f>IF(AND(ISNUMBER(BM99),ISNUMBER(BM98)),IFERROR(BM99/BM98,""),"")</f>
        <v/>
      </c>
      <c r="BN100" s="187">
        <f>IF(AND(ISNUMBER(BN99),ISNUMBER(BN98)),IFERROR(BN99/BN98,""),"")</f>
        <v/>
      </c>
      <c r="BO100" s="187">
        <f>IF(AND(ISNUMBER(BO99),ISNUMBER(BO98)),IFERROR(BO99/BO98,""),"")</f>
        <v/>
      </c>
      <c r="BP100" s="187">
        <f>IF(AND(ISNUMBER(BP99),ISNUMBER(BP98)),IFERROR(BP99/BP98,""),"")</f>
        <v/>
      </c>
      <c r="BQ100" s="187">
        <f>IF(AND(ISNUMBER(BQ99),ISNUMBER(BQ98)),IFERROR(BQ99/BQ98,""),"")</f>
        <v/>
      </c>
      <c r="BR100" s="187">
        <f>IF(AND(ISNUMBER(BR99),ISNUMBER(BR98)),IFERROR(BR99/BR98,""),"")</f>
        <v/>
      </c>
      <c r="BS100" s="187">
        <f>IF(AND(ISNUMBER(BS99),ISNUMBER(BS98)),IFERROR(BS99/BS98,""),"")</f>
        <v/>
      </c>
      <c r="BT100" s="187">
        <f>IF(AND(ISNUMBER(BT99),ISNUMBER(BT98)),IFERROR(BT99/BT98,""),"")</f>
        <v/>
      </c>
      <c r="BU100" s="187">
        <f>IF(AND(ISNUMBER(BU99),ISNUMBER(BU98)),IFERROR(BU99/BU98,""),"")</f>
        <v/>
      </c>
      <c r="BV100" s="187">
        <f>IF(AND(ISNUMBER(BV99),ISNUMBER(BV98)),IFERROR(BV99/BV98,""),"")</f>
        <v/>
      </c>
      <c r="BW100" s="187">
        <f>IF(AND(ISNUMBER(BW99),ISNUMBER(BW98)),IFERROR(BW99/BW98,""),"")</f>
        <v/>
      </c>
      <c r="BX100" s="187">
        <f>IF(AND(ISNUMBER(BX99),ISNUMBER(BX98)),IFERROR(BX99/BX98,""),"")</f>
        <v/>
      </c>
      <c r="BY100" s="180">
        <f>IF(AND(ISNUMBER(BY99),ISNUMBER(BY98)),IFERROR(BY99/BY98,""),"")</f>
        <v/>
      </c>
      <c r="BZ100" s="180">
        <f>IF(AND(ISNUMBER(BZ99),ISNUMBER(BZ98)),IFERROR(BZ99/BZ98,""),"")</f>
        <v/>
      </c>
      <c r="CA100" s="180">
        <f>IF(AND(ISNUMBER(CA99),ISNUMBER(CA98)),IFERROR(CA99/CA98,""),"")</f>
        <v/>
      </c>
      <c r="CB100" s="180">
        <f>IF(AND(ISNUMBER(CB99),ISNUMBER(CB98)),IFERROR(CB99/CB98,""),"")</f>
        <v/>
      </c>
      <c r="CC100" s="180">
        <f>IF(AND(ISNUMBER(CC99),ISNUMBER(CC98)),IFERROR(CC99/CC98,""),"")</f>
        <v/>
      </c>
      <c r="CD100" s="180">
        <f>IF(AND(ISNUMBER(CD99),ISNUMBER(CD98)),IFERROR(CD99/CD98,""),"")</f>
        <v/>
      </c>
      <c r="CE100" s="180">
        <f>IF(AND(ISNUMBER(CE99),ISNUMBER(CE98)),IFERROR(CE99/CE98,""),"")</f>
        <v/>
      </c>
      <c r="CF100" s="6" t="n"/>
      <c r="CH100" s="39">
        <f>IFERROR(AVERAGE(CA100,CB100,CC100,CD100,CE100),"n/m")</f>
        <v/>
      </c>
      <c r="CI100" s="39">
        <f>IFERROR(AVERAGE(BB100,BG100,BL100,BQ100,BV100),"n/m")</f>
        <v/>
      </c>
      <c r="CJ100" s="39">
        <f>IFERROR(AVERAGE(AC100,AH100,AM100,AR100,AW100,BB100,BG100,BL100,BQ100,BV100),"n/m")</f>
        <v/>
      </c>
      <c r="CK100" s="39">
        <f>IFERROR(AVERAGE(C100,D100,E100,F100,G100,H100,I100,N100,S100,X100,AC100,AH100,AM100,AR100,AW100,BB100,BG100,BL100,BQ100,BV100),"n/m")</f>
        <v/>
      </c>
    </row>
    <row r="101" ht="15" customHeight="1">
      <c r="B101" s="23" t="inlineStr">
        <is>
          <t xml:space="preserve">  Net sales y/y %</t>
        </is>
      </c>
      <c r="D101" s="179">
        <f>IF(AND(ISNUMBER(D98),ISNUMBER(C98)),IFERROR(D98/C98-1,""),"")</f>
        <v/>
      </c>
      <c r="E101" s="179">
        <f>IF(AND(ISNUMBER(E98),ISNUMBER(D98)),IFERROR(E98/D98-1,""),"")</f>
        <v/>
      </c>
      <c r="F101" s="179">
        <f>IF(AND(ISNUMBER(F98),ISNUMBER(E98)),IFERROR(F98/E98-1,""),"")</f>
        <v/>
      </c>
      <c r="G101" s="179">
        <f>IF(AND(ISNUMBER(G98),ISNUMBER(F98)),IFERROR(G98/F98-1,""),"")</f>
        <v/>
      </c>
      <c r="H101" s="179">
        <f>IF(AND(ISNUMBER(H98),ISNUMBER(G98)),IFERROR(H98/G98-1,""),"")</f>
        <v/>
      </c>
      <c r="I101" s="179">
        <f>IF(AND(ISNUMBER(I98),ISNUMBER(H98)),IFERROR(I98/H98-1,""),"")</f>
        <v/>
      </c>
      <c r="N101" s="179">
        <f>IF(AND(ISNUMBER(N98),ISNUMBER(I98)),IFERROR(N98/I98-1,""),"")</f>
        <v/>
      </c>
      <c r="O101" s="179">
        <f>IF(AND(ISNUMBER(O98),ISNUMBER(J98)),IFERROR(O98/J98-1,""),"")</f>
        <v/>
      </c>
      <c r="P101" s="179">
        <f>IF(AND(ISNUMBER(P98),ISNUMBER(K98)),IFERROR(P98/K98-1,""),"")</f>
        <v/>
      </c>
      <c r="Q101" s="179">
        <f>IF(AND(ISNUMBER(Q98),ISNUMBER(L98)),IFERROR(Q98/L98-1,""),"")</f>
        <v/>
      </c>
      <c r="R101" s="179">
        <f>IF(AND(ISNUMBER(R98),ISNUMBER(M98)),IFERROR(R98/M98-1,""),"")</f>
        <v/>
      </c>
      <c r="S101" s="179">
        <f>IF(AND(ISNUMBER(S98),ISNUMBER(N98)),IFERROR(S98/N98-1,""),"")</f>
        <v/>
      </c>
      <c r="T101" s="179">
        <f>IF(AND(ISNUMBER(T98),ISNUMBER(O98)),IFERROR(T98/O98-1,""),"")</f>
        <v/>
      </c>
      <c r="U101" s="179">
        <f>IF(AND(ISNUMBER(U98),ISNUMBER(P98)),IFERROR(U98/P98-1,""),"")</f>
        <v/>
      </c>
      <c r="V101" s="179">
        <f>IF(AND(ISNUMBER(V98),ISNUMBER(Q98)),IFERROR(V98/Q98-1,""),"")</f>
        <v/>
      </c>
      <c r="W101" s="179">
        <f>IF(AND(ISNUMBER(W98),ISNUMBER(R98)),IFERROR(W98/R98-1,""),"")</f>
        <v/>
      </c>
      <c r="X101" s="179">
        <f>IF(AND(ISNUMBER(X98),ISNUMBER(S98)),IFERROR(X98/S98-1,""),"")</f>
        <v/>
      </c>
      <c r="Y101" s="179">
        <f>IF(AND(ISNUMBER(Y98),ISNUMBER(T98)),IFERROR(Y98/T98-1,""),"")</f>
        <v/>
      </c>
      <c r="Z101" s="179">
        <f>IF(AND(ISNUMBER(Z98),ISNUMBER(U98)),IFERROR(Z98/U98-1,""),"")</f>
        <v/>
      </c>
      <c r="AA101" s="179">
        <f>IF(AND(ISNUMBER(AA98),ISNUMBER(V98)),IFERROR(AA98/V98-1,""),"")</f>
        <v/>
      </c>
      <c r="AB101" s="179">
        <f>IF(AND(ISNUMBER(AB98),ISNUMBER(W98)),IFERROR(AB98/W98-1,""),"")</f>
        <v/>
      </c>
      <c r="AC101" s="179">
        <f>IF(AND(ISNUMBER(AC98),ISNUMBER(X98)),IFERROR(AC98/X98-1,""),"")</f>
        <v/>
      </c>
      <c r="AD101" s="179">
        <f>IF(AND(ISNUMBER(AD98),ISNUMBER(Y98)),IFERROR(AD98/Y98-1,""),"")</f>
        <v/>
      </c>
      <c r="AE101" s="179">
        <f>IF(AND(ISNUMBER(AE98),ISNUMBER(Z98)),IFERROR(AE98/Z98-1,""),"")</f>
        <v/>
      </c>
      <c r="AF101" s="179">
        <f>IF(AND(ISNUMBER(AF98),ISNUMBER(AA98)),IFERROR(AF98/AA98-1,""),"")</f>
        <v/>
      </c>
      <c r="AG101" s="179">
        <f>IF(AND(ISNUMBER(AG98),ISNUMBER(AB98)),IFERROR(AG98/AB98-1,""),"")</f>
        <v/>
      </c>
      <c r="AH101" s="179">
        <f>IF(AND(ISNUMBER(AH98),ISNUMBER(AC98)),IFERROR(AH98/AC98-1,""),"")</f>
        <v/>
      </c>
      <c r="AI101" s="179">
        <f>IF(AND(ISNUMBER(AI98),ISNUMBER(AD98)),IFERROR(AI98/AD98-1,""),"")</f>
        <v/>
      </c>
      <c r="AJ101" s="179">
        <f>IF(AND(ISNUMBER(AJ98),ISNUMBER(AE98)),IFERROR(AJ98/AE98-1,""),"")</f>
        <v/>
      </c>
      <c r="AK101" s="179">
        <f>IF(AND(ISNUMBER(AK98),ISNUMBER(AF98)),IFERROR(AK98/AF98-1,""),"")</f>
        <v/>
      </c>
      <c r="AL101" s="179">
        <f>IF(AND(ISNUMBER(AL98),ISNUMBER(AG98)),IFERROR(AL98/AG98-1,""),"")</f>
        <v/>
      </c>
      <c r="AM101" s="179">
        <f>IF(AND(ISNUMBER(AM98),ISNUMBER(AH98)),IFERROR(AM98/AH98-1,""),"")</f>
        <v/>
      </c>
      <c r="AN101" s="179">
        <f>IF(AND(ISNUMBER(AN98),ISNUMBER(AI98)),IFERROR(AN98/AI98-1,""),"")</f>
        <v/>
      </c>
      <c r="AO101" s="179">
        <f>IF(AND(ISNUMBER(AO98),ISNUMBER(AJ98)),IFERROR(AO98/AJ98-1,""),"")</f>
        <v/>
      </c>
      <c r="AP101" s="179">
        <f>IF(AND(ISNUMBER(AP98),ISNUMBER(AK98)),IFERROR(AP98/AK98-1,""),"")</f>
        <v/>
      </c>
      <c r="AQ101" s="179">
        <f>IF(AND(ISNUMBER(AQ98),ISNUMBER(AL98)),IFERROR(AQ98/AL98-1,""),"")</f>
        <v/>
      </c>
      <c r="AR101" s="179">
        <f>IF(AND(ISNUMBER(AR98),ISNUMBER(AM98)),IFERROR(AR98/AM98-1,""),"")</f>
        <v/>
      </c>
      <c r="AS101" s="179">
        <f>IF(AND(ISNUMBER(AS98),ISNUMBER(AN98)),IFERROR(AS98/AN98-1,""),"")</f>
        <v/>
      </c>
      <c r="AT101" s="179">
        <f>IF(AND(ISNUMBER(AT98),ISNUMBER(AO98)),IFERROR(AT98/AO98-1,""),"")</f>
        <v/>
      </c>
      <c r="AU101" s="179">
        <f>IF(AND(ISNUMBER(AU98),ISNUMBER(AP98)),IFERROR(AU98/AP98-1,""),"")</f>
        <v/>
      </c>
      <c r="AV101" s="179">
        <f>IF(AND(ISNUMBER(AV98),ISNUMBER(AQ98)),IFERROR(AV98/AQ98-1,""),"")</f>
        <v/>
      </c>
      <c r="AW101" s="179">
        <f>IF(AND(ISNUMBER(AW98),ISNUMBER(AR98)),IFERROR(AW98/AR98-1,""),"")</f>
        <v/>
      </c>
      <c r="AX101" s="179">
        <f>IF(AND(ISNUMBER(AX98),ISNUMBER(AS98)),IFERROR(AX98/AS98-1,""),"")</f>
        <v/>
      </c>
      <c r="AY101" s="179">
        <f>IF(AND(ISNUMBER(AY98),ISNUMBER(AT98)),IFERROR(AY98/AT98-1,""),"")</f>
        <v/>
      </c>
      <c r="AZ101" s="179">
        <f>IF(AND(ISNUMBER(AZ98),ISNUMBER(AU98)),IFERROR(AZ98/AU98-1,""),"")</f>
        <v/>
      </c>
      <c r="BA101" s="179">
        <f>IF(AND(ISNUMBER(BA98),ISNUMBER(AV98)),IFERROR(BA98/AV98-1,""),"")</f>
        <v/>
      </c>
      <c r="BB101" s="179">
        <f>IF(AND(ISNUMBER(BB98),ISNUMBER(AW98)),IFERROR(BB98/AW98-1,""),"")</f>
        <v/>
      </c>
      <c r="BC101" s="179">
        <f>IF(AND(ISNUMBER(BC98),ISNUMBER(AX98)),IFERROR(BC98/AX98-1,""),"")</f>
        <v/>
      </c>
      <c r="BD101" s="179">
        <f>IF(AND(ISNUMBER(BD98),ISNUMBER(AY98)),IFERROR(BD98/AY98-1,""),"")</f>
        <v/>
      </c>
      <c r="BE101" s="179">
        <f>IF(AND(ISNUMBER(BE98),ISNUMBER(AZ98)),IFERROR(BE98/AZ98-1,""),"")</f>
        <v/>
      </c>
      <c r="BF101" s="179">
        <f>IF(AND(ISNUMBER(BF98),ISNUMBER(BA98)),IFERROR(BF98/BA98-1,""),"")</f>
        <v/>
      </c>
      <c r="BG101" s="179">
        <f>IF(AND(ISNUMBER(BG98),ISNUMBER(BB98)),IFERROR(BG98/BB98-1,""),"")</f>
        <v/>
      </c>
      <c r="BH101" s="179">
        <f>IF(AND(ISNUMBER(BH98),ISNUMBER(BC98)),IFERROR(BH98/BC98-1,""),"")</f>
        <v/>
      </c>
      <c r="BI101" s="179">
        <f>IF(AND(ISNUMBER(BI98),ISNUMBER(BD98)),IFERROR(BI98/BD98-1,""),"")</f>
        <v/>
      </c>
      <c r="BJ101" s="179">
        <f>IF(AND(ISNUMBER(BJ98),ISNUMBER(BE98)),IFERROR(BJ98/BE98-1,""),"")</f>
        <v/>
      </c>
      <c r="BK101" s="179">
        <f>IF(AND(ISNUMBER(BK98),ISNUMBER(BF98)),IFERROR(BK98/BF98-1,""),"")</f>
        <v/>
      </c>
      <c r="BL101" s="179">
        <f>IF(AND(ISNUMBER(BL98),ISNUMBER(BG98)),IFERROR(BL98/BG98-1,""),"")</f>
        <v/>
      </c>
      <c r="BM101" s="179">
        <f>IF(AND(ISNUMBER(BM98),ISNUMBER(BH98)),IFERROR(BM98/BH98-1,""),"")</f>
        <v/>
      </c>
      <c r="BN101" s="179">
        <f>IF(AND(ISNUMBER(BN98),ISNUMBER(BI98)),IFERROR(BN98/BI98-1,""),"")</f>
        <v/>
      </c>
      <c r="BO101" s="179">
        <f>IF(AND(ISNUMBER(BO98),ISNUMBER(BJ98)),IFERROR(BO98/BJ98-1,""),"")</f>
        <v/>
      </c>
      <c r="BP101" s="179">
        <f>IF(AND(ISNUMBER(BP98),ISNUMBER(BK98)),IFERROR(BP98/BK98-1,""),"")</f>
        <v/>
      </c>
      <c r="BQ101" s="179">
        <f>IF(AND(ISNUMBER(BQ98),ISNUMBER(BL98)),IFERROR(BQ98/BL98-1,""),"")</f>
        <v/>
      </c>
      <c r="BR101" s="179">
        <f>IF(AND(ISNUMBER(BR98),ISNUMBER(BM98)),IFERROR(BR98/BM98-1,""),"")</f>
        <v/>
      </c>
      <c r="BS101" s="179">
        <f>IF(AND(ISNUMBER(BS98),ISNUMBER(BN98)),IFERROR(BS98/BN98-1,""),"")</f>
        <v/>
      </c>
      <c r="BT101" s="179">
        <f>IF(AND(ISNUMBER(BT98),ISNUMBER(BO98)),IFERROR(BT98/BO98-1,""),"")</f>
        <v/>
      </c>
      <c r="BU101" s="179">
        <f>IF(AND(ISNUMBER(BU98),ISNUMBER(BP98)),IFERROR(BU98/BP98-1,""),"")</f>
        <v/>
      </c>
      <c r="BV101" s="179">
        <f>IF(AND(ISNUMBER(BV98),ISNUMBER(BQ98)),IFERROR(BV98/BQ98-1,""),"")</f>
        <v/>
      </c>
      <c r="BW101" s="179">
        <f>IF(AND(ISNUMBER(BW98),ISNUMBER(BR98)),IFERROR(BW98/BR98-1,""),"")</f>
        <v/>
      </c>
      <c r="BX101" s="179">
        <f>IF(AND(ISNUMBER(BX98),ISNUMBER(BS98)),IFERROR(BX98/BS98-1,""),"")</f>
        <v/>
      </c>
      <c r="BY101" s="180">
        <f>IF(AND(ISNUMBER(BY98),ISNUMBER(BT98)),IFERROR(BY98/BT98-1,""),"")</f>
        <v/>
      </c>
      <c r="BZ101" s="180">
        <f>IF(AND(ISNUMBER(BZ98),ISNUMBER(BU98)),IFERROR(BZ98/BU98-1,""),"")</f>
        <v/>
      </c>
      <c r="CA101" s="180">
        <f>IF(AND(ISNUMBER(CA98),ISNUMBER(BV98)),IFERROR(CA98/BV98-1,""),"")</f>
        <v/>
      </c>
      <c r="CB101" s="180">
        <f>IF(AND(ISNUMBER(CB98),ISNUMBER(CA98)),IFERROR(CB98/CA98-1,""),"")</f>
        <v/>
      </c>
      <c r="CC101" s="180">
        <f>IF(AND(ISNUMBER(CC98),ISNUMBER(CB98)),IFERROR(CC98/CB98-1,""),"")</f>
        <v/>
      </c>
      <c r="CD101" s="180">
        <f>IF(AND(ISNUMBER(CD98),ISNUMBER(CC98)),IFERROR(CD98/CC98-1,""),"")</f>
        <v/>
      </c>
      <c r="CE101" s="180">
        <f>IF(AND(ISNUMBER(CE98),ISNUMBER(CD98)),IFERROR(CE98/CD98-1,""),"")</f>
        <v/>
      </c>
      <c r="CF101" s="6" t="n"/>
    </row>
    <row r="102" ht="15" customHeight="1">
      <c r="B102" s="61" t="inlineStr">
        <is>
          <t xml:space="preserve">  Check: product-line build vs consolidated net sales (should be 0)</t>
        </is>
      </c>
      <c r="C102" s="189">
        <f>IF(ISNUMBER(C98),IF(ABS(C98-C142)&lt;=0.15,0,ROUND(C98-C142,1)),"")</f>
        <v/>
      </c>
      <c r="D102" s="189">
        <f>IF(ISNUMBER(D98),IF(ABS(D98-D142)&lt;=0.15,0,ROUND(D98-D142,1)),"")</f>
        <v/>
      </c>
      <c r="E102" s="189">
        <f>IF(ISNUMBER(E98),IF(ABS(E98-E142)&lt;=0.15,0,ROUND(E98-E142,1)),"")</f>
        <v/>
      </c>
      <c r="F102" s="189">
        <f>IF(ISNUMBER(F98),IF(ABS(F98-F142)&lt;=0.15,0,ROUND(F98-F142,1)),"")</f>
        <v/>
      </c>
      <c r="G102" s="189">
        <f>IF(ISNUMBER(G98),IF(ABS(G98-G142)&lt;=0.15,0,ROUND(G98-G142,1)),"")</f>
        <v/>
      </c>
      <c r="H102" s="189">
        <f>IF(ISNUMBER(H98),IF(ABS(H98-H142)&lt;=0.15,0,ROUND(H98-H142,1)),"")</f>
        <v/>
      </c>
      <c r="I102" s="189">
        <f>IF(ISNUMBER(I98),IF(ABS(I98-I142)&lt;=0.15,0,ROUND(I98-I142,1)),"")</f>
        <v/>
      </c>
      <c r="J102" s="189">
        <f>IF(ISNUMBER(J98),IF(ABS(J98-J142)&lt;=0.15,0,ROUND(J98-J142,1)),"")</f>
        <v/>
      </c>
      <c r="K102" s="189">
        <f>IF(ISNUMBER(K98),IF(ABS(K98-K142)&lt;=0.15,0,ROUND(K98-K142,1)),"")</f>
        <v/>
      </c>
      <c r="L102" s="189">
        <f>IF(ISNUMBER(L98),IF(ABS(L98-L142)&lt;=0.15,0,ROUND(L98-L142,1)),"")</f>
        <v/>
      </c>
      <c r="M102" s="189">
        <f>IF(ISNUMBER(M98),IF(ABS(M98-M142)&lt;=0.15,0,ROUND(M98-M142,1)),"")</f>
        <v/>
      </c>
      <c r="N102" s="189">
        <f>IF(ISNUMBER(N98),IF(ABS(N98-N142)&lt;=0.15,0,ROUND(N98-N142,1)),"")</f>
        <v/>
      </c>
      <c r="O102" s="189">
        <f>IF(ISNUMBER(O98),IF(ABS(O98-O142)&lt;=0.15,0,ROUND(O98-O142,1)),"")</f>
        <v/>
      </c>
      <c r="P102" s="189">
        <f>IF(ISNUMBER(P98),IF(ABS(P98-P142)&lt;=0.15,0,ROUND(P98-P142,1)),"")</f>
        <v/>
      </c>
      <c r="Q102" s="189">
        <f>IF(ISNUMBER(Q98),IF(ABS(Q98-Q142)&lt;=0.15,0,ROUND(Q98-Q142,1)),"")</f>
        <v/>
      </c>
      <c r="R102" s="189">
        <f>IF(ISNUMBER(R98),IF(ABS(R98-R142)&lt;=0.15,0,ROUND(R98-R142,1)),"")</f>
        <v/>
      </c>
      <c r="S102" s="189">
        <f>IF(ISNUMBER(S98),IF(ABS(S98-S142)&lt;=0.15,0,ROUND(S98-S142,1)),"")</f>
        <v/>
      </c>
      <c r="T102" s="189">
        <f>IF(ISNUMBER(T98),IF(ABS(T98-T142)&lt;=0.15,0,ROUND(T98-T142,1)),"")</f>
        <v/>
      </c>
      <c r="U102" s="189">
        <f>IF(ISNUMBER(U98),IF(ABS(U98-U142)&lt;=0.15,0,ROUND(U98-U142,1)),"")</f>
        <v/>
      </c>
      <c r="V102" s="189">
        <f>IF(ISNUMBER(V98),IF(ABS(V98-V142)&lt;=0.15,0,ROUND(V98-V142,1)),"")</f>
        <v/>
      </c>
      <c r="W102" s="189">
        <f>IF(ISNUMBER(W98),IF(ABS(W98-W142)&lt;=0.15,0,ROUND(W98-W142,1)),"")</f>
        <v/>
      </c>
      <c r="X102" s="189">
        <f>IF(ISNUMBER(X98),IF(ABS(X98-X142)&lt;=0.15,0,ROUND(X98-X142,1)),"")</f>
        <v/>
      </c>
      <c r="Y102" s="189">
        <f>IF(ISNUMBER(Y98),IF(ABS(Y98-Y142)&lt;=0.15,0,ROUND(Y98-Y142,1)),"")</f>
        <v/>
      </c>
      <c r="Z102" s="189">
        <f>IF(ISNUMBER(Z98),IF(ABS(Z98-Z142)&lt;=0.15,0,ROUND(Z98-Z142,1)),"")</f>
        <v/>
      </c>
      <c r="AA102" s="189">
        <f>IF(ISNUMBER(AA98),IF(ABS(AA98-AA142)&lt;=0.15,0,ROUND(AA98-AA142,1)),"")</f>
        <v/>
      </c>
      <c r="AB102" s="189">
        <f>IF(ISNUMBER(AB98),IF(ABS(AB98-AB142)&lt;=0.15,0,ROUND(AB98-AB142,1)),"")</f>
        <v/>
      </c>
      <c r="AC102" s="189">
        <f>IF(ISNUMBER(AC98),IF(ABS(AC98-AC142)&lt;=0.15,0,ROUND(AC98-AC142,1)),"")</f>
        <v/>
      </c>
      <c r="AD102" s="189">
        <f>IF(ISNUMBER(AD98),IF(ABS(AD98-AD142)&lt;=0.15,0,ROUND(AD98-AD142,1)),"")</f>
        <v/>
      </c>
      <c r="AE102" s="189">
        <f>IF(ISNUMBER(AE98),IF(ABS(AE98-AE142)&lt;=0.15,0,ROUND(AE98-AE142,1)),"")</f>
        <v/>
      </c>
      <c r="AF102" s="189">
        <f>IF(ISNUMBER(AF98),IF(ABS(AF98-AF142)&lt;=0.15,0,ROUND(AF98-AF142,1)),"")</f>
        <v/>
      </c>
      <c r="AG102" s="189">
        <f>IF(ISNUMBER(AG98),IF(ABS(AG98-AG142)&lt;=0.15,0,ROUND(AG98-AG142,1)),"")</f>
        <v/>
      </c>
      <c r="AH102" s="189">
        <f>IF(ISNUMBER(AH98),IF(ABS(AH98-AH142)&lt;=0.15,0,ROUND(AH98-AH142,1)),"")</f>
        <v/>
      </c>
      <c r="AI102" s="189">
        <f>IF(ISNUMBER(AI98),IF(ABS(AI98-AI142)&lt;=0.15,0,ROUND(AI98-AI142,1)),"")</f>
        <v/>
      </c>
      <c r="AJ102" s="189">
        <f>IF(ISNUMBER(AJ98),IF(ABS(AJ98-AJ142)&lt;=0.15,0,ROUND(AJ98-AJ142,1)),"")</f>
        <v/>
      </c>
      <c r="AK102" s="189">
        <f>IF(ISNUMBER(AK98),IF(ABS(AK98-AK142)&lt;=0.15,0,ROUND(AK98-AK142,1)),"")</f>
        <v/>
      </c>
      <c r="AL102" s="189">
        <f>IF(ISNUMBER(AL98),IF(ABS(AL98-AL142)&lt;=0.15,0,ROUND(AL98-AL142,1)),"")</f>
        <v/>
      </c>
      <c r="AM102" s="189">
        <f>IF(ISNUMBER(AM98),IF(ABS(AM98-AM142)&lt;=0.15,0,ROUND(AM98-AM142,1)),"")</f>
        <v/>
      </c>
      <c r="AN102" s="189">
        <f>IF(ISNUMBER(AN98),IF(ABS(AN98-AN142)&lt;=0.15,0,ROUND(AN98-AN142,1)),"")</f>
        <v/>
      </c>
      <c r="AO102" s="189">
        <f>IF(ISNUMBER(AO98),IF(ABS(AO98-AO142)&lt;=0.15,0,ROUND(AO98-AO142,1)),"")</f>
        <v/>
      </c>
      <c r="AP102" s="189">
        <f>IF(ISNUMBER(AP98),IF(ABS(AP98-AP142)&lt;=0.15,0,ROUND(AP98-AP142,1)),"")</f>
        <v/>
      </c>
      <c r="AQ102" s="189">
        <f>IF(ISNUMBER(AQ98),IF(ABS(AQ98-AQ142)&lt;=0.15,0,ROUND(AQ98-AQ142,1)),"")</f>
        <v/>
      </c>
      <c r="AR102" s="189">
        <f>IF(ISNUMBER(AR98),IF(ABS(AR98-AR142)&lt;=0.15,0,ROUND(AR98-AR142,1)),"")</f>
        <v/>
      </c>
      <c r="AS102" s="189">
        <f>IF(ISNUMBER(AS98),IF(ABS(AS98-AS142)&lt;=0.15,0,ROUND(AS98-AS142,1)),"")</f>
        <v/>
      </c>
      <c r="AT102" s="189">
        <f>IF(ISNUMBER(AT98),IF(ABS(AT98-AT142)&lt;=0.15,0,ROUND(AT98-AT142,1)),"")</f>
        <v/>
      </c>
      <c r="AU102" s="189">
        <f>IF(ISNUMBER(AU98),IF(ABS(AU98-AU142)&lt;=0.15,0,ROUND(AU98-AU142,1)),"")</f>
        <v/>
      </c>
      <c r="AV102" s="189">
        <f>IF(ISNUMBER(AV98),IF(ABS(AV98-AV142)&lt;=0.15,0,ROUND(AV98-AV142,1)),"")</f>
        <v/>
      </c>
      <c r="AW102" s="189">
        <f>IF(ISNUMBER(AW98),IF(ABS(AW98-AW142)&lt;=0.15,0,ROUND(AW98-AW142,1)),"")</f>
        <v/>
      </c>
      <c r="AX102" s="189">
        <f>IF(ISNUMBER(AX98),IF(ABS(AX98-AX142)&lt;=0.15,0,ROUND(AX98-AX142,1)),"")</f>
        <v/>
      </c>
      <c r="AY102" s="189">
        <f>IF(ISNUMBER(AY98),IF(ABS(AY98-AY142)&lt;=0.15,0,ROUND(AY98-AY142,1)),"")</f>
        <v/>
      </c>
      <c r="AZ102" s="189">
        <f>IF(ISNUMBER(AZ98),IF(ABS(AZ98-AZ142)&lt;=0.15,0,ROUND(AZ98-AZ142,1)),"")</f>
        <v/>
      </c>
      <c r="BA102" s="189">
        <f>IF(ISNUMBER(BA98),IF(ABS(BA98-BA142)&lt;=0.15,0,ROUND(BA98-BA142,1)),"")</f>
        <v/>
      </c>
      <c r="BB102" s="189">
        <f>IF(ISNUMBER(BB98),IF(ABS(BB98-BB142)&lt;=0.15,0,ROUND(BB98-BB142,1)),"")</f>
        <v/>
      </c>
      <c r="BC102" s="189">
        <f>IF(ISNUMBER(BC98),IF(ABS(BC98-BC142)&lt;=0.15,0,ROUND(BC98-BC142,1)),"")</f>
        <v/>
      </c>
      <c r="BD102" s="189">
        <f>IF(ISNUMBER(BD98),IF(ABS(BD98-BD142)&lt;=0.15,0,ROUND(BD98-BD142,1)),"")</f>
        <v/>
      </c>
      <c r="BE102" s="189">
        <f>IF(ISNUMBER(BE98),IF(ABS(BE98-BE142)&lt;=0.15,0,ROUND(BE98-BE142,1)),"")</f>
        <v/>
      </c>
      <c r="BF102" s="189">
        <f>IF(ISNUMBER(BF98),IF(ABS(BF98-BF142)&lt;=0.15,0,ROUND(BF98-BF142,1)),"")</f>
        <v/>
      </c>
      <c r="BG102" s="189">
        <f>IF(ISNUMBER(BG98),IF(ABS(BG98-BG142)&lt;=0.15,0,ROUND(BG98-BG142,1)),"")</f>
        <v/>
      </c>
      <c r="BH102" s="189">
        <f>IF(ISNUMBER(BH98),IF(ABS(BH98-BH142)&lt;=0.15,0,ROUND(BH98-BH142,1)),"")</f>
        <v/>
      </c>
      <c r="BI102" s="189">
        <f>IF(ISNUMBER(BI98),IF(ABS(BI98-BI142)&lt;=0.15,0,ROUND(BI98-BI142,1)),"")</f>
        <v/>
      </c>
      <c r="BJ102" s="189">
        <f>IF(ISNUMBER(BJ98),IF(ABS(BJ98-BJ142)&lt;=0.15,0,ROUND(BJ98-BJ142,1)),"")</f>
        <v/>
      </c>
      <c r="BK102" s="189">
        <f>IF(ISNUMBER(BK98),IF(ABS(BK98-BK142)&lt;=0.15,0,ROUND(BK98-BK142,1)),"")</f>
        <v/>
      </c>
      <c r="BL102" s="189">
        <f>IF(ISNUMBER(BL98),IF(ABS(BL98-BL142)&lt;=0.15,0,ROUND(BL98-BL142,1)),"")</f>
        <v/>
      </c>
      <c r="BM102" s="189">
        <f>IF(ISNUMBER(BM98),IF(ABS(BM98-BM142)&lt;=0.15,0,ROUND(BM98-BM142,1)),"")</f>
        <v/>
      </c>
      <c r="BN102" s="189">
        <f>IF(ISNUMBER(BN98),IF(ABS(BN98-BN142)&lt;=0.15,0,ROUND(BN98-BN142,1)),"")</f>
        <v/>
      </c>
      <c r="BO102" s="189">
        <f>IF(ISNUMBER(BO98),IF(ABS(BO98-BO142)&lt;=0.15,0,ROUND(BO98-BO142,1)),"")</f>
        <v/>
      </c>
      <c r="BP102" s="189">
        <f>IF(ISNUMBER(BP98),IF(ABS(BP98-BP142)&lt;=0.15,0,ROUND(BP98-BP142,1)),"")</f>
        <v/>
      </c>
      <c r="BQ102" s="189">
        <f>IF(ISNUMBER(BQ98),IF(ABS(BQ98-BQ142)&lt;=0.15,0,ROUND(BQ98-BQ142,1)),"")</f>
        <v/>
      </c>
      <c r="BR102" s="189">
        <f>IF(ISNUMBER(BR98),IF(ABS(BR98-BR142)&lt;=0.15,0,ROUND(BR98-BR142,1)),"")</f>
        <v/>
      </c>
      <c r="BS102" s="189">
        <f>IF(ISNUMBER(BS98),IF(ABS(BS98-BS142)&lt;=0.15,0,ROUND(BS98-BS142,1)),"")</f>
        <v/>
      </c>
      <c r="BT102" s="189">
        <f>IF(ISNUMBER(BT98),IF(ABS(BT98-BT142)&lt;=0.15,0,ROUND(BT98-BT142,1)),"")</f>
        <v/>
      </c>
      <c r="BU102" s="189">
        <f>IF(ISNUMBER(BU98),IF(ABS(BU98-BU142)&lt;=0.15,0,ROUND(BU98-BU142,1)),"")</f>
        <v/>
      </c>
      <c r="BV102" s="189">
        <f>IF(ISNUMBER(BV98),IF(ABS(BV98-BV142)&lt;=0.15,0,ROUND(BV98-BV142,1)),"")</f>
        <v/>
      </c>
      <c r="BW102" s="189">
        <f>IF(ISNUMBER(BW98),IF(ABS(BW98-BW142)&lt;=0.15,0,ROUND(BW98-BW142,1)),"")</f>
        <v/>
      </c>
      <c r="BX102" s="189">
        <f>IF(ISNUMBER(BX98),IF(ABS(BX98-BX142)&lt;=0.15,0,ROUND(BX98-BX142,1)),"")</f>
        <v/>
      </c>
      <c r="BY102" s="194">
        <f>IF(ISNUMBER(BY98),IF(ABS(BY98-BY142)&lt;=0.15,0,ROUND(BY98-BY142,1)),"")</f>
        <v/>
      </c>
      <c r="BZ102" s="194">
        <f>IF(ISNUMBER(BZ98),IF(ABS(BZ98-BZ142)&lt;=0.15,0,ROUND(BZ98-BZ142,1)),"")</f>
        <v/>
      </c>
      <c r="CA102" s="194">
        <f>IF(ISNUMBER(CA98),IF(ABS(CA98-CA142)&lt;=0.15,0,ROUND(CA98-CA142,1)),"")</f>
        <v/>
      </c>
      <c r="CB102" s="194">
        <f>IF(ISNUMBER(CB98),IF(ABS(CB98-CB142)&lt;=0.15,0,ROUND(CB98-CB142,1)),"")</f>
        <v/>
      </c>
      <c r="CC102" s="194">
        <f>IF(ISNUMBER(CC98),IF(ABS(CC98-CC142)&lt;=0.15,0,ROUND(CC98-CC142,1)),"")</f>
        <v/>
      </c>
      <c r="CD102" s="194">
        <f>IF(ISNUMBER(CD98),IF(ABS(CD98-CD142)&lt;=0.15,0,ROUND(CD98-CD142,1)),"")</f>
        <v/>
      </c>
      <c r="CE102" s="194">
        <f>IF(ISNUMBER(CE98),IF(ABS(CE98-CE142)&lt;=0.15,0,ROUND(CE98-CE142,1)),"")</f>
        <v/>
      </c>
      <c r="CF102" s="6" t="n"/>
    </row>
    <row r="103" ht="15" customHeight="1">
      <c r="B103" s="61" t="inlineStr">
        <is>
          <t xml:space="preserve">  Check: build vs adjusted income from operations bridge (should be 0)</t>
        </is>
      </c>
      <c r="C103" s="189">
        <f>IF(AND(ISNUMBER(C99),ISNUMBER(C214)),ROUND(C99-C214,1),"")</f>
        <v/>
      </c>
      <c r="D103" s="189">
        <f>IF(AND(ISNUMBER(D99),ISNUMBER(D214)),ROUND(D99-D214,1),"")</f>
        <v/>
      </c>
      <c r="E103" s="189">
        <f>IF(AND(ISNUMBER(E99),ISNUMBER(E214)),ROUND(E99-E214,1),"")</f>
        <v/>
      </c>
      <c r="F103" s="189">
        <f>IF(AND(ISNUMBER(F99),ISNUMBER(F214)),ROUND(F99-F214,1),"")</f>
        <v/>
      </c>
      <c r="G103" s="189">
        <f>IF(AND(ISNUMBER(G99),ISNUMBER(G214)),ROUND(G99-G214,1),"")</f>
        <v/>
      </c>
      <c r="H103" s="189">
        <f>IF(AND(ISNUMBER(H99),ISNUMBER(H214)),ROUND(H99-H214,1),"")</f>
        <v/>
      </c>
      <c r="I103" s="189">
        <f>IF(AND(ISNUMBER(I99),ISNUMBER(I214)),ROUND(I99-I214,1),"")</f>
        <v/>
      </c>
      <c r="J103" s="189">
        <f>IF(AND(ISNUMBER(J99),ISNUMBER(J214)),ROUND(J99-J214,1),"")</f>
        <v/>
      </c>
      <c r="K103" s="189">
        <f>IF(AND(ISNUMBER(K99),ISNUMBER(K214)),ROUND(K99-K214,1),"")</f>
        <v/>
      </c>
      <c r="L103" s="189">
        <f>IF(AND(ISNUMBER(L99),ISNUMBER(L214)),ROUND(L99-L214,1),"")</f>
        <v/>
      </c>
      <c r="M103" s="189">
        <f>IF(AND(ISNUMBER(M99),ISNUMBER(M214)),ROUND(M99-M214,1),"")</f>
        <v/>
      </c>
      <c r="N103" s="189">
        <f>IF(AND(ISNUMBER(N99),ISNUMBER(N214)),ROUND(N99-N214,1),"")</f>
        <v/>
      </c>
      <c r="O103" s="189">
        <f>IF(AND(ISNUMBER(O99),ISNUMBER(O214)),ROUND(O99-O214,1),"")</f>
        <v/>
      </c>
      <c r="P103" s="189">
        <f>IF(AND(ISNUMBER(P99),ISNUMBER(P214)),ROUND(P99-P214,1),"")</f>
        <v/>
      </c>
      <c r="Q103" s="189">
        <f>IF(AND(ISNUMBER(Q99),ISNUMBER(Q214)),ROUND(Q99-Q214,1),"")</f>
        <v/>
      </c>
      <c r="R103" s="189">
        <f>IF(AND(ISNUMBER(R99),ISNUMBER(R214)),ROUND(R99-R214,1),"")</f>
        <v/>
      </c>
      <c r="S103" s="189">
        <f>IF(AND(ISNUMBER(S99),ISNUMBER(S214)),ROUND(S99-S214,1),"")</f>
        <v/>
      </c>
      <c r="T103" s="189">
        <f>IF(AND(ISNUMBER(T99),ISNUMBER(T214)),ROUND(T99-T214,1),"")</f>
        <v/>
      </c>
      <c r="U103" s="189">
        <f>IF(AND(ISNUMBER(U99),ISNUMBER(U214)),ROUND(U99-U214,1),"")</f>
        <v/>
      </c>
      <c r="V103" s="189">
        <f>IF(AND(ISNUMBER(V99),ISNUMBER(V214)),ROUND(V99-V214,1),"")</f>
        <v/>
      </c>
      <c r="W103" s="189">
        <f>IF(AND(ISNUMBER(W99),ISNUMBER(W214)),ROUND(W99-W214,1),"")</f>
        <v/>
      </c>
      <c r="X103" s="189">
        <f>IF(AND(ISNUMBER(X99),ISNUMBER(X214)),ROUND(X99-X214,1),"")</f>
        <v/>
      </c>
      <c r="Y103" s="189">
        <f>IF(AND(ISNUMBER(Y99),ISNUMBER(Y214)),ROUND(Y99-Y214,1),"")</f>
        <v/>
      </c>
      <c r="Z103" s="189">
        <f>IF(AND(ISNUMBER(Z99),ISNUMBER(Z214)),ROUND(Z99-Z214,1),"")</f>
        <v/>
      </c>
      <c r="AA103" s="189">
        <f>IF(AND(ISNUMBER(AA99),ISNUMBER(AA214)),ROUND(AA99-AA214,1),"")</f>
        <v/>
      </c>
      <c r="AB103" s="189">
        <f>IF(AND(ISNUMBER(AB99),ISNUMBER(AB214)),ROUND(AB99-AB214,1),"")</f>
        <v/>
      </c>
      <c r="AC103" s="189">
        <f>IF(AND(ISNUMBER(AC99),ISNUMBER(AC214)),ROUND(AC99-AC214,1),"")</f>
        <v/>
      </c>
      <c r="AD103" s="189">
        <f>IF(AND(ISNUMBER(AD99),ISNUMBER(AD214)),ROUND(AD99-AD214,1),"")</f>
        <v/>
      </c>
      <c r="AE103" s="189">
        <f>IF(AND(ISNUMBER(AE99),ISNUMBER(AE214)),ROUND(AE99-AE214,1),"")</f>
        <v/>
      </c>
      <c r="AF103" s="189">
        <f>IF(AND(ISNUMBER(AF99),ISNUMBER(AF214)),ROUND(AF99-AF214,1),"")</f>
        <v/>
      </c>
      <c r="AG103" s="189">
        <f>IF(AND(ISNUMBER(AG99),ISNUMBER(AG214)),ROUND(AG99-AG214,1),"")</f>
        <v/>
      </c>
      <c r="AH103" s="189">
        <f>IF(AND(ISNUMBER(AH99),ISNUMBER(AH214)),ROUND(AH99-AH214,1),"")</f>
        <v/>
      </c>
      <c r="AI103" s="189">
        <f>IF(AND(ISNUMBER(AI99),ISNUMBER(AI214)),ROUND(AI99-AI214,1),"")</f>
        <v/>
      </c>
      <c r="AJ103" s="189">
        <f>IF(AND(ISNUMBER(AJ99),ISNUMBER(AJ214)),ROUND(AJ99-AJ214,1),"")</f>
        <v/>
      </c>
      <c r="AK103" s="189">
        <f>IF(AND(ISNUMBER(AK99),ISNUMBER(AK214)),ROUND(AK99-AK214,1),"")</f>
        <v/>
      </c>
      <c r="AL103" s="189">
        <f>IF(AND(ISNUMBER(AL99),ISNUMBER(AL214)),ROUND(AL99-AL214,1),"")</f>
        <v/>
      </c>
      <c r="AM103" s="189">
        <f>IF(AND(ISNUMBER(AM99),ISNUMBER(AM214)),ROUND(AM99-AM214,1),"")</f>
        <v/>
      </c>
      <c r="AN103" s="189">
        <f>IF(AND(ISNUMBER(AN99),ISNUMBER(AN214)),ROUND(AN99-AN214,1),"")</f>
        <v/>
      </c>
      <c r="AO103" s="189">
        <f>IF(AND(ISNUMBER(AO99),ISNUMBER(AO214)),ROUND(AO99-AO214,1),"")</f>
        <v/>
      </c>
      <c r="AP103" s="189">
        <f>IF(AND(ISNUMBER(AP99),ISNUMBER(AP214)),ROUND(AP99-AP214,1),"")</f>
        <v/>
      </c>
      <c r="AQ103" s="189">
        <f>IF(AND(ISNUMBER(AQ99),ISNUMBER(AQ214)),ROUND(AQ99-AQ214,1),"")</f>
        <v/>
      </c>
      <c r="AR103" s="189">
        <f>IF(AND(ISNUMBER(AR99),ISNUMBER(AR214)),ROUND(AR99-AR214,1),"")</f>
        <v/>
      </c>
      <c r="AS103" s="189">
        <f>IF(AND(ISNUMBER(AS99),ISNUMBER(AS214)),ROUND(AS99-AS214,1),"")</f>
        <v/>
      </c>
      <c r="AT103" s="189">
        <f>IF(AND(ISNUMBER(AT99),ISNUMBER(AT214)),ROUND(AT99-AT214,1),"")</f>
        <v/>
      </c>
      <c r="AU103" s="189">
        <f>IF(AND(ISNUMBER(AU99),ISNUMBER(AU214)),ROUND(AU99-AU214,1),"")</f>
        <v/>
      </c>
      <c r="AV103" s="189">
        <f>IF(AND(ISNUMBER(AV99),ISNUMBER(AV214)),ROUND(AV99-AV214,1),"")</f>
        <v/>
      </c>
      <c r="AW103" s="189">
        <f>IF(AND(ISNUMBER(AW99),ISNUMBER(AW214)),ROUND(AW99-AW214,1),"")</f>
        <v/>
      </c>
      <c r="AX103" s="189">
        <f>IF(AND(ISNUMBER(AX99),ISNUMBER(AX214)),ROUND(AX99-AX214,1),"")</f>
        <v/>
      </c>
      <c r="AY103" s="189">
        <f>IF(AND(ISNUMBER(AY99),ISNUMBER(AY214)),ROUND(AY99-AY214,1),"")</f>
        <v/>
      </c>
      <c r="AZ103" s="189">
        <f>IF(AND(ISNUMBER(AZ99),ISNUMBER(AZ214)),ROUND(AZ99-AZ214,1),"")</f>
        <v/>
      </c>
      <c r="BA103" s="189">
        <f>IF(AND(ISNUMBER(BA99),ISNUMBER(BA214)),ROUND(BA99-BA214,1),"")</f>
        <v/>
      </c>
      <c r="BB103" s="189">
        <f>IF(AND(ISNUMBER(BB99),ISNUMBER(BB214)),ROUND(BB99-BB214,1),"")</f>
        <v/>
      </c>
      <c r="BC103" s="189">
        <f>IF(AND(ISNUMBER(BC99),ISNUMBER(BC214)),ROUND(BC99-BC214,1),"")</f>
        <v/>
      </c>
      <c r="BD103" s="189">
        <f>IF(AND(ISNUMBER(BD99),ISNUMBER(BD214)),ROUND(BD99-BD214,1),"")</f>
        <v/>
      </c>
      <c r="BE103" s="189">
        <f>IF(AND(ISNUMBER(BE99),ISNUMBER(BE214)),ROUND(BE99-BE214,1),"")</f>
        <v/>
      </c>
      <c r="BF103" s="189">
        <f>IF(AND(ISNUMBER(BF99),ISNUMBER(BF214)),ROUND(BF99-BF214,1),"")</f>
        <v/>
      </c>
      <c r="BG103" s="189">
        <f>IF(AND(ISNUMBER(BG99),ISNUMBER(BG214)),ROUND(BG99-BG214,1),"")</f>
        <v/>
      </c>
      <c r="BH103" s="189">
        <f>IF(AND(ISNUMBER(BH99),ISNUMBER(BH214)),ROUND(BH99-BH214,1),"")</f>
        <v/>
      </c>
      <c r="BI103" s="189">
        <f>IF(AND(ISNUMBER(BI99),ISNUMBER(BI214)),ROUND(BI99-BI214,1),"")</f>
        <v/>
      </c>
      <c r="BJ103" s="189">
        <f>IF(AND(ISNUMBER(BJ99),ISNUMBER(BJ214)),ROUND(BJ99-BJ214,1),"")</f>
        <v/>
      </c>
      <c r="BK103" s="189">
        <f>IF(AND(ISNUMBER(BK99),ISNUMBER(BK214)),ROUND(BK99-BK214,1),"")</f>
        <v/>
      </c>
      <c r="BL103" s="189">
        <f>IF(AND(ISNUMBER(BL99),ISNUMBER(BL214)),ROUND(BL99-BL214,1),"")</f>
        <v/>
      </c>
      <c r="BM103" s="189">
        <f>IF(AND(ISNUMBER(BM99),ISNUMBER(BM214)),ROUND(BM99-BM214,1),"")</f>
        <v/>
      </c>
      <c r="BN103" s="189">
        <f>IF(AND(ISNUMBER(BN99),ISNUMBER(BN214)),ROUND(BN99-BN214,1),"")</f>
        <v/>
      </c>
      <c r="BO103" s="189">
        <f>IF(AND(ISNUMBER(BO99),ISNUMBER(BO214)),ROUND(BO99-BO214,1),"")</f>
        <v/>
      </c>
      <c r="BP103" s="189">
        <f>IF(AND(ISNUMBER(BP99),ISNUMBER(BP214)),ROUND(BP99-BP214,1),"")</f>
        <v/>
      </c>
      <c r="BQ103" s="189">
        <f>IF(AND(ISNUMBER(BQ99),ISNUMBER(BQ214)),ROUND(BQ99-BQ214,1),"")</f>
        <v/>
      </c>
      <c r="BR103" s="189">
        <f>IF(AND(ISNUMBER(BR99),ISNUMBER(BR214)),ROUND(BR99-BR214,1),"")</f>
        <v/>
      </c>
      <c r="BS103" s="189">
        <f>IF(AND(ISNUMBER(BS99),ISNUMBER(BS214)),ROUND(BS99-BS214,1),"")</f>
        <v/>
      </c>
      <c r="BT103" s="189">
        <f>IF(AND(ISNUMBER(BT99),ISNUMBER(BT214)),ROUND(BT99-BT214,1),"")</f>
        <v/>
      </c>
      <c r="BU103" s="189">
        <f>IF(AND(ISNUMBER(BU99),ISNUMBER(BU214)),ROUND(BU99-BU214,1),"")</f>
        <v/>
      </c>
      <c r="BV103" s="189">
        <f>IF(AND(ISNUMBER(BV99),ISNUMBER(BV214)),ROUND(BV99-BV214,1),"")</f>
        <v/>
      </c>
      <c r="BW103" s="189">
        <f>IF(AND(ISNUMBER(BW99),ISNUMBER(BW214)),ROUND(BW99-BW214,1),"")</f>
        <v/>
      </c>
      <c r="BX103" s="189">
        <f>IF(AND(ISNUMBER(BX99),ISNUMBER(BX214)),ROUND(BX99-BX214,1),"")</f>
        <v/>
      </c>
      <c r="BY103" s="194">
        <f>IF(AND(ISNUMBER(BY99),ISNUMBER(BY214)),ROUND(BY99-BY214,1),"")</f>
        <v/>
      </c>
      <c r="BZ103" s="194">
        <f>IF(AND(ISNUMBER(BZ99),ISNUMBER(BZ214)),ROUND(BZ99-BZ214,1),"")</f>
        <v/>
      </c>
      <c r="CA103" s="194">
        <f>IF(AND(ISNUMBER(CA99),ISNUMBER(CA214)),ROUND(CA99-CA214,1),"")</f>
        <v/>
      </c>
      <c r="CB103" s="194">
        <f>IF(AND(ISNUMBER(CB99),ISNUMBER(CB214)),ROUND(CB99-CB214,1),"")</f>
        <v/>
      </c>
      <c r="CC103" s="194">
        <f>IF(AND(ISNUMBER(CC99),ISNUMBER(CC214)),ROUND(CC99-CC214,1),"")</f>
        <v/>
      </c>
      <c r="CD103" s="194">
        <f>IF(AND(ISNUMBER(CD99),ISNUMBER(CD214)),ROUND(CD99-CD214,1),"")</f>
        <v/>
      </c>
      <c r="CE103" s="194">
        <f>IF(AND(ISNUMBER(CE99),ISNUMBER(CE214)),ROUND(CE99-CE214,1),"")</f>
        <v/>
      </c>
      <c r="CF103" s="6" t="n"/>
    </row>
    <row r="104" ht="15" customHeight="1">
      <c r="B104" s="26" t="inlineStr">
        <is>
          <t xml:space="preserve">  Income from operations (GAAP; Σ segments + corporate)</t>
        </is>
      </c>
      <c r="C104" s="183">
        <f>IF(AND(ISNUMBER(C37),ISNUMBER(C80)),C37+C61+C80+N(C90)-N(C95),"")</f>
        <v/>
      </c>
      <c r="D104" s="183">
        <f>IF(AND(ISNUMBER(D37),ISNUMBER(D80)),D37+D61+D80+N(D90)-N(D95),"")</f>
        <v/>
      </c>
      <c r="E104" s="183">
        <f>IF(AND(ISNUMBER(E37),ISNUMBER(E80)),E37+E61+E80+N(E90)-N(E95),"")</f>
        <v/>
      </c>
      <c r="F104" s="183">
        <f>IF(AND(ISNUMBER(F37),ISNUMBER(F80)),F37+F61+F80+N(F90)-N(F95),"")</f>
        <v/>
      </c>
      <c r="G104" s="183">
        <f>IF(AND(ISNUMBER(G37),ISNUMBER(G80)),G37+G61+G80+N(G90)-N(G95),"")</f>
        <v/>
      </c>
      <c r="H104" s="183">
        <f>IF(AND(ISNUMBER(H37),ISNUMBER(H80)),H37+H61+H80+N(H90)-N(H95),"")</f>
        <v/>
      </c>
      <c r="I104" s="183">
        <f>IF(AND(ISNUMBER(I37),ISNUMBER(I80)),I37+I61+I80+N(I90)-N(I95),"")</f>
        <v/>
      </c>
      <c r="J104" s="183">
        <f>IF(AND(ISNUMBER(J37),ISNUMBER(J80)),J37+J61+J80+N(J90)-N(J95),"")</f>
        <v/>
      </c>
      <c r="K104" s="183">
        <f>IF(AND(ISNUMBER(K37),ISNUMBER(K80)),K37+K61+K80+N(K90)-N(K95),"")</f>
        <v/>
      </c>
      <c r="L104" s="183">
        <f>IF(AND(ISNUMBER(L37),ISNUMBER(L80)),L37+L61+L80+N(L90)-N(L95),"")</f>
        <v/>
      </c>
      <c r="M104" s="183">
        <f>IF(AND(ISNUMBER(M37),ISNUMBER(M80)),M37+M61+M80+N(M90)-N(M95),"")</f>
        <v/>
      </c>
      <c r="N104" s="183">
        <f>IF(AND(ISNUMBER(N37),ISNUMBER(N80)),N37+N61+N80+N(N90)-N(N95),"")</f>
        <v/>
      </c>
      <c r="O104" s="183">
        <f>IF(AND(ISNUMBER(O37),ISNUMBER(O80)),O37+O61+O80+N(O90)-N(O95),"")</f>
        <v/>
      </c>
      <c r="P104" s="183">
        <f>IF(AND(ISNUMBER(P37),ISNUMBER(P80)),P37+P61+P80+N(P90)-N(P95),"")</f>
        <v/>
      </c>
      <c r="Q104" s="183">
        <f>IF(AND(ISNUMBER(Q37),ISNUMBER(Q80)),Q37+Q61+Q80+N(Q90)-N(Q95),"")</f>
        <v/>
      </c>
      <c r="R104" s="183">
        <f>IF(AND(ISNUMBER(R37),ISNUMBER(R80)),R37+R61+R80+N(R90)-N(R95),"")</f>
        <v/>
      </c>
      <c r="S104" s="183">
        <f>IF(AND(ISNUMBER(S37),ISNUMBER(S80)),S37+S61+S80+N(S90)-N(S95),"")</f>
        <v/>
      </c>
      <c r="T104" s="183">
        <f>IF(AND(ISNUMBER(T37),ISNUMBER(T80)),T37+T61+T80+N(T90)-N(T95),"")</f>
        <v/>
      </c>
      <c r="U104" s="183">
        <f>IF(AND(ISNUMBER(U37),ISNUMBER(U80)),U37+U61+U80+N(U90)-N(U95),"")</f>
        <v/>
      </c>
      <c r="V104" s="183">
        <f>IF(AND(ISNUMBER(V37),ISNUMBER(V80)),V37+V61+V80+N(V90)-N(V95),"")</f>
        <v/>
      </c>
      <c r="W104" s="183">
        <f>IF(AND(ISNUMBER(W37),ISNUMBER(W80)),W37+W61+W80+N(W90)-N(W95),"")</f>
        <v/>
      </c>
      <c r="X104" s="183">
        <f>IF(AND(ISNUMBER(X37),ISNUMBER(X80)),X37+X61+X80+N(X90)-N(X95),"")</f>
        <v/>
      </c>
      <c r="Y104" s="183">
        <f>IF(AND(ISNUMBER(Y37),ISNUMBER(Y80)),Y37+Y61+Y80+N(Y90)-N(Y95),"")</f>
        <v/>
      </c>
      <c r="Z104" s="183">
        <f>IF(AND(ISNUMBER(Z37),ISNUMBER(Z80)),Z37+Z61+Z80+N(Z90)-N(Z95),"")</f>
        <v/>
      </c>
      <c r="AA104" s="183">
        <f>IF(AND(ISNUMBER(AA37),ISNUMBER(AA80)),AA37+AA61+AA80+N(AA90)-N(AA95),"")</f>
        <v/>
      </c>
      <c r="AB104" s="183">
        <f>IF(AND(ISNUMBER(AB37),ISNUMBER(AB80)),AB37+AB61+AB80+N(AB90)-N(AB95),"")</f>
        <v/>
      </c>
      <c r="AC104" s="183">
        <f>IF(AND(ISNUMBER(AC37),ISNUMBER(AC80)),AC37+AC61+AC80+N(AC90)-N(AC95),"")</f>
        <v/>
      </c>
      <c r="AD104" s="183">
        <f>IF(AND(ISNUMBER(AD37),ISNUMBER(AD80)),AD37+AD61+AD80+N(AD90)-N(AD95),"")</f>
        <v/>
      </c>
      <c r="AE104" s="183">
        <f>IF(AND(ISNUMBER(AE37),ISNUMBER(AE80)),AE37+AE61+AE80+N(AE90)-N(AE95),"")</f>
        <v/>
      </c>
      <c r="AF104" s="183">
        <f>IF(AND(ISNUMBER(AF37),ISNUMBER(AF80)),AF37+AF61+AF80+N(AF90)-N(AF95),"")</f>
        <v/>
      </c>
      <c r="AG104" s="183">
        <f>IF(AND(ISNUMBER(AG37),ISNUMBER(AG80)),AG37+AG61+AG80+N(AG90)-N(AG95),"")</f>
        <v/>
      </c>
      <c r="AH104" s="183">
        <f>IF(AND(ISNUMBER(AH37),ISNUMBER(AH80)),AH37+AH61+AH80+N(AH90)-N(AH95),"")</f>
        <v/>
      </c>
      <c r="AI104" s="183">
        <f>IF(AND(ISNUMBER(AI37),ISNUMBER(AI80)),AI37+AI61+AI80+N(AI90)-N(AI95),"")</f>
        <v/>
      </c>
      <c r="AJ104" s="183">
        <f>IF(AND(ISNUMBER(AJ37),ISNUMBER(AJ80)),AJ37+AJ61+AJ80+N(AJ90)-N(AJ95),"")</f>
        <v/>
      </c>
      <c r="AK104" s="183">
        <f>IF(AND(ISNUMBER(AK37),ISNUMBER(AK80)),AK37+AK61+AK80+N(AK90)-N(AK95),"")</f>
        <v/>
      </c>
      <c r="AL104" s="183">
        <f>IF(AND(ISNUMBER(AL37),ISNUMBER(AL80)),AL37+AL61+AL80+N(AL90)-N(AL95),"")</f>
        <v/>
      </c>
      <c r="AM104" s="183">
        <f>IF(AND(ISNUMBER(AM37),ISNUMBER(AM80)),AM37+AM61+AM80+N(AM90)-N(AM95),"")</f>
        <v/>
      </c>
      <c r="AN104" s="183">
        <f>IF(AND(ISNUMBER(AN37),ISNUMBER(AN80)),AN37+AN61+AN80+N(AN90)-N(AN95),"")</f>
        <v/>
      </c>
      <c r="AO104" s="183">
        <f>IF(AND(ISNUMBER(AO37),ISNUMBER(AO80)),AO37+AO61+AO80+N(AO90)-N(AO95),"")</f>
        <v/>
      </c>
      <c r="AP104" s="183">
        <f>IF(AND(ISNUMBER(AP37),ISNUMBER(AP80)),AP37+AP61+AP80+N(AP90)-N(AP95),"")</f>
        <v/>
      </c>
      <c r="AQ104" s="183">
        <f>IF(AND(ISNUMBER(AQ37),ISNUMBER(AQ80)),AQ37+AQ61+AQ80+N(AQ90)-N(AQ95),"")</f>
        <v/>
      </c>
      <c r="AR104" s="183">
        <f>IF(AND(ISNUMBER(AR37),ISNUMBER(AR80)),AR37+AR61+AR80+N(AR90)-N(AR95),"")</f>
        <v/>
      </c>
      <c r="AS104" s="183">
        <f>IF(AND(ISNUMBER(AS37),ISNUMBER(AS80)),AS37+AS61+AS80+N(AS90)-N(AS95),"")</f>
        <v/>
      </c>
      <c r="AT104" s="183">
        <f>IF(AND(ISNUMBER(AT37),ISNUMBER(AT80)),AT37+AT61+AT80+N(AT90)-N(AT95),"")</f>
        <v/>
      </c>
      <c r="AU104" s="183">
        <f>IF(AND(ISNUMBER(AU37),ISNUMBER(AU80)),AU37+AU61+AU80+N(AU90)-N(AU95),"")</f>
        <v/>
      </c>
      <c r="AV104" s="183">
        <f>IF(AND(ISNUMBER(AV37),ISNUMBER(AV80)),AV37+AV61+AV80+N(AV90)-N(AV95),"")</f>
        <v/>
      </c>
      <c r="AW104" s="183">
        <f>IF(AND(ISNUMBER(AW37),ISNUMBER(AW80)),AW37+AW61+AW80+N(AW90)-N(AW95),"")</f>
        <v/>
      </c>
      <c r="AX104" s="183">
        <f>IF(AND(ISNUMBER(AX37),ISNUMBER(AX80)),AX37+AX61+AX80+N(AX90)-N(AX95),"")</f>
        <v/>
      </c>
      <c r="AY104" s="183">
        <f>IF(AND(ISNUMBER(AY37),ISNUMBER(AY80)),AY37+AY61+AY80+N(AY90)-N(AY95),"")</f>
        <v/>
      </c>
      <c r="AZ104" s="183">
        <f>IF(AND(ISNUMBER(AZ37),ISNUMBER(AZ80)),AZ37+AZ61+AZ80+N(AZ90)-N(AZ95),"")</f>
        <v/>
      </c>
      <c r="BA104" s="183">
        <f>IF(AND(ISNUMBER(BA37),ISNUMBER(BA80)),BA37+BA61+BA80+N(BA90)-N(BA95),"")</f>
        <v/>
      </c>
      <c r="BB104" s="183">
        <f>IF(AND(ISNUMBER(BB37),ISNUMBER(BB80)),BB37+BB61+BB80+N(BB90)-N(BB95),"")</f>
        <v/>
      </c>
      <c r="BC104" s="183">
        <f>IF(AND(ISNUMBER(BC37),ISNUMBER(BC80)),BC37+BC61+BC80+N(BC90)-N(BC95),"")</f>
        <v/>
      </c>
      <c r="BD104" s="183">
        <f>IF(AND(ISNUMBER(BD37),ISNUMBER(BD80)),BD37+BD61+BD80+N(BD90)-N(BD95),"")</f>
        <v/>
      </c>
      <c r="BE104" s="183">
        <f>IF(AND(ISNUMBER(BE37),ISNUMBER(BE80)),BE37+BE61+BE80+N(BE90)-N(BE95),"")</f>
        <v/>
      </c>
      <c r="BF104" s="183">
        <f>IF(AND(ISNUMBER(BF37),ISNUMBER(BF80)),BF37+BF61+BF80+N(BF90)-N(BF95),"")</f>
        <v/>
      </c>
      <c r="BG104" s="183">
        <f>IF(AND(ISNUMBER(BG37),ISNUMBER(BG80)),BG37+BG61+BG80+N(BG90)-N(BG95),"")</f>
        <v/>
      </c>
      <c r="BH104" s="183">
        <f>IF(AND(ISNUMBER(BH37),ISNUMBER(BH80)),BH37+BH61+BH80+N(BH90)-N(BH95),"")</f>
        <v/>
      </c>
      <c r="BI104" s="183">
        <f>IF(AND(ISNUMBER(BI37),ISNUMBER(BI80)),BI37+BI61+BI80+N(BI90)-N(BI95),"")</f>
        <v/>
      </c>
      <c r="BJ104" s="183">
        <f>IF(AND(ISNUMBER(BJ37),ISNUMBER(BJ80)),BJ37+BJ61+BJ80+N(BJ90)-N(BJ95),"")</f>
        <v/>
      </c>
      <c r="BK104" s="183">
        <f>IF(AND(ISNUMBER(BK37),ISNUMBER(BK80)),BK37+BK61+BK80+N(BK90)-N(BK95),"")</f>
        <v/>
      </c>
      <c r="BL104" s="183">
        <f>IF(AND(ISNUMBER(BL37),ISNUMBER(BL80)),BL37+BL61+BL80+N(BL90)-N(BL95),"")</f>
        <v/>
      </c>
      <c r="BM104" s="183">
        <f>IF(AND(ISNUMBER(BM37),ISNUMBER(BM80)),BM37+BM61+BM80+N(BM90)-N(BM95),"")</f>
        <v/>
      </c>
      <c r="BN104" s="183">
        <f>IF(AND(ISNUMBER(BN37),ISNUMBER(BN80)),BN37+BN61+BN80+N(BN90)-N(BN95),"")</f>
        <v/>
      </c>
      <c r="BO104" s="183">
        <f>IF(AND(ISNUMBER(BO37),ISNUMBER(BO80)),BO37+BO61+BO80+N(BO90)-N(BO95),"")</f>
        <v/>
      </c>
      <c r="BP104" s="183">
        <f>IF(AND(ISNUMBER(BP37),ISNUMBER(BP80)),BP37+BP61+BP80+N(BP90)-N(BP95),"")</f>
        <v/>
      </c>
      <c r="BQ104" s="183">
        <f>IF(AND(ISNUMBER(BQ37),ISNUMBER(BQ80)),BQ37+BQ61+BQ80+N(BQ90)-N(BQ95),"")</f>
        <v/>
      </c>
      <c r="BR104" s="183">
        <f>IF(AND(ISNUMBER(BR37),ISNUMBER(BR80)),BR37+BR61+BR80+N(BR90)-N(BR95),"")</f>
        <v/>
      </c>
      <c r="BS104" s="183">
        <f>IF(AND(ISNUMBER(BS37),ISNUMBER(BS80)),BS37+BS61+BS80+N(BS90)-N(BS95),"")</f>
        <v/>
      </c>
      <c r="BT104" s="183">
        <f>IF(AND(ISNUMBER(BT37),ISNUMBER(BT80)),BT37+BT61+BT80+N(BT90)-N(BT95),"")</f>
        <v/>
      </c>
      <c r="BU104" s="183">
        <f>IF(AND(ISNUMBER(BU37),ISNUMBER(BU80)),BU37+BU61+BU80+N(BU90)-N(BU95),"")</f>
        <v/>
      </c>
      <c r="BV104" s="183">
        <f>IF(AND(ISNUMBER(BV37),ISNUMBER(BV80)),BV37+BV61+BV80+N(BV90)-N(BV95),"")</f>
        <v/>
      </c>
      <c r="BW104" s="183">
        <f>IF(AND(ISNUMBER(BW37),ISNUMBER(BW80)),BW37+BW61+BW80+N(BW90)-N(BW95),"")</f>
        <v/>
      </c>
      <c r="BX104" s="183">
        <f>IF(AND(ISNUMBER(BX37),ISNUMBER(BX80)),BX37+BX61+BX80+N(BX90)-N(BX95),"")</f>
        <v/>
      </c>
      <c r="BY104" s="178">
        <f>IF(AND(ISNUMBER(BY37),ISNUMBER(BY80)),BY37+BY61+BY80+N(BY90)-N(BY95),"")</f>
        <v/>
      </c>
      <c r="BZ104" s="178">
        <f>IF(AND(ISNUMBER(BZ37),ISNUMBER(BZ80)),BZ37+BZ61+BZ80+N(BZ90)-N(BZ95),"")</f>
        <v/>
      </c>
      <c r="CA104" s="178">
        <f>IF(AND(ISNUMBER(CA37),ISNUMBER(CA80)),CA37+CA61+CA80+N(CA90)-N(CA95),"")</f>
        <v/>
      </c>
      <c r="CB104" s="178">
        <f>IF(AND(ISNUMBER(CB37),ISNUMBER(CB80)),CB37+CB61+CB80+N(CB90)-N(CB95),"")</f>
        <v/>
      </c>
      <c r="CC104" s="178">
        <f>IF(AND(ISNUMBER(CC37),ISNUMBER(CC80)),CC37+CC61+CC80+N(CC90)-N(CC95),"")</f>
        <v/>
      </c>
      <c r="CD104" s="178">
        <f>IF(AND(ISNUMBER(CD37),ISNUMBER(CD80)),CD37+CD61+CD80+N(CD90)-N(CD95),"")</f>
        <v/>
      </c>
      <c r="CE104" s="178">
        <f>IF(AND(ISNUMBER(CE37),ISNUMBER(CE80)),CE37+CE61+CE80+N(CE90)-N(CE95),"")</f>
        <v/>
      </c>
      <c r="CF104" s="20" t="n"/>
    </row>
    <row r="105" ht="15" customHeight="1">
      <c r="B105" s="61" t="inlineStr">
        <is>
          <t xml:space="preserve">  Check: segment build vs consolidated income from operations (should be 0)</t>
        </is>
      </c>
      <c r="C105" s="189">
        <f>IF(ISNUMBER(C104),ROUND(C104-C150,0),"")</f>
        <v/>
      </c>
      <c r="D105" s="189">
        <f>IF(ISNUMBER(D104),ROUND(D104-D150,0),"")</f>
        <v/>
      </c>
      <c r="E105" s="189">
        <f>IF(ISNUMBER(E104),ROUND(E104-E150,0),"")</f>
        <v/>
      </c>
      <c r="F105" s="189">
        <f>IF(ISNUMBER(F104),ROUND(F104-F150,0),"")</f>
        <v/>
      </c>
      <c r="G105" s="189">
        <f>IF(ISNUMBER(G104),ROUND(G104-G150,0),"")</f>
        <v/>
      </c>
      <c r="H105" s="189">
        <f>IF(ISNUMBER(H104),ROUND(H104-H150,0),"")</f>
        <v/>
      </c>
      <c r="I105" s="189">
        <f>IF(ISNUMBER(I104),ROUND(I104-I150,0),"")</f>
        <v/>
      </c>
      <c r="J105" s="189">
        <f>IF(ISNUMBER(J104),ROUND(J104-J150,0),"")</f>
        <v/>
      </c>
      <c r="K105" s="189">
        <f>IF(ISNUMBER(K104),ROUND(K104-K150,0),"")</f>
        <v/>
      </c>
      <c r="L105" s="189">
        <f>IF(ISNUMBER(L104),ROUND(L104-L150,0),"")</f>
        <v/>
      </c>
      <c r="M105" s="189">
        <f>IF(ISNUMBER(M104),ROUND(M104-M150,0),"")</f>
        <v/>
      </c>
      <c r="N105" s="189">
        <f>IF(ISNUMBER(N104),ROUND(N104-N150,0),"")</f>
        <v/>
      </c>
      <c r="O105" s="189">
        <f>IF(ISNUMBER(O104),ROUND(O104-O150,0),"")</f>
        <v/>
      </c>
      <c r="P105" s="189">
        <f>IF(ISNUMBER(P104),ROUND(P104-P150,0),"")</f>
        <v/>
      </c>
      <c r="Q105" s="189">
        <f>IF(ISNUMBER(Q104),ROUND(Q104-Q150,0),"")</f>
        <v/>
      </c>
      <c r="R105" s="189">
        <f>IF(ISNUMBER(R104),ROUND(R104-R150,0),"")</f>
        <v/>
      </c>
      <c r="S105" s="189">
        <f>IF(ISNUMBER(S104),ROUND(S104-S150,0),"")</f>
        <v/>
      </c>
      <c r="T105" s="189">
        <f>IF(ISNUMBER(T104),ROUND(T104-T150,0),"")</f>
        <v/>
      </c>
      <c r="U105" s="189">
        <f>IF(ISNUMBER(U104),ROUND(U104-U150,0),"")</f>
        <v/>
      </c>
      <c r="V105" s="189">
        <f>IF(ISNUMBER(V104),ROUND(V104-V150,0),"")</f>
        <v/>
      </c>
      <c r="W105" s="189">
        <f>IF(ISNUMBER(W104),ROUND(W104-W150,0),"")</f>
        <v/>
      </c>
      <c r="X105" s="189">
        <f>IF(ISNUMBER(X104),ROUND(X104-X150,0),"")</f>
        <v/>
      </c>
      <c r="Y105" s="189">
        <f>IF(ISNUMBER(Y104),ROUND(Y104-Y150,0),"")</f>
        <v/>
      </c>
      <c r="Z105" s="189">
        <f>IF(ISNUMBER(Z104),ROUND(Z104-Z150,0),"")</f>
        <v/>
      </c>
      <c r="AA105" s="189">
        <f>IF(ISNUMBER(AA104),ROUND(AA104-AA150,0),"")</f>
        <v/>
      </c>
      <c r="AB105" s="189">
        <f>IF(ISNUMBER(AB104),ROUND(AB104-AB150,0),"")</f>
        <v/>
      </c>
      <c r="AC105" s="189">
        <f>IF(ISNUMBER(AC104),ROUND(AC104-AC150,0),"")</f>
        <v/>
      </c>
      <c r="AD105" s="189">
        <f>IF(ISNUMBER(AD104),ROUND(AD104-AD150,0),"")</f>
        <v/>
      </c>
      <c r="AE105" s="189">
        <f>IF(ISNUMBER(AE104),ROUND(AE104-AE150,0),"")</f>
        <v/>
      </c>
      <c r="AF105" s="189">
        <f>IF(ISNUMBER(AF104),ROUND(AF104-AF150,0),"")</f>
        <v/>
      </c>
      <c r="AG105" s="189">
        <f>IF(ISNUMBER(AG104),ROUND(AG104-AG150,0),"")</f>
        <v/>
      </c>
      <c r="AH105" s="189">
        <f>IF(ISNUMBER(AH104),ROUND(AH104-AH150,0),"")</f>
        <v/>
      </c>
      <c r="AI105" s="189">
        <f>IF(ISNUMBER(AI104),ROUND(AI104-AI150,0),"")</f>
        <v/>
      </c>
      <c r="AJ105" s="189">
        <f>IF(ISNUMBER(AJ104),ROUND(AJ104-AJ150,0),"")</f>
        <v/>
      </c>
      <c r="AK105" s="189">
        <f>IF(ISNUMBER(AK104),ROUND(AK104-AK150,0),"")</f>
        <v/>
      </c>
      <c r="AL105" s="189">
        <f>IF(ISNUMBER(AL104),ROUND(AL104-AL150,0),"")</f>
        <v/>
      </c>
      <c r="AM105" s="189">
        <f>IF(ISNUMBER(AM104),ROUND(AM104-AM150,0),"")</f>
        <v/>
      </c>
      <c r="AN105" s="189">
        <f>IF(ISNUMBER(AN104),ROUND(AN104-AN150,0),"")</f>
        <v/>
      </c>
      <c r="AO105" s="189">
        <f>IF(ISNUMBER(AO104),ROUND(AO104-AO150,0),"")</f>
        <v/>
      </c>
      <c r="AP105" s="189">
        <f>IF(ISNUMBER(AP104),ROUND(AP104-AP150,0),"")</f>
        <v/>
      </c>
      <c r="AQ105" s="189">
        <f>IF(ISNUMBER(AQ104),ROUND(AQ104-AQ150,0),"")</f>
        <v/>
      </c>
      <c r="AR105" s="189">
        <f>IF(ISNUMBER(AR104),ROUND(AR104-AR150,0),"")</f>
        <v/>
      </c>
      <c r="AS105" s="189">
        <f>IF(ISNUMBER(AS104),ROUND(AS104-AS150,0),"")</f>
        <v/>
      </c>
      <c r="AT105" s="189">
        <f>IF(ISNUMBER(AT104),ROUND(AT104-AT150,0),"")</f>
        <v/>
      </c>
      <c r="AU105" s="189">
        <f>IF(ISNUMBER(AU104),ROUND(AU104-AU150,0),"")</f>
        <v/>
      </c>
      <c r="AV105" s="189">
        <f>IF(ISNUMBER(AV104),ROUND(AV104-AV150,0),"")</f>
        <v/>
      </c>
      <c r="AW105" s="189">
        <f>IF(ISNUMBER(AW104),ROUND(AW104-AW150,0),"")</f>
        <v/>
      </c>
      <c r="AX105" s="189">
        <f>IF(ISNUMBER(AX104),ROUND(AX104-AX150,0),"")</f>
        <v/>
      </c>
      <c r="AY105" s="189">
        <f>IF(ISNUMBER(AY104),ROUND(AY104-AY150,0),"")</f>
        <v/>
      </c>
      <c r="AZ105" s="189">
        <f>IF(ISNUMBER(AZ104),ROUND(AZ104-AZ150,0),"")</f>
        <v/>
      </c>
      <c r="BA105" s="189">
        <f>IF(ISNUMBER(BA104),ROUND(BA104-BA150,0),"")</f>
        <v/>
      </c>
      <c r="BB105" s="189">
        <f>IF(ISNUMBER(BB104),ROUND(BB104-BB150,0),"")</f>
        <v/>
      </c>
      <c r="BC105" s="189">
        <f>IF(ISNUMBER(BC104),ROUND(BC104-BC150,0),"")</f>
        <v/>
      </c>
      <c r="BD105" s="189">
        <f>IF(ISNUMBER(BD104),ROUND(BD104-BD150,0),"")</f>
        <v/>
      </c>
      <c r="BE105" s="189">
        <f>IF(ISNUMBER(BE104),ROUND(BE104-BE150,0),"")</f>
        <v/>
      </c>
      <c r="BF105" s="189">
        <f>IF(ISNUMBER(BF104),ROUND(BF104-BF150,0),"")</f>
        <v/>
      </c>
      <c r="BG105" s="189">
        <f>IF(ISNUMBER(BG104),ROUND(BG104-BG150,0),"")</f>
        <v/>
      </c>
      <c r="BH105" s="189">
        <f>IF(ISNUMBER(BH104),ROUND(BH104-BH150,0),"")</f>
        <v/>
      </c>
      <c r="BI105" s="189">
        <f>IF(ISNUMBER(BI104),ROUND(BI104-BI150,0),"")</f>
        <v/>
      </c>
      <c r="BJ105" s="189">
        <f>IF(ISNUMBER(BJ104),ROUND(BJ104-BJ150,0),"")</f>
        <v/>
      </c>
      <c r="BK105" s="189">
        <f>IF(ISNUMBER(BK104),ROUND(BK104-BK150,0),"")</f>
        <v/>
      </c>
      <c r="BL105" s="189">
        <f>IF(ISNUMBER(BL104),ROUND(BL104-BL150,0),"")</f>
        <v/>
      </c>
      <c r="BM105" s="189">
        <f>IF(ISNUMBER(BM104),ROUND(BM104-BM150,0),"")</f>
        <v/>
      </c>
      <c r="BN105" s="189">
        <f>IF(ISNUMBER(BN104),ROUND(BN104-BN150,0),"")</f>
        <v/>
      </c>
      <c r="BO105" s="189">
        <f>IF(ISNUMBER(BO104),ROUND(BO104-BO150,0),"")</f>
        <v/>
      </c>
      <c r="BP105" s="189">
        <f>IF(ISNUMBER(BP104),ROUND(BP104-BP150,0),"")</f>
        <v/>
      </c>
      <c r="BQ105" s="189">
        <f>IF(ISNUMBER(BQ104),ROUND(BQ104-BQ150,0),"")</f>
        <v/>
      </c>
      <c r="BR105" s="189">
        <f>IF(ISNUMBER(BR104),ROUND(BR104-BR150,0),"")</f>
        <v/>
      </c>
      <c r="BS105" s="189">
        <f>IF(ISNUMBER(BS104),ROUND(BS104-BS150,0),"")</f>
        <v/>
      </c>
      <c r="BT105" s="189">
        <f>IF(ISNUMBER(BT104),ROUND(BT104-BT150,0),"")</f>
        <v/>
      </c>
      <c r="BU105" s="189">
        <f>IF(ISNUMBER(BU104),ROUND(BU104-BU150,0),"")</f>
        <v/>
      </c>
      <c r="BV105" s="189">
        <f>IF(ISNUMBER(BV104),ROUND(BV104-BV150,0),"")</f>
        <v/>
      </c>
      <c r="BW105" s="189">
        <f>IF(ISNUMBER(BW104),ROUND(BW104-BW150,0),"")</f>
        <v/>
      </c>
      <c r="BX105" s="189">
        <f>IF(ISNUMBER(BX104),ROUND(BX104-BX150,0),"")</f>
        <v/>
      </c>
      <c r="BY105" s="194">
        <f>IF(ISNUMBER(BY104),ROUND(BY104-BY150,0),"")</f>
        <v/>
      </c>
      <c r="BZ105" s="194">
        <f>IF(ISNUMBER(BZ104),ROUND(BZ104-BZ150,0),"")</f>
        <v/>
      </c>
      <c r="CA105" s="194">
        <f>IF(ISNUMBER(CA104),ROUND(CA104-CA150,0),"")</f>
        <v/>
      </c>
      <c r="CB105" s="194">
        <f>IF(ISNUMBER(CB104),ROUND(CB104-CB150,0),"")</f>
        <v/>
      </c>
      <c r="CC105" s="194">
        <f>IF(ISNUMBER(CC104),ROUND(CC104-CC150,0),"")</f>
        <v/>
      </c>
      <c r="CD105" s="194">
        <f>IF(ISNUMBER(CD104),ROUND(CD104-CD150,0),"")</f>
        <v/>
      </c>
      <c r="CE105" s="194">
        <f>IF(ISNUMBER(CE104),ROUND(CE104-CE150,0),"")</f>
        <v/>
      </c>
      <c r="CF105" s="6" t="n"/>
    </row>
    <row r="106" ht="15" customHeight="1">
      <c r="B106" s="42" t="inlineStr">
        <is>
          <t xml:space="preserve">  Memo: FY26 net sales guidance (scenario end-point)</t>
        </is>
      </c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  <c r="AU106" s="36" t="n"/>
      <c r="AV106" s="36" t="n"/>
      <c r="AW106" s="36" t="n"/>
      <c r="AX106" s="36" t="n"/>
      <c r="AY106" s="36" t="n"/>
      <c r="AZ106" s="36" t="n"/>
      <c r="BA106" s="36" t="n"/>
      <c r="BB106" s="36" t="n"/>
      <c r="BC106" s="36" t="n"/>
      <c r="BD106" s="36" t="n"/>
      <c r="BE106" s="36" t="n"/>
      <c r="BF106" s="36" t="n"/>
      <c r="BG106" s="36" t="n"/>
      <c r="BH106" s="36" t="n"/>
      <c r="BI106" s="36" t="n"/>
      <c r="BJ106" s="36" t="n"/>
      <c r="BK106" s="36" t="n"/>
      <c r="BL106" s="36" t="n"/>
      <c r="BM106" s="36" t="n"/>
      <c r="BN106" s="36" t="n"/>
      <c r="BO106" s="36" t="n"/>
      <c r="BP106" s="36" t="n"/>
      <c r="BQ106" s="36" t="n"/>
      <c r="BR106" s="36" t="n"/>
      <c r="BS106" s="36" t="n"/>
      <c r="BT106" s="36" t="n"/>
      <c r="BU106" s="36" t="n"/>
      <c r="BV106" s="36" t="n"/>
      <c r="BW106" s="36" t="n"/>
      <c r="BX106" s="36" t="n"/>
      <c r="BY106" s="6" t="n"/>
      <c r="BZ106" s="6" t="n"/>
      <c r="CA106" s="195">
        <f>CHOOSE(MATCH($CF$2,{"Bull","Base","Bear"},0),$CO$12,$CP$12,$CQ$12)</f>
        <v/>
      </c>
      <c r="CB106" s="6" t="n"/>
      <c r="CC106" s="6" t="n"/>
      <c r="CD106" s="6" t="n"/>
      <c r="CE106" s="6" t="n"/>
      <c r="CF106" s="6" t="inlineStr">
        <is>
          <t>Company FY26 sales guidance $12.30–12.60bn (raised in the Q2-26 release, 22-Jul-2026; includes Dellner). Drives the revenue-outlook calibration.</t>
        </is>
      </c>
    </row>
    <row r="107" ht="15" customHeight="1">
      <c r="B107" s="26" t="inlineStr">
        <is>
          <t xml:space="preserve">  Net sales before revenue calibration (Q3/Q4-26E helper)</t>
        </is>
      </c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  <c r="AU107" s="36" t="n"/>
      <c r="AV107" s="36" t="n"/>
      <c r="AW107" s="36" t="n"/>
      <c r="AX107" s="36" t="n"/>
      <c r="AY107" s="36" t="n"/>
      <c r="AZ107" s="36" t="n"/>
      <c r="BA107" s="36" t="n"/>
      <c r="BB107" s="36" t="n"/>
      <c r="BC107" s="36" t="n"/>
      <c r="BD107" s="36" t="n"/>
      <c r="BE107" s="36" t="n"/>
      <c r="BF107" s="36" t="n"/>
      <c r="BG107" s="36" t="n"/>
      <c r="BH107" s="36" t="n"/>
      <c r="BI107" s="36" t="n"/>
      <c r="BJ107" s="36" t="n"/>
      <c r="BK107" s="36" t="n"/>
      <c r="BL107" s="36" t="n"/>
      <c r="BM107" s="36" t="n"/>
      <c r="BN107" s="36" t="n"/>
      <c r="BO107" s="36" t="n"/>
      <c r="BP107" s="36" t="n"/>
      <c r="BQ107" s="36" t="n"/>
      <c r="BR107" s="36" t="n"/>
      <c r="BS107" s="36" t="n"/>
      <c r="BT107" s="36" t="n"/>
      <c r="BU107" s="36" t="n"/>
      <c r="BV107" s="36" t="n"/>
      <c r="BW107" s="36" t="n"/>
      <c r="BX107" s="36" t="n"/>
      <c r="BY107" s="178">
        <f>BT14*(1+BY16)+BT17*(1+BY19)+BT20*(1+BY22)+BT23*(1+BY25)+BT44*(1+BY46)+BT47*(1+BY49)</f>
        <v/>
      </c>
      <c r="BZ107" s="178">
        <f>BU14*(1+BZ16)+BU17*(1+BZ19)+BU20*(1+BZ22)+BU23*(1+BZ25)+BU44*(1+BZ46)+BU47*(1+BZ49)</f>
        <v/>
      </c>
      <c r="CA107" s="37" t="n"/>
      <c r="CB107" s="37" t="n"/>
      <c r="CC107" s="37" t="n"/>
      <c r="CD107" s="37" t="n"/>
      <c r="CE107" s="37" t="n"/>
      <c r="CF107" s="20" t="n"/>
    </row>
    <row r="108" ht="15" customHeight="1">
      <c r="B108" s="26" t="inlineStr">
        <is>
          <t xml:space="preserve">  Net sales sensitivity to +1.00 of growth (Q3/Q4-26E helper)</t>
        </is>
      </c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  <c r="AU108" s="36" t="n"/>
      <c r="AV108" s="36" t="n"/>
      <c r="AW108" s="36" t="n"/>
      <c r="AX108" s="36" t="n"/>
      <c r="AY108" s="36" t="n"/>
      <c r="AZ108" s="36" t="n"/>
      <c r="BA108" s="36" t="n"/>
      <c r="BB108" s="36" t="n"/>
      <c r="BC108" s="36" t="n"/>
      <c r="BD108" s="36" t="n"/>
      <c r="BE108" s="36" t="n"/>
      <c r="BF108" s="36" t="n"/>
      <c r="BG108" s="36" t="n"/>
      <c r="BH108" s="36" t="n"/>
      <c r="BI108" s="36" t="n"/>
      <c r="BJ108" s="36" t="n"/>
      <c r="BK108" s="36" t="n"/>
      <c r="BL108" s="36" t="n"/>
      <c r="BM108" s="36" t="n"/>
      <c r="BN108" s="36" t="n"/>
      <c r="BO108" s="36" t="n"/>
      <c r="BP108" s="36" t="n"/>
      <c r="BQ108" s="36" t="n"/>
      <c r="BR108" s="36" t="n"/>
      <c r="BS108" s="36" t="n"/>
      <c r="BT108" s="36" t="n"/>
      <c r="BU108" s="36" t="n"/>
      <c r="BV108" s="36" t="n"/>
      <c r="BW108" s="36" t="n"/>
      <c r="BX108" s="36" t="n"/>
      <c r="BY108" s="178">
        <f>BT14+BT17+BT20+BT23+BT44+BT47</f>
        <v/>
      </c>
      <c r="BZ108" s="178">
        <f>BU14+BU17+BU20+BU23+BU44+BU47</f>
        <v/>
      </c>
      <c r="CA108" s="37" t="n"/>
      <c r="CB108" s="37" t="n"/>
      <c r="CC108" s="37" t="n"/>
      <c r="CD108" s="37" t="n"/>
      <c r="CE108" s="37" t="n"/>
      <c r="CF108" s="20" t="n"/>
    </row>
    <row r="109" ht="15" customHeight="1">
      <c r="B109" s="26" t="inlineStr">
        <is>
          <t xml:space="preserve">  Outlook calibration: Δ y/y growth applied to all product lines (Q3/Q4-26E)</t>
        </is>
      </c>
      <c r="C109" s="38" t="n"/>
      <c r="D109" s="38" t="n"/>
      <c r="E109" s="38" t="n"/>
      <c r="F109" s="38" t="n"/>
      <c r="G109" s="38" t="n"/>
      <c r="H109" s="38" t="n"/>
      <c r="I109" s="38" t="n"/>
      <c r="J109" s="38" t="n"/>
      <c r="K109" s="38" t="n"/>
      <c r="L109" s="38" t="n"/>
      <c r="M109" s="38" t="n"/>
      <c r="N109" s="38" t="n"/>
      <c r="O109" s="38" t="n"/>
      <c r="P109" s="38" t="n"/>
      <c r="Q109" s="38" t="n"/>
      <c r="R109" s="38" t="n"/>
      <c r="S109" s="38" t="n"/>
      <c r="T109" s="38" t="n"/>
      <c r="U109" s="38" t="n"/>
      <c r="V109" s="38" t="n"/>
      <c r="W109" s="38" t="n"/>
      <c r="X109" s="38" t="n"/>
      <c r="Y109" s="38" t="n"/>
      <c r="Z109" s="38" t="n"/>
      <c r="AA109" s="38" t="n"/>
      <c r="AB109" s="38" t="n"/>
      <c r="AC109" s="38" t="n"/>
      <c r="AD109" s="38" t="n"/>
      <c r="AE109" s="38" t="n"/>
      <c r="AF109" s="38" t="n"/>
      <c r="AG109" s="38" t="n"/>
      <c r="AH109" s="38" t="n"/>
      <c r="AI109" s="38" t="n"/>
      <c r="AJ109" s="38" t="n"/>
      <c r="AK109" s="38" t="n"/>
      <c r="AL109" s="38" t="n"/>
      <c r="AM109" s="38" t="n"/>
      <c r="AN109" s="38" t="n"/>
      <c r="AO109" s="38" t="n"/>
      <c r="AP109" s="38" t="n"/>
      <c r="AQ109" s="38" t="n"/>
      <c r="AR109" s="38" t="n"/>
      <c r="AS109" s="38" t="n"/>
      <c r="AT109" s="38" t="n"/>
      <c r="AU109" s="38" t="n"/>
      <c r="AV109" s="38" t="n"/>
      <c r="AW109" s="38" t="n"/>
      <c r="AX109" s="38" t="n"/>
      <c r="AY109" s="38" t="n"/>
      <c r="AZ109" s="38" t="n"/>
      <c r="BA109" s="38" t="n"/>
      <c r="BB109" s="38" t="n"/>
      <c r="BC109" s="38" t="n"/>
      <c r="BD109" s="38" t="n"/>
      <c r="BE109" s="38" t="n"/>
      <c r="BF109" s="38" t="n"/>
      <c r="BG109" s="38" t="n"/>
      <c r="BH109" s="38" t="n"/>
      <c r="BI109" s="38" t="n"/>
      <c r="BJ109" s="38" t="n"/>
      <c r="BK109" s="38" t="n"/>
      <c r="BL109" s="38" t="n"/>
      <c r="BM109" s="38" t="n"/>
      <c r="BN109" s="38" t="n"/>
      <c r="BO109" s="38" t="n"/>
      <c r="BP109" s="38" t="n"/>
      <c r="BQ109" s="38" t="n"/>
      <c r="BR109" s="38" t="n"/>
      <c r="BS109" s="38" t="n"/>
      <c r="BT109" s="38" t="n"/>
      <c r="BU109" s="38" t="n"/>
      <c r="BV109" s="38" t="n"/>
      <c r="BW109" s="38" t="n"/>
      <c r="BX109" s="38" t="n"/>
      <c r="BY109" s="180">
        <f>(CA106-BW98-BX98-BY107-BZ107)/(BY108+BZ108)</f>
        <v/>
      </c>
      <c r="BZ109" s="180">
        <f>$BY$109</f>
        <v/>
      </c>
      <c r="CA109" s="25" t="n"/>
      <c r="CB109" s="49" t="n"/>
      <c r="CC109" s="49" t="n"/>
      <c r="CD109" s="49" t="n"/>
      <c r="CE109" s="49" t="n"/>
      <c r="CF109" s="20" t="inlineStr">
        <is>
          <t>Solves the uniform growth shift (vs the Q3/Q4-26E inputs) so that FY26 net sales = the FY26 guidance end-point for the active scenario.</t>
        </is>
      </c>
    </row>
    <row r="110" ht="15" customHeight="1">
      <c r="B110" s="61" t="inlineStr">
        <is>
          <t xml:space="preserve">  Check: FY26 net sales vs guidance end-point (should be 0)</t>
        </is>
      </c>
      <c r="C110" s="47" t="n"/>
      <c r="D110" s="47" t="n"/>
      <c r="E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  <c r="W110" s="47" t="n"/>
      <c r="X110" s="47" t="n"/>
      <c r="Y110" s="47" t="n"/>
      <c r="Z110" s="47" t="n"/>
      <c r="AA110" s="47" t="n"/>
      <c r="AB110" s="47" t="n"/>
      <c r="AC110" s="47" t="n"/>
      <c r="AD110" s="47" t="n"/>
      <c r="AE110" s="47" t="n"/>
      <c r="AF110" s="47" t="n"/>
      <c r="AG110" s="47" t="n"/>
      <c r="AH110" s="47" t="n"/>
      <c r="AI110" s="47" t="n"/>
      <c r="AJ110" s="47" t="n"/>
      <c r="AK110" s="47" t="n"/>
      <c r="AL110" s="47" t="n"/>
      <c r="AM110" s="47" t="n"/>
      <c r="AN110" s="47" t="n"/>
      <c r="AO110" s="47" t="n"/>
      <c r="AP110" s="47" t="n"/>
      <c r="AQ110" s="47" t="n"/>
      <c r="AR110" s="47" t="n"/>
      <c r="AS110" s="47" t="n"/>
      <c r="AT110" s="47" t="n"/>
      <c r="AU110" s="47" t="n"/>
      <c r="AV110" s="47" t="n"/>
      <c r="AW110" s="47" t="n"/>
      <c r="AX110" s="47" t="n"/>
      <c r="AY110" s="47" t="n"/>
      <c r="AZ110" s="47" t="n"/>
      <c r="BA110" s="47" t="n"/>
      <c r="BB110" s="47" t="n"/>
      <c r="BC110" s="47" t="n"/>
      <c r="BD110" s="47" t="n"/>
      <c r="BE110" s="47" t="n"/>
      <c r="BF110" s="47" t="n"/>
      <c r="BG110" s="47" t="n"/>
      <c r="BH110" s="47" t="n"/>
      <c r="BI110" s="47" t="n"/>
      <c r="BJ110" s="47" t="n"/>
      <c r="BK110" s="47" t="n"/>
      <c r="BL110" s="47" t="n"/>
      <c r="BM110" s="47" t="n"/>
      <c r="BN110" s="47" t="n"/>
      <c r="BO110" s="47" t="n"/>
      <c r="BP110" s="47" t="n"/>
      <c r="BQ110" s="47" t="n"/>
      <c r="BR110" s="47" t="n"/>
      <c r="BS110" s="47" t="n"/>
      <c r="BT110" s="47" t="n"/>
      <c r="BU110" s="47" t="n"/>
      <c r="BV110" s="47" t="n"/>
      <c r="BW110" s="47" t="n"/>
      <c r="BX110" s="47" t="n"/>
      <c r="BY110" s="6" t="n"/>
      <c r="BZ110" s="6" t="n"/>
      <c r="CA110" s="194">
        <f>ROUND(CA98-CA106,1)</f>
        <v/>
      </c>
      <c r="CB110" s="6" t="n"/>
      <c r="CC110" s="6" t="n"/>
      <c r="CD110" s="6" t="n"/>
      <c r="CE110" s="6" t="n"/>
      <c r="CF110" s="6" t="n"/>
    </row>
    <row r="111" ht="15" customHeight="1">
      <c r="B111" s="42" t="inlineStr">
        <is>
          <t xml:space="preserve">  Memo: FY26 adjusted EPS guidance (scenario end-point, $)</t>
        </is>
      </c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8" t="n"/>
      <c r="AP111" s="28" t="n"/>
      <c r="AQ111" s="28" t="n"/>
      <c r="AR111" s="28" t="n"/>
      <c r="AS111" s="28" t="n"/>
      <c r="AT111" s="28" t="n"/>
      <c r="AU111" s="28" t="n"/>
      <c r="AV111" s="28" t="n"/>
      <c r="AW111" s="28" t="n"/>
      <c r="AX111" s="28" t="n"/>
      <c r="AY111" s="28" t="n"/>
      <c r="AZ111" s="28" t="n"/>
      <c r="BA111" s="28" t="n"/>
      <c r="BB111" s="28" t="n"/>
      <c r="BC111" s="28" t="n"/>
      <c r="BD111" s="28" t="n"/>
      <c r="BE111" s="28" t="n"/>
      <c r="BF111" s="28" t="n"/>
      <c r="BG111" s="28" t="n"/>
      <c r="BH111" s="28" t="n"/>
      <c r="BI111" s="28" t="n"/>
      <c r="BJ111" s="28" t="n"/>
      <c r="BK111" s="28" t="n"/>
      <c r="BL111" s="28" t="n"/>
      <c r="BM111" s="28" t="n"/>
      <c r="BN111" s="28" t="n"/>
      <c r="BO111" s="28" t="n"/>
      <c r="BP111" s="28" t="n"/>
      <c r="BQ111" s="28" t="n"/>
      <c r="BR111" s="28" t="n"/>
      <c r="BS111" s="28" t="n"/>
      <c r="BT111" s="28" t="n"/>
      <c r="BU111" s="28" t="n"/>
      <c r="BV111" s="28" t="n"/>
      <c r="BW111" s="28" t="n"/>
      <c r="BX111" s="28" t="n"/>
      <c r="BY111" s="6" t="n"/>
      <c r="BZ111" s="6" t="n"/>
      <c r="CA111" s="196">
        <f>CHOOSE(MATCH($CF$2,{"Bull","Base","Bear"},0),$CO$13,$CP$13,$CQ$13)</f>
        <v/>
      </c>
      <c r="CB111" s="6" t="n"/>
      <c r="CC111" s="6" t="n"/>
      <c r="CD111" s="6" t="n"/>
      <c r="CE111" s="6" t="n"/>
      <c r="CF111" s="6" t="inlineStr">
        <is>
          <t>Company FY26 adjusted EPS guidance $10.60–10.90 (raised in the Q2-26 release). Drives the adjusted-margin calibration.</t>
        </is>
      </c>
    </row>
    <row r="112" ht="15" customHeight="1">
      <c r="B112" s="26" t="inlineStr">
        <is>
          <t xml:space="preserve">  Required FY26 adjusted net income = guidance × FY26 diluted shares</t>
        </is>
      </c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  <c r="AU112" s="36" t="n"/>
      <c r="AV112" s="36" t="n"/>
      <c r="AW112" s="36" t="n"/>
      <c r="AX112" s="36" t="n"/>
      <c r="AY112" s="36" t="n"/>
      <c r="AZ112" s="36" t="n"/>
      <c r="BA112" s="36" t="n"/>
      <c r="BB112" s="36" t="n"/>
      <c r="BC112" s="36" t="n"/>
      <c r="BD112" s="36" t="n"/>
      <c r="BE112" s="36" t="n"/>
      <c r="BF112" s="36" t="n"/>
      <c r="BG112" s="36" t="n"/>
      <c r="BH112" s="36" t="n"/>
      <c r="BI112" s="36" t="n"/>
      <c r="BJ112" s="36" t="n"/>
      <c r="BK112" s="36" t="n"/>
      <c r="BL112" s="36" t="n"/>
      <c r="BM112" s="36" t="n"/>
      <c r="BN112" s="36" t="n"/>
      <c r="BO112" s="36" t="n"/>
      <c r="BP112" s="36" t="n"/>
      <c r="BQ112" s="36" t="n"/>
      <c r="BR112" s="36" t="n"/>
      <c r="BS112" s="36" t="n"/>
      <c r="BT112" s="36" t="n"/>
      <c r="BU112" s="36" t="n"/>
      <c r="BV112" s="36" t="n"/>
      <c r="BW112" s="36" t="n"/>
      <c r="BX112" s="36" t="n"/>
      <c r="BY112" s="37" t="n"/>
      <c r="BZ112" s="37" t="n"/>
      <c r="CA112" s="178">
        <f>CA111*CA231</f>
        <v/>
      </c>
      <c r="CB112" s="37" t="n"/>
      <c r="CC112" s="37" t="n"/>
      <c r="CD112" s="37" t="n"/>
      <c r="CE112" s="37" t="n"/>
      <c r="CF112" s="20" t="n"/>
    </row>
    <row r="113" ht="15" customHeight="1">
      <c r="B113" s="26" t="inlineStr">
        <is>
          <t xml:space="preserve">  Adjusted income from operations before margin calibration (Q3/Q4-26E helper)</t>
        </is>
      </c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  <c r="AU113" s="36" t="n"/>
      <c r="AV113" s="36" t="n"/>
      <c r="AW113" s="36" t="n"/>
      <c r="AX113" s="36" t="n"/>
      <c r="AY113" s="36" t="n"/>
      <c r="AZ113" s="36" t="n"/>
      <c r="BA113" s="36" t="n"/>
      <c r="BB113" s="36" t="n"/>
      <c r="BC113" s="36" t="n"/>
      <c r="BD113" s="36" t="n"/>
      <c r="BE113" s="36" t="n"/>
      <c r="BF113" s="36" t="n"/>
      <c r="BG113" s="36" t="n"/>
      <c r="BH113" s="36" t="n"/>
      <c r="BI113" s="36" t="n"/>
      <c r="BJ113" s="36" t="n"/>
      <c r="BK113" s="36" t="n"/>
      <c r="BL113" s="36" t="n"/>
      <c r="BM113" s="36" t="n"/>
      <c r="BN113" s="36" t="n"/>
      <c r="BO113" s="36" t="n"/>
      <c r="BP113" s="36" t="n"/>
      <c r="BQ113" s="36" t="n"/>
      <c r="BR113" s="36" t="n"/>
      <c r="BS113" s="36" t="n"/>
      <c r="BT113" s="36" t="n"/>
      <c r="BU113" s="36" t="n"/>
      <c r="BV113" s="36" t="n"/>
      <c r="BW113" s="36" t="n"/>
      <c r="BX113" s="36" t="n"/>
      <c r="BY113" s="178">
        <f>BY27*BY33+BY51*BY57+BY77</f>
        <v/>
      </c>
      <c r="BZ113" s="178">
        <f>BZ27*BZ33+BZ51*BZ57+BZ77</f>
        <v/>
      </c>
      <c r="CA113" s="37" t="n"/>
      <c r="CB113" s="37" t="n"/>
      <c r="CC113" s="37" t="n"/>
      <c r="CD113" s="37" t="n"/>
      <c r="CE113" s="37" t="n"/>
      <c r="CF113" s="20" t="n"/>
    </row>
    <row r="114" ht="15" customHeight="1">
      <c r="B114" s="26" t="inlineStr">
        <is>
          <t xml:space="preserve">  Required 2H/26 adjusted income from operations (given interest, other, tax &amp; NCI)</t>
        </is>
      </c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  <c r="AU114" s="36" t="n"/>
      <c r="AV114" s="36" t="n"/>
      <c r="AW114" s="36" t="n"/>
      <c r="AX114" s="36" t="n"/>
      <c r="AY114" s="36" t="n"/>
      <c r="AZ114" s="36" t="n"/>
      <c r="BA114" s="36" t="n"/>
      <c r="BB114" s="36" t="n"/>
      <c r="BC114" s="36" t="n"/>
      <c r="BD114" s="36" t="n"/>
      <c r="BE114" s="36" t="n"/>
      <c r="BF114" s="36" t="n"/>
      <c r="BG114" s="36" t="n"/>
      <c r="BH114" s="36" t="n"/>
      <c r="BI114" s="36" t="n"/>
      <c r="BJ114" s="36" t="n"/>
      <c r="BK114" s="36" t="n"/>
      <c r="BL114" s="36" t="n"/>
      <c r="BM114" s="36" t="n"/>
      <c r="BN114" s="36" t="n"/>
      <c r="BO114" s="36" t="n"/>
      <c r="BP114" s="36" t="n"/>
      <c r="BQ114" s="36" t="n"/>
      <c r="BR114" s="36" t="n"/>
      <c r="BS114" s="36" t="n"/>
      <c r="BT114" s="36" t="n"/>
      <c r="BU114" s="36" t="n"/>
      <c r="BV114" s="36" t="n"/>
      <c r="BW114" s="36" t="n"/>
      <c r="BX114" s="36" t="n"/>
      <c r="BY114" s="178">
        <f>((CA112-BW229-BX229)+BY160+BZ160)/(1-$CP$18)+BY152+BZ152-BY153-BZ153</f>
        <v/>
      </c>
      <c r="BZ114" s="37" t="n"/>
      <c r="CA114" s="37" t="n"/>
      <c r="CB114" s="37" t="n"/>
      <c r="CC114" s="37" t="n"/>
      <c r="CD114" s="37" t="n"/>
      <c r="CE114" s="37" t="n"/>
      <c r="CF114" s="20" t="inlineStr">
        <is>
          <t>(Required 2H adjusted net income + NCI) ÷ (1 − tax rate) + net interest − other income: adjusting items are excluded on both sides.</t>
        </is>
      </c>
    </row>
    <row r="115" ht="15" customHeight="1">
      <c r="B115" s="26" t="inlineStr">
        <is>
          <t xml:space="preserve">  Outlook calibration: Δ adjusted operating margin applied to both segments (Q3/Q4-26E)</t>
        </is>
      </c>
      <c r="C115" s="38" t="n"/>
      <c r="D115" s="38" t="n"/>
      <c r="E115" s="38" t="n"/>
      <c r="F115" s="38" t="n"/>
      <c r="G115" s="38" t="n"/>
      <c r="H115" s="38" t="n"/>
      <c r="I115" s="38" t="n"/>
      <c r="J115" s="38" t="n"/>
      <c r="K115" s="38" t="n"/>
      <c r="L115" s="38" t="n"/>
      <c r="M115" s="38" t="n"/>
      <c r="N115" s="38" t="n"/>
      <c r="O115" s="38" t="n"/>
      <c r="P115" s="38" t="n"/>
      <c r="Q115" s="38" t="n"/>
      <c r="R115" s="38" t="n"/>
      <c r="S115" s="38" t="n"/>
      <c r="T115" s="38" t="n"/>
      <c r="U115" s="38" t="n"/>
      <c r="V115" s="38" t="n"/>
      <c r="W115" s="38" t="n"/>
      <c r="X115" s="38" t="n"/>
      <c r="Y115" s="38" t="n"/>
      <c r="Z115" s="38" t="n"/>
      <c r="AA115" s="38" t="n"/>
      <c r="AB115" s="38" t="n"/>
      <c r="AC115" s="38" t="n"/>
      <c r="AD115" s="38" t="n"/>
      <c r="AE115" s="38" t="n"/>
      <c r="AF115" s="38" t="n"/>
      <c r="AG115" s="38" t="n"/>
      <c r="AH115" s="38" t="n"/>
      <c r="AI115" s="38" t="n"/>
      <c r="AJ115" s="38" t="n"/>
      <c r="AK115" s="38" t="n"/>
      <c r="AL115" s="38" t="n"/>
      <c r="AM115" s="38" t="n"/>
      <c r="AN115" s="38" t="n"/>
      <c r="AO115" s="38" t="n"/>
      <c r="AP115" s="38" t="n"/>
      <c r="AQ115" s="38" t="n"/>
      <c r="AR115" s="38" t="n"/>
      <c r="AS115" s="38" t="n"/>
      <c r="AT115" s="38" t="n"/>
      <c r="AU115" s="38" t="n"/>
      <c r="AV115" s="38" t="n"/>
      <c r="AW115" s="38" t="n"/>
      <c r="AX115" s="38" t="n"/>
      <c r="AY115" s="38" t="n"/>
      <c r="AZ115" s="38" t="n"/>
      <c r="BA115" s="38" t="n"/>
      <c r="BB115" s="38" t="n"/>
      <c r="BC115" s="38" t="n"/>
      <c r="BD115" s="38" t="n"/>
      <c r="BE115" s="38" t="n"/>
      <c r="BF115" s="38" t="n"/>
      <c r="BG115" s="38" t="n"/>
      <c r="BH115" s="38" t="n"/>
      <c r="BI115" s="38" t="n"/>
      <c r="BJ115" s="38" t="n"/>
      <c r="BK115" s="38" t="n"/>
      <c r="BL115" s="38" t="n"/>
      <c r="BM115" s="38" t="n"/>
      <c r="BN115" s="38" t="n"/>
      <c r="BO115" s="38" t="n"/>
      <c r="BP115" s="38" t="n"/>
      <c r="BQ115" s="38" t="n"/>
      <c r="BR115" s="38" t="n"/>
      <c r="BS115" s="38" t="n"/>
      <c r="BT115" s="38" t="n"/>
      <c r="BU115" s="38" t="n"/>
      <c r="BV115" s="38" t="n"/>
      <c r="BW115" s="38" t="n"/>
      <c r="BX115" s="38" t="n"/>
      <c r="BY115" s="180">
        <f>(BY114-BY113-BZ113)/(BY27+BZ27+BY51+BZ51)</f>
        <v/>
      </c>
      <c r="BZ115" s="180">
        <f>$BY$115</f>
        <v/>
      </c>
      <c r="CA115" s="25" t="n"/>
      <c r="CB115" s="49" t="n"/>
      <c r="CC115" s="49" t="n"/>
      <c r="CD115" s="49" t="n"/>
      <c r="CE115" s="49" t="n"/>
      <c r="CF115" s="20" t="inlineStr">
        <is>
          <t>Solves the uniform adjusted-margin shift (vs prior-year quarter + 1H drift) so that FY26 adjusted EPS = the guidance end-point for the active scenario.</t>
        </is>
      </c>
    </row>
    <row r="116" ht="15" customHeight="1">
      <c r="B116" s="61" t="inlineStr">
        <is>
          <t xml:space="preserve">  Check: FY26 adjusted EPS vs guidance end-point (should be 0.00)</t>
        </is>
      </c>
      <c r="C116" s="47" t="n"/>
      <c r="D116" s="47" t="n"/>
      <c r="E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47" t="n"/>
      <c r="X116" s="47" t="n"/>
      <c r="Y116" s="47" t="n"/>
      <c r="Z116" s="47" t="n"/>
      <c r="AA116" s="47" t="n"/>
      <c r="AB116" s="47" t="n"/>
      <c r="AC116" s="47" t="n"/>
      <c r="AD116" s="47" t="n"/>
      <c r="AE116" s="47" t="n"/>
      <c r="AF116" s="47" t="n"/>
      <c r="AG116" s="47" t="n"/>
      <c r="AH116" s="47" t="n"/>
      <c r="AI116" s="47" t="n"/>
      <c r="AJ116" s="47" t="n"/>
      <c r="AK116" s="47" t="n"/>
      <c r="AL116" s="47" t="n"/>
      <c r="AM116" s="47" t="n"/>
      <c r="AN116" s="47" t="n"/>
      <c r="AO116" s="47" t="n"/>
      <c r="AP116" s="47" t="n"/>
      <c r="AQ116" s="47" t="n"/>
      <c r="AR116" s="47" t="n"/>
      <c r="AS116" s="47" t="n"/>
      <c r="AT116" s="47" t="n"/>
      <c r="AU116" s="47" t="n"/>
      <c r="AV116" s="47" t="n"/>
      <c r="AW116" s="47" t="n"/>
      <c r="AX116" s="47" t="n"/>
      <c r="AY116" s="47" t="n"/>
      <c r="AZ116" s="47" t="n"/>
      <c r="BA116" s="47" t="n"/>
      <c r="BB116" s="47" t="n"/>
      <c r="BC116" s="47" t="n"/>
      <c r="BD116" s="47" t="n"/>
      <c r="BE116" s="47" t="n"/>
      <c r="BF116" s="47" t="n"/>
      <c r="BG116" s="47" t="n"/>
      <c r="BH116" s="47" t="n"/>
      <c r="BI116" s="47" t="n"/>
      <c r="BJ116" s="47" t="n"/>
      <c r="BK116" s="47" t="n"/>
      <c r="BL116" s="47" t="n"/>
      <c r="BM116" s="47" t="n"/>
      <c r="BN116" s="47" t="n"/>
      <c r="BO116" s="47" t="n"/>
      <c r="BP116" s="47" t="n"/>
      <c r="BQ116" s="47" t="n"/>
      <c r="BR116" s="47" t="n"/>
      <c r="BS116" s="47" t="n"/>
      <c r="BT116" s="47" t="n"/>
      <c r="BU116" s="47" t="n"/>
      <c r="BV116" s="47" t="n"/>
      <c r="BW116" s="47" t="n"/>
      <c r="BX116" s="47" t="n"/>
      <c r="BY116" s="6" t="n"/>
      <c r="BZ116" s="6" t="n"/>
      <c r="CA116" s="196">
        <f>ROUND(CA232-CA111,2)</f>
        <v/>
      </c>
      <c r="CB116" s="6" t="n"/>
      <c r="CC116" s="6" t="n"/>
      <c r="CD116" s="6" t="n"/>
      <c r="CE116" s="6" t="n"/>
      <c r="CF116" s="6" t="n"/>
    </row>
    <row r="117" ht="15" customHeight="1"/>
    <row r="118" ht="15" customHeight="1">
      <c r="B118" s="15" t="inlineStr">
        <is>
          <t>Backlog, legacy product lines &amp; other disclosures (memo; historical only)</t>
        </is>
      </c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  <c r="AS118" s="15" t="n"/>
      <c r="AT118" s="15" t="n"/>
      <c r="AU118" s="15" t="n"/>
      <c r="AV118" s="15" t="n"/>
      <c r="AW118" s="15" t="n"/>
      <c r="AX118" s="15" t="n"/>
      <c r="AY118" s="15" t="n"/>
      <c r="AZ118" s="15" t="n"/>
      <c r="BA118" s="15" t="n"/>
      <c r="BB118" s="15" t="n"/>
      <c r="BC118" s="15" t="n"/>
      <c r="BD118" s="15" t="n"/>
      <c r="BE118" s="15" t="n"/>
      <c r="BF118" s="15" t="n"/>
      <c r="BG118" s="15" t="n"/>
      <c r="BH118" s="15" t="n"/>
      <c r="BI118" s="15" t="n"/>
      <c r="BJ118" s="15" t="n"/>
      <c r="BK118" s="15" t="n"/>
      <c r="BL118" s="15" t="n"/>
      <c r="BM118" s="15" t="n"/>
      <c r="BN118" s="15" t="n"/>
      <c r="BO118" s="15" t="n"/>
      <c r="BP118" s="15" t="n"/>
      <c r="BQ118" s="15" t="n"/>
      <c r="BR118" s="15" t="n"/>
      <c r="BS118" s="15" t="n"/>
      <c r="BT118" s="15" t="n"/>
      <c r="BU118" s="15" t="n"/>
      <c r="BV118" s="15" t="n"/>
      <c r="BW118" s="15" t="n"/>
      <c r="BX118" s="15" t="n"/>
      <c r="BY118" s="15" t="n"/>
      <c r="BZ118" s="15" t="n"/>
      <c r="CA118" s="15" t="n"/>
      <c r="CB118" s="15" t="n"/>
      <c r="CC118" s="15" t="n"/>
      <c r="CD118" s="15" t="n"/>
      <c r="CE118" s="15" t="n"/>
      <c r="CF118" s="16" t="inlineStr">
        <is>
          <t>DISCLOSURES — historical only (not forecast)</t>
        </is>
      </c>
    </row>
    <row r="119" ht="15" customHeight="1">
      <c r="B119" s="26" t="inlineStr">
        <is>
          <t xml:space="preserve">  Total (multi-year) backlog — Wabtec</t>
        </is>
      </c>
      <c r="C119" s="174" t="n">
        <v>1041.2</v>
      </c>
      <c r="D119" s="174" t="n">
        <v>1021.2</v>
      </c>
      <c r="E119" s="174" t="n">
        <v>1060.7</v>
      </c>
      <c r="F119" s="174" t="n">
        <v>950.7</v>
      </c>
      <c r="G119" s="174" t="n">
        <v>1078.6</v>
      </c>
      <c r="H119" s="174" t="n">
        <v>1549.4</v>
      </c>
      <c r="I119" s="174" t="n">
        <v>1659.5</v>
      </c>
      <c r="J119" s="36" t="n"/>
      <c r="K119" s="36" t="n"/>
      <c r="L119" s="36" t="n"/>
      <c r="M119" s="174" t="n">
        <v>1693.9</v>
      </c>
      <c r="N119" s="174" t="n">
        <v>1693.9</v>
      </c>
      <c r="O119" s="36" t="n"/>
      <c r="P119" s="36" t="n"/>
      <c r="Q119" s="174" t="n">
        <v>2180</v>
      </c>
      <c r="R119" s="174" t="n">
        <v>2322</v>
      </c>
      <c r="S119" s="174" t="n">
        <v>2322</v>
      </c>
      <c r="T119" s="36" t="n"/>
      <c r="U119" s="36" t="n"/>
      <c r="V119" s="36" t="n"/>
      <c r="W119" s="174" t="n">
        <v>2146.9</v>
      </c>
      <c r="X119" s="174" t="n">
        <v>2146.9</v>
      </c>
      <c r="Y119" s="36" t="n"/>
      <c r="Z119" s="36" t="n"/>
      <c r="AA119" s="36" t="n"/>
      <c r="AB119" s="174" t="n">
        <v>3981.5</v>
      </c>
      <c r="AC119" s="174" t="n">
        <v>3981.5</v>
      </c>
      <c r="AD119" s="36" t="n"/>
      <c r="AE119" s="174" t="n">
        <v>4454.2</v>
      </c>
      <c r="AF119" s="174" t="n">
        <v>4531</v>
      </c>
      <c r="AG119" s="174" t="n">
        <v>4599.6</v>
      </c>
      <c r="AH119" s="174" t="n">
        <v>4599.6</v>
      </c>
      <c r="AI119" s="174" t="n">
        <v>4897.1</v>
      </c>
      <c r="AJ119" s="174" t="n">
        <v>4661.3</v>
      </c>
      <c r="AK119" s="174" t="n">
        <v>4567.3</v>
      </c>
      <c r="AL119" s="174" t="n">
        <v>4481.6</v>
      </c>
      <c r="AM119" s="174" t="n">
        <v>4481.6</v>
      </c>
      <c r="AN119" s="174" t="n">
        <v>23261.3</v>
      </c>
      <c r="AO119" s="174" t="n">
        <v>22613.3</v>
      </c>
      <c r="AP119" s="174" t="n">
        <v>21930.5</v>
      </c>
      <c r="AQ119" s="174" t="n">
        <v>22431.7</v>
      </c>
      <c r="AR119" s="174" t="n">
        <v>22431.7</v>
      </c>
      <c r="AS119" s="174" t="n">
        <v>21530.9</v>
      </c>
      <c r="AT119" s="174" t="n">
        <v>21402.6</v>
      </c>
      <c r="AU119" s="174" t="n">
        <v>21382.4</v>
      </c>
      <c r="AV119" s="174" t="n">
        <v>21591.3</v>
      </c>
      <c r="AW119" s="174" t="n">
        <v>21591.3</v>
      </c>
      <c r="AX119" s="174" t="n">
        <v>21671.5</v>
      </c>
      <c r="AY119" s="174" t="n">
        <v>21529.6</v>
      </c>
      <c r="AZ119" s="174" t="n">
        <v>21843.5</v>
      </c>
      <c r="BA119" s="174" t="n">
        <v>22169</v>
      </c>
      <c r="BB119" s="174" t="n">
        <v>22169</v>
      </c>
      <c r="BC119" s="174" t="n">
        <v>22759</v>
      </c>
      <c r="BD119" s="174" t="n">
        <v>23227</v>
      </c>
      <c r="BE119" s="174" t="n">
        <v>22610</v>
      </c>
      <c r="BF119" s="174" t="n">
        <v>22441</v>
      </c>
      <c r="BG119" s="174" t="n">
        <v>22441</v>
      </c>
      <c r="BH119" s="174" t="n">
        <v>22334</v>
      </c>
      <c r="BI119" s="174" t="n">
        <v>22431</v>
      </c>
      <c r="BJ119" s="174" t="n">
        <v>21483</v>
      </c>
      <c r="BK119" s="174" t="n">
        <v>21999</v>
      </c>
      <c r="BL119" s="174" t="n">
        <v>21999</v>
      </c>
      <c r="BM119" s="174" t="n">
        <v>22083</v>
      </c>
      <c r="BN119" s="174" t="n">
        <v>22075</v>
      </c>
      <c r="BO119" s="174" t="n">
        <v>22234</v>
      </c>
      <c r="BP119" s="174" t="n">
        <v>22272</v>
      </c>
      <c r="BQ119" s="174" t="n">
        <v>22272</v>
      </c>
      <c r="BR119" s="174" t="n">
        <v>22302</v>
      </c>
      <c r="BS119" s="174" t="n">
        <v>21828</v>
      </c>
      <c r="BT119" s="174" t="n">
        <v>25577</v>
      </c>
      <c r="BU119" s="174" t="n">
        <v>27407</v>
      </c>
      <c r="BV119" s="174" t="n">
        <v>27407</v>
      </c>
      <c r="BW119" s="174" t="n">
        <v>30802</v>
      </c>
      <c r="BX119" s="174" t="n">
        <v>30932</v>
      </c>
      <c r="BY119" s="37" t="n"/>
      <c r="BZ119" s="37" t="n"/>
      <c r="CA119" s="37" t="n"/>
      <c r="CB119" s="37" t="n"/>
      <c r="CC119" s="37" t="n"/>
      <c r="CD119" s="37" t="n"/>
      <c r="CE119" s="37" t="n"/>
      <c r="CF119" s="20" t="n"/>
      <c r="CH119" s="21">
        <f>IFERROR((CE119/BV119)^(1/5)-1,"n/m")</f>
        <v/>
      </c>
      <c r="CI119" s="21">
        <f>IFERROR((BV119/AW119)^(1/5)-1,"n/m")</f>
        <v/>
      </c>
      <c r="CJ119" s="21">
        <f>IFERROR((BV119/X119)^(1/10)-1,"n/m")</f>
        <v/>
      </c>
      <c r="CK119" s="21">
        <f>IFERROR((BV119/C119)^(1/19)-1,"n/m")</f>
        <v/>
      </c>
    </row>
    <row r="120" ht="15" customHeight="1">
      <c r="B120" s="26" t="inlineStr">
        <is>
          <t xml:space="preserve">  12-month backlog — Wabtec</t>
        </is>
      </c>
      <c r="C120" s="174" t="n">
        <v>539.7</v>
      </c>
      <c r="D120" s="174" t="n">
        <v>532.4</v>
      </c>
      <c r="E120" s="174" t="n">
        <v>565.6</v>
      </c>
      <c r="F120" s="174" t="n">
        <v>551.7</v>
      </c>
      <c r="G120" s="174" t="n">
        <v>589.9</v>
      </c>
      <c r="H120" s="174" t="n">
        <v>1073.1</v>
      </c>
      <c r="I120" s="174" t="n">
        <v>1116.9</v>
      </c>
      <c r="J120" s="36" t="n"/>
      <c r="K120" s="36" t="n"/>
      <c r="L120" s="36" t="n"/>
      <c r="M120" s="174" t="n">
        <v>1098.1</v>
      </c>
      <c r="N120" s="174" t="n">
        <v>1098.1</v>
      </c>
      <c r="O120" s="36" t="n"/>
      <c r="P120" s="36" t="n"/>
      <c r="Q120" s="36" t="n"/>
      <c r="R120" s="174" t="n">
        <v>1502.9</v>
      </c>
      <c r="S120" s="174" t="n">
        <v>1502.9</v>
      </c>
      <c r="T120" s="36" t="n"/>
      <c r="U120" s="36" t="n"/>
      <c r="V120" s="36" t="n"/>
      <c r="W120" s="174" t="n">
        <v>1207.7</v>
      </c>
      <c r="X120" s="174" t="n">
        <v>1207.7</v>
      </c>
      <c r="Y120" s="36" t="n"/>
      <c r="Z120" s="36" t="n"/>
      <c r="AA120" s="36" t="n"/>
      <c r="AB120" s="174" t="n">
        <v>1961.7</v>
      </c>
      <c r="AC120" s="174" t="n">
        <v>1961.7</v>
      </c>
      <c r="AD120" s="36" t="n"/>
      <c r="AE120" s="174" t="n">
        <v>2142.4</v>
      </c>
      <c r="AF120" s="174" t="n">
        <v>2241.9</v>
      </c>
      <c r="AG120" s="174" t="n">
        <v>2314.9</v>
      </c>
      <c r="AH120" s="174" t="n">
        <v>2314.9</v>
      </c>
      <c r="AI120" s="174" t="n">
        <v>2477.7</v>
      </c>
      <c r="AJ120" s="174" t="n">
        <v>2508.7</v>
      </c>
      <c r="AK120" s="174" t="n">
        <v>2200.4</v>
      </c>
      <c r="AL120" s="174" t="n">
        <v>2458.1</v>
      </c>
      <c r="AM120" s="174" t="n">
        <v>2458.1</v>
      </c>
      <c r="AN120" s="174" t="n">
        <v>6110</v>
      </c>
      <c r="AO120" s="174" t="n">
        <v>5852.8</v>
      </c>
      <c r="AP120" s="174" t="n">
        <v>5727.3</v>
      </c>
      <c r="AQ120" s="174" t="n">
        <v>5603.8</v>
      </c>
      <c r="AR120" s="174" t="n">
        <v>5603.8</v>
      </c>
      <c r="AS120" s="174" t="n">
        <v>5620</v>
      </c>
      <c r="AT120" s="174" t="n">
        <v>5330.7</v>
      </c>
      <c r="AU120" s="174" t="n">
        <v>5184.3</v>
      </c>
      <c r="AV120" s="174" t="n">
        <v>5520.7</v>
      </c>
      <c r="AW120" s="174" t="n">
        <v>5520.7</v>
      </c>
      <c r="AX120" s="174" t="n">
        <v>5706.2</v>
      </c>
      <c r="AY120" s="174" t="n">
        <v>5822.9</v>
      </c>
      <c r="AZ120" s="174" t="n">
        <v>5707.7</v>
      </c>
      <c r="BA120" s="174" t="n">
        <v>6268</v>
      </c>
      <c r="BB120" s="174" t="n">
        <v>6268</v>
      </c>
      <c r="BC120" s="174" t="n">
        <v>6631</v>
      </c>
      <c r="BD120" s="174" t="n">
        <v>6566</v>
      </c>
      <c r="BE120" s="174" t="n">
        <v>6267</v>
      </c>
      <c r="BF120" s="174" t="n">
        <v>6760</v>
      </c>
      <c r="BG120" s="174" t="n">
        <v>6760</v>
      </c>
      <c r="BH120" s="174" t="n">
        <v>6925</v>
      </c>
      <c r="BI120" s="174" t="n">
        <v>7220</v>
      </c>
      <c r="BJ120" s="174" t="n">
        <v>7091</v>
      </c>
      <c r="BK120" s="174" t="n">
        <v>7457</v>
      </c>
      <c r="BL120" s="174" t="n">
        <v>7457</v>
      </c>
      <c r="BM120" s="174" t="n">
        <v>7710</v>
      </c>
      <c r="BN120" s="174" t="n">
        <v>7334</v>
      </c>
      <c r="BO120" s="174" t="n">
        <v>7624</v>
      </c>
      <c r="BP120" s="174" t="n">
        <v>7681</v>
      </c>
      <c r="BQ120" s="174" t="n">
        <v>7681</v>
      </c>
      <c r="BR120" s="174" t="n">
        <v>8196</v>
      </c>
      <c r="BS120" s="174" t="n">
        <v>8210</v>
      </c>
      <c r="BT120" s="174" t="n">
        <v>8267</v>
      </c>
      <c r="BU120" s="174" t="n">
        <v>8234</v>
      </c>
      <c r="BV120" s="174" t="n">
        <v>8234</v>
      </c>
      <c r="BW120" s="174" t="n">
        <v>9247</v>
      </c>
      <c r="BX120" s="174" t="n">
        <v>9140</v>
      </c>
      <c r="BY120" s="37" t="n"/>
      <c r="BZ120" s="37" t="n"/>
      <c r="CA120" s="37" t="n"/>
      <c r="CB120" s="37" t="n"/>
      <c r="CC120" s="37" t="n"/>
      <c r="CD120" s="37" t="n"/>
      <c r="CE120" s="37" t="n"/>
      <c r="CF120" s="20" t="n"/>
    </row>
    <row r="121" ht="15" customHeight="1">
      <c r="B121" s="23" t="inlineStr">
        <is>
          <t xml:space="preserve">  Total backlog y/y %</t>
        </is>
      </c>
      <c r="D121" s="179">
        <f>IF(AND(ISNUMBER(D119),ISNUMBER(C119)),IFERROR(D119/C119-1,""),"")</f>
        <v/>
      </c>
      <c r="E121" s="179">
        <f>IF(AND(ISNUMBER(E119),ISNUMBER(D119)),IFERROR(E119/D119-1,""),"")</f>
        <v/>
      </c>
      <c r="F121" s="179">
        <f>IF(AND(ISNUMBER(F119),ISNUMBER(E119)),IFERROR(F119/E119-1,""),"")</f>
        <v/>
      </c>
      <c r="G121" s="179">
        <f>IF(AND(ISNUMBER(G119),ISNUMBER(F119)),IFERROR(G119/F119-1,""),"")</f>
        <v/>
      </c>
      <c r="H121" s="179">
        <f>IF(AND(ISNUMBER(H119),ISNUMBER(G119)),IFERROR(H119/G119-1,""),"")</f>
        <v/>
      </c>
      <c r="I121" s="179">
        <f>IF(AND(ISNUMBER(I119),ISNUMBER(H119)),IFERROR(I119/H119-1,""),"")</f>
        <v/>
      </c>
      <c r="N121" s="179">
        <f>IF(AND(ISNUMBER(N119),ISNUMBER(I119)),IFERROR(N119/I119-1,""),"")</f>
        <v/>
      </c>
      <c r="O121" s="179">
        <f>IF(AND(ISNUMBER(O119),ISNUMBER(J119)),IFERROR(O119/J119-1,""),"")</f>
        <v/>
      </c>
      <c r="P121" s="179">
        <f>IF(AND(ISNUMBER(P119),ISNUMBER(K119)),IFERROR(P119/K119-1,""),"")</f>
        <v/>
      </c>
      <c r="Q121" s="179">
        <f>IF(AND(ISNUMBER(Q119),ISNUMBER(L119)),IFERROR(Q119/L119-1,""),"")</f>
        <v/>
      </c>
      <c r="R121" s="179">
        <f>IF(AND(ISNUMBER(R119),ISNUMBER(M119)),IFERROR(R119/M119-1,""),"")</f>
        <v/>
      </c>
      <c r="S121" s="179">
        <f>IF(AND(ISNUMBER(S119),ISNUMBER(N119)),IFERROR(S119/N119-1,""),"")</f>
        <v/>
      </c>
      <c r="T121" s="179">
        <f>IF(AND(ISNUMBER(T119),ISNUMBER(O119)),IFERROR(T119/O119-1,""),"")</f>
        <v/>
      </c>
      <c r="U121" s="179">
        <f>IF(AND(ISNUMBER(U119),ISNUMBER(P119)),IFERROR(U119/P119-1,""),"")</f>
        <v/>
      </c>
      <c r="V121" s="179">
        <f>IF(AND(ISNUMBER(V119),ISNUMBER(Q119)),IFERROR(V119/Q119-1,""),"")</f>
        <v/>
      </c>
      <c r="W121" s="179">
        <f>IF(AND(ISNUMBER(W119),ISNUMBER(R119)),IFERROR(W119/R119-1,""),"")</f>
        <v/>
      </c>
      <c r="X121" s="179">
        <f>IF(AND(ISNUMBER(X119),ISNUMBER(S119)),IFERROR(X119/S119-1,""),"")</f>
        <v/>
      </c>
      <c r="Y121" s="179">
        <f>IF(AND(ISNUMBER(Y119),ISNUMBER(T119)),IFERROR(Y119/T119-1,""),"")</f>
        <v/>
      </c>
      <c r="Z121" s="179">
        <f>IF(AND(ISNUMBER(Z119),ISNUMBER(U119)),IFERROR(Z119/U119-1,""),"")</f>
        <v/>
      </c>
      <c r="AA121" s="179">
        <f>IF(AND(ISNUMBER(AA119),ISNUMBER(V119)),IFERROR(AA119/V119-1,""),"")</f>
        <v/>
      </c>
      <c r="AB121" s="179">
        <f>IF(AND(ISNUMBER(AB119),ISNUMBER(W119)),IFERROR(AB119/W119-1,""),"")</f>
        <v/>
      </c>
      <c r="AC121" s="179">
        <f>IF(AND(ISNUMBER(AC119),ISNUMBER(X119)),IFERROR(AC119/X119-1,""),"")</f>
        <v/>
      </c>
      <c r="AD121" s="179">
        <f>IF(AND(ISNUMBER(AD119),ISNUMBER(Y119)),IFERROR(AD119/Y119-1,""),"")</f>
        <v/>
      </c>
      <c r="AE121" s="179">
        <f>IF(AND(ISNUMBER(AE119),ISNUMBER(Z119)),IFERROR(AE119/Z119-1,""),"")</f>
        <v/>
      </c>
      <c r="AF121" s="179">
        <f>IF(AND(ISNUMBER(AF119),ISNUMBER(AA119)),IFERROR(AF119/AA119-1,""),"")</f>
        <v/>
      </c>
      <c r="AG121" s="179">
        <f>IF(AND(ISNUMBER(AG119),ISNUMBER(AB119)),IFERROR(AG119/AB119-1,""),"")</f>
        <v/>
      </c>
      <c r="AH121" s="179">
        <f>IF(AND(ISNUMBER(AH119),ISNUMBER(AC119)),IFERROR(AH119/AC119-1,""),"")</f>
        <v/>
      </c>
      <c r="AI121" s="179">
        <f>IF(AND(ISNUMBER(AI119),ISNUMBER(AD119)),IFERROR(AI119/AD119-1,""),"")</f>
        <v/>
      </c>
      <c r="AJ121" s="179">
        <f>IF(AND(ISNUMBER(AJ119),ISNUMBER(AE119)),IFERROR(AJ119/AE119-1,""),"")</f>
        <v/>
      </c>
      <c r="AK121" s="179">
        <f>IF(AND(ISNUMBER(AK119),ISNUMBER(AF119)),IFERROR(AK119/AF119-1,""),"")</f>
        <v/>
      </c>
      <c r="AL121" s="179">
        <f>IF(AND(ISNUMBER(AL119),ISNUMBER(AG119)),IFERROR(AL119/AG119-1,""),"")</f>
        <v/>
      </c>
      <c r="AM121" s="179">
        <f>IF(AND(ISNUMBER(AM119),ISNUMBER(AH119)),IFERROR(AM119/AH119-1,""),"")</f>
        <v/>
      </c>
      <c r="AN121" s="179">
        <f>IF(AND(ISNUMBER(AN119),ISNUMBER(AI119)),IFERROR(AN119/AI119-1,""),"")</f>
        <v/>
      </c>
      <c r="AO121" s="179">
        <f>IF(AND(ISNUMBER(AO119),ISNUMBER(AJ119)),IFERROR(AO119/AJ119-1,""),"")</f>
        <v/>
      </c>
      <c r="AP121" s="179">
        <f>IF(AND(ISNUMBER(AP119),ISNUMBER(AK119)),IFERROR(AP119/AK119-1,""),"")</f>
        <v/>
      </c>
      <c r="AQ121" s="179">
        <f>IF(AND(ISNUMBER(AQ119),ISNUMBER(AL119)),IFERROR(AQ119/AL119-1,""),"")</f>
        <v/>
      </c>
      <c r="AR121" s="179">
        <f>IF(AND(ISNUMBER(AR119),ISNUMBER(AM119)),IFERROR(AR119/AM119-1,""),"")</f>
        <v/>
      </c>
      <c r="AS121" s="179">
        <f>IF(AND(ISNUMBER(AS119),ISNUMBER(AN119)),IFERROR(AS119/AN119-1,""),"")</f>
        <v/>
      </c>
      <c r="AT121" s="179">
        <f>IF(AND(ISNUMBER(AT119),ISNUMBER(AO119)),IFERROR(AT119/AO119-1,""),"")</f>
        <v/>
      </c>
      <c r="AU121" s="179">
        <f>IF(AND(ISNUMBER(AU119),ISNUMBER(AP119)),IFERROR(AU119/AP119-1,""),"")</f>
        <v/>
      </c>
      <c r="AV121" s="179">
        <f>IF(AND(ISNUMBER(AV119),ISNUMBER(AQ119)),IFERROR(AV119/AQ119-1,""),"")</f>
        <v/>
      </c>
      <c r="AW121" s="179">
        <f>IF(AND(ISNUMBER(AW119),ISNUMBER(AR119)),IFERROR(AW119/AR119-1,""),"")</f>
        <v/>
      </c>
      <c r="AX121" s="179">
        <f>IF(AND(ISNUMBER(AX119),ISNUMBER(AS119)),IFERROR(AX119/AS119-1,""),"")</f>
        <v/>
      </c>
      <c r="AY121" s="179">
        <f>IF(AND(ISNUMBER(AY119),ISNUMBER(AT119)),IFERROR(AY119/AT119-1,""),"")</f>
        <v/>
      </c>
      <c r="AZ121" s="179">
        <f>IF(AND(ISNUMBER(AZ119),ISNUMBER(AU119)),IFERROR(AZ119/AU119-1,""),"")</f>
        <v/>
      </c>
      <c r="BA121" s="179">
        <f>IF(AND(ISNUMBER(BA119),ISNUMBER(AV119)),IFERROR(BA119/AV119-1,""),"")</f>
        <v/>
      </c>
      <c r="BB121" s="179">
        <f>IF(AND(ISNUMBER(BB119),ISNUMBER(AW119)),IFERROR(BB119/AW119-1,""),"")</f>
        <v/>
      </c>
      <c r="BC121" s="179">
        <f>IF(AND(ISNUMBER(BC119),ISNUMBER(AX119)),IFERROR(BC119/AX119-1,""),"")</f>
        <v/>
      </c>
      <c r="BD121" s="179">
        <f>IF(AND(ISNUMBER(BD119),ISNUMBER(AY119)),IFERROR(BD119/AY119-1,""),"")</f>
        <v/>
      </c>
      <c r="BE121" s="179">
        <f>IF(AND(ISNUMBER(BE119),ISNUMBER(AZ119)),IFERROR(BE119/AZ119-1,""),"")</f>
        <v/>
      </c>
      <c r="BF121" s="179">
        <f>IF(AND(ISNUMBER(BF119),ISNUMBER(BA119)),IFERROR(BF119/BA119-1,""),"")</f>
        <v/>
      </c>
      <c r="BG121" s="179">
        <f>IF(AND(ISNUMBER(BG119),ISNUMBER(BB119)),IFERROR(BG119/BB119-1,""),"")</f>
        <v/>
      </c>
      <c r="BH121" s="179">
        <f>IF(AND(ISNUMBER(BH119),ISNUMBER(BC119)),IFERROR(BH119/BC119-1,""),"")</f>
        <v/>
      </c>
      <c r="BI121" s="179">
        <f>IF(AND(ISNUMBER(BI119),ISNUMBER(BD119)),IFERROR(BI119/BD119-1,""),"")</f>
        <v/>
      </c>
      <c r="BJ121" s="179">
        <f>IF(AND(ISNUMBER(BJ119),ISNUMBER(BE119)),IFERROR(BJ119/BE119-1,""),"")</f>
        <v/>
      </c>
      <c r="BK121" s="179">
        <f>IF(AND(ISNUMBER(BK119),ISNUMBER(BF119)),IFERROR(BK119/BF119-1,""),"")</f>
        <v/>
      </c>
      <c r="BL121" s="179">
        <f>IF(AND(ISNUMBER(BL119),ISNUMBER(BG119)),IFERROR(BL119/BG119-1,""),"")</f>
        <v/>
      </c>
      <c r="BM121" s="179">
        <f>IF(AND(ISNUMBER(BM119),ISNUMBER(BH119)),IFERROR(BM119/BH119-1,""),"")</f>
        <v/>
      </c>
      <c r="BN121" s="179">
        <f>IF(AND(ISNUMBER(BN119),ISNUMBER(BI119)),IFERROR(BN119/BI119-1,""),"")</f>
        <v/>
      </c>
      <c r="BO121" s="179">
        <f>IF(AND(ISNUMBER(BO119),ISNUMBER(BJ119)),IFERROR(BO119/BJ119-1,""),"")</f>
        <v/>
      </c>
      <c r="BP121" s="179">
        <f>IF(AND(ISNUMBER(BP119),ISNUMBER(BK119)),IFERROR(BP119/BK119-1,""),"")</f>
        <v/>
      </c>
      <c r="BQ121" s="179">
        <f>IF(AND(ISNUMBER(BQ119),ISNUMBER(BL119)),IFERROR(BQ119/BL119-1,""),"")</f>
        <v/>
      </c>
      <c r="BR121" s="179">
        <f>IF(AND(ISNUMBER(BR119),ISNUMBER(BM119)),IFERROR(BR119/BM119-1,""),"")</f>
        <v/>
      </c>
      <c r="BS121" s="179">
        <f>IF(AND(ISNUMBER(BS119),ISNUMBER(BN119)),IFERROR(BS119/BN119-1,""),"")</f>
        <v/>
      </c>
      <c r="BT121" s="179">
        <f>IF(AND(ISNUMBER(BT119),ISNUMBER(BO119)),IFERROR(BT119/BO119-1,""),"")</f>
        <v/>
      </c>
      <c r="BU121" s="179">
        <f>IF(AND(ISNUMBER(BU119),ISNUMBER(BP119)),IFERROR(BU119/BP119-1,""),"")</f>
        <v/>
      </c>
      <c r="BV121" s="179">
        <f>IF(AND(ISNUMBER(BV119),ISNUMBER(BQ119)),IFERROR(BV119/BQ119-1,""),"")</f>
        <v/>
      </c>
      <c r="BW121" s="179">
        <f>IF(AND(ISNUMBER(BW119),ISNUMBER(BR119)),IFERROR(BW119/BR119-1,""),"")</f>
        <v/>
      </c>
      <c r="BX121" s="179">
        <f>IF(AND(ISNUMBER(BX119),ISNUMBER(BS119)),IFERROR(BX119/BS119-1,""),"")</f>
        <v/>
      </c>
      <c r="BY121" s="25" t="n"/>
      <c r="BZ121" s="25" t="n"/>
      <c r="CA121" s="25" t="n"/>
      <c r="CB121" s="25" t="n"/>
      <c r="CC121" s="25" t="n"/>
      <c r="CD121" s="25" t="n"/>
      <c r="CE121" s="25" t="n"/>
      <c r="CF121" s="6" t="n"/>
    </row>
    <row r="122" ht="15" customHeight="1">
      <c r="B122" s="26" t="inlineStr">
        <is>
          <t xml:space="preserve">  Implied orders = Δ total backlog + net sales (incl. FX &amp; acquired backlog)</t>
        </is>
      </c>
      <c r="C122" s="36" t="n"/>
      <c r="D122" s="183">
        <f>IF(AND(ISNUMBER(D119),ISNUMBER(C119)),D119-C119+D142,"")</f>
        <v/>
      </c>
      <c r="E122" s="183">
        <f>IF(AND(ISNUMBER(E119),ISNUMBER(D119)),E119-D119+E142,"")</f>
        <v/>
      </c>
      <c r="F122" s="183">
        <f>IF(AND(ISNUMBER(F119),ISNUMBER(E119)),F119-E119+F142,"")</f>
        <v/>
      </c>
      <c r="G122" s="183">
        <f>IF(AND(ISNUMBER(G119),ISNUMBER(F119)),G119-F119+G142,"")</f>
        <v/>
      </c>
      <c r="H122" s="183">
        <f>IF(AND(ISNUMBER(H119),ISNUMBER(G119)),H119-G119+H142,"")</f>
        <v/>
      </c>
      <c r="I122" s="183">
        <f>IF(AND(ISNUMBER(I119),ISNUMBER(H119)),I119-H119+I142,"")</f>
        <v/>
      </c>
      <c r="J122" s="183">
        <f>IF(AND(ISNUMBER(J119),ISNUMBER(None119)),J119-None119+J142,"")</f>
        <v/>
      </c>
      <c r="K122" s="183">
        <f>IF(AND(ISNUMBER(K119),ISNUMBER(J119)),K119-J119+K142,"")</f>
        <v/>
      </c>
      <c r="L122" s="183">
        <f>IF(AND(ISNUMBER(L119),ISNUMBER(K119)),L119-K119+L142,"")</f>
        <v/>
      </c>
      <c r="M122" s="183">
        <f>IF(AND(ISNUMBER(M119),ISNUMBER(L119)),M119-L119+M142,"")</f>
        <v/>
      </c>
      <c r="N122" s="183">
        <f>IF(AND(ISNUMBER(N119),ISNUMBER(I119)),N119-I119+N142,"")</f>
        <v/>
      </c>
      <c r="O122" s="183">
        <f>IF(AND(ISNUMBER(O119),ISNUMBER(M119)),O119-M119+O142,"")</f>
        <v/>
      </c>
      <c r="P122" s="183">
        <f>IF(AND(ISNUMBER(P119),ISNUMBER(O119)),P119-O119+P142,"")</f>
        <v/>
      </c>
      <c r="Q122" s="183">
        <f>IF(AND(ISNUMBER(Q119),ISNUMBER(P119)),Q119-P119+Q142,"")</f>
        <v/>
      </c>
      <c r="R122" s="183">
        <f>IF(AND(ISNUMBER(R119),ISNUMBER(Q119)),R119-Q119+R142,"")</f>
        <v/>
      </c>
      <c r="S122" s="183">
        <f>IF(AND(ISNUMBER(S119),ISNUMBER(N119)),S119-N119+S142,"")</f>
        <v/>
      </c>
      <c r="T122" s="183">
        <f>IF(AND(ISNUMBER(T119),ISNUMBER(R119)),T119-R119+T142,"")</f>
        <v/>
      </c>
      <c r="U122" s="183">
        <f>IF(AND(ISNUMBER(U119),ISNUMBER(T119)),U119-T119+U142,"")</f>
        <v/>
      </c>
      <c r="V122" s="183">
        <f>IF(AND(ISNUMBER(V119),ISNUMBER(U119)),V119-U119+V142,"")</f>
        <v/>
      </c>
      <c r="W122" s="183">
        <f>IF(AND(ISNUMBER(W119),ISNUMBER(V119)),W119-V119+W142,"")</f>
        <v/>
      </c>
      <c r="X122" s="183">
        <f>IF(AND(ISNUMBER(X119),ISNUMBER(S119)),X119-S119+X142,"")</f>
        <v/>
      </c>
      <c r="Y122" s="183">
        <f>IF(AND(ISNUMBER(Y119),ISNUMBER(W119)),Y119-W119+Y142,"")</f>
        <v/>
      </c>
      <c r="Z122" s="183">
        <f>IF(AND(ISNUMBER(Z119),ISNUMBER(Y119)),Z119-Y119+Z142,"")</f>
        <v/>
      </c>
      <c r="AA122" s="183">
        <f>IF(AND(ISNUMBER(AA119),ISNUMBER(Z119)),AA119-Z119+AA142,"")</f>
        <v/>
      </c>
      <c r="AB122" s="183">
        <f>IF(AND(ISNUMBER(AB119),ISNUMBER(AA119)),AB119-AA119+AB142,"")</f>
        <v/>
      </c>
      <c r="AC122" s="183">
        <f>IF(AND(ISNUMBER(AC119),ISNUMBER(X119)),AC119-X119+AC142,"")</f>
        <v/>
      </c>
      <c r="AD122" s="183">
        <f>IF(AND(ISNUMBER(AD119),ISNUMBER(AB119)),AD119-AB119+AD142,"")</f>
        <v/>
      </c>
      <c r="AE122" s="183">
        <f>IF(AND(ISNUMBER(AE119),ISNUMBER(AD119)),AE119-AD119+AE142,"")</f>
        <v/>
      </c>
      <c r="AF122" s="183">
        <f>IF(AND(ISNUMBER(AF119),ISNUMBER(AE119)),AF119-AE119+AF142,"")</f>
        <v/>
      </c>
      <c r="AG122" s="183">
        <f>IF(AND(ISNUMBER(AG119),ISNUMBER(AF119)),AG119-AF119+AG142,"")</f>
        <v/>
      </c>
      <c r="AH122" s="183">
        <f>IF(AND(ISNUMBER(AH119),ISNUMBER(AC119)),AH119-AC119+AH142,"")</f>
        <v/>
      </c>
      <c r="AI122" s="183">
        <f>IF(AND(ISNUMBER(AI119),ISNUMBER(AG119)),AI119-AG119+AI142,"")</f>
        <v/>
      </c>
      <c r="AJ122" s="183">
        <f>IF(AND(ISNUMBER(AJ119),ISNUMBER(AI119)),AJ119-AI119+AJ142,"")</f>
        <v/>
      </c>
      <c r="AK122" s="183">
        <f>IF(AND(ISNUMBER(AK119),ISNUMBER(AJ119)),AK119-AJ119+AK142,"")</f>
        <v/>
      </c>
      <c r="AL122" s="183">
        <f>IF(AND(ISNUMBER(AL119),ISNUMBER(AK119)),AL119-AK119+AL142,"")</f>
        <v/>
      </c>
      <c r="AM122" s="183">
        <f>IF(AND(ISNUMBER(AM119),ISNUMBER(AH119)),AM119-AH119+AM142,"")</f>
        <v/>
      </c>
      <c r="AN122" s="183">
        <f>IF(AND(ISNUMBER(AN119),ISNUMBER(AL119)),AN119-AL119+AN142,"")</f>
        <v/>
      </c>
      <c r="AO122" s="183">
        <f>IF(AND(ISNUMBER(AO119),ISNUMBER(AN119)),AO119-AN119+AO142,"")</f>
        <v/>
      </c>
      <c r="AP122" s="183">
        <f>IF(AND(ISNUMBER(AP119),ISNUMBER(AO119)),AP119-AO119+AP142,"")</f>
        <v/>
      </c>
      <c r="AQ122" s="183">
        <f>IF(AND(ISNUMBER(AQ119),ISNUMBER(AP119)),AQ119-AP119+AQ142,"")</f>
        <v/>
      </c>
      <c r="AR122" s="183">
        <f>IF(AND(ISNUMBER(AR119),ISNUMBER(AM119)),AR119-AM119+AR142,"")</f>
        <v/>
      </c>
      <c r="AS122" s="183">
        <f>IF(AND(ISNUMBER(AS119),ISNUMBER(AQ119)),AS119-AQ119+AS142,"")</f>
        <v/>
      </c>
      <c r="AT122" s="183">
        <f>IF(AND(ISNUMBER(AT119),ISNUMBER(AS119)),AT119-AS119+AT142,"")</f>
        <v/>
      </c>
      <c r="AU122" s="183">
        <f>IF(AND(ISNUMBER(AU119),ISNUMBER(AT119)),AU119-AT119+AU142,"")</f>
        <v/>
      </c>
      <c r="AV122" s="183">
        <f>IF(AND(ISNUMBER(AV119),ISNUMBER(AU119)),AV119-AU119+AV142,"")</f>
        <v/>
      </c>
      <c r="AW122" s="183">
        <f>IF(AND(ISNUMBER(AW119),ISNUMBER(AR119)),AW119-AR119+AW142,"")</f>
        <v/>
      </c>
      <c r="AX122" s="183">
        <f>IF(AND(ISNUMBER(AX119),ISNUMBER(AV119)),AX119-AV119+AX142,"")</f>
        <v/>
      </c>
      <c r="AY122" s="183">
        <f>IF(AND(ISNUMBER(AY119),ISNUMBER(AX119)),AY119-AX119+AY142,"")</f>
        <v/>
      </c>
      <c r="AZ122" s="183">
        <f>IF(AND(ISNUMBER(AZ119),ISNUMBER(AY119)),AZ119-AY119+AZ142,"")</f>
        <v/>
      </c>
      <c r="BA122" s="183">
        <f>IF(AND(ISNUMBER(BA119),ISNUMBER(AZ119)),BA119-AZ119+BA142,"")</f>
        <v/>
      </c>
      <c r="BB122" s="183">
        <f>IF(AND(ISNUMBER(BB119),ISNUMBER(AW119)),BB119-AW119+BB142,"")</f>
        <v/>
      </c>
      <c r="BC122" s="183">
        <f>IF(AND(ISNUMBER(BC119),ISNUMBER(BA119)),BC119-BA119+BC142,"")</f>
        <v/>
      </c>
      <c r="BD122" s="183">
        <f>IF(AND(ISNUMBER(BD119),ISNUMBER(BC119)),BD119-BC119+BD142,"")</f>
        <v/>
      </c>
      <c r="BE122" s="183">
        <f>IF(AND(ISNUMBER(BE119),ISNUMBER(BD119)),BE119-BD119+BE142,"")</f>
        <v/>
      </c>
      <c r="BF122" s="183">
        <f>IF(AND(ISNUMBER(BF119),ISNUMBER(BE119)),BF119-BE119+BF142,"")</f>
        <v/>
      </c>
      <c r="BG122" s="183">
        <f>IF(AND(ISNUMBER(BG119),ISNUMBER(BB119)),BG119-BB119+BG142,"")</f>
        <v/>
      </c>
      <c r="BH122" s="183">
        <f>IF(AND(ISNUMBER(BH119),ISNUMBER(BF119)),BH119-BF119+BH142,"")</f>
        <v/>
      </c>
      <c r="BI122" s="183">
        <f>IF(AND(ISNUMBER(BI119),ISNUMBER(BH119)),BI119-BH119+BI142,"")</f>
        <v/>
      </c>
      <c r="BJ122" s="183">
        <f>IF(AND(ISNUMBER(BJ119),ISNUMBER(BI119)),BJ119-BI119+BJ142,"")</f>
        <v/>
      </c>
      <c r="BK122" s="183">
        <f>IF(AND(ISNUMBER(BK119),ISNUMBER(BJ119)),BK119-BJ119+BK142,"")</f>
        <v/>
      </c>
      <c r="BL122" s="183">
        <f>IF(AND(ISNUMBER(BL119),ISNUMBER(BG119)),BL119-BG119+BL142,"")</f>
        <v/>
      </c>
      <c r="BM122" s="183">
        <f>IF(AND(ISNUMBER(BM119),ISNUMBER(BK119)),BM119-BK119+BM142,"")</f>
        <v/>
      </c>
      <c r="BN122" s="183">
        <f>IF(AND(ISNUMBER(BN119),ISNUMBER(BM119)),BN119-BM119+BN142,"")</f>
        <v/>
      </c>
      <c r="BO122" s="183">
        <f>IF(AND(ISNUMBER(BO119),ISNUMBER(BN119)),BO119-BN119+BO142,"")</f>
        <v/>
      </c>
      <c r="BP122" s="183">
        <f>IF(AND(ISNUMBER(BP119),ISNUMBER(BO119)),BP119-BO119+BP142,"")</f>
        <v/>
      </c>
      <c r="BQ122" s="183">
        <f>IF(AND(ISNUMBER(BQ119),ISNUMBER(BL119)),BQ119-BL119+BQ142,"")</f>
        <v/>
      </c>
      <c r="BR122" s="183">
        <f>IF(AND(ISNUMBER(BR119),ISNUMBER(BP119)),BR119-BP119+BR142,"")</f>
        <v/>
      </c>
      <c r="BS122" s="183">
        <f>IF(AND(ISNUMBER(BS119),ISNUMBER(BR119)),BS119-BR119+BS142,"")</f>
        <v/>
      </c>
      <c r="BT122" s="183">
        <f>IF(AND(ISNUMBER(BT119),ISNUMBER(BS119)),BT119-BS119+BT142,"")</f>
        <v/>
      </c>
      <c r="BU122" s="183">
        <f>IF(AND(ISNUMBER(BU119),ISNUMBER(BT119)),BU119-BT119+BU142,"")</f>
        <v/>
      </c>
      <c r="BV122" s="183">
        <f>IF(AND(ISNUMBER(BV119),ISNUMBER(BQ119)),BV119-BQ119+BV142,"")</f>
        <v/>
      </c>
      <c r="BW122" s="183">
        <f>IF(AND(ISNUMBER(BW119),ISNUMBER(BU119)),BW119-BU119+BW142,"")</f>
        <v/>
      </c>
      <c r="BX122" s="183">
        <f>IF(AND(ISNUMBER(BX119),ISNUMBER(BW119)),BX119-BW119+BX142,"")</f>
        <v/>
      </c>
      <c r="BY122" s="37" t="n"/>
      <c r="BZ122" s="37" t="n"/>
      <c r="CA122" s="37" t="n"/>
      <c r="CB122" s="37" t="n"/>
      <c r="CC122" s="37" t="n"/>
      <c r="CD122" s="37" t="n"/>
      <c r="CE122" s="37" t="n"/>
      <c r="CF122" s="20" t="inlineStr">
        <is>
          <t>Wabtec does not publish orders; implied from the backlog roll-forward (includes FX translation and backlog acquired).</t>
        </is>
      </c>
    </row>
    <row r="123" ht="15" customHeight="1">
      <c r="B123" s="26" t="inlineStr">
        <is>
          <t xml:space="preserve">  Implied book-to-bill (x)</t>
        </is>
      </c>
      <c r="C123" s="176">
        <f>IF(AND(ISNUMBER(C122),ISNUMBER(C142)),IFERROR(C122/C142,""),"")</f>
        <v/>
      </c>
      <c r="D123" s="176">
        <f>IF(AND(ISNUMBER(D122),ISNUMBER(D142)),IFERROR(D122/D142,""),"")</f>
        <v/>
      </c>
      <c r="E123" s="176">
        <f>IF(AND(ISNUMBER(E122),ISNUMBER(E142)),IFERROR(E122/E142,""),"")</f>
        <v/>
      </c>
      <c r="F123" s="176">
        <f>IF(AND(ISNUMBER(F122),ISNUMBER(F142)),IFERROR(F122/F142,""),"")</f>
        <v/>
      </c>
      <c r="G123" s="176">
        <f>IF(AND(ISNUMBER(G122),ISNUMBER(G142)),IFERROR(G122/G142,""),"")</f>
        <v/>
      </c>
      <c r="H123" s="176">
        <f>IF(AND(ISNUMBER(H122),ISNUMBER(H142)),IFERROR(H122/H142,""),"")</f>
        <v/>
      </c>
      <c r="I123" s="176">
        <f>IF(AND(ISNUMBER(I122),ISNUMBER(I142)),IFERROR(I122/I142,""),"")</f>
        <v/>
      </c>
      <c r="J123" s="176">
        <f>IF(AND(ISNUMBER(J122),ISNUMBER(J142)),IFERROR(J122/J142,""),"")</f>
        <v/>
      </c>
      <c r="K123" s="176">
        <f>IF(AND(ISNUMBER(K122),ISNUMBER(K142)),IFERROR(K122/K142,""),"")</f>
        <v/>
      </c>
      <c r="L123" s="176">
        <f>IF(AND(ISNUMBER(L122),ISNUMBER(L142)),IFERROR(L122/L142,""),"")</f>
        <v/>
      </c>
      <c r="M123" s="176">
        <f>IF(AND(ISNUMBER(M122),ISNUMBER(M142)),IFERROR(M122/M142,""),"")</f>
        <v/>
      </c>
      <c r="N123" s="176">
        <f>IF(AND(ISNUMBER(N122),ISNUMBER(N142)),IFERROR(N122/N142,""),"")</f>
        <v/>
      </c>
      <c r="O123" s="176">
        <f>IF(AND(ISNUMBER(O122),ISNUMBER(O142)),IFERROR(O122/O142,""),"")</f>
        <v/>
      </c>
      <c r="P123" s="176">
        <f>IF(AND(ISNUMBER(P122),ISNUMBER(P142)),IFERROR(P122/P142,""),"")</f>
        <v/>
      </c>
      <c r="Q123" s="176">
        <f>IF(AND(ISNUMBER(Q122),ISNUMBER(Q142)),IFERROR(Q122/Q142,""),"")</f>
        <v/>
      </c>
      <c r="R123" s="176">
        <f>IF(AND(ISNUMBER(R122),ISNUMBER(R142)),IFERROR(R122/R142,""),"")</f>
        <v/>
      </c>
      <c r="S123" s="176">
        <f>IF(AND(ISNUMBER(S122),ISNUMBER(S142)),IFERROR(S122/S142,""),"")</f>
        <v/>
      </c>
      <c r="T123" s="176">
        <f>IF(AND(ISNUMBER(T122),ISNUMBER(T142)),IFERROR(T122/T142,""),"")</f>
        <v/>
      </c>
      <c r="U123" s="176">
        <f>IF(AND(ISNUMBER(U122),ISNUMBER(U142)),IFERROR(U122/U142,""),"")</f>
        <v/>
      </c>
      <c r="V123" s="176">
        <f>IF(AND(ISNUMBER(V122),ISNUMBER(V142)),IFERROR(V122/V142,""),"")</f>
        <v/>
      </c>
      <c r="W123" s="176">
        <f>IF(AND(ISNUMBER(W122),ISNUMBER(W142)),IFERROR(W122/W142,""),"")</f>
        <v/>
      </c>
      <c r="X123" s="176">
        <f>IF(AND(ISNUMBER(X122),ISNUMBER(X142)),IFERROR(X122/X142,""),"")</f>
        <v/>
      </c>
      <c r="Y123" s="176">
        <f>IF(AND(ISNUMBER(Y122),ISNUMBER(Y142)),IFERROR(Y122/Y142,""),"")</f>
        <v/>
      </c>
      <c r="Z123" s="176">
        <f>IF(AND(ISNUMBER(Z122),ISNUMBER(Z142)),IFERROR(Z122/Z142,""),"")</f>
        <v/>
      </c>
      <c r="AA123" s="176">
        <f>IF(AND(ISNUMBER(AA122),ISNUMBER(AA142)),IFERROR(AA122/AA142,""),"")</f>
        <v/>
      </c>
      <c r="AB123" s="176">
        <f>IF(AND(ISNUMBER(AB122),ISNUMBER(AB142)),IFERROR(AB122/AB142,""),"")</f>
        <v/>
      </c>
      <c r="AC123" s="176">
        <f>IF(AND(ISNUMBER(AC122),ISNUMBER(AC142)),IFERROR(AC122/AC142,""),"")</f>
        <v/>
      </c>
      <c r="AD123" s="176">
        <f>IF(AND(ISNUMBER(AD122),ISNUMBER(AD142)),IFERROR(AD122/AD142,""),"")</f>
        <v/>
      </c>
      <c r="AE123" s="176">
        <f>IF(AND(ISNUMBER(AE122),ISNUMBER(AE142)),IFERROR(AE122/AE142,""),"")</f>
        <v/>
      </c>
      <c r="AF123" s="176">
        <f>IF(AND(ISNUMBER(AF122),ISNUMBER(AF142)),IFERROR(AF122/AF142,""),"")</f>
        <v/>
      </c>
      <c r="AG123" s="176">
        <f>IF(AND(ISNUMBER(AG122),ISNUMBER(AG142)),IFERROR(AG122/AG142,""),"")</f>
        <v/>
      </c>
      <c r="AH123" s="176">
        <f>IF(AND(ISNUMBER(AH122),ISNUMBER(AH142)),IFERROR(AH122/AH142,""),"")</f>
        <v/>
      </c>
      <c r="AI123" s="176">
        <f>IF(AND(ISNUMBER(AI122),ISNUMBER(AI142)),IFERROR(AI122/AI142,""),"")</f>
        <v/>
      </c>
      <c r="AJ123" s="176">
        <f>IF(AND(ISNUMBER(AJ122),ISNUMBER(AJ142)),IFERROR(AJ122/AJ142,""),"")</f>
        <v/>
      </c>
      <c r="AK123" s="176">
        <f>IF(AND(ISNUMBER(AK122),ISNUMBER(AK142)),IFERROR(AK122/AK142,""),"")</f>
        <v/>
      </c>
      <c r="AL123" s="176">
        <f>IF(AND(ISNUMBER(AL122),ISNUMBER(AL142)),IFERROR(AL122/AL142,""),"")</f>
        <v/>
      </c>
      <c r="AM123" s="176">
        <f>IF(AND(ISNUMBER(AM122),ISNUMBER(AM142)),IFERROR(AM122/AM142,""),"")</f>
        <v/>
      </c>
      <c r="AN123" s="176">
        <f>IF(AND(ISNUMBER(AN122),ISNUMBER(AN142)),IFERROR(AN122/AN142,""),"")</f>
        <v/>
      </c>
      <c r="AO123" s="176">
        <f>IF(AND(ISNUMBER(AO122),ISNUMBER(AO142)),IFERROR(AO122/AO142,""),"")</f>
        <v/>
      </c>
      <c r="AP123" s="176">
        <f>IF(AND(ISNUMBER(AP122),ISNUMBER(AP142)),IFERROR(AP122/AP142,""),"")</f>
        <v/>
      </c>
      <c r="AQ123" s="176">
        <f>IF(AND(ISNUMBER(AQ122),ISNUMBER(AQ142)),IFERROR(AQ122/AQ142,""),"")</f>
        <v/>
      </c>
      <c r="AR123" s="176">
        <f>IF(AND(ISNUMBER(AR122),ISNUMBER(AR142)),IFERROR(AR122/AR142,""),"")</f>
        <v/>
      </c>
      <c r="AS123" s="176">
        <f>IF(AND(ISNUMBER(AS122),ISNUMBER(AS142)),IFERROR(AS122/AS142,""),"")</f>
        <v/>
      </c>
      <c r="AT123" s="176">
        <f>IF(AND(ISNUMBER(AT122),ISNUMBER(AT142)),IFERROR(AT122/AT142,""),"")</f>
        <v/>
      </c>
      <c r="AU123" s="176">
        <f>IF(AND(ISNUMBER(AU122),ISNUMBER(AU142)),IFERROR(AU122/AU142,""),"")</f>
        <v/>
      </c>
      <c r="AV123" s="176">
        <f>IF(AND(ISNUMBER(AV122),ISNUMBER(AV142)),IFERROR(AV122/AV142,""),"")</f>
        <v/>
      </c>
      <c r="AW123" s="176">
        <f>IF(AND(ISNUMBER(AW122),ISNUMBER(AW142)),IFERROR(AW122/AW142,""),"")</f>
        <v/>
      </c>
      <c r="AX123" s="176">
        <f>IF(AND(ISNUMBER(AX122),ISNUMBER(AX142)),IFERROR(AX122/AX142,""),"")</f>
        <v/>
      </c>
      <c r="AY123" s="176">
        <f>IF(AND(ISNUMBER(AY122),ISNUMBER(AY142)),IFERROR(AY122/AY142,""),"")</f>
        <v/>
      </c>
      <c r="AZ123" s="176">
        <f>IF(AND(ISNUMBER(AZ122),ISNUMBER(AZ142)),IFERROR(AZ122/AZ142,""),"")</f>
        <v/>
      </c>
      <c r="BA123" s="176">
        <f>IF(AND(ISNUMBER(BA122),ISNUMBER(BA142)),IFERROR(BA122/BA142,""),"")</f>
        <v/>
      </c>
      <c r="BB123" s="176">
        <f>IF(AND(ISNUMBER(BB122),ISNUMBER(BB142)),IFERROR(BB122/BB142,""),"")</f>
        <v/>
      </c>
      <c r="BC123" s="176">
        <f>IF(AND(ISNUMBER(BC122),ISNUMBER(BC142)),IFERROR(BC122/BC142,""),"")</f>
        <v/>
      </c>
      <c r="BD123" s="176">
        <f>IF(AND(ISNUMBER(BD122),ISNUMBER(BD142)),IFERROR(BD122/BD142,""),"")</f>
        <v/>
      </c>
      <c r="BE123" s="176">
        <f>IF(AND(ISNUMBER(BE122),ISNUMBER(BE142)),IFERROR(BE122/BE142,""),"")</f>
        <v/>
      </c>
      <c r="BF123" s="176">
        <f>IF(AND(ISNUMBER(BF122),ISNUMBER(BF142)),IFERROR(BF122/BF142,""),"")</f>
        <v/>
      </c>
      <c r="BG123" s="176">
        <f>IF(AND(ISNUMBER(BG122),ISNUMBER(BG142)),IFERROR(BG122/BG142,""),"")</f>
        <v/>
      </c>
      <c r="BH123" s="176">
        <f>IF(AND(ISNUMBER(BH122),ISNUMBER(BH142)),IFERROR(BH122/BH142,""),"")</f>
        <v/>
      </c>
      <c r="BI123" s="176">
        <f>IF(AND(ISNUMBER(BI122),ISNUMBER(BI142)),IFERROR(BI122/BI142,""),"")</f>
        <v/>
      </c>
      <c r="BJ123" s="176">
        <f>IF(AND(ISNUMBER(BJ122),ISNUMBER(BJ142)),IFERROR(BJ122/BJ142,""),"")</f>
        <v/>
      </c>
      <c r="BK123" s="176">
        <f>IF(AND(ISNUMBER(BK122),ISNUMBER(BK142)),IFERROR(BK122/BK142,""),"")</f>
        <v/>
      </c>
      <c r="BL123" s="176">
        <f>IF(AND(ISNUMBER(BL122),ISNUMBER(BL142)),IFERROR(BL122/BL142,""),"")</f>
        <v/>
      </c>
      <c r="BM123" s="176">
        <f>IF(AND(ISNUMBER(BM122),ISNUMBER(BM142)),IFERROR(BM122/BM142,""),"")</f>
        <v/>
      </c>
      <c r="BN123" s="176">
        <f>IF(AND(ISNUMBER(BN122),ISNUMBER(BN142)),IFERROR(BN122/BN142,""),"")</f>
        <v/>
      </c>
      <c r="BO123" s="176">
        <f>IF(AND(ISNUMBER(BO122),ISNUMBER(BO142)),IFERROR(BO122/BO142,""),"")</f>
        <v/>
      </c>
      <c r="BP123" s="176">
        <f>IF(AND(ISNUMBER(BP122),ISNUMBER(BP142)),IFERROR(BP122/BP142,""),"")</f>
        <v/>
      </c>
      <c r="BQ123" s="176">
        <f>IF(AND(ISNUMBER(BQ122),ISNUMBER(BQ142)),IFERROR(BQ122/BQ142,""),"")</f>
        <v/>
      </c>
      <c r="BR123" s="176">
        <f>IF(AND(ISNUMBER(BR122),ISNUMBER(BR142)),IFERROR(BR122/BR142,""),"")</f>
        <v/>
      </c>
      <c r="BS123" s="176">
        <f>IF(AND(ISNUMBER(BS122),ISNUMBER(BS142)),IFERROR(BS122/BS142,""),"")</f>
        <v/>
      </c>
      <c r="BT123" s="176">
        <f>IF(AND(ISNUMBER(BT122),ISNUMBER(BT142)),IFERROR(BT122/BT142,""),"")</f>
        <v/>
      </c>
      <c r="BU123" s="176">
        <f>IF(AND(ISNUMBER(BU122),ISNUMBER(BU142)),IFERROR(BU122/BU142,""),"")</f>
        <v/>
      </c>
      <c r="BV123" s="176">
        <f>IF(AND(ISNUMBER(BV122),ISNUMBER(BV142)),IFERROR(BV122/BV142,""),"")</f>
        <v/>
      </c>
      <c r="BW123" s="176">
        <f>IF(AND(ISNUMBER(BW122),ISNUMBER(BW142)),IFERROR(BW122/BW142,""),"")</f>
        <v/>
      </c>
      <c r="BX123" s="176">
        <f>IF(AND(ISNUMBER(BX122),ISNUMBER(BX142)),IFERROR(BX122/BX142,""),"")</f>
        <v/>
      </c>
      <c r="BY123" s="37" t="n"/>
      <c r="BZ123" s="37" t="n"/>
      <c r="CA123" s="37" t="n"/>
      <c r="CB123" s="37" t="n"/>
      <c r="CC123" s="37" t="n"/>
      <c r="CD123" s="37" t="n"/>
      <c r="CE123" s="37" t="n"/>
      <c r="CF123" s="20" t="n"/>
    </row>
    <row r="124" hidden="1" outlineLevel="1" ht="15" customHeight="1">
      <c r="B124" s="26" t="inlineStr">
        <is>
          <t xml:space="preserve">  Legacy product-line sales (10-K, annual; pre-2019 product categories):</t>
        </is>
      </c>
      <c r="CF124" s="6" t="n"/>
    </row>
    <row r="125" hidden="1" outlineLevel="1" ht="15" customHeight="1">
      <c r="B125" s="42" t="inlineStr">
        <is>
          <t xml:space="preserve">    Specialty Products &amp; Electronics (Freight Electronics &amp; Specialty Products to 2010)</t>
        </is>
      </c>
      <c r="C125" s="174" t="n">
        <v>336.2</v>
      </c>
      <c r="D125" s="174" t="n">
        <v>393</v>
      </c>
      <c r="E125" s="174" t="n">
        <v>393.3</v>
      </c>
      <c r="F125" s="174" t="n">
        <v>333.8</v>
      </c>
      <c r="G125" s="174" t="n">
        <v>482.4</v>
      </c>
      <c r="H125" s="174" t="n">
        <v>880</v>
      </c>
      <c r="I125" s="174" t="n">
        <v>1094.1</v>
      </c>
      <c r="J125" s="36" t="n"/>
      <c r="K125" s="36" t="n"/>
      <c r="L125" s="36" t="n"/>
      <c r="M125" s="36" t="n"/>
      <c r="N125" s="174" t="n">
        <v>1041.8</v>
      </c>
      <c r="O125" s="36" t="n"/>
      <c r="P125" s="36" t="n"/>
      <c r="Q125" s="36" t="n"/>
      <c r="R125" s="36" t="n"/>
      <c r="S125" s="174" t="n">
        <v>1394</v>
      </c>
      <c r="T125" s="36" t="n"/>
      <c r="U125" s="36" t="n"/>
      <c r="V125" s="36" t="n"/>
      <c r="W125" s="36" t="n"/>
      <c r="X125" s="174" t="n">
        <v>1733.9</v>
      </c>
      <c r="Y125" s="36" t="n"/>
      <c r="Z125" s="36" t="n"/>
      <c r="AA125" s="36" t="n"/>
      <c r="AB125" s="36" t="n"/>
      <c r="AC125" s="174" t="n">
        <v>1374.6</v>
      </c>
      <c r="AD125" s="36" t="n"/>
      <c r="AE125" s="36" t="n"/>
      <c r="AF125" s="36" t="n"/>
      <c r="AG125" s="36" t="n"/>
      <c r="AH125" s="174" t="n">
        <v>1350.7</v>
      </c>
      <c r="AI125" s="36" t="n"/>
      <c r="AJ125" s="36" t="n"/>
      <c r="AK125" s="36" t="n"/>
      <c r="AL125" s="36" t="n"/>
      <c r="AM125" s="174" t="n">
        <v>1632</v>
      </c>
      <c r="AN125" s="36" t="n"/>
      <c r="AO125" s="36" t="n"/>
      <c r="AP125" s="36" t="n"/>
      <c r="AQ125" s="36" t="n"/>
      <c r="AR125" s="36" t="n"/>
      <c r="AS125" s="36" t="n"/>
      <c r="AT125" s="36" t="n"/>
      <c r="AU125" s="36" t="n"/>
      <c r="AV125" s="36" t="n"/>
      <c r="AW125" s="36" t="n"/>
      <c r="AX125" s="36" t="n"/>
      <c r="AY125" s="36" t="n"/>
      <c r="AZ125" s="36" t="n"/>
      <c r="BA125" s="36" t="n"/>
      <c r="BB125" s="36" t="n"/>
      <c r="BC125" s="36" t="n"/>
      <c r="BD125" s="36" t="n"/>
      <c r="BE125" s="36" t="n"/>
      <c r="BF125" s="36" t="n"/>
      <c r="BG125" s="36" t="n"/>
      <c r="BH125" s="36" t="n"/>
      <c r="BI125" s="36" t="n"/>
      <c r="BJ125" s="36" t="n"/>
      <c r="BK125" s="36" t="n"/>
      <c r="BL125" s="36" t="n"/>
      <c r="BM125" s="36" t="n"/>
      <c r="BN125" s="36" t="n"/>
      <c r="BO125" s="36" t="n"/>
      <c r="BP125" s="36" t="n"/>
      <c r="BQ125" s="36" t="n"/>
      <c r="BR125" s="36" t="n"/>
      <c r="BS125" s="36" t="n"/>
      <c r="BT125" s="36" t="n"/>
      <c r="BU125" s="36" t="n"/>
      <c r="BV125" s="36" t="n"/>
      <c r="BW125" s="36" t="n"/>
      <c r="BX125" s="36" t="n"/>
      <c r="BY125" s="6" t="n"/>
      <c r="BZ125" s="6" t="n"/>
      <c r="CA125" s="6" t="n"/>
      <c r="CB125" s="6" t="n"/>
      <c r="CC125" s="6" t="n"/>
      <c r="CD125" s="6" t="n"/>
      <c r="CE125" s="6" t="n"/>
      <c r="CF125" s="6" t="n"/>
    </row>
    <row r="126" hidden="1" outlineLevel="1" ht="15" customHeight="1">
      <c r="B126" s="42" t="inlineStr">
        <is>
          <t xml:space="preserve">    Brake Products</t>
        </is>
      </c>
      <c r="C126" s="174" t="n">
        <v>393.7</v>
      </c>
      <c r="D126" s="174" t="n">
        <v>458</v>
      </c>
      <c r="E126" s="174" t="n">
        <v>545.5</v>
      </c>
      <c r="F126" s="174" t="n">
        <v>465.1</v>
      </c>
      <c r="G126" s="174" t="n">
        <v>441.8</v>
      </c>
      <c r="H126" s="174" t="n">
        <v>498</v>
      </c>
      <c r="I126" s="174" t="n">
        <v>527.4</v>
      </c>
      <c r="J126" s="36" t="n"/>
      <c r="K126" s="36" t="n"/>
      <c r="L126" s="36" t="n"/>
      <c r="M126" s="36" t="n"/>
      <c r="N126" s="174" t="n">
        <v>567.7</v>
      </c>
      <c r="O126" s="36" t="n"/>
      <c r="P126" s="36" t="n"/>
      <c r="Q126" s="36" t="n"/>
      <c r="R126" s="36" t="n"/>
      <c r="S126" s="174" t="n">
        <v>662.3</v>
      </c>
      <c r="T126" s="36" t="n"/>
      <c r="U126" s="36" t="n"/>
      <c r="V126" s="36" t="n"/>
      <c r="W126" s="36" t="n"/>
      <c r="X126" s="174" t="n">
        <v>627.6</v>
      </c>
      <c r="Y126" s="36" t="n"/>
      <c r="Z126" s="36" t="n"/>
      <c r="AA126" s="36" t="n"/>
      <c r="AB126" s="36" t="n"/>
      <c r="AC126" s="174" t="n">
        <v>588.1</v>
      </c>
      <c r="AD126" s="36" t="n"/>
      <c r="AE126" s="36" t="n"/>
      <c r="AF126" s="36" t="n"/>
      <c r="AG126" s="36" t="n"/>
      <c r="AH126" s="174" t="n">
        <v>750</v>
      </c>
      <c r="AI126" s="36" t="n"/>
      <c r="AJ126" s="36" t="n"/>
      <c r="AK126" s="36" t="n"/>
      <c r="AL126" s="36" t="n"/>
      <c r="AM126" s="174" t="n">
        <v>885.5</v>
      </c>
      <c r="AN126" s="36" t="n"/>
      <c r="AO126" s="36" t="n"/>
      <c r="AP126" s="36" t="n"/>
      <c r="AQ126" s="36" t="n"/>
      <c r="AR126" s="36" t="n"/>
      <c r="AS126" s="36" t="n"/>
      <c r="AT126" s="36" t="n"/>
      <c r="AU126" s="36" t="n"/>
      <c r="AV126" s="36" t="n"/>
      <c r="AW126" s="36" t="n"/>
      <c r="AX126" s="36" t="n"/>
      <c r="AY126" s="36" t="n"/>
      <c r="AZ126" s="36" t="n"/>
      <c r="BA126" s="36" t="n"/>
      <c r="BB126" s="36" t="n"/>
      <c r="BC126" s="36" t="n"/>
      <c r="BD126" s="36" t="n"/>
      <c r="BE126" s="36" t="n"/>
      <c r="BF126" s="36" t="n"/>
      <c r="BG126" s="36" t="n"/>
      <c r="BH126" s="36" t="n"/>
      <c r="BI126" s="36" t="n"/>
      <c r="BJ126" s="36" t="n"/>
      <c r="BK126" s="36" t="n"/>
      <c r="BL126" s="36" t="n"/>
      <c r="BM126" s="36" t="n"/>
      <c r="BN126" s="36" t="n"/>
      <c r="BO126" s="36" t="n"/>
      <c r="BP126" s="36" t="n"/>
      <c r="BQ126" s="36" t="n"/>
      <c r="BR126" s="36" t="n"/>
      <c r="BS126" s="36" t="n"/>
      <c r="BT126" s="36" t="n"/>
      <c r="BU126" s="36" t="n"/>
      <c r="BV126" s="36" t="n"/>
      <c r="BW126" s="36" t="n"/>
      <c r="BX126" s="36" t="n"/>
      <c r="BY126" s="6" t="n"/>
      <c r="BZ126" s="6" t="n"/>
      <c r="CA126" s="6" t="n"/>
      <c r="CB126" s="6" t="n"/>
      <c r="CC126" s="6" t="n"/>
      <c r="CD126" s="6" t="n"/>
      <c r="CE126" s="6" t="n"/>
      <c r="CF126" s="6" t="n"/>
    </row>
    <row r="127" hidden="1" outlineLevel="1" ht="15" customHeight="1">
      <c r="B127" s="42" t="inlineStr">
        <is>
          <t xml:space="preserve">    Remanufacturing, Overhaul &amp; Build</t>
        </is>
      </c>
      <c r="C127" s="174" t="n">
        <v>219</v>
      </c>
      <c r="D127" s="174" t="n">
        <v>329.6</v>
      </c>
      <c r="E127" s="174" t="n">
        <v>338.4</v>
      </c>
      <c r="F127" s="174" t="n">
        <v>285.5</v>
      </c>
      <c r="G127" s="174" t="n">
        <v>272.5</v>
      </c>
      <c r="H127" s="174" t="n">
        <v>331.8</v>
      </c>
      <c r="I127" s="174" t="n">
        <v>496.9</v>
      </c>
      <c r="J127" s="36" t="n"/>
      <c r="K127" s="36" t="n"/>
      <c r="L127" s="36" t="n"/>
      <c r="M127" s="36" t="n"/>
      <c r="N127" s="174" t="n">
        <v>655.4</v>
      </c>
      <c r="O127" s="36" t="n"/>
      <c r="P127" s="36" t="n"/>
      <c r="Q127" s="36" t="n"/>
      <c r="R127" s="36" t="n"/>
      <c r="S127" s="174" t="n">
        <v>618.9</v>
      </c>
      <c r="T127" s="36" t="n"/>
      <c r="U127" s="36" t="n"/>
      <c r="V127" s="36" t="n"/>
      <c r="W127" s="36" t="n"/>
      <c r="X127" s="174" t="n">
        <v>606.6</v>
      </c>
      <c r="Y127" s="36" t="n"/>
      <c r="Z127" s="36" t="n"/>
      <c r="AA127" s="36" t="n"/>
      <c r="AB127" s="36" t="n"/>
      <c r="AC127" s="174" t="n">
        <v>559.3</v>
      </c>
      <c r="AD127" s="36" t="n"/>
      <c r="AE127" s="36" t="n"/>
      <c r="AF127" s="36" t="n"/>
      <c r="AG127" s="36" t="n"/>
      <c r="AH127" s="174" t="n">
        <v>522.3</v>
      </c>
      <c r="AI127" s="36" t="n"/>
      <c r="AJ127" s="36" t="n"/>
      <c r="AK127" s="36" t="n"/>
      <c r="AL127" s="36" t="n"/>
      <c r="AM127" s="174" t="n">
        <v>537.1</v>
      </c>
      <c r="AN127" s="36" t="n"/>
      <c r="AO127" s="36" t="n"/>
      <c r="AP127" s="36" t="n"/>
      <c r="AQ127" s="36" t="n"/>
      <c r="AR127" s="36" t="n"/>
      <c r="AS127" s="36" t="n"/>
      <c r="AT127" s="36" t="n"/>
      <c r="AU127" s="36" t="n"/>
      <c r="AV127" s="36" t="n"/>
      <c r="AW127" s="36" t="n"/>
      <c r="AX127" s="36" t="n"/>
      <c r="AY127" s="36" t="n"/>
      <c r="AZ127" s="36" t="n"/>
      <c r="BA127" s="36" t="n"/>
      <c r="BB127" s="36" t="n"/>
      <c r="BC127" s="36" t="n"/>
      <c r="BD127" s="36" t="n"/>
      <c r="BE127" s="36" t="n"/>
      <c r="BF127" s="36" t="n"/>
      <c r="BG127" s="36" t="n"/>
      <c r="BH127" s="36" t="n"/>
      <c r="BI127" s="36" t="n"/>
      <c r="BJ127" s="36" t="n"/>
      <c r="BK127" s="36" t="n"/>
      <c r="BL127" s="36" t="n"/>
      <c r="BM127" s="36" t="n"/>
      <c r="BN127" s="36" t="n"/>
      <c r="BO127" s="36" t="n"/>
      <c r="BP127" s="36" t="n"/>
      <c r="BQ127" s="36" t="n"/>
      <c r="BR127" s="36" t="n"/>
      <c r="BS127" s="36" t="n"/>
      <c r="BT127" s="36" t="n"/>
      <c r="BU127" s="36" t="n"/>
      <c r="BV127" s="36" t="n"/>
      <c r="BW127" s="36" t="n"/>
      <c r="BX127" s="36" t="n"/>
      <c r="BY127" s="6" t="n"/>
      <c r="BZ127" s="6" t="n"/>
      <c r="CA127" s="6" t="n"/>
      <c r="CB127" s="6" t="n"/>
      <c r="CC127" s="6" t="n"/>
      <c r="CD127" s="6" t="n"/>
      <c r="CE127" s="6" t="n"/>
      <c r="CF127" s="6" t="n"/>
    </row>
    <row r="128" hidden="1" outlineLevel="1" ht="15" customHeight="1">
      <c r="B128" s="42" t="inlineStr">
        <is>
          <t xml:space="preserve">    Transit Products (Other Transit Products from 2008)</t>
        </is>
      </c>
      <c r="C128" s="174" t="n">
        <v>106.3</v>
      </c>
      <c r="D128" s="174" t="n">
        <v>142.8</v>
      </c>
      <c r="E128" s="174" t="n">
        <v>223.4</v>
      </c>
      <c r="F128" s="174" t="n">
        <v>247.5</v>
      </c>
      <c r="G128" s="174" t="n">
        <v>220.2</v>
      </c>
      <c r="H128" s="174" t="n">
        <v>195.3</v>
      </c>
      <c r="I128" s="174" t="n">
        <v>197.6</v>
      </c>
      <c r="J128" s="36" t="n"/>
      <c r="K128" s="36" t="n"/>
      <c r="L128" s="36" t="n"/>
      <c r="M128" s="36" t="n"/>
      <c r="N128" s="174" t="n">
        <v>204.1</v>
      </c>
      <c r="O128" s="36" t="n"/>
      <c r="P128" s="36" t="n"/>
      <c r="Q128" s="36" t="n"/>
      <c r="R128" s="36" t="n"/>
      <c r="S128" s="174" t="n">
        <v>201.9</v>
      </c>
      <c r="T128" s="36" t="n"/>
      <c r="U128" s="36" t="n"/>
      <c r="V128" s="36" t="n"/>
      <c r="W128" s="36" t="n"/>
      <c r="X128" s="174" t="n">
        <v>189.6</v>
      </c>
      <c r="Y128" s="36" t="n"/>
      <c r="Z128" s="36" t="n"/>
      <c r="AA128" s="36" t="n"/>
      <c r="AB128" s="36" t="n"/>
      <c r="AC128" s="174" t="n">
        <v>276.1</v>
      </c>
      <c r="AD128" s="36" t="n"/>
      <c r="AE128" s="36" t="n"/>
      <c r="AF128" s="36" t="n"/>
      <c r="AG128" s="36" t="n"/>
      <c r="AH128" s="174" t="n">
        <v>1112.3</v>
      </c>
      <c r="AI128" s="36" t="n"/>
      <c r="AJ128" s="36" t="n"/>
      <c r="AK128" s="36" t="n"/>
      <c r="AL128" s="36" t="n"/>
      <c r="AM128" s="174" t="n">
        <v>1111.5</v>
      </c>
      <c r="AN128" s="36" t="n"/>
      <c r="AO128" s="36" t="n"/>
      <c r="AP128" s="36" t="n"/>
      <c r="AQ128" s="36" t="n"/>
      <c r="AR128" s="36" t="n"/>
      <c r="AS128" s="36" t="n"/>
      <c r="AT128" s="36" t="n"/>
      <c r="AU128" s="36" t="n"/>
      <c r="AV128" s="36" t="n"/>
      <c r="AW128" s="36" t="n"/>
      <c r="AX128" s="36" t="n"/>
      <c r="AY128" s="36" t="n"/>
      <c r="AZ128" s="36" t="n"/>
      <c r="BA128" s="36" t="n"/>
      <c r="BB128" s="36" t="n"/>
      <c r="BC128" s="36" t="n"/>
      <c r="BD128" s="36" t="n"/>
      <c r="BE128" s="36" t="n"/>
      <c r="BF128" s="36" t="n"/>
      <c r="BG128" s="36" t="n"/>
      <c r="BH128" s="36" t="n"/>
      <c r="BI128" s="36" t="n"/>
      <c r="BJ128" s="36" t="n"/>
      <c r="BK128" s="36" t="n"/>
      <c r="BL128" s="36" t="n"/>
      <c r="BM128" s="36" t="n"/>
      <c r="BN128" s="36" t="n"/>
      <c r="BO128" s="36" t="n"/>
      <c r="BP128" s="36" t="n"/>
      <c r="BQ128" s="36" t="n"/>
      <c r="BR128" s="36" t="n"/>
      <c r="BS128" s="36" t="n"/>
      <c r="BT128" s="36" t="n"/>
      <c r="BU128" s="36" t="n"/>
      <c r="BV128" s="36" t="n"/>
      <c r="BW128" s="36" t="n"/>
      <c r="BX128" s="36" t="n"/>
      <c r="BY128" s="6" t="n"/>
      <c r="BZ128" s="6" t="n"/>
      <c r="CA128" s="6" t="n"/>
      <c r="CB128" s="6" t="n"/>
      <c r="CC128" s="6" t="n"/>
      <c r="CD128" s="6" t="n"/>
      <c r="CE128" s="6" t="n"/>
      <c r="CF128" s="6" t="n"/>
    </row>
    <row r="129" hidden="1" outlineLevel="1" ht="15" customHeight="1">
      <c r="B129" s="42" t="inlineStr">
        <is>
          <t xml:space="preserve">    Other</t>
        </is>
      </c>
      <c r="C129" s="174" t="n">
        <v>32.5</v>
      </c>
      <c r="D129" s="174" t="n">
        <v>36.7</v>
      </c>
      <c r="E129" s="174" t="n">
        <v>74.2</v>
      </c>
      <c r="F129" s="174" t="n">
        <v>69.8</v>
      </c>
      <c r="G129" s="174" t="n">
        <v>90.09999999999999</v>
      </c>
      <c r="H129" s="174" t="n">
        <v>62.6</v>
      </c>
      <c r="I129" s="174" t="n">
        <v>75.09999999999999</v>
      </c>
      <c r="J129" s="36" t="n"/>
      <c r="K129" s="36" t="n"/>
      <c r="L129" s="36" t="n"/>
      <c r="M129" s="36" t="n"/>
      <c r="N129" s="174" t="n">
        <v>97.40000000000001</v>
      </c>
      <c r="O129" s="36" t="n"/>
      <c r="P129" s="36" t="n"/>
      <c r="Q129" s="36" t="n"/>
      <c r="R129" s="36" t="n"/>
      <c r="S129" s="174" t="n">
        <v>167.4</v>
      </c>
      <c r="T129" s="36" t="n"/>
      <c r="U129" s="36" t="n"/>
      <c r="V129" s="36" t="n"/>
      <c r="W129" s="36" t="n"/>
      <c r="X129" s="174" t="n">
        <v>150.4</v>
      </c>
      <c r="Y129" s="36" t="n"/>
      <c r="Z129" s="36" t="n"/>
      <c r="AA129" s="36" t="n"/>
      <c r="AB129" s="36" t="n"/>
      <c r="AC129" s="174" t="n">
        <v>133.1</v>
      </c>
      <c r="AD129" s="36" t="n"/>
      <c r="AE129" s="36" t="n"/>
      <c r="AF129" s="36" t="n"/>
      <c r="AG129" s="36" t="n"/>
      <c r="AH129" s="174" t="n">
        <v>146.5</v>
      </c>
      <c r="AI129" s="36" t="n"/>
      <c r="AJ129" s="36" t="n"/>
      <c r="AK129" s="36" t="n"/>
      <c r="AL129" s="36" t="n"/>
      <c r="AM129" s="174" t="n">
        <v>197.4</v>
      </c>
      <c r="AN129" s="36" t="n"/>
      <c r="AO129" s="36" t="n"/>
      <c r="AP129" s="36" t="n"/>
      <c r="AQ129" s="36" t="n"/>
      <c r="AR129" s="36" t="n"/>
      <c r="AS129" s="36" t="n"/>
      <c r="AT129" s="36" t="n"/>
      <c r="AU129" s="36" t="n"/>
      <c r="AV129" s="36" t="n"/>
      <c r="AW129" s="36" t="n"/>
      <c r="AX129" s="36" t="n"/>
      <c r="AY129" s="36" t="n"/>
      <c r="AZ129" s="36" t="n"/>
      <c r="BA129" s="36" t="n"/>
      <c r="BB129" s="36" t="n"/>
      <c r="BC129" s="36" t="n"/>
      <c r="BD129" s="36" t="n"/>
      <c r="BE129" s="36" t="n"/>
      <c r="BF129" s="36" t="n"/>
      <c r="BG129" s="36" t="n"/>
      <c r="BH129" s="36" t="n"/>
      <c r="BI129" s="36" t="n"/>
      <c r="BJ129" s="36" t="n"/>
      <c r="BK129" s="36" t="n"/>
      <c r="BL129" s="36" t="n"/>
      <c r="BM129" s="36" t="n"/>
      <c r="BN129" s="36" t="n"/>
      <c r="BO129" s="36" t="n"/>
      <c r="BP129" s="36" t="n"/>
      <c r="BQ129" s="36" t="n"/>
      <c r="BR129" s="36" t="n"/>
      <c r="BS129" s="36" t="n"/>
      <c r="BT129" s="36" t="n"/>
      <c r="BU129" s="36" t="n"/>
      <c r="BV129" s="36" t="n"/>
      <c r="BW129" s="36" t="n"/>
      <c r="BX129" s="36" t="n"/>
      <c r="BY129" s="6" t="n"/>
      <c r="BZ129" s="6" t="n"/>
      <c r="CA129" s="6" t="n"/>
      <c r="CB129" s="6" t="n"/>
      <c r="CC129" s="6" t="n"/>
      <c r="CD129" s="6" t="n"/>
      <c r="CE129" s="6" t="n"/>
      <c r="CF129" s="6" t="n"/>
    </row>
    <row r="130" ht="15" customHeight="1">
      <c r="B130" s="42" t="inlineStr">
        <is>
          <t xml:space="preserve">  Locomotive deliveries (units, where stated)</t>
        </is>
      </c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  <c r="AU130" s="36" t="n"/>
      <c r="AV130" s="36" t="n"/>
      <c r="AW130" s="36" t="n"/>
      <c r="AX130" s="36" t="n"/>
      <c r="AY130" s="36" t="n"/>
      <c r="AZ130" s="36" t="n"/>
      <c r="BA130" s="36" t="n"/>
      <c r="BB130" s="36" t="n"/>
      <c r="BC130" s="36" t="n"/>
      <c r="BD130" s="36" t="n"/>
      <c r="BE130" s="36" t="n"/>
      <c r="BF130" s="36" t="n"/>
      <c r="BG130" s="36" t="n"/>
      <c r="BH130" s="36" t="n"/>
      <c r="BI130" s="36" t="n"/>
      <c r="BJ130" s="36" t="n"/>
      <c r="BK130" s="36" t="n"/>
      <c r="BL130" s="36" t="n"/>
      <c r="BM130" s="36" t="n"/>
      <c r="BN130" s="36" t="n"/>
      <c r="BO130" s="36" t="n"/>
      <c r="BP130" s="36" t="n"/>
      <c r="BQ130" s="36" t="n"/>
      <c r="BR130" s="36" t="n"/>
      <c r="BS130" s="36" t="n"/>
      <c r="BT130" s="36" t="n"/>
      <c r="BU130" s="36" t="n"/>
      <c r="BV130" s="36" t="n"/>
      <c r="BW130" s="36" t="n"/>
      <c r="BX130" s="36" t="n"/>
      <c r="BY130" s="6" t="n"/>
      <c r="BZ130" s="6" t="n"/>
      <c r="CA130" s="6" t="n"/>
      <c r="CB130" s="6" t="n"/>
      <c r="CC130" s="6" t="n"/>
      <c r="CD130" s="6" t="n"/>
      <c r="CE130" s="6" t="n"/>
      <c r="CF130" s="6" t="n"/>
    </row>
    <row r="131" ht="15" customHeight="1">
      <c r="B131" s="42" t="inlineStr">
        <is>
          <t xml:space="preserve">  Employees (year end, 10-K)</t>
        </is>
      </c>
      <c r="C131" s="174" t="n">
        <v>5317</v>
      </c>
      <c r="D131" s="174" t="n">
        <v>6023</v>
      </c>
      <c r="E131" s="174" t="n">
        <v>7295</v>
      </c>
      <c r="F131" s="174" t="n">
        <v>5812</v>
      </c>
      <c r="G131" s="174" t="n">
        <v>6654</v>
      </c>
      <c r="H131" s="174" t="n">
        <v>8648</v>
      </c>
      <c r="I131" s="174" t="n">
        <v>9253</v>
      </c>
      <c r="J131" s="36" t="n"/>
      <c r="K131" s="36" t="n"/>
      <c r="L131" s="36" t="n"/>
      <c r="M131" s="36" t="n"/>
      <c r="N131" s="174" t="n">
        <v>10234</v>
      </c>
      <c r="O131" s="36" t="n"/>
      <c r="P131" s="36" t="n"/>
      <c r="Q131" s="36" t="n"/>
      <c r="R131" s="36" t="n"/>
      <c r="S131" s="174" t="n">
        <v>12600</v>
      </c>
      <c r="T131" s="36" t="n"/>
      <c r="U131" s="36" t="n"/>
      <c r="V131" s="36" t="n"/>
      <c r="W131" s="36" t="n"/>
      <c r="X131" s="174" t="n">
        <v>13000</v>
      </c>
      <c r="Y131" s="36" t="n"/>
      <c r="Z131" s="36" t="n"/>
      <c r="AA131" s="36" t="n"/>
      <c r="AB131" s="36" t="n"/>
      <c r="AC131" s="174" t="n">
        <v>20000</v>
      </c>
      <c r="AD131" s="36" t="n"/>
      <c r="AE131" s="36" t="n"/>
      <c r="AF131" s="36" t="n"/>
      <c r="AG131" s="36" t="n"/>
      <c r="AH131" s="174" t="n">
        <v>18000</v>
      </c>
      <c r="AI131" s="36" t="n"/>
      <c r="AJ131" s="36" t="n"/>
      <c r="AK131" s="36" t="n"/>
      <c r="AL131" s="36" t="n"/>
      <c r="AM131" s="174" t="n">
        <v>18000</v>
      </c>
      <c r="AN131" s="36" t="n"/>
      <c r="AO131" s="36" t="n"/>
      <c r="AP131" s="36" t="n"/>
      <c r="AQ131" s="36" t="n"/>
      <c r="AR131" s="174" t="n">
        <v>27500</v>
      </c>
      <c r="AS131" s="36" t="n"/>
      <c r="AT131" s="36" t="n"/>
      <c r="AU131" s="36" t="n"/>
      <c r="AV131" s="36" t="n"/>
      <c r="AW131" s="174" t="n">
        <v>27000</v>
      </c>
      <c r="AX131" s="36" t="n"/>
      <c r="AY131" s="36" t="n"/>
      <c r="AZ131" s="36" t="n"/>
      <c r="BA131" s="36" t="n"/>
      <c r="BB131" s="174" t="n">
        <v>25000</v>
      </c>
      <c r="BC131" s="36" t="n"/>
      <c r="BD131" s="36" t="n"/>
      <c r="BE131" s="36" t="n"/>
      <c r="BF131" s="36" t="n"/>
      <c r="BG131" s="174" t="n">
        <v>27000</v>
      </c>
      <c r="BH131" s="36" t="n"/>
      <c r="BI131" s="36" t="n"/>
      <c r="BJ131" s="36" t="n"/>
      <c r="BK131" s="36" t="n"/>
      <c r="BL131" s="174" t="n">
        <v>29000</v>
      </c>
      <c r="BM131" s="36" t="n"/>
      <c r="BN131" s="36" t="n"/>
      <c r="BO131" s="36" t="n"/>
      <c r="BP131" s="36" t="n"/>
      <c r="BQ131" s="174" t="n">
        <v>29500</v>
      </c>
      <c r="BR131" s="36" t="n"/>
      <c r="BS131" s="36" t="n"/>
      <c r="BT131" s="36" t="n"/>
      <c r="BU131" s="36" t="n"/>
      <c r="BV131" s="174" t="n">
        <v>31000</v>
      </c>
      <c r="BW131" s="36" t="n"/>
      <c r="BX131" s="36" t="n"/>
      <c r="BY131" s="6" t="n"/>
      <c r="BZ131" s="6" t="n"/>
      <c r="CA131" s="6" t="n"/>
      <c r="CB131" s="6" t="n"/>
      <c r="CC131" s="6" t="n"/>
      <c r="CD131" s="6" t="n"/>
      <c r="CE131" s="6" t="n"/>
      <c r="CF131" s="6" t="n"/>
    </row>
    <row r="132" ht="15" customHeight="1"/>
    <row r="133" ht="15" customHeight="1">
      <c r="B133" s="15" t="inlineStr">
        <is>
          <t>Cost drivers &amp; D&amp;A</t>
        </is>
      </c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  <c r="AS133" s="15" t="n"/>
      <c r="AT133" s="15" t="n"/>
      <c r="AU133" s="15" t="n"/>
      <c r="AV133" s="15" t="n"/>
      <c r="AW133" s="15" t="n"/>
      <c r="AX133" s="15" t="n"/>
      <c r="AY133" s="15" t="n"/>
      <c r="AZ133" s="15" t="n"/>
      <c r="BA133" s="15" t="n"/>
      <c r="BB133" s="15" t="n"/>
      <c r="BC133" s="15" t="n"/>
      <c r="BD133" s="15" t="n"/>
      <c r="BE133" s="15" t="n"/>
      <c r="BF133" s="15" t="n"/>
      <c r="BG133" s="15" t="n"/>
      <c r="BH133" s="15" t="n"/>
      <c r="BI133" s="15" t="n"/>
      <c r="BJ133" s="15" t="n"/>
      <c r="BK133" s="15" t="n"/>
      <c r="BL133" s="15" t="n"/>
      <c r="BM133" s="15" t="n"/>
      <c r="BN133" s="15" t="n"/>
      <c r="BO133" s="15" t="n"/>
      <c r="BP133" s="15" t="n"/>
      <c r="BQ133" s="15" t="n"/>
      <c r="BR133" s="15" t="n"/>
      <c r="BS133" s="15" t="n"/>
      <c r="BT133" s="15" t="n"/>
      <c r="BU133" s="15" t="n"/>
      <c r="BV133" s="15" t="n"/>
      <c r="BW133" s="15" t="n"/>
      <c r="BX133" s="15" t="n"/>
      <c r="BY133" s="15" t="n"/>
      <c r="BZ133" s="15" t="n"/>
      <c r="CA133" s="15" t="n"/>
      <c r="CB133" s="15" t="n"/>
      <c r="CC133" s="15" t="n"/>
      <c r="CD133" s="15" t="n"/>
      <c r="CE133" s="15" t="n"/>
      <c r="CF133" s="16" t="inlineStr">
        <is>
          <t>COST DRIVERS — inputs that drive forecast cost lines</t>
        </is>
      </c>
    </row>
    <row r="134" ht="15" customHeight="1">
      <c r="B134" s="26" t="inlineStr">
        <is>
          <t xml:space="preserve">  Depreciation (D&amp;A less intangible amortization)</t>
        </is>
      </c>
      <c r="C134" s="183">
        <f>IF(AND(ISNUMBER(C164),ISNUMBER(C148)),C164-C148,"")</f>
        <v/>
      </c>
      <c r="D134" s="183">
        <f>IF(AND(ISNUMBER(D164),ISNUMBER(D148)),D164-D148,"")</f>
        <v/>
      </c>
      <c r="E134" s="183">
        <f>IF(AND(ISNUMBER(E164),ISNUMBER(E148)),E164-E148,"")</f>
        <v/>
      </c>
      <c r="F134" s="183">
        <f>IF(AND(ISNUMBER(F164),ISNUMBER(F148)),F164-F148,"")</f>
        <v/>
      </c>
      <c r="G134" s="183">
        <f>IF(AND(ISNUMBER(G164),ISNUMBER(G148)),G164-G148,"")</f>
        <v/>
      </c>
      <c r="H134" s="183">
        <f>IF(AND(ISNUMBER(H164),ISNUMBER(H148)),H164-H148,"")</f>
        <v/>
      </c>
      <c r="I134" s="183">
        <f>IF(AND(ISNUMBER(I164),ISNUMBER(I148)),I164-I148,"")</f>
        <v/>
      </c>
      <c r="J134" s="183">
        <f>IF(AND(ISNUMBER(J164),ISNUMBER(J148)),J164-J148,"")</f>
        <v/>
      </c>
      <c r="K134" s="183">
        <f>IF(AND(ISNUMBER(K164),ISNUMBER(K148)),K164-K148,"")</f>
        <v/>
      </c>
      <c r="L134" s="183">
        <f>IF(AND(ISNUMBER(L164),ISNUMBER(L148)),L164-L148,"")</f>
        <v/>
      </c>
      <c r="M134" s="183">
        <f>IF(AND(ISNUMBER(M164),ISNUMBER(M148)),M164-M148,"")</f>
        <v/>
      </c>
      <c r="N134" s="183">
        <f>IF(AND(ISNUMBER(N164),ISNUMBER(N148)),N164-N148,"")</f>
        <v/>
      </c>
      <c r="O134" s="183">
        <f>IF(AND(ISNUMBER(O164),ISNUMBER(O148)),O164-O148,"")</f>
        <v/>
      </c>
      <c r="P134" s="183">
        <f>IF(AND(ISNUMBER(P164),ISNUMBER(P148)),P164-P148,"")</f>
        <v/>
      </c>
      <c r="Q134" s="183">
        <f>IF(AND(ISNUMBER(Q164),ISNUMBER(Q148)),Q164-Q148,"")</f>
        <v/>
      </c>
      <c r="R134" s="183">
        <f>IF(AND(ISNUMBER(R164),ISNUMBER(R148)),R164-R148,"")</f>
        <v/>
      </c>
      <c r="S134" s="183">
        <f>IF(AND(ISNUMBER(S164),ISNUMBER(S148)),S164-S148,"")</f>
        <v/>
      </c>
      <c r="T134" s="183">
        <f>IF(AND(ISNUMBER(T164),ISNUMBER(T148)),T164-T148,"")</f>
        <v/>
      </c>
      <c r="U134" s="183">
        <f>IF(AND(ISNUMBER(U164),ISNUMBER(U148)),U164-U148,"")</f>
        <v/>
      </c>
      <c r="V134" s="183">
        <f>IF(AND(ISNUMBER(V164),ISNUMBER(V148)),V164-V148,"")</f>
        <v/>
      </c>
      <c r="W134" s="183">
        <f>IF(AND(ISNUMBER(W164),ISNUMBER(W148)),W164-W148,"")</f>
        <v/>
      </c>
      <c r="X134" s="183">
        <f>IF(AND(ISNUMBER(X164),ISNUMBER(X148)),X164-X148,"")</f>
        <v/>
      </c>
      <c r="Y134" s="183">
        <f>IF(AND(ISNUMBER(Y164),ISNUMBER(Y148)),Y164-Y148,"")</f>
        <v/>
      </c>
      <c r="Z134" s="183">
        <f>IF(AND(ISNUMBER(Z164),ISNUMBER(Z148)),Z164-Z148,"")</f>
        <v/>
      </c>
      <c r="AA134" s="183">
        <f>IF(AND(ISNUMBER(AA164),ISNUMBER(AA148)),AA164-AA148,"")</f>
        <v/>
      </c>
      <c r="AB134" s="183">
        <f>IF(AND(ISNUMBER(AB164),ISNUMBER(AB148)),AB164-AB148,"")</f>
        <v/>
      </c>
      <c r="AC134" s="183">
        <f>IF(AND(ISNUMBER(AC164),ISNUMBER(AC148)),AC164-AC148,"")</f>
        <v/>
      </c>
      <c r="AD134" s="183">
        <f>IF(AND(ISNUMBER(AD164),ISNUMBER(AD148)),AD164-AD148,"")</f>
        <v/>
      </c>
      <c r="AE134" s="183">
        <f>IF(AND(ISNUMBER(AE164),ISNUMBER(AE148)),AE164-AE148,"")</f>
        <v/>
      </c>
      <c r="AF134" s="183">
        <f>IF(AND(ISNUMBER(AF164),ISNUMBER(AF148)),AF164-AF148,"")</f>
        <v/>
      </c>
      <c r="AG134" s="183">
        <f>IF(AND(ISNUMBER(AG164),ISNUMBER(AG148)),AG164-AG148,"")</f>
        <v/>
      </c>
      <c r="AH134" s="183">
        <f>IF(AND(ISNUMBER(AH164),ISNUMBER(AH148)),AH164-AH148,"")</f>
        <v/>
      </c>
      <c r="AI134" s="183">
        <f>IF(AND(ISNUMBER(AI164),ISNUMBER(AI148)),AI164-AI148,"")</f>
        <v/>
      </c>
      <c r="AJ134" s="183">
        <f>IF(AND(ISNUMBER(AJ164),ISNUMBER(AJ148)),AJ164-AJ148,"")</f>
        <v/>
      </c>
      <c r="AK134" s="183">
        <f>IF(AND(ISNUMBER(AK164),ISNUMBER(AK148)),AK164-AK148,"")</f>
        <v/>
      </c>
      <c r="AL134" s="183">
        <f>IF(AND(ISNUMBER(AL164),ISNUMBER(AL148)),AL164-AL148,"")</f>
        <v/>
      </c>
      <c r="AM134" s="183">
        <f>IF(AND(ISNUMBER(AM164),ISNUMBER(AM148)),AM164-AM148,"")</f>
        <v/>
      </c>
      <c r="AN134" s="183">
        <f>IF(AND(ISNUMBER(AN164),ISNUMBER(AN148)),AN164-AN148,"")</f>
        <v/>
      </c>
      <c r="AO134" s="183">
        <f>IF(AND(ISNUMBER(AO164),ISNUMBER(AO148)),AO164-AO148,"")</f>
        <v/>
      </c>
      <c r="AP134" s="183">
        <f>IF(AND(ISNUMBER(AP164),ISNUMBER(AP148)),AP164-AP148,"")</f>
        <v/>
      </c>
      <c r="AQ134" s="183">
        <f>IF(AND(ISNUMBER(AQ164),ISNUMBER(AQ148)),AQ164-AQ148,"")</f>
        <v/>
      </c>
      <c r="AR134" s="183">
        <f>IF(AND(ISNUMBER(AR164),ISNUMBER(AR148)),AR164-AR148,"")</f>
        <v/>
      </c>
      <c r="AS134" s="183">
        <f>IF(AND(ISNUMBER(AS164),ISNUMBER(AS148)),AS164-AS148,"")</f>
        <v/>
      </c>
      <c r="AT134" s="183">
        <f>IF(AND(ISNUMBER(AT164),ISNUMBER(AT148)),AT164-AT148,"")</f>
        <v/>
      </c>
      <c r="AU134" s="183">
        <f>IF(AND(ISNUMBER(AU164),ISNUMBER(AU148)),AU164-AU148,"")</f>
        <v/>
      </c>
      <c r="AV134" s="183">
        <f>IF(AND(ISNUMBER(AV164),ISNUMBER(AV148)),AV164-AV148,"")</f>
        <v/>
      </c>
      <c r="AW134" s="183">
        <f>IF(AND(ISNUMBER(AW164),ISNUMBER(AW148)),AW164-AW148,"")</f>
        <v/>
      </c>
      <c r="AX134" s="183">
        <f>IF(AND(ISNUMBER(AX164),ISNUMBER(AX148)),AX164-AX148,"")</f>
        <v/>
      </c>
      <c r="AY134" s="183">
        <f>IF(AND(ISNUMBER(AY164),ISNUMBER(AY148)),AY164-AY148,"")</f>
        <v/>
      </c>
      <c r="AZ134" s="183">
        <f>IF(AND(ISNUMBER(AZ164),ISNUMBER(AZ148)),AZ164-AZ148,"")</f>
        <v/>
      </c>
      <c r="BA134" s="183">
        <f>IF(AND(ISNUMBER(BA164),ISNUMBER(BA148)),BA164-BA148,"")</f>
        <v/>
      </c>
      <c r="BB134" s="183">
        <f>IF(AND(ISNUMBER(BB164),ISNUMBER(BB148)),BB164-BB148,"")</f>
        <v/>
      </c>
      <c r="BC134" s="183">
        <f>IF(AND(ISNUMBER(BC164),ISNUMBER(BC148)),BC164-BC148,"")</f>
        <v/>
      </c>
      <c r="BD134" s="183">
        <f>IF(AND(ISNUMBER(BD164),ISNUMBER(BD148)),BD164-BD148,"")</f>
        <v/>
      </c>
      <c r="BE134" s="183">
        <f>IF(AND(ISNUMBER(BE164),ISNUMBER(BE148)),BE164-BE148,"")</f>
        <v/>
      </c>
      <c r="BF134" s="183">
        <f>IF(AND(ISNUMBER(BF164),ISNUMBER(BF148)),BF164-BF148,"")</f>
        <v/>
      </c>
      <c r="BG134" s="183">
        <f>IF(AND(ISNUMBER(BG164),ISNUMBER(BG148)),BG164-BG148,"")</f>
        <v/>
      </c>
      <c r="BH134" s="183">
        <f>IF(AND(ISNUMBER(BH164),ISNUMBER(BH148)),BH164-BH148,"")</f>
        <v/>
      </c>
      <c r="BI134" s="183">
        <f>IF(AND(ISNUMBER(BI164),ISNUMBER(BI148)),BI164-BI148,"")</f>
        <v/>
      </c>
      <c r="BJ134" s="183">
        <f>IF(AND(ISNUMBER(BJ164),ISNUMBER(BJ148)),BJ164-BJ148,"")</f>
        <v/>
      </c>
      <c r="BK134" s="183">
        <f>IF(AND(ISNUMBER(BK164),ISNUMBER(BK148)),BK164-BK148,"")</f>
        <v/>
      </c>
      <c r="BL134" s="183">
        <f>IF(AND(ISNUMBER(BL164),ISNUMBER(BL148)),BL164-BL148,"")</f>
        <v/>
      </c>
      <c r="BM134" s="183">
        <f>IF(AND(ISNUMBER(BM164),ISNUMBER(BM148)),BM164-BM148,"")</f>
        <v/>
      </c>
      <c r="BN134" s="183">
        <f>IF(AND(ISNUMBER(BN164),ISNUMBER(BN148)),BN164-BN148,"")</f>
        <v/>
      </c>
      <c r="BO134" s="183">
        <f>IF(AND(ISNUMBER(BO164),ISNUMBER(BO148)),BO164-BO148,"")</f>
        <v/>
      </c>
      <c r="BP134" s="183">
        <f>IF(AND(ISNUMBER(BP164),ISNUMBER(BP148)),BP164-BP148,"")</f>
        <v/>
      </c>
      <c r="BQ134" s="183">
        <f>IF(AND(ISNUMBER(BQ164),ISNUMBER(BQ148)),BQ164-BQ148,"")</f>
        <v/>
      </c>
      <c r="BR134" s="183">
        <f>IF(AND(ISNUMBER(BR164),ISNUMBER(BR148)),BR164-BR148,"")</f>
        <v/>
      </c>
      <c r="BS134" s="183">
        <f>IF(AND(ISNUMBER(BS164),ISNUMBER(BS148)),BS164-BS148,"")</f>
        <v/>
      </c>
      <c r="BT134" s="183">
        <f>IF(AND(ISNUMBER(BT164),ISNUMBER(BT148)),BT164-BT148,"")</f>
        <v/>
      </c>
      <c r="BU134" s="183">
        <f>IF(AND(ISNUMBER(BU164),ISNUMBER(BU148)),BU164-BU148,"")</f>
        <v/>
      </c>
      <c r="BV134" s="183">
        <f>IF(AND(ISNUMBER(BV164),ISNUMBER(BV148)),BV164-BV148,"")</f>
        <v/>
      </c>
      <c r="BW134" s="183">
        <f>IF(AND(ISNUMBER(BW164),ISNUMBER(BW148)),BW164-BW148,"")</f>
        <v/>
      </c>
      <c r="BX134" s="183">
        <f>IF(AND(ISNUMBER(BX164),ISNUMBER(BX148)),BX164-BX148,"")</f>
        <v/>
      </c>
      <c r="BY134" s="178">
        <f>BY142*BY135</f>
        <v/>
      </c>
      <c r="BZ134" s="178">
        <f>BZ142*BZ135</f>
        <v/>
      </c>
      <c r="CA134" s="178">
        <f>SUM(BW134,BX134,BY134,BZ134)</f>
        <v/>
      </c>
      <c r="CB134" s="178">
        <f>CB142*CB135</f>
        <v/>
      </c>
      <c r="CC134" s="178">
        <f>CC142*CC135</f>
        <v/>
      </c>
      <c r="CD134" s="178">
        <f>CD142*CD135</f>
        <v/>
      </c>
      <c r="CE134" s="178">
        <f>CE142*CE135</f>
        <v/>
      </c>
      <c r="CF134" s="20" t="inlineStr">
        <is>
          <t>Forecast = net sales × depreciation %.</t>
        </is>
      </c>
    </row>
    <row r="135" ht="15" customHeight="1">
      <c r="B135" s="26" t="inlineStr">
        <is>
          <t xml:space="preserve">  Depreciation % of net sales</t>
        </is>
      </c>
      <c r="C135" s="187">
        <f>IF(AND(ISNUMBER(C134),ISNUMBER(C142)),IFERROR(C134/C142,""),"")</f>
        <v/>
      </c>
      <c r="D135" s="187">
        <f>IF(AND(ISNUMBER(D134),ISNUMBER(D142)),IFERROR(D134/D142,""),"")</f>
        <v/>
      </c>
      <c r="E135" s="187">
        <f>IF(AND(ISNUMBER(E134),ISNUMBER(E142)),IFERROR(E134/E142,""),"")</f>
        <v/>
      </c>
      <c r="F135" s="187">
        <f>IF(AND(ISNUMBER(F134),ISNUMBER(F142)),IFERROR(F134/F142,""),"")</f>
        <v/>
      </c>
      <c r="G135" s="187">
        <f>IF(AND(ISNUMBER(G134),ISNUMBER(G142)),IFERROR(G134/G142,""),"")</f>
        <v/>
      </c>
      <c r="H135" s="187">
        <f>IF(AND(ISNUMBER(H134),ISNUMBER(H142)),IFERROR(H134/H142,""),"")</f>
        <v/>
      </c>
      <c r="I135" s="187">
        <f>IF(AND(ISNUMBER(I134),ISNUMBER(I142)),IFERROR(I134/I142,""),"")</f>
        <v/>
      </c>
      <c r="J135" s="187">
        <f>IF(AND(ISNUMBER(J134),ISNUMBER(J142)),IFERROR(J134/J142,""),"")</f>
        <v/>
      </c>
      <c r="K135" s="187">
        <f>IF(AND(ISNUMBER(K134),ISNUMBER(K142)),IFERROR(K134/K142,""),"")</f>
        <v/>
      </c>
      <c r="L135" s="187">
        <f>IF(AND(ISNUMBER(L134),ISNUMBER(L142)),IFERROR(L134/L142,""),"")</f>
        <v/>
      </c>
      <c r="M135" s="187">
        <f>IF(AND(ISNUMBER(M134),ISNUMBER(M142)),IFERROR(M134/M142,""),"")</f>
        <v/>
      </c>
      <c r="N135" s="187">
        <f>IF(AND(ISNUMBER(N134),ISNUMBER(N142)),IFERROR(N134/N142,""),"")</f>
        <v/>
      </c>
      <c r="O135" s="187">
        <f>IF(AND(ISNUMBER(O134),ISNUMBER(O142)),IFERROR(O134/O142,""),"")</f>
        <v/>
      </c>
      <c r="P135" s="187">
        <f>IF(AND(ISNUMBER(P134),ISNUMBER(P142)),IFERROR(P134/P142,""),"")</f>
        <v/>
      </c>
      <c r="Q135" s="187">
        <f>IF(AND(ISNUMBER(Q134),ISNUMBER(Q142)),IFERROR(Q134/Q142,""),"")</f>
        <v/>
      </c>
      <c r="R135" s="187">
        <f>IF(AND(ISNUMBER(R134),ISNUMBER(R142)),IFERROR(R134/R142,""),"")</f>
        <v/>
      </c>
      <c r="S135" s="187">
        <f>IF(AND(ISNUMBER(S134),ISNUMBER(S142)),IFERROR(S134/S142,""),"")</f>
        <v/>
      </c>
      <c r="T135" s="187">
        <f>IF(AND(ISNUMBER(T134),ISNUMBER(T142)),IFERROR(T134/T142,""),"")</f>
        <v/>
      </c>
      <c r="U135" s="187">
        <f>IF(AND(ISNUMBER(U134),ISNUMBER(U142)),IFERROR(U134/U142,""),"")</f>
        <v/>
      </c>
      <c r="V135" s="187">
        <f>IF(AND(ISNUMBER(V134),ISNUMBER(V142)),IFERROR(V134/V142,""),"")</f>
        <v/>
      </c>
      <c r="W135" s="187">
        <f>IF(AND(ISNUMBER(W134),ISNUMBER(W142)),IFERROR(W134/W142,""),"")</f>
        <v/>
      </c>
      <c r="X135" s="187">
        <f>IF(AND(ISNUMBER(X134),ISNUMBER(X142)),IFERROR(X134/X142,""),"")</f>
        <v/>
      </c>
      <c r="Y135" s="187">
        <f>IF(AND(ISNUMBER(Y134),ISNUMBER(Y142)),IFERROR(Y134/Y142,""),"")</f>
        <v/>
      </c>
      <c r="Z135" s="187">
        <f>IF(AND(ISNUMBER(Z134),ISNUMBER(Z142)),IFERROR(Z134/Z142,""),"")</f>
        <v/>
      </c>
      <c r="AA135" s="187">
        <f>IF(AND(ISNUMBER(AA134),ISNUMBER(AA142)),IFERROR(AA134/AA142,""),"")</f>
        <v/>
      </c>
      <c r="AB135" s="187">
        <f>IF(AND(ISNUMBER(AB134),ISNUMBER(AB142)),IFERROR(AB134/AB142,""),"")</f>
        <v/>
      </c>
      <c r="AC135" s="187">
        <f>IF(AND(ISNUMBER(AC134),ISNUMBER(AC142)),IFERROR(AC134/AC142,""),"")</f>
        <v/>
      </c>
      <c r="AD135" s="187">
        <f>IF(AND(ISNUMBER(AD134),ISNUMBER(AD142)),IFERROR(AD134/AD142,""),"")</f>
        <v/>
      </c>
      <c r="AE135" s="187">
        <f>IF(AND(ISNUMBER(AE134),ISNUMBER(AE142)),IFERROR(AE134/AE142,""),"")</f>
        <v/>
      </c>
      <c r="AF135" s="187">
        <f>IF(AND(ISNUMBER(AF134),ISNUMBER(AF142)),IFERROR(AF134/AF142,""),"")</f>
        <v/>
      </c>
      <c r="AG135" s="187">
        <f>IF(AND(ISNUMBER(AG134),ISNUMBER(AG142)),IFERROR(AG134/AG142,""),"")</f>
        <v/>
      </c>
      <c r="AH135" s="187">
        <f>IF(AND(ISNUMBER(AH134),ISNUMBER(AH142)),IFERROR(AH134/AH142,""),"")</f>
        <v/>
      </c>
      <c r="AI135" s="187">
        <f>IF(AND(ISNUMBER(AI134),ISNUMBER(AI142)),IFERROR(AI134/AI142,""),"")</f>
        <v/>
      </c>
      <c r="AJ135" s="187">
        <f>IF(AND(ISNUMBER(AJ134),ISNUMBER(AJ142)),IFERROR(AJ134/AJ142,""),"")</f>
        <v/>
      </c>
      <c r="AK135" s="187">
        <f>IF(AND(ISNUMBER(AK134),ISNUMBER(AK142)),IFERROR(AK134/AK142,""),"")</f>
        <v/>
      </c>
      <c r="AL135" s="187">
        <f>IF(AND(ISNUMBER(AL134),ISNUMBER(AL142)),IFERROR(AL134/AL142,""),"")</f>
        <v/>
      </c>
      <c r="AM135" s="187">
        <f>IF(AND(ISNUMBER(AM134),ISNUMBER(AM142)),IFERROR(AM134/AM142,""),"")</f>
        <v/>
      </c>
      <c r="AN135" s="187">
        <f>IF(AND(ISNUMBER(AN134),ISNUMBER(AN142)),IFERROR(AN134/AN142,""),"")</f>
        <v/>
      </c>
      <c r="AO135" s="187">
        <f>IF(AND(ISNUMBER(AO134),ISNUMBER(AO142)),IFERROR(AO134/AO142,""),"")</f>
        <v/>
      </c>
      <c r="AP135" s="187">
        <f>IF(AND(ISNUMBER(AP134),ISNUMBER(AP142)),IFERROR(AP134/AP142,""),"")</f>
        <v/>
      </c>
      <c r="AQ135" s="187">
        <f>IF(AND(ISNUMBER(AQ134),ISNUMBER(AQ142)),IFERROR(AQ134/AQ142,""),"")</f>
        <v/>
      </c>
      <c r="AR135" s="187">
        <f>IF(AND(ISNUMBER(AR134),ISNUMBER(AR142)),IFERROR(AR134/AR142,""),"")</f>
        <v/>
      </c>
      <c r="AS135" s="187">
        <f>IF(AND(ISNUMBER(AS134),ISNUMBER(AS142)),IFERROR(AS134/AS142,""),"")</f>
        <v/>
      </c>
      <c r="AT135" s="187">
        <f>IF(AND(ISNUMBER(AT134),ISNUMBER(AT142)),IFERROR(AT134/AT142,""),"")</f>
        <v/>
      </c>
      <c r="AU135" s="187">
        <f>IF(AND(ISNUMBER(AU134),ISNUMBER(AU142)),IFERROR(AU134/AU142,""),"")</f>
        <v/>
      </c>
      <c r="AV135" s="187">
        <f>IF(AND(ISNUMBER(AV134),ISNUMBER(AV142)),IFERROR(AV134/AV142,""),"")</f>
        <v/>
      </c>
      <c r="AW135" s="187">
        <f>IF(AND(ISNUMBER(AW134),ISNUMBER(AW142)),IFERROR(AW134/AW142,""),"")</f>
        <v/>
      </c>
      <c r="AX135" s="187">
        <f>IF(AND(ISNUMBER(AX134),ISNUMBER(AX142)),IFERROR(AX134/AX142,""),"")</f>
        <v/>
      </c>
      <c r="AY135" s="187">
        <f>IF(AND(ISNUMBER(AY134),ISNUMBER(AY142)),IFERROR(AY134/AY142,""),"")</f>
        <v/>
      </c>
      <c r="AZ135" s="187">
        <f>IF(AND(ISNUMBER(AZ134),ISNUMBER(AZ142)),IFERROR(AZ134/AZ142,""),"")</f>
        <v/>
      </c>
      <c r="BA135" s="187">
        <f>IF(AND(ISNUMBER(BA134),ISNUMBER(BA142)),IFERROR(BA134/BA142,""),"")</f>
        <v/>
      </c>
      <c r="BB135" s="187">
        <f>IF(AND(ISNUMBER(BB134),ISNUMBER(BB142)),IFERROR(BB134/BB142,""),"")</f>
        <v/>
      </c>
      <c r="BC135" s="187">
        <f>IF(AND(ISNUMBER(BC134),ISNUMBER(BC142)),IFERROR(BC134/BC142,""),"")</f>
        <v/>
      </c>
      <c r="BD135" s="187">
        <f>IF(AND(ISNUMBER(BD134),ISNUMBER(BD142)),IFERROR(BD134/BD142,""),"")</f>
        <v/>
      </c>
      <c r="BE135" s="187">
        <f>IF(AND(ISNUMBER(BE134),ISNUMBER(BE142)),IFERROR(BE134/BE142,""),"")</f>
        <v/>
      </c>
      <c r="BF135" s="187">
        <f>IF(AND(ISNUMBER(BF134),ISNUMBER(BF142)),IFERROR(BF134/BF142,""),"")</f>
        <v/>
      </c>
      <c r="BG135" s="187">
        <f>IF(AND(ISNUMBER(BG134),ISNUMBER(BG142)),IFERROR(BG134/BG142,""),"")</f>
        <v/>
      </c>
      <c r="BH135" s="187">
        <f>IF(AND(ISNUMBER(BH134),ISNUMBER(BH142)),IFERROR(BH134/BH142,""),"")</f>
        <v/>
      </c>
      <c r="BI135" s="187">
        <f>IF(AND(ISNUMBER(BI134),ISNUMBER(BI142)),IFERROR(BI134/BI142,""),"")</f>
        <v/>
      </c>
      <c r="BJ135" s="187">
        <f>IF(AND(ISNUMBER(BJ134),ISNUMBER(BJ142)),IFERROR(BJ134/BJ142,""),"")</f>
        <v/>
      </c>
      <c r="BK135" s="187">
        <f>IF(AND(ISNUMBER(BK134),ISNUMBER(BK142)),IFERROR(BK134/BK142,""),"")</f>
        <v/>
      </c>
      <c r="BL135" s="187">
        <f>IF(AND(ISNUMBER(BL134),ISNUMBER(BL142)),IFERROR(BL134/BL142,""),"")</f>
        <v/>
      </c>
      <c r="BM135" s="187">
        <f>IF(AND(ISNUMBER(BM134),ISNUMBER(BM142)),IFERROR(BM134/BM142,""),"")</f>
        <v/>
      </c>
      <c r="BN135" s="187">
        <f>IF(AND(ISNUMBER(BN134),ISNUMBER(BN142)),IFERROR(BN134/BN142,""),"")</f>
        <v/>
      </c>
      <c r="BO135" s="187">
        <f>IF(AND(ISNUMBER(BO134),ISNUMBER(BO142)),IFERROR(BO134/BO142,""),"")</f>
        <v/>
      </c>
      <c r="BP135" s="187">
        <f>IF(AND(ISNUMBER(BP134),ISNUMBER(BP142)),IFERROR(BP134/BP142,""),"")</f>
        <v/>
      </c>
      <c r="BQ135" s="187">
        <f>IF(AND(ISNUMBER(BQ134),ISNUMBER(BQ142)),IFERROR(BQ134/BQ142,""),"")</f>
        <v/>
      </c>
      <c r="BR135" s="187">
        <f>IF(AND(ISNUMBER(BR134),ISNUMBER(BR142)),IFERROR(BR134/BR142,""),"")</f>
        <v/>
      </c>
      <c r="BS135" s="187">
        <f>IF(AND(ISNUMBER(BS134),ISNUMBER(BS142)),IFERROR(BS134/BS142,""),"")</f>
        <v/>
      </c>
      <c r="BT135" s="187">
        <f>IF(AND(ISNUMBER(BT134),ISNUMBER(BT142)),IFERROR(BT134/BT142,""),"")</f>
        <v/>
      </c>
      <c r="BU135" s="187">
        <f>IF(AND(ISNUMBER(BU134),ISNUMBER(BU142)),IFERROR(BU134/BU142,""),"")</f>
        <v/>
      </c>
      <c r="BV135" s="187">
        <f>IF(AND(ISNUMBER(BV134),ISNUMBER(BV142)),IFERROR(BV134/BV142,""),"")</f>
        <v/>
      </c>
      <c r="BW135" s="187">
        <f>IF(AND(ISNUMBER(BW134),ISNUMBER(BW142)),IFERROR(BW134/BW142,""),"")</f>
        <v/>
      </c>
      <c r="BX135" s="187">
        <f>IF(AND(ISNUMBER(BX134),ISNUMBER(BX142)),IFERROR(BX134/BX142,""),"")</f>
        <v/>
      </c>
      <c r="BY135" s="180">
        <f>IFERROR((BW134+BX134)/(BW142+BX142),"")</f>
        <v/>
      </c>
      <c r="BZ135" s="180">
        <f>IFERROR((BW134+BX134)/(BW142+BX142),"")</f>
        <v/>
      </c>
      <c r="CA135" s="180">
        <f>IF(AND(ISNUMBER(CA134),ISNUMBER(CA142)),IFERROR(CA134/CA142,""),"")</f>
        <v/>
      </c>
      <c r="CB135" s="181" t="n">
        <v>0.0165</v>
      </c>
      <c r="CC135" s="181" t="n">
        <v>0.0165</v>
      </c>
      <c r="CD135" s="181" t="n">
        <v>0.0165</v>
      </c>
      <c r="CE135" s="181" t="n">
        <v>0.0165</v>
      </c>
      <c r="CF135" s="6" t="n"/>
      <c r="CH135" s="39">
        <f>IFERROR(AVERAGE(CA135,CB135,CC135,CD135,CE135),"n/m")</f>
        <v/>
      </c>
      <c r="CI135" s="39">
        <f>IFERROR(AVERAGE(BB135,BG135,BL135,BQ135,BV135),"n/m")</f>
        <v/>
      </c>
      <c r="CJ135" s="39">
        <f>IFERROR(AVERAGE(AC135,AH135,AM135,AR135,AW135,BB135,BG135,BL135,BQ135,BV135),"n/m")</f>
        <v/>
      </c>
      <c r="CK135" s="39">
        <f>IFERROR(AVERAGE(C135,D135,E135,F135,G135,H135,I135,N135,S135,X135,AC135,AH135,AM135,AR135,AW135,BB135,BG135,BL135,BQ135,BV135),"n/m")</f>
        <v/>
      </c>
    </row>
    <row r="136" ht="15" customHeight="1">
      <c r="B136" s="26" t="inlineStr">
        <is>
          <t xml:space="preserve">  Amortization of existing intangibles (schedule)</t>
        </is>
      </c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  <c r="AU136" s="36" t="n"/>
      <c r="AV136" s="36" t="n"/>
      <c r="AW136" s="36" t="n"/>
      <c r="AX136" s="36" t="n"/>
      <c r="AY136" s="36" t="n"/>
      <c r="AZ136" s="36" t="n"/>
      <c r="BA136" s="36" t="n"/>
      <c r="BB136" s="36" t="n"/>
      <c r="BC136" s="36" t="n"/>
      <c r="BD136" s="36" t="n"/>
      <c r="BE136" s="36" t="n"/>
      <c r="BF136" s="36" t="n"/>
      <c r="BG136" s="36" t="n"/>
      <c r="BH136" s="36" t="n"/>
      <c r="BI136" s="36" t="n"/>
      <c r="BJ136" s="36" t="n"/>
      <c r="BK136" s="36" t="n"/>
      <c r="BL136" s="36" t="n"/>
      <c r="BM136" s="36" t="n"/>
      <c r="BN136" s="36" t="n"/>
      <c r="BO136" s="36" t="n"/>
      <c r="BP136" s="36" t="n"/>
      <c r="BQ136" s="36" t="n"/>
      <c r="BR136" s="36" t="n"/>
      <c r="BS136" s="36" t="n"/>
      <c r="BT136" s="36" t="n"/>
      <c r="BU136" s="36" t="n"/>
      <c r="BV136" s="36" t="n"/>
      <c r="BW136" s="36" t="n"/>
      <c r="BX136" s="36" t="n"/>
      <c r="BY136" s="178">
        <f>$BX$148</f>
        <v/>
      </c>
      <c r="BZ136" s="178">
        <f>$BX$148</f>
        <v/>
      </c>
      <c r="CA136" s="178">
        <f>SUM(BW136,BX136,BY136,BZ136)</f>
        <v/>
      </c>
      <c r="CB136" s="188" t="n">
        <v>356</v>
      </c>
      <c r="CC136" s="188" t="n">
        <v>354</v>
      </c>
      <c r="CD136" s="188" t="n">
        <v>352</v>
      </c>
      <c r="CE136" s="188" t="n">
        <v>339</v>
      </c>
      <c r="CF136" s="20" t="inlineStr">
        <is>
          <t>Q2-26 10-Q note: amortization of existing intangibles remainder-2026 $179m (Q3/Q4-26E at the Q2/26 run-rate of $91m), 2027 $356m, 2028 $354m, 2029 $352m, 2030 $339m.</t>
        </is>
      </c>
    </row>
    <row r="137" ht="15" customHeight="1">
      <c r="B137" s="26" t="inlineStr">
        <is>
          <t xml:space="preserve">  SG&amp;A excl. adjusting items % of net sales</t>
        </is>
      </c>
      <c r="C137" s="187">
        <f>IF(ISNUMBER(C146),IFERROR(C146/C142,""),"")</f>
        <v/>
      </c>
      <c r="D137" s="187">
        <f>IF(ISNUMBER(D146),IFERROR(D146/D142,""),"")</f>
        <v/>
      </c>
      <c r="E137" s="187">
        <f>IF(ISNUMBER(E146),IFERROR(E146/E142,""),"")</f>
        <v/>
      </c>
      <c r="F137" s="187">
        <f>IF(ISNUMBER(F146),IFERROR(F146/F142,""),"")</f>
        <v/>
      </c>
      <c r="G137" s="187">
        <f>IF(ISNUMBER(G146),IFERROR(G146/G142,""),"")</f>
        <v/>
      </c>
      <c r="H137" s="187">
        <f>IF(ISNUMBER(H146),IFERROR(H146/H142,""),"")</f>
        <v/>
      </c>
      <c r="I137" s="187">
        <f>IF(ISNUMBER(I146),IFERROR(I146/I142,""),"")</f>
        <v/>
      </c>
      <c r="J137" s="187">
        <f>IF(ISNUMBER(J146),IFERROR(J146/J142,""),"")</f>
        <v/>
      </c>
      <c r="K137" s="187">
        <f>IF(ISNUMBER(K146),IFERROR(K146/K142,""),"")</f>
        <v/>
      </c>
      <c r="L137" s="187">
        <f>IF(ISNUMBER(L146),IFERROR(L146/L142,""),"")</f>
        <v/>
      </c>
      <c r="M137" s="187">
        <f>IF(ISNUMBER(M146),IFERROR(M146/M142,""),"")</f>
        <v/>
      </c>
      <c r="N137" s="187">
        <f>IF(ISNUMBER(N146),IFERROR(N146/N142,""),"")</f>
        <v/>
      </c>
      <c r="O137" s="187">
        <f>IF(ISNUMBER(O146),IFERROR(O146/O142,""),"")</f>
        <v/>
      </c>
      <c r="P137" s="187">
        <f>IF(ISNUMBER(P146),IFERROR(P146/P142,""),"")</f>
        <v/>
      </c>
      <c r="Q137" s="187">
        <f>IF(ISNUMBER(Q146),IFERROR(Q146/Q142,""),"")</f>
        <v/>
      </c>
      <c r="R137" s="187">
        <f>IF(ISNUMBER(R146),IFERROR(R146/R142,""),"")</f>
        <v/>
      </c>
      <c r="S137" s="187">
        <f>IF(ISNUMBER(S146),IFERROR(S146/S142,""),"")</f>
        <v/>
      </c>
      <c r="T137" s="187">
        <f>IF(ISNUMBER(T146),IFERROR(T146/T142,""),"")</f>
        <v/>
      </c>
      <c r="U137" s="187">
        <f>IF(ISNUMBER(U146),IFERROR(U146/U142,""),"")</f>
        <v/>
      </c>
      <c r="V137" s="187">
        <f>IF(ISNUMBER(V146),IFERROR(V146/V142,""),"")</f>
        <v/>
      </c>
      <c r="W137" s="187">
        <f>IF(ISNUMBER(W146),IFERROR(W146/W142,""),"")</f>
        <v/>
      </c>
      <c r="X137" s="187">
        <f>IF(ISNUMBER(X146),IFERROR(X146/X142,""),"")</f>
        <v/>
      </c>
      <c r="Y137" s="187">
        <f>IF(ISNUMBER(Y146),IFERROR(Y146/Y142,""),"")</f>
        <v/>
      </c>
      <c r="Z137" s="187">
        <f>IF(ISNUMBER(Z146),IFERROR(Z146/Z142,""),"")</f>
        <v/>
      </c>
      <c r="AA137" s="187">
        <f>IF(ISNUMBER(AA146),IFERROR(AA146/AA142,""),"")</f>
        <v/>
      </c>
      <c r="AB137" s="187">
        <f>IF(ISNUMBER(AB146),IFERROR(AB146/AB142,""),"")</f>
        <v/>
      </c>
      <c r="AC137" s="187">
        <f>IF(ISNUMBER(AC146),IFERROR(AC146/AC142,""),"")</f>
        <v/>
      </c>
      <c r="AD137" s="187">
        <f>IF(ISNUMBER(AD146),IFERROR(AD146/AD142,""),"")</f>
        <v/>
      </c>
      <c r="AE137" s="187">
        <f>IF(ISNUMBER(AE146),IFERROR(AE146/AE142,""),"")</f>
        <v/>
      </c>
      <c r="AF137" s="187">
        <f>IF(ISNUMBER(AF146),IFERROR(AF146/AF142,""),"")</f>
        <v/>
      </c>
      <c r="AG137" s="187">
        <f>IF(ISNUMBER(AG146),IFERROR(AG146/AG142,""),"")</f>
        <v/>
      </c>
      <c r="AH137" s="187">
        <f>IF(ISNUMBER(AH146),IFERROR(AH146/AH142,""),"")</f>
        <v/>
      </c>
      <c r="AI137" s="187">
        <f>IF(ISNUMBER(AI146),IFERROR(AI146/AI142,""),"")</f>
        <v/>
      </c>
      <c r="AJ137" s="187">
        <f>IF(ISNUMBER(AJ146),IFERROR(AJ146/AJ142,""),"")</f>
        <v/>
      </c>
      <c r="AK137" s="187">
        <f>IF(ISNUMBER(AK146),IFERROR(AK146/AK142,""),"")</f>
        <v/>
      </c>
      <c r="AL137" s="187">
        <f>IF(ISNUMBER(AL146),IFERROR(AL146/AL142,""),"")</f>
        <v/>
      </c>
      <c r="AM137" s="187">
        <f>IF(ISNUMBER(AM146),IFERROR(AM146/AM142,""),"")</f>
        <v/>
      </c>
      <c r="AN137" s="187">
        <f>IF(ISNUMBER(AN146),IFERROR(AN146/AN142,""),"")</f>
        <v/>
      </c>
      <c r="AO137" s="187">
        <f>IF(ISNUMBER(AO146),IFERROR(AO146/AO142,""),"")</f>
        <v/>
      </c>
      <c r="AP137" s="187">
        <f>IF(ISNUMBER(AP146),IFERROR(AP146/AP142,""),"")</f>
        <v/>
      </c>
      <c r="AQ137" s="187">
        <f>IF(ISNUMBER(AQ146),IFERROR(AQ146/AQ142,""),"")</f>
        <v/>
      </c>
      <c r="AR137" s="187">
        <f>IF(ISNUMBER(AR146),IFERROR(AR146/AR142,""),"")</f>
        <v/>
      </c>
      <c r="AS137" s="187">
        <f>IF(ISNUMBER(AS146),IFERROR(AS146/AS142,""),"")</f>
        <v/>
      </c>
      <c r="AT137" s="187">
        <f>IF(ISNUMBER(AT146),IFERROR(AT146/AT142,""),"")</f>
        <v/>
      </c>
      <c r="AU137" s="187">
        <f>IF(ISNUMBER(AU146),IFERROR(AU146/AU142,""),"")</f>
        <v/>
      </c>
      <c r="AV137" s="187">
        <f>IF(ISNUMBER(AV146),IFERROR(AV146/AV142,""),"")</f>
        <v/>
      </c>
      <c r="AW137" s="187">
        <f>IF(ISNUMBER(AW146),IFERROR(AW146/AW142,""),"")</f>
        <v/>
      </c>
      <c r="AX137" s="187">
        <f>IF(ISNUMBER(AX146),IFERROR(AX146/AX142,""),"")</f>
        <v/>
      </c>
      <c r="AY137" s="187">
        <f>IF(ISNUMBER(AY146),IFERROR(AY146/AY142,""),"")</f>
        <v/>
      </c>
      <c r="AZ137" s="187">
        <f>IF(ISNUMBER(AZ146),IFERROR(AZ146/AZ142,""),"")</f>
        <v/>
      </c>
      <c r="BA137" s="187">
        <f>IF(ISNUMBER(BA146),IFERROR(BA146/BA142,""),"")</f>
        <v/>
      </c>
      <c r="BB137" s="187">
        <f>IF(ISNUMBER(BB146),IFERROR(BB146/BB142,""),"")</f>
        <v/>
      </c>
      <c r="BC137" s="187">
        <f>IF(ISNUMBER(BC146),IFERROR(BC146/BC142,""),"")</f>
        <v/>
      </c>
      <c r="BD137" s="187">
        <f>IF(ISNUMBER(BD146),IFERROR(BD146/BD142,""),"")</f>
        <v/>
      </c>
      <c r="BE137" s="187">
        <f>IF(ISNUMBER(BE146),IFERROR(BE146/BE142,""),"")</f>
        <v/>
      </c>
      <c r="BF137" s="187">
        <f>IF(ISNUMBER(BF146),IFERROR(BF146/BF142,""),"")</f>
        <v/>
      </c>
      <c r="BG137" s="187">
        <f>IF(ISNUMBER(BG146),IFERROR(BG146/BG142,""),"")</f>
        <v/>
      </c>
      <c r="BH137" s="187">
        <f>IF(ISNUMBER(BH146),IFERROR(BH146/BH142,""),"")</f>
        <v/>
      </c>
      <c r="BI137" s="187">
        <f>IF(ISNUMBER(BI146),IFERROR(BI146/BI142,""),"")</f>
        <v/>
      </c>
      <c r="BJ137" s="187">
        <f>IF(ISNUMBER(BJ146),IFERROR(BJ146/BJ142,""),"")</f>
        <v/>
      </c>
      <c r="BK137" s="187">
        <f>IF(ISNUMBER(BK146),IFERROR(BK146/BK142,""),"")</f>
        <v/>
      </c>
      <c r="BL137" s="187">
        <f>IF(ISNUMBER(BL146),IFERROR(BL146/BL142,""),"")</f>
        <v/>
      </c>
      <c r="BM137" s="187">
        <f>IF(ISNUMBER(BM146),IFERROR(BM146/BM142,""),"")</f>
        <v/>
      </c>
      <c r="BN137" s="187">
        <f>IF(ISNUMBER(BN146),IFERROR(BN146/BN142,""),"")</f>
        <v/>
      </c>
      <c r="BO137" s="187">
        <f>IF(ISNUMBER(BO146),IFERROR(BO146/BO142,""),"")</f>
        <v/>
      </c>
      <c r="BP137" s="187">
        <f>IF(ISNUMBER(BP146),IFERROR(BP146/BP142,""),"")</f>
        <v/>
      </c>
      <c r="BQ137" s="187">
        <f>IF(ISNUMBER(BQ146),IFERROR(BQ146/BQ142,""),"")</f>
        <v/>
      </c>
      <c r="BR137" s="187">
        <f>IF(ISNUMBER(BR146),IFERROR(BR146/BR142,""),"")</f>
        <v/>
      </c>
      <c r="BS137" s="187">
        <f>IF(ISNUMBER(BS146),IFERROR(BS146/BS142,""),"")</f>
        <v/>
      </c>
      <c r="BT137" s="187">
        <f>IF(ISNUMBER(BT146),IFERROR(BT146/BT142,""),"")</f>
        <v/>
      </c>
      <c r="BU137" s="187">
        <f>IF(ISNUMBER(BU146),IFERROR(BU146/BU142,""),"")</f>
        <v/>
      </c>
      <c r="BV137" s="187">
        <f>IF(ISNUMBER(BV146),IFERROR(BV146/BV142,""),"")</f>
        <v/>
      </c>
      <c r="BW137" s="187">
        <f>IF(ISNUMBER(BW146),IFERROR(BW146/BW142,""),"")</f>
        <v/>
      </c>
      <c r="BX137" s="187">
        <f>IF(ISNUMBER(BX146),IFERROR(BX146/BX142,""),"")</f>
        <v/>
      </c>
      <c r="BY137" s="180">
        <f>IFERROR(((BW146+BX146)-(BW206+BX206)-(BW208+BX208))/(BW142+BX142),"")</f>
        <v/>
      </c>
      <c r="BZ137" s="180">
        <f>IFERROR(((BW146+BX146)-(BW206+BX206)-(BW208+BX208))/(BW142+BX142),"")</f>
        <v/>
      </c>
      <c r="CA137" s="180">
        <f>IF(AND(ISNUMBER(CA146),ISNUMBER(CA142)),IFERROR(CA146/CA142,""),"")</f>
        <v/>
      </c>
      <c r="CB137" s="181" t="n">
        <v>0.126</v>
      </c>
      <c r="CC137" s="181" t="n">
        <v>0.126</v>
      </c>
      <c r="CD137" s="181" t="n">
        <v>0.126</v>
      </c>
      <c r="CE137" s="181" t="n">
        <v>0.126</v>
      </c>
      <c r="CF137" s="6" t="inlineStr">
        <is>
          <t>Historical = GAAP SG&amp;A % (includes restructuring/transaction costs booked in SG&amp;A). Forecast: adjusted basis (1H/26 SG&amp;A less restructuring &amp; transaction costs).</t>
        </is>
      </c>
      <c r="CH137" s="39">
        <f>IFERROR(AVERAGE(CA137,CB137,CC137,CD137,CE137),"n/m")</f>
        <v/>
      </c>
      <c r="CI137" s="39">
        <f>IFERROR(AVERAGE(BB137,BG137,BL137,BQ137,BV137),"n/m")</f>
        <v/>
      </c>
      <c r="CJ137" s="39">
        <f>IFERROR(AVERAGE(AC137,AH137,AM137,AR137,AW137,BB137,BG137,BL137,BQ137,BV137),"n/m")</f>
        <v/>
      </c>
      <c r="CK137" s="39">
        <f>IFERROR(AVERAGE(C137,D137,E137,F137,G137,H137,I137,N137,S137,X137,AC137,AH137,AM137,AR137,AW137,BB137,BG137,BL137,BQ137,BV137),"n/m")</f>
        <v/>
      </c>
    </row>
    <row r="138" ht="15" customHeight="1">
      <c r="B138" s="26" t="inlineStr">
        <is>
          <t xml:space="preserve">  Engineering expense % of net sales</t>
        </is>
      </c>
      <c r="C138" s="187">
        <f>IF(AND(ISNUMBER(C147),ISNUMBER(C142)),IFERROR(C147/C142,""),"")</f>
        <v/>
      </c>
      <c r="D138" s="187">
        <f>IF(AND(ISNUMBER(D147),ISNUMBER(D142)),IFERROR(D147/D142,""),"")</f>
        <v/>
      </c>
      <c r="E138" s="187">
        <f>IF(AND(ISNUMBER(E147),ISNUMBER(E142)),IFERROR(E147/E142,""),"")</f>
        <v/>
      </c>
      <c r="F138" s="187">
        <f>IF(AND(ISNUMBER(F147),ISNUMBER(F142)),IFERROR(F147/F142,""),"")</f>
        <v/>
      </c>
      <c r="G138" s="187">
        <f>IF(AND(ISNUMBER(G147),ISNUMBER(G142)),IFERROR(G147/G142,""),"")</f>
        <v/>
      </c>
      <c r="H138" s="187">
        <f>IF(AND(ISNUMBER(H147),ISNUMBER(H142)),IFERROR(H147/H142,""),"")</f>
        <v/>
      </c>
      <c r="I138" s="187">
        <f>IF(AND(ISNUMBER(I147),ISNUMBER(I142)),IFERROR(I147/I142,""),"")</f>
        <v/>
      </c>
      <c r="J138" s="187">
        <f>IF(AND(ISNUMBER(J147),ISNUMBER(J142)),IFERROR(J147/J142,""),"")</f>
        <v/>
      </c>
      <c r="K138" s="187">
        <f>IF(AND(ISNUMBER(K147),ISNUMBER(K142)),IFERROR(K147/K142,""),"")</f>
        <v/>
      </c>
      <c r="L138" s="187">
        <f>IF(AND(ISNUMBER(L147),ISNUMBER(L142)),IFERROR(L147/L142,""),"")</f>
        <v/>
      </c>
      <c r="M138" s="187">
        <f>IF(AND(ISNUMBER(M147),ISNUMBER(M142)),IFERROR(M147/M142,""),"")</f>
        <v/>
      </c>
      <c r="N138" s="187">
        <f>IF(AND(ISNUMBER(N147),ISNUMBER(N142)),IFERROR(N147/N142,""),"")</f>
        <v/>
      </c>
      <c r="O138" s="187">
        <f>IF(AND(ISNUMBER(O147),ISNUMBER(O142)),IFERROR(O147/O142,""),"")</f>
        <v/>
      </c>
      <c r="P138" s="187">
        <f>IF(AND(ISNUMBER(P147),ISNUMBER(P142)),IFERROR(P147/P142,""),"")</f>
        <v/>
      </c>
      <c r="Q138" s="187">
        <f>IF(AND(ISNUMBER(Q147),ISNUMBER(Q142)),IFERROR(Q147/Q142,""),"")</f>
        <v/>
      </c>
      <c r="R138" s="187">
        <f>IF(AND(ISNUMBER(R147),ISNUMBER(R142)),IFERROR(R147/R142,""),"")</f>
        <v/>
      </c>
      <c r="S138" s="187">
        <f>IF(AND(ISNUMBER(S147),ISNUMBER(S142)),IFERROR(S147/S142,""),"")</f>
        <v/>
      </c>
      <c r="T138" s="187">
        <f>IF(AND(ISNUMBER(T147),ISNUMBER(T142)),IFERROR(T147/T142,""),"")</f>
        <v/>
      </c>
      <c r="U138" s="187">
        <f>IF(AND(ISNUMBER(U147),ISNUMBER(U142)),IFERROR(U147/U142,""),"")</f>
        <v/>
      </c>
      <c r="V138" s="187">
        <f>IF(AND(ISNUMBER(V147),ISNUMBER(V142)),IFERROR(V147/V142,""),"")</f>
        <v/>
      </c>
      <c r="W138" s="187">
        <f>IF(AND(ISNUMBER(W147),ISNUMBER(W142)),IFERROR(W147/W142,""),"")</f>
        <v/>
      </c>
      <c r="X138" s="187">
        <f>IF(AND(ISNUMBER(X147),ISNUMBER(X142)),IFERROR(X147/X142,""),"")</f>
        <v/>
      </c>
      <c r="Y138" s="187">
        <f>IF(AND(ISNUMBER(Y147),ISNUMBER(Y142)),IFERROR(Y147/Y142,""),"")</f>
        <v/>
      </c>
      <c r="Z138" s="187">
        <f>IF(AND(ISNUMBER(Z147),ISNUMBER(Z142)),IFERROR(Z147/Z142,""),"")</f>
        <v/>
      </c>
      <c r="AA138" s="187">
        <f>IF(AND(ISNUMBER(AA147),ISNUMBER(AA142)),IFERROR(AA147/AA142,""),"")</f>
        <v/>
      </c>
      <c r="AB138" s="187">
        <f>IF(AND(ISNUMBER(AB147),ISNUMBER(AB142)),IFERROR(AB147/AB142,""),"")</f>
        <v/>
      </c>
      <c r="AC138" s="187">
        <f>IF(AND(ISNUMBER(AC147),ISNUMBER(AC142)),IFERROR(AC147/AC142,""),"")</f>
        <v/>
      </c>
      <c r="AD138" s="187">
        <f>IF(AND(ISNUMBER(AD147),ISNUMBER(AD142)),IFERROR(AD147/AD142,""),"")</f>
        <v/>
      </c>
      <c r="AE138" s="187">
        <f>IF(AND(ISNUMBER(AE147),ISNUMBER(AE142)),IFERROR(AE147/AE142,""),"")</f>
        <v/>
      </c>
      <c r="AF138" s="187">
        <f>IF(AND(ISNUMBER(AF147),ISNUMBER(AF142)),IFERROR(AF147/AF142,""),"")</f>
        <v/>
      </c>
      <c r="AG138" s="187">
        <f>IF(AND(ISNUMBER(AG147),ISNUMBER(AG142)),IFERROR(AG147/AG142,""),"")</f>
        <v/>
      </c>
      <c r="AH138" s="187">
        <f>IF(AND(ISNUMBER(AH147),ISNUMBER(AH142)),IFERROR(AH147/AH142,""),"")</f>
        <v/>
      </c>
      <c r="AI138" s="187">
        <f>IF(AND(ISNUMBER(AI147),ISNUMBER(AI142)),IFERROR(AI147/AI142,""),"")</f>
        <v/>
      </c>
      <c r="AJ138" s="187">
        <f>IF(AND(ISNUMBER(AJ147),ISNUMBER(AJ142)),IFERROR(AJ147/AJ142,""),"")</f>
        <v/>
      </c>
      <c r="AK138" s="187">
        <f>IF(AND(ISNUMBER(AK147),ISNUMBER(AK142)),IFERROR(AK147/AK142,""),"")</f>
        <v/>
      </c>
      <c r="AL138" s="187">
        <f>IF(AND(ISNUMBER(AL147),ISNUMBER(AL142)),IFERROR(AL147/AL142,""),"")</f>
        <v/>
      </c>
      <c r="AM138" s="187">
        <f>IF(AND(ISNUMBER(AM147),ISNUMBER(AM142)),IFERROR(AM147/AM142,""),"")</f>
        <v/>
      </c>
      <c r="AN138" s="187">
        <f>IF(AND(ISNUMBER(AN147),ISNUMBER(AN142)),IFERROR(AN147/AN142,""),"")</f>
        <v/>
      </c>
      <c r="AO138" s="187">
        <f>IF(AND(ISNUMBER(AO147),ISNUMBER(AO142)),IFERROR(AO147/AO142,""),"")</f>
        <v/>
      </c>
      <c r="AP138" s="187">
        <f>IF(AND(ISNUMBER(AP147),ISNUMBER(AP142)),IFERROR(AP147/AP142,""),"")</f>
        <v/>
      </c>
      <c r="AQ138" s="187">
        <f>IF(AND(ISNUMBER(AQ147),ISNUMBER(AQ142)),IFERROR(AQ147/AQ142,""),"")</f>
        <v/>
      </c>
      <c r="AR138" s="187">
        <f>IF(AND(ISNUMBER(AR147),ISNUMBER(AR142)),IFERROR(AR147/AR142,""),"")</f>
        <v/>
      </c>
      <c r="AS138" s="187">
        <f>IF(AND(ISNUMBER(AS147),ISNUMBER(AS142)),IFERROR(AS147/AS142,""),"")</f>
        <v/>
      </c>
      <c r="AT138" s="187">
        <f>IF(AND(ISNUMBER(AT147),ISNUMBER(AT142)),IFERROR(AT147/AT142,""),"")</f>
        <v/>
      </c>
      <c r="AU138" s="187">
        <f>IF(AND(ISNUMBER(AU147),ISNUMBER(AU142)),IFERROR(AU147/AU142,""),"")</f>
        <v/>
      </c>
      <c r="AV138" s="187">
        <f>IF(AND(ISNUMBER(AV147),ISNUMBER(AV142)),IFERROR(AV147/AV142,""),"")</f>
        <v/>
      </c>
      <c r="AW138" s="187">
        <f>IF(AND(ISNUMBER(AW147),ISNUMBER(AW142)),IFERROR(AW147/AW142,""),"")</f>
        <v/>
      </c>
      <c r="AX138" s="187">
        <f>IF(AND(ISNUMBER(AX147),ISNUMBER(AX142)),IFERROR(AX147/AX142,""),"")</f>
        <v/>
      </c>
      <c r="AY138" s="187">
        <f>IF(AND(ISNUMBER(AY147),ISNUMBER(AY142)),IFERROR(AY147/AY142,""),"")</f>
        <v/>
      </c>
      <c r="AZ138" s="187">
        <f>IF(AND(ISNUMBER(AZ147),ISNUMBER(AZ142)),IFERROR(AZ147/AZ142,""),"")</f>
        <v/>
      </c>
      <c r="BA138" s="187">
        <f>IF(AND(ISNUMBER(BA147),ISNUMBER(BA142)),IFERROR(BA147/BA142,""),"")</f>
        <v/>
      </c>
      <c r="BB138" s="187">
        <f>IF(AND(ISNUMBER(BB147),ISNUMBER(BB142)),IFERROR(BB147/BB142,""),"")</f>
        <v/>
      </c>
      <c r="BC138" s="187">
        <f>IF(AND(ISNUMBER(BC147),ISNUMBER(BC142)),IFERROR(BC147/BC142,""),"")</f>
        <v/>
      </c>
      <c r="BD138" s="187">
        <f>IF(AND(ISNUMBER(BD147),ISNUMBER(BD142)),IFERROR(BD147/BD142,""),"")</f>
        <v/>
      </c>
      <c r="BE138" s="187">
        <f>IF(AND(ISNUMBER(BE147),ISNUMBER(BE142)),IFERROR(BE147/BE142,""),"")</f>
        <v/>
      </c>
      <c r="BF138" s="187">
        <f>IF(AND(ISNUMBER(BF147),ISNUMBER(BF142)),IFERROR(BF147/BF142,""),"")</f>
        <v/>
      </c>
      <c r="BG138" s="187">
        <f>IF(AND(ISNUMBER(BG147),ISNUMBER(BG142)),IFERROR(BG147/BG142,""),"")</f>
        <v/>
      </c>
      <c r="BH138" s="187">
        <f>IF(AND(ISNUMBER(BH147),ISNUMBER(BH142)),IFERROR(BH147/BH142,""),"")</f>
        <v/>
      </c>
      <c r="BI138" s="187">
        <f>IF(AND(ISNUMBER(BI147),ISNUMBER(BI142)),IFERROR(BI147/BI142,""),"")</f>
        <v/>
      </c>
      <c r="BJ138" s="187">
        <f>IF(AND(ISNUMBER(BJ147),ISNUMBER(BJ142)),IFERROR(BJ147/BJ142,""),"")</f>
        <v/>
      </c>
      <c r="BK138" s="187">
        <f>IF(AND(ISNUMBER(BK147),ISNUMBER(BK142)),IFERROR(BK147/BK142,""),"")</f>
        <v/>
      </c>
      <c r="BL138" s="187">
        <f>IF(AND(ISNUMBER(BL147),ISNUMBER(BL142)),IFERROR(BL147/BL142,""),"")</f>
        <v/>
      </c>
      <c r="BM138" s="187">
        <f>IF(AND(ISNUMBER(BM147),ISNUMBER(BM142)),IFERROR(BM147/BM142,""),"")</f>
        <v/>
      </c>
      <c r="BN138" s="187">
        <f>IF(AND(ISNUMBER(BN147),ISNUMBER(BN142)),IFERROR(BN147/BN142,""),"")</f>
        <v/>
      </c>
      <c r="BO138" s="187">
        <f>IF(AND(ISNUMBER(BO147),ISNUMBER(BO142)),IFERROR(BO147/BO142,""),"")</f>
        <v/>
      </c>
      <c r="BP138" s="187">
        <f>IF(AND(ISNUMBER(BP147),ISNUMBER(BP142)),IFERROR(BP147/BP142,""),"")</f>
        <v/>
      </c>
      <c r="BQ138" s="187">
        <f>IF(AND(ISNUMBER(BQ147),ISNUMBER(BQ142)),IFERROR(BQ147/BQ142,""),"")</f>
        <v/>
      </c>
      <c r="BR138" s="187">
        <f>IF(AND(ISNUMBER(BR147),ISNUMBER(BR142)),IFERROR(BR147/BR142,""),"")</f>
        <v/>
      </c>
      <c r="BS138" s="187">
        <f>IF(AND(ISNUMBER(BS147),ISNUMBER(BS142)),IFERROR(BS147/BS142,""),"")</f>
        <v/>
      </c>
      <c r="BT138" s="187">
        <f>IF(AND(ISNUMBER(BT147),ISNUMBER(BT142)),IFERROR(BT147/BT142,""),"")</f>
        <v/>
      </c>
      <c r="BU138" s="187">
        <f>IF(AND(ISNUMBER(BU147),ISNUMBER(BU142)),IFERROR(BU147/BU142,""),"")</f>
        <v/>
      </c>
      <c r="BV138" s="187">
        <f>IF(AND(ISNUMBER(BV147),ISNUMBER(BV142)),IFERROR(BV147/BV142,""),"")</f>
        <v/>
      </c>
      <c r="BW138" s="187">
        <f>IF(AND(ISNUMBER(BW147),ISNUMBER(BW142)),IFERROR(BW147/BW142,""),"")</f>
        <v/>
      </c>
      <c r="BX138" s="187">
        <f>IF(AND(ISNUMBER(BX147),ISNUMBER(BX142)),IFERROR(BX147/BX142,""),"")</f>
        <v/>
      </c>
      <c r="BY138" s="180">
        <f>IFERROR((BW147+BX147)/(BW142+BX142),"")</f>
        <v/>
      </c>
      <c r="BZ138" s="180">
        <f>IFERROR((BW147+BX147)/(BW142+BX142),"")</f>
        <v/>
      </c>
      <c r="CA138" s="180">
        <f>IF(AND(ISNUMBER(CA147),ISNUMBER(CA142)),IFERROR(CA147/CA142,""),"")</f>
        <v/>
      </c>
      <c r="CB138" s="181" t="n">
        <v>0.021</v>
      </c>
      <c r="CC138" s="181" t="n">
        <v>0.021</v>
      </c>
      <c r="CD138" s="181" t="n">
        <v>0.021</v>
      </c>
      <c r="CE138" s="181" t="n">
        <v>0.021</v>
      </c>
      <c r="CF138" s="6" t="n"/>
      <c r="CH138" s="39">
        <f>IFERROR(AVERAGE(CA138,CB138,CC138,CD138,CE138),"n/m")</f>
        <v/>
      </c>
      <c r="CI138" s="39">
        <f>IFERROR(AVERAGE(BB138,BG138,BL138,BQ138,BV138),"n/m")</f>
        <v/>
      </c>
      <c r="CJ138" s="39">
        <f>IFERROR(AVERAGE(AC138,AH138,AM138,AR138,AW138,BB138,BG138,BL138,BQ138,BV138),"n/m")</f>
        <v/>
      </c>
      <c r="CK138" s="39">
        <f>IFERROR(AVERAGE(C138,D138,E138,F138,G138,H138,I138,N138,S138,X138,AC138,AH138,AM138,AR138,AW138,BB138,BG138,BL138,BQ138,BV138),"n/m")</f>
        <v/>
      </c>
    </row>
    <row r="139" ht="15" customHeight="1">
      <c r="B139" s="26" t="inlineStr">
        <is>
          <t xml:space="preserve">  Stock-based compensation % of net sales</t>
        </is>
      </c>
      <c r="C139" s="187">
        <f>IF(AND(ISNUMBER(C165),ISNUMBER(C142)),IFERROR(C165/C142,""),"")</f>
        <v/>
      </c>
      <c r="D139" s="187">
        <f>IF(AND(ISNUMBER(D165),ISNUMBER(D142)),IFERROR(D165/D142,""),"")</f>
        <v/>
      </c>
      <c r="E139" s="187">
        <f>IF(AND(ISNUMBER(E165),ISNUMBER(E142)),IFERROR(E165/E142,""),"")</f>
        <v/>
      </c>
      <c r="F139" s="187">
        <f>IF(AND(ISNUMBER(F165),ISNUMBER(F142)),IFERROR(F165/F142,""),"")</f>
        <v/>
      </c>
      <c r="G139" s="187">
        <f>IF(AND(ISNUMBER(G165),ISNUMBER(G142)),IFERROR(G165/G142,""),"")</f>
        <v/>
      </c>
      <c r="H139" s="187">
        <f>IF(AND(ISNUMBER(H165),ISNUMBER(H142)),IFERROR(H165/H142,""),"")</f>
        <v/>
      </c>
      <c r="I139" s="187">
        <f>IF(AND(ISNUMBER(I165),ISNUMBER(I142)),IFERROR(I165/I142,""),"")</f>
        <v/>
      </c>
      <c r="J139" s="187">
        <f>IF(AND(ISNUMBER(J165),ISNUMBER(J142)),IFERROR(J165/J142,""),"")</f>
        <v/>
      </c>
      <c r="K139" s="187">
        <f>IF(AND(ISNUMBER(K165),ISNUMBER(K142)),IFERROR(K165/K142,""),"")</f>
        <v/>
      </c>
      <c r="L139" s="187">
        <f>IF(AND(ISNUMBER(L165),ISNUMBER(L142)),IFERROR(L165/L142,""),"")</f>
        <v/>
      </c>
      <c r="M139" s="187">
        <f>IF(AND(ISNUMBER(M165),ISNUMBER(M142)),IFERROR(M165/M142,""),"")</f>
        <v/>
      </c>
      <c r="N139" s="187">
        <f>IF(AND(ISNUMBER(N165),ISNUMBER(N142)),IFERROR(N165/N142,""),"")</f>
        <v/>
      </c>
      <c r="O139" s="187">
        <f>IF(AND(ISNUMBER(O165),ISNUMBER(O142)),IFERROR(O165/O142,""),"")</f>
        <v/>
      </c>
      <c r="P139" s="187">
        <f>IF(AND(ISNUMBER(P165),ISNUMBER(P142)),IFERROR(P165/P142,""),"")</f>
        <v/>
      </c>
      <c r="Q139" s="187">
        <f>IF(AND(ISNUMBER(Q165),ISNUMBER(Q142)),IFERROR(Q165/Q142,""),"")</f>
        <v/>
      </c>
      <c r="R139" s="187">
        <f>IF(AND(ISNUMBER(R165),ISNUMBER(R142)),IFERROR(R165/R142,""),"")</f>
        <v/>
      </c>
      <c r="S139" s="187">
        <f>IF(AND(ISNUMBER(S165),ISNUMBER(S142)),IFERROR(S165/S142,""),"")</f>
        <v/>
      </c>
      <c r="T139" s="187">
        <f>IF(AND(ISNUMBER(T165),ISNUMBER(T142)),IFERROR(T165/T142,""),"")</f>
        <v/>
      </c>
      <c r="U139" s="187">
        <f>IF(AND(ISNUMBER(U165),ISNUMBER(U142)),IFERROR(U165/U142,""),"")</f>
        <v/>
      </c>
      <c r="V139" s="187">
        <f>IF(AND(ISNUMBER(V165),ISNUMBER(V142)),IFERROR(V165/V142,""),"")</f>
        <v/>
      </c>
      <c r="W139" s="187">
        <f>IF(AND(ISNUMBER(W165),ISNUMBER(W142)),IFERROR(W165/W142,""),"")</f>
        <v/>
      </c>
      <c r="X139" s="187">
        <f>IF(AND(ISNUMBER(X165),ISNUMBER(X142)),IFERROR(X165/X142,""),"")</f>
        <v/>
      </c>
      <c r="Y139" s="187">
        <f>IF(AND(ISNUMBER(Y165),ISNUMBER(Y142)),IFERROR(Y165/Y142,""),"")</f>
        <v/>
      </c>
      <c r="Z139" s="187">
        <f>IF(AND(ISNUMBER(Z165),ISNUMBER(Z142)),IFERROR(Z165/Z142,""),"")</f>
        <v/>
      </c>
      <c r="AA139" s="187">
        <f>IF(AND(ISNUMBER(AA165),ISNUMBER(AA142)),IFERROR(AA165/AA142,""),"")</f>
        <v/>
      </c>
      <c r="AB139" s="187">
        <f>IF(AND(ISNUMBER(AB165),ISNUMBER(AB142)),IFERROR(AB165/AB142,""),"")</f>
        <v/>
      </c>
      <c r="AC139" s="187">
        <f>IF(AND(ISNUMBER(AC165),ISNUMBER(AC142)),IFERROR(AC165/AC142,""),"")</f>
        <v/>
      </c>
      <c r="AD139" s="187">
        <f>IF(AND(ISNUMBER(AD165),ISNUMBER(AD142)),IFERROR(AD165/AD142,""),"")</f>
        <v/>
      </c>
      <c r="AE139" s="187">
        <f>IF(AND(ISNUMBER(AE165),ISNUMBER(AE142)),IFERROR(AE165/AE142,""),"")</f>
        <v/>
      </c>
      <c r="AF139" s="187">
        <f>IF(AND(ISNUMBER(AF165),ISNUMBER(AF142)),IFERROR(AF165/AF142,""),"")</f>
        <v/>
      </c>
      <c r="AG139" s="187">
        <f>IF(AND(ISNUMBER(AG165),ISNUMBER(AG142)),IFERROR(AG165/AG142,""),"")</f>
        <v/>
      </c>
      <c r="AH139" s="187">
        <f>IF(AND(ISNUMBER(AH165),ISNUMBER(AH142)),IFERROR(AH165/AH142,""),"")</f>
        <v/>
      </c>
      <c r="AI139" s="187">
        <f>IF(AND(ISNUMBER(AI165),ISNUMBER(AI142)),IFERROR(AI165/AI142,""),"")</f>
        <v/>
      </c>
      <c r="AJ139" s="187">
        <f>IF(AND(ISNUMBER(AJ165),ISNUMBER(AJ142)),IFERROR(AJ165/AJ142,""),"")</f>
        <v/>
      </c>
      <c r="AK139" s="187">
        <f>IF(AND(ISNUMBER(AK165),ISNUMBER(AK142)),IFERROR(AK165/AK142,""),"")</f>
        <v/>
      </c>
      <c r="AL139" s="187">
        <f>IF(AND(ISNUMBER(AL165),ISNUMBER(AL142)),IFERROR(AL165/AL142,""),"")</f>
        <v/>
      </c>
      <c r="AM139" s="187">
        <f>IF(AND(ISNUMBER(AM165),ISNUMBER(AM142)),IFERROR(AM165/AM142,""),"")</f>
        <v/>
      </c>
      <c r="AN139" s="187">
        <f>IF(AND(ISNUMBER(AN165),ISNUMBER(AN142)),IFERROR(AN165/AN142,""),"")</f>
        <v/>
      </c>
      <c r="AO139" s="187">
        <f>IF(AND(ISNUMBER(AO165),ISNUMBER(AO142)),IFERROR(AO165/AO142,""),"")</f>
        <v/>
      </c>
      <c r="AP139" s="187">
        <f>IF(AND(ISNUMBER(AP165),ISNUMBER(AP142)),IFERROR(AP165/AP142,""),"")</f>
        <v/>
      </c>
      <c r="AQ139" s="187">
        <f>IF(AND(ISNUMBER(AQ165),ISNUMBER(AQ142)),IFERROR(AQ165/AQ142,""),"")</f>
        <v/>
      </c>
      <c r="AR139" s="187">
        <f>IF(AND(ISNUMBER(AR165),ISNUMBER(AR142)),IFERROR(AR165/AR142,""),"")</f>
        <v/>
      </c>
      <c r="AS139" s="187">
        <f>IF(AND(ISNUMBER(AS165),ISNUMBER(AS142)),IFERROR(AS165/AS142,""),"")</f>
        <v/>
      </c>
      <c r="AT139" s="187">
        <f>IF(AND(ISNUMBER(AT165),ISNUMBER(AT142)),IFERROR(AT165/AT142,""),"")</f>
        <v/>
      </c>
      <c r="AU139" s="187">
        <f>IF(AND(ISNUMBER(AU165),ISNUMBER(AU142)),IFERROR(AU165/AU142,""),"")</f>
        <v/>
      </c>
      <c r="AV139" s="187">
        <f>IF(AND(ISNUMBER(AV165),ISNUMBER(AV142)),IFERROR(AV165/AV142,""),"")</f>
        <v/>
      </c>
      <c r="AW139" s="187">
        <f>IF(AND(ISNUMBER(AW165),ISNUMBER(AW142)),IFERROR(AW165/AW142,""),"")</f>
        <v/>
      </c>
      <c r="AX139" s="187">
        <f>IF(AND(ISNUMBER(AX165),ISNUMBER(AX142)),IFERROR(AX165/AX142,""),"")</f>
        <v/>
      </c>
      <c r="AY139" s="187">
        <f>IF(AND(ISNUMBER(AY165),ISNUMBER(AY142)),IFERROR(AY165/AY142,""),"")</f>
        <v/>
      </c>
      <c r="AZ139" s="187">
        <f>IF(AND(ISNUMBER(AZ165),ISNUMBER(AZ142)),IFERROR(AZ165/AZ142,""),"")</f>
        <v/>
      </c>
      <c r="BA139" s="187">
        <f>IF(AND(ISNUMBER(BA165),ISNUMBER(BA142)),IFERROR(BA165/BA142,""),"")</f>
        <v/>
      </c>
      <c r="BB139" s="187">
        <f>IF(AND(ISNUMBER(BB165),ISNUMBER(BB142)),IFERROR(BB165/BB142,""),"")</f>
        <v/>
      </c>
      <c r="BC139" s="187">
        <f>IF(AND(ISNUMBER(BC165),ISNUMBER(BC142)),IFERROR(BC165/BC142,""),"")</f>
        <v/>
      </c>
      <c r="BD139" s="187">
        <f>IF(AND(ISNUMBER(BD165),ISNUMBER(BD142)),IFERROR(BD165/BD142,""),"")</f>
        <v/>
      </c>
      <c r="BE139" s="187">
        <f>IF(AND(ISNUMBER(BE165),ISNUMBER(BE142)),IFERROR(BE165/BE142,""),"")</f>
        <v/>
      </c>
      <c r="BF139" s="187">
        <f>IF(AND(ISNUMBER(BF165),ISNUMBER(BF142)),IFERROR(BF165/BF142,""),"")</f>
        <v/>
      </c>
      <c r="BG139" s="187">
        <f>IF(AND(ISNUMBER(BG165),ISNUMBER(BG142)),IFERROR(BG165/BG142,""),"")</f>
        <v/>
      </c>
      <c r="BH139" s="187">
        <f>IF(AND(ISNUMBER(BH165),ISNUMBER(BH142)),IFERROR(BH165/BH142,""),"")</f>
        <v/>
      </c>
      <c r="BI139" s="187">
        <f>IF(AND(ISNUMBER(BI165),ISNUMBER(BI142)),IFERROR(BI165/BI142,""),"")</f>
        <v/>
      </c>
      <c r="BJ139" s="187">
        <f>IF(AND(ISNUMBER(BJ165),ISNUMBER(BJ142)),IFERROR(BJ165/BJ142,""),"")</f>
        <v/>
      </c>
      <c r="BK139" s="187">
        <f>IF(AND(ISNUMBER(BK165),ISNUMBER(BK142)),IFERROR(BK165/BK142,""),"")</f>
        <v/>
      </c>
      <c r="BL139" s="187">
        <f>IF(AND(ISNUMBER(BL165),ISNUMBER(BL142)),IFERROR(BL165/BL142,""),"")</f>
        <v/>
      </c>
      <c r="BM139" s="187">
        <f>IF(AND(ISNUMBER(BM165),ISNUMBER(BM142)),IFERROR(BM165/BM142,""),"")</f>
        <v/>
      </c>
      <c r="BN139" s="187">
        <f>IF(AND(ISNUMBER(BN165),ISNUMBER(BN142)),IFERROR(BN165/BN142,""),"")</f>
        <v/>
      </c>
      <c r="BO139" s="187">
        <f>IF(AND(ISNUMBER(BO165),ISNUMBER(BO142)),IFERROR(BO165/BO142,""),"")</f>
        <v/>
      </c>
      <c r="BP139" s="187">
        <f>IF(AND(ISNUMBER(BP165),ISNUMBER(BP142)),IFERROR(BP165/BP142,""),"")</f>
        <v/>
      </c>
      <c r="BQ139" s="187">
        <f>IF(AND(ISNUMBER(BQ165),ISNUMBER(BQ142)),IFERROR(BQ165/BQ142,""),"")</f>
        <v/>
      </c>
      <c r="BR139" s="187">
        <f>IF(AND(ISNUMBER(BR165),ISNUMBER(BR142)),IFERROR(BR165/BR142,""),"")</f>
        <v/>
      </c>
      <c r="BS139" s="187">
        <f>IF(AND(ISNUMBER(BS165),ISNUMBER(BS142)),IFERROR(BS165/BS142,""),"")</f>
        <v/>
      </c>
      <c r="BT139" s="187">
        <f>IF(AND(ISNUMBER(BT165),ISNUMBER(BT142)),IFERROR(BT165/BT142,""),"")</f>
        <v/>
      </c>
      <c r="BU139" s="187">
        <f>IF(AND(ISNUMBER(BU165),ISNUMBER(BU142)),IFERROR(BU165/BU142,""),"")</f>
        <v/>
      </c>
      <c r="BV139" s="187">
        <f>IF(AND(ISNUMBER(BV165),ISNUMBER(BV142)),IFERROR(BV165/BV142,""),"")</f>
        <v/>
      </c>
      <c r="BW139" s="187">
        <f>IF(AND(ISNUMBER(BW165),ISNUMBER(BW142)),IFERROR(BW165/BW142,""),"")</f>
        <v/>
      </c>
      <c r="BX139" s="187">
        <f>IF(AND(ISNUMBER(BX165),ISNUMBER(BX142)),IFERROR(BX165/BX142,""),"")</f>
        <v/>
      </c>
      <c r="BY139" s="180">
        <f>IFERROR((BW165+BX165)/(BW142+BX142),"")</f>
        <v/>
      </c>
      <c r="BZ139" s="180">
        <f>IFERROR((BW165+BX165)/(BW142+BX142),"")</f>
        <v/>
      </c>
      <c r="CA139" s="180">
        <f>IF(AND(ISNUMBER(CA165),ISNUMBER(CA142)),IFERROR(CA165/CA142,""),"")</f>
        <v/>
      </c>
      <c r="CB139" s="181" t="n">
        <v>0.008</v>
      </c>
      <c r="CC139" s="181" t="n">
        <v>0.008</v>
      </c>
      <c r="CD139" s="181" t="n">
        <v>0.008</v>
      </c>
      <c r="CE139" s="181" t="n">
        <v>0.008</v>
      </c>
      <c r="CF139" s="6" t="n"/>
      <c r="CH139" s="39">
        <f>IFERROR(AVERAGE(CA139,CB139,CC139,CD139,CE139),"n/m")</f>
        <v/>
      </c>
      <c r="CI139" s="39">
        <f>IFERROR(AVERAGE(BB139,BG139,BL139,BQ139,BV139),"n/m")</f>
        <v/>
      </c>
      <c r="CJ139" s="39">
        <f>IFERROR(AVERAGE(AC139,AH139,AM139,AR139,AW139,BB139,BG139,BL139,BQ139,BV139),"n/m")</f>
        <v/>
      </c>
      <c r="CK139" s="39">
        <f>IFERROR(AVERAGE(C139,D139,E139,F139,G139,H139,I139,N139,S139,X139,AC139,AH139,AM139,AR139,AW139,BB139,BG139,BL139,BQ139,BV139),"n/m")</f>
        <v/>
      </c>
    </row>
    <row r="140" ht="15" customHeight="1"/>
    <row r="141" ht="15" customHeight="1">
      <c r="B141" s="11" t="inlineStr">
        <is>
          <t>CONSOLIDATED STATEMENT OF INCOME (US GAAP)</t>
        </is>
      </c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  <c r="AJ141" s="11" t="n"/>
      <c r="AK141" s="11" t="n"/>
      <c r="AL141" s="11" t="n"/>
      <c r="AM141" s="11" t="n"/>
      <c r="AN141" s="11" t="n"/>
      <c r="AO141" s="11" t="n"/>
      <c r="AP141" s="11" t="n"/>
      <c r="AQ141" s="11" t="n"/>
      <c r="AR141" s="11" t="n"/>
      <c r="AS141" s="11" t="n"/>
      <c r="AT141" s="11" t="n"/>
      <c r="AU141" s="11" t="n"/>
      <c r="AV141" s="11" t="n"/>
      <c r="AW141" s="11" t="n"/>
      <c r="AX141" s="11" t="n"/>
      <c r="AY141" s="11" t="n"/>
      <c r="AZ141" s="11" t="n"/>
      <c r="BA141" s="11" t="n"/>
      <c r="BB141" s="11" t="n"/>
      <c r="BC141" s="11" t="n"/>
      <c r="BD141" s="11" t="n"/>
      <c r="BE141" s="11" t="n"/>
      <c r="BF141" s="11" t="n"/>
      <c r="BG141" s="11" t="n"/>
      <c r="BH141" s="11" t="n"/>
      <c r="BI141" s="11" t="n"/>
      <c r="BJ141" s="11" t="n"/>
      <c r="BK141" s="11" t="n"/>
      <c r="BL141" s="11" t="n"/>
      <c r="BM141" s="11" t="n"/>
      <c r="BN141" s="11" t="n"/>
      <c r="BO141" s="11" t="n"/>
      <c r="BP141" s="11" t="n"/>
      <c r="BQ141" s="11" t="n"/>
      <c r="BR141" s="11" t="n"/>
      <c r="BS141" s="11" t="n"/>
      <c r="BT141" s="11" t="n"/>
      <c r="BU141" s="11" t="n"/>
      <c r="BV141" s="11" t="n"/>
      <c r="BW141" s="11" t="n"/>
      <c r="BX141" s="11" t="n"/>
      <c r="BY141" s="11" t="n"/>
      <c r="BZ141" s="11" t="n"/>
      <c r="CA141" s="11" t="n"/>
      <c r="CB141" s="11" t="n"/>
      <c r="CC141" s="11" t="n"/>
      <c r="CD141" s="11" t="n"/>
      <c r="CE141" s="11" t="n"/>
      <c r="CF141" s="11" t="inlineStr">
        <is>
          <t>CONSOLIDATED IS — forecast logic</t>
        </is>
      </c>
    </row>
    <row r="142" ht="15" customHeight="1">
      <c r="B142" s="59" t="inlineStr">
        <is>
          <t>Net sales</t>
        </is>
      </c>
      <c r="C142" s="197" t="n">
        <v>1087.6</v>
      </c>
      <c r="D142" s="197" t="n">
        <v>1360.1</v>
      </c>
      <c r="E142" s="197" t="n">
        <v>1574.7</v>
      </c>
      <c r="F142" s="197" t="n">
        <v>1401.6</v>
      </c>
      <c r="G142" s="197" t="n">
        <v>1507</v>
      </c>
      <c r="H142" s="197" t="n">
        <v>1967.6</v>
      </c>
      <c r="I142" s="197" t="n">
        <v>2391.1</v>
      </c>
      <c r="J142" s="197" t="n">
        <v>615.5</v>
      </c>
      <c r="K142" s="197" t="n">
        <v>638</v>
      </c>
      <c r="L142" s="197" t="n">
        <v>631.4</v>
      </c>
      <c r="M142" s="197" t="n">
        <v>681.5</v>
      </c>
      <c r="N142" s="197" t="n">
        <v>2566.4</v>
      </c>
      <c r="O142" s="197" t="n">
        <v>695.2</v>
      </c>
      <c r="P142" s="197" t="n">
        <v>731.1</v>
      </c>
      <c r="Q142" s="197" t="n">
        <v>797.3</v>
      </c>
      <c r="R142" s="197" t="n">
        <v>820.9</v>
      </c>
      <c r="S142" s="197" t="n">
        <v>3044.5</v>
      </c>
      <c r="T142" s="197" t="n">
        <v>818.6</v>
      </c>
      <c r="U142" s="197" t="n">
        <v>847</v>
      </c>
      <c r="V142" s="197" t="n">
        <v>809.5</v>
      </c>
      <c r="W142" s="197" t="n">
        <v>832.8</v>
      </c>
      <c r="X142" s="197" t="n">
        <v>3308</v>
      </c>
      <c r="Y142" s="197" t="n">
        <v>772</v>
      </c>
      <c r="Z142" s="197" t="n">
        <v>723.6</v>
      </c>
      <c r="AA142" s="197" t="n">
        <v>675.6</v>
      </c>
      <c r="AB142" s="197" t="n">
        <v>760</v>
      </c>
      <c r="AC142" s="197" t="n">
        <v>2931.2</v>
      </c>
      <c r="AD142" s="197" t="n">
        <v>916</v>
      </c>
      <c r="AE142" s="197" t="n">
        <v>932.3</v>
      </c>
      <c r="AF142" s="197" t="n">
        <v>957.9</v>
      </c>
      <c r="AG142" s="197" t="n">
        <v>1075.5</v>
      </c>
      <c r="AH142" s="197" t="n">
        <v>3881.8</v>
      </c>
      <c r="AI142" s="197" t="n">
        <v>1056.2</v>
      </c>
      <c r="AJ142" s="197" t="n">
        <v>1111.7</v>
      </c>
      <c r="AK142" s="197" t="n">
        <v>1077.8</v>
      </c>
      <c r="AL142" s="197" t="n">
        <v>1117.9</v>
      </c>
      <c r="AM142" s="197" t="n">
        <v>4363.5</v>
      </c>
      <c r="AN142" s="197" t="n">
        <v>1593.6</v>
      </c>
      <c r="AO142" s="197" t="n">
        <v>2236.3</v>
      </c>
      <c r="AP142" s="197" t="n">
        <v>2001.7</v>
      </c>
      <c r="AQ142" s="197" t="n">
        <v>2368.4</v>
      </c>
      <c r="AR142" s="197" t="n">
        <v>8200</v>
      </c>
      <c r="AS142" s="197" t="n">
        <v>1929.9</v>
      </c>
      <c r="AT142" s="197" t="n">
        <v>1737.4</v>
      </c>
      <c r="AU142" s="197" t="n">
        <v>1865.1</v>
      </c>
      <c r="AV142" s="197" t="n">
        <v>2023.7</v>
      </c>
      <c r="AW142" s="197" t="n">
        <v>7556.1</v>
      </c>
      <c r="AX142" s="197" t="n">
        <v>1830.2</v>
      </c>
      <c r="AY142" s="197" t="n">
        <v>2012.3</v>
      </c>
      <c r="AZ142" s="197" t="n">
        <v>1906.9</v>
      </c>
      <c r="BA142" s="197" t="n">
        <v>2073</v>
      </c>
      <c r="BB142" s="197" t="n">
        <v>7822</v>
      </c>
      <c r="BC142" s="197" t="n">
        <v>1927</v>
      </c>
      <c r="BD142" s="197" t="n">
        <v>2048</v>
      </c>
      <c r="BE142" s="197" t="n">
        <v>2081</v>
      </c>
      <c r="BF142" s="197" t="n">
        <v>2306</v>
      </c>
      <c r="BG142" s="197" t="n">
        <v>8362</v>
      </c>
      <c r="BH142" s="197" t="n">
        <v>2194</v>
      </c>
      <c r="BI142" s="197" t="n">
        <v>2407</v>
      </c>
      <c r="BJ142" s="197" t="n">
        <v>2550</v>
      </c>
      <c r="BK142" s="197" t="n">
        <v>2526</v>
      </c>
      <c r="BL142" s="197" t="n">
        <v>9677</v>
      </c>
      <c r="BM142" s="197" t="n">
        <v>2497</v>
      </c>
      <c r="BN142" s="197" t="n">
        <v>2644</v>
      </c>
      <c r="BO142" s="197" t="n">
        <v>2663</v>
      </c>
      <c r="BP142" s="197" t="n">
        <v>2583</v>
      </c>
      <c r="BQ142" s="197" t="n">
        <v>10387</v>
      </c>
      <c r="BR142" s="197" t="n">
        <v>2610</v>
      </c>
      <c r="BS142" s="197" t="n">
        <v>2706</v>
      </c>
      <c r="BT142" s="197" t="n">
        <v>2886</v>
      </c>
      <c r="BU142" s="197" t="n">
        <v>2965</v>
      </c>
      <c r="BV142" s="197" t="n">
        <v>11167</v>
      </c>
      <c r="BW142" s="197" t="n">
        <v>2950</v>
      </c>
      <c r="BX142" s="197" t="n">
        <v>3179</v>
      </c>
      <c r="BY142" s="193">
        <f>BY98</f>
        <v/>
      </c>
      <c r="BZ142" s="193">
        <f>BZ98</f>
        <v/>
      </c>
      <c r="CA142" s="193">
        <f>SUM(BW142,BX142,BY142,BZ142)</f>
        <v/>
      </c>
      <c r="CB142" s="193">
        <f>CB98</f>
        <v/>
      </c>
      <c r="CC142" s="193">
        <f>CC98</f>
        <v/>
      </c>
      <c r="CD142" s="193">
        <f>CD98</f>
        <v/>
      </c>
      <c r="CE142" s="193">
        <f>CE98</f>
        <v/>
      </c>
      <c r="CF142" s="6" t="inlineStr">
        <is>
          <t>Forecast linked to the product-line build.</t>
        </is>
      </c>
      <c r="CH142" s="21">
        <f>IFERROR((CE142/BV142)^(1/5)-1,"n/m")</f>
        <v/>
      </c>
      <c r="CI142" s="21">
        <f>IFERROR((BV142/AW142)^(1/5)-1,"n/m")</f>
        <v/>
      </c>
      <c r="CJ142" s="21">
        <f>IFERROR((BV142/X142)^(1/10)-1,"n/m")</f>
        <v/>
      </c>
      <c r="CK142" s="21">
        <f>IFERROR((BV142/C142)^(1/19)-1,"n/m")</f>
        <v/>
      </c>
    </row>
    <row r="143" ht="15" customHeight="1">
      <c r="B143" s="26" t="inlineStr">
        <is>
          <t>Cost of sales</t>
        </is>
      </c>
      <c r="C143" s="174" t="n">
        <v>790.8</v>
      </c>
      <c r="D143" s="174" t="n">
        <v>990.5</v>
      </c>
      <c r="E143" s="174" t="n">
        <v>1147.6</v>
      </c>
      <c r="F143" s="174" t="n">
        <v>1008.3</v>
      </c>
      <c r="G143" s="174" t="n">
        <v>1057.9</v>
      </c>
      <c r="H143" s="174" t="n">
        <v>1397.2</v>
      </c>
      <c r="I143" s="174" t="n">
        <v>1696.6</v>
      </c>
      <c r="J143" s="174" t="n">
        <v>432.6</v>
      </c>
      <c r="K143" s="174" t="n">
        <v>445.1</v>
      </c>
      <c r="L143" s="174" t="n">
        <v>443.3</v>
      </c>
      <c r="M143" s="174" t="n">
        <v>481.4</v>
      </c>
      <c r="N143" s="174" t="n">
        <v>1802.4</v>
      </c>
      <c r="O143" s="174" t="n">
        <v>485.7</v>
      </c>
      <c r="P143" s="174" t="n">
        <v>506.4</v>
      </c>
      <c r="Q143" s="174" t="n">
        <v>549.8</v>
      </c>
      <c r="R143" s="174" t="n">
        <v>566.6</v>
      </c>
      <c r="S143" s="174" t="n">
        <v>2108.5</v>
      </c>
      <c r="T143" s="174" t="n">
        <v>563.2</v>
      </c>
      <c r="U143" s="174" t="n">
        <v>579.3</v>
      </c>
      <c r="V143" s="174" t="n">
        <v>552.5</v>
      </c>
      <c r="W143" s="174" t="n">
        <v>565.2</v>
      </c>
      <c r="X143" s="174" t="n">
        <v>2260.2</v>
      </c>
      <c r="Y143" s="174" t="n">
        <v>516.9</v>
      </c>
      <c r="Z143" s="174" t="n">
        <v>486.2</v>
      </c>
      <c r="AA143" s="174" t="n">
        <v>463.1</v>
      </c>
      <c r="AB143" s="174" t="n">
        <v>540.8</v>
      </c>
      <c r="AC143" s="174" t="n">
        <v>2006.9</v>
      </c>
      <c r="AD143" s="174" t="n">
        <v>646.3</v>
      </c>
      <c r="AE143" s="174" t="n">
        <v>658.3</v>
      </c>
      <c r="AF143" s="174" t="n">
        <v>704.7</v>
      </c>
      <c r="AG143" s="174" t="n">
        <v>807.1</v>
      </c>
      <c r="AH143" s="174" t="n">
        <v>2816.4</v>
      </c>
      <c r="AI143" s="174" t="n">
        <v>745.3</v>
      </c>
      <c r="AJ143" s="174" t="n">
        <v>787.7</v>
      </c>
      <c r="AK143" s="174" t="n">
        <v>775.8</v>
      </c>
      <c r="AL143" s="174" t="n">
        <v>820.9</v>
      </c>
      <c r="AM143" s="174" t="n">
        <v>3129.7</v>
      </c>
      <c r="AN143" s="174" t="n">
        <v>1204.6</v>
      </c>
      <c r="AO143" s="174" t="n">
        <v>1621.6</v>
      </c>
      <c r="AP143" s="174" t="n">
        <v>1402.3</v>
      </c>
      <c r="AQ143" s="174" t="n">
        <v>1693.5</v>
      </c>
      <c r="AR143" s="174" t="n">
        <v>5922</v>
      </c>
      <c r="AS143" s="174" t="n">
        <v>1351.2</v>
      </c>
      <c r="AT143" s="174" t="n">
        <v>1250.7</v>
      </c>
      <c r="AU143" s="174" t="n">
        <v>1298.9</v>
      </c>
      <c r="AV143" s="174" t="n">
        <v>1518.2</v>
      </c>
      <c r="AW143" s="174" t="n">
        <v>5419</v>
      </c>
      <c r="AX143" s="174" t="n">
        <v>1296</v>
      </c>
      <c r="AY143" s="174" t="n">
        <v>1432.2</v>
      </c>
      <c r="AZ143" s="174" t="n">
        <v>1304.6</v>
      </c>
      <c r="BA143" s="174" t="n">
        <v>1421</v>
      </c>
      <c r="BB143" s="174" t="n">
        <v>5453</v>
      </c>
      <c r="BC143" s="174" t="n">
        <v>1332</v>
      </c>
      <c r="BD143" s="174" t="n">
        <v>1403</v>
      </c>
      <c r="BE143" s="174" t="n">
        <v>1433</v>
      </c>
      <c r="BF143" s="174" t="n">
        <v>1654</v>
      </c>
      <c r="BG143" s="174" t="n">
        <v>5822</v>
      </c>
      <c r="BH143" s="174" t="n">
        <v>1529</v>
      </c>
      <c r="BI143" s="174" t="n">
        <v>1684</v>
      </c>
      <c r="BJ143" s="174" t="n">
        <v>1758</v>
      </c>
      <c r="BK143" s="174" t="n">
        <v>1762</v>
      </c>
      <c r="BL143" s="174" t="n">
        <v>6733</v>
      </c>
      <c r="BM143" s="174" t="n">
        <v>1682</v>
      </c>
      <c r="BN143" s="174" t="n">
        <v>1770</v>
      </c>
      <c r="BO143" s="174" t="n">
        <v>1783</v>
      </c>
      <c r="BP143" s="174" t="n">
        <v>1786</v>
      </c>
      <c r="BQ143" s="174" t="n">
        <v>7021</v>
      </c>
      <c r="BR143" s="174" t="n">
        <v>1710</v>
      </c>
      <c r="BS143" s="174" t="n">
        <v>1768</v>
      </c>
      <c r="BT143" s="174" t="n">
        <v>1884</v>
      </c>
      <c r="BU143" s="174" t="n">
        <v>1999</v>
      </c>
      <c r="BV143" s="174" t="n">
        <v>7361</v>
      </c>
      <c r="BW143" s="174" t="n">
        <v>1889</v>
      </c>
      <c r="BX143" s="174" t="n">
        <v>2018</v>
      </c>
      <c r="BY143" s="178">
        <f>BY142-(BY99+BY142*BY137+BY147-BY207)</f>
        <v/>
      </c>
      <c r="BZ143" s="178">
        <f>BZ142-(BZ99+BZ142*BZ137+BZ147-BZ207)</f>
        <v/>
      </c>
      <c r="CA143" s="178">
        <f>SUM(BW143,BX143,BY143,BZ143)</f>
        <v/>
      </c>
      <c r="CB143" s="178">
        <f>CB142-(CB99+CB142*CB137+CB147-CB207)</f>
        <v/>
      </c>
      <c r="CC143" s="178">
        <f>CC142-(CC99+CC142*CC137+CC147-CC207)</f>
        <v/>
      </c>
      <c r="CD143" s="178">
        <f>CD142-(CD99+CD142*CD137+CD147-CD207)</f>
        <v/>
      </c>
      <c r="CE143" s="178">
        <f>CE142-(CE99+CE142*CE137+CE147-CE207)</f>
        <v/>
      </c>
      <c r="CF143" s="20" t="inlineStr">
        <is>
          <t>Forecast = net sales − (adjusted operating income + adjusted SG&amp;A + engineering − inventory purchase-accounting charge): gross profit is implied by the build.</t>
        </is>
      </c>
    </row>
    <row r="144" ht="15" customHeight="1">
      <c r="B144" s="17" t="inlineStr">
        <is>
          <t>Gross profit</t>
        </is>
      </c>
      <c r="C144" s="198">
        <f>IF(ISNUMBER(C142),C142-C143,"")</f>
        <v/>
      </c>
      <c r="D144" s="198">
        <f>IF(ISNUMBER(D142),D142-D143,"")</f>
        <v/>
      </c>
      <c r="E144" s="198">
        <f>IF(ISNUMBER(E142),E142-E143,"")</f>
        <v/>
      </c>
      <c r="F144" s="198">
        <f>IF(ISNUMBER(F142),F142-F143,"")</f>
        <v/>
      </c>
      <c r="G144" s="198">
        <f>IF(ISNUMBER(G142),G142-G143,"")</f>
        <v/>
      </c>
      <c r="H144" s="198">
        <f>IF(ISNUMBER(H142),H142-H143,"")</f>
        <v/>
      </c>
      <c r="I144" s="198">
        <f>IF(ISNUMBER(I142),I142-I143,"")</f>
        <v/>
      </c>
      <c r="J144" s="198">
        <f>IF(ISNUMBER(J142),J142-J143,"")</f>
        <v/>
      </c>
      <c r="K144" s="198">
        <f>IF(ISNUMBER(K142),K142-K143,"")</f>
        <v/>
      </c>
      <c r="L144" s="198">
        <f>IF(ISNUMBER(L142),L142-L143,"")</f>
        <v/>
      </c>
      <c r="M144" s="198">
        <f>IF(ISNUMBER(M142),M142-M143,"")</f>
        <v/>
      </c>
      <c r="N144" s="198">
        <f>IF(ISNUMBER(N142),N142-N143,"")</f>
        <v/>
      </c>
      <c r="O144" s="198">
        <f>IF(ISNUMBER(O142),O142-O143,"")</f>
        <v/>
      </c>
      <c r="P144" s="198">
        <f>IF(ISNUMBER(P142),P142-P143,"")</f>
        <v/>
      </c>
      <c r="Q144" s="198">
        <f>IF(ISNUMBER(Q142),Q142-Q143,"")</f>
        <v/>
      </c>
      <c r="R144" s="198">
        <f>IF(ISNUMBER(R142),R142-R143,"")</f>
        <v/>
      </c>
      <c r="S144" s="198">
        <f>IF(ISNUMBER(S142),S142-S143,"")</f>
        <v/>
      </c>
      <c r="T144" s="198">
        <f>IF(ISNUMBER(T142),T142-T143,"")</f>
        <v/>
      </c>
      <c r="U144" s="198">
        <f>IF(ISNUMBER(U142),U142-U143,"")</f>
        <v/>
      </c>
      <c r="V144" s="198">
        <f>IF(ISNUMBER(V142),V142-V143,"")</f>
        <v/>
      </c>
      <c r="W144" s="198">
        <f>IF(ISNUMBER(W142),W142-W143,"")</f>
        <v/>
      </c>
      <c r="X144" s="198">
        <f>IF(ISNUMBER(X142),X142-X143,"")</f>
        <v/>
      </c>
      <c r="Y144" s="198">
        <f>IF(ISNUMBER(Y142),Y142-Y143,"")</f>
        <v/>
      </c>
      <c r="Z144" s="198">
        <f>IF(ISNUMBER(Z142),Z142-Z143,"")</f>
        <v/>
      </c>
      <c r="AA144" s="198">
        <f>IF(ISNUMBER(AA142),AA142-AA143,"")</f>
        <v/>
      </c>
      <c r="AB144" s="198">
        <f>IF(ISNUMBER(AB142),AB142-AB143,"")</f>
        <v/>
      </c>
      <c r="AC144" s="198">
        <f>IF(ISNUMBER(AC142),AC142-AC143,"")</f>
        <v/>
      </c>
      <c r="AD144" s="198">
        <f>IF(ISNUMBER(AD142),AD142-AD143,"")</f>
        <v/>
      </c>
      <c r="AE144" s="198">
        <f>IF(ISNUMBER(AE142),AE142-AE143,"")</f>
        <v/>
      </c>
      <c r="AF144" s="198">
        <f>IF(ISNUMBER(AF142),AF142-AF143,"")</f>
        <v/>
      </c>
      <c r="AG144" s="198">
        <f>IF(ISNUMBER(AG142),AG142-AG143,"")</f>
        <v/>
      </c>
      <c r="AH144" s="198">
        <f>IF(ISNUMBER(AH142),AH142-AH143,"")</f>
        <v/>
      </c>
      <c r="AI144" s="198">
        <f>IF(ISNUMBER(AI142),AI142-AI143,"")</f>
        <v/>
      </c>
      <c r="AJ144" s="198">
        <f>IF(ISNUMBER(AJ142),AJ142-AJ143,"")</f>
        <v/>
      </c>
      <c r="AK144" s="198">
        <f>IF(ISNUMBER(AK142),AK142-AK143,"")</f>
        <v/>
      </c>
      <c r="AL144" s="198">
        <f>IF(ISNUMBER(AL142),AL142-AL143,"")</f>
        <v/>
      </c>
      <c r="AM144" s="198">
        <f>IF(ISNUMBER(AM142),AM142-AM143,"")</f>
        <v/>
      </c>
      <c r="AN144" s="198">
        <f>IF(ISNUMBER(AN142),AN142-AN143,"")</f>
        <v/>
      </c>
      <c r="AO144" s="198">
        <f>IF(ISNUMBER(AO142),AO142-AO143,"")</f>
        <v/>
      </c>
      <c r="AP144" s="198">
        <f>IF(ISNUMBER(AP142),AP142-AP143,"")</f>
        <v/>
      </c>
      <c r="AQ144" s="198">
        <f>IF(ISNUMBER(AQ142),AQ142-AQ143,"")</f>
        <v/>
      </c>
      <c r="AR144" s="198">
        <f>IF(ISNUMBER(AR142),AR142-AR143,"")</f>
        <v/>
      </c>
      <c r="AS144" s="198">
        <f>IF(ISNUMBER(AS142),AS142-AS143,"")</f>
        <v/>
      </c>
      <c r="AT144" s="198">
        <f>IF(ISNUMBER(AT142),AT142-AT143,"")</f>
        <v/>
      </c>
      <c r="AU144" s="198">
        <f>IF(ISNUMBER(AU142),AU142-AU143,"")</f>
        <v/>
      </c>
      <c r="AV144" s="198">
        <f>IF(ISNUMBER(AV142),AV142-AV143,"")</f>
        <v/>
      </c>
      <c r="AW144" s="198">
        <f>IF(ISNUMBER(AW142),AW142-AW143,"")</f>
        <v/>
      </c>
      <c r="AX144" s="198">
        <f>IF(ISNUMBER(AX142),AX142-AX143,"")</f>
        <v/>
      </c>
      <c r="AY144" s="198">
        <f>IF(ISNUMBER(AY142),AY142-AY143,"")</f>
        <v/>
      </c>
      <c r="AZ144" s="198">
        <f>IF(ISNUMBER(AZ142),AZ142-AZ143,"")</f>
        <v/>
      </c>
      <c r="BA144" s="198">
        <f>IF(ISNUMBER(BA142),BA142-BA143,"")</f>
        <v/>
      </c>
      <c r="BB144" s="198">
        <f>IF(ISNUMBER(BB142),BB142-BB143,"")</f>
        <v/>
      </c>
      <c r="BC144" s="198">
        <f>IF(ISNUMBER(BC142),BC142-BC143,"")</f>
        <v/>
      </c>
      <c r="BD144" s="198">
        <f>IF(ISNUMBER(BD142),BD142-BD143,"")</f>
        <v/>
      </c>
      <c r="BE144" s="198">
        <f>IF(ISNUMBER(BE142),BE142-BE143,"")</f>
        <v/>
      </c>
      <c r="BF144" s="198">
        <f>IF(ISNUMBER(BF142),BF142-BF143,"")</f>
        <v/>
      </c>
      <c r="BG144" s="198">
        <f>IF(ISNUMBER(BG142),BG142-BG143,"")</f>
        <v/>
      </c>
      <c r="BH144" s="198">
        <f>IF(ISNUMBER(BH142),BH142-BH143,"")</f>
        <v/>
      </c>
      <c r="BI144" s="198">
        <f>IF(ISNUMBER(BI142),BI142-BI143,"")</f>
        <v/>
      </c>
      <c r="BJ144" s="198">
        <f>IF(ISNUMBER(BJ142),BJ142-BJ143,"")</f>
        <v/>
      </c>
      <c r="BK144" s="198">
        <f>IF(ISNUMBER(BK142),BK142-BK143,"")</f>
        <v/>
      </c>
      <c r="BL144" s="198">
        <f>IF(ISNUMBER(BL142),BL142-BL143,"")</f>
        <v/>
      </c>
      <c r="BM144" s="198">
        <f>IF(ISNUMBER(BM142),BM142-BM143,"")</f>
        <v/>
      </c>
      <c r="BN144" s="198">
        <f>IF(ISNUMBER(BN142),BN142-BN143,"")</f>
        <v/>
      </c>
      <c r="BO144" s="198">
        <f>IF(ISNUMBER(BO142),BO142-BO143,"")</f>
        <v/>
      </c>
      <c r="BP144" s="198">
        <f>IF(ISNUMBER(BP142),BP142-BP143,"")</f>
        <v/>
      </c>
      <c r="BQ144" s="198">
        <f>IF(ISNUMBER(BQ142),BQ142-BQ143,"")</f>
        <v/>
      </c>
      <c r="BR144" s="198">
        <f>IF(ISNUMBER(BR142),BR142-BR143,"")</f>
        <v/>
      </c>
      <c r="BS144" s="198">
        <f>IF(ISNUMBER(BS142),BS142-BS143,"")</f>
        <v/>
      </c>
      <c r="BT144" s="198">
        <f>IF(ISNUMBER(BT142),BT142-BT143,"")</f>
        <v/>
      </c>
      <c r="BU144" s="198">
        <f>IF(ISNUMBER(BU142),BU142-BU143,"")</f>
        <v/>
      </c>
      <c r="BV144" s="198">
        <f>IF(ISNUMBER(BV142),BV142-BV143,"")</f>
        <v/>
      </c>
      <c r="BW144" s="198">
        <f>IF(ISNUMBER(BW142),BW142-BW143,"")</f>
        <v/>
      </c>
      <c r="BX144" s="198">
        <f>IF(ISNUMBER(BX142),BX142-BX143,"")</f>
        <v/>
      </c>
      <c r="BY144" s="185">
        <f>IF(ISNUMBER(BY142),BY142-BY143,"")</f>
        <v/>
      </c>
      <c r="BZ144" s="185">
        <f>IF(ISNUMBER(BZ142),BZ142-BZ143,"")</f>
        <v/>
      </c>
      <c r="CA144" s="185">
        <f>IF(ISNUMBER(CA142),CA142-CA143,"")</f>
        <v/>
      </c>
      <c r="CB144" s="185">
        <f>IF(ISNUMBER(CB142),CB142-CB143,"")</f>
        <v/>
      </c>
      <c r="CC144" s="185">
        <f>IF(ISNUMBER(CC142),CC142-CC143,"")</f>
        <v/>
      </c>
      <c r="CD144" s="185">
        <f>IF(ISNUMBER(CD142),CD142-CD143,"")</f>
        <v/>
      </c>
      <c r="CE144" s="185">
        <f>IF(ISNUMBER(CE142),CE142-CE143,"")</f>
        <v/>
      </c>
      <c r="CF144" s="6" t="n"/>
      <c r="CH144" s="21">
        <f>IFERROR((CE144/BV144)^(1/5)-1,"n/m")</f>
        <v/>
      </c>
      <c r="CI144" s="21">
        <f>IFERROR((BV144/AW144)^(1/5)-1,"n/m")</f>
        <v/>
      </c>
      <c r="CJ144" s="21">
        <f>IFERROR((BV144/X144)^(1/10)-1,"n/m")</f>
        <v/>
      </c>
      <c r="CK144" s="21">
        <f>IFERROR((BV144/C144)^(1/19)-1,"n/m")</f>
        <v/>
      </c>
    </row>
    <row r="145" ht="15" customHeight="1">
      <c r="B145" s="26" t="inlineStr">
        <is>
          <t xml:space="preserve">  Gross margin %</t>
        </is>
      </c>
      <c r="C145" s="187">
        <f>IF(AND(ISNUMBER(C144),ISNUMBER(C142)),IFERROR(C144/C142,""),"")</f>
        <v/>
      </c>
      <c r="D145" s="187">
        <f>IF(AND(ISNUMBER(D144),ISNUMBER(D142)),IFERROR(D144/D142,""),"")</f>
        <v/>
      </c>
      <c r="E145" s="187">
        <f>IF(AND(ISNUMBER(E144),ISNUMBER(E142)),IFERROR(E144/E142,""),"")</f>
        <v/>
      </c>
      <c r="F145" s="187">
        <f>IF(AND(ISNUMBER(F144),ISNUMBER(F142)),IFERROR(F144/F142,""),"")</f>
        <v/>
      </c>
      <c r="G145" s="187">
        <f>IF(AND(ISNUMBER(G144),ISNUMBER(G142)),IFERROR(G144/G142,""),"")</f>
        <v/>
      </c>
      <c r="H145" s="187">
        <f>IF(AND(ISNUMBER(H144),ISNUMBER(H142)),IFERROR(H144/H142,""),"")</f>
        <v/>
      </c>
      <c r="I145" s="187">
        <f>IF(AND(ISNUMBER(I144),ISNUMBER(I142)),IFERROR(I144/I142,""),"")</f>
        <v/>
      </c>
      <c r="J145" s="187">
        <f>IF(AND(ISNUMBER(J144),ISNUMBER(J142)),IFERROR(J144/J142,""),"")</f>
        <v/>
      </c>
      <c r="K145" s="187">
        <f>IF(AND(ISNUMBER(K144),ISNUMBER(K142)),IFERROR(K144/K142,""),"")</f>
        <v/>
      </c>
      <c r="L145" s="187">
        <f>IF(AND(ISNUMBER(L144),ISNUMBER(L142)),IFERROR(L144/L142,""),"")</f>
        <v/>
      </c>
      <c r="M145" s="187">
        <f>IF(AND(ISNUMBER(M144),ISNUMBER(M142)),IFERROR(M144/M142,""),"")</f>
        <v/>
      </c>
      <c r="N145" s="187">
        <f>IF(AND(ISNUMBER(N144),ISNUMBER(N142)),IFERROR(N144/N142,""),"")</f>
        <v/>
      </c>
      <c r="O145" s="187">
        <f>IF(AND(ISNUMBER(O144),ISNUMBER(O142)),IFERROR(O144/O142,""),"")</f>
        <v/>
      </c>
      <c r="P145" s="187">
        <f>IF(AND(ISNUMBER(P144),ISNUMBER(P142)),IFERROR(P144/P142,""),"")</f>
        <v/>
      </c>
      <c r="Q145" s="187">
        <f>IF(AND(ISNUMBER(Q144),ISNUMBER(Q142)),IFERROR(Q144/Q142,""),"")</f>
        <v/>
      </c>
      <c r="R145" s="187">
        <f>IF(AND(ISNUMBER(R144),ISNUMBER(R142)),IFERROR(R144/R142,""),"")</f>
        <v/>
      </c>
      <c r="S145" s="187">
        <f>IF(AND(ISNUMBER(S144),ISNUMBER(S142)),IFERROR(S144/S142,""),"")</f>
        <v/>
      </c>
      <c r="T145" s="187">
        <f>IF(AND(ISNUMBER(T144),ISNUMBER(T142)),IFERROR(T144/T142,""),"")</f>
        <v/>
      </c>
      <c r="U145" s="187">
        <f>IF(AND(ISNUMBER(U144),ISNUMBER(U142)),IFERROR(U144/U142,""),"")</f>
        <v/>
      </c>
      <c r="V145" s="187">
        <f>IF(AND(ISNUMBER(V144),ISNUMBER(V142)),IFERROR(V144/V142,""),"")</f>
        <v/>
      </c>
      <c r="W145" s="187">
        <f>IF(AND(ISNUMBER(W144),ISNUMBER(W142)),IFERROR(W144/W142,""),"")</f>
        <v/>
      </c>
      <c r="X145" s="187">
        <f>IF(AND(ISNUMBER(X144),ISNUMBER(X142)),IFERROR(X144/X142,""),"")</f>
        <v/>
      </c>
      <c r="Y145" s="187">
        <f>IF(AND(ISNUMBER(Y144),ISNUMBER(Y142)),IFERROR(Y144/Y142,""),"")</f>
        <v/>
      </c>
      <c r="Z145" s="187">
        <f>IF(AND(ISNUMBER(Z144),ISNUMBER(Z142)),IFERROR(Z144/Z142,""),"")</f>
        <v/>
      </c>
      <c r="AA145" s="187">
        <f>IF(AND(ISNUMBER(AA144),ISNUMBER(AA142)),IFERROR(AA144/AA142,""),"")</f>
        <v/>
      </c>
      <c r="AB145" s="187">
        <f>IF(AND(ISNUMBER(AB144),ISNUMBER(AB142)),IFERROR(AB144/AB142,""),"")</f>
        <v/>
      </c>
      <c r="AC145" s="187">
        <f>IF(AND(ISNUMBER(AC144),ISNUMBER(AC142)),IFERROR(AC144/AC142,""),"")</f>
        <v/>
      </c>
      <c r="AD145" s="187">
        <f>IF(AND(ISNUMBER(AD144),ISNUMBER(AD142)),IFERROR(AD144/AD142,""),"")</f>
        <v/>
      </c>
      <c r="AE145" s="187">
        <f>IF(AND(ISNUMBER(AE144),ISNUMBER(AE142)),IFERROR(AE144/AE142,""),"")</f>
        <v/>
      </c>
      <c r="AF145" s="187">
        <f>IF(AND(ISNUMBER(AF144),ISNUMBER(AF142)),IFERROR(AF144/AF142,""),"")</f>
        <v/>
      </c>
      <c r="AG145" s="187">
        <f>IF(AND(ISNUMBER(AG144),ISNUMBER(AG142)),IFERROR(AG144/AG142,""),"")</f>
        <v/>
      </c>
      <c r="AH145" s="187">
        <f>IF(AND(ISNUMBER(AH144),ISNUMBER(AH142)),IFERROR(AH144/AH142,""),"")</f>
        <v/>
      </c>
      <c r="AI145" s="187">
        <f>IF(AND(ISNUMBER(AI144),ISNUMBER(AI142)),IFERROR(AI144/AI142,""),"")</f>
        <v/>
      </c>
      <c r="AJ145" s="187">
        <f>IF(AND(ISNUMBER(AJ144),ISNUMBER(AJ142)),IFERROR(AJ144/AJ142,""),"")</f>
        <v/>
      </c>
      <c r="AK145" s="187">
        <f>IF(AND(ISNUMBER(AK144),ISNUMBER(AK142)),IFERROR(AK144/AK142,""),"")</f>
        <v/>
      </c>
      <c r="AL145" s="187">
        <f>IF(AND(ISNUMBER(AL144),ISNUMBER(AL142)),IFERROR(AL144/AL142,""),"")</f>
        <v/>
      </c>
      <c r="AM145" s="187">
        <f>IF(AND(ISNUMBER(AM144),ISNUMBER(AM142)),IFERROR(AM144/AM142,""),"")</f>
        <v/>
      </c>
      <c r="AN145" s="187">
        <f>IF(AND(ISNUMBER(AN144),ISNUMBER(AN142)),IFERROR(AN144/AN142,""),"")</f>
        <v/>
      </c>
      <c r="AO145" s="187">
        <f>IF(AND(ISNUMBER(AO144),ISNUMBER(AO142)),IFERROR(AO144/AO142,""),"")</f>
        <v/>
      </c>
      <c r="AP145" s="187">
        <f>IF(AND(ISNUMBER(AP144),ISNUMBER(AP142)),IFERROR(AP144/AP142,""),"")</f>
        <v/>
      </c>
      <c r="AQ145" s="187">
        <f>IF(AND(ISNUMBER(AQ144),ISNUMBER(AQ142)),IFERROR(AQ144/AQ142,""),"")</f>
        <v/>
      </c>
      <c r="AR145" s="187">
        <f>IF(AND(ISNUMBER(AR144),ISNUMBER(AR142)),IFERROR(AR144/AR142,""),"")</f>
        <v/>
      </c>
      <c r="AS145" s="187">
        <f>IF(AND(ISNUMBER(AS144),ISNUMBER(AS142)),IFERROR(AS144/AS142,""),"")</f>
        <v/>
      </c>
      <c r="AT145" s="187">
        <f>IF(AND(ISNUMBER(AT144),ISNUMBER(AT142)),IFERROR(AT144/AT142,""),"")</f>
        <v/>
      </c>
      <c r="AU145" s="187">
        <f>IF(AND(ISNUMBER(AU144),ISNUMBER(AU142)),IFERROR(AU144/AU142,""),"")</f>
        <v/>
      </c>
      <c r="AV145" s="187">
        <f>IF(AND(ISNUMBER(AV144),ISNUMBER(AV142)),IFERROR(AV144/AV142,""),"")</f>
        <v/>
      </c>
      <c r="AW145" s="187">
        <f>IF(AND(ISNUMBER(AW144),ISNUMBER(AW142)),IFERROR(AW144/AW142,""),"")</f>
        <v/>
      </c>
      <c r="AX145" s="187">
        <f>IF(AND(ISNUMBER(AX144),ISNUMBER(AX142)),IFERROR(AX144/AX142,""),"")</f>
        <v/>
      </c>
      <c r="AY145" s="187">
        <f>IF(AND(ISNUMBER(AY144),ISNUMBER(AY142)),IFERROR(AY144/AY142,""),"")</f>
        <v/>
      </c>
      <c r="AZ145" s="187">
        <f>IF(AND(ISNUMBER(AZ144),ISNUMBER(AZ142)),IFERROR(AZ144/AZ142,""),"")</f>
        <v/>
      </c>
      <c r="BA145" s="187">
        <f>IF(AND(ISNUMBER(BA144),ISNUMBER(BA142)),IFERROR(BA144/BA142,""),"")</f>
        <v/>
      </c>
      <c r="BB145" s="187">
        <f>IF(AND(ISNUMBER(BB144),ISNUMBER(BB142)),IFERROR(BB144/BB142,""),"")</f>
        <v/>
      </c>
      <c r="BC145" s="187">
        <f>IF(AND(ISNUMBER(BC144),ISNUMBER(BC142)),IFERROR(BC144/BC142,""),"")</f>
        <v/>
      </c>
      <c r="BD145" s="187">
        <f>IF(AND(ISNUMBER(BD144),ISNUMBER(BD142)),IFERROR(BD144/BD142,""),"")</f>
        <v/>
      </c>
      <c r="BE145" s="187">
        <f>IF(AND(ISNUMBER(BE144),ISNUMBER(BE142)),IFERROR(BE144/BE142,""),"")</f>
        <v/>
      </c>
      <c r="BF145" s="187">
        <f>IF(AND(ISNUMBER(BF144),ISNUMBER(BF142)),IFERROR(BF144/BF142,""),"")</f>
        <v/>
      </c>
      <c r="BG145" s="187">
        <f>IF(AND(ISNUMBER(BG144),ISNUMBER(BG142)),IFERROR(BG144/BG142,""),"")</f>
        <v/>
      </c>
      <c r="BH145" s="187">
        <f>IF(AND(ISNUMBER(BH144),ISNUMBER(BH142)),IFERROR(BH144/BH142,""),"")</f>
        <v/>
      </c>
      <c r="BI145" s="187">
        <f>IF(AND(ISNUMBER(BI144),ISNUMBER(BI142)),IFERROR(BI144/BI142,""),"")</f>
        <v/>
      </c>
      <c r="BJ145" s="187">
        <f>IF(AND(ISNUMBER(BJ144),ISNUMBER(BJ142)),IFERROR(BJ144/BJ142,""),"")</f>
        <v/>
      </c>
      <c r="BK145" s="187">
        <f>IF(AND(ISNUMBER(BK144),ISNUMBER(BK142)),IFERROR(BK144/BK142,""),"")</f>
        <v/>
      </c>
      <c r="BL145" s="187">
        <f>IF(AND(ISNUMBER(BL144),ISNUMBER(BL142)),IFERROR(BL144/BL142,""),"")</f>
        <v/>
      </c>
      <c r="BM145" s="187">
        <f>IF(AND(ISNUMBER(BM144),ISNUMBER(BM142)),IFERROR(BM144/BM142,""),"")</f>
        <v/>
      </c>
      <c r="BN145" s="187">
        <f>IF(AND(ISNUMBER(BN144),ISNUMBER(BN142)),IFERROR(BN144/BN142,""),"")</f>
        <v/>
      </c>
      <c r="BO145" s="187">
        <f>IF(AND(ISNUMBER(BO144),ISNUMBER(BO142)),IFERROR(BO144/BO142,""),"")</f>
        <v/>
      </c>
      <c r="BP145" s="187">
        <f>IF(AND(ISNUMBER(BP144),ISNUMBER(BP142)),IFERROR(BP144/BP142,""),"")</f>
        <v/>
      </c>
      <c r="BQ145" s="187">
        <f>IF(AND(ISNUMBER(BQ144),ISNUMBER(BQ142)),IFERROR(BQ144/BQ142,""),"")</f>
        <v/>
      </c>
      <c r="BR145" s="187">
        <f>IF(AND(ISNUMBER(BR144),ISNUMBER(BR142)),IFERROR(BR144/BR142,""),"")</f>
        <v/>
      </c>
      <c r="BS145" s="187">
        <f>IF(AND(ISNUMBER(BS144),ISNUMBER(BS142)),IFERROR(BS144/BS142,""),"")</f>
        <v/>
      </c>
      <c r="BT145" s="187">
        <f>IF(AND(ISNUMBER(BT144),ISNUMBER(BT142)),IFERROR(BT144/BT142,""),"")</f>
        <v/>
      </c>
      <c r="BU145" s="187">
        <f>IF(AND(ISNUMBER(BU144),ISNUMBER(BU142)),IFERROR(BU144/BU142,""),"")</f>
        <v/>
      </c>
      <c r="BV145" s="187">
        <f>IF(AND(ISNUMBER(BV144),ISNUMBER(BV142)),IFERROR(BV144/BV142,""),"")</f>
        <v/>
      </c>
      <c r="BW145" s="187">
        <f>IF(AND(ISNUMBER(BW144),ISNUMBER(BW142)),IFERROR(BW144/BW142,""),"")</f>
        <v/>
      </c>
      <c r="BX145" s="187">
        <f>IF(AND(ISNUMBER(BX144),ISNUMBER(BX142)),IFERROR(BX144/BX142,""),"")</f>
        <v/>
      </c>
      <c r="BY145" s="180">
        <f>IF(AND(ISNUMBER(BY144),ISNUMBER(BY142)),IFERROR(BY144/BY142,""),"")</f>
        <v/>
      </c>
      <c r="BZ145" s="180">
        <f>IF(AND(ISNUMBER(BZ144),ISNUMBER(BZ142)),IFERROR(BZ144/BZ142,""),"")</f>
        <v/>
      </c>
      <c r="CA145" s="180">
        <f>IF(AND(ISNUMBER(CA144),ISNUMBER(CA142)),IFERROR(CA144/CA142,""),"")</f>
        <v/>
      </c>
      <c r="CB145" s="180">
        <f>IF(AND(ISNUMBER(CB144),ISNUMBER(CB142)),IFERROR(CB144/CB142,""),"")</f>
        <v/>
      </c>
      <c r="CC145" s="180">
        <f>IF(AND(ISNUMBER(CC144),ISNUMBER(CC142)),IFERROR(CC144/CC142,""),"")</f>
        <v/>
      </c>
      <c r="CD145" s="180">
        <f>IF(AND(ISNUMBER(CD144),ISNUMBER(CD142)),IFERROR(CD144/CD142,""),"")</f>
        <v/>
      </c>
      <c r="CE145" s="180">
        <f>IF(AND(ISNUMBER(CE144),ISNUMBER(CE142)),IFERROR(CE144/CE142,""),"")</f>
        <v/>
      </c>
      <c r="CF145" s="6" t="n"/>
      <c r="CH145" s="39">
        <f>IFERROR(AVERAGE(CA145,CB145,CC145,CD145,CE145),"n/m")</f>
        <v/>
      </c>
      <c r="CI145" s="39">
        <f>IFERROR(AVERAGE(BB145,BG145,BL145,BQ145,BV145),"n/m")</f>
        <v/>
      </c>
      <c r="CJ145" s="39">
        <f>IFERROR(AVERAGE(AC145,AH145,AM145,AR145,AW145,BB145,BG145,BL145,BQ145,BV145),"n/m")</f>
        <v/>
      </c>
      <c r="CK145" s="39">
        <f>IFERROR(AVERAGE(C145,D145,E145,F145,G145,H145,I145,N145,S145,X145,AC145,AH145,AM145,AR145,AW145,BB145,BG145,BL145,BQ145,BV145),"n/m")</f>
        <v/>
      </c>
    </row>
    <row r="146" ht="15" customHeight="1">
      <c r="B146" s="26" t="inlineStr">
        <is>
          <t>Selling, general &amp; administrative expenses</t>
        </is>
      </c>
      <c r="C146" s="174" t="n">
        <v>130.3</v>
      </c>
      <c r="D146" s="174" t="n">
        <v>148.4</v>
      </c>
      <c r="E146" s="174" t="n">
        <v>170.6</v>
      </c>
      <c r="F146" s="174" t="n">
        <v>161</v>
      </c>
      <c r="G146" s="174" t="n">
        <v>195.9</v>
      </c>
      <c r="H146" s="174" t="n">
        <v>247.5</v>
      </c>
      <c r="I146" s="174" t="n">
        <v>245.7</v>
      </c>
      <c r="J146" s="174" t="n">
        <v>64.3</v>
      </c>
      <c r="K146" s="174" t="n">
        <v>63.9</v>
      </c>
      <c r="L146" s="174" t="n">
        <v>63.4</v>
      </c>
      <c r="M146" s="174" t="n">
        <v>71.09999999999999</v>
      </c>
      <c r="N146" s="174" t="n">
        <v>262.7</v>
      </c>
      <c r="O146" s="174" t="n">
        <v>70.09999999999999</v>
      </c>
      <c r="P146" s="174" t="n">
        <v>73</v>
      </c>
      <c r="Q146" s="174" t="n">
        <v>88.40000000000001</v>
      </c>
      <c r="R146" s="174" t="n">
        <v>93.09999999999999</v>
      </c>
      <c r="S146" s="174" t="n">
        <v>324.5</v>
      </c>
      <c r="T146" s="174" t="n">
        <v>84.8</v>
      </c>
      <c r="U146" s="174" t="n">
        <v>89</v>
      </c>
      <c r="V146" s="174" t="n">
        <v>82.2</v>
      </c>
      <c r="W146" s="174" t="n">
        <v>91.40000000000001</v>
      </c>
      <c r="X146" s="174" t="n">
        <v>347.4</v>
      </c>
      <c r="Y146" s="174" t="n">
        <v>89.8</v>
      </c>
      <c r="Z146" s="174" t="n">
        <v>80.59999999999999</v>
      </c>
      <c r="AA146" s="174" t="n">
        <v>70.8</v>
      </c>
      <c r="AB146" s="174" t="n">
        <v>130.7</v>
      </c>
      <c r="AC146" s="174" t="n">
        <v>371.8</v>
      </c>
      <c r="AD146" s="174" t="n">
        <v>122.3</v>
      </c>
      <c r="AE146" s="174" t="n">
        <v>127.6</v>
      </c>
      <c r="AF146" s="174" t="n">
        <v>117.8</v>
      </c>
      <c r="AG146" s="174" t="n">
        <v>144.1</v>
      </c>
      <c r="AH146" s="174" t="n">
        <v>511.9</v>
      </c>
      <c r="AI146" s="174" t="n">
        <v>147.2</v>
      </c>
      <c r="AJ146" s="174" t="n">
        <v>171.2</v>
      </c>
      <c r="AK146" s="174" t="n">
        <v>146.8</v>
      </c>
      <c r="AL146" s="174" t="n">
        <v>168</v>
      </c>
      <c r="AM146" s="174" t="n">
        <v>633.2</v>
      </c>
      <c r="AN146" s="174" t="n">
        <v>259.7</v>
      </c>
      <c r="AO146" s="174" t="n">
        <v>291</v>
      </c>
      <c r="AP146" s="174" t="n">
        <v>292.2</v>
      </c>
      <c r="AQ146" s="174" t="n">
        <v>323.7</v>
      </c>
      <c r="AR146" s="174" t="n">
        <v>1166.6</v>
      </c>
      <c r="AS146" s="174" t="n">
        <v>243.4</v>
      </c>
      <c r="AT146" s="174" t="n">
        <v>216.8</v>
      </c>
      <c r="AU146" s="174" t="n">
        <v>252.7</v>
      </c>
      <c r="AV146" s="174" t="n">
        <v>235.2</v>
      </c>
      <c r="AW146" s="174" t="n">
        <v>948.1</v>
      </c>
      <c r="AX146" s="174" t="n">
        <v>235.4</v>
      </c>
      <c r="AY146" s="174" t="n">
        <v>262.1</v>
      </c>
      <c r="AZ146" s="174" t="n">
        <v>269</v>
      </c>
      <c r="BA146" s="174" t="n">
        <v>264</v>
      </c>
      <c r="BB146" s="174" t="n">
        <v>1030</v>
      </c>
      <c r="BC146" s="174" t="n">
        <v>238</v>
      </c>
      <c r="BD146" s="174" t="n">
        <v>259</v>
      </c>
      <c r="BE146" s="174" t="n">
        <v>260</v>
      </c>
      <c r="BF146" s="174" t="n">
        <v>272</v>
      </c>
      <c r="BG146" s="174" t="n">
        <v>1029</v>
      </c>
      <c r="BH146" s="174" t="n">
        <v>263</v>
      </c>
      <c r="BI146" s="174" t="n">
        <v>285</v>
      </c>
      <c r="BJ146" s="174" t="n">
        <v>295</v>
      </c>
      <c r="BK146" s="174" t="n">
        <v>296</v>
      </c>
      <c r="BL146" s="174" t="n">
        <v>1139</v>
      </c>
      <c r="BM146" s="174" t="n">
        <v>281</v>
      </c>
      <c r="BN146" s="174" t="n">
        <v>316</v>
      </c>
      <c r="BO146" s="174" t="n">
        <v>318</v>
      </c>
      <c r="BP146" s="174" t="n">
        <v>333</v>
      </c>
      <c r="BQ146" s="174" t="n">
        <v>1248</v>
      </c>
      <c r="BR146" s="174" t="n">
        <v>307</v>
      </c>
      <c r="BS146" s="174" t="n">
        <v>347</v>
      </c>
      <c r="BT146" s="174" t="n">
        <v>375</v>
      </c>
      <c r="BU146" s="174" t="n">
        <v>461</v>
      </c>
      <c r="BV146" s="174" t="n">
        <v>1490</v>
      </c>
      <c r="BW146" s="174" t="n">
        <v>401</v>
      </c>
      <c r="BX146" s="174" t="n">
        <v>400</v>
      </c>
      <c r="BY146" s="178">
        <f>BY142*BY137+BY206+BY208</f>
        <v/>
      </c>
      <c r="BZ146" s="178">
        <f>BZ142*BZ137+BZ206+BZ208</f>
        <v/>
      </c>
      <c r="CA146" s="178">
        <f>SUM(BW146,BX146,BY146,BZ146)</f>
        <v/>
      </c>
      <c r="CB146" s="178">
        <f>CB142*CB137+CB206+CB208</f>
        <v/>
      </c>
      <c r="CC146" s="178">
        <f>CC142*CC137+CC206+CC208</f>
        <v/>
      </c>
      <c r="CD146" s="178">
        <f>CD142*CD137+CD206+CD208</f>
        <v/>
      </c>
      <c r="CE146" s="178">
        <f>CE142*CE137+CE206+CE208</f>
        <v/>
      </c>
      <c r="CF146" s="20" t="inlineStr">
        <is>
          <t>Forecast = net sales × adjusted SG&amp;A % + restructuring &amp; transaction costs (booked in SG&amp;A).</t>
        </is>
      </c>
      <c r="CH146" s="21">
        <f>IFERROR((CE146/BV146)^(1/5)-1,"n/m")</f>
        <v/>
      </c>
      <c r="CI146" s="21">
        <f>IFERROR((BV146/AW146)^(1/5)-1,"n/m")</f>
        <v/>
      </c>
      <c r="CJ146" s="21">
        <f>IFERROR((BV146/X146)^(1/10)-1,"n/m")</f>
        <v/>
      </c>
      <c r="CK146" s="21">
        <f>IFERROR((BV146/C146)^(1/19)-1,"n/m")</f>
        <v/>
      </c>
    </row>
    <row r="147" ht="15" customHeight="1">
      <c r="B147" s="26" t="inlineStr">
        <is>
          <t>Engineering expenses</t>
        </is>
      </c>
      <c r="C147" s="174" t="n">
        <v>32.7</v>
      </c>
      <c r="D147" s="174" t="n">
        <v>37.4</v>
      </c>
      <c r="E147" s="174" t="n">
        <v>39</v>
      </c>
      <c r="F147" s="174" t="n">
        <v>42.4</v>
      </c>
      <c r="G147" s="174" t="n">
        <v>40.2</v>
      </c>
      <c r="H147" s="174" t="n">
        <v>37.2</v>
      </c>
      <c r="I147" s="174" t="n">
        <v>41.3</v>
      </c>
      <c r="J147" s="174" t="n">
        <v>11.3</v>
      </c>
      <c r="K147" s="174" t="n">
        <v>11.3</v>
      </c>
      <c r="L147" s="174" t="n">
        <v>10.9</v>
      </c>
      <c r="M147" s="174" t="n">
        <v>12.8</v>
      </c>
      <c r="N147" s="174" t="n">
        <v>46.3</v>
      </c>
      <c r="O147" s="174" t="n">
        <v>12.9</v>
      </c>
      <c r="P147" s="174" t="n">
        <v>14.2</v>
      </c>
      <c r="Q147" s="174" t="n">
        <v>16.4</v>
      </c>
      <c r="R147" s="174" t="n">
        <v>18.3</v>
      </c>
      <c r="S147" s="174" t="n">
        <v>61.9</v>
      </c>
      <c r="T147" s="174" t="n">
        <v>16.9</v>
      </c>
      <c r="U147" s="174" t="n">
        <v>17.8</v>
      </c>
      <c r="V147" s="174" t="n">
        <v>17.2</v>
      </c>
      <c r="W147" s="174" t="n">
        <v>19.4</v>
      </c>
      <c r="X147" s="174" t="n">
        <v>71.2</v>
      </c>
      <c r="Y147" s="174" t="n">
        <v>18</v>
      </c>
      <c r="Z147" s="174" t="n">
        <v>18</v>
      </c>
      <c r="AA147" s="174" t="n">
        <v>16.3</v>
      </c>
      <c r="AB147" s="174" t="n">
        <v>19.1</v>
      </c>
      <c r="AC147" s="174" t="n">
        <v>71.40000000000001</v>
      </c>
      <c r="AD147" s="174" t="n">
        <v>23.5</v>
      </c>
      <c r="AE147" s="174" t="n">
        <v>23.3</v>
      </c>
      <c r="AF147" s="174" t="n">
        <v>24.7</v>
      </c>
      <c r="AG147" s="174" t="n">
        <v>23.7</v>
      </c>
      <c r="AH147" s="174" t="n">
        <v>95.2</v>
      </c>
      <c r="AI147" s="174" t="n">
        <v>22</v>
      </c>
      <c r="AJ147" s="174" t="n">
        <v>19.4</v>
      </c>
      <c r="AK147" s="174" t="n">
        <v>20.1</v>
      </c>
      <c r="AL147" s="174" t="n">
        <v>25.9</v>
      </c>
      <c r="AM147" s="174" t="n">
        <v>87.5</v>
      </c>
      <c r="AN147" s="174" t="n">
        <v>34.5</v>
      </c>
      <c r="AO147" s="174" t="n">
        <v>57.1</v>
      </c>
      <c r="AP147" s="174" t="n">
        <v>58.6</v>
      </c>
      <c r="AQ147" s="174" t="n">
        <v>59.6</v>
      </c>
      <c r="AR147" s="174" t="n">
        <v>209.9</v>
      </c>
      <c r="AS147" s="174" t="n">
        <v>49</v>
      </c>
      <c r="AT147" s="174" t="n">
        <v>38.2</v>
      </c>
      <c r="AU147" s="174" t="n">
        <v>36.5</v>
      </c>
      <c r="AV147" s="174" t="n">
        <v>38.4</v>
      </c>
      <c r="AW147" s="174" t="n">
        <v>162.1</v>
      </c>
      <c r="AX147" s="174" t="n">
        <v>37.7</v>
      </c>
      <c r="AY147" s="174" t="n">
        <v>42</v>
      </c>
      <c r="AZ147" s="174" t="n">
        <v>43.8</v>
      </c>
      <c r="BA147" s="174" t="n">
        <v>52</v>
      </c>
      <c r="BB147" s="174" t="n">
        <v>176</v>
      </c>
      <c r="BC147" s="174" t="n">
        <v>45</v>
      </c>
      <c r="BD147" s="174" t="n">
        <v>50</v>
      </c>
      <c r="BE147" s="174" t="n">
        <v>54</v>
      </c>
      <c r="BF147" s="174" t="n">
        <v>60</v>
      </c>
      <c r="BG147" s="174" t="n">
        <v>209</v>
      </c>
      <c r="BH147" s="174" t="n">
        <v>51</v>
      </c>
      <c r="BI147" s="174" t="n">
        <v>53</v>
      </c>
      <c r="BJ147" s="174" t="n">
        <v>53</v>
      </c>
      <c r="BK147" s="174" t="n">
        <v>61</v>
      </c>
      <c r="BL147" s="174" t="n">
        <v>218</v>
      </c>
      <c r="BM147" s="174" t="n">
        <v>48</v>
      </c>
      <c r="BN147" s="174" t="n">
        <v>57</v>
      </c>
      <c r="BO147" s="174" t="n">
        <v>50</v>
      </c>
      <c r="BP147" s="174" t="n">
        <v>51</v>
      </c>
      <c r="BQ147" s="174" t="n">
        <v>206</v>
      </c>
      <c r="BR147" s="174" t="n">
        <v>46</v>
      </c>
      <c r="BS147" s="174" t="n">
        <v>50</v>
      </c>
      <c r="BT147" s="174" t="n">
        <v>59</v>
      </c>
      <c r="BU147" s="174" t="n">
        <v>68</v>
      </c>
      <c r="BV147" s="174" t="n">
        <v>223</v>
      </c>
      <c r="BW147" s="174" t="n">
        <v>56</v>
      </c>
      <c r="BX147" s="174" t="n">
        <v>70</v>
      </c>
      <c r="BY147" s="178">
        <f>BY142*BY138</f>
        <v/>
      </c>
      <c r="BZ147" s="178">
        <f>BZ142*BZ138</f>
        <v/>
      </c>
      <c r="CA147" s="178">
        <f>SUM(BW147,BX147,BY147,BZ147)</f>
        <v/>
      </c>
      <c r="CB147" s="178">
        <f>CB142*CB138</f>
        <v/>
      </c>
      <c r="CC147" s="178">
        <f>CC142*CC138</f>
        <v/>
      </c>
      <c r="CD147" s="178">
        <f>CD142*CD138</f>
        <v/>
      </c>
      <c r="CE147" s="178">
        <f>CE142*CE138</f>
        <v/>
      </c>
      <c r="CF147" s="20" t="n"/>
      <c r="CH147" s="21">
        <f>IFERROR((CE147/BV147)^(1/5)-1,"n/m")</f>
        <v/>
      </c>
      <c r="CI147" s="21">
        <f>IFERROR((BV147/AW147)^(1/5)-1,"n/m")</f>
        <v/>
      </c>
      <c r="CJ147" s="21">
        <f>IFERROR((BV147/X147)^(1/10)-1,"n/m")</f>
        <v/>
      </c>
      <c r="CK147" s="21">
        <f>IFERROR((BV147/C147)^(1/19)-1,"n/m")</f>
        <v/>
      </c>
    </row>
    <row r="148" ht="15" customHeight="1">
      <c r="B148" s="26" t="inlineStr">
        <is>
          <t>Amortization expense</t>
        </is>
      </c>
      <c r="C148" s="174" t="n">
        <v>4.2</v>
      </c>
      <c r="D148" s="174" t="n">
        <v>4</v>
      </c>
      <c r="E148" s="174" t="n">
        <v>5.1</v>
      </c>
      <c r="F148" s="174" t="n">
        <v>9.800000000000001</v>
      </c>
      <c r="G148" s="174" t="n">
        <v>10.2</v>
      </c>
      <c r="H148" s="174" t="n">
        <v>15</v>
      </c>
      <c r="I148" s="174" t="n">
        <v>15.3</v>
      </c>
      <c r="J148" s="174" t="n">
        <v>3.6</v>
      </c>
      <c r="K148" s="174" t="n">
        <v>5.2</v>
      </c>
      <c r="L148" s="174" t="n">
        <v>3.9</v>
      </c>
      <c r="M148" s="174" t="n">
        <v>5</v>
      </c>
      <c r="N148" s="174" t="n">
        <v>17.7</v>
      </c>
      <c r="O148" s="174" t="n">
        <v>4.7</v>
      </c>
      <c r="P148" s="174" t="n">
        <v>5.1</v>
      </c>
      <c r="Q148" s="174" t="n">
        <v>6.7</v>
      </c>
      <c r="R148" s="174" t="n">
        <v>5.9</v>
      </c>
      <c r="S148" s="174" t="n">
        <v>22.4</v>
      </c>
      <c r="T148" s="174" t="n">
        <v>5.3</v>
      </c>
      <c r="U148" s="174" t="n">
        <v>5.2</v>
      </c>
      <c r="V148" s="174" t="n">
        <v>5.5</v>
      </c>
      <c r="W148" s="174" t="n">
        <v>5.7</v>
      </c>
      <c r="X148" s="174" t="n">
        <v>21.7</v>
      </c>
      <c r="Y148" s="174" t="n">
        <v>5.3</v>
      </c>
      <c r="Z148" s="174" t="n">
        <v>5.5</v>
      </c>
      <c r="AA148" s="174" t="n">
        <v>5.3</v>
      </c>
      <c r="AB148" s="174" t="n">
        <v>6.6</v>
      </c>
      <c r="AC148" s="174" t="n">
        <v>22.7</v>
      </c>
      <c r="AD148" s="174" t="n">
        <v>9</v>
      </c>
      <c r="AE148" s="174" t="n">
        <v>9.4</v>
      </c>
      <c r="AF148" s="174" t="n">
        <v>8.6</v>
      </c>
      <c r="AG148" s="174" t="n">
        <v>9.5</v>
      </c>
      <c r="AH148" s="174" t="n">
        <v>36.5</v>
      </c>
      <c r="AI148" s="174" t="n">
        <v>10.4</v>
      </c>
      <c r="AJ148" s="174" t="n">
        <v>9.9</v>
      </c>
      <c r="AK148" s="174" t="n">
        <v>9.9</v>
      </c>
      <c r="AL148" s="174" t="n">
        <v>9.6</v>
      </c>
      <c r="AM148" s="174" t="n">
        <v>39.8</v>
      </c>
      <c r="AN148" s="174" t="n">
        <v>27.4</v>
      </c>
      <c r="AO148" s="174" t="n">
        <v>66</v>
      </c>
      <c r="AP148" s="174" t="n">
        <v>79.5</v>
      </c>
      <c r="AQ148" s="174" t="n">
        <v>65.5</v>
      </c>
      <c r="AR148" s="174" t="n">
        <v>238.4</v>
      </c>
      <c r="AS148" s="174" t="n">
        <v>69</v>
      </c>
      <c r="AT148" s="174" t="n">
        <v>72.3</v>
      </c>
      <c r="AU148" s="174" t="n">
        <v>70.3</v>
      </c>
      <c r="AV148" s="174" t="n">
        <v>70.8</v>
      </c>
      <c r="AW148" s="174" t="n">
        <v>282.4</v>
      </c>
      <c r="AX148" s="174" t="n">
        <v>69.5</v>
      </c>
      <c r="AY148" s="174" t="n">
        <v>72.7</v>
      </c>
      <c r="AZ148" s="174" t="n">
        <v>72.5</v>
      </c>
      <c r="BA148" s="174" t="n">
        <v>72</v>
      </c>
      <c r="BB148" s="174" t="n">
        <v>287</v>
      </c>
      <c r="BC148" s="174" t="n">
        <v>73</v>
      </c>
      <c r="BD148" s="174" t="n">
        <v>72</v>
      </c>
      <c r="BE148" s="174" t="n">
        <v>73</v>
      </c>
      <c r="BF148" s="174" t="n">
        <v>73</v>
      </c>
      <c r="BG148" s="174" t="n">
        <v>291</v>
      </c>
      <c r="BH148" s="174" t="n">
        <v>75</v>
      </c>
      <c r="BI148" s="174" t="n">
        <v>73</v>
      </c>
      <c r="BJ148" s="174" t="n">
        <v>74</v>
      </c>
      <c r="BK148" s="174" t="n">
        <v>99</v>
      </c>
      <c r="BL148" s="174" t="n">
        <v>321</v>
      </c>
      <c r="BM148" s="174" t="n">
        <v>74</v>
      </c>
      <c r="BN148" s="174" t="n">
        <v>71</v>
      </c>
      <c r="BO148" s="174" t="n">
        <v>79</v>
      </c>
      <c r="BP148" s="174" t="n">
        <v>79</v>
      </c>
      <c r="BQ148" s="174" t="n">
        <v>303</v>
      </c>
      <c r="BR148" s="174" t="n">
        <v>73</v>
      </c>
      <c r="BS148" s="174" t="n">
        <v>69</v>
      </c>
      <c r="BT148" s="174" t="n">
        <v>77</v>
      </c>
      <c r="BU148" s="174" t="n">
        <v>81</v>
      </c>
      <c r="BV148" s="174" t="n">
        <v>300</v>
      </c>
      <c r="BW148" s="174" t="n">
        <v>87</v>
      </c>
      <c r="BX148" s="174" t="n">
        <v>91</v>
      </c>
      <c r="BY148" s="178">
        <f>BY136+N(BY95)</f>
        <v/>
      </c>
      <c r="BZ148" s="178">
        <f>BZ136+N(BZ95)</f>
        <v/>
      </c>
      <c r="CA148" s="178">
        <f>SUM(BW148,BX148,BY148,BZ148)</f>
        <v/>
      </c>
      <c r="CB148" s="178">
        <f>CB136+N(CB95)</f>
        <v/>
      </c>
      <c r="CC148" s="178">
        <f>CC136+N(CC95)</f>
        <v/>
      </c>
      <c r="CD148" s="178">
        <f>CD136+N(CD95)</f>
        <v/>
      </c>
      <c r="CE148" s="178">
        <f>CE136+N(CE95)</f>
        <v/>
      </c>
      <c r="CF148" s="20" t="inlineStr">
        <is>
          <t>Existing-intangibles schedule + future-acquisition intangibles.</t>
        </is>
      </c>
      <c r="CH148" s="21">
        <f>IFERROR((CE148/BV148)^(1/5)-1,"n/m")</f>
        <v/>
      </c>
      <c r="CI148" s="21">
        <f>IFERROR((BV148/AW148)^(1/5)-1,"n/m")</f>
        <v/>
      </c>
      <c r="CJ148" s="21">
        <f>IFERROR((BV148/X148)^(1/10)-1,"n/m")</f>
        <v/>
      </c>
      <c r="CK148" s="21">
        <f>IFERROR((BV148/C148)^(1/19)-1,"n/m")</f>
        <v/>
      </c>
    </row>
    <row r="149" collapsed="1" ht="15" customHeight="1">
      <c r="B149" s="26" t="inlineStr">
        <is>
          <t>Other operating items (impairments / other, where presented)</t>
        </is>
      </c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  <c r="AU149" s="36" t="n"/>
      <c r="AV149" s="36" t="n"/>
      <c r="AW149" s="36" t="n"/>
      <c r="AX149" s="36" t="n"/>
      <c r="AY149" s="36" t="n"/>
      <c r="AZ149" s="36" t="n"/>
      <c r="BA149" s="36" t="n"/>
      <c r="BB149" s="36" t="n"/>
      <c r="BC149" s="36" t="n"/>
      <c r="BD149" s="36" t="n"/>
      <c r="BE149" s="36" t="n"/>
      <c r="BF149" s="36" t="n"/>
      <c r="BG149" s="36" t="n"/>
      <c r="BH149" s="36" t="n"/>
      <c r="BI149" s="36" t="n"/>
      <c r="BJ149" s="36" t="n"/>
      <c r="BK149" s="36" t="n"/>
      <c r="BL149" s="36" t="n"/>
      <c r="BM149" s="36" t="n"/>
      <c r="BN149" s="36" t="n"/>
      <c r="BO149" s="36" t="n"/>
      <c r="BP149" s="36" t="n"/>
      <c r="BQ149" s="36" t="n"/>
      <c r="BR149" s="36" t="n"/>
      <c r="BS149" s="36" t="n"/>
      <c r="BT149" s="36" t="n"/>
      <c r="BU149" s="36" t="n"/>
      <c r="BV149" s="36" t="n"/>
      <c r="BW149" s="36" t="n"/>
      <c r="BX149" s="36" t="n"/>
      <c r="BY149" s="188" t="n">
        <v>0</v>
      </c>
      <c r="BZ149" s="188" t="n">
        <v>0</v>
      </c>
      <c r="CA149" s="178">
        <f>SUM(BW149,BX149,BY149,BZ149)</f>
        <v/>
      </c>
      <c r="CB149" s="188" t="n">
        <v>0</v>
      </c>
      <c r="CC149" s="188" t="n">
        <v>0</v>
      </c>
      <c r="CD149" s="188" t="n">
        <v>0</v>
      </c>
      <c r="CE149" s="188" t="n">
        <v>0</v>
      </c>
      <c r="CF149" s="20" t="n"/>
    </row>
    <row r="150" ht="15" customHeight="1">
      <c r="B150" s="59" t="inlineStr">
        <is>
          <t>Income from operations</t>
        </is>
      </c>
      <c r="C150" s="193">
        <f>IF(ISNUMBER(C142),C144-C146-C147-C148-N(C149),"")</f>
        <v/>
      </c>
      <c r="D150" s="193">
        <f>IF(ISNUMBER(D142),D144-D146-D147-D148-N(D149),"")</f>
        <v/>
      </c>
      <c r="E150" s="193">
        <f>IF(ISNUMBER(E142),E144-E146-E147-E148-N(E149),"")</f>
        <v/>
      </c>
      <c r="F150" s="193">
        <f>IF(ISNUMBER(F142),F144-F146-F147-F148-N(F149),"")</f>
        <v/>
      </c>
      <c r="G150" s="193">
        <f>IF(ISNUMBER(G142),G144-G146-G147-G148-N(G149),"")</f>
        <v/>
      </c>
      <c r="H150" s="193">
        <f>IF(ISNUMBER(H142),H144-H146-H147-H148-N(H149),"")</f>
        <v/>
      </c>
      <c r="I150" s="193">
        <f>IF(ISNUMBER(I142),I144-I146-I147-I148-N(I149),"")</f>
        <v/>
      </c>
      <c r="J150" s="193">
        <f>IF(ISNUMBER(J142),J144-J146-J147-J148-N(J149),"")</f>
        <v/>
      </c>
      <c r="K150" s="193">
        <f>IF(ISNUMBER(K142),K144-K146-K147-K148-N(K149),"")</f>
        <v/>
      </c>
      <c r="L150" s="193">
        <f>IF(ISNUMBER(L142),L144-L146-L147-L148-N(L149),"")</f>
        <v/>
      </c>
      <c r="M150" s="193">
        <f>IF(ISNUMBER(M142),M144-M146-M147-M148-N(M149),"")</f>
        <v/>
      </c>
      <c r="N150" s="193">
        <f>IF(ISNUMBER(N142),N144-N146-N147-N148-N(N149),"")</f>
        <v/>
      </c>
      <c r="O150" s="193">
        <f>IF(ISNUMBER(O142),O144-O146-O147-O148-N(O149),"")</f>
        <v/>
      </c>
      <c r="P150" s="193">
        <f>IF(ISNUMBER(P142),P144-P146-P147-P148-N(P149),"")</f>
        <v/>
      </c>
      <c r="Q150" s="193">
        <f>IF(ISNUMBER(Q142),Q144-Q146-Q147-Q148-N(Q149),"")</f>
        <v/>
      </c>
      <c r="R150" s="193">
        <f>IF(ISNUMBER(R142),R144-R146-R147-R148-N(R149),"")</f>
        <v/>
      </c>
      <c r="S150" s="193">
        <f>IF(ISNUMBER(S142),S144-S146-S147-S148-N(S149),"")</f>
        <v/>
      </c>
      <c r="T150" s="193">
        <f>IF(ISNUMBER(T142),T144-T146-T147-T148-N(T149),"")</f>
        <v/>
      </c>
      <c r="U150" s="193">
        <f>IF(ISNUMBER(U142),U144-U146-U147-U148-N(U149),"")</f>
        <v/>
      </c>
      <c r="V150" s="193">
        <f>IF(ISNUMBER(V142),V144-V146-V147-V148-N(V149),"")</f>
        <v/>
      </c>
      <c r="W150" s="193">
        <f>IF(ISNUMBER(W142),W144-W146-W147-W148-N(W149),"")</f>
        <v/>
      </c>
      <c r="X150" s="193">
        <f>IF(ISNUMBER(X142),X144-X146-X147-X148-N(X149),"")</f>
        <v/>
      </c>
      <c r="Y150" s="193">
        <f>IF(ISNUMBER(Y142),Y144-Y146-Y147-Y148-N(Y149),"")</f>
        <v/>
      </c>
      <c r="Z150" s="193">
        <f>IF(ISNUMBER(Z142),Z144-Z146-Z147-Z148-N(Z149),"")</f>
        <v/>
      </c>
      <c r="AA150" s="193">
        <f>IF(ISNUMBER(AA142),AA144-AA146-AA147-AA148-N(AA149),"")</f>
        <v/>
      </c>
      <c r="AB150" s="193">
        <f>IF(ISNUMBER(AB142),AB144-AB146-AB147-AB148-N(AB149),"")</f>
        <v/>
      </c>
      <c r="AC150" s="193">
        <f>IF(ISNUMBER(AC142),AC144-AC146-AC147-AC148-N(AC149),"")</f>
        <v/>
      </c>
      <c r="AD150" s="193">
        <f>IF(ISNUMBER(AD142),AD144-AD146-AD147-AD148-N(AD149),"")</f>
        <v/>
      </c>
      <c r="AE150" s="193">
        <f>IF(ISNUMBER(AE142),AE144-AE146-AE147-AE148-N(AE149),"")</f>
        <v/>
      </c>
      <c r="AF150" s="193">
        <f>IF(ISNUMBER(AF142),AF144-AF146-AF147-AF148-N(AF149),"")</f>
        <v/>
      </c>
      <c r="AG150" s="193">
        <f>IF(ISNUMBER(AG142),AG144-AG146-AG147-AG148-N(AG149),"")</f>
        <v/>
      </c>
      <c r="AH150" s="193">
        <f>IF(ISNUMBER(AH142),AH144-AH146-AH147-AH148-N(AH149),"")</f>
        <v/>
      </c>
      <c r="AI150" s="193">
        <f>IF(ISNUMBER(AI142),AI144-AI146-AI147-AI148-N(AI149),"")</f>
        <v/>
      </c>
      <c r="AJ150" s="193">
        <f>IF(ISNUMBER(AJ142),AJ144-AJ146-AJ147-AJ148-N(AJ149),"")</f>
        <v/>
      </c>
      <c r="AK150" s="193">
        <f>IF(ISNUMBER(AK142),AK144-AK146-AK147-AK148-N(AK149),"")</f>
        <v/>
      </c>
      <c r="AL150" s="193">
        <f>IF(ISNUMBER(AL142),AL144-AL146-AL147-AL148-N(AL149),"")</f>
        <v/>
      </c>
      <c r="AM150" s="193">
        <f>IF(ISNUMBER(AM142),AM144-AM146-AM147-AM148-N(AM149),"")</f>
        <v/>
      </c>
      <c r="AN150" s="193">
        <f>IF(ISNUMBER(AN142),AN144-AN146-AN147-AN148-N(AN149),"")</f>
        <v/>
      </c>
      <c r="AO150" s="193">
        <f>IF(ISNUMBER(AO142),AO144-AO146-AO147-AO148-N(AO149),"")</f>
        <v/>
      </c>
      <c r="AP150" s="193">
        <f>IF(ISNUMBER(AP142),AP144-AP146-AP147-AP148-N(AP149),"")</f>
        <v/>
      </c>
      <c r="AQ150" s="193">
        <f>IF(ISNUMBER(AQ142),AQ144-AQ146-AQ147-AQ148-N(AQ149),"")</f>
        <v/>
      </c>
      <c r="AR150" s="193">
        <f>IF(ISNUMBER(AR142),AR144-AR146-AR147-AR148-N(AR149),"")</f>
        <v/>
      </c>
      <c r="AS150" s="193">
        <f>IF(ISNUMBER(AS142),AS144-AS146-AS147-AS148-N(AS149),"")</f>
        <v/>
      </c>
      <c r="AT150" s="193">
        <f>IF(ISNUMBER(AT142),AT144-AT146-AT147-AT148-N(AT149),"")</f>
        <v/>
      </c>
      <c r="AU150" s="193">
        <f>IF(ISNUMBER(AU142),AU144-AU146-AU147-AU148-N(AU149),"")</f>
        <v/>
      </c>
      <c r="AV150" s="193">
        <f>IF(ISNUMBER(AV142),AV144-AV146-AV147-AV148-N(AV149),"")</f>
        <v/>
      </c>
      <c r="AW150" s="193">
        <f>IF(ISNUMBER(AW142),AW144-AW146-AW147-AW148-N(AW149),"")</f>
        <v/>
      </c>
      <c r="AX150" s="193">
        <f>IF(ISNUMBER(AX142),AX144-AX146-AX147-AX148-N(AX149),"")</f>
        <v/>
      </c>
      <c r="AY150" s="193">
        <f>IF(ISNUMBER(AY142),AY144-AY146-AY147-AY148-N(AY149),"")</f>
        <v/>
      </c>
      <c r="AZ150" s="193">
        <f>IF(ISNUMBER(AZ142),AZ144-AZ146-AZ147-AZ148-N(AZ149),"")</f>
        <v/>
      </c>
      <c r="BA150" s="193">
        <f>IF(ISNUMBER(BA142),BA144-BA146-BA147-BA148-N(BA149),"")</f>
        <v/>
      </c>
      <c r="BB150" s="193">
        <f>IF(ISNUMBER(BB142),BB144-BB146-BB147-BB148-N(BB149),"")</f>
        <v/>
      </c>
      <c r="BC150" s="193">
        <f>IF(ISNUMBER(BC142),BC144-BC146-BC147-BC148-N(BC149),"")</f>
        <v/>
      </c>
      <c r="BD150" s="193">
        <f>IF(ISNUMBER(BD142),BD144-BD146-BD147-BD148-N(BD149),"")</f>
        <v/>
      </c>
      <c r="BE150" s="193">
        <f>IF(ISNUMBER(BE142),BE144-BE146-BE147-BE148-N(BE149),"")</f>
        <v/>
      </c>
      <c r="BF150" s="193">
        <f>IF(ISNUMBER(BF142),BF144-BF146-BF147-BF148-N(BF149),"")</f>
        <v/>
      </c>
      <c r="BG150" s="193">
        <f>IF(ISNUMBER(BG142),BG144-BG146-BG147-BG148-N(BG149),"")</f>
        <v/>
      </c>
      <c r="BH150" s="193">
        <f>IF(ISNUMBER(BH142),BH144-BH146-BH147-BH148-N(BH149),"")</f>
        <v/>
      </c>
      <c r="BI150" s="193">
        <f>IF(ISNUMBER(BI142),BI144-BI146-BI147-BI148-N(BI149),"")</f>
        <v/>
      </c>
      <c r="BJ150" s="193">
        <f>IF(ISNUMBER(BJ142),BJ144-BJ146-BJ147-BJ148-N(BJ149),"")</f>
        <v/>
      </c>
      <c r="BK150" s="193">
        <f>IF(ISNUMBER(BK142),BK144-BK146-BK147-BK148-N(BK149),"")</f>
        <v/>
      </c>
      <c r="BL150" s="193">
        <f>IF(ISNUMBER(BL142),BL144-BL146-BL147-BL148-N(BL149),"")</f>
        <v/>
      </c>
      <c r="BM150" s="193">
        <f>IF(ISNUMBER(BM142),BM144-BM146-BM147-BM148-N(BM149),"")</f>
        <v/>
      </c>
      <c r="BN150" s="193">
        <f>IF(ISNUMBER(BN142),BN144-BN146-BN147-BN148-N(BN149),"")</f>
        <v/>
      </c>
      <c r="BO150" s="193">
        <f>IF(ISNUMBER(BO142),BO144-BO146-BO147-BO148-N(BO149),"")</f>
        <v/>
      </c>
      <c r="BP150" s="193">
        <f>IF(ISNUMBER(BP142),BP144-BP146-BP147-BP148-N(BP149),"")</f>
        <v/>
      </c>
      <c r="BQ150" s="193">
        <f>IF(ISNUMBER(BQ142),BQ144-BQ146-BQ147-BQ148-N(BQ149),"")</f>
        <v/>
      </c>
      <c r="BR150" s="193">
        <f>IF(ISNUMBER(BR142),BR144-BR146-BR147-BR148-N(BR149),"")</f>
        <v/>
      </c>
      <c r="BS150" s="193">
        <f>IF(ISNUMBER(BS142),BS144-BS146-BS147-BS148-N(BS149),"")</f>
        <v/>
      </c>
      <c r="BT150" s="193">
        <f>IF(ISNUMBER(BT142),BT144-BT146-BT147-BT148-N(BT149),"")</f>
        <v/>
      </c>
      <c r="BU150" s="193">
        <f>IF(ISNUMBER(BU142),BU144-BU146-BU147-BU148-N(BU149),"")</f>
        <v/>
      </c>
      <c r="BV150" s="193">
        <f>IF(ISNUMBER(BV142),BV144-BV146-BV147-BV148-N(BV149),"")</f>
        <v/>
      </c>
      <c r="BW150" s="193">
        <f>IF(ISNUMBER(BW142),BW144-BW146-BW147-BW148-N(BW149),"")</f>
        <v/>
      </c>
      <c r="BX150" s="193">
        <f>IF(ISNUMBER(BX142),BX144-BX146-BX147-BX148-N(BX149),"")</f>
        <v/>
      </c>
      <c r="BY150" s="193">
        <f>IF(ISNUMBER(BY142),BY144-BY146-BY147-BY148-N(BY149),"")</f>
        <v/>
      </c>
      <c r="BZ150" s="193">
        <f>IF(ISNUMBER(BZ142),BZ144-BZ146-BZ147-BZ148-N(BZ149),"")</f>
        <v/>
      </c>
      <c r="CA150" s="193">
        <f>IF(ISNUMBER(CA142),CA144-CA146-CA147-CA148-N(CA149),"")</f>
        <v/>
      </c>
      <c r="CB150" s="193">
        <f>IF(ISNUMBER(CB142),CB144-CB146-CB147-CB148-N(CB149),"")</f>
        <v/>
      </c>
      <c r="CC150" s="193">
        <f>IF(ISNUMBER(CC142),CC144-CC146-CC147-CC148-N(CC149),"")</f>
        <v/>
      </c>
      <c r="CD150" s="193">
        <f>IF(ISNUMBER(CD142),CD144-CD146-CD147-CD148-N(CD149),"")</f>
        <v/>
      </c>
      <c r="CE150" s="193">
        <f>IF(ISNUMBER(CE142),CE144-CE146-CE147-CE148-N(CE149),"")</f>
        <v/>
      </c>
      <c r="CF150" s="6" t="n"/>
      <c r="CH150" s="21">
        <f>IFERROR((CE150/BV150)^(1/5)-1,"n/m")</f>
        <v/>
      </c>
      <c r="CI150" s="21">
        <f>IFERROR((BV150/AW150)^(1/5)-1,"n/m")</f>
        <v/>
      </c>
      <c r="CJ150" s="21">
        <f>IFERROR((BV150/X150)^(1/10)-1,"n/m")</f>
        <v/>
      </c>
      <c r="CK150" s="21">
        <f>IFERROR((BV150/C150)^(1/19)-1,"n/m")</f>
        <v/>
      </c>
    </row>
    <row r="151" ht="15" customHeight="1">
      <c r="B151" s="26" t="inlineStr">
        <is>
          <t xml:space="preserve">  Operating margin (GAAP) %</t>
        </is>
      </c>
      <c r="C151" s="187">
        <f>IF(AND(ISNUMBER(C150),ISNUMBER(C142)),IFERROR(C150/C142,""),"")</f>
        <v/>
      </c>
      <c r="D151" s="187">
        <f>IF(AND(ISNUMBER(D150),ISNUMBER(D142)),IFERROR(D150/D142,""),"")</f>
        <v/>
      </c>
      <c r="E151" s="187">
        <f>IF(AND(ISNUMBER(E150),ISNUMBER(E142)),IFERROR(E150/E142,""),"")</f>
        <v/>
      </c>
      <c r="F151" s="187">
        <f>IF(AND(ISNUMBER(F150),ISNUMBER(F142)),IFERROR(F150/F142,""),"")</f>
        <v/>
      </c>
      <c r="G151" s="187">
        <f>IF(AND(ISNUMBER(G150),ISNUMBER(G142)),IFERROR(G150/G142,""),"")</f>
        <v/>
      </c>
      <c r="H151" s="187">
        <f>IF(AND(ISNUMBER(H150),ISNUMBER(H142)),IFERROR(H150/H142,""),"")</f>
        <v/>
      </c>
      <c r="I151" s="187">
        <f>IF(AND(ISNUMBER(I150),ISNUMBER(I142)),IFERROR(I150/I142,""),"")</f>
        <v/>
      </c>
      <c r="J151" s="187">
        <f>IF(AND(ISNUMBER(J150),ISNUMBER(J142)),IFERROR(J150/J142,""),"")</f>
        <v/>
      </c>
      <c r="K151" s="187">
        <f>IF(AND(ISNUMBER(K150),ISNUMBER(K142)),IFERROR(K150/K142,""),"")</f>
        <v/>
      </c>
      <c r="L151" s="187">
        <f>IF(AND(ISNUMBER(L150),ISNUMBER(L142)),IFERROR(L150/L142,""),"")</f>
        <v/>
      </c>
      <c r="M151" s="187">
        <f>IF(AND(ISNUMBER(M150),ISNUMBER(M142)),IFERROR(M150/M142,""),"")</f>
        <v/>
      </c>
      <c r="N151" s="187">
        <f>IF(AND(ISNUMBER(N150),ISNUMBER(N142)),IFERROR(N150/N142,""),"")</f>
        <v/>
      </c>
      <c r="O151" s="187">
        <f>IF(AND(ISNUMBER(O150),ISNUMBER(O142)),IFERROR(O150/O142,""),"")</f>
        <v/>
      </c>
      <c r="P151" s="187">
        <f>IF(AND(ISNUMBER(P150),ISNUMBER(P142)),IFERROR(P150/P142,""),"")</f>
        <v/>
      </c>
      <c r="Q151" s="187">
        <f>IF(AND(ISNUMBER(Q150),ISNUMBER(Q142)),IFERROR(Q150/Q142,""),"")</f>
        <v/>
      </c>
      <c r="R151" s="187">
        <f>IF(AND(ISNUMBER(R150),ISNUMBER(R142)),IFERROR(R150/R142,""),"")</f>
        <v/>
      </c>
      <c r="S151" s="187">
        <f>IF(AND(ISNUMBER(S150),ISNUMBER(S142)),IFERROR(S150/S142,""),"")</f>
        <v/>
      </c>
      <c r="T151" s="187">
        <f>IF(AND(ISNUMBER(T150),ISNUMBER(T142)),IFERROR(T150/T142,""),"")</f>
        <v/>
      </c>
      <c r="U151" s="187">
        <f>IF(AND(ISNUMBER(U150),ISNUMBER(U142)),IFERROR(U150/U142,""),"")</f>
        <v/>
      </c>
      <c r="V151" s="187">
        <f>IF(AND(ISNUMBER(V150),ISNUMBER(V142)),IFERROR(V150/V142,""),"")</f>
        <v/>
      </c>
      <c r="W151" s="187">
        <f>IF(AND(ISNUMBER(W150),ISNUMBER(W142)),IFERROR(W150/W142,""),"")</f>
        <v/>
      </c>
      <c r="X151" s="187">
        <f>IF(AND(ISNUMBER(X150),ISNUMBER(X142)),IFERROR(X150/X142,""),"")</f>
        <v/>
      </c>
      <c r="Y151" s="187">
        <f>IF(AND(ISNUMBER(Y150),ISNUMBER(Y142)),IFERROR(Y150/Y142,""),"")</f>
        <v/>
      </c>
      <c r="Z151" s="187">
        <f>IF(AND(ISNUMBER(Z150),ISNUMBER(Z142)),IFERROR(Z150/Z142,""),"")</f>
        <v/>
      </c>
      <c r="AA151" s="187">
        <f>IF(AND(ISNUMBER(AA150),ISNUMBER(AA142)),IFERROR(AA150/AA142,""),"")</f>
        <v/>
      </c>
      <c r="AB151" s="187">
        <f>IF(AND(ISNUMBER(AB150),ISNUMBER(AB142)),IFERROR(AB150/AB142,""),"")</f>
        <v/>
      </c>
      <c r="AC151" s="187">
        <f>IF(AND(ISNUMBER(AC150),ISNUMBER(AC142)),IFERROR(AC150/AC142,""),"")</f>
        <v/>
      </c>
      <c r="AD151" s="187">
        <f>IF(AND(ISNUMBER(AD150),ISNUMBER(AD142)),IFERROR(AD150/AD142,""),"")</f>
        <v/>
      </c>
      <c r="AE151" s="187">
        <f>IF(AND(ISNUMBER(AE150),ISNUMBER(AE142)),IFERROR(AE150/AE142,""),"")</f>
        <v/>
      </c>
      <c r="AF151" s="187">
        <f>IF(AND(ISNUMBER(AF150),ISNUMBER(AF142)),IFERROR(AF150/AF142,""),"")</f>
        <v/>
      </c>
      <c r="AG151" s="187">
        <f>IF(AND(ISNUMBER(AG150),ISNUMBER(AG142)),IFERROR(AG150/AG142,""),"")</f>
        <v/>
      </c>
      <c r="AH151" s="187">
        <f>IF(AND(ISNUMBER(AH150),ISNUMBER(AH142)),IFERROR(AH150/AH142,""),"")</f>
        <v/>
      </c>
      <c r="AI151" s="187">
        <f>IF(AND(ISNUMBER(AI150),ISNUMBER(AI142)),IFERROR(AI150/AI142,""),"")</f>
        <v/>
      </c>
      <c r="AJ151" s="187">
        <f>IF(AND(ISNUMBER(AJ150),ISNUMBER(AJ142)),IFERROR(AJ150/AJ142,""),"")</f>
        <v/>
      </c>
      <c r="AK151" s="187">
        <f>IF(AND(ISNUMBER(AK150),ISNUMBER(AK142)),IFERROR(AK150/AK142,""),"")</f>
        <v/>
      </c>
      <c r="AL151" s="187">
        <f>IF(AND(ISNUMBER(AL150),ISNUMBER(AL142)),IFERROR(AL150/AL142,""),"")</f>
        <v/>
      </c>
      <c r="AM151" s="187">
        <f>IF(AND(ISNUMBER(AM150),ISNUMBER(AM142)),IFERROR(AM150/AM142,""),"")</f>
        <v/>
      </c>
      <c r="AN151" s="187">
        <f>IF(AND(ISNUMBER(AN150),ISNUMBER(AN142)),IFERROR(AN150/AN142,""),"")</f>
        <v/>
      </c>
      <c r="AO151" s="187">
        <f>IF(AND(ISNUMBER(AO150),ISNUMBER(AO142)),IFERROR(AO150/AO142,""),"")</f>
        <v/>
      </c>
      <c r="AP151" s="187">
        <f>IF(AND(ISNUMBER(AP150),ISNUMBER(AP142)),IFERROR(AP150/AP142,""),"")</f>
        <v/>
      </c>
      <c r="AQ151" s="187">
        <f>IF(AND(ISNUMBER(AQ150),ISNUMBER(AQ142)),IFERROR(AQ150/AQ142,""),"")</f>
        <v/>
      </c>
      <c r="AR151" s="187">
        <f>IF(AND(ISNUMBER(AR150),ISNUMBER(AR142)),IFERROR(AR150/AR142,""),"")</f>
        <v/>
      </c>
      <c r="AS151" s="187">
        <f>IF(AND(ISNUMBER(AS150),ISNUMBER(AS142)),IFERROR(AS150/AS142,""),"")</f>
        <v/>
      </c>
      <c r="AT151" s="187">
        <f>IF(AND(ISNUMBER(AT150),ISNUMBER(AT142)),IFERROR(AT150/AT142,""),"")</f>
        <v/>
      </c>
      <c r="AU151" s="187">
        <f>IF(AND(ISNUMBER(AU150),ISNUMBER(AU142)),IFERROR(AU150/AU142,""),"")</f>
        <v/>
      </c>
      <c r="AV151" s="187">
        <f>IF(AND(ISNUMBER(AV150),ISNUMBER(AV142)),IFERROR(AV150/AV142,""),"")</f>
        <v/>
      </c>
      <c r="AW151" s="187">
        <f>IF(AND(ISNUMBER(AW150),ISNUMBER(AW142)),IFERROR(AW150/AW142,""),"")</f>
        <v/>
      </c>
      <c r="AX151" s="187">
        <f>IF(AND(ISNUMBER(AX150),ISNUMBER(AX142)),IFERROR(AX150/AX142,""),"")</f>
        <v/>
      </c>
      <c r="AY151" s="187">
        <f>IF(AND(ISNUMBER(AY150),ISNUMBER(AY142)),IFERROR(AY150/AY142,""),"")</f>
        <v/>
      </c>
      <c r="AZ151" s="187">
        <f>IF(AND(ISNUMBER(AZ150),ISNUMBER(AZ142)),IFERROR(AZ150/AZ142,""),"")</f>
        <v/>
      </c>
      <c r="BA151" s="187">
        <f>IF(AND(ISNUMBER(BA150),ISNUMBER(BA142)),IFERROR(BA150/BA142,""),"")</f>
        <v/>
      </c>
      <c r="BB151" s="187">
        <f>IF(AND(ISNUMBER(BB150),ISNUMBER(BB142)),IFERROR(BB150/BB142,""),"")</f>
        <v/>
      </c>
      <c r="BC151" s="187">
        <f>IF(AND(ISNUMBER(BC150),ISNUMBER(BC142)),IFERROR(BC150/BC142,""),"")</f>
        <v/>
      </c>
      <c r="BD151" s="187">
        <f>IF(AND(ISNUMBER(BD150),ISNUMBER(BD142)),IFERROR(BD150/BD142,""),"")</f>
        <v/>
      </c>
      <c r="BE151" s="187">
        <f>IF(AND(ISNUMBER(BE150),ISNUMBER(BE142)),IFERROR(BE150/BE142,""),"")</f>
        <v/>
      </c>
      <c r="BF151" s="187">
        <f>IF(AND(ISNUMBER(BF150),ISNUMBER(BF142)),IFERROR(BF150/BF142,""),"")</f>
        <v/>
      </c>
      <c r="BG151" s="187">
        <f>IF(AND(ISNUMBER(BG150),ISNUMBER(BG142)),IFERROR(BG150/BG142,""),"")</f>
        <v/>
      </c>
      <c r="BH151" s="187">
        <f>IF(AND(ISNUMBER(BH150),ISNUMBER(BH142)),IFERROR(BH150/BH142,""),"")</f>
        <v/>
      </c>
      <c r="BI151" s="187">
        <f>IF(AND(ISNUMBER(BI150),ISNUMBER(BI142)),IFERROR(BI150/BI142,""),"")</f>
        <v/>
      </c>
      <c r="BJ151" s="187">
        <f>IF(AND(ISNUMBER(BJ150),ISNUMBER(BJ142)),IFERROR(BJ150/BJ142,""),"")</f>
        <v/>
      </c>
      <c r="BK151" s="187">
        <f>IF(AND(ISNUMBER(BK150),ISNUMBER(BK142)),IFERROR(BK150/BK142,""),"")</f>
        <v/>
      </c>
      <c r="BL151" s="187">
        <f>IF(AND(ISNUMBER(BL150),ISNUMBER(BL142)),IFERROR(BL150/BL142,""),"")</f>
        <v/>
      </c>
      <c r="BM151" s="187">
        <f>IF(AND(ISNUMBER(BM150),ISNUMBER(BM142)),IFERROR(BM150/BM142,""),"")</f>
        <v/>
      </c>
      <c r="BN151" s="187">
        <f>IF(AND(ISNUMBER(BN150),ISNUMBER(BN142)),IFERROR(BN150/BN142,""),"")</f>
        <v/>
      </c>
      <c r="BO151" s="187">
        <f>IF(AND(ISNUMBER(BO150),ISNUMBER(BO142)),IFERROR(BO150/BO142,""),"")</f>
        <v/>
      </c>
      <c r="BP151" s="187">
        <f>IF(AND(ISNUMBER(BP150),ISNUMBER(BP142)),IFERROR(BP150/BP142,""),"")</f>
        <v/>
      </c>
      <c r="BQ151" s="187">
        <f>IF(AND(ISNUMBER(BQ150),ISNUMBER(BQ142)),IFERROR(BQ150/BQ142,""),"")</f>
        <v/>
      </c>
      <c r="BR151" s="187">
        <f>IF(AND(ISNUMBER(BR150),ISNUMBER(BR142)),IFERROR(BR150/BR142,""),"")</f>
        <v/>
      </c>
      <c r="BS151" s="187">
        <f>IF(AND(ISNUMBER(BS150),ISNUMBER(BS142)),IFERROR(BS150/BS142,""),"")</f>
        <v/>
      </c>
      <c r="BT151" s="187">
        <f>IF(AND(ISNUMBER(BT150),ISNUMBER(BT142)),IFERROR(BT150/BT142,""),"")</f>
        <v/>
      </c>
      <c r="BU151" s="187">
        <f>IF(AND(ISNUMBER(BU150),ISNUMBER(BU142)),IFERROR(BU150/BU142,""),"")</f>
        <v/>
      </c>
      <c r="BV151" s="187">
        <f>IF(AND(ISNUMBER(BV150),ISNUMBER(BV142)),IFERROR(BV150/BV142,""),"")</f>
        <v/>
      </c>
      <c r="BW151" s="187">
        <f>IF(AND(ISNUMBER(BW150),ISNUMBER(BW142)),IFERROR(BW150/BW142,""),"")</f>
        <v/>
      </c>
      <c r="BX151" s="187">
        <f>IF(AND(ISNUMBER(BX150),ISNUMBER(BX142)),IFERROR(BX150/BX142,""),"")</f>
        <v/>
      </c>
      <c r="BY151" s="180">
        <f>IF(AND(ISNUMBER(BY150),ISNUMBER(BY142)),IFERROR(BY150/BY142,""),"")</f>
        <v/>
      </c>
      <c r="BZ151" s="180">
        <f>IF(AND(ISNUMBER(BZ150),ISNUMBER(BZ142)),IFERROR(BZ150/BZ142,""),"")</f>
        <v/>
      </c>
      <c r="CA151" s="180">
        <f>IF(AND(ISNUMBER(CA150),ISNUMBER(CA142)),IFERROR(CA150/CA142,""),"")</f>
        <v/>
      </c>
      <c r="CB151" s="180">
        <f>IF(AND(ISNUMBER(CB150),ISNUMBER(CB142)),IFERROR(CB150/CB142,""),"")</f>
        <v/>
      </c>
      <c r="CC151" s="180">
        <f>IF(AND(ISNUMBER(CC150),ISNUMBER(CC142)),IFERROR(CC150/CC142,""),"")</f>
        <v/>
      </c>
      <c r="CD151" s="180">
        <f>IF(AND(ISNUMBER(CD150),ISNUMBER(CD142)),IFERROR(CD150/CD142,""),"")</f>
        <v/>
      </c>
      <c r="CE151" s="180">
        <f>IF(AND(ISNUMBER(CE150),ISNUMBER(CE142)),IFERROR(CE150/CE142,""),"")</f>
        <v/>
      </c>
      <c r="CF151" s="6" t="n"/>
      <c r="CH151" s="39">
        <f>IFERROR(AVERAGE(CA151,CB151,CC151,CD151,CE151),"n/m")</f>
        <v/>
      </c>
      <c r="CI151" s="39">
        <f>IFERROR(AVERAGE(BB151,BG151,BL151,BQ151,BV151),"n/m")</f>
        <v/>
      </c>
      <c r="CJ151" s="39">
        <f>IFERROR(AVERAGE(AC151,AH151,AM151,AR151,AW151,BB151,BG151,BL151,BQ151,BV151),"n/m")</f>
        <v/>
      </c>
      <c r="CK151" s="39">
        <f>IFERROR(AVERAGE(C151,D151,E151,F151,G151,H151,I151,N151,S151,X151,AC151,AH151,AM151,AR151,AW151,BB151,BG151,BL151,BQ151,BV151),"n/m")</f>
        <v/>
      </c>
    </row>
    <row r="152" ht="15" customHeight="1">
      <c r="B152" s="26" t="inlineStr">
        <is>
          <t>Interest expense, net</t>
        </is>
      </c>
      <c r="C152" s="174" t="n">
        <v>1.6</v>
      </c>
      <c r="D152" s="174" t="n">
        <v>3.6</v>
      </c>
      <c r="E152" s="174" t="n">
        <v>8.5</v>
      </c>
      <c r="F152" s="174" t="n">
        <v>16.7</v>
      </c>
      <c r="G152" s="174" t="n">
        <v>15.9</v>
      </c>
      <c r="H152" s="174" t="n">
        <v>15</v>
      </c>
      <c r="I152" s="174" t="n">
        <v>14.3</v>
      </c>
      <c r="J152" s="174" t="n">
        <v>3.6</v>
      </c>
      <c r="K152" s="174" t="n">
        <v>3.3</v>
      </c>
      <c r="L152" s="174" t="n">
        <v>3.8</v>
      </c>
      <c r="M152" s="174" t="n">
        <v>4.6</v>
      </c>
      <c r="N152" s="174" t="n">
        <v>15.3</v>
      </c>
      <c r="O152" s="174" t="n">
        <v>4.5</v>
      </c>
      <c r="P152" s="174" t="n">
        <v>4.5</v>
      </c>
      <c r="Q152" s="174" t="n">
        <v>4.6</v>
      </c>
      <c r="R152" s="174" t="n">
        <v>4</v>
      </c>
      <c r="S152" s="174" t="n">
        <v>17.6</v>
      </c>
      <c r="T152" s="174" t="n">
        <v>4.3</v>
      </c>
      <c r="U152" s="174" t="n">
        <v>4</v>
      </c>
      <c r="V152" s="174" t="n">
        <v>4.4</v>
      </c>
      <c r="W152" s="174" t="n">
        <v>4.2</v>
      </c>
      <c r="X152" s="174" t="n">
        <v>16.9</v>
      </c>
      <c r="Y152" s="174" t="n">
        <v>4.9</v>
      </c>
      <c r="Z152" s="174" t="n">
        <v>5</v>
      </c>
      <c r="AA152" s="174" t="n">
        <v>6.1</v>
      </c>
      <c r="AB152" s="174" t="n">
        <v>26.7</v>
      </c>
      <c r="AC152" s="174" t="n">
        <v>42.6</v>
      </c>
      <c r="AD152" s="174" t="n">
        <v>17.7</v>
      </c>
      <c r="AE152" s="174" t="n">
        <v>15.4</v>
      </c>
      <c r="AF152" s="174" t="n">
        <v>17.9</v>
      </c>
      <c r="AG152" s="174" t="n">
        <v>17.7</v>
      </c>
      <c r="AH152" s="174" t="n">
        <v>68.7</v>
      </c>
      <c r="AI152" s="174" t="n">
        <v>20.3</v>
      </c>
      <c r="AJ152" s="174" t="n">
        <v>31.9</v>
      </c>
      <c r="AK152" s="174" t="n">
        <v>23.7</v>
      </c>
      <c r="AL152" s="174" t="n">
        <v>36.3</v>
      </c>
      <c r="AM152" s="174" t="n">
        <v>112.2</v>
      </c>
      <c r="AN152" s="174" t="n">
        <v>44.6</v>
      </c>
      <c r="AO152" s="174" t="n">
        <v>58.6</v>
      </c>
      <c r="AP152" s="174" t="n">
        <v>57.7</v>
      </c>
      <c r="AQ152" s="174" t="n">
        <v>58.3</v>
      </c>
      <c r="AR152" s="174" t="n">
        <v>219.1</v>
      </c>
      <c r="AS152" s="174" t="n">
        <v>53.3</v>
      </c>
      <c r="AT152" s="174" t="n">
        <v>51.4</v>
      </c>
      <c r="AU152" s="174" t="n">
        <v>45.6</v>
      </c>
      <c r="AV152" s="174" t="n">
        <v>48.6</v>
      </c>
      <c r="AW152" s="174" t="n">
        <v>198.9</v>
      </c>
      <c r="AX152" s="174" t="n">
        <v>47.6</v>
      </c>
      <c r="AY152" s="174" t="n">
        <v>44.9</v>
      </c>
      <c r="AZ152" s="174" t="n">
        <v>42.2</v>
      </c>
      <c r="BA152" s="174" t="n">
        <v>42</v>
      </c>
      <c r="BB152" s="174" t="n">
        <v>177</v>
      </c>
      <c r="BC152" s="174" t="n">
        <v>43</v>
      </c>
      <c r="BD152" s="174" t="n">
        <v>44</v>
      </c>
      <c r="BE152" s="174" t="n">
        <v>48</v>
      </c>
      <c r="BF152" s="174" t="n">
        <v>51</v>
      </c>
      <c r="BG152" s="174" t="n">
        <v>186</v>
      </c>
      <c r="BH152" s="174" t="n">
        <v>48</v>
      </c>
      <c r="BI152" s="174" t="n">
        <v>55</v>
      </c>
      <c r="BJ152" s="174" t="n">
        <v>60</v>
      </c>
      <c r="BK152" s="174" t="n">
        <v>55</v>
      </c>
      <c r="BL152" s="174" t="n">
        <v>218</v>
      </c>
      <c r="BM152" s="174" t="n">
        <v>47</v>
      </c>
      <c r="BN152" s="174" t="n">
        <v>49</v>
      </c>
      <c r="BO152" s="174" t="n">
        <v>52</v>
      </c>
      <c r="BP152" s="174" t="n">
        <v>53</v>
      </c>
      <c r="BQ152" s="174" t="n">
        <v>201</v>
      </c>
      <c r="BR152" s="174" t="n">
        <v>46</v>
      </c>
      <c r="BS152" s="174" t="n">
        <v>46</v>
      </c>
      <c r="BT152" s="174" t="n">
        <v>65</v>
      </c>
      <c r="BU152" s="174" t="n">
        <v>68</v>
      </c>
      <c r="BV152" s="174" t="n">
        <v>225</v>
      </c>
      <c r="BW152" s="174" t="n">
        <v>71</v>
      </c>
      <c r="BX152" s="174" t="n">
        <v>80</v>
      </c>
      <c r="BY152" s="178">
        <f>($CP$16-(BW152+BX152))/2</f>
        <v/>
      </c>
      <c r="BZ152" s="178">
        <f>($CP$16-(BW152+BX152))/2</f>
        <v/>
      </c>
      <c r="CA152" s="178">
        <f>SUM(BW152,BX152,BY152,BZ152)</f>
        <v/>
      </c>
      <c r="CB152" s="178">
        <f>CA384*CB389+CA387*CB390-CA281*CB391</f>
        <v/>
      </c>
      <c r="CC152" s="178">
        <f>CB384*CC389+CB387*CC390-CB281*CC391</f>
        <v/>
      </c>
      <c r="CD152" s="178">
        <f>CC384*CD389+CC387*CD390-CC281*CD391</f>
        <v/>
      </c>
      <c r="CE152" s="178">
        <f>CD384*CE389+CD387*CE390-CD281*CE391</f>
        <v/>
      </c>
      <c r="CF152" s="20" t="inlineStr">
        <is>
          <t>Q3/Q4-26E: FY26 interest point estimate less 1H/26, split evenly. 2027E+ = rate × opening notes + rate × opening facilities − yield × opening cash (no circularity).</t>
        </is>
      </c>
    </row>
    <row r="153" ht="15" customHeight="1">
      <c r="B153" s="26" t="inlineStr">
        <is>
          <t>Other income (expense), net</t>
        </is>
      </c>
      <c r="C153" s="174" t="n">
        <v>-1.4</v>
      </c>
      <c r="D153" s="174" t="n">
        <v>-3.6</v>
      </c>
      <c r="E153" s="174" t="n">
        <v>0.3</v>
      </c>
      <c r="F153" s="174" t="n">
        <v>0</v>
      </c>
      <c r="G153" s="174" t="n">
        <v>-0.1</v>
      </c>
      <c r="H153" s="174" t="n">
        <v>-0.4</v>
      </c>
      <c r="I153" s="174" t="n">
        <v>-0.7</v>
      </c>
      <c r="J153" s="174" t="n">
        <v>-0.6</v>
      </c>
      <c r="K153" s="174" t="n">
        <v>0.4</v>
      </c>
      <c r="L153" s="174" t="n">
        <v>-1.7</v>
      </c>
      <c r="M153" s="174" t="n">
        <v>1</v>
      </c>
      <c r="N153" s="174" t="n">
        <v>-0.9</v>
      </c>
      <c r="O153" s="174" t="n">
        <v>0</v>
      </c>
      <c r="P153" s="174" t="n">
        <v>0.2</v>
      </c>
      <c r="Q153" s="174" t="n">
        <v>-0.2</v>
      </c>
      <c r="R153" s="174" t="n">
        <v>-1.8</v>
      </c>
      <c r="S153" s="174" t="n">
        <v>-1.7</v>
      </c>
      <c r="T153" s="174" t="n">
        <v>-2.9</v>
      </c>
      <c r="U153" s="174" t="n">
        <v>-1.9</v>
      </c>
      <c r="V153" s="174" t="n">
        <v>-2.9</v>
      </c>
      <c r="W153" s="174" t="n">
        <v>2.4</v>
      </c>
      <c r="X153" s="174" t="n">
        <v>-5.3</v>
      </c>
      <c r="Y153" s="174" t="n">
        <v>0.2</v>
      </c>
      <c r="Z153" s="174" t="n">
        <v>-1.2</v>
      </c>
      <c r="AA153" s="174" t="n">
        <v>1.2</v>
      </c>
      <c r="AB153" s="174" t="n">
        <v>-3.1</v>
      </c>
      <c r="AC153" s="174" t="n">
        <v>-3</v>
      </c>
      <c r="AD153" s="174" t="n">
        <v>2.3</v>
      </c>
      <c r="AE153" s="174" t="n">
        <v>-1.6</v>
      </c>
      <c r="AF153" s="174" t="n">
        <v>-2.9</v>
      </c>
      <c r="AG153" s="174" t="n">
        <v>1.2</v>
      </c>
      <c r="AH153" s="174" t="n">
        <v>-1</v>
      </c>
      <c r="AI153" s="174" t="n">
        <v>2.6</v>
      </c>
      <c r="AJ153" s="174" t="n">
        <v>2.2</v>
      </c>
      <c r="AK153" s="174" t="n">
        <v>1.2</v>
      </c>
      <c r="AL153" s="174" t="n">
        <v>0.4</v>
      </c>
      <c r="AM153" s="174" t="n">
        <v>6.4</v>
      </c>
      <c r="AN153" s="174" t="n">
        <v>-8.199999999999999</v>
      </c>
      <c r="AO153" s="174" t="n">
        <v>2.2</v>
      </c>
      <c r="AP153" s="174" t="n">
        <v>1.9</v>
      </c>
      <c r="AQ153" s="174" t="n">
        <v>6.9</v>
      </c>
      <c r="AR153" s="174" t="n">
        <v>2.8</v>
      </c>
      <c r="AS153" s="174" t="n">
        <v>-14.8</v>
      </c>
      <c r="AT153" s="174" t="n">
        <v>6.3</v>
      </c>
      <c r="AU153" s="174" t="n">
        <v>14.3</v>
      </c>
      <c r="AV153" s="174" t="n">
        <v>5.8</v>
      </c>
      <c r="AW153" s="174" t="n">
        <v>11.6</v>
      </c>
      <c r="AX153" s="174" t="n">
        <v>14.2</v>
      </c>
      <c r="AY153" s="174" t="n">
        <v>10.3</v>
      </c>
      <c r="AZ153" s="174" t="n">
        <v>0.5</v>
      </c>
      <c r="BA153" s="174" t="n">
        <v>13</v>
      </c>
      <c r="BB153" s="174" t="n">
        <v>38</v>
      </c>
      <c r="BC153" s="174" t="n">
        <v>4</v>
      </c>
      <c r="BD153" s="174" t="n">
        <v>7</v>
      </c>
      <c r="BE153" s="174" t="n">
        <v>4</v>
      </c>
      <c r="BF153" s="174" t="n">
        <v>14</v>
      </c>
      <c r="BG153" s="174" t="n">
        <v>29</v>
      </c>
      <c r="BH153" s="174" t="n">
        <v>5</v>
      </c>
      <c r="BI153" s="174" t="n">
        <v>2</v>
      </c>
      <c r="BJ153" s="174" t="n">
        <v>10</v>
      </c>
      <c r="BK153" s="174" t="n">
        <v>27</v>
      </c>
      <c r="BL153" s="174" t="n">
        <v>44</v>
      </c>
      <c r="BM153" s="174" t="n">
        <v>-2</v>
      </c>
      <c r="BN153" s="174" t="n">
        <v>4</v>
      </c>
      <c r="BO153" s="174" t="n">
        <v>-3</v>
      </c>
      <c r="BP153" s="174" t="n">
        <v>3</v>
      </c>
      <c r="BQ153" s="174" t="n">
        <v>2</v>
      </c>
      <c r="BR153" s="174" t="n">
        <v>-2</v>
      </c>
      <c r="BS153" s="174" t="n">
        <v>24</v>
      </c>
      <c r="BT153" s="174" t="n">
        <v>-1</v>
      </c>
      <c r="BU153" s="174" t="n">
        <v>3</v>
      </c>
      <c r="BV153" s="174" t="n">
        <v>24</v>
      </c>
      <c r="BW153" s="174" t="n">
        <v>23</v>
      </c>
      <c r="BX153" s="174" t="n">
        <v>-2</v>
      </c>
      <c r="BY153" s="178">
        <f>($CP$17-(BW153+BX153))/2</f>
        <v/>
      </c>
      <c r="BZ153" s="178">
        <f>($CP$17-(BW153+BX153))/2</f>
        <v/>
      </c>
      <c r="CA153" s="178">
        <f>SUM(BW153,BX153,BY153,BZ153)</f>
        <v/>
      </c>
      <c r="CB153" s="188" t="n">
        <v>10</v>
      </c>
      <c r="CC153" s="188" t="n">
        <v>10</v>
      </c>
      <c r="CD153" s="188" t="n">
        <v>10</v>
      </c>
      <c r="CE153" s="188" t="n">
        <v>10</v>
      </c>
      <c r="CF153" s="20" t="inlineStr">
        <is>
          <t>FX, pension non-service income, equity income. Q3/Q4-26E: FY26 point estimate less 1H/26; 2027E+ input.</t>
        </is>
      </c>
    </row>
    <row r="154" ht="15" customHeight="1">
      <c r="B154" s="17" t="inlineStr">
        <is>
          <t>Income before income taxes</t>
        </is>
      </c>
      <c r="C154" s="198">
        <f>IF(ISNUMBER(C150),C150-C152+C153,"")</f>
        <v/>
      </c>
      <c r="D154" s="198">
        <f>IF(ISNUMBER(D150),D150-D152+D153,"")</f>
        <v/>
      </c>
      <c r="E154" s="198">
        <f>IF(ISNUMBER(E150),E150-E152+E153,"")</f>
        <v/>
      </c>
      <c r="F154" s="198">
        <f>IF(ISNUMBER(F150),F150-F152+F153,"")</f>
        <v/>
      </c>
      <c r="G154" s="198">
        <f>IF(ISNUMBER(G150),G150-G152+G153,"")</f>
        <v/>
      </c>
      <c r="H154" s="198">
        <f>IF(ISNUMBER(H150),H150-H152+H153,"")</f>
        <v/>
      </c>
      <c r="I154" s="198">
        <f>IF(ISNUMBER(I150),I150-I152+I153,"")</f>
        <v/>
      </c>
      <c r="J154" s="198">
        <f>IF(ISNUMBER(J150),J150-J152+J153,"")</f>
        <v/>
      </c>
      <c r="K154" s="198">
        <f>IF(ISNUMBER(K150),K150-K152+K153,"")</f>
        <v/>
      </c>
      <c r="L154" s="198">
        <f>IF(ISNUMBER(L150),L150-L152+L153,"")</f>
        <v/>
      </c>
      <c r="M154" s="198">
        <f>IF(ISNUMBER(M150),M150-M152+M153,"")</f>
        <v/>
      </c>
      <c r="N154" s="198">
        <f>IF(ISNUMBER(N150),N150-N152+N153,"")</f>
        <v/>
      </c>
      <c r="O154" s="198">
        <f>IF(ISNUMBER(O150),O150-O152+O153,"")</f>
        <v/>
      </c>
      <c r="P154" s="198">
        <f>IF(ISNUMBER(P150),P150-P152+P153,"")</f>
        <v/>
      </c>
      <c r="Q154" s="198">
        <f>IF(ISNUMBER(Q150),Q150-Q152+Q153,"")</f>
        <v/>
      </c>
      <c r="R154" s="198">
        <f>IF(ISNUMBER(R150),R150-R152+R153,"")</f>
        <v/>
      </c>
      <c r="S154" s="198">
        <f>IF(ISNUMBER(S150),S150-S152+S153,"")</f>
        <v/>
      </c>
      <c r="T154" s="198">
        <f>IF(ISNUMBER(T150),T150-T152+T153,"")</f>
        <v/>
      </c>
      <c r="U154" s="198">
        <f>IF(ISNUMBER(U150),U150-U152+U153,"")</f>
        <v/>
      </c>
      <c r="V154" s="198">
        <f>IF(ISNUMBER(V150),V150-V152+V153,"")</f>
        <v/>
      </c>
      <c r="W154" s="198">
        <f>IF(ISNUMBER(W150),W150-W152+W153,"")</f>
        <v/>
      </c>
      <c r="X154" s="198">
        <f>IF(ISNUMBER(X150),X150-X152+X153,"")</f>
        <v/>
      </c>
      <c r="Y154" s="198">
        <f>IF(ISNUMBER(Y150),Y150-Y152+Y153,"")</f>
        <v/>
      </c>
      <c r="Z154" s="198">
        <f>IF(ISNUMBER(Z150),Z150-Z152+Z153,"")</f>
        <v/>
      </c>
      <c r="AA154" s="198">
        <f>IF(ISNUMBER(AA150),AA150-AA152+AA153,"")</f>
        <v/>
      </c>
      <c r="AB154" s="198">
        <f>IF(ISNUMBER(AB150),AB150-AB152+AB153,"")</f>
        <v/>
      </c>
      <c r="AC154" s="198">
        <f>IF(ISNUMBER(AC150),AC150-AC152+AC153,"")</f>
        <v/>
      </c>
      <c r="AD154" s="198">
        <f>IF(ISNUMBER(AD150),AD150-AD152+AD153,"")</f>
        <v/>
      </c>
      <c r="AE154" s="198">
        <f>IF(ISNUMBER(AE150),AE150-AE152+AE153,"")</f>
        <v/>
      </c>
      <c r="AF154" s="198">
        <f>IF(ISNUMBER(AF150),AF150-AF152+AF153,"")</f>
        <v/>
      </c>
      <c r="AG154" s="198">
        <f>IF(ISNUMBER(AG150),AG150-AG152+AG153,"")</f>
        <v/>
      </c>
      <c r="AH154" s="198">
        <f>IF(ISNUMBER(AH150),AH150-AH152+AH153,"")</f>
        <v/>
      </c>
      <c r="AI154" s="198">
        <f>IF(ISNUMBER(AI150),AI150-AI152+AI153,"")</f>
        <v/>
      </c>
      <c r="AJ154" s="198">
        <f>IF(ISNUMBER(AJ150),AJ150-AJ152+AJ153,"")</f>
        <v/>
      </c>
      <c r="AK154" s="198">
        <f>IF(ISNUMBER(AK150),AK150-AK152+AK153,"")</f>
        <v/>
      </c>
      <c r="AL154" s="198">
        <f>IF(ISNUMBER(AL150),AL150-AL152+AL153,"")</f>
        <v/>
      </c>
      <c r="AM154" s="198">
        <f>IF(ISNUMBER(AM150),AM150-AM152+AM153,"")</f>
        <v/>
      </c>
      <c r="AN154" s="198">
        <f>IF(ISNUMBER(AN150),AN150-AN152+AN153,"")</f>
        <v/>
      </c>
      <c r="AO154" s="198">
        <f>IF(ISNUMBER(AO150),AO150-AO152+AO153,"")</f>
        <v/>
      </c>
      <c r="AP154" s="198">
        <f>IF(ISNUMBER(AP150),AP150-AP152+AP153,"")</f>
        <v/>
      </c>
      <c r="AQ154" s="198">
        <f>IF(ISNUMBER(AQ150),AQ150-AQ152+AQ153,"")</f>
        <v/>
      </c>
      <c r="AR154" s="198">
        <f>IF(ISNUMBER(AR150),AR150-AR152+AR153,"")</f>
        <v/>
      </c>
      <c r="AS154" s="198">
        <f>IF(ISNUMBER(AS150),AS150-AS152+AS153,"")</f>
        <v/>
      </c>
      <c r="AT154" s="198">
        <f>IF(ISNUMBER(AT150),AT150-AT152+AT153,"")</f>
        <v/>
      </c>
      <c r="AU154" s="198">
        <f>IF(ISNUMBER(AU150),AU150-AU152+AU153,"")</f>
        <v/>
      </c>
      <c r="AV154" s="198">
        <f>IF(ISNUMBER(AV150),AV150-AV152+AV153,"")</f>
        <v/>
      </c>
      <c r="AW154" s="198">
        <f>IF(ISNUMBER(AW150),AW150-AW152+AW153,"")</f>
        <v/>
      </c>
      <c r="AX154" s="198">
        <f>IF(ISNUMBER(AX150),AX150-AX152+AX153,"")</f>
        <v/>
      </c>
      <c r="AY154" s="198">
        <f>IF(ISNUMBER(AY150),AY150-AY152+AY153,"")</f>
        <v/>
      </c>
      <c r="AZ154" s="198">
        <f>IF(ISNUMBER(AZ150),AZ150-AZ152+AZ153,"")</f>
        <v/>
      </c>
      <c r="BA154" s="198">
        <f>IF(ISNUMBER(BA150),BA150-BA152+BA153,"")</f>
        <v/>
      </c>
      <c r="BB154" s="198">
        <f>IF(ISNUMBER(BB150),BB150-BB152+BB153,"")</f>
        <v/>
      </c>
      <c r="BC154" s="198">
        <f>IF(ISNUMBER(BC150),BC150-BC152+BC153,"")</f>
        <v/>
      </c>
      <c r="BD154" s="198">
        <f>IF(ISNUMBER(BD150),BD150-BD152+BD153,"")</f>
        <v/>
      </c>
      <c r="BE154" s="198">
        <f>IF(ISNUMBER(BE150),BE150-BE152+BE153,"")</f>
        <v/>
      </c>
      <c r="BF154" s="198">
        <f>IF(ISNUMBER(BF150),BF150-BF152+BF153,"")</f>
        <v/>
      </c>
      <c r="BG154" s="198">
        <f>IF(ISNUMBER(BG150),BG150-BG152+BG153,"")</f>
        <v/>
      </c>
      <c r="BH154" s="198">
        <f>IF(ISNUMBER(BH150),BH150-BH152+BH153,"")</f>
        <v/>
      </c>
      <c r="BI154" s="198">
        <f>IF(ISNUMBER(BI150),BI150-BI152+BI153,"")</f>
        <v/>
      </c>
      <c r="BJ154" s="198">
        <f>IF(ISNUMBER(BJ150),BJ150-BJ152+BJ153,"")</f>
        <v/>
      </c>
      <c r="BK154" s="198">
        <f>IF(ISNUMBER(BK150),BK150-BK152+BK153,"")</f>
        <v/>
      </c>
      <c r="BL154" s="198">
        <f>IF(ISNUMBER(BL150),BL150-BL152+BL153,"")</f>
        <v/>
      </c>
      <c r="BM154" s="198">
        <f>IF(ISNUMBER(BM150),BM150-BM152+BM153,"")</f>
        <v/>
      </c>
      <c r="BN154" s="198">
        <f>IF(ISNUMBER(BN150),BN150-BN152+BN153,"")</f>
        <v/>
      </c>
      <c r="BO154" s="198">
        <f>IF(ISNUMBER(BO150),BO150-BO152+BO153,"")</f>
        <v/>
      </c>
      <c r="BP154" s="198">
        <f>IF(ISNUMBER(BP150),BP150-BP152+BP153,"")</f>
        <v/>
      </c>
      <c r="BQ154" s="198">
        <f>IF(ISNUMBER(BQ150),BQ150-BQ152+BQ153,"")</f>
        <v/>
      </c>
      <c r="BR154" s="198">
        <f>IF(ISNUMBER(BR150),BR150-BR152+BR153,"")</f>
        <v/>
      </c>
      <c r="BS154" s="198">
        <f>IF(ISNUMBER(BS150),BS150-BS152+BS153,"")</f>
        <v/>
      </c>
      <c r="BT154" s="198">
        <f>IF(ISNUMBER(BT150),BT150-BT152+BT153,"")</f>
        <v/>
      </c>
      <c r="BU154" s="198">
        <f>IF(ISNUMBER(BU150),BU150-BU152+BU153,"")</f>
        <v/>
      </c>
      <c r="BV154" s="198">
        <f>IF(ISNUMBER(BV150),BV150-BV152+BV153,"")</f>
        <v/>
      </c>
      <c r="BW154" s="198">
        <f>IF(ISNUMBER(BW150),BW150-BW152+BW153,"")</f>
        <v/>
      </c>
      <c r="BX154" s="198">
        <f>IF(ISNUMBER(BX150),BX150-BX152+BX153,"")</f>
        <v/>
      </c>
      <c r="BY154" s="185">
        <f>IF(ISNUMBER(BY150),BY150-BY152+BY153,"")</f>
        <v/>
      </c>
      <c r="BZ154" s="185">
        <f>IF(ISNUMBER(BZ150),BZ150-BZ152+BZ153,"")</f>
        <v/>
      </c>
      <c r="CA154" s="185">
        <f>IF(ISNUMBER(CA150),CA150-CA152+CA153,"")</f>
        <v/>
      </c>
      <c r="CB154" s="185">
        <f>IF(ISNUMBER(CB150),CB150-CB152+CB153,"")</f>
        <v/>
      </c>
      <c r="CC154" s="185">
        <f>IF(ISNUMBER(CC150),CC150-CC152+CC153,"")</f>
        <v/>
      </c>
      <c r="CD154" s="185">
        <f>IF(ISNUMBER(CD150),CD150-CD152+CD153,"")</f>
        <v/>
      </c>
      <c r="CE154" s="185">
        <f>IF(ISNUMBER(CE150),CE150-CE152+CE153,"")</f>
        <v/>
      </c>
      <c r="CF154" s="6" t="n"/>
    </row>
    <row r="155" ht="15" customHeight="1">
      <c r="B155" s="26" t="inlineStr">
        <is>
          <t>Income tax expense</t>
        </is>
      </c>
      <c r="C155" s="174" t="n">
        <v>40.1</v>
      </c>
      <c r="D155" s="174" t="n">
        <v>63.1</v>
      </c>
      <c r="E155" s="174" t="n">
        <v>73.7</v>
      </c>
      <c r="F155" s="174" t="n">
        <v>48.3</v>
      </c>
      <c r="G155" s="174" t="n">
        <v>63.7</v>
      </c>
      <c r="H155" s="174" t="n">
        <v>85.2</v>
      </c>
      <c r="I155" s="174" t="n">
        <v>125.6</v>
      </c>
      <c r="J155" s="174" t="n">
        <v>29.9</v>
      </c>
      <c r="K155" s="174" t="n">
        <v>35.1</v>
      </c>
      <c r="L155" s="174" t="n">
        <v>30.4</v>
      </c>
      <c r="M155" s="174" t="n">
        <v>33.5</v>
      </c>
      <c r="N155" s="174" t="n">
        <v>128.9</v>
      </c>
      <c r="O155" s="174" t="n">
        <v>37.2</v>
      </c>
      <c r="P155" s="174" t="n">
        <v>39.3</v>
      </c>
      <c r="Q155" s="174" t="n">
        <v>41.1</v>
      </c>
      <c r="R155" s="174" t="n">
        <v>38.5</v>
      </c>
      <c r="S155" s="174" t="n">
        <v>156.2</v>
      </c>
      <c r="T155" s="174" t="n">
        <v>45.1</v>
      </c>
      <c r="U155" s="174" t="n">
        <v>48.4</v>
      </c>
      <c r="V155" s="174" t="n">
        <v>45.6</v>
      </c>
      <c r="W155" s="174" t="n">
        <v>47.6</v>
      </c>
      <c r="X155" s="174" t="n">
        <v>186.7</v>
      </c>
      <c r="Y155" s="174" t="n">
        <v>43.3</v>
      </c>
      <c r="Z155" s="174" t="n">
        <v>36.6</v>
      </c>
      <c r="AA155" s="174" t="n">
        <v>32.8</v>
      </c>
      <c r="AB155" s="174" t="n">
        <v>-13.3</v>
      </c>
      <c r="AC155" s="174" t="n">
        <v>99.40000000000001</v>
      </c>
      <c r="AD155" s="174" t="n">
        <v>27.5</v>
      </c>
      <c r="AE155" s="174" t="n">
        <v>24.6</v>
      </c>
      <c r="AF155" s="174" t="n">
        <v>12.7</v>
      </c>
      <c r="AG155" s="174" t="n">
        <v>25</v>
      </c>
      <c r="AH155" s="174" t="n">
        <v>89.8</v>
      </c>
      <c r="AI155" s="174" t="n">
        <v>26.1</v>
      </c>
      <c r="AJ155" s="174" t="n">
        <v>10.5</v>
      </c>
      <c r="AK155" s="174" t="n">
        <v>16.6</v>
      </c>
      <c r="AL155" s="174" t="n">
        <v>22.7</v>
      </c>
      <c r="AM155" s="174" t="n">
        <v>75.90000000000001</v>
      </c>
      <c r="AN155" s="174" t="n">
        <v>18.5</v>
      </c>
      <c r="AO155" s="174" t="n">
        <v>41.4</v>
      </c>
      <c r="AP155" s="174" t="n">
        <v>22.7</v>
      </c>
      <c r="AQ155" s="174" t="n">
        <v>37.7</v>
      </c>
      <c r="AR155" s="174" t="n">
        <v>120.3</v>
      </c>
      <c r="AS155" s="174" t="n">
        <v>38</v>
      </c>
      <c r="AT155" s="174" t="n">
        <v>28.5</v>
      </c>
      <c r="AU155" s="174" t="n">
        <v>46.9</v>
      </c>
      <c r="AV155" s="174" t="n">
        <v>31.5</v>
      </c>
      <c r="AW155" s="174" t="n">
        <v>144.9</v>
      </c>
      <c r="AX155" s="174" t="n">
        <v>43.5</v>
      </c>
      <c r="AY155" s="174" t="n">
        <v>43.5</v>
      </c>
      <c r="AZ155" s="174" t="n">
        <v>43.5</v>
      </c>
      <c r="BA155" s="174" t="n">
        <v>42</v>
      </c>
      <c r="BB155" s="174" t="n">
        <v>172</v>
      </c>
      <c r="BC155" s="174" t="n">
        <v>50</v>
      </c>
      <c r="BD155" s="174" t="n">
        <v>58</v>
      </c>
      <c r="BE155" s="174" t="n">
        <v>54</v>
      </c>
      <c r="BF155" s="174" t="n">
        <v>51</v>
      </c>
      <c r="BG155" s="174" t="n">
        <v>213</v>
      </c>
      <c r="BH155" s="174" t="n">
        <v>60</v>
      </c>
      <c r="BI155" s="174" t="n">
        <v>66</v>
      </c>
      <c r="BJ155" s="174" t="n">
        <v>78</v>
      </c>
      <c r="BK155" s="174" t="n">
        <v>63</v>
      </c>
      <c r="BL155" s="174" t="n">
        <v>267</v>
      </c>
      <c r="BM155" s="174" t="n">
        <v>86</v>
      </c>
      <c r="BN155" s="174" t="n">
        <v>94</v>
      </c>
      <c r="BO155" s="174" t="n">
        <v>92</v>
      </c>
      <c r="BP155" s="174" t="n">
        <v>71</v>
      </c>
      <c r="BQ155" s="174" t="n">
        <v>343</v>
      </c>
      <c r="BR155" s="174" t="n">
        <v>99</v>
      </c>
      <c r="BS155" s="174" t="n">
        <v>111</v>
      </c>
      <c r="BT155" s="174" t="n">
        <v>112</v>
      </c>
      <c r="BU155" s="174" t="n">
        <v>87</v>
      </c>
      <c r="BV155" s="174" t="n">
        <v>409</v>
      </c>
      <c r="BW155" s="174" t="n">
        <v>106</v>
      </c>
      <c r="BX155" s="174" t="n">
        <v>122</v>
      </c>
      <c r="BY155" s="178">
        <f>BY154*BY156</f>
        <v/>
      </c>
      <c r="BZ155" s="178">
        <f>BZ154*BZ156</f>
        <v/>
      </c>
      <c r="CA155" s="178">
        <f>SUM(BW155,BX155,BY155,BZ155)</f>
        <v/>
      </c>
      <c r="CB155" s="178">
        <f>CB154*CB156</f>
        <v/>
      </c>
      <c r="CC155" s="178">
        <f>CC154*CC156</f>
        <v/>
      </c>
      <c r="CD155" s="178">
        <f>CD154*CD156</f>
        <v/>
      </c>
      <c r="CE155" s="178">
        <f>CE154*CE156</f>
        <v/>
      </c>
      <c r="CF155" s="20" t="n"/>
    </row>
    <row r="156" collapsed="1" ht="15" customHeight="1">
      <c r="B156" s="26" t="inlineStr">
        <is>
          <t xml:space="preserve">  Effective tax rate</t>
        </is>
      </c>
      <c r="C156" s="187">
        <f>IF(AND(ISNUMBER(C155),ISNUMBER(C154)),IFERROR(C155/C154,""),"")</f>
        <v/>
      </c>
      <c r="D156" s="187">
        <f>IF(AND(ISNUMBER(D155),ISNUMBER(D154)),IFERROR(D155/D154,""),"")</f>
        <v/>
      </c>
      <c r="E156" s="187">
        <f>IF(AND(ISNUMBER(E155),ISNUMBER(E154)),IFERROR(E155/E154,""),"")</f>
        <v/>
      </c>
      <c r="F156" s="187">
        <f>IF(AND(ISNUMBER(F155),ISNUMBER(F154)),IFERROR(F155/F154,""),"")</f>
        <v/>
      </c>
      <c r="G156" s="187">
        <f>IF(AND(ISNUMBER(G155),ISNUMBER(G154)),IFERROR(G155/G154,""),"")</f>
        <v/>
      </c>
      <c r="H156" s="187">
        <f>IF(AND(ISNUMBER(H155),ISNUMBER(H154)),IFERROR(H155/H154,""),"")</f>
        <v/>
      </c>
      <c r="I156" s="187">
        <f>IF(AND(ISNUMBER(I155),ISNUMBER(I154)),IFERROR(I155/I154,""),"")</f>
        <v/>
      </c>
      <c r="J156" s="187">
        <f>IF(AND(ISNUMBER(J155),ISNUMBER(J154)),IFERROR(J155/J154,""),"")</f>
        <v/>
      </c>
      <c r="K156" s="187">
        <f>IF(AND(ISNUMBER(K155),ISNUMBER(K154)),IFERROR(K155/K154,""),"")</f>
        <v/>
      </c>
      <c r="L156" s="187">
        <f>IF(AND(ISNUMBER(L155),ISNUMBER(L154)),IFERROR(L155/L154,""),"")</f>
        <v/>
      </c>
      <c r="M156" s="187">
        <f>IF(AND(ISNUMBER(M155),ISNUMBER(M154)),IFERROR(M155/M154,""),"")</f>
        <v/>
      </c>
      <c r="N156" s="187">
        <f>IF(AND(ISNUMBER(N155),ISNUMBER(N154)),IFERROR(N155/N154,""),"")</f>
        <v/>
      </c>
      <c r="O156" s="187">
        <f>IF(AND(ISNUMBER(O155),ISNUMBER(O154)),IFERROR(O155/O154,""),"")</f>
        <v/>
      </c>
      <c r="P156" s="187">
        <f>IF(AND(ISNUMBER(P155),ISNUMBER(P154)),IFERROR(P155/P154,""),"")</f>
        <v/>
      </c>
      <c r="Q156" s="187">
        <f>IF(AND(ISNUMBER(Q155),ISNUMBER(Q154)),IFERROR(Q155/Q154,""),"")</f>
        <v/>
      </c>
      <c r="R156" s="187">
        <f>IF(AND(ISNUMBER(R155),ISNUMBER(R154)),IFERROR(R155/R154,""),"")</f>
        <v/>
      </c>
      <c r="S156" s="187">
        <f>IF(AND(ISNUMBER(S155),ISNUMBER(S154)),IFERROR(S155/S154,""),"")</f>
        <v/>
      </c>
      <c r="T156" s="187">
        <f>IF(AND(ISNUMBER(T155),ISNUMBER(T154)),IFERROR(T155/T154,""),"")</f>
        <v/>
      </c>
      <c r="U156" s="187">
        <f>IF(AND(ISNUMBER(U155),ISNUMBER(U154)),IFERROR(U155/U154,""),"")</f>
        <v/>
      </c>
      <c r="V156" s="187">
        <f>IF(AND(ISNUMBER(V155),ISNUMBER(V154)),IFERROR(V155/V154,""),"")</f>
        <v/>
      </c>
      <c r="W156" s="187">
        <f>IF(AND(ISNUMBER(W155),ISNUMBER(W154)),IFERROR(W155/W154,""),"")</f>
        <v/>
      </c>
      <c r="X156" s="187">
        <f>IF(AND(ISNUMBER(X155),ISNUMBER(X154)),IFERROR(X155/X154,""),"")</f>
        <v/>
      </c>
      <c r="Y156" s="187">
        <f>IF(AND(ISNUMBER(Y155),ISNUMBER(Y154)),IFERROR(Y155/Y154,""),"")</f>
        <v/>
      </c>
      <c r="Z156" s="187">
        <f>IF(AND(ISNUMBER(Z155),ISNUMBER(Z154)),IFERROR(Z155/Z154,""),"")</f>
        <v/>
      </c>
      <c r="AA156" s="187">
        <f>IF(AND(ISNUMBER(AA155),ISNUMBER(AA154)),IFERROR(AA155/AA154,""),"")</f>
        <v/>
      </c>
      <c r="AB156" s="187">
        <f>IF(AND(ISNUMBER(AB155),ISNUMBER(AB154)),IFERROR(AB155/AB154,""),"")</f>
        <v/>
      </c>
      <c r="AC156" s="187">
        <f>IF(AND(ISNUMBER(AC155),ISNUMBER(AC154)),IFERROR(AC155/AC154,""),"")</f>
        <v/>
      </c>
      <c r="AD156" s="187">
        <f>IF(AND(ISNUMBER(AD155),ISNUMBER(AD154)),IFERROR(AD155/AD154,""),"")</f>
        <v/>
      </c>
      <c r="AE156" s="187">
        <f>IF(AND(ISNUMBER(AE155),ISNUMBER(AE154)),IFERROR(AE155/AE154,""),"")</f>
        <v/>
      </c>
      <c r="AF156" s="187">
        <f>IF(AND(ISNUMBER(AF155),ISNUMBER(AF154)),IFERROR(AF155/AF154,""),"")</f>
        <v/>
      </c>
      <c r="AG156" s="187">
        <f>IF(AND(ISNUMBER(AG155),ISNUMBER(AG154)),IFERROR(AG155/AG154,""),"")</f>
        <v/>
      </c>
      <c r="AH156" s="187">
        <f>IF(AND(ISNUMBER(AH155),ISNUMBER(AH154)),IFERROR(AH155/AH154,""),"")</f>
        <v/>
      </c>
      <c r="AI156" s="187">
        <f>IF(AND(ISNUMBER(AI155),ISNUMBER(AI154)),IFERROR(AI155/AI154,""),"")</f>
        <v/>
      </c>
      <c r="AJ156" s="187">
        <f>IF(AND(ISNUMBER(AJ155),ISNUMBER(AJ154)),IFERROR(AJ155/AJ154,""),"")</f>
        <v/>
      </c>
      <c r="AK156" s="187">
        <f>IF(AND(ISNUMBER(AK155),ISNUMBER(AK154)),IFERROR(AK155/AK154,""),"")</f>
        <v/>
      </c>
      <c r="AL156" s="187">
        <f>IF(AND(ISNUMBER(AL155),ISNUMBER(AL154)),IFERROR(AL155/AL154,""),"")</f>
        <v/>
      </c>
      <c r="AM156" s="187">
        <f>IF(AND(ISNUMBER(AM155),ISNUMBER(AM154)),IFERROR(AM155/AM154,""),"")</f>
        <v/>
      </c>
      <c r="AN156" s="187">
        <f>IF(AND(ISNUMBER(AN155),ISNUMBER(AN154)),IFERROR(AN155/AN154,""),"")</f>
        <v/>
      </c>
      <c r="AO156" s="187">
        <f>IF(AND(ISNUMBER(AO155),ISNUMBER(AO154)),IFERROR(AO155/AO154,""),"")</f>
        <v/>
      </c>
      <c r="AP156" s="187">
        <f>IF(AND(ISNUMBER(AP155),ISNUMBER(AP154)),IFERROR(AP155/AP154,""),"")</f>
        <v/>
      </c>
      <c r="AQ156" s="187">
        <f>IF(AND(ISNUMBER(AQ155),ISNUMBER(AQ154)),IFERROR(AQ155/AQ154,""),"")</f>
        <v/>
      </c>
      <c r="AR156" s="187">
        <f>IF(AND(ISNUMBER(AR155),ISNUMBER(AR154)),IFERROR(AR155/AR154,""),"")</f>
        <v/>
      </c>
      <c r="AS156" s="187">
        <f>IF(AND(ISNUMBER(AS155),ISNUMBER(AS154)),IFERROR(AS155/AS154,""),"")</f>
        <v/>
      </c>
      <c r="AT156" s="187">
        <f>IF(AND(ISNUMBER(AT155),ISNUMBER(AT154)),IFERROR(AT155/AT154,""),"")</f>
        <v/>
      </c>
      <c r="AU156" s="187">
        <f>IF(AND(ISNUMBER(AU155),ISNUMBER(AU154)),IFERROR(AU155/AU154,""),"")</f>
        <v/>
      </c>
      <c r="AV156" s="187">
        <f>IF(AND(ISNUMBER(AV155),ISNUMBER(AV154)),IFERROR(AV155/AV154,""),"")</f>
        <v/>
      </c>
      <c r="AW156" s="187">
        <f>IF(AND(ISNUMBER(AW155),ISNUMBER(AW154)),IFERROR(AW155/AW154,""),"")</f>
        <v/>
      </c>
      <c r="AX156" s="187">
        <f>IF(AND(ISNUMBER(AX155),ISNUMBER(AX154)),IFERROR(AX155/AX154,""),"")</f>
        <v/>
      </c>
      <c r="AY156" s="187">
        <f>IF(AND(ISNUMBER(AY155),ISNUMBER(AY154)),IFERROR(AY155/AY154,""),"")</f>
        <v/>
      </c>
      <c r="AZ156" s="187">
        <f>IF(AND(ISNUMBER(AZ155),ISNUMBER(AZ154)),IFERROR(AZ155/AZ154,""),"")</f>
        <v/>
      </c>
      <c r="BA156" s="187">
        <f>IF(AND(ISNUMBER(BA155),ISNUMBER(BA154)),IFERROR(BA155/BA154,""),"")</f>
        <v/>
      </c>
      <c r="BB156" s="187">
        <f>IF(AND(ISNUMBER(BB155),ISNUMBER(BB154)),IFERROR(BB155/BB154,""),"")</f>
        <v/>
      </c>
      <c r="BC156" s="187">
        <f>IF(AND(ISNUMBER(BC155),ISNUMBER(BC154)),IFERROR(BC155/BC154,""),"")</f>
        <v/>
      </c>
      <c r="BD156" s="187">
        <f>IF(AND(ISNUMBER(BD155),ISNUMBER(BD154)),IFERROR(BD155/BD154,""),"")</f>
        <v/>
      </c>
      <c r="BE156" s="187">
        <f>IF(AND(ISNUMBER(BE155),ISNUMBER(BE154)),IFERROR(BE155/BE154,""),"")</f>
        <v/>
      </c>
      <c r="BF156" s="187">
        <f>IF(AND(ISNUMBER(BF155),ISNUMBER(BF154)),IFERROR(BF155/BF154,""),"")</f>
        <v/>
      </c>
      <c r="BG156" s="187">
        <f>IF(AND(ISNUMBER(BG155),ISNUMBER(BG154)),IFERROR(BG155/BG154,""),"")</f>
        <v/>
      </c>
      <c r="BH156" s="187">
        <f>IF(AND(ISNUMBER(BH155),ISNUMBER(BH154)),IFERROR(BH155/BH154,""),"")</f>
        <v/>
      </c>
      <c r="BI156" s="187">
        <f>IF(AND(ISNUMBER(BI155),ISNUMBER(BI154)),IFERROR(BI155/BI154,""),"")</f>
        <v/>
      </c>
      <c r="BJ156" s="187">
        <f>IF(AND(ISNUMBER(BJ155),ISNUMBER(BJ154)),IFERROR(BJ155/BJ154,""),"")</f>
        <v/>
      </c>
      <c r="BK156" s="187">
        <f>IF(AND(ISNUMBER(BK155),ISNUMBER(BK154)),IFERROR(BK155/BK154,""),"")</f>
        <v/>
      </c>
      <c r="BL156" s="187">
        <f>IF(AND(ISNUMBER(BL155),ISNUMBER(BL154)),IFERROR(BL155/BL154,""),"")</f>
        <v/>
      </c>
      <c r="BM156" s="187">
        <f>IF(AND(ISNUMBER(BM155),ISNUMBER(BM154)),IFERROR(BM155/BM154,""),"")</f>
        <v/>
      </c>
      <c r="BN156" s="187">
        <f>IF(AND(ISNUMBER(BN155),ISNUMBER(BN154)),IFERROR(BN155/BN154,""),"")</f>
        <v/>
      </c>
      <c r="BO156" s="187">
        <f>IF(AND(ISNUMBER(BO155),ISNUMBER(BO154)),IFERROR(BO155/BO154,""),"")</f>
        <v/>
      </c>
      <c r="BP156" s="187">
        <f>IF(AND(ISNUMBER(BP155),ISNUMBER(BP154)),IFERROR(BP155/BP154,""),"")</f>
        <v/>
      </c>
      <c r="BQ156" s="187">
        <f>IF(AND(ISNUMBER(BQ155),ISNUMBER(BQ154)),IFERROR(BQ155/BQ154,""),"")</f>
        <v/>
      </c>
      <c r="BR156" s="187">
        <f>IF(AND(ISNUMBER(BR155),ISNUMBER(BR154)),IFERROR(BR155/BR154,""),"")</f>
        <v/>
      </c>
      <c r="BS156" s="187">
        <f>IF(AND(ISNUMBER(BS155),ISNUMBER(BS154)),IFERROR(BS155/BS154,""),"")</f>
        <v/>
      </c>
      <c r="BT156" s="187">
        <f>IF(AND(ISNUMBER(BT155),ISNUMBER(BT154)),IFERROR(BT155/BT154,""),"")</f>
        <v/>
      </c>
      <c r="BU156" s="187">
        <f>IF(AND(ISNUMBER(BU155),ISNUMBER(BU154)),IFERROR(BU155/BU154,""),"")</f>
        <v/>
      </c>
      <c r="BV156" s="187">
        <f>IF(AND(ISNUMBER(BV155),ISNUMBER(BV154)),IFERROR(BV155/BV154,""),"")</f>
        <v/>
      </c>
      <c r="BW156" s="187">
        <f>IF(AND(ISNUMBER(BW155),ISNUMBER(BW154)),IFERROR(BW155/BW154,""),"")</f>
        <v/>
      </c>
      <c r="BX156" s="187">
        <f>IF(AND(ISNUMBER(BX155),ISNUMBER(BX154)),IFERROR(BX155/BX154,""),"")</f>
        <v/>
      </c>
      <c r="BY156" s="180">
        <f>$CP$18</f>
        <v/>
      </c>
      <c r="BZ156" s="180">
        <f>$CP$18</f>
        <v/>
      </c>
      <c r="CA156" s="180">
        <f>IF(AND(ISNUMBER(CA155),ISNUMBER(CA154)),IFERROR(CA155/CA154,""),"")</f>
        <v/>
      </c>
      <c r="CB156" s="181" t="n">
        <v>0.245</v>
      </c>
      <c r="CC156" s="181" t="n">
        <v>0.245</v>
      </c>
      <c r="CD156" s="181" t="n">
        <v>0.245</v>
      </c>
      <c r="CE156" s="181" t="n">
        <v>0.245</v>
      </c>
      <c r="CF156" s="6" t="inlineStr">
        <is>
          <t>Q3/Q4-26E: FY26 tax-rate point estimate; 2027E+ input.</t>
        </is>
      </c>
      <c r="CH156" s="39">
        <f>IFERROR(AVERAGE(CA156,CB156,CC156,CD156,CE156),"n/m")</f>
        <v/>
      </c>
      <c r="CI156" s="39">
        <f>IFERROR(AVERAGE(BB156,BG156,BL156,BQ156,BV156),"n/m")</f>
        <v/>
      </c>
      <c r="CJ156" s="39">
        <f>IFERROR(AVERAGE(AC156,AH156,AM156,AR156,AW156,BB156,BG156,BL156,BQ156,BV156),"n/m")</f>
        <v/>
      </c>
      <c r="CK156" s="39">
        <f>IFERROR(AVERAGE(C156,D156,E156,F156,G156,H156,I156,N156,S156,X156,AC156,AH156,AM156,AR156,AW156,BB156,BG156,BL156,BQ156,BV156),"n/m")</f>
        <v/>
      </c>
    </row>
    <row r="157" ht="15" customHeight="1">
      <c r="B157" s="26" t="inlineStr">
        <is>
          <t>Income from continuing operations</t>
        </is>
      </c>
      <c r="C157" s="183">
        <f>IF(ISNUMBER(C154),C154-C155,"")</f>
        <v/>
      </c>
      <c r="D157" s="183">
        <f>IF(ISNUMBER(D154),D154-D155,"")</f>
        <v/>
      </c>
      <c r="E157" s="183">
        <f>IF(ISNUMBER(E154),E154-E155,"")</f>
        <v/>
      </c>
      <c r="F157" s="183">
        <f>IF(ISNUMBER(F154),F154-F155,"")</f>
        <v/>
      </c>
      <c r="G157" s="183">
        <f>IF(ISNUMBER(G154),G154-G155,"")</f>
        <v/>
      </c>
      <c r="H157" s="183">
        <f>IF(ISNUMBER(H154),H154-H155,"")</f>
        <v/>
      </c>
      <c r="I157" s="183">
        <f>IF(ISNUMBER(I154),I154-I155,"")</f>
        <v/>
      </c>
      <c r="J157" s="183">
        <f>IF(ISNUMBER(J154),J154-J155,"")</f>
        <v/>
      </c>
      <c r="K157" s="183">
        <f>IF(ISNUMBER(K154),K154-K155,"")</f>
        <v/>
      </c>
      <c r="L157" s="183">
        <f>IF(ISNUMBER(L154),L154-L155,"")</f>
        <v/>
      </c>
      <c r="M157" s="183">
        <f>IF(ISNUMBER(M154),M154-M155,"")</f>
        <v/>
      </c>
      <c r="N157" s="183">
        <f>IF(ISNUMBER(N154),N154-N155,"")</f>
        <v/>
      </c>
      <c r="O157" s="183">
        <f>IF(ISNUMBER(O154),O154-O155,"")</f>
        <v/>
      </c>
      <c r="P157" s="183">
        <f>IF(ISNUMBER(P154),P154-P155,"")</f>
        <v/>
      </c>
      <c r="Q157" s="183">
        <f>IF(ISNUMBER(Q154),Q154-Q155,"")</f>
        <v/>
      </c>
      <c r="R157" s="183">
        <f>IF(ISNUMBER(R154),R154-R155,"")</f>
        <v/>
      </c>
      <c r="S157" s="183">
        <f>IF(ISNUMBER(S154),S154-S155,"")</f>
        <v/>
      </c>
      <c r="T157" s="183">
        <f>IF(ISNUMBER(T154),T154-T155,"")</f>
        <v/>
      </c>
      <c r="U157" s="183">
        <f>IF(ISNUMBER(U154),U154-U155,"")</f>
        <v/>
      </c>
      <c r="V157" s="183">
        <f>IF(ISNUMBER(V154),V154-V155,"")</f>
        <v/>
      </c>
      <c r="W157" s="183">
        <f>IF(ISNUMBER(W154),W154-W155,"")</f>
        <v/>
      </c>
      <c r="X157" s="183">
        <f>IF(ISNUMBER(X154),X154-X155,"")</f>
        <v/>
      </c>
      <c r="Y157" s="183">
        <f>IF(ISNUMBER(Y154),Y154-Y155,"")</f>
        <v/>
      </c>
      <c r="Z157" s="183">
        <f>IF(ISNUMBER(Z154),Z154-Z155,"")</f>
        <v/>
      </c>
      <c r="AA157" s="183">
        <f>IF(ISNUMBER(AA154),AA154-AA155,"")</f>
        <v/>
      </c>
      <c r="AB157" s="183">
        <f>IF(ISNUMBER(AB154),AB154-AB155,"")</f>
        <v/>
      </c>
      <c r="AC157" s="183">
        <f>IF(ISNUMBER(AC154),AC154-AC155,"")</f>
        <v/>
      </c>
      <c r="AD157" s="183">
        <f>IF(ISNUMBER(AD154),AD154-AD155,"")</f>
        <v/>
      </c>
      <c r="AE157" s="183">
        <f>IF(ISNUMBER(AE154),AE154-AE155,"")</f>
        <v/>
      </c>
      <c r="AF157" s="183">
        <f>IF(ISNUMBER(AF154),AF154-AF155,"")</f>
        <v/>
      </c>
      <c r="AG157" s="183">
        <f>IF(ISNUMBER(AG154),AG154-AG155,"")</f>
        <v/>
      </c>
      <c r="AH157" s="183">
        <f>IF(ISNUMBER(AH154),AH154-AH155,"")</f>
        <v/>
      </c>
      <c r="AI157" s="183">
        <f>IF(ISNUMBER(AI154),AI154-AI155,"")</f>
        <v/>
      </c>
      <c r="AJ157" s="183">
        <f>IF(ISNUMBER(AJ154),AJ154-AJ155,"")</f>
        <v/>
      </c>
      <c r="AK157" s="183">
        <f>IF(ISNUMBER(AK154),AK154-AK155,"")</f>
        <v/>
      </c>
      <c r="AL157" s="183">
        <f>IF(ISNUMBER(AL154),AL154-AL155,"")</f>
        <v/>
      </c>
      <c r="AM157" s="183">
        <f>IF(ISNUMBER(AM154),AM154-AM155,"")</f>
        <v/>
      </c>
      <c r="AN157" s="183">
        <f>IF(ISNUMBER(AN154),AN154-AN155,"")</f>
        <v/>
      </c>
      <c r="AO157" s="183">
        <f>IF(ISNUMBER(AO154),AO154-AO155,"")</f>
        <v/>
      </c>
      <c r="AP157" s="183">
        <f>IF(ISNUMBER(AP154),AP154-AP155,"")</f>
        <v/>
      </c>
      <c r="AQ157" s="183">
        <f>IF(ISNUMBER(AQ154),AQ154-AQ155,"")</f>
        <v/>
      </c>
      <c r="AR157" s="183">
        <f>IF(ISNUMBER(AR154),AR154-AR155,"")</f>
        <v/>
      </c>
      <c r="AS157" s="183">
        <f>IF(ISNUMBER(AS154),AS154-AS155,"")</f>
        <v/>
      </c>
      <c r="AT157" s="183">
        <f>IF(ISNUMBER(AT154),AT154-AT155,"")</f>
        <v/>
      </c>
      <c r="AU157" s="183">
        <f>IF(ISNUMBER(AU154),AU154-AU155,"")</f>
        <v/>
      </c>
      <c r="AV157" s="183">
        <f>IF(ISNUMBER(AV154),AV154-AV155,"")</f>
        <v/>
      </c>
      <c r="AW157" s="183">
        <f>IF(ISNUMBER(AW154),AW154-AW155,"")</f>
        <v/>
      </c>
      <c r="AX157" s="183">
        <f>IF(ISNUMBER(AX154),AX154-AX155,"")</f>
        <v/>
      </c>
      <c r="AY157" s="183">
        <f>IF(ISNUMBER(AY154),AY154-AY155,"")</f>
        <v/>
      </c>
      <c r="AZ157" s="183">
        <f>IF(ISNUMBER(AZ154),AZ154-AZ155,"")</f>
        <v/>
      </c>
      <c r="BA157" s="183">
        <f>IF(ISNUMBER(BA154),BA154-BA155,"")</f>
        <v/>
      </c>
      <c r="BB157" s="183">
        <f>IF(ISNUMBER(BB154),BB154-BB155,"")</f>
        <v/>
      </c>
      <c r="BC157" s="183">
        <f>IF(ISNUMBER(BC154),BC154-BC155,"")</f>
        <v/>
      </c>
      <c r="BD157" s="183">
        <f>IF(ISNUMBER(BD154),BD154-BD155,"")</f>
        <v/>
      </c>
      <c r="BE157" s="183">
        <f>IF(ISNUMBER(BE154),BE154-BE155,"")</f>
        <v/>
      </c>
      <c r="BF157" s="183">
        <f>IF(ISNUMBER(BF154),BF154-BF155,"")</f>
        <v/>
      </c>
      <c r="BG157" s="183">
        <f>IF(ISNUMBER(BG154),BG154-BG155,"")</f>
        <v/>
      </c>
      <c r="BH157" s="183">
        <f>IF(ISNUMBER(BH154),BH154-BH155,"")</f>
        <v/>
      </c>
      <c r="BI157" s="183">
        <f>IF(ISNUMBER(BI154),BI154-BI155,"")</f>
        <v/>
      </c>
      <c r="BJ157" s="183">
        <f>IF(ISNUMBER(BJ154),BJ154-BJ155,"")</f>
        <v/>
      </c>
      <c r="BK157" s="183">
        <f>IF(ISNUMBER(BK154),BK154-BK155,"")</f>
        <v/>
      </c>
      <c r="BL157" s="183">
        <f>IF(ISNUMBER(BL154),BL154-BL155,"")</f>
        <v/>
      </c>
      <c r="BM157" s="183">
        <f>IF(ISNUMBER(BM154),BM154-BM155,"")</f>
        <v/>
      </c>
      <c r="BN157" s="183">
        <f>IF(ISNUMBER(BN154),BN154-BN155,"")</f>
        <v/>
      </c>
      <c r="BO157" s="183">
        <f>IF(ISNUMBER(BO154),BO154-BO155,"")</f>
        <v/>
      </c>
      <c r="BP157" s="183">
        <f>IF(ISNUMBER(BP154),BP154-BP155,"")</f>
        <v/>
      </c>
      <c r="BQ157" s="183">
        <f>IF(ISNUMBER(BQ154),BQ154-BQ155,"")</f>
        <v/>
      </c>
      <c r="BR157" s="183">
        <f>IF(ISNUMBER(BR154),BR154-BR155,"")</f>
        <v/>
      </c>
      <c r="BS157" s="183">
        <f>IF(ISNUMBER(BS154),BS154-BS155,"")</f>
        <v/>
      </c>
      <c r="BT157" s="183">
        <f>IF(ISNUMBER(BT154),BT154-BT155,"")</f>
        <v/>
      </c>
      <c r="BU157" s="183">
        <f>IF(ISNUMBER(BU154),BU154-BU155,"")</f>
        <v/>
      </c>
      <c r="BV157" s="183">
        <f>IF(ISNUMBER(BV154),BV154-BV155,"")</f>
        <v/>
      </c>
      <c r="BW157" s="183">
        <f>IF(ISNUMBER(BW154),BW154-BW155,"")</f>
        <v/>
      </c>
      <c r="BX157" s="183">
        <f>IF(ISNUMBER(BX154),BX154-BX155,"")</f>
        <v/>
      </c>
      <c r="BY157" s="178">
        <f>IF(ISNUMBER(BY154),BY154-BY155,"")</f>
        <v/>
      </c>
      <c r="BZ157" s="178">
        <f>IF(ISNUMBER(BZ154),BZ154-BZ155,"")</f>
        <v/>
      </c>
      <c r="CA157" s="178">
        <f>IF(ISNUMBER(CA154),CA154-CA155,"")</f>
        <v/>
      </c>
      <c r="CB157" s="178">
        <f>IF(ISNUMBER(CB154),CB154-CB155,"")</f>
        <v/>
      </c>
      <c r="CC157" s="178">
        <f>IF(ISNUMBER(CC154),CC154-CC155,"")</f>
        <v/>
      </c>
      <c r="CD157" s="178">
        <f>IF(ISNUMBER(CD154),CD154-CD155,"")</f>
        <v/>
      </c>
      <c r="CE157" s="178">
        <f>IF(ISNUMBER(CE154),CE154-CE155,"")</f>
        <v/>
      </c>
      <c r="CF157" s="20" t="n"/>
    </row>
    <row r="158" ht="15" customHeight="1">
      <c r="B158" s="26" t="inlineStr">
        <is>
          <t>Income (loss) from discontinued operations, net of tax</t>
        </is>
      </c>
      <c r="C158" s="174" t="n">
        <v>-1.7</v>
      </c>
      <c r="D158" s="174" t="n">
        <v>0.2</v>
      </c>
      <c r="E158" s="174" t="n">
        <v>0</v>
      </c>
      <c r="F158" s="174" t="n">
        <v>0</v>
      </c>
      <c r="G158" s="174" t="n">
        <v>0</v>
      </c>
      <c r="H158" s="174" t="n">
        <v>0</v>
      </c>
      <c r="I158" s="174" t="n">
        <v>0</v>
      </c>
      <c r="J158" s="174" t="n">
        <v>0</v>
      </c>
      <c r="K158" s="174" t="n">
        <v>0</v>
      </c>
      <c r="L158" s="174" t="n">
        <v>0</v>
      </c>
      <c r="M158" s="174" t="n">
        <v>0</v>
      </c>
      <c r="N158" s="174" t="n">
        <v>0</v>
      </c>
      <c r="O158" s="174" t="n">
        <v>0</v>
      </c>
      <c r="P158" s="174" t="n">
        <v>0</v>
      </c>
      <c r="Q158" s="174" t="n">
        <v>0</v>
      </c>
      <c r="R158" s="174" t="n">
        <v>0</v>
      </c>
      <c r="S158" s="174" t="n">
        <v>0</v>
      </c>
      <c r="T158" s="174" t="n">
        <v>0</v>
      </c>
      <c r="U158" s="174" t="n">
        <v>0</v>
      </c>
      <c r="V158" s="174" t="n">
        <v>0</v>
      </c>
      <c r="W158" s="174" t="n">
        <v>0</v>
      </c>
      <c r="X158" s="174" t="n">
        <v>0</v>
      </c>
      <c r="Y158" s="174" t="n">
        <v>0</v>
      </c>
      <c r="Z158" s="174" t="n">
        <v>0</v>
      </c>
      <c r="AA158" s="174" t="n">
        <v>0</v>
      </c>
      <c r="AB158" s="174" t="n">
        <v>0</v>
      </c>
      <c r="AC158" s="174" t="n">
        <v>0</v>
      </c>
      <c r="AD158" s="174" t="n">
        <v>0</v>
      </c>
      <c r="AE158" s="174" t="n">
        <v>0</v>
      </c>
      <c r="AF158" s="174" t="n">
        <v>0</v>
      </c>
      <c r="AG158" s="174" t="n">
        <v>0</v>
      </c>
      <c r="AH158" s="174" t="n">
        <v>0</v>
      </c>
      <c r="AI158" s="174" t="n">
        <v>0</v>
      </c>
      <c r="AJ158" s="174" t="n">
        <v>0</v>
      </c>
      <c r="AK158" s="174" t="n">
        <v>0</v>
      </c>
      <c r="AL158" s="174" t="n">
        <v>0</v>
      </c>
      <c r="AM158" s="174" t="n">
        <v>0</v>
      </c>
      <c r="AN158" s="174" t="n">
        <v>0</v>
      </c>
      <c r="AO158" s="174" t="n">
        <v>0</v>
      </c>
      <c r="AP158" s="174" t="n">
        <v>0</v>
      </c>
      <c r="AQ158" s="174" t="n">
        <v>0</v>
      </c>
      <c r="AR158" s="174" t="n">
        <v>0</v>
      </c>
      <c r="AS158" s="174" t="n">
        <v>0</v>
      </c>
      <c r="AT158" s="174" t="n">
        <v>0</v>
      </c>
      <c r="AU158" s="174" t="n">
        <v>0</v>
      </c>
      <c r="AV158" s="174" t="n">
        <v>0</v>
      </c>
      <c r="AW158" s="174" t="n">
        <v>0</v>
      </c>
      <c r="AX158" s="174" t="n">
        <v>0</v>
      </c>
      <c r="AY158" s="174" t="n">
        <v>0</v>
      </c>
      <c r="AZ158" s="174" t="n">
        <v>0</v>
      </c>
      <c r="BA158" s="174" t="n">
        <v>0</v>
      </c>
      <c r="BB158" s="174" t="n">
        <v>0</v>
      </c>
      <c r="BC158" s="174" t="n">
        <v>0</v>
      </c>
      <c r="BD158" s="174" t="n">
        <v>0</v>
      </c>
      <c r="BE158" s="174" t="n">
        <v>0</v>
      </c>
      <c r="BF158" s="174" t="n">
        <v>0</v>
      </c>
      <c r="BG158" s="174" t="n">
        <v>0</v>
      </c>
      <c r="BH158" s="174" t="n">
        <v>0</v>
      </c>
      <c r="BI158" s="174" t="n">
        <v>0</v>
      </c>
      <c r="BJ158" s="174" t="n">
        <v>0</v>
      </c>
      <c r="BK158" s="174" t="n">
        <v>0</v>
      </c>
      <c r="BL158" s="174" t="n">
        <v>0</v>
      </c>
      <c r="BM158" s="174" t="n">
        <v>0</v>
      </c>
      <c r="BN158" s="174" t="n">
        <v>0</v>
      </c>
      <c r="BO158" s="174" t="n">
        <v>0</v>
      </c>
      <c r="BP158" s="174" t="n">
        <v>0</v>
      </c>
      <c r="BQ158" s="174" t="n">
        <v>0</v>
      </c>
      <c r="BR158" s="174" t="n">
        <v>0</v>
      </c>
      <c r="BS158" s="174" t="n">
        <v>0</v>
      </c>
      <c r="BT158" s="174" t="n">
        <v>0</v>
      </c>
      <c r="BU158" s="174" t="n">
        <v>0</v>
      </c>
      <c r="BV158" s="174" t="n">
        <v>0</v>
      </c>
      <c r="BW158" s="174" t="n">
        <v>0</v>
      </c>
      <c r="BX158" s="174" t="n">
        <v>0</v>
      </c>
      <c r="BY158" s="188" t="n">
        <v>0</v>
      </c>
      <c r="BZ158" s="188" t="n">
        <v>0</v>
      </c>
      <c r="CA158" s="178">
        <f>SUM(BW158,BX158,BY158,BZ158)</f>
        <v/>
      </c>
      <c r="CB158" s="188" t="n">
        <v>0</v>
      </c>
      <c r="CC158" s="188" t="n">
        <v>0</v>
      </c>
      <c r="CD158" s="188" t="n">
        <v>0</v>
      </c>
      <c r="CE158" s="188" t="n">
        <v>0</v>
      </c>
      <c r="CF158" s="20" t="n"/>
    </row>
    <row r="159" ht="15" customHeight="1">
      <c r="B159" s="17" t="inlineStr">
        <is>
          <t>Net income (incl. noncontrolling interest)</t>
        </is>
      </c>
      <c r="C159" s="198">
        <f>IF(ISNUMBER(C157),C157+N(C158),"")</f>
        <v/>
      </c>
      <c r="D159" s="198">
        <f>IF(ISNUMBER(D157),D157+N(D158),"")</f>
        <v/>
      </c>
      <c r="E159" s="198">
        <f>IF(ISNUMBER(E157),E157+N(E158),"")</f>
        <v/>
      </c>
      <c r="F159" s="198">
        <f>IF(ISNUMBER(F157),F157+N(F158),"")</f>
        <v/>
      </c>
      <c r="G159" s="198">
        <f>IF(ISNUMBER(G157),G157+N(G158),"")</f>
        <v/>
      </c>
      <c r="H159" s="198">
        <f>IF(ISNUMBER(H157),H157+N(H158),"")</f>
        <v/>
      </c>
      <c r="I159" s="198">
        <f>IF(ISNUMBER(I157),I157+N(I158),"")</f>
        <v/>
      </c>
      <c r="J159" s="198">
        <f>IF(ISNUMBER(J157),J157+N(J158),"")</f>
        <v/>
      </c>
      <c r="K159" s="198">
        <f>IF(ISNUMBER(K157),K157+N(K158),"")</f>
        <v/>
      </c>
      <c r="L159" s="198">
        <f>IF(ISNUMBER(L157),L157+N(L158),"")</f>
        <v/>
      </c>
      <c r="M159" s="198">
        <f>IF(ISNUMBER(M157),M157+N(M158),"")</f>
        <v/>
      </c>
      <c r="N159" s="198">
        <f>IF(ISNUMBER(N157),N157+N(N158),"")</f>
        <v/>
      </c>
      <c r="O159" s="198">
        <f>IF(ISNUMBER(O157),O157+N(O158),"")</f>
        <v/>
      </c>
      <c r="P159" s="198">
        <f>IF(ISNUMBER(P157),P157+N(P158),"")</f>
        <v/>
      </c>
      <c r="Q159" s="198">
        <f>IF(ISNUMBER(Q157),Q157+N(Q158),"")</f>
        <v/>
      </c>
      <c r="R159" s="198">
        <f>IF(ISNUMBER(R157),R157+N(R158),"")</f>
        <v/>
      </c>
      <c r="S159" s="198">
        <f>IF(ISNUMBER(S157),S157+N(S158),"")</f>
        <v/>
      </c>
      <c r="T159" s="198">
        <f>IF(ISNUMBER(T157),T157+N(T158),"")</f>
        <v/>
      </c>
      <c r="U159" s="198">
        <f>IF(ISNUMBER(U157),U157+N(U158),"")</f>
        <v/>
      </c>
      <c r="V159" s="198">
        <f>IF(ISNUMBER(V157),V157+N(V158),"")</f>
        <v/>
      </c>
      <c r="W159" s="198">
        <f>IF(ISNUMBER(W157),W157+N(W158),"")</f>
        <v/>
      </c>
      <c r="X159" s="198">
        <f>IF(ISNUMBER(X157),X157+N(X158),"")</f>
        <v/>
      </c>
      <c r="Y159" s="198">
        <f>IF(ISNUMBER(Y157),Y157+N(Y158),"")</f>
        <v/>
      </c>
      <c r="Z159" s="198">
        <f>IF(ISNUMBER(Z157),Z157+N(Z158),"")</f>
        <v/>
      </c>
      <c r="AA159" s="198">
        <f>IF(ISNUMBER(AA157),AA157+N(AA158),"")</f>
        <v/>
      </c>
      <c r="AB159" s="198">
        <f>IF(ISNUMBER(AB157),AB157+N(AB158),"")</f>
        <v/>
      </c>
      <c r="AC159" s="198">
        <f>IF(ISNUMBER(AC157),AC157+N(AC158),"")</f>
        <v/>
      </c>
      <c r="AD159" s="198">
        <f>IF(ISNUMBER(AD157),AD157+N(AD158),"")</f>
        <v/>
      </c>
      <c r="AE159" s="198">
        <f>IF(ISNUMBER(AE157),AE157+N(AE158),"")</f>
        <v/>
      </c>
      <c r="AF159" s="198">
        <f>IF(ISNUMBER(AF157),AF157+N(AF158),"")</f>
        <v/>
      </c>
      <c r="AG159" s="198">
        <f>IF(ISNUMBER(AG157),AG157+N(AG158),"")</f>
        <v/>
      </c>
      <c r="AH159" s="198">
        <f>IF(ISNUMBER(AH157),AH157+N(AH158),"")</f>
        <v/>
      </c>
      <c r="AI159" s="198">
        <f>IF(ISNUMBER(AI157),AI157+N(AI158),"")</f>
        <v/>
      </c>
      <c r="AJ159" s="198">
        <f>IF(ISNUMBER(AJ157),AJ157+N(AJ158),"")</f>
        <v/>
      </c>
      <c r="AK159" s="198">
        <f>IF(ISNUMBER(AK157),AK157+N(AK158),"")</f>
        <v/>
      </c>
      <c r="AL159" s="198">
        <f>IF(ISNUMBER(AL157),AL157+N(AL158),"")</f>
        <v/>
      </c>
      <c r="AM159" s="198">
        <f>IF(ISNUMBER(AM157),AM157+N(AM158),"")</f>
        <v/>
      </c>
      <c r="AN159" s="198">
        <f>IF(ISNUMBER(AN157),AN157+N(AN158),"")</f>
        <v/>
      </c>
      <c r="AO159" s="198">
        <f>IF(ISNUMBER(AO157),AO157+N(AO158),"")</f>
        <v/>
      </c>
      <c r="AP159" s="198">
        <f>IF(ISNUMBER(AP157),AP157+N(AP158),"")</f>
        <v/>
      </c>
      <c r="AQ159" s="198">
        <f>IF(ISNUMBER(AQ157),AQ157+N(AQ158),"")</f>
        <v/>
      </c>
      <c r="AR159" s="198">
        <f>IF(ISNUMBER(AR157),AR157+N(AR158),"")</f>
        <v/>
      </c>
      <c r="AS159" s="198">
        <f>IF(ISNUMBER(AS157),AS157+N(AS158),"")</f>
        <v/>
      </c>
      <c r="AT159" s="198">
        <f>IF(ISNUMBER(AT157),AT157+N(AT158),"")</f>
        <v/>
      </c>
      <c r="AU159" s="198">
        <f>IF(ISNUMBER(AU157),AU157+N(AU158),"")</f>
        <v/>
      </c>
      <c r="AV159" s="198">
        <f>IF(ISNUMBER(AV157),AV157+N(AV158),"")</f>
        <v/>
      </c>
      <c r="AW159" s="198">
        <f>IF(ISNUMBER(AW157),AW157+N(AW158),"")</f>
        <v/>
      </c>
      <c r="AX159" s="198">
        <f>IF(ISNUMBER(AX157),AX157+N(AX158),"")</f>
        <v/>
      </c>
      <c r="AY159" s="198">
        <f>IF(ISNUMBER(AY157),AY157+N(AY158),"")</f>
        <v/>
      </c>
      <c r="AZ159" s="198">
        <f>IF(ISNUMBER(AZ157),AZ157+N(AZ158),"")</f>
        <v/>
      </c>
      <c r="BA159" s="198">
        <f>IF(ISNUMBER(BA157),BA157+N(BA158),"")</f>
        <v/>
      </c>
      <c r="BB159" s="198">
        <f>IF(ISNUMBER(BB157),BB157+N(BB158),"")</f>
        <v/>
      </c>
      <c r="BC159" s="198">
        <f>IF(ISNUMBER(BC157),BC157+N(BC158),"")</f>
        <v/>
      </c>
      <c r="BD159" s="198">
        <f>IF(ISNUMBER(BD157),BD157+N(BD158),"")</f>
        <v/>
      </c>
      <c r="BE159" s="198">
        <f>IF(ISNUMBER(BE157),BE157+N(BE158),"")</f>
        <v/>
      </c>
      <c r="BF159" s="198">
        <f>IF(ISNUMBER(BF157),BF157+N(BF158),"")</f>
        <v/>
      </c>
      <c r="BG159" s="198">
        <f>IF(ISNUMBER(BG157),BG157+N(BG158),"")</f>
        <v/>
      </c>
      <c r="BH159" s="198">
        <f>IF(ISNUMBER(BH157),BH157+N(BH158),"")</f>
        <v/>
      </c>
      <c r="BI159" s="198">
        <f>IF(ISNUMBER(BI157),BI157+N(BI158),"")</f>
        <v/>
      </c>
      <c r="BJ159" s="198">
        <f>IF(ISNUMBER(BJ157),BJ157+N(BJ158),"")</f>
        <v/>
      </c>
      <c r="BK159" s="198">
        <f>IF(ISNUMBER(BK157),BK157+N(BK158),"")</f>
        <v/>
      </c>
      <c r="BL159" s="198">
        <f>IF(ISNUMBER(BL157),BL157+N(BL158),"")</f>
        <v/>
      </c>
      <c r="BM159" s="198">
        <f>IF(ISNUMBER(BM157),BM157+N(BM158),"")</f>
        <v/>
      </c>
      <c r="BN159" s="198">
        <f>IF(ISNUMBER(BN157),BN157+N(BN158),"")</f>
        <v/>
      </c>
      <c r="BO159" s="198">
        <f>IF(ISNUMBER(BO157),BO157+N(BO158),"")</f>
        <v/>
      </c>
      <c r="BP159" s="198">
        <f>IF(ISNUMBER(BP157),BP157+N(BP158),"")</f>
        <v/>
      </c>
      <c r="BQ159" s="198">
        <f>IF(ISNUMBER(BQ157),BQ157+N(BQ158),"")</f>
        <v/>
      </c>
      <c r="BR159" s="198">
        <f>IF(ISNUMBER(BR157),BR157+N(BR158),"")</f>
        <v/>
      </c>
      <c r="BS159" s="198">
        <f>IF(ISNUMBER(BS157),BS157+N(BS158),"")</f>
        <v/>
      </c>
      <c r="BT159" s="198">
        <f>IF(ISNUMBER(BT157),BT157+N(BT158),"")</f>
        <v/>
      </c>
      <c r="BU159" s="198">
        <f>IF(ISNUMBER(BU157),BU157+N(BU158),"")</f>
        <v/>
      </c>
      <c r="BV159" s="198">
        <f>IF(ISNUMBER(BV157),BV157+N(BV158),"")</f>
        <v/>
      </c>
      <c r="BW159" s="198">
        <f>IF(ISNUMBER(BW157),BW157+N(BW158),"")</f>
        <v/>
      </c>
      <c r="BX159" s="198">
        <f>IF(ISNUMBER(BX157),BX157+N(BX158),"")</f>
        <v/>
      </c>
      <c r="BY159" s="185">
        <f>IF(ISNUMBER(BY157),BY157+N(BY158),"")</f>
        <v/>
      </c>
      <c r="BZ159" s="185">
        <f>IF(ISNUMBER(BZ157),BZ157+N(BZ158),"")</f>
        <v/>
      </c>
      <c r="CA159" s="185">
        <f>IF(ISNUMBER(CA157),CA157+N(CA158),"")</f>
        <v/>
      </c>
      <c r="CB159" s="185">
        <f>IF(ISNUMBER(CB157),CB157+N(CB158),"")</f>
        <v/>
      </c>
      <c r="CC159" s="185">
        <f>IF(ISNUMBER(CC157),CC157+N(CC158),"")</f>
        <v/>
      </c>
      <c r="CD159" s="185">
        <f>IF(ISNUMBER(CD157),CD157+N(CD158),"")</f>
        <v/>
      </c>
      <c r="CE159" s="185">
        <f>IF(ISNUMBER(CE157),CE157+N(CE158),"")</f>
        <v/>
      </c>
      <c r="CF159" s="6" t="n"/>
    </row>
    <row r="160" ht="15" customHeight="1">
      <c r="B160" s="26" t="inlineStr">
        <is>
          <t xml:space="preserve">  Less: net income attributable to noncontrolling interest</t>
        </is>
      </c>
      <c r="C160" s="36" t="n"/>
      <c r="D160" s="36" t="n"/>
      <c r="E160" s="36" t="n"/>
      <c r="F160" s="174" t="n">
        <v>0</v>
      </c>
      <c r="G160" s="174" t="n">
        <v>0</v>
      </c>
      <c r="H160" s="174" t="n">
        <v>0</v>
      </c>
      <c r="I160" s="174" t="n">
        <v>0</v>
      </c>
      <c r="J160" s="174" t="n">
        <v>0</v>
      </c>
      <c r="K160" s="174" t="n">
        <v>0</v>
      </c>
      <c r="L160" s="174" t="n">
        <v>0</v>
      </c>
      <c r="M160" s="174" t="n">
        <v>0</v>
      </c>
      <c r="N160" s="174" t="n">
        <v>0</v>
      </c>
      <c r="O160" s="174" t="n">
        <v>0</v>
      </c>
      <c r="P160" s="174" t="n">
        <v>0</v>
      </c>
      <c r="Q160" s="174" t="n">
        <v>0</v>
      </c>
      <c r="R160" s="174" t="n">
        <v>0</v>
      </c>
      <c r="S160" s="174" t="n">
        <v>0</v>
      </c>
      <c r="T160" s="174" t="n">
        <v>0</v>
      </c>
      <c r="U160" s="174" t="n">
        <v>0</v>
      </c>
      <c r="V160" s="174" t="n">
        <v>0</v>
      </c>
      <c r="W160" s="174" t="n">
        <v>0</v>
      </c>
      <c r="X160" s="174" t="n">
        <v>0</v>
      </c>
      <c r="Y160" s="174" t="n">
        <v>0</v>
      </c>
      <c r="Z160" s="174" t="n">
        <v>0</v>
      </c>
      <c r="AA160" s="174" t="n">
        <v>0</v>
      </c>
      <c r="AB160" s="174" t="n">
        <v>8.5</v>
      </c>
      <c r="AC160" s="174" t="n">
        <v>8.5</v>
      </c>
      <c r="AD160" s="174" t="n">
        <v>-1.9</v>
      </c>
      <c r="AE160" s="174" t="n">
        <v>0.1</v>
      </c>
      <c r="AF160" s="174" t="n">
        <v>1</v>
      </c>
      <c r="AG160" s="174" t="n">
        <v>0.7</v>
      </c>
      <c r="AH160" s="174" t="n">
        <v>0</v>
      </c>
      <c r="AI160" s="174" t="n">
        <v>-0.9</v>
      </c>
      <c r="AJ160" s="174" t="n">
        <v>-1.1</v>
      </c>
      <c r="AK160" s="174" t="n">
        <v>-1.7</v>
      </c>
      <c r="AL160" s="174" t="n">
        <v>0.5</v>
      </c>
      <c r="AM160" s="174" t="n">
        <v>-3.2</v>
      </c>
      <c r="AN160" s="174" t="n">
        <v>0.5</v>
      </c>
      <c r="AO160" s="174" t="n">
        <v>-1.4</v>
      </c>
      <c r="AP160" s="174" t="n">
        <v>-0.5</v>
      </c>
      <c r="AQ160" s="174" t="n">
        <v>1.3</v>
      </c>
      <c r="AR160" s="174" t="n">
        <v>-0.2</v>
      </c>
      <c r="AS160" s="174" t="n">
        <v>-0.4</v>
      </c>
      <c r="AT160" s="174" t="n">
        <v>-1</v>
      </c>
      <c r="AU160" s="174" t="n">
        <v>0.4</v>
      </c>
      <c r="AV160" s="174" t="n">
        <v>-1.1</v>
      </c>
      <c r="AW160" s="174" t="n">
        <v>-2.1</v>
      </c>
      <c r="AX160" s="174" t="n">
        <v>2.3</v>
      </c>
      <c r="AY160" s="174" t="n">
        <v>0.4</v>
      </c>
      <c r="AZ160" s="174" t="n">
        <v>1.2</v>
      </c>
      <c r="BA160" s="174" t="n">
        <v>3</v>
      </c>
      <c r="BB160" s="174" t="n">
        <v>7</v>
      </c>
      <c r="BC160" s="174" t="n">
        <v>1</v>
      </c>
      <c r="BD160" s="174" t="n">
        <v>3</v>
      </c>
      <c r="BE160" s="174" t="n">
        <v>3</v>
      </c>
      <c r="BF160" s="174" t="n">
        <v>1</v>
      </c>
      <c r="BG160" s="174" t="n">
        <v>8</v>
      </c>
      <c r="BH160" s="174" t="n">
        <v>4</v>
      </c>
      <c r="BI160" s="174" t="n">
        <v>2</v>
      </c>
      <c r="BJ160" s="174" t="n">
        <v>2</v>
      </c>
      <c r="BK160" s="174" t="n">
        <v>2</v>
      </c>
      <c r="BL160" s="174" t="n">
        <v>10</v>
      </c>
      <c r="BM160" s="174" t="n">
        <v>5</v>
      </c>
      <c r="BN160" s="174" t="n">
        <v>2</v>
      </c>
      <c r="BO160" s="174" t="n">
        <v>3</v>
      </c>
      <c r="BP160" s="174" t="n">
        <v>1</v>
      </c>
      <c r="BQ160" s="174" t="n">
        <v>11</v>
      </c>
      <c r="BR160" s="174" t="n">
        <v>5</v>
      </c>
      <c r="BS160" s="174" t="n">
        <v>3</v>
      </c>
      <c r="BT160" s="174" t="n">
        <v>3</v>
      </c>
      <c r="BU160" s="174" t="n">
        <v>2</v>
      </c>
      <c r="BV160" s="174" t="n">
        <v>13</v>
      </c>
      <c r="BW160" s="174" t="n">
        <v>1</v>
      </c>
      <c r="BX160" s="174" t="n">
        <v>1</v>
      </c>
      <c r="BY160" s="178">
        <f>(BW160+BX160)/2</f>
        <v/>
      </c>
      <c r="BZ160" s="178">
        <f>(BW160+BX160)/2</f>
        <v/>
      </c>
      <c r="CA160" s="178">
        <f>SUM(BW160,BX160,BY160,BZ160)</f>
        <v/>
      </c>
      <c r="CB160" s="188" t="n">
        <v>5</v>
      </c>
      <c r="CC160" s="188" t="n">
        <v>5</v>
      </c>
      <c r="CD160" s="188" t="n">
        <v>5</v>
      </c>
      <c r="CE160" s="188" t="n">
        <v>5</v>
      </c>
      <c r="CF160" s="20" t="n"/>
    </row>
    <row r="161" ht="15" customHeight="1">
      <c r="B161" s="59" t="inlineStr">
        <is>
          <t>Net income attributable to Wabtec shareholders</t>
        </is>
      </c>
      <c r="C161" s="193">
        <f>IF(ISNUMBER(C159),C159-N(C160),"")</f>
        <v/>
      </c>
      <c r="D161" s="193">
        <f>IF(ISNUMBER(D159),D159-N(D160),"")</f>
        <v/>
      </c>
      <c r="E161" s="193">
        <f>IF(ISNUMBER(E159),E159-N(E160),"")</f>
        <v/>
      </c>
      <c r="F161" s="193">
        <f>IF(ISNUMBER(F159),F159-N(F160),"")</f>
        <v/>
      </c>
      <c r="G161" s="193">
        <f>IF(ISNUMBER(G159),G159-N(G160),"")</f>
        <v/>
      </c>
      <c r="H161" s="193">
        <f>IF(ISNUMBER(H159),H159-N(H160),"")</f>
        <v/>
      </c>
      <c r="I161" s="193">
        <f>IF(ISNUMBER(I159),I159-N(I160),"")</f>
        <v/>
      </c>
      <c r="J161" s="193">
        <f>IF(ISNUMBER(J159),J159-N(J160),"")</f>
        <v/>
      </c>
      <c r="K161" s="193">
        <f>IF(ISNUMBER(K159),K159-N(K160),"")</f>
        <v/>
      </c>
      <c r="L161" s="193">
        <f>IF(ISNUMBER(L159),L159-N(L160),"")</f>
        <v/>
      </c>
      <c r="M161" s="193">
        <f>IF(ISNUMBER(M159),M159-N(M160),"")</f>
        <v/>
      </c>
      <c r="N161" s="193">
        <f>IF(ISNUMBER(N159),N159-N(N160),"")</f>
        <v/>
      </c>
      <c r="O161" s="193">
        <f>IF(ISNUMBER(O159),O159-N(O160),"")</f>
        <v/>
      </c>
      <c r="P161" s="193">
        <f>IF(ISNUMBER(P159),P159-N(P160),"")</f>
        <v/>
      </c>
      <c r="Q161" s="193">
        <f>IF(ISNUMBER(Q159),Q159-N(Q160),"")</f>
        <v/>
      </c>
      <c r="R161" s="193">
        <f>IF(ISNUMBER(R159),R159-N(R160),"")</f>
        <v/>
      </c>
      <c r="S161" s="193">
        <f>IF(ISNUMBER(S159),S159-N(S160),"")</f>
        <v/>
      </c>
      <c r="T161" s="193">
        <f>IF(ISNUMBER(T159),T159-N(T160),"")</f>
        <v/>
      </c>
      <c r="U161" s="193">
        <f>IF(ISNUMBER(U159),U159-N(U160),"")</f>
        <v/>
      </c>
      <c r="V161" s="193">
        <f>IF(ISNUMBER(V159),V159-N(V160),"")</f>
        <v/>
      </c>
      <c r="W161" s="193">
        <f>IF(ISNUMBER(W159),W159-N(W160),"")</f>
        <v/>
      </c>
      <c r="X161" s="193">
        <f>IF(ISNUMBER(X159),X159-N(X160),"")</f>
        <v/>
      </c>
      <c r="Y161" s="193">
        <f>IF(ISNUMBER(Y159),Y159-N(Y160),"")</f>
        <v/>
      </c>
      <c r="Z161" s="193">
        <f>IF(ISNUMBER(Z159),Z159-N(Z160),"")</f>
        <v/>
      </c>
      <c r="AA161" s="193">
        <f>IF(ISNUMBER(AA159),AA159-N(AA160),"")</f>
        <v/>
      </c>
      <c r="AB161" s="193">
        <f>IF(ISNUMBER(AB159),AB159-N(AB160),"")</f>
        <v/>
      </c>
      <c r="AC161" s="193">
        <f>IF(ISNUMBER(AC159),AC159-N(AC160),"")</f>
        <v/>
      </c>
      <c r="AD161" s="193">
        <f>IF(ISNUMBER(AD159),AD159-N(AD160),"")</f>
        <v/>
      </c>
      <c r="AE161" s="193">
        <f>IF(ISNUMBER(AE159),AE159-N(AE160),"")</f>
        <v/>
      </c>
      <c r="AF161" s="193">
        <f>IF(ISNUMBER(AF159),AF159-N(AF160),"")</f>
        <v/>
      </c>
      <c r="AG161" s="193">
        <f>IF(ISNUMBER(AG159),AG159-N(AG160),"")</f>
        <v/>
      </c>
      <c r="AH161" s="193">
        <f>IF(ISNUMBER(AH159),AH159-N(AH160),"")</f>
        <v/>
      </c>
      <c r="AI161" s="193">
        <f>IF(ISNUMBER(AI159),AI159-N(AI160),"")</f>
        <v/>
      </c>
      <c r="AJ161" s="193">
        <f>IF(ISNUMBER(AJ159),AJ159-N(AJ160),"")</f>
        <v/>
      </c>
      <c r="AK161" s="193">
        <f>IF(ISNUMBER(AK159),AK159-N(AK160),"")</f>
        <v/>
      </c>
      <c r="AL161" s="193">
        <f>IF(ISNUMBER(AL159),AL159-N(AL160),"")</f>
        <v/>
      </c>
      <c r="AM161" s="193">
        <f>IF(ISNUMBER(AM159),AM159-N(AM160),"")</f>
        <v/>
      </c>
      <c r="AN161" s="193">
        <f>IF(ISNUMBER(AN159),AN159-N(AN160),"")</f>
        <v/>
      </c>
      <c r="AO161" s="193">
        <f>IF(ISNUMBER(AO159),AO159-N(AO160),"")</f>
        <v/>
      </c>
      <c r="AP161" s="193">
        <f>IF(ISNUMBER(AP159),AP159-N(AP160),"")</f>
        <v/>
      </c>
      <c r="AQ161" s="193">
        <f>IF(ISNUMBER(AQ159),AQ159-N(AQ160),"")</f>
        <v/>
      </c>
      <c r="AR161" s="193">
        <f>IF(ISNUMBER(AR159),AR159-N(AR160),"")</f>
        <v/>
      </c>
      <c r="AS161" s="193">
        <f>IF(ISNUMBER(AS159),AS159-N(AS160),"")</f>
        <v/>
      </c>
      <c r="AT161" s="193">
        <f>IF(ISNUMBER(AT159),AT159-N(AT160),"")</f>
        <v/>
      </c>
      <c r="AU161" s="193">
        <f>IF(ISNUMBER(AU159),AU159-N(AU160),"")</f>
        <v/>
      </c>
      <c r="AV161" s="193">
        <f>IF(ISNUMBER(AV159),AV159-N(AV160),"")</f>
        <v/>
      </c>
      <c r="AW161" s="193">
        <f>IF(ISNUMBER(AW159),AW159-N(AW160),"")</f>
        <v/>
      </c>
      <c r="AX161" s="193">
        <f>IF(ISNUMBER(AX159),AX159-N(AX160),"")</f>
        <v/>
      </c>
      <c r="AY161" s="193">
        <f>IF(ISNUMBER(AY159),AY159-N(AY160),"")</f>
        <v/>
      </c>
      <c r="AZ161" s="193">
        <f>IF(ISNUMBER(AZ159),AZ159-N(AZ160),"")</f>
        <v/>
      </c>
      <c r="BA161" s="193">
        <f>IF(ISNUMBER(BA159),BA159-N(BA160),"")</f>
        <v/>
      </c>
      <c r="BB161" s="193">
        <f>IF(ISNUMBER(BB159),BB159-N(BB160),"")</f>
        <v/>
      </c>
      <c r="BC161" s="193">
        <f>IF(ISNUMBER(BC159),BC159-N(BC160),"")</f>
        <v/>
      </c>
      <c r="BD161" s="193">
        <f>IF(ISNUMBER(BD159),BD159-N(BD160),"")</f>
        <v/>
      </c>
      <c r="BE161" s="193">
        <f>IF(ISNUMBER(BE159),BE159-N(BE160),"")</f>
        <v/>
      </c>
      <c r="BF161" s="193">
        <f>IF(ISNUMBER(BF159),BF159-N(BF160),"")</f>
        <v/>
      </c>
      <c r="BG161" s="193">
        <f>IF(ISNUMBER(BG159),BG159-N(BG160),"")</f>
        <v/>
      </c>
      <c r="BH161" s="193">
        <f>IF(ISNUMBER(BH159),BH159-N(BH160),"")</f>
        <v/>
      </c>
      <c r="BI161" s="193">
        <f>IF(ISNUMBER(BI159),BI159-N(BI160),"")</f>
        <v/>
      </c>
      <c r="BJ161" s="193">
        <f>IF(ISNUMBER(BJ159),BJ159-N(BJ160),"")</f>
        <v/>
      </c>
      <c r="BK161" s="193">
        <f>IF(ISNUMBER(BK159),BK159-N(BK160),"")</f>
        <v/>
      </c>
      <c r="BL161" s="193">
        <f>IF(ISNUMBER(BL159),BL159-N(BL160),"")</f>
        <v/>
      </c>
      <c r="BM161" s="193">
        <f>IF(ISNUMBER(BM159),BM159-N(BM160),"")</f>
        <v/>
      </c>
      <c r="BN161" s="193">
        <f>IF(ISNUMBER(BN159),BN159-N(BN160),"")</f>
        <v/>
      </c>
      <c r="BO161" s="193">
        <f>IF(ISNUMBER(BO159),BO159-N(BO160),"")</f>
        <v/>
      </c>
      <c r="BP161" s="193">
        <f>IF(ISNUMBER(BP159),BP159-N(BP160),"")</f>
        <v/>
      </c>
      <c r="BQ161" s="193">
        <f>IF(ISNUMBER(BQ159),BQ159-N(BQ160),"")</f>
        <v/>
      </c>
      <c r="BR161" s="193">
        <f>IF(ISNUMBER(BR159),BR159-N(BR160),"")</f>
        <v/>
      </c>
      <c r="BS161" s="193">
        <f>IF(ISNUMBER(BS159),BS159-N(BS160),"")</f>
        <v/>
      </c>
      <c r="BT161" s="193">
        <f>IF(ISNUMBER(BT159),BT159-N(BT160),"")</f>
        <v/>
      </c>
      <c r="BU161" s="193">
        <f>IF(ISNUMBER(BU159),BU159-N(BU160),"")</f>
        <v/>
      </c>
      <c r="BV161" s="193">
        <f>IF(ISNUMBER(BV159),BV159-N(BV160),"")</f>
        <v/>
      </c>
      <c r="BW161" s="193">
        <f>IF(ISNUMBER(BW159),BW159-N(BW160),"")</f>
        <v/>
      </c>
      <c r="BX161" s="193">
        <f>IF(ISNUMBER(BX159),BX159-N(BX160),"")</f>
        <v/>
      </c>
      <c r="BY161" s="193">
        <f>IF(ISNUMBER(BY159),BY159-N(BY160),"")</f>
        <v/>
      </c>
      <c r="BZ161" s="193">
        <f>IF(ISNUMBER(BZ159),BZ159-N(BZ160),"")</f>
        <v/>
      </c>
      <c r="CA161" s="193">
        <f>IF(ISNUMBER(CA159),CA159-N(CA160),"")</f>
        <v/>
      </c>
      <c r="CB161" s="193">
        <f>IF(ISNUMBER(CB159),CB159-N(CB160),"")</f>
        <v/>
      </c>
      <c r="CC161" s="193">
        <f>IF(ISNUMBER(CC159),CC159-N(CC160),"")</f>
        <v/>
      </c>
      <c r="CD161" s="193">
        <f>IF(ISNUMBER(CD159),CD159-N(CD160),"")</f>
        <v/>
      </c>
      <c r="CE161" s="193">
        <f>IF(ISNUMBER(CE159),CE159-N(CE160),"")</f>
        <v/>
      </c>
      <c r="CF161" s="6" t="n"/>
      <c r="CH161" s="21">
        <f>IFERROR((CE161/BV161)^(1/5)-1,"n/m")</f>
        <v/>
      </c>
      <c r="CI161" s="21">
        <f>IFERROR((BV161/AW161)^(1/5)-1,"n/m")</f>
        <v/>
      </c>
      <c r="CJ161" s="21">
        <f>IFERROR((BV161/X161)^(1/10)-1,"n/m")</f>
        <v/>
      </c>
      <c r="CK161" s="21">
        <f>IFERROR((BV161/C161)^(1/19)-1,"n/m")</f>
        <v/>
      </c>
    </row>
    <row r="162" ht="15" customHeight="1">
      <c r="B162" s="61" t="inlineStr">
        <is>
          <t xml:space="preserve">  Check: net income attributable vs reported (should be 0; ±0.5 rounding)</t>
        </is>
      </c>
      <c r="C162" s="189">
        <f>IF(ISNUMBER(C163),IF(ABS(C161-C163)&lt;=0.55,0,ROUND(C161-C163,1)),"")</f>
        <v/>
      </c>
      <c r="D162" s="189">
        <f>IF(ISNUMBER(D163),IF(ABS(D161-D163)&lt;=0.55,0,ROUND(D161-D163,1)),"")</f>
        <v/>
      </c>
      <c r="E162" s="189">
        <f>IF(ISNUMBER(E163),IF(ABS(E161-E163)&lt;=0.55,0,ROUND(E161-E163,1)),"")</f>
        <v/>
      </c>
      <c r="F162" s="189">
        <f>IF(ISNUMBER(F163),IF(ABS(F161-F163)&lt;=0.55,0,ROUND(F161-F163,1)),"")</f>
        <v/>
      </c>
      <c r="G162" s="189">
        <f>IF(ISNUMBER(G163),IF(ABS(G161-G163)&lt;=0.55,0,ROUND(G161-G163,1)),"")</f>
        <v/>
      </c>
      <c r="H162" s="189">
        <f>IF(ISNUMBER(H163),IF(ABS(H161-H163)&lt;=0.55,0,ROUND(H161-H163,1)),"")</f>
        <v/>
      </c>
      <c r="I162" s="189">
        <f>IF(ISNUMBER(I163),IF(ABS(I161-I163)&lt;=0.55,0,ROUND(I161-I163,1)),"")</f>
        <v/>
      </c>
      <c r="J162" s="189">
        <f>IF(ISNUMBER(J163),IF(ABS(J161-J163)&lt;=0.55,0,ROUND(J161-J163,1)),"")</f>
        <v/>
      </c>
      <c r="K162" s="189">
        <f>IF(ISNUMBER(K163),IF(ABS(K161-K163)&lt;=0.55,0,ROUND(K161-K163,1)),"")</f>
        <v/>
      </c>
      <c r="L162" s="189">
        <f>IF(ISNUMBER(L163),IF(ABS(L161-L163)&lt;=0.55,0,ROUND(L161-L163,1)),"")</f>
        <v/>
      </c>
      <c r="M162" s="189">
        <f>IF(ISNUMBER(M163),IF(ABS(M161-M163)&lt;=0.55,0,ROUND(M161-M163,1)),"")</f>
        <v/>
      </c>
      <c r="N162" s="189">
        <f>IF(ISNUMBER(N163),IF(ABS(N161-N163)&lt;=0.55,0,ROUND(N161-N163,1)),"")</f>
        <v/>
      </c>
      <c r="O162" s="189">
        <f>IF(ISNUMBER(O163),IF(ABS(O161-O163)&lt;=0.55,0,ROUND(O161-O163,1)),"")</f>
        <v/>
      </c>
      <c r="P162" s="189">
        <f>IF(ISNUMBER(P163),IF(ABS(P161-P163)&lt;=0.55,0,ROUND(P161-P163,1)),"")</f>
        <v/>
      </c>
      <c r="Q162" s="189">
        <f>IF(ISNUMBER(Q163),IF(ABS(Q161-Q163)&lt;=0.55,0,ROUND(Q161-Q163,1)),"")</f>
        <v/>
      </c>
      <c r="R162" s="189">
        <f>IF(ISNUMBER(R163),IF(ABS(R161-R163)&lt;=0.55,0,ROUND(R161-R163,1)),"")</f>
        <v/>
      </c>
      <c r="S162" s="189">
        <f>IF(ISNUMBER(S163),IF(ABS(S161-S163)&lt;=0.55,0,ROUND(S161-S163,1)),"")</f>
        <v/>
      </c>
      <c r="T162" s="189">
        <f>IF(ISNUMBER(T163),IF(ABS(T161-T163)&lt;=0.55,0,ROUND(T161-T163,1)),"")</f>
        <v/>
      </c>
      <c r="U162" s="189">
        <f>IF(ISNUMBER(U163),IF(ABS(U161-U163)&lt;=0.55,0,ROUND(U161-U163,1)),"")</f>
        <v/>
      </c>
      <c r="V162" s="189">
        <f>IF(ISNUMBER(V163),IF(ABS(V161-V163)&lt;=0.55,0,ROUND(V161-V163,1)),"")</f>
        <v/>
      </c>
      <c r="W162" s="189">
        <f>IF(ISNUMBER(W163),IF(ABS(W161-W163)&lt;=0.55,0,ROUND(W161-W163,1)),"")</f>
        <v/>
      </c>
      <c r="X162" s="189">
        <f>IF(ISNUMBER(X163),IF(ABS(X161-X163)&lt;=0.55,0,ROUND(X161-X163,1)),"")</f>
        <v/>
      </c>
      <c r="Y162" s="189">
        <f>IF(ISNUMBER(Y163),IF(ABS(Y161-Y163)&lt;=0.55,0,ROUND(Y161-Y163,1)),"")</f>
        <v/>
      </c>
      <c r="Z162" s="189">
        <f>IF(ISNUMBER(Z163),IF(ABS(Z161-Z163)&lt;=0.55,0,ROUND(Z161-Z163,1)),"")</f>
        <v/>
      </c>
      <c r="AA162" s="189">
        <f>IF(ISNUMBER(AA163),IF(ABS(AA161-AA163)&lt;=0.55,0,ROUND(AA161-AA163,1)),"")</f>
        <v/>
      </c>
      <c r="AB162" s="189">
        <f>IF(ISNUMBER(AB163),IF(ABS(AB161-AB163)&lt;=0.55,0,ROUND(AB161-AB163,1)),"")</f>
        <v/>
      </c>
      <c r="AC162" s="189">
        <f>IF(ISNUMBER(AC163),IF(ABS(AC161-AC163)&lt;=0.55,0,ROUND(AC161-AC163,1)),"")</f>
        <v/>
      </c>
      <c r="AD162" s="189">
        <f>IF(ISNUMBER(AD163),IF(ABS(AD161-AD163)&lt;=0.55,0,ROUND(AD161-AD163,1)),"")</f>
        <v/>
      </c>
      <c r="AE162" s="189">
        <f>IF(ISNUMBER(AE163),IF(ABS(AE161-AE163)&lt;=0.55,0,ROUND(AE161-AE163,1)),"")</f>
        <v/>
      </c>
      <c r="AF162" s="189">
        <f>IF(ISNUMBER(AF163),IF(ABS(AF161-AF163)&lt;=0.55,0,ROUND(AF161-AF163,1)),"")</f>
        <v/>
      </c>
      <c r="AG162" s="189">
        <f>IF(ISNUMBER(AG163),IF(ABS(AG161-AG163)&lt;=0.55,0,ROUND(AG161-AG163,1)),"")</f>
        <v/>
      </c>
      <c r="AH162" s="189">
        <f>IF(ISNUMBER(AH163),IF(ABS(AH161-AH163)&lt;=0.55,0,ROUND(AH161-AH163,1)),"")</f>
        <v/>
      </c>
      <c r="AI162" s="189">
        <f>IF(ISNUMBER(AI163),IF(ABS(AI161-AI163)&lt;=0.55,0,ROUND(AI161-AI163,1)),"")</f>
        <v/>
      </c>
      <c r="AJ162" s="189">
        <f>IF(ISNUMBER(AJ163),IF(ABS(AJ161-AJ163)&lt;=0.55,0,ROUND(AJ161-AJ163,1)),"")</f>
        <v/>
      </c>
      <c r="AK162" s="189">
        <f>IF(ISNUMBER(AK163),IF(ABS(AK161-AK163)&lt;=0.55,0,ROUND(AK161-AK163,1)),"")</f>
        <v/>
      </c>
      <c r="AL162" s="189">
        <f>IF(ISNUMBER(AL163),IF(ABS(AL161-AL163)&lt;=0.55,0,ROUND(AL161-AL163,1)),"")</f>
        <v/>
      </c>
      <c r="AM162" s="189">
        <f>IF(ISNUMBER(AM163),IF(ABS(AM161-AM163)&lt;=0.55,0,ROUND(AM161-AM163,1)),"")</f>
        <v/>
      </c>
      <c r="AN162" s="189">
        <f>IF(ISNUMBER(AN163),IF(ABS(AN161-AN163)&lt;=0.55,0,ROUND(AN161-AN163,1)),"")</f>
        <v/>
      </c>
      <c r="AO162" s="189">
        <f>IF(ISNUMBER(AO163),IF(ABS(AO161-AO163)&lt;=0.55,0,ROUND(AO161-AO163,1)),"")</f>
        <v/>
      </c>
      <c r="AP162" s="189">
        <f>IF(ISNUMBER(AP163),IF(ABS(AP161-AP163)&lt;=0.55,0,ROUND(AP161-AP163,1)),"")</f>
        <v/>
      </c>
      <c r="AQ162" s="189">
        <f>IF(ISNUMBER(AQ163),IF(ABS(AQ161-AQ163)&lt;=0.55,0,ROUND(AQ161-AQ163,1)),"")</f>
        <v/>
      </c>
      <c r="AR162" s="189">
        <f>IF(ISNUMBER(AR163),IF(ABS(AR161-AR163)&lt;=0.55,0,ROUND(AR161-AR163,1)),"")</f>
        <v/>
      </c>
      <c r="AS162" s="189">
        <f>IF(ISNUMBER(AS163),IF(ABS(AS161-AS163)&lt;=0.55,0,ROUND(AS161-AS163,1)),"")</f>
        <v/>
      </c>
      <c r="AT162" s="189">
        <f>IF(ISNUMBER(AT163),IF(ABS(AT161-AT163)&lt;=0.55,0,ROUND(AT161-AT163,1)),"")</f>
        <v/>
      </c>
      <c r="AU162" s="189">
        <f>IF(ISNUMBER(AU163),IF(ABS(AU161-AU163)&lt;=0.55,0,ROUND(AU161-AU163,1)),"")</f>
        <v/>
      </c>
      <c r="AV162" s="189">
        <f>IF(ISNUMBER(AV163),IF(ABS(AV161-AV163)&lt;=0.55,0,ROUND(AV161-AV163,1)),"")</f>
        <v/>
      </c>
      <c r="AW162" s="189">
        <f>IF(ISNUMBER(AW163),IF(ABS(AW161-AW163)&lt;=0.55,0,ROUND(AW161-AW163,1)),"")</f>
        <v/>
      </c>
      <c r="AX162" s="189">
        <f>IF(ISNUMBER(AX163),IF(ABS(AX161-AX163)&lt;=0.55,0,ROUND(AX161-AX163,1)),"")</f>
        <v/>
      </c>
      <c r="AY162" s="189">
        <f>IF(ISNUMBER(AY163),IF(ABS(AY161-AY163)&lt;=0.55,0,ROUND(AY161-AY163,1)),"")</f>
        <v/>
      </c>
      <c r="AZ162" s="189">
        <f>IF(ISNUMBER(AZ163),IF(ABS(AZ161-AZ163)&lt;=0.55,0,ROUND(AZ161-AZ163,1)),"")</f>
        <v/>
      </c>
      <c r="BA162" s="189">
        <f>IF(ISNUMBER(BA163),IF(ABS(BA161-BA163)&lt;=0.55,0,ROUND(BA161-BA163,1)),"")</f>
        <v/>
      </c>
      <c r="BB162" s="189">
        <f>IF(ISNUMBER(BB163),IF(ABS(BB161-BB163)&lt;=0.55,0,ROUND(BB161-BB163,1)),"")</f>
        <v/>
      </c>
      <c r="BC162" s="189">
        <f>IF(ISNUMBER(BC163),IF(ABS(BC161-BC163)&lt;=0.55,0,ROUND(BC161-BC163,1)),"")</f>
        <v/>
      </c>
      <c r="BD162" s="189">
        <f>IF(ISNUMBER(BD163),IF(ABS(BD161-BD163)&lt;=0.55,0,ROUND(BD161-BD163,1)),"")</f>
        <v/>
      </c>
      <c r="BE162" s="189">
        <f>IF(ISNUMBER(BE163),IF(ABS(BE161-BE163)&lt;=0.55,0,ROUND(BE161-BE163,1)),"")</f>
        <v/>
      </c>
      <c r="BF162" s="189">
        <f>IF(ISNUMBER(BF163),IF(ABS(BF161-BF163)&lt;=0.55,0,ROUND(BF161-BF163,1)),"")</f>
        <v/>
      </c>
      <c r="BG162" s="189">
        <f>IF(ISNUMBER(BG163),IF(ABS(BG161-BG163)&lt;=0.55,0,ROUND(BG161-BG163,1)),"")</f>
        <v/>
      </c>
      <c r="BH162" s="189">
        <f>IF(ISNUMBER(BH163),IF(ABS(BH161-BH163)&lt;=0.55,0,ROUND(BH161-BH163,1)),"")</f>
        <v/>
      </c>
      <c r="BI162" s="189">
        <f>IF(ISNUMBER(BI163),IF(ABS(BI161-BI163)&lt;=0.55,0,ROUND(BI161-BI163,1)),"")</f>
        <v/>
      </c>
      <c r="BJ162" s="189">
        <f>IF(ISNUMBER(BJ163),IF(ABS(BJ161-BJ163)&lt;=0.55,0,ROUND(BJ161-BJ163,1)),"")</f>
        <v/>
      </c>
      <c r="BK162" s="189">
        <f>IF(ISNUMBER(BK163),IF(ABS(BK161-BK163)&lt;=0.55,0,ROUND(BK161-BK163,1)),"")</f>
        <v/>
      </c>
      <c r="BL162" s="189">
        <f>IF(ISNUMBER(BL163),IF(ABS(BL161-BL163)&lt;=0.55,0,ROUND(BL161-BL163,1)),"")</f>
        <v/>
      </c>
      <c r="BM162" s="189">
        <f>IF(ISNUMBER(BM163),IF(ABS(BM161-BM163)&lt;=0.55,0,ROUND(BM161-BM163,1)),"")</f>
        <v/>
      </c>
      <c r="BN162" s="189">
        <f>IF(ISNUMBER(BN163),IF(ABS(BN161-BN163)&lt;=0.55,0,ROUND(BN161-BN163,1)),"")</f>
        <v/>
      </c>
      <c r="BO162" s="189">
        <f>IF(ISNUMBER(BO163),IF(ABS(BO161-BO163)&lt;=0.55,0,ROUND(BO161-BO163,1)),"")</f>
        <v/>
      </c>
      <c r="BP162" s="189">
        <f>IF(ISNUMBER(BP163),IF(ABS(BP161-BP163)&lt;=0.55,0,ROUND(BP161-BP163,1)),"")</f>
        <v/>
      </c>
      <c r="BQ162" s="189">
        <f>IF(ISNUMBER(BQ163),IF(ABS(BQ161-BQ163)&lt;=0.55,0,ROUND(BQ161-BQ163,1)),"")</f>
        <v/>
      </c>
      <c r="BR162" s="189">
        <f>IF(ISNUMBER(BR163),IF(ABS(BR161-BR163)&lt;=0.55,0,ROUND(BR161-BR163,1)),"")</f>
        <v/>
      </c>
      <c r="BS162" s="189">
        <f>IF(ISNUMBER(BS163),IF(ABS(BS161-BS163)&lt;=0.55,0,ROUND(BS161-BS163,1)),"")</f>
        <v/>
      </c>
      <c r="BT162" s="189">
        <f>IF(ISNUMBER(BT163),IF(ABS(BT161-BT163)&lt;=0.55,0,ROUND(BT161-BT163,1)),"")</f>
        <v/>
      </c>
      <c r="BU162" s="189">
        <f>IF(ISNUMBER(BU163),IF(ABS(BU161-BU163)&lt;=0.55,0,ROUND(BU161-BU163,1)),"")</f>
        <v/>
      </c>
      <c r="BV162" s="189">
        <f>IF(ISNUMBER(BV163),IF(ABS(BV161-BV163)&lt;=0.55,0,ROUND(BV161-BV163,1)),"")</f>
        <v/>
      </c>
      <c r="BW162" s="189">
        <f>IF(ISNUMBER(BW163),IF(ABS(BW161-BW163)&lt;=0.55,0,ROUND(BW161-BW163,1)),"")</f>
        <v/>
      </c>
      <c r="BX162" s="189">
        <f>IF(ISNUMBER(BX163),IF(ABS(BX161-BX163)&lt;=0.55,0,ROUND(BX161-BX163,1)),"")</f>
        <v/>
      </c>
      <c r="BY162" s="6" t="n"/>
      <c r="BZ162" s="6" t="n"/>
      <c r="CA162" s="6" t="n"/>
      <c r="CB162" s="6" t="n"/>
      <c r="CC162" s="6" t="n"/>
      <c r="CD162" s="6" t="n"/>
      <c r="CE162" s="6" t="n"/>
      <c r="CF162" s="6" t="n"/>
    </row>
    <row r="163" ht="15" customHeight="1">
      <c r="B163" s="42" t="inlineStr">
        <is>
          <t xml:space="preserve">  Memo: net income attributable to Wabtec as reported</t>
        </is>
      </c>
      <c r="C163" s="174" t="n">
        <v>84.8</v>
      </c>
      <c r="D163" s="174" t="n">
        <v>109.6</v>
      </c>
      <c r="E163" s="174" t="n">
        <v>130.6</v>
      </c>
      <c r="F163" s="174" t="n">
        <v>115.1</v>
      </c>
      <c r="G163" s="174" t="n">
        <v>123.1</v>
      </c>
      <c r="H163" s="174" t="n">
        <v>170.1</v>
      </c>
      <c r="I163" s="174" t="n">
        <v>251.7</v>
      </c>
      <c r="J163" s="174" t="n">
        <v>69.59999999999999</v>
      </c>
      <c r="K163" s="174" t="n">
        <v>74.59999999999999</v>
      </c>
      <c r="L163" s="174" t="n">
        <v>73.90000000000001</v>
      </c>
      <c r="M163" s="174" t="n">
        <v>74</v>
      </c>
      <c r="N163" s="174" t="n">
        <v>292.2</v>
      </c>
      <c r="O163" s="174" t="n">
        <v>80.09999999999999</v>
      </c>
      <c r="P163" s="174" t="n">
        <v>88.7</v>
      </c>
      <c r="Q163" s="174" t="n">
        <v>90.2</v>
      </c>
      <c r="R163" s="174" t="n">
        <v>92.7</v>
      </c>
      <c r="S163" s="174" t="n">
        <v>351.7</v>
      </c>
      <c r="T163" s="174" t="n">
        <v>96.2</v>
      </c>
      <c r="U163" s="174" t="n">
        <v>101.5</v>
      </c>
      <c r="V163" s="174" t="n">
        <v>99.2</v>
      </c>
      <c r="W163" s="174" t="n">
        <v>101.8</v>
      </c>
      <c r="X163" s="174" t="n">
        <v>398.6</v>
      </c>
      <c r="Y163" s="174" t="n">
        <v>94.2</v>
      </c>
      <c r="Z163" s="174" t="n">
        <v>90.5</v>
      </c>
      <c r="AA163" s="174" t="n">
        <v>82.40000000000001</v>
      </c>
      <c r="AB163" s="174" t="n">
        <v>37.8</v>
      </c>
      <c r="AC163" s="174" t="n">
        <v>304.9</v>
      </c>
      <c r="AD163" s="174" t="n">
        <v>73.90000000000001</v>
      </c>
      <c r="AE163" s="174" t="n">
        <v>72</v>
      </c>
      <c r="AF163" s="174" t="n">
        <v>67.40000000000001</v>
      </c>
      <c r="AG163" s="174" t="n">
        <v>48.9</v>
      </c>
      <c r="AH163" s="174" t="n">
        <v>262.3</v>
      </c>
      <c r="AI163" s="174" t="n">
        <v>88.40000000000001</v>
      </c>
      <c r="AJ163" s="174" t="n">
        <v>84.40000000000001</v>
      </c>
      <c r="AK163" s="174" t="n">
        <v>87.7</v>
      </c>
      <c r="AL163" s="174" t="n">
        <v>34.4</v>
      </c>
      <c r="AM163" s="174" t="n">
        <v>294.9</v>
      </c>
      <c r="AN163" s="174" t="n">
        <v>-4.5</v>
      </c>
      <c r="AO163" s="174" t="n">
        <v>104.2</v>
      </c>
      <c r="AP163" s="174" t="n">
        <v>91.09999999999999</v>
      </c>
      <c r="AQ163" s="174" t="n">
        <v>135.7</v>
      </c>
      <c r="AR163" s="174" t="n">
        <v>326.7</v>
      </c>
      <c r="AS163" s="174" t="n">
        <v>111.6</v>
      </c>
      <c r="AT163" s="174" t="n">
        <v>86.8</v>
      </c>
      <c r="AU163" s="174" t="n">
        <v>128.1</v>
      </c>
      <c r="AV163" s="174" t="n">
        <v>87.90000000000001</v>
      </c>
      <c r="AW163" s="174" t="n">
        <v>414.4</v>
      </c>
      <c r="AX163" s="174" t="n">
        <v>112.4</v>
      </c>
      <c r="AY163" s="174" t="n">
        <v>124.8</v>
      </c>
      <c r="AZ163" s="174" t="n">
        <v>130.6</v>
      </c>
      <c r="BA163" s="174" t="n">
        <v>190</v>
      </c>
      <c r="BB163" s="174" t="n">
        <v>558</v>
      </c>
      <c r="BC163" s="174" t="n">
        <v>149</v>
      </c>
      <c r="BD163" s="174" t="n">
        <v>166</v>
      </c>
      <c r="BE163" s="174" t="n">
        <v>160</v>
      </c>
      <c r="BF163" s="174" t="n">
        <v>158</v>
      </c>
      <c r="BG163" s="174" t="n">
        <v>633</v>
      </c>
      <c r="BH163" s="174" t="n">
        <v>169</v>
      </c>
      <c r="BI163" s="174" t="n">
        <v>191</v>
      </c>
      <c r="BJ163" s="174" t="n">
        <v>240</v>
      </c>
      <c r="BK163" s="174" t="n">
        <v>215</v>
      </c>
      <c r="BL163" s="174" t="n">
        <v>815</v>
      </c>
      <c r="BM163" s="174" t="n">
        <v>272</v>
      </c>
      <c r="BN163" s="174" t="n">
        <v>289</v>
      </c>
      <c r="BO163" s="174" t="n">
        <v>283</v>
      </c>
      <c r="BP163" s="174" t="n">
        <v>212</v>
      </c>
      <c r="BQ163" s="174" t="n">
        <v>1056</v>
      </c>
      <c r="BR163" s="174" t="n">
        <v>322</v>
      </c>
      <c r="BS163" s="174" t="n">
        <v>336</v>
      </c>
      <c r="BT163" s="174" t="n">
        <v>310</v>
      </c>
      <c r="BU163" s="174" t="n">
        <v>202</v>
      </c>
      <c r="BV163" s="174" t="n">
        <v>1170</v>
      </c>
      <c r="BW163" s="174" t="n">
        <v>362</v>
      </c>
      <c r="BX163" s="174" t="n">
        <v>395</v>
      </c>
      <c r="BY163" s="6" t="n"/>
      <c r="BZ163" s="6" t="n"/>
      <c r="CA163" s="6" t="n"/>
      <c r="CB163" s="6" t="n"/>
      <c r="CC163" s="6" t="n"/>
      <c r="CD163" s="6" t="n"/>
      <c r="CE163" s="6" t="n"/>
      <c r="CF163" s="6" t="n"/>
    </row>
    <row r="164" ht="15" customHeight="1">
      <c r="B164" s="42" t="inlineStr">
        <is>
          <t xml:space="preserve">  Memo: depreciation &amp; amortization (total)</t>
        </is>
      </c>
      <c r="C164" s="174" t="n">
        <v>25.9</v>
      </c>
      <c r="D164" s="174" t="n">
        <v>29.1</v>
      </c>
      <c r="E164" s="174" t="n">
        <v>29.8</v>
      </c>
      <c r="F164" s="174" t="n">
        <v>35.5</v>
      </c>
      <c r="G164" s="174" t="n">
        <v>38.6</v>
      </c>
      <c r="H164" s="174" t="n">
        <v>44.8</v>
      </c>
      <c r="I164" s="174" t="n">
        <v>44.1</v>
      </c>
      <c r="J164" s="174" t="n">
        <v>11.2</v>
      </c>
      <c r="K164" s="174" t="n">
        <v>13.8</v>
      </c>
      <c r="L164" s="174" t="n">
        <v>12.1</v>
      </c>
      <c r="M164" s="174" t="n">
        <v>14.1</v>
      </c>
      <c r="N164" s="174" t="n">
        <v>51.2</v>
      </c>
      <c r="O164" s="174" t="n">
        <v>13.6</v>
      </c>
      <c r="P164" s="174" t="n">
        <v>14.3</v>
      </c>
      <c r="Q164" s="174" t="n">
        <v>17.1</v>
      </c>
      <c r="R164" s="174" t="n">
        <v>16.3</v>
      </c>
      <c r="S164" s="174" t="n">
        <v>61.3</v>
      </c>
      <c r="T164" s="174" t="n">
        <v>15.6</v>
      </c>
      <c r="U164" s="174" t="n">
        <v>16</v>
      </c>
      <c r="V164" s="174" t="n">
        <v>16.6</v>
      </c>
      <c r="W164" s="174" t="n">
        <v>16.5</v>
      </c>
      <c r="X164" s="174" t="n">
        <v>64.7</v>
      </c>
      <c r="Y164" s="174" t="n">
        <v>16.2</v>
      </c>
      <c r="Z164" s="174" t="n">
        <v>16.9</v>
      </c>
      <c r="AA164" s="174" t="n">
        <v>16.3</v>
      </c>
      <c r="AB164" s="174" t="n">
        <v>20.4</v>
      </c>
      <c r="AC164" s="174" t="n">
        <v>69.8</v>
      </c>
      <c r="AD164" s="174" t="n">
        <v>25.2</v>
      </c>
      <c r="AE164" s="174" t="n">
        <v>25.9</v>
      </c>
      <c r="AF164" s="174" t="n">
        <v>25.9</v>
      </c>
      <c r="AG164" s="174" t="n">
        <v>26.2</v>
      </c>
      <c r="AH164" s="174" t="n">
        <v>103.2</v>
      </c>
      <c r="AI164" s="174" t="n">
        <v>27.9</v>
      </c>
      <c r="AJ164" s="174" t="n">
        <v>25.3</v>
      </c>
      <c r="AK164" s="174" t="n">
        <v>29.8</v>
      </c>
      <c r="AL164" s="174" t="n">
        <v>26.3</v>
      </c>
      <c r="AM164" s="174" t="n">
        <v>109.3</v>
      </c>
      <c r="AN164" s="174" t="n">
        <v>55.9</v>
      </c>
      <c r="AO164" s="174" t="n">
        <v>107.8</v>
      </c>
      <c r="AP164" s="174" t="n">
        <v>122.9</v>
      </c>
      <c r="AQ164" s="174" t="n">
        <v>110.8</v>
      </c>
      <c r="AR164" s="174" t="n">
        <v>396.2</v>
      </c>
      <c r="AS164" s="174" t="n">
        <v>114.4</v>
      </c>
      <c r="AT164" s="174" t="n">
        <v>116.4</v>
      </c>
      <c r="AU164" s="174" t="n">
        <v>116.4</v>
      </c>
      <c r="AV164" s="174" t="n">
        <v>118.3</v>
      </c>
      <c r="AW164" s="174" t="n">
        <v>465.5</v>
      </c>
      <c r="AX164" s="174" t="n">
        <v>118.3</v>
      </c>
      <c r="AY164" s="174" t="n">
        <v>124.8</v>
      </c>
      <c r="AZ164" s="174" t="n">
        <v>120.9</v>
      </c>
      <c r="BA164" s="174" t="n">
        <v>121</v>
      </c>
      <c r="BB164" s="174" t="n">
        <v>485</v>
      </c>
      <c r="BC164" s="174" t="n">
        <v>121</v>
      </c>
      <c r="BD164" s="174" t="n">
        <v>116</v>
      </c>
      <c r="BE164" s="174" t="n">
        <v>117</v>
      </c>
      <c r="BF164" s="174" t="n">
        <v>119</v>
      </c>
      <c r="BG164" s="174" t="n">
        <v>473</v>
      </c>
      <c r="BH164" s="174" t="n">
        <v>121</v>
      </c>
      <c r="BI164" s="174" t="n">
        <v>122</v>
      </c>
      <c r="BJ164" s="174" t="n">
        <v>124</v>
      </c>
      <c r="BK164" s="174" t="n">
        <v>159</v>
      </c>
      <c r="BL164" s="174" t="n">
        <v>526</v>
      </c>
      <c r="BM164" s="174" t="n">
        <v>122</v>
      </c>
      <c r="BN164" s="174" t="n">
        <v>116</v>
      </c>
      <c r="BO164" s="174" t="n">
        <v>133</v>
      </c>
      <c r="BP164" s="174" t="n">
        <v>127</v>
      </c>
      <c r="BQ164" s="174" t="n">
        <v>498</v>
      </c>
      <c r="BR164" s="174" t="n">
        <v>119</v>
      </c>
      <c r="BS164" s="174" t="n">
        <v>115</v>
      </c>
      <c r="BT164" s="174" t="n">
        <v>127</v>
      </c>
      <c r="BU164" s="174" t="n">
        <v>133</v>
      </c>
      <c r="BV164" s="174" t="n">
        <v>494</v>
      </c>
      <c r="BW164" s="174" t="n">
        <v>137</v>
      </c>
      <c r="BX164" s="174" t="n">
        <v>142</v>
      </c>
      <c r="BY164" s="178">
        <f>BY134+BY148</f>
        <v/>
      </c>
      <c r="BZ164" s="178">
        <f>BZ134+BZ148</f>
        <v/>
      </c>
      <c r="CA164" s="178">
        <f>SUM(BW164,BX164,BY164,BZ164)</f>
        <v/>
      </c>
      <c r="CB164" s="178">
        <f>CB134+CB148</f>
        <v/>
      </c>
      <c r="CC164" s="178">
        <f>CC134+CC148</f>
        <v/>
      </c>
      <c r="CD164" s="178">
        <f>CD134+CD148</f>
        <v/>
      </c>
      <c r="CE164" s="178">
        <f>CE134+CE148</f>
        <v/>
      </c>
      <c r="CF164" s="6" t="inlineStr">
        <is>
          <t>Historical: EBITDA reconciliation where published, otherwise cash-flow statement. Forecast = depreciation + amortization.</t>
        </is>
      </c>
      <c r="CH164" s="21">
        <f>IFERROR((CE164/BV164)^(1/5)-1,"n/m")</f>
        <v/>
      </c>
      <c r="CI164" s="21">
        <f>IFERROR((BV164/AW164)^(1/5)-1,"n/m")</f>
        <v/>
      </c>
      <c r="CJ164" s="21">
        <f>IFERROR((BV164/X164)^(1/10)-1,"n/m")</f>
        <v/>
      </c>
      <c r="CK164" s="21">
        <f>IFERROR((BV164/C164)^(1/19)-1,"n/m")</f>
        <v/>
      </c>
    </row>
    <row r="165" ht="15" customHeight="1">
      <c r="B165" s="42" t="inlineStr">
        <is>
          <t xml:space="preserve">  Memo: stock-based compensation</t>
        </is>
      </c>
      <c r="C165" s="174" t="n">
        <v>9.199999999999999</v>
      </c>
      <c r="D165" s="174" t="n">
        <v>11.3</v>
      </c>
      <c r="E165" s="174" t="n">
        <v>10.5</v>
      </c>
      <c r="F165" s="174" t="n">
        <v>3.6</v>
      </c>
      <c r="G165" s="174" t="n">
        <v>11.8</v>
      </c>
      <c r="H165" s="174" t="n">
        <v>18.6</v>
      </c>
      <c r="I165" s="174" t="n">
        <v>19.8</v>
      </c>
      <c r="J165" s="174" t="n">
        <v>5.6</v>
      </c>
      <c r="K165" s="174" t="n">
        <v>5.5</v>
      </c>
      <c r="L165" s="174" t="n">
        <v>6.5</v>
      </c>
      <c r="M165" s="174" t="n">
        <v>6.5</v>
      </c>
      <c r="N165" s="174" t="n">
        <v>24.1</v>
      </c>
      <c r="O165" s="174" t="n">
        <v>6.7</v>
      </c>
      <c r="P165" s="174" t="n">
        <v>5.4</v>
      </c>
      <c r="Q165" s="174" t="n">
        <v>7</v>
      </c>
      <c r="R165" s="174" t="n">
        <v>7</v>
      </c>
      <c r="S165" s="174" t="n">
        <v>26.1</v>
      </c>
      <c r="T165" s="174" t="n">
        <v>8.800000000000001</v>
      </c>
      <c r="U165" s="174" t="n">
        <v>6.2</v>
      </c>
      <c r="V165" s="174" t="n">
        <v>5.1</v>
      </c>
      <c r="W165" s="174" t="n">
        <v>5.9</v>
      </c>
      <c r="X165" s="174" t="n">
        <v>26</v>
      </c>
      <c r="Y165" s="174" t="n">
        <v>5.5</v>
      </c>
      <c r="Z165" s="174" t="n">
        <v>4.2</v>
      </c>
      <c r="AA165" s="174" t="n">
        <v>5.1</v>
      </c>
      <c r="AB165" s="174" t="n">
        <v>6</v>
      </c>
      <c r="AC165" s="174" t="n">
        <v>20.8</v>
      </c>
      <c r="AD165" s="174" t="n">
        <v>5.7</v>
      </c>
      <c r="AE165" s="174" t="n">
        <v>6.2</v>
      </c>
      <c r="AF165" s="174" t="n">
        <v>2.6</v>
      </c>
      <c r="AG165" s="174" t="n">
        <v>6.8</v>
      </c>
      <c r="AH165" s="174" t="n">
        <v>21.3</v>
      </c>
      <c r="AI165" s="174" t="n">
        <v>5.7</v>
      </c>
      <c r="AJ165" s="174" t="n">
        <v>8.300000000000001</v>
      </c>
      <c r="AK165" s="174" t="n">
        <v>6.5</v>
      </c>
      <c r="AL165" s="174" t="n">
        <v>4.8</v>
      </c>
      <c r="AM165" s="174" t="n">
        <v>25.3</v>
      </c>
      <c r="AN165" s="174" t="n">
        <v>8.5</v>
      </c>
      <c r="AO165" s="174" t="n">
        <v>15.4</v>
      </c>
      <c r="AP165" s="174" t="n">
        <v>12.2</v>
      </c>
      <c r="AQ165" s="174" t="n">
        <v>13.9</v>
      </c>
      <c r="AR165" s="174" t="n">
        <v>50</v>
      </c>
      <c r="AS165" s="174" t="n">
        <v>7.3</v>
      </c>
      <c r="AT165" s="174" t="n">
        <v>-1.6</v>
      </c>
      <c r="AU165" s="174" t="n">
        <v>11.9</v>
      </c>
      <c r="AV165" s="174" t="n">
        <v>1.9</v>
      </c>
      <c r="AW165" s="174" t="n">
        <v>19.5</v>
      </c>
      <c r="AX165" s="174" t="n">
        <v>8.199999999999999</v>
      </c>
      <c r="AY165" s="174" t="n">
        <v>16</v>
      </c>
      <c r="AZ165" s="174" t="n">
        <v>10</v>
      </c>
      <c r="BA165" s="174" t="n">
        <v>11.8</v>
      </c>
      <c r="BB165" s="174" t="n">
        <v>46</v>
      </c>
      <c r="BC165" s="174" t="n">
        <v>10</v>
      </c>
      <c r="BD165" s="174" t="n">
        <v>10</v>
      </c>
      <c r="BE165" s="174" t="n">
        <v>10</v>
      </c>
      <c r="BF165" s="174" t="n">
        <v>11</v>
      </c>
      <c r="BG165" s="174" t="n">
        <v>41</v>
      </c>
      <c r="BH165" s="174" t="n">
        <v>10</v>
      </c>
      <c r="BI165" s="174" t="n">
        <v>12</v>
      </c>
      <c r="BJ165" s="174" t="n">
        <v>14</v>
      </c>
      <c r="BK165" s="174" t="n">
        <v>11</v>
      </c>
      <c r="BL165" s="174" t="n">
        <v>47</v>
      </c>
      <c r="BM165" s="174" t="n">
        <v>12</v>
      </c>
      <c r="BN165" s="174" t="n">
        <v>14</v>
      </c>
      <c r="BO165" s="174" t="n">
        <v>18</v>
      </c>
      <c r="BP165" s="174" t="n">
        <v>22</v>
      </c>
      <c r="BQ165" s="174" t="n">
        <v>66</v>
      </c>
      <c r="BR165" s="174" t="n">
        <v>17</v>
      </c>
      <c r="BS165" s="174" t="n">
        <v>19</v>
      </c>
      <c r="BT165" s="174" t="n">
        <v>22</v>
      </c>
      <c r="BU165" s="174" t="n">
        <v>22</v>
      </c>
      <c r="BV165" s="174" t="n">
        <v>80</v>
      </c>
      <c r="BW165" s="174" t="n">
        <v>22</v>
      </c>
      <c r="BX165" s="174" t="n">
        <v>28</v>
      </c>
      <c r="BY165" s="178">
        <f>BY142*BY139</f>
        <v/>
      </c>
      <c r="BZ165" s="178">
        <f>BZ142*BZ139</f>
        <v/>
      </c>
      <c r="CA165" s="178">
        <f>SUM(BW165,BX165,BY165,BZ165)</f>
        <v/>
      </c>
      <c r="CB165" s="178">
        <f>CB142*CB139</f>
        <v/>
      </c>
      <c r="CC165" s="178">
        <f>CC142*CC139</f>
        <v/>
      </c>
      <c r="CD165" s="178">
        <f>CD142*CD139</f>
        <v/>
      </c>
      <c r="CE165" s="178">
        <f>CE142*CE139</f>
        <v/>
      </c>
      <c r="CF165" s="6" t="n"/>
    </row>
    <row r="166" ht="15" customHeight="1">
      <c r="B166" s="26" t="inlineStr">
        <is>
          <t>(Earnings per share)</t>
        </is>
      </c>
      <c r="CF166" s="6" t="n"/>
    </row>
    <row r="167" ht="15" customHeight="1">
      <c r="B167" s="26" t="inlineStr">
        <is>
          <t xml:space="preserve">  Weighted-average basic shares (m)</t>
        </is>
      </c>
      <c r="C167" s="199" t="n">
        <v>96.64</v>
      </c>
      <c r="D167" s="199" t="n">
        <v>97.06</v>
      </c>
      <c r="E167" s="199" t="n">
        <v>96.45999999999999</v>
      </c>
      <c r="F167" s="199" t="n">
        <v>95</v>
      </c>
      <c r="G167" s="199" t="n">
        <v>95.2</v>
      </c>
      <c r="H167" s="199" t="n">
        <v>95.64</v>
      </c>
      <c r="I167" s="199" t="n">
        <v>95.45999999999999</v>
      </c>
      <c r="J167" s="199" t="n">
        <v>95.02</v>
      </c>
      <c r="K167" s="199" t="n">
        <v>95.76000000000001</v>
      </c>
      <c r="L167" s="199" t="n">
        <v>95.84999999999999</v>
      </c>
      <c r="M167" s="199" t="n">
        <v>95.77</v>
      </c>
      <c r="N167" s="199" t="n">
        <v>95.45999999999999</v>
      </c>
      <c r="O167" s="199" t="n">
        <v>95.53</v>
      </c>
      <c r="P167" s="199" t="n">
        <v>96.05</v>
      </c>
      <c r="Q167" s="199" t="n">
        <v>95.94</v>
      </c>
      <c r="R167" s="199" t="n">
        <v>95.89</v>
      </c>
      <c r="S167" s="199" t="n">
        <v>95.78</v>
      </c>
      <c r="T167" s="199" t="n">
        <v>96.23999999999999</v>
      </c>
      <c r="U167" s="199" t="n">
        <v>96.34</v>
      </c>
      <c r="V167" s="199" t="n">
        <v>96.37</v>
      </c>
      <c r="W167" s="199" t="n">
        <v>95.37</v>
      </c>
      <c r="X167" s="199" t="n">
        <v>96.06999999999999</v>
      </c>
      <c r="Y167" s="199" t="n">
        <v>91.26000000000001</v>
      </c>
      <c r="Z167" s="199" t="n">
        <v>89.84999999999999</v>
      </c>
      <c r="AA167" s="199" t="n">
        <v>89.59</v>
      </c>
      <c r="AB167" s="199" t="n">
        <v>89.44</v>
      </c>
      <c r="AC167" s="199" t="n">
        <v>90.36</v>
      </c>
      <c r="AD167" s="199" t="n">
        <v>95.23999999999999</v>
      </c>
      <c r="AE167" s="199" t="n">
        <v>95.64</v>
      </c>
      <c r="AF167" s="199" t="n">
        <v>95.70999999999999</v>
      </c>
      <c r="AG167" s="199" t="n">
        <v>95.70999999999999</v>
      </c>
      <c r="AH167" s="199" t="n">
        <v>95.45</v>
      </c>
      <c r="AI167" s="199" t="n">
        <v>95.81</v>
      </c>
      <c r="AJ167" s="199" t="n">
        <v>95.98999999999999</v>
      </c>
      <c r="AK167" s="199" t="n">
        <v>96.20999999999999</v>
      </c>
      <c r="AL167" s="199" t="n">
        <v>96.31999999999999</v>
      </c>
      <c r="AM167" s="199" t="n">
        <v>95.98999999999999</v>
      </c>
      <c r="AN167" s="199" t="n">
        <v>121.23</v>
      </c>
      <c r="AO167" s="199" t="n">
        <v>177.35</v>
      </c>
      <c r="AP167" s="199" t="n">
        <v>189.6</v>
      </c>
      <c r="AQ167" s="199" t="n">
        <v>191.1</v>
      </c>
      <c r="AR167" s="199" t="n">
        <v>170.5</v>
      </c>
      <c r="AS167" s="199" t="n">
        <v>190.8</v>
      </c>
      <c r="AT167" s="199" t="n">
        <v>189.8</v>
      </c>
      <c r="AU167" s="199" t="n">
        <v>189.8</v>
      </c>
      <c r="AV167" s="199" t="n">
        <v>189.2</v>
      </c>
      <c r="AW167" s="199" t="n">
        <v>189.9</v>
      </c>
      <c r="AX167" s="199" t="n">
        <v>188.5</v>
      </c>
      <c r="AY167" s="199" t="n">
        <v>188.6</v>
      </c>
      <c r="AZ167" s="199" t="n">
        <v>187.6</v>
      </c>
      <c r="BA167" s="199" t="n">
        <v>186</v>
      </c>
      <c r="BB167" s="199" t="n">
        <v>187.7</v>
      </c>
      <c r="BC167" s="199" t="n">
        <v>184.5</v>
      </c>
      <c r="BD167" s="199" t="n">
        <v>181.9</v>
      </c>
      <c r="BE167" s="199" t="n">
        <v>181.3</v>
      </c>
      <c r="BF167" s="199" t="n">
        <v>181</v>
      </c>
      <c r="BG167" s="199" t="n">
        <v>182.2</v>
      </c>
      <c r="BH167" s="199" t="n">
        <v>179.9</v>
      </c>
      <c r="BI167" s="199" t="n">
        <v>178.9</v>
      </c>
      <c r="BJ167" s="199" t="n">
        <v>178.6</v>
      </c>
      <c r="BK167" s="199" t="n">
        <v>178</v>
      </c>
      <c r="BL167" s="199" t="n">
        <v>178.8</v>
      </c>
      <c r="BM167" s="199" t="n">
        <v>176.5</v>
      </c>
      <c r="BN167" s="199" t="n">
        <v>175.4</v>
      </c>
      <c r="BO167" s="199" t="n">
        <v>173.4</v>
      </c>
      <c r="BP167" s="199" t="n">
        <v>171.2</v>
      </c>
      <c r="BQ167" s="199" t="n">
        <v>174.1</v>
      </c>
      <c r="BR167" s="199" t="n">
        <v>170.5</v>
      </c>
      <c r="BS167" s="199" t="n">
        <v>170.6</v>
      </c>
      <c r="BT167" s="199" t="n">
        <v>170.5</v>
      </c>
      <c r="BU167" s="199" t="n">
        <v>170.3</v>
      </c>
      <c r="BV167" s="199" t="n">
        <v>170.5</v>
      </c>
      <c r="BW167" s="199" t="n">
        <v>170</v>
      </c>
      <c r="BX167" s="199" t="n">
        <v>169.1</v>
      </c>
      <c r="BY167" s="200">
        <f>$BX$167-$CA$298*0.25</f>
        <v/>
      </c>
      <c r="BZ167" s="200">
        <f>$BX$167-$CA$298*0.75</f>
        <v/>
      </c>
      <c r="CA167" s="200">
        <f>AVERAGE(BW167,BX167,BY167,BZ167)</f>
        <v/>
      </c>
      <c r="CB167" s="200">
        <f>AVERAGE(CB300,CB301)</f>
        <v/>
      </c>
      <c r="CC167" s="200">
        <f>AVERAGE(CC300,CC301)</f>
        <v/>
      </c>
      <c r="CD167" s="200">
        <f>AVERAGE(CD300,CD301)</f>
        <v/>
      </c>
      <c r="CE167" s="200">
        <f>AVERAGE(CE300,CE301)</f>
        <v/>
      </c>
      <c r="CF167" s="20" t="inlineStr">
        <is>
          <t>Q3/Q4-26E: Q2/26 less the 2H/26 buyback phased in (¼ in Q3, ¾ in Q4). 2027E+: average of beginning and ending shares. Pre-June-2013 restated for the 2-for-1 split.</t>
        </is>
      </c>
    </row>
    <row r="168" ht="15" customHeight="1">
      <c r="B168" s="26" t="inlineStr">
        <is>
          <t xml:space="preserve">  Weighted-average diluted shares (m)</t>
        </is>
      </c>
      <c r="C168" s="199" t="n">
        <v>98.22</v>
      </c>
      <c r="D168" s="199" t="n">
        <v>98.28</v>
      </c>
      <c r="E168" s="199" t="n">
        <v>97.7</v>
      </c>
      <c r="F168" s="199" t="n">
        <v>95.95999999999999</v>
      </c>
      <c r="G168" s="199" t="n">
        <v>96.02</v>
      </c>
      <c r="H168" s="199" t="n">
        <v>96.66</v>
      </c>
      <c r="I168" s="199" t="n">
        <v>96.73999999999999</v>
      </c>
      <c r="J168" s="199" t="n">
        <v>96.58</v>
      </c>
      <c r="K168" s="199" t="n">
        <v>97.09999999999999</v>
      </c>
      <c r="L168" s="199" t="n">
        <v>97.17</v>
      </c>
      <c r="M168" s="199" t="n">
        <v>97.14</v>
      </c>
      <c r="N168" s="199" t="n">
        <v>96.83</v>
      </c>
      <c r="O168" s="199" t="n">
        <v>96.81</v>
      </c>
      <c r="P168" s="199" t="n">
        <v>97.06</v>
      </c>
      <c r="Q168" s="199" t="n">
        <v>97</v>
      </c>
      <c r="R168" s="199" t="n">
        <v>97.06</v>
      </c>
      <c r="S168" s="199" t="n">
        <v>96.89</v>
      </c>
      <c r="T168" s="199" t="n">
        <v>97.39</v>
      </c>
      <c r="U168" s="199" t="n">
        <v>97.44</v>
      </c>
      <c r="V168" s="199" t="n">
        <v>97.37</v>
      </c>
      <c r="W168" s="199" t="n">
        <v>96.28</v>
      </c>
      <c r="X168" s="199" t="n">
        <v>97.01000000000001</v>
      </c>
      <c r="Y168" s="199" t="n">
        <v>92.15000000000001</v>
      </c>
      <c r="Z168" s="199" t="n">
        <v>90.56</v>
      </c>
      <c r="AA168" s="199" t="n">
        <v>90.29000000000001</v>
      </c>
      <c r="AB168" s="199" t="n">
        <v>90.23</v>
      </c>
      <c r="AC168" s="199" t="n">
        <v>91.14</v>
      </c>
      <c r="AD168" s="199" t="n">
        <v>95.98999999999999</v>
      </c>
      <c r="AE168" s="199" t="n">
        <v>96.28</v>
      </c>
      <c r="AF168" s="199" t="n">
        <v>96.31999999999999</v>
      </c>
      <c r="AG168" s="199" t="n">
        <v>96.37</v>
      </c>
      <c r="AH168" s="199" t="n">
        <v>96.13</v>
      </c>
      <c r="AI168" s="199" t="n">
        <v>96.37</v>
      </c>
      <c r="AJ168" s="199" t="n">
        <v>96.58</v>
      </c>
      <c r="AK168" s="199" t="n">
        <v>96.64</v>
      </c>
      <c r="AL168" s="199" t="n">
        <v>96.67</v>
      </c>
      <c r="AM168" s="199" t="n">
        <v>96.45999999999999</v>
      </c>
      <c r="AN168" s="199" t="n">
        <v>121.23</v>
      </c>
      <c r="AO168" s="199" t="n">
        <v>191.45</v>
      </c>
      <c r="AP168" s="199" t="n">
        <v>191.5</v>
      </c>
      <c r="AQ168" s="199" t="n">
        <v>191.6</v>
      </c>
      <c r="AR168" s="199" t="n">
        <v>177.3</v>
      </c>
      <c r="AS168" s="199" t="n">
        <v>191.4</v>
      </c>
      <c r="AT168" s="199" t="n">
        <v>190.2</v>
      </c>
      <c r="AU168" s="199" t="n">
        <v>190.2</v>
      </c>
      <c r="AV168" s="199" t="n">
        <v>189.7</v>
      </c>
      <c r="AW168" s="199" t="n">
        <v>190.4</v>
      </c>
      <c r="AX168" s="199" t="n">
        <v>188.9</v>
      </c>
      <c r="AY168" s="199" t="n">
        <v>188.9</v>
      </c>
      <c r="AZ168" s="199" t="n">
        <v>188</v>
      </c>
      <c r="BA168" s="199" t="n">
        <v>186.5</v>
      </c>
      <c r="BB168" s="199" t="n">
        <v>188.1</v>
      </c>
      <c r="BC168" s="199" t="n">
        <v>185</v>
      </c>
      <c r="BD168" s="199" t="n">
        <v>182.4</v>
      </c>
      <c r="BE168" s="199" t="n">
        <v>181.9</v>
      </c>
      <c r="BF168" s="199" t="n">
        <v>181.7</v>
      </c>
      <c r="BG168" s="199" t="n">
        <v>182.8</v>
      </c>
      <c r="BH168" s="199" t="n">
        <v>180.6</v>
      </c>
      <c r="BI168" s="199" t="n">
        <v>179.4</v>
      </c>
      <c r="BJ168" s="199" t="n">
        <v>179.2</v>
      </c>
      <c r="BK168" s="199" t="n">
        <v>178.8</v>
      </c>
      <c r="BL168" s="199" t="n">
        <v>179.5</v>
      </c>
      <c r="BM168" s="199" t="n">
        <v>177.2</v>
      </c>
      <c r="BN168" s="199" t="n">
        <v>176</v>
      </c>
      <c r="BO168" s="199" t="n">
        <v>174.1</v>
      </c>
      <c r="BP168" s="199" t="n">
        <v>172</v>
      </c>
      <c r="BQ168" s="199" t="n">
        <v>174.8</v>
      </c>
      <c r="BR168" s="199" t="n">
        <v>171.3</v>
      </c>
      <c r="BS168" s="199" t="n">
        <v>171.2</v>
      </c>
      <c r="BT168" s="199" t="n">
        <v>171.1</v>
      </c>
      <c r="BU168" s="199" t="n">
        <v>171</v>
      </c>
      <c r="BV168" s="199" t="n">
        <v>171.1</v>
      </c>
      <c r="BW168" s="199" t="n">
        <v>170.7</v>
      </c>
      <c r="BX168" s="199" t="n">
        <v>169.6</v>
      </c>
      <c r="BY168" s="200">
        <f>BY167+($BX$168-$BX$167)</f>
        <v/>
      </c>
      <c r="BZ168" s="200">
        <f>BZ167+($BX$168-$BX$167)</f>
        <v/>
      </c>
      <c r="CA168" s="200">
        <f>AVERAGE(BW168,BX168,BY168,BZ168)</f>
        <v/>
      </c>
      <c r="CB168" s="200">
        <f>CB167+CB377</f>
        <v/>
      </c>
      <c r="CC168" s="200">
        <f>CC167+CC377</f>
        <v/>
      </c>
      <c r="CD168" s="200">
        <f>CD167+CD377</f>
        <v/>
      </c>
      <c r="CE168" s="200">
        <f>CE167+CE377</f>
        <v/>
      </c>
      <c r="CF168" s="20" t="n"/>
      <c r="CH168" s="21">
        <f>IFERROR((CE168/BV168)^(1/5)-1,"n/m")</f>
        <v/>
      </c>
      <c r="CI168" s="21">
        <f>IFERROR((BV168/AW168)^(1/5)-1,"n/m")</f>
        <v/>
      </c>
      <c r="CJ168" s="21">
        <f>IFERROR((BV168/X168)^(1/10)-1,"n/m")</f>
        <v/>
      </c>
      <c r="CK168" s="21">
        <f>IFERROR((BV168/C168)^(1/19)-1,"n/m")</f>
        <v/>
      </c>
    </row>
    <row r="169" ht="15" customHeight="1">
      <c r="B169" s="26" t="inlineStr">
        <is>
          <t>EPS – basic, attributable to Wabtec ($)</t>
        </is>
      </c>
      <c r="C169" s="201">
        <f>IF(AND(ISNUMBER(C161),ISNUMBER(C167)),IFERROR(C161/C167,""),"")</f>
        <v/>
      </c>
      <c r="D169" s="201">
        <f>IF(AND(ISNUMBER(D161),ISNUMBER(D167)),IFERROR(D161/D167,""),"")</f>
        <v/>
      </c>
      <c r="E169" s="201">
        <f>IF(AND(ISNUMBER(E161),ISNUMBER(E167)),IFERROR(E161/E167,""),"")</f>
        <v/>
      </c>
      <c r="F169" s="201">
        <f>IF(AND(ISNUMBER(F161),ISNUMBER(F167)),IFERROR(F161/F167,""),"")</f>
        <v/>
      </c>
      <c r="G169" s="201">
        <f>IF(AND(ISNUMBER(G161),ISNUMBER(G167)),IFERROR(G161/G167,""),"")</f>
        <v/>
      </c>
      <c r="H169" s="201">
        <f>IF(AND(ISNUMBER(H161),ISNUMBER(H167)),IFERROR(H161/H167,""),"")</f>
        <v/>
      </c>
      <c r="I169" s="201">
        <f>IF(AND(ISNUMBER(I161),ISNUMBER(I167)),IFERROR(I161/I167,""),"")</f>
        <v/>
      </c>
      <c r="J169" s="201">
        <f>IF(AND(ISNUMBER(J161),ISNUMBER(J167)),IFERROR(J161/J167,""),"")</f>
        <v/>
      </c>
      <c r="K169" s="201">
        <f>IF(AND(ISNUMBER(K161),ISNUMBER(K167)),IFERROR(K161/K167,""),"")</f>
        <v/>
      </c>
      <c r="L169" s="201">
        <f>IF(AND(ISNUMBER(L161),ISNUMBER(L167)),IFERROR(L161/L167,""),"")</f>
        <v/>
      </c>
      <c r="M169" s="201">
        <f>IF(AND(ISNUMBER(M161),ISNUMBER(M167)),IFERROR(M161/M167,""),"")</f>
        <v/>
      </c>
      <c r="N169" s="201">
        <f>IF(AND(ISNUMBER(N161),ISNUMBER(N167)),IFERROR(N161/N167,""),"")</f>
        <v/>
      </c>
      <c r="O169" s="201">
        <f>IF(AND(ISNUMBER(O161),ISNUMBER(O167)),IFERROR(O161/O167,""),"")</f>
        <v/>
      </c>
      <c r="P169" s="201">
        <f>IF(AND(ISNUMBER(P161),ISNUMBER(P167)),IFERROR(P161/P167,""),"")</f>
        <v/>
      </c>
      <c r="Q169" s="201">
        <f>IF(AND(ISNUMBER(Q161),ISNUMBER(Q167)),IFERROR(Q161/Q167,""),"")</f>
        <v/>
      </c>
      <c r="R169" s="201">
        <f>IF(AND(ISNUMBER(R161),ISNUMBER(R167)),IFERROR(R161/R167,""),"")</f>
        <v/>
      </c>
      <c r="S169" s="201">
        <f>IF(AND(ISNUMBER(S161),ISNUMBER(S167)),IFERROR(S161/S167,""),"")</f>
        <v/>
      </c>
      <c r="T169" s="201">
        <f>IF(AND(ISNUMBER(T161),ISNUMBER(T167)),IFERROR(T161/T167,""),"")</f>
        <v/>
      </c>
      <c r="U169" s="201">
        <f>IF(AND(ISNUMBER(U161),ISNUMBER(U167)),IFERROR(U161/U167,""),"")</f>
        <v/>
      </c>
      <c r="V169" s="201">
        <f>IF(AND(ISNUMBER(V161),ISNUMBER(V167)),IFERROR(V161/V167,""),"")</f>
        <v/>
      </c>
      <c r="W169" s="201">
        <f>IF(AND(ISNUMBER(W161),ISNUMBER(W167)),IFERROR(W161/W167,""),"")</f>
        <v/>
      </c>
      <c r="X169" s="201">
        <f>IF(AND(ISNUMBER(X161),ISNUMBER(X167)),IFERROR(X161/X167,""),"")</f>
        <v/>
      </c>
      <c r="Y169" s="201">
        <f>IF(AND(ISNUMBER(Y161),ISNUMBER(Y167)),IFERROR(Y161/Y167,""),"")</f>
        <v/>
      </c>
      <c r="Z169" s="201">
        <f>IF(AND(ISNUMBER(Z161),ISNUMBER(Z167)),IFERROR(Z161/Z167,""),"")</f>
        <v/>
      </c>
      <c r="AA169" s="201">
        <f>IF(AND(ISNUMBER(AA161),ISNUMBER(AA167)),IFERROR(AA161/AA167,""),"")</f>
        <v/>
      </c>
      <c r="AB169" s="201">
        <f>IF(AND(ISNUMBER(AB161),ISNUMBER(AB167)),IFERROR(AB161/AB167,""),"")</f>
        <v/>
      </c>
      <c r="AC169" s="201">
        <f>IF(AND(ISNUMBER(AC161),ISNUMBER(AC167)),IFERROR(AC161/AC167,""),"")</f>
        <v/>
      </c>
      <c r="AD169" s="201">
        <f>IF(AND(ISNUMBER(AD161),ISNUMBER(AD167)),IFERROR(AD161/AD167,""),"")</f>
        <v/>
      </c>
      <c r="AE169" s="201">
        <f>IF(AND(ISNUMBER(AE161),ISNUMBER(AE167)),IFERROR(AE161/AE167,""),"")</f>
        <v/>
      </c>
      <c r="AF169" s="201">
        <f>IF(AND(ISNUMBER(AF161),ISNUMBER(AF167)),IFERROR(AF161/AF167,""),"")</f>
        <v/>
      </c>
      <c r="AG169" s="201">
        <f>IF(AND(ISNUMBER(AG161),ISNUMBER(AG167)),IFERROR(AG161/AG167,""),"")</f>
        <v/>
      </c>
      <c r="AH169" s="201">
        <f>IF(AND(ISNUMBER(AH161),ISNUMBER(AH167)),IFERROR(AH161/AH167,""),"")</f>
        <v/>
      </c>
      <c r="AI169" s="201">
        <f>IF(AND(ISNUMBER(AI161),ISNUMBER(AI167)),IFERROR(AI161/AI167,""),"")</f>
        <v/>
      </c>
      <c r="AJ169" s="201">
        <f>IF(AND(ISNUMBER(AJ161),ISNUMBER(AJ167)),IFERROR(AJ161/AJ167,""),"")</f>
        <v/>
      </c>
      <c r="AK169" s="201">
        <f>IF(AND(ISNUMBER(AK161),ISNUMBER(AK167)),IFERROR(AK161/AK167,""),"")</f>
        <v/>
      </c>
      <c r="AL169" s="201">
        <f>IF(AND(ISNUMBER(AL161),ISNUMBER(AL167)),IFERROR(AL161/AL167,""),"")</f>
        <v/>
      </c>
      <c r="AM169" s="201">
        <f>IF(AND(ISNUMBER(AM161),ISNUMBER(AM167)),IFERROR(AM161/AM167,""),"")</f>
        <v/>
      </c>
      <c r="AN169" s="201">
        <f>IF(AND(ISNUMBER(AN161),ISNUMBER(AN167)),IFERROR(AN161/AN167,""),"")</f>
        <v/>
      </c>
      <c r="AO169" s="201">
        <f>IF(AND(ISNUMBER(AO161),ISNUMBER(AO167)),IFERROR(AO161/AO167,""),"")</f>
        <v/>
      </c>
      <c r="AP169" s="201">
        <f>IF(AND(ISNUMBER(AP161),ISNUMBER(AP167)),IFERROR(AP161/AP167,""),"")</f>
        <v/>
      </c>
      <c r="AQ169" s="201">
        <f>IF(AND(ISNUMBER(AQ161),ISNUMBER(AQ167)),IFERROR(AQ161/AQ167,""),"")</f>
        <v/>
      </c>
      <c r="AR169" s="201">
        <f>IF(AND(ISNUMBER(AR161),ISNUMBER(AR167)),IFERROR(AR161/AR167,""),"")</f>
        <v/>
      </c>
      <c r="AS169" s="201">
        <f>IF(AND(ISNUMBER(AS161),ISNUMBER(AS167)),IFERROR(AS161/AS167,""),"")</f>
        <v/>
      </c>
      <c r="AT169" s="201">
        <f>IF(AND(ISNUMBER(AT161),ISNUMBER(AT167)),IFERROR(AT161/AT167,""),"")</f>
        <v/>
      </c>
      <c r="AU169" s="201">
        <f>IF(AND(ISNUMBER(AU161),ISNUMBER(AU167)),IFERROR(AU161/AU167,""),"")</f>
        <v/>
      </c>
      <c r="AV169" s="201">
        <f>IF(AND(ISNUMBER(AV161),ISNUMBER(AV167)),IFERROR(AV161/AV167,""),"")</f>
        <v/>
      </c>
      <c r="AW169" s="201">
        <f>IF(AND(ISNUMBER(AW161),ISNUMBER(AW167)),IFERROR(AW161/AW167,""),"")</f>
        <v/>
      </c>
      <c r="AX169" s="201">
        <f>IF(AND(ISNUMBER(AX161),ISNUMBER(AX167)),IFERROR(AX161/AX167,""),"")</f>
        <v/>
      </c>
      <c r="AY169" s="201">
        <f>IF(AND(ISNUMBER(AY161),ISNUMBER(AY167)),IFERROR(AY161/AY167,""),"")</f>
        <v/>
      </c>
      <c r="AZ169" s="201">
        <f>IF(AND(ISNUMBER(AZ161),ISNUMBER(AZ167)),IFERROR(AZ161/AZ167,""),"")</f>
        <v/>
      </c>
      <c r="BA169" s="201">
        <f>IF(AND(ISNUMBER(BA161),ISNUMBER(BA167)),IFERROR(BA161/BA167,""),"")</f>
        <v/>
      </c>
      <c r="BB169" s="201">
        <f>IF(AND(ISNUMBER(BB161),ISNUMBER(BB167)),IFERROR(BB161/BB167,""),"")</f>
        <v/>
      </c>
      <c r="BC169" s="201">
        <f>IF(AND(ISNUMBER(BC161),ISNUMBER(BC167)),IFERROR(BC161/BC167,""),"")</f>
        <v/>
      </c>
      <c r="BD169" s="201">
        <f>IF(AND(ISNUMBER(BD161),ISNUMBER(BD167)),IFERROR(BD161/BD167,""),"")</f>
        <v/>
      </c>
      <c r="BE169" s="201">
        <f>IF(AND(ISNUMBER(BE161),ISNUMBER(BE167)),IFERROR(BE161/BE167,""),"")</f>
        <v/>
      </c>
      <c r="BF169" s="201">
        <f>IF(AND(ISNUMBER(BF161),ISNUMBER(BF167)),IFERROR(BF161/BF167,""),"")</f>
        <v/>
      </c>
      <c r="BG169" s="201">
        <f>IF(AND(ISNUMBER(BG161),ISNUMBER(BG167)),IFERROR(BG161/BG167,""),"")</f>
        <v/>
      </c>
      <c r="BH169" s="201">
        <f>IF(AND(ISNUMBER(BH161),ISNUMBER(BH167)),IFERROR(BH161/BH167,""),"")</f>
        <v/>
      </c>
      <c r="BI169" s="201">
        <f>IF(AND(ISNUMBER(BI161),ISNUMBER(BI167)),IFERROR(BI161/BI167,""),"")</f>
        <v/>
      </c>
      <c r="BJ169" s="201">
        <f>IF(AND(ISNUMBER(BJ161),ISNUMBER(BJ167)),IFERROR(BJ161/BJ167,""),"")</f>
        <v/>
      </c>
      <c r="BK169" s="201">
        <f>IF(AND(ISNUMBER(BK161),ISNUMBER(BK167)),IFERROR(BK161/BK167,""),"")</f>
        <v/>
      </c>
      <c r="BL169" s="201">
        <f>IF(AND(ISNUMBER(BL161),ISNUMBER(BL167)),IFERROR(BL161/BL167,""),"")</f>
        <v/>
      </c>
      <c r="BM169" s="201">
        <f>IF(AND(ISNUMBER(BM161),ISNUMBER(BM167)),IFERROR(BM161/BM167,""),"")</f>
        <v/>
      </c>
      <c r="BN169" s="201">
        <f>IF(AND(ISNUMBER(BN161),ISNUMBER(BN167)),IFERROR(BN161/BN167,""),"")</f>
        <v/>
      </c>
      <c r="BO169" s="201">
        <f>IF(AND(ISNUMBER(BO161),ISNUMBER(BO167)),IFERROR(BO161/BO167,""),"")</f>
        <v/>
      </c>
      <c r="BP169" s="201">
        <f>IF(AND(ISNUMBER(BP161),ISNUMBER(BP167)),IFERROR(BP161/BP167,""),"")</f>
        <v/>
      </c>
      <c r="BQ169" s="201">
        <f>IF(AND(ISNUMBER(BQ161),ISNUMBER(BQ167)),IFERROR(BQ161/BQ167,""),"")</f>
        <v/>
      </c>
      <c r="BR169" s="201">
        <f>IF(AND(ISNUMBER(BR161),ISNUMBER(BR167)),IFERROR(BR161/BR167,""),"")</f>
        <v/>
      </c>
      <c r="BS169" s="201">
        <f>IF(AND(ISNUMBER(BS161),ISNUMBER(BS167)),IFERROR(BS161/BS167,""),"")</f>
        <v/>
      </c>
      <c r="BT169" s="201">
        <f>IF(AND(ISNUMBER(BT161),ISNUMBER(BT167)),IFERROR(BT161/BT167,""),"")</f>
        <v/>
      </c>
      <c r="BU169" s="201">
        <f>IF(AND(ISNUMBER(BU161),ISNUMBER(BU167)),IFERROR(BU161/BU167,""),"")</f>
        <v/>
      </c>
      <c r="BV169" s="201">
        <f>IF(AND(ISNUMBER(BV161),ISNUMBER(BV167)),IFERROR(BV161/BV167,""),"")</f>
        <v/>
      </c>
      <c r="BW169" s="201">
        <f>IF(AND(ISNUMBER(BW161),ISNUMBER(BW167)),IFERROR(BW161/BW167,""),"")</f>
        <v/>
      </c>
      <c r="BX169" s="201">
        <f>IF(AND(ISNUMBER(BX161),ISNUMBER(BX167)),IFERROR(BX161/BX167,""),"")</f>
        <v/>
      </c>
      <c r="BY169" s="202">
        <f>IF(AND(ISNUMBER(BY161),ISNUMBER(BY167)),IFERROR(BY161/BY167,""),"")</f>
        <v/>
      </c>
      <c r="BZ169" s="202">
        <f>IF(AND(ISNUMBER(BZ161),ISNUMBER(BZ167)),IFERROR(BZ161/BZ167,""),"")</f>
        <v/>
      </c>
      <c r="CA169" s="202">
        <f>IF(AND(ISNUMBER(CA161),ISNUMBER(CA167)),IFERROR(CA161/CA167,""),"")</f>
        <v/>
      </c>
      <c r="CB169" s="202">
        <f>IF(AND(ISNUMBER(CB161),ISNUMBER(CB167)),IFERROR(CB161/CB167,""),"")</f>
        <v/>
      </c>
      <c r="CC169" s="202">
        <f>IF(AND(ISNUMBER(CC161),ISNUMBER(CC167)),IFERROR(CC161/CC167,""),"")</f>
        <v/>
      </c>
      <c r="CD169" s="202">
        <f>IF(AND(ISNUMBER(CD161),ISNUMBER(CD167)),IFERROR(CD161/CD167,""),"")</f>
        <v/>
      </c>
      <c r="CE169" s="202">
        <f>IF(AND(ISNUMBER(CE161),ISNUMBER(CE167)),IFERROR(CE161/CE167,""),"")</f>
        <v/>
      </c>
      <c r="CF169" s="6" t="n"/>
    </row>
    <row r="170" ht="15" customHeight="1">
      <c r="B170" s="59" t="inlineStr">
        <is>
          <t>EPS – diluted, attributable to Wabtec ($)</t>
        </is>
      </c>
      <c r="C170" s="203">
        <f>IF(AND(ISNUMBER(C161),ISNUMBER(C168)),IFERROR(C161/C168,""),"")</f>
        <v/>
      </c>
      <c r="D170" s="203">
        <f>IF(AND(ISNUMBER(D161),ISNUMBER(D168)),IFERROR(D161/D168,""),"")</f>
        <v/>
      </c>
      <c r="E170" s="203">
        <f>IF(AND(ISNUMBER(E161),ISNUMBER(E168)),IFERROR(E161/E168,""),"")</f>
        <v/>
      </c>
      <c r="F170" s="203">
        <f>IF(AND(ISNUMBER(F161),ISNUMBER(F168)),IFERROR(F161/F168,""),"")</f>
        <v/>
      </c>
      <c r="G170" s="203">
        <f>IF(AND(ISNUMBER(G161),ISNUMBER(G168)),IFERROR(G161/G168,""),"")</f>
        <v/>
      </c>
      <c r="H170" s="203">
        <f>IF(AND(ISNUMBER(H161),ISNUMBER(H168)),IFERROR(H161/H168,""),"")</f>
        <v/>
      </c>
      <c r="I170" s="203">
        <f>IF(AND(ISNUMBER(I161),ISNUMBER(I168)),IFERROR(I161/I168,""),"")</f>
        <v/>
      </c>
      <c r="J170" s="203">
        <f>IF(AND(ISNUMBER(J161),ISNUMBER(J168)),IFERROR(J161/J168,""),"")</f>
        <v/>
      </c>
      <c r="K170" s="203">
        <f>IF(AND(ISNUMBER(K161),ISNUMBER(K168)),IFERROR(K161/K168,""),"")</f>
        <v/>
      </c>
      <c r="L170" s="203">
        <f>IF(AND(ISNUMBER(L161),ISNUMBER(L168)),IFERROR(L161/L168,""),"")</f>
        <v/>
      </c>
      <c r="M170" s="203">
        <f>IF(AND(ISNUMBER(M161),ISNUMBER(M168)),IFERROR(M161/M168,""),"")</f>
        <v/>
      </c>
      <c r="N170" s="203">
        <f>IF(AND(ISNUMBER(N161),ISNUMBER(N168)),IFERROR(N161/N168,""),"")</f>
        <v/>
      </c>
      <c r="O170" s="203">
        <f>IF(AND(ISNUMBER(O161),ISNUMBER(O168)),IFERROR(O161/O168,""),"")</f>
        <v/>
      </c>
      <c r="P170" s="203">
        <f>IF(AND(ISNUMBER(P161),ISNUMBER(P168)),IFERROR(P161/P168,""),"")</f>
        <v/>
      </c>
      <c r="Q170" s="203">
        <f>IF(AND(ISNUMBER(Q161),ISNUMBER(Q168)),IFERROR(Q161/Q168,""),"")</f>
        <v/>
      </c>
      <c r="R170" s="203">
        <f>IF(AND(ISNUMBER(R161),ISNUMBER(R168)),IFERROR(R161/R168,""),"")</f>
        <v/>
      </c>
      <c r="S170" s="203">
        <f>IF(AND(ISNUMBER(S161),ISNUMBER(S168)),IFERROR(S161/S168,""),"")</f>
        <v/>
      </c>
      <c r="T170" s="203">
        <f>IF(AND(ISNUMBER(T161),ISNUMBER(T168)),IFERROR(T161/T168,""),"")</f>
        <v/>
      </c>
      <c r="U170" s="203">
        <f>IF(AND(ISNUMBER(U161),ISNUMBER(U168)),IFERROR(U161/U168,""),"")</f>
        <v/>
      </c>
      <c r="V170" s="203">
        <f>IF(AND(ISNUMBER(V161),ISNUMBER(V168)),IFERROR(V161/V168,""),"")</f>
        <v/>
      </c>
      <c r="W170" s="203">
        <f>IF(AND(ISNUMBER(W161),ISNUMBER(W168)),IFERROR(W161/W168,""),"")</f>
        <v/>
      </c>
      <c r="X170" s="203">
        <f>IF(AND(ISNUMBER(X161),ISNUMBER(X168)),IFERROR(X161/X168,""),"")</f>
        <v/>
      </c>
      <c r="Y170" s="203">
        <f>IF(AND(ISNUMBER(Y161),ISNUMBER(Y168)),IFERROR(Y161/Y168,""),"")</f>
        <v/>
      </c>
      <c r="Z170" s="203">
        <f>IF(AND(ISNUMBER(Z161),ISNUMBER(Z168)),IFERROR(Z161/Z168,""),"")</f>
        <v/>
      </c>
      <c r="AA170" s="203">
        <f>IF(AND(ISNUMBER(AA161),ISNUMBER(AA168)),IFERROR(AA161/AA168,""),"")</f>
        <v/>
      </c>
      <c r="AB170" s="203">
        <f>IF(AND(ISNUMBER(AB161),ISNUMBER(AB168)),IFERROR(AB161/AB168,""),"")</f>
        <v/>
      </c>
      <c r="AC170" s="203">
        <f>IF(AND(ISNUMBER(AC161),ISNUMBER(AC168)),IFERROR(AC161/AC168,""),"")</f>
        <v/>
      </c>
      <c r="AD170" s="203">
        <f>IF(AND(ISNUMBER(AD161),ISNUMBER(AD168)),IFERROR(AD161/AD168,""),"")</f>
        <v/>
      </c>
      <c r="AE170" s="203">
        <f>IF(AND(ISNUMBER(AE161),ISNUMBER(AE168)),IFERROR(AE161/AE168,""),"")</f>
        <v/>
      </c>
      <c r="AF170" s="203">
        <f>IF(AND(ISNUMBER(AF161),ISNUMBER(AF168)),IFERROR(AF161/AF168,""),"")</f>
        <v/>
      </c>
      <c r="AG170" s="203">
        <f>IF(AND(ISNUMBER(AG161),ISNUMBER(AG168)),IFERROR(AG161/AG168,""),"")</f>
        <v/>
      </c>
      <c r="AH170" s="203">
        <f>IF(AND(ISNUMBER(AH161),ISNUMBER(AH168)),IFERROR(AH161/AH168,""),"")</f>
        <v/>
      </c>
      <c r="AI170" s="203">
        <f>IF(AND(ISNUMBER(AI161),ISNUMBER(AI168)),IFERROR(AI161/AI168,""),"")</f>
        <v/>
      </c>
      <c r="AJ170" s="203">
        <f>IF(AND(ISNUMBER(AJ161),ISNUMBER(AJ168)),IFERROR(AJ161/AJ168,""),"")</f>
        <v/>
      </c>
      <c r="AK170" s="203">
        <f>IF(AND(ISNUMBER(AK161),ISNUMBER(AK168)),IFERROR(AK161/AK168,""),"")</f>
        <v/>
      </c>
      <c r="AL170" s="203">
        <f>IF(AND(ISNUMBER(AL161),ISNUMBER(AL168)),IFERROR(AL161/AL168,""),"")</f>
        <v/>
      </c>
      <c r="AM170" s="203">
        <f>IF(AND(ISNUMBER(AM161),ISNUMBER(AM168)),IFERROR(AM161/AM168,""),"")</f>
        <v/>
      </c>
      <c r="AN170" s="203">
        <f>IF(AND(ISNUMBER(AN161),ISNUMBER(AN168)),IFERROR(AN161/AN168,""),"")</f>
        <v/>
      </c>
      <c r="AO170" s="203">
        <f>IF(AND(ISNUMBER(AO161),ISNUMBER(AO168)),IFERROR(AO161/AO168,""),"")</f>
        <v/>
      </c>
      <c r="AP170" s="203">
        <f>IF(AND(ISNUMBER(AP161),ISNUMBER(AP168)),IFERROR(AP161/AP168,""),"")</f>
        <v/>
      </c>
      <c r="AQ170" s="203">
        <f>IF(AND(ISNUMBER(AQ161),ISNUMBER(AQ168)),IFERROR(AQ161/AQ168,""),"")</f>
        <v/>
      </c>
      <c r="AR170" s="203">
        <f>IF(AND(ISNUMBER(AR161),ISNUMBER(AR168)),IFERROR(AR161/AR168,""),"")</f>
        <v/>
      </c>
      <c r="AS170" s="203">
        <f>IF(AND(ISNUMBER(AS161),ISNUMBER(AS168)),IFERROR(AS161/AS168,""),"")</f>
        <v/>
      </c>
      <c r="AT170" s="203">
        <f>IF(AND(ISNUMBER(AT161),ISNUMBER(AT168)),IFERROR(AT161/AT168,""),"")</f>
        <v/>
      </c>
      <c r="AU170" s="203">
        <f>IF(AND(ISNUMBER(AU161),ISNUMBER(AU168)),IFERROR(AU161/AU168,""),"")</f>
        <v/>
      </c>
      <c r="AV170" s="203">
        <f>IF(AND(ISNUMBER(AV161),ISNUMBER(AV168)),IFERROR(AV161/AV168,""),"")</f>
        <v/>
      </c>
      <c r="AW170" s="203">
        <f>IF(AND(ISNUMBER(AW161),ISNUMBER(AW168)),IFERROR(AW161/AW168,""),"")</f>
        <v/>
      </c>
      <c r="AX170" s="203">
        <f>IF(AND(ISNUMBER(AX161),ISNUMBER(AX168)),IFERROR(AX161/AX168,""),"")</f>
        <v/>
      </c>
      <c r="AY170" s="203">
        <f>IF(AND(ISNUMBER(AY161),ISNUMBER(AY168)),IFERROR(AY161/AY168,""),"")</f>
        <v/>
      </c>
      <c r="AZ170" s="203">
        <f>IF(AND(ISNUMBER(AZ161),ISNUMBER(AZ168)),IFERROR(AZ161/AZ168,""),"")</f>
        <v/>
      </c>
      <c r="BA170" s="203">
        <f>IF(AND(ISNUMBER(BA161),ISNUMBER(BA168)),IFERROR(BA161/BA168,""),"")</f>
        <v/>
      </c>
      <c r="BB170" s="203">
        <f>IF(AND(ISNUMBER(BB161),ISNUMBER(BB168)),IFERROR(BB161/BB168,""),"")</f>
        <v/>
      </c>
      <c r="BC170" s="203">
        <f>IF(AND(ISNUMBER(BC161),ISNUMBER(BC168)),IFERROR(BC161/BC168,""),"")</f>
        <v/>
      </c>
      <c r="BD170" s="203">
        <f>IF(AND(ISNUMBER(BD161),ISNUMBER(BD168)),IFERROR(BD161/BD168,""),"")</f>
        <v/>
      </c>
      <c r="BE170" s="203">
        <f>IF(AND(ISNUMBER(BE161),ISNUMBER(BE168)),IFERROR(BE161/BE168,""),"")</f>
        <v/>
      </c>
      <c r="BF170" s="203">
        <f>IF(AND(ISNUMBER(BF161),ISNUMBER(BF168)),IFERROR(BF161/BF168,""),"")</f>
        <v/>
      </c>
      <c r="BG170" s="203">
        <f>IF(AND(ISNUMBER(BG161),ISNUMBER(BG168)),IFERROR(BG161/BG168,""),"")</f>
        <v/>
      </c>
      <c r="BH170" s="203">
        <f>IF(AND(ISNUMBER(BH161),ISNUMBER(BH168)),IFERROR(BH161/BH168,""),"")</f>
        <v/>
      </c>
      <c r="BI170" s="203">
        <f>IF(AND(ISNUMBER(BI161),ISNUMBER(BI168)),IFERROR(BI161/BI168,""),"")</f>
        <v/>
      </c>
      <c r="BJ170" s="203">
        <f>IF(AND(ISNUMBER(BJ161),ISNUMBER(BJ168)),IFERROR(BJ161/BJ168,""),"")</f>
        <v/>
      </c>
      <c r="BK170" s="203">
        <f>IF(AND(ISNUMBER(BK161),ISNUMBER(BK168)),IFERROR(BK161/BK168,""),"")</f>
        <v/>
      </c>
      <c r="BL170" s="203">
        <f>IF(AND(ISNUMBER(BL161),ISNUMBER(BL168)),IFERROR(BL161/BL168,""),"")</f>
        <v/>
      </c>
      <c r="BM170" s="203">
        <f>IF(AND(ISNUMBER(BM161),ISNUMBER(BM168)),IFERROR(BM161/BM168,""),"")</f>
        <v/>
      </c>
      <c r="BN170" s="203">
        <f>IF(AND(ISNUMBER(BN161),ISNUMBER(BN168)),IFERROR(BN161/BN168,""),"")</f>
        <v/>
      </c>
      <c r="BO170" s="203">
        <f>IF(AND(ISNUMBER(BO161),ISNUMBER(BO168)),IFERROR(BO161/BO168,""),"")</f>
        <v/>
      </c>
      <c r="BP170" s="203">
        <f>IF(AND(ISNUMBER(BP161),ISNUMBER(BP168)),IFERROR(BP161/BP168,""),"")</f>
        <v/>
      </c>
      <c r="BQ170" s="203">
        <f>IF(AND(ISNUMBER(BQ161),ISNUMBER(BQ168)),IFERROR(BQ161/BQ168,""),"")</f>
        <v/>
      </c>
      <c r="BR170" s="203">
        <f>IF(AND(ISNUMBER(BR161),ISNUMBER(BR168)),IFERROR(BR161/BR168,""),"")</f>
        <v/>
      </c>
      <c r="BS170" s="203">
        <f>IF(AND(ISNUMBER(BS161),ISNUMBER(BS168)),IFERROR(BS161/BS168,""),"")</f>
        <v/>
      </c>
      <c r="BT170" s="203">
        <f>IF(AND(ISNUMBER(BT161),ISNUMBER(BT168)),IFERROR(BT161/BT168,""),"")</f>
        <v/>
      </c>
      <c r="BU170" s="203">
        <f>IF(AND(ISNUMBER(BU161),ISNUMBER(BU168)),IFERROR(BU161/BU168,""),"")</f>
        <v/>
      </c>
      <c r="BV170" s="203">
        <f>IF(AND(ISNUMBER(BV161),ISNUMBER(BV168)),IFERROR(BV161/BV168,""),"")</f>
        <v/>
      </c>
      <c r="BW170" s="203">
        <f>IF(AND(ISNUMBER(BW161),ISNUMBER(BW168)),IFERROR(BW161/BW168,""),"")</f>
        <v/>
      </c>
      <c r="BX170" s="203">
        <f>IF(AND(ISNUMBER(BX161),ISNUMBER(BX168)),IFERROR(BX161/BX168,""),"")</f>
        <v/>
      </c>
      <c r="BY170" s="203">
        <f>IF(AND(ISNUMBER(BY161),ISNUMBER(BY168)),IFERROR(BY161/BY168,""),"")</f>
        <v/>
      </c>
      <c r="BZ170" s="203">
        <f>IF(AND(ISNUMBER(BZ161),ISNUMBER(BZ168)),IFERROR(BZ161/BZ168,""),"")</f>
        <v/>
      </c>
      <c r="CA170" s="203">
        <f>IF(AND(ISNUMBER(CA161),ISNUMBER(CA168)),IFERROR(CA161/CA168,""),"")</f>
        <v/>
      </c>
      <c r="CB170" s="203">
        <f>IF(AND(ISNUMBER(CB161),ISNUMBER(CB168)),IFERROR(CB161/CB168,""),"")</f>
        <v/>
      </c>
      <c r="CC170" s="203">
        <f>IF(AND(ISNUMBER(CC161),ISNUMBER(CC168)),IFERROR(CC161/CC168,""),"")</f>
        <v/>
      </c>
      <c r="CD170" s="203">
        <f>IF(AND(ISNUMBER(CD161),ISNUMBER(CD168)),IFERROR(CD161/CD168,""),"")</f>
        <v/>
      </c>
      <c r="CE170" s="203">
        <f>IF(AND(ISNUMBER(CE161),ISNUMBER(CE168)),IFERROR(CE161/CE168,""),"")</f>
        <v/>
      </c>
      <c r="CF170" s="20" t="inlineStr">
        <is>
          <t>EPS computed as net income / weighted diluted shares (may differ by ±$0.01 vs reported; participating securities).</t>
        </is>
      </c>
      <c r="CH170" s="21">
        <f>IFERROR((CE170/BV170)^(1/5)-1,"n/m")</f>
        <v/>
      </c>
      <c r="CI170" s="21">
        <f>IFERROR((BV170/AW170)^(1/5)-1,"n/m")</f>
        <v/>
      </c>
      <c r="CJ170" s="21">
        <f>IFERROR((BV170/X170)^(1/10)-1,"n/m")</f>
        <v/>
      </c>
      <c r="CK170" s="21">
        <f>IFERROR((BV170/C170)^(1/19)-1,"n/m")</f>
        <v/>
      </c>
    </row>
    <row r="171" ht="15" customHeight="1">
      <c r="B171" s="23" t="inlineStr">
        <is>
          <t xml:space="preserve">  EPS – diluted y/y %</t>
        </is>
      </c>
      <c r="D171" s="179">
        <f>IF(AND(ISNUMBER(D170),ISNUMBER(C170)),IFERROR(D170/C170-1,""),"")</f>
        <v/>
      </c>
      <c r="E171" s="179">
        <f>IF(AND(ISNUMBER(E170),ISNUMBER(D170)),IFERROR(E170/D170-1,""),"")</f>
        <v/>
      </c>
      <c r="F171" s="179">
        <f>IF(AND(ISNUMBER(F170),ISNUMBER(E170)),IFERROR(F170/E170-1,""),"")</f>
        <v/>
      </c>
      <c r="G171" s="179">
        <f>IF(AND(ISNUMBER(G170),ISNUMBER(F170)),IFERROR(G170/F170-1,""),"")</f>
        <v/>
      </c>
      <c r="H171" s="179">
        <f>IF(AND(ISNUMBER(H170),ISNUMBER(G170)),IFERROR(H170/G170-1,""),"")</f>
        <v/>
      </c>
      <c r="I171" s="179">
        <f>IF(AND(ISNUMBER(I170),ISNUMBER(H170)),IFERROR(I170/H170-1,""),"")</f>
        <v/>
      </c>
      <c r="N171" s="179">
        <f>IF(AND(ISNUMBER(N170),ISNUMBER(I170)),IFERROR(N170/I170-1,""),"")</f>
        <v/>
      </c>
      <c r="O171" s="179">
        <f>IF(AND(ISNUMBER(O170),ISNUMBER(J170)),IFERROR(O170/J170-1,""),"")</f>
        <v/>
      </c>
      <c r="P171" s="179">
        <f>IF(AND(ISNUMBER(P170),ISNUMBER(K170)),IFERROR(P170/K170-1,""),"")</f>
        <v/>
      </c>
      <c r="Q171" s="179">
        <f>IF(AND(ISNUMBER(Q170),ISNUMBER(L170)),IFERROR(Q170/L170-1,""),"")</f>
        <v/>
      </c>
      <c r="R171" s="179">
        <f>IF(AND(ISNUMBER(R170),ISNUMBER(M170)),IFERROR(R170/M170-1,""),"")</f>
        <v/>
      </c>
      <c r="S171" s="179">
        <f>IF(AND(ISNUMBER(S170),ISNUMBER(N170)),IFERROR(S170/N170-1,""),"")</f>
        <v/>
      </c>
      <c r="T171" s="179">
        <f>IF(AND(ISNUMBER(T170),ISNUMBER(O170)),IFERROR(T170/O170-1,""),"")</f>
        <v/>
      </c>
      <c r="U171" s="179">
        <f>IF(AND(ISNUMBER(U170),ISNUMBER(P170)),IFERROR(U170/P170-1,""),"")</f>
        <v/>
      </c>
      <c r="V171" s="179">
        <f>IF(AND(ISNUMBER(V170),ISNUMBER(Q170)),IFERROR(V170/Q170-1,""),"")</f>
        <v/>
      </c>
      <c r="W171" s="179">
        <f>IF(AND(ISNUMBER(W170),ISNUMBER(R170)),IFERROR(W170/R170-1,""),"")</f>
        <v/>
      </c>
      <c r="X171" s="179">
        <f>IF(AND(ISNUMBER(X170),ISNUMBER(S170)),IFERROR(X170/S170-1,""),"")</f>
        <v/>
      </c>
      <c r="Y171" s="179">
        <f>IF(AND(ISNUMBER(Y170),ISNUMBER(T170)),IFERROR(Y170/T170-1,""),"")</f>
        <v/>
      </c>
      <c r="Z171" s="179">
        <f>IF(AND(ISNUMBER(Z170),ISNUMBER(U170)),IFERROR(Z170/U170-1,""),"")</f>
        <v/>
      </c>
      <c r="AA171" s="179">
        <f>IF(AND(ISNUMBER(AA170),ISNUMBER(V170)),IFERROR(AA170/V170-1,""),"")</f>
        <v/>
      </c>
      <c r="AB171" s="179">
        <f>IF(AND(ISNUMBER(AB170),ISNUMBER(W170)),IFERROR(AB170/W170-1,""),"")</f>
        <v/>
      </c>
      <c r="AC171" s="179">
        <f>IF(AND(ISNUMBER(AC170),ISNUMBER(X170)),IFERROR(AC170/X170-1,""),"")</f>
        <v/>
      </c>
      <c r="AD171" s="179">
        <f>IF(AND(ISNUMBER(AD170),ISNUMBER(Y170)),IFERROR(AD170/Y170-1,""),"")</f>
        <v/>
      </c>
      <c r="AE171" s="179">
        <f>IF(AND(ISNUMBER(AE170),ISNUMBER(Z170)),IFERROR(AE170/Z170-1,""),"")</f>
        <v/>
      </c>
      <c r="AF171" s="179">
        <f>IF(AND(ISNUMBER(AF170),ISNUMBER(AA170)),IFERROR(AF170/AA170-1,""),"")</f>
        <v/>
      </c>
      <c r="AG171" s="179">
        <f>IF(AND(ISNUMBER(AG170),ISNUMBER(AB170)),IFERROR(AG170/AB170-1,""),"")</f>
        <v/>
      </c>
      <c r="AH171" s="179">
        <f>IF(AND(ISNUMBER(AH170),ISNUMBER(AC170)),IFERROR(AH170/AC170-1,""),"")</f>
        <v/>
      </c>
      <c r="AI171" s="179">
        <f>IF(AND(ISNUMBER(AI170),ISNUMBER(AD170)),IFERROR(AI170/AD170-1,""),"")</f>
        <v/>
      </c>
      <c r="AJ171" s="179">
        <f>IF(AND(ISNUMBER(AJ170),ISNUMBER(AE170)),IFERROR(AJ170/AE170-1,""),"")</f>
        <v/>
      </c>
      <c r="AK171" s="179">
        <f>IF(AND(ISNUMBER(AK170),ISNUMBER(AF170)),IFERROR(AK170/AF170-1,""),"")</f>
        <v/>
      </c>
      <c r="AL171" s="179">
        <f>IF(AND(ISNUMBER(AL170),ISNUMBER(AG170)),IFERROR(AL170/AG170-1,""),"")</f>
        <v/>
      </c>
      <c r="AM171" s="179">
        <f>IF(AND(ISNUMBER(AM170),ISNUMBER(AH170)),IFERROR(AM170/AH170-1,""),"")</f>
        <v/>
      </c>
      <c r="AN171" s="179">
        <f>IF(AND(ISNUMBER(AN170),ISNUMBER(AI170)),IFERROR(AN170/AI170-1,""),"")</f>
        <v/>
      </c>
      <c r="AO171" s="179">
        <f>IF(AND(ISNUMBER(AO170),ISNUMBER(AJ170)),IFERROR(AO170/AJ170-1,""),"")</f>
        <v/>
      </c>
      <c r="AP171" s="179">
        <f>IF(AND(ISNUMBER(AP170),ISNUMBER(AK170)),IFERROR(AP170/AK170-1,""),"")</f>
        <v/>
      </c>
      <c r="AQ171" s="179">
        <f>IF(AND(ISNUMBER(AQ170),ISNUMBER(AL170)),IFERROR(AQ170/AL170-1,""),"")</f>
        <v/>
      </c>
      <c r="AR171" s="179">
        <f>IF(AND(ISNUMBER(AR170),ISNUMBER(AM170)),IFERROR(AR170/AM170-1,""),"")</f>
        <v/>
      </c>
      <c r="AS171" s="179">
        <f>IF(AND(ISNUMBER(AS170),ISNUMBER(AN170)),IFERROR(AS170/AN170-1,""),"")</f>
        <v/>
      </c>
      <c r="AT171" s="179">
        <f>IF(AND(ISNUMBER(AT170),ISNUMBER(AO170)),IFERROR(AT170/AO170-1,""),"")</f>
        <v/>
      </c>
      <c r="AU171" s="179">
        <f>IF(AND(ISNUMBER(AU170),ISNUMBER(AP170)),IFERROR(AU170/AP170-1,""),"")</f>
        <v/>
      </c>
      <c r="AV171" s="179">
        <f>IF(AND(ISNUMBER(AV170),ISNUMBER(AQ170)),IFERROR(AV170/AQ170-1,""),"")</f>
        <v/>
      </c>
      <c r="AW171" s="179">
        <f>IF(AND(ISNUMBER(AW170),ISNUMBER(AR170)),IFERROR(AW170/AR170-1,""),"")</f>
        <v/>
      </c>
      <c r="AX171" s="179">
        <f>IF(AND(ISNUMBER(AX170),ISNUMBER(AS170)),IFERROR(AX170/AS170-1,""),"")</f>
        <v/>
      </c>
      <c r="AY171" s="179">
        <f>IF(AND(ISNUMBER(AY170),ISNUMBER(AT170)),IFERROR(AY170/AT170-1,""),"")</f>
        <v/>
      </c>
      <c r="AZ171" s="179">
        <f>IF(AND(ISNUMBER(AZ170),ISNUMBER(AU170)),IFERROR(AZ170/AU170-1,""),"")</f>
        <v/>
      </c>
      <c r="BA171" s="179">
        <f>IF(AND(ISNUMBER(BA170),ISNUMBER(AV170)),IFERROR(BA170/AV170-1,""),"")</f>
        <v/>
      </c>
      <c r="BB171" s="179">
        <f>IF(AND(ISNUMBER(BB170),ISNUMBER(AW170)),IFERROR(BB170/AW170-1,""),"")</f>
        <v/>
      </c>
      <c r="BC171" s="179">
        <f>IF(AND(ISNUMBER(BC170),ISNUMBER(AX170)),IFERROR(BC170/AX170-1,""),"")</f>
        <v/>
      </c>
      <c r="BD171" s="179">
        <f>IF(AND(ISNUMBER(BD170),ISNUMBER(AY170)),IFERROR(BD170/AY170-1,""),"")</f>
        <v/>
      </c>
      <c r="BE171" s="179">
        <f>IF(AND(ISNUMBER(BE170),ISNUMBER(AZ170)),IFERROR(BE170/AZ170-1,""),"")</f>
        <v/>
      </c>
      <c r="BF171" s="179">
        <f>IF(AND(ISNUMBER(BF170),ISNUMBER(BA170)),IFERROR(BF170/BA170-1,""),"")</f>
        <v/>
      </c>
      <c r="BG171" s="179">
        <f>IF(AND(ISNUMBER(BG170),ISNUMBER(BB170)),IFERROR(BG170/BB170-1,""),"")</f>
        <v/>
      </c>
      <c r="BH171" s="179">
        <f>IF(AND(ISNUMBER(BH170),ISNUMBER(BC170)),IFERROR(BH170/BC170-1,""),"")</f>
        <v/>
      </c>
      <c r="BI171" s="179">
        <f>IF(AND(ISNUMBER(BI170),ISNUMBER(BD170)),IFERROR(BI170/BD170-1,""),"")</f>
        <v/>
      </c>
      <c r="BJ171" s="179">
        <f>IF(AND(ISNUMBER(BJ170),ISNUMBER(BE170)),IFERROR(BJ170/BE170-1,""),"")</f>
        <v/>
      </c>
      <c r="BK171" s="179">
        <f>IF(AND(ISNUMBER(BK170),ISNUMBER(BF170)),IFERROR(BK170/BF170-1,""),"")</f>
        <v/>
      </c>
      <c r="BL171" s="179">
        <f>IF(AND(ISNUMBER(BL170),ISNUMBER(BG170)),IFERROR(BL170/BG170-1,""),"")</f>
        <v/>
      </c>
      <c r="BM171" s="179">
        <f>IF(AND(ISNUMBER(BM170),ISNUMBER(BH170)),IFERROR(BM170/BH170-1,""),"")</f>
        <v/>
      </c>
      <c r="BN171" s="179">
        <f>IF(AND(ISNUMBER(BN170),ISNUMBER(BI170)),IFERROR(BN170/BI170-1,""),"")</f>
        <v/>
      </c>
      <c r="BO171" s="179">
        <f>IF(AND(ISNUMBER(BO170),ISNUMBER(BJ170)),IFERROR(BO170/BJ170-1,""),"")</f>
        <v/>
      </c>
      <c r="BP171" s="179">
        <f>IF(AND(ISNUMBER(BP170),ISNUMBER(BK170)),IFERROR(BP170/BK170-1,""),"")</f>
        <v/>
      </c>
      <c r="BQ171" s="179">
        <f>IF(AND(ISNUMBER(BQ170),ISNUMBER(BL170)),IFERROR(BQ170/BL170-1,""),"")</f>
        <v/>
      </c>
      <c r="BR171" s="179">
        <f>IF(AND(ISNUMBER(BR170),ISNUMBER(BM170)),IFERROR(BR170/BM170-1,""),"")</f>
        <v/>
      </c>
      <c r="BS171" s="179">
        <f>IF(AND(ISNUMBER(BS170),ISNUMBER(BN170)),IFERROR(BS170/BN170-1,""),"")</f>
        <v/>
      </c>
      <c r="BT171" s="179">
        <f>IF(AND(ISNUMBER(BT170),ISNUMBER(BO170)),IFERROR(BT170/BO170-1,""),"")</f>
        <v/>
      </c>
      <c r="BU171" s="179">
        <f>IF(AND(ISNUMBER(BU170),ISNUMBER(BP170)),IFERROR(BU170/BP170-1,""),"")</f>
        <v/>
      </c>
      <c r="BV171" s="179">
        <f>IF(AND(ISNUMBER(BV170),ISNUMBER(BQ170)),IFERROR(BV170/BQ170-1,""),"")</f>
        <v/>
      </c>
      <c r="BW171" s="179">
        <f>IF(AND(ISNUMBER(BW170),ISNUMBER(BR170)),IFERROR(BW170/BR170-1,""),"")</f>
        <v/>
      </c>
      <c r="BX171" s="179">
        <f>IF(AND(ISNUMBER(BX170),ISNUMBER(BS170)),IFERROR(BX170/BS170-1,""),"")</f>
        <v/>
      </c>
      <c r="BY171" s="180">
        <f>IF(AND(ISNUMBER(BY170),ISNUMBER(BT170)),IFERROR(BY170/BT170-1,""),"")</f>
        <v/>
      </c>
      <c r="BZ171" s="180">
        <f>IF(AND(ISNUMBER(BZ170),ISNUMBER(BU170)),IFERROR(BZ170/BU170-1,""),"")</f>
        <v/>
      </c>
      <c r="CA171" s="180">
        <f>IF(AND(ISNUMBER(CA170),ISNUMBER(BV170)),IFERROR(CA170/BV170-1,""),"")</f>
        <v/>
      </c>
      <c r="CB171" s="180">
        <f>IF(AND(ISNUMBER(CB170),ISNUMBER(CA170)),IFERROR(CB170/CA170-1,""),"")</f>
        <v/>
      </c>
      <c r="CC171" s="180">
        <f>IF(AND(ISNUMBER(CC170),ISNUMBER(CB170)),IFERROR(CC170/CB170-1,""),"")</f>
        <v/>
      </c>
      <c r="CD171" s="180">
        <f>IF(AND(ISNUMBER(CD170),ISNUMBER(CC170)),IFERROR(CD170/CC170-1,""),"")</f>
        <v/>
      </c>
      <c r="CE171" s="180">
        <f>IF(AND(ISNUMBER(CE170),ISNUMBER(CD170)),IFERROR(CE170/CD170-1,""),"")</f>
        <v/>
      </c>
      <c r="CF171" s="6" t="n"/>
    </row>
    <row r="172" ht="15" customHeight="1">
      <c r="B172" s="42" t="inlineStr">
        <is>
          <t xml:space="preserve">  Memo: EPS – diluted as reported ($; split-adjusted)</t>
        </is>
      </c>
      <c r="C172" s="204" t="n">
        <v>0.865</v>
      </c>
      <c r="D172" s="204" t="n">
        <v>1.115</v>
      </c>
      <c r="E172" s="204" t="n">
        <v>1.335</v>
      </c>
      <c r="F172" s="204" t="n">
        <v>1.195</v>
      </c>
      <c r="G172" s="204" t="n">
        <v>1.28</v>
      </c>
      <c r="H172" s="204" t="n">
        <v>1.755</v>
      </c>
      <c r="I172" s="204" t="n">
        <v>2.595</v>
      </c>
      <c r="J172" s="204" t="n">
        <v>0.72</v>
      </c>
      <c r="K172" s="204" t="n">
        <v>0.77</v>
      </c>
      <c r="L172" s="204" t="n">
        <v>0.76</v>
      </c>
      <c r="M172" s="204" t="n">
        <v>0.76</v>
      </c>
      <c r="N172" s="204" t="n">
        <v>3.01</v>
      </c>
      <c r="O172" s="204" t="n">
        <v>0.83</v>
      </c>
      <c r="P172" s="204" t="n">
        <v>0.91</v>
      </c>
      <c r="Q172" s="204" t="n">
        <v>0.93</v>
      </c>
      <c r="R172" s="204" t="n">
        <v>0.95</v>
      </c>
      <c r="S172" s="204" t="n">
        <v>3.62</v>
      </c>
      <c r="T172" s="204" t="n">
        <v>0.99</v>
      </c>
      <c r="U172" s="204" t="n">
        <v>1.04</v>
      </c>
      <c r="V172" s="204" t="n">
        <v>1.02</v>
      </c>
      <c r="W172" s="204" t="n">
        <v>1.05</v>
      </c>
      <c r="X172" s="204" t="n">
        <v>4.1</v>
      </c>
      <c r="Y172" s="204" t="n">
        <v>1.02</v>
      </c>
      <c r="Z172" s="204" t="n">
        <v>1</v>
      </c>
      <c r="AA172" s="204" t="n">
        <v>0.91</v>
      </c>
      <c r="AB172" s="204" t="n">
        <v>0.42</v>
      </c>
      <c r="AC172" s="204" t="n">
        <v>3.34</v>
      </c>
      <c r="AD172" s="204" t="n">
        <v>0.77</v>
      </c>
      <c r="AE172" s="204" t="n">
        <v>0.75</v>
      </c>
      <c r="AF172" s="204" t="n">
        <v>0.7</v>
      </c>
      <c r="AG172" s="204" t="n">
        <v>0.51</v>
      </c>
      <c r="AH172" s="204" t="n">
        <v>2.72</v>
      </c>
      <c r="AI172" s="204" t="n">
        <v>0.92</v>
      </c>
      <c r="AJ172" s="204" t="n">
        <v>0.87</v>
      </c>
      <c r="AK172" s="204" t="n">
        <v>0.91</v>
      </c>
      <c r="AL172" s="204" t="n">
        <v>0.36</v>
      </c>
      <c r="AM172" s="204" t="n">
        <v>3.05</v>
      </c>
      <c r="AN172" s="204" t="n">
        <v>-0.04</v>
      </c>
      <c r="AO172" s="204" t="n">
        <v>0.54</v>
      </c>
      <c r="AP172" s="204" t="n">
        <v>0.48</v>
      </c>
      <c r="AQ172" s="204" t="n">
        <v>0.71</v>
      </c>
      <c r="AR172" s="204" t="n">
        <v>1.84</v>
      </c>
      <c r="AS172" s="204" t="n">
        <v>0.58</v>
      </c>
      <c r="AT172" s="204" t="n">
        <v>0.46</v>
      </c>
      <c r="AU172" s="204" t="n">
        <v>0.67</v>
      </c>
      <c r="AV172" s="204" t="n">
        <v>0.46</v>
      </c>
      <c r="AW172" s="204" t="n">
        <v>2.17</v>
      </c>
      <c r="AX172" s="204" t="n">
        <v>0.59</v>
      </c>
      <c r="AY172" s="204" t="n">
        <v>0.66</v>
      </c>
      <c r="AZ172" s="204" t="n">
        <v>0.6899999999999999</v>
      </c>
      <c r="BA172" s="204" t="n">
        <v>1.02</v>
      </c>
      <c r="BB172" s="204" t="n">
        <v>2.96</v>
      </c>
      <c r="BC172" s="204" t="n">
        <v>0.8</v>
      </c>
      <c r="BD172" s="204" t="n">
        <v>0.91</v>
      </c>
      <c r="BE172" s="204" t="n">
        <v>0.88</v>
      </c>
      <c r="BF172" s="204" t="n">
        <v>0.86</v>
      </c>
      <c r="BG172" s="204" t="n">
        <v>3.46</v>
      </c>
      <c r="BH172" s="204" t="n">
        <v>0.93</v>
      </c>
      <c r="BI172" s="204" t="n">
        <v>1.06</v>
      </c>
      <c r="BJ172" s="204" t="n">
        <v>1.33</v>
      </c>
      <c r="BK172" s="204" t="n">
        <v>1.2</v>
      </c>
      <c r="BL172" s="204" t="n">
        <v>4.53</v>
      </c>
      <c r="BM172" s="204" t="n">
        <v>1.53</v>
      </c>
      <c r="BN172" s="204" t="n">
        <v>1.64</v>
      </c>
      <c r="BO172" s="204" t="n">
        <v>1.63</v>
      </c>
      <c r="BP172" s="204" t="n">
        <v>1.23</v>
      </c>
      <c r="BQ172" s="204" t="n">
        <v>6.04</v>
      </c>
      <c r="BR172" s="204" t="n">
        <v>1.88</v>
      </c>
      <c r="BS172" s="204" t="n">
        <v>1.96</v>
      </c>
      <c r="BT172" s="204" t="n">
        <v>1.81</v>
      </c>
      <c r="BU172" s="204" t="n">
        <v>1.18</v>
      </c>
      <c r="BV172" s="204" t="n">
        <v>6.83</v>
      </c>
      <c r="BW172" s="204" t="n">
        <v>2.12</v>
      </c>
      <c r="BX172" s="204" t="n">
        <v>2.33</v>
      </c>
      <c r="BY172" s="6" t="n"/>
      <c r="BZ172" s="6" t="n"/>
      <c r="CA172" s="6" t="n"/>
      <c r="CB172" s="6" t="n"/>
      <c r="CC172" s="6" t="n"/>
      <c r="CD172" s="6" t="n"/>
      <c r="CE172" s="6" t="n"/>
      <c r="CF172" s="6" t="n"/>
    </row>
    <row r="173" ht="15" customHeight="1">
      <c r="B173" s="26" t="inlineStr">
        <is>
          <t xml:space="preserve">  Dividends declared per share ($)</t>
        </is>
      </c>
      <c r="C173" s="204" t="n">
        <v>0.02</v>
      </c>
      <c r="D173" s="204" t="n">
        <v>0.02</v>
      </c>
      <c r="E173" s="204" t="n">
        <v>0.02</v>
      </c>
      <c r="F173" s="204" t="n">
        <v>0.02</v>
      </c>
      <c r="G173" s="204" t="n">
        <v>0.02</v>
      </c>
      <c r="H173" s="204" t="n">
        <v>0.04</v>
      </c>
      <c r="I173" s="204" t="n">
        <v>0.09</v>
      </c>
      <c r="J173" s="204" t="n">
        <v>0.025</v>
      </c>
      <c r="K173" s="204" t="n">
        <v>0.025</v>
      </c>
      <c r="L173" s="204" t="n">
        <v>0.04</v>
      </c>
      <c r="M173" s="204" t="n">
        <v>0.04</v>
      </c>
      <c r="N173" s="204" t="n">
        <v>0.13</v>
      </c>
      <c r="O173" s="204" t="n">
        <v>0.04</v>
      </c>
      <c r="P173" s="204" t="n">
        <v>0.04</v>
      </c>
      <c r="Q173" s="204" t="n">
        <v>0.06</v>
      </c>
      <c r="R173" s="204" t="n">
        <v>0.06</v>
      </c>
      <c r="S173" s="204" t="n">
        <v>0.2</v>
      </c>
      <c r="T173" s="204" t="n">
        <v>0.06</v>
      </c>
      <c r="U173" s="204" t="n">
        <v>0.06</v>
      </c>
      <c r="V173" s="204" t="n">
        <v>0.08</v>
      </c>
      <c r="W173" s="204" t="n">
        <v>0.08</v>
      </c>
      <c r="X173" s="204" t="n">
        <v>0.28</v>
      </c>
      <c r="Y173" s="204" t="n">
        <v>0.08</v>
      </c>
      <c r="Z173" s="204" t="n">
        <v>0.08</v>
      </c>
      <c r="AA173" s="204" t="n">
        <v>0.1</v>
      </c>
      <c r="AB173" s="204" t="n">
        <v>0.1</v>
      </c>
      <c r="AC173" s="204" t="n">
        <v>0.36</v>
      </c>
      <c r="AD173" s="204" t="n">
        <v>0.1</v>
      </c>
      <c r="AE173" s="204" t="n">
        <v>0.1</v>
      </c>
      <c r="AF173" s="204" t="n">
        <v>0.12</v>
      </c>
      <c r="AG173" s="204" t="n">
        <v>0.12</v>
      </c>
      <c r="AH173" s="204" t="n">
        <v>0.44</v>
      </c>
      <c r="AI173" s="204" t="n">
        <v>0.12</v>
      </c>
      <c r="AJ173" s="204" t="n">
        <v>0.12</v>
      </c>
      <c r="AK173" s="204" t="n">
        <v>0.12</v>
      </c>
      <c r="AL173" s="204" t="n">
        <v>0.12</v>
      </c>
      <c r="AM173" s="204" t="n">
        <v>0.48</v>
      </c>
      <c r="AN173" s="204" t="n">
        <v>0.12</v>
      </c>
      <c r="AO173" s="204" t="n">
        <v>0.12</v>
      </c>
      <c r="AP173" s="204" t="n">
        <v>0.12</v>
      </c>
      <c r="AQ173" s="204" t="n">
        <v>0.12</v>
      </c>
      <c r="AR173" s="204" t="n">
        <v>0.48</v>
      </c>
      <c r="AS173" s="204" t="n">
        <v>0.12</v>
      </c>
      <c r="AT173" s="204" t="n">
        <v>0.12</v>
      </c>
      <c r="AU173" s="204" t="n">
        <v>0.12</v>
      </c>
      <c r="AV173" s="204" t="n">
        <v>0.12</v>
      </c>
      <c r="AW173" s="204" t="n">
        <v>0.48</v>
      </c>
      <c r="AX173" s="204" t="n">
        <v>0.12</v>
      </c>
      <c r="AY173" s="204" t="n">
        <v>0.12</v>
      </c>
      <c r="AZ173" s="204" t="n">
        <v>0.12</v>
      </c>
      <c r="BA173" s="204" t="n">
        <v>0.12</v>
      </c>
      <c r="BB173" s="204" t="n">
        <v>0.48</v>
      </c>
      <c r="BC173" s="204" t="n">
        <v>0.15</v>
      </c>
      <c r="BD173" s="204" t="n">
        <v>0.15</v>
      </c>
      <c r="BE173" s="204" t="n">
        <v>0.15</v>
      </c>
      <c r="BF173" s="204" t="n">
        <v>0.15</v>
      </c>
      <c r="BG173" s="204" t="n">
        <v>0.6</v>
      </c>
      <c r="BH173" s="204" t="n">
        <v>0.17</v>
      </c>
      <c r="BI173" s="204" t="n">
        <v>0.17</v>
      </c>
      <c r="BJ173" s="204" t="n">
        <v>0.17</v>
      </c>
      <c r="BK173" s="204" t="n">
        <v>0.17</v>
      </c>
      <c r="BL173" s="204" t="n">
        <v>0.68</v>
      </c>
      <c r="BM173" s="204" t="n">
        <v>0.2</v>
      </c>
      <c r="BN173" s="204" t="n">
        <v>0.2</v>
      </c>
      <c r="BO173" s="204" t="n">
        <v>0.2</v>
      </c>
      <c r="BP173" s="204" t="n">
        <v>0.2</v>
      </c>
      <c r="BQ173" s="204" t="n">
        <v>0.8</v>
      </c>
      <c r="BR173" s="204" t="n">
        <v>0.25</v>
      </c>
      <c r="BS173" s="204" t="n">
        <v>0.25</v>
      </c>
      <c r="BT173" s="204" t="n">
        <v>0.25</v>
      </c>
      <c r="BU173" s="204" t="n">
        <v>0.25</v>
      </c>
      <c r="BV173" s="204" t="n">
        <v>1</v>
      </c>
      <c r="BW173" s="204" t="n">
        <v>0.31</v>
      </c>
      <c r="BX173" s="204" t="n">
        <v>0.31</v>
      </c>
      <c r="BY173" s="202">
        <f>$BX$173</f>
        <v/>
      </c>
      <c r="BZ173" s="202">
        <f>$BX$173</f>
        <v/>
      </c>
      <c r="CA173" s="202">
        <f>SUM(BW173,BX173,BY173,BZ173)</f>
        <v/>
      </c>
      <c r="CB173" s="202">
        <f>CA173*(1+CB174)</f>
        <v/>
      </c>
      <c r="CC173" s="202">
        <f>CB173*(1+CC174)</f>
        <v/>
      </c>
      <c r="CD173" s="202">
        <f>CC173*(1+CD174)</f>
        <v/>
      </c>
      <c r="CE173" s="202">
        <f>CD173*(1+CE174)</f>
        <v/>
      </c>
      <c r="CF173" s="20" t="inlineStr">
        <is>
          <t>Q3/Q4-26E at the current quarterly rate; 2027E+ grows with the DPS growth input.</t>
        </is>
      </c>
      <c r="CH173" s="21">
        <f>IFERROR((CE173/BV173)^(1/5)-1,"n/m")</f>
        <v/>
      </c>
      <c r="CI173" s="21">
        <f>IFERROR((BV173/AW173)^(1/5)-1,"n/m")</f>
        <v/>
      </c>
      <c r="CJ173" s="21">
        <f>IFERROR((BV173/X173)^(1/10)-1,"n/m")</f>
        <v/>
      </c>
      <c r="CK173" s="21">
        <f>IFERROR((BV173/C173)^(1/19)-1,"n/m")</f>
        <v/>
      </c>
    </row>
    <row r="174" ht="15" customHeight="1">
      <c r="B174" s="23" t="inlineStr">
        <is>
          <t xml:space="preserve">  Dividend per share growth %</t>
        </is>
      </c>
      <c r="D174" s="179">
        <f>IF(AND(ISNUMBER(D173),ISNUMBER(C173)),IFERROR(D173/C173-1,""),"")</f>
        <v/>
      </c>
      <c r="E174" s="179">
        <f>IF(AND(ISNUMBER(E173),ISNUMBER(D173)),IFERROR(E173/D173-1,""),"")</f>
        <v/>
      </c>
      <c r="F174" s="179">
        <f>IF(AND(ISNUMBER(F173),ISNUMBER(E173)),IFERROR(F173/E173-1,""),"")</f>
        <v/>
      </c>
      <c r="G174" s="179">
        <f>IF(AND(ISNUMBER(G173),ISNUMBER(F173)),IFERROR(G173/F173-1,""),"")</f>
        <v/>
      </c>
      <c r="H174" s="179">
        <f>IF(AND(ISNUMBER(H173),ISNUMBER(G173)),IFERROR(H173/G173-1,""),"")</f>
        <v/>
      </c>
      <c r="I174" s="179">
        <f>IF(AND(ISNUMBER(I173),ISNUMBER(H173)),IFERROR(I173/H173-1,""),"")</f>
        <v/>
      </c>
      <c r="N174" s="179">
        <f>IF(AND(ISNUMBER(N173),ISNUMBER(I173)),IFERROR(N173/I173-1,""),"")</f>
        <v/>
      </c>
      <c r="O174" s="179">
        <f>IF(AND(ISNUMBER(O173),ISNUMBER(J173)),IFERROR(O173/J173-1,""),"")</f>
        <v/>
      </c>
      <c r="P174" s="179">
        <f>IF(AND(ISNUMBER(P173),ISNUMBER(K173)),IFERROR(P173/K173-1,""),"")</f>
        <v/>
      </c>
      <c r="Q174" s="179">
        <f>IF(AND(ISNUMBER(Q173),ISNUMBER(L173)),IFERROR(Q173/L173-1,""),"")</f>
        <v/>
      </c>
      <c r="R174" s="179">
        <f>IF(AND(ISNUMBER(R173),ISNUMBER(M173)),IFERROR(R173/M173-1,""),"")</f>
        <v/>
      </c>
      <c r="S174" s="179">
        <f>IF(AND(ISNUMBER(S173),ISNUMBER(N173)),IFERROR(S173/N173-1,""),"")</f>
        <v/>
      </c>
      <c r="T174" s="179">
        <f>IF(AND(ISNUMBER(T173),ISNUMBER(O173)),IFERROR(T173/O173-1,""),"")</f>
        <v/>
      </c>
      <c r="U174" s="179">
        <f>IF(AND(ISNUMBER(U173),ISNUMBER(P173)),IFERROR(U173/P173-1,""),"")</f>
        <v/>
      </c>
      <c r="V174" s="179">
        <f>IF(AND(ISNUMBER(V173),ISNUMBER(Q173)),IFERROR(V173/Q173-1,""),"")</f>
        <v/>
      </c>
      <c r="W174" s="179">
        <f>IF(AND(ISNUMBER(W173),ISNUMBER(R173)),IFERROR(W173/R173-1,""),"")</f>
        <v/>
      </c>
      <c r="X174" s="179">
        <f>IF(AND(ISNUMBER(X173),ISNUMBER(S173)),IFERROR(X173/S173-1,""),"")</f>
        <v/>
      </c>
      <c r="Y174" s="179">
        <f>IF(AND(ISNUMBER(Y173),ISNUMBER(T173)),IFERROR(Y173/T173-1,""),"")</f>
        <v/>
      </c>
      <c r="Z174" s="179">
        <f>IF(AND(ISNUMBER(Z173),ISNUMBER(U173)),IFERROR(Z173/U173-1,""),"")</f>
        <v/>
      </c>
      <c r="AA174" s="179">
        <f>IF(AND(ISNUMBER(AA173),ISNUMBER(V173)),IFERROR(AA173/V173-1,""),"")</f>
        <v/>
      </c>
      <c r="AB174" s="179">
        <f>IF(AND(ISNUMBER(AB173),ISNUMBER(W173)),IFERROR(AB173/W173-1,""),"")</f>
        <v/>
      </c>
      <c r="AC174" s="179">
        <f>IF(AND(ISNUMBER(AC173),ISNUMBER(X173)),IFERROR(AC173/X173-1,""),"")</f>
        <v/>
      </c>
      <c r="AD174" s="179">
        <f>IF(AND(ISNUMBER(AD173),ISNUMBER(Y173)),IFERROR(AD173/Y173-1,""),"")</f>
        <v/>
      </c>
      <c r="AE174" s="179">
        <f>IF(AND(ISNUMBER(AE173),ISNUMBER(Z173)),IFERROR(AE173/Z173-1,""),"")</f>
        <v/>
      </c>
      <c r="AF174" s="179">
        <f>IF(AND(ISNUMBER(AF173),ISNUMBER(AA173)),IFERROR(AF173/AA173-1,""),"")</f>
        <v/>
      </c>
      <c r="AG174" s="179">
        <f>IF(AND(ISNUMBER(AG173),ISNUMBER(AB173)),IFERROR(AG173/AB173-1,""),"")</f>
        <v/>
      </c>
      <c r="AH174" s="179">
        <f>IF(AND(ISNUMBER(AH173),ISNUMBER(AC173)),IFERROR(AH173/AC173-1,""),"")</f>
        <v/>
      </c>
      <c r="AI174" s="179">
        <f>IF(AND(ISNUMBER(AI173),ISNUMBER(AD173)),IFERROR(AI173/AD173-1,""),"")</f>
        <v/>
      </c>
      <c r="AJ174" s="179">
        <f>IF(AND(ISNUMBER(AJ173),ISNUMBER(AE173)),IFERROR(AJ173/AE173-1,""),"")</f>
        <v/>
      </c>
      <c r="AK174" s="179">
        <f>IF(AND(ISNUMBER(AK173),ISNUMBER(AF173)),IFERROR(AK173/AF173-1,""),"")</f>
        <v/>
      </c>
      <c r="AL174" s="179">
        <f>IF(AND(ISNUMBER(AL173),ISNUMBER(AG173)),IFERROR(AL173/AG173-1,""),"")</f>
        <v/>
      </c>
      <c r="AM174" s="179">
        <f>IF(AND(ISNUMBER(AM173),ISNUMBER(AH173)),IFERROR(AM173/AH173-1,""),"")</f>
        <v/>
      </c>
      <c r="AN174" s="179">
        <f>IF(AND(ISNUMBER(AN173),ISNUMBER(AI173)),IFERROR(AN173/AI173-1,""),"")</f>
        <v/>
      </c>
      <c r="AO174" s="179">
        <f>IF(AND(ISNUMBER(AO173),ISNUMBER(AJ173)),IFERROR(AO173/AJ173-1,""),"")</f>
        <v/>
      </c>
      <c r="AP174" s="179">
        <f>IF(AND(ISNUMBER(AP173),ISNUMBER(AK173)),IFERROR(AP173/AK173-1,""),"")</f>
        <v/>
      </c>
      <c r="AQ174" s="179">
        <f>IF(AND(ISNUMBER(AQ173),ISNUMBER(AL173)),IFERROR(AQ173/AL173-1,""),"")</f>
        <v/>
      </c>
      <c r="AR174" s="179">
        <f>IF(AND(ISNUMBER(AR173),ISNUMBER(AM173)),IFERROR(AR173/AM173-1,""),"")</f>
        <v/>
      </c>
      <c r="AS174" s="179">
        <f>IF(AND(ISNUMBER(AS173),ISNUMBER(AN173)),IFERROR(AS173/AN173-1,""),"")</f>
        <v/>
      </c>
      <c r="AT174" s="179">
        <f>IF(AND(ISNUMBER(AT173),ISNUMBER(AO173)),IFERROR(AT173/AO173-1,""),"")</f>
        <v/>
      </c>
      <c r="AU174" s="179">
        <f>IF(AND(ISNUMBER(AU173),ISNUMBER(AP173)),IFERROR(AU173/AP173-1,""),"")</f>
        <v/>
      </c>
      <c r="AV174" s="179">
        <f>IF(AND(ISNUMBER(AV173),ISNUMBER(AQ173)),IFERROR(AV173/AQ173-1,""),"")</f>
        <v/>
      </c>
      <c r="AW174" s="179">
        <f>IF(AND(ISNUMBER(AW173),ISNUMBER(AR173)),IFERROR(AW173/AR173-1,""),"")</f>
        <v/>
      </c>
      <c r="AX174" s="179">
        <f>IF(AND(ISNUMBER(AX173),ISNUMBER(AS173)),IFERROR(AX173/AS173-1,""),"")</f>
        <v/>
      </c>
      <c r="AY174" s="179">
        <f>IF(AND(ISNUMBER(AY173),ISNUMBER(AT173)),IFERROR(AY173/AT173-1,""),"")</f>
        <v/>
      </c>
      <c r="AZ174" s="179">
        <f>IF(AND(ISNUMBER(AZ173),ISNUMBER(AU173)),IFERROR(AZ173/AU173-1,""),"")</f>
        <v/>
      </c>
      <c r="BA174" s="179">
        <f>IF(AND(ISNUMBER(BA173),ISNUMBER(AV173)),IFERROR(BA173/AV173-1,""),"")</f>
        <v/>
      </c>
      <c r="BB174" s="179">
        <f>IF(AND(ISNUMBER(BB173),ISNUMBER(AW173)),IFERROR(BB173/AW173-1,""),"")</f>
        <v/>
      </c>
      <c r="BC174" s="179">
        <f>IF(AND(ISNUMBER(BC173),ISNUMBER(AX173)),IFERROR(BC173/AX173-1,""),"")</f>
        <v/>
      </c>
      <c r="BD174" s="179">
        <f>IF(AND(ISNUMBER(BD173),ISNUMBER(AY173)),IFERROR(BD173/AY173-1,""),"")</f>
        <v/>
      </c>
      <c r="BE174" s="179">
        <f>IF(AND(ISNUMBER(BE173),ISNUMBER(AZ173)),IFERROR(BE173/AZ173-1,""),"")</f>
        <v/>
      </c>
      <c r="BF174" s="179">
        <f>IF(AND(ISNUMBER(BF173),ISNUMBER(BA173)),IFERROR(BF173/BA173-1,""),"")</f>
        <v/>
      </c>
      <c r="BG174" s="179">
        <f>IF(AND(ISNUMBER(BG173),ISNUMBER(BB173)),IFERROR(BG173/BB173-1,""),"")</f>
        <v/>
      </c>
      <c r="BH174" s="179">
        <f>IF(AND(ISNUMBER(BH173),ISNUMBER(BC173)),IFERROR(BH173/BC173-1,""),"")</f>
        <v/>
      </c>
      <c r="BI174" s="179">
        <f>IF(AND(ISNUMBER(BI173),ISNUMBER(BD173)),IFERROR(BI173/BD173-1,""),"")</f>
        <v/>
      </c>
      <c r="BJ174" s="179">
        <f>IF(AND(ISNUMBER(BJ173),ISNUMBER(BE173)),IFERROR(BJ173/BE173-1,""),"")</f>
        <v/>
      </c>
      <c r="BK174" s="179">
        <f>IF(AND(ISNUMBER(BK173),ISNUMBER(BF173)),IFERROR(BK173/BF173-1,""),"")</f>
        <v/>
      </c>
      <c r="BL174" s="179">
        <f>IF(AND(ISNUMBER(BL173),ISNUMBER(BG173)),IFERROR(BL173/BG173-1,""),"")</f>
        <v/>
      </c>
      <c r="BM174" s="179">
        <f>IF(AND(ISNUMBER(BM173),ISNUMBER(BH173)),IFERROR(BM173/BH173-1,""),"")</f>
        <v/>
      </c>
      <c r="BN174" s="179">
        <f>IF(AND(ISNUMBER(BN173),ISNUMBER(BI173)),IFERROR(BN173/BI173-1,""),"")</f>
        <v/>
      </c>
      <c r="BO174" s="179">
        <f>IF(AND(ISNUMBER(BO173),ISNUMBER(BJ173)),IFERROR(BO173/BJ173-1,""),"")</f>
        <v/>
      </c>
      <c r="BP174" s="179">
        <f>IF(AND(ISNUMBER(BP173),ISNUMBER(BK173)),IFERROR(BP173/BK173-1,""),"")</f>
        <v/>
      </c>
      <c r="BQ174" s="179">
        <f>IF(AND(ISNUMBER(BQ173),ISNUMBER(BL173)),IFERROR(BQ173/BL173-1,""),"")</f>
        <v/>
      </c>
      <c r="BR174" s="179">
        <f>IF(AND(ISNUMBER(BR173),ISNUMBER(BM173)),IFERROR(BR173/BM173-1,""),"")</f>
        <v/>
      </c>
      <c r="BS174" s="179">
        <f>IF(AND(ISNUMBER(BS173),ISNUMBER(BN173)),IFERROR(BS173/BN173-1,""),"")</f>
        <v/>
      </c>
      <c r="BT174" s="179">
        <f>IF(AND(ISNUMBER(BT173),ISNUMBER(BO173)),IFERROR(BT173/BO173-1,""),"")</f>
        <v/>
      </c>
      <c r="BU174" s="179">
        <f>IF(AND(ISNUMBER(BU173),ISNUMBER(BP173)),IFERROR(BU173/BP173-1,""),"")</f>
        <v/>
      </c>
      <c r="BV174" s="179">
        <f>IF(AND(ISNUMBER(BV173),ISNUMBER(BQ173)),IFERROR(BV173/BQ173-1,""),"")</f>
        <v/>
      </c>
      <c r="BW174" s="179">
        <f>IF(AND(ISNUMBER(BW173),ISNUMBER(BR173)),IFERROR(BW173/BR173-1,""),"")</f>
        <v/>
      </c>
      <c r="BX174" s="179">
        <f>IF(AND(ISNUMBER(BX173),ISNUMBER(BS173)),IFERROR(BX173/BS173-1,""),"")</f>
        <v/>
      </c>
      <c r="BY174" s="25" t="n"/>
      <c r="BZ174" s="25" t="n"/>
      <c r="CA174" s="180">
        <f>IF(AND(ISNUMBER(CA173),ISNUMBER(BV173)),IFERROR(CA173/BV173-1,""),"")</f>
        <v/>
      </c>
      <c r="CB174" s="181" t="n">
        <v>0.12</v>
      </c>
      <c r="CC174" s="181" t="n">
        <v>0.12</v>
      </c>
      <c r="CD174" s="181" t="n">
        <v>0.12</v>
      </c>
      <c r="CE174" s="181" t="n">
        <v>0.12</v>
      </c>
      <c r="CF174" s="6" t="n"/>
    </row>
    <row r="175" ht="15" customHeight="1">
      <c r="B175" s="26" t="inlineStr">
        <is>
          <t xml:space="preserve">  Dividend payout (DPS / diluted EPS) %</t>
        </is>
      </c>
      <c r="C175" s="187">
        <f>IF(AND(ISNUMBER(C173),ISNUMBER(C170)),IFERROR(C173/C170,""),"")</f>
        <v/>
      </c>
      <c r="D175" s="187">
        <f>IF(AND(ISNUMBER(D173),ISNUMBER(D170)),IFERROR(D173/D170,""),"")</f>
        <v/>
      </c>
      <c r="E175" s="187">
        <f>IF(AND(ISNUMBER(E173),ISNUMBER(E170)),IFERROR(E173/E170,""),"")</f>
        <v/>
      </c>
      <c r="F175" s="187">
        <f>IF(AND(ISNUMBER(F173),ISNUMBER(F170)),IFERROR(F173/F170,""),"")</f>
        <v/>
      </c>
      <c r="G175" s="187">
        <f>IF(AND(ISNUMBER(G173),ISNUMBER(G170)),IFERROR(G173/G170,""),"")</f>
        <v/>
      </c>
      <c r="H175" s="187">
        <f>IF(AND(ISNUMBER(H173),ISNUMBER(H170)),IFERROR(H173/H170,""),"")</f>
        <v/>
      </c>
      <c r="I175" s="187">
        <f>IF(AND(ISNUMBER(I173),ISNUMBER(I170)),IFERROR(I173/I170,""),"")</f>
        <v/>
      </c>
      <c r="J175" s="187">
        <f>IF(AND(ISNUMBER(J173),ISNUMBER(J170)),IFERROR(J173/J170,""),"")</f>
        <v/>
      </c>
      <c r="K175" s="187">
        <f>IF(AND(ISNUMBER(K173),ISNUMBER(K170)),IFERROR(K173/K170,""),"")</f>
        <v/>
      </c>
      <c r="L175" s="187">
        <f>IF(AND(ISNUMBER(L173),ISNUMBER(L170)),IFERROR(L173/L170,""),"")</f>
        <v/>
      </c>
      <c r="M175" s="187">
        <f>IF(AND(ISNUMBER(M173),ISNUMBER(M170)),IFERROR(M173/M170,""),"")</f>
        <v/>
      </c>
      <c r="N175" s="187">
        <f>IF(AND(ISNUMBER(N173),ISNUMBER(N170)),IFERROR(N173/N170,""),"")</f>
        <v/>
      </c>
      <c r="O175" s="187">
        <f>IF(AND(ISNUMBER(O173),ISNUMBER(O170)),IFERROR(O173/O170,""),"")</f>
        <v/>
      </c>
      <c r="P175" s="187">
        <f>IF(AND(ISNUMBER(P173),ISNUMBER(P170)),IFERROR(P173/P170,""),"")</f>
        <v/>
      </c>
      <c r="Q175" s="187">
        <f>IF(AND(ISNUMBER(Q173),ISNUMBER(Q170)),IFERROR(Q173/Q170,""),"")</f>
        <v/>
      </c>
      <c r="R175" s="187">
        <f>IF(AND(ISNUMBER(R173),ISNUMBER(R170)),IFERROR(R173/R170,""),"")</f>
        <v/>
      </c>
      <c r="S175" s="187">
        <f>IF(AND(ISNUMBER(S173),ISNUMBER(S170)),IFERROR(S173/S170,""),"")</f>
        <v/>
      </c>
      <c r="T175" s="187">
        <f>IF(AND(ISNUMBER(T173),ISNUMBER(T170)),IFERROR(T173/T170,""),"")</f>
        <v/>
      </c>
      <c r="U175" s="187">
        <f>IF(AND(ISNUMBER(U173),ISNUMBER(U170)),IFERROR(U173/U170,""),"")</f>
        <v/>
      </c>
      <c r="V175" s="187">
        <f>IF(AND(ISNUMBER(V173),ISNUMBER(V170)),IFERROR(V173/V170,""),"")</f>
        <v/>
      </c>
      <c r="W175" s="187">
        <f>IF(AND(ISNUMBER(W173),ISNUMBER(W170)),IFERROR(W173/W170,""),"")</f>
        <v/>
      </c>
      <c r="X175" s="187">
        <f>IF(AND(ISNUMBER(X173),ISNUMBER(X170)),IFERROR(X173/X170,""),"")</f>
        <v/>
      </c>
      <c r="Y175" s="187">
        <f>IF(AND(ISNUMBER(Y173),ISNUMBER(Y170)),IFERROR(Y173/Y170,""),"")</f>
        <v/>
      </c>
      <c r="Z175" s="187">
        <f>IF(AND(ISNUMBER(Z173),ISNUMBER(Z170)),IFERROR(Z173/Z170,""),"")</f>
        <v/>
      </c>
      <c r="AA175" s="187">
        <f>IF(AND(ISNUMBER(AA173),ISNUMBER(AA170)),IFERROR(AA173/AA170,""),"")</f>
        <v/>
      </c>
      <c r="AB175" s="187">
        <f>IF(AND(ISNUMBER(AB173),ISNUMBER(AB170)),IFERROR(AB173/AB170,""),"")</f>
        <v/>
      </c>
      <c r="AC175" s="187">
        <f>IF(AND(ISNUMBER(AC173),ISNUMBER(AC170)),IFERROR(AC173/AC170,""),"")</f>
        <v/>
      </c>
      <c r="AD175" s="187">
        <f>IF(AND(ISNUMBER(AD173),ISNUMBER(AD170)),IFERROR(AD173/AD170,""),"")</f>
        <v/>
      </c>
      <c r="AE175" s="187">
        <f>IF(AND(ISNUMBER(AE173),ISNUMBER(AE170)),IFERROR(AE173/AE170,""),"")</f>
        <v/>
      </c>
      <c r="AF175" s="187">
        <f>IF(AND(ISNUMBER(AF173),ISNUMBER(AF170)),IFERROR(AF173/AF170,""),"")</f>
        <v/>
      </c>
      <c r="AG175" s="187">
        <f>IF(AND(ISNUMBER(AG173),ISNUMBER(AG170)),IFERROR(AG173/AG170,""),"")</f>
        <v/>
      </c>
      <c r="AH175" s="187">
        <f>IF(AND(ISNUMBER(AH173),ISNUMBER(AH170)),IFERROR(AH173/AH170,""),"")</f>
        <v/>
      </c>
      <c r="AI175" s="187">
        <f>IF(AND(ISNUMBER(AI173),ISNUMBER(AI170)),IFERROR(AI173/AI170,""),"")</f>
        <v/>
      </c>
      <c r="AJ175" s="187">
        <f>IF(AND(ISNUMBER(AJ173),ISNUMBER(AJ170)),IFERROR(AJ173/AJ170,""),"")</f>
        <v/>
      </c>
      <c r="AK175" s="187">
        <f>IF(AND(ISNUMBER(AK173),ISNUMBER(AK170)),IFERROR(AK173/AK170,""),"")</f>
        <v/>
      </c>
      <c r="AL175" s="187">
        <f>IF(AND(ISNUMBER(AL173),ISNUMBER(AL170)),IFERROR(AL173/AL170,""),"")</f>
        <v/>
      </c>
      <c r="AM175" s="187">
        <f>IF(AND(ISNUMBER(AM173),ISNUMBER(AM170)),IFERROR(AM173/AM170,""),"")</f>
        <v/>
      </c>
      <c r="AN175" s="187">
        <f>IF(AND(ISNUMBER(AN173),ISNUMBER(AN170)),IFERROR(AN173/AN170,""),"")</f>
        <v/>
      </c>
      <c r="AO175" s="187">
        <f>IF(AND(ISNUMBER(AO173),ISNUMBER(AO170)),IFERROR(AO173/AO170,""),"")</f>
        <v/>
      </c>
      <c r="AP175" s="187">
        <f>IF(AND(ISNUMBER(AP173),ISNUMBER(AP170)),IFERROR(AP173/AP170,""),"")</f>
        <v/>
      </c>
      <c r="AQ175" s="187">
        <f>IF(AND(ISNUMBER(AQ173),ISNUMBER(AQ170)),IFERROR(AQ173/AQ170,""),"")</f>
        <v/>
      </c>
      <c r="AR175" s="187">
        <f>IF(AND(ISNUMBER(AR173),ISNUMBER(AR170)),IFERROR(AR173/AR170,""),"")</f>
        <v/>
      </c>
      <c r="AS175" s="187">
        <f>IF(AND(ISNUMBER(AS173),ISNUMBER(AS170)),IFERROR(AS173/AS170,""),"")</f>
        <v/>
      </c>
      <c r="AT175" s="187">
        <f>IF(AND(ISNUMBER(AT173),ISNUMBER(AT170)),IFERROR(AT173/AT170,""),"")</f>
        <v/>
      </c>
      <c r="AU175" s="187">
        <f>IF(AND(ISNUMBER(AU173),ISNUMBER(AU170)),IFERROR(AU173/AU170,""),"")</f>
        <v/>
      </c>
      <c r="AV175" s="187">
        <f>IF(AND(ISNUMBER(AV173),ISNUMBER(AV170)),IFERROR(AV173/AV170,""),"")</f>
        <v/>
      </c>
      <c r="AW175" s="187">
        <f>IF(AND(ISNUMBER(AW173),ISNUMBER(AW170)),IFERROR(AW173/AW170,""),"")</f>
        <v/>
      </c>
      <c r="AX175" s="187">
        <f>IF(AND(ISNUMBER(AX173),ISNUMBER(AX170)),IFERROR(AX173/AX170,""),"")</f>
        <v/>
      </c>
      <c r="AY175" s="187">
        <f>IF(AND(ISNUMBER(AY173),ISNUMBER(AY170)),IFERROR(AY173/AY170,""),"")</f>
        <v/>
      </c>
      <c r="AZ175" s="187">
        <f>IF(AND(ISNUMBER(AZ173),ISNUMBER(AZ170)),IFERROR(AZ173/AZ170,""),"")</f>
        <v/>
      </c>
      <c r="BA175" s="187">
        <f>IF(AND(ISNUMBER(BA173),ISNUMBER(BA170)),IFERROR(BA173/BA170,""),"")</f>
        <v/>
      </c>
      <c r="BB175" s="187">
        <f>IF(AND(ISNUMBER(BB173),ISNUMBER(BB170)),IFERROR(BB173/BB170,""),"")</f>
        <v/>
      </c>
      <c r="BC175" s="187">
        <f>IF(AND(ISNUMBER(BC173),ISNUMBER(BC170)),IFERROR(BC173/BC170,""),"")</f>
        <v/>
      </c>
      <c r="BD175" s="187">
        <f>IF(AND(ISNUMBER(BD173),ISNUMBER(BD170)),IFERROR(BD173/BD170,""),"")</f>
        <v/>
      </c>
      <c r="BE175" s="187">
        <f>IF(AND(ISNUMBER(BE173),ISNUMBER(BE170)),IFERROR(BE173/BE170,""),"")</f>
        <v/>
      </c>
      <c r="BF175" s="187">
        <f>IF(AND(ISNUMBER(BF173),ISNUMBER(BF170)),IFERROR(BF173/BF170,""),"")</f>
        <v/>
      </c>
      <c r="BG175" s="187">
        <f>IF(AND(ISNUMBER(BG173),ISNUMBER(BG170)),IFERROR(BG173/BG170,""),"")</f>
        <v/>
      </c>
      <c r="BH175" s="187">
        <f>IF(AND(ISNUMBER(BH173),ISNUMBER(BH170)),IFERROR(BH173/BH170,""),"")</f>
        <v/>
      </c>
      <c r="BI175" s="187">
        <f>IF(AND(ISNUMBER(BI173),ISNUMBER(BI170)),IFERROR(BI173/BI170,""),"")</f>
        <v/>
      </c>
      <c r="BJ175" s="187">
        <f>IF(AND(ISNUMBER(BJ173),ISNUMBER(BJ170)),IFERROR(BJ173/BJ170,""),"")</f>
        <v/>
      </c>
      <c r="BK175" s="187">
        <f>IF(AND(ISNUMBER(BK173),ISNUMBER(BK170)),IFERROR(BK173/BK170,""),"")</f>
        <v/>
      </c>
      <c r="BL175" s="187">
        <f>IF(AND(ISNUMBER(BL173),ISNUMBER(BL170)),IFERROR(BL173/BL170,""),"")</f>
        <v/>
      </c>
      <c r="BM175" s="187">
        <f>IF(AND(ISNUMBER(BM173),ISNUMBER(BM170)),IFERROR(BM173/BM170,""),"")</f>
        <v/>
      </c>
      <c r="BN175" s="187">
        <f>IF(AND(ISNUMBER(BN173),ISNUMBER(BN170)),IFERROR(BN173/BN170,""),"")</f>
        <v/>
      </c>
      <c r="BO175" s="187">
        <f>IF(AND(ISNUMBER(BO173),ISNUMBER(BO170)),IFERROR(BO173/BO170,""),"")</f>
        <v/>
      </c>
      <c r="BP175" s="187">
        <f>IF(AND(ISNUMBER(BP173),ISNUMBER(BP170)),IFERROR(BP173/BP170,""),"")</f>
        <v/>
      </c>
      <c r="BQ175" s="187">
        <f>IF(AND(ISNUMBER(BQ173),ISNUMBER(BQ170)),IFERROR(BQ173/BQ170,""),"")</f>
        <v/>
      </c>
      <c r="BR175" s="187">
        <f>IF(AND(ISNUMBER(BR173),ISNUMBER(BR170)),IFERROR(BR173/BR170,""),"")</f>
        <v/>
      </c>
      <c r="BS175" s="187">
        <f>IF(AND(ISNUMBER(BS173),ISNUMBER(BS170)),IFERROR(BS173/BS170,""),"")</f>
        <v/>
      </c>
      <c r="BT175" s="187">
        <f>IF(AND(ISNUMBER(BT173),ISNUMBER(BT170)),IFERROR(BT173/BT170,""),"")</f>
        <v/>
      </c>
      <c r="BU175" s="187">
        <f>IF(AND(ISNUMBER(BU173),ISNUMBER(BU170)),IFERROR(BU173/BU170,""),"")</f>
        <v/>
      </c>
      <c r="BV175" s="187">
        <f>IF(AND(ISNUMBER(BV173),ISNUMBER(BV170)),IFERROR(BV173/BV170,""),"")</f>
        <v/>
      </c>
      <c r="BW175" s="187">
        <f>IF(AND(ISNUMBER(BW173),ISNUMBER(BW170)),IFERROR(BW173/BW170,""),"")</f>
        <v/>
      </c>
      <c r="BX175" s="187">
        <f>IF(AND(ISNUMBER(BX173),ISNUMBER(BX170)),IFERROR(BX173/BX170,""),"")</f>
        <v/>
      </c>
      <c r="BY175" s="180">
        <f>IF(AND(ISNUMBER(BY173),ISNUMBER(BY170)),IFERROR(BY173/BY170,""),"")</f>
        <v/>
      </c>
      <c r="BZ175" s="180">
        <f>IF(AND(ISNUMBER(BZ173),ISNUMBER(BZ170)),IFERROR(BZ173/BZ170,""),"")</f>
        <v/>
      </c>
      <c r="CA175" s="180">
        <f>IF(AND(ISNUMBER(CA173),ISNUMBER(CA170)),IFERROR(CA173/CA170,""),"")</f>
        <v/>
      </c>
      <c r="CB175" s="180">
        <f>IF(AND(ISNUMBER(CB173),ISNUMBER(CB170)),IFERROR(CB173/CB170,""),"")</f>
        <v/>
      </c>
      <c r="CC175" s="180">
        <f>IF(AND(ISNUMBER(CC173),ISNUMBER(CC170)),IFERROR(CC173/CC170,""),"")</f>
        <v/>
      </c>
      <c r="CD175" s="180">
        <f>IF(AND(ISNUMBER(CD173),ISNUMBER(CD170)),IFERROR(CD173/CD170,""),"")</f>
        <v/>
      </c>
      <c r="CE175" s="180">
        <f>IF(AND(ISNUMBER(CE173),ISNUMBER(CE170)),IFERROR(CE173/CE170,""),"")</f>
        <v/>
      </c>
      <c r="CF175" s="6" t="n"/>
      <c r="CH175" s="39">
        <f>IFERROR(AVERAGE(CA175,CB175,CC175,CD175,CE175),"n/m")</f>
        <v/>
      </c>
      <c r="CI175" s="39">
        <f>IFERROR(AVERAGE(BB175,BG175,BL175,BQ175,BV175),"n/m")</f>
        <v/>
      </c>
      <c r="CJ175" s="39">
        <f>IFERROR(AVERAGE(AC175,AH175,AM175,AR175,AW175,BB175,BG175,BL175,BQ175,BV175),"n/m")</f>
        <v/>
      </c>
      <c r="CK175" s="39">
        <f>IFERROR(AVERAGE(C175,D175,E175,F175,G175,H175,I175,N175,S175,X175,AC175,AH175,AM175,AR175,AW175,BB175,BG175,BL175,BQ175,BV175),"n/m")</f>
        <v/>
      </c>
    </row>
    <row r="176" ht="15" customHeight="1"/>
    <row r="177" ht="15" customHeight="1">
      <c r="B177" s="11" t="inlineStr">
        <is>
          <t>RECONCILIATION: NET INCOME → EBITDA → ADJUSTED EBITDA (company definition, as published)</t>
        </is>
      </c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  <c r="AK177" s="11" t="n"/>
      <c r="AL177" s="11" t="n"/>
      <c r="AM177" s="11" t="n"/>
      <c r="AN177" s="11" t="n"/>
      <c r="AO177" s="11" t="n"/>
      <c r="AP177" s="11" t="n"/>
      <c r="AQ177" s="11" t="n"/>
      <c r="AR177" s="11" t="n"/>
      <c r="AS177" s="11" t="n"/>
      <c r="AT177" s="11" t="n"/>
      <c r="AU177" s="11" t="n"/>
      <c r="AV177" s="11" t="n"/>
      <c r="AW177" s="11" t="n"/>
      <c r="AX177" s="11" t="n"/>
      <c r="AY177" s="11" t="n"/>
      <c r="AZ177" s="11" t="n"/>
      <c r="BA177" s="11" t="n"/>
      <c r="BB177" s="11" t="n"/>
      <c r="BC177" s="11" t="n"/>
      <c r="BD177" s="11" t="n"/>
      <c r="BE177" s="11" t="n"/>
      <c r="BF177" s="11" t="n"/>
      <c r="BG177" s="11" t="n"/>
      <c r="BH177" s="11" t="n"/>
      <c r="BI177" s="11" t="n"/>
      <c r="BJ177" s="11" t="n"/>
      <c r="BK177" s="11" t="n"/>
      <c r="BL177" s="11" t="n"/>
      <c r="BM177" s="11" t="n"/>
      <c r="BN177" s="11" t="n"/>
      <c r="BO177" s="11" t="n"/>
      <c r="BP177" s="11" t="n"/>
      <c r="BQ177" s="11" t="n"/>
      <c r="BR177" s="11" t="n"/>
      <c r="BS177" s="11" t="n"/>
      <c r="BT177" s="11" t="n"/>
      <c r="BU177" s="11" t="n"/>
      <c r="BV177" s="11" t="n"/>
      <c r="BW177" s="11" t="n"/>
      <c r="BX177" s="11" t="n"/>
      <c r="BY177" s="11" t="n"/>
      <c r="BZ177" s="11" t="n"/>
      <c r="CA177" s="11" t="n"/>
      <c r="CB177" s="11" t="n"/>
      <c r="CC177" s="11" t="n"/>
      <c r="CD177" s="11" t="n"/>
      <c r="CE177" s="11" t="n"/>
      <c r="CF177" s="11" t="inlineStr">
        <is>
          <t>ADJUSTED EBITDA — per Wabtec earnings-release reconciliation (income from operations + other income + D&amp;A; + restructuring &amp; transaction costs)</t>
        </is>
      </c>
    </row>
    <row r="178" ht="15" customHeight="1">
      <c r="B178" s="17" t="inlineStr">
        <is>
          <t>Net income attributable to Wabtec shareholders (GAAP)</t>
        </is>
      </c>
      <c r="C178" s="198">
        <f>C161</f>
        <v/>
      </c>
      <c r="D178" s="198">
        <f>D161</f>
        <v/>
      </c>
      <c r="E178" s="198">
        <f>E161</f>
        <v/>
      </c>
      <c r="F178" s="198">
        <f>F161</f>
        <v/>
      </c>
      <c r="G178" s="198">
        <f>G161</f>
        <v/>
      </c>
      <c r="H178" s="198">
        <f>H161</f>
        <v/>
      </c>
      <c r="I178" s="198">
        <f>I161</f>
        <v/>
      </c>
      <c r="J178" s="198">
        <f>J161</f>
        <v/>
      </c>
      <c r="K178" s="198">
        <f>K161</f>
        <v/>
      </c>
      <c r="L178" s="198">
        <f>L161</f>
        <v/>
      </c>
      <c r="M178" s="198">
        <f>M161</f>
        <v/>
      </c>
      <c r="N178" s="198">
        <f>N161</f>
        <v/>
      </c>
      <c r="O178" s="198">
        <f>O161</f>
        <v/>
      </c>
      <c r="P178" s="198">
        <f>P161</f>
        <v/>
      </c>
      <c r="Q178" s="198">
        <f>Q161</f>
        <v/>
      </c>
      <c r="R178" s="198">
        <f>R161</f>
        <v/>
      </c>
      <c r="S178" s="198">
        <f>S161</f>
        <v/>
      </c>
      <c r="T178" s="198">
        <f>T161</f>
        <v/>
      </c>
      <c r="U178" s="198">
        <f>U161</f>
        <v/>
      </c>
      <c r="V178" s="198">
        <f>V161</f>
        <v/>
      </c>
      <c r="W178" s="198">
        <f>W161</f>
        <v/>
      </c>
      <c r="X178" s="198">
        <f>X161</f>
        <v/>
      </c>
      <c r="Y178" s="198">
        <f>Y161</f>
        <v/>
      </c>
      <c r="Z178" s="198">
        <f>Z161</f>
        <v/>
      </c>
      <c r="AA178" s="198">
        <f>AA161</f>
        <v/>
      </c>
      <c r="AB178" s="198">
        <f>AB161</f>
        <v/>
      </c>
      <c r="AC178" s="198">
        <f>AC161</f>
        <v/>
      </c>
      <c r="AD178" s="198">
        <f>AD161</f>
        <v/>
      </c>
      <c r="AE178" s="198">
        <f>AE161</f>
        <v/>
      </c>
      <c r="AF178" s="198">
        <f>AF161</f>
        <v/>
      </c>
      <c r="AG178" s="198">
        <f>AG161</f>
        <v/>
      </c>
      <c r="AH178" s="198">
        <f>AH161</f>
        <v/>
      </c>
      <c r="AI178" s="198">
        <f>AI161</f>
        <v/>
      </c>
      <c r="AJ178" s="198">
        <f>AJ161</f>
        <v/>
      </c>
      <c r="AK178" s="198">
        <f>AK161</f>
        <v/>
      </c>
      <c r="AL178" s="198">
        <f>AL161</f>
        <v/>
      </c>
      <c r="AM178" s="198">
        <f>AM161</f>
        <v/>
      </c>
      <c r="AN178" s="198">
        <f>AN161</f>
        <v/>
      </c>
      <c r="AO178" s="198">
        <f>AO161</f>
        <v/>
      </c>
      <c r="AP178" s="198">
        <f>AP161</f>
        <v/>
      </c>
      <c r="AQ178" s="198">
        <f>AQ161</f>
        <v/>
      </c>
      <c r="AR178" s="198">
        <f>AR161</f>
        <v/>
      </c>
      <c r="AS178" s="198">
        <f>AS161</f>
        <v/>
      </c>
      <c r="AT178" s="198">
        <f>AT161</f>
        <v/>
      </c>
      <c r="AU178" s="198">
        <f>AU161</f>
        <v/>
      </c>
      <c r="AV178" s="198">
        <f>AV161</f>
        <v/>
      </c>
      <c r="AW178" s="198">
        <f>AW161</f>
        <v/>
      </c>
      <c r="AX178" s="198">
        <f>AX161</f>
        <v/>
      </c>
      <c r="AY178" s="198">
        <f>AY161</f>
        <v/>
      </c>
      <c r="AZ178" s="198">
        <f>AZ161</f>
        <v/>
      </c>
      <c r="BA178" s="198">
        <f>BA161</f>
        <v/>
      </c>
      <c r="BB178" s="198">
        <f>BB161</f>
        <v/>
      </c>
      <c r="BC178" s="198">
        <f>BC161</f>
        <v/>
      </c>
      <c r="BD178" s="198">
        <f>BD161</f>
        <v/>
      </c>
      <c r="BE178" s="198">
        <f>BE161</f>
        <v/>
      </c>
      <c r="BF178" s="198">
        <f>BF161</f>
        <v/>
      </c>
      <c r="BG178" s="198">
        <f>BG161</f>
        <v/>
      </c>
      <c r="BH178" s="198">
        <f>BH161</f>
        <v/>
      </c>
      <c r="BI178" s="198">
        <f>BI161</f>
        <v/>
      </c>
      <c r="BJ178" s="198">
        <f>BJ161</f>
        <v/>
      </c>
      <c r="BK178" s="198">
        <f>BK161</f>
        <v/>
      </c>
      <c r="BL178" s="198">
        <f>BL161</f>
        <v/>
      </c>
      <c r="BM178" s="198">
        <f>BM161</f>
        <v/>
      </c>
      <c r="BN178" s="198">
        <f>BN161</f>
        <v/>
      </c>
      <c r="BO178" s="198">
        <f>BO161</f>
        <v/>
      </c>
      <c r="BP178" s="198">
        <f>BP161</f>
        <v/>
      </c>
      <c r="BQ178" s="198">
        <f>BQ161</f>
        <v/>
      </c>
      <c r="BR178" s="198">
        <f>BR161</f>
        <v/>
      </c>
      <c r="BS178" s="198">
        <f>BS161</f>
        <v/>
      </c>
      <c r="BT178" s="198">
        <f>BT161</f>
        <v/>
      </c>
      <c r="BU178" s="198">
        <f>BU161</f>
        <v/>
      </c>
      <c r="BV178" s="198">
        <f>BV161</f>
        <v/>
      </c>
      <c r="BW178" s="198">
        <f>BW161</f>
        <v/>
      </c>
      <c r="BX178" s="198">
        <f>BX161</f>
        <v/>
      </c>
      <c r="BY178" s="185">
        <f>BY161</f>
        <v/>
      </c>
      <c r="BZ178" s="185">
        <f>BZ161</f>
        <v/>
      </c>
      <c r="CA178" s="185">
        <f>CA161</f>
        <v/>
      </c>
      <c r="CB178" s="185">
        <f>CB161</f>
        <v/>
      </c>
      <c r="CC178" s="185">
        <f>CC161</f>
        <v/>
      </c>
      <c r="CD178" s="185">
        <f>CD161</f>
        <v/>
      </c>
      <c r="CE178" s="185">
        <f>CE161</f>
        <v/>
      </c>
      <c r="CF178" s="6" t="n"/>
    </row>
    <row r="179" ht="15" customHeight="1">
      <c r="B179" s="26" t="inlineStr">
        <is>
          <t xml:space="preserve">  (+) Net income attributable to noncontrolling interest</t>
        </is>
      </c>
      <c r="C179" s="183">
        <f>N(C160)</f>
        <v/>
      </c>
      <c r="D179" s="183">
        <f>N(D160)</f>
        <v/>
      </c>
      <c r="E179" s="183">
        <f>N(E160)</f>
        <v/>
      </c>
      <c r="F179" s="183">
        <f>N(F160)</f>
        <v/>
      </c>
      <c r="G179" s="183">
        <f>N(G160)</f>
        <v/>
      </c>
      <c r="H179" s="183">
        <f>N(H160)</f>
        <v/>
      </c>
      <c r="I179" s="183">
        <f>N(I160)</f>
        <v/>
      </c>
      <c r="J179" s="183">
        <f>N(J160)</f>
        <v/>
      </c>
      <c r="K179" s="183">
        <f>N(K160)</f>
        <v/>
      </c>
      <c r="L179" s="183">
        <f>N(L160)</f>
        <v/>
      </c>
      <c r="M179" s="183">
        <f>N(M160)</f>
        <v/>
      </c>
      <c r="N179" s="183">
        <f>N(N160)</f>
        <v/>
      </c>
      <c r="O179" s="183">
        <f>N(O160)</f>
        <v/>
      </c>
      <c r="P179" s="183">
        <f>N(P160)</f>
        <v/>
      </c>
      <c r="Q179" s="183">
        <f>N(Q160)</f>
        <v/>
      </c>
      <c r="R179" s="183">
        <f>N(R160)</f>
        <v/>
      </c>
      <c r="S179" s="183">
        <f>N(S160)</f>
        <v/>
      </c>
      <c r="T179" s="183">
        <f>N(T160)</f>
        <v/>
      </c>
      <c r="U179" s="183">
        <f>N(U160)</f>
        <v/>
      </c>
      <c r="V179" s="183">
        <f>N(V160)</f>
        <v/>
      </c>
      <c r="W179" s="183">
        <f>N(W160)</f>
        <v/>
      </c>
      <c r="X179" s="183">
        <f>N(X160)</f>
        <v/>
      </c>
      <c r="Y179" s="183">
        <f>N(Y160)</f>
        <v/>
      </c>
      <c r="Z179" s="183">
        <f>N(Z160)</f>
        <v/>
      </c>
      <c r="AA179" s="183">
        <f>N(AA160)</f>
        <v/>
      </c>
      <c r="AB179" s="183">
        <f>N(AB160)</f>
        <v/>
      </c>
      <c r="AC179" s="183">
        <f>N(AC160)</f>
        <v/>
      </c>
      <c r="AD179" s="183">
        <f>N(AD160)</f>
        <v/>
      </c>
      <c r="AE179" s="183">
        <f>N(AE160)</f>
        <v/>
      </c>
      <c r="AF179" s="183">
        <f>N(AF160)</f>
        <v/>
      </c>
      <c r="AG179" s="183">
        <f>N(AG160)</f>
        <v/>
      </c>
      <c r="AH179" s="183">
        <f>N(AH160)</f>
        <v/>
      </c>
      <c r="AI179" s="183">
        <f>N(AI160)</f>
        <v/>
      </c>
      <c r="AJ179" s="183">
        <f>N(AJ160)</f>
        <v/>
      </c>
      <c r="AK179" s="183">
        <f>N(AK160)</f>
        <v/>
      </c>
      <c r="AL179" s="183">
        <f>N(AL160)</f>
        <v/>
      </c>
      <c r="AM179" s="183">
        <f>N(AM160)</f>
        <v/>
      </c>
      <c r="AN179" s="183">
        <f>N(AN160)</f>
        <v/>
      </c>
      <c r="AO179" s="183">
        <f>N(AO160)</f>
        <v/>
      </c>
      <c r="AP179" s="183">
        <f>N(AP160)</f>
        <v/>
      </c>
      <c r="AQ179" s="183">
        <f>N(AQ160)</f>
        <v/>
      </c>
      <c r="AR179" s="183">
        <f>N(AR160)</f>
        <v/>
      </c>
      <c r="AS179" s="183">
        <f>N(AS160)</f>
        <v/>
      </c>
      <c r="AT179" s="183">
        <f>N(AT160)</f>
        <v/>
      </c>
      <c r="AU179" s="183">
        <f>N(AU160)</f>
        <v/>
      </c>
      <c r="AV179" s="183">
        <f>N(AV160)</f>
        <v/>
      </c>
      <c r="AW179" s="183">
        <f>N(AW160)</f>
        <v/>
      </c>
      <c r="AX179" s="183">
        <f>N(AX160)</f>
        <v/>
      </c>
      <c r="AY179" s="183">
        <f>N(AY160)</f>
        <v/>
      </c>
      <c r="AZ179" s="183">
        <f>N(AZ160)</f>
        <v/>
      </c>
      <c r="BA179" s="183">
        <f>N(BA160)</f>
        <v/>
      </c>
      <c r="BB179" s="183">
        <f>N(BB160)</f>
        <v/>
      </c>
      <c r="BC179" s="183">
        <f>N(BC160)</f>
        <v/>
      </c>
      <c r="BD179" s="183">
        <f>N(BD160)</f>
        <v/>
      </c>
      <c r="BE179" s="183">
        <f>N(BE160)</f>
        <v/>
      </c>
      <c r="BF179" s="183">
        <f>N(BF160)</f>
        <v/>
      </c>
      <c r="BG179" s="183">
        <f>N(BG160)</f>
        <v/>
      </c>
      <c r="BH179" s="183">
        <f>N(BH160)</f>
        <v/>
      </c>
      <c r="BI179" s="183">
        <f>N(BI160)</f>
        <v/>
      </c>
      <c r="BJ179" s="183">
        <f>N(BJ160)</f>
        <v/>
      </c>
      <c r="BK179" s="183">
        <f>N(BK160)</f>
        <v/>
      </c>
      <c r="BL179" s="183">
        <f>N(BL160)</f>
        <v/>
      </c>
      <c r="BM179" s="183">
        <f>N(BM160)</f>
        <v/>
      </c>
      <c r="BN179" s="183">
        <f>N(BN160)</f>
        <v/>
      </c>
      <c r="BO179" s="183">
        <f>N(BO160)</f>
        <v/>
      </c>
      <c r="BP179" s="183">
        <f>N(BP160)</f>
        <v/>
      </c>
      <c r="BQ179" s="183">
        <f>N(BQ160)</f>
        <v/>
      </c>
      <c r="BR179" s="183">
        <f>N(BR160)</f>
        <v/>
      </c>
      <c r="BS179" s="183">
        <f>N(BS160)</f>
        <v/>
      </c>
      <c r="BT179" s="183">
        <f>N(BT160)</f>
        <v/>
      </c>
      <c r="BU179" s="183">
        <f>N(BU160)</f>
        <v/>
      </c>
      <c r="BV179" s="183">
        <f>N(BV160)</f>
        <v/>
      </c>
      <c r="BW179" s="183">
        <f>N(BW160)</f>
        <v/>
      </c>
      <c r="BX179" s="183">
        <f>N(BX160)</f>
        <v/>
      </c>
      <c r="BY179" s="178">
        <f>N(BY160)</f>
        <v/>
      </c>
      <c r="BZ179" s="178">
        <f>N(BZ160)</f>
        <v/>
      </c>
      <c r="CA179" s="178">
        <f>N(CA160)</f>
        <v/>
      </c>
      <c r="CB179" s="178">
        <f>N(CB160)</f>
        <v/>
      </c>
      <c r="CC179" s="178">
        <f>N(CC160)</f>
        <v/>
      </c>
      <c r="CD179" s="178">
        <f>N(CD160)</f>
        <v/>
      </c>
      <c r="CE179" s="178">
        <f>N(CE160)</f>
        <v/>
      </c>
      <c r="CF179" s="20" t="n"/>
    </row>
    <row r="180" ht="15" customHeight="1">
      <c r="B180" s="26" t="inlineStr">
        <is>
          <t xml:space="preserve">  (−) Income from discontinued operations, net of tax</t>
        </is>
      </c>
      <c r="C180" s="183">
        <f>-N(C158)</f>
        <v/>
      </c>
      <c r="D180" s="183">
        <f>-N(D158)</f>
        <v/>
      </c>
      <c r="E180" s="183">
        <f>-N(E158)</f>
        <v/>
      </c>
      <c r="F180" s="183">
        <f>-N(F158)</f>
        <v/>
      </c>
      <c r="G180" s="183">
        <f>-N(G158)</f>
        <v/>
      </c>
      <c r="H180" s="183">
        <f>-N(H158)</f>
        <v/>
      </c>
      <c r="I180" s="183">
        <f>-N(I158)</f>
        <v/>
      </c>
      <c r="J180" s="183">
        <f>-N(J158)</f>
        <v/>
      </c>
      <c r="K180" s="183">
        <f>-N(K158)</f>
        <v/>
      </c>
      <c r="L180" s="183">
        <f>-N(L158)</f>
        <v/>
      </c>
      <c r="M180" s="183">
        <f>-N(M158)</f>
        <v/>
      </c>
      <c r="N180" s="183">
        <f>-N(N158)</f>
        <v/>
      </c>
      <c r="O180" s="183">
        <f>-N(O158)</f>
        <v/>
      </c>
      <c r="P180" s="183">
        <f>-N(P158)</f>
        <v/>
      </c>
      <c r="Q180" s="183">
        <f>-N(Q158)</f>
        <v/>
      </c>
      <c r="R180" s="183">
        <f>-N(R158)</f>
        <v/>
      </c>
      <c r="S180" s="183">
        <f>-N(S158)</f>
        <v/>
      </c>
      <c r="T180" s="183">
        <f>-N(T158)</f>
        <v/>
      </c>
      <c r="U180" s="183">
        <f>-N(U158)</f>
        <v/>
      </c>
      <c r="V180" s="183">
        <f>-N(V158)</f>
        <v/>
      </c>
      <c r="W180" s="183">
        <f>-N(W158)</f>
        <v/>
      </c>
      <c r="X180" s="183">
        <f>-N(X158)</f>
        <v/>
      </c>
      <c r="Y180" s="183">
        <f>-N(Y158)</f>
        <v/>
      </c>
      <c r="Z180" s="183">
        <f>-N(Z158)</f>
        <v/>
      </c>
      <c r="AA180" s="183">
        <f>-N(AA158)</f>
        <v/>
      </c>
      <c r="AB180" s="183">
        <f>-N(AB158)</f>
        <v/>
      </c>
      <c r="AC180" s="183">
        <f>-N(AC158)</f>
        <v/>
      </c>
      <c r="AD180" s="183">
        <f>-N(AD158)</f>
        <v/>
      </c>
      <c r="AE180" s="183">
        <f>-N(AE158)</f>
        <v/>
      </c>
      <c r="AF180" s="183">
        <f>-N(AF158)</f>
        <v/>
      </c>
      <c r="AG180" s="183">
        <f>-N(AG158)</f>
        <v/>
      </c>
      <c r="AH180" s="183">
        <f>-N(AH158)</f>
        <v/>
      </c>
      <c r="AI180" s="183">
        <f>-N(AI158)</f>
        <v/>
      </c>
      <c r="AJ180" s="183">
        <f>-N(AJ158)</f>
        <v/>
      </c>
      <c r="AK180" s="183">
        <f>-N(AK158)</f>
        <v/>
      </c>
      <c r="AL180" s="183">
        <f>-N(AL158)</f>
        <v/>
      </c>
      <c r="AM180" s="183">
        <f>-N(AM158)</f>
        <v/>
      </c>
      <c r="AN180" s="183">
        <f>-N(AN158)</f>
        <v/>
      </c>
      <c r="AO180" s="183">
        <f>-N(AO158)</f>
        <v/>
      </c>
      <c r="AP180" s="183">
        <f>-N(AP158)</f>
        <v/>
      </c>
      <c r="AQ180" s="183">
        <f>-N(AQ158)</f>
        <v/>
      </c>
      <c r="AR180" s="183">
        <f>-N(AR158)</f>
        <v/>
      </c>
      <c r="AS180" s="183">
        <f>-N(AS158)</f>
        <v/>
      </c>
      <c r="AT180" s="183">
        <f>-N(AT158)</f>
        <v/>
      </c>
      <c r="AU180" s="183">
        <f>-N(AU158)</f>
        <v/>
      </c>
      <c r="AV180" s="183">
        <f>-N(AV158)</f>
        <v/>
      </c>
      <c r="AW180" s="183">
        <f>-N(AW158)</f>
        <v/>
      </c>
      <c r="AX180" s="183">
        <f>-N(AX158)</f>
        <v/>
      </c>
      <c r="AY180" s="183">
        <f>-N(AY158)</f>
        <v/>
      </c>
      <c r="AZ180" s="183">
        <f>-N(AZ158)</f>
        <v/>
      </c>
      <c r="BA180" s="183">
        <f>-N(BA158)</f>
        <v/>
      </c>
      <c r="BB180" s="183">
        <f>-N(BB158)</f>
        <v/>
      </c>
      <c r="BC180" s="183">
        <f>-N(BC158)</f>
        <v/>
      </c>
      <c r="BD180" s="183">
        <f>-N(BD158)</f>
        <v/>
      </c>
      <c r="BE180" s="183">
        <f>-N(BE158)</f>
        <v/>
      </c>
      <c r="BF180" s="183">
        <f>-N(BF158)</f>
        <v/>
      </c>
      <c r="BG180" s="183">
        <f>-N(BG158)</f>
        <v/>
      </c>
      <c r="BH180" s="183">
        <f>-N(BH158)</f>
        <v/>
      </c>
      <c r="BI180" s="183">
        <f>-N(BI158)</f>
        <v/>
      </c>
      <c r="BJ180" s="183">
        <f>-N(BJ158)</f>
        <v/>
      </c>
      <c r="BK180" s="183">
        <f>-N(BK158)</f>
        <v/>
      </c>
      <c r="BL180" s="183">
        <f>-N(BL158)</f>
        <v/>
      </c>
      <c r="BM180" s="183">
        <f>-N(BM158)</f>
        <v/>
      </c>
      <c r="BN180" s="183">
        <f>-N(BN158)</f>
        <v/>
      </c>
      <c r="BO180" s="183">
        <f>-N(BO158)</f>
        <v/>
      </c>
      <c r="BP180" s="183">
        <f>-N(BP158)</f>
        <v/>
      </c>
      <c r="BQ180" s="183">
        <f>-N(BQ158)</f>
        <v/>
      </c>
      <c r="BR180" s="183">
        <f>-N(BR158)</f>
        <v/>
      </c>
      <c r="BS180" s="183">
        <f>-N(BS158)</f>
        <v/>
      </c>
      <c r="BT180" s="183">
        <f>-N(BT158)</f>
        <v/>
      </c>
      <c r="BU180" s="183">
        <f>-N(BU158)</f>
        <v/>
      </c>
      <c r="BV180" s="183">
        <f>-N(BV158)</f>
        <v/>
      </c>
      <c r="BW180" s="183">
        <f>-N(BW158)</f>
        <v/>
      </c>
      <c r="BX180" s="183">
        <f>-N(BX158)</f>
        <v/>
      </c>
      <c r="BY180" s="178">
        <f>-N(BY158)</f>
        <v/>
      </c>
      <c r="BZ180" s="178">
        <f>-N(BZ158)</f>
        <v/>
      </c>
      <c r="CA180" s="178">
        <f>-N(CA158)</f>
        <v/>
      </c>
      <c r="CB180" s="178">
        <f>-N(CB158)</f>
        <v/>
      </c>
      <c r="CC180" s="178">
        <f>-N(CC158)</f>
        <v/>
      </c>
      <c r="CD180" s="178">
        <f>-N(CD158)</f>
        <v/>
      </c>
      <c r="CE180" s="178">
        <f>-N(CE158)</f>
        <v/>
      </c>
      <c r="CF180" s="20" t="n"/>
    </row>
    <row r="181" ht="15" customHeight="1">
      <c r="B181" s="26" t="inlineStr">
        <is>
          <t xml:space="preserve">  (+) Income tax expense</t>
        </is>
      </c>
      <c r="C181" s="183">
        <f>C155</f>
        <v/>
      </c>
      <c r="D181" s="183">
        <f>D155</f>
        <v/>
      </c>
      <c r="E181" s="183">
        <f>E155</f>
        <v/>
      </c>
      <c r="F181" s="183">
        <f>F155</f>
        <v/>
      </c>
      <c r="G181" s="183">
        <f>G155</f>
        <v/>
      </c>
      <c r="H181" s="183">
        <f>H155</f>
        <v/>
      </c>
      <c r="I181" s="183">
        <f>I155</f>
        <v/>
      </c>
      <c r="J181" s="183">
        <f>J155</f>
        <v/>
      </c>
      <c r="K181" s="183">
        <f>K155</f>
        <v/>
      </c>
      <c r="L181" s="183">
        <f>L155</f>
        <v/>
      </c>
      <c r="M181" s="183">
        <f>M155</f>
        <v/>
      </c>
      <c r="N181" s="183">
        <f>N155</f>
        <v/>
      </c>
      <c r="O181" s="183">
        <f>O155</f>
        <v/>
      </c>
      <c r="P181" s="183">
        <f>P155</f>
        <v/>
      </c>
      <c r="Q181" s="183">
        <f>Q155</f>
        <v/>
      </c>
      <c r="R181" s="183">
        <f>R155</f>
        <v/>
      </c>
      <c r="S181" s="183">
        <f>S155</f>
        <v/>
      </c>
      <c r="T181" s="183">
        <f>T155</f>
        <v/>
      </c>
      <c r="U181" s="183">
        <f>U155</f>
        <v/>
      </c>
      <c r="V181" s="183">
        <f>V155</f>
        <v/>
      </c>
      <c r="W181" s="183">
        <f>W155</f>
        <v/>
      </c>
      <c r="X181" s="183">
        <f>X155</f>
        <v/>
      </c>
      <c r="Y181" s="183">
        <f>Y155</f>
        <v/>
      </c>
      <c r="Z181" s="183">
        <f>Z155</f>
        <v/>
      </c>
      <c r="AA181" s="183">
        <f>AA155</f>
        <v/>
      </c>
      <c r="AB181" s="183">
        <f>AB155</f>
        <v/>
      </c>
      <c r="AC181" s="183">
        <f>AC155</f>
        <v/>
      </c>
      <c r="AD181" s="183">
        <f>AD155</f>
        <v/>
      </c>
      <c r="AE181" s="183">
        <f>AE155</f>
        <v/>
      </c>
      <c r="AF181" s="183">
        <f>AF155</f>
        <v/>
      </c>
      <c r="AG181" s="183">
        <f>AG155</f>
        <v/>
      </c>
      <c r="AH181" s="183">
        <f>AH155</f>
        <v/>
      </c>
      <c r="AI181" s="183">
        <f>AI155</f>
        <v/>
      </c>
      <c r="AJ181" s="183">
        <f>AJ155</f>
        <v/>
      </c>
      <c r="AK181" s="183">
        <f>AK155</f>
        <v/>
      </c>
      <c r="AL181" s="183">
        <f>AL155</f>
        <v/>
      </c>
      <c r="AM181" s="183">
        <f>AM155</f>
        <v/>
      </c>
      <c r="AN181" s="183">
        <f>AN155</f>
        <v/>
      </c>
      <c r="AO181" s="183">
        <f>AO155</f>
        <v/>
      </c>
      <c r="AP181" s="183">
        <f>AP155</f>
        <v/>
      </c>
      <c r="AQ181" s="183">
        <f>AQ155</f>
        <v/>
      </c>
      <c r="AR181" s="183">
        <f>AR155</f>
        <v/>
      </c>
      <c r="AS181" s="183">
        <f>AS155</f>
        <v/>
      </c>
      <c r="AT181" s="183">
        <f>AT155</f>
        <v/>
      </c>
      <c r="AU181" s="183">
        <f>AU155</f>
        <v/>
      </c>
      <c r="AV181" s="183">
        <f>AV155</f>
        <v/>
      </c>
      <c r="AW181" s="183">
        <f>AW155</f>
        <v/>
      </c>
      <c r="AX181" s="183">
        <f>AX155</f>
        <v/>
      </c>
      <c r="AY181" s="183">
        <f>AY155</f>
        <v/>
      </c>
      <c r="AZ181" s="183">
        <f>AZ155</f>
        <v/>
      </c>
      <c r="BA181" s="183">
        <f>BA155</f>
        <v/>
      </c>
      <c r="BB181" s="183">
        <f>BB155</f>
        <v/>
      </c>
      <c r="BC181" s="183">
        <f>BC155</f>
        <v/>
      </c>
      <c r="BD181" s="183">
        <f>BD155</f>
        <v/>
      </c>
      <c r="BE181" s="183">
        <f>BE155</f>
        <v/>
      </c>
      <c r="BF181" s="183">
        <f>BF155</f>
        <v/>
      </c>
      <c r="BG181" s="183">
        <f>BG155</f>
        <v/>
      </c>
      <c r="BH181" s="183">
        <f>BH155</f>
        <v/>
      </c>
      <c r="BI181" s="183">
        <f>BI155</f>
        <v/>
      </c>
      <c r="BJ181" s="183">
        <f>BJ155</f>
        <v/>
      </c>
      <c r="BK181" s="183">
        <f>BK155</f>
        <v/>
      </c>
      <c r="BL181" s="183">
        <f>BL155</f>
        <v/>
      </c>
      <c r="BM181" s="183">
        <f>BM155</f>
        <v/>
      </c>
      <c r="BN181" s="183">
        <f>BN155</f>
        <v/>
      </c>
      <c r="BO181" s="183">
        <f>BO155</f>
        <v/>
      </c>
      <c r="BP181" s="183">
        <f>BP155</f>
        <v/>
      </c>
      <c r="BQ181" s="183">
        <f>BQ155</f>
        <v/>
      </c>
      <c r="BR181" s="183">
        <f>BR155</f>
        <v/>
      </c>
      <c r="BS181" s="183">
        <f>BS155</f>
        <v/>
      </c>
      <c r="BT181" s="183">
        <f>BT155</f>
        <v/>
      </c>
      <c r="BU181" s="183">
        <f>BU155</f>
        <v/>
      </c>
      <c r="BV181" s="183">
        <f>BV155</f>
        <v/>
      </c>
      <c r="BW181" s="183">
        <f>BW155</f>
        <v/>
      </c>
      <c r="BX181" s="183">
        <f>BX155</f>
        <v/>
      </c>
      <c r="BY181" s="178">
        <f>BY155</f>
        <v/>
      </c>
      <c r="BZ181" s="178">
        <f>BZ155</f>
        <v/>
      </c>
      <c r="CA181" s="178">
        <f>CA155</f>
        <v/>
      </c>
      <c r="CB181" s="178">
        <f>CB155</f>
        <v/>
      </c>
      <c r="CC181" s="178">
        <f>CC155</f>
        <v/>
      </c>
      <c r="CD181" s="178">
        <f>CD155</f>
        <v/>
      </c>
      <c r="CE181" s="178">
        <f>CE155</f>
        <v/>
      </c>
      <c r="CF181" s="20" t="n"/>
    </row>
    <row r="182" ht="15" customHeight="1">
      <c r="B182" s="26" t="inlineStr">
        <is>
          <t xml:space="preserve">  (+) Interest expense, net</t>
        </is>
      </c>
      <c r="C182" s="183">
        <f>C152</f>
        <v/>
      </c>
      <c r="D182" s="183">
        <f>D152</f>
        <v/>
      </c>
      <c r="E182" s="183">
        <f>E152</f>
        <v/>
      </c>
      <c r="F182" s="183">
        <f>F152</f>
        <v/>
      </c>
      <c r="G182" s="183">
        <f>G152</f>
        <v/>
      </c>
      <c r="H182" s="183">
        <f>H152</f>
        <v/>
      </c>
      <c r="I182" s="183">
        <f>I152</f>
        <v/>
      </c>
      <c r="J182" s="183">
        <f>J152</f>
        <v/>
      </c>
      <c r="K182" s="183">
        <f>K152</f>
        <v/>
      </c>
      <c r="L182" s="183">
        <f>L152</f>
        <v/>
      </c>
      <c r="M182" s="183">
        <f>M152</f>
        <v/>
      </c>
      <c r="N182" s="183">
        <f>N152</f>
        <v/>
      </c>
      <c r="O182" s="183">
        <f>O152</f>
        <v/>
      </c>
      <c r="P182" s="183">
        <f>P152</f>
        <v/>
      </c>
      <c r="Q182" s="183">
        <f>Q152</f>
        <v/>
      </c>
      <c r="R182" s="183">
        <f>R152</f>
        <v/>
      </c>
      <c r="S182" s="183">
        <f>S152</f>
        <v/>
      </c>
      <c r="T182" s="183">
        <f>T152</f>
        <v/>
      </c>
      <c r="U182" s="183">
        <f>U152</f>
        <v/>
      </c>
      <c r="V182" s="183">
        <f>V152</f>
        <v/>
      </c>
      <c r="W182" s="183">
        <f>W152</f>
        <v/>
      </c>
      <c r="X182" s="183">
        <f>X152</f>
        <v/>
      </c>
      <c r="Y182" s="183">
        <f>Y152</f>
        <v/>
      </c>
      <c r="Z182" s="183">
        <f>Z152</f>
        <v/>
      </c>
      <c r="AA182" s="183">
        <f>AA152</f>
        <v/>
      </c>
      <c r="AB182" s="183">
        <f>AB152</f>
        <v/>
      </c>
      <c r="AC182" s="183">
        <f>AC152</f>
        <v/>
      </c>
      <c r="AD182" s="183">
        <f>AD152</f>
        <v/>
      </c>
      <c r="AE182" s="183">
        <f>AE152</f>
        <v/>
      </c>
      <c r="AF182" s="183">
        <f>AF152</f>
        <v/>
      </c>
      <c r="AG182" s="183">
        <f>AG152</f>
        <v/>
      </c>
      <c r="AH182" s="183">
        <f>AH152</f>
        <v/>
      </c>
      <c r="AI182" s="183">
        <f>AI152</f>
        <v/>
      </c>
      <c r="AJ182" s="183">
        <f>AJ152</f>
        <v/>
      </c>
      <c r="AK182" s="183">
        <f>AK152</f>
        <v/>
      </c>
      <c r="AL182" s="183">
        <f>AL152</f>
        <v/>
      </c>
      <c r="AM182" s="183">
        <f>AM152</f>
        <v/>
      </c>
      <c r="AN182" s="183">
        <f>AN152</f>
        <v/>
      </c>
      <c r="AO182" s="183">
        <f>AO152</f>
        <v/>
      </c>
      <c r="AP182" s="183">
        <f>AP152</f>
        <v/>
      </c>
      <c r="AQ182" s="183">
        <f>AQ152</f>
        <v/>
      </c>
      <c r="AR182" s="183">
        <f>AR152</f>
        <v/>
      </c>
      <c r="AS182" s="183">
        <f>AS152</f>
        <v/>
      </c>
      <c r="AT182" s="183">
        <f>AT152</f>
        <v/>
      </c>
      <c r="AU182" s="183">
        <f>AU152</f>
        <v/>
      </c>
      <c r="AV182" s="183">
        <f>AV152</f>
        <v/>
      </c>
      <c r="AW182" s="183">
        <f>AW152</f>
        <v/>
      </c>
      <c r="AX182" s="183">
        <f>AX152</f>
        <v/>
      </c>
      <c r="AY182" s="183">
        <f>AY152</f>
        <v/>
      </c>
      <c r="AZ182" s="183">
        <f>AZ152</f>
        <v/>
      </c>
      <c r="BA182" s="183">
        <f>BA152</f>
        <v/>
      </c>
      <c r="BB182" s="183">
        <f>BB152</f>
        <v/>
      </c>
      <c r="BC182" s="183">
        <f>BC152</f>
        <v/>
      </c>
      <c r="BD182" s="183">
        <f>BD152</f>
        <v/>
      </c>
      <c r="BE182" s="183">
        <f>BE152</f>
        <v/>
      </c>
      <c r="BF182" s="183">
        <f>BF152</f>
        <v/>
      </c>
      <c r="BG182" s="183">
        <f>BG152</f>
        <v/>
      </c>
      <c r="BH182" s="183">
        <f>BH152</f>
        <v/>
      </c>
      <c r="BI182" s="183">
        <f>BI152</f>
        <v/>
      </c>
      <c r="BJ182" s="183">
        <f>BJ152</f>
        <v/>
      </c>
      <c r="BK182" s="183">
        <f>BK152</f>
        <v/>
      </c>
      <c r="BL182" s="183">
        <f>BL152</f>
        <v/>
      </c>
      <c r="BM182" s="183">
        <f>BM152</f>
        <v/>
      </c>
      <c r="BN182" s="183">
        <f>BN152</f>
        <v/>
      </c>
      <c r="BO182" s="183">
        <f>BO152</f>
        <v/>
      </c>
      <c r="BP182" s="183">
        <f>BP152</f>
        <v/>
      </c>
      <c r="BQ182" s="183">
        <f>BQ152</f>
        <v/>
      </c>
      <c r="BR182" s="183">
        <f>BR152</f>
        <v/>
      </c>
      <c r="BS182" s="183">
        <f>BS152</f>
        <v/>
      </c>
      <c r="BT182" s="183">
        <f>BT152</f>
        <v/>
      </c>
      <c r="BU182" s="183">
        <f>BU152</f>
        <v/>
      </c>
      <c r="BV182" s="183">
        <f>BV152</f>
        <v/>
      </c>
      <c r="BW182" s="183">
        <f>BW152</f>
        <v/>
      </c>
      <c r="BX182" s="183">
        <f>BX152</f>
        <v/>
      </c>
      <c r="BY182" s="178">
        <f>BY152</f>
        <v/>
      </c>
      <c r="BZ182" s="178">
        <f>BZ152</f>
        <v/>
      </c>
      <c r="CA182" s="178">
        <f>CA152</f>
        <v/>
      </c>
      <c r="CB182" s="178">
        <f>CB152</f>
        <v/>
      </c>
      <c r="CC182" s="178">
        <f>CC152</f>
        <v/>
      </c>
      <c r="CD182" s="178">
        <f>CD152</f>
        <v/>
      </c>
      <c r="CE182" s="178">
        <f>CE152</f>
        <v/>
      </c>
      <c r="CF182" s="20" t="n"/>
    </row>
    <row r="183" ht="15" customHeight="1">
      <c r="B183" s="17" t="inlineStr">
        <is>
          <t xml:space="preserve">  = Income from operations + other income (expense)</t>
        </is>
      </c>
      <c r="C183" s="198">
        <f>IF(ISNUMBER(C178),C178+C179+C180+C181+C182,"")</f>
        <v/>
      </c>
      <c r="D183" s="198">
        <f>IF(ISNUMBER(D178),D178+D179+D180+D181+D182,"")</f>
        <v/>
      </c>
      <c r="E183" s="198">
        <f>IF(ISNUMBER(E178),E178+E179+E180+E181+E182,"")</f>
        <v/>
      </c>
      <c r="F183" s="198">
        <f>IF(ISNUMBER(F178),F178+F179+F180+F181+F182,"")</f>
        <v/>
      </c>
      <c r="G183" s="198">
        <f>IF(ISNUMBER(G178),G178+G179+G180+G181+G182,"")</f>
        <v/>
      </c>
      <c r="H183" s="198">
        <f>IF(ISNUMBER(H178),H178+H179+H180+H181+H182,"")</f>
        <v/>
      </c>
      <c r="I183" s="198">
        <f>IF(ISNUMBER(I178),I178+I179+I180+I181+I182,"")</f>
        <v/>
      </c>
      <c r="J183" s="198">
        <f>IF(ISNUMBER(J178),J178+J179+J180+J181+J182,"")</f>
        <v/>
      </c>
      <c r="K183" s="198">
        <f>IF(ISNUMBER(K178),K178+K179+K180+K181+K182,"")</f>
        <v/>
      </c>
      <c r="L183" s="198">
        <f>IF(ISNUMBER(L178),L178+L179+L180+L181+L182,"")</f>
        <v/>
      </c>
      <c r="M183" s="198">
        <f>IF(ISNUMBER(M178),M178+M179+M180+M181+M182,"")</f>
        <v/>
      </c>
      <c r="N183" s="198">
        <f>IF(ISNUMBER(N178),N178+N179+N180+N181+N182,"")</f>
        <v/>
      </c>
      <c r="O183" s="198">
        <f>IF(ISNUMBER(O178),O178+O179+O180+O181+O182,"")</f>
        <v/>
      </c>
      <c r="P183" s="198">
        <f>IF(ISNUMBER(P178),P178+P179+P180+P181+P182,"")</f>
        <v/>
      </c>
      <c r="Q183" s="198">
        <f>IF(ISNUMBER(Q178),Q178+Q179+Q180+Q181+Q182,"")</f>
        <v/>
      </c>
      <c r="R183" s="198">
        <f>IF(ISNUMBER(R178),R178+R179+R180+R181+R182,"")</f>
        <v/>
      </c>
      <c r="S183" s="198">
        <f>IF(ISNUMBER(S178),S178+S179+S180+S181+S182,"")</f>
        <v/>
      </c>
      <c r="T183" s="198">
        <f>IF(ISNUMBER(T178),T178+T179+T180+T181+T182,"")</f>
        <v/>
      </c>
      <c r="U183" s="198">
        <f>IF(ISNUMBER(U178),U178+U179+U180+U181+U182,"")</f>
        <v/>
      </c>
      <c r="V183" s="198">
        <f>IF(ISNUMBER(V178),V178+V179+V180+V181+V182,"")</f>
        <v/>
      </c>
      <c r="W183" s="198">
        <f>IF(ISNUMBER(W178),W178+W179+W180+W181+W182,"")</f>
        <v/>
      </c>
      <c r="X183" s="198">
        <f>IF(ISNUMBER(X178),X178+X179+X180+X181+X182,"")</f>
        <v/>
      </c>
      <c r="Y183" s="198">
        <f>IF(ISNUMBER(Y178),Y178+Y179+Y180+Y181+Y182,"")</f>
        <v/>
      </c>
      <c r="Z183" s="198">
        <f>IF(ISNUMBER(Z178),Z178+Z179+Z180+Z181+Z182,"")</f>
        <v/>
      </c>
      <c r="AA183" s="198">
        <f>IF(ISNUMBER(AA178),AA178+AA179+AA180+AA181+AA182,"")</f>
        <v/>
      </c>
      <c r="AB183" s="198">
        <f>IF(ISNUMBER(AB178),AB178+AB179+AB180+AB181+AB182,"")</f>
        <v/>
      </c>
      <c r="AC183" s="198">
        <f>IF(ISNUMBER(AC178),AC178+AC179+AC180+AC181+AC182,"")</f>
        <v/>
      </c>
      <c r="AD183" s="198">
        <f>IF(ISNUMBER(AD178),AD178+AD179+AD180+AD181+AD182,"")</f>
        <v/>
      </c>
      <c r="AE183" s="198">
        <f>IF(ISNUMBER(AE178),AE178+AE179+AE180+AE181+AE182,"")</f>
        <v/>
      </c>
      <c r="AF183" s="198">
        <f>IF(ISNUMBER(AF178),AF178+AF179+AF180+AF181+AF182,"")</f>
        <v/>
      </c>
      <c r="AG183" s="198">
        <f>IF(ISNUMBER(AG178),AG178+AG179+AG180+AG181+AG182,"")</f>
        <v/>
      </c>
      <c r="AH183" s="198">
        <f>IF(ISNUMBER(AH178),AH178+AH179+AH180+AH181+AH182,"")</f>
        <v/>
      </c>
      <c r="AI183" s="198">
        <f>IF(ISNUMBER(AI178),AI178+AI179+AI180+AI181+AI182,"")</f>
        <v/>
      </c>
      <c r="AJ183" s="198">
        <f>IF(ISNUMBER(AJ178),AJ178+AJ179+AJ180+AJ181+AJ182,"")</f>
        <v/>
      </c>
      <c r="AK183" s="198">
        <f>IF(ISNUMBER(AK178),AK178+AK179+AK180+AK181+AK182,"")</f>
        <v/>
      </c>
      <c r="AL183" s="198">
        <f>IF(ISNUMBER(AL178),AL178+AL179+AL180+AL181+AL182,"")</f>
        <v/>
      </c>
      <c r="AM183" s="198">
        <f>IF(ISNUMBER(AM178),AM178+AM179+AM180+AM181+AM182,"")</f>
        <v/>
      </c>
      <c r="AN183" s="198">
        <f>IF(ISNUMBER(AN178),AN178+AN179+AN180+AN181+AN182,"")</f>
        <v/>
      </c>
      <c r="AO183" s="198">
        <f>IF(ISNUMBER(AO178),AO178+AO179+AO180+AO181+AO182,"")</f>
        <v/>
      </c>
      <c r="AP183" s="198">
        <f>IF(ISNUMBER(AP178),AP178+AP179+AP180+AP181+AP182,"")</f>
        <v/>
      </c>
      <c r="AQ183" s="198">
        <f>IF(ISNUMBER(AQ178),AQ178+AQ179+AQ180+AQ181+AQ182,"")</f>
        <v/>
      </c>
      <c r="AR183" s="198">
        <f>IF(ISNUMBER(AR178),AR178+AR179+AR180+AR181+AR182,"")</f>
        <v/>
      </c>
      <c r="AS183" s="198">
        <f>IF(ISNUMBER(AS178),AS178+AS179+AS180+AS181+AS182,"")</f>
        <v/>
      </c>
      <c r="AT183" s="198">
        <f>IF(ISNUMBER(AT178),AT178+AT179+AT180+AT181+AT182,"")</f>
        <v/>
      </c>
      <c r="AU183" s="198">
        <f>IF(ISNUMBER(AU178),AU178+AU179+AU180+AU181+AU182,"")</f>
        <v/>
      </c>
      <c r="AV183" s="198">
        <f>IF(ISNUMBER(AV178),AV178+AV179+AV180+AV181+AV182,"")</f>
        <v/>
      </c>
      <c r="AW183" s="198">
        <f>IF(ISNUMBER(AW178),AW178+AW179+AW180+AW181+AW182,"")</f>
        <v/>
      </c>
      <c r="AX183" s="198">
        <f>IF(ISNUMBER(AX178),AX178+AX179+AX180+AX181+AX182,"")</f>
        <v/>
      </c>
      <c r="AY183" s="198">
        <f>IF(ISNUMBER(AY178),AY178+AY179+AY180+AY181+AY182,"")</f>
        <v/>
      </c>
      <c r="AZ183" s="198">
        <f>IF(ISNUMBER(AZ178),AZ178+AZ179+AZ180+AZ181+AZ182,"")</f>
        <v/>
      </c>
      <c r="BA183" s="198">
        <f>IF(ISNUMBER(BA178),BA178+BA179+BA180+BA181+BA182,"")</f>
        <v/>
      </c>
      <c r="BB183" s="198">
        <f>IF(ISNUMBER(BB178),BB178+BB179+BB180+BB181+BB182,"")</f>
        <v/>
      </c>
      <c r="BC183" s="198">
        <f>IF(ISNUMBER(BC178),BC178+BC179+BC180+BC181+BC182,"")</f>
        <v/>
      </c>
      <c r="BD183" s="198">
        <f>IF(ISNUMBER(BD178),BD178+BD179+BD180+BD181+BD182,"")</f>
        <v/>
      </c>
      <c r="BE183" s="198">
        <f>IF(ISNUMBER(BE178),BE178+BE179+BE180+BE181+BE182,"")</f>
        <v/>
      </c>
      <c r="BF183" s="198">
        <f>IF(ISNUMBER(BF178),BF178+BF179+BF180+BF181+BF182,"")</f>
        <v/>
      </c>
      <c r="BG183" s="198">
        <f>IF(ISNUMBER(BG178),BG178+BG179+BG180+BG181+BG182,"")</f>
        <v/>
      </c>
      <c r="BH183" s="198">
        <f>IF(ISNUMBER(BH178),BH178+BH179+BH180+BH181+BH182,"")</f>
        <v/>
      </c>
      <c r="BI183" s="198">
        <f>IF(ISNUMBER(BI178),BI178+BI179+BI180+BI181+BI182,"")</f>
        <v/>
      </c>
      <c r="BJ183" s="198">
        <f>IF(ISNUMBER(BJ178),BJ178+BJ179+BJ180+BJ181+BJ182,"")</f>
        <v/>
      </c>
      <c r="BK183" s="198">
        <f>IF(ISNUMBER(BK178),BK178+BK179+BK180+BK181+BK182,"")</f>
        <v/>
      </c>
      <c r="BL183" s="198">
        <f>IF(ISNUMBER(BL178),BL178+BL179+BL180+BL181+BL182,"")</f>
        <v/>
      </c>
      <c r="BM183" s="198">
        <f>IF(ISNUMBER(BM178),BM178+BM179+BM180+BM181+BM182,"")</f>
        <v/>
      </c>
      <c r="BN183" s="198">
        <f>IF(ISNUMBER(BN178),BN178+BN179+BN180+BN181+BN182,"")</f>
        <v/>
      </c>
      <c r="BO183" s="198">
        <f>IF(ISNUMBER(BO178),BO178+BO179+BO180+BO181+BO182,"")</f>
        <v/>
      </c>
      <c r="BP183" s="198">
        <f>IF(ISNUMBER(BP178),BP178+BP179+BP180+BP181+BP182,"")</f>
        <v/>
      </c>
      <c r="BQ183" s="198">
        <f>IF(ISNUMBER(BQ178),BQ178+BQ179+BQ180+BQ181+BQ182,"")</f>
        <v/>
      </c>
      <c r="BR183" s="198">
        <f>IF(ISNUMBER(BR178),BR178+BR179+BR180+BR181+BR182,"")</f>
        <v/>
      </c>
      <c r="BS183" s="198">
        <f>IF(ISNUMBER(BS178),BS178+BS179+BS180+BS181+BS182,"")</f>
        <v/>
      </c>
      <c r="BT183" s="198">
        <f>IF(ISNUMBER(BT178),BT178+BT179+BT180+BT181+BT182,"")</f>
        <v/>
      </c>
      <c r="BU183" s="198">
        <f>IF(ISNUMBER(BU178),BU178+BU179+BU180+BU181+BU182,"")</f>
        <v/>
      </c>
      <c r="BV183" s="198">
        <f>IF(ISNUMBER(BV178),BV178+BV179+BV180+BV181+BV182,"")</f>
        <v/>
      </c>
      <c r="BW183" s="198">
        <f>IF(ISNUMBER(BW178),BW178+BW179+BW180+BW181+BW182,"")</f>
        <v/>
      </c>
      <c r="BX183" s="198">
        <f>IF(ISNUMBER(BX178),BX178+BX179+BX180+BX181+BX182,"")</f>
        <v/>
      </c>
      <c r="BY183" s="185">
        <f>IF(ISNUMBER(BY178),BY178+BY179+BY180+BY181+BY182,"")</f>
        <v/>
      </c>
      <c r="BZ183" s="185">
        <f>IF(ISNUMBER(BZ178),BZ178+BZ179+BZ180+BZ181+BZ182,"")</f>
        <v/>
      </c>
      <c r="CA183" s="185">
        <f>IF(ISNUMBER(CA178),CA178+CA179+CA180+CA181+CA182,"")</f>
        <v/>
      </c>
      <c r="CB183" s="185">
        <f>IF(ISNUMBER(CB178),CB178+CB179+CB180+CB181+CB182,"")</f>
        <v/>
      </c>
      <c r="CC183" s="185">
        <f>IF(ISNUMBER(CC178),CC178+CC179+CC180+CC181+CC182,"")</f>
        <v/>
      </c>
      <c r="CD183" s="185">
        <f>IF(ISNUMBER(CD178),CD178+CD179+CD180+CD181+CD182,"")</f>
        <v/>
      </c>
      <c r="CE183" s="185">
        <f>IF(ISNUMBER(CE178),CE178+CE179+CE180+CE181+CE182,"")</f>
        <v/>
      </c>
      <c r="CF183" s="6" t="n"/>
    </row>
    <row r="184" ht="15" customHeight="1">
      <c r="B184" s="26" t="inlineStr">
        <is>
          <t xml:space="preserve">  (+) Depreciation &amp; amortization</t>
        </is>
      </c>
      <c r="C184" s="183">
        <f>C164</f>
        <v/>
      </c>
      <c r="D184" s="183">
        <f>D164</f>
        <v/>
      </c>
      <c r="E184" s="183">
        <f>E164</f>
        <v/>
      </c>
      <c r="F184" s="183">
        <f>F164</f>
        <v/>
      </c>
      <c r="G184" s="183">
        <f>G164</f>
        <v/>
      </c>
      <c r="H184" s="183">
        <f>H164</f>
        <v/>
      </c>
      <c r="I184" s="183">
        <f>I164</f>
        <v/>
      </c>
      <c r="J184" s="183">
        <f>J164</f>
        <v/>
      </c>
      <c r="K184" s="183">
        <f>K164</f>
        <v/>
      </c>
      <c r="L184" s="183">
        <f>L164</f>
        <v/>
      </c>
      <c r="M184" s="183">
        <f>M164</f>
        <v/>
      </c>
      <c r="N184" s="183">
        <f>N164</f>
        <v/>
      </c>
      <c r="O184" s="183">
        <f>O164</f>
        <v/>
      </c>
      <c r="P184" s="183">
        <f>P164</f>
        <v/>
      </c>
      <c r="Q184" s="183">
        <f>Q164</f>
        <v/>
      </c>
      <c r="R184" s="183">
        <f>R164</f>
        <v/>
      </c>
      <c r="S184" s="183">
        <f>S164</f>
        <v/>
      </c>
      <c r="T184" s="183">
        <f>T164</f>
        <v/>
      </c>
      <c r="U184" s="183">
        <f>U164</f>
        <v/>
      </c>
      <c r="V184" s="183">
        <f>V164</f>
        <v/>
      </c>
      <c r="W184" s="183">
        <f>W164</f>
        <v/>
      </c>
      <c r="X184" s="183">
        <f>X164</f>
        <v/>
      </c>
      <c r="Y184" s="183">
        <f>Y164</f>
        <v/>
      </c>
      <c r="Z184" s="183">
        <f>Z164</f>
        <v/>
      </c>
      <c r="AA184" s="183">
        <f>AA164</f>
        <v/>
      </c>
      <c r="AB184" s="183">
        <f>AB164</f>
        <v/>
      </c>
      <c r="AC184" s="183">
        <f>AC164</f>
        <v/>
      </c>
      <c r="AD184" s="183">
        <f>AD164</f>
        <v/>
      </c>
      <c r="AE184" s="183">
        <f>AE164</f>
        <v/>
      </c>
      <c r="AF184" s="183">
        <f>AF164</f>
        <v/>
      </c>
      <c r="AG184" s="183">
        <f>AG164</f>
        <v/>
      </c>
      <c r="AH184" s="183">
        <f>AH164</f>
        <v/>
      </c>
      <c r="AI184" s="183">
        <f>AI164</f>
        <v/>
      </c>
      <c r="AJ184" s="183">
        <f>AJ164</f>
        <v/>
      </c>
      <c r="AK184" s="183">
        <f>AK164</f>
        <v/>
      </c>
      <c r="AL184" s="183">
        <f>AL164</f>
        <v/>
      </c>
      <c r="AM184" s="183">
        <f>AM164</f>
        <v/>
      </c>
      <c r="AN184" s="183">
        <f>AN164</f>
        <v/>
      </c>
      <c r="AO184" s="183">
        <f>AO164</f>
        <v/>
      </c>
      <c r="AP184" s="183">
        <f>AP164</f>
        <v/>
      </c>
      <c r="AQ184" s="183">
        <f>AQ164</f>
        <v/>
      </c>
      <c r="AR184" s="183">
        <f>AR164</f>
        <v/>
      </c>
      <c r="AS184" s="183">
        <f>AS164</f>
        <v/>
      </c>
      <c r="AT184" s="183">
        <f>AT164</f>
        <v/>
      </c>
      <c r="AU184" s="183">
        <f>AU164</f>
        <v/>
      </c>
      <c r="AV184" s="183">
        <f>AV164</f>
        <v/>
      </c>
      <c r="AW184" s="183">
        <f>AW164</f>
        <v/>
      </c>
      <c r="AX184" s="183">
        <f>AX164</f>
        <v/>
      </c>
      <c r="AY184" s="183">
        <f>AY164</f>
        <v/>
      </c>
      <c r="AZ184" s="183">
        <f>AZ164</f>
        <v/>
      </c>
      <c r="BA184" s="183">
        <f>BA164</f>
        <v/>
      </c>
      <c r="BB184" s="183">
        <f>BB164</f>
        <v/>
      </c>
      <c r="BC184" s="183">
        <f>BC164</f>
        <v/>
      </c>
      <c r="BD184" s="183">
        <f>BD164</f>
        <v/>
      </c>
      <c r="BE184" s="183">
        <f>BE164</f>
        <v/>
      </c>
      <c r="BF184" s="183">
        <f>BF164</f>
        <v/>
      </c>
      <c r="BG184" s="183">
        <f>BG164</f>
        <v/>
      </c>
      <c r="BH184" s="183">
        <f>BH164</f>
        <v/>
      </c>
      <c r="BI184" s="183">
        <f>BI164</f>
        <v/>
      </c>
      <c r="BJ184" s="183">
        <f>BJ164</f>
        <v/>
      </c>
      <c r="BK184" s="183">
        <f>BK164</f>
        <v/>
      </c>
      <c r="BL184" s="183">
        <f>BL164</f>
        <v/>
      </c>
      <c r="BM184" s="183">
        <f>BM164</f>
        <v/>
      </c>
      <c r="BN184" s="183">
        <f>BN164</f>
        <v/>
      </c>
      <c r="BO184" s="183">
        <f>BO164</f>
        <v/>
      </c>
      <c r="BP184" s="183">
        <f>BP164</f>
        <v/>
      </c>
      <c r="BQ184" s="183">
        <f>BQ164</f>
        <v/>
      </c>
      <c r="BR184" s="183">
        <f>BR164</f>
        <v/>
      </c>
      <c r="BS184" s="183">
        <f>BS164</f>
        <v/>
      </c>
      <c r="BT184" s="183">
        <f>BT164</f>
        <v/>
      </c>
      <c r="BU184" s="183">
        <f>BU164</f>
        <v/>
      </c>
      <c r="BV184" s="183">
        <f>BV164</f>
        <v/>
      </c>
      <c r="BW184" s="183">
        <f>BW164</f>
        <v/>
      </c>
      <c r="BX184" s="183">
        <f>BX164</f>
        <v/>
      </c>
      <c r="BY184" s="178">
        <f>BY164</f>
        <v/>
      </c>
      <c r="BZ184" s="178">
        <f>BZ164</f>
        <v/>
      </c>
      <c r="CA184" s="178">
        <f>CA164</f>
        <v/>
      </c>
      <c r="CB184" s="178">
        <f>CB164</f>
        <v/>
      </c>
      <c r="CC184" s="178">
        <f>CC164</f>
        <v/>
      </c>
      <c r="CD184" s="178">
        <f>CD164</f>
        <v/>
      </c>
      <c r="CE184" s="178">
        <f>CE164</f>
        <v/>
      </c>
      <c r="CF184" s="20" t="n"/>
    </row>
    <row r="185" ht="15" customHeight="1">
      <c r="B185" s="26" t="inlineStr">
        <is>
          <t xml:space="preserve">  (+/−) Basis difference vs company EBITDA (2019: other income excluded; D&amp;A basis)</t>
        </is>
      </c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174" t="n">
        <v>8.199999999999999</v>
      </c>
      <c r="AO185" s="174" t="n">
        <v>-2.2</v>
      </c>
      <c r="AP185" s="174" t="n">
        <v>-1.9</v>
      </c>
      <c r="AQ185" s="174" t="n">
        <v>-6.9</v>
      </c>
      <c r="AR185" s="174" t="n">
        <v>-2.8</v>
      </c>
      <c r="AS185" s="174" t="n">
        <v>0</v>
      </c>
      <c r="AT185" s="174" t="n">
        <v>0</v>
      </c>
      <c r="AU185" s="174" t="n">
        <v>0</v>
      </c>
      <c r="AV185" s="174" t="n">
        <v>0</v>
      </c>
      <c r="AW185" s="174" t="n">
        <v>0</v>
      </c>
      <c r="AX185" s="174" t="n">
        <v>0</v>
      </c>
      <c r="AY185" s="174" t="n">
        <v>0</v>
      </c>
      <c r="AZ185" s="174" t="n">
        <v>0</v>
      </c>
      <c r="BA185" s="174" t="n">
        <v>0</v>
      </c>
      <c r="BB185" s="174" t="n">
        <v>0</v>
      </c>
      <c r="BC185" s="174" t="n">
        <v>0</v>
      </c>
      <c r="BD185" s="174" t="n">
        <v>0</v>
      </c>
      <c r="BE185" s="174" t="n">
        <v>0</v>
      </c>
      <c r="BF185" s="174" t="n">
        <v>0</v>
      </c>
      <c r="BG185" s="174" t="n">
        <v>0</v>
      </c>
      <c r="BH185" s="174" t="n">
        <v>0</v>
      </c>
      <c r="BI185" s="174" t="n">
        <v>0</v>
      </c>
      <c r="BJ185" s="174" t="n">
        <v>0</v>
      </c>
      <c r="BK185" s="174" t="n">
        <v>0</v>
      </c>
      <c r="BL185" s="174" t="n">
        <v>0</v>
      </c>
      <c r="BM185" s="174" t="n">
        <v>0</v>
      </c>
      <c r="BN185" s="174" t="n">
        <v>0</v>
      </c>
      <c r="BO185" s="174" t="n">
        <v>0</v>
      </c>
      <c r="BP185" s="174" t="n">
        <v>0</v>
      </c>
      <c r="BQ185" s="174" t="n">
        <v>0</v>
      </c>
      <c r="BR185" s="174" t="n">
        <v>0</v>
      </c>
      <c r="BS185" s="174" t="n">
        <v>0</v>
      </c>
      <c r="BT185" s="174" t="n">
        <v>0</v>
      </c>
      <c r="BU185" s="174" t="n">
        <v>0</v>
      </c>
      <c r="BV185" s="174" t="n">
        <v>0</v>
      </c>
      <c r="BW185" s="174" t="n">
        <v>0</v>
      </c>
      <c r="BX185" s="174" t="n">
        <v>0</v>
      </c>
      <c r="BY185" s="37" t="n"/>
      <c r="BZ185" s="37" t="n"/>
      <c r="CA185" s="37" t="n"/>
      <c r="CB185" s="37" t="n"/>
      <c r="CC185" s="37" t="n"/>
      <c r="CD185" s="37" t="n"/>
      <c r="CE185" s="37" t="n"/>
      <c r="CF185" s="20" t="inlineStr">
        <is>
          <t>Historical only: published EBITDA less (income from operations + other income + D&amp;A). 2019 definition = income from operations + D&amp;A.</t>
        </is>
      </c>
    </row>
    <row r="186" ht="15" customHeight="1">
      <c r="B186" s="59" t="inlineStr">
        <is>
          <t xml:space="preserve">  = EBITDA</t>
        </is>
      </c>
      <c r="C186" s="193">
        <f>IF(AND(ISNUMBER(C183),ISNUMBER(C184)),C183+C184+N(C185),"")</f>
        <v/>
      </c>
      <c r="D186" s="193">
        <f>IF(AND(ISNUMBER(D183),ISNUMBER(D184)),D183+D184+N(D185),"")</f>
        <v/>
      </c>
      <c r="E186" s="193">
        <f>IF(AND(ISNUMBER(E183),ISNUMBER(E184)),E183+E184+N(E185),"")</f>
        <v/>
      </c>
      <c r="F186" s="193">
        <f>IF(AND(ISNUMBER(F183),ISNUMBER(F184)),F183+F184+N(F185),"")</f>
        <v/>
      </c>
      <c r="G186" s="193">
        <f>IF(AND(ISNUMBER(G183),ISNUMBER(G184)),G183+G184+N(G185),"")</f>
        <v/>
      </c>
      <c r="H186" s="193">
        <f>IF(AND(ISNUMBER(H183),ISNUMBER(H184)),H183+H184+N(H185),"")</f>
        <v/>
      </c>
      <c r="I186" s="193">
        <f>IF(AND(ISNUMBER(I183),ISNUMBER(I184)),I183+I184+N(I185),"")</f>
        <v/>
      </c>
      <c r="J186" s="193">
        <f>IF(AND(ISNUMBER(J183),ISNUMBER(J184)),J183+J184+N(J185),"")</f>
        <v/>
      </c>
      <c r="K186" s="193">
        <f>IF(AND(ISNUMBER(K183),ISNUMBER(K184)),K183+K184+N(K185),"")</f>
        <v/>
      </c>
      <c r="L186" s="193">
        <f>IF(AND(ISNUMBER(L183),ISNUMBER(L184)),L183+L184+N(L185),"")</f>
        <v/>
      </c>
      <c r="M186" s="193">
        <f>IF(AND(ISNUMBER(M183),ISNUMBER(M184)),M183+M184+N(M185),"")</f>
        <v/>
      </c>
      <c r="N186" s="193">
        <f>IF(AND(ISNUMBER(N183),ISNUMBER(N184)),N183+N184+N(N185),"")</f>
        <v/>
      </c>
      <c r="O186" s="193">
        <f>IF(AND(ISNUMBER(O183),ISNUMBER(O184)),O183+O184+N(O185),"")</f>
        <v/>
      </c>
      <c r="P186" s="193">
        <f>IF(AND(ISNUMBER(P183),ISNUMBER(P184)),P183+P184+N(P185),"")</f>
        <v/>
      </c>
      <c r="Q186" s="193">
        <f>IF(AND(ISNUMBER(Q183),ISNUMBER(Q184)),Q183+Q184+N(Q185),"")</f>
        <v/>
      </c>
      <c r="R186" s="193">
        <f>IF(AND(ISNUMBER(R183),ISNUMBER(R184)),R183+R184+N(R185),"")</f>
        <v/>
      </c>
      <c r="S186" s="193">
        <f>IF(AND(ISNUMBER(S183),ISNUMBER(S184)),S183+S184+N(S185),"")</f>
        <v/>
      </c>
      <c r="T186" s="193">
        <f>IF(AND(ISNUMBER(T183),ISNUMBER(T184)),T183+T184+N(T185),"")</f>
        <v/>
      </c>
      <c r="U186" s="193">
        <f>IF(AND(ISNUMBER(U183),ISNUMBER(U184)),U183+U184+N(U185),"")</f>
        <v/>
      </c>
      <c r="V186" s="193">
        <f>IF(AND(ISNUMBER(V183),ISNUMBER(V184)),V183+V184+N(V185),"")</f>
        <v/>
      </c>
      <c r="W186" s="193">
        <f>IF(AND(ISNUMBER(W183),ISNUMBER(W184)),W183+W184+N(W185),"")</f>
        <v/>
      </c>
      <c r="X186" s="193">
        <f>IF(AND(ISNUMBER(X183),ISNUMBER(X184)),X183+X184+N(X185),"")</f>
        <v/>
      </c>
      <c r="Y186" s="193">
        <f>IF(AND(ISNUMBER(Y183),ISNUMBER(Y184)),Y183+Y184+N(Y185),"")</f>
        <v/>
      </c>
      <c r="Z186" s="193">
        <f>IF(AND(ISNUMBER(Z183),ISNUMBER(Z184)),Z183+Z184+N(Z185),"")</f>
        <v/>
      </c>
      <c r="AA186" s="193">
        <f>IF(AND(ISNUMBER(AA183),ISNUMBER(AA184)),AA183+AA184+N(AA185),"")</f>
        <v/>
      </c>
      <c r="AB186" s="193">
        <f>IF(AND(ISNUMBER(AB183),ISNUMBER(AB184)),AB183+AB184+N(AB185),"")</f>
        <v/>
      </c>
      <c r="AC186" s="193">
        <f>IF(AND(ISNUMBER(AC183),ISNUMBER(AC184)),AC183+AC184+N(AC185),"")</f>
        <v/>
      </c>
      <c r="AD186" s="193">
        <f>IF(AND(ISNUMBER(AD183),ISNUMBER(AD184)),AD183+AD184+N(AD185),"")</f>
        <v/>
      </c>
      <c r="AE186" s="193">
        <f>IF(AND(ISNUMBER(AE183),ISNUMBER(AE184)),AE183+AE184+N(AE185),"")</f>
        <v/>
      </c>
      <c r="AF186" s="193">
        <f>IF(AND(ISNUMBER(AF183),ISNUMBER(AF184)),AF183+AF184+N(AF185),"")</f>
        <v/>
      </c>
      <c r="AG186" s="193">
        <f>IF(AND(ISNUMBER(AG183),ISNUMBER(AG184)),AG183+AG184+N(AG185),"")</f>
        <v/>
      </c>
      <c r="AH186" s="193">
        <f>IF(AND(ISNUMBER(AH183),ISNUMBER(AH184)),AH183+AH184+N(AH185),"")</f>
        <v/>
      </c>
      <c r="AI186" s="193">
        <f>IF(AND(ISNUMBER(AI183),ISNUMBER(AI184)),AI183+AI184+N(AI185),"")</f>
        <v/>
      </c>
      <c r="AJ186" s="193">
        <f>IF(AND(ISNUMBER(AJ183),ISNUMBER(AJ184)),AJ183+AJ184+N(AJ185),"")</f>
        <v/>
      </c>
      <c r="AK186" s="193">
        <f>IF(AND(ISNUMBER(AK183),ISNUMBER(AK184)),AK183+AK184+N(AK185),"")</f>
        <v/>
      </c>
      <c r="AL186" s="193">
        <f>IF(AND(ISNUMBER(AL183),ISNUMBER(AL184)),AL183+AL184+N(AL185),"")</f>
        <v/>
      </c>
      <c r="AM186" s="193">
        <f>IF(AND(ISNUMBER(AM183),ISNUMBER(AM184)),AM183+AM184+N(AM185),"")</f>
        <v/>
      </c>
      <c r="AN186" s="193">
        <f>IF(AND(ISNUMBER(AN183),ISNUMBER(AN184)),AN183+AN184+N(AN185),"")</f>
        <v/>
      </c>
      <c r="AO186" s="193">
        <f>IF(AND(ISNUMBER(AO183),ISNUMBER(AO184)),AO183+AO184+N(AO185),"")</f>
        <v/>
      </c>
      <c r="AP186" s="193">
        <f>IF(AND(ISNUMBER(AP183),ISNUMBER(AP184)),AP183+AP184+N(AP185),"")</f>
        <v/>
      </c>
      <c r="AQ186" s="193">
        <f>IF(AND(ISNUMBER(AQ183),ISNUMBER(AQ184)),AQ183+AQ184+N(AQ185),"")</f>
        <v/>
      </c>
      <c r="AR186" s="193">
        <f>IF(AND(ISNUMBER(AR183),ISNUMBER(AR184)),AR183+AR184+N(AR185),"")</f>
        <v/>
      </c>
      <c r="AS186" s="193">
        <f>IF(AND(ISNUMBER(AS183),ISNUMBER(AS184)),AS183+AS184+N(AS185),"")</f>
        <v/>
      </c>
      <c r="AT186" s="193">
        <f>IF(AND(ISNUMBER(AT183),ISNUMBER(AT184)),AT183+AT184+N(AT185),"")</f>
        <v/>
      </c>
      <c r="AU186" s="193">
        <f>IF(AND(ISNUMBER(AU183),ISNUMBER(AU184)),AU183+AU184+N(AU185),"")</f>
        <v/>
      </c>
      <c r="AV186" s="193">
        <f>IF(AND(ISNUMBER(AV183),ISNUMBER(AV184)),AV183+AV184+N(AV185),"")</f>
        <v/>
      </c>
      <c r="AW186" s="193">
        <f>IF(AND(ISNUMBER(AW183),ISNUMBER(AW184)),AW183+AW184+N(AW185),"")</f>
        <v/>
      </c>
      <c r="AX186" s="193">
        <f>IF(AND(ISNUMBER(AX183),ISNUMBER(AX184)),AX183+AX184+N(AX185),"")</f>
        <v/>
      </c>
      <c r="AY186" s="193">
        <f>IF(AND(ISNUMBER(AY183),ISNUMBER(AY184)),AY183+AY184+N(AY185),"")</f>
        <v/>
      </c>
      <c r="AZ186" s="193">
        <f>IF(AND(ISNUMBER(AZ183),ISNUMBER(AZ184)),AZ183+AZ184+N(AZ185),"")</f>
        <v/>
      </c>
      <c r="BA186" s="193">
        <f>IF(AND(ISNUMBER(BA183),ISNUMBER(BA184)),BA183+BA184+N(BA185),"")</f>
        <v/>
      </c>
      <c r="BB186" s="193">
        <f>IF(AND(ISNUMBER(BB183),ISNUMBER(BB184)),BB183+BB184+N(BB185),"")</f>
        <v/>
      </c>
      <c r="BC186" s="193">
        <f>IF(AND(ISNUMBER(BC183),ISNUMBER(BC184)),BC183+BC184+N(BC185),"")</f>
        <v/>
      </c>
      <c r="BD186" s="193">
        <f>IF(AND(ISNUMBER(BD183),ISNUMBER(BD184)),BD183+BD184+N(BD185),"")</f>
        <v/>
      </c>
      <c r="BE186" s="193">
        <f>IF(AND(ISNUMBER(BE183),ISNUMBER(BE184)),BE183+BE184+N(BE185),"")</f>
        <v/>
      </c>
      <c r="BF186" s="193">
        <f>IF(AND(ISNUMBER(BF183),ISNUMBER(BF184)),BF183+BF184+N(BF185),"")</f>
        <v/>
      </c>
      <c r="BG186" s="193">
        <f>IF(AND(ISNUMBER(BG183),ISNUMBER(BG184)),BG183+BG184+N(BG185),"")</f>
        <v/>
      </c>
      <c r="BH186" s="193">
        <f>IF(AND(ISNUMBER(BH183),ISNUMBER(BH184)),BH183+BH184+N(BH185),"")</f>
        <v/>
      </c>
      <c r="BI186" s="193">
        <f>IF(AND(ISNUMBER(BI183),ISNUMBER(BI184)),BI183+BI184+N(BI185),"")</f>
        <v/>
      </c>
      <c r="BJ186" s="193">
        <f>IF(AND(ISNUMBER(BJ183),ISNUMBER(BJ184)),BJ183+BJ184+N(BJ185),"")</f>
        <v/>
      </c>
      <c r="BK186" s="193">
        <f>IF(AND(ISNUMBER(BK183),ISNUMBER(BK184)),BK183+BK184+N(BK185),"")</f>
        <v/>
      </c>
      <c r="BL186" s="193">
        <f>IF(AND(ISNUMBER(BL183),ISNUMBER(BL184)),BL183+BL184+N(BL185),"")</f>
        <v/>
      </c>
      <c r="BM186" s="193">
        <f>IF(AND(ISNUMBER(BM183),ISNUMBER(BM184)),BM183+BM184+N(BM185),"")</f>
        <v/>
      </c>
      <c r="BN186" s="193">
        <f>IF(AND(ISNUMBER(BN183),ISNUMBER(BN184)),BN183+BN184+N(BN185),"")</f>
        <v/>
      </c>
      <c r="BO186" s="193">
        <f>IF(AND(ISNUMBER(BO183),ISNUMBER(BO184)),BO183+BO184+N(BO185),"")</f>
        <v/>
      </c>
      <c r="BP186" s="193">
        <f>IF(AND(ISNUMBER(BP183),ISNUMBER(BP184)),BP183+BP184+N(BP185),"")</f>
        <v/>
      </c>
      <c r="BQ186" s="193">
        <f>IF(AND(ISNUMBER(BQ183),ISNUMBER(BQ184)),BQ183+BQ184+N(BQ185),"")</f>
        <v/>
      </c>
      <c r="BR186" s="193">
        <f>IF(AND(ISNUMBER(BR183),ISNUMBER(BR184)),BR183+BR184+N(BR185),"")</f>
        <v/>
      </c>
      <c r="BS186" s="193">
        <f>IF(AND(ISNUMBER(BS183),ISNUMBER(BS184)),BS183+BS184+N(BS185),"")</f>
        <v/>
      </c>
      <c r="BT186" s="193">
        <f>IF(AND(ISNUMBER(BT183),ISNUMBER(BT184)),BT183+BT184+N(BT185),"")</f>
        <v/>
      </c>
      <c r="BU186" s="193">
        <f>IF(AND(ISNUMBER(BU183),ISNUMBER(BU184)),BU183+BU184+N(BU185),"")</f>
        <v/>
      </c>
      <c r="BV186" s="193">
        <f>IF(AND(ISNUMBER(BV183),ISNUMBER(BV184)),BV183+BV184+N(BV185),"")</f>
        <v/>
      </c>
      <c r="BW186" s="193">
        <f>IF(AND(ISNUMBER(BW183),ISNUMBER(BW184)),BW183+BW184+N(BW185),"")</f>
        <v/>
      </c>
      <c r="BX186" s="193">
        <f>IF(AND(ISNUMBER(BX183),ISNUMBER(BX184)),BX183+BX184+N(BX185),"")</f>
        <v/>
      </c>
      <c r="BY186" s="193">
        <f>IF(AND(ISNUMBER(BY183),ISNUMBER(BY184)),BY183+BY184+N(BY185),"")</f>
        <v/>
      </c>
      <c r="BZ186" s="193">
        <f>IF(AND(ISNUMBER(BZ183),ISNUMBER(BZ184)),BZ183+BZ184+N(BZ185),"")</f>
        <v/>
      </c>
      <c r="CA186" s="193">
        <f>IF(AND(ISNUMBER(CA183),ISNUMBER(CA184)),CA183+CA184+N(CA185),"")</f>
        <v/>
      </c>
      <c r="CB186" s="193">
        <f>IF(AND(ISNUMBER(CB183),ISNUMBER(CB184)),CB183+CB184+N(CB185),"")</f>
        <v/>
      </c>
      <c r="CC186" s="193">
        <f>IF(AND(ISNUMBER(CC183),ISNUMBER(CC184)),CC183+CC184+N(CC185),"")</f>
        <v/>
      </c>
      <c r="CD186" s="193">
        <f>IF(AND(ISNUMBER(CD183),ISNUMBER(CD184)),CD183+CD184+N(CD185),"")</f>
        <v/>
      </c>
      <c r="CE186" s="193">
        <f>IF(AND(ISNUMBER(CE183),ISNUMBER(CE184)),CE183+CE184+N(CE185),"")</f>
        <v/>
      </c>
      <c r="CF186" s="6" t="n"/>
      <c r="CH186" s="21">
        <f>IFERROR((CE186/BV186)^(1/5)-1,"n/m")</f>
        <v/>
      </c>
      <c r="CI186" s="21">
        <f>IFERROR((BV186/AW186)^(1/5)-1,"n/m")</f>
        <v/>
      </c>
      <c r="CJ186" s="21">
        <f>IFERROR((BV186/X186)^(1/10)-1,"n/m")</f>
        <v/>
      </c>
      <c r="CK186" s="21">
        <f>IFERROR((BV186/C186)^(1/19)-1,"n/m")</f>
        <v/>
      </c>
    </row>
    <row r="187" ht="15" customHeight="1">
      <c r="B187" s="42" t="inlineStr">
        <is>
          <t xml:space="preserve">  Memo: EBITDA as published</t>
        </is>
      </c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174" t="n">
        <v>123.2</v>
      </c>
      <c r="AO187" s="174" t="n">
        <v>308.4</v>
      </c>
      <c r="AP187" s="174" t="n">
        <v>292</v>
      </c>
      <c r="AQ187" s="174" t="n">
        <v>336.9</v>
      </c>
      <c r="AR187" s="174" t="n">
        <v>1059.3</v>
      </c>
      <c r="AS187" s="174" t="n">
        <v>316.9</v>
      </c>
      <c r="AT187" s="174" t="n">
        <v>282.1</v>
      </c>
      <c r="AU187" s="174" t="n">
        <v>337.4</v>
      </c>
      <c r="AV187" s="174" t="n">
        <v>285.2</v>
      </c>
      <c r="AW187" s="174" t="n">
        <v>1221.6</v>
      </c>
      <c r="AX187" s="174" t="n">
        <v>324.1</v>
      </c>
      <c r="AY187" s="174" t="n">
        <v>338.4</v>
      </c>
      <c r="AZ187" s="174" t="n">
        <v>338.4</v>
      </c>
      <c r="BA187" s="174" t="n">
        <v>398</v>
      </c>
      <c r="BB187" s="174" t="n">
        <v>1399</v>
      </c>
      <c r="BC187" s="174" t="n">
        <v>364</v>
      </c>
      <c r="BD187" s="174" t="n">
        <v>387</v>
      </c>
      <c r="BE187" s="174" t="n">
        <v>382</v>
      </c>
      <c r="BF187" s="174" t="n">
        <v>380</v>
      </c>
      <c r="BG187" s="174" t="n">
        <v>1513</v>
      </c>
      <c r="BH187" s="174" t="n">
        <v>402</v>
      </c>
      <c r="BI187" s="174" t="n">
        <v>436</v>
      </c>
      <c r="BJ187" s="174" t="n">
        <v>504</v>
      </c>
      <c r="BK187" s="174" t="n">
        <v>494</v>
      </c>
      <c r="BL187" s="174" t="n">
        <v>1836</v>
      </c>
      <c r="BM187" s="174" t="n">
        <v>532</v>
      </c>
      <c r="BN187" s="174" t="n">
        <v>550</v>
      </c>
      <c r="BO187" s="174" t="n">
        <v>563</v>
      </c>
      <c r="BP187" s="174" t="n">
        <v>464</v>
      </c>
      <c r="BQ187" s="174" t="n">
        <v>2109</v>
      </c>
      <c r="BR187" s="174" t="n">
        <v>591</v>
      </c>
      <c r="BS187" s="174" t="n">
        <v>611</v>
      </c>
      <c r="BT187" s="174" t="n">
        <v>617</v>
      </c>
      <c r="BU187" s="174" t="n">
        <v>492</v>
      </c>
      <c r="BV187" s="174" t="n">
        <v>2311</v>
      </c>
      <c r="BW187" s="174" t="n">
        <v>677</v>
      </c>
      <c r="BX187" s="174" t="n">
        <v>740</v>
      </c>
      <c r="BY187" s="6" t="n"/>
      <c r="BZ187" s="6" t="n"/>
      <c r="CA187" s="6" t="n"/>
      <c r="CB187" s="6" t="n"/>
      <c r="CC187" s="6" t="n"/>
      <c r="CD187" s="6" t="n"/>
      <c r="CE187" s="6" t="n"/>
      <c r="CF187" s="6" t="n"/>
    </row>
    <row r="188" ht="15" customHeight="1">
      <c r="B188" s="61" t="inlineStr">
        <is>
          <t xml:space="preserve">  Check: model EBITDA vs published (should be 0; ±1 rounding)</t>
        </is>
      </c>
      <c r="C188" s="189">
        <f>IF(ISNUMBER(C187),IF(ABS(C186-C187)&lt;=1,0,ROUND(C186-C187,1)),"n/p")</f>
        <v/>
      </c>
      <c r="D188" s="189">
        <f>IF(ISNUMBER(D187),IF(ABS(D186-D187)&lt;=1,0,ROUND(D186-D187,1)),"n/p")</f>
        <v/>
      </c>
      <c r="E188" s="189">
        <f>IF(ISNUMBER(E187),IF(ABS(E186-E187)&lt;=1,0,ROUND(E186-E187,1)),"n/p")</f>
        <v/>
      </c>
      <c r="F188" s="189">
        <f>IF(ISNUMBER(F187),IF(ABS(F186-F187)&lt;=1,0,ROUND(F186-F187,1)),"n/p")</f>
        <v/>
      </c>
      <c r="G188" s="189">
        <f>IF(ISNUMBER(G187),IF(ABS(G186-G187)&lt;=1,0,ROUND(G186-G187,1)),"n/p")</f>
        <v/>
      </c>
      <c r="H188" s="189">
        <f>IF(ISNUMBER(H187),IF(ABS(H186-H187)&lt;=1,0,ROUND(H186-H187,1)),"n/p")</f>
        <v/>
      </c>
      <c r="I188" s="189">
        <f>IF(ISNUMBER(I187),IF(ABS(I186-I187)&lt;=1,0,ROUND(I186-I187,1)),"n/p")</f>
        <v/>
      </c>
      <c r="J188" s="189">
        <f>IF(ISNUMBER(J187),IF(ABS(J186-J187)&lt;=1,0,ROUND(J186-J187,1)),"n/p")</f>
        <v/>
      </c>
      <c r="K188" s="189">
        <f>IF(ISNUMBER(K187),IF(ABS(K186-K187)&lt;=1,0,ROUND(K186-K187,1)),"n/p")</f>
        <v/>
      </c>
      <c r="L188" s="189">
        <f>IF(ISNUMBER(L187),IF(ABS(L186-L187)&lt;=1,0,ROUND(L186-L187,1)),"n/p")</f>
        <v/>
      </c>
      <c r="M188" s="189">
        <f>IF(ISNUMBER(M187),IF(ABS(M186-M187)&lt;=1,0,ROUND(M186-M187,1)),"n/p")</f>
        <v/>
      </c>
      <c r="N188" s="189">
        <f>IF(ISNUMBER(N187),IF(ABS(N186-N187)&lt;=1,0,ROUND(N186-N187,1)),"n/p")</f>
        <v/>
      </c>
      <c r="O188" s="189">
        <f>IF(ISNUMBER(O187),IF(ABS(O186-O187)&lt;=1,0,ROUND(O186-O187,1)),"n/p")</f>
        <v/>
      </c>
      <c r="P188" s="189">
        <f>IF(ISNUMBER(P187),IF(ABS(P186-P187)&lt;=1,0,ROUND(P186-P187,1)),"n/p")</f>
        <v/>
      </c>
      <c r="Q188" s="189">
        <f>IF(ISNUMBER(Q187),IF(ABS(Q186-Q187)&lt;=1,0,ROUND(Q186-Q187,1)),"n/p")</f>
        <v/>
      </c>
      <c r="R188" s="189">
        <f>IF(ISNUMBER(R187),IF(ABS(R186-R187)&lt;=1,0,ROUND(R186-R187,1)),"n/p")</f>
        <v/>
      </c>
      <c r="S188" s="189">
        <f>IF(ISNUMBER(S187),IF(ABS(S186-S187)&lt;=1,0,ROUND(S186-S187,1)),"n/p")</f>
        <v/>
      </c>
      <c r="T188" s="189">
        <f>IF(ISNUMBER(T187),IF(ABS(T186-T187)&lt;=1,0,ROUND(T186-T187,1)),"n/p")</f>
        <v/>
      </c>
      <c r="U188" s="189">
        <f>IF(ISNUMBER(U187),IF(ABS(U186-U187)&lt;=1,0,ROUND(U186-U187,1)),"n/p")</f>
        <v/>
      </c>
      <c r="V188" s="189">
        <f>IF(ISNUMBER(V187),IF(ABS(V186-V187)&lt;=1,0,ROUND(V186-V187,1)),"n/p")</f>
        <v/>
      </c>
      <c r="W188" s="189">
        <f>IF(ISNUMBER(W187),IF(ABS(W186-W187)&lt;=1,0,ROUND(W186-W187,1)),"n/p")</f>
        <v/>
      </c>
      <c r="X188" s="189">
        <f>IF(ISNUMBER(X187),IF(ABS(X186-X187)&lt;=1,0,ROUND(X186-X187,1)),"n/p")</f>
        <v/>
      </c>
      <c r="Y188" s="189">
        <f>IF(ISNUMBER(Y187),IF(ABS(Y186-Y187)&lt;=1,0,ROUND(Y186-Y187,1)),"n/p")</f>
        <v/>
      </c>
      <c r="Z188" s="189">
        <f>IF(ISNUMBER(Z187),IF(ABS(Z186-Z187)&lt;=1,0,ROUND(Z186-Z187,1)),"n/p")</f>
        <v/>
      </c>
      <c r="AA188" s="189">
        <f>IF(ISNUMBER(AA187),IF(ABS(AA186-AA187)&lt;=1,0,ROUND(AA186-AA187,1)),"n/p")</f>
        <v/>
      </c>
      <c r="AB188" s="189">
        <f>IF(ISNUMBER(AB187),IF(ABS(AB186-AB187)&lt;=1,0,ROUND(AB186-AB187,1)),"n/p")</f>
        <v/>
      </c>
      <c r="AC188" s="189">
        <f>IF(ISNUMBER(AC187),IF(ABS(AC186-AC187)&lt;=1,0,ROUND(AC186-AC187,1)),"n/p")</f>
        <v/>
      </c>
      <c r="AD188" s="189">
        <f>IF(ISNUMBER(AD187),IF(ABS(AD186-AD187)&lt;=1,0,ROUND(AD186-AD187,1)),"n/p")</f>
        <v/>
      </c>
      <c r="AE188" s="189">
        <f>IF(ISNUMBER(AE187),IF(ABS(AE186-AE187)&lt;=1,0,ROUND(AE186-AE187,1)),"n/p")</f>
        <v/>
      </c>
      <c r="AF188" s="189">
        <f>IF(ISNUMBER(AF187),IF(ABS(AF186-AF187)&lt;=1,0,ROUND(AF186-AF187,1)),"n/p")</f>
        <v/>
      </c>
      <c r="AG188" s="189">
        <f>IF(ISNUMBER(AG187),IF(ABS(AG186-AG187)&lt;=1,0,ROUND(AG186-AG187,1)),"n/p")</f>
        <v/>
      </c>
      <c r="AH188" s="189">
        <f>IF(ISNUMBER(AH187),IF(ABS(AH186-AH187)&lt;=1,0,ROUND(AH186-AH187,1)),"n/p")</f>
        <v/>
      </c>
      <c r="AI188" s="189">
        <f>IF(ISNUMBER(AI187),IF(ABS(AI186-AI187)&lt;=1,0,ROUND(AI186-AI187,1)),"n/p")</f>
        <v/>
      </c>
      <c r="AJ188" s="189">
        <f>IF(ISNUMBER(AJ187),IF(ABS(AJ186-AJ187)&lt;=1,0,ROUND(AJ186-AJ187,1)),"n/p")</f>
        <v/>
      </c>
      <c r="AK188" s="189">
        <f>IF(ISNUMBER(AK187),IF(ABS(AK186-AK187)&lt;=1,0,ROUND(AK186-AK187,1)),"n/p")</f>
        <v/>
      </c>
      <c r="AL188" s="189">
        <f>IF(ISNUMBER(AL187),IF(ABS(AL186-AL187)&lt;=1,0,ROUND(AL186-AL187,1)),"n/p")</f>
        <v/>
      </c>
      <c r="AM188" s="189">
        <f>IF(ISNUMBER(AM187),IF(ABS(AM186-AM187)&lt;=1,0,ROUND(AM186-AM187,1)),"n/p")</f>
        <v/>
      </c>
      <c r="AN188" s="189">
        <f>IF(ISNUMBER(AN187),IF(ABS(AN186-AN187)&lt;=1,0,ROUND(AN186-AN187,1)),"n/p")</f>
        <v/>
      </c>
      <c r="AO188" s="189">
        <f>IF(ISNUMBER(AO187),IF(ABS(AO186-AO187)&lt;=1,0,ROUND(AO186-AO187,1)),"n/p")</f>
        <v/>
      </c>
      <c r="AP188" s="189">
        <f>IF(ISNUMBER(AP187),IF(ABS(AP186-AP187)&lt;=1,0,ROUND(AP186-AP187,1)),"n/p")</f>
        <v/>
      </c>
      <c r="AQ188" s="189">
        <f>IF(ISNUMBER(AQ187),IF(ABS(AQ186-AQ187)&lt;=1,0,ROUND(AQ186-AQ187,1)),"n/p")</f>
        <v/>
      </c>
      <c r="AR188" s="189">
        <f>IF(ISNUMBER(AR187),IF(ABS(AR186-AR187)&lt;=1,0,ROUND(AR186-AR187,1)),"n/p")</f>
        <v/>
      </c>
      <c r="AS188" s="189">
        <f>IF(ISNUMBER(AS187),IF(ABS(AS186-AS187)&lt;=1,0,ROUND(AS186-AS187,1)),"n/p")</f>
        <v/>
      </c>
      <c r="AT188" s="189">
        <f>IF(ISNUMBER(AT187),IF(ABS(AT186-AT187)&lt;=1,0,ROUND(AT186-AT187,1)),"n/p")</f>
        <v/>
      </c>
      <c r="AU188" s="189">
        <f>IF(ISNUMBER(AU187),IF(ABS(AU186-AU187)&lt;=1,0,ROUND(AU186-AU187,1)),"n/p")</f>
        <v/>
      </c>
      <c r="AV188" s="189">
        <f>IF(ISNUMBER(AV187),IF(ABS(AV186-AV187)&lt;=1,0,ROUND(AV186-AV187,1)),"n/p")</f>
        <v/>
      </c>
      <c r="AW188" s="189">
        <f>IF(ISNUMBER(AW187),IF(ABS(AW186-AW187)&lt;=1,0,ROUND(AW186-AW187,1)),"n/p")</f>
        <v/>
      </c>
      <c r="AX188" s="189">
        <f>IF(ISNUMBER(AX187),IF(ABS(AX186-AX187)&lt;=1,0,ROUND(AX186-AX187,1)),"n/p")</f>
        <v/>
      </c>
      <c r="AY188" s="189">
        <f>IF(ISNUMBER(AY187),IF(ABS(AY186-AY187)&lt;=1,0,ROUND(AY186-AY187,1)),"n/p")</f>
        <v/>
      </c>
      <c r="AZ188" s="189">
        <f>IF(ISNUMBER(AZ187),IF(ABS(AZ186-AZ187)&lt;=1,0,ROUND(AZ186-AZ187,1)),"n/p")</f>
        <v/>
      </c>
      <c r="BA188" s="189">
        <f>IF(ISNUMBER(BA187),IF(ABS(BA186-BA187)&lt;=1,0,ROUND(BA186-BA187,1)),"n/p")</f>
        <v/>
      </c>
      <c r="BB188" s="189">
        <f>IF(ISNUMBER(BB187),IF(ABS(BB186-BB187)&lt;=1,0,ROUND(BB186-BB187,1)),"n/p")</f>
        <v/>
      </c>
      <c r="BC188" s="189">
        <f>IF(ISNUMBER(BC187),IF(ABS(BC186-BC187)&lt;=1,0,ROUND(BC186-BC187,1)),"n/p")</f>
        <v/>
      </c>
      <c r="BD188" s="189">
        <f>IF(ISNUMBER(BD187),IF(ABS(BD186-BD187)&lt;=1,0,ROUND(BD186-BD187,1)),"n/p")</f>
        <v/>
      </c>
      <c r="BE188" s="189">
        <f>IF(ISNUMBER(BE187),IF(ABS(BE186-BE187)&lt;=1,0,ROUND(BE186-BE187,1)),"n/p")</f>
        <v/>
      </c>
      <c r="BF188" s="189">
        <f>IF(ISNUMBER(BF187),IF(ABS(BF186-BF187)&lt;=1,0,ROUND(BF186-BF187,1)),"n/p")</f>
        <v/>
      </c>
      <c r="BG188" s="189">
        <f>IF(ISNUMBER(BG187),IF(ABS(BG186-BG187)&lt;=1,0,ROUND(BG186-BG187,1)),"n/p")</f>
        <v/>
      </c>
      <c r="BH188" s="189">
        <f>IF(ISNUMBER(BH187),IF(ABS(BH186-BH187)&lt;=1,0,ROUND(BH186-BH187,1)),"n/p")</f>
        <v/>
      </c>
      <c r="BI188" s="189">
        <f>IF(ISNUMBER(BI187),IF(ABS(BI186-BI187)&lt;=1,0,ROUND(BI186-BI187,1)),"n/p")</f>
        <v/>
      </c>
      <c r="BJ188" s="189">
        <f>IF(ISNUMBER(BJ187),IF(ABS(BJ186-BJ187)&lt;=1,0,ROUND(BJ186-BJ187,1)),"n/p")</f>
        <v/>
      </c>
      <c r="BK188" s="189">
        <f>IF(ISNUMBER(BK187),IF(ABS(BK186-BK187)&lt;=1,0,ROUND(BK186-BK187,1)),"n/p")</f>
        <v/>
      </c>
      <c r="BL188" s="189">
        <f>IF(ISNUMBER(BL187),IF(ABS(BL186-BL187)&lt;=1,0,ROUND(BL186-BL187,1)),"n/p")</f>
        <v/>
      </c>
      <c r="BM188" s="189">
        <f>IF(ISNUMBER(BM187),IF(ABS(BM186-BM187)&lt;=1,0,ROUND(BM186-BM187,1)),"n/p")</f>
        <v/>
      </c>
      <c r="BN188" s="189">
        <f>IF(ISNUMBER(BN187),IF(ABS(BN186-BN187)&lt;=1,0,ROUND(BN186-BN187,1)),"n/p")</f>
        <v/>
      </c>
      <c r="BO188" s="189">
        <f>IF(ISNUMBER(BO187),IF(ABS(BO186-BO187)&lt;=1,0,ROUND(BO186-BO187,1)),"n/p")</f>
        <v/>
      </c>
      <c r="BP188" s="189">
        <f>IF(ISNUMBER(BP187),IF(ABS(BP186-BP187)&lt;=1,0,ROUND(BP186-BP187,1)),"n/p")</f>
        <v/>
      </c>
      <c r="BQ188" s="189">
        <f>IF(ISNUMBER(BQ187),IF(ABS(BQ186-BQ187)&lt;=1,0,ROUND(BQ186-BQ187,1)),"n/p")</f>
        <v/>
      </c>
      <c r="BR188" s="189">
        <f>IF(ISNUMBER(BR187),IF(ABS(BR186-BR187)&lt;=1,0,ROUND(BR186-BR187,1)),"n/p")</f>
        <v/>
      </c>
      <c r="BS188" s="189">
        <f>IF(ISNUMBER(BS187),IF(ABS(BS186-BS187)&lt;=1,0,ROUND(BS186-BS187,1)),"n/p")</f>
        <v/>
      </c>
      <c r="BT188" s="189">
        <f>IF(ISNUMBER(BT187),IF(ABS(BT186-BT187)&lt;=1,0,ROUND(BT186-BT187,1)),"n/p")</f>
        <v/>
      </c>
      <c r="BU188" s="189">
        <f>IF(ISNUMBER(BU187),IF(ABS(BU186-BU187)&lt;=1,0,ROUND(BU186-BU187,1)),"n/p")</f>
        <v/>
      </c>
      <c r="BV188" s="189">
        <f>IF(ISNUMBER(BV187),IF(ABS(BV186-BV187)&lt;=1,0,ROUND(BV186-BV187,1)),"n/p")</f>
        <v/>
      </c>
      <c r="BW188" s="189">
        <f>IF(ISNUMBER(BW187),IF(ABS(BW186-BW187)&lt;=1,0,ROUND(BW186-BW187,1)),"n/p")</f>
        <v/>
      </c>
      <c r="BX188" s="189">
        <f>IF(ISNUMBER(BX187),IF(ABS(BX186-BX187)&lt;=1,0,ROUND(BX186-BX187,1)),"n/p")</f>
        <v/>
      </c>
      <c r="BY188" s="6" t="n"/>
      <c r="BZ188" s="6" t="n"/>
      <c r="CA188" s="6" t="n"/>
      <c r="CB188" s="6" t="n"/>
      <c r="CC188" s="6" t="n"/>
      <c r="CD188" s="6" t="n"/>
      <c r="CE188" s="6" t="n"/>
      <c r="CF188" s="6" t="n"/>
    </row>
    <row r="189" ht="15" customHeight="1">
      <c r="B189" s="26" t="inlineStr">
        <is>
          <t xml:space="preserve">  (+) Restructuring &amp; portfolio optimization costs</t>
        </is>
      </c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174" t="n">
        <v>58.9</v>
      </c>
      <c r="AO189" s="174" t="n">
        <v>31.4</v>
      </c>
      <c r="AP189" s="174" t="n">
        <v>68.5</v>
      </c>
      <c r="AQ189" s="174" t="n">
        <v>71</v>
      </c>
      <c r="AR189" s="174" t="n">
        <v>229.8</v>
      </c>
      <c r="AS189" s="174" t="n">
        <v>16.9</v>
      </c>
      <c r="AT189" s="174" t="n">
        <v>30.6</v>
      </c>
      <c r="AU189" s="174" t="n">
        <v>16.4</v>
      </c>
      <c r="AV189" s="174" t="n">
        <v>51.4</v>
      </c>
      <c r="AW189" s="174" t="n">
        <v>115.3</v>
      </c>
      <c r="AX189" s="174" t="n">
        <v>15.5</v>
      </c>
      <c r="AY189" s="174" t="n">
        <v>29.6</v>
      </c>
      <c r="AZ189" s="174" t="n">
        <v>35.1</v>
      </c>
      <c r="BA189" s="174" t="n">
        <v>-2</v>
      </c>
      <c r="BB189" s="174" t="n">
        <v>78</v>
      </c>
      <c r="BC189" s="174" t="n">
        <v>7</v>
      </c>
      <c r="BD189" s="174" t="n">
        <v>4</v>
      </c>
      <c r="BE189" s="174" t="n">
        <v>9</v>
      </c>
      <c r="BF189" s="174" t="n">
        <v>32</v>
      </c>
      <c r="BG189" s="174" t="n">
        <v>52</v>
      </c>
      <c r="BH189" s="174" t="n">
        <v>9</v>
      </c>
      <c r="BI189" s="174" t="n">
        <v>10</v>
      </c>
      <c r="BJ189" s="174" t="n">
        <v>13</v>
      </c>
      <c r="BK189" s="174" t="n">
        <v>47</v>
      </c>
      <c r="BL189" s="174" t="n">
        <v>79</v>
      </c>
      <c r="BM189" s="174" t="n">
        <v>10</v>
      </c>
      <c r="BN189" s="174" t="n">
        <v>10</v>
      </c>
      <c r="BO189" s="174" t="n">
        <v>18</v>
      </c>
      <c r="BP189" s="174" t="n">
        <v>32</v>
      </c>
      <c r="BQ189" s="174" t="n">
        <v>70</v>
      </c>
      <c r="BR189" s="174" t="n">
        <v>9</v>
      </c>
      <c r="BS189" s="174" t="n">
        <v>6</v>
      </c>
      <c r="BT189" s="174" t="n">
        <v>6</v>
      </c>
      <c r="BU189" s="174" t="n">
        <v>55</v>
      </c>
      <c r="BV189" s="174" t="n">
        <v>76</v>
      </c>
      <c r="BW189" s="174" t="n">
        <v>5</v>
      </c>
      <c r="BX189" s="174" t="n">
        <v>0</v>
      </c>
      <c r="BY189" s="178">
        <f>BY206</f>
        <v/>
      </c>
      <c r="BZ189" s="178">
        <f>BZ206</f>
        <v/>
      </c>
      <c r="CA189" s="178">
        <f>SUM(BW189,BX189,BY189,BZ189)</f>
        <v/>
      </c>
      <c r="CB189" s="178">
        <f>CB206</f>
        <v/>
      </c>
      <c r="CC189" s="178">
        <f>CC206</f>
        <v/>
      </c>
      <c r="CD189" s="178">
        <f>CD206</f>
        <v/>
      </c>
      <c r="CE189" s="178">
        <f>CE206</f>
        <v/>
      </c>
      <c r="CF189" s="20" t="n"/>
    </row>
    <row r="190" ht="15" customHeight="1">
      <c r="B190" s="26" t="inlineStr">
        <is>
          <t xml:space="preserve">  (+) Inventory purchase-accounting charge</t>
        </is>
      </c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174" t="n">
        <v>80</v>
      </c>
      <c r="AO190" s="174" t="n">
        <v>89</v>
      </c>
      <c r="AP190" s="174" t="n">
        <v>16</v>
      </c>
      <c r="AQ190" s="174" t="n">
        <v>0</v>
      </c>
      <c r="AR190" s="174" t="n">
        <v>185</v>
      </c>
      <c r="AS190" s="174" t="n">
        <v>0</v>
      </c>
      <c r="AT190" s="174" t="n">
        <v>0</v>
      </c>
      <c r="AU190" s="174" t="n">
        <v>0</v>
      </c>
      <c r="AV190" s="174" t="n">
        <v>0</v>
      </c>
      <c r="AW190" s="174" t="n">
        <v>0</v>
      </c>
      <c r="AX190" s="174" t="n">
        <v>0</v>
      </c>
      <c r="AY190" s="174" t="n">
        <v>0</v>
      </c>
      <c r="AZ190" s="174" t="n">
        <v>0</v>
      </c>
      <c r="BA190" s="174" t="n">
        <v>0</v>
      </c>
      <c r="BB190" s="174" t="n">
        <v>0</v>
      </c>
      <c r="BC190" s="174" t="n">
        <v>0</v>
      </c>
      <c r="BD190" s="174" t="n">
        <v>0</v>
      </c>
      <c r="BE190" s="174" t="n">
        <v>0</v>
      </c>
      <c r="BF190" s="174" t="n">
        <v>0</v>
      </c>
      <c r="BG190" s="174" t="n">
        <v>0</v>
      </c>
      <c r="BH190" s="174" t="n">
        <v>0</v>
      </c>
      <c r="BI190" s="174" t="n">
        <v>0</v>
      </c>
      <c r="BJ190" s="174" t="n">
        <v>0</v>
      </c>
      <c r="BK190" s="174" t="n">
        <v>0</v>
      </c>
      <c r="BL190" s="174" t="n">
        <v>0</v>
      </c>
      <c r="BM190" s="174" t="n">
        <v>0</v>
      </c>
      <c r="BN190" s="174" t="n">
        <v>0</v>
      </c>
      <c r="BO190" s="174" t="n">
        <v>0</v>
      </c>
      <c r="BP190" s="174" t="n">
        <v>0</v>
      </c>
      <c r="BQ190" s="174" t="n">
        <v>0</v>
      </c>
      <c r="BR190" s="174" t="n">
        <v>0</v>
      </c>
      <c r="BS190" s="174" t="n">
        <v>0</v>
      </c>
      <c r="BT190" s="174" t="n">
        <v>24</v>
      </c>
      <c r="BU190" s="174" t="n">
        <v>29</v>
      </c>
      <c r="BV190" s="174" t="n">
        <v>53</v>
      </c>
      <c r="BW190" s="174" t="n">
        <v>23</v>
      </c>
      <c r="BX190" s="174" t="n">
        <v>5</v>
      </c>
      <c r="BY190" s="178">
        <f>BY207</f>
        <v/>
      </c>
      <c r="BZ190" s="178">
        <f>BZ207</f>
        <v/>
      </c>
      <c r="CA190" s="178">
        <f>SUM(BW190,BX190,BY190,BZ190)</f>
        <v/>
      </c>
      <c r="CB190" s="178">
        <f>CB207</f>
        <v/>
      </c>
      <c r="CC190" s="178">
        <f>CC207</f>
        <v/>
      </c>
      <c r="CD190" s="178">
        <f>CD207</f>
        <v/>
      </c>
      <c r="CE190" s="178">
        <f>CE207</f>
        <v/>
      </c>
      <c r="CF190" s="20" t="n"/>
    </row>
    <row r="191" ht="15" customHeight="1">
      <c r="B191" s="26" t="inlineStr">
        <is>
          <t xml:space="preserve">  (+) Transaction costs</t>
        </is>
      </c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174" t="n">
        <v>0</v>
      </c>
      <c r="AO191" s="174" t="n">
        <v>0</v>
      </c>
      <c r="AP191" s="174" t="n">
        <v>0</v>
      </c>
      <c r="AQ191" s="174" t="n">
        <v>0</v>
      </c>
      <c r="AR191" s="174" t="n">
        <v>0</v>
      </c>
      <c r="AS191" s="174" t="n">
        <v>0</v>
      </c>
      <c r="AT191" s="174" t="n">
        <v>0</v>
      </c>
      <c r="AU191" s="174" t="n">
        <v>0</v>
      </c>
      <c r="AV191" s="174" t="n">
        <v>0</v>
      </c>
      <c r="AW191" s="174" t="n">
        <v>0</v>
      </c>
      <c r="AX191" s="174" t="n">
        <v>0</v>
      </c>
      <c r="AY191" s="174" t="n">
        <v>0</v>
      </c>
      <c r="AZ191" s="174" t="n">
        <v>0</v>
      </c>
      <c r="BA191" s="174" t="n">
        <v>0</v>
      </c>
      <c r="BB191" s="174" t="n">
        <v>0</v>
      </c>
      <c r="BC191" s="174" t="n">
        <v>0</v>
      </c>
      <c r="BD191" s="174" t="n">
        <v>0</v>
      </c>
      <c r="BE191" s="174" t="n">
        <v>0</v>
      </c>
      <c r="BF191" s="174" t="n">
        <v>0</v>
      </c>
      <c r="BG191" s="174" t="n">
        <v>0</v>
      </c>
      <c r="BH191" s="174" t="n">
        <v>0</v>
      </c>
      <c r="BI191" s="174" t="n">
        <v>0</v>
      </c>
      <c r="BJ191" s="174" t="n">
        <v>0</v>
      </c>
      <c r="BK191" s="174" t="n">
        <v>0</v>
      </c>
      <c r="BL191" s="174" t="n">
        <v>0</v>
      </c>
      <c r="BM191" s="174" t="n">
        <v>0</v>
      </c>
      <c r="BN191" s="174" t="n">
        <v>0</v>
      </c>
      <c r="BO191" s="174" t="n">
        <v>0</v>
      </c>
      <c r="BP191" s="174" t="n">
        <v>0</v>
      </c>
      <c r="BQ191" s="174" t="n">
        <v>0</v>
      </c>
      <c r="BR191" s="174" t="n">
        <v>10</v>
      </c>
      <c r="BS191" s="174" t="n">
        <v>25</v>
      </c>
      <c r="BT191" s="174" t="n">
        <v>9</v>
      </c>
      <c r="BU191" s="174" t="n">
        <v>5</v>
      </c>
      <c r="BV191" s="174" t="n">
        <v>49</v>
      </c>
      <c r="BW191" s="174" t="n">
        <v>13</v>
      </c>
      <c r="BX191" s="174" t="n">
        <v>1</v>
      </c>
      <c r="BY191" s="178">
        <f>BY208</f>
        <v/>
      </c>
      <c r="BZ191" s="178">
        <f>BZ208</f>
        <v/>
      </c>
      <c r="CA191" s="178">
        <f>SUM(BW191,BX191,BY191,BZ191)</f>
        <v/>
      </c>
      <c r="CB191" s="178">
        <f>CB208</f>
        <v/>
      </c>
      <c r="CC191" s="178">
        <f>CC208</f>
        <v/>
      </c>
      <c r="CD191" s="178">
        <f>CD208</f>
        <v/>
      </c>
      <c r="CE191" s="178">
        <f>CE208</f>
        <v/>
      </c>
      <c r="CF191" s="20" t="n"/>
    </row>
    <row r="192" ht="15" customHeight="1">
      <c r="B192" s="26" t="inlineStr">
        <is>
          <t xml:space="preserve">  (+/−) Other items / definitional differences (company bridge)</t>
        </is>
      </c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174" t="n">
        <v>14</v>
      </c>
      <c r="AO192" s="174" t="n">
        <v>-1</v>
      </c>
      <c r="AP192" s="174" t="n">
        <v>63</v>
      </c>
      <c r="AQ192" s="174" t="n">
        <v>15.6</v>
      </c>
      <c r="AR192" s="174" t="n">
        <v>91.59999999999999</v>
      </c>
      <c r="AS192" s="174" t="n">
        <v>0</v>
      </c>
      <c r="AT192" s="174" t="n">
        <v>0</v>
      </c>
      <c r="AU192" s="174" t="n">
        <v>0</v>
      </c>
      <c r="AV192" s="174" t="n">
        <v>0</v>
      </c>
      <c r="AW192" s="174" t="n">
        <v>0</v>
      </c>
      <c r="AX192" s="174" t="n">
        <v>0</v>
      </c>
      <c r="AY192" s="174" t="n">
        <v>0</v>
      </c>
      <c r="AZ192" s="174" t="n">
        <v>0</v>
      </c>
      <c r="BA192" s="174" t="n">
        <v>0</v>
      </c>
      <c r="BB192" s="174" t="n">
        <v>0</v>
      </c>
      <c r="BC192" s="174" t="n">
        <v>0</v>
      </c>
      <c r="BD192" s="174" t="n">
        <v>0</v>
      </c>
      <c r="BE192" s="174" t="n">
        <v>0</v>
      </c>
      <c r="BF192" s="174" t="n">
        <v>-3</v>
      </c>
      <c r="BG192" s="174" t="n">
        <v>-3</v>
      </c>
      <c r="BH192" s="174" t="n">
        <v>-3</v>
      </c>
      <c r="BI192" s="174" t="n">
        <v>-2</v>
      </c>
      <c r="BJ192" s="174" t="n">
        <v>-3</v>
      </c>
      <c r="BK192" s="174" t="n">
        <v>-65</v>
      </c>
      <c r="BL192" s="174" t="n">
        <v>-73</v>
      </c>
      <c r="BM192" s="174" t="n">
        <v>-2</v>
      </c>
      <c r="BN192" s="174" t="n">
        <v>-5</v>
      </c>
      <c r="BO192" s="174" t="n">
        <v>-14</v>
      </c>
      <c r="BP192" s="174" t="n">
        <v>-10</v>
      </c>
      <c r="BQ192" s="174" t="n">
        <v>-31</v>
      </c>
      <c r="BR192" s="174" t="n">
        <v>-2</v>
      </c>
      <c r="BS192" s="174" t="n">
        <v>-34</v>
      </c>
      <c r="BT192" s="174" t="n">
        <v>2</v>
      </c>
      <c r="BU192" s="174" t="n">
        <v>9</v>
      </c>
      <c r="BV192" s="174" t="n">
        <v>-25</v>
      </c>
      <c r="BW192" s="174" t="n">
        <v>-2</v>
      </c>
      <c r="BX192" s="174" t="n">
        <v>0</v>
      </c>
      <c r="BY192" s="188" t="n">
        <v>0</v>
      </c>
      <c r="BZ192" s="188" t="n">
        <v>0</v>
      </c>
      <c r="CA192" s="178">
        <f>SUM(BW192,BX192,BY192,BZ192)</f>
        <v/>
      </c>
      <c r="CB192" s="188" t="n">
        <v>0</v>
      </c>
      <c r="CC192" s="188" t="n">
        <v>0</v>
      </c>
      <c r="CD192" s="188" t="n">
        <v>0</v>
      </c>
      <c r="CE192" s="188" t="n">
        <v>0</v>
      </c>
      <c r="CF192" s="20" t="n"/>
    </row>
    <row r="193" ht="15" customHeight="1">
      <c r="B193" s="17" t="inlineStr">
        <is>
          <t xml:space="preserve">  Total adjusting items</t>
        </is>
      </c>
      <c r="C193" s="198">
        <f>N(C189)+N(C190)+N(C191)+N(C192)</f>
        <v/>
      </c>
      <c r="D193" s="198">
        <f>N(D189)+N(D190)+N(D191)+N(D192)</f>
        <v/>
      </c>
      <c r="E193" s="198">
        <f>N(E189)+N(E190)+N(E191)+N(E192)</f>
        <v/>
      </c>
      <c r="F193" s="198">
        <f>N(F189)+N(F190)+N(F191)+N(F192)</f>
        <v/>
      </c>
      <c r="G193" s="198">
        <f>N(G189)+N(G190)+N(G191)+N(G192)</f>
        <v/>
      </c>
      <c r="H193" s="198">
        <f>N(H189)+N(H190)+N(H191)+N(H192)</f>
        <v/>
      </c>
      <c r="I193" s="198">
        <f>N(I189)+N(I190)+N(I191)+N(I192)</f>
        <v/>
      </c>
      <c r="J193" s="198">
        <f>N(J189)+N(J190)+N(J191)+N(J192)</f>
        <v/>
      </c>
      <c r="K193" s="198">
        <f>N(K189)+N(K190)+N(K191)+N(K192)</f>
        <v/>
      </c>
      <c r="L193" s="198">
        <f>N(L189)+N(L190)+N(L191)+N(L192)</f>
        <v/>
      </c>
      <c r="M193" s="198">
        <f>N(M189)+N(M190)+N(M191)+N(M192)</f>
        <v/>
      </c>
      <c r="N193" s="198">
        <f>N(N189)+N(N190)+N(N191)+N(N192)</f>
        <v/>
      </c>
      <c r="O193" s="198">
        <f>N(O189)+N(O190)+N(O191)+N(O192)</f>
        <v/>
      </c>
      <c r="P193" s="198">
        <f>N(P189)+N(P190)+N(P191)+N(P192)</f>
        <v/>
      </c>
      <c r="Q193" s="198">
        <f>N(Q189)+N(Q190)+N(Q191)+N(Q192)</f>
        <v/>
      </c>
      <c r="R193" s="198">
        <f>N(R189)+N(R190)+N(R191)+N(R192)</f>
        <v/>
      </c>
      <c r="S193" s="198">
        <f>N(S189)+N(S190)+N(S191)+N(S192)</f>
        <v/>
      </c>
      <c r="T193" s="198">
        <f>N(T189)+N(T190)+N(T191)+N(T192)</f>
        <v/>
      </c>
      <c r="U193" s="198">
        <f>N(U189)+N(U190)+N(U191)+N(U192)</f>
        <v/>
      </c>
      <c r="V193" s="198">
        <f>N(V189)+N(V190)+N(V191)+N(V192)</f>
        <v/>
      </c>
      <c r="W193" s="198">
        <f>N(W189)+N(W190)+N(W191)+N(W192)</f>
        <v/>
      </c>
      <c r="X193" s="198">
        <f>N(X189)+N(X190)+N(X191)+N(X192)</f>
        <v/>
      </c>
      <c r="Y193" s="198">
        <f>N(Y189)+N(Y190)+N(Y191)+N(Y192)</f>
        <v/>
      </c>
      <c r="Z193" s="198">
        <f>N(Z189)+N(Z190)+N(Z191)+N(Z192)</f>
        <v/>
      </c>
      <c r="AA193" s="198">
        <f>N(AA189)+N(AA190)+N(AA191)+N(AA192)</f>
        <v/>
      </c>
      <c r="AB193" s="198">
        <f>N(AB189)+N(AB190)+N(AB191)+N(AB192)</f>
        <v/>
      </c>
      <c r="AC193" s="198">
        <f>N(AC189)+N(AC190)+N(AC191)+N(AC192)</f>
        <v/>
      </c>
      <c r="AD193" s="198">
        <f>N(AD189)+N(AD190)+N(AD191)+N(AD192)</f>
        <v/>
      </c>
      <c r="AE193" s="198">
        <f>N(AE189)+N(AE190)+N(AE191)+N(AE192)</f>
        <v/>
      </c>
      <c r="AF193" s="198">
        <f>N(AF189)+N(AF190)+N(AF191)+N(AF192)</f>
        <v/>
      </c>
      <c r="AG193" s="198">
        <f>N(AG189)+N(AG190)+N(AG191)+N(AG192)</f>
        <v/>
      </c>
      <c r="AH193" s="198">
        <f>N(AH189)+N(AH190)+N(AH191)+N(AH192)</f>
        <v/>
      </c>
      <c r="AI193" s="198">
        <f>N(AI189)+N(AI190)+N(AI191)+N(AI192)</f>
        <v/>
      </c>
      <c r="AJ193" s="198">
        <f>N(AJ189)+N(AJ190)+N(AJ191)+N(AJ192)</f>
        <v/>
      </c>
      <c r="AK193" s="198">
        <f>N(AK189)+N(AK190)+N(AK191)+N(AK192)</f>
        <v/>
      </c>
      <c r="AL193" s="198">
        <f>N(AL189)+N(AL190)+N(AL191)+N(AL192)</f>
        <v/>
      </c>
      <c r="AM193" s="198">
        <f>N(AM189)+N(AM190)+N(AM191)+N(AM192)</f>
        <v/>
      </c>
      <c r="AN193" s="198">
        <f>N(AN189)+N(AN190)+N(AN191)+N(AN192)</f>
        <v/>
      </c>
      <c r="AO193" s="198">
        <f>N(AO189)+N(AO190)+N(AO191)+N(AO192)</f>
        <v/>
      </c>
      <c r="AP193" s="198">
        <f>N(AP189)+N(AP190)+N(AP191)+N(AP192)</f>
        <v/>
      </c>
      <c r="AQ193" s="198">
        <f>N(AQ189)+N(AQ190)+N(AQ191)+N(AQ192)</f>
        <v/>
      </c>
      <c r="AR193" s="198">
        <f>N(AR189)+N(AR190)+N(AR191)+N(AR192)</f>
        <v/>
      </c>
      <c r="AS193" s="198">
        <f>N(AS189)+N(AS190)+N(AS191)+N(AS192)</f>
        <v/>
      </c>
      <c r="AT193" s="198">
        <f>N(AT189)+N(AT190)+N(AT191)+N(AT192)</f>
        <v/>
      </c>
      <c r="AU193" s="198">
        <f>N(AU189)+N(AU190)+N(AU191)+N(AU192)</f>
        <v/>
      </c>
      <c r="AV193" s="198">
        <f>N(AV189)+N(AV190)+N(AV191)+N(AV192)</f>
        <v/>
      </c>
      <c r="AW193" s="198">
        <f>N(AW189)+N(AW190)+N(AW191)+N(AW192)</f>
        <v/>
      </c>
      <c r="AX193" s="198">
        <f>N(AX189)+N(AX190)+N(AX191)+N(AX192)</f>
        <v/>
      </c>
      <c r="AY193" s="198">
        <f>N(AY189)+N(AY190)+N(AY191)+N(AY192)</f>
        <v/>
      </c>
      <c r="AZ193" s="198">
        <f>N(AZ189)+N(AZ190)+N(AZ191)+N(AZ192)</f>
        <v/>
      </c>
      <c r="BA193" s="198">
        <f>N(BA189)+N(BA190)+N(BA191)+N(BA192)</f>
        <v/>
      </c>
      <c r="BB193" s="198">
        <f>N(BB189)+N(BB190)+N(BB191)+N(BB192)</f>
        <v/>
      </c>
      <c r="BC193" s="198">
        <f>N(BC189)+N(BC190)+N(BC191)+N(BC192)</f>
        <v/>
      </c>
      <c r="BD193" s="198">
        <f>N(BD189)+N(BD190)+N(BD191)+N(BD192)</f>
        <v/>
      </c>
      <c r="BE193" s="198">
        <f>N(BE189)+N(BE190)+N(BE191)+N(BE192)</f>
        <v/>
      </c>
      <c r="BF193" s="198">
        <f>N(BF189)+N(BF190)+N(BF191)+N(BF192)</f>
        <v/>
      </c>
      <c r="BG193" s="198">
        <f>N(BG189)+N(BG190)+N(BG191)+N(BG192)</f>
        <v/>
      </c>
      <c r="BH193" s="198">
        <f>N(BH189)+N(BH190)+N(BH191)+N(BH192)</f>
        <v/>
      </c>
      <c r="BI193" s="198">
        <f>N(BI189)+N(BI190)+N(BI191)+N(BI192)</f>
        <v/>
      </c>
      <c r="BJ193" s="198">
        <f>N(BJ189)+N(BJ190)+N(BJ191)+N(BJ192)</f>
        <v/>
      </c>
      <c r="BK193" s="198">
        <f>N(BK189)+N(BK190)+N(BK191)+N(BK192)</f>
        <v/>
      </c>
      <c r="BL193" s="198">
        <f>N(BL189)+N(BL190)+N(BL191)+N(BL192)</f>
        <v/>
      </c>
      <c r="BM193" s="198">
        <f>N(BM189)+N(BM190)+N(BM191)+N(BM192)</f>
        <v/>
      </c>
      <c r="BN193" s="198">
        <f>N(BN189)+N(BN190)+N(BN191)+N(BN192)</f>
        <v/>
      </c>
      <c r="BO193" s="198">
        <f>N(BO189)+N(BO190)+N(BO191)+N(BO192)</f>
        <v/>
      </c>
      <c r="BP193" s="198">
        <f>N(BP189)+N(BP190)+N(BP191)+N(BP192)</f>
        <v/>
      </c>
      <c r="BQ193" s="198">
        <f>N(BQ189)+N(BQ190)+N(BQ191)+N(BQ192)</f>
        <v/>
      </c>
      <c r="BR193" s="198">
        <f>N(BR189)+N(BR190)+N(BR191)+N(BR192)</f>
        <v/>
      </c>
      <c r="BS193" s="198">
        <f>N(BS189)+N(BS190)+N(BS191)+N(BS192)</f>
        <v/>
      </c>
      <c r="BT193" s="198">
        <f>N(BT189)+N(BT190)+N(BT191)+N(BT192)</f>
        <v/>
      </c>
      <c r="BU193" s="198">
        <f>N(BU189)+N(BU190)+N(BU191)+N(BU192)</f>
        <v/>
      </c>
      <c r="BV193" s="198">
        <f>N(BV189)+N(BV190)+N(BV191)+N(BV192)</f>
        <v/>
      </c>
      <c r="BW193" s="198">
        <f>N(BW189)+N(BW190)+N(BW191)+N(BW192)</f>
        <v/>
      </c>
      <c r="BX193" s="198">
        <f>N(BX189)+N(BX190)+N(BX191)+N(BX192)</f>
        <v/>
      </c>
      <c r="BY193" s="185">
        <f>N(BY189)+N(BY190)+N(BY191)+N(BY192)</f>
        <v/>
      </c>
      <c r="BZ193" s="185">
        <f>N(BZ189)+N(BZ190)+N(BZ191)+N(BZ192)</f>
        <v/>
      </c>
      <c r="CA193" s="185">
        <f>N(CA189)+N(CA190)+N(CA191)+N(CA192)</f>
        <v/>
      </c>
      <c r="CB193" s="185">
        <f>N(CB189)+N(CB190)+N(CB191)+N(CB192)</f>
        <v/>
      </c>
      <c r="CC193" s="185">
        <f>N(CC189)+N(CC190)+N(CC191)+N(CC192)</f>
        <v/>
      </c>
      <c r="CD193" s="185">
        <f>N(CD189)+N(CD190)+N(CD191)+N(CD192)</f>
        <v/>
      </c>
      <c r="CE193" s="185">
        <f>N(CE189)+N(CE190)+N(CE191)+N(CE192)</f>
        <v/>
      </c>
      <c r="CF193" s="6" t="n"/>
    </row>
    <row r="194" ht="15" customHeight="1">
      <c r="B194" s="59" t="inlineStr">
        <is>
          <t xml:space="preserve">  = Adjusted EBITDA (model bridge)</t>
        </is>
      </c>
      <c r="C194" s="193">
        <f>IF(ISNUMBER(C196),C186+C193,"")</f>
        <v/>
      </c>
      <c r="D194" s="193">
        <f>IF(ISNUMBER(D196),D186+D193,"")</f>
        <v/>
      </c>
      <c r="E194" s="193">
        <f>IF(ISNUMBER(E196),E186+E193,"")</f>
        <v/>
      </c>
      <c r="F194" s="193">
        <f>IF(ISNUMBER(F196),F186+F193,"")</f>
        <v/>
      </c>
      <c r="G194" s="193">
        <f>IF(ISNUMBER(G196),G186+G193,"")</f>
        <v/>
      </c>
      <c r="H194" s="193">
        <f>IF(ISNUMBER(H196),H186+H193,"")</f>
        <v/>
      </c>
      <c r="I194" s="193">
        <f>IF(ISNUMBER(I196),I186+I193,"")</f>
        <v/>
      </c>
      <c r="J194" s="193">
        <f>IF(ISNUMBER(J196),J186+J193,"")</f>
        <v/>
      </c>
      <c r="K194" s="193">
        <f>IF(ISNUMBER(K196),K186+K193,"")</f>
        <v/>
      </c>
      <c r="L194" s="193">
        <f>IF(ISNUMBER(L196),L186+L193,"")</f>
        <v/>
      </c>
      <c r="M194" s="193">
        <f>IF(ISNUMBER(M196),M186+M193,"")</f>
        <v/>
      </c>
      <c r="N194" s="193">
        <f>IF(ISNUMBER(N196),N186+N193,"")</f>
        <v/>
      </c>
      <c r="O194" s="193">
        <f>IF(ISNUMBER(O196),O186+O193,"")</f>
        <v/>
      </c>
      <c r="P194" s="193">
        <f>IF(ISNUMBER(P196),P186+P193,"")</f>
        <v/>
      </c>
      <c r="Q194" s="193">
        <f>IF(ISNUMBER(Q196),Q186+Q193,"")</f>
        <v/>
      </c>
      <c r="R194" s="193">
        <f>IF(ISNUMBER(R196),R186+R193,"")</f>
        <v/>
      </c>
      <c r="S194" s="193">
        <f>IF(ISNUMBER(S196),S186+S193,"")</f>
        <v/>
      </c>
      <c r="T194" s="193">
        <f>IF(ISNUMBER(T196),T186+T193,"")</f>
        <v/>
      </c>
      <c r="U194" s="193">
        <f>IF(ISNUMBER(U196),U186+U193,"")</f>
        <v/>
      </c>
      <c r="V194" s="193">
        <f>IF(ISNUMBER(V196),V186+V193,"")</f>
        <v/>
      </c>
      <c r="W194" s="193">
        <f>IF(ISNUMBER(W196),W186+W193,"")</f>
        <v/>
      </c>
      <c r="X194" s="193">
        <f>IF(ISNUMBER(X196),X186+X193,"")</f>
        <v/>
      </c>
      <c r="Y194" s="193">
        <f>IF(ISNUMBER(Y196),Y186+Y193,"")</f>
        <v/>
      </c>
      <c r="Z194" s="193">
        <f>IF(ISNUMBER(Z196),Z186+Z193,"")</f>
        <v/>
      </c>
      <c r="AA194" s="193">
        <f>IF(ISNUMBER(AA196),AA186+AA193,"")</f>
        <v/>
      </c>
      <c r="AB194" s="193">
        <f>IF(ISNUMBER(AB196),AB186+AB193,"")</f>
        <v/>
      </c>
      <c r="AC194" s="193">
        <f>IF(ISNUMBER(AC196),AC186+AC193,"")</f>
        <v/>
      </c>
      <c r="AD194" s="193">
        <f>IF(ISNUMBER(AD196),AD186+AD193,"")</f>
        <v/>
      </c>
      <c r="AE194" s="193">
        <f>IF(ISNUMBER(AE196),AE186+AE193,"")</f>
        <v/>
      </c>
      <c r="AF194" s="193">
        <f>IF(ISNUMBER(AF196),AF186+AF193,"")</f>
        <v/>
      </c>
      <c r="AG194" s="193">
        <f>IF(ISNUMBER(AG196),AG186+AG193,"")</f>
        <v/>
      </c>
      <c r="AH194" s="193">
        <f>IF(ISNUMBER(AH196),AH186+AH193,"")</f>
        <v/>
      </c>
      <c r="AI194" s="193">
        <f>IF(ISNUMBER(AI196),AI186+AI193,"")</f>
        <v/>
      </c>
      <c r="AJ194" s="193">
        <f>IF(ISNUMBER(AJ196),AJ186+AJ193,"")</f>
        <v/>
      </c>
      <c r="AK194" s="193">
        <f>IF(ISNUMBER(AK196),AK186+AK193,"")</f>
        <v/>
      </c>
      <c r="AL194" s="193">
        <f>IF(ISNUMBER(AL196),AL186+AL193,"")</f>
        <v/>
      </c>
      <c r="AM194" s="193">
        <f>IF(ISNUMBER(AM196),AM186+AM193,"")</f>
        <v/>
      </c>
      <c r="AN194" s="193">
        <f>IF(ISNUMBER(AN196),AN186+AN193,"")</f>
        <v/>
      </c>
      <c r="AO194" s="193">
        <f>IF(ISNUMBER(AO196),AO186+AO193,"")</f>
        <v/>
      </c>
      <c r="AP194" s="193">
        <f>IF(ISNUMBER(AP196),AP186+AP193,"")</f>
        <v/>
      </c>
      <c r="AQ194" s="193">
        <f>IF(ISNUMBER(AQ196),AQ186+AQ193,"")</f>
        <v/>
      </c>
      <c r="AR194" s="193">
        <f>IF(ISNUMBER(AR196),AR186+AR193,"")</f>
        <v/>
      </c>
      <c r="AS194" s="193">
        <f>IF(ISNUMBER(AS196),AS186+AS193,"")</f>
        <v/>
      </c>
      <c r="AT194" s="193">
        <f>IF(ISNUMBER(AT196),AT186+AT193,"")</f>
        <v/>
      </c>
      <c r="AU194" s="193">
        <f>IF(ISNUMBER(AU196),AU186+AU193,"")</f>
        <v/>
      </c>
      <c r="AV194" s="193">
        <f>IF(ISNUMBER(AV196),AV186+AV193,"")</f>
        <v/>
      </c>
      <c r="AW194" s="193">
        <f>IF(ISNUMBER(AW196),AW186+AW193,"")</f>
        <v/>
      </c>
      <c r="AX194" s="193">
        <f>IF(ISNUMBER(AX196),AX186+AX193,"")</f>
        <v/>
      </c>
      <c r="AY194" s="193">
        <f>IF(ISNUMBER(AY196),AY186+AY193,"")</f>
        <v/>
      </c>
      <c r="AZ194" s="193">
        <f>IF(ISNUMBER(AZ196),AZ186+AZ193,"")</f>
        <v/>
      </c>
      <c r="BA194" s="193">
        <f>IF(ISNUMBER(BA196),BA186+BA193,"")</f>
        <v/>
      </c>
      <c r="BB194" s="193">
        <f>IF(ISNUMBER(BB196),BB186+BB193,"")</f>
        <v/>
      </c>
      <c r="BC194" s="193">
        <f>IF(ISNUMBER(BC196),BC186+BC193,"")</f>
        <v/>
      </c>
      <c r="BD194" s="193">
        <f>IF(ISNUMBER(BD196),BD186+BD193,"")</f>
        <v/>
      </c>
      <c r="BE194" s="193">
        <f>IF(ISNUMBER(BE196),BE186+BE193,"")</f>
        <v/>
      </c>
      <c r="BF194" s="193">
        <f>IF(ISNUMBER(BF196),BF186+BF193,"")</f>
        <v/>
      </c>
      <c r="BG194" s="193">
        <f>IF(ISNUMBER(BG196),BG186+BG193,"")</f>
        <v/>
      </c>
      <c r="BH194" s="193">
        <f>IF(ISNUMBER(BH196),BH186+BH193,"")</f>
        <v/>
      </c>
      <c r="BI194" s="193">
        <f>IF(ISNUMBER(BI196),BI186+BI193,"")</f>
        <v/>
      </c>
      <c r="BJ194" s="193">
        <f>IF(ISNUMBER(BJ196),BJ186+BJ193,"")</f>
        <v/>
      </c>
      <c r="BK194" s="193">
        <f>IF(ISNUMBER(BK196),BK186+BK193,"")</f>
        <v/>
      </c>
      <c r="BL194" s="193">
        <f>IF(ISNUMBER(BL196),BL186+BL193,"")</f>
        <v/>
      </c>
      <c r="BM194" s="193">
        <f>IF(ISNUMBER(BM196),BM186+BM193,"")</f>
        <v/>
      </c>
      <c r="BN194" s="193">
        <f>IF(ISNUMBER(BN196),BN186+BN193,"")</f>
        <v/>
      </c>
      <c r="BO194" s="193">
        <f>IF(ISNUMBER(BO196),BO186+BO193,"")</f>
        <v/>
      </c>
      <c r="BP194" s="193">
        <f>IF(ISNUMBER(BP196),BP186+BP193,"")</f>
        <v/>
      </c>
      <c r="BQ194" s="193">
        <f>IF(ISNUMBER(BQ196),BQ186+BQ193,"")</f>
        <v/>
      </c>
      <c r="BR194" s="193">
        <f>IF(ISNUMBER(BR196),BR186+BR193,"")</f>
        <v/>
      </c>
      <c r="BS194" s="193">
        <f>IF(ISNUMBER(BS196),BS186+BS193,"")</f>
        <v/>
      </c>
      <c r="BT194" s="193">
        <f>IF(ISNUMBER(BT196),BT186+BT193,"")</f>
        <v/>
      </c>
      <c r="BU194" s="193">
        <f>IF(ISNUMBER(BU196),BU186+BU193,"")</f>
        <v/>
      </c>
      <c r="BV194" s="193">
        <f>IF(ISNUMBER(BV196),BV186+BV193,"")</f>
        <v/>
      </c>
      <c r="BW194" s="193">
        <f>IF(ISNUMBER(BW196),BW186+BW193,"")</f>
        <v/>
      </c>
      <c r="BX194" s="193">
        <f>IF(ISNUMBER(BX196),BX186+BX193,"")</f>
        <v/>
      </c>
      <c r="BY194" s="193">
        <f>BY186+BY193</f>
        <v/>
      </c>
      <c r="BZ194" s="193">
        <f>BZ186+BZ193</f>
        <v/>
      </c>
      <c r="CA194" s="193">
        <f>CA186+CA193</f>
        <v/>
      </c>
      <c r="CB194" s="193">
        <f>CB186+CB193</f>
        <v/>
      </c>
      <c r="CC194" s="193">
        <f>CC186+CC193</f>
        <v/>
      </c>
      <c r="CD194" s="193">
        <f>CD186+CD193</f>
        <v/>
      </c>
      <c r="CE194" s="193">
        <f>CE186+CE193</f>
        <v/>
      </c>
      <c r="CF194" s="6" t="inlineStr">
        <is>
          <t>Historical shown only where Wabtec published Adjusted EBITDA (bridge rebuilt from the release reconciliation); forecast = EBITDA + forecast adjusting items (non-cash amortization is inside D&amp;A).</t>
        </is>
      </c>
      <c r="CH194" s="21">
        <f>IFERROR((CE194/BV194)^(1/5)-1,"n/m")</f>
        <v/>
      </c>
      <c r="CI194" s="21">
        <f>IFERROR((BV194/AW194)^(1/5)-1,"n/m")</f>
        <v/>
      </c>
      <c r="CJ194" s="21">
        <f>IFERROR((BV194/X194)^(1/10)-1,"n/m")</f>
        <v/>
      </c>
      <c r="CK194" s="21">
        <f>IFERROR((BV194/C194)^(1/19)-1,"n/m")</f>
        <v/>
      </c>
    </row>
    <row r="195" ht="15" customHeight="1">
      <c r="B195" s="26" t="inlineStr">
        <is>
          <t xml:space="preserve">  Adjusted EBITDA margin %</t>
        </is>
      </c>
      <c r="C195" s="187">
        <f>IF(AND(ISNUMBER(C194),ISNUMBER(C142)),IFERROR(C194/C142,""),"")</f>
        <v/>
      </c>
      <c r="D195" s="187">
        <f>IF(AND(ISNUMBER(D194),ISNUMBER(D142)),IFERROR(D194/D142,""),"")</f>
        <v/>
      </c>
      <c r="E195" s="187">
        <f>IF(AND(ISNUMBER(E194),ISNUMBER(E142)),IFERROR(E194/E142,""),"")</f>
        <v/>
      </c>
      <c r="F195" s="187">
        <f>IF(AND(ISNUMBER(F194),ISNUMBER(F142)),IFERROR(F194/F142,""),"")</f>
        <v/>
      </c>
      <c r="G195" s="187">
        <f>IF(AND(ISNUMBER(G194),ISNUMBER(G142)),IFERROR(G194/G142,""),"")</f>
        <v/>
      </c>
      <c r="H195" s="187">
        <f>IF(AND(ISNUMBER(H194),ISNUMBER(H142)),IFERROR(H194/H142,""),"")</f>
        <v/>
      </c>
      <c r="I195" s="187">
        <f>IF(AND(ISNUMBER(I194),ISNUMBER(I142)),IFERROR(I194/I142,""),"")</f>
        <v/>
      </c>
      <c r="J195" s="187">
        <f>IF(AND(ISNUMBER(J194),ISNUMBER(J142)),IFERROR(J194/J142,""),"")</f>
        <v/>
      </c>
      <c r="K195" s="187">
        <f>IF(AND(ISNUMBER(K194),ISNUMBER(K142)),IFERROR(K194/K142,""),"")</f>
        <v/>
      </c>
      <c r="L195" s="187">
        <f>IF(AND(ISNUMBER(L194),ISNUMBER(L142)),IFERROR(L194/L142,""),"")</f>
        <v/>
      </c>
      <c r="M195" s="187">
        <f>IF(AND(ISNUMBER(M194),ISNUMBER(M142)),IFERROR(M194/M142,""),"")</f>
        <v/>
      </c>
      <c r="N195" s="187">
        <f>IF(AND(ISNUMBER(N194),ISNUMBER(N142)),IFERROR(N194/N142,""),"")</f>
        <v/>
      </c>
      <c r="O195" s="187">
        <f>IF(AND(ISNUMBER(O194),ISNUMBER(O142)),IFERROR(O194/O142,""),"")</f>
        <v/>
      </c>
      <c r="P195" s="187">
        <f>IF(AND(ISNUMBER(P194),ISNUMBER(P142)),IFERROR(P194/P142,""),"")</f>
        <v/>
      </c>
      <c r="Q195" s="187">
        <f>IF(AND(ISNUMBER(Q194),ISNUMBER(Q142)),IFERROR(Q194/Q142,""),"")</f>
        <v/>
      </c>
      <c r="R195" s="187">
        <f>IF(AND(ISNUMBER(R194),ISNUMBER(R142)),IFERROR(R194/R142,""),"")</f>
        <v/>
      </c>
      <c r="S195" s="187">
        <f>IF(AND(ISNUMBER(S194),ISNUMBER(S142)),IFERROR(S194/S142,""),"")</f>
        <v/>
      </c>
      <c r="T195" s="187">
        <f>IF(AND(ISNUMBER(T194),ISNUMBER(T142)),IFERROR(T194/T142,""),"")</f>
        <v/>
      </c>
      <c r="U195" s="187">
        <f>IF(AND(ISNUMBER(U194),ISNUMBER(U142)),IFERROR(U194/U142,""),"")</f>
        <v/>
      </c>
      <c r="V195" s="187">
        <f>IF(AND(ISNUMBER(V194),ISNUMBER(V142)),IFERROR(V194/V142,""),"")</f>
        <v/>
      </c>
      <c r="W195" s="187">
        <f>IF(AND(ISNUMBER(W194),ISNUMBER(W142)),IFERROR(W194/W142,""),"")</f>
        <v/>
      </c>
      <c r="X195" s="187">
        <f>IF(AND(ISNUMBER(X194),ISNUMBER(X142)),IFERROR(X194/X142,""),"")</f>
        <v/>
      </c>
      <c r="Y195" s="187">
        <f>IF(AND(ISNUMBER(Y194),ISNUMBER(Y142)),IFERROR(Y194/Y142,""),"")</f>
        <v/>
      </c>
      <c r="Z195" s="187">
        <f>IF(AND(ISNUMBER(Z194),ISNUMBER(Z142)),IFERROR(Z194/Z142,""),"")</f>
        <v/>
      </c>
      <c r="AA195" s="187">
        <f>IF(AND(ISNUMBER(AA194),ISNUMBER(AA142)),IFERROR(AA194/AA142,""),"")</f>
        <v/>
      </c>
      <c r="AB195" s="187">
        <f>IF(AND(ISNUMBER(AB194),ISNUMBER(AB142)),IFERROR(AB194/AB142,""),"")</f>
        <v/>
      </c>
      <c r="AC195" s="187">
        <f>IF(AND(ISNUMBER(AC194),ISNUMBER(AC142)),IFERROR(AC194/AC142,""),"")</f>
        <v/>
      </c>
      <c r="AD195" s="187">
        <f>IF(AND(ISNUMBER(AD194),ISNUMBER(AD142)),IFERROR(AD194/AD142,""),"")</f>
        <v/>
      </c>
      <c r="AE195" s="187">
        <f>IF(AND(ISNUMBER(AE194),ISNUMBER(AE142)),IFERROR(AE194/AE142,""),"")</f>
        <v/>
      </c>
      <c r="AF195" s="187">
        <f>IF(AND(ISNUMBER(AF194),ISNUMBER(AF142)),IFERROR(AF194/AF142,""),"")</f>
        <v/>
      </c>
      <c r="AG195" s="187">
        <f>IF(AND(ISNUMBER(AG194),ISNUMBER(AG142)),IFERROR(AG194/AG142,""),"")</f>
        <v/>
      </c>
      <c r="AH195" s="187">
        <f>IF(AND(ISNUMBER(AH194),ISNUMBER(AH142)),IFERROR(AH194/AH142,""),"")</f>
        <v/>
      </c>
      <c r="AI195" s="187">
        <f>IF(AND(ISNUMBER(AI194),ISNUMBER(AI142)),IFERROR(AI194/AI142,""),"")</f>
        <v/>
      </c>
      <c r="AJ195" s="187">
        <f>IF(AND(ISNUMBER(AJ194),ISNUMBER(AJ142)),IFERROR(AJ194/AJ142,""),"")</f>
        <v/>
      </c>
      <c r="AK195" s="187">
        <f>IF(AND(ISNUMBER(AK194),ISNUMBER(AK142)),IFERROR(AK194/AK142,""),"")</f>
        <v/>
      </c>
      <c r="AL195" s="187">
        <f>IF(AND(ISNUMBER(AL194),ISNUMBER(AL142)),IFERROR(AL194/AL142,""),"")</f>
        <v/>
      </c>
      <c r="AM195" s="187">
        <f>IF(AND(ISNUMBER(AM194),ISNUMBER(AM142)),IFERROR(AM194/AM142,""),"")</f>
        <v/>
      </c>
      <c r="AN195" s="187">
        <f>IF(AND(ISNUMBER(AN194),ISNUMBER(AN142)),IFERROR(AN194/AN142,""),"")</f>
        <v/>
      </c>
      <c r="AO195" s="187">
        <f>IF(AND(ISNUMBER(AO194),ISNUMBER(AO142)),IFERROR(AO194/AO142,""),"")</f>
        <v/>
      </c>
      <c r="AP195" s="187">
        <f>IF(AND(ISNUMBER(AP194),ISNUMBER(AP142)),IFERROR(AP194/AP142,""),"")</f>
        <v/>
      </c>
      <c r="AQ195" s="187">
        <f>IF(AND(ISNUMBER(AQ194),ISNUMBER(AQ142)),IFERROR(AQ194/AQ142,""),"")</f>
        <v/>
      </c>
      <c r="AR195" s="187">
        <f>IF(AND(ISNUMBER(AR194),ISNUMBER(AR142)),IFERROR(AR194/AR142,""),"")</f>
        <v/>
      </c>
      <c r="AS195" s="187">
        <f>IF(AND(ISNUMBER(AS194),ISNUMBER(AS142)),IFERROR(AS194/AS142,""),"")</f>
        <v/>
      </c>
      <c r="AT195" s="187">
        <f>IF(AND(ISNUMBER(AT194),ISNUMBER(AT142)),IFERROR(AT194/AT142,""),"")</f>
        <v/>
      </c>
      <c r="AU195" s="187">
        <f>IF(AND(ISNUMBER(AU194),ISNUMBER(AU142)),IFERROR(AU194/AU142,""),"")</f>
        <v/>
      </c>
      <c r="AV195" s="187">
        <f>IF(AND(ISNUMBER(AV194),ISNUMBER(AV142)),IFERROR(AV194/AV142,""),"")</f>
        <v/>
      </c>
      <c r="AW195" s="187">
        <f>IF(AND(ISNUMBER(AW194),ISNUMBER(AW142)),IFERROR(AW194/AW142,""),"")</f>
        <v/>
      </c>
      <c r="AX195" s="187">
        <f>IF(AND(ISNUMBER(AX194),ISNUMBER(AX142)),IFERROR(AX194/AX142,""),"")</f>
        <v/>
      </c>
      <c r="AY195" s="187">
        <f>IF(AND(ISNUMBER(AY194),ISNUMBER(AY142)),IFERROR(AY194/AY142,""),"")</f>
        <v/>
      </c>
      <c r="AZ195" s="187">
        <f>IF(AND(ISNUMBER(AZ194),ISNUMBER(AZ142)),IFERROR(AZ194/AZ142,""),"")</f>
        <v/>
      </c>
      <c r="BA195" s="187">
        <f>IF(AND(ISNUMBER(BA194),ISNUMBER(BA142)),IFERROR(BA194/BA142,""),"")</f>
        <v/>
      </c>
      <c r="BB195" s="187">
        <f>IF(AND(ISNUMBER(BB194),ISNUMBER(BB142)),IFERROR(BB194/BB142,""),"")</f>
        <v/>
      </c>
      <c r="BC195" s="187">
        <f>IF(AND(ISNUMBER(BC194),ISNUMBER(BC142)),IFERROR(BC194/BC142,""),"")</f>
        <v/>
      </c>
      <c r="BD195" s="187">
        <f>IF(AND(ISNUMBER(BD194),ISNUMBER(BD142)),IFERROR(BD194/BD142,""),"")</f>
        <v/>
      </c>
      <c r="BE195" s="187">
        <f>IF(AND(ISNUMBER(BE194),ISNUMBER(BE142)),IFERROR(BE194/BE142,""),"")</f>
        <v/>
      </c>
      <c r="BF195" s="187">
        <f>IF(AND(ISNUMBER(BF194),ISNUMBER(BF142)),IFERROR(BF194/BF142,""),"")</f>
        <v/>
      </c>
      <c r="BG195" s="187">
        <f>IF(AND(ISNUMBER(BG194),ISNUMBER(BG142)),IFERROR(BG194/BG142,""),"")</f>
        <v/>
      </c>
      <c r="BH195" s="187">
        <f>IF(AND(ISNUMBER(BH194),ISNUMBER(BH142)),IFERROR(BH194/BH142,""),"")</f>
        <v/>
      </c>
      <c r="BI195" s="187">
        <f>IF(AND(ISNUMBER(BI194),ISNUMBER(BI142)),IFERROR(BI194/BI142,""),"")</f>
        <v/>
      </c>
      <c r="BJ195" s="187">
        <f>IF(AND(ISNUMBER(BJ194),ISNUMBER(BJ142)),IFERROR(BJ194/BJ142,""),"")</f>
        <v/>
      </c>
      <c r="BK195" s="187">
        <f>IF(AND(ISNUMBER(BK194),ISNUMBER(BK142)),IFERROR(BK194/BK142,""),"")</f>
        <v/>
      </c>
      <c r="BL195" s="187">
        <f>IF(AND(ISNUMBER(BL194),ISNUMBER(BL142)),IFERROR(BL194/BL142,""),"")</f>
        <v/>
      </c>
      <c r="BM195" s="187">
        <f>IF(AND(ISNUMBER(BM194),ISNUMBER(BM142)),IFERROR(BM194/BM142,""),"")</f>
        <v/>
      </c>
      <c r="BN195" s="187">
        <f>IF(AND(ISNUMBER(BN194),ISNUMBER(BN142)),IFERROR(BN194/BN142,""),"")</f>
        <v/>
      </c>
      <c r="BO195" s="187">
        <f>IF(AND(ISNUMBER(BO194),ISNUMBER(BO142)),IFERROR(BO194/BO142,""),"")</f>
        <v/>
      </c>
      <c r="BP195" s="187">
        <f>IF(AND(ISNUMBER(BP194),ISNUMBER(BP142)),IFERROR(BP194/BP142,""),"")</f>
        <v/>
      </c>
      <c r="BQ195" s="187">
        <f>IF(AND(ISNUMBER(BQ194),ISNUMBER(BQ142)),IFERROR(BQ194/BQ142,""),"")</f>
        <v/>
      </c>
      <c r="BR195" s="187">
        <f>IF(AND(ISNUMBER(BR194),ISNUMBER(BR142)),IFERROR(BR194/BR142,""),"")</f>
        <v/>
      </c>
      <c r="BS195" s="187">
        <f>IF(AND(ISNUMBER(BS194),ISNUMBER(BS142)),IFERROR(BS194/BS142,""),"")</f>
        <v/>
      </c>
      <c r="BT195" s="187">
        <f>IF(AND(ISNUMBER(BT194),ISNUMBER(BT142)),IFERROR(BT194/BT142,""),"")</f>
        <v/>
      </c>
      <c r="BU195" s="187">
        <f>IF(AND(ISNUMBER(BU194),ISNUMBER(BU142)),IFERROR(BU194/BU142,""),"")</f>
        <v/>
      </c>
      <c r="BV195" s="187">
        <f>IF(AND(ISNUMBER(BV194),ISNUMBER(BV142)),IFERROR(BV194/BV142,""),"")</f>
        <v/>
      </c>
      <c r="BW195" s="187">
        <f>IF(AND(ISNUMBER(BW194),ISNUMBER(BW142)),IFERROR(BW194/BW142,""),"")</f>
        <v/>
      </c>
      <c r="BX195" s="187">
        <f>IF(AND(ISNUMBER(BX194),ISNUMBER(BX142)),IFERROR(BX194/BX142,""),"")</f>
        <v/>
      </c>
      <c r="BY195" s="180">
        <f>IF(AND(ISNUMBER(BY194),ISNUMBER(BY142)),IFERROR(BY194/BY142,""),"")</f>
        <v/>
      </c>
      <c r="BZ195" s="180">
        <f>IF(AND(ISNUMBER(BZ194),ISNUMBER(BZ142)),IFERROR(BZ194/BZ142,""),"")</f>
        <v/>
      </c>
      <c r="CA195" s="180">
        <f>IF(AND(ISNUMBER(CA194),ISNUMBER(CA142)),IFERROR(CA194/CA142,""),"")</f>
        <v/>
      </c>
      <c r="CB195" s="180">
        <f>IF(AND(ISNUMBER(CB194),ISNUMBER(CB142)),IFERROR(CB194/CB142,""),"")</f>
        <v/>
      </c>
      <c r="CC195" s="180">
        <f>IF(AND(ISNUMBER(CC194),ISNUMBER(CC142)),IFERROR(CC194/CC142,""),"")</f>
        <v/>
      </c>
      <c r="CD195" s="180">
        <f>IF(AND(ISNUMBER(CD194),ISNUMBER(CD142)),IFERROR(CD194/CD142,""),"")</f>
        <v/>
      </c>
      <c r="CE195" s="180">
        <f>IF(AND(ISNUMBER(CE194),ISNUMBER(CE142)),IFERROR(CE194/CE142,""),"")</f>
        <v/>
      </c>
      <c r="CF195" s="6" t="n"/>
      <c r="CH195" s="39">
        <f>IFERROR(AVERAGE(CA195,CB195,CC195,CD195,CE195),"n/m")</f>
        <v/>
      </c>
      <c r="CI195" s="39">
        <f>IFERROR(AVERAGE(BB195,BG195,BL195,BQ195,BV195),"n/m")</f>
        <v/>
      </c>
      <c r="CJ195" s="39">
        <f>IFERROR(AVERAGE(AC195,AH195,AM195,AR195,AW195,BB195,BG195,BL195,BQ195,BV195),"n/m")</f>
        <v/>
      </c>
      <c r="CK195" s="39">
        <f>IFERROR(AVERAGE(C195,D195,E195,F195,G195,H195,I195,N195,S195,X195,AC195,AH195,AM195,AR195,AW195,BB195,BG195,BL195,BQ195,BV195),"n/m")</f>
        <v/>
      </c>
    </row>
    <row r="196" ht="15" customHeight="1">
      <c r="B196" s="42" t="inlineStr">
        <is>
          <t xml:space="preserve">  Company-published Adjusted EBITDA</t>
        </is>
      </c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174" t="n">
        <v>276.1</v>
      </c>
      <c r="AO196" s="174" t="n">
        <v>427.8</v>
      </c>
      <c r="AP196" s="174" t="n">
        <v>439.5</v>
      </c>
      <c r="AQ196" s="174" t="n">
        <v>423.5</v>
      </c>
      <c r="AR196" s="174" t="n">
        <v>1565.7</v>
      </c>
      <c r="AS196" s="174" t="n">
        <v>333.8</v>
      </c>
      <c r="AT196" s="174" t="n">
        <v>312.7</v>
      </c>
      <c r="AU196" s="174" t="n">
        <v>353.8</v>
      </c>
      <c r="AV196" s="174" t="n">
        <v>336.6</v>
      </c>
      <c r="AW196" s="174" t="n">
        <v>1336.9</v>
      </c>
      <c r="AX196" s="174" t="n">
        <v>339.6</v>
      </c>
      <c r="AY196" s="174" t="n">
        <v>368</v>
      </c>
      <c r="AZ196" s="174" t="n">
        <v>373.5</v>
      </c>
      <c r="BA196" s="174" t="n">
        <v>396</v>
      </c>
      <c r="BB196" s="174" t="n">
        <v>1477</v>
      </c>
      <c r="BC196" s="174" t="n">
        <v>371</v>
      </c>
      <c r="BD196" s="174" t="n">
        <v>391</v>
      </c>
      <c r="BE196" s="174" t="n">
        <v>391</v>
      </c>
      <c r="BF196" s="174" t="n">
        <v>409</v>
      </c>
      <c r="BG196" s="174" t="n">
        <v>1562</v>
      </c>
      <c r="BH196" s="174" t="n">
        <v>408</v>
      </c>
      <c r="BI196" s="174" t="n">
        <v>444</v>
      </c>
      <c r="BJ196" s="174" t="n">
        <v>514</v>
      </c>
      <c r="BK196" s="174" t="n">
        <v>476</v>
      </c>
      <c r="BL196" s="174" t="n">
        <v>1842</v>
      </c>
      <c r="BM196" s="174" t="n">
        <v>540</v>
      </c>
      <c r="BN196" s="174" t="n">
        <v>555</v>
      </c>
      <c r="BO196" s="174" t="n">
        <v>567</v>
      </c>
      <c r="BP196" s="174" t="n">
        <v>486</v>
      </c>
      <c r="BQ196" s="174" t="n">
        <v>2148</v>
      </c>
      <c r="BR196" s="174" t="n">
        <v>608</v>
      </c>
      <c r="BS196" s="174" t="n">
        <v>608</v>
      </c>
      <c r="BT196" s="174" t="n">
        <v>658</v>
      </c>
      <c r="BU196" s="174" t="n">
        <v>590</v>
      </c>
      <c r="BV196" s="174" t="n">
        <v>2464</v>
      </c>
      <c r="BW196" s="174" t="n">
        <v>716</v>
      </c>
      <c r="BX196" s="174" t="n">
        <v>746</v>
      </c>
      <c r="BY196" s="6" t="n"/>
      <c r="BZ196" s="6" t="n"/>
      <c r="CA196" s="6" t="n"/>
      <c r="CB196" s="6" t="n"/>
      <c r="CC196" s="6" t="n"/>
      <c r="CD196" s="6" t="n"/>
      <c r="CE196" s="6" t="n"/>
      <c r="CF196" s="6" t="n"/>
    </row>
    <row r="197" ht="15" customHeight="1">
      <c r="B197" s="61" t="inlineStr">
        <is>
          <t xml:space="preserve">  Check: model bridge vs company-published (should be 0)</t>
        </is>
      </c>
      <c r="C197" s="189">
        <f>IF(ISNUMBER(C196),ROUND(C194-C196,0),"n/p")</f>
        <v/>
      </c>
      <c r="D197" s="189">
        <f>IF(ISNUMBER(D196),ROUND(D194-D196,0),"n/p")</f>
        <v/>
      </c>
      <c r="E197" s="189">
        <f>IF(ISNUMBER(E196),ROUND(E194-E196,0),"n/p")</f>
        <v/>
      </c>
      <c r="F197" s="189">
        <f>IF(ISNUMBER(F196),ROUND(F194-F196,0),"n/p")</f>
        <v/>
      </c>
      <c r="G197" s="189">
        <f>IF(ISNUMBER(G196),ROUND(G194-G196,0),"n/p")</f>
        <v/>
      </c>
      <c r="H197" s="189">
        <f>IF(ISNUMBER(H196),ROUND(H194-H196,0),"n/p")</f>
        <v/>
      </c>
      <c r="I197" s="189">
        <f>IF(ISNUMBER(I196),ROUND(I194-I196,0),"n/p")</f>
        <v/>
      </c>
      <c r="J197" s="189">
        <f>IF(ISNUMBER(J196),ROUND(J194-J196,0),"n/p")</f>
        <v/>
      </c>
      <c r="K197" s="189">
        <f>IF(ISNUMBER(K196),ROUND(K194-K196,0),"n/p")</f>
        <v/>
      </c>
      <c r="L197" s="189">
        <f>IF(ISNUMBER(L196),ROUND(L194-L196,0),"n/p")</f>
        <v/>
      </c>
      <c r="M197" s="189">
        <f>IF(ISNUMBER(M196),ROUND(M194-M196,0),"n/p")</f>
        <v/>
      </c>
      <c r="N197" s="189">
        <f>IF(ISNUMBER(N196),ROUND(N194-N196,0),"n/p")</f>
        <v/>
      </c>
      <c r="O197" s="189">
        <f>IF(ISNUMBER(O196),ROUND(O194-O196,0),"n/p")</f>
        <v/>
      </c>
      <c r="P197" s="189">
        <f>IF(ISNUMBER(P196),ROUND(P194-P196,0),"n/p")</f>
        <v/>
      </c>
      <c r="Q197" s="189">
        <f>IF(ISNUMBER(Q196),ROUND(Q194-Q196,0),"n/p")</f>
        <v/>
      </c>
      <c r="R197" s="189">
        <f>IF(ISNUMBER(R196),ROUND(R194-R196,0),"n/p")</f>
        <v/>
      </c>
      <c r="S197" s="189">
        <f>IF(ISNUMBER(S196),ROUND(S194-S196,0),"n/p")</f>
        <v/>
      </c>
      <c r="T197" s="189">
        <f>IF(ISNUMBER(T196),ROUND(T194-T196,0),"n/p")</f>
        <v/>
      </c>
      <c r="U197" s="189">
        <f>IF(ISNUMBER(U196),ROUND(U194-U196,0),"n/p")</f>
        <v/>
      </c>
      <c r="V197" s="189">
        <f>IF(ISNUMBER(V196),ROUND(V194-V196,0),"n/p")</f>
        <v/>
      </c>
      <c r="W197" s="189">
        <f>IF(ISNUMBER(W196),ROUND(W194-W196,0),"n/p")</f>
        <v/>
      </c>
      <c r="X197" s="189">
        <f>IF(ISNUMBER(X196),ROUND(X194-X196,0),"n/p")</f>
        <v/>
      </c>
      <c r="Y197" s="189">
        <f>IF(ISNUMBER(Y196),ROUND(Y194-Y196,0),"n/p")</f>
        <v/>
      </c>
      <c r="Z197" s="189">
        <f>IF(ISNUMBER(Z196),ROUND(Z194-Z196,0),"n/p")</f>
        <v/>
      </c>
      <c r="AA197" s="189">
        <f>IF(ISNUMBER(AA196),ROUND(AA194-AA196,0),"n/p")</f>
        <v/>
      </c>
      <c r="AB197" s="189">
        <f>IF(ISNUMBER(AB196),ROUND(AB194-AB196,0),"n/p")</f>
        <v/>
      </c>
      <c r="AC197" s="189">
        <f>IF(ISNUMBER(AC196),ROUND(AC194-AC196,0),"n/p")</f>
        <v/>
      </c>
      <c r="AD197" s="189">
        <f>IF(ISNUMBER(AD196),ROUND(AD194-AD196,0),"n/p")</f>
        <v/>
      </c>
      <c r="AE197" s="189">
        <f>IF(ISNUMBER(AE196),ROUND(AE194-AE196,0),"n/p")</f>
        <v/>
      </c>
      <c r="AF197" s="189">
        <f>IF(ISNUMBER(AF196),ROUND(AF194-AF196,0),"n/p")</f>
        <v/>
      </c>
      <c r="AG197" s="189">
        <f>IF(ISNUMBER(AG196),ROUND(AG194-AG196,0),"n/p")</f>
        <v/>
      </c>
      <c r="AH197" s="189">
        <f>IF(ISNUMBER(AH196),ROUND(AH194-AH196,0),"n/p")</f>
        <v/>
      </c>
      <c r="AI197" s="189">
        <f>IF(ISNUMBER(AI196),ROUND(AI194-AI196,0),"n/p")</f>
        <v/>
      </c>
      <c r="AJ197" s="189">
        <f>IF(ISNUMBER(AJ196),ROUND(AJ194-AJ196,0),"n/p")</f>
        <v/>
      </c>
      <c r="AK197" s="189">
        <f>IF(ISNUMBER(AK196),ROUND(AK194-AK196,0),"n/p")</f>
        <v/>
      </c>
      <c r="AL197" s="189">
        <f>IF(ISNUMBER(AL196),ROUND(AL194-AL196,0),"n/p")</f>
        <v/>
      </c>
      <c r="AM197" s="189">
        <f>IF(ISNUMBER(AM196),ROUND(AM194-AM196,0),"n/p")</f>
        <v/>
      </c>
      <c r="AN197" s="189">
        <f>IF(ISNUMBER(AN196),ROUND(AN194-AN196,0),"n/p")</f>
        <v/>
      </c>
      <c r="AO197" s="189">
        <f>IF(ISNUMBER(AO196),ROUND(AO194-AO196,0),"n/p")</f>
        <v/>
      </c>
      <c r="AP197" s="189">
        <f>IF(ISNUMBER(AP196),ROUND(AP194-AP196,0),"n/p")</f>
        <v/>
      </c>
      <c r="AQ197" s="189">
        <f>IF(ISNUMBER(AQ196),ROUND(AQ194-AQ196,0),"n/p")</f>
        <v/>
      </c>
      <c r="AR197" s="189">
        <f>IF(ISNUMBER(AR196),ROUND(AR194-AR196,0),"n/p")</f>
        <v/>
      </c>
      <c r="AS197" s="189">
        <f>IF(ISNUMBER(AS196),ROUND(AS194-AS196,0),"n/p")</f>
        <v/>
      </c>
      <c r="AT197" s="189">
        <f>IF(ISNUMBER(AT196),ROUND(AT194-AT196,0),"n/p")</f>
        <v/>
      </c>
      <c r="AU197" s="189">
        <f>IF(ISNUMBER(AU196),ROUND(AU194-AU196,0),"n/p")</f>
        <v/>
      </c>
      <c r="AV197" s="189">
        <f>IF(ISNUMBER(AV196),ROUND(AV194-AV196,0),"n/p")</f>
        <v/>
      </c>
      <c r="AW197" s="189">
        <f>IF(ISNUMBER(AW196),ROUND(AW194-AW196,0),"n/p")</f>
        <v/>
      </c>
      <c r="AX197" s="189">
        <f>IF(ISNUMBER(AX196),ROUND(AX194-AX196,0),"n/p")</f>
        <v/>
      </c>
      <c r="AY197" s="189">
        <f>IF(ISNUMBER(AY196),ROUND(AY194-AY196,0),"n/p")</f>
        <v/>
      </c>
      <c r="AZ197" s="189">
        <f>IF(ISNUMBER(AZ196),ROUND(AZ194-AZ196,0),"n/p")</f>
        <v/>
      </c>
      <c r="BA197" s="189">
        <f>IF(ISNUMBER(BA196),ROUND(BA194-BA196,0),"n/p")</f>
        <v/>
      </c>
      <c r="BB197" s="189">
        <f>IF(ISNUMBER(BB196),ROUND(BB194-BB196,0),"n/p")</f>
        <v/>
      </c>
      <c r="BC197" s="189">
        <f>IF(ISNUMBER(BC196),ROUND(BC194-BC196,0),"n/p")</f>
        <v/>
      </c>
      <c r="BD197" s="189">
        <f>IF(ISNUMBER(BD196),ROUND(BD194-BD196,0),"n/p")</f>
        <v/>
      </c>
      <c r="BE197" s="189">
        <f>IF(ISNUMBER(BE196),ROUND(BE194-BE196,0),"n/p")</f>
        <v/>
      </c>
      <c r="BF197" s="189">
        <f>IF(ISNUMBER(BF196),ROUND(BF194-BF196,0),"n/p")</f>
        <v/>
      </c>
      <c r="BG197" s="189">
        <f>IF(ISNUMBER(BG196),ROUND(BG194-BG196,0),"n/p")</f>
        <v/>
      </c>
      <c r="BH197" s="189">
        <f>IF(ISNUMBER(BH196),ROUND(BH194-BH196,0),"n/p")</f>
        <v/>
      </c>
      <c r="BI197" s="189">
        <f>IF(ISNUMBER(BI196),ROUND(BI194-BI196,0),"n/p")</f>
        <v/>
      </c>
      <c r="BJ197" s="189">
        <f>IF(ISNUMBER(BJ196),ROUND(BJ194-BJ196,0),"n/p")</f>
        <v/>
      </c>
      <c r="BK197" s="189">
        <f>IF(ISNUMBER(BK196),ROUND(BK194-BK196,0),"n/p")</f>
        <v/>
      </c>
      <c r="BL197" s="189">
        <f>IF(ISNUMBER(BL196),ROUND(BL194-BL196,0),"n/p")</f>
        <v/>
      </c>
      <c r="BM197" s="189">
        <f>IF(ISNUMBER(BM196),ROUND(BM194-BM196,0),"n/p")</f>
        <v/>
      </c>
      <c r="BN197" s="189">
        <f>IF(ISNUMBER(BN196),ROUND(BN194-BN196,0),"n/p")</f>
        <v/>
      </c>
      <c r="BO197" s="189">
        <f>IF(ISNUMBER(BO196),ROUND(BO194-BO196,0),"n/p")</f>
        <v/>
      </c>
      <c r="BP197" s="189">
        <f>IF(ISNUMBER(BP196),ROUND(BP194-BP196,0),"n/p")</f>
        <v/>
      </c>
      <c r="BQ197" s="189">
        <f>IF(ISNUMBER(BQ196),ROUND(BQ194-BQ196,0),"n/p")</f>
        <v/>
      </c>
      <c r="BR197" s="189">
        <f>IF(ISNUMBER(BR196),ROUND(BR194-BR196,0),"n/p")</f>
        <v/>
      </c>
      <c r="BS197" s="189">
        <f>IF(ISNUMBER(BS196),ROUND(BS194-BS196,0),"n/p")</f>
        <v/>
      </c>
      <c r="BT197" s="189">
        <f>IF(ISNUMBER(BT196),ROUND(BT194-BT196,0),"n/p")</f>
        <v/>
      </c>
      <c r="BU197" s="189">
        <f>IF(ISNUMBER(BU196),ROUND(BU194-BU196,0),"n/p")</f>
        <v/>
      </c>
      <c r="BV197" s="189">
        <f>IF(ISNUMBER(BV196),ROUND(BV194-BV196,0),"n/p")</f>
        <v/>
      </c>
      <c r="BW197" s="189">
        <f>IF(ISNUMBER(BW196),ROUND(BW194-BW196,0),"n/p")</f>
        <v/>
      </c>
      <c r="BX197" s="189">
        <f>IF(ISNUMBER(BX196),ROUND(BX194-BX196,0),"n/p")</f>
        <v/>
      </c>
      <c r="BY197" s="6" t="n"/>
      <c r="BZ197" s="6" t="n"/>
      <c r="CA197" s="6" t="n"/>
      <c r="CB197" s="6" t="n"/>
      <c r="CC197" s="6" t="n"/>
      <c r="CD197" s="6" t="n"/>
      <c r="CE197" s="6" t="n"/>
      <c r="CF197" s="6" t="n"/>
    </row>
    <row r="198" ht="15" customHeight="1">
      <c r="B198" s="67" t="inlineStr">
        <is>
          <t xml:space="preserve">  Definition basis (company Adjusted EBITDA definition in force)</t>
        </is>
      </c>
      <c r="C198" s="205" t="inlineStr">
        <is>
          <t>Not published 2006–2018 (EBITDA introduced with the GE Transportation merger)</t>
        </is>
      </c>
      <c r="J198" s="68" t="n"/>
      <c r="AJ198" s="68" t="n"/>
      <c r="AN198" s="205" t="inlineStr">
        <is>
          <t>2019: EBITDA = income from operations + D&amp;A; Adjusted EBITDA adds restructuring/transaction, one-time PPA, policy harmonization</t>
        </is>
      </c>
      <c r="AS198" s="205" t="inlineStr">
        <is>
          <t>2020+: EBITDA = income from operations + other income + D&amp;A; Adjusted EBITDA + restructuring &amp; transaction costs</t>
        </is>
      </c>
      <c r="BA198" s="68" t="n"/>
      <c r="BM198" s="68" t="n"/>
      <c r="BT198" s="205" t="inlineStr">
        <is>
          <t>Q3-25+: add-back also includes inventory purchase-accounting charges (Inspection Technologies, Frauscher, Dellner)</t>
        </is>
      </c>
      <c r="BY198" s="6" t="n"/>
      <c r="BZ198" s="6" t="n"/>
      <c r="CA198" s="6" t="n"/>
      <c r="CB198" s="6" t="n"/>
      <c r="CC198" s="6" t="n"/>
      <c r="CD198" s="6" t="n"/>
      <c r="CE198" s="6" t="n"/>
      <c r="CF198" s="20" t="inlineStr">
        <is>
          <t>Definition changes are flagged in the column where they take effect (cell comment gives the detail).</t>
        </is>
      </c>
    </row>
    <row r="199" ht="15" customHeight="1">
      <c r="B199" s="26" t="inlineStr">
        <is>
          <t>To adjusted EBIT:</t>
        </is>
      </c>
      <c r="CF199" s="6" t="n"/>
    </row>
    <row r="200" ht="15" customHeight="1">
      <c r="B200" s="26" t="inlineStr">
        <is>
          <t xml:space="preserve">  (−) Depreciation &amp; amortization</t>
        </is>
      </c>
      <c r="C200" s="183">
        <f>IF(ISNUMBER(C184),-C184,"")</f>
        <v/>
      </c>
      <c r="D200" s="183">
        <f>IF(ISNUMBER(D184),-D184,"")</f>
        <v/>
      </c>
      <c r="E200" s="183">
        <f>IF(ISNUMBER(E184),-E184,"")</f>
        <v/>
      </c>
      <c r="F200" s="183">
        <f>IF(ISNUMBER(F184),-F184,"")</f>
        <v/>
      </c>
      <c r="G200" s="183">
        <f>IF(ISNUMBER(G184),-G184,"")</f>
        <v/>
      </c>
      <c r="H200" s="183">
        <f>IF(ISNUMBER(H184),-H184,"")</f>
        <v/>
      </c>
      <c r="I200" s="183">
        <f>IF(ISNUMBER(I184),-I184,"")</f>
        <v/>
      </c>
      <c r="J200" s="183">
        <f>IF(ISNUMBER(J184),-J184,"")</f>
        <v/>
      </c>
      <c r="K200" s="183">
        <f>IF(ISNUMBER(K184),-K184,"")</f>
        <v/>
      </c>
      <c r="L200" s="183">
        <f>IF(ISNUMBER(L184),-L184,"")</f>
        <v/>
      </c>
      <c r="M200" s="183">
        <f>IF(ISNUMBER(M184),-M184,"")</f>
        <v/>
      </c>
      <c r="N200" s="183">
        <f>IF(ISNUMBER(N184),-N184,"")</f>
        <v/>
      </c>
      <c r="O200" s="183">
        <f>IF(ISNUMBER(O184),-O184,"")</f>
        <v/>
      </c>
      <c r="P200" s="183">
        <f>IF(ISNUMBER(P184),-P184,"")</f>
        <v/>
      </c>
      <c r="Q200" s="183">
        <f>IF(ISNUMBER(Q184),-Q184,"")</f>
        <v/>
      </c>
      <c r="R200" s="183">
        <f>IF(ISNUMBER(R184),-R184,"")</f>
        <v/>
      </c>
      <c r="S200" s="183">
        <f>IF(ISNUMBER(S184),-S184,"")</f>
        <v/>
      </c>
      <c r="T200" s="183">
        <f>IF(ISNUMBER(T184),-T184,"")</f>
        <v/>
      </c>
      <c r="U200" s="183">
        <f>IF(ISNUMBER(U184),-U184,"")</f>
        <v/>
      </c>
      <c r="V200" s="183">
        <f>IF(ISNUMBER(V184),-V184,"")</f>
        <v/>
      </c>
      <c r="W200" s="183">
        <f>IF(ISNUMBER(W184),-W184,"")</f>
        <v/>
      </c>
      <c r="X200" s="183">
        <f>IF(ISNUMBER(X184),-X184,"")</f>
        <v/>
      </c>
      <c r="Y200" s="183">
        <f>IF(ISNUMBER(Y184),-Y184,"")</f>
        <v/>
      </c>
      <c r="Z200" s="183">
        <f>IF(ISNUMBER(Z184),-Z184,"")</f>
        <v/>
      </c>
      <c r="AA200" s="183">
        <f>IF(ISNUMBER(AA184),-AA184,"")</f>
        <v/>
      </c>
      <c r="AB200" s="183">
        <f>IF(ISNUMBER(AB184),-AB184,"")</f>
        <v/>
      </c>
      <c r="AC200" s="183">
        <f>IF(ISNUMBER(AC184),-AC184,"")</f>
        <v/>
      </c>
      <c r="AD200" s="183">
        <f>IF(ISNUMBER(AD184),-AD184,"")</f>
        <v/>
      </c>
      <c r="AE200" s="183">
        <f>IF(ISNUMBER(AE184),-AE184,"")</f>
        <v/>
      </c>
      <c r="AF200" s="183">
        <f>IF(ISNUMBER(AF184),-AF184,"")</f>
        <v/>
      </c>
      <c r="AG200" s="183">
        <f>IF(ISNUMBER(AG184),-AG184,"")</f>
        <v/>
      </c>
      <c r="AH200" s="183">
        <f>IF(ISNUMBER(AH184),-AH184,"")</f>
        <v/>
      </c>
      <c r="AI200" s="183">
        <f>IF(ISNUMBER(AI184),-AI184,"")</f>
        <v/>
      </c>
      <c r="AJ200" s="183">
        <f>IF(ISNUMBER(AJ184),-AJ184,"")</f>
        <v/>
      </c>
      <c r="AK200" s="183">
        <f>IF(ISNUMBER(AK184),-AK184,"")</f>
        <v/>
      </c>
      <c r="AL200" s="183">
        <f>IF(ISNUMBER(AL184),-AL184,"")</f>
        <v/>
      </c>
      <c r="AM200" s="183">
        <f>IF(ISNUMBER(AM184),-AM184,"")</f>
        <v/>
      </c>
      <c r="AN200" s="183">
        <f>IF(ISNUMBER(AN184),-AN184,"")</f>
        <v/>
      </c>
      <c r="AO200" s="183">
        <f>IF(ISNUMBER(AO184),-AO184,"")</f>
        <v/>
      </c>
      <c r="AP200" s="183">
        <f>IF(ISNUMBER(AP184),-AP184,"")</f>
        <v/>
      </c>
      <c r="AQ200" s="183">
        <f>IF(ISNUMBER(AQ184),-AQ184,"")</f>
        <v/>
      </c>
      <c r="AR200" s="183">
        <f>IF(ISNUMBER(AR184),-AR184,"")</f>
        <v/>
      </c>
      <c r="AS200" s="183">
        <f>IF(ISNUMBER(AS184),-AS184,"")</f>
        <v/>
      </c>
      <c r="AT200" s="183">
        <f>IF(ISNUMBER(AT184),-AT184,"")</f>
        <v/>
      </c>
      <c r="AU200" s="183">
        <f>IF(ISNUMBER(AU184),-AU184,"")</f>
        <v/>
      </c>
      <c r="AV200" s="183">
        <f>IF(ISNUMBER(AV184),-AV184,"")</f>
        <v/>
      </c>
      <c r="AW200" s="183">
        <f>IF(ISNUMBER(AW184),-AW184,"")</f>
        <v/>
      </c>
      <c r="AX200" s="183">
        <f>IF(ISNUMBER(AX184),-AX184,"")</f>
        <v/>
      </c>
      <c r="AY200" s="183">
        <f>IF(ISNUMBER(AY184),-AY184,"")</f>
        <v/>
      </c>
      <c r="AZ200" s="183">
        <f>IF(ISNUMBER(AZ184),-AZ184,"")</f>
        <v/>
      </c>
      <c r="BA200" s="183">
        <f>IF(ISNUMBER(BA184),-BA184,"")</f>
        <v/>
      </c>
      <c r="BB200" s="183">
        <f>IF(ISNUMBER(BB184),-BB184,"")</f>
        <v/>
      </c>
      <c r="BC200" s="183">
        <f>IF(ISNUMBER(BC184),-BC184,"")</f>
        <v/>
      </c>
      <c r="BD200" s="183">
        <f>IF(ISNUMBER(BD184),-BD184,"")</f>
        <v/>
      </c>
      <c r="BE200" s="183">
        <f>IF(ISNUMBER(BE184),-BE184,"")</f>
        <v/>
      </c>
      <c r="BF200" s="183">
        <f>IF(ISNUMBER(BF184),-BF184,"")</f>
        <v/>
      </c>
      <c r="BG200" s="183">
        <f>IF(ISNUMBER(BG184),-BG184,"")</f>
        <v/>
      </c>
      <c r="BH200" s="183">
        <f>IF(ISNUMBER(BH184),-BH184,"")</f>
        <v/>
      </c>
      <c r="BI200" s="183">
        <f>IF(ISNUMBER(BI184),-BI184,"")</f>
        <v/>
      </c>
      <c r="BJ200" s="183">
        <f>IF(ISNUMBER(BJ184),-BJ184,"")</f>
        <v/>
      </c>
      <c r="BK200" s="183">
        <f>IF(ISNUMBER(BK184),-BK184,"")</f>
        <v/>
      </c>
      <c r="BL200" s="183">
        <f>IF(ISNUMBER(BL184),-BL184,"")</f>
        <v/>
      </c>
      <c r="BM200" s="183">
        <f>IF(ISNUMBER(BM184),-BM184,"")</f>
        <v/>
      </c>
      <c r="BN200" s="183">
        <f>IF(ISNUMBER(BN184),-BN184,"")</f>
        <v/>
      </c>
      <c r="BO200" s="183">
        <f>IF(ISNUMBER(BO184),-BO184,"")</f>
        <v/>
      </c>
      <c r="BP200" s="183">
        <f>IF(ISNUMBER(BP184),-BP184,"")</f>
        <v/>
      </c>
      <c r="BQ200" s="183">
        <f>IF(ISNUMBER(BQ184),-BQ184,"")</f>
        <v/>
      </c>
      <c r="BR200" s="183">
        <f>IF(ISNUMBER(BR184),-BR184,"")</f>
        <v/>
      </c>
      <c r="BS200" s="183">
        <f>IF(ISNUMBER(BS184),-BS184,"")</f>
        <v/>
      </c>
      <c r="BT200" s="183">
        <f>IF(ISNUMBER(BT184),-BT184,"")</f>
        <v/>
      </c>
      <c r="BU200" s="183">
        <f>IF(ISNUMBER(BU184),-BU184,"")</f>
        <v/>
      </c>
      <c r="BV200" s="183">
        <f>IF(ISNUMBER(BV184),-BV184,"")</f>
        <v/>
      </c>
      <c r="BW200" s="183">
        <f>IF(ISNUMBER(BW184),-BW184,"")</f>
        <v/>
      </c>
      <c r="BX200" s="183">
        <f>IF(ISNUMBER(BX184),-BX184,"")</f>
        <v/>
      </c>
      <c r="BY200" s="178">
        <f>IF(ISNUMBER(BY184),-BY184,"")</f>
        <v/>
      </c>
      <c r="BZ200" s="178">
        <f>IF(ISNUMBER(BZ184),-BZ184,"")</f>
        <v/>
      </c>
      <c r="CA200" s="178">
        <f>IF(ISNUMBER(CA184),-CA184,"")</f>
        <v/>
      </c>
      <c r="CB200" s="178">
        <f>IF(ISNUMBER(CB184),-CB184,"")</f>
        <v/>
      </c>
      <c r="CC200" s="178">
        <f>IF(ISNUMBER(CC184),-CC184,"")</f>
        <v/>
      </c>
      <c r="CD200" s="178">
        <f>IF(ISNUMBER(CD184),-CD184,"")</f>
        <v/>
      </c>
      <c r="CE200" s="178">
        <f>IF(ISNUMBER(CE184),-CE184,"")</f>
        <v/>
      </c>
      <c r="CF200" s="20" t="n"/>
    </row>
    <row r="201" ht="15" customHeight="1">
      <c r="B201" s="59" t="inlineStr">
        <is>
          <t xml:space="preserve">  = Adjusted EBIT (model; Adjusted EBITDA − D&amp;A; EBITDA − D&amp;A where no adjusted figure was published)</t>
        </is>
      </c>
      <c r="C201" s="193">
        <f>IF(ISNUMBER(C200),IF(ISNUMBER(C194),C194,C186)+C200,"")</f>
        <v/>
      </c>
      <c r="D201" s="193">
        <f>IF(ISNUMBER(D200),IF(ISNUMBER(D194),D194,D186)+D200,"")</f>
        <v/>
      </c>
      <c r="E201" s="193">
        <f>IF(ISNUMBER(E200),IF(ISNUMBER(E194),E194,E186)+E200,"")</f>
        <v/>
      </c>
      <c r="F201" s="193">
        <f>IF(ISNUMBER(F200),IF(ISNUMBER(F194),F194,F186)+F200,"")</f>
        <v/>
      </c>
      <c r="G201" s="193">
        <f>IF(ISNUMBER(G200),IF(ISNUMBER(G194),G194,G186)+G200,"")</f>
        <v/>
      </c>
      <c r="H201" s="193">
        <f>IF(ISNUMBER(H200),IF(ISNUMBER(H194),H194,H186)+H200,"")</f>
        <v/>
      </c>
      <c r="I201" s="193">
        <f>IF(ISNUMBER(I200),IF(ISNUMBER(I194),I194,I186)+I200,"")</f>
        <v/>
      </c>
      <c r="J201" s="193">
        <f>IF(ISNUMBER(J200),IF(ISNUMBER(J194),J194,J186)+J200,"")</f>
        <v/>
      </c>
      <c r="K201" s="193">
        <f>IF(ISNUMBER(K200),IF(ISNUMBER(K194),K194,K186)+K200,"")</f>
        <v/>
      </c>
      <c r="L201" s="193">
        <f>IF(ISNUMBER(L200),IF(ISNUMBER(L194),L194,L186)+L200,"")</f>
        <v/>
      </c>
      <c r="M201" s="193">
        <f>IF(ISNUMBER(M200),IF(ISNUMBER(M194),M194,M186)+M200,"")</f>
        <v/>
      </c>
      <c r="N201" s="193">
        <f>IF(ISNUMBER(N200),IF(ISNUMBER(N194),N194,N186)+N200,"")</f>
        <v/>
      </c>
      <c r="O201" s="193">
        <f>IF(ISNUMBER(O200),IF(ISNUMBER(O194),O194,O186)+O200,"")</f>
        <v/>
      </c>
      <c r="P201" s="193">
        <f>IF(ISNUMBER(P200),IF(ISNUMBER(P194),P194,P186)+P200,"")</f>
        <v/>
      </c>
      <c r="Q201" s="193">
        <f>IF(ISNUMBER(Q200),IF(ISNUMBER(Q194),Q194,Q186)+Q200,"")</f>
        <v/>
      </c>
      <c r="R201" s="193">
        <f>IF(ISNUMBER(R200),IF(ISNUMBER(R194),R194,R186)+R200,"")</f>
        <v/>
      </c>
      <c r="S201" s="193">
        <f>IF(ISNUMBER(S200),IF(ISNUMBER(S194),S194,S186)+S200,"")</f>
        <v/>
      </c>
      <c r="T201" s="193">
        <f>IF(ISNUMBER(T200),IF(ISNUMBER(T194),T194,T186)+T200,"")</f>
        <v/>
      </c>
      <c r="U201" s="193">
        <f>IF(ISNUMBER(U200),IF(ISNUMBER(U194),U194,U186)+U200,"")</f>
        <v/>
      </c>
      <c r="V201" s="193">
        <f>IF(ISNUMBER(V200),IF(ISNUMBER(V194),V194,V186)+V200,"")</f>
        <v/>
      </c>
      <c r="W201" s="193">
        <f>IF(ISNUMBER(W200),IF(ISNUMBER(W194),W194,W186)+W200,"")</f>
        <v/>
      </c>
      <c r="X201" s="193">
        <f>IF(ISNUMBER(X200),IF(ISNUMBER(X194),X194,X186)+X200,"")</f>
        <v/>
      </c>
      <c r="Y201" s="193">
        <f>IF(ISNUMBER(Y200),IF(ISNUMBER(Y194),Y194,Y186)+Y200,"")</f>
        <v/>
      </c>
      <c r="Z201" s="193">
        <f>IF(ISNUMBER(Z200),IF(ISNUMBER(Z194),Z194,Z186)+Z200,"")</f>
        <v/>
      </c>
      <c r="AA201" s="193">
        <f>IF(ISNUMBER(AA200),IF(ISNUMBER(AA194),AA194,AA186)+AA200,"")</f>
        <v/>
      </c>
      <c r="AB201" s="193">
        <f>IF(ISNUMBER(AB200),IF(ISNUMBER(AB194),AB194,AB186)+AB200,"")</f>
        <v/>
      </c>
      <c r="AC201" s="193">
        <f>IF(ISNUMBER(AC200),IF(ISNUMBER(AC194),AC194,AC186)+AC200,"")</f>
        <v/>
      </c>
      <c r="AD201" s="193">
        <f>IF(ISNUMBER(AD200),IF(ISNUMBER(AD194),AD194,AD186)+AD200,"")</f>
        <v/>
      </c>
      <c r="AE201" s="193">
        <f>IF(ISNUMBER(AE200),IF(ISNUMBER(AE194),AE194,AE186)+AE200,"")</f>
        <v/>
      </c>
      <c r="AF201" s="193">
        <f>IF(ISNUMBER(AF200),IF(ISNUMBER(AF194),AF194,AF186)+AF200,"")</f>
        <v/>
      </c>
      <c r="AG201" s="193">
        <f>IF(ISNUMBER(AG200),IF(ISNUMBER(AG194),AG194,AG186)+AG200,"")</f>
        <v/>
      </c>
      <c r="AH201" s="193">
        <f>IF(ISNUMBER(AH200),IF(ISNUMBER(AH194),AH194,AH186)+AH200,"")</f>
        <v/>
      </c>
      <c r="AI201" s="193">
        <f>IF(ISNUMBER(AI200),IF(ISNUMBER(AI194),AI194,AI186)+AI200,"")</f>
        <v/>
      </c>
      <c r="AJ201" s="193">
        <f>IF(ISNUMBER(AJ200),IF(ISNUMBER(AJ194),AJ194,AJ186)+AJ200,"")</f>
        <v/>
      </c>
      <c r="AK201" s="193">
        <f>IF(ISNUMBER(AK200),IF(ISNUMBER(AK194),AK194,AK186)+AK200,"")</f>
        <v/>
      </c>
      <c r="AL201" s="193">
        <f>IF(ISNUMBER(AL200),IF(ISNUMBER(AL194),AL194,AL186)+AL200,"")</f>
        <v/>
      </c>
      <c r="AM201" s="193">
        <f>IF(ISNUMBER(AM200),IF(ISNUMBER(AM194),AM194,AM186)+AM200,"")</f>
        <v/>
      </c>
      <c r="AN201" s="193">
        <f>IF(ISNUMBER(AN200),IF(ISNUMBER(AN194),AN194,AN186)+AN200,"")</f>
        <v/>
      </c>
      <c r="AO201" s="193">
        <f>IF(ISNUMBER(AO200),IF(ISNUMBER(AO194),AO194,AO186)+AO200,"")</f>
        <v/>
      </c>
      <c r="AP201" s="193">
        <f>IF(ISNUMBER(AP200),IF(ISNUMBER(AP194),AP194,AP186)+AP200,"")</f>
        <v/>
      </c>
      <c r="AQ201" s="193">
        <f>IF(ISNUMBER(AQ200),IF(ISNUMBER(AQ194),AQ194,AQ186)+AQ200,"")</f>
        <v/>
      </c>
      <c r="AR201" s="193">
        <f>IF(ISNUMBER(AR200),IF(ISNUMBER(AR194),AR194,AR186)+AR200,"")</f>
        <v/>
      </c>
      <c r="AS201" s="193">
        <f>IF(ISNUMBER(AS200),IF(ISNUMBER(AS194),AS194,AS186)+AS200,"")</f>
        <v/>
      </c>
      <c r="AT201" s="193">
        <f>IF(ISNUMBER(AT200),IF(ISNUMBER(AT194),AT194,AT186)+AT200,"")</f>
        <v/>
      </c>
      <c r="AU201" s="193">
        <f>IF(ISNUMBER(AU200),IF(ISNUMBER(AU194),AU194,AU186)+AU200,"")</f>
        <v/>
      </c>
      <c r="AV201" s="193">
        <f>IF(ISNUMBER(AV200),IF(ISNUMBER(AV194),AV194,AV186)+AV200,"")</f>
        <v/>
      </c>
      <c r="AW201" s="193">
        <f>IF(ISNUMBER(AW200),IF(ISNUMBER(AW194),AW194,AW186)+AW200,"")</f>
        <v/>
      </c>
      <c r="AX201" s="193">
        <f>IF(ISNUMBER(AX200),IF(ISNUMBER(AX194),AX194,AX186)+AX200,"")</f>
        <v/>
      </c>
      <c r="AY201" s="193">
        <f>IF(ISNUMBER(AY200),IF(ISNUMBER(AY194),AY194,AY186)+AY200,"")</f>
        <v/>
      </c>
      <c r="AZ201" s="193">
        <f>IF(ISNUMBER(AZ200),IF(ISNUMBER(AZ194),AZ194,AZ186)+AZ200,"")</f>
        <v/>
      </c>
      <c r="BA201" s="193">
        <f>IF(ISNUMBER(BA200),IF(ISNUMBER(BA194),BA194,BA186)+BA200,"")</f>
        <v/>
      </c>
      <c r="BB201" s="193">
        <f>IF(ISNUMBER(BB200),IF(ISNUMBER(BB194),BB194,BB186)+BB200,"")</f>
        <v/>
      </c>
      <c r="BC201" s="193">
        <f>IF(ISNUMBER(BC200),IF(ISNUMBER(BC194),BC194,BC186)+BC200,"")</f>
        <v/>
      </c>
      <c r="BD201" s="193">
        <f>IF(ISNUMBER(BD200),IF(ISNUMBER(BD194),BD194,BD186)+BD200,"")</f>
        <v/>
      </c>
      <c r="BE201" s="193">
        <f>IF(ISNUMBER(BE200),IF(ISNUMBER(BE194),BE194,BE186)+BE200,"")</f>
        <v/>
      </c>
      <c r="BF201" s="193">
        <f>IF(ISNUMBER(BF200),IF(ISNUMBER(BF194),BF194,BF186)+BF200,"")</f>
        <v/>
      </c>
      <c r="BG201" s="193">
        <f>IF(ISNUMBER(BG200),IF(ISNUMBER(BG194),BG194,BG186)+BG200,"")</f>
        <v/>
      </c>
      <c r="BH201" s="193">
        <f>IF(ISNUMBER(BH200),IF(ISNUMBER(BH194),BH194,BH186)+BH200,"")</f>
        <v/>
      </c>
      <c r="BI201" s="193">
        <f>IF(ISNUMBER(BI200),IF(ISNUMBER(BI194),BI194,BI186)+BI200,"")</f>
        <v/>
      </c>
      <c r="BJ201" s="193">
        <f>IF(ISNUMBER(BJ200),IF(ISNUMBER(BJ194),BJ194,BJ186)+BJ200,"")</f>
        <v/>
      </c>
      <c r="BK201" s="193">
        <f>IF(ISNUMBER(BK200),IF(ISNUMBER(BK194),BK194,BK186)+BK200,"")</f>
        <v/>
      </c>
      <c r="BL201" s="193">
        <f>IF(ISNUMBER(BL200),IF(ISNUMBER(BL194),BL194,BL186)+BL200,"")</f>
        <v/>
      </c>
      <c r="BM201" s="193">
        <f>IF(ISNUMBER(BM200),IF(ISNUMBER(BM194),BM194,BM186)+BM200,"")</f>
        <v/>
      </c>
      <c r="BN201" s="193">
        <f>IF(ISNUMBER(BN200),IF(ISNUMBER(BN194),BN194,BN186)+BN200,"")</f>
        <v/>
      </c>
      <c r="BO201" s="193">
        <f>IF(ISNUMBER(BO200),IF(ISNUMBER(BO194),BO194,BO186)+BO200,"")</f>
        <v/>
      </c>
      <c r="BP201" s="193">
        <f>IF(ISNUMBER(BP200),IF(ISNUMBER(BP194),BP194,BP186)+BP200,"")</f>
        <v/>
      </c>
      <c r="BQ201" s="193">
        <f>IF(ISNUMBER(BQ200),IF(ISNUMBER(BQ194),BQ194,BQ186)+BQ200,"")</f>
        <v/>
      </c>
      <c r="BR201" s="193">
        <f>IF(ISNUMBER(BR200),IF(ISNUMBER(BR194),BR194,BR186)+BR200,"")</f>
        <v/>
      </c>
      <c r="BS201" s="193">
        <f>IF(ISNUMBER(BS200),IF(ISNUMBER(BS194),BS194,BS186)+BS200,"")</f>
        <v/>
      </c>
      <c r="BT201" s="193">
        <f>IF(ISNUMBER(BT200),IF(ISNUMBER(BT194),BT194,BT186)+BT200,"")</f>
        <v/>
      </c>
      <c r="BU201" s="193">
        <f>IF(ISNUMBER(BU200),IF(ISNUMBER(BU194),BU194,BU186)+BU200,"")</f>
        <v/>
      </c>
      <c r="BV201" s="193">
        <f>IF(ISNUMBER(BV200),IF(ISNUMBER(BV194),BV194,BV186)+BV200,"")</f>
        <v/>
      </c>
      <c r="BW201" s="193">
        <f>IF(ISNUMBER(BW200),IF(ISNUMBER(BW194),BW194,BW186)+BW200,"")</f>
        <v/>
      </c>
      <c r="BX201" s="193">
        <f>IF(ISNUMBER(BX200),IF(ISNUMBER(BX194),BX194,BX186)+BX200,"")</f>
        <v/>
      </c>
      <c r="BY201" s="193">
        <f>IF(ISNUMBER(BY200),IF(ISNUMBER(BY194),BY194,BY186)+BY200,"")</f>
        <v/>
      </c>
      <c r="BZ201" s="193">
        <f>IF(ISNUMBER(BZ200),IF(ISNUMBER(BZ194),BZ194,BZ186)+BZ200,"")</f>
        <v/>
      </c>
      <c r="CA201" s="193">
        <f>IF(ISNUMBER(CA200),IF(ISNUMBER(CA194),CA194,CA186)+CA200,"")</f>
        <v/>
      </c>
      <c r="CB201" s="193">
        <f>IF(ISNUMBER(CB200),IF(ISNUMBER(CB194),CB194,CB186)+CB200,"")</f>
        <v/>
      </c>
      <c r="CC201" s="193">
        <f>IF(ISNUMBER(CC200),IF(ISNUMBER(CC194),CC194,CC186)+CC200,"")</f>
        <v/>
      </c>
      <c r="CD201" s="193">
        <f>IF(ISNUMBER(CD200),IF(ISNUMBER(CD194),CD194,CD186)+CD200,"")</f>
        <v/>
      </c>
      <c r="CE201" s="193">
        <f>IF(ISNUMBER(CE200),IF(ISNUMBER(CE194),CE194,CE186)+CE200,"")</f>
        <v/>
      </c>
      <c r="CF201" s="6" t="inlineStr">
        <is>
          <t>Used for NOPAT / ROIC. Before 2019 Wabtec published no Adjusted EBITDA, so EBITDA (model) − D&amp;A is used.</t>
        </is>
      </c>
      <c r="CH201" s="21">
        <f>IFERROR((CE201/BV201)^(1/5)-1,"n/m")</f>
        <v/>
      </c>
      <c r="CI201" s="21">
        <f>IFERROR((BV201/AW201)^(1/5)-1,"n/m")</f>
        <v/>
      </c>
      <c r="CJ201" s="21">
        <f>IFERROR((BV201/X201)^(1/10)-1,"n/m")</f>
        <v/>
      </c>
      <c r="CK201" s="21">
        <f>IFERROR((BV201/C201)^(1/19)-1,"n/m")</f>
        <v/>
      </c>
    </row>
    <row r="202" ht="15" customHeight="1">
      <c r="B202" s="26" t="inlineStr">
        <is>
          <t xml:space="preserve">  Adjusted EBIT margin %</t>
        </is>
      </c>
      <c r="C202" s="187">
        <f>IF(AND(ISNUMBER(C201),ISNUMBER(C142)),IFERROR(C201/C142,""),"")</f>
        <v/>
      </c>
      <c r="D202" s="187">
        <f>IF(AND(ISNUMBER(D201),ISNUMBER(D142)),IFERROR(D201/D142,""),"")</f>
        <v/>
      </c>
      <c r="E202" s="187">
        <f>IF(AND(ISNUMBER(E201),ISNUMBER(E142)),IFERROR(E201/E142,""),"")</f>
        <v/>
      </c>
      <c r="F202" s="187">
        <f>IF(AND(ISNUMBER(F201),ISNUMBER(F142)),IFERROR(F201/F142,""),"")</f>
        <v/>
      </c>
      <c r="G202" s="187">
        <f>IF(AND(ISNUMBER(G201),ISNUMBER(G142)),IFERROR(G201/G142,""),"")</f>
        <v/>
      </c>
      <c r="H202" s="187">
        <f>IF(AND(ISNUMBER(H201),ISNUMBER(H142)),IFERROR(H201/H142,""),"")</f>
        <v/>
      </c>
      <c r="I202" s="187">
        <f>IF(AND(ISNUMBER(I201),ISNUMBER(I142)),IFERROR(I201/I142,""),"")</f>
        <v/>
      </c>
      <c r="J202" s="187">
        <f>IF(AND(ISNUMBER(J201),ISNUMBER(J142)),IFERROR(J201/J142,""),"")</f>
        <v/>
      </c>
      <c r="K202" s="187">
        <f>IF(AND(ISNUMBER(K201),ISNUMBER(K142)),IFERROR(K201/K142,""),"")</f>
        <v/>
      </c>
      <c r="L202" s="187">
        <f>IF(AND(ISNUMBER(L201),ISNUMBER(L142)),IFERROR(L201/L142,""),"")</f>
        <v/>
      </c>
      <c r="M202" s="187">
        <f>IF(AND(ISNUMBER(M201),ISNUMBER(M142)),IFERROR(M201/M142,""),"")</f>
        <v/>
      </c>
      <c r="N202" s="187">
        <f>IF(AND(ISNUMBER(N201),ISNUMBER(N142)),IFERROR(N201/N142,""),"")</f>
        <v/>
      </c>
      <c r="O202" s="187">
        <f>IF(AND(ISNUMBER(O201),ISNUMBER(O142)),IFERROR(O201/O142,""),"")</f>
        <v/>
      </c>
      <c r="P202" s="187">
        <f>IF(AND(ISNUMBER(P201),ISNUMBER(P142)),IFERROR(P201/P142,""),"")</f>
        <v/>
      </c>
      <c r="Q202" s="187">
        <f>IF(AND(ISNUMBER(Q201),ISNUMBER(Q142)),IFERROR(Q201/Q142,""),"")</f>
        <v/>
      </c>
      <c r="R202" s="187">
        <f>IF(AND(ISNUMBER(R201),ISNUMBER(R142)),IFERROR(R201/R142,""),"")</f>
        <v/>
      </c>
      <c r="S202" s="187">
        <f>IF(AND(ISNUMBER(S201),ISNUMBER(S142)),IFERROR(S201/S142,""),"")</f>
        <v/>
      </c>
      <c r="T202" s="187">
        <f>IF(AND(ISNUMBER(T201),ISNUMBER(T142)),IFERROR(T201/T142,""),"")</f>
        <v/>
      </c>
      <c r="U202" s="187">
        <f>IF(AND(ISNUMBER(U201),ISNUMBER(U142)),IFERROR(U201/U142,""),"")</f>
        <v/>
      </c>
      <c r="V202" s="187">
        <f>IF(AND(ISNUMBER(V201),ISNUMBER(V142)),IFERROR(V201/V142,""),"")</f>
        <v/>
      </c>
      <c r="W202" s="187">
        <f>IF(AND(ISNUMBER(W201),ISNUMBER(W142)),IFERROR(W201/W142,""),"")</f>
        <v/>
      </c>
      <c r="X202" s="187">
        <f>IF(AND(ISNUMBER(X201),ISNUMBER(X142)),IFERROR(X201/X142,""),"")</f>
        <v/>
      </c>
      <c r="Y202" s="187">
        <f>IF(AND(ISNUMBER(Y201),ISNUMBER(Y142)),IFERROR(Y201/Y142,""),"")</f>
        <v/>
      </c>
      <c r="Z202" s="187">
        <f>IF(AND(ISNUMBER(Z201),ISNUMBER(Z142)),IFERROR(Z201/Z142,""),"")</f>
        <v/>
      </c>
      <c r="AA202" s="187">
        <f>IF(AND(ISNUMBER(AA201),ISNUMBER(AA142)),IFERROR(AA201/AA142,""),"")</f>
        <v/>
      </c>
      <c r="AB202" s="187">
        <f>IF(AND(ISNUMBER(AB201),ISNUMBER(AB142)),IFERROR(AB201/AB142,""),"")</f>
        <v/>
      </c>
      <c r="AC202" s="187">
        <f>IF(AND(ISNUMBER(AC201),ISNUMBER(AC142)),IFERROR(AC201/AC142,""),"")</f>
        <v/>
      </c>
      <c r="AD202" s="187">
        <f>IF(AND(ISNUMBER(AD201),ISNUMBER(AD142)),IFERROR(AD201/AD142,""),"")</f>
        <v/>
      </c>
      <c r="AE202" s="187">
        <f>IF(AND(ISNUMBER(AE201),ISNUMBER(AE142)),IFERROR(AE201/AE142,""),"")</f>
        <v/>
      </c>
      <c r="AF202" s="187">
        <f>IF(AND(ISNUMBER(AF201),ISNUMBER(AF142)),IFERROR(AF201/AF142,""),"")</f>
        <v/>
      </c>
      <c r="AG202" s="187">
        <f>IF(AND(ISNUMBER(AG201),ISNUMBER(AG142)),IFERROR(AG201/AG142,""),"")</f>
        <v/>
      </c>
      <c r="AH202" s="187">
        <f>IF(AND(ISNUMBER(AH201),ISNUMBER(AH142)),IFERROR(AH201/AH142,""),"")</f>
        <v/>
      </c>
      <c r="AI202" s="187">
        <f>IF(AND(ISNUMBER(AI201),ISNUMBER(AI142)),IFERROR(AI201/AI142,""),"")</f>
        <v/>
      </c>
      <c r="AJ202" s="187">
        <f>IF(AND(ISNUMBER(AJ201),ISNUMBER(AJ142)),IFERROR(AJ201/AJ142,""),"")</f>
        <v/>
      </c>
      <c r="AK202" s="187">
        <f>IF(AND(ISNUMBER(AK201),ISNUMBER(AK142)),IFERROR(AK201/AK142,""),"")</f>
        <v/>
      </c>
      <c r="AL202" s="187">
        <f>IF(AND(ISNUMBER(AL201),ISNUMBER(AL142)),IFERROR(AL201/AL142,""),"")</f>
        <v/>
      </c>
      <c r="AM202" s="187">
        <f>IF(AND(ISNUMBER(AM201),ISNUMBER(AM142)),IFERROR(AM201/AM142,""),"")</f>
        <v/>
      </c>
      <c r="AN202" s="187">
        <f>IF(AND(ISNUMBER(AN201),ISNUMBER(AN142)),IFERROR(AN201/AN142,""),"")</f>
        <v/>
      </c>
      <c r="AO202" s="187">
        <f>IF(AND(ISNUMBER(AO201),ISNUMBER(AO142)),IFERROR(AO201/AO142,""),"")</f>
        <v/>
      </c>
      <c r="AP202" s="187">
        <f>IF(AND(ISNUMBER(AP201),ISNUMBER(AP142)),IFERROR(AP201/AP142,""),"")</f>
        <v/>
      </c>
      <c r="AQ202" s="187">
        <f>IF(AND(ISNUMBER(AQ201),ISNUMBER(AQ142)),IFERROR(AQ201/AQ142,""),"")</f>
        <v/>
      </c>
      <c r="AR202" s="187">
        <f>IF(AND(ISNUMBER(AR201),ISNUMBER(AR142)),IFERROR(AR201/AR142,""),"")</f>
        <v/>
      </c>
      <c r="AS202" s="187">
        <f>IF(AND(ISNUMBER(AS201),ISNUMBER(AS142)),IFERROR(AS201/AS142,""),"")</f>
        <v/>
      </c>
      <c r="AT202" s="187">
        <f>IF(AND(ISNUMBER(AT201),ISNUMBER(AT142)),IFERROR(AT201/AT142,""),"")</f>
        <v/>
      </c>
      <c r="AU202" s="187">
        <f>IF(AND(ISNUMBER(AU201),ISNUMBER(AU142)),IFERROR(AU201/AU142,""),"")</f>
        <v/>
      </c>
      <c r="AV202" s="187">
        <f>IF(AND(ISNUMBER(AV201),ISNUMBER(AV142)),IFERROR(AV201/AV142,""),"")</f>
        <v/>
      </c>
      <c r="AW202" s="187">
        <f>IF(AND(ISNUMBER(AW201),ISNUMBER(AW142)),IFERROR(AW201/AW142,""),"")</f>
        <v/>
      </c>
      <c r="AX202" s="187">
        <f>IF(AND(ISNUMBER(AX201),ISNUMBER(AX142)),IFERROR(AX201/AX142,""),"")</f>
        <v/>
      </c>
      <c r="AY202" s="187">
        <f>IF(AND(ISNUMBER(AY201),ISNUMBER(AY142)),IFERROR(AY201/AY142,""),"")</f>
        <v/>
      </c>
      <c r="AZ202" s="187">
        <f>IF(AND(ISNUMBER(AZ201),ISNUMBER(AZ142)),IFERROR(AZ201/AZ142,""),"")</f>
        <v/>
      </c>
      <c r="BA202" s="187">
        <f>IF(AND(ISNUMBER(BA201),ISNUMBER(BA142)),IFERROR(BA201/BA142,""),"")</f>
        <v/>
      </c>
      <c r="BB202" s="187">
        <f>IF(AND(ISNUMBER(BB201),ISNUMBER(BB142)),IFERROR(BB201/BB142,""),"")</f>
        <v/>
      </c>
      <c r="BC202" s="187">
        <f>IF(AND(ISNUMBER(BC201),ISNUMBER(BC142)),IFERROR(BC201/BC142,""),"")</f>
        <v/>
      </c>
      <c r="BD202" s="187">
        <f>IF(AND(ISNUMBER(BD201),ISNUMBER(BD142)),IFERROR(BD201/BD142,""),"")</f>
        <v/>
      </c>
      <c r="BE202" s="187">
        <f>IF(AND(ISNUMBER(BE201),ISNUMBER(BE142)),IFERROR(BE201/BE142,""),"")</f>
        <v/>
      </c>
      <c r="BF202" s="187">
        <f>IF(AND(ISNUMBER(BF201),ISNUMBER(BF142)),IFERROR(BF201/BF142,""),"")</f>
        <v/>
      </c>
      <c r="BG202" s="187">
        <f>IF(AND(ISNUMBER(BG201),ISNUMBER(BG142)),IFERROR(BG201/BG142,""),"")</f>
        <v/>
      </c>
      <c r="BH202" s="187">
        <f>IF(AND(ISNUMBER(BH201),ISNUMBER(BH142)),IFERROR(BH201/BH142,""),"")</f>
        <v/>
      </c>
      <c r="BI202" s="187">
        <f>IF(AND(ISNUMBER(BI201),ISNUMBER(BI142)),IFERROR(BI201/BI142,""),"")</f>
        <v/>
      </c>
      <c r="BJ202" s="187">
        <f>IF(AND(ISNUMBER(BJ201),ISNUMBER(BJ142)),IFERROR(BJ201/BJ142,""),"")</f>
        <v/>
      </c>
      <c r="BK202" s="187">
        <f>IF(AND(ISNUMBER(BK201),ISNUMBER(BK142)),IFERROR(BK201/BK142,""),"")</f>
        <v/>
      </c>
      <c r="BL202" s="187">
        <f>IF(AND(ISNUMBER(BL201),ISNUMBER(BL142)),IFERROR(BL201/BL142,""),"")</f>
        <v/>
      </c>
      <c r="BM202" s="187">
        <f>IF(AND(ISNUMBER(BM201),ISNUMBER(BM142)),IFERROR(BM201/BM142,""),"")</f>
        <v/>
      </c>
      <c r="BN202" s="187">
        <f>IF(AND(ISNUMBER(BN201),ISNUMBER(BN142)),IFERROR(BN201/BN142,""),"")</f>
        <v/>
      </c>
      <c r="BO202" s="187">
        <f>IF(AND(ISNUMBER(BO201),ISNUMBER(BO142)),IFERROR(BO201/BO142,""),"")</f>
        <v/>
      </c>
      <c r="BP202" s="187">
        <f>IF(AND(ISNUMBER(BP201),ISNUMBER(BP142)),IFERROR(BP201/BP142,""),"")</f>
        <v/>
      </c>
      <c r="BQ202" s="187">
        <f>IF(AND(ISNUMBER(BQ201),ISNUMBER(BQ142)),IFERROR(BQ201/BQ142,""),"")</f>
        <v/>
      </c>
      <c r="BR202" s="187">
        <f>IF(AND(ISNUMBER(BR201),ISNUMBER(BR142)),IFERROR(BR201/BR142,""),"")</f>
        <v/>
      </c>
      <c r="BS202" s="187">
        <f>IF(AND(ISNUMBER(BS201),ISNUMBER(BS142)),IFERROR(BS201/BS142,""),"")</f>
        <v/>
      </c>
      <c r="BT202" s="187">
        <f>IF(AND(ISNUMBER(BT201),ISNUMBER(BT142)),IFERROR(BT201/BT142,""),"")</f>
        <v/>
      </c>
      <c r="BU202" s="187">
        <f>IF(AND(ISNUMBER(BU201),ISNUMBER(BU142)),IFERROR(BU201/BU142,""),"")</f>
        <v/>
      </c>
      <c r="BV202" s="187">
        <f>IF(AND(ISNUMBER(BV201),ISNUMBER(BV142)),IFERROR(BV201/BV142,""),"")</f>
        <v/>
      </c>
      <c r="BW202" s="187">
        <f>IF(AND(ISNUMBER(BW201),ISNUMBER(BW142)),IFERROR(BW201/BW142,""),"")</f>
        <v/>
      </c>
      <c r="BX202" s="187">
        <f>IF(AND(ISNUMBER(BX201),ISNUMBER(BX142)),IFERROR(BX201/BX142,""),"")</f>
        <v/>
      </c>
      <c r="BY202" s="180">
        <f>IF(AND(ISNUMBER(BY201),ISNUMBER(BY142)),IFERROR(BY201/BY142,""),"")</f>
        <v/>
      </c>
      <c r="BZ202" s="180">
        <f>IF(AND(ISNUMBER(BZ201),ISNUMBER(BZ142)),IFERROR(BZ201/BZ142,""),"")</f>
        <v/>
      </c>
      <c r="CA202" s="180">
        <f>IF(AND(ISNUMBER(CA201),ISNUMBER(CA142)),IFERROR(CA201/CA142,""),"")</f>
        <v/>
      </c>
      <c r="CB202" s="180">
        <f>IF(AND(ISNUMBER(CB201),ISNUMBER(CB142)),IFERROR(CB201/CB142,""),"")</f>
        <v/>
      </c>
      <c r="CC202" s="180">
        <f>IF(AND(ISNUMBER(CC201),ISNUMBER(CC142)),IFERROR(CC201/CC142,""),"")</f>
        <v/>
      </c>
      <c r="CD202" s="180">
        <f>IF(AND(ISNUMBER(CD201),ISNUMBER(CD142)),IFERROR(CD201/CD142,""),"")</f>
        <v/>
      </c>
      <c r="CE202" s="180">
        <f>IF(AND(ISNUMBER(CE201),ISNUMBER(CE142)),IFERROR(CE201/CE142,""),"")</f>
        <v/>
      </c>
      <c r="CF202" s="6" t="n"/>
      <c r="CH202" s="39">
        <f>IFERROR(AVERAGE(CA202,CB202,CC202,CD202,CE202),"n/m")</f>
        <v/>
      </c>
      <c r="CI202" s="39">
        <f>IFERROR(AVERAGE(BB202,BG202,BL202,BQ202,BV202),"n/m")</f>
        <v/>
      </c>
      <c r="CJ202" s="39">
        <f>IFERROR(AVERAGE(AC202,AH202,AM202,AR202,AW202,BB202,BG202,BL202,BQ202,BV202),"n/m")</f>
        <v/>
      </c>
      <c r="CK202" s="39">
        <f>IFERROR(AVERAGE(C202,D202,E202,F202,G202,H202,I202,N202,S202,X202,AC202,AH202,AM202,AR202,AW202,BB202,BG202,BL202,BQ202,BV202),"n/m")</f>
        <v/>
      </c>
    </row>
    <row r="203" ht="15" customHeight="1"/>
    <row r="204" ht="15" customHeight="1">
      <c r="B204" s="11" t="inlineStr">
        <is>
          <t>RECONCILIATION: GAAP INCOME FROM OPERATIONS → ADJUSTED INCOME FROM OPERATIONS (company definition, as published)</t>
        </is>
      </c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  <c r="AH204" s="11" t="n"/>
      <c r="AI204" s="11" t="n"/>
      <c r="AJ204" s="11" t="n"/>
      <c r="AK204" s="11" t="n"/>
      <c r="AL204" s="11" t="n"/>
      <c r="AM204" s="11" t="n"/>
      <c r="AN204" s="11" t="n"/>
      <c r="AO204" s="11" t="n"/>
      <c r="AP204" s="11" t="n"/>
      <c r="AQ204" s="11" t="n"/>
      <c r="AR204" s="11" t="n"/>
      <c r="AS204" s="11" t="n"/>
      <c r="AT204" s="11" t="n"/>
      <c r="AU204" s="11" t="n"/>
      <c r="AV204" s="11" t="n"/>
      <c r="AW204" s="11" t="n"/>
      <c r="AX204" s="11" t="n"/>
      <c r="AY204" s="11" t="n"/>
      <c r="AZ204" s="11" t="n"/>
      <c r="BA204" s="11" t="n"/>
      <c r="BB204" s="11" t="n"/>
      <c r="BC204" s="11" t="n"/>
      <c r="BD204" s="11" t="n"/>
      <c r="BE204" s="11" t="n"/>
      <c r="BF204" s="11" t="n"/>
      <c r="BG204" s="11" t="n"/>
      <c r="BH204" s="11" t="n"/>
      <c r="BI204" s="11" t="n"/>
      <c r="BJ204" s="11" t="n"/>
      <c r="BK204" s="11" t="n"/>
      <c r="BL204" s="11" t="n"/>
      <c r="BM204" s="11" t="n"/>
      <c r="BN204" s="11" t="n"/>
      <c r="BO204" s="11" t="n"/>
      <c r="BP204" s="11" t="n"/>
      <c r="BQ204" s="11" t="n"/>
      <c r="BR204" s="11" t="n"/>
      <c r="BS204" s="11" t="n"/>
      <c r="BT204" s="11" t="n"/>
      <c r="BU204" s="11" t="n"/>
      <c r="BV204" s="11" t="n"/>
      <c r="BW204" s="11" t="n"/>
      <c r="BX204" s="11" t="n"/>
      <c r="BY204" s="11" t="n"/>
      <c r="BZ204" s="11" t="n"/>
      <c r="CA204" s="11" t="n"/>
      <c r="CB204" s="11" t="n"/>
      <c r="CC204" s="11" t="n"/>
      <c r="CD204" s="11" t="n"/>
      <c r="CE204" s="11" t="n"/>
      <c r="CF204" s="11" t="inlineStr">
        <is>
          <t>ADJUSTED OPERATING INCOME — Wabtec "Reconciliation of Reported Results to Adjusted Results" (income-from-operations column)</t>
        </is>
      </c>
    </row>
    <row r="205" ht="15" customHeight="1">
      <c r="B205" s="17" t="inlineStr">
        <is>
          <t>Income from operations (GAAP)</t>
        </is>
      </c>
      <c r="C205" s="198">
        <f>C150</f>
        <v/>
      </c>
      <c r="D205" s="198">
        <f>D150</f>
        <v/>
      </c>
      <c r="E205" s="198">
        <f>E150</f>
        <v/>
      </c>
      <c r="F205" s="198">
        <f>F150</f>
        <v/>
      </c>
      <c r="G205" s="198">
        <f>G150</f>
        <v/>
      </c>
      <c r="H205" s="198">
        <f>H150</f>
        <v/>
      </c>
      <c r="I205" s="198">
        <f>I150</f>
        <v/>
      </c>
      <c r="J205" s="198">
        <f>J150</f>
        <v/>
      </c>
      <c r="K205" s="198">
        <f>K150</f>
        <v/>
      </c>
      <c r="L205" s="198">
        <f>L150</f>
        <v/>
      </c>
      <c r="M205" s="198">
        <f>M150</f>
        <v/>
      </c>
      <c r="N205" s="198">
        <f>N150</f>
        <v/>
      </c>
      <c r="O205" s="198">
        <f>O150</f>
        <v/>
      </c>
      <c r="P205" s="198">
        <f>P150</f>
        <v/>
      </c>
      <c r="Q205" s="198">
        <f>Q150</f>
        <v/>
      </c>
      <c r="R205" s="198">
        <f>R150</f>
        <v/>
      </c>
      <c r="S205" s="198">
        <f>S150</f>
        <v/>
      </c>
      <c r="T205" s="198">
        <f>T150</f>
        <v/>
      </c>
      <c r="U205" s="198">
        <f>U150</f>
        <v/>
      </c>
      <c r="V205" s="198">
        <f>V150</f>
        <v/>
      </c>
      <c r="W205" s="198">
        <f>W150</f>
        <v/>
      </c>
      <c r="X205" s="198">
        <f>X150</f>
        <v/>
      </c>
      <c r="Y205" s="198">
        <f>Y150</f>
        <v/>
      </c>
      <c r="Z205" s="198">
        <f>Z150</f>
        <v/>
      </c>
      <c r="AA205" s="198">
        <f>AA150</f>
        <v/>
      </c>
      <c r="AB205" s="198">
        <f>AB150</f>
        <v/>
      </c>
      <c r="AC205" s="198">
        <f>AC150</f>
        <v/>
      </c>
      <c r="AD205" s="198">
        <f>AD150</f>
        <v/>
      </c>
      <c r="AE205" s="198">
        <f>AE150</f>
        <v/>
      </c>
      <c r="AF205" s="198">
        <f>AF150</f>
        <v/>
      </c>
      <c r="AG205" s="198">
        <f>AG150</f>
        <v/>
      </c>
      <c r="AH205" s="198">
        <f>AH150</f>
        <v/>
      </c>
      <c r="AI205" s="198">
        <f>AI150</f>
        <v/>
      </c>
      <c r="AJ205" s="198">
        <f>AJ150</f>
        <v/>
      </c>
      <c r="AK205" s="198">
        <f>AK150</f>
        <v/>
      </c>
      <c r="AL205" s="198">
        <f>AL150</f>
        <v/>
      </c>
      <c r="AM205" s="198">
        <f>AM150</f>
        <v/>
      </c>
      <c r="AN205" s="198">
        <f>AN150</f>
        <v/>
      </c>
      <c r="AO205" s="198">
        <f>AO150</f>
        <v/>
      </c>
      <c r="AP205" s="198">
        <f>AP150</f>
        <v/>
      </c>
      <c r="AQ205" s="198">
        <f>AQ150</f>
        <v/>
      </c>
      <c r="AR205" s="198">
        <f>AR150</f>
        <v/>
      </c>
      <c r="AS205" s="198">
        <f>AS150</f>
        <v/>
      </c>
      <c r="AT205" s="198">
        <f>AT150</f>
        <v/>
      </c>
      <c r="AU205" s="198">
        <f>AU150</f>
        <v/>
      </c>
      <c r="AV205" s="198">
        <f>AV150</f>
        <v/>
      </c>
      <c r="AW205" s="198">
        <f>AW150</f>
        <v/>
      </c>
      <c r="AX205" s="198">
        <f>AX150</f>
        <v/>
      </c>
      <c r="AY205" s="198">
        <f>AY150</f>
        <v/>
      </c>
      <c r="AZ205" s="198">
        <f>AZ150</f>
        <v/>
      </c>
      <c r="BA205" s="198">
        <f>BA150</f>
        <v/>
      </c>
      <c r="BB205" s="198">
        <f>BB150</f>
        <v/>
      </c>
      <c r="BC205" s="198">
        <f>BC150</f>
        <v/>
      </c>
      <c r="BD205" s="198">
        <f>BD150</f>
        <v/>
      </c>
      <c r="BE205" s="198">
        <f>BE150</f>
        <v/>
      </c>
      <c r="BF205" s="198">
        <f>BF150</f>
        <v/>
      </c>
      <c r="BG205" s="198">
        <f>BG150</f>
        <v/>
      </c>
      <c r="BH205" s="198">
        <f>BH150</f>
        <v/>
      </c>
      <c r="BI205" s="198">
        <f>BI150</f>
        <v/>
      </c>
      <c r="BJ205" s="198">
        <f>BJ150</f>
        <v/>
      </c>
      <c r="BK205" s="198">
        <f>BK150</f>
        <v/>
      </c>
      <c r="BL205" s="198">
        <f>BL150</f>
        <v/>
      </c>
      <c r="BM205" s="198">
        <f>BM150</f>
        <v/>
      </c>
      <c r="BN205" s="198">
        <f>BN150</f>
        <v/>
      </c>
      <c r="BO205" s="198">
        <f>BO150</f>
        <v/>
      </c>
      <c r="BP205" s="198">
        <f>BP150</f>
        <v/>
      </c>
      <c r="BQ205" s="198">
        <f>BQ150</f>
        <v/>
      </c>
      <c r="BR205" s="198">
        <f>BR150</f>
        <v/>
      </c>
      <c r="BS205" s="198">
        <f>BS150</f>
        <v/>
      </c>
      <c r="BT205" s="198">
        <f>BT150</f>
        <v/>
      </c>
      <c r="BU205" s="198">
        <f>BU150</f>
        <v/>
      </c>
      <c r="BV205" s="198">
        <f>BV150</f>
        <v/>
      </c>
      <c r="BW205" s="198">
        <f>BW150</f>
        <v/>
      </c>
      <c r="BX205" s="198">
        <f>BX150</f>
        <v/>
      </c>
      <c r="BY205" s="185">
        <f>BY150</f>
        <v/>
      </c>
      <c r="BZ205" s="185">
        <f>BZ150</f>
        <v/>
      </c>
      <c r="CA205" s="185">
        <f>CA150</f>
        <v/>
      </c>
      <c r="CB205" s="185">
        <f>CB150</f>
        <v/>
      </c>
      <c r="CC205" s="185">
        <f>CC150</f>
        <v/>
      </c>
      <c r="CD205" s="185">
        <f>CD150</f>
        <v/>
      </c>
      <c r="CE205" s="185">
        <f>CE150</f>
        <v/>
      </c>
      <c r="CF205" s="6" t="n"/>
    </row>
    <row r="206" ht="15" customHeight="1">
      <c r="B206" s="26" t="inlineStr">
        <is>
          <t xml:space="preserve">  (+) Restructuring, integration &amp; portfolio optimization costs</t>
        </is>
      </c>
      <c r="C206" s="174" t="n">
        <v>6.8</v>
      </c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174" t="n">
        <v>3.8</v>
      </c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174" t="n">
        <v>8.9</v>
      </c>
      <c r="AE206" s="174" t="n">
        <v>9</v>
      </c>
      <c r="AF206" s="174" t="n">
        <v>5.9</v>
      </c>
      <c r="AG206" s="174" t="n">
        <v>17.7</v>
      </c>
      <c r="AH206" s="174" t="n">
        <v>41.5</v>
      </c>
      <c r="AI206" s="174" t="n">
        <v>1</v>
      </c>
      <c r="AJ206" s="174" t="n">
        <v>3.8</v>
      </c>
      <c r="AK206" s="174" t="n">
        <v>2.4</v>
      </c>
      <c r="AL206" s="174" t="n">
        <v>31.1</v>
      </c>
      <c r="AM206" s="174" t="n">
        <v>37.9</v>
      </c>
      <c r="AN206" s="174" t="n">
        <v>58.9</v>
      </c>
      <c r="AO206" s="174" t="n">
        <v>31.4</v>
      </c>
      <c r="AP206" s="174" t="n">
        <v>68.5</v>
      </c>
      <c r="AQ206" s="174" t="n">
        <v>71</v>
      </c>
      <c r="AR206" s="174" t="n">
        <v>229.8</v>
      </c>
      <c r="AS206" s="174" t="n">
        <v>16.9</v>
      </c>
      <c r="AT206" s="174" t="n">
        <v>30.6</v>
      </c>
      <c r="AU206" s="174" t="n">
        <v>16.4</v>
      </c>
      <c r="AV206" s="174" t="n">
        <v>51.4</v>
      </c>
      <c r="AW206" s="174" t="n">
        <v>115.3</v>
      </c>
      <c r="AX206" s="174" t="n">
        <v>15.5</v>
      </c>
      <c r="AY206" s="174" t="n">
        <v>29.6</v>
      </c>
      <c r="AZ206" s="174" t="n">
        <v>35.1</v>
      </c>
      <c r="BA206" s="174" t="n">
        <v>-2</v>
      </c>
      <c r="BB206" s="174" t="n">
        <v>78</v>
      </c>
      <c r="BC206" s="174" t="n">
        <v>7</v>
      </c>
      <c r="BD206" s="174" t="n">
        <v>4</v>
      </c>
      <c r="BE206" s="174" t="n">
        <v>9</v>
      </c>
      <c r="BF206" s="174" t="n">
        <v>32</v>
      </c>
      <c r="BG206" s="174" t="n">
        <v>52</v>
      </c>
      <c r="BH206" s="174" t="n">
        <v>9</v>
      </c>
      <c r="BI206" s="174" t="n">
        <v>10</v>
      </c>
      <c r="BJ206" s="174" t="n">
        <v>13</v>
      </c>
      <c r="BK206" s="174" t="n">
        <v>47</v>
      </c>
      <c r="BL206" s="174" t="n">
        <v>79</v>
      </c>
      <c r="BM206" s="174" t="n">
        <v>10</v>
      </c>
      <c r="BN206" s="174" t="n">
        <v>10</v>
      </c>
      <c r="BO206" s="174" t="n">
        <v>18</v>
      </c>
      <c r="BP206" s="174" t="n">
        <v>32</v>
      </c>
      <c r="BQ206" s="174" t="n">
        <v>70</v>
      </c>
      <c r="BR206" s="174" t="n">
        <v>9</v>
      </c>
      <c r="BS206" s="174" t="n">
        <v>6</v>
      </c>
      <c r="BT206" s="174" t="n">
        <v>6</v>
      </c>
      <c r="BU206" s="174" t="n">
        <v>55</v>
      </c>
      <c r="BV206" s="174" t="n">
        <v>76</v>
      </c>
      <c r="BW206" s="174" t="n">
        <v>5</v>
      </c>
      <c r="BX206" s="174" t="n">
        <v>0</v>
      </c>
      <c r="BY206" s="178">
        <f>($CP$20-(BW206+BX206))/2</f>
        <v/>
      </c>
      <c r="BZ206" s="178">
        <f>($CP$20-(BW206+BX206))/2</f>
        <v/>
      </c>
      <c r="CA206" s="178">
        <f>SUM(BW206,BX206,BY206,BZ206)</f>
        <v/>
      </c>
      <c r="CB206" s="188" t="n">
        <v>20</v>
      </c>
      <c r="CC206" s="188" t="n">
        <v>20</v>
      </c>
      <c r="CD206" s="188" t="n">
        <v>20</v>
      </c>
      <c r="CE206" s="188" t="n">
        <v>20</v>
      </c>
      <c r="CF206" s="20" t="inlineStr">
        <is>
          <t>Q3/Q4-26E: FY26 point estimate less 1H/26; 2027E+ input (Wabtec has reported restructuring every year since 2016).</t>
        </is>
      </c>
    </row>
    <row r="207" ht="15" customHeight="1">
      <c r="B207" s="26" t="inlineStr">
        <is>
          <t xml:space="preserve">  (+) Inventory purchase-accounting (step-up) charge</t>
        </is>
      </c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174" t="n">
        <v>80</v>
      </c>
      <c r="AO207" s="174" t="n">
        <v>89</v>
      </c>
      <c r="AP207" s="174" t="n">
        <v>16</v>
      </c>
      <c r="AQ207" s="36" t="n"/>
      <c r="AR207" s="174" t="n">
        <v>185</v>
      </c>
      <c r="AS207" s="36" t="n"/>
      <c r="AT207" s="36" t="n"/>
      <c r="AU207" s="36" t="n"/>
      <c r="AV207" s="36" t="n"/>
      <c r="AW207" s="36" t="n"/>
      <c r="AX207" s="36" t="n"/>
      <c r="AY207" s="36" t="n"/>
      <c r="AZ207" s="36" t="n"/>
      <c r="BA207" s="36" t="n"/>
      <c r="BB207" s="36" t="n"/>
      <c r="BC207" s="36" t="n"/>
      <c r="BD207" s="36" t="n"/>
      <c r="BE207" s="36" t="n"/>
      <c r="BF207" s="36" t="n"/>
      <c r="BG207" s="36" t="n"/>
      <c r="BH207" s="36" t="n"/>
      <c r="BI207" s="36" t="n"/>
      <c r="BJ207" s="36" t="n"/>
      <c r="BK207" s="36" t="n"/>
      <c r="BL207" s="36" t="n"/>
      <c r="BM207" s="36" t="n"/>
      <c r="BN207" s="36" t="n"/>
      <c r="BO207" s="36" t="n"/>
      <c r="BP207" s="36" t="n"/>
      <c r="BQ207" s="36" t="n"/>
      <c r="BR207" s="174" t="n">
        <v>0</v>
      </c>
      <c r="BS207" s="174" t="n">
        <v>0</v>
      </c>
      <c r="BT207" s="174" t="n">
        <v>24</v>
      </c>
      <c r="BU207" s="174" t="n">
        <v>29</v>
      </c>
      <c r="BV207" s="174" t="n">
        <v>53</v>
      </c>
      <c r="BW207" s="174" t="n">
        <v>23</v>
      </c>
      <c r="BX207" s="174" t="n">
        <v>5</v>
      </c>
      <c r="BY207" s="188" t="n">
        <v>0</v>
      </c>
      <c r="BZ207" s="188" t="n">
        <v>0</v>
      </c>
      <c r="CA207" s="178">
        <f>SUM(BW207,BX207,BY207,BZ207)</f>
        <v/>
      </c>
      <c r="CB207" s="188" t="n">
        <v>0</v>
      </c>
      <c r="CC207" s="188" t="n">
        <v>0</v>
      </c>
      <c r="CD207" s="188" t="n">
        <v>0</v>
      </c>
      <c r="CE207" s="188" t="n">
        <v>0</v>
      </c>
      <c r="CF207" s="20" t="inlineStr">
        <is>
          <t>Inventory step-ups: Inspection Technologies $24m (Q3-25), Frauscher / Dellner $29m (Q4-25 – 1H/26). Fully expensed by Q2/26 — none forecast.</t>
        </is>
      </c>
    </row>
    <row r="208" ht="15" customHeight="1">
      <c r="B208" s="26" t="inlineStr">
        <is>
          <t xml:space="preserve">  (+) Transaction / acquisition costs</t>
        </is>
      </c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174" t="n">
        <v>3.6</v>
      </c>
      <c r="Z208" s="174" t="n">
        <v>5.8</v>
      </c>
      <c r="AA208" s="174" t="n">
        <v>3.2</v>
      </c>
      <c r="AB208" s="174" t="n">
        <v>26</v>
      </c>
      <c r="AC208" s="174" t="n">
        <v>39</v>
      </c>
      <c r="AD208" s="36" t="n"/>
      <c r="AE208" s="36" t="n"/>
      <c r="AF208" s="36" t="n"/>
      <c r="AG208" s="36" t="n"/>
      <c r="AH208" s="36" t="n"/>
      <c r="AI208" s="36" t="n"/>
      <c r="AJ208" s="174" t="n">
        <v>9.199999999999999</v>
      </c>
      <c r="AK208" s="174" t="n">
        <v>7.2</v>
      </c>
      <c r="AL208" s="174" t="n">
        <v>6.9</v>
      </c>
      <c r="AM208" s="174" t="n">
        <v>23.3</v>
      </c>
      <c r="AN208" s="36" t="n"/>
      <c r="AO208" s="36" t="n"/>
      <c r="AP208" s="36" t="n"/>
      <c r="AQ208" s="36" t="n"/>
      <c r="AR208" s="36" t="n"/>
      <c r="AS208" s="36" t="n"/>
      <c r="AT208" s="36" t="n"/>
      <c r="AU208" s="36" t="n"/>
      <c r="AV208" s="36" t="n"/>
      <c r="AW208" s="36" t="n"/>
      <c r="AX208" s="36" t="n"/>
      <c r="AY208" s="36" t="n"/>
      <c r="AZ208" s="36" t="n"/>
      <c r="BA208" s="36" t="n"/>
      <c r="BB208" s="36" t="n"/>
      <c r="BC208" s="36" t="n"/>
      <c r="BD208" s="36" t="n"/>
      <c r="BE208" s="36" t="n"/>
      <c r="BF208" s="36" t="n"/>
      <c r="BG208" s="36" t="n"/>
      <c r="BH208" s="36" t="n"/>
      <c r="BI208" s="36" t="n"/>
      <c r="BJ208" s="36" t="n"/>
      <c r="BK208" s="36" t="n"/>
      <c r="BL208" s="36" t="n"/>
      <c r="BM208" s="36" t="n"/>
      <c r="BN208" s="36" t="n"/>
      <c r="BO208" s="36" t="n"/>
      <c r="BP208" s="36" t="n"/>
      <c r="BQ208" s="36" t="n"/>
      <c r="BR208" s="174" t="n">
        <v>10</v>
      </c>
      <c r="BS208" s="174" t="n">
        <v>25</v>
      </c>
      <c r="BT208" s="174" t="n">
        <v>9</v>
      </c>
      <c r="BU208" s="174" t="n">
        <v>5</v>
      </c>
      <c r="BV208" s="174" t="n">
        <v>49</v>
      </c>
      <c r="BW208" s="174" t="n">
        <v>13</v>
      </c>
      <c r="BX208" s="174" t="n">
        <v>1</v>
      </c>
      <c r="BY208" s="188" t="n">
        <v>2</v>
      </c>
      <c r="BZ208" s="188" t="n">
        <v>2</v>
      </c>
      <c r="CA208" s="178">
        <f>SUM(BW208,BX208,BY208,BZ208)</f>
        <v/>
      </c>
      <c r="CB208" s="188" t="n">
        <v>0</v>
      </c>
      <c r="CC208" s="188" t="n">
        <v>0</v>
      </c>
      <c r="CD208" s="188" t="n">
        <v>0</v>
      </c>
      <c r="CE208" s="188" t="n">
        <v>0</v>
      </c>
      <c r="CF208" s="20" t="n"/>
    </row>
    <row r="209" ht="15" customHeight="1">
      <c r="B209" s="26" t="inlineStr">
        <is>
          <t xml:space="preserve">  (+) Non-cash amortization expense (added back where in the company definition)</t>
        </is>
      </c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174" t="n">
        <v>69</v>
      </c>
      <c r="AT209" s="174" t="n">
        <v>72.3</v>
      </c>
      <c r="AU209" s="174" t="n">
        <v>70.3</v>
      </c>
      <c r="AV209" s="174" t="n">
        <v>70.8</v>
      </c>
      <c r="AW209" s="174" t="n">
        <v>282.4</v>
      </c>
      <c r="AX209" s="174" t="n">
        <v>69.5</v>
      </c>
      <c r="AY209" s="174" t="n">
        <v>72.7</v>
      </c>
      <c r="AZ209" s="174" t="n">
        <v>72.5</v>
      </c>
      <c r="BA209" s="174" t="n">
        <v>72</v>
      </c>
      <c r="BB209" s="174" t="n">
        <v>287</v>
      </c>
      <c r="BC209" s="174" t="n">
        <v>73</v>
      </c>
      <c r="BD209" s="174" t="n">
        <v>72</v>
      </c>
      <c r="BE209" s="174" t="n">
        <v>73</v>
      </c>
      <c r="BF209" s="174" t="n">
        <v>73</v>
      </c>
      <c r="BG209" s="174" t="n">
        <v>291</v>
      </c>
      <c r="BH209" s="174" t="n">
        <v>75</v>
      </c>
      <c r="BI209" s="174" t="n">
        <v>73</v>
      </c>
      <c r="BJ209" s="174" t="n">
        <v>74</v>
      </c>
      <c r="BK209" s="174" t="n">
        <v>76</v>
      </c>
      <c r="BL209" s="174" t="n">
        <v>298</v>
      </c>
      <c r="BM209" s="174" t="n">
        <v>73</v>
      </c>
      <c r="BN209" s="174" t="n">
        <v>70</v>
      </c>
      <c r="BO209" s="174" t="n">
        <v>73</v>
      </c>
      <c r="BP209" s="174" t="n">
        <v>72</v>
      </c>
      <c r="BQ209" s="174" t="n">
        <v>288</v>
      </c>
      <c r="BR209" s="174" t="n">
        <v>72</v>
      </c>
      <c r="BS209" s="174" t="n">
        <v>69</v>
      </c>
      <c r="BT209" s="174" t="n">
        <v>77</v>
      </c>
      <c r="BU209" s="174" t="n">
        <v>78</v>
      </c>
      <c r="BV209" s="174" t="n">
        <v>296</v>
      </c>
      <c r="BW209" s="174" t="n">
        <v>87</v>
      </c>
      <c r="BX209" s="174" t="n">
        <v>91</v>
      </c>
      <c r="BY209" s="178">
        <f>BY148</f>
        <v/>
      </c>
      <c r="BZ209" s="178">
        <f>BZ148</f>
        <v/>
      </c>
      <c r="CA209" s="178">
        <f>SUM(BW209,BX209,BY209,BZ209)</f>
        <v/>
      </c>
      <c r="CB209" s="178">
        <f>CB148</f>
        <v/>
      </c>
      <c r="CC209" s="178">
        <f>CC148</f>
        <v/>
      </c>
      <c r="CD209" s="178">
        <f>CD148</f>
        <v/>
      </c>
      <c r="CE209" s="178">
        <f>CE148</f>
        <v/>
      </c>
      <c r="CF209" s="20" t="inlineStr">
        <is>
          <t>Forecast: all amortization of acquired intangibles added back (current company definition).</t>
        </is>
      </c>
    </row>
    <row r="210" ht="15" customHeight="1">
      <c r="B210" s="26" t="inlineStr">
        <is>
          <t xml:space="preserve">  (+) Contract adjustments / loss provisions</t>
        </is>
      </c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174" t="n">
        <v>1.9</v>
      </c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174" t="n">
        <v>20.4</v>
      </c>
      <c r="AG210" s="174" t="n">
        <v>24.1</v>
      </c>
      <c r="AH210" s="174" t="n">
        <v>44.5</v>
      </c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  <c r="AU210" s="36" t="n"/>
      <c r="AV210" s="36" t="n"/>
      <c r="AW210" s="36" t="n"/>
      <c r="AX210" s="36" t="n"/>
      <c r="AY210" s="36" t="n"/>
      <c r="AZ210" s="36" t="n"/>
      <c r="BA210" s="36" t="n"/>
      <c r="BB210" s="36" t="n"/>
      <c r="BC210" s="36" t="n"/>
      <c r="BD210" s="36" t="n"/>
      <c r="BE210" s="36" t="n"/>
      <c r="BF210" s="36" t="n"/>
      <c r="BG210" s="36" t="n"/>
      <c r="BH210" s="36" t="n"/>
      <c r="BI210" s="36" t="n"/>
      <c r="BJ210" s="36" t="n"/>
      <c r="BK210" s="36" t="n"/>
      <c r="BL210" s="36" t="n"/>
      <c r="BM210" s="36" t="n"/>
      <c r="BN210" s="36" t="n"/>
      <c r="BO210" s="36" t="n"/>
      <c r="BP210" s="36" t="n"/>
      <c r="BQ210" s="36" t="n"/>
      <c r="BR210" s="36" t="n"/>
      <c r="BS210" s="36" t="n"/>
      <c r="BT210" s="36" t="n"/>
      <c r="BU210" s="36" t="n"/>
      <c r="BV210" s="36" t="n"/>
      <c r="BW210" s="36" t="n"/>
      <c r="BX210" s="36" t="n"/>
      <c r="BY210" s="37" t="n"/>
      <c r="BZ210" s="37" t="n"/>
      <c r="CA210" s="37" t="n"/>
      <c r="CB210" s="37" t="n"/>
      <c r="CC210" s="37" t="n"/>
      <c r="CD210" s="37" t="n"/>
      <c r="CE210" s="37" t="n"/>
      <c r="CF210" s="20" t="n"/>
    </row>
    <row r="211" ht="15" customHeight="1">
      <c r="B211" s="26" t="inlineStr">
        <is>
          <t xml:space="preserve">  (+/−) Litigation, legal &amp; settlement items</t>
        </is>
      </c>
      <c r="C211" s="36" t="n"/>
      <c r="D211" s="36" t="n"/>
      <c r="E211" s="36" t="n"/>
      <c r="F211" s="36" t="n"/>
      <c r="G211" s="36" t="n"/>
      <c r="H211" s="174" t="n">
        <v>18.1</v>
      </c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174" t="n">
        <v>6.7</v>
      </c>
      <c r="AM211" s="174" t="n">
        <v>6.7</v>
      </c>
      <c r="AN211" s="36" t="n"/>
      <c r="AO211" s="36" t="n"/>
      <c r="AP211" s="36" t="n"/>
      <c r="AQ211" s="36" t="n"/>
      <c r="AR211" s="36" t="n"/>
      <c r="AS211" s="36" t="n"/>
      <c r="AT211" s="36" t="n"/>
      <c r="AU211" s="36" t="n"/>
      <c r="AV211" s="36" t="n"/>
      <c r="AW211" s="36" t="n"/>
      <c r="AX211" s="36" t="n"/>
      <c r="AY211" s="36" t="n"/>
      <c r="AZ211" s="36" t="n"/>
      <c r="BA211" s="36" t="n"/>
      <c r="BB211" s="36" t="n"/>
      <c r="BC211" s="36" t="n"/>
      <c r="BD211" s="36" t="n"/>
      <c r="BE211" s="36" t="n"/>
      <c r="BF211" s="36" t="n"/>
      <c r="BG211" s="36" t="n"/>
      <c r="BH211" s="36" t="n"/>
      <c r="BI211" s="36" t="n"/>
      <c r="BJ211" s="36" t="n"/>
      <c r="BK211" s="36" t="n"/>
      <c r="BL211" s="36" t="n"/>
      <c r="BM211" s="36" t="n"/>
      <c r="BN211" s="36" t="n"/>
      <c r="BO211" s="36" t="n"/>
      <c r="BP211" s="36" t="n"/>
      <c r="BQ211" s="36" t="n"/>
      <c r="BR211" s="36" t="n"/>
      <c r="BS211" s="36" t="n"/>
      <c r="BT211" s="36" t="n"/>
      <c r="BU211" s="36" t="n"/>
      <c r="BV211" s="36" t="n"/>
      <c r="BW211" s="36" t="n"/>
      <c r="BX211" s="36" t="n"/>
      <c r="BY211" s="37" t="n"/>
      <c r="BZ211" s="37" t="n"/>
      <c r="CA211" s="37" t="n"/>
      <c r="CB211" s="37" t="n"/>
      <c r="CC211" s="37" t="n"/>
      <c r="CD211" s="37" t="n"/>
      <c r="CE211" s="37" t="n"/>
      <c r="CF211" s="20" t="n"/>
    </row>
    <row r="212" ht="15" customHeight="1">
      <c r="B212" s="26" t="inlineStr">
        <is>
          <t xml:space="preserve">  (+/−) Other operating-level items</t>
        </is>
      </c>
      <c r="C212" s="36" t="n"/>
      <c r="D212" s="36" t="n"/>
      <c r="E212" s="36" t="n"/>
      <c r="F212" s="36" t="n"/>
      <c r="G212" s="36" t="n"/>
      <c r="H212" s="174" t="n">
        <v>-2.4</v>
      </c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174" t="n">
        <v>15</v>
      </c>
      <c r="AC212" s="174" t="n">
        <v>16</v>
      </c>
      <c r="AD212" s="36" t="n"/>
      <c r="AE212" s="36" t="n"/>
      <c r="AF212" s="36" t="n"/>
      <c r="AG212" s="36" t="n"/>
      <c r="AH212" s="36" t="n"/>
      <c r="AI212" s="36" t="n"/>
      <c r="AJ212" s="174" t="n">
        <v>4</v>
      </c>
      <c r="AK212" s="174" t="n">
        <v>0.8</v>
      </c>
      <c r="AL212" s="174" t="n">
        <v>2.4</v>
      </c>
      <c r="AM212" s="174" t="n">
        <v>7.2</v>
      </c>
      <c r="AN212" s="174" t="n">
        <v>14</v>
      </c>
      <c r="AO212" s="174" t="n">
        <v>-1</v>
      </c>
      <c r="AP212" s="174" t="n">
        <v>63</v>
      </c>
      <c r="AQ212" s="174" t="n">
        <v>15.6</v>
      </c>
      <c r="AR212" s="174" t="n">
        <v>91.59999999999999</v>
      </c>
      <c r="AS212" s="36" t="n"/>
      <c r="AT212" s="36" t="n"/>
      <c r="AU212" s="36" t="n"/>
      <c r="AV212" s="36" t="n"/>
      <c r="AW212" s="36" t="n"/>
      <c r="AX212" s="36" t="n"/>
      <c r="AY212" s="36" t="n"/>
      <c r="AZ212" s="36" t="n"/>
      <c r="BA212" s="36" t="n"/>
      <c r="BB212" s="36" t="n"/>
      <c r="BC212" s="36" t="n"/>
      <c r="BD212" s="36" t="n"/>
      <c r="BE212" s="36" t="n"/>
      <c r="BF212" s="36" t="n"/>
      <c r="BG212" s="36" t="n"/>
      <c r="BH212" s="174" t="n">
        <v>0</v>
      </c>
      <c r="BI212" s="174" t="n">
        <v>0</v>
      </c>
      <c r="BJ212" s="174" t="n">
        <v>0</v>
      </c>
      <c r="BK212" s="174" t="n">
        <v>0</v>
      </c>
      <c r="BL212" s="174" t="n">
        <v>0</v>
      </c>
      <c r="BM212" s="174" t="n">
        <v>0</v>
      </c>
      <c r="BN212" s="174" t="n">
        <v>0</v>
      </c>
      <c r="BO212" s="174" t="n">
        <v>0</v>
      </c>
      <c r="BP212" s="174" t="n">
        <v>0</v>
      </c>
      <c r="BQ212" s="174" t="n">
        <v>0</v>
      </c>
      <c r="BR212" s="36" t="n"/>
      <c r="BS212" s="36" t="n"/>
      <c r="BT212" s="36" t="n"/>
      <c r="BU212" s="36" t="n"/>
      <c r="BV212" s="36" t="n"/>
      <c r="BW212" s="36" t="n"/>
      <c r="BX212" s="36" t="n"/>
      <c r="BY212" s="178">
        <f>N(BY149)</f>
        <v/>
      </c>
      <c r="BZ212" s="178">
        <f>N(BZ149)</f>
        <v/>
      </c>
      <c r="CA212" s="178">
        <f>SUM(BW212,BX212,BY212,BZ212)</f>
        <v/>
      </c>
      <c r="CB212" s="178">
        <f>N(CB149)</f>
        <v/>
      </c>
      <c r="CC212" s="178">
        <f>N(CC149)</f>
        <v/>
      </c>
      <c r="CD212" s="178">
        <f>N(CD149)</f>
        <v/>
      </c>
      <c r="CE212" s="178">
        <f>N(CE149)</f>
        <v/>
      </c>
      <c r="CF212" s="20" t="n"/>
    </row>
    <row r="213" ht="15" customHeight="1">
      <c r="B213" s="17" t="inlineStr">
        <is>
          <t xml:space="preserve">  Total operating-level adjusting items</t>
        </is>
      </c>
      <c r="C213" s="198">
        <f>N(C206)+N(C207)+N(C208)+N(C209)+N(C210)+N(C211)+N(C212)</f>
        <v/>
      </c>
      <c r="D213" s="198">
        <f>N(D206)+N(D207)+N(D208)+N(D209)+N(D210)+N(D211)+N(D212)</f>
        <v/>
      </c>
      <c r="E213" s="198">
        <f>N(E206)+N(E207)+N(E208)+N(E209)+N(E210)+N(E211)+N(E212)</f>
        <v/>
      </c>
      <c r="F213" s="198">
        <f>N(F206)+N(F207)+N(F208)+N(F209)+N(F210)+N(F211)+N(F212)</f>
        <v/>
      </c>
      <c r="G213" s="198">
        <f>N(G206)+N(G207)+N(G208)+N(G209)+N(G210)+N(G211)+N(G212)</f>
        <v/>
      </c>
      <c r="H213" s="198">
        <f>N(H206)+N(H207)+N(H208)+N(H209)+N(H210)+N(H211)+N(H212)</f>
        <v/>
      </c>
      <c r="I213" s="198">
        <f>N(I206)+N(I207)+N(I208)+N(I209)+N(I210)+N(I211)+N(I212)</f>
        <v/>
      </c>
      <c r="J213" s="198">
        <f>N(J206)+N(J207)+N(J208)+N(J209)+N(J210)+N(J211)+N(J212)</f>
        <v/>
      </c>
      <c r="K213" s="198">
        <f>N(K206)+N(K207)+N(K208)+N(K209)+N(K210)+N(K211)+N(K212)</f>
        <v/>
      </c>
      <c r="L213" s="198">
        <f>N(L206)+N(L207)+N(L208)+N(L209)+N(L210)+N(L211)+N(L212)</f>
        <v/>
      </c>
      <c r="M213" s="198">
        <f>N(M206)+N(M207)+N(M208)+N(M209)+N(M210)+N(M211)+N(M212)</f>
        <v/>
      </c>
      <c r="N213" s="198">
        <f>N(N206)+N(N207)+N(N208)+N(N209)+N(N210)+N(N211)+N(N212)</f>
        <v/>
      </c>
      <c r="O213" s="198">
        <f>N(O206)+N(O207)+N(O208)+N(O209)+N(O210)+N(O211)+N(O212)</f>
        <v/>
      </c>
      <c r="P213" s="198">
        <f>N(P206)+N(P207)+N(P208)+N(P209)+N(P210)+N(P211)+N(P212)</f>
        <v/>
      </c>
      <c r="Q213" s="198">
        <f>N(Q206)+N(Q207)+N(Q208)+N(Q209)+N(Q210)+N(Q211)+N(Q212)</f>
        <v/>
      </c>
      <c r="R213" s="198">
        <f>N(R206)+N(R207)+N(R208)+N(R209)+N(R210)+N(R211)+N(R212)</f>
        <v/>
      </c>
      <c r="S213" s="198">
        <f>N(S206)+N(S207)+N(S208)+N(S209)+N(S210)+N(S211)+N(S212)</f>
        <v/>
      </c>
      <c r="T213" s="198">
        <f>N(T206)+N(T207)+N(T208)+N(T209)+N(T210)+N(T211)+N(T212)</f>
        <v/>
      </c>
      <c r="U213" s="198">
        <f>N(U206)+N(U207)+N(U208)+N(U209)+N(U210)+N(U211)+N(U212)</f>
        <v/>
      </c>
      <c r="V213" s="198">
        <f>N(V206)+N(V207)+N(V208)+N(V209)+N(V210)+N(V211)+N(V212)</f>
        <v/>
      </c>
      <c r="W213" s="198">
        <f>N(W206)+N(W207)+N(W208)+N(W209)+N(W210)+N(W211)+N(W212)</f>
        <v/>
      </c>
      <c r="X213" s="198">
        <f>N(X206)+N(X207)+N(X208)+N(X209)+N(X210)+N(X211)+N(X212)</f>
        <v/>
      </c>
      <c r="Y213" s="198">
        <f>N(Y206)+N(Y207)+N(Y208)+N(Y209)+N(Y210)+N(Y211)+N(Y212)</f>
        <v/>
      </c>
      <c r="Z213" s="198">
        <f>N(Z206)+N(Z207)+N(Z208)+N(Z209)+N(Z210)+N(Z211)+N(Z212)</f>
        <v/>
      </c>
      <c r="AA213" s="198">
        <f>N(AA206)+N(AA207)+N(AA208)+N(AA209)+N(AA210)+N(AA211)+N(AA212)</f>
        <v/>
      </c>
      <c r="AB213" s="198">
        <f>N(AB206)+N(AB207)+N(AB208)+N(AB209)+N(AB210)+N(AB211)+N(AB212)</f>
        <v/>
      </c>
      <c r="AC213" s="198">
        <f>N(AC206)+N(AC207)+N(AC208)+N(AC209)+N(AC210)+N(AC211)+N(AC212)</f>
        <v/>
      </c>
      <c r="AD213" s="198">
        <f>N(AD206)+N(AD207)+N(AD208)+N(AD209)+N(AD210)+N(AD211)+N(AD212)</f>
        <v/>
      </c>
      <c r="AE213" s="198">
        <f>N(AE206)+N(AE207)+N(AE208)+N(AE209)+N(AE210)+N(AE211)+N(AE212)</f>
        <v/>
      </c>
      <c r="AF213" s="198">
        <f>N(AF206)+N(AF207)+N(AF208)+N(AF209)+N(AF210)+N(AF211)+N(AF212)</f>
        <v/>
      </c>
      <c r="AG213" s="198">
        <f>N(AG206)+N(AG207)+N(AG208)+N(AG209)+N(AG210)+N(AG211)+N(AG212)</f>
        <v/>
      </c>
      <c r="AH213" s="198">
        <f>N(AH206)+N(AH207)+N(AH208)+N(AH209)+N(AH210)+N(AH211)+N(AH212)</f>
        <v/>
      </c>
      <c r="AI213" s="198">
        <f>N(AI206)+N(AI207)+N(AI208)+N(AI209)+N(AI210)+N(AI211)+N(AI212)</f>
        <v/>
      </c>
      <c r="AJ213" s="198">
        <f>N(AJ206)+N(AJ207)+N(AJ208)+N(AJ209)+N(AJ210)+N(AJ211)+N(AJ212)</f>
        <v/>
      </c>
      <c r="AK213" s="198">
        <f>N(AK206)+N(AK207)+N(AK208)+N(AK209)+N(AK210)+N(AK211)+N(AK212)</f>
        <v/>
      </c>
      <c r="AL213" s="198">
        <f>N(AL206)+N(AL207)+N(AL208)+N(AL209)+N(AL210)+N(AL211)+N(AL212)</f>
        <v/>
      </c>
      <c r="AM213" s="198">
        <f>N(AM206)+N(AM207)+N(AM208)+N(AM209)+N(AM210)+N(AM211)+N(AM212)</f>
        <v/>
      </c>
      <c r="AN213" s="198">
        <f>N(AN206)+N(AN207)+N(AN208)+N(AN209)+N(AN210)+N(AN211)+N(AN212)</f>
        <v/>
      </c>
      <c r="AO213" s="198">
        <f>N(AO206)+N(AO207)+N(AO208)+N(AO209)+N(AO210)+N(AO211)+N(AO212)</f>
        <v/>
      </c>
      <c r="AP213" s="198">
        <f>N(AP206)+N(AP207)+N(AP208)+N(AP209)+N(AP210)+N(AP211)+N(AP212)</f>
        <v/>
      </c>
      <c r="AQ213" s="198">
        <f>N(AQ206)+N(AQ207)+N(AQ208)+N(AQ209)+N(AQ210)+N(AQ211)+N(AQ212)</f>
        <v/>
      </c>
      <c r="AR213" s="198">
        <f>N(AR206)+N(AR207)+N(AR208)+N(AR209)+N(AR210)+N(AR211)+N(AR212)</f>
        <v/>
      </c>
      <c r="AS213" s="198">
        <f>N(AS206)+N(AS207)+N(AS208)+N(AS209)+N(AS210)+N(AS211)+N(AS212)</f>
        <v/>
      </c>
      <c r="AT213" s="198">
        <f>N(AT206)+N(AT207)+N(AT208)+N(AT209)+N(AT210)+N(AT211)+N(AT212)</f>
        <v/>
      </c>
      <c r="AU213" s="198">
        <f>N(AU206)+N(AU207)+N(AU208)+N(AU209)+N(AU210)+N(AU211)+N(AU212)</f>
        <v/>
      </c>
      <c r="AV213" s="198">
        <f>N(AV206)+N(AV207)+N(AV208)+N(AV209)+N(AV210)+N(AV211)+N(AV212)</f>
        <v/>
      </c>
      <c r="AW213" s="198">
        <f>N(AW206)+N(AW207)+N(AW208)+N(AW209)+N(AW210)+N(AW211)+N(AW212)</f>
        <v/>
      </c>
      <c r="AX213" s="198">
        <f>N(AX206)+N(AX207)+N(AX208)+N(AX209)+N(AX210)+N(AX211)+N(AX212)</f>
        <v/>
      </c>
      <c r="AY213" s="198">
        <f>N(AY206)+N(AY207)+N(AY208)+N(AY209)+N(AY210)+N(AY211)+N(AY212)</f>
        <v/>
      </c>
      <c r="AZ213" s="198">
        <f>N(AZ206)+N(AZ207)+N(AZ208)+N(AZ209)+N(AZ210)+N(AZ211)+N(AZ212)</f>
        <v/>
      </c>
      <c r="BA213" s="198">
        <f>N(BA206)+N(BA207)+N(BA208)+N(BA209)+N(BA210)+N(BA211)+N(BA212)</f>
        <v/>
      </c>
      <c r="BB213" s="198">
        <f>N(BB206)+N(BB207)+N(BB208)+N(BB209)+N(BB210)+N(BB211)+N(BB212)</f>
        <v/>
      </c>
      <c r="BC213" s="198">
        <f>N(BC206)+N(BC207)+N(BC208)+N(BC209)+N(BC210)+N(BC211)+N(BC212)</f>
        <v/>
      </c>
      <c r="BD213" s="198">
        <f>N(BD206)+N(BD207)+N(BD208)+N(BD209)+N(BD210)+N(BD211)+N(BD212)</f>
        <v/>
      </c>
      <c r="BE213" s="198">
        <f>N(BE206)+N(BE207)+N(BE208)+N(BE209)+N(BE210)+N(BE211)+N(BE212)</f>
        <v/>
      </c>
      <c r="BF213" s="198">
        <f>N(BF206)+N(BF207)+N(BF208)+N(BF209)+N(BF210)+N(BF211)+N(BF212)</f>
        <v/>
      </c>
      <c r="BG213" s="198">
        <f>N(BG206)+N(BG207)+N(BG208)+N(BG209)+N(BG210)+N(BG211)+N(BG212)</f>
        <v/>
      </c>
      <c r="BH213" s="198">
        <f>N(BH206)+N(BH207)+N(BH208)+N(BH209)+N(BH210)+N(BH211)+N(BH212)</f>
        <v/>
      </c>
      <c r="BI213" s="198">
        <f>N(BI206)+N(BI207)+N(BI208)+N(BI209)+N(BI210)+N(BI211)+N(BI212)</f>
        <v/>
      </c>
      <c r="BJ213" s="198">
        <f>N(BJ206)+N(BJ207)+N(BJ208)+N(BJ209)+N(BJ210)+N(BJ211)+N(BJ212)</f>
        <v/>
      </c>
      <c r="BK213" s="198">
        <f>N(BK206)+N(BK207)+N(BK208)+N(BK209)+N(BK210)+N(BK211)+N(BK212)</f>
        <v/>
      </c>
      <c r="BL213" s="198">
        <f>N(BL206)+N(BL207)+N(BL208)+N(BL209)+N(BL210)+N(BL211)+N(BL212)</f>
        <v/>
      </c>
      <c r="BM213" s="198">
        <f>N(BM206)+N(BM207)+N(BM208)+N(BM209)+N(BM210)+N(BM211)+N(BM212)</f>
        <v/>
      </c>
      <c r="BN213" s="198">
        <f>N(BN206)+N(BN207)+N(BN208)+N(BN209)+N(BN210)+N(BN211)+N(BN212)</f>
        <v/>
      </c>
      <c r="BO213" s="198">
        <f>N(BO206)+N(BO207)+N(BO208)+N(BO209)+N(BO210)+N(BO211)+N(BO212)</f>
        <v/>
      </c>
      <c r="BP213" s="198">
        <f>N(BP206)+N(BP207)+N(BP208)+N(BP209)+N(BP210)+N(BP211)+N(BP212)</f>
        <v/>
      </c>
      <c r="BQ213" s="198">
        <f>N(BQ206)+N(BQ207)+N(BQ208)+N(BQ209)+N(BQ210)+N(BQ211)+N(BQ212)</f>
        <v/>
      </c>
      <c r="BR213" s="198">
        <f>N(BR206)+N(BR207)+N(BR208)+N(BR209)+N(BR210)+N(BR211)+N(BR212)</f>
        <v/>
      </c>
      <c r="BS213" s="198">
        <f>N(BS206)+N(BS207)+N(BS208)+N(BS209)+N(BS210)+N(BS211)+N(BS212)</f>
        <v/>
      </c>
      <c r="BT213" s="198">
        <f>N(BT206)+N(BT207)+N(BT208)+N(BT209)+N(BT210)+N(BT211)+N(BT212)</f>
        <v/>
      </c>
      <c r="BU213" s="198">
        <f>N(BU206)+N(BU207)+N(BU208)+N(BU209)+N(BU210)+N(BU211)+N(BU212)</f>
        <v/>
      </c>
      <c r="BV213" s="198">
        <f>N(BV206)+N(BV207)+N(BV208)+N(BV209)+N(BV210)+N(BV211)+N(BV212)</f>
        <v/>
      </c>
      <c r="BW213" s="198">
        <f>N(BW206)+N(BW207)+N(BW208)+N(BW209)+N(BW210)+N(BW211)+N(BW212)</f>
        <v/>
      </c>
      <c r="BX213" s="198">
        <f>N(BX206)+N(BX207)+N(BX208)+N(BX209)+N(BX210)+N(BX211)+N(BX212)</f>
        <v/>
      </c>
      <c r="BY213" s="185">
        <f>N(BY206)+N(BY207)+N(BY208)+N(BY209)+N(BY210)+N(BY211)+N(BY212)</f>
        <v/>
      </c>
      <c r="BZ213" s="185">
        <f>N(BZ206)+N(BZ207)+N(BZ208)+N(BZ209)+N(BZ210)+N(BZ211)+N(BZ212)</f>
        <v/>
      </c>
      <c r="CA213" s="185">
        <f>N(CA206)+N(CA207)+N(CA208)+N(CA209)+N(CA210)+N(CA211)+N(CA212)</f>
        <v/>
      </c>
      <c r="CB213" s="185">
        <f>N(CB206)+N(CB207)+N(CB208)+N(CB209)+N(CB210)+N(CB211)+N(CB212)</f>
        <v/>
      </c>
      <c r="CC213" s="185">
        <f>N(CC206)+N(CC207)+N(CC208)+N(CC209)+N(CC210)+N(CC211)+N(CC212)</f>
        <v/>
      </c>
      <c r="CD213" s="185">
        <f>N(CD206)+N(CD207)+N(CD208)+N(CD209)+N(CD210)+N(CD211)+N(CD212)</f>
        <v/>
      </c>
      <c r="CE213" s="185">
        <f>N(CE206)+N(CE207)+N(CE208)+N(CE209)+N(CE210)+N(CE211)+N(CE212)</f>
        <v/>
      </c>
      <c r="CF213" s="6" t="n"/>
    </row>
    <row r="214" ht="15" customHeight="1">
      <c r="B214" s="59" t="inlineStr">
        <is>
          <t xml:space="preserve">  = Adjusted income from operations (model bridge)</t>
        </is>
      </c>
      <c r="C214" s="193">
        <f>IF(ISNUMBER(C216),C205+C213,"")</f>
        <v/>
      </c>
      <c r="D214" s="193">
        <f>IF(ISNUMBER(D216),D205+D213,"")</f>
        <v/>
      </c>
      <c r="E214" s="193">
        <f>IF(ISNUMBER(E216),E205+E213,"")</f>
        <v/>
      </c>
      <c r="F214" s="193">
        <f>IF(ISNUMBER(F216),F205+F213,"")</f>
        <v/>
      </c>
      <c r="G214" s="193">
        <f>IF(ISNUMBER(G216),G205+G213,"")</f>
        <v/>
      </c>
      <c r="H214" s="193">
        <f>IF(ISNUMBER(H216),H205+H213,"")</f>
        <v/>
      </c>
      <c r="I214" s="193">
        <f>IF(ISNUMBER(I216),I205+I213,"")</f>
        <v/>
      </c>
      <c r="J214" s="193">
        <f>IF(ISNUMBER(J216),J205+J213,"")</f>
        <v/>
      </c>
      <c r="K214" s="193">
        <f>IF(ISNUMBER(K216),K205+K213,"")</f>
        <v/>
      </c>
      <c r="L214" s="193">
        <f>IF(ISNUMBER(L216),L205+L213,"")</f>
        <v/>
      </c>
      <c r="M214" s="193">
        <f>IF(ISNUMBER(M216),M205+M213,"")</f>
        <v/>
      </c>
      <c r="N214" s="193">
        <f>IF(ISNUMBER(N216),N205+N213,"")</f>
        <v/>
      </c>
      <c r="O214" s="193">
        <f>IF(ISNUMBER(O216),O205+O213,"")</f>
        <v/>
      </c>
      <c r="P214" s="193">
        <f>IF(ISNUMBER(P216),P205+P213,"")</f>
        <v/>
      </c>
      <c r="Q214" s="193">
        <f>IF(ISNUMBER(Q216),Q205+Q213,"")</f>
        <v/>
      </c>
      <c r="R214" s="193">
        <f>IF(ISNUMBER(R216),R205+R213,"")</f>
        <v/>
      </c>
      <c r="S214" s="193">
        <f>IF(ISNUMBER(S216),S205+S213,"")</f>
        <v/>
      </c>
      <c r="T214" s="193">
        <f>IF(ISNUMBER(T216),T205+T213,"")</f>
        <v/>
      </c>
      <c r="U214" s="193">
        <f>IF(ISNUMBER(U216),U205+U213,"")</f>
        <v/>
      </c>
      <c r="V214" s="193">
        <f>IF(ISNUMBER(V216),V205+V213,"")</f>
        <v/>
      </c>
      <c r="W214" s="193">
        <f>IF(ISNUMBER(W216),W205+W213,"")</f>
        <v/>
      </c>
      <c r="X214" s="193">
        <f>IF(ISNUMBER(X216),X205+X213,"")</f>
        <v/>
      </c>
      <c r="Y214" s="193">
        <f>IF(ISNUMBER(Y216),Y205+Y213,"")</f>
        <v/>
      </c>
      <c r="Z214" s="193">
        <f>IF(ISNUMBER(Z216),Z205+Z213,"")</f>
        <v/>
      </c>
      <c r="AA214" s="193">
        <f>IF(ISNUMBER(AA216),AA205+AA213,"")</f>
        <v/>
      </c>
      <c r="AB214" s="193">
        <f>IF(ISNUMBER(AB216),AB205+AB213,"")</f>
        <v/>
      </c>
      <c r="AC214" s="193">
        <f>IF(ISNUMBER(AC216),AC205+AC213,"")</f>
        <v/>
      </c>
      <c r="AD214" s="193">
        <f>IF(ISNUMBER(AD216),AD205+AD213,"")</f>
        <v/>
      </c>
      <c r="AE214" s="193">
        <f>IF(ISNUMBER(AE216),AE205+AE213,"")</f>
        <v/>
      </c>
      <c r="AF214" s="193">
        <f>IF(ISNUMBER(AF216),AF205+AF213,"")</f>
        <v/>
      </c>
      <c r="AG214" s="193">
        <f>IF(ISNUMBER(AG216),AG205+AG213,"")</f>
        <v/>
      </c>
      <c r="AH214" s="193">
        <f>IF(ISNUMBER(AH216),AH205+AH213,"")</f>
        <v/>
      </c>
      <c r="AI214" s="193">
        <f>IF(ISNUMBER(AI216),AI205+AI213,"")</f>
        <v/>
      </c>
      <c r="AJ214" s="193">
        <f>IF(ISNUMBER(AJ216),AJ205+AJ213,"")</f>
        <v/>
      </c>
      <c r="AK214" s="193">
        <f>IF(ISNUMBER(AK216),AK205+AK213,"")</f>
        <v/>
      </c>
      <c r="AL214" s="193">
        <f>IF(ISNUMBER(AL216),AL205+AL213,"")</f>
        <v/>
      </c>
      <c r="AM214" s="193">
        <f>IF(ISNUMBER(AM216),AM205+AM213,"")</f>
        <v/>
      </c>
      <c r="AN214" s="193">
        <f>IF(ISNUMBER(AN216),AN205+AN213,"")</f>
        <v/>
      </c>
      <c r="AO214" s="193">
        <f>IF(ISNUMBER(AO216),AO205+AO213,"")</f>
        <v/>
      </c>
      <c r="AP214" s="193">
        <f>IF(ISNUMBER(AP216),AP205+AP213,"")</f>
        <v/>
      </c>
      <c r="AQ214" s="193">
        <f>IF(ISNUMBER(AQ216),AQ205+AQ213,"")</f>
        <v/>
      </c>
      <c r="AR214" s="193">
        <f>IF(ISNUMBER(AR216),AR205+AR213,"")</f>
        <v/>
      </c>
      <c r="AS214" s="193">
        <f>IF(ISNUMBER(AS216),AS205+AS213,"")</f>
        <v/>
      </c>
      <c r="AT214" s="193">
        <f>IF(ISNUMBER(AT216),AT205+AT213,"")</f>
        <v/>
      </c>
      <c r="AU214" s="193">
        <f>IF(ISNUMBER(AU216),AU205+AU213,"")</f>
        <v/>
      </c>
      <c r="AV214" s="193">
        <f>IF(ISNUMBER(AV216),AV205+AV213,"")</f>
        <v/>
      </c>
      <c r="AW214" s="193">
        <f>IF(ISNUMBER(AW216),AW205+AW213,"")</f>
        <v/>
      </c>
      <c r="AX214" s="193">
        <f>IF(ISNUMBER(AX216),AX205+AX213,"")</f>
        <v/>
      </c>
      <c r="AY214" s="193">
        <f>IF(ISNUMBER(AY216),AY205+AY213,"")</f>
        <v/>
      </c>
      <c r="AZ214" s="193">
        <f>IF(ISNUMBER(AZ216),AZ205+AZ213,"")</f>
        <v/>
      </c>
      <c r="BA214" s="193">
        <f>IF(ISNUMBER(BA216),BA205+BA213,"")</f>
        <v/>
      </c>
      <c r="BB214" s="193">
        <f>IF(ISNUMBER(BB216),BB205+BB213,"")</f>
        <v/>
      </c>
      <c r="BC214" s="193">
        <f>IF(ISNUMBER(BC216),BC205+BC213,"")</f>
        <v/>
      </c>
      <c r="BD214" s="193">
        <f>IF(ISNUMBER(BD216),BD205+BD213,"")</f>
        <v/>
      </c>
      <c r="BE214" s="193">
        <f>IF(ISNUMBER(BE216),BE205+BE213,"")</f>
        <v/>
      </c>
      <c r="BF214" s="193">
        <f>IF(ISNUMBER(BF216),BF205+BF213,"")</f>
        <v/>
      </c>
      <c r="BG214" s="193">
        <f>IF(ISNUMBER(BG216),BG205+BG213,"")</f>
        <v/>
      </c>
      <c r="BH214" s="193">
        <f>IF(ISNUMBER(BH216),BH205+BH213,"")</f>
        <v/>
      </c>
      <c r="BI214" s="193">
        <f>IF(ISNUMBER(BI216),BI205+BI213,"")</f>
        <v/>
      </c>
      <c r="BJ214" s="193">
        <f>IF(ISNUMBER(BJ216),BJ205+BJ213,"")</f>
        <v/>
      </c>
      <c r="BK214" s="193">
        <f>IF(ISNUMBER(BK216),BK205+BK213,"")</f>
        <v/>
      </c>
      <c r="BL214" s="193">
        <f>IF(ISNUMBER(BL216),BL205+BL213,"")</f>
        <v/>
      </c>
      <c r="BM214" s="193">
        <f>IF(ISNUMBER(BM216),BM205+BM213,"")</f>
        <v/>
      </c>
      <c r="BN214" s="193">
        <f>IF(ISNUMBER(BN216),BN205+BN213,"")</f>
        <v/>
      </c>
      <c r="BO214" s="193">
        <f>IF(ISNUMBER(BO216),BO205+BO213,"")</f>
        <v/>
      </c>
      <c r="BP214" s="193">
        <f>IF(ISNUMBER(BP216),BP205+BP213,"")</f>
        <v/>
      </c>
      <c r="BQ214" s="193">
        <f>IF(ISNUMBER(BQ216),BQ205+BQ213,"")</f>
        <v/>
      </c>
      <c r="BR214" s="193">
        <f>IF(ISNUMBER(BR216),BR205+BR213,"")</f>
        <v/>
      </c>
      <c r="BS214" s="193">
        <f>IF(ISNUMBER(BS216),BS205+BS213,"")</f>
        <v/>
      </c>
      <c r="BT214" s="193">
        <f>IF(ISNUMBER(BT216),BT205+BT213,"")</f>
        <v/>
      </c>
      <c r="BU214" s="193">
        <f>IF(ISNUMBER(BU216),BU205+BU213,"")</f>
        <v/>
      </c>
      <c r="BV214" s="193">
        <f>IF(ISNUMBER(BV216),BV205+BV213,"")</f>
        <v/>
      </c>
      <c r="BW214" s="193">
        <f>IF(ISNUMBER(BW216),BW205+BW213,"")</f>
        <v/>
      </c>
      <c r="BX214" s="193">
        <f>IF(ISNUMBER(BX216),BX205+BX213,"")</f>
        <v/>
      </c>
      <c r="BY214" s="193">
        <f>BY205+BY213</f>
        <v/>
      </c>
      <c r="BZ214" s="193">
        <f>BZ205+BZ213</f>
        <v/>
      </c>
      <c r="CA214" s="193">
        <f>CA205+CA213</f>
        <v/>
      </c>
      <c r="CB214" s="193">
        <f>CB205+CB213</f>
        <v/>
      </c>
      <c r="CC214" s="193">
        <f>CC205+CC213</f>
        <v/>
      </c>
      <c r="CD214" s="193">
        <f>CD205+CD213</f>
        <v/>
      </c>
      <c r="CE214" s="193">
        <f>CE205+CE213</f>
        <v/>
      </c>
      <c r="CF214" s="6" t="inlineStr">
        <is>
          <t>Historical shown where Wabtec published adjusted operating income. Forecast ties to the product-line build (check row in the Group block).</t>
        </is>
      </c>
      <c r="CH214" s="21">
        <f>IFERROR((CE214/BV214)^(1/5)-1,"n/m")</f>
        <v/>
      </c>
      <c r="CI214" s="21">
        <f>IFERROR((BV214/AW214)^(1/5)-1,"n/m")</f>
        <v/>
      </c>
      <c r="CJ214" s="21">
        <f>IFERROR((BV214/X214)^(1/10)-1,"n/m")</f>
        <v/>
      </c>
      <c r="CK214" s="21">
        <f>IFERROR((BV214/C214)^(1/19)-1,"n/m")</f>
        <v/>
      </c>
    </row>
    <row r="215" ht="15" customHeight="1">
      <c r="B215" s="26" t="inlineStr">
        <is>
          <t xml:space="preserve">  Adjusted operating margin %</t>
        </is>
      </c>
      <c r="C215" s="187">
        <f>IF(AND(ISNUMBER(C214),ISNUMBER(C142)),IFERROR(C214/C142,""),"")</f>
        <v/>
      </c>
      <c r="D215" s="187">
        <f>IF(AND(ISNUMBER(D214),ISNUMBER(D142)),IFERROR(D214/D142,""),"")</f>
        <v/>
      </c>
      <c r="E215" s="187">
        <f>IF(AND(ISNUMBER(E214),ISNUMBER(E142)),IFERROR(E214/E142,""),"")</f>
        <v/>
      </c>
      <c r="F215" s="187">
        <f>IF(AND(ISNUMBER(F214),ISNUMBER(F142)),IFERROR(F214/F142,""),"")</f>
        <v/>
      </c>
      <c r="G215" s="187">
        <f>IF(AND(ISNUMBER(G214),ISNUMBER(G142)),IFERROR(G214/G142,""),"")</f>
        <v/>
      </c>
      <c r="H215" s="187">
        <f>IF(AND(ISNUMBER(H214),ISNUMBER(H142)),IFERROR(H214/H142,""),"")</f>
        <v/>
      </c>
      <c r="I215" s="187">
        <f>IF(AND(ISNUMBER(I214),ISNUMBER(I142)),IFERROR(I214/I142,""),"")</f>
        <v/>
      </c>
      <c r="J215" s="187">
        <f>IF(AND(ISNUMBER(J214),ISNUMBER(J142)),IFERROR(J214/J142,""),"")</f>
        <v/>
      </c>
      <c r="K215" s="187">
        <f>IF(AND(ISNUMBER(K214),ISNUMBER(K142)),IFERROR(K214/K142,""),"")</f>
        <v/>
      </c>
      <c r="L215" s="187">
        <f>IF(AND(ISNUMBER(L214),ISNUMBER(L142)),IFERROR(L214/L142,""),"")</f>
        <v/>
      </c>
      <c r="M215" s="187">
        <f>IF(AND(ISNUMBER(M214),ISNUMBER(M142)),IFERROR(M214/M142,""),"")</f>
        <v/>
      </c>
      <c r="N215" s="187">
        <f>IF(AND(ISNUMBER(N214),ISNUMBER(N142)),IFERROR(N214/N142,""),"")</f>
        <v/>
      </c>
      <c r="O215" s="187">
        <f>IF(AND(ISNUMBER(O214),ISNUMBER(O142)),IFERROR(O214/O142,""),"")</f>
        <v/>
      </c>
      <c r="P215" s="187">
        <f>IF(AND(ISNUMBER(P214),ISNUMBER(P142)),IFERROR(P214/P142,""),"")</f>
        <v/>
      </c>
      <c r="Q215" s="187">
        <f>IF(AND(ISNUMBER(Q214),ISNUMBER(Q142)),IFERROR(Q214/Q142,""),"")</f>
        <v/>
      </c>
      <c r="R215" s="187">
        <f>IF(AND(ISNUMBER(R214),ISNUMBER(R142)),IFERROR(R214/R142,""),"")</f>
        <v/>
      </c>
      <c r="S215" s="187">
        <f>IF(AND(ISNUMBER(S214),ISNUMBER(S142)),IFERROR(S214/S142,""),"")</f>
        <v/>
      </c>
      <c r="T215" s="187">
        <f>IF(AND(ISNUMBER(T214),ISNUMBER(T142)),IFERROR(T214/T142,""),"")</f>
        <v/>
      </c>
      <c r="U215" s="187">
        <f>IF(AND(ISNUMBER(U214),ISNUMBER(U142)),IFERROR(U214/U142,""),"")</f>
        <v/>
      </c>
      <c r="V215" s="187">
        <f>IF(AND(ISNUMBER(V214),ISNUMBER(V142)),IFERROR(V214/V142,""),"")</f>
        <v/>
      </c>
      <c r="W215" s="187">
        <f>IF(AND(ISNUMBER(W214),ISNUMBER(W142)),IFERROR(W214/W142,""),"")</f>
        <v/>
      </c>
      <c r="X215" s="187">
        <f>IF(AND(ISNUMBER(X214),ISNUMBER(X142)),IFERROR(X214/X142,""),"")</f>
        <v/>
      </c>
      <c r="Y215" s="187">
        <f>IF(AND(ISNUMBER(Y214),ISNUMBER(Y142)),IFERROR(Y214/Y142,""),"")</f>
        <v/>
      </c>
      <c r="Z215" s="187">
        <f>IF(AND(ISNUMBER(Z214),ISNUMBER(Z142)),IFERROR(Z214/Z142,""),"")</f>
        <v/>
      </c>
      <c r="AA215" s="187">
        <f>IF(AND(ISNUMBER(AA214),ISNUMBER(AA142)),IFERROR(AA214/AA142,""),"")</f>
        <v/>
      </c>
      <c r="AB215" s="187">
        <f>IF(AND(ISNUMBER(AB214),ISNUMBER(AB142)),IFERROR(AB214/AB142,""),"")</f>
        <v/>
      </c>
      <c r="AC215" s="187">
        <f>IF(AND(ISNUMBER(AC214),ISNUMBER(AC142)),IFERROR(AC214/AC142,""),"")</f>
        <v/>
      </c>
      <c r="AD215" s="187">
        <f>IF(AND(ISNUMBER(AD214),ISNUMBER(AD142)),IFERROR(AD214/AD142,""),"")</f>
        <v/>
      </c>
      <c r="AE215" s="187">
        <f>IF(AND(ISNUMBER(AE214),ISNUMBER(AE142)),IFERROR(AE214/AE142,""),"")</f>
        <v/>
      </c>
      <c r="AF215" s="187">
        <f>IF(AND(ISNUMBER(AF214),ISNUMBER(AF142)),IFERROR(AF214/AF142,""),"")</f>
        <v/>
      </c>
      <c r="AG215" s="187">
        <f>IF(AND(ISNUMBER(AG214),ISNUMBER(AG142)),IFERROR(AG214/AG142,""),"")</f>
        <v/>
      </c>
      <c r="AH215" s="187">
        <f>IF(AND(ISNUMBER(AH214),ISNUMBER(AH142)),IFERROR(AH214/AH142,""),"")</f>
        <v/>
      </c>
      <c r="AI215" s="187">
        <f>IF(AND(ISNUMBER(AI214),ISNUMBER(AI142)),IFERROR(AI214/AI142,""),"")</f>
        <v/>
      </c>
      <c r="AJ215" s="187">
        <f>IF(AND(ISNUMBER(AJ214),ISNUMBER(AJ142)),IFERROR(AJ214/AJ142,""),"")</f>
        <v/>
      </c>
      <c r="AK215" s="187">
        <f>IF(AND(ISNUMBER(AK214),ISNUMBER(AK142)),IFERROR(AK214/AK142,""),"")</f>
        <v/>
      </c>
      <c r="AL215" s="187">
        <f>IF(AND(ISNUMBER(AL214),ISNUMBER(AL142)),IFERROR(AL214/AL142,""),"")</f>
        <v/>
      </c>
      <c r="AM215" s="187">
        <f>IF(AND(ISNUMBER(AM214),ISNUMBER(AM142)),IFERROR(AM214/AM142,""),"")</f>
        <v/>
      </c>
      <c r="AN215" s="187">
        <f>IF(AND(ISNUMBER(AN214),ISNUMBER(AN142)),IFERROR(AN214/AN142,""),"")</f>
        <v/>
      </c>
      <c r="AO215" s="187">
        <f>IF(AND(ISNUMBER(AO214),ISNUMBER(AO142)),IFERROR(AO214/AO142,""),"")</f>
        <v/>
      </c>
      <c r="AP215" s="187">
        <f>IF(AND(ISNUMBER(AP214),ISNUMBER(AP142)),IFERROR(AP214/AP142,""),"")</f>
        <v/>
      </c>
      <c r="AQ215" s="187">
        <f>IF(AND(ISNUMBER(AQ214),ISNUMBER(AQ142)),IFERROR(AQ214/AQ142,""),"")</f>
        <v/>
      </c>
      <c r="AR215" s="187">
        <f>IF(AND(ISNUMBER(AR214),ISNUMBER(AR142)),IFERROR(AR214/AR142,""),"")</f>
        <v/>
      </c>
      <c r="AS215" s="187">
        <f>IF(AND(ISNUMBER(AS214),ISNUMBER(AS142)),IFERROR(AS214/AS142,""),"")</f>
        <v/>
      </c>
      <c r="AT215" s="187">
        <f>IF(AND(ISNUMBER(AT214),ISNUMBER(AT142)),IFERROR(AT214/AT142,""),"")</f>
        <v/>
      </c>
      <c r="AU215" s="187">
        <f>IF(AND(ISNUMBER(AU214),ISNUMBER(AU142)),IFERROR(AU214/AU142,""),"")</f>
        <v/>
      </c>
      <c r="AV215" s="187">
        <f>IF(AND(ISNUMBER(AV214),ISNUMBER(AV142)),IFERROR(AV214/AV142,""),"")</f>
        <v/>
      </c>
      <c r="AW215" s="187">
        <f>IF(AND(ISNUMBER(AW214),ISNUMBER(AW142)),IFERROR(AW214/AW142,""),"")</f>
        <v/>
      </c>
      <c r="AX215" s="187">
        <f>IF(AND(ISNUMBER(AX214),ISNUMBER(AX142)),IFERROR(AX214/AX142,""),"")</f>
        <v/>
      </c>
      <c r="AY215" s="187">
        <f>IF(AND(ISNUMBER(AY214),ISNUMBER(AY142)),IFERROR(AY214/AY142,""),"")</f>
        <v/>
      </c>
      <c r="AZ215" s="187">
        <f>IF(AND(ISNUMBER(AZ214),ISNUMBER(AZ142)),IFERROR(AZ214/AZ142,""),"")</f>
        <v/>
      </c>
      <c r="BA215" s="187">
        <f>IF(AND(ISNUMBER(BA214),ISNUMBER(BA142)),IFERROR(BA214/BA142,""),"")</f>
        <v/>
      </c>
      <c r="BB215" s="187">
        <f>IF(AND(ISNUMBER(BB214),ISNUMBER(BB142)),IFERROR(BB214/BB142,""),"")</f>
        <v/>
      </c>
      <c r="BC215" s="187">
        <f>IF(AND(ISNUMBER(BC214),ISNUMBER(BC142)),IFERROR(BC214/BC142,""),"")</f>
        <v/>
      </c>
      <c r="BD215" s="187">
        <f>IF(AND(ISNUMBER(BD214),ISNUMBER(BD142)),IFERROR(BD214/BD142,""),"")</f>
        <v/>
      </c>
      <c r="BE215" s="187">
        <f>IF(AND(ISNUMBER(BE214),ISNUMBER(BE142)),IFERROR(BE214/BE142,""),"")</f>
        <v/>
      </c>
      <c r="BF215" s="187">
        <f>IF(AND(ISNUMBER(BF214),ISNUMBER(BF142)),IFERROR(BF214/BF142,""),"")</f>
        <v/>
      </c>
      <c r="BG215" s="187">
        <f>IF(AND(ISNUMBER(BG214),ISNUMBER(BG142)),IFERROR(BG214/BG142,""),"")</f>
        <v/>
      </c>
      <c r="BH215" s="187">
        <f>IF(AND(ISNUMBER(BH214),ISNUMBER(BH142)),IFERROR(BH214/BH142,""),"")</f>
        <v/>
      </c>
      <c r="BI215" s="187">
        <f>IF(AND(ISNUMBER(BI214),ISNUMBER(BI142)),IFERROR(BI214/BI142,""),"")</f>
        <v/>
      </c>
      <c r="BJ215" s="187">
        <f>IF(AND(ISNUMBER(BJ214),ISNUMBER(BJ142)),IFERROR(BJ214/BJ142,""),"")</f>
        <v/>
      </c>
      <c r="BK215" s="187">
        <f>IF(AND(ISNUMBER(BK214),ISNUMBER(BK142)),IFERROR(BK214/BK142,""),"")</f>
        <v/>
      </c>
      <c r="BL215" s="187">
        <f>IF(AND(ISNUMBER(BL214),ISNUMBER(BL142)),IFERROR(BL214/BL142,""),"")</f>
        <v/>
      </c>
      <c r="BM215" s="187">
        <f>IF(AND(ISNUMBER(BM214),ISNUMBER(BM142)),IFERROR(BM214/BM142,""),"")</f>
        <v/>
      </c>
      <c r="BN215" s="187">
        <f>IF(AND(ISNUMBER(BN214),ISNUMBER(BN142)),IFERROR(BN214/BN142,""),"")</f>
        <v/>
      </c>
      <c r="BO215" s="187">
        <f>IF(AND(ISNUMBER(BO214),ISNUMBER(BO142)),IFERROR(BO214/BO142,""),"")</f>
        <v/>
      </c>
      <c r="BP215" s="187">
        <f>IF(AND(ISNUMBER(BP214),ISNUMBER(BP142)),IFERROR(BP214/BP142,""),"")</f>
        <v/>
      </c>
      <c r="BQ215" s="187">
        <f>IF(AND(ISNUMBER(BQ214),ISNUMBER(BQ142)),IFERROR(BQ214/BQ142,""),"")</f>
        <v/>
      </c>
      <c r="BR215" s="187">
        <f>IF(AND(ISNUMBER(BR214),ISNUMBER(BR142)),IFERROR(BR214/BR142,""),"")</f>
        <v/>
      </c>
      <c r="BS215" s="187">
        <f>IF(AND(ISNUMBER(BS214),ISNUMBER(BS142)),IFERROR(BS214/BS142,""),"")</f>
        <v/>
      </c>
      <c r="BT215" s="187">
        <f>IF(AND(ISNUMBER(BT214),ISNUMBER(BT142)),IFERROR(BT214/BT142,""),"")</f>
        <v/>
      </c>
      <c r="BU215" s="187">
        <f>IF(AND(ISNUMBER(BU214),ISNUMBER(BU142)),IFERROR(BU214/BU142,""),"")</f>
        <v/>
      </c>
      <c r="BV215" s="187">
        <f>IF(AND(ISNUMBER(BV214),ISNUMBER(BV142)),IFERROR(BV214/BV142,""),"")</f>
        <v/>
      </c>
      <c r="BW215" s="187">
        <f>IF(AND(ISNUMBER(BW214),ISNUMBER(BW142)),IFERROR(BW214/BW142,""),"")</f>
        <v/>
      </c>
      <c r="BX215" s="187">
        <f>IF(AND(ISNUMBER(BX214),ISNUMBER(BX142)),IFERROR(BX214/BX142,""),"")</f>
        <v/>
      </c>
      <c r="BY215" s="180">
        <f>IF(AND(ISNUMBER(BY214),ISNUMBER(BY142)),IFERROR(BY214/BY142,""),"")</f>
        <v/>
      </c>
      <c r="BZ215" s="180">
        <f>IF(AND(ISNUMBER(BZ214),ISNUMBER(BZ142)),IFERROR(BZ214/BZ142,""),"")</f>
        <v/>
      </c>
      <c r="CA215" s="180">
        <f>IF(AND(ISNUMBER(CA214),ISNUMBER(CA142)),IFERROR(CA214/CA142,""),"")</f>
        <v/>
      </c>
      <c r="CB215" s="180">
        <f>IF(AND(ISNUMBER(CB214),ISNUMBER(CB142)),IFERROR(CB214/CB142,""),"")</f>
        <v/>
      </c>
      <c r="CC215" s="180">
        <f>IF(AND(ISNUMBER(CC214),ISNUMBER(CC142)),IFERROR(CC214/CC142,""),"")</f>
        <v/>
      </c>
      <c r="CD215" s="180">
        <f>IF(AND(ISNUMBER(CD214),ISNUMBER(CD142)),IFERROR(CD214/CD142,""),"")</f>
        <v/>
      </c>
      <c r="CE215" s="180">
        <f>IF(AND(ISNUMBER(CE214),ISNUMBER(CE142)),IFERROR(CE214/CE142,""),"")</f>
        <v/>
      </c>
      <c r="CF215" s="6" t="n"/>
      <c r="CH215" s="39">
        <f>IFERROR(AVERAGE(CA215,CB215,CC215,CD215,CE215),"n/m")</f>
        <v/>
      </c>
      <c r="CI215" s="39">
        <f>IFERROR(AVERAGE(BB215,BG215,BL215,BQ215,BV215),"n/m")</f>
        <v/>
      </c>
      <c r="CJ215" s="39">
        <f>IFERROR(AVERAGE(AC215,AH215,AM215,AR215,AW215,BB215,BG215,BL215,BQ215,BV215),"n/m")</f>
        <v/>
      </c>
      <c r="CK215" s="39">
        <f>IFERROR(AVERAGE(C215,D215,E215,F215,G215,H215,I215,N215,S215,X215,AC215,AH215,AM215,AR215,AW215,BB215,BG215,BL215,BQ215,BV215),"n/m")</f>
        <v/>
      </c>
    </row>
    <row r="216" ht="15" customHeight="1">
      <c r="B216" s="42" t="inlineStr">
        <is>
          <t xml:space="preserve">  Company-published adjusted income from operations</t>
        </is>
      </c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174" t="n">
        <v>123</v>
      </c>
      <c r="AB216" s="36" t="n"/>
      <c r="AC216" s="36" t="n"/>
      <c r="AD216" s="36" t="n"/>
      <c r="AE216" s="36" t="n"/>
      <c r="AF216" s="174" t="n">
        <v>128.3</v>
      </c>
      <c r="AG216" s="174" t="n">
        <v>133</v>
      </c>
      <c r="AH216" s="174" t="n">
        <v>507.7</v>
      </c>
      <c r="AI216" s="36" t="n"/>
      <c r="AJ216" s="174" t="n">
        <v>140.5</v>
      </c>
      <c r="AK216" s="174" t="n">
        <v>135.6</v>
      </c>
      <c r="AL216" s="174" t="n">
        <v>140.6</v>
      </c>
      <c r="AM216" s="174" t="n">
        <v>548.6</v>
      </c>
      <c r="AN216" s="174" t="n">
        <v>220.2</v>
      </c>
      <c r="AO216" s="174" t="n">
        <v>320</v>
      </c>
      <c r="AP216" s="174" t="n">
        <v>316.6</v>
      </c>
      <c r="AQ216" s="174" t="n">
        <v>312.7</v>
      </c>
      <c r="AR216" s="174" t="n">
        <v>1169.5</v>
      </c>
      <c r="AS216" s="174" t="n">
        <v>303.2</v>
      </c>
      <c r="AT216" s="174" t="n">
        <v>262.3</v>
      </c>
      <c r="AU216" s="174" t="n">
        <v>293.4</v>
      </c>
      <c r="AV216" s="174" t="n">
        <v>283.3</v>
      </c>
      <c r="AW216" s="174" t="n">
        <v>1142.2</v>
      </c>
      <c r="AX216" s="174" t="n">
        <v>276.6</v>
      </c>
      <c r="AY216" s="174" t="n">
        <v>305.6</v>
      </c>
      <c r="AZ216" s="174" t="n">
        <v>324.6</v>
      </c>
      <c r="BA216" s="174" t="n">
        <v>334</v>
      </c>
      <c r="BB216" s="174" t="n">
        <v>1241</v>
      </c>
      <c r="BC216" s="174" t="n">
        <v>319</v>
      </c>
      <c r="BD216" s="174" t="n">
        <v>340</v>
      </c>
      <c r="BE216" s="174" t="n">
        <v>343</v>
      </c>
      <c r="BF216" s="174" t="n">
        <v>352</v>
      </c>
      <c r="BG216" s="174" t="n">
        <v>1354</v>
      </c>
      <c r="BH216" s="174" t="n">
        <v>360</v>
      </c>
      <c r="BI216" s="174" t="n">
        <v>395</v>
      </c>
      <c r="BJ216" s="174" t="n">
        <v>457</v>
      </c>
      <c r="BK216" s="174" t="n">
        <v>431</v>
      </c>
      <c r="BL216" s="174" t="n">
        <v>1643</v>
      </c>
      <c r="BM216" s="174" t="n">
        <v>495</v>
      </c>
      <c r="BN216" s="174" t="n">
        <v>510</v>
      </c>
      <c r="BO216" s="174" t="n">
        <v>524</v>
      </c>
      <c r="BP216" s="174" t="n">
        <v>438</v>
      </c>
      <c r="BQ216" s="174" t="n">
        <v>1967</v>
      </c>
      <c r="BR216" s="174" t="n">
        <v>565</v>
      </c>
      <c r="BS216" s="174" t="n">
        <v>572</v>
      </c>
      <c r="BT216" s="174" t="n">
        <v>607</v>
      </c>
      <c r="BU216" s="174" t="n">
        <v>523</v>
      </c>
      <c r="BV216" s="174" t="n">
        <v>2267</v>
      </c>
      <c r="BW216" s="174" t="n">
        <v>645</v>
      </c>
      <c r="BX216" s="174" t="n">
        <v>697</v>
      </c>
      <c r="BY216" s="6" t="n"/>
      <c r="BZ216" s="6" t="n"/>
      <c r="CA216" s="6" t="n"/>
      <c r="CB216" s="6" t="n"/>
      <c r="CC216" s="6" t="n"/>
      <c r="CD216" s="6" t="n"/>
      <c r="CE216" s="6" t="n"/>
      <c r="CF216" s="6" t="n"/>
    </row>
    <row r="217" ht="15" customHeight="1">
      <c r="B217" s="61" t="inlineStr">
        <is>
          <t xml:space="preserve">  Check: model bridge vs company-published (should be 0)</t>
        </is>
      </c>
      <c r="C217" s="189">
        <f>IF(ISNUMBER(C216),ROUND(C214-C216,0),"n/p")</f>
        <v/>
      </c>
      <c r="D217" s="189">
        <f>IF(ISNUMBER(D216),ROUND(D214-D216,0),"n/p")</f>
        <v/>
      </c>
      <c r="E217" s="189">
        <f>IF(ISNUMBER(E216),ROUND(E214-E216,0),"n/p")</f>
        <v/>
      </c>
      <c r="F217" s="189">
        <f>IF(ISNUMBER(F216),ROUND(F214-F216,0),"n/p")</f>
        <v/>
      </c>
      <c r="G217" s="189">
        <f>IF(ISNUMBER(G216),ROUND(G214-G216,0),"n/p")</f>
        <v/>
      </c>
      <c r="H217" s="189">
        <f>IF(ISNUMBER(H216),ROUND(H214-H216,0),"n/p")</f>
        <v/>
      </c>
      <c r="I217" s="189">
        <f>IF(ISNUMBER(I216),ROUND(I214-I216,0),"n/p")</f>
        <v/>
      </c>
      <c r="J217" s="189">
        <f>IF(ISNUMBER(J216),ROUND(J214-J216,0),"n/p")</f>
        <v/>
      </c>
      <c r="K217" s="189">
        <f>IF(ISNUMBER(K216),ROUND(K214-K216,0),"n/p")</f>
        <v/>
      </c>
      <c r="L217" s="189">
        <f>IF(ISNUMBER(L216),ROUND(L214-L216,0),"n/p")</f>
        <v/>
      </c>
      <c r="M217" s="189">
        <f>IF(ISNUMBER(M216),ROUND(M214-M216,0),"n/p")</f>
        <v/>
      </c>
      <c r="N217" s="189">
        <f>IF(ISNUMBER(N216),ROUND(N214-N216,0),"n/p")</f>
        <v/>
      </c>
      <c r="O217" s="189">
        <f>IF(ISNUMBER(O216),ROUND(O214-O216,0),"n/p")</f>
        <v/>
      </c>
      <c r="P217" s="189">
        <f>IF(ISNUMBER(P216),ROUND(P214-P216,0),"n/p")</f>
        <v/>
      </c>
      <c r="Q217" s="189">
        <f>IF(ISNUMBER(Q216),ROUND(Q214-Q216,0),"n/p")</f>
        <v/>
      </c>
      <c r="R217" s="189">
        <f>IF(ISNUMBER(R216),ROUND(R214-R216,0),"n/p")</f>
        <v/>
      </c>
      <c r="S217" s="189">
        <f>IF(ISNUMBER(S216),ROUND(S214-S216,0),"n/p")</f>
        <v/>
      </c>
      <c r="T217" s="189">
        <f>IF(ISNUMBER(T216),ROUND(T214-T216,0),"n/p")</f>
        <v/>
      </c>
      <c r="U217" s="189">
        <f>IF(ISNUMBER(U216),ROUND(U214-U216,0),"n/p")</f>
        <v/>
      </c>
      <c r="V217" s="189">
        <f>IF(ISNUMBER(V216),ROUND(V214-V216,0),"n/p")</f>
        <v/>
      </c>
      <c r="W217" s="189">
        <f>IF(ISNUMBER(W216),ROUND(W214-W216,0),"n/p")</f>
        <v/>
      </c>
      <c r="X217" s="189">
        <f>IF(ISNUMBER(X216),ROUND(X214-X216,0),"n/p")</f>
        <v/>
      </c>
      <c r="Y217" s="189">
        <f>IF(ISNUMBER(Y216),ROUND(Y214-Y216,0),"n/p")</f>
        <v/>
      </c>
      <c r="Z217" s="189">
        <f>IF(ISNUMBER(Z216),ROUND(Z214-Z216,0),"n/p")</f>
        <v/>
      </c>
      <c r="AA217" s="189">
        <f>IF(ISNUMBER(AA216),ROUND(AA214-AA216,0),"n/p")</f>
        <v/>
      </c>
      <c r="AB217" s="189">
        <f>IF(ISNUMBER(AB216),ROUND(AB214-AB216,0),"n/p")</f>
        <v/>
      </c>
      <c r="AC217" s="189">
        <f>IF(ISNUMBER(AC216),ROUND(AC214-AC216,0),"n/p")</f>
        <v/>
      </c>
      <c r="AD217" s="189">
        <f>IF(ISNUMBER(AD216),ROUND(AD214-AD216,0),"n/p")</f>
        <v/>
      </c>
      <c r="AE217" s="189">
        <f>IF(ISNUMBER(AE216),ROUND(AE214-AE216,0),"n/p")</f>
        <v/>
      </c>
      <c r="AF217" s="189">
        <f>IF(ISNUMBER(AF216),ROUND(AF214-AF216,0),"n/p")</f>
        <v/>
      </c>
      <c r="AG217" s="189">
        <f>IF(ISNUMBER(AG216),ROUND(AG214-AG216,0),"n/p")</f>
        <v/>
      </c>
      <c r="AH217" s="189">
        <f>IF(ISNUMBER(AH216),ROUND(AH214-AH216,0),"n/p")</f>
        <v/>
      </c>
      <c r="AI217" s="189">
        <f>IF(ISNUMBER(AI216),ROUND(AI214-AI216,0),"n/p")</f>
        <v/>
      </c>
      <c r="AJ217" s="189">
        <f>IF(ISNUMBER(AJ216),ROUND(AJ214-AJ216,0),"n/p")</f>
        <v/>
      </c>
      <c r="AK217" s="189">
        <f>IF(ISNUMBER(AK216),ROUND(AK214-AK216,0),"n/p")</f>
        <v/>
      </c>
      <c r="AL217" s="189">
        <f>IF(ISNUMBER(AL216),ROUND(AL214-AL216,0),"n/p")</f>
        <v/>
      </c>
      <c r="AM217" s="189">
        <f>IF(ISNUMBER(AM216),ROUND(AM214-AM216,0),"n/p")</f>
        <v/>
      </c>
      <c r="AN217" s="189">
        <f>IF(ISNUMBER(AN216),ROUND(AN214-AN216,0),"n/p")</f>
        <v/>
      </c>
      <c r="AO217" s="189">
        <f>IF(ISNUMBER(AO216),ROUND(AO214-AO216,0),"n/p")</f>
        <v/>
      </c>
      <c r="AP217" s="189">
        <f>IF(ISNUMBER(AP216),ROUND(AP214-AP216,0),"n/p")</f>
        <v/>
      </c>
      <c r="AQ217" s="189">
        <f>IF(ISNUMBER(AQ216),ROUND(AQ214-AQ216,0),"n/p")</f>
        <v/>
      </c>
      <c r="AR217" s="189">
        <f>IF(ISNUMBER(AR216),ROUND(AR214-AR216,0),"n/p")</f>
        <v/>
      </c>
      <c r="AS217" s="189">
        <f>IF(ISNUMBER(AS216),ROUND(AS214-AS216,0),"n/p")</f>
        <v/>
      </c>
      <c r="AT217" s="189">
        <f>IF(ISNUMBER(AT216),ROUND(AT214-AT216,0),"n/p")</f>
        <v/>
      </c>
      <c r="AU217" s="189">
        <f>IF(ISNUMBER(AU216),ROUND(AU214-AU216,0),"n/p")</f>
        <v/>
      </c>
      <c r="AV217" s="189">
        <f>IF(ISNUMBER(AV216),ROUND(AV214-AV216,0),"n/p")</f>
        <v/>
      </c>
      <c r="AW217" s="189">
        <f>IF(ISNUMBER(AW216),ROUND(AW214-AW216,0),"n/p")</f>
        <v/>
      </c>
      <c r="AX217" s="189">
        <f>IF(ISNUMBER(AX216),ROUND(AX214-AX216,0),"n/p")</f>
        <v/>
      </c>
      <c r="AY217" s="189">
        <f>IF(ISNUMBER(AY216),ROUND(AY214-AY216,0),"n/p")</f>
        <v/>
      </c>
      <c r="AZ217" s="189">
        <f>IF(ISNUMBER(AZ216),ROUND(AZ214-AZ216,0),"n/p")</f>
        <v/>
      </c>
      <c r="BA217" s="189">
        <f>IF(ISNUMBER(BA216),ROUND(BA214-BA216,0),"n/p")</f>
        <v/>
      </c>
      <c r="BB217" s="189">
        <f>IF(ISNUMBER(BB216),ROUND(BB214-BB216,0),"n/p")</f>
        <v/>
      </c>
      <c r="BC217" s="189">
        <f>IF(ISNUMBER(BC216),ROUND(BC214-BC216,0),"n/p")</f>
        <v/>
      </c>
      <c r="BD217" s="189">
        <f>IF(ISNUMBER(BD216),ROUND(BD214-BD216,0),"n/p")</f>
        <v/>
      </c>
      <c r="BE217" s="189">
        <f>IF(ISNUMBER(BE216),ROUND(BE214-BE216,0),"n/p")</f>
        <v/>
      </c>
      <c r="BF217" s="189">
        <f>IF(ISNUMBER(BF216),ROUND(BF214-BF216,0),"n/p")</f>
        <v/>
      </c>
      <c r="BG217" s="189">
        <f>IF(ISNUMBER(BG216),ROUND(BG214-BG216,0),"n/p")</f>
        <v/>
      </c>
      <c r="BH217" s="189">
        <f>IF(ISNUMBER(BH216),ROUND(BH214-BH216,0),"n/p")</f>
        <v/>
      </c>
      <c r="BI217" s="189">
        <f>IF(ISNUMBER(BI216),ROUND(BI214-BI216,0),"n/p")</f>
        <v/>
      </c>
      <c r="BJ217" s="189">
        <f>IF(ISNUMBER(BJ216),ROUND(BJ214-BJ216,0),"n/p")</f>
        <v/>
      </c>
      <c r="BK217" s="189">
        <f>IF(ISNUMBER(BK216),ROUND(BK214-BK216,0),"n/p")</f>
        <v/>
      </c>
      <c r="BL217" s="189">
        <f>IF(ISNUMBER(BL216),ROUND(BL214-BL216,0),"n/p")</f>
        <v/>
      </c>
      <c r="BM217" s="189">
        <f>IF(ISNUMBER(BM216),ROUND(BM214-BM216,0),"n/p")</f>
        <v/>
      </c>
      <c r="BN217" s="189">
        <f>IF(ISNUMBER(BN216),ROUND(BN214-BN216,0),"n/p")</f>
        <v/>
      </c>
      <c r="BO217" s="189">
        <f>IF(ISNUMBER(BO216),ROUND(BO214-BO216,0),"n/p")</f>
        <v/>
      </c>
      <c r="BP217" s="189">
        <f>IF(ISNUMBER(BP216),ROUND(BP214-BP216,0),"n/p")</f>
        <v/>
      </c>
      <c r="BQ217" s="189">
        <f>IF(ISNUMBER(BQ216),ROUND(BQ214-BQ216,0),"n/p")</f>
        <v/>
      </c>
      <c r="BR217" s="189">
        <f>IF(ISNUMBER(BR216),ROUND(BR214-BR216,0),"n/p")</f>
        <v/>
      </c>
      <c r="BS217" s="189">
        <f>IF(ISNUMBER(BS216),ROUND(BS214-BS216,0),"n/p")</f>
        <v/>
      </c>
      <c r="BT217" s="189">
        <f>IF(ISNUMBER(BT216),ROUND(BT214-BT216,0),"n/p")</f>
        <v/>
      </c>
      <c r="BU217" s="189">
        <f>IF(ISNUMBER(BU216),ROUND(BU214-BU216,0),"n/p")</f>
        <v/>
      </c>
      <c r="BV217" s="189">
        <f>IF(ISNUMBER(BV216),ROUND(BV214-BV216,0),"n/p")</f>
        <v/>
      </c>
      <c r="BW217" s="189">
        <f>IF(ISNUMBER(BW216),ROUND(BW214-BW216,0),"n/p")</f>
        <v/>
      </c>
      <c r="BX217" s="189">
        <f>IF(ISNUMBER(BX216),ROUND(BX214-BX216,0),"n/p")</f>
        <v/>
      </c>
      <c r="BY217" s="6" t="n"/>
      <c r="BZ217" s="6" t="n"/>
      <c r="CA217" s="6" t="n"/>
      <c r="CB217" s="6" t="n"/>
      <c r="CC217" s="6" t="n"/>
      <c r="CD217" s="6" t="n"/>
      <c r="CE217" s="6" t="n"/>
      <c r="CF217" s="6" t="n"/>
    </row>
    <row r="218" ht="15" customHeight="1">
      <c r="B218" s="67" t="inlineStr">
        <is>
          <t xml:space="preserve">  Definition basis (company adjusted operating income definition in force)</t>
        </is>
      </c>
      <c r="C218" s="205" t="inlineStr">
        <is>
          <t>2006–2016: no adjusted operating income (narrative adjusted EPS only: FY2006, Q4-09, FY2011, 2016 quarters)</t>
        </is>
      </c>
      <c r="J218" s="68" t="n"/>
      <c r="AG218" s="205" t="inlineStr">
        <is>
          <t>Q4-17–2018: Reported→Adjusted tables (restructuring / integration, contract adjustments, Faiveley &amp; GE merger costs)</t>
        </is>
      </c>
      <c r="AJ218" s="68" t="n"/>
      <c r="AN218" s="205" t="inlineStr">
        <is>
          <t>2019: GE Transportation merger items (inventory step-up, restructuring / transaction, policy harmonization); amortization NOT added back</t>
        </is>
      </c>
      <c r="AS218" s="205" t="inlineStr">
        <is>
          <t>Q1-20+: all non-cash intangible amortization added back (FX losses also excluded through Q4-21)</t>
        </is>
      </c>
      <c r="BA218" s="68" t="n"/>
      <c r="BK218" s="205" t="inlineStr">
        <is>
          <t>Q4-23+: "Restructuring and Portfolio Optimization" (Integration 2.0 / 3.0)</t>
        </is>
      </c>
      <c r="BM218" s="68" t="n"/>
      <c r="BT218" s="205" t="inlineStr">
        <is>
          <t>Q3-25+: inventory purchase-accounting and transaction costs shown separately (2025–26 acquisitions)</t>
        </is>
      </c>
      <c r="BY218" s="6" t="n"/>
      <c r="BZ218" s="6" t="n"/>
      <c r="CA218" s="6" t="n"/>
      <c r="CB218" s="6" t="n"/>
      <c r="CC218" s="6" t="n"/>
      <c r="CD218" s="6" t="n"/>
      <c r="CE218" s="6" t="n"/>
      <c r="CF218" s="20" t="n"/>
    </row>
    <row r="219" ht="15" customHeight="1">
      <c r="B219" s="23" t="inlineStr">
        <is>
          <t xml:space="preserve">  Adjusted income from operations y/y %</t>
        </is>
      </c>
      <c r="D219" s="179">
        <f>IF(AND(ISNUMBER(D214),ISNUMBER(C214)),IFERROR(D214/C214-1,""),"")</f>
        <v/>
      </c>
      <c r="E219" s="179">
        <f>IF(AND(ISNUMBER(E214),ISNUMBER(D214)),IFERROR(E214/D214-1,""),"")</f>
        <v/>
      </c>
      <c r="F219" s="179">
        <f>IF(AND(ISNUMBER(F214),ISNUMBER(E214)),IFERROR(F214/E214-1,""),"")</f>
        <v/>
      </c>
      <c r="G219" s="179">
        <f>IF(AND(ISNUMBER(G214),ISNUMBER(F214)),IFERROR(G214/F214-1,""),"")</f>
        <v/>
      </c>
      <c r="H219" s="179">
        <f>IF(AND(ISNUMBER(H214),ISNUMBER(G214)),IFERROR(H214/G214-1,""),"")</f>
        <v/>
      </c>
      <c r="I219" s="179">
        <f>IF(AND(ISNUMBER(I214),ISNUMBER(H214)),IFERROR(I214/H214-1,""),"")</f>
        <v/>
      </c>
      <c r="N219" s="179">
        <f>IF(AND(ISNUMBER(N214),ISNUMBER(I214)),IFERROR(N214/I214-1,""),"")</f>
        <v/>
      </c>
      <c r="O219" s="179">
        <f>IF(AND(ISNUMBER(O214),ISNUMBER(J214)),IFERROR(O214/J214-1,""),"")</f>
        <v/>
      </c>
      <c r="P219" s="179">
        <f>IF(AND(ISNUMBER(P214),ISNUMBER(K214)),IFERROR(P214/K214-1,""),"")</f>
        <v/>
      </c>
      <c r="Q219" s="179">
        <f>IF(AND(ISNUMBER(Q214),ISNUMBER(L214)),IFERROR(Q214/L214-1,""),"")</f>
        <v/>
      </c>
      <c r="R219" s="179">
        <f>IF(AND(ISNUMBER(R214),ISNUMBER(M214)),IFERROR(R214/M214-1,""),"")</f>
        <v/>
      </c>
      <c r="S219" s="179">
        <f>IF(AND(ISNUMBER(S214),ISNUMBER(N214)),IFERROR(S214/N214-1,""),"")</f>
        <v/>
      </c>
      <c r="T219" s="179">
        <f>IF(AND(ISNUMBER(T214),ISNUMBER(O214)),IFERROR(T214/O214-1,""),"")</f>
        <v/>
      </c>
      <c r="U219" s="179">
        <f>IF(AND(ISNUMBER(U214),ISNUMBER(P214)),IFERROR(U214/P214-1,""),"")</f>
        <v/>
      </c>
      <c r="V219" s="179">
        <f>IF(AND(ISNUMBER(V214),ISNUMBER(Q214)),IFERROR(V214/Q214-1,""),"")</f>
        <v/>
      </c>
      <c r="W219" s="179">
        <f>IF(AND(ISNUMBER(W214),ISNUMBER(R214)),IFERROR(W214/R214-1,""),"")</f>
        <v/>
      </c>
      <c r="X219" s="179">
        <f>IF(AND(ISNUMBER(X214),ISNUMBER(S214)),IFERROR(X214/S214-1,""),"")</f>
        <v/>
      </c>
      <c r="Y219" s="179">
        <f>IF(AND(ISNUMBER(Y214),ISNUMBER(T214)),IFERROR(Y214/T214-1,""),"")</f>
        <v/>
      </c>
      <c r="Z219" s="179">
        <f>IF(AND(ISNUMBER(Z214),ISNUMBER(U214)),IFERROR(Z214/U214-1,""),"")</f>
        <v/>
      </c>
      <c r="AA219" s="179">
        <f>IF(AND(ISNUMBER(AA214),ISNUMBER(V214)),IFERROR(AA214/V214-1,""),"")</f>
        <v/>
      </c>
      <c r="AB219" s="179">
        <f>IF(AND(ISNUMBER(AB214),ISNUMBER(W214)),IFERROR(AB214/W214-1,""),"")</f>
        <v/>
      </c>
      <c r="AC219" s="179">
        <f>IF(AND(ISNUMBER(AC214),ISNUMBER(X214)),IFERROR(AC214/X214-1,""),"")</f>
        <v/>
      </c>
      <c r="AD219" s="179">
        <f>IF(AND(ISNUMBER(AD214),ISNUMBER(Y214)),IFERROR(AD214/Y214-1,""),"")</f>
        <v/>
      </c>
      <c r="AE219" s="179">
        <f>IF(AND(ISNUMBER(AE214),ISNUMBER(Z214)),IFERROR(AE214/Z214-1,""),"")</f>
        <v/>
      </c>
      <c r="AF219" s="179">
        <f>IF(AND(ISNUMBER(AF214),ISNUMBER(AA214)),IFERROR(AF214/AA214-1,""),"")</f>
        <v/>
      </c>
      <c r="AG219" s="179">
        <f>IF(AND(ISNUMBER(AG214),ISNUMBER(AB214)),IFERROR(AG214/AB214-1,""),"")</f>
        <v/>
      </c>
      <c r="AH219" s="179">
        <f>IF(AND(ISNUMBER(AH214),ISNUMBER(AC214)),IFERROR(AH214/AC214-1,""),"")</f>
        <v/>
      </c>
      <c r="AI219" s="179">
        <f>IF(AND(ISNUMBER(AI214),ISNUMBER(AD214)),IFERROR(AI214/AD214-1,""),"")</f>
        <v/>
      </c>
      <c r="AJ219" s="179">
        <f>IF(AND(ISNUMBER(AJ214),ISNUMBER(AE214)),IFERROR(AJ214/AE214-1,""),"")</f>
        <v/>
      </c>
      <c r="AK219" s="179">
        <f>IF(AND(ISNUMBER(AK214),ISNUMBER(AF214)),IFERROR(AK214/AF214-1,""),"")</f>
        <v/>
      </c>
      <c r="AL219" s="179">
        <f>IF(AND(ISNUMBER(AL214),ISNUMBER(AG214)),IFERROR(AL214/AG214-1,""),"")</f>
        <v/>
      </c>
      <c r="AM219" s="179">
        <f>IF(AND(ISNUMBER(AM214),ISNUMBER(AH214)),IFERROR(AM214/AH214-1,""),"")</f>
        <v/>
      </c>
      <c r="AN219" s="179">
        <f>IF(AND(ISNUMBER(AN214),ISNUMBER(AI214)),IFERROR(AN214/AI214-1,""),"")</f>
        <v/>
      </c>
      <c r="AO219" s="179">
        <f>IF(AND(ISNUMBER(AO214),ISNUMBER(AJ214)),IFERROR(AO214/AJ214-1,""),"")</f>
        <v/>
      </c>
      <c r="AP219" s="179">
        <f>IF(AND(ISNUMBER(AP214),ISNUMBER(AK214)),IFERROR(AP214/AK214-1,""),"")</f>
        <v/>
      </c>
      <c r="AQ219" s="179">
        <f>IF(AND(ISNUMBER(AQ214),ISNUMBER(AL214)),IFERROR(AQ214/AL214-1,""),"")</f>
        <v/>
      </c>
      <c r="AR219" s="179">
        <f>IF(AND(ISNUMBER(AR214),ISNUMBER(AM214)),IFERROR(AR214/AM214-1,""),"")</f>
        <v/>
      </c>
      <c r="AS219" s="179">
        <f>IF(AND(ISNUMBER(AS214),ISNUMBER(AN214)),IFERROR(AS214/AN214-1,""),"")</f>
        <v/>
      </c>
      <c r="AT219" s="179">
        <f>IF(AND(ISNUMBER(AT214),ISNUMBER(AO214)),IFERROR(AT214/AO214-1,""),"")</f>
        <v/>
      </c>
      <c r="AU219" s="179">
        <f>IF(AND(ISNUMBER(AU214),ISNUMBER(AP214)),IFERROR(AU214/AP214-1,""),"")</f>
        <v/>
      </c>
      <c r="AV219" s="179">
        <f>IF(AND(ISNUMBER(AV214),ISNUMBER(AQ214)),IFERROR(AV214/AQ214-1,""),"")</f>
        <v/>
      </c>
      <c r="AW219" s="179">
        <f>IF(AND(ISNUMBER(AW214),ISNUMBER(AR214)),IFERROR(AW214/AR214-1,""),"")</f>
        <v/>
      </c>
      <c r="AX219" s="179">
        <f>IF(AND(ISNUMBER(AX214),ISNUMBER(AS214)),IFERROR(AX214/AS214-1,""),"")</f>
        <v/>
      </c>
      <c r="AY219" s="179">
        <f>IF(AND(ISNUMBER(AY214),ISNUMBER(AT214)),IFERROR(AY214/AT214-1,""),"")</f>
        <v/>
      </c>
      <c r="AZ219" s="179">
        <f>IF(AND(ISNUMBER(AZ214),ISNUMBER(AU214)),IFERROR(AZ214/AU214-1,""),"")</f>
        <v/>
      </c>
      <c r="BA219" s="179">
        <f>IF(AND(ISNUMBER(BA214),ISNUMBER(AV214)),IFERROR(BA214/AV214-1,""),"")</f>
        <v/>
      </c>
      <c r="BB219" s="179">
        <f>IF(AND(ISNUMBER(BB214),ISNUMBER(AW214)),IFERROR(BB214/AW214-1,""),"")</f>
        <v/>
      </c>
      <c r="BC219" s="179">
        <f>IF(AND(ISNUMBER(BC214),ISNUMBER(AX214)),IFERROR(BC214/AX214-1,""),"")</f>
        <v/>
      </c>
      <c r="BD219" s="179">
        <f>IF(AND(ISNUMBER(BD214),ISNUMBER(AY214)),IFERROR(BD214/AY214-1,""),"")</f>
        <v/>
      </c>
      <c r="BE219" s="179">
        <f>IF(AND(ISNUMBER(BE214),ISNUMBER(AZ214)),IFERROR(BE214/AZ214-1,""),"")</f>
        <v/>
      </c>
      <c r="BF219" s="179">
        <f>IF(AND(ISNUMBER(BF214),ISNUMBER(BA214)),IFERROR(BF214/BA214-1,""),"")</f>
        <v/>
      </c>
      <c r="BG219" s="179">
        <f>IF(AND(ISNUMBER(BG214),ISNUMBER(BB214)),IFERROR(BG214/BB214-1,""),"")</f>
        <v/>
      </c>
      <c r="BH219" s="179">
        <f>IF(AND(ISNUMBER(BH214),ISNUMBER(BC214)),IFERROR(BH214/BC214-1,""),"")</f>
        <v/>
      </c>
      <c r="BI219" s="179">
        <f>IF(AND(ISNUMBER(BI214),ISNUMBER(BD214)),IFERROR(BI214/BD214-1,""),"")</f>
        <v/>
      </c>
      <c r="BJ219" s="179">
        <f>IF(AND(ISNUMBER(BJ214),ISNUMBER(BE214)),IFERROR(BJ214/BE214-1,""),"")</f>
        <v/>
      </c>
      <c r="BK219" s="179">
        <f>IF(AND(ISNUMBER(BK214),ISNUMBER(BF214)),IFERROR(BK214/BF214-1,""),"")</f>
        <v/>
      </c>
      <c r="BL219" s="179">
        <f>IF(AND(ISNUMBER(BL214),ISNUMBER(BG214)),IFERROR(BL214/BG214-1,""),"")</f>
        <v/>
      </c>
      <c r="BM219" s="179">
        <f>IF(AND(ISNUMBER(BM214),ISNUMBER(BH214)),IFERROR(BM214/BH214-1,""),"")</f>
        <v/>
      </c>
      <c r="BN219" s="179">
        <f>IF(AND(ISNUMBER(BN214),ISNUMBER(BI214)),IFERROR(BN214/BI214-1,""),"")</f>
        <v/>
      </c>
      <c r="BO219" s="179">
        <f>IF(AND(ISNUMBER(BO214),ISNUMBER(BJ214)),IFERROR(BO214/BJ214-1,""),"")</f>
        <v/>
      </c>
      <c r="BP219" s="179">
        <f>IF(AND(ISNUMBER(BP214),ISNUMBER(BK214)),IFERROR(BP214/BK214-1,""),"")</f>
        <v/>
      </c>
      <c r="BQ219" s="179">
        <f>IF(AND(ISNUMBER(BQ214),ISNUMBER(BL214)),IFERROR(BQ214/BL214-1,""),"")</f>
        <v/>
      </c>
      <c r="BR219" s="179">
        <f>IF(AND(ISNUMBER(BR214),ISNUMBER(BM214)),IFERROR(BR214/BM214-1,""),"")</f>
        <v/>
      </c>
      <c r="BS219" s="179">
        <f>IF(AND(ISNUMBER(BS214),ISNUMBER(BN214)),IFERROR(BS214/BN214-1,""),"")</f>
        <v/>
      </c>
      <c r="BT219" s="179">
        <f>IF(AND(ISNUMBER(BT214),ISNUMBER(BO214)),IFERROR(BT214/BO214-1,""),"")</f>
        <v/>
      </c>
      <c r="BU219" s="179">
        <f>IF(AND(ISNUMBER(BU214),ISNUMBER(BP214)),IFERROR(BU214/BP214-1,""),"")</f>
        <v/>
      </c>
      <c r="BV219" s="179">
        <f>IF(AND(ISNUMBER(BV214),ISNUMBER(BQ214)),IFERROR(BV214/BQ214-1,""),"")</f>
        <v/>
      </c>
      <c r="BW219" s="179">
        <f>IF(AND(ISNUMBER(BW214),ISNUMBER(BR214)),IFERROR(BW214/BR214-1,""),"")</f>
        <v/>
      </c>
      <c r="BX219" s="179">
        <f>IF(AND(ISNUMBER(BX214),ISNUMBER(BS214)),IFERROR(BX214/BS214-1,""),"")</f>
        <v/>
      </c>
      <c r="BY219" s="180">
        <f>IF(AND(ISNUMBER(BY214),ISNUMBER(BT214)),IFERROR(BY214/BT214-1,""),"")</f>
        <v/>
      </c>
      <c r="BZ219" s="180">
        <f>IF(AND(ISNUMBER(BZ214),ISNUMBER(BU214)),IFERROR(BZ214/BU214-1,""),"")</f>
        <v/>
      </c>
      <c r="CA219" s="180">
        <f>IF(AND(ISNUMBER(CA214),ISNUMBER(BV214)),IFERROR(CA214/BV214-1,""),"")</f>
        <v/>
      </c>
      <c r="CB219" s="180">
        <f>IF(AND(ISNUMBER(CB214),ISNUMBER(CA214)),IFERROR(CB214/CA214-1,""),"")</f>
        <v/>
      </c>
      <c r="CC219" s="180">
        <f>IF(AND(ISNUMBER(CC214),ISNUMBER(CB214)),IFERROR(CC214/CB214-1,""),"")</f>
        <v/>
      </c>
      <c r="CD219" s="180">
        <f>IF(AND(ISNUMBER(CD214),ISNUMBER(CC214)),IFERROR(CD214/CC214-1,""),"")</f>
        <v/>
      </c>
      <c r="CE219" s="180">
        <f>IF(AND(ISNUMBER(CE214),ISNUMBER(CD214)),IFERROR(CE214/CD214-1,""),"")</f>
        <v/>
      </c>
      <c r="CF219" s="6" t="n"/>
    </row>
    <row r="220" ht="15" customHeight="1">
      <c r="B220" s="26" t="inlineStr">
        <is>
          <t xml:space="preserve">  Incremental adjusted operating margin (Δ adj. op. income / Δ sales)</t>
        </is>
      </c>
      <c r="C220" s="38" t="n"/>
      <c r="D220" s="187">
        <f>IFERROR((D214-C214)/(D142-C142),"")</f>
        <v/>
      </c>
      <c r="E220" s="187">
        <f>IFERROR((E214-D214)/(E142-D142),"")</f>
        <v/>
      </c>
      <c r="F220" s="187">
        <f>IFERROR((F214-E214)/(F142-E142),"")</f>
        <v/>
      </c>
      <c r="G220" s="187">
        <f>IFERROR((G214-F214)/(G142-F142),"")</f>
        <v/>
      </c>
      <c r="H220" s="187">
        <f>IFERROR((H214-G214)/(H142-G142),"")</f>
        <v/>
      </c>
      <c r="I220" s="187">
        <f>IFERROR((I214-H214)/(I142-H142),"")</f>
        <v/>
      </c>
      <c r="J220" s="38" t="n"/>
      <c r="K220" s="38" t="n"/>
      <c r="L220" s="38" t="n"/>
      <c r="M220" s="38" t="n"/>
      <c r="N220" s="187">
        <f>IFERROR((N214-I214)/(N142-I142),"")</f>
        <v/>
      </c>
      <c r="O220" s="187">
        <f>IFERROR((O214-J214)/(O142-J142),"")</f>
        <v/>
      </c>
      <c r="P220" s="187">
        <f>IFERROR((P214-K214)/(P142-K142),"")</f>
        <v/>
      </c>
      <c r="Q220" s="187">
        <f>IFERROR((Q214-L214)/(Q142-L142),"")</f>
        <v/>
      </c>
      <c r="R220" s="187">
        <f>IFERROR((R214-M214)/(R142-M142),"")</f>
        <v/>
      </c>
      <c r="S220" s="187">
        <f>IFERROR((S214-N214)/(S142-N142),"")</f>
        <v/>
      </c>
      <c r="T220" s="187">
        <f>IFERROR((T214-O214)/(T142-O142),"")</f>
        <v/>
      </c>
      <c r="U220" s="187">
        <f>IFERROR((U214-P214)/(U142-P142),"")</f>
        <v/>
      </c>
      <c r="V220" s="187">
        <f>IFERROR((V214-Q214)/(V142-Q142),"")</f>
        <v/>
      </c>
      <c r="W220" s="187">
        <f>IFERROR((W214-R214)/(W142-R142),"")</f>
        <v/>
      </c>
      <c r="X220" s="187">
        <f>IFERROR((X214-S214)/(X142-S142),"")</f>
        <v/>
      </c>
      <c r="Y220" s="187">
        <f>IFERROR((Y214-T214)/(Y142-T142),"")</f>
        <v/>
      </c>
      <c r="Z220" s="187">
        <f>IFERROR((Z214-U214)/(Z142-U142),"")</f>
        <v/>
      </c>
      <c r="AA220" s="187">
        <f>IFERROR((AA214-V214)/(AA142-V142),"")</f>
        <v/>
      </c>
      <c r="AB220" s="187">
        <f>IFERROR((AB214-W214)/(AB142-W142),"")</f>
        <v/>
      </c>
      <c r="AC220" s="187">
        <f>IFERROR((AC214-X214)/(AC142-X142),"")</f>
        <v/>
      </c>
      <c r="AD220" s="187">
        <f>IFERROR((AD214-Y214)/(AD142-Y142),"")</f>
        <v/>
      </c>
      <c r="AE220" s="187">
        <f>IFERROR((AE214-Z214)/(AE142-Z142),"")</f>
        <v/>
      </c>
      <c r="AF220" s="187">
        <f>IFERROR((AF214-AA214)/(AF142-AA142),"")</f>
        <v/>
      </c>
      <c r="AG220" s="187">
        <f>IFERROR((AG214-AB214)/(AG142-AB142),"")</f>
        <v/>
      </c>
      <c r="AH220" s="187">
        <f>IFERROR((AH214-AC214)/(AH142-AC142),"")</f>
        <v/>
      </c>
      <c r="AI220" s="187">
        <f>IFERROR((AI214-AD214)/(AI142-AD142),"")</f>
        <v/>
      </c>
      <c r="AJ220" s="187">
        <f>IFERROR((AJ214-AE214)/(AJ142-AE142),"")</f>
        <v/>
      </c>
      <c r="AK220" s="187">
        <f>IFERROR((AK214-AF214)/(AK142-AF142),"")</f>
        <v/>
      </c>
      <c r="AL220" s="187">
        <f>IFERROR((AL214-AG214)/(AL142-AG142),"")</f>
        <v/>
      </c>
      <c r="AM220" s="187">
        <f>IFERROR((AM214-AH214)/(AM142-AH142),"")</f>
        <v/>
      </c>
      <c r="AN220" s="187">
        <f>IFERROR((AN214-AI214)/(AN142-AI142),"")</f>
        <v/>
      </c>
      <c r="AO220" s="187">
        <f>IFERROR((AO214-AJ214)/(AO142-AJ142),"")</f>
        <v/>
      </c>
      <c r="AP220" s="187">
        <f>IFERROR((AP214-AK214)/(AP142-AK142),"")</f>
        <v/>
      </c>
      <c r="AQ220" s="187">
        <f>IFERROR((AQ214-AL214)/(AQ142-AL142),"")</f>
        <v/>
      </c>
      <c r="AR220" s="187">
        <f>IFERROR((AR214-AM214)/(AR142-AM142),"")</f>
        <v/>
      </c>
      <c r="AS220" s="187">
        <f>IFERROR((AS214-AN214)/(AS142-AN142),"")</f>
        <v/>
      </c>
      <c r="AT220" s="187">
        <f>IFERROR((AT214-AO214)/(AT142-AO142),"")</f>
        <v/>
      </c>
      <c r="AU220" s="187">
        <f>IFERROR((AU214-AP214)/(AU142-AP142),"")</f>
        <v/>
      </c>
      <c r="AV220" s="187">
        <f>IFERROR((AV214-AQ214)/(AV142-AQ142),"")</f>
        <v/>
      </c>
      <c r="AW220" s="187">
        <f>IFERROR((AW214-AR214)/(AW142-AR142),"")</f>
        <v/>
      </c>
      <c r="AX220" s="187">
        <f>IFERROR((AX214-AS214)/(AX142-AS142),"")</f>
        <v/>
      </c>
      <c r="AY220" s="187">
        <f>IFERROR((AY214-AT214)/(AY142-AT142),"")</f>
        <v/>
      </c>
      <c r="AZ220" s="187">
        <f>IFERROR((AZ214-AU214)/(AZ142-AU142),"")</f>
        <v/>
      </c>
      <c r="BA220" s="187">
        <f>IFERROR((BA214-AV214)/(BA142-AV142),"")</f>
        <v/>
      </c>
      <c r="BB220" s="187">
        <f>IFERROR((BB214-AW214)/(BB142-AW142),"")</f>
        <v/>
      </c>
      <c r="BC220" s="187">
        <f>IFERROR((BC214-AX214)/(BC142-AX142),"")</f>
        <v/>
      </c>
      <c r="BD220" s="187">
        <f>IFERROR((BD214-AY214)/(BD142-AY142),"")</f>
        <v/>
      </c>
      <c r="BE220" s="187">
        <f>IFERROR((BE214-AZ214)/(BE142-AZ142),"")</f>
        <v/>
      </c>
      <c r="BF220" s="187">
        <f>IFERROR((BF214-BA214)/(BF142-BA142),"")</f>
        <v/>
      </c>
      <c r="BG220" s="187">
        <f>IFERROR((BG214-BB214)/(BG142-BB142),"")</f>
        <v/>
      </c>
      <c r="BH220" s="187">
        <f>IFERROR((BH214-BC214)/(BH142-BC142),"")</f>
        <v/>
      </c>
      <c r="BI220" s="187">
        <f>IFERROR((BI214-BD214)/(BI142-BD142),"")</f>
        <v/>
      </c>
      <c r="BJ220" s="187">
        <f>IFERROR((BJ214-BE214)/(BJ142-BE142),"")</f>
        <v/>
      </c>
      <c r="BK220" s="187">
        <f>IFERROR((BK214-BF214)/(BK142-BF142),"")</f>
        <v/>
      </c>
      <c r="BL220" s="187">
        <f>IFERROR((BL214-BG214)/(BL142-BG142),"")</f>
        <v/>
      </c>
      <c r="BM220" s="187">
        <f>IFERROR((BM214-BH214)/(BM142-BH142),"")</f>
        <v/>
      </c>
      <c r="BN220" s="187">
        <f>IFERROR((BN214-BI214)/(BN142-BI142),"")</f>
        <v/>
      </c>
      <c r="BO220" s="187">
        <f>IFERROR((BO214-BJ214)/(BO142-BJ142),"")</f>
        <v/>
      </c>
      <c r="BP220" s="187">
        <f>IFERROR((BP214-BK214)/(BP142-BK142),"")</f>
        <v/>
      </c>
      <c r="BQ220" s="187">
        <f>IFERROR((BQ214-BL214)/(BQ142-BL142),"")</f>
        <v/>
      </c>
      <c r="BR220" s="187">
        <f>IFERROR((BR214-BM214)/(BR142-BM142),"")</f>
        <v/>
      </c>
      <c r="BS220" s="187">
        <f>IFERROR((BS214-BN214)/(BS142-BN142),"")</f>
        <v/>
      </c>
      <c r="BT220" s="187">
        <f>IFERROR((BT214-BO214)/(BT142-BO142),"")</f>
        <v/>
      </c>
      <c r="BU220" s="187">
        <f>IFERROR((BU214-BP214)/(BU142-BP142),"")</f>
        <v/>
      </c>
      <c r="BV220" s="187">
        <f>IFERROR((BV214-BQ214)/(BV142-BQ142),"")</f>
        <v/>
      </c>
      <c r="BW220" s="187">
        <f>IFERROR((BW214-BR214)/(BW142-BR142),"")</f>
        <v/>
      </c>
      <c r="BX220" s="187">
        <f>IFERROR((BX214-BS214)/(BX142-BS142),"")</f>
        <v/>
      </c>
      <c r="BY220" s="180">
        <f>IFERROR((BY214-BT214)/(BY142-BT142),"")</f>
        <v/>
      </c>
      <c r="BZ220" s="180">
        <f>IFERROR((BZ214-BU214)/(BZ142-BU142),"")</f>
        <v/>
      </c>
      <c r="CA220" s="180">
        <f>IFERROR((CA214-BV214)/(CA142-BV142),"")</f>
        <v/>
      </c>
      <c r="CB220" s="180">
        <f>IFERROR((CB214-CA214)/(CB142-CA142),"")</f>
        <v/>
      </c>
      <c r="CC220" s="180">
        <f>IFERROR((CC214-CB214)/(CC142-CB142),"")</f>
        <v/>
      </c>
      <c r="CD220" s="180">
        <f>IFERROR((CD214-CC214)/(CD142-CC142),"")</f>
        <v/>
      </c>
      <c r="CE220" s="180">
        <f>IFERROR((CE214-CD214)/(CE142-CD142),"")</f>
        <v/>
      </c>
      <c r="CF220" s="6" t="n"/>
    </row>
    <row r="221" ht="15" customHeight="1"/>
    <row r="222" collapsed="1" ht="15" customHeight="1">
      <c r="B222" s="11" t="inlineStr">
        <is>
          <t>RECONCILIATION: GAAP NET INCOME / DILUTED EPS → ADJUSTED NET INCOME → ADJUSTED DILUTED EPS (company definition, as published)</t>
        </is>
      </c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  <c r="AG222" s="11" t="n"/>
      <c r="AH222" s="11" t="n"/>
      <c r="AI222" s="11" t="n"/>
      <c r="AJ222" s="11" t="n"/>
      <c r="AK222" s="11" t="n"/>
      <c r="AL222" s="11" t="n"/>
      <c r="AM222" s="11" t="n"/>
      <c r="AN222" s="11" t="n"/>
      <c r="AO222" s="11" t="n"/>
      <c r="AP222" s="11" t="n"/>
      <c r="AQ222" s="11" t="n"/>
      <c r="AR222" s="11" t="n"/>
      <c r="AS222" s="11" t="n"/>
      <c r="AT222" s="11" t="n"/>
      <c r="AU222" s="11" t="n"/>
      <c r="AV222" s="11" t="n"/>
      <c r="AW222" s="11" t="n"/>
      <c r="AX222" s="11" t="n"/>
      <c r="AY222" s="11" t="n"/>
      <c r="AZ222" s="11" t="n"/>
      <c r="BA222" s="11" t="n"/>
      <c r="BB222" s="11" t="n"/>
      <c r="BC222" s="11" t="n"/>
      <c r="BD222" s="11" t="n"/>
      <c r="BE222" s="11" t="n"/>
      <c r="BF222" s="11" t="n"/>
      <c r="BG222" s="11" t="n"/>
      <c r="BH222" s="11" t="n"/>
      <c r="BI222" s="11" t="n"/>
      <c r="BJ222" s="11" t="n"/>
      <c r="BK222" s="11" t="n"/>
      <c r="BL222" s="11" t="n"/>
      <c r="BM222" s="11" t="n"/>
      <c r="BN222" s="11" t="n"/>
      <c r="BO222" s="11" t="n"/>
      <c r="BP222" s="11" t="n"/>
      <c r="BQ222" s="11" t="n"/>
      <c r="BR222" s="11" t="n"/>
      <c r="BS222" s="11" t="n"/>
      <c r="BT222" s="11" t="n"/>
      <c r="BU222" s="11" t="n"/>
      <c r="BV222" s="11" t="n"/>
      <c r="BW222" s="11" t="n"/>
      <c r="BX222" s="11" t="n"/>
      <c r="BY222" s="11" t="n"/>
      <c r="BZ222" s="11" t="n"/>
      <c r="CA222" s="11" t="n"/>
      <c r="CB222" s="11" t="n"/>
      <c r="CC222" s="11" t="n"/>
      <c r="CD222" s="11" t="n"/>
      <c r="CE222" s="11" t="n"/>
      <c r="CF222" s="11" t="inlineStr">
        <is>
          <t>ADJUSTED EPS — company definition in force in each period (table bridges from 2016; per-share narrative bridges before)</t>
        </is>
      </c>
    </row>
    <row r="223" ht="15" customHeight="1">
      <c r="B223" s="17" t="inlineStr">
        <is>
          <t>Net income attributable to Wabtec shareholders (GAAP)</t>
        </is>
      </c>
      <c r="C223" s="198">
        <f>C161</f>
        <v/>
      </c>
      <c r="D223" s="198">
        <f>D161</f>
        <v/>
      </c>
      <c r="E223" s="198">
        <f>E161</f>
        <v/>
      </c>
      <c r="F223" s="198">
        <f>F161</f>
        <v/>
      </c>
      <c r="G223" s="198">
        <f>G161</f>
        <v/>
      </c>
      <c r="H223" s="198">
        <f>H161</f>
        <v/>
      </c>
      <c r="I223" s="198">
        <f>I161</f>
        <v/>
      </c>
      <c r="J223" s="198">
        <f>J161</f>
        <v/>
      </c>
      <c r="K223" s="198">
        <f>K161</f>
        <v/>
      </c>
      <c r="L223" s="198">
        <f>L161</f>
        <v/>
      </c>
      <c r="M223" s="198">
        <f>M161</f>
        <v/>
      </c>
      <c r="N223" s="198">
        <f>N161</f>
        <v/>
      </c>
      <c r="O223" s="198">
        <f>O161</f>
        <v/>
      </c>
      <c r="P223" s="198">
        <f>P161</f>
        <v/>
      </c>
      <c r="Q223" s="198">
        <f>Q161</f>
        <v/>
      </c>
      <c r="R223" s="198">
        <f>R161</f>
        <v/>
      </c>
      <c r="S223" s="198">
        <f>S161</f>
        <v/>
      </c>
      <c r="T223" s="198">
        <f>T161</f>
        <v/>
      </c>
      <c r="U223" s="198">
        <f>U161</f>
        <v/>
      </c>
      <c r="V223" s="198">
        <f>V161</f>
        <v/>
      </c>
      <c r="W223" s="198">
        <f>W161</f>
        <v/>
      </c>
      <c r="X223" s="198">
        <f>X161</f>
        <v/>
      </c>
      <c r="Y223" s="198">
        <f>Y161</f>
        <v/>
      </c>
      <c r="Z223" s="198">
        <f>Z161</f>
        <v/>
      </c>
      <c r="AA223" s="198">
        <f>AA161</f>
        <v/>
      </c>
      <c r="AB223" s="198">
        <f>AB161</f>
        <v/>
      </c>
      <c r="AC223" s="198">
        <f>AC161</f>
        <v/>
      </c>
      <c r="AD223" s="198">
        <f>AD161</f>
        <v/>
      </c>
      <c r="AE223" s="198">
        <f>AE161</f>
        <v/>
      </c>
      <c r="AF223" s="198">
        <f>AF161</f>
        <v/>
      </c>
      <c r="AG223" s="198">
        <f>AG161</f>
        <v/>
      </c>
      <c r="AH223" s="198">
        <f>AH161</f>
        <v/>
      </c>
      <c r="AI223" s="198">
        <f>AI161</f>
        <v/>
      </c>
      <c r="AJ223" s="198">
        <f>AJ161</f>
        <v/>
      </c>
      <c r="AK223" s="198">
        <f>AK161</f>
        <v/>
      </c>
      <c r="AL223" s="198">
        <f>AL161</f>
        <v/>
      </c>
      <c r="AM223" s="198">
        <f>AM161</f>
        <v/>
      </c>
      <c r="AN223" s="198">
        <f>AN161</f>
        <v/>
      </c>
      <c r="AO223" s="198">
        <f>AO161</f>
        <v/>
      </c>
      <c r="AP223" s="198">
        <f>AP161</f>
        <v/>
      </c>
      <c r="AQ223" s="198">
        <f>AQ161</f>
        <v/>
      </c>
      <c r="AR223" s="198">
        <f>AR161</f>
        <v/>
      </c>
      <c r="AS223" s="198">
        <f>AS161</f>
        <v/>
      </c>
      <c r="AT223" s="198">
        <f>AT161</f>
        <v/>
      </c>
      <c r="AU223" s="198">
        <f>AU161</f>
        <v/>
      </c>
      <c r="AV223" s="198">
        <f>AV161</f>
        <v/>
      </c>
      <c r="AW223" s="198">
        <f>AW161</f>
        <v/>
      </c>
      <c r="AX223" s="198">
        <f>AX161</f>
        <v/>
      </c>
      <c r="AY223" s="198">
        <f>AY161</f>
        <v/>
      </c>
      <c r="AZ223" s="198">
        <f>AZ161</f>
        <v/>
      </c>
      <c r="BA223" s="198">
        <f>BA161</f>
        <v/>
      </c>
      <c r="BB223" s="198">
        <f>BB161</f>
        <v/>
      </c>
      <c r="BC223" s="198">
        <f>BC161</f>
        <v/>
      </c>
      <c r="BD223" s="198">
        <f>BD161</f>
        <v/>
      </c>
      <c r="BE223" s="198">
        <f>BE161</f>
        <v/>
      </c>
      <c r="BF223" s="198">
        <f>BF161</f>
        <v/>
      </c>
      <c r="BG223" s="198">
        <f>BG161</f>
        <v/>
      </c>
      <c r="BH223" s="198">
        <f>BH161</f>
        <v/>
      </c>
      <c r="BI223" s="198">
        <f>BI161</f>
        <v/>
      </c>
      <c r="BJ223" s="198">
        <f>BJ161</f>
        <v/>
      </c>
      <c r="BK223" s="198">
        <f>BK161</f>
        <v/>
      </c>
      <c r="BL223" s="198">
        <f>BL161</f>
        <v/>
      </c>
      <c r="BM223" s="198">
        <f>BM161</f>
        <v/>
      </c>
      <c r="BN223" s="198">
        <f>BN161</f>
        <v/>
      </c>
      <c r="BO223" s="198">
        <f>BO161</f>
        <v/>
      </c>
      <c r="BP223" s="198">
        <f>BP161</f>
        <v/>
      </c>
      <c r="BQ223" s="198">
        <f>BQ161</f>
        <v/>
      </c>
      <c r="BR223" s="198">
        <f>BR161</f>
        <v/>
      </c>
      <c r="BS223" s="198">
        <f>BS161</f>
        <v/>
      </c>
      <c r="BT223" s="198">
        <f>BT161</f>
        <v/>
      </c>
      <c r="BU223" s="198">
        <f>BU161</f>
        <v/>
      </c>
      <c r="BV223" s="198">
        <f>BV161</f>
        <v/>
      </c>
      <c r="BW223" s="198">
        <f>BW161</f>
        <v/>
      </c>
      <c r="BX223" s="198">
        <f>BX161</f>
        <v/>
      </c>
      <c r="BY223" s="185">
        <f>BY161</f>
        <v/>
      </c>
      <c r="BZ223" s="185">
        <f>BZ161</f>
        <v/>
      </c>
      <c r="CA223" s="185">
        <f>CA161</f>
        <v/>
      </c>
      <c r="CB223" s="185">
        <f>CB161</f>
        <v/>
      </c>
      <c r="CC223" s="185">
        <f>CC161</f>
        <v/>
      </c>
      <c r="CD223" s="185">
        <f>CD161</f>
        <v/>
      </c>
      <c r="CE223" s="185">
        <f>CE161</f>
        <v/>
      </c>
      <c r="CF223" s="6" t="n"/>
    </row>
    <row r="224" ht="15" customHeight="1">
      <c r="B224" s="26" t="inlineStr">
        <is>
          <t xml:space="preserve">  (+) Operating-level adjusting items, pre-tax (as in the adjusted operating income bridge)</t>
        </is>
      </c>
      <c r="C224" s="183">
        <f>IF(ISNUMBER(C235),"",IF(ISNUMBER(C233),C213,""))</f>
        <v/>
      </c>
      <c r="D224" s="183">
        <f>IF(ISNUMBER(D235),"",IF(ISNUMBER(D233),D213,""))</f>
        <v/>
      </c>
      <c r="E224" s="183">
        <f>IF(ISNUMBER(E235),"",IF(ISNUMBER(E233),E213,""))</f>
        <v/>
      </c>
      <c r="F224" s="183">
        <f>IF(ISNUMBER(F235),"",IF(ISNUMBER(F233),F213,""))</f>
        <v/>
      </c>
      <c r="G224" s="183">
        <f>IF(ISNUMBER(G235),"",IF(ISNUMBER(G233),G213,""))</f>
        <v/>
      </c>
      <c r="H224" s="183">
        <f>IF(ISNUMBER(H235),"",IF(ISNUMBER(H233),H213,""))</f>
        <v/>
      </c>
      <c r="I224" s="183">
        <f>IF(ISNUMBER(I235),"",IF(ISNUMBER(I233),I213,""))</f>
        <v/>
      </c>
      <c r="J224" s="183">
        <f>IF(ISNUMBER(J235),"",IF(ISNUMBER(J233),J213,""))</f>
        <v/>
      </c>
      <c r="K224" s="183">
        <f>IF(ISNUMBER(K235),"",IF(ISNUMBER(K233),K213,""))</f>
        <v/>
      </c>
      <c r="L224" s="183">
        <f>IF(ISNUMBER(L235),"",IF(ISNUMBER(L233),L213,""))</f>
        <v/>
      </c>
      <c r="M224" s="183">
        <f>IF(ISNUMBER(M235),"",IF(ISNUMBER(M233),M213,""))</f>
        <v/>
      </c>
      <c r="N224" s="183">
        <f>IF(ISNUMBER(N235),"",IF(ISNUMBER(N233),N213,""))</f>
        <v/>
      </c>
      <c r="O224" s="183">
        <f>IF(ISNUMBER(O235),"",IF(ISNUMBER(O233),O213,""))</f>
        <v/>
      </c>
      <c r="P224" s="183">
        <f>IF(ISNUMBER(P235),"",IF(ISNUMBER(P233),P213,""))</f>
        <v/>
      </c>
      <c r="Q224" s="183">
        <f>IF(ISNUMBER(Q235),"",IF(ISNUMBER(Q233),Q213,""))</f>
        <v/>
      </c>
      <c r="R224" s="183">
        <f>IF(ISNUMBER(R235),"",IF(ISNUMBER(R233),R213,""))</f>
        <v/>
      </c>
      <c r="S224" s="183">
        <f>IF(ISNUMBER(S235),"",IF(ISNUMBER(S233),S213,""))</f>
        <v/>
      </c>
      <c r="T224" s="183">
        <f>IF(ISNUMBER(T235),"",IF(ISNUMBER(T233),T213,""))</f>
        <v/>
      </c>
      <c r="U224" s="183">
        <f>IF(ISNUMBER(U235),"",IF(ISNUMBER(U233),U213,""))</f>
        <v/>
      </c>
      <c r="V224" s="183">
        <f>IF(ISNUMBER(V235),"",IF(ISNUMBER(V233),V213,""))</f>
        <v/>
      </c>
      <c r="W224" s="183">
        <f>IF(ISNUMBER(W235),"",IF(ISNUMBER(W233),W213,""))</f>
        <v/>
      </c>
      <c r="X224" s="183">
        <f>IF(ISNUMBER(X235),"",IF(ISNUMBER(X233),X213,""))</f>
        <v/>
      </c>
      <c r="Y224" s="183">
        <f>IF(ISNUMBER(Y235),"",IF(ISNUMBER(Y233),Y213,""))</f>
        <v/>
      </c>
      <c r="Z224" s="183">
        <f>IF(ISNUMBER(Z235),"",IF(ISNUMBER(Z233),Z213,""))</f>
        <v/>
      </c>
      <c r="AA224" s="183">
        <f>IF(ISNUMBER(AA235),"",IF(ISNUMBER(AA233),AA213,""))</f>
        <v/>
      </c>
      <c r="AB224" s="183">
        <f>IF(ISNUMBER(AB235),"",IF(ISNUMBER(AB233),AB213,""))</f>
        <v/>
      </c>
      <c r="AC224" s="183">
        <f>IF(ISNUMBER(AC235),"",IF(ISNUMBER(AC233),AC213,""))</f>
        <v/>
      </c>
      <c r="AD224" s="183">
        <f>IF(ISNUMBER(AD235),"",IF(ISNUMBER(AD233),AD213,""))</f>
        <v/>
      </c>
      <c r="AE224" s="183">
        <f>IF(ISNUMBER(AE235),"",IF(ISNUMBER(AE233),AE213,""))</f>
        <v/>
      </c>
      <c r="AF224" s="183">
        <f>IF(ISNUMBER(AF235),"",IF(ISNUMBER(AF233),AF213,""))</f>
        <v/>
      </c>
      <c r="AG224" s="183">
        <f>IF(ISNUMBER(AG235),"",IF(ISNUMBER(AG233),AG213,""))</f>
        <v/>
      </c>
      <c r="AH224" s="183">
        <f>IF(ISNUMBER(AH235),"",IF(ISNUMBER(AH233),AH213,""))</f>
        <v/>
      </c>
      <c r="AI224" s="183">
        <f>IF(ISNUMBER(AI235),"",IF(ISNUMBER(AI233),AI213,""))</f>
        <v/>
      </c>
      <c r="AJ224" s="183">
        <f>IF(ISNUMBER(AJ235),"",IF(ISNUMBER(AJ233),AJ213,""))</f>
        <v/>
      </c>
      <c r="AK224" s="183">
        <f>IF(ISNUMBER(AK235),"",IF(ISNUMBER(AK233),AK213,""))</f>
        <v/>
      </c>
      <c r="AL224" s="183">
        <f>IF(ISNUMBER(AL235),"",IF(ISNUMBER(AL233),AL213,""))</f>
        <v/>
      </c>
      <c r="AM224" s="183">
        <f>IF(ISNUMBER(AM235),"",IF(ISNUMBER(AM233),AM213,""))</f>
        <v/>
      </c>
      <c r="AN224" s="183">
        <f>IF(ISNUMBER(AN235),"",IF(ISNUMBER(AN233),AN213,""))</f>
        <v/>
      </c>
      <c r="AO224" s="183">
        <f>IF(ISNUMBER(AO235),"",IF(ISNUMBER(AO233),AO213,""))</f>
        <v/>
      </c>
      <c r="AP224" s="183">
        <f>IF(ISNUMBER(AP235),"",IF(ISNUMBER(AP233),AP213,""))</f>
        <v/>
      </c>
      <c r="AQ224" s="183">
        <f>IF(ISNUMBER(AQ235),"",IF(ISNUMBER(AQ233),AQ213,""))</f>
        <v/>
      </c>
      <c r="AR224" s="183">
        <f>IF(ISNUMBER(AR235),"",IF(ISNUMBER(AR233),AR213,""))</f>
        <v/>
      </c>
      <c r="AS224" s="183">
        <f>IF(ISNUMBER(AS235),"",IF(ISNUMBER(AS233),AS213,""))</f>
        <v/>
      </c>
      <c r="AT224" s="183">
        <f>IF(ISNUMBER(AT235),"",IF(ISNUMBER(AT233),AT213,""))</f>
        <v/>
      </c>
      <c r="AU224" s="183">
        <f>IF(ISNUMBER(AU235),"",IF(ISNUMBER(AU233),AU213,""))</f>
        <v/>
      </c>
      <c r="AV224" s="183">
        <f>IF(ISNUMBER(AV235),"",IF(ISNUMBER(AV233),AV213,""))</f>
        <v/>
      </c>
      <c r="AW224" s="183">
        <f>IF(ISNUMBER(AW235),"",IF(ISNUMBER(AW233),AW213,""))</f>
        <v/>
      </c>
      <c r="AX224" s="183">
        <f>IF(ISNUMBER(AX235),"",IF(ISNUMBER(AX233),AX213,""))</f>
        <v/>
      </c>
      <c r="AY224" s="183">
        <f>IF(ISNUMBER(AY235),"",IF(ISNUMBER(AY233),AY213,""))</f>
        <v/>
      </c>
      <c r="AZ224" s="183">
        <f>IF(ISNUMBER(AZ235),"",IF(ISNUMBER(AZ233),AZ213,""))</f>
        <v/>
      </c>
      <c r="BA224" s="183">
        <f>IF(ISNUMBER(BA235),"",IF(ISNUMBER(BA233),BA213,""))</f>
        <v/>
      </c>
      <c r="BB224" s="183">
        <f>IF(ISNUMBER(BB235),"",IF(ISNUMBER(BB233),BB213,""))</f>
        <v/>
      </c>
      <c r="BC224" s="183">
        <f>IF(ISNUMBER(BC235),"",IF(ISNUMBER(BC233),BC213,""))</f>
        <v/>
      </c>
      <c r="BD224" s="183">
        <f>IF(ISNUMBER(BD235),"",IF(ISNUMBER(BD233),BD213,""))</f>
        <v/>
      </c>
      <c r="BE224" s="183">
        <f>IF(ISNUMBER(BE235),"",IF(ISNUMBER(BE233),BE213,""))</f>
        <v/>
      </c>
      <c r="BF224" s="183">
        <f>IF(ISNUMBER(BF235),"",IF(ISNUMBER(BF233),BF213,""))</f>
        <v/>
      </c>
      <c r="BG224" s="183">
        <f>IF(ISNUMBER(BG235),"",IF(ISNUMBER(BG233),BG213,""))</f>
        <v/>
      </c>
      <c r="BH224" s="183">
        <f>IF(ISNUMBER(BH235),"",IF(ISNUMBER(BH233),BH213,""))</f>
        <v/>
      </c>
      <c r="BI224" s="183">
        <f>IF(ISNUMBER(BI235),"",IF(ISNUMBER(BI233),BI213,""))</f>
        <v/>
      </c>
      <c r="BJ224" s="183">
        <f>IF(ISNUMBER(BJ235),"",IF(ISNUMBER(BJ233),BJ213,""))</f>
        <v/>
      </c>
      <c r="BK224" s="183">
        <f>IF(ISNUMBER(BK235),"",IF(ISNUMBER(BK233),BK213,""))</f>
        <v/>
      </c>
      <c r="BL224" s="183">
        <f>IF(ISNUMBER(BL235),"",IF(ISNUMBER(BL233),BL213,""))</f>
        <v/>
      </c>
      <c r="BM224" s="183">
        <f>IF(ISNUMBER(BM235),"",IF(ISNUMBER(BM233),BM213,""))</f>
        <v/>
      </c>
      <c r="BN224" s="183">
        <f>IF(ISNUMBER(BN235),"",IF(ISNUMBER(BN233),BN213,""))</f>
        <v/>
      </c>
      <c r="BO224" s="183">
        <f>IF(ISNUMBER(BO235),"",IF(ISNUMBER(BO233),BO213,""))</f>
        <v/>
      </c>
      <c r="BP224" s="183">
        <f>IF(ISNUMBER(BP235),"",IF(ISNUMBER(BP233),BP213,""))</f>
        <v/>
      </c>
      <c r="BQ224" s="183">
        <f>IF(ISNUMBER(BQ235),"",IF(ISNUMBER(BQ233),BQ213,""))</f>
        <v/>
      </c>
      <c r="BR224" s="183">
        <f>IF(ISNUMBER(BR235),"",IF(ISNUMBER(BR233),BR213,""))</f>
        <v/>
      </c>
      <c r="BS224" s="183">
        <f>IF(ISNUMBER(BS235),"",IF(ISNUMBER(BS233),BS213,""))</f>
        <v/>
      </c>
      <c r="BT224" s="183">
        <f>IF(ISNUMBER(BT235),"",IF(ISNUMBER(BT233),BT213,""))</f>
        <v/>
      </c>
      <c r="BU224" s="183">
        <f>IF(ISNUMBER(BU235),"",IF(ISNUMBER(BU233),BU213,""))</f>
        <v/>
      </c>
      <c r="BV224" s="183">
        <f>IF(ISNUMBER(BV235),"",IF(ISNUMBER(BV233),BV213,""))</f>
        <v/>
      </c>
      <c r="BW224" s="183">
        <f>IF(ISNUMBER(BW235),"",IF(ISNUMBER(BW233),BW213,""))</f>
        <v/>
      </c>
      <c r="BX224" s="183">
        <f>IF(ISNUMBER(BX235),"",IF(ISNUMBER(BX233),BX213,""))</f>
        <v/>
      </c>
      <c r="BY224" s="178">
        <f>BY213</f>
        <v/>
      </c>
      <c r="BZ224" s="178">
        <f>BZ213</f>
        <v/>
      </c>
      <c r="CA224" s="178">
        <f>CA213</f>
        <v/>
      </c>
      <c r="CB224" s="178">
        <f>CB213</f>
        <v/>
      </c>
      <c r="CC224" s="178">
        <f>CC213</f>
        <v/>
      </c>
      <c r="CD224" s="178">
        <f>CD213</f>
        <v/>
      </c>
      <c r="CE224" s="178">
        <f>CE213</f>
        <v/>
      </c>
      <c r="CF224" s="20" t="n"/>
    </row>
    <row r="225" ht="15" customHeight="1">
      <c r="B225" s="26" t="inlineStr">
        <is>
          <t xml:space="preserve">  (+) Adjusting items in interest &amp; other income, pre-tax (deal financing, FX, gains)</t>
        </is>
      </c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174" t="n">
        <v>0</v>
      </c>
      <c r="AG225" s="174" t="n">
        <v>0</v>
      </c>
      <c r="AH225" s="174" t="n">
        <v>-2.200000000000003</v>
      </c>
      <c r="AI225" s="36" t="n"/>
      <c r="AJ225" s="174" t="n">
        <v>11.6</v>
      </c>
      <c r="AK225" s="174" t="n">
        <v>3.199999999999999</v>
      </c>
      <c r="AL225" s="174" t="n">
        <v>17.4</v>
      </c>
      <c r="AM225" s="174" t="n">
        <v>32.2</v>
      </c>
      <c r="AN225" s="174" t="n">
        <v>14.4</v>
      </c>
      <c r="AO225" s="174" t="n">
        <v>3.5</v>
      </c>
      <c r="AP225" s="174" t="n">
        <v>3.599999999999994</v>
      </c>
      <c r="AQ225" s="174" t="n">
        <v>3.5</v>
      </c>
      <c r="AR225" s="174" t="n">
        <v>25</v>
      </c>
      <c r="AS225" s="174" t="n">
        <v>13.8</v>
      </c>
      <c r="AT225" s="174" t="n">
        <v>0.3000000000000043</v>
      </c>
      <c r="AU225" s="174" t="n">
        <v>-12.8</v>
      </c>
      <c r="AV225" s="174" t="n">
        <v>0.5</v>
      </c>
      <c r="AW225" s="174" t="n">
        <v>8.200000000000017</v>
      </c>
      <c r="AX225" s="174" t="n">
        <v>-8.600000000000001</v>
      </c>
      <c r="AY225" s="174" t="n">
        <v>-2.299999999999997</v>
      </c>
      <c r="AZ225" s="174" t="n">
        <v>3.5</v>
      </c>
      <c r="BA225" s="174" t="n">
        <v>-1</v>
      </c>
      <c r="BB225" s="174" t="n">
        <v>-8</v>
      </c>
      <c r="BC225" s="174" t="n">
        <v>0</v>
      </c>
      <c r="BD225" s="174" t="n">
        <v>0</v>
      </c>
      <c r="BE225" s="174" t="n">
        <v>0</v>
      </c>
      <c r="BF225" s="174" t="n">
        <v>0</v>
      </c>
      <c r="BG225" s="174" t="n">
        <v>0</v>
      </c>
      <c r="BH225" s="174" t="n">
        <v>0</v>
      </c>
      <c r="BI225" s="174" t="n">
        <v>0</v>
      </c>
      <c r="BJ225" s="174" t="n">
        <v>0</v>
      </c>
      <c r="BK225" s="174" t="n">
        <v>-35</v>
      </c>
      <c r="BL225" s="174" t="n">
        <v>-35</v>
      </c>
      <c r="BM225" s="174" t="n">
        <v>0</v>
      </c>
      <c r="BN225" s="174" t="n">
        <v>-4</v>
      </c>
      <c r="BO225" s="174" t="n">
        <v>0</v>
      </c>
      <c r="BP225" s="174" t="n">
        <v>0</v>
      </c>
      <c r="BQ225" s="174" t="n">
        <v>-4</v>
      </c>
      <c r="BR225" s="174" t="n">
        <v>0</v>
      </c>
      <c r="BS225" s="174" t="n">
        <v>-32</v>
      </c>
      <c r="BT225" s="174" t="n">
        <v>2</v>
      </c>
      <c r="BU225" s="174" t="n">
        <v>11</v>
      </c>
      <c r="BV225" s="174" t="n">
        <v>-19</v>
      </c>
      <c r="BW225" s="174" t="n">
        <v>-2</v>
      </c>
      <c r="BX225" s="174" t="n">
        <v>0</v>
      </c>
      <c r="BY225" s="188" t="n">
        <v>0</v>
      </c>
      <c r="BZ225" s="188" t="n">
        <v>0</v>
      </c>
      <c r="CA225" s="178">
        <f>SUM(BW225,BX225,BY225,BZ225)</f>
        <v/>
      </c>
      <c r="CB225" s="188" t="n">
        <v>0</v>
      </c>
      <c r="CC225" s="188" t="n">
        <v>0</v>
      </c>
      <c r="CD225" s="188" t="n">
        <v>0</v>
      </c>
      <c r="CE225" s="188" t="n">
        <v>0</v>
      </c>
      <c r="CF225" s="20" t="n"/>
    </row>
    <row r="226" ht="15" customHeight="1">
      <c r="B226" s="26" t="inlineStr">
        <is>
          <t xml:space="preserve">  (−) Income tax effect of adjusting items</t>
        </is>
      </c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174" t="n">
        <v>-8.699999999999999</v>
      </c>
      <c r="AG226" s="174" t="n">
        <v>-11.5</v>
      </c>
      <c r="AH226" s="174" t="n">
        <v>-24.4</v>
      </c>
      <c r="AI226" s="36" t="n"/>
      <c r="AJ226" s="174" t="n">
        <v>-6.699999999999999</v>
      </c>
      <c r="AK226" s="174" t="n">
        <v>-3.099999999999998</v>
      </c>
      <c r="AL226" s="174" t="n">
        <v>-4.699999999999999</v>
      </c>
      <c r="AM226" s="174" t="n">
        <v>-14.7</v>
      </c>
      <c r="AN226" s="174" t="n">
        <v>-40.5</v>
      </c>
      <c r="AO226" s="174" t="n">
        <v>-29.70000000000001</v>
      </c>
      <c r="AP226" s="174" t="n">
        <v>-36.59999999999999</v>
      </c>
      <c r="AQ226" s="174" t="n">
        <v>-21.8</v>
      </c>
      <c r="AR226" s="174" t="n">
        <v>-128.6</v>
      </c>
      <c r="AS226" s="174" t="n">
        <v>-25.4</v>
      </c>
      <c r="AT226" s="174" t="n">
        <v>-25.8</v>
      </c>
      <c r="AU226" s="174" t="n">
        <v>-19.8</v>
      </c>
      <c r="AV226" s="174" t="n">
        <v>-28.8</v>
      </c>
      <c r="AW226" s="174" t="n">
        <v>-101.5</v>
      </c>
      <c r="AX226" s="174" t="n">
        <v>-21</v>
      </c>
      <c r="AY226" s="174" t="n">
        <v>-24.59999999999999</v>
      </c>
      <c r="AZ226" s="174" t="n">
        <v>-27.59999999999999</v>
      </c>
      <c r="BA226" s="174" t="n">
        <v>-13</v>
      </c>
      <c r="BB226" s="174" t="n">
        <v>-87</v>
      </c>
      <c r="BC226" s="174" t="n">
        <v>-20</v>
      </c>
      <c r="BD226" s="174" t="n">
        <v>-19</v>
      </c>
      <c r="BE226" s="174" t="n">
        <v>-20</v>
      </c>
      <c r="BF226" s="174" t="n">
        <v>-27</v>
      </c>
      <c r="BG226" s="174" t="n">
        <v>-86</v>
      </c>
      <c r="BH226" s="174" t="n">
        <v>-22</v>
      </c>
      <c r="BI226" s="174" t="n">
        <v>-20</v>
      </c>
      <c r="BJ226" s="174" t="n">
        <v>-22</v>
      </c>
      <c r="BK226" s="174" t="n">
        <v>-27</v>
      </c>
      <c r="BL226" s="174" t="n">
        <v>-91</v>
      </c>
      <c r="BM226" s="174" t="n">
        <v>-19</v>
      </c>
      <c r="BN226" s="174" t="n">
        <v>-19</v>
      </c>
      <c r="BO226" s="174" t="n">
        <v>-23</v>
      </c>
      <c r="BP226" s="174" t="n">
        <v>-25</v>
      </c>
      <c r="BQ226" s="174" t="n">
        <v>-86</v>
      </c>
      <c r="BR226" s="174" t="n">
        <v>-21</v>
      </c>
      <c r="BS226" s="174" t="n">
        <v>-15</v>
      </c>
      <c r="BT226" s="174" t="n">
        <v>-30</v>
      </c>
      <c r="BU226" s="174" t="n">
        <v>-22</v>
      </c>
      <c r="BV226" s="174" t="n">
        <v>-88</v>
      </c>
      <c r="BW226" s="174" t="n">
        <v>-26</v>
      </c>
      <c r="BX226" s="174" t="n">
        <v>-23</v>
      </c>
      <c r="BY226" s="178">
        <f>-(BY224+BY225)*BY230</f>
        <v/>
      </c>
      <c r="BZ226" s="178">
        <f>-(BZ224+BZ225)*BZ230</f>
        <v/>
      </c>
      <c r="CA226" s="178">
        <f>SUM(BW226,BX226,BY226,BZ226)</f>
        <v/>
      </c>
      <c r="CB226" s="178">
        <f>-(CB224+CB225)*CB230</f>
        <v/>
      </c>
      <c r="CC226" s="178">
        <f>-(CC224+CC225)*CC230</f>
        <v/>
      </c>
      <c r="CD226" s="178">
        <f>-(CD224+CD225)*CD230</f>
        <v/>
      </c>
      <c r="CE226" s="178">
        <f>-(CE224+CE225)*CE230</f>
        <v/>
      </c>
      <c r="CF226" s="20" t="n"/>
    </row>
    <row r="227" ht="15" customHeight="1">
      <c r="B227" s="26" t="inlineStr">
        <is>
          <t xml:space="preserve">  (+/−) Discrete tax items (tax reform, valuation allowances)</t>
        </is>
      </c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174" t="n">
        <v>0.5</v>
      </c>
      <c r="AG227" s="174" t="n">
        <v>7.9</v>
      </c>
      <c r="AH227" s="174" t="n">
        <v>9</v>
      </c>
      <c r="AI227" s="36" t="n"/>
      <c r="AJ227" s="174" t="n">
        <v>-13</v>
      </c>
      <c r="AK227" s="174" t="n">
        <v>-6.5</v>
      </c>
      <c r="AL227" s="174" t="n">
        <v>0</v>
      </c>
      <c r="AM227" s="174" t="n">
        <v>-19.5</v>
      </c>
      <c r="AN227" s="174" t="n">
        <v>18</v>
      </c>
      <c r="AO227" s="174" t="n">
        <v>5.7</v>
      </c>
      <c r="AP227" s="174" t="n">
        <v>-7.7</v>
      </c>
      <c r="AQ227" s="174" t="n">
        <v>-3.5</v>
      </c>
      <c r="AR227" s="174" t="n">
        <v>12.5</v>
      </c>
      <c r="AS227" s="174" t="n">
        <v>0</v>
      </c>
      <c r="AT227" s="174" t="n">
        <v>0</v>
      </c>
      <c r="AU227" s="174" t="n">
        <v>0</v>
      </c>
      <c r="AV227" s="174" t="n">
        <v>5.7</v>
      </c>
      <c r="AW227" s="174" t="n">
        <v>5.7</v>
      </c>
      <c r="AX227" s="174" t="n">
        <v>0</v>
      </c>
      <c r="AY227" s="174" t="n">
        <v>0</v>
      </c>
      <c r="AZ227" s="174" t="n">
        <v>0</v>
      </c>
      <c r="BA227" s="174" t="n">
        <v>-25</v>
      </c>
      <c r="BB227" s="174" t="n">
        <v>-25</v>
      </c>
      <c r="BC227" s="174" t="n">
        <v>0</v>
      </c>
      <c r="BD227" s="174" t="n">
        <v>0</v>
      </c>
      <c r="BE227" s="174" t="n">
        <v>0</v>
      </c>
      <c r="BF227" s="174" t="n">
        <v>0</v>
      </c>
      <c r="BG227" s="174" t="n">
        <v>0</v>
      </c>
      <c r="BH227" s="174" t="n">
        <v>0</v>
      </c>
      <c r="BI227" s="174" t="n">
        <v>0</v>
      </c>
      <c r="BJ227" s="174" t="n">
        <v>0</v>
      </c>
      <c r="BK227" s="174" t="n">
        <v>0</v>
      </c>
      <c r="BL227" s="174" t="n">
        <v>0</v>
      </c>
      <c r="BM227" s="174" t="n">
        <v>0</v>
      </c>
      <c r="BN227" s="174" t="n">
        <v>0</v>
      </c>
      <c r="BO227" s="174" t="n">
        <v>0</v>
      </c>
      <c r="BP227" s="174" t="n">
        <v>0</v>
      </c>
      <c r="BQ227" s="174" t="n">
        <v>0</v>
      </c>
      <c r="BR227" s="174" t="n">
        <v>0</v>
      </c>
      <c r="BS227" s="174" t="n">
        <v>0</v>
      </c>
      <c r="BT227" s="174" t="n">
        <v>0</v>
      </c>
      <c r="BU227" s="174" t="n">
        <v>0</v>
      </c>
      <c r="BV227" s="174" t="n">
        <v>0</v>
      </c>
      <c r="BW227" s="174" t="n">
        <v>0</v>
      </c>
      <c r="BX227" s="174" t="n">
        <v>0</v>
      </c>
      <c r="BY227" s="188" t="n">
        <v>0</v>
      </c>
      <c r="BZ227" s="188" t="n">
        <v>0</v>
      </c>
      <c r="CA227" s="178">
        <f>SUM(BW227,BX227,BY227,BZ227)</f>
        <v/>
      </c>
      <c r="CB227" s="188" t="n">
        <v>0</v>
      </c>
      <c r="CC227" s="188" t="n">
        <v>0</v>
      </c>
      <c r="CD227" s="188" t="n">
        <v>0</v>
      </c>
      <c r="CE227" s="188" t="n">
        <v>0</v>
      </c>
      <c r="CF227" s="20" t="n"/>
    </row>
    <row r="228" ht="15" customHeight="1">
      <c r="B228" s="26" t="inlineStr">
        <is>
          <t xml:space="preserve">  (+/−) Items from per-share-only bridges (after tax; × diluted shares)</t>
        </is>
      </c>
      <c r="C228" s="183">
        <f>IF(ISNUMBER(C235),C235*C231,"")</f>
        <v/>
      </c>
      <c r="D228" s="183">
        <f>IF(ISNUMBER(D235),D235*D231,"")</f>
        <v/>
      </c>
      <c r="E228" s="183">
        <f>IF(ISNUMBER(E235),E235*E231,"")</f>
        <v/>
      </c>
      <c r="F228" s="183">
        <f>IF(ISNUMBER(F235),F235*F231,"")</f>
        <v/>
      </c>
      <c r="G228" s="183">
        <f>IF(ISNUMBER(G235),G235*G231,"")</f>
        <v/>
      </c>
      <c r="H228" s="183">
        <f>IF(ISNUMBER(H235),H235*H231,"")</f>
        <v/>
      </c>
      <c r="I228" s="183">
        <f>IF(ISNUMBER(I235),I235*I231,"")</f>
        <v/>
      </c>
      <c r="J228" s="183">
        <f>IF(ISNUMBER(J235),J235*J231,"")</f>
        <v/>
      </c>
      <c r="K228" s="183">
        <f>IF(ISNUMBER(K235),K235*K231,"")</f>
        <v/>
      </c>
      <c r="L228" s="183">
        <f>IF(ISNUMBER(L235),L235*L231,"")</f>
        <v/>
      </c>
      <c r="M228" s="183">
        <f>IF(ISNUMBER(M235),M235*M231,"")</f>
        <v/>
      </c>
      <c r="N228" s="183">
        <f>IF(ISNUMBER(N235),N235*N231,"")</f>
        <v/>
      </c>
      <c r="O228" s="183">
        <f>IF(ISNUMBER(O235),O235*O231,"")</f>
        <v/>
      </c>
      <c r="P228" s="183">
        <f>IF(ISNUMBER(P235),P235*P231,"")</f>
        <v/>
      </c>
      <c r="Q228" s="183">
        <f>IF(ISNUMBER(Q235),Q235*Q231,"")</f>
        <v/>
      </c>
      <c r="R228" s="183">
        <f>IF(ISNUMBER(R235),R235*R231,"")</f>
        <v/>
      </c>
      <c r="S228" s="183">
        <f>IF(ISNUMBER(S235),S235*S231,"")</f>
        <v/>
      </c>
      <c r="T228" s="183">
        <f>IF(ISNUMBER(T235),T235*T231,"")</f>
        <v/>
      </c>
      <c r="U228" s="183">
        <f>IF(ISNUMBER(U235),U235*U231,"")</f>
        <v/>
      </c>
      <c r="V228" s="183">
        <f>IF(ISNUMBER(V235),V235*V231,"")</f>
        <v/>
      </c>
      <c r="W228" s="183">
        <f>IF(ISNUMBER(W235),W235*W231,"")</f>
        <v/>
      </c>
      <c r="X228" s="183">
        <f>IF(ISNUMBER(X235),X235*X231,"")</f>
        <v/>
      </c>
      <c r="Y228" s="183">
        <f>IF(ISNUMBER(Y235),Y235*Y231,"")</f>
        <v/>
      </c>
      <c r="Z228" s="183">
        <f>IF(ISNUMBER(Z235),Z235*Z231,"")</f>
        <v/>
      </c>
      <c r="AA228" s="183">
        <f>IF(ISNUMBER(AA235),AA235*AA231,"")</f>
        <v/>
      </c>
      <c r="AB228" s="183">
        <f>IF(ISNUMBER(AB235),AB235*AB231,"")</f>
        <v/>
      </c>
      <c r="AC228" s="183">
        <f>IF(ISNUMBER(AC235),AC235*AC231,"")</f>
        <v/>
      </c>
      <c r="AD228" s="183">
        <f>IF(ISNUMBER(AD235),AD235*AD231,"")</f>
        <v/>
      </c>
      <c r="AE228" s="183">
        <f>IF(ISNUMBER(AE235),AE235*AE231,"")</f>
        <v/>
      </c>
      <c r="AF228" s="183">
        <f>IF(ISNUMBER(AF235),AF235*AF231,"")</f>
        <v/>
      </c>
      <c r="AG228" s="183">
        <f>IF(ISNUMBER(AG235),AG235*AG231,"")</f>
        <v/>
      </c>
      <c r="AH228" s="183">
        <f>IF(ISNUMBER(AH235),AH235*AH231,"")</f>
        <v/>
      </c>
      <c r="AI228" s="183">
        <f>IF(ISNUMBER(AI235),AI235*AI231,"")</f>
        <v/>
      </c>
      <c r="AJ228" s="183">
        <f>IF(ISNUMBER(AJ235),AJ235*AJ231,"")</f>
        <v/>
      </c>
      <c r="AK228" s="183">
        <f>IF(ISNUMBER(AK235),AK235*AK231,"")</f>
        <v/>
      </c>
      <c r="AL228" s="183">
        <f>IF(ISNUMBER(AL235),AL235*AL231,"")</f>
        <v/>
      </c>
      <c r="AM228" s="183">
        <f>IF(ISNUMBER(AM235),AM235*AM231,"")</f>
        <v/>
      </c>
      <c r="AN228" s="183">
        <f>IF(ISNUMBER(AN235),AN235*AN231,"")</f>
        <v/>
      </c>
      <c r="AO228" s="183">
        <f>IF(ISNUMBER(AO235),AO235*AO231,"")</f>
        <v/>
      </c>
      <c r="AP228" s="183">
        <f>IF(ISNUMBER(AP235),AP235*AP231,"")</f>
        <v/>
      </c>
      <c r="AQ228" s="183">
        <f>IF(ISNUMBER(AQ235),AQ235*AQ231,"")</f>
        <v/>
      </c>
      <c r="AR228" s="183">
        <f>IF(ISNUMBER(AR235),AR235*AR231,"")</f>
        <v/>
      </c>
      <c r="AS228" s="183">
        <f>IF(ISNUMBER(AS235),AS235*AS231,"")</f>
        <v/>
      </c>
      <c r="AT228" s="183">
        <f>IF(ISNUMBER(AT235),AT235*AT231,"")</f>
        <v/>
      </c>
      <c r="AU228" s="183">
        <f>IF(ISNUMBER(AU235),AU235*AU231,"")</f>
        <v/>
      </c>
      <c r="AV228" s="183">
        <f>IF(ISNUMBER(AV235),AV235*AV231,"")</f>
        <v/>
      </c>
      <c r="AW228" s="183">
        <f>IF(ISNUMBER(AW235),AW235*AW231,"")</f>
        <v/>
      </c>
      <c r="AX228" s="183">
        <f>IF(ISNUMBER(AX235),AX235*AX231,"")</f>
        <v/>
      </c>
      <c r="AY228" s="183">
        <f>IF(ISNUMBER(AY235),AY235*AY231,"")</f>
        <v/>
      </c>
      <c r="AZ228" s="183">
        <f>IF(ISNUMBER(AZ235),AZ235*AZ231,"")</f>
        <v/>
      </c>
      <c r="BA228" s="183">
        <f>IF(ISNUMBER(BA235),BA235*BA231,"")</f>
        <v/>
      </c>
      <c r="BB228" s="183">
        <f>IF(ISNUMBER(BB235),BB235*BB231,"")</f>
        <v/>
      </c>
      <c r="BC228" s="183">
        <f>IF(ISNUMBER(BC235),BC235*BC231,"")</f>
        <v/>
      </c>
      <c r="BD228" s="183">
        <f>IF(ISNUMBER(BD235),BD235*BD231,"")</f>
        <v/>
      </c>
      <c r="BE228" s="183">
        <f>IF(ISNUMBER(BE235),BE235*BE231,"")</f>
        <v/>
      </c>
      <c r="BF228" s="183">
        <f>IF(ISNUMBER(BF235),BF235*BF231,"")</f>
        <v/>
      </c>
      <c r="BG228" s="183">
        <f>IF(ISNUMBER(BG235),BG235*BG231,"")</f>
        <v/>
      </c>
      <c r="BH228" s="183">
        <f>IF(ISNUMBER(BH235),BH235*BH231,"")</f>
        <v/>
      </c>
      <c r="BI228" s="183">
        <f>IF(ISNUMBER(BI235),BI235*BI231,"")</f>
        <v/>
      </c>
      <c r="BJ228" s="183">
        <f>IF(ISNUMBER(BJ235),BJ235*BJ231,"")</f>
        <v/>
      </c>
      <c r="BK228" s="183">
        <f>IF(ISNUMBER(BK235),BK235*BK231,"")</f>
        <v/>
      </c>
      <c r="BL228" s="183">
        <f>IF(ISNUMBER(BL235),BL235*BL231,"")</f>
        <v/>
      </c>
      <c r="BM228" s="183">
        <f>IF(ISNUMBER(BM235),BM235*BM231,"")</f>
        <v/>
      </c>
      <c r="BN228" s="183">
        <f>IF(ISNUMBER(BN235),BN235*BN231,"")</f>
        <v/>
      </c>
      <c r="BO228" s="183">
        <f>IF(ISNUMBER(BO235),BO235*BO231,"")</f>
        <v/>
      </c>
      <c r="BP228" s="183">
        <f>IF(ISNUMBER(BP235),BP235*BP231,"")</f>
        <v/>
      </c>
      <c r="BQ228" s="183">
        <f>IF(ISNUMBER(BQ235),BQ235*BQ231,"")</f>
        <v/>
      </c>
      <c r="BR228" s="183">
        <f>IF(ISNUMBER(BR235),BR235*BR231,"")</f>
        <v/>
      </c>
      <c r="BS228" s="183">
        <f>IF(ISNUMBER(BS235),BS235*BS231,"")</f>
        <v/>
      </c>
      <c r="BT228" s="183">
        <f>IF(ISNUMBER(BT235),BT235*BT231,"")</f>
        <v/>
      </c>
      <c r="BU228" s="183">
        <f>IF(ISNUMBER(BU235),BU235*BU231,"")</f>
        <v/>
      </c>
      <c r="BV228" s="183">
        <f>IF(ISNUMBER(BV235),BV235*BV231,"")</f>
        <v/>
      </c>
      <c r="BW228" s="183">
        <f>IF(ISNUMBER(BW235),BW235*BW231,"")</f>
        <v/>
      </c>
      <c r="BX228" s="183">
        <f>IF(ISNUMBER(BX235),BX235*BX231,"")</f>
        <v/>
      </c>
      <c r="BY228" s="37" t="n"/>
      <c r="BZ228" s="37" t="n"/>
      <c r="CA228" s="37" t="n"/>
      <c r="CB228" s="37" t="n"/>
      <c r="CC228" s="37" t="n"/>
      <c r="CD228" s="37" t="n"/>
      <c r="CE228" s="37" t="n"/>
      <c r="CF228" s="20" t="n"/>
    </row>
    <row r="229" ht="15" customHeight="1">
      <c r="B229" s="59" t="inlineStr">
        <is>
          <t xml:space="preserve">  = Adjusted net income attributable to Wabtec (model bridge)</t>
        </is>
      </c>
      <c r="C229" s="193">
        <f>IF(ISNUMBER(C233),C223+N(C224)+N(C225)+N(C226)+N(C227)+N(C228),"")</f>
        <v/>
      </c>
      <c r="D229" s="193">
        <f>IF(ISNUMBER(D233),D223+N(D224)+N(D225)+N(D226)+N(D227)+N(D228),"")</f>
        <v/>
      </c>
      <c r="E229" s="193">
        <f>IF(ISNUMBER(E233),E223+N(E224)+N(E225)+N(E226)+N(E227)+N(E228),"")</f>
        <v/>
      </c>
      <c r="F229" s="193">
        <f>IF(ISNUMBER(F233),F223+N(F224)+N(F225)+N(F226)+N(F227)+N(F228),"")</f>
        <v/>
      </c>
      <c r="G229" s="193">
        <f>IF(ISNUMBER(G233),G223+N(G224)+N(G225)+N(G226)+N(G227)+N(G228),"")</f>
        <v/>
      </c>
      <c r="H229" s="193">
        <f>IF(ISNUMBER(H233),H223+N(H224)+N(H225)+N(H226)+N(H227)+N(H228),"")</f>
        <v/>
      </c>
      <c r="I229" s="193">
        <f>IF(ISNUMBER(I233),I223+N(I224)+N(I225)+N(I226)+N(I227)+N(I228),"")</f>
        <v/>
      </c>
      <c r="J229" s="193">
        <f>IF(ISNUMBER(J233),J223+N(J224)+N(J225)+N(J226)+N(J227)+N(J228),"")</f>
        <v/>
      </c>
      <c r="K229" s="193">
        <f>IF(ISNUMBER(K233),K223+N(K224)+N(K225)+N(K226)+N(K227)+N(K228),"")</f>
        <v/>
      </c>
      <c r="L229" s="193">
        <f>IF(ISNUMBER(L233),L223+N(L224)+N(L225)+N(L226)+N(L227)+N(L228),"")</f>
        <v/>
      </c>
      <c r="M229" s="193">
        <f>IF(ISNUMBER(M233),M223+N(M224)+N(M225)+N(M226)+N(M227)+N(M228),"")</f>
        <v/>
      </c>
      <c r="N229" s="193">
        <f>IF(ISNUMBER(N233),N223+N(N224)+N(N225)+N(N226)+N(N227)+N(N228),"")</f>
        <v/>
      </c>
      <c r="O229" s="193">
        <f>IF(ISNUMBER(O233),O223+N(O224)+N(O225)+N(O226)+N(O227)+N(O228),"")</f>
        <v/>
      </c>
      <c r="P229" s="193">
        <f>IF(ISNUMBER(P233),P223+N(P224)+N(P225)+N(P226)+N(P227)+N(P228),"")</f>
        <v/>
      </c>
      <c r="Q229" s="193">
        <f>IF(ISNUMBER(Q233),Q223+N(Q224)+N(Q225)+N(Q226)+N(Q227)+N(Q228),"")</f>
        <v/>
      </c>
      <c r="R229" s="193">
        <f>IF(ISNUMBER(R233),R223+N(R224)+N(R225)+N(R226)+N(R227)+N(R228),"")</f>
        <v/>
      </c>
      <c r="S229" s="193">
        <f>IF(ISNUMBER(S233),S223+N(S224)+N(S225)+N(S226)+N(S227)+N(S228),"")</f>
        <v/>
      </c>
      <c r="T229" s="193">
        <f>IF(ISNUMBER(T233),T223+N(T224)+N(T225)+N(T226)+N(T227)+N(T228),"")</f>
        <v/>
      </c>
      <c r="U229" s="193">
        <f>IF(ISNUMBER(U233),U223+N(U224)+N(U225)+N(U226)+N(U227)+N(U228),"")</f>
        <v/>
      </c>
      <c r="V229" s="193">
        <f>IF(ISNUMBER(V233),V223+N(V224)+N(V225)+N(V226)+N(V227)+N(V228),"")</f>
        <v/>
      </c>
      <c r="W229" s="193">
        <f>IF(ISNUMBER(W233),W223+N(W224)+N(W225)+N(W226)+N(W227)+N(W228),"")</f>
        <v/>
      </c>
      <c r="X229" s="193">
        <f>IF(ISNUMBER(X233),X223+N(X224)+N(X225)+N(X226)+N(X227)+N(X228),"")</f>
        <v/>
      </c>
      <c r="Y229" s="193">
        <f>IF(ISNUMBER(Y233),Y223+N(Y224)+N(Y225)+N(Y226)+N(Y227)+N(Y228),"")</f>
        <v/>
      </c>
      <c r="Z229" s="193">
        <f>IF(ISNUMBER(Z233),Z223+N(Z224)+N(Z225)+N(Z226)+N(Z227)+N(Z228),"")</f>
        <v/>
      </c>
      <c r="AA229" s="193">
        <f>IF(ISNUMBER(AA233),AA223+N(AA224)+N(AA225)+N(AA226)+N(AA227)+N(AA228),"")</f>
        <v/>
      </c>
      <c r="AB229" s="193">
        <f>IF(ISNUMBER(AB233),AB223+N(AB224)+N(AB225)+N(AB226)+N(AB227)+N(AB228),"")</f>
        <v/>
      </c>
      <c r="AC229" s="193">
        <f>IF(ISNUMBER(AC233),AC223+N(AC224)+N(AC225)+N(AC226)+N(AC227)+N(AC228),"")</f>
        <v/>
      </c>
      <c r="AD229" s="193">
        <f>IF(ISNUMBER(AD233),AD223+N(AD224)+N(AD225)+N(AD226)+N(AD227)+N(AD228),"")</f>
        <v/>
      </c>
      <c r="AE229" s="193">
        <f>IF(ISNUMBER(AE233),AE223+N(AE224)+N(AE225)+N(AE226)+N(AE227)+N(AE228),"")</f>
        <v/>
      </c>
      <c r="AF229" s="193">
        <f>IF(ISNUMBER(AF233),AF223+N(AF224)+N(AF225)+N(AF226)+N(AF227)+N(AF228),"")</f>
        <v/>
      </c>
      <c r="AG229" s="193">
        <f>IF(ISNUMBER(AG233),AG223+N(AG224)+N(AG225)+N(AG226)+N(AG227)+N(AG228),"")</f>
        <v/>
      </c>
      <c r="AH229" s="193">
        <f>IF(ISNUMBER(AH233),AH223+N(AH224)+N(AH225)+N(AH226)+N(AH227)+N(AH228),"")</f>
        <v/>
      </c>
      <c r="AI229" s="193">
        <f>IF(ISNUMBER(AI233),AI223+N(AI224)+N(AI225)+N(AI226)+N(AI227)+N(AI228),"")</f>
        <v/>
      </c>
      <c r="AJ229" s="193">
        <f>IF(ISNUMBER(AJ233),AJ223+N(AJ224)+N(AJ225)+N(AJ226)+N(AJ227)+N(AJ228),"")</f>
        <v/>
      </c>
      <c r="AK229" s="193">
        <f>IF(ISNUMBER(AK233),AK223+N(AK224)+N(AK225)+N(AK226)+N(AK227)+N(AK228),"")</f>
        <v/>
      </c>
      <c r="AL229" s="193">
        <f>IF(ISNUMBER(AL233),AL223+N(AL224)+N(AL225)+N(AL226)+N(AL227)+N(AL228),"")</f>
        <v/>
      </c>
      <c r="AM229" s="193">
        <f>IF(ISNUMBER(AM233),AM223+N(AM224)+N(AM225)+N(AM226)+N(AM227)+N(AM228),"")</f>
        <v/>
      </c>
      <c r="AN229" s="193">
        <f>IF(ISNUMBER(AN233),AN223+N(AN224)+N(AN225)+N(AN226)+N(AN227)+N(AN228),"")</f>
        <v/>
      </c>
      <c r="AO229" s="193">
        <f>IF(ISNUMBER(AO233),AO223+N(AO224)+N(AO225)+N(AO226)+N(AO227)+N(AO228),"")</f>
        <v/>
      </c>
      <c r="AP229" s="193">
        <f>IF(ISNUMBER(AP233),AP223+N(AP224)+N(AP225)+N(AP226)+N(AP227)+N(AP228),"")</f>
        <v/>
      </c>
      <c r="AQ229" s="193">
        <f>IF(ISNUMBER(AQ233),AQ223+N(AQ224)+N(AQ225)+N(AQ226)+N(AQ227)+N(AQ228),"")</f>
        <v/>
      </c>
      <c r="AR229" s="193">
        <f>IF(ISNUMBER(AR233),AR223+N(AR224)+N(AR225)+N(AR226)+N(AR227)+N(AR228),"")</f>
        <v/>
      </c>
      <c r="AS229" s="193">
        <f>IF(ISNUMBER(AS233),AS223+N(AS224)+N(AS225)+N(AS226)+N(AS227)+N(AS228),"")</f>
        <v/>
      </c>
      <c r="AT229" s="193">
        <f>IF(ISNUMBER(AT233),AT223+N(AT224)+N(AT225)+N(AT226)+N(AT227)+N(AT228),"")</f>
        <v/>
      </c>
      <c r="AU229" s="193">
        <f>IF(ISNUMBER(AU233),AU223+N(AU224)+N(AU225)+N(AU226)+N(AU227)+N(AU228),"")</f>
        <v/>
      </c>
      <c r="AV229" s="193">
        <f>IF(ISNUMBER(AV233),AV223+N(AV224)+N(AV225)+N(AV226)+N(AV227)+N(AV228),"")</f>
        <v/>
      </c>
      <c r="AW229" s="193">
        <f>IF(ISNUMBER(AW233),AW223+N(AW224)+N(AW225)+N(AW226)+N(AW227)+N(AW228),"")</f>
        <v/>
      </c>
      <c r="AX229" s="193">
        <f>IF(ISNUMBER(AX233),AX223+N(AX224)+N(AX225)+N(AX226)+N(AX227)+N(AX228),"")</f>
        <v/>
      </c>
      <c r="AY229" s="193">
        <f>IF(ISNUMBER(AY233),AY223+N(AY224)+N(AY225)+N(AY226)+N(AY227)+N(AY228),"")</f>
        <v/>
      </c>
      <c r="AZ229" s="193">
        <f>IF(ISNUMBER(AZ233),AZ223+N(AZ224)+N(AZ225)+N(AZ226)+N(AZ227)+N(AZ228),"")</f>
        <v/>
      </c>
      <c r="BA229" s="193">
        <f>IF(ISNUMBER(BA233),BA223+N(BA224)+N(BA225)+N(BA226)+N(BA227)+N(BA228),"")</f>
        <v/>
      </c>
      <c r="BB229" s="193">
        <f>IF(ISNUMBER(BB233),BB223+N(BB224)+N(BB225)+N(BB226)+N(BB227)+N(BB228),"")</f>
        <v/>
      </c>
      <c r="BC229" s="193">
        <f>IF(ISNUMBER(BC233),BC223+N(BC224)+N(BC225)+N(BC226)+N(BC227)+N(BC228),"")</f>
        <v/>
      </c>
      <c r="BD229" s="193">
        <f>IF(ISNUMBER(BD233),BD223+N(BD224)+N(BD225)+N(BD226)+N(BD227)+N(BD228),"")</f>
        <v/>
      </c>
      <c r="BE229" s="193">
        <f>IF(ISNUMBER(BE233),BE223+N(BE224)+N(BE225)+N(BE226)+N(BE227)+N(BE228),"")</f>
        <v/>
      </c>
      <c r="BF229" s="193">
        <f>IF(ISNUMBER(BF233),BF223+N(BF224)+N(BF225)+N(BF226)+N(BF227)+N(BF228),"")</f>
        <v/>
      </c>
      <c r="BG229" s="193">
        <f>IF(ISNUMBER(BG233),BG223+N(BG224)+N(BG225)+N(BG226)+N(BG227)+N(BG228),"")</f>
        <v/>
      </c>
      <c r="BH229" s="193">
        <f>IF(ISNUMBER(BH233),BH223+N(BH224)+N(BH225)+N(BH226)+N(BH227)+N(BH228),"")</f>
        <v/>
      </c>
      <c r="BI229" s="193">
        <f>IF(ISNUMBER(BI233),BI223+N(BI224)+N(BI225)+N(BI226)+N(BI227)+N(BI228),"")</f>
        <v/>
      </c>
      <c r="BJ229" s="193">
        <f>IF(ISNUMBER(BJ233),BJ223+N(BJ224)+N(BJ225)+N(BJ226)+N(BJ227)+N(BJ228),"")</f>
        <v/>
      </c>
      <c r="BK229" s="193">
        <f>IF(ISNUMBER(BK233),BK223+N(BK224)+N(BK225)+N(BK226)+N(BK227)+N(BK228),"")</f>
        <v/>
      </c>
      <c r="BL229" s="193">
        <f>IF(ISNUMBER(BL233),BL223+N(BL224)+N(BL225)+N(BL226)+N(BL227)+N(BL228),"")</f>
        <v/>
      </c>
      <c r="BM229" s="193">
        <f>IF(ISNUMBER(BM233),BM223+N(BM224)+N(BM225)+N(BM226)+N(BM227)+N(BM228),"")</f>
        <v/>
      </c>
      <c r="BN229" s="193">
        <f>IF(ISNUMBER(BN233),BN223+N(BN224)+N(BN225)+N(BN226)+N(BN227)+N(BN228),"")</f>
        <v/>
      </c>
      <c r="BO229" s="193">
        <f>IF(ISNUMBER(BO233),BO223+N(BO224)+N(BO225)+N(BO226)+N(BO227)+N(BO228),"")</f>
        <v/>
      </c>
      <c r="BP229" s="193">
        <f>IF(ISNUMBER(BP233),BP223+N(BP224)+N(BP225)+N(BP226)+N(BP227)+N(BP228),"")</f>
        <v/>
      </c>
      <c r="BQ229" s="193">
        <f>IF(ISNUMBER(BQ233),BQ223+N(BQ224)+N(BQ225)+N(BQ226)+N(BQ227)+N(BQ228),"")</f>
        <v/>
      </c>
      <c r="BR229" s="193">
        <f>IF(ISNUMBER(BR233),BR223+N(BR224)+N(BR225)+N(BR226)+N(BR227)+N(BR228),"")</f>
        <v/>
      </c>
      <c r="BS229" s="193">
        <f>IF(ISNUMBER(BS233),BS223+N(BS224)+N(BS225)+N(BS226)+N(BS227)+N(BS228),"")</f>
        <v/>
      </c>
      <c r="BT229" s="193">
        <f>IF(ISNUMBER(BT233),BT223+N(BT224)+N(BT225)+N(BT226)+N(BT227)+N(BT228),"")</f>
        <v/>
      </c>
      <c r="BU229" s="193">
        <f>IF(ISNUMBER(BU233),BU223+N(BU224)+N(BU225)+N(BU226)+N(BU227)+N(BU228),"")</f>
        <v/>
      </c>
      <c r="BV229" s="193">
        <f>IF(ISNUMBER(BV233),BV223+N(BV224)+N(BV225)+N(BV226)+N(BV227)+N(BV228),"")</f>
        <v/>
      </c>
      <c r="BW229" s="193">
        <f>IF(ISNUMBER(BW233),BW223+N(BW224)+N(BW225)+N(BW226)+N(BW227)+N(BW228),"")</f>
        <v/>
      </c>
      <c r="BX229" s="193">
        <f>IF(ISNUMBER(BX233),BX223+N(BX224)+N(BX225)+N(BX226)+N(BX227)+N(BX228),"")</f>
        <v/>
      </c>
      <c r="BY229" s="193">
        <f>BY223+N(BY224)+N(BY225)+N(BY226)+N(BY227)</f>
        <v/>
      </c>
      <c r="BZ229" s="193">
        <f>BZ223+N(BZ224)+N(BZ225)+N(BZ226)+N(BZ227)</f>
        <v/>
      </c>
      <c r="CA229" s="193">
        <f>CA223+N(CA224)+N(CA225)+N(CA226)+N(CA227)</f>
        <v/>
      </c>
      <c r="CB229" s="193">
        <f>CB223+N(CB224)+N(CB225)+N(CB226)+N(CB227)</f>
        <v/>
      </c>
      <c r="CC229" s="193">
        <f>CC223+N(CC224)+N(CC225)+N(CC226)+N(CC227)</f>
        <v/>
      </c>
      <c r="CD229" s="193">
        <f>CD223+N(CD224)+N(CD225)+N(CD226)+N(CD227)</f>
        <v/>
      </c>
      <c r="CE229" s="193">
        <f>CE223+N(CE224)+N(CE225)+N(CE226)+N(CE227)</f>
        <v/>
      </c>
      <c r="CF229" s="6" t="inlineStr">
        <is>
          <t>Historical shown only where Wabtec published adjusted EPS.</t>
        </is>
      </c>
      <c r="CH229" s="21">
        <f>IFERROR((CE229/BV229)^(1/5)-1,"n/m")</f>
        <v/>
      </c>
      <c r="CI229" s="21">
        <f>IFERROR((BV229/AW229)^(1/5)-1,"n/m")</f>
        <v/>
      </c>
      <c r="CJ229" s="21">
        <f>IFERROR((BV229/X229)^(1/10)-1,"n/m")</f>
        <v/>
      </c>
      <c r="CK229" s="21">
        <f>IFERROR((BV229/C229)^(1/19)-1,"n/m")</f>
        <v/>
      </c>
    </row>
    <row r="230" ht="15" customHeight="1">
      <c r="B230" s="26" t="inlineStr">
        <is>
          <t xml:space="preserve">  Tax rate applied to adjustments</t>
        </is>
      </c>
      <c r="C230" s="187">
        <f>IFERROR(-C226/(C224+N(C225)),"")</f>
        <v/>
      </c>
      <c r="D230" s="187">
        <f>IFERROR(-D226/(D224+N(D225)),"")</f>
        <v/>
      </c>
      <c r="E230" s="187">
        <f>IFERROR(-E226/(E224+N(E225)),"")</f>
        <v/>
      </c>
      <c r="F230" s="187">
        <f>IFERROR(-F226/(F224+N(F225)),"")</f>
        <v/>
      </c>
      <c r="G230" s="187">
        <f>IFERROR(-G226/(G224+N(G225)),"")</f>
        <v/>
      </c>
      <c r="H230" s="187">
        <f>IFERROR(-H226/(H224+N(H225)),"")</f>
        <v/>
      </c>
      <c r="I230" s="187">
        <f>IFERROR(-I226/(I224+N(I225)),"")</f>
        <v/>
      </c>
      <c r="J230" s="187">
        <f>IFERROR(-J226/(J224+N(J225)),"")</f>
        <v/>
      </c>
      <c r="K230" s="187">
        <f>IFERROR(-K226/(K224+N(K225)),"")</f>
        <v/>
      </c>
      <c r="L230" s="187">
        <f>IFERROR(-L226/(L224+N(L225)),"")</f>
        <v/>
      </c>
      <c r="M230" s="187">
        <f>IFERROR(-M226/(M224+N(M225)),"")</f>
        <v/>
      </c>
      <c r="N230" s="187">
        <f>IFERROR(-N226/(N224+N(N225)),"")</f>
        <v/>
      </c>
      <c r="O230" s="187">
        <f>IFERROR(-O226/(O224+N(O225)),"")</f>
        <v/>
      </c>
      <c r="P230" s="187">
        <f>IFERROR(-P226/(P224+N(P225)),"")</f>
        <v/>
      </c>
      <c r="Q230" s="187">
        <f>IFERROR(-Q226/(Q224+N(Q225)),"")</f>
        <v/>
      </c>
      <c r="R230" s="187">
        <f>IFERROR(-R226/(R224+N(R225)),"")</f>
        <v/>
      </c>
      <c r="S230" s="187">
        <f>IFERROR(-S226/(S224+N(S225)),"")</f>
        <v/>
      </c>
      <c r="T230" s="187">
        <f>IFERROR(-T226/(T224+N(T225)),"")</f>
        <v/>
      </c>
      <c r="U230" s="187">
        <f>IFERROR(-U226/(U224+N(U225)),"")</f>
        <v/>
      </c>
      <c r="V230" s="187">
        <f>IFERROR(-V226/(V224+N(V225)),"")</f>
        <v/>
      </c>
      <c r="W230" s="187">
        <f>IFERROR(-W226/(W224+N(W225)),"")</f>
        <v/>
      </c>
      <c r="X230" s="187">
        <f>IFERROR(-X226/(X224+N(X225)),"")</f>
        <v/>
      </c>
      <c r="Y230" s="187">
        <f>IFERROR(-Y226/(Y224+N(Y225)),"")</f>
        <v/>
      </c>
      <c r="Z230" s="187">
        <f>IFERROR(-Z226/(Z224+N(Z225)),"")</f>
        <v/>
      </c>
      <c r="AA230" s="187">
        <f>IFERROR(-AA226/(AA224+N(AA225)),"")</f>
        <v/>
      </c>
      <c r="AB230" s="187">
        <f>IFERROR(-AB226/(AB224+N(AB225)),"")</f>
        <v/>
      </c>
      <c r="AC230" s="187">
        <f>IFERROR(-AC226/(AC224+N(AC225)),"")</f>
        <v/>
      </c>
      <c r="AD230" s="187">
        <f>IFERROR(-AD226/(AD224+N(AD225)),"")</f>
        <v/>
      </c>
      <c r="AE230" s="187">
        <f>IFERROR(-AE226/(AE224+N(AE225)),"")</f>
        <v/>
      </c>
      <c r="AF230" s="187">
        <f>IFERROR(-AF226/(AF224+N(AF225)),"")</f>
        <v/>
      </c>
      <c r="AG230" s="187">
        <f>IFERROR(-AG226/(AG224+N(AG225)),"")</f>
        <v/>
      </c>
      <c r="AH230" s="187">
        <f>IFERROR(-AH226/(AH224+N(AH225)),"")</f>
        <v/>
      </c>
      <c r="AI230" s="187">
        <f>IFERROR(-AI226/(AI224+N(AI225)),"")</f>
        <v/>
      </c>
      <c r="AJ230" s="187">
        <f>IFERROR(-AJ226/(AJ224+N(AJ225)),"")</f>
        <v/>
      </c>
      <c r="AK230" s="187">
        <f>IFERROR(-AK226/(AK224+N(AK225)),"")</f>
        <v/>
      </c>
      <c r="AL230" s="187">
        <f>IFERROR(-AL226/(AL224+N(AL225)),"")</f>
        <v/>
      </c>
      <c r="AM230" s="187">
        <f>IFERROR(-AM226/(AM224+N(AM225)),"")</f>
        <v/>
      </c>
      <c r="AN230" s="187">
        <f>IFERROR(-AN226/(AN224+N(AN225)),"")</f>
        <v/>
      </c>
      <c r="AO230" s="187">
        <f>IFERROR(-AO226/(AO224+N(AO225)),"")</f>
        <v/>
      </c>
      <c r="AP230" s="187">
        <f>IFERROR(-AP226/(AP224+N(AP225)),"")</f>
        <v/>
      </c>
      <c r="AQ230" s="187">
        <f>IFERROR(-AQ226/(AQ224+N(AQ225)),"")</f>
        <v/>
      </c>
      <c r="AR230" s="187">
        <f>IFERROR(-AR226/(AR224+N(AR225)),"")</f>
        <v/>
      </c>
      <c r="AS230" s="187">
        <f>IFERROR(-AS226/(AS224+N(AS225)),"")</f>
        <v/>
      </c>
      <c r="AT230" s="187">
        <f>IFERROR(-AT226/(AT224+N(AT225)),"")</f>
        <v/>
      </c>
      <c r="AU230" s="187">
        <f>IFERROR(-AU226/(AU224+N(AU225)),"")</f>
        <v/>
      </c>
      <c r="AV230" s="187">
        <f>IFERROR(-AV226/(AV224+N(AV225)),"")</f>
        <v/>
      </c>
      <c r="AW230" s="187">
        <f>IFERROR(-AW226/(AW224+N(AW225)),"")</f>
        <v/>
      </c>
      <c r="AX230" s="187">
        <f>IFERROR(-AX226/(AX224+N(AX225)),"")</f>
        <v/>
      </c>
      <c r="AY230" s="187">
        <f>IFERROR(-AY226/(AY224+N(AY225)),"")</f>
        <v/>
      </c>
      <c r="AZ230" s="187">
        <f>IFERROR(-AZ226/(AZ224+N(AZ225)),"")</f>
        <v/>
      </c>
      <c r="BA230" s="187">
        <f>IFERROR(-BA226/(BA224+N(BA225)),"")</f>
        <v/>
      </c>
      <c r="BB230" s="187">
        <f>IFERROR(-BB226/(BB224+N(BB225)),"")</f>
        <v/>
      </c>
      <c r="BC230" s="187">
        <f>IFERROR(-BC226/(BC224+N(BC225)),"")</f>
        <v/>
      </c>
      <c r="BD230" s="187">
        <f>IFERROR(-BD226/(BD224+N(BD225)),"")</f>
        <v/>
      </c>
      <c r="BE230" s="187">
        <f>IFERROR(-BE226/(BE224+N(BE225)),"")</f>
        <v/>
      </c>
      <c r="BF230" s="187">
        <f>IFERROR(-BF226/(BF224+N(BF225)),"")</f>
        <v/>
      </c>
      <c r="BG230" s="187">
        <f>IFERROR(-BG226/(BG224+N(BG225)),"")</f>
        <v/>
      </c>
      <c r="BH230" s="187">
        <f>IFERROR(-BH226/(BH224+N(BH225)),"")</f>
        <v/>
      </c>
      <c r="BI230" s="187">
        <f>IFERROR(-BI226/(BI224+N(BI225)),"")</f>
        <v/>
      </c>
      <c r="BJ230" s="187">
        <f>IFERROR(-BJ226/(BJ224+N(BJ225)),"")</f>
        <v/>
      </c>
      <c r="BK230" s="187">
        <f>IFERROR(-BK226/(BK224+N(BK225)),"")</f>
        <v/>
      </c>
      <c r="BL230" s="187">
        <f>IFERROR(-BL226/(BL224+N(BL225)),"")</f>
        <v/>
      </c>
      <c r="BM230" s="187">
        <f>IFERROR(-BM226/(BM224+N(BM225)),"")</f>
        <v/>
      </c>
      <c r="BN230" s="187">
        <f>IFERROR(-BN226/(BN224+N(BN225)),"")</f>
        <v/>
      </c>
      <c r="BO230" s="187">
        <f>IFERROR(-BO226/(BO224+N(BO225)),"")</f>
        <v/>
      </c>
      <c r="BP230" s="187">
        <f>IFERROR(-BP226/(BP224+N(BP225)),"")</f>
        <v/>
      </c>
      <c r="BQ230" s="187">
        <f>IFERROR(-BQ226/(BQ224+N(BQ225)),"")</f>
        <v/>
      </c>
      <c r="BR230" s="187">
        <f>IFERROR(-BR226/(BR224+N(BR225)),"")</f>
        <v/>
      </c>
      <c r="BS230" s="187">
        <f>IFERROR(-BS226/(BS224+N(BS225)),"")</f>
        <v/>
      </c>
      <c r="BT230" s="187">
        <f>IFERROR(-BT226/(BT224+N(BT225)),"")</f>
        <v/>
      </c>
      <c r="BU230" s="187">
        <f>IFERROR(-BU226/(BU224+N(BU225)),"")</f>
        <v/>
      </c>
      <c r="BV230" s="187">
        <f>IFERROR(-BV226/(BV224+N(BV225)),"")</f>
        <v/>
      </c>
      <c r="BW230" s="187">
        <f>IFERROR(-BW226/(BW224+N(BW225)),"")</f>
        <v/>
      </c>
      <c r="BX230" s="187">
        <f>IFERROR(-BX226/(BX224+N(BX225)),"")</f>
        <v/>
      </c>
      <c r="BY230" s="180">
        <f>$CP$18</f>
        <v/>
      </c>
      <c r="BZ230" s="180">
        <f>$CP$18</f>
        <v/>
      </c>
      <c r="CA230" s="180">
        <f>IFERROR(-CA226/(CA224+N(CA225)),"")</f>
        <v/>
      </c>
      <c r="CB230" s="180">
        <f>CB156</f>
        <v/>
      </c>
      <c r="CC230" s="180">
        <f>CC156</f>
        <v/>
      </c>
      <c r="CD230" s="180">
        <f>CD156</f>
        <v/>
      </c>
      <c r="CE230" s="180">
        <f>CE156</f>
        <v/>
      </c>
      <c r="CF230" s="6" t="inlineStr">
        <is>
          <t>Historical: implied by the company table. Forecast: GAAP effective rate (adjusted tax = tax on adjusted pre-tax income).</t>
        </is>
      </c>
    </row>
    <row r="231" ht="15" customHeight="1">
      <c r="B231" s="26" t="inlineStr">
        <is>
          <t xml:space="preserve">  Diluted shares used in the adjusted EPS bridge (m)</t>
        </is>
      </c>
      <c r="C231" s="189">
        <f>C168</f>
        <v/>
      </c>
      <c r="D231" s="189">
        <f>D168</f>
        <v/>
      </c>
      <c r="E231" s="189">
        <f>E168</f>
        <v/>
      </c>
      <c r="F231" s="189">
        <f>F168</f>
        <v/>
      </c>
      <c r="G231" s="189">
        <f>G168</f>
        <v/>
      </c>
      <c r="H231" s="189">
        <f>H168</f>
        <v/>
      </c>
      <c r="I231" s="189">
        <f>I168</f>
        <v/>
      </c>
      <c r="J231" s="189">
        <f>J168</f>
        <v/>
      </c>
      <c r="K231" s="189">
        <f>K168</f>
        <v/>
      </c>
      <c r="L231" s="189">
        <f>L168</f>
        <v/>
      </c>
      <c r="M231" s="189">
        <f>M168</f>
        <v/>
      </c>
      <c r="N231" s="189">
        <f>N168</f>
        <v/>
      </c>
      <c r="O231" s="189">
        <f>O168</f>
        <v/>
      </c>
      <c r="P231" s="189">
        <f>P168</f>
        <v/>
      </c>
      <c r="Q231" s="189">
        <f>Q168</f>
        <v/>
      </c>
      <c r="R231" s="189">
        <f>R168</f>
        <v/>
      </c>
      <c r="S231" s="189">
        <f>S168</f>
        <v/>
      </c>
      <c r="T231" s="189">
        <f>T168</f>
        <v/>
      </c>
      <c r="U231" s="189">
        <f>U168</f>
        <v/>
      </c>
      <c r="V231" s="189">
        <f>V168</f>
        <v/>
      </c>
      <c r="W231" s="189">
        <f>W168</f>
        <v/>
      </c>
      <c r="X231" s="189">
        <f>X168</f>
        <v/>
      </c>
      <c r="Y231" s="189">
        <f>Y168</f>
        <v/>
      </c>
      <c r="Z231" s="189">
        <f>Z168</f>
        <v/>
      </c>
      <c r="AA231" s="189">
        <f>AA168</f>
        <v/>
      </c>
      <c r="AB231" s="189">
        <f>AB168</f>
        <v/>
      </c>
      <c r="AC231" s="189">
        <f>AC168</f>
        <v/>
      </c>
      <c r="AD231" s="189">
        <f>AD168</f>
        <v/>
      </c>
      <c r="AE231" s="189">
        <f>AE168</f>
        <v/>
      </c>
      <c r="AF231" s="189">
        <f>AF168</f>
        <v/>
      </c>
      <c r="AG231" s="199" t="n">
        <v>96.40000000000001</v>
      </c>
      <c r="AH231" s="199" t="n">
        <v>96.09999999999999</v>
      </c>
      <c r="AI231" s="189">
        <f>AI168</f>
        <v/>
      </c>
      <c r="AJ231" s="199" t="n">
        <v>96.59999999999999</v>
      </c>
      <c r="AK231" s="199" t="n">
        <v>96.59999999999999</v>
      </c>
      <c r="AL231" s="199" t="n">
        <v>96.7</v>
      </c>
      <c r="AM231" s="199" t="n">
        <v>96.5</v>
      </c>
      <c r="AN231" s="199" t="n">
        <v>132.5</v>
      </c>
      <c r="AO231" s="199" t="n">
        <v>191.5</v>
      </c>
      <c r="AP231" s="199" t="n">
        <v>191.5</v>
      </c>
      <c r="AQ231" s="199" t="n">
        <v>191.6</v>
      </c>
      <c r="AR231" s="199" t="n">
        <v>177.3</v>
      </c>
      <c r="AS231" s="199" t="n">
        <v>191.4</v>
      </c>
      <c r="AT231" s="199" t="n">
        <v>190.2</v>
      </c>
      <c r="AU231" s="199" t="n">
        <v>190.2</v>
      </c>
      <c r="AV231" s="199" t="n">
        <v>189.7</v>
      </c>
      <c r="AW231" s="199" t="n">
        <v>190.4</v>
      </c>
      <c r="AX231" s="199" t="n">
        <v>188.9</v>
      </c>
      <c r="AY231" s="199" t="n">
        <v>188.9</v>
      </c>
      <c r="AZ231" s="199" t="n">
        <v>188</v>
      </c>
      <c r="BA231" s="199" t="n">
        <v>186.5</v>
      </c>
      <c r="BB231" s="199" t="n">
        <v>188.1</v>
      </c>
      <c r="BC231" s="199" t="n">
        <v>185</v>
      </c>
      <c r="BD231" s="199" t="n">
        <v>182.4</v>
      </c>
      <c r="BE231" s="199" t="n">
        <v>181.9</v>
      </c>
      <c r="BF231" s="199" t="n">
        <v>181.7</v>
      </c>
      <c r="BG231" s="199" t="n">
        <v>182.8</v>
      </c>
      <c r="BH231" s="199" t="n">
        <v>180.6</v>
      </c>
      <c r="BI231" s="199" t="n">
        <v>179.4</v>
      </c>
      <c r="BJ231" s="199" t="n">
        <v>179.2</v>
      </c>
      <c r="BK231" s="199" t="n">
        <v>178.8</v>
      </c>
      <c r="BL231" s="199" t="n">
        <v>179.5</v>
      </c>
      <c r="BM231" s="199" t="n">
        <v>177.2</v>
      </c>
      <c r="BN231" s="199" t="n">
        <v>176</v>
      </c>
      <c r="BO231" s="199" t="n">
        <v>174.1</v>
      </c>
      <c r="BP231" s="199" t="n">
        <v>172</v>
      </c>
      <c r="BQ231" s="199" t="n">
        <v>174.8</v>
      </c>
      <c r="BR231" s="199" t="n">
        <v>171.3</v>
      </c>
      <c r="BS231" s="199" t="n">
        <v>171.2</v>
      </c>
      <c r="BT231" s="199" t="n">
        <v>171.1</v>
      </c>
      <c r="BU231" s="199" t="n">
        <v>171</v>
      </c>
      <c r="BV231" s="199" t="n">
        <v>171.1</v>
      </c>
      <c r="BW231" s="199" t="n">
        <v>170.7</v>
      </c>
      <c r="BX231" s="199" t="n">
        <v>169.6</v>
      </c>
      <c r="BY231" s="200">
        <f>BY168</f>
        <v/>
      </c>
      <c r="BZ231" s="200">
        <f>BZ168</f>
        <v/>
      </c>
      <c r="CA231" s="200">
        <f>CA168</f>
        <v/>
      </c>
      <c r="CB231" s="200">
        <f>CB168</f>
        <v/>
      </c>
      <c r="CC231" s="200">
        <f>CC168</f>
        <v/>
      </c>
      <c r="CD231" s="200">
        <f>CD168</f>
        <v/>
      </c>
      <c r="CE231" s="200">
        <f>CE168</f>
        <v/>
      </c>
      <c r="CF231" s="20" t="inlineStr">
        <is>
          <t>Company "fully diluted shares outstanding" from the adjusted-results table where published (differs from GAAP diluted shares in loss quarters, e.g. Q1-19); otherwise weighted diluted shares.</t>
        </is>
      </c>
    </row>
    <row r="232" ht="15" customHeight="1">
      <c r="B232" s="59" t="inlineStr">
        <is>
          <t>Adjusted EPS – diluted ($) (model bridge)</t>
        </is>
      </c>
      <c r="C232" s="203">
        <f>IF(AND(ISNUMBER(C229),ISNUMBER(C231)),IFERROR(C229/C231,""),"")</f>
        <v/>
      </c>
      <c r="D232" s="203">
        <f>IF(AND(ISNUMBER(D229),ISNUMBER(D231)),IFERROR(D229/D231,""),"")</f>
        <v/>
      </c>
      <c r="E232" s="203">
        <f>IF(AND(ISNUMBER(E229),ISNUMBER(E231)),IFERROR(E229/E231,""),"")</f>
        <v/>
      </c>
      <c r="F232" s="203">
        <f>IF(AND(ISNUMBER(F229),ISNUMBER(F231)),IFERROR(F229/F231,""),"")</f>
        <v/>
      </c>
      <c r="G232" s="203">
        <f>IF(AND(ISNUMBER(G229),ISNUMBER(G231)),IFERROR(G229/G231,""),"")</f>
        <v/>
      </c>
      <c r="H232" s="203">
        <f>IF(AND(ISNUMBER(H229),ISNUMBER(H231)),IFERROR(H229/H231,""),"")</f>
        <v/>
      </c>
      <c r="I232" s="203">
        <f>IF(AND(ISNUMBER(I229),ISNUMBER(I231)),IFERROR(I229/I231,""),"")</f>
        <v/>
      </c>
      <c r="J232" s="203">
        <f>IF(AND(ISNUMBER(J229),ISNUMBER(J231)),IFERROR(J229/J231,""),"")</f>
        <v/>
      </c>
      <c r="K232" s="203">
        <f>IF(AND(ISNUMBER(K229),ISNUMBER(K231)),IFERROR(K229/K231,""),"")</f>
        <v/>
      </c>
      <c r="L232" s="203">
        <f>IF(AND(ISNUMBER(L229),ISNUMBER(L231)),IFERROR(L229/L231,""),"")</f>
        <v/>
      </c>
      <c r="M232" s="203">
        <f>IF(AND(ISNUMBER(M229),ISNUMBER(M231)),IFERROR(M229/M231,""),"")</f>
        <v/>
      </c>
      <c r="N232" s="203">
        <f>IF(AND(ISNUMBER(N229),ISNUMBER(N231)),IFERROR(N229/N231,""),"")</f>
        <v/>
      </c>
      <c r="O232" s="203">
        <f>IF(AND(ISNUMBER(O229),ISNUMBER(O231)),IFERROR(O229/O231,""),"")</f>
        <v/>
      </c>
      <c r="P232" s="203">
        <f>IF(AND(ISNUMBER(P229),ISNUMBER(P231)),IFERROR(P229/P231,""),"")</f>
        <v/>
      </c>
      <c r="Q232" s="203">
        <f>IF(AND(ISNUMBER(Q229),ISNUMBER(Q231)),IFERROR(Q229/Q231,""),"")</f>
        <v/>
      </c>
      <c r="R232" s="203">
        <f>IF(AND(ISNUMBER(R229),ISNUMBER(R231)),IFERROR(R229/R231,""),"")</f>
        <v/>
      </c>
      <c r="S232" s="203">
        <f>IF(AND(ISNUMBER(S229),ISNUMBER(S231)),IFERROR(S229/S231,""),"")</f>
        <v/>
      </c>
      <c r="T232" s="203">
        <f>IF(AND(ISNUMBER(T229),ISNUMBER(T231)),IFERROR(T229/T231,""),"")</f>
        <v/>
      </c>
      <c r="U232" s="203">
        <f>IF(AND(ISNUMBER(U229),ISNUMBER(U231)),IFERROR(U229/U231,""),"")</f>
        <v/>
      </c>
      <c r="V232" s="203">
        <f>IF(AND(ISNUMBER(V229),ISNUMBER(V231)),IFERROR(V229/V231,""),"")</f>
        <v/>
      </c>
      <c r="W232" s="203">
        <f>IF(AND(ISNUMBER(W229),ISNUMBER(W231)),IFERROR(W229/W231,""),"")</f>
        <v/>
      </c>
      <c r="X232" s="203">
        <f>IF(AND(ISNUMBER(X229),ISNUMBER(X231)),IFERROR(X229/X231,""),"")</f>
        <v/>
      </c>
      <c r="Y232" s="203">
        <f>IF(AND(ISNUMBER(Y229),ISNUMBER(Y231)),IFERROR(Y229/Y231,""),"")</f>
        <v/>
      </c>
      <c r="Z232" s="203">
        <f>IF(AND(ISNUMBER(Z229),ISNUMBER(Z231)),IFERROR(Z229/Z231,""),"")</f>
        <v/>
      </c>
      <c r="AA232" s="203">
        <f>IF(AND(ISNUMBER(AA229),ISNUMBER(AA231)),IFERROR(AA229/AA231,""),"")</f>
        <v/>
      </c>
      <c r="AB232" s="203">
        <f>IF(AND(ISNUMBER(AB229),ISNUMBER(AB231)),IFERROR(AB229/AB231,""),"")</f>
        <v/>
      </c>
      <c r="AC232" s="203">
        <f>IF(AND(ISNUMBER(AC229),ISNUMBER(AC231)),IFERROR(AC229/AC231,""),"")</f>
        <v/>
      </c>
      <c r="AD232" s="203">
        <f>IF(AND(ISNUMBER(AD229),ISNUMBER(AD231)),IFERROR(AD229/AD231,""),"")</f>
        <v/>
      </c>
      <c r="AE232" s="203">
        <f>IF(AND(ISNUMBER(AE229),ISNUMBER(AE231)),IFERROR(AE229/AE231,""),"")</f>
        <v/>
      </c>
      <c r="AF232" s="203">
        <f>IF(AND(ISNUMBER(AF229),ISNUMBER(AF231)),IFERROR(AF229/AF231,""),"")</f>
        <v/>
      </c>
      <c r="AG232" s="203">
        <f>IF(AND(ISNUMBER(AG229),ISNUMBER(AG231)),IFERROR(AG229/AG231,""),"")</f>
        <v/>
      </c>
      <c r="AH232" s="203">
        <f>IF(AND(ISNUMBER(AH229),ISNUMBER(AH231)),IFERROR(AH229/AH231,""),"")</f>
        <v/>
      </c>
      <c r="AI232" s="203">
        <f>IF(AND(ISNUMBER(AI229),ISNUMBER(AI231)),IFERROR(AI229/AI231,""),"")</f>
        <v/>
      </c>
      <c r="AJ232" s="203">
        <f>IF(AND(ISNUMBER(AJ229),ISNUMBER(AJ231)),IFERROR(AJ229/AJ231,""),"")</f>
        <v/>
      </c>
      <c r="AK232" s="203">
        <f>IF(AND(ISNUMBER(AK229),ISNUMBER(AK231)),IFERROR(AK229/AK231,""),"")</f>
        <v/>
      </c>
      <c r="AL232" s="203">
        <f>IF(AND(ISNUMBER(AL229),ISNUMBER(AL231)),IFERROR(AL229/AL231,""),"")</f>
        <v/>
      </c>
      <c r="AM232" s="203">
        <f>IF(AND(ISNUMBER(AM229),ISNUMBER(AM231)),IFERROR(AM229/AM231,""),"")</f>
        <v/>
      </c>
      <c r="AN232" s="203">
        <f>IF(AND(ISNUMBER(AN229),ISNUMBER(AN231)),IFERROR(AN229/AN231,""),"")</f>
        <v/>
      </c>
      <c r="AO232" s="203">
        <f>IF(AND(ISNUMBER(AO229),ISNUMBER(AO231)),IFERROR(AO229/AO231,""),"")</f>
        <v/>
      </c>
      <c r="AP232" s="203">
        <f>IF(AND(ISNUMBER(AP229),ISNUMBER(AP231)),IFERROR(AP229/AP231,""),"")</f>
        <v/>
      </c>
      <c r="AQ232" s="203">
        <f>IF(AND(ISNUMBER(AQ229),ISNUMBER(AQ231)),IFERROR(AQ229/AQ231,""),"")</f>
        <v/>
      </c>
      <c r="AR232" s="203">
        <f>IF(AND(ISNUMBER(AR229),ISNUMBER(AR231)),IFERROR(AR229/AR231,""),"")</f>
        <v/>
      </c>
      <c r="AS232" s="203">
        <f>IF(AND(ISNUMBER(AS229),ISNUMBER(AS231)),IFERROR(AS229/AS231,""),"")</f>
        <v/>
      </c>
      <c r="AT232" s="203">
        <f>IF(AND(ISNUMBER(AT229),ISNUMBER(AT231)),IFERROR(AT229/AT231,""),"")</f>
        <v/>
      </c>
      <c r="AU232" s="203">
        <f>IF(AND(ISNUMBER(AU229),ISNUMBER(AU231)),IFERROR(AU229/AU231,""),"")</f>
        <v/>
      </c>
      <c r="AV232" s="203">
        <f>IF(AND(ISNUMBER(AV229),ISNUMBER(AV231)),IFERROR(AV229/AV231,""),"")</f>
        <v/>
      </c>
      <c r="AW232" s="203">
        <f>IF(AND(ISNUMBER(AW229),ISNUMBER(AW231)),IFERROR(AW229/AW231,""),"")</f>
        <v/>
      </c>
      <c r="AX232" s="203">
        <f>IF(AND(ISNUMBER(AX229),ISNUMBER(AX231)),IFERROR(AX229/AX231,""),"")</f>
        <v/>
      </c>
      <c r="AY232" s="203">
        <f>IF(AND(ISNUMBER(AY229),ISNUMBER(AY231)),IFERROR(AY229/AY231,""),"")</f>
        <v/>
      </c>
      <c r="AZ232" s="203">
        <f>IF(AND(ISNUMBER(AZ229),ISNUMBER(AZ231)),IFERROR(AZ229/AZ231,""),"")</f>
        <v/>
      </c>
      <c r="BA232" s="203">
        <f>IF(AND(ISNUMBER(BA229),ISNUMBER(BA231)),IFERROR(BA229/BA231,""),"")</f>
        <v/>
      </c>
      <c r="BB232" s="203">
        <f>IF(AND(ISNUMBER(BB229),ISNUMBER(BB231)),IFERROR(BB229/BB231,""),"")</f>
        <v/>
      </c>
      <c r="BC232" s="203">
        <f>IF(AND(ISNUMBER(BC229),ISNUMBER(BC231)),IFERROR(BC229/BC231,""),"")</f>
        <v/>
      </c>
      <c r="BD232" s="203">
        <f>IF(AND(ISNUMBER(BD229),ISNUMBER(BD231)),IFERROR(BD229/BD231,""),"")</f>
        <v/>
      </c>
      <c r="BE232" s="203">
        <f>IF(AND(ISNUMBER(BE229),ISNUMBER(BE231)),IFERROR(BE229/BE231,""),"")</f>
        <v/>
      </c>
      <c r="BF232" s="203">
        <f>IF(AND(ISNUMBER(BF229),ISNUMBER(BF231)),IFERROR(BF229/BF231,""),"")</f>
        <v/>
      </c>
      <c r="BG232" s="203">
        <f>IF(AND(ISNUMBER(BG229),ISNUMBER(BG231)),IFERROR(BG229/BG231,""),"")</f>
        <v/>
      </c>
      <c r="BH232" s="203">
        <f>IF(AND(ISNUMBER(BH229),ISNUMBER(BH231)),IFERROR(BH229/BH231,""),"")</f>
        <v/>
      </c>
      <c r="BI232" s="203">
        <f>IF(AND(ISNUMBER(BI229),ISNUMBER(BI231)),IFERROR(BI229/BI231,""),"")</f>
        <v/>
      </c>
      <c r="BJ232" s="203">
        <f>IF(AND(ISNUMBER(BJ229),ISNUMBER(BJ231)),IFERROR(BJ229/BJ231,""),"")</f>
        <v/>
      </c>
      <c r="BK232" s="203">
        <f>IF(AND(ISNUMBER(BK229),ISNUMBER(BK231)),IFERROR(BK229/BK231,""),"")</f>
        <v/>
      </c>
      <c r="BL232" s="203">
        <f>IF(AND(ISNUMBER(BL229),ISNUMBER(BL231)),IFERROR(BL229/BL231,""),"")</f>
        <v/>
      </c>
      <c r="BM232" s="203">
        <f>IF(AND(ISNUMBER(BM229),ISNUMBER(BM231)),IFERROR(BM229/BM231,""),"")</f>
        <v/>
      </c>
      <c r="BN232" s="203">
        <f>IF(AND(ISNUMBER(BN229),ISNUMBER(BN231)),IFERROR(BN229/BN231,""),"")</f>
        <v/>
      </c>
      <c r="BO232" s="203">
        <f>IF(AND(ISNUMBER(BO229),ISNUMBER(BO231)),IFERROR(BO229/BO231,""),"")</f>
        <v/>
      </c>
      <c r="BP232" s="203">
        <f>IF(AND(ISNUMBER(BP229),ISNUMBER(BP231)),IFERROR(BP229/BP231,""),"")</f>
        <v/>
      </c>
      <c r="BQ232" s="203">
        <f>IF(AND(ISNUMBER(BQ229),ISNUMBER(BQ231)),IFERROR(BQ229/BQ231,""),"")</f>
        <v/>
      </c>
      <c r="BR232" s="203">
        <f>IF(AND(ISNUMBER(BR229),ISNUMBER(BR231)),IFERROR(BR229/BR231,""),"")</f>
        <v/>
      </c>
      <c r="BS232" s="203">
        <f>IF(AND(ISNUMBER(BS229),ISNUMBER(BS231)),IFERROR(BS229/BS231,""),"")</f>
        <v/>
      </c>
      <c r="BT232" s="203">
        <f>IF(AND(ISNUMBER(BT229),ISNUMBER(BT231)),IFERROR(BT229/BT231,""),"")</f>
        <v/>
      </c>
      <c r="BU232" s="203">
        <f>IF(AND(ISNUMBER(BU229),ISNUMBER(BU231)),IFERROR(BU229/BU231,""),"")</f>
        <v/>
      </c>
      <c r="BV232" s="203">
        <f>IF(AND(ISNUMBER(BV229),ISNUMBER(BV231)),IFERROR(BV229/BV231,""),"")</f>
        <v/>
      </c>
      <c r="BW232" s="203">
        <f>IF(AND(ISNUMBER(BW229),ISNUMBER(BW231)),IFERROR(BW229/BW231,""),"")</f>
        <v/>
      </c>
      <c r="BX232" s="203">
        <f>IF(AND(ISNUMBER(BX229),ISNUMBER(BX231)),IFERROR(BX229/BX231,""),"")</f>
        <v/>
      </c>
      <c r="BY232" s="203">
        <f>IF(AND(ISNUMBER(BY229),ISNUMBER(BY231)),IFERROR(BY229/BY231,""),"")</f>
        <v/>
      </c>
      <c r="BZ232" s="203">
        <f>IF(AND(ISNUMBER(BZ229),ISNUMBER(BZ231)),IFERROR(BZ229/BZ231,""),"")</f>
        <v/>
      </c>
      <c r="CA232" s="203">
        <f>IF(AND(ISNUMBER(CA229),ISNUMBER(CA231)),IFERROR(CA229/CA231,""),"")</f>
        <v/>
      </c>
      <c r="CB232" s="203">
        <f>IF(AND(ISNUMBER(CB229),ISNUMBER(CB231)),IFERROR(CB229/CB231,""),"")</f>
        <v/>
      </c>
      <c r="CC232" s="203">
        <f>IF(AND(ISNUMBER(CC229),ISNUMBER(CC231)),IFERROR(CC229/CC231,""),"")</f>
        <v/>
      </c>
      <c r="CD232" s="203">
        <f>IF(AND(ISNUMBER(CD229),ISNUMBER(CD231)),IFERROR(CD229/CD231,""),"")</f>
        <v/>
      </c>
      <c r="CE232" s="203">
        <f>IF(AND(ISNUMBER(CE229),ISNUMBER(CE231)),IFERROR(CE229/CE231,""),"")</f>
        <v/>
      </c>
      <c r="CF232" s="20" t="n"/>
      <c r="CH232" s="21">
        <f>IFERROR((CE232/BV232)^(1/5)-1,"n/m")</f>
        <v/>
      </c>
      <c r="CI232" s="21">
        <f>IFERROR((BV232/AW232)^(1/5)-1,"n/m")</f>
        <v/>
      </c>
      <c r="CJ232" s="21">
        <f>IFERROR((BV232/X232)^(1/10)-1,"n/m")</f>
        <v/>
      </c>
      <c r="CK232" s="21">
        <f>IFERROR((BV232/C232)^(1/19)-1,"n/m")</f>
        <v/>
      </c>
    </row>
    <row r="233" ht="15" customHeight="1">
      <c r="B233" s="42" t="inlineStr">
        <is>
          <t xml:space="preserve">  Company-published adjusted diluted EPS ($; split-adjusted)</t>
        </is>
      </c>
      <c r="C233" s="204" t="n">
        <v>0.87</v>
      </c>
      <c r="D233" s="28" t="n"/>
      <c r="E233" s="28" t="n"/>
      <c r="F233" s="28" t="n"/>
      <c r="G233" s="28" t="n"/>
      <c r="H233" s="204" t="n">
        <v>1.85</v>
      </c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04" t="n">
        <v>1.05</v>
      </c>
      <c r="Z233" s="204" t="n">
        <v>1.05</v>
      </c>
      <c r="AA233" s="204" t="n">
        <v>0.9399999999999999</v>
      </c>
      <c r="AB233" s="28" t="n"/>
      <c r="AC233" s="28" t="n"/>
      <c r="AD233" s="28" t="n"/>
      <c r="AE233" s="28" t="n"/>
      <c r="AF233" s="204" t="n">
        <v>0.88</v>
      </c>
      <c r="AG233" s="204" t="n">
        <v>0.9</v>
      </c>
      <c r="AH233" s="204" t="n">
        <v>3.43</v>
      </c>
      <c r="AI233" s="28" t="n"/>
      <c r="AJ233" s="204" t="n">
        <v>0.96</v>
      </c>
      <c r="AK233" s="204" t="n">
        <v>0.95</v>
      </c>
      <c r="AL233" s="204" t="n">
        <v>0.97</v>
      </c>
      <c r="AM233" s="204" t="n">
        <v>3.81</v>
      </c>
      <c r="AN233" s="204" t="n">
        <v>1.06</v>
      </c>
      <c r="AO233" s="204" t="n">
        <v>1.06</v>
      </c>
      <c r="AP233" s="204" t="n">
        <v>1.03</v>
      </c>
      <c r="AQ233" s="204" t="n">
        <v>1.04</v>
      </c>
      <c r="AR233" s="204" t="n">
        <v>4.17</v>
      </c>
      <c r="AS233" s="204" t="n">
        <v>0.97</v>
      </c>
      <c r="AT233" s="204" t="n">
        <v>0.87</v>
      </c>
      <c r="AU233" s="204" t="n">
        <v>0.95</v>
      </c>
      <c r="AV233" s="204" t="n">
        <v>0.98</v>
      </c>
      <c r="AW233" s="204" t="n">
        <v>3.79</v>
      </c>
      <c r="AX233" s="204" t="n">
        <v>0.89</v>
      </c>
      <c r="AY233" s="204" t="n">
        <v>1.06</v>
      </c>
      <c r="AZ233" s="204" t="n">
        <v>1.14</v>
      </c>
      <c r="BA233" s="204" t="n">
        <v>1.18</v>
      </c>
      <c r="BB233" s="204" t="n">
        <v>4.26</v>
      </c>
      <c r="BC233" s="204" t="n">
        <v>1.13</v>
      </c>
      <c r="BD233" s="204" t="n">
        <v>1.23</v>
      </c>
      <c r="BE233" s="204" t="n">
        <v>1.22</v>
      </c>
      <c r="BF233" s="204" t="n">
        <v>1.3</v>
      </c>
      <c r="BG233" s="204" t="n">
        <v>4.86</v>
      </c>
      <c r="BH233" s="204" t="n">
        <v>1.28</v>
      </c>
      <c r="BI233" s="204" t="n">
        <v>1.41</v>
      </c>
      <c r="BJ233" s="204" t="n">
        <v>1.7</v>
      </c>
      <c r="BK233" s="204" t="n">
        <v>1.54</v>
      </c>
      <c r="BL233" s="204" t="n">
        <v>5.92</v>
      </c>
      <c r="BM233" s="204" t="n">
        <v>1.89</v>
      </c>
      <c r="BN233" s="204" t="n">
        <v>1.96</v>
      </c>
      <c r="BO233" s="204" t="n">
        <v>2</v>
      </c>
      <c r="BP233" s="204" t="n">
        <v>1.68</v>
      </c>
      <c r="BQ233" s="204" t="n">
        <v>7.56</v>
      </c>
      <c r="BR233" s="204" t="n">
        <v>2.28</v>
      </c>
      <c r="BS233" s="204" t="n">
        <v>2.27</v>
      </c>
      <c r="BT233" s="204" t="n">
        <v>2.32</v>
      </c>
      <c r="BU233" s="204" t="n">
        <v>2.1</v>
      </c>
      <c r="BV233" s="204" t="n">
        <v>8.970000000000001</v>
      </c>
      <c r="BW233" s="204" t="n">
        <v>2.71</v>
      </c>
      <c r="BX233" s="204" t="n">
        <v>2.76</v>
      </c>
      <c r="BY233" s="6" t="n"/>
      <c r="BZ233" s="6" t="n"/>
      <c r="CA233" s="6" t="n"/>
      <c r="CB233" s="6" t="n"/>
      <c r="CC233" s="6" t="n"/>
      <c r="CD233" s="6" t="n"/>
      <c r="CE233" s="6" t="n"/>
      <c r="CF233" s="6" t="n"/>
    </row>
    <row r="234" ht="15" customHeight="1">
      <c r="B234" s="61" t="inlineStr">
        <is>
          <t xml:space="preserve">  Check: model vs company-published adjusted EPS (should be 0.00; ±0.02 rounding / two-class method)</t>
        </is>
      </c>
      <c r="C234" s="201">
        <f>IF(ISNUMBER(C233),IF(ABS(C232-C233)&lt;=0.025,0,ROUND(C232-C233,2)),"n/p")</f>
        <v/>
      </c>
      <c r="D234" s="201">
        <f>IF(ISNUMBER(D233),IF(ABS(D232-D233)&lt;=0.025,0,ROUND(D232-D233,2)),"n/p")</f>
        <v/>
      </c>
      <c r="E234" s="201">
        <f>IF(ISNUMBER(E233),IF(ABS(E232-E233)&lt;=0.025,0,ROUND(E232-E233,2)),"n/p")</f>
        <v/>
      </c>
      <c r="F234" s="201">
        <f>IF(ISNUMBER(F233),IF(ABS(F232-F233)&lt;=0.025,0,ROUND(F232-F233,2)),"n/p")</f>
        <v/>
      </c>
      <c r="G234" s="201">
        <f>IF(ISNUMBER(G233),IF(ABS(G232-G233)&lt;=0.025,0,ROUND(G232-G233,2)),"n/p")</f>
        <v/>
      </c>
      <c r="H234" s="201">
        <f>IF(ISNUMBER(H233),IF(ABS(H232-H233)&lt;=0.025,0,ROUND(H232-H233,2)),"n/p")</f>
        <v/>
      </c>
      <c r="I234" s="201">
        <f>IF(ISNUMBER(I233),IF(ABS(I232-I233)&lt;=0.025,0,ROUND(I232-I233,2)),"n/p")</f>
        <v/>
      </c>
      <c r="J234" s="201">
        <f>IF(ISNUMBER(J233),IF(ABS(J232-J233)&lt;=0.025,0,ROUND(J232-J233,2)),"n/p")</f>
        <v/>
      </c>
      <c r="K234" s="201">
        <f>IF(ISNUMBER(K233),IF(ABS(K232-K233)&lt;=0.025,0,ROUND(K232-K233,2)),"n/p")</f>
        <v/>
      </c>
      <c r="L234" s="201">
        <f>IF(ISNUMBER(L233),IF(ABS(L232-L233)&lt;=0.025,0,ROUND(L232-L233,2)),"n/p")</f>
        <v/>
      </c>
      <c r="M234" s="201">
        <f>IF(ISNUMBER(M233),IF(ABS(M232-M233)&lt;=0.025,0,ROUND(M232-M233,2)),"n/p")</f>
        <v/>
      </c>
      <c r="N234" s="201">
        <f>IF(ISNUMBER(N233),IF(ABS(N232-N233)&lt;=0.025,0,ROUND(N232-N233,2)),"n/p")</f>
        <v/>
      </c>
      <c r="O234" s="201">
        <f>IF(ISNUMBER(O233),IF(ABS(O232-O233)&lt;=0.025,0,ROUND(O232-O233,2)),"n/p")</f>
        <v/>
      </c>
      <c r="P234" s="201">
        <f>IF(ISNUMBER(P233),IF(ABS(P232-P233)&lt;=0.025,0,ROUND(P232-P233,2)),"n/p")</f>
        <v/>
      </c>
      <c r="Q234" s="201">
        <f>IF(ISNUMBER(Q233),IF(ABS(Q232-Q233)&lt;=0.025,0,ROUND(Q232-Q233,2)),"n/p")</f>
        <v/>
      </c>
      <c r="R234" s="201">
        <f>IF(ISNUMBER(R233),IF(ABS(R232-R233)&lt;=0.025,0,ROUND(R232-R233,2)),"n/p")</f>
        <v/>
      </c>
      <c r="S234" s="201">
        <f>IF(ISNUMBER(S233),IF(ABS(S232-S233)&lt;=0.025,0,ROUND(S232-S233,2)),"n/p")</f>
        <v/>
      </c>
      <c r="T234" s="201">
        <f>IF(ISNUMBER(T233),IF(ABS(T232-T233)&lt;=0.025,0,ROUND(T232-T233,2)),"n/p")</f>
        <v/>
      </c>
      <c r="U234" s="201">
        <f>IF(ISNUMBER(U233),IF(ABS(U232-U233)&lt;=0.025,0,ROUND(U232-U233,2)),"n/p")</f>
        <v/>
      </c>
      <c r="V234" s="201">
        <f>IF(ISNUMBER(V233),IF(ABS(V232-V233)&lt;=0.025,0,ROUND(V232-V233,2)),"n/p")</f>
        <v/>
      </c>
      <c r="W234" s="201">
        <f>IF(ISNUMBER(W233),IF(ABS(W232-W233)&lt;=0.025,0,ROUND(W232-W233,2)),"n/p")</f>
        <v/>
      </c>
      <c r="X234" s="201">
        <f>IF(ISNUMBER(X233),IF(ABS(X232-X233)&lt;=0.025,0,ROUND(X232-X233,2)),"n/p")</f>
        <v/>
      </c>
      <c r="Y234" s="201">
        <f>IF(ISNUMBER(Y233),IF(ABS(Y232-Y233)&lt;=0.025,0,ROUND(Y232-Y233,2)),"n/p")</f>
        <v/>
      </c>
      <c r="Z234" s="201">
        <f>IF(ISNUMBER(Z233),IF(ABS(Z232-Z233)&lt;=0.025,0,ROUND(Z232-Z233,2)),"n/p")</f>
        <v/>
      </c>
      <c r="AA234" s="201">
        <f>IF(ISNUMBER(AA233),IF(ABS(AA232-AA233)&lt;=0.025,0,ROUND(AA232-AA233,2)),"n/p")</f>
        <v/>
      </c>
      <c r="AB234" s="201">
        <f>IF(ISNUMBER(AB233),IF(ABS(AB232-AB233)&lt;=0.025,0,ROUND(AB232-AB233,2)),"n/p")</f>
        <v/>
      </c>
      <c r="AC234" s="201">
        <f>IF(ISNUMBER(AC233),IF(ABS(AC232-AC233)&lt;=0.025,0,ROUND(AC232-AC233,2)),"n/p")</f>
        <v/>
      </c>
      <c r="AD234" s="201">
        <f>IF(ISNUMBER(AD233),IF(ABS(AD232-AD233)&lt;=0.025,0,ROUND(AD232-AD233,2)),"n/p")</f>
        <v/>
      </c>
      <c r="AE234" s="201">
        <f>IF(ISNUMBER(AE233),IF(ABS(AE232-AE233)&lt;=0.025,0,ROUND(AE232-AE233,2)),"n/p")</f>
        <v/>
      </c>
      <c r="AF234" s="201">
        <f>IF(ISNUMBER(AF233),IF(ABS(AF232-AF233)&lt;=0.025,0,ROUND(AF232-AF233,2)),"n/p")</f>
        <v/>
      </c>
      <c r="AG234" s="201">
        <f>IF(ISNUMBER(AG233),IF(ABS(AG232-AG233)&lt;=0.025,0,ROUND(AG232-AG233,2)),"n/p")</f>
        <v/>
      </c>
      <c r="AH234" s="201">
        <f>IF(ISNUMBER(AH233),IF(ABS(AH232-AH233)&lt;=0.025,0,ROUND(AH232-AH233,2)),"n/p")</f>
        <v/>
      </c>
      <c r="AI234" s="201">
        <f>IF(ISNUMBER(AI233),IF(ABS(AI232-AI233)&lt;=0.025,0,ROUND(AI232-AI233,2)),"n/p")</f>
        <v/>
      </c>
      <c r="AJ234" s="201">
        <f>IF(ISNUMBER(AJ233),IF(ABS(AJ232-AJ233)&lt;=0.025,0,ROUND(AJ232-AJ233,2)),"n/p")</f>
        <v/>
      </c>
      <c r="AK234" s="201">
        <f>IF(ISNUMBER(AK233),IF(ABS(AK232-AK233)&lt;=0.025,0,ROUND(AK232-AK233,2)),"n/p")</f>
        <v/>
      </c>
      <c r="AL234" s="201">
        <f>IF(ISNUMBER(AL233),IF(ABS(AL232-AL233)&lt;=0.025,0,ROUND(AL232-AL233,2)),"n/p")</f>
        <v/>
      </c>
      <c r="AM234" s="201">
        <f>IF(ISNUMBER(AM233),IF(ABS(AM232-AM233)&lt;=0.025,0,ROUND(AM232-AM233,2)),"n/p")</f>
        <v/>
      </c>
      <c r="AN234" s="201">
        <f>IF(ISNUMBER(AN233),IF(ABS(AN232-AN233)&lt;=0.025,0,ROUND(AN232-AN233,2)),"n/p")</f>
        <v/>
      </c>
      <c r="AO234" s="201">
        <f>IF(ISNUMBER(AO233),IF(ABS(AO232-AO233)&lt;=0.025,0,ROUND(AO232-AO233,2)),"n/p")</f>
        <v/>
      </c>
      <c r="AP234" s="201">
        <f>IF(ISNUMBER(AP233),IF(ABS(AP232-AP233)&lt;=0.025,0,ROUND(AP232-AP233,2)),"n/p")</f>
        <v/>
      </c>
      <c r="AQ234" s="201">
        <f>IF(ISNUMBER(AQ233),IF(ABS(AQ232-AQ233)&lt;=0.025,0,ROUND(AQ232-AQ233,2)),"n/p")</f>
        <v/>
      </c>
      <c r="AR234" s="201">
        <f>IF(ISNUMBER(AR233),IF(ABS(AR232-AR233)&lt;=0.025,0,ROUND(AR232-AR233,2)),"n/p")</f>
        <v/>
      </c>
      <c r="AS234" s="201">
        <f>IF(ISNUMBER(AS233),IF(ABS(AS232-AS233)&lt;=0.025,0,ROUND(AS232-AS233,2)),"n/p")</f>
        <v/>
      </c>
      <c r="AT234" s="201">
        <f>IF(ISNUMBER(AT233),IF(ABS(AT232-AT233)&lt;=0.025,0,ROUND(AT232-AT233,2)),"n/p")</f>
        <v/>
      </c>
      <c r="AU234" s="201">
        <f>IF(ISNUMBER(AU233),IF(ABS(AU232-AU233)&lt;=0.025,0,ROUND(AU232-AU233,2)),"n/p")</f>
        <v/>
      </c>
      <c r="AV234" s="201">
        <f>IF(ISNUMBER(AV233),IF(ABS(AV232-AV233)&lt;=0.025,0,ROUND(AV232-AV233,2)),"n/p")</f>
        <v/>
      </c>
      <c r="AW234" s="201">
        <f>IF(ISNUMBER(AW233),IF(ABS(AW232-AW233)&lt;=0.025,0,ROUND(AW232-AW233,2)),"n/p")</f>
        <v/>
      </c>
      <c r="AX234" s="201">
        <f>IF(ISNUMBER(AX233),IF(ABS(AX232-AX233)&lt;=0.025,0,ROUND(AX232-AX233,2)),"n/p")</f>
        <v/>
      </c>
      <c r="AY234" s="201">
        <f>IF(ISNUMBER(AY233),IF(ABS(AY232-AY233)&lt;=0.025,0,ROUND(AY232-AY233,2)),"n/p")</f>
        <v/>
      </c>
      <c r="AZ234" s="201">
        <f>IF(ISNUMBER(AZ233),IF(ABS(AZ232-AZ233)&lt;=0.025,0,ROUND(AZ232-AZ233,2)),"n/p")</f>
        <v/>
      </c>
      <c r="BA234" s="201">
        <f>IF(ISNUMBER(BA233),IF(ABS(BA232-BA233)&lt;=0.025,0,ROUND(BA232-BA233,2)),"n/p")</f>
        <v/>
      </c>
      <c r="BB234" s="201">
        <f>IF(ISNUMBER(BB233),IF(ABS(BB232-BB233)&lt;=0.025,0,ROUND(BB232-BB233,2)),"n/p")</f>
        <v/>
      </c>
      <c r="BC234" s="201">
        <f>IF(ISNUMBER(BC233),IF(ABS(BC232-BC233)&lt;=0.025,0,ROUND(BC232-BC233,2)),"n/p")</f>
        <v/>
      </c>
      <c r="BD234" s="201">
        <f>IF(ISNUMBER(BD233),IF(ABS(BD232-BD233)&lt;=0.025,0,ROUND(BD232-BD233,2)),"n/p")</f>
        <v/>
      </c>
      <c r="BE234" s="201">
        <f>IF(ISNUMBER(BE233),IF(ABS(BE232-BE233)&lt;=0.025,0,ROUND(BE232-BE233,2)),"n/p")</f>
        <v/>
      </c>
      <c r="BF234" s="201">
        <f>IF(ISNUMBER(BF233),IF(ABS(BF232-BF233)&lt;=0.025,0,ROUND(BF232-BF233,2)),"n/p")</f>
        <v/>
      </c>
      <c r="BG234" s="201">
        <f>IF(ISNUMBER(BG233),IF(ABS(BG232-BG233)&lt;=0.025,0,ROUND(BG232-BG233,2)),"n/p")</f>
        <v/>
      </c>
      <c r="BH234" s="201">
        <f>IF(ISNUMBER(BH233),IF(ABS(BH232-BH233)&lt;=0.025,0,ROUND(BH232-BH233,2)),"n/p")</f>
        <v/>
      </c>
      <c r="BI234" s="201">
        <f>IF(ISNUMBER(BI233),IF(ABS(BI232-BI233)&lt;=0.025,0,ROUND(BI232-BI233,2)),"n/p")</f>
        <v/>
      </c>
      <c r="BJ234" s="201">
        <f>IF(ISNUMBER(BJ233),IF(ABS(BJ232-BJ233)&lt;=0.025,0,ROUND(BJ232-BJ233,2)),"n/p")</f>
        <v/>
      </c>
      <c r="BK234" s="201">
        <f>IF(ISNUMBER(BK233),IF(ABS(BK232-BK233)&lt;=0.025,0,ROUND(BK232-BK233,2)),"n/p")</f>
        <v/>
      </c>
      <c r="BL234" s="201">
        <f>IF(ISNUMBER(BL233),IF(ABS(BL232-BL233)&lt;=0.025,0,ROUND(BL232-BL233,2)),"n/p")</f>
        <v/>
      </c>
      <c r="BM234" s="201">
        <f>IF(ISNUMBER(BM233),IF(ABS(BM232-BM233)&lt;=0.025,0,ROUND(BM232-BM233,2)),"n/p")</f>
        <v/>
      </c>
      <c r="BN234" s="201">
        <f>IF(ISNUMBER(BN233),IF(ABS(BN232-BN233)&lt;=0.025,0,ROUND(BN232-BN233,2)),"n/p")</f>
        <v/>
      </c>
      <c r="BO234" s="201">
        <f>IF(ISNUMBER(BO233),IF(ABS(BO232-BO233)&lt;=0.025,0,ROUND(BO232-BO233,2)),"n/p")</f>
        <v/>
      </c>
      <c r="BP234" s="201">
        <f>IF(ISNUMBER(BP233),IF(ABS(BP232-BP233)&lt;=0.025,0,ROUND(BP232-BP233,2)),"n/p")</f>
        <v/>
      </c>
      <c r="BQ234" s="201">
        <f>IF(ISNUMBER(BQ233),IF(ABS(BQ232-BQ233)&lt;=0.025,0,ROUND(BQ232-BQ233,2)),"n/p")</f>
        <v/>
      </c>
      <c r="BR234" s="201">
        <f>IF(ISNUMBER(BR233),IF(ABS(BR232-BR233)&lt;=0.025,0,ROUND(BR232-BR233,2)),"n/p")</f>
        <v/>
      </c>
      <c r="BS234" s="201">
        <f>IF(ISNUMBER(BS233),IF(ABS(BS232-BS233)&lt;=0.025,0,ROUND(BS232-BS233,2)),"n/p")</f>
        <v/>
      </c>
      <c r="BT234" s="201">
        <f>IF(ISNUMBER(BT233),IF(ABS(BT232-BT233)&lt;=0.025,0,ROUND(BT232-BT233,2)),"n/p")</f>
        <v/>
      </c>
      <c r="BU234" s="201">
        <f>IF(ISNUMBER(BU233),IF(ABS(BU232-BU233)&lt;=0.025,0,ROUND(BU232-BU233,2)),"n/p")</f>
        <v/>
      </c>
      <c r="BV234" s="201">
        <f>IF(ISNUMBER(BV233),IF(ABS(BV232-BV233)&lt;=0.025,0,ROUND(BV232-BV233,2)),"n/p")</f>
        <v/>
      </c>
      <c r="BW234" s="201">
        <f>IF(ISNUMBER(BW233),IF(ABS(BW232-BW233)&lt;=0.025,0,ROUND(BW232-BW233,2)),"n/p")</f>
        <v/>
      </c>
      <c r="BX234" s="201">
        <f>IF(ISNUMBER(BX233),IF(ABS(BX232-BX233)&lt;=0.025,0,ROUND(BX232-BX233,2)),"n/p")</f>
        <v/>
      </c>
      <c r="BY234" s="6" t="n"/>
      <c r="BZ234" s="6" t="n"/>
      <c r="CA234" s="6" t="n"/>
      <c r="CB234" s="6" t="n"/>
      <c r="CC234" s="6" t="n"/>
      <c r="CD234" s="6" t="n"/>
      <c r="CE234" s="6" t="n"/>
      <c r="CF234" s="6" t="n"/>
    </row>
    <row r="235" ht="15" customHeight="1">
      <c r="B235" s="42" t="inlineStr">
        <is>
          <t xml:space="preserve">  Input: per-share bridge items, after tax ($/share, as published; narrative bridges)</t>
        </is>
      </c>
      <c r="C235" s="204" t="n">
        <v>0.004999999999999998</v>
      </c>
      <c r="D235" s="28" t="n"/>
      <c r="E235" s="28" t="n"/>
      <c r="F235" s="28" t="n"/>
      <c r="G235" s="28" t="n"/>
      <c r="H235" s="204" t="n">
        <v>0.095</v>
      </c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04" t="n">
        <v>0.03</v>
      </c>
      <c r="Z235" s="204" t="n">
        <v>0.05</v>
      </c>
      <c r="AA235" s="204" t="n">
        <v>0.03</v>
      </c>
      <c r="AB235" s="28" t="n"/>
      <c r="AC235" s="28" t="n"/>
      <c r="AD235" s="28" t="n"/>
      <c r="AE235" s="28" t="n"/>
      <c r="AF235" s="28" t="n"/>
      <c r="AG235" s="28" t="n"/>
      <c r="AH235" s="28" t="n"/>
      <c r="AI235" s="28" t="n"/>
      <c r="AJ235" s="28" t="n"/>
      <c r="AK235" s="28" t="n"/>
      <c r="AL235" s="28" t="n"/>
      <c r="AM235" s="28" t="n"/>
      <c r="AN235" s="28" t="n"/>
      <c r="AO235" s="28" t="n"/>
      <c r="AP235" s="28" t="n"/>
      <c r="AQ235" s="28" t="n"/>
      <c r="AR235" s="28" t="n"/>
      <c r="AS235" s="28" t="n"/>
      <c r="AT235" s="28" t="n"/>
      <c r="AU235" s="28" t="n"/>
      <c r="AV235" s="28" t="n"/>
      <c r="AW235" s="28" t="n"/>
      <c r="AX235" s="28" t="n"/>
      <c r="AY235" s="28" t="n"/>
      <c r="AZ235" s="28" t="n"/>
      <c r="BA235" s="28" t="n"/>
      <c r="BB235" s="28" t="n"/>
      <c r="BC235" s="28" t="n"/>
      <c r="BD235" s="28" t="n"/>
      <c r="BE235" s="28" t="n"/>
      <c r="BF235" s="28" t="n"/>
      <c r="BG235" s="28" t="n"/>
      <c r="BH235" s="28" t="n"/>
      <c r="BI235" s="28" t="n"/>
      <c r="BJ235" s="28" t="n"/>
      <c r="BK235" s="28" t="n"/>
      <c r="BL235" s="28" t="n"/>
      <c r="BM235" s="28" t="n"/>
      <c r="BN235" s="28" t="n"/>
      <c r="BO235" s="28" t="n"/>
      <c r="BP235" s="28" t="n"/>
      <c r="BQ235" s="28" t="n"/>
      <c r="BR235" s="28" t="n"/>
      <c r="BS235" s="28" t="n"/>
      <c r="BT235" s="28" t="n"/>
      <c r="BU235" s="28" t="n"/>
      <c r="BV235" s="28" t="n"/>
      <c r="BW235" s="28" t="n"/>
      <c r="BX235" s="28" t="n"/>
      <c r="BY235" s="6" t="n"/>
      <c r="BZ235" s="6" t="n"/>
      <c r="CA235" s="6" t="n"/>
      <c r="CB235" s="6" t="n"/>
      <c r="CC235" s="6" t="n"/>
      <c r="CD235" s="6" t="n"/>
      <c r="CE235" s="6" t="n"/>
      <c r="CF235" s="6" t="n"/>
    </row>
    <row r="236" ht="15" customHeight="1">
      <c r="B236" s="67" t="inlineStr">
        <is>
          <t xml:space="preserve">  Definition basis (company adjusted EPS definition in force)</t>
        </is>
      </c>
      <c r="C236" s="205" t="inlineStr">
        <is>
          <t>FY2006: EPS ex Q3 restructuring &amp; Q4 tax benefit (narrative); none published 2007–08, 2010, 2012–15 (FY2009: Q4 only; FY2011 narrative)</t>
        </is>
      </c>
      <c r="J236" s="68" t="n"/>
      <c r="Y236" s="205" t="inlineStr">
        <is>
          <t>2016 quarters: adjusted EPS ex Faiveley transaction costs (narrative per-share bridges)</t>
        </is>
      </c>
      <c r="AG236" s="205" t="inlineStr">
        <is>
          <t>Q4-17: + U.S. tax reform (net $7.9m) as discrete tax item; 2018: transition-tax true-ups, GE merger financing</t>
        </is>
      </c>
      <c r="AJ236" s="68" t="n"/>
      <c r="AN236" s="205" t="inlineStr">
        <is>
          <t>2019: merger basis (amortization not added back); tax on non-deductible transaction costs</t>
        </is>
      </c>
      <c r="AS236" s="205" t="inlineStr">
        <is>
          <t>Q1-20+: + non-cash amortization (after tax); Q4-21 amended-return tax benefit excluded</t>
        </is>
      </c>
      <c r="BA236" s="68" t="n"/>
      <c r="BM236" s="68" t="n"/>
      <c r="BT236" s="68" t="n"/>
      <c r="BY236" s="6" t="n"/>
      <c r="BZ236" s="6" t="n"/>
      <c r="CA236" s="6" t="n"/>
      <c r="CB236" s="6" t="n"/>
      <c r="CC236" s="6" t="n"/>
      <c r="CD236" s="6" t="n"/>
      <c r="CE236" s="6" t="n"/>
      <c r="CF236" s="20" t="n"/>
    </row>
    <row r="237" ht="15" customHeight="1">
      <c r="B237" s="23" t="inlineStr">
        <is>
          <t xml:space="preserve">  Adjusted EPS y/y %</t>
        </is>
      </c>
      <c r="D237" s="179">
        <f>IF(AND(ISNUMBER(D232),ISNUMBER(C232)),IFERROR(D232/C232-1,""),"")</f>
        <v/>
      </c>
      <c r="E237" s="179">
        <f>IF(AND(ISNUMBER(E232),ISNUMBER(D232)),IFERROR(E232/D232-1,""),"")</f>
        <v/>
      </c>
      <c r="F237" s="179">
        <f>IF(AND(ISNUMBER(F232),ISNUMBER(E232)),IFERROR(F232/E232-1,""),"")</f>
        <v/>
      </c>
      <c r="G237" s="179">
        <f>IF(AND(ISNUMBER(G232),ISNUMBER(F232)),IFERROR(G232/F232-1,""),"")</f>
        <v/>
      </c>
      <c r="H237" s="179">
        <f>IF(AND(ISNUMBER(H232),ISNUMBER(G232)),IFERROR(H232/G232-1,""),"")</f>
        <v/>
      </c>
      <c r="I237" s="179">
        <f>IF(AND(ISNUMBER(I232),ISNUMBER(H232)),IFERROR(I232/H232-1,""),"")</f>
        <v/>
      </c>
      <c r="N237" s="179">
        <f>IF(AND(ISNUMBER(N232),ISNUMBER(I232)),IFERROR(N232/I232-1,""),"")</f>
        <v/>
      </c>
      <c r="O237" s="179">
        <f>IF(AND(ISNUMBER(O232),ISNUMBER(J232)),IFERROR(O232/J232-1,""),"")</f>
        <v/>
      </c>
      <c r="P237" s="179">
        <f>IF(AND(ISNUMBER(P232),ISNUMBER(K232)),IFERROR(P232/K232-1,""),"")</f>
        <v/>
      </c>
      <c r="Q237" s="179">
        <f>IF(AND(ISNUMBER(Q232),ISNUMBER(L232)),IFERROR(Q232/L232-1,""),"")</f>
        <v/>
      </c>
      <c r="R237" s="179">
        <f>IF(AND(ISNUMBER(R232),ISNUMBER(M232)),IFERROR(R232/M232-1,""),"")</f>
        <v/>
      </c>
      <c r="S237" s="179">
        <f>IF(AND(ISNUMBER(S232),ISNUMBER(N232)),IFERROR(S232/N232-1,""),"")</f>
        <v/>
      </c>
      <c r="T237" s="179">
        <f>IF(AND(ISNUMBER(T232),ISNUMBER(O232)),IFERROR(T232/O232-1,""),"")</f>
        <v/>
      </c>
      <c r="U237" s="179">
        <f>IF(AND(ISNUMBER(U232),ISNUMBER(P232)),IFERROR(U232/P232-1,""),"")</f>
        <v/>
      </c>
      <c r="V237" s="179">
        <f>IF(AND(ISNUMBER(V232),ISNUMBER(Q232)),IFERROR(V232/Q232-1,""),"")</f>
        <v/>
      </c>
      <c r="W237" s="179">
        <f>IF(AND(ISNUMBER(W232),ISNUMBER(R232)),IFERROR(W232/R232-1,""),"")</f>
        <v/>
      </c>
      <c r="X237" s="179">
        <f>IF(AND(ISNUMBER(X232),ISNUMBER(S232)),IFERROR(X232/S232-1,""),"")</f>
        <v/>
      </c>
      <c r="Y237" s="179">
        <f>IF(AND(ISNUMBER(Y232),ISNUMBER(T232)),IFERROR(Y232/T232-1,""),"")</f>
        <v/>
      </c>
      <c r="Z237" s="179">
        <f>IF(AND(ISNUMBER(Z232),ISNUMBER(U232)),IFERROR(Z232/U232-1,""),"")</f>
        <v/>
      </c>
      <c r="AA237" s="179">
        <f>IF(AND(ISNUMBER(AA232),ISNUMBER(V232)),IFERROR(AA232/V232-1,""),"")</f>
        <v/>
      </c>
      <c r="AB237" s="179">
        <f>IF(AND(ISNUMBER(AB232),ISNUMBER(W232)),IFERROR(AB232/W232-1,""),"")</f>
        <v/>
      </c>
      <c r="AC237" s="179">
        <f>IF(AND(ISNUMBER(AC232),ISNUMBER(X232)),IFERROR(AC232/X232-1,""),"")</f>
        <v/>
      </c>
      <c r="AD237" s="179">
        <f>IF(AND(ISNUMBER(AD232),ISNUMBER(Y232)),IFERROR(AD232/Y232-1,""),"")</f>
        <v/>
      </c>
      <c r="AE237" s="179">
        <f>IF(AND(ISNUMBER(AE232),ISNUMBER(Z232)),IFERROR(AE232/Z232-1,""),"")</f>
        <v/>
      </c>
      <c r="AF237" s="179">
        <f>IF(AND(ISNUMBER(AF232),ISNUMBER(AA232)),IFERROR(AF232/AA232-1,""),"")</f>
        <v/>
      </c>
      <c r="AG237" s="179">
        <f>IF(AND(ISNUMBER(AG232),ISNUMBER(AB232)),IFERROR(AG232/AB232-1,""),"")</f>
        <v/>
      </c>
      <c r="AH237" s="179">
        <f>IF(AND(ISNUMBER(AH232),ISNUMBER(AC232)),IFERROR(AH232/AC232-1,""),"")</f>
        <v/>
      </c>
      <c r="AI237" s="179">
        <f>IF(AND(ISNUMBER(AI232),ISNUMBER(AD232)),IFERROR(AI232/AD232-1,""),"")</f>
        <v/>
      </c>
      <c r="AJ237" s="179">
        <f>IF(AND(ISNUMBER(AJ232),ISNUMBER(AE232)),IFERROR(AJ232/AE232-1,""),"")</f>
        <v/>
      </c>
      <c r="AK237" s="179">
        <f>IF(AND(ISNUMBER(AK232),ISNUMBER(AF232)),IFERROR(AK232/AF232-1,""),"")</f>
        <v/>
      </c>
      <c r="AL237" s="179">
        <f>IF(AND(ISNUMBER(AL232),ISNUMBER(AG232)),IFERROR(AL232/AG232-1,""),"")</f>
        <v/>
      </c>
      <c r="AM237" s="179">
        <f>IF(AND(ISNUMBER(AM232),ISNUMBER(AH232)),IFERROR(AM232/AH232-1,""),"")</f>
        <v/>
      </c>
      <c r="AN237" s="179">
        <f>IF(AND(ISNUMBER(AN232),ISNUMBER(AI232)),IFERROR(AN232/AI232-1,""),"")</f>
        <v/>
      </c>
      <c r="AO237" s="179">
        <f>IF(AND(ISNUMBER(AO232),ISNUMBER(AJ232)),IFERROR(AO232/AJ232-1,""),"")</f>
        <v/>
      </c>
      <c r="AP237" s="179">
        <f>IF(AND(ISNUMBER(AP232),ISNUMBER(AK232)),IFERROR(AP232/AK232-1,""),"")</f>
        <v/>
      </c>
      <c r="AQ237" s="179">
        <f>IF(AND(ISNUMBER(AQ232),ISNUMBER(AL232)),IFERROR(AQ232/AL232-1,""),"")</f>
        <v/>
      </c>
      <c r="AR237" s="179">
        <f>IF(AND(ISNUMBER(AR232),ISNUMBER(AM232)),IFERROR(AR232/AM232-1,""),"")</f>
        <v/>
      </c>
      <c r="AS237" s="179">
        <f>IF(AND(ISNUMBER(AS232),ISNUMBER(AN232)),IFERROR(AS232/AN232-1,""),"")</f>
        <v/>
      </c>
      <c r="AT237" s="179">
        <f>IF(AND(ISNUMBER(AT232),ISNUMBER(AO232)),IFERROR(AT232/AO232-1,""),"")</f>
        <v/>
      </c>
      <c r="AU237" s="179">
        <f>IF(AND(ISNUMBER(AU232),ISNUMBER(AP232)),IFERROR(AU232/AP232-1,""),"")</f>
        <v/>
      </c>
      <c r="AV237" s="179">
        <f>IF(AND(ISNUMBER(AV232),ISNUMBER(AQ232)),IFERROR(AV232/AQ232-1,""),"")</f>
        <v/>
      </c>
      <c r="AW237" s="179">
        <f>IF(AND(ISNUMBER(AW232),ISNUMBER(AR232)),IFERROR(AW232/AR232-1,""),"")</f>
        <v/>
      </c>
      <c r="AX237" s="179">
        <f>IF(AND(ISNUMBER(AX232),ISNUMBER(AS232)),IFERROR(AX232/AS232-1,""),"")</f>
        <v/>
      </c>
      <c r="AY237" s="179">
        <f>IF(AND(ISNUMBER(AY232),ISNUMBER(AT232)),IFERROR(AY232/AT232-1,""),"")</f>
        <v/>
      </c>
      <c r="AZ237" s="179">
        <f>IF(AND(ISNUMBER(AZ232),ISNUMBER(AU232)),IFERROR(AZ232/AU232-1,""),"")</f>
        <v/>
      </c>
      <c r="BA237" s="179">
        <f>IF(AND(ISNUMBER(BA232),ISNUMBER(AV232)),IFERROR(BA232/AV232-1,""),"")</f>
        <v/>
      </c>
      <c r="BB237" s="179">
        <f>IF(AND(ISNUMBER(BB232),ISNUMBER(AW232)),IFERROR(BB232/AW232-1,""),"")</f>
        <v/>
      </c>
      <c r="BC237" s="179">
        <f>IF(AND(ISNUMBER(BC232),ISNUMBER(AX232)),IFERROR(BC232/AX232-1,""),"")</f>
        <v/>
      </c>
      <c r="BD237" s="179">
        <f>IF(AND(ISNUMBER(BD232),ISNUMBER(AY232)),IFERROR(BD232/AY232-1,""),"")</f>
        <v/>
      </c>
      <c r="BE237" s="179">
        <f>IF(AND(ISNUMBER(BE232),ISNUMBER(AZ232)),IFERROR(BE232/AZ232-1,""),"")</f>
        <v/>
      </c>
      <c r="BF237" s="179">
        <f>IF(AND(ISNUMBER(BF232),ISNUMBER(BA232)),IFERROR(BF232/BA232-1,""),"")</f>
        <v/>
      </c>
      <c r="BG237" s="179">
        <f>IF(AND(ISNUMBER(BG232),ISNUMBER(BB232)),IFERROR(BG232/BB232-1,""),"")</f>
        <v/>
      </c>
      <c r="BH237" s="179">
        <f>IF(AND(ISNUMBER(BH232),ISNUMBER(BC232)),IFERROR(BH232/BC232-1,""),"")</f>
        <v/>
      </c>
      <c r="BI237" s="179">
        <f>IF(AND(ISNUMBER(BI232),ISNUMBER(BD232)),IFERROR(BI232/BD232-1,""),"")</f>
        <v/>
      </c>
      <c r="BJ237" s="179">
        <f>IF(AND(ISNUMBER(BJ232),ISNUMBER(BE232)),IFERROR(BJ232/BE232-1,""),"")</f>
        <v/>
      </c>
      <c r="BK237" s="179">
        <f>IF(AND(ISNUMBER(BK232),ISNUMBER(BF232)),IFERROR(BK232/BF232-1,""),"")</f>
        <v/>
      </c>
      <c r="BL237" s="179">
        <f>IF(AND(ISNUMBER(BL232),ISNUMBER(BG232)),IFERROR(BL232/BG232-1,""),"")</f>
        <v/>
      </c>
      <c r="BM237" s="179">
        <f>IF(AND(ISNUMBER(BM232),ISNUMBER(BH232)),IFERROR(BM232/BH232-1,""),"")</f>
        <v/>
      </c>
      <c r="BN237" s="179">
        <f>IF(AND(ISNUMBER(BN232),ISNUMBER(BI232)),IFERROR(BN232/BI232-1,""),"")</f>
        <v/>
      </c>
      <c r="BO237" s="179">
        <f>IF(AND(ISNUMBER(BO232),ISNUMBER(BJ232)),IFERROR(BO232/BJ232-1,""),"")</f>
        <v/>
      </c>
      <c r="BP237" s="179">
        <f>IF(AND(ISNUMBER(BP232),ISNUMBER(BK232)),IFERROR(BP232/BK232-1,""),"")</f>
        <v/>
      </c>
      <c r="BQ237" s="179">
        <f>IF(AND(ISNUMBER(BQ232),ISNUMBER(BL232)),IFERROR(BQ232/BL232-1,""),"")</f>
        <v/>
      </c>
      <c r="BR237" s="179">
        <f>IF(AND(ISNUMBER(BR232),ISNUMBER(BM232)),IFERROR(BR232/BM232-1,""),"")</f>
        <v/>
      </c>
      <c r="BS237" s="179">
        <f>IF(AND(ISNUMBER(BS232),ISNUMBER(BN232)),IFERROR(BS232/BN232-1,""),"")</f>
        <v/>
      </c>
      <c r="BT237" s="179">
        <f>IF(AND(ISNUMBER(BT232),ISNUMBER(BO232)),IFERROR(BT232/BO232-1,""),"")</f>
        <v/>
      </c>
      <c r="BU237" s="179">
        <f>IF(AND(ISNUMBER(BU232),ISNUMBER(BP232)),IFERROR(BU232/BP232-1,""),"")</f>
        <v/>
      </c>
      <c r="BV237" s="179">
        <f>IF(AND(ISNUMBER(BV232),ISNUMBER(BQ232)),IFERROR(BV232/BQ232-1,""),"")</f>
        <v/>
      </c>
      <c r="BW237" s="179">
        <f>IF(AND(ISNUMBER(BW232),ISNUMBER(BR232)),IFERROR(BW232/BR232-1,""),"")</f>
        <v/>
      </c>
      <c r="BX237" s="179">
        <f>IF(AND(ISNUMBER(BX232),ISNUMBER(BS232)),IFERROR(BX232/BS232-1,""),"")</f>
        <v/>
      </c>
      <c r="BY237" s="180">
        <f>IF(AND(ISNUMBER(BY232),ISNUMBER(BT232)),IFERROR(BY232/BT232-1,""),"")</f>
        <v/>
      </c>
      <c r="BZ237" s="180">
        <f>IF(AND(ISNUMBER(BZ232),ISNUMBER(BU232)),IFERROR(BZ232/BU232-1,""),"")</f>
        <v/>
      </c>
      <c r="CA237" s="180">
        <f>IF(AND(ISNUMBER(CA232),ISNUMBER(BV232)),IFERROR(CA232/BV232-1,""),"")</f>
        <v/>
      </c>
      <c r="CB237" s="180">
        <f>IF(AND(ISNUMBER(CB232),ISNUMBER(CA232)),IFERROR(CB232/CA232-1,""),"")</f>
        <v/>
      </c>
      <c r="CC237" s="180">
        <f>IF(AND(ISNUMBER(CC232),ISNUMBER(CB232)),IFERROR(CC232/CB232-1,""),"")</f>
        <v/>
      </c>
      <c r="CD237" s="180">
        <f>IF(AND(ISNUMBER(CD232),ISNUMBER(CC232)),IFERROR(CD232/CC232-1,""),"")</f>
        <v/>
      </c>
      <c r="CE237" s="180">
        <f>IF(AND(ISNUMBER(CE232),ISNUMBER(CD232)),IFERROR(CE232/CD232-1,""),"")</f>
        <v/>
      </c>
      <c r="CF237" s="6" t="n"/>
    </row>
    <row r="238" ht="15" customHeight="1"/>
    <row r="239" ht="15" customHeight="1">
      <c r="B239" s="11" t="inlineStr">
        <is>
          <t>GROWTH &amp; MARGINS</t>
        </is>
      </c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  <c r="AG239" s="11" t="n"/>
      <c r="AH239" s="11" t="n"/>
      <c r="AI239" s="11" t="n"/>
      <c r="AJ239" s="11" t="n"/>
      <c r="AK239" s="11" t="n"/>
      <c r="AL239" s="11" t="n"/>
      <c r="AM239" s="11" t="n"/>
      <c r="AN239" s="11" t="n"/>
      <c r="AO239" s="11" t="n"/>
      <c r="AP239" s="11" t="n"/>
      <c r="AQ239" s="11" t="n"/>
      <c r="AR239" s="11" t="n"/>
      <c r="AS239" s="11" t="n"/>
      <c r="AT239" s="11" t="n"/>
      <c r="AU239" s="11" t="n"/>
      <c r="AV239" s="11" t="n"/>
      <c r="AW239" s="11" t="n"/>
      <c r="AX239" s="11" t="n"/>
      <c r="AY239" s="11" t="n"/>
      <c r="AZ239" s="11" t="n"/>
      <c r="BA239" s="11" t="n"/>
      <c r="BB239" s="11" t="n"/>
      <c r="BC239" s="11" t="n"/>
      <c r="BD239" s="11" t="n"/>
      <c r="BE239" s="11" t="n"/>
      <c r="BF239" s="11" t="n"/>
      <c r="BG239" s="11" t="n"/>
      <c r="BH239" s="11" t="n"/>
      <c r="BI239" s="11" t="n"/>
      <c r="BJ239" s="11" t="n"/>
      <c r="BK239" s="11" t="n"/>
      <c r="BL239" s="11" t="n"/>
      <c r="BM239" s="11" t="n"/>
      <c r="BN239" s="11" t="n"/>
      <c r="BO239" s="11" t="n"/>
      <c r="BP239" s="11" t="n"/>
      <c r="BQ239" s="11" t="n"/>
      <c r="BR239" s="11" t="n"/>
      <c r="BS239" s="11" t="n"/>
      <c r="BT239" s="11" t="n"/>
      <c r="BU239" s="11" t="n"/>
      <c r="BV239" s="11" t="n"/>
      <c r="BW239" s="11" t="n"/>
      <c r="BX239" s="11" t="n"/>
      <c r="BY239" s="11" t="n"/>
      <c r="BZ239" s="11" t="n"/>
      <c r="CA239" s="11" t="n"/>
      <c r="CB239" s="11" t="n"/>
      <c r="CC239" s="11" t="n"/>
      <c r="CD239" s="11" t="n"/>
      <c r="CE239" s="11" t="n"/>
      <c r="CF239" s="11" t="inlineStr">
        <is>
          <t>GROWTH &amp; MARGINS (consolidated) — forecast outputs</t>
        </is>
      </c>
    </row>
    <row r="240" ht="15" customHeight="1">
      <c r="B240" s="23" t="inlineStr">
        <is>
          <t xml:space="preserve">  Net sales y/y %</t>
        </is>
      </c>
      <c r="D240" s="179">
        <f>IF(AND(ISNUMBER(D142),ISNUMBER(C142)),IFERROR(D142/C142-1,""),"")</f>
        <v/>
      </c>
      <c r="E240" s="179">
        <f>IF(AND(ISNUMBER(E142),ISNUMBER(D142)),IFERROR(E142/D142-1,""),"")</f>
        <v/>
      </c>
      <c r="F240" s="179">
        <f>IF(AND(ISNUMBER(F142),ISNUMBER(E142)),IFERROR(F142/E142-1,""),"")</f>
        <v/>
      </c>
      <c r="G240" s="179">
        <f>IF(AND(ISNUMBER(G142),ISNUMBER(F142)),IFERROR(G142/F142-1,""),"")</f>
        <v/>
      </c>
      <c r="H240" s="179">
        <f>IF(AND(ISNUMBER(H142),ISNUMBER(G142)),IFERROR(H142/G142-1,""),"")</f>
        <v/>
      </c>
      <c r="I240" s="179">
        <f>IF(AND(ISNUMBER(I142),ISNUMBER(H142)),IFERROR(I142/H142-1,""),"")</f>
        <v/>
      </c>
      <c r="N240" s="179">
        <f>IF(AND(ISNUMBER(N142),ISNUMBER(I142)),IFERROR(N142/I142-1,""),"")</f>
        <v/>
      </c>
      <c r="O240" s="179">
        <f>IF(AND(ISNUMBER(O142),ISNUMBER(J142)),IFERROR(O142/J142-1,""),"")</f>
        <v/>
      </c>
      <c r="P240" s="179">
        <f>IF(AND(ISNUMBER(P142),ISNUMBER(K142)),IFERROR(P142/K142-1,""),"")</f>
        <v/>
      </c>
      <c r="Q240" s="179">
        <f>IF(AND(ISNUMBER(Q142),ISNUMBER(L142)),IFERROR(Q142/L142-1,""),"")</f>
        <v/>
      </c>
      <c r="R240" s="179">
        <f>IF(AND(ISNUMBER(R142),ISNUMBER(M142)),IFERROR(R142/M142-1,""),"")</f>
        <v/>
      </c>
      <c r="S240" s="179">
        <f>IF(AND(ISNUMBER(S142),ISNUMBER(N142)),IFERROR(S142/N142-1,""),"")</f>
        <v/>
      </c>
      <c r="T240" s="179">
        <f>IF(AND(ISNUMBER(T142),ISNUMBER(O142)),IFERROR(T142/O142-1,""),"")</f>
        <v/>
      </c>
      <c r="U240" s="179">
        <f>IF(AND(ISNUMBER(U142),ISNUMBER(P142)),IFERROR(U142/P142-1,""),"")</f>
        <v/>
      </c>
      <c r="V240" s="179">
        <f>IF(AND(ISNUMBER(V142),ISNUMBER(Q142)),IFERROR(V142/Q142-1,""),"")</f>
        <v/>
      </c>
      <c r="W240" s="179">
        <f>IF(AND(ISNUMBER(W142),ISNUMBER(R142)),IFERROR(W142/R142-1,""),"")</f>
        <v/>
      </c>
      <c r="X240" s="179">
        <f>IF(AND(ISNUMBER(X142),ISNUMBER(S142)),IFERROR(X142/S142-1,""),"")</f>
        <v/>
      </c>
      <c r="Y240" s="179">
        <f>IF(AND(ISNUMBER(Y142),ISNUMBER(T142)),IFERROR(Y142/T142-1,""),"")</f>
        <v/>
      </c>
      <c r="Z240" s="179">
        <f>IF(AND(ISNUMBER(Z142),ISNUMBER(U142)),IFERROR(Z142/U142-1,""),"")</f>
        <v/>
      </c>
      <c r="AA240" s="179">
        <f>IF(AND(ISNUMBER(AA142),ISNUMBER(V142)),IFERROR(AA142/V142-1,""),"")</f>
        <v/>
      </c>
      <c r="AB240" s="179">
        <f>IF(AND(ISNUMBER(AB142),ISNUMBER(W142)),IFERROR(AB142/W142-1,""),"")</f>
        <v/>
      </c>
      <c r="AC240" s="179">
        <f>IF(AND(ISNUMBER(AC142),ISNUMBER(X142)),IFERROR(AC142/X142-1,""),"")</f>
        <v/>
      </c>
      <c r="AD240" s="179">
        <f>IF(AND(ISNUMBER(AD142),ISNUMBER(Y142)),IFERROR(AD142/Y142-1,""),"")</f>
        <v/>
      </c>
      <c r="AE240" s="179">
        <f>IF(AND(ISNUMBER(AE142),ISNUMBER(Z142)),IFERROR(AE142/Z142-1,""),"")</f>
        <v/>
      </c>
      <c r="AF240" s="179">
        <f>IF(AND(ISNUMBER(AF142),ISNUMBER(AA142)),IFERROR(AF142/AA142-1,""),"")</f>
        <v/>
      </c>
      <c r="AG240" s="179">
        <f>IF(AND(ISNUMBER(AG142),ISNUMBER(AB142)),IFERROR(AG142/AB142-1,""),"")</f>
        <v/>
      </c>
      <c r="AH240" s="179">
        <f>IF(AND(ISNUMBER(AH142),ISNUMBER(AC142)),IFERROR(AH142/AC142-1,""),"")</f>
        <v/>
      </c>
      <c r="AI240" s="179">
        <f>IF(AND(ISNUMBER(AI142),ISNUMBER(AD142)),IFERROR(AI142/AD142-1,""),"")</f>
        <v/>
      </c>
      <c r="AJ240" s="179">
        <f>IF(AND(ISNUMBER(AJ142),ISNUMBER(AE142)),IFERROR(AJ142/AE142-1,""),"")</f>
        <v/>
      </c>
      <c r="AK240" s="179">
        <f>IF(AND(ISNUMBER(AK142),ISNUMBER(AF142)),IFERROR(AK142/AF142-1,""),"")</f>
        <v/>
      </c>
      <c r="AL240" s="179">
        <f>IF(AND(ISNUMBER(AL142),ISNUMBER(AG142)),IFERROR(AL142/AG142-1,""),"")</f>
        <v/>
      </c>
      <c r="AM240" s="179">
        <f>IF(AND(ISNUMBER(AM142),ISNUMBER(AH142)),IFERROR(AM142/AH142-1,""),"")</f>
        <v/>
      </c>
      <c r="AN240" s="179">
        <f>IF(AND(ISNUMBER(AN142),ISNUMBER(AI142)),IFERROR(AN142/AI142-1,""),"")</f>
        <v/>
      </c>
      <c r="AO240" s="179">
        <f>IF(AND(ISNUMBER(AO142),ISNUMBER(AJ142)),IFERROR(AO142/AJ142-1,""),"")</f>
        <v/>
      </c>
      <c r="AP240" s="179">
        <f>IF(AND(ISNUMBER(AP142),ISNUMBER(AK142)),IFERROR(AP142/AK142-1,""),"")</f>
        <v/>
      </c>
      <c r="AQ240" s="179">
        <f>IF(AND(ISNUMBER(AQ142),ISNUMBER(AL142)),IFERROR(AQ142/AL142-1,""),"")</f>
        <v/>
      </c>
      <c r="AR240" s="179">
        <f>IF(AND(ISNUMBER(AR142),ISNUMBER(AM142)),IFERROR(AR142/AM142-1,""),"")</f>
        <v/>
      </c>
      <c r="AS240" s="179">
        <f>IF(AND(ISNUMBER(AS142),ISNUMBER(AN142)),IFERROR(AS142/AN142-1,""),"")</f>
        <v/>
      </c>
      <c r="AT240" s="179">
        <f>IF(AND(ISNUMBER(AT142),ISNUMBER(AO142)),IFERROR(AT142/AO142-1,""),"")</f>
        <v/>
      </c>
      <c r="AU240" s="179">
        <f>IF(AND(ISNUMBER(AU142),ISNUMBER(AP142)),IFERROR(AU142/AP142-1,""),"")</f>
        <v/>
      </c>
      <c r="AV240" s="179">
        <f>IF(AND(ISNUMBER(AV142),ISNUMBER(AQ142)),IFERROR(AV142/AQ142-1,""),"")</f>
        <v/>
      </c>
      <c r="AW240" s="179">
        <f>IF(AND(ISNUMBER(AW142),ISNUMBER(AR142)),IFERROR(AW142/AR142-1,""),"")</f>
        <v/>
      </c>
      <c r="AX240" s="179">
        <f>IF(AND(ISNUMBER(AX142),ISNUMBER(AS142)),IFERROR(AX142/AS142-1,""),"")</f>
        <v/>
      </c>
      <c r="AY240" s="179">
        <f>IF(AND(ISNUMBER(AY142),ISNUMBER(AT142)),IFERROR(AY142/AT142-1,""),"")</f>
        <v/>
      </c>
      <c r="AZ240" s="179">
        <f>IF(AND(ISNUMBER(AZ142),ISNUMBER(AU142)),IFERROR(AZ142/AU142-1,""),"")</f>
        <v/>
      </c>
      <c r="BA240" s="179">
        <f>IF(AND(ISNUMBER(BA142),ISNUMBER(AV142)),IFERROR(BA142/AV142-1,""),"")</f>
        <v/>
      </c>
      <c r="BB240" s="179">
        <f>IF(AND(ISNUMBER(BB142),ISNUMBER(AW142)),IFERROR(BB142/AW142-1,""),"")</f>
        <v/>
      </c>
      <c r="BC240" s="179">
        <f>IF(AND(ISNUMBER(BC142),ISNUMBER(AX142)),IFERROR(BC142/AX142-1,""),"")</f>
        <v/>
      </c>
      <c r="BD240" s="179">
        <f>IF(AND(ISNUMBER(BD142),ISNUMBER(AY142)),IFERROR(BD142/AY142-1,""),"")</f>
        <v/>
      </c>
      <c r="BE240" s="179">
        <f>IF(AND(ISNUMBER(BE142),ISNUMBER(AZ142)),IFERROR(BE142/AZ142-1,""),"")</f>
        <v/>
      </c>
      <c r="BF240" s="179">
        <f>IF(AND(ISNUMBER(BF142),ISNUMBER(BA142)),IFERROR(BF142/BA142-1,""),"")</f>
        <v/>
      </c>
      <c r="BG240" s="179">
        <f>IF(AND(ISNUMBER(BG142),ISNUMBER(BB142)),IFERROR(BG142/BB142-1,""),"")</f>
        <v/>
      </c>
      <c r="BH240" s="179">
        <f>IF(AND(ISNUMBER(BH142),ISNUMBER(BC142)),IFERROR(BH142/BC142-1,""),"")</f>
        <v/>
      </c>
      <c r="BI240" s="179">
        <f>IF(AND(ISNUMBER(BI142),ISNUMBER(BD142)),IFERROR(BI142/BD142-1,""),"")</f>
        <v/>
      </c>
      <c r="BJ240" s="179">
        <f>IF(AND(ISNUMBER(BJ142),ISNUMBER(BE142)),IFERROR(BJ142/BE142-1,""),"")</f>
        <v/>
      </c>
      <c r="BK240" s="179">
        <f>IF(AND(ISNUMBER(BK142),ISNUMBER(BF142)),IFERROR(BK142/BF142-1,""),"")</f>
        <v/>
      </c>
      <c r="BL240" s="179">
        <f>IF(AND(ISNUMBER(BL142),ISNUMBER(BG142)),IFERROR(BL142/BG142-1,""),"")</f>
        <v/>
      </c>
      <c r="BM240" s="179">
        <f>IF(AND(ISNUMBER(BM142),ISNUMBER(BH142)),IFERROR(BM142/BH142-1,""),"")</f>
        <v/>
      </c>
      <c r="BN240" s="179">
        <f>IF(AND(ISNUMBER(BN142),ISNUMBER(BI142)),IFERROR(BN142/BI142-1,""),"")</f>
        <v/>
      </c>
      <c r="BO240" s="179">
        <f>IF(AND(ISNUMBER(BO142),ISNUMBER(BJ142)),IFERROR(BO142/BJ142-1,""),"")</f>
        <v/>
      </c>
      <c r="BP240" s="179">
        <f>IF(AND(ISNUMBER(BP142),ISNUMBER(BK142)),IFERROR(BP142/BK142-1,""),"")</f>
        <v/>
      </c>
      <c r="BQ240" s="179">
        <f>IF(AND(ISNUMBER(BQ142),ISNUMBER(BL142)),IFERROR(BQ142/BL142-1,""),"")</f>
        <v/>
      </c>
      <c r="BR240" s="179">
        <f>IF(AND(ISNUMBER(BR142),ISNUMBER(BM142)),IFERROR(BR142/BM142-1,""),"")</f>
        <v/>
      </c>
      <c r="BS240" s="179">
        <f>IF(AND(ISNUMBER(BS142),ISNUMBER(BN142)),IFERROR(BS142/BN142-1,""),"")</f>
        <v/>
      </c>
      <c r="BT240" s="179">
        <f>IF(AND(ISNUMBER(BT142),ISNUMBER(BO142)),IFERROR(BT142/BO142-1,""),"")</f>
        <v/>
      </c>
      <c r="BU240" s="179">
        <f>IF(AND(ISNUMBER(BU142),ISNUMBER(BP142)),IFERROR(BU142/BP142-1,""),"")</f>
        <v/>
      </c>
      <c r="BV240" s="179">
        <f>IF(AND(ISNUMBER(BV142),ISNUMBER(BQ142)),IFERROR(BV142/BQ142-1,""),"")</f>
        <v/>
      </c>
      <c r="BW240" s="179">
        <f>IF(AND(ISNUMBER(BW142),ISNUMBER(BR142)),IFERROR(BW142/BR142-1,""),"")</f>
        <v/>
      </c>
      <c r="BX240" s="179">
        <f>IF(AND(ISNUMBER(BX142),ISNUMBER(BS142)),IFERROR(BX142/BS142-1,""),"")</f>
        <v/>
      </c>
      <c r="BY240" s="180">
        <f>IF(AND(ISNUMBER(BY142),ISNUMBER(BT142)),IFERROR(BY142/BT142-1,""),"")</f>
        <v/>
      </c>
      <c r="BZ240" s="180">
        <f>IF(AND(ISNUMBER(BZ142),ISNUMBER(BU142)),IFERROR(BZ142/BU142-1,""),"")</f>
        <v/>
      </c>
      <c r="CA240" s="180">
        <f>IF(AND(ISNUMBER(CA142),ISNUMBER(BV142)),IFERROR(CA142/BV142-1,""),"")</f>
        <v/>
      </c>
      <c r="CB240" s="180">
        <f>IF(AND(ISNUMBER(CB142),ISNUMBER(CA142)),IFERROR(CB142/CA142-1,""),"")</f>
        <v/>
      </c>
      <c r="CC240" s="180">
        <f>IF(AND(ISNUMBER(CC142),ISNUMBER(CB142)),IFERROR(CC142/CB142-1,""),"")</f>
        <v/>
      </c>
      <c r="CD240" s="180">
        <f>IF(AND(ISNUMBER(CD142),ISNUMBER(CC142)),IFERROR(CD142/CC142-1,""),"")</f>
        <v/>
      </c>
      <c r="CE240" s="180">
        <f>IF(AND(ISNUMBER(CE142),ISNUMBER(CD142)),IFERROR(CE142/CD142-1,""),"")</f>
        <v/>
      </c>
      <c r="CF240" s="6" t="n"/>
      <c r="CH240" s="39">
        <f>IFERROR(AVERAGE(CA240,CB240,CC240,CD240,CE240),"n/m")</f>
        <v/>
      </c>
      <c r="CI240" s="39">
        <f>IFERROR(AVERAGE(BB240,BG240,BL240,BQ240,BV240),"n/m")</f>
        <v/>
      </c>
      <c r="CJ240" s="39">
        <f>IFERROR(AVERAGE(AC240,AH240,AM240,AR240,AW240,BB240,BG240,BL240,BQ240,BV240),"n/m")</f>
        <v/>
      </c>
      <c r="CK240" s="39">
        <f>IFERROR(AVERAGE(C240,D240,E240,F240,G240,H240,I240,N240,S240,X240,AC240,AH240,AM240,AR240,AW240,BB240,BG240,BL240,BQ240,BV240),"n/m")</f>
        <v/>
      </c>
    </row>
    <row r="241" ht="15" customHeight="1">
      <c r="B241" s="23" t="inlineStr">
        <is>
          <t xml:space="preserve">  Organic sales growth %</t>
        </is>
      </c>
      <c r="D241" s="179">
        <f>D71</f>
        <v/>
      </c>
      <c r="E241" s="179">
        <f>E71</f>
        <v/>
      </c>
      <c r="F241" s="179">
        <f>F71</f>
        <v/>
      </c>
      <c r="G241" s="179">
        <f>G71</f>
        <v/>
      </c>
      <c r="H241" s="179">
        <f>H71</f>
        <v/>
      </c>
      <c r="I241" s="179">
        <f>I71</f>
        <v/>
      </c>
      <c r="N241" s="179">
        <f>N71</f>
        <v/>
      </c>
      <c r="O241" s="179">
        <f>O71</f>
        <v/>
      </c>
      <c r="P241" s="179">
        <f>P71</f>
        <v/>
      </c>
      <c r="Q241" s="179">
        <f>Q71</f>
        <v/>
      </c>
      <c r="R241" s="179">
        <f>R71</f>
        <v/>
      </c>
      <c r="S241" s="179">
        <f>S71</f>
        <v/>
      </c>
      <c r="T241" s="179">
        <f>T71</f>
        <v/>
      </c>
      <c r="U241" s="179">
        <f>U71</f>
        <v/>
      </c>
      <c r="V241" s="179">
        <f>V71</f>
        <v/>
      </c>
      <c r="W241" s="179">
        <f>W71</f>
        <v/>
      </c>
      <c r="X241" s="179">
        <f>X71</f>
        <v/>
      </c>
      <c r="Y241" s="179">
        <f>Y71</f>
        <v/>
      </c>
      <c r="Z241" s="179">
        <f>Z71</f>
        <v/>
      </c>
      <c r="AA241" s="179">
        <f>AA71</f>
        <v/>
      </c>
      <c r="AB241" s="179">
        <f>AB71</f>
        <v/>
      </c>
      <c r="AC241" s="179">
        <f>AC71</f>
        <v/>
      </c>
      <c r="AD241" s="179">
        <f>AD71</f>
        <v/>
      </c>
      <c r="AE241" s="179">
        <f>AE71</f>
        <v/>
      </c>
      <c r="AF241" s="179">
        <f>AF71</f>
        <v/>
      </c>
      <c r="AG241" s="179">
        <f>AG71</f>
        <v/>
      </c>
      <c r="AH241" s="179">
        <f>AH71</f>
        <v/>
      </c>
      <c r="AI241" s="179">
        <f>AI71</f>
        <v/>
      </c>
      <c r="AJ241" s="179">
        <f>AJ71</f>
        <v/>
      </c>
      <c r="AK241" s="179">
        <f>AK71</f>
        <v/>
      </c>
      <c r="AL241" s="179">
        <f>AL71</f>
        <v/>
      </c>
      <c r="AM241" s="179">
        <f>AM71</f>
        <v/>
      </c>
      <c r="AN241" s="179">
        <f>AN71</f>
        <v/>
      </c>
      <c r="AO241" s="179">
        <f>AO71</f>
        <v/>
      </c>
      <c r="AP241" s="179">
        <f>AP71</f>
        <v/>
      </c>
      <c r="AQ241" s="179">
        <f>AQ71</f>
        <v/>
      </c>
      <c r="AR241" s="179">
        <f>AR71</f>
        <v/>
      </c>
      <c r="AS241" s="179">
        <f>AS71</f>
        <v/>
      </c>
      <c r="AT241" s="179">
        <f>AT71</f>
        <v/>
      </c>
      <c r="AU241" s="179">
        <f>AU71</f>
        <v/>
      </c>
      <c r="AV241" s="179">
        <f>AV71</f>
        <v/>
      </c>
      <c r="AW241" s="179">
        <f>AW71</f>
        <v/>
      </c>
      <c r="AX241" s="179">
        <f>AX71</f>
        <v/>
      </c>
      <c r="AY241" s="179">
        <f>AY71</f>
        <v/>
      </c>
      <c r="AZ241" s="179">
        <f>AZ71</f>
        <v/>
      </c>
      <c r="BA241" s="179">
        <f>BA71</f>
        <v/>
      </c>
      <c r="BB241" s="179">
        <f>BB71</f>
        <v/>
      </c>
      <c r="BC241" s="179">
        <f>BC71</f>
        <v/>
      </c>
      <c r="BD241" s="179">
        <f>BD71</f>
        <v/>
      </c>
      <c r="BE241" s="179">
        <f>BE71</f>
        <v/>
      </c>
      <c r="BF241" s="179">
        <f>BF71</f>
        <v/>
      </c>
      <c r="BG241" s="179">
        <f>BG71</f>
        <v/>
      </c>
      <c r="BH241" s="179">
        <f>BH71</f>
        <v/>
      </c>
      <c r="BI241" s="179">
        <f>BI71</f>
        <v/>
      </c>
      <c r="BJ241" s="179">
        <f>BJ71</f>
        <v/>
      </c>
      <c r="BK241" s="179">
        <f>BK71</f>
        <v/>
      </c>
      <c r="BL241" s="179">
        <f>BL71</f>
        <v/>
      </c>
      <c r="BM241" s="179">
        <f>BM71</f>
        <v/>
      </c>
      <c r="BN241" s="179">
        <f>BN71</f>
        <v/>
      </c>
      <c r="BO241" s="179">
        <f>BO71</f>
        <v/>
      </c>
      <c r="BP241" s="179">
        <f>BP71</f>
        <v/>
      </c>
      <c r="BQ241" s="179">
        <f>BQ71</f>
        <v/>
      </c>
      <c r="BR241" s="179">
        <f>BR71</f>
        <v/>
      </c>
      <c r="BS241" s="179">
        <f>BS71</f>
        <v/>
      </c>
      <c r="BT241" s="179">
        <f>BT71</f>
        <v/>
      </c>
      <c r="BU241" s="179">
        <f>BU71</f>
        <v/>
      </c>
      <c r="BV241" s="179">
        <f>BV71</f>
        <v/>
      </c>
      <c r="BW241" s="179">
        <f>BW71</f>
        <v/>
      </c>
      <c r="BX241" s="179">
        <f>BX71</f>
        <v/>
      </c>
      <c r="BY241" s="180">
        <f>BY71</f>
        <v/>
      </c>
      <c r="BZ241" s="180">
        <f>BZ71</f>
        <v/>
      </c>
      <c r="CA241" s="180">
        <f>CA71</f>
        <v/>
      </c>
      <c r="CB241" s="180">
        <f>CB71</f>
        <v/>
      </c>
      <c r="CC241" s="180">
        <f>CC71</f>
        <v/>
      </c>
      <c r="CD241" s="180">
        <f>CD71</f>
        <v/>
      </c>
      <c r="CE241" s="180">
        <f>CE71</f>
        <v/>
      </c>
      <c r="CF241" s="6" t="n"/>
      <c r="CH241" s="39">
        <f>IFERROR(AVERAGE(CA241,CB241,CC241,CD241,CE241),"n/m")</f>
        <v/>
      </c>
      <c r="CI241" s="39">
        <f>IFERROR(AVERAGE(BB241,BG241,BL241,BQ241,BV241),"n/m")</f>
        <v/>
      </c>
      <c r="CJ241" s="39">
        <f>IFERROR(AVERAGE(AC241,AH241,AM241,AR241,AW241,BB241,BG241,BL241,BQ241,BV241),"n/m")</f>
        <v/>
      </c>
      <c r="CK241" s="39">
        <f>IFERROR(AVERAGE(C241,D241,E241,F241,G241,H241,I241,N241,S241,X241,AC241,AH241,AM241,AR241,AW241,BB241,BG241,BL241,BQ241,BV241),"n/m")</f>
        <v/>
      </c>
    </row>
    <row r="242" ht="15" customHeight="1">
      <c r="B242" s="23" t="inlineStr">
        <is>
          <t xml:space="preserve">  Freight segment sales y/y %</t>
        </is>
      </c>
      <c r="D242" s="179">
        <f>D28</f>
        <v/>
      </c>
      <c r="E242" s="179">
        <f>E28</f>
        <v/>
      </c>
      <c r="F242" s="179">
        <f>F28</f>
        <v/>
      </c>
      <c r="G242" s="179">
        <f>G28</f>
        <v/>
      </c>
      <c r="H242" s="179">
        <f>H28</f>
        <v/>
      </c>
      <c r="I242" s="179">
        <f>I28</f>
        <v/>
      </c>
      <c r="N242" s="179">
        <f>N28</f>
        <v/>
      </c>
      <c r="O242" s="179">
        <f>O28</f>
        <v/>
      </c>
      <c r="P242" s="179">
        <f>P28</f>
        <v/>
      </c>
      <c r="Q242" s="179">
        <f>Q28</f>
        <v/>
      </c>
      <c r="R242" s="179">
        <f>R28</f>
        <v/>
      </c>
      <c r="S242" s="179">
        <f>S28</f>
        <v/>
      </c>
      <c r="T242" s="179">
        <f>T28</f>
        <v/>
      </c>
      <c r="U242" s="179">
        <f>U28</f>
        <v/>
      </c>
      <c r="V242" s="179">
        <f>V28</f>
        <v/>
      </c>
      <c r="W242" s="179">
        <f>W28</f>
        <v/>
      </c>
      <c r="X242" s="179">
        <f>X28</f>
        <v/>
      </c>
      <c r="Y242" s="179">
        <f>Y28</f>
        <v/>
      </c>
      <c r="Z242" s="179">
        <f>Z28</f>
        <v/>
      </c>
      <c r="AA242" s="179">
        <f>AA28</f>
        <v/>
      </c>
      <c r="AB242" s="179">
        <f>AB28</f>
        <v/>
      </c>
      <c r="AC242" s="179">
        <f>AC28</f>
        <v/>
      </c>
      <c r="AD242" s="179">
        <f>AD28</f>
        <v/>
      </c>
      <c r="AE242" s="179">
        <f>AE28</f>
        <v/>
      </c>
      <c r="AF242" s="179">
        <f>AF28</f>
        <v/>
      </c>
      <c r="AG242" s="179">
        <f>AG28</f>
        <v/>
      </c>
      <c r="AH242" s="179">
        <f>AH28</f>
        <v/>
      </c>
      <c r="AI242" s="179">
        <f>AI28</f>
        <v/>
      </c>
      <c r="AJ242" s="179">
        <f>AJ28</f>
        <v/>
      </c>
      <c r="AK242" s="179">
        <f>AK28</f>
        <v/>
      </c>
      <c r="AL242" s="179">
        <f>AL28</f>
        <v/>
      </c>
      <c r="AM242" s="179">
        <f>AM28</f>
        <v/>
      </c>
      <c r="AN242" s="179">
        <f>AN28</f>
        <v/>
      </c>
      <c r="AO242" s="179">
        <f>AO28</f>
        <v/>
      </c>
      <c r="AP242" s="179">
        <f>AP28</f>
        <v/>
      </c>
      <c r="AQ242" s="179">
        <f>AQ28</f>
        <v/>
      </c>
      <c r="AR242" s="179">
        <f>AR28</f>
        <v/>
      </c>
      <c r="AS242" s="179">
        <f>AS28</f>
        <v/>
      </c>
      <c r="AT242" s="179">
        <f>AT28</f>
        <v/>
      </c>
      <c r="AU242" s="179">
        <f>AU28</f>
        <v/>
      </c>
      <c r="AV242" s="179">
        <f>AV28</f>
        <v/>
      </c>
      <c r="AW242" s="179">
        <f>AW28</f>
        <v/>
      </c>
      <c r="AX242" s="179">
        <f>AX28</f>
        <v/>
      </c>
      <c r="AY242" s="179">
        <f>AY28</f>
        <v/>
      </c>
      <c r="AZ242" s="179">
        <f>AZ28</f>
        <v/>
      </c>
      <c r="BA242" s="179">
        <f>BA28</f>
        <v/>
      </c>
      <c r="BB242" s="179">
        <f>BB28</f>
        <v/>
      </c>
      <c r="BC242" s="179">
        <f>BC28</f>
        <v/>
      </c>
      <c r="BD242" s="179">
        <f>BD28</f>
        <v/>
      </c>
      <c r="BE242" s="179">
        <f>BE28</f>
        <v/>
      </c>
      <c r="BF242" s="179">
        <f>BF28</f>
        <v/>
      </c>
      <c r="BG242" s="179">
        <f>BG28</f>
        <v/>
      </c>
      <c r="BH242" s="179">
        <f>BH28</f>
        <v/>
      </c>
      <c r="BI242" s="179">
        <f>BI28</f>
        <v/>
      </c>
      <c r="BJ242" s="179">
        <f>BJ28</f>
        <v/>
      </c>
      <c r="BK242" s="179">
        <f>BK28</f>
        <v/>
      </c>
      <c r="BL242" s="179">
        <f>BL28</f>
        <v/>
      </c>
      <c r="BM242" s="179">
        <f>BM28</f>
        <v/>
      </c>
      <c r="BN242" s="179">
        <f>BN28</f>
        <v/>
      </c>
      <c r="BO242" s="179">
        <f>BO28</f>
        <v/>
      </c>
      <c r="BP242" s="179">
        <f>BP28</f>
        <v/>
      </c>
      <c r="BQ242" s="179">
        <f>BQ28</f>
        <v/>
      </c>
      <c r="BR242" s="179">
        <f>BR28</f>
        <v/>
      </c>
      <c r="BS242" s="179">
        <f>BS28</f>
        <v/>
      </c>
      <c r="BT242" s="179">
        <f>BT28</f>
        <v/>
      </c>
      <c r="BU242" s="179">
        <f>BU28</f>
        <v/>
      </c>
      <c r="BV242" s="179">
        <f>BV28</f>
        <v/>
      </c>
      <c r="BW242" s="179">
        <f>BW28</f>
        <v/>
      </c>
      <c r="BX242" s="179">
        <f>BX28</f>
        <v/>
      </c>
      <c r="BY242" s="180">
        <f>BY28</f>
        <v/>
      </c>
      <c r="BZ242" s="180">
        <f>BZ28</f>
        <v/>
      </c>
      <c r="CA242" s="180">
        <f>CA28</f>
        <v/>
      </c>
      <c r="CB242" s="180">
        <f>CB28</f>
        <v/>
      </c>
      <c r="CC242" s="180">
        <f>CC28</f>
        <v/>
      </c>
      <c r="CD242" s="180">
        <f>CD28</f>
        <v/>
      </c>
      <c r="CE242" s="180">
        <f>CE28</f>
        <v/>
      </c>
      <c r="CF242" s="6" t="n"/>
      <c r="CH242" s="39">
        <f>IFERROR(AVERAGE(CA242,CB242,CC242,CD242,CE242),"n/m")</f>
        <v/>
      </c>
      <c r="CI242" s="39">
        <f>IFERROR(AVERAGE(BB242,BG242,BL242,BQ242,BV242),"n/m")</f>
        <v/>
      </c>
      <c r="CJ242" s="39">
        <f>IFERROR(AVERAGE(AC242,AH242,AM242,AR242,AW242,BB242,BG242,BL242,BQ242,BV242),"n/m")</f>
        <v/>
      </c>
      <c r="CK242" s="39">
        <f>IFERROR(AVERAGE(C242,D242,E242,F242,G242,H242,I242,N242,S242,X242,AC242,AH242,AM242,AR242,AW242,BB242,BG242,BL242,BQ242,BV242),"n/m")</f>
        <v/>
      </c>
    </row>
    <row r="243" ht="15" customHeight="1">
      <c r="B243" s="23" t="inlineStr">
        <is>
          <t xml:space="preserve">  Transit segment sales y/y %</t>
        </is>
      </c>
      <c r="D243" s="179">
        <f>D52</f>
        <v/>
      </c>
      <c r="E243" s="179">
        <f>E52</f>
        <v/>
      </c>
      <c r="F243" s="179">
        <f>F52</f>
        <v/>
      </c>
      <c r="G243" s="179">
        <f>G52</f>
        <v/>
      </c>
      <c r="H243" s="179">
        <f>H52</f>
        <v/>
      </c>
      <c r="I243" s="179">
        <f>I52</f>
        <v/>
      </c>
      <c r="N243" s="179">
        <f>N52</f>
        <v/>
      </c>
      <c r="O243" s="179">
        <f>O52</f>
        <v/>
      </c>
      <c r="P243" s="179">
        <f>P52</f>
        <v/>
      </c>
      <c r="Q243" s="179">
        <f>Q52</f>
        <v/>
      </c>
      <c r="R243" s="179">
        <f>R52</f>
        <v/>
      </c>
      <c r="S243" s="179">
        <f>S52</f>
        <v/>
      </c>
      <c r="T243" s="179">
        <f>T52</f>
        <v/>
      </c>
      <c r="U243" s="179">
        <f>U52</f>
        <v/>
      </c>
      <c r="V243" s="179">
        <f>V52</f>
        <v/>
      </c>
      <c r="W243" s="179">
        <f>W52</f>
        <v/>
      </c>
      <c r="X243" s="179">
        <f>X52</f>
        <v/>
      </c>
      <c r="Y243" s="179">
        <f>Y52</f>
        <v/>
      </c>
      <c r="Z243" s="179">
        <f>Z52</f>
        <v/>
      </c>
      <c r="AA243" s="179">
        <f>AA52</f>
        <v/>
      </c>
      <c r="AB243" s="179">
        <f>AB52</f>
        <v/>
      </c>
      <c r="AC243" s="179">
        <f>AC52</f>
        <v/>
      </c>
      <c r="AD243" s="179">
        <f>AD52</f>
        <v/>
      </c>
      <c r="AE243" s="179">
        <f>AE52</f>
        <v/>
      </c>
      <c r="AF243" s="179">
        <f>AF52</f>
        <v/>
      </c>
      <c r="AG243" s="179">
        <f>AG52</f>
        <v/>
      </c>
      <c r="AH243" s="179">
        <f>AH52</f>
        <v/>
      </c>
      <c r="AI243" s="179">
        <f>AI52</f>
        <v/>
      </c>
      <c r="AJ243" s="179">
        <f>AJ52</f>
        <v/>
      </c>
      <c r="AK243" s="179">
        <f>AK52</f>
        <v/>
      </c>
      <c r="AL243" s="179">
        <f>AL52</f>
        <v/>
      </c>
      <c r="AM243" s="179">
        <f>AM52</f>
        <v/>
      </c>
      <c r="AN243" s="179">
        <f>AN52</f>
        <v/>
      </c>
      <c r="AO243" s="179">
        <f>AO52</f>
        <v/>
      </c>
      <c r="AP243" s="179">
        <f>AP52</f>
        <v/>
      </c>
      <c r="AQ243" s="179">
        <f>AQ52</f>
        <v/>
      </c>
      <c r="AR243" s="179">
        <f>AR52</f>
        <v/>
      </c>
      <c r="AS243" s="179">
        <f>AS52</f>
        <v/>
      </c>
      <c r="AT243" s="179">
        <f>AT52</f>
        <v/>
      </c>
      <c r="AU243" s="179">
        <f>AU52</f>
        <v/>
      </c>
      <c r="AV243" s="179">
        <f>AV52</f>
        <v/>
      </c>
      <c r="AW243" s="179">
        <f>AW52</f>
        <v/>
      </c>
      <c r="AX243" s="179">
        <f>AX52</f>
        <v/>
      </c>
      <c r="AY243" s="179">
        <f>AY52</f>
        <v/>
      </c>
      <c r="AZ243" s="179">
        <f>AZ52</f>
        <v/>
      </c>
      <c r="BA243" s="179">
        <f>BA52</f>
        <v/>
      </c>
      <c r="BB243" s="179">
        <f>BB52</f>
        <v/>
      </c>
      <c r="BC243" s="179">
        <f>BC52</f>
        <v/>
      </c>
      <c r="BD243" s="179">
        <f>BD52</f>
        <v/>
      </c>
      <c r="BE243" s="179">
        <f>BE52</f>
        <v/>
      </c>
      <c r="BF243" s="179">
        <f>BF52</f>
        <v/>
      </c>
      <c r="BG243" s="179">
        <f>BG52</f>
        <v/>
      </c>
      <c r="BH243" s="179">
        <f>BH52</f>
        <v/>
      </c>
      <c r="BI243" s="179">
        <f>BI52</f>
        <v/>
      </c>
      <c r="BJ243" s="179">
        <f>BJ52</f>
        <v/>
      </c>
      <c r="BK243" s="179">
        <f>BK52</f>
        <v/>
      </c>
      <c r="BL243" s="179">
        <f>BL52</f>
        <v/>
      </c>
      <c r="BM243" s="179">
        <f>BM52</f>
        <v/>
      </c>
      <c r="BN243" s="179">
        <f>BN52</f>
        <v/>
      </c>
      <c r="BO243" s="179">
        <f>BO52</f>
        <v/>
      </c>
      <c r="BP243" s="179">
        <f>BP52</f>
        <v/>
      </c>
      <c r="BQ243" s="179">
        <f>BQ52</f>
        <v/>
      </c>
      <c r="BR243" s="179">
        <f>BR52</f>
        <v/>
      </c>
      <c r="BS243" s="179">
        <f>BS52</f>
        <v/>
      </c>
      <c r="BT243" s="179">
        <f>BT52</f>
        <v/>
      </c>
      <c r="BU243" s="179">
        <f>BU52</f>
        <v/>
      </c>
      <c r="BV243" s="179">
        <f>BV52</f>
        <v/>
      </c>
      <c r="BW243" s="179">
        <f>BW52</f>
        <v/>
      </c>
      <c r="BX243" s="179">
        <f>BX52</f>
        <v/>
      </c>
      <c r="BY243" s="180">
        <f>BY52</f>
        <v/>
      </c>
      <c r="BZ243" s="180">
        <f>BZ52</f>
        <v/>
      </c>
      <c r="CA243" s="180">
        <f>CA52</f>
        <v/>
      </c>
      <c r="CB243" s="180">
        <f>CB52</f>
        <v/>
      </c>
      <c r="CC243" s="180">
        <f>CC52</f>
        <v/>
      </c>
      <c r="CD243" s="180">
        <f>CD52</f>
        <v/>
      </c>
      <c r="CE243" s="180">
        <f>CE52</f>
        <v/>
      </c>
      <c r="CF243" s="6" t="n"/>
      <c r="CH243" s="39">
        <f>IFERROR(AVERAGE(CA243,CB243,CC243,CD243,CE243),"n/m")</f>
        <v/>
      </c>
      <c r="CI243" s="39">
        <f>IFERROR(AVERAGE(BB243,BG243,BL243,BQ243,BV243),"n/m")</f>
        <v/>
      </c>
      <c r="CJ243" s="39">
        <f>IFERROR(AVERAGE(AC243,AH243,AM243,AR243,AW243,BB243,BG243,BL243,BQ243,BV243),"n/m")</f>
        <v/>
      </c>
      <c r="CK243" s="39">
        <f>IFERROR(AVERAGE(C243,D243,E243,F243,G243,H243,I243,N243,S243,X243,AC243,AH243,AM243,AR243,AW243,BB243,BG243,BL243,BQ243,BV243),"n/m")</f>
        <v/>
      </c>
    </row>
    <row r="244" ht="15" customHeight="1">
      <c r="B244" s="23" t="inlineStr">
        <is>
          <t xml:space="preserve">  Adjusted income from operations y/y %</t>
        </is>
      </c>
      <c r="D244" s="179">
        <f>IF(AND(ISNUMBER(D214),ISNUMBER(C214)),IFERROR(D214/C214-1,""),"")</f>
        <v/>
      </c>
      <c r="E244" s="179">
        <f>IF(AND(ISNUMBER(E214),ISNUMBER(D214)),IFERROR(E214/D214-1,""),"")</f>
        <v/>
      </c>
      <c r="F244" s="179">
        <f>IF(AND(ISNUMBER(F214),ISNUMBER(E214)),IFERROR(F214/E214-1,""),"")</f>
        <v/>
      </c>
      <c r="G244" s="179">
        <f>IF(AND(ISNUMBER(G214),ISNUMBER(F214)),IFERROR(G214/F214-1,""),"")</f>
        <v/>
      </c>
      <c r="H244" s="179">
        <f>IF(AND(ISNUMBER(H214),ISNUMBER(G214)),IFERROR(H214/G214-1,""),"")</f>
        <v/>
      </c>
      <c r="I244" s="179">
        <f>IF(AND(ISNUMBER(I214),ISNUMBER(H214)),IFERROR(I214/H214-1,""),"")</f>
        <v/>
      </c>
      <c r="N244" s="179">
        <f>IF(AND(ISNUMBER(N214),ISNUMBER(I214)),IFERROR(N214/I214-1,""),"")</f>
        <v/>
      </c>
      <c r="O244" s="179">
        <f>IF(AND(ISNUMBER(O214),ISNUMBER(J214)),IFERROR(O214/J214-1,""),"")</f>
        <v/>
      </c>
      <c r="P244" s="179">
        <f>IF(AND(ISNUMBER(P214),ISNUMBER(K214)),IFERROR(P214/K214-1,""),"")</f>
        <v/>
      </c>
      <c r="Q244" s="179">
        <f>IF(AND(ISNUMBER(Q214),ISNUMBER(L214)),IFERROR(Q214/L214-1,""),"")</f>
        <v/>
      </c>
      <c r="R244" s="179">
        <f>IF(AND(ISNUMBER(R214),ISNUMBER(M214)),IFERROR(R214/M214-1,""),"")</f>
        <v/>
      </c>
      <c r="S244" s="179">
        <f>IF(AND(ISNUMBER(S214),ISNUMBER(N214)),IFERROR(S214/N214-1,""),"")</f>
        <v/>
      </c>
      <c r="T244" s="179">
        <f>IF(AND(ISNUMBER(T214),ISNUMBER(O214)),IFERROR(T214/O214-1,""),"")</f>
        <v/>
      </c>
      <c r="U244" s="179">
        <f>IF(AND(ISNUMBER(U214),ISNUMBER(P214)),IFERROR(U214/P214-1,""),"")</f>
        <v/>
      </c>
      <c r="V244" s="179">
        <f>IF(AND(ISNUMBER(V214),ISNUMBER(Q214)),IFERROR(V214/Q214-1,""),"")</f>
        <v/>
      </c>
      <c r="W244" s="179">
        <f>IF(AND(ISNUMBER(W214),ISNUMBER(R214)),IFERROR(W214/R214-1,""),"")</f>
        <v/>
      </c>
      <c r="X244" s="179">
        <f>IF(AND(ISNUMBER(X214),ISNUMBER(S214)),IFERROR(X214/S214-1,""),"")</f>
        <v/>
      </c>
      <c r="Y244" s="179">
        <f>IF(AND(ISNUMBER(Y214),ISNUMBER(T214)),IFERROR(Y214/T214-1,""),"")</f>
        <v/>
      </c>
      <c r="Z244" s="179">
        <f>IF(AND(ISNUMBER(Z214),ISNUMBER(U214)),IFERROR(Z214/U214-1,""),"")</f>
        <v/>
      </c>
      <c r="AA244" s="179">
        <f>IF(AND(ISNUMBER(AA214),ISNUMBER(V214)),IFERROR(AA214/V214-1,""),"")</f>
        <v/>
      </c>
      <c r="AB244" s="179">
        <f>IF(AND(ISNUMBER(AB214),ISNUMBER(W214)),IFERROR(AB214/W214-1,""),"")</f>
        <v/>
      </c>
      <c r="AC244" s="179">
        <f>IF(AND(ISNUMBER(AC214),ISNUMBER(X214)),IFERROR(AC214/X214-1,""),"")</f>
        <v/>
      </c>
      <c r="AD244" s="179">
        <f>IF(AND(ISNUMBER(AD214),ISNUMBER(Y214)),IFERROR(AD214/Y214-1,""),"")</f>
        <v/>
      </c>
      <c r="AE244" s="179">
        <f>IF(AND(ISNUMBER(AE214),ISNUMBER(Z214)),IFERROR(AE214/Z214-1,""),"")</f>
        <v/>
      </c>
      <c r="AF244" s="179">
        <f>IF(AND(ISNUMBER(AF214),ISNUMBER(AA214)),IFERROR(AF214/AA214-1,""),"")</f>
        <v/>
      </c>
      <c r="AG244" s="179">
        <f>IF(AND(ISNUMBER(AG214),ISNUMBER(AB214)),IFERROR(AG214/AB214-1,""),"")</f>
        <v/>
      </c>
      <c r="AH244" s="179">
        <f>IF(AND(ISNUMBER(AH214),ISNUMBER(AC214)),IFERROR(AH214/AC214-1,""),"")</f>
        <v/>
      </c>
      <c r="AI244" s="179">
        <f>IF(AND(ISNUMBER(AI214),ISNUMBER(AD214)),IFERROR(AI214/AD214-1,""),"")</f>
        <v/>
      </c>
      <c r="AJ244" s="179">
        <f>IF(AND(ISNUMBER(AJ214),ISNUMBER(AE214)),IFERROR(AJ214/AE214-1,""),"")</f>
        <v/>
      </c>
      <c r="AK244" s="179">
        <f>IF(AND(ISNUMBER(AK214),ISNUMBER(AF214)),IFERROR(AK214/AF214-1,""),"")</f>
        <v/>
      </c>
      <c r="AL244" s="179">
        <f>IF(AND(ISNUMBER(AL214),ISNUMBER(AG214)),IFERROR(AL214/AG214-1,""),"")</f>
        <v/>
      </c>
      <c r="AM244" s="179">
        <f>IF(AND(ISNUMBER(AM214),ISNUMBER(AH214)),IFERROR(AM214/AH214-1,""),"")</f>
        <v/>
      </c>
      <c r="AN244" s="179">
        <f>IF(AND(ISNUMBER(AN214),ISNUMBER(AI214)),IFERROR(AN214/AI214-1,""),"")</f>
        <v/>
      </c>
      <c r="AO244" s="179">
        <f>IF(AND(ISNUMBER(AO214),ISNUMBER(AJ214)),IFERROR(AO214/AJ214-1,""),"")</f>
        <v/>
      </c>
      <c r="AP244" s="179">
        <f>IF(AND(ISNUMBER(AP214),ISNUMBER(AK214)),IFERROR(AP214/AK214-1,""),"")</f>
        <v/>
      </c>
      <c r="AQ244" s="179">
        <f>IF(AND(ISNUMBER(AQ214),ISNUMBER(AL214)),IFERROR(AQ214/AL214-1,""),"")</f>
        <v/>
      </c>
      <c r="AR244" s="179">
        <f>IF(AND(ISNUMBER(AR214),ISNUMBER(AM214)),IFERROR(AR214/AM214-1,""),"")</f>
        <v/>
      </c>
      <c r="AS244" s="179">
        <f>IF(AND(ISNUMBER(AS214),ISNUMBER(AN214)),IFERROR(AS214/AN214-1,""),"")</f>
        <v/>
      </c>
      <c r="AT244" s="179">
        <f>IF(AND(ISNUMBER(AT214),ISNUMBER(AO214)),IFERROR(AT214/AO214-1,""),"")</f>
        <v/>
      </c>
      <c r="AU244" s="179">
        <f>IF(AND(ISNUMBER(AU214),ISNUMBER(AP214)),IFERROR(AU214/AP214-1,""),"")</f>
        <v/>
      </c>
      <c r="AV244" s="179">
        <f>IF(AND(ISNUMBER(AV214),ISNUMBER(AQ214)),IFERROR(AV214/AQ214-1,""),"")</f>
        <v/>
      </c>
      <c r="AW244" s="179">
        <f>IF(AND(ISNUMBER(AW214),ISNUMBER(AR214)),IFERROR(AW214/AR214-1,""),"")</f>
        <v/>
      </c>
      <c r="AX244" s="179">
        <f>IF(AND(ISNUMBER(AX214),ISNUMBER(AS214)),IFERROR(AX214/AS214-1,""),"")</f>
        <v/>
      </c>
      <c r="AY244" s="179">
        <f>IF(AND(ISNUMBER(AY214),ISNUMBER(AT214)),IFERROR(AY214/AT214-1,""),"")</f>
        <v/>
      </c>
      <c r="AZ244" s="179">
        <f>IF(AND(ISNUMBER(AZ214),ISNUMBER(AU214)),IFERROR(AZ214/AU214-1,""),"")</f>
        <v/>
      </c>
      <c r="BA244" s="179">
        <f>IF(AND(ISNUMBER(BA214),ISNUMBER(AV214)),IFERROR(BA214/AV214-1,""),"")</f>
        <v/>
      </c>
      <c r="BB244" s="179">
        <f>IF(AND(ISNUMBER(BB214),ISNUMBER(AW214)),IFERROR(BB214/AW214-1,""),"")</f>
        <v/>
      </c>
      <c r="BC244" s="179">
        <f>IF(AND(ISNUMBER(BC214),ISNUMBER(AX214)),IFERROR(BC214/AX214-1,""),"")</f>
        <v/>
      </c>
      <c r="BD244" s="179">
        <f>IF(AND(ISNUMBER(BD214),ISNUMBER(AY214)),IFERROR(BD214/AY214-1,""),"")</f>
        <v/>
      </c>
      <c r="BE244" s="179">
        <f>IF(AND(ISNUMBER(BE214),ISNUMBER(AZ214)),IFERROR(BE214/AZ214-1,""),"")</f>
        <v/>
      </c>
      <c r="BF244" s="179">
        <f>IF(AND(ISNUMBER(BF214),ISNUMBER(BA214)),IFERROR(BF214/BA214-1,""),"")</f>
        <v/>
      </c>
      <c r="BG244" s="179">
        <f>IF(AND(ISNUMBER(BG214),ISNUMBER(BB214)),IFERROR(BG214/BB214-1,""),"")</f>
        <v/>
      </c>
      <c r="BH244" s="179">
        <f>IF(AND(ISNUMBER(BH214),ISNUMBER(BC214)),IFERROR(BH214/BC214-1,""),"")</f>
        <v/>
      </c>
      <c r="BI244" s="179">
        <f>IF(AND(ISNUMBER(BI214),ISNUMBER(BD214)),IFERROR(BI214/BD214-1,""),"")</f>
        <v/>
      </c>
      <c r="BJ244" s="179">
        <f>IF(AND(ISNUMBER(BJ214),ISNUMBER(BE214)),IFERROR(BJ214/BE214-1,""),"")</f>
        <v/>
      </c>
      <c r="BK244" s="179">
        <f>IF(AND(ISNUMBER(BK214),ISNUMBER(BF214)),IFERROR(BK214/BF214-1,""),"")</f>
        <v/>
      </c>
      <c r="BL244" s="179">
        <f>IF(AND(ISNUMBER(BL214),ISNUMBER(BG214)),IFERROR(BL214/BG214-1,""),"")</f>
        <v/>
      </c>
      <c r="BM244" s="179">
        <f>IF(AND(ISNUMBER(BM214),ISNUMBER(BH214)),IFERROR(BM214/BH214-1,""),"")</f>
        <v/>
      </c>
      <c r="BN244" s="179">
        <f>IF(AND(ISNUMBER(BN214),ISNUMBER(BI214)),IFERROR(BN214/BI214-1,""),"")</f>
        <v/>
      </c>
      <c r="BO244" s="179">
        <f>IF(AND(ISNUMBER(BO214),ISNUMBER(BJ214)),IFERROR(BO214/BJ214-1,""),"")</f>
        <v/>
      </c>
      <c r="BP244" s="179">
        <f>IF(AND(ISNUMBER(BP214),ISNUMBER(BK214)),IFERROR(BP214/BK214-1,""),"")</f>
        <v/>
      </c>
      <c r="BQ244" s="179">
        <f>IF(AND(ISNUMBER(BQ214),ISNUMBER(BL214)),IFERROR(BQ214/BL214-1,""),"")</f>
        <v/>
      </c>
      <c r="BR244" s="179">
        <f>IF(AND(ISNUMBER(BR214),ISNUMBER(BM214)),IFERROR(BR214/BM214-1,""),"")</f>
        <v/>
      </c>
      <c r="BS244" s="179">
        <f>IF(AND(ISNUMBER(BS214),ISNUMBER(BN214)),IFERROR(BS214/BN214-1,""),"")</f>
        <v/>
      </c>
      <c r="BT244" s="179">
        <f>IF(AND(ISNUMBER(BT214),ISNUMBER(BO214)),IFERROR(BT214/BO214-1,""),"")</f>
        <v/>
      </c>
      <c r="BU244" s="179">
        <f>IF(AND(ISNUMBER(BU214),ISNUMBER(BP214)),IFERROR(BU214/BP214-1,""),"")</f>
        <v/>
      </c>
      <c r="BV244" s="179">
        <f>IF(AND(ISNUMBER(BV214),ISNUMBER(BQ214)),IFERROR(BV214/BQ214-1,""),"")</f>
        <v/>
      </c>
      <c r="BW244" s="179">
        <f>IF(AND(ISNUMBER(BW214),ISNUMBER(BR214)),IFERROR(BW214/BR214-1,""),"")</f>
        <v/>
      </c>
      <c r="BX244" s="179">
        <f>IF(AND(ISNUMBER(BX214),ISNUMBER(BS214)),IFERROR(BX214/BS214-1,""),"")</f>
        <v/>
      </c>
      <c r="BY244" s="180">
        <f>IF(AND(ISNUMBER(BY214),ISNUMBER(BT214)),IFERROR(BY214/BT214-1,""),"")</f>
        <v/>
      </c>
      <c r="BZ244" s="180">
        <f>IF(AND(ISNUMBER(BZ214),ISNUMBER(BU214)),IFERROR(BZ214/BU214-1,""),"")</f>
        <v/>
      </c>
      <c r="CA244" s="180">
        <f>IF(AND(ISNUMBER(CA214),ISNUMBER(BV214)),IFERROR(CA214/BV214-1,""),"")</f>
        <v/>
      </c>
      <c r="CB244" s="180">
        <f>IF(AND(ISNUMBER(CB214),ISNUMBER(CA214)),IFERROR(CB214/CA214-1,""),"")</f>
        <v/>
      </c>
      <c r="CC244" s="180">
        <f>IF(AND(ISNUMBER(CC214),ISNUMBER(CB214)),IFERROR(CC214/CB214-1,""),"")</f>
        <v/>
      </c>
      <c r="CD244" s="180">
        <f>IF(AND(ISNUMBER(CD214),ISNUMBER(CC214)),IFERROR(CD214/CC214-1,""),"")</f>
        <v/>
      </c>
      <c r="CE244" s="180">
        <f>IF(AND(ISNUMBER(CE214),ISNUMBER(CD214)),IFERROR(CE214/CD214-1,""),"")</f>
        <v/>
      </c>
      <c r="CF244" s="6" t="n"/>
    </row>
    <row r="245" ht="15" customHeight="1">
      <c r="B245" s="23" t="inlineStr">
        <is>
          <t xml:space="preserve">  Adjusted EBITDA y/y %</t>
        </is>
      </c>
      <c r="D245" s="179">
        <f>IF(AND(ISNUMBER(D194),ISNUMBER(C194)),IFERROR(D194/C194-1,""),"")</f>
        <v/>
      </c>
      <c r="E245" s="179">
        <f>IF(AND(ISNUMBER(E194),ISNUMBER(D194)),IFERROR(E194/D194-1,""),"")</f>
        <v/>
      </c>
      <c r="F245" s="179">
        <f>IF(AND(ISNUMBER(F194),ISNUMBER(E194)),IFERROR(F194/E194-1,""),"")</f>
        <v/>
      </c>
      <c r="G245" s="179">
        <f>IF(AND(ISNUMBER(G194),ISNUMBER(F194)),IFERROR(G194/F194-1,""),"")</f>
        <v/>
      </c>
      <c r="H245" s="179">
        <f>IF(AND(ISNUMBER(H194),ISNUMBER(G194)),IFERROR(H194/G194-1,""),"")</f>
        <v/>
      </c>
      <c r="I245" s="179">
        <f>IF(AND(ISNUMBER(I194),ISNUMBER(H194)),IFERROR(I194/H194-1,""),"")</f>
        <v/>
      </c>
      <c r="N245" s="179">
        <f>IF(AND(ISNUMBER(N194),ISNUMBER(I194)),IFERROR(N194/I194-1,""),"")</f>
        <v/>
      </c>
      <c r="O245" s="179">
        <f>IF(AND(ISNUMBER(O194),ISNUMBER(J194)),IFERROR(O194/J194-1,""),"")</f>
        <v/>
      </c>
      <c r="P245" s="179">
        <f>IF(AND(ISNUMBER(P194),ISNUMBER(K194)),IFERROR(P194/K194-1,""),"")</f>
        <v/>
      </c>
      <c r="Q245" s="179">
        <f>IF(AND(ISNUMBER(Q194),ISNUMBER(L194)),IFERROR(Q194/L194-1,""),"")</f>
        <v/>
      </c>
      <c r="R245" s="179">
        <f>IF(AND(ISNUMBER(R194),ISNUMBER(M194)),IFERROR(R194/M194-1,""),"")</f>
        <v/>
      </c>
      <c r="S245" s="179">
        <f>IF(AND(ISNUMBER(S194),ISNUMBER(N194)),IFERROR(S194/N194-1,""),"")</f>
        <v/>
      </c>
      <c r="T245" s="179">
        <f>IF(AND(ISNUMBER(T194),ISNUMBER(O194)),IFERROR(T194/O194-1,""),"")</f>
        <v/>
      </c>
      <c r="U245" s="179">
        <f>IF(AND(ISNUMBER(U194),ISNUMBER(P194)),IFERROR(U194/P194-1,""),"")</f>
        <v/>
      </c>
      <c r="V245" s="179">
        <f>IF(AND(ISNUMBER(V194),ISNUMBER(Q194)),IFERROR(V194/Q194-1,""),"")</f>
        <v/>
      </c>
      <c r="W245" s="179">
        <f>IF(AND(ISNUMBER(W194),ISNUMBER(R194)),IFERROR(W194/R194-1,""),"")</f>
        <v/>
      </c>
      <c r="X245" s="179">
        <f>IF(AND(ISNUMBER(X194),ISNUMBER(S194)),IFERROR(X194/S194-1,""),"")</f>
        <v/>
      </c>
      <c r="Y245" s="179">
        <f>IF(AND(ISNUMBER(Y194),ISNUMBER(T194)),IFERROR(Y194/T194-1,""),"")</f>
        <v/>
      </c>
      <c r="Z245" s="179">
        <f>IF(AND(ISNUMBER(Z194),ISNUMBER(U194)),IFERROR(Z194/U194-1,""),"")</f>
        <v/>
      </c>
      <c r="AA245" s="179">
        <f>IF(AND(ISNUMBER(AA194),ISNUMBER(V194)),IFERROR(AA194/V194-1,""),"")</f>
        <v/>
      </c>
      <c r="AB245" s="179">
        <f>IF(AND(ISNUMBER(AB194),ISNUMBER(W194)),IFERROR(AB194/W194-1,""),"")</f>
        <v/>
      </c>
      <c r="AC245" s="179">
        <f>IF(AND(ISNUMBER(AC194),ISNUMBER(X194)),IFERROR(AC194/X194-1,""),"")</f>
        <v/>
      </c>
      <c r="AD245" s="179">
        <f>IF(AND(ISNUMBER(AD194),ISNUMBER(Y194)),IFERROR(AD194/Y194-1,""),"")</f>
        <v/>
      </c>
      <c r="AE245" s="179">
        <f>IF(AND(ISNUMBER(AE194),ISNUMBER(Z194)),IFERROR(AE194/Z194-1,""),"")</f>
        <v/>
      </c>
      <c r="AF245" s="179">
        <f>IF(AND(ISNUMBER(AF194),ISNUMBER(AA194)),IFERROR(AF194/AA194-1,""),"")</f>
        <v/>
      </c>
      <c r="AG245" s="179">
        <f>IF(AND(ISNUMBER(AG194),ISNUMBER(AB194)),IFERROR(AG194/AB194-1,""),"")</f>
        <v/>
      </c>
      <c r="AH245" s="179">
        <f>IF(AND(ISNUMBER(AH194),ISNUMBER(AC194)),IFERROR(AH194/AC194-1,""),"")</f>
        <v/>
      </c>
      <c r="AI245" s="179">
        <f>IF(AND(ISNUMBER(AI194),ISNUMBER(AD194)),IFERROR(AI194/AD194-1,""),"")</f>
        <v/>
      </c>
      <c r="AJ245" s="179">
        <f>IF(AND(ISNUMBER(AJ194),ISNUMBER(AE194)),IFERROR(AJ194/AE194-1,""),"")</f>
        <v/>
      </c>
      <c r="AK245" s="179">
        <f>IF(AND(ISNUMBER(AK194),ISNUMBER(AF194)),IFERROR(AK194/AF194-1,""),"")</f>
        <v/>
      </c>
      <c r="AL245" s="179">
        <f>IF(AND(ISNUMBER(AL194),ISNUMBER(AG194)),IFERROR(AL194/AG194-1,""),"")</f>
        <v/>
      </c>
      <c r="AM245" s="179">
        <f>IF(AND(ISNUMBER(AM194),ISNUMBER(AH194)),IFERROR(AM194/AH194-1,""),"")</f>
        <v/>
      </c>
      <c r="AN245" s="179">
        <f>IF(AND(ISNUMBER(AN194),ISNUMBER(AI194)),IFERROR(AN194/AI194-1,""),"")</f>
        <v/>
      </c>
      <c r="AO245" s="179">
        <f>IF(AND(ISNUMBER(AO194),ISNUMBER(AJ194)),IFERROR(AO194/AJ194-1,""),"")</f>
        <v/>
      </c>
      <c r="AP245" s="179">
        <f>IF(AND(ISNUMBER(AP194),ISNUMBER(AK194)),IFERROR(AP194/AK194-1,""),"")</f>
        <v/>
      </c>
      <c r="AQ245" s="179">
        <f>IF(AND(ISNUMBER(AQ194),ISNUMBER(AL194)),IFERROR(AQ194/AL194-1,""),"")</f>
        <v/>
      </c>
      <c r="AR245" s="179">
        <f>IF(AND(ISNUMBER(AR194),ISNUMBER(AM194)),IFERROR(AR194/AM194-1,""),"")</f>
        <v/>
      </c>
      <c r="AS245" s="179">
        <f>IF(AND(ISNUMBER(AS194),ISNUMBER(AN194)),IFERROR(AS194/AN194-1,""),"")</f>
        <v/>
      </c>
      <c r="AT245" s="179">
        <f>IF(AND(ISNUMBER(AT194),ISNUMBER(AO194)),IFERROR(AT194/AO194-1,""),"")</f>
        <v/>
      </c>
      <c r="AU245" s="179">
        <f>IF(AND(ISNUMBER(AU194),ISNUMBER(AP194)),IFERROR(AU194/AP194-1,""),"")</f>
        <v/>
      </c>
      <c r="AV245" s="179">
        <f>IF(AND(ISNUMBER(AV194),ISNUMBER(AQ194)),IFERROR(AV194/AQ194-1,""),"")</f>
        <v/>
      </c>
      <c r="AW245" s="179">
        <f>IF(AND(ISNUMBER(AW194),ISNUMBER(AR194)),IFERROR(AW194/AR194-1,""),"")</f>
        <v/>
      </c>
      <c r="AX245" s="179">
        <f>IF(AND(ISNUMBER(AX194),ISNUMBER(AS194)),IFERROR(AX194/AS194-1,""),"")</f>
        <v/>
      </c>
      <c r="AY245" s="179">
        <f>IF(AND(ISNUMBER(AY194),ISNUMBER(AT194)),IFERROR(AY194/AT194-1,""),"")</f>
        <v/>
      </c>
      <c r="AZ245" s="179">
        <f>IF(AND(ISNUMBER(AZ194),ISNUMBER(AU194)),IFERROR(AZ194/AU194-1,""),"")</f>
        <v/>
      </c>
      <c r="BA245" s="179">
        <f>IF(AND(ISNUMBER(BA194),ISNUMBER(AV194)),IFERROR(BA194/AV194-1,""),"")</f>
        <v/>
      </c>
      <c r="BB245" s="179">
        <f>IF(AND(ISNUMBER(BB194),ISNUMBER(AW194)),IFERROR(BB194/AW194-1,""),"")</f>
        <v/>
      </c>
      <c r="BC245" s="179">
        <f>IF(AND(ISNUMBER(BC194),ISNUMBER(AX194)),IFERROR(BC194/AX194-1,""),"")</f>
        <v/>
      </c>
      <c r="BD245" s="179">
        <f>IF(AND(ISNUMBER(BD194),ISNUMBER(AY194)),IFERROR(BD194/AY194-1,""),"")</f>
        <v/>
      </c>
      <c r="BE245" s="179">
        <f>IF(AND(ISNUMBER(BE194),ISNUMBER(AZ194)),IFERROR(BE194/AZ194-1,""),"")</f>
        <v/>
      </c>
      <c r="BF245" s="179">
        <f>IF(AND(ISNUMBER(BF194),ISNUMBER(BA194)),IFERROR(BF194/BA194-1,""),"")</f>
        <v/>
      </c>
      <c r="BG245" s="179">
        <f>IF(AND(ISNUMBER(BG194),ISNUMBER(BB194)),IFERROR(BG194/BB194-1,""),"")</f>
        <v/>
      </c>
      <c r="BH245" s="179">
        <f>IF(AND(ISNUMBER(BH194),ISNUMBER(BC194)),IFERROR(BH194/BC194-1,""),"")</f>
        <v/>
      </c>
      <c r="BI245" s="179">
        <f>IF(AND(ISNUMBER(BI194),ISNUMBER(BD194)),IFERROR(BI194/BD194-1,""),"")</f>
        <v/>
      </c>
      <c r="BJ245" s="179">
        <f>IF(AND(ISNUMBER(BJ194),ISNUMBER(BE194)),IFERROR(BJ194/BE194-1,""),"")</f>
        <v/>
      </c>
      <c r="BK245" s="179">
        <f>IF(AND(ISNUMBER(BK194),ISNUMBER(BF194)),IFERROR(BK194/BF194-1,""),"")</f>
        <v/>
      </c>
      <c r="BL245" s="179">
        <f>IF(AND(ISNUMBER(BL194),ISNUMBER(BG194)),IFERROR(BL194/BG194-1,""),"")</f>
        <v/>
      </c>
      <c r="BM245" s="179">
        <f>IF(AND(ISNUMBER(BM194),ISNUMBER(BH194)),IFERROR(BM194/BH194-1,""),"")</f>
        <v/>
      </c>
      <c r="BN245" s="179">
        <f>IF(AND(ISNUMBER(BN194),ISNUMBER(BI194)),IFERROR(BN194/BI194-1,""),"")</f>
        <v/>
      </c>
      <c r="BO245" s="179">
        <f>IF(AND(ISNUMBER(BO194),ISNUMBER(BJ194)),IFERROR(BO194/BJ194-1,""),"")</f>
        <v/>
      </c>
      <c r="BP245" s="179">
        <f>IF(AND(ISNUMBER(BP194),ISNUMBER(BK194)),IFERROR(BP194/BK194-1,""),"")</f>
        <v/>
      </c>
      <c r="BQ245" s="179">
        <f>IF(AND(ISNUMBER(BQ194),ISNUMBER(BL194)),IFERROR(BQ194/BL194-1,""),"")</f>
        <v/>
      </c>
      <c r="BR245" s="179">
        <f>IF(AND(ISNUMBER(BR194),ISNUMBER(BM194)),IFERROR(BR194/BM194-1,""),"")</f>
        <v/>
      </c>
      <c r="BS245" s="179">
        <f>IF(AND(ISNUMBER(BS194),ISNUMBER(BN194)),IFERROR(BS194/BN194-1,""),"")</f>
        <v/>
      </c>
      <c r="BT245" s="179">
        <f>IF(AND(ISNUMBER(BT194),ISNUMBER(BO194)),IFERROR(BT194/BO194-1,""),"")</f>
        <v/>
      </c>
      <c r="BU245" s="179">
        <f>IF(AND(ISNUMBER(BU194),ISNUMBER(BP194)),IFERROR(BU194/BP194-1,""),"")</f>
        <v/>
      </c>
      <c r="BV245" s="179">
        <f>IF(AND(ISNUMBER(BV194),ISNUMBER(BQ194)),IFERROR(BV194/BQ194-1,""),"")</f>
        <v/>
      </c>
      <c r="BW245" s="179">
        <f>IF(AND(ISNUMBER(BW194),ISNUMBER(BR194)),IFERROR(BW194/BR194-1,""),"")</f>
        <v/>
      </c>
      <c r="BX245" s="179">
        <f>IF(AND(ISNUMBER(BX194),ISNUMBER(BS194)),IFERROR(BX194/BS194-1,""),"")</f>
        <v/>
      </c>
      <c r="BY245" s="180">
        <f>IF(AND(ISNUMBER(BY194),ISNUMBER(BT194)),IFERROR(BY194/BT194-1,""),"")</f>
        <v/>
      </c>
      <c r="BZ245" s="180">
        <f>IF(AND(ISNUMBER(BZ194),ISNUMBER(BU194)),IFERROR(BZ194/BU194-1,""),"")</f>
        <v/>
      </c>
      <c r="CA245" s="180">
        <f>IF(AND(ISNUMBER(CA194),ISNUMBER(BV194)),IFERROR(CA194/BV194-1,""),"")</f>
        <v/>
      </c>
      <c r="CB245" s="180">
        <f>IF(AND(ISNUMBER(CB194),ISNUMBER(CA194)),IFERROR(CB194/CA194-1,""),"")</f>
        <v/>
      </c>
      <c r="CC245" s="180">
        <f>IF(AND(ISNUMBER(CC194),ISNUMBER(CB194)),IFERROR(CC194/CB194-1,""),"")</f>
        <v/>
      </c>
      <c r="CD245" s="180">
        <f>IF(AND(ISNUMBER(CD194),ISNUMBER(CC194)),IFERROR(CD194/CC194-1,""),"")</f>
        <v/>
      </c>
      <c r="CE245" s="180">
        <f>IF(AND(ISNUMBER(CE194),ISNUMBER(CD194)),IFERROR(CE194/CD194-1,""),"")</f>
        <v/>
      </c>
      <c r="CF245" s="6" t="n"/>
    </row>
    <row r="246" ht="15" customHeight="1">
      <c r="B246" s="23" t="inlineStr">
        <is>
          <t xml:space="preserve">  Income from operations (GAAP) y/y %</t>
        </is>
      </c>
      <c r="D246" s="179">
        <f>IF(AND(ISNUMBER(D150),ISNUMBER(C150)),IFERROR(D150/C150-1,""),"")</f>
        <v/>
      </c>
      <c r="E246" s="179">
        <f>IF(AND(ISNUMBER(E150),ISNUMBER(D150)),IFERROR(E150/D150-1,""),"")</f>
        <v/>
      </c>
      <c r="F246" s="179">
        <f>IF(AND(ISNUMBER(F150),ISNUMBER(E150)),IFERROR(F150/E150-1,""),"")</f>
        <v/>
      </c>
      <c r="G246" s="179">
        <f>IF(AND(ISNUMBER(G150),ISNUMBER(F150)),IFERROR(G150/F150-1,""),"")</f>
        <v/>
      </c>
      <c r="H246" s="179">
        <f>IF(AND(ISNUMBER(H150),ISNUMBER(G150)),IFERROR(H150/G150-1,""),"")</f>
        <v/>
      </c>
      <c r="I246" s="179">
        <f>IF(AND(ISNUMBER(I150),ISNUMBER(H150)),IFERROR(I150/H150-1,""),"")</f>
        <v/>
      </c>
      <c r="N246" s="179">
        <f>IF(AND(ISNUMBER(N150),ISNUMBER(I150)),IFERROR(N150/I150-1,""),"")</f>
        <v/>
      </c>
      <c r="O246" s="179">
        <f>IF(AND(ISNUMBER(O150),ISNUMBER(J150)),IFERROR(O150/J150-1,""),"")</f>
        <v/>
      </c>
      <c r="P246" s="179">
        <f>IF(AND(ISNUMBER(P150),ISNUMBER(K150)),IFERROR(P150/K150-1,""),"")</f>
        <v/>
      </c>
      <c r="Q246" s="179">
        <f>IF(AND(ISNUMBER(Q150),ISNUMBER(L150)),IFERROR(Q150/L150-1,""),"")</f>
        <v/>
      </c>
      <c r="R246" s="179">
        <f>IF(AND(ISNUMBER(R150),ISNUMBER(M150)),IFERROR(R150/M150-1,""),"")</f>
        <v/>
      </c>
      <c r="S246" s="179">
        <f>IF(AND(ISNUMBER(S150),ISNUMBER(N150)),IFERROR(S150/N150-1,""),"")</f>
        <v/>
      </c>
      <c r="T246" s="179">
        <f>IF(AND(ISNUMBER(T150),ISNUMBER(O150)),IFERROR(T150/O150-1,""),"")</f>
        <v/>
      </c>
      <c r="U246" s="179">
        <f>IF(AND(ISNUMBER(U150),ISNUMBER(P150)),IFERROR(U150/P150-1,""),"")</f>
        <v/>
      </c>
      <c r="V246" s="179">
        <f>IF(AND(ISNUMBER(V150),ISNUMBER(Q150)),IFERROR(V150/Q150-1,""),"")</f>
        <v/>
      </c>
      <c r="W246" s="179">
        <f>IF(AND(ISNUMBER(W150),ISNUMBER(R150)),IFERROR(W150/R150-1,""),"")</f>
        <v/>
      </c>
      <c r="X246" s="179">
        <f>IF(AND(ISNUMBER(X150),ISNUMBER(S150)),IFERROR(X150/S150-1,""),"")</f>
        <v/>
      </c>
      <c r="Y246" s="179">
        <f>IF(AND(ISNUMBER(Y150),ISNUMBER(T150)),IFERROR(Y150/T150-1,""),"")</f>
        <v/>
      </c>
      <c r="Z246" s="179">
        <f>IF(AND(ISNUMBER(Z150),ISNUMBER(U150)),IFERROR(Z150/U150-1,""),"")</f>
        <v/>
      </c>
      <c r="AA246" s="179">
        <f>IF(AND(ISNUMBER(AA150),ISNUMBER(V150)),IFERROR(AA150/V150-1,""),"")</f>
        <v/>
      </c>
      <c r="AB246" s="179">
        <f>IF(AND(ISNUMBER(AB150),ISNUMBER(W150)),IFERROR(AB150/W150-1,""),"")</f>
        <v/>
      </c>
      <c r="AC246" s="179">
        <f>IF(AND(ISNUMBER(AC150),ISNUMBER(X150)),IFERROR(AC150/X150-1,""),"")</f>
        <v/>
      </c>
      <c r="AD246" s="179">
        <f>IF(AND(ISNUMBER(AD150),ISNUMBER(Y150)),IFERROR(AD150/Y150-1,""),"")</f>
        <v/>
      </c>
      <c r="AE246" s="179">
        <f>IF(AND(ISNUMBER(AE150),ISNUMBER(Z150)),IFERROR(AE150/Z150-1,""),"")</f>
        <v/>
      </c>
      <c r="AF246" s="179">
        <f>IF(AND(ISNUMBER(AF150),ISNUMBER(AA150)),IFERROR(AF150/AA150-1,""),"")</f>
        <v/>
      </c>
      <c r="AG246" s="179">
        <f>IF(AND(ISNUMBER(AG150),ISNUMBER(AB150)),IFERROR(AG150/AB150-1,""),"")</f>
        <v/>
      </c>
      <c r="AH246" s="179">
        <f>IF(AND(ISNUMBER(AH150),ISNUMBER(AC150)),IFERROR(AH150/AC150-1,""),"")</f>
        <v/>
      </c>
      <c r="AI246" s="179">
        <f>IF(AND(ISNUMBER(AI150),ISNUMBER(AD150)),IFERROR(AI150/AD150-1,""),"")</f>
        <v/>
      </c>
      <c r="AJ246" s="179">
        <f>IF(AND(ISNUMBER(AJ150),ISNUMBER(AE150)),IFERROR(AJ150/AE150-1,""),"")</f>
        <v/>
      </c>
      <c r="AK246" s="179">
        <f>IF(AND(ISNUMBER(AK150),ISNUMBER(AF150)),IFERROR(AK150/AF150-1,""),"")</f>
        <v/>
      </c>
      <c r="AL246" s="179">
        <f>IF(AND(ISNUMBER(AL150),ISNUMBER(AG150)),IFERROR(AL150/AG150-1,""),"")</f>
        <v/>
      </c>
      <c r="AM246" s="179">
        <f>IF(AND(ISNUMBER(AM150),ISNUMBER(AH150)),IFERROR(AM150/AH150-1,""),"")</f>
        <v/>
      </c>
      <c r="AN246" s="179">
        <f>IF(AND(ISNUMBER(AN150),ISNUMBER(AI150)),IFERROR(AN150/AI150-1,""),"")</f>
        <v/>
      </c>
      <c r="AO246" s="179">
        <f>IF(AND(ISNUMBER(AO150),ISNUMBER(AJ150)),IFERROR(AO150/AJ150-1,""),"")</f>
        <v/>
      </c>
      <c r="AP246" s="179">
        <f>IF(AND(ISNUMBER(AP150),ISNUMBER(AK150)),IFERROR(AP150/AK150-1,""),"")</f>
        <v/>
      </c>
      <c r="AQ246" s="179">
        <f>IF(AND(ISNUMBER(AQ150),ISNUMBER(AL150)),IFERROR(AQ150/AL150-1,""),"")</f>
        <v/>
      </c>
      <c r="AR246" s="179">
        <f>IF(AND(ISNUMBER(AR150),ISNUMBER(AM150)),IFERROR(AR150/AM150-1,""),"")</f>
        <v/>
      </c>
      <c r="AS246" s="179">
        <f>IF(AND(ISNUMBER(AS150),ISNUMBER(AN150)),IFERROR(AS150/AN150-1,""),"")</f>
        <v/>
      </c>
      <c r="AT246" s="179">
        <f>IF(AND(ISNUMBER(AT150),ISNUMBER(AO150)),IFERROR(AT150/AO150-1,""),"")</f>
        <v/>
      </c>
      <c r="AU246" s="179">
        <f>IF(AND(ISNUMBER(AU150),ISNUMBER(AP150)),IFERROR(AU150/AP150-1,""),"")</f>
        <v/>
      </c>
      <c r="AV246" s="179">
        <f>IF(AND(ISNUMBER(AV150),ISNUMBER(AQ150)),IFERROR(AV150/AQ150-1,""),"")</f>
        <v/>
      </c>
      <c r="AW246" s="179">
        <f>IF(AND(ISNUMBER(AW150),ISNUMBER(AR150)),IFERROR(AW150/AR150-1,""),"")</f>
        <v/>
      </c>
      <c r="AX246" s="179">
        <f>IF(AND(ISNUMBER(AX150),ISNUMBER(AS150)),IFERROR(AX150/AS150-1,""),"")</f>
        <v/>
      </c>
      <c r="AY246" s="179">
        <f>IF(AND(ISNUMBER(AY150),ISNUMBER(AT150)),IFERROR(AY150/AT150-1,""),"")</f>
        <v/>
      </c>
      <c r="AZ246" s="179">
        <f>IF(AND(ISNUMBER(AZ150),ISNUMBER(AU150)),IFERROR(AZ150/AU150-1,""),"")</f>
        <v/>
      </c>
      <c r="BA246" s="179">
        <f>IF(AND(ISNUMBER(BA150),ISNUMBER(AV150)),IFERROR(BA150/AV150-1,""),"")</f>
        <v/>
      </c>
      <c r="BB246" s="179">
        <f>IF(AND(ISNUMBER(BB150),ISNUMBER(AW150)),IFERROR(BB150/AW150-1,""),"")</f>
        <v/>
      </c>
      <c r="BC246" s="179">
        <f>IF(AND(ISNUMBER(BC150),ISNUMBER(AX150)),IFERROR(BC150/AX150-1,""),"")</f>
        <v/>
      </c>
      <c r="BD246" s="179">
        <f>IF(AND(ISNUMBER(BD150),ISNUMBER(AY150)),IFERROR(BD150/AY150-1,""),"")</f>
        <v/>
      </c>
      <c r="BE246" s="179">
        <f>IF(AND(ISNUMBER(BE150),ISNUMBER(AZ150)),IFERROR(BE150/AZ150-1,""),"")</f>
        <v/>
      </c>
      <c r="BF246" s="179">
        <f>IF(AND(ISNUMBER(BF150),ISNUMBER(BA150)),IFERROR(BF150/BA150-1,""),"")</f>
        <v/>
      </c>
      <c r="BG246" s="179">
        <f>IF(AND(ISNUMBER(BG150),ISNUMBER(BB150)),IFERROR(BG150/BB150-1,""),"")</f>
        <v/>
      </c>
      <c r="BH246" s="179">
        <f>IF(AND(ISNUMBER(BH150),ISNUMBER(BC150)),IFERROR(BH150/BC150-1,""),"")</f>
        <v/>
      </c>
      <c r="BI246" s="179">
        <f>IF(AND(ISNUMBER(BI150),ISNUMBER(BD150)),IFERROR(BI150/BD150-1,""),"")</f>
        <v/>
      </c>
      <c r="BJ246" s="179">
        <f>IF(AND(ISNUMBER(BJ150),ISNUMBER(BE150)),IFERROR(BJ150/BE150-1,""),"")</f>
        <v/>
      </c>
      <c r="BK246" s="179">
        <f>IF(AND(ISNUMBER(BK150),ISNUMBER(BF150)),IFERROR(BK150/BF150-1,""),"")</f>
        <v/>
      </c>
      <c r="BL246" s="179">
        <f>IF(AND(ISNUMBER(BL150),ISNUMBER(BG150)),IFERROR(BL150/BG150-1,""),"")</f>
        <v/>
      </c>
      <c r="BM246" s="179">
        <f>IF(AND(ISNUMBER(BM150),ISNUMBER(BH150)),IFERROR(BM150/BH150-1,""),"")</f>
        <v/>
      </c>
      <c r="BN246" s="179">
        <f>IF(AND(ISNUMBER(BN150),ISNUMBER(BI150)),IFERROR(BN150/BI150-1,""),"")</f>
        <v/>
      </c>
      <c r="BO246" s="179">
        <f>IF(AND(ISNUMBER(BO150),ISNUMBER(BJ150)),IFERROR(BO150/BJ150-1,""),"")</f>
        <v/>
      </c>
      <c r="BP246" s="179">
        <f>IF(AND(ISNUMBER(BP150),ISNUMBER(BK150)),IFERROR(BP150/BK150-1,""),"")</f>
        <v/>
      </c>
      <c r="BQ246" s="179">
        <f>IF(AND(ISNUMBER(BQ150),ISNUMBER(BL150)),IFERROR(BQ150/BL150-1,""),"")</f>
        <v/>
      </c>
      <c r="BR246" s="179">
        <f>IF(AND(ISNUMBER(BR150),ISNUMBER(BM150)),IFERROR(BR150/BM150-1,""),"")</f>
        <v/>
      </c>
      <c r="BS246" s="179">
        <f>IF(AND(ISNUMBER(BS150),ISNUMBER(BN150)),IFERROR(BS150/BN150-1,""),"")</f>
        <v/>
      </c>
      <c r="BT246" s="179">
        <f>IF(AND(ISNUMBER(BT150),ISNUMBER(BO150)),IFERROR(BT150/BO150-1,""),"")</f>
        <v/>
      </c>
      <c r="BU246" s="179">
        <f>IF(AND(ISNUMBER(BU150),ISNUMBER(BP150)),IFERROR(BU150/BP150-1,""),"")</f>
        <v/>
      </c>
      <c r="BV246" s="179">
        <f>IF(AND(ISNUMBER(BV150),ISNUMBER(BQ150)),IFERROR(BV150/BQ150-1,""),"")</f>
        <v/>
      </c>
      <c r="BW246" s="179">
        <f>IF(AND(ISNUMBER(BW150),ISNUMBER(BR150)),IFERROR(BW150/BR150-1,""),"")</f>
        <v/>
      </c>
      <c r="BX246" s="179">
        <f>IF(AND(ISNUMBER(BX150),ISNUMBER(BS150)),IFERROR(BX150/BS150-1,""),"")</f>
        <v/>
      </c>
      <c r="BY246" s="180">
        <f>IF(AND(ISNUMBER(BY150),ISNUMBER(BT150)),IFERROR(BY150/BT150-1,""),"")</f>
        <v/>
      </c>
      <c r="BZ246" s="180">
        <f>IF(AND(ISNUMBER(BZ150),ISNUMBER(BU150)),IFERROR(BZ150/BU150-1,""),"")</f>
        <v/>
      </c>
      <c r="CA246" s="180">
        <f>IF(AND(ISNUMBER(CA150),ISNUMBER(BV150)),IFERROR(CA150/BV150-1,""),"")</f>
        <v/>
      </c>
      <c r="CB246" s="180">
        <f>IF(AND(ISNUMBER(CB150),ISNUMBER(CA150)),IFERROR(CB150/CA150-1,""),"")</f>
        <v/>
      </c>
      <c r="CC246" s="180">
        <f>IF(AND(ISNUMBER(CC150),ISNUMBER(CB150)),IFERROR(CC150/CB150-1,""),"")</f>
        <v/>
      </c>
      <c r="CD246" s="180">
        <f>IF(AND(ISNUMBER(CD150),ISNUMBER(CC150)),IFERROR(CD150/CC150-1,""),"")</f>
        <v/>
      </c>
      <c r="CE246" s="180">
        <f>IF(AND(ISNUMBER(CE150),ISNUMBER(CD150)),IFERROR(CE150/CD150-1,""),"")</f>
        <v/>
      </c>
      <c r="CF246" s="6" t="n"/>
    </row>
    <row r="247" ht="15" customHeight="1">
      <c r="B247" s="23" t="inlineStr">
        <is>
          <t xml:space="preserve">  Net income attributable y/y %</t>
        </is>
      </c>
      <c r="D247" s="179">
        <f>IF(AND(ISNUMBER(D161),ISNUMBER(C161)),IFERROR(D161/C161-1,""),"")</f>
        <v/>
      </c>
      <c r="E247" s="179">
        <f>IF(AND(ISNUMBER(E161),ISNUMBER(D161)),IFERROR(E161/D161-1,""),"")</f>
        <v/>
      </c>
      <c r="F247" s="179">
        <f>IF(AND(ISNUMBER(F161),ISNUMBER(E161)),IFERROR(F161/E161-1,""),"")</f>
        <v/>
      </c>
      <c r="G247" s="179">
        <f>IF(AND(ISNUMBER(G161),ISNUMBER(F161)),IFERROR(G161/F161-1,""),"")</f>
        <v/>
      </c>
      <c r="H247" s="179">
        <f>IF(AND(ISNUMBER(H161),ISNUMBER(G161)),IFERROR(H161/G161-1,""),"")</f>
        <v/>
      </c>
      <c r="I247" s="179">
        <f>IF(AND(ISNUMBER(I161),ISNUMBER(H161)),IFERROR(I161/H161-1,""),"")</f>
        <v/>
      </c>
      <c r="N247" s="179">
        <f>IF(AND(ISNUMBER(N161),ISNUMBER(I161)),IFERROR(N161/I161-1,""),"")</f>
        <v/>
      </c>
      <c r="O247" s="179">
        <f>IF(AND(ISNUMBER(O161),ISNUMBER(J161)),IFERROR(O161/J161-1,""),"")</f>
        <v/>
      </c>
      <c r="P247" s="179">
        <f>IF(AND(ISNUMBER(P161),ISNUMBER(K161)),IFERROR(P161/K161-1,""),"")</f>
        <v/>
      </c>
      <c r="Q247" s="179">
        <f>IF(AND(ISNUMBER(Q161),ISNUMBER(L161)),IFERROR(Q161/L161-1,""),"")</f>
        <v/>
      </c>
      <c r="R247" s="179">
        <f>IF(AND(ISNUMBER(R161),ISNUMBER(M161)),IFERROR(R161/M161-1,""),"")</f>
        <v/>
      </c>
      <c r="S247" s="179">
        <f>IF(AND(ISNUMBER(S161),ISNUMBER(N161)),IFERROR(S161/N161-1,""),"")</f>
        <v/>
      </c>
      <c r="T247" s="179">
        <f>IF(AND(ISNUMBER(T161),ISNUMBER(O161)),IFERROR(T161/O161-1,""),"")</f>
        <v/>
      </c>
      <c r="U247" s="179">
        <f>IF(AND(ISNUMBER(U161),ISNUMBER(P161)),IFERROR(U161/P161-1,""),"")</f>
        <v/>
      </c>
      <c r="V247" s="179">
        <f>IF(AND(ISNUMBER(V161),ISNUMBER(Q161)),IFERROR(V161/Q161-1,""),"")</f>
        <v/>
      </c>
      <c r="W247" s="179">
        <f>IF(AND(ISNUMBER(W161),ISNUMBER(R161)),IFERROR(W161/R161-1,""),"")</f>
        <v/>
      </c>
      <c r="X247" s="179">
        <f>IF(AND(ISNUMBER(X161),ISNUMBER(S161)),IFERROR(X161/S161-1,""),"")</f>
        <v/>
      </c>
      <c r="Y247" s="179">
        <f>IF(AND(ISNUMBER(Y161),ISNUMBER(T161)),IFERROR(Y161/T161-1,""),"")</f>
        <v/>
      </c>
      <c r="Z247" s="179">
        <f>IF(AND(ISNUMBER(Z161),ISNUMBER(U161)),IFERROR(Z161/U161-1,""),"")</f>
        <v/>
      </c>
      <c r="AA247" s="179">
        <f>IF(AND(ISNUMBER(AA161),ISNUMBER(V161)),IFERROR(AA161/V161-1,""),"")</f>
        <v/>
      </c>
      <c r="AB247" s="179">
        <f>IF(AND(ISNUMBER(AB161),ISNUMBER(W161)),IFERROR(AB161/W161-1,""),"")</f>
        <v/>
      </c>
      <c r="AC247" s="179">
        <f>IF(AND(ISNUMBER(AC161),ISNUMBER(X161)),IFERROR(AC161/X161-1,""),"")</f>
        <v/>
      </c>
      <c r="AD247" s="179">
        <f>IF(AND(ISNUMBER(AD161),ISNUMBER(Y161)),IFERROR(AD161/Y161-1,""),"")</f>
        <v/>
      </c>
      <c r="AE247" s="179">
        <f>IF(AND(ISNUMBER(AE161),ISNUMBER(Z161)),IFERROR(AE161/Z161-1,""),"")</f>
        <v/>
      </c>
      <c r="AF247" s="179">
        <f>IF(AND(ISNUMBER(AF161),ISNUMBER(AA161)),IFERROR(AF161/AA161-1,""),"")</f>
        <v/>
      </c>
      <c r="AG247" s="179">
        <f>IF(AND(ISNUMBER(AG161),ISNUMBER(AB161)),IFERROR(AG161/AB161-1,""),"")</f>
        <v/>
      </c>
      <c r="AH247" s="179">
        <f>IF(AND(ISNUMBER(AH161),ISNUMBER(AC161)),IFERROR(AH161/AC161-1,""),"")</f>
        <v/>
      </c>
      <c r="AI247" s="179">
        <f>IF(AND(ISNUMBER(AI161),ISNUMBER(AD161)),IFERROR(AI161/AD161-1,""),"")</f>
        <v/>
      </c>
      <c r="AJ247" s="179">
        <f>IF(AND(ISNUMBER(AJ161),ISNUMBER(AE161)),IFERROR(AJ161/AE161-1,""),"")</f>
        <v/>
      </c>
      <c r="AK247" s="179">
        <f>IF(AND(ISNUMBER(AK161),ISNUMBER(AF161)),IFERROR(AK161/AF161-1,""),"")</f>
        <v/>
      </c>
      <c r="AL247" s="179">
        <f>IF(AND(ISNUMBER(AL161),ISNUMBER(AG161)),IFERROR(AL161/AG161-1,""),"")</f>
        <v/>
      </c>
      <c r="AM247" s="179">
        <f>IF(AND(ISNUMBER(AM161),ISNUMBER(AH161)),IFERROR(AM161/AH161-1,""),"")</f>
        <v/>
      </c>
      <c r="AN247" s="179">
        <f>IF(AND(ISNUMBER(AN161),ISNUMBER(AI161)),IFERROR(AN161/AI161-1,""),"")</f>
        <v/>
      </c>
      <c r="AO247" s="179">
        <f>IF(AND(ISNUMBER(AO161),ISNUMBER(AJ161)),IFERROR(AO161/AJ161-1,""),"")</f>
        <v/>
      </c>
      <c r="AP247" s="179">
        <f>IF(AND(ISNUMBER(AP161),ISNUMBER(AK161)),IFERROR(AP161/AK161-1,""),"")</f>
        <v/>
      </c>
      <c r="AQ247" s="179">
        <f>IF(AND(ISNUMBER(AQ161),ISNUMBER(AL161)),IFERROR(AQ161/AL161-1,""),"")</f>
        <v/>
      </c>
      <c r="AR247" s="179">
        <f>IF(AND(ISNUMBER(AR161),ISNUMBER(AM161)),IFERROR(AR161/AM161-1,""),"")</f>
        <v/>
      </c>
      <c r="AS247" s="179">
        <f>IF(AND(ISNUMBER(AS161),ISNUMBER(AN161)),IFERROR(AS161/AN161-1,""),"")</f>
        <v/>
      </c>
      <c r="AT247" s="179">
        <f>IF(AND(ISNUMBER(AT161),ISNUMBER(AO161)),IFERROR(AT161/AO161-1,""),"")</f>
        <v/>
      </c>
      <c r="AU247" s="179">
        <f>IF(AND(ISNUMBER(AU161),ISNUMBER(AP161)),IFERROR(AU161/AP161-1,""),"")</f>
        <v/>
      </c>
      <c r="AV247" s="179">
        <f>IF(AND(ISNUMBER(AV161),ISNUMBER(AQ161)),IFERROR(AV161/AQ161-1,""),"")</f>
        <v/>
      </c>
      <c r="AW247" s="179">
        <f>IF(AND(ISNUMBER(AW161),ISNUMBER(AR161)),IFERROR(AW161/AR161-1,""),"")</f>
        <v/>
      </c>
      <c r="AX247" s="179">
        <f>IF(AND(ISNUMBER(AX161),ISNUMBER(AS161)),IFERROR(AX161/AS161-1,""),"")</f>
        <v/>
      </c>
      <c r="AY247" s="179">
        <f>IF(AND(ISNUMBER(AY161),ISNUMBER(AT161)),IFERROR(AY161/AT161-1,""),"")</f>
        <v/>
      </c>
      <c r="AZ247" s="179">
        <f>IF(AND(ISNUMBER(AZ161),ISNUMBER(AU161)),IFERROR(AZ161/AU161-1,""),"")</f>
        <v/>
      </c>
      <c r="BA247" s="179">
        <f>IF(AND(ISNUMBER(BA161),ISNUMBER(AV161)),IFERROR(BA161/AV161-1,""),"")</f>
        <v/>
      </c>
      <c r="BB247" s="179">
        <f>IF(AND(ISNUMBER(BB161),ISNUMBER(AW161)),IFERROR(BB161/AW161-1,""),"")</f>
        <v/>
      </c>
      <c r="BC247" s="179">
        <f>IF(AND(ISNUMBER(BC161),ISNUMBER(AX161)),IFERROR(BC161/AX161-1,""),"")</f>
        <v/>
      </c>
      <c r="BD247" s="179">
        <f>IF(AND(ISNUMBER(BD161),ISNUMBER(AY161)),IFERROR(BD161/AY161-1,""),"")</f>
        <v/>
      </c>
      <c r="BE247" s="179">
        <f>IF(AND(ISNUMBER(BE161),ISNUMBER(AZ161)),IFERROR(BE161/AZ161-1,""),"")</f>
        <v/>
      </c>
      <c r="BF247" s="179">
        <f>IF(AND(ISNUMBER(BF161),ISNUMBER(BA161)),IFERROR(BF161/BA161-1,""),"")</f>
        <v/>
      </c>
      <c r="BG247" s="179">
        <f>IF(AND(ISNUMBER(BG161),ISNUMBER(BB161)),IFERROR(BG161/BB161-1,""),"")</f>
        <v/>
      </c>
      <c r="BH247" s="179">
        <f>IF(AND(ISNUMBER(BH161),ISNUMBER(BC161)),IFERROR(BH161/BC161-1,""),"")</f>
        <v/>
      </c>
      <c r="BI247" s="179">
        <f>IF(AND(ISNUMBER(BI161),ISNUMBER(BD161)),IFERROR(BI161/BD161-1,""),"")</f>
        <v/>
      </c>
      <c r="BJ247" s="179">
        <f>IF(AND(ISNUMBER(BJ161),ISNUMBER(BE161)),IFERROR(BJ161/BE161-1,""),"")</f>
        <v/>
      </c>
      <c r="BK247" s="179">
        <f>IF(AND(ISNUMBER(BK161),ISNUMBER(BF161)),IFERROR(BK161/BF161-1,""),"")</f>
        <v/>
      </c>
      <c r="BL247" s="179">
        <f>IF(AND(ISNUMBER(BL161),ISNUMBER(BG161)),IFERROR(BL161/BG161-1,""),"")</f>
        <v/>
      </c>
      <c r="BM247" s="179">
        <f>IF(AND(ISNUMBER(BM161),ISNUMBER(BH161)),IFERROR(BM161/BH161-1,""),"")</f>
        <v/>
      </c>
      <c r="BN247" s="179">
        <f>IF(AND(ISNUMBER(BN161),ISNUMBER(BI161)),IFERROR(BN161/BI161-1,""),"")</f>
        <v/>
      </c>
      <c r="BO247" s="179">
        <f>IF(AND(ISNUMBER(BO161),ISNUMBER(BJ161)),IFERROR(BO161/BJ161-1,""),"")</f>
        <v/>
      </c>
      <c r="BP247" s="179">
        <f>IF(AND(ISNUMBER(BP161),ISNUMBER(BK161)),IFERROR(BP161/BK161-1,""),"")</f>
        <v/>
      </c>
      <c r="BQ247" s="179">
        <f>IF(AND(ISNUMBER(BQ161),ISNUMBER(BL161)),IFERROR(BQ161/BL161-1,""),"")</f>
        <v/>
      </c>
      <c r="BR247" s="179">
        <f>IF(AND(ISNUMBER(BR161),ISNUMBER(BM161)),IFERROR(BR161/BM161-1,""),"")</f>
        <v/>
      </c>
      <c r="BS247" s="179">
        <f>IF(AND(ISNUMBER(BS161),ISNUMBER(BN161)),IFERROR(BS161/BN161-1,""),"")</f>
        <v/>
      </c>
      <c r="BT247" s="179">
        <f>IF(AND(ISNUMBER(BT161),ISNUMBER(BO161)),IFERROR(BT161/BO161-1,""),"")</f>
        <v/>
      </c>
      <c r="BU247" s="179">
        <f>IF(AND(ISNUMBER(BU161),ISNUMBER(BP161)),IFERROR(BU161/BP161-1,""),"")</f>
        <v/>
      </c>
      <c r="BV247" s="179">
        <f>IF(AND(ISNUMBER(BV161),ISNUMBER(BQ161)),IFERROR(BV161/BQ161-1,""),"")</f>
        <v/>
      </c>
      <c r="BW247" s="179">
        <f>IF(AND(ISNUMBER(BW161),ISNUMBER(BR161)),IFERROR(BW161/BR161-1,""),"")</f>
        <v/>
      </c>
      <c r="BX247" s="179">
        <f>IF(AND(ISNUMBER(BX161),ISNUMBER(BS161)),IFERROR(BX161/BS161-1,""),"")</f>
        <v/>
      </c>
      <c r="BY247" s="180">
        <f>IF(AND(ISNUMBER(BY161),ISNUMBER(BT161)),IFERROR(BY161/BT161-1,""),"")</f>
        <v/>
      </c>
      <c r="BZ247" s="180">
        <f>IF(AND(ISNUMBER(BZ161),ISNUMBER(BU161)),IFERROR(BZ161/BU161-1,""),"")</f>
        <v/>
      </c>
      <c r="CA247" s="180">
        <f>IF(AND(ISNUMBER(CA161),ISNUMBER(BV161)),IFERROR(CA161/BV161-1,""),"")</f>
        <v/>
      </c>
      <c r="CB247" s="180">
        <f>IF(AND(ISNUMBER(CB161),ISNUMBER(CA161)),IFERROR(CB161/CA161-1,""),"")</f>
        <v/>
      </c>
      <c r="CC247" s="180">
        <f>IF(AND(ISNUMBER(CC161),ISNUMBER(CB161)),IFERROR(CC161/CB161-1,""),"")</f>
        <v/>
      </c>
      <c r="CD247" s="180">
        <f>IF(AND(ISNUMBER(CD161),ISNUMBER(CC161)),IFERROR(CD161/CC161-1,""),"")</f>
        <v/>
      </c>
      <c r="CE247" s="180">
        <f>IF(AND(ISNUMBER(CE161),ISNUMBER(CD161)),IFERROR(CE161/CD161-1,""),"")</f>
        <v/>
      </c>
      <c r="CF247" s="6" t="n"/>
    </row>
    <row r="248" ht="15" customHeight="1">
      <c r="B248" s="23" t="inlineStr">
        <is>
          <t xml:space="preserve">  Adjusted EPS y/y %</t>
        </is>
      </c>
      <c r="D248" s="179">
        <f>IF(AND(ISNUMBER(D232),ISNUMBER(C232)),IFERROR(D232/C232-1,""),"")</f>
        <v/>
      </c>
      <c r="E248" s="179">
        <f>IF(AND(ISNUMBER(E232),ISNUMBER(D232)),IFERROR(E232/D232-1,""),"")</f>
        <v/>
      </c>
      <c r="F248" s="179">
        <f>IF(AND(ISNUMBER(F232),ISNUMBER(E232)),IFERROR(F232/E232-1,""),"")</f>
        <v/>
      </c>
      <c r="G248" s="179">
        <f>IF(AND(ISNUMBER(G232),ISNUMBER(F232)),IFERROR(G232/F232-1,""),"")</f>
        <v/>
      </c>
      <c r="H248" s="179">
        <f>IF(AND(ISNUMBER(H232),ISNUMBER(G232)),IFERROR(H232/G232-1,""),"")</f>
        <v/>
      </c>
      <c r="I248" s="179">
        <f>IF(AND(ISNUMBER(I232),ISNUMBER(H232)),IFERROR(I232/H232-1,""),"")</f>
        <v/>
      </c>
      <c r="N248" s="179">
        <f>IF(AND(ISNUMBER(N232),ISNUMBER(I232)),IFERROR(N232/I232-1,""),"")</f>
        <v/>
      </c>
      <c r="O248" s="179">
        <f>IF(AND(ISNUMBER(O232),ISNUMBER(J232)),IFERROR(O232/J232-1,""),"")</f>
        <v/>
      </c>
      <c r="P248" s="179">
        <f>IF(AND(ISNUMBER(P232),ISNUMBER(K232)),IFERROR(P232/K232-1,""),"")</f>
        <v/>
      </c>
      <c r="Q248" s="179">
        <f>IF(AND(ISNUMBER(Q232),ISNUMBER(L232)),IFERROR(Q232/L232-1,""),"")</f>
        <v/>
      </c>
      <c r="R248" s="179">
        <f>IF(AND(ISNUMBER(R232),ISNUMBER(M232)),IFERROR(R232/M232-1,""),"")</f>
        <v/>
      </c>
      <c r="S248" s="179">
        <f>IF(AND(ISNUMBER(S232),ISNUMBER(N232)),IFERROR(S232/N232-1,""),"")</f>
        <v/>
      </c>
      <c r="T248" s="179">
        <f>IF(AND(ISNUMBER(T232),ISNUMBER(O232)),IFERROR(T232/O232-1,""),"")</f>
        <v/>
      </c>
      <c r="U248" s="179">
        <f>IF(AND(ISNUMBER(U232),ISNUMBER(P232)),IFERROR(U232/P232-1,""),"")</f>
        <v/>
      </c>
      <c r="V248" s="179">
        <f>IF(AND(ISNUMBER(V232),ISNUMBER(Q232)),IFERROR(V232/Q232-1,""),"")</f>
        <v/>
      </c>
      <c r="W248" s="179">
        <f>IF(AND(ISNUMBER(W232),ISNUMBER(R232)),IFERROR(W232/R232-1,""),"")</f>
        <v/>
      </c>
      <c r="X248" s="179">
        <f>IF(AND(ISNUMBER(X232),ISNUMBER(S232)),IFERROR(X232/S232-1,""),"")</f>
        <v/>
      </c>
      <c r="Y248" s="179">
        <f>IF(AND(ISNUMBER(Y232),ISNUMBER(T232)),IFERROR(Y232/T232-1,""),"")</f>
        <v/>
      </c>
      <c r="Z248" s="179">
        <f>IF(AND(ISNUMBER(Z232),ISNUMBER(U232)),IFERROR(Z232/U232-1,""),"")</f>
        <v/>
      </c>
      <c r="AA248" s="179">
        <f>IF(AND(ISNUMBER(AA232),ISNUMBER(V232)),IFERROR(AA232/V232-1,""),"")</f>
        <v/>
      </c>
      <c r="AB248" s="179">
        <f>IF(AND(ISNUMBER(AB232),ISNUMBER(W232)),IFERROR(AB232/W232-1,""),"")</f>
        <v/>
      </c>
      <c r="AC248" s="179">
        <f>IF(AND(ISNUMBER(AC232),ISNUMBER(X232)),IFERROR(AC232/X232-1,""),"")</f>
        <v/>
      </c>
      <c r="AD248" s="179">
        <f>IF(AND(ISNUMBER(AD232),ISNUMBER(Y232)),IFERROR(AD232/Y232-1,""),"")</f>
        <v/>
      </c>
      <c r="AE248" s="179">
        <f>IF(AND(ISNUMBER(AE232),ISNUMBER(Z232)),IFERROR(AE232/Z232-1,""),"")</f>
        <v/>
      </c>
      <c r="AF248" s="179">
        <f>IF(AND(ISNUMBER(AF232),ISNUMBER(AA232)),IFERROR(AF232/AA232-1,""),"")</f>
        <v/>
      </c>
      <c r="AG248" s="179">
        <f>IF(AND(ISNUMBER(AG232),ISNUMBER(AB232)),IFERROR(AG232/AB232-1,""),"")</f>
        <v/>
      </c>
      <c r="AH248" s="179">
        <f>IF(AND(ISNUMBER(AH232),ISNUMBER(AC232)),IFERROR(AH232/AC232-1,""),"")</f>
        <v/>
      </c>
      <c r="AI248" s="179">
        <f>IF(AND(ISNUMBER(AI232),ISNUMBER(AD232)),IFERROR(AI232/AD232-1,""),"")</f>
        <v/>
      </c>
      <c r="AJ248" s="179">
        <f>IF(AND(ISNUMBER(AJ232),ISNUMBER(AE232)),IFERROR(AJ232/AE232-1,""),"")</f>
        <v/>
      </c>
      <c r="AK248" s="179">
        <f>IF(AND(ISNUMBER(AK232),ISNUMBER(AF232)),IFERROR(AK232/AF232-1,""),"")</f>
        <v/>
      </c>
      <c r="AL248" s="179">
        <f>IF(AND(ISNUMBER(AL232),ISNUMBER(AG232)),IFERROR(AL232/AG232-1,""),"")</f>
        <v/>
      </c>
      <c r="AM248" s="179">
        <f>IF(AND(ISNUMBER(AM232),ISNUMBER(AH232)),IFERROR(AM232/AH232-1,""),"")</f>
        <v/>
      </c>
      <c r="AN248" s="179">
        <f>IF(AND(ISNUMBER(AN232),ISNUMBER(AI232)),IFERROR(AN232/AI232-1,""),"")</f>
        <v/>
      </c>
      <c r="AO248" s="179">
        <f>IF(AND(ISNUMBER(AO232),ISNUMBER(AJ232)),IFERROR(AO232/AJ232-1,""),"")</f>
        <v/>
      </c>
      <c r="AP248" s="179">
        <f>IF(AND(ISNUMBER(AP232),ISNUMBER(AK232)),IFERROR(AP232/AK232-1,""),"")</f>
        <v/>
      </c>
      <c r="AQ248" s="179">
        <f>IF(AND(ISNUMBER(AQ232),ISNUMBER(AL232)),IFERROR(AQ232/AL232-1,""),"")</f>
        <v/>
      </c>
      <c r="AR248" s="179">
        <f>IF(AND(ISNUMBER(AR232),ISNUMBER(AM232)),IFERROR(AR232/AM232-1,""),"")</f>
        <v/>
      </c>
      <c r="AS248" s="179">
        <f>IF(AND(ISNUMBER(AS232),ISNUMBER(AN232)),IFERROR(AS232/AN232-1,""),"")</f>
        <v/>
      </c>
      <c r="AT248" s="179">
        <f>IF(AND(ISNUMBER(AT232),ISNUMBER(AO232)),IFERROR(AT232/AO232-1,""),"")</f>
        <v/>
      </c>
      <c r="AU248" s="179">
        <f>IF(AND(ISNUMBER(AU232),ISNUMBER(AP232)),IFERROR(AU232/AP232-1,""),"")</f>
        <v/>
      </c>
      <c r="AV248" s="179">
        <f>IF(AND(ISNUMBER(AV232),ISNUMBER(AQ232)),IFERROR(AV232/AQ232-1,""),"")</f>
        <v/>
      </c>
      <c r="AW248" s="179">
        <f>IF(AND(ISNUMBER(AW232),ISNUMBER(AR232)),IFERROR(AW232/AR232-1,""),"")</f>
        <v/>
      </c>
      <c r="AX248" s="179">
        <f>IF(AND(ISNUMBER(AX232),ISNUMBER(AS232)),IFERROR(AX232/AS232-1,""),"")</f>
        <v/>
      </c>
      <c r="AY248" s="179">
        <f>IF(AND(ISNUMBER(AY232),ISNUMBER(AT232)),IFERROR(AY232/AT232-1,""),"")</f>
        <v/>
      </c>
      <c r="AZ248" s="179">
        <f>IF(AND(ISNUMBER(AZ232),ISNUMBER(AU232)),IFERROR(AZ232/AU232-1,""),"")</f>
        <v/>
      </c>
      <c r="BA248" s="179">
        <f>IF(AND(ISNUMBER(BA232),ISNUMBER(AV232)),IFERROR(BA232/AV232-1,""),"")</f>
        <v/>
      </c>
      <c r="BB248" s="179">
        <f>IF(AND(ISNUMBER(BB232),ISNUMBER(AW232)),IFERROR(BB232/AW232-1,""),"")</f>
        <v/>
      </c>
      <c r="BC248" s="179">
        <f>IF(AND(ISNUMBER(BC232),ISNUMBER(AX232)),IFERROR(BC232/AX232-1,""),"")</f>
        <v/>
      </c>
      <c r="BD248" s="179">
        <f>IF(AND(ISNUMBER(BD232),ISNUMBER(AY232)),IFERROR(BD232/AY232-1,""),"")</f>
        <v/>
      </c>
      <c r="BE248" s="179">
        <f>IF(AND(ISNUMBER(BE232),ISNUMBER(AZ232)),IFERROR(BE232/AZ232-1,""),"")</f>
        <v/>
      </c>
      <c r="BF248" s="179">
        <f>IF(AND(ISNUMBER(BF232),ISNUMBER(BA232)),IFERROR(BF232/BA232-1,""),"")</f>
        <v/>
      </c>
      <c r="BG248" s="179">
        <f>IF(AND(ISNUMBER(BG232),ISNUMBER(BB232)),IFERROR(BG232/BB232-1,""),"")</f>
        <v/>
      </c>
      <c r="BH248" s="179">
        <f>IF(AND(ISNUMBER(BH232),ISNUMBER(BC232)),IFERROR(BH232/BC232-1,""),"")</f>
        <v/>
      </c>
      <c r="BI248" s="179">
        <f>IF(AND(ISNUMBER(BI232),ISNUMBER(BD232)),IFERROR(BI232/BD232-1,""),"")</f>
        <v/>
      </c>
      <c r="BJ248" s="179">
        <f>IF(AND(ISNUMBER(BJ232),ISNUMBER(BE232)),IFERROR(BJ232/BE232-1,""),"")</f>
        <v/>
      </c>
      <c r="BK248" s="179">
        <f>IF(AND(ISNUMBER(BK232),ISNUMBER(BF232)),IFERROR(BK232/BF232-1,""),"")</f>
        <v/>
      </c>
      <c r="BL248" s="179">
        <f>IF(AND(ISNUMBER(BL232),ISNUMBER(BG232)),IFERROR(BL232/BG232-1,""),"")</f>
        <v/>
      </c>
      <c r="BM248" s="179">
        <f>IF(AND(ISNUMBER(BM232),ISNUMBER(BH232)),IFERROR(BM232/BH232-1,""),"")</f>
        <v/>
      </c>
      <c r="BN248" s="179">
        <f>IF(AND(ISNUMBER(BN232),ISNUMBER(BI232)),IFERROR(BN232/BI232-1,""),"")</f>
        <v/>
      </c>
      <c r="BO248" s="179">
        <f>IF(AND(ISNUMBER(BO232),ISNUMBER(BJ232)),IFERROR(BO232/BJ232-1,""),"")</f>
        <v/>
      </c>
      <c r="BP248" s="179">
        <f>IF(AND(ISNUMBER(BP232),ISNUMBER(BK232)),IFERROR(BP232/BK232-1,""),"")</f>
        <v/>
      </c>
      <c r="BQ248" s="179">
        <f>IF(AND(ISNUMBER(BQ232),ISNUMBER(BL232)),IFERROR(BQ232/BL232-1,""),"")</f>
        <v/>
      </c>
      <c r="BR248" s="179">
        <f>IF(AND(ISNUMBER(BR232),ISNUMBER(BM232)),IFERROR(BR232/BM232-1,""),"")</f>
        <v/>
      </c>
      <c r="BS248" s="179">
        <f>IF(AND(ISNUMBER(BS232),ISNUMBER(BN232)),IFERROR(BS232/BN232-1,""),"")</f>
        <v/>
      </c>
      <c r="BT248" s="179">
        <f>IF(AND(ISNUMBER(BT232),ISNUMBER(BO232)),IFERROR(BT232/BO232-1,""),"")</f>
        <v/>
      </c>
      <c r="BU248" s="179">
        <f>IF(AND(ISNUMBER(BU232),ISNUMBER(BP232)),IFERROR(BU232/BP232-1,""),"")</f>
        <v/>
      </c>
      <c r="BV248" s="179">
        <f>IF(AND(ISNUMBER(BV232),ISNUMBER(BQ232)),IFERROR(BV232/BQ232-1,""),"")</f>
        <v/>
      </c>
      <c r="BW248" s="179">
        <f>IF(AND(ISNUMBER(BW232),ISNUMBER(BR232)),IFERROR(BW232/BR232-1,""),"")</f>
        <v/>
      </c>
      <c r="BX248" s="179">
        <f>IF(AND(ISNUMBER(BX232),ISNUMBER(BS232)),IFERROR(BX232/BS232-1,""),"")</f>
        <v/>
      </c>
      <c r="BY248" s="180">
        <f>IF(AND(ISNUMBER(BY232),ISNUMBER(BT232)),IFERROR(BY232/BT232-1,""),"")</f>
        <v/>
      </c>
      <c r="BZ248" s="180">
        <f>IF(AND(ISNUMBER(BZ232),ISNUMBER(BU232)),IFERROR(BZ232/BU232-1,""),"")</f>
        <v/>
      </c>
      <c r="CA248" s="180">
        <f>IF(AND(ISNUMBER(CA232),ISNUMBER(BV232)),IFERROR(CA232/BV232-1,""),"")</f>
        <v/>
      </c>
      <c r="CB248" s="180">
        <f>IF(AND(ISNUMBER(CB232),ISNUMBER(CA232)),IFERROR(CB232/CA232-1,""),"")</f>
        <v/>
      </c>
      <c r="CC248" s="180">
        <f>IF(AND(ISNUMBER(CC232),ISNUMBER(CB232)),IFERROR(CC232/CB232-1,""),"")</f>
        <v/>
      </c>
      <c r="CD248" s="180">
        <f>IF(AND(ISNUMBER(CD232),ISNUMBER(CC232)),IFERROR(CD232/CC232-1,""),"")</f>
        <v/>
      </c>
      <c r="CE248" s="180">
        <f>IF(AND(ISNUMBER(CE232),ISNUMBER(CD232)),IFERROR(CE232/CD232-1,""),"")</f>
        <v/>
      </c>
      <c r="CF248" s="6" t="n"/>
    </row>
    <row r="249" ht="15" customHeight="1">
      <c r="B249" s="26" t="inlineStr">
        <is>
          <t xml:space="preserve">  Gross margin %</t>
        </is>
      </c>
      <c r="C249" s="187">
        <f>IF(AND(ISNUMBER(C144),ISNUMBER(C142)),IFERROR(C144/C142,""),"")</f>
        <v/>
      </c>
      <c r="D249" s="187">
        <f>IF(AND(ISNUMBER(D144),ISNUMBER(D142)),IFERROR(D144/D142,""),"")</f>
        <v/>
      </c>
      <c r="E249" s="187">
        <f>IF(AND(ISNUMBER(E144),ISNUMBER(E142)),IFERROR(E144/E142,""),"")</f>
        <v/>
      </c>
      <c r="F249" s="187">
        <f>IF(AND(ISNUMBER(F144),ISNUMBER(F142)),IFERROR(F144/F142,""),"")</f>
        <v/>
      </c>
      <c r="G249" s="187">
        <f>IF(AND(ISNUMBER(G144),ISNUMBER(G142)),IFERROR(G144/G142,""),"")</f>
        <v/>
      </c>
      <c r="H249" s="187">
        <f>IF(AND(ISNUMBER(H144),ISNUMBER(H142)),IFERROR(H144/H142,""),"")</f>
        <v/>
      </c>
      <c r="I249" s="187">
        <f>IF(AND(ISNUMBER(I144),ISNUMBER(I142)),IFERROR(I144/I142,""),"")</f>
        <v/>
      </c>
      <c r="J249" s="187">
        <f>IF(AND(ISNUMBER(J144),ISNUMBER(J142)),IFERROR(J144/J142,""),"")</f>
        <v/>
      </c>
      <c r="K249" s="187">
        <f>IF(AND(ISNUMBER(K144),ISNUMBER(K142)),IFERROR(K144/K142,""),"")</f>
        <v/>
      </c>
      <c r="L249" s="187">
        <f>IF(AND(ISNUMBER(L144),ISNUMBER(L142)),IFERROR(L144/L142,""),"")</f>
        <v/>
      </c>
      <c r="M249" s="187">
        <f>IF(AND(ISNUMBER(M144),ISNUMBER(M142)),IFERROR(M144/M142,""),"")</f>
        <v/>
      </c>
      <c r="N249" s="187">
        <f>IF(AND(ISNUMBER(N144),ISNUMBER(N142)),IFERROR(N144/N142,""),"")</f>
        <v/>
      </c>
      <c r="O249" s="187">
        <f>IF(AND(ISNUMBER(O144),ISNUMBER(O142)),IFERROR(O144/O142,""),"")</f>
        <v/>
      </c>
      <c r="P249" s="187">
        <f>IF(AND(ISNUMBER(P144),ISNUMBER(P142)),IFERROR(P144/P142,""),"")</f>
        <v/>
      </c>
      <c r="Q249" s="187">
        <f>IF(AND(ISNUMBER(Q144),ISNUMBER(Q142)),IFERROR(Q144/Q142,""),"")</f>
        <v/>
      </c>
      <c r="R249" s="187">
        <f>IF(AND(ISNUMBER(R144),ISNUMBER(R142)),IFERROR(R144/R142,""),"")</f>
        <v/>
      </c>
      <c r="S249" s="187">
        <f>IF(AND(ISNUMBER(S144),ISNUMBER(S142)),IFERROR(S144/S142,""),"")</f>
        <v/>
      </c>
      <c r="T249" s="187">
        <f>IF(AND(ISNUMBER(T144),ISNUMBER(T142)),IFERROR(T144/T142,""),"")</f>
        <v/>
      </c>
      <c r="U249" s="187">
        <f>IF(AND(ISNUMBER(U144),ISNUMBER(U142)),IFERROR(U144/U142,""),"")</f>
        <v/>
      </c>
      <c r="V249" s="187">
        <f>IF(AND(ISNUMBER(V144),ISNUMBER(V142)),IFERROR(V144/V142,""),"")</f>
        <v/>
      </c>
      <c r="W249" s="187">
        <f>IF(AND(ISNUMBER(W144),ISNUMBER(W142)),IFERROR(W144/W142,""),"")</f>
        <v/>
      </c>
      <c r="X249" s="187">
        <f>IF(AND(ISNUMBER(X144),ISNUMBER(X142)),IFERROR(X144/X142,""),"")</f>
        <v/>
      </c>
      <c r="Y249" s="187">
        <f>IF(AND(ISNUMBER(Y144),ISNUMBER(Y142)),IFERROR(Y144/Y142,""),"")</f>
        <v/>
      </c>
      <c r="Z249" s="187">
        <f>IF(AND(ISNUMBER(Z144),ISNUMBER(Z142)),IFERROR(Z144/Z142,""),"")</f>
        <v/>
      </c>
      <c r="AA249" s="187">
        <f>IF(AND(ISNUMBER(AA144),ISNUMBER(AA142)),IFERROR(AA144/AA142,""),"")</f>
        <v/>
      </c>
      <c r="AB249" s="187">
        <f>IF(AND(ISNUMBER(AB144),ISNUMBER(AB142)),IFERROR(AB144/AB142,""),"")</f>
        <v/>
      </c>
      <c r="AC249" s="187">
        <f>IF(AND(ISNUMBER(AC144),ISNUMBER(AC142)),IFERROR(AC144/AC142,""),"")</f>
        <v/>
      </c>
      <c r="AD249" s="187">
        <f>IF(AND(ISNUMBER(AD144),ISNUMBER(AD142)),IFERROR(AD144/AD142,""),"")</f>
        <v/>
      </c>
      <c r="AE249" s="187">
        <f>IF(AND(ISNUMBER(AE144),ISNUMBER(AE142)),IFERROR(AE144/AE142,""),"")</f>
        <v/>
      </c>
      <c r="AF249" s="187">
        <f>IF(AND(ISNUMBER(AF144),ISNUMBER(AF142)),IFERROR(AF144/AF142,""),"")</f>
        <v/>
      </c>
      <c r="AG249" s="187">
        <f>IF(AND(ISNUMBER(AG144),ISNUMBER(AG142)),IFERROR(AG144/AG142,""),"")</f>
        <v/>
      </c>
      <c r="AH249" s="187">
        <f>IF(AND(ISNUMBER(AH144),ISNUMBER(AH142)),IFERROR(AH144/AH142,""),"")</f>
        <v/>
      </c>
      <c r="AI249" s="187">
        <f>IF(AND(ISNUMBER(AI144),ISNUMBER(AI142)),IFERROR(AI144/AI142,""),"")</f>
        <v/>
      </c>
      <c r="AJ249" s="187">
        <f>IF(AND(ISNUMBER(AJ144),ISNUMBER(AJ142)),IFERROR(AJ144/AJ142,""),"")</f>
        <v/>
      </c>
      <c r="AK249" s="187">
        <f>IF(AND(ISNUMBER(AK144),ISNUMBER(AK142)),IFERROR(AK144/AK142,""),"")</f>
        <v/>
      </c>
      <c r="AL249" s="187">
        <f>IF(AND(ISNUMBER(AL144),ISNUMBER(AL142)),IFERROR(AL144/AL142,""),"")</f>
        <v/>
      </c>
      <c r="AM249" s="187">
        <f>IF(AND(ISNUMBER(AM144),ISNUMBER(AM142)),IFERROR(AM144/AM142,""),"")</f>
        <v/>
      </c>
      <c r="AN249" s="187">
        <f>IF(AND(ISNUMBER(AN144),ISNUMBER(AN142)),IFERROR(AN144/AN142,""),"")</f>
        <v/>
      </c>
      <c r="AO249" s="187">
        <f>IF(AND(ISNUMBER(AO144),ISNUMBER(AO142)),IFERROR(AO144/AO142,""),"")</f>
        <v/>
      </c>
      <c r="AP249" s="187">
        <f>IF(AND(ISNUMBER(AP144),ISNUMBER(AP142)),IFERROR(AP144/AP142,""),"")</f>
        <v/>
      </c>
      <c r="AQ249" s="187">
        <f>IF(AND(ISNUMBER(AQ144),ISNUMBER(AQ142)),IFERROR(AQ144/AQ142,""),"")</f>
        <v/>
      </c>
      <c r="AR249" s="187">
        <f>IF(AND(ISNUMBER(AR144),ISNUMBER(AR142)),IFERROR(AR144/AR142,""),"")</f>
        <v/>
      </c>
      <c r="AS249" s="187">
        <f>IF(AND(ISNUMBER(AS144),ISNUMBER(AS142)),IFERROR(AS144/AS142,""),"")</f>
        <v/>
      </c>
      <c r="AT249" s="187">
        <f>IF(AND(ISNUMBER(AT144),ISNUMBER(AT142)),IFERROR(AT144/AT142,""),"")</f>
        <v/>
      </c>
      <c r="AU249" s="187">
        <f>IF(AND(ISNUMBER(AU144),ISNUMBER(AU142)),IFERROR(AU144/AU142,""),"")</f>
        <v/>
      </c>
      <c r="AV249" s="187">
        <f>IF(AND(ISNUMBER(AV144),ISNUMBER(AV142)),IFERROR(AV144/AV142,""),"")</f>
        <v/>
      </c>
      <c r="AW249" s="187">
        <f>IF(AND(ISNUMBER(AW144),ISNUMBER(AW142)),IFERROR(AW144/AW142,""),"")</f>
        <v/>
      </c>
      <c r="AX249" s="187">
        <f>IF(AND(ISNUMBER(AX144),ISNUMBER(AX142)),IFERROR(AX144/AX142,""),"")</f>
        <v/>
      </c>
      <c r="AY249" s="187">
        <f>IF(AND(ISNUMBER(AY144),ISNUMBER(AY142)),IFERROR(AY144/AY142,""),"")</f>
        <v/>
      </c>
      <c r="AZ249" s="187">
        <f>IF(AND(ISNUMBER(AZ144),ISNUMBER(AZ142)),IFERROR(AZ144/AZ142,""),"")</f>
        <v/>
      </c>
      <c r="BA249" s="187">
        <f>IF(AND(ISNUMBER(BA144),ISNUMBER(BA142)),IFERROR(BA144/BA142,""),"")</f>
        <v/>
      </c>
      <c r="BB249" s="187">
        <f>IF(AND(ISNUMBER(BB144),ISNUMBER(BB142)),IFERROR(BB144/BB142,""),"")</f>
        <v/>
      </c>
      <c r="BC249" s="187">
        <f>IF(AND(ISNUMBER(BC144),ISNUMBER(BC142)),IFERROR(BC144/BC142,""),"")</f>
        <v/>
      </c>
      <c r="BD249" s="187">
        <f>IF(AND(ISNUMBER(BD144),ISNUMBER(BD142)),IFERROR(BD144/BD142,""),"")</f>
        <v/>
      </c>
      <c r="BE249" s="187">
        <f>IF(AND(ISNUMBER(BE144),ISNUMBER(BE142)),IFERROR(BE144/BE142,""),"")</f>
        <v/>
      </c>
      <c r="BF249" s="187">
        <f>IF(AND(ISNUMBER(BF144),ISNUMBER(BF142)),IFERROR(BF144/BF142,""),"")</f>
        <v/>
      </c>
      <c r="BG249" s="187">
        <f>IF(AND(ISNUMBER(BG144),ISNUMBER(BG142)),IFERROR(BG144/BG142,""),"")</f>
        <v/>
      </c>
      <c r="BH249" s="187">
        <f>IF(AND(ISNUMBER(BH144),ISNUMBER(BH142)),IFERROR(BH144/BH142,""),"")</f>
        <v/>
      </c>
      <c r="BI249" s="187">
        <f>IF(AND(ISNUMBER(BI144),ISNUMBER(BI142)),IFERROR(BI144/BI142,""),"")</f>
        <v/>
      </c>
      <c r="BJ249" s="187">
        <f>IF(AND(ISNUMBER(BJ144),ISNUMBER(BJ142)),IFERROR(BJ144/BJ142,""),"")</f>
        <v/>
      </c>
      <c r="BK249" s="187">
        <f>IF(AND(ISNUMBER(BK144),ISNUMBER(BK142)),IFERROR(BK144/BK142,""),"")</f>
        <v/>
      </c>
      <c r="BL249" s="187">
        <f>IF(AND(ISNUMBER(BL144),ISNUMBER(BL142)),IFERROR(BL144/BL142,""),"")</f>
        <v/>
      </c>
      <c r="BM249" s="187">
        <f>IF(AND(ISNUMBER(BM144),ISNUMBER(BM142)),IFERROR(BM144/BM142,""),"")</f>
        <v/>
      </c>
      <c r="BN249" s="187">
        <f>IF(AND(ISNUMBER(BN144),ISNUMBER(BN142)),IFERROR(BN144/BN142,""),"")</f>
        <v/>
      </c>
      <c r="BO249" s="187">
        <f>IF(AND(ISNUMBER(BO144),ISNUMBER(BO142)),IFERROR(BO144/BO142,""),"")</f>
        <v/>
      </c>
      <c r="BP249" s="187">
        <f>IF(AND(ISNUMBER(BP144),ISNUMBER(BP142)),IFERROR(BP144/BP142,""),"")</f>
        <v/>
      </c>
      <c r="BQ249" s="187">
        <f>IF(AND(ISNUMBER(BQ144),ISNUMBER(BQ142)),IFERROR(BQ144/BQ142,""),"")</f>
        <v/>
      </c>
      <c r="BR249" s="187">
        <f>IF(AND(ISNUMBER(BR144),ISNUMBER(BR142)),IFERROR(BR144/BR142,""),"")</f>
        <v/>
      </c>
      <c r="BS249" s="187">
        <f>IF(AND(ISNUMBER(BS144),ISNUMBER(BS142)),IFERROR(BS144/BS142,""),"")</f>
        <v/>
      </c>
      <c r="BT249" s="187">
        <f>IF(AND(ISNUMBER(BT144),ISNUMBER(BT142)),IFERROR(BT144/BT142,""),"")</f>
        <v/>
      </c>
      <c r="BU249" s="187">
        <f>IF(AND(ISNUMBER(BU144),ISNUMBER(BU142)),IFERROR(BU144/BU142,""),"")</f>
        <v/>
      </c>
      <c r="BV249" s="187">
        <f>IF(AND(ISNUMBER(BV144),ISNUMBER(BV142)),IFERROR(BV144/BV142,""),"")</f>
        <v/>
      </c>
      <c r="BW249" s="187">
        <f>IF(AND(ISNUMBER(BW144),ISNUMBER(BW142)),IFERROR(BW144/BW142,""),"")</f>
        <v/>
      </c>
      <c r="BX249" s="187">
        <f>IF(AND(ISNUMBER(BX144),ISNUMBER(BX142)),IFERROR(BX144/BX142,""),"")</f>
        <v/>
      </c>
      <c r="BY249" s="180">
        <f>IF(AND(ISNUMBER(BY144),ISNUMBER(BY142)),IFERROR(BY144/BY142,""),"")</f>
        <v/>
      </c>
      <c r="BZ249" s="180">
        <f>IF(AND(ISNUMBER(BZ144),ISNUMBER(BZ142)),IFERROR(BZ144/BZ142,""),"")</f>
        <v/>
      </c>
      <c r="CA249" s="180">
        <f>IF(AND(ISNUMBER(CA144),ISNUMBER(CA142)),IFERROR(CA144/CA142,""),"")</f>
        <v/>
      </c>
      <c r="CB249" s="180">
        <f>IF(AND(ISNUMBER(CB144),ISNUMBER(CB142)),IFERROR(CB144/CB142,""),"")</f>
        <v/>
      </c>
      <c r="CC249" s="180">
        <f>IF(AND(ISNUMBER(CC144),ISNUMBER(CC142)),IFERROR(CC144/CC142,""),"")</f>
        <v/>
      </c>
      <c r="CD249" s="180">
        <f>IF(AND(ISNUMBER(CD144),ISNUMBER(CD142)),IFERROR(CD144/CD142,""),"")</f>
        <v/>
      </c>
      <c r="CE249" s="180">
        <f>IF(AND(ISNUMBER(CE144),ISNUMBER(CE142)),IFERROR(CE144/CE142,""),"")</f>
        <v/>
      </c>
      <c r="CF249" s="6" t="n"/>
      <c r="CH249" s="39">
        <f>IFERROR(AVERAGE(CA249,CB249,CC249,CD249,CE249),"n/m")</f>
        <v/>
      </c>
      <c r="CI249" s="39">
        <f>IFERROR(AVERAGE(BB249,BG249,BL249,BQ249,BV249),"n/m")</f>
        <v/>
      </c>
      <c r="CJ249" s="39">
        <f>IFERROR(AVERAGE(AC249,AH249,AM249,AR249,AW249,BB249,BG249,BL249,BQ249,BV249),"n/m")</f>
        <v/>
      </c>
      <c r="CK249" s="39">
        <f>IFERROR(AVERAGE(C249,D249,E249,F249,G249,H249,I249,N249,S249,X249,AC249,AH249,AM249,AR249,AW249,BB249,BG249,BL249,BQ249,BV249),"n/m")</f>
        <v/>
      </c>
    </row>
    <row r="250" ht="15" customHeight="1">
      <c r="B250" s="26" t="inlineStr">
        <is>
          <t xml:space="preserve">  Adjusted operating margin %</t>
        </is>
      </c>
      <c r="C250" s="187">
        <f>IF(AND(ISNUMBER(C214),ISNUMBER(C142)),IFERROR(C214/C142,""),"")</f>
        <v/>
      </c>
      <c r="D250" s="187">
        <f>IF(AND(ISNUMBER(D214),ISNUMBER(D142)),IFERROR(D214/D142,""),"")</f>
        <v/>
      </c>
      <c r="E250" s="187">
        <f>IF(AND(ISNUMBER(E214),ISNUMBER(E142)),IFERROR(E214/E142,""),"")</f>
        <v/>
      </c>
      <c r="F250" s="187">
        <f>IF(AND(ISNUMBER(F214),ISNUMBER(F142)),IFERROR(F214/F142,""),"")</f>
        <v/>
      </c>
      <c r="G250" s="187">
        <f>IF(AND(ISNUMBER(G214),ISNUMBER(G142)),IFERROR(G214/G142,""),"")</f>
        <v/>
      </c>
      <c r="H250" s="187">
        <f>IF(AND(ISNUMBER(H214),ISNUMBER(H142)),IFERROR(H214/H142,""),"")</f>
        <v/>
      </c>
      <c r="I250" s="187">
        <f>IF(AND(ISNUMBER(I214),ISNUMBER(I142)),IFERROR(I214/I142,""),"")</f>
        <v/>
      </c>
      <c r="J250" s="187">
        <f>IF(AND(ISNUMBER(J214),ISNUMBER(J142)),IFERROR(J214/J142,""),"")</f>
        <v/>
      </c>
      <c r="K250" s="187">
        <f>IF(AND(ISNUMBER(K214),ISNUMBER(K142)),IFERROR(K214/K142,""),"")</f>
        <v/>
      </c>
      <c r="L250" s="187">
        <f>IF(AND(ISNUMBER(L214),ISNUMBER(L142)),IFERROR(L214/L142,""),"")</f>
        <v/>
      </c>
      <c r="M250" s="187">
        <f>IF(AND(ISNUMBER(M214),ISNUMBER(M142)),IFERROR(M214/M142,""),"")</f>
        <v/>
      </c>
      <c r="N250" s="187">
        <f>IF(AND(ISNUMBER(N214),ISNUMBER(N142)),IFERROR(N214/N142,""),"")</f>
        <v/>
      </c>
      <c r="O250" s="187">
        <f>IF(AND(ISNUMBER(O214),ISNUMBER(O142)),IFERROR(O214/O142,""),"")</f>
        <v/>
      </c>
      <c r="P250" s="187">
        <f>IF(AND(ISNUMBER(P214),ISNUMBER(P142)),IFERROR(P214/P142,""),"")</f>
        <v/>
      </c>
      <c r="Q250" s="187">
        <f>IF(AND(ISNUMBER(Q214),ISNUMBER(Q142)),IFERROR(Q214/Q142,""),"")</f>
        <v/>
      </c>
      <c r="R250" s="187">
        <f>IF(AND(ISNUMBER(R214),ISNUMBER(R142)),IFERROR(R214/R142,""),"")</f>
        <v/>
      </c>
      <c r="S250" s="187">
        <f>IF(AND(ISNUMBER(S214),ISNUMBER(S142)),IFERROR(S214/S142,""),"")</f>
        <v/>
      </c>
      <c r="T250" s="187">
        <f>IF(AND(ISNUMBER(T214),ISNUMBER(T142)),IFERROR(T214/T142,""),"")</f>
        <v/>
      </c>
      <c r="U250" s="187">
        <f>IF(AND(ISNUMBER(U214),ISNUMBER(U142)),IFERROR(U214/U142,""),"")</f>
        <v/>
      </c>
      <c r="V250" s="187">
        <f>IF(AND(ISNUMBER(V214),ISNUMBER(V142)),IFERROR(V214/V142,""),"")</f>
        <v/>
      </c>
      <c r="W250" s="187">
        <f>IF(AND(ISNUMBER(W214),ISNUMBER(W142)),IFERROR(W214/W142,""),"")</f>
        <v/>
      </c>
      <c r="X250" s="187">
        <f>IF(AND(ISNUMBER(X214),ISNUMBER(X142)),IFERROR(X214/X142,""),"")</f>
        <v/>
      </c>
      <c r="Y250" s="187">
        <f>IF(AND(ISNUMBER(Y214),ISNUMBER(Y142)),IFERROR(Y214/Y142,""),"")</f>
        <v/>
      </c>
      <c r="Z250" s="187">
        <f>IF(AND(ISNUMBER(Z214),ISNUMBER(Z142)),IFERROR(Z214/Z142,""),"")</f>
        <v/>
      </c>
      <c r="AA250" s="187">
        <f>IF(AND(ISNUMBER(AA214),ISNUMBER(AA142)),IFERROR(AA214/AA142,""),"")</f>
        <v/>
      </c>
      <c r="AB250" s="187">
        <f>IF(AND(ISNUMBER(AB214),ISNUMBER(AB142)),IFERROR(AB214/AB142,""),"")</f>
        <v/>
      </c>
      <c r="AC250" s="187">
        <f>IF(AND(ISNUMBER(AC214),ISNUMBER(AC142)),IFERROR(AC214/AC142,""),"")</f>
        <v/>
      </c>
      <c r="AD250" s="187">
        <f>IF(AND(ISNUMBER(AD214),ISNUMBER(AD142)),IFERROR(AD214/AD142,""),"")</f>
        <v/>
      </c>
      <c r="AE250" s="187">
        <f>IF(AND(ISNUMBER(AE214),ISNUMBER(AE142)),IFERROR(AE214/AE142,""),"")</f>
        <v/>
      </c>
      <c r="AF250" s="187">
        <f>IF(AND(ISNUMBER(AF214),ISNUMBER(AF142)),IFERROR(AF214/AF142,""),"")</f>
        <v/>
      </c>
      <c r="AG250" s="187">
        <f>IF(AND(ISNUMBER(AG214),ISNUMBER(AG142)),IFERROR(AG214/AG142,""),"")</f>
        <v/>
      </c>
      <c r="AH250" s="187">
        <f>IF(AND(ISNUMBER(AH214),ISNUMBER(AH142)),IFERROR(AH214/AH142,""),"")</f>
        <v/>
      </c>
      <c r="AI250" s="187">
        <f>IF(AND(ISNUMBER(AI214),ISNUMBER(AI142)),IFERROR(AI214/AI142,""),"")</f>
        <v/>
      </c>
      <c r="AJ250" s="187">
        <f>IF(AND(ISNUMBER(AJ214),ISNUMBER(AJ142)),IFERROR(AJ214/AJ142,""),"")</f>
        <v/>
      </c>
      <c r="AK250" s="187">
        <f>IF(AND(ISNUMBER(AK214),ISNUMBER(AK142)),IFERROR(AK214/AK142,""),"")</f>
        <v/>
      </c>
      <c r="AL250" s="187">
        <f>IF(AND(ISNUMBER(AL214),ISNUMBER(AL142)),IFERROR(AL214/AL142,""),"")</f>
        <v/>
      </c>
      <c r="AM250" s="187">
        <f>IF(AND(ISNUMBER(AM214),ISNUMBER(AM142)),IFERROR(AM214/AM142,""),"")</f>
        <v/>
      </c>
      <c r="AN250" s="187">
        <f>IF(AND(ISNUMBER(AN214),ISNUMBER(AN142)),IFERROR(AN214/AN142,""),"")</f>
        <v/>
      </c>
      <c r="AO250" s="187">
        <f>IF(AND(ISNUMBER(AO214),ISNUMBER(AO142)),IFERROR(AO214/AO142,""),"")</f>
        <v/>
      </c>
      <c r="AP250" s="187">
        <f>IF(AND(ISNUMBER(AP214),ISNUMBER(AP142)),IFERROR(AP214/AP142,""),"")</f>
        <v/>
      </c>
      <c r="AQ250" s="187">
        <f>IF(AND(ISNUMBER(AQ214),ISNUMBER(AQ142)),IFERROR(AQ214/AQ142,""),"")</f>
        <v/>
      </c>
      <c r="AR250" s="187">
        <f>IF(AND(ISNUMBER(AR214),ISNUMBER(AR142)),IFERROR(AR214/AR142,""),"")</f>
        <v/>
      </c>
      <c r="AS250" s="187">
        <f>IF(AND(ISNUMBER(AS214),ISNUMBER(AS142)),IFERROR(AS214/AS142,""),"")</f>
        <v/>
      </c>
      <c r="AT250" s="187">
        <f>IF(AND(ISNUMBER(AT214),ISNUMBER(AT142)),IFERROR(AT214/AT142,""),"")</f>
        <v/>
      </c>
      <c r="AU250" s="187">
        <f>IF(AND(ISNUMBER(AU214),ISNUMBER(AU142)),IFERROR(AU214/AU142,""),"")</f>
        <v/>
      </c>
      <c r="AV250" s="187">
        <f>IF(AND(ISNUMBER(AV214),ISNUMBER(AV142)),IFERROR(AV214/AV142,""),"")</f>
        <v/>
      </c>
      <c r="AW250" s="187">
        <f>IF(AND(ISNUMBER(AW214),ISNUMBER(AW142)),IFERROR(AW214/AW142,""),"")</f>
        <v/>
      </c>
      <c r="AX250" s="187">
        <f>IF(AND(ISNUMBER(AX214),ISNUMBER(AX142)),IFERROR(AX214/AX142,""),"")</f>
        <v/>
      </c>
      <c r="AY250" s="187">
        <f>IF(AND(ISNUMBER(AY214),ISNUMBER(AY142)),IFERROR(AY214/AY142,""),"")</f>
        <v/>
      </c>
      <c r="AZ250" s="187">
        <f>IF(AND(ISNUMBER(AZ214),ISNUMBER(AZ142)),IFERROR(AZ214/AZ142,""),"")</f>
        <v/>
      </c>
      <c r="BA250" s="187">
        <f>IF(AND(ISNUMBER(BA214),ISNUMBER(BA142)),IFERROR(BA214/BA142,""),"")</f>
        <v/>
      </c>
      <c r="BB250" s="187">
        <f>IF(AND(ISNUMBER(BB214),ISNUMBER(BB142)),IFERROR(BB214/BB142,""),"")</f>
        <v/>
      </c>
      <c r="BC250" s="187">
        <f>IF(AND(ISNUMBER(BC214),ISNUMBER(BC142)),IFERROR(BC214/BC142,""),"")</f>
        <v/>
      </c>
      <c r="BD250" s="187">
        <f>IF(AND(ISNUMBER(BD214),ISNUMBER(BD142)),IFERROR(BD214/BD142,""),"")</f>
        <v/>
      </c>
      <c r="BE250" s="187">
        <f>IF(AND(ISNUMBER(BE214),ISNUMBER(BE142)),IFERROR(BE214/BE142,""),"")</f>
        <v/>
      </c>
      <c r="BF250" s="187">
        <f>IF(AND(ISNUMBER(BF214),ISNUMBER(BF142)),IFERROR(BF214/BF142,""),"")</f>
        <v/>
      </c>
      <c r="BG250" s="187">
        <f>IF(AND(ISNUMBER(BG214),ISNUMBER(BG142)),IFERROR(BG214/BG142,""),"")</f>
        <v/>
      </c>
      <c r="BH250" s="187">
        <f>IF(AND(ISNUMBER(BH214),ISNUMBER(BH142)),IFERROR(BH214/BH142,""),"")</f>
        <v/>
      </c>
      <c r="BI250" s="187">
        <f>IF(AND(ISNUMBER(BI214),ISNUMBER(BI142)),IFERROR(BI214/BI142,""),"")</f>
        <v/>
      </c>
      <c r="BJ250" s="187">
        <f>IF(AND(ISNUMBER(BJ214),ISNUMBER(BJ142)),IFERROR(BJ214/BJ142,""),"")</f>
        <v/>
      </c>
      <c r="BK250" s="187">
        <f>IF(AND(ISNUMBER(BK214),ISNUMBER(BK142)),IFERROR(BK214/BK142,""),"")</f>
        <v/>
      </c>
      <c r="BL250" s="187">
        <f>IF(AND(ISNUMBER(BL214),ISNUMBER(BL142)),IFERROR(BL214/BL142,""),"")</f>
        <v/>
      </c>
      <c r="BM250" s="187">
        <f>IF(AND(ISNUMBER(BM214),ISNUMBER(BM142)),IFERROR(BM214/BM142,""),"")</f>
        <v/>
      </c>
      <c r="BN250" s="187">
        <f>IF(AND(ISNUMBER(BN214),ISNUMBER(BN142)),IFERROR(BN214/BN142,""),"")</f>
        <v/>
      </c>
      <c r="BO250" s="187">
        <f>IF(AND(ISNUMBER(BO214),ISNUMBER(BO142)),IFERROR(BO214/BO142,""),"")</f>
        <v/>
      </c>
      <c r="BP250" s="187">
        <f>IF(AND(ISNUMBER(BP214),ISNUMBER(BP142)),IFERROR(BP214/BP142,""),"")</f>
        <v/>
      </c>
      <c r="BQ250" s="187">
        <f>IF(AND(ISNUMBER(BQ214),ISNUMBER(BQ142)),IFERROR(BQ214/BQ142,""),"")</f>
        <v/>
      </c>
      <c r="BR250" s="187">
        <f>IF(AND(ISNUMBER(BR214),ISNUMBER(BR142)),IFERROR(BR214/BR142,""),"")</f>
        <v/>
      </c>
      <c r="BS250" s="187">
        <f>IF(AND(ISNUMBER(BS214),ISNUMBER(BS142)),IFERROR(BS214/BS142,""),"")</f>
        <v/>
      </c>
      <c r="BT250" s="187">
        <f>IF(AND(ISNUMBER(BT214),ISNUMBER(BT142)),IFERROR(BT214/BT142,""),"")</f>
        <v/>
      </c>
      <c r="BU250" s="187">
        <f>IF(AND(ISNUMBER(BU214),ISNUMBER(BU142)),IFERROR(BU214/BU142,""),"")</f>
        <v/>
      </c>
      <c r="BV250" s="187">
        <f>IF(AND(ISNUMBER(BV214),ISNUMBER(BV142)),IFERROR(BV214/BV142,""),"")</f>
        <v/>
      </c>
      <c r="BW250" s="187">
        <f>IF(AND(ISNUMBER(BW214),ISNUMBER(BW142)),IFERROR(BW214/BW142,""),"")</f>
        <v/>
      </c>
      <c r="BX250" s="187">
        <f>IF(AND(ISNUMBER(BX214),ISNUMBER(BX142)),IFERROR(BX214/BX142,""),"")</f>
        <v/>
      </c>
      <c r="BY250" s="180">
        <f>IF(AND(ISNUMBER(BY214),ISNUMBER(BY142)),IFERROR(BY214/BY142,""),"")</f>
        <v/>
      </c>
      <c r="BZ250" s="180">
        <f>IF(AND(ISNUMBER(BZ214),ISNUMBER(BZ142)),IFERROR(BZ214/BZ142,""),"")</f>
        <v/>
      </c>
      <c r="CA250" s="180">
        <f>IF(AND(ISNUMBER(CA214),ISNUMBER(CA142)),IFERROR(CA214/CA142,""),"")</f>
        <v/>
      </c>
      <c r="CB250" s="180">
        <f>IF(AND(ISNUMBER(CB214),ISNUMBER(CB142)),IFERROR(CB214/CB142,""),"")</f>
        <v/>
      </c>
      <c r="CC250" s="180">
        <f>IF(AND(ISNUMBER(CC214),ISNUMBER(CC142)),IFERROR(CC214/CC142,""),"")</f>
        <v/>
      </c>
      <c r="CD250" s="180">
        <f>IF(AND(ISNUMBER(CD214),ISNUMBER(CD142)),IFERROR(CD214/CD142,""),"")</f>
        <v/>
      </c>
      <c r="CE250" s="180">
        <f>IF(AND(ISNUMBER(CE214),ISNUMBER(CE142)),IFERROR(CE214/CE142,""),"")</f>
        <v/>
      </c>
      <c r="CF250" s="6" t="n"/>
      <c r="CH250" s="39">
        <f>IFERROR(AVERAGE(CA250,CB250,CC250,CD250,CE250),"n/m")</f>
        <v/>
      </c>
      <c r="CI250" s="39">
        <f>IFERROR(AVERAGE(BB250,BG250,BL250,BQ250,BV250),"n/m")</f>
        <v/>
      </c>
      <c r="CJ250" s="39">
        <f>IFERROR(AVERAGE(AC250,AH250,AM250,AR250,AW250,BB250,BG250,BL250,BQ250,BV250),"n/m")</f>
        <v/>
      </c>
      <c r="CK250" s="39">
        <f>IFERROR(AVERAGE(C250,D250,E250,F250,G250,H250,I250,N250,S250,X250,AC250,AH250,AM250,AR250,AW250,BB250,BG250,BL250,BQ250,BV250),"n/m")</f>
        <v/>
      </c>
    </row>
    <row r="251" ht="15" customHeight="1">
      <c r="B251" s="26" t="inlineStr">
        <is>
          <t xml:space="preserve">  Adjusted EBITDA margin %</t>
        </is>
      </c>
      <c r="C251" s="187">
        <f>IF(AND(ISNUMBER(C194),ISNUMBER(C142)),IFERROR(C194/C142,""),"")</f>
        <v/>
      </c>
      <c r="D251" s="187">
        <f>IF(AND(ISNUMBER(D194),ISNUMBER(D142)),IFERROR(D194/D142,""),"")</f>
        <v/>
      </c>
      <c r="E251" s="187">
        <f>IF(AND(ISNUMBER(E194),ISNUMBER(E142)),IFERROR(E194/E142,""),"")</f>
        <v/>
      </c>
      <c r="F251" s="187">
        <f>IF(AND(ISNUMBER(F194),ISNUMBER(F142)),IFERROR(F194/F142,""),"")</f>
        <v/>
      </c>
      <c r="G251" s="187">
        <f>IF(AND(ISNUMBER(G194),ISNUMBER(G142)),IFERROR(G194/G142,""),"")</f>
        <v/>
      </c>
      <c r="H251" s="187">
        <f>IF(AND(ISNUMBER(H194),ISNUMBER(H142)),IFERROR(H194/H142,""),"")</f>
        <v/>
      </c>
      <c r="I251" s="187">
        <f>IF(AND(ISNUMBER(I194),ISNUMBER(I142)),IFERROR(I194/I142,""),"")</f>
        <v/>
      </c>
      <c r="J251" s="187">
        <f>IF(AND(ISNUMBER(J194),ISNUMBER(J142)),IFERROR(J194/J142,""),"")</f>
        <v/>
      </c>
      <c r="K251" s="187">
        <f>IF(AND(ISNUMBER(K194),ISNUMBER(K142)),IFERROR(K194/K142,""),"")</f>
        <v/>
      </c>
      <c r="L251" s="187">
        <f>IF(AND(ISNUMBER(L194),ISNUMBER(L142)),IFERROR(L194/L142,""),"")</f>
        <v/>
      </c>
      <c r="M251" s="187">
        <f>IF(AND(ISNUMBER(M194),ISNUMBER(M142)),IFERROR(M194/M142,""),"")</f>
        <v/>
      </c>
      <c r="N251" s="187">
        <f>IF(AND(ISNUMBER(N194),ISNUMBER(N142)),IFERROR(N194/N142,""),"")</f>
        <v/>
      </c>
      <c r="O251" s="187">
        <f>IF(AND(ISNUMBER(O194),ISNUMBER(O142)),IFERROR(O194/O142,""),"")</f>
        <v/>
      </c>
      <c r="P251" s="187">
        <f>IF(AND(ISNUMBER(P194),ISNUMBER(P142)),IFERROR(P194/P142,""),"")</f>
        <v/>
      </c>
      <c r="Q251" s="187">
        <f>IF(AND(ISNUMBER(Q194),ISNUMBER(Q142)),IFERROR(Q194/Q142,""),"")</f>
        <v/>
      </c>
      <c r="R251" s="187">
        <f>IF(AND(ISNUMBER(R194),ISNUMBER(R142)),IFERROR(R194/R142,""),"")</f>
        <v/>
      </c>
      <c r="S251" s="187">
        <f>IF(AND(ISNUMBER(S194),ISNUMBER(S142)),IFERROR(S194/S142,""),"")</f>
        <v/>
      </c>
      <c r="T251" s="187">
        <f>IF(AND(ISNUMBER(T194),ISNUMBER(T142)),IFERROR(T194/T142,""),"")</f>
        <v/>
      </c>
      <c r="U251" s="187">
        <f>IF(AND(ISNUMBER(U194),ISNUMBER(U142)),IFERROR(U194/U142,""),"")</f>
        <v/>
      </c>
      <c r="V251" s="187">
        <f>IF(AND(ISNUMBER(V194),ISNUMBER(V142)),IFERROR(V194/V142,""),"")</f>
        <v/>
      </c>
      <c r="W251" s="187">
        <f>IF(AND(ISNUMBER(W194),ISNUMBER(W142)),IFERROR(W194/W142,""),"")</f>
        <v/>
      </c>
      <c r="X251" s="187">
        <f>IF(AND(ISNUMBER(X194),ISNUMBER(X142)),IFERROR(X194/X142,""),"")</f>
        <v/>
      </c>
      <c r="Y251" s="187">
        <f>IF(AND(ISNUMBER(Y194),ISNUMBER(Y142)),IFERROR(Y194/Y142,""),"")</f>
        <v/>
      </c>
      <c r="Z251" s="187">
        <f>IF(AND(ISNUMBER(Z194),ISNUMBER(Z142)),IFERROR(Z194/Z142,""),"")</f>
        <v/>
      </c>
      <c r="AA251" s="187">
        <f>IF(AND(ISNUMBER(AA194),ISNUMBER(AA142)),IFERROR(AA194/AA142,""),"")</f>
        <v/>
      </c>
      <c r="AB251" s="187">
        <f>IF(AND(ISNUMBER(AB194),ISNUMBER(AB142)),IFERROR(AB194/AB142,""),"")</f>
        <v/>
      </c>
      <c r="AC251" s="187">
        <f>IF(AND(ISNUMBER(AC194),ISNUMBER(AC142)),IFERROR(AC194/AC142,""),"")</f>
        <v/>
      </c>
      <c r="AD251" s="187">
        <f>IF(AND(ISNUMBER(AD194),ISNUMBER(AD142)),IFERROR(AD194/AD142,""),"")</f>
        <v/>
      </c>
      <c r="AE251" s="187">
        <f>IF(AND(ISNUMBER(AE194),ISNUMBER(AE142)),IFERROR(AE194/AE142,""),"")</f>
        <v/>
      </c>
      <c r="AF251" s="187">
        <f>IF(AND(ISNUMBER(AF194),ISNUMBER(AF142)),IFERROR(AF194/AF142,""),"")</f>
        <v/>
      </c>
      <c r="AG251" s="187">
        <f>IF(AND(ISNUMBER(AG194),ISNUMBER(AG142)),IFERROR(AG194/AG142,""),"")</f>
        <v/>
      </c>
      <c r="AH251" s="187">
        <f>IF(AND(ISNUMBER(AH194),ISNUMBER(AH142)),IFERROR(AH194/AH142,""),"")</f>
        <v/>
      </c>
      <c r="AI251" s="187">
        <f>IF(AND(ISNUMBER(AI194),ISNUMBER(AI142)),IFERROR(AI194/AI142,""),"")</f>
        <v/>
      </c>
      <c r="AJ251" s="187">
        <f>IF(AND(ISNUMBER(AJ194),ISNUMBER(AJ142)),IFERROR(AJ194/AJ142,""),"")</f>
        <v/>
      </c>
      <c r="AK251" s="187">
        <f>IF(AND(ISNUMBER(AK194),ISNUMBER(AK142)),IFERROR(AK194/AK142,""),"")</f>
        <v/>
      </c>
      <c r="AL251" s="187">
        <f>IF(AND(ISNUMBER(AL194),ISNUMBER(AL142)),IFERROR(AL194/AL142,""),"")</f>
        <v/>
      </c>
      <c r="AM251" s="187">
        <f>IF(AND(ISNUMBER(AM194),ISNUMBER(AM142)),IFERROR(AM194/AM142,""),"")</f>
        <v/>
      </c>
      <c r="AN251" s="187">
        <f>IF(AND(ISNUMBER(AN194),ISNUMBER(AN142)),IFERROR(AN194/AN142,""),"")</f>
        <v/>
      </c>
      <c r="AO251" s="187">
        <f>IF(AND(ISNUMBER(AO194),ISNUMBER(AO142)),IFERROR(AO194/AO142,""),"")</f>
        <v/>
      </c>
      <c r="AP251" s="187">
        <f>IF(AND(ISNUMBER(AP194),ISNUMBER(AP142)),IFERROR(AP194/AP142,""),"")</f>
        <v/>
      </c>
      <c r="AQ251" s="187">
        <f>IF(AND(ISNUMBER(AQ194),ISNUMBER(AQ142)),IFERROR(AQ194/AQ142,""),"")</f>
        <v/>
      </c>
      <c r="AR251" s="187">
        <f>IF(AND(ISNUMBER(AR194),ISNUMBER(AR142)),IFERROR(AR194/AR142,""),"")</f>
        <v/>
      </c>
      <c r="AS251" s="187">
        <f>IF(AND(ISNUMBER(AS194),ISNUMBER(AS142)),IFERROR(AS194/AS142,""),"")</f>
        <v/>
      </c>
      <c r="AT251" s="187">
        <f>IF(AND(ISNUMBER(AT194),ISNUMBER(AT142)),IFERROR(AT194/AT142,""),"")</f>
        <v/>
      </c>
      <c r="AU251" s="187">
        <f>IF(AND(ISNUMBER(AU194),ISNUMBER(AU142)),IFERROR(AU194/AU142,""),"")</f>
        <v/>
      </c>
      <c r="AV251" s="187">
        <f>IF(AND(ISNUMBER(AV194),ISNUMBER(AV142)),IFERROR(AV194/AV142,""),"")</f>
        <v/>
      </c>
      <c r="AW251" s="187">
        <f>IF(AND(ISNUMBER(AW194),ISNUMBER(AW142)),IFERROR(AW194/AW142,""),"")</f>
        <v/>
      </c>
      <c r="AX251" s="187">
        <f>IF(AND(ISNUMBER(AX194),ISNUMBER(AX142)),IFERROR(AX194/AX142,""),"")</f>
        <v/>
      </c>
      <c r="AY251" s="187">
        <f>IF(AND(ISNUMBER(AY194),ISNUMBER(AY142)),IFERROR(AY194/AY142,""),"")</f>
        <v/>
      </c>
      <c r="AZ251" s="187">
        <f>IF(AND(ISNUMBER(AZ194),ISNUMBER(AZ142)),IFERROR(AZ194/AZ142,""),"")</f>
        <v/>
      </c>
      <c r="BA251" s="187">
        <f>IF(AND(ISNUMBER(BA194),ISNUMBER(BA142)),IFERROR(BA194/BA142,""),"")</f>
        <v/>
      </c>
      <c r="BB251" s="187">
        <f>IF(AND(ISNUMBER(BB194),ISNUMBER(BB142)),IFERROR(BB194/BB142,""),"")</f>
        <v/>
      </c>
      <c r="BC251" s="187">
        <f>IF(AND(ISNUMBER(BC194),ISNUMBER(BC142)),IFERROR(BC194/BC142,""),"")</f>
        <v/>
      </c>
      <c r="BD251" s="187">
        <f>IF(AND(ISNUMBER(BD194),ISNUMBER(BD142)),IFERROR(BD194/BD142,""),"")</f>
        <v/>
      </c>
      <c r="BE251" s="187">
        <f>IF(AND(ISNUMBER(BE194),ISNUMBER(BE142)),IFERROR(BE194/BE142,""),"")</f>
        <v/>
      </c>
      <c r="BF251" s="187">
        <f>IF(AND(ISNUMBER(BF194),ISNUMBER(BF142)),IFERROR(BF194/BF142,""),"")</f>
        <v/>
      </c>
      <c r="BG251" s="187">
        <f>IF(AND(ISNUMBER(BG194),ISNUMBER(BG142)),IFERROR(BG194/BG142,""),"")</f>
        <v/>
      </c>
      <c r="BH251" s="187">
        <f>IF(AND(ISNUMBER(BH194),ISNUMBER(BH142)),IFERROR(BH194/BH142,""),"")</f>
        <v/>
      </c>
      <c r="BI251" s="187">
        <f>IF(AND(ISNUMBER(BI194),ISNUMBER(BI142)),IFERROR(BI194/BI142,""),"")</f>
        <v/>
      </c>
      <c r="BJ251" s="187">
        <f>IF(AND(ISNUMBER(BJ194),ISNUMBER(BJ142)),IFERROR(BJ194/BJ142,""),"")</f>
        <v/>
      </c>
      <c r="BK251" s="187">
        <f>IF(AND(ISNUMBER(BK194),ISNUMBER(BK142)),IFERROR(BK194/BK142,""),"")</f>
        <v/>
      </c>
      <c r="BL251" s="187">
        <f>IF(AND(ISNUMBER(BL194),ISNUMBER(BL142)),IFERROR(BL194/BL142,""),"")</f>
        <v/>
      </c>
      <c r="BM251" s="187">
        <f>IF(AND(ISNUMBER(BM194),ISNUMBER(BM142)),IFERROR(BM194/BM142,""),"")</f>
        <v/>
      </c>
      <c r="BN251" s="187">
        <f>IF(AND(ISNUMBER(BN194),ISNUMBER(BN142)),IFERROR(BN194/BN142,""),"")</f>
        <v/>
      </c>
      <c r="BO251" s="187">
        <f>IF(AND(ISNUMBER(BO194),ISNUMBER(BO142)),IFERROR(BO194/BO142,""),"")</f>
        <v/>
      </c>
      <c r="BP251" s="187">
        <f>IF(AND(ISNUMBER(BP194),ISNUMBER(BP142)),IFERROR(BP194/BP142,""),"")</f>
        <v/>
      </c>
      <c r="BQ251" s="187">
        <f>IF(AND(ISNUMBER(BQ194),ISNUMBER(BQ142)),IFERROR(BQ194/BQ142,""),"")</f>
        <v/>
      </c>
      <c r="BR251" s="187">
        <f>IF(AND(ISNUMBER(BR194),ISNUMBER(BR142)),IFERROR(BR194/BR142,""),"")</f>
        <v/>
      </c>
      <c r="BS251" s="187">
        <f>IF(AND(ISNUMBER(BS194),ISNUMBER(BS142)),IFERROR(BS194/BS142,""),"")</f>
        <v/>
      </c>
      <c r="BT251" s="187">
        <f>IF(AND(ISNUMBER(BT194),ISNUMBER(BT142)),IFERROR(BT194/BT142,""),"")</f>
        <v/>
      </c>
      <c r="BU251" s="187">
        <f>IF(AND(ISNUMBER(BU194),ISNUMBER(BU142)),IFERROR(BU194/BU142,""),"")</f>
        <v/>
      </c>
      <c r="BV251" s="187">
        <f>IF(AND(ISNUMBER(BV194),ISNUMBER(BV142)),IFERROR(BV194/BV142,""),"")</f>
        <v/>
      </c>
      <c r="BW251" s="187">
        <f>IF(AND(ISNUMBER(BW194),ISNUMBER(BW142)),IFERROR(BW194/BW142,""),"")</f>
        <v/>
      </c>
      <c r="BX251" s="187">
        <f>IF(AND(ISNUMBER(BX194),ISNUMBER(BX142)),IFERROR(BX194/BX142,""),"")</f>
        <v/>
      </c>
      <c r="BY251" s="180">
        <f>IF(AND(ISNUMBER(BY194),ISNUMBER(BY142)),IFERROR(BY194/BY142,""),"")</f>
        <v/>
      </c>
      <c r="BZ251" s="180">
        <f>IF(AND(ISNUMBER(BZ194),ISNUMBER(BZ142)),IFERROR(BZ194/BZ142,""),"")</f>
        <v/>
      </c>
      <c r="CA251" s="180">
        <f>IF(AND(ISNUMBER(CA194),ISNUMBER(CA142)),IFERROR(CA194/CA142,""),"")</f>
        <v/>
      </c>
      <c r="CB251" s="180">
        <f>IF(AND(ISNUMBER(CB194),ISNUMBER(CB142)),IFERROR(CB194/CB142,""),"")</f>
        <v/>
      </c>
      <c r="CC251" s="180">
        <f>IF(AND(ISNUMBER(CC194),ISNUMBER(CC142)),IFERROR(CC194/CC142,""),"")</f>
        <v/>
      </c>
      <c r="CD251" s="180">
        <f>IF(AND(ISNUMBER(CD194),ISNUMBER(CD142)),IFERROR(CD194/CD142,""),"")</f>
        <v/>
      </c>
      <c r="CE251" s="180">
        <f>IF(AND(ISNUMBER(CE194),ISNUMBER(CE142)),IFERROR(CE194/CE142,""),"")</f>
        <v/>
      </c>
      <c r="CF251" s="6" t="n"/>
      <c r="CH251" s="39">
        <f>IFERROR(AVERAGE(CA251,CB251,CC251,CD251,CE251),"n/m")</f>
        <v/>
      </c>
      <c r="CI251" s="39">
        <f>IFERROR(AVERAGE(BB251,BG251,BL251,BQ251,BV251),"n/m")</f>
        <v/>
      </c>
      <c r="CJ251" s="39">
        <f>IFERROR(AVERAGE(AC251,AH251,AM251,AR251,AW251,BB251,BG251,BL251,BQ251,BV251),"n/m")</f>
        <v/>
      </c>
      <c r="CK251" s="39">
        <f>IFERROR(AVERAGE(C251,D251,E251,F251,G251,H251,I251,N251,S251,X251,AC251,AH251,AM251,AR251,AW251,BB251,BG251,BL251,BQ251,BV251),"n/m")</f>
        <v/>
      </c>
    </row>
    <row r="252" ht="15" customHeight="1">
      <c r="B252" s="26" t="inlineStr">
        <is>
          <t xml:space="preserve">  Incremental Adjusted EBITDA margin (ΔEBITDA / ΔSales)</t>
        </is>
      </c>
      <c r="C252" s="38" t="n"/>
      <c r="D252" s="187">
        <f>IFERROR((D194-C194)/(D142-C142),"")</f>
        <v/>
      </c>
      <c r="E252" s="187">
        <f>IFERROR((E194-D194)/(E142-D142),"")</f>
        <v/>
      </c>
      <c r="F252" s="187">
        <f>IFERROR((F194-E194)/(F142-E142),"")</f>
        <v/>
      </c>
      <c r="G252" s="187">
        <f>IFERROR((G194-F194)/(G142-F142),"")</f>
        <v/>
      </c>
      <c r="H252" s="187">
        <f>IFERROR((H194-G194)/(H142-G142),"")</f>
        <v/>
      </c>
      <c r="I252" s="187">
        <f>IFERROR((I194-H194)/(I142-H142),"")</f>
        <v/>
      </c>
      <c r="J252" s="38" t="n"/>
      <c r="K252" s="38" t="n"/>
      <c r="L252" s="38" t="n"/>
      <c r="M252" s="38" t="n"/>
      <c r="N252" s="187">
        <f>IFERROR((N194-I194)/(N142-I142),"")</f>
        <v/>
      </c>
      <c r="O252" s="187">
        <f>IFERROR((O194-J194)/(O142-J142),"")</f>
        <v/>
      </c>
      <c r="P252" s="187">
        <f>IFERROR((P194-K194)/(P142-K142),"")</f>
        <v/>
      </c>
      <c r="Q252" s="187">
        <f>IFERROR((Q194-L194)/(Q142-L142),"")</f>
        <v/>
      </c>
      <c r="R252" s="187">
        <f>IFERROR((R194-M194)/(R142-M142),"")</f>
        <v/>
      </c>
      <c r="S252" s="187">
        <f>IFERROR((S194-N194)/(S142-N142),"")</f>
        <v/>
      </c>
      <c r="T252" s="187">
        <f>IFERROR((T194-O194)/(T142-O142),"")</f>
        <v/>
      </c>
      <c r="U252" s="187">
        <f>IFERROR((U194-P194)/(U142-P142),"")</f>
        <v/>
      </c>
      <c r="V252" s="187">
        <f>IFERROR((V194-Q194)/(V142-Q142),"")</f>
        <v/>
      </c>
      <c r="W252" s="187">
        <f>IFERROR((W194-R194)/(W142-R142),"")</f>
        <v/>
      </c>
      <c r="X252" s="187">
        <f>IFERROR((X194-S194)/(X142-S142),"")</f>
        <v/>
      </c>
      <c r="Y252" s="187">
        <f>IFERROR((Y194-T194)/(Y142-T142),"")</f>
        <v/>
      </c>
      <c r="Z252" s="187">
        <f>IFERROR((Z194-U194)/(Z142-U142),"")</f>
        <v/>
      </c>
      <c r="AA252" s="187">
        <f>IFERROR((AA194-V194)/(AA142-V142),"")</f>
        <v/>
      </c>
      <c r="AB252" s="187">
        <f>IFERROR((AB194-W194)/(AB142-W142),"")</f>
        <v/>
      </c>
      <c r="AC252" s="187">
        <f>IFERROR((AC194-X194)/(AC142-X142),"")</f>
        <v/>
      </c>
      <c r="AD252" s="187">
        <f>IFERROR((AD194-Y194)/(AD142-Y142),"")</f>
        <v/>
      </c>
      <c r="AE252" s="187">
        <f>IFERROR((AE194-Z194)/(AE142-Z142),"")</f>
        <v/>
      </c>
      <c r="AF252" s="187">
        <f>IFERROR((AF194-AA194)/(AF142-AA142),"")</f>
        <v/>
      </c>
      <c r="AG252" s="187">
        <f>IFERROR((AG194-AB194)/(AG142-AB142),"")</f>
        <v/>
      </c>
      <c r="AH252" s="187">
        <f>IFERROR((AH194-AC194)/(AH142-AC142),"")</f>
        <v/>
      </c>
      <c r="AI252" s="187">
        <f>IFERROR((AI194-AD194)/(AI142-AD142),"")</f>
        <v/>
      </c>
      <c r="AJ252" s="187">
        <f>IFERROR((AJ194-AE194)/(AJ142-AE142),"")</f>
        <v/>
      </c>
      <c r="AK252" s="187">
        <f>IFERROR((AK194-AF194)/(AK142-AF142),"")</f>
        <v/>
      </c>
      <c r="AL252" s="187">
        <f>IFERROR((AL194-AG194)/(AL142-AG142),"")</f>
        <v/>
      </c>
      <c r="AM252" s="187">
        <f>IFERROR((AM194-AH194)/(AM142-AH142),"")</f>
        <v/>
      </c>
      <c r="AN252" s="187">
        <f>IFERROR((AN194-AI194)/(AN142-AI142),"")</f>
        <v/>
      </c>
      <c r="AO252" s="187">
        <f>IFERROR((AO194-AJ194)/(AO142-AJ142),"")</f>
        <v/>
      </c>
      <c r="AP252" s="187">
        <f>IFERROR((AP194-AK194)/(AP142-AK142),"")</f>
        <v/>
      </c>
      <c r="AQ252" s="187">
        <f>IFERROR((AQ194-AL194)/(AQ142-AL142),"")</f>
        <v/>
      </c>
      <c r="AR252" s="187">
        <f>IFERROR((AR194-AM194)/(AR142-AM142),"")</f>
        <v/>
      </c>
      <c r="AS252" s="187">
        <f>IFERROR((AS194-AN194)/(AS142-AN142),"")</f>
        <v/>
      </c>
      <c r="AT252" s="187">
        <f>IFERROR((AT194-AO194)/(AT142-AO142),"")</f>
        <v/>
      </c>
      <c r="AU252" s="187">
        <f>IFERROR((AU194-AP194)/(AU142-AP142),"")</f>
        <v/>
      </c>
      <c r="AV252" s="187">
        <f>IFERROR((AV194-AQ194)/(AV142-AQ142),"")</f>
        <v/>
      </c>
      <c r="AW252" s="187">
        <f>IFERROR((AW194-AR194)/(AW142-AR142),"")</f>
        <v/>
      </c>
      <c r="AX252" s="187">
        <f>IFERROR((AX194-AS194)/(AX142-AS142),"")</f>
        <v/>
      </c>
      <c r="AY252" s="187">
        <f>IFERROR((AY194-AT194)/(AY142-AT142),"")</f>
        <v/>
      </c>
      <c r="AZ252" s="187">
        <f>IFERROR((AZ194-AU194)/(AZ142-AU142),"")</f>
        <v/>
      </c>
      <c r="BA252" s="187">
        <f>IFERROR((BA194-AV194)/(BA142-AV142),"")</f>
        <v/>
      </c>
      <c r="BB252" s="187">
        <f>IFERROR((BB194-AW194)/(BB142-AW142),"")</f>
        <v/>
      </c>
      <c r="BC252" s="187">
        <f>IFERROR((BC194-AX194)/(BC142-AX142),"")</f>
        <v/>
      </c>
      <c r="BD252" s="187">
        <f>IFERROR((BD194-AY194)/(BD142-AY142),"")</f>
        <v/>
      </c>
      <c r="BE252" s="187">
        <f>IFERROR((BE194-AZ194)/(BE142-AZ142),"")</f>
        <v/>
      </c>
      <c r="BF252" s="187">
        <f>IFERROR((BF194-BA194)/(BF142-BA142),"")</f>
        <v/>
      </c>
      <c r="BG252" s="187">
        <f>IFERROR((BG194-BB194)/(BG142-BB142),"")</f>
        <v/>
      </c>
      <c r="BH252" s="187">
        <f>IFERROR((BH194-BC194)/(BH142-BC142),"")</f>
        <v/>
      </c>
      <c r="BI252" s="187">
        <f>IFERROR((BI194-BD194)/(BI142-BD142),"")</f>
        <v/>
      </c>
      <c r="BJ252" s="187">
        <f>IFERROR((BJ194-BE194)/(BJ142-BE142),"")</f>
        <v/>
      </c>
      <c r="BK252" s="187">
        <f>IFERROR((BK194-BF194)/(BK142-BF142),"")</f>
        <v/>
      </c>
      <c r="BL252" s="187">
        <f>IFERROR((BL194-BG194)/(BL142-BG142),"")</f>
        <v/>
      </c>
      <c r="BM252" s="187">
        <f>IFERROR((BM194-BH194)/(BM142-BH142),"")</f>
        <v/>
      </c>
      <c r="BN252" s="187">
        <f>IFERROR((BN194-BI194)/(BN142-BI142),"")</f>
        <v/>
      </c>
      <c r="BO252" s="187">
        <f>IFERROR((BO194-BJ194)/(BO142-BJ142),"")</f>
        <v/>
      </c>
      <c r="BP252" s="187">
        <f>IFERROR((BP194-BK194)/(BP142-BK142),"")</f>
        <v/>
      </c>
      <c r="BQ252" s="187">
        <f>IFERROR((BQ194-BL194)/(BQ142-BL142),"")</f>
        <v/>
      </c>
      <c r="BR252" s="187">
        <f>IFERROR((BR194-BM194)/(BR142-BM142),"")</f>
        <v/>
      </c>
      <c r="BS252" s="187">
        <f>IFERROR((BS194-BN194)/(BS142-BN142),"")</f>
        <v/>
      </c>
      <c r="BT252" s="187">
        <f>IFERROR((BT194-BO194)/(BT142-BO142),"")</f>
        <v/>
      </c>
      <c r="BU252" s="187">
        <f>IFERROR((BU194-BP194)/(BU142-BP142),"")</f>
        <v/>
      </c>
      <c r="BV252" s="187">
        <f>IFERROR((BV194-BQ194)/(BV142-BQ142),"")</f>
        <v/>
      </c>
      <c r="BW252" s="187">
        <f>IFERROR((BW194-BR194)/(BW142-BR142),"")</f>
        <v/>
      </c>
      <c r="BX252" s="187">
        <f>IFERROR((BX194-BS194)/(BX142-BS142),"")</f>
        <v/>
      </c>
      <c r="BY252" s="180">
        <f>IFERROR((BY194-BT194)/(BY142-BT142),"")</f>
        <v/>
      </c>
      <c r="BZ252" s="180">
        <f>IFERROR((BZ194-BU194)/(BZ142-BU142),"")</f>
        <v/>
      </c>
      <c r="CA252" s="180">
        <f>IFERROR((CA194-BV194)/(CA142-BV142),"")</f>
        <v/>
      </c>
      <c r="CB252" s="180">
        <f>IFERROR((CB194-CA194)/(CB142-CA142),"")</f>
        <v/>
      </c>
      <c r="CC252" s="180">
        <f>IFERROR((CC194-CB194)/(CC142-CB142),"")</f>
        <v/>
      </c>
      <c r="CD252" s="180">
        <f>IFERROR((CD194-CC194)/(CD142-CC142),"")</f>
        <v/>
      </c>
      <c r="CE252" s="180">
        <f>IFERROR((CE194-CD194)/(CE142-CD142),"")</f>
        <v/>
      </c>
      <c r="CF252" s="6" t="n"/>
    </row>
    <row r="253" ht="15" customHeight="1">
      <c r="B253" s="26" t="inlineStr">
        <is>
          <t xml:space="preserve">  Operating margin (GAAP income from operations) %</t>
        </is>
      </c>
      <c r="C253" s="187">
        <f>IF(AND(ISNUMBER(C150),ISNUMBER(C142)),IFERROR(C150/C142,""),"")</f>
        <v/>
      </c>
      <c r="D253" s="187">
        <f>IF(AND(ISNUMBER(D150),ISNUMBER(D142)),IFERROR(D150/D142,""),"")</f>
        <v/>
      </c>
      <c r="E253" s="187">
        <f>IF(AND(ISNUMBER(E150),ISNUMBER(E142)),IFERROR(E150/E142,""),"")</f>
        <v/>
      </c>
      <c r="F253" s="187">
        <f>IF(AND(ISNUMBER(F150),ISNUMBER(F142)),IFERROR(F150/F142,""),"")</f>
        <v/>
      </c>
      <c r="G253" s="187">
        <f>IF(AND(ISNUMBER(G150),ISNUMBER(G142)),IFERROR(G150/G142,""),"")</f>
        <v/>
      </c>
      <c r="H253" s="187">
        <f>IF(AND(ISNUMBER(H150),ISNUMBER(H142)),IFERROR(H150/H142,""),"")</f>
        <v/>
      </c>
      <c r="I253" s="187">
        <f>IF(AND(ISNUMBER(I150),ISNUMBER(I142)),IFERROR(I150/I142,""),"")</f>
        <v/>
      </c>
      <c r="J253" s="187">
        <f>IF(AND(ISNUMBER(J150),ISNUMBER(J142)),IFERROR(J150/J142,""),"")</f>
        <v/>
      </c>
      <c r="K253" s="187">
        <f>IF(AND(ISNUMBER(K150),ISNUMBER(K142)),IFERROR(K150/K142,""),"")</f>
        <v/>
      </c>
      <c r="L253" s="187">
        <f>IF(AND(ISNUMBER(L150),ISNUMBER(L142)),IFERROR(L150/L142,""),"")</f>
        <v/>
      </c>
      <c r="M253" s="187">
        <f>IF(AND(ISNUMBER(M150),ISNUMBER(M142)),IFERROR(M150/M142,""),"")</f>
        <v/>
      </c>
      <c r="N253" s="187">
        <f>IF(AND(ISNUMBER(N150),ISNUMBER(N142)),IFERROR(N150/N142,""),"")</f>
        <v/>
      </c>
      <c r="O253" s="187">
        <f>IF(AND(ISNUMBER(O150),ISNUMBER(O142)),IFERROR(O150/O142,""),"")</f>
        <v/>
      </c>
      <c r="P253" s="187">
        <f>IF(AND(ISNUMBER(P150),ISNUMBER(P142)),IFERROR(P150/P142,""),"")</f>
        <v/>
      </c>
      <c r="Q253" s="187">
        <f>IF(AND(ISNUMBER(Q150),ISNUMBER(Q142)),IFERROR(Q150/Q142,""),"")</f>
        <v/>
      </c>
      <c r="R253" s="187">
        <f>IF(AND(ISNUMBER(R150),ISNUMBER(R142)),IFERROR(R150/R142,""),"")</f>
        <v/>
      </c>
      <c r="S253" s="187">
        <f>IF(AND(ISNUMBER(S150),ISNUMBER(S142)),IFERROR(S150/S142,""),"")</f>
        <v/>
      </c>
      <c r="T253" s="187">
        <f>IF(AND(ISNUMBER(T150),ISNUMBER(T142)),IFERROR(T150/T142,""),"")</f>
        <v/>
      </c>
      <c r="U253" s="187">
        <f>IF(AND(ISNUMBER(U150),ISNUMBER(U142)),IFERROR(U150/U142,""),"")</f>
        <v/>
      </c>
      <c r="V253" s="187">
        <f>IF(AND(ISNUMBER(V150),ISNUMBER(V142)),IFERROR(V150/V142,""),"")</f>
        <v/>
      </c>
      <c r="W253" s="187">
        <f>IF(AND(ISNUMBER(W150),ISNUMBER(W142)),IFERROR(W150/W142,""),"")</f>
        <v/>
      </c>
      <c r="X253" s="187">
        <f>IF(AND(ISNUMBER(X150),ISNUMBER(X142)),IFERROR(X150/X142,""),"")</f>
        <v/>
      </c>
      <c r="Y253" s="187">
        <f>IF(AND(ISNUMBER(Y150),ISNUMBER(Y142)),IFERROR(Y150/Y142,""),"")</f>
        <v/>
      </c>
      <c r="Z253" s="187">
        <f>IF(AND(ISNUMBER(Z150),ISNUMBER(Z142)),IFERROR(Z150/Z142,""),"")</f>
        <v/>
      </c>
      <c r="AA253" s="187">
        <f>IF(AND(ISNUMBER(AA150),ISNUMBER(AA142)),IFERROR(AA150/AA142,""),"")</f>
        <v/>
      </c>
      <c r="AB253" s="187">
        <f>IF(AND(ISNUMBER(AB150),ISNUMBER(AB142)),IFERROR(AB150/AB142,""),"")</f>
        <v/>
      </c>
      <c r="AC253" s="187">
        <f>IF(AND(ISNUMBER(AC150),ISNUMBER(AC142)),IFERROR(AC150/AC142,""),"")</f>
        <v/>
      </c>
      <c r="AD253" s="187">
        <f>IF(AND(ISNUMBER(AD150),ISNUMBER(AD142)),IFERROR(AD150/AD142,""),"")</f>
        <v/>
      </c>
      <c r="AE253" s="187">
        <f>IF(AND(ISNUMBER(AE150),ISNUMBER(AE142)),IFERROR(AE150/AE142,""),"")</f>
        <v/>
      </c>
      <c r="AF253" s="187">
        <f>IF(AND(ISNUMBER(AF150),ISNUMBER(AF142)),IFERROR(AF150/AF142,""),"")</f>
        <v/>
      </c>
      <c r="AG253" s="187">
        <f>IF(AND(ISNUMBER(AG150),ISNUMBER(AG142)),IFERROR(AG150/AG142,""),"")</f>
        <v/>
      </c>
      <c r="AH253" s="187">
        <f>IF(AND(ISNUMBER(AH150),ISNUMBER(AH142)),IFERROR(AH150/AH142,""),"")</f>
        <v/>
      </c>
      <c r="AI253" s="187">
        <f>IF(AND(ISNUMBER(AI150),ISNUMBER(AI142)),IFERROR(AI150/AI142,""),"")</f>
        <v/>
      </c>
      <c r="AJ253" s="187">
        <f>IF(AND(ISNUMBER(AJ150),ISNUMBER(AJ142)),IFERROR(AJ150/AJ142,""),"")</f>
        <v/>
      </c>
      <c r="AK253" s="187">
        <f>IF(AND(ISNUMBER(AK150),ISNUMBER(AK142)),IFERROR(AK150/AK142,""),"")</f>
        <v/>
      </c>
      <c r="AL253" s="187">
        <f>IF(AND(ISNUMBER(AL150),ISNUMBER(AL142)),IFERROR(AL150/AL142,""),"")</f>
        <v/>
      </c>
      <c r="AM253" s="187">
        <f>IF(AND(ISNUMBER(AM150),ISNUMBER(AM142)),IFERROR(AM150/AM142,""),"")</f>
        <v/>
      </c>
      <c r="AN253" s="187">
        <f>IF(AND(ISNUMBER(AN150),ISNUMBER(AN142)),IFERROR(AN150/AN142,""),"")</f>
        <v/>
      </c>
      <c r="AO253" s="187">
        <f>IF(AND(ISNUMBER(AO150),ISNUMBER(AO142)),IFERROR(AO150/AO142,""),"")</f>
        <v/>
      </c>
      <c r="AP253" s="187">
        <f>IF(AND(ISNUMBER(AP150),ISNUMBER(AP142)),IFERROR(AP150/AP142,""),"")</f>
        <v/>
      </c>
      <c r="AQ253" s="187">
        <f>IF(AND(ISNUMBER(AQ150),ISNUMBER(AQ142)),IFERROR(AQ150/AQ142,""),"")</f>
        <v/>
      </c>
      <c r="AR253" s="187">
        <f>IF(AND(ISNUMBER(AR150),ISNUMBER(AR142)),IFERROR(AR150/AR142,""),"")</f>
        <v/>
      </c>
      <c r="AS253" s="187">
        <f>IF(AND(ISNUMBER(AS150),ISNUMBER(AS142)),IFERROR(AS150/AS142,""),"")</f>
        <v/>
      </c>
      <c r="AT253" s="187">
        <f>IF(AND(ISNUMBER(AT150),ISNUMBER(AT142)),IFERROR(AT150/AT142,""),"")</f>
        <v/>
      </c>
      <c r="AU253" s="187">
        <f>IF(AND(ISNUMBER(AU150),ISNUMBER(AU142)),IFERROR(AU150/AU142,""),"")</f>
        <v/>
      </c>
      <c r="AV253" s="187">
        <f>IF(AND(ISNUMBER(AV150),ISNUMBER(AV142)),IFERROR(AV150/AV142,""),"")</f>
        <v/>
      </c>
      <c r="AW253" s="187">
        <f>IF(AND(ISNUMBER(AW150),ISNUMBER(AW142)),IFERROR(AW150/AW142,""),"")</f>
        <v/>
      </c>
      <c r="AX253" s="187">
        <f>IF(AND(ISNUMBER(AX150),ISNUMBER(AX142)),IFERROR(AX150/AX142,""),"")</f>
        <v/>
      </c>
      <c r="AY253" s="187">
        <f>IF(AND(ISNUMBER(AY150),ISNUMBER(AY142)),IFERROR(AY150/AY142,""),"")</f>
        <v/>
      </c>
      <c r="AZ253" s="187">
        <f>IF(AND(ISNUMBER(AZ150),ISNUMBER(AZ142)),IFERROR(AZ150/AZ142,""),"")</f>
        <v/>
      </c>
      <c r="BA253" s="187">
        <f>IF(AND(ISNUMBER(BA150),ISNUMBER(BA142)),IFERROR(BA150/BA142,""),"")</f>
        <v/>
      </c>
      <c r="BB253" s="187">
        <f>IF(AND(ISNUMBER(BB150),ISNUMBER(BB142)),IFERROR(BB150/BB142,""),"")</f>
        <v/>
      </c>
      <c r="BC253" s="187">
        <f>IF(AND(ISNUMBER(BC150),ISNUMBER(BC142)),IFERROR(BC150/BC142,""),"")</f>
        <v/>
      </c>
      <c r="BD253" s="187">
        <f>IF(AND(ISNUMBER(BD150),ISNUMBER(BD142)),IFERROR(BD150/BD142,""),"")</f>
        <v/>
      </c>
      <c r="BE253" s="187">
        <f>IF(AND(ISNUMBER(BE150),ISNUMBER(BE142)),IFERROR(BE150/BE142,""),"")</f>
        <v/>
      </c>
      <c r="BF253" s="187">
        <f>IF(AND(ISNUMBER(BF150),ISNUMBER(BF142)),IFERROR(BF150/BF142,""),"")</f>
        <v/>
      </c>
      <c r="BG253" s="187">
        <f>IF(AND(ISNUMBER(BG150),ISNUMBER(BG142)),IFERROR(BG150/BG142,""),"")</f>
        <v/>
      </c>
      <c r="BH253" s="187">
        <f>IF(AND(ISNUMBER(BH150),ISNUMBER(BH142)),IFERROR(BH150/BH142,""),"")</f>
        <v/>
      </c>
      <c r="BI253" s="187">
        <f>IF(AND(ISNUMBER(BI150),ISNUMBER(BI142)),IFERROR(BI150/BI142,""),"")</f>
        <v/>
      </c>
      <c r="BJ253" s="187">
        <f>IF(AND(ISNUMBER(BJ150),ISNUMBER(BJ142)),IFERROR(BJ150/BJ142,""),"")</f>
        <v/>
      </c>
      <c r="BK253" s="187">
        <f>IF(AND(ISNUMBER(BK150),ISNUMBER(BK142)),IFERROR(BK150/BK142,""),"")</f>
        <v/>
      </c>
      <c r="BL253" s="187">
        <f>IF(AND(ISNUMBER(BL150),ISNUMBER(BL142)),IFERROR(BL150/BL142,""),"")</f>
        <v/>
      </c>
      <c r="BM253" s="187">
        <f>IF(AND(ISNUMBER(BM150),ISNUMBER(BM142)),IFERROR(BM150/BM142,""),"")</f>
        <v/>
      </c>
      <c r="BN253" s="187">
        <f>IF(AND(ISNUMBER(BN150),ISNUMBER(BN142)),IFERROR(BN150/BN142,""),"")</f>
        <v/>
      </c>
      <c r="BO253" s="187">
        <f>IF(AND(ISNUMBER(BO150),ISNUMBER(BO142)),IFERROR(BO150/BO142,""),"")</f>
        <v/>
      </c>
      <c r="BP253" s="187">
        <f>IF(AND(ISNUMBER(BP150),ISNUMBER(BP142)),IFERROR(BP150/BP142,""),"")</f>
        <v/>
      </c>
      <c r="BQ253" s="187">
        <f>IF(AND(ISNUMBER(BQ150),ISNUMBER(BQ142)),IFERROR(BQ150/BQ142,""),"")</f>
        <v/>
      </c>
      <c r="BR253" s="187">
        <f>IF(AND(ISNUMBER(BR150),ISNUMBER(BR142)),IFERROR(BR150/BR142,""),"")</f>
        <v/>
      </c>
      <c r="BS253" s="187">
        <f>IF(AND(ISNUMBER(BS150),ISNUMBER(BS142)),IFERROR(BS150/BS142,""),"")</f>
        <v/>
      </c>
      <c r="BT253" s="187">
        <f>IF(AND(ISNUMBER(BT150),ISNUMBER(BT142)),IFERROR(BT150/BT142,""),"")</f>
        <v/>
      </c>
      <c r="BU253" s="187">
        <f>IF(AND(ISNUMBER(BU150),ISNUMBER(BU142)),IFERROR(BU150/BU142,""),"")</f>
        <v/>
      </c>
      <c r="BV253" s="187">
        <f>IF(AND(ISNUMBER(BV150),ISNUMBER(BV142)),IFERROR(BV150/BV142,""),"")</f>
        <v/>
      </c>
      <c r="BW253" s="187">
        <f>IF(AND(ISNUMBER(BW150),ISNUMBER(BW142)),IFERROR(BW150/BW142,""),"")</f>
        <v/>
      </c>
      <c r="BX253" s="187">
        <f>IF(AND(ISNUMBER(BX150),ISNUMBER(BX142)),IFERROR(BX150/BX142,""),"")</f>
        <v/>
      </c>
      <c r="BY253" s="180">
        <f>IF(AND(ISNUMBER(BY150),ISNUMBER(BY142)),IFERROR(BY150/BY142,""),"")</f>
        <v/>
      </c>
      <c r="BZ253" s="180">
        <f>IF(AND(ISNUMBER(BZ150),ISNUMBER(BZ142)),IFERROR(BZ150/BZ142,""),"")</f>
        <v/>
      </c>
      <c r="CA253" s="180">
        <f>IF(AND(ISNUMBER(CA150),ISNUMBER(CA142)),IFERROR(CA150/CA142,""),"")</f>
        <v/>
      </c>
      <c r="CB253" s="180">
        <f>IF(AND(ISNUMBER(CB150),ISNUMBER(CB142)),IFERROR(CB150/CB142,""),"")</f>
        <v/>
      </c>
      <c r="CC253" s="180">
        <f>IF(AND(ISNUMBER(CC150),ISNUMBER(CC142)),IFERROR(CC150/CC142,""),"")</f>
        <v/>
      </c>
      <c r="CD253" s="180">
        <f>IF(AND(ISNUMBER(CD150),ISNUMBER(CD142)),IFERROR(CD150/CD142,""),"")</f>
        <v/>
      </c>
      <c r="CE253" s="180">
        <f>IF(AND(ISNUMBER(CE150),ISNUMBER(CE142)),IFERROR(CE150/CE142,""),"")</f>
        <v/>
      </c>
      <c r="CF253" s="6" t="n"/>
      <c r="CH253" s="39">
        <f>IFERROR(AVERAGE(CA253,CB253,CC253,CD253,CE253),"n/m")</f>
        <v/>
      </c>
      <c r="CI253" s="39">
        <f>IFERROR(AVERAGE(BB253,BG253,BL253,BQ253,BV253),"n/m")</f>
        <v/>
      </c>
      <c r="CJ253" s="39">
        <f>IFERROR(AVERAGE(AC253,AH253,AM253,AR253,AW253,BB253,BG253,BL253,BQ253,BV253),"n/m")</f>
        <v/>
      </c>
      <c r="CK253" s="39">
        <f>IFERROR(AVERAGE(C253,D253,E253,F253,G253,H253,I253,N253,S253,X253,AC253,AH253,AM253,AR253,AW253,BB253,BG253,BL253,BQ253,BV253),"n/m")</f>
        <v/>
      </c>
    </row>
    <row r="254" ht="15" customHeight="1">
      <c r="B254" s="26" t="inlineStr">
        <is>
          <t xml:space="preserve">  Net margin %</t>
        </is>
      </c>
      <c r="C254" s="187">
        <f>IF(AND(ISNUMBER(C161),ISNUMBER(C142)),IFERROR(C161/C142,""),"")</f>
        <v/>
      </c>
      <c r="D254" s="187">
        <f>IF(AND(ISNUMBER(D161),ISNUMBER(D142)),IFERROR(D161/D142,""),"")</f>
        <v/>
      </c>
      <c r="E254" s="187">
        <f>IF(AND(ISNUMBER(E161),ISNUMBER(E142)),IFERROR(E161/E142,""),"")</f>
        <v/>
      </c>
      <c r="F254" s="187">
        <f>IF(AND(ISNUMBER(F161),ISNUMBER(F142)),IFERROR(F161/F142,""),"")</f>
        <v/>
      </c>
      <c r="G254" s="187">
        <f>IF(AND(ISNUMBER(G161),ISNUMBER(G142)),IFERROR(G161/G142,""),"")</f>
        <v/>
      </c>
      <c r="H254" s="187">
        <f>IF(AND(ISNUMBER(H161),ISNUMBER(H142)),IFERROR(H161/H142,""),"")</f>
        <v/>
      </c>
      <c r="I254" s="187">
        <f>IF(AND(ISNUMBER(I161),ISNUMBER(I142)),IFERROR(I161/I142,""),"")</f>
        <v/>
      </c>
      <c r="J254" s="187">
        <f>IF(AND(ISNUMBER(J161),ISNUMBER(J142)),IFERROR(J161/J142,""),"")</f>
        <v/>
      </c>
      <c r="K254" s="187">
        <f>IF(AND(ISNUMBER(K161),ISNUMBER(K142)),IFERROR(K161/K142,""),"")</f>
        <v/>
      </c>
      <c r="L254" s="187">
        <f>IF(AND(ISNUMBER(L161),ISNUMBER(L142)),IFERROR(L161/L142,""),"")</f>
        <v/>
      </c>
      <c r="M254" s="187">
        <f>IF(AND(ISNUMBER(M161),ISNUMBER(M142)),IFERROR(M161/M142,""),"")</f>
        <v/>
      </c>
      <c r="N254" s="187">
        <f>IF(AND(ISNUMBER(N161),ISNUMBER(N142)),IFERROR(N161/N142,""),"")</f>
        <v/>
      </c>
      <c r="O254" s="187">
        <f>IF(AND(ISNUMBER(O161),ISNUMBER(O142)),IFERROR(O161/O142,""),"")</f>
        <v/>
      </c>
      <c r="P254" s="187">
        <f>IF(AND(ISNUMBER(P161),ISNUMBER(P142)),IFERROR(P161/P142,""),"")</f>
        <v/>
      </c>
      <c r="Q254" s="187">
        <f>IF(AND(ISNUMBER(Q161),ISNUMBER(Q142)),IFERROR(Q161/Q142,""),"")</f>
        <v/>
      </c>
      <c r="R254" s="187">
        <f>IF(AND(ISNUMBER(R161),ISNUMBER(R142)),IFERROR(R161/R142,""),"")</f>
        <v/>
      </c>
      <c r="S254" s="187">
        <f>IF(AND(ISNUMBER(S161),ISNUMBER(S142)),IFERROR(S161/S142,""),"")</f>
        <v/>
      </c>
      <c r="T254" s="187">
        <f>IF(AND(ISNUMBER(T161),ISNUMBER(T142)),IFERROR(T161/T142,""),"")</f>
        <v/>
      </c>
      <c r="U254" s="187">
        <f>IF(AND(ISNUMBER(U161),ISNUMBER(U142)),IFERROR(U161/U142,""),"")</f>
        <v/>
      </c>
      <c r="V254" s="187">
        <f>IF(AND(ISNUMBER(V161),ISNUMBER(V142)),IFERROR(V161/V142,""),"")</f>
        <v/>
      </c>
      <c r="W254" s="187">
        <f>IF(AND(ISNUMBER(W161),ISNUMBER(W142)),IFERROR(W161/W142,""),"")</f>
        <v/>
      </c>
      <c r="X254" s="187">
        <f>IF(AND(ISNUMBER(X161),ISNUMBER(X142)),IFERROR(X161/X142,""),"")</f>
        <v/>
      </c>
      <c r="Y254" s="187">
        <f>IF(AND(ISNUMBER(Y161),ISNUMBER(Y142)),IFERROR(Y161/Y142,""),"")</f>
        <v/>
      </c>
      <c r="Z254" s="187">
        <f>IF(AND(ISNUMBER(Z161),ISNUMBER(Z142)),IFERROR(Z161/Z142,""),"")</f>
        <v/>
      </c>
      <c r="AA254" s="187">
        <f>IF(AND(ISNUMBER(AA161),ISNUMBER(AA142)),IFERROR(AA161/AA142,""),"")</f>
        <v/>
      </c>
      <c r="AB254" s="187">
        <f>IF(AND(ISNUMBER(AB161),ISNUMBER(AB142)),IFERROR(AB161/AB142,""),"")</f>
        <v/>
      </c>
      <c r="AC254" s="187">
        <f>IF(AND(ISNUMBER(AC161),ISNUMBER(AC142)),IFERROR(AC161/AC142,""),"")</f>
        <v/>
      </c>
      <c r="AD254" s="187">
        <f>IF(AND(ISNUMBER(AD161),ISNUMBER(AD142)),IFERROR(AD161/AD142,""),"")</f>
        <v/>
      </c>
      <c r="AE254" s="187">
        <f>IF(AND(ISNUMBER(AE161),ISNUMBER(AE142)),IFERROR(AE161/AE142,""),"")</f>
        <v/>
      </c>
      <c r="AF254" s="187">
        <f>IF(AND(ISNUMBER(AF161),ISNUMBER(AF142)),IFERROR(AF161/AF142,""),"")</f>
        <v/>
      </c>
      <c r="AG254" s="187">
        <f>IF(AND(ISNUMBER(AG161),ISNUMBER(AG142)),IFERROR(AG161/AG142,""),"")</f>
        <v/>
      </c>
      <c r="AH254" s="187">
        <f>IF(AND(ISNUMBER(AH161),ISNUMBER(AH142)),IFERROR(AH161/AH142,""),"")</f>
        <v/>
      </c>
      <c r="AI254" s="187">
        <f>IF(AND(ISNUMBER(AI161),ISNUMBER(AI142)),IFERROR(AI161/AI142,""),"")</f>
        <v/>
      </c>
      <c r="AJ254" s="187">
        <f>IF(AND(ISNUMBER(AJ161),ISNUMBER(AJ142)),IFERROR(AJ161/AJ142,""),"")</f>
        <v/>
      </c>
      <c r="AK254" s="187">
        <f>IF(AND(ISNUMBER(AK161),ISNUMBER(AK142)),IFERROR(AK161/AK142,""),"")</f>
        <v/>
      </c>
      <c r="AL254" s="187">
        <f>IF(AND(ISNUMBER(AL161),ISNUMBER(AL142)),IFERROR(AL161/AL142,""),"")</f>
        <v/>
      </c>
      <c r="AM254" s="187">
        <f>IF(AND(ISNUMBER(AM161),ISNUMBER(AM142)),IFERROR(AM161/AM142,""),"")</f>
        <v/>
      </c>
      <c r="AN254" s="187">
        <f>IF(AND(ISNUMBER(AN161),ISNUMBER(AN142)),IFERROR(AN161/AN142,""),"")</f>
        <v/>
      </c>
      <c r="AO254" s="187">
        <f>IF(AND(ISNUMBER(AO161),ISNUMBER(AO142)),IFERROR(AO161/AO142,""),"")</f>
        <v/>
      </c>
      <c r="AP254" s="187">
        <f>IF(AND(ISNUMBER(AP161),ISNUMBER(AP142)),IFERROR(AP161/AP142,""),"")</f>
        <v/>
      </c>
      <c r="AQ254" s="187">
        <f>IF(AND(ISNUMBER(AQ161),ISNUMBER(AQ142)),IFERROR(AQ161/AQ142,""),"")</f>
        <v/>
      </c>
      <c r="AR254" s="187">
        <f>IF(AND(ISNUMBER(AR161),ISNUMBER(AR142)),IFERROR(AR161/AR142,""),"")</f>
        <v/>
      </c>
      <c r="AS254" s="187">
        <f>IF(AND(ISNUMBER(AS161),ISNUMBER(AS142)),IFERROR(AS161/AS142,""),"")</f>
        <v/>
      </c>
      <c r="AT254" s="187">
        <f>IF(AND(ISNUMBER(AT161),ISNUMBER(AT142)),IFERROR(AT161/AT142,""),"")</f>
        <v/>
      </c>
      <c r="AU254" s="187">
        <f>IF(AND(ISNUMBER(AU161),ISNUMBER(AU142)),IFERROR(AU161/AU142,""),"")</f>
        <v/>
      </c>
      <c r="AV254" s="187">
        <f>IF(AND(ISNUMBER(AV161),ISNUMBER(AV142)),IFERROR(AV161/AV142,""),"")</f>
        <v/>
      </c>
      <c r="AW254" s="187">
        <f>IF(AND(ISNUMBER(AW161),ISNUMBER(AW142)),IFERROR(AW161/AW142,""),"")</f>
        <v/>
      </c>
      <c r="AX254" s="187">
        <f>IF(AND(ISNUMBER(AX161),ISNUMBER(AX142)),IFERROR(AX161/AX142,""),"")</f>
        <v/>
      </c>
      <c r="AY254" s="187">
        <f>IF(AND(ISNUMBER(AY161),ISNUMBER(AY142)),IFERROR(AY161/AY142,""),"")</f>
        <v/>
      </c>
      <c r="AZ254" s="187">
        <f>IF(AND(ISNUMBER(AZ161),ISNUMBER(AZ142)),IFERROR(AZ161/AZ142,""),"")</f>
        <v/>
      </c>
      <c r="BA254" s="187">
        <f>IF(AND(ISNUMBER(BA161),ISNUMBER(BA142)),IFERROR(BA161/BA142,""),"")</f>
        <v/>
      </c>
      <c r="BB254" s="187">
        <f>IF(AND(ISNUMBER(BB161),ISNUMBER(BB142)),IFERROR(BB161/BB142,""),"")</f>
        <v/>
      </c>
      <c r="BC254" s="187">
        <f>IF(AND(ISNUMBER(BC161),ISNUMBER(BC142)),IFERROR(BC161/BC142,""),"")</f>
        <v/>
      </c>
      <c r="BD254" s="187">
        <f>IF(AND(ISNUMBER(BD161),ISNUMBER(BD142)),IFERROR(BD161/BD142,""),"")</f>
        <v/>
      </c>
      <c r="BE254" s="187">
        <f>IF(AND(ISNUMBER(BE161),ISNUMBER(BE142)),IFERROR(BE161/BE142,""),"")</f>
        <v/>
      </c>
      <c r="BF254" s="187">
        <f>IF(AND(ISNUMBER(BF161),ISNUMBER(BF142)),IFERROR(BF161/BF142,""),"")</f>
        <v/>
      </c>
      <c r="BG254" s="187">
        <f>IF(AND(ISNUMBER(BG161),ISNUMBER(BG142)),IFERROR(BG161/BG142,""),"")</f>
        <v/>
      </c>
      <c r="BH254" s="187">
        <f>IF(AND(ISNUMBER(BH161),ISNUMBER(BH142)),IFERROR(BH161/BH142,""),"")</f>
        <v/>
      </c>
      <c r="BI254" s="187">
        <f>IF(AND(ISNUMBER(BI161),ISNUMBER(BI142)),IFERROR(BI161/BI142,""),"")</f>
        <v/>
      </c>
      <c r="BJ254" s="187">
        <f>IF(AND(ISNUMBER(BJ161),ISNUMBER(BJ142)),IFERROR(BJ161/BJ142,""),"")</f>
        <v/>
      </c>
      <c r="BK254" s="187">
        <f>IF(AND(ISNUMBER(BK161),ISNUMBER(BK142)),IFERROR(BK161/BK142,""),"")</f>
        <v/>
      </c>
      <c r="BL254" s="187">
        <f>IF(AND(ISNUMBER(BL161),ISNUMBER(BL142)),IFERROR(BL161/BL142,""),"")</f>
        <v/>
      </c>
      <c r="BM254" s="187">
        <f>IF(AND(ISNUMBER(BM161),ISNUMBER(BM142)),IFERROR(BM161/BM142,""),"")</f>
        <v/>
      </c>
      <c r="BN254" s="187">
        <f>IF(AND(ISNUMBER(BN161),ISNUMBER(BN142)),IFERROR(BN161/BN142,""),"")</f>
        <v/>
      </c>
      <c r="BO254" s="187">
        <f>IF(AND(ISNUMBER(BO161),ISNUMBER(BO142)),IFERROR(BO161/BO142,""),"")</f>
        <v/>
      </c>
      <c r="BP254" s="187">
        <f>IF(AND(ISNUMBER(BP161),ISNUMBER(BP142)),IFERROR(BP161/BP142,""),"")</f>
        <v/>
      </c>
      <c r="BQ254" s="187">
        <f>IF(AND(ISNUMBER(BQ161),ISNUMBER(BQ142)),IFERROR(BQ161/BQ142,""),"")</f>
        <v/>
      </c>
      <c r="BR254" s="187">
        <f>IF(AND(ISNUMBER(BR161),ISNUMBER(BR142)),IFERROR(BR161/BR142,""),"")</f>
        <v/>
      </c>
      <c r="BS254" s="187">
        <f>IF(AND(ISNUMBER(BS161),ISNUMBER(BS142)),IFERROR(BS161/BS142,""),"")</f>
        <v/>
      </c>
      <c r="BT254" s="187">
        <f>IF(AND(ISNUMBER(BT161),ISNUMBER(BT142)),IFERROR(BT161/BT142,""),"")</f>
        <v/>
      </c>
      <c r="BU254" s="187">
        <f>IF(AND(ISNUMBER(BU161),ISNUMBER(BU142)),IFERROR(BU161/BU142,""),"")</f>
        <v/>
      </c>
      <c r="BV254" s="187">
        <f>IF(AND(ISNUMBER(BV161),ISNUMBER(BV142)),IFERROR(BV161/BV142,""),"")</f>
        <v/>
      </c>
      <c r="BW254" s="187">
        <f>IF(AND(ISNUMBER(BW161),ISNUMBER(BW142)),IFERROR(BW161/BW142,""),"")</f>
        <v/>
      </c>
      <c r="BX254" s="187">
        <f>IF(AND(ISNUMBER(BX161),ISNUMBER(BX142)),IFERROR(BX161/BX142,""),"")</f>
        <v/>
      </c>
      <c r="BY254" s="180">
        <f>IF(AND(ISNUMBER(BY161),ISNUMBER(BY142)),IFERROR(BY161/BY142,""),"")</f>
        <v/>
      </c>
      <c r="BZ254" s="180">
        <f>IF(AND(ISNUMBER(BZ161),ISNUMBER(BZ142)),IFERROR(BZ161/BZ142,""),"")</f>
        <v/>
      </c>
      <c r="CA254" s="180">
        <f>IF(AND(ISNUMBER(CA161),ISNUMBER(CA142)),IFERROR(CA161/CA142,""),"")</f>
        <v/>
      </c>
      <c r="CB254" s="180">
        <f>IF(AND(ISNUMBER(CB161),ISNUMBER(CB142)),IFERROR(CB161/CB142,""),"")</f>
        <v/>
      </c>
      <c r="CC254" s="180">
        <f>IF(AND(ISNUMBER(CC161),ISNUMBER(CC142)),IFERROR(CC161/CC142,""),"")</f>
        <v/>
      </c>
      <c r="CD254" s="180">
        <f>IF(AND(ISNUMBER(CD161),ISNUMBER(CD142)),IFERROR(CD161/CD142,""),"")</f>
        <v/>
      </c>
      <c r="CE254" s="180">
        <f>IF(AND(ISNUMBER(CE161),ISNUMBER(CE142)),IFERROR(CE161/CE142,""),"")</f>
        <v/>
      </c>
      <c r="CF254" s="6" t="n"/>
      <c r="CH254" s="39">
        <f>IFERROR(AVERAGE(CA254,CB254,CC254,CD254,CE254),"n/m")</f>
        <v/>
      </c>
      <c r="CI254" s="39">
        <f>IFERROR(AVERAGE(BB254,BG254,BL254,BQ254,BV254),"n/m")</f>
        <v/>
      </c>
      <c r="CJ254" s="39">
        <f>IFERROR(AVERAGE(AC254,AH254,AM254,AR254,AW254,BB254,BG254,BL254,BQ254,BV254),"n/m")</f>
        <v/>
      </c>
      <c r="CK254" s="39">
        <f>IFERROR(AVERAGE(C254,D254,E254,F254,G254,H254,I254,N254,S254,X254,AC254,AH254,AM254,AR254,AW254,BB254,BG254,BL254,BQ254,BV254),"n/m")</f>
        <v/>
      </c>
    </row>
    <row r="255" ht="15" customHeight="1">
      <c r="B255" s="26" t="inlineStr">
        <is>
          <t xml:space="preserve">  SG&amp;A % of net sales</t>
        </is>
      </c>
      <c r="C255" s="187">
        <f>IF(AND(ISNUMBER(C146),ISNUMBER(C142)),IFERROR(C146/C142,""),"")</f>
        <v/>
      </c>
      <c r="D255" s="187">
        <f>IF(AND(ISNUMBER(D146),ISNUMBER(D142)),IFERROR(D146/D142,""),"")</f>
        <v/>
      </c>
      <c r="E255" s="187">
        <f>IF(AND(ISNUMBER(E146),ISNUMBER(E142)),IFERROR(E146/E142,""),"")</f>
        <v/>
      </c>
      <c r="F255" s="187">
        <f>IF(AND(ISNUMBER(F146),ISNUMBER(F142)),IFERROR(F146/F142,""),"")</f>
        <v/>
      </c>
      <c r="G255" s="187">
        <f>IF(AND(ISNUMBER(G146),ISNUMBER(G142)),IFERROR(G146/G142,""),"")</f>
        <v/>
      </c>
      <c r="H255" s="187">
        <f>IF(AND(ISNUMBER(H146),ISNUMBER(H142)),IFERROR(H146/H142,""),"")</f>
        <v/>
      </c>
      <c r="I255" s="187">
        <f>IF(AND(ISNUMBER(I146),ISNUMBER(I142)),IFERROR(I146/I142,""),"")</f>
        <v/>
      </c>
      <c r="J255" s="187">
        <f>IF(AND(ISNUMBER(J146),ISNUMBER(J142)),IFERROR(J146/J142,""),"")</f>
        <v/>
      </c>
      <c r="K255" s="187">
        <f>IF(AND(ISNUMBER(K146),ISNUMBER(K142)),IFERROR(K146/K142,""),"")</f>
        <v/>
      </c>
      <c r="L255" s="187">
        <f>IF(AND(ISNUMBER(L146),ISNUMBER(L142)),IFERROR(L146/L142,""),"")</f>
        <v/>
      </c>
      <c r="M255" s="187">
        <f>IF(AND(ISNUMBER(M146),ISNUMBER(M142)),IFERROR(M146/M142,""),"")</f>
        <v/>
      </c>
      <c r="N255" s="187">
        <f>IF(AND(ISNUMBER(N146),ISNUMBER(N142)),IFERROR(N146/N142,""),"")</f>
        <v/>
      </c>
      <c r="O255" s="187">
        <f>IF(AND(ISNUMBER(O146),ISNUMBER(O142)),IFERROR(O146/O142,""),"")</f>
        <v/>
      </c>
      <c r="P255" s="187">
        <f>IF(AND(ISNUMBER(P146),ISNUMBER(P142)),IFERROR(P146/P142,""),"")</f>
        <v/>
      </c>
      <c r="Q255" s="187">
        <f>IF(AND(ISNUMBER(Q146),ISNUMBER(Q142)),IFERROR(Q146/Q142,""),"")</f>
        <v/>
      </c>
      <c r="R255" s="187">
        <f>IF(AND(ISNUMBER(R146),ISNUMBER(R142)),IFERROR(R146/R142,""),"")</f>
        <v/>
      </c>
      <c r="S255" s="187">
        <f>IF(AND(ISNUMBER(S146),ISNUMBER(S142)),IFERROR(S146/S142,""),"")</f>
        <v/>
      </c>
      <c r="T255" s="187">
        <f>IF(AND(ISNUMBER(T146),ISNUMBER(T142)),IFERROR(T146/T142,""),"")</f>
        <v/>
      </c>
      <c r="U255" s="187">
        <f>IF(AND(ISNUMBER(U146),ISNUMBER(U142)),IFERROR(U146/U142,""),"")</f>
        <v/>
      </c>
      <c r="V255" s="187">
        <f>IF(AND(ISNUMBER(V146),ISNUMBER(V142)),IFERROR(V146/V142,""),"")</f>
        <v/>
      </c>
      <c r="W255" s="187">
        <f>IF(AND(ISNUMBER(W146),ISNUMBER(W142)),IFERROR(W146/W142,""),"")</f>
        <v/>
      </c>
      <c r="X255" s="187">
        <f>IF(AND(ISNUMBER(X146),ISNUMBER(X142)),IFERROR(X146/X142,""),"")</f>
        <v/>
      </c>
      <c r="Y255" s="187">
        <f>IF(AND(ISNUMBER(Y146),ISNUMBER(Y142)),IFERROR(Y146/Y142,""),"")</f>
        <v/>
      </c>
      <c r="Z255" s="187">
        <f>IF(AND(ISNUMBER(Z146),ISNUMBER(Z142)),IFERROR(Z146/Z142,""),"")</f>
        <v/>
      </c>
      <c r="AA255" s="187">
        <f>IF(AND(ISNUMBER(AA146),ISNUMBER(AA142)),IFERROR(AA146/AA142,""),"")</f>
        <v/>
      </c>
      <c r="AB255" s="187">
        <f>IF(AND(ISNUMBER(AB146),ISNUMBER(AB142)),IFERROR(AB146/AB142,""),"")</f>
        <v/>
      </c>
      <c r="AC255" s="187">
        <f>IF(AND(ISNUMBER(AC146),ISNUMBER(AC142)),IFERROR(AC146/AC142,""),"")</f>
        <v/>
      </c>
      <c r="AD255" s="187">
        <f>IF(AND(ISNUMBER(AD146),ISNUMBER(AD142)),IFERROR(AD146/AD142,""),"")</f>
        <v/>
      </c>
      <c r="AE255" s="187">
        <f>IF(AND(ISNUMBER(AE146),ISNUMBER(AE142)),IFERROR(AE146/AE142,""),"")</f>
        <v/>
      </c>
      <c r="AF255" s="187">
        <f>IF(AND(ISNUMBER(AF146),ISNUMBER(AF142)),IFERROR(AF146/AF142,""),"")</f>
        <v/>
      </c>
      <c r="AG255" s="187">
        <f>IF(AND(ISNUMBER(AG146),ISNUMBER(AG142)),IFERROR(AG146/AG142,""),"")</f>
        <v/>
      </c>
      <c r="AH255" s="187">
        <f>IF(AND(ISNUMBER(AH146),ISNUMBER(AH142)),IFERROR(AH146/AH142,""),"")</f>
        <v/>
      </c>
      <c r="AI255" s="187">
        <f>IF(AND(ISNUMBER(AI146),ISNUMBER(AI142)),IFERROR(AI146/AI142,""),"")</f>
        <v/>
      </c>
      <c r="AJ255" s="187">
        <f>IF(AND(ISNUMBER(AJ146),ISNUMBER(AJ142)),IFERROR(AJ146/AJ142,""),"")</f>
        <v/>
      </c>
      <c r="AK255" s="187">
        <f>IF(AND(ISNUMBER(AK146),ISNUMBER(AK142)),IFERROR(AK146/AK142,""),"")</f>
        <v/>
      </c>
      <c r="AL255" s="187">
        <f>IF(AND(ISNUMBER(AL146),ISNUMBER(AL142)),IFERROR(AL146/AL142,""),"")</f>
        <v/>
      </c>
      <c r="AM255" s="187">
        <f>IF(AND(ISNUMBER(AM146),ISNUMBER(AM142)),IFERROR(AM146/AM142,""),"")</f>
        <v/>
      </c>
      <c r="AN255" s="187">
        <f>IF(AND(ISNUMBER(AN146),ISNUMBER(AN142)),IFERROR(AN146/AN142,""),"")</f>
        <v/>
      </c>
      <c r="AO255" s="187">
        <f>IF(AND(ISNUMBER(AO146),ISNUMBER(AO142)),IFERROR(AO146/AO142,""),"")</f>
        <v/>
      </c>
      <c r="AP255" s="187">
        <f>IF(AND(ISNUMBER(AP146),ISNUMBER(AP142)),IFERROR(AP146/AP142,""),"")</f>
        <v/>
      </c>
      <c r="AQ255" s="187">
        <f>IF(AND(ISNUMBER(AQ146),ISNUMBER(AQ142)),IFERROR(AQ146/AQ142,""),"")</f>
        <v/>
      </c>
      <c r="AR255" s="187">
        <f>IF(AND(ISNUMBER(AR146),ISNUMBER(AR142)),IFERROR(AR146/AR142,""),"")</f>
        <v/>
      </c>
      <c r="AS255" s="187">
        <f>IF(AND(ISNUMBER(AS146),ISNUMBER(AS142)),IFERROR(AS146/AS142,""),"")</f>
        <v/>
      </c>
      <c r="AT255" s="187">
        <f>IF(AND(ISNUMBER(AT146),ISNUMBER(AT142)),IFERROR(AT146/AT142,""),"")</f>
        <v/>
      </c>
      <c r="AU255" s="187">
        <f>IF(AND(ISNUMBER(AU146),ISNUMBER(AU142)),IFERROR(AU146/AU142,""),"")</f>
        <v/>
      </c>
      <c r="AV255" s="187">
        <f>IF(AND(ISNUMBER(AV146),ISNUMBER(AV142)),IFERROR(AV146/AV142,""),"")</f>
        <v/>
      </c>
      <c r="AW255" s="187">
        <f>IF(AND(ISNUMBER(AW146),ISNUMBER(AW142)),IFERROR(AW146/AW142,""),"")</f>
        <v/>
      </c>
      <c r="AX255" s="187">
        <f>IF(AND(ISNUMBER(AX146),ISNUMBER(AX142)),IFERROR(AX146/AX142,""),"")</f>
        <v/>
      </c>
      <c r="AY255" s="187">
        <f>IF(AND(ISNUMBER(AY146),ISNUMBER(AY142)),IFERROR(AY146/AY142,""),"")</f>
        <v/>
      </c>
      <c r="AZ255" s="187">
        <f>IF(AND(ISNUMBER(AZ146),ISNUMBER(AZ142)),IFERROR(AZ146/AZ142,""),"")</f>
        <v/>
      </c>
      <c r="BA255" s="187">
        <f>IF(AND(ISNUMBER(BA146),ISNUMBER(BA142)),IFERROR(BA146/BA142,""),"")</f>
        <v/>
      </c>
      <c r="BB255" s="187">
        <f>IF(AND(ISNUMBER(BB146),ISNUMBER(BB142)),IFERROR(BB146/BB142,""),"")</f>
        <v/>
      </c>
      <c r="BC255" s="187">
        <f>IF(AND(ISNUMBER(BC146),ISNUMBER(BC142)),IFERROR(BC146/BC142,""),"")</f>
        <v/>
      </c>
      <c r="BD255" s="187">
        <f>IF(AND(ISNUMBER(BD146),ISNUMBER(BD142)),IFERROR(BD146/BD142,""),"")</f>
        <v/>
      </c>
      <c r="BE255" s="187">
        <f>IF(AND(ISNUMBER(BE146),ISNUMBER(BE142)),IFERROR(BE146/BE142,""),"")</f>
        <v/>
      </c>
      <c r="BF255" s="187">
        <f>IF(AND(ISNUMBER(BF146),ISNUMBER(BF142)),IFERROR(BF146/BF142,""),"")</f>
        <v/>
      </c>
      <c r="BG255" s="187">
        <f>IF(AND(ISNUMBER(BG146),ISNUMBER(BG142)),IFERROR(BG146/BG142,""),"")</f>
        <v/>
      </c>
      <c r="BH255" s="187">
        <f>IF(AND(ISNUMBER(BH146),ISNUMBER(BH142)),IFERROR(BH146/BH142,""),"")</f>
        <v/>
      </c>
      <c r="BI255" s="187">
        <f>IF(AND(ISNUMBER(BI146),ISNUMBER(BI142)),IFERROR(BI146/BI142,""),"")</f>
        <v/>
      </c>
      <c r="BJ255" s="187">
        <f>IF(AND(ISNUMBER(BJ146),ISNUMBER(BJ142)),IFERROR(BJ146/BJ142,""),"")</f>
        <v/>
      </c>
      <c r="BK255" s="187">
        <f>IF(AND(ISNUMBER(BK146),ISNUMBER(BK142)),IFERROR(BK146/BK142,""),"")</f>
        <v/>
      </c>
      <c r="BL255" s="187">
        <f>IF(AND(ISNUMBER(BL146),ISNUMBER(BL142)),IFERROR(BL146/BL142,""),"")</f>
        <v/>
      </c>
      <c r="BM255" s="187">
        <f>IF(AND(ISNUMBER(BM146),ISNUMBER(BM142)),IFERROR(BM146/BM142,""),"")</f>
        <v/>
      </c>
      <c r="BN255" s="187">
        <f>IF(AND(ISNUMBER(BN146),ISNUMBER(BN142)),IFERROR(BN146/BN142,""),"")</f>
        <v/>
      </c>
      <c r="BO255" s="187">
        <f>IF(AND(ISNUMBER(BO146),ISNUMBER(BO142)),IFERROR(BO146/BO142,""),"")</f>
        <v/>
      </c>
      <c r="BP255" s="187">
        <f>IF(AND(ISNUMBER(BP146),ISNUMBER(BP142)),IFERROR(BP146/BP142,""),"")</f>
        <v/>
      </c>
      <c r="BQ255" s="187">
        <f>IF(AND(ISNUMBER(BQ146),ISNUMBER(BQ142)),IFERROR(BQ146/BQ142,""),"")</f>
        <v/>
      </c>
      <c r="BR255" s="187">
        <f>IF(AND(ISNUMBER(BR146),ISNUMBER(BR142)),IFERROR(BR146/BR142,""),"")</f>
        <v/>
      </c>
      <c r="BS255" s="187">
        <f>IF(AND(ISNUMBER(BS146),ISNUMBER(BS142)),IFERROR(BS146/BS142,""),"")</f>
        <v/>
      </c>
      <c r="BT255" s="187">
        <f>IF(AND(ISNUMBER(BT146),ISNUMBER(BT142)),IFERROR(BT146/BT142,""),"")</f>
        <v/>
      </c>
      <c r="BU255" s="187">
        <f>IF(AND(ISNUMBER(BU146),ISNUMBER(BU142)),IFERROR(BU146/BU142,""),"")</f>
        <v/>
      </c>
      <c r="BV255" s="187">
        <f>IF(AND(ISNUMBER(BV146),ISNUMBER(BV142)),IFERROR(BV146/BV142,""),"")</f>
        <v/>
      </c>
      <c r="BW255" s="187">
        <f>IF(AND(ISNUMBER(BW146),ISNUMBER(BW142)),IFERROR(BW146/BW142,""),"")</f>
        <v/>
      </c>
      <c r="BX255" s="187">
        <f>IF(AND(ISNUMBER(BX146),ISNUMBER(BX142)),IFERROR(BX146/BX142,""),"")</f>
        <v/>
      </c>
      <c r="BY255" s="180">
        <f>IF(AND(ISNUMBER(BY146),ISNUMBER(BY142)),IFERROR(BY146/BY142,""),"")</f>
        <v/>
      </c>
      <c r="BZ255" s="180">
        <f>IF(AND(ISNUMBER(BZ146),ISNUMBER(BZ142)),IFERROR(BZ146/BZ142,""),"")</f>
        <v/>
      </c>
      <c r="CA255" s="180">
        <f>IF(AND(ISNUMBER(CA146),ISNUMBER(CA142)),IFERROR(CA146/CA142,""),"")</f>
        <v/>
      </c>
      <c r="CB255" s="180">
        <f>IF(AND(ISNUMBER(CB146),ISNUMBER(CB142)),IFERROR(CB146/CB142,""),"")</f>
        <v/>
      </c>
      <c r="CC255" s="180">
        <f>IF(AND(ISNUMBER(CC146),ISNUMBER(CC142)),IFERROR(CC146/CC142,""),"")</f>
        <v/>
      </c>
      <c r="CD255" s="180">
        <f>IF(AND(ISNUMBER(CD146),ISNUMBER(CD142)),IFERROR(CD146/CD142,""),"")</f>
        <v/>
      </c>
      <c r="CE255" s="180">
        <f>IF(AND(ISNUMBER(CE146),ISNUMBER(CE142)),IFERROR(CE146/CE142,""),"")</f>
        <v/>
      </c>
      <c r="CF255" s="6" t="n"/>
      <c r="CH255" s="39">
        <f>IFERROR(AVERAGE(CA255,CB255,CC255,CD255,CE255),"n/m")</f>
        <v/>
      </c>
      <c r="CI255" s="39">
        <f>IFERROR(AVERAGE(BB255,BG255,BL255,BQ255,BV255),"n/m")</f>
        <v/>
      </c>
      <c r="CJ255" s="39">
        <f>IFERROR(AVERAGE(AC255,AH255,AM255,AR255,AW255,BB255,BG255,BL255,BQ255,BV255),"n/m")</f>
        <v/>
      </c>
      <c r="CK255" s="39">
        <f>IFERROR(AVERAGE(C255,D255,E255,F255,G255,H255,I255,N255,S255,X255,AC255,AH255,AM255,AR255,AW255,BB255,BG255,BL255,BQ255,BV255),"n/m")</f>
        <v/>
      </c>
    </row>
    <row r="256" ht="15" customHeight="1">
      <c r="B256" s="26" t="inlineStr">
        <is>
          <t xml:space="preserve">  Engineering % of net sales</t>
        </is>
      </c>
      <c r="C256" s="187">
        <f>IF(AND(ISNUMBER(C147),ISNUMBER(C142)),IFERROR(C147/C142,""),"")</f>
        <v/>
      </c>
      <c r="D256" s="187">
        <f>IF(AND(ISNUMBER(D147),ISNUMBER(D142)),IFERROR(D147/D142,""),"")</f>
        <v/>
      </c>
      <c r="E256" s="187">
        <f>IF(AND(ISNUMBER(E147),ISNUMBER(E142)),IFERROR(E147/E142,""),"")</f>
        <v/>
      </c>
      <c r="F256" s="187">
        <f>IF(AND(ISNUMBER(F147),ISNUMBER(F142)),IFERROR(F147/F142,""),"")</f>
        <v/>
      </c>
      <c r="G256" s="187">
        <f>IF(AND(ISNUMBER(G147),ISNUMBER(G142)),IFERROR(G147/G142,""),"")</f>
        <v/>
      </c>
      <c r="H256" s="187">
        <f>IF(AND(ISNUMBER(H147),ISNUMBER(H142)),IFERROR(H147/H142,""),"")</f>
        <v/>
      </c>
      <c r="I256" s="187">
        <f>IF(AND(ISNUMBER(I147),ISNUMBER(I142)),IFERROR(I147/I142,""),"")</f>
        <v/>
      </c>
      <c r="J256" s="187">
        <f>IF(AND(ISNUMBER(J147),ISNUMBER(J142)),IFERROR(J147/J142,""),"")</f>
        <v/>
      </c>
      <c r="K256" s="187">
        <f>IF(AND(ISNUMBER(K147),ISNUMBER(K142)),IFERROR(K147/K142,""),"")</f>
        <v/>
      </c>
      <c r="L256" s="187">
        <f>IF(AND(ISNUMBER(L147),ISNUMBER(L142)),IFERROR(L147/L142,""),"")</f>
        <v/>
      </c>
      <c r="M256" s="187">
        <f>IF(AND(ISNUMBER(M147),ISNUMBER(M142)),IFERROR(M147/M142,""),"")</f>
        <v/>
      </c>
      <c r="N256" s="187">
        <f>IF(AND(ISNUMBER(N147),ISNUMBER(N142)),IFERROR(N147/N142,""),"")</f>
        <v/>
      </c>
      <c r="O256" s="187">
        <f>IF(AND(ISNUMBER(O147),ISNUMBER(O142)),IFERROR(O147/O142,""),"")</f>
        <v/>
      </c>
      <c r="P256" s="187">
        <f>IF(AND(ISNUMBER(P147),ISNUMBER(P142)),IFERROR(P147/P142,""),"")</f>
        <v/>
      </c>
      <c r="Q256" s="187">
        <f>IF(AND(ISNUMBER(Q147),ISNUMBER(Q142)),IFERROR(Q147/Q142,""),"")</f>
        <v/>
      </c>
      <c r="R256" s="187">
        <f>IF(AND(ISNUMBER(R147),ISNUMBER(R142)),IFERROR(R147/R142,""),"")</f>
        <v/>
      </c>
      <c r="S256" s="187">
        <f>IF(AND(ISNUMBER(S147),ISNUMBER(S142)),IFERROR(S147/S142,""),"")</f>
        <v/>
      </c>
      <c r="T256" s="187">
        <f>IF(AND(ISNUMBER(T147),ISNUMBER(T142)),IFERROR(T147/T142,""),"")</f>
        <v/>
      </c>
      <c r="U256" s="187">
        <f>IF(AND(ISNUMBER(U147),ISNUMBER(U142)),IFERROR(U147/U142,""),"")</f>
        <v/>
      </c>
      <c r="V256" s="187">
        <f>IF(AND(ISNUMBER(V147),ISNUMBER(V142)),IFERROR(V147/V142,""),"")</f>
        <v/>
      </c>
      <c r="W256" s="187">
        <f>IF(AND(ISNUMBER(W147),ISNUMBER(W142)),IFERROR(W147/W142,""),"")</f>
        <v/>
      </c>
      <c r="X256" s="187">
        <f>IF(AND(ISNUMBER(X147),ISNUMBER(X142)),IFERROR(X147/X142,""),"")</f>
        <v/>
      </c>
      <c r="Y256" s="187">
        <f>IF(AND(ISNUMBER(Y147),ISNUMBER(Y142)),IFERROR(Y147/Y142,""),"")</f>
        <v/>
      </c>
      <c r="Z256" s="187">
        <f>IF(AND(ISNUMBER(Z147),ISNUMBER(Z142)),IFERROR(Z147/Z142,""),"")</f>
        <v/>
      </c>
      <c r="AA256" s="187">
        <f>IF(AND(ISNUMBER(AA147),ISNUMBER(AA142)),IFERROR(AA147/AA142,""),"")</f>
        <v/>
      </c>
      <c r="AB256" s="187">
        <f>IF(AND(ISNUMBER(AB147),ISNUMBER(AB142)),IFERROR(AB147/AB142,""),"")</f>
        <v/>
      </c>
      <c r="AC256" s="187">
        <f>IF(AND(ISNUMBER(AC147),ISNUMBER(AC142)),IFERROR(AC147/AC142,""),"")</f>
        <v/>
      </c>
      <c r="AD256" s="187">
        <f>IF(AND(ISNUMBER(AD147),ISNUMBER(AD142)),IFERROR(AD147/AD142,""),"")</f>
        <v/>
      </c>
      <c r="AE256" s="187">
        <f>IF(AND(ISNUMBER(AE147),ISNUMBER(AE142)),IFERROR(AE147/AE142,""),"")</f>
        <v/>
      </c>
      <c r="AF256" s="187">
        <f>IF(AND(ISNUMBER(AF147),ISNUMBER(AF142)),IFERROR(AF147/AF142,""),"")</f>
        <v/>
      </c>
      <c r="AG256" s="187">
        <f>IF(AND(ISNUMBER(AG147),ISNUMBER(AG142)),IFERROR(AG147/AG142,""),"")</f>
        <v/>
      </c>
      <c r="AH256" s="187">
        <f>IF(AND(ISNUMBER(AH147),ISNUMBER(AH142)),IFERROR(AH147/AH142,""),"")</f>
        <v/>
      </c>
      <c r="AI256" s="187">
        <f>IF(AND(ISNUMBER(AI147),ISNUMBER(AI142)),IFERROR(AI147/AI142,""),"")</f>
        <v/>
      </c>
      <c r="AJ256" s="187">
        <f>IF(AND(ISNUMBER(AJ147),ISNUMBER(AJ142)),IFERROR(AJ147/AJ142,""),"")</f>
        <v/>
      </c>
      <c r="AK256" s="187">
        <f>IF(AND(ISNUMBER(AK147),ISNUMBER(AK142)),IFERROR(AK147/AK142,""),"")</f>
        <v/>
      </c>
      <c r="AL256" s="187">
        <f>IF(AND(ISNUMBER(AL147),ISNUMBER(AL142)),IFERROR(AL147/AL142,""),"")</f>
        <v/>
      </c>
      <c r="AM256" s="187">
        <f>IF(AND(ISNUMBER(AM147),ISNUMBER(AM142)),IFERROR(AM147/AM142,""),"")</f>
        <v/>
      </c>
      <c r="AN256" s="187">
        <f>IF(AND(ISNUMBER(AN147),ISNUMBER(AN142)),IFERROR(AN147/AN142,""),"")</f>
        <v/>
      </c>
      <c r="AO256" s="187">
        <f>IF(AND(ISNUMBER(AO147),ISNUMBER(AO142)),IFERROR(AO147/AO142,""),"")</f>
        <v/>
      </c>
      <c r="AP256" s="187">
        <f>IF(AND(ISNUMBER(AP147),ISNUMBER(AP142)),IFERROR(AP147/AP142,""),"")</f>
        <v/>
      </c>
      <c r="AQ256" s="187">
        <f>IF(AND(ISNUMBER(AQ147),ISNUMBER(AQ142)),IFERROR(AQ147/AQ142,""),"")</f>
        <v/>
      </c>
      <c r="AR256" s="187">
        <f>IF(AND(ISNUMBER(AR147),ISNUMBER(AR142)),IFERROR(AR147/AR142,""),"")</f>
        <v/>
      </c>
      <c r="AS256" s="187">
        <f>IF(AND(ISNUMBER(AS147),ISNUMBER(AS142)),IFERROR(AS147/AS142,""),"")</f>
        <v/>
      </c>
      <c r="AT256" s="187">
        <f>IF(AND(ISNUMBER(AT147),ISNUMBER(AT142)),IFERROR(AT147/AT142,""),"")</f>
        <v/>
      </c>
      <c r="AU256" s="187">
        <f>IF(AND(ISNUMBER(AU147),ISNUMBER(AU142)),IFERROR(AU147/AU142,""),"")</f>
        <v/>
      </c>
      <c r="AV256" s="187">
        <f>IF(AND(ISNUMBER(AV147),ISNUMBER(AV142)),IFERROR(AV147/AV142,""),"")</f>
        <v/>
      </c>
      <c r="AW256" s="187">
        <f>IF(AND(ISNUMBER(AW147),ISNUMBER(AW142)),IFERROR(AW147/AW142,""),"")</f>
        <v/>
      </c>
      <c r="AX256" s="187">
        <f>IF(AND(ISNUMBER(AX147),ISNUMBER(AX142)),IFERROR(AX147/AX142,""),"")</f>
        <v/>
      </c>
      <c r="AY256" s="187">
        <f>IF(AND(ISNUMBER(AY147),ISNUMBER(AY142)),IFERROR(AY147/AY142,""),"")</f>
        <v/>
      </c>
      <c r="AZ256" s="187">
        <f>IF(AND(ISNUMBER(AZ147),ISNUMBER(AZ142)),IFERROR(AZ147/AZ142,""),"")</f>
        <v/>
      </c>
      <c r="BA256" s="187">
        <f>IF(AND(ISNUMBER(BA147),ISNUMBER(BA142)),IFERROR(BA147/BA142,""),"")</f>
        <v/>
      </c>
      <c r="BB256" s="187">
        <f>IF(AND(ISNUMBER(BB147),ISNUMBER(BB142)),IFERROR(BB147/BB142,""),"")</f>
        <v/>
      </c>
      <c r="BC256" s="187">
        <f>IF(AND(ISNUMBER(BC147),ISNUMBER(BC142)),IFERROR(BC147/BC142,""),"")</f>
        <v/>
      </c>
      <c r="BD256" s="187">
        <f>IF(AND(ISNUMBER(BD147),ISNUMBER(BD142)),IFERROR(BD147/BD142,""),"")</f>
        <v/>
      </c>
      <c r="BE256" s="187">
        <f>IF(AND(ISNUMBER(BE147),ISNUMBER(BE142)),IFERROR(BE147/BE142,""),"")</f>
        <v/>
      </c>
      <c r="BF256" s="187">
        <f>IF(AND(ISNUMBER(BF147),ISNUMBER(BF142)),IFERROR(BF147/BF142,""),"")</f>
        <v/>
      </c>
      <c r="BG256" s="187">
        <f>IF(AND(ISNUMBER(BG147),ISNUMBER(BG142)),IFERROR(BG147/BG142,""),"")</f>
        <v/>
      </c>
      <c r="BH256" s="187">
        <f>IF(AND(ISNUMBER(BH147),ISNUMBER(BH142)),IFERROR(BH147/BH142,""),"")</f>
        <v/>
      </c>
      <c r="BI256" s="187">
        <f>IF(AND(ISNUMBER(BI147),ISNUMBER(BI142)),IFERROR(BI147/BI142,""),"")</f>
        <v/>
      </c>
      <c r="BJ256" s="187">
        <f>IF(AND(ISNUMBER(BJ147),ISNUMBER(BJ142)),IFERROR(BJ147/BJ142,""),"")</f>
        <v/>
      </c>
      <c r="BK256" s="187">
        <f>IF(AND(ISNUMBER(BK147),ISNUMBER(BK142)),IFERROR(BK147/BK142,""),"")</f>
        <v/>
      </c>
      <c r="BL256" s="187">
        <f>IF(AND(ISNUMBER(BL147),ISNUMBER(BL142)),IFERROR(BL147/BL142,""),"")</f>
        <v/>
      </c>
      <c r="BM256" s="187">
        <f>IF(AND(ISNUMBER(BM147),ISNUMBER(BM142)),IFERROR(BM147/BM142,""),"")</f>
        <v/>
      </c>
      <c r="BN256" s="187">
        <f>IF(AND(ISNUMBER(BN147),ISNUMBER(BN142)),IFERROR(BN147/BN142,""),"")</f>
        <v/>
      </c>
      <c r="BO256" s="187">
        <f>IF(AND(ISNUMBER(BO147),ISNUMBER(BO142)),IFERROR(BO147/BO142,""),"")</f>
        <v/>
      </c>
      <c r="BP256" s="187">
        <f>IF(AND(ISNUMBER(BP147),ISNUMBER(BP142)),IFERROR(BP147/BP142,""),"")</f>
        <v/>
      </c>
      <c r="BQ256" s="187">
        <f>IF(AND(ISNUMBER(BQ147),ISNUMBER(BQ142)),IFERROR(BQ147/BQ142,""),"")</f>
        <v/>
      </c>
      <c r="BR256" s="187">
        <f>IF(AND(ISNUMBER(BR147),ISNUMBER(BR142)),IFERROR(BR147/BR142,""),"")</f>
        <v/>
      </c>
      <c r="BS256" s="187">
        <f>IF(AND(ISNUMBER(BS147),ISNUMBER(BS142)),IFERROR(BS147/BS142,""),"")</f>
        <v/>
      </c>
      <c r="BT256" s="187">
        <f>IF(AND(ISNUMBER(BT147),ISNUMBER(BT142)),IFERROR(BT147/BT142,""),"")</f>
        <v/>
      </c>
      <c r="BU256" s="187">
        <f>IF(AND(ISNUMBER(BU147),ISNUMBER(BU142)),IFERROR(BU147/BU142,""),"")</f>
        <v/>
      </c>
      <c r="BV256" s="187">
        <f>IF(AND(ISNUMBER(BV147),ISNUMBER(BV142)),IFERROR(BV147/BV142,""),"")</f>
        <v/>
      </c>
      <c r="BW256" s="187">
        <f>IF(AND(ISNUMBER(BW147),ISNUMBER(BW142)),IFERROR(BW147/BW142,""),"")</f>
        <v/>
      </c>
      <c r="BX256" s="187">
        <f>IF(AND(ISNUMBER(BX147),ISNUMBER(BX142)),IFERROR(BX147/BX142,""),"")</f>
        <v/>
      </c>
      <c r="BY256" s="180">
        <f>IF(AND(ISNUMBER(BY147),ISNUMBER(BY142)),IFERROR(BY147/BY142,""),"")</f>
        <v/>
      </c>
      <c r="BZ256" s="180">
        <f>IF(AND(ISNUMBER(BZ147),ISNUMBER(BZ142)),IFERROR(BZ147/BZ142,""),"")</f>
        <v/>
      </c>
      <c r="CA256" s="180">
        <f>IF(AND(ISNUMBER(CA147),ISNUMBER(CA142)),IFERROR(CA147/CA142,""),"")</f>
        <v/>
      </c>
      <c r="CB256" s="180">
        <f>IF(AND(ISNUMBER(CB147),ISNUMBER(CB142)),IFERROR(CB147/CB142,""),"")</f>
        <v/>
      </c>
      <c r="CC256" s="180">
        <f>IF(AND(ISNUMBER(CC147),ISNUMBER(CC142)),IFERROR(CC147/CC142,""),"")</f>
        <v/>
      </c>
      <c r="CD256" s="180">
        <f>IF(AND(ISNUMBER(CD147),ISNUMBER(CD142)),IFERROR(CD147/CD142,""),"")</f>
        <v/>
      </c>
      <c r="CE256" s="180">
        <f>IF(AND(ISNUMBER(CE147),ISNUMBER(CE142)),IFERROR(CE147/CE142,""),"")</f>
        <v/>
      </c>
      <c r="CF256" s="6" t="n"/>
      <c r="CH256" s="39">
        <f>IFERROR(AVERAGE(CA256,CB256,CC256,CD256,CE256),"n/m")</f>
        <v/>
      </c>
      <c r="CI256" s="39">
        <f>IFERROR(AVERAGE(BB256,BG256,BL256,BQ256,BV256),"n/m")</f>
        <v/>
      </c>
      <c r="CJ256" s="39">
        <f>IFERROR(AVERAGE(AC256,AH256,AM256,AR256,AW256,BB256,BG256,BL256,BQ256,BV256),"n/m")</f>
        <v/>
      </c>
      <c r="CK256" s="39">
        <f>IFERROR(AVERAGE(C256,D256,E256,F256,G256,H256,I256,N256,S256,X256,AC256,AH256,AM256,AR256,AW256,BB256,BG256,BL256,BQ256,BV256),"n/m")</f>
        <v/>
      </c>
    </row>
    <row r="257" ht="15" customHeight="1"/>
    <row r="258" ht="15" customHeight="1">
      <c r="B258" s="11" t="inlineStr">
        <is>
          <t>CONSOLIDATED STATEMENT OF CASH FLOWS</t>
        </is>
      </c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  <c r="AG258" s="11" t="n"/>
      <c r="AH258" s="11" t="n"/>
      <c r="AI258" s="11" t="n"/>
      <c r="AJ258" s="11" t="n"/>
      <c r="AK258" s="11" t="n"/>
      <c r="AL258" s="11" t="n"/>
      <c r="AM258" s="11" t="n"/>
      <c r="AN258" s="11" t="n"/>
      <c r="AO258" s="11" t="n"/>
      <c r="AP258" s="11" t="n"/>
      <c r="AQ258" s="11" t="n"/>
      <c r="AR258" s="11" t="n"/>
      <c r="AS258" s="11" t="n"/>
      <c r="AT258" s="11" t="n"/>
      <c r="AU258" s="11" t="n"/>
      <c r="AV258" s="11" t="n"/>
      <c r="AW258" s="11" t="n"/>
      <c r="AX258" s="11" t="n"/>
      <c r="AY258" s="11" t="n"/>
      <c r="AZ258" s="11" t="n"/>
      <c r="BA258" s="11" t="n"/>
      <c r="BB258" s="11" t="n"/>
      <c r="BC258" s="11" t="n"/>
      <c r="BD258" s="11" t="n"/>
      <c r="BE258" s="11" t="n"/>
      <c r="BF258" s="11" t="n"/>
      <c r="BG258" s="11" t="n"/>
      <c r="BH258" s="11" t="n"/>
      <c r="BI258" s="11" t="n"/>
      <c r="BJ258" s="11" t="n"/>
      <c r="BK258" s="11" t="n"/>
      <c r="BL258" s="11" t="n"/>
      <c r="BM258" s="11" t="n"/>
      <c r="BN258" s="11" t="n"/>
      <c r="BO258" s="11" t="n"/>
      <c r="BP258" s="11" t="n"/>
      <c r="BQ258" s="11" t="n"/>
      <c r="BR258" s="11" t="n"/>
      <c r="BS258" s="11" t="n"/>
      <c r="BT258" s="11" t="n"/>
      <c r="BU258" s="11" t="n"/>
      <c r="BV258" s="11" t="n"/>
      <c r="BW258" s="11" t="n"/>
      <c r="BX258" s="11" t="n"/>
      <c r="BY258" s="11" t="n"/>
      <c r="BZ258" s="11" t="n"/>
      <c r="CA258" s="11" t="n"/>
      <c r="CB258" s="11" t="n"/>
      <c r="CC258" s="11" t="n"/>
      <c r="CD258" s="11" t="n"/>
      <c r="CE258" s="11" t="n"/>
      <c r="CF258" s="11" t="inlineStr">
        <is>
          <t>CASH FLOW — forecast logic (annual; 2026E = 1H/26 actual + 2H estimate; quarters = discrete, derived from year-to-date statements)</t>
        </is>
      </c>
    </row>
    <row r="259" ht="15" customHeight="1">
      <c r="B259" s="26" t="inlineStr">
        <is>
          <t>Net income (incl. noncontrolling interest)</t>
        </is>
      </c>
      <c r="C259" s="174" t="n">
        <v>84.8</v>
      </c>
      <c r="D259" s="174" t="n">
        <v>109.6</v>
      </c>
      <c r="E259" s="174" t="n">
        <v>130.6</v>
      </c>
      <c r="F259" s="174" t="n">
        <v>115.1</v>
      </c>
      <c r="G259" s="174" t="n">
        <v>123.1</v>
      </c>
      <c r="H259" s="174" t="n">
        <v>170.1</v>
      </c>
      <c r="I259" s="174" t="n">
        <v>251.7</v>
      </c>
      <c r="J259" s="174" t="n">
        <v>69.59999999999999</v>
      </c>
      <c r="K259" s="174" t="n">
        <v>74.7</v>
      </c>
      <c r="L259" s="174" t="n">
        <v>73.90000000000001</v>
      </c>
      <c r="M259" s="174" t="n">
        <v>74</v>
      </c>
      <c r="N259" s="174" t="n">
        <v>292.2</v>
      </c>
      <c r="O259" s="174" t="n">
        <v>80.09999999999999</v>
      </c>
      <c r="P259" s="174" t="n">
        <v>88.7</v>
      </c>
      <c r="Q259" s="174" t="n">
        <v>90.2</v>
      </c>
      <c r="R259" s="174" t="n">
        <v>92.7</v>
      </c>
      <c r="S259" s="174" t="n">
        <v>351.7</v>
      </c>
      <c r="T259" s="174" t="n">
        <v>96.2</v>
      </c>
      <c r="U259" s="174" t="n">
        <v>101.5</v>
      </c>
      <c r="V259" s="174" t="n">
        <v>99.09999999999999</v>
      </c>
      <c r="W259" s="174" t="n">
        <v>101.8</v>
      </c>
      <c r="X259" s="174" t="n">
        <v>398.6</v>
      </c>
      <c r="Y259" s="174" t="n">
        <v>94.2</v>
      </c>
      <c r="Z259" s="174" t="n">
        <v>90.40000000000001</v>
      </c>
      <c r="AA259" s="174" t="n">
        <v>82.5</v>
      </c>
      <c r="AB259" s="174" t="n">
        <v>46.3</v>
      </c>
      <c r="AC259" s="174" t="n">
        <v>313.4</v>
      </c>
      <c r="AD259" s="174" t="n">
        <v>72</v>
      </c>
      <c r="AE259" s="174" t="n">
        <v>72.2</v>
      </c>
      <c r="AF259" s="174" t="n">
        <v>68.40000000000001</v>
      </c>
      <c r="AG259" s="174" t="n">
        <v>49.7</v>
      </c>
      <c r="AH259" s="174" t="n">
        <v>262.3</v>
      </c>
      <c r="AI259" s="174" t="n">
        <v>87.5</v>
      </c>
      <c r="AJ259" s="174" t="n">
        <v>83.2</v>
      </c>
      <c r="AK259" s="174" t="n">
        <v>86.09999999999999</v>
      </c>
      <c r="AL259" s="174" t="n">
        <v>34.9</v>
      </c>
      <c r="AM259" s="174" t="n">
        <v>291.7</v>
      </c>
      <c r="AN259" s="174" t="n">
        <v>-4</v>
      </c>
      <c r="AO259" s="174" t="n">
        <v>102.8</v>
      </c>
      <c r="AP259" s="174" t="n">
        <v>90.7</v>
      </c>
      <c r="AQ259" s="174" t="n">
        <v>137</v>
      </c>
      <c r="AR259" s="174" t="n">
        <v>326.5</v>
      </c>
      <c r="AS259" s="174" t="n">
        <v>111.2</v>
      </c>
      <c r="AT259" s="174" t="n">
        <v>85.8</v>
      </c>
      <c r="AU259" s="174" t="n">
        <v>128.5</v>
      </c>
      <c r="AV259" s="174" t="n">
        <v>86.8</v>
      </c>
      <c r="AW259" s="174" t="n">
        <v>412.3</v>
      </c>
      <c r="AX259" s="174" t="n">
        <v>114.7</v>
      </c>
      <c r="AY259" s="174" t="n">
        <v>125.2</v>
      </c>
      <c r="AZ259" s="174" t="n">
        <v>131.8</v>
      </c>
      <c r="BA259" s="174" t="n">
        <v>193.3</v>
      </c>
      <c r="BB259" s="174" t="n">
        <v>565</v>
      </c>
      <c r="BC259" s="174" t="n">
        <v>150</v>
      </c>
      <c r="BD259" s="174" t="n">
        <v>169</v>
      </c>
      <c r="BE259" s="174" t="n">
        <v>163</v>
      </c>
      <c r="BF259" s="174" t="n">
        <v>159</v>
      </c>
      <c r="BG259" s="174" t="n">
        <v>641</v>
      </c>
      <c r="BH259" s="174" t="n">
        <v>173</v>
      </c>
      <c r="BI259" s="174" t="n">
        <v>193</v>
      </c>
      <c r="BJ259" s="174" t="n">
        <v>242</v>
      </c>
      <c r="BK259" s="174" t="n">
        <v>217</v>
      </c>
      <c r="BL259" s="174" t="n">
        <v>825</v>
      </c>
      <c r="BM259" s="174" t="n">
        <v>277</v>
      </c>
      <c r="BN259" s="174" t="n">
        <v>291</v>
      </c>
      <c r="BO259" s="174" t="n">
        <v>286</v>
      </c>
      <c r="BP259" s="174" t="n">
        <v>213</v>
      </c>
      <c r="BQ259" s="174" t="n">
        <v>1067</v>
      </c>
      <c r="BR259" s="174" t="n">
        <v>327</v>
      </c>
      <c r="BS259" s="174" t="n">
        <v>339</v>
      </c>
      <c r="BT259" s="174" t="n">
        <v>313</v>
      </c>
      <c r="BU259" s="174" t="n">
        <v>204</v>
      </c>
      <c r="BV259" s="174" t="n">
        <v>1183</v>
      </c>
      <c r="BW259" s="174" t="n">
        <v>363</v>
      </c>
      <c r="BX259" s="174" t="n">
        <v>396</v>
      </c>
      <c r="BY259" s="37" t="n"/>
      <c r="BZ259" s="37" t="n"/>
      <c r="CA259" s="178">
        <f>(BW259+BX259)+BY159+BZ159</f>
        <v/>
      </c>
      <c r="CB259" s="178">
        <f>CB159</f>
        <v/>
      </c>
      <c r="CC259" s="178">
        <f>CC159</f>
        <v/>
      </c>
      <c r="CD259" s="178">
        <f>CD159</f>
        <v/>
      </c>
      <c r="CE259" s="178">
        <f>CE159</f>
        <v/>
      </c>
      <c r="CF259" s="20" t="n"/>
    </row>
    <row r="260" ht="15" customHeight="1">
      <c r="B260" s="26" t="inlineStr">
        <is>
          <t>Adjustments:</t>
        </is>
      </c>
      <c r="CF260" s="6" t="n"/>
    </row>
    <row r="261" ht="15" customHeight="1">
      <c r="B261" s="26" t="inlineStr">
        <is>
          <t xml:space="preserve">  Depreciation &amp; amortization</t>
        </is>
      </c>
      <c r="C261" s="174" t="n">
        <v>25.9</v>
      </c>
      <c r="D261" s="174" t="n">
        <v>29.1</v>
      </c>
      <c r="E261" s="174" t="n">
        <v>29.8</v>
      </c>
      <c r="F261" s="174" t="n">
        <v>35.5</v>
      </c>
      <c r="G261" s="174" t="n">
        <v>38.6</v>
      </c>
      <c r="H261" s="174" t="n">
        <v>44.8</v>
      </c>
      <c r="I261" s="174" t="n">
        <v>44.1</v>
      </c>
      <c r="J261" s="174" t="n">
        <v>11.2</v>
      </c>
      <c r="K261" s="174" t="n">
        <v>13.8</v>
      </c>
      <c r="L261" s="174" t="n">
        <v>12.1</v>
      </c>
      <c r="M261" s="174" t="n">
        <v>14.1</v>
      </c>
      <c r="N261" s="174" t="n">
        <v>51.2</v>
      </c>
      <c r="O261" s="174" t="n">
        <v>13.6</v>
      </c>
      <c r="P261" s="174" t="n">
        <v>14.3</v>
      </c>
      <c r="Q261" s="174" t="n">
        <v>17.1</v>
      </c>
      <c r="R261" s="174" t="n">
        <v>16.3</v>
      </c>
      <c r="S261" s="174" t="n">
        <v>61.3</v>
      </c>
      <c r="T261" s="174" t="n">
        <v>15.6</v>
      </c>
      <c r="U261" s="174" t="n">
        <v>16</v>
      </c>
      <c r="V261" s="174" t="n">
        <v>16.6</v>
      </c>
      <c r="W261" s="174" t="n">
        <v>16.5</v>
      </c>
      <c r="X261" s="174" t="n">
        <v>64.7</v>
      </c>
      <c r="Y261" s="174" t="n">
        <v>16.2</v>
      </c>
      <c r="Z261" s="174" t="n">
        <v>16.9</v>
      </c>
      <c r="AA261" s="174" t="n">
        <v>16.3</v>
      </c>
      <c r="AB261" s="174" t="n">
        <v>20.4</v>
      </c>
      <c r="AC261" s="174" t="n">
        <v>69.8</v>
      </c>
      <c r="AD261" s="174" t="n">
        <v>25.2</v>
      </c>
      <c r="AE261" s="174" t="n">
        <v>25.9</v>
      </c>
      <c r="AF261" s="174" t="n">
        <v>25.9</v>
      </c>
      <c r="AG261" s="174" t="n">
        <v>26.2</v>
      </c>
      <c r="AH261" s="174" t="n">
        <v>103.2</v>
      </c>
      <c r="AI261" s="174" t="n">
        <v>27.9</v>
      </c>
      <c r="AJ261" s="174" t="n">
        <v>25.3</v>
      </c>
      <c r="AK261" s="174" t="n">
        <v>29.8</v>
      </c>
      <c r="AL261" s="174" t="n">
        <v>26.3</v>
      </c>
      <c r="AM261" s="174" t="n">
        <v>109.3</v>
      </c>
      <c r="AN261" s="174" t="n">
        <v>56</v>
      </c>
      <c r="AO261" s="174" t="n">
        <v>109.1</v>
      </c>
      <c r="AP261" s="174" t="n">
        <v>124.2</v>
      </c>
      <c r="AQ261" s="174" t="n">
        <v>112.1</v>
      </c>
      <c r="AR261" s="174" t="n">
        <v>401.4</v>
      </c>
      <c r="AS261" s="174" t="n">
        <v>115.8</v>
      </c>
      <c r="AT261" s="174" t="n">
        <v>117.9</v>
      </c>
      <c r="AU261" s="174" t="n">
        <v>119.6</v>
      </c>
      <c r="AV261" s="174" t="n">
        <v>120</v>
      </c>
      <c r="AW261" s="174" t="n">
        <v>473.3</v>
      </c>
      <c r="AX261" s="174" t="n">
        <v>120</v>
      </c>
      <c r="AY261" s="174" t="n">
        <v>126.3</v>
      </c>
      <c r="AZ261" s="174" t="n">
        <v>122.3</v>
      </c>
      <c r="BA261" s="174" t="n">
        <v>122.4</v>
      </c>
      <c r="BB261" s="174" t="n">
        <v>491</v>
      </c>
      <c r="BC261" s="174" t="n">
        <v>122</v>
      </c>
      <c r="BD261" s="174" t="n">
        <v>118</v>
      </c>
      <c r="BE261" s="174" t="n">
        <v>119</v>
      </c>
      <c r="BF261" s="174" t="n">
        <v>120</v>
      </c>
      <c r="BG261" s="174" t="n">
        <v>479</v>
      </c>
      <c r="BH261" s="174" t="n">
        <v>123</v>
      </c>
      <c r="BI261" s="174" t="n">
        <v>123</v>
      </c>
      <c r="BJ261" s="174" t="n">
        <v>125</v>
      </c>
      <c r="BK261" s="174" t="n">
        <v>160</v>
      </c>
      <c r="BL261" s="174" t="n">
        <v>531</v>
      </c>
      <c r="BM261" s="174" t="n">
        <v>123</v>
      </c>
      <c r="BN261" s="174" t="n">
        <v>118</v>
      </c>
      <c r="BO261" s="174" t="n">
        <v>134</v>
      </c>
      <c r="BP261" s="174" t="n">
        <v>128</v>
      </c>
      <c r="BQ261" s="174" t="n">
        <v>503</v>
      </c>
      <c r="BR261" s="174" t="n">
        <v>120</v>
      </c>
      <c r="BS261" s="174" t="n">
        <v>117</v>
      </c>
      <c r="BT261" s="174" t="n">
        <v>128</v>
      </c>
      <c r="BU261" s="174" t="n">
        <v>136</v>
      </c>
      <c r="BV261" s="174" t="n">
        <v>501</v>
      </c>
      <c r="BW261" s="174" t="n">
        <v>139</v>
      </c>
      <c r="BX261" s="174" t="n">
        <v>143</v>
      </c>
      <c r="BY261" s="37" t="n"/>
      <c r="BZ261" s="37" t="n"/>
      <c r="CA261" s="178">
        <f>(BW261+BX261)+BY164+BZ164</f>
        <v/>
      </c>
      <c r="CB261" s="178">
        <f>CB164</f>
        <v/>
      </c>
      <c r="CC261" s="178">
        <f>CC164</f>
        <v/>
      </c>
      <c r="CD261" s="178">
        <f>CD164</f>
        <v/>
      </c>
      <c r="CE261" s="178">
        <f>CE164</f>
        <v/>
      </c>
      <c r="CF261" s="20" t="inlineStr">
        <is>
          <t>2026E = 1H/26 actual (incl. deferred debt-cost amortization) + 2H/26 model D&amp;A.</t>
        </is>
      </c>
    </row>
    <row r="262" ht="15" customHeight="1">
      <c r="B262" s="26" t="inlineStr">
        <is>
          <t xml:space="preserve">  Stock-based compensation</t>
        </is>
      </c>
      <c r="C262" s="174" t="n">
        <v>9.199999999999999</v>
      </c>
      <c r="D262" s="174" t="n">
        <v>11.3</v>
      </c>
      <c r="E262" s="174" t="n">
        <v>10.5</v>
      </c>
      <c r="F262" s="174" t="n">
        <v>3.6</v>
      </c>
      <c r="G262" s="174" t="n">
        <v>11.8</v>
      </c>
      <c r="H262" s="174" t="n">
        <v>18.6</v>
      </c>
      <c r="I262" s="174" t="n">
        <v>19.8</v>
      </c>
      <c r="J262" s="174" t="n">
        <v>5.6</v>
      </c>
      <c r="K262" s="174" t="n">
        <v>5.5</v>
      </c>
      <c r="L262" s="174" t="n">
        <v>6.5</v>
      </c>
      <c r="M262" s="174" t="n">
        <v>6.5</v>
      </c>
      <c r="N262" s="174" t="n">
        <v>24.1</v>
      </c>
      <c r="O262" s="174" t="n">
        <v>6.7</v>
      </c>
      <c r="P262" s="174" t="n">
        <v>5.4</v>
      </c>
      <c r="Q262" s="174" t="n">
        <v>7</v>
      </c>
      <c r="R262" s="174" t="n">
        <v>7</v>
      </c>
      <c r="S262" s="174" t="n">
        <v>26.1</v>
      </c>
      <c r="T262" s="174" t="n">
        <v>8.800000000000001</v>
      </c>
      <c r="U262" s="174" t="n">
        <v>6.2</v>
      </c>
      <c r="V262" s="174" t="n">
        <v>5.1</v>
      </c>
      <c r="W262" s="174" t="n">
        <v>5.9</v>
      </c>
      <c r="X262" s="174" t="n">
        <v>26</v>
      </c>
      <c r="Y262" s="174" t="n">
        <v>5.5</v>
      </c>
      <c r="Z262" s="174" t="n">
        <v>4.2</v>
      </c>
      <c r="AA262" s="174" t="n">
        <v>5.1</v>
      </c>
      <c r="AB262" s="174" t="n">
        <v>6</v>
      </c>
      <c r="AC262" s="174" t="n">
        <v>20.8</v>
      </c>
      <c r="AD262" s="174" t="n">
        <v>5.7</v>
      </c>
      <c r="AE262" s="174" t="n">
        <v>6.2</v>
      </c>
      <c r="AF262" s="174" t="n">
        <v>2.6</v>
      </c>
      <c r="AG262" s="174" t="n">
        <v>6.8</v>
      </c>
      <c r="AH262" s="174" t="n">
        <v>21.3</v>
      </c>
      <c r="AI262" s="174" t="n">
        <v>5.7</v>
      </c>
      <c r="AJ262" s="174" t="n">
        <v>8.300000000000001</v>
      </c>
      <c r="AK262" s="174" t="n">
        <v>6.5</v>
      </c>
      <c r="AL262" s="174" t="n">
        <v>4.8</v>
      </c>
      <c r="AM262" s="174" t="n">
        <v>25.3</v>
      </c>
      <c r="AN262" s="174" t="n">
        <v>8.5</v>
      </c>
      <c r="AO262" s="174" t="n">
        <v>15.4</v>
      </c>
      <c r="AP262" s="174" t="n">
        <v>12.2</v>
      </c>
      <c r="AQ262" s="174" t="n">
        <v>13.9</v>
      </c>
      <c r="AR262" s="174" t="n">
        <v>50</v>
      </c>
      <c r="AS262" s="174" t="n">
        <v>7.3</v>
      </c>
      <c r="AT262" s="174" t="n">
        <v>-1.6</v>
      </c>
      <c r="AU262" s="174" t="n">
        <v>11.9</v>
      </c>
      <c r="AV262" s="174" t="n">
        <v>1.9</v>
      </c>
      <c r="AW262" s="174" t="n">
        <v>19.5</v>
      </c>
      <c r="AX262" s="174" t="n">
        <v>8.199999999999999</v>
      </c>
      <c r="AY262" s="174" t="n">
        <v>16</v>
      </c>
      <c r="AZ262" s="174" t="n">
        <v>10</v>
      </c>
      <c r="BA262" s="174" t="n">
        <v>11.8</v>
      </c>
      <c r="BB262" s="174" t="n">
        <v>46</v>
      </c>
      <c r="BC262" s="174" t="n">
        <v>10</v>
      </c>
      <c r="BD262" s="174" t="n">
        <v>10</v>
      </c>
      <c r="BE262" s="174" t="n">
        <v>10</v>
      </c>
      <c r="BF262" s="174" t="n">
        <v>11</v>
      </c>
      <c r="BG262" s="174" t="n">
        <v>41</v>
      </c>
      <c r="BH262" s="174" t="n">
        <v>10</v>
      </c>
      <c r="BI262" s="174" t="n">
        <v>12</v>
      </c>
      <c r="BJ262" s="174" t="n">
        <v>14</v>
      </c>
      <c r="BK262" s="174" t="n">
        <v>11</v>
      </c>
      <c r="BL262" s="174" t="n">
        <v>47</v>
      </c>
      <c r="BM262" s="174" t="n">
        <v>12</v>
      </c>
      <c r="BN262" s="174" t="n">
        <v>14</v>
      </c>
      <c r="BO262" s="174" t="n">
        <v>18</v>
      </c>
      <c r="BP262" s="174" t="n">
        <v>22</v>
      </c>
      <c r="BQ262" s="174" t="n">
        <v>66</v>
      </c>
      <c r="BR262" s="174" t="n">
        <v>17</v>
      </c>
      <c r="BS262" s="174" t="n">
        <v>19</v>
      </c>
      <c r="BT262" s="174" t="n">
        <v>22</v>
      </c>
      <c r="BU262" s="174" t="n">
        <v>22</v>
      </c>
      <c r="BV262" s="174" t="n">
        <v>80</v>
      </c>
      <c r="BW262" s="174" t="n">
        <v>22</v>
      </c>
      <c r="BX262" s="174" t="n">
        <v>28</v>
      </c>
      <c r="BY262" s="37" t="n"/>
      <c r="BZ262" s="37" t="n"/>
      <c r="CA262" s="178">
        <f>(BW262+BX262)+BY165+BZ165</f>
        <v/>
      </c>
      <c r="CB262" s="178">
        <f>CB165</f>
        <v/>
      </c>
      <c r="CC262" s="178">
        <f>CC165</f>
        <v/>
      </c>
      <c r="CD262" s="178">
        <f>CD165</f>
        <v/>
      </c>
      <c r="CE262" s="178">
        <f>CE165</f>
        <v/>
      </c>
      <c r="CF262" s="20" t="n"/>
    </row>
    <row r="263" ht="15" customHeight="1">
      <c r="B263" s="26" t="inlineStr">
        <is>
          <t xml:space="preserve">  Deferred income taxes</t>
        </is>
      </c>
      <c r="C263" s="174" t="n">
        <v>4.1</v>
      </c>
      <c r="D263" s="174" t="n">
        <v>-2.3</v>
      </c>
      <c r="E263" s="174" t="n">
        <v>4.9</v>
      </c>
      <c r="F263" s="174" t="n">
        <v>7.4</v>
      </c>
      <c r="G263" s="174" t="n">
        <v>16.2</v>
      </c>
      <c r="H263" s="174" t="n">
        <v>-16.6</v>
      </c>
      <c r="I263" s="174" t="n">
        <v>0.6</v>
      </c>
      <c r="J263" s="174" t="n">
        <v>0</v>
      </c>
      <c r="K263" s="174" t="n">
        <v>0</v>
      </c>
      <c r="L263" s="174" t="n">
        <v>0</v>
      </c>
      <c r="M263" s="174" t="n">
        <v>15.2</v>
      </c>
      <c r="N263" s="174" t="n">
        <v>15.2</v>
      </c>
      <c r="O263" s="174" t="n">
        <v>0</v>
      </c>
      <c r="P263" s="174" t="n">
        <v>0</v>
      </c>
      <c r="Q263" s="174" t="n">
        <v>0</v>
      </c>
      <c r="R263" s="174" t="n">
        <v>-7.1</v>
      </c>
      <c r="S263" s="174" t="n">
        <v>-7.1</v>
      </c>
      <c r="T263" s="36" t="n"/>
      <c r="U263" s="36" t="n"/>
      <c r="V263" s="36" t="n"/>
      <c r="W263" s="36" t="n"/>
      <c r="X263" s="174" t="n">
        <v>5</v>
      </c>
      <c r="Y263" s="36" t="n"/>
      <c r="Z263" s="36" t="n"/>
      <c r="AA263" s="36" t="n"/>
      <c r="AB263" s="36" t="n"/>
      <c r="AC263" s="174" t="n">
        <v>-10.2</v>
      </c>
      <c r="AD263" s="36" t="n"/>
      <c r="AE263" s="36" t="n"/>
      <c r="AF263" s="36" t="n"/>
      <c r="AG263" s="36" t="n"/>
      <c r="AH263" s="174" t="n">
        <v>-67.40000000000001</v>
      </c>
      <c r="AI263" s="36" t="n"/>
      <c r="AJ263" s="36" t="n"/>
      <c r="AK263" s="36" t="n"/>
      <c r="AL263" s="36" t="n"/>
      <c r="AM263" s="174" t="n">
        <v>-5.3</v>
      </c>
      <c r="AN263" s="36" t="n"/>
      <c r="AO263" s="36" t="n"/>
      <c r="AP263" s="36" t="n"/>
      <c r="AQ263" s="36" t="n"/>
      <c r="AR263" s="174" t="n">
        <v>-27.3</v>
      </c>
      <c r="AS263" s="36" t="n"/>
      <c r="AT263" s="36" t="n"/>
      <c r="AU263" s="36" t="n"/>
      <c r="AV263" s="36" t="n"/>
      <c r="AW263" s="174" t="n">
        <v>29.4</v>
      </c>
      <c r="AX263" s="36" t="n"/>
      <c r="AY263" s="36" t="n"/>
      <c r="AZ263" s="36" t="n"/>
      <c r="BA263" s="36" t="n"/>
      <c r="BB263" s="174" t="n">
        <v>88</v>
      </c>
      <c r="BC263" s="36" t="n"/>
      <c r="BD263" s="36" t="n"/>
      <c r="BE263" s="36" t="n"/>
      <c r="BF263" s="36" t="n"/>
      <c r="BG263" s="174" t="n">
        <v>36</v>
      </c>
      <c r="BH263" s="36" t="n"/>
      <c r="BI263" s="36" t="n"/>
      <c r="BJ263" s="36" t="n"/>
      <c r="BK263" s="36" t="n"/>
      <c r="BL263" s="174" t="n">
        <v>-58</v>
      </c>
      <c r="BM263" s="36" t="n"/>
      <c r="BN263" s="36" t="n"/>
      <c r="BO263" s="36" t="n"/>
      <c r="BP263" s="36" t="n"/>
      <c r="BQ263" s="174" t="n">
        <v>51</v>
      </c>
      <c r="BR263" s="36" t="n"/>
      <c r="BS263" s="36" t="n"/>
      <c r="BT263" s="36" t="n"/>
      <c r="BU263" s="36" t="n"/>
      <c r="BV263" s="174" t="n">
        <v>11</v>
      </c>
      <c r="BW263" s="36" t="n"/>
      <c r="BX263" s="36" t="n"/>
      <c r="BY263" s="37" t="n"/>
      <c r="BZ263" s="37" t="n"/>
      <c r="CA263" s="178">
        <f>(BW263+BX263)</f>
        <v/>
      </c>
      <c r="CB263" s="188" t="n">
        <v>-50</v>
      </c>
      <c r="CC263" s="188" t="n">
        <v>-50</v>
      </c>
      <c r="CD263" s="188" t="n">
        <v>-50</v>
      </c>
      <c r="CE263" s="188" t="n">
        <v>-50</v>
      </c>
      <c r="CF263" s="20" t="inlineStr">
        <is>
          <t>2027E+: deferred tax benefit as acquired-intangible amortization (book) exceeds tax amortization (input).</t>
        </is>
      </c>
    </row>
    <row r="264" ht="15" customHeight="1">
      <c r="B264" s="26" t="inlineStr">
        <is>
          <t xml:space="preserve">  (Gains) losses, impairments &amp; other operating items, net (derived)</t>
        </is>
      </c>
      <c r="C264" s="174" t="n">
        <v>-2.999999999999993</v>
      </c>
      <c r="D264" s="174" t="n">
        <v>-2.399999999999997</v>
      </c>
      <c r="E264" s="174" t="n">
        <v>-1.999999999999991</v>
      </c>
      <c r="F264" s="174" t="n">
        <v>-4.899999999999994</v>
      </c>
      <c r="G264" s="174" t="n">
        <v>-1.800000000000001</v>
      </c>
      <c r="H264" s="174" t="n">
        <v>-3.099999999999994</v>
      </c>
      <c r="I264" s="174" t="n">
        <v>-1.999999999999986</v>
      </c>
      <c r="J264" s="174" t="n">
        <v>-1.4</v>
      </c>
      <c r="K264" s="174" t="n">
        <v>-3.5</v>
      </c>
      <c r="L264" s="174" t="n">
        <v>-5.2</v>
      </c>
      <c r="M264" s="174" t="n">
        <v>5.9</v>
      </c>
      <c r="N264" s="174" t="n">
        <v>-4.199999999999989</v>
      </c>
      <c r="O264" s="174" t="n">
        <v>-0.6</v>
      </c>
      <c r="P264" s="174" t="n">
        <v>-0.5</v>
      </c>
      <c r="Q264" s="174" t="n">
        <v>-1.5</v>
      </c>
      <c r="R264" s="174" t="n">
        <v>0.4</v>
      </c>
      <c r="S264" s="174" t="n">
        <v>-2.20000000000001</v>
      </c>
      <c r="T264" s="174" t="n">
        <v>-0.2</v>
      </c>
      <c r="U264" s="174" t="n">
        <v>-0.8</v>
      </c>
      <c r="V264" s="174" t="n">
        <v>0.1</v>
      </c>
      <c r="W264" s="174" t="n">
        <v>4</v>
      </c>
      <c r="X264" s="174" t="n">
        <v>-1.900000000000013</v>
      </c>
      <c r="Y264" s="174" t="n">
        <v>0.1</v>
      </c>
      <c r="Z264" s="174" t="n">
        <v>0.3</v>
      </c>
      <c r="AA264" s="174" t="n">
        <v>-0.7</v>
      </c>
      <c r="AB264" s="174" t="n">
        <v>-10.9</v>
      </c>
      <c r="AC264" s="174" t="n">
        <v>-0.9999999999999574</v>
      </c>
      <c r="AD264" s="174" t="n">
        <v>0.2</v>
      </c>
      <c r="AE264" s="174" t="n">
        <v>0.2</v>
      </c>
      <c r="AF264" s="174" t="n">
        <v>1.2</v>
      </c>
      <c r="AG264" s="174" t="n">
        <v>-67.09999999999999</v>
      </c>
      <c r="AH264" s="174" t="n">
        <v>1.900000000000006</v>
      </c>
      <c r="AI264" s="174" t="n">
        <v>-0.1</v>
      </c>
      <c r="AJ264" s="174" t="n">
        <v>1.5</v>
      </c>
      <c r="AK264" s="174" t="n">
        <v>2.6</v>
      </c>
      <c r="AL264" s="174" t="n">
        <v>-8.4</v>
      </c>
      <c r="AM264" s="174" t="n">
        <v>0.9000000000000057</v>
      </c>
      <c r="AN264" s="174" t="n">
        <v>1</v>
      </c>
      <c r="AO264" s="174" t="n">
        <v>-9.9</v>
      </c>
      <c r="AP264" s="174" t="n">
        <v>-8.4</v>
      </c>
      <c r="AQ264" s="174" t="n">
        <v>-76.3</v>
      </c>
      <c r="AR264" s="174" t="n">
        <v>-66.29999999999995</v>
      </c>
      <c r="AS264" s="174" t="n">
        <v>-37.6</v>
      </c>
      <c r="AT264" s="174" t="n">
        <v>-17.8</v>
      </c>
      <c r="AU264" s="174" t="n">
        <v>-12.5</v>
      </c>
      <c r="AV264" s="174" t="n">
        <v>18.7</v>
      </c>
      <c r="AW264" s="174" t="n">
        <v>-78.59999999999998</v>
      </c>
      <c r="AX264" s="174" t="n">
        <v>-12.6</v>
      </c>
      <c r="AY264" s="174" t="n">
        <v>-7.3</v>
      </c>
      <c r="AZ264" s="174" t="n">
        <v>-9.199999999999999</v>
      </c>
      <c r="BA264" s="174" t="n">
        <v>63.1</v>
      </c>
      <c r="BB264" s="174" t="n">
        <v>-54</v>
      </c>
      <c r="BC264" s="174" t="n">
        <v>-10</v>
      </c>
      <c r="BD264" s="174" t="n">
        <v>-12</v>
      </c>
      <c r="BE264" s="174" t="n">
        <v>-12</v>
      </c>
      <c r="BF264" s="174" t="n">
        <v>20</v>
      </c>
      <c r="BG264" s="174" t="n">
        <v>-50</v>
      </c>
      <c r="BH264" s="174" t="n">
        <v>-9</v>
      </c>
      <c r="BI264" s="174" t="n">
        <v>-14</v>
      </c>
      <c r="BJ264" s="174" t="n">
        <v>-12</v>
      </c>
      <c r="BK264" s="174" t="n">
        <v>-70</v>
      </c>
      <c r="BL264" s="174" t="n">
        <v>-47</v>
      </c>
      <c r="BM264" s="174" t="n">
        <v>-9</v>
      </c>
      <c r="BN264" s="174" t="n">
        <v>-12</v>
      </c>
      <c r="BO264" s="174" t="n">
        <v>-11</v>
      </c>
      <c r="BP264" s="174" t="n">
        <v>43</v>
      </c>
      <c r="BQ264" s="174" t="n">
        <v>-40</v>
      </c>
      <c r="BR264" s="174" t="n">
        <v>-10</v>
      </c>
      <c r="BS264" s="174" t="n">
        <v>-44</v>
      </c>
      <c r="BT264" s="174" t="n">
        <v>-10</v>
      </c>
      <c r="BU264" s="174" t="n">
        <v>52</v>
      </c>
      <c r="BV264" s="174" t="n">
        <v>-23</v>
      </c>
      <c r="BW264" s="174" t="n">
        <v>-10</v>
      </c>
      <c r="BX264" s="174" t="n">
        <v>-12</v>
      </c>
      <c r="BY264" s="37" t="n"/>
      <c r="BZ264" s="37" t="n"/>
      <c r="CA264" s="178">
        <f>(BW264+BX264)</f>
        <v/>
      </c>
      <c r="CB264" s="188" t="n">
        <v>0</v>
      </c>
      <c r="CC264" s="188" t="n">
        <v>0</v>
      </c>
      <c r="CD264" s="188" t="n">
        <v>0</v>
      </c>
      <c r="CE264" s="188" t="n">
        <v>0</v>
      </c>
      <c r="CF264" s="20" t="n"/>
    </row>
    <row r="265" ht="15" customHeight="1">
      <c r="B265" s="26" t="inlineStr">
        <is>
          <t xml:space="preserve">  Changes in operating assets &amp; liabilities (working capital), net</t>
        </is>
      </c>
      <c r="C265" s="174" t="n">
        <v>30</v>
      </c>
      <c r="D265" s="174" t="n">
        <v>-2.8</v>
      </c>
      <c r="E265" s="174" t="n">
        <v>-14.4</v>
      </c>
      <c r="F265" s="174" t="n">
        <v>3.8</v>
      </c>
      <c r="G265" s="174" t="n">
        <v>-11.8</v>
      </c>
      <c r="H265" s="174" t="n">
        <v>34.8</v>
      </c>
      <c r="I265" s="174" t="n">
        <v>-76.8</v>
      </c>
      <c r="J265" s="174" t="n">
        <v>-53</v>
      </c>
      <c r="K265" s="174" t="n">
        <v>-77.40000000000001</v>
      </c>
      <c r="L265" s="174" t="n">
        <v>-47.4</v>
      </c>
      <c r="M265" s="174" t="n">
        <v>35</v>
      </c>
      <c r="N265" s="174" t="n">
        <v>-142.8</v>
      </c>
      <c r="O265" s="174" t="n">
        <v>-73.59999999999999</v>
      </c>
      <c r="P265" s="174" t="n">
        <v>3.6</v>
      </c>
      <c r="Q265" s="174" t="n">
        <v>-20.3</v>
      </c>
      <c r="R265" s="174" t="n">
        <v>132.9</v>
      </c>
      <c r="S265" s="174" t="n">
        <v>42.6</v>
      </c>
      <c r="T265" s="174" t="n">
        <v>-76.7</v>
      </c>
      <c r="U265" s="174" t="n">
        <v>-55.7</v>
      </c>
      <c r="V265" s="174" t="n">
        <v>23.5</v>
      </c>
      <c r="W265" s="174" t="n">
        <v>64.8</v>
      </c>
      <c r="X265" s="174" t="n">
        <v>-44.1</v>
      </c>
      <c r="Y265" s="174" t="n">
        <v>-40.4</v>
      </c>
      <c r="Z265" s="174" t="n">
        <v>26.6</v>
      </c>
      <c r="AA265" s="174" t="n">
        <v>-70.3</v>
      </c>
      <c r="AB265" s="174" t="n">
        <v>140.6</v>
      </c>
      <c r="AC265" s="174" t="n">
        <v>56.5</v>
      </c>
      <c r="AD265" s="174" t="n">
        <v>-129.2</v>
      </c>
      <c r="AE265" s="174" t="n">
        <v>-92.09999999999999</v>
      </c>
      <c r="AF265" s="174" t="n">
        <v>-57.9</v>
      </c>
      <c r="AG265" s="174" t="n">
        <v>146.7</v>
      </c>
      <c r="AH265" s="174" t="n">
        <v>-132.5</v>
      </c>
      <c r="AI265" s="174" t="n">
        <v>-96.8</v>
      </c>
      <c r="AJ265" s="174" t="n">
        <v>-74.59999999999999</v>
      </c>
      <c r="AK265" s="174" t="n">
        <v>-154.9</v>
      </c>
      <c r="AL265" s="174" t="n">
        <v>219.1</v>
      </c>
      <c r="AM265" s="174" t="n">
        <v>-107.2</v>
      </c>
      <c r="AN265" s="174" t="n">
        <v>-30.2</v>
      </c>
      <c r="AO265" s="174" t="n">
        <v>195.2</v>
      </c>
      <c r="AP265" s="174" t="n">
        <v>-94.90000000000001</v>
      </c>
      <c r="AQ265" s="174" t="n">
        <v>261.1</v>
      </c>
      <c r="AR265" s="174" t="n">
        <v>331.2</v>
      </c>
      <c r="AS265" s="174" t="n">
        <v>-278.6</v>
      </c>
      <c r="AT265" s="174" t="n">
        <v>126.2</v>
      </c>
      <c r="AU265" s="174" t="n">
        <v>-18</v>
      </c>
      <c r="AV265" s="174" t="n">
        <v>98.2</v>
      </c>
      <c r="AW265" s="174" t="n">
        <v>-72.2</v>
      </c>
      <c r="AX265" s="174" t="n">
        <v>61.9</v>
      </c>
      <c r="AY265" s="174" t="n">
        <v>-37</v>
      </c>
      <c r="AZ265" s="174" t="n">
        <v>-11</v>
      </c>
      <c r="BA265" s="174" t="n">
        <v>-76.90000000000001</v>
      </c>
      <c r="BB265" s="174" t="n">
        <v>-63</v>
      </c>
      <c r="BC265" s="174" t="n">
        <v>-111</v>
      </c>
      <c r="BD265" s="174" t="n">
        <v>-22</v>
      </c>
      <c r="BE265" s="174" t="n">
        <v>-76</v>
      </c>
      <c r="BF265" s="174" t="n">
        <v>100</v>
      </c>
      <c r="BG265" s="174" t="n">
        <v>-109</v>
      </c>
      <c r="BH265" s="174" t="n">
        <v>-322</v>
      </c>
      <c r="BI265" s="174" t="n">
        <v>-199</v>
      </c>
      <c r="BJ265" s="174" t="n">
        <v>56</v>
      </c>
      <c r="BK265" s="174" t="n">
        <v>368</v>
      </c>
      <c r="BL265" s="174" t="n">
        <v>-97</v>
      </c>
      <c r="BM265" s="174" t="n">
        <v>-69</v>
      </c>
      <c r="BN265" s="174" t="n">
        <v>-176</v>
      </c>
      <c r="BO265" s="174" t="n">
        <v>115</v>
      </c>
      <c r="BP265" s="174" t="n">
        <v>317</v>
      </c>
      <c r="BQ265" s="174" t="n">
        <v>187</v>
      </c>
      <c r="BR265" s="174" t="n">
        <v>-263</v>
      </c>
      <c r="BS265" s="174" t="n">
        <v>-222</v>
      </c>
      <c r="BT265" s="174" t="n">
        <v>-86</v>
      </c>
      <c r="BU265" s="174" t="n">
        <v>578</v>
      </c>
      <c r="BV265" s="174" t="n">
        <v>7</v>
      </c>
      <c r="BW265" s="174" t="n">
        <v>-315</v>
      </c>
      <c r="BX265" s="174" t="n">
        <v>-114</v>
      </c>
      <c r="BY265" s="37" t="n"/>
      <c r="BZ265" s="37" t="n"/>
      <c r="CA265" s="178">
        <f>(BW265+BX265)-(CA309-BX309)-(CA310-BX310)+(CA319-BX319)+(CA320-BX320)+(CA321-BX321)</f>
        <v/>
      </c>
      <c r="CB265" s="178">
        <f>-(CB309-CA309)-(CB310-CA310)+(CB319-CA319)+(CB320-CA320)+(CB321-CA321)</f>
        <v/>
      </c>
      <c r="CC265" s="178">
        <f>-(CC309-CB309)-(CC310-CB310)+(CC319-CB319)+(CC320-CB320)+(CC321-CB321)</f>
        <v/>
      </c>
      <c r="CD265" s="178">
        <f>-(CD309-CC309)-(CD310-CC310)+(CD319-CC319)+(CD320-CC320)+(CD321-CC321)</f>
        <v/>
      </c>
      <c r="CE265" s="178">
        <f>-(CE309-CD309)-(CE310-CD310)+(CE319-CD319)+(CE320-CD320)+(CE321-CD321)</f>
        <v/>
      </c>
      <c r="CF265" s="20" t="inlineStr">
        <is>
          <t>Linked to the balance sheet: −Δ(receivables incl. unbilled, inventories) + Δ(payables, customer deposits, accrued compensation). 2026E = 1H/26 actual + 2H balance-sheet change from 30-Jun-26.</t>
        </is>
      </c>
    </row>
    <row r="266" ht="15" customHeight="1">
      <c r="B266" s="17" t="inlineStr">
        <is>
          <t>Net cash provided by operating activities</t>
        </is>
      </c>
      <c r="C266" s="184" t="n">
        <v>151</v>
      </c>
      <c r="D266" s="184" t="n">
        <v>142.5</v>
      </c>
      <c r="E266" s="184" t="n">
        <v>159.4</v>
      </c>
      <c r="F266" s="184" t="n">
        <v>160.5</v>
      </c>
      <c r="G266" s="184" t="n">
        <v>176.1</v>
      </c>
      <c r="H266" s="184" t="n">
        <v>248.6</v>
      </c>
      <c r="I266" s="184" t="n">
        <v>237.4</v>
      </c>
      <c r="J266" s="184" t="n">
        <v>32</v>
      </c>
      <c r="K266" s="184" t="n">
        <v>13.1</v>
      </c>
      <c r="L266" s="184" t="n">
        <v>39.9</v>
      </c>
      <c r="M266" s="184" t="n">
        <v>150.7</v>
      </c>
      <c r="N266" s="184" t="n">
        <v>235.7</v>
      </c>
      <c r="O266" s="184" t="n">
        <v>26.2</v>
      </c>
      <c r="P266" s="184" t="n">
        <v>111.5</v>
      </c>
      <c r="Q266" s="184" t="n">
        <v>92.5</v>
      </c>
      <c r="R266" s="184" t="n">
        <v>242.2</v>
      </c>
      <c r="S266" s="184" t="n">
        <v>472.4</v>
      </c>
      <c r="T266" s="184" t="n">
        <v>43.7</v>
      </c>
      <c r="U266" s="184" t="n">
        <v>67.2</v>
      </c>
      <c r="V266" s="184" t="n">
        <v>144.4</v>
      </c>
      <c r="W266" s="184" t="n">
        <v>193</v>
      </c>
      <c r="X266" s="184" t="n">
        <v>448.3</v>
      </c>
      <c r="Y266" s="184" t="n">
        <v>75.59999999999999</v>
      </c>
      <c r="Z266" s="184" t="n">
        <v>138.4</v>
      </c>
      <c r="AA266" s="184" t="n">
        <v>32.9</v>
      </c>
      <c r="AB266" s="184" t="n">
        <v>202.4</v>
      </c>
      <c r="AC266" s="184" t="n">
        <v>449.3</v>
      </c>
      <c r="AD266" s="184" t="n">
        <v>-26.1</v>
      </c>
      <c r="AE266" s="184" t="n">
        <v>12.4</v>
      </c>
      <c r="AF266" s="184" t="n">
        <v>40.2</v>
      </c>
      <c r="AG266" s="184" t="n">
        <v>162.3</v>
      </c>
      <c r="AH266" s="184" t="n">
        <v>188.8</v>
      </c>
      <c r="AI266" s="184" t="n">
        <v>24.2</v>
      </c>
      <c r="AJ266" s="184" t="n">
        <v>43.7</v>
      </c>
      <c r="AK266" s="184" t="n">
        <v>-29.9</v>
      </c>
      <c r="AL266" s="184" t="n">
        <v>276.7</v>
      </c>
      <c r="AM266" s="184" t="n">
        <v>314.7</v>
      </c>
      <c r="AN266" s="184" t="n">
        <v>31.3</v>
      </c>
      <c r="AO266" s="184" t="n">
        <v>412.6</v>
      </c>
      <c r="AP266" s="184" t="n">
        <v>123.8</v>
      </c>
      <c r="AQ266" s="184" t="n">
        <v>447.8</v>
      </c>
      <c r="AR266" s="184" t="n">
        <v>1015.5</v>
      </c>
      <c r="AS266" s="184" t="n">
        <v>-81.90000000000001</v>
      </c>
      <c r="AT266" s="184" t="n">
        <v>310.5</v>
      </c>
      <c r="AU266" s="184" t="n">
        <v>229.5</v>
      </c>
      <c r="AV266" s="184" t="n">
        <v>325.6</v>
      </c>
      <c r="AW266" s="184" t="n">
        <v>783.7</v>
      </c>
      <c r="AX266" s="184" t="n">
        <v>292.2</v>
      </c>
      <c r="AY266" s="184" t="n">
        <v>223.2</v>
      </c>
      <c r="AZ266" s="184" t="n">
        <v>243.9</v>
      </c>
      <c r="BA266" s="184" t="n">
        <v>313.7</v>
      </c>
      <c r="BB266" s="184" t="n">
        <v>1073</v>
      </c>
      <c r="BC266" s="184" t="n">
        <v>161</v>
      </c>
      <c r="BD266" s="184" t="n">
        <v>263</v>
      </c>
      <c r="BE266" s="184" t="n">
        <v>204</v>
      </c>
      <c r="BF266" s="184" t="n">
        <v>410</v>
      </c>
      <c r="BG266" s="184" t="n">
        <v>1038</v>
      </c>
      <c r="BH266" s="184" t="n">
        <v>-25</v>
      </c>
      <c r="BI266" s="184" t="n">
        <v>115</v>
      </c>
      <c r="BJ266" s="184" t="n">
        <v>425</v>
      </c>
      <c r="BK266" s="184" t="n">
        <v>686</v>
      </c>
      <c r="BL266" s="184" t="n">
        <v>1201</v>
      </c>
      <c r="BM266" s="184" t="n">
        <v>334</v>
      </c>
      <c r="BN266" s="184" t="n">
        <v>235</v>
      </c>
      <c r="BO266" s="184" t="n">
        <v>542</v>
      </c>
      <c r="BP266" s="184" t="n">
        <v>723</v>
      </c>
      <c r="BQ266" s="184" t="n">
        <v>1834</v>
      </c>
      <c r="BR266" s="184" t="n">
        <v>191</v>
      </c>
      <c r="BS266" s="184" t="n">
        <v>209</v>
      </c>
      <c r="BT266" s="184" t="n">
        <v>367</v>
      </c>
      <c r="BU266" s="184" t="n">
        <v>992</v>
      </c>
      <c r="BV266" s="184" t="n">
        <v>1759</v>
      </c>
      <c r="BW266" s="184" t="n">
        <v>199</v>
      </c>
      <c r="BX266" s="184" t="n">
        <v>441</v>
      </c>
      <c r="BY266" s="34" t="n"/>
      <c r="BZ266" s="34" t="n"/>
      <c r="CA266" s="185">
        <f>SUM(CA259:CA265)</f>
        <v/>
      </c>
      <c r="CB266" s="185">
        <f>SUM(CB259:CB265)</f>
        <v/>
      </c>
      <c r="CC266" s="185">
        <f>SUM(CC259:CC265)</f>
        <v/>
      </c>
      <c r="CD266" s="185">
        <f>SUM(CD259:CD265)</f>
        <v/>
      </c>
      <c r="CE266" s="185">
        <f>SUM(CE259:CE265)</f>
        <v/>
      </c>
      <c r="CF266" s="6" t="n"/>
      <c r="CH266" s="21">
        <f>IFERROR((CE266/BV266)^(1/5)-1,"n/m")</f>
        <v/>
      </c>
      <c r="CI266" s="21">
        <f>IFERROR((BV266/AW266)^(1/5)-1,"n/m")</f>
        <v/>
      </c>
      <c r="CJ266" s="21">
        <f>IFERROR((BV266/X266)^(1/10)-1,"n/m")</f>
        <v/>
      </c>
      <c r="CK266" s="21">
        <f>IFERROR((BV266/C266)^(1/19)-1,"n/m")</f>
        <v/>
      </c>
    </row>
    <row r="267" ht="15" customHeight="1">
      <c r="B267" s="26" t="inlineStr">
        <is>
          <t>Purchase of property, plant &amp; equipment</t>
        </is>
      </c>
      <c r="C267" s="174" t="n">
        <v>-20.9</v>
      </c>
      <c r="D267" s="174" t="n">
        <v>-20.4</v>
      </c>
      <c r="E267" s="174" t="n">
        <v>-19.7</v>
      </c>
      <c r="F267" s="174" t="n">
        <v>-18.3</v>
      </c>
      <c r="G267" s="174" t="n">
        <v>-20.8</v>
      </c>
      <c r="H267" s="174" t="n">
        <v>-38</v>
      </c>
      <c r="I267" s="174" t="n">
        <v>-36</v>
      </c>
      <c r="J267" s="174" t="n">
        <v>-6.4</v>
      </c>
      <c r="K267" s="174" t="n">
        <v>-8.199999999999999</v>
      </c>
      <c r="L267" s="174" t="n">
        <v>-9</v>
      </c>
      <c r="M267" s="174" t="n">
        <v>-17.6</v>
      </c>
      <c r="N267" s="174" t="n">
        <v>-41.2</v>
      </c>
      <c r="O267" s="174" t="n">
        <v>-6.3</v>
      </c>
      <c r="P267" s="174" t="n">
        <v>-12.1</v>
      </c>
      <c r="Q267" s="174" t="n">
        <v>-12.6</v>
      </c>
      <c r="R267" s="174" t="n">
        <v>-16.7</v>
      </c>
      <c r="S267" s="174" t="n">
        <v>-47.7</v>
      </c>
      <c r="T267" s="174" t="n">
        <v>-8.5</v>
      </c>
      <c r="U267" s="174" t="n">
        <v>-12.4</v>
      </c>
      <c r="V267" s="174" t="n">
        <v>-12.2</v>
      </c>
      <c r="W267" s="174" t="n">
        <v>-16.3</v>
      </c>
      <c r="X267" s="174" t="n">
        <v>-49.4</v>
      </c>
      <c r="Y267" s="174" t="n">
        <v>-8.5</v>
      </c>
      <c r="Z267" s="174" t="n">
        <v>-10.6</v>
      </c>
      <c r="AA267" s="174" t="n">
        <v>-12.6</v>
      </c>
      <c r="AB267" s="174" t="n">
        <v>-18.5</v>
      </c>
      <c r="AC267" s="174" t="n">
        <v>-50.2</v>
      </c>
      <c r="AD267" s="174" t="n">
        <v>-19.3</v>
      </c>
      <c r="AE267" s="174" t="n">
        <v>-19.1</v>
      </c>
      <c r="AF267" s="174" t="n">
        <v>-21.9</v>
      </c>
      <c r="AG267" s="174" t="n">
        <v>-29.2</v>
      </c>
      <c r="AH267" s="174" t="n">
        <v>-89.5</v>
      </c>
      <c r="AI267" s="174" t="n">
        <v>-17.5</v>
      </c>
      <c r="AJ267" s="174" t="n">
        <v>-22.2</v>
      </c>
      <c r="AK267" s="174" t="n">
        <v>-24.5</v>
      </c>
      <c r="AL267" s="174" t="n">
        <v>-29.1</v>
      </c>
      <c r="AM267" s="174" t="n">
        <v>-93.3</v>
      </c>
      <c r="AN267" s="174" t="n">
        <v>-29.7</v>
      </c>
      <c r="AO267" s="174" t="n">
        <v>-32.2</v>
      </c>
      <c r="AP267" s="174" t="n">
        <v>-50.7</v>
      </c>
      <c r="AQ267" s="174" t="n">
        <v>-72.7</v>
      </c>
      <c r="AR267" s="174" t="n">
        <v>-185.3</v>
      </c>
      <c r="AS267" s="174" t="n">
        <v>-33.3</v>
      </c>
      <c r="AT267" s="174" t="n">
        <v>-34.3</v>
      </c>
      <c r="AU267" s="174" t="n">
        <v>-31.1</v>
      </c>
      <c r="AV267" s="174" t="n">
        <v>-37.7</v>
      </c>
      <c r="AW267" s="174" t="n">
        <v>-136.4</v>
      </c>
      <c r="AX267" s="174" t="n">
        <v>-26.5</v>
      </c>
      <c r="AY267" s="174" t="n">
        <v>-29</v>
      </c>
      <c r="AZ267" s="174" t="n">
        <v>-23</v>
      </c>
      <c r="BA267" s="174" t="n">
        <v>-51.5</v>
      </c>
      <c r="BB267" s="174" t="n">
        <v>-130</v>
      </c>
      <c r="BC267" s="174" t="n">
        <v>-20</v>
      </c>
      <c r="BD267" s="174" t="n">
        <v>-30</v>
      </c>
      <c r="BE267" s="174" t="n">
        <v>-32</v>
      </c>
      <c r="BF267" s="174" t="n">
        <v>-67</v>
      </c>
      <c r="BG267" s="174" t="n">
        <v>-149</v>
      </c>
      <c r="BH267" s="174" t="n">
        <v>-32</v>
      </c>
      <c r="BI267" s="174" t="n">
        <v>-38</v>
      </c>
      <c r="BJ267" s="174" t="n">
        <v>-39</v>
      </c>
      <c r="BK267" s="174" t="n">
        <v>-77</v>
      </c>
      <c r="BL267" s="174" t="n">
        <v>-186</v>
      </c>
      <c r="BM267" s="174" t="n">
        <v>-31</v>
      </c>
      <c r="BN267" s="174" t="n">
        <v>-46</v>
      </c>
      <c r="BO267" s="174" t="n">
        <v>-46</v>
      </c>
      <c r="BP267" s="174" t="n">
        <v>-84</v>
      </c>
      <c r="BQ267" s="174" t="n">
        <v>-207</v>
      </c>
      <c r="BR267" s="174" t="n">
        <v>-44</v>
      </c>
      <c r="BS267" s="174" t="n">
        <v>-39</v>
      </c>
      <c r="BT267" s="174" t="n">
        <v>-55</v>
      </c>
      <c r="BU267" s="174" t="n">
        <v>-122</v>
      </c>
      <c r="BV267" s="174" t="n">
        <v>-260</v>
      </c>
      <c r="BW267" s="174" t="n">
        <v>-46</v>
      </c>
      <c r="BX267" s="174" t="n">
        <v>-62</v>
      </c>
      <c r="BY267" s="37" t="n"/>
      <c r="BZ267" s="37" t="n"/>
      <c r="CA267" s="178">
        <f>-$CP$19</f>
        <v/>
      </c>
      <c r="CB267" s="178">
        <f>-CB142*CB292</f>
        <v/>
      </c>
      <c r="CC267" s="178">
        <f>-CC142*CC292</f>
        <v/>
      </c>
      <c r="CD267" s="178">
        <f>-CD142*CD292</f>
        <v/>
      </c>
      <c r="CE267" s="178">
        <f>-CE142*CE292</f>
        <v/>
      </c>
      <c r="CF267" s="20" t="inlineStr">
        <is>
          <t>2026E: FY26 capex point estimate. 2027E+: net sales × capex %.</t>
        </is>
      </c>
    </row>
    <row r="268" ht="15" customHeight="1">
      <c r="B268" s="26" t="inlineStr">
        <is>
          <t>Acquisitions of businesses, net of cash acquired</t>
        </is>
      </c>
      <c r="C268" s="174" t="n">
        <v>-87.2</v>
      </c>
      <c r="D268" s="174" t="n">
        <v>-73.59999999999999</v>
      </c>
      <c r="E268" s="174" t="n">
        <v>-398.1</v>
      </c>
      <c r="F268" s="174" t="n">
        <v>-96.3</v>
      </c>
      <c r="G268" s="174" t="n">
        <v>-138.2</v>
      </c>
      <c r="H268" s="174" t="n">
        <v>-109</v>
      </c>
      <c r="I268" s="174" t="n">
        <v>-149.9</v>
      </c>
      <c r="J268" s="174" t="n">
        <v>-115.1</v>
      </c>
      <c r="K268" s="174" t="n">
        <v>0</v>
      </c>
      <c r="L268" s="174" t="n">
        <v>-107</v>
      </c>
      <c r="M268" s="174" t="n">
        <v>-1.4</v>
      </c>
      <c r="N268" s="174" t="n">
        <v>-223.5</v>
      </c>
      <c r="O268" s="174" t="n">
        <v>0</v>
      </c>
      <c r="P268" s="174" t="n">
        <v>-199.4</v>
      </c>
      <c r="Q268" s="174" t="n">
        <v>-100.3</v>
      </c>
      <c r="R268" s="174" t="n">
        <v>-0.7</v>
      </c>
      <c r="S268" s="174" t="n">
        <v>-300.4</v>
      </c>
      <c r="T268" s="174" t="n">
        <v>-75.7</v>
      </c>
      <c r="U268" s="174" t="n">
        <v>-24.4</v>
      </c>
      <c r="V268" s="174" t="n">
        <v>0</v>
      </c>
      <c r="W268" s="174" t="n">
        <v>-29.5</v>
      </c>
      <c r="X268" s="174" t="n">
        <v>-129.6</v>
      </c>
      <c r="Y268" s="174" t="n">
        <v>-0.2</v>
      </c>
      <c r="Z268" s="174" t="n">
        <v>-21.1</v>
      </c>
      <c r="AA268" s="174" t="n">
        <v>-63.1</v>
      </c>
      <c r="AB268" s="174" t="n">
        <v>-98.7</v>
      </c>
      <c r="AC268" s="174" t="n">
        <v>-183.1</v>
      </c>
      <c r="AD268" s="174" t="n">
        <v>-67.59999999999999</v>
      </c>
      <c r="AE268" s="174" t="n">
        <v>-46.6</v>
      </c>
      <c r="AF268" s="174" t="n">
        <v>0</v>
      </c>
      <c r="AG268" s="174" t="n">
        <v>-807.3</v>
      </c>
      <c r="AH268" s="174" t="n">
        <v>-921.5</v>
      </c>
      <c r="AI268" s="174" t="n">
        <v>-34.3</v>
      </c>
      <c r="AJ268" s="174" t="n">
        <v>-4</v>
      </c>
      <c r="AK268" s="174" t="n">
        <v>-10.8</v>
      </c>
      <c r="AL268" s="174" t="n">
        <v>-2.1</v>
      </c>
      <c r="AM268" s="174" t="n">
        <v>-51.2</v>
      </c>
      <c r="AN268" s="174" t="n">
        <v>-2710.7</v>
      </c>
      <c r="AO268" s="174" t="n">
        <v>-270.9</v>
      </c>
      <c r="AP268" s="174" t="n">
        <v>-19</v>
      </c>
      <c r="AQ268" s="174" t="n">
        <v>4.2</v>
      </c>
      <c r="AR268" s="174" t="n">
        <v>-2996.4</v>
      </c>
      <c r="AS268" s="174" t="n">
        <v>-35.7</v>
      </c>
      <c r="AT268" s="174" t="n">
        <v>-4.6</v>
      </c>
      <c r="AU268" s="174" t="n">
        <v>0</v>
      </c>
      <c r="AV268" s="174" t="n">
        <v>0</v>
      </c>
      <c r="AW268" s="174" t="n">
        <v>-40.3</v>
      </c>
      <c r="AX268" s="174" t="n">
        <v>-401.4</v>
      </c>
      <c r="AY268" s="174" t="n">
        <v>-3.7</v>
      </c>
      <c r="AZ268" s="174" t="n">
        <v>0</v>
      </c>
      <c r="BA268" s="174" t="n">
        <v>-29.9</v>
      </c>
      <c r="BB268" s="174" t="n">
        <v>-435</v>
      </c>
      <c r="BC268" s="174" t="n">
        <v>0</v>
      </c>
      <c r="BD268" s="174" t="n">
        <v>-69</v>
      </c>
      <c r="BE268" s="174" t="n">
        <v>0</v>
      </c>
      <c r="BF268" s="174" t="n">
        <v>-20</v>
      </c>
      <c r="BG268" s="174" t="n">
        <v>-89</v>
      </c>
      <c r="BH268" s="36" t="n"/>
      <c r="BI268" s="174" t="n">
        <v>-223</v>
      </c>
      <c r="BJ268" s="174" t="n">
        <v>-4</v>
      </c>
      <c r="BK268" s="174" t="n">
        <v>-81</v>
      </c>
      <c r="BL268" s="174" t="n">
        <v>-308</v>
      </c>
      <c r="BM268" s="36" t="n"/>
      <c r="BN268" s="174" t="n">
        <v>0</v>
      </c>
      <c r="BO268" s="174" t="n">
        <v>-13</v>
      </c>
      <c r="BP268" s="174" t="n">
        <v>-155</v>
      </c>
      <c r="BQ268" s="174" t="n">
        <v>-168</v>
      </c>
      <c r="BR268" s="174" t="n">
        <v>0</v>
      </c>
      <c r="BS268" s="174" t="n">
        <v>-21</v>
      </c>
      <c r="BT268" s="174" t="n">
        <v>-1734</v>
      </c>
      <c r="BU268" s="174" t="n">
        <v>-765</v>
      </c>
      <c r="BV268" s="174" t="n">
        <v>-2520</v>
      </c>
      <c r="BW268" s="174" t="n">
        <v>-1062</v>
      </c>
      <c r="BX268" s="174" t="n">
        <v>0</v>
      </c>
      <c r="BY268" s="37" t="n"/>
      <c r="BZ268" s="37" t="n"/>
      <c r="CA268" s="178">
        <f>(BW268+BX268)</f>
        <v/>
      </c>
      <c r="CB268" s="178">
        <f>-CB83</f>
        <v/>
      </c>
      <c r="CC268" s="178">
        <f>-CC83</f>
        <v/>
      </c>
      <c r="CD268" s="178">
        <f>-CD83</f>
        <v/>
      </c>
      <c r="CE268" s="178">
        <f>-CE83</f>
        <v/>
      </c>
      <c r="CF268" s="20" t="inlineStr">
        <is>
          <t>2026E = 1H/26 actual (2026 bolt-ons); no further deals assumed in 2H. 2027E+: M&amp;A lever.</t>
        </is>
      </c>
    </row>
    <row r="269" ht="15" customHeight="1">
      <c r="B269" s="26" t="inlineStr">
        <is>
          <t>Proceeds from disposal of assets &amp; businesses</t>
        </is>
      </c>
      <c r="C269" s="174" t="n">
        <v>1.9</v>
      </c>
      <c r="D269" s="174" t="n">
        <v>0.1</v>
      </c>
      <c r="E269" s="174" t="n">
        <v>0.4</v>
      </c>
      <c r="F269" s="174" t="n">
        <v>4.1</v>
      </c>
      <c r="G269" s="174" t="n">
        <v>0.4</v>
      </c>
      <c r="H269" s="174" t="n">
        <v>0.7</v>
      </c>
      <c r="I269" s="174" t="n">
        <v>1</v>
      </c>
      <c r="J269" s="174" t="n">
        <v>0.7</v>
      </c>
      <c r="K269" s="174" t="n">
        <v>5.1</v>
      </c>
      <c r="L269" s="174" t="n">
        <v>0.4</v>
      </c>
      <c r="M269" s="174" t="n">
        <v>-0.2</v>
      </c>
      <c r="N269" s="174" t="n">
        <v>6</v>
      </c>
      <c r="O269" s="174" t="n">
        <v>1.4</v>
      </c>
      <c r="P269" s="174" t="n">
        <v>-1.2</v>
      </c>
      <c r="Q269" s="174" t="n">
        <v>0.1</v>
      </c>
      <c r="R269" s="174" t="n">
        <v>0.1</v>
      </c>
      <c r="S269" s="174" t="n">
        <v>0.4</v>
      </c>
      <c r="T269" s="174" t="n">
        <v>0.1</v>
      </c>
      <c r="U269" s="174" t="n">
        <v>0.1</v>
      </c>
      <c r="V269" s="174" t="n">
        <v>0.2</v>
      </c>
      <c r="W269" s="174" t="n">
        <v>1.4</v>
      </c>
      <c r="X269" s="174" t="n">
        <v>1.8</v>
      </c>
      <c r="Y269" s="174" t="n">
        <v>0.1</v>
      </c>
      <c r="Z269" s="174" t="n">
        <v>0.1</v>
      </c>
      <c r="AA269" s="174" t="n">
        <v>-0.1</v>
      </c>
      <c r="AB269" s="174" t="n">
        <v>0.3</v>
      </c>
      <c r="AC269" s="174" t="n">
        <v>0.4</v>
      </c>
      <c r="AD269" s="174" t="n">
        <v>0.3</v>
      </c>
      <c r="AE269" s="174" t="n">
        <v>0.2</v>
      </c>
      <c r="AF269" s="174" t="n">
        <v>0.6</v>
      </c>
      <c r="AG269" s="174" t="n">
        <v>0.2</v>
      </c>
      <c r="AH269" s="174" t="n">
        <v>1.3</v>
      </c>
      <c r="AI269" s="174" t="n">
        <v>7.9</v>
      </c>
      <c r="AJ269" s="174" t="n">
        <v>1</v>
      </c>
      <c r="AK269" s="174" t="n">
        <v>0.2</v>
      </c>
      <c r="AL269" s="174" t="n">
        <v>2.2</v>
      </c>
      <c r="AM269" s="174" t="n">
        <v>11.3</v>
      </c>
      <c r="AN269" s="174" t="n">
        <v>0.8</v>
      </c>
      <c r="AO269" s="174" t="n">
        <v>2.3</v>
      </c>
      <c r="AP269" s="174" t="n">
        <v>0.3</v>
      </c>
      <c r="AQ269" s="174" t="n">
        <v>0.5</v>
      </c>
      <c r="AR269" s="174" t="n">
        <v>3.9</v>
      </c>
      <c r="AS269" s="174" t="n">
        <v>6.4</v>
      </c>
      <c r="AT269" s="174" t="n">
        <v>3.3</v>
      </c>
      <c r="AU269" s="174" t="n">
        <v>9.4</v>
      </c>
      <c r="AV269" s="174" t="n">
        <v>2.2</v>
      </c>
      <c r="AW269" s="174" t="n">
        <v>21.3</v>
      </c>
      <c r="AX269" s="174" t="n">
        <v>5.9</v>
      </c>
      <c r="AY269" s="174" t="n">
        <v>2.3</v>
      </c>
      <c r="AZ269" s="174" t="n">
        <v>0.1</v>
      </c>
      <c r="BA269" s="174" t="n">
        <v>16.7</v>
      </c>
      <c r="BB269" s="174" t="n">
        <v>25</v>
      </c>
      <c r="BC269" s="174" t="n">
        <v>2</v>
      </c>
      <c r="BD269" s="174" t="n">
        <v>0</v>
      </c>
      <c r="BE269" s="174" t="n">
        <v>0</v>
      </c>
      <c r="BF269" s="174" t="n">
        <v>1</v>
      </c>
      <c r="BG269" s="174" t="n">
        <v>3</v>
      </c>
      <c r="BH269" s="174" t="n">
        <v>0</v>
      </c>
      <c r="BI269" s="174" t="n">
        <v>0</v>
      </c>
      <c r="BJ269" s="174" t="n">
        <v>0</v>
      </c>
      <c r="BK269" s="174" t="n">
        <v>2</v>
      </c>
      <c r="BL269" s="174" t="n">
        <v>2</v>
      </c>
      <c r="BM269" s="174" t="n">
        <v>12</v>
      </c>
      <c r="BN269" s="174" t="n">
        <v>8</v>
      </c>
      <c r="BO269" s="174" t="n">
        <v>10</v>
      </c>
      <c r="BP269" s="174" t="n">
        <v>2</v>
      </c>
      <c r="BQ269" s="174" t="n">
        <v>32</v>
      </c>
      <c r="BR269" s="174" t="n">
        <v>0</v>
      </c>
      <c r="BS269" s="174" t="n">
        <v>6</v>
      </c>
      <c r="BT269" s="174" t="n">
        <v>0</v>
      </c>
      <c r="BU269" s="174" t="n">
        <v>7</v>
      </c>
      <c r="BV269" s="174" t="n">
        <v>13</v>
      </c>
      <c r="BW269" s="174" t="n">
        <v>0</v>
      </c>
      <c r="BX269" s="174" t="n">
        <v>0</v>
      </c>
      <c r="BY269" s="37" t="n"/>
      <c r="BZ269" s="37" t="n"/>
      <c r="CA269" s="178">
        <f>(BW269+BX269)</f>
        <v/>
      </c>
      <c r="CB269" s="188" t="n">
        <v>0</v>
      </c>
      <c r="CC269" s="188" t="n">
        <v>0</v>
      </c>
      <c r="CD269" s="188" t="n">
        <v>0</v>
      </c>
      <c r="CE269" s="188" t="n">
        <v>0</v>
      </c>
      <c r="CF269" s="20" t="n"/>
    </row>
    <row r="270" ht="15" customHeight="1">
      <c r="B270" s="26" t="inlineStr">
        <is>
          <t>Other investing activities, net (derived)</t>
        </is>
      </c>
      <c r="C270" s="174" t="n">
        <v>1.399999999999997</v>
      </c>
      <c r="D270" s="174" t="n">
        <v>0.4</v>
      </c>
      <c r="E270" s="174" t="n">
        <v>3.408384685599231e-14</v>
      </c>
      <c r="F270" s="174" t="n">
        <v>-4.700000000000008</v>
      </c>
      <c r="G270" s="174" t="n">
        <v>2.299999999999989</v>
      </c>
      <c r="H270" s="174" t="n">
        <v>0.1000000000000114</v>
      </c>
      <c r="I270" s="174" t="n">
        <v>0</v>
      </c>
      <c r="J270" s="174" t="n">
        <v>0</v>
      </c>
      <c r="K270" s="174" t="n">
        <v>0.1</v>
      </c>
      <c r="L270" s="174" t="n">
        <v>-0.1</v>
      </c>
      <c r="M270" s="174" t="n">
        <v>0</v>
      </c>
      <c r="N270" s="174" t="n">
        <v>0</v>
      </c>
      <c r="O270" s="174" t="n">
        <v>0</v>
      </c>
      <c r="P270" s="174" t="n">
        <v>0</v>
      </c>
      <c r="Q270" s="174" t="n">
        <v>0.1</v>
      </c>
      <c r="R270" s="174" t="n">
        <v>-0.1</v>
      </c>
      <c r="S270" s="174" t="n">
        <v>-2.275957200481571e-14</v>
      </c>
      <c r="T270" s="174" t="n">
        <v>0.1</v>
      </c>
      <c r="U270" s="174" t="n">
        <v>-0.1</v>
      </c>
      <c r="V270" s="174" t="n">
        <v>-209.2</v>
      </c>
      <c r="W270" s="174" t="n">
        <v>6.3</v>
      </c>
      <c r="X270" s="174" t="n">
        <v>-202.9000000000001</v>
      </c>
      <c r="Y270" s="174" t="n">
        <v>0</v>
      </c>
      <c r="Z270" s="174" t="n">
        <v>0</v>
      </c>
      <c r="AA270" s="174" t="n">
        <v>0.1</v>
      </c>
      <c r="AB270" s="174" t="n">
        <v>-542.3</v>
      </c>
      <c r="AC270" s="174" t="n">
        <v>-542.1999999999999</v>
      </c>
      <c r="AD270" s="174" t="n">
        <v>23.5</v>
      </c>
      <c r="AE270" s="174" t="n">
        <v>0</v>
      </c>
      <c r="AF270" s="174" t="n">
        <v>0.1</v>
      </c>
      <c r="AG270" s="174" t="n">
        <v>710.4</v>
      </c>
      <c r="AH270" s="174" t="n">
        <v>734</v>
      </c>
      <c r="AI270" s="174" t="n">
        <v>0</v>
      </c>
      <c r="AJ270" s="174" t="n">
        <v>0</v>
      </c>
      <c r="AK270" s="174" t="n">
        <v>0</v>
      </c>
      <c r="AL270" s="174" t="n">
        <v>-14.1</v>
      </c>
      <c r="AM270" s="174" t="n">
        <v>-14.10000000000001</v>
      </c>
      <c r="AN270" s="174" t="n">
        <v>0</v>
      </c>
      <c r="AO270" s="174" t="n">
        <v>0</v>
      </c>
      <c r="AP270" s="174" t="n">
        <v>0</v>
      </c>
      <c r="AQ270" s="174" t="n">
        <v>0</v>
      </c>
      <c r="AR270" s="174" t="n">
        <v>9.103828801926284e-14</v>
      </c>
      <c r="AS270" s="174" t="n">
        <v>0</v>
      </c>
      <c r="AT270" s="174" t="n">
        <v>0</v>
      </c>
      <c r="AU270" s="174" t="n">
        <v>0</v>
      </c>
      <c r="AV270" s="174" t="n">
        <v>0</v>
      </c>
      <c r="AW270" s="174" t="n">
        <v>-3.552713678800501e-15</v>
      </c>
      <c r="AX270" s="174" t="n">
        <v>0</v>
      </c>
      <c r="AY270" s="174" t="n">
        <v>0</v>
      </c>
      <c r="AZ270" s="174" t="n">
        <v>0</v>
      </c>
      <c r="BA270" s="174" t="n">
        <v>0</v>
      </c>
      <c r="BB270" s="174" t="n">
        <v>0</v>
      </c>
      <c r="BC270" s="174" t="n">
        <v>0</v>
      </c>
      <c r="BD270" s="174" t="n">
        <v>0</v>
      </c>
      <c r="BE270" s="174" t="n">
        <v>0</v>
      </c>
      <c r="BF270" s="174" t="n">
        <v>0</v>
      </c>
      <c r="BG270" s="174" t="n">
        <v>0</v>
      </c>
      <c r="BH270" s="174" t="n">
        <v>0</v>
      </c>
      <c r="BI270" s="174" t="n">
        <v>0</v>
      </c>
      <c r="BJ270" s="174" t="n">
        <v>0</v>
      </c>
      <c r="BK270" s="174" t="n">
        <v>0</v>
      </c>
      <c r="BL270" s="174" t="n">
        <v>0</v>
      </c>
      <c r="BM270" s="174" t="n">
        <v>0</v>
      </c>
      <c r="BN270" s="174" t="n">
        <v>0</v>
      </c>
      <c r="BO270" s="174" t="n">
        <v>0</v>
      </c>
      <c r="BP270" s="174" t="n">
        <v>0</v>
      </c>
      <c r="BQ270" s="174" t="n">
        <v>0</v>
      </c>
      <c r="BR270" s="174" t="n">
        <v>0</v>
      </c>
      <c r="BS270" s="174" t="n">
        <v>0</v>
      </c>
      <c r="BT270" s="174" t="n">
        <v>0</v>
      </c>
      <c r="BU270" s="174" t="n">
        <v>20</v>
      </c>
      <c r="BV270" s="174" t="n">
        <v>20</v>
      </c>
      <c r="BW270" s="174" t="n">
        <v>3</v>
      </c>
      <c r="BX270" s="174" t="n">
        <v>7</v>
      </c>
      <c r="BY270" s="37" t="n"/>
      <c r="BZ270" s="37" t="n"/>
      <c r="CA270" s="178">
        <f>(BW270+BX270)</f>
        <v/>
      </c>
      <c r="CB270" s="188" t="n">
        <v>0</v>
      </c>
      <c r="CC270" s="188" t="n">
        <v>0</v>
      </c>
      <c r="CD270" s="188" t="n">
        <v>0</v>
      </c>
      <c r="CE270" s="188" t="n">
        <v>0</v>
      </c>
      <c r="CF270" s="20" t="n"/>
    </row>
    <row r="271" ht="15" customHeight="1">
      <c r="B271" s="17" t="inlineStr">
        <is>
          <t>Net cash used for investing activities</t>
        </is>
      </c>
      <c r="C271" s="184" t="n">
        <v>-104.8</v>
      </c>
      <c r="D271" s="184" t="n">
        <v>-93.5</v>
      </c>
      <c r="E271" s="184" t="n">
        <v>-417.4</v>
      </c>
      <c r="F271" s="184" t="n">
        <v>-115.2</v>
      </c>
      <c r="G271" s="184" t="n">
        <v>-156.3</v>
      </c>
      <c r="H271" s="184" t="n">
        <v>-146.2</v>
      </c>
      <c r="I271" s="184" t="n">
        <v>-184.9</v>
      </c>
      <c r="J271" s="184" t="n">
        <v>-120.8</v>
      </c>
      <c r="K271" s="184" t="n">
        <v>-3</v>
      </c>
      <c r="L271" s="184" t="n">
        <v>-115.7</v>
      </c>
      <c r="M271" s="184" t="n">
        <v>-19.2</v>
      </c>
      <c r="N271" s="184" t="n">
        <v>-258.7</v>
      </c>
      <c r="O271" s="184" t="n">
        <v>-4.9</v>
      </c>
      <c r="P271" s="184" t="n">
        <v>-212.7</v>
      </c>
      <c r="Q271" s="184" t="n">
        <v>-112.7</v>
      </c>
      <c r="R271" s="184" t="n">
        <v>-17.4</v>
      </c>
      <c r="S271" s="184" t="n">
        <v>-347.7</v>
      </c>
      <c r="T271" s="184" t="n">
        <v>-84</v>
      </c>
      <c r="U271" s="184" t="n">
        <v>-36.8</v>
      </c>
      <c r="V271" s="184" t="n">
        <v>-221.2</v>
      </c>
      <c r="W271" s="184" t="n">
        <v>-38.1</v>
      </c>
      <c r="X271" s="184" t="n">
        <v>-380.1</v>
      </c>
      <c r="Y271" s="184" t="n">
        <v>-8.6</v>
      </c>
      <c r="Z271" s="184" t="n">
        <v>-31.6</v>
      </c>
      <c r="AA271" s="184" t="n">
        <v>-75.7</v>
      </c>
      <c r="AB271" s="184" t="n">
        <v>-659.2</v>
      </c>
      <c r="AC271" s="184" t="n">
        <v>-775.1</v>
      </c>
      <c r="AD271" s="184" t="n">
        <v>-63.1</v>
      </c>
      <c r="AE271" s="184" t="n">
        <v>-65.5</v>
      </c>
      <c r="AF271" s="184" t="n">
        <v>-21.2</v>
      </c>
      <c r="AG271" s="184" t="n">
        <v>-125.9</v>
      </c>
      <c r="AH271" s="184" t="n">
        <v>-275.7</v>
      </c>
      <c r="AI271" s="184" t="n">
        <v>-43.9</v>
      </c>
      <c r="AJ271" s="184" t="n">
        <v>-25.2</v>
      </c>
      <c r="AK271" s="184" t="n">
        <v>-35.1</v>
      </c>
      <c r="AL271" s="184" t="n">
        <v>-43.1</v>
      </c>
      <c r="AM271" s="184" t="n">
        <v>-147.3</v>
      </c>
      <c r="AN271" s="184" t="n">
        <v>-2739.6</v>
      </c>
      <c r="AO271" s="184" t="n">
        <v>-300.8</v>
      </c>
      <c r="AP271" s="184" t="n">
        <v>-69.40000000000001</v>
      </c>
      <c r="AQ271" s="184" t="n">
        <v>-68</v>
      </c>
      <c r="AR271" s="184" t="n">
        <v>-3177.8</v>
      </c>
      <c r="AS271" s="184" t="n">
        <v>-62.6</v>
      </c>
      <c r="AT271" s="184" t="n">
        <v>-35.6</v>
      </c>
      <c r="AU271" s="184" t="n">
        <v>-21.7</v>
      </c>
      <c r="AV271" s="184" t="n">
        <v>-35.5</v>
      </c>
      <c r="AW271" s="184" t="n">
        <v>-155.4</v>
      </c>
      <c r="AX271" s="184" t="n">
        <v>-422</v>
      </c>
      <c r="AY271" s="184" t="n">
        <v>-30.4</v>
      </c>
      <c r="AZ271" s="184" t="n">
        <v>-22.9</v>
      </c>
      <c r="BA271" s="184" t="n">
        <v>-64.7</v>
      </c>
      <c r="BB271" s="184" t="n">
        <v>-540</v>
      </c>
      <c r="BC271" s="184" t="n">
        <v>-18</v>
      </c>
      <c r="BD271" s="184" t="n">
        <v>-99</v>
      </c>
      <c r="BE271" s="184" t="n">
        <v>-32</v>
      </c>
      <c r="BF271" s="184" t="n">
        <v>-86</v>
      </c>
      <c r="BG271" s="184" t="n">
        <v>-235</v>
      </c>
      <c r="BH271" s="184" t="n">
        <v>-32</v>
      </c>
      <c r="BI271" s="184" t="n">
        <v>-261</v>
      </c>
      <c r="BJ271" s="184" t="n">
        <v>-43</v>
      </c>
      <c r="BK271" s="184" t="n">
        <v>-156</v>
      </c>
      <c r="BL271" s="184" t="n">
        <v>-492</v>
      </c>
      <c r="BM271" s="184" t="n">
        <v>-19</v>
      </c>
      <c r="BN271" s="184" t="n">
        <v>-38</v>
      </c>
      <c r="BO271" s="184" t="n">
        <v>-49</v>
      </c>
      <c r="BP271" s="184" t="n">
        <v>-237</v>
      </c>
      <c r="BQ271" s="184" t="n">
        <v>-343</v>
      </c>
      <c r="BR271" s="184" t="n">
        <v>-44</v>
      </c>
      <c r="BS271" s="184" t="n">
        <v>-54</v>
      </c>
      <c r="BT271" s="184" t="n">
        <v>-1789</v>
      </c>
      <c r="BU271" s="184" t="n">
        <v>-860</v>
      </c>
      <c r="BV271" s="184" t="n">
        <v>-2747</v>
      </c>
      <c r="BW271" s="184" t="n">
        <v>-1105</v>
      </c>
      <c r="BX271" s="184" t="n">
        <v>-55</v>
      </c>
      <c r="BY271" s="34" t="n"/>
      <c r="BZ271" s="34" t="n"/>
      <c r="CA271" s="185">
        <f>SUM(CA267:CA270)</f>
        <v/>
      </c>
      <c r="CB271" s="185">
        <f>SUM(CB267:CB270)</f>
        <v/>
      </c>
      <c r="CC271" s="185">
        <f>SUM(CC267:CC270)</f>
        <v/>
      </c>
      <c r="CD271" s="185">
        <f>SUM(CD267:CD270)</f>
        <v/>
      </c>
      <c r="CE271" s="185">
        <f>SUM(CE267:CE270)</f>
        <v/>
      </c>
      <c r="CF271" s="6" t="n"/>
    </row>
    <row r="272" ht="15" customHeight="1">
      <c r="B272" s="26" t="inlineStr">
        <is>
          <t>Proceeds from debt (notes, credit facilities, commercial paper)</t>
        </is>
      </c>
      <c r="C272" s="174" t="n">
        <v>0</v>
      </c>
      <c r="D272" s="174" t="n">
        <v>0</v>
      </c>
      <c r="E272" s="174" t="n">
        <v>236</v>
      </c>
      <c r="F272" s="174" t="n">
        <v>197.5</v>
      </c>
      <c r="G272" s="174" t="n">
        <v>248.4</v>
      </c>
      <c r="H272" s="174" t="n">
        <v>257</v>
      </c>
      <c r="I272" s="174" t="n">
        <v>233.4</v>
      </c>
      <c r="J272" s="174" t="n">
        <v>203.9</v>
      </c>
      <c r="K272" s="174" t="n">
        <v>40.9</v>
      </c>
      <c r="L272" s="174" t="n">
        <v>623.7</v>
      </c>
      <c r="M272" s="174" t="n">
        <v>90.59999999999999</v>
      </c>
      <c r="N272" s="174" t="n">
        <v>959.1</v>
      </c>
      <c r="O272" s="174" t="n">
        <v>50</v>
      </c>
      <c r="P272" s="174" t="n">
        <v>216.9</v>
      </c>
      <c r="Q272" s="174" t="n">
        <v>166.5</v>
      </c>
      <c r="R272" s="174" t="n">
        <v>130</v>
      </c>
      <c r="S272" s="174" t="n">
        <v>563.4</v>
      </c>
      <c r="T272" s="174" t="n">
        <v>111.7</v>
      </c>
      <c r="U272" s="174" t="n">
        <v>62.6</v>
      </c>
      <c r="V272" s="174" t="n">
        <v>216</v>
      </c>
      <c r="W272" s="174" t="n">
        <v>397.1</v>
      </c>
      <c r="X272" s="174" t="n">
        <v>787.4</v>
      </c>
      <c r="Y272" s="174" t="n">
        <v>195</v>
      </c>
      <c r="Z272" s="174" t="n">
        <v>35</v>
      </c>
      <c r="AA272" s="174" t="n">
        <v>116</v>
      </c>
      <c r="AB272" s="174" t="n">
        <v>1529</v>
      </c>
      <c r="AC272" s="174" t="n">
        <v>1875</v>
      </c>
      <c r="AD272" s="174" t="n">
        <v>458.3</v>
      </c>
      <c r="AE272" s="174" t="n">
        <v>286.7</v>
      </c>
      <c r="AF272" s="174" t="n">
        <v>138.5</v>
      </c>
      <c r="AG272" s="174" t="n">
        <v>333.2</v>
      </c>
      <c r="AH272" s="174" t="n">
        <v>1216.7</v>
      </c>
      <c r="AI272" s="174" t="n">
        <v>306.6</v>
      </c>
      <c r="AJ272" s="174" t="n">
        <v>285.3</v>
      </c>
      <c r="AK272" s="174" t="n">
        <v>2898.3</v>
      </c>
      <c r="AL272" s="174" t="n">
        <v>-9.5</v>
      </c>
      <c r="AM272" s="174" t="n">
        <v>3480.7</v>
      </c>
      <c r="AN272" s="174" t="n">
        <v>1736.5</v>
      </c>
      <c r="AO272" s="174" t="n">
        <v>589.4</v>
      </c>
      <c r="AP272" s="174" t="n">
        <v>629.6</v>
      </c>
      <c r="AQ272" s="174" t="n">
        <v>1026.9</v>
      </c>
      <c r="AR272" s="174" t="n">
        <v>3982.4</v>
      </c>
      <c r="AS272" s="174" t="n">
        <v>981.5</v>
      </c>
      <c r="AT272" s="174" t="n">
        <v>1111.5</v>
      </c>
      <c r="AU272" s="174" t="n">
        <v>843</v>
      </c>
      <c r="AV272" s="174" t="n">
        <v>942</v>
      </c>
      <c r="AW272" s="174" t="n">
        <v>3878</v>
      </c>
      <c r="AX272" s="174" t="n">
        <v>1435</v>
      </c>
      <c r="AY272" s="174" t="n">
        <v>1573.4</v>
      </c>
      <c r="AZ272" s="174" t="n">
        <v>1320.2</v>
      </c>
      <c r="BA272" s="174" t="n">
        <v>1062.4</v>
      </c>
      <c r="BB272" s="174" t="n">
        <v>5391</v>
      </c>
      <c r="BC272" s="174" t="n">
        <v>2012</v>
      </c>
      <c r="BD272" s="174" t="n">
        <v>1404</v>
      </c>
      <c r="BE272" s="174" t="n">
        <v>1151</v>
      </c>
      <c r="BF272" s="174" t="n">
        <v>1520</v>
      </c>
      <c r="BG272" s="174" t="n">
        <v>6087</v>
      </c>
      <c r="BH272" s="174" t="n">
        <v>1302</v>
      </c>
      <c r="BI272" s="174" t="n">
        <v>1662</v>
      </c>
      <c r="BJ272" s="174" t="n">
        <v>1387</v>
      </c>
      <c r="BK272" s="174" t="n">
        <v>1212</v>
      </c>
      <c r="BL272" s="174" t="n">
        <v>5563</v>
      </c>
      <c r="BM272" s="174" t="n">
        <v>967</v>
      </c>
      <c r="BN272" s="174" t="n">
        <v>836</v>
      </c>
      <c r="BO272" s="174" t="n">
        <v>69</v>
      </c>
      <c r="BP272" s="174" t="n">
        <v>386</v>
      </c>
      <c r="BQ272" s="174" t="n">
        <v>2258</v>
      </c>
      <c r="BR272" s="174" t="n">
        <v>196</v>
      </c>
      <c r="BS272" s="174" t="n">
        <v>1993</v>
      </c>
      <c r="BT272" s="174" t="n">
        <v>1668</v>
      </c>
      <c r="BU272" s="174" t="n">
        <v>851</v>
      </c>
      <c r="BV272" s="174" t="n">
        <v>4708</v>
      </c>
      <c r="BW272" s="174" t="n">
        <v>1682</v>
      </c>
      <c r="BX272" s="174" t="n">
        <v>903</v>
      </c>
      <c r="BY272" s="37" t="n"/>
      <c r="BZ272" s="37" t="n"/>
      <c r="CA272" s="178">
        <f>(BW272+BX272)+MAX(0,CA387-BX387)+CA383</f>
        <v/>
      </c>
      <c r="CB272" s="178">
        <f>CB383+MAX(0,CB387-CA387)</f>
        <v/>
      </c>
      <c r="CC272" s="178">
        <f>CC383+MAX(0,CC387-CB387)</f>
        <v/>
      </c>
      <c r="CD272" s="178">
        <f>CD383+MAX(0,CD387-CC387)</f>
        <v/>
      </c>
      <c r="CE272" s="178">
        <f>CE383+MAX(0,CE387-CD387)</f>
        <v/>
      </c>
      <c r="CF272" s="20" t="n"/>
    </row>
    <row r="273" ht="15" customHeight="1">
      <c r="B273" s="26" t="inlineStr">
        <is>
          <t>Payments of debt</t>
        </is>
      </c>
      <c r="C273" s="174" t="n">
        <v>0</v>
      </c>
      <c r="D273" s="174" t="n">
        <v>-0.7</v>
      </c>
      <c r="E273" s="174" t="n">
        <v>-0.4</v>
      </c>
      <c r="F273" s="174" t="n">
        <v>-193.3</v>
      </c>
      <c r="G273" s="174" t="n">
        <v>-218.1</v>
      </c>
      <c r="H273" s="174" t="n">
        <v>-283.2</v>
      </c>
      <c r="I273" s="174" t="n">
        <v>-311.5</v>
      </c>
      <c r="J273" s="174" t="n">
        <v>-104.2</v>
      </c>
      <c r="K273" s="174" t="n">
        <v>-61.5</v>
      </c>
      <c r="L273" s="174" t="n">
        <v>-483.7</v>
      </c>
      <c r="M273" s="174" t="n">
        <v>-180.4</v>
      </c>
      <c r="N273" s="174" t="n">
        <v>-829.8</v>
      </c>
      <c r="O273" s="174" t="n">
        <v>-50.1</v>
      </c>
      <c r="P273" s="174" t="n">
        <v>-166.6</v>
      </c>
      <c r="Q273" s="174" t="n">
        <v>-146.3</v>
      </c>
      <c r="R273" s="174" t="n">
        <v>-130.8</v>
      </c>
      <c r="S273" s="174" t="n">
        <v>-493.8</v>
      </c>
      <c r="T273" s="174" t="n">
        <v>-211.8</v>
      </c>
      <c r="U273" s="174" t="n">
        <v>-82.8</v>
      </c>
      <c r="V273" s="174" t="n">
        <v>-165.7</v>
      </c>
      <c r="W273" s="174" t="n">
        <v>-152.4</v>
      </c>
      <c r="X273" s="174" t="n">
        <v>-612.7</v>
      </c>
      <c r="Y273" s="174" t="n">
        <v>-85.5</v>
      </c>
      <c r="Z273" s="174" t="n">
        <v>-90</v>
      </c>
      <c r="AA273" s="174" t="n">
        <v>-40.3</v>
      </c>
      <c r="AB273" s="174" t="n">
        <v>-886.9</v>
      </c>
      <c r="AC273" s="174" t="n">
        <v>-1102.7</v>
      </c>
      <c r="AD273" s="174" t="n">
        <v>-482.6</v>
      </c>
      <c r="AE273" s="174" t="n">
        <v>-197.5</v>
      </c>
      <c r="AF273" s="174" t="n">
        <v>-238.8</v>
      </c>
      <c r="AG273" s="174" t="n">
        <v>-350.6</v>
      </c>
      <c r="AH273" s="174" t="n">
        <v>-1269.5</v>
      </c>
      <c r="AI273" s="174" t="n">
        <v>-266.3</v>
      </c>
      <c r="AJ273" s="174" t="n">
        <v>-280.1</v>
      </c>
      <c r="AK273" s="174" t="n">
        <v>-920.2</v>
      </c>
      <c r="AL273" s="174" t="n">
        <v>12.6</v>
      </c>
      <c r="AM273" s="174" t="n">
        <v>-1454</v>
      </c>
      <c r="AN273" s="174" t="n">
        <v>-837.7</v>
      </c>
      <c r="AO273" s="174" t="n">
        <v>-714.4</v>
      </c>
      <c r="AP273" s="174" t="n">
        <v>-512.5</v>
      </c>
      <c r="AQ273" s="174" t="n">
        <v>-1359</v>
      </c>
      <c r="AR273" s="174" t="n">
        <v>-3423.6</v>
      </c>
      <c r="AS273" s="174" t="n">
        <v>-663.8</v>
      </c>
      <c r="AT273" s="174" t="n">
        <v>-1395.5</v>
      </c>
      <c r="AU273" s="174" t="n">
        <v>-1057.8</v>
      </c>
      <c r="AV273" s="174" t="n">
        <v>-960.2</v>
      </c>
      <c r="AW273" s="174" t="n">
        <v>-4077.3</v>
      </c>
      <c r="AX273" s="174" t="n">
        <v>-1398</v>
      </c>
      <c r="AY273" s="174" t="n">
        <v>-1772</v>
      </c>
      <c r="AZ273" s="174" t="n">
        <v>-1321.3</v>
      </c>
      <c r="BA273" s="174" t="n">
        <v>-1060.7</v>
      </c>
      <c r="BB273" s="174" t="n">
        <v>-5552</v>
      </c>
      <c r="BC273" s="174" t="n">
        <v>-1817</v>
      </c>
      <c r="BD273" s="174" t="n">
        <v>-1399</v>
      </c>
      <c r="BE273" s="174" t="n">
        <v>-1258</v>
      </c>
      <c r="BF273" s="174" t="n">
        <v>-1643</v>
      </c>
      <c r="BG273" s="174" t="n">
        <v>-6117</v>
      </c>
      <c r="BH273" s="174" t="n">
        <v>-1148</v>
      </c>
      <c r="BI273" s="174" t="n">
        <v>-1442</v>
      </c>
      <c r="BJ273" s="174" t="n">
        <v>-1712</v>
      </c>
      <c r="BK273" s="174" t="n">
        <v>-1219</v>
      </c>
      <c r="BL273" s="174" t="n">
        <v>-5521</v>
      </c>
      <c r="BM273" s="174" t="n">
        <v>-1025</v>
      </c>
      <c r="BN273" s="174" t="n">
        <v>-836</v>
      </c>
      <c r="BO273" s="174" t="n">
        <v>-73</v>
      </c>
      <c r="BP273" s="174" t="n">
        <v>-388</v>
      </c>
      <c r="BQ273" s="174" t="n">
        <v>-2322</v>
      </c>
      <c r="BR273" s="174" t="n">
        <v>-192</v>
      </c>
      <c r="BS273" s="174" t="n">
        <v>-1262</v>
      </c>
      <c r="BT273" s="174" t="n">
        <v>-1168</v>
      </c>
      <c r="BU273" s="174" t="n">
        <v>-602</v>
      </c>
      <c r="BV273" s="174" t="n">
        <v>-3224</v>
      </c>
      <c r="BW273" s="174" t="n">
        <v>-670</v>
      </c>
      <c r="BX273" s="174" t="n">
        <v>-866</v>
      </c>
      <c r="BY273" s="37" t="n"/>
      <c r="BZ273" s="37" t="n"/>
      <c r="CA273" s="178">
        <f>(BW273+BX273)+MIN(0,CA387-BX387)+CA381</f>
        <v/>
      </c>
      <c r="CB273" s="178">
        <f>CB381+MIN(0,CB387-CA387)</f>
        <v/>
      </c>
      <c r="CC273" s="178">
        <f>CC381+MIN(0,CC387-CB387)</f>
        <v/>
      </c>
      <c r="CD273" s="178">
        <f>CD381+MIN(0,CD387-CC387)</f>
        <v/>
      </c>
      <c r="CE273" s="178">
        <f>CE381+MIN(0,CE387-CD387)</f>
        <v/>
      </c>
      <c r="CF273" s="20" t="inlineStr">
        <is>
          <t>Net issuance / (repayment) = change in total debt per the debt schedule (scheduled note maturities, refinancing, prepayable facilities).</t>
        </is>
      </c>
    </row>
    <row r="274" ht="15" customHeight="1">
      <c r="B274" s="26" t="inlineStr">
        <is>
          <t>Cash dividends paid</t>
        </is>
      </c>
      <c r="C274" s="174" t="n">
        <v>-1.9</v>
      </c>
      <c r="D274" s="174" t="n">
        <v>-1.9</v>
      </c>
      <c r="E274" s="174" t="n">
        <v>-1.9</v>
      </c>
      <c r="F274" s="174" t="n">
        <v>-1.9</v>
      </c>
      <c r="G274" s="174" t="n">
        <v>-1.9</v>
      </c>
      <c r="H274" s="174" t="n">
        <v>-3.8</v>
      </c>
      <c r="I274" s="174" t="n">
        <v>-7.7</v>
      </c>
      <c r="J274" s="174" t="n">
        <v>-2.4</v>
      </c>
      <c r="K274" s="174" t="n">
        <v>-2.4</v>
      </c>
      <c r="L274" s="174" t="n">
        <v>-4</v>
      </c>
      <c r="M274" s="174" t="n">
        <v>-3.8</v>
      </c>
      <c r="N274" s="174" t="n">
        <v>-12.6</v>
      </c>
      <c r="O274" s="174" t="n">
        <v>-3.8</v>
      </c>
      <c r="P274" s="174" t="n">
        <v>-3.9</v>
      </c>
      <c r="Q274" s="174" t="n">
        <v>-5.8</v>
      </c>
      <c r="R274" s="174" t="n">
        <v>-5.7</v>
      </c>
      <c r="S274" s="174" t="n">
        <v>-19.2</v>
      </c>
      <c r="T274" s="174" t="n">
        <v>-5.8</v>
      </c>
      <c r="U274" s="174" t="n">
        <v>-5.8</v>
      </c>
      <c r="V274" s="174" t="n">
        <v>-7.7</v>
      </c>
      <c r="W274" s="174" t="n">
        <v>-7.7</v>
      </c>
      <c r="X274" s="174" t="n">
        <v>-27</v>
      </c>
      <c r="Y274" s="174" t="n">
        <v>-7.4</v>
      </c>
      <c r="Z274" s="174" t="n">
        <v>-7.2</v>
      </c>
      <c r="AA274" s="174" t="n">
        <v>-8.9</v>
      </c>
      <c r="AB274" s="174" t="n">
        <v>-8.9</v>
      </c>
      <c r="AC274" s="174" t="n">
        <v>-32.4</v>
      </c>
      <c r="AD274" s="174" t="n">
        <v>-9.6</v>
      </c>
      <c r="AE274" s="174" t="n">
        <v>-9.6</v>
      </c>
      <c r="AF274" s="174" t="n">
        <v>-11.5</v>
      </c>
      <c r="AG274" s="174" t="n">
        <v>-11.5</v>
      </c>
      <c r="AH274" s="174" t="n">
        <v>-42.2</v>
      </c>
      <c r="AI274" s="174" t="n">
        <v>-11.5</v>
      </c>
      <c r="AJ274" s="174" t="n">
        <v>-11.6</v>
      </c>
      <c r="AK274" s="174" t="n">
        <v>-11.6</v>
      </c>
      <c r="AL274" s="174" t="n">
        <v>-11.6</v>
      </c>
      <c r="AM274" s="174" t="n">
        <v>-46.3</v>
      </c>
      <c r="AN274" s="174" t="n">
        <v>-11.7</v>
      </c>
      <c r="AO274" s="174" t="n">
        <v>-22.6</v>
      </c>
      <c r="AP274" s="174" t="n">
        <v>-23.9</v>
      </c>
      <c r="AQ274" s="174" t="n">
        <v>-23.5</v>
      </c>
      <c r="AR274" s="174" t="n">
        <v>-81.7</v>
      </c>
      <c r="AS274" s="174" t="n">
        <v>-23</v>
      </c>
      <c r="AT274" s="174" t="n">
        <v>-23.4</v>
      </c>
      <c r="AU274" s="174" t="n">
        <v>-22.8</v>
      </c>
      <c r="AV274" s="174" t="n">
        <v>-23.3</v>
      </c>
      <c r="AW274" s="174" t="n">
        <v>-92.5</v>
      </c>
      <c r="AX274" s="174" t="n">
        <v>-23</v>
      </c>
      <c r="AY274" s="174" t="n">
        <v>-22.9</v>
      </c>
      <c r="AZ274" s="174" t="n">
        <v>-23</v>
      </c>
      <c r="BA274" s="174" t="n">
        <v>-23.1</v>
      </c>
      <c r="BB274" s="174" t="n">
        <v>-92</v>
      </c>
      <c r="BC274" s="174" t="n">
        <v>-28</v>
      </c>
      <c r="BD274" s="174" t="n">
        <v>-27</v>
      </c>
      <c r="BE274" s="174" t="n">
        <v>-28</v>
      </c>
      <c r="BF274" s="174" t="n">
        <v>-28</v>
      </c>
      <c r="BG274" s="174" t="n">
        <v>-111</v>
      </c>
      <c r="BH274" s="174" t="n">
        <v>-31</v>
      </c>
      <c r="BI274" s="174" t="n">
        <v>-31</v>
      </c>
      <c r="BJ274" s="174" t="n">
        <v>-30</v>
      </c>
      <c r="BK274" s="174" t="n">
        <v>-31</v>
      </c>
      <c r="BL274" s="174" t="n">
        <v>-123</v>
      </c>
      <c r="BM274" s="174" t="n">
        <v>-36</v>
      </c>
      <c r="BN274" s="174" t="n">
        <v>-35</v>
      </c>
      <c r="BO274" s="174" t="n">
        <v>-35</v>
      </c>
      <c r="BP274" s="174" t="n">
        <v>-34</v>
      </c>
      <c r="BQ274" s="174" t="n">
        <v>-140</v>
      </c>
      <c r="BR274" s="174" t="n">
        <v>-43</v>
      </c>
      <c r="BS274" s="174" t="n">
        <v>-44</v>
      </c>
      <c r="BT274" s="174" t="n">
        <v>-43</v>
      </c>
      <c r="BU274" s="174" t="n">
        <v>-43</v>
      </c>
      <c r="BV274" s="174" t="n">
        <v>-173</v>
      </c>
      <c r="BW274" s="174" t="n">
        <v>-53</v>
      </c>
      <c r="BX274" s="174" t="n">
        <v>-53</v>
      </c>
      <c r="BY274" s="37" t="n"/>
      <c r="BZ274" s="37" t="n"/>
      <c r="CA274" s="178">
        <f>(BW274+BX274)-(BY173*BY167+BZ173*BZ167)</f>
        <v/>
      </c>
      <c r="CB274" s="178">
        <f>-CB173*CB300</f>
        <v/>
      </c>
      <c r="CC274" s="178">
        <f>-CC173*CC300</f>
        <v/>
      </c>
      <c r="CD274" s="178">
        <f>-CD173*CD300</f>
        <v/>
      </c>
      <c r="CE274" s="178">
        <f>-CE173*CE300</f>
        <v/>
      </c>
      <c r="CF274" s="20" t="inlineStr">
        <is>
          <t>2027E+: dividends per share × beginning shares outstanding (avoids circularity with buybacks).</t>
        </is>
      </c>
    </row>
    <row r="275" ht="15" customHeight="1">
      <c r="B275" s="26" t="inlineStr">
        <is>
          <t>Stock repurchases</t>
        </is>
      </c>
      <c r="C275" s="174" t="n">
        <v>-18.9</v>
      </c>
      <c r="D275" s="174" t="n">
        <v>-17.9</v>
      </c>
      <c r="E275" s="174" t="n">
        <v>-45.8</v>
      </c>
      <c r="F275" s="174" t="n">
        <v>-19.7</v>
      </c>
      <c r="G275" s="174" t="n">
        <v>-8.4</v>
      </c>
      <c r="H275" s="174" t="n">
        <v>-26</v>
      </c>
      <c r="I275" s="174" t="n">
        <v>-46.6</v>
      </c>
      <c r="J275" s="174" t="n">
        <v>0</v>
      </c>
      <c r="K275" s="174" t="n">
        <v>0</v>
      </c>
      <c r="L275" s="174" t="n">
        <v>-5.5</v>
      </c>
      <c r="M275" s="174" t="n">
        <v>-27.5</v>
      </c>
      <c r="N275" s="174" t="n">
        <v>-33</v>
      </c>
      <c r="O275" s="174" t="n">
        <v>-2.2</v>
      </c>
      <c r="P275" s="174" t="n">
        <v>-14.4</v>
      </c>
      <c r="Q275" s="174" t="n">
        <v>-10.2</v>
      </c>
      <c r="R275" s="174" t="n">
        <v>0</v>
      </c>
      <c r="S275" s="174" t="n">
        <v>-26.8</v>
      </c>
      <c r="T275" s="174" t="n">
        <v>0</v>
      </c>
      <c r="U275" s="174" t="n">
        <v>0</v>
      </c>
      <c r="V275" s="174" t="n">
        <v>-22.3</v>
      </c>
      <c r="W275" s="174" t="n">
        <v>-365.5</v>
      </c>
      <c r="X275" s="174" t="n">
        <v>-387.8</v>
      </c>
      <c r="Y275" s="174" t="n">
        <v>-133.7</v>
      </c>
      <c r="Z275" s="174" t="n">
        <v>0</v>
      </c>
      <c r="AA275" s="174" t="n">
        <v>-78.5</v>
      </c>
      <c r="AB275" s="174" t="n">
        <v>0</v>
      </c>
      <c r="AC275" s="174" t="n">
        <v>-212.2</v>
      </c>
      <c r="AD275" s="174" t="n">
        <v>0</v>
      </c>
      <c r="AE275" s="174" t="n">
        <v>0</v>
      </c>
      <c r="AF275" s="174" t="n">
        <v>0</v>
      </c>
      <c r="AG275" s="174" t="n">
        <v>0</v>
      </c>
      <c r="AH275" s="174" t="n">
        <v>0</v>
      </c>
      <c r="AI275" s="174" t="n">
        <v>0</v>
      </c>
      <c r="AJ275" s="174" t="n">
        <v>0</v>
      </c>
      <c r="AK275" s="174" t="n">
        <v>0</v>
      </c>
      <c r="AL275" s="174" t="n">
        <v>0</v>
      </c>
      <c r="AM275" s="174" t="n">
        <v>0</v>
      </c>
      <c r="AN275" s="36" t="n"/>
      <c r="AO275" s="36" t="n"/>
      <c r="AP275" s="36" t="n"/>
      <c r="AQ275" s="36" t="n"/>
      <c r="AR275" s="36" t="n"/>
      <c r="AS275" s="174" t="n">
        <v>-105.3</v>
      </c>
      <c r="AT275" s="174" t="n">
        <v>0</v>
      </c>
      <c r="AU275" s="174" t="n">
        <v>0</v>
      </c>
      <c r="AV275" s="174" t="n">
        <v>-101.9</v>
      </c>
      <c r="AW275" s="174" t="n">
        <v>-207.2</v>
      </c>
      <c r="AX275" s="174" t="n">
        <v>-1.2</v>
      </c>
      <c r="AY275" s="174" t="n">
        <v>0</v>
      </c>
      <c r="AZ275" s="174" t="n">
        <v>-199.1</v>
      </c>
      <c r="BA275" s="174" t="n">
        <v>-99.7</v>
      </c>
      <c r="BB275" s="174" t="n">
        <v>-300</v>
      </c>
      <c r="BC275" s="174" t="n">
        <v>-296</v>
      </c>
      <c r="BD275" s="174" t="n">
        <v>-103</v>
      </c>
      <c r="BE275" s="174" t="n">
        <v>-1</v>
      </c>
      <c r="BF275" s="174" t="n">
        <v>-73</v>
      </c>
      <c r="BG275" s="174" t="n">
        <v>-473</v>
      </c>
      <c r="BH275" s="174" t="n">
        <v>-178</v>
      </c>
      <c r="BI275" s="174" t="n">
        <v>-74</v>
      </c>
      <c r="BJ275" s="174" t="n">
        <v>0</v>
      </c>
      <c r="BK275" s="174" t="n">
        <v>-157</v>
      </c>
      <c r="BL275" s="174" t="n">
        <v>-409</v>
      </c>
      <c r="BM275" s="174" t="n">
        <v>-175</v>
      </c>
      <c r="BN275" s="174" t="n">
        <v>-200</v>
      </c>
      <c r="BO275" s="174" t="n">
        <v>-599</v>
      </c>
      <c r="BP275" s="174" t="n">
        <v>-123</v>
      </c>
      <c r="BQ275" s="174" t="n">
        <v>-1097</v>
      </c>
      <c r="BR275" s="174" t="n">
        <v>-98</v>
      </c>
      <c r="BS275" s="174" t="n">
        <v>-50</v>
      </c>
      <c r="BT275" s="174" t="n">
        <v>0</v>
      </c>
      <c r="BU275" s="174" t="n">
        <v>-75</v>
      </c>
      <c r="BV275" s="174" t="n">
        <v>-223</v>
      </c>
      <c r="BW275" s="174" t="n">
        <v>-242</v>
      </c>
      <c r="BX275" s="174" t="n">
        <v>-215</v>
      </c>
      <c r="BY275" s="37" t="n"/>
      <c r="BZ275" s="37" t="n"/>
      <c r="CA275" s="178">
        <f>(BW275+BX275)-CHOOSE(MATCH($CF$2,{"Bull","Base","Bear"},0),$CO$14,$CP$14,$CQ$14)</f>
        <v/>
      </c>
      <c r="CB275" s="178">
        <f>-CB396</f>
        <v/>
      </c>
      <c r="CC275" s="178">
        <f>-CC396</f>
        <v/>
      </c>
      <c r="CD275" s="178">
        <f>-CD396</f>
        <v/>
      </c>
      <c r="CE275" s="178">
        <f>-CE396</f>
        <v/>
      </c>
      <c r="CF275" s="20" t="inlineStr">
        <is>
          <t>2026E = 1H/26 actual + 2H scenario amount; 2027E+ = leverage plug (surplus cash returned via buybacks once net debt / Adj. EBITDA reaches the scenario floor).</t>
        </is>
      </c>
    </row>
    <row r="276" ht="15" customHeight="1">
      <c r="B276" s="26" t="inlineStr">
        <is>
          <t>Stock option proceeds, tax withholding, NCI &amp; other financing, net (derived)</t>
        </is>
      </c>
      <c r="C276" s="174" t="n">
        <v>19</v>
      </c>
      <c r="D276" s="174" t="n">
        <v>7.499999999999998</v>
      </c>
      <c r="E276" s="174" t="n">
        <v>1.799999999999984</v>
      </c>
      <c r="F276" s="174" t="n">
        <v>4.400000000000011</v>
      </c>
      <c r="G276" s="174" t="n">
        <v>5.800000000000001</v>
      </c>
      <c r="H276" s="174" t="n">
        <v>9.199999999999978</v>
      </c>
      <c r="I276" s="174" t="n">
        <v>7.699999999999979</v>
      </c>
      <c r="J276" s="174" t="n">
        <v>2.9</v>
      </c>
      <c r="K276" s="174" t="n">
        <v>3.9</v>
      </c>
      <c r="L276" s="174" t="n">
        <v>7.5</v>
      </c>
      <c r="M276" s="174" t="n">
        <v>-5</v>
      </c>
      <c r="N276" s="174" t="n">
        <v>9.299999999999931</v>
      </c>
      <c r="O276" s="174" t="n">
        <v>-2.9</v>
      </c>
      <c r="P276" s="174" t="n">
        <v>1.6</v>
      </c>
      <c r="Q276" s="174" t="n">
        <v>2.8</v>
      </c>
      <c r="R276" s="174" t="n">
        <v>0.4</v>
      </c>
      <c r="S276" s="174" t="n">
        <v>1.900000000000034</v>
      </c>
      <c r="T276" s="174" t="n">
        <v>-13.9</v>
      </c>
      <c r="U276" s="174" t="n">
        <v>2.2</v>
      </c>
      <c r="V276" s="174" t="n">
        <v>2.5</v>
      </c>
      <c r="W276" s="174" t="n">
        <v>0.4</v>
      </c>
      <c r="X276" s="174" t="n">
        <v>-8.799999999999898</v>
      </c>
      <c r="Y276" s="174" t="n">
        <v>-8.4</v>
      </c>
      <c r="Z276" s="174" t="n">
        <v>0</v>
      </c>
      <c r="AA276" s="174" t="n">
        <v>1.6</v>
      </c>
      <c r="AB276" s="174" t="n">
        <v>3.3</v>
      </c>
      <c r="AC276" s="174" t="n">
        <v>-3.499999999999922</v>
      </c>
      <c r="AD276" s="174" t="n">
        <v>-5.6</v>
      </c>
      <c r="AE276" s="174" t="n">
        <v>1.5</v>
      </c>
      <c r="AF276" s="174" t="n">
        <v>0.2</v>
      </c>
      <c r="AG276" s="174" t="n">
        <v>1.5</v>
      </c>
      <c r="AH276" s="174" t="n">
        <v>-2.400000000000134</v>
      </c>
      <c r="AI276" s="174" t="n">
        <v>-0.1</v>
      </c>
      <c r="AJ276" s="174" t="n">
        <v>0.5</v>
      </c>
      <c r="AK276" s="174" t="n">
        <v>6</v>
      </c>
      <c r="AL276" s="174" t="n">
        <v>-8.699999999999999</v>
      </c>
      <c r="AM276" s="174" t="n">
        <v>-2.299999999999912</v>
      </c>
      <c r="AN276" s="174" t="n">
        <v>-4.1</v>
      </c>
      <c r="AO276" s="174" t="n">
        <v>-9.300000000000001</v>
      </c>
      <c r="AP276" s="174" t="n">
        <v>-2.2</v>
      </c>
      <c r="AQ276" s="174" t="n">
        <v>0</v>
      </c>
      <c r="AR276" s="174" t="n">
        <v>-15.60000000000018</v>
      </c>
      <c r="AS276" s="174" t="n">
        <v>-5.9</v>
      </c>
      <c r="AT276" s="174" t="n">
        <v>0.4</v>
      </c>
      <c r="AU276" s="174" t="n">
        <v>0.3</v>
      </c>
      <c r="AV276" s="174" t="n">
        <v>-114.8</v>
      </c>
      <c r="AW276" s="174" t="n">
        <v>-119.9999999999998</v>
      </c>
      <c r="AX276" s="174" t="n">
        <v>-5.1</v>
      </c>
      <c r="AY276" s="174" t="n">
        <v>1.3</v>
      </c>
      <c r="AZ276" s="174" t="n">
        <v>2.4</v>
      </c>
      <c r="BA276" s="174" t="n">
        <v>-98.59999999999999</v>
      </c>
      <c r="BB276" s="174" t="n">
        <v>-100</v>
      </c>
      <c r="BC276" s="174" t="n">
        <v>-4</v>
      </c>
      <c r="BD276" s="174" t="n">
        <v>2</v>
      </c>
      <c r="BE276" s="174" t="n">
        <v>-3</v>
      </c>
      <c r="BF276" s="174" t="n">
        <v>-89</v>
      </c>
      <c r="BG276" s="174" t="n">
        <v>-94</v>
      </c>
      <c r="BH276" s="174" t="n">
        <v>-17</v>
      </c>
      <c r="BI276" s="174" t="n">
        <v>-13</v>
      </c>
      <c r="BJ276" s="174" t="n">
        <v>2</v>
      </c>
      <c r="BK276" s="174" t="n">
        <v>-115</v>
      </c>
      <c r="BL276" s="174" t="n">
        <v>-143</v>
      </c>
      <c r="BM276" s="174" t="n">
        <v>-20</v>
      </c>
      <c r="BN276" s="174" t="n">
        <v>1</v>
      </c>
      <c r="BO276" s="174" t="n">
        <v>-48</v>
      </c>
      <c r="BP276" s="174" t="n">
        <v>-3</v>
      </c>
      <c r="BQ276" s="174" t="n">
        <v>-70</v>
      </c>
      <c r="BR276" s="174" t="n">
        <v>-35</v>
      </c>
      <c r="BS276" s="174" t="n">
        <v>-11</v>
      </c>
      <c r="BT276" s="174" t="n">
        <v>-4</v>
      </c>
      <c r="BU276" s="174" t="n">
        <v>-7</v>
      </c>
      <c r="BV276" s="174" t="n">
        <v>-57</v>
      </c>
      <c r="BW276" s="174" t="n">
        <v>-61</v>
      </c>
      <c r="BX276" s="174" t="n">
        <v>-17</v>
      </c>
      <c r="BY276" s="37" t="n"/>
      <c r="BZ276" s="37" t="n"/>
      <c r="CA276" s="178">
        <f>(BW276+BX276)</f>
        <v/>
      </c>
      <c r="CB276" s="188" t="n">
        <v>-40</v>
      </c>
      <c r="CC276" s="188" t="n">
        <v>-40</v>
      </c>
      <c r="CD276" s="188" t="n">
        <v>-40</v>
      </c>
      <c r="CE276" s="188" t="n">
        <v>-40</v>
      </c>
      <c r="CF276" s="20" t="n"/>
    </row>
    <row r="277" ht="15" customHeight="1">
      <c r="B277" s="17" t="inlineStr">
        <is>
          <t>Net cash provided by (used for) financing activities</t>
        </is>
      </c>
      <c r="C277" s="184" t="n">
        <v>-1.8</v>
      </c>
      <c r="D277" s="184" t="n">
        <v>-13</v>
      </c>
      <c r="E277" s="184" t="n">
        <v>189.7</v>
      </c>
      <c r="F277" s="184" t="n">
        <v>-13</v>
      </c>
      <c r="G277" s="184" t="n">
        <v>25.8</v>
      </c>
      <c r="H277" s="184" t="n">
        <v>-46.8</v>
      </c>
      <c r="I277" s="184" t="n">
        <v>-124.7</v>
      </c>
      <c r="J277" s="184" t="n">
        <v>100.2</v>
      </c>
      <c r="K277" s="184" t="n">
        <v>-19.1</v>
      </c>
      <c r="L277" s="184" t="n">
        <v>138</v>
      </c>
      <c r="M277" s="184" t="n">
        <v>-126.1</v>
      </c>
      <c r="N277" s="184" t="n">
        <v>93</v>
      </c>
      <c r="O277" s="184" t="n">
        <v>-9</v>
      </c>
      <c r="P277" s="184" t="n">
        <v>33.6</v>
      </c>
      <c r="Q277" s="184" t="n">
        <v>7</v>
      </c>
      <c r="R277" s="184" t="n">
        <v>-6.1</v>
      </c>
      <c r="S277" s="184" t="n">
        <v>25.5</v>
      </c>
      <c r="T277" s="184" t="n">
        <v>-119.8</v>
      </c>
      <c r="U277" s="184" t="n">
        <v>-23.8</v>
      </c>
      <c r="V277" s="184" t="n">
        <v>22.8</v>
      </c>
      <c r="W277" s="184" t="n">
        <v>-128.1</v>
      </c>
      <c r="X277" s="184" t="n">
        <v>-248.9</v>
      </c>
      <c r="Y277" s="184" t="n">
        <v>-40</v>
      </c>
      <c r="Z277" s="184" t="n">
        <v>-62.2</v>
      </c>
      <c r="AA277" s="184" t="n">
        <v>-10.1</v>
      </c>
      <c r="AB277" s="184" t="n">
        <v>636.5</v>
      </c>
      <c r="AC277" s="184" t="n">
        <v>524.2</v>
      </c>
      <c r="AD277" s="184" t="n">
        <v>-39.5</v>
      </c>
      <c r="AE277" s="184" t="n">
        <v>81.09999999999999</v>
      </c>
      <c r="AF277" s="184" t="n">
        <v>-111.6</v>
      </c>
      <c r="AG277" s="184" t="n">
        <v>-27.4</v>
      </c>
      <c r="AH277" s="184" t="n">
        <v>-97.40000000000001</v>
      </c>
      <c r="AI277" s="184" t="n">
        <v>28.7</v>
      </c>
      <c r="AJ277" s="184" t="n">
        <v>-5.9</v>
      </c>
      <c r="AK277" s="184" t="n">
        <v>1972.5</v>
      </c>
      <c r="AL277" s="184" t="n">
        <v>-17.2</v>
      </c>
      <c r="AM277" s="184" t="n">
        <v>1978.1</v>
      </c>
      <c r="AN277" s="184" t="n">
        <v>883</v>
      </c>
      <c r="AO277" s="184" t="n">
        <v>-156.9</v>
      </c>
      <c r="AP277" s="184" t="n">
        <v>91</v>
      </c>
      <c r="AQ277" s="184" t="n">
        <v>-355.6</v>
      </c>
      <c r="AR277" s="184" t="n">
        <v>461.5</v>
      </c>
      <c r="AS277" s="184" t="n">
        <v>183.5</v>
      </c>
      <c r="AT277" s="184" t="n">
        <v>-307</v>
      </c>
      <c r="AU277" s="184" t="n">
        <v>-237.3</v>
      </c>
      <c r="AV277" s="184" t="n">
        <v>-258.2</v>
      </c>
      <c r="AW277" s="184" t="n">
        <v>-619</v>
      </c>
      <c r="AX277" s="184" t="n">
        <v>7.7</v>
      </c>
      <c r="AY277" s="184" t="n">
        <v>-220.2</v>
      </c>
      <c r="AZ277" s="184" t="n">
        <v>-220.8</v>
      </c>
      <c r="BA277" s="184" t="n">
        <v>-219.7</v>
      </c>
      <c r="BB277" s="184" t="n">
        <v>-653</v>
      </c>
      <c r="BC277" s="184" t="n">
        <v>-133</v>
      </c>
      <c r="BD277" s="184" t="n">
        <v>-123</v>
      </c>
      <c r="BE277" s="184" t="n">
        <v>-139</v>
      </c>
      <c r="BF277" s="184" t="n">
        <v>-313</v>
      </c>
      <c r="BG277" s="184" t="n">
        <v>-708</v>
      </c>
      <c r="BH277" s="184" t="n">
        <v>-72</v>
      </c>
      <c r="BI277" s="184" t="n">
        <v>102</v>
      </c>
      <c r="BJ277" s="184" t="n">
        <v>-353</v>
      </c>
      <c r="BK277" s="184" t="n">
        <v>-310</v>
      </c>
      <c r="BL277" s="184" t="n">
        <v>-633</v>
      </c>
      <c r="BM277" s="184" t="n">
        <v>-289</v>
      </c>
      <c r="BN277" s="184" t="n">
        <v>-234</v>
      </c>
      <c r="BO277" s="184" t="n">
        <v>-686</v>
      </c>
      <c r="BP277" s="184" t="n">
        <v>-162</v>
      </c>
      <c r="BQ277" s="184" t="n">
        <v>-1371</v>
      </c>
      <c r="BR277" s="184" t="n">
        <v>-172</v>
      </c>
      <c r="BS277" s="184" t="n">
        <v>626</v>
      </c>
      <c r="BT277" s="184" t="n">
        <v>453</v>
      </c>
      <c r="BU277" s="184" t="n">
        <v>124</v>
      </c>
      <c r="BV277" s="184" t="n">
        <v>1031</v>
      </c>
      <c r="BW277" s="184" t="n">
        <v>656</v>
      </c>
      <c r="BX277" s="184" t="n">
        <v>-248</v>
      </c>
      <c r="BY277" s="34" t="n"/>
      <c r="BZ277" s="34" t="n"/>
      <c r="CA277" s="185">
        <f>SUM(CA272:CA276)</f>
        <v/>
      </c>
      <c r="CB277" s="185">
        <f>SUM(CB272:CB276)</f>
        <v/>
      </c>
      <c r="CC277" s="185">
        <f>SUM(CC272:CC276)</f>
        <v/>
      </c>
      <c r="CD277" s="185">
        <f>SUM(CD272:CD276)</f>
        <v/>
      </c>
      <c r="CE277" s="185">
        <f>SUM(CE272:CE276)</f>
        <v/>
      </c>
      <c r="CF277" s="6" t="n"/>
    </row>
    <row r="278" ht="15" customHeight="1">
      <c r="B278" s="26" t="inlineStr">
        <is>
          <t>Effect of changes in currency exchange rates</t>
        </is>
      </c>
      <c r="C278" s="174" t="n">
        <v>2.2</v>
      </c>
      <c r="D278" s="174" t="n">
        <v>10.7</v>
      </c>
      <c r="E278" s="174" t="n">
        <v>-24.5</v>
      </c>
      <c r="F278" s="174" t="n">
        <v>14.5</v>
      </c>
      <c r="G278" s="174" t="n">
        <v>2.6</v>
      </c>
      <c r="H278" s="174" t="n">
        <v>-7</v>
      </c>
      <c r="I278" s="174" t="n">
        <v>2.4</v>
      </c>
      <c r="J278" s="174" t="n">
        <v>-1.8</v>
      </c>
      <c r="K278" s="174" t="n">
        <v>-1.8</v>
      </c>
      <c r="L278" s="174" t="n">
        <v>4.3</v>
      </c>
      <c r="M278" s="174" t="n">
        <v>-0.7</v>
      </c>
      <c r="N278" s="174" t="n">
        <v>0</v>
      </c>
      <c r="O278" s="174" t="n">
        <v>-3</v>
      </c>
      <c r="P278" s="174" t="n">
        <v>-1.5</v>
      </c>
      <c r="Q278" s="174" t="n">
        <v>-0.1</v>
      </c>
      <c r="R278" s="174" t="n">
        <v>-5.5</v>
      </c>
      <c r="S278" s="174" t="n">
        <v>-10.1</v>
      </c>
      <c r="T278" s="174" t="n">
        <v>-16.6</v>
      </c>
      <c r="U278" s="174" t="n">
        <v>9.1</v>
      </c>
      <c r="V278" s="174" t="n">
        <v>-2.6</v>
      </c>
      <c r="W278" s="174" t="n">
        <v>-8.800000000000001</v>
      </c>
      <c r="X278" s="174" t="n">
        <v>-18.9</v>
      </c>
      <c r="Y278" s="174" t="n">
        <v>9.699999999999999</v>
      </c>
      <c r="Z278" s="174" t="n">
        <v>-4.6</v>
      </c>
      <c r="AA278" s="174" t="n">
        <v>0.4</v>
      </c>
      <c r="AB278" s="174" t="n">
        <v>-31.6</v>
      </c>
      <c r="AC278" s="174" t="n">
        <v>-26.1</v>
      </c>
      <c r="AD278" s="174" t="n">
        <v>10.3</v>
      </c>
      <c r="AE278" s="174" t="n">
        <v>20.4</v>
      </c>
      <c r="AF278" s="174" t="n">
        <v>-7.7</v>
      </c>
      <c r="AG278" s="174" t="n">
        <v>-3.7</v>
      </c>
      <c r="AH278" s="174" t="n">
        <v>19.3</v>
      </c>
      <c r="AI278" s="174" t="n">
        <v>7.5</v>
      </c>
      <c r="AJ278" s="174" t="n">
        <v>-16.9</v>
      </c>
      <c r="AK278" s="174" t="n">
        <v>-17.8</v>
      </c>
      <c r="AL278" s="174" t="n">
        <v>-9.300000000000001</v>
      </c>
      <c r="AM278" s="174" t="n">
        <v>-36.5</v>
      </c>
      <c r="AN278" s="174" t="n">
        <v>-4.2</v>
      </c>
      <c r="AO278" s="174" t="n">
        <v>-6.5</v>
      </c>
      <c r="AP278" s="174" t="n">
        <v>-19.2</v>
      </c>
      <c r="AQ278" s="174" t="n">
        <v>-7.4</v>
      </c>
      <c r="AR278" s="174" t="n">
        <v>-37.3</v>
      </c>
      <c r="AS278" s="174" t="n">
        <v>-27.3</v>
      </c>
      <c r="AT278" s="174" t="n">
        <v>4.1</v>
      </c>
      <c r="AU278" s="174" t="n">
        <v>0.9</v>
      </c>
      <c r="AV278" s="174" t="n">
        <v>7.5</v>
      </c>
      <c r="AW278" s="174" t="n">
        <v>-14.8</v>
      </c>
      <c r="AX278" s="174" t="n">
        <v>6.9</v>
      </c>
      <c r="AY278" s="174" t="n">
        <v>-2.6</v>
      </c>
      <c r="AZ278" s="174" t="n">
        <v>2.7</v>
      </c>
      <c r="BA278" s="174" t="n">
        <v>-13</v>
      </c>
      <c r="BB278" s="174" t="n">
        <v>-6</v>
      </c>
      <c r="BC278" s="174" t="n">
        <v>5</v>
      </c>
      <c r="BD278" s="174" t="n">
        <v>-28</v>
      </c>
      <c r="BE278" s="174" t="n">
        <v>-20</v>
      </c>
      <c r="BF278" s="174" t="n">
        <v>16</v>
      </c>
      <c r="BG278" s="174" t="n">
        <v>-27</v>
      </c>
      <c r="BH278" s="174" t="n">
        <v>5</v>
      </c>
      <c r="BI278" s="174" t="n">
        <v>-2</v>
      </c>
      <c r="BJ278" s="174" t="n">
        <v>-8</v>
      </c>
      <c r="BK278" s="174" t="n">
        <v>8</v>
      </c>
      <c r="BL278" s="174" t="n">
        <v>3</v>
      </c>
      <c r="BM278" s="174" t="n">
        <v>-7</v>
      </c>
      <c r="BN278" s="174" t="n">
        <v>-7</v>
      </c>
      <c r="BO278" s="174" t="n">
        <v>8</v>
      </c>
      <c r="BP278" s="174" t="n">
        <v>-19</v>
      </c>
      <c r="BQ278" s="174" t="n">
        <v>-25</v>
      </c>
      <c r="BR278" s="174" t="n">
        <v>8</v>
      </c>
      <c r="BS278" s="174" t="n">
        <v>20</v>
      </c>
      <c r="BT278" s="174" t="n">
        <v>-2</v>
      </c>
      <c r="BU278" s="174" t="n">
        <v>5</v>
      </c>
      <c r="BV278" s="174" t="n">
        <v>31</v>
      </c>
      <c r="BW278" s="174" t="n">
        <v>-8</v>
      </c>
      <c r="BX278" s="174" t="n">
        <v>1</v>
      </c>
      <c r="BY278" s="37" t="n"/>
      <c r="BZ278" s="37" t="n"/>
      <c r="CA278" s="178">
        <f>(BW278+BX278)</f>
        <v/>
      </c>
      <c r="CB278" s="188" t="n">
        <v>0</v>
      </c>
      <c r="CC278" s="188" t="n">
        <v>0</v>
      </c>
      <c r="CD278" s="188" t="n">
        <v>0</v>
      </c>
      <c r="CE278" s="188" t="n">
        <v>0</v>
      </c>
      <c r="CF278" s="20" t="n"/>
    </row>
    <row r="279" ht="15" customHeight="1">
      <c r="B279" s="26" t="inlineStr">
        <is>
          <t>Net increase (decrease) in cash</t>
        </is>
      </c>
      <c r="C279" s="174" t="n">
        <v>46.6</v>
      </c>
      <c r="D279" s="174" t="n">
        <v>46.7</v>
      </c>
      <c r="E279" s="174" t="n">
        <v>-92.90000000000001</v>
      </c>
      <c r="F279" s="174" t="n">
        <v>46.9</v>
      </c>
      <c r="G279" s="174" t="n">
        <v>48.3</v>
      </c>
      <c r="H279" s="174" t="n">
        <v>48.7</v>
      </c>
      <c r="I279" s="174" t="n">
        <v>-69.8</v>
      </c>
      <c r="J279" s="174" t="n">
        <v>9.6</v>
      </c>
      <c r="K279" s="174" t="n">
        <v>-10.9</v>
      </c>
      <c r="L279" s="174" t="n">
        <v>66.5</v>
      </c>
      <c r="M279" s="174" t="n">
        <v>4.8</v>
      </c>
      <c r="N279" s="174" t="n">
        <v>70</v>
      </c>
      <c r="O279" s="174" t="n">
        <v>9.300000000000001</v>
      </c>
      <c r="P279" s="174" t="n">
        <v>-69.2</v>
      </c>
      <c r="Q279" s="174" t="n">
        <v>-13.3</v>
      </c>
      <c r="R279" s="174" t="n">
        <v>213.3</v>
      </c>
      <c r="S279" s="174" t="n">
        <v>140.1</v>
      </c>
      <c r="T279" s="174" t="n">
        <v>-176.7</v>
      </c>
      <c r="U279" s="174" t="n">
        <v>15.7</v>
      </c>
      <c r="V279" s="174" t="n">
        <v>-56.6</v>
      </c>
      <c r="W279" s="174" t="n">
        <v>17.9</v>
      </c>
      <c r="X279" s="174" t="n">
        <v>-199.7</v>
      </c>
      <c r="Y279" s="174" t="n">
        <v>36.6</v>
      </c>
      <c r="Z279" s="174" t="n">
        <v>40.1</v>
      </c>
      <c r="AA279" s="174" t="n">
        <v>-52.5</v>
      </c>
      <c r="AB279" s="174" t="n">
        <v>148.1</v>
      </c>
      <c r="AC279" s="174" t="n">
        <v>172.3</v>
      </c>
      <c r="AD279" s="174" t="n">
        <v>-118.3</v>
      </c>
      <c r="AE279" s="174" t="n">
        <v>48.3</v>
      </c>
      <c r="AF279" s="174" t="n">
        <v>-100.4</v>
      </c>
      <c r="AG279" s="174" t="n">
        <v>5.3</v>
      </c>
      <c r="AH279" s="174" t="n">
        <v>-165.1</v>
      </c>
      <c r="AI279" s="174" t="n">
        <v>16.5</v>
      </c>
      <c r="AJ279" s="174" t="n">
        <v>-4.3</v>
      </c>
      <c r="AK279" s="174" t="n">
        <v>1889.8</v>
      </c>
      <c r="AL279" s="174" t="n">
        <v>207</v>
      </c>
      <c r="AM279" s="174" t="n">
        <v>2109</v>
      </c>
      <c r="AN279" s="174" t="n">
        <v>-1829.5</v>
      </c>
      <c r="AO279" s="174" t="n">
        <v>-51.5</v>
      </c>
      <c r="AP279" s="174" t="n">
        <v>126.1</v>
      </c>
      <c r="AQ279" s="174" t="n">
        <v>16.8</v>
      </c>
      <c r="AR279" s="174" t="n">
        <v>-1738.1</v>
      </c>
      <c r="AS279" s="174" t="n">
        <v>11.7</v>
      </c>
      <c r="AT279" s="174" t="n">
        <v>-28</v>
      </c>
      <c r="AU279" s="174" t="n">
        <v>-28.6</v>
      </c>
      <c r="AV279" s="174" t="n">
        <v>39.4</v>
      </c>
      <c r="AW279" s="174" t="n">
        <v>-5.5</v>
      </c>
      <c r="AX279" s="174" t="n">
        <v>-115.2</v>
      </c>
      <c r="AY279" s="174" t="n">
        <v>-30</v>
      </c>
      <c r="AZ279" s="174" t="n">
        <v>2.9</v>
      </c>
      <c r="BA279" s="174" t="n">
        <v>16.3</v>
      </c>
      <c r="BB279" s="174" t="n">
        <v>-126</v>
      </c>
      <c r="BC279" s="174" t="n">
        <v>15</v>
      </c>
      <c r="BD279" s="174" t="n">
        <v>13</v>
      </c>
      <c r="BE279" s="174" t="n">
        <v>13</v>
      </c>
      <c r="BF279" s="174" t="n">
        <v>27</v>
      </c>
      <c r="BG279" s="174" t="n">
        <v>68</v>
      </c>
      <c r="BH279" s="174" t="n">
        <v>-124</v>
      </c>
      <c r="BI279" s="174" t="n">
        <v>-46</v>
      </c>
      <c r="BJ279" s="174" t="n">
        <v>21</v>
      </c>
      <c r="BK279" s="174" t="n">
        <v>228</v>
      </c>
      <c r="BL279" s="174" t="n">
        <v>79</v>
      </c>
      <c r="BM279" s="174" t="n">
        <v>19</v>
      </c>
      <c r="BN279" s="174" t="n">
        <v>-44</v>
      </c>
      <c r="BO279" s="174" t="n">
        <v>-185</v>
      </c>
      <c r="BP279" s="174" t="n">
        <v>305</v>
      </c>
      <c r="BQ279" s="174" t="n">
        <v>95</v>
      </c>
      <c r="BR279" s="174" t="n">
        <v>-17</v>
      </c>
      <c r="BS279" s="174" t="n">
        <v>801</v>
      </c>
      <c r="BT279" s="174" t="n">
        <v>-971</v>
      </c>
      <c r="BU279" s="174" t="n">
        <v>261</v>
      </c>
      <c r="BV279" s="174" t="n">
        <v>74</v>
      </c>
      <c r="BW279" s="174" t="n">
        <v>-258</v>
      </c>
      <c r="BX279" s="174" t="n">
        <v>139</v>
      </c>
      <c r="BY279" s="37" t="n"/>
      <c r="BZ279" s="37" t="n"/>
      <c r="CA279" s="178">
        <f>CA266+CA271+CA277+CA278</f>
        <v/>
      </c>
      <c r="CB279" s="178">
        <f>CB266+CB271+CB277+CB278</f>
        <v/>
      </c>
      <c r="CC279" s="178">
        <f>CC266+CC271+CC277+CC278</f>
        <v/>
      </c>
      <c r="CD279" s="178">
        <f>CD266+CD271+CD277+CD278</f>
        <v/>
      </c>
      <c r="CE279" s="178">
        <f>CE266+CE271+CE277+CE278</f>
        <v/>
      </c>
      <c r="CF279" s="20" t="n"/>
    </row>
    <row r="280" ht="15" customHeight="1">
      <c r="B280" s="26" t="inlineStr">
        <is>
          <t>Cash — beginning of period</t>
        </is>
      </c>
      <c r="C280" s="174" t="n">
        <v>141.4</v>
      </c>
      <c r="D280" s="174" t="n">
        <v>188</v>
      </c>
      <c r="E280" s="174" t="n">
        <v>234.7</v>
      </c>
      <c r="F280" s="174" t="n">
        <v>141.8</v>
      </c>
      <c r="G280" s="174" t="n">
        <v>188.7</v>
      </c>
      <c r="H280" s="174" t="n">
        <v>236.9</v>
      </c>
      <c r="I280" s="174" t="n">
        <v>285.6</v>
      </c>
      <c r="J280" s="174" t="n">
        <v>215.8</v>
      </c>
      <c r="K280" s="174" t="n">
        <v>225.3</v>
      </c>
      <c r="L280" s="174" t="n">
        <v>214.5</v>
      </c>
      <c r="M280" s="174" t="n">
        <v>281</v>
      </c>
      <c r="N280" s="174" t="n">
        <v>215.8</v>
      </c>
      <c r="O280" s="174" t="n">
        <v>285.8</v>
      </c>
      <c r="P280" s="174" t="n">
        <v>295.1</v>
      </c>
      <c r="Q280" s="174" t="n">
        <v>225.9</v>
      </c>
      <c r="R280" s="174" t="n">
        <v>212.5</v>
      </c>
      <c r="S280" s="174" t="n">
        <v>285.8</v>
      </c>
      <c r="T280" s="174" t="n">
        <v>425.8</v>
      </c>
      <c r="U280" s="174" t="n">
        <v>249.1</v>
      </c>
      <c r="V280" s="174" t="n">
        <v>264.8</v>
      </c>
      <c r="W280" s="174" t="n">
        <v>208.2</v>
      </c>
      <c r="X280" s="174" t="n">
        <v>425.8</v>
      </c>
      <c r="Y280" s="174" t="n">
        <v>226.2</v>
      </c>
      <c r="Z280" s="174" t="n">
        <v>262.8</v>
      </c>
      <c r="AA280" s="174" t="n">
        <v>302.9</v>
      </c>
      <c r="AB280" s="174" t="n">
        <v>250.4</v>
      </c>
      <c r="AC280" s="174" t="n">
        <v>226.2</v>
      </c>
      <c r="AD280" s="174" t="n">
        <v>398.5</v>
      </c>
      <c r="AE280" s="174" t="n">
        <v>280.2</v>
      </c>
      <c r="AF280" s="174" t="n">
        <v>328.5</v>
      </c>
      <c r="AG280" s="174" t="n">
        <v>228.1</v>
      </c>
      <c r="AH280" s="174" t="n">
        <v>398.5</v>
      </c>
      <c r="AI280" s="174" t="n">
        <v>233.4</v>
      </c>
      <c r="AJ280" s="174" t="n">
        <v>249.9</v>
      </c>
      <c r="AK280" s="174" t="n">
        <v>245.6</v>
      </c>
      <c r="AL280" s="174" t="n">
        <v>2135.4</v>
      </c>
      <c r="AM280" s="174" t="n">
        <v>233.4</v>
      </c>
      <c r="AN280" s="174" t="n">
        <v>2342.4</v>
      </c>
      <c r="AO280" s="174" t="n">
        <v>512.9</v>
      </c>
      <c r="AP280" s="174" t="n">
        <v>461.4</v>
      </c>
      <c r="AQ280" s="174" t="n">
        <v>587.4</v>
      </c>
      <c r="AR280" s="174" t="n">
        <v>2342.3</v>
      </c>
      <c r="AS280" s="174" t="n">
        <v>604.2</v>
      </c>
      <c r="AT280" s="174" t="n">
        <v>615.9</v>
      </c>
      <c r="AU280" s="174" t="n">
        <v>587.9</v>
      </c>
      <c r="AV280" s="174" t="n">
        <v>559.3</v>
      </c>
      <c r="AW280" s="174" t="n">
        <v>604.2</v>
      </c>
      <c r="AX280" s="174" t="n">
        <v>598.7</v>
      </c>
      <c r="AY280" s="174" t="n">
        <v>483.5</v>
      </c>
      <c r="AZ280" s="174" t="n">
        <v>453.5</v>
      </c>
      <c r="BA280" s="174" t="n">
        <v>456.4</v>
      </c>
      <c r="BB280" s="174" t="n">
        <v>599</v>
      </c>
      <c r="BC280" s="174" t="n">
        <v>473</v>
      </c>
      <c r="BD280" s="174" t="n">
        <v>488</v>
      </c>
      <c r="BE280" s="174" t="n">
        <v>501</v>
      </c>
      <c r="BF280" s="174" t="n">
        <v>514</v>
      </c>
      <c r="BG280" s="174" t="n">
        <v>473</v>
      </c>
      <c r="BH280" s="174" t="n">
        <v>541</v>
      </c>
      <c r="BI280" s="174" t="n">
        <v>417</v>
      </c>
      <c r="BJ280" s="174" t="n">
        <v>371</v>
      </c>
      <c r="BK280" s="174" t="n">
        <v>392</v>
      </c>
      <c r="BL280" s="174" t="n">
        <v>541</v>
      </c>
      <c r="BM280" s="174" t="n">
        <v>620</v>
      </c>
      <c r="BN280" s="174" t="n">
        <v>639</v>
      </c>
      <c r="BO280" s="174" t="n">
        <v>595</v>
      </c>
      <c r="BP280" s="174" t="n">
        <v>410</v>
      </c>
      <c r="BQ280" s="174" t="n">
        <v>620</v>
      </c>
      <c r="BR280" s="174" t="n">
        <v>715</v>
      </c>
      <c r="BS280" s="174" t="n">
        <v>698</v>
      </c>
      <c r="BT280" s="174" t="n">
        <v>1499</v>
      </c>
      <c r="BU280" s="174" t="n">
        <v>528</v>
      </c>
      <c r="BV280" s="174" t="n">
        <v>715</v>
      </c>
      <c r="BW280" s="174" t="n">
        <v>789</v>
      </c>
      <c r="BX280" s="174" t="n">
        <v>531</v>
      </c>
      <c r="BY280" s="37" t="n"/>
      <c r="BZ280" s="37" t="n"/>
      <c r="CA280" s="178">
        <f>BV281</f>
        <v/>
      </c>
      <c r="CB280" s="178">
        <f>CA281</f>
        <v/>
      </c>
      <c r="CC280" s="178">
        <f>CB281</f>
        <v/>
      </c>
      <c r="CD280" s="178">
        <f>CC281</f>
        <v/>
      </c>
      <c r="CE280" s="178">
        <f>CD281</f>
        <v/>
      </c>
      <c r="CF280" s="20" t="n"/>
    </row>
    <row r="281" ht="15" customHeight="1">
      <c r="B281" s="17" t="inlineStr">
        <is>
          <t>Cash — end of period</t>
        </is>
      </c>
      <c r="C281" s="184" t="n">
        <v>188</v>
      </c>
      <c r="D281" s="184" t="n">
        <v>234.7</v>
      </c>
      <c r="E281" s="184" t="n">
        <v>141.8</v>
      </c>
      <c r="F281" s="184" t="n">
        <v>188.7</v>
      </c>
      <c r="G281" s="184" t="n">
        <v>236.9</v>
      </c>
      <c r="H281" s="184" t="n">
        <v>285.6</v>
      </c>
      <c r="I281" s="184" t="n">
        <v>215.8</v>
      </c>
      <c r="J281" s="184" t="n">
        <v>225.3</v>
      </c>
      <c r="K281" s="184" t="n">
        <v>214.5</v>
      </c>
      <c r="L281" s="184" t="n">
        <v>281</v>
      </c>
      <c r="M281" s="184" t="n">
        <v>285.8</v>
      </c>
      <c r="N281" s="184" t="n">
        <v>285.8</v>
      </c>
      <c r="O281" s="184" t="n">
        <v>295.1</v>
      </c>
      <c r="P281" s="184" t="n">
        <v>225.9</v>
      </c>
      <c r="Q281" s="184" t="n">
        <v>212.5</v>
      </c>
      <c r="R281" s="184" t="n">
        <v>425.8</v>
      </c>
      <c r="S281" s="184" t="n">
        <v>425.8</v>
      </c>
      <c r="T281" s="184" t="n">
        <v>249.1</v>
      </c>
      <c r="U281" s="184" t="n">
        <v>264.8</v>
      </c>
      <c r="V281" s="184" t="n">
        <v>208.2</v>
      </c>
      <c r="W281" s="184" t="n">
        <v>226.2</v>
      </c>
      <c r="X281" s="184" t="n">
        <v>226.2</v>
      </c>
      <c r="Y281" s="184" t="n">
        <v>262.8</v>
      </c>
      <c r="Z281" s="184" t="n">
        <v>302.9</v>
      </c>
      <c r="AA281" s="184" t="n">
        <v>250.4</v>
      </c>
      <c r="AB281" s="184" t="n">
        <v>398.5</v>
      </c>
      <c r="AC281" s="184" t="n">
        <v>398.5</v>
      </c>
      <c r="AD281" s="184" t="n">
        <v>280.2</v>
      </c>
      <c r="AE281" s="184" t="n">
        <v>328.5</v>
      </c>
      <c r="AF281" s="184" t="n">
        <v>228.1</v>
      </c>
      <c r="AG281" s="184" t="n">
        <v>233.4</v>
      </c>
      <c r="AH281" s="184" t="n">
        <v>233.4</v>
      </c>
      <c r="AI281" s="184" t="n">
        <v>249.9</v>
      </c>
      <c r="AJ281" s="184" t="n">
        <v>245.6</v>
      </c>
      <c r="AK281" s="184" t="n">
        <v>2135.4</v>
      </c>
      <c r="AL281" s="184" t="n">
        <v>2342.4</v>
      </c>
      <c r="AM281" s="184" t="n">
        <v>2342.4</v>
      </c>
      <c r="AN281" s="184" t="n">
        <v>512.9</v>
      </c>
      <c r="AO281" s="184" t="n">
        <v>461.4</v>
      </c>
      <c r="AP281" s="184" t="n">
        <v>587.4</v>
      </c>
      <c r="AQ281" s="184" t="n">
        <v>604.2</v>
      </c>
      <c r="AR281" s="184" t="n">
        <v>604.2</v>
      </c>
      <c r="AS281" s="184" t="n">
        <v>615.9</v>
      </c>
      <c r="AT281" s="184" t="n">
        <v>587.9</v>
      </c>
      <c r="AU281" s="184" t="n">
        <v>559.3</v>
      </c>
      <c r="AV281" s="184" t="n">
        <v>598.7</v>
      </c>
      <c r="AW281" s="184" t="n">
        <v>598.7</v>
      </c>
      <c r="AX281" s="184" t="n">
        <v>483.5</v>
      </c>
      <c r="AY281" s="184" t="n">
        <v>453.5</v>
      </c>
      <c r="AZ281" s="184" t="n">
        <v>456.4</v>
      </c>
      <c r="BA281" s="184" t="n">
        <v>473</v>
      </c>
      <c r="BB281" s="184" t="n">
        <v>473</v>
      </c>
      <c r="BC281" s="184" t="n">
        <v>488</v>
      </c>
      <c r="BD281" s="184" t="n">
        <v>501</v>
      </c>
      <c r="BE281" s="184" t="n">
        <v>514</v>
      </c>
      <c r="BF281" s="184" t="n">
        <v>541</v>
      </c>
      <c r="BG281" s="184" t="n">
        <v>541</v>
      </c>
      <c r="BH281" s="184" t="n">
        <v>417</v>
      </c>
      <c r="BI281" s="184" t="n">
        <v>371</v>
      </c>
      <c r="BJ281" s="184" t="n">
        <v>392</v>
      </c>
      <c r="BK281" s="184" t="n">
        <v>620</v>
      </c>
      <c r="BL281" s="184" t="n">
        <v>620</v>
      </c>
      <c r="BM281" s="184" t="n">
        <v>639</v>
      </c>
      <c r="BN281" s="184" t="n">
        <v>595</v>
      </c>
      <c r="BO281" s="184" t="n">
        <v>410</v>
      </c>
      <c r="BP281" s="184" t="n">
        <v>715</v>
      </c>
      <c r="BQ281" s="184" t="n">
        <v>715</v>
      </c>
      <c r="BR281" s="184" t="n">
        <v>698</v>
      </c>
      <c r="BS281" s="184" t="n">
        <v>1499</v>
      </c>
      <c r="BT281" s="184" t="n">
        <v>528</v>
      </c>
      <c r="BU281" s="184" t="n">
        <v>789</v>
      </c>
      <c r="BV281" s="184" t="n">
        <v>789</v>
      </c>
      <c r="BW281" s="184" t="n">
        <v>531</v>
      </c>
      <c r="BX281" s="184" t="n">
        <v>670</v>
      </c>
      <c r="BY281" s="34" t="n"/>
      <c r="BZ281" s="34" t="n"/>
      <c r="CA281" s="185">
        <f>CA280+CA279</f>
        <v/>
      </c>
      <c r="CB281" s="185">
        <f>CB280+CB279</f>
        <v/>
      </c>
      <c r="CC281" s="185">
        <f>CC280+CC279</f>
        <v/>
      </c>
      <c r="CD281" s="185">
        <f>CD280+CD279</f>
        <v/>
      </c>
      <c r="CE281" s="185">
        <f>CE280+CE279</f>
        <v/>
      </c>
      <c r="CF281" s="6" t="inlineStr">
        <is>
          <t>Cash basis per the statement in force: cash &amp; equivalents to 2017; incl. restricted cash from 2018 (ASU 2016-18).</t>
        </is>
      </c>
    </row>
    <row r="282" ht="15" customHeight="1">
      <c r="B282" s="61" t="inlineStr">
        <is>
          <t xml:space="preserve">  Check: CFO + CFI + CFF + FX = change in cash (should be 0; ±0.1 rounding)</t>
        </is>
      </c>
      <c r="C282" s="189">
        <f>IF(ISNUMBER(C266),IF(ABS(C266+C271+C277+N(C278)-C279)&lt;=0.15,0,ROUND(C266+C271+C277+N(C278)-C279,1)),"")</f>
        <v/>
      </c>
      <c r="D282" s="189">
        <f>IF(ISNUMBER(D266),IF(ABS(D266+D271+D277+N(D278)-D279)&lt;=0.15,0,ROUND(D266+D271+D277+N(D278)-D279,1)),"")</f>
        <v/>
      </c>
      <c r="E282" s="189">
        <f>IF(ISNUMBER(E266),IF(ABS(E266+E271+E277+N(E278)-E279)&lt;=0.15,0,ROUND(E266+E271+E277+N(E278)-E279,1)),"")</f>
        <v/>
      </c>
      <c r="F282" s="189">
        <f>IF(ISNUMBER(F266),IF(ABS(F266+F271+F277+N(F278)-F279)&lt;=0.15,0,ROUND(F266+F271+F277+N(F278)-F279,1)),"")</f>
        <v/>
      </c>
      <c r="G282" s="189">
        <f>IF(ISNUMBER(G266),IF(ABS(G266+G271+G277+N(G278)-G279)&lt;=0.15,0,ROUND(G266+G271+G277+N(G278)-G279,1)),"")</f>
        <v/>
      </c>
      <c r="H282" s="189">
        <f>IF(ISNUMBER(H266),IF(ABS(H266+H271+H277+N(H278)-H279)&lt;=0.15,0,ROUND(H266+H271+H277+N(H278)-H279,1)),"")</f>
        <v/>
      </c>
      <c r="I282" s="189">
        <f>IF(ISNUMBER(I266),IF(ABS(I266+I271+I277+N(I278)-I279)&lt;=0.15,0,ROUND(I266+I271+I277+N(I278)-I279,1)),"")</f>
        <v/>
      </c>
      <c r="J282" s="189">
        <f>IF(ISNUMBER(J266),IF(ABS(J266+J271+J277+N(J278)-J279)&lt;=0.15,0,ROUND(J266+J271+J277+N(J278)-J279,1)),"")</f>
        <v/>
      </c>
      <c r="K282" s="189">
        <f>IF(ISNUMBER(K266),IF(ABS(K266+K271+K277+N(K278)-K279)&lt;=0.15,0,ROUND(K266+K271+K277+N(K278)-K279,1)),"")</f>
        <v/>
      </c>
      <c r="L282" s="189">
        <f>IF(ISNUMBER(L266),IF(ABS(L266+L271+L277+N(L278)-L279)&lt;=0.15,0,ROUND(L266+L271+L277+N(L278)-L279,1)),"")</f>
        <v/>
      </c>
      <c r="M282" s="189">
        <f>IF(ISNUMBER(M266),IF(ABS(M266+M271+M277+N(M278)-M279)&lt;=0.15,0,ROUND(M266+M271+M277+N(M278)-M279,1)),"")</f>
        <v/>
      </c>
      <c r="N282" s="189">
        <f>IF(ISNUMBER(N266),IF(ABS(N266+N271+N277+N(N278)-N279)&lt;=0.15,0,ROUND(N266+N271+N277+N(N278)-N279,1)),"")</f>
        <v/>
      </c>
      <c r="O282" s="189">
        <f>IF(ISNUMBER(O266),IF(ABS(O266+O271+O277+N(O278)-O279)&lt;=0.15,0,ROUND(O266+O271+O277+N(O278)-O279,1)),"")</f>
        <v/>
      </c>
      <c r="P282" s="189">
        <f>IF(ISNUMBER(P266),IF(ABS(P266+P271+P277+N(P278)-P279)&lt;=0.15,0,ROUND(P266+P271+P277+N(P278)-P279,1)),"")</f>
        <v/>
      </c>
      <c r="Q282" s="189">
        <f>IF(ISNUMBER(Q266),IF(ABS(Q266+Q271+Q277+N(Q278)-Q279)&lt;=0.15,0,ROUND(Q266+Q271+Q277+N(Q278)-Q279,1)),"")</f>
        <v/>
      </c>
      <c r="R282" s="189">
        <f>IF(ISNUMBER(R266),IF(ABS(R266+R271+R277+N(R278)-R279)&lt;=0.15,0,ROUND(R266+R271+R277+N(R278)-R279,1)),"")</f>
        <v/>
      </c>
      <c r="S282" s="189">
        <f>IF(ISNUMBER(S266),IF(ABS(S266+S271+S277+N(S278)-S279)&lt;=0.15,0,ROUND(S266+S271+S277+N(S278)-S279,1)),"")</f>
        <v/>
      </c>
      <c r="T282" s="189">
        <f>IF(ISNUMBER(T266),IF(ABS(T266+T271+T277+N(T278)-T279)&lt;=0.15,0,ROUND(T266+T271+T277+N(T278)-T279,1)),"")</f>
        <v/>
      </c>
      <c r="U282" s="189">
        <f>IF(ISNUMBER(U266),IF(ABS(U266+U271+U277+N(U278)-U279)&lt;=0.15,0,ROUND(U266+U271+U277+N(U278)-U279,1)),"")</f>
        <v/>
      </c>
      <c r="V282" s="189">
        <f>IF(ISNUMBER(V266),IF(ABS(V266+V271+V277+N(V278)-V279)&lt;=0.15,0,ROUND(V266+V271+V277+N(V278)-V279,1)),"")</f>
        <v/>
      </c>
      <c r="W282" s="189">
        <f>IF(ISNUMBER(W266),IF(ABS(W266+W271+W277+N(W278)-W279)&lt;=0.15,0,ROUND(W266+W271+W277+N(W278)-W279,1)),"")</f>
        <v/>
      </c>
      <c r="X282" s="189">
        <f>IF(ISNUMBER(X266),IF(ABS(X266+X271+X277+N(X278)-X279)&lt;=0.15,0,ROUND(X266+X271+X277+N(X278)-X279,1)),"")</f>
        <v/>
      </c>
      <c r="Y282" s="189">
        <f>IF(ISNUMBER(Y266),IF(ABS(Y266+Y271+Y277+N(Y278)-Y279)&lt;=0.15,0,ROUND(Y266+Y271+Y277+N(Y278)-Y279,1)),"")</f>
        <v/>
      </c>
      <c r="Z282" s="189">
        <f>IF(ISNUMBER(Z266),IF(ABS(Z266+Z271+Z277+N(Z278)-Z279)&lt;=0.15,0,ROUND(Z266+Z271+Z277+N(Z278)-Z279,1)),"")</f>
        <v/>
      </c>
      <c r="AA282" s="189">
        <f>IF(ISNUMBER(AA266),IF(ABS(AA266+AA271+AA277+N(AA278)-AA279)&lt;=0.15,0,ROUND(AA266+AA271+AA277+N(AA278)-AA279,1)),"")</f>
        <v/>
      </c>
      <c r="AB282" s="189">
        <f>IF(ISNUMBER(AB266),IF(ABS(AB266+AB271+AB277+N(AB278)-AB279)&lt;=0.15,0,ROUND(AB266+AB271+AB277+N(AB278)-AB279,1)),"")</f>
        <v/>
      </c>
      <c r="AC282" s="189">
        <f>IF(ISNUMBER(AC266),IF(ABS(AC266+AC271+AC277+N(AC278)-AC279)&lt;=0.15,0,ROUND(AC266+AC271+AC277+N(AC278)-AC279,1)),"")</f>
        <v/>
      </c>
      <c r="AD282" s="189">
        <f>IF(ISNUMBER(AD266),IF(ABS(AD266+AD271+AD277+N(AD278)-AD279)&lt;=0.15,0,ROUND(AD266+AD271+AD277+N(AD278)-AD279,1)),"")</f>
        <v/>
      </c>
      <c r="AE282" s="189">
        <f>IF(ISNUMBER(AE266),IF(ABS(AE266+AE271+AE277+N(AE278)-AE279)&lt;=0.15,0,ROUND(AE266+AE271+AE277+N(AE278)-AE279,1)),"")</f>
        <v/>
      </c>
      <c r="AF282" s="189">
        <f>IF(ISNUMBER(AF266),IF(ABS(AF266+AF271+AF277+N(AF278)-AF279)&lt;=0.15,0,ROUND(AF266+AF271+AF277+N(AF278)-AF279,1)),"")</f>
        <v/>
      </c>
      <c r="AG282" s="189">
        <f>IF(ISNUMBER(AG266),IF(ABS(AG266+AG271+AG277+N(AG278)-AG279)&lt;=0.15,0,ROUND(AG266+AG271+AG277+N(AG278)-AG279,1)),"")</f>
        <v/>
      </c>
      <c r="AH282" s="189">
        <f>IF(ISNUMBER(AH266),IF(ABS(AH266+AH271+AH277+N(AH278)-AH279)&lt;=0.15,0,ROUND(AH266+AH271+AH277+N(AH278)-AH279,1)),"")</f>
        <v/>
      </c>
      <c r="AI282" s="189">
        <f>IF(ISNUMBER(AI266),IF(ABS(AI266+AI271+AI277+N(AI278)-AI279)&lt;=0.15,0,ROUND(AI266+AI271+AI277+N(AI278)-AI279,1)),"")</f>
        <v/>
      </c>
      <c r="AJ282" s="189">
        <f>IF(ISNUMBER(AJ266),IF(ABS(AJ266+AJ271+AJ277+N(AJ278)-AJ279)&lt;=0.15,0,ROUND(AJ266+AJ271+AJ277+N(AJ278)-AJ279,1)),"")</f>
        <v/>
      </c>
      <c r="AK282" s="189">
        <f>IF(ISNUMBER(AK266),IF(ABS(AK266+AK271+AK277+N(AK278)-AK279)&lt;=0.15,0,ROUND(AK266+AK271+AK277+N(AK278)-AK279,1)),"")</f>
        <v/>
      </c>
      <c r="AL282" s="189">
        <f>IF(ISNUMBER(AL266),IF(ABS(AL266+AL271+AL277+N(AL278)-AL279)&lt;=0.15,0,ROUND(AL266+AL271+AL277+N(AL278)-AL279,1)),"")</f>
        <v/>
      </c>
      <c r="AM282" s="189">
        <f>IF(ISNUMBER(AM266),IF(ABS(AM266+AM271+AM277+N(AM278)-AM279)&lt;=0.15,0,ROUND(AM266+AM271+AM277+N(AM278)-AM279,1)),"")</f>
        <v/>
      </c>
      <c r="AN282" s="189">
        <f>IF(ISNUMBER(AN266),IF(ABS(AN266+AN271+AN277+N(AN278)-AN279)&lt;=0.15,0,ROUND(AN266+AN271+AN277+N(AN278)-AN279,1)),"")</f>
        <v/>
      </c>
      <c r="AO282" s="189">
        <f>IF(ISNUMBER(AO266),IF(ABS(AO266+AO271+AO277+N(AO278)-AO279)&lt;=0.15,0,ROUND(AO266+AO271+AO277+N(AO278)-AO279,1)),"")</f>
        <v/>
      </c>
      <c r="AP282" s="189">
        <f>IF(ISNUMBER(AP266),IF(ABS(AP266+AP271+AP277+N(AP278)-AP279)&lt;=0.15,0,ROUND(AP266+AP271+AP277+N(AP278)-AP279,1)),"")</f>
        <v/>
      </c>
      <c r="AQ282" s="189">
        <f>IF(ISNUMBER(AQ266),IF(ABS(AQ266+AQ271+AQ277+N(AQ278)-AQ279)&lt;=0.15,0,ROUND(AQ266+AQ271+AQ277+N(AQ278)-AQ279,1)),"")</f>
        <v/>
      </c>
      <c r="AR282" s="189">
        <f>IF(ISNUMBER(AR266),IF(ABS(AR266+AR271+AR277+N(AR278)-AR279)&lt;=0.15,0,ROUND(AR266+AR271+AR277+N(AR278)-AR279,1)),"")</f>
        <v/>
      </c>
      <c r="AS282" s="189">
        <f>IF(ISNUMBER(AS266),IF(ABS(AS266+AS271+AS277+N(AS278)-AS279)&lt;=0.15,0,ROUND(AS266+AS271+AS277+N(AS278)-AS279,1)),"")</f>
        <v/>
      </c>
      <c r="AT282" s="189">
        <f>IF(ISNUMBER(AT266),IF(ABS(AT266+AT271+AT277+N(AT278)-AT279)&lt;=0.15,0,ROUND(AT266+AT271+AT277+N(AT278)-AT279,1)),"")</f>
        <v/>
      </c>
      <c r="AU282" s="189">
        <f>IF(ISNUMBER(AU266),IF(ABS(AU266+AU271+AU277+N(AU278)-AU279)&lt;=0.15,0,ROUND(AU266+AU271+AU277+N(AU278)-AU279,1)),"")</f>
        <v/>
      </c>
      <c r="AV282" s="189">
        <f>IF(ISNUMBER(AV266),IF(ABS(AV266+AV271+AV277+N(AV278)-AV279)&lt;=0.15,0,ROUND(AV266+AV271+AV277+N(AV278)-AV279,1)),"")</f>
        <v/>
      </c>
      <c r="AW282" s="189">
        <f>IF(ISNUMBER(AW266),IF(ABS(AW266+AW271+AW277+N(AW278)-AW279)&lt;=0.15,0,ROUND(AW266+AW271+AW277+N(AW278)-AW279,1)),"")</f>
        <v/>
      </c>
      <c r="AX282" s="189">
        <f>IF(ISNUMBER(AX266),IF(ABS(AX266+AX271+AX277+N(AX278)-AX279)&lt;=0.15,0,ROUND(AX266+AX271+AX277+N(AX278)-AX279,1)),"")</f>
        <v/>
      </c>
      <c r="AY282" s="189">
        <f>IF(ISNUMBER(AY266),IF(ABS(AY266+AY271+AY277+N(AY278)-AY279)&lt;=0.15,0,ROUND(AY266+AY271+AY277+N(AY278)-AY279,1)),"")</f>
        <v/>
      </c>
      <c r="AZ282" s="189">
        <f>IF(ISNUMBER(AZ266),IF(ABS(AZ266+AZ271+AZ277+N(AZ278)-AZ279)&lt;=0.15,0,ROUND(AZ266+AZ271+AZ277+N(AZ278)-AZ279,1)),"")</f>
        <v/>
      </c>
      <c r="BA282" s="189">
        <f>IF(ISNUMBER(BA266),IF(ABS(BA266+BA271+BA277+N(BA278)-BA279)&lt;=0.15,0,ROUND(BA266+BA271+BA277+N(BA278)-BA279,1)),"")</f>
        <v/>
      </c>
      <c r="BB282" s="189">
        <f>IF(ISNUMBER(BB266),IF(ABS(BB266+BB271+BB277+N(BB278)-BB279)&lt;=0.15,0,ROUND(BB266+BB271+BB277+N(BB278)-BB279,1)),"")</f>
        <v/>
      </c>
      <c r="BC282" s="189">
        <f>IF(ISNUMBER(BC266),IF(ABS(BC266+BC271+BC277+N(BC278)-BC279)&lt;=0.15,0,ROUND(BC266+BC271+BC277+N(BC278)-BC279,1)),"")</f>
        <v/>
      </c>
      <c r="BD282" s="189">
        <f>IF(ISNUMBER(BD266),IF(ABS(BD266+BD271+BD277+N(BD278)-BD279)&lt;=0.15,0,ROUND(BD266+BD271+BD277+N(BD278)-BD279,1)),"")</f>
        <v/>
      </c>
      <c r="BE282" s="189">
        <f>IF(ISNUMBER(BE266),IF(ABS(BE266+BE271+BE277+N(BE278)-BE279)&lt;=0.15,0,ROUND(BE266+BE271+BE277+N(BE278)-BE279,1)),"")</f>
        <v/>
      </c>
      <c r="BF282" s="189">
        <f>IF(ISNUMBER(BF266),IF(ABS(BF266+BF271+BF277+N(BF278)-BF279)&lt;=0.15,0,ROUND(BF266+BF271+BF277+N(BF278)-BF279,1)),"")</f>
        <v/>
      </c>
      <c r="BG282" s="189">
        <f>IF(ISNUMBER(BG266),IF(ABS(BG266+BG271+BG277+N(BG278)-BG279)&lt;=0.15,0,ROUND(BG266+BG271+BG277+N(BG278)-BG279,1)),"")</f>
        <v/>
      </c>
      <c r="BH282" s="189">
        <f>IF(ISNUMBER(BH266),IF(ABS(BH266+BH271+BH277+N(BH278)-BH279)&lt;=0.15,0,ROUND(BH266+BH271+BH277+N(BH278)-BH279,1)),"")</f>
        <v/>
      </c>
      <c r="BI282" s="189">
        <f>IF(ISNUMBER(BI266),IF(ABS(BI266+BI271+BI277+N(BI278)-BI279)&lt;=0.15,0,ROUND(BI266+BI271+BI277+N(BI278)-BI279,1)),"")</f>
        <v/>
      </c>
      <c r="BJ282" s="189">
        <f>IF(ISNUMBER(BJ266),IF(ABS(BJ266+BJ271+BJ277+N(BJ278)-BJ279)&lt;=0.15,0,ROUND(BJ266+BJ271+BJ277+N(BJ278)-BJ279,1)),"")</f>
        <v/>
      </c>
      <c r="BK282" s="189">
        <f>IF(ISNUMBER(BK266),IF(ABS(BK266+BK271+BK277+N(BK278)-BK279)&lt;=0.15,0,ROUND(BK266+BK271+BK277+N(BK278)-BK279,1)),"")</f>
        <v/>
      </c>
      <c r="BL282" s="189">
        <f>IF(ISNUMBER(BL266),IF(ABS(BL266+BL271+BL277+N(BL278)-BL279)&lt;=0.15,0,ROUND(BL266+BL271+BL277+N(BL278)-BL279,1)),"")</f>
        <v/>
      </c>
      <c r="BM282" s="189">
        <f>IF(ISNUMBER(BM266),IF(ABS(BM266+BM271+BM277+N(BM278)-BM279)&lt;=0.15,0,ROUND(BM266+BM271+BM277+N(BM278)-BM279,1)),"")</f>
        <v/>
      </c>
      <c r="BN282" s="189">
        <f>IF(ISNUMBER(BN266),IF(ABS(BN266+BN271+BN277+N(BN278)-BN279)&lt;=0.15,0,ROUND(BN266+BN271+BN277+N(BN278)-BN279,1)),"")</f>
        <v/>
      </c>
      <c r="BO282" s="189">
        <f>IF(ISNUMBER(BO266),IF(ABS(BO266+BO271+BO277+N(BO278)-BO279)&lt;=0.15,0,ROUND(BO266+BO271+BO277+N(BO278)-BO279,1)),"")</f>
        <v/>
      </c>
      <c r="BP282" s="189">
        <f>IF(ISNUMBER(BP266),IF(ABS(BP266+BP271+BP277+N(BP278)-BP279)&lt;=0.15,0,ROUND(BP266+BP271+BP277+N(BP278)-BP279,1)),"")</f>
        <v/>
      </c>
      <c r="BQ282" s="189">
        <f>IF(ISNUMBER(BQ266),IF(ABS(BQ266+BQ271+BQ277+N(BQ278)-BQ279)&lt;=0.15,0,ROUND(BQ266+BQ271+BQ277+N(BQ278)-BQ279,1)),"")</f>
        <v/>
      </c>
      <c r="BR282" s="189">
        <f>IF(ISNUMBER(BR266),IF(ABS(BR266+BR271+BR277+N(BR278)-BR279)&lt;=0.15,0,ROUND(BR266+BR271+BR277+N(BR278)-BR279,1)),"")</f>
        <v/>
      </c>
      <c r="BS282" s="189">
        <f>IF(ISNUMBER(BS266),IF(ABS(BS266+BS271+BS277+N(BS278)-BS279)&lt;=0.15,0,ROUND(BS266+BS271+BS277+N(BS278)-BS279,1)),"")</f>
        <v/>
      </c>
      <c r="BT282" s="189">
        <f>IF(ISNUMBER(BT266),IF(ABS(BT266+BT271+BT277+N(BT278)-BT279)&lt;=0.15,0,ROUND(BT266+BT271+BT277+N(BT278)-BT279,1)),"")</f>
        <v/>
      </c>
      <c r="BU282" s="189">
        <f>IF(ISNUMBER(BU266),IF(ABS(BU266+BU271+BU277+N(BU278)-BU279)&lt;=0.15,0,ROUND(BU266+BU271+BU277+N(BU278)-BU279,1)),"")</f>
        <v/>
      </c>
      <c r="BV282" s="189">
        <f>IF(ISNUMBER(BV266),IF(ABS(BV266+BV271+BV277+N(BV278)-BV279)&lt;=0.15,0,ROUND(BV266+BV271+BV277+N(BV278)-BV279,1)),"")</f>
        <v/>
      </c>
      <c r="BW282" s="189">
        <f>IF(ISNUMBER(BW266),IF(ABS(BW266+BW271+BW277+N(BW278)-BW279)&lt;=0.15,0,ROUND(BW266+BW271+BW277+N(BW278)-BW279,1)),"")</f>
        <v/>
      </c>
      <c r="BX282" s="189">
        <f>IF(ISNUMBER(BX266),IF(ABS(BX266+BX271+BX277+N(BX278)-BX279)&lt;=0.15,0,ROUND(BX266+BX271+BX277+N(BX278)-BX279,1)),"")</f>
        <v/>
      </c>
      <c r="BY282" s="6" t="n"/>
      <c r="BZ282" s="6" t="n"/>
      <c r="CA282" s="194">
        <f>IF(ISNUMBER(CA266),IF(ABS(CA266+CA271+CA277+N(CA278)-CA279)&lt;=0.15,0,ROUND(CA266+CA271+CA277+N(CA278)-CA279,1)),"")</f>
        <v/>
      </c>
      <c r="CB282" s="194">
        <f>IF(ISNUMBER(CB266),IF(ABS(CB266+CB271+CB277+N(CB278)-CB279)&lt;=0.15,0,ROUND(CB266+CB271+CB277+N(CB278)-CB279,1)),"")</f>
        <v/>
      </c>
      <c r="CC282" s="194">
        <f>IF(ISNUMBER(CC266),IF(ABS(CC266+CC271+CC277+N(CC278)-CC279)&lt;=0.15,0,ROUND(CC266+CC271+CC277+N(CC278)-CC279,1)),"")</f>
        <v/>
      </c>
      <c r="CD282" s="194">
        <f>IF(ISNUMBER(CD266),IF(ABS(CD266+CD271+CD277+N(CD278)-CD279)&lt;=0.15,0,ROUND(CD266+CD271+CD277+N(CD278)-CD279,1)),"")</f>
        <v/>
      </c>
      <c r="CE282" s="194">
        <f>IF(ISNUMBER(CE266),IF(ABS(CE266+CE271+CE277+N(CE278)-CE279)&lt;=0.15,0,ROUND(CE266+CE271+CE277+N(CE278)-CE279,1)),"")</f>
        <v/>
      </c>
      <c r="CF282" s="6" t="n"/>
    </row>
    <row r="283" ht="15" customHeight="1">
      <c r="B283" s="61" t="inlineStr">
        <is>
          <t xml:space="preserve">  Check: beginning cash + change = ending cash (should be 0)</t>
        </is>
      </c>
      <c r="C283" s="189">
        <f>IF(ISNUMBER(C280),IF(ABS(C280+C279-C281)&lt;=0.35,0,ROUND(C280+C279-C281,1)),"")</f>
        <v/>
      </c>
      <c r="D283" s="189">
        <f>IF(ISNUMBER(D280),IF(ABS(D280+D279-D281)&lt;=0.35,0,ROUND(D280+D279-D281,1)),"")</f>
        <v/>
      </c>
      <c r="E283" s="189">
        <f>IF(ISNUMBER(E280),IF(ABS(E280+E279-E281)&lt;=0.35,0,ROUND(E280+E279-E281,1)),"")</f>
        <v/>
      </c>
      <c r="F283" s="189">
        <f>IF(ISNUMBER(F280),IF(ABS(F280+F279-F281)&lt;=0.35,0,ROUND(F280+F279-F281,1)),"")</f>
        <v/>
      </c>
      <c r="G283" s="189">
        <f>IF(ISNUMBER(G280),IF(ABS(G280+G279-G281)&lt;=0.35,0,ROUND(G280+G279-G281,1)),"")</f>
        <v/>
      </c>
      <c r="H283" s="189">
        <f>IF(ISNUMBER(H280),IF(ABS(H280+H279-H281)&lt;=0.35,0,ROUND(H280+H279-H281,1)),"")</f>
        <v/>
      </c>
      <c r="I283" s="189">
        <f>IF(ISNUMBER(I280),IF(ABS(I280+I279-I281)&lt;=0.35,0,ROUND(I280+I279-I281,1)),"")</f>
        <v/>
      </c>
      <c r="J283" s="189">
        <f>IF(ISNUMBER(J280),IF(ABS(J280+J279-J281)&lt;=0.35,0,ROUND(J280+J279-J281,1)),"")</f>
        <v/>
      </c>
      <c r="K283" s="189">
        <f>IF(ISNUMBER(K280),IF(ABS(K280+K279-K281)&lt;=0.35,0,ROUND(K280+K279-K281,1)),"")</f>
        <v/>
      </c>
      <c r="L283" s="189">
        <f>IF(ISNUMBER(L280),IF(ABS(L280+L279-L281)&lt;=0.35,0,ROUND(L280+L279-L281,1)),"")</f>
        <v/>
      </c>
      <c r="M283" s="189">
        <f>IF(ISNUMBER(M280),IF(ABS(M280+M279-M281)&lt;=0.35,0,ROUND(M280+M279-M281,1)),"")</f>
        <v/>
      </c>
      <c r="N283" s="189">
        <f>IF(ISNUMBER(N280),IF(ABS(N280+N279-N281)&lt;=0.35,0,ROUND(N280+N279-N281,1)),"")</f>
        <v/>
      </c>
      <c r="O283" s="189">
        <f>IF(ISNUMBER(O280),IF(ABS(O280+O279-O281)&lt;=0.35,0,ROUND(O280+O279-O281,1)),"")</f>
        <v/>
      </c>
      <c r="P283" s="189">
        <f>IF(ISNUMBER(P280),IF(ABS(P280+P279-P281)&lt;=0.35,0,ROUND(P280+P279-P281,1)),"")</f>
        <v/>
      </c>
      <c r="Q283" s="189">
        <f>IF(ISNUMBER(Q280),IF(ABS(Q280+Q279-Q281)&lt;=0.35,0,ROUND(Q280+Q279-Q281,1)),"")</f>
        <v/>
      </c>
      <c r="R283" s="189">
        <f>IF(ISNUMBER(R280),IF(ABS(R280+R279-R281)&lt;=0.35,0,ROUND(R280+R279-R281,1)),"")</f>
        <v/>
      </c>
      <c r="S283" s="189">
        <f>IF(ISNUMBER(S280),IF(ABS(S280+S279-S281)&lt;=0.35,0,ROUND(S280+S279-S281,1)),"")</f>
        <v/>
      </c>
      <c r="T283" s="189">
        <f>IF(ISNUMBER(T280),IF(ABS(T280+T279-T281)&lt;=0.35,0,ROUND(T280+T279-T281,1)),"")</f>
        <v/>
      </c>
      <c r="U283" s="189">
        <f>IF(ISNUMBER(U280),IF(ABS(U280+U279-U281)&lt;=0.35,0,ROUND(U280+U279-U281,1)),"")</f>
        <v/>
      </c>
      <c r="V283" s="189">
        <f>IF(ISNUMBER(V280),IF(ABS(V280+V279-V281)&lt;=0.35,0,ROUND(V280+V279-V281,1)),"")</f>
        <v/>
      </c>
      <c r="W283" s="189">
        <f>IF(ISNUMBER(W280),IF(ABS(W280+W279-W281)&lt;=0.35,0,ROUND(W280+W279-W281,1)),"")</f>
        <v/>
      </c>
      <c r="X283" s="189">
        <f>IF(ISNUMBER(X280),IF(ABS(X280+X279-X281)&lt;=0.35,0,ROUND(X280+X279-X281,1)),"")</f>
        <v/>
      </c>
      <c r="Y283" s="189">
        <f>IF(ISNUMBER(Y280),IF(ABS(Y280+Y279-Y281)&lt;=0.35,0,ROUND(Y280+Y279-Y281,1)),"")</f>
        <v/>
      </c>
      <c r="Z283" s="189">
        <f>IF(ISNUMBER(Z280),IF(ABS(Z280+Z279-Z281)&lt;=0.35,0,ROUND(Z280+Z279-Z281,1)),"")</f>
        <v/>
      </c>
      <c r="AA283" s="189">
        <f>IF(ISNUMBER(AA280),IF(ABS(AA280+AA279-AA281)&lt;=0.35,0,ROUND(AA280+AA279-AA281,1)),"")</f>
        <v/>
      </c>
      <c r="AB283" s="189">
        <f>IF(ISNUMBER(AB280),IF(ABS(AB280+AB279-AB281)&lt;=0.35,0,ROUND(AB280+AB279-AB281,1)),"")</f>
        <v/>
      </c>
      <c r="AC283" s="189">
        <f>IF(ISNUMBER(AC280),IF(ABS(AC280+AC279-AC281)&lt;=0.35,0,ROUND(AC280+AC279-AC281,1)),"")</f>
        <v/>
      </c>
      <c r="AD283" s="189">
        <f>IF(ISNUMBER(AD280),IF(ABS(AD280+AD279-AD281)&lt;=0.35,0,ROUND(AD280+AD279-AD281,1)),"")</f>
        <v/>
      </c>
      <c r="AE283" s="189">
        <f>IF(ISNUMBER(AE280),IF(ABS(AE280+AE279-AE281)&lt;=0.35,0,ROUND(AE280+AE279-AE281,1)),"")</f>
        <v/>
      </c>
      <c r="AF283" s="189">
        <f>IF(ISNUMBER(AF280),IF(ABS(AF280+AF279-AF281)&lt;=0.35,0,ROUND(AF280+AF279-AF281,1)),"")</f>
        <v/>
      </c>
      <c r="AG283" s="189">
        <f>IF(ISNUMBER(AG280),IF(ABS(AG280+AG279-AG281)&lt;=0.35,0,ROUND(AG280+AG279-AG281,1)),"")</f>
        <v/>
      </c>
      <c r="AH283" s="189">
        <f>IF(ISNUMBER(AH280),IF(ABS(AH280+AH279-AH281)&lt;=0.35,0,ROUND(AH280+AH279-AH281,1)),"")</f>
        <v/>
      </c>
      <c r="AI283" s="189">
        <f>IF(ISNUMBER(AI280),IF(ABS(AI280+AI279-AI281)&lt;=0.35,0,ROUND(AI280+AI279-AI281,1)),"")</f>
        <v/>
      </c>
      <c r="AJ283" s="189">
        <f>IF(ISNUMBER(AJ280),IF(ABS(AJ280+AJ279-AJ281)&lt;=0.35,0,ROUND(AJ280+AJ279-AJ281,1)),"")</f>
        <v/>
      </c>
      <c r="AK283" s="189">
        <f>IF(ISNUMBER(AK280),IF(ABS(AK280+AK279-AK281)&lt;=0.35,0,ROUND(AK280+AK279-AK281,1)),"")</f>
        <v/>
      </c>
      <c r="AL283" s="189">
        <f>IF(ISNUMBER(AL280),IF(ABS(AL280+AL279-AL281)&lt;=0.35,0,ROUND(AL280+AL279-AL281,1)),"")</f>
        <v/>
      </c>
      <c r="AM283" s="189">
        <f>IF(ISNUMBER(AM280),IF(ABS(AM280+AM279-AM281)&lt;=0.35,0,ROUND(AM280+AM279-AM281,1)),"")</f>
        <v/>
      </c>
      <c r="AN283" s="189">
        <f>IF(ISNUMBER(AN280),IF(ABS(AN280+AN279-AN281)&lt;=0.35,0,ROUND(AN280+AN279-AN281,1)),"")</f>
        <v/>
      </c>
      <c r="AO283" s="189">
        <f>IF(ISNUMBER(AO280),IF(ABS(AO280+AO279-AO281)&lt;=0.35,0,ROUND(AO280+AO279-AO281,1)),"")</f>
        <v/>
      </c>
      <c r="AP283" s="189">
        <f>IF(ISNUMBER(AP280),IF(ABS(AP280+AP279-AP281)&lt;=0.35,0,ROUND(AP280+AP279-AP281,1)),"")</f>
        <v/>
      </c>
      <c r="AQ283" s="189">
        <f>IF(ISNUMBER(AQ280),IF(ABS(AQ280+AQ279-AQ281)&lt;=0.35,0,ROUND(AQ280+AQ279-AQ281,1)),"")</f>
        <v/>
      </c>
      <c r="AR283" s="189">
        <f>IF(ISNUMBER(AR280),IF(ABS(AR280+AR279-AR281)&lt;=0.35,0,ROUND(AR280+AR279-AR281,1)),"")</f>
        <v/>
      </c>
      <c r="AS283" s="189">
        <f>IF(ISNUMBER(AS280),IF(ABS(AS280+AS279-AS281)&lt;=0.35,0,ROUND(AS280+AS279-AS281,1)),"")</f>
        <v/>
      </c>
      <c r="AT283" s="189">
        <f>IF(ISNUMBER(AT280),IF(ABS(AT280+AT279-AT281)&lt;=0.35,0,ROUND(AT280+AT279-AT281,1)),"")</f>
        <v/>
      </c>
      <c r="AU283" s="189">
        <f>IF(ISNUMBER(AU280),IF(ABS(AU280+AU279-AU281)&lt;=0.35,0,ROUND(AU280+AU279-AU281,1)),"")</f>
        <v/>
      </c>
      <c r="AV283" s="189">
        <f>IF(ISNUMBER(AV280),IF(ABS(AV280+AV279-AV281)&lt;=0.35,0,ROUND(AV280+AV279-AV281,1)),"")</f>
        <v/>
      </c>
      <c r="AW283" s="189">
        <f>IF(ISNUMBER(AW280),IF(ABS(AW280+AW279-AW281)&lt;=0.35,0,ROUND(AW280+AW279-AW281,1)),"")</f>
        <v/>
      </c>
      <c r="AX283" s="189">
        <f>IF(ISNUMBER(AX280),IF(ABS(AX280+AX279-AX281)&lt;=0.35,0,ROUND(AX280+AX279-AX281,1)),"")</f>
        <v/>
      </c>
      <c r="AY283" s="189">
        <f>IF(ISNUMBER(AY280),IF(ABS(AY280+AY279-AY281)&lt;=0.35,0,ROUND(AY280+AY279-AY281,1)),"")</f>
        <v/>
      </c>
      <c r="AZ283" s="189">
        <f>IF(ISNUMBER(AZ280),IF(ABS(AZ280+AZ279-AZ281)&lt;=0.35,0,ROUND(AZ280+AZ279-AZ281,1)),"")</f>
        <v/>
      </c>
      <c r="BA283" s="189">
        <f>IF(ISNUMBER(BA280),IF(ABS(BA280+BA279-BA281)&lt;=0.35,0,ROUND(BA280+BA279-BA281,1)),"")</f>
        <v/>
      </c>
      <c r="BB283" s="189">
        <f>IF(ISNUMBER(BB280),IF(ABS(BB280+BB279-BB281)&lt;=0.35,0,ROUND(BB280+BB279-BB281,1)),"")</f>
        <v/>
      </c>
      <c r="BC283" s="189">
        <f>IF(ISNUMBER(BC280),IF(ABS(BC280+BC279-BC281)&lt;=0.35,0,ROUND(BC280+BC279-BC281,1)),"")</f>
        <v/>
      </c>
      <c r="BD283" s="189">
        <f>IF(ISNUMBER(BD280),IF(ABS(BD280+BD279-BD281)&lt;=0.35,0,ROUND(BD280+BD279-BD281,1)),"")</f>
        <v/>
      </c>
      <c r="BE283" s="189">
        <f>IF(ISNUMBER(BE280),IF(ABS(BE280+BE279-BE281)&lt;=0.35,0,ROUND(BE280+BE279-BE281,1)),"")</f>
        <v/>
      </c>
      <c r="BF283" s="189">
        <f>IF(ISNUMBER(BF280),IF(ABS(BF280+BF279-BF281)&lt;=0.35,0,ROUND(BF280+BF279-BF281,1)),"")</f>
        <v/>
      </c>
      <c r="BG283" s="189">
        <f>IF(ISNUMBER(BG280),IF(ABS(BG280+BG279-BG281)&lt;=0.35,0,ROUND(BG280+BG279-BG281,1)),"")</f>
        <v/>
      </c>
      <c r="BH283" s="189">
        <f>IF(ISNUMBER(BH280),IF(ABS(BH280+BH279-BH281)&lt;=0.35,0,ROUND(BH280+BH279-BH281,1)),"")</f>
        <v/>
      </c>
      <c r="BI283" s="189">
        <f>IF(ISNUMBER(BI280),IF(ABS(BI280+BI279-BI281)&lt;=0.35,0,ROUND(BI280+BI279-BI281,1)),"")</f>
        <v/>
      </c>
      <c r="BJ283" s="189">
        <f>IF(ISNUMBER(BJ280),IF(ABS(BJ280+BJ279-BJ281)&lt;=0.35,0,ROUND(BJ280+BJ279-BJ281,1)),"")</f>
        <v/>
      </c>
      <c r="BK283" s="189">
        <f>IF(ISNUMBER(BK280),IF(ABS(BK280+BK279-BK281)&lt;=0.35,0,ROUND(BK280+BK279-BK281,1)),"")</f>
        <v/>
      </c>
      <c r="BL283" s="189">
        <f>IF(ISNUMBER(BL280),IF(ABS(BL280+BL279-BL281)&lt;=0.35,0,ROUND(BL280+BL279-BL281,1)),"")</f>
        <v/>
      </c>
      <c r="BM283" s="189">
        <f>IF(ISNUMBER(BM280),IF(ABS(BM280+BM279-BM281)&lt;=0.35,0,ROUND(BM280+BM279-BM281,1)),"")</f>
        <v/>
      </c>
      <c r="BN283" s="189">
        <f>IF(ISNUMBER(BN280),IF(ABS(BN280+BN279-BN281)&lt;=0.35,0,ROUND(BN280+BN279-BN281,1)),"")</f>
        <v/>
      </c>
      <c r="BO283" s="189">
        <f>IF(ISNUMBER(BO280),IF(ABS(BO280+BO279-BO281)&lt;=0.35,0,ROUND(BO280+BO279-BO281,1)),"")</f>
        <v/>
      </c>
      <c r="BP283" s="189">
        <f>IF(ISNUMBER(BP280),IF(ABS(BP280+BP279-BP281)&lt;=0.35,0,ROUND(BP280+BP279-BP281,1)),"")</f>
        <v/>
      </c>
      <c r="BQ283" s="189">
        <f>IF(ISNUMBER(BQ280),IF(ABS(BQ280+BQ279-BQ281)&lt;=0.35,0,ROUND(BQ280+BQ279-BQ281,1)),"")</f>
        <v/>
      </c>
      <c r="BR283" s="189">
        <f>IF(ISNUMBER(BR280),IF(ABS(BR280+BR279-BR281)&lt;=0.35,0,ROUND(BR280+BR279-BR281,1)),"")</f>
        <v/>
      </c>
      <c r="BS283" s="189">
        <f>IF(ISNUMBER(BS280),IF(ABS(BS280+BS279-BS281)&lt;=0.35,0,ROUND(BS280+BS279-BS281,1)),"")</f>
        <v/>
      </c>
      <c r="BT283" s="189">
        <f>IF(ISNUMBER(BT280),IF(ABS(BT280+BT279-BT281)&lt;=0.35,0,ROUND(BT280+BT279-BT281,1)),"")</f>
        <v/>
      </c>
      <c r="BU283" s="189">
        <f>IF(ISNUMBER(BU280),IF(ABS(BU280+BU279-BU281)&lt;=0.35,0,ROUND(BU280+BU279-BU281,1)),"")</f>
        <v/>
      </c>
      <c r="BV283" s="189">
        <f>IF(ISNUMBER(BV280),IF(ABS(BV280+BV279-BV281)&lt;=0.35,0,ROUND(BV280+BV279-BV281,1)),"")</f>
        <v/>
      </c>
      <c r="BW283" s="189">
        <f>IF(ISNUMBER(BW280),IF(ABS(BW280+BW279-BW281)&lt;=0.35,0,ROUND(BW280+BW279-BW281,1)),"")</f>
        <v/>
      </c>
      <c r="BX283" s="189">
        <f>IF(ISNUMBER(BX280),IF(ABS(BX280+BX279-BX281)&lt;=0.35,0,ROUND(BX280+BX279-BX281,1)),"")</f>
        <v/>
      </c>
      <c r="BY283" s="6" t="n"/>
      <c r="BZ283" s="6" t="n"/>
      <c r="CA283" s="194">
        <f>IF(ISNUMBER(CA280),IF(ABS(CA280+CA279-CA281)&lt;=0.35,0,ROUND(CA280+CA279-CA281,1)),"")</f>
        <v/>
      </c>
      <c r="CB283" s="194">
        <f>IF(ISNUMBER(CB280),IF(ABS(CB280+CB279-CB281)&lt;=0.35,0,ROUND(CB280+CB279-CB281,1)),"")</f>
        <v/>
      </c>
      <c r="CC283" s="194">
        <f>IF(ISNUMBER(CC280),IF(ABS(CC280+CC279-CC281)&lt;=0.35,0,ROUND(CC280+CC279-CC281,1)),"")</f>
        <v/>
      </c>
      <c r="CD283" s="194">
        <f>IF(ISNUMBER(CD280),IF(ABS(CD280+CD279-CD281)&lt;=0.35,0,ROUND(CD280+CD279-CD281,1)),"")</f>
        <v/>
      </c>
      <c r="CE283" s="194">
        <f>IF(ISNUMBER(CE280),IF(ABS(CE280+CE279-CE281)&lt;=0.35,0,ROUND(CE280+CE279-CE281,1)),"")</f>
        <v/>
      </c>
      <c r="CF283" s="6" t="n"/>
    </row>
    <row r="284" ht="15" customHeight="1">
      <c r="B284" s="26" t="inlineStr">
        <is>
          <t>(Memo)</t>
        </is>
      </c>
      <c r="CF284" s="6" t="n"/>
    </row>
    <row r="285" ht="15" customHeight="1">
      <c r="B285" s="59" t="inlineStr">
        <is>
          <t>Free cash flow (operating cash flow − capital expenditures)</t>
        </is>
      </c>
      <c r="C285" s="193">
        <f>IF(AND(ISNUMBER(C266),ISNUMBER(C267)),C266+C267,"")</f>
        <v/>
      </c>
      <c r="D285" s="193">
        <f>IF(AND(ISNUMBER(D266),ISNUMBER(D267)),D266+D267,"")</f>
        <v/>
      </c>
      <c r="E285" s="193">
        <f>IF(AND(ISNUMBER(E266),ISNUMBER(E267)),E266+E267,"")</f>
        <v/>
      </c>
      <c r="F285" s="193">
        <f>IF(AND(ISNUMBER(F266),ISNUMBER(F267)),F266+F267,"")</f>
        <v/>
      </c>
      <c r="G285" s="193">
        <f>IF(AND(ISNUMBER(G266),ISNUMBER(G267)),G266+G267,"")</f>
        <v/>
      </c>
      <c r="H285" s="193">
        <f>IF(AND(ISNUMBER(H266),ISNUMBER(H267)),H266+H267,"")</f>
        <v/>
      </c>
      <c r="I285" s="193">
        <f>IF(AND(ISNUMBER(I266),ISNUMBER(I267)),I266+I267,"")</f>
        <v/>
      </c>
      <c r="J285" s="193">
        <f>IF(AND(ISNUMBER(J266),ISNUMBER(J267)),J266+J267,"")</f>
        <v/>
      </c>
      <c r="K285" s="193">
        <f>IF(AND(ISNUMBER(K266),ISNUMBER(K267)),K266+K267,"")</f>
        <v/>
      </c>
      <c r="L285" s="193">
        <f>IF(AND(ISNUMBER(L266),ISNUMBER(L267)),L266+L267,"")</f>
        <v/>
      </c>
      <c r="M285" s="193">
        <f>IF(AND(ISNUMBER(M266),ISNUMBER(M267)),M266+M267,"")</f>
        <v/>
      </c>
      <c r="N285" s="193">
        <f>IF(AND(ISNUMBER(N266),ISNUMBER(N267)),N266+N267,"")</f>
        <v/>
      </c>
      <c r="O285" s="193">
        <f>IF(AND(ISNUMBER(O266),ISNUMBER(O267)),O266+O267,"")</f>
        <v/>
      </c>
      <c r="P285" s="193">
        <f>IF(AND(ISNUMBER(P266),ISNUMBER(P267)),P266+P267,"")</f>
        <v/>
      </c>
      <c r="Q285" s="193">
        <f>IF(AND(ISNUMBER(Q266),ISNUMBER(Q267)),Q266+Q267,"")</f>
        <v/>
      </c>
      <c r="R285" s="193">
        <f>IF(AND(ISNUMBER(R266),ISNUMBER(R267)),R266+R267,"")</f>
        <v/>
      </c>
      <c r="S285" s="193">
        <f>IF(AND(ISNUMBER(S266),ISNUMBER(S267)),S266+S267,"")</f>
        <v/>
      </c>
      <c r="T285" s="193">
        <f>IF(AND(ISNUMBER(T266),ISNUMBER(T267)),T266+T267,"")</f>
        <v/>
      </c>
      <c r="U285" s="193">
        <f>IF(AND(ISNUMBER(U266),ISNUMBER(U267)),U266+U267,"")</f>
        <v/>
      </c>
      <c r="V285" s="193">
        <f>IF(AND(ISNUMBER(V266),ISNUMBER(V267)),V266+V267,"")</f>
        <v/>
      </c>
      <c r="W285" s="193">
        <f>IF(AND(ISNUMBER(W266),ISNUMBER(W267)),W266+W267,"")</f>
        <v/>
      </c>
      <c r="X285" s="193">
        <f>IF(AND(ISNUMBER(X266),ISNUMBER(X267)),X266+X267,"")</f>
        <v/>
      </c>
      <c r="Y285" s="193">
        <f>IF(AND(ISNUMBER(Y266),ISNUMBER(Y267)),Y266+Y267,"")</f>
        <v/>
      </c>
      <c r="Z285" s="193">
        <f>IF(AND(ISNUMBER(Z266),ISNUMBER(Z267)),Z266+Z267,"")</f>
        <v/>
      </c>
      <c r="AA285" s="193">
        <f>IF(AND(ISNUMBER(AA266),ISNUMBER(AA267)),AA266+AA267,"")</f>
        <v/>
      </c>
      <c r="AB285" s="193">
        <f>IF(AND(ISNUMBER(AB266),ISNUMBER(AB267)),AB266+AB267,"")</f>
        <v/>
      </c>
      <c r="AC285" s="193">
        <f>IF(AND(ISNUMBER(AC266),ISNUMBER(AC267)),AC266+AC267,"")</f>
        <v/>
      </c>
      <c r="AD285" s="193">
        <f>IF(AND(ISNUMBER(AD266),ISNUMBER(AD267)),AD266+AD267,"")</f>
        <v/>
      </c>
      <c r="AE285" s="193">
        <f>IF(AND(ISNUMBER(AE266),ISNUMBER(AE267)),AE266+AE267,"")</f>
        <v/>
      </c>
      <c r="AF285" s="193">
        <f>IF(AND(ISNUMBER(AF266),ISNUMBER(AF267)),AF266+AF267,"")</f>
        <v/>
      </c>
      <c r="AG285" s="193">
        <f>IF(AND(ISNUMBER(AG266),ISNUMBER(AG267)),AG266+AG267,"")</f>
        <v/>
      </c>
      <c r="AH285" s="193">
        <f>IF(AND(ISNUMBER(AH266),ISNUMBER(AH267)),AH266+AH267,"")</f>
        <v/>
      </c>
      <c r="AI285" s="193">
        <f>IF(AND(ISNUMBER(AI266),ISNUMBER(AI267)),AI266+AI267,"")</f>
        <v/>
      </c>
      <c r="AJ285" s="193">
        <f>IF(AND(ISNUMBER(AJ266),ISNUMBER(AJ267)),AJ266+AJ267,"")</f>
        <v/>
      </c>
      <c r="AK285" s="193">
        <f>IF(AND(ISNUMBER(AK266),ISNUMBER(AK267)),AK266+AK267,"")</f>
        <v/>
      </c>
      <c r="AL285" s="193">
        <f>IF(AND(ISNUMBER(AL266),ISNUMBER(AL267)),AL266+AL267,"")</f>
        <v/>
      </c>
      <c r="AM285" s="193">
        <f>IF(AND(ISNUMBER(AM266),ISNUMBER(AM267)),AM266+AM267,"")</f>
        <v/>
      </c>
      <c r="AN285" s="193">
        <f>IF(AND(ISNUMBER(AN266),ISNUMBER(AN267)),AN266+AN267,"")</f>
        <v/>
      </c>
      <c r="AO285" s="193">
        <f>IF(AND(ISNUMBER(AO266),ISNUMBER(AO267)),AO266+AO267,"")</f>
        <v/>
      </c>
      <c r="AP285" s="193">
        <f>IF(AND(ISNUMBER(AP266),ISNUMBER(AP267)),AP266+AP267,"")</f>
        <v/>
      </c>
      <c r="AQ285" s="193">
        <f>IF(AND(ISNUMBER(AQ266),ISNUMBER(AQ267)),AQ266+AQ267,"")</f>
        <v/>
      </c>
      <c r="AR285" s="193">
        <f>IF(AND(ISNUMBER(AR266),ISNUMBER(AR267)),AR266+AR267,"")</f>
        <v/>
      </c>
      <c r="AS285" s="193">
        <f>IF(AND(ISNUMBER(AS266),ISNUMBER(AS267)),AS266+AS267,"")</f>
        <v/>
      </c>
      <c r="AT285" s="193">
        <f>IF(AND(ISNUMBER(AT266),ISNUMBER(AT267)),AT266+AT267,"")</f>
        <v/>
      </c>
      <c r="AU285" s="193">
        <f>IF(AND(ISNUMBER(AU266),ISNUMBER(AU267)),AU266+AU267,"")</f>
        <v/>
      </c>
      <c r="AV285" s="193">
        <f>IF(AND(ISNUMBER(AV266),ISNUMBER(AV267)),AV266+AV267,"")</f>
        <v/>
      </c>
      <c r="AW285" s="193">
        <f>IF(AND(ISNUMBER(AW266),ISNUMBER(AW267)),AW266+AW267,"")</f>
        <v/>
      </c>
      <c r="AX285" s="193">
        <f>IF(AND(ISNUMBER(AX266),ISNUMBER(AX267)),AX266+AX267,"")</f>
        <v/>
      </c>
      <c r="AY285" s="193">
        <f>IF(AND(ISNUMBER(AY266),ISNUMBER(AY267)),AY266+AY267,"")</f>
        <v/>
      </c>
      <c r="AZ285" s="193">
        <f>IF(AND(ISNUMBER(AZ266),ISNUMBER(AZ267)),AZ266+AZ267,"")</f>
        <v/>
      </c>
      <c r="BA285" s="193">
        <f>IF(AND(ISNUMBER(BA266),ISNUMBER(BA267)),BA266+BA267,"")</f>
        <v/>
      </c>
      <c r="BB285" s="193">
        <f>IF(AND(ISNUMBER(BB266),ISNUMBER(BB267)),BB266+BB267,"")</f>
        <v/>
      </c>
      <c r="BC285" s="193">
        <f>IF(AND(ISNUMBER(BC266),ISNUMBER(BC267)),BC266+BC267,"")</f>
        <v/>
      </c>
      <c r="BD285" s="193">
        <f>IF(AND(ISNUMBER(BD266),ISNUMBER(BD267)),BD266+BD267,"")</f>
        <v/>
      </c>
      <c r="BE285" s="193">
        <f>IF(AND(ISNUMBER(BE266),ISNUMBER(BE267)),BE266+BE267,"")</f>
        <v/>
      </c>
      <c r="BF285" s="193">
        <f>IF(AND(ISNUMBER(BF266),ISNUMBER(BF267)),BF266+BF267,"")</f>
        <v/>
      </c>
      <c r="BG285" s="193">
        <f>IF(AND(ISNUMBER(BG266),ISNUMBER(BG267)),BG266+BG267,"")</f>
        <v/>
      </c>
      <c r="BH285" s="193">
        <f>IF(AND(ISNUMBER(BH266),ISNUMBER(BH267)),BH266+BH267,"")</f>
        <v/>
      </c>
      <c r="BI285" s="193">
        <f>IF(AND(ISNUMBER(BI266),ISNUMBER(BI267)),BI266+BI267,"")</f>
        <v/>
      </c>
      <c r="BJ285" s="193">
        <f>IF(AND(ISNUMBER(BJ266),ISNUMBER(BJ267)),BJ266+BJ267,"")</f>
        <v/>
      </c>
      <c r="BK285" s="193">
        <f>IF(AND(ISNUMBER(BK266),ISNUMBER(BK267)),BK266+BK267,"")</f>
        <v/>
      </c>
      <c r="BL285" s="193">
        <f>IF(AND(ISNUMBER(BL266),ISNUMBER(BL267)),BL266+BL267,"")</f>
        <v/>
      </c>
      <c r="BM285" s="193">
        <f>IF(AND(ISNUMBER(BM266),ISNUMBER(BM267)),BM266+BM267,"")</f>
        <v/>
      </c>
      <c r="BN285" s="193">
        <f>IF(AND(ISNUMBER(BN266),ISNUMBER(BN267)),BN266+BN267,"")</f>
        <v/>
      </c>
      <c r="BO285" s="193">
        <f>IF(AND(ISNUMBER(BO266),ISNUMBER(BO267)),BO266+BO267,"")</f>
        <v/>
      </c>
      <c r="BP285" s="193">
        <f>IF(AND(ISNUMBER(BP266),ISNUMBER(BP267)),BP266+BP267,"")</f>
        <v/>
      </c>
      <c r="BQ285" s="193">
        <f>IF(AND(ISNUMBER(BQ266),ISNUMBER(BQ267)),BQ266+BQ267,"")</f>
        <v/>
      </c>
      <c r="BR285" s="193">
        <f>IF(AND(ISNUMBER(BR266),ISNUMBER(BR267)),BR266+BR267,"")</f>
        <v/>
      </c>
      <c r="BS285" s="193">
        <f>IF(AND(ISNUMBER(BS266),ISNUMBER(BS267)),BS266+BS267,"")</f>
        <v/>
      </c>
      <c r="BT285" s="193">
        <f>IF(AND(ISNUMBER(BT266),ISNUMBER(BT267)),BT266+BT267,"")</f>
        <v/>
      </c>
      <c r="BU285" s="193">
        <f>IF(AND(ISNUMBER(BU266),ISNUMBER(BU267)),BU266+BU267,"")</f>
        <v/>
      </c>
      <c r="BV285" s="193">
        <f>IF(AND(ISNUMBER(BV266),ISNUMBER(BV267)),BV266+BV267,"")</f>
        <v/>
      </c>
      <c r="BW285" s="193">
        <f>IF(AND(ISNUMBER(BW266),ISNUMBER(BW267)),BW266+BW267,"")</f>
        <v/>
      </c>
      <c r="BX285" s="193">
        <f>IF(AND(ISNUMBER(BX266),ISNUMBER(BX267)),BX266+BX267,"")</f>
        <v/>
      </c>
      <c r="BY285" s="60" t="n"/>
      <c r="BZ285" s="60" t="n"/>
      <c r="CA285" s="193">
        <f>IF(AND(ISNUMBER(CA266),ISNUMBER(CA267)),CA266+CA267,"")</f>
        <v/>
      </c>
      <c r="CB285" s="193">
        <f>IF(AND(ISNUMBER(CB266),ISNUMBER(CB267)),CB266+CB267,"")</f>
        <v/>
      </c>
      <c r="CC285" s="193">
        <f>IF(AND(ISNUMBER(CC266),ISNUMBER(CC267)),CC266+CC267,"")</f>
        <v/>
      </c>
      <c r="CD285" s="193">
        <f>IF(AND(ISNUMBER(CD266),ISNUMBER(CD267)),CD266+CD267,"")</f>
        <v/>
      </c>
      <c r="CE285" s="193">
        <f>IF(AND(ISNUMBER(CE266),ISNUMBER(CE267)),CE266+CE267,"")</f>
        <v/>
      </c>
      <c r="CF285" s="6" t="inlineStr">
        <is>
          <t>Model definition = CFO − purchases of PP&amp;E (Wabtec reports operating cash flow conversion rather than free cash flow).</t>
        </is>
      </c>
      <c r="CH285" s="21">
        <f>IFERROR((CE285/BV285)^(1/5)-1,"n/m")</f>
        <v/>
      </c>
      <c r="CI285" s="21">
        <f>IFERROR((BV285/AW285)^(1/5)-1,"n/m")</f>
        <v/>
      </c>
      <c r="CJ285" s="21">
        <f>IFERROR((BV285/X285)^(1/10)-1,"n/m")</f>
        <v/>
      </c>
      <c r="CK285" s="21">
        <f>IFERROR((BV285/C285)^(1/19)-1,"n/m")</f>
        <v/>
      </c>
    </row>
    <row r="286" ht="15" customHeight="1">
      <c r="B286" s="23" t="inlineStr">
        <is>
          <t xml:space="preserve">  FCF y/y %</t>
        </is>
      </c>
      <c r="D286" s="179">
        <f>IF(AND(ISNUMBER(D285),ISNUMBER(C285)),IFERROR(D285/C285-1,""),"")</f>
        <v/>
      </c>
      <c r="E286" s="179">
        <f>IF(AND(ISNUMBER(E285),ISNUMBER(D285)),IFERROR(E285/D285-1,""),"")</f>
        <v/>
      </c>
      <c r="F286" s="179">
        <f>IF(AND(ISNUMBER(F285),ISNUMBER(E285)),IFERROR(F285/E285-1,""),"")</f>
        <v/>
      </c>
      <c r="G286" s="179">
        <f>IF(AND(ISNUMBER(G285),ISNUMBER(F285)),IFERROR(G285/F285-1,""),"")</f>
        <v/>
      </c>
      <c r="H286" s="179">
        <f>IF(AND(ISNUMBER(H285),ISNUMBER(G285)),IFERROR(H285/G285-1,""),"")</f>
        <v/>
      </c>
      <c r="I286" s="179">
        <f>IF(AND(ISNUMBER(I285),ISNUMBER(H285)),IFERROR(I285/H285-1,""),"")</f>
        <v/>
      </c>
      <c r="N286" s="179">
        <f>IF(AND(ISNUMBER(N285),ISNUMBER(I285)),IFERROR(N285/I285-1,""),"")</f>
        <v/>
      </c>
      <c r="O286" s="179">
        <f>IF(AND(ISNUMBER(O285),ISNUMBER(J285)),IFERROR(O285/J285-1,""),"")</f>
        <v/>
      </c>
      <c r="P286" s="179">
        <f>IF(AND(ISNUMBER(P285),ISNUMBER(K285)),IFERROR(P285/K285-1,""),"")</f>
        <v/>
      </c>
      <c r="Q286" s="179">
        <f>IF(AND(ISNUMBER(Q285),ISNUMBER(L285)),IFERROR(Q285/L285-1,""),"")</f>
        <v/>
      </c>
      <c r="R286" s="179">
        <f>IF(AND(ISNUMBER(R285),ISNUMBER(M285)),IFERROR(R285/M285-1,""),"")</f>
        <v/>
      </c>
      <c r="S286" s="179">
        <f>IF(AND(ISNUMBER(S285),ISNUMBER(N285)),IFERROR(S285/N285-1,""),"")</f>
        <v/>
      </c>
      <c r="T286" s="179">
        <f>IF(AND(ISNUMBER(T285),ISNUMBER(O285)),IFERROR(T285/O285-1,""),"")</f>
        <v/>
      </c>
      <c r="U286" s="179">
        <f>IF(AND(ISNUMBER(U285),ISNUMBER(P285)),IFERROR(U285/P285-1,""),"")</f>
        <v/>
      </c>
      <c r="V286" s="179">
        <f>IF(AND(ISNUMBER(V285),ISNUMBER(Q285)),IFERROR(V285/Q285-1,""),"")</f>
        <v/>
      </c>
      <c r="W286" s="179">
        <f>IF(AND(ISNUMBER(W285),ISNUMBER(R285)),IFERROR(W285/R285-1,""),"")</f>
        <v/>
      </c>
      <c r="X286" s="179">
        <f>IF(AND(ISNUMBER(X285),ISNUMBER(S285)),IFERROR(X285/S285-1,""),"")</f>
        <v/>
      </c>
      <c r="Y286" s="179">
        <f>IF(AND(ISNUMBER(Y285),ISNUMBER(T285)),IFERROR(Y285/T285-1,""),"")</f>
        <v/>
      </c>
      <c r="Z286" s="179">
        <f>IF(AND(ISNUMBER(Z285),ISNUMBER(U285)),IFERROR(Z285/U285-1,""),"")</f>
        <v/>
      </c>
      <c r="AA286" s="179">
        <f>IF(AND(ISNUMBER(AA285),ISNUMBER(V285)),IFERROR(AA285/V285-1,""),"")</f>
        <v/>
      </c>
      <c r="AB286" s="179">
        <f>IF(AND(ISNUMBER(AB285),ISNUMBER(W285)),IFERROR(AB285/W285-1,""),"")</f>
        <v/>
      </c>
      <c r="AC286" s="179">
        <f>IF(AND(ISNUMBER(AC285),ISNUMBER(X285)),IFERROR(AC285/X285-1,""),"")</f>
        <v/>
      </c>
      <c r="AD286" s="179">
        <f>IF(AND(ISNUMBER(AD285),ISNUMBER(Y285)),IFERROR(AD285/Y285-1,""),"")</f>
        <v/>
      </c>
      <c r="AE286" s="179">
        <f>IF(AND(ISNUMBER(AE285),ISNUMBER(Z285)),IFERROR(AE285/Z285-1,""),"")</f>
        <v/>
      </c>
      <c r="AF286" s="179">
        <f>IF(AND(ISNUMBER(AF285),ISNUMBER(AA285)),IFERROR(AF285/AA285-1,""),"")</f>
        <v/>
      </c>
      <c r="AG286" s="179">
        <f>IF(AND(ISNUMBER(AG285),ISNUMBER(AB285)),IFERROR(AG285/AB285-1,""),"")</f>
        <v/>
      </c>
      <c r="AH286" s="179">
        <f>IF(AND(ISNUMBER(AH285),ISNUMBER(AC285)),IFERROR(AH285/AC285-1,""),"")</f>
        <v/>
      </c>
      <c r="AI286" s="179">
        <f>IF(AND(ISNUMBER(AI285),ISNUMBER(AD285)),IFERROR(AI285/AD285-1,""),"")</f>
        <v/>
      </c>
      <c r="AJ286" s="179">
        <f>IF(AND(ISNUMBER(AJ285),ISNUMBER(AE285)),IFERROR(AJ285/AE285-1,""),"")</f>
        <v/>
      </c>
      <c r="AK286" s="179">
        <f>IF(AND(ISNUMBER(AK285),ISNUMBER(AF285)),IFERROR(AK285/AF285-1,""),"")</f>
        <v/>
      </c>
      <c r="AL286" s="179">
        <f>IF(AND(ISNUMBER(AL285),ISNUMBER(AG285)),IFERROR(AL285/AG285-1,""),"")</f>
        <v/>
      </c>
      <c r="AM286" s="179">
        <f>IF(AND(ISNUMBER(AM285),ISNUMBER(AH285)),IFERROR(AM285/AH285-1,""),"")</f>
        <v/>
      </c>
      <c r="AN286" s="179">
        <f>IF(AND(ISNUMBER(AN285),ISNUMBER(AI285)),IFERROR(AN285/AI285-1,""),"")</f>
        <v/>
      </c>
      <c r="AO286" s="179">
        <f>IF(AND(ISNUMBER(AO285),ISNUMBER(AJ285)),IFERROR(AO285/AJ285-1,""),"")</f>
        <v/>
      </c>
      <c r="AP286" s="179">
        <f>IF(AND(ISNUMBER(AP285),ISNUMBER(AK285)),IFERROR(AP285/AK285-1,""),"")</f>
        <v/>
      </c>
      <c r="AQ286" s="179">
        <f>IF(AND(ISNUMBER(AQ285),ISNUMBER(AL285)),IFERROR(AQ285/AL285-1,""),"")</f>
        <v/>
      </c>
      <c r="AR286" s="179">
        <f>IF(AND(ISNUMBER(AR285),ISNUMBER(AM285)),IFERROR(AR285/AM285-1,""),"")</f>
        <v/>
      </c>
      <c r="AS286" s="179">
        <f>IF(AND(ISNUMBER(AS285),ISNUMBER(AN285)),IFERROR(AS285/AN285-1,""),"")</f>
        <v/>
      </c>
      <c r="AT286" s="179">
        <f>IF(AND(ISNUMBER(AT285),ISNUMBER(AO285)),IFERROR(AT285/AO285-1,""),"")</f>
        <v/>
      </c>
      <c r="AU286" s="179">
        <f>IF(AND(ISNUMBER(AU285),ISNUMBER(AP285)),IFERROR(AU285/AP285-1,""),"")</f>
        <v/>
      </c>
      <c r="AV286" s="179">
        <f>IF(AND(ISNUMBER(AV285),ISNUMBER(AQ285)),IFERROR(AV285/AQ285-1,""),"")</f>
        <v/>
      </c>
      <c r="AW286" s="179">
        <f>IF(AND(ISNUMBER(AW285),ISNUMBER(AR285)),IFERROR(AW285/AR285-1,""),"")</f>
        <v/>
      </c>
      <c r="AX286" s="179">
        <f>IF(AND(ISNUMBER(AX285),ISNUMBER(AS285)),IFERROR(AX285/AS285-1,""),"")</f>
        <v/>
      </c>
      <c r="AY286" s="179">
        <f>IF(AND(ISNUMBER(AY285),ISNUMBER(AT285)),IFERROR(AY285/AT285-1,""),"")</f>
        <v/>
      </c>
      <c r="AZ286" s="179">
        <f>IF(AND(ISNUMBER(AZ285),ISNUMBER(AU285)),IFERROR(AZ285/AU285-1,""),"")</f>
        <v/>
      </c>
      <c r="BA286" s="179">
        <f>IF(AND(ISNUMBER(BA285),ISNUMBER(AV285)),IFERROR(BA285/AV285-1,""),"")</f>
        <v/>
      </c>
      <c r="BB286" s="179">
        <f>IF(AND(ISNUMBER(BB285),ISNUMBER(AW285)),IFERROR(BB285/AW285-1,""),"")</f>
        <v/>
      </c>
      <c r="BC286" s="179">
        <f>IF(AND(ISNUMBER(BC285),ISNUMBER(AX285)),IFERROR(BC285/AX285-1,""),"")</f>
        <v/>
      </c>
      <c r="BD286" s="179">
        <f>IF(AND(ISNUMBER(BD285),ISNUMBER(AY285)),IFERROR(BD285/AY285-1,""),"")</f>
        <v/>
      </c>
      <c r="BE286" s="179">
        <f>IF(AND(ISNUMBER(BE285),ISNUMBER(AZ285)),IFERROR(BE285/AZ285-1,""),"")</f>
        <v/>
      </c>
      <c r="BF286" s="179">
        <f>IF(AND(ISNUMBER(BF285),ISNUMBER(BA285)),IFERROR(BF285/BA285-1,""),"")</f>
        <v/>
      </c>
      <c r="BG286" s="179">
        <f>IF(AND(ISNUMBER(BG285),ISNUMBER(BB285)),IFERROR(BG285/BB285-1,""),"")</f>
        <v/>
      </c>
      <c r="BH286" s="179">
        <f>IF(AND(ISNUMBER(BH285),ISNUMBER(BC285)),IFERROR(BH285/BC285-1,""),"")</f>
        <v/>
      </c>
      <c r="BI286" s="179">
        <f>IF(AND(ISNUMBER(BI285),ISNUMBER(BD285)),IFERROR(BI285/BD285-1,""),"")</f>
        <v/>
      </c>
      <c r="BJ286" s="179">
        <f>IF(AND(ISNUMBER(BJ285),ISNUMBER(BE285)),IFERROR(BJ285/BE285-1,""),"")</f>
        <v/>
      </c>
      <c r="BK286" s="179">
        <f>IF(AND(ISNUMBER(BK285),ISNUMBER(BF285)),IFERROR(BK285/BF285-1,""),"")</f>
        <v/>
      </c>
      <c r="BL286" s="179">
        <f>IF(AND(ISNUMBER(BL285),ISNUMBER(BG285)),IFERROR(BL285/BG285-1,""),"")</f>
        <v/>
      </c>
      <c r="BM286" s="179">
        <f>IF(AND(ISNUMBER(BM285),ISNUMBER(BH285)),IFERROR(BM285/BH285-1,""),"")</f>
        <v/>
      </c>
      <c r="BN286" s="179">
        <f>IF(AND(ISNUMBER(BN285),ISNUMBER(BI285)),IFERROR(BN285/BI285-1,""),"")</f>
        <v/>
      </c>
      <c r="BO286" s="179">
        <f>IF(AND(ISNUMBER(BO285),ISNUMBER(BJ285)),IFERROR(BO285/BJ285-1,""),"")</f>
        <v/>
      </c>
      <c r="BP286" s="179">
        <f>IF(AND(ISNUMBER(BP285),ISNUMBER(BK285)),IFERROR(BP285/BK285-1,""),"")</f>
        <v/>
      </c>
      <c r="BQ286" s="179">
        <f>IF(AND(ISNUMBER(BQ285),ISNUMBER(BL285)),IFERROR(BQ285/BL285-1,""),"")</f>
        <v/>
      </c>
      <c r="BR286" s="179">
        <f>IF(AND(ISNUMBER(BR285),ISNUMBER(BM285)),IFERROR(BR285/BM285-1,""),"")</f>
        <v/>
      </c>
      <c r="BS286" s="179">
        <f>IF(AND(ISNUMBER(BS285),ISNUMBER(BN285)),IFERROR(BS285/BN285-1,""),"")</f>
        <v/>
      </c>
      <c r="BT286" s="179">
        <f>IF(AND(ISNUMBER(BT285),ISNUMBER(BO285)),IFERROR(BT285/BO285-1,""),"")</f>
        <v/>
      </c>
      <c r="BU286" s="179">
        <f>IF(AND(ISNUMBER(BU285),ISNUMBER(BP285)),IFERROR(BU285/BP285-1,""),"")</f>
        <v/>
      </c>
      <c r="BV286" s="179">
        <f>IF(AND(ISNUMBER(BV285),ISNUMBER(BQ285)),IFERROR(BV285/BQ285-1,""),"")</f>
        <v/>
      </c>
      <c r="BW286" s="179">
        <f>IF(AND(ISNUMBER(BW285),ISNUMBER(BR285)),IFERROR(BW285/BR285-1,""),"")</f>
        <v/>
      </c>
      <c r="BX286" s="179">
        <f>IF(AND(ISNUMBER(BX285),ISNUMBER(BS285)),IFERROR(BX285/BS285-1,""),"")</f>
        <v/>
      </c>
      <c r="BY286" s="25" t="n"/>
      <c r="BZ286" s="25" t="n"/>
      <c r="CA286" s="180">
        <f>IF(AND(ISNUMBER(CA285),ISNUMBER(BV285)),IFERROR(CA285/BV285-1,""),"")</f>
        <v/>
      </c>
      <c r="CB286" s="180">
        <f>IF(AND(ISNUMBER(CB285),ISNUMBER(CA285)),IFERROR(CB285/CA285-1,""),"")</f>
        <v/>
      </c>
      <c r="CC286" s="180">
        <f>IF(AND(ISNUMBER(CC285),ISNUMBER(CB285)),IFERROR(CC285/CB285-1,""),"")</f>
        <v/>
      </c>
      <c r="CD286" s="180">
        <f>IF(AND(ISNUMBER(CD285),ISNUMBER(CC285)),IFERROR(CD285/CC285-1,""),"")</f>
        <v/>
      </c>
      <c r="CE286" s="180">
        <f>IF(AND(ISNUMBER(CE285),ISNUMBER(CD285)),IFERROR(CE285/CD285-1,""),"")</f>
        <v/>
      </c>
      <c r="CF286" s="6" t="n"/>
    </row>
    <row r="287" ht="15" customHeight="1">
      <c r="B287" s="26" t="inlineStr">
        <is>
          <t xml:space="preserve">  FCF % of net sales</t>
        </is>
      </c>
      <c r="C287" s="187">
        <f>IF(AND(ISNUMBER(C285),ISNUMBER(C142)),IFERROR(C285/C142,""),"")</f>
        <v/>
      </c>
      <c r="D287" s="187">
        <f>IF(AND(ISNUMBER(D285),ISNUMBER(D142)),IFERROR(D285/D142,""),"")</f>
        <v/>
      </c>
      <c r="E287" s="187">
        <f>IF(AND(ISNUMBER(E285),ISNUMBER(E142)),IFERROR(E285/E142,""),"")</f>
        <v/>
      </c>
      <c r="F287" s="187">
        <f>IF(AND(ISNUMBER(F285),ISNUMBER(F142)),IFERROR(F285/F142,""),"")</f>
        <v/>
      </c>
      <c r="G287" s="187">
        <f>IF(AND(ISNUMBER(G285),ISNUMBER(G142)),IFERROR(G285/G142,""),"")</f>
        <v/>
      </c>
      <c r="H287" s="187">
        <f>IF(AND(ISNUMBER(H285),ISNUMBER(H142)),IFERROR(H285/H142,""),"")</f>
        <v/>
      </c>
      <c r="I287" s="187">
        <f>IF(AND(ISNUMBER(I285),ISNUMBER(I142)),IFERROR(I285/I142,""),"")</f>
        <v/>
      </c>
      <c r="J287" s="187">
        <f>IF(AND(ISNUMBER(J285),ISNUMBER(J142)),IFERROR(J285/J142,""),"")</f>
        <v/>
      </c>
      <c r="K287" s="187">
        <f>IF(AND(ISNUMBER(K285),ISNUMBER(K142)),IFERROR(K285/K142,""),"")</f>
        <v/>
      </c>
      <c r="L287" s="187">
        <f>IF(AND(ISNUMBER(L285),ISNUMBER(L142)),IFERROR(L285/L142,""),"")</f>
        <v/>
      </c>
      <c r="M287" s="187">
        <f>IF(AND(ISNUMBER(M285),ISNUMBER(M142)),IFERROR(M285/M142,""),"")</f>
        <v/>
      </c>
      <c r="N287" s="187">
        <f>IF(AND(ISNUMBER(N285),ISNUMBER(N142)),IFERROR(N285/N142,""),"")</f>
        <v/>
      </c>
      <c r="O287" s="187">
        <f>IF(AND(ISNUMBER(O285),ISNUMBER(O142)),IFERROR(O285/O142,""),"")</f>
        <v/>
      </c>
      <c r="P287" s="187">
        <f>IF(AND(ISNUMBER(P285),ISNUMBER(P142)),IFERROR(P285/P142,""),"")</f>
        <v/>
      </c>
      <c r="Q287" s="187">
        <f>IF(AND(ISNUMBER(Q285),ISNUMBER(Q142)),IFERROR(Q285/Q142,""),"")</f>
        <v/>
      </c>
      <c r="R287" s="187">
        <f>IF(AND(ISNUMBER(R285),ISNUMBER(R142)),IFERROR(R285/R142,""),"")</f>
        <v/>
      </c>
      <c r="S287" s="187">
        <f>IF(AND(ISNUMBER(S285),ISNUMBER(S142)),IFERROR(S285/S142,""),"")</f>
        <v/>
      </c>
      <c r="T287" s="187">
        <f>IF(AND(ISNUMBER(T285),ISNUMBER(T142)),IFERROR(T285/T142,""),"")</f>
        <v/>
      </c>
      <c r="U287" s="187">
        <f>IF(AND(ISNUMBER(U285),ISNUMBER(U142)),IFERROR(U285/U142,""),"")</f>
        <v/>
      </c>
      <c r="V287" s="187">
        <f>IF(AND(ISNUMBER(V285),ISNUMBER(V142)),IFERROR(V285/V142,""),"")</f>
        <v/>
      </c>
      <c r="W287" s="187">
        <f>IF(AND(ISNUMBER(W285),ISNUMBER(W142)),IFERROR(W285/W142,""),"")</f>
        <v/>
      </c>
      <c r="X287" s="187">
        <f>IF(AND(ISNUMBER(X285),ISNUMBER(X142)),IFERROR(X285/X142,""),"")</f>
        <v/>
      </c>
      <c r="Y287" s="187">
        <f>IF(AND(ISNUMBER(Y285),ISNUMBER(Y142)),IFERROR(Y285/Y142,""),"")</f>
        <v/>
      </c>
      <c r="Z287" s="187">
        <f>IF(AND(ISNUMBER(Z285),ISNUMBER(Z142)),IFERROR(Z285/Z142,""),"")</f>
        <v/>
      </c>
      <c r="AA287" s="187">
        <f>IF(AND(ISNUMBER(AA285),ISNUMBER(AA142)),IFERROR(AA285/AA142,""),"")</f>
        <v/>
      </c>
      <c r="AB287" s="187">
        <f>IF(AND(ISNUMBER(AB285),ISNUMBER(AB142)),IFERROR(AB285/AB142,""),"")</f>
        <v/>
      </c>
      <c r="AC287" s="187">
        <f>IF(AND(ISNUMBER(AC285),ISNUMBER(AC142)),IFERROR(AC285/AC142,""),"")</f>
        <v/>
      </c>
      <c r="AD287" s="187">
        <f>IF(AND(ISNUMBER(AD285),ISNUMBER(AD142)),IFERROR(AD285/AD142,""),"")</f>
        <v/>
      </c>
      <c r="AE287" s="187">
        <f>IF(AND(ISNUMBER(AE285),ISNUMBER(AE142)),IFERROR(AE285/AE142,""),"")</f>
        <v/>
      </c>
      <c r="AF287" s="187">
        <f>IF(AND(ISNUMBER(AF285),ISNUMBER(AF142)),IFERROR(AF285/AF142,""),"")</f>
        <v/>
      </c>
      <c r="AG287" s="187">
        <f>IF(AND(ISNUMBER(AG285),ISNUMBER(AG142)),IFERROR(AG285/AG142,""),"")</f>
        <v/>
      </c>
      <c r="AH287" s="187">
        <f>IF(AND(ISNUMBER(AH285),ISNUMBER(AH142)),IFERROR(AH285/AH142,""),"")</f>
        <v/>
      </c>
      <c r="AI287" s="187">
        <f>IF(AND(ISNUMBER(AI285),ISNUMBER(AI142)),IFERROR(AI285/AI142,""),"")</f>
        <v/>
      </c>
      <c r="AJ287" s="187">
        <f>IF(AND(ISNUMBER(AJ285),ISNUMBER(AJ142)),IFERROR(AJ285/AJ142,""),"")</f>
        <v/>
      </c>
      <c r="AK287" s="187">
        <f>IF(AND(ISNUMBER(AK285),ISNUMBER(AK142)),IFERROR(AK285/AK142,""),"")</f>
        <v/>
      </c>
      <c r="AL287" s="187">
        <f>IF(AND(ISNUMBER(AL285),ISNUMBER(AL142)),IFERROR(AL285/AL142,""),"")</f>
        <v/>
      </c>
      <c r="AM287" s="187">
        <f>IF(AND(ISNUMBER(AM285),ISNUMBER(AM142)),IFERROR(AM285/AM142,""),"")</f>
        <v/>
      </c>
      <c r="AN287" s="187">
        <f>IF(AND(ISNUMBER(AN285),ISNUMBER(AN142)),IFERROR(AN285/AN142,""),"")</f>
        <v/>
      </c>
      <c r="AO287" s="187">
        <f>IF(AND(ISNUMBER(AO285),ISNUMBER(AO142)),IFERROR(AO285/AO142,""),"")</f>
        <v/>
      </c>
      <c r="AP287" s="187">
        <f>IF(AND(ISNUMBER(AP285),ISNUMBER(AP142)),IFERROR(AP285/AP142,""),"")</f>
        <v/>
      </c>
      <c r="AQ287" s="187">
        <f>IF(AND(ISNUMBER(AQ285),ISNUMBER(AQ142)),IFERROR(AQ285/AQ142,""),"")</f>
        <v/>
      </c>
      <c r="AR287" s="187">
        <f>IF(AND(ISNUMBER(AR285),ISNUMBER(AR142)),IFERROR(AR285/AR142,""),"")</f>
        <v/>
      </c>
      <c r="AS287" s="187">
        <f>IF(AND(ISNUMBER(AS285),ISNUMBER(AS142)),IFERROR(AS285/AS142,""),"")</f>
        <v/>
      </c>
      <c r="AT287" s="187">
        <f>IF(AND(ISNUMBER(AT285),ISNUMBER(AT142)),IFERROR(AT285/AT142,""),"")</f>
        <v/>
      </c>
      <c r="AU287" s="187">
        <f>IF(AND(ISNUMBER(AU285),ISNUMBER(AU142)),IFERROR(AU285/AU142,""),"")</f>
        <v/>
      </c>
      <c r="AV287" s="187">
        <f>IF(AND(ISNUMBER(AV285),ISNUMBER(AV142)),IFERROR(AV285/AV142,""),"")</f>
        <v/>
      </c>
      <c r="AW287" s="187">
        <f>IF(AND(ISNUMBER(AW285),ISNUMBER(AW142)),IFERROR(AW285/AW142,""),"")</f>
        <v/>
      </c>
      <c r="AX287" s="187">
        <f>IF(AND(ISNUMBER(AX285),ISNUMBER(AX142)),IFERROR(AX285/AX142,""),"")</f>
        <v/>
      </c>
      <c r="AY287" s="187">
        <f>IF(AND(ISNUMBER(AY285),ISNUMBER(AY142)),IFERROR(AY285/AY142,""),"")</f>
        <v/>
      </c>
      <c r="AZ287" s="187">
        <f>IF(AND(ISNUMBER(AZ285),ISNUMBER(AZ142)),IFERROR(AZ285/AZ142,""),"")</f>
        <v/>
      </c>
      <c r="BA287" s="187">
        <f>IF(AND(ISNUMBER(BA285),ISNUMBER(BA142)),IFERROR(BA285/BA142,""),"")</f>
        <v/>
      </c>
      <c r="BB287" s="187">
        <f>IF(AND(ISNUMBER(BB285),ISNUMBER(BB142)),IFERROR(BB285/BB142,""),"")</f>
        <v/>
      </c>
      <c r="BC287" s="187">
        <f>IF(AND(ISNUMBER(BC285),ISNUMBER(BC142)),IFERROR(BC285/BC142,""),"")</f>
        <v/>
      </c>
      <c r="BD287" s="187">
        <f>IF(AND(ISNUMBER(BD285),ISNUMBER(BD142)),IFERROR(BD285/BD142,""),"")</f>
        <v/>
      </c>
      <c r="BE287" s="187">
        <f>IF(AND(ISNUMBER(BE285),ISNUMBER(BE142)),IFERROR(BE285/BE142,""),"")</f>
        <v/>
      </c>
      <c r="BF287" s="187">
        <f>IF(AND(ISNUMBER(BF285),ISNUMBER(BF142)),IFERROR(BF285/BF142,""),"")</f>
        <v/>
      </c>
      <c r="BG287" s="187">
        <f>IF(AND(ISNUMBER(BG285),ISNUMBER(BG142)),IFERROR(BG285/BG142,""),"")</f>
        <v/>
      </c>
      <c r="BH287" s="187">
        <f>IF(AND(ISNUMBER(BH285),ISNUMBER(BH142)),IFERROR(BH285/BH142,""),"")</f>
        <v/>
      </c>
      <c r="BI287" s="187">
        <f>IF(AND(ISNUMBER(BI285),ISNUMBER(BI142)),IFERROR(BI285/BI142,""),"")</f>
        <v/>
      </c>
      <c r="BJ287" s="187">
        <f>IF(AND(ISNUMBER(BJ285),ISNUMBER(BJ142)),IFERROR(BJ285/BJ142,""),"")</f>
        <v/>
      </c>
      <c r="BK287" s="187">
        <f>IF(AND(ISNUMBER(BK285),ISNUMBER(BK142)),IFERROR(BK285/BK142,""),"")</f>
        <v/>
      </c>
      <c r="BL287" s="187">
        <f>IF(AND(ISNUMBER(BL285),ISNUMBER(BL142)),IFERROR(BL285/BL142,""),"")</f>
        <v/>
      </c>
      <c r="BM287" s="187">
        <f>IF(AND(ISNUMBER(BM285),ISNUMBER(BM142)),IFERROR(BM285/BM142,""),"")</f>
        <v/>
      </c>
      <c r="BN287" s="187">
        <f>IF(AND(ISNUMBER(BN285),ISNUMBER(BN142)),IFERROR(BN285/BN142,""),"")</f>
        <v/>
      </c>
      <c r="BO287" s="187">
        <f>IF(AND(ISNUMBER(BO285),ISNUMBER(BO142)),IFERROR(BO285/BO142,""),"")</f>
        <v/>
      </c>
      <c r="BP287" s="187">
        <f>IF(AND(ISNUMBER(BP285),ISNUMBER(BP142)),IFERROR(BP285/BP142,""),"")</f>
        <v/>
      </c>
      <c r="BQ287" s="187">
        <f>IF(AND(ISNUMBER(BQ285),ISNUMBER(BQ142)),IFERROR(BQ285/BQ142,""),"")</f>
        <v/>
      </c>
      <c r="BR287" s="187">
        <f>IF(AND(ISNUMBER(BR285),ISNUMBER(BR142)),IFERROR(BR285/BR142,""),"")</f>
        <v/>
      </c>
      <c r="BS287" s="187">
        <f>IF(AND(ISNUMBER(BS285),ISNUMBER(BS142)),IFERROR(BS285/BS142,""),"")</f>
        <v/>
      </c>
      <c r="BT287" s="187">
        <f>IF(AND(ISNUMBER(BT285),ISNUMBER(BT142)),IFERROR(BT285/BT142,""),"")</f>
        <v/>
      </c>
      <c r="BU287" s="187">
        <f>IF(AND(ISNUMBER(BU285),ISNUMBER(BU142)),IFERROR(BU285/BU142,""),"")</f>
        <v/>
      </c>
      <c r="BV287" s="187">
        <f>IF(AND(ISNUMBER(BV285),ISNUMBER(BV142)),IFERROR(BV285/BV142,""),"")</f>
        <v/>
      </c>
      <c r="BW287" s="187">
        <f>IF(AND(ISNUMBER(BW285),ISNUMBER(BW142)),IFERROR(BW285/BW142,""),"")</f>
        <v/>
      </c>
      <c r="BX287" s="187">
        <f>IF(AND(ISNUMBER(BX285),ISNUMBER(BX142)),IFERROR(BX285/BX142,""),"")</f>
        <v/>
      </c>
      <c r="BY287" s="25" t="n"/>
      <c r="BZ287" s="25" t="n"/>
      <c r="CA287" s="180">
        <f>IF(AND(ISNUMBER(CA285),ISNUMBER(CA142)),IFERROR(CA285/CA142,""),"")</f>
        <v/>
      </c>
      <c r="CB287" s="180">
        <f>IF(AND(ISNUMBER(CB285),ISNUMBER(CB142)),IFERROR(CB285/CB142,""),"")</f>
        <v/>
      </c>
      <c r="CC287" s="180">
        <f>IF(AND(ISNUMBER(CC285),ISNUMBER(CC142)),IFERROR(CC285/CC142,""),"")</f>
        <v/>
      </c>
      <c r="CD287" s="180">
        <f>IF(AND(ISNUMBER(CD285),ISNUMBER(CD142)),IFERROR(CD285/CD142,""),"")</f>
        <v/>
      </c>
      <c r="CE287" s="180">
        <f>IF(AND(ISNUMBER(CE285),ISNUMBER(CE142)),IFERROR(CE285/CE142,""),"")</f>
        <v/>
      </c>
      <c r="CF287" s="6" t="n"/>
      <c r="CH287" s="39">
        <f>IFERROR(AVERAGE(CA287,CB287,CC287,CD287,CE287),"n/m")</f>
        <v/>
      </c>
      <c r="CI287" s="39">
        <f>IFERROR(AVERAGE(BB287,BG287,BL287,BQ287,BV287),"n/m")</f>
        <v/>
      </c>
      <c r="CJ287" s="39">
        <f>IFERROR(AVERAGE(AC287,AH287,AM287,AR287,AW287,BB287,BG287,BL287,BQ287,BV287),"n/m")</f>
        <v/>
      </c>
      <c r="CK287" s="39">
        <f>IFERROR(AVERAGE(C287,D287,E287,F287,G287,H287,I287,N287,S287,X287,AC287,AH287,AM287,AR287,AW287,BB287,BG287,BL287,BQ287,BV287),"n/m")</f>
        <v/>
      </c>
    </row>
    <row r="288" ht="15" customHeight="1">
      <c r="B288" s="26" t="inlineStr">
        <is>
          <t xml:space="preserve">  FCF / adjusted net income conversion %</t>
        </is>
      </c>
      <c r="C288" s="187">
        <f>IF(AND(ISNUMBER(C285),ISNUMBER(C229)),IFERROR(C285/C229,""),"")</f>
        <v/>
      </c>
      <c r="D288" s="187">
        <f>IF(AND(ISNUMBER(D285),ISNUMBER(D229)),IFERROR(D285/D229,""),"")</f>
        <v/>
      </c>
      <c r="E288" s="187">
        <f>IF(AND(ISNUMBER(E285),ISNUMBER(E229)),IFERROR(E285/E229,""),"")</f>
        <v/>
      </c>
      <c r="F288" s="187">
        <f>IF(AND(ISNUMBER(F285),ISNUMBER(F229)),IFERROR(F285/F229,""),"")</f>
        <v/>
      </c>
      <c r="G288" s="187">
        <f>IF(AND(ISNUMBER(G285),ISNUMBER(G229)),IFERROR(G285/G229,""),"")</f>
        <v/>
      </c>
      <c r="H288" s="187">
        <f>IF(AND(ISNUMBER(H285),ISNUMBER(H229)),IFERROR(H285/H229,""),"")</f>
        <v/>
      </c>
      <c r="I288" s="187">
        <f>IF(AND(ISNUMBER(I285),ISNUMBER(I229)),IFERROR(I285/I229,""),"")</f>
        <v/>
      </c>
      <c r="J288" s="187">
        <f>IF(AND(ISNUMBER(J285),ISNUMBER(J229)),IFERROR(J285/J229,""),"")</f>
        <v/>
      </c>
      <c r="K288" s="187">
        <f>IF(AND(ISNUMBER(K285),ISNUMBER(K229)),IFERROR(K285/K229,""),"")</f>
        <v/>
      </c>
      <c r="L288" s="187">
        <f>IF(AND(ISNUMBER(L285),ISNUMBER(L229)),IFERROR(L285/L229,""),"")</f>
        <v/>
      </c>
      <c r="M288" s="187">
        <f>IF(AND(ISNUMBER(M285),ISNUMBER(M229)),IFERROR(M285/M229,""),"")</f>
        <v/>
      </c>
      <c r="N288" s="187">
        <f>IF(AND(ISNUMBER(N285),ISNUMBER(N229)),IFERROR(N285/N229,""),"")</f>
        <v/>
      </c>
      <c r="O288" s="187">
        <f>IF(AND(ISNUMBER(O285),ISNUMBER(O229)),IFERROR(O285/O229,""),"")</f>
        <v/>
      </c>
      <c r="P288" s="187">
        <f>IF(AND(ISNUMBER(P285),ISNUMBER(P229)),IFERROR(P285/P229,""),"")</f>
        <v/>
      </c>
      <c r="Q288" s="187">
        <f>IF(AND(ISNUMBER(Q285),ISNUMBER(Q229)),IFERROR(Q285/Q229,""),"")</f>
        <v/>
      </c>
      <c r="R288" s="187">
        <f>IF(AND(ISNUMBER(R285),ISNUMBER(R229)),IFERROR(R285/R229,""),"")</f>
        <v/>
      </c>
      <c r="S288" s="187">
        <f>IF(AND(ISNUMBER(S285),ISNUMBER(S229)),IFERROR(S285/S229,""),"")</f>
        <v/>
      </c>
      <c r="T288" s="187">
        <f>IF(AND(ISNUMBER(T285),ISNUMBER(T229)),IFERROR(T285/T229,""),"")</f>
        <v/>
      </c>
      <c r="U288" s="187">
        <f>IF(AND(ISNUMBER(U285),ISNUMBER(U229)),IFERROR(U285/U229,""),"")</f>
        <v/>
      </c>
      <c r="V288" s="187">
        <f>IF(AND(ISNUMBER(V285),ISNUMBER(V229)),IFERROR(V285/V229,""),"")</f>
        <v/>
      </c>
      <c r="W288" s="187">
        <f>IF(AND(ISNUMBER(W285),ISNUMBER(W229)),IFERROR(W285/W229,""),"")</f>
        <v/>
      </c>
      <c r="X288" s="187">
        <f>IF(AND(ISNUMBER(X285),ISNUMBER(X229)),IFERROR(X285/X229,""),"")</f>
        <v/>
      </c>
      <c r="Y288" s="187">
        <f>IF(AND(ISNUMBER(Y285),ISNUMBER(Y229)),IFERROR(Y285/Y229,""),"")</f>
        <v/>
      </c>
      <c r="Z288" s="187">
        <f>IF(AND(ISNUMBER(Z285),ISNUMBER(Z229)),IFERROR(Z285/Z229,""),"")</f>
        <v/>
      </c>
      <c r="AA288" s="187">
        <f>IF(AND(ISNUMBER(AA285),ISNUMBER(AA229)),IFERROR(AA285/AA229,""),"")</f>
        <v/>
      </c>
      <c r="AB288" s="187">
        <f>IF(AND(ISNUMBER(AB285),ISNUMBER(AB229)),IFERROR(AB285/AB229,""),"")</f>
        <v/>
      </c>
      <c r="AC288" s="187">
        <f>IF(AND(ISNUMBER(AC285),ISNUMBER(AC229)),IFERROR(AC285/AC229,""),"")</f>
        <v/>
      </c>
      <c r="AD288" s="187">
        <f>IF(AND(ISNUMBER(AD285),ISNUMBER(AD229)),IFERROR(AD285/AD229,""),"")</f>
        <v/>
      </c>
      <c r="AE288" s="187">
        <f>IF(AND(ISNUMBER(AE285),ISNUMBER(AE229)),IFERROR(AE285/AE229,""),"")</f>
        <v/>
      </c>
      <c r="AF288" s="187">
        <f>IF(AND(ISNUMBER(AF285),ISNUMBER(AF229)),IFERROR(AF285/AF229,""),"")</f>
        <v/>
      </c>
      <c r="AG288" s="187">
        <f>IF(AND(ISNUMBER(AG285),ISNUMBER(AG229)),IFERROR(AG285/AG229,""),"")</f>
        <v/>
      </c>
      <c r="AH288" s="187">
        <f>IF(AND(ISNUMBER(AH285),ISNUMBER(AH229)),IFERROR(AH285/AH229,""),"")</f>
        <v/>
      </c>
      <c r="AI288" s="187">
        <f>IF(AND(ISNUMBER(AI285),ISNUMBER(AI229)),IFERROR(AI285/AI229,""),"")</f>
        <v/>
      </c>
      <c r="AJ288" s="187">
        <f>IF(AND(ISNUMBER(AJ285),ISNUMBER(AJ229)),IFERROR(AJ285/AJ229,""),"")</f>
        <v/>
      </c>
      <c r="AK288" s="187">
        <f>IF(AND(ISNUMBER(AK285),ISNUMBER(AK229)),IFERROR(AK285/AK229,""),"")</f>
        <v/>
      </c>
      <c r="AL288" s="187">
        <f>IF(AND(ISNUMBER(AL285),ISNUMBER(AL229)),IFERROR(AL285/AL229,""),"")</f>
        <v/>
      </c>
      <c r="AM288" s="187">
        <f>IF(AND(ISNUMBER(AM285),ISNUMBER(AM229)),IFERROR(AM285/AM229,""),"")</f>
        <v/>
      </c>
      <c r="AN288" s="187">
        <f>IF(AND(ISNUMBER(AN285),ISNUMBER(AN229)),IFERROR(AN285/AN229,""),"")</f>
        <v/>
      </c>
      <c r="AO288" s="187">
        <f>IF(AND(ISNUMBER(AO285),ISNUMBER(AO229)),IFERROR(AO285/AO229,""),"")</f>
        <v/>
      </c>
      <c r="AP288" s="187">
        <f>IF(AND(ISNUMBER(AP285),ISNUMBER(AP229)),IFERROR(AP285/AP229,""),"")</f>
        <v/>
      </c>
      <c r="AQ288" s="187">
        <f>IF(AND(ISNUMBER(AQ285),ISNUMBER(AQ229)),IFERROR(AQ285/AQ229,""),"")</f>
        <v/>
      </c>
      <c r="AR288" s="187">
        <f>IF(AND(ISNUMBER(AR285),ISNUMBER(AR229)),IFERROR(AR285/AR229,""),"")</f>
        <v/>
      </c>
      <c r="AS288" s="187">
        <f>IF(AND(ISNUMBER(AS285),ISNUMBER(AS229)),IFERROR(AS285/AS229,""),"")</f>
        <v/>
      </c>
      <c r="AT288" s="187">
        <f>IF(AND(ISNUMBER(AT285),ISNUMBER(AT229)),IFERROR(AT285/AT229,""),"")</f>
        <v/>
      </c>
      <c r="AU288" s="187">
        <f>IF(AND(ISNUMBER(AU285),ISNUMBER(AU229)),IFERROR(AU285/AU229,""),"")</f>
        <v/>
      </c>
      <c r="AV288" s="187">
        <f>IF(AND(ISNUMBER(AV285),ISNUMBER(AV229)),IFERROR(AV285/AV229,""),"")</f>
        <v/>
      </c>
      <c r="AW288" s="187">
        <f>IF(AND(ISNUMBER(AW285),ISNUMBER(AW229)),IFERROR(AW285/AW229,""),"")</f>
        <v/>
      </c>
      <c r="AX288" s="187">
        <f>IF(AND(ISNUMBER(AX285),ISNUMBER(AX229)),IFERROR(AX285/AX229,""),"")</f>
        <v/>
      </c>
      <c r="AY288" s="187">
        <f>IF(AND(ISNUMBER(AY285),ISNUMBER(AY229)),IFERROR(AY285/AY229,""),"")</f>
        <v/>
      </c>
      <c r="AZ288" s="187">
        <f>IF(AND(ISNUMBER(AZ285),ISNUMBER(AZ229)),IFERROR(AZ285/AZ229,""),"")</f>
        <v/>
      </c>
      <c r="BA288" s="187">
        <f>IF(AND(ISNUMBER(BA285),ISNUMBER(BA229)),IFERROR(BA285/BA229,""),"")</f>
        <v/>
      </c>
      <c r="BB288" s="187">
        <f>IF(AND(ISNUMBER(BB285),ISNUMBER(BB229)),IFERROR(BB285/BB229,""),"")</f>
        <v/>
      </c>
      <c r="BC288" s="187">
        <f>IF(AND(ISNUMBER(BC285),ISNUMBER(BC229)),IFERROR(BC285/BC229,""),"")</f>
        <v/>
      </c>
      <c r="BD288" s="187">
        <f>IF(AND(ISNUMBER(BD285),ISNUMBER(BD229)),IFERROR(BD285/BD229,""),"")</f>
        <v/>
      </c>
      <c r="BE288" s="187">
        <f>IF(AND(ISNUMBER(BE285),ISNUMBER(BE229)),IFERROR(BE285/BE229,""),"")</f>
        <v/>
      </c>
      <c r="BF288" s="187">
        <f>IF(AND(ISNUMBER(BF285),ISNUMBER(BF229)),IFERROR(BF285/BF229,""),"")</f>
        <v/>
      </c>
      <c r="BG288" s="187">
        <f>IF(AND(ISNUMBER(BG285),ISNUMBER(BG229)),IFERROR(BG285/BG229,""),"")</f>
        <v/>
      </c>
      <c r="BH288" s="187">
        <f>IF(AND(ISNUMBER(BH285),ISNUMBER(BH229)),IFERROR(BH285/BH229,""),"")</f>
        <v/>
      </c>
      <c r="BI288" s="187">
        <f>IF(AND(ISNUMBER(BI285),ISNUMBER(BI229)),IFERROR(BI285/BI229,""),"")</f>
        <v/>
      </c>
      <c r="BJ288" s="187">
        <f>IF(AND(ISNUMBER(BJ285),ISNUMBER(BJ229)),IFERROR(BJ285/BJ229,""),"")</f>
        <v/>
      </c>
      <c r="BK288" s="187">
        <f>IF(AND(ISNUMBER(BK285),ISNUMBER(BK229)),IFERROR(BK285/BK229,""),"")</f>
        <v/>
      </c>
      <c r="BL288" s="187">
        <f>IF(AND(ISNUMBER(BL285),ISNUMBER(BL229)),IFERROR(BL285/BL229,""),"")</f>
        <v/>
      </c>
      <c r="BM288" s="187">
        <f>IF(AND(ISNUMBER(BM285),ISNUMBER(BM229)),IFERROR(BM285/BM229,""),"")</f>
        <v/>
      </c>
      <c r="BN288" s="187">
        <f>IF(AND(ISNUMBER(BN285),ISNUMBER(BN229)),IFERROR(BN285/BN229,""),"")</f>
        <v/>
      </c>
      <c r="BO288" s="187">
        <f>IF(AND(ISNUMBER(BO285),ISNUMBER(BO229)),IFERROR(BO285/BO229,""),"")</f>
        <v/>
      </c>
      <c r="BP288" s="187">
        <f>IF(AND(ISNUMBER(BP285),ISNUMBER(BP229)),IFERROR(BP285/BP229,""),"")</f>
        <v/>
      </c>
      <c r="BQ288" s="187">
        <f>IF(AND(ISNUMBER(BQ285),ISNUMBER(BQ229)),IFERROR(BQ285/BQ229,""),"")</f>
        <v/>
      </c>
      <c r="BR288" s="187">
        <f>IF(AND(ISNUMBER(BR285),ISNUMBER(BR229)),IFERROR(BR285/BR229,""),"")</f>
        <v/>
      </c>
      <c r="BS288" s="187">
        <f>IF(AND(ISNUMBER(BS285),ISNUMBER(BS229)),IFERROR(BS285/BS229,""),"")</f>
        <v/>
      </c>
      <c r="BT288" s="187">
        <f>IF(AND(ISNUMBER(BT285),ISNUMBER(BT229)),IFERROR(BT285/BT229,""),"")</f>
        <v/>
      </c>
      <c r="BU288" s="187">
        <f>IF(AND(ISNUMBER(BU285),ISNUMBER(BU229)),IFERROR(BU285/BU229,""),"")</f>
        <v/>
      </c>
      <c r="BV288" s="187">
        <f>IF(AND(ISNUMBER(BV285),ISNUMBER(BV229)),IFERROR(BV285/BV229,""),"")</f>
        <v/>
      </c>
      <c r="BW288" s="187">
        <f>IF(AND(ISNUMBER(BW285),ISNUMBER(BW229)),IFERROR(BW285/BW229,""),"")</f>
        <v/>
      </c>
      <c r="BX288" s="187">
        <f>IF(AND(ISNUMBER(BX285),ISNUMBER(BX229)),IFERROR(BX285/BX229,""),"")</f>
        <v/>
      </c>
      <c r="BY288" s="25" t="n"/>
      <c r="BZ288" s="25" t="n"/>
      <c r="CA288" s="180">
        <f>IF(AND(ISNUMBER(CA285),ISNUMBER(CA229)),IFERROR(CA285/CA229,""),"")</f>
        <v/>
      </c>
      <c r="CB288" s="180">
        <f>IF(AND(ISNUMBER(CB285),ISNUMBER(CB229)),IFERROR(CB285/CB229,""),"")</f>
        <v/>
      </c>
      <c r="CC288" s="180">
        <f>IF(AND(ISNUMBER(CC285),ISNUMBER(CC229)),IFERROR(CC285/CC229,""),"")</f>
        <v/>
      </c>
      <c r="CD288" s="180">
        <f>IF(AND(ISNUMBER(CD285),ISNUMBER(CD229)),IFERROR(CD285/CD229,""),"")</f>
        <v/>
      </c>
      <c r="CE288" s="180">
        <f>IF(AND(ISNUMBER(CE285),ISNUMBER(CE229)),IFERROR(CE285/CE229,""),"")</f>
        <v/>
      </c>
      <c r="CF288" s="6" t="n"/>
      <c r="CH288" s="39">
        <f>IFERROR(AVERAGE(CA288,CB288,CC288,CD288,CE288),"n/m")</f>
        <v/>
      </c>
      <c r="CI288" s="39">
        <f>IFERROR(AVERAGE(BB288,BG288,BL288,BQ288,BV288),"n/m")</f>
        <v/>
      </c>
      <c r="CJ288" s="39">
        <f>IFERROR(AVERAGE(AC288,AH288,AM288,AR288,AW288,BB288,BG288,BL288,BQ288,BV288),"n/m")</f>
        <v/>
      </c>
      <c r="CK288" s="39">
        <f>IFERROR(AVERAGE(C288,D288,E288,F288,G288,H288,I288,N288,S288,X288,AC288,AH288,AM288,AR288,AW288,BB288,BG288,BL288,BQ288,BV288),"n/m")</f>
        <v/>
      </c>
    </row>
    <row r="289" ht="15" customHeight="1">
      <c r="B289" s="26" t="inlineStr">
        <is>
          <t xml:space="preserve">  FCF per diluted share ($)</t>
        </is>
      </c>
      <c r="C289" s="201">
        <f>IF(AND(ISNUMBER(C285),ISNUMBER(C168)),IFERROR(C285/C168,""),"")</f>
        <v/>
      </c>
      <c r="D289" s="201">
        <f>IF(AND(ISNUMBER(D285),ISNUMBER(D168)),IFERROR(D285/D168,""),"")</f>
        <v/>
      </c>
      <c r="E289" s="201">
        <f>IF(AND(ISNUMBER(E285),ISNUMBER(E168)),IFERROR(E285/E168,""),"")</f>
        <v/>
      </c>
      <c r="F289" s="201">
        <f>IF(AND(ISNUMBER(F285),ISNUMBER(F168)),IFERROR(F285/F168,""),"")</f>
        <v/>
      </c>
      <c r="G289" s="201">
        <f>IF(AND(ISNUMBER(G285),ISNUMBER(G168)),IFERROR(G285/G168,""),"")</f>
        <v/>
      </c>
      <c r="H289" s="201">
        <f>IF(AND(ISNUMBER(H285),ISNUMBER(H168)),IFERROR(H285/H168,""),"")</f>
        <v/>
      </c>
      <c r="I289" s="201">
        <f>IF(AND(ISNUMBER(I285),ISNUMBER(I168)),IFERROR(I285/I168,""),"")</f>
        <v/>
      </c>
      <c r="J289" s="201">
        <f>IF(AND(ISNUMBER(J285),ISNUMBER(J168)),IFERROR(J285/J168,""),"")</f>
        <v/>
      </c>
      <c r="K289" s="201">
        <f>IF(AND(ISNUMBER(K285),ISNUMBER(K168)),IFERROR(K285/K168,""),"")</f>
        <v/>
      </c>
      <c r="L289" s="201">
        <f>IF(AND(ISNUMBER(L285),ISNUMBER(L168)),IFERROR(L285/L168,""),"")</f>
        <v/>
      </c>
      <c r="M289" s="201">
        <f>IF(AND(ISNUMBER(M285),ISNUMBER(M168)),IFERROR(M285/M168,""),"")</f>
        <v/>
      </c>
      <c r="N289" s="201">
        <f>IF(AND(ISNUMBER(N285),ISNUMBER(N168)),IFERROR(N285/N168,""),"")</f>
        <v/>
      </c>
      <c r="O289" s="201">
        <f>IF(AND(ISNUMBER(O285),ISNUMBER(O168)),IFERROR(O285/O168,""),"")</f>
        <v/>
      </c>
      <c r="P289" s="201">
        <f>IF(AND(ISNUMBER(P285),ISNUMBER(P168)),IFERROR(P285/P168,""),"")</f>
        <v/>
      </c>
      <c r="Q289" s="201">
        <f>IF(AND(ISNUMBER(Q285),ISNUMBER(Q168)),IFERROR(Q285/Q168,""),"")</f>
        <v/>
      </c>
      <c r="R289" s="201">
        <f>IF(AND(ISNUMBER(R285),ISNUMBER(R168)),IFERROR(R285/R168,""),"")</f>
        <v/>
      </c>
      <c r="S289" s="201">
        <f>IF(AND(ISNUMBER(S285),ISNUMBER(S168)),IFERROR(S285/S168,""),"")</f>
        <v/>
      </c>
      <c r="T289" s="201">
        <f>IF(AND(ISNUMBER(T285),ISNUMBER(T168)),IFERROR(T285/T168,""),"")</f>
        <v/>
      </c>
      <c r="U289" s="201">
        <f>IF(AND(ISNUMBER(U285),ISNUMBER(U168)),IFERROR(U285/U168,""),"")</f>
        <v/>
      </c>
      <c r="V289" s="201">
        <f>IF(AND(ISNUMBER(V285),ISNUMBER(V168)),IFERROR(V285/V168,""),"")</f>
        <v/>
      </c>
      <c r="W289" s="201">
        <f>IF(AND(ISNUMBER(W285),ISNUMBER(W168)),IFERROR(W285/W168,""),"")</f>
        <v/>
      </c>
      <c r="X289" s="201">
        <f>IF(AND(ISNUMBER(X285),ISNUMBER(X168)),IFERROR(X285/X168,""),"")</f>
        <v/>
      </c>
      <c r="Y289" s="201">
        <f>IF(AND(ISNUMBER(Y285),ISNUMBER(Y168)),IFERROR(Y285/Y168,""),"")</f>
        <v/>
      </c>
      <c r="Z289" s="201">
        <f>IF(AND(ISNUMBER(Z285),ISNUMBER(Z168)),IFERROR(Z285/Z168,""),"")</f>
        <v/>
      </c>
      <c r="AA289" s="201">
        <f>IF(AND(ISNUMBER(AA285),ISNUMBER(AA168)),IFERROR(AA285/AA168,""),"")</f>
        <v/>
      </c>
      <c r="AB289" s="201">
        <f>IF(AND(ISNUMBER(AB285),ISNUMBER(AB168)),IFERROR(AB285/AB168,""),"")</f>
        <v/>
      </c>
      <c r="AC289" s="201">
        <f>IF(AND(ISNUMBER(AC285),ISNUMBER(AC168)),IFERROR(AC285/AC168,""),"")</f>
        <v/>
      </c>
      <c r="AD289" s="201">
        <f>IF(AND(ISNUMBER(AD285),ISNUMBER(AD168)),IFERROR(AD285/AD168,""),"")</f>
        <v/>
      </c>
      <c r="AE289" s="201">
        <f>IF(AND(ISNUMBER(AE285),ISNUMBER(AE168)),IFERROR(AE285/AE168,""),"")</f>
        <v/>
      </c>
      <c r="AF289" s="201">
        <f>IF(AND(ISNUMBER(AF285),ISNUMBER(AF168)),IFERROR(AF285/AF168,""),"")</f>
        <v/>
      </c>
      <c r="AG289" s="201">
        <f>IF(AND(ISNUMBER(AG285),ISNUMBER(AG168)),IFERROR(AG285/AG168,""),"")</f>
        <v/>
      </c>
      <c r="AH289" s="201">
        <f>IF(AND(ISNUMBER(AH285),ISNUMBER(AH168)),IFERROR(AH285/AH168,""),"")</f>
        <v/>
      </c>
      <c r="AI289" s="201">
        <f>IF(AND(ISNUMBER(AI285),ISNUMBER(AI168)),IFERROR(AI285/AI168,""),"")</f>
        <v/>
      </c>
      <c r="AJ289" s="201">
        <f>IF(AND(ISNUMBER(AJ285),ISNUMBER(AJ168)),IFERROR(AJ285/AJ168,""),"")</f>
        <v/>
      </c>
      <c r="AK289" s="201">
        <f>IF(AND(ISNUMBER(AK285),ISNUMBER(AK168)),IFERROR(AK285/AK168,""),"")</f>
        <v/>
      </c>
      <c r="AL289" s="201">
        <f>IF(AND(ISNUMBER(AL285),ISNUMBER(AL168)),IFERROR(AL285/AL168,""),"")</f>
        <v/>
      </c>
      <c r="AM289" s="201">
        <f>IF(AND(ISNUMBER(AM285),ISNUMBER(AM168)),IFERROR(AM285/AM168,""),"")</f>
        <v/>
      </c>
      <c r="AN289" s="201">
        <f>IF(AND(ISNUMBER(AN285),ISNUMBER(AN168)),IFERROR(AN285/AN168,""),"")</f>
        <v/>
      </c>
      <c r="AO289" s="201">
        <f>IF(AND(ISNUMBER(AO285),ISNUMBER(AO168)),IFERROR(AO285/AO168,""),"")</f>
        <v/>
      </c>
      <c r="AP289" s="201">
        <f>IF(AND(ISNUMBER(AP285),ISNUMBER(AP168)),IFERROR(AP285/AP168,""),"")</f>
        <v/>
      </c>
      <c r="AQ289" s="201">
        <f>IF(AND(ISNUMBER(AQ285),ISNUMBER(AQ168)),IFERROR(AQ285/AQ168,""),"")</f>
        <v/>
      </c>
      <c r="AR289" s="201">
        <f>IF(AND(ISNUMBER(AR285),ISNUMBER(AR168)),IFERROR(AR285/AR168,""),"")</f>
        <v/>
      </c>
      <c r="AS289" s="201">
        <f>IF(AND(ISNUMBER(AS285),ISNUMBER(AS168)),IFERROR(AS285/AS168,""),"")</f>
        <v/>
      </c>
      <c r="AT289" s="201">
        <f>IF(AND(ISNUMBER(AT285),ISNUMBER(AT168)),IFERROR(AT285/AT168,""),"")</f>
        <v/>
      </c>
      <c r="AU289" s="201">
        <f>IF(AND(ISNUMBER(AU285),ISNUMBER(AU168)),IFERROR(AU285/AU168,""),"")</f>
        <v/>
      </c>
      <c r="AV289" s="201">
        <f>IF(AND(ISNUMBER(AV285),ISNUMBER(AV168)),IFERROR(AV285/AV168,""),"")</f>
        <v/>
      </c>
      <c r="AW289" s="201">
        <f>IF(AND(ISNUMBER(AW285),ISNUMBER(AW168)),IFERROR(AW285/AW168,""),"")</f>
        <v/>
      </c>
      <c r="AX289" s="201">
        <f>IF(AND(ISNUMBER(AX285),ISNUMBER(AX168)),IFERROR(AX285/AX168,""),"")</f>
        <v/>
      </c>
      <c r="AY289" s="201">
        <f>IF(AND(ISNUMBER(AY285),ISNUMBER(AY168)),IFERROR(AY285/AY168,""),"")</f>
        <v/>
      </c>
      <c r="AZ289" s="201">
        <f>IF(AND(ISNUMBER(AZ285),ISNUMBER(AZ168)),IFERROR(AZ285/AZ168,""),"")</f>
        <v/>
      </c>
      <c r="BA289" s="201">
        <f>IF(AND(ISNUMBER(BA285),ISNUMBER(BA168)),IFERROR(BA285/BA168,""),"")</f>
        <v/>
      </c>
      <c r="BB289" s="201">
        <f>IF(AND(ISNUMBER(BB285),ISNUMBER(BB168)),IFERROR(BB285/BB168,""),"")</f>
        <v/>
      </c>
      <c r="BC289" s="201">
        <f>IF(AND(ISNUMBER(BC285),ISNUMBER(BC168)),IFERROR(BC285/BC168,""),"")</f>
        <v/>
      </c>
      <c r="BD289" s="201">
        <f>IF(AND(ISNUMBER(BD285),ISNUMBER(BD168)),IFERROR(BD285/BD168,""),"")</f>
        <v/>
      </c>
      <c r="BE289" s="201">
        <f>IF(AND(ISNUMBER(BE285),ISNUMBER(BE168)),IFERROR(BE285/BE168,""),"")</f>
        <v/>
      </c>
      <c r="BF289" s="201">
        <f>IF(AND(ISNUMBER(BF285),ISNUMBER(BF168)),IFERROR(BF285/BF168,""),"")</f>
        <v/>
      </c>
      <c r="BG289" s="201">
        <f>IF(AND(ISNUMBER(BG285),ISNUMBER(BG168)),IFERROR(BG285/BG168,""),"")</f>
        <v/>
      </c>
      <c r="BH289" s="201">
        <f>IF(AND(ISNUMBER(BH285),ISNUMBER(BH168)),IFERROR(BH285/BH168,""),"")</f>
        <v/>
      </c>
      <c r="BI289" s="201">
        <f>IF(AND(ISNUMBER(BI285),ISNUMBER(BI168)),IFERROR(BI285/BI168,""),"")</f>
        <v/>
      </c>
      <c r="BJ289" s="201">
        <f>IF(AND(ISNUMBER(BJ285),ISNUMBER(BJ168)),IFERROR(BJ285/BJ168,""),"")</f>
        <v/>
      </c>
      <c r="BK289" s="201">
        <f>IF(AND(ISNUMBER(BK285),ISNUMBER(BK168)),IFERROR(BK285/BK168,""),"")</f>
        <v/>
      </c>
      <c r="BL289" s="201">
        <f>IF(AND(ISNUMBER(BL285),ISNUMBER(BL168)),IFERROR(BL285/BL168,""),"")</f>
        <v/>
      </c>
      <c r="BM289" s="201">
        <f>IF(AND(ISNUMBER(BM285),ISNUMBER(BM168)),IFERROR(BM285/BM168,""),"")</f>
        <v/>
      </c>
      <c r="BN289" s="201">
        <f>IF(AND(ISNUMBER(BN285),ISNUMBER(BN168)),IFERROR(BN285/BN168,""),"")</f>
        <v/>
      </c>
      <c r="BO289" s="201">
        <f>IF(AND(ISNUMBER(BO285),ISNUMBER(BO168)),IFERROR(BO285/BO168,""),"")</f>
        <v/>
      </c>
      <c r="BP289" s="201">
        <f>IF(AND(ISNUMBER(BP285),ISNUMBER(BP168)),IFERROR(BP285/BP168,""),"")</f>
        <v/>
      </c>
      <c r="BQ289" s="201">
        <f>IF(AND(ISNUMBER(BQ285),ISNUMBER(BQ168)),IFERROR(BQ285/BQ168,""),"")</f>
        <v/>
      </c>
      <c r="BR289" s="201">
        <f>IF(AND(ISNUMBER(BR285),ISNUMBER(BR168)),IFERROR(BR285/BR168,""),"")</f>
        <v/>
      </c>
      <c r="BS289" s="201">
        <f>IF(AND(ISNUMBER(BS285),ISNUMBER(BS168)),IFERROR(BS285/BS168,""),"")</f>
        <v/>
      </c>
      <c r="BT289" s="201">
        <f>IF(AND(ISNUMBER(BT285),ISNUMBER(BT168)),IFERROR(BT285/BT168,""),"")</f>
        <v/>
      </c>
      <c r="BU289" s="201">
        <f>IF(AND(ISNUMBER(BU285),ISNUMBER(BU168)),IFERROR(BU285/BU168,""),"")</f>
        <v/>
      </c>
      <c r="BV289" s="201">
        <f>IF(AND(ISNUMBER(BV285),ISNUMBER(BV168)),IFERROR(BV285/BV168,""),"")</f>
        <v/>
      </c>
      <c r="BW289" s="201">
        <f>IF(AND(ISNUMBER(BW285),ISNUMBER(BW168)),IFERROR(BW285/BW168,""),"")</f>
        <v/>
      </c>
      <c r="BX289" s="201">
        <f>IF(AND(ISNUMBER(BX285),ISNUMBER(BX168)),IFERROR(BX285/BX168,""),"")</f>
        <v/>
      </c>
      <c r="BY289" s="37" t="n"/>
      <c r="BZ289" s="37" t="n"/>
      <c r="CA289" s="202">
        <f>IF(AND(ISNUMBER(CA285),ISNUMBER(CA168)),IFERROR(CA285/CA168,""),"")</f>
        <v/>
      </c>
      <c r="CB289" s="202">
        <f>IF(AND(ISNUMBER(CB285),ISNUMBER(CB168)),IFERROR(CB285/CB168,""),"")</f>
        <v/>
      </c>
      <c r="CC289" s="202">
        <f>IF(AND(ISNUMBER(CC285),ISNUMBER(CC168)),IFERROR(CC285/CC168,""),"")</f>
        <v/>
      </c>
      <c r="CD289" s="202">
        <f>IF(AND(ISNUMBER(CD285),ISNUMBER(CD168)),IFERROR(CD285/CD168,""),"")</f>
        <v/>
      </c>
      <c r="CE289" s="202">
        <f>IF(AND(ISNUMBER(CE285),ISNUMBER(CE168)),IFERROR(CE285/CE168,""),"")</f>
        <v/>
      </c>
      <c r="CF289" s="20" t="n"/>
      <c r="CH289" s="21">
        <f>IFERROR((CE289/BV289)^(1/5)-1,"n/m")</f>
        <v/>
      </c>
      <c r="CI289" s="21">
        <f>IFERROR((BV289/AW289)^(1/5)-1,"n/m")</f>
        <v/>
      </c>
      <c r="CJ289" s="21">
        <f>IFERROR((BV289/X289)^(1/10)-1,"n/m")</f>
        <v/>
      </c>
      <c r="CK289" s="21">
        <f>IFERROR((BV289/C289)^(1/19)-1,"n/m")</f>
        <v/>
      </c>
    </row>
    <row r="290" ht="15" customHeight="1">
      <c r="B290" s="26" t="inlineStr">
        <is>
          <t xml:space="preserve">  Operating cash flow conversion % (company: CFO ÷ (net income + D&amp;A))</t>
        </is>
      </c>
      <c r="C290" s="187">
        <f>IF(ISNUMBER(C266),IFERROR(C266/(C259+C261),""),"")</f>
        <v/>
      </c>
      <c r="D290" s="187">
        <f>IF(ISNUMBER(D266),IFERROR(D266/(D259+D261),""),"")</f>
        <v/>
      </c>
      <c r="E290" s="187">
        <f>IF(ISNUMBER(E266),IFERROR(E266/(E259+E261),""),"")</f>
        <v/>
      </c>
      <c r="F290" s="187">
        <f>IF(ISNUMBER(F266),IFERROR(F266/(F259+F261),""),"")</f>
        <v/>
      </c>
      <c r="G290" s="187">
        <f>IF(ISNUMBER(G266),IFERROR(G266/(G259+G261),""),"")</f>
        <v/>
      </c>
      <c r="H290" s="187">
        <f>IF(ISNUMBER(H266),IFERROR(H266/(H259+H261),""),"")</f>
        <v/>
      </c>
      <c r="I290" s="187">
        <f>IF(ISNUMBER(I266),IFERROR(I266/(I259+I261),""),"")</f>
        <v/>
      </c>
      <c r="J290" s="187">
        <f>IF(ISNUMBER(J266),IFERROR(J266/(J259+J261),""),"")</f>
        <v/>
      </c>
      <c r="K290" s="187">
        <f>IF(ISNUMBER(K266),IFERROR(K266/(K259+K261),""),"")</f>
        <v/>
      </c>
      <c r="L290" s="187">
        <f>IF(ISNUMBER(L266),IFERROR(L266/(L259+L261),""),"")</f>
        <v/>
      </c>
      <c r="M290" s="187">
        <f>IF(ISNUMBER(M266),IFERROR(M266/(M259+M261),""),"")</f>
        <v/>
      </c>
      <c r="N290" s="187">
        <f>IF(ISNUMBER(N266),IFERROR(N266/(N259+N261),""),"")</f>
        <v/>
      </c>
      <c r="O290" s="187">
        <f>IF(ISNUMBER(O266),IFERROR(O266/(O259+O261),""),"")</f>
        <v/>
      </c>
      <c r="P290" s="187">
        <f>IF(ISNUMBER(P266),IFERROR(P266/(P259+P261),""),"")</f>
        <v/>
      </c>
      <c r="Q290" s="187">
        <f>IF(ISNUMBER(Q266),IFERROR(Q266/(Q259+Q261),""),"")</f>
        <v/>
      </c>
      <c r="R290" s="187">
        <f>IF(ISNUMBER(R266),IFERROR(R266/(R259+R261),""),"")</f>
        <v/>
      </c>
      <c r="S290" s="187">
        <f>IF(ISNUMBER(S266),IFERROR(S266/(S259+S261),""),"")</f>
        <v/>
      </c>
      <c r="T290" s="187">
        <f>IF(ISNUMBER(T266),IFERROR(T266/(T259+T261),""),"")</f>
        <v/>
      </c>
      <c r="U290" s="187">
        <f>IF(ISNUMBER(U266),IFERROR(U266/(U259+U261),""),"")</f>
        <v/>
      </c>
      <c r="V290" s="187">
        <f>IF(ISNUMBER(V266),IFERROR(V266/(V259+V261),""),"")</f>
        <v/>
      </c>
      <c r="W290" s="187">
        <f>IF(ISNUMBER(W266),IFERROR(W266/(W259+W261),""),"")</f>
        <v/>
      </c>
      <c r="X290" s="187">
        <f>IF(ISNUMBER(X266),IFERROR(X266/(X259+X261),""),"")</f>
        <v/>
      </c>
      <c r="Y290" s="187">
        <f>IF(ISNUMBER(Y266),IFERROR(Y266/(Y259+Y261),""),"")</f>
        <v/>
      </c>
      <c r="Z290" s="187">
        <f>IF(ISNUMBER(Z266),IFERROR(Z266/(Z259+Z261),""),"")</f>
        <v/>
      </c>
      <c r="AA290" s="187">
        <f>IF(ISNUMBER(AA266),IFERROR(AA266/(AA259+AA261),""),"")</f>
        <v/>
      </c>
      <c r="AB290" s="187">
        <f>IF(ISNUMBER(AB266),IFERROR(AB266/(AB259+AB261),""),"")</f>
        <v/>
      </c>
      <c r="AC290" s="187">
        <f>IF(ISNUMBER(AC266),IFERROR(AC266/(AC259+AC261),""),"")</f>
        <v/>
      </c>
      <c r="AD290" s="187">
        <f>IF(ISNUMBER(AD266),IFERROR(AD266/(AD259+AD261),""),"")</f>
        <v/>
      </c>
      <c r="AE290" s="187">
        <f>IF(ISNUMBER(AE266),IFERROR(AE266/(AE259+AE261),""),"")</f>
        <v/>
      </c>
      <c r="AF290" s="187">
        <f>IF(ISNUMBER(AF266),IFERROR(AF266/(AF259+AF261),""),"")</f>
        <v/>
      </c>
      <c r="AG290" s="187">
        <f>IF(ISNUMBER(AG266),IFERROR(AG266/(AG259+AG261),""),"")</f>
        <v/>
      </c>
      <c r="AH290" s="187">
        <f>IF(ISNUMBER(AH266),IFERROR(AH266/(AH259+AH261),""),"")</f>
        <v/>
      </c>
      <c r="AI290" s="187">
        <f>IF(ISNUMBER(AI266),IFERROR(AI266/(AI259+AI261),""),"")</f>
        <v/>
      </c>
      <c r="AJ290" s="187">
        <f>IF(ISNUMBER(AJ266),IFERROR(AJ266/(AJ259+AJ261),""),"")</f>
        <v/>
      </c>
      <c r="AK290" s="187">
        <f>IF(ISNUMBER(AK266),IFERROR(AK266/(AK259+AK261),""),"")</f>
        <v/>
      </c>
      <c r="AL290" s="187">
        <f>IF(ISNUMBER(AL266),IFERROR(AL266/(AL259+AL261),""),"")</f>
        <v/>
      </c>
      <c r="AM290" s="187">
        <f>IF(ISNUMBER(AM266),IFERROR(AM266/(AM259+AM261),""),"")</f>
        <v/>
      </c>
      <c r="AN290" s="187">
        <f>IF(ISNUMBER(AN266),IFERROR(AN266/(AN259+AN261),""),"")</f>
        <v/>
      </c>
      <c r="AO290" s="187">
        <f>IF(ISNUMBER(AO266),IFERROR(AO266/(AO259+AO261),""),"")</f>
        <v/>
      </c>
      <c r="AP290" s="187">
        <f>IF(ISNUMBER(AP266),IFERROR(AP266/(AP259+AP261),""),"")</f>
        <v/>
      </c>
      <c r="AQ290" s="187">
        <f>IF(ISNUMBER(AQ266),IFERROR(AQ266/(AQ259+AQ261),""),"")</f>
        <v/>
      </c>
      <c r="AR290" s="187">
        <f>IF(ISNUMBER(AR266),IFERROR(AR266/(AR259+AR261),""),"")</f>
        <v/>
      </c>
      <c r="AS290" s="187">
        <f>IF(ISNUMBER(AS266),IFERROR(AS266/(AS259+AS261),""),"")</f>
        <v/>
      </c>
      <c r="AT290" s="187">
        <f>IF(ISNUMBER(AT266),IFERROR(AT266/(AT259+AT261),""),"")</f>
        <v/>
      </c>
      <c r="AU290" s="187">
        <f>IF(ISNUMBER(AU266),IFERROR(AU266/(AU259+AU261),""),"")</f>
        <v/>
      </c>
      <c r="AV290" s="187">
        <f>IF(ISNUMBER(AV266),IFERROR(AV266/(AV259+AV261),""),"")</f>
        <v/>
      </c>
      <c r="AW290" s="187">
        <f>IF(ISNUMBER(AW266),IFERROR(AW266/(AW259+AW261),""),"")</f>
        <v/>
      </c>
      <c r="AX290" s="187">
        <f>IF(ISNUMBER(AX266),IFERROR(AX266/(AX259+AX261),""),"")</f>
        <v/>
      </c>
      <c r="AY290" s="187">
        <f>IF(ISNUMBER(AY266),IFERROR(AY266/(AY259+AY261),""),"")</f>
        <v/>
      </c>
      <c r="AZ290" s="187">
        <f>IF(ISNUMBER(AZ266),IFERROR(AZ266/(AZ259+AZ261),""),"")</f>
        <v/>
      </c>
      <c r="BA290" s="187">
        <f>IF(ISNUMBER(BA266),IFERROR(BA266/(BA259+BA261),""),"")</f>
        <v/>
      </c>
      <c r="BB290" s="187">
        <f>IF(ISNUMBER(BB266),IFERROR(BB266/(BB259+BB261),""),"")</f>
        <v/>
      </c>
      <c r="BC290" s="187">
        <f>IF(ISNUMBER(BC266),IFERROR(BC266/(BC259+BC261),""),"")</f>
        <v/>
      </c>
      <c r="BD290" s="187">
        <f>IF(ISNUMBER(BD266),IFERROR(BD266/(BD259+BD261),""),"")</f>
        <v/>
      </c>
      <c r="BE290" s="187">
        <f>IF(ISNUMBER(BE266),IFERROR(BE266/(BE259+BE261),""),"")</f>
        <v/>
      </c>
      <c r="BF290" s="187">
        <f>IF(ISNUMBER(BF266),IFERROR(BF266/(BF259+BF261),""),"")</f>
        <v/>
      </c>
      <c r="BG290" s="187">
        <f>IF(ISNUMBER(BG266),IFERROR(BG266/(BG259+BG261),""),"")</f>
        <v/>
      </c>
      <c r="BH290" s="187">
        <f>IF(ISNUMBER(BH266),IFERROR(BH266/(BH259+BH261),""),"")</f>
        <v/>
      </c>
      <c r="BI290" s="187">
        <f>IF(ISNUMBER(BI266),IFERROR(BI266/(BI259+BI261),""),"")</f>
        <v/>
      </c>
      <c r="BJ290" s="187">
        <f>IF(ISNUMBER(BJ266),IFERROR(BJ266/(BJ259+BJ261),""),"")</f>
        <v/>
      </c>
      <c r="BK290" s="187">
        <f>IF(ISNUMBER(BK266),IFERROR(BK266/(BK259+BK261),""),"")</f>
        <v/>
      </c>
      <c r="BL290" s="187">
        <f>IF(ISNUMBER(BL266),IFERROR(BL266/(BL259+BL261),""),"")</f>
        <v/>
      </c>
      <c r="BM290" s="187">
        <f>IF(ISNUMBER(BM266),IFERROR(BM266/(BM259+BM261),""),"")</f>
        <v/>
      </c>
      <c r="BN290" s="187">
        <f>IF(ISNUMBER(BN266),IFERROR(BN266/(BN259+BN261),""),"")</f>
        <v/>
      </c>
      <c r="BO290" s="187">
        <f>IF(ISNUMBER(BO266),IFERROR(BO266/(BO259+BO261),""),"")</f>
        <v/>
      </c>
      <c r="BP290" s="187">
        <f>IF(ISNUMBER(BP266),IFERROR(BP266/(BP259+BP261),""),"")</f>
        <v/>
      </c>
      <c r="BQ290" s="187">
        <f>IF(ISNUMBER(BQ266),IFERROR(BQ266/(BQ259+BQ261),""),"")</f>
        <v/>
      </c>
      <c r="BR290" s="187">
        <f>IF(ISNUMBER(BR266),IFERROR(BR266/(BR259+BR261),""),"")</f>
        <v/>
      </c>
      <c r="BS290" s="187">
        <f>IF(ISNUMBER(BS266),IFERROR(BS266/(BS259+BS261),""),"")</f>
        <v/>
      </c>
      <c r="BT290" s="187">
        <f>IF(ISNUMBER(BT266),IFERROR(BT266/(BT259+BT261),""),"")</f>
        <v/>
      </c>
      <c r="BU290" s="187">
        <f>IF(ISNUMBER(BU266),IFERROR(BU266/(BU259+BU261),""),"")</f>
        <v/>
      </c>
      <c r="BV290" s="187">
        <f>IF(ISNUMBER(BV266),IFERROR(BV266/(BV259+BV261),""),"")</f>
        <v/>
      </c>
      <c r="BW290" s="187">
        <f>IF(ISNUMBER(BW266),IFERROR(BW266/(BW259+BW261),""),"")</f>
        <v/>
      </c>
      <c r="BX290" s="187">
        <f>IF(ISNUMBER(BX266),IFERROR(BX266/(BX259+BX261),""),"")</f>
        <v/>
      </c>
      <c r="BY290" s="25" t="n"/>
      <c r="BZ290" s="25" t="n"/>
      <c r="CA290" s="180">
        <f>IF(ISNUMBER(CA266),IFERROR(CA266/(CA259+CA261),""),"")</f>
        <v/>
      </c>
      <c r="CB290" s="180">
        <f>IF(ISNUMBER(CB266),IFERROR(CB266/(CB259+CB261),""),"")</f>
        <v/>
      </c>
      <c r="CC290" s="180">
        <f>IF(ISNUMBER(CC266),IFERROR(CC266/(CC259+CC261),""),"")</f>
        <v/>
      </c>
      <c r="CD290" s="180">
        <f>IF(ISNUMBER(CD266),IFERROR(CD266/(CD259+CD261),""),"")</f>
        <v/>
      </c>
      <c r="CE290" s="180">
        <f>IF(ISNUMBER(CE266),IFERROR(CE266/(CE259+CE261),""),"")</f>
        <v/>
      </c>
      <c r="CF290" s="6" t="n"/>
      <c r="CH290" s="39">
        <f>IFERROR(AVERAGE(CA290,CB290,CC290,CD290,CE290),"n/m")</f>
        <v/>
      </c>
      <c r="CI290" s="39">
        <f>IFERROR(AVERAGE(BB290,BG290,BL290,BQ290,BV290),"n/m")</f>
        <v/>
      </c>
      <c r="CJ290" s="39">
        <f>IFERROR(AVERAGE(AC290,AH290,AM290,AR290,AW290,BB290,BG290,BL290,BQ290,BV290),"n/m")</f>
        <v/>
      </c>
      <c r="CK290" s="39">
        <f>IFERROR(AVERAGE(C290,D290,E290,F290,G290,H290,I290,N290,S290,X290,AC290,AH290,AM290,AR290,AW290,BB290,BG290,BL290,BQ290,BV290),"n/m")</f>
        <v/>
      </c>
    </row>
    <row r="291" ht="15" customHeight="1">
      <c r="B291" s="26" t="inlineStr">
        <is>
          <t>Capex ratios</t>
        </is>
      </c>
      <c r="CF291" s="6" t="n"/>
    </row>
    <row r="292" ht="15" customHeight="1">
      <c r="B292" s="26" t="inlineStr">
        <is>
          <t xml:space="preserve">  Capex % of net sales</t>
        </is>
      </c>
      <c r="C292" s="187">
        <f>IF(ISNUMBER(C267),IFERROR(-C267/C142,""),"")</f>
        <v/>
      </c>
      <c r="D292" s="187">
        <f>IF(ISNUMBER(D267),IFERROR(-D267/D142,""),"")</f>
        <v/>
      </c>
      <c r="E292" s="187">
        <f>IF(ISNUMBER(E267),IFERROR(-E267/E142,""),"")</f>
        <v/>
      </c>
      <c r="F292" s="187">
        <f>IF(ISNUMBER(F267),IFERROR(-F267/F142,""),"")</f>
        <v/>
      </c>
      <c r="G292" s="187">
        <f>IF(ISNUMBER(G267),IFERROR(-G267/G142,""),"")</f>
        <v/>
      </c>
      <c r="H292" s="187">
        <f>IF(ISNUMBER(H267),IFERROR(-H267/H142,""),"")</f>
        <v/>
      </c>
      <c r="I292" s="187">
        <f>IF(ISNUMBER(I267),IFERROR(-I267/I142,""),"")</f>
        <v/>
      </c>
      <c r="J292" s="187">
        <f>IF(ISNUMBER(J267),IFERROR(-J267/J142,""),"")</f>
        <v/>
      </c>
      <c r="K292" s="187">
        <f>IF(ISNUMBER(K267),IFERROR(-K267/K142,""),"")</f>
        <v/>
      </c>
      <c r="L292" s="187">
        <f>IF(ISNUMBER(L267),IFERROR(-L267/L142,""),"")</f>
        <v/>
      </c>
      <c r="M292" s="187">
        <f>IF(ISNUMBER(M267),IFERROR(-M267/M142,""),"")</f>
        <v/>
      </c>
      <c r="N292" s="187">
        <f>IF(ISNUMBER(N267),IFERROR(-N267/N142,""),"")</f>
        <v/>
      </c>
      <c r="O292" s="187">
        <f>IF(ISNUMBER(O267),IFERROR(-O267/O142,""),"")</f>
        <v/>
      </c>
      <c r="P292" s="187">
        <f>IF(ISNUMBER(P267),IFERROR(-P267/P142,""),"")</f>
        <v/>
      </c>
      <c r="Q292" s="187">
        <f>IF(ISNUMBER(Q267),IFERROR(-Q267/Q142,""),"")</f>
        <v/>
      </c>
      <c r="R292" s="187">
        <f>IF(ISNUMBER(R267),IFERROR(-R267/R142,""),"")</f>
        <v/>
      </c>
      <c r="S292" s="187">
        <f>IF(ISNUMBER(S267),IFERROR(-S267/S142,""),"")</f>
        <v/>
      </c>
      <c r="T292" s="187">
        <f>IF(ISNUMBER(T267),IFERROR(-T267/T142,""),"")</f>
        <v/>
      </c>
      <c r="U292" s="187">
        <f>IF(ISNUMBER(U267),IFERROR(-U267/U142,""),"")</f>
        <v/>
      </c>
      <c r="V292" s="187">
        <f>IF(ISNUMBER(V267),IFERROR(-V267/V142,""),"")</f>
        <v/>
      </c>
      <c r="W292" s="187">
        <f>IF(ISNUMBER(W267),IFERROR(-W267/W142,""),"")</f>
        <v/>
      </c>
      <c r="X292" s="187">
        <f>IF(ISNUMBER(X267),IFERROR(-X267/X142,""),"")</f>
        <v/>
      </c>
      <c r="Y292" s="187">
        <f>IF(ISNUMBER(Y267),IFERROR(-Y267/Y142,""),"")</f>
        <v/>
      </c>
      <c r="Z292" s="187">
        <f>IF(ISNUMBER(Z267),IFERROR(-Z267/Z142,""),"")</f>
        <v/>
      </c>
      <c r="AA292" s="187">
        <f>IF(ISNUMBER(AA267),IFERROR(-AA267/AA142,""),"")</f>
        <v/>
      </c>
      <c r="AB292" s="187">
        <f>IF(ISNUMBER(AB267),IFERROR(-AB267/AB142,""),"")</f>
        <v/>
      </c>
      <c r="AC292" s="187">
        <f>IF(ISNUMBER(AC267),IFERROR(-AC267/AC142,""),"")</f>
        <v/>
      </c>
      <c r="AD292" s="187">
        <f>IF(ISNUMBER(AD267),IFERROR(-AD267/AD142,""),"")</f>
        <v/>
      </c>
      <c r="AE292" s="187">
        <f>IF(ISNUMBER(AE267),IFERROR(-AE267/AE142,""),"")</f>
        <v/>
      </c>
      <c r="AF292" s="187">
        <f>IF(ISNUMBER(AF267),IFERROR(-AF267/AF142,""),"")</f>
        <v/>
      </c>
      <c r="AG292" s="187">
        <f>IF(ISNUMBER(AG267),IFERROR(-AG267/AG142,""),"")</f>
        <v/>
      </c>
      <c r="AH292" s="187">
        <f>IF(ISNUMBER(AH267),IFERROR(-AH267/AH142,""),"")</f>
        <v/>
      </c>
      <c r="AI292" s="187">
        <f>IF(ISNUMBER(AI267),IFERROR(-AI267/AI142,""),"")</f>
        <v/>
      </c>
      <c r="AJ292" s="187">
        <f>IF(ISNUMBER(AJ267),IFERROR(-AJ267/AJ142,""),"")</f>
        <v/>
      </c>
      <c r="AK292" s="187">
        <f>IF(ISNUMBER(AK267),IFERROR(-AK267/AK142,""),"")</f>
        <v/>
      </c>
      <c r="AL292" s="187">
        <f>IF(ISNUMBER(AL267),IFERROR(-AL267/AL142,""),"")</f>
        <v/>
      </c>
      <c r="AM292" s="187">
        <f>IF(ISNUMBER(AM267),IFERROR(-AM267/AM142,""),"")</f>
        <v/>
      </c>
      <c r="AN292" s="187">
        <f>IF(ISNUMBER(AN267),IFERROR(-AN267/AN142,""),"")</f>
        <v/>
      </c>
      <c r="AO292" s="187">
        <f>IF(ISNUMBER(AO267),IFERROR(-AO267/AO142,""),"")</f>
        <v/>
      </c>
      <c r="AP292" s="187">
        <f>IF(ISNUMBER(AP267),IFERROR(-AP267/AP142,""),"")</f>
        <v/>
      </c>
      <c r="AQ292" s="187">
        <f>IF(ISNUMBER(AQ267),IFERROR(-AQ267/AQ142,""),"")</f>
        <v/>
      </c>
      <c r="AR292" s="187">
        <f>IF(ISNUMBER(AR267),IFERROR(-AR267/AR142,""),"")</f>
        <v/>
      </c>
      <c r="AS292" s="187">
        <f>IF(ISNUMBER(AS267),IFERROR(-AS267/AS142,""),"")</f>
        <v/>
      </c>
      <c r="AT292" s="187">
        <f>IF(ISNUMBER(AT267),IFERROR(-AT267/AT142,""),"")</f>
        <v/>
      </c>
      <c r="AU292" s="187">
        <f>IF(ISNUMBER(AU267),IFERROR(-AU267/AU142,""),"")</f>
        <v/>
      </c>
      <c r="AV292" s="187">
        <f>IF(ISNUMBER(AV267),IFERROR(-AV267/AV142,""),"")</f>
        <v/>
      </c>
      <c r="AW292" s="187">
        <f>IF(ISNUMBER(AW267),IFERROR(-AW267/AW142,""),"")</f>
        <v/>
      </c>
      <c r="AX292" s="187">
        <f>IF(ISNUMBER(AX267),IFERROR(-AX267/AX142,""),"")</f>
        <v/>
      </c>
      <c r="AY292" s="187">
        <f>IF(ISNUMBER(AY267),IFERROR(-AY267/AY142,""),"")</f>
        <v/>
      </c>
      <c r="AZ292" s="187">
        <f>IF(ISNUMBER(AZ267),IFERROR(-AZ267/AZ142,""),"")</f>
        <v/>
      </c>
      <c r="BA292" s="187">
        <f>IF(ISNUMBER(BA267),IFERROR(-BA267/BA142,""),"")</f>
        <v/>
      </c>
      <c r="BB292" s="187">
        <f>IF(ISNUMBER(BB267),IFERROR(-BB267/BB142,""),"")</f>
        <v/>
      </c>
      <c r="BC292" s="187">
        <f>IF(ISNUMBER(BC267),IFERROR(-BC267/BC142,""),"")</f>
        <v/>
      </c>
      <c r="BD292" s="187">
        <f>IF(ISNUMBER(BD267),IFERROR(-BD267/BD142,""),"")</f>
        <v/>
      </c>
      <c r="BE292" s="187">
        <f>IF(ISNUMBER(BE267),IFERROR(-BE267/BE142,""),"")</f>
        <v/>
      </c>
      <c r="BF292" s="187">
        <f>IF(ISNUMBER(BF267),IFERROR(-BF267/BF142,""),"")</f>
        <v/>
      </c>
      <c r="BG292" s="187">
        <f>IF(ISNUMBER(BG267),IFERROR(-BG267/BG142,""),"")</f>
        <v/>
      </c>
      <c r="BH292" s="187">
        <f>IF(ISNUMBER(BH267),IFERROR(-BH267/BH142,""),"")</f>
        <v/>
      </c>
      <c r="BI292" s="187">
        <f>IF(ISNUMBER(BI267),IFERROR(-BI267/BI142,""),"")</f>
        <v/>
      </c>
      <c r="BJ292" s="187">
        <f>IF(ISNUMBER(BJ267),IFERROR(-BJ267/BJ142,""),"")</f>
        <v/>
      </c>
      <c r="BK292" s="187">
        <f>IF(ISNUMBER(BK267),IFERROR(-BK267/BK142,""),"")</f>
        <v/>
      </c>
      <c r="BL292" s="187">
        <f>IF(ISNUMBER(BL267),IFERROR(-BL267/BL142,""),"")</f>
        <v/>
      </c>
      <c r="BM292" s="187">
        <f>IF(ISNUMBER(BM267),IFERROR(-BM267/BM142,""),"")</f>
        <v/>
      </c>
      <c r="BN292" s="187">
        <f>IF(ISNUMBER(BN267),IFERROR(-BN267/BN142,""),"")</f>
        <v/>
      </c>
      <c r="BO292" s="187">
        <f>IF(ISNUMBER(BO267),IFERROR(-BO267/BO142,""),"")</f>
        <v/>
      </c>
      <c r="BP292" s="187">
        <f>IF(ISNUMBER(BP267),IFERROR(-BP267/BP142,""),"")</f>
        <v/>
      </c>
      <c r="BQ292" s="187">
        <f>IF(ISNUMBER(BQ267),IFERROR(-BQ267/BQ142,""),"")</f>
        <v/>
      </c>
      <c r="BR292" s="187">
        <f>IF(ISNUMBER(BR267),IFERROR(-BR267/BR142,""),"")</f>
        <v/>
      </c>
      <c r="BS292" s="187">
        <f>IF(ISNUMBER(BS267),IFERROR(-BS267/BS142,""),"")</f>
        <v/>
      </c>
      <c r="BT292" s="187">
        <f>IF(ISNUMBER(BT267),IFERROR(-BT267/BT142,""),"")</f>
        <v/>
      </c>
      <c r="BU292" s="187">
        <f>IF(ISNUMBER(BU267),IFERROR(-BU267/BU142,""),"")</f>
        <v/>
      </c>
      <c r="BV292" s="187">
        <f>IF(ISNUMBER(BV267),IFERROR(-BV267/BV142,""),"")</f>
        <v/>
      </c>
      <c r="BW292" s="187">
        <f>IF(ISNUMBER(BW267),IFERROR(-BW267/BW142,""),"")</f>
        <v/>
      </c>
      <c r="BX292" s="187">
        <f>IF(ISNUMBER(BX267),IFERROR(-BX267/BX142,""),"")</f>
        <v/>
      </c>
      <c r="BY292" s="25" t="n"/>
      <c r="BZ292" s="25" t="n"/>
      <c r="CA292" s="180">
        <f>IF(ISNUMBER(CA267),IFERROR(-CA267/CA142,""),"")</f>
        <v/>
      </c>
      <c r="CB292" s="181" t="n">
        <v>0.02</v>
      </c>
      <c r="CC292" s="181" t="n">
        <v>0.02</v>
      </c>
      <c r="CD292" s="181" t="n">
        <v>0.02</v>
      </c>
      <c r="CE292" s="181" t="n">
        <v>0.02</v>
      </c>
      <c r="CF292" s="6" t="inlineStr">
        <is>
          <t>2027E+: input (FY26 guidance ~2% of sales; 2019–25 1.5–2.5%).</t>
        </is>
      </c>
      <c r="CH292" s="39">
        <f>IFERROR(AVERAGE(CA292,CB292,CC292,CD292,CE292),"n/m")</f>
        <v/>
      </c>
      <c r="CI292" s="39">
        <f>IFERROR(AVERAGE(BB292,BG292,BL292,BQ292,BV292),"n/m")</f>
        <v/>
      </c>
      <c r="CJ292" s="39">
        <f>IFERROR(AVERAGE(AC292,AH292,AM292,AR292,AW292,BB292,BG292,BL292,BQ292,BV292),"n/m")</f>
        <v/>
      </c>
      <c r="CK292" s="39">
        <f>IFERROR(AVERAGE(C292,D292,E292,F292,G292,H292,I292,N292,S292,X292,AC292,AH292,AM292,AR292,AW292,BB292,BG292,BL292,BQ292,BV292),"n/m")</f>
        <v/>
      </c>
    </row>
    <row r="293" ht="15" customHeight="1">
      <c r="B293" s="26" t="inlineStr">
        <is>
          <t xml:space="preserve">  Capex / depreciation (x)</t>
        </is>
      </c>
      <c r="C293" s="176">
        <f>IF(ISNUMBER(C267),IFERROR(-C267/C134,""),"")</f>
        <v/>
      </c>
      <c r="D293" s="176">
        <f>IF(ISNUMBER(D267),IFERROR(-D267/D134,""),"")</f>
        <v/>
      </c>
      <c r="E293" s="176">
        <f>IF(ISNUMBER(E267),IFERROR(-E267/E134,""),"")</f>
        <v/>
      </c>
      <c r="F293" s="176">
        <f>IF(ISNUMBER(F267),IFERROR(-F267/F134,""),"")</f>
        <v/>
      </c>
      <c r="G293" s="176">
        <f>IF(ISNUMBER(G267),IFERROR(-G267/G134,""),"")</f>
        <v/>
      </c>
      <c r="H293" s="176">
        <f>IF(ISNUMBER(H267),IFERROR(-H267/H134,""),"")</f>
        <v/>
      </c>
      <c r="I293" s="176">
        <f>IF(ISNUMBER(I267),IFERROR(-I267/I134,""),"")</f>
        <v/>
      </c>
      <c r="J293" s="176">
        <f>IF(ISNUMBER(J267),IFERROR(-J267/J134,""),"")</f>
        <v/>
      </c>
      <c r="K293" s="176">
        <f>IF(ISNUMBER(K267),IFERROR(-K267/K134,""),"")</f>
        <v/>
      </c>
      <c r="L293" s="176">
        <f>IF(ISNUMBER(L267),IFERROR(-L267/L134,""),"")</f>
        <v/>
      </c>
      <c r="M293" s="176">
        <f>IF(ISNUMBER(M267),IFERROR(-M267/M134,""),"")</f>
        <v/>
      </c>
      <c r="N293" s="176">
        <f>IF(ISNUMBER(N267),IFERROR(-N267/N134,""),"")</f>
        <v/>
      </c>
      <c r="O293" s="176">
        <f>IF(ISNUMBER(O267),IFERROR(-O267/O134,""),"")</f>
        <v/>
      </c>
      <c r="P293" s="176">
        <f>IF(ISNUMBER(P267),IFERROR(-P267/P134,""),"")</f>
        <v/>
      </c>
      <c r="Q293" s="176">
        <f>IF(ISNUMBER(Q267),IFERROR(-Q267/Q134,""),"")</f>
        <v/>
      </c>
      <c r="R293" s="176">
        <f>IF(ISNUMBER(R267),IFERROR(-R267/R134,""),"")</f>
        <v/>
      </c>
      <c r="S293" s="176">
        <f>IF(ISNUMBER(S267),IFERROR(-S267/S134,""),"")</f>
        <v/>
      </c>
      <c r="T293" s="176">
        <f>IF(ISNUMBER(T267),IFERROR(-T267/T134,""),"")</f>
        <v/>
      </c>
      <c r="U293" s="176">
        <f>IF(ISNUMBER(U267),IFERROR(-U267/U134,""),"")</f>
        <v/>
      </c>
      <c r="V293" s="176">
        <f>IF(ISNUMBER(V267),IFERROR(-V267/V134,""),"")</f>
        <v/>
      </c>
      <c r="W293" s="176">
        <f>IF(ISNUMBER(W267),IFERROR(-W267/W134,""),"")</f>
        <v/>
      </c>
      <c r="X293" s="176">
        <f>IF(ISNUMBER(X267),IFERROR(-X267/X134,""),"")</f>
        <v/>
      </c>
      <c r="Y293" s="176">
        <f>IF(ISNUMBER(Y267),IFERROR(-Y267/Y134,""),"")</f>
        <v/>
      </c>
      <c r="Z293" s="176">
        <f>IF(ISNUMBER(Z267),IFERROR(-Z267/Z134,""),"")</f>
        <v/>
      </c>
      <c r="AA293" s="176">
        <f>IF(ISNUMBER(AA267),IFERROR(-AA267/AA134,""),"")</f>
        <v/>
      </c>
      <c r="AB293" s="176">
        <f>IF(ISNUMBER(AB267),IFERROR(-AB267/AB134,""),"")</f>
        <v/>
      </c>
      <c r="AC293" s="176">
        <f>IF(ISNUMBER(AC267),IFERROR(-AC267/AC134,""),"")</f>
        <v/>
      </c>
      <c r="AD293" s="176">
        <f>IF(ISNUMBER(AD267),IFERROR(-AD267/AD134,""),"")</f>
        <v/>
      </c>
      <c r="AE293" s="176">
        <f>IF(ISNUMBER(AE267),IFERROR(-AE267/AE134,""),"")</f>
        <v/>
      </c>
      <c r="AF293" s="176">
        <f>IF(ISNUMBER(AF267),IFERROR(-AF267/AF134,""),"")</f>
        <v/>
      </c>
      <c r="AG293" s="176">
        <f>IF(ISNUMBER(AG267),IFERROR(-AG267/AG134,""),"")</f>
        <v/>
      </c>
      <c r="AH293" s="176">
        <f>IF(ISNUMBER(AH267),IFERROR(-AH267/AH134,""),"")</f>
        <v/>
      </c>
      <c r="AI293" s="176">
        <f>IF(ISNUMBER(AI267),IFERROR(-AI267/AI134,""),"")</f>
        <v/>
      </c>
      <c r="AJ293" s="176">
        <f>IF(ISNUMBER(AJ267),IFERROR(-AJ267/AJ134,""),"")</f>
        <v/>
      </c>
      <c r="AK293" s="176">
        <f>IF(ISNUMBER(AK267),IFERROR(-AK267/AK134,""),"")</f>
        <v/>
      </c>
      <c r="AL293" s="176">
        <f>IF(ISNUMBER(AL267),IFERROR(-AL267/AL134,""),"")</f>
        <v/>
      </c>
      <c r="AM293" s="176">
        <f>IF(ISNUMBER(AM267),IFERROR(-AM267/AM134,""),"")</f>
        <v/>
      </c>
      <c r="AN293" s="176">
        <f>IF(ISNUMBER(AN267),IFERROR(-AN267/AN134,""),"")</f>
        <v/>
      </c>
      <c r="AO293" s="176">
        <f>IF(ISNUMBER(AO267),IFERROR(-AO267/AO134,""),"")</f>
        <v/>
      </c>
      <c r="AP293" s="176">
        <f>IF(ISNUMBER(AP267),IFERROR(-AP267/AP134,""),"")</f>
        <v/>
      </c>
      <c r="AQ293" s="176">
        <f>IF(ISNUMBER(AQ267),IFERROR(-AQ267/AQ134,""),"")</f>
        <v/>
      </c>
      <c r="AR293" s="176">
        <f>IF(ISNUMBER(AR267),IFERROR(-AR267/AR134,""),"")</f>
        <v/>
      </c>
      <c r="AS293" s="176">
        <f>IF(ISNUMBER(AS267),IFERROR(-AS267/AS134,""),"")</f>
        <v/>
      </c>
      <c r="AT293" s="176">
        <f>IF(ISNUMBER(AT267),IFERROR(-AT267/AT134,""),"")</f>
        <v/>
      </c>
      <c r="AU293" s="176">
        <f>IF(ISNUMBER(AU267),IFERROR(-AU267/AU134,""),"")</f>
        <v/>
      </c>
      <c r="AV293" s="176">
        <f>IF(ISNUMBER(AV267),IFERROR(-AV267/AV134,""),"")</f>
        <v/>
      </c>
      <c r="AW293" s="176">
        <f>IF(ISNUMBER(AW267),IFERROR(-AW267/AW134,""),"")</f>
        <v/>
      </c>
      <c r="AX293" s="176">
        <f>IF(ISNUMBER(AX267),IFERROR(-AX267/AX134,""),"")</f>
        <v/>
      </c>
      <c r="AY293" s="176">
        <f>IF(ISNUMBER(AY267),IFERROR(-AY267/AY134,""),"")</f>
        <v/>
      </c>
      <c r="AZ293" s="176">
        <f>IF(ISNUMBER(AZ267),IFERROR(-AZ267/AZ134,""),"")</f>
        <v/>
      </c>
      <c r="BA293" s="176">
        <f>IF(ISNUMBER(BA267),IFERROR(-BA267/BA134,""),"")</f>
        <v/>
      </c>
      <c r="BB293" s="176">
        <f>IF(ISNUMBER(BB267),IFERROR(-BB267/BB134,""),"")</f>
        <v/>
      </c>
      <c r="BC293" s="176">
        <f>IF(ISNUMBER(BC267),IFERROR(-BC267/BC134,""),"")</f>
        <v/>
      </c>
      <c r="BD293" s="176">
        <f>IF(ISNUMBER(BD267),IFERROR(-BD267/BD134,""),"")</f>
        <v/>
      </c>
      <c r="BE293" s="176">
        <f>IF(ISNUMBER(BE267),IFERROR(-BE267/BE134,""),"")</f>
        <v/>
      </c>
      <c r="BF293" s="176">
        <f>IF(ISNUMBER(BF267),IFERROR(-BF267/BF134,""),"")</f>
        <v/>
      </c>
      <c r="BG293" s="176">
        <f>IF(ISNUMBER(BG267),IFERROR(-BG267/BG134,""),"")</f>
        <v/>
      </c>
      <c r="BH293" s="176">
        <f>IF(ISNUMBER(BH267),IFERROR(-BH267/BH134,""),"")</f>
        <v/>
      </c>
      <c r="BI293" s="176">
        <f>IF(ISNUMBER(BI267),IFERROR(-BI267/BI134,""),"")</f>
        <v/>
      </c>
      <c r="BJ293" s="176">
        <f>IF(ISNUMBER(BJ267),IFERROR(-BJ267/BJ134,""),"")</f>
        <v/>
      </c>
      <c r="BK293" s="176">
        <f>IF(ISNUMBER(BK267),IFERROR(-BK267/BK134,""),"")</f>
        <v/>
      </c>
      <c r="BL293" s="176">
        <f>IF(ISNUMBER(BL267),IFERROR(-BL267/BL134,""),"")</f>
        <v/>
      </c>
      <c r="BM293" s="176">
        <f>IF(ISNUMBER(BM267),IFERROR(-BM267/BM134,""),"")</f>
        <v/>
      </c>
      <c r="BN293" s="176">
        <f>IF(ISNUMBER(BN267),IFERROR(-BN267/BN134,""),"")</f>
        <v/>
      </c>
      <c r="BO293" s="176">
        <f>IF(ISNUMBER(BO267),IFERROR(-BO267/BO134,""),"")</f>
        <v/>
      </c>
      <c r="BP293" s="176">
        <f>IF(ISNUMBER(BP267),IFERROR(-BP267/BP134,""),"")</f>
        <v/>
      </c>
      <c r="BQ293" s="176">
        <f>IF(ISNUMBER(BQ267),IFERROR(-BQ267/BQ134,""),"")</f>
        <v/>
      </c>
      <c r="BR293" s="176">
        <f>IF(ISNUMBER(BR267),IFERROR(-BR267/BR134,""),"")</f>
        <v/>
      </c>
      <c r="BS293" s="176">
        <f>IF(ISNUMBER(BS267),IFERROR(-BS267/BS134,""),"")</f>
        <v/>
      </c>
      <c r="BT293" s="176">
        <f>IF(ISNUMBER(BT267),IFERROR(-BT267/BT134,""),"")</f>
        <v/>
      </c>
      <c r="BU293" s="176">
        <f>IF(ISNUMBER(BU267),IFERROR(-BU267/BU134,""),"")</f>
        <v/>
      </c>
      <c r="BV293" s="176">
        <f>IF(ISNUMBER(BV267),IFERROR(-BV267/BV134,""),"")</f>
        <v/>
      </c>
      <c r="BW293" s="176">
        <f>IF(ISNUMBER(BW267),IFERROR(-BW267/BW134,""),"")</f>
        <v/>
      </c>
      <c r="BX293" s="176">
        <f>IF(ISNUMBER(BX267),IFERROR(-BX267/BX134,""),"")</f>
        <v/>
      </c>
      <c r="BY293" s="37" t="n"/>
      <c r="BZ293" s="37" t="n"/>
      <c r="CA293" s="206">
        <f>IF(ISNUMBER(CA267),IFERROR(-CA267/CA134,""),"")</f>
        <v/>
      </c>
      <c r="CB293" s="206">
        <f>IF(ISNUMBER(CB267),IFERROR(-CB267/CB134,""),"")</f>
        <v/>
      </c>
      <c r="CC293" s="206">
        <f>IF(ISNUMBER(CC267),IFERROR(-CC267/CC134,""),"")</f>
        <v/>
      </c>
      <c r="CD293" s="206">
        <f>IF(ISNUMBER(CD267),IFERROR(-CD267/CD134,""),"")</f>
        <v/>
      </c>
      <c r="CE293" s="206">
        <f>IF(ISNUMBER(CE267),IFERROR(-CE267/CE134,""),"")</f>
        <v/>
      </c>
      <c r="CF293" s="20" t="n"/>
    </row>
    <row r="294" ht="15" customHeight="1"/>
    <row r="295" ht="15" customHeight="1">
      <c r="B295" s="11" t="inlineStr">
        <is>
          <t>SHARE BUYBACK SCHEDULE</t>
        </is>
      </c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  <c r="AG295" s="11" t="n"/>
      <c r="AH295" s="11" t="n"/>
      <c r="AI295" s="11" t="n"/>
      <c r="AJ295" s="11" t="n"/>
      <c r="AK295" s="11" t="n"/>
      <c r="AL295" s="11" t="n"/>
      <c r="AM295" s="11" t="n"/>
      <c r="AN295" s="11" t="n"/>
      <c r="AO295" s="11" t="n"/>
      <c r="AP295" s="11" t="n"/>
      <c r="AQ295" s="11" t="n"/>
      <c r="AR295" s="11" t="n"/>
      <c r="AS295" s="11" t="n"/>
      <c r="AT295" s="11" t="n"/>
      <c r="AU295" s="11" t="n"/>
      <c r="AV295" s="11" t="n"/>
      <c r="AW295" s="11" t="n"/>
      <c r="AX295" s="11" t="n"/>
      <c r="AY295" s="11" t="n"/>
      <c r="AZ295" s="11" t="n"/>
      <c r="BA295" s="11" t="n"/>
      <c r="BB295" s="11" t="n"/>
      <c r="BC295" s="11" t="n"/>
      <c r="BD295" s="11" t="n"/>
      <c r="BE295" s="11" t="n"/>
      <c r="BF295" s="11" t="n"/>
      <c r="BG295" s="11" t="n"/>
      <c r="BH295" s="11" t="n"/>
      <c r="BI295" s="11" t="n"/>
      <c r="BJ295" s="11" t="n"/>
      <c r="BK295" s="11" t="n"/>
      <c r="BL295" s="11" t="n"/>
      <c r="BM295" s="11" t="n"/>
      <c r="BN295" s="11" t="n"/>
      <c r="BO295" s="11" t="n"/>
      <c r="BP295" s="11" t="n"/>
      <c r="BQ295" s="11" t="n"/>
      <c r="BR295" s="11" t="n"/>
      <c r="BS295" s="11" t="n"/>
      <c r="BT295" s="11" t="n"/>
      <c r="BU295" s="11" t="n"/>
      <c r="BV295" s="11" t="n"/>
      <c r="BW295" s="11" t="n"/>
      <c r="BX295" s="11" t="n"/>
      <c r="BY295" s="11" t="n"/>
      <c r="BZ295" s="11" t="n"/>
      <c r="CA295" s="11" t="n"/>
      <c r="CB295" s="11" t="n"/>
      <c r="CC295" s="11" t="n"/>
      <c r="CD295" s="11" t="n"/>
      <c r="CE295" s="11" t="n"/>
      <c r="CF295" s="11" t="inlineStr">
        <is>
          <t>SHARES — 2026E starts from shares outstanding at 30-Jun-2026; 2H/26 buyback per scenario</t>
        </is>
      </c>
    </row>
    <row r="296" ht="15" customHeight="1">
      <c r="B296" s="26" t="inlineStr">
        <is>
          <t xml:space="preserve">  Avg buyback price ($)</t>
        </is>
      </c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  <c r="AU296" s="36" t="n"/>
      <c r="AV296" s="36" t="n"/>
      <c r="AW296" s="36" t="n"/>
      <c r="AX296" s="36" t="n"/>
      <c r="AY296" s="36" t="n"/>
      <c r="AZ296" s="36" t="n"/>
      <c r="BA296" s="36" t="n"/>
      <c r="BB296" s="36" t="n"/>
      <c r="BC296" s="36" t="n"/>
      <c r="BD296" s="36" t="n"/>
      <c r="BE296" s="36" t="n"/>
      <c r="BF296" s="36" t="n"/>
      <c r="BG296" s="36" t="n"/>
      <c r="BH296" s="36" t="n"/>
      <c r="BI296" s="36" t="n"/>
      <c r="BJ296" s="36" t="n"/>
      <c r="BK296" s="36" t="n"/>
      <c r="BL296" s="36" t="n"/>
      <c r="BM296" s="36" t="n"/>
      <c r="BN296" s="36" t="n"/>
      <c r="BO296" s="36" t="n"/>
      <c r="BP296" s="36" t="n"/>
      <c r="BQ296" s="36" t="n"/>
      <c r="BR296" s="36" t="n"/>
      <c r="BS296" s="36" t="n"/>
      <c r="BT296" s="36" t="n"/>
      <c r="BU296" s="36" t="n"/>
      <c r="BV296" s="36" t="n"/>
      <c r="BW296" s="36" t="n"/>
      <c r="BX296" s="36" t="n"/>
      <c r="BY296" s="37" t="n"/>
      <c r="BZ296" s="37" t="n"/>
      <c r="CA296" s="207">
        <f>CA431</f>
        <v/>
      </c>
      <c r="CB296" s="207">
        <f>CA296*(1+CB378)</f>
        <v/>
      </c>
      <c r="CC296" s="207">
        <f>CB296*(1+CC378)</f>
        <v/>
      </c>
      <c r="CD296" s="207">
        <f>CC296*(1+CD378)</f>
        <v/>
      </c>
      <c r="CE296" s="207">
        <f>CD296*(1+CE378)</f>
        <v/>
      </c>
      <c r="CF296" s="20" t="inlineStr">
        <is>
          <t>2026E = current share price (valuation input); appreciates with the share-price input.</t>
        </is>
      </c>
    </row>
    <row r="297" ht="15" customHeight="1">
      <c r="B297" s="26" t="inlineStr">
        <is>
          <t xml:space="preserve">  Buyback cash deployed (USDm)</t>
        </is>
      </c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  <c r="AU297" s="36" t="n"/>
      <c r="AV297" s="36" t="n"/>
      <c r="AW297" s="36" t="n"/>
      <c r="AX297" s="36" t="n"/>
      <c r="AY297" s="36" t="n"/>
      <c r="AZ297" s="36" t="n"/>
      <c r="BA297" s="36" t="n"/>
      <c r="BB297" s="36" t="n"/>
      <c r="BC297" s="36" t="n"/>
      <c r="BD297" s="36" t="n"/>
      <c r="BE297" s="36" t="n"/>
      <c r="BF297" s="36" t="n"/>
      <c r="BG297" s="36" t="n"/>
      <c r="BH297" s="36" t="n"/>
      <c r="BI297" s="36" t="n"/>
      <c r="BJ297" s="36" t="n"/>
      <c r="BK297" s="36" t="n"/>
      <c r="BL297" s="36" t="n"/>
      <c r="BM297" s="36" t="n"/>
      <c r="BN297" s="36" t="n"/>
      <c r="BO297" s="36" t="n"/>
      <c r="BP297" s="36" t="n"/>
      <c r="BQ297" s="36" t="n"/>
      <c r="BR297" s="36" t="n"/>
      <c r="BS297" s="36" t="n"/>
      <c r="BT297" s="36" t="n"/>
      <c r="BU297" s="36" t="n"/>
      <c r="BV297" s="36" t="n"/>
      <c r="BW297" s="36" t="n"/>
      <c r="BX297" s="36" t="n"/>
      <c r="BY297" s="37" t="n"/>
      <c r="BZ297" s="37" t="n"/>
      <c r="CA297" s="178">
        <f>CHOOSE(MATCH($CF$2,{"Bull","Base","Bear"},0),$CO$14,$CP$14,$CQ$14)</f>
        <v/>
      </c>
      <c r="CB297" s="178">
        <f>-CB275</f>
        <v/>
      </c>
      <c r="CC297" s="178">
        <f>-CC275</f>
        <v/>
      </c>
      <c r="CD297" s="178">
        <f>-CD275</f>
        <v/>
      </c>
      <c r="CE297" s="178">
        <f>-CE275</f>
        <v/>
      </c>
      <c r="CF297" s="20" t="inlineStr">
        <is>
          <t>2026E row = 2H/26 buyback only (1H/26 repurchases already in the Q1/Q2 share counts).</t>
        </is>
      </c>
    </row>
    <row r="298" ht="15" customHeight="1">
      <c r="B298" s="26" t="inlineStr">
        <is>
          <t xml:space="preserve">  Implied shares repurchased (m)</t>
        </is>
      </c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  <c r="AU298" s="36" t="n"/>
      <c r="AV298" s="36" t="n"/>
      <c r="AW298" s="36" t="n"/>
      <c r="AX298" s="36" t="n"/>
      <c r="AY298" s="36" t="n"/>
      <c r="AZ298" s="36" t="n"/>
      <c r="BA298" s="36" t="n"/>
      <c r="BB298" s="36" t="n"/>
      <c r="BC298" s="36" t="n"/>
      <c r="BD298" s="36" t="n"/>
      <c r="BE298" s="36" t="n"/>
      <c r="BF298" s="36" t="n"/>
      <c r="BG298" s="36" t="n"/>
      <c r="BH298" s="36" t="n"/>
      <c r="BI298" s="36" t="n"/>
      <c r="BJ298" s="36" t="n"/>
      <c r="BK298" s="36" t="n"/>
      <c r="BL298" s="36" t="n"/>
      <c r="BM298" s="36" t="n"/>
      <c r="BN298" s="36" t="n"/>
      <c r="BO298" s="36" t="n"/>
      <c r="BP298" s="36" t="n"/>
      <c r="BQ298" s="36" t="n"/>
      <c r="BR298" s="36" t="n"/>
      <c r="BS298" s="36" t="n"/>
      <c r="BT298" s="36" t="n"/>
      <c r="BU298" s="36" t="n"/>
      <c r="BV298" s="36" t="n"/>
      <c r="BW298" s="36" t="n"/>
      <c r="BX298" s="36" t="n"/>
      <c r="BY298" s="37" t="n"/>
      <c r="BZ298" s="37" t="n"/>
      <c r="CA298" s="207">
        <f>IFERROR(CA297/CA296,0)</f>
        <v/>
      </c>
      <c r="CB298" s="207">
        <f>IFERROR(CB297/CB296,0)</f>
        <v/>
      </c>
      <c r="CC298" s="207">
        <f>IFERROR(CC297/CC296,0)</f>
        <v/>
      </c>
      <c r="CD298" s="207">
        <f>IFERROR(CD297/CD296,0)</f>
        <v/>
      </c>
      <c r="CE298" s="207">
        <f>IFERROR(CE297/CE296,0)</f>
        <v/>
      </c>
      <c r="CF298" s="20" t="n"/>
    </row>
    <row r="299" ht="15" customHeight="1">
      <c r="B299" s="26" t="inlineStr">
        <is>
          <t xml:space="preserve">  Shares issued under equity plans (m)</t>
        </is>
      </c>
      <c r="C299" s="38" t="n"/>
      <c r="D299" s="38" t="n"/>
      <c r="E299" s="38" t="n"/>
      <c r="F299" s="38" t="n"/>
      <c r="G299" s="38" t="n"/>
      <c r="H299" s="38" t="n"/>
      <c r="I299" s="38" t="n"/>
      <c r="J299" s="38" t="n"/>
      <c r="K299" s="38" t="n"/>
      <c r="L299" s="38" t="n"/>
      <c r="M299" s="38" t="n"/>
      <c r="N299" s="38" t="n"/>
      <c r="O299" s="38" t="n"/>
      <c r="P299" s="38" t="n"/>
      <c r="Q299" s="38" t="n"/>
      <c r="R299" s="38" t="n"/>
      <c r="S299" s="38" t="n"/>
      <c r="T299" s="38" t="n"/>
      <c r="U299" s="38" t="n"/>
      <c r="V299" s="38" t="n"/>
      <c r="W299" s="38" t="n"/>
      <c r="X299" s="38" t="n"/>
      <c r="Y299" s="38" t="n"/>
      <c r="Z299" s="38" t="n"/>
      <c r="AA299" s="38" t="n"/>
      <c r="AB299" s="38" t="n"/>
      <c r="AC299" s="38" t="n"/>
      <c r="AD299" s="38" t="n"/>
      <c r="AE299" s="38" t="n"/>
      <c r="AF299" s="38" t="n"/>
      <c r="AG299" s="38" t="n"/>
      <c r="AH299" s="38" t="n"/>
      <c r="AI299" s="38" t="n"/>
      <c r="AJ299" s="38" t="n"/>
      <c r="AK299" s="38" t="n"/>
      <c r="AL299" s="38" t="n"/>
      <c r="AM299" s="38" t="n"/>
      <c r="AN299" s="38" t="n"/>
      <c r="AO299" s="38" t="n"/>
      <c r="AP299" s="38" t="n"/>
      <c r="AQ299" s="38" t="n"/>
      <c r="AR299" s="38" t="n"/>
      <c r="AS299" s="38" t="n"/>
      <c r="AT299" s="38" t="n"/>
      <c r="AU299" s="38" t="n"/>
      <c r="AV299" s="38" t="n"/>
      <c r="AW299" s="38" t="n"/>
      <c r="AX299" s="38" t="n"/>
      <c r="AY299" s="38" t="n"/>
      <c r="AZ299" s="38" t="n"/>
      <c r="BA299" s="38" t="n"/>
      <c r="BB299" s="38" t="n"/>
      <c r="BC299" s="38" t="n"/>
      <c r="BD299" s="38" t="n"/>
      <c r="BE299" s="38" t="n"/>
      <c r="BF299" s="38" t="n"/>
      <c r="BG299" s="38" t="n"/>
      <c r="BH299" s="38" t="n"/>
      <c r="BI299" s="38" t="n"/>
      <c r="BJ299" s="38" t="n"/>
      <c r="BK299" s="38" t="n"/>
      <c r="BL299" s="38" t="n"/>
      <c r="BM299" s="38" t="n"/>
      <c r="BN299" s="38" t="n"/>
      <c r="BO299" s="38" t="n"/>
      <c r="BP299" s="38" t="n"/>
      <c r="BQ299" s="38" t="n"/>
      <c r="BR299" s="38" t="n"/>
      <c r="BS299" s="38" t="n"/>
      <c r="BT299" s="38" t="n"/>
      <c r="BU299" s="38" t="n"/>
      <c r="BV299" s="38" t="n"/>
      <c r="BW299" s="38" t="n"/>
      <c r="BX299" s="38" t="n"/>
      <c r="BY299" s="25" t="n"/>
      <c r="BZ299" s="25" t="n"/>
      <c r="CA299" s="208" t="n">
        <v>0.2</v>
      </c>
      <c r="CB299" s="208" t="n">
        <v>0.6</v>
      </c>
      <c r="CC299" s="208" t="n">
        <v>0.6</v>
      </c>
      <c r="CD299" s="208" t="n">
        <v>0.6</v>
      </c>
      <c r="CE299" s="208" t="n">
        <v>0.6</v>
      </c>
      <c r="CF299" s="20" t="n"/>
    </row>
    <row r="300" ht="15" customHeight="1">
      <c r="B300" s="26" t="inlineStr">
        <is>
          <t xml:space="preserve">  Beginning shares outstanding (m)</t>
        </is>
      </c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  <c r="AU300" s="36" t="n"/>
      <c r="AV300" s="36" t="n"/>
      <c r="AW300" s="36" t="n"/>
      <c r="AX300" s="36" t="n"/>
      <c r="AY300" s="36" t="n"/>
      <c r="AZ300" s="36" t="n"/>
      <c r="BA300" s="36" t="n"/>
      <c r="BB300" s="36" t="n"/>
      <c r="BC300" s="36" t="n"/>
      <c r="BD300" s="36" t="n"/>
      <c r="BE300" s="36" t="n"/>
      <c r="BF300" s="36" t="n"/>
      <c r="BG300" s="36" t="n"/>
      <c r="BH300" s="36" t="n"/>
      <c r="BI300" s="36" t="n"/>
      <c r="BJ300" s="36" t="n"/>
      <c r="BK300" s="36" t="n"/>
      <c r="BL300" s="36" t="n"/>
      <c r="BM300" s="36" t="n"/>
      <c r="BN300" s="36" t="n"/>
      <c r="BO300" s="36" t="n"/>
      <c r="BP300" s="36" t="n"/>
      <c r="BQ300" s="36" t="n"/>
      <c r="BR300" s="36" t="n"/>
      <c r="BS300" s="36" t="n"/>
      <c r="BT300" s="36" t="n"/>
      <c r="BU300" s="36" t="n"/>
      <c r="BV300" s="36" t="n"/>
      <c r="BW300" s="36" t="n"/>
      <c r="BX300" s="36" t="n"/>
      <c r="BY300" s="37" t="n"/>
      <c r="BZ300" s="37" t="n"/>
      <c r="CA300" s="200">
        <f>BX345</f>
        <v/>
      </c>
      <c r="CB300" s="200">
        <f>CA301</f>
        <v/>
      </c>
      <c r="CC300" s="200">
        <f>CB301</f>
        <v/>
      </c>
      <c r="CD300" s="200">
        <f>CC301</f>
        <v/>
      </c>
      <c r="CE300" s="200">
        <f>CD301</f>
        <v/>
      </c>
      <c r="CF300" s="20" t="inlineStr">
        <is>
          <t>2026E begins from shares outstanding at 30-Jun-2026 (10-Q).</t>
        </is>
      </c>
    </row>
    <row r="301" ht="15" customHeight="1">
      <c r="B301" s="26" t="inlineStr">
        <is>
          <t xml:space="preserve">  Ending shares outstanding (m)</t>
        </is>
      </c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  <c r="AU301" s="36" t="n"/>
      <c r="AV301" s="36" t="n"/>
      <c r="AW301" s="36" t="n"/>
      <c r="AX301" s="36" t="n"/>
      <c r="AY301" s="36" t="n"/>
      <c r="AZ301" s="36" t="n"/>
      <c r="BA301" s="36" t="n"/>
      <c r="BB301" s="36" t="n"/>
      <c r="BC301" s="36" t="n"/>
      <c r="BD301" s="36" t="n"/>
      <c r="BE301" s="36" t="n"/>
      <c r="BF301" s="36" t="n"/>
      <c r="BG301" s="36" t="n"/>
      <c r="BH301" s="36" t="n"/>
      <c r="BI301" s="36" t="n"/>
      <c r="BJ301" s="36" t="n"/>
      <c r="BK301" s="36" t="n"/>
      <c r="BL301" s="36" t="n"/>
      <c r="BM301" s="36" t="n"/>
      <c r="BN301" s="36" t="n"/>
      <c r="BO301" s="36" t="n"/>
      <c r="BP301" s="36" t="n"/>
      <c r="BQ301" s="36" t="n"/>
      <c r="BR301" s="36" t="n"/>
      <c r="BS301" s="36" t="n"/>
      <c r="BT301" s="36" t="n"/>
      <c r="BU301" s="36" t="n"/>
      <c r="BV301" s="36" t="n"/>
      <c r="BW301" s="36" t="n"/>
      <c r="BX301" s="36" t="n"/>
      <c r="BY301" s="37" t="n"/>
      <c r="BZ301" s="37" t="n"/>
      <c r="CA301" s="200">
        <f>CA300-CA298+CA299</f>
        <v/>
      </c>
      <c r="CB301" s="200">
        <f>CB300-CB298+CB299</f>
        <v/>
      </c>
      <c r="CC301" s="200">
        <f>CC300-CC298+CC299</f>
        <v/>
      </c>
      <c r="CD301" s="200">
        <f>CD300-CD298+CD299</f>
        <v/>
      </c>
      <c r="CE301" s="200">
        <f>CE300-CE298+CE299</f>
        <v/>
      </c>
      <c r="CF301" s="20" t="n"/>
    </row>
    <row r="302" ht="15" customHeight="1">
      <c r="B302" s="26" t="inlineStr">
        <is>
          <t xml:space="preserve">  % of shares repurchased</t>
        </is>
      </c>
      <c r="C302" s="38" t="n"/>
      <c r="D302" s="38" t="n"/>
      <c r="E302" s="38" t="n"/>
      <c r="F302" s="38" t="n"/>
      <c r="G302" s="38" t="n"/>
      <c r="H302" s="38" t="n"/>
      <c r="I302" s="38" t="n"/>
      <c r="J302" s="38" t="n"/>
      <c r="K302" s="38" t="n"/>
      <c r="L302" s="38" t="n"/>
      <c r="M302" s="38" t="n"/>
      <c r="N302" s="38" t="n"/>
      <c r="O302" s="38" t="n"/>
      <c r="P302" s="38" t="n"/>
      <c r="Q302" s="38" t="n"/>
      <c r="R302" s="38" t="n"/>
      <c r="S302" s="38" t="n"/>
      <c r="T302" s="38" t="n"/>
      <c r="U302" s="38" t="n"/>
      <c r="V302" s="38" t="n"/>
      <c r="W302" s="38" t="n"/>
      <c r="X302" s="38" t="n"/>
      <c r="Y302" s="38" t="n"/>
      <c r="Z302" s="38" t="n"/>
      <c r="AA302" s="38" t="n"/>
      <c r="AB302" s="38" t="n"/>
      <c r="AC302" s="38" t="n"/>
      <c r="AD302" s="38" t="n"/>
      <c r="AE302" s="38" t="n"/>
      <c r="AF302" s="38" t="n"/>
      <c r="AG302" s="38" t="n"/>
      <c r="AH302" s="38" t="n"/>
      <c r="AI302" s="38" t="n"/>
      <c r="AJ302" s="38" t="n"/>
      <c r="AK302" s="38" t="n"/>
      <c r="AL302" s="38" t="n"/>
      <c r="AM302" s="38" t="n"/>
      <c r="AN302" s="38" t="n"/>
      <c r="AO302" s="38" t="n"/>
      <c r="AP302" s="38" t="n"/>
      <c r="AQ302" s="38" t="n"/>
      <c r="AR302" s="38" t="n"/>
      <c r="AS302" s="38" t="n"/>
      <c r="AT302" s="38" t="n"/>
      <c r="AU302" s="38" t="n"/>
      <c r="AV302" s="38" t="n"/>
      <c r="AW302" s="38" t="n"/>
      <c r="AX302" s="38" t="n"/>
      <c r="AY302" s="38" t="n"/>
      <c r="AZ302" s="38" t="n"/>
      <c r="BA302" s="38" t="n"/>
      <c r="BB302" s="38" t="n"/>
      <c r="BC302" s="38" t="n"/>
      <c r="BD302" s="38" t="n"/>
      <c r="BE302" s="38" t="n"/>
      <c r="BF302" s="38" t="n"/>
      <c r="BG302" s="38" t="n"/>
      <c r="BH302" s="38" t="n"/>
      <c r="BI302" s="38" t="n"/>
      <c r="BJ302" s="38" t="n"/>
      <c r="BK302" s="38" t="n"/>
      <c r="BL302" s="38" t="n"/>
      <c r="BM302" s="38" t="n"/>
      <c r="BN302" s="38" t="n"/>
      <c r="BO302" s="38" t="n"/>
      <c r="BP302" s="38" t="n"/>
      <c r="BQ302" s="38" t="n"/>
      <c r="BR302" s="38" t="n"/>
      <c r="BS302" s="38" t="n"/>
      <c r="BT302" s="38" t="n"/>
      <c r="BU302" s="38" t="n"/>
      <c r="BV302" s="38" t="n"/>
      <c r="BW302" s="38" t="n"/>
      <c r="BX302" s="38" t="n"/>
      <c r="BY302" s="25" t="n"/>
      <c r="BZ302" s="25" t="n"/>
      <c r="CA302" s="180">
        <f>IF(AND(ISNUMBER(CA298),ISNUMBER(CA300)),IFERROR(CA298/CA300,""),"")</f>
        <v/>
      </c>
      <c r="CB302" s="180">
        <f>IF(AND(ISNUMBER(CB298),ISNUMBER(CB300)),IFERROR(CB298/CB300,""),"")</f>
        <v/>
      </c>
      <c r="CC302" s="180">
        <f>IF(AND(ISNUMBER(CC298),ISNUMBER(CC300)),IFERROR(CC298/CC300,""),"")</f>
        <v/>
      </c>
      <c r="CD302" s="180">
        <f>IF(AND(ISNUMBER(CD298),ISNUMBER(CD300)),IFERROR(CD298/CD300,""),"")</f>
        <v/>
      </c>
      <c r="CE302" s="180">
        <f>IF(AND(ISNUMBER(CE298),ISNUMBER(CE300)),IFERROR(CE298/CE300,""),"")</f>
        <v/>
      </c>
      <c r="CF302" s="6" t="n"/>
    </row>
    <row r="303" ht="15" customHeight="1">
      <c r="B303" s="42" t="inlineStr">
        <is>
          <t xml:space="preserve">  Memo: cumulative shares repurchased since 2H/26 (m)</t>
        </is>
      </c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  <c r="AU303" s="36" t="n"/>
      <c r="AV303" s="36" t="n"/>
      <c r="AW303" s="36" t="n"/>
      <c r="AX303" s="36" t="n"/>
      <c r="AY303" s="36" t="n"/>
      <c r="AZ303" s="36" t="n"/>
      <c r="BA303" s="36" t="n"/>
      <c r="BB303" s="36" t="n"/>
      <c r="BC303" s="36" t="n"/>
      <c r="BD303" s="36" t="n"/>
      <c r="BE303" s="36" t="n"/>
      <c r="BF303" s="36" t="n"/>
      <c r="BG303" s="36" t="n"/>
      <c r="BH303" s="36" t="n"/>
      <c r="BI303" s="36" t="n"/>
      <c r="BJ303" s="36" t="n"/>
      <c r="BK303" s="36" t="n"/>
      <c r="BL303" s="36" t="n"/>
      <c r="BM303" s="36" t="n"/>
      <c r="BN303" s="36" t="n"/>
      <c r="BO303" s="36" t="n"/>
      <c r="BP303" s="36" t="n"/>
      <c r="BQ303" s="36" t="n"/>
      <c r="BR303" s="36" t="n"/>
      <c r="BS303" s="36" t="n"/>
      <c r="BT303" s="36" t="n"/>
      <c r="BU303" s="36" t="n"/>
      <c r="BV303" s="36" t="n"/>
      <c r="BW303" s="36" t="n"/>
      <c r="BX303" s="36" t="n"/>
      <c r="BY303" s="6" t="n"/>
      <c r="BZ303" s="6" t="n"/>
      <c r="CA303" s="194">
        <f>CA298</f>
        <v/>
      </c>
      <c r="CB303" s="194">
        <f>CA303+CB298</f>
        <v/>
      </c>
      <c r="CC303" s="194">
        <f>CB303+CC298</f>
        <v/>
      </c>
      <c r="CD303" s="194">
        <f>CC303+CD298</f>
        <v/>
      </c>
      <c r="CE303" s="194">
        <f>CD303+CE298</f>
        <v/>
      </c>
      <c r="CF303" s="6" t="n"/>
    </row>
    <row r="304" ht="15" customHeight="1"/>
    <row r="305" ht="15" customHeight="1">
      <c r="B305" s="11" t="inlineStr">
        <is>
          <t>CONSOLIDATED BALANCE SHEET</t>
        </is>
      </c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  <c r="AG305" s="11" t="n"/>
      <c r="AH305" s="11" t="n"/>
      <c r="AI305" s="11" t="n"/>
      <c r="AJ305" s="11" t="n"/>
      <c r="AK305" s="11" t="n"/>
      <c r="AL305" s="11" t="n"/>
      <c r="AM305" s="11" t="n"/>
      <c r="AN305" s="11" t="n"/>
      <c r="AO305" s="11" t="n"/>
      <c r="AP305" s="11" t="n"/>
      <c r="AQ305" s="11" t="n"/>
      <c r="AR305" s="11" t="n"/>
      <c r="AS305" s="11" t="n"/>
      <c r="AT305" s="11" t="n"/>
      <c r="AU305" s="11" t="n"/>
      <c r="AV305" s="11" t="n"/>
      <c r="AW305" s="11" t="n"/>
      <c r="AX305" s="11" t="n"/>
      <c r="AY305" s="11" t="n"/>
      <c r="AZ305" s="11" t="n"/>
      <c r="BA305" s="11" t="n"/>
      <c r="BB305" s="11" t="n"/>
      <c r="BC305" s="11" t="n"/>
      <c r="BD305" s="11" t="n"/>
      <c r="BE305" s="11" t="n"/>
      <c r="BF305" s="11" t="n"/>
      <c r="BG305" s="11" t="n"/>
      <c r="BH305" s="11" t="n"/>
      <c r="BI305" s="11" t="n"/>
      <c r="BJ305" s="11" t="n"/>
      <c r="BK305" s="11" t="n"/>
      <c r="BL305" s="11" t="n"/>
      <c r="BM305" s="11" t="n"/>
      <c r="BN305" s="11" t="n"/>
      <c r="BO305" s="11" t="n"/>
      <c r="BP305" s="11" t="n"/>
      <c r="BQ305" s="11" t="n"/>
      <c r="BR305" s="11" t="n"/>
      <c r="BS305" s="11" t="n"/>
      <c r="BT305" s="11" t="n"/>
      <c r="BU305" s="11" t="n"/>
      <c r="BV305" s="11" t="n"/>
      <c r="BW305" s="11" t="n"/>
      <c r="BX305" s="11" t="n"/>
      <c r="BY305" s="11" t="n"/>
      <c r="BZ305" s="11" t="n"/>
      <c r="CA305" s="11" t="n"/>
      <c r="CB305" s="11" t="n"/>
      <c r="CC305" s="11" t="n"/>
      <c r="CD305" s="11" t="n"/>
      <c r="CE305" s="11" t="n"/>
      <c r="CF305" s="11" t="inlineStr">
        <is>
          <t>BS FORECAST — 2026E rolled forward from the 30-Jun-2026 balance sheet (Q2/26) + 2H flows; 2027E+ from prior year end</t>
        </is>
      </c>
    </row>
    <row r="306" ht="15" customHeight="1">
      <c r="B306" s="26" t="inlineStr">
        <is>
          <t>ASSETS</t>
        </is>
      </c>
      <c r="CF306" s="6" t="n"/>
    </row>
    <row r="307" ht="15" customHeight="1">
      <c r="B307" s="26" t="inlineStr">
        <is>
          <t xml:space="preserve">  Cash and cash equivalents</t>
        </is>
      </c>
      <c r="C307" s="174" t="n">
        <v>188</v>
      </c>
      <c r="D307" s="174" t="n">
        <v>234.7</v>
      </c>
      <c r="E307" s="174" t="n">
        <v>141.8</v>
      </c>
      <c r="F307" s="174" t="n">
        <v>188.7</v>
      </c>
      <c r="G307" s="174" t="n">
        <v>236.9</v>
      </c>
      <c r="H307" s="174" t="n">
        <v>285.6</v>
      </c>
      <c r="I307" s="174" t="n">
        <v>215.8</v>
      </c>
      <c r="J307" s="174" t="n">
        <v>225.3</v>
      </c>
      <c r="K307" s="174" t="n">
        <v>214.5</v>
      </c>
      <c r="L307" s="174" t="n">
        <v>281</v>
      </c>
      <c r="M307" s="174" t="n">
        <v>285.8</v>
      </c>
      <c r="N307" s="174" t="n">
        <v>285.8</v>
      </c>
      <c r="O307" s="174" t="n">
        <v>295.1</v>
      </c>
      <c r="P307" s="174" t="n">
        <v>225.9</v>
      </c>
      <c r="Q307" s="174" t="n">
        <v>212.5</v>
      </c>
      <c r="R307" s="174" t="n">
        <v>425.8</v>
      </c>
      <c r="S307" s="174" t="n">
        <v>425.8</v>
      </c>
      <c r="T307" s="174" t="n">
        <v>249.1</v>
      </c>
      <c r="U307" s="174" t="n">
        <v>264.8</v>
      </c>
      <c r="V307" s="174" t="n">
        <v>208.2</v>
      </c>
      <c r="W307" s="174" t="n">
        <v>226.2</v>
      </c>
      <c r="X307" s="174" t="n">
        <v>226.2</v>
      </c>
      <c r="Y307" s="174" t="n">
        <v>262.8</v>
      </c>
      <c r="Z307" s="174" t="n">
        <v>302.9</v>
      </c>
      <c r="AA307" s="174" t="n">
        <v>250.4</v>
      </c>
      <c r="AB307" s="174" t="n">
        <v>398.5</v>
      </c>
      <c r="AC307" s="174" t="n">
        <v>398.5</v>
      </c>
      <c r="AD307" s="174" t="n">
        <v>280.2</v>
      </c>
      <c r="AE307" s="174" t="n">
        <v>328.5</v>
      </c>
      <c r="AF307" s="174" t="n">
        <v>228.1</v>
      </c>
      <c r="AG307" s="174" t="n">
        <v>233.4</v>
      </c>
      <c r="AH307" s="174" t="n">
        <v>233.4</v>
      </c>
      <c r="AI307" s="174" t="n">
        <v>249.9</v>
      </c>
      <c r="AJ307" s="174" t="n">
        <v>245.6</v>
      </c>
      <c r="AK307" s="174" t="n">
        <v>411.4</v>
      </c>
      <c r="AL307" s="174" t="n">
        <v>580.9</v>
      </c>
      <c r="AM307" s="174" t="n">
        <v>580.9</v>
      </c>
      <c r="AN307" s="174" t="n">
        <v>512.9</v>
      </c>
      <c r="AO307" s="174" t="n">
        <v>461.4</v>
      </c>
      <c r="AP307" s="174" t="n">
        <v>587.4</v>
      </c>
      <c r="AQ307" s="174" t="n">
        <v>604.2</v>
      </c>
      <c r="AR307" s="174" t="n">
        <v>604.2</v>
      </c>
      <c r="AS307" s="174" t="n">
        <v>615.9</v>
      </c>
      <c r="AT307" s="174" t="n">
        <v>587.9</v>
      </c>
      <c r="AU307" s="174" t="n">
        <v>559.3</v>
      </c>
      <c r="AV307" s="174" t="n">
        <v>598.7</v>
      </c>
      <c r="AW307" s="174" t="n">
        <v>598.7</v>
      </c>
      <c r="AX307" s="174" t="n">
        <v>483.5</v>
      </c>
      <c r="AY307" s="174" t="n">
        <v>453.5</v>
      </c>
      <c r="AZ307" s="174" t="n">
        <v>456.4</v>
      </c>
      <c r="BA307" s="174" t="n">
        <v>473</v>
      </c>
      <c r="BB307" s="174" t="n">
        <v>473</v>
      </c>
      <c r="BC307" s="174" t="n">
        <v>488</v>
      </c>
      <c r="BD307" s="174" t="n">
        <v>501</v>
      </c>
      <c r="BE307" s="174" t="n">
        <v>514</v>
      </c>
      <c r="BF307" s="174" t="n">
        <v>541</v>
      </c>
      <c r="BG307" s="174" t="n">
        <v>541</v>
      </c>
      <c r="BH307" s="174" t="n">
        <v>417</v>
      </c>
      <c r="BI307" s="174" t="n">
        <v>371</v>
      </c>
      <c r="BJ307" s="174" t="n">
        <v>392</v>
      </c>
      <c r="BK307" s="174" t="n">
        <v>620</v>
      </c>
      <c r="BL307" s="174" t="n">
        <v>620</v>
      </c>
      <c r="BM307" s="174" t="n">
        <v>639</v>
      </c>
      <c r="BN307" s="174" t="n">
        <v>595</v>
      </c>
      <c r="BO307" s="174" t="n">
        <v>410</v>
      </c>
      <c r="BP307" s="174" t="n">
        <v>715</v>
      </c>
      <c r="BQ307" s="174" t="n">
        <v>715</v>
      </c>
      <c r="BR307" s="174" t="n">
        <v>698</v>
      </c>
      <c r="BS307" s="174" t="n">
        <v>1499</v>
      </c>
      <c r="BT307" s="174" t="n">
        <v>528</v>
      </c>
      <c r="BU307" s="174" t="n">
        <v>789</v>
      </c>
      <c r="BV307" s="174" t="n">
        <v>789</v>
      </c>
      <c r="BW307" s="174" t="n">
        <v>531</v>
      </c>
      <c r="BX307" s="174" t="n">
        <v>670</v>
      </c>
      <c r="BY307" s="37" t="n"/>
      <c r="BZ307" s="37" t="n"/>
      <c r="CA307" s="178">
        <f>CA281-N(CA308)</f>
        <v/>
      </c>
      <c r="CB307" s="178">
        <f>CB281-N(CB308)</f>
        <v/>
      </c>
      <c r="CC307" s="178">
        <f>CC281-N(CC308)</f>
        <v/>
      </c>
      <c r="CD307" s="178">
        <f>CD281-N(CD308)</f>
        <v/>
      </c>
      <c r="CE307" s="178">
        <f>CE281-N(CE308)</f>
        <v/>
      </c>
      <c r="CF307" s="20" t="n"/>
    </row>
    <row r="308" ht="15" customHeight="1">
      <c r="B308" s="26" t="inlineStr">
        <is>
          <t xml:space="preserve">  Restricted cash / deposits in escrow (where separate)</t>
        </is>
      </c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174" t="n">
        <v>209.1</v>
      </c>
      <c r="W308" s="174" t="n">
        <v>202.9</v>
      </c>
      <c r="X308" s="174" t="n">
        <v>202.9</v>
      </c>
      <c r="Y308" s="174" t="n">
        <v>212.8</v>
      </c>
      <c r="Z308" s="174" t="n">
        <v>206.2</v>
      </c>
      <c r="AA308" s="174" t="n">
        <v>210</v>
      </c>
      <c r="AB308" s="174" t="n">
        <v>744.7</v>
      </c>
      <c r="AC308" s="174" t="n">
        <v>744.7</v>
      </c>
      <c r="AD308" s="36" t="n"/>
      <c r="AE308" s="36" t="n"/>
      <c r="AF308" s="36" t="n"/>
      <c r="AG308" s="36" t="n"/>
      <c r="AH308" s="36" t="n"/>
      <c r="AI308" s="36" t="n"/>
      <c r="AJ308" s="36" t="n"/>
      <c r="AK308" s="174" t="n">
        <v>1724</v>
      </c>
      <c r="AL308" s="174" t="n">
        <v>1761.4</v>
      </c>
      <c r="AM308" s="174" t="n">
        <v>1761.4</v>
      </c>
      <c r="AN308" s="36" t="n"/>
      <c r="AO308" s="36" t="n"/>
      <c r="AP308" s="36" t="n"/>
      <c r="AQ308" s="36" t="n"/>
      <c r="AR308" s="36" t="n"/>
      <c r="AS308" s="36" t="n"/>
      <c r="AT308" s="36" t="n"/>
      <c r="AU308" s="36" t="n"/>
      <c r="AV308" s="36" t="n"/>
      <c r="AW308" s="36" t="n"/>
      <c r="AX308" s="36" t="n"/>
      <c r="AY308" s="36" t="n"/>
      <c r="AZ308" s="36" t="n"/>
      <c r="BA308" s="36" t="n"/>
      <c r="BB308" s="36" t="n"/>
      <c r="BC308" s="36" t="n"/>
      <c r="BD308" s="36" t="n"/>
      <c r="BE308" s="36" t="n"/>
      <c r="BF308" s="36" t="n"/>
      <c r="BG308" s="36" t="n"/>
      <c r="BH308" s="36" t="n"/>
      <c r="BI308" s="36" t="n"/>
      <c r="BJ308" s="36" t="n"/>
      <c r="BK308" s="36" t="n"/>
      <c r="BL308" s="36" t="n"/>
      <c r="BM308" s="36" t="n"/>
      <c r="BN308" s="36" t="n"/>
      <c r="BO308" s="36" t="n"/>
      <c r="BP308" s="36" t="n"/>
      <c r="BQ308" s="36" t="n"/>
      <c r="BR308" s="36" t="n"/>
      <c r="BS308" s="36" t="n"/>
      <c r="BT308" s="36" t="n"/>
      <c r="BU308" s="36" t="n"/>
      <c r="BV308" s="36" t="n"/>
      <c r="BW308" s="36" t="n"/>
      <c r="BX308" s="36" t="n"/>
      <c r="BY308" s="37" t="n"/>
      <c r="BZ308" s="37" t="n"/>
      <c r="CA308" s="178">
        <f>N(BX308)</f>
        <v/>
      </c>
      <c r="CB308" s="178">
        <f>N(CA308)</f>
        <v/>
      </c>
      <c r="CC308" s="178">
        <f>N(CB308)</f>
        <v/>
      </c>
      <c r="CD308" s="178">
        <f>N(CC308)</f>
        <v/>
      </c>
      <c r="CE308" s="178">
        <f>N(CD308)</f>
        <v/>
      </c>
      <c r="CF308" s="20" t="n"/>
    </row>
    <row r="309" ht="15" customHeight="1">
      <c r="B309" s="26" t="inlineStr">
        <is>
          <t xml:space="preserve">  Receivables, net (incl. unbilled)</t>
        </is>
      </c>
      <c r="C309" s="174" t="n">
        <v>177.3</v>
      </c>
      <c r="D309" s="174" t="n">
        <v>222.2</v>
      </c>
      <c r="E309" s="174" t="n">
        <v>273.6</v>
      </c>
      <c r="F309" s="174" t="n">
        <v>208.3</v>
      </c>
      <c r="G309" s="174" t="n">
        <v>258.1</v>
      </c>
      <c r="H309" s="174" t="n">
        <v>346.3</v>
      </c>
      <c r="I309" s="174" t="n">
        <v>389.9</v>
      </c>
      <c r="J309" s="174" t="n">
        <v>432.8</v>
      </c>
      <c r="K309" s="174" t="n">
        <v>488.4</v>
      </c>
      <c r="L309" s="174" t="n">
        <v>570.3</v>
      </c>
      <c r="M309" s="174" t="n">
        <v>554.5</v>
      </c>
      <c r="N309" s="174" t="n">
        <v>554.5</v>
      </c>
      <c r="O309" s="174" t="n">
        <v>636.7</v>
      </c>
      <c r="P309" s="174" t="n">
        <v>717.1</v>
      </c>
      <c r="Q309" s="174" t="n">
        <v>715.1</v>
      </c>
      <c r="R309" s="174" t="n">
        <v>631.3</v>
      </c>
      <c r="S309" s="174" t="n">
        <v>631.3</v>
      </c>
      <c r="T309" s="174" t="n">
        <v>665.7</v>
      </c>
      <c r="U309" s="174" t="n">
        <v>680.2</v>
      </c>
      <c r="V309" s="174" t="n">
        <v>625.3</v>
      </c>
      <c r="W309" s="174" t="n">
        <v>598.8</v>
      </c>
      <c r="X309" s="174" t="n">
        <v>598.8</v>
      </c>
      <c r="Y309" s="174" t="n">
        <v>619.8</v>
      </c>
      <c r="Z309" s="174" t="n">
        <v>586.4</v>
      </c>
      <c r="AA309" s="174" t="n">
        <v>624.2</v>
      </c>
      <c r="AB309" s="174" t="n">
        <v>942.5</v>
      </c>
      <c r="AC309" s="174" t="n">
        <v>942.5</v>
      </c>
      <c r="AD309" s="174" t="n">
        <v>1051.6</v>
      </c>
      <c r="AE309" s="174" t="n">
        <v>1129</v>
      </c>
      <c r="AF309" s="174" t="n">
        <v>1144.3</v>
      </c>
      <c r="AG309" s="174" t="n">
        <v>1166.8</v>
      </c>
      <c r="AH309" s="174" t="n">
        <v>1166.8</v>
      </c>
      <c r="AI309" s="174" t="n">
        <v>1268.7</v>
      </c>
      <c r="AJ309" s="174" t="n">
        <v>1213.3</v>
      </c>
      <c r="AK309" s="174" t="n">
        <v>1240.5</v>
      </c>
      <c r="AL309" s="174" t="n">
        <v>1146.8</v>
      </c>
      <c r="AM309" s="174" t="n">
        <v>1146.8</v>
      </c>
      <c r="AN309" s="174" t="n">
        <v>1726.8</v>
      </c>
      <c r="AO309" s="174" t="n">
        <v>1707.5</v>
      </c>
      <c r="AP309" s="174" t="n">
        <v>1673.3</v>
      </c>
      <c r="AQ309" s="174" t="n">
        <v>1663.9</v>
      </c>
      <c r="AR309" s="174" t="n">
        <v>1663.9</v>
      </c>
      <c r="AS309" s="174" t="n">
        <v>1672</v>
      </c>
      <c r="AT309" s="174" t="n">
        <v>1410.3</v>
      </c>
      <c r="AU309" s="174" t="n">
        <v>1433.5</v>
      </c>
      <c r="AV309" s="174" t="n">
        <v>1412.5</v>
      </c>
      <c r="AW309" s="174" t="n">
        <v>1412.5</v>
      </c>
      <c r="AX309" s="174" t="n">
        <v>1403</v>
      </c>
      <c r="AY309" s="174" t="n">
        <v>1452.6</v>
      </c>
      <c r="AZ309" s="174" t="n">
        <v>1367</v>
      </c>
      <c r="BA309" s="174" t="n">
        <v>1477</v>
      </c>
      <c r="BB309" s="174" t="n">
        <v>1477</v>
      </c>
      <c r="BC309" s="174" t="n">
        <v>1382</v>
      </c>
      <c r="BD309" s="174" t="n">
        <v>1422</v>
      </c>
      <c r="BE309" s="174" t="n">
        <v>1462</v>
      </c>
      <c r="BF309" s="174" t="n">
        <v>1519</v>
      </c>
      <c r="BG309" s="174" t="n">
        <v>1519</v>
      </c>
      <c r="BH309" s="174" t="n">
        <v>1576</v>
      </c>
      <c r="BI309" s="174" t="n">
        <v>1698</v>
      </c>
      <c r="BJ309" s="174" t="n">
        <v>1714</v>
      </c>
      <c r="BK309" s="174" t="n">
        <v>1684</v>
      </c>
      <c r="BL309" s="174" t="n">
        <v>1684</v>
      </c>
      <c r="BM309" s="174" t="n">
        <v>1541</v>
      </c>
      <c r="BN309" s="174" t="n">
        <v>1801</v>
      </c>
      <c r="BO309" s="174" t="n">
        <v>1782</v>
      </c>
      <c r="BP309" s="174" t="n">
        <v>1702</v>
      </c>
      <c r="BQ309" s="174" t="n">
        <v>1702</v>
      </c>
      <c r="BR309" s="174" t="n">
        <v>1932</v>
      </c>
      <c r="BS309" s="174" t="n">
        <v>1999</v>
      </c>
      <c r="BT309" s="174" t="n">
        <v>2198</v>
      </c>
      <c r="BU309" s="174" t="n">
        <v>1897</v>
      </c>
      <c r="BV309" s="174" t="n">
        <v>1897</v>
      </c>
      <c r="BW309" s="174" t="n">
        <v>2252</v>
      </c>
      <c r="BX309" s="174" t="n">
        <v>2169</v>
      </c>
      <c r="BY309" s="37" t="n"/>
      <c r="BZ309" s="37" t="n"/>
      <c r="CA309" s="178">
        <f>CA348*CA350/365</f>
        <v/>
      </c>
      <c r="CB309" s="178">
        <f>CB348*CB350/365</f>
        <v/>
      </c>
      <c r="CC309" s="178">
        <f>CC348*CC350/365</f>
        <v/>
      </c>
      <c r="CD309" s="178">
        <f>CD348*CD350/365</f>
        <v/>
      </c>
      <c r="CE309" s="178">
        <f>CE348*CE350/365</f>
        <v/>
      </c>
      <c r="CF309" s="20" t="inlineStr">
        <is>
          <t>Receivables = net sales × DSO / 365.</t>
        </is>
      </c>
    </row>
    <row r="310" ht="15" customHeight="1">
      <c r="B310" s="26" t="inlineStr">
        <is>
          <t xml:space="preserve">  Inventories, net</t>
        </is>
      </c>
      <c r="C310" s="174" t="n">
        <v>145.5</v>
      </c>
      <c r="D310" s="174" t="n">
        <v>176</v>
      </c>
      <c r="E310" s="174" t="n">
        <v>264.2</v>
      </c>
      <c r="F310" s="174" t="n">
        <v>239.3</v>
      </c>
      <c r="G310" s="174" t="n">
        <v>253.5</v>
      </c>
      <c r="H310" s="174" t="n">
        <v>348.2</v>
      </c>
      <c r="I310" s="174" t="n">
        <v>407</v>
      </c>
      <c r="J310" s="174" t="n">
        <v>428.6</v>
      </c>
      <c r="K310" s="174" t="n">
        <v>405.9</v>
      </c>
      <c r="L310" s="174" t="n">
        <v>400.3</v>
      </c>
      <c r="M310" s="174" t="n">
        <v>403.2</v>
      </c>
      <c r="N310" s="174" t="n">
        <v>403.2</v>
      </c>
      <c r="O310" s="174" t="n">
        <v>420.1</v>
      </c>
      <c r="P310" s="174" t="n">
        <v>481.5</v>
      </c>
      <c r="Q310" s="174" t="n">
        <v>489.1</v>
      </c>
      <c r="R310" s="174" t="n">
        <v>510.9</v>
      </c>
      <c r="S310" s="174" t="n">
        <v>510.9</v>
      </c>
      <c r="T310" s="174" t="n">
        <v>515.9</v>
      </c>
      <c r="U310" s="174" t="n">
        <v>535</v>
      </c>
      <c r="V310" s="174" t="n">
        <v>517.5</v>
      </c>
      <c r="W310" s="174" t="n">
        <v>478.6</v>
      </c>
      <c r="X310" s="174" t="n">
        <v>478.6</v>
      </c>
      <c r="Y310" s="174" t="n">
        <v>478.7</v>
      </c>
      <c r="Z310" s="174" t="n">
        <v>493.4</v>
      </c>
      <c r="AA310" s="174" t="n">
        <v>496</v>
      </c>
      <c r="AB310" s="174" t="n">
        <v>658.5</v>
      </c>
      <c r="AC310" s="174" t="n">
        <v>658.5</v>
      </c>
      <c r="AD310" s="174" t="n">
        <v>703.9</v>
      </c>
      <c r="AE310" s="174" t="n">
        <v>746.2</v>
      </c>
      <c r="AF310" s="174" t="n">
        <v>764.8</v>
      </c>
      <c r="AG310" s="174" t="n">
        <v>742.6</v>
      </c>
      <c r="AH310" s="174" t="n">
        <v>742.6</v>
      </c>
      <c r="AI310" s="174" t="n">
        <v>829.3</v>
      </c>
      <c r="AJ310" s="174" t="n">
        <v>863.8</v>
      </c>
      <c r="AK310" s="174" t="n">
        <v>866.2</v>
      </c>
      <c r="AL310" s="174" t="n">
        <v>844.9</v>
      </c>
      <c r="AM310" s="174" t="n">
        <v>844.9</v>
      </c>
      <c r="AN310" s="174" t="n">
        <v>1947.2</v>
      </c>
      <c r="AO310" s="174" t="n">
        <v>1881.8</v>
      </c>
      <c r="AP310" s="174" t="n">
        <v>1957.3</v>
      </c>
      <c r="AQ310" s="174" t="n">
        <v>1773.1</v>
      </c>
      <c r="AR310" s="174" t="n">
        <v>1773.1</v>
      </c>
      <c r="AS310" s="174" t="n">
        <v>1785.7</v>
      </c>
      <c r="AT310" s="174" t="n">
        <v>1799.5</v>
      </c>
      <c r="AU310" s="174" t="n">
        <v>1779.7</v>
      </c>
      <c r="AV310" s="174" t="n">
        <v>1642.1</v>
      </c>
      <c r="AW310" s="174" t="n">
        <v>1642.1</v>
      </c>
      <c r="AX310" s="174" t="n">
        <v>1671.5</v>
      </c>
      <c r="AY310" s="174" t="n">
        <v>1661.2</v>
      </c>
      <c r="AZ310" s="174" t="n">
        <v>1689.6</v>
      </c>
      <c r="BA310" s="174" t="n">
        <v>1689</v>
      </c>
      <c r="BB310" s="174" t="n">
        <v>1689</v>
      </c>
      <c r="BC310" s="174" t="n">
        <v>1828</v>
      </c>
      <c r="BD310" s="174" t="n">
        <v>1918</v>
      </c>
      <c r="BE310" s="174" t="n">
        <v>2023</v>
      </c>
      <c r="BF310" s="174" t="n">
        <v>2034</v>
      </c>
      <c r="BG310" s="174" t="n">
        <v>2034</v>
      </c>
      <c r="BH310" s="174" t="n">
        <v>2228</v>
      </c>
      <c r="BI310" s="174" t="n">
        <v>2317</v>
      </c>
      <c r="BJ310" s="174" t="n">
        <v>2246</v>
      </c>
      <c r="BK310" s="174" t="n">
        <v>2284</v>
      </c>
      <c r="BL310" s="174" t="n">
        <v>2284</v>
      </c>
      <c r="BM310" s="174" t="n">
        <v>2356</v>
      </c>
      <c r="BN310" s="174" t="n">
        <v>2364</v>
      </c>
      <c r="BO310" s="174" t="n">
        <v>2380</v>
      </c>
      <c r="BP310" s="174" t="n">
        <v>2314</v>
      </c>
      <c r="BQ310" s="174" t="n">
        <v>2314</v>
      </c>
      <c r="BR310" s="174" t="n">
        <v>2378</v>
      </c>
      <c r="BS310" s="174" t="n">
        <v>2571</v>
      </c>
      <c r="BT310" s="174" t="n">
        <v>2747</v>
      </c>
      <c r="BU310" s="174" t="n">
        <v>2745</v>
      </c>
      <c r="BV310" s="174" t="n">
        <v>2745</v>
      </c>
      <c r="BW310" s="174" t="n">
        <v>2850</v>
      </c>
      <c r="BX310" s="174" t="n">
        <v>2857</v>
      </c>
      <c r="BY310" s="37" t="n"/>
      <c r="BZ310" s="37" t="n"/>
      <c r="CA310" s="178">
        <f>CA349*CA351/365</f>
        <v/>
      </c>
      <c r="CB310" s="178">
        <f>CB349*CB351/365</f>
        <v/>
      </c>
      <c r="CC310" s="178">
        <f>CC349*CC351/365</f>
        <v/>
      </c>
      <c r="CD310" s="178">
        <f>CD349*CD351/365</f>
        <v/>
      </c>
      <c r="CE310" s="178">
        <f>CE349*CE351/365</f>
        <v/>
      </c>
      <c r="CF310" s="20" t="n"/>
    </row>
    <row r="311" ht="15" customHeight="1">
      <c r="B311" s="26" t="inlineStr">
        <is>
          <t xml:space="preserve">  Other current assets (derived)</t>
        </is>
      </c>
      <c r="C311" s="174" t="n">
        <v>36.4</v>
      </c>
      <c r="D311" s="174" t="n">
        <v>32.9</v>
      </c>
      <c r="E311" s="174" t="n">
        <v>45.7</v>
      </c>
      <c r="F311" s="174" t="n">
        <v>53.2</v>
      </c>
      <c r="G311" s="174" t="n">
        <v>53.5</v>
      </c>
      <c r="H311" s="174" t="n">
        <v>75.7</v>
      </c>
      <c r="I311" s="174" t="n">
        <v>80.2</v>
      </c>
      <c r="J311" s="174" t="n">
        <v>82.3</v>
      </c>
      <c r="K311" s="174" t="n">
        <v>81.2</v>
      </c>
      <c r="L311" s="174" t="n">
        <v>92.8</v>
      </c>
      <c r="M311" s="174" t="n">
        <v>89.5</v>
      </c>
      <c r="N311" s="174" t="n">
        <v>89.5</v>
      </c>
      <c r="O311" s="174" t="n">
        <v>82.3</v>
      </c>
      <c r="P311" s="174" t="n">
        <v>102.4</v>
      </c>
      <c r="Q311" s="174" t="n">
        <v>117.1</v>
      </c>
      <c r="R311" s="174" t="n">
        <v>69.90000000000001</v>
      </c>
      <c r="S311" s="174" t="n">
        <v>69.90000000000001</v>
      </c>
      <c r="T311" s="174" t="n">
        <v>73.2</v>
      </c>
      <c r="U311" s="174" t="n">
        <v>100</v>
      </c>
      <c r="V311" s="174" t="n">
        <v>90</v>
      </c>
      <c r="W311" s="174" t="n">
        <v>105.9</v>
      </c>
      <c r="X311" s="174" t="n">
        <v>105.9</v>
      </c>
      <c r="Y311" s="174" t="n">
        <v>112.5</v>
      </c>
      <c r="Z311" s="174" t="n">
        <v>111.5</v>
      </c>
      <c r="AA311" s="174" t="n">
        <v>114.5</v>
      </c>
      <c r="AB311" s="174" t="n">
        <v>123.4</v>
      </c>
      <c r="AC311" s="174" t="n">
        <v>123.4</v>
      </c>
      <c r="AD311" s="174" t="n">
        <v>130.5</v>
      </c>
      <c r="AE311" s="174" t="n">
        <v>141.1</v>
      </c>
      <c r="AF311" s="174" t="n">
        <v>139.9</v>
      </c>
      <c r="AG311" s="174" t="n">
        <v>122.3</v>
      </c>
      <c r="AH311" s="174" t="n">
        <v>122.3</v>
      </c>
      <c r="AI311" s="174" t="n">
        <v>117.9</v>
      </c>
      <c r="AJ311" s="174" t="n">
        <v>124.2</v>
      </c>
      <c r="AK311" s="174" t="n">
        <v>111.4</v>
      </c>
      <c r="AL311" s="174" t="n">
        <v>115.7</v>
      </c>
      <c r="AM311" s="174" t="n">
        <v>115.7</v>
      </c>
      <c r="AN311" s="174" t="n">
        <v>194.2</v>
      </c>
      <c r="AO311" s="174" t="n">
        <v>178.4</v>
      </c>
      <c r="AP311" s="174" t="n">
        <v>192.4</v>
      </c>
      <c r="AQ311" s="174" t="n">
        <v>150.9</v>
      </c>
      <c r="AR311" s="174" t="n">
        <v>150.9</v>
      </c>
      <c r="AS311" s="174" t="n">
        <v>167.5</v>
      </c>
      <c r="AT311" s="174" t="n">
        <v>172</v>
      </c>
      <c r="AU311" s="174" t="n">
        <v>163.7</v>
      </c>
      <c r="AV311" s="174" t="n">
        <v>226.5</v>
      </c>
      <c r="AW311" s="174" t="n">
        <v>226.5</v>
      </c>
      <c r="AX311" s="174" t="n">
        <v>221</v>
      </c>
      <c r="AY311" s="174" t="n">
        <v>240.9</v>
      </c>
      <c r="AZ311" s="174" t="n">
        <v>247.1</v>
      </c>
      <c r="BA311" s="174" t="n">
        <v>193</v>
      </c>
      <c r="BB311" s="174" t="n">
        <v>193</v>
      </c>
      <c r="BC311" s="174" t="n">
        <v>213</v>
      </c>
      <c r="BD311" s="174" t="n">
        <v>205</v>
      </c>
      <c r="BE311" s="174" t="n">
        <v>200</v>
      </c>
      <c r="BF311" s="174" t="n">
        <v>233</v>
      </c>
      <c r="BG311" s="174" t="n">
        <v>233</v>
      </c>
      <c r="BH311" s="174" t="n">
        <v>275</v>
      </c>
      <c r="BI311" s="174" t="n">
        <v>277</v>
      </c>
      <c r="BJ311" s="174" t="n">
        <v>282</v>
      </c>
      <c r="BK311" s="174" t="n">
        <v>267</v>
      </c>
      <c r="BL311" s="174" t="n">
        <v>267</v>
      </c>
      <c r="BM311" s="174" t="n">
        <v>263</v>
      </c>
      <c r="BN311" s="174" t="n">
        <v>267</v>
      </c>
      <c r="BO311" s="174" t="n">
        <v>202</v>
      </c>
      <c r="BP311" s="174" t="n">
        <v>212</v>
      </c>
      <c r="BQ311" s="174" t="n">
        <v>212</v>
      </c>
      <c r="BR311" s="174" t="n">
        <v>247</v>
      </c>
      <c r="BS311" s="174" t="n">
        <v>285</v>
      </c>
      <c r="BT311" s="174" t="n">
        <v>315</v>
      </c>
      <c r="BU311" s="174" t="n">
        <v>263</v>
      </c>
      <c r="BV311" s="174" t="n">
        <v>263</v>
      </c>
      <c r="BW311" s="174" t="n">
        <v>340</v>
      </c>
      <c r="BX311" s="174" t="n">
        <v>345</v>
      </c>
      <c r="BY311" s="37" t="n"/>
      <c r="BZ311" s="37" t="n"/>
      <c r="CA311" s="178">
        <f>BX311</f>
        <v/>
      </c>
      <c r="CB311" s="178">
        <f>CA311</f>
        <v/>
      </c>
      <c r="CC311" s="178">
        <f>CB311</f>
        <v/>
      </c>
      <c r="CD311" s="178">
        <f>CC311</f>
        <v/>
      </c>
      <c r="CE311" s="178">
        <f>CD311</f>
        <v/>
      </c>
      <c r="CF311" s="20" t="n"/>
    </row>
    <row r="312" ht="15" customHeight="1">
      <c r="B312" s="17" t="inlineStr">
        <is>
          <t>Total current assets</t>
        </is>
      </c>
      <c r="C312" s="198">
        <f>IF(ISNUMBER(C307),SUM(C307:C311),"")</f>
        <v/>
      </c>
      <c r="D312" s="198">
        <f>IF(ISNUMBER(D307),SUM(D307:D311),"")</f>
        <v/>
      </c>
      <c r="E312" s="198">
        <f>IF(ISNUMBER(E307),SUM(E307:E311),"")</f>
        <v/>
      </c>
      <c r="F312" s="198">
        <f>IF(ISNUMBER(F307),SUM(F307:F311),"")</f>
        <v/>
      </c>
      <c r="G312" s="198">
        <f>IF(ISNUMBER(G307),SUM(G307:G311),"")</f>
        <v/>
      </c>
      <c r="H312" s="198">
        <f>IF(ISNUMBER(H307),SUM(H307:H311),"")</f>
        <v/>
      </c>
      <c r="I312" s="198">
        <f>IF(ISNUMBER(I307),SUM(I307:I311),"")</f>
        <v/>
      </c>
      <c r="J312" s="198">
        <f>IF(ISNUMBER(J307),SUM(J307:J311),"")</f>
        <v/>
      </c>
      <c r="K312" s="198">
        <f>IF(ISNUMBER(K307),SUM(K307:K311),"")</f>
        <v/>
      </c>
      <c r="L312" s="198">
        <f>IF(ISNUMBER(L307),SUM(L307:L311),"")</f>
        <v/>
      </c>
      <c r="M312" s="198">
        <f>IF(ISNUMBER(M307),SUM(M307:M311),"")</f>
        <v/>
      </c>
      <c r="N312" s="198">
        <f>IF(ISNUMBER(N307),SUM(N307:N311),"")</f>
        <v/>
      </c>
      <c r="O312" s="198">
        <f>IF(ISNUMBER(O307),SUM(O307:O311),"")</f>
        <v/>
      </c>
      <c r="P312" s="198">
        <f>IF(ISNUMBER(P307),SUM(P307:P311),"")</f>
        <v/>
      </c>
      <c r="Q312" s="198">
        <f>IF(ISNUMBER(Q307),SUM(Q307:Q311),"")</f>
        <v/>
      </c>
      <c r="R312" s="198">
        <f>IF(ISNUMBER(R307),SUM(R307:R311),"")</f>
        <v/>
      </c>
      <c r="S312" s="198">
        <f>IF(ISNUMBER(S307),SUM(S307:S311),"")</f>
        <v/>
      </c>
      <c r="T312" s="198">
        <f>IF(ISNUMBER(T307),SUM(T307:T311),"")</f>
        <v/>
      </c>
      <c r="U312" s="198">
        <f>IF(ISNUMBER(U307),SUM(U307:U311),"")</f>
        <v/>
      </c>
      <c r="V312" s="198">
        <f>IF(ISNUMBER(V307),SUM(V307:V311),"")</f>
        <v/>
      </c>
      <c r="W312" s="198">
        <f>IF(ISNUMBER(W307),SUM(W307:W311),"")</f>
        <v/>
      </c>
      <c r="X312" s="198">
        <f>IF(ISNUMBER(X307),SUM(X307:X311),"")</f>
        <v/>
      </c>
      <c r="Y312" s="198">
        <f>IF(ISNUMBER(Y307),SUM(Y307:Y311),"")</f>
        <v/>
      </c>
      <c r="Z312" s="198">
        <f>IF(ISNUMBER(Z307),SUM(Z307:Z311),"")</f>
        <v/>
      </c>
      <c r="AA312" s="198">
        <f>IF(ISNUMBER(AA307),SUM(AA307:AA311),"")</f>
        <v/>
      </c>
      <c r="AB312" s="198">
        <f>IF(ISNUMBER(AB307),SUM(AB307:AB311),"")</f>
        <v/>
      </c>
      <c r="AC312" s="198">
        <f>IF(ISNUMBER(AC307),SUM(AC307:AC311),"")</f>
        <v/>
      </c>
      <c r="AD312" s="198">
        <f>IF(ISNUMBER(AD307),SUM(AD307:AD311),"")</f>
        <v/>
      </c>
      <c r="AE312" s="198">
        <f>IF(ISNUMBER(AE307),SUM(AE307:AE311),"")</f>
        <v/>
      </c>
      <c r="AF312" s="198">
        <f>IF(ISNUMBER(AF307),SUM(AF307:AF311),"")</f>
        <v/>
      </c>
      <c r="AG312" s="198">
        <f>IF(ISNUMBER(AG307),SUM(AG307:AG311),"")</f>
        <v/>
      </c>
      <c r="AH312" s="198">
        <f>IF(ISNUMBER(AH307),SUM(AH307:AH311),"")</f>
        <v/>
      </c>
      <c r="AI312" s="198">
        <f>IF(ISNUMBER(AI307),SUM(AI307:AI311),"")</f>
        <v/>
      </c>
      <c r="AJ312" s="198">
        <f>IF(ISNUMBER(AJ307),SUM(AJ307:AJ311),"")</f>
        <v/>
      </c>
      <c r="AK312" s="198">
        <f>IF(ISNUMBER(AK307),SUM(AK307:AK311),"")</f>
        <v/>
      </c>
      <c r="AL312" s="198">
        <f>IF(ISNUMBER(AL307),SUM(AL307:AL311),"")</f>
        <v/>
      </c>
      <c r="AM312" s="198">
        <f>IF(ISNUMBER(AM307),SUM(AM307:AM311),"")</f>
        <v/>
      </c>
      <c r="AN312" s="198">
        <f>IF(ISNUMBER(AN307),SUM(AN307:AN311),"")</f>
        <v/>
      </c>
      <c r="AO312" s="198">
        <f>IF(ISNUMBER(AO307),SUM(AO307:AO311),"")</f>
        <v/>
      </c>
      <c r="AP312" s="198">
        <f>IF(ISNUMBER(AP307),SUM(AP307:AP311),"")</f>
        <v/>
      </c>
      <c r="AQ312" s="198">
        <f>IF(ISNUMBER(AQ307),SUM(AQ307:AQ311),"")</f>
        <v/>
      </c>
      <c r="AR312" s="198">
        <f>IF(ISNUMBER(AR307),SUM(AR307:AR311),"")</f>
        <v/>
      </c>
      <c r="AS312" s="198">
        <f>IF(ISNUMBER(AS307),SUM(AS307:AS311),"")</f>
        <v/>
      </c>
      <c r="AT312" s="198">
        <f>IF(ISNUMBER(AT307),SUM(AT307:AT311),"")</f>
        <v/>
      </c>
      <c r="AU312" s="198">
        <f>IF(ISNUMBER(AU307),SUM(AU307:AU311),"")</f>
        <v/>
      </c>
      <c r="AV312" s="198">
        <f>IF(ISNUMBER(AV307),SUM(AV307:AV311),"")</f>
        <v/>
      </c>
      <c r="AW312" s="198">
        <f>IF(ISNUMBER(AW307),SUM(AW307:AW311),"")</f>
        <v/>
      </c>
      <c r="AX312" s="198">
        <f>IF(ISNUMBER(AX307),SUM(AX307:AX311),"")</f>
        <v/>
      </c>
      <c r="AY312" s="198">
        <f>IF(ISNUMBER(AY307),SUM(AY307:AY311),"")</f>
        <v/>
      </c>
      <c r="AZ312" s="198">
        <f>IF(ISNUMBER(AZ307),SUM(AZ307:AZ311),"")</f>
        <v/>
      </c>
      <c r="BA312" s="198">
        <f>IF(ISNUMBER(BA307),SUM(BA307:BA311),"")</f>
        <v/>
      </c>
      <c r="BB312" s="198">
        <f>IF(ISNUMBER(BB307),SUM(BB307:BB311),"")</f>
        <v/>
      </c>
      <c r="BC312" s="198">
        <f>IF(ISNUMBER(BC307),SUM(BC307:BC311),"")</f>
        <v/>
      </c>
      <c r="BD312" s="198">
        <f>IF(ISNUMBER(BD307),SUM(BD307:BD311),"")</f>
        <v/>
      </c>
      <c r="BE312" s="198">
        <f>IF(ISNUMBER(BE307),SUM(BE307:BE311),"")</f>
        <v/>
      </c>
      <c r="BF312" s="198">
        <f>IF(ISNUMBER(BF307),SUM(BF307:BF311),"")</f>
        <v/>
      </c>
      <c r="BG312" s="198">
        <f>IF(ISNUMBER(BG307),SUM(BG307:BG311),"")</f>
        <v/>
      </c>
      <c r="BH312" s="198">
        <f>IF(ISNUMBER(BH307),SUM(BH307:BH311),"")</f>
        <v/>
      </c>
      <c r="BI312" s="198">
        <f>IF(ISNUMBER(BI307),SUM(BI307:BI311),"")</f>
        <v/>
      </c>
      <c r="BJ312" s="198">
        <f>IF(ISNUMBER(BJ307),SUM(BJ307:BJ311),"")</f>
        <v/>
      </c>
      <c r="BK312" s="198">
        <f>IF(ISNUMBER(BK307),SUM(BK307:BK311),"")</f>
        <v/>
      </c>
      <c r="BL312" s="198">
        <f>IF(ISNUMBER(BL307),SUM(BL307:BL311),"")</f>
        <v/>
      </c>
      <c r="BM312" s="198">
        <f>IF(ISNUMBER(BM307),SUM(BM307:BM311),"")</f>
        <v/>
      </c>
      <c r="BN312" s="198">
        <f>IF(ISNUMBER(BN307),SUM(BN307:BN311),"")</f>
        <v/>
      </c>
      <c r="BO312" s="198">
        <f>IF(ISNUMBER(BO307),SUM(BO307:BO311),"")</f>
        <v/>
      </c>
      <c r="BP312" s="198">
        <f>IF(ISNUMBER(BP307),SUM(BP307:BP311),"")</f>
        <v/>
      </c>
      <c r="BQ312" s="198">
        <f>IF(ISNUMBER(BQ307),SUM(BQ307:BQ311),"")</f>
        <v/>
      </c>
      <c r="BR312" s="198">
        <f>IF(ISNUMBER(BR307),SUM(BR307:BR311),"")</f>
        <v/>
      </c>
      <c r="BS312" s="198">
        <f>IF(ISNUMBER(BS307),SUM(BS307:BS311),"")</f>
        <v/>
      </c>
      <c r="BT312" s="198">
        <f>IF(ISNUMBER(BT307),SUM(BT307:BT311),"")</f>
        <v/>
      </c>
      <c r="BU312" s="198">
        <f>IF(ISNUMBER(BU307),SUM(BU307:BU311),"")</f>
        <v/>
      </c>
      <c r="BV312" s="198">
        <f>IF(ISNUMBER(BV307),SUM(BV307:BV311),"")</f>
        <v/>
      </c>
      <c r="BW312" s="198">
        <f>IF(ISNUMBER(BW307),SUM(BW307:BW311),"")</f>
        <v/>
      </c>
      <c r="BX312" s="198">
        <f>IF(ISNUMBER(BX307),SUM(BX307:BX311),"")</f>
        <v/>
      </c>
      <c r="BY312" s="34" t="n"/>
      <c r="BZ312" s="34" t="n"/>
      <c r="CA312" s="185">
        <f>IF(ISNUMBER(CA307),SUM(CA307:CA311),"")</f>
        <v/>
      </c>
      <c r="CB312" s="185">
        <f>IF(ISNUMBER(CB307),SUM(CB307:CB311),"")</f>
        <v/>
      </c>
      <c r="CC312" s="185">
        <f>IF(ISNUMBER(CC307),SUM(CC307:CC311),"")</f>
        <v/>
      </c>
      <c r="CD312" s="185">
        <f>IF(ISNUMBER(CD307),SUM(CD307:CD311),"")</f>
        <v/>
      </c>
      <c r="CE312" s="185">
        <f>IF(ISNUMBER(CE307),SUM(CE307:CE311),"")</f>
        <v/>
      </c>
      <c r="CF312" s="6" t="n"/>
    </row>
    <row r="313" ht="15" customHeight="1">
      <c r="B313" s="26" t="inlineStr">
        <is>
          <t xml:space="preserve">  Property, plant &amp; equipment, net</t>
        </is>
      </c>
      <c r="C313" s="174" t="n">
        <v>178.3</v>
      </c>
      <c r="D313" s="174" t="n">
        <v>182.4</v>
      </c>
      <c r="E313" s="174" t="n">
        <v>207.5</v>
      </c>
      <c r="F313" s="174" t="n">
        <v>201.7</v>
      </c>
      <c r="G313" s="174" t="n">
        <v>206.2</v>
      </c>
      <c r="H313" s="174" t="n">
        <v>222</v>
      </c>
      <c r="I313" s="174" t="n">
        <v>244.1</v>
      </c>
      <c r="J313" s="174" t="n">
        <v>242.7</v>
      </c>
      <c r="K313" s="174" t="n">
        <v>241</v>
      </c>
      <c r="L313" s="174" t="n">
        <v>266.9</v>
      </c>
      <c r="M313" s="174" t="n">
        <v>276.1</v>
      </c>
      <c r="N313" s="174" t="n">
        <v>276.1</v>
      </c>
      <c r="O313" s="174" t="n">
        <v>273.6</v>
      </c>
      <c r="P313" s="174" t="n">
        <v>343.2</v>
      </c>
      <c r="Q313" s="174" t="n">
        <v>342.4</v>
      </c>
      <c r="R313" s="174" t="n">
        <v>339.1</v>
      </c>
      <c r="S313" s="174" t="n">
        <v>339.1</v>
      </c>
      <c r="T313" s="174" t="n">
        <v>349</v>
      </c>
      <c r="U313" s="174" t="n">
        <v>357</v>
      </c>
      <c r="V313" s="174" t="n">
        <v>351.2</v>
      </c>
      <c r="W313" s="174" t="n">
        <v>353.2</v>
      </c>
      <c r="X313" s="174" t="n">
        <v>353.2</v>
      </c>
      <c r="Y313" s="174" t="n">
        <v>353.9</v>
      </c>
      <c r="Z313" s="174" t="n">
        <v>348.6</v>
      </c>
      <c r="AA313" s="174" t="n">
        <v>358</v>
      </c>
      <c r="AB313" s="174" t="n">
        <v>518.4</v>
      </c>
      <c r="AC313" s="174" t="n">
        <v>518.4</v>
      </c>
      <c r="AD313" s="174" t="n">
        <v>524.1</v>
      </c>
      <c r="AE313" s="174" t="n">
        <v>547.8</v>
      </c>
      <c r="AF313" s="174" t="n">
        <v>550.4</v>
      </c>
      <c r="AG313" s="174" t="n">
        <v>574</v>
      </c>
      <c r="AH313" s="174" t="n">
        <v>574</v>
      </c>
      <c r="AI313" s="174" t="n">
        <v>573.4</v>
      </c>
      <c r="AJ313" s="174" t="n">
        <v>555.8</v>
      </c>
      <c r="AK313" s="174" t="n">
        <v>557.4</v>
      </c>
      <c r="AL313" s="174" t="n">
        <v>563.7</v>
      </c>
      <c r="AM313" s="174" t="n">
        <v>563.7</v>
      </c>
      <c r="AN313" s="174" t="n">
        <v>1635</v>
      </c>
      <c r="AO313" s="174" t="n">
        <v>1646.1</v>
      </c>
      <c r="AP313" s="174" t="n">
        <v>1622.7</v>
      </c>
      <c r="AQ313" s="174" t="n">
        <v>1655.8</v>
      </c>
      <c r="AR313" s="174" t="n">
        <v>1655.8</v>
      </c>
      <c r="AS313" s="174" t="n">
        <v>1623</v>
      </c>
      <c r="AT313" s="174" t="n">
        <v>1612.4</v>
      </c>
      <c r="AU313" s="174" t="n">
        <v>1603.7</v>
      </c>
      <c r="AV313" s="174" t="n">
        <v>1601.6</v>
      </c>
      <c r="AW313" s="174" t="n">
        <v>1601.6</v>
      </c>
      <c r="AX313" s="174" t="n">
        <v>1575.5</v>
      </c>
      <c r="AY313" s="174" t="n">
        <v>1544.3</v>
      </c>
      <c r="AZ313" s="174" t="n">
        <v>1509</v>
      </c>
      <c r="BA313" s="174" t="n">
        <v>1497</v>
      </c>
      <c r="BB313" s="174" t="n">
        <v>1497</v>
      </c>
      <c r="BC313" s="174" t="n">
        <v>1468</v>
      </c>
      <c r="BD313" s="174" t="n">
        <v>1428</v>
      </c>
      <c r="BE313" s="174" t="n">
        <v>1402</v>
      </c>
      <c r="BF313" s="174" t="n">
        <v>1429</v>
      </c>
      <c r="BG313" s="174" t="n">
        <v>1429</v>
      </c>
      <c r="BH313" s="174" t="n">
        <v>1422</v>
      </c>
      <c r="BI313" s="174" t="n">
        <v>1443</v>
      </c>
      <c r="BJ313" s="174" t="n">
        <v>1419</v>
      </c>
      <c r="BK313" s="174" t="n">
        <v>1485</v>
      </c>
      <c r="BL313" s="174" t="n">
        <v>1485</v>
      </c>
      <c r="BM313" s="174" t="n">
        <v>1445</v>
      </c>
      <c r="BN313" s="174" t="n">
        <v>1439</v>
      </c>
      <c r="BO313" s="174" t="n">
        <v>1439</v>
      </c>
      <c r="BP313" s="174" t="n">
        <v>1447</v>
      </c>
      <c r="BQ313" s="174" t="n">
        <v>1447</v>
      </c>
      <c r="BR313" s="174" t="n">
        <v>1462</v>
      </c>
      <c r="BS313" s="174" t="n">
        <v>1476</v>
      </c>
      <c r="BT313" s="174" t="n">
        <v>1534</v>
      </c>
      <c r="BU313" s="174" t="n">
        <v>1616</v>
      </c>
      <c r="BV313" s="174" t="n">
        <v>1616</v>
      </c>
      <c r="BW313" s="174" t="n">
        <v>1653</v>
      </c>
      <c r="BX313" s="174" t="n">
        <v>1653</v>
      </c>
      <c r="BY313" s="37" t="n"/>
      <c r="BZ313" s="37" t="n"/>
      <c r="CA313" s="178">
        <f>BX313-(CA267-(BW267+BX267))-(BY134+BZ134)</f>
        <v/>
      </c>
      <c r="CB313" s="178">
        <f>CA313-CB267-CB134+CB83*CB91</f>
        <v/>
      </c>
      <c r="CC313" s="178">
        <f>CB313-CC267-CC134+CC83*CC91</f>
        <v/>
      </c>
      <c r="CD313" s="178">
        <f>CC313-CD267-CD134+CD83*CD91</f>
        <v/>
      </c>
      <c r="CE313" s="178">
        <f>CD313-CE267-CE134+CE83*CE91</f>
        <v/>
      </c>
      <c r="CF313" s="20" t="inlineStr">
        <is>
          <t>PP&amp;E roll-forward: prior − capex (negative cash flow) − depreciation + acquired PP&amp;E (M&amp;A lever).</t>
        </is>
      </c>
    </row>
    <row r="314" ht="15" customHeight="1">
      <c r="B314" s="26" t="inlineStr">
        <is>
          <t xml:space="preserve">  Goodwill</t>
        </is>
      </c>
      <c r="C314" s="174" t="n">
        <v>173.3</v>
      </c>
      <c r="D314" s="174" t="n">
        <v>232.6</v>
      </c>
      <c r="E314" s="174" t="n">
        <v>319.4</v>
      </c>
      <c r="F314" s="174" t="n">
        <v>483</v>
      </c>
      <c r="G314" s="174" t="n">
        <v>545.8</v>
      </c>
      <c r="H314" s="174" t="n">
        <v>587.5</v>
      </c>
      <c r="I314" s="174" t="n">
        <v>666</v>
      </c>
      <c r="J314" s="174" t="n">
        <v>728</v>
      </c>
      <c r="K314" s="174" t="n">
        <v>715</v>
      </c>
      <c r="L314" s="174" t="n">
        <v>790.8</v>
      </c>
      <c r="M314" s="174" t="n">
        <v>786.4</v>
      </c>
      <c r="N314" s="174" t="n">
        <v>786.4</v>
      </c>
      <c r="O314" s="174" t="n">
        <v>787.6</v>
      </c>
      <c r="P314" s="174" t="n">
        <v>821.6</v>
      </c>
      <c r="Q314" s="174" t="n">
        <v>864.5</v>
      </c>
      <c r="R314" s="174" t="n">
        <v>862.3</v>
      </c>
      <c r="S314" s="174" t="n">
        <v>862.3</v>
      </c>
      <c r="T314" s="174" t="n">
        <v>834.2</v>
      </c>
      <c r="U314" s="174" t="n">
        <v>864.9</v>
      </c>
      <c r="V314" s="174" t="n">
        <v>853</v>
      </c>
      <c r="W314" s="174" t="n">
        <v>858.5</v>
      </c>
      <c r="X314" s="174" t="n">
        <v>858.5</v>
      </c>
      <c r="Y314" s="174" t="n">
        <v>867.6</v>
      </c>
      <c r="Z314" s="174" t="n">
        <v>860</v>
      </c>
      <c r="AA314" s="174" t="n">
        <v>877.1</v>
      </c>
      <c r="AB314" s="174" t="n">
        <v>2078.8</v>
      </c>
      <c r="AC314" s="174" t="n">
        <v>2078.8</v>
      </c>
      <c r="AD314" s="174" t="n">
        <v>2188.5</v>
      </c>
      <c r="AE314" s="174" t="n">
        <v>2343.6</v>
      </c>
      <c r="AF314" s="174" t="n">
        <v>2384.8</v>
      </c>
      <c r="AG314" s="174" t="n">
        <v>2460.1</v>
      </c>
      <c r="AH314" s="174" t="n">
        <v>2460.1</v>
      </c>
      <c r="AI314" s="174" t="n">
        <v>2528.8</v>
      </c>
      <c r="AJ314" s="174" t="n">
        <v>2428.6</v>
      </c>
      <c r="AK314" s="174" t="n">
        <v>2412.6</v>
      </c>
      <c r="AL314" s="174" t="n">
        <v>2396.5</v>
      </c>
      <c r="AM314" s="174" t="n">
        <v>2396.5</v>
      </c>
      <c r="AN314" s="174" t="n">
        <v>8142.5</v>
      </c>
      <c r="AO314" s="174" t="n">
        <v>8150.7</v>
      </c>
      <c r="AP314" s="174" t="n">
        <v>8103.2</v>
      </c>
      <c r="AQ314" s="174" t="n">
        <v>8360.6</v>
      </c>
      <c r="AR314" s="174" t="n">
        <v>8360.6</v>
      </c>
      <c r="AS314" s="174" t="n">
        <v>8273.700000000001</v>
      </c>
      <c r="AT314" s="174" t="n">
        <v>8309.9</v>
      </c>
      <c r="AU314" s="174" t="n">
        <v>8366.1</v>
      </c>
      <c r="AV314" s="174" t="n">
        <v>8485.200000000001</v>
      </c>
      <c r="AW314" s="174" t="n">
        <v>8485.200000000001</v>
      </c>
      <c r="AX314" s="174" t="n">
        <v>8625.700000000001</v>
      </c>
      <c r="AY314" s="174" t="n">
        <v>8653.200000000001</v>
      </c>
      <c r="AZ314" s="174" t="n">
        <v>8604.700000000001</v>
      </c>
      <c r="BA314" s="174" t="n">
        <v>8587</v>
      </c>
      <c r="BB314" s="174" t="n">
        <v>8587</v>
      </c>
      <c r="BC314" s="174" t="n">
        <v>8567</v>
      </c>
      <c r="BD314" s="174" t="n">
        <v>8459</v>
      </c>
      <c r="BE314" s="174" t="n">
        <v>8361</v>
      </c>
      <c r="BF314" s="174" t="n">
        <v>8508</v>
      </c>
      <c r="BG314" s="174" t="n">
        <v>8508</v>
      </c>
      <c r="BH314" s="174" t="n">
        <v>8540</v>
      </c>
      <c r="BI314" s="174" t="n">
        <v>8657</v>
      </c>
      <c r="BJ314" s="174" t="n">
        <v>8590</v>
      </c>
      <c r="BK314" s="174" t="n">
        <v>8780</v>
      </c>
      <c r="BL314" s="174" t="n">
        <v>8780</v>
      </c>
      <c r="BM314" s="174" t="n">
        <v>8730</v>
      </c>
      <c r="BN314" s="174" t="n">
        <v>8706</v>
      </c>
      <c r="BO314" s="174" t="n">
        <v>8786</v>
      </c>
      <c r="BP314" s="174" t="n">
        <v>8710</v>
      </c>
      <c r="BQ314" s="174" t="n">
        <v>8710</v>
      </c>
      <c r="BR314" s="174" t="n">
        <v>8787</v>
      </c>
      <c r="BS314" s="174" t="n">
        <v>8936</v>
      </c>
      <c r="BT314" s="174" t="n">
        <v>9853</v>
      </c>
      <c r="BU314" s="174" t="n">
        <v>10216</v>
      </c>
      <c r="BV314" s="174" t="n">
        <v>10216</v>
      </c>
      <c r="BW314" s="174" t="n">
        <v>10625</v>
      </c>
      <c r="BX314" s="174" t="n">
        <v>10603</v>
      </c>
      <c r="BY314" s="37" t="n"/>
      <c r="BZ314" s="37" t="n"/>
      <c r="CA314" s="178">
        <f>BX314</f>
        <v/>
      </c>
      <c r="CB314" s="178">
        <f>CA314+CB83*(1-CB91-CB92)</f>
        <v/>
      </c>
      <c r="CC314" s="178">
        <f>CB314+CC83*(1-CC91-CC92)</f>
        <v/>
      </c>
      <c r="CD314" s="178">
        <f>CC314+CD83*(1-CD91-CD92)</f>
        <v/>
      </c>
      <c r="CE314" s="178">
        <f>CD314+CE83*(1-CE91-CE92)</f>
        <v/>
      </c>
      <c r="CF314" s="20" t="n"/>
    </row>
    <row r="315" ht="15" customHeight="1">
      <c r="B315" s="26" t="inlineStr">
        <is>
          <t xml:space="preserve">  Other intangible assets, net</t>
        </is>
      </c>
      <c r="C315" s="174" t="n">
        <v>44.5</v>
      </c>
      <c r="D315" s="174" t="n">
        <v>58.7</v>
      </c>
      <c r="E315" s="174" t="n">
        <v>236.7</v>
      </c>
      <c r="F315" s="174" t="n">
        <v>187.6</v>
      </c>
      <c r="G315" s="174" t="n">
        <v>216.9</v>
      </c>
      <c r="H315" s="174" t="n">
        <v>257.4</v>
      </c>
      <c r="I315" s="174" t="n">
        <v>308.3</v>
      </c>
      <c r="J315" s="174" t="n">
        <v>325.3</v>
      </c>
      <c r="K315" s="174" t="n">
        <v>329.8</v>
      </c>
      <c r="L315" s="174" t="n">
        <v>376.1</v>
      </c>
      <c r="M315" s="174" t="n">
        <v>385.7</v>
      </c>
      <c r="N315" s="174" t="n">
        <v>385.7</v>
      </c>
      <c r="O315" s="174" t="n">
        <v>380.5</v>
      </c>
      <c r="P315" s="174" t="n">
        <v>435.4</v>
      </c>
      <c r="Q315" s="174" t="n">
        <v>449.5</v>
      </c>
      <c r="R315" s="174" t="n">
        <v>422.8</v>
      </c>
      <c r="S315" s="174" t="n">
        <v>422.8</v>
      </c>
      <c r="T315" s="174" t="n">
        <v>441.4</v>
      </c>
      <c r="U315" s="174" t="n">
        <v>454.5</v>
      </c>
      <c r="V315" s="174" t="n">
        <v>437</v>
      </c>
      <c r="W315" s="174" t="n">
        <v>440.5</v>
      </c>
      <c r="X315" s="174" t="n">
        <v>440.5</v>
      </c>
      <c r="Y315" s="174" t="n">
        <v>437.1</v>
      </c>
      <c r="Z315" s="174" t="n">
        <v>430.3</v>
      </c>
      <c r="AA315" s="174" t="n">
        <v>457.3</v>
      </c>
      <c r="AB315" s="174" t="n">
        <v>1053.9</v>
      </c>
      <c r="AC315" s="174" t="n">
        <v>1053.9</v>
      </c>
      <c r="AD315" s="174" t="n">
        <v>1089.1</v>
      </c>
      <c r="AE315" s="174" t="n">
        <v>1129.4</v>
      </c>
      <c r="AF315" s="174" t="n">
        <v>1140.4</v>
      </c>
      <c r="AG315" s="174" t="n">
        <v>1204.4</v>
      </c>
      <c r="AH315" s="174" t="n">
        <v>1204.4</v>
      </c>
      <c r="AI315" s="174" t="n">
        <v>1231.7</v>
      </c>
      <c r="AJ315" s="174" t="n">
        <v>1174.4</v>
      </c>
      <c r="AK315" s="174" t="n">
        <v>1157.4</v>
      </c>
      <c r="AL315" s="174" t="n">
        <v>1129.9</v>
      </c>
      <c r="AM315" s="174" t="n">
        <v>1129.9</v>
      </c>
      <c r="AN315" s="174" t="n">
        <v>4364</v>
      </c>
      <c r="AO315" s="174" t="n">
        <v>4364.4</v>
      </c>
      <c r="AP315" s="174" t="n">
        <v>4207</v>
      </c>
      <c r="AQ315" s="174" t="n">
        <v>4104</v>
      </c>
      <c r="AR315" s="174" t="n">
        <v>4104</v>
      </c>
      <c r="AS315" s="174" t="n">
        <v>4010</v>
      </c>
      <c r="AT315" s="174" t="n">
        <v>3935.4</v>
      </c>
      <c r="AU315" s="174" t="n">
        <v>3889.6</v>
      </c>
      <c r="AV315" s="174" t="n">
        <v>3869.2</v>
      </c>
      <c r="AW315" s="174" t="n">
        <v>3869.2</v>
      </c>
      <c r="AX315" s="174" t="n">
        <v>3927.2</v>
      </c>
      <c r="AY315" s="174" t="n">
        <v>3876</v>
      </c>
      <c r="AZ315" s="174" t="n">
        <v>3779.8</v>
      </c>
      <c r="BA315" s="174" t="n">
        <v>3705</v>
      </c>
      <c r="BB315" s="174" t="n">
        <v>3705</v>
      </c>
      <c r="BC315" s="174" t="n">
        <v>3632</v>
      </c>
      <c r="BD315" s="174" t="n">
        <v>3531</v>
      </c>
      <c r="BE315" s="174" t="n">
        <v>3410</v>
      </c>
      <c r="BF315" s="174" t="n">
        <v>3402</v>
      </c>
      <c r="BG315" s="174" t="n">
        <v>3402</v>
      </c>
      <c r="BH315" s="174" t="n">
        <v>3333</v>
      </c>
      <c r="BI315" s="174" t="n">
        <v>3359</v>
      </c>
      <c r="BJ315" s="174" t="n">
        <v>3267</v>
      </c>
      <c r="BK315" s="174" t="n">
        <v>3205</v>
      </c>
      <c r="BL315" s="174" t="n">
        <v>3205</v>
      </c>
      <c r="BM315" s="174" t="n">
        <v>3115</v>
      </c>
      <c r="BN315" s="174" t="n">
        <v>3031</v>
      </c>
      <c r="BO315" s="174" t="n">
        <v>2996</v>
      </c>
      <c r="BP315" s="174" t="n">
        <v>2934</v>
      </c>
      <c r="BQ315" s="174" t="n">
        <v>2934</v>
      </c>
      <c r="BR315" s="174" t="n">
        <v>2892</v>
      </c>
      <c r="BS315" s="174" t="n">
        <v>2889</v>
      </c>
      <c r="BT315" s="174" t="n">
        <v>3546</v>
      </c>
      <c r="BU315" s="174" t="n">
        <v>3838</v>
      </c>
      <c r="BV315" s="174" t="n">
        <v>3838</v>
      </c>
      <c r="BW315" s="174" t="n">
        <v>4239</v>
      </c>
      <c r="BX315" s="174" t="n">
        <v>4122</v>
      </c>
      <c r="BY315" s="37" t="n"/>
      <c r="BZ315" s="37" t="n"/>
      <c r="CA315" s="178">
        <f>BX315-(BY148+BZ148)</f>
        <v/>
      </c>
      <c r="CB315" s="178">
        <f>CA315-CB148+CB83*CB92</f>
        <v/>
      </c>
      <c r="CC315" s="178">
        <f>CB315-CC148+CC83*CC92</f>
        <v/>
      </c>
      <c r="CD315" s="178">
        <f>CC315-CD148+CD83*CD92</f>
        <v/>
      </c>
      <c r="CE315" s="178">
        <f>CD315-CE148+CE83*CE92</f>
        <v/>
      </c>
      <c r="CF315" s="20" t="inlineStr">
        <is>
          <t>Intangibles roll-forward: prior − amortization + acquired intangibles (M&amp;A lever).</t>
        </is>
      </c>
    </row>
    <row r="316" ht="15" customHeight="1">
      <c r="B316" s="26" t="inlineStr">
        <is>
          <t xml:space="preserve">  Other noncurrent assets (incl. ROU, deferred taxes; derived)</t>
        </is>
      </c>
      <c r="C316" s="174" t="n">
        <v>29.5</v>
      </c>
      <c r="D316" s="174" t="n">
        <v>19.2</v>
      </c>
      <c r="E316" s="174" t="n">
        <v>18.6</v>
      </c>
      <c r="F316" s="174" t="n">
        <v>24</v>
      </c>
      <c r="G316" s="174" t="n">
        <v>32.2</v>
      </c>
      <c r="H316" s="174" t="n">
        <v>36.3</v>
      </c>
      <c r="I316" s="174" t="n">
        <v>40.2</v>
      </c>
      <c r="J316" s="174" t="n">
        <v>41.2</v>
      </c>
      <c r="K316" s="174" t="n">
        <v>40.6</v>
      </c>
      <c r="L316" s="174" t="n">
        <v>38.8</v>
      </c>
      <c r="M316" s="174" t="n">
        <v>40.8</v>
      </c>
      <c r="N316" s="174" t="n">
        <v>40.8</v>
      </c>
      <c r="O316" s="174" t="n">
        <v>40.6</v>
      </c>
      <c r="P316" s="174" t="n">
        <v>36.8</v>
      </c>
      <c r="Q316" s="174" t="n">
        <v>38.2</v>
      </c>
      <c r="R316" s="174" t="n">
        <v>41.7</v>
      </c>
      <c r="S316" s="174" t="n">
        <v>41.7</v>
      </c>
      <c r="T316" s="174" t="n">
        <v>39</v>
      </c>
      <c r="U316" s="174" t="n">
        <v>41.7</v>
      </c>
      <c r="V316" s="174" t="n">
        <v>34.8</v>
      </c>
      <c r="W316" s="174" t="n">
        <v>35.7</v>
      </c>
      <c r="X316" s="174" t="n">
        <v>35.7</v>
      </c>
      <c r="Y316" s="174" t="n">
        <v>35.6</v>
      </c>
      <c r="Z316" s="174" t="n">
        <v>39.9</v>
      </c>
      <c r="AA316" s="174" t="n">
        <v>40.7</v>
      </c>
      <c r="AB316" s="174" t="n">
        <v>62.3</v>
      </c>
      <c r="AC316" s="174" t="n">
        <v>62.3</v>
      </c>
      <c r="AD316" s="174" t="n">
        <v>63</v>
      </c>
      <c r="AE316" s="174" t="n">
        <v>73.09999999999999</v>
      </c>
      <c r="AF316" s="174" t="n">
        <v>97</v>
      </c>
      <c r="AG316" s="174" t="n">
        <v>76.40000000000001</v>
      </c>
      <c r="AH316" s="174" t="n">
        <v>76.40000000000001</v>
      </c>
      <c r="AI316" s="174" t="n">
        <v>76.09999999999999</v>
      </c>
      <c r="AJ316" s="174" t="n">
        <v>71.90000000000001</v>
      </c>
      <c r="AK316" s="174" t="n">
        <v>72.3</v>
      </c>
      <c r="AL316" s="174" t="n">
        <v>109.4</v>
      </c>
      <c r="AM316" s="174" t="n">
        <v>109.4</v>
      </c>
      <c r="AN316" s="174" t="n">
        <v>555.3</v>
      </c>
      <c r="AO316" s="174" t="n">
        <v>552.3</v>
      </c>
      <c r="AP316" s="174" t="n">
        <v>557.6</v>
      </c>
      <c r="AQ316" s="174" t="n">
        <v>631.7</v>
      </c>
      <c r="AR316" s="174" t="n">
        <v>631.7</v>
      </c>
      <c r="AS316" s="174" t="n">
        <v>625.3</v>
      </c>
      <c r="AT316" s="174" t="n">
        <v>638</v>
      </c>
      <c r="AU316" s="174" t="n">
        <v>648.8</v>
      </c>
      <c r="AV316" s="174" t="n">
        <v>618.7</v>
      </c>
      <c r="AW316" s="174" t="n">
        <v>618.7</v>
      </c>
      <c r="AX316" s="174" t="n">
        <v>635.8</v>
      </c>
      <c r="AY316" s="174" t="n">
        <v>630.7</v>
      </c>
      <c r="AZ316" s="174" t="n">
        <v>698.3</v>
      </c>
      <c r="BA316" s="174" t="n">
        <v>833</v>
      </c>
      <c r="BB316" s="174" t="n">
        <v>833</v>
      </c>
      <c r="BC316" s="174" t="n">
        <v>860</v>
      </c>
      <c r="BD316" s="174" t="n">
        <v>869</v>
      </c>
      <c r="BE316" s="174" t="n">
        <v>890</v>
      </c>
      <c r="BF316" s="174" t="n">
        <v>850</v>
      </c>
      <c r="BG316" s="174" t="n">
        <v>850</v>
      </c>
      <c r="BH316" s="174" t="n">
        <v>878</v>
      </c>
      <c r="BI316" s="174" t="n">
        <v>863</v>
      </c>
      <c r="BJ316" s="174" t="n">
        <v>890</v>
      </c>
      <c r="BK316" s="174" t="n">
        <v>663</v>
      </c>
      <c r="BL316" s="174" t="n">
        <v>663</v>
      </c>
      <c r="BM316" s="174" t="n">
        <v>658</v>
      </c>
      <c r="BN316" s="174" t="n">
        <v>673</v>
      </c>
      <c r="BO316" s="174" t="n">
        <v>649</v>
      </c>
      <c r="BP316" s="174" t="n">
        <v>668</v>
      </c>
      <c r="BQ316" s="174" t="n">
        <v>668</v>
      </c>
      <c r="BR316" s="174" t="n">
        <v>700</v>
      </c>
      <c r="BS316" s="174" t="n">
        <v>736</v>
      </c>
      <c r="BT316" s="174" t="n">
        <v>806</v>
      </c>
      <c r="BU316" s="174" t="n">
        <v>705</v>
      </c>
      <c r="BV316" s="174" t="n">
        <v>705</v>
      </c>
      <c r="BW316" s="174" t="n">
        <v>706</v>
      </c>
      <c r="BX316" s="174" t="n">
        <v>709</v>
      </c>
      <c r="BY316" s="37" t="n"/>
      <c r="BZ316" s="37" t="n"/>
      <c r="CA316" s="178">
        <f>BX316</f>
        <v/>
      </c>
      <c r="CB316" s="178">
        <f>CA316</f>
        <v/>
      </c>
      <c r="CC316" s="178">
        <f>CB316</f>
        <v/>
      </c>
      <c r="CD316" s="178">
        <f>CC316</f>
        <v/>
      </c>
      <c r="CE316" s="178">
        <f>CD316</f>
        <v/>
      </c>
      <c r="CF316" s="20" t="n"/>
    </row>
    <row r="317" ht="15" customHeight="1">
      <c r="B317" s="59" t="inlineStr">
        <is>
          <t>TOTAL ASSETS</t>
        </is>
      </c>
      <c r="C317" s="193">
        <f>IF(ISNUMBER(C307),C312+SUM(C313:C316),"")</f>
        <v/>
      </c>
      <c r="D317" s="193">
        <f>IF(ISNUMBER(D307),D312+SUM(D313:D316),"")</f>
        <v/>
      </c>
      <c r="E317" s="193">
        <f>IF(ISNUMBER(E307),E312+SUM(E313:E316),"")</f>
        <v/>
      </c>
      <c r="F317" s="193">
        <f>IF(ISNUMBER(F307),F312+SUM(F313:F316),"")</f>
        <v/>
      </c>
      <c r="G317" s="193">
        <f>IF(ISNUMBER(G307),G312+SUM(G313:G316),"")</f>
        <v/>
      </c>
      <c r="H317" s="193">
        <f>IF(ISNUMBER(H307),H312+SUM(H313:H316),"")</f>
        <v/>
      </c>
      <c r="I317" s="193">
        <f>IF(ISNUMBER(I307),I312+SUM(I313:I316),"")</f>
        <v/>
      </c>
      <c r="J317" s="193">
        <f>IF(ISNUMBER(J307),J312+SUM(J313:J316),"")</f>
        <v/>
      </c>
      <c r="K317" s="193">
        <f>IF(ISNUMBER(K307),K312+SUM(K313:K316),"")</f>
        <v/>
      </c>
      <c r="L317" s="193">
        <f>IF(ISNUMBER(L307),L312+SUM(L313:L316),"")</f>
        <v/>
      </c>
      <c r="M317" s="193">
        <f>IF(ISNUMBER(M307),M312+SUM(M313:M316),"")</f>
        <v/>
      </c>
      <c r="N317" s="193">
        <f>IF(ISNUMBER(N307),N312+SUM(N313:N316),"")</f>
        <v/>
      </c>
      <c r="O317" s="193">
        <f>IF(ISNUMBER(O307),O312+SUM(O313:O316),"")</f>
        <v/>
      </c>
      <c r="P317" s="193">
        <f>IF(ISNUMBER(P307),P312+SUM(P313:P316),"")</f>
        <v/>
      </c>
      <c r="Q317" s="193">
        <f>IF(ISNUMBER(Q307),Q312+SUM(Q313:Q316),"")</f>
        <v/>
      </c>
      <c r="R317" s="193">
        <f>IF(ISNUMBER(R307),R312+SUM(R313:R316),"")</f>
        <v/>
      </c>
      <c r="S317" s="193">
        <f>IF(ISNUMBER(S307),S312+SUM(S313:S316),"")</f>
        <v/>
      </c>
      <c r="T317" s="193">
        <f>IF(ISNUMBER(T307),T312+SUM(T313:T316),"")</f>
        <v/>
      </c>
      <c r="U317" s="193">
        <f>IF(ISNUMBER(U307),U312+SUM(U313:U316),"")</f>
        <v/>
      </c>
      <c r="V317" s="193">
        <f>IF(ISNUMBER(V307),V312+SUM(V313:V316),"")</f>
        <v/>
      </c>
      <c r="W317" s="193">
        <f>IF(ISNUMBER(W307),W312+SUM(W313:W316),"")</f>
        <v/>
      </c>
      <c r="X317" s="193">
        <f>IF(ISNUMBER(X307),X312+SUM(X313:X316),"")</f>
        <v/>
      </c>
      <c r="Y317" s="193">
        <f>IF(ISNUMBER(Y307),Y312+SUM(Y313:Y316),"")</f>
        <v/>
      </c>
      <c r="Z317" s="193">
        <f>IF(ISNUMBER(Z307),Z312+SUM(Z313:Z316),"")</f>
        <v/>
      </c>
      <c r="AA317" s="193">
        <f>IF(ISNUMBER(AA307),AA312+SUM(AA313:AA316),"")</f>
        <v/>
      </c>
      <c r="AB317" s="193">
        <f>IF(ISNUMBER(AB307),AB312+SUM(AB313:AB316),"")</f>
        <v/>
      </c>
      <c r="AC317" s="193">
        <f>IF(ISNUMBER(AC307),AC312+SUM(AC313:AC316),"")</f>
        <v/>
      </c>
      <c r="AD317" s="193">
        <f>IF(ISNUMBER(AD307),AD312+SUM(AD313:AD316),"")</f>
        <v/>
      </c>
      <c r="AE317" s="193">
        <f>IF(ISNUMBER(AE307),AE312+SUM(AE313:AE316),"")</f>
        <v/>
      </c>
      <c r="AF317" s="193">
        <f>IF(ISNUMBER(AF307),AF312+SUM(AF313:AF316),"")</f>
        <v/>
      </c>
      <c r="AG317" s="193">
        <f>IF(ISNUMBER(AG307),AG312+SUM(AG313:AG316),"")</f>
        <v/>
      </c>
      <c r="AH317" s="193">
        <f>IF(ISNUMBER(AH307),AH312+SUM(AH313:AH316),"")</f>
        <v/>
      </c>
      <c r="AI317" s="193">
        <f>IF(ISNUMBER(AI307),AI312+SUM(AI313:AI316),"")</f>
        <v/>
      </c>
      <c r="AJ317" s="193">
        <f>IF(ISNUMBER(AJ307),AJ312+SUM(AJ313:AJ316),"")</f>
        <v/>
      </c>
      <c r="AK317" s="193">
        <f>IF(ISNUMBER(AK307),AK312+SUM(AK313:AK316),"")</f>
        <v/>
      </c>
      <c r="AL317" s="193">
        <f>IF(ISNUMBER(AL307),AL312+SUM(AL313:AL316),"")</f>
        <v/>
      </c>
      <c r="AM317" s="193">
        <f>IF(ISNUMBER(AM307),AM312+SUM(AM313:AM316),"")</f>
        <v/>
      </c>
      <c r="AN317" s="193">
        <f>IF(ISNUMBER(AN307),AN312+SUM(AN313:AN316),"")</f>
        <v/>
      </c>
      <c r="AO317" s="193">
        <f>IF(ISNUMBER(AO307),AO312+SUM(AO313:AO316),"")</f>
        <v/>
      </c>
      <c r="AP317" s="193">
        <f>IF(ISNUMBER(AP307),AP312+SUM(AP313:AP316),"")</f>
        <v/>
      </c>
      <c r="AQ317" s="193">
        <f>IF(ISNUMBER(AQ307),AQ312+SUM(AQ313:AQ316),"")</f>
        <v/>
      </c>
      <c r="AR317" s="193">
        <f>IF(ISNUMBER(AR307),AR312+SUM(AR313:AR316),"")</f>
        <v/>
      </c>
      <c r="AS317" s="193">
        <f>IF(ISNUMBER(AS307),AS312+SUM(AS313:AS316),"")</f>
        <v/>
      </c>
      <c r="AT317" s="193">
        <f>IF(ISNUMBER(AT307),AT312+SUM(AT313:AT316),"")</f>
        <v/>
      </c>
      <c r="AU317" s="193">
        <f>IF(ISNUMBER(AU307),AU312+SUM(AU313:AU316),"")</f>
        <v/>
      </c>
      <c r="AV317" s="193">
        <f>IF(ISNUMBER(AV307),AV312+SUM(AV313:AV316),"")</f>
        <v/>
      </c>
      <c r="AW317" s="193">
        <f>IF(ISNUMBER(AW307),AW312+SUM(AW313:AW316),"")</f>
        <v/>
      </c>
      <c r="AX317" s="193">
        <f>IF(ISNUMBER(AX307),AX312+SUM(AX313:AX316),"")</f>
        <v/>
      </c>
      <c r="AY317" s="193">
        <f>IF(ISNUMBER(AY307),AY312+SUM(AY313:AY316),"")</f>
        <v/>
      </c>
      <c r="AZ317" s="193">
        <f>IF(ISNUMBER(AZ307),AZ312+SUM(AZ313:AZ316),"")</f>
        <v/>
      </c>
      <c r="BA317" s="193">
        <f>IF(ISNUMBER(BA307),BA312+SUM(BA313:BA316),"")</f>
        <v/>
      </c>
      <c r="BB317" s="193">
        <f>IF(ISNUMBER(BB307),BB312+SUM(BB313:BB316),"")</f>
        <v/>
      </c>
      <c r="BC317" s="193">
        <f>IF(ISNUMBER(BC307),BC312+SUM(BC313:BC316),"")</f>
        <v/>
      </c>
      <c r="BD317" s="193">
        <f>IF(ISNUMBER(BD307),BD312+SUM(BD313:BD316),"")</f>
        <v/>
      </c>
      <c r="BE317" s="193">
        <f>IF(ISNUMBER(BE307),BE312+SUM(BE313:BE316),"")</f>
        <v/>
      </c>
      <c r="BF317" s="193">
        <f>IF(ISNUMBER(BF307),BF312+SUM(BF313:BF316),"")</f>
        <v/>
      </c>
      <c r="BG317" s="193">
        <f>IF(ISNUMBER(BG307),BG312+SUM(BG313:BG316),"")</f>
        <v/>
      </c>
      <c r="BH317" s="193">
        <f>IF(ISNUMBER(BH307),BH312+SUM(BH313:BH316),"")</f>
        <v/>
      </c>
      <c r="BI317" s="193">
        <f>IF(ISNUMBER(BI307),BI312+SUM(BI313:BI316),"")</f>
        <v/>
      </c>
      <c r="BJ317" s="193">
        <f>IF(ISNUMBER(BJ307),BJ312+SUM(BJ313:BJ316),"")</f>
        <v/>
      </c>
      <c r="BK317" s="193">
        <f>IF(ISNUMBER(BK307),BK312+SUM(BK313:BK316),"")</f>
        <v/>
      </c>
      <c r="BL317" s="193">
        <f>IF(ISNUMBER(BL307),BL312+SUM(BL313:BL316),"")</f>
        <v/>
      </c>
      <c r="BM317" s="193">
        <f>IF(ISNUMBER(BM307),BM312+SUM(BM313:BM316),"")</f>
        <v/>
      </c>
      <c r="BN317" s="193">
        <f>IF(ISNUMBER(BN307),BN312+SUM(BN313:BN316),"")</f>
        <v/>
      </c>
      <c r="BO317" s="193">
        <f>IF(ISNUMBER(BO307),BO312+SUM(BO313:BO316),"")</f>
        <v/>
      </c>
      <c r="BP317" s="193">
        <f>IF(ISNUMBER(BP307),BP312+SUM(BP313:BP316),"")</f>
        <v/>
      </c>
      <c r="BQ317" s="193">
        <f>IF(ISNUMBER(BQ307),BQ312+SUM(BQ313:BQ316),"")</f>
        <v/>
      </c>
      <c r="BR317" s="193">
        <f>IF(ISNUMBER(BR307),BR312+SUM(BR313:BR316),"")</f>
        <v/>
      </c>
      <c r="BS317" s="193">
        <f>IF(ISNUMBER(BS307),BS312+SUM(BS313:BS316),"")</f>
        <v/>
      </c>
      <c r="BT317" s="193">
        <f>IF(ISNUMBER(BT307),BT312+SUM(BT313:BT316),"")</f>
        <v/>
      </c>
      <c r="BU317" s="193">
        <f>IF(ISNUMBER(BU307),BU312+SUM(BU313:BU316),"")</f>
        <v/>
      </c>
      <c r="BV317" s="193">
        <f>IF(ISNUMBER(BV307),BV312+SUM(BV313:BV316),"")</f>
        <v/>
      </c>
      <c r="BW317" s="193">
        <f>IF(ISNUMBER(BW307),BW312+SUM(BW313:BW316),"")</f>
        <v/>
      </c>
      <c r="BX317" s="193">
        <f>IF(ISNUMBER(BX307),BX312+SUM(BX313:BX316),"")</f>
        <v/>
      </c>
      <c r="BY317" s="60" t="n"/>
      <c r="BZ317" s="60" t="n"/>
      <c r="CA317" s="193">
        <f>IF(ISNUMBER(CA307),CA312+SUM(CA313:CA316),"")</f>
        <v/>
      </c>
      <c r="CB317" s="193">
        <f>IF(ISNUMBER(CB307),CB312+SUM(CB313:CB316),"")</f>
        <v/>
      </c>
      <c r="CC317" s="193">
        <f>IF(ISNUMBER(CC307),CC312+SUM(CC313:CC316),"")</f>
        <v/>
      </c>
      <c r="CD317" s="193">
        <f>IF(ISNUMBER(CD307),CD312+SUM(CD313:CD316),"")</f>
        <v/>
      </c>
      <c r="CE317" s="193">
        <f>IF(ISNUMBER(CE307),CE312+SUM(CE313:CE316),"")</f>
        <v/>
      </c>
      <c r="CF317" s="6" t="n"/>
      <c r="CH317" s="21">
        <f>IFERROR((CE317/BV317)^(1/5)-1,"n/m")</f>
        <v/>
      </c>
      <c r="CI317" s="21">
        <f>IFERROR((BV317/AW317)^(1/5)-1,"n/m")</f>
        <v/>
      </c>
      <c r="CJ317" s="21">
        <f>IFERROR((BV317/X317)^(1/10)-1,"n/m")</f>
        <v/>
      </c>
      <c r="CK317" s="21">
        <f>IFERROR((BV317/C317)^(1/19)-1,"n/m")</f>
        <v/>
      </c>
    </row>
    <row r="318" ht="15" customHeight="1">
      <c r="B318" s="26" t="inlineStr">
        <is>
          <t>LIABILITIES AND EQUITY</t>
        </is>
      </c>
      <c r="CF318" s="6" t="n"/>
    </row>
    <row r="319" ht="15" customHeight="1">
      <c r="B319" s="26" t="inlineStr">
        <is>
          <t xml:space="preserve">  Accounts payable</t>
        </is>
      </c>
      <c r="C319" s="174" t="n">
        <v>92.59999999999999</v>
      </c>
      <c r="D319" s="174" t="n">
        <v>137.2</v>
      </c>
      <c r="E319" s="174" t="n">
        <v>162.6</v>
      </c>
      <c r="F319" s="174" t="n">
        <v>119.9</v>
      </c>
      <c r="G319" s="174" t="n">
        <v>170.5</v>
      </c>
      <c r="H319" s="174" t="n">
        <v>244.6</v>
      </c>
      <c r="I319" s="174" t="n">
        <v>248.6</v>
      </c>
      <c r="J319" s="174" t="n">
        <v>267.4</v>
      </c>
      <c r="K319" s="174" t="n">
        <v>272.5</v>
      </c>
      <c r="L319" s="174" t="n">
        <v>288</v>
      </c>
      <c r="M319" s="174" t="n">
        <v>326.7</v>
      </c>
      <c r="N319" s="174" t="n">
        <v>326.7</v>
      </c>
      <c r="O319" s="174" t="n">
        <v>345.3</v>
      </c>
      <c r="P319" s="174" t="n">
        <v>397.4</v>
      </c>
      <c r="Q319" s="174" t="n">
        <v>389.3</v>
      </c>
      <c r="R319" s="174" t="n">
        <v>399.8</v>
      </c>
      <c r="S319" s="174" t="n">
        <v>399.8</v>
      </c>
      <c r="T319" s="174" t="n">
        <v>381.3</v>
      </c>
      <c r="U319" s="174" t="n">
        <v>377.5</v>
      </c>
      <c r="V319" s="174" t="n">
        <v>319.2</v>
      </c>
      <c r="W319" s="174" t="n">
        <v>319.5</v>
      </c>
      <c r="X319" s="174" t="n">
        <v>319.5</v>
      </c>
      <c r="Y319" s="174" t="n">
        <v>304.2</v>
      </c>
      <c r="Z319" s="174" t="n">
        <v>305.2</v>
      </c>
      <c r="AA319" s="174" t="n">
        <v>276.5</v>
      </c>
      <c r="AB319" s="174" t="n">
        <v>530.2</v>
      </c>
      <c r="AC319" s="174" t="n">
        <v>530.2</v>
      </c>
      <c r="AD319" s="174" t="n">
        <v>512.2</v>
      </c>
      <c r="AE319" s="174" t="n">
        <v>548.2</v>
      </c>
      <c r="AF319" s="174" t="n">
        <v>512.9</v>
      </c>
      <c r="AG319" s="174" t="n">
        <v>552.5</v>
      </c>
      <c r="AH319" s="174" t="n">
        <v>552.5</v>
      </c>
      <c r="AI319" s="174" t="n">
        <v>608.3</v>
      </c>
      <c r="AJ319" s="174" t="n">
        <v>615.7</v>
      </c>
      <c r="AK319" s="174" t="n">
        <v>557.4</v>
      </c>
      <c r="AL319" s="174" t="n">
        <v>589.4</v>
      </c>
      <c r="AM319" s="174" t="n">
        <v>589.4</v>
      </c>
      <c r="AN319" s="174" t="n">
        <v>1187.3</v>
      </c>
      <c r="AO319" s="174" t="n">
        <v>1232.6</v>
      </c>
      <c r="AP319" s="174" t="n">
        <v>1146.2</v>
      </c>
      <c r="AQ319" s="174" t="n">
        <v>1157.5</v>
      </c>
      <c r="AR319" s="174" t="n">
        <v>1157.5</v>
      </c>
      <c r="AS319" s="174" t="n">
        <v>1087.2</v>
      </c>
      <c r="AT319" s="174" t="n">
        <v>1006</v>
      </c>
      <c r="AU319" s="174" t="n">
        <v>962</v>
      </c>
      <c r="AV319" s="174" t="n">
        <v>909.4</v>
      </c>
      <c r="AW319" s="174" t="n">
        <v>909.4</v>
      </c>
      <c r="AX319" s="174" t="n">
        <v>955</v>
      </c>
      <c r="AY319" s="174" t="n">
        <v>994.7</v>
      </c>
      <c r="AZ319" s="174" t="n">
        <v>947.3</v>
      </c>
      <c r="BA319" s="174" t="n">
        <v>1012</v>
      </c>
      <c r="BB319" s="174" t="n">
        <v>1012</v>
      </c>
      <c r="BC319" s="174" t="n">
        <v>1058</v>
      </c>
      <c r="BD319" s="174" t="n">
        <v>1178</v>
      </c>
      <c r="BE319" s="174" t="n">
        <v>1206</v>
      </c>
      <c r="BF319" s="174" t="n">
        <v>1301</v>
      </c>
      <c r="BG319" s="174" t="n">
        <v>1301</v>
      </c>
      <c r="BH319" s="174" t="n">
        <v>1353</v>
      </c>
      <c r="BI319" s="174" t="n">
        <v>1307</v>
      </c>
      <c r="BJ319" s="174" t="n">
        <v>1243</v>
      </c>
      <c r="BK319" s="174" t="n">
        <v>1250</v>
      </c>
      <c r="BL319" s="174" t="n">
        <v>1250</v>
      </c>
      <c r="BM319" s="174" t="n">
        <v>1288</v>
      </c>
      <c r="BN319" s="174" t="n">
        <v>1331</v>
      </c>
      <c r="BO319" s="174" t="n">
        <v>1338</v>
      </c>
      <c r="BP319" s="174" t="n">
        <v>1300</v>
      </c>
      <c r="BQ319" s="174" t="n">
        <v>1300</v>
      </c>
      <c r="BR319" s="174" t="n">
        <v>1324</v>
      </c>
      <c r="BS319" s="174" t="n">
        <v>1407</v>
      </c>
      <c r="BT319" s="174" t="n">
        <v>1429</v>
      </c>
      <c r="BU319" s="174" t="n">
        <v>1402</v>
      </c>
      <c r="BV319" s="174" t="n">
        <v>1402</v>
      </c>
      <c r="BW319" s="174" t="n">
        <v>1423</v>
      </c>
      <c r="BX319" s="174" t="n">
        <v>1427</v>
      </c>
      <c r="BY319" s="37" t="n"/>
      <c r="BZ319" s="37" t="n"/>
      <c r="CA319" s="178">
        <f>CA349*CA352/365</f>
        <v/>
      </c>
      <c r="CB319" s="178">
        <f>CB349*CB352/365</f>
        <v/>
      </c>
      <c r="CC319" s="178">
        <f>CC349*CC352/365</f>
        <v/>
      </c>
      <c r="CD319" s="178">
        <f>CD349*CD352/365</f>
        <v/>
      </c>
      <c r="CE319" s="178">
        <f>CE349*CE352/365</f>
        <v/>
      </c>
      <c r="CF319" s="20" t="n"/>
    </row>
    <row r="320" ht="15" customHeight="1">
      <c r="B320" s="26" t="inlineStr">
        <is>
          <t xml:space="preserve">  Customer deposits / contract liabilities</t>
        </is>
      </c>
      <c r="C320" s="174" t="n">
        <v>75.5</v>
      </c>
      <c r="D320" s="174" t="n">
        <v>67.3</v>
      </c>
      <c r="E320" s="174" t="n">
        <v>80.40000000000001</v>
      </c>
      <c r="F320" s="174" t="n">
        <v>44.3</v>
      </c>
      <c r="G320" s="174" t="n">
        <v>23.8</v>
      </c>
      <c r="H320" s="174" t="n">
        <v>72.8</v>
      </c>
      <c r="I320" s="174" t="n">
        <v>82.8</v>
      </c>
      <c r="J320" s="174" t="n">
        <v>84.5</v>
      </c>
      <c r="K320" s="174" t="n">
        <v>80.5</v>
      </c>
      <c r="L320" s="174" t="n">
        <v>70.90000000000001</v>
      </c>
      <c r="M320" s="174" t="n">
        <v>66.59999999999999</v>
      </c>
      <c r="N320" s="174" t="n">
        <v>66.59999999999999</v>
      </c>
      <c r="O320" s="174" t="n">
        <v>67.09999999999999</v>
      </c>
      <c r="P320" s="174" t="n">
        <v>72.40000000000001</v>
      </c>
      <c r="Q320" s="174" t="n">
        <v>74.90000000000001</v>
      </c>
      <c r="R320" s="174" t="n">
        <v>111.8</v>
      </c>
      <c r="S320" s="174" t="n">
        <v>111.8</v>
      </c>
      <c r="T320" s="174" t="n">
        <v>106.9</v>
      </c>
      <c r="U320" s="174" t="n">
        <v>98.59999999999999</v>
      </c>
      <c r="V320" s="174" t="n">
        <v>106.9</v>
      </c>
      <c r="W320" s="174" t="n">
        <v>106.1</v>
      </c>
      <c r="X320" s="174" t="n">
        <v>106.1</v>
      </c>
      <c r="Y320" s="174" t="n">
        <v>100.7</v>
      </c>
      <c r="Z320" s="174" t="n">
        <v>111</v>
      </c>
      <c r="AA320" s="174" t="n">
        <v>108.7</v>
      </c>
      <c r="AB320" s="174" t="n">
        <v>256.6</v>
      </c>
      <c r="AC320" s="174" t="n">
        <v>256.6</v>
      </c>
      <c r="AD320" s="174" t="n">
        <v>351.6</v>
      </c>
      <c r="AE320" s="174" t="n">
        <v>373.4</v>
      </c>
      <c r="AF320" s="174" t="n">
        <v>373.8</v>
      </c>
      <c r="AG320" s="174" t="n">
        <v>369.7</v>
      </c>
      <c r="AH320" s="174" t="n">
        <v>369.7</v>
      </c>
      <c r="AI320" s="174" t="n">
        <v>378.2</v>
      </c>
      <c r="AJ320" s="174" t="n">
        <v>390.1</v>
      </c>
      <c r="AK320" s="174" t="n">
        <v>374.1</v>
      </c>
      <c r="AL320" s="174" t="n">
        <v>373.5</v>
      </c>
      <c r="AM320" s="174" t="n">
        <v>373.5</v>
      </c>
      <c r="AN320" s="174" t="n">
        <v>573.2</v>
      </c>
      <c r="AO320" s="174" t="n">
        <v>648.5</v>
      </c>
      <c r="AP320" s="174" t="n">
        <v>670.6</v>
      </c>
      <c r="AQ320" s="174" t="n">
        <v>604.2</v>
      </c>
      <c r="AR320" s="174" t="n">
        <v>604.2</v>
      </c>
      <c r="AS320" s="174" t="n">
        <v>602.8</v>
      </c>
      <c r="AT320" s="174" t="n">
        <v>619.5</v>
      </c>
      <c r="AU320" s="174" t="n">
        <v>640.9</v>
      </c>
      <c r="AV320" s="174" t="n">
        <v>642.7</v>
      </c>
      <c r="AW320" s="174" t="n">
        <v>642.7</v>
      </c>
      <c r="AX320" s="174" t="n">
        <v>640.7</v>
      </c>
      <c r="AY320" s="174" t="n">
        <v>597.5</v>
      </c>
      <c r="AZ320" s="174" t="n">
        <v>556.9</v>
      </c>
      <c r="BA320" s="174" t="n">
        <v>629</v>
      </c>
      <c r="BB320" s="174" t="n">
        <v>629</v>
      </c>
      <c r="BC320" s="174" t="n">
        <v>624</v>
      </c>
      <c r="BD320" s="174" t="n">
        <v>627</v>
      </c>
      <c r="BE320" s="174" t="n">
        <v>691</v>
      </c>
      <c r="BF320" s="174" t="n">
        <v>772</v>
      </c>
      <c r="BG320" s="174" t="n">
        <v>772</v>
      </c>
      <c r="BH320" s="174" t="n">
        <v>697</v>
      </c>
      <c r="BI320" s="174" t="n">
        <v>731</v>
      </c>
      <c r="BJ320" s="174" t="n">
        <v>679</v>
      </c>
      <c r="BK320" s="174" t="n">
        <v>804</v>
      </c>
      <c r="BL320" s="174" t="n">
        <v>804</v>
      </c>
      <c r="BM320" s="174" t="n">
        <v>645</v>
      </c>
      <c r="BN320" s="174" t="n">
        <v>646</v>
      </c>
      <c r="BO320" s="174" t="n">
        <v>567</v>
      </c>
      <c r="BP320" s="174" t="n">
        <v>693</v>
      </c>
      <c r="BQ320" s="174" t="n">
        <v>693</v>
      </c>
      <c r="BR320" s="174" t="n">
        <v>796</v>
      </c>
      <c r="BS320" s="174" t="n">
        <v>936</v>
      </c>
      <c r="BT320" s="174" t="n">
        <v>940</v>
      </c>
      <c r="BU320" s="174" t="n">
        <v>1015</v>
      </c>
      <c r="BV320" s="174" t="n">
        <v>1015</v>
      </c>
      <c r="BW320" s="174" t="n">
        <v>1006</v>
      </c>
      <c r="BX320" s="174" t="n">
        <v>878</v>
      </c>
      <c r="BY320" s="37" t="n"/>
      <c r="BZ320" s="37" t="n"/>
      <c r="CA320" s="178">
        <f>CA348*CA353</f>
        <v/>
      </c>
      <c r="CB320" s="178">
        <f>CB348*CB353</f>
        <v/>
      </c>
      <c r="CC320" s="178">
        <f>CC348*CC353</f>
        <v/>
      </c>
      <c r="CD320" s="178">
        <f>CD348*CD353</f>
        <v/>
      </c>
      <c r="CE320" s="178">
        <f>CE348*CE353</f>
        <v/>
      </c>
      <c r="CF320" s="20" t="n"/>
    </row>
    <row r="321" ht="15" customHeight="1">
      <c r="B321" s="26" t="inlineStr">
        <is>
          <t xml:space="preserve">  Accrued compensation</t>
        </is>
      </c>
      <c r="C321" s="174" t="n">
        <v>26.3</v>
      </c>
      <c r="D321" s="174" t="n">
        <v>30.5</v>
      </c>
      <c r="E321" s="174" t="n">
        <v>36.5</v>
      </c>
      <c r="F321" s="174" t="n">
        <v>30.4</v>
      </c>
      <c r="G321" s="174" t="n">
        <v>39.9</v>
      </c>
      <c r="H321" s="174" t="n">
        <v>48.6</v>
      </c>
      <c r="I321" s="174" t="n">
        <v>53.2</v>
      </c>
      <c r="J321" s="174" t="n">
        <v>45.1</v>
      </c>
      <c r="K321" s="174" t="n">
        <v>46.2</v>
      </c>
      <c r="L321" s="174" t="n">
        <v>51.6</v>
      </c>
      <c r="M321" s="174" t="n">
        <v>57.1</v>
      </c>
      <c r="N321" s="174" t="n">
        <v>57.1</v>
      </c>
      <c r="O321" s="174" t="n">
        <v>51.2</v>
      </c>
      <c r="P321" s="174" t="n">
        <v>56.4</v>
      </c>
      <c r="Q321" s="174" t="n">
        <v>64.2</v>
      </c>
      <c r="R321" s="174" t="n">
        <v>70.90000000000001</v>
      </c>
      <c r="S321" s="174" t="n">
        <v>70.90000000000001</v>
      </c>
      <c r="T321" s="174" t="n">
        <v>62.9</v>
      </c>
      <c r="U321" s="174" t="n">
        <v>66.90000000000001</v>
      </c>
      <c r="V321" s="174" t="n">
        <v>71.5</v>
      </c>
      <c r="W321" s="174" t="n">
        <v>69.90000000000001</v>
      </c>
      <c r="X321" s="174" t="n">
        <v>69.90000000000001</v>
      </c>
      <c r="Y321" s="174" t="n">
        <v>59.2</v>
      </c>
      <c r="Z321" s="174" t="n">
        <v>62.1</v>
      </c>
      <c r="AA321" s="174" t="n">
        <v>55</v>
      </c>
      <c r="AB321" s="174" t="n">
        <v>145.3</v>
      </c>
      <c r="AC321" s="174" t="n">
        <v>145.3</v>
      </c>
      <c r="AD321" s="174" t="n">
        <v>141.8</v>
      </c>
      <c r="AE321" s="174" t="n">
        <v>146.5</v>
      </c>
      <c r="AF321" s="174" t="n">
        <v>152</v>
      </c>
      <c r="AG321" s="174" t="n">
        <v>164.2</v>
      </c>
      <c r="AH321" s="174" t="n">
        <v>164.2</v>
      </c>
      <c r="AI321" s="174" t="n">
        <v>170.5</v>
      </c>
      <c r="AJ321" s="174" t="n">
        <v>163.6</v>
      </c>
      <c r="AK321" s="174" t="n">
        <v>165.2</v>
      </c>
      <c r="AL321" s="174" t="n">
        <v>173.2</v>
      </c>
      <c r="AM321" s="174" t="n">
        <v>173.2</v>
      </c>
      <c r="AN321" s="174" t="n">
        <v>273.4</v>
      </c>
      <c r="AO321" s="174" t="n">
        <v>287.9</v>
      </c>
      <c r="AP321" s="174" t="n">
        <v>287.9</v>
      </c>
      <c r="AQ321" s="174" t="n">
        <v>343.8</v>
      </c>
      <c r="AR321" s="174" t="n">
        <v>343.8</v>
      </c>
      <c r="AS321" s="174" t="n">
        <v>257.4</v>
      </c>
      <c r="AT321" s="174" t="n">
        <v>231.1</v>
      </c>
      <c r="AU321" s="174" t="n">
        <v>243.9</v>
      </c>
      <c r="AV321" s="174" t="n">
        <v>242.3</v>
      </c>
      <c r="AW321" s="174" t="n">
        <v>242.3</v>
      </c>
      <c r="AX321" s="174" t="n">
        <v>261.5</v>
      </c>
      <c r="AY321" s="174" t="n">
        <v>243.2</v>
      </c>
      <c r="AZ321" s="174" t="n">
        <v>309.3</v>
      </c>
      <c r="BA321" s="174" t="n">
        <v>335</v>
      </c>
      <c r="BB321" s="174" t="n">
        <v>335</v>
      </c>
      <c r="BC321" s="174" t="n">
        <v>287</v>
      </c>
      <c r="BD321" s="174" t="n">
        <v>228</v>
      </c>
      <c r="BE321" s="174" t="n">
        <v>278</v>
      </c>
      <c r="BF321" s="174" t="n">
        <v>300</v>
      </c>
      <c r="BG321" s="174" t="n">
        <v>300</v>
      </c>
      <c r="BH321" s="174" t="n">
        <v>295</v>
      </c>
      <c r="BI321" s="174" t="n">
        <v>249</v>
      </c>
      <c r="BJ321" s="174" t="n">
        <v>308</v>
      </c>
      <c r="BK321" s="174" t="n">
        <v>341</v>
      </c>
      <c r="BL321" s="174" t="n">
        <v>341</v>
      </c>
      <c r="BM321" s="174" t="n">
        <v>344</v>
      </c>
      <c r="BN321" s="174" t="n">
        <v>280</v>
      </c>
      <c r="BO321" s="174" t="n">
        <v>380</v>
      </c>
      <c r="BP321" s="174" t="n">
        <v>425</v>
      </c>
      <c r="BQ321" s="174" t="n">
        <v>425</v>
      </c>
      <c r="BR321" s="174" t="n">
        <v>419</v>
      </c>
      <c r="BS321" s="174" t="n">
        <v>325</v>
      </c>
      <c r="BT321" s="174" t="n">
        <v>424</v>
      </c>
      <c r="BU321" s="174" t="n">
        <v>490</v>
      </c>
      <c r="BV321" s="174" t="n">
        <v>490</v>
      </c>
      <c r="BW321" s="174" t="n">
        <v>515</v>
      </c>
      <c r="BX321" s="174" t="n">
        <v>374</v>
      </c>
      <c r="BY321" s="37" t="n"/>
      <c r="BZ321" s="37" t="n"/>
      <c r="CA321" s="178">
        <f>CA348*CA354</f>
        <v/>
      </c>
      <c r="CB321" s="178">
        <f>CB348*CB354</f>
        <v/>
      </c>
      <c r="CC321" s="178">
        <f>CC348*CC354</f>
        <v/>
      </c>
      <c r="CD321" s="178">
        <f>CD348*CD354</f>
        <v/>
      </c>
      <c r="CE321" s="178">
        <f>CE348*CE354</f>
        <v/>
      </c>
      <c r="CF321" s="20" t="n"/>
    </row>
    <row r="322" ht="15" customHeight="1">
      <c r="B322" s="26" t="inlineStr">
        <is>
          <t xml:space="preserve">  Accrued warranty</t>
        </is>
      </c>
      <c r="C322" s="174" t="n">
        <v>10.3</v>
      </c>
      <c r="D322" s="174" t="n">
        <v>14.4</v>
      </c>
      <c r="E322" s="174" t="n">
        <v>20.9</v>
      </c>
      <c r="F322" s="174" t="n">
        <v>20</v>
      </c>
      <c r="G322" s="174" t="n">
        <v>20.5</v>
      </c>
      <c r="H322" s="174" t="n">
        <v>29.4</v>
      </c>
      <c r="I322" s="174" t="n">
        <v>39.9</v>
      </c>
      <c r="J322" s="174" t="n">
        <v>41.4</v>
      </c>
      <c r="K322" s="174" t="n">
        <v>44.3</v>
      </c>
      <c r="L322" s="174" t="n">
        <v>43.8</v>
      </c>
      <c r="M322" s="174" t="n">
        <v>43.2</v>
      </c>
      <c r="N322" s="174" t="n">
        <v>43.2</v>
      </c>
      <c r="O322" s="174" t="n">
        <v>44.1</v>
      </c>
      <c r="P322" s="174" t="n">
        <v>51.6</v>
      </c>
      <c r="Q322" s="174" t="n">
        <v>53.5</v>
      </c>
      <c r="R322" s="174" t="n">
        <v>68</v>
      </c>
      <c r="S322" s="174" t="n">
        <v>68</v>
      </c>
      <c r="T322" s="174" t="n">
        <v>63.6</v>
      </c>
      <c r="U322" s="174" t="n">
        <v>74.3</v>
      </c>
      <c r="V322" s="174" t="n">
        <v>72.7</v>
      </c>
      <c r="W322" s="174" t="n">
        <v>72.7</v>
      </c>
      <c r="X322" s="174" t="n">
        <v>72.7</v>
      </c>
      <c r="Y322" s="174" t="n">
        <v>77.3</v>
      </c>
      <c r="Z322" s="174" t="n">
        <v>77.59999999999999</v>
      </c>
      <c r="AA322" s="174" t="n">
        <v>76.5</v>
      </c>
      <c r="AB322" s="174" t="n">
        <v>123.2</v>
      </c>
      <c r="AC322" s="174" t="n">
        <v>123.2</v>
      </c>
      <c r="AD322" s="174" t="n">
        <v>123.8</v>
      </c>
      <c r="AE322" s="174" t="n">
        <v>130.8</v>
      </c>
      <c r="AF322" s="174" t="n">
        <v>135</v>
      </c>
      <c r="AG322" s="174" t="n">
        <v>137.5</v>
      </c>
      <c r="AH322" s="174" t="n">
        <v>137.5</v>
      </c>
      <c r="AI322" s="174" t="n">
        <v>140.6</v>
      </c>
      <c r="AJ322" s="174" t="n">
        <v>137.1</v>
      </c>
      <c r="AK322" s="174" t="n">
        <v>136.4</v>
      </c>
      <c r="AL322" s="174" t="n">
        <v>135.6</v>
      </c>
      <c r="AM322" s="174" t="n">
        <v>135.6</v>
      </c>
      <c r="AN322" s="174" t="n">
        <v>217.8</v>
      </c>
      <c r="AO322" s="174" t="n">
        <v>223.8</v>
      </c>
      <c r="AP322" s="174" t="n">
        <v>215.8</v>
      </c>
      <c r="AQ322" s="174" t="n">
        <v>226.5</v>
      </c>
      <c r="AR322" s="174" t="n">
        <v>226.5</v>
      </c>
      <c r="AS322" s="174" t="n">
        <v>216.8</v>
      </c>
      <c r="AT322" s="174" t="n">
        <v>216.8</v>
      </c>
      <c r="AU322" s="174" t="n">
        <v>223</v>
      </c>
      <c r="AV322" s="174" t="n">
        <v>240.1</v>
      </c>
      <c r="AW322" s="174" t="n">
        <v>240.1</v>
      </c>
      <c r="AX322" s="174" t="n">
        <v>235.6</v>
      </c>
      <c r="AY322" s="174" t="n">
        <v>245.2</v>
      </c>
      <c r="AZ322" s="174" t="n">
        <v>238.1</v>
      </c>
      <c r="BA322" s="174" t="n">
        <v>228</v>
      </c>
      <c r="BB322" s="174" t="n">
        <v>228</v>
      </c>
      <c r="BC322" s="174" t="n">
        <v>224</v>
      </c>
      <c r="BD322" s="174" t="n">
        <v>216</v>
      </c>
      <c r="BE322" s="174" t="n">
        <v>208</v>
      </c>
      <c r="BF322" s="174" t="n">
        <v>215</v>
      </c>
      <c r="BG322" s="174" t="n">
        <v>215</v>
      </c>
      <c r="BH322" s="174" t="n">
        <v>222</v>
      </c>
      <c r="BI322" s="174" t="n">
        <v>223</v>
      </c>
      <c r="BJ322" s="174" t="n">
        <v>220</v>
      </c>
      <c r="BK322" s="174" t="n">
        <v>220</v>
      </c>
      <c r="BL322" s="174" t="n">
        <v>220</v>
      </c>
      <c r="BM322" s="174" t="n">
        <v>220</v>
      </c>
      <c r="BN322" s="174" t="n">
        <v>228</v>
      </c>
      <c r="BO322" s="174" t="n">
        <v>244</v>
      </c>
      <c r="BP322" s="174" t="n">
        <v>248</v>
      </c>
      <c r="BQ322" s="174" t="n">
        <v>248</v>
      </c>
      <c r="BR322" s="174" t="n">
        <v>249</v>
      </c>
      <c r="BS322" s="174" t="n">
        <v>263</v>
      </c>
      <c r="BT322" s="174" t="n">
        <v>261</v>
      </c>
      <c r="BU322" s="174" t="n">
        <v>266</v>
      </c>
      <c r="BV322" s="174" t="n">
        <v>266</v>
      </c>
      <c r="BW322" s="174" t="n">
        <v>269</v>
      </c>
      <c r="BX322" s="174" t="n">
        <v>273</v>
      </c>
      <c r="BY322" s="37" t="n"/>
      <c r="BZ322" s="37" t="n"/>
      <c r="CA322" s="178">
        <f>BX322</f>
        <v/>
      </c>
      <c r="CB322" s="178">
        <f>CA322</f>
        <v/>
      </c>
      <c r="CC322" s="178">
        <f>CB322</f>
        <v/>
      </c>
      <c r="CD322" s="178">
        <f>CC322</f>
        <v/>
      </c>
      <c r="CE322" s="178">
        <f>CD322</f>
        <v/>
      </c>
      <c r="CF322" s="20" t="n"/>
    </row>
    <row r="323" ht="15" customHeight="1">
      <c r="B323" s="26" t="inlineStr">
        <is>
          <t xml:space="preserve">  Current portion of long-term debt &amp; short-term borrowings</t>
        </is>
      </c>
      <c r="C323" s="36" t="n"/>
      <c r="D323" s="36" t="n"/>
      <c r="E323" s="174" t="n">
        <v>30.4</v>
      </c>
      <c r="F323" s="174" t="n">
        <v>32.7</v>
      </c>
      <c r="G323" s="174" t="n">
        <v>40.1</v>
      </c>
      <c r="H323" s="174" t="n">
        <v>0.1</v>
      </c>
      <c r="I323" s="174" t="n">
        <v>0</v>
      </c>
      <c r="J323" s="174" t="n">
        <v>0</v>
      </c>
      <c r="K323" s="174" t="n">
        <v>0</v>
      </c>
      <c r="L323" s="174" t="n">
        <v>0.1</v>
      </c>
      <c r="M323" s="174" t="n">
        <v>0.4</v>
      </c>
      <c r="N323" s="174" t="n">
        <v>0.4</v>
      </c>
      <c r="O323" s="174" t="n">
        <v>0.4</v>
      </c>
      <c r="P323" s="174" t="n">
        <v>0.7</v>
      </c>
      <c r="Q323" s="174" t="n">
        <v>1</v>
      </c>
      <c r="R323" s="174" t="n">
        <v>0.8</v>
      </c>
      <c r="S323" s="174" t="n">
        <v>0.8</v>
      </c>
      <c r="T323" s="174" t="n">
        <v>0.6</v>
      </c>
      <c r="U323" s="174" t="n">
        <v>0.5</v>
      </c>
      <c r="V323" s="174" t="n">
        <v>0.4</v>
      </c>
      <c r="W323" s="174" t="n">
        <v>0.4</v>
      </c>
      <c r="X323" s="174" t="n">
        <v>0.4</v>
      </c>
      <c r="Y323" s="174" t="n">
        <v>0.1</v>
      </c>
      <c r="Z323" s="174" t="n">
        <v>0.1</v>
      </c>
      <c r="AA323" s="174" t="n">
        <v>0.1</v>
      </c>
      <c r="AB323" s="174" t="n">
        <v>129.8</v>
      </c>
      <c r="AC323" s="174" t="n">
        <v>129.8</v>
      </c>
      <c r="AD323" s="174" t="n">
        <v>87.40000000000001</v>
      </c>
      <c r="AE323" s="174" t="n">
        <v>50.7</v>
      </c>
      <c r="AF323" s="174" t="n">
        <v>49.7</v>
      </c>
      <c r="AG323" s="174" t="n">
        <v>47.2</v>
      </c>
      <c r="AH323" s="174" t="n">
        <v>47.2</v>
      </c>
      <c r="AI323" s="174" t="n">
        <v>49.6</v>
      </c>
      <c r="AJ323" s="174" t="n">
        <v>27.1</v>
      </c>
      <c r="AK323" s="174" t="n">
        <v>47</v>
      </c>
      <c r="AL323" s="174" t="n">
        <v>64.09999999999999</v>
      </c>
      <c r="AM323" s="174" t="n">
        <v>64.09999999999999</v>
      </c>
      <c r="AN323" s="174" t="n">
        <v>321.3</v>
      </c>
      <c r="AO323" s="174" t="n">
        <v>104.4</v>
      </c>
      <c r="AP323" s="174" t="n">
        <v>111.8</v>
      </c>
      <c r="AQ323" s="174" t="n">
        <v>95.7</v>
      </c>
      <c r="AR323" s="174" t="n">
        <v>95.7</v>
      </c>
      <c r="AS323" s="174" t="n">
        <v>92.8</v>
      </c>
      <c r="AT323" s="174" t="n">
        <v>697.1</v>
      </c>
      <c r="AU323" s="174" t="n">
        <v>454.8</v>
      </c>
      <c r="AV323" s="174" t="n">
        <v>447.2</v>
      </c>
      <c r="AW323" s="174" t="n">
        <v>447.2</v>
      </c>
      <c r="AX323" s="174" t="n">
        <v>353.9</v>
      </c>
      <c r="AY323" s="174" t="n">
        <v>0.6</v>
      </c>
      <c r="AZ323" s="174" t="n">
        <v>3.8</v>
      </c>
      <c r="BA323" s="174" t="n">
        <v>2</v>
      </c>
      <c r="BB323" s="174" t="n">
        <v>2</v>
      </c>
      <c r="BC323" s="174" t="n">
        <v>14</v>
      </c>
      <c r="BD323" s="174" t="n">
        <v>226</v>
      </c>
      <c r="BE323" s="174" t="n">
        <v>251</v>
      </c>
      <c r="BF323" s="174" t="n">
        <v>251</v>
      </c>
      <c r="BG323" s="174" t="n">
        <v>251</v>
      </c>
      <c r="BH323" s="174" t="n">
        <v>975</v>
      </c>
      <c r="BI323" s="174" t="n">
        <v>989</v>
      </c>
      <c r="BJ323" s="174" t="n">
        <v>759</v>
      </c>
      <c r="BK323" s="174" t="n">
        <v>781</v>
      </c>
      <c r="BL323" s="174" t="n">
        <v>781</v>
      </c>
      <c r="BM323" s="174" t="n">
        <v>3</v>
      </c>
      <c r="BN323" s="174" t="n">
        <v>503</v>
      </c>
      <c r="BO323" s="174" t="n">
        <v>500</v>
      </c>
      <c r="BP323" s="174" t="n">
        <v>500</v>
      </c>
      <c r="BQ323" s="174" t="n">
        <v>500</v>
      </c>
      <c r="BR323" s="174" t="n">
        <v>504</v>
      </c>
      <c r="BS323" s="174" t="n">
        <v>0</v>
      </c>
      <c r="BT323" s="174" t="n">
        <v>251</v>
      </c>
      <c r="BU323" s="174" t="n">
        <v>1250</v>
      </c>
      <c r="BV323" s="174" t="n">
        <v>1250</v>
      </c>
      <c r="BW323" s="174" t="n">
        <v>1830</v>
      </c>
      <c r="BX323" s="174" t="n">
        <v>1656</v>
      </c>
      <c r="BY323" s="37" t="n"/>
      <c r="BZ323" s="37" t="n"/>
      <c r="CA323" s="178">
        <f>MIN(CA380,-CB381)</f>
        <v/>
      </c>
      <c r="CB323" s="178">
        <f>MIN(CB380,-CC381)</f>
        <v/>
      </c>
      <c r="CC323" s="178">
        <f>MIN(CC380,-CD381)</f>
        <v/>
      </c>
      <c r="CD323" s="178">
        <f>MIN(CD380,-CE381)</f>
        <v/>
      </c>
      <c r="CE323" s="178">
        <f>MIN(CE380,-CE381)</f>
        <v/>
      </c>
      <c r="CF323" s="20" t="inlineStr">
        <is>
          <t>Forecast: next year's scheduled note maturities.</t>
        </is>
      </c>
    </row>
    <row r="324" ht="15" customHeight="1">
      <c r="B324" s="26" t="inlineStr">
        <is>
          <t xml:space="preserve">  Other current liabilities (derived)</t>
        </is>
      </c>
      <c r="C324" s="174" t="n">
        <v>39.1</v>
      </c>
      <c r="D324" s="174" t="n">
        <v>45.8</v>
      </c>
      <c r="E324" s="174" t="n">
        <v>57.3</v>
      </c>
      <c r="F324" s="174" t="n">
        <v>58</v>
      </c>
      <c r="G324" s="174" t="n">
        <v>53.6</v>
      </c>
      <c r="H324" s="174" t="n">
        <v>145.9</v>
      </c>
      <c r="I324" s="174" t="n">
        <v>128.6</v>
      </c>
      <c r="J324" s="174" t="n">
        <v>122.6</v>
      </c>
      <c r="K324" s="174" t="n">
        <v>80.8</v>
      </c>
      <c r="L324" s="174" t="n">
        <v>87.40000000000001</v>
      </c>
      <c r="M324" s="174" t="n">
        <v>85.40000000000001</v>
      </c>
      <c r="N324" s="174" t="n">
        <v>85.40000000000001</v>
      </c>
      <c r="O324" s="174" t="n">
        <v>72.8</v>
      </c>
      <c r="P324" s="174" t="n">
        <v>89.90000000000001</v>
      </c>
      <c r="Q324" s="174" t="n">
        <v>91.8</v>
      </c>
      <c r="R324" s="174" t="n">
        <v>87.5</v>
      </c>
      <c r="S324" s="174" t="n">
        <v>87.5</v>
      </c>
      <c r="T324" s="174" t="n">
        <v>80.5</v>
      </c>
      <c r="U324" s="174" t="n">
        <v>81.7</v>
      </c>
      <c r="V324" s="174" t="n">
        <v>83.90000000000001</v>
      </c>
      <c r="W324" s="174" t="n">
        <v>96.2</v>
      </c>
      <c r="X324" s="174" t="n">
        <v>96.2</v>
      </c>
      <c r="Y324" s="174" t="n">
        <v>116.2</v>
      </c>
      <c r="Z324" s="174" t="n">
        <v>108.6</v>
      </c>
      <c r="AA324" s="174" t="n">
        <v>108.1</v>
      </c>
      <c r="AB324" s="174" t="n">
        <v>261.5</v>
      </c>
      <c r="AC324" s="174" t="n">
        <v>261.5</v>
      </c>
      <c r="AD324" s="174" t="n">
        <v>254.6</v>
      </c>
      <c r="AE324" s="174" t="n">
        <v>232.5</v>
      </c>
      <c r="AF324" s="174" t="n">
        <v>242</v>
      </c>
      <c r="AG324" s="174" t="n">
        <v>302.2</v>
      </c>
      <c r="AH324" s="174" t="n">
        <v>302.2</v>
      </c>
      <c r="AI324" s="174" t="n">
        <v>300.8</v>
      </c>
      <c r="AJ324" s="174" t="n">
        <v>272.9</v>
      </c>
      <c r="AK324" s="174" t="n">
        <v>250.2</v>
      </c>
      <c r="AL324" s="174" t="n">
        <v>310.9</v>
      </c>
      <c r="AM324" s="174" t="n">
        <v>310.9</v>
      </c>
      <c r="AN324" s="174" t="n">
        <v>681.4</v>
      </c>
      <c r="AO324" s="174" t="n">
        <v>714.1</v>
      </c>
      <c r="AP324" s="174" t="n">
        <v>766.6</v>
      </c>
      <c r="AQ324" s="174" t="n">
        <v>830.3</v>
      </c>
      <c r="AR324" s="174" t="n">
        <v>830.3</v>
      </c>
      <c r="AS324" s="174" t="n">
        <v>724.6</v>
      </c>
      <c r="AT324" s="174" t="n">
        <v>712.7</v>
      </c>
      <c r="AU324" s="174" t="n">
        <v>704</v>
      </c>
      <c r="AV324" s="174" t="n">
        <v>744.6</v>
      </c>
      <c r="AW324" s="174" t="n">
        <v>744.6</v>
      </c>
      <c r="AX324" s="174" t="n">
        <v>722.2</v>
      </c>
      <c r="AY324" s="174" t="n">
        <v>763.5</v>
      </c>
      <c r="AZ324" s="174" t="n">
        <v>756.2</v>
      </c>
      <c r="BA324" s="174" t="n">
        <v>704</v>
      </c>
      <c r="BB324" s="174" t="n">
        <v>704</v>
      </c>
      <c r="BC324" s="174" t="n">
        <v>673</v>
      </c>
      <c r="BD324" s="174" t="n">
        <v>715</v>
      </c>
      <c r="BE324" s="174" t="n">
        <v>694</v>
      </c>
      <c r="BF324" s="174" t="n">
        <v>628</v>
      </c>
      <c r="BG324" s="174" t="n">
        <v>628</v>
      </c>
      <c r="BH324" s="174" t="n">
        <v>623</v>
      </c>
      <c r="BI324" s="174" t="n">
        <v>674</v>
      </c>
      <c r="BJ324" s="174" t="n">
        <v>682</v>
      </c>
      <c r="BK324" s="174" t="n">
        <v>660</v>
      </c>
      <c r="BL324" s="174" t="n">
        <v>660</v>
      </c>
      <c r="BM324" s="174" t="n">
        <v>653</v>
      </c>
      <c r="BN324" s="174" t="n">
        <v>659</v>
      </c>
      <c r="BO324" s="174" t="n">
        <v>652</v>
      </c>
      <c r="BP324" s="174" t="n">
        <v>626</v>
      </c>
      <c r="BQ324" s="174" t="n">
        <v>626</v>
      </c>
      <c r="BR324" s="174" t="n">
        <v>635</v>
      </c>
      <c r="BS324" s="174" t="n">
        <v>675</v>
      </c>
      <c r="BT324" s="174" t="n">
        <v>759</v>
      </c>
      <c r="BU324" s="174" t="n">
        <v>727</v>
      </c>
      <c r="BV324" s="174" t="n">
        <v>727</v>
      </c>
      <c r="BW324" s="174" t="n">
        <v>792</v>
      </c>
      <c r="BX324" s="174" t="n">
        <v>779</v>
      </c>
      <c r="BY324" s="37" t="n"/>
      <c r="BZ324" s="37" t="n"/>
      <c r="CA324" s="178">
        <f>BX324</f>
        <v/>
      </c>
      <c r="CB324" s="178">
        <f>CA324</f>
        <v/>
      </c>
      <c r="CC324" s="178">
        <f>CB324</f>
        <v/>
      </c>
      <c r="CD324" s="178">
        <f>CC324</f>
        <v/>
      </c>
      <c r="CE324" s="178">
        <f>CD324</f>
        <v/>
      </c>
      <c r="CF324" s="20" t="n"/>
    </row>
    <row r="325" ht="15" customHeight="1">
      <c r="B325" s="17" t="inlineStr">
        <is>
          <t>Total current liabilities</t>
        </is>
      </c>
      <c r="C325" s="198">
        <f>IF(ISNUMBER(C319),SUM(C319:C324),"")</f>
        <v/>
      </c>
      <c r="D325" s="198">
        <f>IF(ISNUMBER(D319),SUM(D319:D324),"")</f>
        <v/>
      </c>
      <c r="E325" s="198">
        <f>IF(ISNUMBER(E319),SUM(E319:E324),"")</f>
        <v/>
      </c>
      <c r="F325" s="198">
        <f>IF(ISNUMBER(F319),SUM(F319:F324),"")</f>
        <v/>
      </c>
      <c r="G325" s="198">
        <f>IF(ISNUMBER(G319),SUM(G319:G324),"")</f>
        <v/>
      </c>
      <c r="H325" s="198">
        <f>IF(ISNUMBER(H319),SUM(H319:H324),"")</f>
        <v/>
      </c>
      <c r="I325" s="198">
        <f>IF(ISNUMBER(I319),SUM(I319:I324),"")</f>
        <v/>
      </c>
      <c r="J325" s="198">
        <f>IF(ISNUMBER(J319),SUM(J319:J324),"")</f>
        <v/>
      </c>
      <c r="K325" s="198">
        <f>IF(ISNUMBER(K319),SUM(K319:K324),"")</f>
        <v/>
      </c>
      <c r="L325" s="198">
        <f>IF(ISNUMBER(L319),SUM(L319:L324),"")</f>
        <v/>
      </c>
      <c r="M325" s="198">
        <f>IF(ISNUMBER(M319),SUM(M319:M324),"")</f>
        <v/>
      </c>
      <c r="N325" s="198">
        <f>IF(ISNUMBER(N319),SUM(N319:N324),"")</f>
        <v/>
      </c>
      <c r="O325" s="198">
        <f>IF(ISNUMBER(O319),SUM(O319:O324),"")</f>
        <v/>
      </c>
      <c r="P325" s="198">
        <f>IF(ISNUMBER(P319),SUM(P319:P324),"")</f>
        <v/>
      </c>
      <c r="Q325" s="198">
        <f>IF(ISNUMBER(Q319),SUM(Q319:Q324),"")</f>
        <v/>
      </c>
      <c r="R325" s="198">
        <f>IF(ISNUMBER(R319),SUM(R319:R324),"")</f>
        <v/>
      </c>
      <c r="S325" s="198">
        <f>IF(ISNUMBER(S319),SUM(S319:S324),"")</f>
        <v/>
      </c>
      <c r="T325" s="198">
        <f>IF(ISNUMBER(T319),SUM(T319:T324),"")</f>
        <v/>
      </c>
      <c r="U325" s="198">
        <f>IF(ISNUMBER(U319),SUM(U319:U324),"")</f>
        <v/>
      </c>
      <c r="V325" s="198">
        <f>IF(ISNUMBER(V319),SUM(V319:V324),"")</f>
        <v/>
      </c>
      <c r="W325" s="198">
        <f>IF(ISNUMBER(W319),SUM(W319:W324),"")</f>
        <v/>
      </c>
      <c r="X325" s="198">
        <f>IF(ISNUMBER(X319),SUM(X319:X324),"")</f>
        <v/>
      </c>
      <c r="Y325" s="198">
        <f>IF(ISNUMBER(Y319),SUM(Y319:Y324),"")</f>
        <v/>
      </c>
      <c r="Z325" s="198">
        <f>IF(ISNUMBER(Z319),SUM(Z319:Z324),"")</f>
        <v/>
      </c>
      <c r="AA325" s="198">
        <f>IF(ISNUMBER(AA319),SUM(AA319:AA324),"")</f>
        <v/>
      </c>
      <c r="AB325" s="198">
        <f>IF(ISNUMBER(AB319),SUM(AB319:AB324),"")</f>
        <v/>
      </c>
      <c r="AC325" s="198">
        <f>IF(ISNUMBER(AC319),SUM(AC319:AC324),"")</f>
        <v/>
      </c>
      <c r="AD325" s="198">
        <f>IF(ISNUMBER(AD319),SUM(AD319:AD324),"")</f>
        <v/>
      </c>
      <c r="AE325" s="198">
        <f>IF(ISNUMBER(AE319),SUM(AE319:AE324),"")</f>
        <v/>
      </c>
      <c r="AF325" s="198">
        <f>IF(ISNUMBER(AF319),SUM(AF319:AF324),"")</f>
        <v/>
      </c>
      <c r="AG325" s="198">
        <f>IF(ISNUMBER(AG319),SUM(AG319:AG324),"")</f>
        <v/>
      </c>
      <c r="AH325" s="198">
        <f>IF(ISNUMBER(AH319),SUM(AH319:AH324),"")</f>
        <v/>
      </c>
      <c r="AI325" s="198">
        <f>IF(ISNUMBER(AI319),SUM(AI319:AI324),"")</f>
        <v/>
      </c>
      <c r="AJ325" s="198">
        <f>IF(ISNUMBER(AJ319),SUM(AJ319:AJ324),"")</f>
        <v/>
      </c>
      <c r="AK325" s="198">
        <f>IF(ISNUMBER(AK319),SUM(AK319:AK324),"")</f>
        <v/>
      </c>
      <c r="AL325" s="198">
        <f>IF(ISNUMBER(AL319),SUM(AL319:AL324),"")</f>
        <v/>
      </c>
      <c r="AM325" s="198">
        <f>IF(ISNUMBER(AM319),SUM(AM319:AM324),"")</f>
        <v/>
      </c>
      <c r="AN325" s="198">
        <f>IF(ISNUMBER(AN319),SUM(AN319:AN324),"")</f>
        <v/>
      </c>
      <c r="AO325" s="198">
        <f>IF(ISNUMBER(AO319),SUM(AO319:AO324),"")</f>
        <v/>
      </c>
      <c r="AP325" s="198">
        <f>IF(ISNUMBER(AP319),SUM(AP319:AP324),"")</f>
        <v/>
      </c>
      <c r="AQ325" s="198">
        <f>IF(ISNUMBER(AQ319),SUM(AQ319:AQ324),"")</f>
        <v/>
      </c>
      <c r="AR325" s="198">
        <f>IF(ISNUMBER(AR319),SUM(AR319:AR324),"")</f>
        <v/>
      </c>
      <c r="AS325" s="198">
        <f>IF(ISNUMBER(AS319),SUM(AS319:AS324),"")</f>
        <v/>
      </c>
      <c r="AT325" s="198">
        <f>IF(ISNUMBER(AT319),SUM(AT319:AT324),"")</f>
        <v/>
      </c>
      <c r="AU325" s="198">
        <f>IF(ISNUMBER(AU319),SUM(AU319:AU324),"")</f>
        <v/>
      </c>
      <c r="AV325" s="198">
        <f>IF(ISNUMBER(AV319),SUM(AV319:AV324),"")</f>
        <v/>
      </c>
      <c r="AW325" s="198">
        <f>IF(ISNUMBER(AW319),SUM(AW319:AW324),"")</f>
        <v/>
      </c>
      <c r="AX325" s="198">
        <f>IF(ISNUMBER(AX319),SUM(AX319:AX324),"")</f>
        <v/>
      </c>
      <c r="AY325" s="198">
        <f>IF(ISNUMBER(AY319),SUM(AY319:AY324),"")</f>
        <v/>
      </c>
      <c r="AZ325" s="198">
        <f>IF(ISNUMBER(AZ319),SUM(AZ319:AZ324),"")</f>
        <v/>
      </c>
      <c r="BA325" s="198">
        <f>IF(ISNUMBER(BA319),SUM(BA319:BA324),"")</f>
        <v/>
      </c>
      <c r="BB325" s="198">
        <f>IF(ISNUMBER(BB319),SUM(BB319:BB324),"")</f>
        <v/>
      </c>
      <c r="BC325" s="198">
        <f>IF(ISNUMBER(BC319),SUM(BC319:BC324),"")</f>
        <v/>
      </c>
      <c r="BD325" s="198">
        <f>IF(ISNUMBER(BD319),SUM(BD319:BD324),"")</f>
        <v/>
      </c>
      <c r="BE325" s="198">
        <f>IF(ISNUMBER(BE319),SUM(BE319:BE324),"")</f>
        <v/>
      </c>
      <c r="BF325" s="198">
        <f>IF(ISNUMBER(BF319),SUM(BF319:BF324),"")</f>
        <v/>
      </c>
      <c r="BG325" s="198">
        <f>IF(ISNUMBER(BG319),SUM(BG319:BG324),"")</f>
        <v/>
      </c>
      <c r="BH325" s="198">
        <f>IF(ISNUMBER(BH319),SUM(BH319:BH324),"")</f>
        <v/>
      </c>
      <c r="BI325" s="198">
        <f>IF(ISNUMBER(BI319),SUM(BI319:BI324),"")</f>
        <v/>
      </c>
      <c r="BJ325" s="198">
        <f>IF(ISNUMBER(BJ319),SUM(BJ319:BJ324),"")</f>
        <v/>
      </c>
      <c r="BK325" s="198">
        <f>IF(ISNUMBER(BK319),SUM(BK319:BK324),"")</f>
        <v/>
      </c>
      <c r="BL325" s="198">
        <f>IF(ISNUMBER(BL319),SUM(BL319:BL324),"")</f>
        <v/>
      </c>
      <c r="BM325" s="198">
        <f>IF(ISNUMBER(BM319),SUM(BM319:BM324),"")</f>
        <v/>
      </c>
      <c r="BN325" s="198">
        <f>IF(ISNUMBER(BN319),SUM(BN319:BN324),"")</f>
        <v/>
      </c>
      <c r="BO325" s="198">
        <f>IF(ISNUMBER(BO319),SUM(BO319:BO324),"")</f>
        <v/>
      </c>
      <c r="BP325" s="198">
        <f>IF(ISNUMBER(BP319),SUM(BP319:BP324),"")</f>
        <v/>
      </c>
      <c r="BQ325" s="198">
        <f>IF(ISNUMBER(BQ319),SUM(BQ319:BQ324),"")</f>
        <v/>
      </c>
      <c r="BR325" s="198">
        <f>IF(ISNUMBER(BR319),SUM(BR319:BR324),"")</f>
        <v/>
      </c>
      <c r="BS325" s="198">
        <f>IF(ISNUMBER(BS319),SUM(BS319:BS324),"")</f>
        <v/>
      </c>
      <c r="BT325" s="198">
        <f>IF(ISNUMBER(BT319),SUM(BT319:BT324),"")</f>
        <v/>
      </c>
      <c r="BU325" s="198">
        <f>IF(ISNUMBER(BU319),SUM(BU319:BU324),"")</f>
        <v/>
      </c>
      <c r="BV325" s="198">
        <f>IF(ISNUMBER(BV319),SUM(BV319:BV324),"")</f>
        <v/>
      </c>
      <c r="BW325" s="198">
        <f>IF(ISNUMBER(BW319),SUM(BW319:BW324),"")</f>
        <v/>
      </c>
      <c r="BX325" s="198">
        <f>IF(ISNUMBER(BX319),SUM(BX319:BX324),"")</f>
        <v/>
      </c>
      <c r="BY325" s="34" t="n"/>
      <c r="BZ325" s="34" t="n"/>
      <c r="CA325" s="185">
        <f>IF(ISNUMBER(CA319),SUM(CA319:CA324),"")</f>
        <v/>
      </c>
      <c r="CB325" s="185">
        <f>IF(ISNUMBER(CB319),SUM(CB319:CB324),"")</f>
        <v/>
      </c>
      <c r="CC325" s="185">
        <f>IF(ISNUMBER(CC319),SUM(CC319:CC324),"")</f>
        <v/>
      </c>
      <c r="CD325" s="185">
        <f>IF(ISNUMBER(CD319),SUM(CD319:CD324),"")</f>
        <v/>
      </c>
      <c r="CE325" s="185">
        <f>IF(ISNUMBER(CE319),SUM(CE319:CE324),"")</f>
        <v/>
      </c>
      <c r="CF325" s="6" t="n"/>
    </row>
    <row r="326" ht="15" customHeight="1">
      <c r="B326" s="26" t="inlineStr">
        <is>
          <t xml:space="preserve">  Long-term debt</t>
        </is>
      </c>
      <c r="C326" s="174" t="n">
        <v>150</v>
      </c>
      <c r="D326" s="174" t="n">
        <v>150.2</v>
      </c>
      <c r="E326" s="174" t="n">
        <v>356.7</v>
      </c>
      <c r="F326" s="174" t="n">
        <v>359</v>
      </c>
      <c r="G326" s="174" t="n">
        <v>382</v>
      </c>
      <c r="H326" s="174" t="n">
        <v>395.8</v>
      </c>
      <c r="I326" s="174" t="n">
        <v>317.9</v>
      </c>
      <c r="J326" s="174" t="n">
        <v>417.5</v>
      </c>
      <c r="K326" s="174" t="n">
        <v>396.9</v>
      </c>
      <c r="L326" s="174" t="n">
        <v>539.6</v>
      </c>
      <c r="M326" s="174" t="n">
        <v>450.3</v>
      </c>
      <c r="N326" s="174" t="n">
        <v>450.3</v>
      </c>
      <c r="O326" s="174" t="n">
        <v>450.2</v>
      </c>
      <c r="P326" s="174" t="n">
        <v>500.2</v>
      </c>
      <c r="Q326" s="174" t="n">
        <v>521.1</v>
      </c>
      <c r="R326" s="174" t="n">
        <v>520.4</v>
      </c>
      <c r="S326" s="174" t="n">
        <v>520.4</v>
      </c>
      <c r="T326" s="174" t="n">
        <v>420.4</v>
      </c>
      <c r="U326" s="174" t="n">
        <v>400.3</v>
      </c>
      <c r="V326" s="174" t="n">
        <v>450.6</v>
      </c>
      <c r="W326" s="174" t="n">
        <v>695.3</v>
      </c>
      <c r="X326" s="174" t="n">
        <v>695.3</v>
      </c>
      <c r="Y326" s="174" t="n">
        <v>801.9</v>
      </c>
      <c r="Z326" s="174" t="n">
        <v>744.1</v>
      </c>
      <c r="AA326" s="174" t="n">
        <v>819.8</v>
      </c>
      <c r="AB326" s="174" t="n">
        <v>1763</v>
      </c>
      <c r="AC326" s="174" t="n">
        <v>1763</v>
      </c>
      <c r="AD326" s="174" t="n">
        <v>1782.6</v>
      </c>
      <c r="AE326" s="174" t="n">
        <v>1934.6</v>
      </c>
      <c r="AF326" s="174" t="n">
        <v>1824.2</v>
      </c>
      <c r="AG326" s="174" t="n">
        <v>1823.3</v>
      </c>
      <c r="AH326" s="174" t="n">
        <v>1823.3</v>
      </c>
      <c r="AI326" s="174" t="n">
        <v>1871.1</v>
      </c>
      <c r="AJ326" s="174" t="n">
        <v>1857.8</v>
      </c>
      <c r="AK326" s="174" t="n">
        <v>3818.1</v>
      </c>
      <c r="AL326" s="174" t="n">
        <v>3792.8</v>
      </c>
      <c r="AM326" s="174" t="n">
        <v>3792.8</v>
      </c>
      <c r="AN326" s="174" t="n">
        <v>4641.3</v>
      </c>
      <c r="AO326" s="174" t="n">
        <v>4528.8</v>
      </c>
      <c r="AP326" s="174" t="n">
        <v>4633.5</v>
      </c>
      <c r="AQ326" s="174" t="n">
        <v>4333.6</v>
      </c>
      <c r="AR326" s="174" t="n">
        <v>4333.6</v>
      </c>
      <c r="AS326" s="174" t="n">
        <v>4655.1</v>
      </c>
      <c r="AT326" s="174" t="n">
        <v>3768.7</v>
      </c>
      <c r="AU326" s="174" t="n">
        <v>3799.9</v>
      </c>
      <c r="AV326" s="174" t="n">
        <v>3792.2</v>
      </c>
      <c r="AW326" s="174" t="n">
        <v>3792.2</v>
      </c>
      <c r="AX326" s="174" t="n">
        <v>3923.3</v>
      </c>
      <c r="AY326" s="174" t="n">
        <v>4079.6</v>
      </c>
      <c r="AZ326" s="174" t="n">
        <v>4067.2</v>
      </c>
      <c r="BA326" s="174" t="n">
        <v>4056</v>
      </c>
      <c r="BB326" s="174" t="n">
        <v>4056</v>
      </c>
      <c r="BC326" s="174" t="n">
        <v>4225</v>
      </c>
      <c r="BD326" s="174" t="n">
        <v>3987</v>
      </c>
      <c r="BE326" s="174" t="n">
        <v>3824</v>
      </c>
      <c r="BF326" s="174" t="n">
        <v>3751</v>
      </c>
      <c r="BG326" s="174" t="n">
        <v>3751</v>
      </c>
      <c r="BH326" s="174" t="n">
        <v>3189</v>
      </c>
      <c r="BI326" s="174" t="n">
        <v>3401</v>
      </c>
      <c r="BJ326" s="174" t="n">
        <v>3288</v>
      </c>
      <c r="BK326" s="174" t="n">
        <v>3288</v>
      </c>
      <c r="BL326" s="174" t="n">
        <v>3288</v>
      </c>
      <c r="BM326" s="174" t="n">
        <v>3997</v>
      </c>
      <c r="BN326" s="174" t="n">
        <v>3494</v>
      </c>
      <c r="BO326" s="174" t="n">
        <v>3517</v>
      </c>
      <c r="BP326" s="174" t="n">
        <v>3480</v>
      </c>
      <c r="BQ326" s="174" t="n">
        <v>3480</v>
      </c>
      <c r="BR326" s="174" t="n">
        <v>3503</v>
      </c>
      <c r="BS326" s="174" t="n">
        <v>4784</v>
      </c>
      <c r="BT326" s="174" t="n">
        <v>5034</v>
      </c>
      <c r="BU326" s="174" t="n">
        <v>4291</v>
      </c>
      <c r="BV326" s="174" t="n">
        <v>4291</v>
      </c>
      <c r="BW326" s="174" t="n">
        <v>4708</v>
      </c>
      <c r="BX326" s="174" t="n">
        <v>4915</v>
      </c>
      <c r="BY326" s="37" t="n"/>
      <c r="BZ326" s="37" t="n"/>
      <c r="CA326" s="178">
        <f>CA380-CA323</f>
        <v/>
      </c>
      <c r="CB326" s="178">
        <f>CB380-CB323</f>
        <v/>
      </c>
      <c r="CC326" s="178">
        <f>CC380-CC323</f>
        <v/>
      </c>
      <c r="CD326" s="178">
        <f>CD380-CD323</f>
        <v/>
      </c>
      <c r="CE326" s="178">
        <f>CE380-CE323</f>
        <v/>
      </c>
      <c r="CF326" s="20" t="n"/>
    </row>
    <row r="327" ht="15" customHeight="1">
      <c r="B327" s="26" t="inlineStr">
        <is>
          <t xml:space="preserve">  Accrued postretirement &amp; pension benefits</t>
        </is>
      </c>
      <c r="C327" s="174" t="n">
        <v>74.5</v>
      </c>
      <c r="D327" s="174" t="n">
        <v>53.5</v>
      </c>
      <c r="E327" s="174" t="n">
        <v>69.3</v>
      </c>
      <c r="F327" s="174" t="n">
        <v>64.09999999999999</v>
      </c>
      <c r="G327" s="174" t="n">
        <v>60.5</v>
      </c>
      <c r="H327" s="174" t="n">
        <v>63.8</v>
      </c>
      <c r="I327" s="174" t="n">
        <v>66.40000000000001</v>
      </c>
      <c r="J327" s="174" t="n">
        <v>63.6</v>
      </c>
      <c r="K327" s="174" t="n">
        <v>63</v>
      </c>
      <c r="L327" s="174" t="n">
        <v>60.3</v>
      </c>
      <c r="M327" s="174" t="n">
        <v>50</v>
      </c>
      <c r="N327" s="174" t="n">
        <v>50</v>
      </c>
      <c r="O327" s="174" t="n">
        <v>49.6</v>
      </c>
      <c r="P327" s="174" t="n">
        <v>48</v>
      </c>
      <c r="Q327" s="174" t="n">
        <v>62.4</v>
      </c>
      <c r="R327" s="174" t="n">
        <v>81.90000000000001</v>
      </c>
      <c r="S327" s="174" t="n">
        <v>81.90000000000001</v>
      </c>
      <c r="T327" s="174" t="n">
        <v>78.09999999999999</v>
      </c>
      <c r="U327" s="174" t="n">
        <v>79.40000000000001</v>
      </c>
      <c r="V327" s="174" t="n">
        <v>78.40000000000001</v>
      </c>
      <c r="W327" s="174" t="n">
        <v>55.8</v>
      </c>
      <c r="X327" s="174" t="n">
        <v>55.8</v>
      </c>
      <c r="Y327" s="174" t="n">
        <v>59.6</v>
      </c>
      <c r="Z327" s="174" t="n">
        <v>56.5</v>
      </c>
      <c r="AA327" s="174" t="n">
        <v>55.6</v>
      </c>
      <c r="AB327" s="174" t="n">
        <v>110.6</v>
      </c>
      <c r="AC327" s="174" t="n">
        <v>110.6</v>
      </c>
      <c r="AD327" s="174" t="n">
        <v>110.1</v>
      </c>
      <c r="AE327" s="174" t="n">
        <v>112.9</v>
      </c>
      <c r="AF327" s="174" t="n">
        <v>108.2</v>
      </c>
      <c r="AG327" s="174" t="n">
        <v>103.7</v>
      </c>
      <c r="AH327" s="174" t="n">
        <v>103.7</v>
      </c>
      <c r="AI327" s="174" t="n">
        <v>105.6</v>
      </c>
      <c r="AJ327" s="174" t="n">
        <v>98.7</v>
      </c>
      <c r="AK327" s="174" t="n">
        <v>95.3</v>
      </c>
      <c r="AL327" s="174" t="n">
        <v>95.40000000000001</v>
      </c>
      <c r="AM327" s="174" t="n">
        <v>95.40000000000001</v>
      </c>
      <c r="AN327" s="174" t="n">
        <v>96.5</v>
      </c>
      <c r="AO327" s="174" t="n">
        <v>95.59999999999999</v>
      </c>
      <c r="AP327" s="174" t="n">
        <v>92.59999999999999</v>
      </c>
      <c r="AQ327" s="174" t="n">
        <v>113</v>
      </c>
      <c r="AR327" s="174" t="n">
        <v>113</v>
      </c>
      <c r="AS327" s="174" t="n">
        <v>109.2</v>
      </c>
      <c r="AT327" s="174" t="n">
        <v>106.6</v>
      </c>
      <c r="AU327" s="174" t="n">
        <v>106.1</v>
      </c>
      <c r="AV327" s="174" t="n">
        <v>113.5</v>
      </c>
      <c r="AW327" s="174" t="n">
        <v>113.5</v>
      </c>
      <c r="AX327" s="174" t="n">
        <v>110</v>
      </c>
      <c r="AY327" s="174" t="n">
        <v>108.1</v>
      </c>
      <c r="AZ327" s="174" t="n">
        <v>104.2</v>
      </c>
      <c r="BA327" s="174" t="n">
        <v>77</v>
      </c>
      <c r="BB327" s="174" t="n">
        <v>77</v>
      </c>
      <c r="BC327" s="174" t="n">
        <v>72</v>
      </c>
      <c r="BD327" s="174" t="n">
        <v>68</v>
      </c>
      <c r="BE327" s="174" t="n">
        <v>63</v>
      </c>
      <c r="BF327" s="174" t="n">
        <v>57</v>
      </c>
      <c r="BG327" s="174" t="n">
        <v>57</v>
      </c>
      <c r="BH327" s="174" t="n">
        <v>58</v>
      </c>
      <c r="BI327" s="174" t="n">
        <v>64</v>
      </c>
      <c r="BJ327" s="174" t="n">
        <v>63</v>
      </c>
      <c r="BK327" s="174" t="n">
        <v>62</v>
      </c>
      <c r="BL327" s="174" t="n">
        <v>62</v>
      </c>
      <c r="BM327" s="174" t="n">
        <v>62</v>
      </c>
      <c r="BN327" s="174" t="n">
        <v>61</v>
      </c>
      <c r="BO327" s="174" t="n">
        <v>62</v>
      </c>
      <c r="BP327" s="174" t="n">
        <v>58</v>
      </c>
      <c r="BQ327" s="174" t="n">
        <v>58</v>
      </c>
      <c r="BR327" s="174" t="n">
        <v>60</v>
      </c>
      <c r="BS327" s="174" t="n">
        <v>64</v>
      </c>
      <c r="BT327" s="174" t="n">
        <v>64</v>
      </c>
      <c r="BU327" s="36" t="n"/>
      <c r="BV327" s="36" t="n"/>
      <c r="BW327" s="36" t="n"/>
      <c r="BX327" s="36" t="n"/>
      <c r="BY327" s="37" t="n"/>
      <c r="BZ327" s="37" t="n"/>
      <c r="CA327" s="178">
        <f>BX327</f>
        <v/>
      </c>
      <c r="CB327" s="178">
        <f>CA327</f>
        <v/>
      </c>
      <c r="CC327" s="178">
        <f>CB327</f>
        <v/>
      </c>
      <c r="CD327" s="178">
        <f>CC327</f>
        <v/>
      </c>
      <c r="CE327" s="178">
        <f>CD327</f>
        <v/>
      </c>
      <c r="CF327" s="20" t="n"/>
    </row>
    <row r="328" ht="15" customHeight="1">
      <c r="B328" s="26" t="inlineStr">
        <is>
          <t xml:space="preserve">  Deferred income taxes</t>
        </is>
      </c>
      <c r="C328" s="174" t="n">
        <v>15</v>
      </c>
      <c r="D328" s="174" t="n">
        <v>9.800000000000001</v>
      </c>
      <c r="E328" s="174" t="n">
        <v>12.9</v>
      </c>
      <c r="F328" s="174" t="n">
        <v>52.2</v>
      </c>
      <c r="G328" s="174" t="n">
        <v>76.5</v>
      </c>
      <c r="H328" s="174" t="n">
        <v>74.2</v>
      </c>
      <c r="I328" s="174" t="n">
        <v>91.2</v>
      </c>
      <c r="J328" s="174" t="n">
        <v>89.59999999999999</v>
      </c>
      <c r="K328" s="174" t="n">
        <v>87.7</v>
      </c>
      <c r="L328" s="174" t="n">
        <v>118.5</v>
      </c>
      <c r="M328" s="174" t="n">
        <v>114.5</v>
      </c>
      <c r="N328" s="174" t="n">
        <v>114.5</v>
      </c>
      <c r="O328" s="174" t="n">
        <v>118.2</v>
      </c>
      <c r="P328" s="174" t="n">
        <v>135.6</v>
      </c>
      <c r="Q328" s="174" t="n">
        <v>143.5</v>
      </c>
      <c r="R328" s="174" t="n">
        <v>112.9</v>
      </c>
      <c r="S328" s="174" t="n">
        <v>112.9</v>
      </c>
      <c r="T328" s="174" t="n">
        <v>113.8</v>
      </c>
      <c r="U328" s="174" t="n">
        <v>118.4</v>
      </c>
      <c r="V328" s="174" t="n">
        <v>113.8</v>
      </c>
      <c r="W328" s="174" t="n">
        <v>139.9</v>
      </c>
      <c r="X328" s="174" t="n">
        <v>139.9</v>
      </c>
      <c r="Y328" s="174" t="n">
        <v>141.3</v>
      </c>
      <c r="Z328" s="174" t="n">
        <v>145.6</v>
      </c>
      <c r="AA328" s="174" t="n">
        <v>156.9</v>
      </c>
      <c r="AB328" s="174" t="n">
        <v>245.7</v>
      </c>
      <c r="AC328" s="174" t="n">
        <v>245.7</v>
      </c>
      <c r="AD328" s="174" t="n">
        <v>258.2</v>
      </c>
      <c r="AE328" s="174" t="n">
        <v>287.4</v>
      </c>
      <c r="AF328" s="174" t="n">
        <v>282.6</v>
      </c>
      <c r="AG328" s="174" t="n">
        <v>175.9</v>
      </c>
      <c r="AH328" s="174" t="n">
        <v>175.9</v>
      </c>
      <c r="AI328" s="174" t="n">
        <v>182.8</v>
      </c>
      <c r="AJ328" s="174" t="n">
        <v>155.6</v>
      </c>
      <c r="AK328" s="174" t="n">
        <v>153.5</v>
      </c>
      <c r="AL328" s="174" t="n">
        <v>198.3</v>
      </c>
      <c r="AM328" s="174" t="n">
        <v>198.3</v>
      </c>
      <c r="AN328" s="174" t="n">
        <v>176.1</v>
      </c>
      <c r="AO328" s="174" t="n">
        <v>169.9</v>
      </c>
      <c r="AP328" s="174" t="n">
        <v>72.59999999999999</v>
      </c>
      <c r="AQ328" s="174" t="n">
        <v>145.3</v>
      </c>
      <c r="AR328" s="174" t="n">
        <v>145.3</v>
      </c>
      <c r="AS328" s="174" t="n">
        <v>151.4</v>
      </c>
      <c r="AT328" s="174" t="n">
        <v>155.6</v>
      </c>
      <c r="AU328" s="174" t="n">
        <v>163.1</v>
      </c>
      <c r="AV328" s="174" t="n">
        <v>168.4</v>
      </c>
      <c r="AW328" s="174" t="n">
        <v>168.4</v>
      </c>
      <c r="AX328" s="174" t="n">
        <v>186.4</v>
      </c>
      <c r="AY328" s="174" t="n">
        <v>194.1</v>
      </c>
      <c r="AZ328" s="174" t="n">
        <v>184.7</v>
      </c>
      <c r="BA328" s="174" t="n">
        <v>288</v>
      </c>
      <c r="BB328" s="174" t="n">
        <v>288</v>
      </c>
      <c r="BC328" s="174" t="n">
        <v>304</v>
      </c>
      <c r="BD328" s="174" t="n">
        <v>289</v>
      </c>
      <c r="BE328" s="174" t="n">
        <v>287</v>
      </c>
      <c r="BF328" s="174" t="n">
        <v>326</v>
      </c>
      <c r="BG328" s="174" t="n">
        <v>326</v>
      </c>
      <c r="BH328" s="174" t="n">
        <v>333</v>
      </c>
      <c r="BI328" s="174" t="n">
        <v>359</v>
      </c>
      <c r="BJ328" s="174" t="n">
        <v>355</v>
      </c>
      <c r="BK328" s="174" t="n">
        <v>318</v>
      </c>
      <c r="BL328" s="174" t="n">
        <v>318</v>
      </c>
      <c r="BM328" s="174" t="n">
        <v>321</v>
      </c>
      <c r="BN328" s="174" t="n">
        <v>323</v>
      </c>
      <c r="BO328" s="174" t="n">
        <v>295</v>
      </c>
      <c r="BP328" s="174" t="n">
        <v>376</v>
      </c>
      <c r="BQ328" s="174" t="n">
        <v>376</v>
      </c>
      <c r="BR328" s="174" t="n">
        <v>390</v>
      </c>
      <c r="BS328" s="174" t="n">
        <v>411</v>
      </c>
      <c r="BT328" s="174" t="n">
        <v>553</v>
      </c>
      <c r="BU328" s="174" t="n">
        <v>606</v>
      </c>
      <c r="BV328" s="174" t="n">
        <v>606</v>
      </c>
      <c r="BW328" s="174" t="n">
        <v>729</v>
      </c>
      <c r="BX328" s="174" t="n">
        <v>724</v>
      </c>
      <c r="BY328" s="37" t="n"/>
      <c r="BZ328" s="37" t="n"/>
      <c r="CA328" s="178">
        <f>BX328+(CA263-(BW263+BX263))</f>
        <v/>
      </c>
      <c r="CB328" s="178">
        <f>CA328+CB263</f>
        <v/>
      </c>
      <c r="CC328" s="178">
        <f>CB328+CC263</f>
        <v/>
      </c>
      <c r="CD328" s="178">
        <f>CC328+CD263</f>
        <v/>
      </c>
      <c r="CE328" s="178">
        <f>CD328+CE263</f>
        <v/>
      </c>
      <c r="CF328" s="20" t="n"/>
    </row>
    <row r="329" ht="15" customHeight="1">
      <c r="B329" s="26" t="inlineStr">
        <is>
          <t xml:space="preserve">  Other noncurrent liabilities (incl. lease liabilities, warranty; derived)</t>
        </is>
      </c>
      <c r="C329" s="174" t="n">
        <v>19.7</v>
      </c>
      <c r="D329" s="174" t="n">
        <v>32.7</v>
      </c>
      <c r="E329" s="174" t="n">
        <v>35.1</v>
      </c>
      <c r="F329" s="174" t="n">
        <v>26.3</v>
      </c>
      <c r="G329" s="174" t="n">
        <v>32.3</v>
      </c>
      <c r="H329" s="174" t="n">
        <v>36.1</v>
      </c>
      <c r="I329" s="174" t="n">
        <v>40.9</v>
      </c>
      <c r="J329" s="174" t="n">
        <v>43.2</v>
      </c>
      <c r="K329" s="174" t="n">
        <v>38.8</v>
      </c>
      <c r="L329" s="174" t="n">
        <v>39.7</v>
      </c>
      <c r="M329" s="174" t="n">
        <v>40.6</v>
      </c>
      <c r="N329" s="174" t="n">
        <v>40.6</v>
      </c>
      <c r="O329" s="174" t="n">
        <v>37.2</v>
      </c>
      <c r="P329" s="174" t="n">
        <v>46</v>
      </c>
      <c r="Q329" s="174" t="n">
        <v>37.1</v>
      </c>
      <c r="R329" s="174" t="n">
        <v>41.5</v>
      </c>
      <c r="S329" s="174" t="n">
        <v>41.5</v>
      </c>
      <c r="T329" s="174" t="n">
        <v>42.1</v>
      </c>
      <c r="U329" s="174" t="n">
        <v>44.2</v>
      </c>
      <c r="V329" s="174" t="n">
        <v>43.2</v>
      </c>
      <c r="W329" s="174" t="n">
        <v>43.2</v>
      </c>
      <c r="X329" s="174" t="n">
        <v>43.2</v>
      </c>
      <c r="Y329" s="174" t="n">
        <v>41.9</v>
      </c>
      <c r="Z329" s="174" t="n">
        <v>42.6</v>
      </c>
      <c r="AA329" s="174" t="n">
        <v>40.5</v>
      </c>
      <c r="AB329" s="174" t="n">
        <v>38.3</v>
      </c>
      <c r="AC329" s="174" t="n">
        <v>38.3</v>
      </c>
      <c r="AD329" s="174" t="n">
        <v>39.8</v>
      </c>
      <c r="AE329" s="174" t="n">
        <v>37.4</v>
      </c>
      <c r="AF329" s="174" t="n">
        <v>32.9</v>
      </c>
      <c r="AG329" s="174" t="n">
        <v>75.2</v>
      </c>
      <c r="AH329" s="174" t="n">
        <v>75.2</v>
      </c>
      <c r="AI329" s="174" t="n">
        <v>80.09999999999999</v>
      </c>
      <c r="AJ329" s="174" t="n">
        <v>84.40000000000001</v>
      </c>
      <c r="AK329" s="174" t="n">
        <v>45.7</v>
      </c>
      <c r="AL329" s="174" t="n">
        <v>47</v>
      </c>
      <c r="AM329" s="174" t="n">
        <v>47</v>
      </c>
      <c r="AN329" s="174" t="n">
        <v>1129.2</v>
      </c>
      <c r="AO329" s="174" t="n">
        <v>1101.8</v>
      </c>
      <c r="AP329" s="174" t="n">
        <v>1173.9</v>
      </c>
      <c r="AQ329" s="174" t="n">
        <v>1100.7</v>
      </c>
      <c r="AR329" s="174" t="n">
        <v>1100.7</v>
      </c>
      <c r="AS329" s="174" t="n">
        <v>1078.1</v>
      </c>
      <c r="AT329" s="174" t="n">
        <v>1070.7</v>
      </c>
      <c r="AU329" s="174" t="n">
        <v>1094.3</v>
      </c>
      <c r="AV329" s="174" t="n">
        <v>1001.4</v>
      </c>
      <c r="AW329" s="174" t="n">
        <v>1001.4</v>
      </c>
      <c r="AX329" s="174" t="n">
        <v>977.5</v>
      </c>
      <c r="AY329" s="174" t="n">
        <v>958.1</v>
      </c>
      <c r="AZ329" s="174" t="n">
        <v>993</v>
      </c>
      <c r="BA329" s="174" t="n">
        <v>884</v>
      </c>
      <c r="BB329" s="174" t="n">
        <v>884</v>
      </c>
      <c r="BC329" s="174" t="n">
        <v>869</v>
      </c>
      <c r="BD329" s="174" t="n">
        <v>852</v>
      </c>
      <c r="BE329" s="174" t="n">
        <v>835</v>
      </c>
      <c r="BF329" s="174" t="n">
        <v>768</v>
      </c>
      <c r="BG329" s="174" t="n">
        <v>768</v>
      </c>
      <c r="BH329" s="174" t="n">
        <v>790</v>
      </c>
      <c r="BI329" s="174" t="n">
        <v>761</v>
      </c>
      <c r="BJ329" s="174" t="n">
        <v>836</v>
      </c>
      <c r="BK329" s="174" t="n">
        <v>740</v>
      </c>
      <c r="BL329" s="174" t="n">
        <v>740</v>
      </c>
      <c r="BM329" s="174" t="n">
        <v>710</v>
      </c>
      <c r="BN329" s="174" t="n">
        <v>831</v>
      </c>
      <c r="BO329" s="174" t="n">
        <v>798</v>
      </c>
      <c r="BP329" s="174" t="n">
        <v>863</v>
      </c>
      <c r="BQ329" s="174" t="n">
        <v>863</v>
      </c>
      <c r="BR329" s="174" t="n">
        <v>802</v>
      </c>
      <c r="BS329" s="174" t="n">
        <v>681</v>
      </c>
      <c r="BT329" s="174" t="n">
        <v>717</v>
      </c>
      <c r="BU329" s="174" t="n">
        <v>832</v>
      </c>
      <c r="BV329" s="174" t="n">
        <v>832</v>
      </c>
      <c r="BW329" s="174" t="n">
        <v>773</v>
      </c>
      <c r="BX329" s="174" t="n">
        <v>858</v>
      </c>
      <c r="BY329" s="37" t="n"/>
      <c r="BZ329" s="37" t="n"/>
      <c r="CA329" s="178">
        <f>BX329</f>
        <v/>
      </c>
      <c r="CB329" s="178">
        <f>CA329</f>
        <v/>
      </c>
      <c r="CC329" s="178">
        <f>CB329</f>
        <v/>
      </c>
      <c r="CD329" s="178">
        <f>CC329</f>
        <v/>
      </c>
      <c r="CE329" s="178">
        <f>CD329</f>
        <v/>
      </c>
      <c r="CF329" s="20" t="n"/>
    </row>
    <row r="330" ht="15" customHeight="1">
      <c r="B330" s="17" t="inlineStr">
        <is>
          <t>Total liabilities</t>
        </is>
      </c>
      <c r="C330" s="198">
        <f>IF(ISNUMBER(C319),C325+SUM(C326:C329),"")</f>
        <v/>
      </c>
      <c r="D330" s="198">
        <f>IF(ISNUMBER(D319),D325+SUM(D326:D329),"")</f>
        <v/>
      </c>
      <c r="E330" s="198">
        <f>IF(ISNUMBER(E319),E325+SUM(E326:E329),"")</f>
        <v/>
      </c>
      <c r="F330" s="198">
        <f>IF(ISNUMBER(F319),F325+SUM(F326:F329),"")</f>
        <v/>
      </c>
      <c r="G330" s="198">
        <f>IF(ISNUMBER(G319),G325+SUM(G326:G329),"")</f>
        <v/>
      </c>
      <c r="H330" s="198">
        <f>IF(ISNUMBER(H319),H325+SUM(H326:H329),"")</f>
        <v/>
      </c>
      <c r="I330" s="198">
        <f>IF(ISNUMBER(I319),I325+SUM(I326:I329),"")</f>
        <v/>
      </c>
      <c r="J330" s="198">
        <f>IF(ISNUMBER(J319),J325+SUM(J326:J329),"")</f>
        <v/>
      </c>
      <c r="K330" s="198">
        <f>IF(ISNUMBER(K319),K325+SUM(K326:K329),"")</f>
        <v/>
      </c>
      <c r="L330" s="198">
        <f>IF(ISNUMBER(L319),L325+SUM(L326:L329),"")</f>
        <v/>
      </c>
      <c r="M330" s="198">
        <f>IF(ISNUMBER(M319),M325+SUM(M326:M329),"")</f>
        <v/>
      </c>
      <c r="N330" s="198">
        <f>IF(ISNUMBER(N319),N325+SUM(N326:N329),"")</f>
        <v/>
      </c>
      <c r="O330" s="198">
        <f>IF(ISNUMBER(O319),O325+SUM(O326:O329),"")</f>
        <v/>
      </c>
      <c r="P330" s="198">
        <f>IF(ISNUMBER(P319),P325+SUM(P326:P329),"")</f>
        <v/>
      </c>
      <c r="Q330" s="198">
        <f>IF(ISNUMBER(Q319),Q325+SUM(Q326:Q329),"")</f>
        <v/>
      </c>
      <c r="R330" s="198">
        <f>IF(ISNUMBER(R319),R325+SUM(R326:R329),"")</f>
        <v/>
      </c>
      <c r="S330" s="198">
        <f>IF(ISNUMBER(S319),S325+SUM(S326:S329),"")</f>
        <v/>
      </c>
      <c r="T330" s="198">
        <f>IF(ISNUMBER(T319),T325+SUM(T326:T329),"")</f>
        <v/>
      </c>
      <c r="U330" s="198">
        <f>IF(ISNUMBER(U319),U325+SUM(U326:U329),"")</f>
        <v/>
      </c>
      <c r="V330" s="198">
        <f>IF(ISNUMBER(V319),V325+SUM(V326:V329),"")</f>
        <v/>
      </c>
      <c r="W330" s="198">
        <f>IF(ISNUMBER(W319),W325+SUM(W326:W329),"")</f>
        <v/>
      </c>
      <c r="X330" s="198">
        <f>IF(ISNUMBER(X319),X325+SUM(X326:X329),"")</f>
        <v/>
      </c>
      <c r="Y330" s="198">
        <f>IF(ISNUMBER(Y319),Y325+SUM(Y326:Y329),"")</f>
        <v/>
      </c>
      <c r="Z330" s="198">
        <f>IF(ISNUMBER(Z319),Z325+SUM(Z326:Z329),"")</f>
        <v/>
      </c>
      <c r="AA330" s="198">
        <f>IF(ISNUMBER(AA319),AA325+SUM(AA326:AA329),"")</f>
        <v/>
      </c>
      <c r="AB330" s="198">
        <f>IF(ISNUMBER(AB319),AB325+SUM(AB326:AB329),"")</f>
        <v/>
      </c>
      <c r="AC330" s="198">
        <f>IF(ISNUMBER(AC319),AC325+SUM(AC326:AC329),"")</f>
        <v/>
      </c>
      <c r="AD330" s="198">
        <f>IF(ISNUMBER(AD319),AD325+SUM(AD326:AD329),"")</f>
        <v/>
      </c>
      <c r="AE330" s="198">
        <f>IF(ISNUMBER(AE319),AE325+SUM(AE326:AE329),"")</f>
        <v/>
      </c>
      <c r="AF330" s="198">
        <f>IF(ISNUMBER(AF319),AF325+SUM(AF326:AF329),"")</f>
        <v/>
      </c>
      <c r="AG330" s="198">
        <f>IF(ISNUMBER(AG319),AG325+SUM(AG326:AG329),"")</f>
        <v/>
      </c>
      <c r="AH330" s="198">
        <f>IF(ISNUMBER(AH319),AH325+SUM(AH326:AH329),"")</f>
        <v/>
      </c>
      <c r="AI330" s="198">
        <f>IF(ISNUMBER(AI319),AI325+SUM(AI326:AI329),"")</f>
        <v/>
      </c>
      <c r="AJ330" s="198">
        <f>IF(ISNUMBER(AJ319),AJ325+SUM(AJ326:AJ329),"")</f>
        <v/>
      </c>
      <c r="AK330" s="198">
        <f>IF(ISNUMBER(AK319),AK325+SUM(AK326:AK329),"")</f>
        <v/>
      </c>
      <c r="AL330" s="198">
        <f>IF(ISNUMBER(AL319),AL325+SUM(AL326:AL329),"")</f>
        <v/>
      </c>
      <c r="AM330" s="198">
        <f>IF(ISNUMBER(AM319),AM325+SUM(AM326:AM329),"")</f>
        <v/>
      </c>
      <c r="AN330" s="198">
        <f>IF(ISNUMBER(AN319),AN325+SUM(AN326:AN329),"")</f>
        <v/>
      </c>
      <c r="AO330" s="198">
        <f>IF(ISNUMBER(AO319),AO325+SUM(AO326:AO329),"")</f>
        <v/>
      </c>
      <c r="AP330" s="198">
        <f>IF(ISNUMBER(AP319),AP325+SUM(AP326:AP329),"")</f>
        <v/>
      </c>
      <c r="AQ330" s="198">
        <f>IF(ISNUMBER(AQ319),AQ325+SUM(AQ326:AQ329),"")</f>
        <v/>
      </c>
      <c r="AR330" s="198">
        <f>IF(ISNUMBER(AR319),AR325+SUM(AR326:AR329),"")</f>
        <v/>
      </c>
      <c r="AS330" s="198">
        <f>IF(ISNUMBER(AS319),AS325+SUM(AS326:AS329),"")</f>
        <v/>
      </c>
      <c r="AT330" s="198">
        <f>IF(ISNUMBER(AT319),AT325+SUM(AT326:AT329),"")</f>
        <v/>
      </c>
      <c r="AU330" s="198">
        <f>IF(ISNUMBER(AU319),AU325+SUM(AU326:AU329),"")</f>
        <v/>
      </c>
      <c r="AV330" s="198">
        <f>IF(ISNUMBER(AV319),AV325+SUM(AV326:AV329),"")</f>
        <v/>
      </c>
      <c r="AW330" s="198">
        <f>IF(ISNUMBER(AW319),AW325+SUM(AW326:AW329),"")</f>
        <v/>
      </c>
      <c r="AX330" s="198">
        <f>IF(ISNUMBER(AX319),AX325+SUM(AX326:AX329),"")</f>
        <v/>
      </c>
      <c r="AY330" s="198">
        <f>IF(ISNUMBER(AY319),AY325+SUM(AY326:AY329),"")</f>
        <v/>
      </c>
      <c r="AZ330" s="198">
        <f>IF(ISNUMBER(AZ319),AZ325+SUM(AZ326:AZ329),"")</f>
        <v/>
      </c>
      <c r="BA330" s="198">
        <f>IF(ISNUMBER(BA319),BA325+SUM(BA326:BA329),"")</f>
        <v/>
      </c>
      <c r="BB330" s="198">
        <f>IF(ISNUMBER(BB319),BB325+SUM(BB326:BB329),"")</f>
        <v/>
      </c>
      <c r="BC330" s="198">
        <f>IF(ISNUMBER(BC319),BC325+SUM(BC326:BC329),"")</f>
        <v/>
      </c>
      <c r="BD330" s="198">
        <f>IF(ISNUMBER(BD319),BD325+SUM(BD326:BD329),"")</f>
        <v/>
      </c>
      <c r="BE330" s="198">
        <f>IF(ISNUMBER(BE319),BE325+SUM(BE326:BE329),"")</f>
        <v/>
      </c>
      <c r="BF330" s="198">
        <f>IF(ISNUMBER(BF319),BF325+SUM(BF326:BF329),"")</f>
        <v/>
      </c>
      <c r="BG330" s="198">
        <f>IF(ISNUMBER(BG319),BG325+SUM(BG326:BG329),"")</f>
        <v/>
      </c>
      <c r="BH330" s="198">
        <f>IF(ISNUMBER(BH319),BH325+SUM(BH326:BH329),"")</f>
        <v/>
      </c>
      <c r="BI330" s="198">
        <f>IF(ISNUMBER(BI319),BI325+SUM(BI326:BI329),"")</f>
        <v/>
      </c>
      <c r="BJ330" s="198">
        <f>IF(ISNUMBER(BJ319),BJ325+SUM(BJ326:BJ329),"")</f>
        <v/>
      </c>
      <c r="BK330" s="198">
        <f>IF(ISNUMBER(BK319),BK325+SUM(BK326:BK329),"")</f>
        <v/>
      </c>
      <c r="BL330" s="198">
        <f>IF(ISNUMBER(BL319),BL325+SUM(BL326:BL329),"")</f>
        <v/>
      </c>
      <c r="BM330" s="198">
        <f>IF(ISNUMBER(BM319),BM325+SUM(BM326:BM329),"")</f>
        <v/>
      </c>
      <c r="BN330" s="198">
        <f>IF(ISNUMBER(BN319),BN325+SUM(BN326:BN329),"")</f>
        <v/>
      </c>
      <c r="BO330" s="198">
        <f>IF(ISNUMBER(BO319),BO325+SUM(BO326:BO329),"")</f>
        <v/>
      </c>
      <c r="BP330" s="198">
        <f>IF(ISNUMBER(BP319),BP325+SUM(BP326:BP329),"")</f>
        <v/>
      </c>
      <c r="BQ330" s="198">
        <f>IF(ISNUMBER(BQ319),BQ325+SUM(BQ326:BQ329),"")</f>
        <v/>
      </c>
      <c r="BR330" s="198">
        <f>IF(ISNUMBER(BR319),BR325+SUM(BR326:BR329),"")</f>
        <v/>
      </c>
      <c r="BS330" s="198">
        <f>IF(ISNUMBER(BS319),BS325+SUM(BS326:BS329),"")</f>
        <v/>
      </c>
      <c r="BT330" s="198">
        <f>IF(ISNUMBER(BT319),BT325+SUM(BT326:BT329),"")</f>
        <v/>
      </c>
      <c r="BU330" s="198">
        <f>IF(ISNUMBER(BU319),BU325+SUM(BU326:BU329),"")</f>
        <v/>
      </c>
      <c r="BV330" s="198">
        <f>IF(ISNUMBER(BV319),BV325+SUM(BV326:BV329),"")</f>
        <v/>
      </c>
      <c r="BW330" s="198">
        <f>IF(ISNUMBER(BW319),BW325+SUM(BW326:BW329),"")</f>
        <v/>
      </c>
      <c r="BX330" s="198">
        <f>IF(ISNUMBER(BX319),BX325+SUM(BX326:BX329),"")</f>
        <v/>
      </c>
      <c r="BY330" s="34" t="n"/>
      <c r="BZ330" s="34" t="n"/>
      <c r="CA330" s="185">
        <f>IF(ISNUMBER(CA319),CA325+SUM(CA326:CA329),"")</f>
        <v/>
      </c>
      <c r="CB330" s="185">
        <f>IF(ISNUMBER(CB319),CB325+SUM(CB326:CB329),"")</f>
        <v/>
      </c>
      <c r="CC330" s="185">
        <f>IF(ISNUMBER(CC319),CC325+SUM(CC326:CC329),"")</f>
        <v/>
      </c>
      <c r="CD330" s="185">
        <f>IF(ISNUMBER(CD319),CD325+SUM(CD326:CD329),"")</f>
        <v/>
      </c>
      <c r="CE330" s="185">
        <f>IF(ISNUMBER(CE319),CE325+SUM(CE326:CE329),"")</f>
        <v/>
      </c>
      <c r="CF330" s="6" t="n"/>
    </row>
    <row r="331" ht="15" customHeight="1">
      <c r="B331" s="26" t="inlineStr">
        <is>
          <t>Shareholders' equity:</t>
        </is>
      </c>
      <c r="CF331" s="6" t="n"/>
    </row>
    <row r="332" ht="15" customHeight="1">
      <c r="B332" s="26" t="inlineStr">
        <is>
          <t xml:space="preserve">  Common stock &amp; additional paid-in capital</t>
        </is>
      </c>
      <c r="C332" s="174" t="n">
        <v>315.4</v>
      </c>
      <c r="D332" s="174" t="n">
        <v>321.6</v>
      </c>
      <c r="E332" s="174" t="n">
        <v>329.2</v>
      </c>
      <c r="F332" s="174" t="n">
        <v>330.4</v>
      </c>
      <c r="G332" s="174" t="n">
        <v>340.6</v>
      </c>
      <c r="H332" s="174" t="n">
        <v>361.6</v>
      </c>
      <c r="I332" s="174" t="n">
        <v>382</v>
      </c>
      <c r="J332" s="174" t="n">
        <v>382.7</v>
      </c>
      <c r="K332" s="174" t="n">
        <v>392.1</v>
      </c>
      <c r="L332" s="174" t="n">
        <v>403.8</v>
      </c>
      <c r="M332" s="174" t="n">
        <v>416.4</v>
      </c>
      <c r="N332" s="174" t="n">
        <v>416.4</v>
      </c>
      <c r="O332" s="174" t="n">
        <v>429.3</v>
      </c>
      <c r="P332" s="174" t="n">
        <v>435.5</v>
      </c>
      <c r="Q332" s="174" t="n">
        <v>443.2</v>
      </c>
      <c r="R332" s="174" t="n">
        <v>449.9</v>
      </c>
      <c r="S332" s="174" t="n">
        <v>449.9</v>
      </c>
      <c r="T332" s="174" t="n">
        <v>450.9</v>
      </c>
      <c r="U332" s="174" t="n">
        <v>457.8</v>
      </c>
      <c r="V332" s="174" t="n">
        <v>464.5</v>
      </c>
      <c r="W332" s="174" t="n">
        <v>470.6</v>
      </c>
      <c r="X332" s="174" t="n">
        <v>470.6</v>
      </c>
      <c r="Y332" s="174" t="n">
        <v>464.1</v>
      </c>
      <c r="Z332" s="174" t="n">
        <v>467.9</v>
      </c>
      <c r="AA332" s="174" t="n">
        <v>472.2</v>
      </c>
      <c r="AB332" s="174" t="n">
        <v>871.3</v>
      </c>
      <c r="AC332" s="174" t="n">
        <v>871.3</v>
      </c>
      <c r="AD332" s="174" t="n">
        <v>895.7</v>
      </c>
      <c r="AE332" s="174" t="n">
        <v>899.8</v>
      </c>
      <c r="AF332" s="174" t="n">
        <v>901.9</v>
      </c>
      <c r="AG332" s="174" t="n">
        <v>907.9</v>
      </c>
      <c r="AH332" s="174" t="n">
        <v>907.9</v>
      </c>
      <c r="AI332" s="174" t="n">
        <v>909.1</v>
      </c>
      <c r="AJ332" s="174" t="n">
        <v>911.7</v>
      </c>
      <c r="AK332" s="174" t="n">
        <v>918.1</v>
      </c>
      <c r="AL332" s="174" t="n">
        <v>915.9</v>
      </c>
      <c r="AM332" s="174" t="n">
        <v>915.9</v>
      </c>
      <c r="AN332" s="174" t="n">
        <v>7798.3</v>
      </c>
      <c r="AO332" s="174" t="n">
        <v>7809.1</v>
      </c>
      <c r="AP332" s="174" t="n">
        <v>7817.8</v>
      </c>
      <c r="AQ332" s="174" t="n">
        <v>7879.2</v>
      </c>
      <c r="AR332" s="174" t="n">
        <v>7879.2</v>
      </c>
      <c r="AS332" s="174" t="n">
        <v>7877</v>
      </c>
      <c r="AT332" s="174" t="n">
        <v>7873.7</v>
      </c>
      <c r="AU332" s="174" t="n">
        <v>7884.3</v>
      </c>
      <c r="AV332" s="174" t="n">
        <v>7882.6</v>
      </c>
      <c r="AW332" s="174" t="n">
        <v>7882.6</v>
      </c>
      <c r="AX332" s="174" t="n">
        <v>7885.9</v>
      </c>
      <c r="AY332" s="174" t="n">
        <v>7898.7</v>
      </c>
      <c r="AZ332" s="174" t="n">
        <v>7907.6</v>
      </c>
      <c r="BA332" s="174" t="n">
        <v>7918</v>
      </c>
      <c r="BB332" s="174" t="n">
        <v>7918</v>
      </c>
      <c r="BC332" s="174" t="n">
        <v>7919</v>
      </c>
      <c r="BD332" s="174" t="n">
        <v>7928</v>
      </c>
      <c r="BE332" s="174" t="n">
        <v>7939</v>
      </c>
      <c r="BF332" s="174" t="n">
        <v>7955</v>
      </c>
      <c r="BG332" s="174" t="n">
        <v>7955</v>
      </c>
      <c r="BH332" s="174" t="n">
        <v>7942</v>
      </c>
      <c r="BI332" s="174" t="n">
        <v>7951</v>
      </c>
      <c r="BJ332" s="174" t="n">
        <v>7967</v>
      </c>
      <c r="BK332" s="174" t="n">
        <v>7979</v>
      </c>
      <c r="BL332" s="174" t="n">
        <v>7979</v>
      </c>
      <c r="BM332" s="174" t="n">
        <v>7969</v>
      </c>
      <c r="BN332" s="174" t="n">
        <v>7983</v>
      </c>
      <c r="BO332" s="174" t="n">
        <v>8001</v>
      </c>
      <c r="BP332" s="174" t="n">
        <v>8025</v>
      </c>
      <c r="BQ332" s="174" t="n">
        <v>8025</v>
      </c>
      <c r="BR332" s="174" t="n">
        <v>8010</v>
      </c>
      <c r="BS332" s="174" t="n">
        <v>8026</v>
      </c>
      <c r="BT332" s="174" t="n">
        <v>8048</v>
      </c>
      <c r="BU332" s="174" t="n">
        <v>8070</v>
      </c>
      <c r="BV332" s="174" t="n">
        <v>8070</v>
      </c>
      <c r="BW332" s="174" t="n">
        <v>8021</v>
      </c>
      <c r="BX332" s="174" t="n">
        <v>8044</v>
      </c>
      <c r="BY332" s="37" t="n"/>
      <c r="BZ332" s="37" t="n"/>
      <c r="CA332" s="178">
        <f>BX332+(CA262-(BW262+BX262))+(CA276-(BW276+BX276))</f>
        <v/>
      </c>
      <c r="CB332" s="178">
        <f>CA332+CB262+CB276</f>
        <v/>
      </c>
      <c r="CC332" s="178">
        <f>CB332+CC262+CC276</f>
        <v/>
      </c>
      <c r="CD332" s="178">
        <f>CC332+CD262+CD276</f>
        <v/>
      </c>
      <c r="CE332" s="178">
        <f>CD332+CE262+CE276</f>
        <v/>
      </c>
      <c r="CF332" s="20" t="inlineStr">
        <is>
          <t>+ stock-based compensation + net option proceeds / withholding.</t>
        </is>
      </c>
    </row>
    <row r="333" ht="15" customHeight="1">
      <c r="B333" s="26" t="inlineStr">
        <is>
          <t xml:space="preserve">  Treasury stock</t>
        </is>
      </c>
      <c r="C333" s="174" t="n">
        <v>-232.8</v>
      </c>
      <c r="D333" s="174" t="n">
        <v>-238.1</v>
      </c>
      <c r="E333" s="174" t="n">
        <v>-276.4</v>
      </c>
      <c r="F333" s="174" t="n">
        <v>-289.1</v>
      </c>
      <c r="G333" s="174" t="n">
        <v>-290.1</v>
      </c>
      <c r="H333" s="174" t="n">
        <v>-309.2</v>
      </c>
      <c r="I333" s="174" t="n">
        <v>-349.4</v>
      </c>
      <c r="J333" s="174" t="n">
        <v>-342</v>
      </c>
      <c r="K333" s="174" t="n">
        <v>-341.3</v>
      </c>
      <c r="L333" s="174" t="n">
        <v>-345.6</v>
      </c>
      <c r="M333" s="174" t="n">
        <v>-373</v>
      </c>
      <c r="N333" s="174" t="n">
        <v>-373</v>
      </c>
      <c r="O333" s="174" t="n">
        <v>-369.2</v>
      </c>
      <c r="P333" s="174" t="n">
        <v>-383.1</v>
      </c>
      <c r="Q333" s="174" t="n">
        <v>-392.5</v>
      </c>
      <c r="R333" s="174" t="n">
        <v>-392.3</v>
      </c>
      <c r="S333" s="174" t="n">
        <v>-392.3</v>
      </c>
      <c r="T333" s="174" t="n">
        <v>-388.6</v>
      </c>
      <c r="U333" s="174" t="n">
        <v>-388</v>
      </c>
      <c r="V333" s="174" t="n">
        <v>-409.8</v>
      </c>
      <c r="W333" s="174" t="n">
        <v>-775.1</v>
      </c>
      <c r="X333" s="174" t="n">
        <v>-775.1</v>
      </c>
      <c r="Y333" s="174" t="n">
        <v>-906.1</v>
      </c>
      <c r="Z333" s="174" t="n">
        <v>-905.9</v>
      </c>
      <c r="AA333" s="174" t="n">
        <v>-983.5</v>
      </c>
      <c r="AB333" s="174" t="n">
        <v>-839</v>
      </c>
      <c r="AC333" s="174" t="n">
        <v>-839</v>
      </c>
      <c r="AD333" s="174" t="n">
        <v>-830</v>
      </c>
      <c r="AE333" s="174" t="n">
        <v>-828.4</v>
      </c>
      <c r="AF333" s="174" t="n">
        <v>-828.1</v>
      </c>
      <c r="AG333" s="174" t="n">
        <v>-827.4</v>
      </c>
      <c r="AH333" s="174" t="n">
        <v>-827.4</v>
      </c>
      <c r="AI333" s="174" t="n">
        <v>-824.2</v>
      </c>
      <c r="AJ333" s="174" t="n">
        <v>-821.2</v>
      </c>
      <c r="AK333" s="174" t="n">
        <v>-816.3</v>
      </c>
      <c r="AL333" s="174" t="n">
        <v>-816.1</v>
      </c>
      <c r="AM333" s="174" t="n">
        <v>-816.1</v>
      </c>
      <c r="AN333" s="174" t="n">
        <v>-807.2</v>
      </c>
      <c r="AO333" s="174" t="n">
        <v>-805.6</v>
      </c>
      <c r="AP333" s="174" t="n">
        <v>-807.6</v>
      </c>
      <c r="AQ333" s="174" t="n">
        <v>-807.1</v>
      </c>
      <c r="AR333" s="174" t="n">
        <v>-807.1</v>
      </c>
      <c r="AS333" s="174" t="n">
        <v>-910.2</v>
      </c>
      <c r="AT333" s="174" t="n">
        <v>-909.3</v>
      </c>
      <c r="AU333" s="174" t="n">
        <v>-909.4</v>
      </c>
      <c r="AV333" s="174" t="n">
        <v>-1010.1</v>
      </c>
      <c r="AW333" s="174" t="n">
        <v>-1010.1</v>
      </c>
      <c r="AX333" s="174" t="n">
        <v>-1011.1</v>
      </c>
      <c r="AY333" s="174" t="n">
        <v>-1008.6</v>
      </c>
      <c r="AZ333" s="174" t="n">
        <v>-1206.2</v>
      </c>
      <c r="BA333" s="174" t="n">
        <v>-1306</v>
      </c>
      <c r="BB333" s="174" t="n">
        <v>-1306</v>
      </c>
      <c r="BC333" s="174" t="n">
        <v>-1597</v>
      </c>
      <c r="BD333" s="174" t="n">
        <v>-1696</v>
      </c>
      <c r="BE333" s="174" t="n">
        <v>-1697</v>
      </c>
      <c r="BF333" s="174" t="n">
        <v>-1769</v>
      </c>
      <c r="BG333" s="174" t="n">
        <v>-1769</v>
      </c>
      <c r="BH333" s="174" t="n">
        <v>-1941</v>
      </c>
      <c r="BI333" s="174" t="n">
        <v>-2014</v>
      </c>
      <c r="BJ333" s="174" t="n">
        <v>-2013</v>
      </c>
      <c r="BK333" s="174" t="n">
        <v>-2171</v>
      </c>
      <c r="BL333" s="174" t="n">
        <v>-2171</v>
      </c>
      <c r="BM333" s="174" t="n">
        <v>-2345</v>
      </c>
      <c r="BN333" s="174" t="n">
        <v>-2545</v>
      </c>
      <c r="BO333" s="174" t="n">
        <v>-3151</v>
      </c>
      <c r="BP333" s="174" t="n">
        <v>-3273</v>
      </c>
      <c r="BQ333" s="174" t="n">
        <v>-3273</v>
      </c>
      <c r="BR333" s="174" t="n">
        <v>-69</v>
      </c>
      <c r="BS333" s="174" t="n">
        <v>-116</v>
      </c>
      <c r="BT333" s="174" t="n">
        <v>-115</v>
      </c>
      <c r="BU333" s="174" t="n">
        <v>-190</v>
      </c>
      <c r="BV333" s="174" t="n">
        <v>-190</v>
      </c>
      <c r="BW333" s="174" t="n">
        <v>-416</v>
      </c>
      <c r="BX333" s="174" t="n">
        <v>-630</v>
      </c>
      <c r="BY333" s="37" t="n"/>
      <c r="BZ333" s="37" t="n"/>
      <c r="CA333" s="178">
        <f>BX333+(CA275-(BW275+BX275))</f>
        <v/>
      </c>
      <c r="CB333" s="178">
        <f>CA333+CB275</f>
        <v/>
      </c>
      <c r="CC333" s="178">
        <f>CB333+CC275</f>
        <v/>
      </c>
      <c r="CD333" s="178">
        <f>CC333+CD275</f>
        <v/>
      </c>
      <c r="CE333" s="178">
        <f>CD333+CE275</f>
        <v/>
      </c>
      <c r="CF333" s="20" t="inlineStr">
        <is>
          <t>Wabtec holds repurchased shares in treasury: + repurchases (negative).</t>
        </is>
      </c>
    </row>
    <row r="334" ht="15" customHeight="1">
      <c r="B334" s="26" t="inlineStr">
        <is>
          <t xml:space="preserve">  Retained earnings</t>
        </is>
      </c>
      <c r="C334" s="174" t="n">
        <v>419.6</v>
      </c>
      <c r="D334" s="174" t="n">
        <v>524.5</v>
      </c>
      <c r="E334" s="174" t="n">
        <v>653.1</v>
      </c>
      <c r="F334" s="174" t="n">
        <v>766.2</v>
      </c>
      <c r="G334" s="174" t="n">
        <v>887.4</v>
      </c>
      <c r="H334" s="174" t="n">
        <v>1053.7</v>
      </c>
      <c r="I334" s="174" t="n">
        <v>1297.8</v>
      </c>
      <c r="J334" s="174" t="n">
        <v>1365</v>
      </c>
      <c r="K334" s="174" t="n">
        <v>1436.6</v>
      </c>
      <c r="L334" s="174" t="n">
        <v>1506.5</v>
      </c>
      <c r="M334" s="174" t="n">
        <v>1576.7</v>
      </c>
      <c r="N334" s="174" t="n">
        <v>1576.7</v>
      </c>
      <c r="O334" s="174" t="n">
        <v>1653</v>
      </c>
      <c r="P334" s="174" t="n">
        <v>1737.8</v>
      </c>
      <c r="Q334" s="174" t="n">
        <v>1822.2</v>
      </c>
      <c r="R334" s="174" t="n">
        <v>1909.1</v>
      </c>
      <c r="S334" s="174" t="n">
        <v>1909.1</v>
      </c>
      <c r="T334" s="174" t="n">
        <v>1999.5</v>
      </c>
      <c r="U334" s="174" t="n">
        <v>2095.2</v>
      </c>
      <c r="V334" s="174" t="n">
        <v>2186.7</v>
      </c>
      <c r="W334" s="174" t="n">
        <v>2280.8</v>
      </c>
      <c r="X334" s="174" t="n">
        <v>2280.8</v>
      </c>
      <c r="Y334" s="174" t="n">
        <v>2367.6</v>
      </c>
      <c r="Z334" s="174" t="n">
        <v>2450.9</v>
      </c>
      <c r="AA334" s="174" t="n">
        <v>2524.4</v>
      </c>
      <c r="AB334" s="174" t="n">
        <v>2553.3</v>
      </c>
      <c r="AC334" s="174" t="n">
        <v>2553.3</v>
      </c>
      <c r="AD334" s="174" t="n">
        <v>2617.6</v>
      </c>
      <c r="AE334" s="174" t="n">
        <v>2680</v>
      </c>
      <c r="AF334" s="174" t="n">
        <v>2735.9</v>
      </c>
      <c r="AG334" s="174" t="n">
        <v>2773.3</v>
      </c>
      <c r="AH334" s="174" t="n">
        <v>2773.3</v>
      </c>
      <c r="AI334" s="174" t="n">
        <v>2850.1</v>
      </c>
      <c r="AJ334" s="174" t="n">
        <v>2923</v>
      </c>
      <c r="AK334" s="174" t="n">
        <v>2999.1</v>
      </c>
      <c r="AL334" s="174" t="n">
        <v>3022</v>
      </c>
      <c r="AM334" s="174" t="n">
        <v>3022</v>
      </c>
      <c r="AN334" s="174" t="n">
        <v>3005.8</v>
      </c>
      <c r="AO334" s="174" t="n">
        <v>3087.5</v>
      </c>
      <c r="AP334" s="174" t="n">
        <v>3154.8</v>
      </c>
      <c r="AQ334" s="174" t="n">
        <v>3267</v>
      </c>
      <c r="AR334" s="174" t="n">
        <v>3267</v>
      </c>
      <c r="AS334" s="174" t="n">
        <v>3355.6</v>
      </c>
      <c r="AT334" s="174" t="n">
        <v>3419</v>
      </c>
      <c r="AU334" s="174" t="n">
        <v>3524.2</v>
      </c>
      <c r="AV334" s="174" t="n">
        <v>3588.9</v>
      </c>
      <c r="AW334" s="174" t="n">
        <v>3588.9</v>
      </c>
      <c r="AX334" s="174" t="n">
        <v>3678.3</v>
      </c>
      <c r="AY334" s="174" t="n">
        <v>3780.1</v>
      </c>
      <c r="AZ334" s="174" t="n">
        <v>3887.8</v>
      </c>
      <c r="BA334" s="174" t="n">
        <v>4055</v>
      </c>
      <c r="BB334" s="174" t="n">
        <v>4055</v>
      </c>
      <c r="BC334" s="174" t="n">
        <v>4176</v>
      </c>
      <c r="BD334" s="174" t="n">
        <v>4314</v>
      </c>
      <c r="BE334" s="174" t="n">
        <v>4447</v>
      </c>
      <c r="BF334" s="174" t="n">
        <v>4577</v>
      </c>
      <c r="BG334" s="174" t="n">
        <v>4577</v>
      </c>
      <c r="BH334" s="174" t="n">
        <v>4715</v>
      </c>
      <c r="BI334" s="174" t="n">
        <v>4875</v>
      </c>
      <c r="BJ334" s="174" t="n">
        <v>5085</v>
      </c>
      <c r="BK334" s="174" t="n">
        <v>5269</v>
      </c>
      <c r="BL334" s="174" t="n">
        <v>5269</v>
      </c>
      <c r="BM334" s="174" t="n">
        <v>5505</v>
      </c>
      <c r="BN334" s="174" t="n">
        <v>5759</v>
      </c>
      <c r="BO334" s="174" t="n">
        <v>6007</v>
      </c>
      <c r="BP334" s="174" t="n">
        <v>6185</v>
      </c>
      <c r="BQ334" s="174" t="n">
        <v>6185</v>
      </c>
      <c r="BR334" s="174" t="n">
        <v>3160</v>
      </c>
      <c r="BS334" s="174" t="n">
        <v>3452</v>
      </c>
      <c r="BT334" s="174" t="n">
        <v>3719</v>
      </c>
      <c r="BU334" s="174" t="n">
        <v>3878</v>
      </c>
      <c r="BV334" s="174" t="n">
        <v>3878</v>
      </c>
      <c r="BW334" s="174" t="n">
        <v>4187</v>
      </c>
      <c r="BX334" s="174" t="n">
        <v>4529</v>
      </c>
      <c r="BY334" s="37" t="n"/>
      <c r="BZ334" s="37" t="n"/>
      <c r="CA334" s="178">
        <f>BX334+BY161+BZ161+(CA274-(BW274+BX274))</f>
        <v/>
      </c>
      <c r="CB334" s="178">
        <f>CA334+CB161+CB274</f>
        <v/>
      </c>
      <c r="CC334" s="178">
        <f>CB334+CC161+CC274</f>
        <v/>
      </c>
      <c r="CD334" s="178">
        <f>CC334+CD161+CD274</f>
        <v/>
      </c>
      <c r="CE334" s="178">
        <f>CD334+CE161+CE274</f>
        <v/>
      </c>
      <c r="CF334" s="20" t="inlineStr">
        <is>
          <t>+ net income attributable − dividends.</t>
        </is>
      </c>
    </row>
    <row r="335" ht="15" customHeight="1">
      <c r="B335" s="26" t="inlineStr">
        <is>
          <t xml:space="preserve">  Accumulated other comprehensive income (loss)</t>
        </is>
      </c>
      <c r="C335" s="174" t="n">
        <v>-32.3</v>
      </c>
      <c r="D335" s="174" t="n">
        <v>9.300000000000001</v>
      </c>
      <c r="E335" s="174" t="n">
        <v>-60.5</v>
      </c>
      <c r="F335" s="174" t="n">
        <v>-30.5</v>
      </c>
      <c r="G335" s="174" t="n">
        <v>-38.1</v>
      </c>
      <c r="H335" s="174" t="n">
        <v>-60.9</v>
      </c>
      <c r="I335" s="174" t="n">
        <v>-53.6</v>
      </c>
      <c r="J335" s="174" t="n">
        <v>-79.3</v>
      </c>
      <c r="K335" s="174" t="n">
        <v>-86.09999999999999</v>
      </c>
      <c r="L335" s="174" t="n">
        <v>-52.1</v>
      </c>
      <c r="M335" s="174" t="n">
        <v>-34.9</v>
      </c>
      <c r="N335" s="174" t="n">
        <v>-34.9</v>
      </c>
      <c r="O335" s="174" t="n">
        <v>-34.1</v>
      </c>
      <c r="P335" s="174" t="n">
        <v>-26</v>
      </c>
      <c r="Q335" s="174" t="n">
        <v>-84.3</v>
      </c>
      <c r="R335" s="174" t="n">
        <v>-159.5</v>
      </c>
      <c r="S335" s="174" t="n">
        <v>-159.5</v>
      </c>
      <c r="T335" s="174" t="n">
        <v>-245.6</v>
      </c>
      <c r="U335" s="174" t="n">
        <v>-209.7</v>
      </c>
      <c r="V335" s="174" t="n">
        <v>-257.2</v>
      </c>
      <c r="W335" s="174" t="n">
        <v>-276.7</v>
      </c>
      <c r="X335" s="174" t="n">
        <v>-276.7</v>
      </c>
      <c r="Y335" s="174" t="n">
        <v>-249.1</v>
      </c>
      <c r="Z335" s="174" t="n">
        <v>-290.3</v>
      </c>
      <c r="AA335" s="174" t="n">
        <v>-286.1</v>
      </c>
      <c r="AB335" s="174" t="n">
        <v>-379.6</v>
      </c>
      <c r="AC335" s="174" t="n">
        <v>-379.6</v>
      </c>
      <c r="AD335" s="174" t="n">
        <v>-331.7</v>
      </c>
      <c r="AE335" s="174" t="n">
        <v>-184.6</v>
      </c>
      <c r="AF335" s="174" t="n">
        <v>-91.90000000000001</v>
      </c>
      <c r="AG335" s="174" t="n">
        <v>-45</v>
      </c>
      <c r="AH335" s="174" t="n">
        <v>-45</v>
      </c>
      <c r="AI335" s="174" t="n">
        <v>34</v>
      </c>
      <c r="AJ335" s="174" t="n">
        <v>-156.2</v>
      </c>
      <c r="AK335" s="174" t="n">
        <v>-205.7</v>
      </c>
      <c r="AL335" s="174" t="n">
        <v>-256.6</v>
      </c>
      <c r="AM335" s="174" t="n">
        <v>-256.6</v>
      </c>
      <c r="AN335" s="174" t="n">
        <v>-309</v>
      </c>
      <c r="AO335" s="174" t="n">
        <v>-289.2</v>
      </c>
      <c r="AP335" s="174" t="n">
        <v>-468.6</v>
      </c>
      <c r="AQ335" s="174" t="n">
        <v>-382.6</v>
      </c>
      <c r="AR335" s="174" t="n">
        <v>-382.6</v>
      </c>
      <c r="AS335" s="174" t="n">
        <v>-560.6</v>
      </c>
      <c r="AT335" s="174" t="n">
        <v>-537.8</v>
      </c>
      <c r="AU335" s="174" t="n">
        <v>-482.2</v>
      </c>
      <c r="AV335" s="174" t="n">
        <v>-339.1</v>
      </c>
      <c r="AW335" s="174" t="n">
        <v>-339.1</v>
      </c>
      <c r="AX335" s="174" t="n">
        <v>-409</v>
      </c>
      <c r="AY335" s="174" t="n">
        <v>-375.8</v>
      </c>
      <c r="AZ335" s="174" t="n">
        <v>-432.6</v>
      </c>
      <c r="BA335" s="174" t="n">
        <v>-466</v>
      </c>
      <c r="BB335" s="174" t="n">
        <v>-466</v>
      </c>
      <c r="BC335" s="174" t="n">
        <v>-449</v>
      </c>
      <c r="BD335" s="174" t="n">
        <v>-641</v>
      </c>
      <c r="BE335" s="174" t="n">
        <v>-808</v>
      </c>
      <c r="BF335" s="174" t="n">
        <v>-661</v>
      </c>
      <c r="BG335" s="174" t="n">
        <v>-661</v>
      </c>
      <c r="BH335" s="174" t="n">
        <v>-631</v>
      </c>
      <c r="BI335" s="174" t="n">
        <v>-624</v>
      </c>
      <c r="BJ335" s="174" t="n">
        <v>-713</v>
      </c>
      <c r="BK335" s="174" t="n">
        <v>-590</v>
      </c>
      <c r="BL335" s="174" t="n">
        <v>-590</v>
      </c>
      <c r="BM335" s="174" t="n">
        <v>-667</v>
      </c>
      <c r="BN335" s="174" t="n">
        <v>-720</v>
      </c>
      <c r="BO335" s="174" t="n">
        <v>-607</v>
      </c>
      <c r="BP335" s="174" t="n">
        <v>-846</v>
      </c>
      <c r="BQ335" s="174" t="n">
        <v>-846</v>
      </c>
      <c r="BR335" s="174" t="n">
        <v>-733</v>
      </c>
      <c r="BS335" s="174" t="n">
        <v>-561</v>
      </c>
      <c r="BT335" s="174" t="n">
        <v>-604</v>
      </c>
      <c r="BU335" s="174" t="n">
        <v>-616</v>
      </c>
      <c r="BV335" s="174" t="n">
        <v>-616</v>
      </c>
      <c r="BW335" s="174" t="n">
        <v>-689</v>
      </c>
      <c r="BX335" s="174" t="n">
        <v>-729</v>
      </c>
      <c r="BY335" s="37" t="n"/>
      <c r="BZ335" s="37" t="n"/>
      <c r="CA335" s="178">
        <f>BX335+(CA278-(BW278+BX278))</f>
        <v/>
      </c>
      <c r="CB335" s="178">
        <f>CA335</f>
        <v/>
      </c>
      <c r="CC335" s="178">
        <f>CB335</f>
        <v/>
      </c>
      <c r="CD335" s="178">
        <f>CC335</f>
        <v/>
      </c>
      <c r="CE335" s="178">
        <f>CD335</f>
        <v/>
      </c>
      <c r="CF335" s="20" t="n"/>
    </row>
    <row r="336" ht="15" customHeight="1">
      <c r="B336" s="17" t="inlineStr">
        <is>
          <t>Total Wabtec shareholders' equity</t>
        </is>
      </c>
      <c r="C336" s="198">
        <f>IF(ISNUMBER(C332),SUM(C332:C335),"")</f>
        <v/>
      </c>
      <c r="D336" s="198">
        <f>IF(ISNUMBER(D332),SUM(D332:D335),"")</f>
        <v/>
      </c>
      <c r="E336" s="198">
        <f>IF(ISNUMBER(E332),SUM(E332:E335),"")</f>
        <v/>
      </c>
      <c r="F336" s="198">
        <f>IF(ISNUMBER(F332),SUM(F332:F335),"")</f>
        <v/>
      </c>
      <c r="G336" s="198">
        <f>IF(ISNUMBER(G332),SUM(G332:G335),"")</f>
        <v/>
      </c>
      <c r="H336" s="198">
        <f>IF(ISNUMBER(H332),SUM(H332:H335),"")</f>
        <v/>
      </c>
      <c r="I336" s="198">
        <f>IF(ISNUMBER(I332),SUM(I332:I335),"")</f>
        <v/>
      </c>
      <c r="J336" s="198">
        <f>IF(ISNUMBER(J332),SUM(J332:J335),"")</f>
        <v/>
      </c>
      <c r="K336" s="198">
        <f>IF(ISNUMBER(K332),SUM(K332:K335),"")</f>
        <v/>
      </c>
      <c r="L336" s="198">
        <f>IF(ISNUMBER(L332),SUM(L332:L335),"")</f>
        <v/>
      </c>
      <c r="M336" s="198">
        <f>IF(ISNUMBER(M332),SUM(M332:M335),"")</f>
        <v/>
      </c>
      <c r="N336" s="198">
        <f>IF(ISNUMBER(N332),SUM(N332:N335),"")</f>
        <v/>
      </c>
      <c r="O336" s="198">
        <f>IF(ISNUMBER(O332),SUM(O332:O335),"")</f>
        <v/>
      </c>
      <c r="P336" s="198">
        <f>IF(ISNUMBER(P332),SUM(P332:P335),"")</f>
        <v/>
      </c>
      <c r="Q336" s="198">
        <f>IF(ISNUMBER(Q332),SUM(Q332:Q335),"")</f>
        <v/>
      </c>
      <c r="R336" s="198">
        <f>IF(ISNUMBER(R332),SUM(R332:R335),"")</f>
        <v/>
      </c>
      <c r="S336" s="198">
        <f>IF(ISNUMBER(S332),SUM(S332:S335),"")</f>
        <v/>
      </c>
      <c r="T336" s="198">
        <f>IF(ISNUMBER(T332),SUM(T332:T335),"")</f>
        <v/>
      </c>
      <c r="U336" s="198">
        <f>IF(ISNUMBER(U332),SUM(U332:U335),"")</f>
        <v/>
      </c>
      <c r="V336" s="198">
        <f>IF(ISNUMBER(V332),SUM(V332:V335),"")</f>
        <v/>
      </c>
      <c r="W336" s="198">
        <f>IF(ISNUMBER(W332),SUM(W332:W335),"")</f>
        <v/>
      </c>
      <c r="X336" s="198">
        <f>IF(ISNUMBER(X332),SUM(X332:X335),"")</f>
        <v/>
      </c>
      <c r="Y336" s="198">
        <f>IF(ISNUMBER(Y332),SUM(Y332:Y335),"")</f>
        <v/>
      </c>
      <c r="Z336" s="198">
        <f>IF(ISNUMBER(Z332),SUM(Z332:Z335),"")</f>
        <v/>
      </c>
      <c r="AA336" s="198">
        <f>IF(ISNUMBER(AA332),SUM(AA332:AA335),"")</f>
        <v/>
      </c>
      <c r="AB336" s="198">
        <f>IF(ISNUMBER(AB332),SUM(AB332:AB335),"")</f>
        <v/>
      </c>
      <c r="AC336" s="198">
        <f>IF(ISNUMBER(AC332),SUM(AC332:AC335),"")</f>
        <v/>
      </c>
      <c r="AD336" s="198">
        <f>IF(ISNUMBER(AD332),SUM(AD332:AD335),"")</f>
        <v/>
      </c>
      <c r="AE336" s="198">
        <f>IF(ISNUMBER(AE332),SUM(AE332:AE335),"")</f>
        <v/>
      </c>
      <c r="AF336" s="198">
        <f>IF(ISNUMBER(AF332),SUM(AF332:AF335),"")</f>
        <v/>
      </c>
      <c r="AG336" s="198">
        <f>IF(ISNUMBER(AG332),SUM(AG332:AG335),"")</f>
        <v/>
      </c>
      <c r="AH336" s="198">
        <f>IF(ISNUMBER(AH332),SUM(AH332:AH335),"")</f>
        <v/>
      </c>
      <c r="AI336" s="198">
        <f>IF(ISNUMBER(AI332),SUM(AI332:AI335),"")</f>
        <v/>
      </c>
      <c r="AJ336" s="198">
        <f>IF(ISNUMBER(AJ332),SUM(AJ332:AJ335),"")</f>
        <v/>
      </c>
      <c r="AK336" s="198">
        <f>IF(ISNUMBER(AK332),SUM(AK332:AK335),"")</f>
        <v/>
      </c>
      <c r="AL336" s="198">
        <f>IF(ISNUMBER(AL332),SUM(AL332:AL335),"")</f>
        <v/>
      </c>
      <c r="AM336" s="198">
        <f>IF(ISNUMBER(AM332),SUM(AM332:AM335),"")</f>
        <v/>
      </c>
      <c r="AN336" s="198">
        <f>IF(ISNUMBER(AN332),SUM(AN332:AN335),"")</f>
        <v/>
      </c>
      <c r="AO336" s="198">
        <f>IF(ISNUMBER(AO332),SUM(AO332:AO335),"")</f>
        <v/>
      </c>
      <c r="AP336" s="198">
        <f>IF(ISNUMBER(AP332),SUM(AP332:AP335),"")</f>
        <v/>
      </c>
      <c r="AQ336" s="198">
        <f>IF(ISNUMBER(AQ332),SUM(AQ332:AQ335),"")</f>
        <v/>
      </c>
      <c r="AR336" s="198">
        <f>IF(ISNUMBER(AR332),SUM(AR332:AR335),"")</f>
        <v/>
      </c>
      <c r="AS336" s="198">
        <f>IF(ISNUMBER(AS332),SUM(AS332:AS335),"")</f>
        <v/>
      </c>
      <c r="AT336" s="198">
        <f>IF(ISNUMBER(AT332),SUM(AT332:AT335),"")</f>
        <v/>
      </c>
      <c r="AU336" s="198">
        <f>IF(ISNUMBER(AU332),SUM(AU332:AU335),"")</f>
        <v/>
      </c>
      <c r="AV336" s="198">
        <f>IF(ISNUMBER(AV332),SUM(AV332:AV335),"")</f>
        <v/>
      </c>
      <c r="AW336" s="198">
        <f>IF(ISNUMBER(AW332),SUM(AW332:AW335),"")</f>
        <v/>
      </c>
      <c r="AX336" s="198">
        <f>IF(ISNUMBER(AX332),SUM(AX332:AX335),"")</f>
        <v/>
      </c>
      <c r="AY336" s="198">
        <f>IF(ISNUMBER(AY332),SUM(AY332:AY335),"")</f>
        <v/>
      </c>
      <c r="AZ336" s="198">
        <f>IF(ISNUMBER(AZ332),SUM(AZ332:AZ335),"")</f>
        <v/>
      </c>
      <c r="BA336" s="198">
        <f>IF(ISNUMBER(BA332),SUM(BA332:BA335),"")</f>
        <v/>
      </c>
      <c r="BB336" s="198">
        <f>IF(ISNUMBER(BB332),SUM(BB332:BB335),"")</f>
        <v/>
      </c>
      <c r="BC336" s="198">
        <f>IF(ISNUMBER(BC332),SUM(BC332:BC335),"")</f>
        <v/>
      </c>
      <c r="BD336" s="198">
        <f>IF(ISNUMBER(BD332),SUM(BD332:BD335),"")</f>
        <v/>
      </c>
      <c r="BE336" s="198">
        <f>IF(ISNUMBER(BE332),SUM(BE332:BE335),"")</f>
        <v/>
      </c>
      <c r="BF336" s="198">
        <f>IF(ISNUMBER(BF332),SUM(BF332:BF335),"")</f>
        <v/>
      </c>
      <c r="BG336" s="198">
        <f>IF(ISNUMBER(BG332),SUM(BG332:BG335),"")</f>
        <v/>
      </c>
      <c r="BH336" s="198">
        <f>IF(ISNUMBER(BH332),SUM(BH332:BH335),"")</f>
        <v/>
      </c>
      <c r="BI336" s="198">
        <f>IF(ISNUMBER(BI332),SUM(BI332:BI335),"")</f>
        <v/>
      </c>
      <c r="BJ336" s="198">
        <f>IF(ISNUMBER(BJ332),SUM(BJ332:BJ335),"")</f>
        <v/>
      </c>
      <c r="BK336" s="198">
        <f>IF(ISNUMBER(BK332),SUM(BK332:BK335),"")</f>
        <v/>
      </c>
      <c r="BL336" s="198">
        <f>IF(ISNUMBER(BL332),SUM(BL332:BL335),"")</f>
        <v/>
      </c>
      <c r="BM336" s="198">
        <f>IF(ISNUMBER(BM332),SUM(BM332:BM335),"")</f>
        <v/>
      </c>
      <c r="BN336" s="198">
        <f>IF(ISNUMBER(BN332),SUM(BN332:BN335),"")</f>
        <v/>
      </c>
      <c r="BO336" s="198">
        <f>IF(ISNUMBER(BO332),SUM(BO332:BO335),"")</f>
        <v/>
      </c>
      <c r="BP336" s="198">
        <f>IF(ISNUMBER(BP332),SUM(BP332:BP335),"")</f>
        <v/>
      </c>
      <c r="BQ336" s="198">
        <f>IF(ISNUMBER(BQ332),SUM(BQ332:BQ335),"")</f>
        <v/>
      </c>
      <c r="BR336" s="198">
        <f>IF(ISNUMBER(BR332),SUM(BR332:BR335),"")</f>
        <v/>
      </c>
      <c r="BS336" s="198">
        <f>IF(ISNUMBER(BS332),SUM(BS332:BS335),"")</f>
        <v/>
      </c>
      <c r="BT336" s="198">
        <f>IF(ISNUMBER(BT332),SUM(BT332:BT335),"")</f>
        <v/>
      </c>
      <c r="BU336" s="198">
        <f>IF(ISNUMBER(BU332),SUM(BU332:BU335),"")</f>
        <v/>
      </c>
      <c r="BV336" s="198">
        <f>IF(ISNUMBER(BV332),SUM(BV332:BV335),"")</f>
        <v/>
      </c>
      <c r="BW336" s="198">
        <f>IF(ISNUMBER(BW332),SUM(BW332:BW335),"")</f>
        <v/>
      </c>
      <c r="BX336" s="198">
        <f>IF(ISNUMBER(BX332),SUM(BX332:BX335),"")</f>
        <v/>
      </c>
      <c r="BY336" s="34" t="n"/>
      <c r="BZ336" s="34" t="n"/>
      <c r="CA336" s="185">
        <f>IF(ISNUMBER(CA332),SUM(CA332:CA335),"")</f>
        <v/>
      </c>
      <c r="CB336" s="185">
        <f>IF(ISNUMBER(CB332),SUM(CB332:CB335),"")</f>
        <v/>
      </c>
      <c r="CC336" s="185">
        <f>IF(ISNUMBER(CC332),SUM(CC332:CC335),"")</f>
        <v/>
      </c>
      <c r="CD336" s="185">
        <f>IF(ISNUMBER(CD332),SUM(CD332:CD335),"")</f>
        <v/>
      </c>
      <c r="CE336" s="185">
        <f>IF(ISNUMBER(CE332),SUM(CE332:CE335),"")</f>
        <v/>
      </c>
      <c r="CF336" s="6" t="n"/>
      <c r="CH336" s="21">
        <f>IFERROR((CE336/BV336)^(1/5)-1,"n/m")</f>
        <v/>
      </c>
      <c r="CI336" s="21">
        <f>IFERROR((BV336/AW336)^(1/5)-1,"n/m")</f>
        <v/>
      </c>
      <c r="CJ336" s="21">
        <f>IFERROR((BV336/X336)^(1/10)-1,"n/m")</f>
        <v/>
      </c>
      <c r="CK336" s="21">
        <f>IFERROR((BV336/C336)^(1/19)-1,"n/m")</f>
        <v/>
      </c>
    </row>
    <row r="337" ht="15" customHeight="1">
      <c r="B337" s="26" t="inlineStr">
        <is>
          <t xml:space="preserve">  Noncontrolling interest</t>
        </is>
      </c>
      <c r="C337" s="36" t="n"/>
      <c r="D337" s="36" t="n"/>
      <c r="E337" s="36" t="n"/>
      <c r="F337" s="174" t="n">
        <v>2</v>
      </c>
      <c r="G337" s="174" t="n">
        <v>3.6</v>
      </c>
      <c r="H337" s="174" t="n">
        <v>2.5</v>
      </c>
      <c r="I337" s="174" t="n">
        <v>5.2</v>
      </c>
      <c r="J337" s="174" t="n">
        <v>4.9</v>
      </c>
      <c r="K337" s="174" t="n">
        <v>4.4</v>
      </c>
      <c r="L337" s="174" t="n">
        <v>4.4</v>
      </c>
      <c r="M337" s="174" t="n">
        <v>1.9</v>
      </c>
      <c r="N337" s="174" t="n">
        <v>1.9</v>
      </c>
      <c r="O337" s="174" t="n">
        <v>1.4</v>
      </c>
      <c r="P337" s="174" t="n">
        <v>1.4</v>
      </c>
      <c r="Q337" s="174" t="n">
        <v>1</v>
      </c>
      <c r="R337" s="174" t="n">
        <v>1.1</v>
      </c>
      <c r="S337" s="174" t="n">
        <v>1.1</v>
      </c>
      <c r="T337" s="174" t="n">
        <v>1.1</v>
      </c>
      <c r="U337" s="174" t="n">
        <v>1</v>
      </c>
      <c r="V337" s="174" t="n">
        <v>1.3</v>
      </c>
      <c r="W337" s="174" t="n">
        <v>1.7</v>
      </c>
      <c r="X337" s="174" t="n">
        <v>1.7</v>
      </c>
      <c r="Y337" s="174" t="n">
        <v>1.8</v>
      </c>
      <c r="Z337" s="174" t="n">
        <v>3.3</v>
      </c>
      <c r="AA337" s="174" t="n">
        <v>3.4</v>
      </c>
      <c r="AB337" s="174" t="n">
        <v>770.8</v>
      </c>
      <c r="AC337" s="174" t="n">
        <v>770.8</v>
      </c>
      <c r="AD337" s="174" t="n">
        <v>17.2</v>
      </c>
      <c r="AE337" s="174" t="n">
        <v>17.5</v>
      </c>
      <c r="AF337" s="174" t="n">
        <v>18.7</v>
      </c>
      <c r="AG337" s="174" t="n">
        <v>19.7</v>
      </c>
      <c r="AH337" s="174" t="n">
        <v>19.7</v>
      </c>
      <c r="AI337" s="174" t="n">
        <v>19.1</v>
      </c>
      <c r="AJ337" s="174" t="n">
        <v>17.3</v>
      </c>
      <c r="AK337" s="174" t="n">
        <v>15.2</v>
      </c>
      <c r="AL337" s="174" t="n">
        <v>3.9</v>
      </c>
      <c r="AM337" s="174" t="n">
        <v>3.9</v>
      </c>
      <c r="AN337" s="174" t="n">
        <v>92.59999999999999</v>
      </c>
      <c r="AO337" s="174" t="n">
        <v>33.4</v>
      </c>
      <c r="AP337" s="174" t="n">
        <v>33</v>
      </c>
      <c r="AQ337" s="174" t="n">
        <v>37.1</v>
      </c>
      <c r="AR337" s="174" t="n">
        <v>37.1</v>
      </c>
      <c r="AS337" s="174" t="n">
        <v>35.9</v>
      </c>
      <c r="AT337" s="174" t="n">
        <v>35</v>
      </c>
      <c r="AU337" s="174" t="n">
        <v>35.5</v>
      </c>
      <c r="AV337" s="174" t="n">
        <v>30.4</v>
      </c>
      <c r="AW337" s="174" t="n">
        <v>30.4</v>
      </c>
      <c r="AX337" s="174" t="n">
        <v>33</v>
      </c>
      <c r="AY337" s="174" t="n">
        <v>33.4</v>
      </c>
      <c r="AZ337" s="174" t="n">
        <v>34.6</v>
      </c>
      <c r="BA337" s="174" t="n">
        <v>38</v>
      </c>
      <c r="BB337" s="174" t="n">
        <v>38</v>
      </c>
      <c r="BC337" s="174" t="n">
        <v>39</v>
      </c>
      <c r="BD337" s="174" t="n">
        <v>42</v>
      </c>
      <c r="BE337" s="174" t="n">
        <v>44</v>
      </c>
      <c r="BF337" s="174" t="n">
        <v>45</v>
      </c>
      <c r="BG337" s="174" t="n">
        <v>45</v>
      </c>
      <c r="BH337" s="174" t="n">
        <v>49</v>
      </c>
      <c r="BI337" s="174" t="n">
        <v>39</v>
      </c>
      <c r="BJ337" s="174" t="n">
        <v>41</v>
      </c>
      <c r="BK337" s="174" t="n">
        <v>37</v>
      </c>
      <c r="BL337" s="174" t="n">
        <v>37</v>
      </c>
      <c r="BM337" s="174" t="n">
        <v>42</v>
      </c>
      <c r="BN337" s="174" t="n">
        <v>43</v>
      </c>
      <c r="BO337" s="174" t="n">
        <v>41</v>
      </c>
      <c r="BP337" s="174" t="n">
        <v>42</v>
      </c>
      <c r="BQ337" s="174" t="n">
        <v>42</v>
      </c>
      <c r="BR337" s="174" t="n">
        <v>46</v>
      </c>
      <c r="BS337" s="174" t="n">
        <v>44</v>
      </c>
      <c r="BT337" s="174" t="n">
        <v>47</v>
      </c>
      <c r="BU337" s="174" t="n">
        <v>48</v>
      </c>
      <c r="BV337" s="174" t="n">
        <v>48</v>
      </c>
      <c r="BW337" s="174" t="n">
        <v>48</v>
      </c>
      <c r="BX337" s="174" t="n">
        <v>30</v>
      </c>
      <c r="BY337" s="37" t="n"/>
      <c r="BZ337" s="37" t="n"/>
      <c r="CA337" s="178">
        <f>N(BX337)+BY160+BZ160</f>
        <v/>
      </c>
      <c r="CB337" s="178">
        <f>N(CA337)+N(CB160)</f>
        <v/>
      </c>
      <c r="CC337" s="178">
        <f>N(CB337)+N(CC160)</f>
        <v/>
      </c>
      <c r="CD337" s="178">
        <f>N(CC337)+N(CD160)</f>
        <v/>
      </c>
      <c r="CE337" s="178">
        <f>N(CD337)+N(CE160)</f>
        <v/>
      </c>
      <c r="CF337" s="20" t="n"/>
    </row>
    <row r="338" ht="15" customHeight="1">
      <c r="B338" s="17" t="inlineStr">
        <is>
          <t>Total equity</t>
        </is>
      </c>
      <c r="C338" s="198">
        <f>IF(ISNUMBER(C336),C336+N(C337),"")</f>
        <v/>
      </c>
      <c r="D338" s="198">
        <f>IF(ISNUMBER(D336),D336+N(D337),"")</f>
        <v/>
      </c>
      <c r="E338" s="198">
        <f>IF(ISNUMBER(E336),E336+N(E337),"")</f>
        <v/>
      </c>
      <c r="F338" s="198">
        <f>IF(ISNUMBER(F336),F336+N(F337),"")</f>
        <v/>
      </c>
      <c r="G338" s="198">
        <f>IF(ISNUMBER(G336),G336+N(G337),"")</f>
        <v/>
      </c>
      <c r="H338" s="198">
        <f>IF(ISNUMBER(H336),H336+N(H337),"")</f>
        <v/>
      </c>
      <c r="I338" s="198">
        <f>IF(ISNUMBER(I336),I336+N(I337),"")</f>
        <v/>
      </c>
      <c r="J338" s="198">
        <f>IF(ISNUMBER(J336),J336+N(J337),"")</f>
        <v/>
      </c>
      <c r="K338" s="198">
        <f>IF(ISNUMBER(K336),K336+N(K337),"")</f>
        <v/>
      </c>
      <c r="L338" s="198">
        <f>IF(ISNUMBER(L336),L336+N(L337),"")</f>
        <v/>
      </c>
      <c r="M338" s="198">
        <f>IF(ISNUMBER(M336),M336+N(M337),"")</f>
        <v/>
      </c>
      <c r="N338" s="198">
        <f>IF(ISNUMBER(N336),N336+N(N337),"")</f>
        <v/>
      </c>
      <c r="O338" s="198">
        <f>IF(ISNUMBER(O336),O336+N(O337),"")</f>
        <v/>
      </c>
      <c r="P338" s="198">
        <f>IF(ISNUMBER(P336),P336+N(P337),"")</f>
        <v/>
      </c>
      <c r="Q338" s="198">
        <f>IF(ISNUMBER(Q336),Q336+N(Q337),"")</f>
        <v/>
      </c>
      <c r="R338" s="198">
        <f>IF(ISNUMBER(R336),R336+N(R337),"")</f>
        <v/>
      </c>
      <c r="S338" s="198">
        <f>IF(ISNUMBER(S336),S336+N(S337),"")</f>
        <v/>
      </c>
      <c r="T338" s="198">
        <f>IF(ISNUMBER(T336),T336+N(T337),"")</f>
        <v/>
      </c>
      <c r="U338" s="198">
        <f>IF(ISNUMBER(U336),U336+N(U337),"")</f>
        <v/>
      </c>
      <c r="V338" s="198">
        <f>IF(ISNUMBER(V336),V336+N(V337),"")</f>
        <v/>
      </c>
      <c r="W338" s="198">
        <f>IF(ISNUMBER(W336),W336+N(W337),"")</f>
        <v/>
      </c>
      <c r="X338" s="198">
        <f>IF(ISNUMBER(X336),X336+N(X337),"")</f>
        <v/>
      </c>
      <c r="Y338" s="198">
        <f>IF(ISNUMBER(Y336),Y336+N(Y337),"")</f>
        <v/>
      </c>
      <c r="Z338" s="198">
        <f>IF(ISNUMBER(Z336),Z336+N(Z337),"")</f>
        <v/>
      </c>
      <c r="AA338" s="198">
        <f>IF(ISNUMBER(AA336),AA336+N(AA337),"")</f>
        <v/>
      </c>
      <c r="AB338" s="198">
        <f>IF(ISNUMBER(AB336),AB336+N(AB337),"")</f>
        <v/>
      </c>
      <c r="AC338" s="198">
        <f>IF(ISNUMBER(AC336),AC336+N(AC337),"")</f>
        <v/>
      </c>
      <c r="AD338" s="198">
        <f>IF(ISNUMBER(AD336),AD336+N(AD337),"")</f>
        <v/>
      </c>
      <c r="AE338" s="198">
        <f>IF(ISNUMBER(AE336),AE336+N(AE337),"")</f>
        <v/>
      </c>
      <c r="AF338" s="198">
        <f>IF(ISNUMBER(AF336),AF336+N(AF337),"")</f>
        <v/>
      </c>
      <c r="AG338" s="198">
        <f>IF(ISNUMBER(AG336),AG336+N(AG337),"")</f>
        <v/>
      </c>
      <c r="AH338" s="198">
        <f>IF(ISNUMBER(AH336),AH336+N(AH337),"")</f>
        <v/>
      </c>
      <c r="AI338" s="198">
        <f>IF(ISNUMBER(AI336),AI336+N(AI337),"")</f>
        <v/>
      </c>
      <c r="AJ338" s="198">
        <f>IF(ISNUMBER(AJ336),AJ336+N(AJ337),"")</f>
        <v/>
      </c>
      <c r="AK338" s="198">
        <f>IF(ISNUMBER(AK336),AK336+N(AK337),"")</f>
        <v/>
      </c>
      <c r="AL338" s="198">
        <f>IF(ISNUMBER(AL336),AL336+N(AL337),"")</f>
        <v/>
      </c>
      <c r="AM338" s="198">
        <f>IF(ISNUMBER(AM336),AM336+N(AM337),"")</f>
        <v/>
      </c>
      <c r="AN338" s="198">
        <f>IF(ISNUMBER(AN336),AN336+N(AN337),"")</f>
        <v/>
      </c>
      <c r="AO338" s="198">
        <f>IF(ISNUMBER(AO336),AO336+N(AO337),"")</f>
        <v/>
      </c>
      <c r="AP338" s="198">
        <f>IF(ISNUMBER(AP336),AP336+N(AP337),"")</f>
        <v/>
      </c>
      <c r="AQ338" s="198">
        <f>IF(ISNUMBER(AQ336),AQ336+N(AQ337),"")</f>
        <v/>
      </c>
      <c r="AR338" s="198">
        <f>IF(ISNUMBER(AR336),AR336+N(AR337),"")</f>
        <v/>
      </c>
      <c r="AS338" s="198">
        <f>IF(ISNUMBER(AS336),AS336+N(AS337),"")</f>
        <v/>
      </c>
      <c r="AT338" s="198">
        <f>IF(ISNUMBER(AT336),AT336+N(AT337),"")</f>
        <v/>
      </c>
      <c r="AU338" s="198">
        <f>IF(ISNUMBER(AU336),AU336+N(AU337),"")</f>
        <v/>
      </c>
      <c r="AV338" s="198">
        <f>IF(ISNUMBER(AV336),AV336+N(AV337),"")</f>
        <v/>
      </c>
      <c r="AW338" s="198">
        <f>IF(ISNUMBER(AW336),AW336+N(AW337),"")</f>
        <v/>
      </c>
      <c r="AX338" s="198">
        <f>IF(ISNUMBER(AX336),AX336+N(AX337),"")</f>
        <v/>
      </c>
      <c r="AY338" s="198">
        <f>IF(ISNUMBER(AY336),AY336+N(AY337),"")</f>
        <v/>
      </c>
      <c r="AZ338" s="198">
        <f>IF(ISNUMBER(AZ336),AZ336+N(AZ337),"")</f>
        <v/>
      </c>
      <c r="BA338" s="198">
        <f>IF(ISNUMBER(BA336),BA336+N(BA337),"")</f>
        <v/>
      </c>
      <c r="BB338" s="198">
        <f>IF(ISNUMBER(BB336),BB336+N(BB337),"")</f>
        <v/>
      </c>
      <c r="BC338" s="198">
        <f>IF(ISNUMBER(BC336),BC336+N(BC337),"")</f>
        <v/>
      </c>
      <c r="BD338" s="198">
        <f>IF(ISNUMBER(BD336),BD336+N(BD337),"")</f>
        <v/>
      </c>
      <c r="BE338" s="198">
        <f>IF(ISNUMBER(BE336),BE336+N(BE337),"")</f>
        <v/>
      </c>
      <c r="BF338" s="198">
        <f>IF(ISNUMBER(BF336),BF336+N(BF337),"")</f>
        <v/>
      </c>
      <c r="BG338" s="198">
        <f>IF(ISNUMBER(BG336),BG336+N(BG337),"")</f>
        <v/>
      </c>
      <c r="BH338" s="198">
        <f>IF(ISNUMBER(BH336),BH336+N(BH337),"")</f>
        <v/>
      </c>
      <c r="BI338" s="198">
        <f>IF(ISNUMBER(BI336),BI336+N(BI337),"")</f>
        <v/>
      </c>
      <c r="BJ338" s="198">
        <f>IF(ISNUMBER(BJ336),BJ336+N(BJ337),"")</f>
        <v/>
      </c>
      <c r="BK338" s="198">
        <f>IF(ISNUMBER(BK336),BK336+N(BK337),"")</f>
        <v/>
      </c>
      <c r="BL338" s="198">
        <f>IF(ISNUMBER(BL336),BL336+N(BL337),"")</f>
        <v/>
      </c>
      <c r="BM338" s="198">
        <f>IF(ISNUMBER(BM336),BM336+N(BM337),"")</f>
        <v/>
      </c>
      <c r="BN338" s="198">
        <f>IF(ISNUMBER(BN336),BN336+N(BN337),"")</f>
        <v/>
      </c>
      <c r="BO338" s="198">
        <f>IF(ISNUMBER(BO336),BO336+N(BO337),"")</f>
        <v/>
      </c>
      <c r="BP338" s="198">
        <f>IF(ISNUMBER(BP336),BP336+N(BP337),"")</f>
        <v/>
      </c>
      <c r="BQ338" s="198">
        <f>IF(ISNUMBER(BQ336),BQ336+N(BQ337),"")</f>
        <v/>
      </c>
      <c r="BR338" s="198">
        <f>IF(ISNUMBER(BR336),BR336+N(BR337),"")</f>
        <v/>
      </c>
      <c r="BS338" s="198">
        <f>IF(ISNUMBER(BS336),BS336+N(BS337),"")</f>
        <v/>
      </c>
      <c r="BT338" s="198">
        <f>IF(ISNUMBER(BT336),BT336+N(BT337),"")</f>
        <v/>
      </c>
      <c r="BU338" s="198">
        <f>IF(ISNUMBER(BU336),BU336+N(BU337),"")</f>
        <v/>
      </c>
      <c r="BV338" s="198">
        <f>IF(ISNUMBER(BV336),BV336+N(BV337),"")</f>
        <v/>
      </c>
      <c r="BW338" s="198">
        <f>IF(ISNUMBER(BW336),BW336+N(BW337),"")</f>
        <v/>
      </c>
      <c r="BX338" s="198">
        <f>IF(ISNUMBER(BX336),BX336+N(BX337),"")</f>
        <v/>
      </c>
      <c r="BY338" s="34" t="n"/>
      <c r="BZ338" s="34" t="n"/>
      <c r="CA338" s="185">
        <f>IF(ISNUMBER(CA336),CA336+N(CA337),"")</f>
        <v/>
      </c>
      <c r="CB338" s="185">
        <f>IF(ISNUMBER(CB336),CB336+N(CB337),"")</f>
        <v/>
      </c>
      <c r="CC338" s="185">
        <f>IF(ISNUMBER(CC336),CC336+N(CC337),"")</f>
        <v/>
      </c>
      <c r="CD338" s="185">
        <f>IF(ISNUMBER(CD336),CD336+N(CD337),"")</f>
        <v/>
      </c>
      <c r="CE338" s="185">
        <f>IF(ISNUMBER(CE336),CE336+N(CE337),"")</f>
        <v/>
      </c>
      <c r="CF338" s="6" t="n"/>
    </row>
    <row r="339" ht="15" customHeight="1">
      <c r="B339" s="59" t="inlineStr">
        <is>
          <t>TOTAL LIABILITIES AND EQUITY</t>
        </is>
      </c>
      <c r="C339" s="193">
        <f>IF(ISNUMBER(C330),C330+C338,"")</f>
        <v/>
      </c>
      <c r="D339" s="193">
        <f>IF(ISNUMBER(D330),D330+D338,"")</f>
        <v/>
      </c>
      <c r="E339" s="193">
        <f>IF(ISNUMBER(E330),E330+E338,"")</f>
        <v/>
      </c>
      <c r="F339" s="193">
        <f>IF(ISNUMBER(F330),F330+F338,"")</f>
        <v/>
      </c>
      <c r="G339" s="193">
        <f>IF(ISNUMBER(G330),G330+G338,"")</f>
        <v/>
      </c>
      <c r="H339" s="193">
        <f>IF(ISNUMBER(H330),H330+H338,"")</f>
        <v/>
      </c>
      <c r="I339" s="193">
        <f>IF(ISNUMBER(I330),I330+I338,"")</f>
        <v/>
      </c>
      <c r="J339" s="193">
        <f>IF(ISNUMBER(J330),J330+J338,"")</f>
        <v/>
      </c>
      <c r="K339" s="193">
        <f>IF(ISNUMBER(K330),K330+K338,"")</f>
        <v/>
      </c>
      <c r="L339" s="193">
        <f>IF(ISNUMBER(L330),L330+L338,"")</f>
        <v/>
      </c>
      <c r="M339" s="193">
        <f>IF(ISNUMBER(M330),M330+M338,"")</f>
        <v/>
      </c>
      <c r="N339" s="193">
        <f>IF(ISNUMBER(N330),N330+N338,"")</f>
        <v/>
      </c>
      <c r="O339" s="193">
        <f>IF(ISNUMBER(O330),O330+O338,"")</f>
        <v/>
      </c>
      <c r="P339" s="193">
        <f>IF(ISNUMBER(P330),P330+P338,"")</f>
        <v/>
      </c>
      <c r="Q339" s="193">
        <f>IF(ISNUMBER(Q330),Q330+Q338,"")</f>
        <v/>
      </c>
      <c r="R339" s="193">
        <f>IF(ISNUMBER(R330),R330+R338,"")</f>
        <v/>
      </c>
      <c r="S339" s="193">
        <f>IF(ISNUMBER(S330),S330+S338,"")</f>
        <v/>
      </c>
      <c r="T339" s="193">
        <f>IF(ISNUMBER(T330),T330+T338,"")</f>
        <v/>
      </c>
      <c r="U339" s="193">
        <f>IF(ISNUMBER(U330),U330+U338,"")</f>
        <v/>
      </c>
      <c r="V339" s="193">
        <f>IF(ISNUMBER(V330),V330+V338,"")</f>
        <v/>
      </c>
      <c r="W339" s="193">
        <f>IF(ISNUMBER(W330),W330+W338,"")</f>
        <v/>
      </c>
      <c r="X339" s="193">
        <f>IF(ISNUMBER(X330),X330+X338,"")</f>
        <v/>
      </c>
      <c r="Y339" s="193">
        <f>IF(ISNUMBER(Y330),Y330+Y338,"")</f>
        <v/>
      </c>
      <c r="Z339" s="193">
        <f>IF(ISNUMBER(Z330),Z330+Z338,"")</f>
        <v/>
      </c>
      <c r="AA339" s="193">
        <f>IF(ISNUMBER(AA330),AA330+AA338,"")</f>
        <v/>
      </c>
      <c r="AB339" s="193">
        <f>IF(ISNUMBER(AB330),AB330+AB338,"")</f>
        <v/>
      </c>
      <c r="AC339" s="193">
        <f>IF(ISNUMBER(AC330),AC330+AC338,"")</f>
        <v/>
      </c>
      <c r="AD339" s="193">
        <f>IF(ISNUMBER(AD330),AD330+AD338,"")</f>
        <v/>
      </c>
      <c r="AE339" s="193">
        <f>IF(ISNUMBER(AE330),AE330+AE338,"")</f>
        <v/>
      </c>
      <c r="AF339" s="193">
        <f>IF(ISNUMBER(AF330),AF330+AF338,"")</f>
        <v/>
      </c>
      <c r="AG339" s="193">
        <f>IF(ISNUMBER(AG330),AG330+AG338,"")</f>
        <v/>
      </c>
      <c r="AH339" s="193">
        <f>IF(ISNUMBER(AH330),AH330+AH338,"")</f>
        <v/>
      </c>
      <c r="AI339" s="193">
        <f>IF(ISNUMBER(AI330),AI330+AI338,"")</f>
        <v/>
      </c>
      <c r="AJ339" s="193">
        <f>IF(ISNUMBER(AJ330),AJ330+AJ338,"")</f>
        <v/>
      </c>
      <c r="AK339" s="193">
        <f>IF(ISNUMBER(AK330),AK330+AK338,"")</f>
        <v/>
      </c>
      <c r="AL339" s="193">
        <f>IF(ISNUMBER(AL330),AL330+AL338,"")</f>
        <v/>
      </c>
      <c r="AM339" s="193">
        <f>IF(ISNUMBER(AM330),AM330+AM338,"")</f>
        <v/>
      </c>
      <c r="AN339" s="193">
        <f>IF(ISNUMBER(AN330),AN330+AN338,"")</f>
        <v/>
      </c>
      <c r="AO339" s="193">
        <f>IF(ISNUMBER(AO330),AO330+AO338,"")</f>
        <v/>
      </c>
      <c r="AP339" s="193">
        <f>IF(ISNUMBER(AP330),AP330+AP338,"")</f>
        <v/>
      </c>
      <c r="AQ339" s="193">
        <f>IF(ISNUMBER(AQ330),AQ330+AQ338,"")</f>
        <v/>
      </c>
      <c r="AR339" s="193">
        <f>IF(ISNUMBER(AR330),AR330+AR338,"")</f>
        <v/>
      </c>
      <c r="AS339" s="193">
        <f>IF(ISNUMBER(AS330),AS330+AS338,"")</f>
        <v/>
      </c>
      <c r="AT339" s="193">
        <f>IF(ISNUMBER(AT330),AT330+AT338,"")</f>
        <v/>
      </c>
      <c r="AU339" s="193">
        <f>IF(ISNUMBER(AU330),AU330+AU338,"")</f>
        <v/>
      </c>
      <c r="AV339" s="193">
        <f>IF(ISNUMBER(AV330),AV330+AV338,"")</f>
        <v/>
      </c>
      <c r="AW339" s="193">
        <f>IF(ISNUMBER(AW330),AW330+AW338,"")</f>
        <v/>
      </c>
      <c r="AX339" s="193">
        <f>IF(ISNUMBER(AX330),AX330+AX338,"")</f>
        <v/>
      </c>
      <c r="AY339" s="193">
        <f>IF(ISNUMBER(AY330),AY330+AY338,"")</f>
        <v/>
      </c>
      <c r="AZ339" s="193">
        <f>IF(ISNUMBER(AZ330),AZ330+AZ338,"")</f>
        <v/>
      </c>
      <c r="BA339" s="193">
        <f>IF(ISNUMBER(BA330),BA330+BA338,"")</f>
        <v/>
      </c>
      <c r="BB339" s="193">
        <f>IF(ISNUMBER(BB330),BB330+BB338,"")</f>
        <v/>
      </c>
      <c r="BC339" s="193">
        <f>IF(ISNUMBER(BC330),BC330+BC338,"")</f>
        <v/>
      </c>
      <c r="BD339" s="193">
        <f>IF(ISNUMBER(BD330),BD330+BD338,"")</f>
        <v/>
      </c>
      <c r="BE339" s="193">
        <f>IF(ISNUMBER(BE330),BE330+BE338,"")</f>
        <v/>
      </c>
      <c r="BF339" s="193">
        <f>IF(ISNUMBER(BF330),BF330+BF338,"")</f>
        <v/>
      </c>
      <c r="BG339" s="193">
        <f>IF(ISNUMBER(BG330),BG330+BG338,"")</f>
        <v/>
      </c>
      <c r="BH339" s="193">
        <f>IF(ISNUMBER(BH330),BH330+BH338,"")</f>
        <v/>
      </c>
      <c r="BI339" s="193">
        <f>IF(ISNUMBER(BI330),BI330+BI338,"")</f>
        <v/>
      </c>
      <c r="BJ339" s="193">
        <f>IF(ISNUMBER(BJ330),BJ330+BJ338,"")</f>
        <v/>
      </c>
      <c r="BK339" s="193">
        <f>IF(ISNUMBER(BK330),BK330+BK338,"")</f>
        <v/>
      </c>
      <c r="BL339" s="193">
        <f>IF(ISNUMBER(BL330),BL330+BL338,"")</f>
        <v/>
      </c>
      <c r="BM339" s="193">
        <f>IF(ISNUMBER(BM330),BM330+BM338,"")</f>
        <v/>
      </c>
      <c r="BN339" s="193">
        <f>IF(ISNUMBER(BN330),BN330+BN338,"")</f>
        <v/>
      </c>
      <c r="BO339" s="193">
        <f>IF(ISNUMBER(BO330),BO330+BO338,"")</f>
        <v/>
      </c>
      <c r="BP339" s="193">
        <f>IF(ISNUMBER(BP330),BP330+BP338,"")</f>
        <v/>
      </c>
      <c r="BQ339" s="193">
        <f>IF(ISNUMBER(BQ330),BQ330+BQ338,"")</f>
        <v/>
      </c>
      <c r="BR339" s="193">
        <f>IF(ISNUMBER(BR330),BR330+BR338,"")</f>
        <v/>
      </c>
      <c r="BS339" s="193">
        <f>IF(ISNUMBER(BS330),BS330+BS338,"")</f>
        <v/>
      </c>
      <c r="BT339" s="193">
        <f>IF(ISNUMBER(BT330),BT330+BT338,"")</f>
        <v/>
      </c>
      <c r="BU339" s="193">
        <f>IF(ISNUMBER(BU330),BU330+BU338,"")</f>
        <v/>
      </c>
      <c r="BV339" s="193">
        <f>IF(ISNUMBER(BV330),BV330+BV338,"")</f>
        <v/>
      </c>
      <c r="BW339" s="193">
        <f>IF(ISNUMBER(BW330),BW330+BW338,"")</f>
        <v/>
      </c>
      <c r="BX339" s="193">
        <f>IF(ISNUMBER(BX330),BX330+BX338,"")</f>
        <v/>
      </c>
      <c r="BY339" s="60" t="n"/>
      <c r="BZ339" s="60" t="n"/>
      <c r="CA339" s="193">
        <f>IF(ISNUMBER(CA330),CA330+CA338,"")</f>
        <v/>
      </c>
      <c r="CB339" s="193">
        <f>IF(ISNUMBER(CB330),CB330+CB338,"")</f>
        <v/>
      </c>
      <c r="CC339" s="193">
        <f>IF(ISNUMBER(CC330),CC330+CC338,"")</f>
        <v/>
      </c>
      <c r="CD339" s="193">
        <f>IF(ISNUMBER(CD330),CD330+CD338,"")</f>
        <v/>
      </c>
      <c r="CE339" s="193">
        <f>IF(ISNUMBER(CE330),CE330+CE338,"")</f>
        <v/>
      </c>
      <c r="CF339" s="6" t="n"/>
    </row>
    <row r="340" ht="15" customHeight="1">
      <c r="B340" s="61" t="inlineStr">
        <is>
          <t>BS tie-out check (TA − TL&amp;E; ±0.1 rounding)</t>
        </is>
      </c>
      <c r="C340" s="189">
        <f>IF(ISNUMBER(C317),IF(ABS(C317-C339)&lt;=0.15,0,ROUND(C317-C339,1)),"")</f>
        <v/>
      </c>
      <c r="D340" s="189">
        <f>IF(ISNUMBER(D317),IF(ABS(D317-D339)&lt;=0.15,0,ROUND(D317-D339,1)),"")</f>
        <v/>
      </c>
      <c r="E340" s="189">
        <f>IF(ISNUMBER(E317),IF(ABS(E317-E339)&lt;=0.15,0,ROUND(E317-E339,1)),"")</f>
        <v/>
      </c>
      <c r="F340" s="189">
        <f>IF(ISNUMBER(F317),IF(ABS(F317-F339)&lt;=0.15,0,ROUND(F317-F339,1)),"")</f>
        <v/>
      </c>
      <c r="G340" s="189">
        <f>IF(ISNUMBER(G317),IF(ABS(G317-G339)&lt;=0.15,0,ROUND(G317-G339,1)),"")</f>
        <v/>
      </c>
      <c r="H340" s="189">
        <f>IF(ISNUMBER(H317),IF(ABS(H317-H339)&lt;=0.15,0,ROUND(H317-H339,1)),"")</f>
        <v/>
      </c>
      <c r="I340" s="189">
        <f>IF(ISNUMBER(I317),IF(ABS(I317-I339)&lt;=0.15,0,ROUND(I317-I339,1)),"")</f>
        <v/>
      </c>
      <c r="J340" s="189">
        <f>IF(ISNUMBER(J317),IF(ABS(J317-J339)&lt;=0.15,0,ROUND(J317-J339,1)),"")</f>
        <v/>
      </c>
      <c r="K340" s="189">
        <f>IF(ISNUMBER(K317),IF(ABS(K317-K339)&lt;=0.15,0,ROUND(K317-K339,1)),"")</f>
        <v/>
      </c>
      <c r="L340" s="189">
        <f>IF(ISNUMBER(L317),IF(ABS(L317-L339)&lt;=0.15,0,ROUND(L317-L339,1)),"")</f>
        <v/>
      </c>
      <c r="M340" s="189">
        <f>IF(ISNUMBER(M317),IF(ABS(M317-M339)&lt;=0.15,0,ROUND(M317-M339,1)),"")</f>
        <v/>
      </c>
      <c r="N340" s="189">
        <f>IF(ISNUMBER(N317),IF(ABS(N317-N339)&lt;=0.15,0,ROUND(N317-N339,1)),"")</f>
        <v/>
      </c>
      <c r="O340" s="189">
        <f>IF(ISNUMBER(O317),IF(ABS(O317-O339)&lt;=0.15,0,ROUND(O317-O339,1)),"")</f>
        <v/>
      </c>
      <c r="P340" s="189">
        <f>IF(ISNUMBER(P317),IF(ABS(P317-P339)&lt;=0.15,0,ROUND(P317-P339,1)),"")</f>
        <v/>
      </c>
      <c r="Q340" s="189">
        <f>IF(ISNUMBER(Q317),IF(ABS(Q317-Q339)&lt;=0.15,0,ROUND(Q317-Q339,1)),"")</f>
        <v/>
      </c>
      <c r="R340" s="189">
        <f>IF(ISNUMBER(R317),IF(ABS(R317-R339)&lt;=0.15,0,ROUND(R317-R339,1)),"")</f>
        <v/>
      </c>
      <c r="S340" s="189">
        <f>IF(ISNUMBER(S317),IF(ABS(S317-S339)&lt;=0.15,0,ROUND(S317-S339,1)),"")</f>
        <v/>
      </c>
      <c r="T340" s="189">
        <f>IF(ISNUMBER(T317),IF(ABS(T317-T339)&lt;=0.15,0,ROUND(T317-T339,1)),"")</f>
        <v/>
      </c>
      <c r="U340" s="189">
        <f>IF(ISNUMBER(U317),IF(ABS(U317-U339)&lt;=0.15,0,ROUND(U317-U339,1)),"")</f>
        <v/>
      </c>
      <c r="V340" s="189">
        <f>IF(ISNUMBER(V317),IF(ABS(V317-V339)&lt;=0.15,0,ROUND(V317-V339,1)),"")</f>
        <v/>
      </c>
      <c r="W340" s="189">
        <f>IF(ISNUMBER(W317),IF(ABS(W317-W339)&lt;=0.15,0,ROUND(W317-W339,1)),"")</f>
        <v/>
      </c>
      <c r="X340" s="189">
        <f>IF(ISNUMBER(X317),IF(ABS(X317-X339)&lt;=0.15,0,ROUND(X317-X339,1)),"")</f>
        <v/>
      </c>
      <c r="Y340" s="189">
        <f>IF(ISNUMBER(Y317),IF(ABS(Y317-Y339)&lt;=0.15,0,ROUND(Y317-Y339,1)),"")</f>
        <v/>
      </c>
      <c r="Z340" s="189">
        <f>IF(ISNUMBER(Z317),IF(ABS(Z317-Z339)&lt;=0.15,0,ROUND(Z317-Z339,1)),"")</f>
        <v/>
      </c>
      <c r="AA340" s="189">
        <f>IF(ISNUMBER(AA317),IF(ABS(AA317-AA339)&lt;=0.15,0,ROUND(AA317-AA339,1)),"")</f>
        <v/>
      </c>
      <c r="AB340" s="189">
        <f>IF(ISNUMBER(AB317),IF(ABS(AB317-AB339)&lt;=0.15,0,ROUND(AB317-AB339,1)),"")</f>
        <v/>
      </c>
      <c r="AC340" s="189">
        <f>IF(ISNUMBER(AC317),IF(ABS(AC317-AC339)&lt;=0.15,0,ROUND(AC317-AC339,1)),"")</f>
        <v/>
      </c>
      <c r="AD340" s="189">
        <f>IF(ISNUMBER(AD317),IF(ABS(AD317-AD339)&lt;=0.15,0,ROUND(AD317-AD339,1)),"")</f>
        <v/>
      </c>
      <c r="AE340" s="189">
        <f>IF(ISNUMBER(AE317),IF(ABS(AE317-AE339)&lt;=0.15,0,ROUND(AE317-AE339,1)),"")</f>
        <v/>
      </c>
      <c r="AF340" s="189">
        <f>IF(ISNUMBER(AF317),IF(ABS(AF317-AF339)&lt;=0.15,0,ROUND(AF317-AF339,1)),"")</f>
        <v/>
      </c>
      <c r="AG340" s="189">
        <f>IF(ISNUMBER(AG317),IF(ABS(AG317-AG339)&lt;=0.15,0,ROUND(AG317-AG339,1)),"")</f>
        <v/>
      </c>
      <c r="AH340" s="189">
        <f>IF(ISNUMBER(AH317),IF(ABS(AH317-AH339)&lt;=0.15,0,ROUND(AH317-AH339,1)),"")</f>
        <v/>
      </c>
      <c r="AI340" s="189">
        <f>IF(ISNUMBER(AI317),IF(ABS(AI317-AI339)&lt;=0.15,0,ROUND(AI317-AI339,1)),"")</f>
        <v/>
      </c>
      <c r="AJ340" s="189">
        <f>IF(ISNUMBER(AJ317),IF(ABS(AJ317-AJ339)&lt;=0.15,0,ROUND(AJ317-AJ339,1)),"")</f>
        <v/>
      </c>
      <c r="AK340" s="189">
        <f>IF(ISNUMBER(AK317),IF(ABS(AK317-AK339)&lt;=0.15,0,ROUND(AK317-AK339,1)),"")</f>
        <v/>
      </c>
      <c r="AL340" s="189">
        <f>IF(ISNUMBER(AL317),IF(ABS(AL317-AL339)&lt;=0.15,0,ROUND(AL317-AL339,1)),"")</f>
        <v/>
      </c>
      <c r="AM340" s="189">
        <f>IF(ISNUMBER(AM317),IF(ABS(AM317-AM339)&lt;=0.15,0,ROUND(AM317-AM339,1)),"")</f>
        <v/>
      </c>
      <c r="AN340" s="189">
        <f>IF(ISNUMBER(AN317),IF(ABS(AN317-AN339)&lt;=0.15,0,ROUND(AN317-AN339,1)),"")</f>
        <v/>
      </c>
      <c r="AO340" s="189">
        <f>IF(ISNUMBER(AO317),IF(ABS(AO317-AO339)&lt;=0.15,0,ROUND(AO317-AO339,1)),"")</f>
        <v/>
      </c>
      <c r="AP340" s="189">
        <f>IF(ISNUMBER(AP317),IF(ABS(AP317-AP339)&lt;=0.15,0,ROUND(AP317-AP339,1)),"")</f>
        <v/>
      </c>
      <c r="AQ340" s="189">
        <f>IF(ISNUMBER(AQ317),IF(ABS(AQ317-AQ339)&lt;=0.15,0,ROUND(AQ317-AQ339,1)),"")</f>
        <v/>
      </c>
      <c r="AR340" s="189">
        <f>IF(ISNUMBER(AR317),IF(ABS(AR317-AR339)&lt;=0.15,0,ROUND(AR317-AR339,1)),"")</f>
        <v/>
      </c>
      <c r="AS340" s="189">
        <f>IF(ISNUMBER(AS317),IF(ABS(AS317-AS339)&lt;=0.15,0,ROUND(AS317-AS339,1)),"")</f>
        <v/>
      </c>
      <c r="AT340" s="189">
        <f>IF(ISNUMBER(AT317),IF(ABS(AT317-AT339)&lt;=0.15,0,ROUND(AT317-AT339,1)),"")</f>
        <v/>
      </c>
      <c r="AU340" s="189">
        <f>IF(ISNUMBER(AU317),IF(ABS(AU317-AU339)&lt;=0.15,0,ROUND(AU317-AU339,1)),"")</f>
        <v/>
      </c>
      <c r="AV340" s="189">
        <f>IF(ISNUMBER(AV317),IF(ABS(AV317-AV339)&lt;=0.15,0,ROUND(AV317-AV339,1)),"")</f>
        <v/>
      </c>
      <c r="AW340" s="189">
        <f>IF(ISNUMBER(AW317),IF(ABS(AW317-AW339)&lt;=0.15,0,ROUND(AW317-AW339,1)),"")</f>
        <v/>
      </c>
      <c r="AX340" s="189">
        <f>IF(ISNUMBER(AX317),IF(ABS(AX317-AX339)&lt;=0.15,0,ROUND(AX317-AX339,1)),"")</f>
        <v/>
      </c>
      <c r="AY340" s="189">
        <f>IF(ISNUMBER(AY317),IF(ABS(AY317-AY339)&lt;=0.15,0,ROUND(AY317-AY339,1)),"")</f>
        <v/>
      </c>
      <c r="AZ340" s="189">
        <f>IF(ISNUMBER(AZ317),IF(ABS(AZ317-AZ339)&lt;=0.15,0,ROUND(AZ317-AZ339,1)),"")</f>
        <v/>
      </c>
      <c r="BA340" s="189">
        <f>IF(ISNUMBER(BA317),IF(ABS(BA317-BA339)&lt;=0.15,0,ROUND(BA317-BA339,1)),"")</f>
        <v/>
      </c>
      <c r="BB340" s="189">
        <f>IF(ISNUMBER(BB317),IF(ABS(BB317-BB339)&lt;=0.15,0,ROUND(BB317-BB339,1)),"")</f>
        <v/>
      </c>
      <c r="BC340" s="189">
        <f>IF(ISNUMBER(BC317),IF(ABS(BC317-BC339)&lt;=0.15,0,ROUND(BC317-BC339,1)),"")</f>
        <v/>
      </c>
      <c r="BD340" s="189">
        <f>IF(ISNUMBER(BD317),IF(ABS(BD317-BD339)&lt;=0.15,0,ROUND(BD317-BD339,1)),"")</f>
        <v/>
      </c>
      <c r="BE340" s="189">
        <f>IF(ISNUMBER(BE317),IF(ABS(BE317-BE339)&lt;=0.15,0,ROUND(BE317-BE339,1)),"")</f>
        <v/>
      </c>
      <c r="BF340" s="189">
        <f>IF(ISNUMBER(BF317),IF(ABS(BF317-BF339)&lt;=0.15,0,ROUND(BF317-BF339,1)),"")</f>
        <v/>
      </c>
      <c r="BG340" s="189">
        <f>IF(ISNUMBER(BG317),IF(ABS(BG317-BG339)&lt;=0.15,0,ROUND(BG317-BG339,1)),"")</f>
        <v/>
      </c>
      <c r="BH340" s="189">
        <f>IF(ISNUMBER(BH317),IF(ABS(BH317-BH339)&lt;=0.15,0,ROUND(BH317-BH339,1)),"")</f>
        <v/>
      </c>
      <c r="BI340" s="189">
        <f>IF(ISNUMBER(BI317),IF(ABS(BI317-BI339)&lt;=0.15,0,ROUND(BI317-BI339,1)),"")</f>
        <v/>
      </c>
      <c r="BJ340" s="189">
        <f>IF(ISNUMBER(BJ317),IF(ABS(BJ317-BJ339)&lt;=0.15,0,ROUND(BJ317-BJ339,1)),"")</f>
        <v/>
      </c>
      <c r="BK340" s="189">
        <f>IF(ISNUMBER(BK317),IF(ABS(BK317-BK339)&lt;=0.15,0,ROUND(BK317-BK339,1)),"")</f>
        <v/>
      </c>
      <c r="BL340" s="189">
        <f>IF(ISNUMBER(BL317),IF(ABS(BL317-BL339)&lt;=0.15,0,ROUND(BL317-BL339,1)),"")</f>
        <v/>
      </c>
      <c r="BM340" s="189">
        <f>IF(ISNUMBER(BM317),IF(ABS(BM317-BM339)&lt;=0.15,0,ROUND(BM317-BM339,1)),"")</f>
        <v/>
      </c>
      <c r="BN340" s="189">
        <f>IF(ISNUMBER(BN317),IF(ABS(BN317-BN339)&lt;=0.15,0,ROUND(BN317-BN339,1)),"")</f>
        <v/>
      </c>
      <c r="BO340" s="189">
        <f>IF(ISNUMBER(BO317),IF(ABS(BO317-BO339)&lt;=0.15,0,ROUND(BO317-BO339,1)),"")</f>
        <v/>
      </c>
      <c r="BP340" s="189">
        <f>IF(ISNUMBER(BP317),IF(ABS(BP317-BP339)&lt;=0.15,0,ROUND(BP317-BP339,1)),"")</f>
        <v/>
      </c>
      <c r="BQ340" s="189">
        <f>IF(ISNUMBER(BQ317),IF(ABS(BQ317-BQ339)&lt;=0.15,0,ROUND(BQ317-BQ339,1)),"")</f>
        <v/>
      </c>
      <c r="BR340" s="189">
        <f>IF(ISNUMBER(BR317),IF(ABS(BR317-BR339)&lt;=0.15,0,ROUND(BR317-BR339,1)),"")</f>
        <v/>
      </c>
      <c r="BS340" s="189">
        <f>IF(ISNUMBER(BS317),IF(ABS(BS317-BS339)&lt;=0.15,0,ROUND(BS317-BS339,1)),"")</f>
        <v/>
      </c>
      <c r="BT340" s="189">
        <f>IF(ISNUMBER(BT317),IF(ABS(BT317-BT339)&lt;=0.15,0,ROUND(BT317-BT339,1)),"")</f>
        <v/>
      </c>
      <c r="BU340" s="189">
        <f>IF(ISNUMBER(BU317),IF(ABS(BU317-BU339)&lt;=0.15,0,ROUND(BU317-BU339,1)),"")</f>
        <v/>
      </c>
      <c r="BV340" s="189">
        <f>IF(ISNUMBER(BV317),IF(ABS(BV317-BV339)&lt;=0.15,0,ROUND(BV317-BV339,1)),"")</f>
        <v/>
      </c>
      <c r="BW340" s="189">
        <f>IF(ISNUMBER(BW317),IF(ABS(BW317-BW339)&lt;=0.15,0,ROUND(BW317-BW339,1)),"")</f>
        <v/>
      </c>
      <c r="BX340" s="189">
        <f>IF(ISNUMBER(BX317),IF(ABS(BX317-BX339)&lt;=0.15,0,ROUND(BX317-BX339,1)),"")</f>
        <v/>
      </c>
      <c r="BY340" s="6" t="n"/>
      <c r="BZ340" s="6" t="n"/>
      <c r="CA340" s="194">
        <f>IF(ISNUMBER(CA317),IF(ABS(CA317-CA339)&lt;=0.15,0,ROUND(CA317-CA339,1)),"")</f>
        <v/>
      </c>
      <c r="CB340" s="194">
        <f>IF(ISNUMBER(CB317),IF(ABS(CB317-CB339)&lt;=0.15,0,ROUND(CB317-CB339,1)),"")</f>
        <v/>
      </c>
      <c r="CC340" s="194">
        <f>IF(ISNUMBER(CC317),IF(ABS(CC317-CC339)&lt;=0.15,0,ROUND(CC317-CC339,1)),"")</f>
        <v/>
      </c>
      <c r="CD340" s="194">
        <f>IF(ISNUMBER(CD317),IF(ABS(CD317-CD339)&lt;=0.15,0,ROUND(CD317-CD339,1)),"")</f>
        <v/>
      </c>
      <c r="CE340" s="194">
        <f>IF(ISNUMBER(CE317),IF(ABS(CE317-CE339)&lt;=0.15,0,ROUND(CE317-CE339,1)),"")</f>
        <v/>
      </c>
      <c r="CF340" s="6" t="n"/>
    </row>
    <row r="341" ht="15" customHeight="1">
      <c r="B341" s="61" t="inlineStr">
        <is>
          <t xml:space="preserve">  Check: model total assets vs reported (should be 0)</t>
        </is>
      </c>
      <c r="C341" s="189">
        <f>IF(ISNUMBER(C342),ROUND(C317-C342,1),"")</f>
        <v/>
      </c>
      <c r="D341" s="189">
        <f>IF(ISNUMBER(D342),ROUND(D317-D342,1),"")</f>
        <v/>
      </c>
      <c r="E341" s="189">
        <f>IF(ISNUMBER(E342),ROUND(E317-E342,1),"")</f>
        <v/>
      </c>
      <c r="F341" s="189">
        <f>IF(ISNUMBER(F342),ROUND(F317-F342,1),"")</f>
        <v/>
      </c>
      <c r="G341" s="189">
        <f>IF(ISNUMBER(G342),ROUND(G317-G342,1),"")</f>
        <v/>
      </c>
      <c r="H341" s="189">
        <f>IF(ISNUMBER(H342),ROUND(H317-H342,1),"")</f>
        <v/>
      </c>
      <c r="I341" s="189">
        <f>IF(ISNUMBER(I342),ROUND(I317-I342,1),"")</f>
        <v/>
      </c>
      <c r="J341" s="189">
        <f>IF(ISNUMBER(J342),ROUND(J317-J342,1),"")</f>
        <v/>
      </c>
      <c r="K341" s="189">
        <f>IF(ISNUMBER(K342),ROUND(K317-K342,1),"")</f>
        <v/>
      </c>
      <c r="L341" s="189">
        <f>IF(ISNUMBER(L342),ROUND(L317-L342,1),"")</f>
        <v/>
      </c>
      <c r="M341" s="189">
        <f>IF(ISNUMBER(M342),ROUND(M317-M342,1),"")</f>
        <v/>
      </c>
      <c r="N341" s="189">
        <f>IF(ISNUMBER(N342),ROUND(N317-N342,1),"")</f>
        <v/>
      </c>
      <c r="O341" s="189">
        <f>IF(ISNUMBER(O342),ROUND(O317-O342,1),"")</f>
        <v/>
      </c>
      <c r="P341" s="189">
        <f>IF(ISNUMBER(P342),ROUND(P317-P342,1),"")</f>
        <v/>
      </c>
      <c r="Q341" s="189">
        <f>IF(ISNUMBER(Q342),ROUND(Q317-Q342,1),"")</f>
        <v/>
      </c>
      <c r="R341" s="189">
        <f>IF(ISNUMBER(R342),ROUND(R317-R342,1),"")</f>
        <v/>
      </c>
      <c r="S341" s="189">
        <f>IF(ISNUMBER(S342),ROUND(S317-S342,1),"")</f>
        <v/>
      </c>
      <c r="T341" s="189">
        <f>IF(ISNUMBER(T342),ROUND(T317-T342,1),"")</f>
        <v/>
      </c>
      <c r="U341" s="189">
        <f>IF(ISNUMBER(U342),ROUND(U317-U342,1),"")</f>
        <v/>
      </c>
      <c r="V341" s="189">
        <f>IF(ISNUMBER(V342),ROUND(V317-V342,1),"")</f>
        <v/>
      </c>
      <c r="W341" s="189">
        <f>IF(ISNUMBER(W342),ROUND(W317-W342,1),"")</f>
        <v/>
      </c>
      <c r="X341" s="189">
        <f>IF(ISNUMBER(X342),ROUND(X317-X342,1),"")</f>
        <v/>
      </c>
      <c r="Y341" s="189">
        <f>IF(ISNUMBER(Y342),ROUND(Y317-Y342,1),"")</f>
        <v/>
      </c>
      <c r="Z341" s="189">
        <f>IF(ISNUMBER(Z342),ROUND(Z317-Z342,1),"")</f>
        <v/>
      </c>
      <c r="AA341" s="189">
        <f>IF(ISNUMBER(AA342),ROUND(AA317-AA342,1),"")</f>
        <v/>
      </c>
      <c r="AB341" s="189">
        <f>IF(ISNUMBER(AB342),ROUND(AB317-AB342,1),"")</f>
        <v/>
      </c>
      <c r="AC341" s="189">
        <f>IF(ISNUMBER(AC342),ROUND(AC317-AC342,1),"")</f>
        <v/>
      </c>
      <c r="AD341" s="189">
        <f>IF(ISNUMBER(AD342),ROUND(AD317-AD342,1),"")</f>
        <v/>
      </c>
      <c r="AE341" s="189">
        <f>IF(ISNUMBER(AE342),ROUND(AE317-AE342,1),"")</f>
        <v/>
      </c>
      <c r="AF341" s="189">
        <f>IF(ISNUMBER(AF342),ROUND(AF317-AF342,1),"")</f>
        <v/>
      </c>
      <c r="AG341" s="189">
        <f>IF(ISNUMBER(AG342),ROUND(AG317-AG342,1),"")</f>
        <v/>
      </c>
      <c r="AH341" s="189">
        <f>IF(ISNUMBER(AH342),ROUND(AH317-AH342,1),"")</f>
        <v/>
      </c>
      <c r="AI341" s="189">
        <f>IF(ISNUMBER(AI342),ROUND(AI317-AI342,1),"")</f>
        <v/>
      </c>
      <c r="AJ341" s="189">
        <f>IF(ISNUMBER(AJ342),ROUND(AJ317-AJ342,1),"")</f>
        <v/>
      </c>
      <c r="AK341" s="189">
        <f>IF(ISNUMBER(AK342),ROUND(AK317-AK342,1),"")</f>
        <v/>
      </c>
      <c r="AL341" s="189">
        <f>IF(ISNUMBER(AL342),ROUND(AL317-AL342,1),"")</f>
        <v/>
      </c>
      <c r="AM341" s="189">
        <f>IF(ISNUMBER(AM342),ROUND(AM317-AM342,1),"")</f>
        <v/>
      </c>
      <c r="AN341" s="189">
        <f>IF(ISNUMBER(AN342),ROUND(AN317-AN342,1),"")</f>
        <v/>
      </c>
      <c r="AO341" s="189">
        <f>IF(ISNUMBER(AO342),ROUND(AO317-AO342,1),"")</f>
        <v/>
      </c>
      <c r="AP341" s="189">
        <f>IF(ISNUMBER(AP342),ROUND(AP317-AP342,1),"")</f>
        <v/>
      </c>
      <c r="AQ341" s="189">
        <f>IF(ISNUMBER(AQ342),ROUND(AQ317-AQ342,1),"")</f>
        <v/>
      </c>
      <c r="AR341" s="189">
        <f>IF(ISNUMBER(AR342),ROUND(AR317-AR342,1),"")</f>
        <v/>
      </c>
      <c r="AS341" s="189">
        <f>IF(ISNUMBER(AS342),ROUND(AS317-AS342,1),"")</f>
        <v/>
      </c>
      <c r="AT341" s="189">
        <f>IF(ISNUMBER(AT342),ROUND(AT317-AT342,1),"")</f>
        <v/>
      </c>
      <c r="AU341" s="189">
        <f>IF(ISNUMBER(AU342),ROUND(AU317-AU342,1),"")</f>
        <v/>
      </c>
      <c r="AV341" s="189">
        <f>IF(ISNUMBER(AV342),ROUND(AV317-AV342,1),"")</f>
        <v/>
      </c>
      <c r="AW341" s="189">
        <f>IF(ISNUMBER(AW342),ROUND(AW317-AW342,1),"")</f>
        <v/>
      </c>
      <c r="AX341" s="189">
        <f>IF(ISNUMBER(AX342),ROUND(AX317-AX342,1),"")</f>
        <v/>
      </c>
      <c r="AY341" s="189">
        <f>IF(ISNUMBER(AY342),ROUND(AY317-AY342,1),"")</f>
        <v/>
      </c>
      <c r="AZ341" s="189">
        <f>IF(ISNUMBER(AZ342),ROUND(AZ317-AZ342,1),"")</f>
        <v/>
      </c>
      <c r="BA341" s="189">
        <f>IF(ISNUMBER(BA342),ROUND(BA317-BA342,1),"")</f>
        <v/>
      </c>
      <c r="BB341" s="189">
        <f>IF(ISNUMBER(BB342),ROUND(BB317-BB342,1),"")</f>
        <v/>
      </c>
      <c r="BC341" s="189">
        <f>IF(ISNUMBER(BC342),ROUND(BC317-BC342,1),"")</f>
        <v/>
      </c>
      <c r="BD341" s="189">
        <f>IF(ISNUMBER(BD342),ROUND(BD317-BD342,1),"")</f>
        <v/>
      </c>
      <c r="BE341" s="189">
        <f>IF(ISNUMBER(BE342),ROUND(BE317-BE342,1),"")</f>
        <v/>
      </c>
      <c r="BF341" s="189">
        <f>IF(ISNUMBER(BF342),ROUND(BF317-BF342,1),"")</f>
        <v/>
      </c>
      <c r="BG341" s="189">
        <f>IF(ISNUMBER(BG342),ROUND(BG317-BG342,1),"")</f>
        <v/>
      </c>
      <c r="BH341" s="189">
        <f>IF(ISNUMBER(BH342),ROUND(BH317-BH342,1),"")</f>
        <v/>
      </c>
      <c r="BI341" s="189">
        <f>IF(ISNUMBER(BI342),ROUND(BI317-BI342,1),"")</f>
        <v/>
      </c>
      <c r="BJ341" s="189">
        <f>IF(ISNUMBER(BJ342),ROUND(BJ317-BJ342,1),"")</f>
        <v/>
      </c>
      <c r="BK341" s="189">
        <f>IF(ISNUMBER(BK342),ROUND(BK317-BK342,1),"")</f>
        <v/>
      </c>
      <c r="BL341" s="189">
        <f>IF(ISNUMBER(BL342),ROUND(BL317-BL342,1),"")</f>
        <v/>
      </c>
      <c r="BM341" s="189">
        <f>IF(ISNUMBER(BM342),ROUND(BM317-BM342,1),"")</f>
        <v/>
      </c>
      <c r="BN341" s="189">
        <f>IF(ISNUMBER(BN342),ROUND(BN317-BN342,1),"")</f>
        <v/>
      </c>
      <c r="BO341" s="189">
        <f>IF(ISNUMBER(BO342),ROUND(BO317-BO342,1),"")</f>
        <v/>
      </c>
      <c r="BP341" s="189">
        <f>IF(ISNUMBER(BP342),ROUND(BP317-BP342,1),"")</f>
        <v/>
      </c>
      <c r="BQ341" s="189">
        <f>IF(ISNUMBER(BQ342),ROUND(BQ317-BQ342,1),"")</f>
        <v/>
      </c>
      <c r="BR341" s="189">
        <f>IF(ISNUMBER(BR342),ROUND(BR317-BR342,1),"")</f>
        <v/>
      </c>
      <c r="BS341" s="189">
        <f>IF(ISNUMBER(BS342),ROUND(BS317-BS342,1),"")</f>
        <v/>
      </c>
      <c r="BT341" s="189">
        <f>IF(ISNUMBER(BT342),ROUND(BT317-BT342,1),"")</f>
        <v/>
      </c>
      <c r="BU341" s="189">
        <f>IF(ISNUMBER(BU342),ROUND(BU317-BU342,1),"")</f>
        <v/>
      </c>
      <c r="BV341" s="189">
        <f>IF(ISNUMBER(BV342),ROUND(BV317-BV342,1),"")</f>
        <v/>
      </c>
      <c r="BW341" s="189">
        <f>IF(ISNUMBER(BW342),ROUND(BW317-BW342,1),"")</f>
        <v/>
      </c>
      <c r="BX341" s="189">
        <f>IF(ISNUMBER(BX342),ROUND(BX317-BX342,1),"")</f>
        <v/>
      </c>
      <c r="BY341" s="6" t="n"/>
      <c r="BZ341" s="6" t="n"/>
      <c r="CA341" s="6" t="n"/>
      <c r="CB341" s="6" t="n"/>
      <c r="CC341" s="6" t="n"/>
      <c r="CD341" s="6" t="n"/>
      <c r="CE341" s="6" t="n"/>
      <c r="CF341" s="6" t="n"/>
    </row>
    <row r="342" ht="15" customHeight="1">
      <c r="B342" s="42" t="inlineStr">
        <is>
          <t xml:space="preserve">  Memo: total assets as reported</t>
        </is>
      </c>
      <c r="C342" s="174" t="n">
        <v>972.8</v>
      </c>
      <c r="D342" s="174" t="n">
        <v>1158.7</v>
      </c>
      <c r="E342" s="174" t="n">
        <v>1507.5</v>
      </c>
      <c r="F342" s="174" t="n">
        <v>1585.8</v>
      </c>
      <c r="G342" s="174" t="n">
        <v>1803.1</v>
      </c>
      <c r="H342" s="174" t="n">
        <v>2159</v>
      </c>
      <c r="I342" s="174" t="n">
        <v>2351.5</v>
      </c>
      <c r="J342" s="174" t="n">
        <v>2506.2</v>
      </c>
      <c r="K342" s="174" t="n">
        <v>2516.4</v>
      </c>
      <c r="L342" s="174" t="n">
        <v>2817</v>
      </c>
      <c r="M342" s="174" t="n">
        <v>2822</v>
      </c>
      <c r="N342" s="174" t="n">
        <v>2822</v>
      </c>
      <c r="O342" s="174" t="n">
        <v>2916.5</v>
      </c>
      <c r="P342" s="174" t="n">
        <v>3163.9</v>
      </c>
      <c r="Q342" s="174" t="n">
        <v>3228.4</v>
      </c>
      <c r="R342" s="174" t="n">
        <v>3303.8</v>
      </c>
      <c r="S342" s="174" t="n">
        <v>3303.8</v>
      </c>
      <c r="T342" s="174" t="n">
        <v>3167.5</v>
      </c>
      <c r="U342" s="174" t="n">
        <v>3298.1</v>
      </c>
      <c r="V342" s="174" t="n">
        <v>3326.1</v>
      </c>
      <c r="W342" s="174" t="n">
        <v>3300.3</v>
      </c>
      <c r="X342" s="174" t="n">
        <v>3300.3</v>
      </c>
      <c r="Y342" s="174" t="n">
        <v>3380.8</v>
      </c>
      <c r="Z342" s="174" t="n">
        <v>3379.2</v>
      </c>
      <c r="AA342" s="174" t="n">
        <v>3428.2</v>
      </c>
      <c r="AB342" s="174" t="n">
        <v>6581</v>
      </c>
      <c r="AC342" s="174" t="n">
        <v>6581</v>
      </c>
      <c r="AD342" s="174" t="n">
        <v>6030.9</v>
      </c>
      <c r="AE342" s="174" t="n">
        <v>6438.7</v>
      </c>
      <c r="AF342" s="174" t="n">
        <v>6449.7</v>
      </c>
      <c r="AG342" s="174" t="n">
        <v>6580</v>
      </c>
      <c r="AH342" s="174" t="n">
        <v>6580</v>
      </c>
      <c r="AI342" s="174" t="n">
        <v>6875.8</v>
      </c>
      <c r="AJ342" s="174" t="n">
        <v>6677.6</v>
      </c>
      <c r="AK342" s="174" t="n">
        <v>8553.200000000001</v>
      </c>
      <c r="AL342" s="174" t="n">
        <v>8649.200000000001</v>
      </c>
      <c r="AM342" s="174" t="n">
        <v>8649.200000000001</v>
      </c>
      <c r="AN342" s="174" t="n">
        <v>19077.9</v>
      </c>
      <c r="AO342" s="174" t="n">
        <v>18942.6</v>
      </c>
      <c r="AP342" s="174" t="n">
        <v>18900.9</v>
      </c>
      <c r="AQ342" s="174" t="n">
        <v>18944.2</v>
      </c>
      <c r="AR342" s="174" t="n">
        <v>18944.2</v>
      </c>
      <c r="AS342" s="174" t="n">
        <v>18773.1</v>
      </c>
      <c r="AT342" s="174" t="n">
        <v>18465.4</v>
      </c>
      <c r="AU342" s="174" t="n">
        <v>18444.4</v>
      </c>
      <c r="AV342" s="174" t="n">
        <v>18454.5</v>
      </c>
      <c r="AW342" s="174" t="n">
        <v>18454.5</v>
      </c>
      <c r="AX342" s="174" t="n">
        <v>18543.2</v>
      </c>
      <c r="AY342" s="174" t="n">
        <v>18512.4</v>
      </c>
      <c r="AZ342" s="174" t="n">
        <v>18351.9</v>
      </c>
      <c r="BA342" s="174" t="n">
        <v>18454</v>
      </c>
      <c r="BB342" s="174" t="n">
        <v>18454</v>
      </c>
      <c r="BC342" s="174" t="n">
        <v>18438</v>
      </c>
      <c r="BD342" s="174" t="n">
        <v>18333</v>
      </c>
      <c r="BE342" s="174" t="n">
        <v>18262</v>
      </c>
      <c r="BF342" s="174" t="n">
        <v>18516</v>
      </c>
      <c r="BG342" s="174" t="n">
        <v>18516</v>
      </c>
      <c r="BH342" s="174" t="n">
        <v>18669</v>
      </c>
      <c r="BI342" s="174" t="n">
        <v>18985</v>
      </c>
      <c r="BJ342" s="174" t="n">
        <v>18800</v>
      </c>
      <c r="BK342" s="174" t="n">
        <v>18988</v>
      </c>
      <c r="BL342" s="174" t="n">
        <v>18988</v>
      </c>
      <c r="BM342" s="174" t="n">
        <v>18747</v>
      </c>
      <c r="BN342" s="174" t="n">
        <v>18876</v>
      </c>
      <c r="BO342" s="174" t="n">
        <v>18644</v>
      </c>
      <c r="BP342" s="174" t="n">
        <v>18702</v>
      </c>
      <c r="BQ342" s="174" t="n">
        <v>18702</v>
      </c>
      <c r="BR342" s="174" t="n">
        <v>19096</v>
      </c>
      <c r="BS342" s="174" t="n">
        <v>20391</v>
      </c>
      <c r="BT342" s="174" t="n">
        <v>21527</v>
      </c>
      <c r="BU342" s="174" t="n">
        <v>22069</v>
      </c>
      <c r="BV342" s="174" t="n">
        <v>22069</v>
      </c>
      <c r="BW342" s="174" t="n">
        <v>23196</v>
      </c>
      <c r="BX342" s="174" t="n">
        <v>23128</v>
      </c>
      <c r="BY342" s="6" t="n"/>
      <c r="BZ342" s="6" t="n"/>
      <c r="CA342" s="6" t="n"/>
      <c r="CB342" s="6" t="n"/>
      <c r="CC342" s="6" t="n"/>
      <c r="CD342" s="6" t="n"/>
      <c r="CE342" s="6" t="n"/>
      <c r="CF342" s="6" t="n"/>
    </row>
    <row r="343" ht="15" customHeight="1">
      <c r="B343" s="61" t="inlineStr">
        <is>
          <t xml:space="preserve">  Check: BS cash (+ restricted cash where in the cash-flow basis) vs cash-flow ending cash (should be 0)</t>
        </is>
      </c>
      <c r="C343" s="189">
        <f>IF(AND(ISNUMBER(C307),ISNUMBER(C281)),ROUND(C307+N(C344)-C281,1),"")</f>
        <v/>
      </c>
      <c r="D343" s="189">
        <f>IF(AND(ISNUMBER(D307),ISNUMBER(D281)),ROUND(D307+N(D344)-D281,1),"")</f>
        <v/>
      </c>
      <c r="E343" s="189">
        <f>IF(AND(ISNUMBER(E307),ISNUMBER(E281)),ROUND(E307+N(E344)-E281,1),"")</f>
        <v/>
      </c>
      <c r="F343" s="189">
        <f>IF(AND(ISNUMBER(F307),ISNUMBER(F281)),ROUND(F307+N(F344)-F281,1),"")</f>
        <v/>
      </c>
      <c r="G343" s="189">
        <f>IF(AND(ISNUMBER(G307),ISNUMBER(G281)),ROUND(G307+N(G344)-G281,1),"")</f>
        <v/>
      </c>
      <c r="H343" s="189">
        <f>IF(AND(ISNUMBER(H307),ISNUMBER(H281)),ROUND(H307+N(H344)-H281,1),"")</f>
        <v/>
      </c>
      <c r="I343" s="189">
        <f>IF(AND(ISNUMBER(I307),ISNUMBER(I281)),ROUND(I307+N(I344)-I281,1),"")</f>
        <v/>
      </c>
      <c r="J343" s="189">
        <f>IF(AND(ISNUMBER(J307),ISNUMBER(J281)),ROUND(J307+N(J344)-J281,1),"")</f>
        <v/>
      </c>
      <c r="K343" s="189">
        <f>IF(AND(ISNUMBER(K307),ISNUMBER(K281)),ROUND(K307+N(K344)-K281,1),"")</f>
        <v/>
      </c>
      <c r="L343" s="189">
        <f>IF(AND(ISNUMBER(L307),ISNUMBER(L281)),ROUND(L307+N(L344)-L281,1),"")</f>
        <v/>
      </c>
      <c r="M343" s="189">
        <f>IF(AND(ISNUMBER(M307),ISNUMBER(M281)),ROUND(M307+N(M344)-M281,1),"")</f>
        <v/>
      </c>
      <c r="N343" s="189">
        <f>IF(AND(ISNUMBER(N307),ISNUMBER(N281)),ROUND(N307+N(N344)-N281,1),"")</f>
        <v/>
      </c>
      <c r="O343" s="189">
        <f>IF(AND(ISNUMBER(O307),ISNUMBER(O281)),ROUND(O307+N(O344)-O281,1),"")</f>
        <v/>
      </c>
      <c r="P343" s="189">
        <f>IF(AND(ISNUMBER(P307),ISNUMBER(P281)),ROUND(P307+N(P344)-P281,1),"")</f>
        <v/>
      </c>
      <c r="Q343" s="189">
        <f>IF(AND(ISNUMBER(Q307),ISNUMBER(Q281)),ROUND(Q307+N(Q344)-Q281,1),"")</f>
        <v/>
      </c>
      <c r="R343" s="189">
        <f>IF(AND(ISNUMBER(R307),ISNUMBER(R281)),ROUND(R307+N(R344)-R281,1),"")</f>
        <v/>
      </c>
      <c r="S343" s="189">
        <f>IF(AND(ISNUMBER(S307),ISNUMBER(S281)),ROUND(S307+N(S344)-S281,1),"")</f>
        <v/>
      </c>
      <c r="T343" s="189">
        <f>IF(AND(ISNUMBER(T307),ISNUMBER(T281)),ROUND(T307+N(T344)-T281,1),"")</f>
        <v/>
      </c>
      <c r="U343" s="189">
        <f>IF(AND(ISNUMBER(U307),ISNUMBER(U281)),ROUND(U307+N(U344)-U281,1),"")</f>
        <v/>
      </c>
      <c r="V343" s="189">
        <f>IF(AND(ISNUMBER(V307),ISNUMBER(V281)),ROUND(V307+N(V344)-V281,1),"")</f>
        <v/>
      </c>
      <c r="W343" s="189">
        <f>IF(AND(ISNUMBER(W307),ISNUMBER(W281)),ROUND(W307+N(W344)-W281,1),"")</f>
        <v/>
      </c>
      <c r="X343" s="189">
        <f>IF(AND(ISNUMBER(X307),ISNUMBER(X281)),ROUND(X307+N(X344)-X281,1),"")</f>
        <v/>
      </c>
      <c r="Y343" s="189">
        <f>IF(AND(ISNUMBER(Y307),ISNUMBER(Y281)),ROUND(Y307+N(Y344)-Y281,1),"")</f>
        <v/>
      </c>
      <c r="Z343" s="189">
        <f>IF(AND(ISNUMBER(Z307),ISNUMBER(Z281)),ROUND(Z307+N(Z344)-Z281,1),"")</f>
        <v/>
      </c>
      <c r="AA343" s="189">
        <f>IF(AND(ISNUMBER(AA307),ISNUMBER(AA281)),ROUND(AA307+N(AA344)-AA281,1),"")</f>
        <v/>
      </c>
      <c r="AB343" s="189">
        <f>IF(AND(ISNUMBER(AB307),ISNUMBER(AB281)),ROUND(AB307+N(AB344)-AB281,1),"")</f>
        <v/>
      </c>
      <c r="AC343" s="189">
        <f>IF(AND(ISNUMBER(AC307),ISNUMBER(AC281)),ROUND(AC307+N(AC344)-AC281,1),"")</f>
        <v/>
      </c>
      <c r="AD343" s="189">
        <f>IF(AND(ISNUMBER(AD307),ISNUMBER(AD281)),ROUND(AD307+N(AD344)-AD281,1),"")</f>
        <v/>
      </c>
      <c r="AE343" s="189">
        <f>IF(AND(ISNUMBER(AE307),ISNUMBER(AE281)),ROUND(AE307+N(AE344)-AE281,1),"")</f>
        <v/>
      </c>
      <c r="AF343" s="189">
        <f>IF(AND(ISNUMBER(AF307),ISNUMBER(AF281)),ROUND(AF307+N(AF344)-AF281,1),"")</f>
        <v/>
      </c>
      <c r="AG343" s="189">
        <f>IF(AND(ISNUMBER(AG307),ISNUMBER(AG281)),ROUND(AG307+N(AG344)-AG281,1),"")</f>
        <v/>
      </c>
      <c r="AH343" s="189">
        <f>IF(AND(ISNUMBER(AH307),ISNUMBER(AH281)),ROUND(AH307+N(AH344)-AH281,1),"")</f>
        <v/>
      </c>
      <c r="AI343" s="189">
        <f>IF(AND(ISNUMBER(AI307),ISNUMBER(AI281)),ROUND(AI307+N(AI344)-AI281,1),"")</f>
        <v/>
      </c>
      <c r="AJ343" s="189">
        <f>IF(AND(ISNUMBER(AJ307),ISNUMBER(AJ281)),ROUND(AJ307+N(AJ344)-AJ281,1),"")</f>
        <v/>
      </c>
      <c r="AK343" s="189">
        <f>IF(AND(ISNUMBER(AK307),ISNUMBER(AK281)),ROUND(AK307+N(AK344)-AK281,1),"")</f>
        <v/>
      </c>
      <c r="AL343" s="189">
        <f>IF(AND(ISNUMBER(AL307),ISNUMBER(AL281)),ROUND(AL307+N(AL344)-AL281,1),"")</f>
        <v/>
      </c>
      <c r="AM343" s="189">
        <f>IF(AND(ISNUMBER(AM307),ISNUMBER(AM281)),ROUND(AM307+N(AM344)-AM281,1),"")</f>
        <v/>
      </c>
      <c r="AN343" s="189">
        <f>IF(AND(ISNUMBER(AN307),ISNUMBER(AN281)),ROUND(AN307+N(AN344)-AN281,1),"")</f>
        <v/>
      </c>
      <c r="AO343" s="189">
        <f>IF(AND(ISNUMBER(AO307),ISNUMBER(AO281)),ROUND(AO307+N(AO344)-AO281,1),"")</f>
        <v/>
      </c>
      <c r="AP343" s="189">
        <f>IF(AND(ISNUMBER(AP307),ISNUMBER(AP281)),ROUND(AP307+N(AP344)-AP281,1),"")</f>
        <v/>
      </c>
      <c r="AQ343" s="189">
        <f>IF(AND(ISNUMBER(AQ307),ISNUMBER(AQ281)),ROUND(AQ307+N(AQ344)-AQ281,1),"")</f>
        <v/>
      </c>
      <c r="AR343" s="189">
        <f>IF(AND(ISNUMBER(AR307),ISNUMBER(AR281)),ROUND(AR307+N(AR344)-AR281,1),"")</f>
        <v/>
      </c>
      <c r="AS343" s="189">
        <f>IF(AND(ISNUMBER(AS307),ISNUMBER(AS281)),ROUND(AS307+N(AS344)-AS281,1),"")</f>
        <v/>
      </c>
      <c r="AT343" s="189">
        <f>IF(AND(ISNUMBER(AT307),ISNUMBER(AT281)),ROUND(AT307+N(AT344)-AT281,1),"")</f>
        <v/>
      </c>
      <c r="AU343" s="189">
        <f>IF(AND(ISNUMBER(AU307),ISNUMBER(AU281)),ROUND(AU307+N(AU344)-AU281,1),"")</f>
        <v/>
      </c>
      <c r="AV343" s="189">
        <f>IF(AND(ISNUMBER(AV307),ISNUMBER(AV281)),ROUND(AV307+N(AV344)-AV281,1),"")</f>
        <v/>
      </c>
      <c r="AW343" s="189">
        <f>IF(AND(ISNUMBER(AW307),ISNUMBER(AW281)),ROUND(AW307+N(AW344)-AW281,1),"")</f>
        <v/>
      </c>
      <c r="AX343" s="189">
        <f>IF(AND(ISNUMBER(AX307),ISNUMBER(AX281)),ROUND(AX307+N(AX344)-AX281,1),"")</f>
        <v/>
      </c>
      <c r="AY343" s="189">
        <f>IF(AND(ISNUMBER(AY307),ISNUMBER(AY281)),ROUND(AY307+N(AY344)-AY281,1),"")</f>
        <v/>
      </c>
      <c r="AZ343" s="189">
        <f>IF(AND(ISNUMBER(AZ307),ISNUMBER(AZ281)),ROUND(AZ307+N(AZ344)-AZ281,1),"")</f>
        <v/>
      </c>
      <c r="BA343" s="189">
        <f>IF(AND(ISNUMBER(BA307),ISNUMBER(BA281)),ROUND(BA307+N(BA344)-BA281,1),"")</f>
        <v/>
      </c>
      <c r="BB343" s="189">
        <f>IF(AND(ISNUMBER(BB307),ISNUMBER(BB281)),ROUND(BB307+N(BB344)-BB281,1),"")</f>
        <v/>
      </c>
      <c r="BC343" s="189">
        <f>IF(AND(ISNUMBER(BC307),ISNUMBER(BC281)),ROUND(BC307+N(BC344)-BC281,1),"")</f>
        <v/>
      </c>
      <c r="BD343" s="189">
        <f>IF(AND(ISNUMBER(BD307),ISNUMBER(BD281)),ROUND(BD307+N(BD344)-BD281,1),"")</f>
        <v/>
      </c>
      <c r="BE343" s="189">
        <f>IF(AND(ISNUMBER(BE307),ISNUMBER(BE281)),ROUND(BE307+N(BE344)-BE281,1),"")</f>
        <v/>
      </c>
      <c r="BF343" s="189">
        <f>IF(AND(ISNUMBER(BF307),ISNUMBER(BF281)),ROUND(BF307+N(BF344)-BF281,1),"")</f>
        <v/>
      </c>
      <c r="BG343" s="189">
        <f>IF(AND(ISNUMBER(BG307),ISNUMBER(BG281)),ROUND(BG307+N(BG344)-BG281,1),"")</f>
        <v/>
      </c>
      <c r="BH343" s="189">
        <f>IF(AND(ISNUMBER(BH307),ISNUMBER(BH281)),ROUND(BH307+N(BH344)-BH281,1),"")</f>
        <v/>
      </c>
      <c r="BI343" s="189">
        <f>IF(AND(ISNUMBER(BI307),ISNUMBER(BI281)),ROUND(BI307+N(BI344)-BI281,1),"")</f>
        <v/>
      </c>
      <c r="BJ343" s="189">
        <f>IF(AND(ISNUMBER(BJ307),ISNUMBER(BJ281)),ROUND(BJ307+N(BJ344)-BJ281,1),"")</f>
        <v/>
      </c>
      <c r="BK343" s="189">
        <f>IF(AND(ISNUMBER(BK307),ISNUMBER(BK281)),ROUND(BK307+N(BK344)-BK281,1),"")</f>
        <v/>
      </c>
      <c r="BL343" s="189">
        <f>IF(AND(ISNUMBER(BL307),ISNUMBER(BL281)),ROUND(BL307+N(BL344)-BL281,1),"")</f>
        <v/>
      </c>
      <c r="BM343" s="189">
        <f>IF(AND(ISNUMBER(BM307),ISNUMBER(BM281)),ROUND(BM307+N(BM344)-BM281,1),"")</f>
        <v/>
      </c>
      <c r="BN343" s="189">
        <f>IF(AND(ISNUMBER(BN307),ISNUMBER(BN281)),ROUND(BN307+N(BN344)-BN281,1),"")</f>
        <v/>
      </c>
      <c r="BO343" s="189">
        <f>IF(AND(ISNUMBER(BO307),ISNUMBER(BO281)),ROUND(BO307+N(BO344)-BO281,1),"")</f>
        <v/>
      </c>
      <c r="BP343" s="189">
        <f>IF(AND(ISNUMBER(BP307),ISNUMBER(BP281)),ROUND(BP307+N(BP344)-BP281,1),"")</f>
        <v/>
      </c>
      <c r="BQ343" s="189">
        <f>IF(AND(ISNUMBER(BQ307),ISNUMBER(BQ281)),ROUND(BQ307+N(BQ344)-BQ281,1),"")</f>
        <v/>
      </c>
      <c r="BR343" s="189">
        <f>IF(AND(ISNUMBER(BR307),ISNUMBER(BR281)),ROUND(BR307+N(BR344)-BR281,1),"")</f>
        <v/>
      </c>
      <c r="BS343" s="189">
        <f>IF(AND(ISNUMBER(BS307),ISNUMBER(BS281)),ROUND(BS307+N(BS344)-BS281,1),"")</f>
        <v/>
      </c>
      <c r="BT343" s="189">
        <f>IF(AND(ISNUMBER(BT307),ISNUMBER(BT281)),ROUND(BT307+N(BT344)-BT281,1),"")</f>
        <v/>
      </c>
      <c r="BU343" s="189">
        <f>IF(AND(ISNUMBER(BU307),ISNUMBER(BU281)),ROUND(BU307+N(BU344)-BU281,1),"")</f>
        <v/>
      </c>
      <c r="BV343" s="189">
        <f>IF(AND(ISNUMBER(BV307),ISNUMBER(BV281)),ROUND(BV307+N(BV344)-BV281,1),"")</f>
        <v/>
      </c>
      <c r="BW343" s="189">
        <f>IF(AND(ISNUMBER(BW307),ISNUMBER(BW281)),ROUND(BW307+N(BW344)-BW281,1),"")</f>
        <v/>
      </c>
      <c r="BX343" s="189">
        <f>IF(AND(ISNUMBER(BX307),ISNUMBER(BX281)),ROUND(BX307+N(BX344)-BX281,1),"")</f>
        <v/>
      </c>
      <c r="BY343" s="6" t="n"/>
      <c r="BZ343" s="6" t="n"/>
      <c r="CA343" s="194">
        <f>IF(AND(ISNUMBER(CA307),ISNUMBER(CA281)),ROUND(CA307+N(CA344)-CA281,1),"")</f>
        <v/>
      </c>
      <c r="CB343" s="194">
        <f>IF(AND(ISNUMBER(CB307),ISNUMBER(CB281)),ROUND(CB307+N(CB344)-CB281,1),"")</f>
        <v/>
      </c>
      <c r="CC343" s="194">
        <f>IF(AND(ISNUMBER(CC307),ISNUMBER(CC281)),ROUND(CC307+N(CC344)-CC281,1),"")</f>
        <v/>
      </c>
      <c r="CD343" s="194">
        <f>IF(AND(ISNUMBER(CD307),ISNUMBER(CD281)),ROUND(CD307+N(CD344)-CD281,1),"")</f>
        <v/>
      </c>
      <c r="CE343" s="194">
        <f>IF(AND(ISNUMBER(CE307),ISNUMBER(CE281)),ROUND(CE307+N(CE344)-CE281,1),"")</f>
        <v/>
      </c>
      <c r="CF343" s="6" t="n"/>
    </row>
    <row r="344" ht="15" customHeight="1">
      <c r="B344" s="42" t="inlineStr">
        <is>
          <t xml:space="preserve">  Memo: restricted cash included in the cash-flow cash basis</t>
        </is>
      </c>
      <c r="C344" s="174" t="n">
        <v>0</v>
      </c>
      <c r="D344" s="174" t="n">
        <v>0</v>
      </c>
      <c r="E344" s="174" t="n">
        <v>0</v>
      </c>
      <c r="F344" s="174" t="n">
        <v>0</v>
      </c>
      <c r="G344" s="174" t="n">
        <v>0</v>
      </c>
      <c r="H344" s="174" t="n">
        <v>0</v>
      </c>
      <c r="I344" s="174" t="n">
        <v>0</v>
      </c>
      <c r="J344" s="174" t="n">
        <v>0</v>
      </c>
      <c r="K344" s="174" t="n">
        <v>0</v>
      </c>
      <c r="L344" s="174" t="n">
        <v>0</v>
      </c>
      <c r="M344" s="174" t="n">
        <v>0</v>
      </c>
      <c r="N344" s="174" t="n">
        <v>0</v>
      </c>
      <c r="O344" s="174" t="n">
        <v>0</v>
      </c>
      <c r="P344" s="174" t="n">
        <v>0</v>
      </c>
      <c r="Q344" s="174" t="n">
        <v>0</v>
      </c>
      <c r="R344" s="174" t="n">
        <v>0</v>
      </c>
      <c r="S344" s="174" t="n">
        <v>0</v>
      </c>
      <c r="T344" s="174" t="n">
        <v>0</v>
      </c>
      <c r="U344" s="174" t="n">
        <v>0</v>
      </c>
      <c r="V344" s="174" t="n">
        <v>0</v>
      </c>
      <c r="W344" s="174" t="n">
        <v>0</v>
      </c>
      <c r="X344" s="174" t="n">
        <v>0</v>
      </c>
      <c r="Y344" s="174" t="n">
        <v>0</v>
      </c>
      <c r="Z344" s="174" t="n">
        <v>0</v>
      </c>
      <c r="AA344" s="174" t="n">
        <v>0</v>
      </c>
      <c r="AB344" s="174" t="n">
        <v>0</v>
      </c>
      <c r="AC344" s="174" t="n">
        <v>0</v>
      </c>
      <c r="AD344" s="174" t="n">
        <v>0</v>
      </c>
      <c r="AE344" s="174" t="n">
        <v>0</v>
      </c>
      <c r="AF344" s="174" t="n">
        <v>0</v>
      </c>
      <c r="AG344" s="174" t="n">
        <v>0</v>
      </c>
      <c r="AH344" s="174" t="n">
        <v>0</v>
      </c>
      <c r="AI344" s="174" t="n">
        <v>0</v>
      </c>
      <c r="AJ344" s="174" t="n">
        <v>0</v>
      </c>
      <c r="AK344" s="174" t="n">
        <v>1724</v>
      </c>
      <c r="AL344" s="174" t="n">
        <v>1761.5</v>
      </c>
      <c r="AM344" s="174" t="n">
        <v>1761.5</v>
      </c>
      <c r="AN344" s="174" t="n">
        <v>0</v>
      </c>
      <c r="AO344" s="174" t="n">
        <v>0</v>
      </c>
      <c r="AP344" s="174" t="n">
        <v>0</v>
      </c>
      <c r="AQ344" s="174" t="n">
        <v>0</v>
      </c>
      <c r="AR344" s="174" t="n">
        <v>0</v>
      </c>
      <c r="AS344" s="174" t="n">
        <v>0</v>
      </c>
      <c r="AT344" s="174" t="n">
        <v>0</v>
      </c>
      <c r="AU344" s="174" t="n">
        <v>0</v>
      </c>
      <c r="AV344" s="174" t="n">
        <v>0</v>
      </c>
      <c r="AW344" s="174" t="n">
        <v>0</v>
      </c>
      <c r="AX344" s="174" t="n">
        <v>0</v>
      </c>
      <c r="AY344" s="174" t="n">
        <v>0</v>
      </c>
      <c r="AZ344" s="174" t="n">
        <v>0</v>
      </c>
      <c r="BA344" s="174" t="n">
        <v>0</v>
      </c>
      <c r="BB344" s="174" t="n">
        <v>0</v>
      </c>
      <c r="BC344" s="174" t="n">
        <v>0</v>
      </c>
      <c r="BD344" s="174" t="n">
        <v>0</v>
      </c>
      <c r="BE344" s="174" t="n">
        <v>0</v>
      </c>
      <c r="BF344" s="174" t="n">
        <v>0</v>
      </c>
      <c r="BG344" s="174" t="n">
        <v>0</v>
      </c>
      <c r="BH344" s="174" t="n">
        <v>0</v>
      </c>
      <c r="BI344" s="174" t="n">
        <v>0</v>
      </c>
      <c r="BJ344" s="174" t="n">
        <v>0</v>
      </c>
      <c r="BK344" s="174" t="n">
        <v>0</v>
      </c>
      <c r="BL344" s="174" t="n">
        <v>0</v>
      </c>
      <c r="BM344" s="174" t="n">
        <v>0</v>
      </c>
      <c r="BN344" s="174" t="n">
        <v>0</v>
      </c>
      <c r="BO344" s="174" t="n">
        <v>0</v>
      </c>
      <c r="BP344" s="174" t="n">
        <v>0</v>
      </c>
      <c r="BQ344" s="174" t="n">
        <v>0</v>
      </c>
      <c r="BR344" s="174" t="n">
        <v>0</v>
      </c>
      <c r="BS344" s="174" t="n">
        <v>0</v>
      </c>
      <c r="BT344" s="174" t="n">
        <v>0</v>
      </c>
      <c r="BU344" s="174" t="n">
        <v>0</v>
      </c>
      <c r="BV344" s="174" t="n">
        <v>0</v>
      </c>
      <c r="BW344" s="174" t="n">
        <v>0</v>
      </c>
      <c r="BX344" s="174" t="n">
        <v>0</v>
      </c>
      <c r="BY344" s="6" t="n"/>
      <c r="BZ344" s="6" t="n"/>
      <c r="CA344" s="195">
        <f>N(CA308)</f>
        <v/>
      </c>
      <c r="CB344" s="195">
        <f>N(CB308)</f>
        <v/>
      </c>
      <c r="CC344" s="195">
        <f>N(CC308)</f>
        <v/>
      </c>
      <c r="CD344" s="195">
        <f>N(CD308)</f>
        <v/>
      </c>
      <c r="CE344" s="195">
        <f>N(CE308)</f>
        <v/>
      </c>
      <c r="CF344" s="6" t="n"/>
    </row>
    <row r="345" ht="15" customHeight="1">
      <c r="B345" s="42" t="inlineStr">
        <is>
          <t xml:space="preserve">  Memo: common shares outstanding at period end (m)</t>
        </is>
      </c>
      <c r="C345" s="199" t="n">
        <v>96.5</v>
      </c>
      <c r="D345" s="199" t="n">
        <v>97.40000000000001</v>
      </c>
      <c r="E345" s="199" t="n">
        <v>95.81999999999999</v>
      </c>
      <c r="F345" s="199" t="n">
        <v>95.38</v>
      </c>
      <c r="G345" s="199" t="n">
        <v>95.90000000000001</v>
      </c>
      <c r="H345" s="199" t="n">
        <v>95.90000000000001</v>
      </c>
      <c r="I345" s="199" t="n">
        <v>95.40000000000001</v>
      </c>
      <c r="J345" s="199" t="n">
        <v>96.2</v>
      </c>
      <c r="K345" s="199" t="n">
        <v>96.3</v>
      </c>
      <c r="L345" s="199" t="n">
        <v>96.3</v>
      </c>
      <c r="M345" s="199" t="n">
        <v>95.90000000000001</v>
      </c>
      <c r="N345" s="199" t="n">
        <v>95.90000000000001</v>
      </c>
      <c r="O345" s="199" t="n">
        <v>96.5</v>
      </c>
      <c r="P345" s="199" t="n">
        <v>96.3</v>
      </c>
      <c r="Q345" s="199" t="n">
        <v>96.2</v>
      </c>
      <c r="R345" s="199" t="n">
        <v>96.3</v>
      </c>
      <c r="S345" s="199" t="n">
        <v>96.3</v>
      </c>
      <c r="T345" s="199" t="n">
        <v>96.61</v>
      </c>
      <c r="U345" s="199" t="n">
        <v>96.67</v>
      </c>
      <c r="V345" s="199" t="n">
        <v>96.48</v>
      </c>
      <c r="W345" s="199" t="n">
        <v>91.84</v>
      </c>
      <c r="X345" s="199" t="n">
        <v>91.84</v>
      </c>
      <c r="Y345" s="199" t="n">
        <v>90.09999999999999</v>
      </c>
      <c r="Z345" s="199" t="n">
        <v>90.12</v>
      </c>
      <c r="AA345" s="199" t="n">
        <v>89.06999999999999</v>
      </c>
      <c r="AB345" s="199" t="n">
        <v>95.43000000000001</v>
      </c>
      <c r="AC345" s="199" t="n">
        <v>95.43000000000001</v>
      </c>
      <c r="AD345" s="199" t="n">
        <v>95.90000000000001</v>
      </c>
      <c r="AE345" s="199" t="n">
        <v>95.98</v>
      </c>
      <c r="AF345" s="199" t="n">
        <v>96</v>
      </c>
      <c r="AG345" s="199" t="n">
        <v>96.03</v>
      </c>
      <c r="AH345" s="199" t="n">
        <v>96.03</v>
      </c>
      <c r="AI345" s="199" t="n">
        <v>96.23</v>
      </c>
      <c r="AJ345" s="199" t="n">
        <v>96.39</v>
      </c>
      <c r="AK345" s="199" t="n">
        <v>96.61</v>
      </c>
      <c r="AL345" s="199" t="n">
        <v>96.61</v>
      </c>
      <c r="AM345" s="199" t="n">
        <v>96.61</v>
      </c>
      <c r="AN345" s="199" t="n">
        <v>162.82</v>
      </c>
      <c r="AO345" s="199" t="n">
        <v>188.18</v>
      </c>
      <c r="AP345" s="199" t="n">
        <v>191.68</v>
      </c>
      <c r="AQ345" s="199" t="n">
        <v>191.7</v>
      </c>
      <c r="AR345" s="199" t="n">
        <v>191.7</v>
      </c>
      <c r="AS345" s="199" t="n">
        <v>190.28</v>
      </c>
      <c r="AT345" s="199" t="n">
        <v>190.3</v>
      </c>
      <c r="AU345" s="199" t="n">
        <v>190.3</v>
      </c>
      <c r="AV345" s="199" t="n">
        <v>188.9</v>
      </c>
      <c r="AW345" s="199" t="n">
        <v>188.9</v>
      </c>
      <c r="AX345" s="199" t="n">
        <v>188.9</v>
      </c>
      <c r="AY345" s="199" t="n">
        <v>189</v>
      </c>
      <c r="AZ345" s="199" t="n">
        <v>186.8</v>
      </c>
      <c r="BA345" s="199" t="n">
        <v>185.8</v>
      </c>
      <c r="BB345" s="199" t="n">
        <v>185.8</v>
      </c>
      <c r="BC345" s="199" t="n">
        <v>182.9</v>
      </c>
      <c r="BD345" s="199" t="n">
        <v>181.9</v>
      </c>
      <c r="BE345" s="199" t="n">
        <v>181.9</v>
      </c>
      <c r="BF345" s="199" t="n">
        <v>181.2</v>
      </c>
      <c r="BG345" s="199" t="n">
        <v>181.2</v>
      </c>
      <c r="BH345" s="199" t="n">
        <v>179.8</v>
      </c>
      <c r="BI345" s="199" t="n">
        <v>179.1</v>
      </c>
      <c r="BJ345" s="199" t="n">
        <v>179.1</v>
      </c>
      <c r="BK345" s="199" t="n">
        <v>177.8</v>
      </c>
      <c r="BL345" s="199" t="n">
        <v>177.8</v>
      </c>
      <c r="BM345" s="199" t="n">
        <v>176.8</v>
      </c>
      <c r="BN345" s="199" t="n">
        <v>175.6</v>
      </c>
      <c r="BO345" s="199" t="n">
        <v>171.9</v>
      </c>
      <c r="BP345" s="199" t="n">
        <v>171.3</v>
      </c>
      <c r="BQ345" s="199" t="n">
        <v>171.3</v>
      </c>
      <c r="BR345" s="199" t="n">
        <v>171.1</v>
      </c>
      <c r="BS345" s="199" t="n">
        <v>170.9</v>
      </c>
      <c r="BT345" s="199" t="n">
        <v>170.9</v>
      </c>
      <c r="BU345" s="199" t="n">
        <v>170.6</v>
      </c>
      <c r="BV345" s="199" t="n">
        <v>170.6</v>
      </c>
      <c r="BW345" s="199" t="n">
        <v>169.9</v>
      </c>
      <c r="BX345" s="199" t="n">
        <v>169.1</v>
      </c>
      <c r="BY345" s="6" t="n"/>
      <c r="BZ345" s="6" t="n"/>
      <c r="CA345" s="194">
        <f>CA301</f>
        <v/>
      </c>
      <c r="CB345" s="194">
        <f>CB301</f>
        <v/>
      </c>
      <c r="CC345" s="194">
        <f>CC301</f>
        <v/>
      </c>
      <c r="CD345" s="194">
        <f>CD301</f>
        <v/>
      </c>
      <c r="CE345" s="194">
        <f>CE301</f>
        <v/>
      </c>
      <c r="CF345" s="6" t="n"/>
    </row>
    <row r="346" ht="15" customHeight="1"/>
    <row r="347" ht="15" customHeight="1">
      <c r="B347" s="11" t="inlineStr">
        <is>
          <t>WORKING CAPITAL &amp; CASH CONVERSION</t>
        </is>
      </c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  <c r="AG347" s="11" t="n"/>
      <c r="AH347" s="11" t="n"/>
      <c r="AI347" s="11" t="n"/>
      <c r="AJ347" s="11" t="n"/>
      <c r="AK347" s="11" t="n"/>
      <c r="AL347" s="11" t="n"/>
      <c r="AM347" s="11" t="n"/>
      <c r="AN347" s="11" t="n"/>
      <c r="AO347" s="11" t="n"/>
      <c r="AP347" s="11" t="n"/>
      <c r="AQ347" s="11" t="n"/>
      <c r="AR347" s="11" t="n"/>
      <c r="AS347" s="11" t="n"/>
      <c r="AT347" s="11" t="n"/>
      <c r="AU347" s="11" t="n"/>
      <c r="AV347" s="11" t="n"/>
      <c r="AW347" s="11" t="n"/>
      <c r="AX347" s="11" t="n"/>
      <c r="AY347" s="11" t="n"/>
      <c r="AZ347" s="11" t="n"/>
      <c r="BA347" s="11" t="n"/>
      <c r="BB347" s="11" t="n"/>
      <c r="BC347" s="11" t="n"/>
      <c r="BD347" s="11" t="n"/>
      <c r="BE347" s="11" t="n"/>
      <c r="BF347" s="11" t="n"/>
      <c r="BG347" s="11" t="n"/>
      <c r="BH347" s="11" t="n"/>
      <c r="BI347" s="11" t="n"/>
      <c r="BJ347" s="11" t="n"/>
      <c r="BK347" s="11" t="n"/>
      <c r="BL347" s="11" t="n"/>
      <c r="BM347" s="11" t="n"/>
      <c r="BN347" s="11" t="n"/>
      <c r="BO347" s="11" t="n"/>
      <c r="BP347" s="11" t="n"/>
      <c r="BQ347" s="11" t="n"/>
      <c r="BR347" s="11" t="n"/>
      <c r="BS347" s="11" t="n"/>
      <c r="BT347" s="11" t="n"/>
      <c r="BU347" s="11" t="n"/>
      <c r="BV347" s="11" t="n"/>
      <c r="BW347" s="11" t="n"/>
      <c r="BX347" s="11" t="n"/>
      <c r="BY347" s="11" t="n"/>
      <c r="BZ347" s="11" t="n"/>
      <c r="CA347" s="11" t="n"/>
      <c r="CB347" s="11" t="n"/>
      <c r="CC347" s="11" t="n"/>
      <c r="CD347" s="11" t="n"/>
      <c r="CE347" s="11" t="n"/>
      <c r="CF347" s="11" t="inlineStr">
        <is>
          <t>WORKING CAPITAL — forecast drivers (blue = input)</t>
        </is>
      </c>
    </row>
    <row r="348" ht="15" customHeight="1">
      <c r="B348" s="26" t="inlineStr">
        <is>
          <t xml:space="preserve">  Net sales — annualised (quarters × 4)</t>
        </is>
      </c>
      <c r="C348" s="183">
        <f>IF(ISNUMBER(C142),C142*1,"")</f>
        <v/>
      </c>
      <c r="D348" s="183">
        <f>IF(ISNUMBER(D142),D142*1,"")</f>
        <v/>
      </c>
      <c r="E348" s="183">
        <f>IF(ISNUMBER(E142),E142*1,"")</f>
        <v/>
      </c>
      <c r="F348" s="183">
        <f>IF(ISNUMBER(F142),F142*1,"")</f>
        <v/>
      </c>
      <c r="G348" s="183">
        <f>IF(ISNUMBER(G142),G142*1,"")</f>
        <v/>
      </c>
      <c r="H348" s="183">
        <f>IF(ISNUMBER(H142),H142*1,"")</f>
        <v/>
      </c>
      <c r="I348" s="183">
        <f>IF(ISNUMBER(I142),I142*1,"")</f>
        <v/>
      </c>
      <c r="J348" s="183">
        <f>IF(ISNUMBER(J142),J142*4,"")</f>
        <v/>
      </c>
      <c r="K348" s="183">
        <f>IF(ISNUMBER(K142),K142*4,"")</f>
        <v/>
      </c>
      <c r="L348" s="183">
        <f>IF(ISNUMBER(L142),L142*4,"")</f>
        <v/>
      </c>
      <c r="M348" s="183">
        <f>IF(ISNUMBER(M142),M142*4,"")</f>
        <v/>
      </c>
      <c r="N348" s="183">
        <f>IF(ISNUMBER(N142),N142*1,"")</f>
        <v/>
      </c>
      <c r="O348" s="183">
        <f>IF(ISNUMBER(O142),O142*4,"")</f>
        <v/>
      </c>
      <c r="P348" s="183">
        <f>IF(ISNUMBER(P142),P142*4,"")</f>
        <v/>
      </c>
      <c r="Q348" s="183">
        <f>IF(ISNUMBER(Q142),Q142*4,"")</f>
        <v/>
      </c>
      <c r="R348" s="183">
        <f>IF(ISNUMBER(R142),R142*4,"")</f>
        <v/>
      </c>
      <c r="S348" s="183">
        <f>IF(ISNUMBER(S142),S142*1,"")</f>
        <v/>
      </c>
      <c r="T348" s="183">
        <f>IF(ISNUMBER(T142),T142*4,"")</f>
        <v/>
      </c>
      <c r="U348" s="183">
        <f>IF(ISNUMBER(U142),U142*4,"")</f>
        <v/>
      </c>
      <c r="V348" s="183">
        <f>IF(ISNUMBER(V142),V142*4,"")</f>
        <v/>
      </c>
      <c r="W348" s="183">
        <f>IF(ISNUMBER(W142),W142*4,"")</f>
        <v/>
      </c>
      <c r="X348" s="183">
        <f>IF(ISNUMBER(X142),X142*1,"")</f>
        <v/>
      </c>
      <c r="Y348" s="183">
        <f>IF(ISNUMBER(Y142),Y142*4,"")</f>
        <v/>
      </c>
      <c r="Z348" s="183">
        <f>IF(ISNUMBER(Z142),Z142*4,"")</f>
        <v/>
      </c>
      <c r="AA348" s="183">
        <f>IF(ISNUMBER(AA142),AA142*4,"")</f>
        <v/>
      </c>
      <c r="AB348" s="183">
        <f>IF(ISNUMBER(AB142),AB142*4,"")</f>
        <v/>
      </c>
      <c r="AC348" s="183">
        <f>IF(ISNUMBER(AC142),AC142*1,"")</f>
        <v/>
      </c>
      <c r="AD348" s="183">
        <f>IF(ISNUMBER(AD142),AD142*4,"")</f>
        <v/>
      </c>
      <c r="AE348" s="183">
        <f>IF(ISNUMBER(AE142),AE142*4,"")</f>
        <v/>
      </c>
      <c r="AF348" s="183">
        <f>IF(ISNUMBER(AF142),AF142*4,"")</f>
        <v/>
      </c>
      <c r="AG348" s="183">
        <f>IF(ISNUMBER(AG142),AG142*4,"")</f>
        <v/>
      </c>
      <c r="AH348" s="183">
        <f>IF(ISNUMBER(AH142),AH142*1,"")</f>
        <v/>
      </c>
      <c r="AI348" s="183">
        <f>IF(ISNUMBER(AI142),AI142*4,"")</f>
        <v/>
      </c>
      <c r="AJ348" s="183">
        <f>IF(ISNUMBER(AJ142),AJ142*4,"")</f>
        <v/>
      </c>
      <c r="AK348" s="183">
        <f>IF(ISNUMBER(AK142),AK142*4,"")</f>
        <v/>
      </c>
      <c r="AL348" s="183">
        <f>IF(ISNUMBER(AL142),AL142*4,"")</f>
        <v/>
      </c>
      <c r="AM348" s="183">
        <f>IF(ISNUMBER(AM142),AM142*1,"")</f>
        <v/>
      </c>
      <c r="AN348" s="183">
        <f>IF(ISNUMBER(AN142),AN142*4,"")</f>
        <v/>
      </c>
      <c r="AO348" s="183">
        <f>IF(ISNUMBER(AO142),AO142*4,"")</f>
        <v/>
      </c>
      <c r="AP348" s="183">
        <f>IF(ISNUMBER(AP142),AP142*4,"")</f>
        <v/>
      </c>
      <c r="AQ348" s="183">
        <f>IF(ISNUMBER(AQ142),AQ142*4,"")</f>
        <v/>
      </c>
      <c r="AR348" s="183">
        <f>IF(ISNUMBER(AR142),AR142*1,"")</f>
        <v/>
      </c>
      <c r="AS348" s="183">
        <f>IF(ISNUMBER(AS142),AS142*4,"")</f>
        <v/>
      </c>
      <c r="AT348" s="183">
        <f>IF(ISNUMBER(AT142),AT142*4,"")</f>
        <v/>
      </c>
      <c r="AU348" s="183">
        <f>IF(ISNUMBER(AU142),AU142*4,"")</f>
        <v/>
      </c>
      <c r="AV348" s="183">
        <f>IF(ISNUMBER(AV142),AV142*4,"")</f>
        <v/>
      </c>
      <c r="AW348" s="183">
        <f>IF(ISNUMBER(AW142),AW142*1,"")</f>
        <v/>
      </c>
      <c r="AX348" s="183">
        <f>IF(ISNUMBER(AX142),AX142*4,"")</f>
        <v/>
      </c>
      <c r="AY348" s="183">
        <f>IF(ISNUMBER(AY142),AY142*4,"")</f>
        <v/>
      </c>
      <c r="AZ348" s="183">
        <f>IF(ISNUMBER(AZ142),AZ142*4,"")</f>
        <v/>
      </c>
      <c r="BA348" s="183">
        <f>IF(ISNUMBER(BA142),BA142*4,"")</f>
        <v/>
      </c>
      <c r="BB348" s="183">
        <f>IF(ISNUMBER(BB142),BB142*1,"")</f>
        <v/>
      </c>
      <c r="BC348" s="183">
        <f>IF(ISNUMBER(BC142),BC142*4,"")</f>
        <v/>
      </c>
      <c r="BD348" s="183">
        <f>IF(ISNUMBER(BD142),BD142*4,"")</f>
        <v/>
      </c>
      <c r="BE348" s="183">
        <f>IF(ISNUMBER(BE142),BE142*4,"")</f>
        <v/>
      </c>
      <c r="BF348" s="183">
        <f>IF(ISNUMBER(BF142),BF142*4,"")</f>
        <v/>
      </c>
      <c r="BG348" s="183">
        <f>IF(ISNUMBER(BG142),BG142*1,"")</f>
        <v/>
      </c>
      <c r="BH348" s="183">
        <f>IF(ISNUMBER(BH142),BH142*4,"")</f>
        <v/>
      </c>
      <c r="BI348" s="183">
        <f>IF(ISNUMBER(BI142),BI142*4,"")</f>
        <v/>
      </c>
      <c r="BJ348" s="183">
        <f>IF(ISNUMBER(BJ142),BJ142*4,"")</f>
        <v/>
      </c>
      <c r="BK348" s="183">
        <f>IF(ISNUMBER(BK142),BK142*4,"")</f>
        <v/>
      </c>
      <c r="BL348" s="183">
        <f>IF(ISNUMBER(BL142),BL142*1,"")</f>
        <v/>
      </c>
      <c r="BM348" s="183">
        <f>IF(ISNUMBER(BM142),BM142*4,"")</f>
        <v/>
      </c>
      <c r="BN348" s="183">
        <f>IF(ISNUMBER(BN142),BN142*4,"")</f>
        <v/>
      </c>
      <c r="BO348" s="183">
        <f>IF(ISNUMBER(BO142),BO142*4,"")</f>
        <v/>
      </c>
      <c r="BP348" s="183">
        <f>IF(ISNUMBER(BP142),BP142*4,"")</f>
        <v/>
      </c>
      <c r="BQ348" s="183">
        <f>IF(ISNUMBER(BQ142),BQ142*1,"")</f>
        <v/>
      </c>
      <c r="BR348" s="183">
        <f>IF(ISNUMBER(BR142),BR142*4,"")</f>
        <v/>
      </c>
      <c r="BS348" s="183">
        <f>IF(ISNUMBER(BS142),BS142*4,"")</f>
        <v/>
      </c>
      <c r="BT348" s="183">
        <f>IF(ISNUMBER(BT142),BT142*4,"")</f>
        <v/>
      </c>
      <c r="BU348" s="183">
        <f>IF(ISNUMBER(BU142),BU142*4,"")</f>
        <v/>
      </c>
      <c r="BV348" s="183">
        <f>IF(ISNUMBER(BV142),BV142*1,"")</f>
        <v/>
      </c>
      <c r="BW348" s="183">
        <f>IF(ISNUMBER(BW142),BW142*4,"")</f>
        <v/>
      </c>
      <c r="BX348" s="183">
        <f>IF(ISNUMBER(BX142),BX142*4,"")</f>
        <v/>
      </c>
      <c r="BY348" s="37" t="n"/>
      <c r="BZ348" s="37" t="n"/>
      <c r="CA348" s="178">
        <f>IF(ISNUMBER(CA142),CA142*1,"")</f>
        <v/>
      </c>
      <c r="CB348" s="178">
        <f>IF(ISNUMBER(CB142),CB142*1,"")</f>
        <v/>
      </c>
      <c r="CC348" s="178">
        <f>IF(ISNUMBER(CC142),CC142*1,"")</f>
        <v/>
      </c>
      <c r="CD348" s="178">
        <f>IF(ISNUMBER(CD142),CD142*1,"")</f>
        <v/>
      </c>
      <c r="CE348" s="178">
        <f>IF(ISNUMBER(CE142),CE142*1,"")</f>
        <v/>
      </c>
      <c r="CF348" s="20" t="n"/>
    </row>
    <row r="349" ht="15" customHeight="1">
      <c r="B349" s="26" t="inlineStr">
        <is>
          <t xml:space="preserve">  Cost of sales — annualised</t>
        </is>
      </c>
      <c r="C349" s="183">
        <f>IF(ISNUMBER(C143),C143*1,"")</f>
        <v/>
      </c>
      <c r="D349" s="183">
        <f>IF(ISNUMBER(D143),D143*1,"")</f>
        <v/>
      </c>
      <c r="E349" s="183">
        <f>IF(ISNUMBER(E143),E143*1,"")</f>
        <v/>
      </c>
      <c r="F349" s="183">
        <f>IF(ISNUMBER(F143),F143*1,"")</f>
        <v/>
      </c>
      <c r="G349" s="183">
        <f>IF(ISNUMBER(G143),G143*1,"")</f>
        <v/>
      </c>
      <c r="H349" s="183">
        <f>IF(ISNUMBER(H143),H143*1,"")</f>
        <v/>
      </c>
      <c r="I349" s="183">
        <f>IF(ISNUMBER(I143),I143*1,"")</f>
        <v/>
      </c>
      <c r="J349" s="183">
        <f>IF(ISNUMBER(J143),J143*4,"")</f>
        <v/>
      </c>
      <c r="K349" s="183">
        <f>IF(ISNUMBER(K143),K143*4,"")</f>
        <v/>
      </c>
      <c r="L349" s="183">
        <f>IF(ISNUMBER(L143),L143*4,"")</f>
        <v/>
      </c>
      <c r="M349" s="183">
        <f>IF(ISNUMBER(M143),M143*4,"")</f>
        <v/>
      </c>
      <c r="N349" s="183">
        <f>IF(ISNUMBER(N143),N143*1,"")</f>
        <v/>
      </c>
      <c r="O349" s="183">
        <f>IF(ISNUMBER(O143),O143*4,"")</f>
        <v/>
      </c>
      <c r="P349" s="183">
        <f>IF(ISNUMBER(P143),P143*4,"")</f>
        <v/>
      </c>
      <c r="Q349" s="183">
        <f>IF(ISNUMBER(Q143),Q143*4,"")</f>
        <v/>
      </c>
      <c r="R349" s="183">
        <f>IF(ISNUMBER(R143),R143*4,"")</f>
        <v/>
      </c>
      <c r="S349" s="183">
        <f>IF(ISNUMBER(S143),S143*1,"")</f>
        <v/>
      </c>
      <c r="T349" s="183">
        <f>IF(ISNUMBER(T143),T143*4,"")</f>
        <v/>
      </c>
      <c r="U349" s="183">
        <f>IF(ISNUMBER(U143),U143*4,"")</f>
        <v/>
      </c>
      <c r="V349" s="183">
        <f>IF(ISNUMBER(V143),V143*4,"")</f>
        <v/>
      </c>
      <c r="W349" s="183">
        <f>IF(ISNUMBER(W143),W143*4,"")</f>
        <v/>
      </c>
      <c r="X349" s="183">
        <f>IF(ISNUMBER(X143),X143*1,"")</f>
        <v/>
      </c>
      <c r="Y349" s="183">
        <f>IF(ISNUMBER(Y143),Y143*4,"")</f>
        <v/>
      </c>
      <c r="Z349" s="183">
        <f>IF(ISNUMBER(Z143),Z143*4,"")</f>
        <v/>
      </c>
      <c r="AA349" s="183">
        <f>IF(ISNUMBER(AA143),AA143*4,"")</f>
        <v/>
      </c>
      <c r="AB349" s="183">
        <f>IF(ISNUMBER(AB143),AB143*4,"")</f>
        <v/>
      </c>
      <c r="AC349" s="183">
        <f>IF(ISNUMBER(AC143),AC143*1,"")</f>
        <v/>
      </c>
      <c r="AD349" s="183">
        <f>IF(ISNUMBER(AD143),AD143*4,"")</f>
        <v/>
      </c>
      <c r="AE349" s="183">
        <f>IF(ISNUMBER(AE143),AE143*4,"")</f>
        <v/>
      </c>
      <c r="AF349" s="183">
        <f>IF(ISNUMBER(AF143),AF143*4,"")</f>
        <v/>
      </c>
      <c r="AG349" s="183">
        <f>IF(ISNUMBER(AG143),AG143*4,"")</f>
        <v/>
      </c>
      <c r="AH349" s="183">
        <f>IF(ISNUMBER(AH143),AH143*1,"")</f>
        <v/>
      </c>
      <c r="AI349" s="183">
        <f>IF(ISNUMBER(AI143),AI143*4,"")</f>
        <v/>
      </c>
      <c r="AJ349" s="183">
        <f>IF(ISNUMBER(AJ143),AJ143*4,"")</f>
        <v/>
      </c>
      <c r="AK349" s="183">
        <f>IF(ISNUMBER(AK143),AK143*4,"")</f>
        <v/>
      </c>
      <c r="AL349" s="183">
        <f>IF(ISNUMBER(AL143),AL143*4,"")</f>
        <v/>
      </c>
      <c r="AM349" s="183">
        <f>IF(ISNUMBER(AM143),AM143*1,"")</f>
        <v/>
      </c>
      <c r="AN349" s="183">
        <f>IF(ISNUMBER(AN143),AN143*4,"")</f>
        <v/>
      </c>
      <c r="AO349" s="183">
        <f>IF(ISNUMBER(AO143),AO143*4,"")</f>
        <v/>
      </c>
      <c r="AP349" s="183">
        <f>IF(ISNUMBER(AP143),AP143*4,"")</f>
        <v/>
      </c>
      <c r="AQ349" s="183">
        <f>IF(ISNUMBER(AQ143),AQ143*4,"")</f>
        <v/>
      </c>
      <c r="AR349" s="183">
        <f>IF(ISNUMBER(AR143),AR143*1,"")</f>
        <v/>
      </c>
      <c r="AS349" s="183">
        <f>IF(ISNUMBER(AS143),AS143*4,"")</f>
        <v/>
      </c>
      <c r="AT349" s="183">
        <f>IF(ISNUMBER(AT143),AT143*4,"")</f>
        <v/>
      </c>
      <c r="AU349" s="183">
        <f>IF(ISNUMBER(AU143),AU143*4,"")</f>
        <v/>
      </c>
      <c r="AV349" s="183">
        <f>IF(ISNUMBER(AV143),AV143*4,"")</f>
        <v/>
      </c>
      <c r="AW349" s="183">
        <f>IF(ISNUMBER(AW143),AW143*1,"")</f>
        <v/>
      </c>
      <c r="AX349" s="183">
        <f>IF(ISNUMBER(AX143),AX143*4,"")</f>
        <v/>
      </c>
      <c r="AY349" s="183">
        <f>IF(ISNUMBER(AY143),AY143*4,"")</f>
        <v/>
      </c>
      <c r="AZ349" s="183">
        <f>IF(ISNUMBER(AZ143),AZ143*4,"")</f>
        <v/>
      </c>
      <c r="BA349" s="183">
        <f>IF(ISNUMBER(BA143),BA143*4,"")</f>
        <v/>
      </c>
      <c r="BB349" s="183">
        <f>IF(ISNUMBER(BB143),BB143*1,"")</f>
        <v/>
      </c>
      <c r="BC349" s="183">
        <f>IF(ISNUMBER(BC143),BC143*4,"")</f>
        <v/>
      </c>
      <c r="BD349" s="183">
        <f>IF(ISNUMBER(BD143),BD143*4,"")</f>
        <v/>
      </c>
      <c r="BE349" s="183">
        <f>IF(ISNUMBER(BE143),BE143*4,"")</f>
        <v/>
      </c>
      <c r="BF349" s="183">
        <f>IF(ISNUMBER(BF143),BF143*4,"")</f>
        <v/>
      </c>
      <c r="BG349" s="183">
        <f>IF(ISNUMBER(BG143),BG143*1,"")</f>
        <v/>
      </c>
      <c r="BH349" s="183">
        <f>IF(ISNUMBER(BH143),BH143*4,"")</f>
        <v/>
      </c>
      <c r="BI349" s="183">
        <f>IF(ISNUMBER(BI143),BI143*4,"")</f>
        <v/>
      </c>
      <c r="BJ349" s="183">
        <f>IF(ISNUMBER(BJ143),BJ143*4,"")</f>
        <v/>
      </c>
      <c r="BK349" s="183">
        <f>IF(ISNUMBER(BK143),BK143*4,"")</f>
        <v/>
      </c>
      <c r="BL349" s="183">
        <f>IF(ISNUMBER(BL143),BL143*1,"")</f>
        <v/>
      </c>
      <c r="BM349" s="183">
        <f>IF(ISNUMBER(BM143),BM143*4,"")</f>
        <v/>
      </c>
      <c r="BN349" s="183">
        <f>IF(ISNUMBER(BN143),BN143*4,"")</f>
        <v/>
      </c>
      <c r="BO349" s="183">
        <f>IF(ISNUMBER(BO143),BO143*4,"")</f>
        <v/>
      </c>
      <c r="BP349" s="183">
        <f>IF(ISNUMBER(BP143),BP143*4,"")</f>
        <v/>
      </c>
      <c r="BQ349" s="183">
        <f>IF(ISNUMBER(BQ143),BQ143*1,"")</f>
        <v/>
      </c>
      <c r="BR349" s="183">
        <f>IF(ISNUMBER(BR143),BR143*4,"")</f>
        <v/>
      </c>
      <c r="BS349" s="183">
        <f>IF(ISNUMBER(BS143),BS143*4,"")</f>
        <v/>
      </c>
      <c r="BT349" s="183">
        <f>IF(ISNUMBER(BT143),BT143*4,"")</f>
        <v/>
      </c>
      <c r="BU349" s="183">
        <f>IF(ISNUMBER(BU143),BU143*4,"")</f>
        <v/>
      </c>
      <c r="BV349" s="183">
        <f>IF(ISNUMBER(BV143),BV143*1,"")</f>
        <v/>
      </c>
      <c r="BW349" s="183">
        <f>IF(ISNUMBER(BW143),BW143*4,"")</f>
        <v/>
      </c>
      <c r="BX349" s="183">
        <f>IF(ISNUMBER(BX143),BX143*4,"")</f>
        <v/>
      </c>
      <c r="BY349" s="37" t="n"/>
      <c r="BZ349" s="37" t="n"/>
      <c r="CA349" s="178">
        <f>IF(ISNUMBER(CA143),CA143*1,"")</f>
        <v/>
      </c>
      <c r="CB349" s="178">
        <f>IF(ISNUMBER(CB143),CB143*1,"")</f>
        <v/>
      </c>
      <c r="CC349" s="178">
        <f>IF(ISNUMBER(CC143),CC143*1,"")</f>
        <v/>
      </c>
      <c r="CD349" s="178">
        <f>IF(ISNUMBER(CD143),CD143*1,"")</f>
        <v/>
      </c>
      <c r="CE349" s="178">
        <f>IF(ISNUMBER(CE143),CE143*1,"")</f>
        <v/>
      </c>
      <c r="CF349" s="20" t="n"/>
    </row>
    <row r="350" ht="15" customHeight="1">
      <c r="B350" s="26" t="inlineStr">
        <is>
          <t xml:space="preserve">  DSO — receivables (incl. unbilled) / sales × 365</t>
        </is>
      </c>
      <c r="C350" s="209">
        <f>IFERROR(C309/C348*365,"")</f>
        <v/>
      </c>
      <c r="D350" s="209">
        <f>IFERROR(D309/D348*365,"")</f>
        <v/>
      </c>
      <c r="E350" s="209">
        <f>IFERROR(E309/E348*365,"")</f>
        <v/>
      </c>
      <c r="F350" s="209">
        <f>IFERROR(F309/F348*365,"")</f>
        <v/>
      </c>
      <c r="G350" s="209">
        <f>IFERROR(G309/G348*365,"")</f>
        <v/>
      </c>
      <c r="H350" s="209">
        <f>IFERROR(H309/H348*365,"")</f>
        <v/>
      </c>
      <c r="I350" s="209">
        <f>IFERROR(I309/I348*365,"")</f>
        <v/>
      </c>
      <c r="J350" s="209">
        <f>IFERROR(J309/J348*365,"")</f>
        <v/>
      </c>
      <c r="K350" s="209">
        <f>IFERROR(K309/K348*365,"")</f>
        <v/>
      </c>
      <c r="L350" s="209">
        <f>IFERROR(L309/L348*365,"")</f>
        <v/>
      </c>
      <c r="M350" s="209">
        <f>IFERROR(M309/M348*365,"")</f>
        <v/>
      </c>
      <c r="N350" s="209">
        <f>IFERROR(N309/N348*365,"")</f>
        <v/>
      </c>
      <c r="O350" s="209">
        <f>IFERROR(O309/O348*365,"")</f>
        <v/>
      </c>
      <c r="P350" s="209">
        <f>IFERROR(P309/P348*365,"")</f>
        <v/>
      </c>
      <c r="Q350" s="209">
        <f>IFERROR(Q309/Q348*365,"")</f>
        <v/>
      </c>
      <c r="R350" s="209">
        <f>IFERROR(R309/R348*365,"")</f>
        <v/>
      </c>
      <c r="S350" s="209">
        <f>IFERROR(S309/S348*365,"")</f>
        <v/>
      </c>
      <c r="T350" s="209">
        <f>IFERROR(T309/T348*365,"")</f>
        <v/>
      </c>
      <c r="U350" s="209">
        <f>IFERROR(U309/U348*365,"")</f>
        <v/>
      </c>
      <c r="V350" s="209">
        <f>IFERROR(V309/V348*365,"")</f>
        <v/>
      </c>
      <c r="W350" s="209">
        <f>IFERROR(W309/W348*365,"")</f>
        <v/>
      </c>
      <c r="X350" s="209">
        <f>IFERROR(X309/X348*365,"")</f>
        <v/>
      </c>
      <c r="Y350" s="209">
        <f>IFERROR(Y309/Y348*365,"")</f>
        <v/>
      </c>
      <c r="Z350" s="209">
        <f>IFERROR(Z309/Z348*365,"")</f>
        <v/>
      </c>
      <c r="AA350" s="209">
        <f>IFERROR(AA309/AA348*365,"")</f>
        <v/>
      </c>
      <c r="AB350" s="209">
        <f>IFERROR(AB309/AB348*365,"")</f>
        <v/>
      </c>
      <c r="AC350" s="209">
        <f>IFERROR(AC309/AC348*365,"")</f>
        <v/>
      </c>
      <c r="AD350" s="209">
        <f>IFERROR(AD309/AD348*365,"")</f>
        <v/>
      </c>
      <c r="AE350" s="209">
        <f>IFERROR(AE309/AE348*365,"")</f>
        <v/>
      </c>
      <c r="AF350" s="209">
        <f>IFERROR(AF309/AF348*365,"")</f>
        <v/>
      </c>
      <c r="AG350" s="209">
        <f>IFERROR(AG309/AG348*365,"")</f>
        <v/>
      </c>
      <c r="AH350" s="209">
        <f>IFERROR(AH309/AH348*365,"")</f>
        <v/>
      </c>
      <c r="AI350" s="209">
        <f>IFERROR(AI309/AI348*365,"")</f>
        <v/>
      </c>
      <c r="AJ350" s="209">
        <f>IFERROR(AJ309/AJ348*365,"")</f>
        <v/>
      </c>
      <c r="AK350" s="209">
        <f>IFERROR(AK309/AK348*365,"")</f>
        <v/>
      </c>
      <c r="AL350" s="209">
        <f>IFERROR(AL309/AL348*365,"")</f>
        <v/>
      </c>
      <c r="AM350" s="209">
        <f>IFERROR(AM309/AM348*365,"")</f>
        <v/>
      </c>
      <c r="AN350" s="209">
        <f>IFERROR(AN309/AN348*365,"")</f>
        <v/>
      </c>
      <c r="AO350" s="209">
        <f>IFERROR(AO309/AO348*365,"")</f>
        <v/>
      </c>
      <c r="AP350" s="209">
        <f>IFERROR(AP309/AP348*365,"")</f>
        <v/>
      </c>
      <c r="AQ350" s="209">
        <f>IFERROR(AQ309/AQ348*365,"")</f>
        <v/>
      </c>
      <c r="AR350" s="209">
        <f>IFERROR(AR309/AR348*365,"")</f>
        <v/>
      </c>
      <c r="AS350" s="209">
        <f>IFERROR(AS309/AS348*365,"")</f>
        <v/>
      </c>
      <c r="AT350" s="209">
        <f>IFERROR(AT309/AT348*365,"")</f>
        <v/>
      </c>
      <c r="AU350" s="209">
        <f>IFERROR(AU309/AU348*365,"")</f>
        <v/>
      </c>
      <c r="AV350" s="209">
        <f>IFERROR(AV309/AV348*365,"")</f>
        <v/>
      </c>
      <c r="AW350" s="209">
        <f>IFERROR(AW309/AW348*365,"")</f>
        <v/>
      </c>
      <c r="AX350" s="209">
        <f>IFERROR(AX309/AX348*365,"")</f>
        <v/>
      </c>
      <c r="AY350" s="209">
        <f>IFERROR(AY309/AY348*365,"")</f>
        <v/>
      </c>
      <c r="AZ350" s="209">
        <f>IFERROR(AZ309/AZ348*365,"")</f>
        <v/>
      </c>
      <c r="BA350" s="209">
        <f>IFERROR(BA309/BA348*365,"")</f>
        <v/>
      </c>
      <c r="BB350" s="209">
        <f>IFERROR(BB309/BB348*365,"")</f>
        <v/>
      </c>
      <c r="BC350" s="209">
        <f>IFERROR(BC309/BC348*365,"")</f>
        <v/>
      </c>
      <c r="BD350" s="209">
        <f>IFERROR(BD309/BD348*365,"")</f>
        <v/>
      </c>
      <c r="BE350" s="209">
        <f>IFERROR(BE309/BE348*365,"")</f>
        <v/>
      </c>
      <c r="BF350" s="209">
        <f>IFERROR(BF309/BF348*365,"")</f>
        <v/>
      </c>
      <c r="BG350" s="209">
        <f>IFERROR(BG309/BG348*365,"")</f>
        <v/>
      </c>
      <c r="BH350" s="209">
        <f>IFERROR(BH309/BH348*365,"")</f>
        <v/>
      </c>
      <c r="BI350" s="209">
        <f>IFERROR(BI309/BI348*365,"")</f>
        <v/>
      </c>
      <c r="BJ350" s="209">
        <f>IFERROR(BJ309/BJ348*365,"")</f>
        <v/>
      </c>
      <c r="BK350" s="209">
        <f>IFERROR(BK309/BK348*365,"")</f>
        <v/>
      </c>
      <c r="BL350" s="209">
        <f>IFERROR(BL309/BL348*365,"")</f>
        <v/>
      </c>
      <c r="BM350" s="209">
        <f>IFERROR(BM309/BM348*365,"")</f>
        <v/>
      </c>
      <c r="BN350" s="209">
        <f>IFERROR(BN309/BN348*365,"")</f>
        <v/>
      </c>
      <c r="BO350" s="209">
        <f>IFERROR(BO309/BO348*365,"")</f>
        <v/>
      </c>
      <c r="BP350" s="209">
        <f>IFERROR(BP309/BP348*365,"")</f>
        <v/>
      </c>
      <c r="BQ350" s="209">
        <f>IFERROR(BQ309/BQ348*365,"")</f>
        <v/>
      </c>
      <c r="BR350" s="209">
        <f>IFERROR(BR309/BR348*365,"")</f>
        <v/>
      </c>
      <c r="BS350" s="209">
        <f>IFERROR(BS309/BS348*365,"")</f>
        <v/>
      </c>
      <c r="BT350" s="209">
        <f>IFERROR(BT309/BT348*365,"")</f>
        <v/>
      </c>
      <c r="BU350" s="209">
        <f>IFERROR(BU309/BU348*365,"")</f>
        <v/>
      </c>
      <c r="BV350" s="209">
        <f>IFERROR(BV309/BV348*365,"")</f>
        <v/>
      </c>
      <c r="BW350" s="209">
        <f>IFERROR(BW309/BW348*365,"")</f>
        <v/>
      </c>
      <c r="BX350" s="209">
        <f>IFERROR(BX309/BX348*365,"")</f>
        <v/>
      </c>
      <c r="BY350" s="37" t="n"/>
      <c r="BZ350" s="37" t="n"/>
      <c r="CA350" s="210" t="n">
        <v>62</v>
      </c>
      <c r="CB350" s="210" t="n">
        <v>62</v>
      </c>
      <c r="CC350" s="210" t="n">
        <v>62</v>
      </c>
      <c r="CD350" s="210" t="n">
        <v>62</v>
      </c>
      <c r="CE350" s="210" t="n">
        <v>62</v>
      </c>
      <c r="CF350" s="20" t="n"/>
    </row>
    <row r="351" ht="15" customHeight="1">
      <c r="B351" s="26" t="inlineStr">
        <is>
          <t xml:space="preserve">  Inventory days — inventories / cost of sales × 365</t>
        </is>
      </c>
      <c r="C351" s="209">
        <f>IFERROR(C310/C349*365,"")</f>
        <v/>
      </c>
      <c r="D351" s="209">
        <f>IFERROR(D310/D349*365,"")</f>
        <v/>
      </c>
      <c r="E351" s="209">
        <f>IFERROR(E310/E349*365,"")</f>
        <v/>
      </c>
      <c r="F351" s="209">
        <f>IFERROR(F310/F349*365,"")</f>
        <v/>
      </c>
      <c r="G351" s="209">
        <f>IFERROR(G310/G349*365,"")</f>
        <v/>
      </c>
      <c r="H351" s="209">
        <f>IFERROR(H310/H349*365,"")</f>
        <v/>
      </c>
      <c r="I351" s="209">
        <f>IFERROR(I310/I349*365,"")</f>
        <v/>
      </c>
      <c r="J351" s="209">
        <f>IFERROR(J310/J349*365,"")</f>
        <v/>
      </c>
      <c r="K351" s="209">
        <f>IFERROR(K310/K349*365,"")</f>
        <v/>
      </c>
      <c r="L351" s="209">
        <f>IFERROR(L310/L349*365,"")</f>
        <v/>
      </c>
      <c r="M351" s="209">
        <f>IFERROR(M310/M349*365,"")</f>
        <v/>
      </c>
      <c r="N351" s="209">
        <f>IFERROR(N310/N349*365,"")</f>
        <v/>
      </c>
      <c r="O351" s="209">
        <f>IFERROR(O310/O349*365,"")</f>
        <v/>
      </c>
      <c r="P351" s="209">
        <f>IFERROR(P310/P349*365,"")</f>
        <v/>
      </c>
      <c r="Q351" s="209">
        <f>IFERROR(Q310/Q349*365,"")</f>
        <v/>
      </c>
      <c r="R351" s="209">
        <f>IFERROR(R310/R349*365,"")</f>
        <v/>
      </c>
      <c r="S351" s="209">
        <f>IFERROR(S310/S349*365,"")</f>
        <v/>
      </c>
      <c r="T351" s="209">
        <f>IFERROR(T310/T349*365,"")</f>
        <v/>
      </c>
      <c r="U351" s="209">
        <f>IFERROR(U310/U349*365,"")</f>
        <v/>
      </c>
      <c r="V351" s="209">
        <f>IFERROR(V310/V349*365,"")</f>
        <v/>
      </c>
      <c r="W351" s="209">
        <f>IFERROR(W310/W349*365,"")</f>
        <v/>
      </c>
      <c r="X351" s="209">
        <f>IFERROR(X310/X349*365,"")</f>
        <v/>
      </c>
      <c r="Y351" s="209">
        <f>IFERROR(Y310/Y349*365,"")</f>
        <v/>
      </c>
      <c r="Z351" s="209">
        <f>IFERROR(Z310/Z349*365,"")</f>
        <v/>
      </c>
      <c r="AA351" s="209">
        <f>IFERROR(AA310/AA349*365,"")</f>
        <v/>
      </c>
      <c r="AB351" s="209">
        <f>IFERROR(AB310/AB349*365,"")</f>
        <v/>
      </c>
      <c r="AC351" s="209">
        <f>IFERROR(AC310/AC349*365,"")</f>
        <v/>
      </c>
      <c r="AD351" s="209">
        <f>IFERROR(AD310/AD349*365,"")</f>
        <v/>
      </c>
      <c r="AE351" s="209">
        <f>IFERROR(AE310/AE349*365,"")</f>
        <v/>
      </c>
      <c r="AF351" s="209">
        <f>IFERROR(AF310/AF349*365,"")</f>
        <v/>
      </c>
      <c r="AG351" s="209">
        <f>IFERROR(AG310/AG349*365,"")</f>
        <v/>
      </c>
      <c r="AH351" s="209">
        <f>IFERROR(AH310/AH349*365,"")</f>
        <v/>
      </c>
      <c r="AI351" s="209">
        <f>IFERROR(AI310/AI349*365,"")</f>
        <v/>
      </c>
      <c r="AJ351" s="209">
        <f>IFERROR(AJ310/AJ349*365,"")</f>
        <v/>
      </c>
      <c r="AK351" s="209">
        <f>IFERROR(AK310/AK349*365,"")</f>
        <v/>
      </c>
      <c r="AL351" s="209">
        <f>IFERROR(AL310/AL349*365,"")</f>
        <v/>
      </c>
      <c r="AM351" s="209">
        <f>IFERROR(AM310/AM349*365,"")</f>
        <v/>
      </c>
      <c r="AN351" s="209">
        <f>IFERROR(AN310/AN349*365,"")</f>
        <v/>
      </c>
      <c r="AO351" s="209">
        <f>IFERROR(AO310/AO349*365,"")</f>
        <v/>
      </c>
      <c r="AP351" s="209">
        <f>IFERROR(AP310/AP349*365,"")</f>
        <v/>
      </c>
      <c r="AQ351" s="209">
        <f>IFERROR(AQ310/AQ349*365,"")</f>
        <v/>
      </c>
      <c r="AR351" s="209">
        <f>IFERROR(AR310/AR349*365,"")</f>
        <v/>
      </c>
      <c r="AS351" s="209">
        <f>IFERROR(AS310/AS349*365,"")</f>
        <v/>
      </c>
      <c r="AT351" s="209">
        <f>IFERROR(AT310/AT349*365,"")</f>
        <v/>
      </c>
      <c r="AU351" s="209">
        <f>IFERROR(AU310/AU349*365,"")</f>
        <v/>
      </c>
      <c r="AV351" s="209">
        <f>IFERROR(AV310/AV349*365,"")</f>
        <v/>
      </c>
      <c r="AW351" s="209">
        <f>IFERROR(AW310/AW349*365,"")</f>
        <v/>
      </c>
      <c r="AX351" s="209">
        <f>IFERROR(AX310/AX349*365,"")</f>
        <v/>
      </c>
      <c r="AY351" s="209">
        <f>IFERROR(AY310/AY349*365,"")</f>
        <v/>
      </c>
      <c r="AZ351" s="209">
        <f>IFERROR(AZ310/AZ349*365,"")</f>
        <v/>
      </c>
      <c r="BA351" s="209">
        <f>IFERROR(BA310/BA349*365,"")</f>
        <v/>
      </c>
      <c r="BB351" s="209">
        <f>IFERROR(BB310/BB349*365,"")</f>
        <v/>
      </c>
      <c r="BC351" s="209">
        <f>IFERROR(BC310/BC349*365,"")</f>
        <v/>
      </c>
      <c r="BD351" s="209">
        <f>IFERROR(BD310/BD349*365,"")</f>
        <v/>
      </c>
      <c r="BE351" s="209">
        <f>IFERROR(BE310/BE349*365,"")</f>
        <v/>
      </c>
      <c r="BF351" s="209">
        <f>IFERROR(BF310/BF349*365,"")</f>
        <v/>
      </c>
      <c r="BG351" s="209">
        <f>IFERROR(BG310/BG349*365,"")</f>
        <v/>
      </c>
      <c r="BH351" s="209">
        <f>IFERROR(BH310/BH349*365,"")</f>
        <v/>
      </c>
      <c r="BI351" s="209">
        <f>IFERROR(BI310/BI349*365,"")</f>
        <v/>
      </c>
      <c r="BJ351" s="209">
        <f>IFERROR(BJ310/BJ349*365,"")</f>
        <v/>
      </c>
      <c r="BK351" s="209">
        <f>IFERROR(BK310/BK349*365,"")</f>
        <v/>
      </c>
      <c r="BL351" s="209">
        <f>IFERROR(BL310/BL349*365,"")</f>
        <v/>
      </c>
      <c r="BM351" s="209">
        <f>IFERROR(BM310/BM349*365,"")</f>
        <v/>
      </c>
      <c r="BN351" s="209">
        <f>IFERROR(BN310/BN349*365,"")</f>
        <v/>
      </c>
      <c r="BO351" s="209">
        <f>IFERROR(BO310/BO349*365,"")</f>
        <v/>
      </c>
      <c r="BP351" s="209">
        <f>IFERROR(BP310/BP349*365,"")</f>
        <v/>
      </c>
      <c r="BQ351" s="209">
        <f>IFERROR(BQ310/BQ349*365,"")</f>
        <v/>
      </c>
      <c r="BR351" s="209">
        <f>IFERROR(BR310/BR349*365,"")</f>
        <v/>
      </c>
      <c r="BS351" s="209">
        <f>IFERROR(BS310/BS349*365,"")</f>
        <v/>
      </c>
      <c r="BT351" s="209">
        <f>IFERROR(BT310/BT349*365,"")</f>
        <v/>
      </c>
      <c r="BU351" s="209">
        <f>IFERROR(BU310/BU349*365,"")</f>
        <v/>
      </c>
      <c r="BV351" s="209">
        <f>IFERROR(BV310/BV349*365,"")</f>
        <v/>
      </c>
      <c r="BW351" s="209">
        <f>IFERROR(BW310/BW349*365,"")</f>
        <v/>
      </c>
      <c r="BX351" s="209">
        <f>IFERROR(BX310/BX349*365,"")</f>
        <v/>
      </c>
      <c r="BY351" s="37" t="n"/>
      <c r="BZ351" s="37" t="n"/>
      <c r="CA351" s="210" t="n">
        <v>136</v>
      </c>
      <c r="CB351" s="210" t="n">
        <v>136</v>
      </c>
      <c r="CC351" s="210" t="n">
        <v>136</v>
      </c>
      <c r="CD351" s="210" t="n">
        <v>136</v>
      </c>
      <c r="CE351" s="210" t="n">
        <v>136</v>
      </c>
      <c r="CF351" s="20" t="n"/>
    </row>
    <row r="352" ht="15" customHeight="1">
      <c r="B352" s="26" t="inlineStr">
        <is>
          <t xml:space="preserve">  Payable days — payables / cost of sales × 365</t>
        </is>
      </c>
      <c r="C352" s="209">
        <f>IFERROR(C319/C349*365,"")</f>
        <v/>
      </c>
      <c r="D352" s="209">
        <f>IFERROR(D319/D349*365,"")</f>
        <v/>
      </c>
      <c r="E352" s="209">
        <f>IFERROR(E319/E349*365,"")</f>
        <v/>
      </c>
      <c r="F352" s="209">
        <f>IFERROR(F319/F349*365,"")</f>
        <v/>
      </c>
      <c r="G352" s="209">
        <f>IFERROR(G319/G349*365,"")</f>
        <v/>
      </c>
      <c r="H352" s="209">
        <f>IFERROR(H319/H349*365,"")</f>
        <v/>
      </c>
      <c r="I352" s="209">
        <f>IFERROR(I319/I349*365,"")</f>
        <v/>
      </c>
      <c r="J352" s="209">
        <f>IFERROR(J319/J349*365,"")</f>
        <v/>
      </c>
      <c r="K352" s="209">
        <f>IFERROR(K319/K349*365,"")</f>
        <v/>
      </c>
      <c r="L352" s="209">
        <f>IFERROR(L319/L349*365,"")</f>
        <v/>
      </c>
      <c r="M352" s="209">
        <f>IFERROR(M319/M349*365,"")</f>
        <v/>
      </c>
      <c r="N352" s="209">
        <f>IFERROR(N319/N349*365,"")</f>
        <v/>
      </c>
      <c r="O352" s="209">
        <f>IFERROR(O319/O349*365,"")</f>
        <v/>
      </c>
      <c r="P352" s="209">
        <f>IFERROR(P319/P349*365,"")</f>
        <v/>
      </c>
      <c r="Q352" s="209">
        <f>IFERROR(Q319/Q349*365,"")</f>
        <v/>
      </c>
      <c r="R352" s="209">
        <f>IFERROR(R319/R349*365,"")</f>
        <v/>
      </c>
      <c r="S352" s="209">
        <f>IFERROR(S319/S349*365,"")</f>
        <v/>
      </c>
      <c r="T352" s="209">
        <f>IFERROR(T319/T349*365,"")</f>
        <v/>
      </c>
      <c r="U352" s="209">
        <f>IFERROR(U319/U349*365,"")</f>
        <v/>
      </c>
      <c r="V352" s="209">
        <f>IFERROR(V319/V349*365,"")</f>
        <v/>
      </c>
      <c r="W352" s="209">
        <f>IFERROR(W319/W349*365,"")</f>
        <v/>
      </c>
      <c r="X352" s="209">
        <f>IFERROR(X319/X349*365,"")</f>
        <v/>
      </c>
      <c r="Y352" s="209">
        <f>IFERROR(Y319/Y349*365,"")</f>
        <v/>
      </c>
      <c r="Z352" s="209">
        <f>IFERROR(Z319/Z349*365,"")</f>
        <v/>
      </c>
      <c r="AA352" s="209">
        <f>IFERROR(AA319/AA349*365,"")</f>
        <v/>
      </c>
      <c r="AB352" s="209">
        <f>IFERROR(AB319/AB349*365,"")</f>
        <v/>
      </c>
      <c r="AC352" s="209">
        <f>IFERROR(AC319/AC349*365,"")</f>
        <v/>
      </c>
      <c r="AD352" s="209">
        <f>IFERROR(AD319/AD349*365,"")</f>
        <v/>
      </c>
      <c r="AE352" s="209">
        <f>IFERROR(AE319/AE349*365,"")</f>
        <v/>
      </c>
      <c r="AF352" s="209">
        <f>IFERROR(AF319/AF349*365,"")</f>
        <v/>
      </c>
      <c r="AG352" s="209">
        <f>IFERROR(AG319/AG349*365,"")</f>
        <v/>
      </c>
      <c r="AH352" s="209">
        <f>IFERROR(AH319/AH349*365,"")</f>
        <v/>
      </c>
      <c r="AI352" s="209">
        <f>IFERROR(AI319/AI349*365,"")</f>
        <v/>
      </c>
      <c r="AJ352" s="209">
        <f>IFERROR(AJ319/AJ349*365,"")</f>
        <v/>
      </c>
      <c r="AK352" s="209">
        <f>IFERROR(AK319/AK349*365,"")</f>
        <v/>
      </c>
      <c r="AL352" s="209">
        <f>IFERROR(AL319/AL349*365,"")</f>
        <v/>
      </c>
      <c r="AM352" s="209">
        <f>IFERROR(AM319/AM349*365,"")</f>
        <v/>
      </c>
      <c r="AN352" s="209">
        <f>IFERROR(AN319/AN349*365,"")</f>
        <v/>
      </c>
      <c r="AO352" s="209">
        <f>IFERROR(AO319/AO349*365,"")</f>
        <v/>
      </c>
      <c r="AP352" s="209">
        <f>IFERROR(AP319/AP349*365,"")</f>
        <v/>
      </c>
      <c r="AQ352" s="209">
        <f>IFERROR(AQ319/AQ349*365,"")</f>
        <v/>
      </c>
      <c r="AR352" s="209">
        <f>IFERROR(AR319/AR349*365,"")</f>
        <v/>
      </c>
      <c r="AS352" s="209">
        <f>IFERROR(AS319/AS349*365,"")</f>
        <v/>
      </c>
      <c r="AT352" s="209">
        <f>IFERROR(AT319/AT349*365,"")</f>
        <v/>
      </c>
      <c r="AU352" s="209">
        <f>IFERROR(AU319/AU349*365,"")</f>
        <v/>
      </c>
      <c r="AV352" s="209">
        <f>IFERROR(AV319/AV349*365,"")</f>
        <v/>
      </c>
      <c r="AW352" s="209">
        <f>IFERROR(AW319/AW349*365,"")</f>
        <v/>
      </c>
      <c r="AX352" s="209">
        <f>IFERROR(AX319/AX349*365,"")</f>
        <v/>
      </c>
      <c r="AY352" s="209">
        <f>IFERROR(AY319/AY349*365,"")</f>
        <v/>
      </c>
      <c r="AZ352" s="209">
        <f>IFERROR(AZ319/AZ349*365,"")</f>
        <v/>
      </c>
      <c r="BA352" s="209">
        <f>IFERROR(BA319/BA349*365,"")</f>
        <v/>
      </c>
      <c r="BB352" s="209">
        <f>IFERROR(BB319/BB349*365,"")</f>
        <v/>
      </c>
      <c r="BC352" s="209">
        <f>IFERROR(BC319/BC349*365,"")</f>
        <v/>
      </c>
      <c r="BD352" s="209">
        <f>IFERROR(BD319/BD349*365,"")</f>
        <v/>
      </c>
      <c r="BE352" s="209">
        <f>IFERROR(BE319/BE349*365,"")</f>
        <v/>
      </c>
      <c r="BF352" s="209">
        <f>IFERROR(BF319/BF349*365,"")</f>
        <v/>
      </c>
      <c r="BG352" s="209">
        <f>IFERROR(BG319/BG349*365,"")</f>
        <v/>
      </c>
      <c r="BH352" s="209">
        <f>IFERROR(BH319/BH349*365,"")</f>
        <v/>
      </c>
      <c r="BI352" s="209">
        <f>IFERROR(BI319/BI349*365,"")</f>
        <v/>
      </c>
      <c r="BJ352" s="209">
        <f>IFERROR(BJ319/BJ349*365,"")</f>
        <v/>
      </c>
      <c r="BK352" s="209">
        <f>IFERROR(BK319/BK349*365,"")</f>
        <v/>
      </c>
      <c r="BL352" s="209">
        <f>IFERROR(BL319/BL349*365,"")</f>
        <v/>
      </c>
      <c r="BM352" s="209">
        <f>IFERROR(BM319/BM349*365,"")</f>
        <v/>
      </c>
      <c r="BN352" s="209">
        <f>IFERROR(BN319/BN349*365,"")</f>
        <v/>
      </c>
      <c r="BO352" s="209">
        <f>IFERROR(BO319/BO349*365,"")</f>
        <v/>
      </c>
      <c r="BP352" s="209">
        <f>IFERROR(BP319/BP349*365,"")</f>
        <v/>
      </c>
      <c r="BQ352" s="209">
        <f>IFERROR(BQ319/BQ349*365,"")</f>
        <v/>
      </c>
      <c r="BR352" s="209">
        <f>IFERROR(BR319/BR349*365,"")</f>
        <v/>
      </c>
      <c r="BS352" s="209">
        <f>IFERROR(BS319/BS349*365,"")</f>
        <v/>
      </c>
      <c r="BT352" s="209">
        <f>IFERROR(BT319/BT349*365,"")</f>
        <v/>
      </c>
      <c r="BU352" s="209">
        <f>IFERROR(BU319/BU349*365,"")</f>
        <v/>
      </c>
      <c r="BV352" s="209">
        <f>IFERROR(BV319/BV349*365,"")</f>
        <v/>
      </c>
      <c r="BW352" s="209">
        <f>IFERROR(BW319/BW349*365,"")</f>
        <v/>
      </c>
      <c r="BX352" s="209">
        <f>IFERROR(BX319/BX349*365,"")</f>
        <v/>
      </c>
      <c r="BY352" s="37" t="n"/>
      <c r="BZ352" s="37" t="n"/>
      <c r="CA352" s="210" t="n">
        <v>70</v>
      </c>
      <c r="CB352" s="210" t="n">
        <v>70</v>
      </c>
      <c r="CC352" s="210" t="n">
        <v>70</v>
      </c>
      <c r="CD352" s="210" t="n">
        <v>70</v>
      </c>
      <c r="CE352" s="210" t="n">
        <v>70</v>
      </c>
      <c r="CF352" s="20" t="n"/>
    </row>
    <row r="353" ht="15" customHeight="1">
      <c r="B353" s="26" t="inlineStr">
        <is>
          <t xml:space="preserve">  Customer deposits % of sales</t>
        </is>
      </c>
      <c r="C353" s="187">
        <f>IFERROR(C320/C348,"")</f>
        <v/>
      </c>
      <c r="D353" s="187">
        <f>IFERROR(D320/D348,"")</f>
        <v/>
      </c>
      <c r="E353" s="187">
        <f>IFERROR(E320/E348,"")</f>
        <v/>
      </c>
      <c r="F353" s="187">
        <f>IFERROR(F320/F348,"")</f>
        <v/>
      </c>
      <c r="G353" s="187">
        <f>IFERROR(G320/G348,"")</f>
        <v/>
      </c>
      <c r="H353" s="187">
        <f>IFERROR(H320/H348,"")</f>
        <v/>
      </c>
      <c r="I353" s="187">
        <f>IFERROR(I320/I348,"")</f>
        <v/>
      </c>
      <c r="J353" s="187">
        <f>IFERROR(J320/J348,"")</f>
        <v/>
      </c>
      <c r="K353" s="187">
        <f>IFERROR(K320/K348,"")</f>
        <v/>
      </c>
      <c r="L353" s="187">
        <f>IFERROR(L320/L348,"")</f>
        <v/>
      </c>
      <c r="M353" s="187">
        <f>IFERROR(M320/M348,"")</f>
        <v/>
      </c>
      <c r="N353" s="187">
        <f>IFERROR(N320/N348,"")</f>
        <v/>
      </c>
      <c r="O353" s="187">
        <f>IFERROR(O320/O348,"")</f>
        <v/>
      </c>
      <c r="P353" s="187">
        <f>IFERROR(P320/P348,"")</f>
        <v/>
      </c>
      <c r="Q353" s="187">
        <f>IFERROR(Q320/Q348,"")</f>
        <v/>
      </c>
      <c r="R353" s="187">
        <f>IFERROR(R320/R348,"")</f>
        <v/>
      </c>
      <c r="S353" s="187">
        <f>IFERROR(S320/S348,"")</f>
        <v/>
      </c>
      <c r="T353" s="187">
        <f>IFERROR(T320/T348,"")</f>
        <v/>
      </c>
      <c r="U353" s="187">
        <f>IFERROR(U320/U348,"")</f>
        <v/>
      </c>
      <c r="V353" s="187">
        <f>IFERROR(V320/V348,"")</f>
        <v/>
      </c>
      <c r="W353" s="187">
        <f>IFERROR(W320/W348,"")</f>
        <v/>
      </c>
      <c r="X353" s="187">
        <f>IFERROR(X320/X348,"")</f>
        <v/>
      </c>
      <c r="Y353" s="187">
        <f>IFERROR(Y320/Y348,"")</f>
        <v/>
      </c>
      <c r="Z353" s="187">
        <f>IFERROR(Z320/Z348,"")</f>
        <v/>
      </c>
      <c r="AA353" s="187">
        <f>IFERROR(AA320/AA348,"")</f>
        <v/>
      </c>
      <c r="AB353" s="187">
        <f>IFERROR(AB320/AB348,"")</f>
        <v/>
      </c>
      <c r="AC353" s="187">
        <f>IFERROR(AC320/AC348,"")</f>
        <v/>
      </c>
      <c r="AD353" s="187">
        <f>IFERROR(AD320/AD348,"")</f>
        <v/>
      </c>
      <c r="AE353" s="187">
        <f>IFERROR(AE320/AE348,"")</f>
        <v/>
      </c>
      <c r="AF353" s="187">
        <f>IFERROR(AF320/AF348,"")</f>
        <v/>
      </c>
      <c r="AG353" s="187">
        <f>IFERROR(AG320/AG348,"")</f>
        <v/>
      </c>
      <c r="AH353" s="187">
        <f>IFERROR(AH320/AH348,"")</f>
        <v/>
      </c>
      <c r="AI353" s="187">
        <f>IFERROR(AI320/AI348,"")</f>
        <v/>
      </c>
      <c r="AJ353" s="187">
        <f>IFERROR(AJ320/AJ348,"")</f>
        <v/>
      </c>
      <c r="AK353" s="187">
        <f>IFERROR(AK320/AK348,"")</f>
        <v/>
      </c>
      <c r="AL353" s="187">
        <f>IFERROR(AL320/AL348,"")</f>
        <v/>
      </c>
      <c r="AM353" s="187">
        <f>IFERROR(AM320/AM348,"")</f>
        <v/>
      </c>
      <c r="AN353" s="187">
        <f>IFERROR(AN320/AN348,"")</f>
        <v/>
      </c>
      <c r="AO353" s="187">
        <f>IFERROR(AO320/AO348,"")</f>
        <v/>
      </c>
      <c r="AP353" s="187">
        <f>IFERROR(AP320/AP348,"")</f>
        <v/>
      </c>
      <c r="AQ353" s="187">
        <f>IFERROR(AQ320/AQ348,"")</f>
        <v/>
      </c>
      <c r="AR353" s="187">
        <f>IFERROR(AR320/AR348,"")</f>
        <v/>
      </c>
      <c r="AS353" s="187">
        <f>IFERROR(AS320/AS348,"")</f>
        <v/>
      </c>
      <c r="AT353" s="187">
        <f>IFERROR(AT320/AT348,"")</f>
        <v/>
      </c>
      <c r="AU353" s="187">
        <f>IFERROR(AU320/AU348,"")</f>
        <v/>
      </c>
      <c r="AV353" s="187">
        <f>IFERROR(AV320/AV348,"")</f>
        <v/>
      </c>
      <c r="AW353" s="187">
        <f>IFERROR(AW320/AW348,"")</f>
        <v/>
      </c>
      <c r="AX353" s="187">
        <f>IFERROR(AX320/AX348,"")</f>
        <v/>
      </c>
      <c r="AY353" s="187">
        <f>IFERROR(AY320/AY348,"")</f>
        <v/>
      </c>
      <c r="AZ353" s="187">
        <f>IFERROR(AZ320/AZ348,"")</f>
        <v/>
      </c>
      <c r="BA353" s="187">
        <f>IFERROR(BA320/BA348,"")</f>
        <v/>
      </c>
      <c r="BB353" s="187">
        <f>IFERROR(BB320/BB348,"")</f>
        <v/>
      </c>
      <c r="BC353" s="187">
        <f>IFERROR(BC320/BC348,"")</f>
        <v/>
      </c>
      <c r="BD353" s="187">
        <f>IFERROR(BD320/BD348,"")</f>
        <v/>
      </c>
      <c r="BE353" s="187">
        <f>IFERROR(BE320/BE348,"")</f>
        <v/>
      </c>
      <c r="BF353" s="187">
        <f>IFERROR(BF320/BF348,"")</f>
        <v/>
      </c>
      <c r="BG353" s="187">
        <f>IFERROR(BG320/BG348,"")</f>
        <v/>
      </c>
      <c r="BH353" s="187">
        <f>IFERROR(BH320/BH348,"")</f>
        <v/>
      </c>
      <c r="BI353" s="187">
        <f>IFERROR(BI320/BI348,"")</f>
        <v/>
      </c>
      <c r="BJ353" s="187">
        <f>IFERROR(BJ320/BJ348,"")</f>
        <v/>
      </c>
      <c r="BK353" s="187">
        <f>IFERROR(BK320/BK348,"")</f>
        <v/>
      </c>
      <c r="BL353" s="187">
        <f>IFERROR(BL320/BL348,"")</f>
        <v/>
      </c>
      <c r="BM353" s="187">
        <f>IFERROR(BM320/BM348,"")</f>
        <v/>
      </c>
      <c r="BN353" s="187">
        <f>IFERROR(BN320/BN348,"")</f>
        <v/>
      </c>
      <c r="BO353" s="187">
        <f>IFERROR(BO320/BO348,"")</f>
        <v/>
      </c>
      <c r="BP353" s="187">
        <f>IFERROR(BP320/BP348,"")</f>
        <v/>
      </c>
      <c r="BQ353" s="187">
        <f>IFERROR(BQ320/BQ348,"")</f>
        <v/>
      </c>
      <c r="BR353" s="187">
        <f>IFERROR(BR320/BR348,"")</f>
        <v/>
      </c>
      <c r="BS353" s="187">
        <f>IFERROR(BS320/BS348,"")</f>
        <v/>
      </c>
      <c r="BT353" s="187">
        <f>IFERROR(BT320/BT348,"")</f>
        <v/>
      </c>
      <c r="BU353" s="187">
        <f>IFERROR(BU320/BU348,"")</f>
        <v/>
      </c>
      <c r="BV353" s="187">
        <f>IFERROR(BV320/BV348,"")</f>
        <v/>
      </c>
      <c r="BW353" s="187">
        <f>IFERROR(BW320/BW348,"")</f>
        <v/>
      </c>
      <c r="BX353" s="187">
        <f>IFERROR(BX320/BX348,"")</f>
        <v/>
      </c>
      <c r="BY353" s="25" t="n"/>
      <c r="BZ353" s="25" t="n"/>
      <c r="CA353" s="181" t="n">
        <v>0.091</v>
      </c>
      <c r="CB353" s="181" t="n">
        <v>0.091</v>
      </c>
      <c r="CC353" s="181" t="n">
        <v>0.091</v>
      </c>
      <c r="CD353" s="181" t="n">
        <v>0.091</v>
      </c>
      <c r="CE353" s="181" t="n">
        <v>0.091</v>
      </c>
      <c r="CF353" s="6" t="n"/>
    </row>
    <row r="354" ht="15" customHeight="1">
      <c r="B354" s="26" t="inlineStr">
        <is>
          <t xml:space="preserve">  Accrued compensation % of sales</t>
        </is>
      </c>
      <c r="C354" s="187">
        <f>IFERROR(C321/C348,"")</f>
        <v/>
      </c>
      <c r="D354" s="187">
        <f>IFERROR(D321/D348,"")</f>
        <v/>
      </c>
      <c r="E354" s="187">
        <f>IFERROR(E321/E348,"")</f>
        <v/>
      </c>
      <c r="F354" s="187">
        <f>IFERROR(F321/F348,"")</f>
        <v/>
      </c>
      <c r="G354" s="187">
        <f>IFERROR(G321/G348,"")</f>
        <v/>
      </c>
      <c r="H354" s="187">
        <f>IFERROR(H321/H348,"")</f>
        <v/>
      </c>
      <c r="I354" s="187">
        <f>IFERROR(I321/I348,"")</f>
        <v/>
      </c>
      <c r="J354" s="187">
        <f>IFERROR(J321/J348,"")</f>
        <v/>
      </c>
      <c r="K354" s="187">
        <f>IFERROR(K321/K348,"")</f>
        <v/>
      </c>
      <c r="L354" s="187">
        <f>IFERROR(L321/L348,"")</f>
        <v/>
      </c>
      <c r="M354" s="187">
        <f>IFERROR(M321/M348,"")</f>
        <v/>
      </c>
      <c r="N354" s="187">
        <f>IFERROR(N321/N348,"")</f>
        <v/>
      </c>
      <c r="O354" s="187">
        <f>IFERROR(O321/O348,"")</f>
        <v/>
      </c>
      <c r="P354" s="187">
        <f>IFERROR(P321/P348,"")</f>
        <v/>
      </c>
      <c r="Q354" s="187">
        <f>IFERROR(Q321/Q348,"")</f>
        <v/>
      </c>
      <c r="R354" s="187">
        <f>IFERROR(R321/R348,"")</f>
        <v/>
      </c>
      <c r="S354" s="187">
        <f>IFERROR(S321/S348,"")</f>
        <v/>
      </c>
      <c r="T354" s="187">
        <f>IFERROR(T321/T348,"")</f>
        <v/>
      </c>
      <c r="U354" s="187">
        <f>IFERROR(U321/U348,"")</f>
        <v/>
      </c>
      <c r="V354" s="187">
        <f>IFERROR(V321/V348,"")</f>
        <v/>
      </c>
      <c r="W354" s="187">
        <f>IFERROR(W321/W348,"")</f>
        <v/>
      </c>
      <c r="X354" s="187">
        <f>IFERROR(X321/X348,"")</f>
        <v/>
      </c>
      <c r="Y354" s="187">
        <f>IFERROR(Y321/Y348,"")</f>
        <v/>
      </c>
      <c r="Z354" s="187">
        <f>IFERROR(Z321/Z348,"")</f>
        <v/>
      </c>
      <c r="AA354" s="187">
        <f>IFERROR(AA321/AA348,"")</f>
        <v/>
      </c>
      <c r="AB354" s="187">
        <f>IFERROR(AB321/AB348,"")</f>
        <v/>
      </c>
      <c r="AC354" s="187">
        <f>IFERROR(AC321/AC348,"")</f>
        <v/>
      </c>
      <c r="AD354" s="187">
        <f>IFERROR(AD321/AD348,"")</f>
        <v/>
      </c>
      <c r="AE354" s="187">
        <f>IFERROR(AE321/AE348,"")</f>
        <v/>
      </c>
      <c r="AF354" s="187">
        <f>IFERROR(AF321/AF348,"")</f>
        <v/>
      </c>
      <c r="AG354" s="187">
        <f>IFERROR(AG321/AG348,"")</f>
        <v/>
      </c>
      <c r="AH354" s="187">
        <f>IFERROR(AH321/AH348,"")</f>
        <v/>
      </c>
      <c r="AI354" s="187">
        <f>IFERROR(AI321/AI348,"")</f>
        <v/>
      </c>
      <c r="AJ354" s="187">
        <f>IFERROR(AJ321/AJ348,"")</f>
        <v/>
      </c>
      <c r="AK354" s="187">
        <f>IFERROR(AK321/AK348,"")</f>
        <v/>
      </c>
      <c r="AL354" s="187">
        <f>IFERROR(AL321/AL348,"")</f>
        <v/>
      </c>
      <c r="AM354" s="187">
        <f>IFERROR(AM321/AM348,"")</f>
        <v/>
      </c>
      <c r="AN354" s="187">
        <f>IFERROR(AN321/AN348,"")</f>
        <v/>
      </c>
      <c r="AO354" s="187">
        <f>IFERROR(AO321/AO348,"")</f>
        <v/>
      </c>
      <c r="AP354" s="187">
        <f>IFERROR(AP321/AP348,"")</f>
        <v/>
      </c>
      <c r="AQ354" s="187">
        <f>IFERROR(AQ321/AQ348,"")</f>
        <v/>
      </c>
      <c r="AR354" s="187">
        <f>IFERROR(AR321/AR348,"")</f>
        <v/>
      </c>
      <c r="AS354" s="187">
        <f>IFERROR(AS321/AS348,"")</f>
        <v/>
      </c>
      <c r="AT354" s="187">
        <f>IFERROR(AT321/AT348,"")</f>
        <v/>
      </c>
      <c r="AU354" s="187">
        <f>IFERROR(AU321/AU348,"")</f>
        <v/>
      </c>
      <c r="AV354" s="187">
        <f>IFERROR(AV321/AV348,"")</f>
        <v/>
      </c>
      <c r="AW354" s="187">
        <f>IFERROR(AW321/AW348,"")</f>
        <v/>
      </c>
      <c r="AX354" s="187">
        <f>IFERROR(AX321/AX348,"")</f>
        <v/>
      </c>
      <c r="AY354" s="187">
        <f>IFERROR(AY321/AY348,"")</f>
        <v/>
      </c>
      <c r="AZ354" s="187">
        <f>IFERROR(AZ321/AZ348,"")</f>
        <v/>
      </c>
      <c r="BA354" s="187">
        <f>IFERROR(BA321/BA348,"")</f>
        <v/>
      </c>
      <c r="BB354" s="187">
        <f>IFERROR(BB321/BB348,"")</f>
        <v/>
      </c>
      <c r="BC354" s="187">
        <f>IFERROR(BC321/BC348,"")</f>
        <v/>
      </c>
      <c r="BD354" s="187">
        <f>IFERROR(BD321/BD348,"")</f>
        <v/>
      </c>
      <c r="BE354" s="187">
        <f>IFERROR(BE321/BE348,"")</f>
        <v/>
      </c>
      <c r="BF354" s="187">
        <f>IFERROR(BF321/BF348,"")</f>
        <v/>
      </c>
      <c r="BG354" s="187">
        <f>IFERROR(BG321/BG348,"")</f>
        <v/>
      </c>
      <c r="BH354" s="187">
        <f>IFERROR(BH321/BH348,"")</f>
        <v/>
      </c>
      <c r="BI354" s="187">
        <f>IFERROR(BI321/BI348,"")</f>
        <v/>
      </c>
      <c r="BJ354" s="187">
        <f>IFERROR(BJ321/BJ348,"")</f>
        <v/>
      </c>
      <c r="BK354" s="187">
        <f>IFERROR(BK321/BK348,"")</f>
        <v/>
      </c>
      <c r="BL354" s="187">
        <f>IFERROR(BL321/BL348,"")</f>
        <v/>
      </c>
      <c r="BM354" s="187">
        <f>IFERROR(BM321/BM348,"")</f>
        <v/>
      </c>
      <c r="BN354" s="187">
        <f>IFERROR(BN321/BN348,"")</f>
        <v/>
      </c>
      <c r="BO354" s="187">
        <f>IFERROR(BO321/BO348,"")</f>
        <v/>
      </c>
      <c r="BP354" s="187">
        <f>IFERROR(BP321/BP348,"")</f>
        <v/>
      </c>
      <c r="BQ354" s="187">
        <f>IFERROR(BQ321/BQ348,"")</f>
        <v/>
      </c>
      <c r="BR354" s="187">
        <f>IFERROR(BR321/BR348,"")</f>
        <v/>
      </c>
      <c r="BS354" s="187">
        <f>IFERROR(BS321/BS348,"")</f>
        <v/>
      </c>
      <c r="BT354" s="187">
        <f>IFERROR(BT321/BT348,"")</f>
        <v/>
      </c>
      <c r="BU354" s="187">
        <f>IFERROR(BU321/BU348,"")</f>
        <v/>
      </c>
      <c r="BV354" s="187">
        <f>IFERROR(BV321/BV348,"")</f>
        <v/>
      </c>
      <c r="BW354" s="187">
        <f>IFERROR(BW321/BW348,"")</f>
        <v/>
      </c>
      <c r="BX354" s="187">
        <f>IFERROR(BX321/BX348,"")</f>
        <v/>
      </c>
      <c r="BY354" s="25" t="n"/>
      <c r="BZ354" s="25" t="n"/>
      <c r="CA354" s="181" t="n">
        <v>0.044</v>
      </c>
      <c r="CB354" s="181" t="n">
        <v>0.044</v>
      </c>
      <c r="CC354" s="181" t="n">
        <v>0.044</v>
      </c>
      <c r="CD354" s="181" t="n">
        <v>0.044</v>
      </c>
      <c r="CE354" s="181" t="n">
        <v>0.044</v>
      </c>
      <c r="CF354" s="6" t="inlineStr">
        <is>
          <t>Forecast inputs set at FY2025 levels (DSO 62d incl. unbilled, inventory 136d, payables 70d, customer deposits 9.1% and accrued compensation 4.4% of sales).</t>
        </is>
      </c>
    </row>
    <row r="355" ht="15" customHeight="1">
      <c r="B355" s="26" t="inlineStr">
        <is>
          <t xml:space="preserve">  Operating NWC (receivables + inventories − payables − deposits − accrued comp.)</t>
        </is>
      </c>
      <c r="C355" s="183">
        <f>IF(ISNUMBER(C309),C309+C310-C319-N(C320)-N(C321),"")</f>
        <v/>
      </c>
      <c r="D355" s="183">
        <f>IF(ISNUMBER(D309),D309+D310-D319-N(D320)-N(D321),"")</f>
        <v/>
      </c>
      <c r="E355" s="183">
        <f>IF(ISNUMBER(E309),E309+E310-E319-N(E320)-N(E321),"")</f>
        <v/>
      </c>
      <c r="F355" s="183">
        <f>IF(ISNUMBER(F309),F309+F310-F319-N(F320)-N(F321),"")</f>
        <v/>
      </c>
      <c r="G355" s="183">
        <f>IF(ISNUMBER(G309),G309+G310-G319-N(G320)-N(G321),"")</f>
        <v/>
      </c>
      <c r="H355" s="183">
        <f>IF(ISNUMBER(H309),H309+H310-H319-N(H320)-N(H321),"")</f>
        <v/>
      </c>
      <c r="I355" s="183">
        <f>IF(ISNUMBER(I309),I309+I310-I319-N(I320)-N(I321),"")</f>
        <v/>
      </c>
      <c r="J355" s="183">
        <f>IF(ISNUMBER(J309),J309+J310-J319-N(J320)-N(J321),"")</f>
        <v/>
      </c>
      <c r="K355" s="183">
        <f>IF(ISNUMBER(K309),K309+K310-K319-N(K320)-N(K321),"")</f>
        <v/>
      </c>
      <c r="L355" s="183">
        <f>IF(ISNUMBER(L309),L309+L310-L319-N(L320)-N(L321),"")</f>
        <v/>
      </c>
      <c r="M355" s="183">
        <f>IF(ISNUMBER(M309),M309+M310-M319-N(M320)-N(M321),"")</f>
        <v/>
      </c>
      <c r="N355" s="183">
        <f>IF(ISNUMBER(N309),N309+N310-N319-N(N320)-N(N321),"")</f>
        <v/>
      </c>
      <c r="O355" s="183">
        <f>IF(ISNUMBER(O309),O309+O310-O319-N(O320)-N(O321),"")</f>
        <v/>
      </c>
      <c r="P355" s="183">
        <f>IF(ISNUMBER(P309),P309+P310-P319-N(P320)-N(P321),"")</f>
        <v/>
      </c>
      <c r="Q355" s="183">
        <f>IF(ISNUMBER(Q309),Q309+Q310-Q319-N(Q320)-N(Q321),"")</f>
        <v/>
      </c>
      <c r="R355" s="183">
        <f>IF(ISNUMBER(R309),R309+R310-R319-N(R320)-N(R321),"")</f>
        <v/>
      </c>
      <c r="S355" s="183">
        <f>IF(ISNUMBER(S309),S309+S310-S319-N(S320)-N(S321),"")</f>
        <v/>
      </c>
      <c r="T355" s="183">
        <f>IF(ISNUMBER(T309),T309+T310-T319-N(T320)-N(T321),"")</f>
        <v/>
      </c>
      <c r="U355" s="183">
        <f>IF(ISNUMBER(U309),U309+U310-U319-N(U320)-N(U321),"")</f>
        <v/>
      </c>
      <c r="V355" s="183">
        <f>IF(ISNUMBER(V309),V309+V310-V319-N(V320)-N(V321),"")</f>
        <v/>
      </c>
      <c r="W355" s="183">
        <f>IF(ISNUMBER(W309),W309+W310-W319-N(W320)-N(W321),"")</f>
        <v/>
      </c>
      <c r="X355" s="183">
        <f>IF(ISNUMBER(X309),X309+X310-X319-N(X320)-N(X321),"")</f>
        <v/>
      </c>
      <c r="Y355" s="183">
        <f>IF(ISNUMBER(Y309),Y309+Y310-Y319-N(Y320)-N(Y321),"")</f>
        <v/>
      </c>
      <c r="Z355" s="183">
        <f>IF(ISNUMBER(Z309),Z309+Z310-Z319-N(Z320)-N(Z321),"")</f>
        <v/>
      </c>
      <c r="AA355" s="183">
        <f>IF(ISNUMBER(AA309),AA309+AA310-AA319-N(AA320)-N(AA321),"")</f>
        <v/>
      </c>
      <c r="AB355" s="183">
        <f>IF(ISNUMBER(AB309),AB309+AB310-AB319-N(AB320)-N(AB321),"")</f>
        <v/>
      </c>
      <c r="AC355" s="183">
        <f>IF(ISNUMBER(AC309),AC309+AC310-AC319-N(AC320)-N(AC321),"")</f>
        <v/>
      </c>
      <c r="AD355" s="183">
        <f>IF(ISNUMBER(AD309),AD309+AD310-AD319-N(AD320)-N(AD321),"")</f>
        <v/>
      </c>
      <c r="AE355" s="183">
        <f>IF(ISNUMBER(AE309),AE309+AE310-AE319-N(AE320)-N(AE321),"")</f>
        <v/>
      </c>
      <c r="AF355" s="183">
        <f>IF(ISNUMBER(AF309),AF309+AF310-AF319-N(AF320)-N(AF321),"")</f>
        <v/>
      </c>
      <c r="AG355" s="183">
        <f>IF(ISNUMBER(AG309),AG309+AG310-AG319-N(AG320)-N(AG321),"")</f>
        <v/>
      </c>
      <c r="AH355" s="183">
        <f>IF(ISNUMBER(AH309),AH309+AH310-AH319-N(AH320)-N(AH321),"")</f>
        <v/>
      </c>
      <c r="AI355" s="183">
        <f>IF(ISNUMBER(AI309),AI309+AI310-AI319-N(AI320)-N(AI321),"")</f>
        <v/>
      </c>
      <c r="AJ355" s="183">
        <f>IF(ISNUMBER(AJ309),AJ309+AJ310-AJ319-N(AJ320)-N(AJ321),"")</f>
        <v/>
      </c>
      <c r="AK355" s="183">
        <f>IF(ISNUMBER(AK309),AK309+AK310-AK319-N(AK320)-N(AK321),"")</f>
        <v/>
      </c>
      <c r="AL355" s="183">
        <f>IF(ISNUMBER(AL309),AL309+AL310-AL319-N(AL320)-N(AL321),"")</f>
        <v/>
      </c>
      <c r="AM355" s="183">
        <f>IF(ISNUMBER(AM309),AM309+AM310-AM319-N(AM320)-N(AM321),"")</f>
        <v/>
      </c>
      <c r="AN355" s="183">
        <f>IF(ISNUMBER(AN309),AN309+AN310-AN319-N(AN320)-N(AN321),"")</f>
        <v/>
      </c>
      <c r="AO355" s="183">
        <f>IF(ISNUMBER(AO309),AO309+AO310-AO319-N(AO320)-N(AO321),"")</f>
        <v/>
      </c>
      <c r="AP355" s="183">
        <f>IF(ISNUMBER(AP309),AP309+AP310-AP319-N(AP320)-N(AP321),"")</f>
        <v/>
      </c>
      <c r="AQ355" s="183">
        <f>IF(ISNUMBER(AQ309),AQ309+AQ310-AQ319-N(AQ320)-N(AQ321),"")</f>
        <v/>
      </c>
      <c r="AR355" s="183">
        <f>IF(ISNUMBER(AR309),AR309+AR310-AR319-N(AR320)-N(AR321),"")</f>
        <v/>
      </c>
      <c r="AS355" s="183">
        <f>IF(ISNUMBER(AS309),AS309+AS310-AS319-N(AS320)-N(AS321),"")</f>
        <v/>
      </c>
      <c r="AT355" s="183">
        <f>IF(ISNUMBER(AT309),AT309+AT310-AT319-N(AT320)-N(AT321),"")</f>
        <v/>
      </c>
      <c r="AU355" s="183">
        <f>IF(ISNUMBER(AU309),AU309+AU310-AU319-N(AU320)-N(AU321),"")</f>
        <v/>
      </c>
      <c r="AV355" s="183">
        <f>IF(ISNUMBER(AV309),AV309+AV310-AV319-N(AV320)-N(AV321),"")</f>
        <v/>
      </c>
      <c r="AW355" s="183">
        <f>IF(ISNUMBER(AW309),AW309+AW310-AW319-N(AW320)-N(AW321),"")</f>
        <v/>
      </c>
      <c r="AX355" s="183">
        <f>IF(ISNUMBER(AX309),AX309+AX310-AX319-N(AX320)-N(AX321),"")</f>
        <v/>
      </c>
      <c r="AY355" s="183">
        <f>IF(ISNUMBER(AY309),AY309+AY310-AY319-N(AY320)-N(AY321),"")</f>
        <v/>
      </c>
      <c r="AZ355" s="183">
        <f>IF(ISNUMBER(AZ309),AZ309+AZ310-AZ319-N(AZ320)-N(AZ321),"")</f>
        <v/>
      </c>
      <c r="BA355" s="183">
        <f>IF(ISNUMBER(BA309),BA309+BA310-BA319-N(BA320)-N(BA321),"")</f>
        <v/>
      </c>
      <c r="BB355" s="183">
        <f>IF(ISNUMBER(BB309),BB309+BB310-BB319-N(BB320)-N(BB321),"")</f>
        <v/>
      </c>
      <c r="BC355" s="183">
        <f>IF(ISNUMBER(BC309),BC309+BC310-BC319-N(BC320)-N(BC321),"")</f>
        <v/>
      </c>
      <c r="BD355" s="183">
        <f>IF(ISNUMBER(BD309),BD309+BD310-BD319-N(BD320)-N(BD321),"")</f>
        <v/>
      </c>
      <c r="BE355" s="183">
        <f>IF(ISNUMBER(BE309),BE309+BE310-BE319-N(BE320)-N(BE321),"")</f>
        <v/>
      </c>
      <c r="BF355" s="183">
        <f>IF(ISNUMBER(BF309),BF309+BF310-BF319-N(BF320)-N(BF321),"")</f>
        <v/>
      </c>
      <c r="BG355" s="183">
        <f>IF(ISNUMBER(BG309),BG309+BG310-BG319-N(BG320)-N(BG321),"")</f>
        <v/>
      </c>
      <c r="BH355" s="183">
        <f>IF(ISNUMBER(BH309),BH309+BH310-BH319-N(BH320)-N(BH321),"")</f>
        <v/>
      </c>
      <c r="BI355" s="183">
        <f>IF(ISNUMBER(BI309),BI309+BI310-BI319-N(BI320)-N(BI321),"")</f>
        <v/>
      </c>
      <c r="BJ355" s="183">
        <f>IF(ISNUMBER(BJ309),BJ309+BJ310-BJ319-N(BJ320)-N(BJ321),"")</f>
        <v/>
      </c>
      <c r="BK355" s="183">
        <f>IF(ISNUMBER(BK309),BK309+BK310-BK319-N(BK320)-N(BK321),"")</f>
        <v/>
      </c>
      <c r="BL355" s="183">
        <f>IF(ISNUMBER(BL309),BL309+BL310-BL319-N(BL320)-N(BL321),"")</f>
        <v/>
      </c>
      <c r="BM355" s="183">
        <f>IF(ISNUMBER(BM309),BM309+BM310-BM319-N(BM320)-N(BM321),"")</f>
        <v/>
      </c>
      <c r="BN355" s="183">
        <f>IF(ISNUMBER(BN309),BN309+BN310-BN319-N(BN320)-N(BN321),"")</f>
        <v/>
      </c>
      <c r="BO355" s="183">
        <f>IF(ISNUMBER(BO309),BO309+BO310-BO319-N(BO320)-N(BO321),"")</f>
        <v/>
      </c>
      <c r="BP355" s="183">
        <f>IF(ISNUMBER(BP309),BP309+BP310-BP319-N(BP320)-N(BP321),"")</f>
        <v/>
      </c>
      <c r="BQ355" s="183">
        <f>IF(ISNUMBER(BQ309),BQ309+BQ310-BQ319-N(BQ320)-N(BQ321),"")</f>
        <v/>
      </c>
      <c r="BR355" s="183">
        <f>IF(ISNUMBER(BR309),BR309+BR310-BR319-N(BR320)-N(BR321),"")</f>
        <v/>
      </c>
      <c r="BS355" s="183">
        <f>IF(ISNUMBER(BS309),BS309+BS310-BS319-N(BS320)-N(BS321),"")</f>
        <v/>
      </c>
      <c r="BT355" s="183">
        <f>IF(ISNUMBER(BT309),BT309+BT310-BT319-N(BT320)-N(BT321),"")</f>
        <v/>
      </c>
      <c r="BU355" s="183">
        <f>IF(ISNUMBER(BU309),BU309+BU310-BU319-N(BU320)-N(BU321),"")</f>
        <v/>
      </c>
      <c r="BV355" s="183">
        <f>IF(ISNUMBER(BV309),BV309+BV310-BV319-N(BV320)-N(BV321),"")</f>
        <v/>
      </c>
      <c r="BW355" s="183">
        <f>IF(ISNUMBER(BW309),BW309+BW310-BW319-N(BW320)-N(BW321),"")</f>
        <v/>
      </c>
      <c r="BX355" s="183">
        <f>IF(ISNUMBER(BX309),BX309+BX310-BX319-N(BX320)-N(BX321),"")</f>
        <v/>
      </c>
      <c r="BY355" s="37" t="n"/>
      <c r="BZ355" s="37" t="n"/>
      <c r="CA355" s="178">
        <f>IF(ISNUMBER(CA309),CA309+CA310-CA319-N(CA320)-N(CA321),"")</f>
        <v/>
      </c>
      <c r="CB355" s="178">
        <f>IF(ISNUMBER(CB309),CB309+CB310-CB319-N(CB320)-N(CB321),"")</f>
        <v/>
      </c>
      <c r="CC355" s="178">
        <f>IF(ISNUMBER(CC309),CC309+CC310-CC319-N(CC320)-N(CC321),"")</f>
        <v/>
      </c>
      <c r="CD355" s="178">
        <f>IF(ISNUMBER(CD309),CD309+CD310-CD319-N(CD320)-N(CD321),"")</f>
        <v/>
      </c>
      <c r="CE355" s="178">
        <f>IF(ISNUMBER(CE309),CE309+CE310-CE319-N(CE320)-N(CE321),"")</f>
        <v/>
      </c>
      <c r="CF355" s="20" t="n"/>
    </row>
    <row r="356" ht="15" customHeight="1">
      <c r="B356" s="26" t="inlineStr">
        <is>
          <t xml:space="preserve">  NWC % of sales</t>
        </is>
      </c>
      <c r="C356" s="187">
        <f>IFERROR(C355/C348,"")</f>
        <v/>
      </c>
      <c r="D356" s="187">
        <f>IFERROR(D355/D348,"")</f>
        <v/>
      </c>
      <c r="E356" s="187">
        <f>IFERROR(E355/E348,"")</f>
        <v/>
      </c>
      <c r="F356" s="187">
        <f>IFERROR(F355/F348,"")</f>
        <v/>
      </c>
      <c r="G356" s="187">
        <f>IFERROR(G355/G348,"")</f>
        <v/>
      </c>
      <c r="H356" s="187">
        <f>IFERROR(H355/H348,"")</f>
        <v/>
      </c>
      <c r="I356" s="187">
        <f>IFERROR(I355/I348,"")</f>
        <v/>
      </c>
      <c r="J356" s="187">
        <f>IFERROR(J355/J348,"")</f>
        <v/>
      </c>
      <c r="K356" s="187">
        <f>IFERROR(K355/K348,"")</f>
        <v/>
      </c>
      <c r="L356" s="187">
        <f>IFERROR(L355/L348,"")</f>
        <v/>
      </c>
      <c r="M356" s="187">
        <f>IFERROR(M355/M348,"")</f>
        <v/>
      </c>
      <c r="N356" s="187">
        <f>IFERROR(N355/N348,"")</f>
        <v/>
      </c>
      <c r="O356" s="187">
        <f>IFERROR(O355/O348,"")</f>
        <v/>
      </c>
      <c r="P356" s="187">
        <f>IFERROR(P355/P348,"")</f>
        <v/>
      </c>
      <c r="Q356" s="187">
        <f>IFERROR(Q355/Q348,"")</f>
        <v/>
      </c>
      <c r="R356" s="187">
        <f>IFERROR(R355/R348,"")</f>
        <v/>
      </c>
      <c r="S356" s="187">
        <f>IFERROR(S355/S348,"")</f>
        <v/>
      </c>
      <c r="T356" s="187">
        <f>IFERROR(T355/T348,"")</f>
        <v/>
      </c>
      <c r="U356" s="187">
        <f>IFERROR(U355/U348,"")</f>
        <v/>
      </c>
      <c r="V356" s="187">
        <f>IFERROR(V355/V348,"")</f>
        <v/>
      </c>
      <c r="W356" s="187">
        <f>IFERROR(W355/W348,"")</f>
        <v/>
      </c>
      <c r="X356" s="187">
        <f>IFERROR(X355/X348,"")</f>
        <v/>
      </c>
      <c r="Y356" s="187">
        <f>IFERROR(Y355/Y348,"")</f>
        <v/>
      </c>
      <c r="Z356" s="187">
        <f>IFERROR(Z355/Z348,"")</f>
        <v/>
      </c>
      <c r="AA356" s="187">
        <f>IFERROR(AA355/AA348,"")</f>
        <v/>
      </c>
      <c r="AB356" s="187">
        <f>IFERROR(AB355/AB348,"")</f>
        <v/>
      </c>
      <c r="AC356" s="187">
        <f>IFERROR(AC355/AC348,"")</f>
        <v/>
      </c>
      <c r="AD356" s="187">
        <f>IFERROR(AD355/AD348,"")</f>
        <v/>
      </c>
      <c r="AE356" s="187">
        <f>IFERROR(AE355/AE348,"")</f>
        <v/>
      </c>
      <c r="AF356" s="187">
        <f>IFERROR(AF355/AF348,"")</f>
        <v/>
      </c>
      <c r="AG356" s="187">
        <f>IFERROR(AG355/AG348,"")</f>
        <v/>
      </c>
      <c r="AH356" s="187">
        <f>IFERROR(AH355/AH348,"")</f>
        <v/>
      </c>
      <c r="AI356" s="187">
        <f>IFERROR(AI355/AI348,"")</f>
        <v/>
      </c>
      <c r="AJ356" s="187">
        <f>IFERROR(AJ355/AJ348,"")</f>
        <v/>
      </c>
      <c r="AK356" s="187">
        <f>IFERROR(AK355/AK348,"")</f>
        <v/>
      </c>
      <c r="AL356" s="187">
        <f>IFERROR(AL355/AL348,"")</f>
        <v/>
      </c>
      <c r="AM356" s="187">
        <f>IFERROR(AM355/AM348,"")</f>
        <v/>
      </c>
      <c r="AN356" s="187">
        <f>IFERROR(AN355/AN348,"")</f>
        <v/>
      </c>
      <c r="AO356" s="187">
        <f>IFERROR(AO355/AO348,"")</f>
        <v/>
      </c>
      <c r="AP356" s="187">
        <f>IFERROR(AP355/AP348,"")</f>
        <v/>
      </c>
      <c r="AQ356" s="187">
        <f>IFERROR(AQ355/AQ348,"")</f>
        <v/>
      </c>
      <c r="AR356" s="187">
        <f>IFERROR(AR355/AR348,"")</f>
        <v/>
      </c>
      <c r="AS356" s="187">
        <f>IFERROR(AS355/AS348,"")</f>
        <v/>
      </c>
      <c r="AT356" s="187">
        <f>IFERROR(AT355/AT348,"")</f>
        <v/>
      </c>
      <c r="AU356" s="187">
        <f>IFERROR(AU355/AU348,"")</f>
        <v/>
      </c>
      <c r="AV356" s="187">
        <f>IFERROR(AV355/AV348,"")</f>
        <v/>
      </c>
      <c r="AW356" s="187">
        <f>IFERROR(AW355/AW348,"")</f>
        <v/>
      </c>
      <c r="AX356" s="187">
        <f>IFERROR(AX355/AX348,"")</f>
        <v/>
      </c>
      <c r="AY356" s="187">
        <f>IFERROR(AY355/AY348,"")</f>
        <v/>
      </c>
      <c r="AZ356" s="187">
        <f>IFERROR(AZ355/AZ348,"")</f>
        <v/>
      </c>
      <c r="BA356" s="187">
        <f>IFERROR(BA355/BA348,"")</f>
        <v/>
      </c>
      <c r="BB356" s="187">
        <f>IFERROR(BB355/BB348,"")</f>
        <v/>
      </c>
      <c r="BC356" s="187">
        <f>IFERROR(BC355/BC348,"")</f>
        <v/>
      </c>
      <c r="BD356" s="187">
        <f>IFERROR(BD355/BD348,"")</f>
        <v/>
      </c>
      <c r="BE356" s="187">
        <f>IFERROR(BE355/BE348,"")</f>
        <v/>
      </c>
      <c r="BF356" s="187">
        <f>IFERROR(BF355/BF348,"")</f>
        <v/>
      </c>
      <c r="BG356" s="187">
        <f>IFERROR(BG355/BG348,"")</f>
        <v/>
      </c>
      <c r="BH356" s="187">
        <f>IFERROR(BH355/BH348,"")</f>
        <v/>
      </c>
      <c r="BI356" s="187">
        <f>IFERROR(BI355/BI348,"")</f>
        <v/>
      </c>
      <c r="BJ356" s="187">
        <f>IFERROR(BJ355/BJ348,"")</f>
        <v/>
      </c>
      <c r="BK356" s="187">
        <f>IFERROR(BK355/BK348,"")</f>
        <v/>
      </c>
      <c r="BL356" s="187">
        <f>IFERROR(BL355/BL348,"")</f>
        <v/>
      </c>
      <c r="BM356" s="187">
        <f>IFERROR(BM355/BM348,"")</f>
        <v/>
      </c>
      <c r="BN356" s="187">
        <f>IFERROR(BN355/BN348,"")</f>
        <v/>
      </c>
      <c r="BO356" s="187">
        <f>IFERROR(BO355/BO348,"")</f>
        <v/>
      </c>
      <c r="BP356" s="187">
        <f>IFERROR(BP355/BP348,"")</f>
        <v/>
      </c>
      <c r="BQ356" s="187">
        <f>IFERROR(BQ355/BQ348,"")</f>
        <v/>
      </c>
      <c r="BR356" s="187">
        <f>IFERROR(BR355/BR348,"")</f>
        <v/>
      </c>
      <c r="BS356" s="187">
        <f>IFERROR(BS355/BS348,"")</f>
        <v/>
      </c>
      <c r="BT356" s="187">
        <f>IFERROR(BT355/BT348,"")</f>
        <v/>
      </c>
      <c r="BU356" s="187">
        <f>IFERROR(BU355/BU348,"")</f>
        <v/>
      </c>
      <c r="BV356" s="187">
        <f>IFERROR(BV355/BV348,"")</f>
        <v/>
      </c>
      <c r="BW356" s="187">
        <f>IFERROR(BW355/BW348,"")</f>
        <v/>
      </c>
      <c r="BX356" s="187">
        <f>IFERROR(BX355/BX348,"")</f>
        <v/>
      </c>
      <c r="BY356" s="25" t="n"/>
      <c r="BZ356" s="25" t="n"/>
      <c r="CA356" s="180">
        <f>IFERROR(CA355/CA348,"")</f>
        <v/>
      </c>
      <c r="CB356" s="180">
        <f>IFERROR(CB355/CB348,"")</f>
        <v/>
      </c>
      <c r="CC356" s="180">
        <f>IFERROR(CC355/CC348,"")</f>
        <v/>
      </c>
      <c r="CD356" s="180">
        <f>IFERROR(CD355/CD348,"")</f>
        <v/>
      </c>
      <c r="CE356" s="180">
        <f>IFERROR(CE355/CE348,"")</f>
        <v/>
      </c>
      <c r="CF356" s="6" t="n"/>
      <c r="CH356" s="39">
        <f>IFERROR(AVERAGE(CA356,CB356,CC356,CD356,CE356),"n/m")</f>
        <v/>
      </c>
      <c r="CI356" s="39">
        <f>IFERROR(AVERAGE(BB356,BG356,BL356,BQ356,BV356),"n/m")</f>
        <v/>
      </c>
      <c r="CJ356" s="39">
        <f>IFERROR(AVERAGE(AC356,AH356,AM356,AR356,AW356,BB356,BG356,BL356,BQ356,BV356),"n/m")</f>
        <v/>
      </c>
      <c r="CK356" s="39">
        <f>IFERROR(AVERAGE(C356,D356,E356,F356,G356,H356,I356,N356,S356,X356,AC356,AH356,AM356,AR356,AW356,BB356,BG356,BL356,BQ356,BV356),"n/m")</f>
        <v/>
      </c>
    </row>
    <row r="357" ht="15" customHeight="1">
      <c r="B357" s="26" t="inlineStr">
        <is>
          <t xml:space="preserve">  ΔNWC (y/y)</t>
        </is>
      </c>
      <c r="C357" s="36" t="n"/>
      <c r="D357" s="183">
        <f>IFERROR(D355-C355,"")</f>
        <v/>
      </c>
      <c r="E357" s="183">
        <f>IFERROR(E355-D355,"")</f>
        <v/>
      </c>
      <c r="F357" s="183">
        <f>IFERROR(F355-E355,"")</f>
        <v/>
      </c>
      <c r="G357" s="183">
        <f>IFERROR(G355-F355,"")</f>
        <v/>
      </c>
      <c r="H357" s="183">
        <f>IFERROR(H355-G355,"")</f>
        <v/>
      </c>
      <c r="I357" s="183">
        <f>IFERROR(I355-H355,"")</f>
        <v/>
      </c>
      <c r="J357" s="36" t="n"/>
      <c r="K357" s="36" t="n"/>
      <c r="L357" s="36" t="n"/>
      <c r="M357" s="36" t="n"/>
      <c r="N357" s="183">
        <f>IFERROR(N355-I355,"")</f>
        <v/>
      </c>
      <c r="O357" s="183">
        <f>IFERROR(O355-J355,"")</f>
        <v/>
      </c>
      <c r="P357" s="183">
        <f>IFERROR(P355-K355,"")</f>
        <v/>
      </c>
      <c r="Q357" s="183">
        <f>IFERROR(Q355-L355,"")</f>
        <v/>
      </c>
      <c r="R357" s="183">
        <f>IFERROR(R355-M355,"")</f>
        <v/>
      </c>
      <c r="S357" s="183">
        <f>IFERROR(S355-N355,"")</f>
        <v/>
      </c>
      <c r="T357" s="183">
        <f>IFERROR(T355-O355,"")</f>
        <v/>
      </c>
      <c r="U357" s="183">
        <f>IFERROR(U355-P355,"")</f>
        <v/>
      </c>
      <c r="V357" s="183">
        <f>IFERROR(V355-Q355,"")</f>
        <v/>
      </c>
      <c r="W357" s="183">
        <f>IFERROR(W355-R355,"")</f>
        <v/>
      </c>
      <c r="X357" s="183">
        <f>IFERROR(X355-S355,"")</f>
        <v/>
      </c>
      <c r="Y357" s="183">
        <f>IFERROR(Y355-T355,"")</f>
        <v/>
      </c>
      <c r="Z357" s="183">
        <f>IFERROR(Z355-U355,"")</f>
        <v/>
      </c>
      <c r="AA357" s="183">
        <f>IFERROR(AA355-V355,"")</f>
        <v/>
      </c>
      <c r="AB357" s="183">
        <f>IFERROR(AB355-W355,"")</f>
        <v/>
      </c>
      <c r="AC357" s="183">
        <f>IFERROR(AC355-X355,"")</f>
        <v/>
      </c>
      <c r="AD357" s="183">
        <f>IFERROR(AD355-Y355,"")</f>
        <v/>
      </c>
      <c r="AE357" s="183">
        <f>IFERROR(AE355-Z355,"")</f>
        <v/>
      </c>
      <c r="AF357" s="183">
        <f>IFERROR(AF355-AA355,"")</f>
        <v/>
      </c>
      <c r="AG357" s="183">
        <f>IFERROR(AG355-AB355,"")</f>
        <v/>
      </c>
      <c r="AH357" s="183">
        <f>IFERROR(AH355-AC355,"")</f>
        <v/>
      </c>
      <c r="AI357" s="183">
        <f>IFERROR(AI355-AD355,"")</f>
        <v/>
      </c>
      <c r="AJ357" s="183">
        <f>IFERROR(AJ355-AE355,"")</f>
        <v/>
      </c>
      <c r="AK357" s="183">
        <f>IFERROR(AK355-AF355,"")</f>
        <v/>
      </c>
      <c r="AL357" s="183">
        <f>IFERROR(AL355-AG355,"")</f>
        <v/>
      </c>
      <c r="AM357" s="183">
        <f>IFERROR(AM355-AH355,"")</f>
        <v/>
      </c>
      <c r="AN357" s="183">
        <f>IFERROR(AN355-AI355,"")</f>
        <v/>
      </c>
      <c r="AO357" s="183">
        <f>IFERROR(AO355-AJ355,"")</f>
        <v/>
      </c>
      <c r="AP357" s="183">
        <f>IFERROR(AP355-AK355,"")</f>
        <v/>
      </c>
      <c r="AQ357" s="183">
        <f>IFERROR(AQ355-AL355,"")</f>
        <v/>
      </c>
      <c r="AR357" s="183">
        <f>IFERROR(AR355-AM355,"")</f>
        <v/>
      </c>
      <c r="AS357" s="183">
        <f>IFERROR(AS355-AN355,"")</f>
        <v/>
      </c>
      <c r="AT357" s="183">
        <f>IFERROR(AT355-AO355,"")</f>
        <v/>
      </c>
      <c r="AU357" s="183">
        <f>IFERROR(AU355-AP355,"")</f>
        <v/>
      </c>
      <c r="AV357" s="183">
        <f>IFERROR(AV355-AQ355,"")</f>
        <v/>
      </c>
      <c r="AW357" s="183">
        <f>IFERROR(AW355-AR355,"")</f>
        <v/>
      </c>
      <c r="AX357" s="183">
        <f>IFERROR(AX355-AS355,"")</f>
        <v/>
      </c>
      <c r="AY357" s="183">
        <f>IFERROR(AY355-AT355,"")</f>
        <v/>
      </c>
      <c r="AZ357" s="183">
        <f>IFERROR(AZ355-AU355,"")</f>
        <v/>
      </c>
      <c r="BA357" s="183">
        <f>IFERROR(BA355-AV355,"")</f>
        <v/>
      </c>
      <c r="BB357" s="183">
        <f>IFERROR(BB355-AW355,"")</f>
        <v/>
      </c>
      <c r="BC357" s="183">
        <f>IFERROR(BC355-AX355,"")</f>
        <v/>
      </c>
      <c r="BD357" s="183">
        <f>IFERROR(BD355-AY355,"")</f>
        <v/>
      </c>
      <c r="BE357" s="183">
        <f>IFERROR(BE355-AZ355,"")</f>
        <v/>
      </c>
      <c r="BF357" s="183">
        <f>IFERROR(BF355-BA355,"")</f>
        <v/>
      </c>
      <c r="BG357" s="183">
        <f>IFERROR(BG355-BB355,"")</f>
        <v/>
      </c>
      <c r="BH357" s="183">
        <f>IFERROR(BH355-BC355,"")</f>
        <v/>
      </c>
      <c r="BI357" s="183">
        <f>IFERROR(BI355-BD355,"")</f>
        <v/>
      </c>
      <c r="BJ357" s="183">
        <f>IFERROR(BJ355-BE355,"")</f>
        <v/>
      </c>
      <c r="BK357" s="183">
        <f>IFERROR(BK355-BF355,"")</f>
        <v/>
      </c>
      <c r="BL357" s="183">
        <f>IFERROR(BL355-BG355,"")</f>
        <v/>
      </c>
      <c r="BM357" s="183">
        <f>IFERROR(BM355-BH355,"")</f>
        <v/>
      </c>
      <c r="BN357" s="183">
        <f>IFERROR(BN355-BI355,"")</f>
        <v/>
      </c>
      <c r="BO357" s="183">
        <f>IFERROR(BO355-BJ355,"")</f>
        <v/>
      </c>
      <c r="BP357" s="183">
        <f>IFERROR(BP355-BK355,"")</f>
        <v/>
      </c>
      <c r="BQ357" s="183">
        <f>IFERROR(BQ355-BL355,"")</f>
        <v/>
      </c>
      <c r="BR357" s="183">
        <f>IFERROR(BR355-BM355,"")</f>
        <v/>
      </c>
      <c r="BS357" s="183">
        <f>IFERROR(BS355-BN355,"")</f>
        <v/>
      </c>
      <c r="BT357" s="183">
        <f>IFERROR(BT355-BO355,"")</f>
        <v/>
      </c>
      <c r="BU357" s="183">
        <f>IFERROR(BU355-BP355,"")</f>
        <v/>
      </c>
      <c r="BV357" s="183">
        <f>IFERROR(BV355-BQ355,"")</f>
        <v/>
      </c>
      <c r="BW357" s="183">
        <f>IFERROR(BW355-BR355,"")</f>
        <v/>
      </c>
      <c r="BX357" s="183">
        <f>IFERROR(BX355-BS355,"")</f>
        <v/>
      </c>
      <c r="BY357" s="37" t="n"/>
      <c r="BZ357" s="37" t="n"/>
      <c r="CA357" s="178">
        <f>IFERROR(CA355-BV355,"")</f>
        <v/>
      </c>
      <c r="CB357" s="178">
        <f>IFERROR(CB355-CA355,"")</f>
        <v/>
      </c>
      <c r="CC357" s="178">
        <f>IFERROR(CC355-CB355,"")</f>
        <v/>
      </c>
      <c r="CD357" s="178">
        <f>IFERROR(CD355-CC355,"")</f>
        <v/>
      </c>
      <c r="CE357" s="178">
        <f>IFERROR(CE355-CD355,"")</f>
        <v/>
      </c>
      <c r="CF357" s="20" t="n"/>
    </row>
    <row r="358" ht="15" customHeight="1"/>
    <row r="359" ht="15" customHeight="1">
      <c r="B359" s="11" t="inlineStr">
        <is>
          <t>BALANCE SHEET FORECAST SCHEDULES</t>
        </is>
      </c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  <c r="AG359" s="11" t="n"/>
      <c r="AH359" s="11" t="n"/>
      <c r="AI359" s="11" t="n"/>
      <c r="AJ359" s="11" t="n"/>
      <c r="AK359" s="11" t="n"/>
      <c r="AL359" s="11" t="n"/>
      <c r="AM359" s="11" t="n"/>
      <c r="AN359" s="11" t="n"/>
      <c r="AO359" s="11" t="n"/>
      <c r="AP359" s="11" t="n"/>
      <c r="AQ359" s="11" t="n"/>
      <c r="AR359" s="11" t="n"/>
      <c r="AS359" s="11" t="n"/>
      <c r="AT359" s="11" t="n"/>
      <c r="AU359" s="11" t="n"/>
      <c r="AV359" s="11" t="n"/>
      <c r="AW359" s="11" t="n"/>
      <c r="AX359" s="11" t="n"/>
      <c r="AY359" s="11" t="n"/>
      <c r="AZ359" s="11" t="n"/>
      <c r="BA359" s="11" t="n"/>
      <c r="BB359" s="11" t="n"/>
      <c r="BC359" s="11" t="n"/>
      <c r="BD359" s="11" t="n"/>
      <c r="BE359" s="11" t="n"/>
      <c r="BF359" s="11" t="n"/>
      <c r="BG359" s="11" t="n"/>
      <c r="BH359" s="11" t="n"/>
      <c r="BI359" s="11" t="n"/>
      <c r="BJ359" s="11" t="n"/>
      <c r="BK359" s="11" t="n"/>
      <c r="BL359" s="11" t="n"/>
      <c r="BM359" s="11" t="n"/>
      <c r="BN359" s="11" t="n"/>
      <c r="BO359" s="11" t="n"/>
      <c r="BP359" s="11" t="n"/>
      <c r="BQ359" s="11" t="n"/>
      <c r="BR359" s="11" t="n"/>
      <c r="BS359" s="11" t="n"/>
      <c r="BT359" s="11" t="n"/>
      <c r="BU359" s="11" t="n"/>
      <c r="BV359" s="11" t="n"/>
      <c r="BW359" s="11" t="n"/>
      <c r="BX359" s="11" t="n"/>
      <c r="BY359" s="11" t="n"/>
      <c r="BZ359" s="11" t="n"/>
      <c r="CA359" s="11" t="n"/>
      <c r="CB359" s="11" t="n"/>
      <c r="CC359" s="11" t="n"/>
      <c r="CD359" s="11" t="n"/>
      <c r="CE359" s="11" t="n"/>
      <c r="CF359" s="11" t="inlineStr">
        <is>
          <t>BS FORECAST SCHEDULES — explicit driver assumptions</t>
        </is>
      </c>
    </row>
    <row r="360" ht="15" customHeight="1">
      <c r="B360" s="26" t="inlineStr">
        <is>
          <t>2025–26 acquisitions — consideration &amp; preliminary purchase-price allocation (closing-quarter column)</t>
        </is>
      </c>
      <c r="CF360" s="6" t="n"/>
    </row>
    <row r="361" ht="15" customHeight="1">
      <c r="B361" s="76" t="inlineStr">
        <is>
          <t xml:space="preserve">  Cash consideration (incl. debt repaid at closing)</t>
        </is>
      </c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47" t="n"/>
      <c r="X361" s="47" t="n"/>
      <c r="Y361" s="47" t="n"/>
      <c r="Z361" s="47" t="n"/>
      <c r="AA361" s="47" t="n"/>
      <c r="AB361" s="47" t="n"/>
      <c r="AC361" s="47" t="n"/>
      <c r="AD361" s="47" t="n"/>
      <c r="AE361" s="47" t="n"/>
      <c r="AF361" s="47" t="n"/>
      <c r="AG361" s="47" t="n"/>
      <c r="AH361" s="47" t="n"/>
      <c r="AI361" s="47" t="n"/>
      <c r="AJ361" s="47" t="n"/>
      <c r="AK361" s="47" t="n"/>
      <c r="AL361" s="47" t="n"/>
      <c r="AM361" s="47" t="n"/>
      <c r="AN361" s="47" t="n"/>
      <c r="AO361" s="47" t="n"/>
      <c r="AP361" s="47" t="n"/>
      <c r="AQ361" s="47" t="n"/>
      <c r="AR361" s="47" t="n"/>
      <c r="AS361" s="47" t="n"/>
      <c r="AT361" s="47" t="n"/>
      <c r="AU361" s="47" t="n"/>
      <c r="AV361" s="47" t="n"/>
      <c r="AW361" s="47" t="n"/>
      <c r="AX361" s="47" t="n"/>
      <c r="AY361" s="47" t="n"/>
      <c r="AZ361" s="47" t="n"/>
      <c r="BA361" s="47" t="n"/>
      <c r="BB361" s="47" t="n"/>
      <c r="BC361" s="47" t="n"/>
      <c r="BD361" s="47" t="n"/>
      <c r="BE361" s="47" t="n"/>
      <c r="BF361" s="47" t="n"/>
      <c r="BG361" s="47" t="n"/>
      <c r="BH361" s="47" t="n"/>
      <c r="BI361" s="47" t="n"/>
      <c r="BJ361" s="47" t="n"/>
      <c r="BK361" s="47" t="n"/>
      <c r="BL361" s="47" t="n"/>
      <c r="BM361" s="47" t="n"/>
      <c r="BN361" s="47" t="n"/>
      <c r="BO361" s="47" t="n"/>
      <c r="BP361" s="47" t="n"/>
      <c r="BQ361" s="47" t="n"/>
      <c r="BR361" s="47" t="n"/>
      <c r="BS361" s="47" t="n"/>
      <c r="BT361" s="174" t="n">
        <v>1797</v>
      </c>
      <c r="BU361" s="174" t="n">
        <v>792</v>
      </c>
      <c r="BV361" s="47" t="n"/>
      <c r="BW361" s="174" t="n">
        <v>1053</v>
      </c>
      <c r="BX361" s="47" t="n"/>
      <c r="BY361" s="6" t="n"/>
      <c r="BZ361" s="6" t="n"/>
      <c r="CA361" s="37" t="n"/>
      <c r="CB361" s="37" t="n"/>
      <c r="CC361" s="37" t="n"/>
      <c r="CD361" s="37" t="n"/>
      <c r="CE361" s="37" t="n"/>
      <c r="CF361" s="20" t="n"/>
    </row>
    <row r="362" ht="15" customHeight="1">
      <c r="B362" s="76" t="inlineStr">
        <is>
          <t xml:space="preserve">  Cash acquired</t>
        </is>
      </c>
      <c r="C362" s="47" t="n"/>
      <c r="D362" s="47" t="n"/>
      <c r="E362" s="47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  <c r="W362" s="47" t="n"/>
      <c r="X362" s="47" t="n"/>
      <c r="Y362" s="47" t="n"/>
      <c r="Z362" s="47" t="n"/>
      <c r="AA362" s="47" t="n"/>
      <c r="AB362" s="47" t="n"/>
      <c r="AC362" s="47" t="n"/>
      <c r="AD362" s="47" t="n"/>
      <c r="AE362" s="47" t="n"/>
      <c r="AF362" s="47" t="n"/>
      <c r="AG362" s="47" t="n"/>
      <c r="AH362" s="47" t="n"/>
      <c r="AI362" s="47" t="n"/>
      <c r="AJ362" s="47" t="n"/>
      <c r="AK362" s="47" t="n"/>
      <c r="AL362" s="47" t="n"/>
      <c r="AM362" s="47" t="n"/>
      <c r="AN362" s="47" t="n"/>
      <c r="AO362" s="47" t="n"/>
      <c r="AP362" s="47" t="n"/>
      <c r="AQ362" s="47" t="n"/>
      <c r="AR362" s="47" t="n"/>
      <c r="AS362" s="47" t="n"/>
      <c r="AT362" s="47" t="n"/>
      <c r="AU362" s="47" t="n"/>
      <c r="AV362" s="47" t="n"/>
      <c r="AW362" s="47" t="n"/>
      <c r="AX362" s="47" t="n"/>
      <c r="AY362" s="47" t="n"/>
      <c r="AZ362" s="47" t="n"/>
      <c r="BA362" s="47" t="n"/>
      <c r="BB362" s="47" t="n"/>
      <c r="BC362" s="47" t="n"/>
      <c r="BD362" s="47" t="n"/>
      <c r="BE362" s="47" t="n"/>
      <c r="BF362" s="47" t="n"/>
      <c r="BG362" s="47" t="n"/>
      <c r="BH362" s="47" t="n"/>
      <c r="BI362" s="47" t="n"/>
      <c r="BJ362" s="47" t="n"/>
      <c r="BK362" s="47" t="n"/>
      <c r="BL362" s="47" t="n"/>
      <c r="BM362" s="47" t="n"/>
      <c r="BN362" s="47" t="n"/>
      <c r="BO362" s="47" t="n"/>
      <c r="BP362" s="47" t="n"/>
      <c r="BQ362" s="47" t="n"/>
      <c r="BR362" s="47" t="n"/>
      <c r="BS362" s="47" t="n"/>
      <c r="BT362" s="174" t="n">
        <v>40</v>
      </c>
      <c r="BU362" s="174" t="n">
        <v>27</v>
      </c>
      <c r="BV362" s="47" t="n"/>
      <c r="BW362" s="174" t="n">
        <v>17</v>
      </c>
      <c r="BX362" s="47" t="n"/>
      <c r="BY362" s="6" t="n"/>
      <c r="BZ362" s="6" t="n"/>
      <c r="CA362" s="37" t="n"/>
      <c r="CB362" s="37" t="n"/>
      <c r="CC362" s="37" t="n"/>
      <c r="CD362" s="37" t="n"/>
      <c r="CE362" s="37" t="n"/>
      <c r="CF362" s="20" t="n"/>
    </row>
    <row r="363" ht="15" customHeight="1">
      <c r="B363" s="76" t="inlineStr">
        <is>
          <t xml:space="preserve">  Receivables acquired</t>
        </is>
      </c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47" t="n"/>
      <c r="X363" s="47" t="n"/>
      <c r="Y363" s="47" t="n"/>
      <c r="Z363" s="47" t="n"/>
      <c r="AA363" s="47" t="n"/>
      <c r="AB363" s="47" t="n"/>
      <c r="AC363" s="47" t="n"/>
      <c r="AD363" s="47" t="n"/>
      <c r="AE363" s="47" t="n"/>
      <c r="AF363" s="47" t="n"/>
      <c r="AG363" s="47" t="n"/>
      <c r="AH363" s="47" t="n"/>
      <c r="AI363" s="47" t="n"/>
      <c r="AJ363" s="47" t="n"/>
      <c r="AK363" s="47" t="n"/>
      <c r="AL363" s="47" t="n"/>
      <c r="AM363" s="47" t="n"/>
      <c r="AN363" s="47" t="n"/>
      <c r="AO363" s="47" t="n"/>
      <c r="AP363" s="47" t="n"/>
      <c r="AQ363" s="47" t="n"/>
      <c r="AR363" s="47" t="n"/>
      <c r="AS363" s="47" t="n"/>
      <c r="AT363" s="47" t="n"/>
      <c r="AU363" s="47" t="n"/>
      <c r="AV363" s="47" t="n"/>
      <c r="AW363" s="47" t="n"/>
      <c r="AX363" s="47" t="n"/>
      <c r="AY363" s="47" t="n"/>
      <c r="AZ363" s="47" t="n"/>
      <c r="BA363" s="47" t="n"/>
      <c r="BB363" s="47" t="n"/>
      <c r="BC363" s="47" t="n"/>
      <c r="BD363" s="47" t="n"/>
      <c r="BE363" s="47" t="n"/>
      <c r="BF363" s="47" t="n"/>
      <c r="BG363" s="47" t="n"/>
      <c r="BH363" s="47" t="n"/>
      <c r="BI363" s="47" t="n"/>
      <c r="BJ363" s="47" t="n"/>
      <c r="BK363" s="47" t="n"/>
      <c r="BL363" s="47" t="n"/>
      <c r="BM363" s="47" t="n"/>
      <c r="BN363" s="47" t="n"/>
      <c r="BO363" s="47" t="n"/>
      <c r="BP363" s="47" t="n"/>
      <c r="BQ363" s="47" t="n"/>
      <c r="BR363" s="47" t="n"/>
      <c r="BS363" s="47" t="n"/>
      <c r="BT363" s="174" t="n">
        <v>86</v>
      </c>
      <c r="BU363" s="174" t="n">
        <v>48</v>
      </c>
      <c r="BV363" s="47" t="n"/>
      <c r="BW363" s="174" t="n">
        <v>58</v>
      </c>
      <c r="BX363" s="47" t="n"/>
      <c r="BY363" s="6" t="n"/>
      <c r="BZ363" s="6" t="n"/>
      <c r="CA363" s="37" t="n"/>
      <c r="CB363" s="37" t="n"/>
      <c r="CC363" s="37" t="n"/>
      <c r="CD363" s="37" t="n"/>
      <c r="CE363" s="37" t="n"/>
      <c r="CF363" s="20" t="n"/>
    </row>
    <row r="364" ht="15" customHeight="1">
      <c r="B364" s="76" t="inlineStr">
        <is>
          <t xml:space="preserve">  Inventories acquired (at fair value)</t>
        </is>
      </c>
      <c r="C364" s="47" t="n"/>
      <c r="D364" s="47" t="n"/>
      <c r="E364" s="47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  <c r="W364" s="47" t="n"/>
      <c r="X364" s="47" t="n"/>
      <c r="Y364" s="47" t="n"/>
      <c r="Z364" s="47" t="n"/>
      <c r="AA364" s="47" t="n"/>
      <c r="AB364" s="47" t="n"/>
      <c r="AC364" s="47" t="n"/>
      <c r="AD364" s="47" t="n"/>
      <c r="AE364" s="47" t="n"/>
      <c r="AF364" s="47" t="n"/>
      <c r="AG364" s="47" t="n"/>
      <c r="AH364" s="47" t="n"/>
      <c r="AI364" s="47" t="n"/>
      <c r="AJ364" s="47" t="n"/>
      <c r="AK364" s="47" t="n"/>
      <c r="AL364" s="47" t="n"/>
      <c r="AM364" s="47" t="n"/>
      <c r="AN364" s="47" t="n"/>
      <c r="AO364" s="47" t="n"/>
      <c r="AP364" s="47" t="n"/>
      <c r="AQ364" s="47" t="n"/>
      <c r="AR364" s="47" t="n"/>
      <c r="AS364" s="47" t="n"/>
      <c r="AT364" s="47" t="n"/>
      <c r="AU364" s="47" t="n"/>
      <c r="AV364" s="47" t="n"/>
      <c r="AW364" s="47" t="n"/>
      <c r="AX364" s="47" t="n"/>
      <c r="AY364" s="47" t="n"/>
      <c r="AZ364" s="47" t="n"/>
      <c r="BA364" s="47" t="n"/>
      <c r="BB364" s="47" t="n"/>
      <c r="BC364" s="47" t="n"/>
      <c r="BD364" s="47" t="n"/>
      <c r="BE364" s="47" t="n"/>
      <c r="BF364" s="47" t="n"/>
      <c r="BG364" s="47" t="n"/>
      <c r="BH364" s="47" t="n"/>
      <c r="BI364" s="47" t="n"/>
      <c r="BJ364" s="47" t="n"/>
      <c r="BK364" s="47" t="n"/>
      <c r="BL364" s="47" t="n"/>
      <c r="BM364" s="47" t="n"/>
      <c r="BN364" s="47" t="n"/>
      <c r="BO364" s="47" t="n"/>
      <c r="BP364" s="47" t="n"/>
      <c r="BQ364" s="47" t="n"/>
      <c r="BR364" s="47" t="n"/>
      <c r="BS364" s="47" t="n"/>
      <c r="BT364" s="174" t="n">
        <v>148</v>
      </c>
      <c r="BU364" s="174" t="n">
        <v>49</v>
      </c>
      <c r="BV364" s="47" t="n"/>
      <c r="BW364" s="174" t="n">
        <v>77</v>
      </c>
      <c r="BX364" s="47" t="n"/>
      <c r="BY364" s="6" t="n"/>
      <c r="BZ364" s="6" t="n"/>
      <c r="CA364" s="37" t="n"/>
      <c r="CB364" s="37" t="n"/>
      <c r="CC364" s="37" t="n"/>
      <c r="CD364" s="37" t="n"/>
      <c r="CE364" s="37" t="n"/>
      <c r="CF364" s="20" t="n"/>
    </row>
    <row r="365" ht="15" customHeight="1">
      <c r="B365" s="76" t="inlineStr">
        <is>
          <t xml:space="preserve">  Other current assets acquired</t>
        </is>
      </c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47" t="n"/>
      <c r="X365" s="47" t="n"/>
      <c r="Y365" s="47" t="n"/>
      <c r="Z365" s="47" t="n"/>
      <c r="AA365" s="47" t="n"/>
      <c r="AB365" s="47" t="n"/>
      <c r="AC365" s="47" t="n"/>
      <c r="AD365" s="47" t="n"/>
      <c r="AE365" s="47" t="n"/>
      <c r="AF365" s="47" t="n"/>
      <c r="AG365" s="47" t="n"/>
      <c r="AH365" s="47" t="n"/>
      <c r="AI365" s="47" t="n"/>
      <c r="AJ365" s="47" t="n"/>
      <c r="AK365" s="47" t="n"/>
      <c r="AL365" s="47" t="n"/>
      <c r="AM365" s="47" t="n"/>
      <c r="AN365" s="47" t="n"/>
      <c r="AO365" s="47" t="n"/>
      <c r="AP365" s="47" t="n"/>
      <c r="AQ365" s="47" t="n"/>
      <c r="AR365" s="47" t="n"/>
      <c r="AS365" s="47" t="n"/>
      <c r="AT365" s="47" t="n"/>
      <c r="AU365" s="47" t="n"/>
      <c r="AV365" s="47" t="n"/>
      <c r="AW365" s="47" t="n"/>
      <c r="AX365" s="47" t="n"/>
      <c r="AY365" s="47" t="n"/>
      <c r="AZ365" s="47" t="n"/>
      <c r="BA365" s="47" t="n"/>
      <c r="BB365" s="47" t="n"/>
      <c r="BC365" s="47" t="n"/>
      <c r="BD365" s="47" t="n"/>
      <c r="BE365" s="47" t="n"/>
      <c r="BF365" s="47" t="n"/>
      <c r="BG365" s="47" t="n"/>
      <c r="BH365" s="47" t="n"/>
      <c r="BI365" s="47" t="n"/>
      <c r="BJ365" s="47" t="n"/>
      <c r="BK365" s="47" t="n"/>
      <c r="BL365" s="47" t="n"/>
      <c r="BM365" s="47" t="n"/>
      <c r="BN365" s="47" t="n"/>
      <c r="BO365" s="47" t="n"/>
      <c r="BP365" s="47" t="n"/>
      <c r="BQ365" s="47" t="n"/>
      <c r="BR365" s="47" t="n"/>
      <c r="BS365" s="47" t="n"/>
      <c r="BT365" s="174" t="n">
        <v>7</v>
      </c>
      <c r="BU365" s="174" t="n">
        <v>6</v>
      </c>
      <c r="BV365" s="47" t="n"/>
      <c r="BW365" s="174" t="n">
        <v>36</v>
      </c>
      <c r="BX365" s="47" t="n"/>
      <c r="BY365" s="6" t="n"/>
      <c r="BZ365" s="6" t="n"/>
      <c r="CA365" s="37" t="n"/>
      <c r="CB365" s="37" t="n"/>
      <c r="CC365" s="37" t="n"/>
      <c r="CD365" s="37" t="n"/>
      <c r="CE365" s="37" t="n"/>
      <c r="CF365" s="20" t="n"/>
    </row>
    <row r="366" ht="15" customHeight="1">
      <c r="B366" s="76" t="inlineStr">
        <is>
          <t xml:space="preserve">  Property, plant &amp; equipment</t>
        </is>
      </c>
      <c r="C366" s="47" t="n"/>
      <c r="D366" s="47" t="n"/>
      <c r="E366" s="47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  <c r="W366" s="47" t="n"/>
      <c r="X366" s="47" t="n"/>
      <c r="Y366" s="47" t="n"/>
      <c r="Z366" s="47" t="n"/>
      <c r="AA366" s="47" t="n"/>
      <c r="AB366" s="47" t="n"/>
      <c r="AC366" s="47" t="n"/>
      <c r="AD366" s="47" t="n"/>
      <c r="AE366" s="47" t="n"/>
      <c r="AF366" s="47" t="n"/>
      <c r="AG366" s="47" t="n"/>
      <c r="AH366" s="47" t="n"/>
      <c r="AI366" s="47" t="n"/>
      <c r="AJ366" s="47" t="n"/>
      <c r="AK366" s="47" t="n"/>
      <c r="AL366" s="47" t="n"/>
      <c r="AM366" s="47" t="n"/>
      <c r="AN366" s="47" t="n"/>
      <c r="AO366" s="47" t="n"/>
      <c r="AP366" s="47" t="n"/>
      <c r="AQ366" s="47" t="n"/>
      <c r="AR366" s="47" t="n"/>
      <c r="AS366" s="47" t="n"/>
      <c r="AT366" s="47" t="n"/>
      <c r="AU366" s="47" t="n"/>
      <c r="AV366" s="47" t="n"/>
      <c r="AW366" s="47" t="n"/>
      <c r="AX366" s="47" t="n"/>
      <c r="AY366" s="47" t="n"/>
      <c r="AZ366" s="47" t="n"/>
      <c r="BA366" s="47" t="n"/>
      <c r="BB366" s="47" t="n"/>
      <c r="BC366" s="47" t="n"/>
      <c r="BD366" s="47" t="n"/>
      <c r="BE366" s="47" t="n"/>
      <c r="BF366" s="47" t="n"/>
      <c r="BG366" s="47" t="n"/>
      <c r="BH366" s="47" t="n"/>
      <c r="BI366" s="47" t="n"/>
      <c r="BJ366" s="47" t="n"/>
      <c r="BK366" s="47" t="n"/>
      <c r="BL366" s="47" t="n"/>
      <c r="BM366" s="47" t="n"/>
      <c r="BN366" s="47" t="n"/>
      <c r="BO366" s="47" t="n"/>
      <c r="BP366" s="47" t="n"/>
      <c r="BQ366" s="47" t="n"/>
      <c r="BR366" s="47" t="n"/>
      <c r="BS366" s="47" t="n"/>
      <c r="BT366" s="174" t="n">
        <v>59</v>
      </c>
      <c r="BU366" s="174" t="n">
        <v>14</v>
      </c>
      <c r="BV366" s="47" t="n"/>
      <c r="BW366" s="174" t="n">
        <v>53</v>
      </c>
      <c r="BX366" s="47" t="n"/>
      <c r="BY366" s="6" t="n"/>
      <c r="BZ366" s="6" t="n"/>
      <c r="CA366" s="37" t="n"/>
      <c r="CB366" s="37" t="n"/>
      <c r="CC366" s="37" t="n"/>
      <c r="CD366" s="37" t="n"/>
      <c r="CE366" s="37" t="n"/>
      <c r="CF366" s="20" t="n"/>
    </row>
    <row r="367" ht="15" customHeight="1">
      <c r="B367" s="76" t="inlineStr">
        <is>
          <t xml:space="preserve">  Intangible assets (customer relationships, technology, trade names, backlog)</t>
        </is>
      </c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47" t="n"/>
      <c r="X367" s="47" t="n"/>
      <c r="Y367" s="47" t="n"/>
      <c r="Z367" s="47" t="n"/>
      <c r="AA367" s="47" t="n"/>
      <c r="AB367" s="47" t="n"/>
      <c r="AC367" s="47" t="n"/>
      <c r="AD367" s="47" t="n"/>
      <c r="AE367" s="47" t="n"/>
      <c r="AF367" s="47" t="n"/>
      <c r="AG367" s="47" t="n"/>
      <c r="AH367" s="47" t="n"/>
      <c r="AI367" s="47" t="n"/>
      <c r="AJ367" s="47" t="n"/>
      <c r="AK367" s="47" t="n"/>
      <c r="AL367" s="47" t="n"/>
      <c r="AM367" s="47" t="n"/>
      <c r="AN367" s="47" t="n"/>
      <c r="AO367" s="47" t="n"/>
      <c r="AP367" s="47" t="n"/>
      <c r="AQ367" s="47" t="n"/>
      <c r="AR367" s="47" t="n"/>
      <c r="AS367" s="47" t="n"/>
      <c r="AT367" s="47" t="n"/>
      <c r="AU367" s="47" t="n"/>
      <c r="AV367" s="47" t="n"/>
      <c r="AW367" s="47" t="n"/>
      <c r="AX367" s="47" t="n"/>
      <c r="AY367" s="47" t="n"/>
      <c r="AZ367" s="47" t="n"/>
      <c r="BA367" s="47" t="n"/>
      <c r="BB367" s="47" t="n"/>
      <c r="BC367" s="47" t="n"/>
      <c r="BD367" s="47" t="n"/>
      <c r="BE367" s="47" t="n"/>
      <c r="BF367" s="47" t="n"/>
      <c r="BG367" s="47" t="n"/>
      <c r="BH367" s="47" t="n"/>
      <c r="BI367" s="47" t="n"/>
      <c r="BJ367" s="47" t="n"/>
      <c r="BK367" s="47" t="n"/>
      <c r="BL367" s="47" t="n"/>
      <c r="BM367" s="47" t="n"/>
      <c r="BN367" s="47" t="n"/>
      <c r="BO367" s="47" t="n"/>
      <c r="BP367" s="47" t="n"/>
      <c r="BQ367" s="47" t="n"/>
      <c r="BR367" s="47" t="n"/>
      <c r="BS367" s="47" t="n"/>
      <c r="BT367" s="174" t="n">
        <v>723</v>
      </c>
      <c r="BU367" s="174" t="n">
        <v>405</v>
      </c>
      <c r="BV367" s="47" t="n"/>
      <c r="BW367" s="174" t="n">
        <v>531</v>
      </c>
      <c r="BX367" s="47" t="n"/>
      <c r="BY367" s="6" t="n"/>
      <c r="BZ367" s="6" t="n"/>
      <c r="CA367" s="37" t="n"/>
      <c r="CB367" s="37" t="n"/>
      <c r="CC367" s="37" t="n"/>
      <c r="CD367" s="37" t="n"/>
      <c r="CE367" s="37" t="n"/>
      <c r="CF367" s="20" t="n"/>
    </row>
    <row r="368" ht="15" customHeight="1">
      <c r="B368" s="76" t="inlineStr">
        <is>
          <t xml:space="preserve">  Goodwill</t>
        </is>
      </c>
      <c r="C368" s="47" t="n"/>
      <c r="D368" s="47" t="n"/>
      <c r="E368" s="47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  <c r="W368" s="47" t="n"/>
      <c r="X368" s="47" t="n"/>
      <c r="Y368" s="47" t="n"/>
      <c r="Z368" s="47" t="n"/>
      <c r="AA368" s="47" t="n"/>
      <c r="AB368" s="47" t="n"/>
      <c r="AC368" s="47" t="n"/>
      <c r="AD368" s="47" t="n"/>
      <c r="AE368" s="47" t="n"/>
      <c r="AF368" s="47" t="n"/>
      <c r="AG368" s="47" t="n"/>
      <c r="AH368" s="47" t="n"/>
      <c r="AI368" s="47" t="n"/>
      <c r="AJ368" s="47" t="n"/>
      <c r="AK368" s="47" t="n"/>
      <c r="AL368" s="47" t="n"/>
      <c r="AM368" s="47" t="n"/>
      <c r="AN368" s="47" t="n"/>
      <c r="AO368" s="47" t="n"/>
      <c r="AP368" s="47" t="n"/>
      <c r="AQ368" s="47" t="n"/>
      <c r="AR368" s="47" t="n"/>
      <c r="AS368" s="47" t="n"/>
      <c r="AT368" s="47" t="n"/>
      <c r="AU368" s="47" t="n"/>
      <c r="AV368" s="47" t="n"/>
      <c r="AW368" s="47" t="n"/>
      <c r="AX368" s="47" t="n"/>
      <c r="AY368" s="47" t="n"/>
      <c r="AZ368" s="47" t="n"/>
      <c r="BA368" s="47" t="n"/>
      <c r="BB368" s="47" t="n"/>
      <c r="BC368" s="47" t="n"/>
      <c r="BD368" s="47" t="n"/>
      <c r="BE368" s="47" t="n"/>
      <c r="BF368" s="47" t="n"/>
      <c r="BG368" s="47" t="n"/>
      <c r="BH368" s="47" t="n"/>
      <c r="BI368" s="47" t="n"/>
      <c r="BJ368" s="47" t="n"/>
      <c r="BK368" s="47" t="n"/>
      <c r="BL368" s="47" t="n"/>
      <c r="BM368" s="47" t="n"/>
      <c r="BN368" s="47" t="n"/>
      <c r="BO368" s="47" t="n"/>
      <c r="BP368" s="47" t="n"/>
      <c r="BQ368" s="47" t="n"/>
      <c r="BR368" s="47" t="n"/>
      <c r="BS368" s="47" t="n"/>
      <c r="BT368" s="174" t="n">
        <v>940</v>
      </c>
      <c r="BU368" s="174" t="n">
        <v>372</v>
      </c>
      <c r="BV368" s="47" t="n"/>
      <c r="BW368" s="174" t="n">
        <v>475</v>
      </c>
      <c r="BX368" s="47" t="n"/>
      <c r="BY368" s="6" t="n"/>
      <c r="BZ368" s="6" t="n"/>
      <c r="CA368" s="37" t="n"/>
      <c r="CB368" s="37" t="n"/>
      <c r="CC368" s="37" t="n"/>
      <c r="CD368" s="37" t="n"/>
      <c r="CE368" s="37" t="n"/>
      <c r="CF368" s="20" t="n"/>
    </row>
    <row r="369" ht="15" customHeight="1">
      <c r="B369" s="76" t="inlineStr">
        <is>
          <t xml:space="preserve">  Other noncurrent assets (incl. ROU)</t>
        </is>
      </c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47" t="n"/>
      <c r="X369" s="47" t="n"/>
      <c r="Y369" s="47" t="n"/>
      <c r="Z369" s="47" t="n"/>
      <c r="AA369" s="47" t="n"/>
      <c r="AB369" s="47" t="n"/>
      <c r="AC369" s="47" t="n"/>
      <c r="AD369" s="47" t="n"/>
      <c r="AE369" s="47" t="n"/>
      <c r="AF369" s="47" t="n"/>
      <c r="AG369" s="47" t="n"/>
      <c r="AH369" s="47" t="n"/>
      <c r="AI369" s="47" t="n"/>
      <c r="AJ369" s="47" t="n"/>
      <c r="AK369" s="47" t="n"/>
      <c r="AL369" s="47" t="n"/>
      <c r="AM369" s="47" t="n"/>
      <c r="AN369" s="47" t="n"/>
      <c r="AO369" s="47" t="n"/>
      <c r="AP369" s="47" t="n"/>
      <c r="AQ369" s="47" t="n"/>
      <c r="AR369" s="47" t="n"/>
      <c r="AS369" s="47" t="n"/>
      <c r="AT369" s="47" t="n"/>
      <c r="AU369" s="47" t="n"/>
      <c r="AV369" s="47" t="n"/>
      <c r="AW369" s="47" t="n"/>
      <c r="AX369" s="47" t="n"/>
      <c r="AY369" s="47" t="n"/>
      <c r="AZ369" s="47" t="n"/>
      <c r="BA369" s="47" t="n"/>
      <c r="BB369" s="47" t="n"/>
      <c r="BC369" s="47" t="n"/>
      <c r="BD369" s="47" t="n"/>
      <c r="BE369" s="47" t="n"/>
      <c r="BF369" s="47" t="n"/>
      <c r="BG369" s="47" t="n"/>
      <c r="BH369" s="47" t="n"/>
      <c r="BI369" s="47" t="n"/>
      <c r="BJ369" s="47" t="n"/>
      <c r="BK369" s="47" t="n"/>
      <c r="BL369" s="47" t="n"/>
      <c r="BM369" s="47" t="n"/>
      <c r="BN369" s="47" t="n"/>
      <c r="BO369" s="47" t="n"/>
      <c r="BP369" s="47" t="n"/>
      <c r="BQ369" s="47" t="n"/>
      <c r="BR369" s="47" t="n"/>
      <c r="BS369" s="47" t="n"/>
      <c r="BT369" s="174" t="n">
        <v>46</v>
      </c>
      <c r="BU369" s="174" t="n">
        <v>24</v>
      </c>
      <c r="BV369" s="47" t="n"/>
      <c r="BW369" s="174" t="n">
        <v>9</v>
      </c>
      <c r="BX369" s="47" t="n"/>
      <c r="BY369" s="6" t="n"/>
      <c r="BZ369" s="6" t="n"/>
      <c r="CA369" s="37" t="n"/>
      <c r="CB369" s="37" t="n"/>
      <c r="CC369" s="37" t="n"/>
      <c r="CD369" s="37" t="n"/>
      <c r="CE369" s="37" t="n"/>
      <c r="CF369" s="20" t="n"/>
    </row>
    <row r="370" ht="15" customHeight="1">
      <c r="B370" s="76" t="inlineStr">
        <is>
          <t xml:space="preserve">  Current liabilities assumed</t>
        </is>
      </c>
      <c r="C370" s="47" t="n"/>
      <c r="D370" s="47" t="n"/>
      <c r="E370" s="47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  <c r="W370" s="47" t="n"/>
      <c r="X370" s="47" t="n"/>
      <c r="Y370" s="47" t="n"/>
      <c r="Z370" s="47" t="n"/>
      <c r="AA370" s="47" t="n"/>
      <c r="AB370" s="47" t="n"/>
      <c r="AC370" s="47" t="n"/>
      <c r="AD370" s="47" t="n"/>
      <c r="AE370" s="47" t="n"/>
      <c r="AF370" s="47" t="n"/>
      <c r="AG370" s="47" t="n"/>
      <c r="AH370" s="47" t="n"/>
      <c r="AI370" s="47" t="n"/>
      <c r="AJ370" s="47" t="n"/>
      <c r="AK370" s="47" t="n"/>
      <c r="AL370" s="47" t="n"/>
      <c r="AM370" s="47" t="n"/>
      <c r="AN370" s="47" t="n"/>
      <c r="AO370" s="47" t="n"/>
      <c r="AP370" s="47" t="n"/>
      <c r="AQ370" s="47" t="n"/>
      <c r="AR370" s="47" t="n"/>
      <c r="AS370" s="47" t="n"/>
      <c r="AT370" s="47" t="n"/>
      <c r="AU370" s="47" t="n"/>
      <c r="AV370" s="47" t="n"/>
      <c r="AW370" s="47" t="n"/>
      <c r="AX370" s="47" t="n"/>
      <c r="AY370" s="47" t="n"/>
      <c r="AZ370" s="47" t="n"/>
      <c r="BA370" s="47" t="n"/>
      <c r="BB370" s="47" t="n"/>
      <c r="BC370" s="47" t="n"/>
      <c r="BD370" s="47" t="n"/>
      <c r="BE370" s="47" t="n"/>
      <c r="BF370" s="47" t="n"/>
      <c r="BG370" s="47" t="n"/>
      <c r="BH370" s="47" t="n"/>
      <c r="BI370" s="47" t="n"/>
      <c r="BJ370" s="47" t="n"/>
      <c r="BK370" s="47" t="n"/>
      <c r="BL370" s="47" t="n"/>
      <c r="BM370" s="47" t="n"/>
      <c r="BN370" s="47" t="n"/>
      <c r="BO370" s="47" t="n"/>
      <c r="BP370" s="47" t="n"/>
      <c r="BQ370" s="47" t="n"/>
      <c r="BR370" s="47" t="n"/>
      <c r="BS370" s="47" t="n"/>
      <c r="BT370" s="174" t="n">
        <v>81</v>
      </c>
      <c r="BU370" s="174" t="n">
        <v>35</v>
      </c>
      <c r="BV370" s="47" t="n"/>
      <c r="BW370" s="174" t="n">
        <v>76</v>
      </c>
      <c r="BX370" s="47" t="n"/>
      <c r="BY370" s="6" t="n"/>
      <c r="BZ370" s="6" t="n"/>
      <c r="CA370" s="37" t="n"/>
      <c r="CB370" s="37" t="n"/>
      <c r="CC370" s="37" t="n"/>
      <c r="CD370" s="37" t="n"/>
      <c r="CE370" s="37" t="n"/>
      <c r="CF370" s="20" t="n"/>
    </row>
    <row r="371" ht="15" customHeight="1">
      <c r="B371" s="76" t="inlineStr">
        <is>
          <t xml:space="preserve">  Noncurrent liabilities assumed (incl. leases, pensions)</t>
        </is>
      </c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47" t="n"/>
      <c r="X371" s="47" t="n"/>
      <c r="Y371" s="47" t="n"/>
      <c r="Z371" s="47" t="n"/>
      <c r="AA371" s="47" t="n"/>
      <c r="AB371" s="47" t="n"/>
      <c r="AC371" s="47" t="n"/>
      <c r="AD371" s="47" t="n"/>
      <c r="AE371" s="47" t="n"/>
      <c r="AF371" s="47" t="n"/>
      <c r="AG371" s="47" t="n"/>
      <c r="AH371" s="47" t="n"/>
      <c r="AI371" s="47" t="n"/>
      <c r="AJ371" s="47" t="n"/>
      <c r="AK371" s="47" t="n"/>
      <c r="AL371" s="47" t="n"/>
      <c r="AM371" s="47" t="n"/>
      <c r="AN371" s="47" t="n"/>
      <c r="AO371" s="47" t="n"/>
      <c r="AP371" s="47" t="n"/>
      <c r="AQ371" s="47" t="n"/>
      <c r="AR371" s="47" t="n"/>
      <c r="AS371" s="47" t="n"/>
      <c r="AT371" s="47" t="n"/>
      <c r="AU371" s="47" t="n"/>
      <c r="AV371" s="47" t="n"/>
      <c r="AW371" s="47" t="n"/>
      <c r="AX371" s="47" t="n"/>
      <c r="AY371" s="47" t="n"/>
      <c r="AZ371" s="47" t="n"/>
      <c r="BA371" s="47" t="n"/>
      <c r="BB371" s="47" t="n"/>
      <c r="BC371" s="47" t="n"/>
      <c r="BD371" s="47" t="n"/>
      <c r="BE371" s="47" t="n"/>
      <c r="BF371" s="47" t="n"/>
      <c r="BG371" s="47" t="n"/>
      <c r="BH371" s="47" t="n"/>
      <c r="BI371" s="47" t="n"/>
      <c r="BJ371" s="47" t="n"/>
      <c r="BK371" s="47" t="n"/>
      <c r="BL371" s="47" t="n"/>
      <c r="BM371" s="47" t="n"/>
      <c r="BN371" s="47" t="n"/>
      <c r="BO371" s="47" t="n"/>
      <c r="BP371" s="47" t="n"/>
      <c r="BQ371" s="47" t="n"/>
      <c r="BR371" s="47" t="n"/>
      <c r="BS371" s="47" t="n"/>
      <c r="BT371" s="174" t="n">
        <v>171</v>
      </c>
      <c r="BU371" s="174" t="n">
        <v>118</v>
      </c>
      <c r="BV371" s="47" t="n"/>
      <c r="BW371" s="174" t="n">
        <v>127</v>
      </c>
      <c r="BX371" s="47" t="n"/>
      <c r="BY371" s="6" t="n"/>
      <c r="BZ371" s="6" t="n"/>
      <c r="CA371" s="37" t="n"/>
      <c r="CB371" s="37" t="n"/>
      <c r="CC371" s="37" t="n"/>
      <c r="CD371" s="37" t="n"/>
      <c r="CE371" s="37" t="n"/>
      <c r="CF371" s="20" t="n"/>
    </row>
    <row r="372" ht="15" customHeight="1">
      <c r="B372" s="76" t="inlineStr">
        <is>
          <t xml:space="preserve">  Deferred income taxes, net</t>
        </is>
      </c>
      <c r="C372" s="47" t="n"/>
      <c r="D372" s="47" t="n"/>
      <c r="E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  <c r="W372" s="47" t="n"/>
      <c r="X372" s="47" t="n"/>
      <c r="Y372" s="47" t="n"/>
      <c r="Z372" s="47" t="n"/>
      <c r="AA372" s="47" t="n"/>
      <c r="AB372" s="47" t="n"/>
      <c r="AC372" s="47" t="n"/>
      <c r="AD372" s="47" t="n"/>
      <c r="AE372" s="47" t="n"/>
      <c r="AF372" s="47" t="n"/>
      <c r="AG372" s="47" t="n"/>
      <c r="AH372" s="47" t="n"/>
      <c r="AI372" s="47" t="n"/>
      <c r="AJ372" s="47" t="n"/>
      <c r="AK372" s="47" t="n"/>
      <c r="AL372" s="47" t="n"/>
      <c r="AM372" s="47" t="n"/>
      <c r="AN372" s="47" t="n"/>
      <c r="AO372" s="47" t="n"/>
      <c r="AP372" s="47" t="n"/>
      <c r="AQ372" s="47" t="n"/>
      <c r="AR372" s="47" t="n"/>
      <c r="AS372" s="47" t="n"/>
      <c r="AT372" s="47" t="n"/>
      <c r="AU372" s="47" t="n"/>
      <c r="AV372" s="47" t="n"/>
      <c r="AW372" s="47" t="n"/>
      <c r="AX372" s="47" t="n"/>
      <c r="AY372" s="47" t="n"/>
      <c r="AZ372" s="47" t="n"/>
      <c r="BA372" s="47" t="n"/>
      <c r="BB372" s="47" t="n"/>
      <c r="BC372" s="47" t="n"/>
      <c r="BD372" s="47" t="n"/>
      <c r="BE372" s="47" t="n"/>
      <c r="BF372" s="47" t="n"/>
      <c r="BG372" s="47" t="n"/>
      <c r="BH372" s="47" t="n"/>
      <c r="BI372" s="47" t="n"/>
      <c r="BJ372" s="47" t="n"/>
      <c r="BK372" s="47" t="n"/>
      <c r="BL372" s="47" t="n"/>
      <c r="BM372" s="47" t="n"/>
      <c r="BN372" s="47" t="n"/>
      <c r="BO372" s="47" t="n"/>
      <c r="BP372" s="47" t="n"/>
      <c r="BQ372" s="47" t="n"/>
      <c r="BR372" s="47" t="n"/>
      <c r="BS372" s="47" t="n"/>
      <c r="BT372" s="47" t="n"/>
      <c r="BU372" s="47" t="n"/>
      <c r="BV372" s="47" t="n"/>
      <c r="BW372" s="47" t="n"/>
      <c r="BX372" s="47" t="n"/>
      <c r="BY372" s="6" t="n"/>
      <c r="BZ372" s="6" t="n"/>
      <c r="CA372" s="37" t="n"/>
      <c r="CB372" s="37" t="n"/>
      <c r="CC372" s="37" t="n"/>
      <c r="CD372" s="37" t="n"/>
      <c r="CE372" s="37" t="n"/>
      <c r="CF372" s="20" t="n"/>
    </row>
    <row r="373" ht="15" customHeight="1">
      <c r="B373" s="76" t="inlineStr">
        <is>
          <t xml:space="preserve">  Noncontrolling interest</t>
        </is>
      </c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47" t="n"/>
      <c r="X373" s="47" t="n"/>
      <c r="Y373" s="47" t="n"/>
      <c r="Z373" s="47" t="n"/>
      <c r="AA373" s="47" t="n"/>
      <c r="AB373" s="47" t="n"/>
      <c r="AC373" s="47" t="n"/>
      <c r="AD373" s="47" t="n"/>
      <c r="AE373" s="47" t="n"/>
      <c r="AF373" s="47" t="n"/>
      <c r="AG373" s="47" t="n"/>
      <c r="AH373" s="47" t="n"/>
      <c r="AI373" s="47" t="n"/>
      <c r="AJ373" s="47" t="n"/>
      <c r="AK373" s="47" t="n"/>
      <c r="AL373" s="47" t="n"/>
      <c r="AM373" s="47" t="n"/>
      <c r="AN373" s="47" t="n"/>
      <c r="AO373" s="47" t="n"/>
      <c r="AP373" s="47" t="n"/>
      <c r="AQ373" s="47" t="n"/>
      <c r="AR373" s="47" t="n"/>
      <c r="AS373" s="47" t="n"/>
      <c r="AT373" s="47" t="n"/>
      <c r="AU373" s="47" t="n"/>
      <c r="AV373" s="47" t="n"/>
      <c r="AW373" s="47" t="n"/>
      <c r="AX373" s="47" t="n"/>
      <c r="AY373" s="47" t="n"/>
      <c r="AZ373" s="47" t="n"/>
      <c r="BA373" s="47" t="n"/>
      <c r="BB373" s="47" t="n"/>
      <c r="BC373" s="47" t="n"/>
      <c r="BD373" s="47" t="n"/>
      <c r="BE373" s="47" t="n"/>
      <c r="BF373" s="47" t="n"/>
      <c r="BG373" s="47" t="n"/>
      <c r="BH373" s="47" t="n"/>
      <c r="BI373" s="47" t="n"/>
      <c r="BJ373" s="47" t="n"/>
      <c r="BK373" s="47" t="n"/>
      <c r="BL373" s="47" t="n"/>
      <c r="BM373" s="47" t="n"/>
      <c r="BN373" s="47" t="n"/>
      <c r="BO373" s="47" t="n"/>
      <c r="BP373" s="47" t="n"/>
      <c r="BQ373" s="47" t="n"/>
      <c r="BR373" s="47" t="n"/>
      <c r="BS373" s="47" t="n"/>
      <c r="BT373" s="47" t="n"/>
      <c r="BU373" s="47" t="n"/>
      <c r="BV373" s="47" t="n"/>
      <c r="BW373" s="47" t="n"/>
      <c r="BX373" s="47" t="n"/>
      <c r="BY373" s="6" t="n"/>
      <c r="BZ373" s="6" t="n"/>
      <c r="CA373" s="37" t="n"/>
      <c r="CB373" s="37" t="n"/>
      <c r="CC373" s="37" t="n"/>
      <c r="CD373" s="37" t="n"/>
      <c r="CE373" s="37" t="n"/>
      <c r="CF373" s="20" t="n"/>
    </row>
    <row r="374" ht="15" customHeight="1">
      <c r="B374" s="61" t="inlineStr">
        <is>
          <t xml:space="preserve">  Check: assets acquired − liabilities assumed − consideration (should be 0)</t>
        </is>
      </c>
      <c r="C374" s="189">
        <f>IF(ISNUMBER(C361),ROUND(N(C362)+N(C363)+N(C364)+N(C365)+N(C366)+N(C367)+N(C368)+N(C369)-N(C370)-N(C371)-N(C372)-N(C373)-C361,0),"")</f>
        <v/>
      </c>
      <c r="D374" s="189">
        <f>IF(ISNUMBER(D361),ROUND(N(D362)+N(D363)+N(D364)+N(D365)+N(D366)+N(D367)+N(D368)+N(D369)-N(D370)-N(D371)-N(D372)-N(D373)-D361,0),"")</f>
        <v/>
      </c>
      <c r="E374" s="189">
        <f>IF(ISNUMBER(E361),ROUND(N(E362)+N(E363)+N(E364)+N(E365)+N(E366)+N(E367)+N(E368)+N(E369)-N(E370)-N(E371)-N(E372)-N(E373)-E361,0),"")</f>
        <v/>
      </c>
      <c r="F374" s="189">
        <f>IF(ISNUMBER(F361),ROUND(N(F362)+N(F363)+N(F364)+N(F365)+N(F366)+N(F367)+N(F368)+N(F369)-N(F370)-N(F371)-N(F372)-N(F373)-F361,0),"")</f>
        <v/>
      </c>
      <c r="G374" s="189">
        <f>IF(ISNUMBER(G361),ROUND(N(G362)+N(G363)+N(G364)+N(G365)+N(G366)+N(G367)+N(G368)+N(G369)-N(G370)-N(G371)-N(G372)-N(G373)-G361,0),"")</f>
        <v/>
      </c>
      <c r="H374" s="189">
        <f>IF(ISNUMBER(H361),ROUND(N(H362)+N(H363)+N(H364)+N(H365)+N(H366)+N(H367)+N(H368)+N(H369)-N(H370)-N(H371)-N(H372)-N(H373)-H361,0),"")</f>
        <v/>
      </c>
      <c r="I374" s="189">
        <f>IF(ISNUMBER(I361),ROUND(N(I362)+N(I363)+N(I364)+N(I365)+N(I366)+N(I367)+N(I368)+N(I369)-N(I370)-N(I371)-N(I372)-N(I373)-I361,0),"")</f>
        <v/>
      </c>
      <c r="J374" s="189">
        <f>IF(ISNUMBER(J361),ROUND(N(J362)+N(J363)+N(J364)+N(J365)+N(J366)+N(J367)+N(J368)+N(J369)-N(J370)-N(J371)-N(J372)-N(J373)-J361,0),"")</f>
        <v/>
      </c>
      <c r="K374" s="189">
        <f>IF(ISNUMBER(K361),ROUND(N(K362)+N(K363)+N(K364)+N(K365)+N(K366)+N(K367)+N(K368)+N(K369)-N(K370)-N(K371)-N(K372)-N(K373)-K361,0),"")</f>
        <v/>
      </c>
      <c r="L374" s="189">
        <f>IF(ISNUMBER(L361),ROUND(N(L362)+N(L363)+N(L364)+N(L365)+N(L366)+N(L367)+N(L368)+N(L369)-N(L370)-N(L371)-N(L372)-N(L373)-L361,0),"")</f>
        <v/>
      </c>
      <c r="M374" s="189">
        <f>IF(ISNUMBER(M361),ROUND(N(M362)+N(M363)+N(M364)+N(M365)+N(M366)+N(M367)+N(M368)+N(M369)-N(M370)-N(M371)-N(M372)-N(M373)-M361,0),"")</f>
        <v/>
      </c>
      <c r="N374" s="189">
        <f>IF(ISNUMBER(N361),ROUND(N(N362)+N(N363)+N(N364)+N(N365)+N(N366)+N(N367)+N(N368)+N(N369)-N(N370)-N(N371)-N(N372)-N(N373)-N361,0),"")</f>
        <v/>
      </c>
      <c r="O374" s="189">
        <f>IF(ISNUMBER(O361),ROUND(N(O362)+N(O363)+N(O364)+N(O365)+N(O366)+N(O367)+N(O368)+N(O369)-N(O370)-N(O371)-N(O372)-N(O373)-O361,0),"")</f>
        <v/>
      </c>
      <c r="P374" s="189">
        <f>IF(ISNUMBER(P361),ROUND(N(P362)+N(P363)+N(P364)+N(P365)+N(P366)+N(P367)+N(P368)+N(P369)-N(P370)-N(P371)-N(P372)-N(P373)-P361,0),"")</f>
        <v/>
      </c>
      <c r="Q374" s="189">
        <f>IF(ISNUMBER(Q361),ROUND(N(Q362)+N(Q363)+N(Q364)+N(Q365)+N(Q366)+N(Q367)+N(Q368)+N(Q369)-N(Q370)-N(Q371)-N(Q372)-N(Q373)-Q361,0),"")</f>
        <v/>
      </c>
      <c r="R374" s="189">
        <f>IF(ISNUMBER(R361),ROUND(N(R362)+N(R363)+N(R364)+N(R365)+N(R366)+N(R367)+N(R368)+N(R369)-N(R370)-N(R371)-N(R372)-N(R373)-R361,0),"")</f>
        <v/>
      </c>
      <c r="S374" s="189">
        <f>IF(ISNUMBER(S361),ROUND(N(S362)+N(S363)+N(S364)+N(S365)+N(S366)+N(S367)+N(S368)+N(S369)-N(S370)-N(S371)-N(S372)-N(S373)-S361,0),"")</f>
        <v/>
      </c>
      <c r="T374" s="189">
        <f>IF(ISNUMBER(T361),ROUND(N(T362)+N(T363)+N(T364)+N(T365)+N(T366)+N(T367)+N(T368)+N(T369)-N(T370)-N(T371)-N(T372)-N(T373)-T361,0),"")</f>
        <v/>
      </c>
      <c r="U374" s="189">
        <f>IF(ISNUMBER(U361),ROUND(N(U362)+N(U363)+N(U364)+N(U365)+N(U366)+N(U367)+N(U368)+N(U369)-N(U370)-N(U371)-N(U372)-N(U373)-U361,0),"")</f>
        <v/>
      </c>
      <c r="V374" s="189">
        <f>IF(ISNUMBER(V361),ROUND(N(V362)+N(V363)+N(V364)+N(V365)+N(V366)+N(V367)+N(V368)+N(V369)-N(V370)-N(V371)-N(V372)-N(V373)-V361,0),"")</f>
        <v/>
      </c>
      <c r="W374" s="189">
        <f>IF(ISNUMBER(W361),ROUND(N(W362)+N(W363)+N(W364)+N(W365)+N(W366)+N(W367)+N(W368)+N(W369)-N(W370)-N(W371)-N(W372)-N(W373)-W361,0),"")</f>
        <v/>
      </c>
      <c r="X374" s="189">
        <f>IF(ISNUMBER(X361),ROUND(N(X362)+N(X363)+N(X364)+N(X365)+N(X366)+N(X367)+N(X368)+N(X369)-N(X370)-N(X371)-N(X372)-N(X373)-X361,0),"")</f>
        <v/>
      </c>
      <c r="Y374" s="189">
        <f>IF(ISNUMBER(Y361),ROUND(N(Y362)+N(Y363)+N(Y364)+N(Y365)+N(Y366)+N(Y367)+N(Y368)+N(Y369)-N(Y370)-N(Y371)-N(Y372)-N(Y373)-Y361,0),"")</f>
        <v/>
      </c>
      <c r="Z374" s="189">
        <f>IF(ISNUMBER(Z361),ROUND(N(Z362)+N(Z363)+N(Z364)+N(Z365)+N(Z366)+N(Z367)+N(Z368)+N(Z369)-N(Z370)-N(Z371)-N(Z372)-N(Z373)-Z361,0),"")</f>
        <v/>
      </c>
      <c r="AA374" s="189">
        <f>IF(ISNUMBER(AA361),ROUND(N(AA362)+N(AA363)+N(AA364)+N(AA365)+N(AA366)+N(AA367)+N(AA368)+N(AA369)-N(AA370)-N(AA371)-N(AA372)-N(AA373)-AA361,0),"")</f>
        <v/>
      </c>
      <c r="AB374" s="189">
        <f>IF(ISNUMBER(AB361),ROUND(N(AB362)+N(AB363)+N(AB364)+N(AB365)+N(AB366)+N(AB367)+N(AB368)+N(AB369)-N(AB370)-N(AB371)-N(AB372)-N(AB373)-AB361,0),"")</f>
        <v/>
      </c>
      <c r="AC374" s="189">
        <f>IF(ISNUMBER(AC361),ROUND(N(AC362)+N(AC363)+N(AC364)+N(AC365)+N(AC366)+N(AC367)+N(AC368)+N(AC369)-N(AC370)-N(AC371)-N(AC372)-N(AC373)-AC361,0),"")</f>
        <v/>
      </c>
      <c r="AD374" s="189">
        <f>IF(ISNUMBER(AD361),ROUND(N(AD362)+N(AD363)+N(AD364)+N(AD365)+N(AD366)+N(AD367)+N(AD368)+N(AD369)-N(AD370)-N(AD371)-N(AD372)-N(AD373)-AD361,0),"")</f>
        <v/>
      </c>
      <c r="AE374" s="189">
        <f>IF(ISNUMBER(AE361),ROUND(N(AE362)+N(AE363)+N(AE364)+N(AE365)+N(AE366)+N(AE367)+N(AE368)+N(AE369)-N(AE370)-N(AE371)-N(AE372)-N(AE373)-AE361,0),"")</f>
        <v/>
      </c>
      <c r="AF374" s="189">
        <f>IF(ISNUMBER(AF361),ROUND(N(AF362)+N(AF363)+N(AF364)+N(AF365)+N(AF366)+N(AF367)+N(AF368)+N(AF369)-N(AF370)-N(AF371)-N(AF372)-N(AF373)-AF361,0),"")</f>
        <v/>
      </c>
      <c r="AG374" s="189">
        <f>IF(ISNUMBER(AG361),ROUND(N(AG362)+N(AG363)+N(AG364)+N(AG365)+N(AG366)+N(AG367)+N(AG368)+N(AG369)-N(AG370)-N(AG371)-N(AG372)-N(AG373)-AG361,0),"")</f>
        <v/>
      </c>
      <c r="AH374" s="189">
        <f>IF(ISNUMBER(AH361),ROUND(N(AH362)+N(AH363)+N(AH364)+N(AH365)+N(AH366)+N(AH367)+N(AH368)+N(AH369)-N(AH370)-N(AH371)-N(AH372)-N(AH373)-AH361,0),"")</f>
        <v/>
      </c>
      <c r="AI374" s="189">
        <f>IF(ISNUMBER(AI361),ROUND(N(AI362)+N(AI363)+N(AI364)+N(AI365)+N(AI366)+N(AI367)+N(AI368)+N(AI369)-N(AI370)-N(AI371)-N(AI372)-N(AI373)-AI361,0),"")</f>
        <v/>
      </c>
      <c r="AJ374" s="189">
        <f>IF(ISNUMBER(AJ361),ROUND(N(AJ362)+N(AJ363)+N(AJ364)+N(AJ365)+N(AJ366)+N(AJ367)+N(AJ368)+N(AJ369)-N(AJ370)-N(AJ371)-N(AJ372)-N(AJ373)-AJ361,0),"")</f>
        <v/>
      </c>
      <c r="AK374" s="189">
        <f>IF(ISNUMBER(AK361),ROUND(N(AK362)+N(AK363)+N(AK364)+N(AK365)+N(AK366)+N(AK367)+N(AK368)+N(AK369)-N(AK370)-N(AK371)-N(AK372)-N(AK373)-AK361,0),"")</f>
        <v/>
      </c>
      <c r="AL374" s="189">
        <f>IF(ISNUMBER(AL361),ROUND(N(AL362)+N(AL363)+N(AL364)+N(AL365)+N(AL366)+N(AL367)+N(AL368)+N(AL369)-N(AL370)-N(AL371)-N(AL372)-N(AL373)-AL361,0),"")</f>
        <v/>
      </c>
      <c r="AM374" s="189">
        <f>IF(ISNUMBER(AM361),ROUND(N(AM362)+N(AM363)+N(AM364)+N(AM365)+N(AM366)+N(AM367)+N(AM368)+N(AM369)-N(AM370)-N(AM371)-N(AM372)-N(AM373)-AM361,0),"")</f>
        <v/>
      </c>
      <c r="AN374" s="189">
        <f>IF(ISNUMBER(AN361),ROUND(N(AN362)+N(AN363)+N(AN364)+N(AN365)+N(AN366)+N(AN367)+N(AN368)+N(AN369)-N(AN370)-N(AN371)-N(AN372)-N(AN373)-AN361,0),"")</f>
        <v/>
      </c>
      <c r="AO374" s="189">
        <f>IF(ISNUMBER(AO361),ROUND(N(AO362)+N(AO363)+N(AO364)+N(AO365)+N(AO366)+N(AO367)+N(AO368)+N(AO369)-N(AO370)-N(AO371)-N(AO372)-N(AO373)-AO361,0),"")</f>
        <v/>
      </c>
      <c r="AP374" s="189">
        <f>IF(ISNUMBER(AP361),ROUND(N(AP362)+N(AP363)+N(AP364)+N(AP365)+N(AP366)+N(AP367)+N(AP368)+N(AP369)-N(AP370)-N(AP371)-N(AP372)-N(AP373)-AP361,0),"")</f>
        <v/>
      </c>
      <c r="AQ374" s="189">
        <f>IF(ISNUMBER(AQ361),ROUND(N(AQ362)+N(AQ363)+N(AQ364)+N(AQ365)+N(AQ366)+N(AQ367)+N(AQ368)+N(AQ369)-N(AQ370)-N(AQ371)-N(AQ372)-N(AQ373)-AQ361,0),"")</f>
        <v/>
      </c>
      <c r="AR374" s="189">
        <f>IF(ISNUMBER(AR361),ROUND(N(AR362)+N(AR363)+N(AR364)+N(AR365)+N(AR366)+N(AR367)+N(AR368)+N(AR369)-N(AR370)-N(AR371)-N(AR372)-N(AR373)-AR361,0),"")</f>
        <v/>
      </c>
      <c r="AS374" s="189">
        <f>IF(ISNUMBER(AS361),ROUND(N(AS362)+N(AS363)+N(AS364)+N(AS365)+N(AS366)+N(AS367)+N(AS368)+N(AS369)-N(AS370)-N(AS371)-N(AS372)-N(AS373)-AS361,0),"")</f>
        <v/>
      </c>
      <c r="AT374" s="189">
        <f>IF(ISNUMBER(AT361),ROUND(N(AT362)+N(AT363)+N(AT364)+N(AT365)+N(AT366)+N(AT367)+N(AT368)+N(AT369)-N(AT370)-N(AT371)-N(AT372)-N(AT373)-AT361,0),"")</f>
        <v/>
      </c>
      <c r="AU374" s="189">
        <f>IF(ISNUMBER(AU361),ROUND(N(AU362)+N(AU363)+N(AU364)+N(AU365)+N(AU366)+N(AU367)+N(AU368)+N(AU369)-N(AU370)-N(AU371)-N(AU372)-N(AU373)-AU361,0),"")</f>
        <v/>
      </c>
      <c r="AV374" s="189">
        <f>IF(ISNUMBER(AV361),ROUND(N(AV362)+N(AV363)+N(AV364)+N(AV365)+N(AV366)+N(AV367)+N(AV368)+N(AV369)-N(AV370)-N(AV371)-N(AV372)-N(AV373)-AV361,0),"")</f>
        <v/>
      </c>
      <c r="AW374" s="189">
        <f>IF(ISNUMBER(AW361),ROUND(N(AW362)+N(AW363)+N(AW364)+N(AW365)+N(AW366)+N(AW367)+N(AW368)+N(AW369)-N(AW370)-N(AW371)-N(AW372)-N(AW373)-AW361,0),"")</f>
        <v/>
      </c>
      <c r="AX374" s="189">
        <f>IF(ISNUMBER(AX361),ROUND(N(AX362)+N(AX363)+N(AX364)+N(AX365)+N(AX366)+N(AX367)+N(AX368)+N(AX369)-N(AX370)-N(AX371)-N(AX372)-N(AX373)-AX361,0),"")</f>
        <v/>
      </c>
      <c r="AY374" s="189">
        <f>IF(ISNUMBER(AY361),ROUND(N(AY362)+N(AY363)+N(AY364)+N(AY365)+N(AY366)+N(AY367)+N(AY368)+N(AY369)-N(AY370)-N(AY371)-N(AY372)-N(AY373)-AY361,0),"")</f>
        <v/>
      </c>
      <c r="AZ374" s="189">
        <f>IF(ISNUMBER(AZ361),ROUND(N(AZ362)+N(AZ363)+N(AZ364)+N(AZ365)+N(AZ366)+N(AZ367)+N(AZ368)+N(AZ369)-N(AZ370)-N(AZ371)-N(AZ372)-N(AZ373)-AZ361,0),"")</f>
        <v/>
      </c>
      <c r="BA374" s="189">
        <f>IF(ISNUMBER(BA361),ROUND(N(BA362)+N(BA363)+N(BA364)+N(BA365)+N(BA366)+N(BA367)+N(BA368)+N(BA369)-N(BA370)-N(BA371)-N(BA372)-N(BA373)-BA361,0),"")</f>
        <v/>
      </c>
      <c r="BB374" s="189">
        <f>IF(ISNUMBER(BB361),ROUND(N(BB362)+N(BB363)+N(BB364)+N(BB365)+N(BB366)+N(BB367)+N(BB368)+N(BB369)-N(BB370)-N(BB371)-N(BB372)-N(BB373)-BB361,0),"")</f>
        <v/>
      </c>
      <c r="BC374" s="189">
        <f>IF(ISNUMBER(BC361),ROUND(N(BC362)+N(BC363)+N(BC364)+N(BC365)+N(BC366)+N(BC367)+N(BC368)+N(BC369)-N(BC370)-N(BC371)-N(BC372)-N(BC373)-BC361,0),"")</f>
        <v/>
      </c>
      <c r="BD374" s="189">
        <f>IF(ISNUMBER(BD361),ROUND(N(BD362)+N(BD363)+N(BD364)+N(BD365)+N(BD366)+N(BD367)+N(BD368)+N(BD369)-N(BD370)-N(BD371)-N(BD372)-N(BD373)-BD361,0),"")</f>
        <v/>
      </c>
      <c r="BE374" s="189">
        <f>IF(ISNUMBER(BE361),ROUND(N(BE362)+N(BE363)+N(BE364)+N(BE365)+N(BE366)+N(BE367)+N(BE368)+N(BE369)-N(BE370)-N(BE371)-N(BE372)-N(BE373)-BE361,0),"")</f>
        <v/>
      </c>
      <c r="BF374" s="189">
        <f>IF(ISNUMBER(BF361),ROUND(N(BF362)+N(BF363)+N(BF364)+N(BF365)+N(BF366)+N(BF367)+N(BF368)+N(BF369)-N(BF370)-N(BF371)-N(BF372)-N(BF373)-BF361,0),"")</f>
        <v/>
      </c>
      <c r="BG374" s="189">
        <f>IF(ISNUMBER(BG361),ROUND(N(BG362)+N(BG363)+N(BG364)+N(BG365)+N(BG366)+N(BG367)+N(BG368)+N(BG369)-N(BG370)-N(BG371)-N(BG372)-N(BG373)-BG361,0),"")</f>
        <v/>
      </c>
      <c r="BH374" s="189">
        <f>IF(ISNUMBER(BH361),ROUND(N(BH362)+N(BH363)+N(BH364)+N(BH365)+N(BH366)+N(BH367)+N(BH368)+N(BH369)-N(BH370)-N(BH371)-N(BH372)-N(BH373)-BH361,0),"")</f>
        <v/>
      </c>
      <c r="BI374" s="189">
        <f>IF(ISNUMBER(BI361),ROUND(N(BI362)+N(BI363)+N(BI364)+N(BI365)+N(BI366)+N(BI367)+N(BI368)+N(BI369)-N(BI370)-N(BI371)-N(BI372)-N(BI373)-BI361,0),"")</f>
        <v/>
      </c>
      <c r="BJ374" s="189">
        <f>IF(ISNUMBER(BJ361),ROUND(N(BJ362)+N(BJ363)+N(BJ364)+N(BJ365)+N(BJ366)+N(BJ367)+N(BJ368)+N(BJ369)-N(BJ370)-N(BJ371)-N(BJ372)-N(BJ373)-BJ361,0),"")</f>
        <v/>
      </c>
      <c r="BK374" s="189">
        <f>IF(ISNUMBER(BK361),ROUND(N(BK362)+N(BK363)+N(BK364)+N(BK365)+N(BK366)+N(BK367)+N(BK368)+N(BK369)-N(BK370)-N(BK371)-N(BK372)-N(BK373)-BK361,0),"")</f>
        <v/>
      </c>
      <c r="BL374" s="189">
        <f>IF(ISNUMBER(BL361),ROUND(N(BL362)+N(BL363)+N(BL364)+N(BL365)+N(BL366)+N(BL367)+N(BL368)+N(BL369)-N(BL370)-N(BL371)-N(BL372)-N(BL373)-BL361,0),"")</f>
        <v/>
      </c>
      <c r="BM374" s="189">
        <f>IF(ISNUMBER(BM361),ROUND(N(BM362)+N(BM363)+N(BM364)+N(BM365)+N(BM366)+N(BM367)+N(BM368)+N(BM369)-N(BM370)-N(BM371)-N(BM372)-N(BM373)-BM361,0),"")</f>
        <v/>
      </c>
      <c r="BN374" s="189">
        <f>IF(ISNUMBER(BN361),ROUND(N(BN362)+N(BN363)+N(BN364)+N(BN365)+N(BN366)+N(BN367)+N(BN368)+N(BN369)-N(BN370)-N(BN371)-N(BN372)-N(BN373)-BN361,0),"")</f>
        <v/>
      </c>
      <c r="BO374" s="189">
        <f>IF(ISNUMBER(BO361),ROUND(N(BO362)+N(BO363)+N(BO364)+N(BO365)+N(BO366)+N(BO367)+N(BO368)+N(BO369)-N(BO370)-N(BO371)-N(BO372)-N(BO373)-BO361,0),"")</f>
        <v/>
      </c>
      <c r="BP374" s="189">
        <f>IF(ISNUMBER(BP361),ROUND(N(BP362)+N(BP363)+N(BP364)+N(BP365)+N(BP366)+N(BP367)+N(BP368)+N(BP369)-N(BP370)-N(BP371)-N(BP372)-N(BP373)-BP361,0),"")</f>
        <v/>
      </c>
      <c r="BQ374" s="189">
        <f>IF(ISNUMBER(BQ361),ROUND(N(BQ362)+N(BQ363)+N(BQ364)+N(BQ365)+N(BQ366)+N(BQ367)+N(BQ368)+N(BQ369)-N(BQ370)-N(BQ371)-N(BQ372)-N(BQ373)-BQ361,0),"")</f>
        <v/>
      </c>
      <c r="BR374" s="189">
        <f>IF(ISNUMBER(BR361),ROUND(N(BR362)+N(BR363)+N(BR364)+N(BR365)+N(BR366)+N(BR367)+N(BR368)+N(BR369)-N(BR370)-N(BR371)-N(BR372)-N(BR373)-BR361,0),"")</f>
        <v/>
      </c>
      <c r="BS374" s="189">
        <f>IF(ISNUMBER(BS361),ROUND(N(BS362)+N(BS363)+N(BS364)+N(BS365)+N(BS366)+N(BS367)+N(BS368)+N(BS369)-N(BS370)-N(BS371)-N(BS372)-N(BS373)-BS361,0),"")</f>
        <v/>
      </c>
      <c r="BT374" s="189">
        <f>IF(ISNUMBER(BT361),ROUND(N(BT362)+N(BT363)+N(BT364)+N(BT365)+N(BT366)+N(BT367)+N(BT368)+N(BT369)-N(BT370)-N(BT371)-N(BT372)-N(BT373)-BT361,0),"")</f>
        <v/>
      </c>
      <c r="BU374" s="189">
        <f>IF(ISNUMBER(BU361),ROUND(N(BU362)+N(BU363)+N(BU364)+N(BU365)+N(BU366)+N(BU367)+N(BU368)+N(BU369)-N(BU370)-N(BU371)-N(BU372)-N(BU373)-BU361,0),"")</f>
        <v/>
      </c>
      <c r="BV374" s="189">
        <f>IF(ISNUMBER(BV361),ROUND(N(BV362)+N(BV363)+N(BV364)+N(BV365)+N(BV366)+N(BV367)+N(BV368)+N(BV369)-N(BV370)-N(BV371)-N(BV372)-N(BV373)-BV361,0),"")</f>
        <v/>
      </c>
      <c r="BW374" s="189">
        <f>IF(ISNUMBER(BW361),ROUND(N(BW362)+N(BW363)+N(BW364)+N(BW365)+N(BW366)+N(BW367)+N(BW368)+N(BW369)-N(BW370)-N(BW371)-N(BW372)-N(BW373)-BW361,0),"")</f>
        <v/>
      </c>
      <c r="BX374" s="189">
        <f>IF(ISNUMBER(BX361),ROUND(N(BX362)+N(BX363)+N(BX364)+N(BX365)+N(BX366)+N(BX367)+N(BX368)+N(BX369)-N(BX370)-N(BX371)-N(BX372)-N(BX373)-BX361,0),"")</f>
        <v/>
      </c>
      <c r="BY374" s="6" t="n"/>
      <c r="BZ374" s="6" t="n"/>
      <c r="CA374" s="6" t="n"/>
      <c r="CB374" s="6" t="n"/>
      <c r="CC374" s="6" t="n"/>
      <c r="CD374" s="6" t="n"/>
      <c r="CE374" s="6" t="n"/>
      <c r="CF374" s="6" t="n"/>
    </row>
    <row r="375" ht="15" customHeight="1">
      <c r="B375" s="67" t="inlineStr">
        <is>
          <t xml:space="preserve">  Deal(s) closed in the quarter</t>
        </is>
      </c>
      <c r="C375" s="68" t="n"/>
      <c r="J375" s="68" t="n"/>
      <c r="AJ375" s="68" t="n"/>
      <c r="AN375" s="68" t="n"/>
      <c r="BA375" s="68" t="n"/>
      <c r="BM375" s="68" t="n"/>
      <c r="BT375" s="211" t="inlineStr">
        <is>
          <t>Evident's Inspection Technologies division — closed 2025-07-01; Freight - Digital Intelligence product line</t>
        </is>
      </c>
      <c r="BU375" s="212" t="inlineStr">
        <is>
          <t>Frauscher Sensor Technology Group GmbH — closed 2025-12-01; Freight - Digital Intelligence product line</t>
        </is>
      </c>
      <c r="BW375" s="212" t="inlineStr">
        <is>
          <t>Dellner Couplers — closed 2026-02-10; Transit</t>
        </is>
      </c>
      <c r="BY375" s="6" t="n"/>
      <c r="BZ375" s="6" t="n"/>
      <c r="CA375" s="6" t="n"/>
      <c r="CB375" s="6" t="n"/>
      <c r="CC375" s="6" t="n"/>
      <c r="CD375" s="6" t="n"/>
      <c r="CE375" s="6" t="n"/>
      <c r="CF375" s="20" t="n"/>
    </row>
    <row r="376" ht="15" customHeight="1">
      <c r="B376" s="26" t="inlineStr">
        <is>
          <t>Asset roll-forwards &amp; non-cash items</t>
        </is>
      </c>
      <c r="CF376" s="6" t="n"/>
    </row>
    <row r="377" ht="15" customHeight="1">
      <c r="B377" s="76" t="inlineStr">
        <is>
          <t xml:space="preserve">  Dilutive securities (m shares)</t>
        </is>
      </c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47" t="n"/>
      <c r="X377" s="47" t="n"/>
      <c r="Y377" s="47" t="n"/>
      <c r="Z377" s="47" t="n"/>
      <c r="AA377" s="47" t="n"/>
      <c r="AB377" s="47" t="n"/>
      <c r="AC377" s="47" t="n"/>
      <c r="AD377" s="47" t="n"/>
      <c r="AE377" s="47" t="n"/>
      <c r="AF377" s="47" t="n"/>
      <c r="AG377" s="47" t="n"/>
      <c r="AH377" s="47" t="n"/>
      <c r="AI377" s="47" t="n"/>
      <c r="AJ377" s="47" t="n"/>
      <c r="AK377" s="47" t="n"/>
      <c r="AL377" s="47" t="n"/>
      <c r="AM377" s="47" t="n"/>
      <c r="AN377" s="47" t="n"/>
      <c r="AO377" s="47" t="n"/>
      <c r="AP377" s="47" t="n"/>
      <c r="AQ377" s="47" t="n"/>
      <c r="AR377" s="47" t="n"/>
      <c r="AS377" s="47" t="n"/>
      <c r="AT377" s="47" t="n"/>
      <c r="AU377" s="47" t="n"/>
      <c r="AV377" s="47" t="n"/>
      <c r="AW377" s="47" t="n"/>
      <c r="AX377" s="47" t="n"/>
      <c r="AY377" s="47" t="n"/>
      <c r="AZ377" s="47" t="n"/>
      <c r="BA377" s="47" t="n"/>
      <c r="BB377" s="47" t="n"/>
      <c r="BC377" s="47" t="n"/>
      <c r="BD377" s="47" t="n"/>
      <c r="BE377" s="47" t="n"/>
      <c r="BF377" s="47" t="n"/>
      <c r="BG377" s="47" t="n"/>
      <c r="BH377" s="47" t="n"/>
      <c r="BI377" s="47" t="n"/>
      <c r="BJ377" s="47" t="n"/>
      <c r="BK377" s="47" t="n"/>
      <c r="BL377" s="47" t="n"/>
      <c r="BM377" s="47" t="n"/>
      <c r="BN377" s="47" t="n"/>
      <c r="BO377" s="47" t="n"/>
      <c r="BP377" s="47" t="n"/>
      <c r="BQ377" s="47" t="n"/>
      <c r="BR377" s="47" t="n"/>
      <c r="BS377" s="47" t="n"/>
      <c r="BT377" s="47" t="n"/>
      <c r="BU377" s="47" t="n"/>
      <c r="BV377" s="47" t="n"/>
      <c r="BW377" s="47" t="n"/>
      <c r="BX377" s="47" t="n"/>
      <c r="BY377" s="6" t="n"/>
      <c r="BZ377" s="6" t="n"/>
      <c r="CA377" s="37" t="n"/>
      <c r="CB377" s="213" t="n">
        <v>0.6</v>
      </c>
      <c r="CC377" s="213" t="n">
        <v>0.6</v>
      </c>
      <c r="CD377" s="213" t="n">
        <v>0.6</v>
      </c>
      <c r="CE377" s="213" t="n">
        <v>0.6</v>
      </c>
      <c r="CF377" s="20" t="n"/>
    </row>
    <row r="378" ht="15" customHeight="1">
      <c r="B378" s="76" t="inlineStr">
        <is>
          <t xml:space="preserve">  Share-price appreciation % (buyback pricing)</t>
        </is>
      </c>
      <c r="C378" s="47" t="n"/>
      <c r="D378" s="47" t="n"/>
      <c r="E378" s="47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  <c r="W378" s="47" t="n"/>
      <c r="X378" s="47" t="n"/>
      <c r="Y378" s="47" t="n"/>
      <c r="Z378" s="47" t="n"/>
      <c r="AA378" s="47" t="n"/>
      <c r="AB378" s="47" t="n"/>
      <c r="AC378" s="47" t="n"/>
      <c r="AD378" s="47" t="n"/>
      <c r="AE378" s="47" t="n"/>
      <c r="AF378" s="47" t="n"/>
      <c r="AG378" s="47" t="n"/>
      <c r="AH378" s="47" t="n"/>
      <c r="AI378" s="47" t="n"/>
      <c r="AJ378" s="47" t="n"/>
      <c r="AK378" s="47" t="n"/>
      <c r="AL378" s="47" t="n"/>
      <c r="AM378" s="47" t="n"/>
      <c r="AN378" s="47" t="n"/>
      <c r="AO378" s="47" t="n"/>
      <c r="AP378" s="47" t="n"/>
      <c r="AQ378" s="47" t="n"/>
      <c r="AR378" s="47" t="n"/>
      <c r="AS378" s="47" t="n"/>
      <c r="AT378" s="47" t="n"/>
      <c r="AU378" s="47" t="n"/>
      <c r="AV378" s="47" t="n"/>
      <c r="AW378" s="47" t="n"/>
      <c r="AX378" s="47" t="n"/>
      <c r="AY378" s="47" t="n"/>
      <c r="AZ378" s="47" t="n"/>
      <c r="BA378" s="47" t="n"/>
      <c r="BB378" s="47" t="n"/>
      <c r="BC378" s="47" t="n"/>
      <c r="BD378" s="47" t="n"/>
      <c r="BE378" s="47" t="n"/>
      <c r="BF378" s="47" t="n"/>
      <c r="BG378" s="47" t="n"/>
      <c r="BH378" s="47" t="n"/>
      <c r="BI378" s="47" t="n"/>
      <c r="BJ378" s="47" t="n"/>
      <c r="BK378" s="47" t="n"/>
      <c r="BL378" s="47" t="n"/>
      <c r="BM378" s="47" t="n"/>
      <c r="BN378" s="47" t="n"/>
      <c r="BO378" s="47" t="n"/>
      <c r="BP378" s="47" t="n"/>
      <c r="BQ378" s="47" t="n"/>
      <c r="BR378" s="47" t="n"/>
      <c r="BS378" s="47" t="n"/>
      <c r="BT378" s="47" t="n"/>
      <c r="BU378" s="47" t="n"/>
      <c r="BV378" s="47" t="n"/>
      <c r="BW378" s="47" t="n"/>
      <c r="BX378" s="47" t="n"/>
      <c r="BY378" s="6" t="n"/>
      <c r="BZ378" s="6" t="n"/>
      <c r="CA378" s="37" t="n"/>
      <c r="CB378" s="181" t="n">
        <v>0.07000000000000001</v>
      </c>
      <c r="CC378" s="181" t="n">
        <v>0.07000000000000001</v>
      </c>
      <c r="CD378" s="181" t="n">
        <v>0.07000000000000001</v>
      </c>
      <c r="CE378" s="181" t="n">
        <v>0.07000000000000001</v>
      </c>
      <c r="CF378" s="20" t="n"/>
    </row>
    <row r="379" ht="15" customHeight="1">
      <c r="B379" s="26" t="inlineStr">
        <is>
          <t>Debt schedule (scheduled note maturities + prepayable facilities to a minimum cash balance)</t>
        </is>
      </c>
      <c r="CF379" s="6" t="n"/>
    </row>
    <row r="380" ht="15" customHeight="1">
      <c r="B380" s="76" t="inlineStr">
        <is>
          <t xml:space="preserve">  Total debt (current + long-term)</t>
        </is>
      </c>
      <c r="C380" s="183">
        <f>IF(ISNUMBER(C326),N(C323)+C326,"")</f>
        <v/>
      </c>
      <c r="D380" s="183">
        <f>IF(ISNUMBER(D326),N(D323)+D326,"")</f>
        <v/>
      </c>
      <c r="E380" s="183">
        <f>IF(ISNUMBER(E326),N(E323)+E326,"")</f>
        <v/>
      </c>
      <c r="F380" s="183">
        <f>IF(ISNUMBER(F326),N(F323)+F326,"")</f>
        <v/>
      </c>
      <c r="G380" s="183">
        <f>IF(ISNUMBER(G326),N(G323)+G326,"")</f>
        <v/>
      </c>
      <c r="H380" s="183">
        <f>IF(ISNUMBER(H326),N(H323)+H326,"")</f>
        <v/>
      </c>
      <c r="I380" s="183">
        <f>IF(ISNUMBER(I326),N(I323)+I326,"")</f>
        <v/>
      </c>
      <c r="J380" s="183">
        <f>IF(ISNUMBER(J326),N(J323)+J326,"")</f>
        <v/>
      </c>
      <c r="K380" s="183">
        <f>IF(ISNUMBER(K326),N(K323)+K326,"")</f>
        <v/>
      </c>
      <c r="L380" s="183">
        <f>IF(ISNUMBER(L326),N(L323)+L326,"")</f>
        <v/>
      </c>
      <c r="M380" s="183">
        <f>IF(ISNUMBER(M326),N(M323)+M326,"")</f>
        <v/>
      </c>
      <c r="N380" s="183">
        <f>IF(ISNUMBER(N326),N(N323)+N326,"")</f>
        <v/>
      </c>
      <c r="O380" s="183">
        <f>IF(ISNUMBER(O326),N(O323)+O326,"")</f>
        <v/>
      </c>
      <c r="P380" s="183">
        <f>IF(ISNUMBER(P326),N(P323)+P326,"")</f>
        <v/>
      </c>
      <c r="Q380" s="183">
        <f>IF(ISNUMBER(Q326),N(Q323)+Q326,"")</f>
        <v/>
      </c>
      <c r="R380" s="183">
        <f>IF(ISNUMBER(R326),N(R323)+R326,"")</f>
        <v/>
      </c>
      <c r="S380" s="183">
        <f>IF(ISNUMBER(S326),N(S323)+S326,"")</f>
        <v/>
      </c>
      <c r="T380" s="183">
        <f>IF(ISNUMBER(T326),N(T323)+T326,"")</f>
        <v/>
      </c>
      <c r="U380" s="183">
        <f>IF(ISNUMBER(U326),N(U323)+U326,"")</f>
        <v/>
      </c>
      <c r="V380" s="183">
        <f>IF(ISNUMBER(V326),N(V323)+V326,"")</f>
        <v/>
      </c>
      <c r="W380" s="183">
        <f>IF(ISNUMBER(W326),N(W323)+W326,"")</f>
        <v/>
      </c>
      <c r="X380" s="183">
        <f>IF(ISNUMBER(X326),N(X323)+X326,"")</f>
        <v/>
      </c>
      <c r="Y380" s="183">
        <f>IF(ISNUMBER(Y326),N(Y323)+Y326,"")</f>
        <v/>
      </c>
      <c r="Z380" s="183">
        <f>IF(ISNUMBER(Z326),N(Z323)+Z326,"")</f>
        <v/>
      </c>
      <c r="AA380" s="183">
        <f>IF(ISNUMBER(AA326),N(AA323)+AA326,"")</f>
        <v/>
      </c>
      <c r="AB380" s="183">
        <f>IF(ISNUMBER(AB326),N(AB323)+AB326,"")</f>
        <v/>
      </c>
      <c r="AC380" s="183">
        <f>IF(ISNUMBER(AC326),N(AC323)+AC326,"")</f>
        <v/>
      </c>
      <c r="AD380" s="183">
        <f>IF(ISNUMBER(AD326),N(AD323)+AD326,"")</f>
        <v/>
      </c>
      <c r="AE380" s="183">
        <f>IF(ISNUMBER(AE326),N(AE323)+AE326,"")</f>
        <v/>
      </c>
      <c r="AF380" s="183">
        <f>IF(ISNUMBER(AF326),N(AF323)+AF326,"")</f>
        <v/>
      </c>
      <c r="AG380" s="183">
        <f>IF(ISNUMBER(AG326),N(AG323)+AG326,"")</f>
        <v/>
      </c>
      <c r="AH380" s="183">
        <f>IF(ISNUMBER(AH326),N(AH323)+AH326,"")</f>
        <v/>
      </c>
      <c r="AI380" s="183">
        <f>IF(ISNUMBER(AI326),N(AI323)+AI326,"")</f>
        <v/>
      </c>
      <c r="AJ380" s="183">
        <f>IF(ISNUMBER(AJ326),N(AJ323)+AJ326,"")</f>
        <v/>
      </c>
      <c r="AK380" s="183">
        <f>IF(ISNUMBER(AK326),N(AK323)+AK326,"")</f>
        <v/>
      </c>
      <c r="AL380" s="183">
        <f>IF(ISNUMBER(AL326),N(AL323)+AL326,"")</f>
        <v/>
      </c>
      <c r="AM380" s="183">
        <f>IF(ISNUMBER(AM326),N(AM323)+AM326,"")</f>
        <v/>
      </c>
      <c r="AN380" s="183">
        <f>IF(ISNUMBER(AN326),N(AN323)+AN326,"")</f>
        <v/>
      </c>
      <c r="AO380" s="183">
        <f>IF(ISNUMBER(AO326),N(AO323)+AO326,"")</f>
        <v/>
      </c>
      <c r="AP380" s="183">
        <f>IF(ISNUMBER(AP326),N(AP323)+AP326,"")</f>
        <v/>
      </c>
      <c r="AQ380" s="183">
        <f>IF(ISNUMBER(AQ326),N(AQ323)+AQ326,"")</f>
        <v/>
      </c>
      <c r="AR380" s="183">
        <f>IF(ISNUMBER(AR326),N(AR323)+AR326,"")</f>
        <v/>
      </c>
      <c r="AS380" s="183">
        <f>IF(ISNUMBER(AS326),N(AS323)+AS326,"")</f>
        <v/>
      </c>
      <c r="AT380" s="183">
        <f>IF(ISNUMBER(AT326),N(AT323)+AT326,"")</f>
        <v/>
      </c>
      <c r="AU380" s="183">
        <f>IF(ISNUMBER(AU326),N(AU323)+AU326,"")</f>
        <v/>
      </c>
      <c r="AV380" s="183">
        <f>IF(ISNUMBER(AV326),N(AV323)+AV326,"")</f>
        <v/>
      </c>
      <c r="AW380" s="183">
        <f>IF(ISNUMBER(AW326),N(AW323)+AW326,"")</f>
        <v/>
      </c>
      <c r="AX380" s="183">
        <f>IF(ISNUMBER(AX326),N(AX323)+AX326,"")</f>
        <v/>
      </c>
      <c r="AY380" s="183">
        <f>IF(ISNUMBER(AY326),N(AY323)+AY326,"")</f>
        <v/>
      </c>
      <c r="AZ380" s="183">
        <f>IF(ISNUMBER(AZ326),N(AZ323)+AZ326,"")</f>
        <v/>
      </c>
      <c r="BA380" s="183">
        <f>IF(ISNUMBER(BA326),N(BA323)+BA326,"")</f>
        <v/>
      </c>
      <c r="BB380" s="183">
        <f>IF(ISNUMBER(BB326),N(BB323)+BB326,"")</f>
        <v/>
      </c>
      <c r="BC380" s="183">
        <f>IF(ISNUMBER(BC326),N(BC323)+BC326,"")</f>
        <v/>
      </c>
      <c r="BD380" s="183">
        <f>IF(ISNUMBER(BD326),N(BD323)+BD326,"")</f>
        <v/>
      </c>
      <c r="BE380" s="183">
        <f>IF(ISNUMBER(BE326),N(BE323)+BE326,"")</f>
        <v/>
      </c>
      <c r="BF380" s="183">
        <f>IF(ISNUMBER(BF326),N(BF323)+BF326,"")</f>
        <v/>
      </c>
      <c r="BG380" s="183">
        <f>IF(ISNUMBER(BG326),N(BG323)+BG326,"")</f>
        <v/>
      </c>
      <c r="BH380" s="183">
        <f>IF(ISNUMBER(BH326),N(BH323)+BH326,"")</f>
        <v/>
      </c>
      <c r="BI380" s="183">
        <f>IF(ISNUMBER(BI326),N(BI323)+BI326,"")</f>
        <v/>
      </c>
      <c r="BJ380" s="183">
        <f>IF(ISNUMBER(BJ326),N(BJ323)+BJ326,"")</f>
        <v/>
      </c>
      <c r="BK380" s="183">
        <f>IF(ISNUMBER(BK326),N(BK323)+BK326,"")</f>
        <v/>
      </c>
      <c r="BL380" s="183">
        <f>IF(ISNUMBER(BL326),N(BL323)+BL326,"")</f>
        <v/>
      </c>
      <c r="BM380" s="183">
        <f>IF(ISNUMBER(BM326),N(BM323)+BM326,"")</f>
        <v/>
      </c>
      <c r="BN380" s="183">
        <f>IF(ISNUMBER(BN326),N(BN323)+BN326,"")</f>
        <v/>
      </c>
      <c r="BO380" s="183">
        <f>IF(ISNUMBER(BO326),N(BO323)+BO326,"")</f>
        <v/>
      </c>
      <c r="BP380" s="183">
        <f>IF(ISNUMBER(BP326),N(BP323)+BP326,"")</f>
        <v/>
      </c>
      <c r="BQ380" s="183">
        <f>IF(ISNUMBER(BQ326),N(BQ323)+BQ326,"")</f>
        <v/>
      </c>
      <c r="BR380" s="183">
        <f>IF(ISNUMBER(BR326),N(BR323)+BR326,"")</f>
        <v/>
      </c>
      <c r="BS380" s="183">
        <f>IF(ISNUMBER(BS326),N(BS323)+BS326,"")</f>
        <v/>
      </c>
      <c r="BT380" s="183">
        <f>IF(ISNUMBER(BT326),N(BT323)+BT326,"")</f>
        <v/>
      </c>
      <c r="BU380" s="183">
        <f>IF(ISNUMBER(BU326),N(BU323)+BU326,"")</f>
        <v/>
      </c>
      <c r="BV380" s="183">
        <f>IF(ISNUMBER(BV326),N(BV323)+BV326,"")</f>
        <v/>
      </c>
      <c r="BW380" s="183">
        <f>IF(ISNUMBER(BW326),N(BW323)+BW326,"")</f>
        <v/>
      </c>
      <c r="BX380" s="183">
        <f>IF(ISNUMBER(BX326),N(BX323)+BX326,"")</f>
        <v/>
      </c>
      <c r="BY380" s="6" t="n"/>
      <c r="BZ380" s="6" t="n"/>
      <c r="CA380" s="178">
        <f>CA384+CA387</f>
        <v/>
      </c>
      <c r="CB380" s="178">
        <f>CB384+CB387</f>
        <v/>
      </c>
      <c r="CC380" s="178">
        <f>CC384+CC387</f>
        <v/>
      </c>
      <c r="CD380" s="178">
        <f>CD384+CD387</f>
        <v/>
      </c>
      <c r="CE380" s="178">
        <f>CE384+CE387</f>
        <v/>
      </c>
      <c r="CF380" s="20" t="inlineStr">
        <is>
          <t>Debt at 30-Jun-26 $6,571m: revolver $638m + receivables program $400m (prepayable facilities) and notes &amp; term loans $5,533m (3.45% 2026 $750m, €500m 1.25% 2027, 4.70% 2028 $1.25bn, 4.90% 2030 $500m, 5.611% 2034 $500m, 5.50% 2035 $750m, term loans $725m 2030 / $500m Nov-26). $2bn commercial paper program established 1-Oct-26 (nothing issued).</t>
        </is>
      </c>
    </row>
    <row r="381" ht="15" customHeight="1">
      <c r="B381" s="76" t="inlineStr">
        <is>
          <t xml:space="preserve">  Scheduled note maturities (input, negative)</t>
        </is>
      </c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47" t="n"/>
      <c r="X381" s="47" t="n"/>
      <c r="Y381" s="47" t="n"/>
      <c r="Z381" s="47" t="n"/>
      <c r="AA381" s="47" t="n"/>
      <c r="AB381" s="47" t="n"/>
      <c r="AC381" s="47" t="n"/>
      <c r="AD381" s="47" t="n"/>
      <c r="AE381" s="47" t="n"/>
      <c r="AF381" s="47" t="n"/>
      <c r="AG381" s="47" t="n"/>
      <c r="AH381" s="47" t="n"/>
      <c r="AI381" s="47" t="n"/>
      <c r="AJ381" s="47" t="n"/>
      <c r="AK381" s="47" t="n"/>
      <c r="AL381" s="47" t="n"/>
      <c r="AM381" s="47" t="n"/>
      <c r="AN381" s="47" t="n"/>
      <c r="AO381" s="47" t="n"/>
      <c r="AP381" s="47" t="n"/>
      <c r="AQ381" s="47" t="n"/>
      <c r="AR381" s="47" t="n"/>
      <c r="AS381" s="47" t="n"/>
      <c r="AT381" s="47" t="n"/>
      <c r="AU381" s="47" t="n"/>
      <c r="AV381" s="47" t="n"/>
      <c r="AW381" s="47" t="n"/>
      <c r="AX381" s="47" t="n"/>
      <c r="AY381" s="47" t="n"/>
      <c r="AZ381" s="47" t="n"/>
      <c r="BA381" s="47" t="n"/>
      <c r="BB381" s="47" t="n"/>
      <c r="BC381" s="47" t="n"/>
      <c r="BD381" s="47" t="n"/>
      <c r="BE381" s="47" t="n"/>
      <c r="BF381" s="47" t="n"/>
      <c r="BG381" s="47" t="n"/>
      <c r="BH381" s="47" t="n"/>
      <c r="BI381" s="47" t="n"/>
      <c r="BJ381" s="47" t="n"/>
      <c r="BK381" s="47" t="n"/>
      <c r="BL381" s="47" t="n"/>
      <c r="BM381" s="47" t="n"/>
      <c r="BN381" s="47" t="n"/>
      <c r="BO381" s="47" t="n"/>
      <c r="BP381" s="47" t="n"/>
      <c r="BQ381" s="47" t="n"/>
      <c r="BR381" s="47" t="n"/>
      <c r="BS381" s="47" t="n"/>
      <c r="BT381" s="47" t="n"/>
      <c r="BU381" s="47" t="n"/>
      <c r="BV381" s="47" t="n"/>
      <c r="BW381" s="47" t="n"/>
      <c r="BX381" s="47" t="n"/>
      <c r="BY381" s="6" t="n"/>
      <c r="BZ381" s="6" t="n"/>
      <c r="CA381" s="188" t="n">
        <v>-1250</v>
      </c>
      <c r="CB381" s="188" t="n">
        <v>-568</v>
      </c>
      <c r="CC381" s="188" t="n">
        <v>-1250</v>
      </c>
      <c r="CD381" s="188" t="n">
        <v>0</v>
      </c>
      <c r="CE381" s="188" t="n">
        <v>-1225</v>
      </c>
      <c r="CF381" s="20" t="inlineStr">
        <is>
          <t>2026E: 3.45% notes ($750m, Nov-26) + 364-day term loan ($500m, 27-Nov-26); 2027: €500m 1.25% notes ($568m book); 2028: 4.70% notes $1.25bn; 2030: 4.90% notes $500m + term loan $725m (Apr-30).</t>
        </is>
      </c>
    </row>
    <row r="382" ht="15" customHeight="1">
      <c r="B382" s="76" t="inlineStr">
        <is>
          <t xml:space="preserve">  % of scheduled maturities refinanced (input)</t>
        </is>
      </c>
      <c r="C382" s="47" t="n"/>
      <c r="D382" s="47" t="n"/>
      <c r="E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  <c r="W382" s="47" t="n"/>
      <c r="X382" s="47" t="n"/>
      <c r="Y382" s="47" t="n"/>
      <c r="Z382" s="47" t="n"/>
      <c r="AA382" s="47" t="n"/>
      <c r="AB382" s="47" t="n"/>
      <c r="AC382" s="47" t="n"/>
      <c r="AD382" s="47" t="n"/>
      <c r="AE382" s="47" t="n"/>
      <c r="AF382" s="47" t="n"/>
      <c r="AG382" s="47" t="n"/>
      <c r="AH382" s="47" t="n"/>
      <c r="AI382" s="47" t="n"/>
      <c r="AJ382" s="47" t="n"/>
      <c r="AK382" s="47" t="n"/>
      <c r="AL382" s="47" t="n"/>
      <c r="AM382" s="47" t="n"/>
      <c r="AN382" s="47" t="n"/>
      <c r="AO382" s="47" t="n"/>
      <c r="AP382" s="47" t="n"/>
      <c r="AQ382" s="47" t="n"/>
      <c r="AR382" s="47" t="n"/>
      <c r="AS382" s="47" t="n"/>
      <c r="AT382" s="47" t="n"/>
      <c r="AU382" s="47" t="n"/>
      <c r="AV382" s="47" t="n"/>
      <c r="AW382" s="47" t="n"/>
      <c r="AX382" s="47" t="n"/>
      <c r="AY382" s="47" t="n"/>
      <c r="AZ382" s="47" t="n"/>
      <c r="BA382" s="47" t="n"/>
      <c r="BB382" s="47" t="n"/>
      <c r="BC382" s="47" t="n"/>
      <c r="BD382" s="47" t="n"/>
      <c r="BE382" s="47" t="n"/>
      <c r="BF382" s="47" t="n"/>
      <c r="BG382" s="47" t="n"/>
      <c r="BH382" s="47" t="n"/>
      <c r="BI382" s="47" t="n"/>
      <c r="BJ382" s="47" t="n"/>
      <c r="BK382" s="47" t="n"/>
      <c r="BL382" s="47" t="n"/>
      <c r="BM382" s="47" t="n"/>
      <c r="BN382" s="47" t="n"/>
      <c r="BO382" s="47" t="n"/>
      <c r="BP382" s="47" t="n"/>
      <c r="BQ382" s="47" t="n"/>
      <c r="BR382" s="47" t="n"/>
      <c r="BS382" s="47" t="n"/>
      <c r="BT382" s="47" t="n"/>
      <c r="BU382" s="47" t="n"/>
      <c r="BV382" s="47" t="n"/>
      <c r="BW382" s="47" t="n"/>
      <c r="BX382" s="47" t="n"/>
      <c r="BY382" s="6" t="n"/>
      <c r="BZ382" s="6" t="n"/>
      <c r="CA382" s="181" t="n">
        <v>1</v>
      </c>
      <c r="CB382" s="181" t="n">
        <v>1</v>
      </c>
      <c r="CC382" s="181" t="n">
        <v>1</v>
      </c>
      <c r="CD382" s="181" t="n">
        <v>1</v>
      </c>
      <c r="CE382" s="181" t="n">
        <v>1</v>
      </c>
      <c r="CF382" s="20" t="inlineStr">
        <is>
          <t>100% = maturity refinanced with new notes at the refinancing rate; otherwise repaid from cash / facilities.</t>
        </is>
      </c>
    </row>
    <row r="383" ht="15" customHeight="1">
      <c r="B383" s="76" t="inlineStr">
        <is>
          <t xml:space="preserve">  Refinancing issuance</t>
        </is>
      </c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47" t="n"/>
      <c r="X383" s="47" t="n"/>
      <c r="Y383" s="47" t="n"/>
      <c r="Z383" s="47" t="n"/>
      <c r="AA383" s="47" t="n"/>
      <c r="AB383" s="47" t="n"/>
      <c r="AC383" s="47" t="n"/>
      <c r="AD383" s="47" t="n"/>
      <c r="AE383" s="47" t="n"/>
      <c r="AF383" s="47" t="n"/>
      <c r="AG383" s="47" t="n"/>
      <c r="AH383" s="47" t="n"/>
      <c r="AI383" s="47" t="n"/>
      <c r="AJ383" s="47" t="n"/>
      <c r="AK383" s="47" t="n"/>
      <c r="AL383" s="47" t="n"/>
      <c r="AM383" s="47" t="n"/>
      <c r="AN383" s="47" t="n"/>
      <c r="AO383" s="47" t="n"/>
      <c r="AP383" s="47" t="n"/>
      <c r="AQ383" s="47" t="n"/>
      <c r="AR383" s="47" t="n"/>
      <c r="AS383" s="47" t="n"/>
      <c r="AT383" s="47" t="n"/>
      <c r="AU383" s="47" t="n"/>
      <c r="AV383" s="47" t="n"/>
      <c r="AW383" s="47" t="n"/>
      <c r="AX383" s="47" t="n"/>
      <c r="AY383" s="47" t="n"/>
      <c r="AZ383" s="47" t="n"/>
      <c r="BA383" s="47" t="n"/>
      <c r="BB383" s="47" t="n"/>
      <c r="BC383" s="47" t="n"/>
      <c r="BD383" s="47" t="n"/>
      <c r="BE383" s="47" t="n"/>
      <c r="BF383" s="47" t="n"/>
      <c r="BG383" s="47" t="n"/>
      <c r="BH383" s="47" t="n"/>
      <c r="BI383" s="47" t="n"/>
      <c r="BJ383" s="47" t="n"/>
      <c r="BK383" s="47" t="n"/>
      <c r="BL383" s="47" t="n"/>
      <c r="BM383" s="47" t="n"/>
      <c r="BN383" s="47" t="n"/>
      <c r="BO383" s="47" t="n"/>
      <c r="BP383" s="47" t="n"/>
      <c r="BQ383" s="47" t="n"/>
      <c r="BR383" s="47" t="n"/>
      <c r="BS383" s="47" t="n"/>
      <c r="BT383" s="47" t="n"/>
      <c r="BU383" s="47" t="n"/>
      <c r="BV383" s="47" t="n"/>
      <c r="BW383" s="47" t="n"/>
      <c r="BX383" s="47" t="n"/>
      <c r="BY383" s="6" t="n"/>
      <c r="BZ383" s="6" t="n"/>
      <c r="CA383" s="178">
        <f>-CA381*CA382</f>
        <v/>
      </c>
      <c r="CB383" s="178">
        <f>-CB381*CB382</f>
        <v/>
      </c>
      <c r="CC383" s="178">
        <f>-CC381*CC382</f>
        <v/>
      </c>
      <c r="CD383" s="178">
        <f>-CD381*CD382</f>
        <v/>
      </c>
      <c r="CE383" s="178">
        <f>-CE381*CE382</f>
        <v/>
      </c>
      <c r="CF383" s="20" t="n"/>
    </row>
    <row r="384" ht="15" customHeight="1">
      <c r="B384" s="76" t="inlineStr">
        <is>
          <t xml:space="preserve">  Senior notes &amp; term debt outstanding (year end)</t>
        </is>
      </c>
      <c r="C384" s="47" t="n"/>
      <c r="D384" s="47" t="n"/>
      <c r="E384" s="47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  <c r="W384" s="47" t="n"/>
      <c r="X384" s="47" t="n"/>
      <c r="Y384" s="47" t="n"/>
      <c r="Z384" s="47" t="n"/>
      <c r="AA384" s="47" t="n"/>
      <c r="AB384" s="47" t="n"/>
      <c r="AC384" s="47" t="n"/>
      <c r="AD384" s="47" t="n"/>
      <c r="AE384" s="47" t="n"/>
      <c r="AF384" s="47" t="n"/>
      <c r="AG384" s="47" t="n"/>
      <c r="AH384" s="47" t="n"/>
      <c r="AI384" s="47" t="n"/>
      <c r="AJ384" s="47" t="n"/>
      <c r="AK384" s="47" t="n"/>
      <c r="AL384" s="47" t="n"/>
      <c r="AM384" s="47" t="n"/>
      <c r="AN384" s="47" t="n"/>
      <c r="AO384" s="47" t="n"/>
      <c r="AP384" s="47" t="n"/>
      <c r="AQ384" s="47" t="n"/>
      <c r="AR384" s="47" t="n"/>
      <c r="AS384" s="47" t="n"/>
      <c r="AT384" s="47" t="n"/>
      <c r="AU384" s="47" t="n"/>
      <c r="AV384" s="47" t="n"/>
      <c r="AW384" s="47" t="n"/>
      <c r="AX384" s="47" t="n"/>
      <c r="AY384" s="47" t="n"/>
      <c r="AZ384" s="47" t="n"/>
      <c r="BA384" s="47" t="n"/>
      <c r="BB384" s="47" t="n"/>
      <c r="BC384" s="47" t="n"/>
      <c r="BD384" s="47" t="n"/>
      <c r="BE384" s="47" t="n"/>
      <c r="BF384" s="47" t="n"/>
      <c r="BG384" s="47" t="n"/>
      <c r="BH384" s="47" t="n"/>
      <c r="BI384" s="47" t="n"/>
      <c r="BJ384" s="47" t="n"/>
      <c r="BK384" s="47" t="n"/>
      <c r="BL384" s="47" t="n"/>
      <c r="BM384" s="47" t="n"/>
      <c r="BN384" s="47" t="n"/>
      <c r="BO384" s="47" t="n"/>
      <c r="BP384" s="47" t="n"/>
      <c r="BQ384" s="47" t="n"/>
      <c r="BR384" s="47" t="n"/>
      <c r="BS384" s="47" t="n"/>
      <c r="BT384" s="47" t="n"/>
      <c r="BU384" s="47" t="n"/>
      <c r="BV384" s="47" t="n"/>
      <c r="BW384" s="47" t="n"/>
      <c r="BX384" s="174" t="n">
        <v>5533</v>
      </c>
      <c r="BY384" s="6" t="n"/>
      <c r="BZ384" s="6" t="n"/>
      <c r="CA384" s="178">
        <f>BX384+CA381+CA383</f>
        <v/>
      </c>
      <c r="CB384" s="178">
        <f>CA384+CB381+CB383</f>
        <v/>
      </c>
      <c r="CC384" s="178">
        <f>CB384+CC381+CC383</f>
        <v/>
      </c>
      <c r="CD384" s="178">
        <f>CC384+CD381+CD383</f>
        <v/>
      </c>
      <c r="CE384" s="178">
        <f>CD384+CE381+CE383</f>
        <v/>
      </c>
      <c r="CF384" s="20" t="n"/>
    </row>
    <row r="385" ht="15" customHeight="1">
      <c r="B385" s="76" t="inlineStr">
        <is>
          <t xml:space="preserve">  Cash before prepayable facilities (opening cash + CFO + CFI + non-debt financing + FX + scheduled debt flows)</t>
        </is>
      </c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47" t="n"/>
      <c r="X385" s="47" t="n"/>
      <c r="Y385" s="47" t="n"/>
      <c r="Z385" s="47" t="n"/>
      <c r="AA385" s="47" t="n"/>
      <c r="AB385" s="47" t="n"/>
      <c r="AC385" s="47" t="n"/>
      <c r="AD385" s="47" t="n"/>
      <c r="AE385" s="47" t="n"/>
      <c r="AF385" s="47" t="n"/>
      <c r="AG385" s="47" t="n"/>
      <c r="AH385" s="47" t="n"/>
      <c r="AI385" s="47" t="n"/>
      <c r="AJ385" s="47" t="n"/>
      <c r="AK385" s="47" t="n"/>
      <c r="AL385" s="47" t="n"/>
      <c r="AM385" s="47" t="n"/>
      <c r="AN385" s="47" t="n"/>
      <c r="AO385" s="47" t="n"/>
      <c r="AP385" s="47" t="n"/>
      <c r="AQ385" s="47" t="n"/>
      <c r="AR385" s="47" t="n"/>
      <c r="AS385" s="47" t="n"/>
      <c r="AT385" s="47" t="n"/>
      <c r="AU385" s="47" t="n"/>
      <c r="AV385" s="47" t="n"/>
      <c r="AW385" s="47" t="n"/>
      <c r="AX385" s="47" t="n"/>
      <c r="AY385" s="47" t="n"/>
      <c r="AZ385" s="47" t="n"/>
      <c r="BA385" s="47" t="n"/>
      <c r="BB385" s="47" t="n"/>
      <c r="BC385" s="47" t="n"/>
      <c r="BD385" s="47" t="n"/>
      <c r="BE385" s="47" t="n"/>
      <c r="BF385" s="47" t="n"/>
      <c r="BG385" s="47" t="n"/>
      <c r="BH385" s="47" t="n"/>
      <c r="BI385" s="47" t="n"/>
      <c r="BJ385" s="47" t="n"/>
      <c r="BK385" s="47" t="n"/>
      <c r="BL385" s="47" t="n"/>
      <c r="BM385" s="47" t="n"/>
      <c r="BN385" s="47" t="n"/>
      <c r="BO385" s="47" t="n"/>
      <c r="BP385" s="47" t="n"/>
      <c r="BQ385" s="47" t="n"/>
      <c r="BR385" s="47" t="n"/>
      <c r="BS385" s="47" t="n"/>
      <c r="BT385" s="47" t="n"/>
      <c r="BU385" s="47" t="n"/>
      <c r="BV385" s="47" t="n"/>
      <c r="BW385" s="47" t="n"/>
      <c r="BX385" s="47" t="n"/>
      <c r="BY385" s="6" t="n"/>
      <c r="BZ385" s="6" t="n"/>
      <c r="CA385" s="178">
        <f>CA280+CA266+CA271+CA274+CA275+CA276+CA278+(BW272+BX272)+(BW273+BX273)+CA381+CA383</f>
        <v/>
      </c>
      <c r="CB385" s="178">
        <f>CB280+CB266+CB271+CB274+CB275+CB276+CB278+CB381+CB383</f>
        <v/>
      </c>
      <c r="CC385" s="178">
        <f>CC280+CC266+CC271+CC274+CC275+CC276+CC278+CC381+CC383</f>
        <v/>
      </c>
      <c r="CD385" s="178">
        <f>CD280+CD266+CD271+CD274+CD275+CD276+CD278+CD381+CD383</f>
        <v/>
      </c>
      <c r="CE385" s="178">
        <f>CE280+CE266+CE271+CE274+CE275+CE276+CE278+CE381+CE383</f>
        <v/>
      </c>
      <c r="CF385" s="20" t="n"/>
    </row>
    <row r="386" ht="15" customHeight="1">
      <c r="B386" s="76" t="inlineStr">
        <is>
          <t xml:space="preserve">  Minimum cash balance (incl. restricted)</t>
        </is>
      </c>
      <c r="C386" s="47" t="n"/>
      <c r="D386" s="47" t="n"/>
      <c r="E386" s="47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  <c r="W386" s="47" t="n"/>
      <c r="X386" s="47" t="n"/>
      <c r="Y386" s="47" t="n"/>
      <c r="Z386" s="47" t="n"/>
      <c r="AA386" s="47" t="n"/>
      <c r="AB386" s="47" t="n"/>
      <c r="AC386" s="47" t="n"/>
      <c r="AD386" s="47" t="n"/>
      <c r="AE386" s="47" t="n"/>
      <c r="AF386" s="47" t="n"/>
      <c r="AG386" s="47" t="n"/>
      <c r="AH386" s="47" t="n"/>
      <c r="AI386" s="47" t="n"/>
      <c r="AJ386" s="47" t="n"/>
      <c r="AK386" s="47" t="n"/>
      <c r="AL386" s="47" t="n"/>
      <c r="AM386" s="47" t="n"/>
      <c r="AN386" s="47" t="n"/>
      <c r="AO386" s="47" t="n"/>
      <c r="AP386" s="47" t="n"/>
      <c r="AQ386" s="47" t="n"/>
      <c r="AR386" s="47" t="n"/>
      <c r="AS386" s="47" t="n"/>
      <c r="AT386" s="47" t="n"/>
      <c r="AU386" s="47" t="n"/>
      <c r="AV386" s="47" t="n"/>
      <c r="AW386" s="47" t="n"/>
      <c r="AX386" s="47" t="n"/>
      <c r="AY386" s="47" t="n"/>
      <c r="AZ386" s="47" t="n"/>
      <c r="BA386" s="47" t="n"/>
      <c r="BB386" s="47" t="n"/>
      <c r="BC386" s="47" t="n"/>
      <c r="BD386" s="47" t="n"/>
      <c r="BE386" s="47" t="n"/>
      <c r="BF386" s="47" t="n"/>
      <c r="BG386" s="47" t="n"/>
      <c r="BH386" s="47" t="n"/>
      <c r="BI386" s="47" t="n"/>
      <c r="BJ386" s="47" t="n"/>
      <c r="BK386" s="47" t="n"/>
      <c r="BL386" s="47" t="n"/>
      <c r="BM386" s="47" t="n"/>
      <c r="BN386" s="47" t="n"/>
      <c r="BO386" s="47" t="n"/>
      <c r="BP386" s="47" t="n"/>
      <c r="BQ386" s="47" t="n"/>
      <c r="BR386" s="47" t="n"/>
      <c r="BS386" s="47" t="n"/>
      <c r="BT386" s="47" t="n"/>
      <c r="BU386" s="47" t="n"/>
      <c r="BV386" s="47" t="n"/>
      <c r="BW386" s="47" t="n"/>
      <c r="BX386" s="47" t="n"/>
      <c r="BY386" s="6" t="n"/>
      <c r="BZ386" s="6" t="n"/>
      <c r="CA386" s="188" t="n">
        <v>600</v>
      </c>
      <c r="CB386" s="188" t="n">
        <v>600</v>
      </c>
      <c r="CC386" s="188" t="n">
        <v>600</v>
      </c>
      <c r="CD386" s="188" t="n">
        <v>600</v>
      </c>
      <c r="CE386" s="188" t="n">
        <v>600</v>
      </c>
      <c r="CF386" s="20" t="n"/>
    </row>
    <row r="387" ht="15" customHeight="1">
      <c r="B387" s="76" t="inlineStr">
        <is>
          <t xml:space="preserve">  Prepayable facilities outstanding: revolver, commercial paper, receivables securitization (year end)</t>
        </is>
      </c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47" t="n"/>
      <c r="X387" s="47" t="n"/>
      <c r="Y387" s="47" t="n"/>
      <c r="Z387" s="47" t="n"/>
      <c r="AA387" s="47" t="n"/>
      <c r="AB387" s="47" t="n"/>
      <c r="AC387" s="47" t="n"/>
      <c r="AD387" s="47" t="n"/>
      <c r="AE387" s="47" t="n"/>
      <c r="AF387" s="47" t="n"/>
      <c r="AG387" s="47" t="n"/>
      <c r="AH387" s="47" t="n"/>
      <c r="AI387" s="47" t="n"/>
      <c r="AJ387" s="47" t="n"/>
      <c r="AK387" s="47" t="n"/>
      <c r="AL387" s="47" t="n"/>
      <c r="AM387" s="47" t="n"/>
      <c r="AN387" s="47" t="n"/>
      <c r="AO387" s="47" t="n"/>
      <c r="AP387" s="47" t="n"/>
      <c r="AQ387" s="47" t="n"/>
      <c r="AR387" s="47" t="n"/>
      <c r="AS387" s="47" t="n"/>
      <c r="AT387" s="47" t="n"/>
      <c r="AU387" s="47" t="n"/>
      <c r="AV387" s="47" t="n"/>
      <c r="AW387" s="47" t="n"/>
      <c r="AX387" s="47" t="n"/>
      <c r="AY387" s="47" t="n"/>
      <c r="AZ387" s="47" t="n"/>
      <c r="BA387" s="47" t="n"/>
      <c r="BB387" s="47" t="n"/>
      <c r="BC387" s="47" t="n"/>
      <c r="BD387" s="47" t="n"/>
      <c r="BE387" s="47" t="n"/>
      <c r="BF387" s="47" t="n"/>
      <c r="BG387" s="47" t="n"/>
      <c r="BH387" s="47" t="n"/>
      <c r="BI387" s="47" t="n"/>
      <c r="BJ387" s="47" t="n"/>
      <c r="BK387" s="47" t="n"/>
      <c r="BL387" s="47" t="n"/>
      <c r="BM387" s="47" t="n"/>
      <c r="BN387" s="47" t="n"/>
      <c r="BO387" s="47" t="n"/>
      <c r="BP387" s="47" t="n"/>
      <c r="BQ387" s="47" t="n"/>
      <c r="BR387" s="47" t="n"/>
      <c r="BS387" s="47" t="n"/>
      <c r="BT387" s="47" t="n"/>
      <c r="BU387" s="47" t="n"/>
      <c r="BV387" s="47" t="n"/>
      <c r="BW387" s="47" t="n"/>
      <c r="BX387" s="174" t="n">
        <v>1038</v>
      </c>
      <c r="BY387" s="6" t="n"/>
      <c r="BZ387" s="6" t="n"/>
      <c r="CA387" s="178">
        <f>MAX(0,BX387+CA386-CA385)</f>
        <v/>
      </c>
      <c r="CB387" s="178">
        <f>MAX(0,CA387+CB386-CB385)</f>
        <v/>
      </c>
      <c r="CC387" s="178">
        <f>MAX(0,CB387+CC386-CC385)</f>
        <v/>
      </c>
      <c r="CD387" s="178">
        <f>MAX(0,CC387+CD386-CD385)</f>
        <v/>
      </c>
      <c r="CE387" s="178">
        <f>MAX(0,CD387+CE386-CE385)</f>
        <v/>
      </c>
      <c r="CF387" s="20" t="inlineStr">
        <is>
          <t>Drawn / repaid so that cash = minimum balance; surplus cash first repays revolver / CP, then accumulates (or funds buybacks via the leverage plug).</t>
        </is>
      </c>
    </row>
    <row r="388" ht="15" customHeight="1">
      <c r="B388" s="76" t="inlineStr">
        <is>
          <t xml:space="preserve">  Net issuance / (repayment)</t>
        </is>
      </c>
      <c r="C388" s="47" t="n"/>
      <c r="D388" s="47" t="n"/>
      <c r="E388" s="47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  <c r="W388" s="47" t="n"/>
      <c r="X388" s="47" t="n"/>
      <c r="Y388" s="47" t="n"/>
      <c r="Z388" s="47" t="n"/>
      <c r="AA388" s="47" t="n"/>
      <c r="AB388" s="47" t="n"/>
      <c r="AC388" s="47" t="n"/>
      <c r="AD388" s="47" t="n"/>
      <c r="AE388" s="47" t="n"/>
      <c r="AF388" s="47" t="n"/>
      <c r="AG388" s="47" t="n"/>
      <c r="AH388" s="47" t="n"/>
      <c r="AI388" s="47" t="n"/>
      <c r="AJ388" s="47" t="n"/>
      <c r="AK388" s="47" t="n"/>
      <c r="AL388" s="47" t="n"/>
      <c r="AM388" s="47" t="n"/>
      <c r="AN388" s="47" t="n"/>
      <c r="AO388" s="47" t="n"/>
      <c r="AP388" s="47" t="n"/>
      <c r="AQ388" s="47" t="n"/>
      <c r="AR388" s="47" t="n"/>
      <c r="AS388" s="47" t="n"/>
      <c r="AT388" s="47" t="n"/>
      <c r="AU388" s="47" t="n"/>
      <c r="AV388" s="47" t="n"/>
      <c r="AW388" s="47" t="n"/>
      <c r="AX388" s="47" t="n"/>
      <c r="AY388" s="47" t="n"/>
      <c r="AZ388" s="47" t="n"/>
      <c r="BA388" s="47" t="n"/>
      <c r="BB388" s="47" t="n"/>
      <c r="BC388" s="47" t="n"/>
      <c r="BD388" s="47" t="n"/>
      <c r="BE388" s="47" t="n"/>
      <c r="BF388" s="47" t="n"/>
      <c r="BG388" s="47" t="n"/>
      <c r="BH388" s="47" t="n"/>
      <c r="BI388" s="47" t="n"/>
      <c r="BJ388" s="47" t="n"/>
      <c r="BK388" s="47" t="n"/>
      <c r="BL388" s="47" t="n"/>
      <c r="BM388" s="47" t="n"/>
      <c r="BN388" s="47" t="n"/>
      <c r="BO388" s="47" t="n"/>
      <c r="BP388" s="47" t="n"/>
      <c r="BQ388" s="47" t="n"/>
      <c r="BR388" s="47" t="n"/>
      <c r="BS388" s="47" t="n"/>
      <c r="BT388" s="47" t="n"/>
      <c r="BU388" s="47" t="n"/>
      <c r="BV388" s="47" t="n"/>
      <c r="BW388" s="47" t="n"/>
      <c r="BX388" s="47" t="n"/>
      <c r="BY388" s="6" t="n"/>
      <c r="BZ388" s="6" t="n"/>
      <c r="CA388" s="178">
        <f>IFERROR(CA380-BV380,"")</f>
        <v/>
      </c>
      <c r="CB388" s="178">
        <f>IFERROR(CB380-CA380,"")</f>
        <v/>
      </c>
      <c r="CC388" s="178">
        <f>IFERROR(CC380-CB380,"")</f>
        <v/>
      </c>
      <c r="CD388" s="178">
        <f>IFERROR(CD380-CC380,"")</f>
        <v/>
      </c>
      <c r="CE388" s="178">
        <f>IFERROR(CE380-CD380,"")</f>
        <v/>
      </c>
      <c r="CF388" s="20" t="n"/>
    </row>
    <row r="389" ht="15" customHeight="1">
      <c r="B389" s="76" t="inlineStr">
        <is>
          <t xml:space="preserve">  Interest rate on notes &amp; term debt (opening balance) %</t>
        </is>
      </c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47" t="n"/>
      <c r="X389" s="47" t="n"/>
      <c r="Y389" s="47" t="n"/>
      <c r="Z389" s="47" t="n"/>
      <c r="AA389" s="47" t="n"/>
      <c r="AB389" s="47" t="n"/>
      <c r="AC389" s="47" t="n"/>
      <c r="AD389" s="47" t="n"/>
      <c r="AE389" s="47" t="n"/>
      <c r="AF389" s="47" t="n"/>
      <c r="AG389" s="47" t="n"/>
      <c r="AH389" s="47" t="n"/>
      <c r="AI389" s="47" t="n"/>
      <c r="AJ389" s="47" t="n"/>
      <c r="AK389" s="47" t="n"/>
      <c r="AL389" s="47" t="n"/>
      <c r="AM389" s="47" t="n"/>
      <c r="AN389" s="47" t="n"/>
      <c r="AO389" s="47" t="n"/>
      <c r="AP389" s="47" t="n"/>
      <c r="AQ389" s="47" t="n"/>
      <c r="AR389" s="47" t="n"/>
      <c r="AS389" s="47" t="n"/>
      <c r="AT389" s="47" t="n"/>
      <c r="AU389" s="47" t="n"/>
      <c r="AV389" s="47" t="n"/>
      <c r="AW389" s="47" t="n"/>
      <c r="AX389" s="47" t="n"/>
      <c r="AY389" s="47" t="n"/>
      <c r="AZ389" s="47" t="n"/>
      <c r="BA389" s="47" t="n"/>
      <c r="BB389" s="47" t="n"/>
      <c r="BC389" s="47" t="n"/>
      <c r="BD389" s="47" t="n"/>
      <c r="BE389" s="47" t="n"/>
      <c r="BF389" s="47" t="n"/>
      <c r="BG389" s="47" t="n"/>
      <c r="BH389" s="47" t="n"/>
      <c r="BI389" s="47" t="n"/>
      <c r="BJ389" s="47" t="n"/>
      <c r="BK389" s="47" t="n"/>
      <c r="BL389" s="47" t="n"/>
      <c r="BM389" s="47" t="n"/>
      <c r="BN389" s="47" t="n"/>
      <c r="BO389" s="47" t="n"/>
      <c r="BP389" s="47" t="n"/>
      <c r="BQ389" s="47" t="n"/>
      <c r="BR389" s="47" t="n"/>
      <c r="BS389" s="47" t="n"/>
      <c r="BT389" s="47" t="n"/>
      <c r="BU389" s="47" t="n"/>
      <c r="BV389" s="47" t="n"/>
      <c r="BW389" s="47" t="n"/>
      <c r="BX389" s="47" t="n"/>
      <c r="BY389" s="6" t="n"/>
      <c r="BZ389" s="6" t="n"/>
      <c r="CA389" s="37" t="n"/>
      <c r="CB389" s="181" t="n">
        <v>0.047</v>
      </c>
      <c r="CC389" s="181" t="n">
        <v>0.048</v>
      </c>
      <c r="CD389" s="181" t="n">
        <v>0.05</v>
      </c>
      <c r="CE389" s="181" t="n">
        <v>0.051</v>
      </c>
      <c r="CF389" s="20" t="inlineStr">
        <is>
          <t>Blended coupon ~4.5% on the 30-Jun-26 notes &amp; term loans; drifts up as the 3.45% 2026, 1.25% EUR 2027 and 4.70% 2028 notes refinance at ~5.0–5.5%.</t>
        </is>
      </c>
    </row>
    <row r="390" ht="15" customHeight="1">
      <c r="B390" s="76" t="inlineStr">
        <is>
          <t xml:space="preserve">  Interest rate on prepayable facilities %</t>
        </is>
      </c>
      <c r="C390" s="47" t="n"/>
      <c r="D390" s="47" t="n"/>
      <c r="E390" s="47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  <c r="W390" s="47" t="n"/>
      <c r="X390" s="47" t="n"/>
      <c r="Y390" s="47" t="n"/>
      <c r="Z390" s="47" t="n"/>
      <c r="AA390" s="47" t="n"/>
      <c r="AB390" s="47" t="n"/>
      <c r="AC390" s="47" t="n"/>
      <c r="AD390" s="47" t="n"/>
      <c r="AE390" s="47" t="n"/>
      <c r="AF390" s="47" t="n"/>
      <c r="AG390" s="47" t="n"/>
      <c r="AH390" s="47" t="n"/>
      <c r="AI390" s="47" t="n"/>
      <c r="AJ390" s="47" t="n"/>
      <c r="AK390" s="47" t="n"/>
      <c r="AL390" s="47" t="n"/>
      <c r="AM390" s="47" t="n"/>
      <c r="AN390" s="47" t="n"/>
      <c r="AO390" s="47" t="n"/>
      <c r="AP390" s="47" t="n"/>
      <c r="AQ390" s="47" t="n"/>
      <c r="AR390" s="47" t="n"/>
      <c r="AS390" s="47" t="n"/>
      <c r="AT390" s="47" t="n"/>
      <c r="AU390" s="47" t="n"/>
      <c r="AV390" s="47" t="n"/>
      <c r="AW390" s="47" t="n"/>
      <c r="AX390" s="47" t="n"/>
      <c r="AY390" s="47" t="n"/>
      <c r="AZ390" s="47" t="n"/>
      <c r="BA390" s="47" t="n"/>
      <c r="BB390" s="47" t="n"/>
      <c r="BC390" s="47" t="n"/>
      <c r="BD390" s="47" t="n"/>
      <c r="BE390" s="47" t="n"/>
      <c r="BF390" s="47" t="n"/>
      <c r="BG390" s="47" t="n"/>
      <c r="BH390" s="47" t="n"/>
      <c r="BI390" s="47" t="n"/>
      <c r="BJ390" s="47" t="n"/>
      <c r="BK390" s="47" t="n"/>
      <c r="BL390" s="47" t="n"/>
      <c r="BM390" s="47" t="n"/>
      <c r="BN390" s="47" t="n"/>
      <c r="BO390" s="47" t="n"/>
      <c r="BP390" s="47" t="n"/>
      <c r="BQ390" s="47" t="n"/>
      <c r="BR390" s="47" t="n"/>
      <c r="BS390" s="47" t="n"/>
      <c r="BT390" s="47" t="n"/>
      <c r="BU390" s="47" t="n"/>
      <c r="BV390" s="47" t="n"/>
      <c r="BW390" s="47" t="n"/>
      <c r="BX390" s="47" t="n"/>
      <c r="BY390" s="6" t="n"/>
      <c r="BZ390" s="6" t="n"/>
      <c r="CA390" s="37" t="n"/>
      <c r="CB390" s="181" t="n">
        <v>0.045</v>
      </c>
      <c r="CC390" s="181" t="n">
        <v>0.045</v>
      </c>
      <c r="CD390" s="181" t="n">
        <v>0.045</v>
      </c>
      <c r="CE390" s="181" t="n">
        <v>0.045</v>
      </c>
      <c r="CF390" s="20" t="n"/>
    </row>
    <row r="391" ht="15" customHeight="1">
      <c r="B391" s="76" t="inlineStr">
        <is>
          <t xml:space="preserve">  Interest income yield on opening cash %</t>
        </is>
      </c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47" t="n"/>
      <c r="X391" s="47" t="n"/>
      <c r="Y391" s="47" t="n"/>
      <c r="Z391" s="47" t="n"/>
      <c r="AA391" s="47" t="n"/>
      <c r="AB391" s="47" t="n"/>
      <c r="AC391" s="47" t="n"/>
      <c r="AD391" s="47" t="n"/>
      <c r="AE391" s="47" t="n"/>
      <c r="AF391" s="47" t="n"/>
      <c r="AG391" s="47" t="n"/>
      <c r="AH391" s="47" t="n"/>
      <c r="AI391" s="47" t="n"/>
      <c r="AJ391" s="47" t="n"/>
      <c r="AK391" s="47" t="n"/>
      <c r="AL391" s="47" t="n"/>
      <c r="AM391" s="47" t="n"/>
      <c r="AN391" s="47" t="n"/>
      <c r="AO391" s="47" t="n"/>
      <c r="AP391" s="47" t="n"/>
      <c r="AQ391" s="47" t="n"/>
      <c r="AR391" s="47" t="n"/>
      <c r="AS391" s="47" t="n"/>
      <c r="AT391" s="47" t="n"/>
      <c r="AU391" s="47" t="n"/>
      <c r="AV391" s="47" t="n"/>
      <c r="AW391" s="47" t="n"/>
      <c r="AX391" s="47" t="n"/>
      <c r="AY391" s="47" t="n"/>
      <c r="AZ391" s="47" t="n"/>
      <c r="BA391" s="47" t="n"/>
      <c r="BB391" s="47" t="n"/>
      <c r="BC391" s="47" t="n"/>
      <c r="BD391" s="47" t="n"/>
      <c r="BE391" s="47" t="n"/>
      <c r="BF391" s="47" t="n"/>
      <c r="BG391" s="47" t="n"/>
      <c r="BH391" s="47" t="n"/>
      <c r="BI391" s="47" t="n"/>
      <c r="BJ391" s="47" t="n"/>
      <c r="BK391" s="47" t="n"/>
      <c r="BL391" s="47" t="n"/>
      <c r="BM391" s="47" t="n"/>
      <c r="BN391" s="47" t="n"/>
      <c r="BO391" s="47" t="n"/>
      <c r="BP391" s="47" t="n"/>
      <c r="BQ391" s="47" t="n"/>
      <c r="BR391" s="47" t="n"/>
      <c r="BS391" s="47" t="n"/>
      <c r="BT391" s="47" t="n"/>
      <c r="BU391" s="47" t="n"/>
      <c r="BV391" s="47" t="n"/>
      <c r="BW391" s="47" t="n"/>
      <c r="BX391" s="47" t="n"/>
      <c r="BY391" s="6" t="n"/>
      <c r="BZ391" s="6" t="n"/>
      <c r="CA391" s="37" t="n"/>
      <c r="CB391" s="181" t="n">
        <v>0.02</v>
      </c>
      <c r="CC391" s="181" t="n">
        <v>0.02</v>
      </c>
      <c r="CD391" s="181" t="n">
        <v>0.02</v>
      </c>
      <c r="CE391" s="181" t="n">
        <v>0.02</v>
      </c>
      <c r="CF391" s="20" t="n"/>
    </row>
    <row r="392" ht="15" customHeight="1">
      <c r="B392" s="26" t="inlineStr">
        <is>
          <t>Leverage-targeted buybacks (repurchases plug to a minimum net debt / Adjusted EBITDA, 2027E+)</t>
        </is>
      </c>
      <c r="CF392" s="6" t="n"/>
    </row>
    <row r="393" ht="15" customHeight="1">
      <c r="B393" s="76" t="inlineStr">
        <is>
          <t xml:space="preserve">  Minimum net debt / Adjusted EBITDA (x) (scenario)</t>
        </is>
      </c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  <c r="Y393" s="47" t="n"/>
      <c r="Z393" s="47" t="n"/>
      <c r="AA393" s="47" t="n"/>
      <c r="AB393" s="47" t="n"/>
      <c r="AC393" s="47" t="n"/>
      <c r="AD393" s="47" t="n"/>
      <c r="AE393" s="47" t="n"/>
      <c r="AF393" s="47" t="n"/>
      <c r="AG393" s="47" t="n"/>
      <c r="AH393" s="47" t="n"/>
      <c r="AI393" s="47" t="n"/>
      <c r="AJ393" s="47" t="n"/>
      <c r="AK393" s="47" t="n"/>
      <c r="AL393" s="47" t="n"/>
      <c r="AM393" s="47" t="n"/>
      <c r="AN393" s="47" t="n"/>
      <c r="AO393" s="47" t="n"/>
      <c r="AP393" s="47" t="n"/>
      <c r="AQ393" s="47" t="n"/>
      <c r="AR393" s="47" t="n"/>
      <c r="AS393" s="47" t="n"/>
      <c r="AT393" s="47" t="n"/>
      <c r="AU393" s="47" t="n"/>
      <c r="AV393" s="47" t="n"/>
      <c r="AW393" s="47" t="n"/>
      <c r="AX393" s="47" t="n"/>
      <c r="AY393" s="47" t="n"/>
      <c r="AZ393" s="47" t="n"/>
      <c r="BA393" s="47" t="n"/>
      <c r="BB393" s="47" t="n"/>
      <c r="BC393" s="47" t="n"/>
      <c r="BD393" s="47" t="n"/>
      <c r="BE393" s="47" t="n"/>
      <c r="BF393" s="47" t="n"/>
      <c r="BG393" s="47" t="n"/>
      <c r="BH393" s="47" t="n"/>
      <c r="BI393" s="47" t="n"/>
      <c r="BJ393" s="47" t="n"/>
      <c r="BK393" s="47" t="n"/>
      <c r="BL393" s="47" t="n"/>
      <c r="BM393" s="47" t="n"/>
      <c r="BN393" s="47" t="n"/>
      <c r="BO393" s="47" t="n"/>
      <c r="BP393" s="47" t="n"/>
      <c r="BQ393" s="47" t="n"/>
      <c r="BR393" s="47" t="n"/>
      <c r="BS393" s="47" t="n"/>
      <c r="BT393" s="47" t="n"/>
      <c r="BU393" s="47" t="n"/>
      <c r="BV393" s="47" t="n"/>
      <c r="BW393" s="47" t="n"/>
      <c r="BX393" s="47" t="n"/>
      <c r="BY393" s="6" t="n"/>
      <c r="BZ393" s="6" t="n"/>
      <c r="CA393" s="37" t="n"/>
      <c r="CB393" s="214">
        <f>CHOOSE(MATCH($CF$2,{"Bull","Base","Bear"},0),$CO$28,$CP$28,$CQ$28)</f>
        <v/>
      </c>
      <c r="CC393" s="214">
        <f>CHOOSE(MATCH($CF$2,{"Bull","Base","Bear"},0),$CO$28,$CP$28,$CQ$28)</f>
        <v/>
      </c>
      <c r="CD393" s="214">
        <f>CHOOSE(MATCH($CF$2,{"Bull","Base","Bear"},0),$CO$28,$CP$28,$CQ$28)</f>
        <v/>
      </c>
      <c r="CE393" s="214">
        <f>CHOOSE(MATCH($CF$2,{"Bull","Base","Bear"},0),$CO$28,$CP$28,$CQ$28)</f>
        <v/>
      </c>
      <c r="CF393" s="20" t="inlineStr">
        <is>
          <t>Wabtec targets net leverage of ~2.0–2.5x through the cycle; ~1.7x Adjusted EBITDA expected at YE26 (2.0x at 30-Jun-26 after Dellner). Floors leave headroom for bolt-on M&amp;A; buybacks absorb free cash flow once leverage reaches the scenario floor.</t>
        </is>
      </c>
    </row>
    <row r="394" ht="15" customHeight="1">
      <c r="B394" s="76" t="inlineStr">
        <is>
          <t xml:space="preserve">  Net debt before buybacks (year end)</t>
        </is>
      </c>
      <c r="C394" s="47" t="n"/>
      <c r="D394" s="47" t="n"/>
      <c r="E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  <c r="W394" s="47" t="n"/>
      <c r="X394" s="47" t="n"/>
      <c r="Y394" s="47" t="n"/>
      <c r="Z394" s="47" t="n"/>
      <c r="AA394" s="47" t="n"/>
      <c r="AB394" s="47" t="n"/>
      <c r="AC394" s="47" t="n"/>
      <c r="AD394" s="47" t="n"/>
      <c r="AE394" s="47" t="n"/>
      <c r="AF394" s="47" t="n"/>
      <c r="AG394" s="47" t="n"/>
      <c r="AH394" s="47" t="n"/>
      <c r="AI394" s="47" t="n"/>
      <c r="AJ394" s="47" t="n"/>
      <c r="AK394" s="47" t="n"/>
      <c r="AL394" s="47" t="n"/>
      <c r="AM394" s="47" t="n"/>
      <c r="AN394" s="47" t="n"/>
      <c r="AO394" s="47" t="n"/>
      <c r="AP394" s="47" t="n"/>
      <c r="AQ394" s="47" t="n"/>
      <c r="AR394" s="47" t="n"/>
      <c r="AS394" s="47" t="n"/>
      <c r="AT394" s="47" t="n"/>
      <c r="AU394" s="47" t="n"/>
      <c r="AV394" s="47" t="n"/>
      <c r="AW394" s="47" t="n"/>
      <c r="AX394" s="47" t="n"/>
      <c r="AY394" s="47" t="n"/>
      <c r="AZ394" s="47" t="n"/>
      <c r="BA394" s="47" t="n"/>
      <c r="BB394" s="47" t="n"/>
      <c r="BC394" s="47" t="n"/>
      <c r="BD394" s="47" t="n"/>
      <c r="BE394" s="47" t="n"/>
      <c r="BF394" s="47" t="n"/>
      <c r="BG394" s="47" t="n"/>
      <c r="BH394" s="47" t="n"/>
      <c r="BI394" s="47" t="n"/>
      <c r="BJ394" s="47" t="n"/>
      <c r="BK394" s="47" t="n"/>
      <c r="BL394" s="47" t="n"/>
      <c r="BM394" s="47" t="n"/>
      <c r="BN394" s="47" t="n"/>
      <c r="BO394" s="47" t="n"/>
      <c r="BP394" s="47" t="n"/>
      <c r="BQ394" s="47" t="n"/>
      <c r="BR394" s="47" t="n"/>
      <c r="BS394" s="47" t="n"/>
      <c r="BT394" s="47" t="n"/>
      <c r="BU394" s="47" t="n"/>
      <c r="BV394" s="47" t="n"/>
      <c r="BW394" s="47" t="n"/>
      <c r="BX394" s="47" t="n"/>
      <c r="BY394" s="6" t="n"/>
      <c r="BZ394" s="6" t="n"/>
      <c r="CA394" s="37" t="n"/>
      <c r="CB394" s="178">
        <f>CA384+CA387-CA281-CB266-CB271-CB274-CB276-CB278</f>
        <v/>
      </c>
      <c r="CC394" s="178">
        <f>CB384+CB387-CB281-CC266-CC271-CC274-CC276-CC278</f>
        <v/>
      </c>
      <c r="CD394" s="178">
        <f>CC384+CC387-CC281-CD266-CD271-CD274-CD276-CD278</f>
        <v/>
      </c>
      <c r="CE394" s="178">
        <f>CD384+CD387-CD281-CE266-CE271-CE274-CE276-CE278</f>
        <v/>
      </c>
      <c r="CF394" s="20" t="n"/>
    </row>
    <row r="395" ht="15" customHeight="1">
      <c r="B395" s="76" t="inlineStr">
        <is>
          <t xml:space="preserve">  Target minimum net debt = min. leverage × Adjusted EBITDA</t>
        </is>
      </c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47" t="n"/>
      <c r="X395" s="47" t="n"/>
      <c r="Y395" s="47" t="n"/>
      <c r="Z395" s="47" t="n"/>
      <c r="AA395" s="47" t="n"/>
      <c r="AB395" s="47" t="n"/>
      <c r="AC395" s="47" t="n"/>
      <c r="AD395" s="47" t="n"/>
      <c r="AE395" s="47" t="n"/>
      <c r="AF395" s="47" t="n"/>
      <c r="AG395" s="47" t="n"/>
      <c r="AH395" s="47" t="n"/>
      <c r="AI395" s="47" t="n"/>
      <c r="AJ395" s="47" t="n"/>
      <c r="AK395" s="47" t="n"/>
      <c r="AL395" s="47" t="n"/>
      <c r="AM395" s="47" t="n"/>
      <c r="AN395" s="47" t="n"/>
      <c r="AO395" s="47" t="n"/>
      <c r="AP395" s="47" t="n"/>
      <c r="AQ395" s="47" t="n"/>
      <c r="AR395" s="47" t="n"/>
      <c r="AS395" s="47" t="n"/>
      <c r="AT395" s="47" t="n"/>
      <c r="AU395" s="47" t="n"/>
      <c r="AV395" s="47" t="n"/>
      <c r="AW395" s="47" t="n"/>
      <c r="AX395" s="47" t="n"/>
      <c r="AY395" s="47" t="n"/>
      <c r="AZ395" s="47" t="n"/>
      <c r="BA395" s="47" t="n"/>
      <c r="BB395" s="47" t="n"/>
      <c r="BC395" s="47" t="n"/>
      <c r="BD395" s="47" t="n"/>
      <c r="BE395" s="47" t="n"/>
      <c r="BF395" s="47" t="n"/>
      <c r="BG395" s="47" t="n"/>
      <c r="BH395" s="47" t="n"/>
      <c r="BI395" s="47" t="n"/>
      <c r="BJ395" s="47" t="n"/>
      <c r="BK395" s="47" t="n"/>
      <c r="BL395" s="47" t="n"/>
      <c r="BM395" s="47" t="n"/>
      <c r="BN395" s="47" t="n"/>
      <c r="BO395" s="47" t="n"/>
      <c r="BP395" s="47" t="n"/>
      <c r="BQ395" s="47" t="n"/>
      <c r="BR395" s="47" t="n"/>
      <c r="BS395" s="47" t="n"/>
      <c r="BT395" s="47" t="n"/>
      <c r="BU395" s="47" t="n"/>
      <c r="BV395" s="47" t="n"/>
      <c r="BW395" s="47" t="n"/>
      <c r="BX395" s="47" t="n"/>
      <c r="BY395" s="6" t="n"/>
      <c r="BZ395" s="6" t="n"/>
      <c r="CA395" s="37" t="n"/>
      <c r="CB395" s="178">
        <f>CB393*CB194</f>
        <v/>
      </c>
      <c r="CC395" s="178">
        <f>CC393*CC194</f>
        <v/>
      </c>
      <c r="CD395" s="178">
        <f>CD393*CD194</f>
        <v/>
      </c>
      <c r="CE395" s="178">
        <f>CE393*CE194</f>
        <v/>
      </c>
      <c r="CF395" s="20" t="n"/>
    </row>
    <row r="396" ht="15" customHeight="1">
      <c r="B396" s="76" t="inlineStr">
        <is>
          <t xml:space="preserve">  Share repurchases: plug to minimum leverage</t>
        </is>
      </c>
      <c r="C396" s="47" t="n"/>
      <c r="D396" s="47" t="n"/>
      <c r="E396" s="47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  <c r="W396" s="47" t="n"/>
      <c r="X396" s="47" t="n"/>
      <c r="Y396" s="47" t="n"/>
      <c r="Z396" s="47" t="n"/>
      <c r="AA396" s="47" t="n"/>
      <c r="AB396" s="47" t="n"/>
      <c r="AC396" s="47" t="n"/>
      <c r="AD396" s="47" t="n"/>
      <c r="AE396" s="47" t="n"/>
      <c r="AF396" s="47" t="n"/>
      <c r="AG396" s="47" t="n"/>
      <c r="AH396" s="47" t="n"/>
      <c r="AI396" s="47" t="n"/>
      <c r="AJ396" s="47" t="n"/>
      <c r="AK396" s="47" t="n"/>
      <c r="AL396" s="47" t="n"/>
      <c r="AM396" s="47" t="n"/>
      <c r="AN396" s="47" t="n"/>
      <c r="AO396" s="47" t="n"/>
      <c r="AP396" s="47" t="n"/>
      <c r="AQ396" s="47" t="n"/>
      <c r="AR396" s="47" t="n"/>
      <c r="AS396" s="47" t="n"/>
      <c r="AT396" s="47" t="n"/>
      <c r="AU396" s="47" t="n"/>
      <c r="AV396" s="47" t="n"/>
      <c r="AW396" s="47" t="n"/>
      <c r="AX396" s="47" t="n"/>
      <c r="AY396" s="47" t="n"/>
      <c r="AZ396" s="47" t="n"/>
      <c r="BA396" s="47" t="n"/>
      <c r="BB396" s="47" t="n"/>
      <c r="BC396" s="47" t="n"/>
      <c r="BD396" s="47" t="n"/>
      <c r="BE396" s="47" t="n"/>
      <c r="BF396" s="47" t="n"/>
      <c r="BG396" s="47" t="n"/>
      <c r="BH396" s="47" t="n"/>
      <c r="BI396" s="47" t="n"/>
      <c r="BJ396" s="47" t="n"/>
      <c r="BK396" s="47" t="n"/>
      <c r="BL396" s="47" t="n"/>
      <c r="BM396" s="47" t="n"/>
      <c r="BN396" s="47" t="n"/>
      <c r="BO396" s="47" t="n"/>
      <c r="BP396" s="47" t="n"/>
      <c r="BQ396" s="47" t="n"/>
      <c r="BR396" s="47" t="n"/>
      <c r="BS396" s="47" t="n"/>
      <c r="BT396" s="47" t="n"/>
      <c r="BU396" s="47" t="n"/>
      <c r="BV396" s="47" t="n"/>
      <c r="BW396" s="47" t="n"/>
      <c r="BX396" s="47" t="n"/>
      <c r="BY396" s="6" t="n"/>
      <c r="BZ396" s="6" t="n"/>
      <c r="CA396" s="37" t="n"/>
      <c r="CB396" s="178">
        <f>MAX(0,CB395-CB394)</f>
        <v/>
      </c>
      <c r="CC396" s="178">
        <f>MAX(0,CC395-CC394)</f>
        <v/>
      </c>
      <c r="CD396" s="178">
        <f>MAX(0,CD395-CD394)</f>
        <v/>
      </c>
      <c r="CE396" s="178">
        <f>MAX(0,CE395-CE394)</f>
        <v/>
      </c>
      <c r="CF396" s="20" t="inlineStr">
        <is>
          <t>Surplus cash beyond the leverage floor is returned via buybacks; feeds the cash-flow repurchase line.</t>
        </is>
      </c>
    </row>
    <row r="397" ht="15" customHeight="1">
      <c r="B397" s="26" t="inlineStr">
        <is>
          <t>Historical reference (driver context)</t>
        </is>
      </c>
      <c r="CF397" s="6" t="n"/>
    </row>
    <row r="398" ht="15" customHeight="1">
      <c r="B398" s="26" t="inlineStr">
        <is>
          <t xml:space="preserve">  Total D&amp;A % of net sales</t>
        </is>
      </c>
      <c r="C398" s="187">
        <f>IF(AND(ISNUMBER(C164),ISNUMBER(C142)),IFERROR(C164/C142,""),"")</f>
        <v/>
      </c>
      <c r="D398" s="187">
        <f>IF(AND(ISNUMBER(D164),ISNUMBER(D142)),IFERROR(D164/D142,""),"")</f>
        <v/>
      </c>
      <c r="E398" s="187">
        <f>IF(AND(ISNUMBER(E164),ISNUMBER(E142)),IFERROR(E164/E142,""),"")</f>
        <v/>
      </c>
      <c r="F398" s="187">
        <f>IF(AND(ISNUMBER(F164),ISNUMBER(F142)),IFERROR(F164/F142,""),"")</f>
        <v/>
      </c>
      <c r="G398" s="187">
        <f>IF(AND(ISNUMBER(G164),ISNUMBER(G142)),IFERROR(G164/G142,""),"")</f>
        <v/>
      </c>
      <c r="H398" s="187">
        <f>IF(AND(ISNUMBER(H164),ISNUMBER(H142)),IFERROR(H164/H142,""),"")</f>
        <v/>
      </c>
      <c r="I398" s="187">
        <f>IF(AND(ISNUMBER(I164),ISNUMBER(I142)),IFERROR(I164/I142,""),"")</f>
        <v/>
      </c>
      <c r="J398" s="187">
        <f>IF(AND(ISNUMBER(J164),ISNUMBER(J142)),IFERROR(J164/J142,""),"")</f>
        <v/>
      </c>
      <c r="K398" s="187">
        <f>IF(AND(ISNUMBER(K164),ISNUMBER(K142)),IFERROR(K164/K142,""),"")</f>
        <v/>
      </c>
      <c r="L398" s="187">
        <f>IF(AND(ISNUMBER(L164),ISNUMBER(L142)),IFERROR(L164/L142,""),"")</f>
        <v/>
      </c>
      <c r="M398" s="187">
        <f>IF(AND(ISNUMBER(M164),ISNUMBER(M142)),IFERROR(M164/M142,""),"")</f>
        <v/>
      </c>
      <c r="N398" s="187">
        <f>IF(AND(ISNUMBER(N164),ISNUMBER(N142)),IFERROR(N164/N142,""),"")</f>
        <v/>
      </c>
      <c r="O398" s="187">
        <f>IF(AND(ISNUMBER(O164),ISNUMBER(O142)),IFERROR(O164/O142,""),"")</f>
        <v/>
      </c>
      <c r="P398" s="187">
        <f>IF(AND(ISNUMBER(P164),ISNUMBER(P142)),IFERROR(P164/P142,""),"")</f>
        <v/>
      </c>
      <c r="Q398" s="187">
        <f>IF(AND(ISNUMBER(Q164),ISNUMBER(Q142)),IFERROR(Q164/Q142,""),"")</f>
        <v/>
      </c>
      <c r="R398" s="187">
        <f>IF(AND(ISNUMBER(R164),ISNUMBER(R142)),IFERROR(R164/R142,""),"")</f>
        <v/>
      </c>
      <c r="S398" s="187">
        <f>IF(AND(ISNUMBER(S164),ISNUMBER(S142)),IFERROR(S164/S142,""),"")</f>
        <v/>
      </c>
      <c r="T398" s="187">
        <f>IF(AND(ISNUMBER(T164),ISNUMBER(T142)),IFERROR(T164/T142,""),"")</f>
        <v/>
      </c>
      <c r="U398" s="187">
        <f>IF(AND(ISNUMBER(U164),ISNUMBER(U142)),IFERROR(U164/U142,""),"")</f>
        <v/>
      </c>
      <c r="V398" s="187">
        <f>IF(AND(ISNUMBER(V164),ISNUMBER(V142)),IFERROR(V164/V142,""),"")</f>
        <v/>
      </c>
      <c r="W398" s="187">
        <f>IF(AND(ISNUMBER(W164),ISNUMBER(W142)),IFERROR(W164/W142,""),"")</f>
        <v/>
      </c>
      <c r="X398" s="187">
        <f>IF(AND(ISNUMBER(X164),ISNUMBER(X142)),IFERROR(X164/X142,""),"")</f>
        <v/>
      </c>
      <c r="Y398" s="187">
        <f>IF(AND(ISNUMBER(Y164),ISNUMBER(Y142)),IFERROR(Y164/Y142,""),"")</f>
        <v/>
      </c>
      <c r="Z398" s="187">
        <f>IF(AND(ISNUMBER(Z164),ISNUMBER(Z142)),IFERROR(Z164/Z142,""),"")</f>
        <v/>
      </c>
      <c r="AA398" s="187">
        <f>IF(AND(ISNUMBER(AA164),ISNUMBER(AA142)),IFERROR(AA164/AA142,""),"")</f>
        <v/>
      </c>
      <c r="AB398" s="187">
        <f>IF(AND(ISNUMBER(AB164),ISNUMBER(AB142)),IFERROR(AB164/AB142,""),"")</f>
        <v/>
      </c>
      <c r="AC398" s="187">
        <f>IF(AND(ISNUMBER(AC164),ISNUMBER(AC142)),IFERROR(AC164/AC142,""),"")</f>
        <v/>
      </c>
      <c r="AD398" s="187">
        <f>IF(AND(ISNUMBER(AD164),ISNUMBER(AD142)),IFERROR(AD164/AD142,""),"")</f>
        <v/>
      </c>
      <c r="AE398" s="187">
        <f>IF(AND(ISNUMBER(AE164),ISNUMBER(AE142)),IFERROR(AE164/AE142,""),"")</f>
        <v/>
      </c>
      <c r="AF398" s="187">
        <f>IF(AND(ISNUMBER(AF164),ISNUMBER(AF142)),IFERROR(AF164/AF142,""),"")</f>
        <v/>
      </c>
      <c r="AG398" s="187">
        <f>IF(AND(ISNUMBER(AG164),ISNUMBER(AG142)),IFERROR(AG164/AG142,""),"")</f>
        <v/>
      </c>
      <c r="AH398" s="187">
        <f>IF(AND(ISNUMBER(AH164),ISNUMBER(AH142)),IFERROR(AH164/AH142,""),"")</f>
        <v/>
      </c>
      <c r="AI398" s="187">
        <f>IF(AND(ISNUMBER(AI164),ISNUMBER(AI142)),IFERROR(AI164/AI142,""),"")</f>
        <v/>
      </c>
      <c r="AJ398" s="187">
        <f>IF(AND(ISNUMBER(AJ164),ISNUMBER(AJ142)),IFERROR(AJ164/AJ142,""),"")</f>
        <v/>
      </c>
      <c r="AK398" s="187">
        <f>IF(AND(ISNUMBER(AK164),ISNUMBER(AK142)),IFERROR(AK164/AK142,""),"")</f>
        <v/>
      </c>
      <c r="AL398" s="187">
        <f>IF(AND(ISNUMBER(AL164),ISNUMBER(AL142)),IFERROR(AL164/AL142,""),"")</f>
        <v/>
      </c>
      <c r="AM398" s="187">
        <f>IF(AND(ISNUMBER(AM164),ISNUMBER(AM142)),IFERROR(AM164/AM142,""),"")</f>
        <v/>
      </c>
      <c r="AN398" s="187">
        <f>IF(AND(ISNUMBER(AN164),ISNUMBER(AN142)),IFERROR(AN164/AN142,""),"")</f>
        <v/>
      </c>
      <c r="AO398" s="187">
        <f>IF(AND(ISNUMBER(AO164),ISNUMBER(AO142)),IFERROR(AO164/AO142,""),"")</f>
        <v/>
      </c>
      <c r="AP398" s="187">
        <f>IF(AND(ISNUMBER(AP164),ISNUMBER(AP142)),IFERROR(AP164/AP142,""),"")</f>
        <v/>
      </c>
      <c r="AQ398" s="187">
        <f>IF(AND(ISNUMBER(AQ164),ISNUMBER(AQ142)),IFERROR(AQ164/AQ142,""),"")</f>
        <v/>
      </c>
      <c r="AR398" s="187">
        <f>IF(AND(ISNUMBER(AR164),ISNUMBER(AR142)),IFERROR(AR164/AR142,""),"")</f>
        <v/>
      </c>
      <c r="AS398" s="187">
        <f>IF(AND(ISNUMBER(AS164),ISNUMBER(AS142)),IFERROR(AS164/AS142,""),"")</f>
        <v/>
      </c>
      <c r="AT398" s="187">
        <f>IF(AND(ISNUMBER(AT164),ISNUMBER(AT142)),IFERROR(AT164/AT142,""),"")</f>
        <v/>
      </c>
      <c r="AU398" s="187">
        <f>IF(AND(ISNUMBER(AU164),ISNUMBER(AU142)),IFERROR(AU164/AU142,""),"")</f>
        <v/>
      </c>
      <c r="AV398" s="187">
        <f>IF(AND(ISNUMBER(AV164),ISNUMBER(AV142)),IFERROR(AV164/AV142,""),"")</f>
        <v/>
      </c>
      <c r="AW398" s="187">
        <f>IF(AND(ISNUMBER(AW164),ISNUMBER(AW142)),IFERROR(AW164/AW142,""),"")</f>
        <v/>
      </c>
      <c r="AX398" s="187">
        <f>IF(AND(ISNUMBER(AX164),ISNUMBER(AX142)),IFERROR(AX164/AX142,""),"")</f>
        <v/>
      </c>
      <c r="AY398" s="187">
        <f>IF(AND(ISNUMBER(AY164),ISNUMBER(AY142)),IFERROR(AY164/AY142,""),"")</f>
        <v/>
      </c>
      <c r="AZ398" s="187">
        <f>IF(AND(ISNUMBER(AZ164),ISNUMBER(AZ142)),IFERROR(AZ164/AZ142,""),"")</f>
        <v/>
      </c>
      <c r="BA398" s="187">
        <f>IF(AND(ISNUMBER(BA164),ISNUMBER(BA142)),IFERROR(BA164/BA142,""),"")</f>
        <v/>
      </c>
      <c r="BB398" s="187">
        <f>IF(AND(ISNUMBER(BB164),ISNUMBER(BB142)),IFERROR(BB164/BB142,""),"")</f>
        <v/>
      </c>
      <c r="BC398" s="187">
        <f>IF(AND(ISNUMBER(BC164),ISNUMBER(BC142)),IFERROR(BC164/BC142,""),"")</f>
        <v/>
      </c>
      <c r="BD398" s="187">
        <f>IF(AND(ISNUMBER(BD164),ISNUMBER(BD142)),IFERROR(BD164/BD142,""),"")</f>
        <v/>
      </c>
      <c r="BE398" s="187">
        <f>IF(AND(ISNUMBER(BE164),ISNUMBER(BE142)),IFERROR(BE164/BE142,""),"")</f>
        <v/>
      </c>
      <c r="BF398" s="187">
        <f>IF(AND(ISNUMBER(BF164),ISNUMBER(BF142)),IFERROR(BF164/BF142,""),"")</f>
        <v/>
      </c>
      <c r="BG398" s="187">
        <f>IF(AND(ISNUMBER(BG164),ISNUMBER(BG142)),IFERROR(BG164/BG142,""),"")</f>
        <v/>
      </c>
      <c r="BH398" s="187">
        <f>IF(AND(ISNUMBER(BH164),ISNUMBER(BH142)),IFERROR(BH164/BH142,""),"")</f>
        <v/>
      </c>
      <c r="BI398" s="187">
        <f>IF(AND(ISNUMBER(BI164),ISNUMBER(BI142)),IFERROR(BI164/BI142,""),"")</f>
        <v/>
      </c>
      <c r="BJ398" s="187">
        <f>IF(AND(ISNUMBER(BJ164),ISNUMBER(BJ142)),IFERROR(BJ164/BJ142,""),"")</f>
        <v/>
      </c>
      <c r="BK398" s="187">
        <f>IF(AND(ISNUMBER(BK164),ISNUMBER(BK142)),IFERROR(BK164/BK142,""),"")</f>
        <v/>
      </c>
      <c r="BL398" s="187">
        <f>IF(AND(ISNUMBER(BL164),ISNUMBER(BL142)),IFERROR(BL164/BL142,""),"")</f>
        <v/>
      </c>
      <c r="BM398" s="187">
        <f>IF(AND(ISNUMBER(BM164),ISNUMBER(BM142)),IFERROR(BM164/BM142,""),"")</f>
        <v/>
      </c>
      <c r="BN398" s="187">
        <f>IF(AND(ISNUMBER(BN164),ISNUMBER(BN142)),IFERROR(BN164/BN142,""),"")</f>
        <v/>
      </c>
      <c r="BO398" s="187">
        <f>IF(AND(ISNUMBER(BO164),ISNUMBER(BO142)),IFERROR(BO164/BO142,""),"")</f>
        <v/>
      </c>
      <c r="BP398" s="187">
        <f>IF(AND(ISNUMBER(BP164),ISNUMBER(BP142)),IFERROR(BP164/BP142,""),"")</f>
        <v/>
      </c>
      <c r="BQ398" s="187">
        <f>IF(AND(ISNUMBER(BQ164),ISNUMBER(BQ142)),IFERROR(BQ164/BQ142,""),"")</f>
        <v/>
      </c>
      <c r="BR398" s="187">
        <f>IF(AND(ISNUMBER(BR164),ISNUMBER(BR142)),IFERROR(BR164/BR142,""),"")</f>
        <v/>
      </c>
      <c r="BS398" s="187">
        <f>IF(AND(ISNUMBER(BS164),ISNUMBER(BS142)),IFERROR(BS164/BS142,""),"")</f>
        <v/>
      </c>
      <c r="BT398" s="187">
        <f>IF(AND(ISNUMBER(BT164),ISNUMBER(BT142)),IFERROR(BT164/BT142,""),"")</f>
        <v/>
      </c>
      <c r="BU398" s="187">
        <f>IF(AND(ISNUMBER(BU164),ISNUMBER(BU142)),IFERROR(BU164/BU142,""),"")</f>
        <v/>
      </c>
      <c r="BV398" s="187">
        <f>IF(AND(ISNUMBER(BV164),ISNUMBER(BV142)),IFERROR(BV164/BV142,""),"")</f>
        <v/>
      </c>
      <c r="BW398" s="187">
        <f>IF(AND(ISNUMBER(BW164),ISNUMBER(BW142)),IFERROR(BW164/BW142,""),"")</f>
        <v/>
      </c>
      <c r="BX398" s="187">
        <f>IF(AND(ISNUMBER(BX164),ISNUMBER(BX142)),IFERROR(BX164/BX142,""),"")</f>
        <v/>
      </c>
      <c r="BY398" s="25" t="n"/>
      <c r="BZ398" s="25" t="n"/>
      <c r="CA398" s="180">
        <f>IF(AND(ISNUMBER(CA164),ISNUMBER(CA142)),IFERROR(CA164/CA142,""),"")</f>
        <v/>
      </c>
      <c r="CB398" s="180">
        <f>IF(AND(ISNUMBER(CB164),ISNUMBER(CB142)),IFERROR(CB164/CB142,""),"")</f>
        <v/>
      </c>
      <c r="CC398" s="180">
        <f>IF(AND(ISNUMBER(CC164),ISNUMBER(CC142)),IFERROR(CC164/CC142,""),"")</f>
        <v/>
      </c>
      <c r="CD398" s="180">
        <f>IF(AND(ISNUMBER(CD164),ISNUMBER(CD142)),IFERROR(CD164/CD142,""),"")</f>
        <v/>
      </c>
      <c r="CE398" s="180">
        <f>IF(AND(ISNUMBER(CE164),ISNUMBER(CE142)),IFERROR(CE164/CE142,""),"")</f>
        <v/>
      </c>
      <c r="CF398" s="6" t="n"/>
    </row>
    <row r="399" ht="15" customHeight="1">
      <c r="B399" s="26" t="inlineStr">
        <is>
          <t xml:space="preserve">  Amortization % of net sales</t>
        </is>
      </c>
      <c r="C399" s="187">
        <f>IF(AND(ISNUMBER(C148),ISNUMBER(C142)),IFERROR(C148/C142,""),"")</f>
        <v/>
      </c>
      <c r="D399" s="187">
        <f>IF(AND(ISNUMBER(D148),ISNUMBER(D142)),IFERROR(D148/D142,""),"")</f>
        <v/>
      </c>
      <c r="E399" s="187">
        <f>IF(AND(ISNUMBER(E148),ISNUMBER(E142)),IFERROR(E148/E142,""),"")</f>
        <v/>
      </c>
      <c r="F399" s="187">
        <f>IF(AND(ISNUMBER(F148),ISNUMBER(F142)),IFERROR(F148/F142,""),"")</f>
        <v/>
      </c>
      <c r="G399" s="187">
        <f>IF(AND(ISNUMBER(G148),ISNUMBER(G142)),IFERROR(G148/G142,""),"")</f>
        <v/>
      </c>
      <c r="H399" s="187">
        <f>IF(AND(ISNUMBER(H148),ISNUMBER(H142)),IFERROR(H148/H142,""),"")</f>
        <v/>
      </c>
      <c r="I399" s="187">
        <f>IF(AND(ISNUMBER(I148),ISNUMBER(I142)),IFERROR(I148/I142,""),"")</f>
        <v/>
      </c>
      <c r="J399" s="187">
        <f>IF(AND(ISNUMBER(J148),ISNUMBER(J142)),IFERROR(J148/J142,""),"")</f>
        <v/>
      </c>
      <c r="K399" s="187">
        <f>IF(AND(ISNUMBER(K148),ISNUMBER(K142)),IFERROR(K148/K142,""),"")</f>
        <v/>
      </c>
      <c r="L399" s="187">
        <f>IF(AND(ISNUMBER(L148),ISNUMBER(L142)),IFERROR(L148/L142,""),"")</f>
        <v/>
      </c>
      <c r="M399" s="187">
        <f>IF(AND(ISNUMBER(M148),ISNUMBER(M142)),IFERROR(M148/M142,""),"")</f>
        <v/>
      </c>
      <c r="N399" s="187">
        <f>IF(AND(ISNUMBER(N148),ISNUMBER(N142)),IFERROR(N148/N142,""),"")</f>
        <v/>
      </c>
      <c r="O399" s="187">
        <f>IF(AND(ISNUMBER(O148),ISNUMBER(O142)),IFERROR(O148/O142,""),"")</f>
        <v/>
      </c>
      <c r="P399" s="187">
        <f>IF(AND(ISNUMBER(P148),ISNUMBER(P142)),IFERROR(P148/P142,""),"")</f>
        <v/>
      </c>
      <c r="Q399" s="187">
        <f>IF(AND(ISNUMBER(Q148),ISNUMBER(Q142)),IFERROR(Q148/Q142,""),"")</f>
        <v/>
      </c>
      <c r="R399" s="187">
        <f>IF(AND(ISNUMBER(R148),ISNUMBER(R142)),IFERROR(R148/R142,""),"")</f>
        <v/>
      </c>
      <c r="S399" s="187">
        <f>IF(AND(ISNUMBER(S148),ISNUMBER(S142)),IFERROR(S148/S142,""),"")</f>
        <v/>
      </c>
      <c r="T399" s="187">
        <f>IF(AND(ISNUMBER(T148),ISNUMBER(T142)),IFERROR(T148/T142,""),"")</f>
        <v/>
      </c>
      <c r="U399" s="187">
        <f>IF(AND(ISNUMBER(U148),ISNUMBER(U142)),IFERROR(U148/U142,""),"")</f>
        <v/>
      </c>
      <c r="V399" s="187">
        <f>IF(AND(ISNUMBER(V148),ISNUMBER(V142)),IFERROR(V148/V142,""),"")</f>
        <v/>
      </c>
      <c r="W399" s="187">
        <f>IF(AND(ISNUMBER(W148),ISNUMBER(W142)),IFERROR(W148/W142,""),"")</f>
        <v/>
      </c>
      <c r="X399" s="187">
        <f>IF(AND(ISNUMBER(X148),ISNUMBER(X142)),IFERROR(X148/X142,""),"")</f>
        <v/>
      </c>
      <c r="Y399" s="187">
        <f>IF(AND(ISNUMBER(Y148),ISNUMBER(Y142)),IFERROR(Y148/Y142,""),"")</f>
        <v/>
      </c>
      <c r="Z399" s="187">
        <f>IF(AND(ISNUMBER(Z148),ISNUMBER(Z142)),IFERROR(Z148/Z142,""),"")</f>
        <v/>
      </c>
      <c r="AA399" s="187">
        <f>IF(AND(ISNUMBER(AA148),ISNUMBER(AA142)),IFERROR(AA148/AA142,""),"")</f>
        <v/>
      </c>
      <c r="AB399" s="187">
        <f>IF(AND(ISNUMBER(AB148),ISNUMBER(AB142)),IFERROR(AB148/AB142,""),"")</f>
        <v/>
      </c>
      <c r="AC399" s="187">
        <f>IF(AND(ISNUMBER(AC148),ISNUMBER(AC142)),IFERROR(AC148/AC142,""),"")</f>
        <v/>
      </c>
      <c r="AD399" s="187">
        <f>IF(AND(ISNUMBER(AD148),ISNUMBER(AD142)),IFERROR(AD148/AD142,""),"")</f>
        <v/>
      </c>
      <c r="AE399" s="187">
        <f>IF(AND(ISNUMBER(AE148),ISNUMBER(AE142)),IFERROR(AE148/AE142,""),"")</f>
        <v/>
      </c>
      <c r="AF399" s="187">
        <f>IF(AND(ISNUMBER(AF148),ISNUMBER(AF142)),IFERROR(AF148/AF142,""),"")</f>
        <v/>
      </c>
      <c r="AG399" s="187">
        <f>IF(AND(ISNUMBER(AG148),ISNUMBER(AG142)),IFERROR(AG148/AG142,""),"")</f>
        <v/>
      </c>
      <c r="AH399" s="187">
        <f>IF(AND(ISNUMBER(AH148),ISNUMBER(AH142)),IFERROR(AH148/AH142,""),"")</f>
        <v/>
      </c>
      <c r="AI399" s="187">
        <f>IF(AND(ISNUMBER(AI148),ISNUMBER(AI142)),IFERROR(AI148/AI142,""),"")</f>
        <v/>
      </c>
      <c r="AJ399" s="187">
        <f>IF(AND(ISNUMBER(AJ148),ISNUMBER(AJ142)),IFERROR(AJ148/AJ142,""),"")</f>
        <v/>
      </c>
      <c r="AK399" s="187">
        <f>IF(AND(ISNUMBER(AK148),ISNUMBER(AK142)),IFERROR(AK148/AK142,""),"")</f>
        <v/>
      </c>
      <c r="AL399" s="187">
        <f>IF(AND(ISNUMBER(AL148),ISNUMBER(AL142)),IFERROR(AL148/AL142,""),"")</f>
        <v/>
      </c>
      <c r="AM399" s="187">
        <f>IF(AND(ISNUMBER(AM148),ISNUMBER(AM142)),IFERROR(AM148/AM142,""),"")</f>
        <v/>
      </c>
      <c r="AN399" s="187">
        <f>IF(AND(ISNUMBER(AN148),ISNUMBER(AN142)),IFERROR(AN148/AN142,""),"")</f>
        <v/>
      </c>
      <c r="AO399" s="187">
        <f>IF(AND(ISNUMBER(AO148),ISNUMBER(AO142)),IFERROR(AO148/AO142,""),"")</f>
        <v/>
      </c>
      <c r="AP399" s="187">
        <f>IF(AND(ISNUMBER(AP148),ISNUMBER(AP142)),IFERROR(AP148/AP142,""),"")</f>
        <v/>
      </c>
      <c r="AQ399" s="187">
        <f>IF(AND(ISNUMBER(AQ148),ISNUMBER(AQ142)),IFERROR(AQ148/AQ142,""),"")</f>
        <v/>
      </c>
      <c r="AR399" s="187">
        <f>IF(AND(ISNUMBER(AR148),ISNUMBER(AR142)),IFERROR(AR148/AR142,""),"")</f>
        <v/>
      </c>
      <c r="AS399" s="187">
        <f>IF(AND(ISNUMBER(AS148),ISNUMBER(AS142)),IFERROR(AS148/AS142,""),"")</f>
        <v/>
      </c>
      <c r="AT399" s="187">
        <f>IF(AND(ISNUMBER(AT148),ISNUMBER(AT142)),IFERROR(AT148/AT142,""),"")</f>
        <v/>
      </c>
      <c r="AU399" s="187">
        <f>IF(AND(ISNUMBER(AU148),ISNUMBER(AU142)),IFERROR(AU148/AU142,""),"")</f>
        <v/>
      </c>
      <c r="AV399" s="187">
        <f>IF(AND(ISNUMBER(AV148),ISNUMBER(AV142)),IFERROR(AV148/AV142,""),"")</f>
        <v/>
      </c>
      <c r="AW399" s="187">
        <f>IF(AND(ISNUMBER(AW148),ISNUMBER(AW142)),IFERROR(AW148/AW142,""),"")</f>
        <v/>
      </c>
      <c r="AX399" s="187">
        <f>IF(AND(ISNUMBER(AX148),ISNUMBER(AX142)),IFERROR(AX148/AX142,""),"")</f>
        <v/>
      </c>
      <c r="AY399" s="187">
        <f>IF(AND(ISNUMBER(AY148),ISNUMBER(AY142)),IFERROR(AY148/AY142,""),"")</f>
        <v/>
      </c>
      <c r="AZ399" s="187">
        <f>IF(AND(ISNUMBER(AZ148),ISNUMBER(AZ142)),IFERROR(AZ148/AZ142,""),"")</f>
        <v/>
      </c>
      <c r="BA399" s="187">
        <f>IF(AND(ISNUMBER(BA148),ISNUMBER(BA142)),IFERROR(BA148/BA142,""),"")</f>
        <v/>
      </c>
      <c r="BB399" s="187">
        <f>IF(AND(ISNUMBER(BB148),ISNUMBER(BB142)),IFERROR(BB148/BB142,""),"")</f>
        <v/>
      </c>
      <c r="BC399" s="187">
        <f>IF(AND(ISNUMBER(BC148),ISNUMBER(BC142)),IFERROR(BC148/BC142,""),"")</f>
        <v/>
      </c>
      <c r="BD399" s="187">
        <f>IF(AND(ISNUMBER(BD148),ISNUMBER(BD142)),IFERROR(BD148/BD142,""),"")</f>
        <v/>
      </c>
      <c r="BE399" s="187">
        <f>IF(AND(ISNUMBER(BE148),ISNUMBER(BE142)),IFERROR(BE148/BE142,""),"")</f>
        <v/>
      </c>
      <c r="BF399" s="187">
        <f>IF(AND(ISNUMBER(BF148),ISNUMBER(BF142)),IFERROR(BF148/BF142,""),"")</f>
        <v/>
      </c>
      <c r="BG399" s="187">
        <f>IF(AND(ISNUMBER(BG148),ISNUMBER(BG142)),IFERROR(BG148/BG142,""),"")</f>
        <v/>
      </c>
      <c r="BH399" s="187">
        <f>IF(AND(ISNUMBER(BH148),ISNUMBER(BH142)),IFERROR(BH148/BH142,""),"")</f>
        <v/>
      </c>
      <c r="BI399" s="187">
        <f>IF(AND(ISNUMBER(BI148),ISNUMBER(BI142)),IFERROR(BI148/BI142,""),"")</f>
        <v/>
      </c>
      <c r="BJ399" s="187">
        <f>IF(AND(ISNUMBER(BJ148),ISNUMBER(BJ142)),IFERROR(BJ148/BJ142,""),"")</f>
        <v/>
      </c>
      <c r="BK399" s="187">
        <f>IF(AND(ISNUMBER(BK148),ISNUMBER(BK142)),IFERROR(BK148/BK142,""),"")</f>
        <v/>
      </c>
      <c r="BL399" s="187">
        <f>IF(AND(ISNUMBER(BL148),ISNUMBER(BL142)),IFERROR(BL148/BL142,""),"")</f>
        <v/>
      </c>
      <c r="BM399" s="187">
        <f>IF(AND(ISNUMBER(BM148),ISNUMBER(BM142)),IFERROR(BM148/BM142,""),"")</f>
        <v/>
      </c>
      <c r="BN399" s="187">
        <f>IF(AND(ISNUMBER(BN148),ISNUMBER(BN142)),IFERROR(BN148/BN142,""),"")</f>
        <v/>
      </c>
      <c r="BO399" s="187">
        <f>IF(AND(ISNUMBER(BO148),ISNUMBER(BO142)),IFERROR(BO148/BO142,""),"")</f>
        <v/>
      </c>
      <c r="BP399" s="187">
        <f>IF(AND(ISNUMBER(BP148),ISNUMBER(BP142)),IFERROR(BP148/BP142,""),"")</f>
        <v/>
      </c>
      <c r="BQ399" s="187">
        <f>IF(AND(ISNUMBER(BQ148),ISNUMBER(BQ142)),IFERROR(BQ148/BQ142,""),"")</f>
        <v/>
      </c>
      <c r="BR399" s="187">
        <f>IF(AND(ISNUMBER(BR148),ISNUMBER(BR142)),IFERROR(BR148/BR142,""),"")</f>
        <v/>
      </c>
      <c r="BS399" s="187">
        <f>IF(AND(ISNUMBER(BS148),ISNUMBER(BS142)),IFERROR(BS148/BS142,""),"")</f>
        <v/>
      </c>
      <c r="BT399" s="187">
        <f>IF(AND(ISNUMBER(BT148),ISNUMBER(BT142)),IFERROR(BT148/BT142,""),"")</f>
        <v/>
      </c>
      <c r="BU399" s="187">
        <f>IF(AND(ISNUMBER(BU148),ISNUMBER(BU142)),IFERROR(BU148/BU142,""),"")</f>
        <v/>
      </c>
      <c r="BV399" s="187">
        <f>IF(AND(ISNUMBER(BV148),ISNUMBER(BV142)),IFERROR(BV148/BV142,""),"")</f>
        <v/>
      </c>
      <c r="BW399" s="187">
        <f>IF(AND(ISNUMBER(BW148),ISNUMBER(BW142)),IFERROR(BW148/BW142,""),"")</f>
        <v/>
      </c>
      <c r="BX399" s="187">
        <f>IF(AND(ISNUMBER(BX148),ISNUMBER(BX142)),IFERROR(BX148/BX142,""),"")</f>
        <v/>
      </c>
      <c r="BY399" s="25" t="n"/>
      <c r="BZ399" s="25" t="n"/>
      <c r="CA399" s="180">
        <f>IF(AND(ISNUMBER(CA148),ISNUMBER(CA142)),IFERROR(CA148/CA142,""),"")</f>
        <v/>
      </c>
      <c r="CB399" s="180">
        <f>IF(AND(ISNUMBER(CB148),ISNUMBER(CB142)),IFERROR(CB148/CB142,""),"")</f>
        <v/>
      </c>
      <c r="CC399" s="180">
        <f>IF(AND(ISNUMBER(CC148),ISNUMBER(CC142)),IFERROR(CC148/CC142,""),"")</f>
        <v/>
      </c>
      <c r="CD399" s="180">
        <f>IF(AND(ISNUMBER(CD148),ISNUMBER(CD142)),IFERROR(CD148/CD142,""),"")</f>
        <v/>
      </c>
      <c r="CE399" s="180">
        <f>IF(AND(ISNUMBER(CE148),ISNUMBER(CE142)),IFERROR(CE148/CE142,""),"")</f>
        <v/>
      </c>
      <c r="CF399" s="6" t="n"/>
    </row>
    <row r="400" ht="15" customHeight="1"/>
    <row r="401" ht="15" customHeight="1">
      <c r="B401" s="11" t="inlineStr">
        <is>
          <t>RATIO ANALYSIS</t>
        </is>
      </c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  <c r="AG401" s="11" t="n"/>
      <c r="AH401" s="11" t="n"/>
      <c r="AI401" s="11" t="n"/>
      <c r="AJ401" s="11" t="n"/>
      <c r="AK401" s="11" t="n"/>
      <c r="AL401" s="11" t="n"/>
      <c r="AM401" s="11" t="n"/>
      <c r="AN401" s="11" t="n"/>
      <c r="AO401" s="11" t="n"/>
      <c r="AP401" s="11" t="n"/>
      <c r="AQ401" s="11" t="n"/>
      <c r="AR401" s="11" t="n"/>
      <c r="AS401" s="11" t="n"/>
      <c r="AT401" s="11" t="n"/>
      <c r="AU401" s="11" t="n"/>
      <c r="AV401" s="11" t="n"/>
      <c r="AW401" s="11" t="n"/>
      <c r="AX401" s="11" t="n"/>
      <c r="AY401" s="11" t="n"/>
      <c r="AZ401" s="11" t="n"/>
      <c r="BA401" s="11" t="n"/>
      <c r="BB401" s="11" t="n"/>
      <c r="BC401" s="11" t="n"/>
      <c r="BD401" s="11" t="n"/>
      <c r="BE401" s="11" t="n"/>
      <c r="BF401" s="11" t="n"/>
      <c r="BG401" s="11" t="n"/>
      <c r="BH401" s="11" t="n"/>
      <c r="BI401" s="11" t="n"/>
      <c r="BJ401" s="11" t="n"/>
      <c r="BK401" s="11" t="n"/>
      <c r="BL401" s="11" t="n"/>
      <c r="BM401" s="11" t="n"/>
      <c r="BN401" s="11" t="n"/>
      <c r="BO401" s="11" t="n"/>
      <c r="BP401" s="11" t="n"/>
      <c r="BQ401" s="11" t="n"/>
      <c r="BR401" s="11" t="n"/>
      <c r="BS401" s="11" t="n"/>
      <c r="BT401" s="11" t="n"/>
      <c r="BU401" s="11" t="n"/>
      <c r="BV401" s="11" t="n"/>
      <c r="BW401" s="11" t="n"/>
      <c r="BX401" s="11" t="n"/>
      <c r="BY401" s="11" t="n"/>
      <c r="BZ401" s="11" t="n"/>
      <c r="CA401" s="11" t="n"/>
      <c r="CB401" s="11" t="n"/>
      <c r="CC401" s="11" t="n"/>
      <c r="CD401" s="11" t="n"/>
      <c r="CE401" s="11" t="n"/>
      <c r="CF401" s="11" t="inlineStr">
        <is>
          <t>RETURNS — annual columns (NOPAT on Adjusted EBIT)</t>
        </is>
      </c>
    </row>
    <row r="402" collapsed="1" ht="15" customHeight="1">
      <c r="B402" s="26" t="inlineStr">
        <is>
          <t>DuPont decomposition of ROIC</t>
        </is>
      </c>
      <c r="CF402" s="6" t="n"/>
    </row>
    <row r="403" ht="15" customHeight="1">
      <c r="B403" s="26" t="inlineStr">
        <is>
          <t>Adjusted EBIT (Adjusted EBITDA − D&amp;A)</t>
        </is>
      </c>
      <c r="C403" s="183">
        <f>C201</f>
        <v/>
      </c>
      <c r="D403" s="183">
        <f>D201</f>
        <v/>
      </c>
      <c r="E403" s="183">
        <f>E201</f>
        <v/>
      </c>
      <c r="F403" s="183">
        <f>F201</f>
        <v/>
      </c>
      <c r="G403" s="183">
        <f>G201</f>
        <v/>
      </c>
      <c r="H403" s="183">
        <f>H201</f>
        <v/>
      </c>
      <c r="I403" s="183">
        <f>I201</f>
        <v/>
      </c>
      <c r="J403" s="36" t="n"/>
      <c r="K403" s="36" t="n"/>
      <c r="L403" s="36" t="n"/>
      <c r="M403" s="36" t="n"/>
      <c r="N403" s="183">
        <f>N201</f>
        <v/>
      </c>
      <c r="O403" s="36" t="n"/>
      <c r="P403" s="36" t="n"/>
      <c r="Q403" s="36" t="n"/>
      <c r="R403" s="36" t="n"/>
      <c r="S403" s="183">
        <f>S201</f>
        <v/>
      </c>
      <c r="T403" s="36" t="n"/>
      <c r="U403" s="36" t="n"/>
      <c r="V403" s="36" t="n"/>
      <c r="W403" s="36" t="n"/>
      <c r="X403" s="183">
        <f>X201</f>
        <v/>
      </c>
      <c r="Y403" s="36" t="n"/>
      <c r="Z403" s="36" t="n"/>
      <c r="AA403" s="36" t="n"/>
      <c r="AB403" s="36" t="n"/>
      <c r="AC403" s="183">
        <f>AC201</f>
        <v/>
      </c>
      <c r="AD403" s="36" t="n"/>
      <c r="AE403" s="36" t="n"/>
      <c r="AF403" s="36" t="n"/>
      <c r="AG403" s="36" t="n"/>
      <c r="AH403" s="183">
        <f>AH201</f>
        <v/>
      </c>
      <c r="AI403" s="36" t="n"/>
      <c r="AJ403" s="36" t="n"/>
      <c r="AK403" s="36" t="n"/>
      <c r="AL403" s="36" t="n"/>
      <c r="AM403" s="183">
        <f>AM201</f>
        <v/>
      </c>
      <c r="AN403" s="36" t="n"/>
      <c r="AO403" s="36" t="n"/>
      <c r="AP403" s="36" t="n"/>
      <c r="AQ403" s="36" t="n"/>
      <c r="AR403" s="183">
        <f>AR201</f>
        <v/>
      </c>
      <c r="AS403" s="36" t="n"/>
      <c r="AT403" s="36" t="n"/>
      <c r="AU403" s="36" t="n"/>
      <c r="AV403" s="36" t="n"/>
      <c r="AW403" s="183">
        <f>AW201</f>
        <v/>
      </c>
      <c r="AX403" s="36" t="n"/>
      <c r="AY403" s="36" t="n"/>
      <c r="AZ403" s="36" t="n"/>
      <c r="BA403" s="36" t="n"/>
      <c r="BB403" s="183">
        <f>BB201</f>
        <v/>
      </c>
      <c r="BC403" s="36" t="n"/>
      <c r="BD403" s="36" t="n"/>
      <c r="BE403" s="36" t="n"/>
      <c r="BF403" s="36" t="n"/>
      <c r="BG403" s="183">
        <f>BG201</f>
        <v/>
      </c>
      <c r="BH403" s="36" t="n"/>
      <c r="BI403" s="36" t="n"/>
      <c r="BJ403" s="36" t="n"/>
      <c r="BK403" s="36" t="n"/>
      <c r="BL403" s="183">
        <f>BL201</f>
        <v/>
      </c>
      <c r="BM403" s="36" t="n"/>
      <c r="BN403" s="36" t="n"/>
      <c r="BO403" s="36" t="n"/>
      <c r="BP403" s="36" t="n"/>
      <c r="BQ403" s="183">
        <f>BQ201</f>
        <v/>
      </c>
      <c r="BR403" s="36" t="n"/>
      <c r="BS403" s="36" t="n"/>
      <c r="BT403" s="36" t="n"/>
      <c r="BU403" s="36" t="n"/>
      <c r="BV403" s="183">
        <f>BV201</f>
        <v/>
      </c>
      <c r="BW403" s="36" t="n"/>
      <c r="BX403" s="36" t="n"/>
      <c r="BY403" s="37" t="n"/>
      <c r="BZ403" s="37" t="n"/>
      <c r="CA403" s="178">
        <f>CA201</f>
        <v/>
      </c>
      <c r="CB403" s="178">
        <f>CB201</f>
        <v/>
      </c>
      <c r="CC403" s="178">
        <f>CC201</f>
        <v/>
      </c>
      <c r="CD403" s="178">
        <f>CD201</f>
        <v/>
      </c>
      <c r="CE403" s="178">
        <f>CE201</f>
        <v/>
      </c>
      <c r="CF403" s="20" t="n"/>
    </row>
    <row r="404" ht="15" customHeight="1">
      <c r="B404" s="26" t="inlineStr">
        <is>
          <t>Effective tax rate (actual)</t>
        </is>
      </c>
      <c r="C404" s="187">
        <f>C156</f>
        <v/>
      </c>
      <c r="D404" s="187">
        <f>D156</f>
        <v/>
      </c>
      <c r="E404" s="187">
        <f>E156</f>
        <v/>
      </c>
      <c r="F404" s="187">
        <f>F156</f>
        <v/>
      </c>
      <c r="G404" s="187">
        <f>G156</f>
        <v/>
      </c>
      <c r="H404" s="187">
        <f>H156</f>
        <v/>
      </c>
      <c r="I404" s="187">
        <f>I156</f>
        <v/>
      </c>
      <c r="J404" s="36" t="n"/>
      <c r="K404" s="36" t="n"/>
      <c r="L404" s="36" t="n"/>
      <c r="M404" s="36" t="n"/>
      <c r="N404" s="187">
        <f>N156</f>
        <v/>
      </c>
      <c r="O404" s="36" t="n"/>
      <c r="P404" s="36" t="n"/>
      <c r="Q404" s="36" t="n"/>
      <c r="R404" s="36" t="n"/>
      <c r="S404" s="187">
        <f>S156</f>
        <v/>
      </c>
      <c r="T404" s="36" t="n"/>
      <c r="U404" s="36" t="n"/>
      <c r="V404" s="36" t="n"/>
      <c r="W404" s="36" t="n"/>
      <c r="X404" s="187">
        <f>X156</f>
        <v/>
      </c>
      <c r="Y404" s="36" t="n"/>
      <c r="Z404" s="36" t="n"/>
      <c r="AA404" s="36" t="n"/>
      <c r="AB404" s="36" t="n"/>
      <c r="AC404" s="187">
        <f>AC156</f>
        <v/>
      </c>
      <c r="AD404" s="36" t="n"/>
      <c r="AE404" s="36" t="n"/>
      <c r="AF404" s="36" t="n"/>
      <c r="AG404" s="36" t="n"/>
      <c r="AH404" s="187">
        <f>AH156</f>
        <v/>
      </c>
      <c r="AI404" s="36" t="n"/>
      <c r="AJ404" s="36" t="n"/>
      <c r="AK404" s="36" t="n"/>
      <c r="AL404" s="36" t="n"/>
      <c r="AM404" s="187">
        <f>AM156</f>
        <v/>
      </c>
      <c r="AN404" s="36" t="n"/>
      <c r="AO404" s="36" t="n"/>
      <c r="AP404" s="36" t="n"/>
      <c r="AQ404" s="36" t="n"/>
      <c r="AR404" s="187">
        <f>AR156</f>
        <v/>
      </c>
      <c r="AS404" s="36" t="n"/>
      <c r="AT404" s="36" t="n"/>
      <c r="AU404" s="36" t="n"/>
      <c r="AV404" s="36" t="n"/>
      <c r="AW404" s="187">
        <f>AW156</f>
        <v/>
      </c>
      <c r="AX404" s="36" t="n"/>
      <c r="AY404" s="36" t="n"/>
      <c r="AZ404" s="36" t="n"/>
      <c r="BA404" s="36" t="n"/>
      <c r="BB404" s="187">
        <f>BB156</f>
        <v/>
      </c>
      <c r="BC404" s="36" t="n"/>
      <c r="BD404" s="36" t="n"/>
      <c r="BE404" s="36" t="n"/>
      <c r="BF404" s="36" t="n"/>
      <c r="BG404" s="187">
        <f>BG156</f>
        <v/>
      </c>
      <c r="BH404" s="36" t="n"/>
      <c r="BI404" s="36" t="n"/>
      <c r="BJ404" s="36" t="n"/>
      <c r="BK404" s="36" t="n"/>
      <c r="BL404" s="187">
        <f>BL156</f>
        <v/>
      </c>
      <c r="BM404" s="36" t="n"/>
      <c r="BN404" s="36" t="n"/>
      <c r="BO404" s="36" t="n"/>
      <c r="BP404" s="36" t="n"/>
      <c r="BQ404" s="187">
        <f>BQ156</f>
        <v/>
      </c>
      <c r="BR404" s="36" t="n"/>
      <c r="BS404" s="36" t="n"/>
      <c r="BT404" s="36" t="n"/>
      <c r="BU404" s="36" t="n"/>
      <c r="BV404" s="187">
        <f>BV156</f>
        <v/>
      </c>
      <c r="BW404" s="36" t="n"/>
      <c r="BX404" s="36" t="n"/>
      <c r="BY404" s="37" t="n"/>
      <c r="BZ404" s="37" t="n"/>
      <c r="CA404" s="180">
        <f>CA156</f>
        <v/>
      </c>
      <c r="CB404" s="180">
        <f>CB156</f>
        <v/>
      </c>
      <c r="CC404" s="180">
        <f>CC156</f>
        <v/>
      </c>
      <c r="CD404" s="180">
        <f>CD156</f>
        <v/>
      </c>
      <c r="CE404" s="180">
        <f>CE156</f>
        <v/>
      </c>
      <c r="CF404" s="20" t="n"/>
    </row>
    <row r="405" ht="15" customHeight="1">
      <c r="B405" s="26" t="inlineStr">
        <is>
          <t>NOPAT = Adjusted EBIT × (1 − tax rate)</t>
        </is>
      </c>
      <c r="C405" s="183">
        <f>IFERROR(C403*(1-C404),"n/a")</f>
        <v/>
      </c>
      <c r="D405" s="183">
        <f>IFERROR(D403*(1-D404),"n/a")</f>
        <v/>
      </c>
      <c r="E405" s="183">
        <f>IFERROR(E403*(1-E404),"n/a")</f>
        <v/>
      </c>
      <c r="F405" s="183">
        <f>IFERROR(F403*(1-F404),"n/a")</f>
        <v/>
      </c>
      <c r="G405" s="183">
        <f>IFERROR(G403*(1-G404),"n/a")</f>
        <v/>
      </c>
      <c r="H405" s="183">
        <f>IFERROR(H403*(1-H404),"n/a")</f>
        <v/>
      </c>
      <c r="I405" s="183">
        <f>IFERROR(I403*(1-I404),"n/a")</f>
        <v/>
      </c>
      <c r="J405" s="36" t="n"/>
      <c r="K405" s="36" t="n"/>
      <c r="L405" s="36" t="n"/>
      <c r="M405" s="36" t="n"/>
      <c r="N405" s="183">
        <f>IFERROR(N403*(1-N404),"n/a")</f>
        <v/>
      </c>
      <c r="O405" s="36" t="n"/>
      <c r="P405" s="36" t="n"/>
      <c r="Q405" s="36" t="n"/>
      <c r="R405" s="36" t="n"/>
      <c r="S405" s="183">
        <f>IFERROR(S403*(1-S404),"n/a")</f>
        <v/>
      </c>
      <c r="T405" s="36" t="n"/>
      <c r="U405" s="36" t="n"/>
      <c r="V405" s="36" t="n"/>
      <c r="W405" s="36" t="n"/>
      <c r="X405" s="183">
        <f>IFERROR(X403*(1-X404),"n/a")</f>
        <v/>
      </c>
      <c r="Y405" s="36" t="n"/>
      <c r="Z405" s="36" t="n"/>
      <c r="AA405" s="36" t="n"/>
      <c r="AB405" s="36" t="n"/>
      <c r="AC405" s="183">
        <f>IFERROR(AC403*(1-AC404),"n/a")</f>
        <v/>
      </c>
      <c r="AD405" s="36" t="n"/>
      <c r="AE405" s="36" t="n"/>
      <c r="AF405" s="36" t="n"/>
      <c r="AG405" s="36" t="n"/>
      <c r="AH405" s="183">
        <f>IFERROR(AH403*(1-AH404),"n/a")</f>
        <v/>
      </c>
      <c r="AI405" s="36" t="n"/>
      <c r="AJ405" s="36" t="n"/>
      <c r="AK405" s="36" t="n"/>
      <c r="AL405" s="36" t="n"/>
      <c r="AM405" s="183">
        <f>IFERROR(AM403*(1-AM404),"n/a")</f>
        <v/>
      </c>
      <c r="AN405" s="36" t="n"/>
      <c r="AO405" s="36" t="n"/>
      <c r="AP405" s="36" t="n"/>
      <c r="AQ405" s="36" t="n"/>
      <c r="AR405" s="183">
        <f>IFERROR(AR403*(1-AR404),"n/a")</f>
        <v/>
      </c>
      <c r="AS405" s="36" t="n"/>
      <c r="AT405" s="36" t="n"/>
      <c r="AU405" s="36" t="n"/>
      <c r="AV405" s="36" t="n"/>
      <c r="AW405" s="183">
        <f>IFERROR(AW403*(1-AW404),"n/a")</f>
        <v/>
      </c>
      <c r="AX405" s="36" t="n"/>
      <c r="AY405" s="36" t="n"/>
      <c r="AZ405" s="36" t="n"/>
      <c r="BA405" s="36" t="n"/>
      <c r="BB405" s="183">
        <f>IFERROR(BB403*(1-BB404),"n/a")</f>
        <v/>
      </c>
      <c r="BC405" s="36" t="n"/>
      <c r="BD405" s="36" t="n"/>
      <c r="BE405" s="36" t="n"/>
      <c r="BF405" s="36" t="n"/>
      <c r="BG405" s="183">
        <f>IFERROR(BG403*(1-BG404),"n/a")</f>
        <v/>
      </c>
      <c r="BH405" s="36" t="n"/>
      <c r="BI405" s="36" t="n"/>
      <c r="BJ405" s="36" t="n"/>
      <c r="BK405" s="36" t="n"/>
      <c r="BL405" s="183">
        <f>IFERROR(BL403*(1-BL404),"n/a")</f>
        <v/>
      </c>
      <c r="BM405" s="36" t="n"/>
      <c r="BN405" s="36" t="n"/>
      <c r="BO405" s="36" t="n"/>
      <c r="BP405" s="36" t="n"/>
      <c r="BQ405" s="183">
        <f>IFERROR(BQ403*(1-BQ404),"n/a")</f>
        <v/>
      </c>
      <c r="BR405" s="36" t="n"/>
      <c r="BS405" s="36" t="n"/>
      <c r="BT405" s="36" t="n"/>
      <c r="BU405" s="36" t="n"/>
      <c r="BV405" s="183">
        <f>IFERROR(BV403*(1-BV404),"n/a")</f>
        <v/>
      </c>
      <c r="BW405" s="36" t="n"/>
      <c r="BX405" s="36" t="n"/>
      <c r="BY405" s="37" t="n"/>
      <c r="BZ405" s="37" t="n"/>
      <c r="CA405" s="178">
        <f>IFERROR(CA403*(1-CA404),"n/a")</f>
        <v/>
      </c>
      <c r="CB405" s="178">
        <f>IFERROR(CB403*(1-CB404),"n/a")</f>
        <v/>
      </c>
      <c r="CC405" s="178">
        <f>IFERROR(CC403*(1-CC404),"n/a")</f>
        <v/>
      </c>
      <c r="CD405" s="178">
        <f>IFERROR(CD403*(1-CD404),"n/a")</f>
        <v/>
      </c>
      <c r="CE405" s="178">
        <f>IFERROR(CE403*(1-CE404),"n/a")</f>
        <v/>
      </c>
      <c r="CF405" s="20" t="n"/>
    </row>
    <row r="406" ht="15" customHeight="1">
      <c r="B406" s="26" t="inlineStr">
        <is>
          <t>Invested capital (IC) = Equity + Net debt</t>
        </is>
      </c>
      <c r="C406" s="183">
        <f>IFERROR(C407+C408,"n/a")</f>
        <v/>
      </c>
      <c r="D406" s="183">
        <f>IFERROR(D407+D408,"n/a")</f>
        <v/>
      </c>
      <c r="E406" s="183">
        <f>IFERROR(E407+E408,"n/a")</f>
        <v/>
      </c>
      <c r="F406" s="183">
        <f>IFERROR(F407+F408,"n/a")</f>
        <v/>
      </c>
      <c r="G406" s="183">
        <f>IFERROR(G407+G408,"n/a")</f>
        <v/>
      </c>
      <c r="H406" s="183">
        <f>IFERROR(H407+H408,"n/a")</f>
        <v/>
      </c>
      <c r="I406" s="183">
        <f>IFERROR(I407+I408,"n/a")</f>
        <v/>
      </c>
      <c r="J406" s="36" t="n"/>
      <c r="K406" s="36" t="n"/>
      <c r="L406" s="36" t="n"/>
      <c r="M406" s="36" t="n"/>
      <c r="N406" s="183">
        <f>IFERROR(N407+N408,"n/a")</f>
        <v/>
      </c>
      <c r="O406" s="36" t="n"/>
      <c r="P406" s="36" t="n"/>
      <c r="Q406" s="36" t="n"/>
      <c r="R406" s="36" t="n"/>
      <c r="S406" s="183">
        <f>IFERROR(S407+S408,"n/a")</f>
        <v/>
      </c>
      <c r="T406" s="36" t="n"/>
      <c r="U406" s="36" t="n"/>
      <c r="V406" s="36" t="n"/>
      <c r="W406" s="36" t="n"/>
      <c r="X406" s="183">
        <f>IFERROR(X407+X408,"n/a")</f>
        <v/>
      </c>
      <c r="Y406" s="36" t="n"/>
      <c r="Z406" s="36" t="n"/>
      <c r="AA406" s="36" t="n"/>
      <c r="AB406" s="36" t="n"/>
      <c r="AC406" s="183">
        <f>IFERROR(AC407+AC408,"n/a")</f>
        <v/>
      </c>
      <c r="AD406" s="36" t="n"/>
      <c r="AE406" s="36" t="n"/>
      <c r="AF406" s="36" t="n"/>
      <c r="AG406" s="36" t="n"/>
      <c r="AH406" s="183">
        <f>IFERROR(AH407+AH408,"n/a")</f>
        <v/>
      </c>
      <c r="AI406" s="36" t="n"/>
      <c r="AJ406" s="36" t="n"/>
      <c r="AK406" s="36" t="n"/>
      <c r="AL406" s="36" t="n"/>
      <c r="AM406" s="183">
        <f>IFERROR(AM407+AM408,"n/a")</f>
        <v/>
      </c>
      <c r="AN406" s="36" t="n"/>
      <c r="AO406" s="36" t="n"/>
      <c r="AP406" s="36" t="n"/>
      <c r="AQ406" s="36" t="n"/>
      <c r="AR406" s="183">
        <f>IFERROR(AR407+AR408,"n/a")</f>
        <v/>
      </c>
      <c r="AS406" s="36" t="n"/>
      <c r="AT406" s="36" t="n"/>
      <c r="AU406" s="36" t="n"/>
      <c r="AV406" s="36" t="n"/>
      <c r="AW406" s="183">
        <f>IFERROR(AW407+AW408,"n/a")</f>
        <v/>
      </c>
      <c r="AX406" s="36" t="n"/>
      <c r="AY406" s="36" t="n"/>
      <c r="AZ406" s="36" t="n"/>
      <c r="BA406" s="36" t="n"/>
      <c r="BB406" s="183">
        <f>IFERROR(BB407+BB408,"n/a")</f>
        <v/>
      </c>
      <c r="BC406" s="36" t="n"/>
      <c r="BD406" s="36" t="n"/>
      <c r="BE406" s="36" t="n"/>
      <c r="BF406" s="36" t="n"/>
      <c r="BG406" s="183">
        <f>IFERROR(BG407+BG408,"n/a")</f>
        <v/>
      </c>
      <c r="BH406" s="36" t="n"/>
      <c r="BI406" s="36" t="n"/>
      <c r="BJ406" s="36" t="n"/>
      <c r="BK406" s="36" t="n"/>
      <c r="BL406" s="183">
        <f>IFERROR(BL407+BL408,"n/a")</f>
        <v/>
      </c>
      <c r="BM406" s="36" t="n"/>
      <c r="BN406" s="36" t="n"/>
      <c r="BO406" s="36" t="n"/>
      <c r="BP406" s="36" t="n"/>
      <c r="BQ406" s="183">
        <f>IFERROR(BQ407+BQ408,"n/a")</f>
        <v/>
      </c>
      <c r="BR406" s="36" t="n"/>
      <c r="BS406" s="36" t="n"/>
      <c r="BT406" s="36" t="n"/>
      <c r="BU406" s="36" t="n"/>
      <c r="BV406" s="183">
        <f>IFERROR(BV407+BV408,"n/a")</f>
        <v/>
      </c>
      <c r="BW406" s="36" t="n"/>
      <c r="BX406" s="36" t="n"/>
      <c r="BY406" s="37" t="n"/>
      <c r="BZ406" s="37" t="n"/>
      <c r="CA406" s="178">
        <f>IFERROR(CA407+CA408,"n/a")</f>
        <v/>
      </c>
      <c r="CB406" s="178">
        <f>IFERROR(CB407+CB408,"n/a")</f>
        <v/>
      </c>
      <c r="CC406" s="178">
        <f>IFERROR(CC407+CC408,"n/a")</f>
        <v/>
      </c>
      <c r="CD406" s="178">
        <f>IFERROR(CD407+CD408,"n/a")</f>
        <v/>
      </c>
      <c r="CE406" s="178">
        <f>IFERROR(CE407+CE408,"n/a")</f>
        <v/>
      </c>
      <c r="CF406" s="20" t="n"/>
    </row>
    <row r="407" ht="15" customHeight="1">
      <c r="B407" s="26" t="inlineStr">
        <is>
          <t xml:space="preserve">  Total equity incl. NCI</t>
        </is>
      </c>
      <c r="C407" s="183">
        <f>C338</f>
        <v/>
      </c>
      <c r="D407" s="183">
        <f>D338</f>
        <v/>
      </c>
      <c r="E407" s="183">
        <f>E338</f>
        <v/>
      </c>
      <c r="F407" s="183">
        <f>F338</f>
        <v/>
      </c>
      <c r="G407" s="183">
        <f>G338</f>
        <v/>
      </c>
      <c r="H407" s="183">
        <f>H338</f>
        <v/>
      </c>
      <c r="I407" s="183">
        <f>I338</f>
        <v/>
      </c>
      <c r="J407" s="36" t="n"/>
      <c r="K407" s="36" t="n"/>
      <c r="L407" s="36" t="n"/>
      <c r="M407" s="36" t="n"/>
      <c r="N407" s="183">
        <f>N338</f>
        <v/>
      </c>
      <c r="O407" s="36" t="n"/>
      <c r="P407" s="36" t="n"/>
      <c r="Q407" s="36" t="n"/>
      <c r="R407" s="36" t="n"/>
      <c r="S407" s="183">
        <f>S338</f>
        <v/>
      </c>
      <c r="T407" s="36" t="n"/>
      <c r="U407" s="36" t="n"/>
      <c r="V407" s="36" t="n"/>
      <c r="W407" s="36" t="n"/>
      <c r="X407" s="183">
        <f>X338</f>
        <v/>
      </c>
      <c r="Y407" s="36" t="n"/>
      <c r="Z407" s="36" t="n"/>
      <c r="AA407" s="36" t="n"/>
      <c r="AB407" s="36" t="n"/>
      <c r="AC407" s="183">
        <f>AC338</f>
        <v/>
      </c>
      <c r="AD407" s="36" t="n"/>
      <c r="AE407" s="36" t="n"/>
      <c r="AF407" s="36" t="n"/>
      <c r="AG407" s="36" t="n"/>
      <c r="AH407" s="183">
        <f>AH338</f>
        <v/>
      </c>
      <c r="AI407" s="36" t="n"/>
      <c r="AJ407" s="36" t="n"/>
      <c r="AK407" s="36" t="n"/>
      <c r="AL407" s="36" t="n"/>
      <c r="AM407" s="183">
        <f>AM338</f>
        <v/>
      </c>
      <c r="AN407" s="36" t="n"/>
      <c r="AO407" s="36" t="n"/>
      <c r="AP407" s="36" t="n"/>
      <c r="AQ407" s="36" t="n"/>
      <c r="AR407" s="183">
        <f>AR338</f>
        <v/>
      </c>
      <c r="AS407" s="36" t="n"/>
      <c r="AT407" s="36" t="n"/>
      <c r="AU407" s="36" t="n"/>
      <c r="AV407" s="36" t="n"/>
      <c r="AW407" s="183">
        <f>AW338</f>
        <v/>
      </c>
      <c r="AX407" s="36" t="n"/>
      <c r="AY407" s="36" t="n"/>
      <c r="AZ407" s="36" t="n"/>
      <c r="BA407" s="36" t="n"/>
      <c r="BB407" s="183">
        <f>BB338</f>
        <v/>
      </c>
      <c r="BC407" s="36" t="n"/>
      <c r="BD407" s="36" t="n"/>
      <c r="BE407" s="36" t="n"/>
      <c r="BF407" s="36" t="n"/>
      <c r="BG407" s="183">
        <f>BG338</f>
        <v/>
      </c>
      <c r="BH407" s="36" t="n"/>
      <c r="BI407" s="36" t="n"/>
      <c r="BJ407" s="36" t="n"/>
      <c r="BK407" s="36" t="n"/>
      <c r="BL407" s="183">
        <f>BL338</f>
        <v/>
      </c>
      <c r="BM407" s="36" t="n"/>
      <c r="BN407" s="36" t="n"/>
      <c r="BO407" s="36" t="n"/>
      <c r="BP407" s="36" t="n"/>
      <c r="BQ407" s="183">
        <f>BQ338</f>
        <v/>
      </c>
      <c r="BR407" s="36" t="n"/>
      <c r="BS407" s="36" t="n"/>
      <c r="BT407" s="36" t="n"/>
      <c r="BU407" s="36" t="n"/>
      <c r="BV407" s="183">
        <f>BV338</f>
        <v/>
      </c>
      <c r="BW407" s="36" t="n"/>
      <c r="BX407" s="36" t="n"/>
      <c r="BY407" s="37" t="n"/>
      <c r="BZ407" s="37" t="n"/>
      <c r="CA407" s="178">
        <f>CA338</f>
        <v/>
      </c>
      <c r="CB407" s="178">
        <f>CB338</f>
        <v/>
      </c>
      <c r="CC407" s="178">
        <f>CC338</f>
        <v/>
      </c>
      <c r="CD407" s="178">
        <f>CD338</f>
        <v/>
      </c>
      <c r="CE407" s="178">
        <f>CE338</f>
        <v/>
      </c>
      <c r="CF407" s="20" t="n"/>
    </row>
    <row r="408" ht="15" customHeight="1">
      <c r="B408" s="26" t="inlineStr">
        <is>
          <t xml:space="preserve">  Net debt = Total debt − Cash (incl. restricted)</t>
        </is>
      </c>
      <c r="C408" s="183">
        <f>IFERROR(C380-C307-N(C308),"n/a")</f>
        <v/>
      </c>
      <c r="D408" s="183">
        <f>IFERROR(D380-D307-N(D308),"n/a")</f>
        <v/>
      </c>
      <c r="E408" s="183">
        <f>IFERROR(E380-E307-N(E308),"n/a")</f>
        <v/>
      </c>
      <c r="F408" s="183">
        <f>IFERROR(F380-F307-N(F308),"n/a")</f>
        <v/>
      </c>
      <c r="G408" s="183">
        <f>IFERROR(G380-G307-N(G308),"n/a")</f>
        <v/>
      </c>
      <c r="H408" s="183">
        <f>IFERROR(H380-H307-N(H308),"n/a")</f>
        <v/>
      </c>
      <c r="I408" s="183">
        <f>IFERROR(I380-I307-N(I308),"n/a")</f>
        <v/>
      </c>
      <c r="J408" s="36" t="n"/>
      <c r="K408" s="36" t="n"/>
      <c r="L408" s="36" t="n"/>
      <c r="M408" s="36" t="n"/>
      <c r="N408" s="183">
        <f>IFERROR(N380-N307-N(N308),"n/a")</f>
        <v/>
      </c>
      <c r="O408" s="36" t="n"/>
      <c r="P408" s="36" t="n"/>
      <c r="Q408" s="36" t="n"/>
      <c r="R408" s="36" t="n"/>
      <c r="S408" s="183">
        <f>IFERROR(S380-S307-N(S308),"n/a")</f>
        <v/>
      </c>
      <c r="T408" s="36" t="n"/>
      <c r="U408" s="36" t="n"/>
      <c r="V408" s="36" t="n"/>
      <c r="W408" s="36" t="n"/>
      <c r="X408" s="183">
        <f>IFERROR(X380-X307-N(X308),"n/a")</f>
        <v/>
      </c>
      <c r="Y408" s="36" t="n"/>
      <c r="Z408" s="36" t="n"/>
      <c r="AA408" s="36" t="n"/>
      <c r="AB408" s="36" t="n"/>
      <c r="AC408" s="183">
        <f>IFERROR(AC380-AC307-N(AC308),"n/a")</f>
        <v/>
      </c>
      <c r="AD408" s="36" t="n"/>
      <c r="AE408" s="36" t="n"/>
      <c r="AF408" s="36" t="n"/>
      <c r="AG408" s="36" t="n"/>
      <c r="AH408" s="183">
        <f>IFERROR(AH380-AH307-N(AH308),"n/a")</f>
        <v/>
      </c>
      <c r="AI408" s="36" t="n"/>
      <c r="AJ408" s="36" t="n"/>
      <c r="AK408" s="36" t="n"/>
      <c r="AL408" s="36" t="n"/>
      <c r="AM408" s="183">
        <f>IFERROR(AM380-AM307-N(AM308),"n/a")</f>
        <v/>
      </c>
      <c r="AN408" s="36" t="n"/>
      <c r="AO408" s="36" t="n"/>
      <c r="AP408" s="36" t="n"/>
      <c r="AQ408" s="36" t="n"/>
      <c r="AR408" s="183">
        <f>IFERROR(AR380-AR307-N(AR308),"n/a")</f>
        <v/>
      </c>
      <c r="AS408" s="36" t="n"/>
      <c r="AT408" s="36" t="n"/>
      <c r="AU408" s="36" t="n"/>
      <c r="AV408" s="36" t="n"/>
      <c r="AW408" s="183">
        <f>IFERROR(AW380-AW307-N(AW308),"n/a")</f>
        <v/>
      </c>
      <c r="AX408" s="36" t="n"/>
      <c r="AY408" s="36" t="n"/>
      <c r="AZ408" s="36" t="n"/>
      <c r="BA408" s="36" t="n"/>
      <c r="BB408" s="183">
        <f>IFERROR(BB380-BB307-N(BB308),"n/a")</f>
        <v/>
      </c>
      <c r="BC408" s="36" t="n"/>
      <c r="BD408" s="36" t="n"/>
      <c r="BE408" s="36" t="n"/>
      <c r="BF408" s="36" t="n"/>
      <c r="BG408" s="183">
        <f>IFERROR(BG380-BG307-N(BG308),"n/a")</f>
        <v/>
      </c>
      <c r="BH408" s="36" t="n"/>
      <c r="BI408" s="36" t="n"/>
      <c r="BJ408" s="36" t="n"/>
      <c r="BK408" s="36" t="n"/>
      <c r="BL408" s="183">
        <f>IFERROR(BL380-BL307-N(BL308),"n/a")</f>
        <v/>
      </c>
      <c r="BM408" s="36" t="n"/>
      <c r="BN408" s="36" t="n"/>
      <c r="BO408" s="36" t="n"/>
      <c r="BP408" s="36" t="n"/>
      <c r="BQ408" s="183">
        <f>IFERROR(BQ380-BQ307-N(BQ308),"n/a")</f>
        <v/>
      </c>
      <c r="BR408" s="36" t="n"/>
      <c r="BS408" s="36" t="n"/>
      <c r="BT408" s="36" t="n"/>
      <c r="BU408" s="36" t="n"/>
      <c r="BV408" s="183">
        <f>IFERROR(BV380-BV307-N(BV308),"n/a")</f>
        <v/>
      </c>
      <c r="BW408" s="36" t="n"/>
      <c r="BX408" s="36" t="n"/>
      <c r="BY408" s="37" t="n"/>
      <c r="BZ408" s="37" t="n"/>
      <c r="CA408" s="178">
        <f>IFERROR(CA380-CA307-N(CA308),"n/a")</f>
        <v/>
      </c>
      <c r="CB408" s="178">
        <f>IFERROR(CB380-CB307-N(CB308),"n/a")</f>
        <v/>
      </c>
      <c r="CC408" s="178">
        <f>IFERROR(CC380-CC307-N(CC308),"n/a")</f>
        <v/>
      </c>
      <c r="CD408" s="178">
        <f>IFERROR(CD380-CD307-N(CD308),"n/a")</f>
        <v/>
      </c>
      <c r="CE408" s="178">
        <f>IFERROR(CE380-CE307-N(CE308),"n/a")</f>
        <v/>
      </c>
      <c r="CF408" s="20" t="n"/>
    </row>
    <row r="409" ht="15" customHeight="1">
      <c r="B409" s="59" t="inlineStr">
        <is>
          <t>ROIC = NOPAT / IC</t>
        </is>
      </c>
      <c r="C409" s="215">
        <f>IFERROR(C405/C406,"n/a")</f>
        <v/>
      </c>
      <c r="D409" s="215">
        <f>IFERROR(D405/D406,"n/a")</f>
        <v/>
      </c>
      <c r="E409" s="215">
        <f>IFERROR(E405/E406,"n/a")</f>
        <v/>
      </c>
      <c r="F409" s="215">
        <f>IFERROR(F405/F406,"n/a")</f>
        <v/>
      </c>
      <c r="G409" s="215">
        <f>IFERROR(G405/G406,"n/a")</f>
        <v/>
      </c>
      <c r="H409" s="215">
        <f>IFERROR(H405/H406,"n/a")</f>
        <v/>
      </c>
      <c r="I409" s="215">
        <f>IFERROR(I405/I406,"n/a")</f>
        <v/>
      </c>
      <c r="J409" s="60" t="n"/>
      <c r="K409" s="60" t="n"/>
      <c r="L409" s="60" t="n"/>
      <c r="M409" s="60" t="n"/>
      <c r="N409" s="215">
        <f>IFERROR(N405/N406,"n/a")</f>
        <v/>
      </c>
      <c r="O409" s="60" t="n"/>
      <c r="P409" s="60" t="n"/>
      <c r="Q409" s="60" t="n"/>
      <c r="R409" s="60" t="n"/>
      <c r="S409" s="215">
        <f>IFERROR(S405/S406,"n/a")</f>
        <v/>
      </c>
      <c r="T409" s="60" t="n"/>
      <c r="U409" s="60" t="n"/>
      <c r="V409" s="60" t="n"/>
      <c r="W409" s="60" t="n"/>
      <c r="X409" s="215">
        <f>IFERROR(X405/X406,"n/a")</f>
        <v/>
      </c>
      <c r="Y409" s="60" t="n"/>
      <c r="Z409" s="60" t="n"/>
      <c r="AA409" s="60" t="n"/>
      <c r="AB409" s="60" t="n"/>
      <c r="AC409" s="215">
        <f>IFERROR(AC405/AC406,"n/a")</f>
        <v/>
      </c>
      <c r="AD409" s="60" t="n"/>
      <c r="AE409" s="60" t="n"/>
      <c r="AF409" s="60" t="n"/>
      <c r="AG409" s="60" t="n"/>
      <c r="AH409" s="215">
        <f>IFERROR(AH405/AH406,"n/a")</f>
        <v/>
      </c>
      <c r="AI409" s="60" t="n"/>
      <c r="AJ409" s="60" t="n"/>
      <c r="AK409" s="60" t="n"/>
      <c r="AL409" s="60" t="n"/>
      <c r="AM409" s="215">
        <f>IFERROR(AM405/AM406,"n/a")</f>
        <v/>
      </c>
      <c r="AN409" s="60" t="n"/>
      <c r="AO409" s="60" t="n"/>
      <c r="AP409" s="60" t="n"/>
      <c r="AQ409" s="60" t="n"/>
      <c r="AR409" s="215">
        <f>IFERROR(AR405/AR406,"n/a")</f>
        <v/>
      </c>
      <c r="AS409" s="60" t="n"/>
      <c r="AT409" s="60" t="n"/>
      <c r="AU409" s="60" t="n"/>
      <c r="AV409" s="60" t="n"/>
      <c r="AW409" s="215">
        <f>IFERROR(AW405/AW406,"n/a")</f>
        <v/>
      </c>
      <c r="AX409" s="60" t="n"/>
      <c r="AY409" s="60" t="n"/>
      <c r="AZ409" s="60" t="n"/>
      <c r="BA409" s="60" t="n"/>
      <c r="BB409" s="215">
        <f>IFERROR(BB405/BB406,"n/a")</f>
        <v/>
      </c>
      <c r="BC409" s="60" t="n"/>
      <c r="BD409" s="60" t="n"/>
      <c r="BE409" s="60" t="n"/>
      <c r="BF409" s="60" t="n"/>
      <c r="BG409" s="215">
        <f>IFERROR(BG405/BG406,"n/a")</f>
        <v/>
      </c>
      <c r="BH409" s="60" t="n"/>
      <c r="BI409" s="60" t="n"/>
      <c r="BJ409" s="60" t="n"/>
      <c r="BK409" s="60" t="n"/>
      <c r="BL409" s="215">
        <f>IFERROR(BL405/BL406,"n/a")</f>
        <v/>
      </c>
      <c r="BM409" s="60" t="n"/>
      <c r="BN409" s="60" t="n"/>
      <c r="BO409" s="60" t="n"/>
      <c r="BP409" s="60" t="n"/>
      <c r="BQ409" s="215">
        <f>IFERROR(BQ405/BQ406,"n/a")</f>
        <v/>
      </c>
      <c r="BR409" s="60" t="n"/>
      <c r="BS409" s="60" t="n"/>
      <c r="BT409" s="60" t="n"/>
      <c r="BU409" s="60" t="n"/>
      <c r="BV409" s="215">
        <f>IFERROR(BV405/BV406,"n/a")</f>
        <v/>
      </c>
      <c r="BW409" s="60" t="n"/>
      <c r="BX409" s="60" t="n"/>
      <c r="BY409" s="60" t="n"/>
      <c r="BZ409" s="60" t="n"/>
      <c r="CA409" s="215">
        <f>IFERROR(CA405/CA406,"n/a")</f>
        <v/>
      </c>
      <c r="CB409" s="215">
        <f>IFERROR(CB405/CB406,"n/a")</f>
        <v/>
      </c>
      <c r="CC409" s="215">
        <f>IFERROR(CC405/CC406,"n/a")</f>
        <v/>
      </c>
      <c r="CD409" s="215">
        <f>IFERROR(CD405/CD406,"n/a")</f>
        <v/>
      </c>
      <c r="CE409" s="215">
        <f>IFERROR(CE405/CE406,"n/a")</f>
        <v/>
      </c>
      <c r="CF409" s="6" t="n"/>
      <c r="CH409" s="39">
        <f>IFERROR(AVERAGE(CA409,CB409,CC409,CD409,CE409),"n/m")</f>
        <v/>
      </c>
      <c r="CI409" s="39">
        <f>IFERROR(AVERAGE(BB409,BG409,BL409,BQ409,BV409),"n/m")</f>
        <v/>
      </c>
      <c r="CJ409" s="39">
        <f>IFERROR(AVERAGE(AC409,AH409,AM409,AR409,AW409,BB409,BG409,BL409,BQ409,BV409),"n/m")</f>
        <v/>
      </c>
      <c r="CK409" s="39">
        <f>IFERROR(AVERAGE(C409,D409,E409,F409,G409,H409,I409,N409,S409,X409,AC409,AH409,AM409,AR409,AW409,BB409,BG409,BL409,BQ409,BV409),"n/m")</f>
        <v/>
      </c>
    </row>
    <row r="410" ht="15" customHeight="1">
      <c r="B410" s="26" t="inlineStr">
        <is>
          <t xml:space="preserve">  Margin = Adjusted EBIT / Net sales</t>
        </is>
      </c>
      <c r="C410" s="187">
        <f>IFERROR(C403/C142,"n/a")</f>
        <v/>
      </c>
      <c r="D410" s="187">
        <f>IFERROR(D403/D142,"n/a")</f>
        <v/>
      </c>
      <c r="E410" s="187">
        <f>IFERROR(E403/E142,"n/a")</f>
        <v/>
      </c>
      <c r="F410" s="187">
        <f>IFERROR(F403/F142,"n/a")</f>
        <v/>
      </c>
      <c r="G410" s="187">
        <f>IFERROR(G403/G142,"n/a")</f>
        <v/>
      </c>
      <c r="H410" s="187">
        <f>IFERROR(H403/H142,"n/a")</f>
        <v/>
      </c>
      <c r="I410" s="187">
        <f>IFERROR(I403/I142,"n/a")</f>
        <v/>
      </c>
      <c r="J410" s="36" t="n"/>
      <c r="K410" s="36" t="n"/>
      <c r="L410" s="36" t="n"/>
      <c r="M410" s="36" t="n"/>
      <c r="N410" s="187">
        <f>IFERROR(N403/N142,"n/a")</f>
        <v/>
      </c>
      <c r="O410" s="36" t="n"/>
      <c r="P410" s="36" t="n"/>
      <c r="Q410" s="36" t="n"/>
      <c r="R410" s="36" t="n"/>
      <c r="S410" s="187">
        <f>IFERROR(S403/S142,"n/a")</f>
        <v/>
      </c>
      <c r="T410" s="36" t="n"/>
      <c r="U410" s="36" t="n"/>
      <c r="V410" s="36" t="n"/>
      <c r="W410" s="36" t="n"/>
      <c r="X410" s="187">
        <f>IFERROR(X403/X142,"n/a")</f>
        <v/>
      </c>
      <c r="Y410" s="36" t="n"/>
      <c r="Z410" s="36" t="n"/>
      <c r="AA410" s="36" t="n"/>
      <c r="AB410" s="36" t="n"/>
      <c r="AC410" s="187">
        <f>IFERROR(AC403/AC142,"n/a")</f>
        <v/>
      </c>
      <c r="AD410" s="36" t="n"/>
      <c r="AE410" s="36" t="n"/>
      <c r="AF410" s="36" t="n"/>
      <c r="AG410" s="36" t="n"/>
      <c r="AH410" s="187">
        <f>IFERROR(AH403/AH142,"n/a")</f>
        <v/>
      </c>
      <c r="AI410" s="36" t="n"/>
      <c r="AJ410" s="36" t="n"/>
      <c r="AK410" s="36" t="n"/>
      <c r="AL410" s="36" t="n"/>
      <c r="AM410" s="187">
        <f>IFERROR(AM403/AM142,"n/a")</f>
        <v/>
      </c>
      <c r="AN410" s="36" t="n"/>
      <c r="AO410" s="36" t="n"/>
      <c r="AP410" s="36" t="n"/>
      <c r="AQ410" s="36" t="n"/>
      <c r="AR410" s="187">
        <f>IFERROR(AR403/AR142,"n/a")</f>
        <v/>
      </c>
      <c r="AS410" s="36" t="n"/>
      <c r="AT410" s="36" t="n"/>
      <c r="AU410" s="36" t="n"/>
      <c r="AV410" s="36" t="n"/>
      <c r="AW410" s="187">
        <f>IFERROR(AW403/AW142,"n/a")</f>
        <v/>
      </c>
      <c r="AX410" s="36" t="n"/>
      <c r="AY410" s="36" t="n"/>
      <c r="AZ410" s="36" t="n"/>
      <c r="BA410" s="36" t="n"/>
      <c r="BB410" s="187">
        <f>IFERROR(BB403/BB142,"n/a")</f>
        <v/>
      </c>
      <c r="BC410" s="36" t="n"/>
      <c r="BD410" s="36" t="n"/>
      <c r="BE410" s="36" t="n"/>
      <c r="BF410" s="36" t="n"/>
      <c r="BG410" s="187">
        <f>IFERROR(BG403/BG142,"n/a")</f>
        <v/>
      </c>
      <c r="BH410" s="36" t="n"/>
      <c r="BI410" s="36" t="n"/>
      <c r="BJ410" s="36" t="n"/>
      <c r="BK410" s="36" t="n"/>
      <c r="BL410" s="187">
        <f>IFERROR(BL403/BL142,"n/a")</f>
        <v/>
      </c>
      <c r="BM410" s="36" t="n"/>
      <c r="BN410" s="36" t="n"/>
      <c r="BO410" s="36" t="n"/>
      <c r="BP410" s="36" t="n"/>
      <c r="BQ410" s="187">
        <f>IFERROR(BQ403/BQ142,"n/a")</f>
        <v/>
      </c>
      <c r="BR410" s="36" t="n"/>
      <c r="BS410" s="36" t="n"/>
      <c r="BT410" s="36" t="n"/>
      <c r="BU410" s="36" t="n"/>
      <c r="BV410" s="187">
        <f>IFERROR(BV403/BV142,"n/a")</f>
        <v/>
      </c>
      <c r="BW410" s="36" t="n"/>
      <c r="BX410" s="36" t="n"/>
      <c r="BY410" s="37" t="n"/>
      <c r="BZ410" s="37" t="n"/>
      <c r="CA410" s="180">
        <f>IFERROR(CA403/CA142,"n/a")</f>
        <v/>
      </c>
      <c r="CB410" s="180">
        <f>IFERROR(CB403/CB142,"n/a")</f>
        <v/>
      </c>
      <c r="CC410" s="180">
        <f>IFERROR(CC403/CC142,"n/a")</f>
        <v/>
      </c>
      <c r="CD410" s="180">
        <f>IFERROR(CD403/CD142,"n/a")</f>
        <v/>
      </c>
      <c r="CE410" s="180">
        <f>IFERROR(CE403/CE142,"n/a")</f>
        <v/>
      </c>
      <c r="CF410" s="20" t="n"/>
    </row>
    <row r="411" ht="15" customHeight="1">
      <c r="B411" s="26" t="inlineStr">
        <is>
          <t xml:space="preserve">  Capital turnover = Net sales / IC</t>
        </is>
      </c>
      <c r="C411" s="176">
        <f>IFERROR(C142/C406,"n/a")</f>
        <v/>
      </c>
      <c r="D411" s="176">
        <f>IFERROR(D142/D406,"n/a")</f>
        <v/>
      </c>
      <c r="E411" s="176">
        <f>IFERROR(E142/E406,"n/a")</f>
        <v/>
      </c>
      <c r="F411" s="176">
        <f>IFERROR(F142/F406,"n/a")</f>
        <v/>
      </c>
      <c r="G411" s="176">
        <f>IFERROR(G142/G406,"n/a")</f>
        <v/>
      </c>
      <c r="H411" s="176">
        <f>IFERROR(H142/H406,"n/a")</f>
        <v/>
      </c>
      <c r="I411" s="176">
        <f>IFERROR(I142/I406,"n/a")</f>
        <v/>
      </c>
      <c r="J411" s="36" t="n"/>
      <c r="K411" s="36" t="n"/>
      <c r="L411" s="36" t="n"/>
      <c r="M411" s="36" t="n"/>
      <c r="N411" s="176">
        <f>IFERROR(N142/N406,"n/a")</f>
        <v/>
      </c>
      <c r="O411" s="36" t="n"/>
      <c r="P411" s="36" t="n"/>
      <c r="Q411" s="36" t="n"/>
      <c r="R411" s="36" t="n"/>
      <c r="S411" s="176">
        <f>IFERROR(S142/S406,"n/a")</f>
        <v/>
      </c>
      <c r="T411" s="36" t="n"/>
      <c r="U411" s="36" t="n"/>
      <c r="V411" s="36" t="n"/>
      <c r="W411" s="36" t="n"/>
      <c r="X411" s="176">
        <f>IFERROR(X142/X406,"n/a")</f>
        <v/>
      </c>
      <c r="Y411" s="36" t="n"/>
      <c r="Z411" s="36" t="n"/>
      <c r="AA411" s="36" t="n"/>
      <c r="AB411" s="36" t="n"/>
      <c r="AC411" s="176">
        <f>IFERROR(AC142/AC406,"n/a")</f>
        <v/>
      </c>
      <c r="AD411" s="36" t="n"/>
      <c r="AE411" s="36" t="n"/>
      <c r="AF411" s="36" t="n"/>
      <c r="AG411" s="36" t="n"/>
      <c r="AH411" s="176">
        <f>IFERROR(AH142/AH406,"n/a")</f>
        <v/>
      </c>
      <c r="AI411" s="36" t="n"/>
      <c r="AJ411" s="36" t="n"/>
      <c r="AK411" s="36" t="n"/>
      <c r="AL411" s="36" t="n"/>
      <c r="AM411" s="176">
        <f>IFERROR(AM142/AM406,"n/a")</f>
        <v/>
      </c>
      <c r="AN411" s="36" t="n"/>
      <c r="AO411" s="36" t="n"/>
      <c r="AP411" s="36" t="n"/>
      <c r="AQ411" s="36" t="n"/>
      <c r="AR411" s="176">
        <f>IFERROR(AR142/AR406,"n/a")</f>
        <v/>
      </c>
      <c r="AS411" s="36" t="n"/>
      <c r="AT411" s="36" t="n"/>
      <c r="AU411" s="36" t="n"/>
      <c r="AV411" s="36" t="n"/>
      <c r="AW411" s="176">
        <f>IFERROR(AW142/AW406,"n/a")</f>
        <v/>
      </c>
      <c r="AX411" s="36" t="n"/>
      <c r="AY411" s="36" t="n"/>
      <c r="AZ411" s="36" t="n"/>
      <c r="BA411" s="36" t="n"/>
      <c r="BB411" s="176">
        <f>IFERROR(BB142/BB406,"n/a")</f>
        <v/>
      </c>
      <c r="BC411" s="36" t="n"/>
      <c r="BD411" s="36" t="n"/>
      <c r="BE411" s="36" t="n"/>
      <c r="BF411" s="36" t="n"/>
      <c r="BG411" s="176">
        <f>IFERROR(BG142/BG406,"n/a")</f>
        <v/>
      </c>
      <c r="BH411" s="36" t="n"/>
      <c r="BI411" s="36" t="n"/>
      <c r="BJ411" s="36" t="n"/>
      <c r="BK411" s="36" t="n"/>
      <c r="BL411" s="176">
        <f>IFERROR(BL142/BL406,"n/a")</f>
        <v/>
      </c>
      <c r="BM411" s="36" t="n"/>
      <c r="BN411" s="36" t="n"/>
      <c r="BO411" s="36" t="n"/>
      <c r="BP411" s="36" t="n"/>
      <c r="BQ411" s="176">
        <f>IFERROR(BQ142/BQ406,"n/a")</f>
        <v/>
      </c>
      <c r="BR411" s="36" t="n"/>
      <c r="BS411" s="36" t="n"/>
      <c r="BT411" s="36" t="n"/>
      <c r="BU411" s="36" t="n"/>
      <c r="BV411" s="176">
        <f>IFERROR(BV142/BV406,"n/a")</f>
        <v/>
      </c>
      <c r="BW411" s="36" t="n"/>
      <c r="BX411" s="36" t="n"/>
      <c r="BY411" s="37" t="n"/>
      <c r="BZ411" s="37" t="n"/>
      <c r="CA411" s="206">
        <f>IFERROR(CA142/CA406,"n/a")</f>
        <v/>
      </c>
      <c r="CB411" s="206">
        <f>IFERROR(CB142/CB406,"n/a")</f>
        <v/>
      </c>
      <c r="CC411" s="206">
        <f>IFERROR(CC142/CC406,"n/a")</f>
        <v/>
      </c>
      <c r="CD411" s="206">
        <f>IFERROR(CD142/CD406,"n/a")</f>
        <v/>
      </c>
      <c r="CE411" s="206">
        <f>IFERROR(CE142/CE406,"n/a")</f>
        <v/>
      </c>
      <c r="CF411" s="20" t="n"/>
    </row>
    <row r="412" ht="15" customHeight="1">
      <c r="B412" s="26" t="inlineStr">
        <is>
          <t xml:space="preserve">  Tax burden = (1 − effective tax rate)</t>
        </is>
      </c>
      <c r="C412" s="187">
        <f>IFERROR(1-C404,"n/a")</f>
        <v/>
      </c>
      <c r="D412" s="187">
        <f>IFERROR(1-D404,"n/a")</f>
        <v/>
      </c>
      <c r="E412" s="187">
        <f>IFERROR(1-E404,"n/a")</f>
        <v/>
      </c>
      <c r="F412" s="187">
        <f>IFERROR(1-F404,"n/a")</f>
        <v/>
      </c>
      <c r="G412" s="187">
        <f>IFERROR(1-G404,"n/a")</f>
        <v/>
      </c>
      <c r="H412" s="187">
        <f>IFERROR(1-H404,"n/a")</f>
        <v/>
      </c>
      <c r="I412" s="187">
        <f>IFERROR(1-I404,"n/a")</f>
        <v/>
      </c>
      <c r="J412" s="36" t="n"/>
      <c r="K412" s="36" t="n"/>
      <c r="L412" s="36" t="n"/>
      <c r="M412" s="36" t="n"/>
      <c r="N412" s="187">
        <f>IFERROR(1-N404,"n/a")</f>
        <v/>
      </c>
      <c r="O412" s="36" t="n"/>
      <c r="P412" s="36" t="n"/>
      <c r="Q412" s="36" t="n"/>
      <c r="R412" s="36" t="n"/>
      <c r="S412" s="187">
        <f>IFERROR(1-S404,"n/a")</f>
        <v/>
      </c>
      <c r="T412" s="36" t="n"/>
      <c r="U412" s="36" t="n"/>
      <c r="V412" s="36" t="n"/>
      <c r="W412" s="36" t="n"/>
      <c r="X412" s="187">
        <f>IFERROR(1-X404,"n/a")</f>
        <v/>
      </c>
      <c r="Y412" s="36" t="n"/>
      <c r="Z412" s="36" t="n"/>
      <c r="AA412" s="36" t="n"/>
      <c r="AB412" s="36" t="n"/>
      <c r="AC412" s="187">
        <f>IFERROR(1-AC404,"n/a")</f>
        <v/>
      </c>
      <c r="AD412" s="36" t="n"/>
      <c r="AE412" s="36" t="n"/>
      <c r="AF412" s="36" t="n"/>
      <c r="AG412" s="36" t="n"/>
      <c r="AH412" s="187">
        <f>IFERROR(1-AH404,"n/a")</f>
        <v/>
      </c>
      <c r="AI412" s="36" t="n"/>
      <c r="AJ412" s="36" t="n"/>
      <c r="AK412" s="36" t="n"/>
      <c r="AL412" s="36" t="n"/>
      <c r="AM412" s="187">
        <f>IFERROR(1-AM404,"n/a")</f>
        <v/>
      </c>
      <c r="AN412" s="36" t="n"/>
      <c r="AO412" s="36" t="n"/>
      <c r="AP412" s="36" t="n"/>
      <c r="AQ412" s="36" t="n"/>
      <c r="AR412" s="187">
        <f>IFERROR(1-AR404,"n/a")</f>
        <v/>
      </c>
      <c r="AS412" s="36" t="n"/>
      <c r="AT412" s="36" t="n"/>
      <c r="AU412" s="36" t="n"/>
      <c r="AV412" s="36" t="n"/>
      <c r="AW412" s="187">
        <f>IFERROR(1-AW404,"n/a")</f>
        <v/>
      </c>
      <c r="AX412" s="36" t="n"/>
      <c r="AY412" s="36" t="n"/>
      <c r="AZ412" s="36" t="n"/>
      <c r="BA412" s="36" t="n"/>
      <c r="BB412" s="187">
        <f>IFERROR(1-BB404,"n/a")</f>
        <v/>
      </c>
      <c r="BC412" s="36" t="n"/>
      <c r="BD412" s="36" t="n"/>
      <c r="BE412" s="36" t="n"/>
      <c r="BF412" s="36" t="n"/>
      <c r="BG412" s="187">
        <f>IFERROR(1-BG404,"n/a")</f>
        <v/>
      </c>
      <c r="BH412" s="36" t="n"/>
      <c r="BI412" s="36" t="n"/>
      <c r="BJ412" s="36" t="n"/>
      <c r="BK412" s="36" t="n"/>
      <c r="BL412" s="187">
        <f>IFERROR(1-BL404,"n/a")</f>
        <v/>
      </c>
      <c r="BM412" s="36" t="n"/>
      <c r="BN412" s="36" t="n"/>
      <c r="BO412" s="36" t="n"/>
      <c r="BP412" s="36" t="n"/>
      <c r="BQ412" s="187">
        <f>IFERROR(1-BQ404,"n/a")</f>
        <v/>
      </c>
      <c r="BR412" s="36" t="n"/>
      <c r="BS412" s="36" t="n"/>
      <c r="BT412" s="36" t="n"/>
      <c r="BU412" s="36" t="n"/>
      <c r="BV412" s="187">
        <f>IFERROR(1-BV404,"n/a")</f>
        <v/>
      </c>
      <c r="BW412" s="36" t="n"/>
      <c r="BX412" s="36" t="n"/>
      <c r="BY412" s="37" t="n"/>
      <c r="BZ412" s="37" t="n"/>
      <c r="CA412" s="180">
        <f>IFERROR(1-CA404,"n/a")</f>
        <v/>
      </c>
      <c r="CB412" s="180">
        <f>IFERROR(1-CB404,"n/a")</f>
        <v/>
      </c>
      <c r="CC412" s="180">
        <f>IFERROR(1-CC404,"n/a")</f>
        <v/>
      </c>
      <c r="CD412" s="180">
        <f>IFERROR(1-CD404,"n/a")</f>
        <v/>
      </c>
      <c r="CE412" s="180">
        <f>IFERROR(1-CE404,"n/a")</f>
        <v/>
      </c>
      <c r="CF412" s="20" t="n"/>
    </row>
    <row r="413" ht="15" customHeight="1">
      <c r="B413" s="26" t="inlineStr">
        <is>
          <t xml:space="preserve">  Check: Margin × Turnover × Tax burden = ROIC</t>
        </is>
      </c>
      <c r="C413" s="187">
        <f>IFERROR(C410*C411*C412,"n/a")</f>
        <v/>
      </c>
      <c r="D413" s="187">
        <f>IFERROR(D410*D411*D412,"n/a")</f>
        <v/>
      </c>
      <c r="E413" s="187">
        <f>IFERROR(E410*E411*E412,"n/a")</f>
        <v/>
      </c>
      <c r="F413" s="187">
        <f>IFERROR(F410*F411*F412,"n/a")</f>
        <v/>
      </c>
      <c r="G413" s="187">
        <f>IFERROR(G410*G411*G412,"n/a")</f>
        <v/>
      </c>
      <c r="H413" s="187">
        <f>IFERROR(H410*H411*H412,"n/a")</f>
        <v/>
      </c>
      <c r="I413" s="187">
        <f>IFERROR(I410*I411*I412,"n/a")</f>
        <v/>
      </c>
      <c r="J413" s="36" t="n"/>
      <c r="K413" s="36" t="n"/>
      <c r="L413" s="36" t="n"/>
      <c r="M413" s="36" t="n"/>
      <c r="N413" s="187">
        <f>IFERROR(N410*N411*N412,"n/a")</f>
        <v/>
      </c>
      <c r="O413" s="36" t="n"/>
      <c r="P413" s="36" t="n"/>
      <c r="Q413" s="36" t="n"/>
      <c r="R413" s="36" t="n"/>
      <c r="S413" s="187">
        <f>IFERROR(S410*S411*S412,"n/a")</f>
        <v/>
      </c>
      <c r="T413" s="36" t="n"/>
      <c r="U413" s="36" t="n"/>
      <c r="V413" s="36" t="n"/>
      <c r="W413" s="36" t="n"/>
      <c r="X413" s="187">
        <f>IFERROR(X410*X411*X412,"n/a")</f>
        <v/>
      </c>
      <c r="Y413" s="36" t="n"/>
      <c r="Z413" s="36" t="n"/>
      <c r="AA413" s="36" t="n"/>
      <c r="AB413" s="36" t="n"/>
      <c r="AC413" s="187">
        <f>IFERROR(AC410*AC411*AC412,"n/a")</f>
        <v/>
      </c>
      <c r="AD413" s="36" t="n"/>
      <c r="AE413" s="36" t="n"/>
      <c r="AF413" s="36" t="n"/>
      <c r="AG413" s="36" t="n"/>
      <c r="AH413" s="187">
        <f>IFERROR(AH410*AH411*AH412,"n/a")</f>
        <v/>
      </c>
      <c r="AI413" s="36" t="n"/>
      <c r="AJ413" s="36" t="n"/>
      <c r="AK413" s="36" t="n"/>
      <c r="AL413" s="36" t="n"/>
      <c r="AM413" s="187">
        <f>IFERROR(AM410*AM411*AM412,"n/a")</f>
        <v/>
      </c>
      <c r="AN413" s="36" t="n"/>
      <c r="AO413" s="36" t="n"/>
      <c r="AP413" s="36" t="n"/>
      <c r="AQ413" s="36" t="n"/>
      <c r="AR413" s="187">
        <f>IFERROR(AR410*AR411*AR412,"n/a")</f>
        <v/>
      </c>
      <c r="AS413" s="36" t="n"/>
      <c r="AT413" s="36" t="n"/>
      <c r="AU413" s="36" t="n"/>
      <c r="AV413" s="36" t="n"/>
      <c r="AW413" s="187">
        <f>IFERROR(AW410*AW411*AW412,"n/a")</f>
        <v/>
      </c>
      <c r="AX413" s="36" t="n"/>
      <c r="AY413" s="36" t="n"/>
      <c r="AZ413" s="36" t="n"/>
      <c r="BA413" s="36" t="n"/>
      <c r="BB413" s="187">
        <f>IFERROR(BB410*BB411*BB412,"n/a")</f>
        <v/>
      </c>
      <c r="BC413" s="36" t="n"/>
      <c r="BD413" s="36" t="n"/>
      <c r="BE413" s="36" t="n"/>
      <c r="BF413" s="36" t="n"/>
      <c r="BG413" s="187">
        <f>IFERROR(BG410*BG411*BG412,"n/a")</f>
        <v/>
      </c>
      <c r="BH413" s="36" t="n"/>
      <c r="BI413" s="36" t="n"/>
      <c r="BJ413" s="36" t="n"/>
      <c r="BK413" s="36" t="n"/>
      <c r="BL413" s="187">
        <f>IFERROR(BL410*BL411*BL412,"n/a")</f>
        <v/>
      </c>
      <c r="BM413" s="36" t="n"/>
      <c r="BN413" s="36" t="n"/>
      <c r="BO413" s="36" t="n"/>
      <c r="BP413" s="36" t="n"/>
      <c r="BQ413" s="187">
        <f>IFERROR(BQ410*BQ411*BQ412,"n/a")</f>
        <v/>
      </c>
      <c r="BR413" s="36" t="n"/>
      <c r="BS413" s="36" t="n"/>
      <c r="BT413" s="36" t="n"/>
      <c r="BU413" s="36" t="n"/>
      <c r="BV413" s="187">
        <f>IFERROR(BV410*BV411*BV412,"n/a")</f>
        <v/>
      </c>
      <c r="BW413" s="36" t="n"/>
      <c r="BX413" s="36" t="n"/>
      <c r="BY413" s="37" t="n"/>
      <c r="BZ413" s="37" t="n"/>
      <c r="CA413" s="180">
        <f>IFERROR(CA410*CA411*CA412,"n/a")</f>
        <v/>
      </c>
      <c r="CB413" s="180">
        <f>IFERROR(CB410*CB411*CB412,"n/a")</f>
        <v/>
      </c>
      <c r="CC413" s="180">
        <f>IFERROR(CC410*CC411*CC412,"n/a")</f>
        <v/>
      </c>
      <c r="CD413" s="180">
        <f>IFERROR(CD410*CD411*CD412,"n/a")</f>
        <v/>
      </c>
      <c r="CE413" s="180">
        <f>IFERROR(CE410*CE411*CE412,"n/a")</f>
        <v/>
      </c>
      <c r="CF413" s="20" t="n"/>
    </row>
    <row r="414" ht="15" customHeight="1">
      <c r="B414" s="26" t="inlineStr">
        <is>
          <t>RONTA decomposition</t>
        </is>
      </c>
      <c r="CF414" s="6" t="n"/>
    </row>
    <row r="415" ht="15" customHeight="1">
      <c r="B415" s="26" t="inlineStr">
        <is>
          <t>NOPAT = Adjusted EBIT × (1 − tax rate)</t>
        </is>
      </c>
      <c r="C415" s="183">
        <f>C405</f>
        <v/>
      </c>
      <c r="D415" s="183">
        <f>D405</f>
        <v/>
      </c>
      <c r="E415" s="183">
        <f>E405</f>
        <v/>
      </c>
      <c r="F415" s="183">
        <f>F405</f>
        <v/>
      </c>
      <c r="G415" s="183">
        <f>G405</f>
        <v/>
      </c>
      <c r="H415" s="183">
        <f>H405</f>
        <v/>
      </c>
      <c r="I415" s="183">
        <f>I405</f>
        <v/>
      </c>
      <c r="J415" s="36" t="n"/>
      <c r="K415" s="36" t="n"/>
      <c r="L415" s="36" t="n"/>
      <c r="M415" s="36" t="n"/>
      <c r="N415" s="183">
        <f>N405</f>
        <v/>
      </c>
      <c r="O415" s="36" t="n"/>
      <c r="P415" s="36" t="n"/>
      <c r="Q415" s="36" t="n"/>
      <c r="R415" s="36" t="n"/>
      <c r="S415" s="183">
        <f>S405</f>
        <v/>
      </c>
      <c r="T415" s="36" t="n"/>
      <c r="U415" s="36" t="n"/>
      <c r="V415" s="36" t="n"/>
      <c r="W415" s="36" t="n"/>
      <c r="X415" s="183">
        <f>X405</f>
        <v/>
      </c>
      <c r="Y415" s="36" t="n"/>
      <c r="Z415" s="36" t="n"/>
      <c r="AA415" s="36" t="n"/>
      <c r="AB415" s="36" t="n"/>
      <c r="AC415" s="183">
        <f>AC405</f>
        <v/>
      </c>
      <c r="AD415" s="36" t="n"/>
      <c r="AE415" s="36" t="n"/>
      <c r="AF415" s="36" t="n"/>
      <c r="AG415" s="36" t="n"/>
      <c r="AH415" s="183">
        <f>AH405</f>
        <v/>
      </c>
      <c r="AI415" s="36" t="n"/>
      <c r="AJ415" s="36" t="n"/>
      <c r="AK415" s="36" t="n"/>
      <c r="AL415" s="36" t="n"/>
      <c r="AM415" s="183">
        <f>AM405</f>
        <v/>
      </c>
      <c r="AN415" s="36" t="n"/>
      <c r="AO415" s="36" t="n"/>
      <c r="AP415" s="36" t="n"/>
      <c r="AQ415" s="36" t="n"/>
      <c r="AR415" s="183">
        <f>AR405</f>
        <v/>
      </c>
      <c r="AS415" s="36" t="n"/>
      <c r="AT415" s="36" t="n"/>
      <c r="AU415" s="36" t="n"/>
      <c r="AV415" s="36" t="n"/>
      <c r="AW415" s="183">
        <f>AW405</f>
        <v/>
      </c>
      <c r="AX415" s="36" t="n"/>
      <c r="AY415" s="36" t="n"/>
      <c r="AZ415" s="36" t="n"/>
      <c r="BA415" s="36" t="n"/>
      <c r="BB415" s="183">
        <f>BB405</f>
        <v/>
      </c>
      <c r="BC415" s="36" t="n"/>
      <c r="BD415" s="36" t="n"/>
      <c r="BE415" s="36" t="n"/>
      <c r="BF415" s="36" t="n"/>
      <c r="BG415" s="183">
        <f>BG405</f>
        <v/>
      </c>
      <c r="BH415" s="36" t="n"/>
      <c r="BI415" s="36" t="n"/>
      <c r="BJ415" s="36" t="n"/>
      <c r="BK415" s="36" t="n"/>
      <c r="BL415" s="183">
        <f>BL405</f>
        <v/>
      </c>
      <c r="BM415" s="36" t="n"/>
      <c r="BN415" s="36" t="n"/>
      <c r="BO415" s="36" t="n"/>
      <c r="BP415" s="36" t="n"/>
      <c r="BQ415" s="183">
        <f>BQ405</f>
        <v/>
      </c>
      <c r="BR415" s="36" t="n"/>
      <c r="BS415" s="36" t="n"/>
      <c r="BT415" s="36" t="n"/>
      <c r="BU415" s="36" t="n"/>
      <c r="BV415" s="183">
        <f>BV405</f>
        <v/>
      </c>
      <c r="BW415" s="36" t="n"/>
      <c r="BX415" s="36" t="n"/>
      <c r="BY415" s="37" t="n"/>
      <c r="BZ415" s="37" t="n"/>
      <c r="CA415" s="178">
        <f>CA405</f>
        <v/>
      </c>
      <c r="CB415" s="178">
        <f>CB405</f>
        <v/>
      </c>
      <c r="CC415" s="178">
        <f>CC405</f>
        <v/>
      </c>
      <c r="CD415" s="178">
        <f>CD405</f>
        <v/>
      </c>
      <c r="CE415" s="178">
        <f>CE405</f>
        <v/>
      </c>
      <c r="CF415" s="20" t="n"/>
    </row>
    <row r="416" ht="15" customHeight="1">
      <c r="B416" s="26" t="inlineStr">
        <is>
          <t xml:space="preserve">  Total assets</t>
        </is>
      </c>
      <c r="C416" s="183">
        <f>C317</f>
        <v/>
      </c>
      <c r="D416" s="183">
        <f>D317</f>
        <v/>
      </c>
      <c r="E416" s="183">
        <f>E317</f>
        <v/>
      </c>
      <c r="F416" s="183">
        <f>F317</f>
        <v/>
      </c>
      <c r="G416" s="183">
        <f>G317</f>
        <v/>
      </c>
      <c r="H416" s="183">
        <f>H317</f>
        <v/>
      </c>
      <c r="I416" s="183">
        <f>I317</f>
        <v/>
      </c>
      <c r="J416" s="36" t="n"/>
      <c r="K416" s="36" t="n"/>
      <c r="L416" s="36" t="n"/>
      <c r="M416" s="36" t="n"/>
      <c r="N416" s="183">
        <f>N317</f>
        <v/>
      </c>
      <c r="O416" s="36" t="n"/>
      <c r="P416" s="36" t="n"/>
      <c r="Q416" s="36" t="n"/>
      <c r="R416" s="36" t="n"/>
      <c r="S416" s="183">
        <f>S317</f>
        <v/>
      </c>
      <c r="T416" s="36" t="n"/>
      <c r="U416" s="36" t="n"/>
      <c r="V416" s="36" t="n"/>
      <c r="W416" s="36" t="n"/>
      <c r="X416" s="183">
        <f>X317</f>
        <v/>
      </c>
      <c r="Y416" s="36" t="n"/>
      <c r="Z416" s="36" t="n"/>
      <c r="AA416" s="36" t="n"/>
      <c r="AB416" s="36" t="n"/>
      <c r="AC416" s="183">
        <f>AC317</f>
        <v/>
      </c>
      <c r="AD416" s="36" t="n"/>
      <c r="AE416" s="36" t="n"/>
      <c r="AF416" s="36" t="n"/>
      <c r="AG416" s="36" t="n"/>
      <c r="AH416" s="183">
        <f>AH317</f>
        <v/>
      </c>
      <c r="AI416" s="36" t="n"/>
      <c r="AJ416" s="36" t="n"/>
      <c r="AK416" s="36" t="n"/>
      <c r="AL416" s="36" t="n"/>
      <c r="AM416" s="183">
        <f>AM317</f>
        <v/>
      </c>
      <c r="AN416" s="36" t="n"/>
      <c r="AO416" s="36" t="n"/>
      <c r="AP416" s="36" t="n"/>
      <c r="AQ416" s="36" t="n"/>
      <c r="AR416" s="183">
        <f>AR317</f>
        <v/>
      </c>
      <c r="AS416" s="36" t="n"/>
      <c r="AT416" s="36" t="n"/>
      <c r="AU416" s="36" t="n"/>
      <c r="AV416" s="36" t="n"/>
      <c r="AW416" s="183">
        <f>AW317</f>
        <v/>
      </c>
      <c r="AX416" s="36" t="n"/>
      <c r="AY416" s="36" t="n"/>
      <c r="AZ416" s="36" t="n"/>
      <c r="BA416" s="36" t="n"/>
      <c r="BB416" s="183">
        <f>BB317</f>
        <v/>
      </c>
      <c r="BC416" s="36" t="n"/>
      <c r="BD416" s="36" t="n"/>
      <c r="BE416" s="36" t="n"/>
      <c r="BF416" s="36" t="n"/>
      <c r="BG416" s="183">
        <f>BG317</f>
        <v/>
      </c>
      <c r="BH416" s="36" t="n"/>
      <c r="BI416" s="36" t="n"/>
      <c r="BJ416" s="36" t="n"/>
      <c r="BK416" s="36" t="n"/>
      <c r="BL416" s="183">
        <f>BL317</f>
        <v/>
      </c>
      <c r="BM416" s="36" t="n"/>
      <c r="BN416" s="36" t="n"/>
      <c r="BO416" s="36" t="n"/>
      <c r="BP416" s="36" t="n"/>
      <c r="BQ416" s="183">
        <f>BQ317</f>
        <v/>
      </c>
      <c r="BR416" s="36" t="n"/>
      <c r="BS416" s="36" t="n"/>
      <c r="BT416" s="36" t="n"/>
      <c r="BU416" s="36" t="n"/>
      <c r="BV416" s="183">
        <f>BV317</f>
        <v/>
      </c>
      <c r="BW416" s="36" t="n"/>
      <c r="BX416" s="36" t="n"/>
      <c r="BY416" s="37" t="n"/>
      <c r="BZ416" s="37" t="n"/>
      <c r="CA416" s="178">
        <f>CA317</f>
        <v/>
      </c>
      <c r="CB416" s="178">
        <f>CB317</f>
        <v/>
      </c>
      <c r="CC416" s="178">
        <f>CC317</f>
        <v/>
      </c>
      <c r="CD416" s="178">
        <f>CD317</f>
        <v/>
      </c>
      <c r="CE416" s="178">
        <f>CE317</f>
        <v/>
      </c>
      <c r="CF416" s="20" t="n"/>
    </row>
    <row r="417" ht="15" customHeight="1">
      <c r="B417" s="26" t="inlineStr">
        <is>
          <t xml:space="preserve">  − Goodwill &amp; acquired intangible assets</t>
        </is>
      </c>
      <c r="C417" s="183">
        <f>-(C314+C315)</f>
        <v/>
      </c>
      <c r="D417" s="183">
        <f>-(D314+D315)</f>
        <v/>
      </c>
      <c r="E417" s="183">
        <f>-(E314+E315)</f>
        <v/>
      </c>
      <c r="F417" s="183">
        <f>-(F314+F315)</f>
        <v/>
      </c>
      <c r="G417" s="183">
        <f>-(G314+G315)</f>
        <v/>
      </c>
      <c r="H417" s="183">
        <f>-(H314+H315)</f>
        <v/>
      </c>
      <c r="I417" s="183">
        <f>-(I314+I315)</f>
        <v/>
      </c>
      <c r="J417" s="36" t="n"/>
      <c r="K417" s="36" t="n"/>
      <c r="L417" s="36" t="n"/>
      <c r="M417" s="36" t="n"/>
      <c r="N417" s="183">
        <f>-(N314+N315)</f>
        <v/>
      </c>
      <c r="O417" s="36" t="n"/>
      <c r="P417" s="36" t="n"/>
      <c r="Q417" s="36" t="n"/>
      <c r="R417" s="36" t="n"/>
      <c r="S417" s="183">
        <f>-(S314+S315)</f>
        <v/>
      </c>
      <c r="T417" s="36" t="n"/>
      <c r="U417" s="36" t="n"/>
      <c r="V417" s="36" t="n"/>
      <c r="W417" s="36" t="n"/>
      <c r="X417" s="183">
        <f>-(X314+X315)</f>
        <v/>
      </c>
      <c r="Y417" s="36" t="n"/>
      <c r="Z417" s="36" t="n"/>
      <c r="AA417" s="36" t="n"/>
      <c r="AB417" s="36" t="n"/>
      <c r="AC417" s="183">
        <f>-(AC314+AC315)</f>
        <v/>
      </c>
      <c r="AD417" s="36" t="n"/>
      <c r="AE417" s="36" t="n"/>
      <c r="AF417" s="36" t="n"/>
      <c r="AG417" s="36" t="n"/>
      <c r="AH417" s="183">
        <f>-(AH314+AH315)</f>
        <v/>
      </c>
      <c r="AI417" s="36" t="n"/>
      <c r="AJ417" s="36" t="n"/>
      <c r="AK417" s="36" t="n"/>
      <c r="AL417" s="36" t="n"/>
      <c r="AM417" s="183">
        <f>-(AM314+AM315)</f>
        <v/>
      </c>
      <c r="AN417" s="36" t="n"/>
      <c r="AO417" s="36" t="n"/>
      <c r="AP417" s="36" t="n"/>
      <c r="AQ417" s="36" t="n"/>
      <c r="AR417" s="183">
        <f>-(AR314+AR315)</f>
        <v/>
      </c>
      <c r="AS417" s="36" t="n"/>
      <c r="AT417" s="36" t="n"/>
      <c r="AU417" s="36" t="n"/>
      <c r="AV417" s="36" t="n"/>
      <c r="AW417" s="183">
        <f>-(AW314+AW315)</f>
        <v/>
      </c>
      <c r="AX417" s="36" t="n"/>
      <c r="AY417" s="36" t="n"/>
      <c r="AZ417" s="36" t="n"/>
      <c r="BA417" s="36" t="n"/>
      <c r="BB417" s="183">
        <f>-(BB314+BB315)</f>
        <v/>
      </c>
      <c r="BC417" s="36" t="n"/>
      <c r="BD417" s="36" t="n"/>
      <c r="BE417" s="36" t="n"/>
      <c r="BF417" s="36" t="n"/>
      <c r="BG417" s="183">
        <f>-(BG314+BG315)</f>
        <v/>
      </c>
      <c r="BH417" s="36" t="n"/>
      <c r="BI417" s="36" t="n"/>
      <c r="BJ417" s="36" t="n"/>
      <c r="BK417" s="36" t="n"/>
      <c r="BL417" s="183">
        <f>-(BL314+BL315)</f>
        <v/>
      </c>
      <c r="BM417" s="36" t="n"/>
      <c r="BN417" s="36" t="n"/>
      <c r="BO417" s="36" t="n"/>
      <c r="BP417" s="36" t="n"/>
      <c r="BQ417" s="183">
        <f>-(BQ314+BQ315)</f>
        <v/>
      </c>
      <c r="BR417" s="36" t="n"/>
      <c r="BS417" s="36" t="n"/>
      <c r="BT417" s="36" t="n"/>
      <c r="BU417" s="36" t="n"/>
      <c r="BV417" s="183">
        <f>-(BV314+BV315)</f>
        <v/>
      </c>
      <c r="BW417" s="36" t="n"/>
      <c r="BX417" s="36" t="n"/>
      <c r="BY417" s="37" t="n"/>
      <c r="BZ417" s="37" t="n"/>
      <c r="CA417" s="178">
        <f>-(CA314+CA315)</f>
        <v/>
      </c>
      <c r="CB417" s="178">
        <f>-(CB314+CB315)</f>
        <v/>
      </c>
      <c r="CC417" s="178">
        <f>-(CC314+CC315)</f>
        <v/>
      </c>
      <c r="CD417" s="178">
        <f>-(CD314+CD315)</f>
        <v/>
      </c>
      <c r="CE417" s="178">
        <f>-(CE314+CE315)</f>
        <v/>
      </c>
      <c r="CF417" s="20" t="n"/>
    </row>
    <row r="418" ht="15" customHeight="1">
      <c r="B418" s="26" t="inlineStr">
        <is>
          <t xml:space="preserve">  − Non-interest-bearing current liabilities (total CL excl. debt)</t>
        </is>
      </c>
      <c r="C418" s="183">
        <f>-(C325-N(C323))</f>
        <v/>
      </c>
      <c r="D418" s="183">
        <f>-(D325-N(D323))</f>
        <v/>
      </c>
      <c r="E418" s="183">
        <f>-(E325-N(E323))</f>
        <v/>
      </c>
      <c r="F418" s="183">
        <f>-(F325-N(F323))</f>
        <v/>
      </c>
      <c r="G418" s="183">
        <f>-(G325-N(G323))</f>
        <v/>
      </c>
      <c r="H418" s="183">
        <f>-(H325-N(H323))</f>
        <v/>
      </c>
      <c r="I418" s="183">
        <f>-(I325-N(I323))</f>
        <v/>
      </c>
      <c r="J418" s="36" t="n"/>
      <c r="K418" s="36" t="n"/>
      <c r="L418" s="36" t="n"/>
      <c r="M418" s="36" t="n"/>
      <c r="N418" s="183">
        <f>-(N325-N(N323))</f>
        <v/>
      </c>
      <c r="O418" s="36" t="n"/>
      <c r="P418" s="36" t="n"/>
      <c r="Q418" s="36" t="n"/>
      <c r="R418" s="36" t="n"/>
      <c r="S418" s="183">
        <f>-(S325-N(S323))</f>
        <v/>
      </c>
      <c r="T418" s="36" t="n"/>
      <c r="U418" s="36" t="n"/>
      <c r="V418" s="36" t="n"/>
      <c r="W418" s="36" t="n"/>
      <c r="X418" s="183">
        <f>-(X325-N(X323))</f>
        <v/>
      </c>
      <c r="Y418" s="36" t="n"/>
      <c r="Z418" s="36" t="n"/>
      <c r="AA418" s="36" t="n"/>
      <c r="AB418" s="36" t="n"/>
      <c r="AC418" s="183">
        <f>-(AC325-N(AC323))</f>
        <v/>
      </c>
      <c r="AD418" s="36" t="n"/>
      <c r="AE418" s="36" t="n"/>
      <c r="AF418" s="36" t="n"/>
      <c r="AG418" s="36" t="n"/>
      <c r="AH418" s="183">
        <f>-(AH325-N(AH323))</f>
        <v/>
      </c>
      <c r="AI418" s="36" t="n"/>
      <c r="AJ418" s="36" t="n"/>
      <c r="AK418" s="36" t="n"/>
      <c r="AL418" s="36" t="n"/>
      <c r="AM418" s="183">
        <f>-(AM325-N(AM323))</f>
        <v/>
      </c>
      <c r="AN418" s="36" t="n"/>
      <c r="AO418" s="36" t="n"/>
      <c r="AP418" s="36" t="n"/>
      <c r="AQ418" s="36" t="n"/>
      <c r="AR418" s="183">
        <f>-(AR325-N(AR323))</f>
        <v/>
      </c>
      <c r="AS418" s="36" t="n"/>
      <c r="AT418" s="36" t="n"/>
      <c r="AU418" s="36" t="n"/>
      <c r="AV418" s="36" t="n"/>
      <c r="AW418" s="183">
        <f>-(AW325-N(AW323))</f>
        <v/>
      </c>
      <c r="AX418" s="36" t="n"/>
      <c r="AY418" s="36" t="n"/>
      <c r="AZ418" s="36" t="n"/>
      <c r="BA418" s="36" t="n"/>
      <c r="BB418" s="183">
        <f>-(BB325-N(BB323))</f>
        <v/>
      </c>
      <c r="BC418" s="36" t="n"/>
      <c r="BD418" s="36" t="n"/>
      <c r="BE418" s="36" t="n"/>
      <c r="BF418" s="36" t="n"/>
      <c r="BG418" s="183">
        <f>-(BG325-N(BG323))</f>
        <v/>
      </c>
      <c r="BH418" s="36" t="n"/>
      <c r="BI418" s="36" t="n"/>
      <c r="BJ418" s="36" t="n"/>
      <c r="BK418" s="36" t="n"/>
      <c r="BL418" s="183">
        <f>-(BL325-N(BL323))</f>
        <v/>
      </c>
      <c r="BM418" s="36" t="n"/>
      <c r="BN418" s="36" t="n"/>
      <c r="BO418" s="36" t="n"/>
      <c r="BP418" s="36" t="n"/>
      <c r="BQ418" s="183">
        <f>-(BQ325-N(BQ323))</f>
        <v/>
      </c>
      <c r="BR418" s="36" t="n"/>
      <c r="BS418" s="36" t="n"/>
      <c r="BT418" s="36" t="n"/>
      <c r="BU418" s="36" t="n"/>
      <c r="BV418" s="183">
        <f>-(BV325-N(BV323))</f>
        <v/>
      </c>
      <c r="BW418" s="36" t="n"/>
      <c r="BX418" s="36" t="n"/>
      <c r="BY418" s="37" t="n"/>
      <c r="BZ418" s="37" t="n"/>
      <c r="CA418" s="178">
        <f>-(CA325-N(CA323))</f>
        <v/>
      </c>
      <c r="CB418" s="178">
        <f>-(CB325-N(CB323))</f>
        <v/>
      </c>
      <c r="CC418" s="178">
        <f>-(CC325-N(CC323))</f>
        <v/>
      </c>
      <c r="CD418" s="178">
        <f>-(CD325-N(CD323))</f>
        <v/>
      </c>
      <c r="CE418" s="178">
        <f>-(CE325-N(CE323))</f>
        <v/>
      </c>
      <c r="CF418" s="20" t="n"/>
    </row>
    <row r="419" ht="15" customHeight="1">
      <c r="B419" s="26" t="inlineStr">
        <is>
          <t xml:space="preserve">  = Net tangible assets</t>
        </is>
      </c>
      <c r="C419" s="183">
        <f>SUM(C416:C418)</f>
        <v/>
      </c>
      <c r="D419" s="183">
        <f>SUM(D416:D418)</f>
        <v/>
      </c>
      <c r="E419" s="183">
        <f>SUM(E416:E418)</f>
        <v/>
      </c>
      <c r="F419" s="183">
        <f>SUM(F416:F418)</f>
        <v/>
      </c>
      <c r="G419" s="183">
        <f>SUM(G416:G418)</f>
        <v/>
      </c>
      <c r="H419" s="183">
        <f>SUM(H416:H418)</f>
        <v/>
      </c>
      <c r="I419" s="183">
        <f>SUM(I416:I418)</f>
        <v/>
      </c>
      <c r="J419" s="36" t="n"/>
      <c r="K419" s="36" t="n"/>
      <c r="L419" s="36" t="n"/>
      <c r="M419" s="36" t="n"/>
      <c r="N419" s="183">
        <f>SUM(N416:N418)</f>
        <v/>
      </c>
      <c r="O419" s="36" t="n"/>
      <c r="P419" s="36" t="n"/>
      <c r="Q419" s="36" t="n"/>
      <c r="R419" s="36" t="n"/>
      <c r="S419" s="183">
        <f>SUM(S416:S418)</f>
        <v/>
      </c>
      <c r="T419" s="36" t="n"/>
      <c r="U419" s="36" t="n"/>
      <c r="V419" s="36" t="n"/>
      <c r="W419" s="36" t="n"/>
      <c r="X419" s="183">
        <f>SUM(X416:X418)</f>
        <v/>
      </c>
      <c r="Y419" s="36" t="n"/>
      <c r="Z419" s="36" t="n"/>
      <c r="AA419" s="36" t="n"/>
      <c r="AB419" s="36" t="n"/>
      <c r="AC419" s="183">
        <f>SUM(AC416:AC418)</f>
        <v/>
      </c>
      <c r="AD419" s="36" t="n"/>
      <c r="AE419" s="36" t="n"/>
      <c r="AF419" s="36" t="n"/>
      <c r="AG419" s="36" t="n"/>
      <c r="AH419" s="183">
        <f>SUM(AH416:AH418)</f>
        <v/>
      </c>
      <c r="AI419" s="36" t="n"/>
      <c r="AJ419" s="36" t="n"/>
      <c r="AK419" s="36" t="n"/>
      <c r="AL419" s="36" t="n"/>
      <c r="AM419" s="183">
        <f>SUM(AM416:AM418)</f>
        <v/>
      </c>
      <c r="AN419" s="36" t="n"/>
      <c r="AO419" s="36" t="n"/>
      <c r="AP419" s="36" t="n"/>
      <c r="AQ419" s="36" t="n"/>
      <c r="AR419" s="183">
        <f>SUM(AR416:AR418)</f>
        <v/>
      </c>
      <c r="AS419" s="36" t="n"/>
      <c r="AT419" s="36" t="n"/>
      <c r="AU419" s="36" t="n"/>
      <c r="AV419" s="36" t="n"/>
      <c r="AW419" s="183">
        <f>SUM(AW416:AW418)</f>
        <v/>
      </c>
      <c r="AX419" s="36" t="n"/>
      <c r="AY419" s="36" t="n"/>
      <c r="AZ419" s="36" t="n"/>
      <c r="BA419" s="36" t="n"/>
      <c r="BB419" s="183">
        <f>SUM(BB416:BB418)</f>
        <v/>
      </c>
      <c r="BC419" s="36" t="n"/>
      <c r="BD419" s="36" t="n"/>
      <c r="BE419" s="36" t="n"/>
      <c r="BF419" s="36" t="n"/>
      <c r="BG419" s="183">
        <f>SUM(BG416:BG418)</f>
        <v/>
      </c>
      <c r="BH419" s="36" t="n"/>
      <c r="BI419" s="36" t="n"/>
      <c r="BJ419" s="36" t="n"/>
      <c r="BK419" s="36" t="n"/>
      <c r="BL419" s="183">
        <f>SUM(BL416:BL418)</f>
        <v/>
      </c>
      <c r="BM419" s="36" t="n"/>
      <c r="BN419" s="36" t="n"/>
      <c r="BO419" s="36" t="n"/>
      <c r="BP419" s="36" t="n"/>
      <c r="BQ419" s="183">
        <f>SUM(BQ416:BQ418)</f>
        <v/>
      </c>
      <c r="BR419" s="36" t="n"/>
      <c r="BS419" s="36" t="n"/>
      <c r="BT419" s="36" t="n"/>
      <c r="BU419" s="36" t="n"/>
      <c r="BV419" s="183">
        <f>SUM(BV416:BV418)</f>
        <v/>
      </c>
      <c r="BW419" s="36" t="n"/>
      <c r="BX419" s="36" t="n"/>
      <c r="BY419" s="37" t="n"/>
      <c r="BZ419" s="37" t="n"/>
      <c r="CA419" s="178">
        <f>SUM(CA416:CA418)</f>
        <v/>
      </c>
      <c r="CB419" s="178">
        <f>SUM(CB416:CB418)</f>
        <v/>
      </c>
      <c r="CC419" s="178">
        <f>SUM(CC416:CC418)</f>
        <v/>
      </c>
      <c r="CD419" s="178">
        <f>SUM(CD416:CD418)</f>
        <v/>
      </c>
      <c r="CE419" s="178">
        <f>SUM(CE416:CE418)</f>
        <v/>
      </c>
      <c r="CF419" s="20" t="n"/>
    </row>
    <row r="420" ht="15" customHeight="1">
      <c r="B420" s="59" t="inlineStr">
        <is>
          <t>RONTA = NOPAT / NTA</t>
        </is>
      </c>
      <c r="C420" s="215">
        <f>IFERROR(C415/C419,"n/a")</f>
        <v/>
      </c>
      <c r="D420" s="215">
        <f>IFERROR(D415/D419,"n/a")</f>
        <v/>
      </c>
      <c r="E420" s="215">
        <f>IFERROR(E415/E419,"n/a")</f>
        <v/>
      </c>
      <c r="F420" s="215">
        <f>IFERROR(F415/F419,"n/a")</f>
        <v/>
      </c>
      <c r="G420" s="215">
        <f>IFERROR(G415/G419,"n/a")</f>
        <v/>
      </c>
      <c r="H420" s="215">
        <f>IFERROR(H415/H419,"n/a")</f>
        <v/>
      </c>
      <c r="I420" s="215">
        <f>IFERROR(I415/I419,"n/a")</f>
        <v/>
      </c>
      <c r="J420" s="60" t="n"/>
      <c r="K420" s="60" t="n"/>
      <c r="L420" s="60" t="n"/>
      <c r="M420" s="60" t="n"/>
      <c r="N420" s="215">
        <f>IFERROR(N415/N419,"n/a")</f>
        <v/>
      </c>
      <c r="O420" s="60" t="n"/>
      <c r="P420" s="60" t="n"/>
      <c r="Q420" s="60" t="n"/>
      <c r="R420" s="60" t="n"/>
      <c r="S420" s="215">
        <f>IFERROR(S415/S419,"n/a")</f>
        <v/>
      </c>
      <c r="T420" s="60" t="n"/>
      <c r="U420" s="60" t="n"/>
      <c r="V420" s="60" t="n"/>
      <c r="W420" s="60" t="n"/>
      <c r="X420" s="215">
        <f>IFERROR(X415/X419,"n/a")</f>
        <v/>
      </c>
      <c r="Y420" s="60" t="n"/>
      <c r="Z420" s="60" t="n"/>
      <c r="AA420" s="60" t="n"/>
      <c r="AB420" s="60" t="n"/>
      <c r="AC420" s="215">
        <f>IFERROR(AC415/AC419,"n/a")</f>
        <v/>
      </c>
      <c r="AD420" s="60" t="n"/>
      <c r="AE420" s="60" t="n"/>
      <c r="AF420" s="60" t="n"/>
      <c r="AG420" s="60" t="n"/>
      <c r="AH420" s="215">
        <f>IFERROR(AH415/AH419,"n/a")</f>
        <v/>
      </c>
      <c r="AI420" s="60" t="n"/>
      <c r="AJ420" s="60" t="n"/>
      <c r="AK420" s="60" t="n"/>
      <c r="AL420" s="60" t="n"/>
      <c r="AM420" s="215">
        <f>IFERROR(AM415/AM419,"n/a")</f>
        <v/>
      </c>
      <c r="AN420" s="60" t="n"/>
      <c r="AO420" s="60" t="n"/>
      <c r="AP420" s="60" t="n"/>
      <c r="AQ420" s="60" t="n"/>
      <c r="AR420" s="215">
        <f>IFERROR(AR415/AR419,"n/a")</f>
        <v/>
      </c>
      <c r="AS420" s="60" t="n"/>
      <c r="AT420" s="60" t="n"/>
      <c r="AU420" s="60" t="n"/>
      <c r="AV420" s="60" t="n"/>
      <c r="AW420" s="215">
        <f>IFERROR(AW415/AW419,"n/a")</f>
        <v/>
      </c>
      <c r="AX420" s="60" t="n"/>
      <c r="AY420" s="60" t="n"/>
      <c r="AZ420" s="60" t="n"/>
      <c r="BA420" s="60" t="n"/>
      <c r="BB420" s="215">
        <f>IFERROR(BB415/BB419,"n/a")</f>
        <v/>
      </c>
      <c r="BC420" s="60" t="n"/>
      <c r="BD420" s="60" t="n"/>
      <c r="BE420" s="60" t="n"/>
      <c r="BF420" s="60" t="n"/>
      <c r="BG420" s="215">
        <f>IFERROR(BG415/BG419,"n/a")</f>
        <v/>
      </c>
      <c r="BH420" s="60" t="n"/>
      <c r="BI420" s="60" t="n"/>
      <c r="BJ420" s="60" t="n"/>
      <c r="BK420" s="60" t="n"/>
      <c r="BL420" s="215">
        <f>IFERROR(BL415/BL419,"n/a")</f>
        <v/>
      </c>
      <c r="BM420" s="60" t="n"/>
      <c r="BN420" s="60" t="n"/>
      <c r="BO420" s="60" t="n"/>
      <c r="BP420" s="60" t="n"/>
      <c r="BQ420" s="215">
        <f>IFERROR(BQ415/BQ419,"n/a")</f>
        <v/>
      </c>
      <c r="BR420" s="60" t="n"/>
      <c r="BS420" s="60" t="n"/>
      <c r="BT420" s="60" t="n"/>
      <c r="BU420" s="60" t="n"/>
      <c r="BV420" s="215">
        <f>IFERROR(BV415/BV419,"n/a")</f>
        <v/>
      </c>
      <c r="BW420" s="60" t="n"/>
      <c r="BX420" s="60" t="n"/>
      <c r="BY420" s="60" t="n"/>
      <c r="BZ420" s="60" t="n"/>
      <c r="CA420" s="215">
        <f>IFERROR(CA415/CA419,"n/a")</f>
        <v/>
      </c>
      <c r="CB420" s="215">
        <f>IFERROR(CB415/CB419,"n/a")</f>
        <v/>
      </c>
      <c r="CC420" s="215">
        <f>IFERROR(CC415/CC419,"n/a")</f>
        <v/>
      </c>
      <c r="CD420" s="215">
        <f>IFERROR(CD415/CD419,"n/a")</f>
        <v/>
      </c>
      <c r="CE420" s="215">
        <f>IFERROR(CE415/CE419,"n/a")</f>
        <v/>
      </c>
      <c r="CF420" s="6" t="n"/>
      <c r="CH420" s="39">
        <f>IFERROR(AVERAGE(CA420,CB420,CC420,CD420,CE420),"n/m")</f>
        <v/>
      </c>
      <c r="CI420" s="39">
        <f>IFERROR(AVERAGE(BB420,BG420,BL420,BQ420,BV420),"n/m")</f>
        <v/>
      </c>
      <c r="CJ420" s="39">
        <f>IFERROR(AVERAGE(AC420,AH420,AM420,AR420,AW420,BB420,BG420,BL420,BQ420,BV420),"n/m")</f>
        <v/>
      </c>
      <c r="CK420" s="39">
        <f>IFERROR(AVERAGE(C420,D420,E420,F420,G420,H420,I420,N420,S420,X420,AC420,AH420,AM420,AR420,AW420,BB420,BG420,BL420,BQ420,BV420),"n/m")</f>
        <v/>
      </c>
    </row>
    <row r="421" ht="15" customHeight="1">
      <c r="B421" s="26" t="inlineStr">
        <is>
          <t>Return on Equity (ROE)</t>
        </is>
      </c>
      <c r="CF421" s="6" t="n"/>
    </row>
    <row r="422" ht="15" customHeight="1">
      <c r="B422" s="26" t="inlineStr">
        <is>
          <t>Net income attributable to Wabtec</t>
        </is>
      </c>
      <c r="C422" s="183">
        <f>C161</f>
        <v/>
      </c>
      <c r="D422" s="183">
        <f>D161</f>
        <v/>
      </c>
      <c r="E422" s="183">
        <f>E161</f>
        <v/>
      </c>
      <c r="F422" s="183">
        <f>F161</f>
        <v/>
      </c>
      <c r="G422" s="183">
        <f>G161</f>
        <v/>
      </c>
      <c r="H422" s="183">
        <f>H161</f>
        <v/>
      </c>
      <c r="I422" s="183">
        <f>I161</f>
        <v/>
      </c>
      <c r="J422" s="36" t="n"/>
      <c r="K422" s="36" t="n"/>
      <c r="L422" s="36" t="n"/>
      <c r="M422" s="36" t="n"/>
      <c r="N422" s="183">
        <f>N161</f>
        <v/>
      </c>
      <c r="O422" s="36" t="n"/>
      <c r="P422" s="36" t="n"/>
      <c r="Q422" s="36" t="n"/>
      <c r="R422" s="36" t="n"/>
      <c r="S422" s="183">
        <f>S161</f>
        <v/>
      </c>
      <c r="T422" s="36" t="n"/>
      <c r="U422" s="36" t="n"/>
      <c r="V422" s="36" t="n"/>
      <c r="W422" s="36" t="n"/>
      <c r="X422" s="183">
        <f>X161</f>
        <v/>
      </c>
      <c r="Y422" s="36" t="n"/>
      <c r="Z422" s="36" t="n"/>
      <c r="AA422" s="36" t="n"/>
      <c r="AB422" s="36" t="n"/>
      <c r="AC422" s="183">
        <f>AC161</f>
        <v/>
      </c>
      <c r="AD422" s="36" t="n"/>
      <c r="AE422" s="36" t="n"/>
      <c r="AF422" s="36" t="n"/>
      <c r="AG422" s="36" t="n"/>
      <c r="AH422" s="183">
        <f>AH161</f>
        <v/>
      </c>
      <c r="AI422" s="36" t="n"/>
      <c r="AJ422" s="36" t="n"/>
      <c r="AK422" s="36" t="n"/>
      <c r="AL422" s="36" t="n"/>
      <c r="AM422" s="183">
        <f>AM161</f>
        <v/>
      </c>
      <c r="AN422" s="36" t="n"/>
      <c r="AO422" s="36" t="n"/>
      <c r="AP422" s="36" t="n"/>
      <c r="AQ422" s="36" t="n"/>
      <c r="AR422" s="183">
        <f>AR161</f>
        <v/>
      </c>
      <c r="AS422" s="36" t="n"/>
      <c r="AT422" s="36" t="n"/>
      <c r="AU422" s="36" t="n"/>
      <c r="AV422" s="36" t="n"/>
      <c r="AW422" s="183">
        <f>AW161</f>
        <v/>
      </c>
      <c r="AX422" s="36" t="n"/>
      <c r="AY422" s="36" t="n"/>
      <c r="AZ422" s="36" t="n"/>
      <c r="BA422" s="36" t="n"/>
      <c r="BB422" s="183">
        <f>BB161</f>
        <v/>
      </c>
      <c r="BC422" s="36" t="n"/>
      <c r="BD422" s="36" t="n"/>
      <c r="BE422" s="36" t="n"/>
      <c r="BF422" s="36" t="n"/>
      <c r="BG422" s="183">
        <f>BG161</f>
        <v/>
      </c>
      <c r="BH422" s="36" t="n"/>
      <c r="BI422" s="36" t="n"/>
      <c r="BJ422" s="36" t="n"/>
      <c r="BK422" s="36" t="n"/>
      <c r="BL422" s="183">
        <f>BL161</f>
        <v/>
      </c>
      <c r="BM422" s="36" t="n"/>
      <c r="BN422" s="36" t="n"/>
      <c r="BO422" s="36" t="n"/>
      <c r="BP422" s="36" t="n"/>
      <c r="BQ422" s="183">
        <f>BQ161</f>
        <v/>
      </c>
      <c r="BR422" s="36" t="n"/>
      <c r="BS422" s="36" t="n"/>
      <c r="BT422" s="36" t="n"/>
      <c r="BU422" s="36" t="n"/>
      <c r="BV422" s="183">
        <f>BV161</f>
        <v/>
      </c>
      <c r="BW422" s="36" t="n"/>
      <c r="BX422" s="36" t="n"/>
      <c r="BY422" s="37" t="n"/>
      <c r="BZ422" s="37" t="n"/>
      <c r="CA422" s="178">
        <f>CA161</f>
        <v/>
      </c>
      <c r="CB422" s="178">
        <f>CB161</f>
        <v/>
      </c>
      <c r="CC422" s="178">
        <f>CC161</f>
        <v/>
      </c>
      <c r="CD422" s="178">
        <f>CD161</f>
        <v/>
      </c>
      <c r="CE422" s="178">
        <f>CE161</f>
        <v/>
      </c>
      <c r="CF422" s="20" t="n"/>
    </row>
    <row r="423" ht="15" customHeight="1">
      <c r="B423" s="26" t="inlineStr">
        <is>
          <t>Wabtec shareholders' equity</t>
        </is>
      </c>
      <c r="C423" s="183">
        <f>C336</f>
        <v/>
      </c>
      <c r="D423" s="183">
        <f>D336</f>
        <v/>
      </c>
      <c r="E423" s="183">
        <f>E336</f>
        <v/>
      </c>
      <c r="F423" s="183">
        <f>F336</f>
        <v/>
      </c>
      <c r="G423" s="183">
        <f>G336</f>
        <v/>
      </c>
      <c r="H423" s="183">
        <f>H336</f>
        <v/>
      </c>
      <c r="I423" s="183">
        <f>I336</f>
        <v/>
      </c>
      <c r="J423" s="36" t="n"/>
      <c r="K423" s="36" t="n"/>
      <c r="L423" s="36" t="n"/>
      <c r="M423" s="36" t="n"/>
      <c r="N423" s="183">
        <f>N336</f>
        <v/>
      </c>
      <c r="O423" s="36" t="n"/>
      <c r="P423" s="36" t="n"/>
      <c r="Q423" s="36" t="n"/>
      <c r="R423" s="36" t="n"/>
      <c r="S423" s="183">
        <f>S336</f>
        <v/>
      </c>
      <c r="T423" s="36" t="n"/>
      <c r="U423" s="36" t="n"/>
      <c r="V423" s="36" t="n"/>
      <c r="W423" s="36" t="n"/>
      <c r="X423" s="183">
        <f>X336</f>
        <v/>
      </c>
      <c r="Y423" s="36" t="n"/>
      <c r="Z423" s="36" t="n"/>
      <c r="AA423" s="36" t="n"/>
      <c r="AB423" s="36" t="n"/>
      <c r="AC423" s="183">
        <f>AC336</f>
        <v/>
      </c>
      <c r="AD423" s="36" t="n"/>
      <c r="AE423" s="36" t="n"/>
      <c r="AF423" s="36" t="n"/>
      <c r="AG423" s="36" t="n"/>
      <c r="AH423" s="183">
        <f>AH336</f>
        <v/>
      </c>
      <c r="AI423" s="36" t="n"/>
      <c r="AJ423" s="36" t="n"/>
      <c r="AK423" s="36" t="n"/>
      <c r="AL423" s="36" t="n"/>
      <c r="AM423" s="183">
        <f>AM336</f>
        <v/>
      </c>
      <c r="AN423" s="36" t="n"/>
      <c r="AO423" s="36" t="n"/>
      <c r="AP423" s="36" t="n"/>
      <c r="AQ423" s="36" t="n"/>
      <c r="AR423" s="183">
        <f>AR336</f>
        <v/>
      </c>
      <c r="AS423" s="36" t="n"/>
      <c r="AT423" s="36" t="n"/>
      <c r="AU423" s="36" t="n"/>
      <c r="AV423" s="36" t="n"/>
      <c r="AW423" s="183">
        <f>AW336</f>
        <v/>
      </c>
      <c r="AX423" s="36" t="n"/>
      <c r="AY423" s="36" t="n"/>
      <c r="AZ423" s="36" t="n"/>
      <c r="BA423" s="36" t="n"/>
      <c r="BB423" s="183">
        <f>BB336</f>
        <v/>
      </c>
      <c r="BC423" s="36" t="n"/>
      <c r="BD423" s="36" t="n"/>
      <c r="BE423" s="36" t="n"/>
      <c r="BF423" s="36" t="n"/>
      <c r="BG423" s="183">
        <f>BG336</f>
        <v/>
      </c>
      <c r="BH423" s="36" t="n"/>
      <c r="BI423" s="36" t="n"/>
      <c r="BJ423" s="36" t="n"/>
      <c r="BK423" s="36" t="n"/>
      <c r="BL423" s="183">
        <f>BL336</f>
        <v/>
      </c>
      <c r="BM423" s="36" t="n"/>
      <c r="BN423" s="36" t="n"/>
      <c r="BO423" s="36" t="n"/>
      <c r="BP423" s="36" t="n"/>
      <c r="BQ423" s="183">
        <f>BQ336</f>
        <v/>
      </c>
      <c r="BR423" s="36" t="n"/>
      <c r="BS423" s="36" t="n"/>
      <c r="BT423" s="36" t="n"/>
      <c r="BU423" s="36" t="n"/>
      <c r="BV423" s="183">
        <f>BV336</f>
        <v/>
      </c>
      <c r="BW423" s="36" t="n"/>
      <c r="BX423" s="36" t="n"/>
      <c r="BY423" s="37" t="n"/>
      <c r="BZ423" s="37" t="n"/>
      <c r="CA423" s="178">
        <f>CA336</f>
        <v/>
      </c>
      <c r="CB423" s="178">
        <f>CB336</f>
        <v/>
      </c>
      <c r="CC423" s="178">
        <f>CC336</f>
        <v/>
      </c>
      <c r="CD423" s="178">
        <f>CD336</f>
        <v/>
      </c>
      <c r="CE423" s="178">
        <f>CE336</f>
        <v/>
      </c>
      <c r="CF423" s="20" t="n"/>
    </row>
    <row r="424" ht="15" customHeight="1">
      <c r="B424" s="26" t="inlineStr">
        <is>
          <t>ROE = Net income / Equity</t>
        </is>
      </c>
      <c r="C424" s="187">
        <f>IFERROR(C422/C423,"n/a")</f>
        <v/>
      </c>
      <c r="D424" s="187">
        <f>IFERROR(D422/D423,"n/a")</f>
        <v/>
      </c>
      <c r="E424" s="187">
        <f>IFERROR(E422/E423,"n/a")</f>
        <v/>
      </c>
      <c r="F424" s="187">
        <f>IFERROR(F422/F423,"n/a")</f>
        <v/>
      </c>
      <c r="G424" s="187">
        <f>IFERROR(G422/G423,"n/a")</f>
        <v/>
      </c>
      <c r="H424" s="187">
        <f>IFERROR(H422/H423,"n/a")</f>
        <v/>
      </c>
      <c r="I424" s="187">
        <f>IFERROR(I422/I423,"n/a")</f>
        <v/>
      </c>
      <c r="J424" s="36" t="n"/>
      <c r="K424" s="36" t="n"/>
      <c r="L424" s="36" t="n"/>
      <c r="M424" s="36" t="n"/>
      <c r="N424" s="187">
        <f>IFERROR(N422/N423,"n/a")</f>
        <v/>
      </c>
      <c r="O424" s="36" t="n"/>
      <c r="P424" s="36" t="n"/>
      <c r="Q424" s="36" t="n"/>
      <c r="R424" s="36" t="n"/>
      <c r="S424" s="187">
        <f>IFERROR(S422/S423,"n/a")</f>
        <v/>
      </c>
      <c r="T424" s="36" t="n"/>
      <c r="U424" s="36" t="n"/>
      <c r="V424" s="36" t="n"/>
      <c r="W424" s="36" t="n"/>
      <c r="X424" s="187">
        <f>IFERROR(X422/X423,"n/a")</f>
        <v/>
      </c>
      <c r="Y424" s="36" t="n"/>
      <c r="Z424" s="36" t="n"/>
      <c r="AA424" s="36" t="n"/>
      <c r="AB424" s="36" t="n"/>
      <c r="AC424" s="187">
        <f>IFERROR(AC422/AC423,"n/a")</f>
        <v/>
      </c>
      <c r="AD424" s="36" t="n"/>
      <c r="AE424" s="36" t="n"/>
      <c r="AF424" s="36" t="n"/>
      <c r="AG424" s="36" t="n"/>
      <c r="AH424" s="187">
        <f>IFERROR(AH422/AH423,"n/a")</f>
        <v/>
      </c>
      <c r="AI424" s="36" t="n"/>
      <c r="AJ424" s="36" t="n"/>
      <c r="AK424" s="36" t="n"/>
      <c r="AL424" s="36" t="n"/>
      <c r="AM424" s="187">
        <f>IFERROR(AM422/AM423,"n/a")</f>
        <v/>
      </c>
      <c r="AN424" s="36" t="n"/>
      <c r="AO424" s="36" t="n"/>
      <c r="AP424" s="36" t="n"/>
      <c r="AQ424" s="36" t="n"/>
      <c r="AR424" s="187">
        <f>IFERROR(AR422/AR423,"n/a")</f>
        <v/>
      </c>
      <c r="AS424" s="36" t="n"/>
      <c r="AT424" s="36" t="n"/>
      <c r="AU424" s="36" t="n"/>
      <c r="AV424" s="36" t="n"/>
      <c r="AW424" s="187">
        <f>IFERROR(AW422/AW423,"n/a")</f>
        <v/>
      </c>
      <c r="AX424" s="36" t="n"/>
      <c r="AY424" s="36" t="n"/>
      <c r="AZ424" s="36" t="n"/>
      <c r="BA424" s="36" t="n"/>
      <c r="BB424" s="187">
        <f>IFERROR(BB422/BB423,"n/a")</f>
        <v/>
      </c>
      <c r="BC424" s="36" t="n"/>
      <c r="BD424" s="36" t="n"/>
      <c r="BE424" s="36" t="n"/>
      <c r="BF424" s="36" t="n"/>
      <c r="BG424" s="187">
        <f>IFERROR(BG422/BG423,"n/a")</f>
        <v/>
      </c>
      <c r="BH424" s="36" t="n"/>
      <c r="BI424" s="36" t="n"/>
      <c r="BJ424" s="36" t="n"/>
      <c r="BK424" s="36" t="n"/>
      <c r="BL424" s="187">
        <f>IFERROR(BL422/BL423,"n/a")</f>
        <v/>
      </c>
      <c r="BM424" s="36" t="n"/>
      <c r="BN424" s="36" t="n"/>
      <c r="BO424" s="36" t="n"/>
      <c r="BP424" s="36" t="n"/>
      <c r="BQ424" s="187">
        <f>IFERROR(BQ422/BQ423,"n/a")</f>
        <v/>
      </c>
      <c r="BR424" s="36" t="n"/>
      <c r="BS424" s="36" t="n"/>
      <c r="BT424" s="36" t="n"/>
      <c r="BU424" s="36" t="n"/>
      <c r="BV424" s="187">
        <f>IFERROR(BV422/BV423,"n/a")</f>
        <v/>
      </c>
      <c r="BW424" s="36" t="n"/>
      <c r="BX424" s="36" t="n"/>
      <c r="BY424" s="37" t="n"/>
      <c r="BZ424" s="37" t="n"/>
      <c r="CA424" s="180">
        <f>IFERROR(CA422/CA423,"n/a")</f>
        <v/>
      </c>
      <c r="CB424" s="180">
        <f>IFERROR(CB422/CB423,"n/a")</f>
        <v/>
      </c>
      <c r="CC424" s="180">
        <f>IFERROR(CC422/CC423,"n/a")</f>
        <v/>
      </c>
      <c r="CD424" s="180">
        <f>IFERROR(CD422/CD423,"n/a")</f>
        <v/>
      </c>
      <c r="CE424" s="180">
        <f>IFERROR(CE422/CE423,"n/a")</f>
        <v/>
      </c>
      <c r="CF424" s="20" t="n"/>
      <c r="CH424" s="39">
        <f>IFERROR(AVERAGE(CA424,CB424,CC424,CD424,CE424),"n/m")</f>
        <v/>
      </c>
      <c r="CI424" s="39">
        <f>IFERROR(AVERAGE(BB424,BG424,BL424,BQ424,BV424),"n/m")</f>
        <v/>
      </c>
      <c r="CJ424" s="39">
        <f>IFERROR(AVERAGE(AC424,AH424,AM424,AR424,AW424,BB424,BG424,BL424,BQ424,BV424),"n/m")</f>
        <v/>
      </c>
      <c r="CK424" s="39">
        <f>IFERROR(AVERAGE(C424,D424,E424,F424,G424,H424,I424,N424,S424,X424,AC424,AH424,AM424,AR424,AW424,BB424,BG424,BL424,BQ424,BV424),"n/m")</f>
        <v/>
      </c>
    </row>
    <row r="425" ht="15" customHeight="1">
      <c r="B425" s="26" t="inlineStr">
        <is>
          <t>Leverage</t>
        </is>
      </c>
      <c r="CF425" s="6" t="n"/>
    </row>
    <row r="426" ht="15" customHeight="1">
      <c r="B426" s="26" t="inlineStr">
        <is>
          <t>Net debt = Total debt − cash</t>
        </is>
      </c>
      <c r="C426" s="183">
        <f>C408</f>
        <v/>
      </c>
      <c r="D426" s="183">
        <f>D408</f>
        <v/>
      </c>
      <c r="E426" s="183">
        <f>E408</f>
        <v/>
      </c>
      <c r="F426" s="183">
        <f>F408</f>
        <v/>
      </c>
      <c r="G426" s="183">
        <f>G408</f>
        <v/>
      </c>
      <c r="H426" s="183">
        <f>H408</f>
        <v/>
      </c>
      <c r="I426" s="183">
        <f>I408</f>
        <v/>
      </c>
      <c r="J426" s="36" t="n"/>
      <c r="K426" s="36" t="n"/>
      <c r="L426" s="36" t="n"/>
      <c r="M426" s="36" t="n"/>
      <c r="N426" s="183">
        <f>N408</f>
        <v/>
      </c>
      <c r="O426" s="36" t="n"/>
      <c r="P426" s="36" t="n"/>
      <c r="Q426" s="36" t="n"/>
      <c r="R426" s="36" t="n"/>
      <c r="S426" s="183">
        <f>S408</f>
        <v/>
      </c>
      <c r="T426" s="36" t="n"/>
      <c r="U426" s="36" t="n"/>
      <c r="V426" s="36" t="n"/>
      <c r="W426" s="36" t="n"/>
      <c r="X426" s="183">
        <f>X408</f>
        <v/>
      </c>
      <c r="Y426" s="36" t="n"/>
      <c r="Z426" s="36" t="n"/>
      <c r="AA426" s="36" t="n"/>
      <c r="AB426" s="36" t="n"/>
      <c r="AC426" s="183">
        <f>AC408</f>
        <v/>
      </c>
      <c r="AD426" s="36" t="n"/>
      <c r="AE426" s="36" t="n"/>
      <c r="AF426" s="36" t="n"/>
      <c r="AG426" s="36" t="n"/>
      <c r="AH426" s="183">
        <f>AH408</f>
        <v/>
      </c>
      <c r="AI426" s="36" t="n"/>
      <c r="AJ426" s="36" t="n"/>
      <c r="AK426" s="36" t="n"/>
      <c r="AL426" s="36" t="n"/>
      <c r="AM426" s="183">
        <f>AM408</f>
        <v/>
      </c>
      <c r="AN426" s="36" t="n"/>
      <c r="AO426" s="36" t="n"/>
      <c r="AP426" s="36" t="n"/>
      <c r="AQ426" s="36" t="n"/>
      <c r="AR426" s="183">
        <f>AR408</f>
        <v/>
      </c>
      <c r="AS426" s="36" t="n"/>
      <c r="AT426" s="36" t="n"/>
      <c r="AU426" s="36" t="n"/>
      <c r="AV426" s="36" t="n"/>
      <c r="AW426" s="183">
        <f>AW408</f>
        <v/>
      </c>
      <c r="AX426" s="36" t="n"/>
      <c r="AY426" s="36" t="n"/>
      <c r="AZ426" s="36" t="n"/>
      <c r="BA426" s="36" t="n"/>
      <c r="BB426" s="183">
        <f>BB408</f>
        <v/>
      </c>
      <c r="BC426" s="36" t="n"/>
      <c r="BD426" s="36" t="n"/>
      <c r="BE426" s="36" t="n"/>
      <c r="BF426" s="36" t="n"/>
      <c r="BG426" s="183">
        <f>BG408</f>
        <v/>
      </c>
      <c r="BH426" s="36" t="n"/>
      <c r="BI426" s="36" t="n"/>
      <c r="BJ426" s="36" t="n"/>
      <c r="BK426" s="36" t="n"/>
      <c r="BL426" s="183">
        <f>BL408</f>
        <v/>
      </c>
      <c r="BM426" s="36" t="n"/>
      <c r="BN426" s="36" t="n"/>
      <c r="BO426" s="36" t="n"/>
      <c r="BP426" s="36" t="n"/>
      <c r="BQ426" s="183">
        <f>BQ408</f>
        <v/>
      </c>
      <c r="BR426" s="36" t="n"/>
      <c r="BS426" s="36" t="n"/>
      <c r="BT426" s="36" t="n"/>
      <c r="BU426" s="36" t="n"/>
      <c r="BV426" s="183">
        <f>BV408</f>
        <v/>
      </c>
      <c r="BW426" s="36" t="n"/>
      <c r="BX426" s="36" t="n"/>
      <c r="BY426" s="37" t="n"/>
      <c r="BZ426" s="37" t="n"/>
      <c r="CA426" s="178">
        <f>CA408</f>
        <v/>
      </c>
      <c r="CB426" s="178">
        <f>CB408</f>
        <v/>
      </c>
      <c r="CC426" s="178">
        <f>CC408</f>
        <v/>
      </c>
      <c r="CD426" s="178">
        <f>CD408</f>
        <v/>
      </c>
      <c r="CE426" s="178">
        <f>CE408</f>
        <v/>
      </c>
      <c r="CF426" s="20" t="n"/>
    </row>
    <row r="427" ht="15" customHeight="1">
      <c r="B427" s="26" t="inlineStr">
        <is>
          <t>Adjusted EBITDA (company definition; EBITDA where no adjusted figure was published)</t>
        </is>
      </c>
      <c r="C427" s="183">
        <f>IF(ISNUMBER(C194),C194,C186)</f>
        <v/>
      </c>
      <c r="D427" s="183">
        <f>IF(ISNUMBER(D194),D194,D186)</f>
        <v/>
      </c>
      <c r="E427" s="183">
        <f>IF(ISNUMBER(E194),E194,E186)</f>
        <v/>
      </c>
      <c r="F427" s="183">
        <f>IF(ISNUMBER(F194),F194,F186)</f>
        <v/>
      </c>
      <c r="G427" s="183">
        <f>IF(ISNUMBER(G194),G194,G186)</f>
        <v/>
      </c>
      <c r="H427" s="183">
        <f>IF(ISNUMBER(H194),H194,H186)</f>
        <v/>
      </c>
      <c r="I427" s="183">
        <f>IF(ISNUMBER(I194),I194,I186)</f>
        <v/>
      </c>
      <c r="J427" s="36" t="n"/>
      <c r="K427" s="36" t="n"/>
      <c r="L427" s="36" t="n"/>
      <c r="M427" s="36" t="n"/>
      <c r="N427" s="183">
        <f>IF(ISNUMBER(N194),N194,N186)</f>
        <v/>
      </c>
      <c r="O427" s="36" t="n"/>
      <c r="P427" s="36" t="n"/>
      <c r="Q427" s="36" t="n"/>
      <c r="R427" s="36" t="n"/>
      <c r="S427" s="183">
        <f>IF(ISNUMBER(S194),S194,S186)</f>
        <v/>
      </c>
      <c r="T427" s="36" t="n"/>
      <c r="U427" s="36" t="n"/>
      <c r="V427" s="36" t="n"/>
      <c r="W427" s="36" t="n"/>
      <c r="X427" s="183">
        <f>IF(ISNUMBER(X194),X194,X186)</f>
        <v/>
      </c>
      <c r="Y427" s="36" t="n"/>
      <c r="Z427" s="36" t="n"/>
      <c r="AA427" s="36" t="n"/>
      <c r="AB427" s="36" t="n"/>
      <c r="AC427" s="183">
        <f>IF(ISNUMBER(AC194),AC194,AC186)</f>
        <v/>
      </c>
      <c r="AD427" s="36" t="n"/>
      <c r="AE427" s="36" t="n"/>
      <c r="AF427" s="36" t="n"/>
      <c r="AG427" s="36" t="n"/>
      <c r="AH427" s="183">
        <f>IF(ISNUMBER(AH194),AH194,AH186)</f>
        <v/>
      </c>
      <c r="AI427" s="36" t="n"/>
      <c r="AJ427" s="36" t="n"/>
      <c r="AK427" s="36" t="n"/>
      <c r="AL427" s="36" t="n"/>
      <c r="AM427" s="183">
        <f>IF(ISNUMBER(AM194),AM194,AM186)</f>
        <v/>
      </c>
      <c r="AN427" s="36" t="n"/>
      <c r="AO427" s="36" t="n"/>
      <c r="AP427" s="36" t="n"/>
      <c r="AQ427" s="36" t="n"/>
      <c r="AR427" s="183">
        <f>IF(ISNUMBER(AR194),AR194,AR186)</f>
        <v/>
      </c>
      <c r="AS427" s="36" t="n"/>
      <c r="AT427" s="36" t="n"/>
      <c r="AU427" s="36" t="n"/>
      <c r="AV427" s="36" t="n"/>
      <c r="AW427" s="183">
        <f>IF(ISNUMBER(AW194),AW194,AW186)</f>
        <v/>
      </c>
      <c r="AX427" s="36" t="n"/>
      <c r="AY427" s="36" t="n"/>
      <c r="AZ427" s="36" t="n"/>
      <c r="BA427" s="36" t="n"/>
      <c r="BB427" s="183">
        <f>IF(ISNUMBER(BB194),BB194,BB186)</f>
        <v/>
      </c>
      <c r="BC427" s="36" t="n"/>
      <c r="BD427" s="36" t="n"/>
      <c r="BE427" s="36" t="n"/>
      <c r="BF427" s="36" t="n"/>
      <c r="BG427" s="183">
        <f>IF(ISNUMBER(BG194),BG194,BG186)</f>
        <v/>
      </c>
      <c r="BH427" s="36" t="n"/>
      <c r="BI427" s="36" t="n"/>
      <c r="BJ427" s="36" t="n"/>
      <c r="BK427" s="36" t="n"/>
      <c r="BL427" s="183">
        <f>IF(ISNUMBER(BL194),BL194,BL186)</f>
        <v/>
      </c>
      <c r="BM427" s="36" t="n"/>
      <c r="BN427" s="36" t="n"/>
      <c r="BO427" s="36" t="n"/>
      <c r="BP427" s="36" t="n"/>
      <c r="BQ427" s="183">
        <f>IF(ISNUMBER(BQ194),BQ194,BQ186)</f>
        <v/>
      </c>
      <c r="BR427" s="36" t="n"/>
      <c r="BS427" s="36" t="n"/>
      <c r="BT427" s="36" t="n"/>
      <c r="BU427" s="36" t="n"/>
      <c r="BV427" s="183">
        <f>IF(ISNUMBER(BV194),BV194,BV186)</f>
        <v/>
      </c>
      <c r="BW427" s="36" t="n"/>
      <c r="BX427" s="36" t="n"/>
      <c r="BY427" s="37" t="n"/>
      <c r="BZ427" s="37" t="n"/>
      <c r="CA427" s="178">
        <f>IF(ISNUMBER(CA194),CA194,CA186)</f>
        <v/>
      </c>
      <c r="CB427" s="178">
        <f>IF(ISNUMBER(CB194),CB194,CB186)</f>
        <v/>
      </c>
      <c r="CC427" s="178">
        <f>IF(ISNUMBER(CC194),CC194,CC186)</f>
        <v/>
      </c>
      <c r="CD427" s="178">
        <f>IF(ISNUMBER(CD194),CD194,CD186)</f>
        <v/>
      </c>
      <c r="CE427" s="178">
        <f>IF(ISNUMBER(CE194),CE194,CE186)</f>
        <v/>
      </c>
      <c r="CF427" s="20" t="n"/>
    </row>
    <row r="428" ht="15" customHeight="1">
      <c r="B428" s="59" t="inlineStr">
        <is>
          <t>Net debt / Adjusted EBITDA (x)</t>
        </is>
      </c>
      <c r="C428" s="216">
        <f>IFERROR(C426/C427,"n/a")</f>
        <v/>
      </c>
      <c r="D428" s="216">
        <f>IFERROR(D426/D427,"n/a")</f>
        <v/>
      </c>
      <c r="E428" s="216">
        <f>IFERROR(E426/E427,"n/a")</f>
        <v/>
      </c>
      <c r="F428" s="216">
        <f>IFERROR(F426/F427,"n/a")</f>
        <v/>
      </c>
      <c r="G428" s="216">
        <f>IFERROR(G426/G427,"n/a")</f>
        <v/>
      </c>
      <c r="H428" s="216">
        <f>IFERROR(H426/H427,"n/a")</f>
        <v/>
      </c>
      <c r="I428" s="216">
        <f>IFERROR(I426/I427,"n/a")</f>
        <v/>
      </c>
      <c r="J428" s="60" t="n"/>
      <c r="K428" s="60" t="n"/>
      <c r="L428" s="60" t="n"/>
      <c r="M428" s="60" t="n"/>
      <c r="N428" s="216">
        <f>IFERROR(N426/N427,"n/a")</f>
        <v/>
      </c>
      <c r="O428" s="60" t="n"/>
      <c r="P428" s="60" t="n"/>
      <c r="Q428" s="60" t="n"/>
      <c r="R428" s="60" t="n"/>
      <c r="S428" s="216">
        <f>IFERROR(S426/S427,"n/a")</f>
        <v/>
      </c>
      <c r="T428" s="60" t="n"/>
      <c r="U428" s="60" t="n"/>
      <c r="V428" s="60" t="n"/>
      <c r="W428" s="60" t="n"/>
      <c r="X428" s="216">
        <f>IFERROR(X426/X427,"n/a")</f>
        <v/>
      </c>
      <c r="Y428" s="60" t="n"/>
      <c r="Z428" s="60" t="n"/>
      <c r="AA428" s="60" t="n"/>
      <c r="AB428" s="60" t="n"/>
      <c r="AC428" s="216">
        <f>IFERROR(AC426/AC427,"n/a")</f>
        <v/>
      </c>
      <c r="AD428" s="60" t="n"/>
      <c r="AE428" s="60" t="n"/>
      <c r="AF428" s="60" t="n"/>
      <c r="AG428" s="60" t="n"/>
      <c r="AH428" s="216">
        <f>IFERROR(AH426/AH427,"n/a")</f>
        <v/>
      </c>
      <c r="AI428" s="60" t="n"/>
      <c r="AJ428" s="60" t="n"/>
      <c r="AK428" s="60" t="n"/>
      <c r="AL428" s="60" t="n"/>
      <c r="AM428" s="216">
        <f>IFERROR(AM426/AM427,"n/a")</f>
        <v/>
      </c>
      <c r="AN428" s="60" t="n"/>
      <c r="AO428" s="60" t="n"/>
      <c r="AP428" s="60" t="n"/>
      <c r="AQ428" s="60" t="n"/>
      <c r="AR428" s="216">
        <f>IFERROR(AR426/AR427,"n/a")</f>
        <v/>
      </c>
      <c r="AS428" s="60" t="n"/>
      <c r="AT428" s="60" t="n"/>
      <c r="AU428" s="60" t="n"/>
      <c r="AV428" s="60" t="n"/>
      <c r="AW428" s="216">
        <f>IFERROR(AW426/AW427,"n/a")</f>
        <v/>
      </c>
      <c r="AX428" s="60" t="n"/>
      <c r="AY428" s="60" t="n"/>
      <c r="AZ428" s="60" t="n"/>
      <c r="BA428" s="60" t="n"/>
      <c r="BB428" s="216">
        <f>IFERROR(BB426/BB427,"n/a")</f>
        <v/>
      </c>
      <c r="BC428" s="60" t="n"/>
      <c r="BD428" s="60" t="n"/>
      <c r="BE428" s="60" t="n"/>
      <c r="BF428" s="60" t="n"/>
      <c r="BG428" s="216">
        <f>IFERROR(BG426/BG427,"n/a")</f>
        <v/>
      </c>
      <c r="BH428" s="60" t="n"/>
      <c r="BI428" s="60" t="n"/>
      <c r="BJ428" s="60" t="n"/>
      <c r="BK428" s="60" t="n"/>
      <c r="BL428" s="216">
        <f>IFERROR(BL426/BL427,"n/a")</f>
        <v/>
      </c>
      <c r="BM428" s="60" t="n"/>
      <c r="BN428" s="60" t="n"/>
      <c r="BO428" s="60" t="n"/>
      <c r="BP428" s="60" t="n"/>
      <c r="BQ428" s="216">
        <f>IFERROR(BQ426/BQ427,"n/a")</f>
        <v/>
      </c>
      <c r="BR428" s="60" t="n"/>
      <c r="BS428" s="60" t="n"/>
      <c r="BT428" s="60" t="n"/>
      <c r="BU428" s="60" t="n"/>
      <c r="BV428" s="216">
        <f>IFERROR(BV426/BV427,"n/a")</f>
        <v/>
      </c>
      <c r="BW428" s="60" t="n"/>
      <c r="BX428" s="60" t="n"/>
      <c r="BY428" s="60" t="n"/>
      <c r="BZ428" s="60" t="n"/>
      <c r="CA428" s="216">
        <f>IFERROR(CA426/CA427,"n/a")</f>
        <v/>
      </c>
      <c r="CB428" s="216">
        <f>IFERROR(CB426/CB427,"n/a")</f>
        <v/>
      </c>
      <c r="CC428" s="216">
        <f>IFERROR(CC426/CC427,"n/a")</f>
        <v/>
      </c>
      <c r="CD428" s="216">
        <f>IFERROR(CD426/CD427,"n/a")</f>
        <v/>
      </c>
      <c r="CE428" s="216">
        <f>IFERROR(CE426/CE427,"n/a")</f>
        <v/>
      </c>
      <c r="CF428" s="6" t="n"/>
      <c r="CH428" s="39">
        <f>IFERROR(AVERAGE(CA428,CB428,CC428,CD428,CE428),"n/m")</f>
        <v/>
      </c>
      <c r="CI428" s="39">
        <f>IFERROR(AVERAGE(BB428,BG428,BL428,BQ428,BV428),"n/m")</f>
        <v/>
      </c>
      <c r="CJ428" s="39">
        <f>IFERROR(AVERAGE(AC428,AH428,AM428,AR428,AW428,BB428,BG428,BL428,BQ428,BV428),"n/m")</f>
        <v/>
      </c>
      <c r="CK428" s="39">
        <f>IFERROR(AVERAGE(C428,D428,E428,F428,G428,H428,I428,N428,S428,X428,AC428,AH428,AM428,AR428,AW428,BB428,BG428,BL428,BQ428,BV428),"n/m")</f>
        <v/>
      </c>
    </row>
    <row r="429" ht="15" customHeight="1"/>
    <row r="430" ht="15" customHeight="1">
      <c r="B430" s="11" t="inlineStr">
        <is>
          <t>VALUATION</t>
        </is>
      </c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  <c r="AG430" s="11" t="n"/>
      <c r="AH430" s="11" t="n"/>
      <c r="AI430" s="11" t="n"/>
      <c r="AJ430" s="11" t="n"/>
      <c r="AK430" s="11" t="n"/>
      <c r="AL430" s="11" t="n"/>
      <c r="AM430" s="11" t="n"/>
      <c r="AN430" s="11" t="n"/>
      <c r="AO430" s="11" t="n"/>
      <c r="AP430" s="11" t="n"/>
      <c r="AQ430" s="11" t="n"/>
      <c r="AR430" s="11" t="n"/>
      <c r="AS430" s="11" t="n"/>
      <c r="AT430" s="11" t="n"/>
      <c r="AU430" s="11" t="n"/>
      <c r="AV430" s="11" t="n"/>
      <c r="AW430" s="11" t="n"/>
      <c r="AX430" s="11" t="n"/>
      <c r="AY430" s="11" t="n"/>
      <c r="AZ430" s="11" t="n"/>
      <c r="BA430" s="11" t="n"/>
      <c r="BB430" s="11" t="n"/>
      <c r="BC430" s="11" t="n"/>
      <c r="BD430" s="11" t="n"/>
      <c r="BE430" s="11" t="n"/>
      <c r="BF430" s="11" t="n"/>
      <c r="BG430" s="11" t="n"/>
      <c r="BH430" s="11" t="n"/>
      <c r="BI430" s="11" t="n"/>
      <c r="BJ430" s="11" t="n"/>
      <c r="BK430" s="11" t="n"/>
      <c r="BL430" s="11" t="n"/>
      <c r="BM430" s="11" t="n"/>
      <c r="BN430" s="11" t="n"/>
      <c r="BO430" s="11" t="n"/>
      <c r="BP430" s="11" t="n"/>
      <c r="BQ430" s="11" t="n"/>
      <c r="BR430" s="11" t="n"/>
      <c r="BS430" s="11" t="n"/>
      <c r="BT430" s="11" t="n"/>
      <c r="BU430" s="11" t="n"/>
      <c r="BV430" s="11" t="n"/>
      <c r="BW430" s="11" t="n"/>
      <c r="BX430" s="11" t="n"/>
      <c r="BY430" s="11" t="n"/>
      <c r="BZ430" s="11" t="n"/>
      <c r="CA430" s="11" t="n"/>
      <c r="CB430" s="11" t="n"/>
      <c r="CC430" s="11" t="n"/>
      <c r="CD430" s="11" t="n"/>
      <c r="CE430" s="11" t="n"/>
      <c r="CF430" s="11" t="inlineStr">
        <is>
          <t>VALUATION — share price input $280.00 (latest observable on EDGAR: Form 4 open-market sales 1-Sep-2026 at $278.93–281.74; update to market)</t>
        </is>
      </c>
    </row>
    <row r="431" ht="15" customHeight="1">
      <c r="B431" s="76" t="inlineStr">
        <is>
          <t>Share price ($) — current</t>
        </is>
      </c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47" t="n"/>
      <c r="X431" s="47" t="n"/>
      <c r="Y431" s="47" t="n"/>
      <c r="Z431" s="47" t="n"/>
      <c r="AA431" s="47" t="n"/>
      <c r="AB431" s="47" t="n"/>
      <c r="AC431" s="47" t="n"/>
      <c r="AD431" s="47" t="n"/>
      <c r="AE431" s="47" t="n"/>
      <c r="AF431" s="47" t="n"/>
      <c r="AG431" s="47" t="n"/>
      <c r="AH431" s="47" t="n"/>
      <c r="AI431" s="47" t="n"/>
      <c r="AJ431" s="47" t="n"/>
      <c r="AK431" s="47" t="n"/>
      <c r="AL431" s="47" t="n"/>
      <c r="AM431" s="47" t="n"/>
      <c r="AN431" s="47" t="n"/>
      <c r="AO431" s="47" t="n"/>
      <c r="AP431" s="47" t="n"/>
      <c r="AQ431" s="47" t="n"/>
      <c r="AR431" s="47" t="n"/>
      <c r="AS431" s="47" t="n"/>
      <c r="AT431" s="47" t="n"/>
      <c r="AU431" s="47" t="n"/>
      <c r="AV431" s="47" t="n"/>
      <c r="AW431" s="47" t="n"/>
      <c r="AX431" s="47" t="n"/>
      <c r="AY431" s="47" t="n"/>
      <c r="AZ431" s="47" t="n"/>
      <c r="BA431" s="47" t="n"/>
      <c r="BB431" s="47" t="n"/>
      <c r="BC431" s="47" t="n"/>
      <c r="BD431" s="47" t="n"/>
      <c r="BE431" s="47" t="n"/>
      <c r="BF431" s="47" t="n"/>
      <c r="BG431" s="47" t="n"/>
      <c r="BH431" s="47" t="n"/>
      <c r="BI431" s="47" t="n"/>
      <c r="BJ431" s="47" t="n"/>
      <c r="BK431" s="47" t="n"/>
      <c r="BL431" s="47" t="n"/>
      <c r="BM431" s="47" t="n"/>
      <c r="BN431" s="47" t="n"/>
      <c r="BO431" s="47" t="n"/>
      <c r="BP431" s="47" t="n"/>
      <c r="BQ431" s="47" t="n"/>
      <c r="BR431" s="47" t="n"/>
      <c r="BS431" s="47" t="n"/>
      <c r="BT431" s="47" t="n"/>
      <c r="BU431" s="47" t="n"/>
      <c r="BV431" s="47" t="n"/>
      <c r="BW431" s="47" t="n"/>
      <c r="BX431" s="47" t="n"/>
      <c r="BY431" s="6" t="n"/>
      <c r="BZ431" s="6" t="n"/>
      <c r="CA431" s="208" t="n">
        <v>280</v>
      </c>
      <c r="CB431" s="207">
        <f>CA431</f>
        <v/>
      </c>
      <c r="CC431" s="207">
        <f>CB431</f>
        <v/>
      </c>
      <c r="CD431" s="207">
        <f>CC431</f>
        <v/>
      </c>
      <c r="CE431" s="207">
        <f>CD431</f>
        <v/>
      </c>
      <c r="CF431" s="20" t="n"/>
    </row>
    <row r="432" ht="15" customHeight="1">
      <c r="B432" s="26" t="inlineStr">
        <is>
          <t>Diluted shares at period end (m)</t>
        </is>
      </c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  <c r="AP432" s="36" t="n"/>
      <c r="AQ432" s="36" t="n"/>
      <c r="AR432" s="36" t="n"/>
      <c r="AS432" s="36" t="n"/>
      <c r="AT432" s="36" t="n"/>
      <c r="AU432" s="36" t="n"/>
      <c r="AV432" s="36" t="n"/>
      <c r="AW432" s="36" t="n"/>
      <c r="AX432" s="36" t="n"/>
      <c r="AY432" s="36" t="n"/>
      <c r="AZ432" s="36" t="n"/>
      <c r="BA432" s="36" t="n"/>
      <c r="BB432" s="36" t="n"/>
      <c r="BC432" s="36" t="n"/>
      <c r="BD432" s="36" t="n"/>
      <c r="BE432" s="36" t="n"/>
      <c r="BF432" s="36" t="n"/>
      <c r="BG432" s="36" t="n"/>
      <c r="BH432" s="36" t="n"/>
      <c r="BI432" s="36" t="n"/>
      <c r="BJ432" s="36" t="n"/>
      <c r="BK432" s="36" t="n"/>
      <c r="BL432" s="36" t="n"/>
      <c r="BM432" s="36" t="n"/>
      <c r="BN432" s="36" t="n"/>
      <c r="BO432" s="36" t="n"/>
      <c r="BP432" s="36" t="n"/>
      <c r="BQ432" s="36" t="n"/>
      <c r="BR432" s="36" t="n"/>
      <c r="BS432" s="36" t="n"/>
      <c r="BT432" s="36" t="n"/>
      <c r="BU432" s="36" t="n"/>
      <c r="BV432" s="36" t="n"/>
      <c r="BW432" s="36" t="n"/>
      <c r="BX432" s="36" t="n"/>
      <c r="BY432" s="37" t="n"/>
      <c r="BZ432" s="37" t="n"/>
      <c r="CA432" s="200">
        <f>CA301+(BX168-BX167)</f>
        <v/>
      </c>
      <c r="CB432" s="200">
        <f>CB301+N(CB377)</f>
        <v/>
      </c>
      <c r="CC432" s="200">
        <f>CC301+N(CC377)</f>
        <v/>
      </c>
      <c r="CD432" s="200">
        <f>CD301+N(CD377)</f>
        <v/>
      </c>
      <c r="CE432" s="200">
        <f>CE301+N(CE377)</f>
        <v/>
      </c>
      <c r="CF432" s="20" t="n"/>
    </row>
    <row r="433" ht="15" customHeight="1">
      <c r="B433" s="26" t="inlineStr">
        <is>
          <t>Market capitalisation (USDm)</t>
        </is>
      </c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  <c r="AP433" s="36" t="n"/>
      <c r="AQ433" s="36" t="n"/>
      <c r="AR433" s="36" t="n"/>
      <c r="AS433" s="36" t="n"/>
      <c r="AT433" s="36" t="n"/>
      <c r="AU433" s="36" t="n"/>
      <c r="AV433" s="36" t="n"/>
      <c r="AW433" s="36" t="n"/>
      <c r="AX433" s="36" t="n"/>
      <c r="AY433" s="36" t="n"/>
      <c r="AZ433" s="36" t="n"/>
      <c r="BA433" s="36" t="n"/>
      <c r="BB433" s="36" t="n"/>
      <c r="BC433" s="36" t="n"/>
      <c r="BD433" s="36" t="n"/>
      <c r="BE433" s="36" t="n"/>
      <c r="BF433" s="36" t="n"/>
      <c r="BG433" s="36" t="n"/>
      <c r="BH433" s="36" t="n"/>
      <c r="BI433" s="36" t="n"/>
      <c r="BJ433" s="36" t="n"/>
      <c r="BK433" s="36" t="n"/>
      <c r="BL433" s="36" t="n"/>
      <c r="BM433" s="36" t="n"/>
      <c r="BN433" s="36" t="n"/>
      <c r="BO433" s="36" t="n"/>
      <c r="BP433" s="36" t="n"/>
      <c r="BQ433" s="36" t="n"/>
      <c r="BR433" s="36" t="n"/>
      <c r="BS433" s="36" t="n"/>
      <c r="BT433" s="36" t="n"/>
      <c r="BU433" s="36" t="n"/>
      <c r="BV433" s="36" t="n"/>
      <c r="BW433" s="36" t="n"/>
      <c r="BX433" s="36" t="n"/>
      <c r="BY433" s="37" t="n"/>
      <c r="BZ433" s="37" t="n"/>
      <c r="CA433" s="178">
        <f>IFERROR(CA431*CA432,"n/a")</f>
        <v/>
      </c>
      <c r="CB433" s="178">
        <f>IFERROR(CB431*CB432,"n/a")</f>
        <v/>
      </c>
      <c r="CC433" s="178">
        <f>IFERROR(CC431*CC432,"n/a")</f>
        <v/>
      </c>
      <c r="CD433" s="178">
        <f>IFERROR(CD431*CD432,"n/a")</f>
        <v/>
      </c>
      <c r="CE433" s="178">
        <f>IFERROR(CE431*CE432,"n/a")</f>
        <v/>
      </c>
      <c r="CF433" s="20" t="n"/>
    </row>
    <row r="434" ht="15" customHeight="1">
      <c r="B434" s="26" t="inlineStr">
        <is>
          <t>Net debt (USDm)</t>
        </is>
      </c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  <c r="AP434" s="36" t="n"/>
      <c r="AQ434" s="36" t="n"/>
      <c r="AR434" s="36" t="n"/>
      <c r="AS434" s="36" t="n"/>
      <c r="AT434" s="36" t="n"/>
      <c r="AU434" s="36" t="n"/>
      <c r="AV434" s="36" t="n"/>
      <c r="AW434" s="36" t="n"/>
      <c r="AX434" s="36" t="n"/>
      <c r="AY434" s="36" t="n"/>
      <c r="AZ434" s="36" t="n"/>
      <c r="BA434" s="36" t="n"/>
      <c r="BB434" s="36" t="n"/>
      <c r="BC434" s="36" t="n"/>
      <c r="BD434" s="36" t="n"/>
      <c r="BE434" s="36" t="n"/>
      <c r="BF434" s="36" t="n"/>
      <c r="BG434" s="36" t="n"/>
      <c r="BH434" s="36" t="n"/>
      <c r="BI434" s="36" t="n"/>
      <c r="BJ434" s="36" t="n"/>
      <c r="BK434" s="36" t="n"/>
      <c r="BL434" s="36" t="n"/>
      <c r="BM434" s="36" t="n"/>
      <c r="BN434" s="36" t="n"/>
      <c r="BO434" s="36" t="n"/>
      <c r="BP434" s="36" t="n"/>
      <c r="BQ434" s="36" t="n"/>
      <c r="BR434" s="36" t="n"/>
      <c r="BS434" s="36" t="n"/>
      <c r="BT434" s="36" t="n"/>
      <c r="BU434" s="36" t="n"/>
      <c r="BV434" s="36" t="n"/>
      <c r="BW434" s="36" t="n"/>
      <c r="BX434" s="36" t="n"/>
      <c r="BY434" s="37" t="n"/>
      <c r="BZ434" s="37" t="n"/>
      <c r="CA434" s="178">
        <f>CA426</f>
        <v/>
      </c>
      <c r="CB434" s="178">
        <f>CB426</f>
        <v/>
      </c>
      <c r="CC434" s="178">
        <f>CC426</f>
        <v/>
      </c>
      <c r="CD434" s="178">
        <f>CD426</f>
        <v/>
      </c>
      <c r="CE434" s="178">
        <f>CE426</f>
        <v/>
      </c>
      <c r="CF434" s="20" t="n"/>
    </row>
    <row r="435" ht="15" customHeight="1">
      <c r="B435" s="26" t="inlineStr">
        <is>
          <t>Noncontrolling interest (USDm)</t>
        </is>
      </c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  <c r="AP435" s="36" t="n"/>
      <c r="AQ435" s="36" t="n"/>
      <c r="AR435" s="36" t="n"/>
      <c r="AS435" s="36" t="n"/>
      <c r="AT435" s="36" t="n"/>
      <c r="AU435" s="36" t="n"/>
      <c r="AV435" s="36" t="n"/>
      <c r="AW435" s="36" t="n"/>
      <c r="AX435" s="36" t="n"/>
      <c r="AY435" s="36" t="n"/>
      <c r="AZ435" s="36" t="n"/>
      <c r="BA435" s="36" t="n"/>
      <c r="BB435" s="36" t="n"/>
      <c r="BC435" s="36" t="n"/>
      <c r="BD435" s="36" t="n"/>
      <c r="BE435" s="36" t="n"/>
      <c r="BF435" s="36" t="n"/>
      <c r="BG435" s="36" t="n"/>
      <c r="BH435" s="36" t="n"/>
      <c r="BI435" s="36" t="n"/>
      <c r="BJ435" s="36" t="n"/>
      <c r="BK435" s="36" t="n"/>
      <c r="BL435" s="36" t="n"/>
      <c r="BM435" s="36" t="n"/>
      <c r="BN435" s="36" t="n"/>
      <c r="BO435" s="36" t="n"/>
      <c r="BP435" s="36" t="n"/>
      <c r="BQ435" s="36" t="n"/>
      <c r="BR435" s="36" t="n"/>
      <c r="BS435" s="36" t="n"/>
      <c r="BT435" s="36" t="n"/>
      <c r="BU435" s="36" t="n"/>
      <c r="BV435" s="36" t="n"/>
      <c r="BW435" s="36" t="n"/>
      <c r="BX435" s="36" t="n"/>
      <c r="BY435" s="37" t="n"/>
      <c r="BZ435" s="37" t="n"/>
      <c r="CA435" s="178">
        <f>N(CA337)</f>
        <v/>
      </c>
      <c r="CB435" s="178">
        <f>N(CB337)</f>
        <v/>
      </c>
      <c r="CC435" s="178">
        <f>N(CC337)</f>
        <v/>
      </c>
      <c r="CD435" s="178">
        <f>N(CD337)</f>
        <v/>
      </c>
      <c r="CE435" s="178">
        <f>N(CE337)</f>
        <v/>
      </c>
      <c r="CF435" s="20" t="n"/>
    </row>
    <row r="436" ht="15" customHeight="1">
      <c r="B436" s="17" t="inlineStr">
        <is>
          <t>Enterprise value (USDm)</t>
        </is>
      </c>
      <c r="C436" s="4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  <c r="Z436" s="46" t="n"/>
      <c r="AA436" s="46" t="n"/>
      <c r="AB436" s="46" t="n"/>
      <c r="AC436" s="46" t="n"/>
      <c r="AD436" s="46" t="n"/>
      <c r="AE436" s="46" t="n"/>
      <c r="AF436" s="46" t="n"/>
      <c r="AG436" s="46" t="n"/>
      <c r="AH436" s="46" t="n"/>
      <c r="AI436" s="46" t="n"/>
      <c r="AJ436" s="46" t="n"/>
      <c r="AK436" s="46" t="n"/>
      <c r="AL436" s="46" t="n"/>
      <c r="AM436" s="46" t="n"/>
      <c r="AN436" s="46" t="n"/>
      <c r="AO436" s="46" t="n"/>
      <c r="AP436" s="46" t="n"/>
      <c r="AQ436" s="46" t="n"/>
      <c r="AR436" s="46" t="n"/>
      <c r="AS436" s="46" t="n"/>
      <c r="AT436" s="46" t="n"/>
      <c r="AU436" s="46" t="n"/>
      <c r="AV436" s="46" t="n"/>
      <c r="AW436" s="46" t="n"/>
      <c r="AX436" s="46" t="n"/>
      <c r="AY436" s="46" t="n"/>
      <c r="AZ436" s="46" t="n"/>
      <c r="BA436" s="46" t="n"/>
      <c r="BB436" s="46" t="n"/>
      <c r="BC436" s="46" t="n"/>
      <c r="BD436" s="46" t="n"/>
      <c r="BE436" s="46" t="n"/>
      <c r="BF436" s="46" t="n"/>
      <c r="BG436" s="46" t="n"/>
      <c r="BH436" s="46" t="n"/>
      <c r="BI436" s="46" t="n"/>
      <c r="BJ436" s="46" t="n"/>
      <c r="BK436" s="46" t="n"/>
      <c r="BL436" s="46" t="n"/>
      <c r="BM436" s="46" t="n"/>
      <c r="BN436" s="46" t="n"/>
      <c r="BO436" s="46" t="n"/>
      <c r="BP436" s="46" t="n"/>
      <c r="BQ436" s="46" t="n"/>
      <c r="BR436" s="46" t="n"/>
      <c r="BS436" s="46" t="n"/>
      <c r="BT436" s="46" t="n"/>
      <c r="BU436" s="46" t="n"/>
      <c r="BV436" s="46" t="n"/>
      <c r="BW436" s="46" t="n"/>
      <c r="BX436" s="46" t="n"/>
      <c r="BY436" s="34" t="n"/>
      <c r="BZ436" s="34" t="n"/>
      <c r="CA436" s="185">
        <f>IFERROR(CA433+CA434+CA435,"n/a")</f>
        <v/>
      </c>
      <c r="CB436" s="185">
        <f>IFERROR(CB433+CB434+CB435,"n/a")</f>
        <v/>
      </c>
      <c r="CC436" s="185">
        <f>IFERROR(CC433+CC434+CC435,"n/a")</f>
        <v/>
      </c>
      <c r="CD436" s="185">
        <f>IFERROR(CD433+CD434+CD435,"n/a")</f>
        <v/>
      </c>
      <c r="CE436" s="185">
        <f>IFERROR(CE433+CE434+CE435,"n/a")</f>
        <v/>
      </c>
      <c r="CF436" s="6" t="n"/>
    </row>
    <row r="437" ht="15" customHeight="1">
      <c r="B437" s="26" t="inlineStr">
        <is>
          <t>Multiples</t>
        </is>
      </c>
      <c r="CF437" s="6" t="n"/>
    </row>
    <row r="438" ht="15" customHeight="1">
      <c r="B438" s="26" t="inlineStr">
        <is>
          <t xml:space="preserve">  EV / Net sales</t>
        </is>
      </c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  <c r="AP438" s="36" t="n"/>
      <c r="AQ438" s="36" t="n"/>
      <c r="AR438" s="36" t="n"/>
      <c r="AS438" s="36" t="n"/>
      <c r="AT438" s="36" t="n"/>
      <c r="AU438" s="36" t="n"/>
      <c r="AV438" s="36" t="n"/>
      <c r="AW438" s="36" t="n"/>
      <c r="AX438" s="36" t="n"/>
      <c r="AY438" s="36" t="n"/>
      <c r="AZ438" s="36" t="n"/>
      <c r="BA438" s="36" t="n"/>
      <c r="BB438" s="36" t="n"/>
      <c r="BC438" s="36" t="n"/>
      <c r="BD438" s="36" t="n"/>
      <c r="BE438" s="36" t="n"/>
      <c r="BF438" s="36" t="n"/>
      <c r="BG438" s="36" t="n"/>
      <c r="BH438" s="36" t="n"/>
      <c r="BI438" s="36" t="n"/>
      <c r="BJ438" s="36" t="n"/>
      <c r="BK438" s="36" t="n"/>
      <c r="BL438" s="36" t="n"/>
      <c r="BM438" s="36" t="n"/>
      <c r="BN438" s="36" t="n"/>
      <c r="BO438" s="36" t="n"/>
      <c r="BP438" s="36" t="n"/>
      <c r="BQ438" s="36" t="n"/>
      <c r="BR438" s="36" t="n"/>
      <c r="BS438" s="36" t="n"/>
      <c r="BT438" s="36" t="n"/>
      <c r="BU438" s="36" t="n"/>
      <c r="BV438" s="36" t="n"/>
      <c r="BW438" s="36" t="n"/>
      <c r="BX438" s="36" t="n"/>
      <c r="BY438" s="37" t="n"/>
      <c r="BZ438" s="37" t="n"/>
      <c r="CA438" s="214">
        <f>IFERROR(CA436/CA142,"n/a")</f>
        <v/>
      </c>
      <c r="CB438" s="214">
        <f>IFERROR(CB436/CB142,"n/a")</f>
        <v/>
      </c>
      <c r="CC438" s="214">
        <f>IFERROR(CC436/CC142,"n/a")</f>
        <v/>
      </c>
      <c r="CD438" s="214">
        <f>IFERROR(CD436/CD142,"n/a")</f>
        <v/>
      </c>
      <c r="CE438" s="214">
        <f>IFERROR(CE436/CE142,"n/a")</f>
        <v/>
      </c>
      <c r="CF438" s="20" t="n"/>
    </row>
    <row r="439" ht="15" customHeight="1">
      <c r="B439" s="26" t="inlineStr">
        <is>
          <t xml:space="preserve">  EV / Adjusted EBITDA</t>
        </is>
      </c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  <c r="AP439" s="36" t="n"/>
      <c r="AQ439" s="36" t="n"/>
      <c r="AR439" s="36" t="n"/>
      <c r="AS439" s="36" t="n"/>
      <c r="AT439" s="36" t="n"/>
      <c r="AU439" s="36" t="n"/>
      <c r="AV439" s="36" t="n"/>
      <c r="AW439" s="36" t="n"/>
      <c r="AX439" s="36" t="n"/>
      <c r="AY439" s="36" t="n"/>
      <c r="AZ439" s="36" t="n"/>
      <c r="BA439" s="36" t="n"/>
      <c r="BB439" s="36" t="n"/>
      <c r="BC439" s="36" t="n"/>
      <c r="BD439" s="36" t="n"/>
      <c r="BE439" s="36" t="n"/>
      <c r="BF439" s="36" t="n"/>
      <c r="BG439" s="36" t="n"/>
      <c r="BH439" s="36" t="n"/>
      <c r="BI439" s="36" t="n"/>
      <c r="BJ439" s="36" t="n"/>
      <c r="BK439" s="36" t="n"/>
      <c r="BL439" s="36" t="n"/>
      <c r="BM439" s="36" t="n"/>
      <c r="BN439" s="36" t="n"/>
      <c r="BO439" s="36" t="n"/>
      <c r="BP439" s="36" t="n"/>
      <c r="BQ439" s="36" t="n"/>
      <c r="BR439" s="36" t="n"/>
      <c r="BS439" s="36" t="n"/>
      <c r="BT439" s="36" t="n"/>
      <c r="BU439" s="36" t="n"/>
      <c r="BV439" s="36" t="n"/>
      <c r="BW439" s="36" t="n"/>
      <c r="BX439" s="36" t="n"/>
      <c r="BY439" s="37" t="n"/>
      <c r="BZ439" s="37" t="n"/>
      <c r="CA439" s="214">
        <f>IFERROR(CA436/CA194,"n/a")</f>
        <v/>
      </c>
      <c r="CB439" s="214">
        <f>IFERROR(CB436/CB194,"n/a")</f>
        <v/>
      </c>
      <c r="CC439" s="214">
        <f>IFERROR(CC436/CC194,"n/a")</f>
        <v/>
      </c>
      <c r="CD439" s="214">
        <f>IFERROR(CD436/CD194,"n/a")</f>
        <v/>
      </c>
      <c r="CE439" s="214">
        <f>IFERROR(CE436/CE194,"n/a")</f>
        <v/>
      </c>
      <c r="CF439" s="20" t="n"/>
    </row>
    <row r="440" ht="15" customHeight="1">
      <c r="B440" s="26" t="inlineStr">
        <is>
          <t xml:space="preserve">  EV / Adjusted income from operations</t>
        </is>
      </c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  <c r="AP440" s="36" t="n"/>
      <c r="AQ440" s="36" t="n"/>
      <c r="AR440" s="36" t="n"/>
      <c r="AS440" s="36" t="n"/>
      <c r="AT440" s="36" t="n"/>
      <c r="AU440" s="36" t="n"/>
      <c r="AV440" s="36" t="n"/>
      <c r="AW440" s="36" t="n"/>
      <c r="AX440" s="36" t="n"/>
      <c r="AY440" s="36" t="n"/>
      <c r="AZ440" s="36" t="n"/>
      <c r="BA440" s="36" t="n"/>
      <c r="BB440" s="36" t="n"/>
      <c r="BC440" s="36" t="n"/>
      <c r="BD440" s="36" t="n"/>
      <c r="BE440" s="36" t="n"/>
      <c r="BF440" s="36" t="n"/>
      <c r="BG440" s="36" t="n"/>
      <c r="BH440" s="36" t="n"/>
      <c r="BI440" s="36" t="n"/>
      <c r="BJ440" s="36" t="n"/>
      <c r="BK440" s="36" t="n"/>
      <c r="BL440" s="36" t="n"/>
      <c r="BM440" s="36" t="n"/>
      <c r="BN440" s="36" t="n"/>
      <c r="BO440" s="36" t="n"/>
      <c r="BP440" s="36" t="n"/>
      <c r="BQ440" s="36" t="n"/>
      <c r="BR440" s="36" t="n"/>
      <c r="BS440" s="36" t="n"/>
      <c r="BT440" s="36" t="n"/>
      <c r="BU440" s="36" t="n"/>
      <c r="BV440" s="36" t="n"/>
      <c r="BW440" s="36" t="n"/>
      <c r="BX440" s="36" t="n"/>
      <c r="BY440" s="37" t="n"/>
      <c r="BZ440" s="37" t="n"/>
      <c r="CA440" s="214">
        <f>IFERROR(CA436/CA214,"n/a")</f>
        <v/>
      </c>
      <c r="CB440" s="214">
        <f>IFERROR(CB436/CB214,"n/a")</f>
        <v/>
      </c>
      <c r="CC440" s="214">
        <f>IFERROR(CC436/CC214,"n/a")</f>
        <v/>
      </c>
      <c r="CD440" s="214">
        <f>IFERROR(CD436/CD214,"n/a")</f>
        <v/>
      </c>
      <c r="CE440" s="214">
        <f>IFERROR(CE436/CE214,"n/a")</f>
        <v/>
      </c>
      <c r="CF440" s="20" t="n"/>
    </row>
    <row r="441" ht="15" customHeight="1">
      <c r="B441" s="26" t="inlineStr">
        <is>
          <t xml:space="preserve">  EV / IC</t>
        </is>
      </c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  <c r="AP441" s="36" t="n"/>
      <c r="AQ441" s="36" t="n"/>
      <c r="AR441" s="36" t="n"/>
      <c r="AS441" s="36" t="n"/>
      <c r="AT441" s="36" t="n"/>
      <c r="AU441" s="36" t="n"/>
      <c r="AV441" s="36" t="n"/>
      <c r="AW441" s="36" t="n"/>
      <c r="AX441" s="36" t="n"/>
      <c r="AY441" s="36" t="n"/>
      <c r="AZ441" s="36" t="n"/>
      <c r="BA441" s="36" t="n"/>
      <c r="BB441" s="36" t="n"/>
      <c r="BC441" s="36" t="n"/>
      <c r="BD441" s="36" t="n"/>
      <c r="BE441" s="36" t="n"/>
      <c r="BF441" s="36" t="n"/>
      <c r="BG441" s="36" t="n"/>
      <c r="BH441" s="36" t="n"/>
      <c r="BI441" s="36" t="n"/>
      <c r="BJ441" s="36" t="n"/>
      <c r="BK441" s="36" t="n"/>
      <c r="BL441" s="36" t="n"/>
      <c r="BM441" s="36" t="n"/>
      <c r="BN441" s="36" t="n"/>
      <c r="BO441" s="36" t="n"/>
      <c r="BP441" s="36" t="n"/>
      <c r="BQ441" s="36" t="n"/>
      <c r="BR441" s="36" t="n"/>
      <c r="BS441" s="36" t="n"/>
      <c r="BT441" s="36" t="n"/>
      <c r="BU441" s="36" t="n"/>
      <c r="BV441" s="36" t="n"/>
      <c r="BW441" s="36" t="n"/>
      <c r="BX441" s="36" t="n"/>
      <c r="BY441" s="37" t="n"/>
      <c r="BZ441" s="37" t="n"/>
      <c r="CA441" s="214">
        <f>IFERROR(CA436/CA406,"n/a")</f>
        <v/>
      </c>
      <c r="CB441" s="214">
        <f>IFERROR(CB436/CB406,"n/a")</f>
        <v/>
      </c>
      <c r="CC441" s="214">
        <f>IFERROR(CC436/CC406,"n/a")</f>
        <v/>
      </c>
      <c r="CD441" s="214">
        <f>IFERROR(CD436/CD406,"n/a")</f>
        <v/>
      </c>
      <c r="CE441" s="214">
        <f>IFERROR(CE436/CE406,"n/a")</f>
        <v/>
      </c>
      <c r="CF441" s="20" t="n"/>
    </row>
    <row r="442" ht="15" customHeight="1">
      <c r="B442" s="26" t="inlineStr">
        <is>
          <t xml:space="preserve">  P / E (GAAP diluted)</t>
        </is>
      </c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  <c r="AP442" s="36" t="n"/>
      <c r="AQ442" s="36" t="n"/>
      <c r="AR442" s="36" t="n"/>
      <c r="AS442" s="36" t="n"/>
      <c r="AT442" s="36" t="n"/>
      <c r="AU442" s="36" t="n"/>
      <c r="AV442" s="36" t="n"/>
      <c r="AW442" s="36" t="n"/>
      <c r="AX442" s="36" t="n"/>
      <c r="AY442" s="36" t="n"/>
      <c r="AZ442" s="36" t="n"/>
      <c r="BA442" s="36" t="n"/>
      <c r="BB442" s="36" t="n"/>
      <c r="BC442" s="36" t="n"/>
      <c r="BD442" s="36" t="n"/>
      <c r="BE442" s="36" t="n"/>
      <c r="BF442" s="36" t="n"/>
      <c r="BG442" s="36" t="n"/>
      <c r="BH442" s="36" t="n"/>
      <c r="BI442" s="36" t="n"/>
      <c r="BJ442" s="36" t="n"/>
      <c r="BK442" s="36" t="n"/>
      <c r="BL442" s="36" t="n"/>
      <c r="BM442" s="36" t="n"/>
      <c r="BN442" s="36" t="n"/>
      <c r="BO442" s="36" t="n"/>
      <c r="BP442" s="36" t="n"/>
      <c r="BQ442" s="36" t="n"/>
      <c r="BR442" s="36" t="n"/>
      <c r="BS442" s="36" t="n"/>
      <c r="BT442" s="36" t="n"/>
      <c r="BU442" s="36" t="n"/>
      <c r="BV442" s="36" t="n"/>
      <c r="BW442" s="36" t="n"/>
      <c r="BX442" s="36" t="n"/>
      <c r="BY442" s="37" t="n"/>
      <c r="BZ442" s="37" t="n"/>
      <c r="CA442" s="214">
        <f>IFERROR(CA431/CA170,"n/a")</f>
        <v/>
      </c>
      <c r="CB442" s="214">
        <f>IFERROR(CB431/CB170,"n/a")</f>
        <v/>
      </c>
      <c r="CC442" s="214">
        <f>IFERROR(CC431/CC170,"n/a")</f>
        <v/>
      </c>
      <c r="CD442" s="214">
        <f>IFERROR(CD431/CD170,"n/a")</f>
        <v/>
      </c>
      <c r="CE442" s="214">
        <f>IFERROR(CE431/CE170,"n/a")</f>
        <v/>
      </c>
      <c r="CF442" s="20" t="n"/>
    </row>
    <row r="443" ht="15" customHeight="1">
      <c r="B443" s="26" t="inlineStr">
        <is>
          <t xml:space="preserve">  P / E (adjusted EPS)</t>
        </is>
      </c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  <c r="AP443" s="36" t="n"/>
      <c r="AQ443" s="36" t="n"/>
      <c r="AR443" s="36" t="n"/>
      <c r="AS443" s="36" t="n"/>
      <c r="AT443" s="36" t="n"/>
      <c r="AU443" s="36" t="n"/>
      <c r="AV443" s="36" t="n"/>
      <c r="AW443" s="36" t="n"/>
      <c r="AX443" s="36" t="n"/>
      <c r="AY443" s="36" t="n"/>
      <c r="AZ443" s="36" t="n"/>
      <c r="BA443" s="36" t="n"/>
      <c r="BB443" s="36" t="n"/>
      <c r="BC443" s="36" t="n"/>
      <c r="BD443" s="36" t="n"/>
      <c r="BE443" s="36" t="n"/>
      <c r="BF443" s="36" t="n"/>
      <c r="BG443" s="36" t="n"/>
      <c r="BH443" s="36" t="n"/>
      <c r="BI443" s="36" t="n"/>
      <c r="BJ443" s="36" t="n"/>
      <c r="BK443" s="36" t="n"/>
      <c r="BL443" s="36" t="n"/>
      <c r="BM443" s="36" t="n"/>
      <c r="BN443" s="36" t="n"/>
      <c r="BO443" s="36" t="n"/>
      <c r="BP443" s="36" t="n"/>
      <c r="BQ443" s="36" t="n"/>
      <c r="BR443" s="36" t="n"/>
      <c r="BS443" s="36" t="n"/>
      <c r="BT443" s="36" t="n"/>
      <c r="BU443" s="36" t="n"/>
      <c r="BV443" s="36" t="n"/>
      <c r="BW443" s="36" t="n"/>
      <c r="BX443" s="36" t="n"/>
      <c r="BY443" s="37" t="n"/>
      <c r="BZ443" s="37" t="n"/>
      <c r="CA443" s="214">
        <f>IFERROR(CA431/CA232,"n/a")</f>
        <v/>
      </c>
      <c r="CB443" s="214">
        <f>IFERROR(CB431/CB232,"n/a")</f>
        <v/>
      </c>
      <c r="CC443" s="214">
        <f>IFERROR(CC431/CC232,"n/a")</f>
        <v/>
      </c>
      <c r="CD443" s="214">
        <f>IFERROR(CD431/CD232,"n/a")</f>
        <v/>
      </c>
      <c r="CE443" s="214">
        <f>IFERROR(CE431/CE232,"n/a")</f>
        <v/>
      </c>
      <c r="CF443" s="20" t="n"/>
    </row>
    <row r="444" ht="15" customHeight="1">
      <c r="B444" s="26" t="inlineStr">
        <is>
          <t xml:space="preserve">  FCF yield</t>
        </is>
      </c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  <c r="AP444" s="36" t="n"/>
      <c r="AQ444" s="36" t="n"/>
      <c r="AR444" s="36" t="n"/>
      <c r="AS444" s="36" t="n"/>
      <c r="AT444" s="36" t="n"/>
      <c r="AU444" s="36" t="n"/>
      <c r="AV444" s="36" t="n"/>
      <c r="AW444" s="36" t="n"/>
      <c r="AX444" s="36" t="n"/>
      <c r="AY444" s="36" t="n"/>
      <c r="AZ444" s="36" t="n"/>
      <c r="BA444" s="36" t="n"/>
      <c r="BB444" s="36" t="n"/>
      <c r="BC444" s="36" t="n"/>
      <c r="BD444" s="36" t="n"/>
      <c r="BE444" s="36" t="n"/>
      <c r="BF444" s="36" t="n"/>
      <c r="BG444" s="36" t="n"/>
      <c r="BH444" s="36" t="n"/>
      <c r="BI444" s="36" t="n"/>
      <c r="BJ444" s="36" t="n"/>
      <c r="BK444" s="36" t="n"/>
      <c r="BL444" s="36" t="n"/>
      <c r="BM444" s="36" t="n"/>
      <c r="BN444" s="36" t="n"/>
      <c r="BO444" s="36" t="n"/>
      <c r="BP444" s="36" t="n"/>
      <c r="BQ444" s="36" t="n"/>
      <c r="BR444" s="36" t="n"/>
      <c r="BS444" s="36" t="n"/>
      <c r="BT444" s="36" t="n"/>
      <c r="BU444" s="36" t="n"/>
      <c r="BV444" s="36" t="n"/>
      <c r="BW444" s="36" t="n"/>
      <c r="BX444" s="36" t="n"/>
      <c r="BY444" s="37" t="n"/>
      <c r="BZ444" s="37" t="n"/>
      <c r="CA444" s="180">
        <f>IFERROR(CA285/CA433,"n/a")</f>
        <v/>
      </c>
      <c r="CB444" s="180">
        <f>IFERROR(CB285/CB433,"n/a")</f>
        <v/>
      </c>
      <c r="CC444" s="180">
        <f>IFERROR(CC285/CC433,"n/a")</f>
        <v/>
      </c>
      <c r="CD444" s="180">
        <f>IFERROR(CD285/CD433,"n/a")</f>
        <v/>
      </c>
      <c r="CE444" s="180">
        <f>IFERROR(CE285/CE433,"n/a")</f>
        <v/>
      </c>
      <c r="CF444" s="20" t="n"/>
    </row>
    <row r="445" ht="15" customHeight="1">
      <c r="B445" s="26" t="inlineStr">
        <is>
          <t xml:space="preserve">  Dividend yield</t>
        </is>
      </c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  <c r="AP445" s="36" t="n"/>
      <c r="AQ445" s="36" t="n"/>
      <c r="AR445" s="36" t="n"/>
      <c r="AS445" s="36" t="n"/>
      <c r="AT445" s="36" t="n"/>
      <c r="AU445" s="36" t="n"/>
      <c r="AV445" s="36" t="n"/>
      <c r="AW445" s="36" t="n"/>
      <c r="AX445" s="36" t="n"/>
      <c r="AY445" s="36" t="n"/>
      <c r="AZ445" s="36" t="n"/>
      <c r="BA445" s="36" t="n"/>
      <c r="BB445" s="36" t="n"/>
      <c r="BC445" s="36" t="n"/>
      <c r="BD445" s="36" t="n"/>
      <c r="BE445" s="36" t="n"/>
      <c r="BF445" s="36" t="n"/>
      <c r="BG445" s="36" t="n"/>
      <c r="BH445" s="36" t="n"/>
      <c r="BI445" s="36" t="n"/>
      <c r="BJ445" s="36" t="n"/>
      <c r="BK445" s="36" t="n"/>
      <c r="BL445" s="36" t="n"/>
      <c r="BM445" s="36" t="n"/>
      <c r="BN445" s="36" t="n"/>
      <c r="BO445" s="36" t="n"/>
      <c r="BP445" s="36" t="n"/>
      <c r="BQ445" s="36" t="n"/>
      <c r="BR445" s="36" t="n"/>
      <c r="BS445" s="36" t="n"/>
      <c r="BT445" s="36" t="n"/>
      <c r="BU445" s="36" t="n"/>
      <c r="BV445" s="36" t="n"/>
      <c r="BW445" s="36" t="n"/>
      <c r="BX445" s="36" t="n"/>
      <c r="BY445" s="37" t="n"/>
      <c r="BZ445" s="37" t="n"/>
      <c r="CA445" s="180">
        <f>IFERROR(CA173/CA431,"n/a")</f>
        <v/>
      </c>
      <c r="CB445" s="180">
        <f>IFERROR(CB173/CB431,"n/a")</f>
        <v/>
      </c>
      <c r="CC445" s="180">
        <f>IFERROR(CC173/CC431,"n/a")</f>
        <v/>
      </c>
      <c r="CD445" s="180">
        <f>IFERROR(CD173/CD431,"n/a")</f>
        <v/>
      </c>
      <c r="CE445" s="180">
        <f>IFERROR(CE173/CE431,"n/a")</f>
        <v/>
      </c>
      <c r="CF445" s="20" t="n"/>
    </row>
    <row r="446" ht="15" customHeight="1"/>
    <row r="447" ht="15" customHeight="1"/>
  </sheetData>
  <dataValidations count="1">
    <dataValidation sqref="CF2" showDropDown="0" showInputMessage="0" showErrorMessage="0" allowBlank="0" type="list">
      <formula1>"Bull,Base,Bear"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47"/>
  <sheetViews>
    <sheetView showGridLines="0" zoomScale="60" zoomScaleNormal="60" workbookViewId="0">
      <selection activeCell="H26" sqref="H26"/>
    </sheetView>
  </sheetViews>
  <sheetFormatPr baseColWidth="8" defaultColWidth="8.5703125" defaultRowHeight="15"/>
  <cols>
    <col width="2.140625" customWidth="1" min="1" max="1"/>
    <col width="63.85546875" customWidth="1" min="2" max="2"/>
    <col width="11.85546875" customWidth="1" min="3" max="8"/>
    <col width="13.28515625" customWidth="1" min="9" max="9"/>
    <col width="12.5703125" customWidth="1" min="10" max="12"/>
    <col width="3.85546875" customWidth="1" min="13" max="13"/>
    <col width="63.85546875" customWidth="1" min="14" max="14"/>
    <col width="11.85546875" customWidth="1" min="15" max="20"/>
    <col width="13.28515625" customWidth="1" min="21" max="21"/>
    <col width="12.5703125" customWidth="1" min="22" max="24"/>
    <col width="3.85546875" customWidth="1" min="25" max="25"/>
    <col width="63.85546875" customWidth="1" min="26" max="26"/>
    <col width="11.85546875" customWidth="1" min="27" max="32"/>
    <col width="13.28515625" customWidth="1" min="33" max="33"/>
    <col width="12.5703125" customWidth="1" min="34" max="36"/>
  </cols>
  <sheetData>
    <row r="2" ht="19.5" customHeight="1">
      <c r="B2" s="80" t="inlineStr">
        <is>
          <t>Westinghouse Air Brake Technologies (WAB) — Bull / Base / Bear Case P&amp;L Summary</t>
        </is>
      </c>
      <c r="J2" s="173" t="inlineStr">
        <is>
          <t>Share price ($):</t>
        </is>
      </c>
      <c r="K2" s="81">
        <f>Model!$CA$431</f>
        <v/>
      </c>
    </row>
    <row r="3" ht="15" customHeight="1">
      <c r="B3" s="4" t="inlineStr">
        <is>
          <t>Adjusted figures (company definitions: Adjusted EBITDA; adjusted EPS incl. add-back of non-cash amortization) · USD millions · Live panel linked to Model — toggle scenario via Model!CF2. Bull and Bear panels are value snapshots generated from the Model with the switch set to each case. 2026E includes Dellner Couplers from 10-Feb-2026.</t>
        </is>
      </c>
      <c r="J3" s="173" t="inlineStr">
        <is>
          <t>As of:</t>
        </is>
      </c>
      <c r="K3" s="82">
        <f>TODAY()</f>
        <v/>
      </c>
    </row>
    <row r="5" ht="15" customHeight="1">
      <c r="B5" s="11" t="inlineStr">
        <is>
          <t>Scenario:</t>
        </is>
      </c>
      <c r="C5" s="83">
        <f>Model!$CF$2</f>
        <v/>
      </c>
      <c r="N5" s="84" t="inlineStr">
        <is>
          <t>Scenario:</t>
        </is>
      </c>
      <c r="O5" s="85" t="inlineStr">
        <is>
          <t>Bull</t>
        </is>
      </c>
      <c r="P5" s="4" t="inlineStr">
        <is>
          <t>Snapshot (values) — Model run with switch = Bull</t>
        </is>
      </c>
      <c r="Z5" s="84" t="inlineStr">
        <is>
          <t>Scenario:</t>
        </is>
      </c>
      <c r="AA5" s="85" t="inlineStr">
        <is>
          <t>Bear</t>
        </is>
      </c>
      <c r="AB5" s="4" t="inlineStr">
        <is>
          <t>Snapshot (values) — Model run with switch = Bear</t>
        </is>
      </c>
    </row>
    <row r="7" ht="32.1" customHeight="1">
      <c r="B7" s="86" t="inlineStr">
        <is>
          <t>(USDm, except EPS and shares)</t>
        </is>
      </c>
      <c r="C7" s="171" t="inlineStr">
        <is>
          <t>2025A</t>
        </is>
      </c>
      <c r="D7" s="171" t="inlineStr">
        <is>
          <t>2026E</t>
        </is>
      </c>
      <c r="E7" s="171" t="inlineStr">
        <is>
          <t>2027E</t>
        </is>
      </c>
      <c r="F7" s="171" t="inlineStr">
        <is>
          <t>2028E</t>
        </is>
      </c>
      <c r="G7" s="171" t="inlineStr">
        <is>
          <t>2029E</t>
        </is>
      </c>
      <c r="H7" s="171" t="inlineStr">
        <is>
          <t>2030E</t>
        </is>
      </c>
      <c r="I7" s="171" t="inlineStr">
        <is>
          <t>25-'30 CAGR</t>
        </is>
      </c>
      <c r="J7" s="172" t="inlineStr">
        <is>
          <t>LT Hist Avg</t>
        </is>
      </c>
      <c r="K7" s="172" t="inlineStr">
        <is>
          <t>LT Hist Min</t>
        </is>
      </c>
      <c r="L7" s="172" t="inlineStr">
        <is>
          <t>LT Hist Max</t>
        </is>
      </c>
      <c r="N7" s="86" t="inlineStr">
        <is>
          <t>(USDm, except EPS and shares)</t>
        </is>
      </c>
      <c r="O7" s="171" t="inlineStr">
        <is>
          <t>2025A</t>
        </is>
      </c>
      <c r="P7" s="171" t="inlineStr">
        <is>
          <t>2026E</t>
        </is>
      </c>
      <c r="Q7" s="171" t="inlineStr">
        <is>
          <t>2027E</t>
        </is>
      </c>
      <c r="R7" s="171" t="inlineStr">
        <is>
          <t>2028E</t>
        </is>
      </c>
      <c r="S7" s="171" t="inlineStr">
        <is>
          <t>2029E</t>
        </is>
      </c>
      <c r="T7" s="171" t="inlineStr">
        <is>
          <t>2030E</t>
        </is>
      </c>
      <c r="U7" s="171" t="inlineStr">
        <is>
          <t>25-'30 CAGR</t>
        </is>
      </c>
      <c r="V7" s="172" t="inlineStr">
        <is>
          <t>LT Hist Avg</t>
        </is>
      </c>
      <c r="W7" s="172" t="inlineStr">
        <is>
          <t>LT Hist Min</t>
        </is>
      </c>
      <c r="X7" s="172" t="inlineStr">
        <is>
          <t>LT Hist Max</t>
        </is>
      </c>
      <c r="Z7" s="86" t="inlineStr">
        <is>
          <t>(USDm, except EPS and shares)</t>
        </is>
      </c>
      <c r="AA7" s="171" t="inlineStr">
        <is>
          <t>2025A</t>
        </is>
      </c>
      <c r="AB7" s="171" t="inlineStr">
        <is>
          <t>2026E</t>
        </is>
      </c>
      <c r="AC7" s="171" t="inlineStr">
        <is>
          <t>2027E</t>
        </is>
      </c>
      <c r="AD7" s="171" t="inlineStr">
        <is>
          <t>2028E</t>
        </is>
      </c>
      <c r="AE7" s="171" t="inlineStr">
        <is>
          <t>2029E</t>
        </is>
      </c>
      <c r="AF7" s="171" t="inlineStr">
        <is>
          <t>2030E</t>
        </is>
      </c>
      <c r="AG7" s="171" t="inlineStr">
        <is>
          <t>25-'30 CAGR</t>
        </is>
      </c>
      <c r="AH7" s="172" t="inlineStr">
        <is>
          <t>LT Hist Avg</t>
        </is>
      </c>
      <c r="AI7" s="172" t="inlineStr">
        <is>
          <t>LT Hist Min</t>
        </is>
      </c>
      <c r="AJ7" s="172" t="inlineStr">
        <is>
          <t>LT Hist Max</t>
        </is>
      </c>
    </row>
    <row r="9" ht="15" customHeight="1">
      <c r="B9" s="87" t="inlineStr">
        <is>
          <t>Net Sales</t>
        </is>
      </c>
      <c r="C9" s="88">
        <f>Model!BV142</f>
        <v/>
      </c>
      <c r="D9" s="89">
        <f>Model!CA142</f>
        <v/>
      </c>
      <c r="E9" s="89">
        <f>Model!CB142</f>
        <v/>
      </c>
      <c r="F9" s="89">
        <f>Model!CC142</f>
        <v/>
      </c>
      <c r="G9" s="89">
        <f>Model!CD142</f>
        <v/>
      </c>
      <c r="H9" s="89">
        <f>Model!CE142</f>
        <v/>
      </c>
      <c r="I9" s="90">
        <f>IFERROR((H9/C9)^(1/5)-1,"n/m")</f>
        <v/>
      </c>
      <c r="N9" s="87" t="inlineStr">
        <is>
          <t>Net Sales</t>
        </is>
      </c>
      <c r="O9" s="88" t="n">
        <v>11167</v>
      </c>
      <c r="P9" s="89" t="n">
        <v>12600</v>
      </c>
      <c r="Q9" s="89" t="n">
        <v>13748.7645915102</v>
      </c>
      <c r="R9" s="89" t="n">
        <v>15168.395161555</v>
      </c>
      <c r="S9" s="89" t="n">
        <v>16620.5990414511</v>
      </c>
      <c r="T9" s="89" t="n">
        <v>18174.2907103631</v>
      </c>
      <c r="U9" s="90" t="n">
        <v>0.102311125943537</v>
      </c>
      <c r="Z9" s="87" t="inlineStr">
        <is>
          <t>Net Sales</t>
        </is>
      </c>
      <c r="AA9" s="88" t="n">
        <v>11167</v>
      </c>
      <c r="AB9" s="89" t="n">
        <v>12300</v>
      </c>
      <c r="AC9" s="89" t="n">
        <v>12634.6343036787</v>
      </c>
      <c r="AD9" s="89" t="n">
        <v>13012.0901063289</v>
      </c>
      <c r="AE9" s="89" t="n">
        <v>13340.5499807724</v>
      </c>
      <c r="AF9" s="89" t="n">
        <v>13681.2715067227</v>
      </c>
      <c r="AG9" s="90" t="n">
        <v>0.0414489563391254</v>
      </c>
    </row>
    <row r="10" ht="15" customHeight="1">
      <c r="B10" s="91" t="inlineStr">
        <is>
          <t xml:space="preserve">   Net sales y/y %</t>
        </is>
      </c>
      <c r="C10" s="92" t="n"/>
      <c r="D10" s="93">
        <f>IFERROR(D9/C9-1,"")</f>
        <v/>
      </c>
      <c r="E10" s="93">
        <f>IFERROR(E9/D9-1,"")</f>
        <v/>
      </c>
      <c r="F10" s="93">
        <f>IFERROR(F9/E9-1,"")</f>
        <v/>
      </c>
      <c r="G10" s="93">
        <f>IFERROR(G9/F9-1,"")</f>
        <v/>
      </c>
      <c r="H10" s="93">
        <f>IFERROR(H9/G9-1,"")</f>
        <v/>
      </c>
      <c r="N10" s="91" t="inlineStr">
        <is>
          <t xml:space="preserve">   Net sales y/y %</t>
        </is>
      </c>
      <c r="O10" s="92" t="n"/>
      <c r="P10" s="93" t="n">
        <v>0.128324527626041</v>
      </c>
      <c r="Q10" s="93" t="n">
        <v>0.09117179297700349</v>
      </c>
      <c r="R10" s="93" t="n">
        <v>0.103255136895818</v>
      </c>
      <c r="S10" s="93" t="n">
        <v>0.0957387953325981</v>
      </c>
      <c r="T10" s="93" t="n">
        <v>0.0934798839101509</v>
      </c>
      <c r="Z10" s="91" t="inlineStr">
        <is>
          <t xml:space="preserve">   Net sales y/y %</t>
        </is>
      </c>
      <c r="AA10" s="92" t="n"/>
      <c r="AB10" s="93" t="n">
        <v>0.101459657920659</v>
      </c>
      <c r="AC10" s="93" t="n">
        <v>0.0272060409494908</v>
      </c>
      <c r="AD10" s="93" t="n">
        <v>0.0298746915484718</v>
      </c>
      <c r="AE10" s="93" t="n">
        <v>0.025242668299978</v>
      </c>
      <c r="AF10" s="93" t="n">
        <v>0.0255402908007101</v>
      </c>
    </row>
    <row r="11" ht="15" customHeight="1">
      <c r="B11" s="87" t="inlineStr">
        <is>
          <t xml:space="preserve">   Organic sales growth %</t>
        </is>
      </c>
      <c r="C11" s="94">
        <f>Model!BV241</f>
        <v/>
      </c>
      <c r="D11" s="95">
        <f>Model!CA241</f>
        <v/>
      </c>
      <c r="E11" s="95">
        <f>Model!CB241</f>
        <v/>
      </c>
      <c r="F11" s="95">
        <f>Model!CC241</f>
        <v/>
      </c>
      <c r="G11" s="95">
        <f>Model!CD241</f>
        <v/>
      </c>
      <c r="H11" s="95">
        <f>Model!CE241</f>
        <v/>
      </c>
      <c r="N11" s="87" t="inlineStr">
        <is>
          <t xml:space="preserve">   Organic sales growth %</t>
        </is>
      </c>
      <c r="O11" s="94" t="n">
        <v>0.0446712236449408</v>
      </c>
      <c r="P11" s="95" t="n">
        <v>0.0599086594430017</v>
      </c>
      <c r="Q11" s="95" t="n">
        <v>0.0769994573760964</v>
      </c>
      <c r="R11" s="95" t="n">
        <v>0.0757201954069522</v>
      </c>
      <c r="S11" s="95" t="n">
        <v>0.0692834116211563</v>
      </c>
      <c r="T11" s="95" t="n">
        <v>0.0678873733103815</v>
      </c>
      <c r="Z11" s="87" t="inlineStr">
        <is>
          <t xml:space="preserve">   Organic sales growth %</t>
        </is>
      </c>
      <c r="AA11" s="94" t="n">
        <v>0.0446712236449408</v>
      </c>
      <c r="AB11" s="95" t="n">
        <v>0.0330437897376198</v>
      </c>
      <c r="AC11" s="95" t="n">
        <v>0.0243024404849147</v>
      </c>
      <c r="AD11" s="95" t="n">
        <v>0.0238820934332861</v>
      </c>
      <c r="AE11" s="95" t="n">
        <v>0.019074778114672</v>
      </c>
      <c r="AF11" s="95" t="n">
        <v>0.019163299480923</v>
      </c>
    </row>
    <row r="12" ht="15" customHeight="1">
      <c r="B12" s="87" t="inlineStr">
        <is>
          <t>Adjusted EBITDA</t>
        </is>
      </c>
      <c r="C12" s="88">
        <f>Model!BV194</f>
        <v/>
      </c>
      <c r="D12" s="89">
        <f>Model!CA194</f>
        <v/>
      </c>
      <c r="E12" s="89">
        <f>Model!CB194</f>
        <v/>
      </c>
      <c r="F12" s="89">
        <f>Model!CC194</f>
        <v/>
      </c>
      <c r="G12" s="89">
        <f>Model!CD194</f>
        <v/>
      </c>
      <c r="H12" s="89">
        <f>Model!CE194</f>
        <v/>
      </c>
      <c r="I12" s="90">
        <f>IFERROR((H12/C12)^(1/5)-1,"n/m")</f>
        <v/>
      </c>
      <c r="N12" s="87" t="inlineStr">
        <is>
          <t>Adjusted EBITDA</t>
        </is>
      </c>
      <c r="O12" s="88" t="n">
        <v>2464</v>
      </c>
      <c r="P12" s="89" t="n">
        <v>2944.22712578336</v>
      </c>
      <c r="Q12" s="89" t="n">
        <v>3437.34063904152</v>
      </c>
      <c r="R12" s="89" t="n">
        <v>3854.9365156355</v>
      </c>
      <c r="S12" s="89" t="n">
        <v>4290.57947382963</v>
      </c>
      <c r="T12" s="89" t="n">
        <v>4762.76536046714</v>
      </c>
      <c r="U12" s="90" t="n">
        <v>0.140889797858064</v>
      </c>
      <c r="Z12" s="87" t="inlineStr">
        <is>
          <t>Adjusted EBITDA</t>
        </is>
      </c>
      <c r="AA12" s="88" t="n">
        <v>2464</v>
      </c>
      <c r="AB12" s="89" t="n">
        <v>2875.72144771981</v>
      </c>
      <c r="AC12" s="89" t="n">
        <v>2846.32961301585</v>
      </c>
      <c r="AD12" s="89" t="n">
        <v>2994.67297845437</v>
      </c>
      <c r="AE12" s="89" t="n">
        <v>3134.33553820736</v>
      </c>
      <c r="AF12" s="89" t="n">
        <v>3279.32890701514</v>
      </c>
      <c r="AG12" s="90" t="n">
        <v>0.0588363804460721</v>
      </c>
    </row>
    <row r="13" ht="15" customHeight="1">
      <c r="B13" s="91" t="inlineStr">
        <is>
          <t xml:space="preserve">   Adjusted EBITDA margin %</t>
        </is>
      </c>
      <c r="C13" s="96">
        <f>IFERROR(C12/C9,"")</f>
        <v/>
      </c>
      <c r="D13" s="97">
        <f>IFERROR(D12/D9,"")</f>
        <v/>
      </c>
      <c r="E13" s="97">
        <f>IFERROR(E12/E9,"")</f>
        <v/>
      </c>
      <c r="F13" s="97">
        <f>IFERROR(F12/F9,"")</f>
        <v/>
      </c>
      <c r="G13" s="97">
        <f>IFERROR(G12/G9,"")</f>
        <v/>
      </c>
      <c r="H13" s="97">
        <f>IFERROR(H12/H9,"")</f>
        <v/>
      </c>
      <c r="J13" s="98">
        <f>IFERROR(AVERAGE(Model!C195,Model!D195,Model!E195,Model!F195,Model!G195,Model!H195,Model!I195,Model!N195,Model!S195,Model!X195,Model!AC195,Model!AH195,Model!AM195,Model!AR195,Model!AW195,Model!BB195,Model!BG195,Model!BL195,Model!BQ195,Model!BV195),"")</f>
        <v/>
      </c>
      <c r="K13" s="98">
        <f>IFERROR(MIN(Model!C195,Model!D195,Model!E195,Model!F195,Model!G195,Model!H195,Model!I195,Model!N195,Model!S195,Model!X195,Model!AC195,Model!AH195,Model!AM195,Model!AR195,Model!AW195,Model!BB195,Model!BG195,Model!BL195,Model!BQ195,Model!BV195),"")</f>
        <v/>
      </c>
      <c r="L13" s="98">
        <f>IFERROR(MAX(Model!C195,Model!D195,Model!E195,Model!F195,Model!G195,Model!H195,Model!I195,Model!N195,Model!S195,Model!X195,Model!AC195,Model!AH195,Model!AM195,Model!AR195,Model!AW195,Model!BB195,Model!BG195,Model!BL195,Model!BQ195,Model!BV195),"")</f>
        <v/>
      </c>
      <c r="N13" s="91" t="inlineStr">
        <is>
          <t xml:space="preserve">   Adjusted EBITDA margin %</t>
        </is>
      </c>
      <c r="O13" s="96" t="n">
        <v>0.22065012984687</v>
      </c>
      <c r="P13" s="97" t="n">
        <v>0.233668819506616</v>
      </c>
      <c r="Q13" s="97" t="n">
        <v>0.250010873061573</v>
      </c>
      <c r="R13" s="97" t="n">
        <v>0.25414267459263</v>
      </c>
      <c r="S13" s="97" t="n">
        <v>0.258148305192196</v>
      </c>
      <c r="T13" s="97" t="n">
        <v>0.262060590774603</v>
      </c>
      <c r="V13" s="98" t="n">
        <v>0.194469723156368</v>
      </c>
      <c r="W13" s="98" t="n">
        <v>0.176929897698548</v>
      </c>
      <c r="X13" s="98" t="n">
        <v>0.22065012984687</v>
      </c>
      <c r="Z13" s="91" t="inlineStr">
        <is>
          <t xml:space="preserve">   Adjusted EBITDA margin %</t>
        </is>
      </c>
      <c r="AA13" s="96" t="n">
        <v>0.22065012984687</v>
      </c>
      <c r="AB13" s="97" t="n">
        <v>0.233798491684538</v>
      </c>
      <c r="AC13" s="97" t="n">
        <v>0.225279936451117</v>
      </c>
      <c r="AD13" s="97" t="n">
        <v>0.23014542275555</v>
      </c>
      <c r="AE13" s="97" t="n">
        <v>0.234948000099311</v>
      </c>
      <c r="AF13" s="97" t="n">
        <v>0.239694746603322</v>
      </c>
      <c r="AH13" s="98" t="n">
        <v>0.194469723156368</v>
      </c>
      <c r="AI13" s="98" t="n">
        <v>0.176929897698548</v>
      </c>
      <c r="AJ13" s="98" t="n">
        <v>0.22065012984687</v>
      </c>
    </row>
    <row r="15" ht="15" customHeight="1">
      <c r="B15" s="87" t="inlineStr">
        <is>
          <t>Income from Operations (GAAP)</t>
        </is>
      </c>
      <c r="C15" s="88">
        <f>Model!BV150</f>
        <v/>
      </c>
      <c r="D15" s="89">
        <f>Model!CA150</f>
        <v/>
      </c>
      <c r="E15" s="89">
        <f>Model!CB150</f>
        <v/>
      </c>
      <c r="F15" s="89">
        <f>Model!CC150</f>
        <v/>
      </c>
      <c r="G15" s="89">
        <f>Model!CD150</f>
        <v/>
      </c>
      <c r="H15" s="89">
        <f>Model!CE150</f>
        <v/>
      </c>
      <c r="I15" s="90">
        <f>IFERROR((H15/C15)^(1/5)-1,"n/m")</f>
        <v/>
      </c>
      <c r="N15" s="87" t="inlineStr">
        <is>
          <t>Income from Operations (GAAP)</t>
        </is>
      </c>
      <c r="O15" s="88" t="n">
        <v>1793</v>
      </c>
      <c r="P15" s="89" t="n">
        <v>2296.5912961211</v>
      </c>
      <c r="Q15" s="89" t="n">
        <v>2809.90268994826</v>
      </c>
      <c r="R15" s="89" t="n">
        <v>3176.90799546985</v>
      </c>
      <c r="S15" s="89" t="n">
        <v>3561.42292297902</v>
      </c>
      <c r="T15" s="89" t="n">
        <v>3991.80623041282</v>
      </c>
      <c r="U15" s="90" t="n">
        <v>0.173593870054223</v>
      </c>
      <c r="Z15" s="87" t="inlineStr">
        <is>
          <t>Income from Operations (GAAP)</t>
        </is>
      </c>
      <c r="AA15" s="88" t="n">
        <v>1793</v>
      </c>
      <c r="AB15" s="89" t="n">
        <v>2233.02932828761</v>
      </c>
      <c r="AC15" s="89" t="n">
        <v>2248.94148033848</v>
      </c>
      <c r="AD15" s="89" t="n">
        <v>2387.22349169994</v>
      </c>
      <c r="AE15" s="89" t="n">
        <v>2517.63313019129</v>
      </c>
      <c r="AF15" s="89" t="n">
        <v>2664.17126048755</v>
      </c>
      <c r="AG15" s="90" t="n">
        <v>0.0824214000359353</v>
      </c>
    </row>
    <row r="16" ht="15" customHeight="1">
      <c r="B16" s="91" t="inlineStr">
        <is>
          <t xml:space="preserve">   Income from operations y/y %</t>
        </is>
      </c>
      <c r="C16" s="92" t="n"/>
      <c r="D16" s="93">
        <f>IFERROR(D15/C15-1,"")</f>
        <v/>
      </c>
      <c r="E16" s="93">
        <f>IFERROR(E15/D15-1,"")</f>
        <v/>
      </c>
      <c r="F16" s="93">
        <f>IFERROR(F15/E15-1,"")</f>
        <v/>
      </c>
      <c r="G16" s="93">
        <f>IFERROR(G15/F15-1,"")</f>
        <v/>
      </c>
      <c r="H16" s="93">
        <f>IFERROR(H15/G15-1,"")</f>
        <v/>
      </c>
      <c r="N16" s="91" t="inlineStr">
        <is>
          <t xml:space="preserve">   Income from operations y/y %</t>
        </is>
      </c>
      <c r="O16" s="92" t="n"/>
      <c r="P16" s="93" t="n">
        <v>0.280865195828833</v>
      </c>
      <c r="Q16" s="93" t="n">
        <v>0.22351011897247</v>
      </c>
      <c r="R16" s="93" t="n">
        <v>0.130611393353391</v>
      </c>
      <c r="S16" s="93" t="n">
        <v>0.12103432899457</v>
      </c>
      <c r="T16" s="93" t="n">
        <v>0.120845885687115</v>
      </c>
      <c r="Z16" s="91" t="inlineStr">
        <is>
          <t xml:space="preserve">   Income from operations y/y %</t>
        </is>
      </c>
      <c r="AA16" s="92" t="n"/>
      <c r="AB16" s="93" t="n">
        <v>0.24541513011021</v>
      </c>
      <c r="AC16" s="93" t="n">
        <v>0.00712581417955627</v>
      </c>
      <c r="AD16" s="93" t="n">
        <v>0.061487598752745</v>
      </c>
      <c r="AE16" s="93" t="n">
        <v>0.0546281648721885</v>
      </c>
      <c r="AF16" s="93" t="n">
        <v>0.0582047195594111</v>
      </c>
    </row>
    <row r="17" ht="15" customHeight="1">
      <c r="B17" s="91" t="inlineStr">
        <is>
          <t xml:space="preserve">   Operating margin (GAAP) %</t>
        </is>
      </c>
      <c r="C17" s="96">
        <f>IFERROR(C15/C9,"")</f>
        <v/>
      </c>
      <c r="D17" s="97">
        <f>IFERROR(D15/D9,"")</f>
        <v/>
      </c>
      <c r="E17" s="97">
        <f>IFERROR(E15/E9,"")</f>
        <v/>
      </c>
      <c r="F17" s="97">
        <f>IFERROR(F15/F9,"")</f>
        <v/>
      </c>
      <c r="G17" s="97">
        <f>IFERROR(G15/G9,"")</f>
        <v/>
      </c>
      <c r="H17" s="97">
        <f>IFERROR(H15/H9,"")</f>
        <v/>
      </c>
      <c r="J17" s="98">
        <f>IFERROR(AVERAGE(Model!C253,Model!D253,Model!E253,Model!F253,Model!G253,Model!H253,Model!I253,Model!N253,Model!S253,Model!X253,Model!AC253,Model!AH253,Model!AM253,Model!AR253,Model!AW253,Model!BB253,Model!BG253,Model!BL253,Model!BQ253,Model!BV253),"")</f>
        <v/>
      </c>
      <c r="K17" s="98">
        <f>IFERROR(MIN(Model!C253,Model!D253,Model!E253,Model!F253,Model!G253,Model!H253,Model!I253,Model!N253,Model!S253,Model!X253,Model!AC253,Model!AH253,Model!AM253,Model!AR253,Model!AW253,Model!BB253,Model!BG253,Model!BL253,Model!BQ253,Model!BV253),"")</f>
        <v/>
      </c>
      <c r="L17" s="98">
        <f>IFERROR(MAX(Model!C253,Model!D253,Model!E253,Model!F253,Model!G253,Model!H253,Model!I253,Model!N253,Model!S253,Model!X253,Model!AC253,Model!AH253,Model!AM253,Model!AR253,Model!AW253,Model!BB253,Model!BG253,Model!BL253,Model!BQ253,Model!BV253),"")</f>
        <v/>
      </c>
      <c r="N17" s="91" t="inlineStr">
        <is>
          <t xml:space="preserve">   Operating margin (GAAP) %</t>
        </is>
      </c>
      <c r="O17" s="96" t="n">
        <v>0.160562371272499</v>
      </c>
      <c r="P17" s="97" t="n">
        <v>0.182269150485801</v>
      </c>
      <c r="Q17" s="97" t="n">
        <v>0.204374921924502</v>
      </c>
      <c r="R17" s="97" t="n">
        <v>0.209442591759599</v>
      </c>
      <c r="S17" s="97" t="n">
        <v>0.214277651130202</v>
      </c>
      <c r="T17" s="97" t="n">
        <v>0.219640276147705</v>
      </c>
      <c r="V17" s="98" t="n">
        <v>0.135510845871538</v>
      </c>
      <c r="W17" s="98" t="n">
        <v>0.0808658536585366</v>
      </c>
      <c r="X17" s="98" t="n">
        <v>0.183645707376058</v>
      </c>
      <c r="Z17" s="91" t="inlineStr">
        <is>
          <t xml:space="preserve">   Operating margin (GAAP) %</t>
        </is>
      </c>
      <c r="AA17" s="96" t="n">
        <v>0.160562371272499</v>
      </c>
      <c r="AB17" s="97" t="n">
        <v>0.181547099860781</v>
      </c>
      <c r="AC17" s="97" t="n">
        <v>0.177998145912595</v>
      </c>
      <c r="AD17" s="97" t="n">
        <v>0.183461955165745</v>
      </c>
      <c r="AE17" s="97" t="n">
        <v>0.188720340152387</v>
      </c>
      <c r="AF17" s="97" t="n">
        <v>0.194731261577437</v>
      </c>
      <c r="AH17" s="98" t="n">
        <v>0.135510845871538</v>
      </c>
      <c r="AI17" s="98" t="n">
        <v>0.0808658536585366</v>
      </c>
      <c r="AJ17" s="98" t="n">
        <v>0.183645707376058</v>
      </c>
    </row>
    <row r="19" ht="15" customHeight="1">
      <c r="B19" s="87" t="inlineStr">
        <is>
          <t>Adjusted Net Income (attributable to Wabtec)</t>
        </is>
      </c>
      <c r="C19" s="88">
        <f>Model!BV229</f>
        <v/>
      </c>
      <c r="D19" s="89">
        <f>Model!CA229</f>
        <v/>
      </c>
      <c r="E19" s="89">
        <f>Model!CB229</f>
        <v/>
      </c>
      <c r="F19" s="89">
        <f>Model!CC229</f>
        <v/>
      </c>
      <c r="G19" s="89">
        <f>Model!CD229</f>
        <v/>
      </c>
      <c r="H19" s="89">
        <f>Model!CE229</f>
        <v/>
      </c>
      <c r="I19" s="90">
        <f>IFERROR((H19/C19)^(1/5)-1,"n/m")</f>
        <v/>
      </c>
      <c r="N19" s="87" t="inlineStr">
        <is>
          <t>Adjusted Net Income (attributable to Wabtec)</t>
        </is>
      </c>
      <c r="O19" s="88" t="n">
        <v>1537</v>
      </c>
      <c r="P19" s="89" t="n">
        <v>1846.77142857143</v>
      </c>
      <c r="Q19" s="89" t="n">
        <v>2226.54796867485</v>
      </c>
      <c r="R19" s="89" t="n">
        <v>2488.28815720972</v>
      </c>
      <c r="S19" s="89" t="n">
        <v>2765.92424597474</v>
      </c>
      <c r="T19" s="89" t="n">
        <v>3072.99036478746</v>
      </c>
      <c r="U19" s="90" t="n">
        <v>0.148622888588129</v>
      </c>
      <c r="Z19" s="87" t="inlineStr">
        <is>
          <t>Adjusted Net Income (attributable to Wabtec)</t>
        </is>
      </c>
      <c r="AA19" s="88" t="n">
        <v>1537</v>
      </c>
      <c r="AB19" s="89" t="n">
        <v>1798.78214285714</v>
      </c>
      <c r="AC19" s="89" t="n">
        <v>1801.41285493767</v>
      </c>
      <c r="AD19" s="89" t="n">
        <v>1923.18789478778</v>
      </c>
      <c r="AE19" s="89" t="n">
        <v>2013.38652749276</v>
      </c>
      <c r="AF19" s="89" t="n">
        <v>2111.79843671777</v>
      </c>
      <c r="AG19" s="90" t="n">
        <v>0.06560369882188689</v>
      </c>
    </row>
    <row r="21" ht="15" customHeight="1">
      <c r="B21" s="87" t="inlineStr">
        <is>
          <t>FDSO (m)</t>
        </is>
      </c>
      <c r="C21" s="99">
        <f>Model!BV168</f>
        <v/>
      </c>
      <c r="D21" s="100">
        <f>Model!CA168</f>
        <v/>
      </c>
      <c r="E21" s="100">
        <f>Model!CB168</f>
        <v/>
      </c>
      <c r="F21" s="100">
        <f>Model!CC168</f>
        <v/>
      </c>
      <c r="G21" s="100">
        <f>Model!CD168</f>
        <v/>
      </c>
      <c r="H21" s="100">
        <f>Model!CE168</f>
        <v/>
      </c>
      <c r="I21" s="90">
        <f>IFERROR((H21/C21)^(1/5)-1,"n/m")</f>
        <v/>
      </c>
      <c r="N21" s="87" t="inlineStr">
        <is>
          <t>FDSO (m)</t>
        </is>
      </c>
      <c r="O21" s="99" t="n">
        <v>171.1</v>
      </c>
      <c r="P21" s="100" t="n">
        <v>169.428571428571</v>
      </c>
      <c r="Q21" s="100" t="n">
        <v>165.741536075945</v>
      </c>
      <c r="R21" s="100" t="n">
        <v>161.197696103665</v>
      </c>
      <c r="S21" s="100" t="n">
        <v>156.584831242912</v>
      </c>
      <c r="T21" s="100" t="n">
        <v>151.409983911927</v>
      </c>
      <c r="U21" s="90" t="n">
        <v>-0.0241548662801913</v>
      </c>
      <c r="Z21" s="87" t="inlineStr">
        <is>
          <t>FDSO (m)</t>
        </is>
      </c>
      <c r="AA21" s="99" t="n">
        <v>171.1</v>
      </c>
      <c r="AB21" s="100" t="n">
        <v>169.696428571429</v>
      </c>
      <c r="AC21" s="100" t="n">
        <v>169.383890398799</v>
      </c>
      <c r="AD21" s="100" t="n">
        <v>167.390551012208</v>
      </c>
      <c r="AE21" s="100" t="n">
        <v>163.074745487579</v>
      </c>
      <c r="AF21" s="100" t="n">
        <v>158.879400997284</v>
      </c>
      <c r="AG21" s="90" t="n">
        <v>-0.0147112663480297</v>
      </c>
    </row>
    <row r="23" ht="15" customHeight="1">
      <c r="B23" s="87" t="inlineStr">
        <is>
          <t>Adjusted EPS — Diluted ($)</t>
        </is>
      </c>
      <c r="C23" s="101">
        <f>Model!BV232</f>
        <v/>
      </c>
      <c r="D23" s="102">
        <f>Model!CA232</f>
        <v/>
      </c>
      <c r="E23" s="102">
        <f>Model!CB232</f>
        <v/>
      </c>
      <c r="F23" s="102">
        <f>Model!CC232</f>
        <v/>
      </c>
      <c r="G23" s="102">
        <f>Model!CD232</f>
        <v/>
      </c>
      <c r="H23" s="102">
        <f>Model!CE232</f>
        <v/>
      </c>
      <c r="I23" s="90">
        <f>IFERROR((H23/C23)^(1/5)-1,"n/m")</f>
        <v/>
      </c>
      <c r="N23" s="87" t="inlineStr">
        <is>
          <t>Adjusted EPS — Diluted ($)</t>
        </is>
      </c>
      <c r="O23" s="101" t="n">
        <v>8.98305084745763</v>
      </c>
      <c r="P23" s="102" t="n">
        <v>10.9</v>
      </c>
      <c r="Q23" s="102" t="n">
        <v>13.4338562402041</v>
      </c>
      <c r="R23" s="102" t="n">
        <v>15.4362513693094</v>
      </c>
      <c r="S23" s="102" t="n">
        <v>17.6640625022224</v>
      </c>
      <c r="T23" s="102" t="n">
        <v>20.2958238643957</v>
      </c>
      <c r="U23" s="90" t="n">
        <v>0.177054482210421</v>
      </c>
      <c r="Z23" s="87" t="inlineStr">
        <is>
          <t>Adjusted EPS — Diluted ($)</t>
        </is>
      </c>
      <c r="AA23" s="101" t="n">
        <v>8.98305084745763</v>
      </c>
      <c r="AB23" s="102" t="n">
        <v>10.6</v>
      </c>
      <c r="AC23" s="102" t="n">
        <v>10.6350896221382</v>
      </c>
      <c r="AD23" s="102" t="n">
        <v>11.4892261430427</v>
      </c>
      <c r="AE23" s="102" t="n">
        <v>12.3464030035608</v>
      </c>
      <c r="AF23" s="102" t="n">
        <v>13.2918328207561</v>
      </c>
      <c r="AG23" s="90" t="n">
        <v>0.0815141414154095</v>
      </c>
    </row>
    <row r="24" ht="15" customHeight="1">
      <c r="B24" s="91" t="inlineStr">
        <is>
          <t xml:space="preserve">   EPS y/y %</t>
        </is>
      </c>
      <c r="C24" s="92" t="n"/>
      <c r="D24" s="93">
        <f>IFERROR(D23/C23-1,"")</f>
        <v/>
      </c>
      <c r="E24" s="93">
        <f>IFERROR(E23/D23-1,"")</f>
        <v/>
      </c>
      <c r="F24" s="93">
        <f>IFERROR(F23/E23-1,"")</f>
        <v/>
      </c>
      <c r="G24" s="93">
        <f>IFERROR(G23/F23-1,"")</f>
        <v/>
      </c>
      <c r="H24" s="93">
        <f>IFERROR(H23/G23-1,"")</f>
        <v/>
      </c>
      <c r="N24" s="91" t="inlineStr">
        <is>
          <t xml:space="preserve">   EPS y/y %</t>
        </is>
      </c>
      <c r="O24" s="92" t="n"/>
      <c r="P24" s="93" t="n">
        <v>0.213396226415094</v>
      </c>
      <c r="Q24" s="93" t="n">
        <v>0.232463875248083</v>
      </c>
      <c r="R24" s="93" t="n">
        <v>0.149055869982634</v>
      </c>
      <c r="S24" s="93" t="n">
        <v>0.144323325632178</v>
      </c>
      <c r="T24" s="93" t="n">
        <v>0.148989586163558</v>
      </c>
      <c r="Z24" s="91" t="inlineStr">
        <is>
          <t xml:space="preserve">   EPS y/y %</t>
        </is>
      </c>
      <c r="AA24" s="92" t="n"/>
      <c r="AB24" s="93" t="n">
        <v>0.18</v>
      </c>
      <c r="AC24" s="93" t="n">
        <v>0.00331034171115263</v>
      </c>
      <c r="AD24" s="93" t="n">
        <v>0.0803130534157883</v>
      </c>
      <c r="AE24" s="93" t="n">
        <v>0.07460701441908579</v>
      </c>
      <c r="AF24" s="93" t="n">
        <v>0.07657532456397111</v>
      </c>
    </row>
    <row r="26" ht="15" customHeight="1">
      <c r="B26" s="91" t="inlineStr">
        <is>
          <t>P / E (x) — assumed (adjusted EPS)</t>
        </is>
      </c>
      <c r="C26" s="103" t="n"/>
      <c r="D26" s="103" t="n"/>
      <c r="E26" s="103" t="n"/>
      <c r="F26" s="103" t="n"/>
      <c r="G26" s="103" t="n">
        <v>23</v>
      </c>
      <c r="H26" s="103" t="n">
        <v>23</v>
      </c>
      <c r="N26" s="91" t="inlineStr">
        <is>
          <t>P / E (x) — assumed (adjusted EPS)</t>
        </is>
      </c>
      <c r="O26" s="103" t="n"/>
      <c r="P26" s="103" t="n"/>
      <c r="Q26" s="103" t="n"/>
      <c r="R26" s="103" t="n"/>
      <c r="S26" s="103" t="n">
        <v>27</v>
      </c>
      <c r="T26" s="103" t="n">
        <v>27</v>
      </c>
      <c r="Z26" s="91" t="inlineStr">
        <is>
          <t>P / E (x) — assumed (adjusted EPS)</t>
        </is>
      </c>
      <c r="AA26" s="103" t="n"/>
      <c r="AB26" s="103" t="n"/>
      <c r="AC26" s="103" t="n"/>
      <c r="AD26" s="103" t="n">
        <v>18</v>
      </c>
      <c r="AE26" s="103" t="n">
        <v>18</v>
      </c>
      <c r="AF26" s="103" t="n">
        <v>18</v>
      </c>
    </row>
    <row r="27" ht="15" customHeight="1">
      <c r="B27" s="11" t="inlineStr">
        <is>
          <t>Price Target ($)</t>
        </is>
      </c>
      <c r="C27" s="104" t="n"/>
      <c r="D27" s="104" t="n"/>
      <c r="E27" s="104" t="n"/>
      <c r="F27" s="104" t="n"/>
      <c r="G27" s="104">
        <f>G26*G23</f>
        <v/>
      </c>
      <c r="H27" s="104">
        <f>H26*H23</f>
        <v/>
      </c>
      <c r="N27" s="11" t="inlineStr">
        <is>
          <t>Price Target ($)</t>
        </is>
      </c>
      <c r="O27" s="104" t="n"/>
      <c r="P27" s="104" t="n"/>
      <c r="Q27" s="104" t="n"/>
      <c r="R27" s="104" t="n"/>
      <c r="S27" s="104">
        <f>S26*S23</f>
        <v/>
      </c>
      <c r="T27" s="104">
        <f>T26*T23</f>
        <v/>
      </c>
      <c r="Z27" s="11" t="inlineStr">
        <is>
          <t>Price Target ($)</t>
        </is>
      </c>
      <c r="AA27" s="104" t="n"/>
      <c r="AB27" s="104" t="n"/>
      <c r="AC27" s="104" t="n"/>
      <c r="AD27" s="104">
        <f>AD26*AD23</f>
        <v/>
      </c>
      <c r="AE27" s="104">
        <f>AE26*AE23</f>
        <v/>
      </c>
      <c r="AF27" s="104">
        <f>AF26*AF23</f>
        <v/>
      </c>
    </row>
    <row r="28" ht="15" customHeight="1">
      <c r="B28" t="inlineStr">
        <is>
          <t xml:space="preserve">   Upside / (Downside) vs current</t>
        </is>
      </c>
      <c r="E28" s="105" t="n"/>
      <c r="F28" s="105" t="n"/>
      <c r="G28" s="105">
        <f>IFERROR(G27/$K$2-1,"")</f>
        <v/>
      </c>
      <c r="H28" s="105">
        <f>IFERROR(H27/$K$2-1,"")</f>
        <v/>
      </c>
      <c r="N28" t="inlineStr">
        <is>
          <t xml:space="preserve">   Upside / (Downside) vs current</t>
        </is>
      </c>
      <c r="O28" s="105" t="n"/>
      <c r="P28" s="105" t="n"/>
      <c r="Q28" s="105" t="n"/>
      <c r="R28" s="105" t="n"/>
      <c r="S28" s="105">
        <f>IFERROR(S27/$K$2-1,"")</f>
        <v/>
      </c>
      <c r="T28" s="105">
        <f>IFERROR(T27/$K$2-1,"")</f>
        <v/>
      </c>
      <c r="Z28" t="inlineStr">
        <is>
          <t xml:space="preserve">   Upside / (Downside) vs current</t>
        </is>
      </c>
      <c r="AA28" s="105" t="n"/>
      <c r="AB28" s="105" t="n"/>
      <c r="AC28" s="105" t="n"/>
      <c r="AD28" s="105">
        <f>IFERROR(AD27/$K$2-1,"")</f>
        <v/>
      </c>
      <c r="AE28" s="105">
        <f>IFERROR(AE27/$K$2-1,"")</f>
        <v/>
      </c>
      <c r="AF28" s="105">
        <f>IFERROR(AF27/$K$2-1,"")</f>
        <v/>
      </c>
    </row>
    <row r="29" ht="15" customHeight="1">
      <c r="B29" s="83" t="inlineStr">
        <is>
          <t>IRR (to Dec-Y-1)</t>
        </is>
      </c>
      <c r="C29" s="106" t="n"/>
      <c r="D29" s="106" t="n"/>
      <c r="E29" s="106" t="n"/>
      <c r="F29" s="106" t="n"/>
      <c r="G29" s="106">
        <f>IFERROR((G27/$K$2)^(1/((DATE(2029-1,12,31)-$K$3)/365.25))-1,"")</f>
        <v/>
      </c>
      <c r="H29" s="106">
        <f>IFERROR((H27/$K$2)^(1/((DATE(2030-1,12,31)-$K$3)/365.25))-1,"")</f>
        <v/>
      </c>
      <c r="N29" s="83" t="inlineStr">
        <is>
          <t>IRR (to Dec-Y-1)</t>
        </is>
      </c>
      <c r="O29" s="106" t="n"/>
      <c r="P29" s="106" t="n"/>
      <c r="Q29" s="106" t="n"/>
      <c r="R29" s="106" t="n"/>
      <c r="S29" s="106">
        <f>IFERROR((S27/$K$2)^(1/((DATE(2029-1,12,31)-$K$3)/365.25))-1,"")</f>
        <v/>
      </c>
      <c r="T29" s="106">
        <f>IFERROR((T27/$K$2)^(1/((DATE(2030-1,12,31)-$K$3)/365.25))-1,"")</f>
        <v/>
      </c>
      <c r="Z29" s="83" t="inlineStr">
        <is>
          <t>IRR (to Dec-Y-1)</t>
        </is>
      </c>
      <c r="AA29" s="106" t="n"/>
      <c r="AB29" s="106" t="n"/>
      <c r="AC29" s="106" t="n"/>
      <c r="AD29" s="106">
        <f>IFERROR((AD27/$K$2)^(1/((DATE(2028-1,12,31)-$K$3)/365.25))-1,"")</f>
        <v/>
      </c>
      <c r="AE29" s="106">
        <f>IFERROR((AE27/$K$2)^(1/((DATE(2029-1,12,31)-$K$3)/365.25))-1,"")</f>
        <v/>
      </c>
      <c r="AF29" s="106">
        <f>IFERROR((AF27/$K$2)^(1/((DATE(2030-1,12,31)-$K$3)/365.25))-1,"")</f>
        <v/>
      </c>
    </row>
    <row r="31" ht="15" customHeight="1">
      <c r="B31" s="87" t="inlineStr">
        <is>
          <t>Free Cash Flow</t>
        </is>
      </c>
      <c r="C31" s="88">
        <f>Model!BV285</f>
        <v/>
      </c>
      <c r="D31" s="89">
        <f>Model!CA285</f>
        <v/>
      </c>
      <c r="E31" s="89">
        <f>Model!CB285</f>
        <v/>
      </c>
      <c r="F31" s="89">
        <f>Model!CC285</f>
        <v/>
      </c>
      <c r="G31" s="89">
        <f>Model!CD285</f>
        <v/>
      </c>
      <c r="H31" s="89">
        <f>Model!CE285</f>
        <v/>
      </c>
      <c r="I31" s="90">
        <f>IFERROR((H31/C31)^(1/5)-1,"n/m")</f>
        <v/>
      </c>
      <c r="N31" s="87" t="inlineStr">
        <is>
          <t>Free Cash Flow</t>
        </is>
      </c>
      <c r="O31" s="88" t="n">
        <v>1499</v>
      </c>
      <c r="P31" s="89" t="n">
        <v>1954.45843879193</v>
      </c>
      <c r="Q31" s="89" t="n">
        <v>2191.63929475066</v>
      </c>
      <c r="R31" s="89" t="n">
        <v>2396.71164250035</v>
      </c>
      <c r="S31" s="89" t="n">
        <v>2684.54485873033</v>
      </c>
      <c r="T31" s="89" t="n">
        <v>2989.6766327393</v>
      </c>
      <c r="U31" s="90" t="n">
        <v>0.148059817722099</v>
      </c>
      <c r="Z31" s="87" t="inlineStr">
        <is>
          <t>Free Cash Flow</t>
        </is>
      </c>
      <c r="AA31" s="88" t="n">
        <v>1499</v>
      </c>
      <c r="AB31" s="89" t="n">
        <v>1944.25361439396</v>
      </c>
      <c r="AC31" s="89" t="n">
        <v>1820.59965380433</v>
      </c>
      <c r="AD31" s="89" t="n">
        <v>1964.83517597458</v>
      </c>
      <c r="AE31" s="89" t="n">
        <v>2065.29287859815</v>
      </c>
      <c r="AF31" s="89" t="n">
        <v>2162.09081638994</v>
      </c>
      <c r="AG31" s="90" t="n">
        <v>0.0760054222460496</v>
      </c>
    </row>
    <row r="32" ht="15" customHeight="1">
      <c r="B32" s="91" t="inlineStr">
        <is>
          <t xml:space="preserve">   FCF %</t>
        </is>
      </c>
      <c r="C32" s="96">
        <f>IFERROR(C31/C9,"")</f>
        <v/>
      </c>
      <c r="D32" s="97">
        <f>IFERROR(D31/D9,"")</f>
        <v/>
      </c>
      <c r="E32" s="97">
        <f>IFERROR(E31/E9,"")</f>
        <v/>
      </c>
      <c r="F32" s="97">
        <f>IFERROR(F31/F9,"")</f>
        <v/>
      </c>
      <c r="G32" s="97">
        <f>IFERROR(G31/G9,"")</f>
        <v/>
      </c>
      <c r="H32" s="97">
        <f>IFERROR(H31/H9,"")</f>
        <v/>
      </c>
      <c r="J32" s="98">
        <f>IFERROR(AVERAGE(Model!C287,Model!D287,Model!E287,Model!F287,Model!G287,Model!H287,Model!I287,Model!N287,Model!S287,Model!X287,Model!AC287,Model!AH287,Model!AM287,Model!AR287,Model!AW287,Model!BB287,Model!BG287,Model!BL287,Model!BQ287,Model!BV287),"")</f>
        <v/>
      </c>
      <c r="K32" s="98">
        <f>IFERROR(MIN(Model!C287,Model!D287,Model!E287,Model!F287,Model!G287,Model!H287,Model!I287,Model!N287,Model!S287,Model!X287,Model!AC287,Model!AH287,Model!AM287,Model!AR287,Model!AW287,Model!BB287,Model!BG287,Model!BL287,Model!BQ287,Model!BV287),"")</f>
        <v/>
      </c>
      <c r="L32" s="98">
        <f>IFERROR(MAX(Model!C287,Model!D287,Model!E287,Model!F287,Model!G287,Model!H287,Model!I287,Model!N287,Model!S287,Model!X287,Model!AC287,Model!AH287,Model!AM287,Model!AR287,Model!AW287,Model!BB287,Model!BG287,Model!BL287,Model!BQ287,Model!BV287),"")</f>
        <v/>
      </c>
      <c r="N32" s="91" t="inlineStr">
        <is>
          <t xml:space="preserve">   FCF %</t>
        </is>
      </c>
      <c r="O32" s="96" t="n">
        <v>0.134234798961225</v>
      </c>
      <c r="P32" s="97" t="n">
        <v>0.155115749110471</v>
      </c>
      <c r="Q32" s="97" t="n">
        <v>0.159406271026269</v>
      </c>
      <c r="R32" s="97" t="n">
        <v>0.158006935933138</v>
      </c>
      <c r="S32" s="97" t="n">
        <v>0.161519139715433</v>
      </c>
      <c r="T32" s="97" t="n">
        <v>0.164500319731023</v>
      </c>
      <c r="V32" s="98" t="n">
        <v>0.102588463700031</v>
      </c>
      <c r="W32" s="98" t="n">
        <v>0.0255809160698645</v>
      </c>
      <c r="X32" s="98" t="n">
        <v>0.156638105323963</v>
      </c>
      <c r="Z32" s="91" t="inlineStr">
        <is>
          <t xml:space="preserve">   FCF %</t>
        </is>
      </c>
      <c r="AA32" s="96" t="n">
        <v>0.134234798961225</v>
      </c>
      <c r="AB32" s="97" t="n">
        <v>0.158069399544224</v>
      </c>
      <c r="AC32" s="97" t="n">
        <v>0.144095951655224</v>
      </c>
      <c r="AD32" s="97" t="n">
        <v>0.151000735463622</v>
      </c>
      <c r="AE32" s="97" t="n">
        <v>0.154813173487963</v>
      </c>
      <c r="AF32" s="97" t="n">
        <v>0.15803288571004</v>
      </c>
      <c r="AH32" s="98" t="n">
        <v>0.102588463700031</v>
      </c>
      <c r="AI32" s="98" t="n">
        <v>0.0255809160698645</v>
      </c>
      <c r="AJ32" s="98" t="n">
        <v>0.156638105323963</v>
      </c>
    </row>
    <row r="33" ht="15" customHeight="1">
      <c r="B33" s="91" t="inlineStr">
        <is>
          <t xml:space="preserve">   FCF / share ($)</t>
        </is>
      </c>
      <c r="C33" s="107">
        <f>IFERROR(C31/C21,"")</f>
        <v/>
      </c>
      <c r="D33" s="108">
        <f>IFERROR(D31/D21,"")</f>
        <v/>
      </c>
      <c r="E33" s="108">
        <f>IFERROR(E31/E21,"")</f>
        <v/>
      </c>
      <c r="F33" s="108">
        <f>IFERROR(F31/F21,"")</f>
        <v/>
      </c>
      <c r="G33" s="108">
        <f>IFERROR(G31/G21,"")</f>
        <v/>
      </c>
      <c r="H33" s="108">
        <f>IFERROR(H31/H21,"")</f>
        <v/>
      </c>
      <c r="N33" s="91" t="inlineStr">
        <is>
          <t xml:space="preserve">   FCF / share ($)</t>
        </is>
      </c>
      <c r="O33" s="107" t="n">
        <v>8.76095850379895</v>
      </c>
      <c r="P33" s="108" t="n">
        <v>11.5355894363773</v>
      </c>
      <c r="Q33" s="108" t="n">
        <v>13.2232350842122</v>
      </c>
      <c r="R33" s="108" t="n">
        <v>14.8681507269126</v>
      </c>
      <c r="S33" s="108" t="n">
        <v>17.1443481301567</v>
      </c>
      <c r="T33" s="108" t="n">
        <v>19.745571299171</v>
      </c>
      <c r="Z33" s="91" t="inlineStr">
        <is>
          <t xml:space="preserve">   FCF / share ($)</t>
        </is>
      </c>
      <c r="AA33" s="107" t="n">
        <v>8.76095850379895</v>
      </c>
      <c r="AB33" s="108" t="n">
        <v>11.4572453336906</v>
      </c>
      <c r="AC33" s="108" t="n">
        <v>10.7483636697557</v>
      </c>
      <c r="AD33" s="108" t="n">
        <v>11.738029202325</v>
      </c>
      <c r="AE33" s="108" t="n">
        <v>12.6647009162768</v>
      </c>
      <c r="AF33" s="108" t="n">
        <v>13.6083771893557</v>
      </c>
    </row>
    <row r="34" ht="15" customHeight="1">
      <c r="B34" s="91" t="inlineStr">
        <is>
          <t xml:space="preserve">   FCF Yield (on PT)</t>
        </is>
      </c>
      <c r="E34" s="109" t="n"/>
      <c r="F34" s="109">
        <f>IFERROR(F33/F$27,"")</f>
        <v/>
      </c>
      <c r="G34" s="109">
        <f>IFERROR(G33/G$27,"")</f>
        <v/>
      </c>
      <c r="H34" s="109">
        <f>IFERROR(H33/H$27,"")</f>
        <v/>
      </c>
      <c r="N34" s="91" t="inlineStr">
        <is>
          <t xml:space="preserve">   FCF Yield (on PT)</t>
        </is>
      </c>
      <c r="Q34" s="109" t="n"/>
      <c r="R34" s="109">
        <f>IFERROR(R33/R$27,"")</f>
        <v/>
      </c>
      <c r="S34" s="109">
        <f>IFERROR(S33/S$27,"")</f>
        <v/>
      </c>
      <c r="T34" s="109">
        <f>IFERROR(T33/T$27,"")</f>
        <v/>
      </c>
      <c r="Z34" s="91" t="inlineStr">
        <is>
          <t xml:space="preserve">   FCF Yield (on PT)</t>
        </is>
      </c>
      <c r="AC34" s="109" t="n"/>
      <c r="AD34" s="109">
        <f>IFERROR(AD33/AD$27,"")</f>
        <v/>
      </c>
      <c r="AE34" s="109">
        <f>IFERROR(AE33/AE$27,"")</f>
        <v/>
      </c>
      <c r="AF34" s="109">
        <f>IFERROR(AF33/AF$27,"")</f>
        <v/>
      </c>
    </row>
    <row r="35" ht="15" customHeight="1">
      <c r="B35" s="87" t="inlineStr">
        <is>
          <t>Adjusted EBITDA (leverage basis)</t>
        </is>
      </c>
      <c r="C35" s="88">
        <f>Model!BV194</f>
        <v/>
      </c>
      <c r="D35" s="89">
        <f>Model!CA194</f>
        <v/>
      </c>
      <c r="E35" s="89">
        <f>Model!CB194</f>
        <v/>
      </c>
      <c r="F35" s="89">
        <f>Model!CC194</f>
        <v/>
      </c>
      <c r="G35" s="89">
        <f>Model!CD194</f>
        <v/>
      </c>
      <c r="H35" s="89">
        <f>Model!CE194</f>
        <v/>
      </c>
      <c r="I35" s="90">
        <f>IFERROR((H35/C35)^(1/5)-1,"n/m")</f>
        <v/>
      </c>
      <c r="N35" s="87" t="inlineStr">
        <is>
          <t>Adjusted EBITDA (leverage basis)</t>
        </is>
      </c>
      <c r="O35" s="88" t="n">
        <v>2464</v>
      </c>
      <c r="P35" s="89" t="n">
        <v>2944.22712578336</v>
      </c>
      <c r="Q35" s="89" t="n">
        <v>3437.34063904152</v>
      </c>
      <c r="R35" s="89" t="n">
        <v>3854.9365156355</v>
      </c>
      <c r="S35" s="89" t="n">
        <v>4290.57947382963</v>
      </c>
      <c r="T35" s="89" t="n">
        <v>4762.76536046714</v>
      </c>
      <c r="U35" s="90" t="n">
        <v>0.140889797858064</v>
      </c>
      <c r="Z35" s="87" t="inlineStr">
        <is>
          <t>Adjusted EBITDA (leverage basis)</t>
        </is>
      </c>
      <c r="AA35" s="88" t="n">
        <v>2464</v>
      </c>
      <c r="AB35" s="89" t="n">
        <v>2875.72144771981</v>
      </c>
      <c r="AC35" s="89" t="n">
        <v>2846.32961301585</v>
      </c>
      <c r="AD35" s="89" t="n">
        <v>2994.67297845437</v>
      </c>
      <c r="AE35" s="89" t="n">
        <v>3134.33553820736</v>
      </c>
      <c r="AF35" s="89" t="n">
        <v>3279.32890701514</v>
      </c>
      <c r="AG35" s="90" t="n">
        <v>0.0588363804460721</v>
      </c>
    </row>
    <row r="36" ht="15" customHeight="1">
      <c r="B36" s="91" t="inlineStr">
        <is>
          <t xml:space="preserve">   Adjusted EBITDA % of net sales</t>
        </is>
      </c>
      <c r="C36" s="96">
        <f>IFERROR(C35/C9,"")</f>
        <v/>
      </c>
      <c r="D36" s="97">
        <f>IFERROR(D35/D9,"")</f>
        <v/>
      </c>
      <c r="E36" s="97">
        <f>IFERROR(E35/E9,"")</f>
        <v/>
      </c>
      <c r="F36" s="97">
        <f>IFERROR(F35/F9,"")</f>
        <v/>
      </c>
      <c r="G36" s="97">
        <f>IFERROR(G35/G9,"")</f>
        <v/>
      </c>
      <c r="H36" s="97">
        <f>IFERROR(H35/H9,"")</f>
        <v/>
      </c>
      <c r="J36" s="98">
        <f>IFERROR(AVERAGE(Model!C251,Model!D251,Model!E251,Model!F251,Model!G251,Model!H251,Model!I251,Model!N251,Model!S251,Model!X251,Model!AC251,Model!AH251,Model!AM251,Model!AR251,Model!AW251,Model!BB251,Model!BG251,Model!BL251,Model!BQ251,Model!BV251),"")</f>
        <v/>
      </c>
      <c r="K36" s="98">
        <f>IFERROR(MIN(Model!C251,Model!D251,Model!E251,Model!F251,Model!G251,Model!H251,Model!I251,Model!N251,Model!S251,Model!X251,Model!AC251,Model!AH251,Model!AM251,Model!AR251,Model!AW251,Model!BB251,Model!BG251,Model!BL251,Model!BQ251,Model!BV251),"")</f>
        <v/>
      </c>
      <c r="L36" s="98">
        <f>IFERROR(MAX(Model!C251,Model!D251,Model!E251,Model!F251,Model!G251,Model!H251,Model!I251,Model!N251,Model!S251,Model!X251,Model!AC251,Model!AH251,Model!AM251,Model!AR251,Model!AW251,Model!BB251,Model!BG251,Model!BL251,Model!BQ251,Model!BV251),"")</f>
        <v/>
      </c>
      <c r="N36" s="91" t="inlineStr">
        <is>
          <t xml:space="preserve">   Adjusted EBITDA % of net sales</t>
        </is>
      </c>
      <c r="O36" s="96" t="n">
        <v>0.22065012984687</v>
      </c>
      <c r="P36" s="97" t="n">
        <v>0.233668819506616</v>
      </c>
      <c r="Q36" s="97" t="n">
        <v>0.250010873061573</v>
      </c>
      <c r="R36" s="97" t="n">
        <v>0.25414267459263</v>
      </c>
      <c r="S36" s="97" t="n">
        <v>0.258148305192196</v>
      </c>
      <c r="T36" s="97" t="n">
        <v>0.262060590774603</v>
      </c>
      <c r="V36" s="98" t="n">
        <v>0.194469723156368</v>
      </c>
      <c r="W36" s="98" t="n">
        <v>0.176929897698548</v>
      </c>
      <c r="X36" s="98" t="n">
        <v>0.22065012984687</v>
      </c>
      <c r="Z36" s="91" t="inlineStr">
        <is>
          <t xml:space="preserve">   Adjusted EBITDA % of net sales</t>
        </is>
      </c>
      <c r="AA36" s="96" t="n">
        <v>0.22065012984687</v>
      </c>
      <c r="AB36" s="97" t="n">
        <v>0.233798491684538</v>
      </c>
      <c r="AC36" s="97" t="n">
        <v>0.225279936451117</v>
      </c>
      <c r="AD36" s="97" t="n">
        <v>0.23014542275555</v>
      </c>
      <c r="AE36" s="97" t="n">
        <v>0.234948000099311</v>
      </c>
      <c r="AF36" s="97" t="n">
        <v>0.239694746603322</v>
      </c>
      <c r="AH36" s="98" t="n">
        <v>0.194469723156368</v>
      </c>
      <c r="AI36" s="98" t="n">
        <v>0.176929897698548</v>
      </c>
      <c r="AJ36" s="98" t="n">
        <v>0.22065012984687</v>
      </c>
    </row>
    <row r="38" ht="15" customHeight="1">
      <c r="B38" s="87" t="inlineStr">
        <is>
          <t>Net Debt</t>
        </is>
      </c>
      <c r="C38" s="88">
        <f>Model!BV426</f>
        <v/>
      </c>
      <c r="D38" s="89">
        <f>Model!CA426</f>
        <v/>
      </c>
      <c r="E38" s="89">
        <f>Model!CB426</f>
        <v/>
      </c>
      <c r="F38" s="89">
        <f>Model!CC426</f>
        <v/>
      </c>
      <c r="G38" s="89">
        <f>Model!CD426</f>
        <v/>
      </c>
      <c r="H38" s="89">
        <f>Model!CE426</f>
        <v/>
      </c>
      <c r="N38" s="87" t="inlineStr">
        <is>
          <t>Net Debt</t>
        </is>
      </c>
      <c r="O38" s="88" t="n">
        <v>4752</v>
      </c>
      <c r="P38" s="89" t="n">
        <v>5082.8299897795</v>
      </c>
      <c r="Q38" s="89" t="n">
        <v>6015.34611832265</v>
      </c>
      <c r="R38" s="89" t="n">
        <v>6746.13890236213</v>
      </c>
      <c r="S38" s="89" t="n">
        <v>7508.51407920186</v>
      </c>
      <c r="T38" s="89" t="n">
        <v>8334.839380817501</v>
      </c>
      <c r="Z38" s="87" t="inlineStr">
        <is>
          <t>Net Debt</t>
        </is>
      </c>
      <c r="AA38" s="88" t="n">
        <v>4752</v>
      </c>
      <c r="AB38" s="89" t="n">
        <v>4793.36695703462</v>
      </c>
      <c r="AC38" s="89" t="n">
        <v>3557.91201626981</v>
      </c>
      <c r="AD38" s="89" t="n">
        <v>3743.34122306796</v>
      </c>
      <c r="AE38" s="89" t="n">
        <v>3917.9194227592</v>
      </c>
      <c r="AF38" s="89" t="n">
        <v>4099.16113376893</v>
      </c>
    </row>
    <row r="39" ht="15" customHeight="1">
      <c r="B39" s="91" t="inlineStr">
        <is>
          <t xml:space="preserve">   Net Debt / Adjusted EBITDA (x)</t>
        </is>
      </c>
      <c r="C39" s="110">
        <f>IFERROR(C38/C35,"")</f>
        <v/>
      </c>
      <c r="D39" s="111">
        <f>IFERROR(D38/D35,"")</f>
        <v/>
      </c>
      <c r="E39" s="111">
        <f>IFERROR(E38/E35,"")</f>
        <v/>
      </c>
      <c r="F39" s="111">
        <f>IFERROR(F38/F35,"")</f>
        <v/>
      </c>
      <c r="G39" s="111">
        <f>IFERROR(G38/G35,"")</f>
        <v/>
      </c>
      <c r="H39" s="111">
        <f>IFERROR(H38/H35,"")</f>
        <v/>
      </c>
      <c r="N39" s="91" t="inlineStr">
        <is>
          <t xml:space="preserve">   Net Debt / Adjusted EBITDA (x)</t>
        </is>
      </c>
      <c r="O39" s="110" t="n">
        <v>1.92857142857143</v>
      </c>
      <c r="P39" s="111" t="n">
        <v>1.72637156463502</v>
      </c>
      <c r="Q39" s="111" t="n">
        <v>1.75</v>
      </c>
      <c r="R39" s="111" t="n">
        <v>1.75</v>
      </c>
      <c r="S39" s="111" t="n">
        <v>1.75</v>
      </c>
      <c r="T39" s="111" t="n">
        <v>1.75</v>
      </c>
      <c r="Z39" s="91" t="inlineStr">
        <is>
          <t xml:space="preserve">   Net Debt / Adjusted EBITDA (x)</t>
        </is>
      </c>
      <c r="AA39" s="110" t="n">
        <v>1.92857142857143</v>
      </c>
      <c r="AB39" s="111" t="n">
        <v>1.66683979800454</v>
      </c>
      <c r="AC39" s="111" t="n">
        <v>1.25</v>
      </c>
      <c r="AD39" s="111" t="n">
        <v>1.25</v>
      </c>
      <c r="AE39" s="111" t="n">
        <v>1.25</v>
      </c>
      <c r="AF39" s="111" t="n">
        <v>1.25</v>
      </c>
    </row>
    <row r="41" ht="15" customHeight="1">
      <c r="B41" s="87" t="inlineStr">
        <is>
          <t>ROIC</t>
        </is>
      </c>
      <c r="C41" s="94">
        <f>Model!BV409</f>
        <v/>
      </c>
      <c r="D41" s="95">
        <f>Model!CA409</f>
        <v/>
      </c>
      <c r="E41" s="95">
        <f>Model!CB409</f>
        <v/>
      </c>
      <c r="F41" s="95">
        <f>Model!CC409</f>
        <v/>
      </c>
      <c r="G41" s="95">
        <f>Model!CD409</f>
        <v/>
      </c>
      <c r="H41" s="95">
        <f>Model!CE409</f>
        <v/>
      </c>
      <c r="J41" s="98">
        <f>IFERROR(AVERAGE(Model!C409,Model!D409,Model!E409,Model!F409,Model!G409,Model!H409,Model!I409,Model!N409,Model!S409,Model!X409,Model!AC409,Model!AH409,Model!AM409,Model!AR409,Model!AW409,Model!BB409,Model!BG409,Model!BL409,Model!BQ409,Model!BV409),"")</f>
        <v/>
      </c>
      <c r="K41" s="98">
        <f>IFERROR(MIN(Model!C409,Model!D409,Model!E409,Model!F409,Model!G409,Model!H409,Model!I409,Model!N409,Model!S409,Model!X409,Model!AC409,Model!AH409,Model!AM409,Model!AR409,Model!AW409,Model!BB409,Model!BG409,Model!BL409,Model!BQ409,Model!BV409),"")</f>
        <v/>
      </c>
      <c r="L41" s="98">
        <f>IFERROR(MAX(Model!C409,Model!D409,Model!E409,Model!F409,Model!G409,Model!H409,Model!I409,Model!N409,Model!S409,Model!X409,Model!AC409,Model!AH409,Model!AM409,Model!AR409,Model!AW409,Model!BB409,Model!BG409,Model!BL409,Model!BQ409,Model!BV409),"")</f>
        <v/>
      </c>
      <c r="N41" s="87" t="inlineStr">
        <is>
          <t>ROIC</t>
        </is>
      </c>
      <c r="O41" s="94" t="n">
        <v>0.09182588075240079</v>
      </c>
      <c r="P41" s="95" t="n">
        <v>0.109439428635002</v>
      </c>
      <c r="Q41" s="95" t="n">
        <v>0.121479352472606</v>
      </c>
      <c r="R41" s="95" t="n">
        <v>0.128769883323919</v>
      </c>
      <c r="S41" s="95" t="n">
        <v>0.136010865942057</v>
      </c>
      <c r="T41" s="95" t="n">
        <v>0.144101669840769</v>
      </c>
      <c r="V41" s="98" t="n">
        <v>0.123167648432274</v>
      </c>
      <c r="W41" s="98" t="n">
        <v>0.0467464302532571</v>
      </c>
      <c r="X41" s="98" t="n">
        <v>0.209804604720595</v>
      </c>
      <c r="Z41" s="87" t="inlineStr">
        <is>
          <t>ROIC</t>
        </is>
      </c>
      <c r="AA41" s="94" t="n">
        <v>0.09182588075240079</v>
      </c>
      <c r="AB41" s="95" t="n">
        <v>0.10680366427612</v>
      </c>
      <c r="AC41" s="95" t="n">
        <v>0.103928005749395</v>
      </c>
      <c r="AD41" s="95" t="n">
        <v>0.110044907662425</v>
      </c>
      <c r="AE41" s="95" t="n">
        <v>0.115856468506755</v>
      </c>
      <c r="AF41" s="95" t="n">
        <v>0.122316387021991</v>
      </c>
      <c r="AH41" s="98" t="n">
        <v>0.123167648432274</v>
      </c>
      <c r="AI41" s="98" t="n">
        <v>0.0467464302532571</v>
      </c>
      <c r="AJ41" s="98" t="n">
        <v>0.209804604720595</v>
      </c>
    </row>
    <row r="42" ht="15" customHeight="1">
      <c r="B42" s="87" t="inlineStr">
        <is>
          <t>RONTA</t>
        </is>
      </c>
      <c r="C42" s="94">
        <f>Model!BV420</f>
        <v/>
      </c>
      <c r="D42" s="95">
        <f>Model!CA420</f>
        <v/>
      </c>
      <c r="E42" s="95">
        <f>Model!CB420</f>
        <v/>
      </c>
      <c r="F42" s="95">
        <f>Model!CC420</f>
        <v/>
      </c>
      <c r="G42" s="95">
        <f>Model!CD420</f>
        <v/>
      </c>
      <c r="H42" s="95">
        <f>Model!CE420</f>
        <v/>
      </c>
      <c r="J42" s="98">
        <f>IFERROR(AVERAGE(Model!C420,Model!D420,Model!E420,Model!F420,Model!G420,Model!H420,Model!I420,Model!N420,Model!S420,Model!X420,Model!AC420,Model!AH420,Model!AM420,Model!AR420,Model!AW420,Model!BB420,Model!BG420,Model!BL420,Model!BQ420,Model!BV420),"")</f>
        <v/>
      </c>
      <c r="K42" s="98">
        <f>IFERROR(MIN(Model!C420,Model!D420,Model!E420,Model!F420,Model!G420,Model!H420,Model!I420,Model!N420,Model!S420,Model!X420,Model!AC420,Model!AH420,Model!AM420,Model!AR420,Model!AW420,Model!BB420,Model!BG420,Model!BL420,Model!BQ420,Model!BV420),"")</f>
        <v/>
      </c>
      <c r="L42" s="98">
        <f>IFERROR(MAX(Model!C420,Model!D420,Model!E420,Model!F420,Model!G420,Model!H420,Model!I420,Model!N420,Model!S420,Model!X420,Model!AC420,Model!AH420,Model!AM420,Model!AR420,Model!AW420,Model!BB420,Model!BG420,Model!BL420,Model!BQ420,Model!BV420),"")</f>
        <v/>
      </c>
      <c r="N42" s="87" t="inlineStr">
        <is>
          <t>RONTA</t>
        </is>
      </c>
      <c r="O42" s="94" t="n">
        <v>0.355744396343809</v>
      </c>
      <c r="P42" s="95" t="n">
        <v>0.432752289158956</v>
      </c>
      <c r="Q42" s="95" t="n">
        <v>0.480776612289606</v>
      </c>
      <c r="R42" s="95" t="n">
        <v>0.503372559472773</v>
      </c>
      <c r="S42" s="95" t="n">
        <v>0.524641656221109</v>
      </c>
      <c r="T42" s="95" t="n">
        <v>0.547602988301405</v>
      </c>
      <c r="V42" s="98" t="n">
        <v>0.238753023985131</v>
      </c>
      <c r="W42" s="98" t="n">
        <v>0.107515752021389</v>
      </c>
      <c r="X42" s="98" t="n">
        <v>0.355744396343809</v>
      </c>
      <c r="Z42" s="87" t="inlineStr">
        <is>
          <t>RONTA</t>
        </is>
      </c>
      <c r="AA42" s="94" t="n">
        <v>0.355744396343809</v>
      </c>
      <c r="AB42" s="95" t="n">
        <v>0.411526297104578</v>
      </c>
      <c r="AC42" s="95" t="n">
        <v>0.304600987464285</v>
      </c>
      <c r="AD42" s="95" t="n">
        <v>0.327384410287523</v>
      </c>
      <c r="AE42" s="95" t="n">
        <v>0.349437773101587</v>
      </c>
      <c r="AF42" s="95" t="n">
        <v>0.374581577908448</v>
      </c>
      <c r="AH42" s="98" t="n">
        <v>0.238753023985131</v>
      </c>
      <c r="AI42" s="98" t="n">
        <v>0.107515752021389</v>
      </c>
      <c r="AJ42" s="98" t="n">
        <v>0.355744396343809</v>
      </c>
    </row>
    <row r="44" ht="15" customHeight="1">
      <c r="B44" s="91" t="inlineStr">
        <is>
          <t>Implied Market Cap (USDm)</t>
        </is>
      </c>
      <c r="E44" s="112" t="n"/>
      <c r="F44" s="112">
        <f>F27*F21</f>
        <v/>
      </c>
      <c r="G44" s="112">
        <f>G27*G21</f>
        <v/>
      </c>
      <c r="H44" s="112">
        <f>H27*H21</f>
        <v/>
      </c>
      <c r="N44" s="91" t="inlineStr">
        <is>
          <t>Implied Market Cap (USDm)</t>
        </is>
      </c>
      <c r="Q44" s="112" t="n"/>
      <c r="R44" s="112">
        <f>R27*R21</f>
        <v/>
      </c>
      <c r="S44" s="112">
        <f>S27*S21</f>
        <v/>
      </c>
      <c r="T44" s="112">
        <f>T27*T21</f>
        <v/>
      </c>
      <c r="Z44" s="91" t="inlineStr">
        <is>
          <t>Implied Market Cap (USDm)</t>
        </is>
      </c>
      <c r="AC44" s="112" t="n"/>
      <c r="AD44" s="112">
        <f>AD27*AD21</f>
        <v/>
      </c>
      <c r="AE44" s="112">
        <f>AE27*AE21</f>
        <v/>
      </c>
      <c r="AF44" s="112">
        <f>AF27*AF21</f>
        <v/>
      </c>
    </row>
    <row r="45" ht="15" customHeight="1">
      <c r="B45" s="91" t="inlineStr">
        <is>
          <t>(+) Net Debt &amp; NCI</t>
        </is>
      </c>
      <c r="E45" s="112" t="n"/>
      <c r="F45" s="112">
        <f>F38+Model!CC337</f>
        <v/>
      </c>
      <c r="G45" s="112">
        <f>G38+Model!CD337</f>
        <v/>
      </c>
      <c r="H45" s="112">
        <f>H38+Model!CE337</f>
        <v/>
      </c>
      <c r="N45" s="91" t="inlineStr">
        <is>
          <t>(+) Net Debt &amp; NCI</t>
        </is>
      </c>
      <c r="Q45" s="112" t="n"/>
      <c r="R45" s="112">
        <f>R38+Model!CC337</f>
        <v/>
      </c>
      <c r="S45" s="112">
        <f>S38+Model!CD337</f>
        <v/>
      </c>
      <c r="T45" s="112">
        <f>T38+Model!CE337</f>
        <v/>
      </c>
      <c r="Z45" s="91" t="inlineStr">
        <is>
          <t>(+) Net Debt &amp; NCI</t>
        </is>
      </c>
      <c r="AC45" s="112" t="n"/>
      <c r="AD45" s="112">
        <f>AD38+Model!CC337</f>
        <v/>
      </c>
      <c r="AE45" s="112">
        <f>AE38+Model!CD337</f>
        <v/>
      </c>
      <c r="AF45" s="112">
        <f>AF38+Model!CE337</f>
        <v/>
      </c>
    </row>
    <row r="46" ht="15" customHeight="1">
      <c r="B46" s="91" t="inlineStr">
        <is>
          <t>Implied Enterprise Value (USDm)</t>
        </is>
      </c>
      <c r="E46" s="112" t="n"/>
      <c r="F46" s="112">
        <f>F44+F45</f>
        <v/>
      </c>
      <c r="G46" s="112">
        <f>G44+G45</f>
        <v/>
      </c>
      <c r="H46" s="112">
        <f>H44+H45</f>
        <v/>
      </c>
      <c r="N46" s="91" t="inlineStr">
        <is>
          <t>Implied Enterprise Value (USDm)</t>
        </is>
      </c>
      <c r="Q46" s="112" t="n"/>
      <c r="R46" s="112">
        <f>R44+R45</f>
        <v/>
      </c>
      <c r="S46" s="112">
        <f>S44+S45</f>
        <v/>
      </c>
      <c r="T46" s="112">
        <f>T44+T45</f>
        <v/>
      </c>
      <c r="Z46" s="91" t="inlineStr">
        <is>
          <t>Implied Enterprise Value (USDm)</t>
        </is>
      </c>
      <c r="AC46" s="112" t="n"/>
      <c r="AD46" s="112">
        <f>AD44+AD45</f>
        <v/>
      </c>
      <c r="AE46" s="112">
        <f>AE44+AE45</f>
        <v/>
      </c>
      <c r="AF46" s="112">
        <f>AF44+AF45</f>
        <v/>
      </c>
    </row>
    <row r="47" ht="15" customHeight="1">
      <c r="B47" s="91" t="inlineStr">
        <is>
          <t>Implied EV / Adjusted EBITDA (x)</t>
        </is>
      </c>
      <c r="E47" s="113" t="n"/>
      <c r="F47" s="113">
        <f>IFERROR(F46/F35,"")</f>
        <v/>
      </c>
      <c r="G47" s="113">
        <f>IFERROR(G46/G35,"")</f>
        <v/>
      </c>
      <c r="H47" s="113">
        <f>IFERROR(H46/H35,"")</f>
        <v/>
      </c>
      <c r="N47" s="91" t="inlineStr">
        <is>
          <t>Implied EV / Adjusted EBITDA (x)</t>
        </is>
      </c>
      <c r="Q47" s="113" t="n"/>
      <c r="R47" s="113">
        <f>IFERROR(R46/R35,"")</f>
        <v/>
      </c>
      <c r="S47" s="113">
        <f>IFERROR(S46/S35,"")</f>
        <v/>
      </c>
      <c r="T47" s="113">
        <f>IFERROR(T46/T35,"")</f>
        <v/>
      </c>
      <c r="Z47" s="91" t="inlineStr">
        <is>
          <t>Implied EV / Adjusted EBITDA (x)</t>
        </is>
      </c>
      <c r="AC47" s="113" t="n"/>
      <c r="AD47" s="113">
        <f>IFERROR(AD46/AD35,"")</f>
        <v/>
      </c>
      <c r="AE47" s="113">
        <f>IFERROR(AE46/AE35,"")</f>
        <v/>
      </c>
      <c r="AF47" s="113">
        <f>IFERROR(AF46/AF35,"")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Q118"/>
  <sheetViews>
    <sheetView topLeftCell="A21" zoomScale="60" zoomScaleNormal="60" workbookViewId="0">
      <selection activeCell="C59" sqref="C59"/>
    </sheetView>
  </sheetViews>
  <sheetFormatPr baseColWidth="8" defaultColWidth="8.5703125" defaultRowHeight="15"/>
  <cols>
    <col width="10.5703125" customWidth="1" min="1" max="1"/>
    <col width="50" customWidth="1" min="2" max="2"/>
    <col width="12.5703125" customWidth="1" min="3" max="14"/>
    <col width="13.28515625" customWidth="1" min="16" max="17"/>
  </cols>
  <sheetData>
    <row r="2" ht="17.25" customHeight="1">
      <c r="B2" s="117" t="inlineStr">
        <is>
          <t>DCF VALUATION — WESTINGHOUSE AIR BRAKE TECHNOLOGIES (WAB)</t>
        </is>
      </c>
      <c r="C2" s="118" t="n"/>
      <c r="D2" s="118" t="n"/>
      <c r="E2" s="118" t="n"/>
      <c r="F2" s="118" t="n"/>
      <c r="G2" s="118" t="n"/>
      <c r="H2" s="118" t="n"/>
      <c r="I2" s="118" t="n"/>
      <c r="J2" s="118" t="n"/>
      <c r="K2" s="118" t="n"/>
      <c r="L2" s="118" t="n"/>
      <c r="M2" s="118" t="n"/>
      <c r="N2" s="118" t="n"/>
      <c r="O2" s="118" t="n"/>
      <c r="P2" s="118" t="n"/>
      <c r="Q2" s="118" t="n"/>
    </row>
    <row r="3">
      <c r="B3" s="118" t="n"/>
      <c r="C3" s="118" t="n"/>
      <c r="D3" s="118" t="n"/>
      <c r="E3" s="118" t="n"/>
      <c r="F3" s="118" t="n"/>
      <c r="G3" s="118" t="n"/>
      <c r="H3" s="118" t="n"/>
      <c r="I3" s="118" t="n"/>
      <c r="J3" s="118" t="n"/>
      <c r="K3" s="118" t="n"/>
      <c r="L3" s="118" t="n"/>
      <c r="M3" s="118" t="n"/>
      <c r="N3" s="118" t="n"/>
      <c r="O3" s="118" t="n"/>
      <c r="P3" s="118" t="n"/>
      <c r="Q3" s="118" t="n"/>
    </row>
    <row r="4" ht="15" customHeight="1">
      <c r="B4" s="139" t="inlineStr">
        <is>
          <t>1. WACC BUILD</t>
        </is>
      </c>
      <c r="C4" s="118" t="n"/>
      <c r="D4" s="118" t="n"/>
      <c r="E4" s="118" t="n"/>
      <c r="F4" s="118" t="n"/>
      <c r="G4" s="118" t="n"/>
      <c r="H4" s="118" t="n"/>
      <c r="I4" s="118" t="n"/>
      <c r="J4" s="118" t="n"/>
      <c r="K4" s="118" t="n"/>
      <c r="L4" s="118" t="n"/>
      <c r="M4" s="118" t="n"/>
      <c r="N4" s="118" t="n"/>
      <c r="O4" s="118" t="n"/>
      <c r="P4" s="118" t="n"/>
      <c r="Q4" s="118" t="n"/>
    </row>
    <row r="5" ht="15" customHeight="1">
      <c r="B5" s="140" t="inlineStr">
        <is>
          <t>Risk-free rate (US 10Y govt)</t>
        </is>
      </c>
      <c r="C5" s="141" t="n">
        <v>0.055</v>
      </c>
      <c r="D5" s="142" t="inlineStr">
        <is>
          <t>Assumption (~US 10Y Treasury yield); update to market</t>
        </is>
      </c>
      <c r="E5" s="118" t="n"/>
      <c r="F5" s="118" t="n"/>
      <c r="G5" s="118" t="n"/>
      <c r="H5" s="118" t="n"/>
      <c r="I5" s="118" t="n"/>
      <c r="J5" s="118" t="n"/>
      <c r="K5" s="118" t="n"/>
      <c r="L5" s="118" t="n"/>
      <c r="M5" s="118" t="n"/>
      <c r="N5" s="118" t="n"/>
      <c r="O5" s="118" t="n"/>
      <c r="P5" s="118" t="n"/>
      <c r="Q5" s="118" t="n"/>
    </row>
    <row r="6" ht="15" customHeight="1">
      <c r="B6" s="140" t="inlineStr">
        <is>
          <t>Equity risk premium</t>
        </is>
      </c>
      <c r="C6" s="141" t="n">
        <v>0.05</v>
      </c>
      <c r="D6" s="142" t="inlineStr">
        <is>
          <t>US implied ERP ~4.5–5.5% (Damodaran)</t>
        </is>
      </c>
      <c r="E6" s="118" t="n"/>
      <c r="F6" s="118" t="n"/>
      <c r="G6" s="118" t="n"/>
      <c r="H6" s="118" t="n"/>
      <c r="I6" s="118" t="n"/>
      <c r="J6" s="118" t="n"/>
      <c r="K6" s="118" t="n"/>
      <c r="L6" s="118" t="n"/>
      <c r="M6" s="118" t="n"/>
      <c r="N6" s="118" t="n"/>
      <c r="O6" s="118" t="n"/>
      <c r="P6" s="118" t="n"/>
      <c r="Q6" s="118" t="n"/>
    </row>
    <row r="7" ht="15" customHeight="1">
      <c r="B7" s="140" t="inlineStr">
        <is>
          <t>Levered beta</t>
        </is>
      </c>
      <c r="C7" s="143" t="n">
        <v>1.05</v>
      </c>
      <c r="D7" s="142" t="inlineStr">
        <is>
          <t>Rail equipment / transportation-technology peers (Knorr-Bremse, Alstom, Siemens Mobility, Trinity, Greenbrier) ~0.9–1.2; 25,000+ locomotive installed base and multi-year backlog ($30.9bn) dampen cyclicality</t>
        </is>
      </c>
      <c r="E7" s="118" t="n"/>
      <c r="F7" s="118" t="n"/>
      <c r="G7" s="118" t="n"/>
      <c r="H7" s="118" t="n"/>
      <c r="I7" s="118" t="n"/>
      <c r="J7" s="118" t="n"/>
      <c r="K7" s="118" t="n"/>
      <c r="L7" s="118" t="n"/>
      <c r="M7" s="118" t="n"/>
      <c r="N7" s="118" t="n"/>
      <c r="O7" s="118" t="n"/>
      <c r="P7" s="118" t="n"/>
      <c r="Q7" s="118" t="n"/>
    </row>
    <row r="8" ht="15" customHeight="1">
      <c r="B8" s="140" t="inlineStr">
        <is>
          <t>Cost of equity</t>
        </is>
      </c>
      <c r="C8" s="144">
        <f>C5+C7*C6</f>
        <v/>
      </c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8" t="n"/>
      <c r="N8" s="118" t="n"/>
      <c r="O8" s="118" t="n"/>
      <c r="P8" s="118" t="n"/>
      <c r="Q8" s="118" t="n"/>
    </row>
    <row r="9" ht="15" customHeight="1">
      <c r="B9" s="140" t="inlineStr">
        <is>
          <t>Pre-tax cost of debt</t>
        </is>
      </c>
      <c r="C9" s="141" t="n">
        <v>0.055</v>
      </c>
      <c r="D9" s="142" t="inlineStr">
        <is>
          <t>Investment grade (BBB / Baa2); 5.50% 2035 and 4.90% 2030 notes issued 2025; marginal cost ~5.0–5.5%</t>
        </is>
      </c>
      <c r="E9" s="118" t="n"/>
      <c r="F9" s="118" t="n"/>
      <c r="G9" s="118" t="n"/>
      <c r="H9" s="118" t="n"/>
      <c r="I9" s="118" t="n"/>
      <c r="J9" s="118" t="n"/>
      <c r="K9" s="118" t="n"/>
      <c r="L9" s="118" t="n"/>
      <c r="M9" s="118" t="n"/>
      <c r="N9" s="118" t="n"/>
      <c r="O9" s="118" t="n"/>
      <c r="P9" s="118" t="n"/>
      <c r="Q9" s="118" t="n"/>
    </row>
    <row r="10" ht="15" customHeight="1">
      <c r="B10" s="140" t="inlineStr">
        <is>
          <t>Tax rate</t>
        </is>
      </c>
      <c r="C10" s="141" t="n">
        <v>0.245</v>
      </c>
      <c r="D10" s="142" t="inlineStr">
        <is>
          <t>Model 2027E+ effective tax rate (FY26 guidance ~24.5%)</t>
        </is>
      </c>
      <c r="E10" s="118" t="n"/>
      <c r="F10" s="118" t="n"/>
      <c r="G10" s="118" t="n"/>
      <c r="H10" s="118" t="n"/>
      <c r="I10" s="118" t="n"/>
      <c r="J10" s="118" t="n"/>
      <c r="K10" s="118" t="n"/>
      <c r="L10" s="118" t="n"/>
      <c r="M10" s="118" t="n"/>
      <c r="N10" s="118" t="n"/>
      <c r="O10" s="118" t="n"/>
      <c r="P10" s="118" t="n"/>
      <c r="Q10" s="118" t="n"/>
    </row>
    <row r="11" ht="15" customHeight="1">
      <c r="B11" s="140" t="inlineStr">
        <is>
          <t>After-tax cost of debt</t>
        </is>
      </c>
      <c r="C11" s="144">
        <f>C9*(1-C10)</f>
        <v/>
      </c>
      <c r="D11" s="118" t="n"/>
      <c r="E11" s="118" t="n"/>
      <c r="F11" s="118" t="n"/>
      <c r="G11" s="118" t="n"/>
      <c r="H11" s="118" t="n"/>
      <c r="I11" s="118" t="n"/>
      <c r="J11" s="118" t="n"/>
      <c r="K11" s="118" t="n"/>
      <c r="L11" s="118" t="n"/>
      <c r="M11" s="118" t="n"/>
      <c r="N11" s="118" t="n"/>
      <c r="O11" s="118" t="n"/>
      <c r="P11" s="118" t="n"/>
      <c r="Q11" s="118" t="n"/>
    </row>
    <row r="12" ht="15" customHeight="1">
      <c r="B12" s="140" t="inlineStr">
        <is>
          <t>Target D/V</t>
        </is>
      </c>
      <c r="C12" s="141" t="n">
        <v>0.15</v>
      </c>
      <c r="D12" s="142" t="inlineStr">
        <is>
          <t>Net debt ~$5.9bn at 30-Jun-26 vs ~$47bn market cap ($280 × ~169m shares); ~2.0x Adjusted EBITDA, targeted 2.0–2.5x</t>
        </is>
      </c>
      <c r="E12" s="118" t="n"/>
      <c r="F12" s="118" t="n"/>
      <c r="G12" s="118" t="n"/>
      <c r="H12" s="118" t="n"/>
      <c r="I12" s="118" t="n"/>
      <c r="J12" s="118" t="n"/>
      <c r="K12" s="118" t="n"/>
      <c r="L12" s="118" t="n"/>
      <c r="M12" s="118" t="n"/>
      <c r="N12" s="118" t="n"/>
      <c r="O12" s="118" t="n"/>
      <c r="P12" s="118" t="n"/>
      <c r="Q12" s="118" t="n"/>
    </row>
    <row r="13" ht="15" customHeight="1">
      <c r="B13" s="145" t="inlineStr">
        <is>
          <t>WACC</t>
        </is>
      </c>
      <c r="C13" s="146">
        <f>C8*(1-C12)+C11*C12</f>
        <v/>
      </c>
      <c r="D13" s="118" t="n"/>
      <c r="E13" s="118" t="n"/>
      <c r="F13" s="118" t="n"/>
      <c r="G13" s="118" t="n"/>
      <c r="H13" s="118" t="n"/>
      <c r="I13" s="118" t="n"/>
      <c r="J13" s="118" t="n"/>
      <c r="K13" s="118" t="n"/>
      <c r="L13" s="118" t="n"/>
      <c r="M13" s="118" t="n"/>
      <c r="N13" s="118" t="n"/>
      <c r="O13" s="118" t="n"/>
      <c r="P13" s="118" t="n"/>
      <c r="Q13" s="118" t="n"/>
    </row>
    <row r="14">
      <c r="B14" s="118" t="n"/>
      <c r="C14" s="118" t="n"/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18" t="n"/>
      <c r="O14" s="118" t="n"/>
      <c r="P14" s="118" t="n"/>
      <c r="Q14" s="118" t="n"/>
    </row>
    <row r="15" ht="15" customHeight="1">
      <c r="B15" s="118" t="inlineStr">
        <is>
          <t>Valuation date (live)</t>
        </is>
      </c>
      <c r="C15" s="119">
        <f>TODAY()</f>
        <v/>
      </c>
      <c r="D15" s="142" t="inlineStr">
        <is>
          <t>Periods = (Dec-31-Year − today) / 365.25; cash flows assumed at year-end</t>
        </is>
      </c>
      <c r="E15" s="118" t="n"/>
      <c r="F15" s="118" t="n"/>
      <c r="G15" s="118" t="n"/>
      <c r="H15" s="118" t="n"/>
      <c r="I15" s="118" t="n"/>
      <c r="J15" s="118" t="n"/>
      <c r="K15" s="118" t="n"/>
      <c r="L15" s="118" t="n"/>
      <c r="M15" s="118" t="n"/>
      <c r="N15" s="118" t="n"/>
      <c r="O15" s="118" t="n"/>
      <c r="P15" s="118" t="n"/>
      <c r="Q15" s="118" t="n"/>
    </row>
    <row r="16" ht="15" customHeight="1">
      <c r="B16" s="139" t="inlineStr">
        <is>
          <t>2. UNLEVERED FREE CASH FLOW BUILD (USDm)</t>
        </is>
      </c>
      <c r="C16" s="118" t="n"/>
      <c r="D16" s="118" t="n"/>
      <c r="E16" s="118" t="n"/>
      <c r="F16" s="118" t="n"/>
      <c r="G16" s="118" t="n"/>
      <c r="H16" s="118" t="n"/>
      <c r="I16" s="118" t="n"/>
      <c r="J16" s="118" t="n"/>
      <c r="K16" s="118" t="n"/>
      <c r="L16" s="118" t="n"/>
      <c r="M16" s="118" t="n"/>
      <c r="N16" s="118" t="n"/>
      <c r="O16" s="118" t="n"/>
      <c r="P16" s="118" t="n"/>
      <c r="Q16" s="118" t="n"/>
    </row>
    <row r="17" ht="15" customHeight="1">
      <c r="B17" s="118" t="n"/>
      <c r="C17" s="118" t="n"/>
      <c r="D17" s="138" t="inlineStr">
        <is>
          <t>2026E</t>
        </is>
      </c>
      <c r="E17" s="138" t="inlineStr">
        <is>
          <t>2027E</t>
        </is>
      </c>
      <c r="F17" s="138" t="inlineStr">
        <is>
          <t>2028E</t>
        </is>
      </c>
      <c r="G17" s="138" t="inlineStr">
        <is>
          <t>2029E</t>
        </is>
      </c>
      <c r="H17" s="138" t="inlineStr">
        <is>
          <t>2030E</t>
        </is>
      </c>
      <c r="I17" s="138" t="inlineStr">
        <is>
          <t>2031E</t>
        </is>
      </c>
      <c r="J17" s="138" t="inlineStr">
        <is>
          <t>2032E</t>
        </is>
      </c>
      <c r="K17" s="138" t="inlineStr">
        <is>
          <t>2033E</t>
        </is>
      </c>
      <c r="L17" s="138" t="inlineStr">
        <is>
          <t>2034E</t>
        </is>
      </c>
      <c r="M17" s="138" t="inlineStr">
        <is>
          <t>2035E</t>
        </is>
      </c>
      <c r="N17" s="138" t="inlineStr">
        <is>
          <t>Terminal</t>
        </is>
      </c>
      <c r="O17" s="118" t="n"/>
      <c r="P17" s="138" t="inlineStr">
        <is>
          <t>CAGR 26–30E</t>
        </is>
      </c>
      <c r="Q17" s="138" t="inlineStr">
        <is>
          <t>CAGR 26–35E</t>
        </is>
      </c>
    </row>
    <row r="18" ht="15" customHeight="1">
      <c r="B18" s="118" t="inlineStr">
        <is>
          <t>Adjusted EBIT (Model; Adjusted EBITDA − DD&amp;A)</t>
        </is>
      </c>
      <c r="C18" s="118" t="n"/>
      <c r="D18" s="147">
        <f>Model!CA201</f>
        <v/>
      </c>
      <c r="E18" s="147">
        <f>Model!CB201</f>
        <v/>
      </c>
      <c r="F18" s="147">
        <f>Model!CC201</f>
        <v/>
      </c>
      <c r="G18" s="147">
        <f>Model!CD201</f>
        <v/>
      </c>
      <c r="H18" s="147">
        <f>Model!CE201</f>
        <v/>
      </c>
      <c r="I18" s="120">
        <f>H18*(1+I$31)</f>
        <v/>
      </c>
      <c r="J18" s="120">
        <f>I18*(1+J$31)</f>
        <v/>
      </c>
      <c r="K18" s="120">
        <f>J18*(1+K$31)</f>
        <v/>
      </c>
      <c r="L18" s="120">
        <f>K18*(1+L$31)</f>
        <v/>
      </c>
      <c r="M18" s="120">
        <f>L18*(1+M$31)</f>
        <v/>
      </c>
      <c r="N18" s="118" t="n"/>
      <c r="O18" s="118" t="n"/>
      <c r="P18" s="121">
        <f>IFERROR(($H18/$D18)^(1/(VALUE(LEFT($H$17,4))-VALUE(LEFT($D$17,4))))-1,"n/m")</f>
        <v/>
      </c>
      <c r="Q18" s="121">
        <f>IFERROR(($M18/$D18)^(1/(VALUE(LEFT($M$17,4))-VALUE(LEFT($D$17,4))))-1,"n/m")</f>
        <v/>
      </c>
    </row>
    <row r="19" ht="15" customHeight="1">
      <c r="B19" s="122" t="inlineStr">
        <is>
          <t xml:space="preserve">   y/y %</t>
        </is>
      </c>
      <c r="C19" s="122" t="n"/>
      <c r="D19" s="123" t="n"/>
      <c r="E19" s="123">
        <f>IFERROR(E18/D18-1,"")</f>
        <v/>
      </c>
      <c r="F19" s="123">
        <f>IFERROR(F18/E18-1,"")</f>
        <v/>
      </c>
      <c r="G19" s="123">
        <f>IFERROR(G18/F18-1,"")</f>
        <v/>
      </c>
      <c r="H19" s="123">
        <f>IFERROR(H18/G18-1,"")</f>
        <v/>
      </c>
      <c r="I19" s="123">
        <f>IFERROR(I18/H18-1,"")</f>
        <v/>
      </c>
      <c r="J19" s="123">
        <f>IFERROR(J18/I18-1,"")</f>
        <v/>
      </c>
      <c r="K19" s="123">
        <f>IFERROR(K18/J18-1,"")</f>
        <v/>
      </c>
      <c r="L19" s="123">
        <f>IFERROR(L18/K18-1,"")</f>
        <v/>
      </c>
      <c r="M19" s="123">
        <f>IFERROR(M18/L18-1,"")</f>
        <v/>
      </c>
      <c r="N19" s="123" t="n"/>
      <c r="O19" s="118" t="n"/>
      <c r="P19" s="118" t="n"/>
      <c r="Q19" s="118" t="n"/>
    </row>
    <row r="20" ht="15" customHeight="1">
      <c r="B20" s="118" t="inlineStr">
        <is>
          <t>(−) Restructuring &amp; transaction costs (cash; added back in Adjusted EBITDA)</t>
        </is>
      </c>
      <c r="C20" s="118" t="n"/>
      <c r="D20" s="147">
        <f>-Model!CA208</f>
        <v/>
      </c>
      <c r="E20" s="147">
        <f>-Model!CB208</f>
        <v/>
      </c>
      <c r="F20" s="147">
        <f>-Model!CC208</f>
        <v/>
      </c>
      <c r="G20" s="147">
        <f>-Model!CD208</f>
        <v/>
      </c>
      <c r="H20" s="147">
        <f>-Model!CE208</f>
        <v/>
      </c>
      <c r="I20" s="120">
        <f>H20*(1+I$31)</f>
        <v/>
      </c>
      <c r="J20" s="120">
        <f>I20*(1+J$31)</f>
        <v/>
      </c>
      <c r="K20" s="120">
        <f>J20*(1+K$31)</f>
        <v/>
      </c>
      <c r="L20" s="120">
        <f>K20*(1+L$31)</f>
        <v/>
      </c>
      <c r="M20" s="120">
        <f>L20*(1+M$31)</f>
        <v/>
      </c>
      <c r="N20" s="118" t="n"/>
      <c r="O20" s="118" t="n"/>
      <c r="P20" s="118" t="n"/>
      <c r="Q20" s="118" t="n"/>
    </row>
    <row r="21" ht="15" customHeight="1">
      <c r="B21" s="118" t="inlineStr">
        <is>
          <t>× (1 − tax rate)</t>
        </is>
      </c>
      <c r="C21" s="118" t="n"/>
      <c r="D21" s="124">
        <f>1-$C$10</f>
        <v/>
      </c>
      <c r="E21" s="124">
        <f>1-$C$10</f>
        <v/>
      </c>
      <c r="F21" s="124">
        <f>1-$C$10</f>
        <v/>
      </c>
      <c r="G21" s="124">
        <f>1-$C$10</f>
        <v/>
      </c>
      <c r="H21" s="124">
        <f>1-$C$10</f>
        <v/>
      </c>
      <c r="I21" s="124">
        <f>1-$C$10</f>
        <v/>
      </c>
      <c r="J21" s="124">
        <f>1-$C$10</f>
        <v/>
      </c>
      <c r="K21" s="124">
        <f>1-$C$10</f>
        <v/>
      </c>
      <c r="L21" s="124">
        <f>1-$C$10</f>
        <v/>
      </c>
      <c r="M21" s="124">
        <f>1-$C$10</f>
        <v/>
      </c>
      <c r="N21" s="118" t="n"/>
      <c r="O21" s="118" t="n"/>
      <c r="P21" s="118" t="n"/>
      <c r="Q21" s="118" t="n"/>
    </row>
    <row r="22" ht="15" customHeight="1">
      <c r="B22" s="118" t="inlineStr">
        <is>
          <t>NOPAT  =  (Adjusted EBIT − restructuring &amp; transaction costs) × (1 − t)</t>
        </is>
      </c>
      <c r="C22" s="118" t="n"/>
      <c r="D22" s="120">
        <f>(D18+D20)*D21</f>
        <v/>
      </c>
      <c r="E22" s="120">
        <f>(E18+E20)*E21</f>
        <v/>
      </c>
      <c r="F22" s="120">
        <f>(F18+F20)*F21</f>
        <v/>
      </c>
      <c r="G22" s="120">
        <f>(G18+G20)*G21</f>
        <v/>
      </c>
      <c r="H22" s="120">
        <f>(H18+H20)*H21</f>
        <v/>
      </c>
      <c r="I22" s="120">
        <f>(I18+I20)*I21</f>
        <v/>
      </c>
      <c r="J22" s="120">
        <f>(J18+J20)*J21</f>
        <v/>
      </c>
      <c r="K22" s="120">
        <f>(K18+K20)*K21</f>
        <v/>
      </c>
      <c r="L22" s="120">
        <f>(L18+L20)*L21</f>
        <v/>
      </c>
      <c r="M22" s="120">
        <f>(M18+M20)*M21</f>
        <v/>
      </c>
      <c r="N22" s="118" t="n"/>
      <c r="O22" s="118" t="n"/>
      <c r="P22" s="118" t="n"/>
      <c r="Q22" s="118" t="n"/>
    </row>
    <row r="23" ht="15" customHeight="1">
      <c r="B23" s="118" t="inlineStr">
        <is>
          <t>plus depreciation &amp; amortization (total, incl. acquired-intangible amortization)</t>
        </is>
      </c>
      <c r="C23" s="118" t="n"/>
      <c r="D23" s="147">
        <f>Model!CA164</f>
        <v/>
      </c>
      <c r="E23" s="147">
        <f>Model!CB164</f>
        <v/>
      </c>
      <c r="F23" s="147">
        <f>Model!CC164</f>
        <v/>
      </c>
      <c r="G23" s="147">
        <f>Model!CD164</f>
        <v/>
      </c>
      <c r="H23" s="147">
        <f>Model!CE164</f>
        <v/>
      </c>
      <c r="I23" s="120">
        <f>H23*(1+I$31)</f>
        <v/>
      </c>
      <c r="J23" s="120">
        <f>I23*(1+J$31)</f>
        <v/>
      </c>
      <c r="K23" s="120">
        <f>J23*(1+K$31)</f>
        <v/>
      </c>
      <c r="L23" s="120">
        <f>K23*(1+L$31)</f>
        <v/>
      </c>
      <c r="M23" s="120">
        <f>L23*(1+M$31)</f>
        <v/>
      </c>
      <c r="N23" s="118" t="n"/>
      <c r="O23" s="118" t="n"/>
      <c r="P23" s="118" t="n"/>
      <c r="Q23" s="118" t="n"/>
    </row>
    <row r="24" ht="15" customHeight="1">
      <c r="B24" s="118" t="inlineStr">
        <is>
          <t>− Capex (PP&amp;E) and acquisitions (M&amp;A lever, 2027E+)</t>
        </is>
      </c>
      <c r="C24" s="118" t="n"/>
      <c r="D24" s="147">
        <f>D29</f>
        <v/>
      </c>
      <c r="E24" s="147">
        <f>E29+Model!CB268</f>
        <v/>
      </c>
      <c r="F24" s="147">
        <f>F29+Model!CC268</f>
        <v/>
      </c>
      <c r="G24" s="147">
        <f>G29+Model!CD268</f>
        <v/>
      </c>
      <c r="H24" s="147">
        <f>H29+Model!CE268</f>
        <v/>
      </c>
      <c r="I24" s="120">
        <f>I29</f>
        <v/>
      </c>
      <c r="J24" s="120">
        <f>J29</f>
        <v/>
      </c>
      <c r="K24" s="120">
        <f>K29</f>
        <v/>
      </c>
      <c r="L24" s="120">
        <f>L29</f>
        <v/>
      </c>
      <c r="M24" s="120">
        <f>M29</f>
        <v/>
      </c>
      <c r="N24" s="118" t="n"/>
      <c r="O24" s="118" t="n"/>
      <c r="P24" s="118" t="n"/>
      <c r="Q24" s="118" t="n"/>
    </row>
    <row r="25" ht="15" customHeight="1">
      <c r="B25" s="118" t="inlineStr">
        <is>
          <t>− Δ Working capital (CF statement)</t>
        </is>
      </c>
      <c r="C25" s="118" t="n"/>
      <c r="D25" s="147">
        <f>Model!CA265</f>
        <v/>
      </c>
      <c r="E25" s="147">
        <f>Model!CB265</f>
        <v/>
      </c>
      <c r="F25" s="147">
        <f>Model!CC265</f>
        <v/>
      </c>
      <c r="G25" s="147">
        <f>Model!CD265</f>
        <v/>
      </c>
      <c r="H25" s="147">
        <f>Model!CE265</f>
        <v/>
      </c>
      <c r="I25" s="120">
        <f>H25*(1+I$31)</f>
        <v/>
      </c>
      <c r="J25" s="120">
        <f>I25*(1+J$31)</f>
        <v/>
      </c>
      <c r="K25" s="120">
        <f>J25*(1+K$31)</f>
        <v/>
      </c>
      <c r="L25" s="120">
        <f>K25*(1+L$31)</f>
        <v/>
      </c>
      <c r="M25" s="120">
        <f>L25*(1+M$31)</f>
        <v/>
      </c>
      <c r="N25" s="118" t="n"/>
      <c r="O25" s="118" t="n"/>
      <c r="P25" s="118" t="n"/>
      <c r="Q25" s="118" t="n"/>
    </row>
    <row r="26" ht="15" customHeight="1">
      <c r="B26" s="148" t="inlineStr">
        <is>
          <t>Unlevered FCF</t>
        </is>
      </c>
      <c r="C26" s="118" t="n"/>
      <c r="D26" s="149">
        <f>D22+D23+D24+D25</f>
        <v/>
      </c>
      <c r="E26" s="149">
        <f>E22+E23+E24+E25</f>
        <v/>
      </c>
      <c r="F26" s="149">
        <f>F22+F23+F24+F25</f>
        <v/>
      </c>
      <c r="G26" s="149">
        <f>G22+G23+G24+G25</f>
        <v/>
      </c>
      <c r="H26" s="149">
        <f>H22+H23+H24+H25</f>
        <v/>
      </c>
      <c r="I26" s="149">
        <f>I22+I23+I24+I25</f>
        <v/>
      </c>
      <c r="J26" s="149">
        <f>J22+J23+J24+J25</f>
        <v/>
      </c>
      <c r="K26" s="149">
        <f>K22+K23+K24+K25</f>
        <v/>
      </c>
      <c r="L26" s="149">
        <f>L22+L23+L24+L25</f>
        <v/>
      </c>
      <c r="M26" s="149">
        <f>M22+M23+M24+M25</f>
        <v/>
      </c>
      <c r="N26" s="149">
        <f>M26*(1+$C$32)</f>
        <v/>
      </c>
      <c r="O26" s="118" t="n"/>
      <c r="P26" s="121">
        <f>IFERROR(($H26/$D26)^(1/(VALUE(LEFT($H$17,4))-VALUE(LEFT($D$17,4))))-1,"n/m")</f>
        <v/>
      </c>
      <c r="Q26" s="121">
        <f>IFERROR(($M26/$D26)^(1/(VALUE(LEFT($M$17,4))-VALUE(LEFT($D$17,4))))-1,"n/m")</f>
        <v/>
      </c>
    </row>
    <row r="27" ht="15" customHeight="1">
      <c r="B27" s="122" t="inlineStr">
        <is>
          <t xml:space="preserve">   y/y %</t>
        </is>
      </c>
      <c r="C27" s="122" t="n"/>
      <c r="D27" s="123" t="n"/>
      <c r="E27" s="123">
        <f>IFERROR(E26/D26-1,"")</f>
        <v/>
      </c>
      <c r="F27" s="123">
        <f>IFERROR(F26/E26-1,"")</f>
        <v/>
      </c>
      <c r="G27" s="123">
        <f>IFERROR(G26/F26-1,"")</f>
        <v/>
      </c>
      <c r="H27" s="123">
        <f>IFERROR(H26/G26-1,"")</f>
        <v/>
      </c>
      <c r="I27" s="123">
        <f>IFERROR(I26/H26-1,"")</f>
        <v/>
      </c>
      <c r="J27" s="123">
        <f>IFERROR(J26/I26-1,"")</f>
        <v/>
      </c>
      <c r="K27" s="123">
        <f>IFERROR(K26/J26-1,"")</f>
        <v/>
      </c>
      <c r="L27" s="123">
        <f>IFERROR(L26/K26-1,"")</f>
        <v/>
      </c>
      <c r="M27" s="123">
        <f>IFERROR(M26/L26-1,"")</f>
        <v/>
      </c>
      <c r="N27" s="123" t="n"/>
      <c r="O27" s="118" t="n"/>
      <c r="P27" s="118" t="n"/>
      <c r="Q27" s="118" t="n"/>
    </row>
    <row r="28" ht="15" customHeight="1">
      <c r="B28" s="118" t="inlineStr">
        <is>
          <t>Terminal Value (Gordon Growth)</t>
        </is>
      </c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8" t="n"/>
      <c r="L28" s="118" t="n"/>
      <c r="M28" s="118" t="n"/>
      <c r="N28" s="149">
        <f>N26/($C$13-$C$32)</f>
        <v/>
      </c>
      <c r="O28" s="118" t="n"/>
      <c r="P28" s="118" t="n"/>
      <c r="Q28" s="118" t="n"/>
    </row>
    <row r="29" ht="15" customHeight="1">
      <c r="B29" s="142" t="inlineStr">
        <is>
          <t xml:space="preserve">   memo: PP&amp;E capex only (fade years carry no new acquisitions)</t>
        </is>
      </c>
      <c r="C29" s="118" t="n"/>
      <c r="D29" s="147">
        <f>Model!CA267</f>
        <v/>
      </c>
      <c r="E29" s="147">
        <f>Model!CB267</f>
        <v/>
      </c>
      <c r="F29" s="147">
        <f>Model!CC267</f>
        <v/>
      </c>
      <c r="G29" s="147">
        <f>Model!CD267</f>
        <v/>
      </c>
      <c r="H29" s="147">
        <f>Model!CE267</f>
        <v/>
      </c>
      <c r="I29" s="120">
        <f>H29*(1+I$31)</f>
        <v/>
      </c>
      <c r="J29" s="120">
        <f>I29*(1+J$31)</f>
        <v/>
      </c>
      <c r="K29" s="120">
        <f>J29*(1+K$31)</f>
        <v/>
      </c>
      <c r="L29" s="120">
        <f>K29*(1+L$31)</f>
        <v/>
      </c>
      <c r="M29" s="120">
        <f>L29*(1+M$31)</f>
        <v/>
      </c>
      <c r="N29" s="118" t="n"/>
      <c r="O29" s="118" t="n"/>
      <c r="P29" s="118" t="n"/>
      <c r="Q29" s="118" t="n"/>
    </row>
    <row r="30">
      <c r="B30" s="118" t="n"/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8" t="n"/>
      <c r="L30" s="118" t="n"/>
      <c r="M30" s="118" t="n"/>
      <c r="N30" s="118" t="n"/>
      <c r="O30" s="118" t="n"/>
      <c r="P30" s="118" t="n"/>
      <c r="Q30" s="118" t="n"/>
    </row>
    <row r="31" ht="15" customHeight="1">
      <c r="B31" s="118" t="inlineStr">
        <is>
          <t>Fade-period growth (2031E–35E)</t>
        </is>
      </c>
      <c r="C31" s="118" t="n"/>
      <c r="D31" s="118" t="n"/>
      <c r="E31" s="118" t="n"/>
      <c r="F31" s="118" t="n"/>
      <c r="G31" s="118" t="n"/>
      <c r="H31" s="118" t="n"/>
      <c r="I31" s="150" t="n">
        <v>0.06</v>
      </c>
      <c r="J31" s="151">
        <f>I31+($M$31-$I$31)/(COLUMNS($I$31:$M$31)-1)</f>
        <v/>
      </c>
      <c r="K31" s="151">
        <f>J31+($M$31-$I$31)/(COLUMNS($I$31:$M$31)-1)</f>
        <v/>
      </c>
      <c r="L31" s="151">
        <f>K31+($M$31-$I$31)/(COLUMNS($I$31:$M$31)-1)</f>
        <v/>
      </c>
      <c r="M31" s="150" t="n">
        <v>0.05</v>
      </c>
      <c r="N31" s="118" t="n"/>
      <c r="O31" s="118" t="n"/>
      <c r="P31" s="118" t="n"/>
      <c r="Q31" s="118" t="n"/>
    </row>
    <row r="32" ht="15" customHeight="1">
      <c r="B32" s="118" t="inlineStr">
        <is>
          <t>Terminal growth rate</t>
        </is>
      </c>
      <c r="C32" s="152" t="n">
        <v>0.04</v>
      </c>
      <c r="D32" s="118" t="n"/>
      <c r="E32" s="118" t="n"/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118" t="n"/>
      <c r="O32" s="118" t="n"/>
      <c r="P32" s="118" t="n"/>
      <c r="Q32" s="118" t="n"/>
    </row>
    <row r="33">
      <c r="B33" s="118" t="n"/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118" t="n"/>
      <c r="O33" s="118" t="n"/>
      <c r="P33" s="118" t="n"/>
      <c r="Q33" s="118" t="n"/>
    </row>
    <row r="34" ht="15" customHeight="1">
      <c r="B34" s="118" t="inlineStr">
        <is>
          <t>Discount period (years)</t>
        </is>
      </c>
      <c r="C34" s="118" t="n"/>
      <c r="D34" s="125">
        <f>(DATE(2026,12,31)-$C$15)/365.25</f>
        <v/>
      </c>
      <c r="E34" s="125">
        <f>(DATE(2027,12,31)-$C$15)/365.25</f>
        <v/>
      </c>
      <c r="F34" s="125">
        <f>(DATE(2028,12,31)-$C$15)/365.25</f>
        <v/>
      </c>
      <c r="G34" s="125">
        <f>(DATE(2029,12,31)-$C$15)/365.25</f>
        <v/>
      </c>
      <c r="H34" s="125">
        <f>(DATE(2030,12,31)-$C$15)/365.25</f>
        <v/>
      </c>
      <c r="I34" s="125">
        <f>(DATE(2031,12,31)-$C$15)/365.25</f>
        <v/>
      </c>
      <c r="J34" s="125">
        <f>(DATE(2032,12,31)-$C$15)/365.25</f>
        <v/>
      </c>
      <c r="K34" s="125">
        <f>(DATE(2033,12,31)-$C$15)/365.25</f>
        <v/>
      </c>
      <c r="L34" s="125">
        <f>(DATE(2034,12,31)-$C$15)/365.25</f>
        <v/>
      </c>
      <c r="M34" s="125">
        <f>(DATE(2035,12,31)-$C$15)/365.25</f>
        <v/>
      </c>
      <c r="N34" s="125">
        <f>M34</f>
        <v/>
      </c>
      <c r="O34" s="118" t="n"/>
      <c r="P34" s="118" t="n"/>
      <c r="Q34" s="118" t="n"/>
    </row>
    <row r="35" ht="15" customHeight="1">
      <c r="B35" s="118" t="inlineStr">
        <is>
          <t>Discount factor</t>
        </is>
      </c>
      <c r="C35" s="118" t="n"/>
      <c r="D35" s="126">
        <f>1/(1+$C$13)^D34</f>
        <v/>
      </c>
      <c r="E35" s="126">
        <f>1/(1+$C$13)^E34</f>
        <v/>
      </c>
      <c r="F35" s="126">
        <f>1/(1+$C$13)^F34</f>
        <v/>
      </c>
      <c r="G35" s="126">
        <f>1/(1+$C$13)^G34</f>
        <v/>
      </c>
      <c r="H35" s="126">
        <f>1/(1+$C$13)^H34</f>
        <v/>
      </c>
      <c r="I35" s="126">
        <f>1/(1+$C$13)^I34</f>
        <v/>
      </c>
      <c r="J35" s="126">
        <f>1/(1+$C$13)^J34</f>
        <v/>
      </c>
      <c r="K35" s="126">
        <f>1/(1+$C$13)^K34</f>
        <v/>
      </c>
      <c r="L35" s="126">
        <f>1/(1+$C$13)^L34</f>
        <v/>
      </c>
      <c r="M35" s="126">
        <f>1/(1+$C$13)^M34</f>
        <v/>
      </c>
      <c r="N35" s="126">
        <f>1/(1+$C$13)^N34</f>
        <v/>
      </c>
      <c r="O35" s="118" t="n"/>
      <c r="P35" s="118" t="n"/>
      <c r="Q35" s="118" t="n"/>
    </row>
    <row r="36" ht="15" customHeight="1">
      <c r="B36" s="118" t="inlineStr">
        <is>
          <t>PV of UFCF</t>
        </is>
      </c>
      <c r="C36" s="118" t="n"/>
      <c r="D36" s="120">
        <f>D26*D35</f>
        <v/>
      </c>
      <c r="E36" s="120">
        <f>E26*E35</f>
        <v/>
      </c>
      <c r="F36" s="120">
        <f>F26*F35</f>
        <v/>
      </c>
      <c r="G36" s="120">
        <f>G26*G35</f>
        <v/>
      </c>
      <c r="H36" s="120">
        <f>H26*H35</f>
        <v/>
      </c>
      <c r="I36" s="120">
        <f>I26*I35</f>
        <v/>
      </c>
      <c r="J36" s="120">
        <f>J26*J35</f>
        <v/>
      </c>
      <c r="K36" s="120">
        <f>K26*K35</f>
        <v/>
      </c>
      <c r="L36" s="120">
        <f>L26*L35</f>
        <v/>
      </c>
      <c r="M36" s="120">
        <f>M26*M35</f>
        <v/>
      </c>
      <c r="N36" s="120">
        <f>N28*N35</f>
        <v/>
      </c>
      <c r="O36" s="118" t="n"/>
      <c r="P36" s="118" t="n"/>
      <c r="Q36" s="118" t="n"/>
    </row>
    <row r="37" ht="15" customHeight="1">
      <c r="B37" s="118" t="n"/>
      <c r="C37" s="118" t="n"/>
      <c r="D37" s="142" t="inlineStr">
        <is>
          <t>Wabtec's Adjusted EBITDA expenses stock-based compensation; Adjusted EBIT deducts all D&amp;A incl. ~$350m p.a. of acquired-intangible amortization (non-cash, added back in row 23). The 1H/26 Dellner cash consideration (~$1.06bn) is excluded from 2026E UFCF and added to opening invested capital.</t>
        </is>
      </c>
      <c r="E37" s="118" t="n"/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118" t="n"/>
      <c r="O37" s="118" t="n"/>
      <c r="P37" s="118" t="n"/>
      <c r="Q37" s="118" t="n"/>
    </row>
    <row r="38">
      <c r="B38" s="118" t="n"/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118" t="n"/>
      <c r="O38" s="118" t="n"/>
      <c r="P38" s="118" t="n"/>
      <c r="Q38" s="118" t="n"/>
    </row>
    <row r="39" ht="15.75" customHeight="1">
      <c r="B39" s="118" t="inlineStr">
        <is>
          <t>Implied ROIC &amp; incremental ROIC (USDm)</t>
        </is>
      </c>
      <c r="C39" s="118" t="n"/>
      <c r="D39" s="153">
        <f>D17</f>
        <v/>
      </c>
      <c r="E39" s="153">
        <f>E17</f>
        <v/>
      </c>
      <c r="F39" s="153">
        <f>F17</f>
        <v/>
      </c>
      <c r="G39" s="153">
        <f>G17</f>
        <v/>
      </c>
      <c r="H39" s="153">
        <f>H17</f>
        <v/>
      </c>
      <c r="I39" s="153">
        <f>I17</f>
        <v/>
      </c>
      <c r="J39" s="153">
        <f>J17</f>
        <v/>
      </c>
      <c r="K39" s="153">
        <f>K17</f>
        <v/>
      </c>
      <c r="L39" s="153">
        <f>L17</f>
        <v/>
      </c>
      <c r="M39" s="153">
        <f>M17</f>
        <v/>
      </c>
      <c r="N39" s="153" t="inlineStr">
        <is>
          <t>Terminal</t>
        </is>
      </c>
      <c r="O39" s="118" t="n"/>
      <c r="P39" s="118" t="n"/>
      <c r="Q39" s="118" t="n"/>
    </row>
    <row r="40" ht="15.75" customHeight="1">
      <c r="B40" s="118" t="inlineStr">
        <is>
          <t>NOPAT (row 22)</t>
        </is>
      </c>
      <c r="C40" s="118" t="n"/>
      <c r="D40" s="127">
        <f>D22</f>
        <v/>
      </c>
      <c r="E40" s="127">
        <f>E22</f>
        <v/>
      </c>
      <c r="F40" s="127">
        <f>F22</f>
        <v/>
      </c>
      <c r="G40" s="127">
        <f>G22</f>
        <v/>
      </c>
      <c r="H40" s="127">
        <f>H22</f>
        <v/>
      </c>
      <c r="I40" s="127">
        <f>I22</f>
        <v/>
      </c>
      <c r="J40" s="127">
        <f>J22</f>
        <v/>
      </c>
      <c r="K40" s="127">
        <f>K22</f>
        <v/>
      </c>
      <c r="L40" s="127">
        <f>L22</f>
        <v/>
      </c>
      <c r="M40" s="127">
        <f>M22</f>
        <v/>
      </c>
      <c r="N40" s="127">
        <f>M40*(1+$C$32)</f>
        <v/>
      </c>
      <c r="O40" s="118" t="n"/>
      <c r="P40" s="118" t="n"/>
      <c r="Q40" s="118" t="n"/>
    </row>
    <row r="41" ht="15.75" customHeight="1">
      <c r="B41" s="118" t="inlineStr">
        <is>
          <t>Net investment  =  NOPAT − UFCF</t>
        </is>
      </c>
      <c r="C41" s="118" t="n"/>
      <c r="D41" s="127">
        <f>D40-D26</f>
        <v/>
      </c>
      <c r="E41" s="127">
        <f>E40-E26</f>
        <v/>
      </c>
      <c r="F41" s="127">
        <f>F40-F26</f>
        <v/>
      </c>
      <c r="G41" s="127">
        <f>G40-G26</f>
        <v/>
      </c>
      <c r="H41" s="127">
        <f>H40-H26</f>
        <v/>
      </c>
      <c r="I41" s="127">
        <f>I40-I26</f>
        <v/>
      </c>
      <c r="J41" s="127">
        <f>J40-J26</f>
        <v/>
      </c>
      <c r="K41" s="127">
        <f>K40-K26</f>
        <v/>
      </c>
      <c r="L41" s="127">
        <f>L40-L26</f>
        <v/>
      </c>
      <c r="M41" s="127">
        <f>M40-M26</f>
        <v/>
      </c>
      <c r="N41" s="127">
        <f>N40-N26</f>
        <v/>
      </c>
      <c r="O41" s="118" t="n"/>
      <c r="P41" s="118" t="n"/>
      <c r="Q41" s="118" t="n"/>
    </row>
    <row r="42" ht="15.75" customHeight="1">
      <c r="B42" s="118" t="inlineStr">
        <is>
          <t>Opening invested capital</t>
        </is>
      </c>
      <c r="C42" s="118" t="n"/>
      <c r="D42" s="147">
        <f>Model!BV406-Model!CA268</f>
        <v/>
      </c>
      <c r="E42" s="127">
        <f>D43</f>
        <v/>
      </c>
      <c r="F42" s="127">
        <f>E43</f>
        <v/>
      </c>
      <c r="G42" s="127">
        <f>F43</f>
        <v/>
      </c>
      <c r="H42" s="127">
        <f>G43</f>
        <v/>
      </c>
      <c r="I42" s="127">
        <f>H43</f>
        <v/>
      </c>
      <c r="J42" s="127">
        <f>I43</f>
        <v/>
      </c>
      <c r="K42" s="127">
        <f>J43</f>
        <v/>
      </c>
      <c r="L42" s="127">
        <f>K43</f>
        <v/>
      </c>
      <c r="M42" s="127">
        <f>L43</f>
        <v/>
      </c>
      <c r="N42" s="127">
        <f>M43</f>
        <v/>
      </c>
      <c r="O42" s="118" t="n"/>
      <c r="P42" s="118" t="n"/>
      <c r="Q42" s="118" t="n"/>
    </row>
    <row r="43" ht="15.75" customHeight="1">
      <c r="B43" s="118" t="inlineStr">
        <is>
          <t>Closing invested capital</t>
        </is>
      </c>
      <c r="C43" s="118" t="n"/>
      <c r="D43" s="127">
        <f>D42+D41</f>
        <v/>
      </c>
      <c r="E43" s="127">
        <f>E42+E41</f>
        <v/>
      </c>
      <c r="F43" s="127">
        <f>F42+F41</f>
        <v/>
      </c>
      <c r="G43" s="127">
        <f>G42+G41</f>
        <v/>
      </c>
      <c r="H43" s="127">
        <f>H42+H41</f>
        <v/>
      </c>
      <c r="I43" s="127">
        <f>I42+I41</f>
        <v/>
      </c>
      <c r="J43" s="127">
        <f>J42+J41</f>
        <v/>
      </c>
      <c r="K43" s="127">
        <f>K42+K41</f>
        <v/>
      </c>
      <c r="L43" s="127">
        <f>L42+L41</f>
        <v/>
      </c>
      <c r="M43" s="127">
        <f>M42+M41</f>
        <v/>
      </c>
      <c r="N43" s="127" t="n"/>
      <c r="O43" s="118" t="n"/>
      <c r="P43" s="118" t="n"/>
      <c r="Q43" s="118" t="n"/>
    </row>
    <row r="44" ht="15.75" customHeight="1">
      <c r="B44" s="128" t="inlineStr">
        <is>
          <t>Implied ROIC  =  NOPAT / opening IC</t>
        </is>
      </c>
      <c r="C44" s="129" t="n"/>
      <c r="D44" s="130">
        <f>IFERROR(D40/D42,"")</f>
        <v/>
      </c>
      <c r="E44" s="130">
        <f>IFERROR(E40/E42,"")</f>
        <v/>
      </c>
      <c r="F44" s="130">
        <f>IFERROR(F40/F42,"")</f>
        <v/>
      </c>
      <c r="G44" s="130">
        <f>IFERROR(G40/G42,"")</f>
        <v/>
      </c>
      <c r="H44" s="130">
        <f>IFERROR(H40/H42,"")</f>
        <v/>
      </c>
      <c r="I44" s="130">
        <f>IFERROR(I40/I42,"")</f>
        <v/>
      </c>
      <c r="J44" s="130">
        <f>IFERROR(J40/J42,"")</f>
        <v/>
      </c>
      <c r="K44" s="130">
        <f>IFERROR(K40/K42,"")</f>
        <v/>
      </c>
      <c r="L44" s="130">
        <f>IFERROR(L40/L42,"")</f>
        <v/>
      </c>
      <c r="M44" s="130">
        <f>IFERROR(M40/M42,"")</f>
        <v/>
      </c>
      <c r="N44" s="130">
        <f>IFERROR(N40/N42,"")</f>
        <v/>
      </c>
      <c r="O44" s="118" t="n"/>
      <c r="P44" s="118" t="n"/>
      <c r="Q44" s="118" t="n"/>
    </row>
    <row r="45" ht="15.75" customHeight="1">
      <c r="B45" s="118" t="inlineStr">
        <is>
          <t>Reinvestment rate  =  net inv. / NOPAT</t>
        </is>
      </c>
      <c r="C45" s="131" t="n"/>
      <c r="D45" s="121">
        <f>IFERROR(D41/D40,"")</f>
        <v/>
      </c>
      <c r="E45" s="121">
        <f>IFERROR(E41/E40,"")</f>
        <v/>
      </c>
      <c r="F45" s="121">
        <f>IFERROR(F41/F40,"")</f>
        <v/>
      </c>
      <c r="G45" s="121">
        <f>IFERROR(G41/G40,"")</f>
        <v/>
      </c>
      <c r="H45" s="121">
        <f>IFERROR(H41/H40,"")</f>
        <v/>
      </c>
      <c r="I45" s="121">
        <f>IFERROR(I41/I40,"")</f>
        <v/>
      </c>
      <c r="J45" s="121">
        <f>IFERROR(J41/J40,"")</f>
        <v/>
      </c>
      <c r="K45" s="121">
        <f>IFERROR(K41/K40,"")</f>
        <v/>
      </c>
      <c r="L45" s="121">
        <f>IFERROR(L41/L40,"")</f>
        <v/>
      </c>
      <c r="M45" s="121">
        <f>IFERROR(M41/M40,"")</f>
        <v/>
      </c>
      <c r="N45" s="121">
        <f>IFERROR(N41/N40,"")</f>
        <v/>
      </c>
      <c r="O45" s="118" t="n"/>
      <c r="P45" s="118" t="n"/>
      <c r="Q45" s="118" t="n"/>
    </row>
    <row r="46" ht="15.75" customHeight="1">
      <c r="B46" s="128" t="inlineStr">
        <is>
          <t>Incremental ROIC  =  Δ NOPAT / prior-yr net inv.</t>
        </is>
      </c>
      <c r="C46" s="129" t="n"/>
      <c r="D46" s="130" t="n"/>
      <c r="E46" s="130">
        <f>IFERROR((E40-D40)/D41,"")</f>
        <v/>
      </c>
      <c r="F46" s="130">
        <f>IFERROR((F40-E40)/E41,"")</f>
        <v/>
      </c>
      <c r="G46" s="130">
        <f>IFERROR((G40-F40)/F41,"")</f>
        <v/>
      </c>
      <c r="H46" s="130">
        <f>IFERROR((H40-G40)/G41,"")</f>
        <v/>
      </c>
      <c r="I46" s="130">
        <f>IFERROR((I40-H40)/H41,"")</f>
        <v/>
      </c>
      <c r="J46" s="130">
        <f>IFERROR((J40-I40)/I41,"")</f>
        <v/>
      </c>
      <c r="K46" s="130">
        <f>IFERROR((K40-J40)/J41,"")</f>
        <v/>
      </c>
      <c r="L46" s="130">
        <f>IFERROR((L40-K40)/K41,"")</f>
        <v/>
      </c>
      <c r="M46" s="130">
        <f>IFERROR((M40-L40)/L41,"")</f>
        <v/>
      </c>
      <c r="N46" s="130">
        <f>IFERROR($C$32/N45,"")</f>
        <v/>
      </c>
      <c r="O46" s="118" t="n"/>
      <c r="P46" s="118" t="n"/>
      <c r="Q46" s="118" t="n"/>
    </row>
    <row r="47" ht="15.75" customHeight="1">
      <c r="B47" s="118" t="inlineStr">
        <is>
          <t>Cumulative incremental ROIC 2026E–35E</t>
        </is>
      </c>
      <c r="C47" s="121">
        <f>IFERROR((M40-D40)/SUM(D41:L41),"")</f>
        <v/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18" t="n"/>
      <c r="P47" s="118" t="n"/>
      <c r="Q47" s="118" t="n"/>
    </row>
    <row r="48">
      <c r="B48" s="118" t="n"/>
      <c r="C48" s="118" t="n"/>
      <c r="D48" s="142" t="inlineStr">
        <is>
          <t>Opening IC = Model 2025A book IC (equity + net debt) + 2026 acquisitions (Dellner, ~$1.06bn cash), rolled forward with DCF net investment (capex + M&amp;A − D&amp;A + ΔWC). Terminal incremental ROIC = g / reinvestment rate.</t>
        </is>
      </c>
      <c r="E48" s="118" t="n"/>
      <c r="F48" s="118" t="n"/>
      <c r="G48" s="118" t="n"/>
      <c r="H48" s="118" t="n"/>
      <c r="I48" s="118" t="n"/>
      <c r="J48" s="118" t="n"/>
      <c r="K48" s="118" t="n"/>
      <c r="L48" s="118" t="n"/>
      <c r="M48" s="118" t="n"/>
      <c r="N48" s="118" t="n"/>
      <c r="O48" s="118" t="n"/>
      <c r="P48" s="118" t="n"/>
      <c r="Q48" s="118" t="n"/>
    </row>
    <row r="49" ht="15" customHeight="1">
      <c r="B49" s="139" t="inlineStr">
        <is>
          <t>3. VALUATION SUMMARY</t>
        </is>
      </c>
      <c r="C49" s="118" t="n"/>
      <c r="D49" s="118" t="n"/>
      <c r="E49" s="118" t="n"/>
      <c r="F49" s="118" t="n"/>
      <c r="G49" s="118" t="n"/>
      <c r="H49" s="118" t="n"/>
      <c r="I49" s="118" t="n"/>
      <c r="J49" s="118" t="n"/>
      <c r="K49" s="118" t="n"/>
      <c r="L49" s="118" t="n"/>
      <c r="M49" s="118" t="n"/>
      <c r="N49" s="118" t="n"/>
      <c r="O49" s="118" t="n"/>
      <c r="P49" s="118" t="n"/>
      <c r="Q49" s="118" t="n"/>
    </row>
    <row r="50" ht="15" customHeight="1">
      <c r="B50" s="140" t="inlineStr">
        <is>
          <t>Sum of PV (explicit + fade)</t>
        </is>
      </c>
      <c r="C50" s="120">
        <f>SUM(D36:M36)</f>
        <v/>
      </c>
      <c r="D50" s="118" t="n"/>
      <c r="E50" s="118" t="n"/>
      <c r="F50" s="118" t="n"/>
      <c r="G50" s="118" t="n"/>
      <c r="H50" s="118" t="n"/>
      <c r="I50" s="118" t="n"/>
      <c r="J50" s="118" t="n"/>
      <c r="K50" s="118" t="n"/>
      <c r="L50" s="118" t="n"/>
      <c r="M50" s="118" t="n"/>
      <c r="N50" s="118" t="n"/>
      <c r="O50" s="118" t="n"/>
      <c r="P50" s="118" t="n"/>
      <c r="Q50" s="118" t="n"/>
    </row>
    <row r="51" ht="15" customHeight="1">
      <c r="B51" s="140" t="inlineStr">
        <is>
          <t>PV of Terminal Value</t>
        </is>
      </c>
      <c r="C51" s="120">
        <f>N36</f>
        <v/>
      </c>
      <c r="D51" s="118" t="n"/>
      <c r="E51" s="118" t="n"/>
      <c r="F51" s="118" t="n"/>
      <c r="G51" s="118" t="n"/>
      <c r="H51" s="118" t="n"/>
      <c r="I51" s="118" t="n"/>
      <c r="J51" s="118" t="n"/>
      <c r="K51" s="118" t="n"/>
      <c r="L51" s="118" t="n"/>
      <c r="M51" s="118" t="n"/>
      <c r="N51" s="118" t="n"/>
      <c r="O51" s="118" t="n"/>
      <c r="P51" s="118" t="n"/>
      <c r="Q51" s="118" t="n"/>
    </row>
    <row r="52" ht="15" customHeight="1">
      <c r="B52" s="145" t="inlineStr">
        <is>
          <t>Enterprise Value</t>
        </is>
      </c>
      <c r="C52" s="149">
        <f>C50+C51</f>
        <v/>
      </c>
      <c r="D52" s="118" t="n"/>
      <c r="E52" s="118" t="n"/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118" t="n"/>
      <c r="O52" s="118" t="n"/>
      <c r="P52" s="118" t="n"/>
      <c r="Q52" s="118" t="n"/>
    </row>
    <row r="53" ht="15" customHeight="1">
      <c r="B53" s="140" t="inlineStr">
        <is>
          <t>Less: net debt (Model 2026E YE)</t>
        </is>
      </c>
      <c r="C53" s="120">
        <f>Model!CA426</f>
        <v/>
      </c>
      <c r="D53" s="118" t="n"/>
      <c r="E53" s="118" t="n"/>
      <c r="F53" s="118" t="n"/>
      <c r="G53" s="118" t="n"/>
      <c r="H53" s="118" t="n"/>
      <c r="I53" s="118" t="n"/>
      <c r="J53" s="118" t="n"/>
      <c r="K53" s="118" t="n"/>
      <c r="L53" s="118" t="n"/>
      <c r="M53" s="118" t="n"/>
      <c r="N53" s="118" t="n"/>
      <c r="O53" s="118" t="n"/>
      <c r="P53" s="118" t="n"/>
      <c r="Q53" s="118" t="n"/>
    </row>
    <row r="54" ht="15" customHeight="1">
      <c r="B54" s="140" t="inlineStr">
        <is>
          <t>Less: non-controlling interests (Model 2026E)</t>
        </is>
      </c>
      <c r="C54" s="120">
        <f>Model!CA337</f>
        <v/>
      </c>
      <c r="D54" s="118" t="n"/>
      <c r="E54" s="118" t="n"/>
      <c r="F54" s="118" t="n"/>
      <c r="G54" s="118" t="n"/>
      <c r="H54" s="118" t="n"/>
      <c r="I54" s="118" t="n"/>
      <c r="J54" s="118" t="n"/>
      <c r="K54" s="118" t="n"/>
      <c r="L54" s="118" t="n"/>
      <c r="M54" s="118" t="n"/>
      <c r="N54" s="118" t="n"/>
      <c r="O54" s="118" t="n"/>
      <c r="P54" s="118" t="n"/>
      <c r="Q54" s="118" t="n"/>
    </row>
    <row r="55" ht="15" customHeight="1">
      <c r="B55" s="145" t="inlineStr">
        <is>
          <t>Equity Value</t>
        </is>
      </c>
      <c r="C55" s="149">
        <f>C52-C53-C54</f>
        <v/>
      </c>
      <c r="D55" s="118" t="n"/>
      <c r="E55" s="118" t="n"/>
      <c r="F55" s="118" t="n"/>
      <c r="G55" s="118" t="n"/>
      <c r="H55" s="118" t="n"/>
      <c r="I55" s="118" t="n"/>
      <c r="J55" s="118" t="n"/>
      <c r="K55" s="118" t="n"/>
      <c r="L55" s="118" t="n"/>
      <c r="M55" s="118" t="n"/>
      <c r="N55" s="118" t="n"/>
      <c r="O55" s="118" t="n"/>
      <c r="P55" s="118" t="n"/>
      <c r="Q55" s="118" t="n"/>
    </row>
    <row r="56" ht="15" customHeight="1">
      <c r="B56" s="140" t="inlineStr">
        <is>
          <t>Diluted shares (m, Model 2026E period end)</t>
        </is>
      </c>
      <c r="C56" s="132">
        <f>Model!CA432</f>
        <v/>
      </c>
      <c r="D56" s="118" t="n"/>
      <c r="E56" s="118" t="n"/>
      <c r="F56" s="118" t="n"/>
      <c r="G56" s="118" t="n"/>
      <c r="H56" s="118" t="n"/>
      <c r="I56" s="118" t="n"/>
      <c r="J56" s="118" t="n"/>
      <c r="K56" s="118" t="n"/>
      <c r="L56" s="118" t="n"/>
      <c r="M56" s="118" t="n"/>
      <c r="N56" s="118" t="n"/>
      <c r="O56" s="118" t="n"/>
      <c r="P56" s="118" t="n"/>
      <c r="Q56" s="118" t="n"/>
    </row>
    <row r="57" ht="15" customHeight="1">
      <c r="B57" s="145" t="inlineStr">
        <is>
          <t>Implied share price ($)</t>
        </is>
      </c>
      <c r="C57" s="154">
        <f>C55/C56</f>
        <v/>
      </c>
      <c r="D57" s="118" t="n"/>
      <c r="E57" s="118" t="n"/>
      <c r="F57" s="118" t="n"/>
      <c r="G57" s="118" t="n"/>
      <c r="H57" s="118" t="n"/>
      <c r="I57" s="118" t="n"/>
      <c r="J57" s="118" t="n"/>
      <c r="K57" s="118" t="n"/>
      <c r="L57" s="118" t="n"/>
      <c r="M57" s="118" t="n"/>
      <c r="N57" s="118" t="n"/>
      <c r="O57" s="118" t="n"/>
      <c r="P57" s="118" t="n"/>
      <c r="Q57" s="118" t="n"/>
    </row>
    <row r="58" ht="15" customHeight="1">
      <c r="B58" s="140" t="inlineStr">
        <is>
          <t>Current share price ($)</t>
        </is>
      </c>
      <c r="C58" s="133">
        <f>Model!CA431</f>
        <v/>
      </c>
      <c r="D58" s="118" t="n"/>
      <c r="E58" s="118" t="n"/>
      <c r="F58" s="118" t="n"/>
      <c r="G58" s="118" t="n"/>
      <c r="H58" s="118" t="n"/>
      <c r="I58" s="118" t="n"/>
      <c r="J58" s="118" t="n"/>
      <c r="K58" s="118" t="n"/>
      <c r="L58" s="118" t="n"/>
      <c r="M58" s="118" t="n"/>
      <c r="N58" s="118" t="n"/>
      <c r="O58" s="118" t="n"/>
      <c r="P58" s="118" t="n"/>
      <c r="Q58" s="118" t="n"/>
    </row>
    <row r="59" ht="15" customHeight="1">
      <c r="B59" s="140" t="inlineStr">
        <is>
          <t>Implied upside / (downside)</t>
        </is>
      </c>
      <c r="C59" s="131">
        <f>C57/C58-1</f>
        <v/>
      </c>
      <c r="D59" s="118" t="n"/>
      <c r="E59" s="118" t="n"/>
      <c r="F59" s="118" t="n"/>
      <c r="G59" s="118" t="n"/>
      <c r="H59" s="118" t="n"/>
      <c r="I59" s="118" t="n"/>
      <c r="J59" s="118" t="n"/>
      <c r="K59" s="118" t="n"/>
      <c r="L59" s="118" t="n"/>
      <c r="M59" s="118" t="n"/>
      <c r="N59" s="118" t="n"/>
      <c r="O59" s="118" t="n"/>
      <c r="P59" s="118" t="n"/>
      <c r="Q59" s="118" t="n"/>
    </row>
    <row r="60" ht="15" customHeight="1">
      <c r="B60" s="118" t="inlineStr">
        <is>
          <t>Required discount to DCF value for target IRR (discount closes over horizon; value compounds at WACC)</t>
        </is>
      </c>
      <c r="C60" s="121">
        <f>1-((1+C13)/(1+F60))^F61</f>
        <v/>
      </c>
      <c r="D60" s="118" t="n"/>
      <c r="E60" s="159" t="inlineStr">
        <is>
          <t>Target IRR</t>
        </is>
      </c>
      <c r="F60" s="160" t="n">
        <v>0.15</v>
      </c>
      <c r="G60" s="118" t="n"/>
      <c r="H60" s="118" t="n"/>
      <c r="I60" s="118" t="n"/>
      <c r="J60" s="118" t="n"/>
      <c r="K60" s="118" t="n"/>
      <c r="L60" s="118" t="n"/>
      <c r="M60" s="118" t="n"/>
      <c r="N60" s="118" t="n"/>
      <c r="O60" s="118" t="n"/>
      <c r="P60" s="118" t="n"/>
      <c r="Q60" s="118" t="n"/>
    </row>
    <row r="61" ht="15" customHeight="1">
      <c r="B61" s="118" t="inlineStr">
        <is>
          <t>Max entry price for target IRR ($) — % vs. current share price shown right</t>
        </is>
      </c>
      <c r="C61" s="161">
        <f>C57*(1-C60)</f>
        <v/>
      </c>
      <c r="D61" s="170">
        <f>C61/C58-1</f>
        <v/>
      </c>
      <c r="E61" s="159" t="inlineStr">
        <is>
          <t>Years for discount to close</t>
        </is>
      </c>
      <c r="F61" s="162" t="n">
        <v>3</v>
      </c>
      <c r="G61" s="118" t="n"/>
      <c r="H61" s="118" t="n"/>
      <c r="I61" s="118" t="n"/>
      <c r="J61" s="118" t="n"/>
      <c r="K61" s="118" t="n"/>
      <c r="L61" s="118" t="n"/>
      <c r="M61" s="118" t="n"/>
      <c r="N61" s="118" t="n"/>
      <c r="O61" s="118" t="n"/>
      <c r="P61" s="118" t="n"/>
      <c r="Q61" s="118" t="n"/>
    </row>
    <row r="62">
      <c r="B62" s="118" t="n"/>
      <c r="C62" s="118" t="n"/>
      <c r="D62" s="118" t="n"/>
      <c r="E62" s="118" t="n"/>
      <c r="F62" s="118" t="n"/>
      <c r="G62" s="118" t="n"/>
      <c r="H62" s="118" t="n"/>
      <c r="I62" s="118" t="n"/>
      <c r="J62" s="118" t="n"/>
      <c r="K62" s="118" t="n"/>
      <c r="L62" s="118" t="n"/>
      <c r="M62" s="118" t="n"/>
      <c r="N62" s="118" t="n"/>
      <c r="O62" s="118" t="n"/>
      <c r="P62" s="118" t="n"/>
      <c r="Q62" s="118" t="n"/>
    </row>
    <row r="63">
      <c r="B63" s="118" t="n"/>
      <c r="C63" s="118" t="n"/>
      <c r="D63" s="118" t="n"/>
      <c r="E63" s="118" t="n"/>
      <c r="F63" s="118" t="n"/>
      <c r="G63" s="118" t="n"/>
      <c r="H63" s="118" t="n"/>
      <c r="I63" s="118" t="n"/>
      <c r="J63" s="118" t="n"/>
      <c r="K63" s="118" t="n"/>
      <c r="L63" s="118" t="n"/>
      <c r="M63" s="118" t="n"/>
      <c r="N63" s="118" t="n"/>
      <c r="O63" s="118" t="n"/>
      <c r="P63" s="118" t="n"/>
      <c r="Q63" s="118" t="n"/>
    </row>
    <row r="64" ht="15" customHeight="1">
      <c r="B64" s="139" t="inlineStr">
        <is>
          <t>4. SENSITIVITY: IMPLIED PRICE ($) — WACC × Terminal Growth</t>
        </is>
      </c>
      <c r="C64" s="118" t="n"/>
      <c r="D64" s="118" t="n"/>
      <c r="E64" s="118" t="n"/>
      <c r="F64" s="118" t="n"/>
      <c r="G64" s="118" t="n"/>
      <c r="H64" s="118" t="n"/>
      <c r="I64" s="118" t="n"/>
      <c r="J64" s="118" t="n"/>
      <c r="K64" s="118" t="n"/>
      <c r="L64" s="118" t="n"/>
      <c r="M64" s="118" t="n"/>
      <c r="N64" s="118" t="n"/>
      <c r="O64" s="118" t="n"/>
      <c r="P64" s="118" t="n"/>
      <c r="Q64" s="118" t="n"/>
    </row>
    <row r="65">
      <c r="B65" s="118" t="inlineStr">
        <is>
          <t>WACC step (across)</t>
        </is>
      </c>
      <c r="C65" s="134" t="n">
        <v>0.005</v>
      </c>
      <c r="D65" s="118" t="n"/>
      <c r="E65" s="118" t="n"/>
      <c r="F65" s="118" t="n"/>
      <c r="G65" s="118" t="n"/>
      <c r="H65" s="118" t="n"/>
      <c r="I65" s="118" t="n"/>
      <c r="J65" s="118" t="n"/>
      <c r="K65" s="118" t="n"/>
      <c r="L65" s="118" t="n"/>
      <c r="M65" s="118" t="n"/>
      <c r="N65" s="118" t="n"/>
      <c r="O65" s="118" t="n"/>
      <c r="P65" s="118" t="n"/>
      <c r="Q65" s="118" t="n"/>
    </row>
    <row r="66" ht="15" customHeight="1">
      <c r="B66" s="118" t="inlineStr">
        <is>
          <t>Terminal growth step (down)</t>
        </is>
      </c>
      <c r="C66" s="134" t="n">
        <v>0.005</v>
      </c>
      <c r="D66" s="118" t="n"/>
      <c r="E66" s="118" t="n"/>
      <c r="F66" s="118" t="n"/>
      <c r="G66" s="118" t="n"/>
      <c r="H66" s="118" t="n"/>
      <c r="I66" s="118" t="n"/>
      <c r="J66" s="118" t="n"/>
      <c r="K66" s="118" t="n"/>
      <c r="L66" s="118" t="n"/>
      <c r="M66" s="118" t="n"/>
      <c r="N66" s="118" t="n"/>
      <c r="O66" s="118" t="n"/>
      <c r="P66" s="118" t="n"/>
      <c r="Q66" s="118" t="n"/>
    </row>
    <row r="67" ht="15" customHeight="1">
      <c r="B67" s="118" t="inlineStr">
        <is>
          <t>g (down) / WACC</t>
        </is>
      </c>
      <c r="C67" s="118" t="n"/>
      <c r="D67" s="155">
        <f>E67-$C$65</f>
        <v/>
      </c>
      <c r="E67" s="155">
        <f>F67-$C$65</f>
        <v/>
      </c>
      <c r="F67" s="155">
        <f>$C$13</f>
        <v/>
      </c>
      <c r="G67" s="155">
        <f>F67+$C$65</f>
        <v/>
      </c>
      <c r="H67" s="155">
        <f>G67+$C$65</f>
        <v/>
      </c>
      <c r="I67" s="118" t="n"/>
      <c r="J67" s="118" t="n"/>
      <c r="K67" s="118" t="n"/>
      <c r="L67" s="118" t="n"/>
      <c r="M67" s="118" t="n"/>
      <c r="N67" s="118" t="n"/>
      <c r="O67" s="118" t="n"/>
      <c r="P67" s="118" t="n"/>
      <c r="Q67" s="118" t="n"/>
    </row>
    <row r="68" ht="15" customHeight="1">
      <c r="B68" s="155">
        <f>B69-$C$66</f>
        <v/>
      </c>
      <c r="C68" s="118" t="n"/>
      <c r="D68" s="135">
        <f>IFERROR((SUMPRODUCT($D$26:$M$26/(1+D$67)^$D$34:$M$34)+($M$26*(1+$B68)/(D$67-$B68))/(1+D$67)^$M$34-$C$53-$C$54)/$C$56,"")</f>
        <v/>
      </c>
      <c r="E68" s="135">
        <f>IFERROR((SUMPRODUCT($D$26:$M$26/(1+E$67)^$D$34:$M$34)+($M$26*(1+$B68)/(E$67-$B68))/(1+E$67)^$M$34-$C$53-$C$54)/$C$56,"")</f>
        <v/>
      </c>
      <c r="F68" s="135">
        <f>IFERROR((SUMPRODUCT($D$26:$M$26/(1+F$67)^$D$34:$M$34)+($M$26*(1+$B68)/(F$67-$B68))/(1+F$67)^$M$34-$C$53-$C$54)/$C$56,"")</f>
        <v/>
      </c>
      <c r="G68" s="135">
        <f>IFERROR((SUMPRODUCT($D$26:$M$26/(1+G$67)^$D$34:$M$34)+($M$26*(1+$B68)/(G$67-$B68))/(1+G$67)^$M$34-$C$53-$C$54)/$C$56,"")</f>
        <v/>
      </c>
      <c r="H68" s="135">
        <f>IFERROR((SUMPRODUCT($D$26:$M$26/(1+H$67)^$D$34:$M$34)+($M$26*(1+$B68)/(H$67-$B68))/(1+H$67)^$M$34-$C$53-$C$54)/$C$56,"")</f>
        <v/>
      </c>
      <c r="I68" s="118" t="n"/>
      <c r="J68" s="118" t="n"/>
      <c r="K68" s="118" t="n"/>
      <c r="L68" s="118" t="n"/>
      <c r="M68" s="118" t="n"/>
      <c r="N68" s="118" t="n"/>
      <c r="O68" s="118" t="n"/>
      <c r="P68" s="118" t="n"/>
      <c r="Q68" s="118" t="n"/>
    </row>
    <row r="69" ht="15" customHeight="1">
      <c r="B69" s="155">
        <f>B70-$C$66</f>
        <v/>
      </c>
      <c r="C69" s="118" t="n"/>
      <c r="D69" s="135">
        <f>IFERROR((SUMPRODUCT($D$26:$M$26/(1+D$67)^$D$34:$M$34)+($M$26*(1+$B69)/(D$67-$B69))/(1+D$67)^$M$34-$C$53-$C$54)/$C$56,"")</f>
        <v/>
      </c>
      <c r="E69" s="135">
        <f>IFERROR((SUMPRODUCT($D$26:$M$26/(1+E$67)^$D$34:$M$34)+($M$26*(1+$B69)/(E$67-$B69))/(1+E$67)^$M$34-$C$53-$C$54)/$C$56,"")</f>
        <v/>
      </c>
      <c r="F69" s="135">
        <f>IFERROR((SUMPRODUCT($D$26:$M$26/(1+F$67)^$D$34:$M$34)+($M$26*(1+$B69)/(F$67-$B69))/(1+F$67)^$M$34-$C$53-$C$54)/$C$56,"")</f>
        <v/>
      </c>
      <c r="G69" s="135">
        <f>IFERROR((SUMPRODUCT($D$26:$M$26/(1+G$67)^$D$34:$M$34)+($M$26*(1+$B69)/(G$67-$B69))/(1+G$67)^$M$34-$C$53-$C$54)/$C$56,"")</f>
        <v/>
      </c>
      <c r="H69" s="135">
        <f>IFERROR((SUMPRODUCT($D$26:$M$26/(1+H$67)^$D$34:$M$34)+($M$26*(1+$B69)/(H$67-$B69))/(1+H$67)^$M$34-$C$53-$C$54)/$C$56,"")</f>
        <v/>
      </c>
      <c r="I69" s="118" t="n"/>
      <c r="J69" s="118" t="n"/>
      <c r="K69" s="118" t="n"/>
      <c r="L69" s="118" t="n"/>
      <c r="M69" s="118" t="n"/>
      <c r="N69" s="118" t="n"/>
      <c r="O69" s="118" t="n"/>
      <c r="P69" s="118" t="n"/>
      <c r="Q69" s="118" t="n"/>
    </row>
    <row r="70" ht="15" customHeight="1">
      <c r="B70" s="155">
        <f>$C$32</f>
        <v/>
      </c>
      <c r="C70" s="118" t="n"/>
      <c r="D70" s="135">
        <f>IFERROR((SUMPRODUCT($D$26:$M$26/(1+D$67)^$D$34:$M$34)+($M$26*(1+$B70)/(D$67-$B70))/(1+D$67)^$M$34-$C$53-$C$54)/$C$56,"")</f>
        <v/>
      </c>
      <c r="E70" s="135">
        <f>IFERROR((SUMPRODUCT($D$26:$M$26/(1+E$67)^$D$34:$M$34)+($M$26*(1+$B70)/(E$67-$B70))/(1+E$67)^$M$34-$C$53-$C$54)/$C$56,"")</f>
        <v/>
      </c>
      <c r="F70" s="136">
        <f>IFERROR((SUMPRODUCT($D$26:$M$26/(1+F$67)^$D$34:$M$34)+($M$26*(1+$B70)/(F$67-$B70))/(1+F$67)^$M$34-$C$53-$C$54)/$C$56,"")</f>
        <v/>
      </c>
      <c r="G70" s="135">
        <f>IFERROR((SUMPRODUCT($D$26:$M$26/(1+G$67)^$D$34:$M$34)+($M$26*(1+$B70)/(G$67-$B70))/(1+G$67)^$M$34-$C$53-$C$54)/$C$56,"")</f>
        <v/>
      </c>
      <c r="H70" s="135">
        <f>IFERROR((SUMPRODUCT($D$26:$M$26/(1+H$67)^$D$34:$M$34)+($M$26*(1+$B70)/(H$67-$B70))/(1+H$67)^$M$34-$C$53-$C$54)/$C$56,"")</f>
        <v/>
      </c>
      <c r="I70" s="118" t="n"/>
      <c r="J70" s="118" t="n"/>
      <c r="K70" s="118" t="n"/>
      <c r="L70" s="118" t="n"/>
      <c r="M70" s="118" t="n"/>
      <c r="N70" s="118" t="n"/>
      <c r="O70" s="118" t="n"/>
      <c r="P70" s="118" t="n"/>
      <c r="Q70" s="118" t="n"/>
    </row>
    <row r="71" ht="15" customHeight="1">
      <c r="B71" s="155">
        <f>B70+$C$66</f>
        <v/>
      </c>
      <c r="C71" s="118" t="n"/>
      <c r="D71" s="135">
        <f>IFERROR((SUMPRODUCT($D$26:$M$26/(1+D$67)^$D$34:$M$34)+($M$26*(1+$B71)/(D$67-$B71))/(1+D$67)^$M$34-$C$53-$C$54)/$C$56,"")</f>
        <v/>
      </c>
      <c r="E71" s="135">
        <f>IFERROR((SUMPRODUCT($D$26:$M$26/(1+E$67)^$D$34:$M$34)+($M$26*(1+$B71)/(E$67-$B71))/(1+E$67)^$M$34-$C$53-$C$54)/$C$56,"")</f>
        <v/>
      </c>
      <c r="F71" s="135">
        <f>IFERROR((SUMPRODUCT($D$26:$M$26/(1+F$67)^$D$34:$M$34)+($M$26*(1+$B71)/(F$67-$B71))/(1+F$67)^$M$34-$C$53-$C$54)/$C$56,"")</f>
        <v/>
      </c>
      <c r="G71" s="135">
        <f>IFERROR((SUMPRODUCT($D$26:$M$26/(1+G$67)^$D$34:$M$34)+($M$26*(1+$B71)/(G$67-$B71))/(1+G$67)^$M$34-$C$53-$C$54)/$C$56,"")</f>
        <v/>
      </c>
      <c r="H71" s="135">
        <f>IFERROR((SUMPRODUCT($D$26:$M$26/(1+H$67)^$D$34:$M$34)+($M$26*(1+$B71)/(H$67-$B71))/(1+H$67)^$M$34-$C$53-$C$54)/$C$56,"")</f>
        <v/>
      </c>
      <c r="I71" s="118" t="n"/>
      <c r="J71" s="118" t="n"/>
      <c r="K71" s="118" t="n"/>
      <c r="L71" s="118" t="n"/>
      <c r="M71" s="118" t="n"/>
      <c r="N71" s="118" t="n"/>
      <c r="O71" s="118" t="n"/>
      <c r="P71" s="118" t="n"/>
      <c r="Q71" s="118" t="n"/>
    </row>
    <row r="72" ht="15" customHeight="1">
      <c r="B72" s="155">
        <f>B71+$C$66</f>
        <v/>
      </c>
      <c r="C72" s="118" t="n"/>
      <c r="D72" s="135">
        <f>IFERROR((SUMPRODUCT($D$26:$M$26/(1+D$67)^$D$34:$M$34)+($M$26*(1+$B72)/(D$67-$B72))/(1+D$67)^$M$34-$C$53-$C$54)/$C$56,"")</f>
        <v/>
      </c>
      <c r="E72" s="135">
        <f>IFERROR((SUMPRODUCT($D$26:$M$26/(1+E$67)^$D$34:$M$34)+($M$26*(1+$B72)/(E$67-$B72))/(1+E$67)^$M$34-$C$53-$C$54)/$C$56,"")</f>
        <v/>
      </c>
      <c r="F72" s="135">
        <f>IFERROR((SUMPRODUCT($D$26:$M$26/(1+F$67)^$D$34:$M$34)+($M$26*(1+$B72)/(F$67-$B72))/(1+F$67)^$M$34-$C$53-$C$54)/$C$56,"")</f>
        <v/>
      </c>
      <c r="G72" s="135">
        <f>IFERROR((SUMPRODUCT($D$26:$M$26/(1+G$67)^$D$34:$M$34)+($M$26*(1+$B72)/(G$67-$B72))/(1+G$67)^$M$34-$C$53-$C$54)/$C$56,"")</f>
        <v/>
      </c>
      <c r="H72" s="135">
        <f>IFERROR((SUMPRODUCT($D$26:$M$26/(1+H$67)^$D$34:$M$34)+($M$26*(1+$B72)/(H$67-$B72))/(1+H$67)^$M$34-$C$53-$C$54)/$C$56,"")</f>
        <v/>
      </c>
      <c r="I72" s="118" t="n"/>
      <c r="J72" s="118" t="n"/>
      <c r="K72" s="118" t="n"/>
      <c r="L72" s="118" t="n"/>
      <c r="M72" s="118" t="n"/>
      <c r="N72" s="118" t="n"/>
      <c r="O72" s="118" t="n"/>
      <c r="P72" s="118" t="n"/>
      <c r="Q72" s="118" t="n"/>
    </row>
    <row r="73">
      <c r="B73" s="118" t="n"/>
      <c r="C73" s="118" t="n"/>
      <c r="D73" s="118" t="n"/>
      <c r="E73" s="118" t="n"/>
      <c r="F73" s="118" t="n"/>
      <c r="G73" s="118" t="n"/>
      <c r="H73" s="118" t="n"/>
      <c r="I73" s="118" t="n"/>
      <c r="J73" s="118" t="n"/>
      <c r="K73" s="118" t="n"/>
      <c r="L73" s="118" t="n"/>
      <c r="M73" s="118" t="n"/>
      <c r="N73" s="118" t="n"/>
      <c r="O73" s="118" t="n"/>
      <c r="P73" s="118" t="n"/>
      <c r="Q73" s="118" t="n"/>
    </row>
    <row r="74">
      <c r="B74" s="118" t="n"/>
      <c r="C74" s="118" t="n"/>
      <c r="D74" s="118" t="n"/>
      <c r="E74" s="118" t="n"/>
      <c r="F74" s="118" t="n"/>
      <c r="G74" s="118" t="n"/>
      <c r="H74" s="118" t="n"/>
      <c r="I74" s="118" t="n"/>
      <c r="J74" s="118" t="n"/>
      <c r="K74" s="118" t="n"/>
      <c r="L74" s="118" t="n"/>
      <c r="M74" s="118" t="n"/>
      <c r="N74" s="118" t="n"/>
      <c r="O74" s="118" t="n"/>
      <c r="P74" s="118" t="n"/>
      <c r="Q74" s="118" t="n"/>
    </row>
    <row r="75" ht="15" customHeight="1">
      <c r="B75" s="139" t="inlineStr">
        <is>
          <t>5. REVERSE DCF</t>
        </is>
      </c>
      <c r="C75" s="118" t="n"/>
      <c r="D75" s="118" t="n"/>
      <c r="E75" s="118" t="n"/>
      <c r="F75" s="118" t="n"/>
      <c r="G75" s="118" t="n"/>
      <c r="H75" s="118" t="n"/>
      <c r="I75" s="118" t="n"/>
      <c r="J75" s="118" t="n"/>
      <c r="K75" s="118" t="n"/>
      <c r="L75" s="118" t="n"/>
      <c r="M75" s="118" t="n"/>
      <c r="N75" s="118" t="n"/>
      <c r="O75" s="118" t="n"/>
      <c r="P75" s="118" t="n"/>
      <c r="Q75" s="118" t="n"/>
    </row>
    <row r="76" ht="15" customHeight="1">
      <c r="B76" s="142" t="inlineStr">
        <is>
          <t>To solve for the market-implied path: Data ▸ What-If Analysis ▸ Goal Seek — set C57 (implied price) to the current price (C58) by changing C32 (terminal growth) or the Model scenario levers (product-line growth, segment adjusted margins).</t>
        </is>
      </c>
      <c r="C76" s="118" t="n"/>
      <c r="D76" s="118" t="n"/>
      <c r="E76" s="118" t="n"/>
      <c r="F76" s="118" t="n"/>
      <c r="G76" s="118" t="n"/>
      <c r="H76" s="118" t="n"/>
      <c r="I76" s="118" t="n"/>
      <c r="J76" s="118" t="n"/>
      <c r="K76" s="118" t="n"/>
      <c r="L76" s="118" t="n"/>
      <c r="M76" s="118" t="n"/>
      <c r="N76" s="118" t="n"/>
      <c r="O76" s="118" t="n"/>
      <c r="P76" s="118" t="n"/>
      <c r="Q76" s="118" t="n"/>
    </row>
    <row r="77">
      <c r="B77" s="118" t="n"/>
      <c r="C77" s="118" t="n"/>
      <c r="D77" s="118" t="n"/>
      <c r="E77" s="118" t="n"/>
      <c r="F77" s="118" t="n"/>
      <c r="G77" s="118" t="n"/>
      <c r="H77" s="118" t="n"/>
      <c r="I77" s="118" t="n"/>
      <c r="J77" s="118" t="n"/>
      <c r="K77" s="118" t="n"/>
      <c r="L77" s="118" t="n"/>
      <c r="M77" s="118" t="n"/>
      <c r="N77" s="118" t="n"/>
      <c r="O77" s="118" t="n"/>
      <c r="P77" s="118" t="n"/>
      <c r="Q77" s="118" t="n"/>
    </row>
    <row r="78" ht="15" customHeight="1">
      <c r="B78" s="139" t="inlineStr">
        <is>
          <t>6. MAUBOUSSIN EV / NOPAT — TWO-STAGE FRAMEWORK</t>
        </is>
      </c>
      <c r="C78" s="118" t="n"/>
      <c r="D78" s="118" t="n"/>
      <c r="E78" s="118" t="n"/>
      <c r="F78" s="118" t="n"/>
      <c r="G78" s="118" t="n"/>
      <c r="H78" s="118" t="n"/>
      <c r="I78" s="118" t="n"/>
      <c r="J78" s="118" t="n"/>
      <c r="K78" s="118" t="n"/>
      <c r="L78" s="118" t="n"/>
      <c r="M78" s="118" t="n"/>
      <c r="N78" s="118" t="n"/>
      <c r="O78" s="118" t="n"/>
      <c r="P78" s="118" t="n"/>
      <c r="Q78" s="118" t="n"/>
    </row>
    <row r="79" ht="15" customHeight="1">
      <c r="B79" s="142" t="inlineStr">
        <is>
          <t>EV/NOPAT  =  1/r  +  [g × (1 − r/ROIIC) / (r × (r − g))] × [1 − ((1+g)/(1+r))^N]</t>
        </is>
      </c>
      <c r="C79" s="118" t="n"/>
      <c r="D79" s="118" t="n"/>
      <c r="E79" s="118" t="n"/>
      <c r="F79" s="118" t="n"/>
      <c r="G79" s="118" t="n"/>
      <c r="H79" s="118" t="n"/>
      <c r="I79" s="118" t="n"/>
      <c r="J79" s="118" t="n"/>
      <c r="K79" s="118" t="n"/>
      <c r="L79" s="118" t="n"/>
      <c r="M79" s="118" t="n"/>
      <c r="N79" s="118" t="n"/>
      <c r="O79" s="118" t="n"/>
      <c r="P79" s="118" t="n"/>
      <c r="Q79" s="118" t="n"/>
    </row>
    <row r="80" ht="15" customHeight="1">
      <c r="B80" s="142" t="inlineStr">
        <is>
          <t>Formula source: Mauboussin &amp; Rappaport, "Expectations Investing" (2021); Counterpoint Global, "What Does a Price-Earnings Multiple Mean?" (2020).</t>
        </is>
      </c>
      <c r="C80" s="118" t="n"/>
      <c r="D80" s="118" t="n"/>
      <c r="E80" s="118" t="n"/>
      <c r="F80" s="118" t="n"/>
      <c r="G80" s="118" t="n"/>
      <c r="H80" s="118" t="n"/>
      <c r="I80" s="118" t="n"/>
      <c r="J80" s="118" t="n"/>
      <c r="K80" s="118" t="n"/>
      <c r="L80" s="118" t="n"/>
      <c r="M80" s="118" t="n"/>
      <c r="N80" s="118" t="n"/>
      <c r="O80" s="118" t="n"/>
      <c r="P80" s="118" t="n"/>
      <c r="Q80" s="118" t="n"/>
    </row>
    <row r="81">
      <c r="B81" s="118" t="n"/>
      <c r="C81" s="118" t="n"/>
      <c r="D81" s="118" t="n"/>
      <c r="E81" s="118" t="n"/>
      <c r="F81" s="118" t="n"/>
      <c r="G81" s="118" t="n"/>
      <c r="H81" s="118" t="n"/>
      <c r="I81" s="118" t="n"/>
      <c r="J81" s="118" t="n"/>
      <c r="K81" s="118" t="n"/>
      <c r="L81" s="118" t="n"/>
      <c r="M81" s="118" t="n"/>
      <c r="N81" s="118" t="n"/>
      <c r="O81" s="118" t="n"/>
      <c r="P81" s="118" t="n"/>
      <c r="Q81" s="118" t="n"/>
    </row>
    <row r="82" ht="15" customHeight="1">
      <c r="B82" s="139" t="inlineStr">
        <is>
          <t>Input</t>
        </is>
      </c>
      <c r="C82" s="139" t="inlineStr">
        <is>
          <t>Value</t>
        </is>
      </c>
      <c r="D82" s="139" t="inlineStr">
        <is>
          <t>Rationale (Wabtec characteristics)</t>
        </is>
      </c>
      <c r="E82" s="118" t="n"/>
      <c r="F82" s="118" t="n"/>
      <c r="G82" s="118" t="n"/>
      <c r="H82" s="118" t="n"/>
      <c r="I82" s="118" t="n"/>
      <c r="J82" s="118" t="n"/>
      <c r="K82" s="118" t="n"/>
      <c r="L82" s="118" t="n"/>
      <c r="M82" s="118" t="n"/>
      <c r="N82" s="118" t="n"/>
      <c r="O82" s="118" t="n"/>
      <c r="P82" s="118" t="n"/>
      <c r="Q82" s="118" t="n"/>
    </row>
    <row r="83" ht="15" customHeight="1">
      <c r="B83" s="118" t="inlineStr">
        <is>
          <t>r  (Cost of capital / WACC)</t>
        </is>
      </c>
      <c r="C83" s="156">
        <f>$C$13</f>
        <v/>
      </c>
      <c r="D83" s="142" t="inlineStr">
        <is>
          <t>Linked from Section 1 WACC build</t>
        </is>
      </c>
      <c r="E83" s="118" t="n"/>
      <c r="F83" s="118" t="n"/>
      <c r="G83" s="118" t="n"/>
      <c r="H83" s="118" t="n"/>
      <c r="I83" s="118" t="n"/>
      <c r="J83" s="118" t="n"/>
      <c r="K83" s="118" t="n"/>
      <c r="L83" s="118" t="n"/>
      <c r="M83" s="118" t="n"/>
      <c r="N83" s="118" t="n"/>
      <c r="O83" s="118" t="n"/>
      <c r="P83" s="118" t="n"/>
      <c r="Q83" s="118" t="n"/>
    </row>
    <row r="84" ht="15" customHeight="1">
      <c r="B84" s="118" t="inlineStr">
        <is>
          <t>g  (NOPAT growth, Stage 1)</t>
        </is>
      </c>
      <c r="C84" s="141" t="n">
        <v>0.09</v>
      </c>
      <c r="D84" s="142" t="inlineStr">
        <is>
          <t>Model Adjusted EBIT CAGR 2026–30E: mid-single-digit organic growth (locomotive &amp; digital backlog), 50–100 bps p.a. margin expansion, bolt-on M&amp;A → ~9–10% NOPAT growth</t>
        </is>
      </c>
      <c r="E84" s="118" t="n"/>
      <c r="F84" s="118" t="n"/>
      <c r="G84" s="118" t="n"/>
      <c r="H84" s="118" t="n"/>
      <c r="I84" s="118" t="n"/>
      <c r="J84" s="118" t="n"/>
      <c r="K84" s="118" t="n"/>
      <c r="L84" s="118" t="n"/>
      <c r="M84" s="118" t="n"/>
      <c r="N84" s="118" t="n"/>
      <c r="O84" s="118" t="n"/>
      <c r="P84" s="118" t="n"/>
      <c r="Q84" s="118" t="n"/>
    </row>
    <row r="85" ht="15" customHeight="1">
      <c r="B85" s="118" t="inlineStr">
        <is>
          <t>ROIIC  (Return on incremental invested capital)</t>
        </is>
      </c>
      <c r="C85" s="141" t="n">
        <v>0.14</v>
      </c>
      <c r="D85" s="142" t="inlineStr">
        <is>
          <t>Installed-base aftermarket (services ~25% of sales) and proprietary locomotive / brake / PTC technology earn high returns on organic investment (capex ~2% of sales); acquired growth earns ~7–9% after tax on purchase price</t>
        </is>
      </c>
      <c r="E85" s="118" t="n"/>
      <c r="F85" s="118" t="n"/>
      <c r="G85" s="118" t="n"/>
      <c r="H85" s="118" t="n"/>
      <c r="I85" s="118" t="n"/>
      <c r="J85" s="118" t="n"/>
      <c r="K85" s="118" t="n"/>
      <c r="L85" s="118" t="n"/>
      <c r="M85" s="118" t="n"/>
      <c r="N85" s="118" t="n"/>
      <c r="O85" s="118" t="n"/>
      <c r="P85" s="118" t="n"/>
      <c r="Q85" s="118" t="n"/>
    </row>
    <row r="86" ht="15" customHeight="1">
      <c r="B86" s="118" t="inlineStr">
        <is>
          <t>N  (Years of value creation / CAP)</t>
        </is>
      </c>
      <c r="C86" s="157" t="n">
        <v>12</v>
      </c>
      <c r="D86" s="142" t="inlineStr">
        <is>
          <t>Duopoly in N.A. freight locomotives with ~25,000-unit installed base, 20–30-year asset lives and multi-year backlog; disciplined Integration 3.0 / portfolio optimization</t>
        </is>
      </c>
      <c r="E86" s="118" t="n"/>
      <c r="F86" s="118" t="n"/>
      <c r="G86" s="118" t="n"/>
      <c r="H86" s="118" t="n"/>
      <c r="I86" s="118" t="n"/>
      <c r="J86" s="118" t="n"/>
      <c r="K86" s="118" t="n"/>
      <c r="L86" s="118" t="n"/>
      <c r="M86" s="118" t="n"/>
      <c r="N86" s="118" t="n"/>
      <c r="O86" s="118" t="n"/>
      <c r="P86" s="118" t="n"/>
      <c r="Q86" s="118" t="n"/>
    </row>
    <row r="87">
      <c r="B87" s="118" t="n"/>
      <c r="C87" s="118" t="n"/>
      <c r="D87" s="118" t="n"/>
      <c r="E87" s="118" t="n"/>
      <c r="F87" s="118" t="n"/>
      <c r="G87" s="118" t="n"/>
      <c r="H87" s="118" t="n"/>
      <c r="I87" s="118" t="n"/>
      <c r="J87" s="118" t="n"/>
      <c r="K87" s="118" t="n"/>
      <c r="L87" s="118" t="n"/>
      <c r="M87" s="118" t="n"/>
      <c r="N87" s="118" t="n"/>
      <c r="O87" s="118" t="n"/>
      <c r="P87" s="118" t="n"/>
      <c r="Q87" s="118" t="n"/>
    </row>
    <row r="88" ht="15" customHeight="1">
      <c r="B88" s="139" t="inlineStr">
        <is>
          <t>Calculation</t>
        </is>
      </c>
      <c r="C88" s="139" t="inlineStr">
        <is>
          <t>Value</t>
        </is>
      </c>
      <c r="D88" s="118" t="n"/>
      <c r="E88" s="118" t="n"/>
      <c r="F88" s="118" t="n"/>
      <c r="G88" s="118" t="n"/>
      <c r="H88" s="118" t="n"/>
      <c r="I88" s="118" t="n"/>
      <c r="J88" s="118" t="n"/>
      <c r="K88" s="118" t="n"/>
      <c r="L88" s="118" t="n"/>
      <c r="M88" s="118" t="n"/>
      <c r="N88" s="118" t="n"/>
      <c r="O88" s="118" t="n"/>
      <c r="P88" s="118" t="n"/>
      <c r="Q88" s="118" t="n"/>
    </row>
    <row r="89" ht="15" customHeight="1">
      <c r="B89" s="118" t="inlineStr">
        <is>
          <t>Steady-state component:  1 / r</t>
        </is>
      </c>
      <c r="C89" s="125">
        <f>1/C83</f>
        <v/>
      </c>
      <c r="D89" s="118" t="n"/>
      <c r="E89" s="118" t="n"/>
      <c r="F89" s="118" t="n"/>
      <c r="G89" s="118" t="n"/>
      <c r="H89" s="118" t="n"/>
      <c r="I89" s="118" t="n"/>
      <c r="J89" s="118" t="n"/>
      <c r="K89" s="118" t="n"/>
      <c r="L89" s="118" t="n"/>
      <c r="M89" s="118" t="n"/>
      <c r="N89" s="118" t="n"/>
      <c r="O89" s="118" t="n"/>
      <c r="P89" s="118" t="n"/>
      <c r="Q89" s="118" t="n"/>
    </row>
    <row r="90" ht="15" customHeight="1">
      <c r="B90" s="118" t="inlineStr">
        <is>
          <t>Value-creation factor: 1 − r / ROIIC</t>
        </is>
      </c>
      <c r="C90" s="125">
        <f>1-C83/C85</f>
        <v/>
      </c>
      <c r="D90" s="118" t="n"/>
      <c r="E90" s="118" t="n"/>
      <c r="F90" s="118" t="n"/>
      <c r="G90" s="118" t="n"/>
      <c r="H90" s="118" t="n"/>
      <c r="I90" s="118" t="n"/>
      <c r="J90" s="118" t="n"/>
      <c r="K90" s="118" t="n"/>
      <c r="L90" s="118" t="n"/>
      <c r="M90" s="118" t="n"/>
      <c r="N90" s="118" t="n"/>
      <c r="O90" s="118" t="n"/>
      <c r="P90" s="118" t="n"/>
      <c r="Q90" s="118" t="n"/>
    </row>
    <row r="91" ht="15" customHeight="1">
      <c r="B91" s="118" t="inlineStr">
        <is>
          <t>Growth multiplier: g × (1 − r/ROIIC) / (r × (r − g))</t>
        </is>
      </c>
      <c r="C91" s="125">
        <f>C84*C90/(C83*(C83-C84))</f>
        <v/>
      </c>
      <c r="D91" s="118" t="n"/>
      <c r="E91" s="118" t="n"/>
      <c r="F91" s="118" t="n"/>
      <c r="G91" s="118" t="n"/>
      <c r="H91" s="118" t="n"/>
      <c r="I91" s="118" t="n"/>
      <c r="J91" s="118" t="n"/>
      <c r="K91" s="118" t="n"/>
      <c r="L91" s="118" t="n"/>
      <c r="M91" s="118" t="n"/>
      <c r="N91" s="118" t="n"/>
      <c r="O91" s="118" t="n"/>
      <c r="P91" s="118" t="n"/>
      <c r="Q91" s="118" t="n"/>
    </row>
    <row r="92" ht="15" customHeight="1">
      <c r="B92" s="118" t="inlineStr">
        <is>
          <t>Time decay: 1 − ((1+g)/(1+r))^N</t>
        </is>
      </c>
      <c r="C92" s="125">
        <f>1-((1+C84)/(1+C83))^C86</f>
        <v/>
      </c>
      <c r="D92" s="118" t="n"/>
      <c r="E92" s="118" t="n"/>
      <c r="F92" s="118" t="n"/>
      <c r="G92" s="118" t="n"/>
      <c r="H92" s="118" t="n"/>
      <c r="I92" s="118" t="n"/>
      <c r="J92" s="118" t="n"/>
      <c r="K92" s="118" t="n"/>
      <c r="L92" s="118" t="n"/>
      <c r="M92" s="118" t="n"/>
      <c r="N92" s="118" t="n"/>
      <c r="O92" s="118" t="n"/>
      <c r="P92" s="118" t="n"/>
      <c r="Q92" s="118" t="n"/>
    </row>
    <row r="93" ht="15" customHeight="1">
      <c r="B93" s="118" t="inlineStr">
        <is>
          <t>PVGO component (growth value)</t>
        </is>
      </c>
      <c r="C93" s="125">
        <f>C91*C92</f>
        <v/>
      </c>
      <c r="D93" s="118" t="n"/>
      <c r="E93" s="118" t="n"/>
      <c r="F93" s="118" t="n"/>
      <c r="G93" s="118" t="n"/>
      <c r="H93" s="118" t="n"/>
      <c r="I93" s="118" t="n"/>
      <c r="J93" s="118" t="n"/>
      <c r="K93" s="118" t="n"/>
      <c r="L93" s="118" t="n"/>
      <c r="M93" s="118" t="n"/>
      <c r="N93" s="118" t="n"/>
      <c r="O93" s="118" t="n"/>
      <c r="P93" s="118" t="n"/>
      <c r="Q93" s="118" t="n"/>
    </row>
    <row r="94" ht="15" customHeight="1">
      <c r="B94" s="138" t="inlineStr">
        <is>
          <t>Mauboussin EV / NOPAT (steady-state + PVGO)</t>
        </is>
      </c>
      <c r="C94" s="158">
        <f>C89+C93</f>
        <v/>
      </c>
      <c r="D94" s="118" t="n"/>
      <c r="E94" s="118" t="n"/>
      <c r="F94" s="118" t="n"/>
      <c r="G94" s="118" t="n"/>
      <c r="H94" s="118" t="n"/>
      <c r="I94" s="118" t="n"/>
      <c r="J94" s="118" t="n"/>
      <c r="K94" s="118" t="n"/>
      <c r="L94" s="118" t="n"/>
      <c r="M94" s="118" t="n"/>
      <c r="N94" s="118" t="n"/>
      <c r="O94" s="118" t="n"/>
      <c r="P94" s="118" t="n"/>
      <c r="Q94" s="118" t="n"/>
    </row>
    <row r="95">
      <c r="B95" s="118" t="n"/>
      <c r="C95" s="118" t="n"/>
      <c r="D95" s="118" t="n"/>
      <c r="E95" s="118" t="n"/>
      <c r="F95" s="118" t="n"/>
      <c r="G95" s="118" t="n"/>
      <c r="H95" s="118" t="n"/>
      <c r="I95" s="118" t="n"/>
      <c r="J95" s="118" t="n"/>
      <c r="K95" s="118" t="n"/>
      <c r="L95" s="118" t="n"/>
      <c r="M95" s="118" t="n"/>
      <c r="N95" s="118" t="n"/>
      <c r="O95" s="118" t="n"/>
      <c r="P95" s="118" t="n"/>
      <c r="Q95" s="118" t="n"/>
    </row>
    <row r="96" ht="15" customHeight="1">
      <c r="B96" s="139" t="inlineStr">
        <is>
          <t>VALUATION  —  Applied to 2028E NOPAT</t>
        </is>
      </c>
      <c r="C96" s="139" t="inlineStr">
        <is>
          <t>USDm</t>
        </is>
      </c>
      <c r="D96" s="118" t="n"/>
      <c r="E96" s="118" t="n"/>
      <c r="F96" s="118" t="n"/>
      <c r="G96" s="118" t="n"/>
      <c r="H96" s="118" t="n"/>
      <c r="I96" s="118" t="n"/>
      <c r="J96" s="118" t="n"/>
      <c r="K96" s="118" t="n"/>
      <c r="L96" s="118" t="n"/>
      <c r="M96" s="118" t="n"/>
      <c r="N96" s="118" t="n"/>
      <c r="O96" s="118" t="n"/>
      <c r="P96" s="118" t="n"/>
      <c r="Q96" s="118" t="n"/>
    </row>
    <row r="97" ht="15" customHeight="1">
      <c r="B97" s="118" t="inlineStr">
        <is>
          <t>2028E Adjusted EBIT (Model)</t>
        </is>
      </c>
      <c r="C97" s="120">
        <f>Model!CC201</f>
        <v/>
      </c>
      <c r="D97" s="118" t="n"/>
      <c r="E97" s="118" t="n"/>
      <c r="F97" s="118" t="n"/>
      <c r="G97" s="118" t="n"/>
      <c r="H97" s="118" t="n"/>
      <c r="I97" s="118" t="n"/>
      <c r="J97" s="118" t="n"/>
      <c r="K97" s="118" t="n"/>
      <c r="L97" s="118" t="n"/>
      <c r="M97" s="118" t="n"/>
      <c r="N97" s="118" t="n"/>
      <c r="O97" s="118" t="n"/>
      <c r="P97" s="118" t="n"/>
      <c r="Q97" s="118" t="n"/>
    </row>
    <row r="98" ht="15" customHeight="1">
      <c r="B98" s="118" t="inlineStr">
        <is>
          <t>(−) 2028E restructuring &amp; transaction costs</t>
        </is>
      </c>
      <c r="C98" s="120">
        <f>-Model!CC208</f>
        <v/>
      </c>
      <c r="D98" s="118" t="n"/>
      <c r="E98" s="118" t="n"/>
      <c r="F98" s="118" t="n"/>
      <c r="G98" s="118" t="n"/>
      <c r="H98" s="118" t="n"/>
      <c r="I98" s="118" t="n"/>
      <c r="J98" s="118" t="n"/>
      <c r="K98" s="118" t="n"/>
      <c r="L98" s="118" t="n"/>
      <c r="M98" s="118" t="n"/>
      <c r="N98" s="118" t="n"/>
      <c r="O98" s="118" t="n"/>
      <c r="P98" s="118" t="n"/>
      <c r="Q98" s="118" t="n"/>
    </row>
    <row r="99" ht="15" customHeight="1">
      <c r="B99" s="118" t="inlineStr">
        <is>
          <t>Tax rate (from WACC build)</t>
        </is>
      </c>
      <c r="C99" s="131">
        <f>$C$10</f>
        <v/>
      </c>
      <c r="D99" s="118" t="n"/>
      <c r="E99" s="118" t="n"/>
      <c r="F99" s="118" t="n"/>
      <c r="G99" s="118" t="n"/>
      <c r="H99" s="118" t="n"/>
      <c r="I99" s="118" t="n"/>
      <c r="J99" s="118" t="n"/>
      <c r="K99" s="118" t="n"/>
      <c r="L99" s="118" t="n"/>
      <c r="M99" s="118" t="n"/>
      <c r="N99" s="118" t="n"/>
      <c r="O99" s="118" t="n"/>
      <c r="P99" s="118" t="n"/>
      <c r="Q99" s="118" t="n"/>
    </row>
    <row r="100" ht="15" customHeight="1">
      <c r="B100" s="118" t="inlineStr">
        <is>
          <t>2028E NOPAT  =  (Adj. EBIT − restructuring &amp; transaction costs) × (1 − t)</t>
        </is>
      </c>
      <c r="C100" s="120">
        <f>(C97+C98)*(1-C99)</f>
        <v/>
      </c>
      <c r="D100" s="118" t="n"/>
      <c r="E100" s="118" t="n"/>
      <c r="F100" s="118" t="n"/>
      <c r="G100" s="118" t="n"/>
      <c r="H100" s="118" t="n"/>
      <c r="I100" s="118" t="n"/>
      <c r="J100" s="118" t="n"/>
      <c r="K100" s="118" t="n"/>
      <c r="L100" s="118" t="n"/>
      <c r="M100" s="118" t="n"/>
      <c r="N100" s="118" t="n"/>
      <c r="O100" s="118" t="n"/>
      <c r="P100" s="118" t="n"/>
      <c r="Q100" s="118" t="n"/>
    </row>
    <row r="101" ht="15" customHeight="1">
      <c r="B101" s="118" t="inlineStr">
        <is>
          <t>× Mauboussin EV/NOPAT multiple</t>
        </is>
      </c>
      <c r="C101" s="137">
        <f>C94</f>
        <v/>
      </c>
      <c r="D101" s="118" t="n"/>
      <c r="E101" s="118" t="n"/>
      <c r="F101" s="118" t="n"/>
      <c r="G101" s="118" t="n"/>
      <c r="H101" s="118" t="n"/>
      <c r="I101" s="118" t="n"/>
      <c r="J101" s="118" t="n"/>
      <c r="K101" s="118" t="n"/>
      <c r="L101" s="118" t="n"/>
      <c r="M101" s="118" t="n"/>
      <c r="N101" s="118" t="n"/>
      <c r="O101" s="118" t="n"/>
      <c r="P101" s="118" t="n"/>
      <c r="Q101" s="118" t="n"/>
    </row>
    <row r="102" ht="15" customHeight="1">
      <c r="B102" s="118" t="inlineStr">
        <is>
          <t>Implied Enterprise Value (2028E basis)</t>
        </is>
      </c>
      <c r="C102" s="120">
        <f>C100*C101</f>
        <v/>
      </c>
      <c r="D102" s="118" t="n"/>
      <c r="E102" s="118" t="n"/>
      <c r="F102" s="118" t="n"/>
      <c r="G102" s="118" t="n"/>
      <c r="H102" s="118" t="n"/>
      <c r="I102" s="118" t="n"/>
      <c r="J102" s="118" t="n"/>
      <c r="K102" s="118" t="n"/>
      <c r="L102" s="118" t="n"/>
      <c r="M102" s="118" t="n"/>
      <c r="N102" s="118" t="n"/>
      <c r="O102" s="118" t="n"/>
      <c r="P102" s="118" t="n"/>
      <c r="Q102" s="118" t="n"/>
    </row>
    <row r="103" ht="15" customHeight="1">
      <c r="B103" s="118" t="inlineStr">
        <is>
          <t>Less: YE2027 net debt + NCI (Model)</t>
        </is>
      </c>
      <c r="C103" s="120">
        <f>Model!CB426+Model!CB337</f>
        <v/>
      </c>
      <c r="D103" s="118" t="n"/>
      <c r="E103" s="118" t="n"/>
      <c r="F103" s="118" t="n"/>
      <c r="G103" s="118" t="n"/>
      <c r="H103" s="118" t="n"/>
      <c r="I103" s="118" t="n"/>
      <c r="J103" s="118" t="n"/>
      <c r="K103" s="118" t="n"/>
      <c r="L103" s="118" t="n"/>
      <c r="M103" s="118" t="n"/>
      <c r="N103" s="118" t="n"/>
      <c r="O103" s="118" t="n"/>
      <c r="P103" s="118" t="n"/>
      <c r="Q103" s="118" t="n"/>
    </row>
    <row r="104" ht="15" customHeight="1">
      <c r="B104" s="118" t="inlineStr">
        <is>
          <t>Implied Equity Value</t>
        </is>
      </c>
      <c r="C104" s="120">
        <f>C102-C103</f>
        <v/>
      </c>
      <c r="D104" s="118" t="n"/>
      <c r="E104" s="118" t="n"/>
      <c r="F104" s="118" t="n"/>
      <c r="G104" s="118" t="n"/>
      <c r="H104" s="118" t="n"/>
      <c r="I104" s="118" t="n"/>
      <c r="J104" s="118" t="n"/>
      <c r="K104" s="118" t="n"/>
      <c r="L104" s="118" t="n"/>
      <c r="M104" s="118" t="n"/>
      <c r="N104" s="118" t="n"/>
      <c r="O104" s="118" t="n"/>
      <c r="P104" s="118" t="n"/>
      <c r="Q104" s="118" t="n"/>
    </row>
    <row r="105" ht="15" customHeight="1">
      <c r="B105" s="118" t="inlineStr">
        <is>
          <t>Diluted shares 2028E (m, Model)</t>
        </is>
      </c>
      <c r="C105" s="120">
        <f>Model!CC432</f>
        <v/>
      </c>
      <c r="D105" s="118" t="n"/>
      <c r="E105" s="118" t="n"/>
      <c r="F105" s="118" t="n"/>
      <c r="G105" s="118" t="n"/>
      <c r="H105" s="118" t="n"/>
      <c r="I105" s="118" t="n"/>
      <c r="J105" s="118" t="n"/>
      <c r="K105" s="118" t="n"/>
      <c r="L105" s="118" t="n"/>
      <c r="M105" s="118" t="n"/>
      <c r="N105" s="118" t="n"/>
      <c r="O105" s="118" t="n"/>
      <c r="P105" s="118" t="n"/>
      <c r="Q105" s="118" t="n"/>
    </row>
    <row r="106" ht="15" customHeight="1">
      <c r="B106" s="118" t="inlineStr">
        <is>
          <t>Implied share price 2028 ($)</t>
        </is>
      </c>
      <c r="C106" s="133">
        <f>C104/C105</f>
        <v/>
      </c>
      <c r="D106" s="118" t="n"/>
      <c r="E106" s="118" t="n"/>
      <c r="F106" s="118" t="n"/>
      <c r="G106" s="118" t="n"/>
      <c r="H106" s="118" t="n"/>
      <c r="I106" s="118" t="n"/>
      <c r="J106" s="118" t="n"/>
      <c r="K106" s="118" t="n"/>
      <c r="L106" s="118" t="n"/>
      <c r="M106" s="118" t="n"/>
      <c r="N106" s="118" t="n"/>
      <c r="O106" s="118" t="n"/>
      <c r="P106" s="118" t="n"/>
      <c r="Q106" s="118" t="n"/>
    </row>
    <row r="107">
      <c r="B107" s="118" t="n"/>
      <c r="C107" s="118" t="n"/>
      <c r="D107" s="118" t="n"/>
      <c r="E107" s="118" t="n"/>
      <c r="F107" s="118" t="n"/>
      <c r="G107" s="118" t="n"/>
      <c r="H107" s="118" t="n"/>
      <c r="I107" s="118" t="n"/>
      <c r="J107" s="118" t="n"/>
      <c r="K107" s="118" t="n"/>
      <c r="L107" s="118" t="n"/>
      <c r="M107" s="118" t="n"/>
      <c r="N107" s="118" t="n"/>
      <c r="O107" s="118" t="n"/>
      <c r="P107" s="118" t="n"/>
      <c r="Q107" s="118" t="n"/>
    </row>
    <row r="108" ht="15" customHeight="1">
      <c r="B108" s="118" t="inlineStr">
        <is>
          <t>Current share price ($)</t>
        </is>
      </c>
      <c r="C108" s="133">
        <f>C58</f>
        <v/>
      </c>
      <c r="D108" s="118" t="n"/>
      <c r="E108" s="118" t="n"/>
      <c r="F108" s="118" t="n"/>
      <c r="G108" s="118" t="n"/>
      <c r="H108" s="118" t="n"/>
      <c r="I108" s="118" t="n"/>
      <c r="J108" s="118" t="n"/>
      <c r="K108" s="118" t="n"/>
      <c r="L108" s="118" t="n"/>
      <c r="M108" s="118" t="n"/>
      <c r="N108" s="118" t="n"/>
      <c r="O108" s="118" t="n"/>
      <c r="P108" s="118" t="n"/>
      <c r="Q108" s="118" t="n"/>
    </row>
    <row r="109" ht="15" customHeight="1">
      <c r="B109" s="118" t="inlineStr">
        <is>
          <t>Implied upside / (downside)</t>
        </is>
      </c>
      <c r="C109" s="131">
        <f>C106/C108-1</f>
        <v/>
      </c>
      <c r="D109" s="118" t="n"/>
      <c r="E109" s="118" t="n"/>
      <c r="F109" s="118" t="n"/>
      <c r="G109" s="118" t="n"/>
      <c r="H109" s="118" t="n"/>
      <c r="I109" s="118" t="n"/>
      <c r="J109" s="118" t="n"/>
      <c r="K109" s="118" t="n"/>
      <c r="L109" s="118" t="n"/>
      <c r="M109" s="118" t="n"/>
      <c r="N109" s="118" t="n"/>
      <c r="O109" s="118" t="n"/>
      <c r="P109" s="118" t="n"/>
      <c r="Q109" s="118" t="n"/>
    </row>
    <row r="110">
      <c r="B110" s="118" t="n"/>
      <c r="C110" s="118" t="n"/>
      <c r="D110" s="118" t="n"/>
      <c r="E110" s="118" t="n"/>
      <c r="F110" s="118" t="n"/>
      <c r="G110" s="118" t="n"/>
      <c r="H110" s="118" t="n"/>
      <c r="I110" s="118" t="n"/>
      <c r="J110" s="118" t="n"/>
      <c r="K110" s="118" t="n"/>
      <c r="L110" s="118" t="n"/>
      <c r="M110" s="118" t="n"/>
      <c r="N110" s="118" t="n"/>
      <c r="O110" s="118" t="n"/>
      <c r="P110" s="118" t="n"/>
      <c r="Q110" s="118" t="n"/>
    </row>
    <row r="111" ht="15" customHeight="1">
      <c r="B111" s="139" t="inlineStr">
        <is>
          <t>MARKET-IMPLIED EV/NOPAT TODAY</t>
        </is>
      </c>
      <c r="C111" s="139" t="inlineStr">
        <is>
          <t>USDm</t>
        </is>
      </c>
      <c r="D111" s="118" t="n"/>
      <c r="E111" s="118" t="n"/>
      <c r="F111" s="118" t="n"/>
      <c r="G111" s="118" t="n"/>
      <c r="H111" s="118" t="n"/>
      <c r="I111" s="118" t="n"/>
      <c r="J111" s="118" t="n"/>
      <c r="K111" s="118" t="n"/>
      <c r="L111" s="118" t="n"/>
      <c r="M111" s="118" t="n"/>
      <c r="N111" s="118" t="n"/>
      <c r="O111" s="118" t="n"/>
      <c r="P111" s="118" t="n"/>
      <c r="Q111" s="118" t="n"/>
    </row>
    <row r="112" ht="15" customHeight="1">
      <c r="B112" s="118" t="inlineStr">
        <is>
          <t>Current market cap (spot × diluted shares)</t>
        </is>
      </c>
      <c r="C112" s="120">
        <f>C58*C56</f>
        <v/>
      </c>
      <c r="D112" s="118" t="n"/>
      <c r="E112" s="118" t="n"/>
      <c r="F112" s="118" t="n"/>
      <c r="G112" s="118" t="n"/>
      <c r="H112" s="118" t="n"/>
      <c r="I112" s="118" t="n"/>
      <c r="J112" s="118" t="n"/>
      <c r="K112" s="118" t="n"/>
      <c r="L112" s="118" t="n"/>
      <c r="M112" s="118" t="n"/>
      <c r="N112" s="118" t="n"/>
      <c r="O112" s="118" t="n"/>
      <c r="P112" s="118" t="n"/>
      <c r="Q112" s="118" t="n"/>
    </row>
    <row r="113" ht="15" customHeight="1">
      <c r="B113" s="118" t="inlineStr">
        <is>
          <t>Plus: YE2026 net debt &amp; NCI</t>
        </is>
      </c>
      <c r="C113" s="120">
        <f>C53+C54</f>
        <v/>
      </c>
      <c r="D113" s="118" t="n"/>
      <c r="E113" s="118" t="n"/>
      <c r="F113" s="118" t="n"/>
      <c r="G113" s="118" t="n"/>
      <c r="H113" s="118" t="n"/>
      <c r="I113" s="118" t="n"/>
      <c r="J113" s="118" t="n"/>
      <c r="K113" s="118" t="n"/>
      <c r="L113" s="118" t="n"/>
      <c r="M113" s="118" t="n"/>
      <c r="N113" s="118" t="n"/>
      <c r="O113" s="118" t="n"/>
      <c r="P113" s="118" t="n"/>
      <c r="Q113" s="118" t="n"/>
    </row>
    <row r="114" ht="15" customHeight="1">
      <c r="B114" s="118" t="inlineStr">
        <is>
          <t>Implied Enterprise Value (today)</t>
        </is>
      </c>
      <c r="C114" s="120">
        <f>C112+C113</f>
        <v/>
      </c>
      <c r="D114" s="118" t="n"/>
      <c r="E114" s="118" t="n"/>
      <c r="F114" s="118" t="n"/>
      <c r="G114" s="118" t="n"/>
      <c r="H114" s="118" t="n"/>
      <c r="I114" s="118" t="n"/>
      <c r="J114" s="118" t="n"/>
      <c r="K114" s="118" t="n"/>
      <c r="L114" s="118" t="n"/>
      <c r="M114" s="118" t="n"/>
      <c r="N114" s="118" t="n"/>
      <c r="O114" s="118" t="n"/>
      <c r="P114" s="118" t="n"/>
      <c r="Q114" s="118" t="n"/>
    </row>
    <row r="115" ht="15" customHeight="1">
      <c r="B115" s="118" t="inlineStr">
        <is>
          <t>WAB's market-implied EV/NOPAT (on 2028E NOPAT)</t>
        </is>
      </c>
      <c r="C115" s="137">
        <f>C114/C100</f>
        <v/>
      </c>
      <c r="D115" s="118" t="n"/>
      <c r="E115" s="118" t="n"/>
      <c r="F115" s="118" t="n"/>
      <c r="G115" s="118" t="n"/>
      <c r="H115" s="118" t="n"/>
      <c r="I115" s="118" t="n"/>
      <c r="J115" s="118" t="n"/>
      <c r="K115" s="118" t="n"/>
      <c r="L115" s="118" t="n"/>
      <c r="M115" s="118" t="n"/>
      <c r="N115" s="118" t="n"/>
      <c r="O115" s="118" t="n"/>
      <c r="P115" s="118" t="n"/>
      <c r="Q115" s="118" t="n"/>
    </row>
    <row r="116">
      <c r="B116" s="118" t="n"/>
      <c r="C116" s="118" t="n"/>
      <c r="D116" s="118" t="n"/>
      <c r="E116" s="118" t="n"/>
      <c r="F116" s="118" t="n"/>
      <c r="G116" s="118" t="n"/>
      <c r="H116" s="118" t="n"/>
      <c r="I116" s="118" t="n"/>
      <c r="J116" s="118" t="n"/>
      <c r="K116" s="118" t="n"/>
      <c r="L116" s="118" t="n"/>
      <c r="M116" s="118" t="n"/>
      <c r="N116" s="118" t="n"/>
      <c r="O116" s="118" t="n"/>
      <c r="P116" s="118" t="n"/>
      <c r="Q116" s="118" t="n"/>
    </row>
    <row r="117" ht="15" customHeight="1">
      <c r="B117" s="118" t="inlineStr">
        <is>
          <t>Multiple gap (Mauboussin − Market)</t>
        </is>
      </c>
      <c r="C117" s="137">
        <f>C94-C115</f>
        <v/>
      </c>
      <c r="D117" s="118" t="n"/>
      <c r="E117" s="118" t="n"/>
      <c r="F117" s="118" t="n"/>
      <c r="G117" s="118" t="n"/>
      <c r="H117" s="118" t="n"/>
      <c r="I117" s="118" t="n"/>
      <c r="J117" s="118" t="n"/>
      <c r="K117" s="118" t="n"/>
      <c r="L117" s="118" t="n"/>
      <c r="M117" s="118" t="n"/>
      <c r="N117" s="118" t="n"/>
      <c r="O117" s="118" t="n"/>
      <c r="P117" s="118" t="n"/>
      <c r="Q117" s="118" t="n"/>
    </row>
    <row r="118" ht="15" customHeight="1">
      <c r="B118" s="118" t="inlineStr">
        <is>
          <t>Implied re-rating headroom</t>
        </is>
      </c>
      <c r="C118" s="131">
        <f>C94/C115-1</f>
        <v/>
      </c>
      <c r="D118" s="118" t="n"/>
      <c r="E118" s="118" t="n"/>
      <c r="F118" s="118" t="n"/>
      <c r="G118" s="118" t="n"/>
      <c r="H118" s="118" t="n"/>
      <c r="I118" s="118" t="n"/>
      <c r="J118" s="118" t="n"/>
      <c r="K118" s="118" t="n"/>
      <c r="L118" s="118" t="n"/>
      <c r="M118" s="118" t="n"/>
      <c r="N118" s="118" t="n"/>
      <c r="O118" s="118" t="n"/>
      <c r="P118" s="118" t="n"/>
      <c r="Q118" s="118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1"/>
  <sheetViews>
    <sheetView zoomScale="70" zoomScaleNormal="70" workbookViewId="0">
      <selection activeCell="A1" sqref="A1"/>
    </sheetView>
  </sheetViews>
  <sheetFormatPr baseColWidth="8" defaultColWidth="8.5703125" defaultRowHeight="15"/>
  <cols>
    <col width="30" customWidth="1" min="2" max="2"/>
  </cols>
  <sheetData>
    <row r="2" ht="17.25" customHeight="1">
      <c r="B2" s="115" t="inlineStr">
        <is>
          <t>Westinghouse Air Brake Technologies (Wabtec) — Historical Operating Performance (2006–2025)</t>
        </is>
      </c>
    </row>
    <row r="3" ht="15" customHeight="1">
      <c r="B3" s="4" t="inlineStr">
        <is>
          <t>All historicals · USDm · Linked to Model. Bars = Freight and Transit segment net sales y/y (as originally reported; 2019 includes GE Transportation from 25-Feb-2019). Adjusted EBITDA as reconciled by Wabtec in each period (published from 2019; EBITDA definition per Model). ROIC / RONTA on Adjusted EBIT.</t>
        </is>
      </c>
    </row>
    <row r="7" ht="15" customHeight="1">
      <c r="C7" s="11" t="n">
        <v>2006</v>
      </c>
      <c r="D7" s="11" t="n">
        <v>2007</v>
      </c>
      <c r="E7" s="11" t="n">
        <v>2008</v>
      </c>
      <c r="F7" s="11" t="n">
        <v>2009</v>
      </c>
      <c r="G7" s="11" t="n">
        <v>2010</v>
      </c>
      <c r="H7" s="11" t="n">
        <v>2011</v>
      </c>
      <c r="I7" s="11" t="n">
        <v>2012</v>
      </c>
      <c r="J7" s="11" t="n">
        <v>2013</v>
      </c>
      <c r="K7" s="11" t="n">
        <v>2014</v>
      </c>
      <c r="L7" s="11" t="n">
        <v>2015</v>
      </c>
      <c r="M7" s="11" t="n">
        <v>2016</v>
      </c>
      <c r="N7" s="11" t="n">
        <v>2017</v>
      </c>
      <c r="O7" s="11" t="n">
        <v>2018</v>
      </c>
      <c r="P7" s="11" t="n">
        <v>2019</v>
      </c>
      <c r="Q7" s="11" t="n">
        <v>2020</v>
      </c>
      <c r="R7" s="11" t="n">
        <v>2021</v>
      </c>
      <c r="S7" s="11" t="n">
        <v>2022</v>
      </c>
      <c r="T7" s="11" t="n">
        <v>2023</v>
      </c>
      <c r="U7" s="11" t="n">
        <v>2024</v>
      </c>
      <c r="V7" s="11" t="n">
        <v>2025</v>
      </c>
    </row>
    <row r="8" ht="15" customHeight="1">
      <c r="B8" t="inlineStr">
        <is>
          <t>Freight segment sales y/y %</t>
        </is>
      </c>
      <c r="C8" s="116">
        <f>IFERROR(Model!C28+0,IFERROR(Model!C28+0,0))</f>
        <v/>
      </c>
      <c r="D8" s="116">
        <f>IFERROR(Model!D28+0,IFERROR(Model!D28+0,0))</f>
        <v/>
      </c>
      <c r="E8" s="116">
        <f>IFERROR(Model!E28+0,IFERROR(Model!E28+0,0))</f>
        <v/>
      </c>
      <c r="F8" s="116">
        <f>IFERROR(Model!F28+0,IFERROR(Model!F28+0,0))</f>
        <v/>
      </c>
      <c r="G8" s="116">
        <f>IFERROR(Model!G28+0,IFERROR(Model!G28+0,0))</f>
        <v/>
      </c>
      <c r="H8" s="116">
        <f>IFERROR(Model!H28+0,IFERROR(Model!H28+0,0))</f>
        <v/>
      </c>
      <c r="I8" s="116">
        <f>IFERROR(Model!I28+0,IFERROR(Model!I28+0,0))</f>
        <v/>
      </c>
      <c r="J8" s="116">
        <f>IFERROR(Model!N28+0,IFERROR(Model!N28+0,0))</f>
        <v/>
      </c>
      <c r="K8" s="116">
        <f>IFERROR(Model!S28+0,IFERROR(Model!S28+0,0))</f>
        <v/>
      </c>
      <c r="L8" s="116">
        <f>IFERROR(Model!X28+0,IFERROR(Model!X28+0,0))</f>
        <v/>
      </c>
      <c r="M8" s="116">
        <f>IFERROR(Model!AC28+0,IFERROR(Model!AC28+0,0))</f>
        <v/>
      </c>
      <c r="N8" s="116">
        <f>IFERROR(Model!AH28+0,IFERROR(Model!AH28+0,0))</f>
        <v/>
      </c>
      <c r="O8" s="116">
        <f>IFERROR(Model!AM28+0,IFERROR(Model!AM28+0,0))</f>
        <v/>
      </c>
      <c r="P8" s="116">
        <f>IFERROR(Model!AR28+0,IFERROR(Model!AR28+0,0))</f>
        <v/>
      </c>
      <c r="Q8" s="116">
        <f>IFERROR(Model!AW28+0,IFERROR(Model!AW28+0,0))</f>
        <v/>
      </c>
      <c r="R8" s="116">
        <f>IFERROR(Model!BB28+0,IFERROR(Model!BB28+0,0))</f>
        <v/>
      </c>
      <c r="S8" s="116">
        <f>IFERROR(Model!BG28+0,IFERROR(Model!BG28+0,0))</f>
        <v/>
      </c>
      <c r="T8" s="116">
        <f>IFERROR(Model!BL28+0,IFERROR(Model!BL28+0,0))</f>
        <v/>
      </c>
      <c r="U8" s="116">
        <f>IFERROR(Model!BQ28+0,IFERROR(Model!BQ28+0,0))</f>
        <v/>
      </c>
      <c r="V8" s="116">
        <f>IFERROR(Model!BV28+0,IFERROR(Model!BV28+0,0))</f>
        <v/>
      </c>
    </row>
    <row r="9" ht="15" customHeight="1">
      <c r="B9" t="inlineStr">
        <is>
          <t>Transit segment sales y/y %</t>
        </is>
      </c>
      <c r="C9" s="116">
        <f>IFERROR(Model!C52+0,IFERROR(Model!C52+0,0))</f>
        <v/>
      </c>
      <c r="D9" s="116">
        <f>IFERROR(Model!D52+0,IFERROR(Model!D52+0,0))</f>
        <v/>
      </c>
      <c r="E9" s="116">
        <f>IFERROR(Model!E52+0,IFERROR(Model!E52+0,0))</f>
        <v/>
      </c>
      <c r="F9" s="116">
        <f>IFERROR(Model!F52+0,IFERROR(Model!F52+0,0))</f>
        <v/>
      </c>
      <c r="G9" s="116">
        <f>IFERROR(Model!G52+0,IFERROR(Model!G52+0,0))</f>
        <v/>
      </c>
      <c r="H9" s="116">
        <f>IFERROR(Model!H52+0,IFERROR(Model!H52+0,0))</f>
        <v/>
      </c>
      <c r="I9" s="116">
        <f>IFERROR(Model!I52+0,IFERROR(Model!I52+0,0))</f>
        <v/>
      </c>
      <c r="J9" s="116">
        <f>IFERROR(Model!N52+0,IFERROR(Model!N52+0,0))</f>
        <v/>
      </c>
      <c r="K9" s="116">
        <f>IFERROR(Model!S52+0,IFERROR(Model!S52+0,0))</f>
        <v/>
      </c>
      <c r="L9" s="116">
        <f>IFERROR(Model!X52+0,IFERROR(Model!X52+0,0))</f>
        <v/>
      </c>
      <c r="M9" s="116">
        <f>IFERROR(Model!AC52+0,IFERROR(Model!AC52+0,0))</f>
        <v/>
      </c>
      <c r="N9" s="116">
        <f>IFERROR(Model!AH52+0,IFERROR(Model!AH52+0,0))</f>
        <v/>
      </c>
      <c r="O9" s="116">
        <f>IFERROR(Model!AM52+0,IFERROR(Model!AM52+0,0))</f>
        <v/>
      </c>
      <c r="P9" s="116">
        <f>IFERROR(Model!AR52+0,IFERROR(Model!AR52+0,0))</f>
        <v/>
      </c>
      <c r="Q9" s="116">
        <f>IFERROR(Model!AW52+0,IFERROR(Model!AW52+0,0))</f>
        <v/>
      </c>
      <c r="R9" s="116">
        <f>IFERROR(Model!BB52+0,IFERROR(Model!BB52+0,0))</f>
        <v/>
      </c>
      <c r="S9" s="116">
        <f>IFERROR(Model!BG52+0,IFERROR(Model!BG52+0,0))</f>
        <v/>
      </c>
      <c r="T9" s="116">
        <f>IFERROR(Model!BL52+0,IFERROR(Model!BL52+0,0))</f>
        <v/>
      </c>
      <c r="U9" s="116">
        <f>IFERROR(Model!BQ52+0,IFERROR(Model!BQ52+0,0))</f>
        <v/>
      </c>
      <c r="V9" s="116">
        <f>IFERROR(Model!BV52+0,IFERROR(Model!BV52+0,0))</f>
        <v/>
      </c>
    </row>
    <row r="11" ht="15" customHeight="1">
      <c r="C11" s="11">
        <f>C7</f>
        <v/>
      </c>
      <c r="D11" s="11">
        <f>D7</f>
        <v/>
      </c>
      <c r="E11" s="11">
        <f>E7</f>
        <v/>
      </c>
      <c r="F11" s="11">
        <f>F7</f>
        <v/>
      </c>
      <c r="G11" s="11">
        <f>G7</f>
        <v/>
      </c>
      <c r="H11" s="11">
        <f>H7</f>
        <v/>
      </c>
      <c r="I11" s="11">
        <f>I7</f>
        <v/>
      </c>
      <c r="J11" s="11">
        <f>J7</f>
        <v/>
      </c>
      <c r="K11" s="11">
        <f>K7</f>
        <v/>
      </c>
      <c r="L11" s="11">
        <f>L7</f>
        <v/>
      </c>
      <c r="M11" s="11">
        <f>M7</f>
        <v/>
      </c>
      <c r="N11" s="11">
        <f>N7</f>
        <v/>
      </c>
      <c r="O11" s="11">
        <f>O7</f>
        <v/>
      </c>
      <c r="P11" s="11">
        <f>P7</f>
        <v/>
      </c>
      <c r="Q11" s="11">
        <f>Q7</f>
        <v/>
      </c>
      <c r="R11" s="11">
        <f>R7</f>
        <v/>
      </c>
      <c r="S11" s="11">
        <f>S7</f>
        <v/>
      </c>
      <c r="T11" s="11">
        <f>T7</f>
        <v/>
      </c>
      <c r="U11" s="11">
        <f>U7</f>
        <v/>
      </c>
      <c r="V11" s="11">
        <f>V7</f>
        <v/>
      </c>
    </row>
    <row r="12" ht="15" customHeight="1">
      <c r="B12" t="inlineStr">
        <is>
          <t>Adjusted EBITDA</t>
        </is>
      </c>
      <c r="C12" s="114">
        <f>Model!C194</f>
        <v/>
      </c>
      <c r="D12" s="114">
        <f>Model!D194</f>
        <v/>
      </c>
      <c r="E12" s="114">
        <f>Model!E194</f>
        <v/>
      </c>
      <c r="F12" s="114">
        <f>Model!F194</f>
        <v/>
      </c>
      <c r="G12" s="114">
        <f>Model!G194</f>
        <v/>
      </c>
      <c r="H12" s="114">
        <f>Model!H194</f>
        <v/>
      </c>
      <c r="I12" s="114">
        <f>Model!I194</f>
        <v/>
      </c>
      <c r="J12" s="114">
        <f>Model!N194</f>
        <v/>
      </c>
      <c r="K12" s="114">
        <f>Model!S194</f>
        <v/>
      </c>
      <c r="L12" s="114">
        <f>Model!X194</f>
        <v/>
      </c>
      <c r="M12" s="114">
        <f>Model!AC194</f>
        <v/>
      </c>
      <c r="N12" s="114">
        <f>Model!AH194</f>
        <v/>
      </c>
      <c r="O12" s="114">
        <f>Model!AM194</f>
        <v/>
      </c>
      <c r="P12" s="114">
        <f>Model!AR194</f>
        <v/>
      </c>
      <c r="Q12" s="114">
        <f>Model!AW194</f>
        <v/>
      </c>
      <c r="R12" s="114">
        <f>Model!BB194</f>
        <v/>
      </c>
      <c r="S12" s="114">
        <f>Model!BG194</f>
        <v/>
      </c>
      <c r="T12" s="114">
        <f>Model!BL194</f>
        <v/>
      </c>
      <c r="U12" s="114">
        <f>Model!BQ194</f>
        <v/>
      </c>
      <c r="V12" s="114">
        <f>Model!BV194</f>
        <v/>
      </c>
    </row>
    <row r="13" ht="15" customHeight="1">
      <c r="B13" t="inlineStr">
        <is>
          <t>Income from Operations (GAAP)</t>
        </is>
      </c>
      <c r="C13" s="114">
        <f>Model!C150</f>
        <v/>
      </c>
      <c r="D13" s="114">
        <f>Model!D150</f>
        <v/>
      </c>
      <c r="E13" s="114">
        <f>Model!E150</f>
        <v/>
      </c>
      <c r="F13" s="114">
        <f>Model!F150</f>
        <v/>
      </c>
      <c r="G13" s="114">
        <f>Model!G150</f>
        <v/>
      </c>
      <c r="H13" s="114">
        <f>Model!H150</f>
        <v/>
      </c>
      <c r="I13" s="114">
        <f>Model!I150</f>
        <v/>
      </c>
      <c r="J13" s="114">
        <f>Model!N150</f>
        <v/>
      </c>
      <c r="K13" s="114">
        <f>Model!S150</f>
        <v/>
      </c>
      <c r="L13" s="114">
        <f>Model!X150</f>
        <v/>
      </c>
      <c r="M13" s="114">
        <f>Model!AC150</f>
        <v/>
      </c>
      <c r="N13" s="114">
        <f>Model!AH150</f>
        <v/>
      </c>
      <c r="O13" s="114">
        <f>Model!AM150</f>
        <v/>
      </c>
      <c r="P13" s="114">
        <f>Model!AR150</f>
        <v/>
      </c>
      <c r="Q13" s="114">
        <f>Model!AW150</f>
        <v/>
      </c>
      <c r="R13" s="114">
        <f>Model!BB150</f>
        <v/>
      </c>
      <c r="S13" s="114">
        <f>Model!BG150</f>
        <v/>
      </c>
      <c r="T13" s="114">
        <f>Model!BL150</f>
        <v/>
      </c>
      <c r="U13" s="114">
        <f>Model!BQ150</f>
        <v/>
      </c>
      <c r="V13" s="114">
        <f>Model!BV150</f>
        <v/>
      </c>
    </row>
    <row r="14" ht="15" customHeight="1">
      <c r="B14" t="inlineStr">
        <is>
          <t>Adj. EBITDA Margin %</t>
        </is>
      </c>
      <c r="C14" s="116">
        <f>Model!C251</f>
        <v/>
      </c>
      <c r="D14" s="116">
        <f>Model!D251</f>
        <v/>
      </c>
      <c r="E14" s="116">
        <f>Model!E251</f>
        <v/>
      </c>
      <c r="F14" s="116">
        <f>Model!F251</f>
        <v/>
      </c>
      <c r="G14" s="116">
        <f>Model!G251</f>
        <v/>
      </c>
      <c r="H14" s="116">
        <f>Model!H251</f>
        <v/>
      </c>
      <c r="I14" s="116">
        <f>Model!I251</f>
        <v/>
      </c>
      <c r="J14" s="116">
        <f>Model!N251</f>
        <v/>
      </c>
      <c r="K14" s="116">
        <f>Model!S251</f>
        <v/>
      </c>
      <c r="L14" s="116">
        <f>Model!X251</f>
        <v/>
      </c>
      <c r="M14" s="116">
        <f>Model!AC251</f>
        <v/>
      </c>
      <c r="N14" s="116">
        <f>Model!AH251</f>
        <v/>
      </c>
      <c r="O14" s="116">
        <f>Model!AM251</f>
        <v/>
      </c>
      <c r="P14" s="116">
        <f>Model!AR251</f>
        <v/>
      </c>
      <c r="Q14" s="116">
        <f>Model!AW251</f>
        <v/>
      </c>
      <c r="R14" s="116">
        <f>Model!BB251</f>
        <v/>
      </c>
      <c r="S14" s="116">
        <f>Model!BG251</f>
        <v/>
      </c>
      <c r="T14" s="116">
        <f>Model!BL251</f>
        <v/>
      </c>
      <c r="U14" s="116">
        <f>Model!BQ251</f>
        <v/>
      </c>
      <c r="V14" s="116">
        <f>Model!BV251</f>
        <v/>
      </c>
    </row>
    <row r="15" ht="15" customHeight="1">
      <c r="B15" t="inlineStr">
        <is>
          <t>GAAP Op. Margin %</t>
        </is>
      </c>
      <c r="C15" s="116">
        <f>Model!C253</f>
        <v/>
      </c>
      <c r="D15" s="116">
        <f>Model!D253</f>
        <v/>
      </c>
      <c r="E15" s="116">
        <f>Model!E253</f>
        <v/>
      </c>
      <c r="F15" s="116">
        <f>Model!F253</f>
        <v/>
      </c>
      <c r="G15" s="116">
        <f>Model!G253</f>
        <v/>
      </c>
      <c r="H15" s="116">
        <f>Model!H253</f>
        <v/>
      </c>
      <c r="I15" s="116">
        <f>Model!I253</f>
        <v/>
      </c>
      <c r="J15" s="116">
        <f>Model!N253</f>
        <v/>
      </c>
      <c r="K15" s="116">
        <f>Model!S253</f>
        <v/>
      </c>
      <c r="L15" s="116">
        <f>Model!X253</f>
        <v/>
      </c>
      <c r="M15" s="116">
        <f>Model!AC253</f>
        <v/>
      </c>
      <c r="N15" s="116">
        <f>Model!AH253</f>
        <v/>
      </c>
      <c r="O15" s="116">
        <f>Model!AM253</f>
        <v/>
      </c>
      <c r="P15" s="116">
        <f>Model!AR253</f>
        <v/>
      </c>
      <c r="Q15" s="116">
        <f>Model!AW253</f>
        <v/>
      </c>
      <c r="R15" s="116">
        <f>Model!BB253</f>
        <v/>
      </c>
      <c r="S15" s="116">
        <f>Model!BG253</f>
        <v/>
      </c>
      <c r="T15" s="116">
        <f>Model!BL253</f>
        <v/>
      </c>
      <c r="U15" s="116">
        <f>Model!BQ253</f>
        <v/>
      </c>
      <c r="V15" s="116">
        <f>Model!BV253</f>
        <v/>
      </c>
    </row>
    <row r="17" ht="15" customHeight="1">
      <c r="C17" s="11">
        <f>C7</f>
        <v/>
      </c>
      <c r="D17" s="11">
        <f>D7</f>
        <v/>
      </c>
      <c r="E17" s="11">
        <f>E7</f>
        <v/>
      </c>
      <c r="F17" s="11">
        <f>F7</f>
        <v/>
      </c>
      <c r="G17" s="11">
        <f>G7</f>
        <v/>
      </c>
      <c r="H17" s="11">
        <f>H7</f>
        <v/>
      </c>
      <c r="I17" s="11">
        <f>I7</f>
        <v/>
      </c>
      <c r="J17" s="11">
        <f>J7</f>
        <v/>
      </c>
      <c r="K17" s="11">
        <f>K7</f>
        <v/>
      </c>
      <c r="L17" s="11">
        <f>L7</f>
        <v/>
      </c>
      <c r="M17" s="11">
        <f>M7</f>
        <v/>
      </c>
      <c r="N17" s="11">
        <f>N7</f>
        <v/>
      </c>
      <c r="O17" s="11">
        <f>O7</f>
        <v/>
      </c>
      <c r="P17" s="11">
        <f>P7</f>
        <v/>
      </c>
      <c r="Q17" s="11">
        <f>Q7</f>
        <v/>
      </c>
      <c r="R17" s="11">
        <f>R7</f>
        <v/>
      </c>
      <c r="S17" s="11">
        <f>S7</f>
        <v/>
      </c>
      <c r="T17" s="11">
        <f>T7</f>
        <v/>
      </c>
      <c r="U17" s="11">
        <f>U7</f>
        <v/>
      </c>
      <c r="V17" s="11">
        <f>V7</f>
        <v/>
      </c>
    </row>
    <row r="18" ht="15" customHeight="1">
      <c r="B18" t="inlineStr">
        <is>
          <t>ROIC</t>
        </is>
      </c>
      <c r="C18" s="116">
        <f>IFERROR(Model!C409+0,NA())</f>
        <v/>
      </c>
      <c r="D18" s="116">
        <f>IFERROR(Model!D409+0,NA())</f>
        <v/>
      </c>
      <c r="E18" s="116">
        <f>IFERROR(Model!E409+0,NA())</f>
        <v/>
      </c>
      <c r="F18" s="116">
        <f>IFERROR(Model!F409+0,NA())</f>
        <v/>
      </c>
      <c r="G18" s="116">
        <f>IFERROR(Model!G409+0,NA())</f>
        <v/>
      </c>
      <c r="H18" s="116">
        <f>IFERROR(Model!H409+0,NA())</f>
        <v/>
      </c>
      <c r="I18" s="116">
        <f>IFERROR(Model!I409+0,NA())</f>
        <v/>
      </c>
      <c r="J18" s="116">
        <f>IFERROR(Model!N409+0,NA())</f>
        <v/>
      </c>
      <c r="K18" s="116">
        <f>IFERROR(Model!S409+0,NA())</f>
        <v/>
      </c>
      <c r="L18" s="116">
        <f>IFERROR(Model!X409+0,NA())</f>
        <v/>
      </c>
      <c r="M18" s="116">
        <f>IFERROR(Model!AC409+0,NA())</f>
        <v/>
      </c>
      <c r="N18" s="116">
        <f>IFERROR(Model!AH409+0,NA())</f>
        <v/>
      </c>
      <c r="O18" s="116">
        <f>IFERROR(Model!AM409+0,NA())</f>
        <v/>
      </c>
      <c r="P18" s="116">
        <f>IFERROR(Model!AR409+0,NA())</f>
        <v/>
      </c>
      <c r="Q18" s="116">
        <f>IFERROR(Model!AW409+0,NA())</f>
        <v/>
      </c>
      <c r="R18" s="116">
        <f>IFERROR(Model!BB409+0,NA())</f>
        <v/>
      </c>
      <c r="S18" s="116">
        <f>IFERROR(Model!BG409+0,NA())</f>
        <v/>
      </c>
      <c r="T18" s="116">
        <f>IFERROR(Model!BL409+0,NA())</f>
        <v/>
      </c>
      <c r="U18" s="116">
        <f>IFERROR(Model!BQ409+0,NA())</f>
        <v/>
      </c>
      <c r="V18" s="116">
        <f>IFERROR(Model!BV409+0,NA())</f>
        <v/>
      </c>
    </row>
    <row r="19" ht="15" customHeight="1">
      <c r="B19" t="inlineStr">
        <is>
          <t>RONTA</t>
        </is>
      </c>
      <c r="C19" s="116">
        <f>IFERROR(Model!C420+0,NA())</f>
        <v/>
      </c>
      <c r="D19" s="116">
        <f>IFERROR(Model!D420+0,NA())</f>
        <v/>
      </c>
      <c r="E19" s="116">
        <f>IFERROR(Model!E420+0,NA())</f>
        <v/>
      </c>
      <c r="F19" s="116">
        <f>IFERROR(Model!F420+0,NA())</f>
        <v/>
      </c>
      <c r="G19" s="116">
        <f>IFERROR(Model!G420+0,NA())</f>
        <v/>
      </c>
      <c r="H19" s="116">
        <f>IFERROR(Model!H420+0,NA())</f>
        <v/>
      </c>
      <c r="I19" s="116">
        <f>IFERROR(Model!I420+0,NA())</f>
        <v/>
      </c>
      <c r="J19" s="116">
        <f>IFERROR(Model!N420+0,NA())</f>
        <v/>
      </c>
      <c r="K19" s="116">
        <f>IFERROR(Model!S420+0,NA())</f>
        <v/>
      </c>
      <c r="L19" s="116">
        <f>IFERROR(Model!X420+0,NA())</f>
        <v/>
      </c>
      <c r="M19" s="116">
        <f>IFERROR(Model!AC420+0,NA())</f>
        <v/>
      </c>
      <c r="N19" s="116">
        <f>IFERROR(Model!AH420+0,NA())</f>
        <v/>
      </c>
      <c r="O19" s="116">
        <f>IFERROR(Model!AM420+0,NA())</f>
        <v/>
      </c>
      <c r="P19" s="116">
        <f>IFERROR(Model!AR420+0,NA())</f>
        <v/>
      </c>
      <c r="Q19" s="116">
        <f>IFERROR(Model!AW420+0,NA())</f>
        <v/>
      </c>
      <c r="R19" s="116">
        <f>IFERROR(Model!BB420+0,NA())</f>
        <v/>
      </c>
      <c r="S19" s="116">
        <f>IFERROR(Model!BG420+0,NA())</f>
        <v/>
      </c>
      <c r="T19" s="116">
        <f>IFERROR(Model!BL420+0,NA())</f>
        <v/>
      </c>
      <c r="U19" s="116">
        <f>IFERROR(Model!BQ420+0,NA())</f>
        <v/>
      </c>
      <c r="V19" s="116">
        <f>IFERROR(Model!BV420+0,NA())</f>
        <v/>
      </c>
    </row>
    <row r="20" ht="15" customHeight="1">
      <c r="B20" t="inlineStr">
        <is>
          <t>Adj. EBITDA margin %</t>
        </is>
      </c>
      <c r="C20" s="116">
        <f>IFERROR(Model!C251+0,NA())</f>
        <v/>
      </c>
      <c r="D20" s="116">
        <f>IFERROR(Model!D251+0,NA())</f>
        <v/>
      </c>
      <c r="E20" s="116">
        <f>IFERROR(Model!E251+0,NA())</f>
        <v/>
      </c>
      <c r="F20" s="116">
        <f>IFERROR(Model!F251+0,NA())</f>
        <v/>
      </c>
      <c r="G20" s="116">
        <f>IFERROR(Model!G251+0,NA())</f>
        <v/>
      </c>
      <c r="H20" s="116">
        <f>IFERROR(Model!H251+0,NA())</f>
        <v/>
      </c>
      <c r="I20" s="116">
        <f>IFERROR(Model!I251+0,NA())</f>
        <v/>
      </c>
      <c r="J20" s="116">
        <f>IFERROR(Model!N251+0,NA())</f>
        <v/>
      </c>
      <c r="K20" s="116">
        <f>IFERROR(Model!S251+0,NA())</f>
        <v/>
      </c>
      <c r="L20" s="116">
        <f>IFERROR(Model!X251+0,NA())</f>
        <v/>
      </c>
      <c r="M20" s="116">
        <f>IFERROR(Model!AC251+0,NA())</f>
        <v/>
      </c>
      <c r="N20" s="116">
        <f>IFERROR(Model!AH251+0,NA())</f>
        <v/>
      </c>
      <c r="O20" s="116">
        <f>IFERROR(Model!AM251+0,NA())</f>
        <v/>
      </c>
      <c r="P20" s="116">
        <f>IFERROR(Model!AR251+0,NA())</f>
        <v/>
      </c>
      <c r="Q20" s="116">
        <f>IFERROR(Model!AW251+0,NA())</f>
        <v/>
      </c>
      <c r="R20" s="116">
        <f>IFERROR(Model!BB251+0,NA())</f>
        <v/>
      </c>
      <c r="S20" s="116">
        <f>IFERROR(Model!BG251+0,NA())</f>
        <v/>
      </c>
      <c r="T20" s="116">
        <f>IFERROR(Model!BL251+0,NA())</f>
        <v/>
      </c>
      <c r="U20" s="116">
        <f>IFERROR(Model!BQ251+0,NA())</f>
        <v/>
      </c>
      <c r="V20" s="116">
        <f>IFERROR(Model!BV251+0,NA())</f>
        <v/>
      </c>
    </row>
    <row r="21" ht="15" customHeight="1">
      <c r="B21" t="inlineStr">
        <is>
          <t>FCF margin %</t>
        </is>
      </c>
      <c r="C21" s="116">
        <f>IFERROR(Model!C287+0,NA())</f>
        <v/>
      </c>
      <c r="D21" s="116">
        <f>IFERROR(Model!D287+0,NA())</f>
        <v/>
      </c>
      <c r="E21" s="116">
        <f>IFERROR(Model!E287+0,NA())</f>
        <v/>
      </c>
      <c r="F21" s="116">
        <f>IFERROR(Model!F287+0,NA())</f>
        <v/>
      </c>
      <c r="G21" s="116">
        <f>IFERROR(Model!G287+0,NA())</f>
        <v/>
      </c>
      <c r="H21" s="116">
        <f>IFERROR(Model!H287+0,NA())</f>
        <v/>
      </c>
      <c r="I21" s="116">
        <f>IFERROR(Model!I287+0,NA())</f>
        <v/>
      </c>
      <c r="J21" s="116">
        <f>IFERROR(Model!N287+0,NA())</f>
        <v/>
      </c>
      <c r="K21" s="116">
        <f>IFERROR(Model!S287+0,NA())</f>
        <v/>
      </c>
      <c r="L21" s="116">
        <f>IFERROR(Model!X287+0,NA())</f>
        <v/>
      </c>
      <c r="M21" s="116">
        <f>IFERROR(Model!AC287+0,NA())</f>
        <v/>
      </c>
      <c r="N21" s="116">
        <f>IFERROR(Model!AH287+0,NA())</f>
        <v/>
      </c>
      <c r="O21" s="116">
        <f>IFERROR(Model!AM287+0,NA())</f>
        <v/>
      </c>
      <c r="P21" s="116">
        <f>IFERROR(Model!AR287+0,NA())</f>
        <v/>
      </c>
      <c r="Q21" s="116">
        <f>IFERROR(Model!AW287+0,NA())</f>
        <v/>
      </c>
      <c r="R21" s="116">
        <f>IFERROR(Model!BB287+0,NA())</f>
        <v/>
      </c>
      <c r="S21" s="116">
        <f>IFERROR(Model!BG287+0,NA())</f>
        <v/>
      </c>
      <c r="T21" s="116">
        <f>IFERROR(Model!BL287+0,NA())</f>
        <v/>
      </c>
      <c r="U21" s="116">
        <f>IFERROR(Model!BQ287+0,NA())</f>
        <v/>
      </c>
      <c r="V21" s="116">
        <f>IFERROR(Model!BV287+0,NA())</f>
        <v/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2026-10-04T02:35:31Z</dcterms:created>
  <dcterms:modified xsi:type="dcterms:W3CDTF">2026-10-05T00:48:20Z</dcterms:modified>
  <cp:lastModifiedBy>Payton Liske</cp:lastModifiedBy>
  <cp:revision>3</cp:revision>
</cp:coreProperties>
</file>