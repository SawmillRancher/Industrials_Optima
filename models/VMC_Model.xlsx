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500" firstSheet="0" activeTab="1" autoFilterDateGrouping="1"/>
  </bookViews>
  <sheets>
    <sheet name="Model" sheetId="1" state="visible" r:id="rId1"/>
    <sheet name="Bull-Base-Bear" sheetId="2" state="visible" r:id="rId2"/>
    <sheet name="DCF" sheetId="3" state="visible" r:id="rId3"/>
    <sheet name="Charts" sheetId="4" state="visible" r:id="rId4"/>
    <sheet name="Sheet1" sheetId="5" state="visible" r:id="rId5"/>
  </sheets>
  <definedNames/>
  <calcPr calcId="191029" fullCalcOnLoad="1" iterate="1" iterateDelta="0.0001"/>
</workbook>
</file>

<file path=xl/styles.xml><?xml version="1.0" encoding="utf-8"?>
<styleSheet xmlns="http://schemas.openxmlformats.org/spreadsheetml/2006/main">
  <numFmts count="16">
    <numFmt numFmtId="164" formatCode="#,##0;\(#,##0\);\-"/>
    <numFmt numFmtId="165" formatCode="0%;\(0%\);&quot;n/m&quot;"/>
    <numFmt numFmtId="166" formatCode="0.0%;\(0.0%\);\-"/>
    <numFmt numFmtId="167" formatCode="0.00;\(0.00\);\-"/>
    <numFmt numFmtId="168" formatCode="\+0.0%;\-0.0%"/>
    <numFmt numFmtId="169" formatCode="\+#,##0;\-#,##0"/>
    <numFmt numFmtId="170" formatCode="0.00\x;\(0.00&quot;x)&quot;;\-"/>
    <numFmt numFmtId="171" formatCode="#,##0.0;\(#,##0.0\);\-"/>
    <numFmt numFmtId="172" formatCode="0\d;\(0&quot;)d&quot;;\-"/>
    <numFmt numFmtId="173" formatCode="dd\-mmm\-yy"/>
    <numFmt numFmtId="174" formatCode="0%;\(0%\);\-"/>
    <numFmt numFmtId="175" formatCode="0.0\x"/>
    <numFmt numFmtId="176" formatCode="0.0%"/>
    <numFmt numFmtId="177" formatCode="0.000"/>
    <numFmt numFmtId="178" formatCode="0.0\x;\(0.0&quot;x)&quot;;\-"/>
    <numFmt numFmtId="179" formatCode="0&quot; yrs&quot;"/>
  </numFmts>
  <fonts count="43">
    <font>
      <name val="Calibri"/>
      <charset val="1"/>
      <family val="2"/>
      <color theme="1"/>
      <sz val="11"/>
    </font>
    <font>
      <name val="Calibri"/>
      <charset val="1"/>
      <b val="1"/>
      <color rgb="FFC00000"/>
      <sz val="10"/>
    </font>
    <font>
      <name val="Calibri"/>
      <charset val="1"/>
      <b val="1"/>
      <color rgb="FF1F3864"/>
      <sz val="16"/>
    </font>
    <font>
      <name val="Calibri"/>
      <charset val="1"/>
      <b val="1"/>
      <color rgb="FF0000FF"/>
      <sz val="12"/>
    </font>
    <font>
      <name val="Calibri"/>
      <charset val="1"/>
      <color rgb="FF595959"/>
      <sz val="10"/>
    </font>
    <font>
      <name val="Calibri"/>
      <charset val="1"/>
      <color rgb="FFC00000"/>
      <sz val="10"/>
    </font>
    <font>
      <name val="Calibri"/>
      <charset val="1"/>
      <b val="1"/>
      <color rgb="FFFFFFFF"/>
      <sz val="12"/>
    </font>
    <font>
      <name val="Calibri"/>
      <charset val="1"/>
      <color rgb="FF666666"/>
      <sz val="9"/>
    </font>
    <font>
      <name val="Calibri"/>
      <charset val="1"/>
      <sz val="12"/>
    </font>
    <font>
      <name val="Calibri"/>
      <charset val="1"/>
      <b val="1"/>
      <color rgb="FF000000"/>
      <sz val="11"/>
    </font>
    <font>
      <name val="Calibri"/>
      <charset val="1"/>
      <b val="1"/>
      <color rgb="FF000000"/>
      <sz val="12"/>
    </font>
    <font>
      <name val="Calibri"/>
      <charset val="1"/>
      <sz val="10"/>
    </font>
    <font>
      <name val="Calibri"/>
      <charset val="1"/>
      <b val="1"/>
      <color rgb="FFFFFFFF"/>
      <sz val="11"/>
    </font>
    <font>
      <name val="Calibri"/>
      <charset val="1"/>
      <b val="1"/>
      <sz val="12"/>
    </font>
    <font>
      <name val="Calibri"/>
      <charset val="1"/>
      <color rgb="FF404040"/>
      <sz val="12"/>
    </font>
    <font>
      <name val="Calibri"/>
      <charset val="1"/>
      <color rgb="FFA6A6A6"/>
      <sz val="12"/>
    </font>
    <font>
      <name val="Calibri"/>
      <charset val="1"/>
      <color rgb="FF000000"/>
      <sz val="12"/>
    </font>
    <font>
      <name val="Calibri"/>
      <charset val="1"/>
      <color rgb="FF0000FF"/>
      <sz val="12"/>
    </font>
    <font>
      <name val="Calibri"/>
      <charset val="1"/>
      <b val="1"/>
      <i val="1"/>
      <color rgb="FF666666"/>
      <sz val="12"/>
    </font>
    <font>
      <name val="Calibri"/>
      <charset val="1"/>
      <b val="1"/>
      <color rgb="FF595959"/>
      <sz val="12"/>
    </font>
    <font>
      <name val="Calibri"/>
      <charset val="1"/>
      <b val="1"/>
      <i val="1"/>
      <color rgb="FFC00000"/>
      <sz val="11"/>
    </font>
    <font>
      <name val="Calibri"/>
      <charset val="1"/>
      <b val="1"/>
      <i val="1"/>
      <color rgb="FFC00000"/>
      <sz val="10"/>
    </font>
    <font>
      <name val="Arial"/>
      <family val="2"/>
      <sz val="10"/>
    </font>
    <font>
      <name val="Calibri"/>
      <charset val="1"/>
      <b val="1"/>
      <color rgb="FF2F3E46"/>
      <sz val="16"/>
    </font>
    <font>
      <name val="Calibri"/>
      <charset val="1"/>
      <b val="1"/>
      <color rgb="FF008000"/>
      <sz val="12"/>
    </font>
    <font>
      <name val="Calibri"/>
      <charset val="1"/>
      <b val="1"/>
      <color rgb="FF2F3E46"/>
      <sz val="12"/>
    </font>
    <font>
      <name val="Calibri"/>
      <charset val="1"/>
      <b val="1"/>
      <color rgb="FFFFFFFF"/>
      <sz val="9"/>
    </font>
    <font>
      <name val="Calibri"/>
      <charset val="1"/>
      <color rgb="FF595959"/>
      <sz val="12"/>
    </font>
    <font>
      <name val="Calibri"/>
      <charset val="1"/>
      <b val="1"/>
      <color rgb="FFFFFFFF"/>
      <sz val="14"/>
    </font>
    <font>
      <name val="Calibri"/>
      <charset val="1"/>
      <color rgb="FF008000"/>
      <sz val="12"/>
    </font>
    <font>
      <name val="Calibri"/>
      <charset val="1"/>
      <b val="1"/>
      <sz val="14"/>
    </font>
    <font>
      <name val="Calibri"/>
      <charset val="1"/>
      <family val="2"/>
      <color rgb="FF000000"/>
      <sz val="11"/>
    </font>
    <font>
      <name val="Calibri"/>
      <charset val="1"/>
      <family val="2"/>
      <b val="1"/>
      <color theme="1"/>
      <sz val="11"/>
    </font>
    <font>
      <name val="Calibri"/>
      <charset val="1"/>
      <family val="2"/>
      <b val="1"/>
      <color rgb="FF000000"/>
      <sz val="11"/>
    </font>
    <font>
      <name val="Calibri"/>
      <charset val="1"/>
      <family val="2"/>
      <color rgb="FF0000FF"/>
      <sz val="11"/>
    </font>
    <font>
      <name val="Calibri"/>
      <charset val="1"/>
      <family val="2"/>
      <i val="1"/>
      <color theme="1"/>
      <sz val="11"/>
    </font>
    <font>
      <name val="Calibri"/>
      <charset val="1"/>
      <i val="1"/>
      <color rgb="FF000000"/>
      <sz val="12"/>
    </font>
    <font>
      <name val="Calibri"/>
      <charset val="1"/>
      <family val="2"/>
      <i val="1"/>
      <color rgb="FF000000"/>
      <sz val="11"/>
    </font>
    <font>
      <name val="Calibri"/>
      <b val="1"/>
      <color rgb="FF0000FF"/>
      <sz val="12"/>
    </font>
    <font>
      <name val="Calibri"/>
      <b val="1"/>
      <color rgb="FF000000"/>
      <sz val="12"/>
    </font>
    <font>
      <name val="Calibri"/>
      <color rgb="FF000000"/>
      <sz val="12"/>
    </font>
    <font>
      <name val="Calibri"/>
      <color rgb="FF0000FF"/>
      <sz val="12"/>
    </font>
    <font>
      <name val="Calibri"/>
      <b val="1"/>
      <i val="1"/>
      <color rgb="FFC00000"/>
      <sz val="10"/>
    </font>
  </fonts>
  <fills count="14">
    <fill>
      <patternFill/>
    </fill>
    <fill>
      <patternFill patternType="gray125"/>
    </fill>
    <fill>
      <patternFill patternType="solid">
        <fgColor rgb="FFFFFDE7"/>
        <bgColor rgb="FFFFF8DC"/>
      </patternFill>
    </fill>
    <fill>
      <patternFill patternType="solid">
        <fgColor rgb="FFFFFF00"/>
        <bgColor rgb="FFFFFF00"/>
      </patternFill>
    </fill>
    <fill>
      <patternFill patternType="solid">
        <fgColor rgb="FF84A98C"/>
        <bgColor rgb="FFA6A6A6"/>
      </patternFill>
    </fill>
    <fill>
      <patternFill patternType="solid">
        <fgColor rgb="FF2F3E46"/>
        <bgColor rgb="FF404040"/>
      </patternFill>
    </fill>
    <fill>
      <patternFill patternType="solid">
        <fgColor rgb="FFCAD2C5"/>
        <bgColor rgb="FFD9D9D9"/>
      </patternFill>
    </fill>
    <fill>
      <patternFill patternType="solid">
        <fgColor rgb="FF52796F"/>
        <bgColor rgb="FF666666"/>
      </patternFill>
    </fill>
    <fill>
      <patternFill patternType="solid">
        <fgColor rgb="FFE9ECEC"/>
        <bgColor rgb="FFE8EDE9"/>
      </patternFill>
    </fill>
    <fill>
      <patternFill patternType="solid">
        <fgColor rgb="FFF5F5F5"/>
        <bgColor rgb="FFF0F2F0"/>
      </patternFill>
    </fill>
    <fill>
      <patternFill patternType="solid">
        <fgColor rgb="FFE8EDE9"/>
        <bgColor rgb="FFE9ECEC"/>
      </patternFill>
    </fill>
    <fill>
      <patternFill patternType="solid">
        <fgColor rgb="FFF0F2F0"/>
        <bgColor rgb="FFF5F5F5"/>
      </patternFill>
    </fill>
    <fill>
      <patternFill patternType="solid">
        <fgColor rgb="FFFFF8DC"/>
        <bgColor rgb="FFFFFDE7"/>
      </patternFill>
    </fill>
    <fill>
      <patternFill patternType="solid">
        <fgColor rgb="FFFFFF00"/>
        <bgColor indexed="64"/>
      </patternFill>
    </fill>
  </fills>
  <borders count="3">
    <border>
      <left/>
      <right/>
      <top/>
      <bottom/>
      <diagonal/>
    </border>
    <border>
      <left style="medium">
        <color auto="1"/>
      </left>
      <right style="medium">
        <color auto="1"/>
      </right>
      <top style="medium">
        <color auto="1"/>
      </top>
      <bottom style="thin">
        <color auto="1"/>
      </bottom>
      <diagonal/>
    </border>
    <border>
      <left/>
      <right/>
      <top style="thin">
        <color auto="1"/>
      </top>
      <bottom/>
      <diagonal/>
    </border>
  </borders>
  <cellStyleXfs count="1">
    <xf numFmtId="0" fontId="0" fillId="0" borderId="0"/>
  </cellStyleXfs>
  <cellXfs count="206">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xf>
    <xf numFmtId="0" fontId="4" fillId="0" borderId="0" pivotButton="0" quotePrefix="0" xfId="0"/>
    <xf numFmtId="0" fontId="5" fillId="0" borderId="0" pivotButton="0" quotePrefix="0" xfId="0"/>
    <xf numFmtId="0" fontId="0" fillId="2" borderId="0" pivotButton="0" quotePrefix="0" xfId="0"/>
    <xf numFmtId="0" fontId="6" fillId="4" borderId="0" applyAlignment="1" pivotButton="0" quotePrefix="0" xfId="0">
      <alignment horizontal="center"/>
    </xf>
    <xf numFmtId="0" fontId="6" fillId="5" borderId="0" applyAlignment="1" pivotButton="0" quotePrefix="0" xfId="0">
      <alignment horizontal="left"/>
    </xf>
    <xf numFmtId="0" fontId="6" fillId="5" borderId="0" applyAlignment="1" pivotButton="0" quotePrefix="0" xfId="0">
      <alignment horizontal="center"/>
    </xf>
    <xf numFmtId="0" fontId="7" fillId="2" borderId="0" applyAlignment="1" pivotButton="0" quotePrefix="0" xfId="0">
      <alignment horizontal="center"/>
    </xf>
    <xf numFmtId="0" fontId="6" fillId="5" borderId="0" pivotButton="0" quotePrefix="0" xfId="0"/>
    <xf numFmtId="0" fontId="8" fillId="0" borderId="0" pivotButton="0" quotePrefix="0" xfId="0"/>
    <xf numFmtId="0" fontId="9" fillId="0" borderId="0" pivotButton="0" quotePrefix="0" xfId="0"/>
    <xf numFmtId="0" fontId="10" fillId="6" borderId="0" applyAlignment="1" pivotButton="0" quotePrefix="0" xfId="0">
      <alignment horizontal="center"/>
    </xf>
    <xf numFmtId="0" fontId="11" fillId="0" borderId="0" pivotButton="0" quotePrefix="0" xfId="0"/>
    <xf numFmtId="0" fontId="12" fillId="7" borderId="0" pivotButton="0" quotePrefix="0" xfId="0"/>
    <xf numFmtId="0" fontId="6" fillId="7" borderId="0" pivotButton="0" quotePrefix="0" xfId="0"/>
    <xf numFmtId="0" fontId="13" fillId="0" borderId="2" pivotButton="0" quotePrefix="0" xfId="0"/>
    <xf numFmtId="164" fontId="10" fillId="0" borderId="2" applyAlignment="1" pivotButton="0" quotePrefix="0" xfId="0">
      <alignment horizontal="right"/>
    </xf>
    <xf numFmtId="164" fontId="3" fillId="0" borderId="2" applyAlignment="1" pivotButton="0" quotePrefix="0" xfId="0">
      <alignment horizontal="right"/>
    </xf>
    <xf numFmtId="164" fontId="10" fillId="2" borderId="2" applyAlignment="1" pivotButton="0" quotePrefix="0" xfId="0">
      <alignment horizontal="right"/>
    </xf>
    <xf numFmtId="0" fontId="11" fillId="2" borderId="0" pivotButton="0" quotePrefix="0" xfId="0"/>
    <xf numFmtId="165" fontId="13" fillId="6" borderId="0" pivotButton="0" quotePrefix="0" xfId="0"/>
    <xf numFmtId="0" fontId="6" fillId="7" borderId="0" applyAlignment="1" pivotButton="0" quotePrefix="0" xfId="0">
      <alignment horizontal="center"/>
    </xf>
    <xf numFmtId="0" fontId="14" fillId="0" borderId="0" pivotButton="0" quotePrefix="0" xfId="0"/>
    <xf numFmtId="166" fontId="15" fillId="0" borderId="0" applyAlignment="1" pivotButton="0" quotePrefix="0" xfId="0">
      <alignment horizontal="right"/>
    </xf>
    <xf numFmtId="166" fontId="16" fillId="2" borderId="0" applyAlignment="1" pivotButton="0" quotePrefix="0" xfId="0">
      <alignment horizontal="right"/>
    </xf>
    <xf numFmtId="167" fontId="17" fillId="0" borderId="0" pivotButton="0" quotePrefix="0" xfId="0"/>
    <xf numFmtId="164" fontId="16" fillId="0" borderId="0" applyAlignment="1" pivotButton="0" quotePrefix="0" xfId="0">
      <alignment horizontal="right"/>
    </xf>
    <xf numFmtId="164" fontId="17" fillId="0" borderId="0" applyAlignment="1" pivotButton="0" quotePrefix="0" xfId="0">
      <alignment horizontal="right"/>
    </xf>
    <xf numFmtId="164" fontId="16" fillId="2" borderId="0" applyAlignment="1" pivotButton="0" quotePrefix="0" xfId="0">
      <alignment horizontal="right"/>
    </xf>
    <xf numFmtId="164" fontId="3" fillId="2" borderId="0" applyAlignment="1" pivotButton="0" quotePrefix="0" xfId="0">
      <alignment horizontal="right"/>
    </xf>
    <xf numFmtId="0" fontId="12" fillId="5" borderId="2" pivotButton="0" quotePrefix="0" xfId="0"/>
    <xf numFmtId="164" fontId="10" fillId="6" borderId="2" applyAlignment="1" pivotButton="0" quotePrefix="0" xfId="0">
      <alignment horizontal="right"/>
    </xf>
    <xf numFmtId="166" fontId="17" fillId="0" borderId="0" pivotButton="0" quotePrefix="0" xfId="0"/>
    <xf numFmtId="0" fontId="18" fillId="0" borderId="0" pivotButton="0" quotePrefix="0" xfId="0"/>
    <xf numFmtId="164" fontId="17" fillId="0" borderId="0" pivotButton="0" quotePrefix="0" xfId="0"/>
    <xf numFmtId="0" fontId="19" fillId="0" borderId="0" pivotButton="0" quotePrefix="0" xfId="0"/>
    <xf numFmtId="166" fontId="16" fillId="0" borderId="0" applyAlignment="1" pivotButton="0" quotePrefix="0" xfId="0">
      <alignment horizontal="right"/>
    </xf>
    <xf numFmtId="166" fontId="13" fillId="6" borderId="0" pivotButton="0" quotePrefix="0" xfId="0"/>
    <xf numFmtId="168" fontId="3" fillId="8" borderId="0" applyAlignment="1" pivotButton="0" quotePrefix="0" xfId="0">
      <alignment horizontal="center"/>
    </xf>
    <xf numFmtId="166" fontId="16" fillId="0" borderId="0" pivotButton="0" quotePrefix="0" xfId="0"/>
    <xf numFmtId="169" fontId="3" fillId="8" borderId="0" applyAlignment="1" pivotButton="0" quotePrefix="0" xfId="0">
      <alignment horizontal="center"/>
    </xf>
    <xf numFmtId="164" fontId="16" fillId="0" borderId="0" pivotButton="0" quotePrefix="0" xfId="0"/>
    <xf numFmtId="166" fontId="3" fillId="2" borderId="0" applyAlignment="1" pivotButton="0" quotePrefix="0" xfId="0">
      <alignment horizontal="right"/>
    </xf>
    <xf numFmtId="0" fontId="14" fillId="8" borderId="0" pivotButton="0" quotePrefix="0" xfId="0"/>
    <xf numFmtId="170" fontId="16" fillId="0" borderId="0" applyAlignment="1" pivotButton="0" quotePrefix="0" xfId="0">
      <alignment horizontal="right"/>
    </xf>
    <xf numFmtId="170" fontId="16" fillId="2" borderId="0" applyAlignment="1" pivotButton="0" quotePrefix="0" xfId="0">
      <alignment horizontal="right"/>
    </xf>
    <xf numFmtId="170" fontId="3" fillId="2" borderId="0" applyAlignment="1" pivotButton="0" quotePrefix="0" xfId="0">
      <alignment horizontal="right"/>
    </xf>
    <xf numFmtId="164" fontId="3" fillId="2" borderId="2" applyAlignment="1" pivotButton="0" quotePrefix="0" xfId="0">
      <alignment horizontal="right"/>
    </xf>
    <xf numFmtId="171" fontId="16" fillId="0" borderId="0" applyAlignment="1" pivotButton="0" quotePrefix="0" xfId="0">
      <alignment horizontal="right"/>
    </xf>
    <xf numFmtId="171" fontId="16" fillId="2" borderId="0" applyAlignment="1" pivotButton="0" quotePrefix="0" xfId="0">
      <alignment horizontal="right"/>
    </xf>
    <xf numFmtId="171" fontId="3" fillId="2" borderId="0" applyAlignment="1" pivotButton="0" quotePrefix="0" xfId="0">
      <alignment horizontal="right"/>
    </xf>
    <xf numFmtId="164" fontId="3" fillId="6" borderId="2" applyAlignment="1" pivotButton="0" quotePrefix="0" xfId="0">
      <alignment horizontal="right"/>
    </xf>
    <xf numFmtId="171" fontId="17" fillId="0" borderId="0" applyAlignment="1" pivotButton="0" quotePrefix="0" xfId="0">
      <alignment horizontal="right"/>
    </xf>
    <xf numFmtId="167" fontId="10" fillId="6" borderId="2" applyAlignment="1" pivotButton="0" quotePrefix="0" xfId="0">
      <alignment horizontal="right"/>
    </xf>
    <xf numFmtId="167" fontId="10" fillId="0" borderId="2" applyAlignment="1" pivotButton="0" quotePrefix="0" xfId="0">
      <alignment horizontal="right"/>
    </xf>
    <xf numFmtId="167" fontId="17" fillId="0" borderId="0" applyAlignment="1" pivotButton="0" quotePrefix="0" xfId="0">
      <alignment horizontal="right"/>
    </xf>
    <xf numFmtId="167" fontId="16" fillId="0" borderId="0" applyAlignment="1" pivotButton="0" quotePrefix="0" xfId="0">
      <alignment horizontal="right"/>
    </xf>
    <xf numFmtId="167" fontId="16" fillId="2" borderId="0" applyAlignment="1" pivotButton="0" quotePrefix="0" xfId="0">
      <alignment horizontal="right"/>
    </xf>
    <xf numFmtId="0" fontId="20" fillId="0" borderId="0" pivotButton="0" quotePrefix="0" xfId="0"/>
    <xf numFmtId="0" fontId="21" fillId="0" borderId="0" pivotButton="0" quotePrefix="0" xfId="0"/>
    <xf numFmtId="167" fontId="10" fillId="2" borderId="2" applyAlignment="1" pivotButton="0" quotePrefix="0" xfId="0">
      <alignment horizontal="right"/>
    </xf>
    <xf numFmtId="172" fontId="16" fillId="0" borderId="0" applyAlignment="1" pivotButton="0" quotePrefix="0" xfId="0">
      <alignment horizontal="right"/>
    </xf>
    <xf numFmtId="172" fontId="16" fillId="2" borderId="0" applyAlignment="1" pivotButton="0" quotePrefix="0" xfId="0">
      <alignment horizontal="right"/>
    </xf>
    <xf numFmtId="172" fontId="3" fillId="2" borderId="0" applyAlignment="1" pivotButton="0" quotePrefix="0" xfId="0">
      <alignment horizontal="right"/>
    </xf>
    <xf numFmtId="166" fontId="10" fillId="6" borderId="2" applyAlignment="1" pivotButton="0" quotePrefix="0" xfId="0">
      <alignment horizontal="right"/>
    </xf>
    <xf numFmtId="166" fontId="10" fillId="0" borderId="2" applyAlignment="1" pivotButton="0" quotePrefix="0" xfId="0">
      <alignment horizontal="right"/>
    </xf>
    <xf numFmtId="170" fontId="10" fillId="6" borderId="2" applyAlignment="1" pivotButton="0" quotePrefix="0" xfId="0">
      <alignment horizontal="right"/>
    </xf>
    <xf numFmtId="170" fontId="10" fillId="0" borderId="2" applyAlignment="1" pivotButton="0" quotePrefix="0" xfId="0">
      <alignment horizontal="right"/>
    </xf>
    <xf numFmtId="170" fontId="17" fillId="0" borderId="0" applyAlignment="1" pivotButton="0" quotePrefix="0" xfId="0">
      <alignment horizontal="right"/>
    </xf>
    <xf numFmtId="167" fontId="3" fillId="2" borderId="0" applyAlignment="1" pivotButton="0" quotePrefix="0" xfId="0">
      <alignment horizontal="right"/>
    </xf>
    <xf numFmtId="0" fontId="23" fillId="0" borderId="0" pivotButton="0" quotePrefix="0" xfId="0"/>
    <xf numFmtId="4" fontId="24" fillId="2" borderId="0" pivotButton="0" quotePrefix="0" xfId="0"/>
    <xf numFmtId="173" fontId="0" fillId="0" borderId="0" pivotButton="0" quotePrefix="0" xfId="0"/>
    <xf numFmtId="0" fontId="25" fillId="6" borderId="0" pivotButton="0" quotePrefix="0" xfId="0"/>
    <xf numFmtId="0" fontId="13" fillId="0" borderId="0" pivotButton="0" quotePrefix="0" xfId="0"/>
    <xf numFmtId="0" fontId="24" fillId="3" borderId="0" pivotButton="0" quotePrefix="0" xfId="0"/>
    <xf numFmtId="0" fontId="26" fillId="5" borderId="0" pivotButton="0" quotePrefix="0" xfId="0"/>
    <xf numFmtId="0" fontId="12" fillId="5" borderId="0" applyAlignment="1" pivotButton="0" quotePrefix="0" xfId="0">
      <alignment horizontal="center"/>
    </xf>
    <xf numFmtId="0" fontId="12" fillId="7" borderId="0" applyAlignment="1" pivotButton="0" quotePrefix="0" xfId="0">
      <alignment horizontal="center"/>
    </xf>
    <xf numFmtId="0" fontId="25" fillId="0" borderId="0" pivotButton="0" quotePrefix="0" xfId="0"/>
    <xf numFmtId="164" fontId="24" fillId="9" borderId="0" pivotButton="0" quotePrefix="0" xfId="0"/>
    <xf numFmtId="164" fontId="24" fillId="2" borderId="0" pivotButton="0" quotePrefix="0" xfId="0"/>
    <xf numFmtId="174" fontId="13" fillId="10" borderId="0" pivotButton="0" quotePrefix="0" xfId="0"/>
    <xf numFmtId="0" fontId="27" fillId="0" borderId="0" pivotButton="0" quotePrefix="0" xfId="0"/>
    <xf numFmtId="174" fontId="27" fillId="9" borderId="0" pivotButton="0" quotePrefix="0" xfId="0"/>
    <xf numFmtId="174" fontId="27" fillId="2" borderId="0" pivotButton="0" quotePrefix="0" xfId="0"/>
    <xf numFmtId="174" fontId="27" fillId="0" borderId="0" pivotButton="0" quotePrefix="0" xfId="0"/>
    <xf numFmtId="166" fontId="24" fillId="9" borderId="0" pivotButton="0" quotePrefix="0" xfId="0"/>
    <xf numFmtId="166" fontId="24" fillId="2" borderId="0" pivotButton="0" quotePrefix="0" xfId="0"/>
    <xf numFmtId="166" fontId="27" fillId="9" borderId="0" pivotButton="0" quotePrefix="0" xfId="0"/>
    <xf numFmtId="166" fontId="27" fillId="2" borderId="0" pivotButton="0" quotePrefix="0" xfId="0"/>
    <xf numFmtId="166" fontId="27" fillId="11" borderId="0" pivotButton="0" quotePrefix="0" xfId="0"/>
    <xf numFmtId="166" fontId="27" fillId="0" borderId="0" pivotButton="0" quotePrefix="0" xfId="0"/>
    <xf numFmtId="171" fontId="24" fillId="9" borderId="0" pivotButton="0" quotePrefix="0" xfId="0"/>
    <xf numFmtId="171" fontId="24" fillId="2" borderId="0" pivotButton="0" quotePrefix="0" xfId="0"/>
    <xf numFmtId="167" fontId="24" fillId="9" borderId="0" pivotButton="0" quotePrefix="0" xfId="0"/>
    <xf numFmtId="167" fontId="24" fillId="2" borderId="0" pivotButton="0" quotePrefix="0" xfId="0"/>
    <xf numFmtId="175" fontId="3" fillId="12" borderId="0" pivotButton="0" quotePrefix="0" xfId="0"/>
    <xf numFmtId="164" fontId="6" fillId="5" borderId="0" pivotButton="0" quotePrefix="0" xfId="0"/>
    <xf numFmtId="174" fontId="25" fillId="6" borderId="0" pivotButton="0" quotePrefix="0" xfId="0"/>
    <xf numFmtId="167" fontId="27" fillId="9" borderId="0" pivotButton="0" quotePrefix="0" xfId="0"/>
    <xf numFmtId="167" fontId="27" fillId="2" borderId="0" pivotButton="0" quotePrefix="0" xfId="0"/>
    <xf numFmtId="170" fontId="27" fillId="9" borderId="0" pivotButton="0" quotePrefix="0" xfId="0"/>
    <xf numFmtId="170" fontId="27" fillId="2" borderId="0" pivotButton="0" quotePrefix="0" xfId="0"/>
    <xf numFmtId="170" fontId="27" fillId="0" borderId="0" pivotButton="0" quotePrefix="0" xfId="0"/>
    <xf numFmtId="164" fontId="27" fillId="0" borderId="0" pivotButton="0" quotePrefix="0" xfId="0"/>
    <xf numFmtId="0" fontId="28" fillId="5" borderId="0" pivotButton="0" quotePrefix="0" xfId="0"/>
    <xf numFmtId="10" fontId="17" fillId="2" borderId="0" pivotButton="0" quotePrefix="0" xfId="0"/>
    <xf numFmtId="2" fontId="17" fillId="2" borderId="0" pivotButton="0" quotePrefix="0" xfId="0"/>
    <xf numFmtId="10" fontId="8" fillId="0" borderId="0" pivotButton="0" quotePrefix="0" xfId="0"/>
    <xf numFmtId="10" fontId="13" fillId="6" borderId="0" pivotButton="0" quotePrefix="0" xfId="0"/>
    <xf numFmtId="164" fontId="29" fillId="0" borderId="0" pivotButton="0" quotePrefix="0" xfId="0"/>
    <xf numFmtId="164" fontId="0" fillId="0" borderId="0" pivotButton="0" quotePrefix="0" xfId="0"/>
    <xf numFmtId="176" fontId="0" fillId="0" borderId="0" pivotButton="0" quotePrefix="0" xfId="0"/>
    <xf numFmtId="0" fontId="13" fillId="6" borderId="0" pivotButton="0" quotePrefix="0" xfId="0"/>
    <xf numFmtId="164" fontId="13" fillId="6" borderId="0" pivotButton="0" quotePrefix="0" xfId="0"/>
    <xf numFmtId="176" fontId="17" fillId="2" borderId="0" pivotButton="0" quotePrefix="0" xfId="0"/>
    <xf numFmtId="176" fontId="3" fillId="3" borderId="0" pivotButton="0" quotePrefix="0" xfId="0"/>
    <xf numFmtId="2" fontId="0" fillId="0" borderId="0" pivotButton="0" quotePrefix="0" xfId="0"/>
    <xf numFmtId="177" fontId="0" fillId="0" borderId="0" pivotButton="0" quotePrefix="0" xfId="0"/>
    <xf numFmtId="171" fontId="0" fillId="0" borderId="0" pivotButton="0" quotePrefix="0" xfId="0"/>
    <xf numFmtId="4" fontId="6" fillId="5" borderId="0" pivotButton="0" quotePrefix="0" xfId="0"/>
    <xf numFmtId="4" fontId="0" fillId="0" borderId="0" pivotButton="0" quotePrefix="0" xfId="0"/>
    <xf numFmtId="166" fontId="0" fillId="0" borderId="0" pivotButton="0" quotePrefix="0" xfId="0"/>
    <xf numFmtId="10" fontId="16" fillId="0" borderId="0" pivotButton="0" quotePrefix="0" xfId="0"/>
    <xf numFmtId="1" fontId="17" fillId="2" borderId="0" pivotButton="0" quotePrefix="0" xfId="0"/>
    <xf numFmtId="175" fontId="6" fillId="5" borderId="0" pivotButton="0" quotePrefix="0" xfId="0"/>
    <xf numFmtId="175" fontId="0" fillId="0" borderId="0" pivotButton="0" quotePrefix="0" xfId="0"/>
    <xf numFmtId="0" fontId="30" fillId="0" borderId="0" pivotButton="0" quotePrefix="0" xfId="0"/>
    <xf numFmtId="166" fontId="29" fillId="0" borderId="0" pivotButton="0" quotePrefix="0" xfId="0"/>
    <xf numFmtId="178" fontId="16" fillId="2" borderId="0" applyAlignment="1" pivotButton="0" quotePrefix="0" xfId="0">
      <alignment horizontal="right"/>
    </xf>
    <xf numFmtId="164" fontId="17" fillId="2" borderId="0" applyAlignment="1" pivotButton="0" quotePrefix="0" xfId="0">
      <alignment horizontal="right"/>
    </xf>
    <xf numFmtId="174" fontId="16" fillId="0" borderId="0" applyAlignment="1" pivotButton="0" quotePrefix="0" xfId="0">
      <alignment horizontal="right"/>
    </xf>
    <xf numFmtId="174" fontId="16" fillId="2" borderId="0" applyAlignment="1" pivotButton="0" quotePrefix="0" xfId="0">
      <alignment horizontal="right"/>
    </xf>
    <xf numFmtId="174" fontId="3" fillId="2" borderId="0" applyAlignment="1" pivotButton="0" quotePrefix="0" xfId="0">
      <alignment horizontal="right"/>
    </xf>
    <xf numFmtId="175" fontId="16" fillId="0" borderId="0" applyAlignment="1" pivotButton="0" quotePrefix="0" xfId="0">
      <alignment horizontal="right"/>
    </xf>
    <xf numFmtId="175" fontId="16" fillId="2" borderId="0" applyAlignment="1" pivotButton="0" quotePrefix="0" xfId="0">
      <alignment horizontal="right"/>
    </xf>
    <xf numFmtId="175" fontId="3" fillId="8" borderId="0" applyAlignment="1" pivotButton="0" quotePrefix="0" xfId="0">
      <alignment horizontal="center"/>
    </xf>
    <xf numFmtId="175" fontId="3" fillId="7" borderId="0" applyAlignment="1" pivotButton="0" quotePrefix="0" xfId="0">
      <alignment horizontal="center"/>
    </xf>
    <xf numFmtId="175" fontId="10" fillId="2" borderId="0" applyAlignment="1" pivotButton="0" quotePrefix="0" xfId="0">
      <alignment horizontal="right"/>
    </xf>
    <xf numFmtId="176" fontId="16" fillId="2" borderId="0" pivotButton="0" quotePrefix="0" xfId="0"/>
    <xf numFmtId="164" fontId="31" fillId="0" borderId="0" pivotButton="0" quotePrefix="0" xfId="0"/>
    <xf numFmtId="166" fontId="31" fillId="0" borderId="0" pivotButton="0" quotePrefix="0" xfId="0"/>
    <xf numFmtId="0" fontId="32" fillId="0" borderId="0" pivotButton="0" quotePrefix="0" xfId="0"/>
    <xf numFmtId="0" fontId="6" fillId="5" borderId="0" applyAlignment="1" pivotButton="0" quotePrefix="0" xfId="0">
      <alignment horizontal="right"/>
    </xf>
    <xf numFmtId="166" fontId="32" fillId="0" borderId="0" pivotButton="0" quotePrefix="0" xfId="0"/>
    <xf numFmtId="166" fontId="33" fillId="0" borderId="0" pivotButton="0" quotePrefix="0" xfId="0"/>
    <xf numFmtId="166" fontId="10" fillId="0" borderId="0" pivotButton="0" quotePrefix="0" xfId="0"/>
    <xf numFmtId="166" fontId="0" fillId="0" borderId="0" pivotButton="0" quotePrefix="0" xfId="0"/>
    <xf numFmtId="166" fontId="31" fillId="0" borderId="0" pivotButton="0" quotePrefix="0" xfId="0"/>
    <xf numFmtId="166" fontId="16" fillId="0" borderId="0" pivotButton="0" quotePrefix="0" xfId="0"/>
    <xf numFmtId="176" fontId="34" fillId="0" borderId="0" pivotButton="0" quotePrefix="0" xfId="0"/>
    <xf numFmtId="176" fontId="10" fillId="0" borderId="0" pivotButton="0" quotePrefix="0" xfId="0"/>
    <xf numFmtId="3" fontId="0" fillId="0" borderId="0" pivotButton="0" quotePrefix="0" xfId="0"/>
    <xf numFmtId="3" fontId="0" fillId="13" borderId="0" pivotButton="0" quotePrefix="0" xfId="0"/>
    <xf numFmtId="0" fontId="35" fillId="0" borderId="0" pivotButton="0" quotePrefix="0" xfId="0"/>
    <xf numFmtId="166" fontId="36" fillId="0" borderId="0" pivotButton="0" quotePrefix="0" xfId="0"/>
    <xf numFmtId="166" fontId="37" fillId="0" borderId="0" pivotButton="0" quotePrefix="0" xfId="0"/>
    <xf numFmtId="171" fontId="38" fillId="0" borderId="2" applyAlignment="1" pivotButton="0" quotePrefix="0" xfId="0">
      <alignment horizontal="right"/>
    </xf>
    <xf numFmtId="171" fontId="39" fillId="0" borderId="2" applyAlignment="1" pivotButton="0" quotePrefix="0" xfId="0">
      <alignment horizontal="right"/>
    </xf>
    <xf numFmtId="171" fontId="39" fillId="2" borderId="2" applyAlignment="1" pivotButton="0" quotePrefix="0" xfId="0">
      <alignment horizontal="right"/>
    </xf>
    <xf numFmtId="165" fontId="0" fillId="2" borderId="0" pivotButton="0" quotePrefix="0" xfId="0"/>
    <xf numFmtId="166" fontId="40" fillId="2" borderId="0" applyAlignment="1" pivotButton="0" quotePrefix="0" xfId="0">
      <alignment horizontal="right"/>
    </xf>
    <xf numFmtId="167" fontId="41" fillId="0" borderId="0" applyAlignment="1" pivotButton="0" quotePrefix="0" xfId="0">
      <alignment horizontal="right"/>
    </xf>
    <xf numFmtId="167" fontId="40" fillId="0" borderId="0" applyAlignment="1" pivotButton="0" quotePrefix="0" xfId="0">
      <alignment horizontal="right"/>
    </xf>
    <xf numFmtId="167" fontId="40" fillId="2" borderId="0" applyAlignment="1" pivotButton="0" quotePrefix="0" xfId="0">
      <alignment horizontal="right"/>
    </xf>
    <xf numFmtId="164" fontId="41" fillId="0" borderId="0" applyAlignment="1" pivotButton="0" quotePrefix="0" xfId="0">
      <alignment horizontal="right"/>
    </xf>
    <xf numFmtId="164" fontId="40" fillId="0" borderId="0" applyAlignment="1" pivotButton="0" quotePrefix="0" xfId="0">
      <alignment horizontal="right"/>
    </xf>
    <xf numFmtId="164" fontId="40" fillId="2" borderId="0" applyAlignment="1" pivotButton="0" quotePrefix="0" xfId="0">
      <alignment horizontal="right"/>
    </xf>
    <xf numFmtId="164" fontId="38" fillId="0" borderId="2" applyAlignment="1" pivotButton="0" quotePrefix="0" xfId="0">
      <alignment horizontal="right"/>
    </xf>
    <xf numFmtId="164" fontId="39" fillId="0" borderId="2" applyAlignment="1" pivotButton="0" quotePrefix="0" xfId="0">
      <alignment horizontal="right"/>
    </xf>
    <xf numFmtId="164" fontId="39" fillId="2" borderId="2" applyAlignment="1" pivotButton="0" quotePrefix="0" xfId="0">
      <alignment horizontal="right"/>
    </xf>
    <xf numFmtId="164" fontId="39" fillId="6" borderId="2" applyAlignment="1" pivotButton="0" quotePrefix="0" xfId="0">
      <alignment horizontal="right"/>
    </xf>
    <xf numFmtId="171" fontId="40" fillId="0" borderId="0" applyAlignment="1" pivotButton="0" quotePrefix="0" xfId="0">
      <alignment horizontal="right"/>
    </xf>
    <xf numFmtId="167" fontId="39" fillId="0" borderId="2" applyAlignment="1" pivotButton="0" quotePrefix="0" xfId="0">
      <alignment horizontal="right"/>
    </xf>
    <xf numFmtId="167" fontId="39" fillId="2" borderId="2" applyAlignment="1" pivotButton="0" quotePrefix="0" xfId="0">
      <alignment horizontal="right"/>
    </xf>
    <xf numFmtId="166" fontId="40" fillId="0" borderId="0" applyAlignment="1" pivotButton="0" quotePrefix="0" xfId="0">
      <alignment horizontal="right"/>
    </xf>
    <xf numFmtId="167" fontId="39" fillId="2" borderId="0" applyAlignment="1" pivotButton="0" quotePrefix="0" xfId="0">
      <alignment horizontal="right"/>
    </xf>
    <xf numFmtId="171" fontId="41" fillId="0" borderId="0" applyAlignment="1" pivotButton="0" quotePrefix="0" xfId="0">
      <alignment horizontal="right"/>
    </xf>
    <xf numFmtId="166" fontId="38" fillId="2" borderId="0" applyAlignment="1" pivotButton="0" quotePrefix="0" xfId="0">
      <alignment horizontal="right"/>
    </xf>
    <xf numFmtId="164" fontId="38" fillId="2" borderId="0" applyAlignment="1" pivotButton="0" quotePrefix="0" xfId="0">
      <alignment horizontal="right"/>
    </xf>
    <xf numFmtId="170" fontId="38" fillId="2" borderId="0" applyAlignment="1" pivotButton="0" quotePrefix="0" xfId="0">
      <alignment horizontal="right"/>
    </xf>
    <xf numFmtId="164" fontId="38" fillId="2" borderId="2" applyAlignment="1" pivotButton="0" quotePrefix="0" xfId="0">
      <alignment horizontal="right"/>
    </xf>
    <xf numFmtId="166" fontId="39" fillId="2" borderId="0" applyAlignment="1" pivotButton="0" quotePrefix="0" xfId="0">
      <alignment horizontal="right"/>
    </xf>
    <xf numFmtId="0" fontId="38" fillId="2" borderId="0" applyAlignment="1" pivotButton="0" quotePrefix="0" xfId="0">
      <alignment horizontal="right"/>
    </xf>
    <xf numFmtId="171" fontId="40" fillId="2" borderId="0" applyAlignment="1" pivotButton="0" quotePrefix="0" xfId="0">
      <alignment horizontal="right"/>
    </xf>
    <xf numFmtId="179" fontId="40" fillId="0" borderId="0" applyAlignment="1" pivotButton="0" quotePrefix="0" xfId="0">
      <alignment horizontal="right"/>
    </xf>
    <xf numFmtId="164" fontId="38" fillId="6" borderId="2" applyAlignment="1" pivotButton="0" quotePrefix="0" xfId="0">
      <alignment horizontal="right"/>
    </xf>
    <xf numFmtId="167" fontId="39" fillId="6" borderId="2" applyAlignment="1" pivotButton="0" quotePrefix="0" xfId="0">
      <alignment horizontal="right"/>
    </xf>
    <xf numFmtId="0" fontId="42" fillId="0" borderId="0" pivotButton="0" quotePrefix="0" xfId="0"/>
    <xf numFmtId="166" fontId="0" fillId="2" borderId="0" pivotButton="0" quotePrefix="0" xfId="0"/>
    <xf numFmtId="170" fontId="40" fillId="0" borderId="0" applyAlignment="1" pivotButton="0" quotePrefix="0" xfId="0">
      <alignment horizontal="right"/>
    </xf>
    <xf numFmtId="170" fontId="40" fillId="2" borderId="0" applyAlignment="1" pivotButton="0" quotePrefix="0" xfId="0">
      <alignment horizontal="right"/>
    </xf>
    <xf numFmtId="171" fontId="38" fillId="2" borderId="0" applyAlignment="1" pivotButton="0" quotePrefix="0" xfId="0">
      <alignment horizontal="right"/>
    </xf>
    <xf numFmtId="172" fontId="40" fillId="0" borderId="0" applyAlignment="1" pivotButton="0" quotePrefix="0" xfId="0">
      <alignment horizontal="right"/>
    </xf>
    <xf numFmtId="172" fontId="38" fillId="2" borderId="0" applyAlignment="1" pivotButton="0" quotePrefix="0" xfId="0">
      <alignment horizontal="right"/>
    </xf>
    <xf numFmtId="175" fontId="39" fillId="2" borderId="0" applyAlignment="1" pivotButton="0" quotePrefix="0" xfId="0">
      <alignment horizontal="right"/>
    </xf>
    <xf numFmtId="166" fontId="41" fillId="0" borderId="0" applyAlignment="1" pivotButton="0" quotePrefix="0" xfId="0">
      <alignment horizontal="right"/>
    </xf>
    <xf numFmtId="166" fontId="39" fillId="6" borderId="2" applyAlignment="1" pivotButton="0" quotePrefix="0" xfId="0">
      <alignment horizontal="right"/>
    </xf>
    <xf numFmtId="166" fontId="39" fillId="0" borderId="2" applyAlignment="1" pivotButton="0" quotePrefix="0" xfId="0">
      <alignment horizontal="right"/>
    </xf>
    <xf numFmtId="170" fontId="39" fillId="0" borderId="2" applyAlignment="1" pivotButton="0" quotePrefix="0" xfId="0">
      <alignment horizontal="right"/>
    </xf>
    <xf numFmtId="170" fontId="39" fillId="2" borderId="2" applyAlignment="1" pivotButton="0" quotePrefix="0" xfId="0">
      <alignment horizontal="right"/>
    </xf>
    <xf numFmtId="167" fontId="38" fillId="2" borderId="0" applyAlignment="1" pivotButton="0" quotePrefix="0" xfId="0">
      <alignment horizontal="right"/>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AD2C5"/>
      <rgbColor rgb="FF878787"/>
      <rgbColor rgb="FF84A98C"/>
      <rgbColor rgb="FF595959"/>
      <rgbColor rgb="FFFFF8DC"/>
      <rgbColor rgb="FFE8ED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9ECEC"/>
      <rgbColor rgb="FFF0F2F0"/>
      <rgbColor rgb="FFFFFDE7"/>
      <rgbColor rgb="FFA8C5D6"/>
      <rgbColor rgb="FFFF99CC"/>
      <rgbColor rgb="FFCC99FF"/>
      <rgbColor rgb="FFF5F5F5"/>
      <rgbColor rgb="FF3366FF"/>
      <rgbColor rgb="FF33CCCC"/>
      <rgbColor rgb="FF99CC00"/>
      <rgbColor rgb="FFFFCC00"/>
      <rgbColor rgb="FFFF9900"/>
      <rgbColor rgb="FFC8553D"/>
      <rgbColor rgb="FF666666"/>
      <rgbColor rgb="FFA6A6A6"/>
      <rgbColor rgb="FF1F3864"/>
      <rgbColor rgb="FF52796F"/>
      <rgbColor rgb="FF003300"/>
      <rgbColor rgb="FF404040"/>
      <rgbColor rgb="FF993300"/>
      <rgbColor rgb="FF993366"/>
      <rgbColor rgb="FF1F4E79"/>
      <rgbColor rgb="FF2F3E4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sz="1400" b="1" strike="noStrike" spc="-1">
                <a:solidFill>
                  <a:srgbClr val="000000"/>
                </a:solidFill>
                <a:latin typeface="Calibri"/>
              </a:rPr>
              <a:t>Revenue Growth Decomposition: Organic vs M&amp;A</a:t>
            </a:r>
          </a:p>
        </c:rich>
      </c:tx>
      <c:overlay val="0"/>
      <c:spPr>
        <a:noFill/>
        <a:ln w="0">
          <a:noFill/>
        </a:ln>
      </c:spPr>
    </c:title>
    <c:autoTitleDeleted val="0"/>
    <c:plotArea>
      <c:layout/>
      <c:barChart>
        <c:barDir val="col"/>
        <c:grouping val="stacked"/>
        <c:varyColors val="0"/>
        <c:ser>
          <c:idx val="0"/>
          <c:order val="0"/>
          <c:tx>
            <c:strRef>
              <c:f>Charts!$B$8</c:f>
            </c:strRef>
          </c:tx>
          <c:spPr>
            <a:solidFill>
              <a:srgbClr val="2F3E4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Charts!$C$7:$V$7</c:f>
            </c:numRef>
          </c:cat>
          <c:val>
            <c:numRef>
              <c:f>Charts!$C$8:$V$8</c:f>
            </c:numRef>
          </c:val>
          <c:extLst>
            <c:ext xmlns:c16="http://schemas.microsoft.com/office/drawing/2014/chart" uri="{C3380CC4-5D6E-409C-BE32-E72D297353CC}">
              <c16:uniqueId val="{00000000-BD7A-44FA-9E1A-0B802C5FC88A}"/>
            </c:ext>
          </c:extLst>
        </c:ser>
        <c:ser>
          <c:idx val="1"/>
          <c:order val="1"/>
          <c:tx>
            <c:strRef>
              <c:f>Charts!$B$9</c:f>
            </c:strRef>
          </c:tx>
          <c:spPr>
            <a:solidFill>
              <a:srgbClr val="84A98C"/>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Charts!$C$7:$V$7</c:f>
            </c:numRef>
          </c:cat>
          <c:val>
            <c:numRef>
              <c:f>Charts!$C$9:$V$9</c:f>
            </c:numRef>
          </c:val>
          <c:extLst>
            <c:ext xmlns:c16="http://schemas.microsoft.com/office/drawing/2014/chart" uri="{C3380CC4-5D6E-409C-BE32-E72D297353CC}">
              <c16:uniqueId val="{00000001-BD7A-44FA-9E1A-0B802C5FC88A}"/>
            </c:ext>
          </c:extLst>
        </c:ser>
        <c:dLbls>
          <c:showLegendKey val="0"/>
          <c:showVal val="0"/>
          <c:showCatName val="0"/>
          <c:showSerName val="0"/>
          <c:showPercent val="0"/>
          <c:showBubbleSize val="0"/>
        </c:dLbls>
        <c:gapWidth val="150"/>
        <c:overlap val="100"/>
        <c:axId val="64931980"/>
        <c:axId val="7053029"/>
      </c:barChart>
      <c:catAx>
        <c:axId val="6493198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53029"/>
        <c:crosses val="autoZero"/>
        <c:auto val="1"/>
        <c:lblAlgn val="ctr"/>
        <c:lblOffset val="100"/>
        <c:noMultiLvlLbl val="0"/>
      </c:catAx>
      <c:valAx>
        <c:axId val="705302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93198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sz="1400" b="1" strike="noStrike" spc="-1">
                <a:solidFill>
                  <a:srgbClr val="000000"/>
                </a:solidFill>
                <a:latin typeface="Calibri"/>
              </a:rPr>
              <a:t>Adjusted EBITDA &amp; GAAP Operating Earnings (USDm) with Margins (%)</a:t>
            </a:r>
          </a:p>
        </c:rich>
      </c:tx>
      <c:overlay val="0"/>
      <c:spPr>
        <a:noFill/>
        <a:ln w="0">
          <a:noFill/>
        </a:ln>
      </c:spPr>
    </c:title>
    <c:autoTitleDeleted val="0"/>
    <c:plotArea>
      <c:layout/>
      <c:barChart>
        <c:barDir val="col"/>
        <c:grouping val="clustered"/>
        <c:varyColors val="0"/>
        <c:ser>
          <c:idx val="0"/>
          <c:order val="0"/>
          <c:tx>
            <c:strRef>
              <c:f>Charts!$B$12</c:f>
            </c:strRef>
          </c:tx>
          <c:spPr>
            <a:solidFill>
              <a:srgbClr val="A8C5D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Charts!$C$7:$V$7</c:f>
            </c:numRef>
          </c:cat>
          <c:val>
            <c:numRef>
              <c:f>Charts!$C$12:$V$12</c:f>
            </c:numRef>
          </c:val>
          <c:extLst>
            <c:ext xmlns:c16="http://schemas.microsoft.com/office/drawing/2014/chart" uri="{C3380CC4-5D6E-409C-BE32-E72D297353CC}">
              <c16:uniqueId val="{00000000-EA4B-49F3-92AC-E6E62246F33D}"/>
            </c:ext>
          </c:extLst>
        </c:ser>
        <c:ser>
          <c:idx val="1"/>
          <c:order val="1"/>
          <c:tx>
            <c:strRef>
              <c:f>Charts!$B$13</c:f>
            </c:strRef>
          </c:tx>
          <c:spPr>
            <a:solidFill>
              <a:srgbClr val="1F4E7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Charts!$C$7:$V$7</c:f>
            </c:numRef>
          </c:cat>
          <c:val>
            <c:numRef>
              <c:f>Charts!$C$13:$V$13</c:f>
            </c:numRef>
          </c:val>
          <c:extLst>
            <c:ext xmlns:c16="http://schemas.microsoft.com/office/drawing/2014/chart" uri="{C3380CC4-5D6E-409C-BE32-E72D297353CC}">
              <c16:uniqueId val="{00000001-EA4B-49F3-92AC-E6E62246F33D}"/>
            </c:ext>
          </c:extLst>
        </c:ser>
        <c:dLbls>
          <c:showLegendKey val="0"/>
          <c:showVal val="0"/>
          <c:showCatName val="0"/>
          <c:showSerName val="0"/>
          <c:showPercent val="0"/>
          <c:showBubbleSize val="0"/>
        </c:dLbls>
        <c:gapWidth val="150"/>
        <c:axId val="12466311"/>
        <c:axId val="57004857"/>
      </c:barChart>
      <c:lineChart>
        <c:grouping val="standard"/>
        <c:varyColors val="0"/>
        <c:ser>
          <c:idx val="2"/>
          <c:order val="2"/>
          <c:tx>
            <c:strRef>
              <c:f>Charts!$B$14</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Charts!$C$7:$V$7</c:f>
            </c:numRef>
          </c:cat>
          <c:val>
            <c:numRef>
              <c:f>Charts!$C$14:$V$14</c:f>
            </c:numRef>
          </c:val>
          <c:smooth val="1"/>
          <c:extLst>
            <c:ext xmlns:c16="http://schemas.microsoft.com/office/drawing/2014/chart" uri="{C3380CC4-5D6E-409C-BE32-E72D297353CC}">
              <c16:uniqueId val="{00000002-EA4B-49F3-92AC-E6E62246F33D}"/>
            </c:ext>
          </c:extLst>
        </c:ser>
        <c:ser>
          <c:idx val="3"/>
          <c:order val="3"/>
          <c:tx>
            <c:strRef>
              <c:f>Charts!$B$15</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Charts!$C$7:$V$7</c:f>
            </c:numRef>
          </c:cat>
          <c:val>
            <c:numRef>
              <c:f>Charts!$C$15:$V$15</c:f>
            </c:numRef>
          </c:val>
          <c:smooth val="1"/>
          <c:extLst>
            <c:ext xmlns:c16="http://schemas.microsoft.com/office/drawing/2014/chart" uri="{C3380CC4-5D6E-409C-BE32-E72D297353CC}">
              <c16:uniqueId val="{00000003-EA4B-49F3-92AC-E6E62246F33D}"/>
            </c:ext>
          </c:extLst>
        </c:ser>
        <c:dLbls>
          <c:showLegendKey val="0"/>
          <c:showVal val="0"/>
          <c:showCatName val="0"/>
          <c:showSerName val="0"/>
          <c:showPercent val="0"/>
          <c:showBubbleSize val="0"/>
        </c:dLbls>
        <c:hiLowLines>
          <c:spPr>
            <a:ln w="0">
              <a:noFill/>
            </a:ln>
          </c:spPr>
        </c:hiLowLines>
        <c:marker val="1"/>
        <c:smooth val="0"/>
        <c:axId val="4233312"/>
        <c:axId val="85085782"/>
      </c:lineChart>
      <c:catAx>
        <c:axId val="1246631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004857"/>
        <c:crosses val="autoZero"/>
        <c:auto val="1"/>
        <c:lblAlgn val="ctr"/>
        <c:lblOffset val="100"/>
        <c:noMultiLvlLbl val="0"/>
      </c:catAx>
      <c:valAx>
        <c:axId val="5700485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466311"/>
        <c:crosses val="autoZero"/>
        <c:crossBetween val="between"/>
      </c:valAx>
      <c:catAx>
        <c:axId val="423331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085782"/>
        <c:crosses val="autoZero"/>
        <c:auto val="1"/>
        <c:lblAlgn val="ctr"/>
        <c:lblOffset val="100"/>
        <c:noMultiLvlLbl val="0"/>
      </c:catAx>
      <c:valAx>
        <c:axId val="85085782"/>
        <c:scaling>
          <c:orientation val="minMax"/>
        </c:scaling>
        <c:delete val="0"/>
        <c:axPos val="r"/>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233312"/>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400" b="1" strike="noStrike" spc="-1">
                <a:solidFill>
                  <a:srgbClr val="000000"/>
                </a:solidFill>
                <a:latin typeface="Calibri"/>
              </a:defRPr>
            </a:pPr>
            <a:r>
              <a:rPr sz="1400" b="1" strike="noStrike" spc="-1">
                <a:solidFill>
                  <a:srgbClr val="000000"/>
                </a:solidFill>
                <a:latin typeface="Calibri"/>
              </a:rPr>
              <a:t>Returns Profile: ROIC, RONTA, Adjusted EBITDA Margin &amp; FCF Margin</a:t>
            </a:r>
          </a:p>
        </c:rich>
      </c:tx>
      <c:overlay val="0"/>
      <c:spPr>
        <a:noFill/>
        <a:ln w="0">
          <a:noFill/>
        </a:ln>
      </c:spPr>
    </c:title>
    <c:autoTitleDeleted val="0"/>
    <c:plotArea>
      <c:layout/>
      <c:lineChart>
        <c:grouping val="standard"/>
        <c:varyColors val="0"/>
        <c:ser>
          <c:idx val="0"/>
          <c:order val="0"/>
          <c:tx>
            <c:strRef>
              <c:f>Charts!$B$18</c:f>
            </c:strRef>
          </c:tx>
          <c:spPr>
            <a:ln w="28440">
              <a:solidFill>
                <a:srgbClr val="2F3E4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Charts!$C$7:$V$7</c:f>
            </c:numRef>
          </c:cat>
          <c:val>
            <c:numRef>
              <c:f>Charts!$C$18:$V$18</c:f>
            </c:numRef>
          </c:val>
          <c:smooth val="1"/>
          <c:extLst>
            <c:ext xmlns:c16="http://schemas.microsoft.com/office/drawing/2014/chart" uri="{C3380CC4-5D6E-409C-BE32-E72D297353CC}">
              <c16:uniqueId val="{00000000-10A7-4A72-B3B0-3ACB66B5EE96}"/>
            </c:ext>
          </c:extLst>
        </c:ser>
        <c:ser>
          <c:idx val="1"/>
          <c:order val="1"/>
          <c:tx>
            <c:strRef>
              <c:f>Charts!$B$19</c:f>
            </c:strRef>
          </c:tx>
          <c:spPr>
            <a:ln w="28440">
              <a:solidFill>
                <a:srgbClr val="84A98C"/>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Charts!$C$7:$V$7</c:f>
            </c:numRef>
          </c:cat>
          <c:val>
            <c:numRef>
              <c:f>Charts!$C$19:$V$19</c:f>
            </c:numRef>
          </c:val>
          <c:smooth val="1"/>
          <c:extLst>
            <c:ext xmlns:c16="http://schemas.microsoft.com/office/drawing/2014/chart" uri="{C3380CC4-5D6E-409C-BE32-E72D297353CC}">
              <c16:uniqueId val="{00000001-10A7-4A72-B3B0-3ACB66B5EE96}"/>
            </c:ext>
          </c:extLst>
        </c:ser>
        <c:ser>
          <c:idx val="2"/>
          <c:order val="2"/>
          <c:tx>
            <c:strRef>
              <c:f>Charts!$B$20</c:f>
            </c:strRef>
          </c:tx>
          <c:spPr>
            <a:ln w="28440">
              <a:solidFill>
                <a:srgbClr val="1F4E79"/>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Charts!$C$7:$V$7</c:f>
            </c:numRef>
          </c:cat>
          <c:val>
            <c:numRef>
              <c:f>Charts!$C$20:$V$20</c:f>
            </c:numRef>
          </c:val>
          <c:smooth val="1"/>
          <c:extLst>
            <c:ext xmlns:c16="http://schemas.microsoft.com/office/drawing/2014/chart" uri="{C3380CC4-5D6E-409C-BE32-E72D297353CC}">
              <c16:uniqueId val="{00000002-10A7-4A72-B3B0-3ACB66B5EE96}"/>
            </c:ext>
          </c:extLst>
        </c:ser>
        <c:ser>
          <c:idx val="3"/>
          <c:order val="3"/>
          <c:tx>
            <c:strRef>
              <c:f>Charts!$B$21</c:f>
            </c:strRef>
          </c:tx>
          <c:spPr>
            <a:ln w="28440">
              <a:solidFill>
                <a:srgbClr val="C8553D"/>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Charts!$C$7:$V$7</c:f>
            </c:numRef>
          </c:cat>
          <c:val>
            <c:numRef>
              <c:f>Charts!$C$21:$V$21</c:f>
            </c:numRef>
          </c:val>
          <c:smooth val="1"/>
          <c:extLst>
            <c:ext xmlns:c16="http://schemas.microsoft.com/office/drawing/2014/chart" uri="{C3380CC4-5D6E-409C-BE32-E72D297353CC}">
              <c16:uniqueId val="{00000003-10A7-4A72-B3B0-3ACB66B5EE96}"/>
            </c:ext>
          </c:extLst>
        </c:ser>
        <c:dLbls>
          <c:showLegendKey val="0"/>
          <c:showVal val="0"/>
          <c:showCatName val="0"/>
          <c:showSerName val="0"/>
          <c:showPercent val="0"/>
          <c:showBubbleSize val="0"/>
        </c:dLbls>
        <c:hiLowLines>
          <c:spPr>
            <a:ln w="0">
              <a:noFill/>
            </a:ln>
          </c:spPr>
        </c:hiLowLines>
        <c:smooth val="0"/>
        <c:axId val="62087129"/>
        <c:axId val="56670482"/>
      </c:lineChart>
      <c:catAx>
        <c:axId val="6208712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670482"/>
        <c:crosses val="autoZero"/>
        <c:auto val="1"/>
        <c:lblAlgn val="ctr"/>
        <c:lblOffset val="100"/>
        <c:noMultiLvlLbl val="0"/>
      </c:catAx>
      <c:valAx>
        <c:axId val="5667048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208712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omments/comment1.xml><?xml version="1.0" encoding="utf-8"?>
<comments xmlns="http://schemas.openxmlformats.org/spreadsheetml/2006/main">
  <authors>
    <author>VMC model</author>
  </authors>
  <commentList>
    <comment ref="CT2" authorId="0" shapeId="0">
      <text>
        <t>Scenario toggle. Choose Bull / Base / Bear. Drives: FY26 Adjusted EBITDA outlook end-point (high / mid / low), 2027E–2030E aggregates volume / price / unit cash cost, asphalt and concrete growth and margins, M&amp;A spend, 2H/26 buybacks and the leverage floor for 2027E+ buybacks (scenario table DB:DF).</t>
      </text>
    </comment>
    <comment ref="B11" authorId="0" shapeId="0">
      <text>
        <t>Source: Vulcan earnings releases (Form 8-K Ex. 99.1) — Table D "Average Unit Sales Price and Unit Shipments"; FY2006–12 from the 10-K MD&amp;A. Quarterly from Q1/13.</t>
      </text>
    </comment>
    <comment ref="B13" authorId="0" shapeId="0">
      <text>
        <t>Source: Vulcan earnings releases (Form 8-K Ex. 99.1) — freight-adjusted sales price per ton (Table D / Appendix 1). 2007 price covers legacy Vulcan only (excl. Florida Rock).</t>
      </text>
    </comment>
    <comment ref="B15" authorId="0" shapeId="0">
      <text>
        <t>Source: Vulcan earnings releases (Form 8-K Ex. 99.1) — Appendix 1 "Aggregates Segment Freight-Adjusted Revenues" (published from 2014).</t>
      </text>
    </comment>
    <comment ref="B17" authorId="0" shapeId="0">
      <text>
        <t>Source: Vulcan earnings releases (Form 8-K Ex. 99.1) — Table D "Segment Financial Data" total revenues; 10-K segment note for FY2006–12.</t>
      </text>
    </comment>
    <comment ref="B19" authorId="0" shapeId="0">
      <text>
        <t>Source: Vulcan earnings releases (Form 8-K Ex. 99.1) — Table D segment gross profit; 10-K segment note.</t>
      </text>
    </comment>
    <comment ref="B20" authorId="0" shapeId="0">
      <text>
        <t>Source: Vulcan earnings releases (Form 8-K Ex. 99.1) — Table D "Depreciation, Depletion, Accretion and Amortization" by segment; 10-K segment note.</t>
      </text>
    </comment>
    <comment ref="B22" authorId="0" shapeId="0">
      <text>
        <t>Source: Vulcan earnings releases (Form 8-K Ex. 99.1) — Appendix "Cash Gross Profit" (aggregates cash gross profit).</t>
      </text>
    </comment>
    <comment ref="B38" authorId="0" shapeId="0">
      <text>
        <t>Source: Vulcan earnings releases (Form 8-K Ex. 99.1) — Table D. 2007–09: asphalt mix and concrete reported as one segment (shown in the legacy "other segment" rows).</t>
      </text>
    </comment>
    <comment ref="B52" authorId="0" shapeId="0">
      <text>
        <t>Source: Vulcan earnings releases (Form 8-K Ex. 99.1) — Table D. 2007–09: see legacy rows (combined Asphalt mix &amp; Concrete segment).</t>
      </text>
    </comment>
    <comment ref="B64" authorId="0" shapeId="0">
      <text>
        <t>10-K segment note / releases: Cement segment (Florida Rock) 2007–Q1/14; Q2/14–Q3/14 releases label calcium products "Cement".</t>
      </text>
    </comment>
    <comment ref="B67" authorId="0" shapeId="0">
      <text>
        <t>Releases: Calcium segment (Brooksville, FL) from Q2/14.</t>
      </text>
    </comment>
    <comment ref="B70" authorId="0" shapeId="0">
      <text>
        <t>2006: "other" product line (single Construction Materials segment). 2007–09: combined Asphalt mix &amp; Concrete segment (FY2008 / FY2009 10-K recast).</t>
      </text>
    </comment>
    <comment ref="B75" authorId="0" shapeId="0">
      <text>
        <t>Source: Vulcan earnings releases (Form 8-K Ex. 99.1) — Table D intersegment sales (total eliminations).</t>
      </text>
    </comment>
    <comment ref="B76" authorId="0" shapeId="0">
      <text>
        <t>Income statement "Delivery revenues" (pre-Q3/14 presentation); from Q3/14 to 2017 the releases' "freight and delivery revenues" reconciliation (shown on the income statement memo line only).</t>
      </text>
    </comment>
    <comment ref="B133" authorId="0" shapeId="0">
      <text>
        <t>Source: 10-K Item 2 (Properties) — total aggregates reserves.</t>
      </text>
    </comment>
    <comment ref="B138" authorId="0" shapeId="0">
      <text>
        <t>Source: Consolidated Statements of Earnings (earnings release Table A; 10-K for annual).</t>
      </text>
    </comment>
    <comment ref="B144" authorId="0" shapeId="0">
      <text>
        <t>Combination of all remaining operating lines (e.g. "Other operating expense, net", "Recovery from legal settlement", "Gain on sale of real estate", "Loss on impairments", "Restructuring charges"). Cell comments give each period's lines.</t>
      </text>
    </comment>
    <comment ref="D144" authorId="0" shapeId="0">
      <text>
        <t>Company wording: Other operating expense (income), net: -5.4 | Minority interest in earnings of a consolidated subsidiary: -0.2</t>
      </text>
    </comment>
    <comment ref="E144" authorId="0" shapeId="0">
      <text>
        <t>Company wording: Goodwill impairment: -252.7 | Other operating (income) expense, net: 0.4</t>
      </text>
    </comment>
    <comment ref="G144" authorId="0" shapeId="0">
      <text>
        <t>Company wording: Charge for legal settlement: -40.0 | Other operating income (expense), net: -7.0</t>
      </text>
    </comment>
    <comment ref="H144" authorId="0" shapeId="0">
      <text>
        <t>Company wording: Recovery from (charge for) legal settlement: 46.4 | Restructuring charges: -13.0 | Exchange offer evaluation costs: -2.2 | Other operating income (expense), net: -9.4</t>
      </text>
    </comment>
    <comment ref="I144" authorId="0" shapeId="0">
      <text>
        <t>Company wording: Restructuring charges: -9.6 | Exchange offer costs: -43.4 | Other operating income (expense), net: -5.6</t>
      </text>
    </comment>
    <comment ref="J144" authorId="0" shapeId="0">
      <text>
        <t>Company wording: Restructuring charges: -1.5 | Other operating income (expense), net: -5.7</t>
      </text>
    </comment>
    <comment ref="K144" authorId="0" shapeId="0">
      <text>
        <t>Company wording: Other operating income (expense), net: -4.5</t>
      </text>
    </comment>
    <comment ref="M144" authorId="0" shapeId="0">
      <text>
        <t>Company wording: Other operating expense, net: -2.7</t>
      </text>
    </comment>
    <comment ref="N144" authorId="0" shapeId="0">
      <text>
        <t>Company wording: Other operating expense, net: -1.9</t>
      </text>
    </comment>
    <comment ref="O144" authorId="0" shapeId="0">
      <text>
        <t>Company wording: Restructuring charges: -1.5 | Other operating expense, net: -14.8</t>
      </text>
    </comment>
    <comment ref="S144" authorId="0" shapeId="0">
      <text>
        <t>Company wording: Restructuring charges: -0.8 | Other operating expense, net: -2.9</t>
      </text>
    </comment>
    <comment ref="T144" authorId="0" shapeId="0">
      <text>
        <t>Company wording: Restructuring charges: -0.6 | Other operating expense, net: -2.4</t>
      </text>
    </comment>
    <comment ref="U144" authorId="0" shapeId="0">
      <text>
        <t>Company wording: Restructuring charges: -1.3 | Other operating expense, net: -20.1</t>
      </text>
    </comment>
    <comment ref="V144" authorId="0" shapeId="0">
      <text>
        <t>Company wording: Restructuring charges: -2.8 | Other operating expense, net: -3.9</t>
      </text>
    </comment>
    <comment ref="W144" authorId="0" shapeId="0">
      <text>
        <t>Company wording: Restructuring charges: -1.3 | Other operating expense, net: -10.4</t>
      </text>
    </comment>
    <comment ref="Y144" authorId="0" shapeId="0">
      <text>
        <t>Company wording: Restructuring charges: -0.4 | Other operating expense, net: -8.0</t>
      </text>
    </comment>
    <comment ref="Z144" authorId="0" shapeId="0">
      <text>
        <t>Company wording: Restructuring charges: -0.4 | Other operating expense, net: -3.5</t>
      </text>
    </comment>
    <comment ref="AA144" authorId="0" shapeId="0">
      <text>
        <t>Company wording: Restructuring charges: -5.0 | Other operating expense, net: -25.9</t>
      </text>
    </comment>
    <comment ref="AB144" authorId="0" shapeId="0">
      <text>
        <t>Company wording: Impairment of long-lived assets: -9.6 | Restructuring charges: -0.3 | Other operating expense, net: -13.9</t>
      </text>
    </comment>
    <comment ref="AC144" authorId="0" shapeId="0">
      <text>
        <t>Company wording: Business interuption claims recovery: 11.0 | Impairment of long-lived assets: -0.9 | Other operating expense, net: -6.2</t>
      </text>
    </comment>
    <comment ref="AE144" authorId="0" shapeId="0">
      <text>
        <t>Company wording: Business interruption claims recovery: 0.7 | Other operating expense, net: -3.5</t>
      </text>
    </comment>
    <comment ref="AG144" authorId="0" shapeId="0">
      <text>
        <t>Company wording: Business interruption claims recovery: 11.7 | Impairment of long-lived assets: -10.5 | Other operating income (expense), net: -22.8</t>
      </text>
    </comment>
    <comment ref="AH144" authorId="0" shapeId="0">
      <text>
        <t>Company wording: Other operating expense, net: -5.8</t>
      </text>
    </comment>
    <comment ref="AI144" authorId="0" shapeId="0">
      <text>
        <t>Company wording: Other operating expense, net: -17.8</t>
      </text>
    </comment>
    <comment ref="AK144" authorId="0" shapeId="0">
      <text>
        <t>Company wording: Other operating expense, net: -4.2</t>
      </text>
    </comment>
    <comment ref="BO144" authorId="0" shapeId="0">
      <text>
        <t>Company wording: Loss on impairments: -67.8 | Other operating expense, net: -8.2</t>
      </text>
    </comment>
    <comment ref="BP144" authorId="0" shapeId="0">
      <text>
        <t>Company wording: Loss on impairments: -0.1 | Other operating expense, net: -14.2</t>
      </text>
    </comment>
    <comment ref="BQ144" authorId="0" shapeId="0">
      <text>
        <t>Company wording: Loss on impairments: -67.9 | Other operating expense, net: -34.0</t>
      </text>
    </comment>
    <comment ref="BR144" authorId="0" shapeId="0">
      <text>
        <t>Company wording: Other operating income (expense), net: 0.8</t>
      </text>
    </comment>
    <comment ref="BU144" authorId="0" shapeId="0">
      <text>
        <t>Company wording: Loss on impairments: -28.3 | Other operating expense, net: -4.2</t>
      </text>
    </comment>
    <comment ref="BV144" authorId="0" shapeId="0">
      <text>
        <t>Company wording: Other operating expense, net: -13.4</t>
      </text>
    </comment>
    <comment ref="BW144" authorId="0" shapeId="0">
      <text>
        <t>Company wording: Loss on impairments: -28.3 | Other operating expense, net: -26.4</t>
      </text>
    </comment>
    <comment ref="CA144" authorId="0" shapeId="0">
      <text>
        <t>Company wording: Loss on impairments: -86.6 | Other operating expense, net: -12.6</t>
      </text>
    </comment>
    <comment ref="CB144" authorId="0" shapeId="0">
      <text>
        <t>Company wording: Other operating expense, net: -45.8</t>
      </text>
    </comment>
    <comment ref="CC144" authorId="0" shapeId="0">
      <text>
        <t>Company wording: Loss on impairments: -86.6 | Other operating expense, net: -69.7</t>
      </text>
    </comment>
    <comment ref="CG144" authorId="0" shapeId="0">
      <text>
        <t>Company wording: Other operating expense, net: -9.3</t>
      </text>
    </comment>
    <comment ref="CH144" authorId="0" shapeId="0">
      <text>
        <t>Company wording: Other operating expense, net: -15.0</t>
      </text>
    </comment>
    <comment ref="CI144" authorId="0" shapeId="0">
      <text>
        <t>Company wording: Other operating expense, net: -43.3</t>
      </text>
    </comment>
    <comment ref="B170" authorId="0" shapeId="0">
      <text>
        <t>Source: releases / 10-Q / 10-K (XBRL); Q4 = full year less nine months where the Q4 release omits it.</t>
      </text>
    </comment>
    <comment ref="B175" authorId="0" shapeId="0">
      <text>
        <t>Source: EBITDA reconciliation (Appendix) — "Income tax expense, including discontinued operations".</t>
      </text>
    </comment>
    <comment ref="B178" authorId="0" shapeId="0">
      <text>
        <t>2016–Q1/23 (and earlier) Vulcan began its EBITDA build from net earnings and removed discontinued operations after tax before EBIT; from Q2/23 the pre-tax discontinued-ops (gain) loss sits in the Adjusted EBITDA bridge instead.</t>
      </text>
    </comment>
    <comment ref="BS182" authorId="0" shapeId="0">
      <text>
        <t>Company wording (Adjusted EBITDA bridge): Loss on discontinued operations: 4.9 | Gain on sale of real estate and businesses, net: -15.2 | Charges associated with divested operations: 4.3 | Acquisition related charges: 0.3</t>
      </text>
    </comment>
    <comment ref="BU182" authorId="0" shapeId="0">
      <text>
        <t>Company wording (Adjusted EBITDA bridge): Loss on discontinued operations: 3.8 | Acquisition related charges: 1.2 | Loss on impairments: 28.3</t>
      </text>
    </comment>
    <comment ref="BV182" authorId="0" shapeId="0">
      <text>
        <t>Company wording (Adjusted EBITDA bridge): Loss on discontinued operations: 3.0 | (Gain) loss on sale of real estate and businesses, net: -51.9 | Charges associated with divested operations: 3.3 | Acquisition related charges: 0.1</t>
      </text>
    </comment>
    <comment ref="BW182" authorId="0" shapeId="0">
      <text>
        <t>Company wording (Adjusted EBITDA bridge): Loss on discontinued operations: 14.7 | (Gain) loss on sale of real estate and businesses, net: -67.1 | Charges associated with divested operations: 7.9 | Acquisition related charges: 2.1 | Loss on impairments: 28.3</t>
      </text>
    </comment>
    <comment ref="BX182" authorId="0" shapeId="0">
      <text>
        <t>Company wording (Adjusted EBITDA bridge): Loss on discontinued operations: 2.3 | Acquisition related charges: 0.1</t>
      </text>
    </comment>
    <comment ref="BY182" authorId="0" shapeId="0">
      <text>
        <t>Company wording (Adjusted EBITDA bridge): Loss on discontinued operations: 2.7 | Charges associated with divested operations: 1.0 | Acquisition related charges: 0.8</t>
      </text>
    </comment>
    <comment ref="CA182" authorId="0" shapeId="0">
      <text>
        <t>Company wording (Adjusted EBITDA bridge): Loss on discontinued operations: 1.8 | Acquisition related charges: 0.8 | Loss on impairments: 86.6</t>
      </text>
    </comment>
    <comment ref="CB182" authorId="0" shapeId="0">
      <text>
        <t>Company wording (Adjusted EBITDA bridge): Loss on discontinued operations: 3.4 | Gain on sale of real estate and businesses, net: -36.7 | Charges associated with divested operations: 16.7 | Acquisition related charges: 14.5</t>
      </text>
    </comment>
    <comment ref="CC182" authorId="0" shapeId="0">
      <text>
        <t>Company wording (Adjusted EBITDA bridge): Loss on discontinued operations: 10.2 | Gain on sale of real estate and businesses, net: -36.7 | Charges associated with divested operations: 17.7 | Acquisition related charges: 16.3 | Loss on impairments: 86.6</t>
      </text>
    </comment>
    <comment ref="CD182" authorId="0" shapeId="0">
      <text>
        <t>Company wording (Adjusted EBITDA bridge): Loss on discontinued operations: 1.3 | Acquisition related charges: 1.2</t>
      </text>
    </comment>
    <comment ref="CE182" authorId="0" shapeId="0">
      <text>
        <t>Company wording (Adjusted EBITDA bridge): Loss on discontinued operations: 2.8 | Acquisition related charges: 0.6</t>
      </text>
    </comment>
    <comment ref="CG182" authorId="0" shapeId="0">
      <text>
        <t>Company wording (Adjusted EBITDA bridge): Loss on discontinued operations: 1.6 | Acquisition related charges: 0.1</t>
      </text>
    </comment>
    <comment ref="CH182" authorId="0" shapeId="0">
      <text>
        <t>Company wording (Adjusted EBITDA bridge): Loss on discontinued operations: 0.4 | Gain on sale of real estate and businesses, net: -42.4 | Charges associated with divested operations: 0.6 | Acquisition related charges: 0.1</t>
      </text>
    </comment>
    <comment ref="CI182" authorId="0" shapeId="0">
      <text>
        <t>Company wording (Adjusted EBITDA bridge): Loss on discontinued operations: 6.1 | Gain on sale of real estate and businesses, net: -42.4 | Charges associated with divested operations: 0.6 | Acquisition related charges: 2.0</t>
      </text>
    </comment>
    <comment ref="CJ182" authorId="0" shapeId="0">
      <text>
        <t>Company wording (Adjusted EBITDA bridge): Loss on discontinued operations: 1.4 | Charges associated with divested operations: 2.0 | CEO transition and reorganization charges: 8.6</t>
      </text>
    </comment>
    <comment ref="CK182" authorId="0" shapeId="0">
      <text>
        <t>Company wording (Adjusted EBITDA bridge): (Gain) loss on discontinued operations: -1.7 | (Gain) loss on sale of real estate and businesses, net: 13.2 | Charges associated with divested operations: 4.5 | Acquisition related charges: 0.5</t>
      </text>
    </comment>
    <comment ref="I183" authorId="0" shapeId="0">
      <text>
        <t>Company wording (Adjusted EBITDA bridge): Gain on sale of real estate and businesses: -65.1 | Restructuring charges: 9.6 | Exchange offer costs: 43.4</t>
      </text>
    </comment>
    <comment ref="J183" authorId="0" shapeId="0">
      <text>
        <t>Company wording (Adjusted EBITDA bridge): Gain on sale of real estate and businesses: -3.3 | Restructuring charges: 1.5</t>
      </text>
    </comment>
    <comment ref="K183" authorId="0" shapeId="0">
      <text>
        <t>Company wording (Adjusted EBITDA bridge): Gain on sale of real estate and businesses: -23.0</t>
      </text>
    </comment>
    <comment ref="M183" authorId="0" shapeId="0">
      <text>
        <t>Company wording (Adjusted EBITDA bridge): Gain on sale of real estate and businesses: -9.2</t>
      </text>
    </comment>
    <comment ref="N183" authorId="0" shapeId="0">
      <text>
        <t>Company wording (Adjusted EBITDA bridge): Gain on sale of real estate and businesses: -1.4</t>
      </text>
    </comment>
    <comment ref="O183" authorId="0" shapeId="0">
      <text>
        <t>Company wording (Adjusted EBITDA bridge): Gain on sale of real estate and businesses: -36.8 | Restructuring charges: 1.5</t>
      </text>
    </comment>
    <comment ref="P183" authorId="0" shapeId="0">
      <text>
        <t>Company wording (Adjusted EBITDA bridge): Gain on sale of real estate and businesses: -236.0 | Charges associated with divestitures: 9.1 | Amortization of deferred revenue: -1.0</t>
      </text>
    </comment>
    <comment ref="Q183" authorId="0" shapeId="0">
      <text>
        <t>Company wording (Adjusted EBITDA bridge): Gain on sale of real estate and businesses: -1.1 | Charges associated with divestitures: 1.8 | Amortization of deferred revenue: -1.4</t>
      </text>
    </comment>
    <comment ref="S183" authorId="0" shapeId="0">
      <text>
        <t>Company wording (Adjusted EBITDA bridge): (Gain) loss on sale of real estate and businesses: 1.2 | Charges associated with acquisitions and divestitures: 4.0 | Amortization of deferred revenue: -1.4 | Restructuring charges: 0.8</t>
      </text>
    </comment>
    <comment ref="T183" authorId="0" shapeId="0">
      <text>
        <t>Company wording (Adjusted EBITDA bridge): Gain on sale of real estate and businesses: -2.6 | Charges associated with acquisitions and divestitures: 5.6 | Amortization of deferred revenue: -1.2 | Restructuring charges: 0.6</t>
      </text>
    </comment>
    <comment ref="U183" authorId="0" shapeId="0">
      <text>
        <t>Company wording (Adjusted EBITDA bridge): Gain on sale of real estate and businesses: -238.5 | Charges associated with acquisitions and divestitures: 21.1 | Amortization of deferred revenue: -5.0 | Restructuring charges: 1.3</t>
      </text>
    </comment>
    <comment ref="V183" authorId="0" shapeId="0">
      <text>
        <t>Company wording (Adjusted EBITDA bridge): Gain on sale of real estate and businesses: -5.9 | Charges associated with acquisitions and divestitures: 2.4 | Amortization of deferred revenue: -1.0 | Restructuring charges: 2.8</t>
      </text>
    </comment>
    <comment ref="Z183" authorId="0" shapeId="0">
      <text>
        <t>Company wording (Adjusted EBITDA bridge): Gain on sale of real estate and businesses: -0.4 | Charges associated with acquisitions and divestitures: 0.3 | Restructuring charges: 0.4</t>
      </text>
    </comment>
    <comment ref="AA183" authorId="0" shapeId="0">
      <text>
        <t>Company wording (Adjusted EBITDA bridge): Gain on sale of real estate and businesses: -6.3 | Charges associated with acquisitions and divestitures: 9.5 | Asset impairment: 5.2 | Restructuring charges: 5.0</t>
      </text>
    </comment>
    <comment ref="AF183" authorId="0" shapeId="0">
      <text>
        <t>Company wording (Adjusted EBITDA bridge): Gain on sale of real estate and businesses: -16.2 | Business interruption claims recovery, net of incentives: 0.2 | Charges associated with divested operations: 0.2</t>
      </text>
    </comment>
    <comment ref="AG183" authorId="0" shapeId="0">
      <text>
        <t>Company wording (Adjusted EBITDA bridge): Gain on sale of real estate and businesses: -16.2 | Business interruption claims recovery, net of incentives: -11.0 | Charges associated with divested operations: 17.0 | Asset impairment: 10.5 | Restructuring charges: 0.3</t>
      </text>
    </comment>
    <comment ref="AL183" authorId="0" shapeId="0">
      <text>
        <t>Company wording (Adjusted EBITDA bridge): Gain on sale of real estate and businesses: -10.5 | Property donation: 4.3 | Charges associated with divested operations: 1.5 | Business development, net of termination fee: 2.3 | One time employee bonuses: 6.7</t>
      </text>
    </comment>
    <comment ref="AM183" authorId="0" shapeId="0">
      <text>
        <t>Company wording (Adjusted EBITDA bridge): Gain on sale of real estate and businesses: -10.5 | Property donation: 4.3 | Charges associated with divested operations: 18.1 | Business development, net of termination fee: 3.1 | One time employee bonuses: 6.7 | Restructuring charges: 1.9</t>
      </text>
    </comment>
    <comment ref="AN183" authorId="0" shapeId="0">
      <text>
        <t>Company wording (Adjusted EBITDA bridge): Gain on sale of businesses: -2.9 | Business interruption claims recovery: -1.7 | Business development, net of termination fee: 0.5 | Restructuring charges: 4.2</t>
      </text>
    </comment>
    <comment ref="AS183" authorId="0" shapeId="0">
      <text>
        <t>Company wording (Adjusted EBITDA bridge): Gain on sale of businesses: -2.9 | Business interruption claims recovery, net of incentives: -2.3 | Charges associated with divested operations: 18.5 | Business development, net of termination fee: 5.2 | Restructuring charges: 6.2</t>
      </text>
    </comment>
    <comment ref="AT183" authorId="0" shapeId="0">
      <text>
        <t>Company wording (Adjusted EBITDA bridge): Gain on sale of businesses: -4.1</t>
      </text>
    </comment>
    <comment ref="AX183" authorId="0" shapeId="0">
      <text>
        <t>Company wording (Adjusted EBITDA bridge): Gain on sale of businesses: -9.3 | Property donation: 10.8 | Charges associated with divested operations: 3.0 | Business development: 1.3</t>
      </text>
    </comment>
    <comment ref="AY183" authorId="0" shapeId="0">
      <text>
        <t>Company wording (Adjusted EBITDA bridge): Gain on sale of businesses: -13.4 | Property donation: 10.8 | Charges associated with divested operations: 3.0 | Business development: 1.7 | Restructuring charges: 6.5</t>
      </text>
    </comment>
    <comment ref="BF183" authorId="0" shapeId="0">
      <text>
        <t>Company wording (Adjusted EBITDA bridge): Gain on sale of real estate and businesses, net: -114.7 | Charges associated with divested operations: 0.3 | Business development: 0.4 | COVID-19 direct incremental costs: 2.5</t>
      </text>
    </comment>
    <comment ref="BK183" authorId="0" shapeId="0">
      <text>
        <t>Company wording (Adjusted EBITDA bridge): Gain on sale of real estate and businesses, net: -114.7 | Charges associated with divested operations: 1.5 | Business development: 39.0 | COVID-19 direct incremental costs: 13.4 | Pension settlement charge: 12.1 | Restructuring charges: 15.0</t>
      </text>
    </comment>
    <comment ref="BO183" authorId="0" shapeId="0">
      <text>
        <t>Company wording (Adjusted EBITDA bridge): Gain on sale of real estate and businesses, net: -23.5 | Charges associated with divested operations: 0.4 | Business development: 2.5 | Loss on impairments: 67.8 | Restructuring charges: 2.1</t>
      </text>
    </comment>
    <comment ref="BP183" authorId="0" shapeId="0">
      <text>
        <t>Company wording (Adjusted EBITDA bridge): (Gain) loss on sale of real estate and businesses, net: 17.4 | Charges associated with divested operations: 2.1 | Business development: 2.4 | Restructuring charges: 2.3</t>
      </text>
    </comment>
    <comment ref="BQ183" authorId="0" shapeId="0">
      <text>
        <t>Company wording (Adjusted EBITDA bridge): (Gain) loss on sale of real estate and businesses, net: -6.1 | Charges associated with divested operations: 3.1 | Business development: 10.6 | Loss on impairments: 67.8 | Restructuring charges: 7.2</t>
      </text>
    </comment>
    <comment ref="BS183" authorId="0" shapeId="0">
      <text>
        <t>Company wording (Adjusted EBITDA bridge): Loss on discontinued operations: 4.9 | Gain on sale of real estate and businesses, net: -15.2 | Charges associated with divested operations: 4.3 | Acquisition related charges: 0.3</t>
      </text>
    </comment>
    <comment ref="BV183" authorId="0" shapeId="0">
      <text>
        <t>Company wording (Adjusted EBITDA bridge): Loss on discontinued operations: 3.0 | (Gain) loss on sale of real estate and businesses, net: -51.9 | Charges associated with divested operations: 3.3 | Acquisition related charges: 0.1</t>
      </text>
    </comment>
    <comment ref="BW183" authorId="0" shapeId="0">
      <text>
        <t>Company wording (Adjusted EBITDA bridge): Loss on discontinued operations: 14.7 | (Gain) loss on sale of real estate and businesses, net: -67.1 | Charges associated with divested operations: 7.9 | Acquisition related charges: 2.1 | Loss on impairments: 28.3</t>
      </text>
    </comment>
    <comment ref="CB183" authorId="0" shapeId="0">
      <text>
        <t>Company wording (Adjusted EBITDA bridge): Loss on discontinued operations: 3.4 | Gain on sale of real estate and businesses, net: -36.7 | Charges associated with divested operations: 16.7 | Acquisition related charges: 14.5</t>
      </text>
    </comment>
    <comment ref="CC183" authorId="0" shapeId="0">
      <text>
        <t>Company wording (Adjusted EBITDA bridge): Loss on discontinued operations: 10.2 | Gain on sale of real estate and businesses, net: -36.7 | Charges associated with divested operations: 17.7 | Acquisition related charges: 16.3 | Loss on impairments: 86.6</t>
      </text>
    </comment>
    <comment ref="CH183" authorId="0" shapeId="0">
      <text>
        <t>Company wording (Adjusted EBITDA bridge): Loss on discontinued operations: 0.4 | Gain on sale of real estate and businesses, net: -42.4 | Charges associated with divested operations: 0.6 | Acquisition related charges: 0.1</t>
      </text>
    </comment>
    <comment ref="CI183" authorId="0" shapeId="0">
      <text>
        <t>Company wording (Adjusted EBITDA bridge): Loss on discontinued operations: 6.1 | Gain on sale of real estate and businesses, net: -42.4 | Charges associated with divested operations: 0.6 | Acquisition related charges: 2.0</t>
      </text>
    </comment>
    <comment ref="CK183" authorId="0" shapeId="0">
      <text>
        <t>Company wording (Adjusted EBITDA bridge): (Gain) loss on discontinued operations: -1.7 | (Gain) loss on sale of real estate and businesses, net: 13.2 | Charges associated with divested operations: 4.5 | Acquisition related charges: 0.5</t>
      </text>
    </comment>
    <comment ref="W184" authorId="0" shapeId="0">
      <text>
        <t>Company wording (Adjusted EBITDA bridge): Charges associated with acquisitions and divestitures: 2.6 | Asset impairment: 5.2 | Amortization of deferred revenue: -1.6 | Restructuring charges: 1.3</t>
      </text>
    </comment>
    <comment ref="AA184" authorId="0" shapeId="0">
      <text>
        <t>Company wording (Adjusted EBITDA bridge): Gain on sale of real estate and businesses: -6.3 | Charges associated with acquisitions and divestitures: 9.5 | Asset impairment: 5.2 | Restructuring charges: 5.0</t>
      </text>
    </comment>
    <comment ref="AB184" authorId="0" shapeId="0">
      <text>
        <t>Company wording (Adjusted EBITDA bridge): Charges associated with acquisitions and divestitures: 12.3 | Asset impairment: 9.6 | Restructuring charges: 0.3</t>
      </text>
    </comment>
    <comment ref="AC184" authorId="0" shapeId="0">
      <text>
        <t>Company wording (Adjusted EBITDA bridge): Recovery from legal settlement: -11.0 | Charges associated with acquisitions and divestitures: 4.2 | Asset impairment: 0.9</t>
      </text>
    </comment>
    <comment ref="AG184" authorId="0" shapeId="0">
      <text>
        <t>Company wording (Adjusted EBITDA bridge): Gain on sale of real estate and businesses: -16.2 | Business interruption claims recovery, net of incentives: -11.0 | Charges associated with divested operations: 17.0 | Asset impairment: 10.5 | Restructuring charges: 0.3</t>
      </text>
    </comment>
    <comment ref="BO184" authorId="0" shapeId="0">
      <text>
        <t>Company wording (Adjusted EBITDA bridge): Gain on sale of real estate and businesses, net: -23.5 | Charges associated with divested operations: 0.4 | Business development: 2.5 | Loss on impairments: 67.8 | Restructuring charges: 2.1</t>
      </text>
    </comment>
    <comment ref="BQ184" authorId="0" shapeId="0">
      <text>
        <t>Company wording (Adjusted EBITDA bridge): (Gain) loss on sale of real estate and businesses, net: -6.1 | Charges associated with divested operations: 3.1 | Business development: 10.6 | Loss on impairments: 67.8 | Restructuring charges: 7.2</t>
      </text>
    </comment>
    <comment ref="BU184" authorId="0" shapeId="0">
      <text>
        <t>Company wording (Adjusted EBITDA bridge): Loss on discontinued operations: 3.8 | Acquisition related charges: 1.2 | Loss on impairments: 28.3</t>
      </text>
    </comment>
    <comment ref="BW184" authorId="0" shapeId="0">
      <text>
        <t>Company wording (Adjusted EBITDA bridge): Loss on discontinued operations: 14.7 | (Gain) loss on sale of real estate and businesses, net: -67.1 | Charges associated with divested operations: 7.9 | Acquisition related charges: 2.1 | Loss on impairments: 28.3</t>
      </text>
    </comment>
    <comment ref="CA184" authorId="0" shapeId="0">
      <text>
        <t>Company wording (Adjusted EBITDA bridge): Loss on discontinued operations: 1.8 | Acquisition related charges: 0.8 | Loss on impairments: 86.6</t>
      </text>
    </comment>
    <comment ref="CC184" authorId="0" shapeId="0">
      <text>
        <t>Company wording (Adjusted EBITDA bridge): Loss on discontinued operations: 10.2 | Gain on sale of real estate and businesses, net: -36.7 | Charges associated with divested operations: 17.7 | Acquisition related charges: 16.3 | Loss on impairments: 86.6</t>
      </text>
    </comment>
    <comment ref="P185" authorId="0" shapeId="0">
      <text>
        <t>Company wording (Adjusted EBITDA bridge): Gain on sale of real estate and businesses: -236.0 | Charges associated with divestitures: 9.1 | Amortization of deferred revenue: -1.0</t>
      </text>
    </comment>
    <comment ref="Q185" authorId="0" shapeId="0">
      <text>
        <t>Company wording (Adjusted EBITDA bridge): Gain on sale of real estate and businesses: -1.1 | Charges associated with divestitures: 1.8 | Amortization of deferred revenue: -1.4</t>
      </text>
    </comment>
    <comment ref="AB185" authorId="0" shapeId="0">
      <text>
        <t>Company wording (Adjusted EBITDA bridge): Charges associated with acquisitions and divestitures: 12.3 | Asset impairment: 9.6 | Restructuring charges: 0.3</t>
      </text>
    </comment>
    <comment ref="AC185" authorId="0" shapeId="0">
      <text>
        <t>Company wording (Adjusted EBITDA bridge): Recovery from legal settlement: -11.0 | Charges associated with acquisitions and divestitures: 4.2 | Asset impairment: 0.9</t>
      </text>
    </comment>
    <comment ref="AE185" authorId="0" shapeId="0">
      <text>
        <t>Company wording (Adjusted EBITDA bridge): Business interruption claims recovery, net of incentives: -0.2 | Charges associated with acquisitions and divestitures: 1.1</t>
      </text>
    </comment>
    <comment ref="AF185" authorId="0" shapeId="0">
      <text>
        <t>Company wording (Adjusted EBITDA bridge): Gain on sale of real estate and businesses: -16.2 | Business interruption claims recovery, net of incentives: 0.2 | Charges associated with divested operations: 0.2</t>
      </text>
    </comment>
    <comment ref="AG185" authorId="0" shapeId="0">
      <text>
        <t>Company wording (Adjusted EBITDA bridge): Gain on sale of real estate and businesses: -16.2 | Business interruption claims recovery, net of incentives: -11.0 | Charges associated with divested operations: 17.0 | Asset impairment: 10.5 | Restructuring charges: 0.3</t>
      </text>
    </comment>
    <comment ref="AH185" authorId="0" shapeId="0">
      <text>
        <t>Company wording (Adjusted EBITDA bridge): Charges associated with divested operations: 1.4 | Restructuring charges: 1.9</t>
      </text>
    </comment>
    <comment ref="AI185" authorId="0" shapeId="0">
      <text>
        <t>Company wording (Adjusted EBITDA bridge): Charges associated with divested operations: 15.0</t>
      </text>
    </comment>
    <comment ref="AK185" authorId="0" shapeId="0">
      <text>
        <t>Company wording (Adjusted EBITDA bridge): Charges associated with divested operations: 0.1 | Business development, net of termination fee: 0.8</t>
      </text>
    </comment>
    <comment ref="AL185" authorId="0" shapeId="0">
      <text>
        <t>Company wording (Adjusted EBITDA bridge): Gain on sale of real estate and businesses: -10.5 | Property donation: 4.3 | Charges associated with divested operations: 1.5 | Business development, net of termination fee: 2.3 | One time employee bonuses: 6.7</t>
      </text>
    </comment>
    <comment ref="AM185" authorId="0" shapeId="0">
      <text>
        <t>Company wording (Adjusted EBITDA bridge): Gain on sale of real estate and businesses: -10.5 | Property donation: 4.3 | Charges associated with divested operations: 18.1 | Business development, net of termination fee: 3.1 | One time employee bonuses: 6.7 | Restructuring charges: 1.9</t>
      </text>
    </comment>
    <comment ref="AQ185" authorId="0" shapeId="0">
      <text>
        <t>Company wording (Adjusted EBITDA bridge): Business interruption claims recovery, net of incentives: -0.6 | Charges associated with divested operations: 10.0 | Business development, net of termination fee: 0.2 | Restructuring charges: 0.3</t>
      </text>
    </comment>
    <comment ref="AR185" authorId="0" shapeId="0">
      <text>
        <t>Company wording (Adjusted EBITDA bridge): Charges associated with divested operations: 8.5 | Restructuring charges: 0.5</t>
      </text>
    </comment>
    <comment ref="AS185" authorId="0" shapeId="0">
      <text>
        <t>Company wording (Adjusted EBITDA bridge): Gain on sale of businesses: -2.9 | Business interruption claims recovery, net of incentives: -2.3 | Charges associated with divested operations: 18.5 | Business development, net of termination fee: 5.2 | Restructuring charges: 6.2</t>
      </text>
    </comment>
    <comment ref="AX185" authorId="0" shapeId="0">
      <text>
        <t>Company wording (Adjusted EBITDA bridge): Gain on sale of businesses: -9.3 | Property donation: 10.8 | Charges associated with divested operations: 3.0 | Business development: 1.3</t>
      </text>
    </comment>
    <comment ref="AY185" authorId="0" shapeId="0">
      <text>
        <t>Company wording (Adjusted EBITDA bridge): Gain on sale of businesses: -13.4 | Property donation: 10.8 | Charges associated with divested operations: 3.0 | Business development: 1.7 | Restructuring charges: 6.5</t>
      </text>
    </comment>
    <comment ref="BA185" authorId="0" shapeId="0">
      <text>
        <t>Company wording (Adjusted EBITDA bridge): Charges associated with divested operations: 0.8 | Business development: -3.5 | COVID-19 direct incremental costs: 4.4 | Restructuring charges: 0.5</t>
      </text>
    </comment>
    <comment ref="BC185" authorId="0" shapeId="0">
      <text>
        <t>Company wording (Adjusted EBITDA bridge): Charges associated with divested operations: 5.9 | Business development: 0.3 | COVID-19 direct incremental costs: 2.4</t>
      </text>
    </comment>
    <comment ref="BD185" authorId="0" shapeId="0">
      <text>
        <t>Company wording (Adjusted EBITDA bridge): Charges associated with divested operations: 0.3 | Business development: 9.4 | COVID-19 direct incremental costs: 2.8 | Pension settlement charge: 22.7</t>
      </text>
    </comment>
    <comment ref="BE185" authorId="0" shapeId="0">
      <text>
        <t>Company wording (Adjusted EBITDA bridge): Charges associated with divested operations: 6.9 | Business development: 7.3 | COVID-19 direct incremental costs: 10.2 | Pension settlement charge: 22.7 | Restructuring charges: 1.3</t>
      </text>
    </comment>
    <comment ref="BF185" authorId="0" shapeId="0">
      <text>
        <t>Company wording (Adjusted EBITDA bridge): Gain on sale of real estate and businesses, net: -114.7 | Charges associated with divested operations: 0.3 | Business development: 0.4 | COVID-19 direct incremental costs: 2.5</t>
      </text>
    </comment>
    <comment ref="BG185" authorId="0" shapeId="0">
      <text>
        <t>Company wording (Adjusted EBITDA bridge): Charges associated with divested operations: 0.3 | Business development: 5.5 | COVID-19 direct incremental costs: 1.3</t>
      </text>
    </comment>
    <comment ref="BI185" authorId="0" shapeId="0">
      <text>
        <t>Company wording (Adjusted EBITDA bridge): Charges associated with divested operations: 0.4 | Business development: 24.7 | COVID-19 direct incremental costs: 5.9 | Restructuring charges: 3.5</t>
      </text>
    </comment>
    <comment ref="BJ185" authorId="0" shapeId="0">
      <text>
        <t>Company wording (Adjusted EBITDA bridge): Charges associated with divested operations: 0.5 | Business development: 8.4 | COVID-19 direct incremental costs: 3.7 | Pension settlement charge: 12.1 | Restructuring charges: 11.5</t>
      </text>
    </comment>
    <comment ref="BK185" authorId="0" shapeId="0">
      <text>
        <t>Company wording (Adjusted EBITDA bridge): Gain on sale of real estate and businesses, net: -114.7 | Charges associated with divested operations: 1.5 | Business development: 39.0 | COVID-19 direct incremental costs: 13.4 | Pension settlement charge: 12.1 | Restructuring charges: 15.0</t>
      </text>
    </comment>
    <comment ref="BL185" authorId="0" shapeId="0">
      <text>
        <t>Company wording (Adjusted EBITDA bridge): Charges associated with divested operations: 0.3 | Business development: 2.5 | Restructuring charges: 1.8</t>
      </text>
    </comment>
    <comment ref="BM185" authorId="0" shapeId="0">
      <text>
        <t>Company wording (Adjusted EBITDA bridge): Charges associated with divested operations: 0.4 | Business development: 3.1 | Restructuring charges: 0.9</t>
      </text>
    </comment>
    <comment ref="BO185" authorId="0" shapeId="0">
      <text>
        <t>Company wording (Adjusted EBITDA bridge): Gain on sale of real estate and businesses, net: -23.5 | Charges associated with divested operations: 0.4 | Business development: 2.5 | Loss on impairments: 67.8 | Restructuring charges: 2.1</t>
      </text>
    </comment>
    <comment ref="BP185" authorId="0" shapeId="0">
      <text>
        <t>Company wording (Adjusted EBITDA bridge): (Gain) loss on sale of real estate and businesses, net: 17.4 | Charges associated with divested operations: 2.1 | Business development: 2.4 | Restructuring charges: 2.3</t>
      </text>
    </comment>
    <comment ref="BQ185" authorId="0" shapeId="0">
      <text>
        <t>Company wording (Adjusted EBITDA bridge): (Gain) loss on sale of real estate and businesses, net: -6.1 | Charges associated with divested operations: 3.1 | Business development: 10.6 | Loss on impairments: 67.8 | Restructuring charges: 7.2</t>
      </text>
    </comment>
    <comment ref="BS185" authorId="0" shapeId="0">
      <text>
        <t>Company wording (Adjusted EBITDA bridge): Loss on discontinued operations: 4.9 | Gain on sale of real estate and businesses, net: -15.2 | Charges associated with divested operations: 4.3 | Acquisition related charges: 0.3</t>
      </text>
    </comment>
    <comment ref="BV185" authorId="0" shapeId="0">
      <text>
        <t>Company wording (Adjusted EBITDA bridge): Loss on discontinued operations: 3.0 | (Gain) loss on sale of real estate and businesses, net: -51.9 | Charges associated with divested operations: 3.3 | Acquisition related charges: 0.1</t>
      </text>
    </comment>
    <comment ref="BW185" authorId="0" shapeId="0">
      <text>
        <t>Company wording (Adjusted EBITDA bridge): Loss on discontinued operations: 14.7 | (Gain) loss on sale of real estate and businesses, net: -67.1 | Charges associated with divested operations: 7.9 | Acquisition related charges: 2.1 | Loss on impairments: 28.3</t>
      </text>
    </comment>
    <comment ref="BY185" authorId="0" shapeId="0">
      <text>
        <t>Company wording (Adjusted EBITDA bridge): Loss on discontinued operations: 2.7 | Charges associated with divested operations: 1.0 | Acquisition related charges: 0.8</t>
      </text>
    </comment>
    <comment ref="CB185" authorId="0" shapeId="0">
      <text>
        <t>Company wording (Adjusted EBITDA bridge): Loss on discontinued operations: 3.4 | Gain on sale of real estate and businesses, net: -36.7 | Charges associated with divested operations: 16.7 | Acquisition related charges: 14.5</t>
      </text>
    </comment>
    <comment ref="CC185" authorId="0" shapeId="0">
      <text>
        <t>Company wording (Adjusted EBITDA bridge): Loss on discontinued operations: 10.2 | Gain on sale of real estate and businesses, net: -36.7 | Charges associated with divested operations: 17.7 | Acquisition related charges: 16.3 | Loss on impairments: 86.6</t>
      </text>
    </comment>
    <comment ref="CH185" authorId="0" shapeId="0">
      <text>
        <t>Company wording (Adjusted EBITDA bridge): Loss on discontinued operations: 0.4 | Gain on sale of real estate and businesses, net: -42.4 | Charges associated with divested operations: 0.6 | Acquisition related charges: 0.1</t>
      </text>
    </comment>
    <comment ref="CI185" authorId="0" shapeId="0">
      <text>
        <t>Company wording (Adjusted EBITDA bridge): Loss on discontinued operations: 6.1 | Gain on sale of real estate and businesses, net: -42.4 | Charges associated with divested operations: 0.6 | Acquisition related charges: 2.0</t>
      </text>
    </comment>
    <comment ref="CJ185" authorId="0" shapeId="0">
      <text>
        <t>Company wording (Adjusted EBITDA bridge): Loss on discontinued operations: 1.4 | Charges associated with divested operations: 2.0 | CEO transition and reorganization charges: 8.6</t>
      </text>
    </comment>
    <comment ref="CK185" authorId="0" shapeId="0">
      <text>
        <t>Company wording (Adjusted EBITDA bridge): (Gain) loss on discontinued operations: -1.7 | (Gain) loss on sale of real estate and businesses, net: 13.2 | Charges associated with divested operations: 4.5 | Acquisition related charges: 0.5</t>
      </text>
    </comment>
    <comment ref="S186" authorId="0" shapeId="0">
      <text>
        <t>Company wording (Adjusted EBITDA bridge): (Gain) loss on sale of real estate and businesses: 1.2 | Charges associated with acquisitions and divestitures: 4.0 | Amortization of deferred revenue: -1.4 | Restructuring charges: 0.8</t>
      </text>
    </comment>
    <comment ref="T186" authorId="0" shapeId="0">
      <text>
        <t>Company wording (Adjusted EBITDA bridge): Gain on sale of real estate and businesses: -2.6 | Charges associated with acquisitions and divestitures: 5.6 | Amortization of deferred revenue: -1.2 | Restructuring charges: 0.6</t>
      </text>
    </comment>
    <comment ref="U186" authorId="0" shapeId="0">
      <text>
        <t>Company wording (Adjusted EBITDA bridge): Gain on sale of real estate and businesses: -238.5 | Charges associated with acquisitions and divestitures: 21.1 | Amortization of deferred revenue: -5.0 | Restructuring charges: 1.3</t>
      </text>
    </comment>
    <comment ref="V186" authorId="0" shapeId="0">
      <text>
        <t>Company wording (Adjusted EBITDA bridge): Gain on sale of real estate and businesses: -5.9 | Charges associated with acquisitions and divestitures: 2.4 | Amortization of deferred revenue: -1.0 | Restructuring charges: 2.8</t>
      </text>
    </comment>
    <comment ref="W186" authorId="0" shapeId="0">
      <text>
        <t>Company wording (Adjusted EBITDA bridge): Charges associated with acquisitions and divestitures: 2.6 | Asset impairment: 5.2 | Amortization of deferred revenue: -1.6 | Restructuring charges: 1.3</t>
      </text>
    </comment>
    <comment ref="Y186" authorId="0" shapeId="0">
      <text>
        <t>Company wording (Adjusted EBITDA bridge): Charges associated with acquisitions and divestitures: 4.2 | Amortization of deferred revenue: -1.8 | Restructuring charges: 0.4</t>
      </text>
    </comment>
    <comment ref="Z186" authorId="0" shapeId="0">
      <text>
        <t>Company wording (Adjusted EBITDA bridge): Gain on sale of real estate and businesses: -0.4 | Charges associated with acquisitions and divestitures: 0.3 | Restructuring charges: 0.4</t>
      </text>
    </comment>
    <comment ref="AA186" authorId="0" shapeId="0">
      <text>
        <t>Company wording (Adjusted EBITDA bridge): Gain on sale of real estate and businesses: -6.3 | Charges associated with acquisitions and divestitures: 9.5 | Asset impairment: 5.2 | Restructuring charges: 5.0</t>
      </text>
    </comment>
    <comment ref="AK186" authorId="0" shapeId="0">
      <text>
        <t>Company wording (Adjusted EBITDA bridge): Charges associated with divested operations: 0.1 | Business development, net of termination fee: 0.8</t>
      </text>
    </comment>
    <comment ref="AL186" authorId="0" shapeId="0">
      <text>
        <t>Company wording (Adjusted EBITDA bridge): Gain on sale of real estate and businesses: -10.5 | Property donation: 4.3 | Charges associated with divested operations: 1.5 | Business development, net of termination fee: 2.3 | One time employee bonuses: 6.7</t>
      </text>
    </comment>
    <comment ref="AM186" authorId="0" shapeId="0">
      <text>
        <t>Company wording (Adjusted EBITDA bridge): Gain on sale of real estate and businesses: -10.5 | Property donation: 4.3 | Charges associated with divested operations: 18.1 | Business development, net of termination fee: 3.1 | One time employee bonuses: 6.7 | Restructuring charges: 1.9</t>
      </text>
    </comment>
    <comment ref="AN186" authorId="0" shapeId="0">
      <text>
        <t>Company wording (Adjusted EBITDA bridge): Gain on sale of businesses: -2.9 | Business interruption claims recovery: -1.7 | Business development, net of termination fee: 0.5 | Restructuring charges: 4.2</t>
      </text>
    </comment>
    <comment ref="AO186" authorId="0" shapeId="0">
      <text>
        <t>Company wording (Adjusted EBITDA bridge): Business development, net of termination fee: 4.5 | Restructuring charges: 1.1</t>
      </text>
    </comment>
    <comment ref="AQ186" authorId="0" shapeId="0">
      <text>
        <t>Company wording (Adjusted EBITDA bridge): Business interruption claims recovery, net of incentives: -0.6 | Charges associated with divested operations: 10.0 | Business development, net of termination fee: 0.2 | Restructuring charges: 0.3</t>
      </text>
    </comment>
    <comment ref="AS186" authorId="0" shapeId="0">
      <text>
        <t>Company wording (Adjusted EBITDA bridge): Gain on sale of businesses: -2.9 | Business interruption claims recovery, net of incentives: -2.3 | Charges associated with divested operations: 18.5 | Business development, net of termination fee: 5.2 | Restructuring charges: 6.2</t>
      </text>
    </comment>
    <comment ref="AW186" authorId="0" shapeId="0">
      <text>
        <t>Company wording (Adjusted EBITDA bridge): Business development: 0.4 | Restructuring charges: 6.5</t>
      </text>
    </comment>
    <comment ref="AX186" authorId="0" shapeId="0">
      <text>
        <t>Company wording (Adjusted EBITDA bridge): Gain on sale of businesses: -9.3 | Property donation: 10.8 | Charges associated with divested operations: 3.0 | Business development: 1.3</t>
      </text>
    </comment>
    <comment ref="AY186" authorId="0" shapeId="0">
      <text>
        <t>Company wording (Adjusted EBITDA bridge): Gain on sale of businesses: -13.4 | Property donation: 10.8 | Charges associated with divested operations: 3.0 | Business development: 1.7 | Restructuring charges: 6.5</t>
      </text>
    </comment>
    <comment ref="AZ186" authorId="0" shapeId="0">
      <text>
        <t>Company wording (Adjusted EBITDA bridge): Business development: 1.1 | COVID-19 direct incremental costs: 0.6 | Restructuring charges: 0.9</t>
      </text>
    </comment>
    <comment ref="BA186" authorId="0" shapeId="0">
      <text>
        <t>Company wording (Adjusted EBITDA bridge): Charges associated with divested operations: 0.8 | Business development: -3.5 | COVID-19 direct incremental costs: 4.4 | Restructuring charges: 0.5</t>
      </text>
    </comment>
    <comment ref="BC186" authorId="0" shapeId="0">
      <text>
        <t>Company wording (Adjusted EBITDA bridge): Charges associated with divested operations: 5.9 | Business development: 0.3 | COVID-19 direct incremental costs: 2.4</t>
      </text>
    </comment>
    <comment ref="BD186" authorId="0" shapeId="0">
      <text>
        <t>Company wording (Adjusted EBITDA bridge): Charges associated with divested operations: 0.3 | Business development: 9.4 | COVID-19 direct incremental costs: 2.8 | Pension settlement charge: 22.7</t>
      </text>
    </comment>
    <comment ref="BE186" authorId="0" shapeId="0">
      <text>
        <t>Company wording (Adjusted EBITDA bridge): Charges associated with divested operations: 6.9 | Business development: 7.3 | COVID-19 direct incremental costs: 10.2 | Pension settlement charge: 22.7 | Restructuring charges: 1.3</t>
      </text>
    </comment>
    <comment ref="BF186" authorId="0" shapeId="0">
      <text>
        <t>Company wording (Adjusted EBITDA bridge): Gain on sale of real estate and businesses, net: -114.7 | Charges associated with divested operations: 0.3 | Business development: 0.4 | COVID-19 direct incremental costs: 2.5</t>
      </text>
    </comment>
    <comment ref="BG186" authorId="0" shapeId="0">
      <text>
        <t>Company wording (Adjusted EBITDA bridge): Charges associated with divested operations: 0.3 | Business development: 5.5 | COVID-19 direct incremental costs: 1.3</t>
      </text>
    </comment>
    <comment ref="BI186" authorId="0" shapeId="0">
      <text>
        <t>Company wording (Adjusted EBITDA bridge): Charges associated with divested operations: 0.4 | Business development: 24.7 | COVID-19 direct incremental costs: 5.9 | Restructuring charges: 3.5</t>
      </text>
    </comment>
    <comment ref="BJ186" authorId="0" shapeId="0">
      <text>
        <t>Company wording (Adjusted EBITDA bridge): Charges associated with divested operations: 0.5 | Business development: 8.4 | COVID-19 direct incremental costs: 3.7 | Pension settlement charge: 12.1 | Restructuring charges: 11.5</t>
      </text>
    </comment>
    <comment ref="BK186" authorId="0" shapeId="0">
      <text>
        <t>Company wording (Adjusted EBITDA bridge): Gain on sale of real estate and businesses, net: -114.7 | Charges associated with divested operations: 1.5 | Business development: 39.0 | COVID-19 direct incremental costs: 13.4 | Pension settlement charge: 12.1 | Restructuring charges: 15.0</t>
      </text>
    </comment>
    <comment ref="BL186" authorId="0" shapeId="0">
      <text>
        <t>Company wording (Adjusted EBITDA bridge): Charges associated with divested operations: 0.3 | Business development: 2.5 | Restructuring charges: 1.8</t>
      </text>
    </comment>
    <comment ref="BM186" authorId="0" shapeId="0">
      <text>
        <t>Company wording (Adjusted EBITDA bridge): Charges associated with divested operations: 0.4 | Business development: 3.1 | Restructuring charges: 0.9</t>
      </text>
    </comment>
    <comment ref="BO186" authorId="0" shapeId="0">
      <text>
        <t>Company wording (Adjusted EBITDA bridge): Gain on sale of real estate and businesses, net: -23.5 | Charges associated with divested operations: 0.4 | Business development: 2.5 | Loss on impairments: 67.8 | Restructuring charges: 2.1</t>
      </text>
    </comment>
    <comment ref="BP186" authorId="0" shapeId="0">
      <text>
        <t>Company wording (Adjusted EBITDA bridge): (Gain) loss on sale of real estate and businesses, net: 17.4 | Charges associated with divested operations: 2.1 | Business development: 2.4 | Restructuring charges: 2.3</t>
      </text>
    </comment>
    <comment ref="BQ186" authorId="0" shapeId="0">
      <text>
        <t>Company wording (Adjusted EBITDA bridge): (Gain) loss on sale of real estate and businesses, net: -6.1 | Charges associated with divested operations: 3.1 | Business development: 10.6 | Loss on impairments: 67.8 | Restructuring charges: 7.2</t>
      </text>
    </comment>
    <comment ref="BR186" authorId="0" shapeId="0">
      <text>
        <t>Company wording (Adjusted EBITDA bridge): Business development: 0.6 | Restructuring charges: 0.3</t>
      </text>
    </comment>
    <comment ref="BS186" authorId="0" shapeId="0">
      <text>
        <t>Company wording (Adjusted EBITDA bridge): Loss on discontinued operations: 4.9 | Gain on sale of real estate and businesses, net: -15.2 | Charges associated with divested operations: 4.3 | Acquisition related charges: 0.3</t>
      </text>
    </comment>
    <comment ref="BU186" authorId="0" shapeId="0">
      <text>
        <t>Company wording (Adjusted EBITDA bridge): Loss on discontinued operations: 3.8 | Acquisition related charges: 1.2 | Loss on impairments: 28.3</t>
      </text>
    </comment>
    <comment ref="BV186" authorId="0" shapeId="0">
      <text>
        <t>Company wording (Adjusted EBITDA bridge): Loss on discontinued operations: 3.0 | (Gain) loss on sale of real estate and businesses, net: -51.9 | Charges associated with divested operations: 3.3 | Acquisition related charges: 0.1</t>
      </text>
    </comment>
    <comment ref="BW186" authorId="0" shapeId="0">
      <text>
        <t>Company wording (Adjusted EBITDA bridge): Loss on discontinued operations: 14.7 | (Gain) loss on sale of real estate and businesses, net: -67.1 | Charges associated with divested operations: 7.9 | Acquisition related charges: 2.1 | Loss on impairments: 28.3</t>
      </text>
    </comment>
    <comment ref="BX186" authorId="0" shapeId="0">
      <text>
        <t>Company wording (Adjusted EBITDA bridge): Loss on discontinued operations: 2.3 | Acquisition related charges: 0.1</t>
      </text>
    </comment>
    <comment ref="BY186" authorId="0" shapeId="0">
      <text>
        <t>Company wording (Adjusted EBITDA bridge): Loss on discontinued operations: 2.7 | Charges associated with divested operations: 1.0 | Acquisition related charges: 0.8</t>
      </text>
    </comment>
    <comment ref="CA186" authorId="0" shapeId="0">
      <text>
        <t>Company wording (Adjusted EBITDA bridge): Loss on discontinued operations: 1.8 | Acquisition related charges: 0.8 | Loss on impairments: 86.6</t>
      </text>
    </comment>
    <comment ref="CB186" authorId="0" shapeId="0">
      <text>
        <t>Company wording (Adjusted EBITDA bridge): Loss on discontinued operations: 3.4 | Gain on sale of real estate and businesses, net: -36.7 | Charges associated with divested operations: 16.7 | Acquisition related charges: 14.5</t>
      </text>
    </comment>
    <comment ref="CC186" authorId="0" shapeId="0">
      <text>
        <t>Company wording (Adjusted EBITDA bridge): Loss on discontinued operations: 10.2 | Gain on sale of real estate and businesses, net: -36.7 | Charges associated with divested operations: 17.7 | Acquisition related charges: 16.3 | Loss on impairments: 86.6</t>
      </text>
    </comment>
    <comment ref="CD186" authorId="0" shapeId="0">
      <text>
        <t>Company wording (Adjusted EBITDA bridge): Loss on discontinued operations: 1.3 | Acquisition related charges: 1.2</t>
      </text>
    </comment>
    <comment ref="CE186" authorId="0" shapeId="0">
      <text>
        <t>Company wording (Adjusted EBITDA bridge): Loss on discontinued operations: 2.8 | Acquisition related charges: 0.6</t>
      </text>
    </comment>
    <comment ref="CG186" authorId="0" shapeId="0">
      <text>
        <t>Company wording (Adjusted EBITDA bridge): Loss on discontinued operations: 1.6 | Acquisition related charges: 0.1</t>
      </text>
    </comment>
    <comment ref="CH186" authorId="0" shapeId="0">
      <text>
        <t>Company wording (Adjusted EBITDA bridge): Loss on discontinued operations: 0.4 | Gain on sale of real estate and businesses, net: -42.4 | Charges associated with divested operations: 0.6 | Acquisition related charges: 0.1</t>
      </text>
    </comment>
    <comment ref="CI186" authorId="0" shapeId="0">
      <text>
        <t>Company wording (Adjusted EBITDA bridge): Loss on discontinued operations: 6.1 | Gain on sale of real estate and businesses, net: -42.4 | Charges associated with divested operations: 0.6 | Acquisition related charges: 2.0</t>
      </text>
    </comment>
    <comment ref="CK186" authorId="0" shapeId="0">
      <text>
        <t>Company wording (Adjusted EBITDA bridge): (Gain) loss on discontinued operations: -1.7 | (Gain) loss on sale of real estate and businesses, net: 13.2 | Charges associated with divested operations: 4.5 | Acquisition related charges: 0.5</t>
      </text>
    </comment>
    <comment ref="H187" authorId="0" shapeId="0">
      <text>
        <t>Company wording (Adjusted EBITDA bridge): Less: Restructuring charges and exchange offer evaluation costs: 15.2</t>
      </text>
    </comment>
    <comment ref="I187" authorId="0" shapeId="0">
      <text>
        <t>Company wording (Adjusted EBITDA bridge): Gain on sale of real estate and businesses: -65.1 | Restructuring charges: 9.6 | Exchange offer costs: 43.4</t>
      </text>
    </comment>
    <comment ref="J187" authorId="0" shapeId="0">
      <text>
        <t>Company wording (Adjusted EBITDA bridge): Gain on sale of real estate and businesses: -3.3 | Restructuring charges: 1.5</t>
      </text>
    </comment>
    <comment ref="O187" authorId="0" shapeId="0">
      <text>
        <t>Company wording (Adjusted EBITDA bridge): Gain on sale of real estate and businesses: -36.8 | Restructuring charges: 1.5</t>
      </text>
    </comment>
    <comment ref="S187" authorId="0" shapeId="0">
      <text>
        <t>Company wording (Adjusted EBITDA bridge): (Gain) loss on sale of real estate and businesses: 1.2 | Charges associated with acquisitions and divestitures: 4.0 | Amortization of deferred revenue: -1.4 | Restructuring charges: 0.8</t>
      </text>
    </comment>
    <comment ref="T187" authorId="0" shapeId="0">
      <text>
        <t>Company wording (Adjusted EBITDA bridge): Gain on sale of real estate and businesses: -2.6 | Charges associated with acquisitions and divestitures: 5.6 | Amortization of deferred revenue: -1.2 | Restructuring charges: 0.6</t>
      </text>
    </comment>
    <comment ref="U187" authorId="0" shapeId="0">
      <text>
        <t>Company wording (Adjusted EBITDA bridge): Gain on sale of real estate and businesses: -238.5 | Charges associated with acquisitions and divestitures: 21.1 | Amortization of deferred revenue: -5.0 | Restructuring charges: 1.3</t>
      </text>
    </comment>
    <comment ref="V187" authorId="0" shapeId="0">
      <text>
        <t>Company wording (Adjusted EBITDA bridge): Gain on sale of real estate and businesses: -5.9 | Charges associated with acquisitions and divestitures: 2.4 | Amortization of deferred revenue: -1.0 | Restructuring charges: 2.8</t>
      </text>
    </comment>
    <comment ref="W187" authorId="0" shapeId="0">
      <text>
        <t>Company wording (Adjusted EBITDA bridge): Charges associated with acquisitions and divestitures: 2.6 | Asset impairment: 5.2 | Amortization of deferred revenue: -1.6 | Restructuring charges: 1.3</t>
      </text>
    </comment>
    <comment ref="Y187" authorId="0" shapeId="0">
      <text>
        <t>Company wording (Adjusted EBITDA bridge): Charges associated with acquisitions and divestitures: 4.2 | Amortization of deferred revenue: -1.8 | Restructuring charges: 0.4</t>
      </text>
    </comment>
    <comment ref="Z187" authorId="0" shapeId="0">
      <text>
        <t>Company wording (Adjusted EBITDA bridge): Gain on sale of real estate and businesses: -0.4 | Charges associated with acquisitions and divestitures: 0.3 | Restructuring charges: 0.4</t>
      </text>
    </comment>
    <comment ref="AA187" authorId="0" shapeId="0">
      <text>
        <t>Company wording (Adjusted EBITDA bridge): Gain on sale of real estate and businesses: -6.3 | Charges associated with acquisitions and divestitures: 9.5 | Asset impairment: 5.2 | Restructuring charges: 5.0</t>
      </text>
    </comment>
    <comment ref="AB187" authorId="0" shapeId="0">
      <text>
        <t>Company wording (Adjusted EBITDA bridge): Charges associated with acquisitions and divestitures: 12.3 | Asset impairment: 9.6 | Restructuring charges: 0.3</t>
      </text>
    </comment>
    <comment ref="AG187" authorId="0" shapeId="0">
      <text>
        <t>Company wording (Adjusted EBITDA bridge): Gain on sale of real estate and businesses: -16.2 | Business interruption claims recovery, net of incentives: -11.0 | Charges associated with divested operations: 17.0 | Asset impairment: 10.5 | Restructuring charges: 0.3</t>
      </text>
    </comment>
    <comment ref="AH187" authorId="0" shapeId="0">
      <text>
        <t>Company wording (Adjusted EBITDA bridge): Charges associated with divested operations: 1.4 | Restructuring charges: 1.9</t>
      </text>
    </comment>
    <comment ref="AM187" authorId="0" shapeId="0">
      <text>
        <t>Company wording (Adjusted EBITDA bridge): Gain on sale of real estate and businesses: -10.5 | Property donation: 4.3 | Charges associated with divested operations: 18.1 | Business development, net of termination fee: 3.1 | One time employee bonuses: 6.7 | Restructuring charges: 1.9</t>
      </text>
    </comment>
    <comment ref="AN187" authorId="0" shapeId="0">
      <text>
        <t>Company wording (Adjusted EBITDA bridge): Gain on sale of businesses: -2.9 | Business interruption claims recovery: -1.7 | Business development, net of termination fee: 0.5 | Restructuring charges: 4.2</t>
      </text>
    </comment>
    <comment ref="AO187" authorId="0" shapeId="0">
      <text>
        <t>Company wording (Adjusted EBITDA bridge): Business development, net of termination fee: 4.5 | Restructuring charges: 1.1</t>
      </text>
    </comment>
    <comment ref="AQ187" authorId="0" shapeId="0">
      <text>
        <t>Company wording (Adjusted EBITDA bridge): Business interruption claims recovery, net of incentives: -0.6 | Charges associated with divested operations: 10.0 | Business development, net of termination fee: 0.2 | Restructuring charges: 0.3</t>
      </text>
    </comment>
    <comment ref="AR187" authorId="0" shapeId="0">
      <text>
        <t>Company wording (Adjusted EBITDA bridge): Charges associated with divested operations: 8.5 | Restructuring charges: 0.5</t>
      </text>
    </comment>
    <comment ref="AS187" authorId="0" shapeId="0">
      <text>
        <t>Company wording (Adjusted EBITDA bridge): Gain on sale of businesses: -2.9 | Business interruption claims recovery, net of incentives: -2.3 | Charges associated with divested operations: 18.5 | Business development, net of termination fee: 5.2 | Restructuring charges: 6.2</t>
      </text>
    </comment>
    <comment ref="AW187" authorId="0" shapeId="0">
      <text>
        <t>Company wording (Adjusted EBITDA bridge): Business development: 0.4 | Restructuring charges: 6.5</t>
      </text>
    </comment>
    <comment ref="AY187" authorId="0" shapeId="0">
      <text>
        <t>Company wording (Adjusted EBITDA bridge): Gain on sale of businesses: -13.4 | Property donation: 10.8 | Charges associated with divested operations: 3.0 | Business development: 1.7 | Restructuring charges: 6.5</t>
      </text>
    </comment>
    <comment ref="AZ187" authorId="0" shapeId="0">
      <text>
        <t>Company wording (Adjusted EBITDA bridge): Business development: 1.1 | COVID-19 direct incremental costs: 0.6 | Restructuring charges: 0.9</t>
      </text>
    </comment>
    <comment ref="BA187" authorId="0" shapeId="0">
      <text>
        <t>Company wording (Adjusted EBITDA bridge): Charges associated with divested operations: 0.8 | Business development: -3.5 | COVID-19 direct incremental costs: 4.4 | Restructuring charges: 0.5</t>
      </text>
    </comment>
    <comment ref="BE187" authorId="0" shapeId="0">
      <text>
        <t>Company wording (Adjusted EBITDA bridge): Charges associated with divested operations: 6.9 | Business development: 7.3 | COVID-19 direct incremental costs: 10.2 | Pension settlement charge: 22.7 | Restructuring charges: 1.3</t>
      </text>
    </comment>
    <comment ref="BI187" authorId="0" shapeId="0">
      <text>
        <t>Company wording (Adjusted EBITDA bridge): Charges associated with divested operations: 0.4 | Business development: 24.7 | COVID-19 direct incremental costs: 5.9 | Restructuring charges: 3.5</t>
      </text>
    </comment>
    <comment ref="BJ187" authorId="0" shapeId="0">
      <text>
        <t>Company wording (Adjusted EBITDA bridge): Charges associated with divested operations: 0.5 | Business development: 8.4 | COVID-19 direct incremental costs: 3.7 | Pension settlement charge: 12.1 | Restructuring charges: 11.5</t>
      </text>
    </comment>
    <comment ref="BK187" authorId="0" shapeId="0">
      <text>
        <t>Company wording (Adjusted EBITDA bridge): Gain on sale of real estate and businesses, net: -114.7 | Charges associated with divested operations: 1.5 | Business development: 39.0 | COVID-19 direct incremental costs: 13.4 | Pension settlement charge: 12.1 | Restructuring charges: 15.0</t>
      </text>
    </comment>
    <comment ref="BL187" authorId="0" shapeId="0">
      <text>
        <t>Company wording (Adjusted EBITDA bridge): Charges associated with divested operations: 0.3 | Business development: 2.5 | Restructuring charges: 1.8</t>
      </text>
    </comment>
    <comment ref="BM187" authorId="0" shapeId="0">
      <text>
        <t>Company wording (Adjusted EBITDA bridge): Charges associated with divested operations: 0.4 | Business development: 3.1 | Restructuring charges: 0.9</t>
      </text>
    </comment>
    <comment ref="BO187" authorId="0" shapeId="0">
      <text>
        <t>Company wording (Adjusted EBITDA bridge): Gain on sale of real estate and businesses, net: -23.5 | Charges associated with divested operations: 0.4 | Business development: 2.5 | Loss on impairments: 67.8 | Restructuring charges: 2.1</t>
      </text>
    </comment>
    <comment ref="BP187" authorId="0" shapeId="0">
      <text>
        <t>Company wording (Adjusted EBITDA bridge): (Gain) loss on sale of real estate and businesses, net: 17.4 | Charges associated with divested operations: 2.1 | Business development: 2.4 | Restructuring charges: 2.3</t>
      </text>
    </comment>
    <comment ref="BQ187" authorId="0" shapeId="0">
      <text>
        <t>Company wording (Adjusted EBITDA bridge): (Gain) loss on sale of real estate and businesses, net: -6.1 | Charges associated with divested operations: 3.1 | Business development: 10.6 | Loss on impairments: 67.8 | Restructuring charges: 7.2</t>
      </text>
    </comment>
    <comment ref="BR187" authorId="0" shapeId="0">
      <text>
        <t>Company wording (Adjusted EBITDA bridge): Business development: 0.6 | Restructuring charges: 0.3</t>
      </text>
    </comment>
    <comment ref="CJ187" authorId="0" shapeId="0">
      <text>
        <t>Company wording (Adjusted EBITDA bridge): Loss on discontinued operations: 1.4 | Charges associated with divested operations: 2.0 | CEO transition and reorganization charges: 8.6</t>
      </text>
    </comment>
    <comment ref="AC188" authorId="0" shapeId="0">
      <text>
        <t>Company wording (Adjusted EBITDA bridge): Recovery from legal settlement: -11.0 | Charges associated with acquisitions and divestitures: 4.2 | Asset impairment: 0.9</t>
      </text>
    </comment>
    <comment ref="AE188" authorId="0" shapeId="0">
      <text>
        <t>Company wording (Adjusted EBITDA bridge): Business interruption claims recovery, net of incentives: -0.2 | Charges associated with acquisitions and divestitures: 1.1</t>
      </text>
    </comment>
    <comment ref="AF188" authorId="0" shapeId="0">
      <text>
        <t>Company wording (Adjusted EBITDA bridge): Gain on sale of real estate and businesses: -16.2 | Business interruption claims recovery, net of incentives: 0.2 | Charges associated with divested operations: 0.2</t>
      </text>
    </comment>
    <comment ref="AG188" authorId="0" shapeId="0">
      <text>
        <t>Company wording (Adjusted EBITDA bridge): Gain on sale of real estate and businesses: -16.2 | Business interruption claims recovery, net of incentives: -11.0 | Charges associated with divested operations: 17.0 | Asset impairment: 10.5 | Restructuring charges: 0.3</t>
      </text>
    </comment>
    <comment ref="AN188" authorId="0" shapeId="0">
      <text>
        <t>Company wording (Adjusted EBITDA bridge): Gain on sale of businesses: -2.9 | Business interruption claims recovery: -1.7 | Business development, net of termination fee: 0.5 | Restructuring charges: 4.2</t>
      </text>
    </comment>
    <comment ref="AQ188" authorId="0" shapeId="0">
      <text>
        <t>Company wording (Adjusted EBITDA bridge): Business interruption claims recovery, net of incentives: -0.6 | Charges associated with divested operations: 10.0 | Business development, net of termination fee: 0.2 | Restructuring charges: 0.3</t>
      </text>
    </comment>
    <comment ref="AS188" authorId="0" shapeId="0">
      <text>
        <t>Company wording (Adjusted EBITDA bridge): Gain on sale of businesses: -2.9 | Business interruption claims recovery, net of incentives: -2.3 | Charges associated with divested operations: 18.5 | Business development, net of termination fee: 5.2 | Restructuring charges: 6.2</t>
      </text>
    </comment>
    <comment ref="BD189" authorId="0" shapeId="0">
      <text>
        <t>Company wording (Adjusted EBITDA bridge): Charges associated with divested operations: 0.3 | Business development: 9.4 | COVID-19 direct incremental costs: 2.8 | Pension settlement charge: 22.7</t>
      </text>
    </comment>
    <comment ref="BE189" authorId="0" shapeId="0">
      <text>
        <t>Company wording (Adjusted EBITDA bridge): Charges associated with divested operations: 6.9 | Business development: 7.3 | COVID-19 direct incremental costs: 10.2 | Pension settlement charge: 22.7 | Restructuring charges: 1.3</t>
      </text>
    </comment>
    <comment ref="BJ189" authorId="0" shapeId="0">
      <text>
        <t>Company wording (Adjusted EBITDA bridge): Charges associated with divested operations: 0.5 | Business development: 8.4 | COVID-19 direct incremental costs: 3.7 | Pension settlement charge: 12.1 | Restructuring charges: 11.5</t>
      </text>
    </comment>
    <comment ref="BK189" authorId="0" shapeId="0">
      <text>
        <t>Company wording (Adjusted EBITDA bridge): Gain on sale of real estate and businesses, net: -114.7 | Charges associated with divested operations: 1.5 | Business development: 39.0 | COVID-19 direct incremental costs: 13.4 | Pension settlement charge: 12.1 | Restructuring charges: 15.0</t>
      </text>
    </comment>
    <comment ref="H190" authorId="0" shapeId="0">
      <text>
        <t>Company wording (Adjusted EBITDA bridge): Less: Restructuring charges and exchange offer evaluation costs: 15.2</t>
      </text>
    </comment>
    <comment ref="I190" authorId="0" shapeId="0">
      <text>
        <t>Company wording (Adjusted EBITDA bridge): Gain on sale of real estate and businesses: -65.1 | Restructuring charges: 9.6 | Exchange offer costs: 43.4</t>
      </text>
    </comment>
    <comment ref="P190" authorId="0" shapeId="0">
      <text>
        <t>Company wording (Adjusted EBITDA bridge): Gain on sale of real estate and businesses: -236.0 | Charges associated with divestitures: 9.1 | Amortization of deferred revenue: -1.0</t>
      </text>
    </comment>
    <comment ref="Q190" authorId="0" shapeId="0">
      <text>
        <t>Company wording (Adjusted EBITDA bridge): Gain on sale of real estate and businesses: -1.1 | Charges associated with divestitures: 1.8 | Amortization of deferred revenue: -1.4</t>
      </text>
    </comment>
    <comment ref="S190" authorId="0" shapeId="0">
      <text>
        <t>Company wording (Adjusted EBITDA bridge): (Gain) loss on sale of real estate and businesses: 1.2 | Charges associated with acquisitions and divestitures: 4.0 | Amortization of deferred revenue: -1.4 | Restructuring charges: 0.8</t>
      </text>
    </comment>
    <comment ref="T190" authorId="0" shapeId="0">
      <text>
        <t>Company wording (Adjusted EBITDA bridge): Gain on sale of real estate and businesses: -2.6 | Charges associated with acquisitions and divestitures: 5.6 | Amortization of deferred revenue: -1.2 | Restructuring charges: 0.6</t>
      </text>
    </comment>
    <comment ref="U190" authorId="0" shapeId="0">
      <text>
        <t>Company wording (Adjusted EBITDA bridge): Gain on sale of real estate and businesses: -238.5 | Charges associated with acquisitions and divestitures: 21.1 | Amortization of deferred revenue: -5.0 | Restructuring charges: 1.3</t>
      </text>
    </comment>
    <comment ref="V190" authorId="0" shapeId="0">
      <text>
        <t>Company wording (Adjusted EBITDA bridge): Gain on sale of real estate and businesses: -5.9 | Charges associated with acquisitions and divestitures: 2.4 | Amortization of deferred revenue: -1.0 | Restructuring charges: 2.8</t>
      </text>
    </comment>
    <comment ref="W190" authorId="0" shapeId="0">
      <text>
        <t>Company wording (Adjusted EBITDA bridge): Charges associated with acquisitions and divestitures: 2.6 | Asset impairment: 5.2 | Amortization of deferred revenue: -1.6 | Restructuring charges: 1.3</t>
      </text>
    </comment>
    <comment ref="Y190" authorId="0" shapeId="0">
      <text>
        <t>Company wording (Adjusted EBITDA bridge): Charges associated with acquisitions and divestitures: 4.2 | Amortization of deferred revenue: -1.8 | Restructuring charges: 0.4</t>
      </text>
    </comment>
    <comment ref="AL190" authorId="0" shapeId="0">
      <text>
        <t>Company wording (Adjusted EBITDA bridge): Gain on sale of real estate and businesses: -10.5 | Property donation: 4.3 | Charges associated with divested operations: 1.5 | Business development, net of termination fee: 2.3 | One time employee bonuses: 6.7</t>
      </text>
    </comment>
    <comment ref="AM190" authorId="0" shapeId="0">
      <text>
        <t>Company wording (Adjusted EBITDA bridge): Gain on sale of real estate and businesses: -10.5 | Property donation: 4.3 | Charges associated with divested operations: 18.1 | Business development, net of termination fee: 3.1 | One time employee bonuses: 6.7 | Restructuring charges: 1.9</t>
      </text>
    </comment>
    <comment ref="AX190" authorId="0" shapeId="0">
      <text>
        <t>Company wording (Adjusted EBITDA bridge): Gain on sale of businesses: -9.3 | Property donation: 10.8 | Charges associated with divested operations: 3.0 | Business development: 1.3</t>
      </text>
    </comment>
    <comment ref="AY190" authorId="0" shapeId="0">
      <text>
        <t>Company wording (Adjusted EBITDA bridge): Gain on sale of businesses: -13.4 | Property donation: 10.8 | Charges associated with divested operations: 3.0 | Business development: 1.7 | Restructuring charges: 6.5</t>
      </text>
    </comment>
    <comment ref="AZ190" authorId="0" shapeId="0">
      <text>
        <t>Company wording (Adjusted EBITDA bridge): Business development: 1.1 | COVID-19 direct incremental costs: 0.6 | Restructuring charges: 0.9</t>
      </text>
    </comment>
    <comment ref="BA190" authorId="0" shapeId="0">
      <text>
        <t>Company wording (Adjusted EBITDA bridge): Charges associated with divested operations: 0.8 | Business development: -3.5 | COVID-19 direct incremental costs: 4.4 | Restructuring charges: 0.5</t>
      </text>
    </comment>
    <comment ref="BC190" authorId="0" shapeId="0">
      <text>
        <t>Company wording (Adjusted EBITDA bridge): Charges associated with divested operations: 5.9 | Business development: 0.3 | COVID-19 direct incremental costs: 2.4</t>
      </text>
    </comment>
    <comment ref="BD190" authorId="0" shapeId="0">
      <text>
        <t>Company wording (Adjusted EBITDA bridge): Charges associated with divested operations: 0.3 | Business development: 9.4 | COVID-19 direct incremental costs: 2.8 | Pension settlement charge: 22.7</t>
      </text>
    </comment>
    <comment ref="BE190" authorId="0" shapeId="0">
      <text>
        <t>Company wording (Adjusted EBITDA bridge): Charges associated with divested operations: 6.9 | Business development: 7.3 | COVID-19 direct incremental costs: 10.2 | Pension settlement charge: 22.7 | Restructuring charges: 1.3</t>
      </text>
    </comment>
    <comment ref="BF190" authorId="0" shapeId="0">
      <text>
        <t>Company wording (Adjusted EBITDA bridge): Gain on sale of real estate and businesses, net: -114.7 | Charges associated with divested operations: 0.3 | Business development: 0.4 | COVID-19 direct incremental costs: 2.5</t>
      </text>
    </comment>
    <comment ref="BG190" authorId="0" shapeId="0">
      <text>
        <t>Company wording (Adjusted EBITDA bridge): Charges associated with divested operations: 0.3 | Business development: 5.5 | COVID-19 direct incremental costs: 1.3</t>
      </text>
    </comment>
    <comment ref="BI190" authorId="0" shapeId="0">
      <text>
        <t>Company wording (Adjusted EBITDA bridge): Charges associated with divested operations: 0.4 | Business development: 24.7 | COVID-19 direct incremental costs: 5.9 | Restructuring charges: 3.5</t>
      </text>
    </comment>
    <comment ref="BJ190" authorId="0" shapeId="0">
      <text>
        <t>Company wording (Adjusted EBITDA bridge): Charges associated with divested operations: 0.5 | Business development: 8.4 | COVID-19 direct incremental costs: 3.7 | Pension settlement charge: 12.1 | Restructuring charges: 11.5</t>
      </text>
    </comment>
    <comment ref="BK190" authorId="0" shapeId="0">
      <text>
        <t>Company wording (Adjusted EBITDA bridge): Gain on sale of real estate and businesses, net: -114.7 | Charges associated with divested operations: 1.5 | Business development: 39.0 | COVID-19 direct incremental costs: 13.4 | Pension settlement charge: 12.1 | Restructuring charges: 15.0</t>
      </text>
    </comment>
    <comment ref="B194" authorId="0" shapeId="0">
      <text>
        <t>Source: Vulcan earnings releases (Form 8-K Ex. 99.1) — Appendix "EBITDA and Adjusted EBITDA". Introduced FY2011; FY2011 as originally published.</t>
      </text>
    </comment>
    <comment ref="D196" authorId="0" shapeId="0">
      <text>
        <t>Vulcan EBITDA excluded discontinued operations (Chemicals). FY2008 release EBITDA preceded the $252.7m goodwill impairment booked in the 10-K (shown in the impairment row).</t>
      </text>
    </comment>
    <comment ref="H196" authorId="0" shapeId="0">
      <text>
        <t>FY2011 as originally published ($440.4m). The FY2012 release restated FY2011 to $351.8m by also excluding the $46.4m legal recovery and $42.1m gains on sale.</t>
      </text>
    </comment>
    <comment ref="Z196" authorId="0" shapeId="0">
      <text>
        <t>Q1–Q3/15 as originally reported (deducted), so 2015 quarters do not sum to FY2015 ($836.3m).</t>
      </text>
    </comment>
    <comment ref="BS196" authorId="0" shapeId="0">
      <text>
        <t>FY2023 10-K restated FY2022 EBITDA to $1,517.9m on this basis (Adjusted EBITDA unchanged at $1,625.6m).</t>
      </text>
    </comment>
    <comment ref="B223" authorId="0" shapeId="0">
      <text>
        <t>Source: Vulcan earnings releases (Form 8-K Ex. 99.1) — Appendix "Adjusted Diluted EPS". 2006–08: "EPS from continuing operations, as adjusted"; 2014–15 from the following year's release comparatives where the release gave narrative only.</t>
      </text>
    </comment>
    <comment ref="B225" authorId="0" shapeId="0">
      <text>
        <t>Company per-share bridge. Where the company bridge starts from EPS from continuing operations, the discontinued-operations per-share amount is included here so the model bridge starts from diluted EPS on net earnings.</t>
      </text>
    </comment>
    <comment ref="C225" authorId="0" shapeId="0">
      <text>
        <t>Company wording (Adjusted EPS bridge, $/share): GAAP Diluted earnings per share from continuing operations: 4.79 | After-tax gain per diluted share resulting from the sale of contractual rights: -0.15 | After-tax gain per diluted share resulting from the adjustment in the carrying value of the ECU earn-out: -0.17 | Earnings per share from continuing operations, excluding gains on sale of contractual rights and adjustment in the carrying value of the ECU earn-out, net of tax: 4.47</t>
      </text>
    </comment>
    <comment ref="D225" authorId="0" shapeId="0">
      <text>
        <t>Company wording (Adjusted EPS bridge, $/share): GAAP Diluted earnings per share from continuing operations: 4.66 | After-tax gain per diluted share resulting from sale of California real estate, net: -0.24 | After-tax gain per diluted share resulting from the adjustment in the carrying value of the ECU earn-out: -0.01 | Florida Rock Acquisition: 0.32 | Earnings per share from continuing operations, net of tax, as adjusted: 4.73</t>
      </text>
    </comment>
    <comment ref="E225" authorId="0" shapeId="0">
      <text>
        <t>Company wording (Adjusted EPS bridge, $/share): GAAP diluted earnings per share from continuing operations: 2.08 | After-tax gain per diluted share resulting from sale of required divestitures, net: -0.4 | Income tax expense on divested Florida Rock assets: 0.06 | Earnings per share from continuing operations, net of tax, as adjusted: 1.74</t>
      </text>
    </comment>
    <comment ref="H225" authorId="0" shapeId="0">
      <text>
        <t>Company wording (Adjusted EPS bridge, $/share): Restructuring charges (release narrative): 0.06 | Unsolicited exchange offer costs (release narrative): 0.01</t>
      </text>
    </comment>
    <comment ref="P225" authorId="0" shapeId="0">
      <text>
        <t>Company wording (Adjusted EPS bridge, $/share): Diluted EPS - continuing operations, as reported: 0.41 | Disposition transaction (gain on sale of Florida cement &amp; concrete, net of related charges): -1.04 | Debt purchase (charges to interest expense on $506m tender): 0.35 | Adjusted diluted EPS - continuing operations: -0.28</t>
      </text>
    </comment>
    <comment ref="Q225" authorId="0" shapeId="0">
      <text>
        <t>Company wording (Adjusted EPS bridge, $/share): Diluted EPS - continuing operations, as reported: 0.35 | Net charges related to restructuring and business development costs (per Q2-15 release): 0.01 | Adjusted diluted EPS - continuing operations (per Q2-15 release): 0.36</t>
      </text>
    </comment>
    <comment ref="S225" authorId="0" shapeId="0">
      <text>
        <t>Company wording (Adjusted EPS bridge, $/share): Diluted EPS - continuing operations, as reported: 0.51 | Expenses related to business development activities (charges associated with acquisitions, divestitures and restructuring): 0.03 | Adjusted diluted EPS - continuing operations (per Q3-15 release): 0.54</t>
      </text>
    </comment>
    <comment ref="T225" authorId="0" shapeId="0">
      <text>
        <t>Company wording (Adjusted EPS bridge, $/share): Diluted EPS - continuing operations, as reported: 0.29 | Expenses referable to business development activities: 0.02 | Adjusted diluted EPS - continuing operations (per Q4-15 release): 0.31</t>
      </text>
    </comment>
    <comment ref="U225" authorId="0" shapeId="0">
      <text>
        <t>Company wording (Adjusted EPS bridge, $/share): Diluted EPS - continuing operations, as reported: 1.56 | Gains on sale of assets, debt tender offer costs, business development expenses and restructuring charges (net income items): -0.65 | Adjusted diluted EPS - continuing operations (stated in Q4-15 release): 0.91</t>
      </text>
    </comment>
    <comment ref="V225" authorId="0" shapeId="0">
      <text>
        <t>Company wording (Adjusted EPS bridge, $/share): Diluted EPS - continuing operations, as reported: -0.28 | Discrete items: $3.5m net gain on concrete-for-asphalt swap, $2.8m restructuring, $21.7m debt purchase charge (aggregate, after tax; per-share split not published): 0.12 | Adjusted diluted EPS - continuing operations: -0.16</t>
      </text>
    </comment>
    <comment ref="W225" authorId="0" shapeId="0">
      <text>
        <t>Company wording (Adjusted EPS bridge, $/share): Diluted EPS - continuing operations, as reported: 0.37 | Net charges related to debt refinancing: 0.24 | Net charges related to restructuring and business development costs: 0.05 | Adjusted diluted EPS - continuing operations: 0.66</t>
      </text>
    </comment>
    <comment ref="Y225" authorId="0" shapeId="0">
      <text>
        <t>Company wording (Adjusted EPS bridge, $/share): Diluted EPS - continuing operations, as reported: 0.93 | Charges associated with acquisitions, divestitures and restructuring: 0.02 | Adjusted diluted EPS - continuing operations: 0.95</t>
      </text>
    </comment>
    <comment ref="Z225" authorId="0" shapeId="0">
      <text>
        <t>Company wording (Adjusted EPS bridge, $/share): Diluted EPS - continuing operations, as reported: 0.69 | Charge referable to a revised estimate of recoverable foreign tax credits: 0.05 | Adjusted diluted EPS - continuing operations: 0.74</t>
      </text>
    </comment>
    <comment ref="AA225" authorId="0" shapeId="0">
      <text>
        <t>Company wording (Adjusted EPS bridge, $/share): Diluted EPS - continuing operations, as reported: 1.72 | Gains on sale of assets, debt refinancing, business development, restructuring charges and income tax items (aggregate; derived): 0.44 | Adjusted diluted EPS - continuing operations: 2.16</t>
      </text>
    </comment>
    <comment ref="AB225" authorId="0" shapeId="0">
      <text>
        <t>Company wording (Adjusted EPS bridge, $/share): Diluted EPS from continuing operations (as reported): 0.15 | Impairment of leased property and certain charges recorded in Other Operating Expense: 0.11 | Adjusted diluted EPS from continuing operations: 0.26</t>
      </text>
    </comment>
    <comment ref="AC225" authorId="0" shapeId="0">
      <text>
        <t>Company wording (Adjusted EPS bridge, $/share): Diluted EPS from continuing operations (as reported): 0.93 | Income from business interruption claims: -0.05 | Charges associated with legacy businesses previously divested: 0.02 | Adjusted diluted EPS from continuing operations: 0.9</t>
      </text>
    </comment>
    <comment ref="AE225" authorId="0" shapeId="0">
      <text>
        <t>Company wording (Adjusted EPS bridge, $/share): Diluted EPS from continuing operations (as reported): 1.06 | Certain income tax benefits: -0.05 | Adjusted diluted EPS from continuing operations: 1.01</t>
      </text>
    </comment>
    <comment ref="AF225" authorId="0" shapeId="0">
      <text>
        <t>Company wording (Adjusted EPS bridge, $/share): Diluted EPS: 0.8 | Items included in Adjusted EBITDA above: -0.08 | Interest charges associated with debt refinancing: 0.0 | Certain discrete tax items (including ASU 2016-09): -0.03 | Adjusted Diluted EPS: 0.69</t>
      </text>
    </comment>
    <comment ref="AG225" authorId="0" shapeId="0">
      <text>
        <t>Company wording (Adjusted EPS bridge, $/share): Diluted EPS: 3.11 | Items included in Adjusted EBITDA above: 0.0 | Interest charges associated with debt refinancing: 0.0 | Certain discrete tax items (including ASU 2016-09): -0.25 | Adjusted Diluted EPS: 2.86</t>
      </text>
    </comment>
    <comment ref="AI225" authorId="0" shapeId="0">
      <text>
        <t>Company wording (Adjusted EPS bridge, $/share): Diluted EPS: 0.83 | Items included in Adjusted EBITDA above: 0.07 | Alabama NOL carryforward valuation allowance: 0.0 | Foreign tax credit carryforward impairment: 0.0 | Adjusted Diluted EPS: 0.9</t>
      </text>
    </comment>
    <comment ref="AK225" authorId="0" shapeId="0">
      <text>
        <t>Company wording (Adjusted EPS bridge, $/share): Diluted EPS: 0.82 | Items included in Adjusted EBITDA above: 0.0 | Interest charges associated with debt purchase: 0.22 | Alabama NOL carryforward valuation allowance: 0.0 | Foreign tax credit carryforward utilization: 0.0 | Adjusted Diluted EPS: 1.04</t>
      </text>
    </comment>
    <comment ref="AL225" authorId="0" shapeId="0">
      <text>
        <t>Company wording (Adjusted EPS bridge, $/share): Diluted EPS: 2.43 | Items included in Adjusted EBITDA above: 0.02 | Interest charges associated with debt purchase: 0.49 | Tax reform income tax savings: -1.99 | Alabama NOL carryforward valuation allowance: -0.21 | Foreign tax credit carryforward utilization: 0.0 | Adjusted Diluted EPS: 0.74</t>
      </text>
    </comment>
    <comment ref="AM225" authorId="0" shapeId="0">
      <text>
        <t>Company wording (Adjusted EPS bridge, $/share): Diluted EPS: 4.4 | Items included in Adjusted EBITDA above: 0.11 | Interest charges associated with debt purchase: 0.73 | Tax reform income tax savings: -1.99 | Alabama NOL carryforward valuation allowance: -0.21 | Foreign tax credit carryforward utilization: 0.0 | Adjusted Diluted EPS: 3.04</t>
      </text>
    </comment>
    <comment ref="AN225" authorId="0" shapeId="0">
      <text>
        <t>Company wording (Adjusted EPS bridge, $/share): Diluted EPS from continuing operations: 0.4 | Items included in Adjusted EBITDA above: 0.0 | Interest charges associated with debt purchase: 0.0 | Debt refinancing costs: 0.04 | Tax reform income tax savings: 0.0 | Alabama NOL carryforward valuation allowance: 0.0</t>
      </text>
    </comment>
    <comment ref="AO225" authorId="0" shapeId="0">
      <text>
        <t>Company wording (Adjusted EPS bridge, $/share): Diluted EPS: 1.2 | Items included in Adjusted EBITDA above: 0.03 | Debt refinancing costs: 0.0 | Tax reform income tax savings: 0.0 | Alabama NOL carryforward valuation allowance: 0.0 | Foreign tax credit carryforward utilization: 0.0</t>
      </text>
    </comment>
    <comment ref="AQ225" authorId="0" shapeId="0">
      <text>
        <t>Company wording (Adjusted EPS bridge, $/share): Diluted EPS: 1.34 | Items included in Adjusted EBITDA above: 0.06 | Interest charges associated with debt purchase: 0.0 | Debt refinancing costs: 0.0 | Tax reform income tax savings: 0.0 | Alabama NOL carryforward valuation allowance: 0.0 | Foreign tax credit carryforward utilization: 0.0</t>
      </text>
    </comment>
    <comment ref="AR225" authorId="0" shapeId="0">
      <text>
        <t>Company wording (Adjusted EPS bridge, $/share): Diluted EPS: 0.93 | Items included in Adjusted EBITDA above: 0.06 | Interest charges associated with debt purchase: 0.0 | Debt refinancing costs: 0.0 | Tax reform income tax savings: 0.0 | Alabama NOL carryforward valuation allowance: 0.0</t>
      </text>
    </comment>
    <comment ref="AS225" authorId="0" shapeId="0">
      <text>
        <t>Company wording (Adjusted EPS bridge, $/share): Diluted EPS: 3.87 | Items included in Adjusted EBITDA above: 0.14 | Interest charges associated with debt purchase: 0.0 | Debt refinancing costs: 0.04 | Tax reform income tax savings: 0.0 | Alabama NOL carryforward valuation allowance: 0.0</t>
      </text>
    </comment>
    <comment ref="AT225" authorId="0" shapeId="0">
      <text>
        <t>Company wording (Adjusted EPS bridge, $/share): Diluted EPS from continuing operations: 0.48 | Items included in Adjusted EBITDA above: -0.02 | Interest charges associated with debt purchase: 0.0 | Debt refinancing costs: 0.0 | Tax reform income tax savings: 0.0 | Alabama NOL carryforward valuation allowance: 0.0</t>
      </text>
    </comment>
    <comment ref="AU225" authorId="0" shapeId="0">
      <text>
        <t>Company wording (Adjusted EPS bridge, $/share): Diluted EPS from continuing operations: 1.48 | Items included in Adjusted EBITDA above: 0.0 | Debt refinancing costs: 0.0 | Tax reform income tax savings: 0.0 | Alabama NOL carryforward valuation allowance: 0.0</t>
      </text>
    </comment>
    <comment ref="AW225" authorId="0" shapeId="0">
      <text>
        <t>Company wording (Adjusted EPS bridge, $/share): Diluted EPS from continuing operations: 1.63 | Items included in Adjusted EBITDA above: 0.05 | Debt refinancing costs: 0.0 | Tax reform income tax savings: 0.0 | Alabama NOL carryforward valuation allowance: 0.0</t>
      </text>
    </comment>
    <comment ref="AX225" authorId="0" shapeId="0">
      <text>
        <t>Company wording (Adjusted EPS bridge, $/share): Diluted EPS from continuing operations: 1.07 | Items included in Adjusted EBITDA above: 0.01 | Debt refinancing costs: 0.0</t>
      </text>
    </comment>
    <comment ref="AY225" authorId="0" shapeId="0">
      <text>
        <t>Company wording (Adjusted EPS bridge, $/share): Diluted EPS from continuing operations: 4.67 | Items included in Adjusted EBITDA above: 0.03 | Debt refinancing costs: 0.0</t>
      </text>
    </comment>
    <comment ref="AZ225" authorId="0" shapeId="0">
      <text>
        <t>Company wording (Adjusted EPS bridge, $/share): Diluted EPS from continuing operations: 0.45 | Items included in Adjusted EBITDA above: 0.02 | Tax reform income tax savings: 0.0 | Adjusted Diluted EPS: 0.47</t>
      </text>
    </comment>
    <comment ref="BA225" authorId="0" shapeId="0">
      <text>
        <t>Company wording (Adjusted EPS bridge, $/share): Diluted EPS from continuing operations: 1.58 | Items included in Adjusted EBITDA above: 0.02 | Adjusted Diluted EPS: 1.6</t>
      </text>
    </comment>
    <comment ref="BC225" authorId="0" shapeId="0">
      <text>
        <t>Company wording (Adjusted EPS bridge, $/share): Diluted EPS from continuing operations: 1.51 | Items included in Adjusted EBITDA above: 0.05 | Adjusted Diluted EPS: 1.56</t>
      </text>
    </comment>
    <comment ref="BD225" authorId="0" shapeId="0">
      <text>
        <t>Company wording (Adjusted EPS bridge, $/share): Diluted EPS from continuing operations: 0.87 | Items included in Adjusted EBITDA above: 0.2 | Adjusted Diluted EPS: 1.07</t>
      </text>
    </comment>
    <comment ref="BE225" authorId="0" shapeId="0">
      <text>
        <t>Company wording (Adjusted EPS bridge, $/share): Diluted EPS from continuing operations: 4.41 | Items included in Adjusted EBITDA above: 0.27 | Adjusted Diluted EPS: 4.68</t>
      </text>
    </comment>
    <comment ref="BF225" authorId="0" shapeId="0">
      <text>
        <t>Company wording (Adjusted EPS bridge, $/share): Diluted EPS from continuing operations: 1.21 | Items included in Adjusted EBITDA above: -0.62 | Alabama NOL carryforward valuation allowance: 0.1 | Adjusted Diluted EPS: 0.69</t>
      </text>
    </comment>
    <comment ref="BG225" authorId="0" shapeId="0">
      <text>
        <t>Company wording (Adjusted EPS bridge, $/share): Diluted EPS from continuing operations: 1.47 | Items included in Adjusted EBITDA above: 0.05 | Alabama NOL carryforward valuation allowance: 0.0 | Acquisition financing interest costs: 0.05 | Adjusted diluted EPS: 1.57</t>
      </text>
    </comment>
    <comment ref="BI225" authorId="0" shapeId="0">
      <text>
        <t>Company wording (Adjusted EPS bridge, $/share): Diluted EPS attributable to Vulcan from continuing operations: 1.33 | Items included in Adjusted EBITDA above: 0.21 | Alabama NOL carryforward valuation allowance: 0.0 | Acquisition financing interest costs: 0.0 | Adjusted diluted EPS: 1.54</t>
      </text>
    </comment>
    <comment ref="BJ225" authorId="0" shapeId="0">
      <text>
        <t>Company wording (Adjusted EPS bridge, $/share): Diluted EPS attributable to Vulcan from continuing operations: 1.04 | Items included in Adjusted EBITDA above: 0.21 | NOL carryforward valuation allowance: 0.0 | Acquisition financing interest costs: 0.0 | Adjusted diluted EPS: 1.25</t>
      </text>
    </comment>
    <comment ref="BK225" authorId="0" shapeId="0">
      <text>
        <t>Company wording (Adjusted EPS bridge, $/share): Diluted EPS attributable to Vulcan from continuing operations: 5.05 | Items included in Adjusted EBITDA above: -0.16 | NOL carryforward valuation allowance: 0.1 | Acquisition financing interest costs: 0.05 | Adjusted diluted EPS: 5.04</t>
      </text>
    </comment>
    <comment ref="BL225" authorId="0" shapeId="0">
      <text>
        <t>Company wording (Adjusted EPS bridge, $/share): Diluted EPS attributable to Vulcan from continuing operations: 0.7 | Items included in Adjusted EBITDA above: 0.03 | NOL carryforward valuation allowance: 0.0 | Acquisition financing interest costs: 0.0 | Adjusted diluted EPS: 0.73</t>
      </text>
    </comment>
    <comment ref="BM225" authorId="0" shapeId="0">
      <text>
        <t>Company wording (Adjusted EPS bridge, $/share): Diluted EPS attributable to Vulcan from continuing operations: 1.5 | Items included in Adjusted EBITDA above: 0.03 | NOL carryforward valuation allowance: 0.0 | Acquisition financing interest costs: 0.0 | Adjusted diluted EPS: 1.53</t>
      </text>
    </comment>
    <comment ref="BO225" authorId="0" shapeId="0">
      <text>
        <t>Company wording (Adjusted EPS bridge, $/share): Net earnings attributable to Vulcan: 1.33 | Less: Discontinued operations: 0.0 | Diluted EPS attributable to Vulcan from continuing operations: 1.33 | Items included in Adjusted EBITDA above, net of tax: 0.38 | NOL carryforward valuation allowance: 0.07 | Acquisition financing interest costs: 0.0 | Adjusted diluted EPS attributable to Vulcan from continuing operations: 1.78</t>
      </text>
    </comment>
    <comment ref="BP225" authorId="0" shapeId="0">
      <text>
        <t>Company wording (Adjusted EPS bridge, $/share): Net earnings attributable to Vulcan: 0.89 | Less: Discontinued operations: -0.02 | Diluted EPS attributable to Vulcan from continuing operations: 0.91 | Items included in Adjusted EBITDA above, net of tax: 0.13 | NOL carryforward valuation allowance: 0.04 | Acquisition financing interest costs: 0.0 | Adjusted diluted EPS attributable to Vulcan from continuing operations: 1.08</t>
      </text>
    </comment>
    <comment ref="BQ225" authorId="0" shapeId="0">
      <text>
        <t>Company wording (Adjusted EPS bridge, $/share): Net earnings attributable to Vulcan: 4.31 | Less: Discontinued operations: -0.14 | Diluted EPS attributable to Vulcan from continuing operations: 4.45 | Items included in Adjusted EBITDA above, net of tax: 0.55 | NOL carryforward valuation allowance: 0.11 | Acquisition financing interest costs: 0.0 | Adjusted diluted EPS attributable to Vulcan from continuing operations: 5.11</t>
      </text>
    </comment>
    <comment ref="BR225" authorId="0" shapeId="0">
      <text>
        <t>Company wording (Adjusted EPS bridge, $/share): Net earnings attributable to Vulcan: 0.9 | Less: Discontinued operations: -0.02 | Diluted EPS attributable to Vulcan from continuing operations: 0.92 | Items included in Adjusted EBITDA above, net of tax: 0.01 | NOL carryforward valuation allowance: 0.02 | Acquisition financing interest costs: 0.0 | Adjusted diluted EPS attributable to Vulcan from continuing operations: 0.95</t>
      </text>
    </comment>
    <comment ref="BS225" authorId="0" shapeId="0">
      <text>
        <t>Company wording (Adjusted EPS bridge, $/share): Net earnings attributable to Vulcan: 2.31 | Less: Discontinued operations: -0.02 | Diluted EPS attributable to Vulcan from continuing operations: 2.33 | Items included in Adjusted EBITDA above, net of tax: -0.06 | NOL carryforward valuation allowance: 0.02 | Adjusted diluted EPS attributable to Vulcan from continuing operations: 2.29</t>
      </text>
    </comment>
    <comment ref="BU225" authorId="0" shapeId="0">
      <text>
        <t>Company wording (Adjusted EPS bridge, $/share): Net earnings attributable to Vulcan: 2.07 | Items included in Adjusted EBITDA above, net of tax: 0.18 | NOL carryforward valuation allowance: 0.04 | Adjusted diluted EPS attributable to Vulcan from continuing operations: 2.29</t>
      </text>
    </comment>
    <comment ref="BV225" authorId="0" shapeId="0">
      <text>
        <t>Company wording (Adjusted EPS bridge, $/share): Net earnings attributable to Vulcan: 1.7 | Items included in Adjusted EBITDA above, net of tax: -0.25 | NOL carryforward valuation allowance: 0.01 | Adjusted diluted EPS attributable to Vulcan from continuing operations: 1.46</t>
      </text>
    </comment>
    <comment ref="BW225" authorId="0" shapeId="0">
      <text>
        <t>Company wording (Adjusted EPS bridge, $/share): Net earnings attributable to Vulcan: 6.98 | Items included in Adjusted EBITDA above, net of tax: -0.08 | NOL carryforward valuation allowance: 0.1 | Adjusted diluted EPS attributable to Vulcan from continuing operations: 7.0</t>
      </text>
    </comment>
    <comment ref="BX225" authorId="0" shapeId="0">
      <text>
        <t>Company wording (Adjusted EPS bridge, $/share): Net earnings attributable to Vulcan: 0.77 | Items included in Adjusted EBITDA above, net of tax: 0.02 | NOL carryforward valuation allowance: 0.01 | Adjusted diluted EPS attributable to Vulcan from continuing operations: 0.8</t>
      </text>
    </comment>
    <comment ref="BY225" authorId="0" shapeId="0">
      <text>
        <t>Company wording (Adjusted EPS bridge, $/share): Net earnings attributable to Vulcan: 2.31 | Items included in Adjusted EBITDA above, net of tax: 0.03 | NOL carryforward valuation allowance: 0.01 | Adjusted diluted EPS attributable to Vulcan from continuing operations: 2.35</t>
      </text>
    </comment>
    <comment ref="CA225" authorId="0" shapeId="0">
      <text>
        <t>Company wording (Adjusted EPS bridge, $/share): Net earnings attributable to Vulcan: 1.56 | Items included in Adjusted EBITDA above, net of tax: 0.65 | NOL carryforward valuation allowance: 0.01 | Adjusted diluted EPS attributable to Vulcan from continuing operations: 2.22</t>
      </text>
    </comment>
    <comment ref="CB225" authorId="0" shapeId="0">
      <text>
        <t>Company wording (Adjusted EPS bridge, $/share): Net earnings attributable to Vulcan: 2.21 | Items included in Adjusted EBITDA above, net of tax: -0.01 | NOL carryforward valuation allowance: -0.03 | Adjusted diluted EPS attributable to Vulcan from continuing operations: 2.17</t>
      </text>
    </comment>
    <comment ref="CC225" authorId="0" shapeId="0">
      <text>
        <t>Company wording (Adjusted EPS bridge, $/share): Net earnings attributable to Vulcan: 6.85 | Items included in Adjusted EBITDA above, net of tax: 0.68 | NOL carryforward valuation allowance: 0.0 | Adjusted diluted EPS attributable to Vulcan from continuing operations: 7.53</t>
      </text>
    </comment>
    <comment ref="CD225" authorId="0" shapeId="0">
      <text>
        <t>Company wording (Adjusted EPS bridge, $/share): Net earnings attributable to Vulcan: 0.97 | Items included in Adjusted EBITDA above, net of tax: 0.02 | NOL carryforward valuation allowance: 0.01 | Adjusted diluted EPS attributable to Vulcan from continuing operations: 1.0</t>
      </text>
    </comment>
    <comment ref="CE225" authorId="0" shapeId="0">
      <text>
        <t>Company wording (Adjusted EPS bridge, $/share): Net earnings attributable to Vulcan: 2.42 | Items included in Adjusted EBITDA above, net of tax: 0.02 | NOL carryforward valuation allowance: 0.01 | Adjusted diluted EPS attributable to Vulcan from continuing operations: 2.45</t>
      </text>
    </comment>
    <comment ref="CG225" authorId="0" shapeId="0">
      <text>
        <t>Company wording (Adjusted EPS bridge, $/share): Net earnings attributable to Vulcan: 2.82 | Items included in Adjusted EBITDA above, net of tax: 0.01 | NOL carryforward valuation allowance: 0.01 | Adjusted diluted EPS attributable to Vulcan from continuing operations: 2.84</t>
      </text>
    </comment>
    <comment ref="CH225" authorId="0" shapeId="0">
      <text>
        <t>Company wording (Adjusted EPS bridge, $/share): Net earnings attributable to Vulcan: 1.91 | Items included in Adjusted EBITDA above, net of tax: -0.24 | NOL carryforward valuation allowance: 0.03 | Adjusted diluted EPS attributable to Vulcan from continuing operations: 1.7</t>
      </text>
    </comment>
    <comment ref="CI225" authorId="0" shapeId="0">
      <text>
        <t>Company wording (Adjusted EPS bridge, $/share): Net earnings attributable to Vulcan: 8.11 | Items included in Adjusted EBITDA above, net of tax: -0.18 | NOL carryforward valuation allowance: 0.07 | Adjusted diluted EPS attributable to Vulcan from continuing operations: 8.0</t>
      </text>
    </comment>
    <comment ref="CJ225" authorId="0" shapeId="0">
      <text>
        <t>Company wording (Adjusted EPS bridge, $/share): Net earnings attributable to Vulcan: 1.26 | Items included in Adjusted EBITDA above, net of tax: 0.07 | NOL carryforward valuation allowance: 0.02 | Adjusted diluted EPS attributable to Vulcan from continuing operations: 1.35</t>
      </text>
    </comment>
    <comment ref="CK225" authorId="0" shapeId="0">
      <text>
        <t>Company wording (Adjusted EPS bridge, $/share): Net earnings attributable to Vulcan: 2.48 | Items included in Adjusted EBITDA above, net of tax: 0.1 | NOL carryforward valuation allowance: 0.01 | Adjusted diluted EPS attributable to Vulcan from continuing operations: 2.59</t>
      </text>
    </comment>
    <comment ref="P227" authorId="0" shapeId="0">
      <text>
        <t>2014 narrative only; figures from the 2015 releases' comparatives.</t>
      </text>
    </comment>
    <comment ref="AM227" authorId="0" shapeId="0">
      <text>
        <t>Tax Cuts and Jobs Act deferred-tax remeasurement benefit ($1.99/share) and Alabama NOL valuation allowance release ($0.21) treated as discrete tax items; debt-purchase interest $0.73/share after tax.</t>
      </text>
    </comment>
    <comment ref="B253" authorId="0" shapeId="0">
      <text>
        <t>Source: Consolidated Statements of Cash Flows (10-K; 1H/26 from the Q2-26 release Table C).</t>
      </text>
    </comment>
    <comment ref="B308" authorId="0" shapeId="0">
      <text>
        <t>Source: Consolidated Balance Sheets (10-K; 30-Jun-26 from the Q2-26 release Table B).</t>
      </text>
    </comment>
    <comment ref="B389" authorId="0" shapeId="0">
      <text>
        <t>Source: release appendix "Return on Invested Capital" (published from FY2019).</t>
      </text>
    </comment>
  </commentList>
</comments>
</file>

<file path=xl/comments/comment2.xml><?xml version="1.0" encoding="utf-8"?>
<comments xmlns="http://schemas.openxmlformats.org/spreadsheetml/2006/main">
  <authors>
    <author>VMC model</author>
  </authors>
  <commentList>
    <comment ref="N26" authorId="0" shapeId="0">
      <text>
        <t>Bull P/E on Adjusted EPS (company definition). Vulcan traded ~25–35x NTM Adjusted EPS 2021–26 (≈26x at $243 on the model 2026E Adjusted EPS). Base 28x, Bear 22x (aggregates down-cycle trough).</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0</colOff>
      <row>22</row>
      <rowOff>160560</rowOff>
    </from>
    <to>
      <col>12</col>
      <colOff>543960</colOff>
      <row>37</row>
      <rowOff>2520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0</colOff>
      <row>43</row>
      <rowOff>160560</rowOff>
    </from>
    <to>
      <col>12</col>
      <colOff>543960</colOff>
      <row>58</row>
      <rowOff>2160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1</col>
      <colOff>0</colOff>
      <row>64</row>
      <rowOff>160560</rowOff>
    </from>
    <to>
      <col>12</col>
      <colOff>543960</colOff>
      <row>79</row>
      <rowOff>2520</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1:DF439"/>
  <sheetViews>
    <sheetView showGridLines="0" zoomScale="60" zoomScaleNormal="60" workbookViewId="0">
      <pane xSplit="2" ySplit="7" topLeftCell="C8" activePane="bottomRight" state="frozen"/>
      <selection pane="topRight" activeCell="A1" sqref="A1"/>
      <selection pane="bottomLeft" activeCell="A1" sqref="A1"/>
      <selection pane="bottomRight" activeCell="C1" sqref="C1"/>
      <selection pane="bottomLeft" activeCell="A7" sqref="A7"/>
      <selection pane="bottomRight" activeCell="CS272" sqref="CS272"/>
    </sheetView>
  </sheetViews>
  <sheetFormatPr baseColWidth="8" defaultColWidth="8.5703125" defaultRowHeight="15" outlineLevelRow="1"/>
  <cols>
    <col width="2.42578125" customWidth="1" min="1" max="1"/>
    <col width="62" customWidth="1" min="2" max="2"/>
    <col width="14.140625" customWidth="1" min="3" max="9"/>
    <col hidden="1" outlineLevel="1" width="9.5703125" customWidth="1" min="10" max="11"/>
    <col hidden="1" outlineLevel="1" width="10.85546875" customWidth="1" min="12" max="12"/>
    <col hidden="1" outlineLevel="1" width="9.5703125" customWidth="1" min="13" max="14"/>
    <col collapsed="1" width="14.140625" customWidth="1" min="15" max="15"/>
    <col hidden="1" outlineLevel="1" width="9.5703125" customWidth="1" min="16" max="17"/>
    <col hidden="1" outlineLevel="1" width="10.85546875" customWidth="1" min="18" max="18"/>
    <col hidden="1" outlineLevel="1" width="9.5703125" customWidth="1" min="19" max="20"/>
    <col collapsed="1" width="14.140625" customWidth="1" min="21" max="21"/>
    <col hidden="1" outlineLevel="1" width="9.5703125" customWidth="1" min="22" max="23"/>
    <col hidden="1" outlineLevel="1" width="10.85546875" customWidth="1" min="24" max="24"/>
    <col hidden="1" outlineLevel="1" width="9.5703125" customWidth="1" min="25" max="26"/>
    <col collapsed="1" width="14.140625" customWidth="1" min="27" max="27"/>
    <col hidden="1" outlineLevel="1" width="9.5703125" customWidth="1" min="28" max="29"/>
    <col hidden="1" outlineLevel="1" width="10.85546875" customWidth="1" min="30" max="30"/>
    <col hidden="1" outlineLevel="1" width="9.5703125" customWidth="1" min="31" max="32"/>
    <col collapsed="1" width="14.140625" customWidth="1" min="33" max="33"/>
    <col hidden="1" outlineLevel="1" width="9.5703125" customWidth="1" min="34" max="35"/>
    <col hidden="1" outlineLevel="1" width="10.85546875" customWidth="1" min="36" max="36"/>
    <col hidden="1" outlineLevel="1" width="9.5703125" customWidth="1" min="37" max="38"/>
    <col collapsed="1" width="14.140625" customWidth="1" min="39" max="39"/>
    <col hidden="1" outlineLevel="1" width="9.5703125" customWidth="1" min="40" max="41"/>
    <col hidden="1" outlineLevel="1" width="10.85546875" customWidth="1" min="42" max="42"/>
    <col hidden="1" outlineLevel="1" width="9.5703125" customWidth="1" min="43" max="44"/>
    <col collapsed="1" width="14.140625" customWidth="1" min="45" max="45"/>
    <col hidden="1" outlineLevel="1" width="9.5703125" customWidth="1" min="46" max="47"/>
    <col hidden="1" outlineLevel="1" width="10.85546875" customWidth="1" min="48" max="48"/>
    <col hidden="1" outlineLevel="1" width="9.5703125" customWidth="1" min="49" max="50"/>
    <col collapsed="1" width="14.140625" customWidth="1" min="51" max="51"/>
    <col hidden="1" outlineLevel="1" width="9.5703125" customWidth="1" min="52" max="53"/>
    <col hidden="1" outlineLevel="1" width="10.85546875" customWidth="1" min="54" max="54"/>
    <col hidden="1" outlineLevel="1" width="9.5703125" customWidth="1" min="55" max="56"/>
    <col collapsed="1" width="14.140625" customWidth="1" min="57" max="57"/>
    <col hidden="1" outlineLevel="1" width="9.5703125" customWidth="1" min="58" max="59"/>
    <col hidden="1" outlineLevel="1" width="10.85546875" customWidth="1" min="60" max="60"/>
    <col hidden="1" outlineLevel="1" width="9.5703125" customWidth="1" min="61" max="62"/>
    <col collapsed="1" width="14.140625" customWidth="1" min="63" max="63"/>
    <col hidden="1" outlineLevel="1" width="9.5703125" customWidth="1" min="64" max="65"/>
    <col hidden="1" outlineLevel="1" width="10.85546875" customWidth="1" min="66" max="66"/>
    <col hidden="1" outlineLevel="1" width="9.5703125" customWidth="1" min="67" max="68"/>
    <col collapsed="1" width="14.140625" customWidth="1" min="69" max="69"/>
    <col hidden="1" outlineLevel="1" width="9.5703125" customWidth="1" min="70" max="71"/>
    <col hidden="1" outlineLevel="1" width="10.85546875" customWidth="1" min="72" max="72"/>
    <col hidden="1" outlineLevel="1" width="9.5703125" customWidth="1" min="73" max="74"/>
    <col collapsed="1" width="14.140625" customWidth="1" min="75" max="75"/>
    <col hidden="1" outlineLevel="1" width="9.5703125" customWidth="1" min="76" max="77"/>
    <col hidden="1" outlineLevel="1" width="10.85546875" customWidth="1" min="78" max="78"/>
    <col hidden="1" outlineLevel="1" width="9.5703125" customWidth="1" min="79" max="80"/>
    <col collapsed="1" width="14.140625" customWidth="1" min="81" max="81"/>
    <col hidden="1" outlineLevel="1" width="9.5703125" customWidth="1" min="82" max="83"/>
    <col hidden="1" outlineLevel="1" width="10.85546875" customWidth="1" min="84" max="84"/>
    <col hidden="1" outlineLevel="1" width="9.5703125" customWidth="1" min="85" max="86"/>
    <col collapsed="1" width="14.140625" customWidth="1" min="87" max="87"/>
    <col hidden="1" outlineLevel="1" width="9.5703125" customWidth="1" min="88" max="89"/>
    <col hidden="1" outlineLevel="1" width="10.85546875" customWidth="1" min="90" max="90"/>
    <col hidden="1" outlineLevel="1" width="11.42578125" customWidth="1" min="91" max="92"/>
    <col collapsed="1" width="14.140625" customWidth="1" min="93" max="93"/>
    <col width="14.140625" customWidth="1" min="94" max="97"/>
    <col width="86.85546875" customWidth="1" min="98" max="98"/>
    <col width="2" customWidth="1" min="99" max="99"/>
    <col width="14.140625" customWidth="1" min="100" max="100"/>
    <col width="12.42578125" customWidth="1" min="101" max="101"/>
    <col width="13.42578125" customWidth="1" min="102" max="103"/>
    <col width="2" customWidth="1" min="104" max="104"/>
    <col width="6" customWidth="1" min="105" max="105"/>
    <col width="40" customWidth="1" min="106" max="106"/>
    <col width="11.5703125" customWidth="1" min="107" max="109"/>
    <col width="40" customWidth="1" min="110" max="110"/>
  </cols>
  <sheetData>
    <row r="1" ht="15" customHeight="1">
      <c r="CT1" s="1" t="inlineStr">
        <is>
          <t>SCENARIO SWITCH ▼ (Bull / Base / Bear) — drives all scenario-linked forecast drivers</t>
        </is>
      </c>
    </row>
    <row r="2" ht="21" customHeight="1">
      <c r="B2" s="2" t="inlineStr">
        <is>
          <t>Vulcan Materials Company (NYSE: VMC) — 3-Statement Financial Model</t>
        </is>
      </c>
      <c r="CT2" s="3" t="inlineStr">
        <is>
          <t>Base</t>
        </is>
      </c>
    </row>
    <row r="3" ht="15" customHeight="1">
      <c r="B3" s="4" t="inlineStr">
        <is>
          <t>US GAAP as reported · USD millions (per-share data in USD; volumes in millions of tons / cubic yards) · Source: Vulcan Forms 10-K / 10-Q and Form 8-K earnings releases (Ex. 99.1), SEC EDGAR CIK 0001396009 (legacy Vulcan CIK 0000103973 before Nov-2007; investor-relations releases are the same documents as filed on EDGAR)</t>
        </is>
      </c>
    </row>
    <row r="4" ht="15" customHeight="1">
      <c r="B4" s="5" t="inlineStr">
        <is>
          <t>Basis notes: calendar fiscal year. Florida Rock acquired Nov-2007 (Cement segment to Mar-2014, sold to Cementos Argos with Florida ready-mix). Pre-2018 total revenues = net sales + delivery revenues; ASC 606 (2018) moved freight into segment revenues. ASU 2017-07 (2018) non-service pension to nonoperating; ASU 2016-18 restricted cash in the cash-flow statement from FY2017. U.S. Concrete from Aug-2021; Wake Stone / Superior Ready Mix 2024; Houston asphalt sold Q4/25; California ready-mix sold Jun-26. All periods as originally reported. Q3/26E–Q4/26E = FY26 Adjusted EBITDA outlook less 1H/26 actuals.</t>
        </is>
      </c>
    </row>
    <row r="5" ht="15" customHeight="1">
      <c r="CM5" s="6" t="n"/>
      <c r="CN5" s="6" t="n"/>
      <c r="CO5" s="6" t="n"/>
      <c r="CP5" s="6" t="n"/>
      <c r="CQ5" s="6" t="n"/>
      <c r="CR5" s="6" t="n"/>
      <c r="CS5" s="6" t="n"/>
      <c r="CV5" s="7" t="inlineStr">
        <is>
          <t>Forecast</t>
        </is>
      </c>
      <c r="CW5" s="7" t="inlineStr">
        <is>
          <t>Historical</t>
        </is>
      </c>
      <c r="CX5" s="7" t="inlineStr">
        <is>
          <t>Historical</t>
        </is>
      </c>
      <c r="CY5" s="7" t="inlineStr">
        <is>
          <t>Historical</t>
        </is>
      </c>
    </row>
    <row r="6" ht="15" customHeight="1">
      <c r="B6" s="8" t="inlineStr">
        <is>
          <t>(USDm)</t>
        </is>
      </c>
      <c r="C6" s="9" t="n">
        <v>2006</v>
      </c>
      <c r="D6" s="9" t="n">
        <v>2007</v>
      </c>
      <c r="E6" s="9" t="n">
        <v>2008</v>
      </c>
      <c r="F6" s="9" t="n">
        <v>2009</v>
      </c>
      <c r="G6" s="9" t="n">
        <v>2010</v>
      </c>
      <c r="H6" s="9" t="n">
        <v>2011</v>
      </c>
      <c r="I6" s="9" t="n">
        <v>2012</v>
      </c>
      <c r="J6" s="9" t="inlineStr">
        <is>
          <t>Q1/13</t>
        </is>
      </c>
      <c r="K6" s="9" t="inlineStr">
        <is>
          <t>Q2/13</t>
        </is>
      </c>
      <c r="L6" s="9" t="inlineStr">
        <is>
          <t>1H/13</t>
        </is>
      </c>
      <c r="M6" s="9" t="inlineStr">
        <is>
          <t>Q3/13</t>
        </is>
      </c>
      <c r="N6" s="9" t="inlineStr">
        <is>
          <t>Q4/13</t>
        </is>
      </c>
      <c r="O6" s="9" t="n">
        <v>2013</v>
      </c>
      <c r="P6" s="9" t="inlineStr">
        <is>
          <t>Q1/14</t>
        </is>
      </c>
      <c r="Q6" s="9" t="inlineStr">
        <is>
          <t>Q2/14</t>
        </is>
      </c>
      <c r="R6" s="9" t="inlineStr">
        <is>
          <t>1H/14</t>
        </is>
      </c>
      <c r="S6" s="9" t="inlineStr">
        <is>
          <t>Q3/14</t>
        </is>
      </c>
      <c r="T6" s="9" t="inlineStr">
        <is>
          <t>Q4/14</t>
        </is>
      </c>
      <c r="U6" s="9" t="n">
        <v>2014</v>
      </c>
      <c r="V6" s="9" t="inlineStr">
        <is>
          <t>Q1/15</t>
        </is>
      </c>
      <c r="W6" s="9" t="inlineStr">
        <is>
          <t>Q2/15</t>
        </is>
      </c>
      <c r="X6" s="9" t="inlineStr">
        <is>
          <t>1H/15</t>
        </is>
      </c>
      <c r="Y6" s="9" t="inlineStr">
        <is>
          <t>Q3/15</t>
        </is>
      </c>
      <c r="Z6" s="9" t="inlineStr">
        <is>
          <t>Q4/15</t>
        </is>
      </c>
      <c r="AA6" s="9" t="n">
        <v>2015</v>
      </c>
      <c r="AB6" s="9" t="inlineStr">
        <is>
          <t>Q1/16</t>
        </is>
      </c>
      <c r="AC6" s="9" t="inlineStr">
        <is>
          <t>Q2/16</t>
        </is>
      </c>
      <c r="AD6" s="9" t="inlineStr">
        <is>
          <t>1H/16</t>
        </is>
      </c>
      <c r="AE6" s="9" t="inlineStr">
        <is>
          <t>Q3/16</t>
        </is>
      </c>
      <c r="AF6" s="9" t="inlineStr">
        <is>
          <t>Q4/16</t>
        </is>
      </c>
      <c r="AG6" s="9" t="n">
        <v>2016</v>
      </c>
      <c r="AH6" s="9" t="inlineStr">
        <is>
          <t>Q1/17</t>
        </is>
      </c>
      <c r="AI6" s="9" t="inlineStr">
        <is>
          <t>Q2/17</t>
        </is>
      </c>
      <c r="AJ6" s="9" t="inlineStr">
        <is>
          <t>1H/17</t>
        </is>
      </c>
      <c r="AK6" s="9" t="inlineStr">
        <is>
          <t>Q3/17</t>
        </is>
      </c>
      <c r="AL6" s="9" t="inlineStr">
        <is>
          <t>Q4/17</t>
        </is>
      </c>
      <c r="AM6" s="9" t="n">
        <v>2017</v>
      </c>
      <c r="AN6" s="9" t="inlineStr">
        <is>
          <t>Q1/18</t>
        </is>
      </c>
      <c r="AO6" s="9" t="inlineStr">
        <is>
          <t>Q2/18</t>
        </is>
      </c>
      <c r="AP6" s="9" t="inlineStr">
        <is>
          <t>1H/18</t>
        </is>
      </c>
      <c r="AQ6" s="9" t="inlineStr">
        <is>
          <t>Q3/18</t>
        </is>
      </c>
      <c r="AR6" s="9" t="inlineStr">
        <is>
          <t>Q4/18</t>
        </is>
      </c>
      <c r="AS6" s="9" t="n">
        <v>2018</v>
      </c>
      <c r="AT6" s="9" t="inlineStr">
        <is>
          <t>Q1/19</t>
        </is>
      </c>
      <c r="AU6" s="9" t="inlineStr">
        <is>
          <t>Q2/19</t>
        </is>
      </c>
      <c r="AV6" s="9" t="inlineStr">
        <is>
          <t>1H/19</t>
        </is>
      </c>
      <c r="AW6" s="9" t="inlineStr">
        <is>
          <t>Q3/19</t>
        </is>
      </c>
      <c r="AX6" s="9" t="inlineStr">
        <is>
          <t>Q4/19</t>
        </is>
      </c>
      <c r="AY6" s="9" t="n">
        <v>2019</v>
      </c>
      <c r="AZ6" s="9" t="inlineStr">
        <is>
          <t>Q1/20</t>
        </is>
      </c>
      <c r="BA6" s="9" t="inlineStr">
        <is>
          <t>Q2/20</t>
        </is>
      </c>
      <c r="BB6" s="9" t="inlineStr">
        <is>
          <t>1H/20</t>
        </is>
      </c>
      <c r="BC6" s="9" t="inlineStr">
        <is>
          <t>Q3/20</t>
        </is>
      </c>
      <c r="BD6" s="9" t="inlineStr">
        <is>
          <t>Q4/20</t>
        </is>
      </c>
      <c r="BE6" s="9" t="n">
        <v>2020</v>
      </c>
      <c r="BF6" s="9" t="inlineStr">
        <is>
          <t>Q1/21</t>
        </is>
      </c>
      <c r="BG6" s="9" t="inlineStr">
        <is>
          <t>Q2/21</t>
        </is>
      </c>
      <c r="BH6" s="9" t="inlineStr">
        <is>
          <t>1H/21</t>
        </is>
      </c>
      <c r="BI6" s="9" t="inlineStr">
        <is>
          <t>Q3/21</t>
        </is>
      </c>
      <c r="BJ6" s="9" t="inlineStr">
        <is>
          <t>Q4/21</t>
        </is>
      </c>
      <c r="BK6" s="9" t="n">
        <v>2021</v>
      </c>
      <c r="BL6" s="9" t="inlineStr">
        <is>
          <t>Q1/22</t>
        </is>
      </c>
      <c r="BM6" s="9" t="inlineStr">
        <is>
          <t>Q2/22</t>
        </is>
      </c>
      <c r="BN6" s="9" t="inlineStr">
        <is>
          <t>1H/22</t>
        </is>
      </c>
      <c r="BO6" s="9" t="inlineStr">
        <is>
          <t>Q3/22</t>
        </is>
      </c>
      <c r="BP6" s="9" t="inlineStr">
        <is>
          <t>Q4/22</t>
        </is>
      </c>
      <c r="BQ6" s="9" t="n">
        <v>2022</v>
      </c>
      <c r="BR6" s="9" t="inlineStr">
        <is>
          <t>Q1/23</t>
        </is>
      </c>
      <c r="BS6" s="9" t="inlineStr">
        <is>
          <t>Q2/23</t>
        </is>
      </c>
      <c r="BT6" s="9" t="inlineStr">
        <is>
          <t>1H/23</t>
        </is>
      </c>
      <c r="BU6" s="9" t="inlineStr">
        <is>
          <t>Q3/23</t>
        </is>
      </c>
      <c r="BV6" s="9" t="inlineStr">
        <is>
          <t>Q4/23</t>
        </is>
      </c>
      <c r="BW6" s="9" t="n">
        <v>2023</v>
      </c>
      <c r="BX6" s="9" t="inlineStr">
        <is>
          <t>Q1/24</t>
        </is>
      </c>
      <c r="BY6" s="9" t="inlineStr">
        <is>
          <t>Q2/24</t>
        </is>
      </c>
      <c r="BZ6" s="9" t="inlineStr">
        <is>
          <t>1H/24</t>
        </is>
      </c>
      <c r="CA6" s="9" t="inlineStr">
        <is>
          <t>Q3/24</t>
        </is>
      </c>
      <c r="CB6" s="9" t="inlineStr">
        <is>
          <t>Q4/24</t>
        </is>
      </c>
      <c r="CC6" s="9" t="n">
        <v>2024</v>
      </c>
      <c r="CD6" s="9" t="inlineStr">
        <is>
          <t>Q1/25</t>
        </is>
      </c>
      <c r="CE6" s="9" t="inlineStr">
        <is>
          <t>Q2/25</t>
        </is>
      </c>
      <c r="CF6" s="9" t="inlineStr">
        <is>
          <t>1H/25</t>
        </is>
      </c>
      <c r="CG6" s="9" t="inlineStr">
        <is>
          <t>Q3/25</t>
        </is>
      </c>
      <c r="CH6" s="9" t="inlineStr">
        <is>
          <t>Q4/25</t>
        </is>
      </c>
      <c r="CI6" s="9" t="n">
        <v>2025</v>
      </c>
      <c r="CJ6" s="9" t="inlineStr">
        <is>
          <t>Q1/26</t>
        </is>
      </c>
      <c r="CK6" s="9" t="inlineStr">
        <is>
          <t>Q2/26</t>
        </is>
      </c>
      <c r="CL6" s="9" t="inlineStr">
        <is>
          <t>1H/26</t>
        </is>
      </c>
      <c r="CM6" s="9" t="inlineStr">
        <is>
          <t>Q3/26E</t>
        </is>
      </c>
      <c r="CN6" s="9" t="inlineStr">
        <is>
          <t>Q4/26E</t>
        </is>
      </c>
      <c r="CO6" s="9" t="inlineStr">
        <is>
          <t>2026E</t>
        </is>
      </c>
      <c r="CP6" s="9" t="inlineStr">
        <is>
          <t>2027E</t>
        </is>
      </c>
      <c r="CQ6" s="9" t="inlineStr">
        <is>
          <t>2028E</t>
        </is>
      </c>
      <c r="CR6" s="9" t="inlineStr">
        <is>
          <t>2029E</t>
        </is>
      </c>
      <c r="CS6" s="9" t="inlineStr">
        <is>
          <t>2030E</t>
        </is>
      </c>
      <c r="CT6" s="9" t="inlineStr">
        <is>
          <t>Modelling Notes</t>
        </is>
      </c>
      <c r="CV6" s="7" t="inlineStr">
        <is>
          <t>5Y CAGR</t>
        </is>
      </c>
      <c r="CW6" s="7" t="inlineStr">
        <is>
          <t>5Y CAGR</t>
        </is>
      </c>
      <c r="CX6" s="7" t="inlineStr">
        <is>
          <t>10Y CAGR</t>
        </is>
      </c>
      <c r="CY6" s="7" t="inlineStr">
        <is>
          <t>19Y CAGR</t>
        </is>
      </c>
    </row>
    <row r="7" ht="15" customHeight="1">
      <c r="CV7" s="10" t="inlineStr">
        <is>
          <t>25-'30</t>
        </is>
      </c>
      <c r="CW7" s="10" t="inlineStr">
        <is>
          <t>20-'25</t>
        </is>
      </c>
      <c r="CX7" s="10" t="inlineStr">
        <is>
          <t>15-'25</t>
        </is>
      </c>
      <c r="CY7" s="10" t="inlineStr">
        <is>
          <t>06-'25</t>
        </is>
      </c>
    </row>
    <row r="8" ht="15" customHeight="1">
      <c r="B8" s="11" t="inlineStr">
        <is>
          <t>SEGMENT P&amp;L — BY SEGMENT (Aggregates, Asphalt, Concrete; legacy Cement / Calcium as memo) · tons in millions, prices in $</t>
        </is>
      </c>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1" t="n"/>
      <c r="BA8" s="11" t="n"/>
      <c r="BB8" s="11" t="n"/>
      <c r="BC8" s="11" t="n"/>
      <c r="BD8" s="11" t="n"/>
      <c r="BE8" s="11" t="n"/>
      <c r="BF8" s="11" t="n"/>
      <c r="BG8" s="11" t="n"/>
      <c r="BH8" s="11" t="n"/>
      <c r="BI8" s="11" t="n"/>
      <c r="BJ8" s="11" t="n"/>
      <c r="BK8" s="11" t="n"/>
      <c r="BL8" s="11" t="n"/>
      <c r="BM8" s="11" t="n"/>
      <c r="BN8" s="11" t="n"/>
      <c r="BO8" s="11" t="n"/>
      <c r="BP8" s="11" t="n"/>
      <c r="BQ8" s="11" t="n"/>
      <c r="BR8" s="11" t="n"/>
      <c r="BS8" s="11" t="n"/>
      <c r="BT8" s="11" t="n"/>
      <c r="BU8" s="11" t="n"/>
      <c r="BV8" s="11" t="n"/>
      <c r="BW8" s="11" t="n"/>
      <c r="BX8" s="11" t="n"/>
      <c r="BY8" s="11" t="n"/>
      <c r="BZ8" s="11" t="n"/>
      <c r="CA8" s="11" t="n"/>
      <c r="CB8" s="11" t="n"/>
      <c r="CC8" s="11" t="n"/>
      <c r="CD8" s="11" t="n"/>
      <c r="CE8" s="11" t="n"/>
      <c r="CF8" s="11" t="n"/>
      <c r="CG8" s="11" t="n"/>
      <c r="CH8" s="11" t="n"/>
      <c r="CI8" s="11" t="n"/>
      <c r="CJ8" s="11" t="n"/>
      <c r="CK8" s="11" t="n"/>
      <c r="CL8" s="11" t="n"/>
      <c r="CM8" s="11" t="n"/>
      <c r="CN8" s="11" t="n"/>
      <c r="CO8" s="11" t="n"/>
      <c r="CP8" s="11" t="n"/>
      <c r="CQ8" s="11" t="n"/>
      <c r="CR8" s="11" t="n"/>
      <c r="CS8" s="11" t="n"/>
      <c r="CT8" s="11" t="inlineStr">
        <is>
          <t>SEGMENT BUILD — modelling logic (volume × price → segment revenues → gross profit → cash gross profit → Adjusted EBITDA)</t>
        </is>
      </c>
    </row>
    <row r="9" ht="15" customHeight="1">
      <c r="B9" s="12" t="n"/>
      <c r="CM9" s="6" t="n"/>
      <c r="CN9" s="6" t="n"/>
      <c r="CO9" s="6" t="n"/>
      <c r="CP9" s="6" t="n"/>
      <c r="CQ9" s="6" t="n"/>
      <c r="CR9" s="6" t="n"/>
      <c r="CS9" s="6" t="n"/>
      <c r="CT9" s="6" t="n"/>
      <c r="DB9" s="13" t="inlineStr">
        <is>
          <t>SCENARIO INPUT TABLE — driver assumptions per Bull / Base / Bear</t>
        </is>
      </c>
      <c r="DC9" s="14" t="inlineStr">
        <is>
          <t>Bull</t>
        </is>
      </c>
      <c r="DD9" s="14" t="inlineStr">
        <is>
          <t>Base</t>
        </is>
      </c>
      <c r="DE9" s="14" t="inlineStr">
        <is>
          <t>Bear</t>
        </is>
      </c>
      <c r="DF9" s="15" t="inlineStr">
        <is>
          <t>Bull / Bear = Base + Δ (Δ inputs on each block header). Outlook block = high / mid / low end of FY26 ranges.</t>
        </is>
      </c>
    </row>
    <row r="10" ht="15" customHeight="1">
      <c r="B10" s="16" t="inlineStr">
        <is>
          <t>Aggregates (crushed stone, sand &amp; gravel; ~75% of total revenues, ~90% of segment gross profit)</t>
        </is>
      </c>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c r="CH10" s="16" t="n"/>
      <c r="CI10" s="16" t="n"/>
      <c r="CJ10" s="16" t="n"/>
      <c r="CK10" s="16" t="n"/>
      <c r="CL10" s="16" t="n"/>
      <c r="CM10" s="16" t="n"/>
      <c r="CN10" s="16" t="n"/>
      <c r="CO10" s="16" t="n"/>
      <c r="CP10" s="16" t="n"/>
      <c r="CQ10" s="16" t="n"/>
      <c r="CR10" s="16" t="n"/>
      <c r="CS10" s="16" t="n"/>
      <c r="CT10" s="17" t="inlineStr">
        <is>
          <t>AGGREGATES — modelling logic</t>
        </is>
      </c>
    </row>
    <row r="11" ht="15" customHeight="1">
      <c r="B11" s="18" t="inlineStr">
        <is>
          <t xml:space="preserve">  Shipments (million tons)</t>
        </is>
      </c>
      <c r="C11" s="161" t="n">
        <v>255.4</v>
      </c>
      <c r="D11" s="161" t="n">
        <v>231.2</v>
      </c>
      <c r="E11" s="161" t="n">
        <v>204.3</v>
      </c>
      <c r="F11" s="161" t="n">
        <v>150.9</v>
      </c>
      <c r="G11" s="161" t="n">
        <v>147.6</v>
      </c>
      <c r="H11" s="161" t="n">
        <v>143</v>
      </c>
      <c r="I11" s="161" t="n">
        <v>141</v>
      </c>
      <c r="J11" s="161" t="n">
        <v>27.9</v>
      </c>
      <c r="K11" s="161" t="n">
        <v>39.6</v>
      </c>
      <c r="L11" s="162">
        <f>J11+K11</f>
        <v/>
      </c>
      <c r="M11" s="161" t="n">
        <v>42.8</v>
      </c>
      <c r="N11" s="161" t="n">
        <v>35.7</v>
      </c>
      <c r="O11" s="161" t="n">
        <v>145.9</v>
      </c>
      <c r="P11" s="161" t="n">
        <v>29.628</v>
      </c>
      <c r="Q11" s="161" t="n">
        <v>43.648</v>
      </c>
      <c r="R11" s="162">
        <f>P11+Q11</f>
        <v/>
      </c>
      <c r="S11" s="161" t="n">
        <v>47.825</v>
      </c>
      <c r="T11" s="161" t="n">
        <v>41.274</v>
      </c>
      <c r="U11" s="161" t="n">
        <v>162.376</v>
      </c>
      <c r="V11" s="161" t="n">
        <v>33.5</v>
      </c>
      <c r="W11" s="161" t="n">
        <v>47.452</v>
      </c>
      <c r="X11" s="162">
        <f>V11+W11</f>
        <v/>
      </c>
      <c r="Y11" s="161" t="n">
        <v>52.609</v>
      </c>
      <c r="Z11" s="161" t="n">
        <v>44.708</v>
      </c>
      <c r="AA11" s="161" t="n">
        <v>178.272</v>
      </c>
      <c r="AB11" s="161" t="n">
        <v>39.206</v>
      </c>
      <c r="AC11" s="161" t="n">
        <v>48.766</v>
      </c>
      <c r="AD11" s="162">
        <f>AB11+AC11</f>
        <v/>
      </c>
      <c r="AE11" s="161" t="n">
        <v>50.277</v>
      </c>
      <c r="AF11" s="161" t="n">
        <v>43.124</v>
      </c>
      <c r="AG11" s="161" t="n">
        <v>181.374</v>
      </c>
      <c r="AH11" s="161" t="n">
        <v>38.2</v>
      </c>
      <c r="AI11" s="161" t="n">
        <v>47.967</v>
      </c>
      <c r="AJ11" s="162">
        <f>AH11+AI11</f>
        <v/>
      </c>
      <c r="AK11" s="161" t="n">
        <v>50.945</v>
      </c>
      <c r="AL11" s="161" t="n">
        <v>46.021</v>
      </c>
      <c r="AM11" s="161" t="n">
        <v>183.179</v>
      </c>
      <c r="AN11" s="161" t="n">
        <v>40.532</v>
      </c>
      <c r="AO11" s="161" t="n">
        <v>54.957</v>
      </c>
      <c r="AP11" s="162">
        <f>AN11+AO11</f>
        <v/>
      </c>
      <c r="AQ11" s="161" t="n">
        <v>56.17</v>
      </c>
      <c r="AR11" s="161" t="n">
        <v>49.716</v>
      </c>
      <c r="AS11" s="161" t="n">
        <v>201.375</v>
      </c>
      <c r="AT11" s="161" t="n">
        <v>45.637</v>
      </c>
      <c r="AU11" s="161" t="n">
        <v>57.31</v>
      </c>
      <c r="AV11" s="162">
        <f>AT11+AU11</f>
        <v/>
      </c>
      <c r="AW11" s="161" t="n">
        <v>60.898</v>
      </c>
      <c r="AX11" s="161" t="n">
        <v>51.62</v>
      </c>
      <c r="AY11" s="161" t="n">
        <v>215.465</v>
      </c>
      <c r="AZ11" s="161" t="n">
        <v>45.048</v>
      </c>
      <c r="BA11" s="161" t="n">
        <v>56.195</v>
      </c>
      <c r="BB11" s="162">
        <f>AZ11+BA11</f>
        <v/>
      </c>
      <c r="BC11" s="161" t="n">
        <v>55.92</v>
      </c>
      <c r="BD11" s="161" t="n">
        <v>51.132</v>
      </c>
      <c r="BE11" s="161" t="n">
        <v>208.295</v>
      </c>
      <c r="BF11" s="161" t="n">
        <v>46.437</v>
      </c>
      <c r="BG11" s="161" t="n">
        <v>58.528</v>
      </c>
      <c r="BH11" s="162">
        <f>BF11+BG11</f>
        <v/>
      </c>
      <c r="BI11" s="161" t="n">
        <v>60.163</v>
      </c>
      <c r="BJ11" s="161" t="n">
        <v>57.735</v>
      </c>
      <c r="BK11" s="161" t="n">
        <v>222.863</v>
      </c>
      <c r="BL11" s="161" t="n">
        <v>53.02</v>
      </c>
      <c r="BM11" s="161" t="n">
        <v>63.809</v>
      </c>
      <c r="BN11" s="162">
        <f>BL11+BM11</f>
        <v/>
      </c>
      <c r="BO11" s="161" t="n">
        <v>65.351</v>
      </c>
      <c r="BP11" s="161" t="n">
        <v>54.165</v>
      </c>
      <c r="BQ11" s="161" t="n">
        <v>236.345</v>
      </c>
      <c r="BR11" s="161" t="n">
        <v>51.738</v>
      </c>
      <c r="BS11" s="161" t="n">
        <v>63.4</v>
      </c>
      <c r="BT11" s="162">
        <f>BR11+BS11</f>
        <v/>
      </c>
      <c r="BU11" s="161" t="n">
        <v>63.9</v>
      </c>
      <c r="BV11" s="161" t="n">
        <v>55.3</v>
      </c>
      <c r="BW11" s="161" t="n">
        <v>234.3</v>
      </c>
      <c r="BX11" s="161" t="n">
        <v>48.1</v>
      </c>
      <c r="BY11" s="161" t="n">
        <v>60.1</v>
      </c>
      <c r="BZ11" s="162">
        <f>BX11+BY11</f>
        <v/>
      </c>
      <c r="CA11" s="161" t="n">
        <v>57.7</v>
      </c>
      <c r="CB11" s="161" t="n">
        <v>53.9</v>
      </c>
      <c r="CC11" s="161" t="n">
        <v>219.9</v>
      </c>
      <c r="CD11" s="161" t="n">
        <v>47.8</v>
      </c>
      <c r="CE11" s="161" t="n">
        <v>59.3</v>
      </c>
      <c r="CF11" s="162">
        <f>CD11+CE11</f>
        <v/>
      </c>
      <c r="CG11" s="161" t="n">
        <v>64.7</v>
      </c>
      <c r="CH11" s="161" t="n">
        <v>55.1</v>
      </c>
      <c r="CI11" s="161" t="n">
        <v>226.8</v>
      </c>
      <c r="CJ11" s="161" t="n">
        <v>50</v>
      </c>
      <c r="CK11" s="161" t="n">
        <v>59.9</v>
      </c>
      <c r="CL11" s="162">
        <f>CJ11+CK11</f>
        <v/>
      </c>
      <c r="CM11" s="163">
        <f>CG11*($CI$11*(1+CHOOSE(MATCH($CT$2,{"Bull","Base","Bear"},0),$DC$14,$DD$14,$DE$14))-$CL$11)/($CG$11+$CH$11)</f>
        <v/>
      </c>
      <c r="CN11" s="163">
        <f>CH11*($CI$11*(1+CHOOSE(MATCH($CT$2,{"Bull","Base","Bear"},0),$DC$14,$DD$14,$DE$14))-$CL$11)/($CG$11+$CH$11)</f>
        <v/>
      </c>
      <c r="CO11" s="163">
        <f>SUM(CJ11,CK11,CM11,CN11)</f>
        <v/>
      </c>
      <c r="CP11" s="163">
        <f>CO11*(1+CP12)</f>
        <v/>
      </c>
      <c r="CQ11" s="163">
        <f>CP11*(1+CQ12)</f>
        <v/>
      </c>
      <c r="CR11" s="163">
        <f>CQ11*(1+CR12)</f>
        <v/>
      </c>
      <c r="CS11" s="163">
        <f>CR11*(1+CS12)</f>
        <v/>
      </c>
      <c r="CT11" s="22" t="inlineStr">
        <is>
          <t>Q3/26E–Q4/26E: FY26 shipments guide (+1–3%; scenario high / mid / low) less 1H/26, split on prior-year quarter weights. 2027E+: prior year × (1 + scenario volume growth).</t>
        </is>
      </c>
      <c r="CV11" s="164">
        <f>IFERROR((CS11/CI11)^(1/5)-1,"n/m")</f>
        <v/>
      </c>
      <c r="CW11" s="164">
        <f>IFERROR((CI11/BE11)^(1/5)-1,"n/m")</f>
        <v/>
      </c>
      <c r="CX11" s="164">
        <f>IFERROR((CI11/AA11)^(1/10)-1,"n/m")</f>
        <v/>
      </c>
      <c r="CY11" s="164">
        <f>IFERROR((CI11/C11)^(1/19)-1,"n/m")</f>
        <v/>
      </c>
      <c r="DB11" s="17" t="inlineStr">
        <is>
          <t>FY26 outlook — Q2-26 release (29-Jul-26)</t>
        </is>
      </c>
      <c r="DC11" s="24" t="inlineStr">
        <is>
          <t>High</t>
        </is>
      </c>
      <c r="DD11" s="24" t="inlineStr">
        <is>
          <t>Mid</t>
        </is>
      </c>
      <c r="DE11" s="24" t="inlineStr">
        <is>
          <t>Low</t>
        </is>
      </c>
    </row>
    <row r="12" ht="15" customHeight="1">
      <c r="B12" s="25" t="inlineStr">
        <is>
          <t xml:space="preserve">  Shipments y/y %</t>
        </is>
      </c>
      <c r="C12" s="26" t="n"/>
      <c r="D12" s="26">
        <f>IF(AND(ISNUMBER(D11),ISNUMBER(C11)),IFERROR(D11/C11-1,""),"")</f>
        <v/>
      </c>
      <c r="E12" s="26">
        <f>IF(AND(ISNUMBER(E11),ISNUMBER(D11)),IFERROR(E11/D11-1,""),"")</f>
        <v/>
      </c>
      <c r="F12" s="26">
        <f>IF(AND(ISNUMBER(F11),ISNUMBER(E11)),IFERROR(F11/E11-1,""),"")</f>
        <v/>
      </c>
      <c r="G12" s="26">
        <f>IF(AND(ISNUMBER(G11),ISNUMBER(F11)),IFERROR(G11/F11-1,""),"")</f>
        <v/>
      </c>
      <c r="H12" s="26">
        <f>IF(AND(ISNUMBER(H11),ISNUMBER(G11)),IFERROR(H11/G11-1,""),"")</f>
        <v/>
      </c>
      <c r="I12" s="26">
        <f>IF(AND(ISNUMBER(I11),ISNUMBER(H11)),IFERROR(I11/H11-1,""),"")</f>
        <v/>
      </c>
      <c r="J12" s="26" t="n"/>
      <c r="K12" s="26" t="n"/>
      <c r="L12" s="26" t="n"/>
      <c r="M12" s="26" t="n"/>
      <c r="N12" s="26" t="n"/>
      <c r="O12" s="26">
        <f>IF(AND(ISNUMBER(O11),ISNUMBER(I11)),IFERROR(O11/I11-1,""),"")</f>
        <v/>
      </c>
      <c r="P12" s="26">
        <f>IF(AND(ISNUMBER(P11),ISNUMBER(J11)),IFERROR(P11/J11-1,""),"")</f>
        <v/>
      </c>
      <c r="Q12" s="26">
        <f>IF(AND(ISNUMBER(Q11),ISNUMBER(K11)),IFERROR(Q11/K11-1,""),"")</f>
        <v/>
      </c>
      <c r="R12" s="26">
        <f>IF(AND(ISNUMBER(R11),ISNUMBER(L11)),IFERROR(R11/L11-1,""),"")</f>
        <v/>
      </c>
      <c r="S12" s="26">
        <f>IF(AND(ISNUMBER(S11),ISNUMBER(M11)),IFERROR(S11/M11-1,""),"")</f>
        <v/>
      </c>
      <c r="T12" s="26">
        <f>IF(AND(ISNUMBER(T11),ISNUMBER(N11)),IFERROR(T11/N11-1,""),"")</f>
        <v/>
      </c>
      <c r="U12" s="26">
        <f>IF(AND(ISNUMBER(U11),ISNUMBER(O11)),IFERROR(U11/O11-1,""),"")</f>
        <v/>
      </c>
      <c r="V12" s="26">
        <f>IF(AND(ISNUMBER(V11),ISNUMBER(P11)),IFERROR(V11/P11-1,""),"")</f>
        <v/>
      </c>
      <c r="W12" s="26">
        <f>IF(AND(ISNUMBER(W11),ISNUMBER(Q11)),IFERROR(W11/Q11-1,""),"")</f>
        <v/>
      </c>
      <c r="X12" s="26">
        <f>IF(AND(ISNUMBER(X11),ISNUMBER(R11)),IFERROR(X11/R11-1,""),"")</f>
        <v/>
      </c>
      <c r="Y12" s="26">
        <f>IF(AND(ISNUMBER(Y11),ISNUMBER(S11)),IFERROR(Y11/S11-1,""),"")</f>
        <v/>
      </c>
      <c r="Z12" s="26">
        <f>IF(AND(ISNUMBER(Z11),ISNUMBER(T11)),IFERROR(Z11/T11-1,""),"")</f>
        <v/>
      </c>
      <c r="AA12" s="26">
        <f>IF(AND(ISNUMBER(AA11),ISNUMBER(U11)),IFERROR(AA11/U11-1,""),"")</f>
        <v/>
      </c>
      <c r="AB12" s="26">
        <f>IF(AND(ISNUMBER(AB11),ISNUMBER(V11)),IFERROR(AB11/V11-1,""),"")</f>
        <v/>
      </c>
      <c r="AC12" s="26">
        <f>IF(AND(ISNUMBER(AC11),ISNUMBER(W11)),IFERROR(AC11/W11-1,""),"")</f>
        <v/>
      </c>
      <c r="AD12" s="26">
        <f>IF(AND(ISNUMBER(AD11),ISNUMBER(X11)),IFERROR(AD11/X11-1,""),"")</f>
        <v/>
      </c>
      <c r="AE12" s="26">
        <f>IF(AND(ISNUMBER(AE11),ISNUMBER(Y11)),IFERROR(AE11/Y11-1,""),"")</f>
        <v/>
      </c>
      <c r="AF12" s="26">
        <f>IF(AND(ISNUMBER(AF11),ISNUMBER(Z11)),IFERROR(AF11/Z11-1,""),"")</f>
        <v/>
      </c>
      <c r="AG12" s="26">
        <f>IF(AND(ISNUMBER(AG11),ISNUMBER(AA11)),IFERROR(AG11/AA11-1,""),"")</f>
        <v/>
      </c>
      <c r="AH12" s="26">
        <f>IF(AND(ISNUMBER(AH11),ISNUMBER(AB11)),IFERROR(AH11/AB11-1,""),"")</f>
        <v/>
      </c>
      <c r="AI12" s="26">
        <f>IF(AND(ISNUMBER(AI11),ISNUMBER(AC11)),IFERROR(AI11/AC11-1,""),"")</f>
        <v/>
      </c>
      <c r="AJ12" s="26">
        <f>IF(AND(ISNUMBER(AJ11),ISNUMBER(AD11)),IFERROR(AJ11/AD11-1,""),"")</f>
        <v/>
      </c>
      <c r="AK12" s="26">
        <f>IF(AND(ISNUMBER(AK11),ISNUMBER(AE11)),IFERROR(AK11/AE11-1,""),"")</f>
        <v/>
      </c>
      <c r="AL12" s="26">
        <f>IF(AND(ISNUMBER(AL11),ISNUMBER(AF11)),IFERROR(AL11/AF11-1,""),"")</f>
        <v/>
      </c>
      <c r="AM12" s="26">
        <f>IF(AND(ISNUMBER(AM11),ISNUMBER(AG11)),IFERROR(AM11/AG11-1,""),"")</f>
        <v/>
      </c>
      <c r="AN12" s="26">
        <f>IF(AND(ISNUMBER(AN11),ISNUMBER(AH11)),IFERROR(AN11/AH11-1,""),"")</f>
        <v/>
      </c>
      <c r="AO12" s="26">
        <f>IF(AND(ISNUMBER(AO11),ISNUMBER(AI11)),IFERROR(AO11/AI11-1,""),"")</f>
        <v/>
      </c>
      <c r="AP12" s="26">
        <f>IF(AND(ISNUMBER(AP11),ISNUMBER(AJ11)),IFERROR(AP11/AJ11-1,""),"")</f>
        <v/>
      </c>
      <c r="AQ12" s="26">
        <f>IF(AND(ISNUMBER(AQ11),ISNUMBER(AK11)),IFERROR(AQ11/AK11-1,""),"")</f>
        <v/>
      </c>
      <c r="AR12" s="26">
        <f>IF(AND(ISNUMBER(AR11),ISNUMBER(AL11)),IFERROR(AR11/AL11-1,""),"")</f>
        <v/>
      </c>
      <c r="AS12" s="26">
        <f>IF(AND(ISNUMBER(AS11),ISNUMBER(AM11)),IFERROR(AS11/AM11-1,""),"")</f>
        <v/>
      </c>
      <c r="AT12" s="26">
        <f>IF(AND(ISNUMBER(AT11),ISNUMBER(AN11)),IFERROR(AT11/AN11-1,""),"")</f>
        <v/>
      </c>
      <c r="AU12" s="26">
        <f>IF(AND(ISNUMBER(AU11),ISNUMBER(AO11)),IFERROR(AU11/AO11-1,""),"")</f>
        <v/>
      </c>
      <c r="AV12" s="26">
        <f>IF(AND(ISNUMBER(AV11),ISNUMBER(AP11)),IFERROR(AV11/AP11-1,""),"")</f>
        <v/>
      </c>
      <c r="AW12" s="26">
        <f>IF(AND(ISNUMBER(AW11),ISNUMBER(AQ11)),IFERROR(AW11/AQ11-1,""),"")</f>
        <v/>
      </c>
      <c r="AX12" s="26">
        <f>IF(AND(ISNUMBER(AX11),ISNUMBER(AR11)),IFERROR(AX11/AR11-1,""),"")</f>
        <v/>
      </c>
      <c r="AY12" s="26">
        <f>IF(AND(ISNUMBER(AY11),ISNUMBER(AS11)),IFERROR(AY11/AS11-1,""),"")</f>
        <v/>
      </c>
      <c r="AZ12" s="26">
        <f>IF(AND(ISNUMBER(AZ11),ISNUMBER(AT11)),IFERROR(AZ11/AT11-1,""),"")</f>
        <v/>
      </c>
      <c r="BA12" s="26">
        <f>IF(AND(ISNUMBER(BA11),ISNUMBER(AU11)),IFERROR(BA11/AU11-1,""),"")</f>
        <v/>
      </c>
      <c r="BB12" s="26">
        <f>IF(AND(ISNUMBER(BB11),ISNUMBER(AV11)),IFERROR(BB11/AV11-1,""),"")</f>
        <v/>
      </c>
      <c r="BC12" s="26">
        <f>IF(AND(ISNUMBER(BC11),ISNUMBER(AW11)),IFERROR(BC11/AW11-1,""),"")</f>
        <v/>
      </c>
      <c r="BD12" s="26">
        <f>IF(AND(ISNUMBER(BD11),ISNUMBER(AX11)),IFERROR(BD11/AX11-1,""),"")</f>
        <v/>
      </c>
      <c r="BE12" s="26">
        <f>IF(AND(ISNUMBER(BE11),ISNUMBER(AY11)),IFERROR(BE11/AY11-1,""),"")</f>
        <v/>
      </c>
      <c r="BF12" s="26">
        <f>IF(AND(ISNUMBER(BF11),ISNUMBER(AZ11)),IFERROR(BF11/AZ11-1,""),"")</f>
        <v/>
      </c>
      <c r="BG12" s="26">
        <f>IF(AND(ISNUMBER(BG11),ISNUMBER(BA11)),IFERROR(BG11/BA11-1,""),"")</f>
        <v/>
      </c>
      <c r="BH12" s="26">
        <f>IF(AND(ISNUMBER(BH11),ISNUMBER(BB11)),IFERROR(BH11/BB11-1,""),"")</f>
        <v/>
      </c>
      <c r="BI12" s="26">
        <f>IF(AND(ISNUMBER(BI11),ISNUMBER(BC11)),IFERROR(BI11/BC11-1,""),"")</f>
        <v/>
      </c>
      <c r="BJ12" s="26">
        <f>IF(AND(ISNUMBER(BJ11),ISNUMBER(BD11)),IFERROR(BJ11/BD11-1,""),"")</f>
        <v/>
      </c>
      <c r="BK12" s="26">
        <f>IF(AND(ISNUMBER(BK11),ISNUMBER(BE11)),IFERROR(BK11/BE11-1,""),"")</f>
        <v/>
      </c>
      <c r="BL12" s="26">
        <f>IF(AND(ISNUMBER(BL11),ISNUMBER(BF11)),IFERROR(BL11/BF11-1,""),"")</f>
        <v/>
      </c>
      <c r="BM12" s="26">
        <f>IF(AND(ISNUMBER(BM11),ISNUMBER(BG11)),IFERROR(BM11/BG11-1,""),"")</f>
        <v/>
      </c>
      <c r="BN12" s="26">
        <f>IF(AND(ISNUMBER(BN11),ISNUMBER(BH11)),IFERROR(BN11/BH11-1,""),"")</f>
        <v/>
      </c>
      <c r="BO12" s="26">
        <f>IF(AND(ISNUMBER(BO11),ISNUMBER(BI11)),IFERROR(BO11/BI11-1,""),"")</f>
        <v/>
      </c>
      <c r="BP12" s="26">
        <f>IF(AND(ISNUMBER(BP11),ISNUMBER(BJ11)),IFERROR(BP11/BJ11-1,""),"")</f>
        <v/>
      </c>
      <c r="BQ12" s="26">
        <f>IF(AND(ISNUMBER(BQ11),ISNUMBER(BK11)),IFERROR(BQ11/BK11-1,""),"")</f>
        <v/>
      </c>
      <c r="BR12" s="26">
        <f>IF(AND(ISNUMBER(BR11),ISNUMBER(BL11)),IFERROR(BR11/BL11-1,""),"")</f>
        <v/>
      </c>
      <c r="BS12" s="26">
        <f>IF(AND(ISNUMBER(BS11),ISNUMBER(BM11)),IFERROR(BS11/BM11-1,""),"")</f>
        <v/>
      </c>
      <c r="BT12" s="26">
        <f>IF(AND(ISNUMBER(BT11),ISNUMBER(BN11)),IFERROR(BT11/BN11-1,""),"")</f>
        <v/>
      </c>
      <c r="BU12" s="26">
        <f>IF(AND(ISNUMBER(BU11),ISNUMBER(BO11)),IFERROR(BU11/BO11-1,""),"")</f>
        <v/>
      </c>
      <c r="BV12" s="26">
        <f>IF(AND(ISNUMBER(BV11),ISNUMBER(BP11)),IFERROR(BV11/BP11-1,""),"")</f>
        <v/>
      </c>
      <c r="BW12" s="26">
        <f>IF(AND(ISNUMBER(BW11),ISNUMBER(BQ11)),IFERROR(BW11/BQ11-1,""),"")</f>
        <v/>
      </c>
      <c r="BX12" s="26">
        <f>IF(AND(ISNUMBER(BX11),ISNUMBER(BR11)),IFERROR(BX11/BR11-1,""),"")</f>
        <v/>
      </c>
      <c r="BY12" s="26">
        <f>IF(AND(ISNUMBER(BY11),ISNUMBER(BS11)),IFERROR(BY11/BS11-1,""),"")</f>
        <v/>
      </c>
      <c r="BZ12" s="26">
        <f>IF(AND(ISNUMBER(BZ11),ISNUMBER(BT11)),IFERROR(BZ11/BT11-1,""),"")</f>
        <v/>
      </c>
      <c r="CA12" s="26">
        <f>IF(AND(ISNUMBER(CA11),ISNUMBER(BU11)),IFERROR(CA11/BU11-1,""),"")</f>
        <v/>
      </c>
      <c r="CB12" s="26">
        <f>IF(AND(ISNUMBER(CB11),ISNUMBER(BV11)),IFERROR(CB11/BV11-1,""),"")</f>
        <v/>
      </c>
      <c r="CC12" s="26">
        <f>IF(AND(ISNUMBER(CC11),ISNUMBER(BW11)),IFERROR(CC11/BW11-1,""),"")</f>
        <v/>
      </c>
      <c r="CD12" s="26">
        <f>IF(AND(ISNUMBER(CD11),ISNUMBER(BX11)),IFERROR(CD11/BX11-1,""),"")</f>
        <v/>
      </c>
      <c r="CE12" s="26">
        <f>IF(AND(ISNUMBER(CE11),ISNUMBER(BY11)),IFERROR(CE11/BY11-1,""),"")</f>
        <v/>
      </c>
      <c r="CF12" s="26">
        <f>IF(AND(ISNUMBER(CF11),ISNUMBER(BZ11)),IFERROR(CF11/BZ11-1,""),"")</f>
        <v/>
      </c>
      <c r="CG12" s="26">
        <f>IF(AND(ISNUMBER(CG11),ISNUMBER(CA11)),IFERROR(CG11/CA11-1,""),"")</f>
        <v/>
      </c>
      <c r="CH12" s="26">
        <f>IF(AND(ISNUMBER(CH11),ISNUMBER(CB11)),IFERROR(CH11/CB11-1,""),"")</f>
        <v/>
      </c>
      <c r="CI12" s="26">
        <f>IF(AND(ISNUMBER(CI11),ISNUMBER(CC11)),IFERROR(CI11/CC11-1,""),"")</f>
        <v/>
      </c>
      <c r="CJ12" s="26">
        <f>IF(AND(ISNUMBER(CJ11),ISNUMBER(CD11)),IFERROR(CJ11/CD11-1,""),"")</f>
        <v/>
      </c>
      <c r="CK12" s="26">
        <f>IF(AND(ISNUMBER(CK11),ISNUMBER(CE11)),IFERROR(CK11/CE11-1,""),"")</f>
        <v/>
      </c>
      <c r="CL12" s="26">
        <f>IF(AND(ISNUMBER(CL11),ISNUMBER(CF11)),IFERROR(CL11/CF11-1,""),"")</f>
        <v/>
      </c>
      <c r="CM12" s="165">
        <f>IF(AND(ISNUMBER(CM11),ISNUMBER(CG11)),IFERROR(CM11/CG11-1,""),"")</f>
        <v/>
      </c>
      <c r="CN12" s="165">
        <f>IF(AND(ISNUMBER(CN11),ISNUMBER(CH11)),IFERROR(CN11/CH11-1,""),"")</f>
        <v/>
      </c>
      <c r="CO12" s="165">
        <f>IF(AND(ISNUMBER(CO11),ISNUMBER(CI11)),IFERROR(CO11/CI11-1,""),"")</f>
        <v/>
      </c>
      <c r="CP12" s="165">
        <f>CHOOSE(MATCH($CT$2,{"Bull","Base","Bear"},0),$DC$29,$DD$29,$DE$29)</f>
        <v/>
      </c>
      <c r="CQ12" s="165">
        <f>CHOOSE(MATCH($CT$2,{"Bull","Base","Bear"},0),$DC$30,$DD$30,$DE$30)</f>
        <v/>
      </c>
      <c r="CR12" s="165">
        <f>CHOOSE(MATCH($CT$2,{"Bull","Base","Bear"},0),$DC$31,$DD$31,$DE$31)</f>
        <v/>
      </c>
      <c r="CS12" s="165">
        <f>CHOOSE(MATCH($CT$2,{"Bull","Base","Bear"},0),$DC$32,$DD$32,$DE$32)</f>
        <v/>
      </c>
      <c r="CT12" s="22" t="inlineStr">
        <is>
          <t>2027E–2030E: scenario lever (AGG_volumeGrowth, Bull/Base/Bear table →).</t>
        </is>
      </c>
      <c r="CV12" s="6" t="n"/>
      <c r="CW12" s="6" t="n"/>
      <c r="CX12" s="6" t="n"/>
      <c r="CY12" s="6" t="n"/>
      <c r="DB12" s="12" t="inlineStr">
        <is>
          <t xml:space="preserve">  FY26 Adjusted EBITDA ($m)</t>
        </is>
      </c>
      <c r="DC12" s="37" t="n">
        <v>2600</v>
      </c>
      <c r="DD12" s="37" t="n">
        <v>2500</v>
      </c>
      <c r="DE12" s="37" t="n">
        <v>2400</v>
      </c>
      <c r="DF12" t="inlineStr">
        <is>
          <t>Guided $2.4–2.6bn (Q4-25 release, reaffirmed Q1-26 and Q2-26).</t>
        </is>
      </c>
    </row>
    <row r="13" ht="15" customHeight="1">
      <c r="B13" s="12" t="inlineStr">
        <is>
          <t xml:space="preserve">  Freight-adjusted average sales price ($/ton)</t>
        </is>
      </c>
      <c r="C13" s="166" t="n">
        <v>8.300000000000001</v>
      </c>
      <c r="D13" s="166" t="n">
        <v>9.35</v>
      </c>
      <c r="E13" s="166" t="n">
        <v>9.98</v>
      </c>
      <c r="F13" s="166" t="n">
        <v>10.3</v>
      </c>
      <c r="G13" s="166" t="n">
        <v>10.13</v>
      </c>
      <c r="H13" s="166" t="n">
        <v>10.25</v>
      </c>
      <c r="I13" s="166" t="n">
        <v>10.44</v>
      </c>
      <c r="J13" s="166" t="n">
        <v>10.72</v>
      </c>
      <c r="K13" s="166" t="n">
        <v>10.75</v>
      </c>
      <c r="L13" s="167">
        <f>IFERROR(L15/L11,"")</f>
        <v/>
      </c>
      <c r="M13" s="166" t="n">
        <v>10.89</v>
      </c>
      <c r="N13" s="166" t="n">
        <v>10.82</v>
      </c>
      <c r="O13" s="166" t="n">
        <v>10.8</v>
      </c>
      <c r="P13" s="166" t="n">
        <v>10.94</v>
      </c>
      <c r="Q13" s="166" t="n">
        <v>11.08</v>
      </c>
      <c r="R13" s="167">
        <f>IFERROR(R15/R11,"")</f>
        <v/>
      </c>
      <c r="S13" s="166" t="n">
        <v>11.12</v>
      </c>
      <c r="T13" s="166" t="n">
        <v>11.03</v>
      </c>
      <c r="U13" s="166" t="n">
        <v>11.05</v>
      </c>
      <c r="V13" s="30" t="n"/>
      <c r="W13" s="166" t="n">
        <v>11.77</v>
      </c>
      <c r="X13" s="29" t="n"/>
      <c r="Y13" s="166" t="n">
        <v>11.96</v>
      </c>
      <c r="Z13" s="166" t="n">
        <v>12.19</v>
      </c>
      <c r="AA13" s="166" t="n">
        <v>11.85</v>
      </c>
      <c r="AB13" s="166" t="n">
        <v>12.42</v>
      </c>
      <c r="AC13" s="166" t="n">
        <v>12.61</v>
      </c>
      <c r="AD13" s="167">
        <f>IFERROR(AD15/AD11,"")</f>
        <v/>
      </c>
      <c r="AE13" s="166" t="n">
        <v>12.75</v>
      </c>
      <c r="AF13" s="166" t="n">
        <v>12.79</v>
      </c>
      <c r="AG13" s="166" t="n">
        <v>12.65</v>
      </c>
      <c r="AH13" s="166" t="n">
        <v>12.99</v>
      </c>
      <c r="AI13" s="166" t="n">
        <v>13.16</v>
      </c>
      <c r="AJ13" s="167">
        <f>IFERROR(AJ15/AJ11,"")</f>
        <v/>
      </c>
      <c r="AK13" s="166" t="n">
        <v>13.12</v>
      </c>
      <c r="AL13" s="166" t="n">
        <v>12.95</v>
      </c>
      <c r="AM13" s="166" t="n">
        <v>13.06</v>
      </c>
      <c r="AN13" s="166" t="n">
        <v>13.06</v>
      </c>
      <c r="AO13" s="166" t="n">
        <v>13.29</v>
      </c>
      <c r="AP13" s="167">
        <f>IFERROR(AP15/AP11,"")</f>
        <v/>
      </c>
      <c r="AQ13" s="166" t="n">
        <v>13.35</v>
      </c>
      <c r="AR13" s="166" t="n">
        <v>13.23</v>
      </c>
      <c r="AS13" s="166" t="n">
        <v>13.25</v>
      </c>
      <c r="AT13" s="166" t="n">
        <v>13.77</v>
      </c>
      <c r="AU13" s="166" t="n">
        <v>14.07</v>
      </c>
      <c r="AV13" s="167">
        <f>IFERROR(AV15/AV11,"")</f>
        <v/>
      </c>
      <c r="AW13" s="166" t="n">
        <v>14.1</v>
      </c>
      <c r="AX13" s="166" t="n">
        <v>13.96</v>
      </c>
      <c r="AY13" s="166" t="n">
        <v>13.99</v>
      </c>
      <c r="AZ13" s="166" t="n">
        <v>14.39</v>
      </c>
      <c r="BA13" s="166" t="n">
        <v>14.5</v>
      </c>
      <c r="BB13" s="167">
        <f>IFERROR(BB15/BB11,"")</f>
        <v/>
      </c>
      <c r="BC13" s="166" t="n">
        <v>14.44</v>
      </c>
      <c r="BD13" s="166" t="n">
        <v>14.42</v>
      </c>
      <c r="BE13" s="166" t="n">
        <v>14.44</v>
      </c>
      <c r="BF13" s="166" t="n">
        <v>14.67</v>
      </c>
      <c r="BG13" s="166" t="n">
        <v>14.93</v>
      </c>
      <c r="BH13" s="167">
        <f>IFERROR(BH15/BH11,"")</f>
        <v/>
      </c>
      <c r="BI13" s="166" t="n">
        <v>14.93</v>
      </c>
      <c r="BJ13" s="166" t="n">
        <v>14.91</v>
      </c>
      <c r="BK13" s="166" t="n">
        <v>14.87</v>
      </c>
      <c r="BL13" s="166" t="n">
        <v>15.52</v>
      </c>
      <c r="BM13" s="166" t="n">
        <v>16.25</v>
      </c>
      <c r="BN13" s="167">
        <f>IFERROR(BN15/BN11,"")</f>
        <v/>
      </c>
      <c r="BO13" s="166" t="n">
        <v>16.79</v>
      </c>
      <c r="BP13" s="166" t="n">
        <v>16.96</v>
      </c>
      <c r="BQ13" s="166" t="n">
        <v>16.4</v>
      </c>
      <c r="BR13" s="166" t="n">
        <v>18.67</v>
      </c>
      <c r="BS13" s="166" t="n">
        <v>18.69</v>
      </c>
      <c r="BT13" s="167">
        <f>IFERROR(BT15/BT11,"")</f>
        <v/>
      </c>
      <c r="BU13" s="166" t="n">
        <v>19.29</v>
      </c>
      <c r="BV13" s="166" t="n">
        <v>19.32</v>
      </c>
      <c r="BW13" s="166" t="n">
        <v>19</v>
      </c>
      <c r="BX13" s="166" t="n">
        <v>20.59</v>
      </c>
      <c r="BY13" s="166" t="n">
        <v>21</v>
      </c>
      <c r="BZ13" s="167">
        <f>IFERROR(BZ15/BZ11,"")</f>
        <v/>
      </c>
      <c r="CA13" s="166" t="n">
        <v>21.27</v>
      </c>
      <c r="CB13" s="166" t="n">
        <v>21.41</v>
      </c>
      <c r="CC13" s="166" t="n">
        <v>21.08</v>
      </c>
      <c r="CD13" s="166" t="n">
        <v>22.03</v>
      </c>
      <c r="CE13" s="166" t="n">
        <v>22.11</v>
      </c>
      <c r="CF13" s="167">
        <f>IFERROR(CF15/CF11,"")</f>
        <v/>
      </c>
      <c r="CG13" s="166" t="n">
        <v>22.01</v>
      </c>
      <c r="CH13" s="166" t="n">
        <v>21.78</v>
      </c>
      <c r="CI13" s="166" t="n">
        <v>21.98</v>
      </c>
      <c r="CJ13" s="166" t="n">
        <v>22.8</v>
      </c>
      <c r="CK13" s="166" t="n">
        <v>22.97</v>
      </c>
      <c r="CL13" s="167">
        <f>IFERROR(CL15/CL11,"")</f>
        <v/>
      </c>
      <c r="CM13" s="168">
        <f>CG13*(($CI$11*(1+CHOOSE(MATCH($CT$2,{"Bull","Base","Bear"},0),$DC$14,$DD$14,$DE$14))*$CI$13*(1+CHOOSE(MATCH($CT$2,{"Bull","Base","Bear"},0),$DC$15,$DD$15,$DE$15))-$CL$15)/($CM$11+$CN$11))/(($CG$15+$CH$15)/($CG$11+$CH$11))</f>
        <v/>
      </c>
      <c r="CN13" s="168">
        <f>CH13*(($CI$11*(1+CHOOSE(MATCH($CT$2,{"Bull","Base","Bear"},0),$DC$14,$DD$14,$DE$14))*$CI$13*(1+CHOOSE(MATCH($CT$2,{"Bull","Base","Bear"},0),$DC$15,$DD$15,$DE$15))-$CL$15)/($CM$11+$CN$11))/(($CG$15+$CH$15)/($CG$11+$CH$11))</f>
        <v/>
      </c>
      <c r="CO13" s="168">
        <f>IFERROR(CO15/CO11,"")</f>
        <v/>
      </c>
      <c r="CP13" s="168">
        <f>CO13*(1+CP14)</f>
        <v/>
      </c>
      <c r="CQ13" s="168">
        <f>CP13*(1+CQ14)</f>
        <v/>
      </c>
      <c r="CR13" s="168">
        <f>CQ13*(1+CR14)</f>
        <v/>
      </c>
      <c r="CS13" s="168">
        <f>CR13*(1+CS14)</f>
        <v/>
      </c>
      <c r="CT13" s="22" t="inlineStr">
        <is>
          <t>Q3/26E–Q4/26E: 2H/26 price implied by the FY26 freight-adjusted price guide (+4–6%; scenario) on the guided volumes, applied to prior-year quarters. 2027E+: scenario price growth.</t>
        </is>
      </c>
      <c r="CV13" s="23">
        <f>IFERROR((CS13/CI13)^(1/5)-1,"n/m")</f>
        <v/>
      </c>
      <c r="CW13" s="23">
        <f>IFERROR((CI13/BE13)^(1/5)-1,"n/m")</f>
        <v/>
      </c>
      <c r="CX13" s="23">
        <f>IFERROR((CI13/AA13)^(1/10)-1,"n/m")</f>
        <v/>
      </c>
      <c r="CY13" s="23">
        <f>IFERROR((CI13/C13)^(1/19)-1,"n/m")</f>
        <v/>
      </c>
      <c r="DB13" s="12" t="inlineStr">
        <is>
          <t xml:space="preserve">  FY26 net earnings attributable to Vulcan ($m, memo)</t>
        </is>
      </c>
      <c r="DC13" s="37" t="n">
        <v>1300</v>
      </c>
      <c r="DD13" s="37" t="n">
        <v>1215</v>
      </c>
      <c r="DE13" s="37" t="n">
        <v>1100</v>
      </c>
      <c r="DF13" t="inlineStr">
        <is>
          <t>Guided $1.1–1.3bn (Q4-25); mid = Q2-26 projected Adjusted EBITDA bridge ($1,215m).</t>
        </is>
      </c>
    </row>
    <row r="14" ht="15" customHeight="1">
      <c r="B14" s="25" t="inlineStr">
        <is>
          <t xml:space="preserve">  Freight-adjusted price y/y %</t>
        </is>
      </c>
      <c r="C14" s="26" t="n"/>
      <c r="D14" s="26">
        <f>IF(AND(ISNUMBER(D13),ISNUMBER(C13)),IFERROR(D13/C13-1,""),"")</f>
        <v/>
      </c>
      <c r="E14" s="26">
        <f>IF(AND(ISNUMBER(E13),ISNUMBER(D13)),IFERROR(E13/D13-1,""),"")</f>
        <v/>
      </c>
      <c r="F14" s="26">
        <f>IF(AND(ISNUMBER(F13),ISNUMBER(E13)),IFERROR(F13/E13-1,""),"")</f>
        <v/>
      </c>
      <c r="G14" s="26">
        <f>IF(AND(ISNUMBER(G13),ISNUMBER(F13)),IFERROR(G13/F13-1,""),"")</f>
        <v/>
      </c>
      <c r="H14" s="26">
        <f>IF(AND(ISNUMBER(H13),ISNUMBER(G13)),IFERROR(H13/G13-1,""),"")</f>
        <v/>
      </c>
      <c r="I14" s="26">
        <f>IF(AND(ISNUMBER(I13),ISNUMBER(H13)),IFERROR(I13/H13-1,""),"")</f>
        <v/>
      </c>
      <c r="J14" s="26" t="n"/>
      <c r="K14" s="26" t="n"/>
      <c r="L14" s="26" t="n"/>
      <c r="M14" s="26" t="n"/>
      <c r="N14" s="26" t="n"/>
      <c r="O14" s="26">
        <f>IF(AND(ISNUMBER(O13),ISNUMBER(I13)),IFERROR(O13/I13-1,""),"")</f>
        <v/>
      </c>
      <c r="P14" s="26">
        <f>IF(AND(ISNUMBER(P13),ISNUMBER(J13)),IFERROR(P13/J13-1,""),"")</f>
        <v/>
      </c>
      <c r="Q14" s="26">
        <f>IF(AND(ISNUMBER(Q13),ISNUMBER(K13)),IFERROR(Q13/K13-1,""),"")</f>
        <v/>
      </c>
      <c r="R14" s="26">
        <f>IF(AND(ISNUMBER(R13),ISNUMBER(L13)),IFERROR(R13/L13-1,""),"")</f>
        <v/>
      </c>
      <c r="S14" s="26">
        <f>IF(AND(ISNUMBER(S13),ISNUMBER(M13)),IFERROR(S13/M13-1,""),"")</f>
        <v/>
      </c>
      <c r="T14" s="26">
        <f>IF(AND(ISNUMBER(T13),ISNUMBER(N13)),IFERROR(T13/N13-1,""),"")</f>
        <v/>
      </c>
      <c r="U14" s="26">
        <f>IF(AND(ISNUMBER(U13),ISNUMBER(O13)),IFERROR(U13/O13-1,""),"")</f>
        <v/>
      </c>
      <c r="V14" s="26">
        <f>IF(AND(ISNUMBER(V13),ISNUMBER(P13)),IFERROR(V13/P13-1,""),"")</f>
        <v/>
      </c>
      <c r="W14" s="26">
        <f>IF(AND(ISNUMBER(W13),ISNUMBER(Q13)),IFERROR(W13/Q13-1,""),"")</f>
        <v/>
      </c>
      <c r="X14" s="26">
        <f>IF(AND(ISNUMBER(X13),ISNUMBER(R13)),IFERROR(X13/R13-1,""),"")</f>
        <v/>
      </c>
      <c r="Y14" s="26">
        <f>IF(AND(ISNUMBER(Y13),ISNUMBER(S13)),IFERROR(Y13/S13-1,""),"")</f>
        <v/>
      </c>
      <c r="Z14" s="26">
        <f>IF(AND(ISNUMBER(Z13),ISNUMBER(T13)),IFERROR(Z13/T13-1,""),"")</f>
        <v/>
      </c>
      <c r="AA14" s="26">
        <f>IF(AND(ISNUMBER(AA13),ISNUMBER(U13)),IFERROR(AA13/U13-1,""),"")</f>
        <v/>
      </c>
      <c r="AB14" s="26">
        <f>IF(AND(ISNUMBER(AB13),ISNUMBER(V13)),IFERROR(AB13/V13-1,""),"")</f>
        <v/>
      </c>
      <c r="AC14" s="26">
        <f>IF(AND(ISNUMBER(AC13),ISNUMBER(W13)),IFERROR(AC13/W13-1,""),"")</f>
        <v/>
      </c>
      <c r="AD14" s="26">
        <f>IF(AND(ISNUMBER(AD13),ISNUMBER(X13)),IFERROR(AD13/X13-1,""),"")</f>
        <v/>
      </c>
      <c r="AE14" s="26">
        <f>IF(AND(ISNUMBER(AE13),ISNUMBER(Y13)),IFERROR(AE13/Y13-1,""),"")</f>
        <v/>
      </c>
      <c r="AF14" s="26">
        <f>IF(AND(ISNUMBER(AF13),ISNUMBER(Z13)),IFERROR(AF13/Z13-1,""),"")</f>
        <v/>
      </c>
      <c r="AG14" s="26">
        <f>IF(AND(ISNUMBER(AG13),ISNUMBER(AA13)),IFERROR(AG13/AA13-1,""),"")</f>
        <v/>
      </c>
      <c r="AH14" s="26">
        <f>IF(AND(ISNUMBER(AH13),ISNUMBER(AB13)),IFERROR(AH13/AB13-1,""),"")</f>
        <v/>
      </c>
      <c r="AI14" s="26">
        <f>IF(AND(ISNUMBER(AI13),ISNUMBER(AC13)),IFERROR(AI13/AC13-1,""),"")</f>
        <v/>
      </c>
      <c r="AJ14" s="26">
        <f>IF(AND(ISNUMBER(AJ13),ISNUMBER(AD13)),IFERROR(AJ13/AD13-1,""),"")</f>
        <v/>
      </c>
      <c r="AK14" s="26">
        <f>IF(AND(ISNUMBER(AK13),ISNUMBER(AE13)),IFERROR(AK13/AE13-1,""),"")</f>
        <v/>
      </c>
      <c r="AL14" s="26">
        <f>IF(AND(ISNUMBER(AL13),ISNUMBER(AF13)),IFERROR(AL13/AF13-1,""),"")</f>
        <v/>
      </c>
      <c r="AM14" s="26">
        <f>IF(AND(ISNUMBER(AM13),ISNUMBER(AG13)),IFERROR(AM13/AG13-1,""),"")</f>
        <v/>
      </c>
      <c r="AN14" s="26">
        <f>IF(AND(ISNUMBER(AN13),ISNUMBER(AH13)),IFERROR(AN13/AH13-1,""),"")</f>
        <v/>
      </c>
      <c r="AO14" s="26">
        <f>IF(AND(ISNUMBER(AO13),ISNUMBER(AI13)),IFERROR(AO13/AI13-1,""),"")</f>
        <v/>
      </c>
      <c r="AP14" s="26">
        <f>IF(AND(ISNUMBER(AP13),ISNUMBER(AJ13)),IFERROR(AP13/AJ13-1,""),"")</f>
        <v/>
      </c>
      <c r="AQ14" s="26">
        <f>IF(AND(ISNUMBER(AQ13),ISNUMBER(AK13)),IFERROR(AQ13/AK13-1,""),"")</f>
        <v/>
      </c>
      <c r="AR14" s="26">
        <f>IF(AND(ISNUMBER(AR13),ISNUMBER(AL13)),IFERROR(AR13/AL13-1,""),"")</f>
        <v/>
      </c>
      <c r="AS14" s="26">
        <f>IF(AND(ISNUMBER(AS13),ISNUMBER(AM13)),IFERROR(AS13/AM13-1,""),"")</f>
        <v/>
      </c>
      <c r="AT14" s="26">
        <f>IF(AND(ISNUMBER(AT13),ISNUMBER(AN13)),IFERROR(AT13/AN13-1,""),"")</f>
        <v/>
      </c>
      <c r="AU14" s="26">
        <f>IF(AND(ISNUMBER(AU13),ISNUMBER(AO13)),IFERROR(AU13/AO13-1,""),"")</f>
        <v/>
      </c>
      <c r="AV14" s="26">
        <f>IF(AND(ISNUMBER(AV13),ISNUMBER(AP13)),IFERROR(AV13/AP13-1,""),"")</f>
        <v/>
      </c>
      <c r="AW14" s="26">
        <f>IF(AND(ISNUMBER(AW13),ISNUMBER(AQ13)),IFERROR(AW13/AQ13-1,""),"")</f>
        <v/>
      </c>
      <c r="AX14" s="26">
        <f>IF(AND(ISNUMBER(AX13),ISNUMBER(AR13)),IFERROR(AX13/AR13-1,""),"")</f>
        <v/>
      </c>
      <c r="AY14" s="26">
        <f>IF(AND(ISNUMBER(AY13),ISNUMBER(AS13)),IFERROR(AY13/AS13-1,""),"")</f>
        <v/>
      </c>
      <c r="AZ14" s="26">
        <f>IF(AND(ISNUMBER(AZ13),ISNUMBER(AT13)),IFERROR(AZ13/AT13-1,""),"")</f>
        <v/>
      </c>
      <c r="BA14" s="26">
        <f>IF(AND(ISNUMBER(BA13),ISNUMBER(AU13)),IFERROR(BA13/AU13-1,""),"")</f>
        <v/>
      </c>
      <c r="BB14" s="26">
        <f>IF(AND(ISNUMBER(BB13),ISNUMBER(AV13)),IFERROR(BB13/AV13-1,""),"")</f>
        <v/>
      </c>
      <c r="BC14" s="26">
        <f>IF(AND(ISNUMBER(BC13),ISNUMBER(AW13)),IFERROR(BC13/AW13-1,""),"")</f>
        <v/>
      </c>
      <c r="BD14" s="26">
        <f>IF(AND(ISNUMBER(BD13),ISNUMBER(AX13)),IFERROR(BD13/AX13-1,""),"")</f>
        <v/>
      </c>
      <c r="BE14" s="26">
        <f>IF(AND(ISNUMBER(BE13),ISNUMBER(AY13)),IFERROR(BE13/AY13-1,""),"")</f>
        <v/>
      </c>
      <c r="BF14" s="26">
        <f>IF(AND(ISNUMBER(BF13),ISNUMBER(AZ13)),IFERROR(BF13/AZ13-1,""),"")</f>
        <v/>
      </c>
      <c r="BG14" s="26">
        <f>IF(AND(ISNUMBER(BG13),ISNUMBER(BA13)),IFERROR(BG13/BA13-1,""),"")</f>
        <v/>
      </c>
      <c r="BH14" s="26">
        <f>IF(AND(ISNUMBER(BH13),ISNUMBER(BB13)),IFERROR(BH13/BB13-1,""),"")</f>
        <v/>
      </c>
      <c r="BI14" s="26">
        <f>IF(AND(ISNUMBER(BI13),ISNUMBER(BC13)),IFERROR(BI13/BC13-1,""),"")</f>
        <v/>
      </c>
      <c r="BJ14" s="26">
        <f>IF(AND(ISNUMBER(BJ13),ISNUMBER(BD13)),IFERROR(BJ13/BD13-1,""),"")</f>
        <v/>
      </c>
      <c r="BK14" s="26">
        <f>IF(AND(ISNUMBER(BK13),ISNUMBER(BE13)),IFERROR(BK13/BE13-1,""),"")</f>
        <v/>
      </c>
      <c r="BL14" s="26">
        <f>IF(AND(ISNUMBER(BL13),ISNUMBER(BF13)),IFERROR(BL13/BF13-1,""),"")</f>
        <v/>
      </c>
      <c r="BM14" s="26">
        <f>IF(AND(ISNUMBER(BM13),ISNUMBER(BG13)),IFERROR(BM13/BG13-1,""),"")</f>
        <v/>
      </c>
      <c r="BN14" s="26">
        <f>IF(AND(ISNUMBER(BN13),ISNUMBER(BH13)),IFERROR(BN13/BH13-1,""),"")</f>
        <v/>
      </c>
      <c r="BO14" s="26">
        <f>IF(AND(ISNUMBER(BO13),ISNUMBER(BI13)),IFERROR(BO13/BI13-1,""),"")</f>
        <v/>
      </c>
      <c r="BP14" s="26">
        <f>IF(AND(ISNUMBER(BP13),ISNUMBER(BJ13)),IFERROR(BP13/BJ13-1,""),"")</f>
        <v/>
      </c>
      <c r="BQ14" s="26">
        <f>IF(AND(ISNUMBER(BQ13),ISNUMBER(BK13)),IFERROR(BQ13/BK13-1,""),"")</f>
        <v/>
      </c>
      <c r="BR14" s="26">
        <f>IF(AND(ISNUMBER(BR13),ISNUMBER(BL13)),IFERROR(BR13/BL13-1,""),"")</f>
        <v/>
      </c>
      <c r="BS14" s="26">
        <f>IF(AND(ISNUMBER(BS13),ISNUMBER(BM13)),IFERROR(BS13/BM13-1,""),"")</f>
        <v/>
      </c>
      <c r="BT14" s="26">
        <f>IF(AND(ISNUMBER(BT13),ISNUMBER(BN13)),IFERROR(BT13/BN13-1,""),"")</f>
        <v/>
      </c>
      <c r="BU14" s="26">
        <f>IF(AND(ISNUMBER(BU13),ISNUMBER(BO13)),IFERROR(BU13/BO13-1,""),"")</f>
        <v/>
      </c>
      <c r="BV14" s="26">
        <f>IF(AND(ISNUMBER(BV13),ISNUMBER(BP13)),IFERROR(BV13/BP13-1,""),"")</f>
        <v/>
      </c>
      <c r="BW14" s="26">
        <f>IF(AND(ISNUMBER(BW13),ISNUMBER(BQ13)),IFERROR(BW13/BQ13-1,""),"")</f>
        <v/>
      </c>
      <c r="BX14" s="26">
        <f>IF(AND(ISNUMBER(BX13),ISNUMBER(BR13)),IFERROR(BX13/BR13-1,""),"")</f>
        <v/>
      </c>
      <c r="BY14" s="26">
        <f>IF(AND(ISNUMBER(BY13),ISNUMBER(BS13)),IFERROR(BY13/BS13-1,""),"")</f>
        <v/>
      </c>
      <c r="BZ14" s="26">
        <f>IF(AND(ISNUMBER(BZ13),ISNUMBER(BT13)),IFERROR(BZ13/BT13-1,""),"")</f>
        <v/>
      </c>
      <c r="CA14" s="26">
        <f>IF(AND(ISNUMBER(CA13),ISNUMBER(BU13)),IFERROR(CA13/BU13-1,""),"")</f>
        <v/>
      </c>
      <c r="CB14" s="26">
        <f>IF(AND(ISNUMBER(CB13),ISNUMBER(BV13)),IFERROR(CB13/BV13-1,""),"")</f>
        <v/>
      </c>
      <c r="CC14" s="26">
        <f>IF(AND(ISNUMBER(CC13),ISNUMBER(BW13)),IFERROR(CC13/BW13-1,""),"")</f>
        <v/>
      </c>
      <c r="CD14" s="26">
        <f>IF(AND(ISNUMBER(CD13),ISNUMBER(BX13)),IFERROR(CD13/BX13-1,""),"")</f>
        <v/>
      </c>
      <c r="CE14" s="26">
        <f>IF(AND(ISNUMBER(CE13),ISNUMBER(BY13)),IFERROR(CE13/BY13-1,""),"")</f>
        <v/>
      </c>
      <c r="CF14" s="26">
        <f>IF(AND(ISNUMBER(CF13),ISNUMBER(BZ13)),IFERROR(CF13/BZ13-1,""),"")</f>
        <v/>
      </c>
      <c r="CG14" s="26">
        <f>IF(AND(ISNUMBER(CG13),ISNUMBER(CA13)),IFERROR(CG13/CA13-1,""),"")</f>
        <v/>
      </c>
      <c r="CH14" s="26">
        <f>IF(AND(ISNUMBER(CH13),ISNUMBER(CB13)),IFERROR(CH13/CB13-1,""),"")</f>
        <v/>
      </c>
      <c r="CI14" s="26">
        <f>IF(AND(ISNUMBER(CI13),ISNUMBER(CC13)),IFERROR(CI13/CC13-1,""),"")</f>
        <v/>
      </c>
      <c r="CJ14" s="26">
        <f>IF(AND(ISNUMBER(CJ13),ISNUMBER(CD13)),IFERROR(CJ13/CD13-1,""),"")</f>
        <v/>
      </c>
      <c r="CK14" s="26">
        <f>IF(AND(ISNUMBER(CK13),ISNUMBER(CE13)),IFERROR(CK13/CE13-1,""),"")</f>
        <v/>
      </c>
      <c r="CL14" s="26">
        <f>IF(AND(ISNUMBER(CL13),ISNUMBER(CF13)),IFERROR(CL13/CF13-1,""),"")</f>
        <v/>
      </c>
      <c r="CM14" s="165">
        <f>IF(AND(ISNUMBER(CM13),ISNUMBER(CG13)),IFERROR(CM13/CG13-1,""),"")</f>
        <v/>
      </c>
      <c r="CN14" s="165">
        <f>IF(AND(ISNUMBER(CN13),ISNUMBER(CH13)),IFERROR(CN13/CH13-1,""),"")</f>
        <v/>
      </c>
      <c r="CO14" s="165">
        <f>IF(AND(ISNUMBER(CO13),ISNUMBER(CI13)),IFERROR(CO13/CI13-1,""),"")</f>
        <v/>
      </c>
      <c r="CP14" s="165">
        <f>CHOOSE(MATCH($CT$2,{"Bull","Base","Bear"},0),$DC$35,$DD$35,$DE$35)</f>
        <v/>
      </c>
      <c r="CQ14" s="165">
        <f>CHOOSE(MATCH($CT$2,{"Bull","Base","Bear"},0),$DC$36,$DD$36,$DE$36)</f>
        <v/>
      </c>
      <c r="CR14" s="165">
        <f>CHOOSE(MATCH($CT$2,{"Bull","Base","Bear"},0),$DC$37,$DD$37,$DE$37)</f>
        <v/>
      </c>
      <c r="CS14" s="165">
        <f>CHOOSE(MATCH($CT$2,{"Bull","Base","Bear"},0),$DC$38,$DD$38,$DE$38)</f>
        <v/>
      </c>
      <c r="CT14" s="22" t="inlineStr">
        <is>
          <t>2027E–2030E: scenario lever (AGG_priceGrowth).</t>
        </is>
      </c>
      <c r="CV14" s="6" t="n"/>
      <c r="CW14" s="6" t="n"/>
      <c r="CX14" s="6" t="n"/>
      <c r="CY14" s="6" t="n"/>
      <c r="DB14" s="12" t="inlineStr">
        <is>
          <t xml:space="preserve">  FY26 aggregates shipments growth (memo)</t>
        </is>
      </c>
      <c r="DC14" s="35" t="n">
        <v>0.03</v>
      </c>
      <c r="DD14" s="35" t="n">
        <v>0.02</v>
      </c>
      <c r="DE14" s="35" t="n">
        <v>0.01</v>
      </c>
      <c r="DF14" t="inlineStr">
        <is>
          <t>Guided +1–3% (226.8m tons in 2025).</t>
        </is>
      </c>
    </row>
    <row r="15" ht="15" customHeight="1">
      <c r="B15" s="12" t="inlineStr">
        <is>
          <t xml:space="preserve">  Freight-adjusted revenues</t>
        </is>
      </c>
      <c r="C15" s="169" t="n">
        <v>1991.3</v>
      </c>
      <c r="D15" s="29" t="n"/>
      <c r="E15" s="30" t="n"/>
      <c r="F15" s="30" t="n"/>
      <c r="G15" s="30" t="n"/>
      <c r="H15" s="30" t="n"/>
      <c r="I15" s="30" t="n"/>
      <c r="J15" s="30" t="n"/>
      <c r="K15" s="30" t="n"/>
      <c r="L15" s="29" t="n"/>
      <c r="M15" s="30" t="n"/>
      <c r="N15" s="30" t="n"/>
      <c r="O15" s="30" t="n"/>
      <c r="P15" s="30" t="n"/>
      <c r="Q15" s="30" t="n"/>
      <c r="R15" s="29" t="n"/>
      <c r="S15" s="169" t="n">
        <v>531.6</v>
      </c>
      <c r="T15" s="169" t="n">
        <v>455.1</v>
      </c>
      <c r="U15" s="169" t="n">
        <v>1794</v>
      </c>
      <c r="V15" s="169" t="n">
        <v>379.9</v>
      </c>
      <c r="W15" s="169" t="n">
        <v>558.4</v>
      </c>
      <c r="X15" s="170">
        <f>V15+W15</f>
        <v/>
      </c>
      <c r="Y15" s="169" t="n">
        <v>629.1</v>
      </c>
      <c r="Z15" s="169" t="n">
        <v>545.1</v>
      </c>
      <c r="AA15" s="169" t="n">
        <v>2112.5</v>
      </c>
      <c r="AB15" s="169" t="n">
        <v>486.9</v>
      </c>
      <c r="AC15" s="169" t="n">
        <v>614.8</v>
      </c>
      <c r="AD15" s="170">
        <f>AB15+AC15</f>
        <v/>
      </c>
      <c r="AE15" s="169" t="n">
        <v>641.1</v>
      </c>
      <c r="AF15" s="169" t="n">
        <v>551.4</v>
      </c>
      <c r="AG15" s="169" t="n">
        <v>2294.2</v>
      </c>
      <c r="AH15" s="169" t="n">
        <v>496.8</v>
      </c>
      <c r="AI15" s="169" t="n">
        <v>631.4</v>
      </c>
      <c r="AJ15" s="170">
        <f>AH15+AI15</f>
        <v/>
      </c>
      <c r="AK15" s="169" t="n">
        <v>668.5</v>
      </c>
      <c r="AL15" s="169" t="n">
        <v>596</v>
      </c>
      <c r="AM15" s="169" t="n">
        <v>2392.7</v>
      </c>
      <c r="AN15" s="169" t="n">
        <v>529.4</v>
      </c>
      <c r="AO15" s="169" t="n">
        <v>730.5</v>
      </c>
      <c r="AP15" s="170">
        <f>AN15+AO15</f>
        <v/>
      </c>
      <c r="AQ15" s="169" t="n">
        <v>749.8</v>
      </c>
      <c r="AR15" s="169" t="n">
        <v>657.6</v>
      </c>
      <c r="AS15" s="169" t="n">
        <v>2667.3</v>
      </c>
      <c r="AT15" s="169" t="n">
        <v>628.6</v>
      </c>
      <c r="AU15" s="169" t="n">
        <v>806.4</v>
      </c>
      <c r="AV15" s="170">
        <f>AT15+AU15</f>
        <v/>
      </c>
      <c r="AW15" s="169" t="n">
        <v>858.5</v>
      </c>
      <c r="AX15" s="169" t="n">
        <v>720.6</v>
      </c>
      <c r="AY15" s="169" t="n">
        <v>3014.2</v>
      </c>
      <c r="AZ15" s="169" t="n">
        <v>648</v>
      </c>
      <c r="BA15" s="169" t="n">
        <v>814.7</v>
      </c>
      <c r="BB15" s="170">
        <f>AZ15+BA15</f>
        <v/>
      </c>
      <c r="BC15" s="169" t="n">
        <v>807.6</v>
      </c>
      <c r="BD15" s="169" t="n">
        <v>737.3</v>
      </c>
      <c r="BE15" s="169" t="n">
        <v>3007.6</v>
      </c>
      <c r="BF15" s="169" t="n">
        <v>681.2</v>
      </c>
      <c r="BG15" s="169" t="n">
        <v>874</v>
      </c>
      <c r="BH15" s="170">
        <f>BF15+BG15</f>
        <v/>
      </c>
      <c r="BI15" s="169" t="n">
        <v>898</v>
      </c>
      <c r="BJ15" s="169" t="n">
        <v>860.9</v>
      </c>
      <c r="BK15" s="169" t="n">
        <v>3313.9</v>
      </c>
      <c r="BL15" s="169" t="n">
        <v>822.7</v>
      </c>
      <c r="BM15" s="169" t="n">
        <v>1036.6</v>
      </c>
      <c r="BN15" s="170">
        <f>BL15+BM15</f>
        <v/>
      </c>
      <c r="BO15" s="169" t="n">
        <v>1097.2</v>
      </c>
      <c r="BP15" s="169" t="n">
        <v>918.7</v>
      </c>
      <c r="BQ15" s="169" t="n">
        <v>3875.2</v>
      </c>
      <c r="BR15" s="169" t="n">
        <v>965.9</v>
      </c>
      <c r="BS15" s="169" t="n">
        <v>1184.4</v>
      </c>
      <c r="BT15" s="170">
        <f>BR15+BS15</f>
        <v/>
      </c>
      <c r="BU15" s="169" t="n">
        <v>1233.5</v>
      </c>
      <c r="BV15" s="169" t="n">
        <v>1068.6</v>
      </c>
      <c r="BW15" s="169" t="n">
        <v>4452.3</v>
      </c>
      <c r="BX15" s="169" t="n">
        <v>991.4</v>
      </c>
      <c r="BY15" s="169" t="n">
        <v>1262.6</v>
      </c>
      <c r="BZ15" s="170">
        <f>BX15+BY15</f>
        <v/>
      </c>
      <c r="CA15" s="169" t="n">
        <v>1228</v>
      </c>
      <c r="CB15" s="169" t="n">
        <v>1154.2</v>
      </c>
      <c r="CC15" s="169" t="n">
        <v>4636.2</v>
      </c>
      <c r="CD15" s="169" t="n">
        <v>1052</v>
      </c>
      <c r="CE15" s="169" t="n">
        <v>1310.1</v>
      </c>
      <c r="CF15" s="170">
        <f>CD15+CE15</f>
        <v/>
      </c>
      <c r="CG15" s="169" t="n">
        <v>1423.7</v>
      </c>
      <c r="CH15" s="169" t="n">
        <v>1199.6</v>
      </c>
      <c r="CI15" s="169" t="n">
        <v>4985.4</v>
      </c>
      <c r="CJ15" s="169" t="n">
        <v>1139</v>
      </c>
      <c r="CK15" s="169" t="n">
        <v>1376.4</v>
      </c>
      <c r="CL15" s="170">
        <f>CJ15+CK15</f>
        <v/>
      </c>
      <c r="CM15" s="171">
        <f>CM11*CM13</f>
        <v/>
      </c>
      <c r="CN15" s="171">
        <f>CN11*CN13</f>
        <v/>
      </c>
      <c r="CO15" s="171">
        <f>SUM(CJ15,CK15,CM15,CN15)</f>
        <v/>
      </c>
      <c r="CP15" s="171">
        <f>CP11*CP13</f>
        <v/>
      </c>
      <c r="CQ15" s="171">
        <f>CQ11*CQ13</f>
        <v/>
      </c>
      <c r="CR15" s="171">
        <f>CR11*CR13</f>
        <v/>
      </c>
      <c r="CS15" s="171">
        <f>CS11*CS13</f>
        <v/>
      </c>
      <c r="CT15" s="22" t="inlineStr">
        <is>
          <t>Company non-GAAP measure: segment revenues less freight &amp; delivery and other (service) revenues. Forecast = tons × price.</t>
        </is>
      </c>
      <c r="CV15" s="23">
        <f>IFERROR((CS15/CI15)^(1/5)-1,"n/m")</f>
        <v/>
      </c>
      <c r="CW15" s="23">
        <f>IFERROR((CI15/BE15)^(1/5)-1,"n/m")</f>
        <v/>
      </c>
      <c r="CX15" s="23">
        <f>IFERROR((CI15/AA15)^(1/10)-1,"n/m")</f>
        <v/>
      </c>
      <c r="CY15" s="23">
        <f>IFERROR((CI15/C15)^(1/19)-1,"n/m")</f>
        <v/>
      </c>
      <c r="DB15" s="12" t="inlineStr">
        <is>
          <t xml:space="preserve">  FY26 freight-adjusted price growth (memo)</t>
        </is>
      </c>
      <c r="DC15" s="35" t="n">
        <v>0.06</v>
      </c>
      <c r="DD15" s="35" t="n">
        <v>0.05</v>
      </c>
      <c r="DE15" s="35" t="n">
        <v>0.04</v>
      </c>
      <c r="DF15" t="inlineStr">
        <is>
          <t>Guided +4–6% ($21.98/ton in 2025).</t>
        </is>
      </c>
    </row>
    <row r="16" ht="15" customHeight="1">
      <c r="B16" s="12" t="inlineStr">
        <is>
          <t xml:space="preserve">  Freight &amp; delivery and other revenues (segment)</t>
        </is>
      </c>
      <c r="C16" s="170">
        <f>IF(AND(ISNUMBER(C17),ISNUMBER(C15)),C17-C15,"")</f>
        <v/>
      </c>
      <c r="D16" s="170">
        <f>IF(AND(ISNUMBER(D17),ISNUMBER(D15)),D17-D15,"")</f>
        <v/>
      </c>
      <c r="E16" s="170">
        <f>IF(AND(ISNUMBER(E17),ISNUMBER(E15)),E17-E15,"")</f>
        <v/>
      </c>
      <c r="F16" s="170">
        <f>IF(AND(ISNUMBER(F17),ISNUMBER(F15)),F17-F15,"")</f>
        <v/>
      </c>
      <c r="G16" s="170">
        <f>IF(AND(ISNUMBER(G17),ISNUMBER(G15)),G17-G15,"")</f>
        <v/>
      </c>
      <c r="H16" s="170">
        <f>IF(AND(ISNUMBER(H17),ISNUMBER(H15)),H17-H15,"")</f>
        <v/>
      </c>
      <c r="I16" s="170">
        <f>IF(AND(ISNUMBER(I17),ISNUMBER(I15)),I17-I15,"")</f>
        <v/>
      </c>
      <c r="J16" s="170">
        <f>IF(AND(ISNUMBER(J17),ISNUMBER(J15)),J17-J15,"")</f>
        <v/>
      </c>
      <c r="K16" s="170">
        <f>IF(AND(ISNUMBER(K17),ISNUMBER(K15)),K17-K15,"")</f>
        <v/>
      </c>
      <c r="L16" s="170">
        <f>IF(AND(ISNUMBER(L17),ISNUMBER(L15)),L17-L15,"")</f>
        <v/>
      </c>
      <c r="M16" s="170">
        <f>IF(AND(ISNUMBER(M17),ISNUMBER(M15)),M17-M15,"")</f>
        <v/>
      </c>
      <c r="N16" s="170">
        <f>IF(AND(ISNUMBER(N17),ISNUMBER(N15)),N17-N15,"")</f>
        <v/>
      </c>
      <c r="O16" s="170">
        <f>IF(AND(ISNUMBER(O17),ISNUMBER(O15)),O17-O15,"")</f>
        <v/>
      </c>
      <c r="P16" s="170">
        <f>IF(AND(ISNUMBER(P17),ISNUMBER(P15)),P17-P15,"")</f>
        <v/>
      </c>
      <c r="Q16" s="170">
        <f>IF(AND(ISNUMBER(Q17),ISNUMBER(Q15)),Q17-Q15,"")</f>
        <v/>
      </c>
      <c r="R16" s="170">
        <f>IF(AND(ISNUMBER(R17),ISNUMBER(R15)),R17-R15,"")</f>
        <v/>
      </c>
      <c r="S16" s="170">
        <f>IF(AND(ISNUMBER(S17),ISNUMBER(S15)),S17-S15,"")</f>
        <v/>
      </c>
      <c r="T16" s="170">
        <f>IF(AND(ISNUMBER(T17),ISNUMBER(T15)),T17-T15,"")</f>
        <v/>
      </c>
      <c r="U16" s="170">
        <f>IF(AND(ISNUMBER(U17),ISNUMBER(U15)),U17-U15,"")</f>
        <v/>
      </c>
      <c r="V16" s="170">
        <f>IF(AND(ISNUMBER(V17),ISNUMBER(V15)),V17-V15,"")</f>
        <v/>
      </c>
      <c r="W16" s="170">
        <f>IF(AND(ISNUMBER(W17),ISNUMBER(W15)),W17-W15,"")</f>
        <v/>
      </c>
      <c r="X16" s="170">
        <f>IF(AND(ISNUMBER(X17),ISNUMBER(X15)),X17-X15,"")</f>
        <v/>
      </c>
      <c r="Y16" s="170">
        <f>IF(AND(ISNUMBER(Y17),ISNUMBER(Y15)),Y17-Y15,"")</f>
        <v/>
      </c>
      <c r="Z16" s="170">
        <f>IF(AND(ISNUMBER(Z17),ISNUMBER(Z15)),Z17-Z15,"")</f>
        <v/>
      </c>
      <c r="AA16" s="170">
        <f>IF(AND(ISNUMBER(AA17),ISNUMBER(AA15)),AA17-AA15,"")</f>
        <v/>
      </c>
      <c r="AB16" s="170">
        <f>IF(AND(ISNUMBER(AB17),ISNUMBER(AB15)),AB17-AB15,"")</f>
        <v/>
      </c>
      <c r="AC16" s="170">
        <f>IF(AND(ISNUMBER(AC17),ISNUMBER(AC15)),AC17-AC15,"")</f>
        <v/>
      </c>
      <c r="AD16" s="170">
        <f>IF(AND(ISNUMBER(AD17),ISNUMBER(AD15)),AD17-AD15,"")</f>
        <v/>
      </c>
      <c r="AE16" s="170">
        <f>IF(AND(ISNUMBER(AE17),ISNUMBER(AE15)),AE17-AE15,"")</f>
        <v/>
      </c>
      <c r="AF16" s="170">
        <f>IF(AND(ISNUMBER(AF17),ISNUMBER(AF15)),AF17-AF15,"")</f>
        <v/>
      </c>
      <c r="AG16" s="170">
        <f>IF(AND(ISNUMBER(AG17),ISNUMBER(AG15)),AG17-AG15,"")</f>
        <v/>
      </c>
      <c r="AH16" s="170">
        <f>IF(AND(ISNUMBER(AH17),ISNUMBER(AH15)),AH17-AH15,"")</f>
        <v/>
      </c>
      <c r="AI16" s="170">
        <f>IF(AND(ISNUMBER(AI17),ISNUMBER(AI15)),AI17-AI15,"")</f>
        <v/>
      </c>
      <c r="AJ16" s="170">
        <f>IF(AND(ISNUMBER(AJ17),ISNUMBER(AJ15)),AJ17-AJ15,"")</f>
        <v/>
      </c>
      <c r="AK16" s="170">
        <f>IF(AND(ISNUMBER(AK17),ISNUMBER(AK15)),AK17-AK15,"")</f>
        <v/>
      </c>
      <c r="AL16" s="170">
        <f>IF(AND(ISNUMBER(AL17),ISNUMBER(AL15)),AL17-AL15,"")</f>
        <v/>
      </c>
      <c r="AM16" s="170">
        <f>IF(AND(ISNUMBER(AM17),ISNUMBER(AM15)),AM17-AM15,"")</f>
        <v/>
      </c>
      <c r="AN16" s="170">
        <f>IF(AND(ISNUMBER(AN17),ISNUMBER(AN15)),AN17-AN15,"")</f>
        <v/>
      </c>
      <c r="AO16" s="170">
        <f>IF(AND(ISNUMBER(AO17),ISNUMBER(AO15)),AO17-AO15,"")</f>
        <v/>
      </c>
      <c r="AP16" s="170">
        <f>IF(AND(ISNUMBER(AP17),ISNUMBER(AP15)),AP17-AP15,"")</f>
        <v/>
      </c>
      <c r="AQ16" s="170">
        <f>IF(AND(ISNUMBER(AQ17),ISNUMBER(AQ15)),AQ17-AQ15,"")</f>
        <v/>
      </c>
      <c r="AR16" s="170">
        <f>IF(AND(ISNUMBER(AR17),ISNUMBER(AR15)),AR17-AR15,"")</f>
        <v/>
      </c>
      <c r="AS16" s="170">
        <f>IF(AND(ISNUMBER(AS17),ISNUMBER(AS15)),AS17-AS15,"")</f>
        <v/>
      </c>
      <c r="AT16" s="170">
        <f>IF(AND(ISNUMBER(AT17),ISNUMBER(AT15)),AT17-AT15,"")</f>
        <v/>
      </c>
      <c r="AU16" s="170">
        <f>IF(AND(ISNUMBER(AU17),ISNUMBER(AU15)),AU17-AU15,"")</f>
        <v/>
      </c>
      <c r="AV16" s="170">
        <f>IF(AND(ISNUMBER(AV17),ISNUMBER(AV15)),AV17-AV15,"")</f>
        <v/>
      </c>
      <c r="AW16" s="170">
        <f>IF(AND(ISNUMBER(AW17),ISNUMBER(AW15)),AW17-AW15,"")</f>
        <v/>
      </c>
      <c r="AX16" s="170">
        <f>IF(AND(ISNUMBER(AX17),ISNUMBER(AX15)),AX17-AX15,"")</f>
        <v/>
      </c>
      <c r="AY16" s="170">
        <f>IF(AND(ISNUMBER(AY17),ISNUMBER(AY15)),AY17-AY15,"")</f>
        <v/>
      </c>
      <c r="AZ16" s="170">
        <f>IF(AND(ISNUMBER(AZ17),ISNUMBER(AZ15)),AZ17-AZ15,"")</f>
        <v/>
      </c>
      <c r="BA16" s="170">
        <f>IF(AND(ISNUMBER(BA17),ISNUMBER(BA15)),BA17-BA15,"")</f>
        <v/>
      </c>
      <c r="BB16" s="170">
        <f>IF(AND(ISNUMBER(BB17),ISNUMBER(BB15)),BB17-BB15,"")</f>
        <v/>
      </c>
      <c r="BC16" s="170">
        <f>IF(AND(ISNUMBER(BC17),ISNUMBER(BC15)),BC17-BC15,"")</f>
        <v/>
      </c>
      <c r="BD16" s="170">
        <f>IF(AND(ISNUMBER(BD17),ISNUMBER(BD15)),BD17-BD15,"")</f>
        <v/>
      </c>
      <c r="BE16" s="170">
        <f>IF(AND(ISNUMBER(BE17),ISNUMBER(BE15)),BE17-BE15,"")</f>
        <v/>
      </c>
      <c r="BF16" s="170">
        <f>IF(AND(ISNUMBER(BF17),ISNUMBER(BF15)),BF17-BF15,"")</f>
        <v/>
      </c>
      <c r="BG16" s="170">
        <f>IF(AND(ISNUMBER(BG17),ISNUMBER(BG15)),BG17-BG15,"")</f>
        <v/>
      </c>
      <c r="BH16" s="170">
        <f>IF(AND(ISNUMBER(BH17),ISNUMBER(BH15)),BH17-BH15,"")</f>
        <v/>
      </c>
      <c r="BI16" s="170">
        <f>IF(AND(ISNUMBER(BI17),ISNUMBER(BI15)),BI17-BI15,"")</f>
        <v/>
      </c>
      <c r="BJ16" s="170">
        <f>IF(AND(ISNUMBER(BJ17),ISNUMBER(BJ15)),BJ17-BJ15,"")</f>
        <v/>
      </c>
      <c r="BK16" s="170">
        <f>IF(AND(ISNUMBER(BK17),ISNUMBER(BK15)),BK17-BK15,"")</f>
        <v/>
      </c>
      <c r="BL16" s="170">
        <f>IF(AND(ISNUMBER(BL17),ISNUMBER(BL15)),BL17-BL15,"")</f>
        <v/>
      </c>
      <c r="BM16" s="170">
        <f>IF(AND(ISNUMBER(BM17),ISNUMBER(BM15)),BM17-BM15,"")</f>
        <v/>
      </c>
      <c r="BN16" s="170">
        <f>IF(AND(ISNUMBER(BN17),ISNUMBER(BN15)),BN17-BN15,"")</f>
        <v/>
      </c>
      <c r="BO16" s="170">
        <f>IF(AND(ISNUMBER(BO17),ISNUMBER(BO15)),BO17-BO15,"")</f>
        <v/>
      </c>
      <c r="BP16" s="170">
        <f>IF(AND(ISNUMBER(BP17),ISNUMBER(BP15)),BP17-BP15,"")</f>
        <v/>
      </c>
      <c r="BQ16" s="170">
        <f>IF(AND(ISNUMBER(BQ17),ISNUMBER(BQ15)),BQ17-BQ15,"")</f>
        <v/>
      </c>
      <c r="BR16" s="170">
        <f>IF(AND(ISNUMBER(BR17),ISNUMBER(BR15)),BR17-BR15,"")</f>
        <v/>
      </c>
      <c r="BS16" s="170">
        <f>IF(AND(ISNUMBER(BS17),ISNUMBER(BS15)),BS17-BS15,"")</f>
        <v/>
      </c>
      <c r="BT16" s="170">
        <f>IF(AND(ISNUMBER(BT17),ISNUMBER(BT15)),BT17-BT15,"")</f>
        <v/>
      </c>
      <c r="BU16" s="170">
        <f>IF(AND(ISNUMBER(BU17),ISNUMBER(BU15)),BU17-BU15,"")</f>
        <v/>
      </c>
      <c r="BV16" s="170">
        <f>IF(AND(ISNUMBER(BV17),ISNUMBER(BV15)),BV17-BV15,"")</f>
        <v/>
      </c>
      <c r="BW16" s="170">
        <f>IF(AND(ISNUMBER(BW17),ISNUMBER(BW15)),BW17-BW15,"")</f>
        <v/>
      </c>
      <c r="BX16" s="170">
        <f>IF(AND(ISNUMBER(BX17),ISNUMBER(BX15)),BX17-BX15,"")</f>
        <v/>
      </c>
      <c r="BY16" s="170">
        <f>IF(AND(ISNUMBER(BY17),ISNUMBER(BY15)),BY17-BY15,"")</f>
        <v/>
      </c>
      <c r="BZ16" s="170">
        <f>IF(AND(ISNUMBER(BZ17),ISNUMBER(BZ15)),BZ17-BZ15,"")</f>
        <v/>
      </c>
      <c r="CA16" s="170">
        <f>IF(AND(ISNUMBER(CA17),ISNUMBER(CA15)),CA17-CA15,"")</f>
        <v/>
      </c>
      <c r="CB16" s="170">
        <f>IF(AND(ISNUMBER(CB17),ISNUMBER(CB15)),CB17-CB15,"")</f>
        <v/>
      </c>
      <c r="CC16" s="170">
        <f>IF(AND(ISNUMBER(CC17),ISNUMBER(CC15)),CC17-CC15,"")</f>
        <v/>
      </c>
      <c r="CD16" s="170">
        <f>IF(AND(ISNUMBER(CD17),ISNUMBER(CD15)),CD17-CD15,"")</f>
        <v/>
      </c>
      <c r="CE16" s="170">
        <f>IF(AND(ISNUMBER(CE17),ISNUMBER(CE15)),CE17-CE15,"")</f>
        <v/>
      </c>
      <c r="CF16" s="170">
        <f>IF(AND(ISNUMBER(CF17),ISNUMBER(CF15)),CF17-CF15,"")</f>
        <v/>
      </c>
      <c r="CG16" s="170">
        <f>IF(AND(ISNUMBER(CG17),ISNUMBER(CG15)),CG17-CG15,"")</f>
        <v/>
      </c>
      <c r="CH16" s="170">
        <f>IF(AND(ISNUMBER(CH17),ISNUMBER(CH15)),CH17-CH15,"")</f>
        <v/>
      </c>
      <c r="CI16" s="170">
        <f>IF(AND(ISNUMBER(CI17),ISNUMBER(CI15)),CI17-CI15,"")</f>
        <v/>
      </c>
      <c r="CJ16" s="170">
        <f>IF(AND(ISNUMBER(CJ17),ISNUMBER(CJ15)),CJ17-CJ15,"")</f>
        <v/>
      </c>
      <c r="CK16" s="170">
        <f>IF(AND(ISNUMBER(CK17),ISNUMBER(CK15)),CK17-CK15,"")</f>
        <v/>
      </c>
      <c r="CL16" s="170">
        <f>IF(AND(ISNUMBER(CL17),ISNUMBER(CL15)),CL17-CL15,"")</f>
        <v/>
      </c>
      <c r="CM16" s="171">
        <f>CM15*CG16/CG15</f>
        <v/>
      </c>
      <c r="CN16" s="171">
        <f>CN15*CH16/CH15</f>
        <v/>
      </c>
      <c r="CO16" s="171">
        <f>SUM(CJ16,CK16,CM16,CN16)</f>
        <v/>
      </c>
      <c r="CP16" s="171">
        <f>CP15*CO16/CO15</f>
        <v/>
      </c>
      <c r="CQ16" s="171">
        <f>CQ15*CP16/CP15</f>
        <v/>
      </c>
      <c r="CR16" s="171">
        <f>CR15*CQ16/CQ15</f>
        <v/>
      </c>
      <c r="CS16" s="171">
        <f>CS15*CR16/CR15</f>
        <v/>
      </c>
      <c r="CT16" s="22" t="inlineStr">
        <is>
          <t>Pass-through freight (post-ASC 606, 2018+) and service revenues; forecast at the prior-year ratio to freight-adjusted revenues.</t>
        </is>
      </c>
      <c r="CV16" s="23" t="n"/>
      <c r="CW16" s="23" t="n"/>
      <c r="CX16" s="23" t="n"/>
      <c r="CY16" s="23" t="n"/>
    </row>
    <row r="17" ht="15" customHeight="1">
      <c r="B17" s="18" t="inlineStr">
        <is>
          <t xml:space="preserve">  Segment total revenues (incl. intersegment)</t>
        </is>
      </c>
      <c r="C17" s="172" t="n">
        <v>2131.9</v>
      </c>
      <c r="D17" s="172" t="n">
        <v>2316.7</v>
      </c>
      <c r="E17" s="172" t="n">
        <v>2406.8</v>
      </c>
      <c r="F17" s="172" t="n">
        <v>1838.6</v>
      </c>
      <c r="G17" s="172" t="n">
        <v>1766.9</v>
      </c>
      <c r="H17" s="172" t="n">
        <v>1734</v>
      </c>
      <c r="I17" s="172" t="n">
        <v>1729.4</v>
      </c>
      <c r="J17" s="172" t="n">
        <v>359</v>
      </c>
      <c r="K17" s="172" t="n">
        <v>508.4</v>
      </c>
      <c r="L17" s="173">
        <f>J17+K17</f>
        <v/>
      </c>
      <c r="M17" s="172" t="n">
        <v>561.2</v>
      </c>
      <c r="N17" s="172" t="n">
        <v>470.4</v>
      </c>
      <c r="O17" s="172" t="n">
        <v>1899</v>
      </c>
      <c r="P17" s="172" t="n">
        <v>404.3</v>
      </c>
      <c r="Q17" s="172" t="n">
        <v>595.6</v>
      </c>
      <c r="R17" s="173">
        <f>P17+Q17</f>
        <v/>
      </c>
      <c r="S17" s="172" t="n">
        <v>688.9</v>
      </c>
      <c r="T17" s="172" t="n">
        <v>593.8</v>
      </c>
      <c r="U17" s="172" t="n">
        <v>2346.4</v>
      </c>
      <c r="V17" s="172" t="n">
        <v>503.5</v>
      </c>
      <c r="W17" s="172" t="n">
        <v>733.4</v>
      </c>
      <c r="X17" s="173">
        <f>V17+W17</f>
        <v/>
      </c>
      <c r="Y17" s="172" t="n">
        <v>830.8</v>
      </c>
      <c r="Z17" s="172" t="n">
        <v>710.1</v>
      </c>
      <c r="AA17" s="172" t="n">
        <v>2777.8</v>
      </c>
      <c r="AB17" s="172" t="n">
        <v>634.9</v>
      </c>
      <c r="AC17" s="172" t="n">
        <v>791.5</v>
      </c>
      <c r="AD17" s="173">
        <f>AB17+AC17</f>
        <v/>
      </c>
      <c r="AE17" s="172" t="n">
        <v>821.8</v>
      </c>
      <c r="AF17" s="172" t="n">
        <v>713.7</v>
      </c>
      <c r="AG17" s="172" t="n">
        <v>2961.8</v>
      </c>
      <c r="AH17" s="172" t="n">
        <v>650.3</v>
      </c>
      <c r="AI17" s="172" t="n">
        <v>817.6</v>
      </c>
      <c r="AJ17" s="173">
        <f>AH17+AI17</f>
        <v/>
      </c>
      <c r="AK17" s="172" t="n">
        <v>858.7</v>
      </c>
      <c r="AL17" s="172" t="n">
        <v>769.5</v>
      </c>
      <c r="AM17" s="172" t="n">
        <v>3096.1</v>
      </c>
      <c r="AN17" s="172" t="n">
        <v>699.7</v>
      </c>
      <c r="AO17" s="172" t="n">
        <v>956.3</v>
      </c>
      <c r="AP17" s="173">
        <f>AN17+AO17</f>
        <v/>
      </c>
      <c r="AQ17" s="172" t="n">
        <v>983.7</v>
      </c>
      <c r="AR17" s="172" t="n">
        <v>874</v>
      </c>
      <c r="AS17" s="172" t="n">
        <v>3513.6</v>
      </c>
      <c r="AT17" s="172" t="n">
        <v>835</v>
      </c>
      <c r="AU17" s="172" t="n">
        <v>1062.1</v>
      </c>
      <c r="AV17" s="173">
        <f>AT17+AU17</f>
        <v/>
      </c>
      <c r="AW17" s="172" t="n">
        <v>1133.1</v>
      </c>
      <c r="AX17" s="172" t="n">
        <v>960.2</v>
      </c>
      <c r="AY17" s="172" t="n">
        <v>3990.3</v>
      </c>
      <c r="AZ17" s="172" t="n">
        <v>868.2</v>
      </c>
      <c r="BA17" s="172" t="n">
        <v>1070.6</v>
      </c>
      <c r="BB17" s="173">
        <f>AZ17+BA17</f>
        <v/>
      </c>
      <c r="BC17" s="172" t="n">
        <v>1049</v>
      </c>
      <c r="BD17" s="172" t="n">
        <v>956.5</v>
      </c>
      <c r="BE17" s="172" t="n">
        <v>3944.3</v>
      </c>
      <c r="BF17" s="172" t="n">
        <v>894.9</v>
      </c>
      <c r="BG17" s="172" t="n">
        <v>1125.4</v>
      </c>
      <c r="BH17" s="173">
        <f>BF17+BG17</f>
        <v/>
      </c>
      <c r="BI17" s="172" t="n">
        <v>1172.4</v>
      </c>
      <c r="BJ17" s="172" t="n">
        <v>1152.3</v>
      </c>
      <c r="BK17" s="172" t="n">
        <v>4345</v>
      </c>
      <c r="BL17" s="172" t="n">
        <v>1121.2</v>
      </c>
      <c r="BM17" s="172" t="n">
        <v>1401.8</v>
      </c>
      <c r="BN17" s="173">
        <f>BL17+BM17</f>
        <v/>
      </c>
      <c r="BO17" s="172" t="n">
        <v>1490.5</v>
      </c>
      <c r="BP17" s="172" t="n">
        <v>1259.3</v>
      </c>
      <c r="BQ17" s="172" t="n">
        <v>5272.8</v>
      </c>
      <c r="BR17" s="172" t="n">
        <v>1294.3</v>
      </c>
      <c r="BS17" s="172" t="n">
        <v>1578.4</v>
      </c>
      <c r="BT17" s="173">
        <f>BR17+BS17</f>
        <v/>
      </c>
      <c r="BU17" s="172" t="n">
        <v>1626.1</v>
      </c>
      <c r="BV17" s="172" t="n">
        <v>1411</v>
      </c>
      <c r="BW17" s="172" t="n">
        <v>5909.9</v>
      </c>
      <c r="BX17" s="172" t="n">
        <v>1291.3</v>
      </c>
      <c r="BY17" s="172" t="n">
        <v>1613.5</v>
      </c>
      <c r="BZ17" s="173">
        <f>BX17+BY17</f>
        <v/>
      </c>
      <c r="CA17" s="172" t="n">
        <v>1572.4</v>
      </c>
      <c r="CB17" s="172" t="n">
        <v>1472.3</v>
      </c>
      <c r="CC17" s="172" t="n">
        <v>5949.6</v>
      </c>
      <c r="CD17" s="172" t="n">
        <v>1335.9</v>
      </c>
      <c r="CE17" s="172" t="n">
        <v>1649.6</v>
      </c>
      <c r="CF17" s="173">
        <f>CD17+CE17</f>
        <v/>
      </c>
      <c r="CG17" s="172" t="n">
        <v>1792.1</v>
      </c>
      <c r="CH17" s="172" t="n">
        <v>1519.7</v>
      </c>
      <c r="CI17" s="172" t="n">
        <v>6297.2</v>
      </c>
      <c r="CJ17" s="172" t="n">
        <v>1450.5</v>
      </c>
      <c r="CK17" s="172" t="n">
        <v>1763</v>
      </c>
      <c r="CL17" s="173">
        <f>CJ17+CK17</f>
        <v/>
      </c>
      <c r="CM17" s="174">
        <f>CM15+CM16</f>
        <v/>
      </c>
      <c r="CN17" s="174">
        <f>CN15+CN16</f>
        <v/>
      </c>
      <c r="CO17" s="174">
        <f>SUM(CJ17,CK17,CM17,CN17)</f>
        <v/>
      </c>
      <c r="CP17" s="174">
        <f>CP15+CP16</f>
        <v/>
      </c>
      <c r="CQ17" s="174">
        <f>CQ15+CQ16</f>
        <v/>
      </c>
      <c r="CR17" s="174">
        <f>CR15+CR16</f>
        <v/>
      </c>
      <c r="CS17" s="174">
        <f>CS15+CS16</f>
        <v/>
      </c>
      <c r="CT17" s="22" t="inlineStr">
        <is>
          <t>Pre-2018 segment net sales exclude delivery revenues (shown outside segments below); ASC 606 from 2018 puts freight inside segment revenues.</t>
        </is>
      </c>
      <c r="CV17" s="164">
        <f>IFERROR((CS17/CI17)^(1/5)-1,"n/m")</f>
        <v/>
      </c>
      <c r="CW17" s="164">
        <f>IFERROR((CI17/BE17)^(1/5)-1,"n/m")</f>
        <v/>
      </c>
      <c r="CX17" s="164">
        <f>IFERROR((CI17/AA17)^(1/10)-1,"n/m")</f>
        <v/>
      </c>
      <c r="CY17" s="164">
        <f>IFERROR((CI17/C17)^(1/19)-1,"n/m")</f>
        <v/>
      </c>
      <c r="DB17" s="17" t="inlineStr">
        <is>
          <t>FY26 point estimates (all cases)</t>
        </is>
      </c>
      <c r="DC17" s="24" t="n"/>
      <c r="DD17" s="24" t="n"/>
      <c r="DE17" s="24" t="n"/>
      <c r="DF17" s="15" t="inlineStr">
        <is>
          <t>Q2-26 projected Adjusted EBITDA bridge (DDA&amp;A $700m, interest $215m, tax $340m) and Q4-25 guidance (SAG $580–590m, capex $750–800m, ETR 22–23%).</t>
        </is>
      </c>
    </row>
    <row r="18" ht="15" customHeight="1">
      <c r="B18" s="25" t="inlineStr">
        <is>
          <t xml:space="preserve">  Segment revenues y/y %</t>
        </is>
      </c>
      <c r="C18" s="26" t="n"/>
      <c r="D18" s="26">
        <f>IF(AND(ISNUMBER(D17),ISNUMBER(C17)),IFERROR(D17/C17-1,""),"")</f>
        <v/>
      </c>
      <c r="E18" s="26">
        <f>IF(AND(ISNUMBER(E17),ISNUMBER(D17)),IFERROR(E17/D17-1,""),"")</f>
        <v/>
      </c>
      <c r="F18" s="26">
        <f>IF(AND(ISNUMBER(F17),ISNUMBER(E17)),IFERROR(F17/E17-1,""),"")</f>
        <v/>
      </c>
      <c r="G18" s="26">
        <f>IF(AND(ISNUMBER(G17),ISNUMBER(F17)),IFERROR(G17/F17-1,""),"")</f>
        <v/>
      </c>
      <c r="H18" s="26">
        <f>IF(AND(ISNUMBER(H17),ISNUMBER(G17)),IFERROR(H17/G17-1,""),"")</f>
        <v/>
      </c>
      <c r="I18" s="26">
        <f>IF(AND(ISNUMBER(I17),ISNUMBER(H17)),IFERROR(I17/H17-1,""),"")</f>
        <v/>
      </c>
      <c r="J18" s="26" t="n"/>
      <c r="K18" s="26" t="n"/>
      <c r="L18" s="26" t="n"/>
      <c r="M18" s="26" t="n"/>
      <c r="N18" s="26" t="n"/>
      <c r="O18" s="26">
        <f>IF(AND(ISNUMBER(O17),ISNUMBER(I17)),IFERROR(O17/I17-1,""),"")</f>
        <v/>
      </c>
      <c r="P18" s="26">
        <f>IF(AND(ISNUMBER(P17),ISNUMBER(J17)),IFERROR(P17/J17-1,""),"")</f>
        <v/>
      </c>
      <c r="Q18" s="26">
        <f>IF(AND(ISNUMBER(Q17),ISNUMBER(K17)),IFERROR(Q17/K17-1,""),"")</f>
        <v/>
      </c>
      <c r="R18" s="26">
        <f>IF(AND(ISNUMBER(R17),ISNUMBER(L17)),IFERROR(R17/L17-1,""),"")</f>
        <v/>
      </c>
      <c r="S18" s="26">
        <f>IF(AND(ISNUMBER(S17),ISNUMBER(M17)),IFERROR(S17/M17-1,""),"")</f>
        <v/>
      </c>
      <c r="T18" s="26">
        <f>IF(AND(ISNUMBER(T17),ISNUMBER(N17)),IFERROR(T17/N17-1,""),"")</f>
        <v/>
      </c>
      <c r="U18" s="26">
        <f>IF(AND(ISNUMBER(U17),ISNUMBER(O17)),IFERROR(U17/O17-1,""),"")</f>
        <v/>
      </c>
      <c r="V18" s="26">
        <f>IF(AND(ISNUMBER(V17),ISNUMBER(P17)),IFERROR(V17/P17-1,""),"")</f>
        <v/>
      </c>
      <c r="W18" s="26">
        <f>IF(AND(ISNUMBER(W17),ISNUMBER(Q17)),IFERROR(W17/Q17-1,""),"")</f>
        <v/>
      </c>
      <c r="X18" s="26">
        <f>IF(AND(ISNUMBER(X17),ISNUMBER(R17)),IFERROR(X17/R17-1,""),"")</f>
        <v/>
      </c>
      <c r="Y18" s="26">
        <f>IF(AND(ISNUMBER(Y17),ISNUMBER(S17)),IFERROR(Y17/S17-1,""),"")</f>
        <v/>
      </c>
      <c r="Z18" s="26">
        <f>IF(AND(ISNUMBER(Z17),ISNUMBER(T17)),IFERROR(Z17/T17-1,""),"")</f>
        <v/>
      </c>
      <c r="AA18" s="26">
        <f>IF(AND(ISNUMBER(AA17),ISNUMBER(U17)),IFERROR(AA17/U17-1,""),"")</f>
        <v/>
      </c>
      <c r="AB18" s="26">
        <f>IF(AND(ISNUMBER(AB17),ISNUMBER(V17)),IFERROR(AB17/V17-1,""),"")</f>
        <v/>
      </c>
      <c r="AC18" s="26">
        <f>IF(AND(ISNUMBER(AC17),ISNUMBER(W17)),IFERROR(AC17/W17-1,""),"")</f>
        <v/>
      </c>
      <c r="AD18" s="26">
        <f>IF(AND(ISNUMBER(AD17),ISNUMBER(X17)),IFERROR(AD17/X17-1,""),"")</f>
        <v/>
      </c>
      <c r="AE18" s="26">
        <f>IF(AND(ISNUMBER(AE17),ISNUMBER(Y17)),IFERROR(AE17/Y17-1,""),"")</f>
        <v/>
      </c>
      <c r="AF18" s="26">
        <f>IF(AND(ISNUMBER(AF17),ISNUMBER(Z17)),IFERROR(AF17/Z17-1,""),"")</f>
        <v/>
      </c>
      <c r="AG18" s="26">
        <f>IF(AND(ISNUMBER(AG17),ISNUMBER(AA17)),IFERROR(AG17/AA17-1,""),"")</f>
        <v/>
      </c>
      <c r="AH18" s="26">
        <f>IF(AND(ISNUMBER(AH17),ISNUMBER(AB17)),IFERROR(AH17/AB17-1,""),"")</f>
        <v/>
      </c>
      <c r="AI18" s="26">
        <f>IF(AND(ISNUMBER(AI17),ISNUMBER(AC17)),IFERROR(AI17/AC17-1,""),"")</f>
        <v/>
      </c>
      <c r="AJ18" s="26">
        <f>IF(AND(ISNUMBER(AJ17),ISNUMBER(AD17)),IFERROR(AJ17/AD17-1,""),"")</f>
        <v/>
      </c>
      <c r="AK18" s="26">
        <f>IF(AND(ISNUMBER(AK17),ISNUMBER(AE17)),IFERROR(AK17/AE17-1,""),"")</f>
        <v/>
      </c>
      <c r="AL18" s="26">
        <f>IF(AND(ISNUMBER(AL17),ISNUMBER(AF17)),IFERROR(AL17/AF17-1,""),"")</f>
        <v/>
      </c>
      <c r="AM18" s="26">
        <f>IF(AND(ISNUMBER(AM17),ISNUMBER(AG17)),IFERROR(AM17/AG17-1,""),"")</f>
        <v/>
      </c>
      <c r="AN18" s="26">
        <f>IF(AND(ISNUMBER(AN17),ISNUMBER(AH17)),IFERROR(AN17/AH17-1,""),"")</f>
        <v/>
      </c>
      <c r="AO18" s="26">
        <f>IF(AND(ISNUMBER(AO17),ISNUMBER(AI17)),IFERROR(AO17/AI17-1,""),"")</f>
        <v/>
      </c>
      <c r="AP18" s="26">
        <f>IF(AND(ISNUMBER(AP17),ISNUMBER(AJ17)),IFERROR(AP17/AJ17-1,""),"")</f>
        <v/>
      </c>
      <c r="AQ18" s="26">
        <f>IF(AND(ISNUMBER(AQ17),ISNUMBER(AK17)),IFERROR(AQ17/AK17-1,""),"")</f>
        <v/>
      </c>
      <c r="AR18" s="26">
        <f>IF(AND(ISNUMBER(AR17),ISNUMBER(AL17)),IFERROR(AR17/AL17-1,""),"")</f>
        <v/>
      </c>
      <c r="AS18" s="26">
        <f>IF(AND(ISNUMBER(AS17),ISNUMBER(AM17)),IFERROR(AS17/AM17-1,""),"")</f>
        <v/>
      </c>
      <c r="AT18" s="26">
        <f>IF(AND(ISNUMBER(AT17),ISNUMBER(AN17)),IFERROR(AT17/AN17-1,""),"")</f>
        <v/>
      </c>
      <c r="AU18" s="26">
        <f>IF(AND(ISNUMBER(AU17),ISNUMBER(AO17)),IFERROR(AU17/AO17-1,""),"")</f>
        <v/>
      </c>
      <c r="AV18" s="26">
        <f>IF(AND(ISNUMBER(AV17),ISNUMBER(AP17)),IFERROR(AV17/AP17-1,""),"")</f>
        <v/>
      </c>
      <c r="AW18" s="26">
        <f>IF(AND(ISNUMBER(AW17),ISNUMBER(AQ17)),IFERROR(AW17/AQ17-1,""),"")</f>
        <v/>
      </c>
      <c r="AX18" s="26">
        <f>IF(AND(ISNUMBER(AX17),ISNUMBER(AR17)),IFERROR(AX17/AR17-1,""),"")</f>
        <v/>
      </c>
      <c r="AY18" s="26">
        <f>IF(AND(ISNUMBER(AY17),ISNUMBER(AS17)),IFERROR(AY17/AS17-1,""),"")</f>
        <v/>
      </c>
      <c r="AZ18" s="26">
        <f>IF(AND(ISNUMBER(AZ17),ISNUMBER(AT17)),IFERROR(AZ17/AT17-1,""),"")</f>
        <v/>
      </c>
      <c r="BA18" s="26">
        <f>IF(AND(ISNUMBER(BA17),ISNUMBER(AU17)),IFERROR(BA17/AU17-1,""),"")</f>
        <v/>
      </c>
      <c r="BB18" s="26">
        <f>IF(AND(ISNUMBER(BB17),ISNUMBER(AV17)),IFERROR(BB17/AV17-1,""),"")</f>
        <v/>
      </c>
      <c r="BC18" s="26">
        <f>IF(AND(ISNUMBER(BC17),ISNUMBER(AW17)),IFERROR(BC17/AW17-1,""),"")</f>
        <v/>
      </c>
      <c r="BD18" s="26">
        <f>IF(AND(ISNUMBER(BD17),ISNUMBER(AX17)),IFERROR(BD17/AX17-1,""),"")</f>
        <v/>
      </c>
      <c r="BE18" s="26">
        <f>IF(AND(ISNUMBER(BE17),ISNUMBER(AY17)),IFERROR(BE17/AY17-1,""),"")</f>
        <v/>
      </c>
      <c r="BF18" s="26">
        <f>IF(AND(ISNUMBER(BF17),ISNUMBER(AZ17)),IFERROR(BF17/AZ17-1,""),"")</f>
        <v/>
      </c>
      <c r="BG18" s="26">
        <f>IF(AND(ISNUMBER(BG17),ISNUMBER(BA17)),IFERROR(BG17/BA17-1,""),"")</f>
        <v/>
      </c>
      <c r="BH18" s="26">
        <f>IF(AND(ISNUMBER(BH17),ISNUMBER(BB17)),IFERROR(BH17/BB17-1,""),"")</f>
        <v/>
      </c>
      <c r="BI18" s="26">
        <f>IF(AND(ISNUMBER(BI17),ISNUMBER(BC17)),IFERROR(BI17/BC17-1,""),"")</f>
        <v/>
      </c>
      <c r="BJ18" s="26">
        <f>IF(AND(ISNUMBER(BJ17),ISNUMBER(BD17)),IFERROR(BJ17/BD17-1,""),"")</f>
        <v/>
      </c>
      <c r="BK18" s="26">
        <f>IF(AND(ISNUMBER(BK17),ISNUMBER(BE17)),IFERROR(BK17/BE17-1,""),"")</f>
        <v/>
      </c>
      <c r="BL18" s="26">
        <f>IF(AND(ISNUMBER(BL17),ISNUMBER(BF17)),IFERROR(BL17/BF17-1,""),"")</f>
        <v/>
      </c>
      <c r="BM18" s="26">
        <f>IF(AND(ISNUMBER(BM17),ISNUMBER(BG17)),IFERROR(BM17/BG17-1,""),"")</f>
        <v/>
      </c>
      <c r="BN18" s="26">
        <f>IF(AND(ISNUMBER(BN17),ISNUMBER(BH17)),IFERROR(BN17/BH17-1,""),"")</f>
        <v/>
      </c>
      <c r="BO18" s="26">
        <f>IF(AND(ISNUMBER(BO17),ISNUMBER(BI17)),IFERROR(BO17/BI17-1,""),"")</f>
        <v/>
      </c>
      <c r="BP18" s="26">
        <f>IF(AND(ISNUMBER(BP17),ISNUMBER(BJ17)),IFERROR(BP17/BJ17-1,""),"")</f>
        <v/>
      </c>
      <c r="BQ18" s="26">
        <f>IF(AND(ISNUMBER(BQ17),ISNUMBER(BK17)),IFERROR(BQ17/BK17-1,""),"")</f>
        <v/>
      </c>
      <c r="BR18" s="26">
        <f>IF(AND(ISNUMBER(BR17),ISNUMBER(BL17)),IFERROR(BR17/BL17-1,""),"")</f>
        <v/>
      </c>
      <c r="BS18" s="26">
        <f>IF(AND(ISNUMBER(BS17),ISNUMBER(BM17)),IFERROR(BS17/BM17-1,""),"")</f>
        <v/>
      </c>
      <c r="BT18" s="26">
        <f>IF(AND(ISNUMBER(BT17),ISNUMBER(BN17)),IFERROR(BT17/BN17-1,""),"")</f>
        <v/>
      </c>
      <c r="BU18" s="26">
        <f>IF(AND(ISNUMBER(BU17),ISNUMBER(BO17)),IFERROR(BU17/BO17-1,""),"")</f>
        <v/>
      </c>
      <c r="BV18" s="26">
        <f>IF(AND(ISNUMBER(BV17),ISNUMBER(BP17)),IFERROR(BV17/BP17-1,""),"")</f>
        <v/>
      </c>
      <c r="BW18" s="26">
        <f>IF(AND(ISNUMBER(BW17),ISNUMBER(BQ17)),IFERROR(BW17/BQ17-1,""),"")</f>
        <v/>
      </c>
      <c r="BX18" s="26">
        <f>IF(AND(ISNUMBER(BX17),ISNUMBER(BR17)),IFERROR(BX17/BR17-1,""),"")</f>
        <v/>
      </c>
      <c r="BY18" s="26">
        <f>IF(AND(ISNUMBER(BY17),ISNUMBER(BS17)),IFERROR(BY17/BS17-1,""),"")</f>
        <v/>
      </c>
      <c r="BZ18" s="26">
        <f>IF(AND(ISNUMBER(BZ17),ISNUMBER(BT17)),IFERROR(BZ17/BT17-1,""),"")</f>
        <v/>
      </c>
      <c r="CA18" s="26">
        <f>IF(AND(ISNUMBER(CA17),ISNUMBER(BU17)),IFERROR(CA17/BU17-1,""),"")</f>
        <v/>
      </c>
      <c r="CB18" s="26">
        <f>IF(AND(ISNUMBER(CB17),ISNUMBER(BV17)),IFERROR(CB17/BV17-1,""),"")</f>
        <v/>
      </c>
      <c r="CC18" s="26">
        <f>IF(AND(ISNUMBER(CC17),ISNUMBER(BW17)),IFERROR(CC17/BW17-1,""),"")</f>
        <v/>
      </c>
      <c r="CD18" s="26">
        <f>IF(AND(ISNUMBER(CD17),ISNUMBER(BX17)),IFERROR(CD17/BX17-1,""),"")</f>
        <v/>
      </c>
      <c r="CE18" s="26">
        <f>IF(AND(ISNUMBER(CE17),ISNUMBER(BY17)),IFERROR(CE17/BY17-1,""),"")</f>
        <v/>
      </c>
      <c r="CF18" s="26">
        <f>IF(AND(ISNUMBER(CF17),ISNUMBER(BZ17)),IFERROR(CF17/BZ17-1,""),"")</f>
        <v/>
      </c>
      <c r="CG18" s="26">
        <f>IF(AND(ISNUMBER(CG17),ISNUMBER(CA17)),IFERROR(CG17/CA17-1,""),"")</f>
        <v/>
      </c>
      <c r="CH18" s="26">
        <f>IF(AND(ISNUMBER(CH17),ISNUMBER(CB17)),IFERROR(CH17/CB17-1,""),"")</f>
        <v/>
      </c>
      <c r="CI18" s="26">
        <f>IF(AND(ISNUMBER(CI17),ISNUMBER(CC17)),IFERROR(CI17/CC17-1,""),"")</f>
        <v/>
      </c>
      <c r="CJ18" s="26">
        <f>IF(AND(ISNUMBER(CJ17),ISNUMBER(CD17)),IFERROR(CJ17/CD17-1,""),"")</f>
        <v/>
      </c>
      <c r="CK18" s="26">
        <f>IF(AND(ISNUMBER(CK17),ISNUMBER(CE17)),IFERROR(CK17/CE17-1,""),"")</f>
        <v/>
      </c>
      <c r="CL18" s="26">
        <f>IF(AND(ISNUMBER(CL17),ISNUMBER(CF17)),IFERROR(CL17/CF17-1,""),"")</f>
        <v/>
      </c>
      <c r="CM18" s="165">
        <f>IF(AND(ISNUMBER(CM17),ISNUMBER(CG17)),IFERROR(CM17/CG17-1,""),"")</f>
        <v/>
      </c>
      <c r="CN18" s="165">
        <f>IF(AND(ISNUMBER(CN17),ISNUMBER(CH17)),IFERROR(CN17/CH17-1,""),"")</f>
        <v/>
      </c>
      <c r="CO18" s="165">
        <f>IF(AND(ISNUMBER(CO17),ISNUMBER(CI17)),IFERROR(CO17/CI17-1,""),"")</f>
        <v/>
      </c>
      <c r="CP18" s="165">
        <f>IF(AND(ISNUMBER(CP17),ISNUMBER(CO17)),IFERROR(CP17/CO17-1,""),"")</f>
        <v/>
      </c>
      <c r="CQ18" s="165">
        <f>IF(AND(ISNUMBER(CQ17),ISNUMBER(CP17)),IFERROR(CQ17/CP17-1,""),"")</f>
        <v/>
      </c>
      <c r="CR18" s="165">
        <f>IF(AND(ISNUMBER(CR17),ISNUMBER(CQ17)),IFERROR(CR17/CQ17-1,""),"")</f>
        <v/>
      </c>
      <c r="CS18" s="165">
        <f>IF(AND(ISNUMBER(CS17),ISNUMBER(CR17)),IFERROR(CS17/CR17-1,""),"")</f>
        <v/>
      </c>
      <c r="CT18" s="22" t="n"/>
      <c r="CV18" s="6" t="n"/>
      <c r="CW18" s="6" t="n"/>
      <c r="CX18" s="6" t="n"/>
      <c r="CY18" s="6" t="n"/>
      <c r="DB18" s="12" t="inlineStr">
        <is>
          <t xml:space="preserve">  DDA&amp;A ($m)</t>
        </is>
      </c>
      <c r="DD18" s="37" t="n">
        <v>700</v>
      </c>
      <c r="DF18" t="inlineStr">
        <is>
          <t>Projected Adjusted EBITDA bridge (Q2-26 release).</t>
        </is>
      </c>
    </row>
    <row r="19" ht="15" customHeight="1">
      <c r="B19" s="12" t="inlineStr">
        <is>
          <t xml:space="preserve">  Segment gross profit (GAAP)</t>
        </is>
      </c>
      <c r="C19" s="29" t="n"/>
      <c r="D19" s="169" t="n">
        <v>828.7</v>
      </c>
      <c r="E19" s="169" t="n">
        <v>657.6</v>
      </c>
      <c r="F19" s="169" t="n">
        <v>393.3</v>
      </c>
      <c r="G19" s="169" t="n">
        <v>320.2</v>
      </c>
      <c r="H19" s="169" t="n">
        <v>306.2</v>
      </c>
      <c r="I19" s="169" t="n">
        <v>352.1</v>
      </c>
      <c r="J19" s="169" t="n">
        <v>24.8</v>
      </c>
      <c r="K19" s="169" t="n">
        <v>127.1</v>
      </c>
      <c r="L19" s="170">
        <f>J19+K19</f>
        <v/>
      </c>
      <c r="M19" s="169" t="n">
        <v>149.8</v>
      </c>
      <c r="N19" s="169" t="n">
        <v>111.6</v>
      </c>
      <c r="O19" s="169" t="n">
        <v>413.3</v>
      </c>
      <c r="P19" s="169" t="n">
        <v>38.5</v>
      </c>
      <c r="Q19" s="169" t="n">
        <v>161.7</v>
      </c>
      <c r="R19" s="170">
        <f>P19+Q19</f>
        <v/>
      </c>
      <c r="S19" s="169" t="n">
        <v>188</v>
      </c>
      <c r="T19" s="169" t="n">
        <v>156</v>
      </c>
      <c r="U19" s="169" t="n">
        <v>544.1</v>
      </c>
      <c r="V19" s="169" t="n">
        <v>67.7</v>
      </c>
      <c r="W19" s="169" t="n">
        <v>207.3</v>
      </c>
      <c r="X19" s="170">
        <f>V19+W19</f>
        <v/>
      </c>
      <c r="Y19" s="169" t="n">
        <v>250.9</v>
      </c>
      <c r="Z19" s="169" t="n">
        <v>229.9</v>
      </c>
      <c r="AA19" s="169" t="n">
        <v>755.7</v>
      </c>
      <c r="AB19" s="169" t="n">
        <v>148.4</v>
      </c>
      <c r="AC19" s="169" t="n">
        <v>254</v>
      </c>
      <c r="AD19" s="170">
        <f>AB19+AC19</f>
        <v/>
      </c>
      <c r="AE19" s="169" t="n">
        <v>261.8</v>
      </c>
      <c r="AF19" s="169" t="n">
        <v>209</v>
      </c>
      <c r="AG19" s="169" t="n">
        <v>873.1</v>
      </c>
      <c r="AH19" s="169" t="n">
        <v>140.2</v>
      </c>
      <c r="AI19" s="169" t="n">
        <v>252.8</v>
      </c>
      <c r="AJ19" s="170">
        <f>AH19+AI19</f>
        <v/>
      </c>
      <c r="AK19" s="169" t="n">
        <v>259.1</v>
      </c>
      <c r="AL19" s="169" t="n">
        <v>207.9</v>
      </c>
      <c r="AM19" s="169" t="n">
        <v>860</v>
      </c>
      <c r="AN19" s="169" t="n">
        <v>148.2</v>
      </c>
      <c r="AO19" s="169" t="n">
        <v>283.5</v>
      </c>
      <c r="AP19" s="170">
        <f>AN19+AO19</f>
        <v/>
      </c>
      <c r="AQ19" s="169" t="n">
        <v>303.8</v>
      </c>
      <c r="AR19" s="169" t="n">
        <v>256.4</v>
      </c>
      <c r="AS19" s="169" t="n">
        <v>991.9</v>
      </c>
      <c r="AT19" s="169" t="n">
        <v>185.7</v>
      </c>
      <c r="AU19" s="169" t="n">
        <v>329.2</v>
      </c>
      <c r="AV19" s="170">
        <f>AT19+AU19</f>
        <v/>
      </c>
      <c r="AW19" s="169" t="n">
        <v>357.2</v>
      </c>
      <c r="AX19" s="169" t="n">
        <v>274.5</v>
      </c>
      <c r="AY19" s="169" t="n">
        <v>1146.6</v>
      </c>
      <c r="AZ19" s="169" t="n">
        <v>194.1</v>
      </c>
      <c r="BA19" s="169" t="n">
        <v>351.2</v>
      </c>
      <c r="BB19" s="170">
        <f>AZ19+BA19</f>
        <v/>
      </c>
      <c r="BC19" s="169" t="n">
        <v>337.9</v>
      </c>
      <c r="BD19" s="169" t="n">
        <v>276</v>
      </c>
      <c r="BE19" s="169" t="n">
        <v>1159.2</v>
      </c>
      <c r="BF19" s="169" t="n">
        <v>223.6</v>
      </c>
      <c r="BG19" s="169" t="n">
        <v>373.8</v>
      </c>
      <c r="BH19" s="170">
        <f>BF19+BG19</f>
        <v/>
      </c>
      <c r="BI19" s="169" t="n">
        <v>372.3</v>
      </c>
      <c r="BJ19" s="169" t="n">
        <v>325.9</v>
      </c>
      <c r="BK19" s="169" t="n">
        <v>1295.7</v>
      </c>
      <c r="BL19" s="169" t="n">
        <v>242.8</v>
      </c>
      <c r="BM19" s="169" t="n">
        <v>402.4</v>
      </c>
      <c r="BN19" s="170">
        <f>BL19+BM19</f>
        <v/>
      </c>
      <c r="BO19" s="169" t="n">
        <v>436.1</v>
      </c>
      <c r="BP19" s="169" t="n">
        <v>327.1</v>
      </c>
      <c r="BQ19" s="169" t="n">
        <v>1408.5</v>
      </c>
      <c r="BR19" s="169" t="n">
        <v>302.8</v>
      </c>
      <c r="BS19" s="169" t="n">
        <v>498.6</v>
      </c>
      <c r="BT19" s="170">
        <f>BR19+BS19</f>
        <v/>
      </c>
      <c r="BU19" s="169" t="n">
        <v>508.4</v>
      </c>
      <c r="BV19" s="169" t="n">
        <v>423.9</v>
      </c>
      <c r="BW19" s="169" t="n">
        <v>1733.6</v>
      </c>
      <c r="BX19" s="169" t="n">
        <v>303.3</v>
      </c>
      <c r="BY19" s="169" t="n">
        <v>528.5</v>
      </c>
      <c r="BZ19" s="170">
        <f>BX19+BY19</f>
        <v/>
      </c>
      <c r="CA19" s="169" t="n">
        <v>498.5</v>
      </c>
      <c r="CB19" s="169" t="n">
        <v>486.5</v>
      </c>
      <c r="CC19" s="169" t="n">
        <v>1816.7</v>
      </c>
      <c r="CD19" s="169" t="n">
        <v>357.3</v>
      </c>
      <c r="CE19" s="169" t="n">
        <v>559.5</v>
      </c>
      <c r="CF19" s="170">
        <f>CD19+CE19</f>
        <v/>
      </c>
      <c r="CG19" s="169" t="n">
        <v>612.1</v>
      </c>
      <c r="CH19" s="169" t="n">
        <v>435.8</v>
      </c>
      <c r="CI19" s="169" t="n">
        <v>1964.8</v>
      </c>
      <c r="CJ19" s="169" t="n">
        <v>400.3</v>
      </c>
      <c r="CK19" s="169" t="n">
        <v>567.3</v>
      </c>
      <c r="CL19" s="170">
        <f>CJ19+CK19</f>
        <v/>
      </c>
      <c r="CM19" s="171">
        <f>CM21-CM20</f>
        <v/>
      </c>
      <c r="CN19" s="171">
        <f>CN21-CN20</f>
        <v/>
      </c>
      <c r="CO19" s="171">
        <f>SUM(CJ19,CK19,CM19,CN19)</f>
        <v/>
      </c>
      <c r="CP19" s="171">
        <f>CP21-CP20</f>
        <v/>
      </c>
      <c r="CQ19" s="171">
        <f>CQ21-CQ20</f>
        <v/>
      </c>
      <c r="CR19" s="171">
        <f>CR21-CR20</f>
        <v/>
      </c>
      <c r="CS19" s="171">
        <f>CS21-CS20</f>
        <v/>
      </c>
      <c r="CT19" s="22" t="inlineStr">
        <is>
          <t>Forecast GAAP gross profit = cash gross profit − DDA&amp;A.</t>
        </is>
      </c>
      <c r="CV19" s="23" t="n"/>
      <c r="CW19" s="23" t="n"/>
      <c r="CX19" s="23" t="n"/>
      <c r="CY19" s="23" t="n"/>
      <c r="DB19" s="12" t="inlineStr">
        <is>
          <t xml:space="preserve">  Interest expense, net ($m)</t>
        </is>
      </c>
      <c r="DD19" s="37" t="n">
        <v>215</v>
      </c>
      <c r="DF19" t="inlineStr">
        <is>
          <t>Projected bridge Q2-26 ($215m; Q4-25 guide ~$225m).</t>
        </is>
      </c>
    </row>
    <row r="20" ht="15" customHeight="1">
      <c r="B20" s="12" t="inlineStr">
        <is>
          <t xml:space="preserve">  (+) Segment depreciation, depletion, accretion &amp; amortization</t>
        </is>
      </c>
      <c r="C20" s="29" t="n"/>
      <c r="D20" s="169" t="n">
        <v>246.9</v>
      </c>
      <c r="E20" s="169" t="n">
        <v>310.8</v>
      </c>
      <c r="F20" s="169" t="n">
        <v>312.2</v>
      </c>
      <c r="G20" s="169" t="n">
        <v>293</v>
      </c>
      <c r="H20" s="169" t="n">
        <v>277.8</v>
      </c>
      <c r="I20" s="169" t="n">
        <v>240.7</v>
      </c>
      <c r="J20" s="169" t="n">
        <v>55.9</v>
      </c>
      <c r="K20" s="169" t="n">
        <v>56.6</v>
      </c>
      <c r="L20" s="170">
        <f>J20+K20</f>
        <v/>
      </c>
      <c r="M20" s="169" t="n">
        <v>56.7</v>
      </c>
      <c r="N20" s="169" t="n">
        <v>53.6</v>
      </c>
      <c r="O20" s="169" t="n">
        <v>222.8</v>
      </c>
      <c r="P20" s="169" t="n">
        <v>54.6</v>
      </c>
      <c r="Q20" s="169" t="n">
        <v>56.3</v>
      </c>
      <c r="R20" s="170">
        <f>P20+Q20</f>
        <v/>
      </c>
      <c r="S20" s="169" t="n">
        <v>58.5</v>
      </c>
      <c r="T20" s="169" t="n">
        <v>57.9</v>
      </c>
      <c r="U20" s="169" t="n">
        <v>227</v>
      </c>
      <c r="V20" s="169" t="n">
        <v>55.5</v>
      </c>
      <c r="W20" s="169" t="n">
        <v>57</v>
      </c>
      <c r="X20" s="170">
        <f>V20+W20</f>
        <v/>
      </c>
      <c r="Y20" s="169" t="n">
        <v>57.7</v>
      </c>
      <c r="Z20" s="169" t="n">
        <v>58.2</v>
      </c>
      <c r="AA20" s="169" t="n">
        <v>228.5</v>
      </c>
      <c r="AB20" s="169" t="n">
        <v>57.5</v>
      </c>
      <c r="AC20" s="169" t="n">
        <v>59.4</v>
      </c>
      <c r="AD20" s="170">
        <f>AB20+AC20</f>
        <v/>
      </c>
      <c r="AE20" s="169" t="n">
        <v>60.2</v>
      </c>
      <c r="AF20" s="169" t="n">
        <v>59.3</v>
      </c>
      <c r="AG20" s="169" t="n">
        <v>236.5</v>
      </c>
      <c r="AH20" s="169" t="n">
        <v>57.7</v>
      </c>
      <c r="AI20" s="169" t="n">
        <v>60.8</v>
      </c>
      <c r="AJ20" s="170">
        <f>AH20+AI20</f>
        <v/>
      </c>
      <c r="AK20" s="169" t="n">
        <v>64.09999999999999</v>
      </c>
      <c r="AL20" s="169" t="n">
        <v>62.6</v>
      </c>
      <c r="AM20" s="169" t="n">
        <v>245.2</v>
      </c>
      <c r="AN20" s="169" t="n">
        <v>66</v>
      </c>
      <c r="AO20" s="169" t="n">
        <v>69.7</v>
      </c>
      <c r="AP20" s="170">
        <f>AN20+AO20</f>
        <v/>
      </c>
      <c r="AQ20" s="169" t="n">
        <v>72.7</v>
      </c>
      <c r="AR20" s="169" t="n">
        <v>73.2</v>
      </c>
      <c r="AS20" s="169" t="n">
        <v>281.6</v>
      </c>
      <c r="AT20" s="169" t="n">
        <v>72.5</v>
      </c>
      <c r="AU20" s="169" t="n">
        <v>75.8</v>
      </c>
      <c r="AV20" s="170">
        <f>AT20+AU20</f>
        <v/>
      </c>
      <c r="AW20" s="169" t="n">
        <v>79</v>
      </c>
      <c r="AX20" s="169" t="n">
        <v>77.8</v>
      </c>
      <c r="AY20" s="169" t="n">
        <v>305</v>
      </c>
      <c r="AZ20" s="169" t="n">
        <v>77.09999999999999</v>
      </c>
      <c r="BA20" s="169" t="n">
        <v>80.7</v>
      </c>
      <c r="BB20" s="170">
        <f>AZ20+BA20</f>
        <v/>
      </c>
      <c r="BC20" s="169" t="n">
        <v>82.5</v>
      </c>
      <c r="BD20" s="169" t="n">
        <v>80.8</v>
      </c>
      <c r="BE20" s="169" t="n">
        <v>321.1</v>
      </c>
      <c r="BF20" s="169" t="n">
        <v>80.8</v>
      </c>
      <c r="BG20" s="169" t="n">
        <v>84.3</v>
      </c>
      <c r="BH20" s="170">
        <f>BF20+BG20</f>
        <v/>
      </c>
      <c r="BI20" s="169" t="n">
        <v>93.3</v>
      </c>
      <c r="BJ20" s="169" t="n">
        <v>101.9</v>
      </c>
      <c r="BK20" s="169" t="n">
        <v>360.4</v>
      </c>
      <c r="BL20" s="169" t="n">
        <v>103.6</v>
      </c>
      <c r="BM20" s="169" t="n">
        <v>107.3</v>
      </c>
      <c r="BN20" s="170">
        <f>BL20+BM20</f>
        <v/>
      </c>
      <c r="BO20" s="169" t="n">
        <v>113.5</v>
      </c>
      <c r="BP20" s="169" t="n">
        <v>116.7</v>
      </c>
      <c r="BQ20" s="169" t="n">
        <v>441.1</v>
      </c>
      <c r="BR20" s="169" t="n">
        <v>112.3</v>
      </c>
      <c r="BS20" s="169" t="n">
        <v>119.6</v>
      </c>
      <c r="BT20" s="170">
        <f>BR20+BS20</f>
        <v/>
      </c>
      <c r="BU20" s="169" t="n">
        <v>125.6</v>
      </c>
      <c r="BV20" s="169" t="n">
        <v>124.7</v>
      </c>
      <c r="BW20" s="169" t="n">
        <v>482.2</v>
      </c>
      <c r="BX20" s="169" t="n">
        <v>123.5</v>
      </c>
      <c r="BY20" s="169" t="n">
        <v>128</v>
      </c>
      <c r="BZ20" s="170">
        <f>BX20+BY20</f>
        <v/>
      </c>
      <c r="CA20" s="169" t="n">
        <v>130.3</v>
      </c>
      <c r="CB20" s="169" t="n">
        <v>133.8</v>
      </c>
      <c r="CC20" s="169" t="n">
        <v>515.7</v>
      </c>
      <c r="CD20" s="169" t="n">
        <v>150.4</v>
      </c>
      <c r="CE20" s="169" t="n">
        <v>144.3</v>
      </c>
      <c r="CF20" s="170">
        <f>CD20+CE20</f>
        <v/>
      </c>
      <c r="CG20" s="169" t="n">
        <v>153.6</v>
      </c>
      <c r="CH20" s="169" t="n">
        <v>155.3</v>
      </c>
      <c r="CI20" s="169" t="n">
        <v>603.5</v>
      </c>
      <c r="CJ20" s="169" t="n">
        <v>145.9</v>
      </c>
      <c r="CK20" s="169" t="n">
        <v>152.8</v>
      </c>
      <c r="CL20" s="170">
        <f>CJ20+CK20</f>
        <v/>
      </c>
      <c r="CM20" s="171">
        <f>($DD$18-$CL$158)/2*$CL$20/$CL$158</f>
        <v/>
      </c>
      <c r="CN20" s="171">
        <f>($DD$18-$CL$158)/2*$CL$20/$CL$158</f>
        <v/>
      </c>
      <c r="CO20" s="171">
        <f>SUM(CJ20,CK20,CM20,CN20)</f>
        <v/>
      </c>
      <c r="CP20" s="171">
        <f>CP11*CP32</f>
        <v/>
      </c>
      <c r="CQ20" s="171">
        <f>CQ11*CQ32</f>
        <v/>
      </c>
      <c r="CR20" s="171">
        <f>CR11*CR32</f>
        <v/>
      </c>
      <c r="CS20" s="171">
        <f>CS11*CS32</f>
        <v/>
      </c>
      <c r="CT20" s="22" t="inlineStr">
        <is>
          <t>Q3/Q4-26E: FY26 projected DDA&amp;A (outlook bridge) less 1H/26, split by 1H/26 segment mix. 2027E+: tons × DDA&amp;A per ton.</t>
        </is>
      </c>
      <c r="CV20" s="23" t="n"/>
      <c r="CW20" s="23" t="n"/>
      <c r="CX20" s="23" t="n"/>
      <c r="CY20" s="23" t="n"/>
      <c r="DB20" s="12" t="inlineStr">
        <is>
          <t xml:space="preserve">  Tax rate (GAAP &amp; adjusted)</t>
        </is>
      </c>
      <c r="DD20" s="35" t="n">
        <v>0.22</v>
      </c>
      <c r="DF20" t="inlineStr">
        <is>
          <t>Guided 22–23%; bridge implies ~21.8%.</t>
        </is>
      </c>
    </row>
    <row r="21" ht="15" customHeight="1">
      <c r="B21" s="33" t="inlineStr">
        <is>
          <t xml:space="preserve">  Cash gross profit (non-GAAP)</t>
        </is>
      </c>
      <c r="C21" s="175">
        <f>IF(ISNUMBER(C20),C19+C20,"")</f>
        <v/>
      </c>
      <c r="D21" s="175">
        <f>IF(ISNUMBER(D20),D19+D20,"")</f>
        <v/>
      </c>
      <c r="E21" s="175">
        <f>IF(ISNUMBER(E20),E19+E20,"")</f>
        <v/>
      </c>
      <c r="F21" s="175">
        <f>IF(ISNUMBER(F20),F19+F20,"")</f>
        <v/>
      </c>
      <c r="G21" s="175">
        <f>IF(ISNUMBER(G20),G19+G20,"")</f>
        <v/>
      </c>
      <c r="H21" s="175">
        <f>IF(ISNUMBER(H20),H19+H20,"")</f>
        <v/>
      </c>
      <c r="I21" s="175">
        <f>IF(ISNUMBER(I20),I19+I20,"")</f>
        <v/>
      </c>
      <c r="J21" s="173">
        <f>IF(ISNUMBER(J20),J19+J20,"")</f>
        <v/>
      </c>
      <c r="K21" s="173">
        <f>IF(ISNUMBER(K20),K19+K20,"")</f>
        <v/>
      </c>
      <c r="L21" s="173">
        <f>IF(ISNUMBER(L20),L19+L20,"")</f>
        <v/>
      </c>
      <c r="M21" s="173">
        <f>IF(ISNUMBER(M20),M19+M20,"")</f>
        <v/>
      </c>
      <c r="N21" s="173">
        <f>IF(ISNUMBER(N20),N19+N20,"")</f>
        <v/>
      </c>
      <c r="O21" s="175">
        <f>IF(ISNUMBER(O20),O19+O20,"")</f>
        <v/>
      </c>
      <c r="P21" s="173">
        <f>IF(ISNUMBER(P20),P19+P20,"")</f>
        <v/>
      </c>
      <c r="Q21" s="173">
        <f>IF(ISNUMBER(Q20),Q19+Q20,"")</f>
        <v/>
      </c>
      <c r="R21" s="173">
        <f>IF(ISNUMBER(R20),R19+R20,"")</f>
        <v/>
      </c>
      <c r="S21" s="173">
        <f>IF(ISNUMBER(S20),S19+S20,"")</f>
        <v/>
      </c>
      <c r="T21" s="173">
        <f>IF(ISNUMBER(T20),T19+T20,"")</f>
        <v/>
      </c>
      <c r="U21" s="175">
        <f>IF(ISNUMBER(U20),U19+U20,"")</f>
        <v/>
      </c>
      <c r="V21" s="173">
        <f>IF(ISNUMBER(V20),V19+V20,"")</f>
        <v/>
      </c>
      <c r="W21" s="173">
        <f>IF(ISNUMBER(W20),W19+W20,"")</f>
        <v/>
      </c>
      <c r="X21" s="173">
        <f>IF(ISNUMBER(X20),X19+X20,"")</f>
        <v/>
      </c>
      <c r="Y21" s="173">
        <f>IF(ISNUMBER(Y20),Y19+Y20,"")</f>
        <v/>
      </c>
      <c r="Z21" s="173">
        <f>IF(ISNUMBER(Z20),Z19+Z20,"")</f>
        <v/>
      </c>
      <c r="AA21" s="175">
        <f>IF(ISNUMBER(AA20),AA19+AA20,"")</f>
        <v/>
      </c>
      <c r="AB21" s="173">
        <f>IF(ISNUMBER(AB20),AB19+AB20,"")</f>
        <v/>
      </c>
      <c r="AC21" s="173">
        <f>IF(ISNUMBER(AC20),AC19+AC20,"")</f>
        <v/>
      </c>
      <c r="AD21" s="173">
        <f>IF(ISNUMBER(AD20),AD19+AD20,"")</f>
        <v/>
      </c>
      <c r="AE21" s="173">
        <f>IF(ISNUMBER(AE20),AE19+AE20,"")</f>
        <v/>
      </c>
      <c r="AF21" s="173">
        <f>IF(ISNUMBER(AF20),AF19+AF20,"")</f>
        <v/>
      </c>
      <c r="AG21" s="175">
        <f>IF(ISNUMBER(AG20),AG19+AG20,"")</f>
        <v/>
      </c>
      <c r="AH21" s="173">
        <f>IF(ISNUMBER(AH20),AH19+AH20,"")</f>
        <v/>
      </c>
      <c r="AI21" s="173">
        <f>IF(ISNUMBER(AI20),AI19+AI20,"")</f>
        <v/>
      </c>
      <c r="AJ21" s="173">
        <f>IF(ISNUMBER(AJ20),AJ19+AJ20,"")</f>
        <v/>
      </c>
      <c r="AK21" s="173">
        <f>IF(ISNUMBER(AK20),AK19+AK20,"")</f>
        <v/>
      </c>
      <c r="AL21" s="173">
        <f>IF(ISNUMBER(AL20),AL19+AL20,"")</f>
        <v/>
      </c>
      <c r="AM21" s="175">
        <f>IF(ISNUMBER(AM20),AM19+AM20,"")</f>
        <v/>
      </c>
      <c r="AN21" s="173">
        <f>IF(ISNUMBER(AN20),AN19+AN20,"")</f>
        <v/>
      </c>
      <c r="AO21" s="173">
        <f>IF(ISNUMBER(AO20),AO19+AO20,"")</f>
        <v/>
      </c>
      <c r="AP21" s="173">
        <f>IF(ISNUMBER(AP20),AP19+AP20,"")</f>
        <v/>
      </c>
      <c r="AQ21" s="173">
        <f>IF(ISNUMBER(AQ20),AQ19+AQ20,"")</f>
        <v/>
      </c>
      <c r="AR21" s="173">
        <f>IF(ISNUMBER(AR20),AR19+AR20,"")</f>
        <v/>
      </c>
      <c r="AS21" s="175">
        <f>IF(ISNUMBER(AS20),AS19+AS20,"")</f>
        <v/>
      </c>
      <c r="AT21" s="173">
        <f>IF(ISNUMBER(AT20),AT19+AT20,"")</f>
        <v/>
      </c>
      <c r="AU21" s="173">
        <f>IF(ISNUMBER(AU20),AU19+AU20,"")</f>
        <v/>
      </c>
      <c r="AV21" s="173">
        <f>IF(ISNUMBER(AV20),AV19+AV20,"")</f>
        <v/>
      </c>
      <c r="AW21" s="173">
        <f>IF(ISNUMBER(AW20),AW19+AW20,"")</f>
        <v/>
      </c>
      <c r="AX21" s="173">
        <f>IF(ISNUMBER(AX20),AX19+AX20,"")</f>
        <v/>
      </c>
      <c r="AY21" s="175">
        <f>IF(ISNUMBER(AY20),AY19+AY20,"")</f>
        <v/>
      </c>
      <c r="AZ21" s="173">
        <f>IF(ISNUMBER(AZ20),AZ19+AZ20,"")</f>
        <v/>
      </c>
      <c r="BA21" s="173">
        <f>IF(ISNUMBER(BA20),BA19+BA20,"")</f>
        <v/>
      </c>
      <c r="BB21" s="173">
        <f>IF(ISNUMBER(BB20),BB19+BB20,"")</f>
        <v/>
      </c>
      <c r="BC21" s="173">
        <f>IF(ISNUMBER(BC20),BC19+BC20,"")</f>
        <v/>
      </c>
      <c r="BD21" s="173">
        <f>IF(ISNUMBER(BD20),BD19+BD20,"")</f>
        <v/>
      </c>
      <c r="BE21" s="175">
        <f>IF(ISNUMBER(BE20),BE19+BE20,"")</f>
        <v/>
      </c>
      <c r="BF21" s="173">
        <f>IF(ISNUMBER(BF20),BF19+BF20,"")</f>
        <v/>
      </c>
      <c r="BG21" s="173">
        <f>IF(ISNUMBER(BG20),BG19+BG20,"")</f>
        <v/>
      </c>
      <c r="BH21" s="173">
        <f>IF(ISNUMBER(BH20),BH19+BH20,"")</f>
        <v/>
      </c>
      <c r="BI21" s="173">
        <f>IF(ISNUMBER(BI20),BI19+BI20,"")</f>
        <v/>
      </c>
      <c r="BJ21" s="173">
        <f>IF(ISNUMBER(BJ20),BJ19+BJ20,"")</f>
        <v/>
      </c>
      <c r="BK21" s="175">
        <f>IF(ISNUMBER(BK20),BK19+BK20,"")</f>
        <v/>
      </c>
      <c r="BL21" s="173">
        <f>IF(ISNUMBER(BL20),BL19+BL20,"")</f>
        <v/>
      </c>
      <c r="BM21" s="173">
        <f>IF(ISNUMBER(BM20),BM19+BM20,"")</f>
        <v/>
      </c>
      <c r="BN21" s="173">
        <f>IF(ISNUMBER(BN20),BN19+BN20,"")</f>
        <v/>
      </c>
      <c r="BO21" s="173">
        <f>IF(ISNUMBER(BO20),BO19+BO20,"")</f>
        <v/>
      </c>
      <c r="BP21" s="173">
        <f>IF(ISNUMBER(BP20),BP19+BP20,"")</f>
        <v/>
      </c>
      <c r="BQ21" s="175">
        <f>IF(ISNUMBER(BQ20),BQ19+BQ20,"")</f>
        <v/>
      </c>
      <c r="BR21" s="173">
        <f>IF(ISNUMBER(BR20),BR19+BR20,"")</f>
        <v/>
      </c>
      <c r="BS21" s="173">
        <f>IF(ISNUMBER(BS20),BS19+BS20,"")</f>
        <v/>
      </c>
      <c r="BT21" s="173">
        <f>IF(ISNUMBER(BT20),BT19+BT20,"")</f>
        <v/>
      </c>
      <c r="BU21" s="173">
        <f>IF(ISNUMBER(BU20),BU19+BU20,"")</f>
        <v/>
      </c>
      <c r="BV21" s="173">
        <f>IF(ISNUMBER(BV20),BV19+BV20,"")</f>
        <v/>
      </c>
      <c r="BW21" s="175">
        <f>IF(ISNUMBER(BW20),BW19+BW20,"")</f>
        <v/>
      </c>
      <c r="BX21" s="173">
        <f>IF(ISNUMBER(BX20),BX19+BX20,"")</f>
        <v/>
      </c>
      <c r="BY21" s="173">
        <f>IF(ISNUMBER(BY20),BY19+BY20,"")</f>
        <v/>
      </c>
      <c r="BZ21" s="173">
        <f>IF(ISNUMBER(BZ20),BZ19+BZ20,"")</f>
        <v/>
      </c>
      <c r="CA21" s="173">
        <f>IF(ISNUMBER(CA20),CA19+CA20,"")</f>
        <v/>
      </c>
      <c r="CB21" s="173">
        <f>IF(ISNUMBER(CB20),CB19+CB20,"")</f>
        <v/>
      </c>
      <c r="CC21" s="175">
        <f>IF(ISNUMBER(CC20),CC19+CC20,"")</f>
        <v/>
      </c>
      <c r="CD21" s="173">
        <f>IF(ISNUMBER(CD20),CD19+CD20,"")</f>
        <v/>
      </c>
      <c r="CE21" s="173">
        <f>IF(ISNUMBER(CE20),CE19+CE20,"")</f>
        <v/>
      </c>
      <c r="CF21" s="173">
        <f>IF(ISNUMBER(CF20),CF19+CF20,"")</f>
        <v/>
      </c>
      <c r="CG21" s="173">
        <f>IF(ISNUMBER(CG20),CG19+CG20,"")</f>
        <v/>
      </c>
      <c r="CH21" s="173">
        <f>IF(ISNUMBER(CH20),CH19+CH20,"")</f>
        <v/>
      </c>
      <c r="CI21" s="175">
        <f>IF(ISNUMBER(CI20),CI19+CI20,"")</f>
        <v/>
      </c>
      <c r="CJ21" s="173">
        <f>IF(ISNUMBER(CJ20),CJ19+CJ20,"")</f>
        <v/>
      </c>
      <c r="CK21" s="173">
        <f>IF(ISNUMBER(CK20),CK19+CK20,"")</f>
        <v/>
      </c>
      <c r="CL21" s="173">
        <f>IF(ISNUMBER(CL20),CL19+CL20,"")</f>
        <v/>
      </c>
      <c r="CM21" s="175">
        <f>CM11*(CM13-CM27)</f>
        <v/>
      </c>
      <c r="CN21" s="175">
        <f>CN11*(CN13-CN27)</f>
        <v/>
      </c>
      <c r="CO21" s="175">
        <f>SUM(CJ21,CK21,CM21,CN21)</f>
        <v/>
      </c>
      <c r="CP21" s="175">
        <f>CP11*(CP13-CP27)</f>
        <v/>
      </c>
      <c r="CQ21" s="175">
        <f>CQ11*(CQ13-CQ27)</f>
        <v/>
      </c>
      <c r="CR21" s="175">
        <f>CR11*(CR13-CR27)</f>
        <v/>
      </c>
      <c r="CS21" s="175">
        <f>CS11*(CS13-CS27)</f>
        <v/>
      </c>
      <c r="CT21" s="22" t="inlineStr">
        <is>
          <t>Company non-GAAP measure: segment gross profit + DDA&amp;A. Forecast = tons × (freight-adjusted price − unit cash cost).</t>
        </is>
      </c>
      <c r="CV21" s="23">
        <f>IFERROR((CS21/CI21)^(1/5)-1,"n/m")</f>
        <v/>
      </c>
      <c r="CW21" s="23">
        <f>IFERROR((CI21/BE21)^(1/5)-1,"n/m")</f>
        <v/>
      </c>
      <c r="CX21" s="23">
        <f>IFERROR((CI21/AA21)^(1/10)-1,"n/m")</f>
        <v/>
      </c>
      <c r="CY21" s="23">
        <f>IFERROR((CI21/C21)^(1/19)-1,"n/m")</f>
        <v/>
      </c>
      <c r="DB21" s="12" t="inlineStr">
        <is>
          <t xml:space="preserve">  SAG expense ($m)</t>
        </is>
      </c>
      <c r="DD21" s="37" t="n">
        <v>585</v>
      </c>
      <c r="DF21" t="inlineStr">
        <is>
          <t>Guided $580–590m.</t>
        </is>
      </c>
    </row>
    <row r="22" ht="15" customHeight="1">
      <c r="B22" s="36" t="inlineStr">
        <is>
          <t xml:space="preserve">  Memo: cash gross profit as published</t>
        </is>
      </c>
      <c r="C22" s="29" t="n"/>
      <c r="D22" s="29" t="n"/>
      <c r="E22" s="29" t="n"/>
      <c r="F22" s="29" t="n"/>
      <c r="G22" s="29" t="n"/>
      <c r="H22" s="29" t="n"/>
      <c r="I22" s="169" t="n">
        <v>592.8</v>
      </c>
      <c r="J22" s="169" t="n">
        <v>80.7</v>
      </c>
      <c r="K22" s="169" t="n">
        <v>183.7</v>
      </c>
      <c r="L22" s="170">
        <f>J22+K22</f>
        <v/>
      </c>
      <c r="M22" s="169" t="n">
        <v>206.5</v>
      </c>
      <c r="N22" s="169" t="n">
        <v>165.2</v>
      </c>
      <c r="O22" s="169" t="n">
        <v>636.1</v>
      </c>
      <c r="P22" s="169" t="n">
        <v>93.09999999999999</v>
      </c>
      <c r="Q22" s="169" t="n">
        <v>218.1</v>
      </c>
      <c r="R22" s="170">
        <f>P22+Q22</f>
        <v/>
      </c>
      <c r="S22" s="169" t="n">
        <v>246.5</v>
      </c>
      <c r="T22" s="169" t="n">
        <v>213.8</v>
      </c>
      <c r="U22" s="169" t="n">
        <v>771.1</v>
      </c>
      <c r="V22" s="169" t="n">
        <v>123.2</v>
      </c>
      <c r="W22" s="169" t="n">
        <v>264.3</v>
      </c>
      <c r="X22" s="170">
        <f>V22+W22</f>
        <v/>
      </c>
      <c r="Y22" s="169" t="n">
        <v>308.6</v>
      </c>
      <c r="Z22" s="169" t="n">
        <v>288.1</v>
      </c>
      <c r="AA22" s="169" t="n">
        <v>984.1</v>
      </c>
      <c r="AB22" s="169" t="n">
        <v>205.9</v>
      </c>
      <c r="AC22" s="169" t="n">
        <v>313.4</v>
      </c>
      <c r="AD22" s="170">
        <f>AB22+AC22</f>
        <v/>
      </c>
      <c r="AE22" s="169" t="n">
        <v>322</v>
      </c>
      <c r="AF22" s="169" t="n">
        <v>268.3</v>
      </c>
      <c r="AG22" s="169" t="n">
        <v>1109.6</v>
      </c>
      <c r="AH22" s="169" t="n">
        <v>197.8</v>
      </c>
      <c r="AI22" s="169" t="n">
        <v>313.6</v>
      </c>
      <c r="AJ22" s="170">
        <f>AH22+AI22</f>
        <v/>
      </c>
      <c r="AK22" s="169" t="n">
        <v>323.2</v>
      </c>
      <c r="AL22" s="169" t="n">
        <v>270.5</v>
      </c>
      <c r="AM22" s="169" t="n">
        <v>1105.2</v>
      </c>
      <c r="AN22" s="169" t="n">
        <v>214.2</v>
      </c>
      <c r="AO22" s="169" t="n">
        <v>353.2</v>
      </c>
      <c r="AP22" s="170">
        <f>AN22+AO22</f>
        <v/>
      </c>
      <c r="AQ22" s="169" t="n">
        <v>376.5</v>
      </c>
      <c r="AR22" s="169" t="n">
        <v>329.6</v>
      </c>
      <c r="AS22" s="169" t="n">
        <v>1273.5</v>
      </c>
      <c r="AT22" s="169" t="n">
        <v>258.2</v>
      </c>
      <c r="AU22" s="169" t="n">
        <v>405</v>
      </c>
      <c r="AV22" s="170">
        <f>AT22+AU22</f>
        <v/>
      </c>
      <c r="AW22" s="169" t="n">
        <v>436.2</v>
      </c>
      <c r="AX22" s="169" t="n">
        <v>352.3</v>
      </c>
      <c r="AY22" s="169" t="n">
        <v>1451.7</v>
      </c>
      <c r="AZ22" s="169" t="n">
        <v>271.3</v>
      </c>
      <c r="BA22" s="169" t="n">
        <v>431.9</v>
      </c>
      <c r="BB22" s="170">
        <f>AZ22+BA22</f>
        <v/>
      </c>
      <c r="BC22" s="169" t="n">
        <v>420.4</v>
      </c>
      <c r="BD22" s="169" t="n">
        <v>356.8</v>
      </c>
      <c r="BE22" s="169" t="n">
        <v>1480.3</v>
      </c>
      <c r="BF22" s="169" t="n">
        <v>304.4</v>
      </c>
      <c r="BG22" s="169" t="n">
        <v>458.2</v>
      </c>
      <c r="BH22" s="170">
        <f>BF22+BG22</f>
        <v/>
      </c>
      <c r="BI22" s="169" t="n">
        <v>465.7</v>
      </c>
      <c r="BJ22" s="169" t="n">
        <v>427.8</v>
      </c>
      <c r="BK22" s="169" t="n">
        <v>1656.1</v>
      </c>
      <c r="BL22" s="169" t="n">
        <v>346.4</v>
      </c>
      <c r="BM22" s="169" t="n">
        <v>509.7</v>
      </c>
      <c r="BN22" s="170">
        <f>BL22+BM22</f>
        <v/>
      </c>
      <c r="BO22" s="169" t="n">
        <v>549.6</v>
      </c>
      <c r="BP22" s="169" t="n">
        <v>443.8</v>
      </c>
      <c r="BQ22" s="169" t="n">
        <v>1849.6</v>
      </c>
      <c r="BR22" s="169" t="n">
        <v>415.1</v>
      </c>
      <c r="BS22" s="169" t="n">
        <v>618.2</v>
      </c>
      <c r="BT22" s="170">
        <f>BR22+BS22</f>
        <v/>
      </c>
      <c r="BU22" s="169" t="n">
        <v>634</v>
      </c>
      <c r="BV22" s="169" t="n">
        <v>548.6</v>
      </c>
      <c r="BW22" s="169" t="n">
        <v>2215.8</v>
      </c>
      <c r="BX22" s="169" t="n">
        <v>426.8</v>
      </c>
      <c r="BY22" s="169" t="n">
        <v>656.5</v>
      </c>
      <c r="BZ22" s="170">
        <f>BX22+BY22</f>
        <v/>
      </c>
      <c r="CA22" s="169" t="n">
        <v>628.8</v>
      </c>
      <c r="CB22" s="169" t="n">
        <v>620.3</v>
      </c>
      <c r="CC22" s="169" t="n">
        <v>2332.4</v>
      </c>
      <c r="CD22" s="169" t="n">
        <v>507.7</v>
      </c>
      <c r="CE22" s="169" t="n">
        <v>703.8</v>
      </c>
      <c r="CF22" s="170">
        <f>CD22+CE22</f>
        <v/>
      </c>
      <c r="CG22" s="169" t="n">
        <v>765.7</v>
      </c>
      <c r="CH22" s="169" t="n">
        <v>591.1</v>
      </c>
      <c r="CI22" s="169" t="n">
        <v>2568.3</v>
      </c>
      <c r="CJ22" s="169" t="n">
        <v>546.2</v>
      </c>
      <c r="CK22" s="169" t="n">
        <v>720.1</v>
      </c>
      <c r="CL22" s="170">
        <f>CJ22+CK22</f>
        <v/>
      </c>
      <c r="CM22" s="31" t="n"/>
      <c r="CN22" s="31" t="n"/>
      <c r="CO22" s="31" t="n"/>
      <c r="CP22" s="31" t="n"/>
      <c r="CQ22" s="31" t="n"/>
      <c r="CR22" s="31" t="n"/>
      <c r="CS22" s="31" t="n"/>
      <c r="CT22" s="22" t="n"/>
      <c r="CV22" s="6" t="n"/>
      <c r="CW22" s="6" t="n"/>
      <c r="CX22" s="6" t="n"/>
      <c r="CY22" s="6" t="n"/>
      <c r="DB22" s="12" t="inlineStr">
        <is>
          <t xml:space="preserve">  Capital expenditures ($m)</t>
        </is>
      </c>
      <c r="DD22" s="37" t="n">
        <v>775</v>
      </c>
      <c r="DF22" t="inlineStr">
        <is>
          <t>Guided $750–800m.</t>
        </is>
      </c>
    </row>
    <row r="23" ht="15" customHeight="1">
      <c r="B23" s="38" t="inlineStr">
        <is>
          <t xml:space="preserve">  Check: build vs published (should be 0)</t>
        </is>
      </c>
      <c r="C23" s="176">
        <f>IF(ISNUMBER(C22),ROUND(C21-C22,1),"n/p")</f>
        <v/>
      </c>
      <c r="D23" s="176">
        <f>IF(ISNUMBER(D22),ROUND(D21-D22,1),"n/p")</f>
        <v/>
      </c>
      <c r="E23" s="176">
        <f>IF(ISNUMBER(E22),ROUND(E21-E22,1),"n/p")</f>
        <v/>
      </c>
      <c r="F23" s="176">
        <f>IF(ISNUMBER(F22),ROUND(F21-F22,1),"n/p")</f>
        <v/>
      </c>
      <c r="G23" s="176">
        <f>IF(ISNUMBER(G22),ROUND(G21-G22,1),"n/p")</f>
        <v/>
      </c>
      <c r="H23" s="176">
        <f>IF(ISNUMBER(H22),ROUND(H21-H22,1),"n/p")</f>
        <v/>
      </c>
      <c r="I23" s="176">
        <f>IF(ISNUMBER(I22),ROUND(I21-I22,1),"n/p")</f>
        <v/>
      </c>
      <c r="J23" s="176">
        <f>IF(ISNUMBER(J22),ROUND(J21-J22,1),"n/p")</f>
        <v/>
      </c>
      <c r="K23" s="176">
        <f>IF(ISNUMBER(K22),ROUND(K21-K22,1),"n/p")</f>
        <v/>
      </c>
      <c r="L23" s="176">
        <f>IF(ISNUMBER(L22),ROUND(L21-L22,1),"n/p")</f>
        <v/>
      </c>
      <c r="M23" s="176">
        <f>IF(ISNUMBER(M22),ROUND(M21-M22,1),"n/p")</f>
        <v/>
      </c>
      <c r="N23" s="176">
        <f>IF(ISNUMBER(N22),ROUND(N21-N22,1),"n/p")</f>
        <v/>
      </c>
      <c r="O23" s="176">
        <f>IF(ISNUMBER(O22),ROUND(O21-O22,1),"n/p")</f>
        <v/>
      </c>
      <c r="P23" s="176">
        <f>IF(ISNUMBER(P22),ROUND(P21-P22,1),"n/p")</f>
        <v/>
      </c>
      <c r="Q23" s="176">
        <f>IF(ISNUMBER(Q22),ROUND(Q21-Q22,1),"n/p")</f>
        <v/>
      </c>
      <c r="R23" s="176">
        <f>IF(ISNUMBER(R22),ROUND(R21-R22,1),"n/p")</f>
        <v/>
      </c>
      <c r="S23" s="176">
        <f>IF(ISNUMBER(S22),ROUND(S21-S22,1),"n/p")</f>
        <v/>
      </c>
      <c r="T23" s="176">
        <f>IF(ISNUMBER(T22),ROUND(T21-T22,1),"n/p")</f>
        <v/>
      </c>
      <c r="U23" s="176">
        <f>IF(ISNUMBER(U22),ROUND(U21-U22,1),"n/p")</f>
        <v/>
      </c>
      <c r="V23" s="176">
        <f>IF(ISNUMBER(V22),ROUND(V21-V22,1),"n/p")</f>
        <v/>
      </c>
      <c r="W23" s="176">
        <f>IF(ISNUMBER(W22),ROUND(W21-W22,1),"n/p")</f>
        <v/>
      </c>
      <c r="X23" s="176">
        <f>IF(ISNUMBER(X22),ROUND(X21-X22,1),"n/p")</f>
        <v/>
      </c>
      <c r="Y23" s="176">
        <f>IF(ISNUMBER(Y22),ROUND(Y21-Y22,1),"n/p")</f>
        <v/>
      </c>
      <c r="Z23" s="176">
        <f>IF(ISNUMBER(Z22),ROUND(Z21-Z22,1),"n/p")</f>
        <v/>
      </c>
      <c r="AA23" s="176">
        <f>IF(ISNUMBER(AA22),ROUND(AA21-AA22,1),"n/p")</f>
        <v/>
      </c>
      <c r="AB23" s="176">
        <f>IF(ISNUMBER(AB22),ROUND(AB21-AB22,1),"n/p")</f>
        <v/>
      </c>
      <c r="AC23" s="176">
        <f>IF(ISNUMBER(AC22),ROUND(AC21-AC22,1),"n/p")</f>
        <v/>
      </c>
      <c r="AD23" s="176">
        <f>IF(ISNUMBER(AD22),ROUND(AD21-AD22,1),"n/p")</f>
        <v/>
      </c>
      <c r="AE23" s="176">
        <f>IF(ISNUMBER(AE22),ROUND(AE21-AE22,1),"n/p")</f>
        <v/>
      </c>
      <c r="AF23" s="176">
        <f>IF(ISNUMBER(AF22),ROUND(AF21-AF22,1),"n/p")</f>
        <v/>
      </c>
      <c r="AG23" s="176">
        <f>IF(ISNUMBER(AG22),ROUND(AG21-AG22,1),"n/p")</f>
        <v/>
      </c>
      <c r="AH23" s="176">
        <f>IF(ISNUMBER(AH22),ROUND(AH21-AH22,1),"n/p")</f>
        <v/>
      </c>
      <c r="AI23" s="176">
        <f>IF(ISNUMBER(AI22),ROUND(AI21-AI22,1),"n/p")</f>
        <v/>
      </c>
      <c r="AJ23" s="176">
        <f>IF(ISNUMBER(AJ22),ROUND(AJ21-AJ22,1),"n/p")</f>
        <v/>
      </c>
      <c r="AK23" s="176">
        <f>IF(ISNUMBER(AK22),ROUND(AK21-AK22,1),"n/p")</f>
        <v/>
      </c>
      <c r="AL23" s="176">
        <f>IF(ISNUMBER(AL22),ROUND(AL21-AL22,1),"n/p")</f>
        <v/>
      </c>
      <c r="AM23" s="176">
        <f>IF(ISNUMBER(AM22),ROUND(AM21-AM22,1),"n/p")</f>
        <v/>
      </c>
      <c r="AN23" s="176">
        <f>IF(ISNUMBER(AN22),ROUND(AN21-AN22,1),"n/p")</f>
        <v/>
      </c>
      <c r="AO23" s="176">
        <f>IF(ISNUMBER(AO22),ROUND(AO21-AO22,1),"n/p")</f>
        <v/>
      </c>
      <c r="AP23" s="176">
        <f>IF(ISNUMBER(AP22),ROUND(AP21-AP22,1),"n/p")</f>
        <v/>
      </c>
      <c r="AQ23" s="176">
        <f>IF(ISNUMBER(AQ22),ROUND(AQ21-AQ22,1),"n/p")</f>
        <v/>
      </c>
      <c r="AR23" s="176">
        <f>IF(ISNUMBER(AR22),ROUND(AR21-AR22,1),"n/p")</f>
        <v/>
      </c>
      <c r="AS23" s="176">
        <f>IF(ISNUMBER(AS22),ROUND(AS21-AS22,1),"n/p")</f>
        <v/>
      </c>
      <c r="AT23" s="176">
        <f>IF(ISNUMBER(AT22),ROUND(AT21-AT22,1),"n/p")</f>
        <v/>
      </c>
      <c r="AU23" s="176">
        <f>IF(ISNUMBER(AU22),ROUND(AU21-AU22,1),"n/p")</f>
        <v/>
      </c>
      <c r="AV23" s="176">
        <f>IF(ISNUMBER(AV22),ROUND(AV21-AV22,1),"n/p")</f>
        <v/>
      </c>
      <c r="AW23" s="176">
        <f>IF(ISNUMBER(AW22),ROUND(AW21-AW22,1),"n/p")</f>
        <v/>
      </c>
      <c r="AX23" s="176">
        <f>IF(ISNUMBER(AX22),ROUND(AX21-AX22,1),"n/p")</f>
        <v/>
      </c>
      <c r="AY23" s="176">
        <f>IF(ISNUMBER(AY22),ROUND(AY21-AY22,1),"n/p")</f>
        <v/>
      </c>
      <c r="AZ23" s="176">
        <f>IF(ISNUMBER(AZ22),ROUND(AZ21-AZ22,1),"n/p")</f>
        <v/>
      </c>
      <c r="BA23" s="176">
        <f>IF(ISNUMBER(BA22),ROUND(BA21-BA22,1),"n/p")</f>
        <v/>
      </c>
      <c r="BB23" s="176">
        <f>IF(ISNUMBER(BB22),ROUND(BB21-BB22,1),"n/p")</f>
        <v/>
      </c>
      <c r="BC23" s="176">
        <f>IF(ISNUMBER(BC22),ROUND(BC21-BC22,1),"n/p")</f>
        <v/>
      </c>
      <c r="BD23" s="176">
        <f>IF(ISNUMBER(BD22),ROUND(BD21-BD22,1),"n/p")</f>
        <v/>
      </c>
      <c r="BE23" s="176">
        <f>IF(ISNUMBER(BE22),ROUND(BE21-BE22,1),"n/p")</f>
        <v/>
      </c>
      <c r="BF23" s="176">
        <f>IF(ISNUMBER(BF22),ROUND(BF21-BF22,1),"n/p")</f>
        <v/>
      </c>
      <c r="BG23" s="176">
        <f>IF(ISNUMBER(BG22),ROUND(BG21-BG22,1),"n/p")</f>
        <v/>
      </c>
      <c r="BH23" s="176">
        <f>IF(ISNUMBER(BH22),ROUND(BH21-BH22,1),"n/p")</f>
        <v/>
      </c>
      <c r="BI23" s="176">
        <f>IF(ISNUMBER(BI22),ROUND(BI21-BI22,1),"n/p")</f>
        <v/>
      </c>
      <c r="BJ23" s="176">
        <f>IF(ISNUMBER(BJ22),ROUND(BJ21-BJ22,1),"n/p")</f>
        <v/>
      </c>
      <c r="BK23" s="176">
        <f>IF(ISNUMBER(BK22),ROUND(BK21-BK22,1),"n/p")</f>
        <v/>
      </c>
      <c r="BL23" s="176">
        <f>IF(ISNUMBER(BL22),ROUND(BL21-BL22,1),"n/p")</f>
        <v/>
      </c>
      <c r="BM23" s="176">
        <f>IF(ISNUMBER(BM22),ROUND(BM21-BM22,1),"n/p")</f>
        <v/>
      </c>
      <c r="BN23" s="176">
        <f>IF(ISNUMBER(BN22),ROUND(BN21-BN22,1),"n/p")</f>
        <v/>
      </c>
      <c r="BO23" s="176">
        <f>IF(ISNUMBER(BO22),ROUND(BO21-BO22,1),"n/p")</f>
        <v/>
      </c>
      <c r="BP23" s="176">
        <f>IF(ISNUMBER(BP22),ROUND(BP21-BP22,1),"n/p")</f>
        <v/>
      </c>
      <c r="BQ23" s="176">
        <f>IF(ISNUMBER(BQ22),ROUND(BQ21-BQ22,1),"n/p")</f>
        <v/>
      </c>
      <c r="BR23" s="176">
        <f>IF(ISNUMBER(BR22),ROUND(BR21-BR22,1),"n/p")</f>
        <v/>
      </c>
      <c r="BS23" s="176">
        <f>IF(ISNUMBER(BS22),ROUND(BS21-BS22,1),"n/p")</f>
        <v/>
      </c>
      <c r="BT23" s="176">
        <f>IF(ISNUMBER(BT22),ROUND(BT21-BT22,1),"n/p")</f>
        <v/>
      </c>
      <c r="BU23" s="176">
        <f>IF(ISNUMBER(BU22),ROUND(BU21-BU22,1),"n/p")</f>
        <v/>
      </c>
      <c r="BV23" s="176">
        <f>IF(ISNUMBER(BV22),ROUND(BV21-BV22,1),"n/p")</f>
        <v/>
      </c>
      <c r="BW23" s="176">
        <f>IF(ISNUMBER(BW22),ROUND(BW21-BW22,1),"n/p")</f>
        <v/>
      </c>
      <c r="BX23" s="176">
        <f>IF(ISNUMBER(BX22),ROUND(BX21-BX22,1),"n/p")</f>
        <v/>
      </c>
      <c r="BY23" s="176">
        <f>IF(ISNUMBER(BY22),ROUND(BY21-BY22,1),"n/p")</f>
        <v/>
      </c>
      <c r="BZ23" s="176">
        <f>IF(ISNUMBER(BZ22),ROUND(BZ21-BZ22,1),"n/p")</f>
        <v/>
      </c>
      <c r="CA23" s="176">
        <f>IF(ISNUMBER(CA22),ROUND(CA21-CA22,1),"n/p")</f>
        <v/>
      </c>
      <c r="CB23" s="176">
        <f>IF(ISNUMBER(CB22),ROUND(CB21-CB22,1),"n/p")</f>
        <v/>
      </c>
      <c r="CC23" s="176">
        <f>IF(ISNUMBER(CC22),ROUND(CC21-CC22,1),"n/p")</f>
        <v/>
      </c>
      <c r="CD23" s="176">
        <f>IF(ISNUMBER(CD22),ROUND(CD21-CD22,1),"n/p")</f>
        <v/>
      </c>
      <c r="CE23" s="176">
        <f>IF(ISNUMBER(CE22),ROUND(CE21-CE22,1),"n/p")</f>
        <v/>
      </c>
      <c r="CF23" s="176">
        <f>IF(ISNUMBER(CF22),ROUND(CF21-CF22,1),"n/p")</f>
        <v/>
      </c>
      <c r="CG23" s="176">
        <f>IF(ISNUMBER(CG22),ROUND(CG21-CG22,1),"n/p")</f>
        <v/>
      </c>
      <c r="CH23" s="176">
        <f>IF(ISNUMBER(CH22),ROUND(CH21-CH22,1),"n/p")</f>
        <v/>
      </c>
      <c r="CI23" s="176">
        <f>IF(ISNUMBER(CI22),ROUND(CI21-CI22,1),"n/p")</f>
        <v/>
      </c>
      <c r="CJ23" s="176">
        <f>IF(ISNUMBER(CJ22),ROUND(CJ21-CJ22,1),"n/p")</f>
        <v/>
      </c>
      <c r="CK23" s="176">
        <f>IF(ISNUMBER(CK22),ROUND(CK21-CK22,1),"n/p")</f>
        <v/>
      </c>
      <c r="CL23" s="176">
        <f>IF(ISNUMBER(CL22),ROUND(CL21-CL22,1),"n/p")</f>
        <v/>
      </c>
      <c r="CM23" s="31" t="n"/>
      <c r="CN23" s="31" t="n"/>
      <c r="CO23" s="31" t="n"/>
      <c r="CP23" s="31" t="n"/>
      <c r="CQ23" s="31" t="n"/>
      <c r="CR23" s="31" t="n"/>
      <c r="CS23" s="31" t="n"/>
      <c r="CT23" s="22" t="n"/>
      <c r="CV23" s="6" t="n"/>
      <c r="CW23" s="6" t="n"/>
      <c r="CX23" s="6" t="n"/>
      <c r="CY23" s="6" t="n"/>
      <c r="DB23" s="12" t="inlineStr">
        <is>
          <t xml:space="preserve">  Aggregates unit cash cost growth, FY26 (%)</t>
        </is>
      </c>
      <c r="DD23" s="35" t="n">
        <v>0.03</v>
      </c>
      <c r="DF23" t="inlineStr">
        <is>
          <t>Guided "low-single-digit increase" in freight-adjusted unit cash cost ($10.65 in 2025); 3% analyst point.</t>
        </is>
      </c>
    </row>
    <row r="24" ht="15" customHeight="1">
      <c r="B24" s="12" t="inlineStr">
        <is>
          <t xml:space="preserve">  Gross profit per ton ($)</t>
        </is>
      </c>
      <c r="C24" s="167">
        <f>IFERROR(C19/C11,"")</f>
        <v/>
      </c>
      <c r="D24" s="167">
        <f>IFERROR(D19/D11,"")</f>
        <v/>
      </c>
      <c r="E24" s="167">
        <f>IFERROR(E19/E11,"")</f>
        <v/>
      </c>
      <c r="F24" s="167">
        <f>IFERROR(F19/F11,"")</f>
        <v/>
      </c>
      <c r="G24" s="167">
        <f>IFERROR(G19/G11,"")</f>
        <v/>
      </c>
      <c r="H24" s="167">
        <f>IFERROR(H19/H11,"")</f>
        <v/>
      </c>
      <c r="I24" s="167">
        <f>IFERROR(I19/I11,"")</f>
        <v/>
      </c>
      <c r="J24" s="167">
        <f>IFERROR(J19/J11,"")</f>
        <v/>
      </c>
      <c r="K24" s="167">
        <f>IFERROR(K19/K11,"")</f>
        <v/>
      </c>
      <c r="L24" s="167">
        <f>IFERROR(L19/L11,"")</f>
        <v/>
      </c>
      <c r="M24" s="167">
        <f>IFERROR(M19/M11,"")</f>
        <v/>
      </c>
      <c r="N24" s="167">
        <f>IFERROR(N19/N11,"")</f>
        <v/>
      </c>
      <c r="O24" s="167">
        <f>IFERROR(O19/O11,"")</f>
        <v/>
      </c>
      <c r="P24" s="167">
        <f>IFERROR(P19/P11,"")</f>
        <v/>
      </c>
      <c r="Q24" s="167">
        <f>IFERROR(Q19/Q11,"")</f>
        <v/>
      </c>
      <c r="R24" s="167">
        <f>IFERROR(R19/R11,"")</f>
        <v/>
      </c>
      <c r="S24" s="167">
        <f>IFERROR(S19/S11,"")</f>
        <v/>
      </c>
      <c r="T24" s="167">
        <f>IFERROR(T19/T11,"")</f>
        <v/>
      </c>
      <c r="U24" s="167">
        <f>IFERROR(U19/U11,"")</f>
        <v/>
      </c>
      <c r="V24" s="167">
        <f>IFERROR(V19/V11,"")</f>
        <v/>
      </c>
      <c r="W24" s="167">
        <f>IFERROR(W19/W11,"")</f>
        <v/>
      </c>
      <c r="X24" s="167">
        <f>IFERROR(X19/X11,"")</f>
        <v/>
      </c>
      <c r="Y24" s="167">
        <f>IFERROR(Y19/Y11,"")</f>
        <v/>
      </c>
      <c r="Z24" s="167">
        <f>IFERROR(Z19/Z11,"")</f>
        <v/>
      </c>
      <c r="AA24" s="167">
        <f>IFERROR(AA19/AA11,"")</f>
        <v/>
      </c>
      <c r="AB24" s="167">
        <f>IFERROR(AB19/AB11,"")</f>
        <v/>
      </c>
      <c r="AC24" s="167">
        <f>IFERROR(AC19/AC11,"")</f>
        <v/>
      </c>
      <c r="AD24" s="167">
        <f>IFERROR(AD19/AD11,"")</f>
        <v/>
      </c>
      <c r="AE24" s="167">
        <f>IFERROR(AE19/AE11,"")</f>
        <v/>
      </c>
      <c r="AF24" s="167">
        <f>IFERROR(AF19/AF11,"")</f>
        <v/>
      </c>
      <c r="AG24" s="167">
        <f>IFERROR(AG19/AG11,"")</f>
        <v/>
      </c>
      <c r="AH24" s="167">
        <f>IFERROR(AH19/AH11,"")</f>
        <v/>
      </c>
      <c r="AI24" s="167">
        <f>IFERROR(AI19/AI11,"")</f>
        <v/>
      </c>
      <c r="AJ24" s="167">
        <f>IFERROR(AJ19/AJ11,"")</f>
        <v/>
      </c>
      <c r="AK24" s="167">
        <f>IFERROR(AK19/AK11,"")</f>
        <v/>
      </c>
      <c r="AL24" s="167">
        <f>IFERROR(AL19/AL11,"")</f>
        <v/>
      </c>
      <c r="AM24" s="167">
        <f>IFERROR(AM19/AM11,"")</f>
        <v/>
      </c>
      <c r="AN24" s="167">
        <f>IFERROR(AN19/AN11,"")</f>
        <v/>
      </c>
      <c r="AO24" s="167">
        <f>IFERROR(AO19/AO11,"")</f>
        <v/>
      </c>
      <c r="AP24" s="167">
        <f>IFERROR(AP19/AP11,"")</f>
        <v/>
      </c>
      <c r="AQ24" s="167">
        <f>IFERROR(AQ19/AQ11,"")</f>
        <v/>
      </c>
      <c r="AR24" s="167">
        <f>IFERROR(AR19/AR11,"")</f>
        <v/>
      </c>
      <c r="AS24" s="167">
        <f>IFERROR(AS19/AS11,"")</f>
        <v/>
      </c>
      <c r="AT24" s="167">
        <f>IFERROR(AT19/AT11,"")</f>
        <v/>
      </c>
      <c r="AU24" s="167">
        <f>IFERROR(AU19/AU11,"")</f>
        <v/>
      </c>
      <c r="AV24" s="167">
        <f>IFERROR(AV19/AV11,"")</f>
        <v/>
      </c>
      <c r="AW24" s="167">
        <f>IFERROR(AW19/AW11,"")</f>
        <v/>
      </c>
      <c r="AX24" s="167">
        <f>IFERROR(AX19/AX11,"")</f>
        <v/>
      </c>
      <c r="AY24" s="167">
        <f>IFERROR(AY19/AY11,"")</f>
        <v/>
      </c>
      <c r="AZ24" s="167">
        <f>IFERROR(AZ19/AZ11,"")</f>
        <v/>
      </c>
      <c r="BA24" s="167">
        <f>IFERROR(BA19/BA11,"")</f>
        <v/>
      </c>
      <c r="BB24" s="167">
        <f>IFERROR(BB19/BB11,"")</f>
        <v/>
      </c>
      <c r="BC24" s="167">
        <f>IFERROR(BC19/BC11,"")</f>
        <v/>
      </c>
      <c r="BD24" s="167">
        <f>IFERROR(BD19/BD11,"")</f>
        <v/>
      </c>
      <c r="BE24" s="167">
        <f>IFERROR(BE19/BE11,"")</f>
        <v/>
      </c>
      <c r="BF24" s="167">
        <f>IFERROR(BF19/BF11,"")</f>
        <v/>
      </c>
      <c r="BG24" s="167">
        <f>IFERROR(BG19/BG11,"")</f>
        <v/>
      </c>
      <c r="BH24" s="167">
        <f>IFERROR(BH19/BH11,"")</f>
        <v/>
      </c>
      <c r="BI24" s="167">
        <f>IFERROR(BI19/BI11,"")</f>
        <v/>
      </c>
      <c r="BJ24" s="167">
        <f>IFERROR(BJ19/BJ11,"")</f>
        <v/>
      </c>
      <c r="BK24" s="167">
        <f>IFERROR(BK19/BK11,"")</f>
        <v/>
      </c>
      <c r="BL24" s="167">
        <f>IFERROR(BL19/BL11,"")</f>
        <v/>
      </c>
      <c r="BM24" s="167">
        <f>IFERROR(BM19/BM11,"")</f>
        <v/>
      </c>
      <c r="BN24" s="167">
        <f>IFERROR(BN19/BN11,"")</f>
        <v/>
      </c>
      <c r="BO24" s="167">
        <f>IFERROR(BO19/BO11,"")</f>
        <v/>
      </c>
      <c r="BP24" s="167">
        <f>IFERROR(BP19/BP11,"")</f>
        <v/>
      </c>
      <c r="BQ24" s="167">
        <f>IFERROR(BQ19/BQ11,"")</f>
        <v/>
      </c>
      <c r="BR24" s="167">
        <f>IFERROR(BR19/BR11,"")</f>
        <v/>
      </c>
      <c r="BS24" s="167">
        <f>IFERROR(BS19/BS11,"")</f>
        <v/>
      </c>
      <c r="BT24" s="167">
        <f>IFERROR(BT19/BT11,"")</f>
        <v/>
      </c>
      <c r="BU24" s="167">
        <f>IFERROR(BU19/BU11,"")</f>
        <v/>
      </c>
      <c r="BV24" s="167">
        <f>IFERROR(BV19/BV11,"")</f>
        <v/>
      </c>
      <c r="BW24" s="167">
        <f>IFERROR(BW19/BW11,"")</f>
        <v/>
      </c>
      <c r="BX24" s="167">
        <f>IFERROR(BX19/BX11,"")</f>
        <v/>
      </c>
      <c r="BY24" s="167">
        <f>IFERROR(BY19/BY11,"")</f>
        <v/>
      </c>
      <c r="BZ24" s="167">
        <f>IFERROR(BZ19/BZ11,"")</f>
        <v/>
      </c>
      <c r="CA24" s="167">
        <f>IFERROR(CA19/CA11,"")</f>
        <v/>
      </c>
      <c r="CB24" s="167">
        <f>IFERROR(CB19/CB11,"")</f>
        <v/>
      </c>
      <c r="CC24" s="167">
        <f>IFERROR(CC19/CC11,"")</f>
        <v/>
      </c>
      <c r="CD24" s="167">
        <f>IFERROR(CD19/CD11,"")</f>
        <v/>
      </c>
      <c r="CE24" s="167">
        <f>IFERROR(CE19/CE11,"")</f>
        <v/>
      </c>
      <c r="CF24" s="167">
        <f>IFERROR(CF19/CF11,"")</f>
        <v/>
      </c>
      <c r="CG24" s="167">
        <f>IFERROR(CG19/CG11,"")</f>
        <v/>
      </c>
      <c r="CH24" s="167">
        <f>IFERROR(CH19/CH11,"")</f>
        <v/>
      </c>
      <c r="CI24" s="167">
        <f>IFERROR(CI19/CI11,"")</f>
        <v/>
      </c>
      <c r="CJ24" s="167">
        <f>IFERROR(CJ19/CJ11,"")</f>
        <v/>
      </c>
      <c r="CK24" s="167">
        <f>IFERROR(CK19/CK11,"")</f>
        <v/>
      </c>
      <c r="CL24" s="167">
        <f>IFERROR(CL19/CL11,"")</f>
        <v/>
      </c>
      <c r="CM24" s="168">
        <f>IFERROR(CM19/CM11,"")</f>
        <v/>
      </c>
      <c r="CN24" s="168">
        <f>IFERROR(CN19/CN11,"")</f>
        <v/>
      </c>
      <c r="CO24" s="168">
        <f>IFERROR(CO19/CO11,"")</f>
        <v/>
      </c>
      <c r="CP24" s="168">
        <f>IFERROR(CP19/CP11,"")</f>
        <v/>
      </c>
      <c r="CQ24" s="168">
        <f>IFERROR(CQ19/CQ11,"")</f>
        <v/>
      </c>
      <c r="CR24" s="168">
        <f>IFERROR(CR19/CR11,"")</f>
        <v/>
      </c>
      <c r="CS24" s="168">
        <f>IFERROR(CS19/CS11,"")</f>
        <v/>
      </c>
      <c r="CT24" s="22" t="n"/>
      <c r="CV24" s="23" t="n"/>
      <c r="CW24" s="23" t="n"/>
      <c r="CX24" s="23" t="n"/>
      <c r="CY24" s="23" t="n"/>
      <c r="DB24" s="12" t="inlineStr">
        <is>
          <t xml:space="preserve">  Asphalt &amp; concrete underlying revenue growth, 2H/26 (%)</t>
        </is>
      </c>
      <c r="DD24" s="35" t="n">
        <v>0</v>
      </c>
      <c r="DF24" t="inlineStr">
        <is>
          <t>Analyst estimate; divested Houston asphalt / California ready-mix removed via the divested-share inputs (Model rows).</t>
        </is>
      </c>
    </row>
    <row r="25" ht="15" customHeight="1">
      <c r="B25" s="18" t="inlineStr">
        <is>
          <t xml:space="preserve">  Cash gross profit per ton ($)</t>
        </is>
      </c>
      <c r="C25" s="177">
        <f>IFERROR(C21/C11,"")</f>
        <v/>
      </c>
      <c r="D25" s="177">
        <f>IFERROR(D21/D11,"")</f>
        <v/>
      </c>
      <c r="E25" s="177">
        <f>IFERROR(E21/E11,"")</f>
        <v/>
      </c>
      <c r="F25" s="177">
        <f>IFERROR(F21/F11,"")</f>
        <v/>
      </c>
      <c r="G25" s="177">
        <f>IFERROR(G21/G11,"")</f>
        <v/>
      </c>
      <c r="H25" s="177">
        <f>IFERROR(H21/H11,"")</f>
        <v/>
      </c>
      <c r="I25" s="177">
        <f>IFERROR(I21/I11,"")</f>
        <v/>
      </c>
      <c r="J25" s="177">
        <f>IFERROR(J21/J11,"")</f>
        <v/>
      </c>
      <c r="K25" s="177">
        <f>IFERROR(K21/K11,"")</f>
        <v/>
      </c>
      <c r="L25" s="177">
        <f>IFERROR(L21/L11,"")</f>
        <v/>
      </c>
      <c r="M25" s="177">
        <f>IFERROR(M21/M11,"")</f>
        <v/>
      </c>
      <c r="N25" s="177">
        <f>IFERROR(N21/N11,"")</f>
        <v/>
      </c>
      <c r="O25" s="177">
        <f>IFERROR(O21/O11,"")</f>
        <v/>
      </c>
      <c r="P25" s="177">
        <f>IFERROR(P21/P11,"")</f>
        <v/>
      </c>
      <c r="Q25" s="177">
        <f>IFERROR(Q21/Q11,"")</f>
        <v/>
      </c>
      <c r="R25" s="177">
        <f>IFERROR(R21/R11,"")</f>
        <v/>
      </c>
      <c r="S25" s="177">
        <f>IFERROR(S21/S11,"")</f>
        <v/>
      </c>
      <c r="T25" s="177">
        <f>IFERROR(T21/T11,"")</f>
        <v/>
      </c>
      <c r="U25" s="177">
        <f>IFERROR(U21/U11,"")</f>
        <v/>
      </c>
      <c r="V25" s="177">
        <f>IFERROR(V21/V11,"")</f>
        <v/>
      </c>
      <c r="W25" s="177">
        <f>IFERROR(W21/W11,"")</f>
        <v/>
      </c>
      <c r="X25" s="177">
        <f>IFERROR(X21/X11,"")</f>
        <v/>
      </c>
      <c r="Y25" s="177">
        <f>IFERROR(Y21/Y11,"")</f>
        <v/>
      </c>
      <c r="Z25" s="177">
        <f>IFERROR(Z21/Z11,"")</f>
        <v/>
      </c>
      <c r="AA25" s="177">
        <f>IFERROR(AA21/AA11,"")</f>
        <v/>
      </c>
      <c r="AB25" s="177">
        <f>IFERROR(AB21/AB11,"")</f>
        <v/>
      </c>
      <c r="AC25" s="177">
        <f>IFERROR(AC21/AC11,"")</f>
        <v/>
      </c>
      <c r="AD25" s="177">
        <f>IFERROR(AD21/AD11,"")</f>
        <v/>
      </c>
      <c r="AE25" s="177">
        <f>IFERROR(AE21/AE11,"")</f>
        <v/>
      </c>
      <c r="AF25" s="177">
        <f>IFERROR(AF21/AF11,"")</f>
        <v/>
      </c>
      <c r="AG25" s="177">
        <f>IFERROR(AG21/AG11,"")</f>
        <v/>
      </c>
      <c r="AH25" s="177">
        <f>IFERROR(AH21/AH11,"")</f>
        <v/>
      </c>
      <c r="AI25" s="177">
        <f>IFERROR(AI21/AI11,"")</f>
        <v/>
      </c>
      <c r="AJ25" s="177">
        <f>IFERROR(AJ21/AJ11,"")</f>
        <v/>
      </c>
      <c r="AK25" s="177">
        <f>IFERROR(AK21/AK11,"")</f>
        <v/>
      </c>
      <c r="AL25" s="177">
        <f>IFERROR(AL21/AL11,"")</f>
        <v/>
      </c>
      <c r="AM25" s="177">
        <f>IFERROR(AM21/AM11,"")</f>
        <v/>
      </c>
      <c r="AN25" s="177">
        <f>IFERROR(AN21/AN11,"")</f>
        <v/>
      </c>
      <c r="AO25" s="177">
        <f>IFERROR(AO21/AO11,"")</f>
        <v/>
      </c>
      <c r="AP25" s="177">
        <f>IFERROR(AP21/AP11,"")</f>
        <v/>
      </c>
      <c r="AQ25" s="177">
        <f>IFERROR(AQ21/AQ11,"")</f>
        <v/>
      </c>
      <c r="AR25" s="177">
        <f>IFERROR(AR21/AR11,"")</f>
        <v/>
      </c>
      <c r="AS25" s="177">
        <f>IFERROR(AS21/AS11,"")</f>
        <v/>
      </c>
      <c r="AT25" s="177">
        <f>IFERROR(AT21/AT11,"")</f>
        <v/>
      </c>
      <c r="AU25" s="177">
        <f>IFERROR(AU21/AU11,"")</f>
        <v/>
      </c>
      <c r="AV25" s="177">
        <f>IFERROR(AV21/AV11,"")</f>
        <v/>
      </c>
      <c r="AW25" s="177">
        <f>IFERROR(AW21/AW11,"")</f>
        <v/>
      </c>
      <c r="AX25" s="177">
        <f>IFERROR(AX21/AX11,"")</f>
        <v/>
      </c>
      <c r="AY25" s="177">
        <f>IFERROR(AY21/AY11,"")</f>
        <v/>
      </c>
      <c r="AZ25" s="177">
        <f>IFERROR(AZ21/AZ11,"")</f>
        <v/>
      </c>
      <c r="BA25" s="177">
        <f>IFERROR(BA21/BA11,"")</f>
        <v/>
      </c>
      <c r="BB25" s="177">
        <f>IFERROR(BB21/BB11,"")</f>
        <v/>
      </c>
      <c r="BC25" s="177">
        <f>IFERROR(BC21/BC11,"")</f>
        <v/>
      </c>
      <c r="BD25" s="177">
        <f>IFERROR(BD21/BD11,"")</f>
        <v/>
      </c>
      <c r="BE25" s="177">
        <f>IFERROR(BE21/BE11,"")</f>
        <v/>
      </c>
      <c r="BF25" s="177">
        <f>IFERROR(BF21/BF11,"")</f>
        <v/>
      </c>
      <c r="BG25" s="177">
        <f>IFERROR(BG21/BG11,"")</f>
        <v/>
      </c>
      <c r="BH25" s="177">
        <f>IFERROR(BH21/BH11,"")</f>
        <v/>
      </c>
      <c r="BI25" s="177">
        <f>IFERROR(BI21/BI11,"")</f>
        <v/>
      </c>
      <c r="BJ25" s="177">
        <f>IFERROR(BJ21/BJ11,"")</f>
        <v/>
      </c>
      <c r="BK25" s="177">
        <f>IFERROR(BK21/BK11,"")</f>
        <v/>
      </c>
      <c r="BL25" s="177">
        <f>IFERROR(BL21/BL11,"")</f>
        <v/>
      </c>
      <c r="BM25" s="177">
        <f>IFERROR(BM21/BM11,"")</f>
        <v/>
      </c>
      <c r="BN25" s="177">
        <f>IFERROR(BN21/BN11,"")</f>
        <v/>
      </c>
      <c r="BO25" s="177">
        <f>IFERROR(BO21/BO11,"")</f>
        <v/>
      </c>
      <c r="BP25" s="177">
        <f>IFERROR(BP21/BP11,"")</f>
        <v/>
      </c>
      <c r="BQ25" s="177">
        <f>IFERROR(BQ21/BQ11,"")</f>
        <v/>
      </c>
      <c r="BR25" s="177">
        <f>IFERROR(BR21/BR11,"")</f>
        <v/>
      </c>
      <c r="BS25" s="177">
        <f>IFERROR(BS21/BS11,"")</f>
        <v/>
      </c>
      <c r="BT25" s="177">
        <f>IFERROR(BT21/BT11,"")</f>
        <v/>
      </c>
      <c r="BU25" s="177">
        <f>IFERROR(BU21/BU11,"")</f>
        <v/>
      </c>
      <c r="BV25" s="177">
        <f>IFERROR(BV21/BV11,"")</f>
        <v/>
      </c>
      <c r="BW25" s="177">
        <f>IFERROR(BW21/BW11,"")</f>
        <v/>
      </c>
      <c r="BX25" s="177">
        <f>IFERROR(BX21/BX11,"")</f>
        <v/>
      </c>
      <c r="BY25" s="177">
        <f>IFERROR(BY21/BY11,"")</f>
        <v/>
      </c>
      <c r="BZ25" s="177">
        <f>IFERROR(BZ21/BZ11,"")</f>
        <v/>
      </c>
      <c r="CA25" s="177">
        <f>IFERROR(CA21/CA11,"")</f>
        <v/>
      </c>
      <c r="CB25" s="177">
        <f>IFERROR(CB21/CB11,"")</f>
        <v/>
      </c>
      <c r="CC25" s="177">
        <f>IFERROR(CC21/CC11,"")</f>
        <v/>
      </c>
      <c r="CD25" s="177">
        <f>IFERROR(CD21/CD11,"")</f>
        <v/>
      </c>
      <c r="CE25" s="177">
        <f>IFERROR(CE21/CE11,"")</f>
        <v/>
      </c>
      <c r="CF25" s="177">
        <f>IFERROR(CF21/CF11,"")</f>
        <v/>
      </c>
      <c r="CG25" s="177">
        <f>IFERROR(CG21/CG11,"")</f>
        <v/>
      </c>
      <c r="CH25" s="177">
        <f>IFERROR(CH21/CH11,"")</f>
        <v/>
      </c>
      <c r="CI25" s="177">
        <f>IFERROR(CI21/CI11,"")</f>
        <v/>
      </c>
      <c r="CJ25" s="177">
        <f>IFERROR(CJ21/CJ11,"")</f>
        <v/>
      </c>
      <c r="CK25" s="177">
        <f>IFERROR(CK21/CK11,"")</f>
        <v/>
      </c>
      <c r="CL25" s="177">
        <f>IFERROR(CL21/CL11,"")</f>
        <v/>
      </c>
      <c r="CM25" s="178">
        <f>IFERROR(CM21/CM11,"")</f>
        <v/>
      </c>
      <c r="CN25" s="178">
        <f>IFERROR(CN21/CN11,"")</f>
        <v/>
      </c>
      <c r="CO25" s="178">
        <f>IFERROR(CO21/CO11,"")</f>
        <v/>
      </c>
      <c r="CP25" s="178">
        <f>IFERROR(CP21/CP11,"")</f>
        <v/>
      </c>
      <c r="CQ25" s="178">
        <f>IFERROR(CQ21/CQ11,"")</f>
        <v/>
      </c>
      <c r="CR25" s="178">
        <f>IFERROR(CR21/CR11,"")</f>
        <v/>
      </c>
      <c r="CS25" s="178">
        <f>IFERROR(CS21/CS11,"")</f>
        <v/>
      </c>
      <c r="CT25" s="22" t="n"/>
      <c r="CV25" s="164">
        <f>IFERROR((CS25/CI25)^(1/5)-1,"n/m")</f>
        <v/>
      </c>
      <c r="CW25" s="164">
        <f>IFERROR((CI25/BE25)^(1/5)-1,"n/m")</f>
        <v/>
      </c>
      <c r="CX25" s="164">
        <f>IFERROR((CI25/AA25)^(1/10)-1,"n/m")</f>
        <v/>
      </c>
      <c r="CY25" s="164">
        <f>IFERROR((CI25/C25)^(1/19)-1,"n/m")</f>
        <v/>
      </c>
      <c r="DB25" s="12" t="inlineStr">
        <is>
          <t xml:space="preserve">  DDA&amp;A per ton / corporate DDA&amp;A growth, 2027E+ (%)</t>
        </is>
      </c>
      <c r="DD25" s="35" t="n">
        <v>0.03</v>
      </c>
      <c r="DF25" t="inlineStr">
        <is>
          <t>Analyst estimate (capex ~1.1x DDA&amp;A).</t>
        </is>
      </c>
    </row>
    <row r="26" ht="15" customHeight="1">
      <c r="B26" s="12" t="inlineStr">
        <is>
          <t xml:space="preserve">  Unit cash cost before outlook calibration ($/ton)</t>
        </is>
      </c>
      <c r="C26" s="29" t="n"/>
      <c r="D26" s="29" t="n"/>
      <c r="E26" s="30" t="n"/>
      <c r="F26" s="30" t="n"/>
      <c r="G26" s="30" t="n"/>
      <c r="H26" s="30" t="n"/>
      <c r="I26" s="30" t="n"/>
      <c r="J26" s="30" t="n"/>
      <c r="K26" s="30" t="n"/>
      <c r="L26" s="29" t="n"/>
      <c r="M26" s="30" t="n"/>
      <c r="N26" s="30" t="n"/>
      <c r="O26" s="30" t="n"/>
      <c r="P26" s="30" t="n"/>
      <c r="Q26" s="30" t="n"/>
      <c r="R26" s="29" t="n"/>
      <c r="S26" s="30" t="n"/>
      <c r="T26" s="30" t="n"/>
      <c r="U26" s="30" t="n"/>
      <c r="V26" s="30" t="n"/>
      <c r="W26" s="30" t="n"/>
      <c r="X26" s="29" t="n"/>
      <c r="Y26" s="30" t="n"/>
      <c r="Z26" s="30" t="n"/>
      <c r="AA26" s="30" t="n"/>
      <c r="AB26" s="30" t="n"/>
      <c r="AC26" s="30" t="n"/>
      <c r="AD26" s="29" t="n"/>
      <c r="AE26" s="30" t="n"/>
      <c r="AF26" s="30" t="n"/>
      <c r="AG26" s="30" t="n"/>
      <c r="AH26" s="30" t="n"/>
      <c r="AI26" s="30" t="n"/>
      <c r="AJ26" s="29" t="n"/>
      <c r="AK26" s="30" t="n"/>
      <c r="AL26" s="30" t="n"/>
      <c r="AM26" s="30" t="n"/>
      <c r="AN26" s="30" t="n"/>
      <c r="AO26" s="30" t="n"/>
      <c r="AP26" s="29" t="n"/>
      <c r="AQ26" s="30" t="n"/>
      <c r="AR26" s="30" t="n"/>
      <c r="AS26" s="30" t="n"/>
      <c r="AT26" s="30" t="n"/>
      <c r="AU26" s="30" t="n"/>
      <c r="AV26" s="29" t="n"/>
      <c r="AW26" s="30" t="n"/>
      <c r="AX26" s="30" t="n"/>
      <c r="AY26" s="30" t="n"/>
      <c r="AZ26" s="30" t="n"/>
      <c r="BA26" s="30" t="n"/>
      <c r="BB26" s="29" t="n"/>
      <c r="BC26" s="30" t="n"/>
      <c r="BD26" s="30" t="n"/>
      <c r="BE26" s="30" t="n"/>
      <c r="BF26" s="30" t="n"/>
      <c r="BG26" s="30" t="n"/>
      <c r="BH26" s="29" t="n"/>
      <c r="BI26" s="30" t="n"/>
      <c r="BJ26" s="30" t="n"/>
      <c r="BK26" s="30" t="n"/>
      <c r="BL26" s="30" t="n"/>
      <c r="BM26" s="30" t="n"/>
      <c r="BN26" s="29" t="n"/>
      <c r="BO26" s="30" t="n"/>
      <c r="BP26" s="30" t="n"/>
      <c r="BQ26" s="30" t="n"/>
      <c r="BR26" s="30" t="n"/>
      <c r="BS26" s="30" t="n"/>
      <c r="BT26" s="29" t="n"/>
      <c r="BU26" s="30" t="n"/>
      <c r="BV26" s="30" t="n"/>
      <c r="BW26" s="30" t="n"/>
      <c r="BX26" s="30" t="n"/>
      <c r="BY26" s="30" t="n"/>
      <c r="BZ26" s="29" t="n"/>
      <c r="CA26" s="30" t="n"/>
      <c r="CB26" s="30" t="n"/>
      <c r="CC26" s="30" t="n"/>
      <c r="CD26" s="30" t="n"/>
      <c r="CE26" s="30" t="n"/>
      <c r="CF26" s="29" t="n"/>
      <c r="CG26" s="30" t="n"/>
      <c r="CH26" s="30" t="n"/>
      <c r="CI26" s="30" t="n"/>
      <c r="CJ26" s="30" t="n"/>
      <c r="CK26" s="30" t="n"/>
      <c r="CL26" s="29" t="n"/>
      <c r="CM26" s="168">
        <f>CG27*(($CI$11*(1+CHOOSE(MATCH($CT$2,{"Bull","Base","Bear"},0),$DC$14,$DD$14,$DE$14))*$CI$27*(1+$DD$23)-($CL$15-$CL$21))/($CM$11+$CN$11))/(($CG$15-$CG$21+$CH$15-$CH$21)/($CG$11+$CH$11))</f>
        <v/>
      </c>
      <c r="CN26" s="168">
        <f>CH27*(($CI$11*(1+CHOOSE(MATCH($CT$2,{"Bull","Base","Bear"},0),$DC$14,$DD$14,$DE$14))*$CI$27*(1+$DD$23)-($CL$15-$CL$21))/($CM$11+$CN$11))/(($CG$15-$CG$21+$CH$15-$CH$21)/($CG$11+$CH$11))</f>
        <v/>
      </c>
      <c r="CO26" s="31" t="n"/>
      <c r="CP26" s="31" t="n"/>
      <c r="CQ26" s="31" t="n"/>
      <c r="CR26" s="31" t="n"/>
      <c r="CS26" s="31" t="n"/>
      <c r="CT26" s="22" t="inlineStr">
        <is>
          <t>Q3/Q4-26E: 2H/26 unit cash cost implied by the FY26 guide (low-single-digit increase; point estimate) after 1H/26 actuals, applied to prior-year quarters.</t>
        </is>
      </c>
      <c r="CV26" s="23" t="n"/>
      <c r="CW26" s="23" t="n"/>
      <c r="CX26" s="23" t="n"/>
      <c r="CY26" s="23" t="n"/>
      <c r="DB26" s="12" t="inlineStr">
        <is>
          <t xml:space="preserve">  Dividend per share growth, 2027E+ (%)</t>
        </is>
      </c>
      <c r="DD26" s="35" t="n">
        <v>0.07000000000000001</v>
      </c>
      <c r="DF26" t="inlineStr">
        <is>
          <t>Analyst estimate (2026 quarterly dividend raised to $0.52).</t>
        </is>
      </c>
    </row>
    <row r="27" ht="15" customHeight="1">
      <c r="B27" s="12" t="inlineStr">
        <is>
          <t xml:space="preserve">  Freight-adjusted unit cash cost of sales ($/ton)</t>
        </is>
      </c>
      <c r="C27" s="167">
        <f>IFERROR(C13-C25,"")</f>
        <v/>
      </c>
      <c r="D27" s="167">
        <f>IFERROR(D13-D25,"")</f>
        <v/>
      </c>
      <c r="E27" s="167">
        <f>IFERROR(E13-E25,"")</f>
        <v/>
      </c>
      <c r="F27" s="167">
        <f>IFERROR(F13-F25,"")</f>
        <v/>
      </c>
      <c r="G27" s="167">
        <f>IFERROR(G13-G25,"")</f>
        <v/>
      </c>
      <c r="H27" s="167">
        <f>IFERROR(H13-H25,"")</f>
        <v/>
      </c>
      <c r="I27" s="167">
        <f>IFERROR(I13-I25,"")</f>
        <v/>
      </c>
      <c r="J27" s="167">
        <f>IFERROR(J13-J25,"")</f>
        <v/>
      </c>
      <c r="K27" s="167">
        <f>IFERROR(K13-K25,"")</f>
        <v/>
      </c>
      <c r="L27" s="167">
        <f>IFERROR(L13-L25,"")</f>
        <v/>
      </c>
      <c r="M27" s="167">
        <f>IFERROR(M13-M25,"")</f>
        <v/>
      </c>
      <c r="N27" s="167">
        <f>IFERROR(N13-N25,"")</f>
        <v/>
      </c>
      <c r="O27" s="167">
        <f>IFERROR(O13-O25,"")</f>
        <v/>
      </c>
      <c r="P27" s="167">
        <f>IFERROR(P13-P25,"")</f>
        <v/>
      </c>
      <c r="Q27" s="167">
        <f>IFERROR(Q13-Q25,"")</f>
        <v/>
      </c>
      <c r="R27" s="167">
        <f>IFERROR(R13-R25,"")</f>
        <v/>
      </c>
      <c r="S27" s="167">
        <f>IFERROR(S13-S25,"")</f>
        <v/>
      </c>
      <c r="T27" s="167">
        <f>IFERROR(T13-T25,"")</f>
        <v/>
      </c>
      <c r="U27" s="167">
        <f>IFERROR(U13-U25,"")</f>
        <v/>
      </c>
      <c r="V27" s="167">
        <f>IFERROR(V13-V25,"")</f>
        <v/>
      </c>
      <c r="W27" s="167">
        <f>IFERROR(W13-W25,"")</f>
        <v/>
      </c>
      <c r="X27" s="167">
        <f>IFERROR(X13-X25,"")</f>
        <v/>
      </c>
      <c r="Y27" s="167">
        <f>IFERROR(Y13-Y25,"")</f>
        <v/>
      </c>
      <c r="Z27" s="167">
        <f>IFERROR(Z13-Z25,"")</f>
        <v/>
      </c>
      <c r="AA27" s="167">
        <f>IFERROR(AA13-AA25,"")</f>
        <v/>
      </c>
      <c r="AB27" s="167">
        <f>IFERROR(AB13-AB25,"")</f>
        <v/>
      </c>
      <c r="AC27" s="167">
        <f>IFERROR(AC13-AC25,"")</f>
        <v/>
      </c>
      <c r="AD27" s="167">
        <f>IFERROR(AD13-AD25,"")</f>
        <v/>
      </c>
      <c r="AE27" s="167">
        <f>IFERROR(AE13-AE25,"")</f>
        <v/>
      </c>
      <c r="AF27" s="167">
        <f>IFERROR(AF13-AF25,"")</f>
        <v/>
      </c>
      <c r="AG27" s="167">
        <f>IFERROR(AG13-AG25,"")</f>
        <v/>
      </c>
      <c r="AH27" s="167">
        <f>IFERROR(AH13-AH25,"")</f>
        <v/>
      </c>
      <c r="AI27" s="167">
        <f>IFERROR(AI13-AI25,"")</f>
        <v/>
      </c>
      <c r="AJ27" s="167">
        <f>IFERROR(AJ13-AJ25,"")</f>
        <v/>
      </c>
      <c r="AK27" s="167">
        <f>IFERROR(AK13-AK25,"")</f>
        <v/>
      </c>
      <c r="AL27" s="167">
        <f>IFERROR(AL13-AL25,"")</f>
        <v/>
      </c>
      <c r="AM27" s="167">
        <f>IFERROR(AM13-AM25,"")</f>
        <v/>
      </c>
      <c r="AN27" s="167">
        <f>IFERROR(AN13-AN25,"")</f>
        <v/>
      </c>
      <c r="AO27" s="167">
        <f>IFERROR(AO13-AO25,"")</f>
        <v/>
      </c>
      <c r="AP27" s="167">
        <f>IFERROR(AP13-AP25,"")</f>
        <v/>
      </c>
      <c r="AQ27" s="167">
        <f>IFERROR(AQ13-AQ25,"")</f>
        <v/>
      </c>
      <c r="AR27" s="167">
        <f>IFERROR(AR13-AR25,"")</f>
        <v/>
      </c>
      <c r="AS27" s="167">
        <f>IFERROR(AS13-AS25,"")</f>
        <v/>
      </c>
      <c r="AT27" s="167">
        <f>IFERROR(AT13-AT25,"")</f>
        <v/>
      </c>
      <c r="AU27" s="167">
        <f>IFERROR(AU13-AU25,"")</f>
        <v/>
      </c>
      <c r="AV27" s="167">
        <f>IFERROR(AV13-AV25,"")</f>
        <v/>
      </c>
      <c r="AW27" s="167">
        <f>IFERROR(AW13-AW25,"")</f>
        <v/>
      </c>
      <c r="AX27" s="167">
        <f>IFERROR(AX13-AX25,"")</f>
        <v/>
      </c>
      <c r="AY27" s="167">
        <f>IFERROR(AY13-AY25,"")</f>
        <v/>
      </c>
      <c r="AZ27" s="167">
        <f>IFERROR(AZ13-AZ25,"")</f>
        <v/>
      </c>
      <c r="BA27" s="167">
        <f>IFERROR(BA13-BA25,"")</f>
        <v/>
      </c>
      <c r="BB27" s="167">
        <f>IFERROR(BB13-BB25,"")</f>
        <v/>
      </c>
      <c r="BC27" s="167">
        <f>IFERROR(BC13-BC25,"")</f>
        <v/>
      </c>
      <c r="BD27" s="167">
        <f>IFERROR(BD13-BD25,"")</f>
        <v/>
      </c>
      <c r="BE27" s="167">
        <f>IFERROR(BE13-BE25,"")</f>
        <v/>
      </c>
      <c r="BF27" s="167">
        <f>IFERROR(BF13-BF25,"")</f>
        <v/>
      </c>
      <c r="BG27" s="167">
        <f>IFERROR(BG13-BG25,"")</f>
        <v/>
      </c>
      <c r="BH27" s="167">
        <f>IFERROR(BH13-BH25,"")</f>
        <v/>
      </c>
      <c r="BI27" s="167">
        <f>IFERROR(BI13-BI25,"")</f>
        <v/>
      </c>
      <c r="BJ27" s="167">
        <f>IFERROR(BJ13-BJ25,"")</f>
        <v/>
      </c>
      <c r="BK27" s="167">
        <f>IFERROR(BK13-BK25,"")</f>
        <v/>
      </c>
      <c r="BL27" s="167">
        <f>IFERROR(BL13-BL25,"")</f>
        <v/>
      </c>
      <c r="BM27" s="167">
        <f>IFERROR(BM13-BM25,"")</f>
        <v/>
      </c>
      <c r="BN27" s="167">
        <f>IFERROR(BN13-BN25,"")</f>
        <v/>
      </c>
      <c r="BO27" s="167">
        <f>IFERROR(BO13-BO25,"")</f>
        <v/>
      </c>
      <c r="BP27" s="167">
        <f>IFERROR(BP13-BP25,"")</f>
        <v/>
      </c>
      <c r="BQ27" s="167">
        <f>IFERROR(BQ13-BQ25,"")</f>
        <v/>
      </c>
      <c r="BR27" s="167">
        <f>IFERROR(BR13-BR25,"")</f>
        <v/>
      </c>
      <c r="BS27" s="167">
        <f>IFERROR(BS13-BS25,"")</f>
        <v/>
      </c>
      <c r="BT27" s="167">
        <f>IFERROR(BT13-BT25,"")</f>
        <v/>
      </c>
      <c r="BU27" s="167">
        <f>IFERROR(BU13-BU25,"")</f>
        <v/>
      </c>
      <c r="BV27" s="167">
        <f>IFERROR(BV13-BV25,"")</f>
        <v/>
      </c>
      <c r="BW27" s="167">
        <f>IFERROR(BW13-BW25,"")</f>
        <v/>
      </c>
      <c r="BX27" s="167">
        <f>IFERROR(BX13-BX25,"")</f>
        <v/>
      </c>
      <c r="BY27" s="167">
        <f>IFERROR(BY13-BY25,"")</f>
        <v/>
      </c>
      <c r="BZ27" s="167">
        <f>IFERROR(BZ13-BZ25,"")</f>
        <v/>
      </c>
      <c r="CA27" s="167">
        <f>IFERROR(CA13-CA25,"")</f>
        <v/>
      </c>
      <c r="CB27" s="167">
        <f>IFERROR(CB13-CB25,"")</f>
        <v/>
      </c>
      <c r="CC27" s="167">
        <f>IFERROR(CC13-CC25,"")</f>
        <v/>
      </c>
      <c r="CD27" s="167">
        <f>IFERROR(CD13-CD25,"")</f>
        <v/>
      </c>
      <c r="CE27" s="167">
        <f>IFERROR(CE13-CE25,"")</f>
        <v/>
      </c>
      <c r="CF27" s="167">
        <f>IFERROR(CF13-CF25,"")</f>
        <v/>
      </c>
      <c r="CG27" s="167">
        <f>IFERROR(CG13-CG25,"")</f>
        <v/>
      </c>
      <c r="CH27" s="167">
        <f>IFERROR(CH13-CH25,"")</f>
        <v/>
      </c>
      <c r="CI27" s="167">
        <f>IFERROR(CI13-CI25,"")</f>
        <v/>
      </c>
      <c r="CJ27" s="167">
        <f>IFERROR(CJ13-CJ25,"")</f>
        <v/>
      </c>
      <c r="CK27" s="167">
        <f>IFERROR(CK13-CK25,"")</f>
        <v/>
      </c>
      <c r="CL27" s="167">
        <f>IFERROR(CL13-CL25,"")</f>
        <v/>
      </c>
      <c r="CM27" s="168">
        <f>CM26+CM86</f>
        <v/>
      </c>
      <c r="CN27" s="168">
        <f>CN26+CN86</f>
        <v/>
      </c>
      <c r="CO27" s="168">
        <f>IFERROR(CO13-CO25,"")</f>
        <v/>
      </c>
      <c r="CP27" s="168">
        <f>CO27*(1+CP28)</f>
        <v/>
      </c>
      <c r="CQ27" s="168">
        <f>CP27*(1+CQ28)</f>
        <v/>
      </c>
      <c r="CR27" s="168">
        <f>CQ27*(1+CR28)</f>
        <v/>
      </c>
      <c r="CS27" s="168">
        <f>CR27*(1+CS28)</f>
        <v/>
      </c>
      <c r="CT27" s="22" t="inlineStr">
        <is>
          <t>Freight-adjusted price − cash gross profit per ton (company definition). Q3/Q4-26E = pre-calibration cost + outlook calibration Δ. 2027E+: scenario unit cash cost inflation.</t>
        </is>
      </c>
      <c r="CV27" s="23">
        <f>IFERROR((CS27/CI27)^(1/5)-1,"n/m")</f>
        <v/>
      </c>
      <c r="CW27" s="23">
        <f>IFERROR((CI27/BE27)^(1/5)-1,"n/m")</f>
        <v/>
      </c>
      <c r="CX27" s="23">
        <f>IFERROR((CI27/AA27)^(1/10)-1,"n/m")</f>
        <v/>
      </c>
      <c r="CY27" s="23">
        <f>IFERROR((CI27/C27)^(1/19)-1,"n/m")</f>
        <v/>
      </c>
    </row>
    <row r="28" ht="15" customHeight="1">
      <c r="B28" s="25" t="inlineStr">
        <is>
          <t xml:space="preserve">  Unit cash cost y/y %</t>
        </is>
      </c>
      <c r="C28" s="26" t="n"/>
      <c r="D28" s="26">
        <f>IF(AND(ISNUMBER(D27),ISNUMBER(C27)),IFERROR(D27/C27-1,""),"")</f>
        <v/>
      </c>
      <c r="E28" s="26">
        <f>IF(AND(ISNUMBER(E27),ISNUMBER(D27)),IFERROR(E27/D27-1,""),"")</f>
        <v/>
      </c>
      <c r="F28" s="26">
        <f>IF(AND(ISNUMBER(F27),ISNUMBER(E27)),IFERROR(F27/E27-1,""),"")</f>
        <v/>
      </c>
      <c r="G28" s="26">
        <f>IF(AND(ISNUMBER(G27),ISNUMBER(F27)),IFERROR(G27/F27-1,""),"")</f>
        <v/>
      </c>
      <c r="H28" s="26">
        <f>IF(AND(ISNUMBER(H27),ISNUMBER(G27)),IFERROR(H27/G27-1,""),"")</f>
        <v/>
      </c>
      <c r="I28" s="26">
        <f>IF(AND(ISNUMBER(I27),ISNUMBER(H27)),IFERROR(I27/H27-1,""),"")</f>
        <v/>
      </c>
      <c r="J28" s="26" t="n"/>
      <c r="K28" s="26" t="n"/>
      <c r="L28" s="26" t="n"/>
      <c r="M28" s="26" t="n"/>
      <c r="N28" s="26" t="n"/>
      <c r="O28" s="26">
        <f>IF(AND(ISNUMBER(O27),ISNUMBER(I27)),IFERROR(O27/I27-1,""),"")</f>
        <v/>
      </c>
      <c r="P28" s="26">
        <f>IF(AND(ISNUMBER(P27),ISNUMBER(J27)),IFERROR(P27/J27-1,""),"")</f>
        <v/>
      </c>
      <c r="Q28" s="26">
        <f>IF(AND(ISNUMBER(Q27),ISNUMBER(K27)),IFERROR(Q27/K27-1,""),"")</f>
        <v/>
      </c>
      <c r="R28" s="26">
        <f>IF(AND(ISNUMBER(R27),ISNUMBER(L27)),IFERROR(R27/L27-1,""),"")</f>
        <v/>
      </c>
      <c r="S28" s="26">
        <f>IF(AND(ISNUMBER(S27),ISNUMBER(M27)),IFERROR(S27/M27-1,""),"")</f>
        <v/>
      </c>
      <c r="T28" s="26">
        <f>IF(AND(ISNUMBER(T27),ISNUMBER(N27)),IFERROR(T27/N27-1,""),"")</f>
        <v/>
      </c>
      <c r="U28" s="26">
        <f>IF(AND(ISNUMBER(U27),ISNUMBER(O27)),IFERROR(U27/O27-1,""),"")</f>
        <v/>
      </c>
      <c r="V28" s="26">
        <f>IF(AND(ISNUMBER(V27),ISNUMBER(P27)),IFERROR(V27/P27-1,""),"")</f>
        <v/>
      </c>
      <c r="W28" s="26">
        <f>IF(AND(ISNUMBER(W27),ISNUMBER(Q27)),IFERROR(W27/Q27-1,""),"")</f>
        <v/>
      </c>
      <c r="X28" s="26">
        <f>IF(AND(ISNUMBER(X27),ISNUMBER(R27)),IFERROR(X27/R27-1,""),"")</f>
        <v/>
      </c>
      <c r="Y28" s="26">
        <f>IF(AND(ISNUMBER(Y27),ISNUMBER(S27)),IFERROR(Y27/S27-1,""),"")</f>
        <v/>
      </c>
      <c r="Z28" s="26">
        <f>IF(AND(ISNUMBER(Z27),ISNUMBER(T27)),IFERROR(Z27/T27-1,""),"")</f>
        <v/>
      </c>
      <c r="AA28" s="26">
        <f>IF(AND(ISNUMBER(AA27),ISNUMBER(U27)),IFERROR(AA27/U27-1,""),"")</f>
        <v/>
      </c>
      <c r="AB28" s="26">
        <f>IF(AND(ISNUMBER(AB27),ISNUMBER(V27)),IFERROR(AB27/V27-1,""),"")</f>
        <v/>
      </c>
      <c r="AC28" s="26">
        <f>IF(AND(ISNUMBER(AC27),ISNUMBER(W27)),IFERROR(AC27/W27-1,""),"")</f>
        <v/>
      </c>
      <c r="AD28" s="26">
        <f>IF(AND(ISNUMBER(AD27),ISNUMBER(X27)),IFERROR(AD27/X27-1,""),"")</f>
        <v/>
      </c>
      <c r="AE28" s="26">
        <f>IF(AND(ISNUMBER(AE27),ISNUMBER(Y27)),IFERROR(AE27/Y27-1,""),"")</f>
        <v/>
      </c>
      <c r="AF28" s="26">
        <f>IF(AND(ISNUMBER(AF27),ISNUMBER(Z27)),IFERROR(AF27/Z27-1,""),"")</f>
        <v/>
      </c>
      <c r="AG28" s="26">
        <f>IF(AND(ISNUMBER(AG27),ISNUMBER(AA27)),IFERROR(AG27/AA27-1,""),"")</f>
        <v/>
      </c>
      <c r="AH28" s="26">
        <f>IF(AND(ISNUMBER(AH27),ISNUMBER(AB27)),IFERROR(AH27/AB27-1,""),"")</f>
        <v/>
      </c>
      <c r="AI28" s="26">
        <f>IF(AND(ISNUMBER(AI27),ISNUMBER(AC27)),IFERROR(AI27/AC27-1,""),"")</f>
        <v/>
      </c>
      <c r="AJ28" s="26">
        <f>IF(AND(ISNUMBER(AJ27),ISNUMBER(AD27)),IFERROR(AJ27/AD27-1,""),"")</f>
        <v/>
      </c>
      <c r="AK28" s="26">
        <f>IF(AND(ISNUMBER(AK27),ISNUMBER(AE27)),IFERROR(AK27/AE27-1,""),"")</f>
        <v/>
      </c>
      <c r="AL28" s="26">
        <f>IF(AND(ISNUMBER(AL27),ISNUMBER(AF27)),IFERROR(AL27/AF27-1,""),"")</f>
        <v/>
      </c>
      <c r="AM28" s="26">
        <f>IF(AND(ISNUMBER(AM27),ISNUMBER(AG27)),IFERROR(AM27/AG27-1,""),"")</f>
        <v/>
      </c>
      <c r="AN28" s="26">
        <f>IF(AND(ISNUMBER(AN27),ISNUMBER(AH27)),IFERROR(AN27/AH27-1,""),"")</f>
        <v/>
      </c>
      <c r="AO28" s="26">
        <f>IF(AND(ISNUMBER(AO27),ISNUMBER(AI27)),IFERROR(AO27/AI27-1,""),"")</f>
        <v/>
      </c>
      <c r="AP28" s="26">
        <f>IF(AND(ISNUMBER(AP27),ISNUMBER(AJ27)),IFERROR(AP27/AJ27-1,""),"")</f>
        <v/>
      </c>
      <c r="AQ28" s="26">
        <f>IF(AND(ISNUMBER(AQ27),ISNUMBER(AK27)),IFERROR(AQ27/AK27-1,""),"")</f>
        <v/>
      </c>
      <c r="AR28" s="26">
        <f>IF(AND(ISNUMBER(AR27),ISNUMBER(AL27)),IFERROR(AR27/AL27-1,""),"")</f>
        <v/>
      </c>
      <c r="AS28" s="26">
        <f>IF(AND(ISNUMBER(AS27),ISNUMBER(AM27)),IFERROR(AS27/AM27-1,""),"")</f>
        <v/>
      </c>
      <c r="AT28" s="26">
        <f>IF(AND(ISNUMBER(AT27),ISNUMBER(AN27)),IFERROR(AT27/AN27-1,""),"")</f>
        <v/>
      </c>
      <c r="AU28" s="26">
        <f>IF(AND(ISNUMBER(AU27),ISNUMBER(AO27)),IFERROR(AU27/AO27-1,""),"")</f>
        <v/>
      </c>
      <c r="AV28" s="26">
        <f>IF(AND(ISNUMBER(AV27),ISNUMBER(AP27)),IFERROR(AV27/AP27-1,""),"")</f>
        <v/>
      </c>
      <c r="AW28" s="26">
        <f>IF(AND(ISNUMBER(AW27),ISNUMBER(AQ27)),IFERROR(AW27/AQ27-1,""),"")</f>
        <v/>
      </c>
      <c r="AX28" s="26">
        <f>IF(AND(ISNUMBER(AX27),ISNUMBER(AR27)),IFERROR(AX27/AR27-1,""),"")</f>
        <v/>
      </c>
      <c r="AY28" s="26">
        <f>IF(AND(ISNUMBER(AY27),ISNUMBER(AS27)),IFERROR(AY27/AS27-1,""),"")</f>
        <v/>
      </c>
      <c r="AZ28" s="26">
        <f>IF(AND(ISNUMBER(AZ27),ISNUMBER(AT27)),IFERROR(AZ27/AT27-1,""),"")</f>
        <v/>
      </c>
      <c r="BA28" s="26">
        <f>IF(AND(ISNUMBER(BA27),ISNUMBER(AU27)),IFERROR(BA27/AU27-1,""),"")</f>
        <v/>
      </c>
      <c r="BB28" s="26">
        <f>IF(AND(ISNUMBER(BB27),ISNUMBER(AV27)),IFERROR(BB27/AV27-1,""),"")</f>
        <v/>
      </c>
      <c r="BC28" s="26">
        <f>IF(AND(ISNUMBER(BC27),ISNUMBER(AW27)),IFERROR(BC27/AW27-1,""),"")</f>
        <v/>
      </c>
      <c r="BD28" s="26">
        <f>IF(AND(ISNUMBER(BD27),ISNUMBER(AX27)),IFERROR(BD27/AX27-1,""),"")</f>
        <v/>
      </c>
      <c r="BE28" s="26">
        <f>IF(AND(ISNUMBER(BE27),ISNUMBER(AY27)),IFERROR(BE27/AY27-1,""),"")</f>
        <v/>
      </c>
      <c r="BF28" s="26">
        <f>IF(AND(ISNUMBER(BF27),ISNUMBER(AZ27)),IFERROR(BF27/AZ27-1,""),"")</f>
        <v/>
      </c>
      <c r="BG28" s="26">
        <f>IF(AND(ISNUMBER(BG27),ISNUMBER(BA27)),IFERROR(BG27/BA27-1,""),"")</f>
        <v/>
      </c>
      <c r="BH28" s="26">
        <f>IF(AND(ISNUMBER(BH27),ISNUMBER(BB27)),IFERROR(BH27/BB27-1,""),"")</f>
        <v/>
      </c>
      <c r="BI28" s="26">
        <f>IF(AND(ISNUMBER(BI27),ISNUMBER(BC27)),IFERROR(BI27/BC27-1,""),"")</f>
        <v/>
      </c>
      <c r="BJ28" s="26">
        <f>IF(AND(ISNUMBER(BJ27),ISNUMBER(BD27)),IFERROR(BJ27/BD27-1,""),"")</f>
        <v/>
      </c>
      <c r="BK28" s="26">
        <f>IF(AND(ISNUMBER(BK27),ISNUMBER(BE27)),IFERROR(BK27/BE27-1,""),"")</f>
        <v/>
      </c>
      <c r="BL28" s="26">
        <f>IF(AND(ISNUMBER(BL27),ISNUMBER(BF27)),IFERROR(BL27/BF27-1,""),"")</f>
        <v/>
      </c>
      <c r="BM28" s="26">
        <f>IF(AND(ISNUMBER(BM27),ISNUMBER(BG27)),IFERROR(BM27/BG27-1,""),"")</f>
        <v/>
      </c>
      <c r="BN28" s="26">
        <f>IF(AND(ISNUMBER(BN27),ISNUMBER(BH27)),IFERROR(BN27/BH27-1,""),"")</f>
        <v/>
      </c>
      <c r="BO28" s="26">
        <f>IF(AND(ISNUMBER(BO27),ISNUMBER(BI27)),IFERROR(BO27/BI27-1,""),"")</f>
        <v/>
      </c>
      <c r="BP28" s="26">
        <f>IF(AND(ISNUMBER(BP27),ISNUMBER(BJ27)),IFERROR(BP27/BJ27-1,""),"")</f>
        <v/>
      </c>
      <c r="BQ28" s="26">
        <f>IF(AND(ISNUMBER(BQ27),ISNUMBER(BK27)),IFERROR(BQ27/BK27-1,""),"")</f>
        <v/>
      </c>
      <c r="BR28" s="26">
        <f>IF(AND(ISNUMBER(BR27),ISNUMBER(BL27)),IFERROR(BR27/BL27-1,""),"")</f>
        <v/>
      </c>
      <c r="BS28" s="26">
        <f>IF(AND(ISNUMBER(BS27),ISNUMBER(BM27)),IFERROR(BS27/BM27-1,""),"")</f>
        <v/>
      </c>
      <c r="BT28" s="26">
        <f>IF(AND(ISNUMBER(BT27),ISNUMBER(BN27)),IFERROR(BT27/BN27-1,""),"")</f>
        <v/>
      </c>
      <c r="BU28" s="26">
        <f>IF(AND(ISNUMBER(BU27),ISNUMBER(BO27)),IFERROR(BU27/BO27-1,""),"")</f>
        <v/>
      </c>
      <c r="BV28" s="26">
        <f>IF(AND(ISNUMBER(BV27),ISNUMBER(BP27)),IFERROR(BV27/BP27-1,""),"")</f>
        <v/>
      </c>
      <c r="BW28" s="26">
        <f>IF(AND(ISNUMBER(BW27),ISNUMBER(BQ27)),IFERROR(BW27/BQ27-1,""),"")</f>
        <v/>
      </c>
      <c r="BX28" s="26">
        <f>IF(AND(ISNUMBER(BX27),ISNUMBER(BR27)),IFERROR(BX27/BR27-1,""),"")</f>
        <v/>
      </c>
      <c r="BY28" s="26">
        <f>IF(AND(ISNUMBER(BY27),ISNUMBER(BS27)),IFERROR(BY27/BS27-1,""),"")</f>
        <v/>
      </c>
      <c r="BZ28" s="26">
        <f>IF(AND(ISNUMBER(BZ27),ISNUMBER(BT27)),IFERROR(BZ27/BT27-1,""),"")</f>
        <v/>
      </c>
      <c r="CA28" s="26">
        <f>IF(AND(ISNUMBER(CA27),ISNUMBER(BU27)),IFERROR(CA27/BU27-1,""),"")</f>
        <v/>
      </c>
      <c r="CB28" s="26">
        <f>IF(AND(ISNUMBER(CB27),ISNUMBER(BV27)),IFERROR(CB27/BV27-1,""),"")</f>
        <v/>
      </c>
      <c r="CC28" s="26">
        <f>IF(AND(ISNUMBER(CC27),ISNUMBER(BW27)),IFERROR(CC27/BW27-1,""),"")</f>
        <v/>
      </c>
      <c r="CD28" s="26">
        <f>IF(AND(ISNUMBER(CD27),ISNUMBER(BX27)),IFERROR(CD27/BX27-1,""),"")</f>
        <v/>
      </c>
      <c r="CE28" s="26">
        <f>IF(AND(ISNUMBER(CE27),ISNUMBER(BY27)),IFERROR(CE27/BY27-1,""),"")</f>
        <v/>
      </c>
      <c r="CF28" s="26">
        <f>IF(AND(ISNUMBER(CF27),ISNUMBER(BZ27)),IFERROR(CF27/BZ27-1,""),"")</f>
        <v/>
      </c>
      <c r="CG28" s="26">
        <f>IF(AND(ISNUMBER(CG27),ISNUMBER(CA27)),IFERROR(CG27/CA27-1,""),"")</f>
        <v/>
      </c>
      <c r="CH28" s="26">
        <f>IF(AND(ISNUMBER(CH27),ISNUMBER(CB27)),IFERROR(CH27/CB27-1,""),"")</f>
        <v/>
      </c>
      <c r="CI28" s="26">
        <f>IF(AND(ISNUMBER(CI27),ISNUMBER(CC27)),IFERROR(CI27/CC27-1,""),"")</f>
        <v/>
      </c>
      <c r="CJ28" s="26">
        <f>IF(AND(ISNUMBER(CJ27),ISNUMBER(CD27)),IFERROR(CJ27/CD27-1,""),"")</f>
        <v/>
      </c>
      <c r="CK28" s="26">
        <f>IF(AND(ISNUMBER(CK27),ISNUMBER(CE27)),IFERROR(CK27/CE27-1,""),"")</f>
        <v/>
      </c>
      <c r="CL28" s="26">
        <f>IF(AND(ISNUMBER(CL27),ISNUMBER(CF27)),IFERROR(CL27/CF27-1,""),"")</f>
        <v/>
      </c>
      <c r="CM28" s="165">
        <f>IF(AND(ISNUMBER(CM27),ISNUMBER(CG27)),IFERROR(CM27/CG27-1,""),"")</f>
        <v/>
      </c>
      <c r="CN28" s="165">
        <f>IF(AND(ISNUMBER(CN27),ISNUMBER(CH27)),IFERROR(CN27/CH27-1,""),"")</f>
        <v/>
      </c>
      <c r="CO28" s="165">
        <f>IF(AND(ISNUMBER(CO27),ISNUMBER(CI27)),IFERROR(CO27/CI27-1,""),"")</f>
        <v/>
      </c>
      <c r="CP28" s="165">
        <f>CHOOSE(MATCH($CT$2,{"Bull","Base","Bear"},0),$DC$41,$DD$41,$DE$41)</f>
        <v/>
      </c>
      <c r="CQ28" s="165">
        <f>CHOOSE(MATCH($CT$2,{"Bull","Base","Bear"},0),$DC$42,$DD$42,$DE$42)</f>
        <v/>
      </c>
      <c r="CR28" s="165">
        <f>CHOOSE(MATCH($CT$2,{"Bull","Base","Bear"},0),$DC$43,$DD$43,$DE$43)</f>
        <v/>
      </c>
      <c r="CS28" s="165">
        <f>CHOOSE(MATCH($CT$2,{"Bull","Base","Bear"},0),$DC$44,$DD$44,$DE$44)</f>
        <v/>
      </c>
      <c r="CT28" s="22" t="inlineStr">
        <is>
          <t>2027E–2030E: scenario lever (AGG_unitCashCostGrowth).</t>
        </is>
      </c>
      <c r="CV28" s="6" t="n"/>
      <c r="CW28" s="6" t="n"/>
      <c r="CX28" s="6" t="n"/>
      <c r="CY28" s="6" t="n"/>
      <c r="DB28" s="17" t="inlineStr">
        <is>
          <t>AGG_volumeGrowth (aggregates shipments y/y)</t>
        </is>
      </c>
      <c r="DC28" s="41" t="n">
        <v>0.01</v>
      </c>
      <c r="DD28" s="24" t="inlineStr">
        <is>
          <t>Δ →</t>
        </is>
      </c>
      <c r="DE28" s="41" t="n">
        <v>-0.025</v>
      </c>
      <c r="DF28" s="15" t="inlineStr">
        <is>
          <t>IIJA-funded public work, data-centre / manufacturing megaprojects vs soft single-family housing; long-run volumes ~1–2% p.a.</t>
        </is>
      </c>
    </row>
    <row r="29" ht="15" customHeight="1">
      <c r="B29" s="25" t="inlineStr">
        <is>
          <t xml:space="preserve">  Cash gross profit % of freight-adjusted revenues</t>
        </is>
      </c>
      <c r="C29" s="179">
        <f>IFERROR(C21/C15,"")</f>
        <v/>
      </c>
      <c r="D29" s="179">
        <f>IFERROR(D21/D15,"")</f>
        <v/>
      </c>
      <c r="E29" s="179">
        <f>IFERROR(E21/E15,"")</f>
        <v/>
      </c>
      <c r="F29" s="179">
        <f>IFERROR(F21/F15,"")</f>
        <v/>
      </c>
      <c r="G29" s="179">
        <f>IFERROR(G21/G15,"")</f>
        <v/>
      </c>
      <c r="H29" s="179">
        <f>IFERROR(H21/H15,"")</f>
        <v/>
      </c>
      <c r="I29" s="179">
        <f>IFERROR(I21/I15,"")</f>
        <v/>
      </c>
      <c r="J29" s="179">
        <f>IFERROR(J21/J15,"")</f>
        <v/>
      </c>
      <c r="K29" s="179">
        <f>IFERROR(K21/K15,"")</f>
        <v/>
      </c>
      <c r="L29" s="179">
        <f>IFERROR(L21/L15,"")</f>
        <v/>
      </c>
      <c r="M29" s="179">
        <f>IFERROR(M21/M15,"")</f>
        <v/>
      </c>
      <c r="N29" s="179">
        <f>IFERROR(N21/N15,"")</f>
        <v/>
      </c>
      <c r="O29" s="179">
        <f>IFERROR(O21/O15,"")</f>
        <v/>
      </c>
      <c r="P29" s="179">
        <f>IFERROR(P21/P15,"")</f>
        <v/>
      </c>
      <c r="Q29" s="179">
        <f>IFERROR(Q21/Q15,"")</f>
        <v/>
      </c>
      <c r="R29" s="179">
        <f>IFERROR(R21/R15,"")</f>
        <v/>
      </c>
      <c r="S29" s="179">
        <f>IFERROR(S21/S15,"")</f>
        <v/>
      </c>
      <c r="T29" s="179">
        <f>IFERROR(T21/T15,"")</f>
        <v/>
      </c>
      <c r="U29" s="179">
        <f>IFERROR(U21/U15,"")</f>
        <v/>
      </c>
      <c r="V29" s="179">
        <f>IFERROR(V21/V15,"")</f>
        <v/>
      </c>
      <c r="W29" s="179">
        <f>IFERROR(W21/W15,"")</f>
        <v/>
      </c>
      <c r="X29" s="179">
        <f>IFERROR(X21/X15,"")</f>
        <v/>
      </c>
      <c r="Y29" s="179">
        <f>IFERROR(Y21/Y15,"")</f>
        <v/>
      </c>
      <c r="Z29" s="179">
        <f>IFERROR(Z21/Z15,"")</f>
        <v/>
      </c>
      <c r="AA29" s="179">
        <f>IFERROR(AA21/AA15,"")</f>
        <v/>
      </c>
      <c r="AB29" s="179">
        <f>IFERROR(AB21/AB15,"")</f>
        <v/>
      </c>
      <c r="AC29" s="179">
        <f>IFERROR(AC21/AC15,"")</f>
        <v/>
      </c>
      <c r="AD29" s="179">
        <f>IFERROR(AD21/AD15,"")</f>
        <v/>
      </c>
      <c r="AE29" s="179">
        <f>IFERROR(AE21/AE15,"")</f>
        <v/>
      </c>
      <c r="AF29" s="179">
        <f>IFERROR(AF21/AF15,"")</f>
        <v/>
      </c>
      <c r="AG29" s="179">
        <f>IFERROR(AG21/AG15,"")</f>
        <v/>
      </c>
      <c r="AH29" s="179">
        <f>IFERROR(AH21/AH15,"")</f>
        <v/>
      </c>
      <c r="AI29" s="179">
        <f>IFERROR(AI21/AI15,"")</f>
        <v/>
      </c>
      <c r="AJ29" s="179">
        <f>IFERROR(AJ21/AJ15,"")</f>
        <v/>
      </c>
      <c r="AK29" s="179">
        <f>IFERROR(AK21/AK15,"")</f>
        <v/>
      </c>
      <c r="AL29" s="179">
        <f>IFERROR(AL21/AL15,"")</f>
        <v/>
      </c>
      <c r="AM29" s="179">
        <f>IFERROR(AM21/AM15,"")</f>
        <v/>
      </c>
      <c r="AN29" s="179">
        <f>IFERROR(AN21/AN15,"")</f>
        <v/>
      </c>
      <c r="AO29" s="179">
        <f>IFERROR(AO21/AO15,"")</f>
        <v/>
      </c>
      <c r="AP29" s="179">
        <f>IFERROR(AP21/AP15,"")</f>
        <v/>
      </c>
      <c r="AQ29" s="179">
        <f>IFERROR(AQ21/AQ15,"")</f>
        <v/>
      </c>
      <c r="AR29" s="179">
        <f>IFERROR(AR21/AR15,"")</f>
        <v/>
      </c>
      <c r="AS29" s="179">
        <f>IFERROR(AS21/AS15,"")</f>
        <v/>
      </c>
      <c r="AT29" s="179">
        <f>IFERROR(AT21/AT15,"")</f>
        <v/>
      </c>
      <c r="AU29" s="179">
        <f>IFERROR(AU21/AU15,"")</f>
        <v/>
      </c>
      <c r="AV29" s="179">
        <f>IFERROR(AV21/AV15,"")</f>
        <v/>
      </c>
      <c r="AW29" s="179">
        <f>IFERROR(AW21/AW15,"")</f>
        <v/>
      </c>
      <c r="AX29" s="179">
        <f>IFERROR(AX21/AX15,"")</f>
        <v/>
      </c>
      <c r="AY29" s="179">
        <f>IFERROR(AY21/AY15,"")</f>
        <v/>
      </c>
      <c r="AZ29" s="179">
        <f>IFERROR(AZ21/AZ15,"")</f>
        <v/>
      </c>
      <c r="BA29" s="179">
        <f>IFERROR(BA21/BA15,"")</f>
        <v/>
      </c>
      <c r="BB29" s="179">
        <f>IFERROR(BB21/BB15,"")</f>
        <v/>
      </c>
      <c r="BC29" s="179">
        <f>IFERROR(BC21/BC15,"")</f>
        <v/>
      </c>
      <c r="BD29" s="179">
        <f>IFERROR(BD21/BD15,"")</f>
        <v/>
      </c>
      <c r="BE29" s="179">
        <f>IFERROR(BE21/BE15,"")</f>
        <v/>
      </c>
      <c r="BF29" s="179">
        <f>IFERROR(BF21/BF15,"")</f>
        <v/>
      </c>
      <c r="BG29" s="179">
        <f>IFERROR(BG21/BG15,"")</f>
        <v/>
      </c>
      <c r="BH29" s="179">
        <f>IFERROR(BH21/BH15,"")</f>
        <v/>
      </c>
      <c r="BI29" s="179">
        <f>IFERROR(BI21/BI15,"")</f>
        <v/>
      </c>
      <c r="BJ29" s="179">
        <f>IFERROR(BJ21/BJ15,"")</f>
        <v/>
      </c>
      <c r="BK29" s="179">
        <f>IFERROR(BK21/BK15,"")</f>
        <v/>
      </c>
      <c r="BL29" s="179">
        <f>IFERROR(BL21/BL15,"")</f>
        <v/>
      </c>
      <c r="BM29" s="179">
        <f>IFERROR(BM21/BM15,"")</f>
        <v/>
      </c>
      <c r="BN29" s="179">
        <f>IFERROR(BN21/BN15,"")</f>
        <v/>
      </c>
      <c r="BO29" s="179">
        <f>IFERROR(BO21/BO15,"")</f>
        <v/>
      </c>
      <c r="BP29" s="179">
        <f>IFERROR(BP21/BP15,"")</f>
        <v/>
      </c>
      <c r="BQ29" s="179">
        <f>IFERROR(BQ21/BQ15,"")</f>
        <v/>
      </c>
      <c r="BR29" s="179">
        <f>IFERROR(BR21/BR15,"")</f>
        <v/>
      </c>
      <c r="BS29" s="179">
        <f>IFERROR(BS21/BS15,"")</f>
        <v/>
      </c>
      <c r="BT29" s="179">
        <f>IFERROR(BT21/BT15,"")</f>
        <v/>
      </c>
      <c r="BU29" s="179">
        <f>IFERROR(BU21/BU15,"")</f>
        <v/>
      </c>
      <c r="BV29" s="179">
        <f>IFERROR(BV21/BV15,"")</f>
        <v/>
      </c>
      <c r="BW29" s="179">
        <f>IFERROR(BW21/BW15,"")</f>
        <v/>
      </c>
      <c r="BX29" s="179">
        <f>IFERROR(BX21/BX15,"")</f>
        <v/>
      </c>
      <c r="BY29" s="179">
        <f>IFERROR(BY21/BY15,"")</f>
        <v/>
      </c>
      <c r="BZ29" s="179">
        <f>IFERROR(BZ21/BZ15,"")</f>
        <v/>
      </c>
      <c r="CA29" s="179">
        <f>IFERROR(CA21/CA15,"")</f>
        <v/>
      </c>
      <c r="CB29" s="179">
        <f>IFERROR(CB21/CB15,"")</f>
        <v/>
      </c>
      <c r="CC29" s="179">
        <f>IFERROR(CC21/CC15,"")</f>
        <v/>
      </c>
      <c r="CD29" s="179">
        <f>IFERROR(CD21/CD15,"")</f>
        <v/>
      </c>
      <c r="CE29" s="179">
        <f>IFERROR(CE21/CE15,"")</f>
        <v/>
      </c>
      <c r="CF29" s="179">
        <f>IFERROR(CF21/CF15,"")</f>
        <v/>
      </c>
      <c r="CG29" s="179">
        <f>IFERROR(CG21/CG15,"")</f>
        <v/>
      </c>
      <c r="CH29" s="179">
        <f>IFERROR(CH21/CH15,"")</f>
        <v/>
      </c>
      <c r="CI29" s="179">
        <f>IFERROR(CI21/CI15,"")</f>
        <v/>
      </c>
      <c r="CJ29" s="179">
        <f>IFERROR(CJ21/CJ15,"")</f>
        <v/>
      </c>
      <c r="CK29" s="179">
        <f>IFERROR(CK21/CK15,"")</f>
        <v/>
      </c>
      <c r="CL29" s="179">
        <f>IFERROR(CL21/CL15,"")</f>
        <v/>
      </c>
      <c r="CM29" s="165">
        <f>IFERROR(CM21/CM15,"")</f>
        <v/>
      </c>
      <c r="CN29" s="165">
        <f>IFERROR(CN21/CN15,"")</f>
        <v/>
      </c>
      <c r="CO29" s="165">
        <f>IFERROR(CO21/CO15,"")</f>
        <v/>
      </c>
      <c r="CP29" s="165">
        <f>IFERROR(CP21/CP15,"")</f>
        <v/>
      </c>
      <c r="CQ29" s="165">
        <f>IFERROR(CQ21/CQ15,"")</f>
        <v/>
      </c>
      <c r="CR29" s="165">
        <f>IFERROR(CR21/CR15,"")</f>
        <v/>
      </c>
      <c r="CS29" s="165">
        <f>IFERROR(CS21/CS15,"")</f>
        <v/>
      </c>
      <c r="CT29" s="22" t="n"/>
      <c r="CV29" s="40">
        <f>IFERROR(AVERAGE(CO29,CP29,CQ29,CR29,CS29),"n/m")</f>
        <v/>
      </c>
      <c r="CW29" s="40">
        <f>IFERROR(AVERAGE(BK29,BQ29,BW29,CC29,CI29),"n/m")</f>
        <v/>
      </c>
      <c r="CX29" s="40">
        <f>IFERROR(AVERAGE(AG29,AM29,AS29,AY29,BE29,BK29,BQ29,BW29,CC29,CI29),"n/m")</f>
        <v/>
      </c>
      <c r="CY29" s="40">
        <f>IFERROR(AVERAGE(C29,D29,E29,F29,G29,H29,I29,O29,U29,AA29,AG29,AM29,AS29,AY29,BE29,BK29,BQ29,BW29,CC29,CI29),"n/m")</f>
        <v/>
      </c>
      <c r="DB29" s="12" t="inlineStr">
        <is>
          <t xml:space="preserve">  2027E</t>
        </is>
      </c>
      <c r="DC29" s="153">
        <f>DD29+$DC$28</f>
        <v/>
      </c>
      <c r="DD29" s="35" t="n">
        <v>0.02</v>
      </c>
      <c r="DE29" s="153">
        <f>DD29+$DE$28</f>
        <v/>
      </c>
    </row>
    <row r="30" ht="15" customHeight="1">
      <c r="B30" s="25" t="inlineStr">
        <is>
          <t xml:space="preserve">  Gross margin % of segment revenues</t>
        </is>
      </c>
      <c r="C30" s="179">
        <f>IFERROR(C19/C17,"")</f>
        <v/>
      </c>
      <c r="D30" s="179">
        <f>IFERROR(D19/D17,"")</f>
        <v/>
      </c>
      <c r="E30" s="179">
        <f>IFERROR(E19/E17,"")</f>
        <v/>
      </c>
      <c r="F30" s="179">
        <f>IFERROR(F19/F17,"")</f>
        <v/>
      </c>
      <c r="G30" s="179">
        <f>IFERROR(G19/G17,"")</f>
        <v/>
      </c>
      <c r="H30" s="179">
        <f>IFERROR(H19/H17,"")</f>
        <v/>
      </c>
      <c r="I30" s="179">
        <f>IFERROR(I19/I17,"")</f>
        <v/>
      </c>
      <c r="J30" s="179">
        <f>IFERROR(J19/J17,"")</f>
        <v/>
      </c>
      <c r="K30" s="179">
        <f>IFERROR(K19/K17,"")</f>
        <v/>
      </c>
      <c r="L30" s="179">
        <f>IFERROR(L19/L17,"")</f>
        <v/>
      </c>
      <c r="M30" s="179">
        <f>IFERROR(M19/M17,"")</f>
        <v/>
      </c>
      <c r="N30" s="179">
        <f>IFERROR(N19/N17,"")</f>
        <v/>
      </c>
      <c r="O30" s="179">
        <f>IFERROR(O19/O17,"")</f>
        <v/>
      </c>
      <c r="P30" s="179">
        <f>IFERROR(P19/P17,"")</f>
        <v/>
      </c>
      <c r="Q30" s="179">
        <f>IFERROR(Q19/Q17,"")</f>
        <v/>
      </c>
      <c r="R30" s="179">
        <f>IFERROR(R19/R17,"")</f>
        <v/>
      </c>
      <c r="S30" s="179">
        <f>IFERROR(S19/S17,"")</f>
        <v/>
      </c>
      <c r="T30" s="179">
        <f>IFERROR(T19/T17,"")</f>
        <v/>
      </c>
      <c r="U30" s="179">
        <f>IFERROR(U19/U17,"")</f>
        <v/>
      </c>
      <c r="V30" s="179">
        <f>IFERROR(V19/V17,"")</f>
        <v/>
      </c>
      <c r="W30" s="179">
        <f>IFERROR(W19/W17,"")</f>
        <v/>
      </c>
      <c r="X30" s="179">
        <f>IFERROR(X19/X17,"")</f>
        <v/>
      </c>
      <c r="Y30" s="179">
        <f>IFERROR(Y19/Y17,"")</f>
        <v/>
      </c>
      <c r="Z30" s="179">
        <f>IFERROR(Z19/Z17,"")</f>
        <v/>
      </c>
      <c r="AA30" s="179">
        <f>IFERROR(AA19/AA17,"")</f>
        <v/>
      </c>
      <c r="AB30" s="179">
        <f>IFERROR(AB19/AB17,"")</f>
        <v/>
      </c>
      <c r="AC30" s="179">
        <f>IFERROR(AC19/AC17,"")</f>
        <v/>
      </c>
      <c r="AD30" s="179">
        <f>IFERROR(AD19/AD17,"")</f>
        <v/>
      </c>
      <c r="AE30" s="179">
        <f>IFERROR(AE19/AE17,"")</f>
        <v/>
      </c>
      <c r="AF30" s="179">
        <f>IFERROR(AF19/AF17,"")</f>
        <v/>
      </c>
      <c r="AG30" s="179">
        <f>IFERROR(AG19/AG17,"")</f>
        <v/>
      </c>
      <c r="AH30" s="179">
        <f>IFERROR(AH19/AH17,"")</f>
        <v/>
      </c>
      <c r="AI30" s="179">
        <f>IFERROR(AI19/AI17,"")</f>
        <v/>
      </c>
      <c r="AJ30" s="179">
        <f>IFERROR(AJ19/AJ17,"")</f>
        <v/>
      </c>
      <c r="AK30" s="179">
        <f>IFERROR(AK19/AK17,"")</f>
        <v/>
      </c>
      <c r="AL30" s="179">
        <f>IFERROR(AL19/AL17,"")</f>
        <v/>
      </c>
      <c r="AM30" s="179">
        <f>IFERROR(AM19/AM17,"")</f>
        <v/>
      </c>
      <c r="AN30" s="179">
        <f>IFERROR(AN19/AN17,"")</f>
        <v/>
      </c>
      <c r="AO30" s="179">
        <f>IFERROR(AO19/AO17,"")</f>
        <v/>
      </c>
      <c r="AP30" s="179">
        <f>IFERROR(AP19/AP17,"")</f>
        <v/>
      </c>
      <c r="AQ30" s="179">
        <f>IFERROR(AQ19/AQ17,"")</f>
        <v/>
      </c>
      <c r="AR30" s="179">
        <f>IFERROR(AR19/AR17,"")</f>
        <v/>
      </c>
      <c r="AS30" s="179">
        <f>IFERROR(AS19/AS17,"")</f>
        <v/>
      </c>
      <c r="AT30" s="179">
        <f>IFERROR(AT19/AT17,"")</f>
        <v/>
      </c>
      <c r="AU30" s="179">
        <f>IFERROR(AU19/AU17,"")</f>
        <v/>
      </c>
      <c r="AV30" s="179">
        <f>IFERROR(AV19/AV17,"")</f>
        <v/>
      </c>
      <c r="AW30" s="179">
        <f>IFERROR(AW19/AW17,"")</f>
        <v/>
      </c>
      <c r="AX30" s="179">
        <f>IFERROR(AX19/AX17,"")</f>
        <v/>
      </c>
      <c r="AY30" s="179">
        <f>IFERROR(AY19/AY17,"")</f>
        <v/>
      </c>
      <c r="AZ30" s="179">
        <f>IFERROR(AZ19/AZ17,"")</f>
        <v/>
      </c>
      <c r="BA30" s="179">
        <f>IFERROR(BA19/BA17,"")</f>
        <v/>
      </c>
      <c r="BB30" s="179">
        <f>IFERROR(BB19/BB17,"")</f>
        <v/>
      </c>
      <c r="BC30" s="179">
        <f>IFERROR(BC19/BC17,"")</f>
        <v/>
      </c>
      <c r="BD30" s="179">
        <f>IFERROR(BD19/BD17,"")</f>
        <v/>
      </c>
      <c r="BE30" s="179">
        <f>IFERROR(BE19/BE17,"")</f>
        <v/>
      </c>
      <c r="BF30" s="179">
        <f>IFERROR(BF19/BF17,"")</f>
        <v/>
      </c>
      <c r="BG30" s="179">
        <f>IFERROR(BG19/BG17,"")</f>
        <v/>
      </c>
      <c r="BH30" s="179">
        <f>IFERROR(BH19/BH17,"")</f>
        <v/>
      </c>
      <c r="BI30" s="179">
        <f>IFERROR(BI19/BI17,"")</f>
        <v/>
      </c>
      <c r="BJ30" s="179">
        <f>IFERROR(BJ19/BJ17,"")</f>
        <v/>
      </c>
      <c r="BK30" s="179">
        <f>IFERROR(BK19/BK17,"")</f>
        <v/>
      </c>
      <c r="BL30" s="179">
        <f>IFERROR(BL19/BL17,"")</f>
        <v/>
      </c>
      <c r="BM30" s="179">
        <f>IFERROR(BM19/BM17,"")</f>
        <v/>
      </c>
      <c r="BN30" s="179">
        <f>IFERROR(BN19/BN17,"")</f>
        <v/>
      </c>
      <c r="BO30" s="179">
        <f>IFERROR(BO19/BO17,"")</f>
        <v/>
      </c>
      <c r="BP30" s="179">
        <f>IFERROR(BP19/BP17,"")</f>
        <v/>
      </c>
      <c r="BQ30" s="179">
        <f>IFERROR(BQ19/BQ17,"")</f>
        <v/>
      </c>
      <c r="BR30" s="179">
        <f>IFERROR(BR19/BR17,"")</f>
        <v/>
      </c>
      <c r="BS30" s="179">
        <f>IFERROR(BS19/BS17,"")</f>
        <v/>
      </c>
      <c r="BT30" s="179">
        <f>IFERROR(BT19/BT17,"")</f>
        <v/>
      </c>
      <c r="BU30" s="179">
        <f>IFERROR(BU19/BU17,"")</f>
        <v/>
      </c>
      <c r="BV30" s="179">
        <f>IFERROR(BV19/BV17,"")</f>
        <v/>
      </c>
      <c r="BW30" s="179">
        <f>IFERROR(BW19/BW17,"")</f>
        <v/>
      </c>
      <c r="BX30" s="179">
        <f>IFERROR(BX19/BX17,"")</f>
        <v/>
      </c>
      <c r="BY30" s="179">
        <f>IFERROR(BY19/BY17,"")</f>
        <v/>
      </c>
      <c r="BZ30" s="179">
        <f>IFERROR(BZ19/BZ17,"")</f>
        <v/>
      </c>
      <c r="CA30" s="179">
        <f>IFERROR(CA19/CA17,"")</f>
        <v/>
      </c>
      <c r="CB30" s="179">
        <f>IFERROR(CB19/CB17,"")</f>
        <v/>
      </c>
      <c r="CC30" s="179">
        <f>IFERROR(CC19/CC17,"")</f>
        <v/>
      </c>
      <c r="CD30" s="179">
        <f>IFERROR(CD19/CD17,"")</f>
        <v/>
      </c>
      <c r="CE30" s="179">
        <f>IFERROR(CE19/CE17,"")</f>
        <v/>
      </c>
      <c r="CF30" s="179">
        <f>IFERROR(CF19/CF17,"")</f>
        <v/>
      </c>
      <c r="CG30" s="179">
        <f>IFERROR(CG19/CG17,"")</f>
        <v/>
      </c>
      <c r="CH30" s="179">
        <f>IFERROR(CH19/CH17,"")</f>
        <v/>
      </c>
      <c r="CI30" s="179">
        <f>IFERROR(CI19/CI17,"")</f>
        <v/>
      </c>
      <c r="CJ30" s="179">
        <f>IFERROR(CJ19/CJ17,"")</f>
        <v/>
      </c>
      <c r="CK30" s="179">
        <f>IFERROR(CK19/CK17,"")</f>
        <v/>
      </c>
      <c r="CL30" s="179">
        <f>IFERROR(CL19/CL17,"")</f>
        <v/>
      </c>
      <c r="CM30" s="165">
        <f>IFERROR(CM19/CM17,"")</f>
        <v/>
      </c>
      <c r="CN30" s="165">
        <f>IFERROR(CN19/CN17,"")</f>
        <v/>
      </c>
      <c r="CO30" s="165">
        <f>IFERROR(CO19/CO17,"")</f>
        <v/>
      </c>
      <c r="CP30" s="165">
        <f>IFERROR(CP19/CP17,"")</f>
        <v/>
      </c>
      <c r="CQ30" s="165">
        <f>IFERROR(CQ19/CQ17,"")</f>
        <v/>
      </c>
      <c r="CR30" s="165">
        <f>IFERROR(CR19/CR17,"")</f>
        <v/>
      </c>
      <c r="CS30" s="165">
        <f>IFERROR(CS19/CS17,"")</f>
        <v/>
      </c>
      <c r="CT30" s="22" t="n"/>
      <c r="CV30" s="40">
        <f>IFERROR(AVERAGE(CO30,CP30,CQ30,CR30,CS30),"n/m")</f>
        <v/>
      </c>
      <c r="CW30" s="40">
        <f>IFERROR(AVERAGE(BK30,BQ30,BW30,CC30,CI30),"n/m")</f>
        <v/>
      </c>
      <c r="CX30" s="40">
        <f>IFERROR(AVERAGE(AG30,AM30,AS30,AY30,BE30,BK30,BQ30,BW30,CC30,CI30),"n/m")</f>
        <v/>
      </c>
      <c r="CY30" s="40">
        <f>IFERROR(AVERAGE(C30,D30,E30,F30,G30,H30,I30,O30,U30,AA30,AG30,AM30,AS30,AY30,BE30,BK30,BQ30,BW30,CC30,CI30),"n/m")</f>
        <v/>
      </c>
      <c r="DB30" s="12" t="inlineStr">
        <is>
          <t xml:space="preserve">  2028E</t>
        </is>
      </c>
      <c r="DC30" s="153">
        <f>DD30+$DC$28</f>
        <v/>
      </c>
      <c r="DD30" s="35" t="n">
        <v>0.025</v>
      </c>
      <c r="DE30" s="153">
        <f>DD30+$DE$28</f>
        <v/>
      </c>
    </row>
    <row r="31" ht="15" customHeight="1">
      <c r="B31" s="25" t="inlineStr">
        <is>
          <t xml:space="preserve">  Incremental cash gross profit (ΔCGP / Δ freight-adjusted revenues)</t>
        </is>
      </c>
      <c r="C31" s="39" t="n"/>
      <c r="D31" s="179">
        <f>IFERROR((D21-C21)/(D15-C15),"")</f>
        <v/>
      </c>
      <c r="E31" s="179">
        <f>IFERROR((E21-D21)/(E15-D15),"")</f>
        <v/>
      </c>
      <c r="F31" s="179">
        <f>IFERROR((F21-E21)/(F15-E15),"")</f>
        <v/>
      </c>
      <c r="G31" s="179">
        <f>IFERROR((G21-F21)/(G15-F15),"")</f>
        <v/>
      </c>
      <c r="H31" s="179">
        <f>IFERROR((H21-G21)/(H15-G15),"")</f>
        <v/>
      </c>
      <c r="I31" s="179">
        <f>IFERROR((I21-H21)/(I15-H15),"")</f>
        <v/>
      </c>
      <c r="J31" s="39" t="n"/>
      <c r="K31" s="39" t="n"/>
      <c r="L31" s="39" t="n"/>
      <c r="M31" s="39" t="n"/>
      <c r="N31" s="39" t="n"/>
      <c r="O31" s="179">
        <f>IFERROR((O21-I21)/(O15-I15),"")</f>
        <v/>
      </c>
      <c r="P31" s="179">
        <f>IFERROR((P21-J21)/(P15-J15),"")</f>
        <v/>
      </c>
      <c r="Q31" s="179">
        <f>IFERROR((Q21-K21)/(Q15-K15),"")</f>
        <v/>
      </c>
      <c r="R31" s="179">
        <f>IFERROR((R21-L21)/(R15-L15),"")</f>
        <v/>
      </c>
      <c r="S31" s="179">
        <f>IFERROR((S21-M21)/(S15-M15),"")</f>
        <v/>
      </c>
      <c r="T31" s="179">
        <f>IFERROR((T21-N21)/(T15-N15),"")</f>
        <v/>
      </c>
      <c r="U31" s="179">
        <f>IFERROR((U21-O21)/(U15-O15),"")</f>
        <v/>
      </c>
      <c r="V31" s="179">
        <f>IFERROR((V21-P21)/(V15-P15),"")</f>
        <v/>
      </c>
      <c r="W31" s="179">
        <f>IFERROR((W21-Q21)/(W15-Q15),"")</f>
        <v/>
      </c>
      <c r="X31" s="179">
        <f>IFERROR((X21-R21)/(X15-R15),"")</f>
        <v/>
      </c>
      <c r="Y31" s="179">
        <f>IFERROR((Y21-S21)/(Y15-S15),"")</f>
        <v/>
      </c>
      <c r="Z31" s="179">
        <f>IFERROR((Z21-T21)/(Z15-T15),"")</f>
        <v/>
      </c>
      <c r="AA31" s="179">
        <f>IFERROR((AA21-U21)/(AA15-U15),"")</f>
        <v/>
      </c>
      <c r="AB31" s="179">
        <f>IFERROR((AB21-V21)/(AB15-V15),"")</f>
        <v/>
      </c>
      <c r="AC31" s="179">
        <f>IFERROR((AC21-W21)/(AC15-W15),"")</f>
        <v/>
      </c>
      <c r="AD31" s="179">
        <f>IFERROR((AD21-X21)/(AD15-X15),"")</f>
        <v/>
      </c>
      <c r="AE31" s="179">
        <f>IFERROR((AE21-Y21)/(AE15-Y15),"")</f>
        <v/>
      </c>
      <c r="AF31" s="179">
        <f>IFERROR((AF21-Z21)/(AF15-Z15),"")</f>
        <v/>
      </c>
      <c r="AG31" s="179">
        <f>IFERROR((AG21-AA21)/(AG15-AA15),"")</f>
        <v/>
      </c>
      <c r="AH31" s="179">
        <f>IFERROR((AH21-AB21)/(AH15-AB15),"")</f>
        <v/>
      </c>
      <c r="AI31" s="179">
        <f>IFERROR((AI21-AC21)/(AI15-AC15),"")</f>
        <v/>
      </c>
      <c r="AJ31" s="179">
        <f>IFERROR((AJ21-AD21)/(AJ15-AD15),"")</f>
        <v/>
      </c>
      <c r="AK31" s="179">
        <f>IFERROR((AK21-AE21)/(AK15-AE15),"")</f>
        <v/>
      </c>
      <c r="AL31" s="179">
        <f>IFERROR((AL21-AF21)/(AL15-AF15),"")</f>
        <v/>
      </c>
      <c r="AM31" s="179">
        <f>IFERROR((AM21-AG21)/(AM15-AG15),"")</f>
        <v/>
      </c>
      <c r="AN31" s="179">
        <f>IFERROR((AN21-AH21)/(AN15-AH15),"")</f>
        <v/>
      </c>
      <c r="AO31" s="179">
        <f>IFERROR((AO21-AI21)/(AO15-AI15),"")</f>
        <v/>
      </c>
      <c r="AP31" s="179">
        <f>IFERROR((AP21-AJ21)/(AP15-AJ15),"")</f>
        <v/>
      </c>
      <c r="AQ31" s="179">
        <f>IFERROR((AQ21-AK21)/(AQ15-AK15),"")</f>
        <v/>
      </c>
      <c r="AR31" s="179">
        <f>IFERROR((AR21-AL21)/(AR15-AL15),"")</f>
        <v/>
      </c>
      <c r="AS31" s="179">
        <f>IFERROR((AS21-AM21)/(AS15-AM15),"")</f>
        <v/>
      </c>
      <c r="AT31" s="179">
        <f>IFERROR((AT21-AN21)/(AT15-AN15),"")</f>
        <v/>
      </c>
      <c r="AU31" s="179">
        <f>IFERROR((AU21-AO21)/(AU15-AO15),"")</f>
        <v/>
      </c>
      <c r="AV31" s="179">
        <f>IFERROR((AV21-AP21)/(AV15-AP15),"")</f>
        <v/>
      </c>
      <c r="AW31" s="179">
        <f>IFERROR((AW21-AQ21)/(AW15-AQ15),"")</f>
        <v/>
      </c>
      <c r="AX31" s="179">
        <f>IFERROR((AX21-AR21)/(AX15-AR15),"")</f>
        <v/>
      </c>
      <c r="AY31" s="179">
        <f>IFERROR((AY21-AS21)/(AY15-AS15),"")</f>
        <v/>
      </c>
      <c r="AZ31" s="179">
        <f>IFERROR((AZ21-AT21)/(AZ15-AT15),"")</f>
        <v/>
      </c>
      <c r="BA31" s="179">
        <f>IFERROR((BA21-AU21)/(BA15-AU15),"")</f>
        <v/>
      </c>
      <c r="BB31" s="179">
        <f>IFERROR((BB21-AV21)/(BB15-AV15),"")</f>
        <v/>
      </c>
      <c r="BC31" s="179">
        <f>IFERROR((BC21-AW21)/(BC15-AW15),"")</f>
        <v/>
      </c>
      <c r="BD31" s="179">
        <f>IFERROR((BD21-AX21)/(BD15-AX15),"")</f>
        <v/>
      </c>
      <c r="BE31" s="179">
        <f>IFERROR((BE21-AY21)/(BE15-AY15),"")</f>
        <v/>
      </c>
      <c r="BF31" s="179">
        <f>IFERROR((BF21-AZ21)/(BF15-AZ15),"")</f>
        <v/>
      </c>
      <c r="BG31" s="179">
        <f>IFERROR((BG21-BA21)/(BG15-BA15),"")</f>
        <v/>
      </c>
      <c r="BH31" s="179">
        <f>IFERROR((BH21-BB21)/(BH15-BB15),"")</f>
        <v/>
      </c>
      <c r="BI31" s="179">
        <f>IFERROR((BI21-BC21)/(BI15-BC15),"")</f>
        <v/>
      </c>
      <c r="BJ31" s="179">
        <f>IFERROR((BJ21-BD21)/(BJ15-BD15),"")</f>
        <v/>
      </c>
      <c r="BK31" s="179">
        <f>IFERROR((BK21-BE21)/(BK15-BE15),"")</f>
        <v/>
      </c>
      <c r="BL31" s="179">
        <f>IFERROR((BL21-BF21)/(BL15-BF15),"")</f>
        <v/>
      </c>
      <c r="BM31" s="179">
        <f>IFERROR((BM21-BG21)/(BM15-BG15),"")</f>
        <v/>
      </c>
      <c r="BN31" s="179">
        <f>IFERROR((BN21-BH21)/(BN15-BH15),"")</f>
        <v/>
      </c>
      <c r="BO31" s="179">
        <f>IFERROR((BO21-BI21)/(BO15-BI15),"")</f>
        <v/>
      </c>
      <c r="BP31" s="179">
        <f>IFERROR((BP21-BJ21)/(BP15-BJ15),"")</f>
        <v/>
      </c>
      <c r="BQ31" s="179">
        <f>IFERROR((BQ21-BK21)/(BQ15-BK15),"")</f>
        <v/>
      </c>
      <c r="BR31" s="179">
        <f>IFERROR((BR21-BL21)/(BR15-BL15),"")</f>
        <v/>
      </c>
      <c r="BS31" s="179">
        <f>IFERROR((BS21-BM21)/(BS15-BM15),"")</f>
        <v/>
      </c>
      <c r="BT31" s="179">
        <f>IFERROR((BT21-BN21)/(BT15-BN15),"")</f>
        <v/>
      </c>
      <c r="BU31" s="179">
        <f>IFERROR((BU21-BO21)/(BU15-BO15),"")</f>
        <v/>
      </c>
      <c r="BV31" s="179">
        <f>IFERROR((BV21-BP21)/(BV15-BP15),"")</f>
        <v/>
      </c>
      <c r="BW31" s="179">
        <f>IFERROR((BW21-BQ21)/(BW15-BQ15),"")</f>
        <v/>
      </c>
      <c r="BX31" s="179">
        <f>IFERROR((BX21-BR21)/(BX15-BR15),"")</f>
        <v/>
      </c>
      <c r="BY31" s="179">
        <f>IFERROR((BY21-BS21)/(BY15-BS15),"")</f>
        <v/>
      </c>
      <c r="BZ31" s="179">
        <f>IFERROR((BZ21-BT21)/(BZ15-BT15),"")</f>
        <v/>
      </c>
      <c r="CA31" s="179">
        <f>IFERROR((CA21-BU21)/(CA15-BU15),"")</f>
        <v/>
      </c>
      <c r="CB31" s="179">
        <f>IFERROR((CB21-BV21)/(CB15-BV15),"")</f>
        <v/>
      </c>
      <c r="CC31" s="179">
        <f>IFERROR((CC21-BW21)/(CC15-BW15),"")</f>
        <v/>
      </c>
      <c r="CD31" s="179">
        <f>IFERROR((CD21-BX21)/(CD15-BX15),"")</f>
        <v/>
      </c>
      <c r="CE31" s="179">
        <f>IFERROR((CE21-BY21)/(CE15-BY15),"")</f>
        <v/>
      </c>
      <c r="CF31" s="179">
        <f>IFERROR((CF21-BZ21)/(CF15-BZ15),"")</f>
        <v/>
      </c>
      <c r="CG31" s="179">
        <f>IFERROR((CG21-CA21)/(CG15-CA15),"")</f>
        <v/>
      </c>
      <c r="CH31" s="179">
        <f>IFERROR((CH21-CB21)/(CH15-CB15),"")</f>
        <v/>
      </c>
      <c r="CI31" s="179">
        <f>IFERROR((CI21-CC21)/(CI15-CC15),"")</f>
        <v/>
      </c>
      <c r="CJ31" s="179">
        <f>IFERROR((CJ21-CD21)/(CJ15-CD15),"")</f>
        <v/>
      </c>
      <c r="CK31" s="179">
        <f>IFERROR((CK21-CE21)/(CK15-CE15),"")</f>
        <v/>
      </c>
      <c r="CL31" s="179">
        <f>IFERROR((CL21-CF21)/(CL15-CF15),"")</f>
        <v/>
      </c>
      <c r="CM31" s="165">
        <f>IFERROR((CM21-CG21)/(CM15-CG15),"")</f>
        <v/>
      </c>
      <c r="CN31" s="165">
        <f>IFERROR((CN21-CH21)/(CN15-CH15),"")</f>
        <v/>
      </c>
      <c r="CO31" s="165">
        <f>IFERROR((CO21-CI21)/(CO15-CI15),"")</f>
        <v/>
      </c>
      <c r="CP31" s="165">
        <f>IFERROR((CP21-CO21)/(CP15-CO15),"")</f>
        <v/>
      </c>
      <c r="CQ31" s="165">
        <f>IFERROR((CQ21-CP21)/(CQ15-CP15),"")</f>
        <v/>
      </c>
      <c r="CR31" s="165">
        <f>IFERROR((CR21-CQ21)/(CR15-CQ15),"")</f>
        <v/>
      </c>
      <c r="CS31" s="165">
        <f>IFERROR((CS21-CR21)/(CS15-CR15),"")</f>
        <v/>
      </c>
      <c r="CT31" s="22" t="n"/>
      <c r="CV31" s="40" t="n"/>
      <c r="CW31" s="40" t="n"/>
      <c r="CX31" s="40" t="n"/>
      <c r="CY31" s="40" t="n"/>
      <c r="DB31" s="12" t="inlineStr">
        <is>
          <t xml:space="preserve">  2029E</t>
        </is>
      </c>
      <c r="DC31" s="153">
        <f>DD31+$DC$28</f>
        <v/>
      </c>
      <c r="DD31" s="35" t="n">
        <v>0.02</v>
      </c>
      <c r="DE31" s="153">
        <f>DD31+$DE$28</f>
        <v/>
      </c>
    </row>
    <row r="32" ht="15" customHeight="1">
      <c r="B32" s="46" t="inlineStr">
        <is>
          <t xml:space="preserve">  DDA&amp;A per ton ($)</t>
        </is>
      </c>
      <c r="C32" s="167">
        <f>IFERROR(C20/C11,"")</f>
        <v/>
      </c>
      <c r="D32" s="167">
        <f>IFERROR(D20/D11,"")</f>
        <v/>
      </c>
      <c r="E32" s="167">
        <f>IFERROR(E20/E11,"")</f>
        <v/>
      </c>
      <c r="F32" s="167">
        <f>IFERROR(F20/F11,"")</f>
        <v/>
      </c>
      <c r="G32" s="167">
        <f>IFERROR(G20/G11,"")</f>
        <v/>
      </c>
      <c r="H32" s="167">
        <f>IFERROR(H20/H11,"")</f>
        <v/>
      </c>
      <c r="I32" s="167">
        <f>IFERROR(I20/I11,"")</f>
        <v/>
      </c>
      <c r="J32" s="167">
        <f>IFERROR(J20/J11,"")</f>
        <v/>
      </c>
      <c r="K32" s="167">
        <f>IFERROR(K20/K11,"")</f>
        <v/>
      </c>
      <c r="L32" s="167">
        <f>IFERROR(L20/L11,"")</f>
        <v/>
      </c>
      <c r="M32" s="167">
        <f>IFERROR(M20/M11,"")</f>
        <v/>
      </c>
      <c r="N32" s="167">
        <f>IFERROR(N20/N11,"")</f>
        <v/>
      </c>
      <c r="O32" s="167">
        <f>IFERROR(O20/O11,"")</f>
        <v/>
      </c>
      <c r="P32" s="167">
        <f>IFERROR(P20/P11,"")</f>
        <v/>
      </c>
      <c r="Q32" s="167">
        <f>IFERROR(Q20/Q11,"")</f>
        <v/>
      </c>
      <c r="R32" s="167">
        <f>IFERROR(R20/R11,"")</f>
        <v/>
      </c>
      <c r="S32" s="167">
        <f>IFERROR(S20/S11,"")</f>
        <v/>
      </c>
      <c r="T32" s="167">
        <f>IFERROR(T20/T11,"")</f>
        <v/>
      </c>
      <c r="U32" s="167">
        <f>IFERROR(U20/U11,"")</f>
        <v/>
      </c>
      <c r="V32" s="167">
        <f>IFERROR(V20/V11,"")</f>
        <v/>
      </c>
      <c r="W32" s="167">
        <f>IFERROR(W20/W11,"")</f>
        <v/>
      </c>
      <c r="X32" s="167">
        <f>IFERROR(X20/X11,"")</f>
        <v/>
      </c>
      <c r="Y32" s="167">
        <f>IFERROR(Y20/Y11,"")</f>
        <v/>
      </c>
      <c r="Z32" s="167">
        <f>IFERROR(Z20/Z11,"")</f>
        <v/>
      </c>
      <c r="AA32" s="167">
        <f>IFERROR(AA20/AA11,"")</f>
        <v/>
      </c>
      <c r="AB32" s="167">
        <f>IFERROR(AB20/AB11,"")</f>
        <v/>
      </c>
      <c r="AC32" s="167">
        <f>IFERROR(AC20/AC11,"")</f>
        <v/>
      </c>
      <c r="AD32" s="167">
        <f>IFERROR(AD20/AD11,"")</f>
        <v/>
      </c>
      <c r="AE32" s="167">
        <f>IFERROR(AE20/AE11,"")</f>
        <v/>
      </c>
      <c r="AF32" s="167">
        <f>IFERROR(AF20/AF11,"")</f>
        <v/>
      </c>
      <c r="AG32" s="167">
        <f>IFERROR(AG20/AG11,"")</f>
        <v/>
      </c>
      <c r="AH32" s="167">
        <f>IFERROR(AH20/AH11,"")</f>
        <v/>
      </c>
      <c r="AI32" s="167">
        <f>IFERROR(AI20/AI11,"")</f>
        <v/>
      </c>
      <c r="AJ32" s="167">
        <f>IFERROR(AJ20/AJ11,"")</f>
        <v/>
      </c>
      <c r="AK32" s="167">
        <f>IFERROR(AK20/AK11,"")</f>
        <v/>
      </c>
      <c r="AL32" s="167">
        <f>IFERROR(AL20/AL11,"")</f>
        <v/>
      </c>
      <c r="AM32" s="167">
        <f>IFERROR(AM20/AM11,"")</f>
        <v/>
      </c>
      <c r="AN32" s="167">
        <f>IFERROR(AN20/AN11,"")</f>
        <v/>
      </c>
      <c r="AO32" s="167">
        <f>IFERROR(AO20/AO11,"")</f>
        <v/>
      </c>
      <c r="AP32" s="167">
        <f>IFERROR(AP20/AP11,"")</f>
        <v/>
      </c>
      <c r="AQ32" s="167">
        <f>IFERROR(AQ20/AQ11,"")</f>
        <v/>
      </c>
      <c r="AR32" s="167">
        <f>IFERROR(AR20/AR11,"")</f>
        <v/>
      </c>
      <c r="AS32" s="167">
        <f>IFERROR(AS20/AS11,"")</f>
        <v/>
      </c>
      <c r="AT32" s="167">
        <f>IFERROR(AT20/AT11,"")</f>
        <v/>
      </c>
      <c r="AU32" s="167">
        <f>IFERROR(AU20/AU11,"")</f>
        <v/>
      </c>
      <c r="AV32" s="167">
        <f>IFERROR(AV20/AV11,"")</f>
        <v/>
      </c>
      <c r="AW32" s="167">
        <f>IFERROR(AW20/AW11,"")</f>
        <v/>
      </c>
      <c r="AX32" s="167">
        <f>IFERROR(AX20/AX11,"")</f>
        <v/>
      </c>
      <c r="AY32" s="167">
        <f>IFERROR(AY20/AY11,"")</f>
        <v/>
      </c>
      <c r="AZ32" s="167">
        <f>IFERROR(AZ20/AZ11,"")</f>
        <v/>
      </c>
      <c r="BA32" s="167">
        <f>IFERROR(BA20/BA11,"")</f>
        <v/>
      </c>
      <c r="BB32" s="167">
        <f>IFERROR(BB20/BB11,"")</f>
        <v/>
      </c>
      <c r="BC32" s="167">
        <f>IFERROR(BC20/BC11,"")</f>
        <v/>
      </c>
      <c r="BD32" s="167">
        <f>IFERROR(BD20/BD11,"")</f>
        <v/>
      </c>
      <c r="BE32" s="167">
        <f>IFERROR(BE20/BE11,"")</f>
        <v/>
      </c>
      <c r="BF32" s="167">
        <f>IFERROR(BF20/BF11,"")</f>
        <v/>
      </c>
      <c r="BG32" s="167">
        <f>IFERROR(BG20/BG11,"")</f>
        <v/>
      </c>
      <c r="BH32" s="167">
        <f>IFERROR(BH20/BH11,"")</f>
        <v/>
      </c>
      <c r="BI32" s="167">
        <f>IFERROR(BI20/BI11,"")</f>
        <v/>
      </c>
      <c r="BJ32" s="167">
        <f>IFERROR(BJ20/BJ11,"")</f>
        <v/>
      </c>
      <c r="BK32" s="167">
        <f>IFERROR(BK20/BK11,"")</f>
        <v/>
      </c>
      <c r="BL32" s="167">
        <f>IFERROR(BL20/BL11,"")</f>
        <v/>
      </c>
      <c r="BM32" s="167">
        <f>IFERROR(BM20/BM11,"")</f>
        <v/>
      </c>
      <c r="BN32" s="167">
        <f>IFERROR(BN20/BN11,"")</f>
        <v/>
      </c>
      <c r="BO32" s="167">
        <f>IFERROR(BO20/BO11,"")</f>
        <v/>
      </c>
      <c r="BP32" s="167">
        <f>IFERROR(BP20/BP11,"")</f>
        <v/>
      </c>
      <c r="BQ32" s="167">
        <f>IFERROR(BQ20/BQ11,"")</f>
        <v/>
      </c>
      <c r="BR32" s="167">
        <f>IFERROR(BR20/BR11,"")</f>
        <v/>
      </c>
      <c r="BS32" s="167">
        <f>IFERROR(BS20/BS11,"")</f>
        <v/>
      </c>
      <c r="BT32" s="167">
        <f>IFERROR(BT20/BT11,"")</f>
        <v/>
      </c>
      <c r="BU32" s="167">
        <f>IFERROR(BU20/BU11,"")</f>
        <v/>
      </c>
      <c r="BV32" s="167">
        <f>IFERROR(BV20/BV11,"")</f>
        <v/>
      </c>
      <c r="BW32" s="167">
        <f>IFERROR(BW20/BW11,"")</f>
        <v/>
      </c>
      <c r="BX32" s="167">
        <f>IFERROR(BX20/BX11,"")</f>
        <v/>
      </c>
      <c r="BY32" s="167">
        <f>IFERROR(BY20/BY11,"")</f>
        <v/>
      </c>
      <c r="BZ32" s="167">
        <f>IFERROR(BZ20/BZ11,"")</f>
        <v/>
      </c>
      <c r="CA32" s="167">
        <f>IFERROR(CA20/CA11,"")</f>
        <v/>
      </c>
      <c r="CB32" s="167">
        <f>IFERROR(CB20/CB11,"")</f>
        <v/>
      </c>
      <c r="CC32" s="167">
        <f>IFERROR(CC20/CC11,"")</f>
        <v/>
      </c>
      <c r="CD32" s="167">
        <f>IFERROR(CD20/CD11,"")</f>
        <v/>
      </c>
      <c r="CE32" s="167">
        <f>IFERROR(CE20/CE11,"")</f>
        <v/>
      </c>
      <c r="CF32" s="167">
        <f>IFERROR(CF20/CF11,"")</f>
        <v/>
      </c>
      <c r="CG32" s="167">
        <f>IFERROR(CG20/CG11,"")</f>
        <v/>
      </c>
      <c r="CH32" s="167">
        <f>IFERROR(CH20/CH11,"")</f>
        <v/>
      </c>
      <c r="CI32" s="167">
        <f>IFERROR(CI20/CI11,"")</f>
        <v/>
      </c>
      <c r="CJ32" s="167">
        <f>IFERROR(CJ20/CJ11,"")</f>
        <v/>
      </c>
      <c r="CK32" s="167">
        <f>IFERROR(CK20/CK11,"")</f>
        <v/>
      </c>
      <c r="CL32" s="167">
        <f>IFERROR(CL20/CL11,"")</f>
        <v/>
      </c>
      <c r="CM32" s="168">
        <f>IFERROR(CM20/CM11,"")</f>
        <v/>
      </c>
      <c r="CN32" s="168">
        <f>IFERROR(CN20/CN11,"")</f>
        <v/>
      </c>
      <c r="CO32" s="168">
        <f>IFERROR(CO20/CO11,"")</f>
        <v/>
      </c>
      <c r="CP32" s="180">
        <f>CO32*(1+$DD$25)</f>
        <v/>
      </c>
      <c r="CQ32" s="180">
        <f>CP32*(1+$DD$25)</f>
        <v/>
      </c>
      <c r="CR32" s="180">
        <f>CQ32*(1+$DD$25)</f>
        <v/>
      </c>
      <c r="CS32" s="180">
        <f>CR32*(1+$DD$25)</f>
        <v/>
      </c>
      <c r="CT32" s="22" t="inlineStr">
        <is>
          <t>2027E+: prior year × (1 + DDA&amp;A per ton growth, point estimate in scenario table).</t>
        </is>
      </c>
      <c r="CV32" s="6" t="n"/>
      <c r="CW32" s="6" t="n"/>
      <c r="CX32" s="6" t="n"/>
      <c r="CY32" s="6" t="n"/>
      <c r="DB32" s="12" t="inlineStr">
        <is>
          <t xml:space="preserve">  2030E</t>
        </is>
      </c>
      <c r="DC32" s="153">
        <f>DD32+$DC$28</f>
        <v/>
      </c>
      <c r="DD32" s="35" t="n">
        <v>0.02</v>
      </c>
      <c r="DE32" s="153">
        <f>DD32+$DE$28</f>
        <v/>
      </c>
    </row>
    <row r="33" ht="15" customHeight="1">
      <c r="B33" s="36" t="inlineStr">
        <is>
          <t xml:space="preserve">  Memo: segment capital expenditures (annual, 10-K segment note)</t>
        </is>
      </c>
      <c r="C33" s="169" t="n">
        <v>425.5</v>
      </c>
      <c r="D33" s="169" t="n">
        <v>445</v>
      </c>
      <c r="E33" s="169" t="n">
        <v>267.7</v>
      </c>
      <c r="F33" s="169" t="n">
        <v>74.59999999999999</v>
      </c>
      <c r="G33" s="169" t="n">
        <v>60.6</v>
      </c>
      <c r="H33" s="169" t="n">
        <v>67.59999999999999</v>
      </c>
      <c r="I33" s="169" t="n">
        <v>77</v>
      </c>
      <c r="J33" s="29" t="n"/>
      <c r="K33" s="29" t="n"/>
      <c r="L33" s="29" t="n"/>
      <c r="M33" s="29" t="n"/>
      <c r="N33" s="29" t="n"/>
      <c r="O33" s="169" t="n">
        <v>253</v>
      </c>
      <c r="P33" s="29" t="n"/>
      <c r="Q33" s="29" t="n"/>
      <c r="R33" s="29" t="n"/>
      <c r="S33" s="29" t="n"/>
      <c r="T33" s="29" t="n"/>
      <c r="U33" s="169" t="n">
        <v>180</v>
      </c>
      <c r="V33" s="29" t="n"/>
      <c r="W33" s="29" t="n"/>
      <c r="X33" s="29" t="n"/>
      <c r="Y33" s="29" t="n"/>
      <c r="Z33" s="29" t="n"/>
      <c r="AA33" s="169" t="n">
        <v>269</v>
      </c>
      <c r="AB33" s="29" t="n"/>
      <c r="AC33" s="29" t="n"/>
      <c r="AD33" s="29" t="n"/>
      <c r="AE33" s="29" t="n"/>
      <c r="AF33" s="29" t="n"/>
      <c r="AG33" s="169" t="n">
        <v>297.7</v>
      </c>
      <c r="AH33" s="29" t="n"/>
      <c r="AI33" s="29" t="n"/>
      <c r="AJ33" s="29" t="n"/>
      <c r="AK33" s="29" t="n"/>
      <c r="AL33" s="29" t="n"/>
      <c r="AM33" s="169" t="n">
        <v>422</v>
      </c>
      <c r="AN33" s="29" t="n"/>
      <c r="AO33" s="29" t="n"/>
      <c r="AP33" s="29" t="n"/>
      <c r="AQ33" s="29" t="n"/>
      <c r="AR33" s="29" t="n"/>
      <c r="AS33" s="169" t="n">
        <v>422.2</v>
      </c>
      <c r="AT33" s="29" t="n"/>
      <c r="AU33" s="29" t="n"/>
      <c r="AV33" s="29" t="n"/>
      <c r="AW33" s="29" t="n"/>
      <c r="AX33" s="29" t="n"/>
      <c r="AY33" s="169" t="n">
        <v>383.4</v>
      </c>
      <c r="AZ33" s="30" t="n"/>
      <c r="BA33" s="30" t="n"/>
      <c r="BB33" s="29" t="n"/>
      <c r="BC33" s="30" t="n"/>
      <c r="BD33" s="30" t="n"/>
      <c r="BE33" s="169" t="n">
        <v>331.9</v>
      </c>
      <c r="BF33" s="30" t="n"/>
      <c r="BG33" s="30" t="n"/>
      <c r="BH33" s="29" t="n"/>
      <c r="BI33" s="30" t="n"/>
      <c r="BJ33" s="30" t="n"/>
      <c r="BK33" s="169" t="n">
        <v>423.1</v>
      </c>
      <c r="BL33" s="30" t="n"/>
      <c r="BM33" s="30" t="n"/>
      <c r="BN33" s="29" t="n"/>
      <c r="BO33" s="30" t="n"/>
      <c r="BP33" s="30" t="n"/>
      <c r="BQ33" s="169" t="n">
        <v>540.3</v>
      </c>
      <c r="BR33" s="30" t="n"/>
      <c r="BS33" s="30" t="n"/>
      <c r="BT33" s="29" t="n"/>
      <c r="BU33" s="30" t="n"/>
      <c r="BV33" s="30" t="n"/>
      <c r="BW33" s="169" t="n">
        <v>764.9</v>
      </c>
      <c r="BX33" s="30" t="n"/>
      <c r="BY33" s="30" t="n"/>
      <c r="BZ33" s="29" t="n"/>
      <c r="CA33" s="30" t="n"/>
      <c r="CB33" s="30" t="n"/>
      <c r="CC33" s="169" t="n">
        <v>588.4</v>
      </c>
      <c r="CD33" s="30" t="n"/>
      <c r="CE33" s="30" t="n"/>
      <c r="CF33" s="29" t="n"/>
      <c r="CG33" s="30" t="n"/>
      <c r="CH33" s="30" t="n"/>
      <c r="CI33" s="169" t="n">
        <v>622.1</v>
      </c>
      <c r="CJ33" s="30" t="n"/>
      <c r="CK33" s="30" t="n"/>
      <c r="CL33" s="29" t="n"/>
      <c r="CM33" s="31" t="n"/>
      <c r="CN33" s="31" t="n"/>
      <c r="CO33" s="31" t="n"/>
      <c r="CP33" s="31" t="n"/>
      <c r="CQ33" s="31" t="n"/>
      <c r="CR33" s="31" t="n"/>
      <c r="CS33" s="31" t="n"/>
      <c r="CT33" s="22" t="n"/>
      <c r="CV33" s="6" t="n"/>
      <c r="CW33" s="6" t="n"/>
      <c r="CX33" s="6" t="n"/>
      <c r="CY33" s="6" t="n"/>
    </row>
    <row r="34" ht="15" customHeight="1">
      <c r="B34" s="12" t="n"/>
      <c r="CM34" s="6" t="n"/>
      <c r="CN34" s="6" t="n"/>
      <c r="CO34" s="6" t="n"/>
      <c r="CP34" s="6" t="n"/>
      <c r="CQ34" s="6" t="n"/>
      <c r="CR34" s="6" t="n"/>
      <c r="CS34" s="6" t="n"/>
      <c r="CT34" s="6" t="n"/>
      <c r="DB34" s="17" t="inlineStr">
        <is>
          <t>AGG_priceGrowth (freight-adjusted price y/y)</t>
        </is>
      </c>
      <c r="DC34" s="41" t="n">
        <v>0.01</v>
      </c>
      <c r="DD34" s="24" t="inlineStr">
        <is>
          <t>Δ →</t>
        </is>
      </c>
      <c r="DE34" s="41" t="n">
        <v>-0.02</v>
      </c>
      <c r="DF34" s="15" t="inlineStr">
        <is>
          <t>Vulcan has compounded freight-adjusted price ~7% p.a. 2019–25; FY26 guide +4–6%.</t>
        </is>
      </c>
    </row>
    <row r="35" ht="15" customHeight="1">
      <c r="B35" s="16" t="inlineStr">
        <is>
          <t>Asphalt (asphalt mix &amp; paving; Arizona, California, Texas, Tennessee)</t>
        </is>
      </c>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c r="AE35" s="16" t="n"/>
      <c r="AF35" s="16" t="n"/>
      <c r="AG35" s="16" t="n"/>
      <c r="AH35" s="16" t="n"/>
      <c r="AI35" s="16" t="n"/>
      <c r="AJ35" s="16" t="n"/>
      <c r="AK35" s="16" t="n"/>
      <c r="AL35" s="16" t="n"/>
      <c r="AM35" s="16" t="n"/>
      <c r="AN35" s="16" t="n"/>
      <c r="AO35" s="16" t="n"/>
      <c r="AP35" s="16" t="n"/>
      <c r="AQ35" s="16" t="n"/>
      <c r="AR35" s="16" t="n"/>
      <c r="AS35" s="16" t="n"/>
      <c r="AT35" s="16" t="n"/>
      <c r="AU35" s="16" t="n"/>
      <c r="AV35" s="16" t="n"/>
      <c r="AW35" s="16" t="n"/>
      <c r="AX35" s="16" t="n"/>
      <c r="AY35" s="16" t="n"/>
      <c r="AZ35" s="16" t="n"/>
      <c r="BA35" s="16" t="n"/>
      <c r="BB35" s="16" t="n"/>
      <c r="BC35" s="16" t="n"/>
      <c r="BD35" s="16" t="n"/>
      <c r="BE35" s="16" t="n"/>
      <c r="BF35" s="16" t="n"/>
      <c r="BG35" s="16" t="n"/>
      <c r="BH35" s="16" t="n"/>
      <c r="BI35" s="16" t="n"/>
      <c r="BJ35" s="16" t="n"/>
      <c r="BK35" s="16" t="n"/>
      <c r="BL35" s="16" t="n"/>
      <c r="BM35" s="16" t="n"/>
      <c r="BN35" s="16" t="n"/>
      <c r="BO35" s="16" t="n"/>
      <c r="BP35" s="16" t="n"/>
      <c r="BQ35" s="16" t="n"/>
      <c r="BR35" s="16" t="n"/>
      <c r="BS35" s="16" t="n"/>
      <c r="BT35" s="16" t="n"/>
      <c r="BU35" s="16" t="n"/>
      <c r="BV35" s="16" t="n"/>
      <c r="BW35" s="16" t="n"/>
      <c r="BX35" s="16" t="n"/>
      <c r="BY35" s="16" t="n"/>
      <c r="BZ35" s="16" t="n"/>
      <c r="CA35" s="16" t="n"/>
      <c r="CB35" s="16" t="n"/>
      <c r="CC35" s="16" t="n"/>
      <c r="CD35" s="16" t="n"/>
      <c r="CE35" s="16" t="n"/>
      <c r="CF35" s="16" t="n"/>
      <c r="CG35" s="16" t="n"/>
      <c r="CH35" s="16" t="n"/>
      <c r="CI35" s="16" t="n"/>
      <c r="CJ35" s="16" t="n"/>
      <c r="CK35" s="16" t="n"/>
      <c r="CL35" s="16" t="n"/>
      <c r="CM35" s="16" t="n"/>
      <c r="CN35" s="16" t="n"/>
      <c r="CO35" s="16" t="n"/>
      <c r="CP35" s="16" t="n"/>
      <c r="CQ35" s="16" t="n"/>
      <c r="CR35" s="16" t="n"/>
      <c r="CS35" s="16" t="n"/>
      <c r="CT35" s="17" t="inlineStr">
        <is>
          <t>ASPHALT — modelling logic</t>
        </is>
      </c>
      <c r="DB35" s="12" t="inlineStr">
        <is>
          <t xml:space="preserve">  2027E</t>
        </is>
      </c>
      <c r="DC35" s="153">
        <f>DD35+$DC$34</f>
        <v/>
      </c>
      <c r="DD35" s="35" t="n">
        <v>0.05</v>
      </c>
      <c r="DE35" s="153">
        <f>DD35+$DE$34</f>
        <v/>
      </c>
    </row>
    <row r="36" ht="15" customHeight="1">
      <c r="B36" s="12" t="inlineStr">
        <is>
          <t xml:space="preserve">  Asphalt mix shipments (million tons)</t>
        </is>
      </c>
      <c r="C36" s="181" t="n">
        <v>11.6</v>
      </c>
      <c r="D36" s="181" t="n">
        <v>10.5</v>
      </c>
      <c r="E36" s="181" t="n">
        <v>9.5</v>
      </c>
      <c r="F36" s="181" t="n">
        <v>7.4</v>
      </c>
      <c r="G36" s="181" t="n">
        <v>7.2</v>
      </c>
      <c r="H36" s="181" t="n">
        <v>7.2</v>
      </c>
      <c r="I36" s="181" t="n">
        <v>6.7</v>
      </c>
      <c r="J36" s="181" t="n">
        <v>1.2</v>
      </c>
      <c r="K36" s="181" t="n">
        <v>1.8</v>
      </c>
      <c r="L36" s="176">
        <f>J36+K36</f>
        <v/>
      </c>
      <c r="M36" s="181" t="n">
        <v>2.2</v>
      </c>
      <c r="N36" s="181" t="n">
        <v>1.7</v>
      </c>
      <c r="O36" s="181" t="n">
        <v>6.9</v>
      </c>
      <c r="P36" s="181" t="n">
        <v>1.441</v>
      </c>
      <c r="Q36" s="181" t="n">
        <v>1.857</v>
      </c>
      <c r="R36" s="176">
        <f>P36+Q36</f>
        <v/>
      </c>
      <c r="S36" s="181" t="n">
        <v>2.24</v>
      </c>
      <c r="T36" s="181" t="n">
        <v>1.903</v>
      </c>
      <c r="U36" s="181" t="n">
        <v>7.411</v>
      </c>
      <c r="V36" s="30" t="n"/>
      <c r="W36" s="181" t="n">
        <v>2.48</v>
      </c>
      <c r="X36" s="29" t="n"/>
      <c r="Y36" s="181" t="n">
        <v>3.251</v>
      </c>
      <c r="Z36" s="181" t="n">
        <v>2.159</v>
      </c>
      <c r="AA36" s="181" t="n">
        <v>9.657999999999999</v>
      </c>
      <c r="AB36" s="181" t="n">
        <v>1.699</v>
      </c>
      <c r="AC36" s="181" t="n">
        <v>2.515</v>
      </c>
      <c r="AD36" s="176">
        <f>AB36+AC36</f>
        <v/>
      </c>
      <c r="AE36" s="181" t="n">
        <v>2.89</v>
      </c>
      <c r="AF36" s="181" t="n">
        <v>2.249</v>
      </c>
      <c r="AG36" s="181" t="n">
        <v>9.353</v>
      </c>
      <c r="AH36" s="30" t="n"/>
      <c r="AI36" s="181" t="n">
        <v>2.917</v>
      </c>
      <c r="AJ36" s="29" t="n"/>
      <c r="AK36" s="181" t="n">
        <v>3.09</v>
      </c>
      <c r="AL36" s="181" t="n">
        <v>2.606</v>
      </c>
      <c r="AM36" s="181" t="n">
        <v>10.391</v>
      </c>
      <c r="AN36" s="181" t="n">
        <v>1.82</v>
      </c>
      <c r="AO36" s="181" t="n">
        <v>3.077</v>
      </c>
      <c r="AP36" s="176">
        <f>AN36+AO36</f>
        <v/>
      </c>
      <c r="AQ36" s="181" t="n">
        <v>3.399</v>
      </c>
      <c r="AR36" s="181" t="n">
        <v>2.769</v>
      </c>
      <c r="AS36" s="181" t="n">
        <v>11.318</v>
      </c>
      <c r="AT36" s="181" t="n">
        <v>2.022</v>
      </c>
      <c r="AU36" s="181" t="n">
        <v>3.595</v>
      </c>
      <c r="AV36" s="176">
        <f>AT36+AU36</f>
        <v/>
      </c>
      <c r="AW36" s="181" t="n">
        <v>4.007</v>
      </c>
      <c r="AX36" s="181" t="n">
        <v>3.041</v>
      </c>
      <c r="AY36" s="181" t="n">
        <v>12.665</v>
      </c>
      <c r="AZ36" s="181" t="n">
        <v>2.057</v>
      </c>
      <c r="BA36" s="181" t="n">
        <v>3.403</v>
      </c>
      <c r="BB36" s="176">
        <f>AZ36+BA36</f>
        <v/>
      </c>
      <c r="BC36" s="181" t="n">
        <v>3.493</v>
      </c>
      <c r="BD36" s="181" t="n">
        <v>2.882</v>
      </c>
      <c r="BE36" s="181" t="n">
        <v>11.835</v>
      </c>
      <c r="BF36" s="181" t="n">
        <v>2.217</v>
      </c>
      <c r="BG36" s="181" t="n">
        <v>3.134</v>
      </c>
      <c r="BH36" s="176">
        <f>BF36+BG36</f>
        <v/>
      </c>
      <c r="BI36" s="181" t="n">
        <v>3.202</v>
      </c>
      <c r="BJ36" s="181" t="n">
        <v>2.839</v>
      </c>
      <c r="BK36" s="181" t="n">
        <v>11.392</v>
      </c>
      <c r="BL36" s="181" t="n">
        <v>2.322</v>
      </c>
      <c r="BM36" s="181" t="n">
        <v>3.422</v>
      </c>
      <c r="BN36" s="176">
        <f>BL36+BM36</f>
        <v/>
      </c>
      <c r="BO36" s="181" t="n">
        <v>3.631</v>
      </c>
      <c r="BP36" s="181" t="n">
        <v>2.782</v>
      </c>
      <c r="BQ36" s="181" t="n">
        <v>12.156</v>
      </c>
      <c r="BR36" s="181" t="n">
        <v>2.077</v>
      </c>
      <c r="BS36" s="181" t="n">
        <v>4</v>
      </c>
      <c r="BT36" s="176">
        <f>BR36+BS36</f>
        <v/>
      </c>
      <c r="BU36" s="181" t="n">
        <v>4</v>
      </c>
      <c r="BV36" s="181" t="n">
        <v>3.3</v>
      </c>
      <c r="BW36" s="181" t="n">
        <v>13.4</v>
      </c>
      <c r="BX36" s="181" t="n">
        <v>2.1</v>
      </c>
      <c r="BY36" s="181" t="n">
        <v>4</v>
      </c>
      <c r="BZ36" s="176">
        <f>BX36+BY36</f>
        <v/>
      </c>
      <c r="CA36" s="181" t="n">
        <v>4.1</v>
      </c>
      <c r="CB36" s="181" t="n">
        <v>3.4</v>
      </c>
      <c r="CC36" s="181" t="n">
        <v>13.6</v>
      </c>
      <c r="CD36" s="181" t="n">
        <v>2.2</v>
      </c>
      <c r="CE36" s="181" t="n">
        <v>3.9</v>
      </c>
      <c r="CF36" s="176">
        <f>CD36+CE36</f>
        <v/>
      </c>
      <c r="CG36" s="181" t="n">
        <v>4.3</v>
      </c>
      <c r="CH36" s="181" t="n">
        <v>3</v>
      </c>
      <c r="CI36" s="181" t="n">
        <v>13.4</v>
      </c>
      <c r="CJ36" s="181" t="n">
        <v>2.3</v>
      </c>
      <c r="CK36" s="181" t="n">
        <v>3.4</v>
      </c>
      <c r="CL36" s="176">
        <f>CJ36+CK36</f>
        <v/>
      </c>
      <c r="CM36" s="31" t="n"/>
      <c r="CN36" s="31" t="n"/>
      <c r="CO36" s="31" t="n"/>
      <c r="CP36" s="31" t="n"/>
      <c r="CQ36" s="31" t="n"/>
      <c r="CR36" s="31" t="n"/>
      <c r="CS36" s="31" t="n"/>
      <c r="CT36" s="22" t="n"/>
      <c r="CV36" s="23" t="n"/>
      <c r="CW36" s="23" t="n"/>
      <c r="CX36" s="23" t="n"/>
      <c r="CY36" s="23" t="n"/>
      <c r="DB36" s="12" t="inlineStr">
        <is>
          <t xml:space="preserve">  2028E</t>
        </is>
      </c>
      <c r="DC36" s="153">
        <f>DD36+$DC$34</f>
        <v/>
      </c>
      <c r="DD36" s="35" t="n">
        <v>0.05</v>
      </c>
      <c r="DE36" s="153">
        <f>DD36+$DE$34</f>
        <v/>
      </c>
    </row>
    <row r="37" ht="15" customHeight="1">
      <c r="B37" s="12" t="inlineStr">
        <is>
          <t xml:space="preserve">  Asphalt mix average sales price ($/ton)</t>
        </is>
      </c>
      <c r="C37" s="166" t="n">
        <v>43.12</v>
      </c>
      <c r="D37" s="166" t="n">
        <v>48.47</v>
      </c>
      <c r="E37" s="166" t="n">
        <v>55.94</v>
      </c>
      <c r="F37" s="166" t="n">
        <v>52.66</v>
      </c>
      <c r="G37" s="166" t="n">
        <v>50.58</v>
      </c>
      <c r="H37" s="166" t="n">
        <v>54.71</v>
      </c>
      <c r="I37" s="166" t="n">
        <v>55.33</v>
      </c>
      <c r="J37" s="166" t="n">
        <v>53.76</v>
      </c>
      <c r="K37" s="166" t="n">
        <v>54.51</v>
      </c>
      <c r="L37" s="29" t="n"/>
      <c r="M37" s="166" t="n">
        <v>55.63</v>
      </c>
      <c r="N37" s="166" t="n">
        <v>54.93</v>
      </c>
      <c r="O37" s="166" t="n">
        <v>54.83</v>
      </c>
      <c r="P37" s="166" t="n">
        <v>53.07</v>
      </c>
      <c r="Q37" s="166" t="n">
        <v>53.52</v>
      </c>
      <c r="R37" s="29" t="n"/>
      <c r="S37" s="166" t="n">
        <v>55.08</v>
      </c>
      <c r="T37" s="166" t="n">
        <v>54.96</v>
      </c>
      <c r="U37" s="166" t="n">
        <v>54.39</v>
      </c>
      <c r="V37" s="30" t="n"/>
      <c r="W37" s="166" t="n">
        <v>54.2</v>
      </c>
      <c r="X37" s="29" t="n"/>
      <c r="Y37" s="166" t="n">
        <v>54.73</v>
      </c>
      <c r="Z37" s="166" t="n">
        <v>54.59</v>
      </c>
      <c r="AA37" s="166" t="n">
        <v>54.27</v>
      </c>
      <c r="AB37" s="166" t="n">
        <v>52.04</v>
      </c>
      <c r="AC37" s="166" t="n">
        <v>54.1</v>
      </c>
      <c r="AD37" s="29" t="n"/>
      <c r="AE37" s="166" t="n">
        <v>53.57</v>
      </c>
      <c r="AF37" s="166" t="n">
        <v>53.65</v>
      </c>
      <c r="AG37" s="166" t="n">
        <v>53.45</v>
      </c>
      <c r="AH37" s="30" t="n"/>
      <c r="AI37" s="166" t="n">
        <v>52.9</v>
      </c>
      <c r="AJ37" s="29" t="n"/>
      <c r="AK37" s="166" t="n">
        <v>53.05</v>
      </c>
      <c r="AL37" s="166" t="n">
        <v>52.84</v>
      </c>
      <c r="AM37" s="166" t="n">
        <v>52.64</v>
      </c>
      <c r="AN37" s="166" t="n">
        <v>53.18</v>
      </c>
      <c r="AO37" s="166" t="n">
        <v>54.7</v>
      </c>
      <c r="AP37" s="29" t="n"/>
      <c r="AQ37" s="166" t="n">
        <v>56.58</v>
      </c>
      <c r="AR37" s="166" t="n">
        <v>56.03</v>
      </c>
      <c r="AS37" s="166" t="n">
        <v>55.13</v>
      </c>
      <c r="AT37" s="166" t="n">
        <v>55.91</v>
      </c>
      <c r="AU37" s="166" t="n">
        <v>58.31</v>
      </c>
      <c r="AV37" s="29" t="n"/>
      <c r="AW37" s="166" t="n">
        <v>58.2</v>
      </c>
      <c r="AX37" s="166" t="n">
        <v>57.87</v>
      </c>
      <c r="AY37" s="166" t="n">
        <v>57.79</v>
      </c>
      <c r="AZ37" s="166" t="n">
        <v>58.51</v>
      </c>
      <c r="BA37" s="166" t="n">
        <v>57.46</v>
      </c>
      <c r="BB37" s="29" t="n"/>
      <c r="BC37" s="166" t="n">
        <v>58.36</v>
      </c>
      <c r="BD37" s="166" t="n">
        <v>57.7</v>
      </c>
      <c r="BE37" s="166" t="n">
        <v>57.97</v>
      </c>
      <c r="BF37" s="166" t="n">
        <v>56.78</v>
      </c>
      <c r="BG37" s="166" t="n">
        <v>58.14</v>
      </c>
      <c r="BH37" s="29" t="n"/>
      <c r="BI37" s="166" t="n">
        <v>59.43</v>
      </c>
      <c r="BJ37" s="166" t="n">
        <v>60.5</v>
      </c>
      <c r="BK37" s="166" t="n">
        <v>58.83</v>
      </c>
      <c r="BL37" s="166" t="n">
        <v>64.06</v>
      </c>
      <c r="BM37" s="166" t="n">
        <v>69.42</v>
      </c>
      <c r="BN37" s="29" t="n"/>
      <c r="BO37" s="166" t="n">
        <v>74.8</v>
      </c>
      <c r="BP37" s="166" t="n">
        <v>75.06</v>
      </c>
      <c r="BQ37" s="166" t="n">
        <v>71.29000000000001</v>
      </c>
      <c r="BR37" s="166" t="n">
        <v>73.44</v>
      </c>
      <c r="BS37" s="166" t="n">
        <v>75.52</v>
      </c>
      <c r="BT37" s="29" t="n"/>
      <c r="BU37" s="166" t="n">
        <v>76.22</v>
      </c>
      <c r="BV37" s="166" t="n">
        <v>76.92</v>
      </c>
      <c r="BW37" s="166" t="n">
        <v>75.76000000000001</v>
      </c>
      <c r="BX37" s="166" t="n">
        <v>77.83</v>
      </c>
      <c r="BY37" s="166" t="n">
        <v>78.8</v>
      </c>
      <c r="BZ37" s="29" t="n"/>
      <c r="CA37" s="166" t="n">
        <v>80.88</v>
      </c>
      <c r="CB37" s="166" t="n">
        <v>82.11</v>
      </c>
      <c r="CC37" s="166" t="n">
        <v>80.09</v>
      </c>
      <c r="CD37" s="166" t="n">
        <v>81.31999999999999</v>
      </c>
      <c r="CE37" s="166" t="n">
        <v>81.29000000000001</v>
      </c>
      <c r="CF37" s="29" t="n"/>
      <c r="CG37" s="166" t="n">
        <v>82.7</v>
      </c>
      <c r="CH37" s="166" t="n">
        <v>82.09</v>
      </c>
      <c r="CI37" s="166" t="n">
        <v>81.93000000000001</v>
      </c>
      <c r="CJ37" s="166" t="n">
        <v>83.70999999999999</v>
      </c>
      <c r="CK37" s="166" t="n">
        <v>85.73999999999999</v>
      </c>
      <c r="CL37" s="29" t="n"/>
      <c r="CM37" s="31" t="n"/>
      <c r="CN37" s="31" t="n"/>
      <c r="CO37" s="31" t="n"/>
      <c r="CP37" s="31" t="n"/>
      <c r="CQ37" s="31" t="n"/>
      <c r="CR37" s="31" t="n"/>
      <c r="CS37" s="31" t="n"/>
      <c r="CT37" s="22" t="n"/>
      <c r="CV37" s="23" t="n"/>
      <c r="CW37" s="23" t="n"/>
      <c r="CX37" s="23" t="n"/>
      <c r="CY37" s="23" t="n"/>
      <c r="DB37" s="12" t="inlineStr">
        <is>
          <t xml:space="preserve">  2029E</t>
        </is>
      </c>
      <c r="DC37" s="153">
        <f>DD37+$DC$34</f>
        <v/>
      </c>
      <c r="DD37" s="35" t="n">
        <v>0.045</v>
      </c>
      <c r="DE37" s="153">
        <f>DD37+$DE$34</f>
        <v/>
      </c>
    </row>
    <row r="38" ht="15" customHeight="1">
      <c r="B38" s="18" t="inlineStr">
        <is>
          <t xml:space="preserve">  Segment total revenues</t>
        </is>
      </c>
      <c r="C38" s="172" t="n">
        <v>500.2</v>
      </c>
      <c r="D38" s="19" t="n"/>
      <c r="E38" s="19" t="n"/>
      <c r="F38" s="19" t="n"/>
      <c r="G38" s="172" t="n">
        <v>369.9</v>
      </c>
      <c r="H38" s="172" t="n">
        <v>399</v>
      </c>
      <c r="I38" s="172" t="n">
        <v>378.1</v>
      </c>
      <c r="J38" s="172" t="n">
        <v>67.3</v>
      </c>
      <c r="K38" s="172" t="n">
        <v>99.90000000000001</v>
      </c>
      <c r="L38" s="173">
        <f>J38+K38</f>
        <v/>
      </c>
      <c r="M38" s="172" t="n">
        <v>127.9</v>
      </c>
      <c r="N38" s="172" t="n">
        <v>98.3</v>
      </c>
      <c r="O38" s="172" t="n">
        <v>393.4</v>
      </c>
      <c r="P38" s="172" t="n">
        <v>83</v>
      </c>
      <c r="Q38" s="172" t="n">
        <v>107.8</v>
      </c>
      <c r="R38" s="173">
        <f>P38+Q38</f>
        <v/>
      </c>
      <c r="S38" s="172" t="n">
        <v>136.4</v>
      </c>
      <c r="T38" s="172" t="n">
        <v>115.5</v>
      </c>
      <c r="U38" s="172" t="n">
        <v>445.5</v>
      </c>
      <c r="V38" s="172" t="n">
        <v>103.1</v>
      </c>
      <c r="W38" s="172" t="n">
        <v>129</v>
      </c>
      <c r="X38" s="173">
        <f>V38+W38</f>
        <v/>
      </c>
      <c r="Y38" s="172" t="n">
        <v>178.9</v>
      </c>
      <c r="Z38" s="172" t="n">
        <v>119.8</v>
      </c>
      <c r="AA38" s="172" t="n">
        <v>530.7</v>
      </c>
      <c r="AB38" s="172" t="n">
        <v>89.09999999999999</v>
      </c>
      <c r="AC38" s="172" t="n">
        <v>142.1</v>
      </c>
      <c r="AD38" s="173">
        <f>AB38+AC38</f>
        <v/>
      </c>
      <c r="AE38" s="172" t="n">
        <v>157.4</v>
      </c>
      <c r="AF38" s="172" t="n">
        <v>123.8</v>
      </c>
      <c r="AG38" s="172" t="n">
        <v>512.3</v>
      </c>
      <c r="AH38" s="172" t="n">
        <v>95.8</v>
      </c>
      <c r="AI38" s="172" t="n">
        <v>175.8</v>
      </c>
      <c r="AJ38" s="173">
        <f>AH38+AI38</f>
        <v/>
      </c>
      <c r="AK38" s="172" t="n">
        <v>189.9</v>
      </c>
      <c r="AL38" s="172" t="n">
        <v>160.6</v>
      </c>
      <c r="AM38" s="172" t="n">
        <v>622.1</v>
      </c>
      <c r="AN38" s="172" t="n">
        <v>103.8</v>
      </c>
      <c r="AO38" s="172" t="n">
        <v>211.8</v>
      </c>
      <c r="AP38" s="173">
        <f>AN38+AO38</f>
        <v/>
      </c>
      <c r="AQ38" s="172" t="n">
        <v>231.7</v>
      </c>
      <c r="AR38" s="172" t="n">
        <v>185.8</v>
      </c>
      <c r="AS38" s="172" t="n">
        <v>733.2</v>
      </c>
      <c r="AT38" s="172" t="n">
        <v>132.1</v>
      </c>
      <c r="AU38" s="172" t="n">
        <v>247.2</v>
      </c>
      <c r="AV38" s="173">
        <f>AT38+AU38</f>
        <v/>
      </c>
      <c r="AW38" s="172" t="n">
        <v>270.2</v>
      </c>
      <c r="AX38" s="172" t="n">
        <v>206.3</v>
      </c>
      <c r="AY38" s="172" t="n">
        <v>855.8</v>
      </c>
      <c r="AZ38" s="172" t="n">
        <v>139.8</v>
      </c>
      <c r="BA38" s="172" t="n">
        <v>222.9</v>
      </c>
      <c r="BB38" s="173">
        <f>AZ38+BA38</f>
        <v/>
      </c>
      <c r="BC38" s="172" t="n">
        <v>235.2</v>
      </c>
      <c r="BD38" s="172" t="n">
        <v>194.7</v>
      </c>
      <c r="BE38" s="172" t="n">
        <v>792.6</v>
      </c>
      <c r="BF38" s="172" t="n">
        <v>147.2</v>
      </c>
      <c r="BG38" s="172" t="n">
        <v>212.6</v>
      </c>
      <c r="BH38" s="173">
        <f>BF38+BG38</f>
        <v/>
      </c>
      <c r="BI38" s="172" t="n">
        <v>220.7</v>
      </c>
      <c r="BJ38" s="172" t="n">
        <v>197.4</v>
      </c>
      <c r="BK38" s="172" t="n">
        <v>777.8</v>
      </c>
      <c r="BL38" s="172" t="n">
        <v>167.1</v>
      </c>
      <c r="BM38" s="172" t="n">
        <v>274.8</v>
      </c>
      <c r="BN38" s="173">
        <f>BL38+BM38</f>
        <v/>
      </c>
      <c r="BO38" s="172" t="n">
        <v>310.2</v>
      </c>
      <c r="BP38" s="172" t="n">
        <v>238.1</v>
      </c>
      <c r="BQ38" s="172" t="n">
        <v>990.2</v>
      </c>
      <c r="BR38" s="172" t="n">
        <v>169.8</v>
      </c>
      <c r="BS38" s="172" t="n">
        <v>337.4</v>
      </c>
      <c r="BT38" s="173">
        <f>BR38+BS38</f>
        <v/>
      </c>
      <c r="BU38" s="172" t="n">
        <v>347.2</v>
      </c>
      <c r="BV38" s="172" t="n">
        <v>286.4</v>
      </c>
      <c r="BW38" s="172" t="n">
        <v>1140.7</v>
      </c>
      <c r="BX38" s="172" t="n">
        <v>186.2</v>
      </c>
      <c r="BY38" s="172" t="n">
        <v>351.2</v>
      </c>
      <c r="BZ38" s="173">
        <f>BX38+BY38</f>
        <v/>
      </c>
      <c r="CA38" s="172" t="n">
        <v>381.1</v>
      </c>
      <c r="CB38" s="172" t="n">
        <v>327.1</v>
      </c>
      <c r="CC38" s="172" t="n">
        <v>1245.6</v>
      </c>
      <c r="CD38" s="172" t="n">
        <v>208.7</v>
      </c>
      <c r="CE38" s="172" t="n">
        <v>368.9</v>
      </c>
      <c r="CF38" s="173">
        <f>CD38+CE38</f>
        <v/>
      </c>
      <c r="CG38" s="172" t="n">
        <v>416.1</v>
      </c>
      <c r="CH38" s="172" t="n">
        <v>300.7</v>
      </c>
      <c r="CI38" s="172" t="n">
        <v>1294.4</v>
      </c>
      <c r="CJ38" s="172" t="n">
        <v>215.8</v>
      </c>
      <c r="CK38" s="172" t="n">
        <v>330</v>
      </c>
      <c r="CL38" s="173">
        <f>CJ38+CK38</f>
        <v/>
      </c>
      <c r="CM38" s="174">
        <f>CG38*(1-CM47)*(1+$DD$24)</f>
        <v/>
      </c>
      <c r="CN38" s="174">
        <f>CH38*(1-CN47)*(1+$DD$24)</f>
        <v/>
      </c>
      <c r="CO38" s="174">
        <f>SUM(CJ38,CK38,CM38,CN38)</f>
        <v/>
      </c>
      <c r="CP38" s="174">
        <f>CO38*(1+CP39)</f>
        <v/>
      </c>
      <c r="CQ38" s="174">
        <f>CP38*(1+CQ39)</f>
        <v/>
      </c>
      <c r="CR38" s="174">
        <f>CQ38*(1+CR39)</f>
        <v/>
      </c>
      <c r="CS38" s="174">
        <f>CR38*(1+CS39)</f>
        <v/>
      </c>
      <c r="CT38" s="22" t="inlineStr">
        <is>
          <t>Q3/Q4-26E: prior-year quarter × (1 − divested share) × (1 + underlying growth point estimate). 2027E+: scenario growth.</t>
        </is>
      </c>
      <c r="CV38" s="164">
        <f>IFERROR((CS38/CI38)^(1/5)-1,"n/m")</f>
        <v/>
      </c>
      <c r="CW38" s="164">
        <f>IFERROR((CI38/BE38)^(1/5)-1,"n/m")</f>
        <v/>
      </c>
      <c r="CX38" s="164">
        <f>IFERROR((CI38/AA38)^(1/10)-1,"n/m")</f>
        <v/>
      </c>
      <c r="CY38" s="164">
        <f>IFERROR((CI38/C38)^(1/19)-1,"n/m")</f>
        <v/>
      </c>
      <c r="DB38" s="12" t="inlineStr">
        <is>
          <t xml:space="preserve">  2030E</t>
        </is>
      </c>
      <c r="DC38" s="153">
        <f>DD38+$DC$34</f>
        <v/>
      </c>
      <c r="DD38" s="35" t="n">
        <v>0.045</v>
      </c>
      <c r="DE38" s="153">
        <f>DD38+$DE$34</f>
        <v/>
      </c>
    </row>
    <row r="39" ht="15" customHeight="1">
      <c r="B39" s="25" t="inlineStr">
        <is>
          <t xml:space="preserve">  Segment revenues y/y %</t>
        </is>
      </c>
      <c r="C39" s="26" t="n"/>
      <c r="D39" s="26">
        <f>IF(AND(ISNUMBER(D38),ISNUMBER(C38)),IFERROR(D38/C38-1,""),"")</f>
        <v/>
      </c>
      <c r="E39" s="26">
        <f>IF(AND(ISNUMBER(E38),ISNUMBER(D38)),IFERROR(E38/D38-1,""),"")</f>
        <v/>
      </c>
      <c r="F39" s="26">
        <f>IF(AND(ISNUMBER(F38),ISNUMBER(E38)),IFERROR(F38/E38-1,""),"")</f>
        <v/>
      </c>
      <c r="G39" s="26">
        <f>IF(AND(ISNUMBER(G38),ISNUMBER(F38)),IFERROR(G38/F38-1,""),"")</f>
        <v/>
      </c>
      <c r="H39" s="26">
        <f>IF(AND(ISNUMBER(H38),ISNUMBER(G38)),IFERROR(H38/G38-1,""),"")</f>
        <v/>
      </c>
      <c r="I39" s="26">
        <f>IF(AND(ISNUMBER(I38),ISNUMBER(H38)),IFERROR(I38/H38-1,""),"")</f>
        <v/>
      </c>
      <c r="J39" s="26" t="n"/>
      <c r="K39" s="26" t="n"/>
      <c r="L39" s="26" t="n"/>
      <c r="M39" s="26" t="n"/>
      <c r="N39" s="26" t="n"/>
      <c r="O39" s="26">
        <f>IF(AND(ISNUMBER(O38),ISNUMBER(I38)),IFERROR(O38/I38-1,""),"")</f>
        <v/>
      </c>
      <c r="P39" s="26">
        <f>IF(AND(ISNUMBER(P38),ISNUMBER(J38)),IFERROR(P38/J38-1,""),"")</f>
        <v/>
      </c>
      <c r="Q39" s="26">
        <f>IF(AND(ISNUMBER(Q38),ISNUMBER(K38)),IFERROR(Q38/K38-1,""),"")</f>
        <v/>
      </c>
      <c r="R39" s="26">
        <f>IF(AND(ISNUMBER(R38),ISNUMBER(L38)),IFERROR(R38/L38-1,""),"")</f>
        <v/>
      </c>
      <c r="S39" s="26">
        <f>IF(AND(ISNUMBER(S38),ISNUMBER(M38)),IFERROR(S38/M38-1,""),"")</f>
        <v/>
      </c>
      <c r="T39" s="26">
        <f>IF(AND(ISNUMBER(T38),ISNUMBER(N38)),IFERROR(T38/N38-1,""),"")</f>
        <v/>
      </c>
      <c r="U39" s="26">
        <f>IF(AND(ISNUMBER(U38),ISNUMBER(O38)),IFERROR(U38/O38-1,""),"")</f>
        <v/>
      </c>
      <c r="V39" s="26">
        <f>IF(AND(ISNUMBER(V38),ISNUMBER(P38)),IFERROR(V38/P38-1,""),"")</f>
        <v/>
      </c>
      <c r="W39" s="26">
        <f>IF(AND(ISNUMBER(W38),ISNUMBER(Q38)),IFERROR(W38/Q38-1,""),"")</f>
        <v/>
      </c>
      <c r="X39" s="26">
        <f>IF(AND(ISNUMBER(X38),ISNUMBER(R38)),IFERROR(X38/R38-1,""),"")</f>
        <v/>
      </c>
      <c r="Y39" s="26">
        <f>IF(AND(ISNUMBER(Y38),ISNUMBER(S38)),IFERROR(Y38/S38-1,""),"")</f>
        <v/>
      </c>
      <c r="Z39" s="26">
        <f>IF(AND(ISNUMBER(Z38),ISNUMBER(T38)),IFERROR(Z38/T38-1,""),"")</f>
        <v/>
      </c>
      <c r="AA39" s="26">
        <f>IF(AND(ISNUMBER(AA38),ISNUMBER(U38)),IFERROR(AA38/U38-1,""),"")</f>
        <v/>
      </c>
      <c r="AB39" s="26">
        <f>IF(AND(ISNUMBER(AB38),ISNUMBER(V38)),IFERROR(AB38/V38-1,""),"")</f>
        <v/>
      </c>
      <c r="AC39" s="26">
        <f>IF(AND(ISNUMBER(AC38),ISNUMBER(W38)),IFERROR(AC38/W38-1,""),"")</f>
        <v/>
      </c>
      <c r="AD39" s="26">
        <f>IF(AND(ISNUMBER(AD38),ISNUMBER(X38)),IFERROR(AD38/X38-1,""),"")</f>
        <v/>
      </c>
      <c r="AE39" s="26">
        <f>IF(AND(ISNUMBER(AE38),ISNUMBER(Y38)),IFERROR(AE38/Y38-1,""),"")</f>
        <v/>
      </c>
      <c r="AF39" s="26">
        <f>IF(AND(ISNUMBER(AF38),ISNUMBER(Z38)),IFERROR(AF38/Z38-1,""),"")</f>
        <v/>
      </c>
      <c r="AG39" s="26">
        <f>IF(AND(ISNUMBER(AG38),ISNUMBER(AA38)),IFERROR(AG38/AA38-1,""),"")</f>
        <v/>
      </c>
      <c r="AH39" s="26">
        <f>IF(AND(ISNUMBER(AH38),ISNUMBER(AB38)),IFERROR(AH38/AB38-1,""),"")</f>
        <v/>
      </c>
      <c r="AI39" s="26">
        <f>IF(AND(ISNUMBER(AI38),ISNUMBER(AC38)),IFERROR(AI38/AC38-1,""),"")</f>
        <v/>
      </c>
      <c r="AJ39" s="26">
        <f>IF(AND(ISNUMBER(AJ38),ISNUMBER(AD38)),IFERROR(AJ38/AD38-1,""),"")</f>
        <v/>
      </c>
      <c r="AK39" s="26">
        <f>IF(AND(ISNUMBER(AK38),ISNUMBER(AE38)),IFERROR(AK38/AE38-1,""),"")</f>
        <v/>
      </c>
      <c r="AL39" s="26">
        <f>IF(AND(ISNUMBER(AL38),ISNUMBER(AF38)),IFERROR(AL38/AF38-1,""),"")</f>
        <v/>
      </c>
      <c r="AM39" s="26">
        <f>IF(AND(ISNUMBER(AM38),ISNUMBER(AG38)),IFERROR(AM38/AG38-1,""),"")</f>
        <v/>
      </c>
      <c r="AN39" s="26">
        <f>IF(AND(ISNUMBER(AN38),ISNUMBER(AH38)),IFERROR(AN38/AH38-1,""),"")</f>
        <v/>
      </c>
      <c r="AO39" s="26">
        <f>IF(AND(ISNUMBER(AO38),ISNUMBER(AI38)),IFERROR(AO38/AI38-1,""),"")</f>
        <v/>
      </c>
      <c r="AP39" s="26">
        <f>IF(AND(ISNUMBER(AP38),ISNUMBER(AJ38)),IFERROR(AP38/AJ38-1,""),"")</f>
        <v/>
      </c>
      <c r="AQ39" s="26">
        <f>IF(AND(ISNUMBER(AQ38),ISNUMBER(AK38)),IFERROR(AQ38/AK38-1,""),"")</f>
        <v/>
      </c>
      <c r="AR39" s="26">
        <f>IF(AND(ISNUMBER(AR38),ISNUMBER(AL38)),IFERROR(AR38/AL38-1,""),"")</f>
        <v/>
      </c>
      <c r="AS39" s="26">
        <f>IF(AND(ISNUMBER(AS38),ISNUMBER(AM38)),IFERROR(AS38/AM38-1,""),"")</f>
        <v/>
      </c>
      <c r="AT39" s="26">
        <f>IF(AND(ISNUMBER(AT38),ISNUMBER(AN38)),IFERROR(AT38/AN38-1,""),"")</f>
        <v/>
      </c>
      <c r="AU39" s="26">
        <f>IF(AND(ISNUMBER(AU38),ISNUMBER(AO38)),IFERROR(AU38/AO38-1,""),"")</f>
        <v/>
      </c>
      <c r="AV39" s="26">
        <f>IF(AND(ISNUMBER(AV38),ISNUMBER(AP38)),IFERROR(AV38/AP38-1,""),"")</f>
        <v/>
      </c>
      <c r="AW39" s="26">
        <f>IF(AND(ISNUMBER(AW38),ISNUMBER(AQ38)),IFERROR(AW38/AQ38-1,""),"")</f>
        <v/>
      </c>
      <c r="AX39" s="26">
        <f>IF(AND(ISNUMBER(AX38),ISNUMBER(AR38)),IFERROR(AX38/AR38-1,""),"")</f>
        <v/>
      </c>
      <c r="AY39" s="26">
        <f>IF(AND(ISNUMBER(AY38),ISNUMBER(AS38)),IFERROR(AY38/AS38-1,""),"")</f>
        <v/>
      </c>
      <c r="AZ39" s="26">
        <f>IF(AND(ISNUMBER(AZ38),ISNUMBER(AT38)),IFERROR(AZ38/AT38-1,""),"")</f>
        <v/>
      </c>
      <c r="BA39" s="26">
        <f>IF(AND(ISNUMBER(BA38),ISNUMBER(AU38)),IFERROR(BA38/AU38-1,""),"")</f>
        <v/>
      </c>
      <c r="BB39" s="26">
        <f>IF(AND(ISNUMBER(BB38),ISNUMBER(AV38)),IFERROR(BB38/AV38-1,""),"")</f>
        <v/>
      </c>
      <c r="BC39" s="26">
        <f>IF(AND(ISNUMBER(BC38),ISNUMBER(AW38)),IFERROR(BC38/AW38-1,""),"")</f>
        <v/>
      </c>
      <c r="BD39" s="26">
        <f>IF(AND(ISNUMBER(BD38),ISNUMBER(AX38)),IFERROR(BD38/AX38-1,""),"")</f>
        <v/>
      </c>
      <c r="BE39" s="26">
        <f>IF(AND(ISNUMBER(BE38),ISNUMBER(AY38)),IFERROR(BE38/AY38-1,""),"")</f>
        <v/>
      </c>
      <c r="BF39" s="26">
        <f>IF(AND(ISNUMBER(BF38),ISNUMBER(AZ38)),IFERROR(BF38/AZ38-1,""),"")</f>
        <v/>
      </c>
      <c r="BG39" s="26">
        <f>IF(AND(ISNUMBER(BG38),ISNUMBER(BA38)),IFERROR(BG38/BA38-1,""),"")</f>
        <v/>
      </c>
      <c r="BH39" s="26">
        <f>IF(AND(ISNUMBER(BH38),ISNUMBER(BB38)),IFERROR(BH38/BB38-1,""),"")</f>
        <v/>
      </c>
      <c r="BI39" s="26">
        <f>IF(AND(ISNUMBER(BI38),ISNUMBER(BC38)),IFERROR(BI38/BC38-1,""),"")</f>
        <v/>
      </c>
      <c r="BJ39" s="26">
        <f>IF(AND(ISNUMBER(BJ38),ISNUMBER(BD38)),IFERROR(BJ38/BD38-1,""),"")</f>
        <v/>
      </c>
      <c r="BK39" s="26">
        <f>IF(AND(ISNUMBER(BK38),ISNUMBER(BE38)),IFERROR(BK38/BE38-1,""),"")</f>
        <v/>
      </c>
      <c r="BL39" s="26">
        <f>IF(AND(ISNUMBER(BL38),ISNUMBER(BF38)),IFERROR(BL38/BF38-1,""),"")</f>
        <v/>
      </c>
      <c r="BM39" s="26">
        <f>IF(AND(ISNUMBER(BM38),ISNUMBER(BG38)),IFERROR(BM38/BG38-1,""),"")</f>
        <v/>
      </c>
      <c r="BN39" s="26">
        <f>IF(AND(ISNUMBER(BN38),ISNUMBER(BH38)),IFERROR(BN38/BH38-1,""),"")</f>
        <v/>
      </c>
      <c r="BO39" s="26">
        <f>IF(AND(ISNUMBER(BO38),ISNUMBER(BI38)),IFERROR(BO38/BI38-1,""),"")</f>
        <v/>
      </c>
      <c r="BP39" s="26">
        <f>IF(AND(ISNUMBER(BP38),ISNUMBER(BJ38)),IFERROR(BP38/BJ38-1,""),"")</f>
        <v/>
      </c>
      <c r="BQ39" s="26">
        <f>IF(AND(ISNUMBER(BQ38),ISNUMBER(BK38)),IFERROR(BQ38/BK38-1,""),"")</f>
        <v/>
      </c>
      <c r="BR39" s="26">
        <f>IF(AND(ISNUMBER(BR38),ISNUMBER(BL38)),IFERROR(BR38/BL38-1,""),"")</f>
        <v/>
      </c>
      <c r="BS39" s="26">
        <f>IF(AND(ISNUMBER(BS38),ISNUMBER(BM38)),IFERROR(BS38/BM38-1,""),"")</f>
        <v/>
      </c>
      <c r="BT39" s="26">
        <f>IF(AND(ISNUMBER(BT38),ISNUMBER(BN38)),IFERROR(BT38/BN38-1,""),"")</f>
        <v/>
      </c>
      <c r="BU39" s="26">
        <f>IF(AND(ISNUMBER(BU38),ISNUMBER(BO38)),IFERROR(BU38/BO38-1,""),"")</f>
        <v/>
      </c>
      <c r="BV39" s="26">
        <f>IF(AND(ISNUMBER(BV38),ISNUMBER(BP38)),IFERROR(BV38/BP38-1,""),"")</f>
        <v/>
      </c>
      <c r="BW39" s="26">
        <f>IF(AND(ISNUMBER(BW38),ISNUMBER(BQ38)),IFERROR(BW38/BQ38-1,""),"")</f>
        <v/>
      </c>
      <c r="BX39" s="26">
        <f>IF(AND(ISNUMBER(BX38),ISNUMBER(BR38)),IFERROR(BX38/BR38-1,""),"")</f>
        <v/>
      </c>
      <c r="BY39" s="26">
        <f>IF(AND(ISNUMBER(BY38),ISNUMBER(BS38)),IFERROR(BY38/BS38-1,""),"")</f>
        <v/>
      </c>
      <c r="BZ39" s="26">
        <f>IF(AND(ISNUMBER(BZ38),ISNUMBER(BT38)),IFERROR(BZ38/BT38-1,""),"")</f>
        <v/>
      </c>
      <c r="CA39" s="26">
        <f>IF(AND(ISNUMBER(CA38),ISNUMBER(BU38)),IFERROR(CA38/BU38-1,""),"")</f>
        <v/>
      </c>
      <c r="CB39" s="26">
        <f>IF(AND(ISNUMBER(CB38),ISNUMBER(BV38)),IFERROR(CB38/BV38-1,""),"")</f>
        <v/>
      </c>
      <c r="CC39" s="26">
        <f>IF(AND(ISNUMBER(CC38),ISNUMBER(BW38)),IFERROR(CC38/BW38-1,""),"")</f>
        <v/>
      </c>
      <c r="CD39" s="26">
        <f>IF(AND(ISNUMBER(CD38),ISNUMBER(BX38)),IFERROR(CD38/BX38-1,""),"")</f>
        <v/>
      </c>
      <c r="CE39" s="26">
        <f>IF(AND(ISNUMBER(CE38),ISNUMBER(BY38)),IFERROR(CE38/BY38-1,""),"")</f>
        <v/>
      </c>
      <c r="CF39" s="26">
        <f>IF(AND(ISNUMBER(CF38),ISNUMBER(BZ38)),IFERROR(CF38/BZ38-1,""),"")</f>
        <v/>
      </c>
      <c r="CG39" s="26">
        <f>IF(AND(ISNUMBER(CG38),ISNUMBER(CA38)),IFERROR(CG38/CA38-1,""),"")</f>
        <v/>
      </c>
      <c r="CH39" s="26">
        <f>IF(AND(ISNUMBER(CH38),ISNUMBER(CB38)),IFERROR(CH38/CB38-1,""),"")</f>
        <v/>
      </c>
      <c r="CI39" s="26">
        <f>IF(AND(ISNUMBER(CI38),ISNUMBER(CC38)),IFERROR(CI38/CC38-1,""),"")</f>
        <v/>
      </c>
      <c r="CJ39" s="26">
        <f>IF(AND(ISNUMBER(CJ38),ISNUMBER(CD38)),IFERROR(CJ38/CD38-1,""),"")</f>
        <v/>
      </c>
      <c r="CK39" s="26">
        <f>IF(AND(ISNUMBER(CK38),ISNUMBER(CE38)),IFERROR(CK38/CE38-1,""),"")</f>
        <v/>
      </c>
      <c r="CL39" s="26">
        <f>IF(AND(ISNUMBER(CL38),ISNUMBER(CF38)),IFERROR(CL38/CF38-1,""),"")</f>
        <v/>
      </c>
      <c r="CM39" s="165">
        <f>IF(AND(ISNUMBER(CM38),ISNUMBER(CG38)),IFERROR(CM38/CG38-1,""),"")</f>
        <v/>
      </c>
      <c r="CN39" s="165">
        <f>IF(AND(ISNUMBER(CN38),ISNUMBER(CH38)),IFERROR(CN38/CH38-1,""),"")</f>
        <v/>
      </c>
      <c r="CO39" s="165">
        <f>IF(AND(ISNUMBER(CO38),ISNUMBER(CI38)),IFERROR(CO38/CI38-1,""),"")</f>
        <v/>
      </c>
      <c r="CP39" s="165">
        <f>CHOOSE(MATCH($CT$2,{"Bull","Base","Bear"},0),$DC$47,$DD$47,$DE$47)</f>
        <v/>
      </c>
      <c r="CQ39" s="165">
        <f>CHOOSE(MATCH($CT$2,{"Bull","Base","Bear"},0),$DC$48,$DD$48,$DE$48)</f>
        <v/>
      </c>
      <c r="CR39" s="165">
        <f>CHOOSE(MATCH($CT$2,{"Bull","Base","Bear"},0),$DC$49,$DD$49,$DE$49)</f>
        <v/>
      </c>
      <c r="CS39" s="165">
        <f>CHOOSE(MATCH($CT$2,{"Bull","Base","Bear"},0),$DC$50,$DD$50,$DE$50)</f>
        <v/>
      </c>
      <c r="CT39" s="22" t="inlineStr">
        <is>
          <t>2027E–2030E: scenario lever (ASPH_growth).</t>
        </is>
      </c>
      <c r="CV39" s="6" t="n"/>
      <c r="CW39" s="6" t="n"/>
      <c r="CX39" s="6" t="n"/>
      <c r="CY39" s="6" t="n"/>
    </row>
    <row r="40" ht="15" customHeight="1">
      <c r="B40" s="12" t="inlineStr">
        <is>
          <t xml:space="preserve">  Segment gross profit (GAAP)</t>
        </is>
      </c>
      <c r="C40" s="29" t="n"/>
      <c r="D40" s="29" t="n"/>
      <c r="E40" s="30" t="n"/>
      <c r="F40" s="30" t="n"/>
      <c r="G40" s="169" t="n">
        <v>29.3</v>
      </c>
      <c r="H40" s="169" t="n">
        <v>25.6</v>
      </c>
      <c r="I40" s="169" t="n">
        <v>23</v>
      </c>
      <c r="J40" s="169" t="n">
        <v>1.9</v>
      </c>
      <c r="K40" s="169" t="n">
        <v>9.199999999999999</v>
      </c>
      <c r="L40" s="170">
        <f>J40+K40</f>
        <v/>
      </c>
      <c r="M40" s="169" t="n">
        <v>13.6</v>
      </c>
      <c r="N40" s="169" t="n">
        <v>7.9</v>
      </c>
      <c r="O40" s="169" t="n">
        <v>32.7</v>
      </c>
      <c r="P40" s="169" t="n">
        <v>4.7</v>
      </c>
      <c r="Q40" s="169" t="n">
        <v>9</v>
      </c>
      <c r="R40" s="170">
        <f>P40+Q40</f>
        <v/>
      </c>
      <c r="S40" s="169" t="n">
        <v>14.6</v>
      </c>
      <c r="T40" s="169" t="n">
        <v>9.800000000000001</v>
      </c>
      <c r="U40" s="169" t="n">
        <v>38.1</v>
      </c>
      <c r="V40" s="169" t="n">
        <v>8.800000000000001</v>
      </c>
      <c r="W40" s="169" t="n">
        <v>21.1</v>
      </c>
      <c r="X40" s="170">
        <f>V40+W40</f>
        <v/>
      </c>
      <c r="Y40" s="169" t="n">
        <v>30</v>
      </c>
      <c r="Z40" s="169" t="n">
        <v>18.3</v>
      </c>
      <c r="AA40" s="169" t="n">
        <v>78.2</v>
      </c>
      <c r="AB40" s="169" t="n">
        <v>12.2</v>
      </c>
      <c r="AC40" s="169" t="n">
        <v>30.9</v>
      </c>
      <c r="AD40" s="170">
        <f>AB40+AC40</f>
        <v/>
      </c>
      <c r="AE40" s="169" t="n">
        <v>32.9</v>
      </c>
      <c r="AF40" s="169" t="n">
        <v>21.7</v>
      </c>
      <c r="AG40" s="169" t="n">
        <v>97.7</v>
      </c>
      <c r="AH40" s="169" t="n">
        <v>8.6</v>
      </c>
      <c r="AI40" s="169" t="n">
        <v>28.9</v>
      </c>
      <c r="AJ40" s="170">
        <f>AH40+AI40</f>
        <v/>
      </c>
      <c r="AK40" s="169" t="n">
        <v>31.4</v>
      </c>
      <c r="AL40" s="169" t="n">
        <v>23</v>
      </c>
      <c r="AM40" s="169" t="n">
        <v>91.90000000000001</v>
      </c>
      <c r="AN40" s="169" t="n">
        <v>0.2</v>
      </c>
      <c r="AO40" s="169" t="n">
        <v>25.8</v>
      </c>
      <c r="AP40" s="170">
        <f>AN40+AO40</f>
        <v/>
      </c>
      <c r="AQ40" s="169" t="n">
        <v>23.9</v>
      </c>
      <c r="AR40" s="169" t="n">
        <v>6.6</v>
      </c>
      <c r="AS40" s="169" t="n">
        <v>56.5</v>
      </c>
      <c r="AT40" s="169" t="n">
        <v>-3.3</v>
      </c>
      <c r="AU40" s="169" t="n">
        <v>27.6</v>
      </c>
      <c r="AV40" s="170">
        <f>AT40+AU40</f>
        <v/>
      </c>
      <c r="AW40" s="169" t="n">
        <v>27.6</v>
      </c>
      <c r="AX40" s="169" t="n">
        <v>11.1</v>
      </c>
      <c r="AY40" s="169" t="n">
        <v>63</v>
      </c>
      <c r="AZ40" s="169" t="n">
        <v>-2.4</v>
      </c>
      <c r="BA40" s="169" t="n">
        <v>30.5</v>
      </c>
      <c r="BB40" s="170">
        <f>AZ40+BA40</f>
        <v/>
      </c>
      <c r="BC40" s="169" t="n">
        <v>30.2</v>
      </c>
      <c r="BD40" s="169" t="n">
        <v>17</v>
      </c>
      <c r="BE40" s="169" t="n">
        <v>75.2</v>
      </c>
      <c r="BF40" s="169" t="n">
        <v>-3</v>
      </c>
      <c r="BG40" s="169" t="n">
        <v>13.5</v>
      </c>
      <c r="BH40" s="170">
        <f>BF40+BG40</f>
        <v/>
      </c>
      <c r="BI40" s="169" t="n">
        <v>7.1</v>
      </c>
      <c r="BJ40" s="169" t="n">
        <v>3.6</v>
      </c>
      <c r="BK40" s="169" t="n">
        <v>21.2</v>
      </c>
      <c r="BL40" s="169" t="n">
        <v>-2.9</v>
      </c>
      <c r="BM40" s="169" t="n">
        <v>13.6</v>
      </c>
      <c r="BN40" s="170">
        <f>BL40+BM40</f>
        <v/>
      </c>
      <c r="BO40" s="169" t="n">
        <v>29.5</v>
      </c>
      <c r="BP40" s="169" t="n">
        <v>17.1</v>
      </c>
      <c r="BQ40" s="169" t="n">
        <v>57.3</v>
      </c>
      <c r="BR40" s="169" t="n">
        <v>0.8</v>
      </c>
      <c r="BS40" s="169" t="n">
        <v>56.6</v>
      </c>
      <c r="BT40" s="170">
        <f>BR40+BS40</f>
        <v/>
      </c>
      <c r="BU40" s="169" t="n">
        <v>55.9</v>
      </c>
      <c r="BV40" s="169" t="n">
        <v>36.3</v>
      </c>
      <c r="BW40" s="169" t="n">
        <v>149.6</v>
      </c>
      <c r="BX40" s="169" t="n">
        <v>4.7</v>
      </c>
      <c r="BY40" s="169" t="n">
        <v>59</v>
      </c>
      <c r="BZ40" s="170">
        <f>BX40+BY40</f>
        <v/>
      </c>
      <c r="CA40" s="169" t="n">
        <v>60.2</v>
      </c>
      <c r="CB40" s="169" t="n">
        <v>46.1</v>
      </c>
      <c r="CC40" s="169" t="n">
        <v>170.1</v>
      </c>
      <c r="CD40" s="169" t="n">
        <v>4.8</v>
      </c>
      <c r="CE40" s="169" t="n">
        <v>57.2</v>
      </c>
      <c r="CF40" s="170">
        <f>CD40+CE40</f>
        <v/>
      </c>
      <c r="CG40" s="169" t="n">
        <v>71</v>
      </c>
      <c r="CH40" s="169" t="n">
        <v>41</v>
      </c>
      <c r="CI40" s="169" t="n">
        <v>173.9</v>
      </c>
      <c r="CJ40" s="169" t="n">
        <v>12.2</v>
      </c>
      <c r="CK40" s="169" t="n">
        <v>49.8</v>
      </c>
      <c r="CL40" s="170">
        <f>CJ40+CK40</f>
        <v/>
      </c>
      <c r="CM40" s="171">
        <f>CM42-CM41</f>
        <v/>
      </c>
      <c r="CN40" s="171">
        <f>CN42-CN41</f>
        <v/>
      </c>
      <c r="CO40" s="171">
        <f>SUM(CJ40,CK40,CM40,CN40)</f>
        <v/>
      </c>
      <c r="CP40" s="171">
        <f>CP42-CP41</f>
        <v/>
      </c>
      <c r="CQ40" s="171">
        <f>CQ42-CQ41</f>
        <v/>
      </c>
      <c r="CR40" s="171">
        <f>CR42-CR41</f>
        <v/>
      </c>
      <c r="CS40" s="171">
        <f>CS42-CS41</f>
        <v/>
      </c>
      <c r="CT40" s="22" t="n"/>
      <c r="CV40" s="23" t="n"/>
      <c r="CW40" s="23" t="n"/>
      <c r="CX40" s="23" t="n"/>
      <c r="CY40" s="23" t="n"/>
      <c r="DB40" s="17" t="inlineStr">
        <is>
          <t>AGG_unitCashCostGrowth (freight-adjusted unit cash cost y/y)</t>
        </is>
      </c>
      <c r="DC40" s="41" t="n">
        <v>-0.01</v>
      </c>
      <c r="DD40" s="24" t="inlineStr">
        <is>
          <t>Δ →</t>
        </is>
      </c>
      <c r="DE40" s="41" t="n">
        <v>0.015</v>
      </c>
      <c r="DF40" s="15" t="inlineStr">
        <is>
          <t>FY26 guide: low-single-digit increase (diesel, parts, labour); operating-efficiency programme.</t>
        </is>
      </c>
    </row>
    <row r="41" ht="15" customHeight="1">
      <c r="B41" s="12" t="inlineStr">
        <is>
          <t xml:space="preserve">  (+) Segment DDA&amp;A</t>
        </is>
      </c>
      <c r="C41" s="29" t="n"/>
      <c r="D41" s="29" t="n"/>
      <c r="E41" s="30" t="n"/>
      <c r="F41" s="30" t="n"/>
      <c r="G41" s="169" t="n">
        <v>8.699999999999999</v>
      </c>
      <c r="H41" s="169" t="n">
        <v>8.199999999999999</v>
      </c>
      <c r="I41" s="169" t="n">
        <v>8.699999999999999</v>
      </c>
      <c r="J41" s="169" t="n">
        <v>2</v>
      </c>
      <c r="K41" s="169" t="n">
        <v>2.1</v>
      </c>
      <c r="L41" s="170">
        <f>J41+K41</f>
        <v/>
      </c>
      <c r="M41" s="169" t="n">
        <v>2.2</v>
      </c>
      <c r="N41" s="169" t="n">
        <v>2.3</v>
      </c>
      <c r="O41" s="169" t="n">
        <v>8.699999999999999</v>
      </c>
      <c r="P41" s="169" t="n">
        <v>2.4</v>
      </c>
      <c r="Q41" s="169" t="n">
        <v>2.4</v>
      </c>
      <c r="R41" s="170">
        <f>P41+Q41</f>
        <v/>
      </c>
      <c r="S41" s="169" t="n">
        <v>2.6</v>
      </c>
      <c r="T41" s="169" t="n">
        <v>3.3</v>
      </c>
      <c r="U41" s="169" t="n">
        <v>10.7</v>
      </c>
      <c r="V41" s="169" t="n">
        <v>3.9</v>
      </c>
      <c r="W41" s="169" t="n">
        <v>4.1</v>
      </c>
      <c r="X41" s="170">
        <f>V41+W41</f>
        <v/>
      </c>
      <c r="Y41" s="169" t="n">
        <v>4.1</v>
      </c>
      <c r="Z41" s="169" t="n">
        <v>4.2</v>
      </c>
      <c r="AA41" s="169" t="n">
        <v>16.4</v>
      </c>
      <c r="AB41" s="169" t="n">
        <v>4.2</v>
      </c>
      <c r="AC41" s="169" t="n">
        <v>4.1</v>
      </c>
      <c r="AD41" s="170">
        <f>AB41+AC41</f>
        <v/>
      </c>
      <c r="AE41" s="169" t="n">
        <v>4.1</v>
      </c>
      <c r="AF41" s="169" t="n">
        <v>4.3</v>
      </c>
      <c r="AG41" s="169" t="n">
        <v>16.8</v>
      </c>
      <c r="AH41" s="169" t="n">
        <v>5.7</v>
      </c>
      <c r="AI41" s="169" t="n">
        <v>6.6</v>
      </c>
      <c r="AJ41" s="170">
        <f>AH41+AI41</f>
        <v/>
      </c>
      <c r="AK41" s="169" t="n">
        <v>6.5</v>
      </c>
      <c r="AL41" s="169" t="n">
        <v>6.6</v>
      </c>
      <c r="AM41" s="169" t="n">
        <v>25.4</v>
      </c>
      <c r="AN41" s="169" t="n">
        <v>7</v>
      </c>
      <c r="AO41" s="169" t="n">
        <v>7.3</v>
      </c>
      <c r="AP41" s="170">
        <f>AN41+AO41</f>
        <v/>
      </c>
      <c r="AQ41" s="169" t="n">
        <v>8.4</v>
      </c>
      <c r="AR41" s="169" t="n">
        <v>8.6</v>
      </c>
      <c r="AS41" s="169" t="n">
        <v>31.3</v>
      </c>
      <c r="AT41" s="169" t="n">
        <v>8.6</v>
      </c>
      <c r="AU41" s="169" t="n">
        <v>8.9</v>
      </c>
      <c r="AV41" s="170">
        <f>AT41+AU41</f>
        <v/>
      </c>
      <c r="AW41" s="169" t="n">
        <v>8.9</v>
      </c>
      <c r="AX41" s="169" t="n">
        <v>8.9</v>
      </c>
      <c r="AY41" s="169" t="n">
        <v>35.2</v>
      </c>
      <c r="AZ41" s="169" t="n">
        <v>8.699999999999999</v>
      </c>
      <c r="BA41" s="169" t="n">
        <v>8.699999999999999</v>
      </c>
      <c r="BB41" s="170">
        <f>AZ41+BA41</f>
        <v/>
      </c>
      <c r="BC41" s="169" t="n">
        <v>8.6</v>
      </c>
      <c r="BD41" s="169" t="n">
        <v>8.9</v>
      </c>
      <c r="BE41" s="169" t="n">
        <v>35</v>
      </c>
      <c r="BF41" s="169" t="n">
        <v>9.1</v>
      </c>
      <c r="BG41" s="169" t="n">
        <v>9.1</v>
      </c>
      <c r="BH41" s="170">
        <f>BF41+BG41</f>
        <v/>
      </c>
      <c r="BI41" s="169" t="n">
        <v>9</v>
      </c>
      <c r="BJ41" s="169" t="n">
        <v>8.9</v>
      </c>
      <c r="BK41" s="169" t="n">
        <v>36</v>
      </c>
      <c r="BL41" s="169" t="n">
        <v>8.6</v>
      </c>
      <c r="BM41" s="169" t="n">
        <v>8.5</v>
      </c>
      <c r="BN41" s="170">
        <f>BL41+BM41</f>
        <v/>
      </c>
      <c r="BO41" s="169" t="n">
        <v>8.9</v>
      </c>
      <c r="BP41" s="169" t="n">
        <v>9.1</v>
      </c>
      <c r="BQ41" s="169" t="n">
        <v>35.1</v>
      </c>
      <c r="BR41" s="169" t="n">
        <v>9</v>
      </c>
      <c r="BS41" s="169" t="n">
        <v>8.9</v>
      </c>
      <c r="BT41" s="170">
        <f>BR41+BS41</f>
        <v/>
      </c>
      <c r="BU41" s="169" t="n">
        <v>8.800000000000001</v>
      </c>
      <c r="BV41" s="169" t="n">
        <v>8.9</v>
      </c>
      <c r="BW41" s="169" t="n">
        <v>35.6</v>
      </c>
      <c r="BX41" s="169" t="n">
        <v>8.9</v>
      </c>
      <c r="BY41" s="169" t="n">
        <v>11</v>
      </c>
      <c r="BZ41" s="170">
        <f>BX41+BY41</f>
        <v/>
      </c>
      <c r="CA41" s="169" t="n">
        <v>12</v>
      </c>
      <c r="CB41" s="169" t="n">
        <v>12.4</v>
      </c>
      <c r="CC41" s="169" t="n">
        <v>44.1</v>
      </c>
      <c r="CD41" s="169" t="n">
        <v>12</v>
      </c>
      <c r="CE41" s="169" t="n">
        <v>14</v>
      </c>
      <c r="CF41" s="170">
        <f>CD41+CE41</f>
        <v/>
      </c>
      <c r="CG41" s="169" t="n">
        <v>12.9</v>
      </c>
      <c r="CH41" s="169" t="n">
        <v>10.8</v>
      </c>
      <c r="CI41" s="169" t="n">
        <v>49.8</v>
      </c>
      <c r="CJ41" s="169" t="n">
        <v>11.2</v>
      </c>
      <c r="CK41" s="169" t="n">
        <v>11.2</v>
      </c>
      <c r="CL41" s="170">
        <f>CJ41+CK41</f>
        <v/>
      </c>
      <c r="CM41" s="171">
        <f>($DD$18-$CL$158)/2*$CL$41/$CL$158</f>
        <v/>
      </c>
      <c r="CN41" s="171">
        <f>($DD$18-$CL$158)/2*$CL$41/$CL$158</f>
        <v/>
      </c>
      <c r="CO41" s="171">
        <f>SUM(CJ41,CK41,CM41,CN41)</f>
        <v/>
      </c>
      <c r="CP41" s="171">
        <f>CP38*CO41/CO38</f>
        <v/>
      </c>
      <c r="CQ41" s="171">
        <f>CQ38*CP41/CP38</f>
        <v/>
      </c>
      <c r="CR41" s="171">
        <f>CR38*CQ41/CQ38</f>
        <v/>
      </c>
      <c r="CS41" s="171">
        <f>CS38*CR41/CR38</f>
        <v/>
      </c>
      <c r="CT41" s="22" t="n"/>
      <c r="CV41" s="23" t="n"/>
      <c r="CW41" s="23" t="n"/>
      <c r="CX41" s="23" t="n"/>
      <c r="CY41" s="23" t="n"/>
      <c r="DB41" s="12" t="inlineStr">
        <is>
          <t xml:space="preserve">  2027E</t>
        </is>
      </c>
      <c r="DC41" s="153">
        <f>DD41+$DC$40</f>
        <v/>
      </c>
      <c r="DD41" s="35" t="n">
        <v>0.035</v>
      </c>
      <c r="DE41" s="153">
        <f>DD41+$DE$40</f>
        <v/>
      </c>
    </row>
    <row r="42" ht="15" customHeight="1">
      <c r="B42" s="33" t="inlineStr">
        <is>
          <t xml:space="preserve">  Cash gross profit (non-GAAP)</t>
        </is>
      </c>
      <c r="C42" s="175">
        <f>IF(ISNUMBER(C41),C40+C41,"")</f>
        <v/>
      </c>
      <c r="D42" s="175">
        <f>IF(ISNUMBER(D41),D40+D41,"")</f>
        <v/>
      </c>
      <c r="E42" s="175">
        <f>IF(ISNUMBER(E41),E40+E41,"")</f>
        <v/>
      </c>
      <c r="F42" s="175">
        <f>IF(ISNUMBER(F41),F40+F41,"")</f>
        <v/>
      </c>
      <c r="G42" s="175">
        <f>IF(ISNUMBER(G41),G40+G41,"")</f>
        <v/>
      </c>
      <c r="H42" s="175">
        <f>IF(ISNUMBER(H41),H40+H41,"")</f>
        <v/>
      </c>
      <c r="I42" s="175">
        <f>IF(ISNUMBER(I41),I40+I41,"")</f>
        <v/>
      </c>
      <c r="J42" s="173">
        <f>IF(ISNUMBER(J41),J40+J41,"")</f>
        <v/>
      </c>
      <c r="K42" s="173">
        <f>IF(ISNUMBER(K41),K40+K41,"")</f>
        <v/>
      </c>
      <c r="L42" s="173">
        <f>IF(ISNUMBER(L41),L40+L41,"")</f>
        <v/>
      </c>
      <c r="M42" s="173">
        <f>IF(ISNUMBER(M41),M40+M41,"")</f>
        <v/>
      </c>
      <c r="N42" s="173">
        <f>IF(ISNUMBER(N41),N40+N41,"")</f>
        <v/>
      </c>
      <c r="O42" s="175">
        <f>IF(ISNUMBER(O41),O40+O41,"")</f>
        <v/>
      </c>
      <c r="P42" s="173">
        <f>IF(ISNUMBER(P41),P40+P41,"")</f>
        <v/>
      </c>
      <c r="Q42" s="173">
        <f>IF(ISNUMBER(Q41),Q40+Q41,"")</f>
        <v/>
      </c>
      <c r="R42" s="173">
        <f>IF(ISNUMBER(R41),R40+R41,"")</f>
        <v/>
      </c>
      <c r="S42" s="173">
        <f>IF(ISNUMBER(S41),S40+S41,"")</f>
        <v/>
      </c>
      <c r="T42" s="173">
        <f>IF(ISNUMBER(T41),T40+T41,"")</f>
        <v/>
      </c>
      <c r="U42" s="175">
        <f>IF(ISNUMBER(U41),U40+U41,"")</f>
        <v/>
      </c>
      <c r="V42" s="173">
        <f>IF(ISNUMBER(V41),V40+V41,"")</f>
        <v/>
      </c>
      <c r="W42" s="173">
        <f>IF(ISNUMBER(W41),W40+W41,"")</f>
        <v/>
      </c>
      <c r="X42" s="173">
        <f>IF(ISNUMBER(X41),X40+X41,"")</f>
        <v/>
      </c>
      <c r="Y42" s="173">
        <f>IF(ISNUMBER(Y41),Y40+Y41,"")</f>
        <v/>
      </c>
      <c r="Z42" s="173">
        <f>IF(ISNUMBER(Z41),Z40+Z41,"")</f>
        <v/>
      </c>
      <c r="AA42" s="175">
        <f>IF(ISNUMBER(AA41),AA40+AA41,"")</f>
        <v/>
      </c>
      <c r="AB42" s="173">
        <f>IF(ISNUMBER(AB41),AB40+AB41,"")</f>
        <v/>
      </c>
      <c r="AC42" s="173">
        <f>IF(ISNUMBER(AC41),AC40+AC41,"")</f>
        <v/>
      </c>
      <c r="AD42" s="173">
        <f>IF(ISNUMBER(AD41),AD40+AD41,"")</f>
        <v/>
      </c>
      <c r="AE42" s="173">
        <f>IF(ISNUMBER(AE41),AE40+AE41,"")</f>
        <v/>
      </c>
      <c r="AF42" s="173">
        <f>IF(ISNUMBER(AF41),AF40+AF41,"")</f>
        <v/>
      </c>
      <c r="AG42" s="175">
        <f>IF(ISNUMBER(AG41),AG40+AG41,"")</f>
        <v/>
      </c>
      <c r="AH42" s="173">
        <f>IF(ISNUMBER(AH41),AH40+AH41,"")</f>
        <v/>
      </c>
      <c r="AI42" s="173">
        <f>IF(ISNUMBER(AI41),AI40+AI41,"")</f>
        <v/>
      </c>
      <c r="AJ42" s="173">
        <f>IF(ISNUMBER(AJ41),AJ40+AJ41,"")</f>
        <v/>
      </c>
      <c r="AK42" s="173">
        <f>IF(ISNUMBER(AK41),AK40+AK41,"")</f>
        <v/>
      </c>
      <c r="AL42" s="173">
        <f>IF(ISNUMBER(AL41),AL40+AL41,"")</f>
        <v/>
      </c>
      <c r="AM42" s="175">
        <f>IF(ISNUMBER(AM41),AM40+AM41,"")</f>
        <v/>
      </c>
      <c r="AN42" s="173">
        <f>IF(ISNUMBER(AN41),AN40+AN41,"")</f>
        <v/>
      </c>
      <c r="AO42" s="173">
        <f>IF(ISNUMBER(AO41),AO40+AO41,"")</f>
        <v/>
      </c>
      <c r="AP42" s="173">
        <f>IF(ISNUMBER(AP41),AP40+AP41,"")</f>
        <v/>
      </c>
      <c r="AQ42" s="173">
        <f>IF(ISNUMBER(AQ41),AQ40+AQ41,"")</f>
        <v/>
      </c>
      <c r="AR42" s="173">
        <f>IF(ISNUMBER(AR41),AR40+AR41,"")</f>
        <v/>
      </c>
      <c r="AS42" s="175">
        <f>IF(ISNUMBER(AS41),AS40+AS41,"")</f>
        <v/>
      </c>
      <c r="AT42" s="173">
        <f>IF(ISNUMBER(AT41),AT40+AT41,"")</f>
        <v/>
      </c>
      <c r="AU42" s="173">
        <f>IF(ISNUMBER(AU41),AU40+AU41,"")</f>
        <v/>
      </c>
      <c r="AV42" s="173">
        <f>IF(ISNUMBER(AV41),AV40+AV41,"")</f>
        <v/>
      </c>
      <c r="AW42" s="173">
        <f>IF(ISNUMBER(AW41),AW40+AW41,"")</f>
        <v/>
      </c>
      <c r="AX42" s="173">
        <f>IF(ISNUMBER(AX41),AX40+AX41,"")</f>
        <v/>
      </c>
      <c r="AY42" s="175">
        <f>IF(ISNUMBER(AY41),AY40+AY41,"")</f>
        <v/>
      </c>
      <c r="AZ42" s="173">
        <f>IF(ISNUMBER(AZ41),AZ40+AZ41,"")</f>
        <v/>
      </c>
      <c r="BA42" s="173">
        <f>IF(ISNUMBER(BA41),BA40+BA41,"")</f>
        <v/>
      </c>
      <c r="BB42" s="173">
        <f>IF(ISNUMBER(BB41),BB40+BB41,"")</f>
        <v/>
      </c>
      <c r="BC42" s="173">
        <f>IF(ISNUMBER(BC41),BC40+BC41,"")</f>
        <v/>
      </c>
      <c r="BD42" s="173">
        <f>IF(ISNUMBER(BD41),BD40+BD41,"")</f>
        <v/>
      </c>
      <c r="BE42" s="175">
        <f>IF(ISNUMBER(BE41),BE40+BE41,"")</f>
        <v/>
      </c>
      <c r="BF42" s="173">
        <f>IF(ISNUMBER(BF41),BF40+BF41,"")</f>
        <v/>
      </c>
      <c r="BG42" s="173">
        <f>IF(ISNUMBER(BG41),BG40+BG41,"")</f>
        <v/>
      </c>
      <c r="BH42" s="173">
        <f>IF(ISNUMBER(BH41),BH40+BH41,"")</f>
        <v/>
      </c>
      <c r="BI42" s="173">
        <f>IF(ISNUMBER(BI41),BI40+BI41,"")</f>
        <v/>
      </c>
      <c r="BJ42" s="173">
        <f>IF(ISNUMBER(BJ41),BJ40+BJ41,"")</f>
        <v/>
      </c>
      <c r="BK42" s="175">
        <f>IF(ISNUMBER(BK41),BK40+BK41,"")</f>
        <v/>
      </c>
      <c r="BL42" s="173">
        <f>IF(ISNUMBER(BL41),BL40+BL41,"")</f>
        <v/>
      </c>
      <c r="BM42" s="173">
        <f>IF(ISNUMBER(BM41),BM40+BM41,"")</f>
        <v/>
      </c>
      <c r="BN42" s="173">
        <f>IF(ISNUMBER(BN41),BN40+BN41,"")</f>
        <v/>
      </c>
      <c r="BO42" s="173">
        <f>IF(ISNUMBER(BO41),BO40+BO41,"")</f>
        <v/>
      </c>
      <c r="BP42" s="173">
        <f>IF(ISNUMBER(BP41),BP40+BP41,"")</f>
        <v/>
      </c>
      <c r="BQ42" s="175">
        <f>IF(ISNUMBER(BQ41),BQ40+BQ41,"")</f>
        <v/>
      </c>
      <c r="BR42" s="173">
        <f>IF(ISNUMBER(BR41),BR40+BR41,"")</f>
        <v/>
      </c>
      <c r="BS42" s="173">
        <f>IF(ISNUMBER(BS41),BS40+BS41,"")</f>
        <v/>
      </c>
      <c r="BT42" s="173">
        <f>IF(ISNUMBER(BT41),BT40+BT41,"")</f>
        <v/>
      </c>
      <c r="BU42" s="173">
        <f>IF(ISNUMBER(BU41),BU40+BU41,"")</f>
        <v/>
      </c>
      <c r="BV42" s="173">
        <f>IF(ISNUMBER(BV41),BV40+BV41,"")</f>
        <v/>
      </c>
      <c r="BW42" s="175">
        <f>IF(ISNUMBER(BW41),BW40+BW41,"")</f>
        <v/>
      </c>
      <c r="BX42" s="173">
        <f>IF(ISNUMBER(BX41),BX40+BX41,"")</f>
        <v/>
      </c>
      <c r="BY42" s="173">
        <f>IF(ISNUMBER(BY41),BY40+BY41,"")</f>
        <v/>
      </c>
      <c r="BZ42" s="173">
        <f>IF(ISNUMBER(BZ41),BZ40+BZ41,"")</f>
        <v/>
      </c>
      <c r="CA42" s="173">
        <f>IF(ISNUMBER(CA41),CA40+CA41,"")</f>
        <v/>
      </c>
      <c r="CB42" s="173">
        <f>IF(ISNUMBER(CB41),CB40+CB41,"")</f>
        <v/>
      </c>
      <c r="CC42" s="175">
        <f>IF(ISNUMBER(CC41),CC40+CC41,"")</f>
        <v/>
      </c>
      <c r="CD42" s="173">
        <f>IF(ISNUMBER(CD41),CD40+CD41,"")</f>
        <v/>
      </c>
      <c r="CE42" s="173">
        <f>IF(ISNUMBER(CE41),CE40+CE41,"")</f>
        <v/>
      </c>
      <c r="CF42" s="173">
        <f>IF(ISNUMBER(CF41),CF40+CF41,"")</f>
        <v/>
      </c>
      <c r="CG42" s="173">
        <f>IF(ISNUMBER(CG41),CG40+CG41,"")</f>
        <v/>
      </c>
      <c r="CH42" s="173">
        <f>IF(ISNUMBER(CH41),CH40+CH41,"")</f>
        <v/>
      </c>
      <c r="CI42" s="175">
        <f>IF(ISNUMBER(CI41),CI40+CI41,"")</f>
        <v/>
      </c>
      <c r="CJ42" s="173">
        <f>IF(ISNUMBER(CJ41),CJ40+CJ41,"")</f>
        <v/>
      </c>
      <c r="CK42" s="173">
        <f>IF(ISNUMBER(CK41),CK40+CK41,"")</f>
        <v/>
      </c>
      <c r="CL42" s="173">
        <f>IF(ISNUMBER(CL41),CL40+CL41,"")</f>
        <v/>
      </c>
      <c r="CM42" s="175">
        <f>CM38*CM46</f>
        <v/>
      </c>
      <c r="CN42" s="175">
        <f>CN38*CN46</f>
        <v/>
      </c>
      <c r="CO42" s="175">
        <f>SUM(CJ42,CK42,CM42,CN42)</f>
        <v/>
      </c>
      <c r="CP42" s="175">
        <f>CP38*CP46</f>
        <v/>
      </c>
      <c r="CQ42" s="175">
        <f>CQ38*CQ46</f>
        <v/>
      </c>
      <c r="CR42" s="175">
        <f>CR38*CR46</f>
        <v/>
      </c>
      <c r="CS42" s="175">
        <f>CS38*CS46</f>
        <v/>
      </c>
      <c r="CT42" s="22" t="n"/>
      <c r="CV42" s="23">
        <f>IFERROR((CS42/CI42)^(1/5)-1,"n/m")</f>
        <v/>
      </c>
      <c r="CW42" s="23">
        <f>IFERROR((CI42/BE42)^(1/5)-1,"n/m")</f>
        <v/>
      </c>
      <c r="CX42" s="23">
        <f>IFERROR((CI42/AA42)^(1/10)-1,"n/m")</f>
        <v/>
      </c>
      <c r="CY42" s="23">
        <f>IFERROR((CI42/C42)^(1/19)-1,"n/m")</f>
        <v/>
      </c>
      <c r="DB42" s="12" t="inlineStr">
        <is>
          <t xml:space="preserve">  2028E</t>
        </is>
      </c>
      <c r="DC42" s="153">
        <f>DD42+$DC$40</f>
        <v/>
      </c>
      <c r="DD42" s="35" t="n">
        <v>0.035</v>
      </c>
      <c r="DE42" s="153">
        <f>DD42+$DE$40</f>
        <v/>
      </c>
    </row>
    <row r="43" ht="15" customHeight="1">
      <c r="B43" s="36" t="inlineStr">
        <is>
          <t xml:space="preserve">  Memo: cash gross profit as published</t>
        </is>
      </c>
      <c r="C43" s="29" t="n"/>
      <c r="D43" s="29" t="n"/>
      <c r="E43" s="29" t="n"/>
      <c r="F43" s="29" t="n"/>
      <c r="G43" s="29" t="n"/>
      <c r="H43" s="29" t="n"/>
      <c r="I43" s="29" t="n"/>
      <c r="J43" s="29" t="n"/>
      <c r="K43" s="29" t="n"/>
      <c r="L43" s="29" t="n"/>
      <c r="M43" s="29" t="n"/>
      <c r="N43" s="29" t="n"/>
      <c r="O43" s="29" t="n"/>
      <c r="P43" s="29" t="n"/>
      <c r="Q43" s="29" t="n"/>
      <c r="R43" s="29" t="n"/>
      <c r="S43" s="29" t="n"/>
      <c r="T43" s="29" t="n"/>
      <c r="U43" s="169" t="n">
        <v>48.8</v>
      </c>
      <c r="V43" s="169" t="n">
        <v>12.7</v>
      </c>
      <c r="W43" s="29" t="n"/>
      <c r="X43" s="29" t="n"/>
      <c r="Y43" s="29" t="n"/>
      <c r="Z43" s="29" t="n"/>
      <c r="AA43" s="169" t="n">
        <v>94.59999999999999</v>
      </c>
      <c r="AB43" s="29" t="n"/>
      <c r="AC43" s="29" t="n"/>
      <c r="AD43" s="29" t="n"/>
      <c r="AE43" s="29" t="n"/>
      <c r="AF43" s="29" t="n"/>
      <c r="AG43" s="29" t="n"/>
      <c r="AH43" s="169" t="n">
        <v>14.3</v>
      </c>
      <c r="AI43" s="29" t="n"/>
      <c r="AJ43" s="29" t="n"/>
      <c r="AK43" s="29" t="n"/>
      <c r="AL43" s="29" t="n"/>
      <c r="AM43" s="29" t="n"/>
      <c r="AN43" s="169" t="n">
        <v>7.2</v>
      </c>
      <c r="AO43" s="29" t="n"/>
      <c r="AP43" s="29" t="n"/>
      <c r="AQ43" s="29" t="n"/>
      <c r="AR43" s="29" t="n"/>
      <c r="AS43" s="29" t="n"/>
      <c r="AT43" s="29" t="n"/>
      <c r="AU43" s="29" t="n"/>
      <c r="AV43" s="29" t="n"/>
      <c r="AW43" s="29" t="n"/>
      <c r="AX43" s="29" t="n"/>
      <c r="AY43" s="29" t="n"/>
      <c r="AZ43" s="30" t="n"/>
      <c r="BA43" s="30" t="n"/>
      <c r="BB43" s="29" t="n"/>
      <c r="BC43" s="30" t="n"/>
      <c r="BD43" s="30" t="n"/>
      <c r="BE43" s="30" t="n"/>
      <c r="BF43" s="30" t="n"/>
      <c r="BG43" s="30" t="n"/>
      <c r="BH43" s="29" t="n"/>
      <c r="BI43" s="30" t="n"/>
      <c r="BJ43" s="30" t="n"/>
      <c r="BK43" s="30" t="n"/>
      <c r="BL43" s="30" t="n"/>
      <c r="BM43" s="30" t="n"/>
      <c r="BN43" s="29" t="n"/>
      <c r="BO43" s="30" t="n"/>
      <c r="BP43" s="169" t="n">
        <v>26.2</v>
      </c>
      <c r="BQ43" s="169" t="n">
        <v>92.40000000000001</v>
      </c>
      <c r="BR43" s="169" t="n">
        <v>9.800000000000001</v>
      </c>
      <c r="BS43" s="169" t="n">
        <v>65.5</v>
      </c>
      <c r="BT43" s="170">
        <f>BR43+BS43</f>
        <v/>
      </c>
      <c r="BU43" s="169" t="n">
        <v>64.7</v>
      </c>
      <c r="BV43" s="169" t="n">
        <v>45.2</v>
      </c>
      <c r="BW43" s="169" t="n">
        <v>185.2</v>
      </c>
      <c r="BX43" s="169" t="n">
        <v>13.6</v>
      </c>
      <c r="BY43" s="169" t="n">
        <v>70</v>
      </c>
      <c r="BZ43" s="170">
        <f>BX43+BY43</f>
        <v/>
      </c>
      <c r="CA43" s="169" t="n">
        <v>72.2</v>
      </c>
      <c r="CB43" s="169" t="n">
        <v>58.5</v>
      </c>
      <c r="CC43" s="169" t="n">
        <v>214.2</v>
      </c>
      <c r="CD43" s="169" t="n">
        <v>16.8</v>
      </c>
      <c r="CE43" s="169" t="n">
        <v>71.2</v>
      </c>
      <c r="CF43" s="170">
        <f>CD43+CE43</f>
        <v/>
      </c>
      <c r="CG43" s="169" t="n">
        <v>83.90000000000001</v>
      </c>
      <c r="CH43" s="169" t="n">
        <v>51.8</v>
      </c>
      <c r="CI43" s="169" t="n">
        <v>223.7</v>
      </c>
      <c r="CJ43" s="169" t="n">
        <v>23.4</v>
      </c>
      <c r="CK43" s="169" t="n">
        <v>61</v>
      </c>
      <c r="CL43" s="170">
        <f>CJ43+CK43</f>
        <v/>
      </c>
      <c r="CM43" s="31" t="n"/>
      <c r="CN43" s="31" t="n"/>
      <c r="CO43" s="31" t="n"/>
      <c r="CP43" s="31" t="n"/>
      <c r="CQ43" s="31" t="n"/>
      <c r="CR43" s="31" t="n"/>
      <c r="CS43" s="31" t="n"/>
      <c r="CT43" s="22" t="n"/>
      <c r="CV43" s="6" t="n"/>
      <c r="CW43" s="6" t="n"/>
      <c r="CX43" s="6" t="n"/>
      <c r="CY43" s="6" t="n"/>
      <c r="DB43" s="12" t="inlineStr">
        <is>
          <t xml:space="preserve">  2029E</t>
        </is>
      </c>
      <c r="DC43" s="153">
        <f>DD43+$DC$40</f>
        <v/>
      </c>
      <c r="DD43" s="35" t="n">
        <v>0.03</v>
      </c>
      <c r="DE43" s="153">
        <f>DD43+$DE$40</f>
        <v/>
      </c>
    </row>
    <row r="44" ht="15" customHeight="1">
      <c r="B44" s="38" t="inlineStr">
        <is>
          <t xml:space="preserve">  Check: build vs published (should be 0)</t>
        </is>
      </c>
      <c r="C44" s="176">
        <f>IF(ISNUMBER(C43),ROUND(C42-C43,1),"n/p")</f>
        <v/>
      </c>
      <c r="D44" s="176">
        <f>IF(ISNUMBER(D43),ROUND(D42-D43,1),"n/p")</f>
        <v/>
      </c>
      <c r="E44" s="176">
        <f>IF(ISNUMBER(E43),ROUND(E42-E43,1),"n/p")</f>
        <v/>
      </c>
      <c r="F44" s="176">
        <f>IF(ISNUMBER(F43),ROUND(F42-F43,1),"n/p")</f>
        <v/>
      </c>
      <c r="G44" s="176">
        <f>IF(ISNUMBER(G43),ROUND(G42-G43,1),"n/p")</f>
        <v/>
      </c>
      <c r="H44" s="176">
        <f>IF(ISNUMBER(H43),ROUND(H42-H43,1),"n/p")</f>
        <v/>
      </c>
      <c r="I44" s="176">
        <f>IF(ISNUMBER(I43),ROUND(I42-I43,1),"n/p")</f>
        <v/>
      </c>
      <c r="J44" s="176">
        <f>IF(ISNUMBER(J43),ROUND(J42-J43,1),"n/p")</f>
        <v/>
      </c>
      <c r="K44" s="176">
        <f>IF(ISNUMBER(K43),ROUND(K42-K43,1),"n/p")</f>
        <v/>
      </c>
      <c r="L44" s="176">
        <f>IF(ISNUMBER(L43),ROUND(L42-L43,1),"n/p")</f>
        <v/>
      </c>
      <c r="M44" s="176">
        <f>IF(ISNUMBER(M43),ROUND(M42-M43,1),"n/p")</f>
        <v/>
      </c>
      <c r="N44" s="176">
        <f>IF(ISNUMBER(N43),ROUND(N42-N43,1),"n/p")</f>
        <v/>
      </c>
      <c r="O44" s="176">
        <f>IF(ISNUMBER(O43),ROUND(O42-O43,1),"n/p")</f>
        <v/>
      </c>
      <c r="P44" s="176">
        <f>IF(ISNUMBER(P43),ROUND(P42-P43,1),"n/p")</f>
        <v/>
      </c>
      <c r="Q44" s="176">
        <f>IF(ISNUMBER(Q43),ROUND(Q42-Q43,1),"n/p")</f>
        <v/>
      </c>
      <c r="R44" s="176">
        <f>IF(ISNUMBER(R43),ROUND(R42-R43,1),"n/p")</f>
        <v/>
      </c>
      <c r="S44" s="176">
        <f>IF(ISNUMBER(S43),ROUND(S42-S43,1),"n/p")</f>
        <v/>
      </c>
      <c r="T44" s="176">
        <f>IF(ISNUMBER(T43),ROUND(T42-T43,1),"n/p")</f>
        <v/>
      </c>
      <c r="U44" s="176">
        <f>IF(ISNUMBER(U43),ROUND(U42-U43,1),"n/p")</f>
        <v/>
      </c>
      <c r="V44" s="176">
        <f>IF(ISNUMBER(V43),ROUND(V42-V43,1),"n/p")</f>
        <v/>
      </c>
      <c r="W44" s="176">
        <f>IF(ISNUMBER(W43),ROUND(W42-W43,1),"n/p")</f>
        <v/>
      </c>
      <c r="X44" s="176">
        <f>IF(ISNUMBER(X43),ROUND(X42-X43,1),"n/p")</f>
        <v/>
      </c>
      <c r="Y44" s="176">
        <f>IF(ISNUMBER(Y43),ROUND(Y42-Y43,1),"n/p")</f>
        <v/>
      </c>
      <c r="Z44" s="176">
        <f>IF(ISNUMBER(Z43),ROUND(Z42-Z43,1),"n/p")</f>
        <v/>
      </c>
      <c r="AA44" s="176">
        <f>IF(ISNUMBER(AA43),ROUND(AA42-AA43,1),"n/p")</f>
        <v/>
      </c>
      <c r="AB44" s="176">
        <f>IF(ISNUMBER(AB43),ROUND(AB42-AB43,1),"n/p")</f>
        <v/>
      </c>
      <c r="AC44" s="176">
        <f>IF(ISNUMBER(AC43),ROUND(AC42-AC43,1),"n/p")</f>
        <v/>
      </c>
      <c r="AD44" s="176">
        <f>IF(ISNUMBER(AD43),ROUND(AD42-AD43,1),"n/p")</f>
        <v/>
      </c>
      <c r="AE44" s="176">
        <f>IF(ISNUMBER(AE43),ROUND(AE42-AE43,1),"n/p")</f>
        <v/>
      </c>
      <c r="AF44" s="176">
        <f>IF(ISNUMBER(AF43),ROUND(AF42-AF43,1),"n/p")</f>
        <v/>
      </c>
      <c r="AG44" s="176">
        <f>IF(ISNUMBER(AG43),ROUND(AG42-AG43,1),"n/p")</f>
        <v/>
      </c>
      <c r="AH44" s="176">
        <f>IF(ISNUMBER(AH43),ROUND(AH42-AH43,1),"n/p")</f>
        <v/>
      </c>
      <c r="AI44" s="176">
        <f>IF(ISNUMBER(AI43),ROUND(AI42-AI43,1),"n/p")</f>
        <v/>
      </c>
      <c r="AJ44" s="176">
        <f>IF(ISNUMBER(AJ43),ROUND(AJ42-AJ43,1),"n/p")</f>
        <v/>
      </c>
      <c r="AK44" s="176">
        <f>IF(ISNUMBER(AK43),ROUND(AK42-AK43,1),"n/p")</f>
        <v/>
      </c>
      <c r="AL44" s="176">
        <f>IF(ISNUMBER(AL43),ROUND(AL42-AL43,1),"n/p")</f>
        <v/>
      </c>
      <c r="AM44" s="176">
        <f>IF(ISNUMBER(AM43),ROUND(AM42-AM43,1),"n/p")</f>
        <v/>
      </c>
      <c r="AN44" s="176">
        <f>IF(ISNUMBER(AN43),ROUND(AN42-AN43,1),"n/p")</f>
        <v/>
      </c>
      <c r="AO44" s="176">
        <f>IF(ISNUMBER(AO43),ROUND(AO42-AO43,1),"n/p")</f>
        <v/>
      </c>
      <c r="AP44" s="176">
        <f>IF(ISNUMBER(AP43),ROUND(AP42-AP43,1),"n/p")</f>
        <v/>
      </c>
      <c r="AQ44" s="176">
        <f>IF(ISNUMBER(AQ43),ROUND(AQ42-AQ43,1),"n/p")</f>
        <v/>
      </c>
      <c r="AR44" s="176">
        <f>IF(ISNUMBER(AR43),ROUND(AR42-AR43,1),"n/p")</f>
        <v/>
      </c>
      <c r="AS44" s="176">
        <f>IF(ISNUMBER(AS43),ROUND(AS42-AS43,1),"n/p")</f>
        <v/>
      </c>
      <c r="AT44" s="176">
        <f>IF(ISNUMBER(AT43),ROUND(AT42-AT43,1),"n/p")</f>
        <v/>
      </c>
      <c r="AU44" s="176">
        <f>IF(ISNUMBER(AU43),ROUND(AU42-AU43,1),"n/p")</f>
        <v/>
      </c>
      <c r="AV44" s="176">
        <f>IF(ISNUMBER(AV43),ROUND(AV42-AV43,1),"n/p")</f>
        <v/>
      </c>
      <c r="AW44" s="176">
        <f>IF(ISNUMBER(AW43),ROUND(AW42-AW43,1),"n/p")</f>
        <v/>
      </c>
      <c r="AX44" s="176">
        <f>IF(ISNUMBER(AX43),ROUND(AX42-AX43,1),"n/p")</f>
        <v/>
      </c>
      <c r="AY44" s="176">
        <f>IF(ISNUMBER(AY43),ROUND(AY42-AY43,1),"n/p")</f>
        <v/>
      </c>
      <c r="AZ44" s="176">
        <f>IF(ISNUMBER(AZ43),ROUND(AZ42-AZ43,1),"n/p")</f>
        <v/>
      </c>
      <c r="BA44" s="176">
        <f>IF(ISNUMBER(BA43),ROUND(BA42-BA43,1),"n/p")</f>
        <v/>
      </c>
      <c r="BB44" s="176">
        <f>IF(ISNUMBER(BB43),ROUND(BB42-BB43,1),"n/p")</f>
        <v/>
      </c>
      <c r="BC44" s="176">
        <f>IF(ISNUMBER(BC43),ROUND(BC42-BC43,1),"n/p")</f>
        <v/>
      </c>
      <c r="BD44" s="176">
        <f>IF(ISNUMBER(BD43),ROUND(BD42-BD43,1),"n/p")</f>
        <v/>
      </c>
      <c r="BE44" s="176">
        <f>IF(ISNUMBER(BE43),ROUND(BE42-BE43,1),"n/p")</f>
        <v/>
      </c>
      <c r="BF44" s="176">
        <f>IF(ISNUMBER(BF43),ROUND(BF42-BF43,1),"n/p")</f>
        <v/>
      </c>
      <c r="BG44" s="176">
        <f>IF(ISNUMBER(BG43),ROUND(BG42-BG43,1),"n/p")</f>
        <v/>
      </c>
      <c r="BH44" s="176">
        <f>IF(ISNUMBER(BH43),ROUND(BH42-BH43,1),"n/p")</f>
        <v/>
      </c>
      <c r="BI44" s="176">
        <f>IF(ISNUMBER(BI43),ROUND(BI42-BI43,1),"n/p")</f>
        <v/>
      </c>
      <c r="BJ44" s="176">
        <f>IF(ISNUMBER(BJ43),ROUND(BJ42-BJ43,1),"n/p")</f>
        <v/>
      </c>
      <c r="BK44" s="176">
        <f>IF(ISNUMBER(BK43),ROUND(BK42-BK43,1),"n/p")</f>
        <v/>
      </c>
      <c r="BL44" s="176">
        <f>IF(ISNUMBER(BL43),ROUND(BL42-BL43,1),"n/p")</f>
        <v/>
      </c>
      <c r="BM44" s="176">
        <f>IF(ISNUMBER(BM43),ROUND(BM42-BM43,1),"n/p")</f>
        <v/>
      </c>
      <c r="BN44" s="176">
        <f>IF(ISNUMBER(BN43),ROUND(BN42-BN43,1),"n/p")</f>
        <v/>
      </c>
      <c r="BO44" s="176">
        <f>IF(ISNUMBER(BO43),ROUND(BO42-BO43,1),"n/p")</f>
        <v/>
      </c>
      <c r="BP44" s="176">
        <f>IF(ISNUMBER(BP43),ROUND(BP42-BP43,1),"n/p")</f>
        <v/>
      </c>
      <c r="BQ44" s="176">
        <f>IF(ISNUMBER(BQ43),ROUND(BQ42-BQ43,1),"n/p")</f>
        <v/>
      </c>
      <c r="BR44" s="176">
        <f>IF(ISNUMBER(BR43),ROUND(BR42-BR43,1),"n/p")</f>
        <v/>
      </c>
      <c r="BS44" s="176">
        <f>IF(ISNUMBER(BS43),ROUND(BS42-BS43,1),"n/p")</f>
        <v/>
      </c>
      <c r="BT44" s="176">
        <f>IF(ISNUMBER(BT43),ROUND(BT42-BT43,1),"n/p")</f>
        <v/>
      </c>
      <c r="BU44" s="176">
        <f>IF(ISNUMBER(BU43),ROUND(BU42-BU43,1),"n/p")</f>
        <v/>
      </c>
      <c r="BV44" s="176">
        <f>IF(ISNUMBER(BV43),ROUND(BV42-BV43,1),"n/p")</f>
        <v/>
      </c>
      <c r="BW44" s="176">
        <f>IF(ISNUMBER(BW43),ROUND(BW42-BW43,1),"n/p")</f>
        <v/>
      </c>
      <c r="BX44" s="176">
        <f>IF(ISNUMBER(BX43),ROUND(BX42-BX43,1),"n/p")</f>
        <v/>
      </c>
      <c r="BY44" s="176">
        <f>IF(ISNUMBER(BY43),ROUND(BY42-BY43,1),"n/p")</f>
        <v/>
      </c>
      <c r="BZ44" s="176">
        <f>IF(ISNUMBER(BZ43),ROUND(BZ42-BZ43,1),"n/p")</f>
        <v/>
      </c>
      <c r="CA44" s="176">
        <f>IF(ISNUMBER(CA43),ROUND(CA42-CA43,1),"n/p")</f>
        <v/>
      </c>
      <c r="CB44" s="176">
        <f>IF(ISNUMBER(CB43),ROUND(CB42-CB43,1),"n/p")</f>
        <v/>
      </c>
      <c r="CC44" s="176">
        <f>IF(ISNUMBER(CC43),ROUND(CC42-CC43,1),"n/p")</f>
        <v/>
      </c>
      <c r="CD44" s="176">
        <f>IF(ISNUMBER(CD43),ROUND(CD42-CD43,1),"n/p")</f>
        <v/>
      </c>
      <c r="CE44" s="176">
        <f>IF(ISNUMBER(CE43),ROUND(CE42-CE43,1),"n/p")</f>
        <v/>
      </c>
      <c r="CF44" s="176">
        <f>IF(ISNUMBER(CF43),ROUND(CF42-CF43,1),"n/p")</f>
        <v/>
      </c>
      <c r="CG44" s="176">
        <f>IF(ISNUMBER(CG43),ROUND(CG42-CG43,1),"n/p")</f>
        <v/>
      </c>
      <c r="CH44" s="176">
        <f>IF(ISNUMBER(CH43),ROUND(CH42-CH43,1),"n/p")</f>
        <v/>
      </c>
      <c r="CI44" s="176">
        <f>IF(ISNUMBER(CI43),ROUND(CI42-CI43,1),"n/p")</f>
        <v/>
      </c>
      <c r="CJ44" s="176">
        <f>IF(ISNUMBER(CJ43),ROUND(CJ42-CJ43,1),"n/p")</f>
        <v/>
      </c>
      <c r="CK44" s="176">
        <f>IF(ISNUMBER(CK43),ROUND(CK42-CK43,1),"n/p")</f>
        <v/>
      </c>
      <c r="CL44" s="176">
        <f>IF(ISNUMBER(CL43),ROUND(CL42-CL43,1),"n/p")</f>
        <v/>
      </c>
      <c r="CM44" s="31" t="n"/>
      <c r="CN44" s="31" t="n"/>
      <c r="CO44" s="31" t="n"/>
      <c r="CP44" s="31" t="n"/>
      <c r="CQ44" s="31" t="n"/>
      <c r="CR44" s="31" t="n"/>
      <c r="CS44" s="31" t="n"/>
      <c r="CT44" s="22" t="n"/>
      <c r="CV44" s="6" t="n"/>
      <c r="CW44" s="6" t="n"/>
      <c r="CX44" s="6" t="n"/>
      <c r="CY44" s="6" t="n"/>
      <c r="DB44" s="12" t="inlineStr">
        <is>
          <t xml:space="preserve">  2030E</t>
        </is>
      </c>
      <c r="DC44" s="153">
        <f>DD44+$DC$40</f>
        <v/>
      </c>
      <c r="DD44" s="35" t="n">
        <v>0.03</v>
      </c>
      <c r="DE44" s="153">
        <f>DD44+$DE$40</f>
        <v/>
      </c>
    </row>
    <row r="45" ht="15" customHeight="1">
      <c r="B45" s="25" t="inlineStr">
        <is>
          <t xml:space="preserve">  Gross margin %</t>
        </is>
      </c>
      <c r="C45" s="179">
        <f>IFERROR(C40/C38,"")</f>
        <v/>
      </c>
      <c r="D45" s="179">
        <f>IFERROR(D40/D38,"")</f>
        <v/>
      </c>
      <c r="E45" s="179">
        <f>IFERROR(E40/E38,"")</f>
        <v/>
      </c>
      <c r="F45" s="179">
        <f>IFERROR(F40/F38,"")</f>
        <v/>
      </c>
      <c r="G45" s="179">
        <f>IFERROR(G40/G38,"")</f>
        <v/>
      </c>
      <c r="H45" s="179">
        <f>IFERROR(H40/H38,"")</f>
        <v/>
      </c>
      <c r="I45" s="179">
        <f>IFERROR(I40/I38,"")</f>
        <v/>
      </c>
      <c r="J45" s="179">
        <f>IFERROR(J40/J38,"")</f>
        <v/>
      </c>
      <c r="K45" s="179">
        <f>IFERROR(K40/K38,"")</f>
        <v/>
      </c>
      <c r="L45" s="179">
        <f>IFERROR(L40/L38,"")</f>
        <v/>
      </c>
      <c r="M45" s="179">
        <f>IFERROR(M40/M38,"")</f>
        <v/>
      </c>
      <c r="N45" s="179">
        <f>IFERROR(N40/N38,"")</f>
        <v/>
      </c>
      <c r="O45" s="179">
        <f>IFERROR(O40/O38,"")</f>
        <v/>
      </c>
      <c r="P45" s="179">
        <f>IFERROR(P40/P38,"")</f>
        <v/>
      </c>
      <c r="Q45" s="179">
        <f>IFERROR(Q40/Q38,"")</f>
        <v/>
      </c>
      <c r="R45" s="179">
        <f>IFERROR(R40/R38,"")</f>
        <v/>
      </c>
      <c r="S45" s="179">
        <f>IFERROR(S40/S38,"")</f>
        <v/>
      </c>
      <c r="T45" s="179">
        <f>IFERROR(T40/T38,"")</f>
        <v/>
      </c>
      <c r="U45" s="179">
        <f>IFERROR(U40/U38,"")</f>
        <v/>
      </c>
      <c r="V45" s="179">
        <f>IFERROR(V40/V38,"")</f>
        <v/>
      </c>
      <c r="W45" s="179">
        <f>IFERROR(W40/W38,"")</f>
        <v/>
      </c>
      <c r="X45" s="179">
        <f>IFERROR(X40/X38,"")</f>
        <v/>
      </c>
      <c r="Y45" s="179">
        <f>IFERROR(Y40/Y38,"")</f>
        <v/>
      </c>
      <c r="Z45" s="179">
        <f>IFERROR(Z40/Z38,"")</f>
        <v/>
      </c>
      <c r="AA45" s="179">
        <f>IFERROR(AA40/AA38,"")</f>
        <v/>
      </c>
      <c r="AB45" s="179">
        <f>IFERROR(AB40/AB38,"")</f>
        <v/>
      </c>
      <c r="AC45" s="179">
        <f>IFERROR(AC40/AC38,"")</f>
        <v/>
      </c>
      <c r="AD45" s="179">
        <f>IFERROR(AD40/AD38,"")</f>
        <v/>
      </c>
      <c r="AE45" s="179">
        <f>IFERROR(AE40/AE38,"")</f>
        <v/>
      </c>
      <c r="AF45" s="179">
        <f>IFERROR(AF40/AF38,"")</f>
        <v/>
      </c>
      <c r="AG45" s="179">
        <f>IFERROR(AG40/AG38,"")</f>
        <v/>
      </c>
      <c r="AH45" s="179">
        <f>IFERROR(AH40/AH38,"")</f>
        <v/>
      </c>
      <c r="AI45" s="179">
        <f>IFERROR(AI40/AI38,"")</f>
        <v/>
      </c>
      <c r="AJ45" s="179">
        <f>IFERROR(AJ40/AJ38,"")</f>
        <v/>
      </c>
      <c r="AK45" s="179">
        <f>IFERROR(AK40/AK38,"")</f>
        <v/>
      </c>
      <c r="AL45" s="179">
        <f>IFERROR(AL40/AL38,"")</f>
        <v/>
      </c>
      <c r="AM45" s="179">
        <f>IFERROR(AM40/AM38,"")</f>
        <v/>
      </c>
      <c r="AN45" s="179">
        <f>IFERROR(AN40/AN38,"")</f>
        <v/>
      </c>
      <c r="AO45" s="179">
        <f>IFERROR(AO40/AO38,"")</f>
        <v/>
      </c>
      <c r="AP45" s="179">
        <f>IFERROR(AP40/AP38,"")</f>
        <v/>
      </c>
      <c r="AQ45" s="179">
        <f>IFERROR(AQ40/AQ38,"")</f>
        <v/>
      </c>
      <c r="AR45" s="179">
        <f>IFERROR(AR40/AR38,"")</f>
        <v/>
      </c>
      <c r="AS45" s="179">
        <f>IFERROR(AS40/AS38,"")</f>
        <v/>
      </c>
      <c r="AT45" s="179">
        <f>IFERROR(AT40/AT38,"")</f>
        <v/>
      </c>
      <c r="AU45" s="179">
        <f>IFERROR(AU40/AU38,"")</f>
        <v/>
      </c>
      <c r="AV45" s="179">
        <f>IFERROR(AV40/AV38,"")</f>
        <v/>
      </c>
      <c r="AW45" s="179">
        <f>IFERROR(AW40/AW38,"")</f>
        <v/>
      </c>
      <c r="AX45" s="179">
        <f>IFERROR(AX40/AX38,"")</f>
        <v/>
      </c>
      <c r="AY45" s="179">
        <f>IFERROR(AY40/AY38,"")</f>
        <v/>
      </c>
      <c r="AZ45" s="179">
        <f>IFERROR(AZ40/AZ38,"")</f>
        <v/>
      </c>
      <c r="BA45" s="179">
        <f>IFERROR(BA40/BA38,"")</f>
        <v/>
      </c>
      <c r="BB45" s="179">
        <f>IFERROR(BB40/BB38,"")</f>
        <v/>
      </c>
      <c r="BC45" s="179">
        <f>IFERROR(BC40/BC38,"")</f>
        <v/>
      </c>
      <c r="BD45" s="179">
        <f>IFERROR(BD40/BD38,"")</f>
        <v/>
      </c>
      <c r="BE45" s="179">
        <f>IFERROR(BE40/BE38,"")</f>
        <v/>
      </c>
      <c r="BF45" s="179">
        <f>IFERROR(BF40/BF38,"")</f>
        <v/>
      </c>
      <c r="BG45" s="179">
        <f>IFERROR(BG40/BG38,"")</f>
        <v/>
      </c>
      <c r="BH45" s="179">
        <f>IFERROR(BH40/BH38,"")</f>
        <v/>
      </c>
      <c r="BI45" s="179">
        <f>IFERROR(BI40/BI38,"")</f>
        <v/>
      </c>
      <c r="BJ45" s="179">
        <f>IFERROR(BJ40/BJ38,"")</f>
        <v/>
      </c>
      <c r="BK45" s="179">
        <f>IFERROR(BK40/BK38,"")</f>
        <v/>
      </c>
      <c r="BL45" s="179">
        <f>IFERROR(BL40/BL38,"")</f>
        <v/>
      </c>
      <c r="BM45" s="179">
        <f>IFERROR(BM40/BM38,"")</f>
        <v/>
      </c>
      <c r="BN45" s="179">
        <f>IFERROR(BN40/BN38,"")</f>
        <v/>
      </c>
      <c r="BO45" s="179">
        <f>IFERROR(BO40/BO38,"")</f>
        <v/>
      </c>
      <c r="BP45" s="179">
        <f>IFERROR(BP40/BP38,"")</f>
        <v/>
      </c>
      <c r="BQ45" s="179">
        <f>IFERROR(BQ40/BQ38,"")</f>
        <v/>
      </c>
      <c r="BR45" s="179">
        <f>IFERROR(BR40/BR38,"")</f>
        <v/>
      </c>
      <c r="BS45" s="179">
        <f>IFERROR(BS40/BS38,"")</f>
        <v/>
      </c>
      <c r="BT45" s="179">
        <f>IFERROR(BT40/BT38,"")</f>
        <v/>
      </c>
      <c r="BU45" s="179">
        <f>IFERROR(BU40/BU38,"")</f>
        <v/>
      </c>
      <c r="BV45" s="179">
        <f>IFERROR(BV40/BV38,"")</f>
        <v/>
      </c>
      <c r="BW45" s="179">
        <f>IFERROR(BW40/BW38,"")</f>
        <v/>
      </c>
      <c r="BX45" s="179">
        <f>IFERROR(BX40/BX38,"")</f>
        <v/>
      </c>
      <c r="BY45" s="179">
        <f>IFERROR(BY40/BY38,"")</f>
        <v/>
      </c>
      <c r="BZ45" s="179">
        <f>IFERROR(BZ40/BZ38,"")</f>
        <v/>
      </c>
      <c r="CA45" s="179">
        <f>IFERROR(CA40/CA38,"")</f>
        <v/>
      </c>
      <c r="CB45" s="179">
        <f>IFERROR(CB40/CB38,"")</f>
        <v/>
      </c>
      <c r="CC45" s="179">
        <f>IFERROR(CC40/CC38,"")</f>
        <v/>
      </c>
      <c r="CD45" s="179">
        <f>IFERROR(CD40/CD38,"")</f>
        <v/>
      </c>
      <c r="CE45" s="179">
        <f>IFERROR(CE40/CE38,"")</f>
        <v/>
      </c>
      <c r="CF45" s="179">
        <f>IFERROR(CF40/CF38,"")</f>
        <v/>
      </c>
      <c r="CG45" s="179">
        <f>IFERROR(CG40/CG38,"")</f>
        <v/>
      </c>
      <c r="CH45" s="179">
        <f>IFERROR(CH40/CH38,"")</f>
        <v/>
      </c>
      <c r="CI45" s="179">
        <f>IFERROR(CI40/CI38,"")</f>
        <v/>
      </c>
      <c r="CJ45" s="179">
        <f>IFERROR(CJ40/CJ38,"")</f>
        <v/>
      </c>
      <c r="CK45" s="179">
        <f>IFERROR(CK40/CK38,"")</f>
        <v/>
      </c>
      <c r="CL45" s="179">
        <f>IFERROR(CL40/CL38,"")</f>
        <v/>
      </c>
      <c r="CM45" s="165">
        <f>IFERROR(CM40/CM38,"")</f>
        <v/>
      </c>
      <c r="CN45" s="165">
        <f>IFERROR(CN40/CN38,"")</f>
        <v/>
      </c>
      <c r="CO45" s="165">
        <f>IFERROR(CO40/CO38,"")</f>
        <v/>
      </c>
      <c r="CP45" s="165">
        <f>IFERROR(CP40/CP38,"")</f>
        <v/>
      </c>
      <c r="CQ45" s="165">
        <f>IFERROR(CQ40/CQ38,"")</f>
        <v/>
      </c>
      <c r="CR45" s="165">
        <f>IFERROR(CR40/CR38,"")</f>
        <v/>
      </c>
      <c r="CS45" s="165">
        <f>IFERROR(CS40/CS38,"")</f>
        <v/>
      </c>
      <c r="CT45" s="22" t="n"/>
      <c r="CV45" s="40" t="n"/>
      <c r="CW45" s="40" t="n"/>
      <c r="CX45" s="40" t="n"/>
      <c r="CY45" s="40" t="n"/>
    </row>
    <row r="46" ht="15" customHeight="1">
      <c r="B46" s="25" t="inlineStr">
        <is>
          <t xml:space="preserve">  Cash gross profit margin %</t>
        </is>
      </c>
      <c r="C46" s="179">
        <f>IFERROR(C42/C38,"")</f>
        <v/>
      </c>
      <c r="D46" s="179">
        <f>IFERROR(D42/D38,"")</f>
        <v/>
      </c>
      <c r="E46" s="179">
        <f>IFERROR(E42/E38,"")</f>
        <v/>
      </c>
      <c r="F46" s="179">
        <f>IFERROR(F42/F38,"")</f>
        <v/>
      </c>
      <c r="G46" s="179">
        <f>IFERROR(G42/G38,"")</f>
        <v/>
      </c>
      <c r="H46" s="179">
        <f>IFERROR(H42/H38,"")</f>
        <v/>
      </c>
      <c r="I46" s="179">
        <f>IFERROR(I42/I38,"")</f>
        <v/>
      </c>
      <c r="J46" s="179">
        <f>IFERROR(J42/J38,"")</f>
        <v/>
      </c>
      <c r="K46" s="179">
        <f>IFERROR(K42/K38,"")</f>
        <v/>
      </c>
      <c r="L46" s="179">
        <f>IFERROR(L42/L38,"")</f>
        <v/>
      </c>
      <c r="M46" s="179">
        <f>IFERROR(M42/M38,"")</f>
        <v/>
      </c>
      <c r="N46" s="179">
        <f>IFERROR(N42/N38,"")</f>
        <v/>
      </c>
      <c r="O46" s="179">
        <f>IFERROR(O42/O38,"")</f>
        <v/>
      </c>
      <c r="P46" s="179">
        <f>IFERROR(P42/P38,"")</f>
        <v/>
      </c>
      <c r="Q46" s="179">
        <f>IFERROR(Q42/Q38,"")</f>
        <v/>
      </c>
      <c r="R46" s="179">
        <f>IFERROR(R42/R38,"")</f>
        <v/>
      </c>
      <c r="S46" s="179">
        <f>IFERROR(S42/S38,"")</f>
        <v/>
      </c>
      <c r="T46" s="179">
        <f>IFERROR(T42/T38,"")</f>
        <v/>
      </c>
      <c r="U46" s="179">
        <f>IFERROR(U42/U38,"")</f>
        <v/>
      </c>
      <c r="V46" s="179">
        <f>IFERROR(V42/V38,"")</f>
        <v/>
      </c>
      <c r="W46" s="179">
        <f>IFERROR(W42/W38,"")</f>
        <v/>
      </c>
      <c r="X46" s="179">
        <f>IFERROR(X42/X38,"")</f>
        <v/>
      </c>
      <c r="Y46" s="179">
        <f>IFERROR(Y42/Y38,"")</f>
        <v/>
      </c>
      <c r="Z46" s="179">
        <f>IFERROR(Z42/Z38,"")</f>
        <v/>
      </c>
      <c r="AA46" s="179">
        <f>IFERROR(AA42/AA38,"")</f>
        <v/>
      </c>
      <c r="AB46" s="179">
        <f>IFERROR(AB42/AB38,"")</f>
        <v/>
      </c>
      <c r="AC46" s="179">
        <f>IFERROR(AC42/AC38,"")</f>
        <v/>
      </c>
      <c r="AD46" s="179">
        <f>IFERROR(AD42/AD38,"")</f>
        <v/>
      </c>
      <c r="AE46" s="179">
        <f>IFERROR(AE42/AE38,"")</f>
        <v/>
      </c>
      <c r="AF46" s="179">
        <f>IFERROR(AF42/AF38,"")</f>
        <v/>
      </c>
      <c r="AG46" s="179">
        <f>IFERROR(AG42/AG38,"")</f>
        <v/>
      </c>
      <c r="AH46" s="179">
        <f>IFERROR(AH42/AH38,"")</f>
        <v/>
      </c>
      <c r="AI46" s="179">
        <f>IFERROR(AI42/AI38,"")</f>
        <v/>
      </c>
      <c r="AJ46" s="179">
        <f>IFERROR(AJ42/AJ38,"")</f>
        <v/>
      </c>
      <c r="AK46" s="179">
        <f>IFERROR(AK42/AK38,"")</f>
        <v/>
      </c>
      <c r="AL46" s="179">
        <f>IFERROR(AL42/AL38,"")</f>
        <v/>
      </c>
      <c r="AM46" s="179">
        <f>IFERROR(AM42/AM38,"")</f>
        <v/>
      </c>
      <c r="AN46" s="179">
        <f>IFERROR(AN42/AN38,"")</f>
        <v/>
      </c>
      <c r="AO46" s="179">
        <f>IFERROR(AO42/AO38,"")</f>
        <v/>
      </c>
      <c r="AP46" s="179">
        <f>IFERROR(AP42/AP38,"")</f>
        <v/>
      </c>
      <c r="AQ46" s="179">
        <f>IFERROR(AQ42/AQ38,"")</f>
        <v/>
      </c>
      <c r="AR46" s="179">
        <f>IFERROR(AR42/AR38,"")</f>
        <v/>
      </c>
      <c r="AS46" s="179">
        <f>IFERROR(AS42/AS38,"")</f>
        <v/>
      </c>
      <c r="AT46" s="179">
        <f>IFERROR(AT42/AT38,"")</f>
        <v/>
      </c>
      <c r="AU46" s="179">
        <f>IFERROR(AU42/AU38,"")</f>
        <v/>
      </c>
      <c r="AV46" s="179">
        <f>IFERROR(AV42/AV38,"")</f>
        <v/>
      </c>
      <c r="AW46" s="179">
        <f>IFERROR(AW42/AW38,"")</f>
        <v/>
      </c>
      <c r="AX46" s="179">
        <f>IFERROR(AX42/AX38,"")</f>
        <v/>
      </c>
      <c r="AY46" s="179">
        <f>IFERROR(AY42/AY38,"")</f>
        <v/>
      </c>
      <c r="AZ46" s="179">
        <f>IFERROR(AZ42/AZ38,"")</f>
        <v/>
      </c>
      <c r="BA46" s="179">
        <f>IFERROR(BA42/BA38,"")</f>
        <v/>
      </c>
      <c r="BB46" s="179">
        <f>IFERROR(BB42/BB38,"")</f>
        <v/>
      </c>
      <c r="BC46" s="179">
        <f>IFERROR(BC42/BC38,"")</f>
        <v/>
      </c>
      <c r="BD46" s="179">
        <f>IFERROR(BD42/BD38,"")</f>
        <v/>
      </c>
      <c r="BE46" s="179">
        <f>IFERROR(BE42/BE38,"")</f>
        <v/>
      </c>
      <c r="BF46" s="179">
        <f>IFERROR(BF42/BF38,"")</f>
        <v/>
      </c>
      <c r="BG46" s="179">
        <f>IFERROR(BG42/BG38,"")</f>
        <v/>
      </c>
      <c r="BH46" s="179">
        <f>IFERROR(BH42/BH38,"")</f>
        <v/>
      </c>
      <c r="BI46" s="179">
        <f>IFERROR(BI42/BI38,"")</f>
        <v/>
      </c>
      <c r="BJ46" s="179">
        <f>IFERROR(BJ42/BJ38,"")</f>
        <v/>
      </c>
      <c r="BK46" s="179">
        <f>IFERROR(BK42/BK38,"")</f>
        <v/>
      </c>
      <c r="BL46" s="179">
        <f>IFERROR(BL42/BL38,"")</f>
        <v/>
      </c>
      <c r="BM46" s="179">
        <f>IFERROR(BM42/BM38,"")</f>
        <v/>
      </c>
      <c r="BN46" s="179">
        <f>IFERROR(BN42/BN38,"")</f>
        <v/>
      </c>
      <c r="BO46" s="179">
        <f>IFERROR(BO42/BO38,"")</f>
        <v/>
      </c>
      <c r="BP46" s="179">
        <f>IFERROR(BP42/BP38,"")</f>
        <v/>
      </c>
      <c r="BQ46" s="179">
        <f>IFERROR(BQ42/BQ38,"")</f>
        <v/>
      </c>
      <c r="BR46" s="179">
        <f>IFERROR(BR42/BR38,"")</f>
        <v/>
      </c>
      <c r="BS46" s="179">
        <f>IFERROR(BS42/BS38,"")</f>
        <v/>
      </c>
      <c r="BT46" s="179">
        <f>IFERROR(BT42/BT38,"")</f>
        <v/>
      </c>
      <c r="BU46" s="179">
        <f>IFERROR(BU42/BU38,"")</f>
        <v/>
      </c>
      <c r="BV46" s="179">
        <f>IFERROR(BV42/BV38,"")</f>
        <v/>
      </c>
      <c r="BW46" s="179">
        <f>IFERROR(BW42/BW38,"")</f>
        <v/>
      </c>
      <c r="BX46" s="179">
        <f>IFERROR(BX42/BX38,"")</f>
        <v/>
      </c>
      <c r="BY46" s="179">
        <f>IFERROR(BY42/BY38,"")</f>
        <v/>
      </c>
      <c r="BZ46" s="179">
        <f>IFERROR(BZ42/BZ38,"")</f>
        <v/>
      </c>
      <c r="CA46" s="179">
        <f>IFERROR(CA42/CA38,"")</f>
        <v/>
      </c>
      <c r="CB46" s="179">
        <f>IFERROR(CB42/CB38,"")</f>
        <v/>
      </c>
      <c r="CC46" s="179">
        <f>IFERROR(CC42/CC38,"")</f>
        <v/>
      </c>
      <c r="CD46" s="179">
        <f>IFERROR(CD42/CD38,"")</f>
        <v/>
      </c>
      <c r="CE46" s="179">
        <f>IFERROR(CE42/CE38,"")</f>
        <v/>
      </c>
      <c r="CF46" s="179">
        <f>IFERROR(CF42/CF38,"")</f>
        <v/>
      </c>
      <c r="CG46" s="179">
        <f>IFERROR(CG42/CG38,"")</f>
        <v/>
      </c>
      <c r="CH46" s="179">
        <f>IFERROR(CH42/CH38,"")</f>
        <v/>
      </c>
      <c r="CI46" s="179">
        <f>IFERROR(CI42/CI38,"")</f>
        <v/>
      </c>
      <c r="CJ46" s="179">
        <f>IFERROR(CJ42/CJ38,"")</f>
        <v/>
      </c>
      <c r="CK46" s="179">
        <f>IFERROR(CK42/CK38,"")</f>
        <v/>
      </c>
      <c r="CL46" s="179">
        <f>IFERROR(CL42/CL38,"")</f>
        <v/>
      </c>
      <c r="CM46" s="165">
        <f>CG46+$CL$46-$CF$46</f>
        <v/>
      </c>
      <c r="CN46" s="165">
        <f>CH46+$CL$46-$CF$46</f>
        <v/>
      </c>
      <c r="CO46" s="165">
        <f>IFERROR(CO42/CO38,"")</f>
        <v/>
      </c>
      <c r="CP46" s="165">
        <f>CHOOSE(MATCH($CT$2,{"Bull","Base","Bear"},0),$DC$53,$DD$53,$DE$53)</f>
        <v/>
      </c>
      <c r="CQ46" s="165">
        <f>CHOOSE(MATCH($CT$2,{"Bull","Base","Bear"},0),$DC$54,$DD$54,$DE$54)</f>
        <v/>
      </c>
      <c r="CR46" s="165">
        <f>CHOOSE(MATCH($CT$2,{"Bull","Base","Bear"},0),$DC$55,$DD$55,$DE$55)</f>
        <v/>
      </c>
      <c r="CS46" s="165">
        <f>CHOOSE(MATCH($CT$2,{"Bull","Base","Bear"},0),$DC$56,$DD$56,$DE$56)</f>
        <v/>
      </c>
      <c r="CT46" s="22" t="inlineStr">
        <is>
          <t>Q3/Q4-26E: prior-year quarter margin + 1H/26 vs 1H/25 change. 2027E+: scenario lever (ASPH_cashMargin).</t>
        </is>
      </c>
      <c r="CV46" s="40">
        <f>IFERROR(AVERAGE(CO46,CP46,CQ46,CR46,CS46),"n/m")</f>
        <v/>
      </c>
      <c r="CW46" s="40">
        <f>IFERROR(AVERAGE(BK46,BQ46,BW46,CC46,CI46),"n/m")</f>
        <v/>
      </c>
      <c r="CX46" s="40">
        <f>IFERROR(AVERAGE(AG46,AM46,AS46,AY46,BE46,BK46,BQ46,BW46,CC46,CI46),"n/m")</f>
        <v/>
      </c>
      <c r="CY46" s="40">
        <f>IFERROR(AVERAGE(C46,D46,E46,F46,G46,H46,I46,O46,U46,AA46,AG46,AM46,AS46,AY46,BE46,BK46,BQ46,BW46,CC46,CI46),"n/m")</f>
        <v/>
      </c>
      <c r="DB46" s="17" t="inlineStr">
        <is>
          <t>ASPH_growth (asphalt segment revenues y/y)</t>
        </is>
      </c>
      <c r="DC46" s="41" t="n">
        <v>0.02</v>
      </c>
      <c r="DD46" s="24" t="inlineStr">
        <is>
          <t>Δ →</t>
        </is>
      </c>
      <c r="DE46" s="41" t="n">
        <v>-0.03</v>
      </c>
      <c r="DF46" s="15" t="inlineStr">
        <is>
          <t>Arizona / California / Texas / Tennessee paving; liquid-asphalt pass-through.</t>
        </is>
      </c>
    </row>
    <row r="47" ht="15" customHeight="1">
      <c r="B47" s="46" t="inlineStr">
        <is>
          <t xml:space="preserve">  Divested operations share of prior-year quarter revenues (input)</t>
        </is>
      </c>
      <c r="C47" s="47" t="n"/>
      <c r="D47" s="47" t="n"/>
      <c r="E47" s="47" t="n"/>
      <c r="F47" s="47" t="n"/>
      <c r="G47" s="47" t="n"/>
      <c r="H47" s="47" t="n"/>
      <c r="I47" s="47" t="n"/>
      <c r="J47" s="47" t="n"/>
      <c r="K47" s="47" t="n"/>
      <c r="L47" s="47" t="n"/>
      <c r="M47" s="47" t="n"/>
      <c r="N47" s="47" t="n"/>
      <c r="O47" s="47" t="n"/>
      <c r="P47" s="47" t="n"/>
      <c r="Q47" s="47" t="n"/>
      <c r="R47" s="47" t="n"/>
      <c r="S47" s="47" t="n"/>
      <c r="T47" s="47" t="n"/>
      <c r="U47" s="47" t="n"/>
      <c r="V47" s="47" t="n"/>
      <c r="W47" s="47" t="n"/>
      <c r="X47" s="47" t="n"/>
      <c r="Y47" s="47" t="n"/>
      <c r="Z47" s="47" t="n"/>
      <c r="AA47" s="47" t="n"/>
      <c r="AB47" s="47" t="n"/>
      <c r="AC47" s="47" t="n"/>
      <c r="AD47" s="47" t="n"/>
      <c r="AE47" s="47" t="n"/>
      <c r="AF47" s="47" t="n"/>
      <c r="AG47" s="47" t="n"/>
      <c r="AH47" s="47" t="n"/>
      <c r="AI47" s="47" t="n"/>
      <c r="AJ47" s="47" t="n"/>
      <c r="AK47" s="47" t="n"/>
      <c r="AL47" s="47" t="n"/>
      <c r="AM47" s="47" t="n"/>
      <c r="AN47" s="47" t="n"/>
      <c r="AO47" s="47" t="n"/>
      <c r="AP47" s="47" t="n"/>
      <c r="AQ47" s="47" t="n"/>
      <c r="AR47" s="47" t="n"/>
      <c r="AS47" s="47" t="n"/>
      <c r="AT47" s="47" t="n"/>
      <c r="AU47" s="47" t="n"/>
      <c r="AV47" s="47" t="n"/>
      <c r="AW47" s="47" t="n"/>
      <c r="AX47" s="47" t="n"/>
      <c r="AY47" s="47" t="n"/>
      <c r="AZ47" s="47" t="n"/>
      <c r="BA47" s="47" t="n"/>
      <c r="BB47" s="47" t="n"/>
      <c r="BC47" s="47" t="n"/>
      <c r="BD47" s="47" t="n"/>
      <c r="BE47" s="47" t="n"/>
      <c r="BF47" s="47" t="n"/>
      <c r="BG47" s="47" t="n"/>
      <c r="BH47" s="47" t="n"/>
      <c r="BI47" s="47" t="n"/>
      <c r="BJ47" s="47" t="n"/>
      <c r="BK47" s="47" t="n"/>
      <c r="BL47" s="47" t="n"/>
      <c r="BM47" s="47" t="n"/>
      <c r="BN47" s="47" t="n"/>
      <c r="BO47" s="47" t="n"/>
      <c r="BP47" s="47" t="n"/>
      <c r="BQ47" s="47" t="n"/>
      <c r="BR47" s="47" t="n"/>
      <c r="BS47" s="47" t="n"/>
      <c r="BT47" s="47" t="n"/>
      <c r="BU47" s="47" t="n"/>
      <c r="BV47" s="47" t="n"/>
      <c r="BW47" s="47" t="n"/>
      <c r="BX47" s="47" t="n"/>
      <c r="BY47" s="47" t="n"/>
      <c r="BZ47" s="47" t="n"/>
      <c r="CA47" s="47" t="n"/>
      <c r="CB47" s="47" t="n"/>
      <c r="CC47" s="47" t="n"/>
      <c r="CD47" s="47" t="n"/>
      <c r="CE47" s="47" t="n"/>
      <c r="CF47" s="47" t="n"/>
      <c r="CG47" s="47" t="n"/>
      <c r="CH47" s="47" t="n"/>
      <c r="CI47" s="47" t="n"/>
      <c r="CJ47" s="47" t="n"/>
      <c r="CK47" s="47" t="n"/>
      <c r="CL47" s="47" t="n"/>
      <c r="CM47" s="182" t="n">
        <v>0.05</v>
      </c>
      <c r="CN47" s="182" t="n">
        <v>0.05</v>
      </c>
      <c r="CO47" s="48" t="n"/>
      <c r="CP47" s="49" t="n"/>
      <c r="CQ47" s="49" t="n"/>
      <c r="CR47" s="49" t="n"/>
      <c r="CS47" s="49" t="n"/>
      <c r="CT47" s="22" t="inlineStr">
        <is>
          <t>Houston asphalt &amp; construction business (sold Q4/25): Q2/26 10-Q attributes the $16m y/y fall in service revenues to the sale (~4–5% of the prior-year quarter) — analyst estimate.</t>
        </is>
      </c>
      <c r="CV47" s="6" t="n"/>
      <c r="CW47" s="6" t="n"/>
      <c r="CX47" s="6" t="n"/>
      <c r="CY47" s="6" t="n"/>
      <c r="DB47" s="12" t="inlineStr">
        <is>
          <t xml:space="preserve">  2027E</t>
        </is>
      </c>
      <c r="DC47" s="153">
        <f>DD47+$DC$46</f>
        <v/>
      </c>
      <c r="DD47" s="35" t="n">
        <v>0.03</v>
      </c>
      <c r="DE47" s="153">
        <f>DD47+$DE$46</f>
        <v/>
      </c>
    </row>
    <row r="48" ht="15" customHeight="1">
      <c r="B48" s="12" t="n"/>
      <c r="CM48" s="6" t="n"/>
      <c r="CN48" s="6" t="n"/>
      <c r="CO48" s="6" t="n"/>
      <c r="CP48" s="6" t="n"/>
      <c r="CQ48" s="6" t="n"/>
      <c r="CR48" s="6" t="n"/>
      <c r="CS48" s="6" t="n"/>
      <c r="CT48" s="6" t="n"/>
      <c r="DB48" s="12" t="inlineStr">
        <is>
          <t xml:space="preserve">  2028E</t>
        </is>
      </c>
      <c r="DC48" s="153">
        <f>DD48+$DC$46</f>
        <v/>
      </c>
      <c r="DD48" s="35" t="n">
        <v>0.03</v>
      </c>
      <c r="DE48" s="153">
        <f>DD48+$DE$46</f>
        <v/>
      </c>
    </row>
    <row r="49" ht="15" customHeight="1">
      <c r="B49" s="16" t="inlineStr">
        <is>
          <t>Concrete (ready-mixed concrete; Virginia / Maryland / DC; California sold Jun-2026)</t>
        </is>
      </c>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c r="CF49" s="16" t="n"/>
      <c r="CG49" s="16" t="n"/>
      <c r="CH49" s="16" t="n"/>
      <c r="CI49" s="16" t="n"/>
      <c r="CJ49" s="16" t="n"/>
      <c r="CK49" s="16" t="n"/>
      <c r="CL49" s="16" t="n"/>
      <c r="CM49" s="16" t="n"/>
      <c r="CN49" s="16" t="n"/>
      <c r="CO49" s="16" t="n"/>
      <c r="CP49" s="16" t="n"/>
      <c r="CQ49" s="16" t="n"/>
      <c r="CR49" s="16" t="n"/>
      <c r="CS49" s="16" t="n"/>
      <c r="CT49" s="17" t="inlineStr">
        <is>
          <t>CONCRETE — modelling logic</t>
        </is>
      </c>
      <c r="DB49" s="12" t="inlineStr">
        <is>
          <t xml:space="preserve">  2029E</t>
        </is>
      </c>
      <c r="DC49" s="153">
        <f>DD49+$DC$46</f>
        <v/>
      </c>
      <c r="DD49" s="35" t="n">
        <v>0.03</v>
      </c>
      <c r="DE49" s="153">
        <f>DD49+$DE$46</f>
        <v/>
      </c>
    </row>
    <row r="50" ht="15" customHeight="1">
      <c r="B50" s="12" t="inlineStr">
        <is>
          <t xml:space="preserve">  Ready-mixed concrete shipments (million cubic yards)</t>
        </is>
      </c>
      <c r="C50" s="181" t="n">
        <v>2.9</v>
      </c>
      <c r="D50" s="181" t="n">
        <v>2.6</v>
      </c>
      <c r="E50" s="181" t="n">
        <v>6.35</v>
      </c>
      <c r="F50" s="181" t="n">
        <v>4.3</v>
      </c>
      <c r="G50" s="181" t="n">
        <v>4.1</v>
      </c>
      <c r="H50" s="181" t="n">
        <v>3.9</v>
      </c>
      <c r="I50" s="181" t="n">
        <v>4.2</v>
      </c>
      <c r="J50" s="181" t="n">
        <v>1</v>
      </c>
      <c r="K50" s="181" t="n">
        <v>1.2</v>
      </c>
      <c r="L50" s="176">
        <f>J50+K50</f>
        <v/>
      </c>
      <c r="M50" s="181" t="n">
        <v>1.3</v>
      </c>
      <c r="N50" s="181" t="n">
        <v>1.2</v>
      </c>
      <c r="O50" s="181" t="n">
        <v>4.8</v>
      </c>
      <c r="P50" s="181" t="n">
        <v>0.958</v>
      </c>
      <c r="Q50" s="181" t="n">
        <v>0.949</v>
      </c>
      <c r="R50" s="176">
        <f>P50+Q50</f>
        <v/>
      </c>
      <c r="S50" s="181" t="n">
        <v>0.978</v>
      </c>
      <c r="T50" s="181" t="n">
        <v>0.847</v>
      </c>
      <c r="U50" s="181" t="n">
        <v>3.732</v>
      </c>
      <c r="V50" s="181" t="n">
        <v>0.573</v>
      </c>
      <c r="W50" s="181" t="n">
        <v>0.743</v>
      </c>
      <c r="X50" s="176">
        <f>V50+W50</f>
        <v/>
      </c>
      <c r="Y50" s="181" t="n">
        <v>0.8129999999999999</v>
      </c>
      <c r="Z50" s="181" t="n">
        <v>0.681</v>
      </c>
      <c r="AA50" s="181" t="n">
        <v>2.81</v>
      </c>
      <c r="AB50" s="181" t="n">
        <v>0.648</v>
      </c>
      <c r="AC50" s="181" t="n">
        <v>0.752</v>
      </c>
      <c r="AD50" s="176">
        <f>AB50+AC50</f>
        <v/>
      </c>
      <c r="AE50" s="181" t="n">
        <v>0.8090000000000001</v>
      </c>
      <c r="AF50" s="181" t="n">
        <v>0.791</v>
      </c>
      <c r="AG50" s="181" t="n">
        <v>3</v>
      </c>
      <c r="AH50" s="30" t="n"/>
      <c r="AI50" s="181" t="n">
        <v>0.91</v>
      </c>
      <c r="AJ50" s="29" t="n"/>
      <c r="AK50" s="181" t="n">
        <v>0.969</v>
      </c>
      <c r="AL50" s="181" t="n">
        <v>0.897</v>
      </c>
      <c r="AM50" s="181" t="n">
        <v>3.568</v>
      </c>
      <c r="AN50" s="181" t="n">
        <v>0.8159999999999999</v>
      </c>
      <c r="AO50" s="181" t="n">
        <v>0.876</v>
      </c>
      <c r="AP50" s="176">
        <f>AN50+AO50</f>
        <v/>
      </c>
      <c r="AQ50" s="181" t="n">
        <v>0.795</v>
      </c>
      <c r="AR50" s="181" t="n">
        <v>0.737</v>
      </c>
      <c r="AS50" s="181" t="n">
        <v>3.223</v>
      </c>
      <c r="AT50" s="181" t="n">
        <v>0.67</v>
      </c>
      <c r="AU50" s="181" t="n">
        <v>0.8149999999999999</v>
      </c>
      <c r="AV50" s="176">
        <f>AT50+AU50</f>
        <v/>
      </c>
      <c r="AW50" s="181" t="n">
        <v>0.875</v>
      </c>
      <c r="AX50" s="181" t="n">
        <v>0.744</v>
      </c>
      <c r="AY50" s="181" t="n">
        <v>3.104</v>
      </c>
      <c r="AZ50" s="181" t="n">
        <v>0.734</v>
      </c>
      <c r="BA50" s="181" t="n">
        <v>0.786</v>
      </c>
      <c r="BB50" s="176">
        <f>AZ50+BA50</f>
        <v/>
      </c>
      <c r="BC50" s="181" t="n">
        <v>0.775</v>
      </c>
      <c r="BD50" s="181" t="n">
        <v>0.656</v>
      </c>
      <c r="BE50" s="181" t="n">
        <v>2.951</v>
      </c>
      <c r="BF50" s="181" t="n">
        <v>0.613</v>
      </c>
      <c r="BG50" s="181" t="n">
        <v>0.731</v>
      </c>
      <c r="BH50" s="176">
        <f>BF50+BG50</f>
        <v/>
      </c>
      <c r="BI50" s="181" t="n">
        <v>1.596</v>
      </c>
      <c r="BJ50" s="181" t="n">
        <v>2.676</v>
      </c>
      <c r="BK50" s="181" t="n">
        <v>5.616</v>
      </c>
      <c r="BL50" s="181" t="n">
        <v>2.5</v>
      </c>
      <c r="BM50" s="181" t="n">
        <v>2.831</v>
      </c>
      <c r="BN50" s="176">
        <f>BL50+BM50</f>
        <v/>
      </c>
      <c r="BO50" s="181" t="n">
        <v>2.924</v>
      </c>
      <c r="BP50" s="181" t="n">
        <v>2.28</v>
      </c>
      <c r="BQ50" s="181" t="n">
        <v>10.534</v>
      </c>
      <c r="BR50" s="181" t="n">
        <v>1.762</v>
      </c>
      <c r="BS50" s="181" t="n">
        <v>2.1</v>
      </c>
      <c r="BT50" s="176">
        <f>BR50+BS50</f>
        <v/>
      </c>
      <c r="BU50" s="181" t="n">
        <v>2.1</v>
      </c>
      <c r="BV50" s="181" t="n">
        <v>1.5</v>
      </c>
      <c r="BW50" s="181" t="n">
        <v>7.5</v>
      </c>
      <c r="BX50" s="181" t="n">
        <v>0.8</v>
      </c>
      <c r="BY50" s="181" t="n">
        <v>0.9</v>
      </c>
      <c r="BZ50" s="176">
        <f>BX50+BY50</f>
        <v/>
      </c>
      <c r="CA50" s="181" t="n">
        <v>0.9</v>
      </c>
      <c r="CB50" s="181" t="n">
        <v>0.9</v>
      </c>
      <c r="CC50" s="181" t="n">
        <v>3.6</v>
      </c>
      <c r="CD50" s="181" t="n">
        <v>0.9</v>
      </c>
      <c r="CE50" s="181" t="n">
        <v>1.2</v>
      </c>
      <c r="CF50" s="176">
        <f>CD50+CE50</f>
        <v/>
      </c>
      <c r="CG50" s="181" t="n">
        <v>1.2</v>
      </c>
      <c r="CH50" s="181" t="n">
        <v>1.1</v>
      </c>
      <c r="CI50" s="181" t="n">
        <v>4.5</v>
      </c>
      <c r="CJ50" s="181" t="n">
        <v>1</v>
      </c>
      <c r="CK50" s="181" t="n">
        <v>1</v>
      </c>
      <c r="CL50" s="176">
        <f>CJ50+CK50</f>
        <v/>
      </c>
      <c r="CM50" s="31" t="n"/>
      <c r="CN50" s="31" t="n"/>
      <c r="CO50" s="31" t="n"/>
      <c r="CP50" s="31" t="n"/>
      <c r="CQ50" s="31" t="n"/>
      <c r="CR50" s="31" t="n"/>
      <c r="CS50" s="31" t="n"/>
      <c r="CT50" s="22" t="n"/>
      <c r="CV50" s="23" t="n"/>
      <c r="CW50" s="23" t="n"/>
      <c r="CX50" s="23" t="n"/>
      <c r="CY50" s="23" t="n"/>
      <c r="DB50" s="12" t="inlineStr">
        <is>
          <t xml:space="preserve">  2030E</t>
        </is>
      </c>
      <c r="DC50" s="153">
        <f>DD50+$DC$46</f>
        <v/>
      </c>
      <c r="DD50" s="35" t="n">
        <v>0.03</v>
      </c>
      <c r="DE50" s="153">
        <f>DD50+$DE$46</f>
        <v/>
      </c>
    </row>
    <row r="51" ht="15" customHeight="1">
      <c r="B51" s="12" t="inlineStr">
        <is>
          <t xml:space="preserve">  Ready-mixed concrete average sales price ($/cubic yard)</t>
        </is>
      </c>
      <c r="C51" s="166" t="n">
        <v>90.37</v>
      </c>
      <c r="D51" s="166" t="n">
        <v>95.56</v>
      </c>
      <c r="E51" s="166" t="n">
        <v>97.78</v>
      </c>
      <c r="F51" s="166" t="n">
        <v>96.53</v>
      </c>
      <c r="G51" s="166" t="n">
        <v>86.95</v>
      </c>
      <c r="H51" s="166" t="n">
        <v>92.16</v>
      </c>
      <c r="I51" s="166" t="n">
        <v>92.19</v>
      </c>
      <c r="J51" s="166" t="n">
        <v>92.02</v>
      </c>
      <c r="K51" s="166" t="n">
        <v>92.40000000000001</v>
      </c>
      <c r="L51" s="29" t="n"/>
      <c r="M51" s="166" t="n">
        <v>94.59999999999999</v>
      </c>
      <c r="N51" s="166" t="n">
        <v>93.12</v>
      </c>
      <c r="O51" s="166" t="n">
        <v>93.09999999999999</v>
      </c>
      <c r="P51" s="166" t="n">
        <v>95.41</v>
      </c>
      <c r="Q51" s="166" t="n">
        <v>98.81999999999999</v>
      </c>
      <c r="R51" s="29" t="n"/>
      <c r="S51" s="166" t="n">
        <v>101.2</v>
      </c>
      <c r="T51" s="166" t="n">
        <v>102.74</v>
      </c>
      <c r="U51" s="166" t="n">
        <v>99.45999999999999</v>
      </c>
      <c r="V51" s="30" t="n"/>
      <c r="W51" s="166" t="n">
        <v>105.79</v>
      </c>
      <c r="X51" s="29" t="n"/>
      <c r="Y51" s="166" t="n">
        <v>108.13</v>
      </c>
      <c r="Z51" s="166" t="n">
        <v>106.96</v>
      </c>
      <c r="AA51" s="166" t="n">
        <v>106.44</v>
      </c>
      <c r="AB51" s="166" t="n">
        <v>108.58</v>
      </c>
      <c r="AC51" s="166" t="n">
        <v>108.06</v>
      </c>
      <c r="AD51" s="29" t="n"/>
      <c r="AE51" s="166" t="n">
        <v>112.64</v>
      </c>
      <c r="AF51" s="166" t="n">
        <v>110.39</v>
      </c>
      <c r="AG51" s="166" t="n">
        <v>110.02</v>
      </c>
      <c r="AH51" s="30" t="n"/>
      <c r="AI51" s="166" t="n">
        <v>115.08</v>
      </c>
      <c r="AJ51" s="29" t="n"/>
      <c r="AK51" s="166" t="n">
        <v>118.53</v>
      </c>
      <c r="AL51" s="166" t="n">
        <v>119.52</v>
      </c>
      <c r="AM51" s="166" t="n">
        <v>116.45</v>
      </c>
      <c r="AN51" s="166" t="n">
        <v>122.47</v>
      </c>
      <c r="AO51" s="166" t="n">
        <v>120.56</v>
      </c>
      <c r="AP51" s="29" t="n"/>
      <c r="AQ51" s="166" t="n">
        <v>126.42</v>
      </c>
      <c r="AR51" s="166" t="n">
        <v>124.34</v>
      </c>
      <c r="AS51" s="166" t="n">
        <v>123.35</v>
      </c>
      <c r="AT51" s="166" t="n">
        <v>123.94</v>
      </c>
      <c r="AU51" s="166" t="n">
        <v>126.12</v>
      </c>
      <c r="AV51" s="29" t="n"/>
      <c r="AW51" s="166" t="n">
        <v>127.99</v>
      </c>
      <c r="AX51" s="166" t="n">
        <v>126.97</v>
      </c>
      <c r="AY51" s="166" t="n">
        <v>126.38</v>
      </c>
      <c r="AZ51" s="166" t="n">
        <v>127.91</v>
      </c>
      <c r="BA51" s="166" t="n">
        <v>127.35</v>
      </c>
      <c r="BB51" s="29" t="n"/>
      <c r="BC51" s="166" t="n">
        <v>131.51</v>
      </c>
      <c r="BD51" s="166" t="n">
        <v>128.93</v>
      </c>
      <c r="BE51" s="166" t="n">
        <v>128.93</v>
      </c>
      <c r="BF51" s="166" t="n">
        <v>131.52</v>
      </c>
      <c r="BG51" s="166" t="n">
        <v>130.61</v>
      </c>
      <c r="BH51" s="29" t="n"/>
      <c r="BI51" s="166" t="n">
        <v>136.29</v>
      </c>
      <c r="BJ51" s="166" t="n">
        <v>137.88</v>
      </c>
      <c r="BK51" s="166" t="n">
        <v>135.79</v>
      </c>
      <c r="BL51" s="166" t="n">
        <v>143.81</v>
      </c>
      <c r="BM51" s="166" t="n">
        <v>148.75</v>
      </c>
      <c r="BN51" s="29" t="n"/>
      <c r="BO51" s="166" t="n">
        <v>153.54</v>
      </c>
      <c r="BP51" s="166" t="n">
        <v>157.58</v>
      </c>
      <c r="BQ51" s="166" t="n">
        <v>150.82</v>
      </c>
      <c r="BR51" s="166" t="n">
        <v>161.25</v>
      </c>
      <c r="BS51" s="166" t="n">
        <v>163.82</v>
      </c>
      <c r="BT51" s="29" t="n"/>
      <c r="BU51" s="166" t="n">
        <v>169.98</v>
      </c>
      <c r="BV51" s="166" t="n">
        <v>173.83</v>
      </c>
      <c r="BW51" s="166" t="n">
        <v>166.95</v>
      </c>
      <c r="BX51" s="166" t="n">
        <v>182.73</v>
      </c>
      <c r="BY51" s="166" t="n">
        <v>180.24</v>
      </c>
      <c r="BZ51" s="29" t="n"/>
      <c r="CA51" s="166" t="n">
        <v>185.61</v>
      </c>
      <c r="CB51" s="166" t="n">
        <v>183.07</v>
      </c>
      <c r="CC51" s="166" t="n">
        <v>182.93</v>
      </c>
      <c r="CD51" s="166" t="n">
        <v>189.38</v>
      </c>
      <c r="CE51" s="166" t="n">
        <v>186.6</v>
      </c>
      <c r="CF51" s="29" t="n"/>
      <c r="CG51" s="166" t="n">
        <v>190.9</v>
      </c>
      <c r="CH51" s="166" t="n">
        <v>188.38</v>
      </c>
      <c r="CI51" s="166" t="n">
        <v>188.82</v>
      </c>
      <c r="CJ51" s="166" t="n">
        <v>190.45</v>
      </c>
      <c r="CK51" s="166" t="n">
        <v>189.94</v>
      </c>
      <c r="CL51" s="29" t="n"/>
      <c r="CM51" s="31" t="n"/>
      <c r="CN51" s="31" t="n"/>
      <c r="CO51" s="31" t="n"/>
      <c r="CP51" s="31" t="n"/>
      <c r="CQ51" s="31" t="n"/>
      <c r="CR51" s="31" t="n"/>
      <c r="CS51" s="31" t="n"/>
      <c r="CT51" s="22" t="n"/>
      <c r="CV51" s="23" t="n"/>
      <c r="CW51" s="23" t="n"/>
      <c r="CX51" s="23" t="n"/>
      <c r="CY51" s="23" t="n"/>
    </row>
    <row r="52" ht="15" customHeight="1">
      <c r="B52" s="18" t="inlineStr">
        <is>
          <t xml:space="preserve">  Segment total revenues</t>
        </is>
      </c>
      <c r="C52" s="172" t="n">
        <v>260.7</v>
      </c>
      <c r="D52" s="19" t="n"/>
      <c r="E52" s="19" t="n"/>
      <c r="F52" s="19" t="n"/>
      <c r="G52" s="172" t="n">
        <v>383.2</v>
      </c>
      <c r="H52" s="172" t="n">
        <v>374.7</v>
      </c>
      <c r="I52" s="172" t="n">
        <v>406.4</v>
      </c>
      <c r="J52" s="172" t="n">
        <v>99.90000000000001</v>
      </c>
      <c r="K52" s="172" t="n">
        <v>120.3</v>
      </c>
      <c r="L52" s="173">
        <f>J52+K52</f>
        <v/>
      </c>
      <c r="M52" s="172" t="n">
        <v>129.8</v>
      </c>
      <c r="N52" s="172" t="n">
        <v>121.8</v>
      </c>
      <c r="O52" s="172" t="n">
        <v>471.7</v>
      </c>
      <c r="P52" s="172" t="n">
        <v>96</v>
      </c>
      <c r="Q52" s="172" t="n">
        <v>93.8</v>
      </c>
      <c r="R52" s="173">
        <f>P52+Q52</f>
        <v/>
      </c>
      <c r="S52" s="172" t="n">
        <v>98.90000000000001</v>
      </c>
      <c r="T52" s="172" t="n">
        <v>87</v>
      </c>
      <c r="U52" s="172" t="n">
        <v>375.8</v>
      </c>
      <c r="V52" s="172" t="n">
        <v>59.8</v>
      </c>
      <c r="W52" s="172" t="n">
        <v>78.59999999999999</v>
      </c>
      <c r="X52" s="173">
        <f>V52+W52</f>
        <v/>
      </c>
      <c r="Y52" s="172" t="n">
        <v>88</v>
      </c>
      <c r="Z52" s="172" t="n">
        <v>72.90000000000001</v>
      </c>
      <c r="AA52" s="172" t="n">
        <v>299.3</v>
      </c>
      <c r="AB52" s="172" t="n">
        <v>70.40000000000001</v>
      </c>
      <c r="AC52" s="172" t="n">
        <v>81.2</v>
      </c>
      <c r="AD52" s="173">
        <f>AB52+AC52</f>
        <v/>
      </c>
      <c r="AE52" s="172" t="n">
        <v>91.09999999999999</v>
      </c>
      <c r="AF52" s="172" t="n">
        <v>87.3</v>
      </c>
      <c r="AG52" s="172" t="n">
        <v>330.1</v>
      </c>
      <c r="AH52" s="172" t="n">
        <v>88.8</v>
      </c>
      <c r="AI52" s="172" t="n">
        <v>105.2</v>
      </c>
      <c r="AJ52" s="173">
        <f>AH52+AI52</f>
        <v/>
      </c>
      <c r="AK52" s="172" t="n">
        <v>115.5</v>
      </c>
      <c r="AL52" s="172" t="n">
        <v>108.3</v>
      </c>
      <c r="AM52" s="172" t="n">
        <v>417.7</v>
      </c>
      <c r="AN52" s="172" t="n">
        <v>101</v>
      </c>
      <c r="AO52" s="172" t="n">
        <v>106.7</v>
      </c>
      <c r="AP52" s="173">
        <f>AN52+AO52</f>
        <v/>
      </c>
      <c r="AQ52" s="172" t="n">
        <v>101.7</v>
      </c>
      <c r="AR52" s="172" t="n">
        <v>92.59999999999999</v>
      </c>
      <c r="AS52" s="172" t="n">
        <v>402</v>
      </c>
      <c r="AT52" s="172" t="n">
        <v>83.59999999999999</v>
      </c>
      <c r="AU52" s="172" t="n">
        <v>103.8</v>
      </c>
      <c r="AV52" s="173">
        <f>AT52+AU52</f>
        <v/>
      </c>
      <c r="AW52" s="172" t="n">
        <v>113</v>
      </c>
      <c r="AX52" s="172" t="n">
        <v>95.3</v>
      </c>
      <c r="AY52" s="172" t="n">
        <v>395.6</v>
      </c>
      <c r="AZ52" s="172" t="n">
        <v>94.8</v>
      </c>
      <c r="BA52" s="172" t="n">
        <v>100.7</v>
      </c>
      <c r="BB52" s="173">
        <f>AZ52+BA52</f>
        <v/>
      </c>
      <c r="BC52" s="172" t="n">
        <v>102.8</v>
      </c>
      <c r="BD52" s="172" t="n">
        <v>85.40000000000001</v>
      </c>
      <c r="BE52" s="172" t="n">
        <v>383.6</v>
      </c>
      <c r="BF52" s="172" t="n">
        <v>81.40000000000001</v>
      </c>
      <c r="BG52" s="172" t="n">
        <v>96.2</v>
      </c>
      <c r="BH52" s="173">
        <f>BF52+BG52</f>
        <v/>
      </c>
      <c r="BI52" s="172" t="n">
        <v>219.2</v>
      </c>
      <c r="BJ52" s="172" t="n">
        <v>370</v>
      </c>
      <c r="BK52" s="172" t="n">
        <v>766.8</v>
      </c>
      <c r="BL52" s="172" t="n">
        <v>360.5</v>
      </c>
      <c r="BM52" s="172" t="n">
        <v>422.3</v>
      </c>
      <c r="BN52" s="173">
        <f>BL52+BM52</f>
        <v/>
      </c>
      <c r="BO52" s="172" t="n">
        <v>450.5</v>
      </c>
      <c r="BP52" s="172" t="n">
        <v>360.5</v>
      </c>
      <c r="BQ52" s="172" t="n">
        <v>1593.9</v>
      </c>
      <c r="BR52" s="172" t="n">
        <v>285.1</v>
      </c>
      <c r="BS52" s="172" t="n">
        <v>343.5</v>
      </c>
      <c r="BT52" s="173">
        <f>BR52+BS52</f>
        <v/>
      </c>
      <c r="BU52" s="172" t="n">
        <v>364.6</v>
      </c>
      <c r="BV52" s="172" t="n">
        <v>256</v>
      </c>
      <c r="BW52" s="172" t="n">
        <v>1249.3</v>
      </c>
      <c r="BX52" s="172" t="n">
        <v>148.3</v>
      </c>
      <c r="BY52" s="172" t="n">
        <v>167.3</v>
      </c>
      <c r="BZ52" s="173">
        <f>BX52+BY52</f>
        <v/>
      </c>
      <c r="CA52" s="172" t="n">
        <v>174.4</v>
      </c>
      <c r="CB52" s="172" t="n">
        <v>163.5</v>
      </c>
      <c r="CC52" s="172" t="n">
        <v>653.5</v>
      </c>
      <c r="CD52" s="172" t="n">
        <v>177</v>
      </c>
      <c r="CE52" s="172" t="n">
        <v>220.6</v>
      </c>
      <c r="CF52" s="173">
        <f>CD52+CE52</f>
        <v/>
      </c>
      <c r="CG52" s="172" t="n">
        <v>237.5</v>
      </c>
      <c r="CH52" s="172" t="n">
        <v>211.4</v>
      </c>
      <c r="CI52" s="172" t="n">
        <v>846.6</v>
      </c>
      <c r="CJ52" s="172" t="n">
        <v>187.5</v>
      </c>
      <c r="CK52" s="172" t="n">
        <v>186.8</v>
      </c>
      <c r="CL52" s="173">
        <f>CJ52+CK52</f>
        <v/>
      </c>
      <c r="CM52" s="174">
        <f>CG52*(1-CM61)*(1+$DD$24)</f>
        <v/>
      </c>
      <c r="CN52" s="174">
        <f>CH52*(1-CN61)*(1+$DD$24)</f>
        <v/>
      </c>
      <c r="CO52" s="174">
        <f>SUM(CJ52,CK52,CM52,CN52)</f>
        <v/>
      </c>
      <c r="CP52" s="174">
        <f>CO52*(1+CP53)</f>
        <v/>
      </c>
      <c r="CQ52" s="174">
        <f>CP52*(1+CQ53)</f>
        <v/>
      </c>
      <c r="CR52" s="174">
        <f>CQ52*(1+CR53)</f>
        <v/>
      </c>
      <c r="CS52" s="174">
        <f>CR52*(1+CS53)</f>
        <v/>
      </c>
      <c r="CT52" s="22" t="inlineStr">
        <is>
          <t>Q3/Q4-26E: prior-year quarter × (1 − divested California share) × (1 + underlying growth). 2027E+: scenario growth.</t>
        </is>
      </c>
      <c r="CV52" s="164">
        <f>IFERROR((CS52/CI52)^(1/5)-1,"n/m")</f>
        <v/>
      </c>
      <c r="CW52" s="164">
        <f>IFERROR((CI52/BE52)^(1/5)-1,"n/m")</f>
        <v/>
      </c>
      <c r="CX52" s="164">
        <f>IFERROR((CI52/AA52)^(1/10)-1,"n/m")</f>
        <v/>
      </c>
      <c r="CY52" s="164">
        <f>IFERROR((CI52/C52)^(1/19)-1,"n/m")</f>
        <v/>
      </c>
      <c r="DB52" s="17" t="inlineStr">
        <is>
          <t>ASPH_cashMargin (asphalt cash gross profit % of revenues)</t>
        </is>
      </c>
      <c r="DC52" s="41" t="n">
        <v>0.01</v>
      </c>
      <c r="DD52" s="24" t="inlineStr">
        <is>
          <t>Δ →</t>
        </is>
      </c>
      <c r="DE52" s="41" t="n">
        <v>-0.02</v>
      </c>
      <c r="DF52" s="15" t="inlineStr">
        <is>
          <t>FY25 ~18–19%; FY26 guide implies ~$245m asphalt cash gross profit.</t>
        </is>
      </c>
    </row>
    <row r="53" ht="15" customHeight="1">
      <c r="B53" s="25" t="inlineStr">
        <is>
          <t xml:space="preserve">  Segment revenues y/y %</t>
        </is>
      </c>
      <c r="C53" s="26" t="n"/>
      <c r="D53" s="26">
        <f>IF(AND(ISNUMBER(D52),ISNUMBER(C52)),IFERROR(D52/C52-1,""),"")</f>
        <v/>
      </c>
      <c r="E53" s="26">
        <f>IF(AND(ISNUMBER(E52),ISNUMBER(D52)),IFERROR(E52/D52-1,""),"")</f>
        <v/>
      </c>
      <c r="F53" s="26">
        <f>IF(AND(ISNUMBER(F52),ISNUMBER(E52)),IFERROR(F52/E52-1,""),"")</f>
        <v/>
      </c>
      <c r="G53" s="26">
        <f>IF(AND(ISNUMBER(G52),ISNUMBER(F52)),IFERROR(G52/F52-1,""),"")</f>
        <v/>
      </c>
      <c r="H53" s="26">
        <f>IF(AND(ISNUMBER(H52),ISNUMBER(G52)),IFERROR(H52/G52-1,""),"")</f>
        <v/>
      </c>
      <c r="I53" s="26">
        <f>IF(AND(ISNUMBER(I52),ISNUMBER(H52)),IFERROR(I52/H52-1,""),"")</f>
        <v/>
      </c>
      <c r="J53" s="26" t="n"/>
      <c r="K53" s="26" t="n"/>
      <c r="L53" s="26" t="n"/>
      <c r="M53" s="26" t="n"/>
      <c r="N53" s="26" t="n"/>
      <c r="O53" s="26">
        <f>IF(AND(ISNUMBER(O52),ISNUMBER(I52)),IFERROR(O52/I52-1,""),"")</f>
        <v/>
      </c>
      <c r="P53" s="26">
        <f>IF(AND(ISNUMBER(P52),ISNUMBER(J52)),IFERROR(P52/J52-1,""),"")</f>
        <v/>
      </c>
      <c r="Q53" s="26">
        <f>IF(AND(ISNUMBER(Q52),ISNUMBER(K52)),IFERROR(Q52/K52-1,""),"")</f>
        <v/>
      </c>
      <c r="R53" s="26">
        <f>IF(AND(ISNUMBER(R52),ISNUMBER(L52)),IFERROR(R52/L52-1,""),"")</f>
        <v/>
      </c>
      <c r="S53" s="26">
        <f>IF(AND(ISNUMBER(S52),ISNUMBER(M52)),IFERROR(S52/M52-1,""),"")</f>
        <v/>
      </c>
      <c r="T53" s="26">
        <f>IF(AND(ISNUMBER(T52),ISNUMBER(N52)),IFERROR(T52/N52-1,""),"")</f>
        <v/>
      </c>
      <c r="U53" s="26">
        <f>IF(AND(ISNUMBER(U52),ISNUMBER(O52)),IFERROR(U52/O52-1,""),"")</f>
        <v/>
      </c>
      <c r="V53" s="26">
        <f>IF(AND(ISNUMBER(V52),ISNUMBER(P52)),IFERROR(V52/P52-1,""),"")</f>
        <v/>
      </c>
      <c r="W53" s="26">
        <f>IF(AND(ISNUMBER(W52),ISNUMBER(Q52)),IFERROR(W52/Q52-1,""),"")</f>
        <v/>
      </c>
      <c r="X53" s="26">
        <f>IF(AND(ISNUMBER(X52),ISNUMBER(R52)),IFERROR(X52/R52-1,""),"")</f>
        <v/>
      </c>
      <c r="Y53" s="26">
        <f>IF(AND(ISNUMBER(Y52),ISNUMBER(S52)),IFERROR(Y52/S52-1,""),"")</f>
        <v/>
      </c>
      <c r="Z53" s="26">
        <f>IF(AND(ISNUMBER(Z52),ISNUMBER(T52)),IFERROR(Z52/T52-1,""),"")</f>
        <v/>
      </c>
      <c r="AA53" s="26">
        <f>IF(AND(ISNUMBER(AA52),ISNUMBER(U52)),IFERROR(AA52/U52-1,""),"")</f>
        <v/>
      </c>
      <c r="AB53" s="26">
        <f>IF(AND(ISNUMBER(AB52),ISNUMBER(V52)),IFERROR(AB52/V52-1,""),"")</f>
        <v/>
      </c>
      <c r="AC53" s="26">
        <f>IF(AND(ISNUMBER(AC52),ISNUMBER(W52)),IFERROR(AC52/W52-1,""),"")</f>
        <v/>
      </c>
      <c r="AD53" s="26">
        <f>IF(AND(ISNUMBER(AD52),ISNUMBER(X52)),IFERROR(AD52/X52-1,""),"")</f>
        <v/>
      </c>
      <c r="AE53" s="26">
        <f>IF(AND(ISNUMBER(AE52),ISNUMBER(Y52)),IFERROR(AE52/Y52-1,""),"")</f>
        <v/>
      </c>
      <c r="AF53" s="26">
        <f>IF(AND(ISNUMBER(AF52),ISNUMBER(Z52)),IFERROR(AF52/Z52-1,""),"")</f>
        <v/>
      </c>
      <c r="AG53" s="26">
        <f>IF(AND(ISNUMBER(AG52),ISNUMBER(AA52)),IFERROR(AG52/AA52-1,""),"")</f>
        <v/>
      </c>
      <c r="AH53" s="26">
        <f>IF(AND(ISNUMBER(AH52),ISNUMBER(AB52)),IFERROR(AH52/AB52-1,""),"")</f>
        <v/>
      </c>
      <c r="AI53" s="26">
        <f>IF(AND(ISNUMBER(AI52),ISNUMBER(AC52)),IFERROR(AI52/AC52-1,""),"")</f>
        <v/>
      </c>
      <c r="AJ53" s="26">
        <f>IF(AND(ISNUMBER(AJ52),ISNUMBER(AD52)),IFERROR(AJ52/AD52-1,""),"")</f>
        <v/>
      </c>
      <c r="AK53" s="26">
        <f>IF(AND(ISNUMBER(AK52),ISNUMBER(AE52)),IFERROR(AK52/AE52-1,""),"")</f>
        <v/>
      </c>
      <c r="AL53" s="26">
        <f>IF(AND(ISNUMBER(AL52),ISNUMBER(AF52)),IFERROR(AL52/AF52-1,""),"")</f>
        <v/>
      </c>
      <c r="AM53" s="26">
        <f>IF(AND(ISNUMBER(AM52),ISNUMBER(AG52)),IFERROR(AM52/AG52-1,""),"")</f>
        <v/>
      </c>
      <c r="AN53" s="26">
        <f>IF(AND(ISNUMBER(AN52),ISNUMBER(AH52)),IFERROR(AN52/AH52-1,""),"")</f>
        <v/>
      </c>
      <c r="AO53" s="26">
        <f>IF(AND(ISNUMBER(AO52),ISNUMBER(AI52)),IFERROR(AO52/AI52-1,""),"")</f>
        <v/>
      </c>
      <c r="AP53" s="26">
        <f>IF(AND(ISNUMBER(AP52),ISNUMBER(AJ52)),IFERROR(AP52/AJ52-1,""),"")</f>
        <v/>
      </c>
      <c r="AQ53" s="26">
        <f>IF(AND(ISNUMBER(AQ52),ISNUMBER(AK52)),IFERROR(AQ52/AK52-1,""),"")</f>
        <v/>
      </c>
      <c r="AR53" s="26">
        <f>IF(AND(ISNUMBER(AR52),ISNUMBER(AL52)),IFERROR(AR52/AL52-1,""),"")</f>
        <v/>
      </c>
      <c r="AS53" s="26">
        <f>IF(AND(ISNUMBER(AS52),ISNUMBER(AM52)),IFERROR(AS52/AM52-1,""),"")</f>
        <v/>
      </c>
      <c r="AT53" s="26">
        <f>IF(AND(ISNUMBER(AT52),ISNUMBER(AN52)),IFERROR(AT52/AN52-1,""),"")</f>
        <v/>
      </c>
      <c r="AU53" s="26">
        <f>IF(AND(ISNUMBER(AU52),ISNUMBER(AO52)),IFERROR(AU52/AO52-1,""),"")</f>
        <v/>
      </c>
      <c r="AV53" s="26">
        <f>IF(AND(ISNUMBER(AV52),ISNUMBER(AP52)),IFERROR(AV52/AP52-1,""),"")</f>
        <v/>
      </c>
      <c r="AW53" s="26">
        <f>IF(AND(ISNUMBER(AW52),ISNUMBER(AQ52)),IFERROR(AW52/AQ52-1,""),"")</f>
        <v/>
      </c>
      <c r="AX53" s="26">
        <f>IF(AND(ISNUMBER(AX52),ISNUMBER(AR52)),IFERROR(AX52/AR52-1,""),"")</f>
        <v/>
      </c>
      <c r="AY53" s="26">
        <f>IF(AND(ISNUMBER(AY52),ISNUMBER(AS52)),IFERROR(AY52/AS52-1,""),"")</f>
        <v/>
      </c>
      <c r="AZ53" s="26">
        <f>IF(AND(ISNUMBER(AZ52),ISNUMBER(AT52)),IFERROR(AZ52/AT52-1,""),"")</f>
        <v/>
      </c>
      <c r="BA53" s="26">
        <f>IF(AND(ISNUMBER(BA52),ISNUMBER(AU52)),IFERROR(BA52/AU52-1,""),"")</f>
        <v/>
      </c>
      <c r="BB53" s="26">
        <f>IF(AND(ISNUMBER(BB52),ISNUMBER(AV52)),IFERROR(BB52/AV52-1,""),"")</f>
        <v/>
      </c>
      <c r="BC53" s="26">
        <f>IF(AND(ISNUMBER(BC52),ISNUMBER(AW52)),IFERROR(BC52/AW52-1,""),"")</f>
        <v/>
      </c>
      <c r="BD53" s="26">
        <f>IF(AND(ISNUMBER(BD52),ISNUMBER(AX52)),IFERROR(BD52/AX52-1,""),"")</f>
        <v/>
      </c>
      <c r="BE53" s="26">
        <f>IF(AND(ISNUMBER(BE52),ISNUMBER(AY52)),IFERROR(BE52/AY52-1,""),"")</f>
        <v/>
      </c>
      <c r="BF53" s="26">
        <f>IF(AND(ISNUMBER(BF52),ISNUMBER(AZ52)),IFERROR(BF52/AZ52-1,""),"")</f>
        <v/>
      </c>
      <c r="BG53" s="26">
        <f>IF(AND(ISNUMBER(BG52),ISNUMBER(BA52)),IFERROR(BG52/BA52-1,""),"")</f>
        <v/>
      </c>
      <c r="BH53" s="26">
        <f>IF(AND(ISNUMBER(BH52),ISNUMBER(BB52)),IFERROR(BH52/BB52-1,""),"")</f>
        <v/>
      </c>
      <c r="BI53" s="26">
        <f>IF(AND(ISNUMBER(BI52),ISNUMBER(BC52)),IFERROR(BI52/BC52-1,""),"")</f>
        <v/>
      </c>
      <c r="BJ53" s="26">
        <f>IF(AND(ISNUMBER(BJ52),ISNUMBER(BD52)),IFERROR(BJ52/BD52-1,""),"")</f>
        <v/>
      </c>
      <c r="BK53" s="26">
        <f>IF(AND(ISNUMBER(BK52),ISNUMBER(BE52)),IFERROR(BK52/BE52-1,""),"")</f>
        <v/>
      </c>
      <c r="BL53" s="26">
        <f>IF(AND(ISNUMBER(BL52),ISNUMBER(BF52)),IFERROR(BL52/BF52-1,""),"")</f>
        <v/>
      </c>
      <c r="BM53" s="26">
        <f>IF(AND(ISNUMBER(BM52),ISNUMBER(BG52)),IFERROR(BM52/BG52-1,""),"")</f>
        <v/>
      </c>
      <c r="BN53" s="26">
        <f>IF(AND(ISNUMBER(BN52),ISNUMBER(BH52)),IFERROR(BN52/BH52-1,""),"")</f>
        <v/>
      </c>
      <c r="BO53" s="26">
        <f>IF(AND(ISNUMBER(BO52),ISNUMBER(BI52)),IFERROR(BO52/BI52-1,""),"")</f>
        <v/>
      </c>
      <c r="BP53" s="26">
        <f>IF(AND(ISNUMBER(BP52),ISNUMBER(BJ52)),IFERROR(BP52/BJ52-1,""),"")</f>
        <v/>
      </c>
      <c r="BQ53" s="26">
        <f>IF(AND(ISNUMBER(BQ52),ISNUMBER(BK52)),IFERROR(BQ52/BK52-1,""),"")</f>
        <v/>
      </c>
      <c r="BR53" s="26">
        <f>IF(AND(ISNUMBER(BR52),ISNUMBER(BL52)),IFERROR(BR52/BL52-1,""),"")</f>
        <v/>
      </c>
      <c r="BS53" s="26">
        <f>IF(AND(ISNUMBER(BS52),ISNUMBER(BM52)),IFERROR(BS52/BM52-1,""),"")</f>
        <v/>
      </c>
      <c r="BT53" s="26">
        <f>IF(AND(ISNUMBER(BT52),ISNUMBER(BN52)),IFERROR(BT52/BN52-1,""),"")</f>
        <v/>
      </c>
      <c r="BU53" s="26">
        <f>IF(AND(ISNUMBER(BU52),ISNUMBER(BO52)),IFERROR(BU52/BO52-1,""),"")</f>
        <v/>
      </c>
      <c r="BV53" s="26">
        <f>IF(AND(ISNUMBER(BV52),ISNUMBER(BP52)),IFERROR(BV52/BP52-1,""),"")</f>
        <v/>
      </c>
      <c r="BW53" s="26">
        <f>IF(AND(ISNUMBER(BW52),ISNUMBER(BQ52)),IFERROR(BW52/BQ52-1,""),"")</f>
        <v/>
      </c>
      <c r="BX53" s="26">
        <f>IF(AND(ISNUMBER(BX52),ISNUMBER(BR52)),IFERROR(BX52/BR52-1,""),"")</f>
        <v/>
      </c>
      <c r="BY53" s="26">
        <f>IF(AND(ISNUMBER(BY52),ISNUMBER(BS52)),IFERROR(BY52/BS52-1,""),"")</f>
        <v/>
      </c>
      <c r="BZ53" s="26">
        <f>IF(AND(ISNUMBER(BZ52),ISNUMBER(BT52)),IFERROR(BZ52/BT52-1,""),"")</f>
        <v/>
      </c>
      <c r="CA53" s="26">
        <f>IF(AND(ISNUMBER(CA52),ISNUMBER(BU52)),IFERROR(CA52/BU52-1,""),"")</f>
        <v/>
      </c>
      <c r="CB53" s="26">
        <f>IF(AND(ISNUMBER(CB52),ISNUMBER(BV52)),IFERROR(CB52/BV52-1,""),"")</f>
        <v/>
      </c>
      <c r="CC53" s="26">
        <f>IF(AND(ISNUMBER(CC52),ISNUMBER(BW52)),IFERROR(CC52/BW52-1,""),"")</f>
        <v/>
      </c>
      <c r="CD53" s="26">
        <f>IF(AND(ISNUMBER(CD52),ISNUMBER(BX52)),IFERROR(CD52/BX52-1,""),"")</f>
        <v/>
      </c>
      <c r="CE53" s="26">
        <f>IF(AND(ISNUMBER(CE52),ISNUMBER(BY52)),IFERROR(CE52/BY52-1,""),"")</f>
        <v/>
      </c>
      <c r="CF53" s="26">
        <f>IF(AND(ISNUMBER(CF52),ISNUMBER(BZ52)),IFERROR(CF52/BZ52-1,""),"")</f>
        <v/>
      </c>
      <c r="CG53" s="26">
        <f>IF(AND(ISNUMBER(CG52),ISNUMBER(CA52)),IFERROR(CG52/CA52-1,""),"")</f>
        <v/>
      </c>
      <c r="CH53" s="26">
        <f>IF(AND(ISNUMBER(CH52),ISNUMBER(CB52)),IFERROR(CH52/CB52-1,""),"")</f>
        <v/>
      </c>
      <c r="CI53" s="26">
        <f>IF(AND(ISNUMBER(CI52),ISNUMBER(CC52)),IFERROR(CI52/CC52-1,""),"")</f>
        <v/>
      </c>
      <c r="CJ53" s="26">
        <f>IF(AND(ISNUMBER(CJ52),ISNUMBER(CD52)),IFERROR(CJ52/CD52-1,""),"")</f>
        <v/>
      </c>
      <c r="CK53" s="26">
        <f>IF(AND(ISNUMBER(CK52),ISNUMBER(CE52)),IFERROR(CK52/CE52-1,""),"")</f>
        <v/>
      </c>
      <c r="CL53" s="26">
        <f>IF(AND(ISNUMBER(CL52),ISNUMBER(CF52)),IFERROR(CL52/CF52-1,""),"")</f>
        <v/>
      </c>
      <c r="CM53" s="165">
        <f>IF(AND(ISNUMBER(CM52),ISNUMBER(CG52)),IFERROR(CM52/CG52-1,""),"")</f>
        <v/>
      </c>
      <c r="CN53" s="165">
        <f>IF(AND(ISNUMBER(CN52),ISNUMBER(CH52)),IFERROR(CN52/CH52-1,""),"")</f>
        <v/>
      </c>
      <c r="CO53" s="165">
        <f>IF(AND(ISNUMBER(CO52),ISNUMBER(CI52)),IFERROR(CO52/CI52-1,""),"")</f>
        <v/>
      </c>
      <c r="CP53" s="165">
        <f>CHOOSE(MATCH($CT$2,{"Bull","Base","Bear"},0),$DC$59,$DD$59,$DE$59)</f>
        <v/>
      </c>
      <c r="CQ53" s="165">
        <f>CHOOSE(MATCH($CT$2,{"Bull","Base","Bear"},0),$DC$60,$DD$60,$DE$60)</f>
        <v/>
      </c>
      <c r="CR53" s="165">
        <f>CHOOSE(MATCH($CT$2,{"Bull","Base","Bear"},0),$DC$61,$DD$61,$DE$61)</f>
        <v/>
      </c>
      <c r="CS53" s="165">
        <f>CHOOSE(MATCH($CT$2,{"Bull","Base","Bear"},0),$DC$62,$DD$62,$DE$62)</f>
        <v/>
      </c>
      <c r="CT53" s="22" t="inlineStr">
        <is>
          <t>2027E–2030E: scenario lever (CONC_growth).</t>
        </is>
      </c>
      <c r="CV53" s="6" t="n"/>
      <c r="CW53" s="6" t="n"/>
      <c r="CX53" s="6" t="n"/>
      <c r="CY53" s="6" t="n"/>
      <c r="DB53" s="12" t="inlineStr">
        <is>
          <t xml:space="preserve">  2027E</t>
        </is>
      </c>
      <c r="DC53" s="153">
        <f>DD53+$DC$52</f>
        <v/>
      </c>
      <c r="DD53" s="35" t="n">
        <v>0.19</v>
      </c>
      <c r="DE53" s="153">
        <f>DD53+$DE$52</f>
        <v/>
      </c>
    </row>
    <row r="54" ht="15" customHeight="1">
      <c r="B54" s="12" t="inlineStr">
        <is>
          <t xml:space="preserve">  Segment gross profit (GAAP)</t>
        </is>
      </c>
      <c r="C54" s="29" t="n"/>
      <c r="D54" s="29" t="n"/>
      <c r="E54" s="30" t="n"/>
      <c r="F54" s="30" t="n"/>
      <c r="G54" s="169" t="n">
        <v>-45</v>
      </c>
      <c r="H54" s="169" t="n">
        <v>-43.4</v>
      </c>
      <c r="I54" s="169" t="n">
        <v>-38.2</v>
      </c>
      <c r="J54" s="169" t="n">
        <v>-10.1</v>
      </c>
      <c r="K54" s="169" t="n">
        <v>-5.8</v>
      </c>
      <c r="L54" s="170">
        <f>J54+K54</f>
        <v/>
      </c>
      <c r="M54" s="169" t="n">
        <v>-3.9</v>
      </c>
      <c r="N54" s="169" t="n">
        <v>-5</v>
      </c>
      <c r="O54" s="169" t="n">
        <v>-24.8</v>
      </c>
      <c r="P54" s="169" t="n">
        <v>-9.199999999999999</v>
      </c>
      <c r="Q54" s="169" t="n">
        <v>3.2</v>
      </c>
      <c r="R54" s="170">
        <f>P54+Q54</f>
        <v/>
      </c>
      <c r="S54" s="169" t="n">
        <v>5.5</v>
      </c>
      <c r="T54" s="169" t="n">
        <v>2.8</v>
      </c>
      <c r="U54" s="169" t="n">
        <v>2.2</v>
      </c>
      <c r="V54" s="169" t="n">
        <v>0.8</v>
      </c>
      <c r="W54" s="169" t="n">
        <v>4.9</v>
      </c>
      <c r="X54" s="170">
        <f>V54+W54</f>
        <v/>
      </c>
      <c r="Y54" s="169" t="n">
        <v>9.6</v>
      </c>
      <c r="Z54" s="169" t="n">
        <v>4.9</v>
      </c>
      <c r="AA54" s="169" t="n">
        <v>20.2</v>
      </c>
      <c r="AB54" s="169" t="n">
        <v>3.5</v>
      </c>
      <c r="AC54" s="169" t="n">
        <v>6.1</v>
      </c>
      <c r="AD54" s="170">
        <f>AB54+AC54</f>
        <v/>
      </c>
      <c r="AE54" s="169" t="n">
        <v>8.699999999999999</v>
      </c>
      <c r="AF54" s="169" t="n">
        <v>8.199999999999999</v>
      </c>
      <c r="AG54" s="169" t="n">
        <v>26.5</v>
      </c>
      <c r="AH54" s="169" t="n">
        <v>10.5</v>
      </c>
      <c r="AI54" s="169" t="n">
        <v>9.5</v>
      </c>
      <c r="AJ54" s="170">
        <f>AH54+AI54</f>
        <v/>
      </c>
      <c r="AK54" s="169" t="n">
        <v>14.4</v>
      </c>
      <c r="AL54" s="169" t="n">
        <v>11.8</v>
      </c>
      <c r="AM54" s="169" t="n">
        <v>46.1</v>
      </c>
      <c r="AN54" s="169" t="n">
        <v>10.3</v>
      </c>
      <c r="AO54" s="169" t="n">
        <v>13.2</v>
      </c>
      <c r="AP54" s="170">
        <f>AN54+AO54</f>
        <v/>
      </c>
      <c r="AQ54" s="169" t="n">
        <v>14.6</v>
      </c>
      <c r="AR54" s="169" t="n">
        <v>11.8</v>
      </c>
      <c r="AS54" s="169" t="n">
        <v>49.9</v>
      </c>
      <c r="AT54" s="169" t="n">
        <v>8.6</v>
      </c>
      <c r="AU54" s="169" t="n">
        <v>12.9</v>
      </c>
      <c r="AV54" s="170">
        <f>AT54+AU54</f>
        <v/>
      </c>
      <c r="AW54" s="169" t="n">
        <v>15</v>
      </c>
      <c r="AX54" s="169" t="n">
        <v>6.7</v>
      </c>
      <c r="AY54" s="169" t="n">
        <v>43.2</v>
      </c>
      <c r="AZ54" s="169" t="n">
        <v>9.199999999999999</v>
      </c>
      <c r="BA54" s="169" t="n">
        <v>14.2</v>
      </c>
      <c r="BB54" s="170">
        <f>AZ54+BA54</f>
        <v/>
      </c>
      <c r="BC54" s="169" t="n">
        <v>12.2</v>
      </c>
      <c r="BD54" s="169" t="n">
        <v>8.6</v>
      </c>
      <c r="BE54" s="169" t="n">
        <v>44.2</v>
      </c>
      <c r="BF54" s="169" t="n">
        <v>7.8</v>
      </c>
      <c r="BG54" s="169" t="n">
        <v>10.3</v>
      </c>
      <c r="BH54" s="170">
        <f>BF54+BG54</f>
        <v/>
      </c>
      <c r="BI54" s="169" t="n">
        <v>14.3</v>
      </c>
      <c r="BJ54" s="169" t="n">
        <v>21.9</v>
      </c>
      <c r="BK54" s="169" t="n">
        <v>54.3</v>
      </c>
      <c r="BL54" s="169" t="n">
        <v>28.2</v>
      </c>
      <c r="BM54" s="169" t="n">
        <v>30</v>
      </c>
      <c r="BN54" s="170">
        <f>BL54+BM54</f>
        <v/>
      </c>
      <c r="BO54" s="169" t="n">
        <v>26.5</v>
      </c>
      <c r="BP54" s="169" t="n">
        <v>4.6</v>
      </c>
      <c r="BQ54" s="169" t="n">
        <v>89.3</v>
      </c>
      <c r="BR54" s="169" t="n">
        <v>-2.4</v>
      </c>
      <c r="BS54" s="169" t="n">
        <v>27</v>
      </c>
      <c r="BT54" s="170">
        <f>BR54+BS54</f>
        <v/>
      </c>
      <c r="BU54" s="169" t="n">
        <v>26</v>
      </c>
      <c r="BV54" s="169" t="n">
        <v>11.4</v>
      </c>
      <c r="BW54" s="169" t="n">
        <v>62.1</v>
      </c>
      <c r="BX54" s="169" t="n">
        <v>-3.1</v>
      </c>
      <c r="BY54" s="169" t="n">
        <v>4.7</v>
      </c>
      <c r="BZ54" s="170">
        <f>BX54+BY54</f>
        <v/>
      </c>
      <c r="CA54" s="169" t="n">
        <v>6.5</v>
      </c>
      <c r="CB54" s="169" t="n">
        <v>4.6</v>
      </c>
      <c r="CC54" s="169" t="n">
        <v>12.8</v>
      </c>
      <c r="CD54" s="169" t="n">
        <v>3.2</v>
      </c>
      <c r="CE54" s="169" t="n">
        <v>8.5</v>
      </c>
      <c r="CF54" s="170">
        <f>CD54+CE54</f>
        <v/>
      </c>
      <c r="CG54" s="169" t="n">
        <v>14.1</v>
      </c>
      <c r="CH54" s="169" t="n">
        <v>10.1</v>
      </c>
      <c r="CI54" s="169" t="n">
        <v>35.9</v>
      </c>
      <c r="CJ54" s="169" t="n">
        <v>10.2</v>
      </c>
      <c r="CK54" s="169" t="n">
        <v>8.4</v>
      </c>
      <c r="CL54" s="170">
        <f>CJ54+CK54</f>
        <v/>
      </c>
      <c r="CM54" s="171">
        <f>CM56-CM55</f>
        <v/>
      </c>
      <c r="CN54" s="171">
        <f>CN56-CN55</f>
        <v/>
      </c>
      <c r="CO54" s="171">
        <f>SUM(CJ54,CK54,CM54,CN54)</f>
        <v/>
      </c>
      <c r="CP54" s="171">
        <f>CP56-CP55</f>
        <v/>
      </c>
      <c r="CQ54" s="171">
        <f>CQ56-CQ55</f>
        <v/>
      </c>
      <c r="CR54" s="171">
        <f>CR56-CR55</f>
        <v/>
      </c>
      <c r="CS54" s="171">
        <f>CS56-CS55</f>
        <v/>
      </c>
      <c r="CT54" s="22" t="n"/>
      <c r="CV54" s="23" t="n"/>
      <c r="CW54" s="23" t="n"/>
      <c r="CX54" s="23" t="n"/>
      <c r="CY54" s="23" t="n"/>
      <c r="DB54" s="12" t="inlineStr">
        <is>
          <t xml:space="preserve">  2028E</t>
        </is>
      </c>
      <c r="DC54" s="153">
        <f>DD54+$DC$52</f>
        <v/>
      </c>
      <c r="DD54" s="35" t="n">
        <v>0.19</v>
      </c>
      <c r="DE54" s="153">
        <f>DD54+$DE$52</f>
        <v/>
      </c>
    </row>
    <row r="55" ht="15" customHeight="1">
      <c r="B55" s="12" t="inlineStr">
        <is>
          <t xml:space="preserve">  (+) Segment DDA&amp;A</t>
        </is>
      </c>
      <c r="C55" s="29" t="n"/>
      <c r="D55" s="29" t="n"/>
      <c r="E55" s="30" t="n"/>
      <c r="F55" s="30" t="n"/>
      <c r="G55" s="169" t="n">
        <v>53.6</v>
      </c>
      <c r="H55" s="169" t="n">
        <v>51.5</v>
      </c>
      <c r="I55" s="169" t="n">
        <v>41.3</v>
      </c>
      <c r="J55" s="169" t="n">
        <v>8</v>
      </c>
      <c r="K55" s="169" t="n">
        <v>8.199999999999999</v>
      </c>
      <c r="L55" s="170">
        <f>J55+K55</f>
        <v/>
      </c>
      <c r="M55" s="169" t="n">
        <v>8.4</v>
      </c>
      <c r="N55" s="169" t="n">
        <v>8.5</v>
      </c>
      <c r="O55" s="169" t="n">
        <v>33</v>
      </c>
      <c r="P55" s="169" t="n">
        <v>6</v>
      </c>
      <c r="Q55" s="169" t="n">
        <v>4.8</v>
      </c>
      <c r="R55" s="170">
        <f>P55+Q55</f>
        <v/>
      </c>
      <c r="S55" s="169" t="n">
        <v>5</v>
      </c>
      <c r="T55" s="169" t="n">
        <v>4.2</v>
      </c>
      <c r="U55" s="169" t="n">
        <v>19.9</v>
      </c>
      <c r="V55" s="169" t="n">
        <v>2.7</v>
      </c>
      <c r="W55" s="169" t="n">
        <v>2.8</v>
      </c>
      <c r="X55" s="170">
        <f>V55+W55</f>
        <v/>
      </c>
      <c r="Y55" s="169" t="n">
        <v>3</v>
      </c>
      <c r="Z55" s="169" t="n">
        <v>2.9</v>
      </c>
      <c r="AA55" s="169" t="n">
        <v>11.4</v>
      </c>
      <c r="AB55" s="169" t="n">
        <v>3</v>
      </c>
      <c r="AC55" s="169" t="n">
        <v>3.1</v>
      </c>
      <c r="AD55" s="170">
        <f>AB55+AC55</f>
        <v/>
      </c>
      <c r="AE55" s="169" t="n">
        <v>3.1</v>
      </c>
      <c r="AF55" s="169" t="n">
        <v>3</v>
      </c>
      <c r="AG55" s="169" t="n">
        <v>12.1</v>
      </c>
      <c r="AH55" s="169" t="n">
        <v>3</v>
      </c>
      <c r="AI55" s="169" t="n">
        <v>3.7</v>
      </c>
      <c r="AJ55" s="170">
        <f>AH55+AI55</f>
        <v/>
      </c>
      <c r="AK55" s="169" t="n">
        <v>3.6</v>
      </c>
      <c r="AL55" s="169" t="n">
        <v>3.5</v>
      </c>
      <c r="AM55" s="169" t="n">
        <v>13.8</v>
      </c>
      <c r="AN55" s="169" t="n">
        <v>3.4</v>
      </c>
      <c r="AO55" s="169" t="n">
        <v>3</v>
      </c>
      <c r="AP55" s="170">
        <f>AN55+AO55</f>
        <v/>
      </c>
      <c r="AQ55" s="169" t="n">
        <v>3</v>
      </c>
      <c r="AR55" s="169" t="n">
        <v>3</v>
      </c>
      <c r="AS55" s="169" t="n">
        <v>12.5</v>
      </c>
      <c r="AT55" s="169" t="n">
        <v>3</v>
      </c>
      <c r="AU55" s="169" t="n">
        <v>3.3</v>
      </c>
      <c r="AV55" s="170">
        <f>AT55+AU55</f>
        <v/>
      </c>
      <c r="AW55" s="169" t="n">
        <v>3.4</v>
      </c>
      <c r="AX55" s="169" t="n">
        <v>4</v>
      </c>
      <c r="AY55" s="169" t="n">
        <v>13.6</v>
      </c>
      <c r="AZ55" s="169" t="n">
        <v>4.1</v>
      </c>
      <c r="BA55" s="169" t="n">
        <v>4</v>
      </c>
      <c r="BB55" s="170">
        <f>AZ55+BA55</f>
        <v/>
      </c>
      <c r="BC55" s="169" t="n">
        <v>4</v>
      </c>
      <c r="BD55" s="169" t="n">
        <v>3.9</v>
      </c>
      <c r="BE55" s="169" t="n">
        <v>16</v>
      </c>
      <c r="BF55" s="169" t="n">
        <v>4</v>
      </c>
      <c r="BG55" s="169" t="n">
        <v>4</v>
      </c>
      <c r="BH55" s="170">
        <f>BF55+BG55</f>
        <v/>
      </c>
      <c r="BI55" s="169" t="n">
        <v>8.699999999999999</v>
      </c>
      <c r="BJ55" s="169" t="n">
        <v>24.9</v>
      </c>
      <c r="BK55" s="169" t="n">
        <v>41.5</v>
      </c>
      <c r="BL55" s="169" t="n">
        <v>21.1</v>
      </c>
      <c r="BM55" s="169" t="n">
        <v>20.7</v>
      </c>
      <c r="BN55" s="170">
        <f>BL55+BM55</f>
        <v/>
      </c>
      <c r="BO55" s="169" t="n">
        <v>21.7</v>
      </c>
      <c r="BP55" s="169" t="n">
        <v>19.6</v>
      </c>
      <c r="BQ55" s="169" t="n">
        <v>83.09999999999999</v>
      </c>
      <c r="BR55" s="169" t="n">
        <v>20.4</v>
      </c>
      <c r="BS55" s="169" t="n">
        <v>19.5</v>
      </c>
      <c r="BT55" s="170">
        <f>BR55+BS55</f>
        <v/>
      </c>
      <c r="BU55" s="169" t="n">
        <v>20.5</v>
      </c>
      <c r="BV55" s="169" t="n">
        <v>12.4</v>
      </c>
      <c r="BW55" s="169" t="n">
        <v>72.8</v>
      </c>
      <c r="BX55" s="169" t="n">
        <v>12.3</v>
      </c>
      <c r="BY55" s="169" t="n">
        <v>11.9</v>
      </c>
      <c r="BZ55" s="170">
        <f>BX55+BY55</f>
        <v/>
      </c>
      <c r="CA55" s="169" t="n">
        <v>10.9</v>
      </c>
      <c r="CB55" s="169" t="n">
        <v>10.6</v>
      </c>
      <c r="CC55" s="169" t="n">
        <v>45.5</v>
      </c>
      <c r="CD55" s="169" t="n">
        <v>15.4</v>
      </c>
      <c r="CE55" s="169" t="n">
        <v>19</v>
      </c>
      <c r="CF55" s="170">
        <f>CD55+CE55</f>
        <v/>
      </c>
      <c r="CG55" s="169" t="n">
        <v>16.5</v>
      </c>
      <c r="CH55" s="169" t="n">
        <v>11.1</v>
      </c>
      <c r="CI55" s="169" t="n">
        <v>62</v>
      </c>
      <c r="CJ55" s="169" t="n">
        <v>4</v>
      </c>
      <c r="CK55" s="169" t="n">
        <v>3.9</v>
      </c>
      <c r="CL55" s="170">
        <f>CJ55+CK55</f>
        <v/>
      </c>
      <c r="CM55" s="171">
        <f>CM52*$CK$55/$CK$52</f>
        <v/>
      </c>
      <c r="CN55" s="171">
        <f>CN52*$CK$55/$CK$52</f>
        <v/>
      </c>
      <c r="CO55" s="171">
        <f>SUM(CJ55,CK55,CM55,CN55)</f>
        <v/>
      </c>
      <c r="CP55" s="171">
        <f>CP52*CO55/CO52</f>
        <v/>
      </c>
      <c r="CQ55" s="171">
        <f>CQ52*CP55/CP52</f>
        <v/>
      </c>
      <c r="CR55" s="171">
        <f>CR52*CQ55/CQ52</f>
        <v/>
      </c>
      <c r="CS55" s="171">
        <f>CS52*CR55/CR52</f>
        <v/>
      </c>
      <c r="CT55" s="22" t="inlineStr">
        <is>
          <t>Q3/Q4-26E at the Q2/26 DDA&amp;A-to-revenue ratio (California depreciation ceased when held for sale).</t>
        </is>
      </c>
      <c r="CV55" s="23" t="n"/>
      <c r="CW55" s="23" t="n"/>
      <c r="CX55" s="23" t="n"/>
      <c r="CY55" s="23" t="n"/>
      <c r="DB55" s="12" t="inlineStr">
        <is>
          <t xml:space="preserve">  2029E</t>
        </is>
      </c>
      <c r="DC55" s="153">
        <f>DD55+$DC$52</f>
        <v/>
      </c>
      <c r="DD55" s="35" t="n">
        <v>0.195</v>
      </c>
      <c r="DE55" s="153">
        <f>DD55+$DE$52</f>
        <v/>
      </c>
    </row>
    <row r="56" ht="15" customHeight="1">
      <c r="B56" s="33" t="inlineStr">
        <is>
          <t xml:space="preserve">  Cash gross profit (non-GAAP)</t>
        </is>
      </c>
      <c r="C56" s="175">
        <f>IF(ISNUMBER(C55),C54+C55,"")</f>
        <v/>
      </c>
      <c r="D56" s="175">
        <f>IF(ISNUMBER(D55),D54+D55,"")</f>
        <v/>
      </c>
      <c r="E56" s="175">
        <f>IF(ISNUMBER(E55),E54+E55,"")</f>
        <v/>
      </c>
      <c r="F56" s="175">
        <f>IF(ISNUMBER(F55),F54+F55,"")</f>
        <v/>
      </c>
      <c r="G56" s="175">
        <f>IF(ISNUMBER(G55),G54+G55,"")</f>
        <v/>
      </c>
      <c r="H56" s="175">
        <f>IF(ISNUMBER(H55),H54+H55,"")</f>
        <v/>
      </c>
      <c r="I56" s="175">
        <f>IF(ISNUMBER(I55),I54+I55,"")</f>
        <v/>
      </c>
      <c r="J56" s="173">
        <f>IF(ISNUMBER(J55),J54+J55,"")</f>
        <v/>
      </c>
      <c r="K56" s="173">
        <f>IF(ISNUMBER(K55),K54+K55,"")</f>
        <v/>
      </c>
      <c r="L56" s="173">
        <f>IF(ISNUMBER(L55),L54+L55,"")</f>
        <v/>
      </c>
      <c r="M56" s="173">
        <f>IF(ISNUMBER(M55),M54+M55,"")</f>
        <v/>
      </c>
      <c r="N56" s="173">
        <f>IF(ISNUMBER(N55),N54+N55,"")</f>
        <v/>
      </c>
      <c r="O56" s="175">
        <f>IF(ISNUMBER(O55),O54+O55,"")</f>
        <v/>
      </c>
      <c r="P56" s="173">
        <f>IF(ISNUMBER(P55),P54+P55,"")</f>
        <v/>
      </c>
      <c r="Q56" s="173">
        <f>IF(ISNUMBER(Q55),Q54+Q55,"")</f>
        <v/>
      </c>
      <c r="R56" s="173">
        <f>IF(ISNUMBER(R55),R54+R55,"")</f>
        <v/>
      </c>
      <c r="S56" s="173">
        <f>IF(ISNUMBER(S55),S54+S55,"")</f>
        <v/>
      </c>
      <c r="T56" s="173">
        <f>IF(ISNUMBER(T55),T54+T55,"")</f>
        <v/>
      </c>
      <c r="U56" s="175">
        <f>IF(ISNUMBER(U55),U54+U55,"")</f>
        <v/>
      </c>
      <c r="V56" s="173">
        <f>IF(ISNUMBER(V55),V54+V55,"")</f>
        <v/>
      </c>
      <c r="W56" s="173">
        <f>IF(ISNUMBER(W55),W54+W55,"")</f>
        <v/>
      </c>
      <c r="X56" s="173">
        <f>IF(ISNUMBER(X55),X54+X55,"")</f>
        <v/>
      </c>
      <c r="Y56" s="173">
        <f>IF(ISNUMBER(Y55),Y54+Y55,"")</f>
        <v/>
      </c>
      <c r="Z56" s="173">
        <f>IF(ISNUMBER(Z55),Z54+Z55,"")</f>
        <v/>
      </c>
      <c r="AA56" s="175">
        <f>IF(ISNUMBER(AA55),AA54+AA55,"")</f>
        <v/>
      </c>
      <c r="AB56" s="173">
        <f>IF(ISNUMBER(AB55),AB54+AB55,"")</f>
        <v/>
      </c>
      <c r="AC56" s="173">
        <f>IF(ISNUMBER(AC55),AC54+AC55,"")</f>
        <v/>
      </c>
      <c r="AD56" s="173">
        <f>IF(ISNUMBER(AD55),AD54+AD55,"")</f>
        <v/>
      </c>
      <c r="AE56" s="173">
        <f>IF(ISNUMBER(AE55),AE54+AE55,"")</f>
        <v/>
      </c>
      <c r="AF56" s="173">
        <f>IF(ISNUMBER(AF55),AF54+AF55,"")</f>
        <v/>
      </c>
      <c r="AG56" s="175">
        <f>IF(ISNUMBER(AG55),AG54+AG55,"")</f>
        <v/>
      </c>
      <c r="AH56" s="173">
        <f>IF(ISNUMBER(AH55),AH54+AH55,"")</f>
        <v/>
      </c>
      <c r="AI56" s="173">
        <f>IF(ISNUMBER(AI55),AI54+AI55,"")</f>
        <v/>
      </c>
      <c r="AJ56" s="173">
        <f>IF(ISNUMBER(AJ55),AJ54+AJ55,"")</f>
        <v/>
      </c>
      <c r="AK56" s="173">
        <f>IF(ISNUMBER(AK55),AK54+AK55,"")</f>
        <v/>
      </c>
      <c r="AL56" s="173">
        <f>IF(ISNUMBER(AL55),AL54+AL55,"")</f>
        <v/>
      </c>
      <c r="AM56" s="175">
        <f>IF(ISNUMBER(AM55),AM54+AM55,"")</f>
        <v/>
      </c>
      <c r="AN56" s="173">
        <f>IF(ISNUMBER(AN55),AN54+AN55,"")</f>
        <v/>
      </c>
      <c r="AO56" s="173">
        <f>IF(ISNUMBER(AO55),AO54+AO55,"")</f>
        <v/>
      </c>
      <c r="AP56" s="173">
        <f>IF(ISNUMBER(AP55),AP54+AP55,"")</f>
        <v/>
      </c>
      <c r="AQ56" s="173">
        <f>IF(ISNUMBER(AQ55),AQ54+AQ55,"")</f>
        <v/>
      </c>
      <c r="AR56" s="173">
        <f>IF(ISNUMBER(AR55),AR54+AR55,"")</f>
        <v/>
      </c>
      <c r="AS56" s="175">
        <f>IF(ISNUMBER(AS55),AS54+AS55,"")</f>
        <v/>
      </c>
      <c r="AT56" s="173">
        <f>IF(ISNUMBER(AT55),AT54+AT55,"")</f>
        <v/>
      </c>
      <c r="AU56" s="173">
        <f>IF(ISNUMBER(AU55),AU54+AU55,"")</f>
        <v/>
      </c>
      <c r="AV56" s="173">
        <f>IF(ISNUMBER(AV55),AV54+AV55,"")</f>
        <v/>
      </c>
      <c r="AW56" s="173">
        <f>IF(ISNUMBER(AW55),AW54+AW55,"")</f>
        <v/>
      </c>
      <c r="AX56" s="173">
        <f>IF(ISNUMBER(AX55),AX54+AX55,"")</f>
        <v/>
      </c>
      <c r="AY56" s="175">
        <f>IF(ISNUMBER(AY55),AY54+AY55,"")</f>
        <v/>
      </c>
      <c r="AZ56" s="173">
        <f>IF(ISNUMBER(AZ55),AZ54+AZ55,"")</f>
        <v/>
      </c>
      <c r="BA56" s="173">
        <f>IF(ISNUMBER(BA55),BA54+BA55,"")</f>
        <v/>
      </c>
      <c r="BB56" s="173">
        <f>IF(ISNUMBER(BB55),BB54+BB55,"")</f>
        <v/>
      </c>
      <c r="BC56" s="173">
        <f>IF(ISNUMBER(BC55),BC54+BC55,"")</f>
        <v/>
      </c>
      <c r="BD56" s="173">
        <f>IF(ISNUMBER(BD55),BD54+BD55,"")</f>
        <v/>
      </c>
      <c r="BE56" s="175">
        <f>IF(ISNUMBER(BE55),BE54+BE55,"")</f>
        <v/>
      </c>
      <c r="BF56" s="173">
        <f>IF(ISNUMBER(BF55),BF54+BF55,"")</f>
        <v/>
      </c>
      <c r="BG56" s="173">
        <f>IF(ISNUMBER(BG55),BG54+BG55,"")</f>
        <v/>
      </c>
      <c r="BH56" s="173">
        <f>IF(ISNUMBER(BH55),BH54+BH55,"")</f>
        <v/>
      </c>
      <c r="BI56" s="173">
        <f>IF(ISNUMBER(BI55),BI54+BI55,"")</f>
        <v/>
      </c>
      <c r="BJ56" s="173">
        <f>IF(ISNUMBER(BJ55),BJ54+BJ55,"")</f>
        <v/>
      </c>
      <c r="BK56" s="175">
        <f>IF(ISNUMBER(BK55),BK54+BK55,"")</f>
        <v/>
      </c>
      <c r="BL56" s="173">
        <f>IF(ISNUMBER(BL55),BL54+BL55,"")</f>
        <v/>
      </c>
      <c r="BM56" s="173">
        <f>IF(ISNUMBER(BM55),BM54+BM55,"")</f>
        <v/>
      </c>
      <c r="BN56" s="173">
        <f>IF(ISNUMBER(BN55),BN54+BN55,"")</f>
        <v/>
      </c>
      <c r="BO56" s="173">
        <f>IF(ISNUMBER(BO55),BO54+BO55,"")</f>
        <v/>
      </c>
      <c r="BP56" s="173">
        <f>IF(ISNUMBER(BP55),BP54+BP55,"")</f>
        <v/>
      </c>
      <c r="BQ56" s="175">
        <f>IF(ISNUMBER(BQ55),BQ54+BQ55,"")</f>
        <v/>
      </c>
      <c r="BR56" s="173">
        <f>IF(ISNUMBER(BR55),BR54+BR55,"")</f>
        <v/>
      </c>
      <c r="BS56" s="173">
        <f>IF(ISNUMBER(BS55),BS54+BS55,"")</f>
        <v/>
      </c>
      <c r="BT56" s="173">
        <f>IF(ISNUMBER(BT55),BT54+BT55,"")</f>
        <v/>
      </c>
      <c r="BU56" s="173">
        <f>IF(ISNUMBER(BU55),BU54+BU55,"")</f>
        <v/>
      </c>
      <c r="BV56" s="173">
        <f>IF(ISNUMBER(BV55),BV54+BV55,"")</f>
        <v/>
      </c>
      <c r="BW56" s="175">
        <f>IF(ISNUMBER(BW55),BW54+BW55,"")</f>
        <v/>
      </c>
      <c r="BX56" s="173">
        <f>IF(ISNUMBER(BX55),BX54+BX55,"")</f>
        <v/>
      </c>
      <c r="BY56" s="173">
        <f>IF(ISNUMBER(BY55),BY54+BY55,"")</f>
        <v/>
      </c>
      <c r="BZ56" s="173">
        <f>IF(ISNUMBER(BZ55),BZ54+BZ55,"")</f>
        <v/>
      </c>
      <c r="CA56" s="173">
        <f>IF(ISNUMBER(CA55),CA54+CA55,"")</f>
        <v/>
      </c>
      <c r="CB56" s="173">
        <f>IF(ISNUMBER(CB55),CB54+CB55,"")</f>
        <v/>
      </c>
      <c r="CC56" s="175">
        <f>IF(ISNUMBER(CC55),CC54+CC55,"")</f>
        <v/>
      </c>
      <c r="CD56" s="173">
        <f>IF(ISNUMBER(CD55),CD54+CD55,"")</f>
        <v/>
      </c>
      <c r="CE56" s="173">
        <f>IF(ISNUMBER(CE55),CE54+CE55,"")</f>
        <v/>
      </c>
      <c r="CF56" s="173">
        <f>IF(ISNUMBER(CF55),CF54+CF55,"")</f>
        <v/>
      </c>
      <c r="CG56" s="173">
        <f>IF(ISNUMBER(CG55),CG54+CG55,"")</f>
        <v/>
      </c>
      <c r="CH56" s="173">
        <f>IF(ISNUMBER(CH55),CH54+CH55,"")</f>
        <v/>
      </c>
      <c r="CI56" s="175">
        <f>IF(ISNUMBER(CI55),CI54+CI55,"")</f>
        <v/>
      </c>
      <c r="CJ56" s="173">
        <f>IF(ISNUMBER(CJ55),CJ54+CJ55,"")</f>
        <v/>
      </c>
      <c r="CK56" s="173">
        <f>IF(ISNUMBER(CK55),CK54+CK55,"")</f>
        <v/>
      </c>
      <c r="CL56" s="173">
        <f>IF(ISNUMBER(CL55),CL54+CL55,"")</f>
        <v/>
      </c>
      <c r="CM56" s="175">
        <f>CM52*CM60</f>
        <v/>
      </c>
      <c r="CN56" s="175">
        <f>CN52*CN60</f>
        <v/>
      </c>
      <c r="CO56" s="175">
        <f>SUM(CJ56,CK56,CM56,CN56)</f>
        <v/>
      </c>
      <c r="CP56" s="175">
        <f>CP52*CP60</f>
        <v/>
      </c>
      <c r="CQ56" s="175">
        <f>CQ52*CQ60</f>
        <v/>
      </c>
      <c r="CR56" s="175">
        <f>CR52*CR60</f>
        <v/>
      </c>
      <c r="CS56" s="175">
        <f>CS52*CS60</f>
        <v/>
      </c>
      <c r="CT56" s="22" t="n"/>
      <c r="CV56" s="23">
        <f>IFERROR((CS56/CI56)^(1/5)-1,"n/m")</f>
        <v/>
      </c>
      <c r="CW56" s="23">
        <f>IFERROR((CI56/BE56)^(1/5)-1,"n/m")</f>
        <v/>
      </c>
      <c r="CX56" s="23">
        <f>IFERROR((CI56/AA56)^(1/10)-1,"n/m")</f>
        <v/>
      </c>
      <c r="CY56" s="23">
        <f>IFERROR((CI56/C56)^(1/19)-1,"n/m")</f>
        <v/>
      </c>
      <c r="DB56" s="12" t="inlineStr">
        <is>
          <t xml:space="preserve">  2030E</t>
        </is>
      </c>
      <c r="DC56" s="153">
        <f>DD56+$DC$52</f>
        <v/>
      </c>
      <c r="DD56" s="35" t="n">
        <v>0.195</v>
      </c>
      <c r="DE56" s="153">
        <f>DD56+$DE$52</f>
        <v/>
      </c>
    </row>
    <row r="57" ht="15" customHeight="1">
      <c r="B57" s="36" t="inlineStr">
        <is>
          <t xml:space="preserve">  Memo: cash gross profit as published</t>
        </is>
      </c>
      <c r="C57" s="29" t="n"/>
      <c r="D57" s="29" t="n"/>
      <c r="E57" s="29" t="n"/>
      <c r="F57" s="29" t="n"/>
      <c r="G57" s="29" t="n"/>
      <c r="H57" s="29" t="n"/>
      <c r="I57" s="29" t="n"/>
      <c r="J57" s="29" t="n"/>
      <c r="K57" s="29" t="n"/>
      <c r="L57" s="29" t="n"/>
      <c r="M57" s="29" t="n"/>
      <c r="N57" s="29" t="n"/>
      <c r="O57" s="29" t="n"/>
      <c r="P57" s="29" t="n"/>
      <c r="Q57" s="29" t="n"/>
      <c r="R57" s="29" t="n"/>
      <c r="S57" s="29" t="n"/>
      <c r="T57" s="29" t="n"/>
      <c r="U57" s="169" t="n">
        <v>22.1</v>
      </c>
      <c r="V57" s="169" t="n">
        <v>3.5</v>
      </c>
      <c r="W57" s="29" t="n"/>
      <c r="X57" s="29" t="n"/>
      <c r="Y57" s="29" t="n"/>
      <c r="Z57" s="29" t="n"/>
      <c r="AA57" s="169" t="n">
        <v>31.6</v>
      </c>
      <c r="AB57" s="29" t="n"/>
      <c r="AC57" s="29" t="n"/>
      <c r="AD57" s="29" t="n"/>
      <c r="AE57" s="29" t="n"/>
      <c r="AF57" s="29" t="n"/>
      <c r="AG57" s="29" t="n"/>
      <c r="AH57" s="169" t="n">
        <v>13.5</v>
      </c>
      <c r="AI57" s="29" t="n"/>
      <c r="AJ57" s="29" t="n"/>
      <c r="AK57" s="29" t="n"/>
      <c r="AL57" s="29" t="n"/>
      <c r="AM57" s="29" t="n"/>
      <c r="AN57" s="169" t="n">
        <v>13.7</v>
      </c>
      <c r="AO57" s="29" t="n"/>
      <c r="AP57" s="29" t="n"/>
      <c r="AQ57" s="29" t="n"/>
      <c r="AR57" s="29" t="n"/>
      <c r="AS57" s="29" t="n"/>
      <c r="AT57" s="29" t="n"/>
      <c r="AU57" s="29" t="n"/>
      <c r="AV57" s="29" t="n"/>
      <c r="AW57" s="29" t="n"/>
      <c r="AX57" s="29" t="n"/>
      <c r="AY57" s="29" t="n"/>
      <c r="AZ57" s="30" t="n"/>
      <c r="BA57" s="30" t="n"/>
      <c r="BB57" s="29" t="n"/>
      <c r="BC57" s="30" t="n"/>
      <c r="BD57" s="30" t="n"/>
      <c r="BE57" s="30" t="n"/>
      <c r="BF57" s="30" t="n"/>
      <c r="BG57" s="30" t="n"/>
      <c r="BH57" s="29" t="n"/>
      <c r="BI57" s="30" t="n"/>
      <c r="BJ57" s="30" t="n"/>
      <c r="BK57" s="30" t="n"/>
      <c r="BL57" s="30" t="n"/>
      <c r="BM57" s="30" t="n"/>
      <c r="BN57" s="29" t="n"/>
      <c r="BO57" s="30" t="n"/>
      <c r="BP57" s="169" t="n">
        <v>24.2</v>
      </c>
      <c r="BQ57" s="169" t="n">
        <v>172.4</v>
      </c>
      <c r="BR57" s="169" t="n">
        <v>18</v>
      </c>
      <c r="BS57" s="169" t="n">
        <v>46.5</v>
      </c>
      <c r="BT57" s="170">
        <f>BR57+BS57</f>
        <v/>
      </c>
      <c r="BU57" s="169" t="n">
        <v>46.5</v>
      </c>
      <c r="BV57" s="169" t="n">
        <v>23.8</v>
      </c>
      <c r="BW57" s="169" t="n">
        <v>134.9</v>
      </c>
      <c r="BX57" s="169" t="n">
        <v>9.199999999999999</v>
      </c>
      <c r="BY57" s="169" t="n">
        <v>16.6</v>
      </c>
      <c r="BZ57" s="170">
        <f>BX57+BY57</f>
        <v/>
      </c>
      <c r="CA57" s="169" t="n">
        <v>17.4</v>
      </c>
      <c r="CB57" s="169" t="n">
        <v>15.2</v>
      </c>
      <c r="CC57" s="169" t="n">
        <v>58.3</v>
      </c>
      <c r="CD57" s="169" t="n">
        <v>18.6</v>
      </c>
      <c r="CE57" s="169" t="n">
        <v>27.5</v>
      </c>
      <c r="CF57" s="170">
        <f>CD57+CE57</f>
        <v/>
      </c>
      <c r="CG57" s="169" t="n">
        <v>30.6</v>
      </c>
      <c r="CH57" s="169" t="n">
        <v>21.2</v>
      </c>
      <c r="CI57" s="169" t="n">
        <v>97.90000000000001</v>
      </c>
      <c r="CJ57" s="169" t="n">
        <v>14.2</v>
      </c>
      <c r="CK57" s="169" t="n">
        <v>12.3</v>
      </c>
      <c r="CL57" s="170">
        <f>CJ57+CK57</f>
        <v/>
      </c>
      <c r="CM57" s="31" t="n"/>
      <c r="CN57" s="31" t="n"/>
      <c r="CO57" s="31" t="n"/>
      <c r="CP57" s="31" t="n"/>
      <c r="CQ57" s="31" t="n"/>
      <c r="CR57" s="31" t="n"/>
      <c r="CS57" s="31" t="n"/>
      <c r="CT57" s="22" t="n"/>
      <c r="CV57" s="6" t="n"/>
      <c r="CW57" s="6" t="n"/>
      <c r="CX57" s="6" t="n"/>
      <c r="CY57" s="6" t="n"/>
    </row>
    <row r="58" ht="15" customHeight="1">
      <c r="B58" s="38" t="inlineStr">
        <is>
          <t xml:space="preserve">  Check: build vs published (should be 0)</t>
        </is>
      </c>
      <c r="C58" s="176">
        <f>IF(ISNUMBER(C57),ROUND(C56-C57,1),"n/p")</f>
        <v/>
      </c>
      <c r="D58" s="176">
        <f>IF(ISNUMBER(D57),ROUND(D56-D57,1),"n/p")</f>
        <v/>
      </c>
      <c r="E58" s="176">
        <f>IF(ISNUMBER(E57),ROUND(E56-E57,1),"n/p")</f>
        <v/>
      </c>
      <c r="F58" s="176">
        <f>IF(ISNUMBER(F57),ROUND(F56-F57,1),"n/p")</f>
        <v/>
      </c>
      <c r="G58" s="176">
        <f>IF(ISNUMBER(G57),ROUND(G56-G57,1),"n/p")</f>
        <v/>
      </c>
      <c r="H58" s="176">
        <f>IF(ISNUMBER(H57),ROUND(H56-H57,1),"n/p")</f>
        <v/>
      </c>
      <c r="I58" s="176">
        <f>IF(ISNUMBER(I57),ROUND(I56-I57,1),"n/p")</f>
        <v/>
      </c>
      <c r="J58" s="176">
        <f>IF(ISNUMBER(J57),ROUND(J56-J57,1),"n/p")</f>
        <v/>
      </c>
      <c r="K58" s="176">
        <f>IF(ISNUMBER(K57),ROUND(K56-K57,1),"n/p")</f>
        <v/>
      </c>
      <c r="L58" s="176">
        <f>IF(ISNUMBER(L57),ROUND(L56-L57,1),"n/p")</f>
        <v/>
      </c>
      <c r="M58" s="176">
        <f>IF(ISNUMBER(M57),ROUND(M56-M57,1),"n/p")</f>
        <v/>
      </c>
      <c r="N58" s="176">
        <f>IF(ISNUMBER(N57),ROUND(N56-N57,1),"n/p")</f>
        <v/>
      </c>
      <c r="O58" s="176">
        <f>IF(ISNUMBER(O57),ROUND(O56-O57,1),"n/p")</f>
        <v/>
      </c>
      <c r="P58" s="176">
        <f>IF(ISNUMBER(P57),ROUND(P56-P57,1),"n/p")</f>
        <v/>
      </c>
      <c r="Q58" s="176">
        <f>IF(ISNUMBER(Q57),ROUND(Q56-Q57,1),"n/p")</f>
        <v/>
      </c>
      <c r="R58" s="176">
        <f>IF(ISNUMBER(R57),ROUND(R56-R57,1),"n/p")</f>
        <v/>
      </c>
      <c r="S58" s="176">
        <f>IF(ISNUMBER(S57),ROUND(S56-S57,1),"n/p")</f>
        <v/>
      </c>
      <c r="T58" s="176">
        <f>IF(ISNUMBER(T57),ROUND(T56-T57,1),"n/p")</f>
        <v/>
      </c>
      <c r="U58" s="176">
        <f>IF(ISNUMBER(U57),ROUND(U56-U57,1),"n/p")</f>
        <v/>
      </c>
      <c r="V58" s="176">
        <f>IF(ISNUMBER(V57),ROUND(V56-V57,1),"n/p")</f>
        <v/>
      </c>
      <c r="W58" s="176">
        <f>IF(ISNUMBER(W57),ROUND(W56-W57,1),"n/p")</f>
        <v/>
      </c>
      <c r="X58" s="176">
        <f>IF(ISNUMBER(X57),ROUND(X56-X57,1),"n/p")</f>
        <v/>
      </c>
      <c r="Y58" s="176">
        <f>IF(ISNUMBER(Y57),ROUND(Y56-Y57,1),"n/p")</f>
        <v/>
      </c>
      <c r="Z58" s="176">
        <f>IF(ISNUMBER(Z57),ROUND(Z56-Z57,1),"n/p")</f>
        <v/>
      </c>
      <c r="AA58" s="176">
        <f>IF(ISNUMBER(AA57),ROUND(AA56-AA57,1),"n/p")</f>
        <v/>
      </c>
      <c r="AB58" s="176">
        <f>IF(ISNUMBER(AB57),ROUND(AB56-AB57,1),"n/p")</f>
        <v/>
      </c>
      <c r="AC58" s="176">
        <f>IF(ISNUMBER(AC57),ROUND(AC56-AC57,1),"n/p")</f>
        <v/>
      </c>
      <c r="AD58" s="176">
        <f>IF(ISNUMBER(AD57),ROUND(AD56-AD57,1),"n/p")</f>
        <v/>
      </c>
      <c r="AE58" s="176">
        <f>IF(ISNUMBER(AE57),ROUND(AE56-AE57,1),"n/p")</f>
        <v/>
      </c>
      <c r="AF58" s="176">
        <f>IF(ISNUMBER(AF57),ROUND(AF56-AF57,1),"n/p")</f>
        <v/>
      </c>
      <c r="AG58" s="176">
        <f>IF(ISNUMBER(AG57),ROUND(AG56-AG57,1),"n/p")</f>
        <v/>
      </c>
      <c r="AH58" s="176">
        <f>IF(ISNUMBER(AH57),ROUND(AH56-AH57,1),"n/p")</f>
        <v/>
      </c>
      <c r="AI58" s="176">
        <f>IF(ISNUMBER(AI57),ROUND(AI56-AI57,1),"n/p")</f>
        <v/>
      </c>
      <c r="AJ58" s="176">
        <f>IF(ISNUMBER(AJ57),ROUND(AJ56-AJ57,1),"n/p")</f>
        <v/>
      </c>
      <c r="AK58" s="176">
        <f>IF(ISNUMBER(AK57),ROUND(AK56-AK57,1),"n/p")</f>
        <v/>
      </c>
      <c r="AL58" s="176">
        <f>IF(ISNUMBER(AL57),ROUND(AL56-AL57,1),"n/p")</f>
        <v/>
      </c>
      <c r="AM58" s="176">
        <f>IF(ISNUMBER(AM57),ROUND(AM56-AM57,1),"n/p")</f>
        <v/>
      </c>
      <c r="AN58" s="176">
        <f>IF(ISNUMBER(AN57),ROUND(AN56-AN57,1),"n/p")</f>
        <v/>
      </c>
      <c r="AO58" s="176">
        <f>IF(ISNUMBER(AO57),ROUND(AO56-AO57,1),"n/p")</f>
        <v/>
      </c>
      <c r="AP58" s="176">
        <f>IF(ISNUMBER(AP57),ROUND(AP56-AP57,1),"n/p")</f>
        <v/>
      </c>
      <c r="AQ58" s="176">
        <f>IF(ISNUMBER(AQ57),ROUND(AQ56-AQ57,1),"n/p")</f>
        <v/>
      </c>
      <c r="AR58" s="176">
        <f>IF(ISNUMBER(AR57),ROUND(AR56-AR57,1),"n/p")</f>
        <v/>
      </c>
      <c r="AS58" s="176">
        <f>IF(ISNUMBER(AS57),ROUND(AS56-AS57,1),"n/p")</f>
        <v/>
      </c>
      <c r="AT58" s="176">
        <f>IF(ISNUMBER(AT57),ROUND(AT56-AT57,1),"n/p")</f>
        <v/>
      </c>
      <c r="AU58" s="176">
        <f>IF(ISNUMBER(AU57),ROUND(AU56-AU57,1),"n/p")</f>
        <v/>
      </c>
      <c r="AV58" s="176">
        <f>IF(ISNUMBER(AV57),ROUND(AV56-AV57,1),"n/p")</f>
        <v/>
      </c>
      <c r="AW58" s="176">
        <f>IF(ISNUMBER(AW57),ROUND(AW56-AW57,1),"n/p")</f>
        <v/>
      </c>
      <c r="AX58" s="176">
        <f>IF(ISNUMBER(AX57),ROUND(AX56-AX57,1),"n/p")</f>
        <v/>
      </c>
      <c r="AY58" s="176">
        <f>IF(ISNUMBER(AY57),ROUND(AY56-AY57,1),"n/p")</f>
        <v/>
      </c>
      <c r="AZ58" s="176">
        <f>IF(ISNUMBER(AZ57),ROUND(AZ56-AZ57,1),"n/p")</f>
        <v/>
      </c>
      <c r="BA58" s="176">
        <f>IF(ISNUMBER(BA57),ROUND(BA56-BA57,1),"n/p")</f>
        <v/>
      </c>
      <c r="BB58" s="176">
        <f>IF(ISNUMBER(BB57),ROUND(BB56-BB57,1),"n/p")</f>
        <v/>
      </c>
      <c r="BC58" s="176">
        <f>IF(ISNUMBER(BC57),ROUND(BC56-BC57,1),"n/p")</f>
        <v/>
      </c>
      <c r="BD58" s="176">
        <f>IF(ISNUMBER(BD57),ROUND(BD56-BD57,1),"n/p")</f>
        <v/>
      </c>
      <c r="BE58" s="176">
        <f>IF(ISNUMBER(BE57),ROUND(BE56-BE57,1),"n/p")</f>
        <v/>
      </c>
      <c r="BF58" s="176">
        <f>IF(ISNUMBER(BF57),ROUND(BF56-BF57,1),"n/p")</f>
        <v/>
      </c>
      <c r="BG58" s="176">
        <f>IF(ISNUMBER(BG57),ROUND(BG56-BG57,1),"n/p")</f>
        <v/>
      </c>
      <c r="BH58" s="176">
        <f>IF(ISNUMBER(BH57),ROUND(BH56-BH57,1),"n/p")</f>
        <v/>
      </c>
      <c r="BI58" s="176">
        <f>IF(ISNUMBER(BI57),ROUND(BI56-BI57,1),"n/p")</f>
        <v/>
      </c>
      <c r="BJ58" s="176">
        <f>IF(ISNUMBER(BJ57),ROUND(BJ56-BJ57,1),"n/p")</f>
        <v/>
      </c>
      <c r="BK58" s="176">
        <f>IF(ISNUMBER(BK57),ROUND(BK56-BK57,1),"n/p")</f>
        <v/>
      </c>
      <c r="BL58" s="176">
        <f>IF(ISNUMBER(BL57),ROUND(BL56-BL57,1),"n/p")</f>
        <v/>
      </c>
      <c r="BM58" s="176">
        <f>IF(ISNUMBER(BM57),ROUND(BM56-BM57,1),"n/p")</f>
        <v/>
      </c>
      <c r="BN58" s="176">
        <f>IF(ISNUMBER(BN57),ROUND(BN56-BN57,1),"n/p")</f>
        <v/>
      </c>
      <c r="BO58" s="176">
        <f>IF(ISNUMBER(BO57),ROUND(BO56-BO57,1),"n/p")</f>
        <v/>
      </c>
      <c r="BP58" s="176">
        <f>IF(ISNUMBER(BP57),ROUND(BP56-BP57,1),"n/p")</f>
        <v/>
      </c>
      <c r="BQ58" s="176">
        <f>IF(ISNUMBER(BQ57),ROUND(BQ56-BQ57,1),"n/p")</f>
        <v/>
      </c>
      <c r="BR58" s="176">
        <f>IF(ISNUMBER(BR57),ROUND(BR56-BR57,1),"n/p")</f>
        <v/>
      </c>
      <c r="BS58" s="176">
        <f>IF(ISNUMBER(BS57),ROUND(BS56-BS57,1),"n/p")</f>
        <v/>
      </c>
      <c r="BT58" s="176">
        <f>IF(ISNUMBER(BT57),ROUND(BT56-BT57,1),"n/p")</f>
        <v/>
      </c>
      <c r="BU58" s="176">
        <f>IF(ISNUMBER(BU57),ROUND(BU56-BU57,1),"n/p")</f>
        <v/>
      </c>
      <c r="BV58" s="176">
        <f>IF(ISNUMBER(BV57),ROUND(BV56-BV57,1),"n/p")</f>
        <v/>
      </c>
      <c r="BW58" s="176">
        <f>IF(ISNUMBER(BW57),ROUND(BW56-BW57,1),"n/p")</f>
        <v/>
      </c>
      <c r="BX58" s="176">
        <f>IF(ISNUMBER(BX57),ROUND(BX56-BX57,1),"n/p")</f>
        <v/>
      </c>
      <c r="BY58" s="176">
        <f>IF(ISNUMBER(BY57),ROUND(BY56-BY57,1),"n/p")</f>
        <v/>
      </c>
      <c r="BZ58" s="176">
        <f>IF(ISNUMBER(BZ57),ROUND(BZ56-BZ57,1),"n/p")</f>
        <v/>
      </c>
      <c r="CA58" s="176">
        <f>IF(ISNUMBER(CA57),ROUND(CA56-CA57,1),"n/p")</f>
        <v/>
      </c>
      <c r="CB58" s="176">
        <f>IF(ISNUMBER(CB57),ROUND(CB56-CB57,1),"n/p")</f>
        <v/>
      </c>
      <c r="CC58" s="176">
        <f>IF(ISNUMBER(CC57),ROUND(CC56-CC57,1),"n/p")</f>
        <v/>
      </c>
      <c r="CD58" s="176">
        <f>IF(ISNUMBER(CD57),ROUND(CD56-CD57,1),"n/p")</f>
        <v/>
      </c>
      <c r="CE58" s="176">
        <f>IF(ISNUMBER(CE57),ROUND(CE56-CE57,1),"n/p")</f>
        <v/>
      </c>
      <c r="CF58" s="176">
        <f>IF(ISNUMBER(CF57),ROUND(CF56-CF57,1),"n/p")</f>
        <v/>
      </c>
      <c r="CG58" s="176">
        <f>IF(ISNUMBER(CG57),ROUND(CG56-CG57,1),"n/p")</f>
        <v/>
      </c>
      <c r="CH58" s="176">
        <f>IF(ISNUMBER(CH57),ROUND(CH56-CH57,1),"n/p")</f>
        <v/>
      </c>
      <c r="CI58" s="176">
        <f>IF(ISNUMBER(CI57),ROUND(CI56-CI57,1),"n/p")</f>
        <v/>
      </c>
      <c r="CJ58" s="176">
        <f>IF(ISNUMBER(CJ57),ROUND(CJ56-CJ57,1),"n/p")</f>
        <v/>
      </c>
      <c r="CK58" s="176">
        <f>IF(ISNUMBER(CK57),ROUND(CK56-CK57,1),"n/p")</f>
        <v/>
      </c>
      <c r="CL58" s="176">
        <f>IF(ISNUMBER(CL57),ROUND(CL56-CL57,1),"n/p")</f>
        <v/>
      </c>
      <c r="CM58" s="31" t="n"/>
      <c r="CN58" s="31" t="n"/>
      <c r="CO58" s="31" t="n"/>
      <c r="CP58" s="31" t="n"/>
      <c r="CQ58" s="31" t="n"/>
      <c r="CR58" s="31" t="n"/>
      <c r="CS58" s="31" t="n"/>
      <c r="CT58" s="22" t="n"/>
      <c r="CV58" s="6" t="n"/>
      <c r="CW58" s="6" t="n"/>
      <c r="CX58" s="6" t="n"/>
      <c r="CY58" s="6" t="n"/>
      <c r="DB58" s="17" t="inlineStr">
        <is>
          <t>CONC_growth (concrete segment revenues y/y)</t>
        </is>
      </c>
      <c r="DC58" s="41" t="n">
        <v>0.02</v>
      </c>
      <c r="DD58" s="24" t="inlineStr">
        <is>
          <t>Δ →</t>
        </is>
      </c>
      <c r="DE58" s="41" t="n">
        <v>-0.03</v>
      </c>
      <c r="DF58" s="15" t="inlineStr">
        <is>
          <t>Remaining East-coast ready-mix after the California sale.</t>
        </is>
      </c>
    </row>
    <row r="59" ht="15" customHeight="1">
      <c r="B59" s="25" t="inlineStr">
        <is>
          <t xml:space="preserve">  Gross margin %</t>
        </is>
      </c>
      <c r="C59" s="179">
        <f>IFERROR(C54/C52,"")</f>
        <v/>
      </c>
      <c r="D59" s="179">
        <f>IFERROR(D54/D52,"")</f>
        <v/>
      </c>
      <c r="E59" s="179">
        <f>IFERROR(E54/E52,"")</f>
        <v/>
      </c>
      <c r="F59" s="179">
        <f>IFERROR(F54/F52,"")</f>
        <v/>
      </c>
      <c r="G59" s="179">
        <f>IFERROR(G54/G52,"")</f>
        <v/>
      </c>
      <c r="H59" s="179">
        <f>IFERROR(H54/H52,"")</f>
        <v/>
      </c>
      <c r="I59" s="179">
        <f>IFERROR(I54/I52,"")</f>
        <v/>
      </c>
      <c r="J59" s="179">
        <f>IFERROR(J54/J52,"")</f>
        <v/>
      </c>
      <c r="K59" s="179">
        <f>IFERROR(K54/K52,"")</f>
        <v/>
      </c>
      <c r="L59" s="179">
        <f>IFERROR(L54/L52,"")</f>
        <v/>
      </c>
      <c r="M59" s="179">
        <f>IFERROR(M54/M52,"")</f>
        <v/>
      </c>
      <c r="N59" s="179">
        <f>IFERROR(N54/N52,"")</f>
        <v/>
      </c>
      <c r="O59" s="179">
        <f>IFERROR(O54/O52,"")</f>
        <v/>
      </c>
      <c r="P59" s="179">
        <f>IFERROR(P54/P52,"")</f>
        <v/>
      </c>
      <c r="Q59" s="179">
        <f>IFERROR(Q54/Q52,"")</f>
        <v/>
      </c>
      <c r="R59" s="179">
        <f>IFERROR(R54/R52,"")</f>
        <v/>
      </c>
      <c r="S59" s="179">
        <f>IFERROR(S54/S52,"")</f>
        <v/>
      </c>
      <c r="T59" s="179">
        <f>IFERROR(T54/T52,"")</f>
        <v/>
      </c>
      <c r="U59" s="179">
        <f>IFERROR(U54/U52,"")</f>
        <v/>
      </c>
      <c r="V59" s="179">
        <f>IFERROR(V54/V52,"")</f>
        <v/>
      </c>
      <c r="W59" s="179">
        <f>IFERROR(W54/W52,"")</f>
        <v/>
      </c>
      <c r="X59" s="179">
        <f>IFERROR(X54/X52,"")</f>
        <v/>
      </c>
      <c r="Y59" s="179">
        <f>IFERROR(Y54/Y52,"")</f>
        <v/>
      </c>
      <c r="Z59" s="179">
        <f>IFERROR(Z54/Z52,"")</f>
        <v/>
      </c>
      <c r="AA59" s="179">
        <f>IFERROR(AA54/AA52,"")</f>
        <v/>
      </c>
      <c r="AB59" s="179">
        <f>IFERROR(AB54/AB52,"")</f>
        <v/>
      </c>
      <c r="AC59" s="179">
        <f>IFERROR(AC54/AC52,"")</f>
        <v/>
      </c>
      <c r="AD59" s="179">
        <f>IFERROR(AD54/AD52,"")</f>
        <v/>
      </c>
      <c r="AE59" s="179">
        <f>IFERROR(AE54/AE52,"")</f>
        <v/>
      </c>
      <c r="AF59" s="179">
        <f>IFERROR(AF54/AF52,"")</f>
        <v/>
      </c>
      <c r="AG59" s="179">
        <f>IFERROR(AG54/AG52,"")</f>
        <v/>
      </c>
      <c r="AH59" s="179">
        <f>IFERROR(AH54/AH52,"")</f>
        <v/>
      </c>
      <c r="AI59" s="179">
        <f>IFERROR(AI54/AI52,"")</f>
        <v/>
      </c>
      <c r="AJ59" s="179">
        <f>IFERROR(AJ54/AJ52,"")</f>
        <v/>
      </c>
      <c r="AK59" s="179">
        <f>IFERROR(AK54/AK52,"")</f>
        <v/>
      </c>
      <c r="AL59" s="179">
        <f>IFERROR(AL54/AL52,"")</f>
        <v/>
      </c>
      <c r="AM59" s="179">
        <f>IFERROR(AM54/AM52,"")</f>
        <v/>
      </c>
      <c r="AN59" s="179">
        <f>IFERROR(AN54/AN52,"")</f>
        <v/>
      </c>
      <c r="AO59" s="179">
        <f>IFERROR(AO54/AO52,"")</f>
        <v/>
      </c>
      <c r="AP59" s="179">
        <f>IFERROR(AP54/AP52,"")</f>
        <v/>
      </c>
      <c r="AQ59" s="179">
        <f>IFERROR(AQ54/AQ52,"")</f>
        <v/>
      </c>
      <c r="AR59" s="179">
        <f>IFERROR(AR54/AR52,"")</f>
        <v/>
      </c>
      <c r="AS59" s="179">
        <f>IFERROR(AS54/AS52,"")</f>
        <v/>
      </c>
      <c r="AT59" s="179">
        <f>IFERROR(AT54/AT52,"")</f>
        <v/>
      </c>
      <c r="AU59" s="179">
        <f>IFERROR(AU54/AU52,"")</f>
        <v/>
      </c>
      <c r="AV59" s="179">
        <f>IFERROR(AV54/AV52,"")</f>
        <v/>
      </c>
      <c r="AW59" s="179">
        <f>IFERROR(AW54/AW52,"")</f>
        <v/>
      </c>
      <c r="AX59" s="179">
        <f>IFERROR(AX54/AX52,"")</f>
        <v/>
      </c>
      <c r="AY59" s="179">
        <f>IFERROR(AY54/AY52,"")</f>
        <v/>
      </c>
      <c r="AZ59" s="179">
        <f>IFERROR(AZ54/AZ52,"")</f>
        <v/>
      </c>
      <c r="BA59" s="179">
        <f>IFERROR(BA54/BA52,"")</f>
        <v/>
      </c>
      <c r="BB59" s="179">
        <f>IFERROR(BB54/BB52,"")</f>
        <v/>
      </c>
      <c r="BC59" s="179">
        <f>IFERROR(BC54/BC52,"")</f>
        <v/>
      </c>
      <c r="BD59" s="179">
        <f>IFERROR(BD54/BD52,"")</f>
        <v/>
      </c>
      <c r="BE59" s="179">
        <f>IFERROR(BE54/BE52,"")</f>
        <v/>
      </c>
      <c r="BF59" s="179">
        <f>IFERROR(BF54/BF52,"")</f>
        <v/>
      </c>
      <c r="BG59" s="179">
        <f>IFERROR(BG54/BG52,"")</f>
        <v/>
      </c>
      <c r="BH59" s="179">
        <f>IFERROR(BH54/BH52,"")</f>
        <v/>
      </c>
      <c r="BI59" s="179">
        <f>IFERROR(BI54/BI52,"")</f>
        <v/>
      </c>
      <c r="BJ59" s="179">
        <f>IFERROR(BJ54/BJ52,"")</f>
        <v/>
      </c>
      <c r="BK59" s="179">
        <f>IFERROR(BK54/BK52,"")</f>
        <v/>
      </c>
      <c r="BL59" s="179">
        <f>IFERROR(BL54/BL52,"")</f>
        <v/>
      </c>
      <c r="BM59" s="179">
        <f>IFERROR(BM54/BM52,"")</f>
        <v/>
      </c>
      <c r="BN59" s="179">
        <f>IFERROR(BN54/BN52,"")</f>
        <v/>
      </c>
      <c r="BO59" s="179">
        <f>IFERROR(BO54/BO52,"")</f>
        <v/>
      </c>
      <c r="BP59" s="179">
        <f>IFERROR(BP54/BP52,"")</f>
        <v/>
      </c>
      <c r="BQ59" s="179">
        <f>IFERROR(BQ54/BQ52,"")</f>
        <v/>
      </c>
      <c r="BR59" s="179">
        <f>IFERROR(BR54/BR52,"")</f>
        <v/>
      </c>
      <c r="BS59" s="179">
        <f>IFERROR(BS54/BS52,"")</f>
        <v/>
      </c>
      <c r="BT59" s="179">
        <f>IFERROR(BT54/BT52,"")</f>
        <v/>
      </c>
      <c r="BU59" s="179">
        <f>IFERROR(BU54/BU52,"")</f>
        <v/>
      </c>
      <c r="BV59" s="179">
        <f>IFERROR(BV54/BV52,"")</f>
        <v/>
      </c>
      <c r="BW59" s="179">
        <f>IFERROR(BW54/BW52,"")</f>
        <v/>
      </c>
      <c r="BX59" s="179">
        <f>IFERROR(BX54/BX52,"")</f>
        <v/>
      </c>
      <c r="BY59" s="179">
        <f>IFERROR(BY54/BY52,"")</f>
        <v/>
      </c>
      <c r="BZ59" s="179">
        <f>IFERROR(BZ54/BZ52,"")</f>
        <v/>
      </c>
      <c r="CA59" s="179">
        <f>IFERROR(CA54/CA52,"")</f>
        <v/>
      </c>
      <c r="CB59" s="179">
        <f>IFERROR(CB54/CB52,"")</f>
        <v/>
      </c>
      <c r="CC59" s="179">
        <f>IFERROR(CC54/CC52,"")</f>
        <v/>
      </c>
      <c r="CD59" s="179">
        <f>IFERROR(CD54/CD52,"")</f>
        <v/>
      </c>
      <c r="CE59" s="179">
        <f>IFERROR(CE54/CE52,"")</f>
        <v/>
      </c>
      <c r="CF59" s="179">
        <f>IFERROR(CF54/CF52,"")</f>
        <v/>
      </c>
      <c r="CG59" s="179">
        <f>IFERROR(CG54/CG52,"")</f>
        <v/>
      </c>
      <c r="CH59" s="179">
        <f>IFERROR(CH54/CH52,"")</f>
        <v/>
      </c>
      <c r="CI59" s="179">
        <f>IFERROR(CI54/CI52,"")</f>
        <v/>
      </c>
      <c r="CJ59" s="179">
        <f>IFERROR(CJ54/CJ52,"")</f>
        <v/>
      </c>
      <c r="CK59" s="179">
        <f>IFERROR(CK54/CK52,"")</f>
        <v/>
      </c>
      <c r="CL59" s="179">
        <f>IFERROR(CL54/CL52,"")</f>
        <v/>
      </c>
      <c r="CM59" s="165">
        <f>IFERROR(CM54/CM52,"")</f>
        <v/>
      </c>
      <c r="CN59" s="165">
        <f>IFERROR(CN54/CN52,"")</f>
        <v/>
      </c>
      <c r="CO59" s="165">
        <f>IFERROR(CO54/CO52,"")</f>
        <v/>
      </c>
      <c r="CP59" s="165">
        <f>IFERROR(CP54/CP52,"")</f>
        <v/>
      </c>
      <c r="CQ59" s="165">
        <f>IFERROR(CQ54/CQ52,"")</f>
        <v/>
      </c>
      <c r="CR59" s="165">
        <f>IFERROR(CR54/CR52,"")</f>
        <v/>
      </c>
      <c r="CS59" s="165">
        <f>IFERROR(CS54/CS52,"")</f>
        <v/>
      </c>
      <c r="CT59" s="22" t="n"/>
      <c r="CV59" s="40" t="n"/>
      <c r="CW59" s="40" t="n"/>
      <c r="CX59" s="40" t="n"/>
      <c r="CY59" s="40" t="n"/>
      <c r="DB59" s="12" t="inlineStr">
        <is>
          <t xml:space="preserve">  2027E</t>
        </is>
      </c>
      <c r="DC59" s="153">
        <f>DD59+$DC$58</f>
        <v/>
      </c>
      <c r="DD59" s="35" t="n">
        <v>0.02</v>
      </c>
      <c r="DE59" s="153">
        <f>DD59+$DE$58</f>
        <v/>
      </c>
    </row>
    <row r="60" ht="15" customHeight="1">
      <c r="B60" s="25" t="inlineStr">
        <is>
          <t xml:space="preserve">  Cash gross profit margin %</t>
        </is>
      </c>
      <c r="C60" s="179">
        <f>IFERROR(C56/C52,"")</f>
        <v/>
      </c>
      <c r="D60" s="179">
        <f>IFERROR(D56/D52,"")</f>
        <v/>
      </c>
      <c r="E60" s="179">
        <f>IFERROR(E56/E52,"")</f>
        <v/>
      </c>
      <c r="F60" s="179">
        <f>IFERROR(F56/F52,"")</f>
        <v/>
      </c>
      <c r="G60" s="179">
        <f>IFERROR(G56/G52,"")</f>
        <v/>
      </c>
      <c r="H60" s="179">
        <f>IFERROR(H56/H52,"")</f>
        <v/>
      </c>
      <c r="I60" s="179">
        <f>IFERROR(I56/I52,"")</f>
        <v/>
      </c>
      <c r="J60" s="179">
        <f>IFERROR(J56/J52,"")</f>
        <v/>
      </c>
      <c r="K60" s="179">
        <f>IFERROR(K56/K52,"")</f>
        <v/>
      </c>
      <c r="L60" s="179">
        <f>IFERROR(L56/L52,"")</f>
        <v/>
      </c>
      <c r="M60" s="179">
        <f>IFERROR(M56/M52,"")</f>
        <v/>
      </c>
      <c r="N60" s="179">
        <f>IFERROR(N56/N52,"")</f>
        <v/>
      </c>
      <c r="O60" s="179">
        <f>IFERROR(O56/O52,"")</f>
        <v/>
      </c>
      <c r="P60" s="179">
        <f>IFERROR(P56/P52,"")</f>
        <v/>
      </c>
      <c r="Q60" s="179">
        <f>IFERROR(Q56/Q52,"")</f>
        <v/>
      </c>
      <c r="R60" s="179">
        <f>IFERROR(R56/R52,"")</f>
        <v/>
      </c>
      <c r="S60" s="179">
        <f>IFERROR(S56/S52,"")</f>
        <v/>
      </c>
      <c r="T60" s="179">
        <f>IFERROR(T56/T52,"")</f>
        <v/>
      </c>
      <c r="U60" s="179">
        <f>IFERROR(U56/U52,"")</f>
        <v/>
      </c>
      <c r="V60" s="179">
        <f>IFERROR(V56/V52,"")</f>
        <v/>
      </c>
      <c r="W60" s="179">
        <f>IFERROR(W56/W52,"")</f>
        <v/>
      </c>
      <c r="X60" s="179">
        <f>IFERROR(X56/X52,"")</f>
        <v/>
      </c>
      <c r="Y60" s="179">
        <f>IFERROR(Y56/Y52,"")</f>
        <v/>
      </c>
      <c r="Z60" s="179">
        <f>IFERROR(Z56/Z52,"")</f>
        <v/>
      </c>
      <c r="AA60" s="179">
        <f>IFERROR(AA56/AA52,"")</f>
        <v/>
      </c>
      <c r="AB60" s="179">
        <f>IFERROR(AB56/AB52,"")</f>
        <v/>
      </c>
      <c r="AC60" s="179">
        <f>IFERROR(AC56/AC52,"")</f>
        <v/>
      </c>
      <c r="AD60" s="179">
        <f>IFERROR(AD56/AD52,"")</f>
        <v/>
      </c>
      <c r="AE60" s="179">
        <f>IFERROR(AE56/AE52,"")</f>
        <v/>
      </c>
      <c r="AF60" s="179">
        <f>IFERROR(AF56/AF52,"")</f>
        <v/>
      </c>
      <c r="AG60" s="179">
        <f>IFERROR(AG56/AG52,"")</f>
        <v/>
      </c>
      <c r="AH60" s="179">
        <f>IFERROR(AH56/AH52,"")</f>
        <v/>
      </c>
      <c r="AI60" s="179">
        <f>IFERROR(AI56/AI52,"")</f>
        <v/>
      </c>
      <c r="AJ60" s="179">
        <f>IFERROR(AJ56/AJ52,"")</f>
        <v/>
      </c>
      <c r="AK60" s="179">
        <f>IFERROR(AK56/AK52,"")</f>
        <v/>
      </c>
      <c r="AL60" s="179">
        <f>IFERROR(AL56/AL52,"")</f>
        <v/>
      </c>
      <c r="AM60" s="179">
        <f>IFERROR(AM56/AM52,"")</f>
        <v/>
      </c>
      <c r="AN60" s="179">
        <f>IFERROR(AN56/AN52,"")</f>
        <v/>
      </c>
      <c r="AO60" s="179">
        <f>IFERROR(AO56/AO52,"")</f>
        <v/>
      </c>
      <c r="AP60" s="179">
        <f>IFERROR(AP56/AP52,"")</f>
        <v/>
      </c>
      <c r="AQ60" s="179">
        <f>IFERROR(AQ56/AQ52,"")</f>
        <v/>
      </c>
      <c r="AR60" s="179">
        <f>IFERROR(AR56/AR52,"")</f>
        <v/>
      </c>
      <c r="AS60" s="179">
        <f>IFERROR(AS56/AS52,"")</f>
        <v/>
      </c>
      <c r="AT60" s="179">
        <f>IFERROR(AT56/AT52,"")</f>
        <v/>
      </c>
      <c r="AU60" s="179">
        <f>IFERROR(AU56/AU52,"")</f>
        <v/>
      </c>
      <c r="AV60" s="179">
        <f>IFERROR(AV56/AV52,"")</f>
        <v/>
      </c>
      <c r="AW60" s="179">
        <f>IFERROR(AW56/AW52,"")</f>
        <v/>
      </c>
      <c r="AX60" s="179">
        <f>IFERROR(AX56/AX52,"")</f>
        <v/>
      </c>
      <c r="AY60" s="179">
        <f>IFERROR(AY56/AY52,"")</f>
        <v/>
      </c>
      <c r="AZ60" s="179">
        <f>IFERROR(AZ56/AZ52,"")</f>
        <v/>
      </c>
      <c r="BA60" s="179">
        <f>IFERROR(BA56/BA52,"")</f>
        <v/>
      </c>
      <c r="BB60" s="179">
        <f>IFERROR(BB56/BB52,"")</f>
        <v/>
      </c>
      <c r="BC60" s="179">
        <f>IFERROR(BC56/BC52,"")</f>
        <v/>
      </c>
      <c r="BD60" s="179">
        <f>IFERROR(BD56/BD52,"")</f>
        <v/>
      </c>
      <c r="BE60" s="179">
        <f>IFERROR(BE56/BE52,"")</f>
        <v/>
      </c>
      <c r="BF60" s="179">
        <f>IFERROR(BF56/BF52,"")</f>
        <v/>
      </c>
      <c r="BG60" s="179">
        <f>IFERROR(BG56/BG52,"")</f>
        <v/>
      </c>
      <c r="BH60" s="179">
        <f>IFERROR(BH56/BH52,"")</f>
        <v/>
      </c>
      <c r="BI60" s="179">
        <f>IFERROR(BI56/BI52,"")</f>
        <v/>
      </c>
      <c r="BJ60" s="179">
        <f>IFERROR(BJ56/BJ52,"")</f>
        <v/>
      </c>
      <c r="BK60" s="179">
        <f>IFERROR(BK56/BK52,"")</f>
        <v/>
      </c>
      <c r="BL60" s="179">
        <f>IFERROR(BL56/BL52,"")</f>
        <v/>
      </c>
      <c r="BM60" s="179">
        <f>IFERROR(BM56/BM52,"")</f>
        <v/>
      </c>
      <c r="BN60" s="179">
        <f>IFERROR(BN56/BN52,"")</f>
        <v/>
      </c>
      <c r="BO60" s="179">
        <f>IFERROR(BO56/BO52,"")</f>
        <v/>
      </c>
      <c r="BP60" s="179">
        <f>IFERROR(BP56/BP52,"")</f>
        <v/>
      </c>
      <c r="BQ60" s="179">
        <f>IFERROR(BQ56/BQ52,"")</f>
        <v/>
      </c>
      <c r="BR60" s="179">
        <f>IFERROR(BR56/BR52,"")</f>
        <v/>
      </c>
      <c r="BS60" s="179">
        <f>IFERROR(BS56/BS52,"")</f>
        <v/>
      </c>
      <c r="BT60" s="179">
        <f>IFERROR(BT56/BT52,"")</f>
        <v/>
      </c>
      <c r="BU60" s="179">
        <f>IFERROR(BU56/BU52,"")</f>
        <v/>
      </c>
      <c r="BV60" s="179">
        <f>IFERROR(BV56/BV52,"")</f>
        <v/>
      </c>
      <c r="BW60" s="179">
        <f>IFERROR(BW56/BW52,"")</f>
        <v/>
      </c>
      <c r="BX60" s="179">
        <f>IFERROR(BX56/BX52,"")</f>
        <v/>
      </c>
      <c r="BY60" s="179">
        <f>IFERROR(BY56/BY52,"")</f>
        <v/>
      </c>
      <c r="BZ60" s="179">
        <f>IFERROR(BZ56/BZ52,"")</f>
        <v/>
      </c>
      <c r="CA60" s="179">
        <f>IFERROR(CA56/CA52,"")</f>
        <v/>
      </c>
      <c r="CB60" s="179">
        <f>IFERROR(CB56/CB52,"")</f>
        <v/>
      </c>
      <c r="CC60" s="179">
        <f>IFERROR(CC56/CC52,"")</f>
        <v/>
      </c>
      <c r="CD60" s="179">
        <f>IFERROR(CD56/CD52,"")</f>
        <v/>
      </c>
      <c r="CE60" s="179">
        <f>IFERROR(CE56/CE52,"")</f>
        <v/>
      </c>
      <c r="CF60" s="179">
        <f>IFERROR(CF56/CF52,"")</f>
        <v/>
      </c>
      <c r="CG60" s="179">
        <f>IFERROR(CG56/CG52,"")</f>
        <v/>
      </c>
      <c r="CH60" s="179">
        <f>IFERROR(CH56/CH52,"")</f>
        <v/>
      </c>
      <c r="CI60" s="179">
        <f>IFERROR(CI56/CI52,"")</f>
        <v/>
      </c>
      <c r="CJ60" s="179">
        <f>IFERROR(CJ56/CJ52,"")</f>
        <v/>
      </c>
      <c r="CK60" s="179">
        <f>IFERROR(CK56/CK52,"")</f>
        <v/>
      </c>
      <c r="CL60" s="179">
        <f>IFERROR(CL56/CL52,"")</f>
        <v/>
      </c>
      <c r="CM60" s="165">
        <f>$CK$60</f>
        <v/>
      </c>
      <c r="CN60" s="165">
        <f>$CK$60</f>
        <v/>
      </c>
      <c r="CO60" s="165">
        <f>IFERROR(CO56/CO52,"")</f>
        <v/>
      </c>
      <c r="CP60" s="165">
        <f>CHOOSE(MATCH($CT$2,{"Bull","Base","Bear"},0),$DC$65,$DD$65,$DE$65)</f>
        <v/>
      </c>
      <c r="CQ60" s="165">
        <f>CHOOSE(MATCH($CT$2,{"Bull","Base","Bear"},0),$DC$66,$DD$66,$DE$66)</f>
        <v/>
      </c>
      <c r="CR60" s="165">
        <f>CHOOSE(MATCH($CT$2,{"Bull","Base","Bear"},0),$DC$67,$DD$67,$DE$67)</f>
        <v/>
      </c>
      <c r="CS60" s="165">
        <f>CHOOSE(MATCH($CT$2,{"Bull","Base","Bear"},0),$DC$68,$DD$68,$DE$68)</f>
        <v/>
      </c>
      <c r="CT60" s="22" t="inlineStr">
        <is>
          <t>Q3/Q4-26E at the Q2/26 margin (mostly the retained East-coast business). 2027E+: scenario lever (CONC_cashMargin).</t>
        </is>
      </c>
      <c r="CV60" s="40">
        <f>IFERROR(AVERAGE(CO60,CP60,CQ60,CR60,CS60),"n/m")</f>
        <v/>
      </c>
      <c r="CW60" s="40">
        <f>IFERROR(AVERAGE(BK60,BQ60,BW60,CC60,CI60),"n/m")</f>
        <v/>
      </c>
      <c r="CX60" s="40">
        <f>IFERROR(AVERAGE(AG60,AM60,AS60,AY60,BE60,BK60,BQ60,BW60,CC60,CI60),"n/m")</f>
        <v/>
      </c>
      <c r="CY60" s="40">
        <f>IFERROR(AVERAGE(C60,D60,E60,F60,G60,H60,I60,O60,U60,AA60,AG60,AM60,AS60,AY60,BE60,BK60,BQ60,BW60,CC60,CI60),"n/m")</f>
        <v/>
      </c>
      <c r="DB60" s="12" t="inlineStr">
        <is>
          <t xml:space="preserve">  2028E</t>
        </is>
      </c>
      <c r="DC60" s="153">
        <f>DD60+$DC$58</f>
        <v/>
      </c>
      <c r="DD60" s="35" t="n">
        <v>0.02</v>
      </c>
      <c r="DE60" s="153">
        <f>DD60+$DE$58</f>
        <v/>
      </c>
    </row>
    <row r="61" ht="15" customHeight="1">
      <c r="B61" s="46" t="inlineStr">
        <is>
          <t xml:space="preserve">  Divested operations share of prior-year quarter revenues (input)</t>
        </is>
      </c>
      <c r="C61" s="47" t="n"/>
      <c r="D61" s="47" t="n"/>
      <c r="E61" s="47" t="n"/>
      <c r="F61" s="47" t="n"/>
      <c r="G61" s="47" t="n"/>
      <c r="H61" s="47" t="n"/>
      <c r="I61" s="47" t="n"/>
      <c r="J61" s="47" t="n"/>
      <c r="K61" s="47" t="n"/>
      <c r="L61" s="47" t="n"/>
      <c r="M61" s="47" t="n"/>
      <c r="N61" s="47" t="n"/>
      <c r="O61" s="47" t="n"/>
      <c r="P61" s="47" t="n"/>
      <c r="Q61" s="47" t="n"/>
      <c r="R61" s="47" t="n"/>
      <c r="S61" s="47" t="n"/>
      <c r="T61" s="47" t="n"/>
      <c r="U61" s="47" t="n"/>
      <c r="V61" s="47" t="n"/>
      <c r="W61" s="47" t="n"/>
      <c r="X61" s="47" t="n"/>
      <c r="Y61" s="47" t="n"/>
      <c r="Z61" s="47" t="n"/>
      <c r="AA61" s="47" t="n"/>
      <c r="AB61" s="47" t="n"/>
      <c r="AC61" s="47" t="n"/>
      <c r="AD61" s="47" t="n"/>
      <c r="AE61" s="47" t="n"/>
      <c r="AF61" s="47" t="n"/>
      <c r="AG61" s="47" t="n"/>
      <c r="AH61" s="47" t="n"/>
      <c r="AI61" s="47" t="n"/>
      <c r="AJ61" s="47" t="n"/>
      <c r="AK61" s="47" t="n"/>
      <c r="AL61" s="47" t="n"/>
      <c r="AM61" s="47" t="n"/>
      <c r="AN61" s="47" t="n"/>
      <c r="AO61" s="47" t="n"/>
      <c r="AP61" s="47" t="n"/>
      <c r="AQ61" s="47" t="n"/>
      <c r="AR61" s="47" t="n"/>
      <c r="AS61" s="47" t="n"/>
      <c r="AT61" s="47" t="n"/>
      <c r="AU61" s="47" t="n"/>
      <c r="AV61" s="47" t="n"/>
      <c r="AW61" s="47" t="n"/>
      <c r="AX61" s="47" t="n"/>
      <c r="AY61" s="47" t="n"/>
      <c r="AZ61" s="47" t="n"/>
      <c r="BA61" s="47" t="n"/>
      <c r="BB61" s="47" t="n"/>
      <c r="BC61" s="47" t="n"/>
      <c r="BD61" s="47" t="n"/>
      <c r="BE61" s="47" t="n"/>
      <c r="BF61" s="47" t="n"/>
      <c r="BG61" s="47" t="n"/>
      <c r="BH61" s="47" t="n"/>
      <c r="BI61" s="47" t="n"/>
      <c r="BJ61" s="47" t="n"/>
      <c r="BK61" s="47" t="n"/>
      <c r="BL61" s="47" t="n"/>
      <c r="BM61" s="47" t="n"/>
      <c r="BN61" s="47" t="n"/>
      <c r="BO61" s="47" t="n"/>
      <c r="BP61" s="47" t="n"/>
      <c r="BQ61" s="47" t="n"/>
      <c r="BR61" s="47" t="n"/>
      <c r="BS61" s="47" t="n"/>
      <c r="BT61" s="47" t="n"/>
      <c r="BU61" s="47" t="n"/>
      <c r="BV61" s="47" t="n"/>
      <c r="BW61" s="47" t="n"/>
      <c r="BX61" s="47" t="n"/>
      <c r="BY61" s="47" t="n"/>
      <c r="BZ61" s="47" t="n"/>
      <c r="CA61" s="47" t="n"/>
      <c r="CB61" s="47" t="n"/>
      <c r="CC61" s="47" t="n"/>
      <c r="CD61" s="47" t="n"/>
      <c r="CE61" s="47" t="n"/>
      <c r="CF61" s="47" t="n"/>
      <c r="CG61" s="47" t="n"/>
      <c r="CH61" s="47" t="n"/>
      <c r="CI61" s="47" t="n"/>
      <c r="CJ61" s="47" t="n"/>
      <c r="CK61" s="47" t="n"/>
      <c r="CL61" s="47" t="n"/>
      <c r="CM61" s="182" t="n">
        <v>0.46</v>
      </c>
      <c r="CN61" s="182" t="n">
        <v>0.46</v>
      </c>
      <c r="CO61" s="48" t="n"/>
      <c r="CP61" s="49" t="n"/>
      <c r="CQ61" s="49" t="n"/>
      <c r="CR61" s="49" t="n"/>
      <c r="CS61" s="49" t="n"/>
      <c r="CT61" s="22" t="inlineStr">
        <is>
          <t>California ready-mixed concrete (sold Jun-26; revenues not disclosed). Analyst estimate: Q2/26 concrete revenues −15% y/y with two of three months of California ownership ⇒ ~46% share.</t>
        </is>
      </c>
      <c r="CV61" s="6" t="n"/>
      <c r="CW61" s="6" t="n"/>
      <c r="CX61" s="6" t="n"/>
      <c r="CY61" s="6" t="n"/>
      <c r="DB61" s="12" t="inlineStr">
        <is>
          <t xml:space="preserve">  2029E</t>
        </is>
      </c>
      <c r="DC61" s="153">
        <f>DD61+$DC$58</f>
        <v/>
      </c>
      <c r="DD61" s="35" t="n">
        <v>0.02</v>
      </c>
      <c r="DE61" s="153">
        <f>DD61+$DE$58</f>
        <v/>
      </c>
    </row>
    <row r="62" ht="15" customHeight="1">
      <c r="B62" s="12" t="n"/>
      <c r="CM62" s="6" t="n"/>
      <c r="CN62" s="6" t="n"/>
      <c r="CO62" s="6" t="n"/>
      <c r="CP62" s="6" t="n"/>
      <c r="CQ62" s="6" t="n"/>
      <c r="CR62" s="6" t="n"/>
      <c r="CS62" s="6" t="n"/>
      <c r="CT62" s="6" t="n"/>
      <c r="DB62" s="12" t="inlineStr">
        <is>
          <t xml:space="preserve">  2030E</t>
        </is>
      </c>
      <c r="DC62" s="153">
        <f>DD62+$DC$58</f>
        <v/>
      </c>
      <c r="DD62" s="35" t="n">
        <v>0.02</v>
      </c>
      <c r="DE62" s="153">
        <f>DD62+$DE$58</f>
        <v/>
      </c>
    </row>
    <row r="63" hidden="1" outlineLevel="1" ht="15" customHeight="1">
      <c r="B63" s="16" t="inlineStr">
        <is>
          <t>Legacy segments (memo; Cement 2007–Q1/14 sold to Cementos Argos; Calcium; included in group totals)</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c r="AI63" s="16" t="n"/>
      <c r="AJ63" s="16" t="n"/>
      <c r="AK63" s="16" t="n"/>
      <c r="AL63" s="16" t="n"/>
      <c r="AM63" s="16" t="n"/>
      <c r="AN63" s="16" t="n"/>
      <c r="AO63" s="16" t="n"/>
      <c r="AP63" s="16" t="n"/>
      <c r="AQ63" s="16" t="n"/>
      <c r="AR63" s="16" t="n"/>
      <c r="AS63" s="16" t="n"/>
      <c r="AT63" s="16" t="n"/>
      <c r="AU63" s="16" t="n"/>
      <c r="AV63" s="16" t="n"/>
      <c r="AW63" s="16" t="n"/>
      <c r="AX63" s="16" t="n"/>
      <c r="AY63" s="16" t="n"/>
      <c r="AZ63" s="16" t="n"/>
      <c r="BA63" s="16" t="n"/>
      <c r="BB63" s="16" t="n"/>
      <c r="BC63" s="16" t="n"/>
      <c r="BD63" s="16" t="n"/>
      <c r="BE63" s="16" t="n"/>
      <c r="BF63" s="16" t="n"/>
      <c r="BG63" s="16" t="n"/>
      <c r="BH63" s="16" t="n"/>
      <c r="BI63" s="16" t="n"/>
      <c r="BJ63" s="16" t="n"/>
      <c r="BK63" s="16" t="n"/>
      <c r="BL63" s="16" t="n"/>
      <c r="BM63" s="16" t="n"/>
      <c r="BN63" s="16" t="n"/>
      <c r="BO63" s="16" t="n"/>
      <c r="BP63" s="16" t="n"/>
      <c r="BQ63" s="16" t="n"/>
      <c r="BR63" s="16" t="n"/>
      <c r="BS63" s="16" t="n"/>
      <c r="BT63" s="16" t="n"/>
      <c r="BU63" s="16" t="n"/>
      <c r="BV63" s="16" t="n"/>
      <c r="BW63" s="16" t="n"/>
      <c r="BX63" s="16" t="n"/>
      <c r="BY63" s="16" t="n"/>
      <c r="BZ63" s="16" t="n"/>
      <c r="CA63" s="16" t="n"/>
      <c r="CB63" s="16" t="n"/>
      <c r="CC63" s="16" t="n"/>
      <c r="CD63" s="16" t="n"/>
      <c r="CE63" s="16" t="n"/>
      <c r="CF63" s="16" t="n"/>
      <c r="CG63" s="16" t="n"/>
      <c r="CH63" s="16" t="n"/>
      <c r="CI63" s="16" t="n"/>
      <c r="CJ63" s="16" t="n"/>
      <c r="CK63" s="16" t="n"/>
      <c r="CL63" s="16" t="n"/>
      <c r="CM63" s="16" t="n"/>
      <c r="CN63" s="16" t="n"/>
      <c r="CO63" s="16" t="n"/>
      <c r="CP63" s="16" t="n"/>
      <c r="CQ63" s="16" t="n"/>
      <c r="CR63" s="16" t="n"/>
      <c r="CS63" s="16" t="n"/>
      <c r="CT63" s="17" t="inlineStr">
        <is>
          <t>LEGACY SEGMENTS — included in the group build historically; not forecast</t>
        </is>
      </c>
    </row>
    <row r="64" hidden="1" outlineLevel="1" ht="15" customHeight="1">
      <c r="B64" s="12" t="inlineStr">
        <is>
          <t xml:space="preserve">  Cement — segment revenues</t>
        </is>
      </c>
      <c r="C64" s="29" t="n"/>
      <c r="D64" s="169" t="n">
        <v>7.7</v>
      </c>
      <c r="E64" s="169" t="n">
        <v>106.5</v>
      </c>
      <c r="F64" s="169" t="n">
        <v>72.5</v>
      </c>
      <c r="G64" s="169" t="n">
        <v>80.2</v>
      </c>
      <c r="H64" s="169" t="n">
        <v>71.90000000000001</v>
      </c>
      <c r="I64" s="169" t="n">
        <v>84.59999999999999</v>
      </c>
      <c r="J64" s="169" t="n">
        <v>22.7</v>
      </c>
      <c r="K64" s="169" t="n">
        <v>23.8</v>
      </c>
      <c r="L64" s="170">
        <f>N(J64)+N(K64)</f>
        <v/>
      </c>
      <c r="M64" s="169" t="n">
        <v>25.1</v>
      </c>
      <c r="N64" s="169" t="n">
        <v>25.7</v>
      </c>
      <c r="O64" s="169" t="n">
        <v>97.3</v>
      </c>
      <c r="P64" s="169" t="n">
        <v>17.9</v>
      </c>
      <c r="Q64" s="30" t="n"/>
      <c r="R64" s="170">
        <f>N(P64)+N(Q64)</f>
        <v/>
      </c>
      <c r="S64" s="30" t="n"/>
      <c r="T64" s="30" t="n"/>
      <c r="U64" s="30" t="n"/>
      <c r="V64" s="30" t="n"/>
      <c r="W64" s="30" t="n"/>
      <c r="X64" s="29" t="n"/>
      <c r="Y64" s="30" t="n"/>
      <c r="Z64" s="30" t="n"/>
      <c r="AA64" s="30" t="n"/>
      <c r="AB64" s="30" t="n"/>
      <c r="AC64" s="30" t="n"/>
      <c r="AD64" s="29" t="n"/>
      <c r="AE64" s="30" t="n"/>
      <c r="AF64" s="30" t="n"/>
      <c r="AG64" s="30" t="n"/>
      <c r="AH64" s="30" t="n"/>
      <c r="AI64" s="30" t="n"/>
      <c r="AJ64" s="29" t="n"/>
      <c r="AK64" s="30" t="n"/>
      <c r="AL64" s="30" t="n"/>
      <c r="AM64" s="30" t="n"/>
      <c r="AN64" s="30" t="n"/>
      <c r="AO64" s="30" t="n"/>
      <c r="AP64" s="29" t="n"/>
      <c r="AQ64" s="30" t="n"/>
      <c r="AR64" s="30" t="n"/>
      <c r="AS64" s="30" t="n"/>
      <c r="AT64" s="30" t="n"/>
      <c r="AU64" s="30" t="n"/>
      <c r="AV64" s="29" t="n"/>
      <c r="AW64" s="30" t="n"/>
      <c r="AX64" s="30" t="n"/>
      <c r="AY64" s="30" t="n"/>
      <c r="AZ64" s="30" t="n"/>
      <c r="BA64" s="30" t="n"/>
      <c r="BB64" s="29" t="n"/>
      <c r="BC64" s="30" t="n"/>
      <c r="BD64" s="30" t="n"/>
      <c r="BE64" s="30" t="n"/>
      <c r="BF64" s="30" t="n"/>
      <c r="BG64" s="30" t="n"/>
      <c r="BH64" s="29" t="n"/>
      <c r="BI64" s="30" t="n"/>
      <c r="BJ64" s="30" t="n"/>
      <c r="BK64" s="30" t="n"/>
      <c r="BL64" s="30" t="n"/>
      <c r="BM64" s="30" t="n"/>
      <c r="BN64" s="29" t="n"/>
      <c r="BO64" s="30" t="n"/>
      <c r="BP64" s="30" t="n"/>
      <c r="BQ64" s="30" t="n"/>
      <c r="BR64" s="30" t="n"/>
      <c r="BS64" s="30" t="n"/>
      <c r="BT64" s="29" t="n"/>
      <c r="BU64" s="30" t="n"/>
      <c r="BV64" s="30" t="n"/>
      <c r="BW64" s="30" t="n"/>
      <c r="BX64" s="30" t="n"/>
      <c r="BY64" s="30" t="n"/>
      <c r="BZ64" s="29" t="n"/>
      <c r="CA64" s="30" t="n"/>
      <c r="CB64" s="30" t="n"/>
      <c r="CC64" s="30" t="n"/>
      <c r="CD64" s="30" t="n"/>
      <c r="CE64" s="30" t="n"/>
      <c r="CF64" s="29" t="n"/>
      <c r="CG64" s="30" t="n"/>
      <c r="CH64" s="30" t="n"/>
      <c r="CI64" s="30" t="n"/>
      <c r="CJ64" s="30" t="n"/>
      <c r="CK64" s="30" t="n"/>
      <c r="CL64" s="29" t="n"/>
      <c r="CM64" s="31" t="n"/>
      <c r="CN64" s="31" t="n"/>
      <c r="CO64" s="31" t="n"/>
      <c r="CP64" s="31" t="n"/>
      <c r="CQ64" s="31" t="n"/>
      <c r="CR64" s="31" t="n"/>
      <c r="CS64" s="31" t="n"/>
      <c r="CT64" s="22" t="n"/>
      <c r="CV64" s="23" t="n"/>
      <c r="CW64" s="23" t="n"/>
      <c r="CX64" s="23" t="n"/>
      <c r="CY64" s="23" t="n"/>
      <c r="DB64" s="17" t="inlineStr">
        <is>
          <t>CONC_cashMargin (concrete cash gross profit % of revenues)</t>
        </is>
      </c>
      <c r="DC64" s="41" t="n">
        <v>0.01</v>
      </c>
      <c r="DD64" s="24" t="inlineStr">
        <is>
          <t>Δ →</t>
        </is>
      </c>
      <c r="DE64" s="41" t="n">
        <v>-0.02</v>
      </c>
      <c r="DF64" s="15" t="inlineStr">
        <is>
          <t>FY26 guide implies ~$44m concrete cash gross profit excl. California.</t>
        </is>
      </c>
    </row>
    <row r="65" hidden="1" outlineLevel="1" ht="15" customHeight="1">
      <c r="B65" s="12" t="inlineStr">
        <is>
          <t xml:space="preserve">  Cement — gross profit</t>
        </is>
      </c>
      <c r="C65" s="29" t="n"/>
      <c r="D65" s="169" t="n">
        <v>0</v>
      </c>
      <c r="E65" s="169" t="n">
        <v>17.7</v>
      </c>
      <c r="F65" s="169" t="n">
        <v>-1.8</v>
      </c>
      <c r="G65" s="169" t="n">
        <v>-3.9</v>
      </c>
      <c r="H65" s="169" t="n">
        <v>-4.5</v>
      </c>
      <c r="I65" s="169" t="n">
        <v>-2.8</v>
      </c>
      <c r="J65" s="169" t="n">
        <v>1</v>
      </c>
      <c r="K65" s="169" t="n">
        <v>2.4</v>
      </c>
      <c r="L65" s="170">
        <f>N(J65)+N(K65)</f>
        <v/>
      </c>
      <c r="M65" s="169" t="n">
        <v>-0.5</v>
      </c>
      <c r="N65" s="169" t="n">
        <v>2.8</v>
      </c>
      <c r="O65" s="169" t="n">
        <v>5.6</v>
      </c>
      <c r="P65" s="169" t="n">
        <v>0.1</v>
      </c>
      <c r="Q65" s="30" t="n"/>
      <c r="R65" s="170">
        <f>N(P65)+N(Q65)</f>
        <v/>
      </c>
      <c r="S65" s="30" t="n"/>
      <c r="T65" s="30" t="n"/>
      <c r="U65" s="30" t="n"/>
      <c r="V65" s="30" t="n"/>
      <c r="W65" s="30" t="n"/>
      <c r="X65" s="29" t="n"/>
      <c r="Y65" s="30" t="n"/>
      <c r="Z65" s="30" t="n"/>
      <c r="AA65" s="30" t="n"/>
      <c r="AB65" s="30" t="n"/>
      <c r="AC65" s="30" t="n"/>
      <c r="AD65" s="29" t="n"/>
      <c r="AE65" s="30" t="n"/>
      <c r="AF65" s="30" t="n"/>
      <c r="AG65" s="30" t="n"/>
      <c r="AH65" s="30" t="n"/>
      <c r="AI65" s="30" t="n"/>
      <c r="AJ65" s="29" t="n"/>
      <c r="AK65" s="30" t="n"/>
      <c r="AL65" s="30" t="n"/>
      <c r="AM65" s="30" t="n"/>
      <c r="AN65" s="30" t="n"/>
      <c r="AO65" s="30" t="n"/>
      <c r="AP65" s="29" t="n"/>
      <c r="AQ65" s="30" t="n"/>
      <c r="AR65" s="30" t="n"/>
      <c r="AS65" s="30" t="n"/>
      <c r="AT65" s="30" t="n"/>
      <c r="AU65" s="30" t="n"/>
      <c r="AV65" s="29" t="n"/>
      <c r="AW65" s="30" t="n"/>
      <c r="AX65" s="30" t="n"/>
      <c r="AY65" s="30" t="n"/>
      <c r="AZ65" s="30" t="n"/>
      <c r="BA65" s="30" t="n"/>
      <c r="BB65" s="29" t="n"/>
      <c r="BC65" s="30" t="n"/>
      <c r="BD65" s="30" t="n"/>
      <c r="BE65" s="30" t="n"/>
      <c r="BF65" s="30" t="n"/>
      <c r="BG65" s="30" t="n"/>
      <c r="BH65" s="29" t="n"/>
      <c r="BI65" s="30" t="n"/>
      <c r="BJ65" s="30" t="n"/>
      <c r="BK65" s="30" t="n"/>
      <c r="BL65" s="30" t="n"/>
      <c r="BM65" s="30" t="n"/>
      <c r="BN65" s="29" t="n"/>
      <c r="BO65" s="30" t="n"/>
      <c r="BP65" s="30" t="n"/>
      <c r="BQ65" s="30" t="n"/>
      <c r="BR65" s="30" t="n"/>
      <c r="BS65" s="30" t="n"/>
      <c r="BT65" s="29" t="n"/>
      <c r="BU65" s="30" t="n"/>
      <c r="BV65" s="30" t="n"/>
      <c r="BW65" s="30" t="n"/>
      <c r="BX65" s="30" t="n"/>
      <c r="BY65" s="30" t="n"/>
      <c r="BZ65" s="29" t="n"/>
      <c r="CA65" s="30" t="n"/>
      <c r="CB65" s="30" t="n"/>
      <c r="CC65" s="30" t="n"/>
      <c r="CD65" s="30" t="n"/>
      <c r="CE65" s="30" t="n"/>
      <c r="CF65" s="29" t="n"/>
      <c r="CG65" s="30" t="n"/>
      <c r="CH65" s="30" t="n"/>
      <c r="CI65" s="30" t="n"/>
      <c r="CJ65" s="30" t="n"/>
      <c r="CK65" s="30" t="n"/>
      <c r="CL65" s="29" t="n"/>
      <c r="CM65" s="31" t="n"/>
      <c r="CN65" s="31" t="n"/>
      <c r="CO65" s="31" t="n"/>
      <c r="CP65" s="31" t="n"/>
      <c r="CQ65" s="31" t="n"/>
      <c r="CR65" s="31" t="n"/>
      <c r="CS65" s="31" t="n"/>
      <c r="CT65" s="22" t="n"/>
      <c r="CV65" s="23" t="n"/>
      <c r="CW65" s="23" t="n"/>
      <c r="CX65" s="23" t="n"/>
      <c r="CY65" s="23" t="n"/>
      <c r="DB65" s="12" t="inlineStr">
        <is>
          <t xml:space="preserve">  2027E</t>
        </is>
      </c>
      <c r="DC65" s="153">
        <f>DD65+$DC$64</f>
        <v/>
      </c>
      <c r="DD65" s="35" t="n">
        <v>0.11</v>
      </c>
      <c r="DE65" s="153">
        <f>DD65+$DE$64</f>
        <v/>
      </c>
    </row>
    <row r="66" hidden="1" outlineLevel="1" ht="15" customHeight="1">
      <c r="B66" s="12" t="inlineStr">
        <is>
          <t xml:space="preserve">  Cement — DDA&amp;A</t>
        </is>
      </c>
      <c r="C66" s="29" t="n"/>
      <c r="D66" s="169" t="n">
        <v>1.9</v>
      </c>
      <c r="E66" s="169" t="n">
        <v>14.6</v>
      </c>
      <c r="F66" s="169" t="n">
        <v>16.3</v>
      </c>
      <c r="G66" s="169" t="n">
        <v>20.9</v>
      </c>
      <c r="H66" s="169" t="n">
        <v>18.9</v>
      </c>
      <c r="I66" s="169" t="n">
        <v>18.1</v>
      </c>
      <c r="J66" s="169" t="n">
        <v>3.9</v>
      </c>
      <c r="K66" s="169" t="n">
        <v>4.4</v>
      </c>
      <c r="L66" s="170">
        <f>N(J66)+N(K66)</f>
        <v/>
      </c>
      <c r="M66" s="169" t="n">
        <v>5.4</v>
      </c>
      <c r="N66" s="169" t="n">
        <v>4.3</v>
      </c>
      <c r="O66" s="169" t="n">
        <v>18.1</v>
      </c>
      <c r="P66" s="169" t="n">
        <v>1.1</v>
      </c>
      <c r="Q66" s="30" t="n"/>
      <c r="R66" s="170">
        <f>N(P66)+N(Q66)</f>
        <v/>
      </c>
      <c r="S66" s="30" t="n"/>
      <c r="T66" s="30" t="n"/>
      <c r="U66" s="30" t="n"/>
      <c r="V66" s="30" t="n"/>
      <c r="W66" s="30" t="n"/>
      <c r="X66" s="29" t="n"/>
      <c r="Y66" s="30" t="n"/>
      <c r="Z66" s="30" t="n"/>
      <c r="AA66" s="30" t="n"/>
      <c r="AB66" s="30" t="n"/>
      <c r="AC66" s="30" t="n"/>
      <c r="AD66" s="29" t="n"/>
      <c r="AE66" s="30" t="n"/>
      <c r="AF66" s="30" t="n"/>
      <c r="AG66" s="30" t="n"/>
      <c r="AH66" s="30" t="n"/>
      <c r="AI66" s="30" t="n"/>
      <c r="AJ66" s="29" t="n"/>
      <c r="AK66" s="30" t="n"/>
      <c r="AL66" s="30" t="n"/>
      <c r="AM66" s="30" t="n"/>
      <c r="AN66" s="30" t="n"/>
      <c r="AO66" s="30" t="n"/>
      <c r="AP66" s="29" t="n"/>
      <c r="AQ66" s="30" t="n"/>
      <c r="AR66" s="30" t="n"/>
      <c r="AS66" s="30" t="n"/>
      <c r="AT66" s="30" t="n"/>
      <c r="AU66" s="30" t="n"/>
      <c r="AV66" s="29" t="n"/>
      <c r="AW66" s="30" t="n"/>
      <c r="AX66" s="30" t="n"/>
      <c r="AY66" s="30" t="n"/>
      <c r="AZ66" s="30" t="n"/>
      <c r="BA66" s="30" t="n"/>
      <c r="BB66" s="29" t="n"/>
      <c r="BC66" s="30" t="n"/>
      <c r="BD66" s="30" t="n"/>
      <c r="BE66" s="30" t="n"/>
      <c r="BF66" s="30" t="n"/>
      <c r="BG66" s="30" t="n"/>
      <c r="BH66" s="29" t="n"/>
      <c r="BI66" s="30" t="n"/>
      <c r="BJ66" s="30" t="n"/>
      <c r="BK66" s="30" t="n"/>
      <c r="BL66" s="30" t="n"/>
      <c r="BM66" s="30" t="n"/>
      <c r="BN66" s="29" t="n"/>
      <c r="BO66" s="30" t="n"/>
      <c r="BP66" s="30" t="n"/>
      <c r="BQ66" s="30" t="n"/>
      <c r="BR66" s="30" t="n"/>
      <c r="BS66" s="30" t="n"/>
      <c r="BT66" s="29" t="n"/>
      <c r="BU66" s="30" t="n"/>
      <c r="BV66" s="30" t="n"/>
      <c r="BW66" s="30" t="n"/>
      <c r="BX66" s="30" t="n"/>
      <c r="BY66" s="30" t="n"/>
      <c r="BZ66" s="29" t="n"/>
      <c r="CA66" s="30" t="n"/>
      <c r="CB66" s="30" t="n"/>
      <c r="CC66" s="30" t="n"/>
      <c r="CD66" s="30" t="n"/>
      <c r="CE66" s="30" t="n"/>
      <c r="CF66" s="29" t="n"/>
      <c r="CG66" s="30" t="n"/>
      <c r="CH66" s="30" t="n"/>
      <c r="CI66" s="30" t="n"/>
      <c r="CJ66" s="30" t="n"/>
      <c r="CK66" s="30" t="n"/>
      <c r="CL66" s="29" t="n"/>
      <c r="CM66" s="31" t="n"/>
      <c r="CN66" s="31" t="n"/>
      <c r="CO66" s="31" t="n"/>
      <c r="CP66" s="31" t="n"/>
      <c r="CQ66" s="31" t="n"/>
      <c r="CR66" s="31" t="n"/>
      <c r="CS66" s="31" t="n"/>
      <c r="CT66" s="22" t="n"/>
      <c r="CV66" s="23" t="n"/>
      <c r="CW66" s="23" t="n"/>
      <c r="CX66" s="23" t="n"/>
      <c r="CY66" s="23" t="n"/>
      <c r="DB66" s="12" t="inlineStr">
        <is>
          <t xml:space="preserve">  2028E</t>
        </is>
      </c>
      <c r="DC66" s="153">
        <f>DD66+$DC$64</f>
        <v/>
      </c>
      <c r="DD66" s="35" t="n">
        <v>0.11</v>
      </c>
      <c r="DE66" s="153">
        <f>DD66+$DE$64</f>
        <v/>
      </c>
    </row>
    <row r="67" hidden="1" outlineLevel="1" ht="15" customHeight="1">
      <c r="B67" s="12" t="inlineStr">
        <is>
          <t xml:space="preserve">  Calcium — segment revenues</t>
        </is>
      </c>
      <c r="C67" s="29" t="n"/>
      <c r="D67" s="29" t="n"/>
      <c r="E67" s="30" t="n"/>
      <c r="F67" s="30" t="n"/>
      <c r="G67" s="30" t="n"/>
      <c r="H67" s="30" t="n"/>
      <c r="I67" s="30" t="n"/>
      <c r="J67" s="30" t="n"/>
      <c r="K67" s="30" t="n"/>
      <c r="L67" s="29" t="n"/>
      <c r="M67" s="30" t="n"/>
      <c r="N67" s="30" t="n"/>
      <c r="O67" s="30" t="n"/>
      <c r="P67" s="30" t="n"/>
      <c r="Q67" s="169" t="n">
        <v>2.2</v>
      </c>
      <c r="R67" s="170">
        <f>N(P67)+N(Q67)</f>
        <v/>
      </c>
      <c r="S67" s="169" t="n">
        <v>2.3</v>
      </c>
      <c r="T67" s="169" t="n">
        <v>2.5</v>
      </c>
      <c r="U67" s="169" t="n">
        <v>25</v>
      </c>
      <c r="V67" s="169" t="n">
        <v>1.8</v>
      </c>
      <c r="W67" s="169" t="n">
        <v>2.4</v>
      </c>
      <c r="X67" s="170">
        <f>N(V67)+N(W67)</f>
        <v/>
      </c>
      <c r="Y67" s="169" t="n">
        <v>2.2</v>
      </c>
      <c r="Z67" s="169" t="n">
        <v>2.1</v>
      </c>
      <c r="AA67" s="169" t="n">
        <v>8.6</v>
      </c>
      <c r="AB67" s="169" t="n">
        <v>1.9</v>
      </c>
      <c r="AC67" s="169" t="n">
        <v>2.4</v>
      </c>
      <c r="AD67" s="170">
        <f>N(AB67)+N(AC67)</f>
        <v/>
      </c>
      <c r="AE67" s="169" t="n">
        <v>2.4</v>
      </c>
      <c r="AF67" s="169" t="n">
        <v>2.1</v>
      </c>
      <c r="AG67" s="169" t="n">
        <v>8.9</v>
      </c>
      <c r="AH67" s="169" t="n">
        <v>1.9</v>
      </c>
      <c r="AI67" s="169" t="n">
        <v>2</v>
      </c>
      <c r="AJ67" s="170">
        <f>N(AH67)+N(AI67)</f>
        <v/>
      </c>
      <c r="AK67" s="169" t="n">
        <v>2</v>
      </c>
      <c r="AL67" s="169" t="n">
        <v>1.9</v>
      </c>
      <c r="AM67" s="169" t="n">
        <v>7.7</v>
      </c>
      <c r="AN67" s="169" t="n">
        <v>1.9</v>
      </c>
      <c r="AO67" s="169" t="n">
        <v>2.3</v>
      </c>
      <c r="AP67" s="170">
        <f>N(AN67)+N(AO67)</f>
        <v/>
      </c>
      <c r="AQ67" s="169" t="n">
        <v>1.9</v>
      </c>
      <c r="AR67" s="169" t="n">
        <v>2</v>
      </c>
      <c r="AS67" s="169" t="n">
        <v>8.1</v>
      </c>
      <c r="AT67" s="169" t="n">
        <v>2</v>
      </c>
      <c r="AU67" s="169" t="n">
        <v>2</v>
      </c>
      <c r="AV67" s="170">
        <f>N(AT67)+N(AU67)</f>
        <v/>
      </c>
      <c r="AW67" s="169" t="n">
        <v>2.1</v>
      </c>
      <c r="AX67" s="169" t="n">
        <v>2.1</v>
      </c>
      <c r="AY67" s="169" t="n">
        <v>8.199999999999999</v>
      </c>
      <c r="AZ67" s="169" t="n">
        <v>2</v>
      </c>
      <c r="BA67" s="169" t="n">
        <v>1.9</v>
      </c>
      <c r="BB67" s="170">
        <f>N(AZ67)+N(BA67)</f>
        <v/>
      </c>
      <c r="BC67" s="169" t="n">
        <v>1.4</v>
      </c>
      <c r="BD67" s="169" t="n">
        <v>2.5</v>
      </c>
      <c r="BE67" s="169" t="n">
        <v>7.7</v>
      </c>
      <c r="BF67" s="169" t="n">
        <v>2.1</v>
      </c>
      <c r="BG67" s="169" t="n">
        <v>2</v>
      </c>
      <c r="BH67" s="170">
        <f>N(BF67)+N(BG67)</f>
        <v/>
      </c>
      <c r="BI67" s="169" t="n">
        <v>1.5</v>
      </c>
      <c r="BJ67" s="169" t="n">
        <v>1.4</v>
      </c>
      <c r="BK67" s="169" t="n">
        <v>6.9</v>
      </c>
      <c r="BL67" s="169" t="n">
        <v>1.9</v>
      </c>
      <c r="BM67" s="169" t="n">
        <v>1.4</v>
      </c>
      <c r="BN67" s="170">
        <f>N(BL67)+N(BM67)</f>
        <v/>
      </c>
      <c r="BO67" s="169" t="n">
        <v>2.1</v>
      </c>
      <c r="BP67" s="169" t="n">
        <v>2.4</v>
      </c>
      <c r="BQ67" s="169" t="n">
        <v>7.8</v>
      </c>
      <c r="BR67" s="169" t="n">
        <v>2.3</v>
      </c>
      <c r="BS67" s="169" t="n">
        <v>2.4</v>
      </c>
      <c r="BT67" s="170">
        <f>N(BR67)+N(BS67)</f>
        <v/>
      </c>
      <c r="BU67" s="169" t="n">
        <v>2.3</v>
      </c>
      <c r="BV67" s="169" t="n">
        <v>2</v>
      </c>
      <c r="BW67" s="169" t="n">
        <v>9</v>
      </c>
      <c r="BX67" s="30" t="n"/>
      <c r="BY67" s="30" t="n"/>
      <c r="BZ67" s="29" t="n"/>
      <c r="CA67" s="30" t="n"/>
      <c r="CB67" s="30" t="n"/>
      <c r="CC67" s="30" t="n"/>
      <c r="CD67" s="30" t="n"/>
      <c r="CE67" s="30" t="n"/>
      <c r="CF67" s="29" t="n"/>
      <c r="CG67" s="30" t="n"/>
      <c r="CH67" s="30" t="n"/>
      <c r="CI67" s="30" t="n"/>
      <c r="CJ67" s="30" t="n"/>
      <c r="CK67" s="30" t="n"/>
      <c r="CL67" s="29" t="n"/>
      <c r="CM67" s="31" t="n"/>
      <c r="CN67" s="31" t="n"/>
      <c r="CO67" s="31" t="n"/>
      <c r="CP67" s="31" t="n"/>
      <c r="CQ67" s="31" t="n"/>
      <c r="CR67" s="31" t="n"/>
      <c r="CS67" s="31" t="n"/>
      <c r="CT67" s="22" t="n"/>
      <c r="CV67" s="23" t="n"/>
      <c r="CW67" s="23" t="n"/>
      <c r="CX67" s="23" t="n"/>
      <c r="CY67" s="23" t="n"/>
      <c r="DB67" s="12" t="inlineStr">
        <is>
          <t xml:space="preserve">  2029E</t>
        </is>
      </c>
      <c r="DC67" s="153">
        <f>DD67+$DC$64</f>
        <v/>
      </c>
      <c r="DD67" s="35" t="n">
        <v>0.115</v>
      </c>
      <c r="DE67" s="153">
        <f>DD67+$DE$64</f>
        <v/>
      </c>
    </row>
    <row r="68" hidden="1" outlineLevel="1" ht="15" customHeight="1">
      <c r="B68" s="12" t="inlineStr">
        <is>
          <t xml:space="preserve">  Calcium — gross profit</t>
        </is>
      </c>
      <c r="C68" s="29" t="n"/>
      <c r="D68" s="29" t="n"/>
      <c r="E68" s="30" t="n"/>
      <c r="F68" s="30" t="n"/>
      <c r="G68" s="30" t="n"/>
      <c r="H68" s="30" t="n"/>
      <c r="I68" s="30" t="n"/>
      <c r="J68" s="30" t="n"/>
      <c r="K68" s="30" t="n"/>
      <c r="L68" s="29" t="n"/>
      <c r="M68" s="30" t="n"/>
      <c r="N68" s="30" t="n"/>
      <c r="O68" s="30" t="n"/>
      <c r="P68" s="30" t="n"/>
      <c r="Q68" s="169" t="n">
        <v>0.8</v>
      </c>
      <c r="R68" s="170">
        <f>N(P68)+N(Q68)</f>
        <v/>
      </c>
      <c r="S68" s="169" t="n">
        <v>1</v>
      </c>
      <c r="T68" s="169" t="n">
        <v>1.1</v>
      </c>
      <c r="U68" s="169" t="n">
        <v>3.2</v>
      </c>
      <c r="V68" s="169" t="n">
        <v>0.6</v>
      </c>
      <c r="W68" s="169" t="n">
        <v>1.1</v>
      </c>
      <c r="X68" s="170">
        <f>N(V68)+N(W68)</f>
        <v/>
      </c>
      <c r="Y68" s="169" t="n">
        <v>0.8</v>
      </c>
      <c r="Z68" s="169" t="n">
        <v>1</v>
      </c>
      <c r="AA68" s="169" t="n">
        <v>3.5</v>
      </c>
      <c r="AB68" s="169" t="n">
        <v>0.6</v>
      </c>
      <c r="AC68" s="169" t="n">
        <v>1.1</v>
      </c>
      <c r="AD68" s="170">
        <f>N(AB68)+N(AC68)</f>
        <v/>
      </c>
      <c r="AE68" s="169" t="n">
        <v>0.8</v>
      </c>
      <c r="AF68" s="169" t="n">
        <v>0.9</v>
      </c>
      <c r="AG68" s="169" t="n">
        <v>3.5</v>
      </c>
      <c r="AH68" s="169" t="n">
        <v>0.7</v>
      </c>
      <c r="AI68" s="169" t="n">
        <v>0.6</v>
      </c>
      <c r="AJ68" s="170">
        <f>N(AH68)+N(AI68)</f>
        <v/>
      </c>
      <c r="AK68" s="169" t="n">
        <v>0.7</v>
      </c>
      <c r="AL68" s="169" t="n">
        <v>0.5</v>
      </c>
      <c r="AM68" s="169" t="n">
        <v>2.5</v>
      </c>
      <c r="AN68" s="169" t="n">
        <v>0.5</v>
      </c>
      <c r="AO68" s="169" t="n">
        <v>0.8</v>
      </c>
      <c r="AP68" s="170">
        <f>N(AN68)+N(AO68)</f>
        <v/>
      </c>
      <c r="AQ68" s="169" t="n">
        <v>0.9</v>
      </c>
      <c r="AR68" s="169" t="n">
        <v>0.5</v>
      </c>
      <c r="AS68" s="169" t="n">
        <v>2.7</v>
      </c>
      <c r="AT68" s="169" t="n">
        <v>0.7</v>
      </c>
      <c r="AU68" s="169" t="n">
        <v>0.8</v>
      </c>
      <c r="AV68" s="170">
        <f>N(AT68)+N(AU68)</f>
        <v/>
      </c>
      <c r="AW68" s="169" t="n">
        <v>0.8</v>
      </c>
      <c r="AX68" s="169" t="n">
        <v>0.8</v>
      </c>
      <c r="AY68" s="169" t="n">
        <v>3.1</v>
      </c>
      <c r="AZ68" s="169" t="n">
        <v>0.8</v>
      </c>
      <c r="BA68" s="169" t="n">
        <v>0.7</v>
      </c>
      <c r="BB68" s="170">
        <f>N(AZ68)+N(BA68)</f>
        <v/>
      </c>
      <c r="BC68" s="169" t="n">
        <v>0.2</v>
      </c>
      <c r="BD68" s="169" t="n">
        <v>1.2</v>
      </c>
      <c r="BE68" s="169" t="n">
        <v>2.9</v>
      </c>
      <c r="BF68" s="169" t="n">
        <v>0.9</v>
      </c>
      <c r="BG68" s="169" t="n">
        <v>0.7</v>
      </c>
      <c r="BH68" s="170">
        <f>N(BF68)+N(BG68)</f>
        <v/>
      </c>
      <c r="BI68" s="169" t="n">
        <v>0.3</v>
      </c>
      <c r="BJ68" s="169" t="n">
        <v>0.3</v>
      </c>
      <c r="BK68" s="169" t="n">
        <v>2.2</v>
      </c>
      <c r="BL68" s="169" t="n">
        <v>0.7</v>
      </c>
      <c r="BM68" s="169" t="n">
        <v>0.2</v>
      </c>
      <c r="BN68" s="170">
        <f>N(BL68)+N(BM68)</f>
        <v/>
      </c>
      <c r="BO68" s="169" t="n">
        <v>0.8</v>
      </c>
      <c r="BP68" s="169" t="n">
        <v>1.1</v>
      </c>
      <c r="BQ68" s="169" t="n">
        <v>2.6</v>
      </c>
      <c r="BR68" s="169" t="n">
        <v>0.8</v>
      </c>
      <c r="BS68" s="169" t="n">
        <v>1.1</v>
      </c>
      <c r="BT68" s="170">
        <f>N(BR68)+N(BS68)</f>
        <v/>
      </c>
      <c r="BU68" s="169" t="n">
        <v>0.7</v>
      </c>
      <c r="BV68" s="169" t="n">
        <v>0.6</v>
      </c>
      <c r="BW68" s="169" t="n">
        <v>3.2</v>
      </c>
      <c r="BX68" s="30" t="n"/>
      <c r="BY68" s="30" t="n"/>
      <c r="BZ68" s="29" t="n"/>
      <c r="CA68" s="30" t="n"/>
      <c r="CB68" s="30" t="n"/>
      <c r="CC68" s="30" t="n"/>
      <c r="CD68" s="30" t="n"/>
      <c r="CE68" s="30" t="n"/>
      <c r="CF68" s="29" t="n"/>
      <c r="CG68" s="30" t="n"/>
      <c r="CH68" s="30" t="n"/>
      <c r="CI68" s="30" t="n"/>
      <c r="CJ68" s="30" t="n"/>
      <c r="CK68" s="30" t="n"/>
      <c r="CL68" s="29" t="n"/>
      <c r="CM68" s="31" t="n"/>
      <c r="CN68" s="31" t="n"/>
      <c r="CO68" s="31" t="n"/>
      <c r="CP68" s="31" t="n"/>
      <c r="CQ68" s="31" t="n"/>
      <c r="CR68" s="31" t="n"/>
      <c r="CS68" s="31" t="n"/>
      <c r="CT68" s="22" t="n"/>
      <c r="CV68" s="23" t="n"/>
      <c r="CW68" s="23" t="n"/>
      <c r="CX68" s="23" t="n"/>
      <c r="CY68" s="23" t="n"/>
      <c r="DB68" s="12" t="inlineStr">
        <is>
          <t xml:space="preserve">  2030E</t>
        </is>
      </c>
      <c r="DC68" s="153">
        <f>DD68+$DC$64</f>
        <v/>
      </c>
      <c r="DD68" s="35" t="n">
        <v>0.115</v>
      </c>
      <c r="DE68" s="153">
        <f>DD68+$DE$64</f>
        <v/>
      </c>
    </row>
    <row r="69" hidden="1" outlineLevel="1" ht="15" customHeight="1">
      <c r="B69" s="12" t="inlineStr">
        <is>
          <t xml:space="preserve">  Calcium — DDA&amp;A</t>
        </is>
      </c>
      <c r="C69" s="29" t="n"/>
      <c r="D69" s="29" t="n"/>
      <c r="E69" s="30" t="n"/>
      <c r="F69" s="30" t="n"/>
      <c r="G69" s="30" t="n"/>
      <c r="H69" s="30" t="n"/>
      <c r="I69" s="30" t="n"/>
      <c r="J69" s="30" t="n"/>
      <c r="K69" s="30" t="n"/>
      <c r="L69" s="29" t="n"/>
      <c r="M69" s="30" t="n"/>
      <c r="N69" s="30" t="n"/>
      <c r="O69" s="30" t="n"/>
      <c r="P69" s="30" t="n"/>
      <c r="Q69" s="169" t="n">
        <v>0.2</v>
      </c>
      <c r="R69" s="170">
        <f>N(P69)+N(Q69)</f>
        <v/>
      </c>
      <c r="S69" s="169" t="n">
        <v>0.2</v>
      </c>
      <c r="T69" s="169" t="n">
        <v>0.1</v>
      </c>
      <c r="U69" s="169" t="n">
        <v>1.6</v>
      </c>
      <c r="V69" s="169" t="n">
        <v>0.2</v>
      </c>
      <c r="W69" s="169" t="n">
        <v>0.2</v>
      </c>
      <c r="X69" s="170">
        <f>N(V69)+N(W69)</f>
        <v/>
      </c>
      <c r="Y69" s="169" t="n">
        <v>0.2</v>
      </c>
      <c r="Z69" s="169" t="n">
        <v>0.2</v>
      </c>
      <c r="AA69" s="169" t="n">
        <v>0.7</v>
      </c>
      <c r="AB69" s="169" t="n">
        <v>0.2</v>
      </c>
      <c r="AC69" s="169" t="n">
        <v>0.2</v>
      </c>
      <c r="AD69" s="170">
        <f>N(AB69)+N(AC69)</f>
        <v/>
      </c>
      <c r="AE69" s="169" t="n">
        <v>0.2</v>
      </c>
      <c r="AF69" s="169" t="n">
        <v>0.2</v>
      </c>
      <c r="AG69" s="169" t="n">
        <v>0.8</v>
      </c>
      <c r="AH69" s="169" t="n">
        <v>0.2</v>
      </c>
      <c r="AI69" s="169" t="n">
        <v>0.2</v>
      </c>
      <c r="AJ69" s="170">
        <f>N(AH69)+N(AI69)</f>
        <v/>
      </c>
      <c r="AK69" s="169" t="n">
        <v>0.2</v>
      </c>
      <c r="AL69" s="169" t="n">
        <v>0.1</v>
      </c>
      <c r="AM69" s="169" t="n">
        <v>0.7</v>
      </c>
      <c r="AN69" s="169" t="n">
        <v>0.1</v>
      </c>
      <c r="AO69" s="169" t="n">
        <v>0.1</v>
      </c>
      <c r="AP69" s="170">
        <f>N(AN69)+N(AO69)</f>
        <v/>
      </c>
      <c r="AQ69" s="169" t="n">
        <v>0.1</v>
      </c>
      <c r="AR69" s="169" t="n">
        <v>0.1</v>
      </c>
      <c r="AS69" s="169" t="n">
        <v>0.3</v>
      </c>
      <c r="AT69" s="169" t="n">
        <v>0.1</v>
      </c>
      <c r="AU69" s="169" t="n">
        <v>0.1</v>
      </c>
      <c r="AV69" s="170">
        <f>N(AT69)+N(AU69)</f>
        <v/>
      </c>
      <c r="AW69" s="169" t="n">
        <v>0.1</v>
      </c>
      <c r="AX69" s="169" t="n">
        <v>0.1</v>
      </c>
      <c r="AY69" s="169" t="n">
        <v>0.2</v>
      </c>
      <c r="AZ69" s="169" t="n">
        <v>0</v>
      </c>
      <c r="BA69" s="169" t="n">
        <v>0</v>
      </c>
      <c r="BB69" s="170">
        <f>N(AZ69)+N(BA69)</f>
        <v/>
      </c>
      <c r="BC69" s="169" t="n">
        <v>0</v>
      </c>
      <c r="BD69" s="169" t="n">
        <v>0</v>
      </c>
      <c r="BE69" s="169" t="n">
        <v>0.2</v>
      </c>
      <c r="BF69" s="169" t="n">
        <v>0</v>
      </c>
      <c r="BG69" s="169" t="n">
        <v>0</v>
      </c>
      <c r="BH69" s="170">
        <f>N(BF69)+N(BG69)</f>
        <v/>
      </c>
      <c r="BI69" s="169" t="n">
        <v>0</v>
      </c>
      <c r="BJ69" s="169" t="n">
        <v>0.1</v>
      </c>
      <c r="BK69" s="169" t="n">
        <v>0.2</v>
      </c>
      <c r="BL69" s="169" t="n">
        <v>0</v>
      </c>
      <c r="BM69" s="169" t="n">
        <v>0.1</v>
      </c>
      <c r="BN69" s="170">
        <f>N(BL69)+N(BM69)</f>
        <v/>
      </c>
      <c r="BO69" s="169" t="n">
        <v>0</v>
      </c>
      <c r="BP69" s="169" t="n">
        <v>0.1</v>
      </c>
      <c r="BQ69" s="169" t="n">
        <v>0.2</v>
      </c>
      <c r="BR69" s="169" t="n">
        <v>0</v>
      </c>
      <c r="BS69" s="169" t="n">
        <v>0</v>
      </c>
      <c r="BT69" s="170">
        <f>N(BR69)+N(BS69)</f>
        <v/>
      </c>
      <c r="BU69" s="169" t="n">
        <v>0</v>
      </c>
      <c r="BV69" s="169" t="n">
        <v>0.1</v>
      </c>
      <c r="BW69" s="169" t="n">
        <v>0.2</v>
      </c>
      <c r="BX69" s="30" t="n"/>
      <c r="BY69" s="30" t="n"/>
      <c r="BZ69" s="29" t="n"/>
      <c r="CA69" s="30" t="n"/>
      <c r="CB69" s="30" t="n"/>
      <c r="CC69" s="30" t="n"/>
      <c r="CD69" s="30" t="n"/>
      <c r="CE69" s="30" t="n"/>
      <c r="CF69" s="29" t="n"/>
      <c r="CG69" s="30" t="n"/>
      <c r="CH69" s="30" t="n"/>
      <c r="CI69" s="30" t="n"/>
      <c r="CJ69" s="30" t="n"/>
      <c r="CK69" s="30" t="n"/>
      <c r="CL69" s="29" t="n"/>
      <c r="CM69" s="31" t="n"/>
      <c r="CN69" s="31" t="n"/>
      <c r="CO69" s="31" t="n"/>
      <c r="CP69" s="31" t="n"/>
      <c r="CQ69" s="31" t="n"/>
      <c r="CR69" s="31" t="n"/>
      <c r="CS69" s="31" t="n"/>
      <c r="CT69" s="22" t="n"/>
      <c r="CV69" s="23" t="n"/>
      <c r="CW69" s="23" t="n"/>
      <c r="CX69" s="23" t="n"/>
      <c r="CY69" s="23" t="n"/>
    </row>
    <row r="70" hidden="1" outlineLevel="1" ht="15" customHeight="1">
      <c r="B70" s="12" t="inlineStr">
        <is>
          <t xml:space="preserve">  Other segment / product line — revenues</t>
        </is>
      </c>
      <c r="C70" s="169" t="n">
        <v>148.3</v>
      </c>
      <c r="D70" s="169" t="n">
        <v>765.7</v>
      </c>
      <c r="E70" s="169" t="n">
        <v>1201.2</v>
      </c>
      <c r="F70" s="169" t="n">
        <v>833.1</v>
      </c>
      <c r="G70" s="30" t="n"/>
      <c r="H70" s="30" t="n"/>
      <c r="I70" s="30" t="n"/>
      <c r="J70" s="30" t="n"/>
      <c r="K70" s="30" t="n"/>
      <c r="L70" s="29" t="n"/>
      <c r="M70" s="30" t="n"/>
      <c r="N70" s="30" t="n"/>
      <c r="O70" s="30" t="n"/>
      <c r="P70" s="30" t="n"/>
      <c r="Q70" s="30" t="n"/>
      <c r="R70" s="29" t="n"/>
      <c r="S70" s="30" t="n"/>
      <c r="T70" s="30" t="n"/>
      <c r="U70" s="30" t="n"/>
      <c r="V70" s="30" t="n"/>
      <c r="W70" s="30" t="n"/>
      <c r="X70" s="29" t="n"/>
      <c r="Y70" s="30" t="n"/>
      <c r="Z70" s="30" t="n"/>
      <c r="AA70" s="30" t="n"/>
      <c r="AB70" s="30" t="n"/>
      <c r="AC70" s="30" t="n"/>
      <c r="AD70" s="29" t="n"/>
      <c r="AE70" s="30" t="n"/>
      <c r="AF70" s="30" t="n"/>
      <c r="AG70" s="30" t="n"/>
      <c r="AH70" s="30" t="n"/>
      <c r="AI70" s="30" t="n"/>
      <c r="AJ70" s="29" t="n"/>
      <c r="AK70" s="30" t="n"/>
      <c r="AL70" s="30" t="n"/>
      <c r="AM70" s="30" t="n"/>
      <c r="AN70" s="30" t="n"/>
      <c r="AO70" s="30" t="n"/>
      <c r="AP70" s="29" t="n"/>
      <c r="AQ70" s="30" t="n"/>
      <c r="AR70" s="30" t="n"/>
      <c r="AS70" s="30" t="n"/>
      <c r="AT70" s="30" t="n"/>
      <c r="AU70" s="30" t="n"/>
      <c r="AV70" s="29" t="n"/>
      <c r="AW70" s="30" t="n"/>
      <c r="AX70" s="30" t="n"/>
      <c r="AY70" s="30" t="n"/>
      <c r="AZ70" s="30" t="n"/>
      <c r="BA70" s="30" t="n"/>
      <c r="BB70" s="29" t="n"/>
      <c r="BC70" s="30" t="n"/>
      <c r="BD70" s="30" t="n"/>
      <c r="BE70" s="30" t="n"/>
      <c r="BF70" s="30" t="n"/>
      <c r="BG70" s="30" t="n"/>
      <c r="BH70" s="29" t="n"/>
      <c r="BI70" s="30" t="n"/>
      <c r="BJ70" s="30" t="n"/>
      <c r="BK70" s="30" t="n"/>
      <c r="BL70" s="30" t="n"/>
      <c r="BM70" s="30" t="n"/>
      <c r="BN70" s="29" t="n"/>
      <c r="BO70" s="30" t="n"/>
      <c r="BP70" s="30" t="n"/>
      <c r="BQ70" s="30" t="n"/>
      <c r="BR70" s="30" t="n"/>
      <c r="BS70" s="30" t="n"/>
      <c r="BT70" s="29" t="n"/>
      <c r="BU70" s="30" t="n"/>
      <c r="BV70" s="30" t="n"/>
      <c r="BW70" s="30" t="n"/>
      <c r="BX70" s="30" t="n"/>
      <c r="BY70" s="30" t="n"/>
      <c r="BZ70" s="29" t="n"/>
      <c r="CA70" s="30" t="n"/>
      <c r="CB70" s="30" t="n"/>
      <c r="CC70" s="30" t="n"/>
      <c r="CD70" s="30" t="n"/>
      <c r="CE70" s="30" t="n"/>
      <c r="CF70" s="29" t="n"/>
      <c r="CG70" s="30" t="n"/>
      <c r="CH70" s="30" t="n"/>
      <c r="CI70" s="30" t="n"/>
      <c r="CJ70" s="30" t="n"/>
      <c r="CK70" s="30" t="n"/>
      <c r="CL70" s="29" t="n"/>
      <c r="CM70" s="31" t="n"/>
      <c r="CN70" s="31" t="n"/>
      <c r="CO70" s="31" t="n"/>
      <c r="CP70" s="31" t="n"/>
      <c r="CQ70" s="31" t="n"/>
      <c r="CR70" s="31" t="n"/>
      <c r="CS70" s="31" t="n"/>
      <c r="CT70" s="22" t="n"/>
      <c r="CV70" s="23" t="n"/>
      <c r="CW70" s="23" t="n"/>
      <c r="CX70" s="23" t="n"/>
      <c r="CY70" s="23" t="n"/>
      <c r="DB70" s="17" t="inlineStr">
        <is>
          <t>M&amp;A_spend (acquisition spend, $m)</t>
        </is>
      </c>
      <c r="DC70" s="43" t="n">
        <v>750</v>
      </c>
      <c r="DD70" s="24" t="inlineStr">
        <is>
          <t>Δ →</t>
        </is>
      </c>
      <c r="DE70" s="43" t="n">
        <v>-500</v>
      </c>
      <c r="DF70" s="15" t="inlineStr">
        <is>
          <t>Aggregates-led bolt-ons; Vulcan deployed ~$2.3bn on Wake Stone / Superior Ready Mix etc. in 2024 and ~$0.1bn in 1H/26.</t>
        </is>
      </c>
    </row>
    <row r="71" hidden="1" outlineLevel="1" ht="15" customHeight="1">
      <c r="B71" s="12" t="inlineStr">
        <is>
          <t xml:space="preserve">  Other segment / product line — gross profit</t>
        </is>
      </c>
      <c r="C71" s="29" t="n"/>
      <c r="D71" s="169" t="n">
        <v>122.2</v>
      </c>
      <c r="E71" s="169" t="n">
        <v>74.40000000000001</v>
      </c>
      <c r="F71" s="169" t="n">
        <v>54.5</v>
      </c>
      <c r="G71" s="30" t="n"/>
      <c r="H71" s="30" t="n"/>
      <c r="I71" s="30" t="n"/>
      <c r="J71" s="30" t="n"/>
      <c r="K71" s="30" t="n"/>
      <c r="L71" s="29" t="n"/>
      <c r="M71" s="30" t="n"/>
      <c r="N71" s="30" t="n"/>
      <c r="O71" s="30" t="n"/>
      <c r="P71" s="30" t="n"/>
      <c r="Q71" s="30" t="n"/>
      <c r="R71" s="29" t="n"/>
      <c r="S71" s="30" t="n"/>
      <c r="T71" s="30" t="n"/>
      <c r="U71" s="30" t="n"/>
      <c r="V71" s="30" t="n"/>
      <c r="W71" s="30" t="n"/>
      <c r="X71" s="29" t="n"/>
      <c r="Y71" s="30" t="n"/>
      <c r="Z71" s="30" t="n"/>
      <c r="AA71" s="30" t="n"/>
      <c r="AB71" s="30" t="n"/>
      <c r="AC71" s="30" t="n"/>
      <c r="AD71" s="29" t="n"/>
      <c r="AE71" s="30" t="n"/>
      <c r="AF71" s="30" t="n"/>
      <c r="AG71" s="30" t="n"/>
      <c r="AH71" s="30" t="n"/>
      <c r="AI71" s="30" t="n"/>
      <c r="AJ71" s="29" t="n"/>
      <c r="AK71" s="30" t="n"/>
      <c r="AL71" s="30" t="n"/>
      <c r="AM71" s="30" t="n"/>
      <c r="AN71" s="30" t="n"/>
      <c r="AO71" s="30" t="n"/>
      <c r="AP71" s="29" t="n"/>
      <c r="AQ71" s="30" t="n"/>
      <c r="AR71" s="30" t="n"/>
      <c r="AS71" s="30" t="n"/>
      <c r="AT71" s="30" t="n"/>
      <c r="AU71" s="30" t="n"/>
      <c r="AV71" s="29" t="n"/>
      <c r="AW71" s="30" t="n"/>
      <c r="AX71" s="30" t="n"/>
      <c r="AY71" s="30" t="n"/>
      <c r="AZ71" s="30" t="n"/>
      <c r="BA71" s="30" t="n"/>
      <c r="BB71" s="29" t="n"/>
      <c r="BC71" s="30" t="n"/>
      <c r="BD71" s="30" t="n"/>
      <c r="BE71" s="30" t="n"/>
      <c r="BF71" s="30" t="n"/>
      <c r="BG71" s="30" t="n"/>
      <c r="BH71" s="29" t="n"/>
      <c r="BI71" s="30" t="n"/>
      <c r="BJ71" s="30" t="n"/>
      <c r="BK71" s="30" t="n"/>
      <c r="BL71" s="30" t="n"/>
      <c r="BM71" s="30" t="n"/>
      <c r="BN71" s="29" t="n"/>
      <c r="BO71" s="30" t="n"/>
      <c r="BP71" s="30" t="n"/>
      <c r="BQ71" s="30" t="n"/>
      <c r="BR71" s="30" t="n"/>
      <c r="BS71" s="30" t="n"/>
      <c r="BT71" s="29" t="n"/>
      <c r="BU71" s="30" t="n"/>
      <c r="BV71" s="30" t="n"/>
      <c r="BW71" s="30" t="n"/>
      <c r="BX71" s="30" t="n"/>
      <c r="BY71" s="30" t="n"/>
      <c r="BZ71" s="29" t="n"/>
      <c r="CA71" s="30" t="n"/>
      <c r="CB71" s="30" t="n"/>
      <c r="CC71" s="30" t="n"/>
      <c r="CD71" s="30" t="n"/>
      <c r="CE71" s="30" t="n"/>
      <c r="CF71" s="29" t="n"/>
      <c r="CG71" s="30" t="n"/>
      <c r="CH71" s="30" t="n"/>
      <c r="CI71" s="30" t="n"/>
      <c r="CJ71" s="30" t="n"/>
      <c r="CK71" s="30" t="n"/>
      <c r="CL71" s="29" t="n"/>
      <c r="CM71" s="31" t="n"/>
      <c r="CN71" s="31" t="n"/>
      <c r="CO71" s="31" t="n"/>
      <c r="CP71" s="31" t="n"/>
      <c r="CQ71" s="31" t="n"/>
      <c r="CR71" s="31" t="n"/>
      <c r="CS71" s="31" t="n"/>
      <c r="CT71" s="22" t="n"/>
      <c r="CV71" s="23" t="n"/>
      <c r="CW71" s="23" t="n"/>
      <c r="CX71" s="23" t="n"/>
      <c r="CY71" s="23" t="n"/>
      <c r="DB71" s="12" t="inlineStr">
        <is>
          <t xml:space="preserve">  2027E</t>
        </is>
      </c>
      <c r="DC71" s="44">
        <f>MAX(0,DD71+$DC$70)</f>
        <v/>
      </c>
      <c r="DD71" s="37" t="n">
        <v>500</v>
      </c>
      <c r="DE71" s="44">
        <f>MAX(0,DD71+$DE$70)</f>
        <v/>
      </c>
    </row>
    <row r="72" hidden="1" outlineLevel="1" ht="15" customHeight="1">
      <c r="B72" s="12" t="inlineStr">
        <is>
          <t xml:space="preserve">  Other segment / product line — DDA&amp;A</t>
        </is>
      </c>
      <c r="C72" s="29" t="n"/>
      <c r="D72" s="169" t="n">
        <v>20.3</v>
      </c>
      <c r="E72" s="169" t="n">
        <v>61</v>
      </c>
      <c r="F72" s="169" t="n">
        <v>61.2</v>
      </c>
      <c r="G72" s="30" t="n"/>
      <c r="H72" s="30" t="n"/>
      <c r="I72" s="30" t="n"/>
      <c r="J72" s="30" t="n"/>
      <c r="K72" s="30" t="n"/>
      <c r="L72" s="29" t="n"/>
      <c r="M72" s="30" t="n"/>
      <c r="N72" s="30" t="n"/>
      <c r="O72" s="30" t="n"/>
      <c r="P72" s="30" t="n"/>
      <c r="Q72" s="30" t="n"/>
      <c r="R72" s="29" t="n"/>
      <c r="S72" s="30" t="n"/>
      <c r="T72" s="30" t="n"/>
      <c r="U72" s="30" t="n"/>
      <c r="V72" s="30" t="n"/>
      <c r="W72" s="30" t="n"/>
      <c r="X72" s="29" t="n"/>
      <c r="Y72" s="30" t="n"/>
      <c r="Z72" s="30" t="n"/>
      <c r="AA72" s="30" t="n"/>
      <c r="AB72" s="30" t="n"/>
      <c r="AC72" s="30" t="n"/>
      <c r="AD72" s="29" t="n"/>
      <c r="AE72" s="30" t="n"/>
      <c r="AF72" s="30" t="n"/>
      <c r="AG72" s="30" t="n"/>
      <c r="AH72" s="30" t="n"/>
      <c r="AI72" s="30" t="n"/>
      <c r="AJ72" s="29" t="n"/>
      <c r="AK72" s="30" t="n"/>
      <c r="AL72" s="30" t="n"/>
      <c r="AM72" s="30" t="n"/>
      <c r="AN72" s="30" t="n"/>
      <c r="AO72" s="30" t="n"/>
      <c r="AP72" s="29" t="n"/>
      <c r="AQ72" s="30" t="n"/>
      <c r="AR72" s="30" t="n"/>
      <c r="AS72" s="30" t="n"/>
      <c r="AT72" s="30" t="n"/>
      <c r="AU72" s="30" t="n"/>
      <c r="AV72" s="29" t="n"/>
      <c r="AW72" s="30" t="n"/>
      <c r="AX72" s="30" t="n"/>
      <c r="AY72" s="30" t="n"/>
      <c r="AZ72" s="30" t="n"/>
      <c r="BA72" s="30" t="n"/>
      <c r="BB72" s="29" t="n"/>
      <c r="BC72" s="30" t="n"/>
      <c r="BD72" s="30" t="n"/>
      <c r="BE72" s="30" t="n"/>
      <c r="BF72" s="30" t="n"/>
      <c r="BG72" s="30" t="n"/>
      <c r="BH72" s="29" t="n"/>
      <c r="BI72" s="30" t="n"/>
      <c r="BJ72" s="30" t="n"/>
      <c r="BK72" s="30" t="n"/>
      <c r="BL72" s="30" t="n"/>
      <c r="BM72" s="30" t="n"/>
      <c r="BN72" s="29" t="n"/>
      <c r="BO72" s="30" t="n"/>
      <c r="BP72" s="30" t="n"/>
      <c r="BQ72" s="30" t="n"/>
      <c r="BR72" s="30" t="n"/>
      <c r="BS72" s="30" t="n"/>
      <c r="BT72" s="29" t="n"/>
      <c r="BU72" s="30" t="n"/>
      <c r="BV72" s="30" t="n"/>
      <c r="BW72" s="30" t="n"/>
      <c r="BX72" s="30" t="n"/>
      <c r="BY72" s="30" t="n"/>
      <c r="BZ72" s="29" t="n"/>
      <c r="CA72" s="30" t="n"/>
      <c r="CB72" s="30" t="n"/>
      <c r="CC72" s="30" t="n"/>
      <c r="CD72" s="30" t="n"/>
      <c r="CE72" s="30" t="n"/>
      <c r="CF72" s="29" t="n"/>
      <c r="CG72" s="30" t="n"/>
      <c r="CH72" s="30" t="n"/>
      <c r="CI72" s="30" t="n"/>
      <c r="CJ72" s="30" t="n"/>
      <c r="CK72" s="30" t="n"/>
      <c r="CL72" s="29" t="n"/>
      <c r="CM72" s="31" t="n"/>
      <c r="CN72" s="31" t="n"/>
      <c r="CO72" s="31" t="n"/>
      <c r="CP72" s="31" t="n"/>
      <c r="CQ72" s="31" t="n"/>
      <c r="CR72" s="31" t="n"/>
      <c r="CS72" s="31" t="n"/>
      <c r="CT72" s="22" t="n"/>
      <c r="CV72" s="23" t="n"/>
      <c r="CW72" s="23" t="n"/>
      <c r="CX72" s="23" t="n"/>
      <c r="CY72" s="23" t="n"/>
      <c r="DB72" s="12" t="inlineStr">
        <is>
          <t xml:space="preserve">  2028E</t>
        </is>
      </c>
      <c r="DC72" s="44">
        <f>MAX(0,DD72+$DC$70)</f>
        <v/>
      </c>
      <c r="DD72" s="37" t="n">
        <v>750</v>
      </c>
      <c r="DE72" s="44">
        <f>MAX(0,DD72+$DE$70)</f>
        <v/>
      </c>
    </row>
    <row r="73" ht="15" customHeight="1">
      <c r="B73" s="12" t="n"/>
      <c r="CM73" s="6" t="n"/>
      <c r="CN73" s="6" t="n"/>
      <c r="CO73" s="6" t="n"/>
      <c r="CP73" s="6" t="n"/>
      <c r="CQ73" s="6" t="n"/>
      <c r="CR73" s="6" t="n"/>
      <c r="CS73" s="6" t="n"/>
      <c r="CT73" s="6" t="n"/>
      <c r="DB73" s="12" t="inlineStr">
        <is>
          <t xml:space="preserve">  2029E</t>
        </is>
      </c>
      <c r="DC73" s="44">
        <f>MAX(0,DD73+$DC$70)</f>
        <v/>
      </c>
      <c r="DD73" s="37" t="n">
        <v>750</v>
      </c>
      <c r="DE73" s="44">
        <f>MAX(0,DD73+$DE$70)</f>
        <v/>
      </c>
    </row>
    <row r="74" ht="15" customHeight="1">
      <c r="B74" s="16" t="inlineStr">
        <is>
          <t>Corporate &amp; reconciling items (segment cash gross profit → Adjusted EBITDA)</t>
        </is>
      </c>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c r="AE74" s="16" t="n"/>
      <c r="AF74" s="16" t="n"/>
      <c r="AG74" s="16" t="n"/>
      <c r="AH74" s="16" t="n"/>
      <c r="AI74" s="16" t="n"/>
      <c r="AJ74" s="16" t="n"/>
      <c r="AK74" s="16" t="n"/>
      <c r="AL74" s="16" t="n"/>
      <c r="AM74" s="16" t="n"/>
      <c r="AN74" s="16" t="n"/>
      <c r="AO74" s="16" t="n"/>
      <c r="AP74" s="16" t="n"/>
      <c r="AQ74" s="16" t="n"/>
      <c r="AR74" s="16" t="n"/>
      <c r="AS74" s="16" t="n"/>
      <c r="AT74" s="16" t="n"/>
      <c r="AU74" s="16" t="n"/>
      <c r="AV74" s="16" t="n"/>
      <c r="AW74" s="16" t="n"/>
      <c r="AX74" s="16" t="n"/>
      <c r="AY74" s="16" t="n"/>
      <c r="AZ74" s="16" t="n"/>
      <c r="BA74" s="16" t="n"/>
      <c r="BB74" s="16" t="n"/>
      <c r="BC74" s="16" t="n"/>
      <c r="BD74" s="16" t="n"/>
      <c r="BE74" s="16" t="n"/>
      <c r="BF74" s="16" t="n"/>
      <c r="BG74" s="16" t="n"/>
      <c r="BH74" s="16" t="n"/>
      <c r="BI74" s="16" t="n"/>
      <c r="BJ74" s="16" t="n"/>
      <c r="BK74" s="16" t="n"/>
      <c r="BL74" s="16" t="n"/>
      <c r="BM74" s="16" t="n"/>
      <c r="BN74" s="16" t="n"/>
      <c r="BO74" s="16" t="n"/>
      <c r="BP74" s="16" t="n"/>
      <c r="BQ74" s="16" t="n"/>
      <c r="BR74" s="16" t="n"/>
      <c r="BS74" s="16" t="n"/>
      <c r="BT74" s="16" t="n"/>
      <c r="BU74" s="16" t="n"/>
      <c r="BV74" s="16" t="n"/>
      <c r="BW74" s="16" t="n"/>
      <c r="BX74" s="16" t="n"/>
      <c r="BY74" s="16" t="n"/>
      <c r="BZ74" s="16" t="n"/>
      <c r="CA74" s="16" t="n"/>
      <c r="CB74" s="16" t="n"/>
      <c r="CC74" s="16" t="n"/>
      <c r="CD74" s="16" t="n"/>
      <c r="CE74" s="16" t="n"/>
      <c r="CF74" s="16" t="n"/>
      <c r="CG74" s="16" t="n"/>
      <c r="CH74" s="16" t="n"/>
      <c r="CI74" s="16" t="n"/>
      <c r="CJ74" s="16" t="n"/>
      <c r="CK74" s="16" t="n"/>
      <c r="CL74" s="16" t="n"/>
      <c r="CM74" s="16" t="n"/>
      <c r="CN74" s="16" t="n"/>
      <c r="CO74" s="16" t="n"/>
      <c r="CP74" s="16" t="n"/>
      <c r="CQ74" s="16" t="n"/>
      <c r="CR74" s="16" t="n"/>
      <c r="CS74" s="16" t="n"/>
      <c r="CT74" s="17" t="inlineStr">
        <is>
          <t>CORPORATE — modelling logic</t>
        </is>
      </c>
      <c r="DB74" s="12" t="inlineStr">
        <is>
          <t xml:space="preserve">  2030E</t>
        </is>
      </c>
      <c r="DC74" s="44">
        <f>MAX(0,DD74+$DC$70)</f>
        <v/>
      </c>
      <c r="DD74" s="37" t="n">
        <v>750</v>
      </c>
      <c r="DE74" s="44">
        <f>MAX(0,DD74+$DE$70)</f>
        <v/>
      </c>
    </row>
    <row r="75" ht="15" customHeight="1">
      <c r="B75" s="12" t="inlineStr">
        <is>
          <t xml:space="preserve">  Intersegment eliminations (total)</t>
        </is>
      </c>
      <c r="C75" s="29" t="n"/>
      <c r="D75" s="29" t="n"/>
      <c r="E75" s="169" t="n">
        <v>-261.4</v>
      </c>
      <c r="F75" s="169" t="n">
        <v>-200.5</v>
      </c>
      <c r="G75" s="169" t="n">
        <v>-194.3</v>
      </c>
      <c r="H75" s="169" t="n">
        <v>-172.6</v>
      </c>
      <c r="I75" s="169" t="n">
        <v>-187.2</v>
      </c>
      <c r="J75" s="169" t="n">
        <v>-44.3</v>
      </c>
      <c r="K75" s="169" t="n">
        <v>-56.4</v>
      </c>
      <c r="L75" s="170">
        <f>N(J75)+N(K75)</f>
        <v/>
      </c>
      <c r="M75" s="169" t="n">
        <v>-68.8</v>
      </c>
      <c r="N75" s="169" t="n">
        <v>-63.2</v>
      </c>
      <c r="O75" s="169" t="n">
        <v>-232.7</v>
      </c>
      <c r="P75" s="169" t="n">
        <v>-52.7</v>
      </c>
      <c r="Q75" s="169" t="n">
        <v>-43.1</v>
      </c>
      <c r="R75" s="170">
        <f>N(P75)+N(Q75)</f>
        <v/>
      </c>
      <c r="S75" s="169" t="n">
        <v>-53</v>
      </c>
      <c r="T75" s="169" t="n">
        <v>-43.8</v>
      </c>
      <c r="U75" s="169" t="n">
        <v>-198.6</v>
      </c>
      <c r="V75" s="169" t="n">
        <v>-36.9</v>
      </c>
      <c r="W75" s="169" t="n">
        <v>-48.2</v>
      </c>
      <c r="X75" s="170">
        <f>N(V75)+N(W75)</f>
        <v/>
      </c>
      <c r="Y75" s="169" t="n">
        <v>-61.4</v>
      </c>
      <c r="Z75" s="169" t="n">
        <v>-47.6</v>
      </c>
      <c r="AA75" s="169" t="n">
        <v>-194.1</v>
      </c>
      <c r="AB75" s="169" t="n">
        <v>-41.5</v>
      </c>
      <c r="AC75" s="169" t="n">
        <v>-60.4</v>
      </c>
      <c r="AD75" s="170">
        <f>N(AB75)+N(AC75)</f>
        <v/>
      </c>
      <c r="AE75" s="169" t="n">
        <v>-64.59999999999999</v>
      </c>
      <c r="AF75" s="169" t="n">
        <v>-53.9</v>
      </c>
      <c r="AG75" s="169" t="n">
        <v>-220.5</v>
      </c>
      <c r="AH75" s="169" t="n">
        <v>-49.4</v>
      </c>
      <c r="AI75" s="169" t="n">
        <v>-69.8</v>
      </c>
      <c r="AJ75" s="170">
        <f>N(AH75)+N(AI75)</f>
        <v/>
      </c>
      <c r="AK75" s="169" t="n">
        <v>-71.40000000000001</v>
      </c>
      <c r="AL75" s="169" t="n">
        <v>-62.8</v>
      </c>
      <c r="AM75" s="169" t="n">
        <v>-253.4</v>
      </c>
      <c r="AN75" s="169" t="n">
        <v>-51.9</v>
      </c>
      <c r="AO75" s="169" t="n">
        <v>-76.90000000000001</v>
      </c>
      <c r="AP75" s="170">
        <f>N(AN75)+N(AO75)</f>
        <v/>
      </c>
      <c r="AQ75" s="169" t="n">
        <v>-78.90000000000001</v>
      </c>
      <c r="AR75" s="169" t="n">
        <v>-66.3</v>
      </c>
      <c r="AS75" s="169" t="n">
        <v>-274.1</v>
      </c>
      <c r="AT75" s="169" t="n">
        <v>-56.1</v>
      </c>
      <c r="AU75" s="169" t="n">
        <v>-87.3</v>
      </c>
      <c r="AV75" s="170">
        <f>N(AT75)+N(AU75)</f>
        <v/>
      </c>
      <c r="AW75" s="169" t="n">
        <v>-99.59999999999999</v>
      </c>
      <c r="AX75" s="169" t="n">
        <v>-77.7</v>
      </c>
      <c r="AY75" s="169" t="n">
        <v>-320.8</v>
      </c>
      <c r="AZ75" s="169" t="n">
        <v>-55.6</v>
      </c>
      <c r="BA75" s="169" t="n">
        <v>-73.5</v>
      </c>
      <c r="BB75" s="170">
        <f>N(AZ75)+N(BA75)</f>
        <v/>
      </c>
      <c r="BC75" s="169" t="n">
        <v>-78.40000000000001</v>
      </c>
      <c r="BD75" s="169" t="n">
        <v>-63.9</v>
      </c>
      <c r="BE75" s="169" t="n">
        <v>-271.4</v>
      </c>
      <c r="BF75" s="169" t="n">
        <v>-57.2</v>
      </c>
      <c r="BG75" s="169" t="n">
        <v>-75.09999999999999</v>
      </c>
      <c r="BH75" s="170">
        <f>N(BF75)+N(BG75)</f>
        <v/>
      </c>
      <c r="BI75" s="169" t="n">
        <v>-97.3</v>
      </c>
      <c r="BJ75" s="169" t="n">
        <v>-114.8</v>
      </c>
      <c r="BK75" s="169" t="n">
        <v>-344.3</v>
      </c>
      <c r="BL75" s="169" t="n">
        <v>-110</v>
      </c>
      <c r="BM75" s="169" t="n">
        <v>-146</v>
      </c>
      <c r="BN75" s="170">
        <f>N(BL75)+N(BM75)</f>
        <v/>
      </c>
      <c r="BO75" s="169" t="n">
        <v>-165</v>
      </c>
      <c r="BP75" s="169" t="n">
        <v>-128.4</v>
      </c>
      <c r="BQ75" s="169" t="n">
        <v>-549.5</v>
      </c>
      <c r="BR75" s="169" t="n">
        <v>-102.5</v>
      </c>
      <c r="BS75" s="169" t="n">
        <v>-148.8</v>
      </c>
      <c r="BT75" s="170">
        <f>N(BR75)+N(BS75)</f>
        <v/>
      </c>
      <c r="BU75" s="169" t="n">
        <v>-154.4</v>
      </c>
      <c r="BV75" s="169" t="n">
        <v>-121.1</v>
      </c>
      <c r="BW75" s="169" t="n">
        <v>-527</v>
      </c>
      <c r="BX75" s="169" t="n">
        <v>-80.09999999999999</v>
      </c>
      <c r="BY75" s="169" t="n">
        <v>-117.6</v>
      </c>
      <c r="BZ75" s="170">
        <f>N(BX75)+N(BY75)</f>
        <v/>
      </c>
      <c r="CA75" s="169" t="n">
        <v>-124</v>
      </c>
      <c r="CB75" s="169" t="n">
        <v>-109.3</v>
      </c>
      <c r="CC75" s="169" t="n">
        <v>-431</v>
      </c>
      <c r="CD75" s="169" t="n">
        <v>-87</v>
      </c>
      <c r="CE75" s="169" t="n">
        <v>-136.7</v>
      </c>
      <c r="CF75" s="170">
        <f>N(CD75)+N(CE75)</f>
        <v/>
      </c>
      <c r="CG75" s="169" t="n">
        <v>-154.2</v>
      </c>
      <c r="CH75" s="169" t="n">
        <v>-119.2</v>
      </c>
      <c r="CI75" s="169" t="n">
        <v>-497.1</v>
      </c>
      <c r="CJ75" s="169" t="n">
        <v>-97.90000000000001</v>
      </c>
      <c r="CK75" s="169" t="n">
        <v>-124</v>
      </c>
      <c r="CL75" s="170">
        <f>N(CJ75)+N(CK75)</f>
        <v/>
      </c>
      <c r="CM75" s="171">
        <f>CM17*CG75/CG17</f>
        <v/>
      </c>
      <c r="CN75" s="171">
        <f>CN17*CH75/CH17</f>
        <v/>
      </c>
      <c r="CO75" s="171">
        <f>SUM(CJ75,CK75,CM75,CN75)</f>
        <v/>
      </c>
      <c r="CP75" s="171">
        <f>CP17*CO75/CO17</f>
        <v/>
      </c>
      <c r="CQ75" s="171">
        <f>CQ17*CP75/CP17</f>
        <v/>
      </c>
      <c r="CR75" s="171">
        <f>CR17*CQ75/CQ17</f>
        <v/>
      </c>
      <c r="CS75" s="171">
        <f>CS17*CR75/CR17</f>
        <v/>
      </c>
      <c r="CT75" s="22" t="inlineStr">
        <is>
          <t>Mostly aggregates sold to the downstream segments; forecast at the prior-year ratio to aggregates revenues.</t>
        </is>
      </c>
      <c r="CV75" s="23" t="n"/>
      <c r="CW75" s="23" t="n"/>
      <c r="CX75" s="23" t="n"/>
      <c r="CY75" s="23" t="n"/>
    </row>
    <row r="76" ht="15" customHeight="1">
      <c r="B76" s="12" t="inlineStr">
        <is>
          <t xml:space="preserve">  Delivery revenues outside segments (pre-2018 presentation)</t>
        </is>
      </c>
      <c r="C76" s="169" t="n">
        <v>301.4</v>
      </c>
      <c r="D76" s="169" t="n">
        <v>237.7</v>
      </c>
      <c r="E76" s="169" t="n">
        <v>198.4</v>
      </c>
      <c r="F76" s="169" t="n">
        <v>146.8</v>
      </c>
      <c r="G76" s="169" t="n">
        <v>152.9</v>
      </c>
      <c r="H76" s="169" t="n">
        <v>157.6</v>
      </c>
      <c r="I76" s="169" t="n">
        <v>156.1</v>
      </c>
      <c r="J76" s="169" t="n">
        <v>33.6</v>
      </c>
      <c r="K76" s="169" t="n">
        <v>42.7</v>
      </c>
      <c r="L76" s="170">
        <f>N(J76)+N(K76)</f>
        <v/>
      </c>
      <c r="M76" s="169" t="n">
        <v>38.4</v>
      </c>
      <c r="N76" s="169" t="n">
        <v>27.4</v>
      </c>
      <c r="O76" s="169" t="n">
        <v>142</v>
      </c>
      <c r="P76" s="169" t="n">
        <v>25.9</v>
      </c>
      <c r="Q76" s="169" t="n">
        <v>34.9</v>
      </c>
      <c r="R76" s="170">
        <f>N(P76)+N(Q76)</f>
        <v/>
      </c>
      <c r="S76" s="30" t="n"/>
      <c r="T76" s="30" t="n"/>
      <c r="U76" s="30" t="n"/>
      <c r="V76" s="30" t="n"/>
      <c r="W76" s="30" t="n"/>
      <c r="X76" s="29" t="n"/>
      <c r="Y76" s="30" t="n"/>
      <c r="Z76" s="30" t="n"/>
      <c r="AA76" s="30" t="n"/>
      <c r="AB76" s="30" t="n"/>
      <c r="AC76" s="30" t="n"/>
      <c r="AD76" s="29" t="n"/>
      <c r="AE76" s="30" t="n"/>
      <c r="AF76" s="30" t="n"/>
      <c r="AG76" s="30" t="n"/>
      <c r="AH76" s="30" t="n"/>
      <c r="AI76" s="30" t="n"/>
      <c r="AJ76" s="29" t="n"/>
      <c r="AK76" s="30" t="n"/>
      <c r="AL76" s="30" t="n"/>
      <c r="AM76" s="30" t="n"/>
      <c r="AN76" s="30" t="n"/>
      <c r="AO76" s="30" t="n"/>
      <c r="AP76" s="29" t="n"/>
      <c r="AQ76" s="30" t="n"/>
      <c r="AR76" s="30" t="n"/>
      <c r="AS76" s="30" t="n"/>
      <c r="AT76" s="30" t="n"/>
      <c r="AU76" s="30" t="n"/>
      <c r="AV76" s="29" t="n"/>
      <c r="AW76" s="30" t="n"/>
      <c r="AX76" s="30" t="n"/>
      <c r="AY76" s="30" t="n"/>
      <c r="AZ76" s="30" t="n"/>
      <c r="BA76" s="30" t="n"/>
      <c r="BB76" s="29" t="n"/>
      <c r="BC76" s="30" t="n"/>
      <c r="BD76" s="30" t="n"/>
      <c r="BE76" s="30" t="n"/>
      <c r="BF76" s="30" t="n"/>
      <c r="BG76" s="30" t="n"/>
      <c r="BH76" s="29" t="n"/>
      <c r="BI76" s="30" t="n"/>
      <c r="BJ76" s="30" t="n"/>
      <c r="BK76" s="30" t="n"/>
      <c r="BL76" s="30" t="n"/>
      <c r="BM76" s="30" t="n"/>
      <c r="BN76" s="29" t="n"/>
      <c r="BO76" s="30" t="n"/>
      <c r="BP76" s="30" t="n"/>
      <c r="BQ76" s="30" t="n"/>
      <c r="BR76" s="30" t="n"/>
      <c r="BS76" s="30" t="n"/>
      <c r="BT76" s="29" t="n"/>
      <c r="BU76" s="30" t="n"/>
      <c r="BV76" s="30" t="n"/>
      <c r="BW76" s="30" t="n"/>
      <c r="BX76" s="30" t="n"/>
      <c r="BY76" s="30" t="n"/>
      <c r="BZ76" s="29" t="n"/>
      <c r="CA76" s="30" t="n"/>
      <c r="CB76" s="30" t="n"/>
      <c r="CC76" s="30" t="n"/>
      <c r="CD76" s="30" t="n"/>
      <c r="CE76" s="30" t="n"/>
      <c r="CF76" s="29" t="n"/>
      <c r="CG76" s="30" t="n"/>
      <c r="CH76" s="30" t="n"/>
      <c r="CI76" s="30" t="n"/>
      <c r="CJ76" s="30" t="n"/>
      <c r="CK76" s="30" t="n"/>
      <c r="CL76" s="29" t="n"/>
      <c r="CM76" s="31" t="n"/>
      <c r="CN76" s="31" t="n"/>
      <c r="CO76" s="31" t="n"/>
      <c r="CP76" s="31" t="n"/>
      <c r="CQ76" s="31" t="n"/>
      <c r="CR76" s="31" t="n"/>
      <c r="CS76" s="31" t="n"/>
      <c r="CT76" s="22" t="n"/>
      <c r="CV76" s="23" t="n"/>
      <c r="CW76" s="23" t="n"/>
      <c r="CX76" s="23" t="n"/>
      <c r="CY76" s="23" t="n"/>
      <c r="DB76" s="17" t="inlineStr">
        <is>
          <t>Buybacks 2H/26E ($m)</t>
        </is>
      </c>
      <c r="DC76" s="43" t="n">
        <v>250</v>
      </c>
      <c r="DD76" s="24" t="inlineStr">
        <is>
          <t>Δ →</t>
        </is>
      </c>
      <c r="DE76" s="43" t="n">
        <v>-250</v>
      </c>
      <c r="DF76" s="15" t="inlineStr">
        <is>
          <t>Repurchases $400m in 1H/26 ($217m returned in Q1 incl. dividends); 3.9m shares left on the 2017 authorization.</t>
        </is>
      </c>
    </row>
    <row r="77" ht="15" customHeight="1">
      <c r="B77" s="18" t="inlineStr">
        <is>
          <t xml:space="preserve">  Selling, administrative &amp; general (SAG) expense</t>
        </is>
      </c>
      <c r="C77" s="173">
        <f>C142</f>
        <v/>
      </c>
      <c r="D77" s="173">
        <f>D142</f>
        <v/>
      </c>
      <c r="E77" s="173">
        <f>E142</f>
        <v/>
      </c>
      <c r="F77" s="173">
        <f>F142</f>
        <v/>
      </c>
      <c r="G77" s="173">
        <f>G142</f>
        <v/>
      </c>
      <c r="H77" s="173">
        <f>H142</f>
        <v/>
      </c>
      <c r="I77" s="173">
        <f>I142</f>
        <v/>
      </c>
      <c r="J77" s="173">
        <f>J142</f>
        <v/>
      </c>
      <c r="K77" s="173">
        <f>K142</f>
        <v/>
      </c>
      <c r="L77" s="173">
        <f>L142</f>
        <v/>
      </c>
      <c r="M77" s="173">
        <f>M142</f>
        <v/>
      </c>
      <c r="N77" s="173">
        <f>N142</f>
        <v/>
      </c>
      <c r="O77" s="173">
        <f>O142</f>
        <v/>
      </c>
      <c r="P77" s="173">
        <f>P142</f>
        <v/>
      </c>
      <c r="Q77" s="173">
        <f>Q142</f>
        <v/>
      </c>
      <c r="R77" s="173">
        <f>R142</f>
        <v/>
      </c>
      <c r="S77" s="173">
        <f>S142</f>
        <v/>
      </c>
      <c r="T77" s="173">
        <f>T142</f>
        <v/>
      </c>
      <c r="U77" s="173">
        <f>U142</f>
        <v/>
      </c>
      <c r="V77" s="173">
        <f>V142</f>
        <v/>
      </c>
      <c r="W77" s="173">
        <f>W142</f>
        <v/>
      </c>
      <c r="X77" s="173">
        <f>X142</f>
        <v/>
      </c>
      <c r="Y77" s="173">
        <f>Y142</f>
        <v/>
      </c>
      <c r="Z77" s="173">
        <f>Z142</f>
        <v/>
      </c>
      <c r="AA77" s="173">
        <f>AA142</f>
        <v/>
      </c>
      <c r="AB77" s="173">
        <f>AB142</f>
        <v/>
      </c>
      <c r="AC77" s="173">
        <f>AC142</f>
        <v/>
      </c>
      <c r="AD77" s="173">
        <f>AD142</f>
        <v/>
      </c>
      <c r="AE77" s="173">
        <f>AE142</f>
        <v/>
      </c>
      <c r="AF77" s="173">
        <f>AF142</f>
        <v/>
      </c>
      <c r="AG77" s="173">
        <f>AG142</f>
        <v/>
      </c>
      <c r="AH77" s="173">
        <f>AH142</f>
        <v/>
      </c>
      <c r="AI77" s="173">
        <f>AI142</f>
        <v/>
      </c>
      <c r="AJ77" s="173">
        <f>AJ142</f>
        <v/>
      </c>
      <c r="AK77" s="173">
        <f>AK142</f>
        <v/>
      </c>
      <c r="AL77" s="173">
        <f>AL142</f>
        <v/>
      </c>
      <c r="AM77" s="173">
        <f>AM142</f>
        <v/>
      </c>
      <c r="AN77" s="173">
        <f>AN142</f>
        <v/>
      </c>
      <c r="AO77" s="173">
        <f>AO142</f>
        <v/>
      </c>
      <c r="AP77" s="173">
        <f>AP142</f>
        <v/>
      </c>
      <c r="AQ77" s="173">
        <f>AQ142</f>
        <v/>
      </c>
      <c r="AR77" s="173">
        <f>AR142</f>
        <v/>
      </c>
      <c r="AS77" s="173">
        <f>AS142</f>
        <v/>
      </c>
      <c r="AT77" s="173">
        <f>AT142</f>
        <v/>
      </c>
      <c r="AU77" s="173">
        <f>AU142</f>
        <v/>
      </c>
      <c r="AV77" s="173">
        <f>AV142</f>
        <v/>
      </c>
      <c r="AW77" s="173">
        <f>AW142</f>
        <v/>
      </c>
      <c r="AX77" s="173">
        <f>AX142</f>
        <v/>
      </c>
      <c r="AY77" s="173">
        <f>AY142</f>
        <v/>
      </c>
      <c r="AZ77" s="173">
        <f>AZ142</f>
        <v/>
      </c>
      <c r="BA77" s="173">
        <f>BA142</f>
        <v/>
      </c>
      <c r="BB77" s="173">
        <f>BB142</f>
        <v/>
      </c>
      <c r="BC77" s="173">
        <f>BC142</f>
        <v/>
      </c>
      <c r="BD77" s="173">
        <f>BD142</f>
        <v/>
      </c>
      <c r="BE77" s="173">
        <f>BE142</f>
        <v/>
      </c>
      <c r="BF77" s="173">
        <f>BF142</f>
        <v/>
      </c>
      <c r="BG77" s="173">
        <f>BG142</f>
        <v/>
      </c>
      <c r="BH77" s="173">
        <f>BH142</f>
        <v/>
      </c>
      <c r="BI77" s="173">
        <f>BI142</f>
        <v/>
      </c>
      <c r="BJ77" s="173">
        <f>BJ142</f>
        <v/>
      </c>
      <c r="BK77" s="173">
        <f>BK142</f>
        <v/>
      </c>
      <c r="BL77" s="173">
        <f>BL142</f>
        <v/>
      </c>
      <c r="BM77" s="173">
        <f>BM142</f>
        <v/>
      </c>
      <c r="BN77" s="173">
        <f>BN142</f>
        <v/>
      </c>
      <c r="BO77" s="173">
        <f>BO142</f>
        <v/>
      </c>
      <c r="BP77" s="173">
        <f>BP142</f>
        <v/>
      </c>
      <c r="BQ77" s="173">
        <f>BQ142</f>
        <v/>
      </c>
      <c r="BR77" s="173">
        <f>BR142</f>
        <v/>
      </c>
      <c r="BS77" s="173">
        <f>BS142</f>
        <v/>
      </c>
      <c r="BT77" s="173">
        <f>BT142</f>
        <v/>
      </c>
      <c r="BU77" s="173">
        <f>BU142</f>
        <v/>
      </c>
      <c r="BV77" s="173">
        <f>BV142</f>
        <v/>
      </c>
      <c r="BW77" s="173">
        <f>BW142</f>
        <v/>
      </c>
      <c r="BX77" s="173">
        <f>BX142</f>
        <v/>
      </c>
      <c r="BY77" s="173">
        <f>BY142</f>
        <v/>
      </c>
      <c r="BZ77" s="173">
        <f>BZ142</f>
        <v/>
      </c>
      <c r="CA77" s="173">
        <f>CA142</f>
        <v/>
      </c>
      <c r="CB77" s="173">
        <f>CB142</f>
        <v/>
      </c>
      <c r="CC77" s="173">
        <f>CC142</f>
        <v/>
      </c>
      <c r="CD77" s="173">
        <f>CD142</f>
        <v/>
      </c>
      <c r="CE77" s="173">
        <f>CE142</f>
        <v/>
      </c>
      <c r="CF77" s="173">
        <f>CF142</f>
        <v/>
      </c>
      <c r="CG77" s="173">
        <f>CG142</f>
        <v/>
      </c>
      <c r="CH77" s="173">
        <f>CH142</f>
        <v/>
      </c>
      <c r="CI77" s="173">
        <f>CI142</f>
        <v/>
      </c>
      <c r="CJ77" s="173">
        <f>CJ142</f>
        <v/>
      </c>
      <c r="CK77" s="173">
        <f>CK142</f>
        <v/>
      </c>
      <c r="CL77" s="173">
        <f>CL142</f>
        <v/>
      </c>
      <c r="CM77" s="174">
        <f>($DD$21-$CL$77)/2</f>
        <v/>
      </c>
      <c r="CN77" s="174">
        <f>($DD$21-$CL$77)/2</f>
        <v/>
      </c>
      <c r="CO77" s="174">
        <f>SUM(CJ77,CK77,CM77,CN77)</f>
        <v/>
      </c>
      <c r="CP77" s="174">
        <f>CP108*CP78</f>
        <v/>
      </c>
      <c r="CQ77" s="174">
        <f>CQ108*CQ78</f>
        <v/>
      </c>
      <c r="CR77" s="174">
        <f>CR108*CR78</f>
        <v/>
      </c>
      <c r="CS77" s="174">
        <f>CS108*CS78</f>
        <v/>
      </c>
      <c r="CT77" s="22" t="inlineStr">
        <is>
          <t>Historical = income statement. Q3/Q4-26E: FY26 SAG outlook ($580–590m) less 1H/26, split evenly; 2027E+: % of revenues input.</t>
        </is>
      </c>
      <c r="CV77" s="164">
        <f>IFERROR((CS77/CI77)^(1/5)-1,"n/m")</f>
        <v/>
      </c>
      <c r="CW77" s="164">
        <f>IFERROR((CI77/BE77)^(1/5)-1,"n/m")</f>
        <v/>
      </c>
      <c r="CX77" s="164">
        <f>IFERROR((CI77/AA77)^(1/10)-1,"n/m")</f>
        <v/>
      </c>
      <c r="CY77" s="164">
        <f>IFERROR((CI77/C77)^(1/19)-1,"n/m")</f>
        <v/>
      </c>
      <c r="DB77" s="12" t="inlineStr">
        <is>
          <t xml:space="preserve">  2H/26E</t>
        </is>
      </c>
      <c r="DC77" s="44">
        <f>MAX(0,DD77+$DC$76)</f>
        <v/>
      </c>
      <c r="DD77" s="37" t="n">
        <v>250</v>
      </c>
      <c r="DE77" s="44">
        <f>MAX(0,DD77+$DE$76)</f>
        <v/>
      </c>
    </row>
    <row r="78" ht="15" customHeight="1">
      <c r="B78" s="25" t="inlineStr">
        <is>
          <t xml:space="preserve">  SAG % of total revenues</t>
        </is>
      </c>
      <c r="C78" s="179">
        <f>IFERROR(C77/C108,"")</f>
        <v/>
      </c>
      <c r="D78" s="179">
        <f>IFERROR(D77/D108,"")</f>
        <v/>
      </c>
      <c r="E78" s="179">
        <f>IFERROR(E77/E108,"")</f>
        <v/>
      </c>
      <c r="F78" s="179">
        <f>IFERROR(F77/F108,"")</f>
        <v/>
      </c>
      <c r="G78" s="179">
        <f>IFERROR(G77/G108,"")</f>
        <v/>
      </c>
      <c r="H78" s="179">
        <f>IFERROR(H77/H108,"")</f>
        <v/>
      </c>
      <c r="I78" s="179">
        <f>IFERROR(I77/I108,"")</f>
        <v/>
      </c>
      <c r="J78" s="179">
        <f>IFERROR(J77/J108,"")</f>
        <v/>
      </c>
      <c r="K78" s="179">
        <f>IFERROR(K77/K108,"")</f>
        <v/>
      </c>
      <c r="L78" s="179">
        <f>IFERROR(L77/L108,"")</f>
        <v/>
      </c>
      <c r="M78" s="179">
        <f>IFERROR(M77/M108,"")</f>
        <v/>
      </c>
      <c r="N78" s="179">
        <f>IFERROR(N77/N108,"")</f>
        <v/>
      </c>
      <c r="O78" s="179">
        <f>IFERROR(O77/O108,"")</f>
        <v/>
      </c>
      <c r="P78" s="179">
        <f>IFERROR(P77/P108,"")</f>
        <v/>
      </c>
      <c r="Q78" s="179">
        <f>IFERROR(Q77/Q108,"")</f>
        <v/>
      </c>
      <c r="R78" s="179">
        <f>IFERROR(R77/R108,"")</f>
        <v/>
      </c>
      <c r="S78" s="179">
        <f>IFERROR(S77/S108,"")</f>
        <v/>
      </c>
      <c r="T78" s="179">
        <f>IFERROR(T77/T108,"")</f>
        <v/>
      </c>
      <c r="U78" s="179">
        <f>IFERROR(U77/U108,"")</f>
        <v/>
      </c>
      <c r="V78" s="179">
        <f>IFERROR(V77/V108,"")</f>
        <v/>
      </c>
      <c r="W78" s="179">
        <f>IFERROR(W77/W108,"")</f>
        <v/>
      </c>
      <c r="X78" s="179">
        <f>IFERROR(X77/X108,"")</f>
        <v/>
      </c>
      <c r="Y78" s="179">
        <f>IFERROR(Y77/Y108,"")</f>
        <v/>
      </c>
      <c r="Z78" s="179">
        <f>IFERROR(Z77/Z108,"")</f>
        <v/>
      </c>
      <c r="AA78" s="179">
        <f>IFERROR(AA77/AA108,"")</f>
        <v/>
      </c>
      <c r="AB78" s="179">
        <f>IFERROR(AB77/AB108,"")</f>
        <v/>
      </c>
      <c r="AC78" s="179">
        <f>IFERROR(AC77/AC108,"")</f>
        <v/>
      </c>
      <c r="AD78" s="179">
        <f>IFERROR(AD77/AD108,"")</f>
        <v/>
      </c>
      <c r="AE78" s="179">
        <f>IFERROR(AE77/AE108,"")</f>
        <v/>
      </c>
      <c r="AF78" s="179">
        <f>IFERROR(AF77/AF108,"")</f>
        <v/>
      </c>
      <c r="AG78" s="179">
        <f>IFERROR(AG77/AG108,"")</f>
        <v/>
      </c>
      <c r="AH78" s="179">
        <f>IFERROR(AH77/AH108,"")</f>
        <v/>
      </c>
      <c r="AI78" s="179">
        <f>IFERROR(AI77/AI108,"")</f>
        <v/>
      </c>
      <c r="AJ78" s="179">
        <f>IFERROR(AJ77/AJ108,"")</f>
        <v/>
      </c>
      <c r="AK78" s="179">
        <f>IFERROR(AK77/AK108,"")</f>
        <v/>
      </c>
      <c r="AL78" s="179">
        <f>IFERROR(AL77/AL108,"")</f>
        <v/>
      </c>
      <c r="AM78" s="179">
        <f>IFERROR(AM77/AM108,"")</f>
        <v/>
      </c>
      <c r="AN78" s="179">
        <f>IFERROR(AN77/AN108,"")</f>
        <v/>
      </c>
      <c r="AO78" s="179">
        <f>IFERROR(AO77/AO108,"")</f>
        <v/>
      </c>
      <c r="AP78" s="179">
        <f>IFERROR(AP77/AP108,"")</f>
        <v/>
      </c>
      <c r="AQ78" s="179">
        <f>IFERROR(AQ77/AQ108,"")</f>
        <v/>
      </c>
      <c r="AR78" s="179">
        <f>IFERROR(AR77/AR108,"")</f>
        <v/>
      </c>
      <c r="AS78" s="179">
        <f>IFERROR(AS77/AS108,"")</f>
        <v/>
      </c>
      <c r="AT78" s="179">
        <f>IFERROR(AT77/AT108,"")</f>
        <v/>
      </c>
      <c r="AU78" s="179">
        <f>IFERROR(AU77/AU108,"")</f>
        <v/>
      </c>
      <c r="AV78" s="179">
        <f>IFERROR(AV77/AV108,"")</f>
        <v/>
      </c>
      <c r="AW78" s="179">
        <f>IFERROR(AW77/AW108,"")</f>
        <v/>
      </c>
      <c r="AX78" s="179">
        <f>IFERROR(AX77/AX108,"")</f>
        <v/>
      </c>
      <c r="AY78" s="179">
        <f>IFERROR(AY77/AY108,"")</f>
        <v/>
      </c>
      <c r="AZ78" s="179">
        <f>IFERROR(AZ77/AZ108,"")</f>
        <v/>
      </c>
      <c r="BA78" s="179">
        <f>IFERROR(BA77/BA108,"")</f>
        <v/>
      </c>
      <c r="BB78" s="179">
        <f>IFERROR(BB77/BB108,"")</f>
        <v/>
      </c>
      <c r="BC78" s="179">
        <f>IFERROR(BC77/BC108,"")</f>
        <v/>
      </c>
      <c r="BD78" s="179">
        <f>IFERROR(BD77/BD108,"")</f>
        <v/>
      </c>
      <c r="BE78" s="179">
        <f>IFERROR(BE77/BE108,"")</f>
        <v/>
      </c>
      <c r="BF78" s="179">
        <f>IFERROR(BF77/BF108,"")</f>
        <v/>
      </c>
      <c r="BG78" s="179">
        <f>IFERROR(BG77/BG108,"")</f>
        <v/>
      </c>
      <c r="BH78" s="179">
        <f>IFERROR(BH77/BH108,"")</f>
        <v/>
      </c>
      <c r="BI78" s="179">
        <f>IFERROR(BI77/BI108,"")</f>
        <v/>
      </c>
      <c r="BJ78" s="179">
        <f>IFERROR(BJ77/BJ108,"")</f>
        <v/>
      </c>
      <c r="BK78" s="179">
        <f>IFERROR(BK77/BK108,"")</f>
        <v/>
      </c>
      <c r="BL78" s="179">
        <f>IFERROR(BL77/BL108,"")</f>
        <v/>
      </c>
      <c r="BM78" s="179">
        <f>IFERROR(BM77/BM108,"")</f>
        <v/>
      </c>
      <c r="BN78" s="179">
        <f>IFERROR(BN77/BN108,"")</f>
        <v/>
      </c>
      <c r="BO78" s="179">
        <f>IFERROR(BO77/BO108,"")</f>
        <v/>
      </c>
      <c r="BP78" s="179">
        <f>IFERROR(BP77/BP108,"")</f>
        <v/>
      </c>
      <c r="BQ78" s="179">
        <f>IFERROR(BQ77/BQ108,"")</f>
        <v/>
      </c>
      <c r="BR78" s="179">
        <f>IFERROR(BR77/BR108,"")</f>
        <v/>
      </c>
      <c r="BS78" s="179">
        <f>IFERROR(BS77/BS108,"")</f>
        <v/>
      </c>
      <c r="BT78" s="179">
        <f>IFERROR(BT77/BT108,"")</f>
        <v/>
      </c>
      <c r="BU78" s="179">
        <f>IFERROR(BU77/BU108,"")</f>
        <v/>
      </c>
      <c r="BV78" s="179">
        <f>IFERROR(BV77/BV108,"")</f>
        <v/>
      </c>
      <c r="BW78" s="179">
        <f>IFERROR(BW77/BW108,"")</f>
        <v/>
      </c>
      <c r="BX78" s="179">
        <f>IFERROR(BX77/BX108,"")</f>
        <v/>
      </c>
      <c r="BY78" s="179">
        <f>IFERROR(BY77/BY108,"")</f>
        <v/>
      </c>
      <c r="BZ78" s="179">
        <f>IFERROR(BZ77/BZ108,"")</f>
        <v/>
      </c>
      <c r="CA78" s="179">
        <f>IFERROR(CA77/CA108,"")</f>
        <v/>
      </c>
      <c r="CB78" s="179">
        <f>IFERROR(CB77/CB108,"")</f>
        <v/>
      </c>
      <c r="CC78" s="179">
        <f>IFERROR(CC77/CC108,"")</f>
        <v/>
      </c>
      <c r="CD78" s="179">
        <f>IFERROR(CD77/CD108,"")</f>
        <v/>
      </c>
      <c r="CE78" s="179">
        <f>IFERROR(CE77/CE108,"")</f>
        <v/>
      </c>
      <c r="CF78" s="179">
        <f>IFERROR(CF77/CF108,"")</f>
        <v/>
      </c>
      <c r="CG78" s="179">
        <f>IFERROR(CG77/CG108,"")</f>
        <v/>
      </c>
      <c r="CH78" s="179">
        <f>IFERROR(CH77/CH108,"")</f>
        <v/>
      </c>
      <c r="CI78" s="179">
        <f>IFERROR(CI77/CI108,"")</f>
        <v/>
      </c>
      <c r="CJ78" s="179">
        <f>IFERROR(CJ77/CJ108,"")</f>
        <v/>
      </c>
      <c r="CK78" s="179">
        <f>IFERROR(CK77/CK108,"")</f>
        <v/>
      </c>
      <c r="CL78" s="179">
        <f>IFERROR(CL77/CL108,"")</f>
        <v/>
      </c>
      <c r="CM78" s="165">
        <f>IFERROR(CM77/CM108,"")</f>
        <v/>
      </c>
      <c r="CN78" s="165">
        <f>IFERROR(CN77/CN108,"")</f>
        <v/>
      </c>
      <c r="CO78" s="165">
        <f>IFERROR(CO77/CO108,"")</f>
        <v/>
      </c>
      <c r="CP78" s="182" t="n">
        <v>0.068</v>
      </c>
      <c r="CQ78" s="182" t="n">
        <v>0.068</v>
      </c>
      <c r="CR78" s="182" t="n">
        <v>0.068</v>
      </c>
      <c r="CS78" s="182" t="n">
        <v>0.068</v>
      </c>
      <c r="CT78" s="22" t="n"/>
      <c r="CV78" s="40">
        <f>IFERROR(AVERAGE(CO78,CP78,CQ78,CR78,CS78),"n/m")</f>
        <v/>
      </c>
      <c r="CW78" s="40">
        <f>IFERROR(AVERAGE(BK78,BQ78,BW78,CC78,CI78),"n/m")</f>
        <v/>
      </c>
      <c r="CX78" s="40">
        <f>IFERROR(AVERAGE(AG78,AM78,AS78,AY78,BE78,BK78,BQ78,BW78,CC78,CI78),"n/m")</f>
        <v/>
      </c>
      <c r="CY78" s="40">
        <f>IFERROR(AVERAGE(C78,D78,E78,F78,G78,H78,I78,O78,U78,AA78,AG78,AM78,AS78,AY78,BE78,BK78,BQ78,BW78,CC78,CI78),"n/m")</f>
        <v/>
      </c>
    </row>
    <row r="79" ht="15" customHeight="1">
      <c r="B79" s="12" t="inlineStr">
        <is>
          <t xml:space="preserve">  Corporate / other DDA&amp;A (not allocated to segments)</t>
        </is>
      </c>
      <c r="C79" s="29" t="n"/>
      <c r="D79" s="169" t="n">
        <v>2.4</v>
      </c>
      <c r="E79" s="169" t="n">
        <v>2.7</v>
      </c>
      <c r="F79" s="169" t="n">
        <v>4.9</v>
      </c>
      <c r="G79" s="169" t="n">
        <v>5.9</v>
      </c>
      <c r="H79" s="169" t="n">
        <v>5.3</v>
      </c>
      <c r="I79" s="169" t="n">
        <v>23.2</v>
      </c>
      <c r="J79" s="169" t="n">
        <v>5.8</v>
      </c>
      <c r="K79" s="169" t="n">
        <v>5.6</v>
      </c>
      <c r="L79" s="170">
        <f>J79+K79</f>
        <v/>
      </c>
      <c r="M79" s="169" t="n">
        <v>5.5</v>
      </c>
      <c r="N79" s="169" t="n">
        <v>5.6</v>
      </c>
      <c r="O79" s="169" t="n">
        <v>22.5</v>
      </c>
      <c r="P79" s="169" t="n">
        <v>5.3</v>
      </c>
      <c r="Q79" s="169" t="n">
        <v>4.6</v>
      </c>
      <c r="R79" s="170">
        <f>P79+Q79</f>
        <v/>
      </c>
      <c r="S79" s="169" t="n">
        <v>4.9</v>
      </c>
      <c r="T79" s="169" t="n">
        <v>5.2</v>
      </c>
      <c r="U79" s="169" t="n">
        <v>20.3</v>
      </c>
      <c r="V79" s="169" t="n">
        <v>4.4</v>
      </c>
      <c r="W79" s="169" t="n">
        <v>4.3</v>
      </c>
      <c r="X79" s="170">
        <f>V79+W79</f>
        <v/>
      </c>
      <c r="Y79" s="169" t="n">
        <v>4.7</v>
      </c>
      <c r="Z79" s="169" t="n">
        <v>4.5</v>
      </c>
      <c r="AA79" s="169" t="n">
        <v>17.9</v>
      </c>
      <c r="AB79" s="169" t="n">
        <v>4.5</v>
      </c>
      <c r="AC79" s="169" t="n">
        <v>5.1</v>
      </c>
      <c r="AD79" s="170">
        <f>AB79+AC79</f>
        <v/>
      </c>
      <c r="AE79" s="169" t="n">
        <v>4.5</v>
      </c>
      <c r="AF79" s="169" t="n">
        <v>4.7</v>
      </c>
      <c r="AG79" s="169" t="n">
        <v>18.8</v>
      </c>
      <c r="AH79" s="169" t="n">
        <v>5</v>
      </c>
      <c r="AI79" s="169" t="n">
        <v>5.5</v>
      </c>
      <c r="AJ79" s="170">
        <f>AH79+AI79</f>
        <v/>
      </c>
      <c r="AK79" s="169" t="n">
        <v>5.3</v>
      </c>
      <c r="AL79" s="169" t="n">
        <v>5.2</v>
      </c>
      <c r="AM79" s="169" t="n">
        <v>20.9</v>
      </c>
      <c r="AN79" s="169" t="n">
        <v>5</v>
      </c>
      <c r="AO79" s="169" t="n">
        <v>5.5</v>
      </c>
      <c r="AP79" s="170">
        <f>AN79+AO79</f>
        <v/>
      </c>
      <c r="AQ79" s="169" t="n">
        <v>5.1</v>
      </c>
      <c r="AR79" s="169" t="n">
        <v>4.9</v>
      </c>
      <c r="AS79" s="169" t="n">
        <v>20.5</v>
      </c>
      <c r="AT79" s="169" t="n">
        <v>5.1</v>
      </c>
      <c r="AU79" s="169" t="n">
        <v>5.5</v>
      </c>
      <c r="AV79" s="170">
        <f>AT79+AU79</f>
        <v/>
      </c>
      <c r="AW79" s="169" t="n">
        <v>4.9</v>
      </c>
      <c r="AX79" s="169" t="n">
        <v>5</v>
      </c>
      <c r="AY79" s="169" t="n">
        <v>20.5</v>
      </c>
      <c r="AZ79" s="169" t="n">
        <v>5.5</v>
      </c>
      <c r="BA79" s="169" t="n">
        <v>6</v>
      </c>
      <c r="BB79" s="170">
        <f>AZ79+BA79</f>
        <v/>
      </c>
      <c r="BC79" s="169" t="n">
        <v>5.8</v>
      </c>
      <c r="BD79" s="169" t="n">
        <v>7.2</v>
      </c>
      <c r="BE79" s="169" t="n">
        <v>24.5</v>
      </c>
      <c r="BF79" s="169" t="n">
        <v>6.5</v>
      </c>
      <c r="BG79" s="169" t="n">
        <v>5.7</v>
      </c>
      <c r="BH79" s="170">
        <f>BF79+BG79</f>
        <v/>
      </c>
      <c r="BI79" s="169" t="n">
        <v>6.5</v>
      </c>
      <c r="BJ79" s="169" t="n">
        <v>6.2</v>
      </c>
      <c r="BK79" s="169" t="n">
        <v>24.9</v>
      </c>
      <c r="BL79" s="169" t="n">
        <v>7.7</v>
      </c>
      <c r="BM79" s="169" t="n">
        <v>6.4</v>
      </c>
      <c r="BN79" s="170">
        <f>BL79+BM79</f>
        <v/>
      </c>
      <c r="BO79" s="169" t="n">
        <v>6.9</v>
      </c>
      <c r="BP79" s="169" t="n">
        <v>7</v>
      </c>
      <c r="BQ79" s="169" t="n">
        <v>28</v>
      </c>
      <c r="BR79" s="169" t="n">
        <v>6.7</v>
      </c>
      <c r="BS79" s="169" t="n">
        <v>6.9</v>
      </c>
      <c r="BT79" s="170">
        <f>BR79+BS79</f>
        <v/>
      </c>
      <c r="BU79" s="169" t="n">
        <v>6.2</v>
      </c>
      <c r="BV79" s="169" t="n">
        <v>6.4</v>
      </c>
      <c r="BW79" s="169" t="n">
        <v>26.2</v>
      </c>
      <c r="BX79" s="169" t="n">
        <v>6.2</v>
      </c>
      <c r="BY79" s="169" t="n">
        <v>5.9</v>
      </c>
      <c r="BZ79" s="170">
        <f>BX79+BY79</f>
        <v/>
      </c>
      <c r="CA79" s="169" t="n">
        <v>7.5</v>
      </c>
      <c r="CB79" s="169" t="n">
        <v>7</v>
      </c>
      <c r="CC79" s="169" t="n">
        <v>26.9</v>
      </c>
      <c r="CD79" s="169" t="n">
        <v>8.6</v>
      </c>
      <c r="CE79" s="169" t="n">
        <v>8.199999999999999</v>
      </c>
      <c r="CF79" s="170">
        <f>CD79+CE79</f>
        <v/>
      </c>
      <c r="CG79" s="169" t="n">
        <v>8.4</v>
      </c>
      <c r="CH79" s="169" t="n">
        <v>8.1</v>
      </c>
      <c r="CI79" s="169" t="n">
        <v>33.2</v>
      </c>
      <c r="CJ79" s="169" t="n">
        <v>9.199999999999999</v>
      </c>
      <c r="CK79" s="169" t="n">
        <v>9.6</v>
      </c>
      <c r="CL79" s="170">
        <f>CJ79+CK79</f>
        <v/>
      </c>
      <c r="CM79" s="171">
        <f>($DD$18-$CL$158)/2*$CL$79/$CL$158</f>
        <v/>
      </c>
      <c r="CN79" s="171">
        <f>($DD$18-$CL$158)/2*$CL$79/$CL$158</f>
        <v/>
      </c>
      <c r="CO79" s="171">
        <f>SUM(CJ79,CK79,CM79,CN79)</f>
        <v/>
      </c>
      <c r="CP79" s="171">
        <f>CO79*(1+$DD$25)</f>
        <v/>
      </c>
      <c r="CQ79" s="171">
        <f>CP79*(1+$DD$25)</f>
        <v/>
      </c>
      <c r="CR79" s="171">
        <f>CQ79*(1+$DD$25)</f>
        <v/>
      </c>
      <c r="CS79" s="171">
        <f>CR79*(1+$DD$25)</f>
        <v/>
      </c>
      <c r="CT79" s="22" t="inlineStr">
        <is>
          <t>Charged within SAG / other operating; added back in Adjusted EBITDA.</t>
        </is>
      </c>
      <c r="CV79" s="23" t="n"/>
      <c r="CW79" s="23" t="n"/>
      <c r="CX79" s="23" t="n"/>
      <c r="CY79" s="23" t="n"/>
      <c r="DB79" s="17" t="inlineStr">
        <is>
          <t>Min. net debt / Adjusted EBITDA (x) — buyback plug</t>
        </is>
      </c>
      <c r="DC79" s="140" t="n">
        <v>2</v>
      </c>
      <c r="DD79" s="141" t="n">
        <v>1.5</v>
      </c>
      <c r="DE79" s="140" t="n">
        <v>1.25</v>
      </c>
      <c r="DF79" s="15" t="inlineStr">
        <is>
          <t>Surplus cash above this leverage floor goes to buybacks (Model leverage-buyback schedule). Vulcan targets total debt / Adj. EBITDA of 2.0–2.5x.</t>
        </is>
      </c>
    </row>
    <row r="80" ht="15" customHeight="1">
      <c r="B80" s="12" t="inlineStr">
        <is>
          <t xml:space="preserve">  Other operating income (expense) incl. gain on sale, net (GAAP, signed)</t>
        </is>
      </c>
      <c r="C80" s="170">
        <f>IF(ISNUMBER(C145),N(C143)+N(C144),"")</f>
        <v/>
      </c>
      <c r="D80" s="170">
        <f>IF(ISNUMBER(D145),N(D143)+N(D144),"")</f>
        <v/>
      </c>
      <c r="E80" s="170">
        <f>IF(ISNUMBER(E145),N(E143)+N(E144),"")</f>
        <v/>
      </c>
      <c r="F80" s="170">
        <f>IF(ISNUMBER(F145),N(F143)+N(F144),"")</f>
        <v/>
      </c>
      <c r="G80" s="170">
        <f>IF(ISNUMBER(G145),N(G143)+N(G144),"")</f>
        <v/>
      </c>
      <c r="H80" s="170">
        <f>IF(ISNUMBER(H145),N(H143)+N(H144),"")</f>
        <v/>
      </c>
      <c r="I80" s="170">
        <f>IF(ISNUMBER(I145),N(I143)+N(I144),"")</f>
        <v/>
      </c>
      <c r="J80" s="170">
        <f>IF(ISNUMBER(J145),N(J143)+N(J144),"")</f>
        <v/>
      </c>
      <c r="K80" s="170">
        <f>IF(ISNUMBER(K145),N(K143)+N(K144),"")</f>
        <v/>
      </c>
      <c r="L80" s="170">
        <f>IF(ISNUMBER(L145),N(L143)+N(L144),"")</f>
        <v/>
      </c>
      <c r="M80" s="170">
        <f>IF(ISNUMBER(M145),N(M143)+N(M144),"")</f>
        <v/>
      </c>
      <c r="N80" s="170">
        <f>IF(ISNUMBER(N145),N(N143)+N(N144),"")</f>
        <v/>
      </c>
      <c r="O80" s="170">
        <f>IF(ISNUMBER(O145),N(O143)+N(O144),"")</f>
        <v/>
      </c>
      <c r="P80" s="170">
        <f>IF(ISNUMBER(P145),N(P143)+N(P144),"")</f>
        <v/>
      </c>
      <c r="Q80" s="170">
        <f>IF(ISNUMBER(Q145),N(Q143)+N(Q144),"")</f>
        <v/>
      </c>
      <c r="R80" s="170">
        <f>IF(ISNUMBER(R145),N(R143)+N(R144),"")</f>
        <v/>
      </c>
      <c r="S80" s="170">
        <f>IF(ISNUMBER(S145),N(S143)+N(S144),"")</f>
        <v/>
      </c>
      <c r="T80" s="170">
        <f>IF(ISNUMBER(T145),N(T143)+N(T144),"")</f>
        <v/>
      </c>
      <c r="U80" s="170">
        <f>IF(ISNUMBER(U145),N(U143)+N(U144),"")</f>
        <v/>
      </c>
      <c r="V80" s="170">
        <f>IF(ISNUMBER(V145),N(V143)+N(V144),"")</f>
        <v/>
      </c>
      <c r="W80" s="170">
        <f>IF(ISNUMBER(W145),N(W143)+N(W144),"")</f>
        <v/>
      </c>
      <c r="X80" s="170">
        <f>IF(ISNUMBER(X145),N(X143)+N(X144),"")</f>
        <v/>
      </c>
      <c r="Y80" s="170">
        <f>IF(ISNUMBER(Y145),N(Y143)+N(Y144),"")</f>
        <v/>
      </c>
      <c r="Z80" s="170">
        <f>IF(ISNUMBER(Z145),N(Z143)+N(Z144),"")</f>
        <v/>
      </c>
      <c r="AA80" s="170">
        <f>IF(ISNUMBER(AA145),N(AA143)+N(AA144),"")</f>
        <v/>
      </c>
      <c r="AB80" s="170">
        <f>IF(ISNUMBER(AB145),N(AB143)+N(AB144),"")</f>
        <v/>
      </c>
      <c r="AC80" s="170">
        <f>IF(ISNUMBER(AC145),N(AC143)+N(AC144),"")</f>
        <v/>
      </c>
      <c r="AD80" s="170">
        <f>IF(ISNUMBER(AD145),N(AD143)+N(AD144),"")</f>
        <v/>
      </c>
      <c r="AE80" s="170">
        <f>IF(ISNUMBER(AE145),N(AE143)+N(AE144),"")</f>
        <v/>
      </c>
      <c r="AF80" s="170">
        <f>IF(ISNUMBER(AF145),N(AF143)+N(AF144),"")</f>
        <v/>
      </c>
      <c r="AG80" s="170">
        <f>IF(ISNUMBER(AG145),N(AG143)+N(AG144),"")</f>
        <v/>
      </c>
      <c r="AH80" s="170">
        <f>IF(ISNUMBER(AH145),N(AH143)+N(AH144),"")</f>
        <v/>
      </c>
      <c r="AI80" s="170">
        <f>IF(ISNUMBER(AI145),N(AI143)+N(AI144),"")</f>
        <v/>
      </c>
      <c r="AJ80" s="170">
        <f>IF(ISNUMBER(AJ145),N(AJ143)+N(AJ144),"")</f>
        <v/>
      </c>
      <c r="AK80" s="170">
        <f>IF(ISNUMBER(AK145),N(AK143)+N(AK144),"")</f>
        <v/>
      </c>
      <c r="AL80" s="170">
        <f>IF(ISNUMBER(AL145),N(AL143)+N(AL144),"")</f>
        <v/>
      </c>
      <c r="AM80" s="170">
        <f>IF(ISNUMBER(AM145),N(AM143)+N(AM144),"")</f>
        <v/>
      </c>
      <c r="AN80" s="170">
        <f>IF(ISNUMBER(AN145),N(AN143)+N(AN144),"")</f>
        <v/>
      </c>
      <c r="AO80" s="170">
        <f>IF(ISNUMBER(AO145),N(AO143)+N(AO144),"")</f>
        <v/>
      </c>
      <c r="AP80" s="170">
        <f>IF(ISNUMBER(AP145),N(AP143)+N(AP144),"")</f>
        <v/>
      </c>
      <c r="AQ80" s="170">
        <f>IF(ISNUMBER(AQ145),N(AQ143)+N(AQ144),"")</f>
        <v/>
      </c>
      <c r="AR80" s="170">
        <f>IF(ISNUMBER(AR145),N(AR143)+N(AR144),"")</f>
        <v/>
      </c>
      <c r="AS80" s="170">
        <f>IF(ISNUMBER(AS145),N(AS143)+N(AS144),"")</f>
        <v/>
      </c>
      <c r="AT80" s="170">
        <f>IF(ISNUMBER(AT145),N(AT143)+N(AT144),"")</f>
        <v/>
      </c>
      <c r="AU80" s="170">
        <f>IF(ISNUMBER(AU145),N(AU143)+N(AU144),"")</f>
        <v/>
      </c>
      <c r="AV80" s="170">
        <f>IF(ISNUMBER(AV145),N(AV143)+N(AV144),"")</f>
        <v/>
      </c>
      <c r="AW80" s="170">
        <f>IF(ISNUMBER(AW145),N(AW143)+N(AW144),"")</f>
        <v/>
      </c>
      <c r="AX80" s="170">
        <f>IF(ISNUMBER(AX145),N(AX143)+N(AX144),"")</f>
        <v/>
      </c>
      <c r="AY80" s="170">
        <f>IF(ISNUMBER(AY145),N(AY143)+N(AY144),"")</f>
        <v/>
      </c>
      <c r="AZ80" s="170">
        <f>IF(ISNUMBER(AZ145),N(AZ143)+N(AZ144),"")</f>
        <v/>
      </c>
      <c r="BA80" s="170">
        <f>IF(ISNUMBER(BA145),N(BA143)+N(BA144),"")</f>
        <v/>
      </c>
      <c r="BB80" s="170">
        <f>IF(ISNUMBER(BB145),N(BB143)+N(BB144),"")</f>
        <v/>
      </c>
      <c r="BC80" s="170">
        <f>IF(ISNUMBER(BC145),N(BC143)+N(BC144),"")</f>
        <v/>
      </c>
      <c r="BD80" s="170">
        <f>IF(ISNUMBER(BD145),N(BD143)+N(BD144),"")</f>
        <v/>
      </c>
      <c r="BE80" s="170">
        <f>IF(ISNUMBER(BE145),N(BE143)+N(BE144),"")</f>
        <v/>
      </c>
      <c r="BF80" s="170">
        <f>IF(ISNUMBER(BF145),N(BF143)+N(BF144),"")</f>
        <v/>
      </c>
      <c r="BG80" s="170">
        <f>IF(ISNUMBER(BG145),N(BG143)+N(BG144),"")</f>
        <v/>
      </c>
      <c r="BH80" s="170">
        <f>IF(ISNUMBER(BH145),N(BH143)+N(BH144),"")</f>
        <v/>
      </c>
      <c r="BI80" s="170">
        <f>IF(ISNUMBER(BI145),N(BI143)+N(BI144),"")</f>
        <v/>
      </c>
      <c r="BJ80" s="170">
        <f>IF(ISNUMBER(BJ145),N(BJ143)+N(BJ144),"")</f>
        <v/>
      </c>
      <c r="BK80" s="170">
        <f>IF(ISNUMBER(BK145),N(BK143)+N(BK144),"")</f>
        <v/>
      </c>
      <c r="BL80" s="170">
        <f>IF(ISNUMBER(BL145),N(BL143)+N(BL144),"")</f>
        <v/>
      </c>
      <c r="BM80" s="170">
        <f>IF(ISNUMBER(BM145),N(BM143)+N(BM144),"")</f>
        <v/>
      </c>
      <c r="BN80" s="170">
        <f>IF(ISNUMBER(BN145),N(BN143)+N(BN144),"")</f>
        <v/>
      </c>
      <c r="BO80" s="170">
        <f>IF(ISNUMBER(BO145),N(BO143)+N(BO144),"")</f>
        <v/>
      </c>
      <c r="BP80" s="170">
        <f>IF(ISNUMBER(BP145),N(BP143)+N(BP144),"")</f>
        <v/>
      </c>
      <c r="BQ80" s="170">
        <f>IF(ISNUMBER(BQ145),N(BQ143)+N(BQ144),"")</f>
        <v/>
      </c>
      <c r="BR80" s="170">
        <f>IF(ISNUMBER(BR145),N(BR143)+N(BR144),"")</f>
        <v/>
      </c>
      <c r="BS80" s="170">
        <f>IF(ISNUMBER(BS145),N(BS143)+N(BS144),"")</f>
        <v/>
      </c>
      <c r="BT80" s="170">
        <f>IF(ISNUMBER(BT145),N(BT143)+N(BT144),"")</f>
        <v/>
      </c>
      <c r="BU80" s="170">
        <f>IF(ISNUMBER(BU145),N(BU143)+N(BU144),"")</f>
        <v/>
      </c>
      <c r="BV80" s="170">
        <f>IF(ISNUMBER(BV145),N(BV143)+N(BV144),"")</f>
        <v/>
      </c>
      <c r="BW80" s="170">
        <f>IF(ISNUMBER(BW145),N(BW143)+N(BW144),"")</f>
        <v/>
      </c>
      <c r="BX80" s="170">
        <f>IF(ISNUMBER(BX145),N(BX143)+N(BX144),"")</f>
        <v/>
      </c>
      <c r="BY80" s="170">
        <f>IF(ISNUMBER(BY145),N(BY143)+N(BY144),"")</f>
        <v/>
      </c>
      <c r="BZ80" s="170">
        <f>IF(ISNUMBER(BZ145),N(BZ143)+N(BZ144),"")</f>
        <v/>
      </c>
      <c r="CA80" s="170">
        <f>IF(ISNUMBER(CA145),N(CA143)+N(CA144),"")</f>
        <v/>
      </c>
      <c r="CB80" s="170">
        <f>IF(ISNUMBER(CB145),N(CB143)+N(CB144),"")</f>
        <v/>
      </c>
      <c r="CC80" s="170">
        <f>IF(ISNUMBER(CC145),N(CC143)+N(CC144),"")</f>
        <v/>
      </c>
      <c r="CD80" s="170">
        <f>IF(ISNUMBER(CD145),N(CD143)+N(CD144),"")</f>
        <v/>
      </c>
      <c r="CE80" s="170">
        <f>IF(ISNUMBER(CE145),N(CE143)+N(CE144),"")</f>
        <v/>
      </c>
      <c r="CF80" s="170">
        <f>IF(ISNUMBER(CF145),N(CF143)+N(CF144),"")</f>
        <v/>
      </c>
      <c r="CG80" s="170">
        <f>IF(ISNUMBER(CG145),N(CG143)+N(CG144),"")</f>
        <v/>
      </c>
      <c r="CH80" s="170">
        <f>IF(ISNUMBER(CH145),N(CH143)+N(CH144),"")</f>
        <v/>
      </c>
      <c r="CI80" s="170">
        <f>IF(ISNUMBER(CI145),N(CI143)+N(CI144),"")</f>
        <v/>
      </c>
      <c r="CJ80" s="170">
        <f>IF(ISNUMBER(CJ145),N(CJ143)+N(CJ144),"")</f>
        <v/>
      </c>
      <c r="CK80" s="170">
        <f>IF(ISNUMBER(CK145),N(CK143)+N(CK144),"")</f>
        <v/>
      </c>
      <c r="CL80" s="170">
        <f>IF(ISNUMBER(CL145),N(CL143)+N(CL144),"")</f>
        <v/>
      </c>
      <c r="CM80" s="171">
        <f>($CL$80+$CL$84)/2</f>
        <v/>
      </c>
      <c r="CN80" s="171">
        <f>($CL$80+$CL$84)/2</f>
        <v/>
      </c>
      <c r="CO80" s="171">
        <f>SUM(CJ80,CK80,CM80,CN80)</f>
        <v/>
      </c>
      <c r="CP80" s="171">
        <f>CP108*CP81</f>
        <v/>
      </c>
      <c r="CQ80" s="171">
        <f>CQ108*CQ81</f>
        <v/>
      </c>
      <c r="CR80" s="171">
        <f>CR108*CR81</f>
        <v/>
      </c>
      <c r="CS80" s="171">
        <f>CS108*CS81</f>
        <v/>
      </c>
      <c r="CT80" s="22" t="inlineStr">
        <is>
          <t>Q3/Q4-26E: 1H/26 recurring run-rate (excluding adjusting items). 2027E+: % of revenues input (recurring idle-facility, environmental and other costs).</t>
        </is>
      </c>
      <c r="CV80" s="23" t="n"/>
      <c r="CW80" s="23" t="n"/>
      <c r="CX80" s="23" t="n"/>
      <c r="CY80" s="23" t="n"/>
    </row>
    <row r="81" ht="15" customHeight="1">
      <c r="B81" s="25" t="inlineStr">
        <is>
          <t xml:space="preserve">  Recurring other operating items % of revenues</t>
        </is>
      </c>
      <c r="C81" s="179">
        <f>IFERROR((C80+C84)/C108,"")</f>
        <v/>
      </c>
      <c r="D81" s="179">
        <f>IFERROR((D80+D84)/D108,"")</f>
        <v/>
      </c>
      <c r="E81" s="179">
        <f>IFERROR((E80+E84)/E108,"")</f>
        <v/>
      </c>
      <c r="F81" s="179">
        <f>IFERROR((F80+F84)/F108,"")</f>
        <v/>
      </c>
      <c r="G81" s="179">
        <f>IFERROR((G80+G84)/G108,"")</f>
        <v/>
      </c>
      <c r="H81" s="179">
        <f>IFERROR((H80+H84)/H108,"")</f>
        <v/>
      </c>
      <c r="I81" s="179">
        <f>IFERROR((I80+I84)/I108,"")</f>
        <v/>
      </c>
      <c r="J81" s="179">
        <f>IFERROR((J80+J84)/J108,"")</f>
        <v/>
      </c>
      <c r="K81" s="179">
        <f>IFERROR((K80+K84)/K108,"")</f>
        <v/>
      </c>
      <c r="L81" s="179">
        <f>IFERROR((L80+L84)/L108,"")</f>
        <v/>
      </c>
      <c r="M81" s="179">
        <f>IFERROR((M80+M84)/M108,"")</f>
        <v/>
      </c>
      <c r="N81" s="179">
        <f>IFERROR((N80+N84)/N108,"")</f>
        <v/>
      </c>
      <c r="O81" s="179">
        <f>IFERROR((O80+O84)/O108,"")</f>
        <v/>
      </c>
      <c r="P81" s="179">
        <f>IFERROR((P80+P84)/P108,"")</f>
        <v/>
      </c>
      <c r="Q81" s="179">
        <f>IFERROR((Q80+Q84)/Q108,"")</f>
        <v/>
      </c>
      <c r="R81" s="179">
        <f>IFERROR((R80+R84)/R108,"")</f>
        <v/>
      </c>
      <c r="S81" s="179">
        <f>IFERROR((S80+S84)/S108,"")</f>
        <v/>
      </c>
      <c r="T81" s="179">
        <f>IFERROR((T80+T84)/T108,"")</f>
        <v/>
      </c>
      <c r="U81" s="179">
        <f>IFERROR((U80+U84)/U108,"")</f>
        <v/>
      </c>
      <c r="V81" s="179">
        <f>IFERROR((V80+V84)/V108,"")</f>
        <v/>
      </c>
      <c r="W81" s="179">
        <f>IFERROR((W80+W84)/W108,"")</f>
        <v/>
      </c>
      <c r="X81" s="179">
        <f>IFERROR((X80+X84)/X108,"")</f>
        <v/>
      </c>
      <c r="Y81" s="179">
        <f>IFERROR((Y80+Y84)/Y108,"")</f>
        <v/>
      </c>
      <c r="Z81" s="179">
        <f>IFERROR((Z80+Z84)/Z108,"")</f>
        <v/>
      </c>
      <c r="AA81" s="179">
        <f>IFERROR((AA80+AA84)/AA108,"")</f>
        <v/>
      </c>
      <c r="AB81" s="179">
        <f>IFERROR((AB80+AB84)/AB108,"")</f>
        <v/>
      </c>
      <c r="AC81" s="179">
        <f>IFERROR((AC80+AC84)/AC108,"")</f>
        <v/>
      </c>
      <c r="AD81" s="179">
        <f>IFERROR((AD80+AD84)/AD108,"")</f>
        <v/>
      </c>
      <c r="AE81" s="179">
        <f>IFERROR((AE80+AE84)/AE108,"")</f>
        <v/>
      </c>
      <c r="AF81" s="179">
        <f>IFERROR((AF80+AF84)/AF108,"")</f>
        <v/>
      </c>
      <c r="AG81" s="179">
        <f>IFERROR((AG80+AG84)/AG108,"")</f>
        <v/>
      </c>
      <c r="AH81" s="179">
        <f>IFERROR((AH80+AH84)/AH108,"")</f>
        <v/>
      </c>
      <c r="AI81" s="179">
        <f>IFERROR((AI80+AI84)/AI108,"")</f>
        <v/>
      </c>
      <c r="AJ81" s="179">
        <f>IFERROR((AJ80+AJ84)/AJ108,"")</f>
        <v/>
      </c>
      <c r="AK81" s="179">
        <f>IFERROR((AK80+AK84)/AK108,"")</f>
        <v/>
      </c>
      <c r="AL81" s="179">
        <f>IFERROR((AL80+AL84)/AL108,"")</f>
        <v/>
      </c>
      <c r="AM81" s="179">
        <f>IFERROR((AM80+AM84)/AM108,"")</f>
        <v/>
      </c>
      <c r="AN81" s="179">
        <f>IFERROR((AN80+AN84)/AN108,"")</f>
        <v/>
      </c>
      <c r="AO81" s="179">
        <f>IFERROR((AO80+AO84)/AO108,"")</f>
        <v/>
      </c>
      <c r="AP81" s="179">
        <f>IFERROR((AP80+AP84)/AP108,"")</f>
        <v/>
      </c>
      <c r="AQ81" s="179">
        <f>IFERROR((AQ80+AQ84)/AQ108,"")</f>
        <v/>
      </c>
      <c r="AR81" s="179">
        <f>IFERROR((AR80+AR84)/AR108,"")</f>
        <v/>
      </c>
      <c r="AS81" s="179">
        <f>IFERROR((AS80+AS84)/AS108,"")</f>
        <v/>
      </c>
      <c r="AT81" s="179">
        <f>IFERROR((AT80+AT84)/AT108,"")</f>
        <v/>
      </c>
      <c r="AU81" s="179">
        <f>IFERROR((AU80+AU84)/AU108,"")</f>
        <v/>
      </c>
      <c r="AV81" s="179">
        <f>IFERROR((AV80+AV84)/AV108,"")</f>
        <v/>
      </c>
      <c r="AW81" s="179">
        <f>IFERROR((AW80+AW84)/AW108,"")</f>
        <v/>
      </c>
      <c r="AX81" s="179">
        <f>IFERROR((AX80+AX84)/AX108,"")</f>
        <v/>
      </c>
      <c r="AY81" s="179">
        <f>IFERROR((AY80+AY84)/AY108,"")</f>
        <v/>
      </c>
      <c r="AZ81" s="179">
        <f>IFERROR((AZ80+AZ84)/AZ108,"")</f>
        <v/>
      </c>
      <c r="BA81" s="179">
        <f>IFERROR((BA80+BA84)/BA108,"")</f>
        <v/>
      </c>
      <c r="BB81" s="179">
        <f>IFERROR((BB80+BB84)/BB108,"")</f>
        <v/>
      </c>
      <c r="BC81" s="179">
        <f>IFERROR((BC80+BC84)/BC108,"")</f>
        <v/>
      </c>
      <c r="BD81" s="179">
        <f>IFERROR((BD80+BD84)/BD108,"")</f>
        <v/>
      </c>
      <c r="BE81" s="179">
        <f>IFERROR((BE80+BE84)/BE108,"")</f>
        <v/>
      </c>
      <c r="BF81" s="179">
        <f>IFERROR((BF80+BF84)/BF108,"")</f>
        <v/>
      </c>
      <c r="BG81" s="179">
        <f>IFERROR((BG80+BG84)/BG108,"")</f>
        <v/>
      </c>
      <c r="BH81" s="179">
        <f>IFERROR((BH80+BH84)/BH108,"")</f>
        <v/>
      </c>
      <c r="BI81" s="179">
        <f>IFERROR((BI80+BI84)/BI108,"")</f>
        <v/>
      </c>
      <c r="BJ81" s="179">
        <f>IFERROR((BJ80+BJ84)/BJ108,"")</f>
        <v/>
      </c>
      <c r="BK81" s="179">
        <f>IFERROR((BK80+BK84)/BK108,"")</f>
        <v/>
      </c>
      <c r="BL81" s="179">
        <f>IFERROR((BL80+BL84)/BL108,"")</f>
        <v/>
      </c>
      <c r="BM81" s="179">
        <f>IFERROR((BM80+BM84)/BM108,"")</f>
        <v/>
      </c>
      <c r="BN81" s="179">
        <f>IFERROR((BN80+BN84)/BN108,"")</f>
        <v/>
      </c>
      <c r="BO81" s="179">
        <f>IFERROR((BO80+BO84)/BO108,"")</f>
        <v/>
      </c>
      <c r="BP81" s="179">
        <f>IFERROR((BP80+BP84)/BP108,"")</f>
        <v/>
      </c>
      <c r="BQ81" s="179">
        <f>IFERROR((BQ80+BQ84)/BQ108,"")</f>
        <v/>
      </c>
      <c r="BR81" s="179">
        <f>IFERROR((BR80+BR84)/BR108,"")</f>
        <v/>
      </c>
      <c r="BS81" s="179">
        <f>IFERROR((BS80+BS84)/BS108,"")</f>
        <v/>
      </c>
      <c r="BT81" s="179">
        <f>IFERROR((BT80+BT84)/BT108,"")</f>
        <v/>
      </c>
      <c r="BU81" s="179">
        <f>IFERROR((BU80+BU84)/BU108,"")</f>
        <v/>
      </c>
      <c r="BV81" s="179">
        <f>IFERROR((BV80+BV84)/BV108,"")</f>
        <v/>
      </c>
      <c r="BW81" s="179">
        <f>IFERROR((BW80+BW84)/BW108,"")</f>
        <v/>
      </c>
      <c r="BX81" s="179">
        <f>IFERROR((BX80+BX84)/BX108,"")</f>
        <v/>
      </c>
      <c r="BY81" s="179">
        <f>IFERROR((BY80+BY84)/BY108,"")</f>
        <v/>
      </c>
      <c r="BZ81" s="179">
        <f>IFERROR((BZ80+BZ84)/BZ108,"")</f>
        <v/>
      </c>
      <c r="CA81" s="179">
        <f>IFERROR((CA80+CA84)/CA108,"")</f>
        <v/>
      </c>
      <c r="CB81" s="179">
        <f>IFERROR((CB80+CB84)/CB108,"")</f>
        <v/>
      </c>
      <c r="CC81" s="179">
        <f>IFERROR((CC80+CC84)/CC108,"")</f>
        <v/>
      </c>
      <c r="CD81" s="179">
        <f>IFERROR((CD80+CD84)/CD108,"")</f>
        <v/>
      </c>
      <c r="CE81" s="179">
        <f>IFERROR((CE80+CE84)/CE108,"")</f>
        <v/>
      </c>
      <c r="CF81" s="179">
        <f>IFERROR((CF80+CF84)/CF108,"")</f>
        <v/>
      </c>
      <c r="CG81" s="179">
        <f>IFERROR((CG80+CG84)/CG108,"")</f>
        <v/>
      </c>
      <c r="CH81" s="179">
        <f>IFERROR((CH80+CH84)/CH108,"")</f>
        <v/>
      </c>
      <c r="CI81" s="179">
        <f>IFERROR((CI80+CI84)/CI108,"")</f>
        <v/>
      </c>
      <c r="CJ81" s="179">
        <f>IFERROR((CJ80+CJ84)/CJ108,"")</f>
        <v/>
      </c>
      <c r="CK81" s="179">
        <f>IFERROR((CK80+CK84)/CK108,"")</f>
        <v/>
      </c>
      <c r="CL81" s="179">
        <f>IFERROR((CL80+CL84)/CL108,"")</f>
        <v/>
      </c>
      <c r="CM81" s="165">
        <f>IFERROR((CM80+CM84)/CM108,"")</f>
        <v/>
      </c>
      <c r="CN81" s="165">
        <f>IFERROR((CN80+CN84)/CN108,"")</f>
        <v/>
      </c>
      <c r="CO81" s="165">
        <f>IFERROR((CO80+CO84)/CO108,"")</f>
        <v/>
      </c>
      <c r="CP81" s="182" t="n">
        <v>-0.002</v>
      </c>
      <c r="CQ81" s="182" t="n">
        <v>-0.002</v>
      </c>
      <c r="CR81" s="182" t="n">
        <v>-0.002</v>
      </c>
      <c r="CS81" s="182" t="n">
        <v>-0.002</v>
      </c>
      <c r="CT81" s="22" t="n"/>
      <c r="CV81" s="40" t="n"/>
      <c r="CW81" s="40" t="n"/>
      <c r="CX81" s="40" t="n"/>
      <c r="CY81" s="40" t="n"/>
    </row>
    <row r="82" ht="15" customHeight="1">
      <c r="B82" s="12" t="inlineStr">
        <is>
          <t xml:space="preserve">  Other nonoperating income (expense), net</t>
        </is>
      </c>
      <c r="C82" s="170">
        <f>C146</f>
        <v/>
      </c>
      <c r="D82" s="170">
        <f>D146</f>
        <v/>
      </c>
      <c r="E82" s="170">
        <f>E146</f>
        <v/>
      </c>
      <c r="F82" s="170">
        <f>F146</f>
        <v/>
      </c>
      <c r="G82" s="170">
        <f>G146</f>
        <v/>
      </c>
      <c r="H82" s="170">
        <f>H146</f>
        <v/>
      </c>
      <c r="I82" s="170">
        <f>I146</f>
        <v/>
      </c>
      <c r="J82" s="170">
        <f>J146</f>
        <v/>
      </c>
      <c r="K82" s="170">
        <f>K146</f>
        <v/>
      </c>
      <c r="L82" s="170">
        <f>L146</f>
        <v/>
      </c>
      <c r="M82" s="170">
        <f>M146</f>
        <v/>
      </c>
      <c r="N82" s="170">
        <f>N146</f>
        <v/>
      </c>
      <c r="O82" s="170">
        <f>O146</f>
        <v/>
      </c>
      <c r="P82" s="170">
        <f>P146</f>
        <v/>
      </c>
      <c r="Q82" s="170">
        <f>Q146</f>
        <v/>
      </c>
      <c r="R82" s="170">
        <f>R146</f>
        <v/>
      </c>
      <c r="S82" s="170">
        <f>S146</f>
        <v/>
      </c>
      <c r="T82" s="170">
        <f>T146</f>
        <v/>
      </c>
      <c r="U82" s="170">
        <f>U146</f>
        <v/>
      </c>
      <c r="V82" s="170">
        <f>V146</f>
        <v/>
      </c>
      <c r="W82" s="170">
        <f>W146</f>
        <v/>
      </c>
      <c r="X82" s="170">
        <f>X146</f>
        <v/>
      </c>
      <c r="Y82" s="170">
        <f>Y146</f>
        <v/>
      </c>
      <c r="Z82" s="170">
        <f>Z146</f>
        <v/>
      </c>
      <c r="AA82" s="170">
        <f>AA146</f>
        <v/>
      </c>
      <c r="AB82" s="170">
        <f>AB146</f>
        <v/>
      </c>
      <c r="AC82" s="170">
        <f>AC146</f>
        <v/>
      </c>
      <c r="AD82" s="170">
        <f>AD146</f>
        <v/>
      </c>
      <c r="AE82" s="170">
        <f>AE146</f>
        <v/>
      </c>
      <c r="AF82" s="170">
        <f>AF146</f>
        <v/>
      </c>
      <c r="AG82" s="170">
        <f>AG146</f>
        <v/>
      </c>
      <c r="AH82" s="170">
        <f>AH146</f>
        <v/>
      </c>
      <c r="AI82" s="170">
        <f>AI146</f>
        <v/>
      </c>
      <c r="AJ82" s="170">
        <f>AJ146</f>
        <v/>
      </c>
      <c r="AK82" s="170">
        <f>AK146</f>
        <v/>
      </c>
      <c r="AL82" s="170">
        <f>AL146</f>
        <v/>
      </c>
      <c r="AM82" s="170">
        <f>AM146</f>
        <v/>
      </c>
      <c r="AN82" s="170">
        <f>AN146</f>
        <v/>
      </c>
      <c r="AO82" s="170">
        <f>AO146</f>
        <v/>
      </c>
      <c r="AP82" s="170">
        <f>AP146</f>
        <v/>
      </c>
      <c r="AQ82" s="170">
        <f>AQ146</f>
        <v/>
      </c>
      <c r="AR82" s="170">
        <f>AR146</f>
        <v/>
      </c>
      <c r="AS82" s="170">
        <f>AS146</f>
        <v/>
      </c>
      <c r="AT82" s="170">
        <f>AT146</f>
        <v/>
      </c>
      <c r="AU82" s="170">
        <f>AU146</f>
        <v/>
      </c>
      <c r="AV82" s="170">
        <f>AV146</f>
        <v/>
      </c>
      <c r="AW82" s="170">
        <f>AW146</f>
        <v/>
      </c>
      <c r="AX82" s="170">
        <f>AX146</f>
        <v/>
      </c>
      <c r="AY82" s="170">
        <f>AY146</f>
        <v/>
      </c>
      <c r="AZ82" s="170">
        <f>AZ146</f>
        <v/>
      </c>
      <c r="BA82" s="170">
        <f>BA146</f>
        <v/>
      </c>
      <c r="BB82" s="170">
        <f>BB146</f>
        <v/>
      </c>
      <c r="BC82" s="170">
        <f>BC146</f>
        <v/>
      </c>
      <c r="BD82" s="170">
        <f>BD146</f>
        <v/>
      </c>
      <c r="BE82" s="170">
        <f>BE146</f>
        <v/>
      </c>
      <c r="BF82" s="170">
        <f>BF146</f>
        <v/>
      </c>
      <c r="BG82" s="170">
        <f>BG146</f>
        <v/>
      </c>
      <c r="BH82" s="170">
        <f>BH146</f>
        <v/>
      </c>
      <c r="BI82" s="170">
        <f>BI146</f>
        <v/>
      </c>
      <c r="BJ82" s="170">
        <f>BJ146</f>
        <v/>
      </c>
      <c r="BK82" s="170">
        <f>BK146</f>
        <v/>
      </c>
      <c r="BL82" s="170">
        <f>BL146</f>
        <v/>
      </c>
      <c r="BM82" s="170">
        <f>BM146</f>
        <v/>
      </c>
      <c r="BN82" s="170">
        <f>BN146</f>
        <v/>
      </c>
      <c r="BO82" s="170">
        <f>BO146</f>
        <v/>
      </c>
      <c r="BP82" s="170">
        <f>BP146</f>
        <v/>
      </c>
      <c r="BQ82" s="170">
        <f>BQ146</f>
        <v/>
      </c>
      <c r="BR82" s="170">
        <f>BR146</f>
        <v/>
      </c>
      <c r="BS82" s="170">
        <f>BS146</f>
        <v/>
      </c>
      <c r="BT82" s="170">
        <f>BT146</f>
        <v/>
      </c>
      <c r="BU82" s="170">
        <f>BU146</f>
        <v/>
      </c>
      <c r="BV82" s="170">
        <f>BV146</f>
        <v/>
      </c>
      <c r="BW82" s="170">
        <f>BW146</f>
        <v/>
      </c>
      <c r="BX82" s="170">
        <f>BX146</f>
        <v/>
      </c>
      <c r="BY82" s="170">
        <f>BY146</f>
        <v/>
      </c>
      <c r="BZ82" s="170">
        <f>BZ146</f>
        <v/>
      </c>
      <c r="CA82" s="170">
        <f>CA146</f>
        <v/>
      </c>
      <c r="CB82" s="170">
        <f>CB146</f>
        <v/>
      </c>
      <c r="CC82" s="170">
        <f>CC146</f>
        <v/>
      </c>
      <c r="CD82" s="170">
        <f>CD146</f>
        <v/>
      </c>
      <c r="CE82" s="170">
        <f>CE146</f>
        <v/>
      </c>
      <c r="CF82" s="170">
        <f>CF146</f>
        <v/>
      </c>
      <c r="CG82" s="170">
        <f>CG146</f>
        <v/>
      </c>
      <c r="CH82" s="170">
        <f>CH146</f>
        <v/>
      </c>
      <c r="CI82" s="170">
        <f>CI146</f>
        <v/>
      </c>
      <c r="CJ82" s="170">
        <f>CJ146</f>
        <v/>
      </c>
      <c r="CK82" s="170">
        <f>CK146</f>
        <v/>
      </c>
      <c r="CL82" s="170">
        <f>CL146</f>
        <v/>
      </c>
      <c r="CM82" s="171">
        <f>$CL$82/2</f>
        <v/>
      </c>
      <c r="CN82" s="171">
        <f>$CL$82/2</f>
        <v/>
      </c>
      <c r="CO82" s="171">
        <f>SUM(CJ82,CK82,CM82,CN82)</f>
        <v/>
      </c>
      <c r="CP82" s="183" t="n">
        <v>0</v>
      </c>
      <c r="CQ82" s="183" t="n">
        <v>0</v>
      </c>
      <c r="CR82" s="183" t="n">
        <v>0</v>
      </c>
      <c r="CS82" s="183" t="n">
        <v>0</v>
      </c>
      <c r="CT82" s="22" t="inlineStr">
        <is>
          <t>Includes non-service pension cost from 2018 (ASU 2017-07).</t>
        </is>
      </c>
      <c r="CV82" s="23" t="n"/>
      <c r="CW82" s="23" t="n"/>
      <c r="CX82" s="23" t="n"/>
      <c r="CY82" s="23" t="n"/>
    </row>
    <row r="83" ht="15" customHeight="1">
      <c r="B83" s="12" t="inlineStr">
        <is>
          <t xml:space="preserve">  (−) Earnings attributable to noncontrolling interests</t>
        </is>
      </c>
      <c r="C83" s="170">
        <f>-N(C154)</f>
        <v/>
      </c>
      <c r="D83" s="170">
        <f>-N(D154)</f>
        <v/>
      </c>
      <c r="E83" s="170">
        <f>-N(E154)</f>
        <v/>
      </c>
      <c r="F83" s="170">
        <f>-N(F154)</f>
        <v/>
      </c>
      <c r="G83" s="170">
        <f>-N(G154)</f>
        <v/>
      </c>
      <c r="H83" s="170">
        <f>-N(H154)</f>
        <v/>
      </c>
      <c r="I83" s="170">
        <f>-N(I154)</f>
        <v/>
      </c>
      <c r="J83" s="170">
        <f>-N(J154)</f>
        <v/>
      </c>
      <c r="K83" s="170">
        <f>-N(K154)</f>
        <v/>
      </c>
      <c r="L83" s="170">
        <f>-N(L154)</f>
        <v/>
      </c>
      <c r="M83" s="170">
        <f>-N(M154)</f>
        <v/>
      </c>
      <c r="N83" s="170">
        <f>-N(N154)</f>
        <v/>
      </c>
      <c r="O83" s="170">
        <f>-N(O154)</f>
        <v/>
      </c>
      <c r="P83" s="170">
        <f>-N(P154)</f>
        <v/>
      </c>
      <c r="Q83" s="170">
        <f>-N(Q154)</f>
        <v/>
      </c>
      <c r="R83" s="170">
        <f>-N(R154)</f>
        <v/>
      </c>
      <c r="S83" s="170">
        <f>-N(S154)</f>
        <v/>
      </c>
      <c r="T83" s="170">
        <f>-N(T154)</f>
        <v/>
      </c>
      <c r="U83" s="170">
        <f>-N(U154)</f>
        <v/>
      </c>
      <c r="V83" s="170">
        <f>-N(V154)</f>
        <v/>
      </c>
      <c r="W83" s="170">
        <f>-N(W154)</f>
        <v/>
      </c>
      <c r="X83" s="170">
        <f>-N(X154)</f>
        <v/>
      </c>
      <c r="Y83" s="170">
        <f>-N(Y154)</f>
        <v/>
      </c>
      <c r="Z83" s="170">
        <f>-N(Z154)</f>
        <v/>
      </c>
      <c r="AA83" s="170">
        <f>-N(AA154)</f>
        <v/>
      </c>
      <c r="AB83" s="170">
        <f>-N(AB154)</f>
        <v/>
      </c>
      <c r="AC83" s="170">
        <f>-N(AC154)</f>
        <v/>
      </c>
      <c r="AD83" s="170">
        <f>-N(AD154)</f>
        <v/>
      </c>
      <c r="AE83" s="170">
        <f>-N(AE154)</f>
        <v/>
      </c>
      <c r="AF83" s="170">
        <f>-N(AF154)</f>
        <v/>
      </c>
      <c r="AG83" s="170">
        <f>-N(AG154)</f>
        <v/>
      </c>
      <c r="AH83" s="170">
        <f>-N(AH154)</f>
        <v/>
      </c>
      <c r="AI83" s="170">
        <f>-N(AI154)</f>
        <v/>
      </c>
      <c r="AJ83" s="170">
        <f>-N(AJ154)</f>
        <v/>
      </c>
      <c r="AK83" s="170">
        <f>-N(AK154)</f>
        <v/>
      </c>
      <c r="AL83" s="170">
        <f>-N(AL154)</f>
        <v/>
      </c>
      <c r="AM83" s="170">
        <f>-N(AM154)</f>
        <v/>
      </c>
      <c r="AN83" s="170">
        <f>-N(AN154)</f>
        <v/>
      </c>
      <c r="AO83" s="170">
        <f>-N(AO154)</f>
        <v/>
      </c>
      <c r="AP83" s="170">
        <f>-N(AP154)</f>
        <v/>
      </c>
      <c r="AQ83" s="170">
        <f>-N(AQ154)</f>
        <v/>
      </c>
      <c r="AR83" s="170">
        <f>-N(AR154)</f>
        <v/>
      </c>
      <c r="AS83" s="170">
        <f>-N(AS154)</f>
        <v/>
      </c>
      <c r="AT83" s="170">
        <f>-N(AT154)</f>
        <v/>
      </c>
      <c r="AU83" s="170">
        <f>-N(AU154)</f>
        <v/>
      </c>
      <c r="AV83" s="170">
        <f>-N(AV154)</f>
        <v/>
      </c>
      <c r="AW83" s="170">
        <f>-N(AW154)</f>
        <v/>
      </c>
      <c r="AX83" s="170">
        <f>-N(AX154)</f>
        <v/>
      </c>
      <c r="AY83" s="170">
        <f>-N(AY154)</f>
        <v/>
      </c>
      <c r="AZ83" s="170">
        <f>-N(AZ154)</f>
        <v/>
      </c>
      <c r="BA83" s="170">
        <f>-N(BA154)</f>
        <v/>
      </c>
      <c r="BB83" s="170">
        <f>-N(BB154)</f>
        <v/>
      </c>
      <c r="BC83" s="170">
        <f>-N(BC154)</f>
        <v/>
      </c>
      <c r="BD83" s="170">
        <f>-N(BD154)</f>
        <v/>
      </c>
      <c r="BE83" s="170">
        <f>-N(BE154)</f>
        <v/>
      </c>
      <c r="BF83" s="170">
        <f>-N(BF154)</f>
        <v/>
      </c>
      <c r="BG83" s="170">
        <f>-N(BG154)</f>
        <v/>
      </c>
      <c r="BH83" s="170">
        <f>-N(BH154)</f>
        <v/>
      </c>
      <c r="BI83" s="170">
        <f>-N(BI154)</f>
        <v/>
      </c>
      <c r="BJ83" s="170">
        <f>-N(BJ154)</f>
        <v/>
      </c>
      <c r="BK83" s="170">
        <f>-N(BK154)</f>
        <v/>
      </c>
      <c r="BL83" s="170">
        <f>-N(BL154)</f>
        <v/>
      </c>
      <c r="BM83" s="170">
        <f>-N(BM154)</f>
        <v/>
      </c>
      <c r="BN83" s="170">
        <f>-N(BN154)</f>
        <v/>
      </c>
      <c r="BO83" s="170">
        <f>-N(BO154)</f>
        <v/>
      </c>
      <c r="BP83" s="170">
        <f>-N(BP154)</f>
        <v/>
      </c>
      <c r="BQ83" s="170">
        <f>-N(BQ154)</f>
        <v/>
      </c>
      <c r="BR83" s="170">
        <f>-N(BR154)</f>
        <v/>
      </c>
      <c r="BS83" s="170">
        <f>-N(BS154)</f>
        <v/>
      </c>
      <c r="BT83" s="170">
        <f>-N(BT154)</f>
        <v/>
      </c>
      <c r="BU83" s="170">
        <f>-N(BU154)</f>
        <v/>
      </c>
      <c r="BV83" s="170">
        <f>-N(BV154)</f>
        <v/>
      </c>
      <c r="BW83" s="170">
        <f>-N(BW154)</f>
        <v/>
      </c>
      <c r="BX83" s="170">
        <f>-N(BX154)</f>
        <v/>
      </c>
      <c r="BY83" s="170">
        <f>-N(BY154)</f>
        <v/>
      </c>
      <c r="BZ83" s="170">
        <f>-N(BZ154)</f>
        <v/>
      </c>
      <c r="CA83" s="170">
        <f>-N(CA154)</f>
        <v/>
      </c>
      <c r="CB83" s="170">
        <f>-N(CB154)</f>
        <v/>
      </c>
      <c r="CC83" s="170">
        <f>-N(CC154)</f>
        <v/>
      </c>
      <c r="CD83" s="170">
        <f>-N(CD154)</f>
        <v/>
      </c>
      <c r="CE83" s="170">
        <f>-N(CE154)</f>
        <v/>
      </c>
      <c r="CF83" s="170">
        <f>-N(CF154)</f>
        <v/>
      </c>
      <c r="CG83" s="170">
        <f>-N(CG154)</f>
        <v/>
      </c>
      <c r="CH83" s="170">
        <f>-N(CH154)</f>
        <v/>
      </c>
      <c r="CI83" s="170">
        <f>-N(CI154)</f>
        <v/>
      </c>
      <c r="CJ83" s="170">
        <f>-N(CJ154)</f>
        <v/>
      </c>
      <c r="CK83" s="170">
        <f>-N(CK154)</f>
        <v/>
      </c>
      <c r="CL83" s="170">
        <f>-N(CL154)</f>
        <v/>
      </c>
      <c r="CM83" s="171">
        <f>$CL$83/2</f>
        <v/>
      </c>
      <c r="CN83" s="171">
        <f>$CL$83/2</f>
        <v/>
      </c>
      <c r="CO83" s="171">
        <f>SUM(CJ83,CK83,CM83,CN83)</f>
        <v/>
      </c>
      <c r="CP83" s="183" t="n">
        <v>-3</v>
      </c>
      <c r="CQ83" s="183" t="n">
        <v>-3</v>
      </c>
      <c r="CR83" s="183" t="n">
        <v>-3</v>
      </c>
      <c r="CS83" s="183" t="n">
        <v>-3</v>
      </c>
      <c r="CT83" s="22" t="n"/>
      <c r="CV83" s="23" t="n"/>
      <c r="CW83" s="23" t="n"/>
      <c r="CX83" s="23" t="n"/>
      <c r="CY83" s="23" t="n"/>
    </row>
    <row r="84" ht="15" customHeight="1">
      <c r="B84" s="12" t="inlineStr">
        <is>
          <t xml:space="preserve">  (+) Adjusting items excluded from Adjusted EBITDA (ex discontinued operations)</t>
        </is>
      </c>
      <c r="C84" s="170">
        <f>IF(ISNUMBER(C194),C191-N(C182),"")</f>
        <v/>
      </c>
      <c r="D84" s="170">
        <f>IF(ISNUMBER(D194),D191-N(D182),"")</f>
        <v/>
      </c>
      <c r="E84" s="170">
        <f>IF(ISNUMBER(E194),E191-N(E182),"")</f>
        <v/>
      </c>
      <c r="F84" s="170">
        <f>IF(ISNUMBER(F194),F191-N(F182),"")</f>
        <v/>
      </c>
      <c r="G84" s="170">
        <f>IF(ISNUMBER(G194),G191-N(G182),"")</f>
        <v/>
      </c>
      <c r="H84" s="170">
        <f>IF(ISNUMBER(H194),H191-N(H182),"")</f>
        <v/>
      </c>
      <c r="I84" s="170">
        <f>IF(ISNUMBER(I194),I191-N(I182),"")</f>
        <v/>
      </c>
      <c r="J84" s="170">
        <f>IF(ISNUMBER(J194),J191-N(J182),"")</f>
        <v/>
      </c>
      <c r="K84" s="170">
        <f>IF(ISNUMBER(K194),K191-N(K182),"")</f>
        <v/>
      </c>
      <c r="L84" s="170">
        <f>IF(ISNUMBER(L194),L191-N(L182),"")</f>
        <v/>
      </c>
      <c r="M84" s="170">
        <f>IF(ISNUMBER(M194),M191-N(M182),"")</f>
        <v/>
      </c>
      <c r="N84" s="170">
        <f>IF(ISNUMBER(N194),N191-N(N182),"")</f>
        <v/>
      </c>
      <c r="O84" s="170">
        <f>IF(ISNUMBER(O194),O191-N(O182),"")</f>
        <v/>
      </c>
      <c r="P84" s="170">
        <f>IF(ISNUMBER(P194),P191-N(P182),"")</f>
        <v/>
      </c>
      <c r="Q84" s="170">
        <f>IF(ISNUMBER(Q194),Q191-N(Q182),"")</f>
        <v/>
      </c>
      <c r="R84" s="170">
        <f>IF(ISNUMBER(R194),R191-N(R182),"")</f>
        <v/>
      </c>
      <c r="S84" s="170">
        <f>IF(ISNUMBER(S194),S191-N(S182),"")</f>
        <v/>
      </c>
      <c r="T84" s="170">
        <f>IF(ISNUMBER(T194),T191-N(T182),"")</f>
        <v/>
      </c>
      <c r="U84" s="170">
        <f>IF(ISNUMBER(U194),U191-N(U182),"")</f>
        <v/>
      </c>
      <c r="V84" s="170">
        <f>IF(ISNUMBER(V194),V191-N(V182),"")</f>
        <v/>
      </c>
      <c r="W84" s="170">
        <f>IF(ISNUMBER(W194),W191-N(W182),"")</f>
        <v/>
      </c>
      <c r="X84" s="170">
        <f>IF(ISNUMBER(X194),X191-N(X182),"")</f>
        <v/>
      </c>
      <c r="Y84" s="170">
        <f>IF(ISNUMBER(Y194),Y191-N(Y182),"")</f>
        <v/>
      </c>
      <c r="Z84" s="170">
        <f>IF(ISNUMBER(Z194),Z191-N(Z182),"")</f>
        <v/>
      </c>
      <c r="AA84" s="170">
        <f>IF(ISNUMBER(AA194),AA191-N(AA182),"")</f>
        <v/>
      </c>
      <c r="AB84" s="170">
        <f>IF(ISNUMBER(AB194),AB191-N(AB182),"")</f>
        <v/>
      </c>
      <c r="AC84" s="170">
        <f>IF(ISNUMBER(AC194),AC191-N(AC182),"")</f>
        <v/>
      </c>
      <c r="AD84" s="170">
        <f>IF(ISNUMBER(AD194),AD191-N(AD182),"")</f>
        <v/>
      </c>
      <c r="AE84" s="170">
        <f>IF(ISNUMBER(AE194),AE191-N(AE182),"")</f>
        <v/>
      </c>
      <c r="AF84" s="170">
        <f>IF(ISNUMBER(AF194),AF191-N(AF182),"")</f>
        <v/>
      </c>
      <c r="AG84" s="170">
        <f>IF(ISNUMBER(AG194),AG191-N(AG182),"")</f>
        <v/>
      </c>
      <c r="AH84" s="170">
        <f>IF(ISNUMBER(AH194),AH191-N(AH182),"")</f>
        <v/>
      </c>
      <c r="AI84" s="170">
        <f>IF(ISNUMBER(AI194),AI191-N(AI182),"")</f>
        <v/>
      </c>
      <c r="AJ84" s="170">
        <f>IF(ISNUMBER(AJ194),AJ191-N(AJ182),"")</f>
        <v/>
      </c>
      <c r="AK84" s="170">
        <f>IF(ISNUMBER(AK194),AK191-N(AK182),"")</f>
        <v/>
      </c>
      <c r="AL84" s="170">
        <f>IF(ISNUMBER(AL194),AL191-N(AL182),"")</f>
        <v/>
      </c>
      <c r="AM84" s="170">
        <f>IF(ISNUMBER(AM194),AM191-N(AM182),"")</f>
        <v/>
      </c>
      <c r="AN84" s="170">
        <f>IF(ISNUMBER(AN194),AN191-N(AN182),"")</f>
        <v/>
      </c>
      <c r="AO84" s="170">
        <f>IF(ISNUMBER(AO194),AO191-N(AO182),"")</f>
        <v/>
      </c>
      <c r="AP84" s="170">
        <f>IF(ISNUMBER(AP194),AP191-N(AP182),"")</f>
        <v/>
      </c>
      <c r="AQ84" s="170">
        <f>IF(ISNUMBER(AQ194),AQ191-N(AQ182),"")</f>
        <v/>
      </c>
      <c r="AR84" s="170">
        <f>IF(ISNUMBER(AR194),AR191-N(AR182),"")</f>
        <v/>
      </c>
      <c r="AS84" s="170">
        <f>IF(ISNUMBER(AS194),AS191-N(AS182),"")</f>
        <v/>
      </c>
      <c r="AT84" s="170">
        <f>IF(ISNUMBER(AT194),AT191-N(AT182),"")</f>
        <v/>
      </c>
      <c r="AU84" s="170">
        <f>IF(ISNUMBER(AU194),AU191-N(AU182),"")</f>
        <v/>
      </c>
      <c r="AV84" s="170">
        <f>IF(ISNUMBER(AV194),AV191-N(AV182),"")</f>
        <v/>
      </c>
      <c r="AW84" s="170">
        <f>IF(ISNUMBER(AW194),AW191-N(AW182),"")</f>
        <v/>
      </c>
      <c r="AX84" s="170">
        <f>IF(ISNUMBER(AX194),AX191-N(AX182),"")</f>
        <v/>
      </c>
      <c r="AY84" s="170">
        <f>IF(ISNUMBER(AY194),AY191-N(AY182),"")</f>
        <v/>
      </c>
      <c r="AZ84" s="170">
        <f>IF(ISNUMBER(AZ194),AZ191-N(AZ182),"")</f>
        <v/>
      </c>
      <c r="BA84" s="170">
        <f>IF(ISNUMBER(BA194),BA191-N(BA182),"")</f>
        <v/>
      </c>
      <c r="BB84" s="170">
        <f>IF(ISNUMBER(BB194),BB191-N(BB182),"")</f>
        <v/>
      </c>
      <c r="BC84" s="170">
        <f>IF(ISNUMBER(BC194),BC191-N(BC182),"")</f>
        <v/>
      </c>
      <c r="BD84" s="170">
        <f>IF(ISNUMBER(BD194),BD191-N(BD182),"")</f>
        <v/>
      </c>
      <c r="BE84" s="170">
        <f>IF(ISNUMBER(BE194),BE191-N(BE182),"")</f>
        <v/>
      </c>
      <c r="BF84" s="170">
        <f>IF(ISNUMBER(BF194),BF191-N(BF182),"")</f>
        <v/>
      </c>
      <c r="BG84" s="170">
        <f>IF(ISNUMBER(BG194),BG191-N(BG182),"")</f>
        <v/>
      </c>
      <c r="BH84" s="170">
        <f>IF(ISNUMBER(BH194),BH191-N(BH182),"")</f>
        <v/>
      </c>
      <c r="BI84" s="170">
        <f>IF(ISNUMBER(BI194),BI191-N(BI182),"")</f>
        <v/>
      </c>
      <c r="BJ84" s="170">
        <f>IF(ISNUMBER(BJ194),BJ191-N(BJ182),"")</f>
        <v/>
      </c>
      <c r="BK84" s="170">
        <f>IF(ISNUMBER(BK194),BK191-N(BK182),"")</f>
        <v/>
      </c>
      <c r="BL84" s="170">
        <f>IF(ISNUMBER(BL194),BL191-N(BL182),"")</f>
        <v/>
      </c>
      <c r="BM84" s="170">
        <f>IF(ISNUMBER(BM194),BM191-N(BM182),"")</f>
        <v/>
      </c>
      <c r="BN84" s="170">
        <f>IF(ISNUMBER(BN194),BN191-N(BN182),"")</f>
        <v/>
      </c>
      <c r="BO84" s="170">
        <f>IF(ISNUMBER(BO194),BO191-N(BO182),"")</f>
        <v/>
      </c>
      <c r="BP84" s="170">
        <f>IF(ISNUMBER(BP194),BP191-N(BP182),"")</f>
        <v/>
      </c>
      <c r="BQ84" s="170">
        <f>IF(ISNUMBER(BQ194),BQ191-N(BQ182),"")</f>
        <v/>
      </c>
      <c r="BR84" s="170">
        <f>IF(ISNUMBER(BR194),BR191-N(BR182),"")</f>
        <v/>
      </c>
      <c r="BS84" s="170">
        <f>IF(ISNUMBER(BS194),BS191-N(BS182),"")</f>
        <v/>
      </c>
      <c r="BT84" s="170">
        <f>IF(ISNUMBER(BT194),BT191-N(BT182),"")</f>
        <v/>
      </c>
      <c r="BU84" s="170">
        <f>IF(ISNUMBER(BU194),BU191-N(BU182),"")</f>
        <v/>
      </c>
      <c r="BV84" s="170">
        <f>IF(ISNUMBER(BV194),BV191-N(BV182),"")</f>
        <v/>
      </c>
      <c r="BW84" s="170">
        <f>IF(ISNUMBER(BW194),BW191-N(BW182),"")</f>
        <v/>
      </c>
      <c r="BX84" s="170">
        <f>IF(ISNUMBER(BX194),BX191-N(BX182),"")</f>
        <v/>
      </c>
      <c r="BY84" s="170">
        <f>IF(ISNUMBER(BY194),BY191-N(BY182),"")</f>
        <v/>
      </c>
      <c r="BZ84" s="170">
        <f>IF(ISNUMBER(BZ194),BZ191-N(BZ182),"")</f>
        <v/>
      </c>
      <c r="CA84" s="170">
        <f>IF(ISNUMBER(CA194),CA191-N(CA182),"")</f>
        <v/>
      </c>
      <c r="CB84" s="170">
        <f>IF(ISNUMBER(CB194),CB191-N(CB182),"")</f>
        <v/>
      </c>
      <c r="CC84" s="170">
        <f>IF(ISNUMBER(CC194),CC191-N(CC182),"")</f>
        <v/>
      </c>
      <c r="CD84" s="170">
        <f>IF(ISNUMBER(CD194),CD191-N(CD182),"")</f>
        <v/>
      </c>
      <c r="CE84" s="170">
        <f>IF(ISNUMBER(CE194),CE191-N(CE182),"")</f>
        <v/>
      </c>
      <c r="CF84" s="170">
        <f>IF(ISNUMBER(CF194),CF191-N(CF182),"")</f>
        <v/>
      </c>
      <c r="CG84" s="170">
        <f>IF(ISNUMBER(CG194),CG191-N(CG182),"")</f>
        <v/>
      </c>
      <c r="CH84" s="170">
        <f>IF(ISNUMBER(CH194),CH191-N(CH182),"")</f>
        <v/>
      </c>
      <c r="CI84" s="170">
        <f>IF(ISNUMBER(CI194),CI191-N(CI182),"")</f>
        <v/>
      </c>
      <c r="CJ84" s="170">
        <f>IF(ISNUMBER(CJ194),CJ191-N(CJ182),"")</f>
        <v/>
      </c>
      <c r="CK84" s="170">
        <f>IF(ISNUMBER(CK194),CK191-N(CK182),"")</f>
        <v/>
      </c>
      <c r="CL84" s="170">
        <f>IF(ISNUMBER(CL194),CL191-N(CL182),"")</f>
        <v/>
      </c>
      <c r="CM84" s="183" t="n">
        <v>0</v>
      </c>
      <c r="CN84" s="183" t="n">
        <v>0</v>
      </c>
      <c r="CO84" s="171">
        <f>SUM(CJ84,CK84,CM84,CN84)</f>
        <v/>
      </c>
      <c r="CP84" s="183" t="n">
        <v>0</v>
      </c>
      <c r="CQ84" s="183" t="n">
        <v>0</v>
      </c>
      <c r="CR84" s="183" t="n">
        <v>0</v>
      </c>
      <c r="CS84" s="183" t="n">
        <v>0</v>
      </c>
      <c r="CT84" s="22" t="inlineStr">
        <is>
          <t>Company bridge items that sit in operating / nonoperating lines. Forecast none (2H/26 items not guided).</t>
        </is>
      </c>
      <c r="CV84" s="23" t="n"/>
      <c r="CW84" s="23" t="n"/>
      <c r="CX84" s="23" t="n"/>
      <c r="CY84" s="23" t="n"/>
    </row>
    <row r="85" ht="15" customHeight="1">
      <c r="B85" s="18" t="inlineStr">
        <is>
          <t xml:space="preserve">  Other items to Adjusted EBITDA, net</t>
        </is>
      </c>
      <c r="C85" s="173">
        <f>N(C80)+N(C82)+N(C83)+N(C84)</f>
        <v/>
      </c>
      <c r="D85" s="173">
        <f>N(D80)+N(D82)+N(D83)+N(D84)</f>
        <v/>
      </c>
      <c r="E85" s="173">
        <f>N(E80)+N(E82)+N(E83)+N(E84)</f>
        <v/>
      </c>
      <c r="F85" s="173">
        <f>N(F80)+N(F82)+N(F83)+N(F84)</f>
        <v/>
      </c>
      <c r="G85" s="173">
        <f>N(G80)+N(G82)+N(G83)+N(G84)</f>
        <v/>
      </c>
      <c r="H85" s="173">
        <f>N(H80)+N(H82)+N(H83)+N(H84)</f>
        <v/>
      </c>
      <c r="I85" s="173">
        <f>N(I80)+N(I82)+N(I83)+N(I84)</f>
        <v/>
      </c>
      <c r="J85" s="173">
        <f>N(J80)+N(J82)+N(J83)+N(J84)</f>
        <v/>
      </c>
      <c r="K85" s="173">
        <f>N(K80)+N(K82)+N(K83)+N(K84)</f>
        <v/>
      </c>
      <c r="L85" s="173">
        <f>N(L80)+N(L82)+N(L83)+N(L84)</f>
        <v/>
      </c>
      <c r="M85" s="173">
        <f>N(M80)+N(M82)+N(M83)+N(M84)</f>
        <v/>
      </c>
      <c r="N85" s="173">
        <f>N(N80)+N(N82)+N(N83)+N(N84)</f>
        <v/>
      </c>
      <c r="O85" s="173">
        <f>N(O80)+N(O82)+N(O83)+N(O84)</f>
        <v/>
      </c>
      <c r="P85" s="173">
        <f>N(P80)+N(P82)+N(P83)+N(P84)</f>
        <v/>
      </c>
      <c r="Q85" s="173">
        <f>N(Q80)+N(Q82)+N(Q83)+N(Q84)</f>
        <v/>
      </c>
      <c r="R85" s="173">
        <f>N(R80)+N(R82)+N(R83)+N(R84)</f>
        <v/>
      </c>
      <c r="S85" s="173">
        <f>N(S80)+N(S82)+N(S83)+N(S84)</f>
        <v/>
      </c>
      <c r="T85" s="173">
        <f>N(T80)+N(T82)+N(T83)+N(T84)</f>
        <v/>
      </c>
      <c r="U85" s="173">
        <f>N(U80)+N(U82)+N(U83)+N(U84)</f>
        <v/>
      </c>
      <c r="V85" s="173">
        <f>N(V80)+N(V82)+N(V83)+N(V84)</f>
        <v/>
      </c>
      <c r="W85" s="173">
        <f>N(W80)+N(W82)+N(W83)+N(W84)</f>
        <v/>
      </c>
      <c r="X85" s="173">
        <f>N(X80)+N(X82)+N(X83)+N(X84)</f>
        <v/>
      </c>
      <c r="Y85" s="173">
        <f>N(Y80)+N(Y82)+N(Y83)+N(Y84)</f>
        <v/>
      </c>
      <c r="Z85" s="173">
        <f>N(Z80)+N(Z82)+N(Z83)+N(Z84)</f>
        <v/>
      </c>
      <c r="AA85" s="173">
        <f>N(AA80)+N(AA82)+N(AA83)+N(AA84)</f>
        <v/>
      </c>
      <c r="AB85" s="173">
        <f>N(AB80)+N(AB82)+N(AB83)+N(AB84)</f>
        <v/>
      </c>
      <c r="AC85" s="173">
        <f>N(AC80)+N(AC82)+N(AC83)+N(AC84)</f>
        <v/>
      </c>
      <c r="AD85" s="173">
        <f>N(AD80)+N(AD82)+N(AD83)+N(AD84)</f>
        <v/>
      </c>
      <c r="AE85" s="173">
        <f>N(AE80)+N(AE82)+N(AE83)+N(AE84)</f>
        <v/>
      </c>
      <c r="AF85" s="173">
        <f>N(AF80)+N(AF82)+N(AF83)+N(AF84)</f>
        <v/>
      </c>
      <c r="AG85" s="173">
        <f>N(AG80)+N(AG82)+N(AG83)+N(AG84)</f>
        <v/>
      </c>
      <c r="AH85" s="173">
        <f>N(AH80)+N(AH82)+N(AH83)+N(AH84)</f>
        <v/>
      </c>
      <c r="AI85" s="173">
        <f>N(AI80)+N(AI82)+N(AI83)+N(AI84)</f>
        <v/>
      </c>
      <c r="AJ85" s="173">
        <f>N(AJ80)+N(AJ82)+N(AJ83)+N(AJ84)</f>
        <v/>
      </c>
      <c r="AK85" s="173">
        <f>N(AK80)+N(AK82)+N(AK83)+N(AK84)</f>
        <v/>
      </c>
      <c r="AL85" s="173">
        <f>N(AL80)+N(AL82)+N(AL83)+N(AL84)</f>
        <v/>
      </c>
      <c r="AM85" s="173">
        <f>N(AM80)+N(AM82)+N(AM83)+N(AM84)</f>
        <v/>
      </c>
      <c r="AN85" s="173">
        <f>N(AN80)+N(AN82)+N(AN83)+N(AN84)</f>
        <v/>
      </c>
      <c r="AO85" s="173">
        <f>N(AO80)+N(AO82)+N(AO83)+N(AO84)</f>
        <v/>
      </c>
      <c r="AP85" s="173">
        <f>N(AP80)+N(AP82)+N(AP83)+N(AP84)</f>
        <v/>
      </c>
      <c r="AQ85" s="173">
        <f>N(AQ80)+N(AQ82)+N(AQ83)+N(AQ84)</f>
        <v/>
      </c>
      <c r="AR85" s="173">
        <f>N(AR80)+N(AR82)+N(AR83)+N(AR84)</f>
        <v/>
      </c>
      <c r="AS85" s="173">
        <f>N(AS80)+N(AS82)+N(AS83)+N(AS84)</f>
        <v/>
      </c>
      <c r="AT85" s="173">
        <f>N(AT80)+N(AT82)+N(AT83)+N(AT84)</f>
        <v/>
      </c>
      <c r="AU85" s="173">
        <f>N(AU80)+N(AU82)+N(AU83)+N(AU84)</f>
        <v/>
      </c>
      <c r="AV85" s="173">
        <f>N(AV80)+N(AV82)+N(AV83)+N(AV84)</f>
        <v/>
      </c>
      <c r="AW85" s="173">
        <f>N(AW80)+N(AW82)+N(AW83)+N(AW84)</f>
        <v/>
      </c>
      <c r="AX85" s="173">
        <f>N(AX80)+N(AX82)+N(AX83)+N(AX84)</f>
        <v/>
      </c>
      <c r="AY85" s="173">
        <f>N(AY80)+N(AY82)+N(AY83)+N(AY84)</f>
        <v/>
      </c>
      <c r="AZ85" s="173">
        <f>N(AZ80)+N(AZ82)+N(AZ83)+N(AZ84)</f>
        <v/>
      </c>
      <c r="BA85" s="173">
        <f>N(BA80)+N(BA82)+N(BA83)+N(BA84)</f>
        <v/>
      </c>
      <c r="BB85" s="173">
        <f>N(BB80)+N(BB82)+N(BB83)+N(BB84)</f>
        <v/>
      </c>
      <c r="BC85" s="173">
        <f>N(BC80)+N(BC82)+N(BC83)+N(BC84)</f>
        <v/>
      </c>
      <c r="BD85" s="173">
        <f>N(BD80)+N(BD82)+N(BD83)+N(BD84)</f>
        <v/>
      </c>
      <c r="BE85" s="173">
        <f>N(BE80)+N(BE82)+N(BE83)+N(BE84)</f>
        <v/>
      </c>
      <c r="BF85" s="173">
        <f>N(BF80)+N(BF82)+N(BF83)+N(BF84)</f>
        <v/>
      </c>
      <c r="BG85" s="173">
        <f>N(BG80)+N(BG82)+N(BG83)+N(BG84)</f>
        <v/>
      </c>
      <c r="BH85" s="173">
        <f>N(BH80)+N(BH82)+N(BH83)+N(BH84)</f>
        <v/>
      </c>
      <c r="BI85" s="173">
        <f>N(BI80)+N(BI82)+N(BI83)+N(BI84)</f>
        <v/>
      </c>
      <c r="BJ85" s="173">
        <f>N(BJ80)+N(BJ82)+N(BJ83)+N(BJ84)</f>
        <v/>
      </c>
      <c r="BK85" s="173">
        <f>N(BK80)+N(BK82)+N(BK83)+N(BK84)</f>
        <v/>
      </c>
      <c r="BL85" s="173">
        <f>N(BL80)+N(BL82)+N(BL83)+N(BL84)</f>
        <v/>
      </c>
      <c r="BM85" s="173">
        <f>N(BM80)+N(BM82)+N(BM83)+N(BM84)</f>
        <v/>
      </c>
      <c r="BN85" s="173">
        <f>N(BN80)+N(BN82)+N(BN83)+N(BN84)</f>
        <v/>
      </c>
      <c r="BO85" s="173">
        <f>N(BO80)+N(BO82)+N(BO83)+N(BO84)</f>
        <v/>
      </c>
      <c r="BP85" s="173">
        <f>N(BP80)+N(BP82)+N(BP83)+N(BP84)</f>
        <v/>
      </c>
      <c r="BQ85" s="173">
        <f>N(BQ80)+N(BQ82)+N(BQ83)+N(BQ84)</f>
        <v/>
      </c>
      <c r="BR85" s="173">
        <f>N(BR80)+N(BR82)+N(BR83)+N(BR84)</f>
        <v/>
      </c>
      <c r="BS85" s="173">
        <f>N(BS80)+N(BS82)+N(BS83)+N(BS84)</f>
        <v/>
      </c>
      <c r="BT85" s="173">
        <f>N(BT80)+N(BT82)+N(BT83)+N(BT84)</f>
        <v/>
      </c>
      <c r="BU85" s="173">
        <f>N(BU80)+N(BU82)+N(BU83)+N(BU84)</f>
        <v/>
      </c>
      <c r="BV85" s="173">
        <f>N(BV80)+N(BV82)+N(BV83)+N(BV84)</f>
        <v/>
      </c>
      <c r="BW85" s="173">
        <f>N(BW80)+N(BW82)+N(BW83)+N(BW84)</f>
        <v/>
      </c>
      <c r="BX85" s="173">
        <f>N(BX80)+N(BX82)+N(BX83)+N(BX84)</f>
        <v/>
      </c>
      <c r="BY85" s="173">
        <f>N(BY80)+N(BY82)+N(BY83)+N(BY84)</f>
        <v/>
      </c>
      <c r="BZ85" s="173">
        <f>N(BZ80)+N(BZ82)+N(BZ83)+N(BZ84)</f>
        <v/>
      </c>
      <c r="CA85" s="173">
        <f>N(CA80)+N(CA82)+N(CA83)+N(CA84)</f>
        <v/>
      </c>
      <c r="CB85" s="173">
        <f>N(CB80)+N(CB82)+N(CB83)+N(CB84)</f>
        <v/>
      </c>
      <c r="CC85" s="173">
        <f>N(CC80)+N(CC82)+N(CC83)+N(CC84)</f>
        <v/>
      </c>
      <c r="CD85" s="173">
        <f>N(CD80)+N(CD82)+N(CD83)+N(CD84)</f>
        <v/>
      </c>
      <c r="CE85" s="173">
        <f>N(CE80)+N(CE82)+N(CE83)+N(CE84)</f>
        <v/>
      </c>
      <c r="CF85" s="173">
        <f>N(CF80)+N(CF82)+N(CF83)+N(CF84)</f>
        <v/>
      </c>
      <c r="CG85" s="173">
        <f>N(CG80)+N(CG82)+N(CG83)+N(CG84)</f>
        <v/>
      </c>
      <c r="CH85" s="173">
        <f>N(CH80)+N(CH82)+N(CH83)+N(CH84)</f>
        <v/>
      </c>
      <c r="CI85" s="173">
        <f>N(CI80)+N(CI82)+N(CI83)+N(CI84)</f>
        <v/>
      </c>
      <c r="CJ85" s="173">
        <f>N(CJ80)+N(CJ82)+N(CJ83)+N(CJ84)</f>
        <v/>
      </c>
      <c r="CK85" s="173">
        <f>N(CK80)+N(CK82)+N(CK83)+N(CK84)</f>
        <v/>
      </c>
      <c r="CL85" s="173">
        <f>N(CL80)+N(CL82)+N(CL83)+N(CL84)</f>
        <v/>
      </c>
      <c r="CM85" s="174">
        <f>N(CM80)+N(CM82)+N(CM83)+N(CM84)</f>
        <v/>
      </c>
      <c r="CN85" s="174">
        <f>N(CN80)+N(CN82)+N(CN83)+N(CN84)</f>
        <v/>
      </c>
      <c r="CO85" s="174">
        <f>N(CO80)+N(CO82)+N(CO83)+N(CO84)</f>
        <v/>
      </c>
      <c r="CP85" s="174">
        <f>N(CP80)+N(CP82)+N(CP83)+N(CP84)</f>
        <v/>
      </c>
      <c r="CQ85" s="174">
        <f>N(CQ80)+N(CQ82)+N(CQ83)+N(CQ84)</f>
        <v/>
      </c>
      <c r="CR85" s="174">
        <f>N(CR80)+N(CR82)+N(CR83)+N(CR84)</f>
        <v/>
      </c>
      <c r="CS85" s="174">
        <f>N(CS80)+N(CS82)+N(CS83)+N(CS84)</f>
        <v/>
      </c>
      <c r="CT85" s="22" t="n"/>
      <c r="CV85" s="6" t="n"/>
      <c r="CW85" s="6" t="n"/>
      <c r="CX85" s="6" t="n"/>
      <c r="CY85" s="6" t="n"/>
    </row>
    <row r="86" ht="15" customHeight="1">
      <c r="B86" s="46" t="inlineStr">
        <is>
          <t xml:space="preserve">  Outlook calibration: Δ aggregates unit cash cost ($/ton), Q3/Q4-26E</t>
        </is>
      </c>
      <c r="C86" s="47" t="n"/>
      <c r="D86" s="47" t="n"/>
      <c r="E86" s="47" t="n"/>
      <c r="F86" s="47" t="n"/>
      <c r="G86" s="47" t="n"/>
      <c r="H86" s="47" t="n"/>
      <c r="I86" s="47" t="n"/>
      <c r="J86" s="47" t="n"/>
      <c r="K86" s="47" t="n"/>
      <c r="L86" s="47" t="n"/>
      <c r="M86" s="47" t="n"/>
      <c r="N86" s="47" t="n"/>
      <c r="O86" s="47" t="n"/>
      <c r="P86" s="47" t="n"/>
      <c r="Q86" s="47" t="n"/>
      <c r="R86" s="47" t="n"/>
      <c r="S86" s="47" t="n"/>
      <c r="T86" s="47" t="n"/>
      <c r="U86" s="47" t="n"/>
      <c r="V86" s="47" t="n"/>
      <c r="W86" s="47" t="n"/>
      <c r="X86" s="47" t="n"/>
      <c r="Y86" s="47" t="n"/>
      <c r="Z86" s="47" t="n"/>
      <c r="AA86" s="47" t="n"/>
      <c r="AB86" s="47" t="n"/>
      <c r="AC86" s="47" t="n"/>
      <c r="AD86" s="47" t="n"/>
      <c r="AE86" s="47" t="n"/>
      <c r="AF86" s="47" t="n"/>
      <c r="AG86" s="47" t="n"/>
      <c r="AH86" s="47" t="n"/>
      <c r="AI86" s="47" t="n"/>
      <c r="AJ86" s="47" t="n"/>
      <c r="AK86" s="47" t="n"/>
      <c r="AL86" s="47" t="n"/>
      <c r="AM86" s="47" t="n"/>
      <c r="AN86" s="47" t="n"/>
      <c r="AO86" s="47" t="n"/>
      <c r="AP86" s="47" t="n"/>
      <c r="AQ86" s="47" t="n"/>
      <c r="AR86" s="47" t="n"/>
      <c r="AS86" s="47" t="n"/>
      <c r="AT86" s="47" t="n"/>
      <c r="AU86" s="47" t="n"/>
      <c r="AV86" s="47" t="n"/>
      <c r="AW86" s="47" t="n"/>
      <c r="AX86" s="47" t="n"/>
      <c r="AY86" s="47" t="n"/>
      <c r="AZ86" s="47" t="n"/>
      <c r="BA86" s="47" t="n"/>
      <c r="BB86" s="47" t="n"/>
      <c r="BC86" s="47" t="n"/>
      <c r="BD86" s="47" t="n"/>
      <c r="BE86" s="47" t="n"/>
      <c r="BF86" s="47" t="n"/>
      <c r="BG86" s="47" t="n"/>
      <c r="BH86" s="47" t="n"/>
      <c r="BI86" s="47" t="n"/>
      <c r="BJ86" s="47" t="n"/>
      <c r="BK86" s="47" t="n"/>
      <c r="BL86" s="47" t="n"/>
      <c r="BM86" s="47" t="n"/>
      <c r="BN86" s="47" t="n"/>
      <c r="BO86" s="47" t="n"/>
      <c r="BP86" s="47" t="n"/>
      <c r="BQ86" s="47" t="n"/>
      <c r="BR86" s="47" t="n"/>
      <c r="BS86" s="47" t="n"/>
      <c r="BT86" s="47" t="n"/>
      <c r="BU86" s="47" t="n"/>
      <c r="BV86" s="47" t="n"/>
      <c r="BW86" s="47" t="n"/>
      <c r="BX86" s="47" t="n"/>
      <c r="BY86" s="47" t="n"/>
      <c r="BZ86" s="47" t="n"/>
      <c r="CA86" s="47" t="n"/>
      <c r="CB86" s="47" t="n"/>
      <c r="CC86" s="47" t="n"/>
      <c r="CD86" s="47" t="n"/>
      <c r="CE86" s="47" t="n"/>
      <c r="CF86" s="47" t="n"/>
      <c r="CG86" s="47" t="n"/>
      <c r="CH86" s="47" t="n"/>
      <c r="CI86" s="47" t="n"/>
      <c r="CJ86" s="47" t="n"/>
      <c r="CK86" s="47" t="n"/>
      <c r="CL86" s="47" t="n"/>
      <c r="CM86" s="168">
        <f>(CM11*(CM13-CM26)+CM42+CM56-CM77+CM79+CM85-CM87)/CM11</f>
        <v/>
      </c>
      <c r="CN86" s="168">
        <f>(CN11*(CN13-CN26)+CN42+CN56-CN77+CN79+CN85-CN87)/CN11</f>
        <v/>
      </c>
      <c r="CO86" s="48" t="n"/>
      <c r="CP86" s="49" t="n"/>
      <c r="CQ86" s="49" t="n"/>
      <c r="CR86" s="49" t="n"/>
      <c r="CS86" s="49" t="n"/>
      <c r="CT86" s="22" t="inlineStr">
        <is>
          <t>Solves the residual unit cash cost shift (after guided volume / price / cost) so that FY26 Adjusted EBITDA equals the FY26 outlook (scenario: high / mid / low), allocated to Q3/Q4 by prior-year quarter weights.</t>
        </is>
      </c>
      <c r="CV86" s="6" t="n"/>
      <c r="CW86" s="6" t="n"/>
      <c r="CX86" s="6" t="n"/>
      <c r="CY86" s="6" t="n"/>
    </row>
    <row r="87" ht="15" customHeight="1">
      <c r="B87" s="36" t="inlineStr">
        <is>
          <t xml:space="preserve">  Memo: Adjusted EBITDA target (FY26 outlook × prior-year quarter weight)</t>
        </is>
      </c>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c r="AA87" s="29" t="n"/>
      <c r="AB87" s="29" t="n"/>
      <c r="AC87" s="29" t="n"/>
      <c r="AD87" s="29" t="n"/>
      <c r="AE87" s="29" t="n"/>
      <c r="AF87" s="29" t="n"/>
      <c r="AG87" s="29" t="n"/>
      <c r="AH87" s="29" t="n"/>
      <c r="AI87" s="29" t="n"/>
      <c r="AJ87" s="29" t="n"/>
      <c r="AK87" s="29" t="n"/>
      <c r="AL87" s="29" t="n"/>
      <c r="AM87" s="29" t="n"/>
      <c r="AN87" s="29" t="n"/>
      <c r="AO87" s="29" t="n"/>
      <c r="AP87" s="29" t="n"/>
      <c r="AQ87" s="29" t="n"/>
      <c r="AR87" s="29" t="n"/>
      <c r="AS87" s="29" t="n"/>
      <c r="AT87" s="29" t="n"/>
      <c r="AU87" s="29" t="n"/>
      <c r="AV87" s="29" t="n"/>
      <c r="AW87" s="29" t="n"/>
      <c r="AX87" s="29" t="n"/>
      <c r="AY87" s="29" t="n"/>
      <c r="AZ87" s="30" t="n"/>
      <c r="BA87" s="30" t="n"/>
      <c r="BB87" s="29" t="n"/>
      <c r="BC87" s="30" t="n"/>
      <c r="BD87" s="30" t="n"/>
      <c r="BE87" s="30" t="n"/>
      <c r="BF87" s="30" t="n"/>
      <c r="BG87" s="30" t="n"/>
      <c r="BH87" s="29" t="n"/>
      <c r="BI87" s="30" t="n"/>
      <c r="BJ87" s="30" t="n"/>
      <c r="BK87" s="30" t="n"/>
      <c r="BL87" s="30" t="n"/>
      <c r="BM87" s="30" t="n"/>
      <c r="BN87" s="29" t="n"/>
      <c r="BO87" s="30" t="n"/>
      <c r="BP87" s="30" t="n"/>
      <c r="BQ87" s="30" t="n"/>
      <c r="BR87" s="30" t="n"/>
      <c r="BS87" s="30" t="n"/>
      <c r="BT87" s="29" t="n"/>
      <c r="BU87" s="30" t="n"/>
      <c r="BV87" s="30" t="n"/>
      <c r="BW87" s="30" t="n"/>
      <c r="BX87" s="30" t="n"/>
      <c r="BY87" s="30" t="n"/>
      <c r="BZ87" s="29" t="n"/>
      <c r="CA87" s="30" t="n"/>
      <c r="CB87" s="30" t="n"/>
      <c r="CC87" s="30" t="n"/>
      <c r="CD87" s="30" t="n"/>
      <c r="CE87" s="30" t="n"/>
      <c r="CF87" s="29" t="n"/>
      <c r="CG87" s="30" t="n"/>
      <c r="CH87" s="30" t="n"/>
      <c r="CI87" s="30" t="n"/>
      <c r="CJ87" s="30" t="n"/>
      <c r="CK87" s="30" t="n"/>
      <c r="CL87" s="29" t="n"/>
      <c r="CM87" s="171">
        <f>(CHOOSE(MATCH($CT$2,{"Bull","Base","Bear"},0),$DC$12,$DD$12,$DE$12)-$CL$113)*CG113/($CG$113+$CH$113)</f>
        <v/>
      </c>
      <c r="CN87" s="171">
        <f>(CHOOSE(MATCH($CT$2,{"Bull","Base","Bear"},0),$DC$12,$DD$12,$DE$12)-$CL$113)*CH113/($CG$113+$CH$113)</f>
        <v/>
      </c>
      <c r="CO87" s="171">
        <f>CHOOSE(MATCH($CT$2,{"Bull","Base","Bear"},0),$DC$12,$DD$12,$DE$12)</f>
        <v/>
      </c>
      <c r="CP87" s="31" t="n"/>
      <c r="CQ87" s="31" t="n"/>
      <c r="CR87" s="31" t="n"/>
      <c r="CS87" s="31" t="n"/>
      <c r="CT87" s="22" t="inlineStr">
        <is>
          <t>Q3/Q4-26E: (FY26 Adjusted EBITDA outlook − 1H/26 actual) × prior-year quarter share of 2H/25.</t>
        </is>
      </c>
      <c r="CV87" s="6" t="n"/>
      <c r="CW87" s="6" t="n"/>
      <c r="CX87" s="6" t="n"/>
      <c r="CY87" s="6" t="n"/>
    </row>
    <row r="88" ht="15" customHeight="1">
      <c r="B88" s="12" t="n"/>
      <c r="CM88" s="6" t="n"/>
      <c r="CN88" s="6" t="n"/>
      <c r="CO88" s="6" t="n"/>
      <c r="CP88" s="6" t="n"/>
      <c r="CQ88" s="6" t="n"/>
      <c r="CR88" s="6" t="n"/>
      <c r="CS88" s="6" t="n"/>
      <c r="CT88" s="6" t="n"/>
    </row>
    <row r="89" ht="15" customHeight="1">
      <c r="B89" s="16" t="inlineStr">
        <is>
          <t>Future acquisitions (M&amp;A lever — aggregates bolt-ons; deals closed from 2027E)</t>
        </is>
      </c>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c r="AE89" s="16" t="n"/>
      <c r="AF89" s="16" t="n"/>
      <c r="AG89" s="16" t="n"/>
      <c r="AH89" s="16" t="n"/>
      <c r="AI89" s="16" t="n"/>
      <c r="AJ89" s="16" t="n"/>
      <c r="AK89" s="16" t="n"/>
      <c r="AL89" s="16" t="n"/>
      <c r="AM89" s="16" t="n"/>
      <c r="AN89" s="16" t="n"/>
      <c r="AO89" s="16" t="n"/>
      <c r="AP89" s="16" t="n"/>
      <c r="AQ89" s="16" t="n"/>
      <c r="AR89" s="16" t="n"/>
      <c r="AS89" s="16" t="n"/>
      <c r="AT89" s="16" t="n"/>
      <c r="AU89" s="16" t="n"/>
      <c r="AV89" s="16" t="n"/>
      <c r="AW89" s="16" t="n"/>
      <c r="AX89" s="16" t="n"/>
      <c r="AY89" s="16" t="n"/>
      <c r="AZ89" s="16" t="n"/>
      <c r="BA89" s="16" t="n"/>
      <c r="BB89" s="16" t="n"/>
      <c r="BC89" s="16" t="n"/>
      <c r="BD89" s="16" t="n"/>
      <c r="BE89" s="16" t="n"/>
      <c r="BF89" s="16" t="n"/>
      <c r="BG89" s="16" t="n"/>
      <c r="BH89" s="16" t="n"/>
      <c r="BI89" s="16" t="n"/>
      <c r="BJ89" s="16" t="n"/>
      <c r="BK89" s="16" t="n"/>
      <c r="BL89" s="16" t="n"/>
      <c r="BM89" s="16" t="n"/>
      <c r="BN89" s="16" t="n"/>
      <c r="BO89" s="16" t="n"/>
      <c r="BP89" s="16" t="n"/>
      <c r="BQ89" s="16" t="n"/>
      <c r="BR89" s="16" t="n"/>
      <c r="BS89" s="16" t="n"/>
      <c r="BT89" s="16" t="n"/>
      <c r="BU89" s="16" t="n"/>
      <c r="BV89" s="16" t="n"/>
      <c r="BW89" s="16" t="n"/>
      <c r="BX89" s="16" t="n"/>
      <c r="BY89" s="16" t="n"/>
      <c r="BZ89" s="16" t="n"/>
      <c r="CA89" s="16" t="n"/>
      <c r="CB89" s="16" t="n"/>
      <c r="CC89" s="16" t="n"/>
      <c r="CD89" s="16" t="n"/>
      <c r="CE89" s="16" t="n"/>
      <c r="CF89" s="16" t="n"/>
      <c r="CG89" s="16" t="n"/>
      <c r="CH89" s="16" t="n"/>
      <c r="CI89" s="16" t="n"/>
      <c r="CJ89" s="16" t="n"/>
      <c r="CK89" s="16" t="n"/>
      <c r="CL89" s="16" t="n"/>
      <c r="CM89" s="16" t="n"/>
      <c r="CN89" s="16" t="n"/>
      <c r="CO89" s="16" t="n"/>
      <c r="CP89" s="16" t="n"/>
      <c r="CQ89" s="16" t="n"/>
      <c r="CR89" s="16" t="n"/>
      <c r="CS89" s="16" t="n"/>
      <c r="CT89" s="17" t="inlineStr">
        <is>
          <t>M&amp;A LEVER — acquired EBITDA = spend ÷ EV/EBITDA; mid-year convention</t>
        </is>
      </c>
    </row>
    <row r="90" ht="15" customHeight="1">
      <c r="B90" s="12" t="inlineStr">
        <is>
          <t xml:space="preserve">  Acquisition spend (USDm, scenario)</t>
        </is>
      </c>
      <c r="C90" s="29" t="n"/>
      <c r="D90" s="29" t="n"/>
      <c r="E90" s="30" t="n"/>
      <c r="F90" s="30" t="n"/>
      <c r="G90" s="30" t="n"/>
      <c r="H90" s="30" t="n"/>
      <c r="I90" s="30" t="n"/>
      <c r="J90" s="30" t="n"/>
      <c r="K90" s="30" t="n"/>
      <c r="L90" s="29" t="n"/>
      <c r="M90" s="30" t="n"/>
      <c r="N90" s="30" t="n"/>
      <c r="O90" s="30" t="n"/>
      <c r="P90" s="30" t="n"/>
      <c r="Q90" s="30" t="n"/>
      <c r="R90" s="29" t="n"/>
      <c r="S90" s="30" t="n"/>
      <c r="T90" s="30" t="n"/>
      <c r="U90" s="30" t="n"/>
      <c r="V90" s="30" t="n"/>
      <c r="W90" s="30" t="n"/>
      <c r="X90" s="29" t="n"/>
      <c r="Y90" s="30" t="n"/>
      <c r="Z90" s="30" t="n"/>
      <c r="AA90" s="30" t="n"/>
      <c r="AB90" s="30" t="n"/>
      <c r="AC90" s="30" t="n"/>
      <c r="AD90" s="29" t="n"/>
      <c r="AE90" s="30" t="n"/>
      <c r="AF90" s="30" t="n"/>
      <c r="AG90" s="30" t="n"/>
      <c r="AH90" s="30" t="n"/>
      <c r="AI90" s="30" t="n"/>
      <c r="AJ90" s="29" t="n"/>
      <c r="AK90" s="30" t="n"/>
      <c r="AL90" s="30" t="n"/>
      <c r="AM90" s="30" t="n"/>
      <c r="AN90" s="30" t="n"/>
      <c r="AO90" s="30" t="n"/>
      <c r="AP90" s="29" t="n"/>
      <c r="AQ90" s="30" t="n"/>
      <c r="AR90" s="30" t="n"/>
      <c r="AS90" s="30" t="n"/>
      <c r="AT90" s="30" t="n"/>
      <c r="AU90" s="30" t="n"/>
      <c r="AV90" s="29" t="n"/>
      <c r="AW90" s="30" t="n"/>
      <c r="AX90" s="30" t="n"/>
      <c r="AY90" s="30" t="n"/>
      <c r="AZ90" s="30" t="n"/>
      <c r="BA90" s="30" t="n"/>
      <c r="BB90" s="29" t="n"/>
      <c r="BC90" s="30" t="n"/>
      <c r="BD90" s="30" t="n"/>
      <c r="BE90" s="30" t="n"/>
      <c r="BF90" s="30" t="n"/>
      <c r="BG90" s="30" t="n"/>
      <c r="BH90" s="29" t="n"/>
      <c r="BI90" s="30" t="n"/>
      <c r="BJ90" s="30" t="n"/>
      <c r="BK90" s="30" t="n"/>
      <c r="BL90" s="30" t="n"/>
      <c r="BM90" s="30" t="n"/>
      <c r="BN90" s="29" t="n"/>
      <c r="BO90" s="30" t="n"/>
      <c r="BP90" s="30" t="n"/>
      <c r="BQ90" s="30" t="n"/>
      <c r="BR90" s="30" t="n"/>
      <c r="BS90" s="30" t="n"/>
      <c r="BT90" s="29" t="n"/>
      <c r="BU90" s="30" t="n"/>
      <c r="BV90" s="30" t="n"/>
      <c r="BW90" s="30" t="n"/>
      <c r="BX90" s="30" t="n"/>
      <c r="BY90" s="30" t="n"/>
      <c r="BZ90" s="29" t="n"/>
      <c r="CA90" s="30" t="n"/>
      <c r="CB90" s="30" t="n"/>
      <c r="CC90" s="30" t="n"/>
      <c r="CD90" s="30" t="n"/>
      <c r="CE90" s="30" t="n"/>
      <c r="CF90" s="29" t="n"/>
      <c r="CG90" s="30" t="n"/>
      <c r="CH90" s="30" t="n"/>
      <c r="CI90" s="30" t="n"/>
      <c r="CJ90" s="30" t="n"/>
      <c r="CK90" s="30" t="n"/>
      <c r="CL90" s="29" t="n"/>
      <c r="CM90" s="31" t="n"/>
      <c r="CN90" s="31" t="n"/>
      <c r="CO90" s="183" t="n">
        <v>0</v>
      </c>
      <c r="CP90" s="171">
        <f>CHOOSE(MATCH($CT$2,{"Bull","Base","Bear"},0),$DC$71,$DD$71,$DE$71)</f>
        <v/>
      </c>
      <c r="CQ90" s="171">
        <f>CHOOSE(MATCH($CT$2,{"Bull","Base","Bear"},0),$DC$72,$DD$72,$DE$72)</f>
        <v/>
      </c>
      <c r="CR90" s="171">
        <f>CHOOSE(MATCH($CT$2,{"Bull","Base","Bear"},0),$DC$73,$DD$73,$DE$73)</f>
        <v/>
      </c>
      <c r="CS90" s="171">
        <f>CHOOSE(MATCH($CT$2,{"Bull","Base","Bear"},0),$DC$74,$DD$74,$DE$74)</f>
        <v/>
      </c>
      <c r="CT90" s="22" t="inlineStr">
        <is>
          <t>Scenario lever (M&amp;A_spend, Bull/Base/Bear table →).</t>
        </is>
      </c>
      <c r="CV90" s="23" t="n"/>
      <c r="CW90" s="23" t="n"/>
      <c r="CX90" s="23" t="n"/>
      <c r="CY90" s="23" t="n"/>
    </row>
    <row r="91" ht="15" customHeight="1">
      <c r="B91" s="46" t="inlineStr">
        <is>
          <t xml:space="preserve">  Purchase multiple — EV / Adjusted EBITDA (x)</t>
        </is>
      </c>
      <c r="C91" s="47" t="n"/>
      <c r="D91" s="47" t="n"/>
      <c r="E91" s="47" t="n"/>
      <c r="F91" s="47" t="n"/>
      <c r="G91" s="47" t="n"/>
      <c r="H91" s="47" t="n"/>
      <c r="I91" s="47" t="n"/>
      <c r="J91" s="47" t="n"/>
      <c r="K91" s="47" t="n"/>
      <c r="L91" s="47" t="n"/>
      <c r="M91" s="47" t="n"/>
      <c r="N91" s="47" t="n"/>
      <c r="O91" s="47" t="n"/>
      <c r="P91" s="47" t="n"/>
      <c r="Q91" s="47" t="n"/>
      <c r="R91" s="47" t="n"/>
      <c r="S91" s="47" t="n"/>
      <c r="T91" s="47" t="n"/>
      <c r="U91" s="47" t="n"/>
      <c r="V91" s="47" t="n"/>
      <c r="W91" s="47" t="n"/>
      <c r="X91" s="47" t="n"/>
      <c r="Y91" s="47" t="n"/>
      <c r="Z91" s="47" t="n"/>
      <c r="AA91" s="47" t="n"/>
      <c r="AB91" s="47" t="n"/>
      <c r="AC91" s="47" t="n"/>
      <c r="AD91" s="47" t="n"/>
      <c r="AE91" s="47" t="n"/>
      <c r="AF91" s="47" t="n"/>
      <c r="AG91" s="47" t="n"/>
      <c r="AH91" s="47" t="n"/>
      <c r="AI91" s="47" t="n"/>
      <c r="AJ91" s="47" t="n"/>
      <c r="AK91" s="47" t="n"/>
      <c r="AL91" s="47" t="n"/>
      <c r="AM91" s="47" t="n"/>
      <c r="AN91" s="47" t="n"/>
      <c r="AO91" s="47" t="n"/>
      <c r="AP91" s="47" t="n"/>
      <c r="AQ91" s="47" t="n"/>
      <c r="AR91" s="47" t="n"/>
      <c r="AS91" s="47" t="n"/>
      <c r="AT91" s="47" t="n"/>
      <c r="AU91" s="47" t="n"/>
      <c r="AV91" s="47" t="n"/>
      <c r="AW91" s="47" t="n"/>
      <c r="AX91" s="47" t="n"/>
      <c r="AY91" s="47" t="n"/>
      <c r="AZ91" s="47" t="n"/>
      <c r="BA91" s="47" t="n"/>
      <c r="BB91" s="47" t="n"/>
      <c r="BC91" s="47" t="n"/>
      <c r="BD91" s="47" t="n"/>
      <c r="BE91" s="47" t="n"/>
      <c r="BF91" s="47" t="n"/>
      <c r="BG91" s="47" t="n"/>
      <c r="BH91" s="47" t="n"/>
      <c r="BI91" s="47" t="n"/>
      <c r="BJ91" s="47" t="n"/>
      <c r="BK91" s="47" t="n"/>
      <c r="BL91" s="47" t="n"/>
      <c r="BM91" s="47" t="n"/>
      <c r="BN91" s="47" t="n"/>
      <c r="BO91" s="47" t="n"/>
      <c r="BP91" s="47" t="n"/>
      <c r="BQ91" s="47" t="n"/>
      <c r="BR91" s="47" t="n"/>
      <c r="BS91" s="47" t="n"/>
      <c r="BT91" s="47" t="n"/>
      <c r="BU91" s="47" t="n"/>
      <c r="BV91" s="47" t="n"/>
      <c r="BW91" s="47" t="n"/>
      <c r="BX91" s="47" t="n"/>
      <c r="BY91" s="47" t="n"/>
      <c r="BZ91" s="47" t="n"/>
      <c r="CA91" s="47" t="n"/>
      <c r="CB91" s="47" t="n"/>
      <c r="CC91" s="47" t="n"/>
      <c r="CD91" s="47" t="n"/>
      <c r="CE91" s="47" t="n"/>
      <c r="CF91" s="47" t="n"/>
      <c r="CG91" s="47" t="n"/>
      <c r="CH91" s="47" t="n"/>
      <c r="CI91" s="47" t="n"/>
      <c r="CJ91" s="47" t="n"/>
      <c r="CK91" s="47" t="n"/>
      <c r="CL91" s="47" t="n"/>
      <c r="CM91" s="48" t="n"/>
      <c r="CN91" s="48" t="n"/>
      <c r="CO91" s="48" t="n"/>
      <c r="CP91" s="184" t="n">
        <v>14</v>
      </c>
      <c r="CQ91" s="184" t="n">
        <v>14</v>
      </c>
      <c r="CR91" s="184" t="n">
        <v>14</v>
      </c>
      <c r="CS91" s="184" t="n">
        <v>14</v>
      </c>
      <c r="CT91" s="22" t="n"/>
      <c r="CV91" s="6" t="n"/>
      <c r="CW91" s="6" t="n"/>
      <c r="CX91" s="6" t="n"/>
      <c r="CY91" s="6" t="n"/>
    </row>
    <row r="92" ht="15" customHeight="1">
      <c r="B92" s="12" t="inlineStr">
        <is>
          <t xml:space="preserve">  Annualised Adjusted EBITDA acquired in the year</t>
        </is>
      </c>
      <c r="C92" s="29" t="n"/>
      <c r="D92" s="29" t="n"/>
      <c r="E92" s="30" t="n"/>
      <c r="F92" s="30" t="n"/>
      <c r="G92" s="30" t="n"/>
      <c r="H92" s="30" t="n"/>
      <c r="I92" s="30" t="n"/>
      <c r="J92" s="30" t="n"/>
      <c r="K92" s="30" t="n"/>
      <c r="L92" s="29" t="n"/>
      <c r="M92" s="30" t="n"/>
      <c r="N92" s="30" t="n"/>
      <c r="O92" s="30" t="n"/>
      <c r="P92" s="30" t="n"/>
      <c r="Q92" s="30" t="n"/>
      <c r="R92" s="29" t="n"/>
      <c r="S92" s="30" t="n"/>
      <c r="T92" s="30" t="n"/>
      <c r="U92" s="30" t="n"/>
      <c r="V92" s="30" t="n"/>
      <c r="W92" s="30" t="n"/>
      <c r="X92" s="29" t="n"/>
      <c r="Y92" s="30" t="n"/>
      <c r="Z92" s="30" t="n"/>
      <c r="AA92" s="30" t="n"/>
      <c r="AB92" s="30" t="n"/>
      <c r="AC92" s="30" t="n"/>
      <c r="AD92" s="29" t="n"/>
      <c r="AE92" s="30" t="n"/>
      <c r="AF92" s="30" t="n"/>
      <c r="AG92" s="30" t="n"/>
      <c r="AH92" s="30" t="n"/>
      <c r="AI92" s="30" t="n"/>
      <c r="AJ92" s="29" t="n"/>
      <c r="AK92" s="30" t="n"/>
      <c r="AL92" s="30" t="n"/>
      <c r="AM92" s="30" t="n"/>
      <c r="AN92" s="30" t="n"/>
      <c r="AO92" s="30" t="n"/>
      <c r="AP92" s="29" t="n"/>
      <c r="AQ92" s="30" t="n"/>
      <c r="AR92" s="30" t="n"/>
      <c r="AS92" s="30" t="n"/>
      <c r="AT92" s="30" t="n"/>
      <c r="AU92" s="30" t="n"/>
      <c r="AV92" s="29" t="n"/>
      <c r="AW92" s="30" t="n"/>
      <c r="AX92" s="30" t="n"/>
      <c r="AY92" s="30" t="n"/>
      <c r="AZ92" s="30" t="n"/>
      <c r="BA92" s="30" t="n"/>
      <c r="BB92" s="29" t="n"/>
      <c r="BC92" s="30" t="n"/>
      <c r="BD92" s="30" t="n"/>
      <c r="BE92" s="30" t="n"/>
      <c r="BF92" s="30" t="n"/>
      <c r="BG92" s="30" t="n"/>
      <c r="BH92" s="29" t="n"/>
      <c r="BI92" s="30" t="n"/>
      <c r="BJ92" s="30" t="n"/>
      <c r="BK92" s="30" t="n"/>
      <c r="BL92" s="30" t="n"/>
      <c r="BM92" s="30" t="n"/>
      <c r="BN92" s="29" t="n"/>
      <c r="BO92" s="30" t="n"/>
      <c r="BP92" s="30" t="n"/>
      <c r="BQ92" s="30" t="n"/>
      <c r="BR92" s="30" t="n"/>
      <c r="BS92" s="30" t="n"/>
      <c r="BT92" s="29" t="n"/>
      <c r="BU92" s="30" t="n"/>
      <c r="BV92" s="30" t="n"/>
      <c r="BW92" s="30" t="n"/>
      <c r="BX92" s="30" t="n"/>
      <c r="BY92" s="30" t="n"/>
      <c r="BZ92" s="29" t="n"/>
      <c r="CA92" s="30" t="n"/>
      <c r="CB92" s="30" t="n"/>
      <c r="CC92" s="30" t="n"/>
      <c r="CD92" s="30" t="n"/>
      <c r="CE92" s="30" t="n"/>
      <c r="CF92" s="29" t="n"/>
      <c r="CG92" s="30" t="n"/>
      <c r="CH92" s="30" t="n"/>
      <c r="CI92" s="30" t="n"/>
      <c r="CJ92" s="30" t="n"/>
      <c r="CK92" s="30" t="n"/>
      <c r="CL92" s="29" t="n"/>
      <c r="CM92" s="31" t="n"/>
      <c r="CN92" s="31" t="n"/>
      <c r="CO92" s="183" t="n">
        <v>0</v>
      </c>
      <c r="CP92" s="171">
        <f>IFERROR(CP90/CP91,0)</f>
        <v/>
      </c>
      <c r="CQ92" s="171">
        <f>IFERROR(CQ90/CQ91,0)</f>
        <v/>
      </c>
      <c r="CR92" s="171">
        <f>IFERROR(CR90/CR91,0)</f>
        <v/>
      </c>
      <c r="CS92" s="171">
        <f>IFERROR(CS90/CS91,0)</f>
        <v/>
      </c>
      <c r="CT92" s="22" t="n"/>
      <c r="CV92" s="23" t="n"/>
      <c r="CW92" s="23" t="n"/>
      <c r="CX92" s="23" t="n"/>
      <c r="CY92" s="23" t="n"/>
    </row>
    <row r="93" ht="15" customHeight="1">
      <c r="B93" s="46" t="inlineStr">
        <is>
          <t xml:space="preserve">  Adjusted EBITDA margin of acquired businesses %</t>
        </is>
      </c>
      <c r="C93" s="47" t="n"/>
      <c r="D93" s="47" t="n"/>
      <c r="E93" s="47" t="n"/>
      <c r="F93" s="47" t="n"/>
      <c r="G93" s="47" t="n"/>
      <c r="H93" s="47" t="n"/>
      <c r="I93" s="47" t="n"/>
      <c r="J93" s="47" t="n"/>
      <c r="K93" s="47" t="n"/>
      <c r="L93" s="47" t="n"/>
      <c r="M93" s="47" t="n"/>
      <c r="N93" s="47" t="n"/>
      <c r="O93" s="47" t="n"/>
      <c r="P93" s="47" t="n"/>
      <c r="Q93" s="47" t="n"/>
      <c r="R93" s="47" t="n"/>
      <c r="S93" s="47" t="n"/>
      <c r="T93" s="47" t="n"/>
      <c r="U93" s="47" t="n"/>
      <c r="V93" s="47" t="n"/>
      <c r="W93" s="47" t="n"/>
      <c r="X93" s="47" t="n"/>
      <c r="Y93" s="47" t="n"/>
      <c r="Z93" s="47" t="n"/>
      <c r="AA93" s="47" t="n"/>
      <c r="AB93" s="47" t="n"/>
      <c r="AC93" s="47" t="n"/>
      <c r="AD93" s="47" t="n"/>
      <c r="AE93" s="47" t="n"/>
      <c r="AF93" s="47" t="n"/>
      <c r="AG93" s="47" t="n"/>
      <c r="AH93" s="47" t="n"/>
      <c r="AI93" s="47" t="n"/>
      <c r="AJ93" s="47" t="n"/>
      <c r="AK93" s="47" t="n"/>
      <c r="AL93" s="47" t="n"/>
      <c r="AM93" s="47" t="n"/>
      <c r="AN93" s="47" t="n"/>
      <c r="AO93" s="47" t="n"/>
      <c r="AP93" s="47" t="n"/>
      <c r="AQ93" s="47" t="n"/>
      <c r="AR93" s="47" t="n"/>
      <c r="AS93" s="47" t="n"/>
      <c r="AT93" s="47" t="n"/>
      <c r="AU93" s="47" t="n"/>
      <c r="AV93" s="47" t="n"/>
      <c r="AW93" s="47" t="n"/>
      <c r="AX93" s="47" t="n"/>
      <c r="AY93" s="47" t="n"/>
      <c r="AZ93" s="47" t="n"/>
      <c r="BA93" s="47" t="n"/>
      <c r="BB93" s="47" t="n"/>
      <c r="BC93" s="47" t="n"/>
      <c r="BD93" s="47" t="n"/>
      <c r="BE93" s="47" t="n"/>
      <c r="BF93" s="47" t="n"/>
      <c r="BG93" s="47" t="n"/>
      <c r="BH93" s="47" t="n"/>
      <c r="BI93" s="47" t="n"/>
      <c r="BJ93" s="47" t="n"/>
      <c r="BK93" s="47" t="n"/>
      <c r="BL93" s="47" t="n"/>
      <c r="BM93" s="47" t="n"/>
      <c r="BN93" s="47" t="n"/>
      <c r="BO93" s="47" t="n"/>
      <c r="BP93" s="47" t="n"/>
      <c r="BQ93" s="47" t="n"/>
      <c r="BR93" s="47" t="n"/>
      <c r="BS93" s="47" t="n"/>
      <c r="BT93" s="47" t="n"/>
      <c r="BU93" s="47" t="n"/>
      <c r="BV93" s="47" t="n"/>
      <c r="BW93" s="47" t="n"/>
      <c r="BX93" s="47" t="n"/>
      <c r="BY93" s="47" t="n"/>
      <c r="BZ93" s="47" t="n"/>
      <c r="CA93" s="47" t="n"/>
      <c r="CB93" s="47" t="n"/>
      <c r="CC93" s="47" t="n"/>
      <c r="CD93" s="47" t="n"/>
      <c r="CE93" s="47" t="n"/>
      <c r="CF93" s="47" t="n"/>
      <c r="CG93" s="47" t="n"/>
      <c r="CH93" s="47" t="n"/>
      <c r="CI93" s="47" t="n"/>
      <c r="CJ93" s="47" t="n"/>
      <c r="CK93" s="47" t="n"/>
      <c r="CL93" s="47" t="n"/>
      <c r="CM93" s="48" t="n"/>
      <c r="CN93" s="48" t="n"/>
      <c r="CO93" s="48" t="n"/>
      <c r="CP93" s="182" t="n">
        <v>0.3</v>
      </c>
      <c r="CQ93" s="182" t="n">
        <v>0.3</v>
      </c>
      <c r="CR93" s="182" t="n">
        <v>0.3</v>
      </c>
      <c r="CS93" s="182" t="n">
        <v>0.3</v>
      </c>
      <c r="CT93" s="22" t="n"/>
      <c r="CV93" s="6" t="n"/>
      <c r="CW93" s="6" t="n"/>
      <c r="CX93" s="6" t="n"/>
      <c r="CY93" s="6" t="n"/>
    </row>
    <row r="94" ht="15" customHeight="1">
      <c r="B94" s="12" t="inlineStr">
        <is>
          <t xml:space="preserve">  Annualised revenues acquired in the year</t>
        </is>
      </c>
      <c r="C94" s="29" t="n"/>
      <c r="D94" s="29" t="n"/>
      <c r="E94" s="30" t="n"/>
      <c r="F94" s="30" t="n"/>
      <c r="G94" s="30" t="n"/>
      <c r="H94" s="30" t="n"/>
      <c r="I94" s="30" t="n"/>
      <c r="J94" s="30" t="n"/>
      <c r="K94" s="30" t="n"/>
      <c r="L94" s="29" t="n"/>
      <c r="M94" s="30" t="n"/>
      <c r="N94" s="30" t="n"/>
      <c r="O94" s="30" t="n"/>
      <c r="P94" s="30" t="n"/>
      <c r="Q94" s="30" t="n"/>
      <c r="R94" s="29" t="n"/>
      <c r="S94" s="30" t="n"/>
      <c r="T94" s="30" t="n"/>
      <c r="U94" s="30" t="n"/>
      <c r="V94" s="30" t="n"/>
      <c r="W94" s="30" t="n"/>
      <c r="X94" s="29" t="n"/>
      <c r="Y94" s="30" t="n"/>
      <c r="Z94" s="30" t="n"/>
      <c r="AA94" s="30" t="n"/>
      <c r="AB94" s="30" t="n"/>
      <c r="AC94" s="30" t="n"/>
      <c r="AD94" s="29" t="n"/>
      <c r="AE94" s="30" t="n"/>
      <c r="AF94" s="30" t="n"/>
      <c r="AG94" s="30" t="n"/>
      <c r="AH94" s="30" t="n"/>
      <c r="AI94" s="30" t="n"/>
      <c r="AJ94" s="29" t="n"/>
      <c r="AK94" s="30" t="n"/>
      <c r="AL94" s="30" t="n"/>
      <c r="AM94" s="30" t="n"/>
      <c r="AN94" s="30" t="n"/>
      <c r="AO94" s="30" t="n"/>
      <c r="AP94" s="29" t="n"/>
      <c r="AQ94" s="30" t="n"/>
      <c r="AR94" s="30" t="n"/>
      <c r="AS94" s="30" t="n"/>
      <c r="AT94" s="30" t="n"/>
      <c r="AU94" s="30" t="n"/>
      <c r="AV94" s="29" t="n"/>
      <c r="AW94" s="30" t="n"/>
      <c r="AX94" s="30" t="n"/>
      <c r="AY94" s="30" t="n"/>
      <c r="AZ94" s="30" t="n"/>
      <c r="BA94" s="30" t="n"/>
      <c r="BB94" s="29" t="n"/>
      <c r="BC94" s="30" t="n"/>
      <c r="BD94" s="30" t="n"/>
      <c r="BE94" s="30" t="n"/>
      <c r="BF94" s="30" t="n"/>
      <c r="BG94" s="30" t="n"/>
      <c r="BH94" s="29" t="n"/>
      <c r="BI94" s="30" t="n"/>
      <c r="BJ94" s="30" t="n"/>
      <c r="BK94" s="30" t="n"/>
      <c r="BL94" s="30" t="n"/>
      <c r="BM94" s="30" t="n"/>
      <c r="BN94" s="29" t="n"/>
      <c r="BO94" s="30" t="n"/>
      <c r="BP94" s="30" t="n"/>
      <c r="BQ94" s="30" t="n"/>
      <c r="BR94" s="30" t="n"/>
      <c r="BS94" s="30" t="n"/>
      <c r="BT94" s="29" t="n"/>
      <c r="BU94" s="30" t="n"/>
      <c r="BV94" s="30" t="n"/>
      <c r="BW94" s="30" t="n"/>
      <c r="BX94" s="30" t="n"/>
      <c r="BY94" s="30" t="n"/>
      <c r="BZ94" s="29" t="n"/>
      <c r="CA94" s="30" t="n"/>
      <c r="CB94" s="30" t="n"/>
      <c r="CC94" s="30" t="n"/>
      <c r="CD94" s="30" t="n"/>
      <c r="CE94" s="30" t="n"/>
      <c r="CF94" s="29" t="n"/>
      <c r="CG94" s="30" t="n"/>
      <c r="CH94" s="30" t="n"/>
      <c r="CI94" s="30" t="n"/>
      <c r="CJ94" s="30" t="n"/>
      <c r="CK94" s="30" t="n"/>
      <c r="CL94" s="29" t="n"/>
      <c r="CM94" s="31" t="n"/>
      <c r="CN94" s="31" t="n"/>
      <c r="CO94" s="183" t="n">
        <v>0</v>
      </c>
      <c r="CP94" s="171">
        <f>IFERROR(CP92/CP93,0)</f>
        <v/>
      </c>
      <c r="CQ94" s="171">
        <f>IFERROR(CQ92/CQ93,0)</f>
        <v/>
      </c>
      <c r="CR94" s="171">
        <f>IFERROR(CR92/CR93,0)</f>
        <v/>
      </c>
      <c r="CS94" s="171">
        <f>IFERROR(CS92/CS93,0)</f>
        <v/>
      </c>
      <c r="CT94" s="22" t="n"/>
      <c r="CV94" s="23" t="n"/>
      <c r="CW94" s="23" t="n"/>
      <c r="CX94" s="23" t="n"/>
      <c r="CY94" s="23" t="n"/>
    </row>
    <row r="95" collapsed="1" ht="15" customHeight="1">
      <c r="B95" s="46" t="inlineStr">
        <is>
          <t xml:space="preserve">  Growth of acquired businesses after acquisition %</t>
        </is>
      </c>
      <c r="C95" s="47" t="n"/>
      <c r="D95" s="47" t="n"/>
      <c r="E95" s="47" t="n"/>
      <c r="F95" s="47" t="n"/>
      <c r="G95" s="47" t="n"/>
      <c r="H95" s="47" t="n"/>
      <c r="I95" s="47" t="n"/>
      <c r="J95" s="47" t="n"/>
      <c r="K95" s="47" t="n"/>
      <c r="L95" s="47" t="n"/>
      <c r="M95" s="47" t="n"/>
      <c r="N95" s="47" t="n"/>
      <c r="O95" s="47" t="n"/>
      <c r="P95" s="47" t="n"/>
      <c r="Q95" s="47" t="n"/>
      <c r="R95" s="47" t="n"/>
      <c r="S95" s="47" t="n"/>
      <c r="T95" s="47" t="n"/>
      <c r="U95" s="47" t="n"/>
      <c r="V95" s="47" t="n"/>
      <c r="W95" s="47" t="n"/>
      <c r="X95" s="47" t="n"/>
      <c r="Y95" s="47" t="n"/>
      <c r="Z95" s="47" t="n"/>
      <c r="AA95" s="47" t="n"/>
      <c r="AB95" s="47" t="n"/>
      <c r="AC95" s="47" t="n"/>
      <c r="AD95" s="47" t="n"/>
      <c r="AE95" s="47" t="n"/>
      <c r="AF95" s="47" t="n"/>
      <c r="AG95" s="47" t="n"/>
      <c r="AH95" s="47" t="n"/>
      <c r="AI95" s="47" t="n"/>
      <c r="AJ95" s="47" t="n"/>
      <c r="AK95" s="47" t="n"/>
      <c r="AL95" s="47" t="n"/>
      <c r="AM95" s="47" t="n"/>
      <c r="AN95" s="47" t="n"/>
      <c r="AO95" s="47" t="n"/>
      <c r="AP95" s="47" t="n"/>
      <c r="AQ95" s="47" t="n"/>
      <c r="AR95" s="47" t="n"/>
      <c r="AS95" s="47" t="n"/>
      <c r="AT95" s="47" t="n"/>
      <c r="AU95" s="47" t="n"/>
      <c r="AV95" s="47" t="n"/>
      <c r="AW95" s="47" t="n"/>
      <c r="AX95" s="47" t="n"/>
      <c r="AY95" s="47" t="n"/>
      <c r="AZ95" s="47" t="n"/>
      <c r="BA95" s="47" t="n"/>
      <c r="BB95" s="47" t="n"/>
      <c r="BC95" s="47" t="n"/>
      <c r="BD95" s="47" t="n"/>
      <c r="BE95" s="47" t="n"/>
      <c r="BF95" s="47" t="n"/>
      <c r="BG95" s="47" t="n"/>
      <c r="BH95" s="47" t="n"/>
      <c r="BI95" s="47" t="n"/>
      <c r="BJ95" s="47" t="n"/>
      <c r="BK95" s="47" t="n"/>
      <c r="BL95" s="47" t="n"/>
      <c r="BM95" s="47" t="n"/>
      <c r="BN95" s="47" t="n"/>
      <c r="BO95" s="47" t="n"/>
      <c r="BP95" s="47" t="n"/>
      <c r="BQ95" s="47" t="n"/>
      <c r="BR95" s="47" t="n"/>
      <c r="BS95" s="47" t="n"/>
      <c r="BT95" s="47" t="n"/>
      <c r="BU95" s="47" t="n"/>
      <c r="BV95" s="47" t="n"/>
      <c r="BW95" s="47" t="n"/>
      <c r="BX95" s="47" t="n"/>
      <c r="BY95" s="47" t="n"/>
      <c r="BZ95" s="47" t="n"/>
      <c r="CA95" s="47" t="n"/>
      <c r="CB95" s="47" t="n"/>
      <c r="CC95" s="47" t="n"/>
      <c r="CD95" s="47" t="n"/>
      <c r="CE95" s="47" t="n"/>
      <c r="CF95" s="47" t="n"/>
      <c r="CG95" s="47" t="n"/>
      <c r="CH95" s="47" t="n"/>
      <c r="CI95" s="47" t="n"/>
      <c r="CJ95" s="47" t="n"/>
      <c r="CK95" s="47" t="n"/>
      <c r="CL95" s="47" t="n"/>
      <c r="CM95" s="48" t="n"/>
      <c r="CN95" s="48" t="n"/>
      <c r="CO95" s="48" t="n"/>
      <c r="CP95" s="182" t="n">
        <v>0.06</v>
      </c>
      <c r="CQ95" s="182" t="n">
        <v>0.06</v>
      </c>
      <c r="CR95" s="182" t="n">
        <v>0.06</v>
      </c>
      <c r="CS95" s="182" t="n">
        <v>0.06</v>
      </c>
      <c r="CT95" s="22" t="n"/>
      <c r="CV95" s="6" t="n"/>
      <c r="CW95" s="6" t="n"/>
      <c r="CX95" s="6" t="n"/>
      <c r="CY95" s="6" t="n"/>
    </row>
    <row r="96" ht="15" customHeight="1">
      <c r="B96" s="12" t="inlineStr">
        <is>
          <t xml:space="preserve">  Run-rate revenues of businesses acquired (year end)</t>
        </is>
      </c>
      <c r="C96" s="29" t="n"/>
      <c r="D96" s="29" t="n"/>
      <c r="E96" s="30" t="n"/>
      <c r="F96" s="30" t="n"/>
      <c r="G96" s="30" t="n"/>
      <c r="H96" s="30" t="n"/>
      <c r="I96" s="30" t="n"/>
      <c r="J96" s="30" t="n"/>
      <c r="K96" s="30" t="n"/>
      <c r="L96" s="29" t="n"/>
      <c r="M96" s="30" t="n"/>
      <c r="N96" s="30" t="n"/>
      <c r="O96" s="30" t="n"/>
      <c r="P96" s="30" t="n"/>
      <c r="Q96" s="30" t="n"/>
      <c r="R96" s="29" t="n"/>
      <c r="S96" s="30" t="n"/>
      <c r="T96" s="30" t="n"/>
      <c r="U96" s="30" t="n"/>
      <c r="V96" s="30" t="n"/>
      <c r="W96" s="30" t="n"/>
      <c r="X96" s="29" t="n"/>
      <c r="Y96" s="30" t="n"/>
      <c r="Z96" s="30" t="n"/>
      <c r="AA96" s="30" t="n"/>
      <c r="AB96" s="30" t="n"/>
      <c r="AC96" s="30" t="n"/>
      <c r="AD96" s="29" t="n"/>
      <c r="AE96" s="30" t="n"/>
      <c r="AF96" s="30" t="n"/>
      <c r="AG96" s="30" t="n"/>
      <c r="AH96" s="30" t="n"/>
      <c r="AI96" s="30" t="n"/>
      <c r="AJ96" s="29" t="n"/>
      <c r="AK96" s="30" t="n"/>
      <c r="AL96" s="30" t="n"/>
      <c r="AM96" s="30" t="n"/>
      <c r="AN96" s="30" t="n"/>
      <c r="AO96" s="30" t="n"/>
      <c r="AP96" s="29" t="n"/>
      <c r="AQ96" s="30" t="n"/>
      <c r="AR96" s="30" t="n"/>
      <c r="AS96" s="30" t="n"/>
      <c r="AT96" s="30" t="n"/>
      <c r="AU96" s="30" t="n"/>
      <c r="AV96" s="29" t="n"/>
      <c r="AW96" s="30" t="n"/>
      <c r="AX96" s="30" t="n"/>
      <c r="AY96" s="30" t="n"/>
      <c r="AZ96" s="30" t="n"/>
      <c r="BA96" s="30" t="n"/>
      <c r="BB96" s="29" t="n"/>
      <c r="BC96" s="30" t="n"/>
      <c r="BD96" s="30" t="n"/>
      <c r="BE96" s="30" t="n"/>
      <c r="BF96" s="30" t="n"/>
      <c r="BG96" s="30" t="n"/>
      <c r="BH96" s="29" t="n"/>
      <c r="BI96" s="30" t="n"/>
      <c r="BJ96" s="30" t="n"/>
      <c r="BK96" s="30" t="n"/>
      <c r="BL96" s="30" t="n"/>
      <c r="BM96" s="30" t="n"/>
      <c r="BN96" s="29" t="n"/>
      <c r="BO96" s="30" t="n"/>
      <c r="BP96" s="30" t="n"/>
      <c r="BQ96" s="30" t="n"/>
      <c r="BR96" s="30" t="n"/>
      <c r="BS96" s="30" t="n"/>
      <c r="BT96" s="29" t="n"/>
      <c r="BU96" s="30" t="n"/>
      <c r="BV96" s="30" t="n"/>
      <c r="BW96" s="30" t="n"/>
      <c r="BX96" s="30" t="n"/>
      <c r="BY96" s="30" t="n"/>
      <c r="BZ96" s="29" t="n"/>
      <c r="CA96" s="30" t="n"/>
      <c r="CB96" s="30" t="n"/>
      <c r="CC96" s="30" t="n"/>
      <c r="CD96" s="30" t="n"/>
      <c r="CE96" s="30" t="n"/>
      <c r="CF96" s="29" t="n"/>
      <c r="CG96" s="30" t="n"/>
      <c r="CH96" s="30" t="n"/>
      <c r="CI96" s="30" t="n"/>
      <c r="CJ96" s="30" t="n"/>
      <c r="CK96" s="30" t="n"/>
      <c r="CL96" s="29" t="n"/>
      <c r="CM96" s="31" t="n"/>
      <c r="CN96" s="31" t="n"/>
      <c r="CO96" s="183" t="n">
        <v>0</v>
      </c>
      <c r="CP96" s="171">
        <f>CO96*(1+CP95)+CP94</f>
        <v/>
      </c>
      <c r="CQ96" s="171">
        <f>CP96*(1+CQ95)+CQ94</f>
        <v/>
      </c>
      <c r="CR96" s="171">
        <f>CQ96*(1+CR95)+CR94</f>
        <v/>
      </c>
      <c r="CS96" s="171">
        <f>CR96*(1+CS95)+CS94</f>
        <v/>
      </c>
      <c r="CT96" s="22" t="n"/>
      <c r="CV96" s="23" t="n"/>
      <c r="CW96" s="23" t="n"/>
      <c r="CX96" s="23" t="n"/>
      <c r="CY96" s="23" t="n"/>
    </row>
    <row r="97" ht="15" customHeight="1">
      <c r="B97" s="18" t="inlineStr">
        <is>
          <t xml:space="preserve">  Revenues from future acquisitions</t>
        </is>
      </c>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19" t="n"/>
      <c r="AY97" s="19" t="n"/>
      <c r="AZ97" s="19" t="n"/>
      <c r="BA97" s="19" t="n"/>
      <c r="BB97" s="19" t="n"/>
      <c r="BC97" s="19" t="n"/>
      <c r="BD97" s="19" t="n"/>
      <c r="BE97" s="19" t="n"/>
      <c r="BF97" s="19" t="n"/>
      <c r="BG97" s="19" t="n"/>
      <c r="BH97" s="19" t="n"/>
      <c r="BI97" s="19" t="n"/>
      <c r="BJ97" s="19" t="n"/>
      <c r="BK97" s="19" t="n"/>
      <c r="BL97" s="19" t="n"/>
      <c r="BM97" s="19" t="n"/>
      <c r="BN97" s="19" t="n"/>
      <c r="BO97" s="19" t="n"/>
      <c r="BP97" s="19" t="n"/>
      <c r="BQ97" s="19" t="n"/>
      <c r="BR97" s="19" t="n"/>
      <c r="BS97" s="19" t="n"/>
      <c r="BT97" s="19" t="n"/>
      <c r="BU97" s="19" t="n"/>
      <c r="BV97" s="19" t="n"/>
      <c r="BW97" s="19" t="n"/>
      <c r="BX97" s="19" t="n"/>
      <c r="BY97" s="19" t="n"/>
      <c r="BZ97" s="19" t="n"/>
      <c r="CA97" s="19" t="n"/>
      <c r="CB97" s="19" t="n"/>
      <c r="CC97" s="19" t="n"/>
      <c r="CD97" s="19" t="n"/>
      <c r="CE97" s="19" t="n"/>
      <c r="CF97" s="19" t="n"/>
      <c r="CG97" s="19" t="n"/>
      <c r="CH97" s="19" t="n"/>
      <c r="CI97" s="19" t="n"/>
      <c r="CJ97" s="19" t="n"/>
      <c r="CK97" s="19" t="n"/>
      <c r="CL97" s="19" t="n"/>
      <c r="CM97" s="21" t="n"/>
      <c r="CN97" s="21" t="n"/>
      <c r="CO97" s="185" t="n">
        <v>0</v>
      </c>
      <c r="CP97" s="174">
        <f>CO96*(1+CP95)+0.5*CP94</f>
        <v/>
      </c>
      <c r="CQ97" s="174">
        <f>CP96*(1+CQ95)+0.5*CQ94</f>
        <v/>
      </c>
      <c r="CR97" s="174">
        <f>CQ96*(1+CR95)+0.5*CR94</f>
        <v/>
      </c>
      <c r="CS97" s="174">
        <f>CR96*(1+CS95)+0.5*CS94</f>
        <v/>
      </c>
      <c r="CT97" s="22" t="inlineStr">
        <is>
          <t>Mid-year convention: deals close evenly through the year (half a year of acquired revenues in year 1).</t>
        </is>
      </c>
      <c r="CV97" s="6" t="n"/>
      <c r="CW97" s="6" t="n"/>
      <c r="CX97" s="6" t="n"/>
      <c r="CY97" s="6" t="n"/>
    </row>
    <row r="98" ht="15" customHeight="1">
      <c r="B98" s="12" t="inlineStr">
        <is>
          <t xml:space="preserve">  Adjusted EBITDA (cash gross profit) from future acquisitions</t>
        </is>
      </c>
      <c r="C98" s="29" t="n"/>
      <c r="D98" s="29" t="n"/>
      <c r="E98" s="30" t="n"/>
      <c r="F98" s="30" t="n"/>
      <c r="G98" s="30" t="n"/>
      <c r="H98" s="30" t="n"/>
      <c r="I98" s="30" t="n"/>
      <c r="J98" s="30" t="n"/>
      <c r="K98" s="30" t="n"/>
      <c r="L98" s="29" t="n"/>
      <c r="M98" s="30" t="n"/>
      <c r="N98" s="30" t="n"/>
      <c r="O98" s="30" t="n"/>
      <c r="P98" s="30" t="n"/>
      <c r="Q98" s="30" t="n"/>
      <c r="R98" s="29" t="n"/>
      <c r="S98" s="30" t="n"/>
      <c r="T98" s="30" t="n"/>
      <c r="U98" s="30" t="n"/>
      <c r="V98" s="30" t="n"/>
      <c r="W98" s="30" t="n"/>
      <c r="X98" s="29" t="n"/>
      <c r="Y98" s="30" t="n"/>
      <c r="Z98" s="30" t="n"/>
      <c r="AA98" s="30" t="n"/>
      <c r="AB98" s="30" t="n"/>
      <c r="AC98" s="30" t="n"/>
      <c r="AD98" s="29" t="n"/>
      <c r="AE98" s="30" t="n"/>
      <c r="AF98" s="30" t="n"/>
      <c r="AG98" s="30" t="n"/>
      <c r="AH98" s="30" t="n"/>
      <c r="AI98" s="30" t="n"/>
      <c r="AJ98" s="29" t="n"/>
      <c r="AK98" s="30" t="n"/>
      <c r="AL98" s="30" t="n"/>
      <c r="AM98" s="30" t="n"/>
      <c r="AN98" s="30" t="n"/>
      <c r="AO98" s="30" t="n"/>
      <c r="AP98" s="29" t="n"/>
      <c r="AQ98" s="30" t="n"/>
      <c r="AR98" s="30" t="n"/>
      <c r="AS98" s="30" t="n"/>
      <c r="AT98" s="30" t="n"/>
      <c r="AU98" s="30" t="n"/>
      <c r="AV98" s="29" t="n"/>
      <c r="AW98" s="30" t="n"/>
      <c r="AX98" s="30" t="n"/>
      <c r="AY98" s="30" t="n"/>
      <c r="AZ98" s="30" t="n"/>
      <c r="BA98" s="30" t="n"/>
      <c r="BB98" s="29" t="n"/>
      <c r="BC98" s="30" t="n"/>
      <c r="BD98" s="30" t="n"/>
      <c r="BE98" s="30" t="n"/>
      <c r="BF98" s="30" t="n"/>
      <c r="BG98" s="30" t="n"/>
      <c r="BH98" s="29" t="n"/>
      <c r="BI98" s="30" t="n"/>
      <c r="BJ98" s="30" t="n"/>
      <c r="BK98" s="30" t="n"/>
      <c r="BL98" s="30" t="n"/>
      <c r="BM98" s="30" t="n"/>
      <c r="BN98" s="29" t="n"/>
      <c r="BO98" s="30" t="n"/>
      <c r="BP98" s="30" t="n"/>
      <c r="BQ98" s="30" t="n"/>
      <c r="BR98" s="30" t="n"/>
      <c r="BS98" s="30" t="n"/>
      <c r="BT98" s="29" t="n"/>
      <c r="BU98" s="30" t="n"/>
      <c r="BV98" s="30" t="n"/>
      <c r="BW98" s="30" t="n"/>
      <c r="BX98" s="30" t="n"/>
      <c r="BY98" s="30" t="n"/>
      <c r="BZ98" s="29" t="n"/>
      <c r="CA98" s="30" t="n"/>
      <c r="CB98" s="30" t="n"/>
      <c r="CC98" s="30" t="n"/>
      <c r="CD98" s="30" t="n"/>
      <c r="CE98" s="30" t="n"/>
      <c r="CF98" s="29" t="n"/>
      <c r="CG98" s="30" t="n"/>
      <c r="CH98" s="30" t="n"/>
      <c r="CI98" s="30" t="n"/>
      <c r="CJ98" s="30" t="n"/>
      <c r="CK98" s="30" t="n"/>
      <c r="CL98" s="29" t="n"/>
      <c r="CM98" s="31" t="n"/>
      <c r="CN98" s="31" t="n"/>
      <c r="CO98" s="183" t="n">
        <v>0</v>
      </c>
      <c r="CP98" s="171">
        <f>CP97*CP93</f>
        <v/>
      </c>
      <c r="CQ98" s="171">
        <f>CQ97*CQ93</f>
        <v/>
      </c>
      <c r="CR98" s="171">
        <f>CR97*CR93</f>
        <v/>
      </c>
      <c r="CS98" s="171">
        <f>CS97*CS93</f>
        <v/>
      </c>
      <c r="CT98" s="22" t="n"/>
      <c r="CV98" s="23" t="n"/>
      <c r="CW98" s="23" t="n"/>
      <c r="CX98" s="23" t="n"/>
      <c r="CY98" s="23" t="n"/>
    </row>
    <row r="99" ht="15" customHeight="1">
      <c r="B99" s="46" t="inlineStr">
        <is>
          <t xml:space="preserve">  Purchase price allocated to PP&amp;E (incl. mineral reserves) %</t>
        </is>
      </c>
      <c r="C99" s="47" t="n"/>
      <c r="D99" s="47" t="n"/>
      <c r="E99" s="47" t="n"/>
      <c r="F99" s="47" t="n"/>
      <c r="G99" s="47" t="n"/>
      <c r="H99" s="47" t="n"/>
      <c r="I99" s="47" t="n"/>
      <c r="J99" s="47" t="n"/>
      <c r="K99" s="47" t="n"/>
      <c r="L99" s="47" t="n"/>
      <c r="M99" s="47" t="n"/>
      <c r="N99" s="47" t="n"/>
      <c r="O99" s="47" t="n"/>
      <c r="P99" s="47" t="n"/>
      <c r="Q99" s="47" t="n"/>
      <c r="R99" s="47" t="n"/>
      <c r="S99" s="47" t="n"/>
      <c r="T99" s="47" t="n"/>
      <c r="U99" s="47" t="n"/>
      <c r="V99" s="47" t="n"/>
      <c r="W99" s="47" t="n"/>
      <c r="X99" s="47" t="n"/>
      <c r="Y99" s="47" t="n"/>
      <c r="Z99" s="47" t="n"/>
      <c r="AA99" s="47" t="n"/>
      <c r="AB99" s="47" t="n"/>
      <c r="AC99" s="47" t="n"/>
      <c r="AD99" s="47" t="n"/>
      <c r="AE99" s="47" t="n"/>
      <c r="AF99" s="47" t="n"/>
      <c r="AG99" s="47" t="n"/>
      <c r="AH99" s="47" t="n"/>
      <c r="AI99" s="47" t="n"/>
      <c r="AJ99" s="47" t="n"/>
      <c r="AK99" s="47" t="n"/>
      <c r="AL99" s="47" t="n"/>
      <c r="AM99" s="47" t="n"/>
      <c r="AN99" s="47" t="n"/>
      <c r="AO99" s="47" t="n"/>
      <c r="AP99" s="47" t="n"/>
      <c r="AQ99" s="47" t="n"/>
      <c r="AR99" s="47" t="n"/>
      <c r="AS99" s="47" t="n"/>
      <c r="AT99" s="47" t="n"/>
      <c r="AU99" s="47" t="n"/>
      <c r="AV99" s="47" t="n"/>
      <c r="AW99" s="47" t="n"/>
      <c r="AX99" s="47" t="n"/>
      <c r="AY99" s="47" t="n"/>
      <c r="AZ99" s="47" t="n"/>
      <c r="BA99" s="47" t="n"/>
      <c r="BB99" s="47" t="n"/>
      <c r="BC99" s="47" t="n"/>
      <c r="BD99" s="47" t="n"/>
      <c r="BE99" s="47" t="n"/>
      <c r="BF99" s="47" t="n"/>
      <c r="BG99" s="47" t="n"/>
      <c r="BH99" s="47" t="n"/>
      <c r="BI99" s="47" t="n"/>
      <c r="BJ99" s="47" t="n"/>
      <c r="BK99" s="47" t="n"/>
      <c r="BL99" s="47" t="n"/>
      <c r="BM99" s="47" t="n"/>
      <c r="BN99" s="47" t="n"/>
      <c r="BO99" s="47" t="n"/>
      <c r="BP99" s="47" t="n"/>
      <c r="BQ99" s="47" t="n"/>
      <c r="BR99" s="47" t="n"/>
      <c r="BS99" s="47" t="n"/>
      <c r="BT99" s="47" t="n"/>
      <c r="BU99" s="47" t="n"/>
      <c r="BV99" s="47" t="n"/>
      <c r="BW99" s="47" t="n"/>
      <c r="BX99" s="47" t="n"/>
      <c r="BY99" s="47" t="n"/>
      <c r="BZ99" s="47" t="n"/>
      <c r="CA99" s="47" t="n"/>
      <c r="CB99" s="47" t="n"/>
      <c r="CC99" s="47" t="n"/>
      <c r="CD99" s="47" t="n"/>
      <c r="CE99" s="47" t="n"/>
      <c r="CF99" s="47" t="n"/>
      <c r="CG99" s="47" t="n"/>
      <c r="CH99" s="47" t="n"/>
      <c r="CI99" s="47" t="n"/>
      <c r="CJ99" s="47" t="n"/>
      <c r="CK99" s="47" t="n"/>
      <c r="CL99" s="47" t="n"/>
      <c r="CM99" s="48" t="n"/>
      <c r="CN99" s="48" t="n"/>
      <c r="CO99" s="48" t="n"/>
      <c r="CP99" s="182" t="n">
        <v>0.55</v>
      </c>
      <c r="CQ99" s="182" t="n">
        <v>0.55</v>
      </c>
      <c r="CR99" s="182" t="n">
        <v>0.55</v>
      </c>
      <c r="CS99" s="182" t="n">
        <v>0.55</v>
      </c>
      <c r="CT99" s="22" t="n"/>
      <c r="CV99" s="6" t="n"/>
      <c r="CW99" s="6" t="n"/>
      <c r="CX99" s="6" t="n"/>
      <c r="CY99" s="6" t="n"/>
    </row>
    <row r="100" ht="15" customHeight="1">
      <c r="B100" s="46" t="inlineStr">
        <is>
          <t xml:space="preserve">  Purchase price allocated to intangibles %</t>
        </is>
      </c>
      <c r="C100" s="47" t="n"/>
      <c r="D100" s="47" t="n"/>
      <c r="E100" s="47" t="n"/>
      <c r="F100" s="47" t="n"/>
      <c r="G100" s="47" t="n"/>
      <c r="H100" s="47" t="n"/>
      <c r="I100" s="47" t="n"/>
      <c r="J100" s="47" t="n"/>
      <c r="K100" s="47" t="n"/>
      <c r="L100" s="47" t="n"/>
      <c r="M100" s="47" t="n"/>
      <c r="N100" s="47" t="n"/>
      <c r="O100" s="47" t="n"/>
      <c r="P100" s="47" t="n"/>
      <c r="Q100" s="47" t="n"/>
      <c r="R100" s="47" t="n"/>
      <c r="S100" s="47" t="n"/>
      <c r="T100" s="47" t="n"/>
      <c r="U100" s="47" t="n"/>
      <c r="V100" s="47" t="n"/>
      <c r="W100" s="47" t="n"/>
      <c r="X100" s="47" t="n"/>
      <c r="Y100" s="47" t="n"/>
      <c r="Z100" s="47" t="n"/>
      <c r="AA100" s="47" t="n"/>
      <c r="AB100" s="47" t="n"/>
      <c r="AC100" s="47" t="n"/>
      <c r="AD100" s="47" t="n"/>
      <c r="AE100" s="47" t="n"/>
      <c r="AF100" s="47" t="n"/>
      <c r="AG100" s="47" t="n"/>
      <c r="AH100" s="47" t="n"/>
      <c r="AI100" s="47" t="n"/>
      <c r="AJ100" s="47" t="n"/>
      <c r="AK100" s="47" t="n"/>
      <c r="AL100" s="47" t="n"/>
      <c r="AM100" s="47" t="n"/>
      <c r="AN100" s="47" t="n"/>
      <c r="AO100" s="47" t="n"/>
      <c r="AP100" s="47" t="n"/>
      <c r="AQ100" s="47" t="n"/>
      <c r="AR100" s="47" t="n"/>
      <c r="AS100" s="47" t="n"/>
      <c r="AT100" s="47" t="n"/>
      <c r="AU100" s="47" t="n"/>
      <c r="AV100" s="47" t="n"/>
      <c r="AW100" s="47" t="n"/>
      <c r="AX100" s="47" t="n"/>
      <c r="AY100" s="47" t="n"/>
      <c r="AZ100" s="47" t="n"/>
      <c r="BA100" s="47" t="n"/>
      <c r="BB100" s="47" t="n"/>
      <c r="BC100" s="47" t="n"/>
      <c r="BD100" s="47" t="n"/>
      <c r="BE100" s="47" t="n"/>
      <c r="BF100" s="47" t="n"/>
      <c r="BG100" s="47" t="n"/>
      <c r="BH100" s="47" t="n"/>
      <c r="BI100" s="47" t="n"/>
      <c r="BJ100" s="47" t="n"/>
      <c r="BK100" s="47" t="n"/>
      <c r="BL100" s="47" t="n"/>
      <c r="BM100" s="47" t="n"/>
      <c r="BN100" s="47" t="n"/>
      <c r="BO100" s="47" t="n"/>
      <c r="BP100" s="47" t="n"/>
      <c r="BQ100" s="47" t="n"/>
      <c r="BR100" s="47" t="n"/>
      <c r="BS100" s="47" t="n"/>
      <c r="BT100" s="47" t="n"/>
      <c r="BU100" s="47" t="n"/>
      <c r="BV100" s="47" t="n"/>
      <c r="BW100" s="47" t="n"/>
      <c r="BX100" s="47" t="n"/>
      <c r="BY100" s="47" t="n"/>
      <c r="BZ100" s="47" t="n"/>
      <c r="CA100" s="47" t="n"/>
      <c r="CB100" s="47" t="n"/>
      <c r="CC100" s="47" t="n"/>
      <c r="CD100" s="47" t="n"/>
      <c r="CE100" s="47" t="n"/>
      <c r="CF100" s="47" t="n"/>
      <c r="CG100" s="47" t="n"/>
      <c r="CH100" s="47" t="n"/>
      <c r="CI100" s="47" t="n"/>
      <c r="CJ100" s="47" t="n"/>
      <c r="CK100" s="47" t="n"/>
      <c r="CL100" s="47" t="n"/>
      <c r="CM100" s="48" t="n"/>
      <c r="CN100" s="48" t="n"/>
      <c r="CO100" s="48" t="n"/>
      <c r="CP100" s="182" t="n">
        <v>0.15</v>
      </c>
      <c r="CQ100" s="182" t="n">
        <v>0.15</v>
      </c>
      <c r="CR100" s="182" t="n">
        <v>0.15</v>
      </c>
      <c r="CS100" s="182" t="n">
        <v>0.15</v>
      </c>
      <c r="CT100" s="22" t="n"/>
      <c r="CV100" s="6" t="n"/>
      <c r="CW100" s="6" t="n"/>
      <c r="CX100" s="6" t="n"/>
      <c r="CY100" s="6" t="n"/>
    </row>
    <row r="101" ht="15" customHeight="1">
      <c r="B101" s="46" t="inlineStr">
        <is>
          <t xml:space="preserve">  Purchase price allocated to goodwill %</t>
        </is>
      </c>
      <c r="C101" s="47" t="n"/>
      <c r="D101" s="47" t="n"/>
      <c r="E101" s="47" t="n"/>
      <c r="F101" s="47" t="n"/>
      <c r="G101" s="47" t="n"/>
      <c r="H101" s="47" t="n"/>
      <c r="I101" s="47" t="n"/>
      <c r="J101" s="47" t="n"/>
      <c r="K101" s="47" t="n"/>
      <c r="L101" s="47" t="n"/>
      <c r="M101" s="47" t="n"/>
      <c r="N101" s="47" t="n"/>
      <c r="O101" s="47" t="n"/>
      <c r="P101" s="47" t="n"/>
      <c r="Q101" s="47" t="n"/>
      <c r="R101" s="47" t="n"/>
      <c r="S101" s="47" t="n"/>
      <c r="T101" s="47" t="n"/>
      <c r="U101" s="47" t="n"/>
      <c r="V101" s="47" t="n"/>
      <c r="W101" s="47" t="n"/>
      <c r="X101" s="47" t="n"/>
      <c r="Y101" s="47" t="n"/>
      <c r="Z101" s="47" t="n"/>
      <c r="AA101" s="47" t="n"/>
      <c r="AB101" s="47" t="n"/>
      <c r="AC101" s="47" t="n"/>
      <c r="AD101" s="47" t="n"/>
      <c r="AE101" s="47" t="n"/>
      <c r="AF101" s="47" t="n"/>
      <c r="AG101" s="47" t="n"/>
      <c r="AH101" s="47" t="n"/>
      <c r="AI101" s="47" t="n"/>
      <c r="AJ101" s="47" t="n"/>
      <c r="AK101" s="47" t="n"/>
      <c r="AL101" s="47" t="n"/>
      <c r="AM101" s="47" t="n"/>
      <c r="AN101" s="47" t="n"/>
      <c r="AO101" s="47" t="n"/>
      <c r="AP101" s="47" t="n"/>
      <c r="AQ101" s="47" t="n"/>
      <c r="AR101" s="47" t="n"/>
      <c r="AS101" s="47" t="n"/>
      <c r="AT101" s="47" t="n"/>
      <c r="AU101" s="47" t="n"/>
      <c r="AV101" s="47" t="n"/>
      <c r="AW101" s="47" t="n"/>
      <c r="AX101" s="47" t="n"/>
      <c r="AY101" s="47" t="n"/>
      <c r="AZ101" s="47" t="n"/>
      <c r="BA101" s="47" t="n"/>
      <c r="BB101" s="47" t="n"/>
      <c r="BC101" s="47" t="n"/>
      <c r="BD101" s="47" t="n"/>
      <c r="BE101" s="47" t="n"/>
      <c r="BF101" s="47" t="n"/>
      <c r="BG101" s="47" t="n"/>
      <c r="BH101" s="47" t="n"/>
      <c r="BI101" s="47" t="n"/>
      <c r="BJ101" s="47" t="n"/>
      <c r="BK101" s="47" t="n"/>
      <c r="BL101" s="47" t="n"/>
      <c r="BM101" s="47" t="n"/>
      <c r="BN101" s="47" t="n"/>
      <c r="BO101" s="47" t="n"/>
      <c r="BP101" s="47" t="n"/>
      <c r="BQ101" s="47" t="n"/>
      <c r="BR101" s="47" t="n"/>
      <c r="BS101" s="47" t="n"/>
      <c r="BT101" s="47" t="n"/>
      <c r="BU101" s="47" t="n"/>
      <c r="BV101" s="47" t="n"/>
      <c r="BW101" s="47" t="n"/>
      <c r="BX101" s="47" t="n"/>
      <c r="BY101" s="47" t="n"/>
      <c r="BZ101" s="47" t="n"/>
      <c r="CA101" s="47" t="n"/>
      <c r="CB101" s="47" t="n"/>
      <c r="CC101" s="47" t="n"/>
      <c r="CD101" s="47" t="n"/>
      <c r="CE101" s="47" t="n"/>
      <c r="CF101" s="47" t="n"/>
      <c r="CG101" s="47" t="n"/>
      <c r="CH101" s="47" t="n"/>
      <c r="CI101" s="47" t="n"/>
      <c r="CJ101" s="47" t="n"/>
      <c r="CK101" s="47" t="n"/>
      <c r="CL101" s="47" t="n"/>
      <c r="CM101" s="48" t="n"/>
      <c r="CN101" s="48" t="n"/>
      <c r="CO101" s="48" t="n"/>
      <c r="CP101" s="186">
        <f>1-CP99-CP100</f>
        <v/>
      </c>
      <c r="CQ101" s="186">
        <f>1-CQ99-CQ100</f>
        <v/>
      </c>
      <c r="CR101" s="186">
        <f>1-CR99-CR100</f>
        <v/>
      </c>
      <c r="CS101" s="186">
        <f>1-CS99-CS100</f>
        <v/>
      </c>
      <c r="CT101" s="22" t="n"/>
      <c r="CV101" s="6" t="n"/>
      <c r="CW101" s="6" t="n"/>
      <c r="CX101" s="6" t="n"/>
      <c r="CY101" s="6" t="n"/>
    </row>
    <row r="102" ht="15" customHeight="1">
      <c r="B102" s="46" t="inlineStr">
        <is>
          <t xml:space="preserve">  Depreciation / depletion life of acquired assets (years)</t>
        </is>
      </c>
      <c r="C102" s="47" t="n"/>
      <c r="D102" s="47" t="n"/>
      <c r="E102" s="47" t="n"/>
      <c r="F102" s="47" t="n"/>
      <c r="G102" s="47" t="n"/>
      <c r="H102" s="47" t="n"/>
      <c r="I102" s="47" t="n"/>
      <c r="J102" s="47" t="n"/>
      <c r="K102" s="47" t="n"/>
      <c r="L102" s="47" t="n"/>
      <c r="M102" s="47" t="n"/>
      <c r="N102" s="47" t="n"/>
      <c r="O102" s="47" t="n"/>
      <c r="P102" s="47" t="n"/>
      <c r="Q102" s="47" t="n"/>
      <c r="R102" s="47" t="n"/>
      <c r="S102" s="47" t="n"/>
      <c r="T102" s="47" t="n"/>
      <c r="U102" s="47" t="n"/>
      <c r="V102" s="47" t="n"/>
      <c r="W102" s="47" t="n"/>
      <c r="X102" s="47" t="n"/>
      <c r="Y102" s="47" t="n"/>
      <c r="Z102" s="47" t="n"/>
      <c r="AA102" s="47" t="n"/>
      <c r="AB102" s="47" t="n"/>
      <c r="AC102" s="47" t="n"/>
      <c r="AD102" s="47" t="n"/>
      <c r="AE102" s="47" t="n"/>
      <c r="AF102" s="47" t="n"/>
      <c r="AG102" s="47" t="n"/>
      <c r="AH102" s="47" t="n"/>
      <c r="AI102" s="47" t="n"/>
      <c r="AJ102" s="47" t="n"/>
      <c r="AK102" s="47" t="n"/>
      <c r="AL102" s="47" t="n"/>
      <c r="AM102" s="47" t="n"/>
      <c r="AN102" s="47" t="n"/>
      <c r="AO102" s="47" t="n"/>
      <c r="AP102" s="47" t="n"/>
      <c r="AQ102" s="47" t="n"/>
      <c r="AR102" s="47" t="n"/>
      <c r="AS102" s="47" t="n"/>
      <c r="AT102" s="47" t="n"/>
      <c r="AU102" s="47" t="n"/>
      <c r="AV102" s="47" t="n"/>
      <c r="AW102" s="47" t="n"/>
      <c r="AX102" s="47" t="n"/>
      <c r="AY102" s="47" t="n"/>
      <c r="AZ102" s="47" t="n"/>
      <c r="BA102" s="47" t="n"/>
      <c r="BB102" s="47" t="n"/>
      <c r="BC102" s="47" t="n"/>
      <c r="BD102" s="47" t="n"/>
      <c r="BE102" s="47" t="n"/>
      <c r="BF102" s="47" t="n"/>
      <c r="BG102" s="47" t="n"/>
      <c r="BH102" s="47" t="n"/>
      <c r="BI102" s="47" t="n"/>
      <c r="BJ102" s="47" t="n"/>
      <c r="BK102" s="47" t="n"/>
      <c r="BL102" s="47" t="n"/>
      <c r="BM102" s="47" t="n"/>
      <c r="BN102" s="47" t="n"/>
      <c r="BO102" s="47" t="n"/>
      <c r="BP102" s="47" t="n"/>
      <c r="BQ102" s="47" t="n"/>
      <c r="BR102" s="47" t="n"/>
      <c r="BS102" s="47" t="n"/>
      <c r="BT102" s="47" t="n"/>
      <c r="BU102" s="47" t="n"/>
      <c r="BV102" s="47" t="n"/>
      <c r="BW102" s="47" t="n"/>
      <c r="BX102" s="47" t="n"/>
      <c r="BY102" s="47" t="n"/>
      <c r="BZ102" s="47" t="n"/>
      <c r="CA102" s="47" t="n"/>
      <c r="CB102" s="47" t="n"/>
      <c r="CC102" s="47" t="n"/>
      <c r="CD102" s="47" t="n"/>
      <c r="CE102" s="47" t="n"/>
      <c r="CF102" s="47" t="n"/>
      <c r="CG102" s="47" t="n"/>
      <c r="CH102" s="47" t="n"/>
      <c r="CI102" s="47" t="n"/>
      <c r="CJ102" s="47" t="n"/>
      <c r="CK102" s="47" t="n"/>
      <c r="CL102" s="47" t="n"/>
      <c r="CM102" s="48" t="n"/>
      <c r="CN102" s="48" t="n"/>
      <c r="CO102" s="48" t="n"/>
      <c r="CP102" s="187" t="n">
        <v>25</v>
      </c>
      <c r="CQ102" s="187" t="n">
        <v>25</v>
      </c>
      <c r="CR102" s="187" t="n">
        <v>25</v>
      </c>
      <c r="CS102" s="187" t="n">
        <v>25</v>
      </c>
      <c r="CT102" s="22" t="n"/>
      <c r="CV102" s="6" t="n"/>
      <c r="CW102" s="6" t="n"/>
      <c r="CX102" s="6" t="n"/>
      <c r="CY102" s="6" t="n"/>
    </row>
    <row r="103" ht="15" customHeight="1">
      <c r="B103" s="12" t="inlineStr">
        <is>
          <t xml:space="preserve">  Cumulative depreciable acquired assets (gross)</t>
        </is>
      </c>
      <c r="C103" s="29" t="n"/>
      <c r="D103" s="29" t="n"/>
      <c r="E103" s="30" t="n"/>
      <c r="F103" s="30" t="n"/>
      <c r="G103" s="30" t="n"/>
      <c r="H103" s="30" t="n"/>
      <c r="I103" s="30" t="n"/>
      <c r="J103" s="30" t="n"/>
      <c r="K103" s="30" t="n"/>
      <c r="L103" s="29" t="n"/>
      <c r="M103" s="30" t="n"/>
      <c r="N103" s="30" t="n"/>
      <c r="O103" s="30" t="n"/>
      <c r="P103" s="30" t="n"/>
      <c r="Q103" s="30" t="n"/>
      <c r="R103" s="29" t="n"/>
      <c r="S103" s="30" t="n"/>
      <c r="T103" s="30" t="n"/>
      <c r="U103" s="30" t="n"/>
      <c r="V103" s="30" t="n"/>
      <c r="W103" s="30" t="n"/>
      <c r="X103" s="29" t="n"/>
      <c r="Y103" s="30" t="n"/>
      <c r="Z103" s="30" t="n"/>
      <c r="AA103" s="30" t="n"/>
      <c r="AB103" s="30" t="n"/>
      <c r="AC103" s="30" t="n"/>
      <c r="AD103" s="29" t="n"/>
      <c r="AE103" s="30" t="n"/>
      <c r="AF103" s="30" t="n"/>
      <c r="AG103" s="30" t="n"/>
      <c r="AH103" s="30" t="n"/>
      <c r="AI103" s="30" t="n"/>
      <c r="AJ103" s="29" t="n"/>
      <c r="AK103" s="30" t="n"/>
      <c r="AL103" s="30" t="n"/>
      <c r="AM103" s="30" t="n"/>
      <c r="AN103" s="30" t="n"/>
      <c r="AO103" s="30" t="n"/>
      <c r="AP103" s="29" t="n"/>
      <c r="AQ103" s="30" t="n"/>
      <c r="AR103" s="30" t="n"/>
      <c r="AS103" s="30" t="n"/>
      <c r="AT103" s="30" t="n"/>
      <c r="AU103" s="30" t="n"/>
      <c r="AV103" s="29" t="n"/>
      <c r="AW103" s="30" t="n"/>
      <c r="AX103" s="30" t="n"/>
      <c r="AY103" s="30" t="n"/>
      <c r="AZ103" s="30" t="n"/>
      <c r="BA103" s="30" t="n"/>
      <c r="BB103" s="29" t="n"/>
      <c r="BC103" s="30" t="n"/>
      <c r="BD103" s="30" t="n"/>
      <c r="BE103" s="30" t="n"/>
      <c r="BF103" s="30" t="n"/>
      <c r="BG103" s="30" t="n"/>
      <c r="BH103" s="29" t="n"/>
      <c r="BI103" s="30" t="n"/>
      <c r="BJ103" s="30" t="n"/>
      <c r="BK103" s="30" t="n"/>
      <c r="BL103" s="30" t="n"/>
      <c r="BM103" s="30" t="n"/>
      <c r="BN103" s="29" t="n"/>
      <c r="BO103" s="30" t="n"/>
      <c r="BP103" s="30" t="n"/>
      <c r="BQ103" s="30" t="n"/>
      <c r="BR103" s="30" t="n"/>
      <c r="BS103" s="30" t="n"/>
      <c r="BT103" s="29" t="n"/>
      <c r="BU103" s="30" t="n"/>
      <c r="BV103" s="30" t="n"/>
      <c r="BW103" s="30" t="n"/>
      <c r="BX103" s="30" t="n"/>
      <c r="BY103" s="30" t="n"/>
      <c r="BZ103" s="29" t="n"/>
      <c r="CA103" s="30" t="n"/>
      <c r="CB103" s="30" t="n"/>
      <c r="CC103" s="30" t="n"/>
      <c r="CD103" s="30" t="n"/>
      <c r="CE103" s="30" t="n"/>
      <c r="CF103" s="29" t="n"/>
      <c r="CG103" s="30" t="n"/>
      <c r="CH103" s="30" t="n"/>
      <c r="CI103" s="30" t="n"/>
      <c r="CJ103" s="30" t="n"/>
      <c r="CK103" s="30" t="n"/>
      <c r="CL103" s="29" t="n"/>
      <c r="CM103" s="31" t="n"/>
      <c r="CN103" s="31" t="n"/>
      <c r="CO103" s="183" t="n">
        <v>0</v>
      </c>
      <c r="CP103" s="171">
        <f>CO103+CP90*(CP99+CP100)</f>
        <v/>
      </c>
      <c r="CQ103" s="171">
        <f>CP103+CQ90*(CQ99+CQ100)</f>
        <v/>
      </c>
      <c r="CR103" s="171">
        <f>CQ103+CR90*(CR99+CR100)</f>
        <v/>
      </c>
      <c r="CS103" s="171">
        <f>CR103+CS90*(CS99+CS100)</f>
        <v/>
      </c>
      <c r="CT103" s="22" t="n"/>
      <c r="CV103" s="23" t="n"/>
      <c r="CW103" s="23" t="n"/>
      <c r="CX103" s="23" t="n"/>
      <c r="CY103" s="23" t="n"/>
    </row>
    <row r="104" ht="15" customHeight="1">
      <c r="B104" s="12" t="inlineStr">
        <is>
          <t xml:space="preserve">  DDA&amp;A of future acquisitions</t>
        </is>
      </c>
      <c r="C104" s="29" t="n"/>
      <c r="D104" s="29" t="n"/>
      <c r="E104" s="30" t="n"/>
      <c r="F104" s="30" t="n"/>
      <c r="G104" s="30" t="n"/>
      <c r="H104" s="30" t="n"/>
      <c r="I104" s="30" t="n"/>
      <c r="J104" s="30" t="n"/>
      <c r="K104" s="30" t="n"/>
      <c r="L104" s="29" t="n"/>
      <c r="M104" s="30" t="n"/>
      <c r="N104" s="30" t="n"/>
      <c r="O104" s="30" t="n"/>
      <c r="P104" s="30" t="n"/>
      <c r="Q104" s="30" t="n"/>
      <c r="R104" s="29" t="n"/>
      <c r="S104" s="30" t="n"/>
      <c r="T104" s="30" t="n"/>
      <c r="U104" s="30" t="n"/>
      <c r="V104" s="30" t="n"/>
      <c r="W104" s="30" t="n"/>
      <c r="X104" s="29" t="n"/>
      <c r="Y104" s="30" t="n"/>
      <c r="Z104" s="30" t="n"/>
      <c r="AA104" s="30" t="n"/>
      <c r="AB104" s="30" t="n"/>
      <c r="AC104" s="30" t="n"/>
      <c r="AD104" s="29" t="n"/>
      <c r="AE104" s="30" t="n"/>
      <c r="AF104" s="30" t="n"/>
      <c r="AG104" s="30" t="n"/>
      <c r="AH104" s="30" t="n"/>
      <c r="AI104" s="30" t="n"/>
      <c r="AJ104" s="29" t="n"/>
      <c r="AK104" s="30" t="n"/>
      <c r="AL104" s="30" t="n"/>
      <c r="AM104" s="30" t="n"/>
      <c r="AN104" s="30" t="n"/>
      <c r="AO104" s="30" t="n"/>
      <c r="AP104" s="29" t="n"/>
      <c r="AQ104" s="30" t="n"/>
      <c r="AR104" s="30" t="n"/>
      <c r="AS104" s="30" t="n"/>
      <c r="AT104" s="30" t="n"/>
      <c r="AU104" s="30" t="n"/>
      <c r="AV104" s="29" t="n"/>
      <c r="AW104" s="30" t="n"/>
      <c r="AX104" s="30" t="n"/>
      <c r="AY104" s="30" t="n"/>
      <c r="AZ104" s="30" t="n"/>
      <c r="BA104" s="30" t="n"/>
      <c r="BB104" s="29" t="n"/>
      <c r="BC104" s="30" t="n"/>
      <c r="BD104" s="30" t="n"/>
      <c r="BE104" s="30" t="n"/>
      <c r="BF104" s="30" t="n"/>
      <c r="BG104" s="30" t="n"/>
      <c r="BH104" s="29" t="n"/>
      <c r="BI104" s="30" t="n"/>
      <c r="BJ104" s="30" t="n"/>
      <c r="BK104" s="30" t="n"/>
      <c r="BL104" s="30" t="n"/>
      <c r="BM104" s="30" t="n"/>
      <c r="BN104" s="29" t="n"/>
      <c r="BO104" s="30" t="n"/>
      <c r="BP104" s="30" t="n"/>
      <c r="BQ104" s="30" t="n"/>
      <c r="BR104" s="30" t="n"/>
      <c r="BS104" s="30" t="n"/>
      <c r="BT104" s="29" t="n"/>
      <c r="BU104" s="30" t="n"/>
      <c r="BV104" s="30" t="n"/>
      <c r="BW104" s="30" t="n"/>
      <c r="BX104" s="30" t="n"/>
      <c r="BY104" s="30" t="n"/>
      <c r="BZ104" s="29" t="n"/>
      <c r="CA104" s="30" t="n"/>
      <c r="CB104" s="30" t="n"/>
      <c r="CC104" s="30" t="n"/>
      <c r="CD104" s="30" t="n"/>
      <c r="CE104" s="30" t="n"/>
      <c r="CF104" s="29" t="n"/>
      <c r="CG104" s="30" t="n"/>
      <c r="CH104" s="30" t="n"/>
      <c r="CI104" s="30" t="n"/>
      <c r="CJ104" s="30" t="n"/>
      <c r="CK104" s="30" t="n"/>
      <c r="CL104" s="29" t="n"/>
      <c r="CM104" s="31" t="n"/>
      <c r="CN104" s="31" t="n"/>
      <c r="CO104" s="183" t="n">
        <v>0</v>
      </c>
      <c r="CP104" s="171">
        <f>(CO103+0.5*CP90*(CP99+CP100))/CP102</f>
        <v/>
      </c>
      <c r="CQ104" s="171">
        <f>(CP103+0.5*CQ90*(CQ99+CQ100))/CQ102</f>
        <v/>
      </c>
      <c r="CR104" s="171">
        <f>(CQ103+0.5*CR90*(CR99+CR100))/CR102</f>
        <v/>
      </c>
      <c r="CS104" s="171">
        <f>(CR103+0.5*CS90*(CS99+CS100))/CS102</f>
        <v/>
      </c>
      <c r="CT104" s="22" t="n"/>
      <c r="CV104" s="23" t="n"/>
      <c r="CW104" s="23" t="n"/>
      <c r="CX104" s="23" t="n"/>
      <c r="CY104" s="23" t="n"/>
    </row>
    <row r="105" ht="15" customHeight="1">
      <c r="B105" s="12" t="inlineStr">
        <is>
          <t xml:space="preserve">  Incremental acquisition revenues (first 12 months of ownership)</t>
        </is>
      </c>
      <c r="C105" s="29" t="n"/>
      <c r="D105" s="29" t="n"/>
      <c r="E105" s="30" t="n"/>
      <c r="F105" s="30" t="n"/>
      <c r="G105" s="30" t="n"/>
      <c r="H105" s="30" t="n"/>
      <c r="I105" s="30" t="n"/>
      <c r="J105" s="30" t="n"/>
      <c r="K105" s="30" t="n"/>
      <c r="L105" s="29" t="n"/>
      <c r="M105" s="30" t="n"/>
      <c r="N105" s="30" t="n"/>
      <c r="O105" s="30" t="n"/>
      <c r="P105" s="30" t="n"/>
      <c r="Q105" s="30" t="n"/>
      <c r="R105" s="29" t="n"/>
      <c r="S105" s="30" t="n"/>
      <c r="T105" s="30" t="n"/>
      <c r="U105" s="30" t="n"/>
      <c r="V105" s="30" t="n"/>
      <c r="W105" s="30" t="n"/>
      <c r="X105" s="29" t="n"/>
      <c r="Y105" s="30" t="n"/>
      <c r="Z105" s="30" t="n"/>
      <c r="AA105" s="30" t="n"/>
      <c r="AB105" s="30" t="n"/>
      <c r="AC105" s="30" t="n"/>
      <c r="AD105" s="29" t="n"/>
      <c r="AE105" s="30" t="n"/>
      <c r="AF105" s="30" t="n"/>
      <c r="AG105" s="30" t="n"/>
      <c r="AH105" s="30" t="n"/>
      <c r="AI105" s="30" t="n"/>
      <c r="AJ105" s="29" t="n"/>
      <c r="AK105" s="30" t="n"/>
      <c r="AL105" s="30" t="n"/>
      <c r="AM105" s="30" t="n"/>
      <c r="AN105" s="30" t="n"/>
      <c r="AO105" s="30" t="n"/>
      <c r="AP105" s="29" t="n"/>
      <c r="AQ105" s="30" t="n"/>
      <c r="AR105" s="30" t="n"/>
      <c r="AS105" s="30" t="n"/>
      <c r="AT105" s="30" t="n"/>
      <c r="AU105" s="30" t="n"/>
      <c r="AV105" s="29" t="n"/>
      <c r="AW105" s="30" t="n"/>
      <c r="AX105" s="30" t="n"/>
      <c r="AY105" s="30" t="n"/>
      <c r="AZ105" s="30" t="n"/>
      <c r="BA105" s="30" t="n"/>
      <c r="BB105" s="29" t="n"/>
      <c r="BC105" s="30" t="n"/>
      <c r="BD105" s="30" t="n"/>
      <c r="BE105" s="30" t="n"/>
      <c r="BF105" s="30" t="n"/>
      <c r="BG105" s="30" t="n"/>
      <c r="BH105" s="29" t="n"/>
      <c r="BI105" s="30" t="n"/>
      <c r="BJ105" s="30" t="n"/>
      <c r="BK105" s="30" t="n"/>
      <c r="BL105" s="30" t="n"/>
      <c r="BM105" s="30" t="n"/>
      <c r="BN105" s="29" t="n"/>
      <c r="BO105" s="30" t="n"/>
      <c r="BP105" s="30" t="n"/>
      <c r="BQ105" s="30" t="n"/>
      <c r="BR105" s="30" t="n"/>
      <c r="BS105" s="30" t="n"/>
      <c r="BT105" s="29" t="n"/>
      <c r="BU105" s="30" t="n"/>
      <c r="BV105" s="30" t="n"/>
      <c r="BW105" s="30" t="n"/>
      <c r="BX105" s="30" t="n"/>
      <c r="BY105" s="30" t="n"/>
      <c r="BZ105" s="29" t="n"/>
      <c r="CA105" s="30" t="n"/>
      <c r="CB105" s="30" t="n"/>
      <c r="CC105" s="30" t="n"/>
      <c r="CD105" s="30" t="n"/>
      <c r="CE105" s="30" t="n"/>
      <c r="CF105" s="29" t="n"/>
      <c r="CG105" s="30" t="n"/>
      <c r="CH105" s="30" t="n"/>
      <c r="CI105" s="30" t="n"/>
      <c r="CJ105" s="30" t="n"/>
      <c r="CK105" s="30" t="n"/>
      <c r="CL105" s="29" t="n"/>
      <c r="CM105" s="31" t="n"/>
      <c r="CN105" s="31" t="n"/>
      <c r="CO105" s="183" t="n">
        <v>0</v>
      </c>
      <c r="CP105" s="171">
        <f>0.5*CP94+0.5*CO94</f>
        <v/>
      </c>
      <c r="CQ105" s="171">
        <f>0.5*CQ94+0.5*CP94</f>
        <v/>
      </c>
      <c r="CR105" s="171">
        <f>0.5*CR94+0.5*CQ94</f>
        <v/>
      </c>
      <c r="CS105" s="171">
        <f>0.5*CS94+0.5*CR94</f>
        <v/>
      </c>
      <c r="CT105" s="22" t="n"/>
      <c r="CV105" s="23" t="n"/>
      <c r="CW105" s="23" t="n"/>
      <c r="CX105" s="23" t="n"/>
      <c r="CY105" s="23" t="n"/>
    </row>
    <row r="106" ht="15" customHeight="1">
      <c r="B106" s="12" t="n"/>
      <c r="CM106" s="6" t="n"/>
      <c r="CN106" s="6" t="n"/>
      <c r="CO106" s="6" t="n"/>
      <c r="CP106" s="6" t="n"/>
      <c r="CQ106" s="6" t="n"/>
      <c r="CR106" s="6" t="n"/>
      <c r="CS106" s="6" t="n"/>
      <c r="CT106" s="6" t="n"/>
    </row>
    <row r="107" ht="15" customHeight="1">
      <c r="B107" s="16" t="inlineStr">
        <is>
          <t>Group Total — Adjusted EBITDA (Vulcan's primary profit KPI; company definition)</t>
        </is>
      </c>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c r="AE107" s="16" t="n"/>
      <c r="AF107" s="16" t="n"/>
      <c r="AG107" s="16" t="n"/>
      <c r="AH107" s="16" t="n"/>
      <c r="AI107" s="16" t="n"/>
      <c r="AJ107" s="16" t="n"/>
      <c r="AK107" s="16" t="n"/>
      <c r="AL107" s="16" t="n"/>
      <c r="AM107" s="16" t="n"/>
      <c r="AN107" s="16" t="n"/>
      <c r="AO107" s="16" t="n"/>
      <c r="AP107" s="16" t="n"/>
      <c r="AQ107" s="16" t="n"/>
      <c r="AR107" s="16" t="n"/>
      <c r="AS107" s="16" t="n"/>
      <c r="AT107" s="16" t="n"/>
      <c r="AU107" s="16" t="n"/>
      <c r="AV107" s="16" t="n"/>
      <c r="AW107" s="16" t="n"/>
      <c r="AX107" s="16" t="n"/>
      <c r="AY107" s="16" t="n"/>
      <c r="AZ107" s="16" t="n"/>
      <c r="BA107" s="16" t="n"/>
      <c r="BB107" s="16" t="n"/>
      <c r="BC107" s="16" t="n"/>
      <c r="BD107" s="16" t="n"/>
      <c r="BE107" s="16" t="n"/>
      <c r="BF107" s="16" t="n"/>
      <c r="BG107" s="16" t="n"/>
      <c r="BH107" s="16" t="n"/>
      <c r="BI107" s="16" t="n"/>
      <c r="BJ107" s="16" t="n"/>
      <c r="BK107" s="16" t="n"/>
      <c r="BL107" s="16" t="n"/>
      <c r="BM107" s="16" t="n"/>
      <c r="BN107" s="16" t="n"/>
      <c r="BO107" s="16" t="n"/>
      <c r="BP107" s="16" t="n"/>
      <c r="BQ107" s="16" t="n"/>
      <c r="BR107" s="16" t="n"/>
      <c r="BS107" s="16" t="n"/>
      <c r="BT107" s="16" t="n"/>
      <c r="BU107" s="16" t="n"/>
      <c r="BV107" s="16" t="n"/>
      <c r="BW107" s="16" t="n"/>
      <c r="BX107" s="16" t="n"/>
      <c r="BY107" s="16" t="n"/>
      <c r="BZ107" s="16" t="n"/>
      <c r="CA107" s="16" t="n"/>
      <c r="CB107" s="16" t="n"/>
      <c r="CC107" s="16" t="n"/>
      <c r="CD107" s="16" t="n"/>
      <c r="CE107" s="16" t="n"/>
      <c r="CF107" s="16" t="n"/>
      <c r="CG107" s="16" t="n"/>
      <c r="CH107" s="16" t="n"/>
      <c r="CI107" s="16" t="n"/>
      <c r="CJ107" s="16" t="n"/>
      <c r="CK107" s="16" t="n"/>
      <c r="CL107" s="16" t="n"/>
      <c r="CM107" s="16" t="n"/>
      <c r="CN107" s="16" t="n"/>
      <c r="CO107" s="16" t="n"/>
      <c r="CP107" s="16" t="n"/>
      <c r="CQ107" s="16" t="n"/>
      <c r="CR107" s="16" t="n"/>
      <c r="CS107" s="16" t="n"/>
      <c r="CT107" s="17" t="inlineStr">
        <is>
          <t>GROUP TOTAL (CONSOLIDATED) — modelling logic</t>
        </is>
      </c>
    </row>
    <row r="108" ht="15" customHeight="1">
      <c r="B108" s="18" t="inlineStr">
        <is>
          <t xml:space="preserve">  Total revenues (segment build)</t>
        </is>
      </c>
      <c r="C108" s="173">
        <f>IF(ISNUMBER(C17),N(C17)+N(C38)+N(C52)+N(C64)+N(C67)+N(C70)+N(C75)+N(C76),"")</f>
        <v/>
      </c>
      <c r="D108" s="173">
        <f>IF(ISNUMBER(D17),N(D17)+N(D38)+N(D52)+N(D64)+N(D67)+N(D70)+N(D75)+N(D76),"")</f>
        <v/>
      </c>
      <c r="E108" s="173">
        <f>IF(ISNUMBER(E17),N(E17)+N(E38)+N(E52)+N(E64)+N(E67)+N(E70)+N(E75)+N(E76),"")</f>
        <v/>
      </c>
      <c r="F108" s="173">
        <f>IF(ISNUMBER(F17),N(F17)+N(F38)+N(F52)+N(F64)+N(F67)+N(F70)+N(F75)+N(F76),"")</f>
        <v/>
      </c>
      <c r="G108" s="173">
        <f>IF(ISNUMBER(G17),N(G17)+N(G38)+N(G52)+N(G64)+N(G67)+N(G70)+N(G75)+N(G76),"")</f>
        <v/>
      </c>
      <c r="H108" s="173">
        <f>IF(ISNUMBER(H17),N(H17)+N(H38)+N(H52)+N(H64)+N(H67)+N(H70)+N(H75)+N(H76),"")</f>
        <v/>
      </c>
      <c r="I108" s="173">
        <f>IF(ISNUMBER(I17),N(I17)+N(I38)+N(I52)+N(I64)+N(I67)+N(I70)+N(I75)+N(I76),"")</f>
        <v/>
      </c>
      <c r="J108" s="173">
        <f>IF(ISNUMBER(J17),N(J17)+N(J38)+N(J52)+N(J64)+N(J67)+N(J70)+N(J75)+N(J76),"")</f>
        <v/>
      </c>
      <c r="K108" s="173">
        <f>IF(ISNUMBER(K17),N(K17)+N(K38)+N(K52)+N(K64)+N(K67)+N(K70)+N(K75)+N(K76),"")</f>
        <v/>
      </c>
      <c r="L108" s="173">
        <f>IF(ISNUMBER(L17),N(L17)+N(L38)+N(L52)+N(L64)+N(L67)+N(L70)+N(L75)+N(L76),"")</f>
        <v/>
      </c>
      <c r="M108" s="173">
        <f>IF(ISNUMBER(M17),N(M17)+N(M38)+N(M52)+N(M64)+N(M67)+N(M70)+N(M75)+N(M76),"")</f>
        <v/>
      </c>
      <c r="N108" s="173">
        <f>IF(ISNUMBER(N17),N(N17)+N(N38)+N(N52)+N(N64)+N(N67)+N(N70)+N(N75)+N(N76),"")</f>
        <v/>
      </c>
      <c r="O108" s="173">
        <f>IF(ISNUMBER(O17),N(O17)+N(O38)+N(O52)+N(O64)+N(O67)+N(O70)+N(O75)+N(O76),"")</f>
        <v/>
      </c>
      <c r="P108" s="173">
        <f>IF(ISNUMBER(P17),N(P17)+N(P38)+N(P52)+N(P64)+N(P67)+N(P70)+N(P75)+N(P76),"")</f>
        <v/>
      </c>
      <c r="Q108" s="173">
        <f>IF(ISNUMBER(Q17),N(Q17)+N(Q38)+N(Q52)+N(Q64)+N(Q67)+N(Q70)+N(Q75)+N(Q76),"")</f>
        <v/>
      </c>
      <c r="R108" s="173">
        <f>IF(ISNUMBER(R17),N(R17)+N(R38)+N(R52)+N(R64)+N(R67)+N(R70)+N(R75)+N(R76),"")</f>
        <v/>
      </c>
      <c r="S108" s="173">
        <f>IF(ISNUMBER(S17),N(S17)+N(S38)+N(S52)+N(S64)+N(S67)+N(S70)+N(S75)+N(S76),"")</f>
        <v/>
      </c>
      <c r="T108" s="173">
        <f>IF(ISNUMBER(T17),N(T17)+N(T38)+N(T52)+N(T64)+N(T67)+N(T70)+N(T75)+N(T76),"")</f>
        <v/>
      </c>
      <c r="U108" s="173">
        <f>IF(ISNUMBER(U17),N(U17)+N(U38)+N(U52)+N(U64)+N(U67)+N(U70)+N(U75)+N(U76),"")</f>
        <v/>
      </c>
      <c r="V108" s="173">
        <f>IF(ISNUMBER(V17),N(V17)+N(V38)+N(V52)+N(V64)+N(V67)+N(V70)+N(V75)+N(V76),"")</f>
        <v/>
      </c>
      <c r="W108" s="173">
        <f>IF(ISNUMBER(W17),N(W17)+N(W38)+N(W52)+N(W64)+N(W67)+N(W70)+N(W75)+N(W76),"")</f>
        <v/>
      </c>
      <c r="X108" s="173">
        <f>IF(ISNUMBER(X17),N(X17)+N(X38)+N(X52)+N(X64)+N(X67)+N(X70)+N(X75)+N(X76),"")</f>
        <v/>
      </c>
      <c r="Y108" s="173">
        <f>IF(ISNUMBER(Y17),N(Y17)+N(Y38)+N(Y52)+N(Y64)+N(Y67)+N(Y70)+N(Y75)+N(Y76),"")</f>
        <v/>
      </c>
      <c r="Z108" s="173">
        <f>IF(ISNUMBER(Z17),N(Z17)+N(Z38)+N(Z52)+N(Z64)+N(Z67)+N(Z70)+N(Z75)+N(Z76),"")</f>
        <v/>
      </c>
      <c r="AA108" s="173">
        <f>IF(ISNUMBER(AA17),N(AA17)+N(AA38)+N(AA52)+N(AA64)+N(AA67)+N(AA70)+N(AA75)+N(AA76),"")</f>
        <v/>
      </c>
      <c r="AB108" s="173">
        <f>IF(ISNUMBER(AB17),N(AB17)+N(AB38)+N(AB52)+N(AB64)+N(AB67)+N(AB70)+N(AB75)+N(AB76),"")</f>
        <v/>
      </c>
      <c r="AC108" s="173">
        <f>IF(ISNUMBER(AC17),N(AC17)+N(AC38)+N(AC52)+N(AC64)+N(AC67)+N(AC70)+N(AC75)+N(AC76),"")</f>
        <v/>
      </c>
      <c r="AD108" s="173">
        <f>IF(ISNUMBER(AD17),N(AD17)+N(AD38)+N(AD52)+N(AD64)+N(AD67)+N(AD70)+N(AD75)+N(AD76),"")</f>
        <v/>
      </c>
      <c r="AE108" s="173">
        <f>IF(ISNUMBER(AE17),N(AE17)+N(AE38)+N(AE52)+N(AE64)+N(AE67)+N(AE70)+N(AE75)+N(AE76),"")</f>
        <v/>
      </c>
      <c r="AF108" s="173">
        <f>IF(ISNUMBER(AF17),N(AF17)+N(AF38)+N(AF52)+N(AF64)+N(AF67)+N(AF70)+N(AF75)+N(AF76),"")</f>
        <v/>
      </c>
      <c r="AG108" s="173">
        <f>IF(ISNUMBER(AG17),N(AG17)+N(AG38)+N(AG52)+N(AG64)+N(AG67)+N(AG70)+N(AG75)+N(AG76),"")</f>
        <v/>
      </c>
      <c r="AH108" s="173">
        <f>IF(ISNUMBER(AH17),N(AH17)+N(AH38)+N(AH52)+N(AH64)+N(AH67)+N(AH70)+N(AH75)+N(AH76),"")</f>
        <v/>
      </c>
      <c r="AI108" s="173">
        <f>IF(ISNUMBER(AI17),N(AI17)+N(AI38)+N(AI52)+N(AI64)+N(AI67)+N(AI70)+N(AI75)+N(AI76),"")</f>
        <v/>
      </c>
      <c r="AJ108" s="173">
        <f>IF(ISNUMBER(AJ17),N(AJ17)+N(AJ38)+N(AJ52)+N(AJ64)+N(AJ67)+N(AJ70)+N(AJ75)+N(AJ76),"")</f>
        <v/>
      </c>
      <c r="AK108" s="173">
        <f>IF(ISNUMBER(AK17),N(AK17)+N(AK38)+N(AK52)+N(AK64)+N(AK67)+N(AK70)+N(AK75)+N(AK76),"")</f>
        <v/>
      </c>
      <c r="AL108" s="173">
        <f>IF(ISNUMBER(AL17),N(AL17)+N(AL38)+N(AL52)+N(AL64)+N(AL67)+N(AL70)+N(AL75)+N(AL76),"")</f>
        <v/>
      </c>
      <c r="AM108" s="173">
        <f>IF(ISNUMBER(AM17),N(AM17)+N(AM38)+N(AM52)+N(AM64)+N(AM67)+N(AM70)+N(AM75)+N(AM76),"")</f>
        <v/>
      </c>
      <c r="AN108" s="173">
        <f>IF(ISNUMBER(AN17),N(AN17)+N(AN38)+N(AN52)+N(AN64)+N(AN67)+N(AN70)+N(AN75)+N(AN76),"")</f>
        <v/>
      </c>
      <c r="AO108" s="173">
        <f>IF(ISNUMBER(AO17),N(AO17)+N(AO38)+N(AO52)+N(AO64)+N(AO67)+N(AO70)+N(AO75)+N(AO76),"")</f>
        <v/>
      </c>
      <c r="AP108" s="173">
        <f>IF(ISNUMBER(AP17),N(AP17)+N(AP38)+N(AP52)+N(AP64)+N(AP67)+N(AP70)+N(AP75)+N(AP76),"")</f>
        <v/>
      </c>
      <c r="AQ108" s="173">
        <f>IF(ISNUMBER(AQ17),N(AQ17)+N(AQ38)+N(AQ52)+N(AQ64)+N(AQ67)+N(AQ70)+N(AQ75)+N(AQ76),"")</f>
        <v/>
      </c>
      <c r="AR108" s="173">
        <f>IF(ISNUMBER(AR17),N(AR17)+N(AR38)+N(AR52)+N(AR64)+N(AR67)+N(AR70)+N(AR75)+N(AR76),"")</f>
        <v/>
      </c>
      <c r="AS108" s="173">
        <f>IF(ISNUMBER(AS17),N(AS17)+N(AS38)+N(AS52)+N(AS64)+N(AS67)+N(AS70)+N(AS75)+N(AS76),"")</f>
        <v/>
      </c>
      <c r="AT108" s="173">
        <f>IF(ISNUMBER(AT17),N(AT17)+N(AT38)+N(AT52)+N(AT64)+N(AT67)+N(AT70)+N(AT75)+N(AT76),"")</f>
        <v/>
      </c>
      <c r="AU108" s="173">
        <f>IF(ISNUMBER(AU17),N(AU17)+N(AU38)+N(AU52)+N(AU64)+N(AU67)+N(AU70)+N(AU75)+N(AU76),"")</f>
        <v/>
      </c>
      <c r="AV108" s="173">
        <f>IF(ISNUMBER(AV17),N(AV17)+N(AV38)+N(AV52)+N(AV64)+N(AV67)+N(AV70)+N(AV75)+N(AV76),"")</f>
        <v/>
      </c>
      <c r="AW108" s="173">
        <f>IF(ISNUMBER(AW17),N(AW17)+N(AW38)+N(AW52)+N(AW64)+N(AW67)+N(AW70)+N(AW75)+N(AW76),"")</f>
        <v/>
      </c>
      <c r="AX108" s="173">
        <f>IF(ISNUMBER(AX17),N(AX17)+N(AX38)+N(AX52)+N(AX64)+N(AX67)+N(AX70)+N(AX75)+N(AX76),"")</f>
        <v/>
      </c>
      <c r="AY108" s="173">
        <f>IF(ISNUMBER(AY17),N(AY17)+N(AY38)+N(AY52)+N(AY64)+N(AY67)+N(AY70)+N(AY75)+N(AY76),"")</f>
        <v/>
      </c>
      <c r="AZ108" s="173">
        <f>IF(ISNUMBER(AZ17),N(AZ17)+N(AZ38)+N(AZ52)+N(AZ64)+N(AZ67)+N(AZ70)+N(AZ75)+N(AZ76),"")</f>
        <v/>
      </c>
      <c r="BA108" s="173">
        <f>IF(ISNUMBER(BA17),N(BA17)+N(BA38)+N(BA52)+N(BA64)+N(BA67)+N(BA70)+N(BA75)+N(BA76),"")</f>
        <v/>
      </c>
      <c r="BB108" s="173">
        <f>IF(ISNUMBER(BB17),N(BB17)+N(BB38)+N(BB52)+N(BB64)+N(BB67)+N(BB70)+N(BB75)+N(BB76),"")</f>
        <v/>
      </c>
      <c r="BC108" s="173">
        <f>IF(ISNUMBER(BC17),N(BC17)+N(BC38)+N(BC52)+N(BC64)+N(BC67)+N(BC70)+N(BC75)+N(BC76),"")</f>
        <v/>
      </c>
      <c r="BD108" s="173">
        <f>IF(ISNUMBER(BD17),N(BD17)+N(BD38)+N(BD52)+N(BD64)+N(BD67)+N(BD70)+N(BD75)+N(BD76),"")</f>
        <v/>
      </c>
      <c r="BE108" s="173">
        <f>IF(ISNUMBER(BE17),N(BE17)+N(BE38)+N(BE52)+N(BE64)+N(BE67)+N(BE70)+N(BE75)+N(BE76),"")</f>
        <v/>
      </c>
      <c r="BF108" s="173">
        <f>IF(ISNUMBER(BF17),N(BF17)+N(BF38)+N(BF52)+N(BF64)+N(BF67)+N(BF70)+N(BF75)+N(BF76),"")</f>
        <v/>
      </c>
      <c r="BG108" s="173">
        <f>IF(ISNUMBER(BG17),N(BG17)+N(BG38)+N(BG52)+N(BG64)+N(BG67)+N(BG70)+N(BG75)+N(BG76),"")</f>
        <v/>
      </c>
      <c r="BH108" s="173">
        <f>IF(ISNUMBER(BH17),N(BH17)+N(BH38)+N(BH52)+N(BH64)+N(BH67)+N(BH70)+N(BH75)+N(BH76),"")</f>
        <v/>
      </c>
      <c r="BI108" s="173">
        <f>IF(ISNUMBER(BI17),N(BI17)+N(BI38)+N(BI52)+N(BI64)+N(BI67)+N(BI70)+N(BI75)+N(BI76),"")</f>
        <v/>
      </c>
      <c r="BJ108" s="173">
        <f>IF(ISNUMBER(BJ17),N(BJ17)+N(BJ38)+N(BJ52)+N(BJ64)+N(BJ67)+N(BJ70)+N(BJ75)+N(BJ76),"")</f>
        <v/>
      </c>
      <c r="BK108" s="173">
        <f>IF(ISNUMBER(BK17),N(BK17)+N(BK38)+N(BK52)+N(BK64)+N(BK67)+N(BK70)+N(BK75)+N(BK76),"")</f>
        <v/>
      </c>
      <c r="BL108" s="173">
        <f>IF(ISNUMBER(BL17),N(BL17)+N(BL38)+N(BL52)+N(BL64)+N(BL67)+N(BL70)+N(BL75)+N(BL76),"")</f>
        <v/>
      </c>
      <c r="BM108" s="173">
        <f>IF(ISNUMBER(BM17),N(BM17)+N(BM38)+N(BM52)+N(BM64)+N(BM67)+N(BM70)+N(BM75)+N(BM76),"")</f>
        <v/>
      </c>
      <c r="BN108" s="173">
        <f>IF(ISNUMBER(BN17),N(BN17)+N(BN38)+N(BN52)+N(BN64)+N(BN67)+N(BN70)+N(BN75)+N(BN76),"")</f>
        <v/>
      </c>
      <c r="BO108" s="173">
        <f>IF(ISNUMBER(BO17),N(BO17)+N(BO38)+N(BO52)+N(BO64)+N(BO67)+N(BO70)+N(BO75)+N(BO76),"")</f>
        <v/>
      </c>
      <c r="BP108" s="173">
        <f>IF(ISNUMBER(BP17),N(BP17)+N(BP38)+N(BP52)+N(BP64)+N(BP67)+N(BP70)+N(BP75)+N(BP76),"")</f>
        <v/>
      </c>
      <c r="BQ108" s="173">
        <f>IF(ISNUMBER(BQ17),N(BQ17)+N(BQ38)+N(BQ52)+N(BQ64)+N(BQ67)+N(BQ70)+N(BQ75)+N(BQ76),"")</f>
        <v/>
      </c>
      <c r="BR108" s="173">
        <f>IF(ISNUMBER(BR17),N(BR17)+N(BR38)+N(BR52)+N(BR64)+N(BR67)+N(BR70)+N(BR75)+N(BR76),"")</f>
        <v/>
      </c>
      <c r="BS108" s="173">
        <f>IF(ISNUMBER(BS17),N(BS17)+N(BS38)+N(BS52)+N(BS64)+N(BS67)+N(BS70)+N(BS75)+N(BS76),"")</f>
        <v/>
      </c>
      <c r="BT108" s="173">
        <f>IF(ISNUMBER(BT17),N(BT17)+N(BT38)+N(BT52)+N(BT64)+N(BT67)+N(BT70)+N(BT75)+N(BT76),"")</f>
        <v/>
      </c>
      <c r="BU108" s="173">
        <f>IF(ISNUMBER(BU17),N(BU17)+N(BU38)+N(BU52)+N(BU64)+N(BU67)+N(BU70)+N(BU75)+N(BU76),"")</f>
        <v/>
      </c>
      <c r="BV108" s="173">
        <f>IF(ISNUMBER(BV17),N(BV17)+N(BV38)+N(BV52)+N(BV64)+N(BV67)+N(BV70)+N(BV75)+N(BV76),"")</f>
        <v/>
      </c>
      <c r="BW108" s="173">
        <f>IF(ISNUMBER(BW17),N(BW17)+N(BW38)+N(BW52)+N(BW64)+N(BW67)+N(BW70)+N(BW75)+N(BW76),"")</f>
        <v/>
      </c>
      <c r="BX108" s="173">
        <f>IF(ISNUMBER(BX17),N(BX17)+N(BX38)+N(BX52)+N(BX64)+N(BX67)+N(BX70)+N(BX75)+N(BX76),"")</f>
        <v/>
      </c>
      <c r="BY108" s="173">
        <f>IF(ISNUMBER(BY17),N(BY17)+N(BY38)+N(BY52)+N(BY64)+N(BY67)+N(BY70)+N(BY75)+N(BY76),"")</f>
        <v/>
      </c>
      <c r="BZ108" s="173">
        <f>IF(ISNUMBER(BZ17),N(BZ17)+N(BZ38)+N(BZ52)+N(BZ64)+N(BZ67)+N(BZ70)+N(BZ75)+N(BZ76),"")</f>
        <v/>
      </c>
      <c r="CA108" s="173">
        <f>IF(ISNUMBER(CA17),N(CA17)+N(CA38)+N(CA52)+N(CA64)+N(CA67)+N(CA70)+N(CA75)+N(CA76),"")</f>
        <v/>
      </c>
      <c r="CB108" s="173">
        <f>IF(ISNUMBER(CB17),N(CB17)+N(CB38)+N(CB52)+N(CB64)+N(CB67)+N(CB70)+N(CB75)+N(CB76),"")</f>
        <v/>
      </c>
      <c r="CC108" s="173">
        <f>IF(ISNUMBER(CC17),N(CC17)+N(CC38)+N(CC52)+N(CC64)+N(CC67)+N(CC70)+N(CC75)+N(CC76),"")</f>
        <v/>
      </c>
      <c r="CD108" s="173">
        <f>IF(ISNUMBER(CD17),N(CD17)+N(CD38)+N(CD52)+N(CD64)+N(CD67)+N(CD70)+N(CD75)+N(CD76),"")</f>
        <v/>
      </c>
      <c r="CE108" s="173">
        <f>IF(ISNUMBER(CE17),N(CE17)+N(CE38)+N(CE52)+N(CE64)+N(CE67)+N(CE70)+N(CE75)+N(CE76),"")</f>
        <v/>
      </c>
      <c r="CF108" s="173">
        <f>IF(ISNUMBER(CF17),N(CF17)+N(CF38)+N(CF52)+N(CF64)+N(CF67)+N(CF70)+N(CF75)+N(CF76),"")</f>
        <v/>
      </c>
      <c r="CG108" s="173">
        <f>IF(ISNUMBER(CG17),N(CG17)+N(CG38)+N(CG52)+N(CG64)+N(CG67)+N(CG70)+N(CG75)+N(CG76),"")</f>
        <v/>
      </c>
      <c r="CH108" s="173">
        <f>IF(ISNUMBER(CH17),N(CH17)+N(CH38)+N(CH52)+N(CH64)+N(CH67)+N(CH70)+N(CH75)+N(CH76),"")</f>
        <v/>
      </c>
      <c r="CI108" s="173">
        <f>IF(ISNUMBER(CI17),N(CI17)+N(CI38)+N(CI52)+N(CI64)+N(CI67)+N(CI70)+N(CI75)+N(CI76),"")</f>
        <v/>
      </c>
      <c r="CJ108" s="173">
        <f>IF(ISNUMBER(CJ17),N(CJ17)+N(CJ38)+N(CJ52)+N(CJ64)+N(CJ67)+N(CJ70)+N(CJ75)+N(CJ76),"")</f>
        <v/>
      </c>
      <c r="CK108" s="173">
        <f>IF(ISNUMBER(CK17),N(CK17)+N(CK38)+N(CK52)+N(CK64)+N(CK67)+N(CK70)+N(CK75)+N(CK76),"")</f>
        <v/>
      </c>
      <c r="CL108" s="173">
        <f>IF(ISNUMBER(CL17),N(CL17)+N(CL38)+N(CL52)+N(CL64)+N(CL67)+N(CL70)+N(CL75)+N(CL76),"")</f>
        <v/>
      </c>
      <c r="CM108" s="174">
        <f>N(CM17)+N(CM38)+N(CM52)+N(CM64)+N(CM67)+N(CM70)+N(CM75)+N(CM76)+N(CM97)</f>
        <v/>
      </c>
      <c r="CN108" s="174">
        <f>N(CN17)+N(CN38)+N(CN52)+N(CN64)+N(CN67)+N(CN70)+N(CN75)+N(CN76)+N(CN97)</f>
        <v/>
      </c>
      <c r="CO108" s="174">
        <f>SUM(CJ108,CK108,CM108,CN108)</f>
        <v/>
      </c>
      <c r="CP108" s="174">
        <f>N(CP17)+N(CP38)+N(CP52)+N(CP64)+N(CP67)+N(CP70)+N(CP75)+N(CP76)+N(CP97)</f>
        <v/>
      </c>
      <c r="CQ108" s="174">
        <f>N(CQ17)+N(CQ38)+N(CQ52)+N(CQ64)+N(CQ67)+N(CQ70)+N(CQ75)+N(CQ76)+N(CQ97)</f>
        <v/>
      </c>
      <c r="CR108" s="174">
        <f>N(CR17)+N(CR38)+N(CR52)+N(CR64)+N(CR67)+N(CR70)+N(CR75)+N(CR76)+N(CR97)</f>
        <v/>
      </c>
      <c r="CS108" s="174">
        <f>N(CS17)+N(CS38)+N(CS52)+N(CS64)+N(CS67)+N(CS70)+N(CS75)+N(CS76)+N(CS97)</f>
        <v/>
      </c>
      <c r="CT108" s="22" t="inlineStr">
        <is>
          <t>Σ segment revenues + intersegment eliminations + delivery revenues (pre-2018) (+ future acquisitions from 2027E).</t>
        </is>
      </c>
      <c r="CV108" s="164">
        <f>IFERROR((CS108/CI108)^(1/5)-1,"n/m")</f>
        <v/>
      </c>
      <c r="CW108" s="164">
        <f>IFERROR((CI108/BE108)^(1/5)-1,"n/m")</f>
        <v/>
      </c>
      <c r="CX108" s="164">
        <f>IFERROR((CI108/AA108)^(1/10)-1,"n/m")</f>
        <v/>
      </c>
      <c r="CY108" s="164">
        <f>IFERROR((CI108/C108)^(1/19)-1,"n/m")</f>
        <v/>
      </c>
    </row>
    <row r="109" ht="15" customHeight="1">
      <c r="B109" s="12" t="inlineStr">
        <is>
          <t xml:space="preserve">  Gross profit (Σ segments)</t>
        </is>
      </c>
      <c r="C109" s="170">
        <f>IF(ISNUMBER(C19),N(C19)+N(C40)+N(C54)+N(C65)+N(C68)+N(C71),"")</f>
        <v/>
      </c>
      <c r="D109" s="170">
        <f>IF(ISNUMBER(D19),N(D19)+N(D40)+N(D54)+N(D65)+N(D68)+N(D71),"")</f>
        <v/>
      </c>
      <c r="E109" s="170">
        <f>IF(ISNUMBER(E19),N(E19)+N(E40)+N(E54)+N(E65)+N(E68)+N(E71),"")</f>
        <v/>
      </c>
      <c r="F109" s="170">
        <f>IF(ISNUMBER(F19),N(F19)+N(F40)+N(F54)+N(F65)+N(F68)+N(F71),"")</f>
        <v/>
      </c>
      <c r="G109" s="170">
        <f>IF(ISNUMBER(G19),N(G19)+N(G40)+N(G54)+N(G65)+N(G68)+N(G71),"")</f>
        <v/>
      </c>
      <c r="H109" s="170">
        <f>IF(ISNUMBER(H19),N(H19)+N(H40)+N(H54)+N(H65)+N(H68)+N(H71),"")</f>
        <v/>
      </c>
      <c r="I109" s="170">
        <f>IF(ISNUMBER(I19),N(I19)+N(I40)+N(I54)+N(I65)+N(I68)+N(I71),"")</f>
        <v/>
      </c>
      <c r="J109" s="170">
        <f>IF(ISNUMBER(J19),N(J19)+N(J40)+N(J54)+N(J65)+N(J68)+N(J71),"")</f>
        <v/>
      </c>
      <c r="K109" s="170">
        <f>IF(ISNUMBER(K19),N(K19)+N(K40)+N(K54)+N(K65)+N(K68)+N(K71),"")</f>
        <v/>
      </c>
      <c r="L109" s="170">
        <f>IF(ISNUMBER(L19),N(L19)+N(L40)+N(L54)+N(L65)+N(L68)+N(L71),"")</f>
        <v/>
      </c>
      <c r="M109" s="170">
        <f>IF(ISNUMBER(M19),N(M19)+N(M40)+N(M54)+N(M65)+N(M68)+N(M71),"")</f>
        <v/>
      </c>
      <c r="N109" s="170">
        <f>IF(ISNUMBER(N19),N(N19)+N(N40)+N(N54)+N(N65)+N(N68)+N(N71),"")</f>
        <v/>
      </c>
      <c r="O109" s="170">
        <f>IF(ISNUMBER(O19),N(O19)+N(O40)+N(O54)+N(O65)+N(O68)+N(O71),"")</f>
        <v/>
      </c>
      <c r="P109" s="170">
        <f>IF(ISNUMBER(P19),N(P19)+N(P40)+N(P54)+N(P65)+N(P68)+N(P71),"")</f>
        <v/>
      </c>
      <c r="Q109" s="170">
        <f>IF(ISNUMBER(Q19),N(Q19)+N(Q40)+N(Q54)+N(Q65)+N(Q68)+N(Q71),"")</f>
        <v/>
      </c>
      <c r="R109" s="170">
        <f>IF(ISNUMBER(R19),N(R19)+N(R40)+N(R54)+N(R65)+N(R68)+N(R71),"")</f>
        <v/>
      </c>
      <c r="S109" s="170">
        <f>IF(ISNUMBER(S19),N(S19)+N(S40)+N(S54)+N(S65)+N(S68)+N(S71),"")</f>
        <v/>
      </c>
      <c r="T109" s="170">
        <f>IF(ISNUMBER(T19),N(T19)+N(T40)+N(T54)+N(T65)+N(T68)+N(T71),"")</f>
        <v/>
      </c>
      <c r="U109" s="170">
        <f>IF(ISNUMBER(U19),N(U19)+N(U40)+N(U54)+N(U65)+N(U68)+N(U71),"")</f>
        <v/>
      </c>
      <c r="V109" s="170">
        <f>IF(ISNUMBER(V19),N(V19)+N(V40)+N(V54)+N(V65)+N(V68)+N(V71),"")</f>
        <v/>
      </c>
      <c r="W109" s="170">
        <f>IF(ISNUMBER(W19),N(W19)+N(W40)+N(W54)+N(W65)+N(W68)+N(W71),"")</f>
        <v/>
      </c>
      <c r="X109" s="170">
        <f>IF(ISNUMBER(X19),N(X19)+N(X40)+N(X54)+N(X65)+N(X68)+N(X71),"")</f>
        <v/>
      </c>
      <c r="Y109" s="170">
        <f>IF(ISNUMBER(Y19),N(Y19)+N(Y40)+N(Y54)+N(Y65)+N(Y68)+N(Y71),"")</f>
        <v/>
      </c>
      <c r="Z109" s="170">
        <f>IF(ISNUMBER(Z19),N(Z19)+N(Z40)+N(Z54)+N(Z65)+N(Z68)+N(Z71),"")</f>
        <v/>
      </c>
      <c r="AA109" s="170">
        <f>IF(ISNUMBER(AA19),N(AA19)+N(AA40)+N(AA54)+N(AA65)+N(AA68)+N(AA71),"")</f>
        <v/>
      </c>
      <c r="AB109" s="170">
        <f>IF(ISNUMBER(AB19),N(AB19)+N(AB40)+N(AB54)+N(AB65)+N(AB68)+N(AB71),"")</f>
        <v/>
      </c>
      <c r="AC109" s="170">
        <f>IF(ISNUMBER(AC19),N(AC19)+N(AC40)+N(AC54)+N(AC65)+N(AC68)+N(AC71),"")</f>
        <v/>
      </c>
      <c r="AD109" s="170">
        <f>IF(ISNUMBER(AD19),N(AD19)+N(AD40)+N(AD54)+N(AD65)+N(AD68)+N(AD71),"")</f>
        <v/>
      </c>
      <c r="AE109" s="170">
        <f>IF(ISNUMBER(AE19),N(AE19)+N(AE40)+N(AE54)+N(AE65)+N(AE68)+N(AE71),"")</f>
        <v/>
      </c>
      <c r="AF109" s="170">
        <f>IF(ISNUMBER(AF19),N(AF19)+N(AF40)+N(AF54)+N(AF65)+N(AF68)+N(AF71),"")</f>
        <v/>
      </c>
      <c r="AG109" s="170">
        <f>IF(ISNUMBER(AG19),N(AG19)+N(AG40)+N(AG54)+N(AG65)+N(AG68)+N(AG71),"")</f>
        <v/>
      </c>
      <c r="AH109" s="170">
        <f>IF(ISNUMBER(AH19),N(AH19)+N(AH40)+N(AH54)+N(AH65)+N(AH68)+N(AH71),"")</f>
        <v/>
      </c>
      <c r="AI109" s="170">
        <f>IF(ISNUMBER(AI19),N(AI19)+N(AI40)+N(AI54)+N(AI65)+N(AI68)+N(AI71),"")</f>
        <v/>
      </c>
      <c r="AJ109" s="170">
        <f>IF(ISNUMBER(AJ19),N(AJ19)+N(AJ40)+N(AJ54)+N(AJ65)+N(AJ68)+N(AJ71),"")</f>
        <v/>
      </c>
      <c r="AK109" s="170">
        <f>IF(ISNUMBER(AK19),N(AK19)+N(AK40)+N(AK54)+N(AK65)+N(AK68)+N(AK71),"")</f>
        <v/>
      </c>
      <c r="AL109" s="170">
        <f>IF(ISNUMBER(AL19),N(AL19)+N(AL40)+N(AL54)+N(AL65)+N(AL68)+N(AL71),"")</f>
        <v/>
      </c>
      <c r="AM109" s="170">
        <f>IF(ISNUMBER(AM19),N(AM19)+N(AM40)+N(AM54)+N(AM65)+N(AM68)+N(AM71),"")</f>
        <v/>
      </c>
      <c r="AN109" s="170">
        <f>IF(ISNUMBER(AN19),N(AN19)+N(AN40)+N(AN54)+N(AN65)+N(AN68)+N(AN71),"")</f>
        <v/>
      </c>
      <c r="AO109" s="170">
        <f>IF(ISNUMBER(AO19),N(AO19)+N(AO40)+N(AO54)+N(AO65)+N(AO68)+N(AO71),"")</f>
        <v/>
      </c>
      <c r="AP109" s="170">
        <f>IF(ISNUMBER(AP19),N(AP19)+N(AP40)+N(AP54)+N(AP65)+N(AP68)+N(AP71),"")</f>
        <v/>
      </c>
      <c r="AQ109" s="170">
        <f>IF(ISNUMBER(AQ19),N(AQ19)+N(AQ40)+N(AQ54)+N(AQ65)+N(AQ68)+N(AQ71),"")</f>
        <v/>
      </c>
      <c r="AR109" s="170">
        <f>IF(ISNUMBER(AR19),N(AR19)+N(AR40)+N(AR54)+N(AR65)+N(AR68)+N(AR71),"")</f>
        <v/>
      </c>
      <c r="AS109" s="170">
        <f>IF(ISNUMBER(AS19),N(AS19)+N(AS40)+N(AS54)+N(AS65)+N(AS68)+N(AS71),"")</f>
        <v/>
      </c>
      <c r="AT109" s="170">
        <f>IF(ISNUMBER(AT19),N(AT19)+N(AT40)+N(AT54)+N(AT65)+N(AT68)+N(AT71),"")</f>
        <v/>
      </c>
      <c r="AU109" s="170">
        <f>IF(ISNUMBER(AU19),N(AU19)+N(AU40)+N(AU54)+N(AU65)+N(AU68)+N(AU71),"")</f>
        <v/>
      </c>
      <c r="AV109" s="170">
        <f>IF(ISNUMBER(AV19),N(AV19)+N(AV40)+N(AV54)+N(AV65)+N(AV68)+N(AV71),"")</f>
        <v/>
      </c>
      <c r="AW109" s="170">
        <f>IF(ISNUMBER(AW19),N(AW19)+N(AW40)+N(AW54)+N(AW65)+N(AW68)+N(AW71),"")</f>
        <v/>
      </c>
      <c r="AX109" s="170">
        <f>IF(ISNUMBER(AX19),N(AX19)+N(AX40)+N(AX54)+N(AX65)+N(AX68)+N(AX71),"")</f>
        <v/>
      </c>
      <c r="AY109" s="170">
        <f>IF(ISNUMBER(AY19),N(AY19)+N(AY40)+N(AY54)+N(AY65)+N(AY68)+N(AY71),"")</f>
        <v/>
      </c>
      <c r="AZ109" s="170">
        <f>IF(ISNUMBER(AZ19),N(AZ19)+N(AZ40)+N(AZ54)+N(AZ65)+N(AZ68)+N(AZ71),"")</f>
        <v/>
      </c>
      <c r="BA109" s="170">
        <f>IF(ISNUMBER(BA19),N(BA19)+N(BA40)+N(BA54)+N(BA65)+N(BA68)+N(BA71),"")</f>
        <v/>
      </c>
      <c r="BB109" s="170">
        <f>IF(ISNUMBER(BB19),N(BB19)+N(BB40)+N(BB54)+N(BB65)+N(BB68)+N(BB71),"")</f>
        <v/>
      </c>
      <c r="BC109" s="170">
        <f>IF(ISNUMBER(BC19),N(BC19)+N(BC40)+N(BC54)+N(BC65)+N(BC68)+N(BC71),"")</f>
        <v/>
      </c>
      <c r="BD109" s="170">
        <f>IF(ISNUMBER(BD19),N(BD19)+N(BD40)+N(BD54)+N(BD65)+N(BD68)+N(BD71),"")</f>
        <v/>
      </c>
      <c r="BE109" s="170">
        <f>IF(ISNUMBER(BE19),N(BE19)+N(BE40)+N(BE54)+N(BE65)+N(BE68)+N(BE71),"")</f>
        <v/>
      </c>
      <c r="BF109" s="170">
        <f>IF(ISNUMBER(BF19),N(BF19)+N(BF40)+N(BF54)+N(BF65)+N(BF68)+N(BF71),"")</f>
        <v/>
      </c>
      <c r="BG109" s="170">
        <f>IF(ISNUMBER(BG19),N(BG19)+N(BG40)+N(BG54)+N(BG65)+N(BG68)+N(BG71),"")</f>
        <v/>
      </c>
      <c r="BH109" s="170">
        <f>IF(ISNUMBER(BH19),N(BH19)+N(BH40)+N(BH54)+N(BH65)+N(BH68)+N(BH71),"")</f>
        <v/>
      </c>
      <c r="BI109" s="170">
        <f>IF(ISNUMBER(BI19),N(BI19)+N(BI40)+N(BI54)+N(BI65)+N(BI68)+N(BI71),"")</f>
        <v/>
      </c>
      <c r="BJ109" s="170">
        <f>IF(ISNUMBER(BJ19),N(BJ19)+N(BJ40)+N(BJ54)+N(BJ65)+N(BJ68)+N(BJ71),"")</f>
        <v/>
      </c>
      <c r="BK109" s="170">
        <f>IF(ISNUMBER(BK19),N(BK19)+N(BK40)+N(BK54)+N(BK65)+N(BK68)+N(BK71),"")</f>
        <v/>
      </c>
      <c r="BL109" s="170">
        <f>IF(ISNUMBER(BL19),N(BL19)+N(BL40)+N(BL54)+N(BL65)+N(BL68)+N(BL71),"")</f>
        <v/>
      </c>
      <c r="BM109" s="170">
        <f>IF(ISNUMBER(BM19),N(BM19)+N(BM40)+N(BM54)+N(BM65)+N(BM68)+N(BM71),"")</f>
        <v/>
      </c>
      <c r="BN109" s="170">
        <f>IF(ISNUMBER(BN19),N(BN19)+N(BN40)+N(BN54)+N(BN65)+N(BN68)+N(BN71),"")</f>
        <v/>
      </c>
      <c r="BO109" s="170">
        <f>IF(ISNUMBER(BO19),N(BO19)+N(BO40)+N(BO54)+N(BO65)+N(BO68)+N(BO71),"")</f>
        <v/>
      </c>
      <c r="BP109" s="170">
        <f>IF(ISNUMBER(BP19),N(BP19)+N(BP40)+N(BP54)+N(BP65)+N(BP68)+N(BP71),"")</f>
        <v/>
      </c>
      <c r="BQ109" s="170">
        <f>IF(ISNUMBER(BQ19),N(BQ19)+N(BQ40)+N(BQ54)+N(BQ65)+N(BQ68)+N(BQ71),"")</f>
        <v/>
      </c>
      <c r="BR109" s="170">
        <f>IF(ISNUMBER(BR19),N(BR19)+N(BR40)+N(BR54)+N(BR65)+N(BR68)+N(BR71),"")</f>
        <v/>
      </c>
      <c r="BS109" s="170">
        <f>IF(ISNUMBER(BS19),N(BS19)+N(BS40)+N(BS54)+N(BS65)+N(BS68)+N(BS71),"")</f>
        <v/>
      </c>
      <c r="BT109" s="170">
        <f>IF(ISNUMBER(BT19),N(BT19)+N(BT40)+N(BT54)+N(BT65)+N(BT68)+N(BT71),"")</f>
        <v/>
      </c>
      <c r="BU109" s="170">
        <f>IF(ISNUMBER(BU19),N(BU19)+N(BU40)+N(BU54)+N(BU65)+N(BU68)+N(BU71),"")</f>
        <v/>
      </c>
      <c r="BV109" s="170">
        <f>IF(ISNUMBER(BV19),N(BV19)+N(BV40)+N(BV54)+N(BV65)+N(BV68)+N(BV71),"")</f>
        <v/>
      </c>
      <c r="BW109" s="170">
        <f>IF(ISNUMBER(BW19),N(BW19)+N(BW40)+N(BW54)+N(BW65)+N(BW68)+N(BW71),"")</f>
        <v/>
      </c>
      <c r="BX109" s="170">
        <f>IF(ISNUMBER(BX19),N(BX19)+N(BX40)+N(BX54)+N(BX65)+N(BX68)+N(BX71),"")</f>
        <v/>
      </c>
      <c r="BY109" s="170">
        <f>IF(ISNUMBER(BY19),N(BY19)+N(BY40)+N(BY54)+N(BY65)+N(BY68)+N(BY71),"")</f>
        <v/>
      </c>
      <c r="BZ109" s="170">
        <f>IF(ISNUMBER(BZ19),N(BZ19)+N(BZ40)+N(BZ54)+N(BZ65)+N(BZ68)+N(BZ71),"")</f>
        <v/>
      </c>
      <c r="CA109" s="170">
        <f>IF(ISNUMBER(CA19),N(CA19)+N(CA40)+N(CA54)+N(CA65)+N(CA68)+N(CA71),"")</f>
        <v/>
      </c>
      <c r="CB109" s="170">
        <f>IF(ISNUMBER(CB19),N(CB19)+N(CB40)+N(CB54)+N(CB65)+N(CB68)+N(CB71),"")</f>
        <v/>
      </c>
      <c r="CC109" s="170">
        <f>IF(ISNUMBER(CC19),N(CC19)+N(CC40)+N(CC54)+N(CC65)+N(CC68)+N(CC71),"")</f>
        <v/>
      </c>
      <c r="CD109" s="170">
        <f>IF(ISNUMBER(CD19),N(CD19)+N(CD40)+N(CD54)+N(CD65)+N(CD68)+N(CD71),"")</f>
        <v/>
      </c>
      <c r="CE109" s="170">
        <f>IF(ISNUMBER(CE19),N(CE19)+N(CE40)+N(CE54)+N(CE65)+N(CE68)+N(CE71),"")</f>
        <v/>
      </c>
      <c r="CF109" s="170">
        <f>IF(ISNUMBER(CF19),N(CF19)+N(CF40)+N(CF54)+N(CF65)+N(CF68)+N(CF71),"")</f>
        <v/>
      </c>
      <c r="CG109" s="170">
        <f>IF(ISNUMBER(CG19),N(CG19)+N(CG40)+N(CG54)+N(CG65)+N(CG68)+N(CG71),"")</f>
        <v/>
      </c>
      <c r="CH109" s="170">
        <f>IF(ISNUMBER(CH19),N(CH19)+N(CH40)+N(CH54)+N(CH65)+N(CH68)+N(CH71),"")</f>
        <v/>
      </c>
      <c r="CI109" s="170">
        <f>IF(ISNUMBER(CI19),N(CI19)+N(CI40)+N(CI54)+N(CI65)+N(CI68)+N(CI71),"")</f>
        <v/>
      </c>
      <c r="CJ109" s="170">
        <f>IF(ISNUMBER(CJ19),N(CJ19)+N(CJ40)+N(CJ54)+N(CJ65)+N(CJ68)+N(CJ71),"")</f>
        <v/>
      </c>
      <c r="CK109" s="170">
        <f>IF(ISNUMBER(CK19),N(CK19)+N(CK40)+N(CK54)+N(CK65)+N(CK68)+N(CK71),"")</f>
        <v/>
      </c>
      <c r="CL109" s="170">
        <f>IF(ISNUMBER(CL19),N(CL19)+N(CL40)+N(CL54)+N(CL65)+N(CL68)+N(CL71),"")</f>
        <v/>
      </c>
      <c r="CM109" s="171">
        <f>N(CM19)+N(CM40)+N(CM54)+N(CM65)+N(CM68)+N(CM71)+N(CM98)-N(CM104)</f>
        <v/>
      </c>
      <c r="CN109" s="171">
        <f>N(CN19)+N(CN40)+N(CN54)+N(CN65)+N(CN68)+N(CN71)+N(CN98)-N(CN104)</f>
        <v/>
      </c>
      <c r="CO109" s="171">
        <f>SUM(CJ109,CK109,CM109,CN109)</f>
        <v/>
      </c>
      <c r="CP109" s="171">
        <f>N(CP19)+N(CP40)+N(CP54)+N(CP65)+N(CP68)+N(CP71)+N(CP98)-N(CP104)</f>
        <v/>
      </c>
      <c r="CQ109" s="171">
        <f>N(CQ19)+N(CQ40)+N(CQ54)+N(CQ65)+N(CQ68)+N(CQ71)+N(CQ98)-N(CQ104)</f>
        <v/>
      </c>
      <c r="CR109" s="171">
        <f>N(CR19)+N(CR40)+N(CR54)+N(CR65)+N(CR68)+N(CR71)+N(CR98)-N(CR104)</f>
        <v/>
      </c>
      <c r="CS109" s="171">
        <f>N(CS19)+N(CS40)+N(CS54)+N(CS65)+N(CS68)+N(CS71)+N(CS98)-N(CS104)</f>
        <v/>
      </c>
      <c r="CT109" s="22" t="n"/>
      <c r="CV109" s="23" t="n"/>
      <c r="CW109" s="23" t="n"/>
      <c r="CX109" s="23" t="n"/>
      <c r="CY109" s="23" t="n"/>
    </row>
    <row r="110" ht="15" customHeight="1">
      <c r="B110" s="12" t="inlineStr">
        <is>
          <t xml:space="preserve">  Segment DDA&amp;A (Σ)</t>
        </is>
      </c>
      <c r="C110" s="170">
        <f>IF(ISNUMBER(C20),N(C20)+N(C41)+N(C55)+N(C66)+N(C69)+N(C72),"")</f>
        <v/>
      </c>
      <c r="D110" s="170">
        <f>IF(ISNUMBER(D20),N(D20)+N(D41)+N(D55)+N(D66)+N(D69)+N(D72),"")</f>
        <v/>
      </c>
      <c r="E110" s="170">
        <f>IF(ISNUMBER(E20),N(E20)+N(E41)+N(E55)+N(E66)+N(E69)+N(E72),"")</f>
        <v/>
      </c>
      <c r="F110" s="170">
        <f>IF(ISNUMBER(F20),N(F20)+N(F41)+N(F55)+N(F66)+N(F69)+N(F72),"")</f>
        <v/>
      </c>
      <c r="G110" s="170">
        <f>IF(ISNUMBER(G20),N(G20)+N(G41)+N(G55)+N(G66)+N(G69)+N(G72),"")</f>
        <v/>
      </c>
      <c r="H110" s="170">
        <f>IF(ISNUMBER(H20),N(H20)+N(H41)+N(H55)+N(H66)+N(H69)+N(H72),"")</f>
        <v/>
      </c>
      <c r="I110" s="170">
        <f>IF(ISNUMBER(I20),N(I20)+N(I41)+N(I55)+N(I66)+N(I69)+N(I72),"")</f>
        <v/>
      </c>
      <c r="J110" s="170">
        <f>IF(ISNUMBER(J20),N(J20)+N(J41)+N(J55)+N(J66)+N(J69)+N(J72),"")</f>
        <v/>
      </c>
      <c r="K110" s="170">
        <f>IF(ISNUMBER(K20),N(K20)+N(K41)+N(K55)+N(K66)+N(K69)+N(K72),"")</f>
        <v/>
      </c>
      <c r="L110" s="170">
        <f>IF(ISNUMBER(L20),N(L20)+N(L41)+N(L55)+N(L66)+N(L69)+N(L72),"")</f>
        <v/>
      </c>
      <c r="M110" s="170">
        <f>IF(ISNUMBER(M20),N(M20)+N(M41)+N(M55)+N(M66)+N(M69)+N(M72),"")</f>
        <v/>
      </c>
      <c r="N110" s="170">
        <f>IF(ISNUMBER(N20),N(N20)+N(N41)+N(N55)+N(N66)+N(N69)+N(N72),"")</f>
        <v/>
      </c>
      <c r="O110" s="170">
        <f>IF(ISNUMBER(O20),N(O20)+N(O41)+N(O55)+N(O66)+N(O69)+N(O72),"")</f>
        <v/>
      </c>
      <c r="P110" s="170">
        <f>IF(ISNUMBER(P20),N(P20)+N(P41)+N(P55)+N(P66)+N(P69)+N(P72),"")</f>
        <v/>
      </c>
      <c r="Q110" s="170">
        <f>IF(ISNUMBER(Q20),N(Q20)+N(Q41)+N(Q55)+N(Q66)+N(Q69)+N(Q72),"")</f>
        <v/>
      </c>
      <c r="R110" s="170">
        <f>IF(ISNUMBER(R20),N(R20)+N(R41)+N(R55)+N(R66)+N(R69)+N(R72),"")</f>
        <v/>
      </c>
      <c r="S110" s="170">
        <f>IF(ISNUMBER(S20),N(S20)+N(S41)+N(S55)+N(S66)+N(S69)+N(S72),"")</f>
        <v/>
      </c>
      <c r="T110" s="170">
        <f>IF(ISNUMBER(T20),N(T20)+N(T41)+N(T55)+N(T66)+N(T69)+N(T72),"")</f>
        <v/>
      </c>
      <c r="U110" s="170">
        <f>IF(ISNUMBER(U20),N(U20)+N(U41)+N(U55)+N(U66)+N(U69)+N(U72),"")</f>
        <v/>
      </c>
      <c r="V110" s="170">
        <f>IF(ISNUMBER(V20),N(V20)+N(V41)+N(V55)+N(V66)+N(V69)+N(V72),"")</f>
        <v/>
      </c>
      <c r="W110" s="170">
        <f>IF(ISNUMBER(W20),N(W20)+N(W41)+N(W55)+N(W66)+N(W69)+N(W72),"")</f>
        <v/>
      </c>
      <c r="X110" s="170">
        <f>IF(ISNUMBER(X20),N(X20)+N(X41)+N(X55)+N(X66)+N(X69)+N(X72),"")</f>
        <v/>
      </c>
      <c r="Y110" s="170">
        <f>IF(ISNUMBER(Y20),N(Y20)+N(Y41)+N(Y55)+N(Y66)+N(Y69)+N(Y72),"")</f>
        <v/>
      </c>
      <c r="Z110" s="170">
        <f>IF(ISNUMBER(Z20),N(Z20)+N(Z41)+N(Z55)+N(Z66)+N(Z69)+N(Z72),"")</f>
        <v/>
      </c>
      <c r="AA110" s="170">
        <f>IF(ISNUMBER(AA20),N(AA20)+N(AA41)+N(AA55)+N(AA66)+N(AA69)+N(AA72),"")</f>
        <v/>
      </c>
      <c r="AB110" s="170">
        <f>IF(ISNUMBER(AB20),N(AB20)+N(AB41)+N(AB55)+N(AB66)+N(AB69)+N(AB72),"")</f>
        <v/>
      </c>
      <c r="AC110" s="170">
        <f>IF(ISNUMBER(AC20),N(AC20)+N(AC41)+N(AC55)+N(AC66)+N(AC69)+N(AC72),"")</f>
        <v/>
      </c>
      <c r="AD110" s="170">
        <f>IF(ISNUMBER(AD20),N(AD20)+N(AD41)+N(AD55)+N(AD66)+N(AD69)+N(AD72),"")</f>
        <v/>
      </c>
      <c r="AE110" s="170">
        <f>IF(ISNUMBER(AE20),N(AE20)+N(AE41)+N(AE55)+N(AE66)+N(AE69)+N(AE72),"")</f>
        <v/>
      </c>
      <c r="AF110" s="170">
        <f>IF(ISNUMBER(AF20),N(AF20)+N(AF41)+N(AF55)+N(AF66)+N(AF69)+N(AF72),"")</f>
        <v/>
      </c>
      <c r="AG110" s="170">
        <f>IF(ISNUMBER(AG20),N(AG20)+N(AG41)+N(AG55)+N(AG66)+N(AG69)+N(AG72),"")</f>
        <v/>
      </c>
      <c r="AH110" s="170">
        <f>IF(ISNUMBER(AH20),N(AH20)+N(AH41)+N(AH55)+N(AH66)+N(AH69)+N(AH72),"")</f>
        <v/>
      </c>
      <c r="AI110" s="170">
        <f>IF(ISNUMBER(AI20),N(AI20)+N(AI41)+N(AI55)+N(AI66)+N(AI69)+N(AI72),"")</f>
        <v/>
      </c>
      <c r="AJ110" s="170">
        <f>IF(ISNUMBER(AJ20),N(AJ20)+N(AJ41)+N(AJ55)+N(AJ66)+N(AJ69)+N(AJ72),"")</f>
        <v/>
      </c>
      <c r="AK110" s="170">
        <f>IF(ISNUMBER(AK20),N(AK20)+N(AK41)+N(AK55)+N(AK66)+N(AK69)+N(AK72),"")</f>
        <v/>
      </c>
      <c r="AL110" s="170">
        <f>IF(ISNUMBER(AL20),N(AL20)+N(AL41)+N(AL55)+N(AL66)+N(AL69)+N(AL72),"")</f>
        <v/>
      </c>
      <c r="AM110" s="170">
        <f>IF(ISNUMBER(AM20),N(AM20)+N(AM41)+N(AM55)+N(AM66)+N(AM69)+N(AM72),"")</f>
        <v/>
      </c>
      <c r="AN110" s="170">
        <f>IF(ISNUMBER(AN20),N(AN20)+N(AN41)+N(AN55)+N(AN66)+N(AN69)+N(AN72),"")</f>
        <v/>
      </c>
      <c r="AO110" s="170">
        <f>IF(ISNUMBER(AO20),N(AO20)+N(AO41)+N(AO55)+N(AO66)+N(AO69)+N(AO72),"")</f>
        <v/>
      </c>
      <c r="AP110" s="170">
        <f>IF(ISNUMBER(AP20),N(AP20)+N(AP41)+N(AP55)+N(AP66)+N(AP69)+N(AP72),"")</f>
        <v/>
      </c>
      <c r="AQ110" s="170">
        <f>IF(ISNUMBER(AQ20),N(AQ20)+N(AQ41)+N(AQ55)+N(AQ66)+N(AQ69)+N(AQ72),"")</f>
        <v/>
      </c>
      <c r="AR110" s="170">
        <f>IF(ISNUMBER(AR20),N(AR20)+N(AR41)+N(AR55)+N(AR66)+N(AR69)+N(AR72),"")</f>
        <v/>
      </c>
      <c r="AS110" s="170">
        <f>IF(ISNUMBER(AS20),N(AS20)+N(AS41)+N(AS55)+N(AS66)+N(AS69)+N(AS72),"")</f>
        <v/>
      </c>
      <c r="AT110" s="170">
        <f>IF(ISNUMBER(AT20),N(AT20)+N(AT41)+N(AT55)+N(AT66)+N(AT69)+N(AT72),"")</f>
        <v/>
      </c>
      <c r="AU110" s="170">
        <f>IF(ISNUMBER(AU20),N(AU20)+N(AU41)+N(AU55)+N(AU66)+N(AU69)+N(AU72),"")</f>
        <v/>
      </c>
      <c r="AV110" s="170">
        <f>IF(ISNUMBER(AV20),N(AV20)+N(AV41)+N(AV55)+N(AV66)+N(AV69)+N(AV72),"")</f>
        <v/>
      </c>
      <c r="AW110" s="170">
        <f>IF(ISNUMBER(AW20),N(AW20)+N(AW41)+N(AW55)+N(AW66)+N(AW69)+N(AW72),"")</f>
        <v/>
      </c>
      <c r="AX110" s="170">
        <f>IF(ISNUMBER(AX20),N(AX20)+N(AX41)+N(AX55)+N(AX66)+N(AX69)+N(AX72),"")</f>
        <v/>
      </c>
      <c r="AY110" s="170">
        <f>IF(ISNUMBER(AY20),N(AY20)+N(AY41)+N(AY55)+N(AY66)+N(AY69)+N(AY72),"")</f>
        <v/>
      </c>
      <c r="AZ110" s="170">
        <f>IF(ISNUMBER(AZ20),N(AZ20)+N(AZ41)+N(AZ55)+N(AZ66)+N(AZ69)+N(AZ72),"")</f>
        <v/>
      </c>
      <c r="BA110" s="170">
        <f>IF(ISNUMBER(BA20),N(BA20)+N(BA41)+N(BA55)+N(BA66)+N(BA69)+N(BA72),"")</f>
        <v/>
      </c>
      <c r="BB110" s="170">
        <f>IF(ISNUMBER(BB20),N(BB20)+N(BB41)+N(BB55)+N(BB66)+N(BB69)+N(BB72),"")</f>
        <v/>
      </c>
      <c r="BC110" s="170">
        <f>IF(ISNUMBER(BC20),N(BC20)+N(BC41)+N(BC55)+N(BC66)+N(BC69)+N(BC72),"")</f>
        <v/>
      </c>
      <c r="BD110" s="170">
        <f>IF(ISNUMBER(BD20),N(BD20)+N(BD41)+N(BD55)+N(BD66)+N(BD69)+N(BD72),"")</f>
        <v/>
      </c>
      <c r="BE110" s="170">
        <f>IF(ISNUMBER(BE20),N(BE20)+N(BE41)+N(BE55)+N(BE66)+N(BE69)+N(BE72),"")</f>
        <v/>
      </c>
      <c r="BF110" s="170">
        <f>IF(ISNUMBER(BF20),N(BF20)+N(BF41)+N(BF55)+N(BF66)+N(BF69)+N(BF72),"")</f>
        <v/>
      </c>
      <c r="BG110" s="170">
        <f>IF(ISNUMBER(BG20),N(BG20)+N(BG41)+N(BG55)+N(BG66)+N(BG69)+N(BG72),"")</f>
        <v/>
      </c>
      <c r="BH110" s="170">
        <f>IF(ISNUMBER(BH20),N(BH20)+N(BH41)+N(BH55)+N(BH66)+N(BH69)+N(BH72),"")</f>
        <v/>
      </c>
      <c r="BI110" s="170">
        <f>IF(ISNUMBER(BI20),N(BI20)+N(BI41)+N(BI55)+N(BI66)+N(BI69)+N(BI72),"")</f>
        <v/>
      </c>
      <c r="BJ110" s="170">
        <f>IF(ISNUMBER(BJ20),N(BJ20)+N(BJ41)+N(BJ55)+N(BJ66)+N(BJ69)+N(BJ72),"")</f>
        <v/>
      </c>
      <c r="BK110" s="170">
        <f>IF(ISNUMBER(BK20),N(BK20)+N(BK41)+N(BK55)+N(BK66)+N(BK69)+N(BK72),"")</f>
        <v/>
      </c>
      <c r="BL110" s="170">
        <f>IF(ISNUMBER(BL20),N(BL20)+N(BL41)+N(BL55)+N(BL66)+N(BL69)+N(BL72),"")</f>
        <v/>
      </c>
      <c r="BM110" s="170">
        <f>IF(ISNUMBER(BM20),N(BM20)+N(BM41)+N(BM55)+N(BM66)+N(BM69)+N(BM72),"")</f>
        <v/>
      </c>
      <c r="BN110" s="170">
        <f>IF(ISNUMBER(BN20),N(BN20)+N(BN41)+N(BN55)+N(BN66)+N(BN69)+N(BN72),"")</f>
        <v/>
      </c>
      <c r="BO110" s="170">
        <f>IF(ISNUMBER(BO20),N(BO20)+N(BO41)+N(BO55)+N(BO66)+N(BO69)+N(BO72),"")</f>
        <v/>
      </c>
      <c r="BP110" s="170">
        <f>IF(ISNUMBER(BP20),N(BP20)+N(BP41)+N(BP55)+N(BP66)+N(BP69)+N(BP72),"")</f>
        <v/>
      </c>
      <c r="BQ110" s="170">
        <f>IF(ISNUMBER(BQ20),N(BQ20)+N(BQ41)+N(BQ55)+N(BQ66)+N(BQ69)+N(BQ72),"")</f>
        <v/>
      </c>
      <c r="BR110" s="170">
        <f>IF(ISNUMBER(BR20),N(BR20)+N(BR41)+N(BR55)+N(BR66)+N(BR69)+N(BR72),"")</f>
        <v/>
      </c>
      <c r="BS110" s="170">
        <f>IF(ISNUMBER(BS20),N(BS20)+N(BS41)+N(BS55)+N(BS66)+N(BS69)+N(BS72),"")</f>
        <v/>
      </c>
      <c r="BT110" s="170">
        <f>IF(ISNUMBER(BT20),N(BT20)+N(BT41)+N(BT55)+N(BT66)+N(BT69)+N(BT72),"")</f>
        <v/>
      </c>
      <c r="BU110" s="170">
        <f>IF(ISNUMBER(BU20),N(BU20)+N(BU41)+N(BU55)+N(BU66)+N(BU69)+N(BU72),"")</f>
        <v/>
      </c>
      <c r="BV110" s="170">
        <f>IF(ISNUMBER(BV20),N(BV20)+N(BV41)+N(BV55)+N(BV66)+N(BV69)+N(BV72),"")</f>
        <v/>
      </c>
      <c r="BW110" s="170">
        <f>IF(ISNUMBER(BW20),N(BW20)+N(BW41)+N(BW55)+N(BW66)+N(BW69)+N(BW72),"")</f>
        <v/>
      </c>
      <c r="BX110" s="170">
        <f>IF(ISNUMBER(BX20),N(BX20)+N(BX41)+N(BX55)+N(BX66)+N(BX69)+N(BX72),"")</f>
        <v/>
      </c>
      <c r="BY110" s="170">
        <f>IF(ISNUMBER(BY20),N(BY20)+N(BY41)+N(BY55)+N(BY66)+N(BY69)+N(BY72),"")</f>
        <v/>
      </c>
      <c r="BZ110" s="170">
        <f>IF(ISNUMBER(BZ20),N(BZ20)+N(BZ41)+N(BZ55)+N(BZ66)+N(BZ69)+N(BZ72),"")</f>
        <v/>
      </c>
      <c r="CA110" s="170">
        <f>IF(ISNUMBER(CA20),N(CA20)+N(CA41)+N(CA55)+N(CA66)+N(CA69)+N(CA72),"")</f>
        <v/>
      </c>
      <c r="CB110" s="170">
        <f>IF(ISNUMBER(CB20),N(CB20)+N(CB41)+N(CB55)+N(CB66)+N(CB69)+N(CB72),"")</f>
        <v/>
      </c>
      <c r="CC110" s="170">
        <f>IF(ISNUMBER(CC20),N(CC20)+N(CC41)+N(CC55)+N(CC66)+N(CC69)+N(CC72),"")</f>
        <v/>
      </c>
      <c r="CD110" s="170">
        <f>IF(ISNUMBER(CD20),N(CD20)+N(CD41)+N(CD55)+N(CD66)+N(CD69)+N(CD72),"")</f>
        <v/>
      </c>
      <c r="CE110" s="170">
        <f>IF(ISNUMBER(CE20),N(CE20)+N(CE41)+N(CE55)+N(CE66)+N(CE69)+N(CE72),"")</f>
        <v/>
      </c>
      <c r="CF110" s="170">
        <f>IF(ISNUMBER(CF20),N(CF20)+N(CF41)+N(CF55)+N(CF66)+N(CF69)+N(CF72),"")</f>
        <v/>
      </c>
      <c r="CG110" s="170">
        <f>IF(ISNUMBER(CG20),N(CG20)+N(CG41)+N(CG55)+N(CG66)+N(CG69)+N(CG72),"")</f>
        <v/>
      </c>
      <c r="CH110" s="170">
        <f>IF(ISNUMBER(CH20),N(CH20)+N(CH41)+N(CH55)+N(CH66)+N(CH69)+N(CH72),"")</f>
        <v/>
      </c>
      <c r="CI110" s="170">
        <f>IF(ISNUMBER(CI20),N(CI20)+N(CI41)+N(CI55)+N(CI66)+N(CI69)+N(CI72),"")</f>
        <v/>
      </c>
      <c r="CJ110" s="170">
        <f>IF(ISNUMBER(CJ20),N(CJ20)+N(CJ41)+N(CJ55)+N(CJ66)+N(CJ69)+N(CJ72),"")</f>
        <v/>
      </c>
      <c r="CK110" s="170">
        <f>IF(ISNUMBER(CK20),N(CK20)+N(CK41)+N(CK55)+N(CK66)+N(CK69)+N(CK72),"")</f>
        <v/>
      </c>
      <c r="CL110" s="170">
        <f>IF(ISNUMBER(CL20),N(CL20)+N(CL41)+N(CL55)+N(CL66)+N(CL69)+N(CL72),"")</f>
        <v/>
      </c>
      <c r="CM110" s="171">
        <f>N(CM20)+N(CM41)+N(CM55)+N(CM66)+N(CM69)+N(CM72)+N(CM104)</f>
        <v/>
      </c>
      <c r="CN110" s="171">
        <f>N(CN20)+N(CN41)+N(CN55)+N(CN66)+N(CN69)+N(CN72)+N(CN104)</f>
        <v/>
      </c>
      <c r="CO110" s="171">
        <f>SUM(CJ110,CK110,CM110,CN110)</f>
        <v/>
      </c>
      <c r="CP110" s="171">
        <f>N(CP20)+N(CP41)+N(CP55)+N(CP66)+N(CP69)+N(CP72)+N(CP104)</f>
        <v/>
      </c>
      <c r="CQ110" s="171">
        <f>N(CQ20)+N(CQ41)+N(CQ55)+N(CQ66)+N(CQ69)+N(CQ72)+N(CQ104)</f>
        <v/>
      </c>
      <c r="CR110" s="171">
        <f>N(CR20)+N(CR41)+N(CR55)+N(CR66)+N(CR69)+N(CR72)+N(CR104)</f>
        <v/>
      </c>
      <c r="CS110" s="171">
        <f>N(CS20)+N(CS41)+N(CS55)+N(CS66)+N(CS69)+N(CS72)+N(CS104)</f>
        <v/>
      </c>
      <c r="CT110" s="22" t="n"/>
      <c r="CV110" s="23" t="n"/>
      <c r="CW110" s="23" t="n"/>
      <c r="CX110" s="23" t="n"/>
      <c r="CY110" s="23" t="n"/>
    </row>
    <row r="111" ht="15" customHeight="1">
      <c r="B111" s="18" t="inlineStr">
        <is>
          <t xml:space="preserve">  Cash gross profit (Σ segments, non-GAAP)</t>
        </is>
      </c>
      <c r="C111" s="173">
        <f>IF(ISNUMBER(C110),C109+C110,"")</f>
        <v/>
      </c>
      <c r="D111" s="173">
        <f>IF(ISNUMBER(D110),D109+D110,"")</f>
        <v/>
      </c>
      <c r="E111" s="173">
        <f>IF(ISNUMBER(E110),E109+E110,"")</f>
        <v/>
      </c>
      <c r="F111" s="173">
        <f>IF(ISNUMBER(F110),F109+F110,"")</f>
        <v/>
      </c>
      <c r="G111" s="173">
        <f>IF(ISNUMBER(G110),G109+G110,"")</f>
        <v/>
      </c>
      <c r="H111" s="173">
        <f>IF(ISNUMBER(H110),H109+H110,"")</f>
        <v/>
      </c>
      <c r="I111" s="173">
        <f>IF(ISNUMBER(I110),I109+I110,"")</f>
        <v/>
      </c>
      <c r="J111" s="173">
        <f>IF(ISNUMBER(J110),J109+J110,"")</f>
        <v/>
      </c>
      <c r="K111" s="173">
        <f>IF(ISNUMBER(K110),K109+K110,"")</f>
        <v/>
      </c>
      <c r="L111" s="173">
        <f>IF(ISNUMBER(L110),L109+L110,"")</f>
        <v/>
      </c>
      <c r="M111" s="173">
        <f>IF(ISNUMBER(M110),M109+M110,"")</f>
        <v/>
      </c>
      <c r="N111" s="173">
        <f>IF(ISNUMBER(N110),N109+N110,"")</f>
        <v/>
      </c>
      <c r="O111" s="173">
        <f>IF(ISNUMBER(O110),O109+O110,"")</f>
        <v/>
      </c>
      <c r="P111" s="173">
        <f>IF(ISNUMBER(P110),P109+P110,"")</f>
        <v/>
      </c>
      <c r="Q111" s="173">
        <f>IF(ISNUMBER(Q110),Q109+Q110,"")</f>
        <v/>
      </c>
      <c r="R111" s="173">
        <f>IF(ISNUMBER(R110),R109+R110,"")</f>
        <v/>
      </c>
      <c r="S111" s="173">
        <f>IF(ISNUMBER(S110),S109+S110,"")</f>
        <v/>
      </c>
      <c r="T111" s="173">
        <f>IF(ISNUMBER(T110),T109+T110,"")</f>
        <v/>
      </c>
      <c r="U111" s="173">
        <f>IF(ISNUMBER(U110),U109+U110,"")</f>
        <v/>
      </c>
      <c r="V111" s="173">
        <f>IF(ISNUMBER(V110),V109+V110,"")</f>
        <v/>
      </c>
      <c r="W111" s="173">
        <f>IF(ISNUMBER(W110),W109+W110,"")</f>
        <v/>
      </c>
      <c r="X111" s="173">
        <f>IF(ISNUMBER(X110),X109+X110,"")</f>
        <v/>
      </c>
      <c r="Y111" s="173">
        <f>IF(ISNUMBER(Y110),Y109+Y110,"")</f>
        <v/>
      </c>
      <c r="Z111" s="173">
        <f>IF(ISNUMBER(Z110),Z109+Z110,"")</f>
        <v/>
      </c>
      <c r="AA111" s="173">
        <f>IF(ISNUMBER(AA110),AA109+AA110,"")</f>
        <v/>
      </c>
      <c r="AB111" s="173">
        <f>IF(ISNUMBER(AB110),AB109+AB110,"")</f>
        <v/>
      </c>
      <c r="AC111" s="173">
        <f>IF(ISNUMBER(AC110),AC109+AC110,"")</f>
        <v/>
      </c>
      <c r="AD111" s="173">
        <f>IF(ISNUMBER(AD110),AD109+AD110,"")</f>
        <v/>
      </c>
      <c r="AE111" s="173">
        <f>IF(ISNUMBER(AE110),AE109+AE110,"")</f>
        <v/>
      </c>
      <c r="AF111" s="173">
        <f>IF(ISNUMBER(AF110),AF109+AF110,"")</f>
        <v/>
      </c>
      <c r="AG111" s="173">
        <f>IF(ISNUMBER(AG110),AG109+AG110,"")</f>
        <v/>
      </c>
      <c r="AH111" s="173">
        <f>IF(ISNUMBER(AH110),AH109+AH110,"")</f>
        <v/>
      </c>
      <c r="AI111" s="173">
        <f>IF(ISNUMBER(AI110),AI109+AI110,"")</f>
        <v/>
      </c>
      <c r="AJ111" s="173">
        <f>IF(ISNUMBER(AJ110),AJ109+AJ110,"")</f>
        <v/>
      </c>
      <c r="AK111" s="173">
        <f>IF(ISNUMBER(AK110),AK109+AK110,"")</f>
        <v/>
      </c>
      <c r="AL111" s="173">
        <f>IF(ISNUMBER(AL110),AL109+AL110,"")</f>
        <v/>
      </c>
      <c r="AM111" s="173">
        <f>IF(ISNUMBER(AM110),AM109+AM110,"")</f>
        <v/>
      </c>
      <c r="AN111" s="173">
        <f>IF(ISNUMBER(AN110),AN109+AN110,"")</f>
        <v/>
      </c>
      <c r="AO111" s="173">
        <f>IF(ISNUMBER(AO110),AO109+AO110,"")</f>
        <v/>
      </c>
      <c r="AP111" s="173">
        <f>IF(ISNUMBER(AP110),AP109+AP110,"")</f>
        <v/>
      </c>
      <c r="AQ111" s="173">
        <f>IF(ISNUMBER(AQ110),AQ109+AQ110,"")</f>
        <v/>
      </c>
      <c r="AR111" s="173">
        <f>IF(ISNUMBER(AR110),AR109+AR110,"")</f>
        <v/>
      </c>
      <c r="AS111" s="173">
        <f>IF(ISNUMBER(AS110),AS109+AS110,"")</f>
        <v/>
      </c>
      <c r="AT111" s="173">
        <f>IF(ISNUMBER(AT110),AT109+AT110,"")</f>
        <v/>
      </c>
      <c r="AU111" s="173">
        <f>IF(ISNUMBER(AU110),AU109+AU110,"")</f>
        <v/>
      </c>
      <c r="AV111" s="173">
        <f>IF(ISNUMBER(AV110),AV109+AV110,"")</f>
        <v/>
      </c>
      <c r="AW111" s="173">
        <f>IF(ISNUMBER(AW110),AW109+AW110,"")</f>
        <v/>
      </c>
      <c r="AX111" s="173">
        <f>IF(ISNUMBER(AX110),AX109+AX110,"")</f>
        <v/>
      </c>
      <c r="AY111" s="173">
        <f>IF(ISNUMBER(AY110),AY109+AY110,"")</f>
        <v/>
      </c>
      <c r="AZ111" s="173">
        <f>IF(ISNUMBER(AZ110),AZ109+AZ110,"")</f>
        <v/>
      </c>
      <c r="BA111" s="173">
        <f>IF(ISNUMBER(BA110),BA109+BA110,"")</f>
        <v/>
      </c>
      <c r="BB111" s="173">
        <f>IF(ISNUMBER(BB110),BB109+BB110,"")</f>
        <v/>
      </c>
      <c r="BC111" s="173">
        <f>IF(ISNUMBER(BC110),BC109+BC110,"")</f>
        <v/>
      </c>
      <c r="BD111" s="173">
        <f>IF(ISNUMBER(BD110),BD109+BD110,"")</f>
        <v/>
      </c>
      <c r="BE111" s="173">
        <f>IF(ISNUMBER(BE110),BE109+BE110,"")</f>
        <v/>
      </c>
      <c r="BF111" s="173">
        <f>IF(ISNUMBER(BF110),BF109+BF110,"")</f>
        <v/>
      </c>
      <c r="BG111" s="173">
        <f>IF(ISNUMBER(BG110),BG109+BG110,"")</f>
        <v/>
      </c>
      <c r="BH111" s="173">
        <f>IF(ISNUMBER(BH110),BH109+BH110,"")</f>
        <v/>
      </c>
      <c r="BI111" s="173">
        <f>IF(ISNUMBER(BI110),BI109+BI110,"")</f>
        <v/>
      </c>
      <c r="BJ111" s="173">
        <f>IF(ISNUMBER(BJ110),BJ109+BJ110,"")</f>
        <v/>
      </c>
      <c r="BK111" s="173">
        <f>IF(ISNUMBER(BK110),BK109+BK110,"")</f>
        <v/>
      </c>
      <c r="BL111" s="173">
        <f>IF(ISNUMBER(BL110),BL109+BL110,"")</f>
        <v/>
      </c>
      <c r="BM111" s="173">
        <f>IF(ISNUMBER(BM110),BM109+BM110,"")</f>
        <v/>
      </c>
      <c r="BN111" s="173">
        <f>IF(ISNUMBER(BN110),BN109+BN110,"")</f>
        <v/>
      </c>
      <c r="BO111" s="173">
        <f>IF(ISNUMBER(BO110),BO109+BO110,"")</f>
        <v/>
      </c>
      <c r="BP111" s="173">
        <f>IF(ISNUMBER(BP110),BP109+BP110,"")</f>
        <v/>
      </c>
      <c r="BQ111" s="173">
        <f>IF(ISNUMBER(BQ110),BQ109+BQ110,"")</f>
        <v/>
      </c>
      <c r="BR111" s="173">
        <f>IF(ISNUMBER(BR110),BR109+BR110,"")</f>
        <v/>
      </c>
      <c r="BS111" s="173">
        <f>IF(ISNUMBER(BS110),BS109+BS110,"")</f>
        <v/>
      </c>
      <c r="BT111" s="173">
        <f>IF(ISNUMBER(BT110),BT109+BT110,"")</f>
        <v/>
      </c>
      <c r="BU111" s="173">
        <f>IF(ISNUMBER(BU110),BU109+BU110,"")</f>
        <v/>
      </c>
      <c r="BV111" s="173">
        <f>IF(ISNUMBER(BV110),BV109+BV110,"")</f>
        <v/>
      </c>
      <c r="BW111" s="173">
        <f>IF(ISNUMBER(BW110),BW109+BW110,"")</f>
        <v/>
      </c>
      <c r="BX111" s="173">
        <f>IF(ISNUMBER(BX110),BX109+BX110,"")</f>
        <v/>
      </c>
      <c r="BY111" s="173">
        <f>IF(ISNUMBER(BY110),BY109+BY110,"")</f>
        <v/>
      </c>
      <c r="BZ111" s="173">
        <f>IF(ISNUMBER(BZ110),BZ109+BZ110,"")</f>
        <v/>
      </c>
      <c r="CA111" s="173">
        <f>IF(ISNUMBER(CA110),CA109+CA110,"")</f>
        <v/>
      </c>
      <c r="CB111" s="173">
        <f>IF(ISNUMBER(CB110),CB109+CB110,"")</f>
        <v/>
      </c>
      <c r="CC111" s="173">
        <f>IF(ISNUMBER(CC110),CC109+CC110,"")</f>
        <v/>
      </c>
      <c r="CD111" s="173">
        <f>IF(ISNUMBER(CD110),CD109+CD110,"")</f>
        <v/>
      </c>
      <c r="CE111" s="173">
        <f>IF(ISNUMBER(CE110),CE109+CE110,"")</f>
        <v/>
      </c>
      <c r="CF111" s="173">
        <f>IF(ISNUMBER(CF110),CF109+CF110,"")</f>
        <v/>
      </c>
      <c r="CG111" s="173">
        <f>IF(ISNUMBER(CG110),CG109+CG110,"")</f>
        <v/>
      </c>
      <c r="CH111" s="173">
        <f>IF(ISNUMBER(CH110),CH109+CH110,"")</f>
        <v/>
      </c>
      <c r="CI111" s="173">
        <f>IF(ISNUMBER(CI110),CI109+CI110,"")</f>
        <v/>
      </c>
      <c r="CJ111" s="173">
        <f>IF(ISNUMBER(CJ110),CJ109+CJ110,"")</f>
        <v/>
      </c>
      <c r="CK111" s="173">
        <f>IF(ISNUMBER(CK110),CK109+CK110,"")</f>
        <v/>
      </c>
      <c r="CL111" s="173">
        <f>IF(ISNUMBER(CL110),CL109+CL110,"")</f>
        <v/>
      </c>
      <c r="CM111" s="174">
        <f>IF(ISNUMBER(CM110),CM109+CM110,"")</f>
        <v/>
      </c>
      <c r="CN111" s="174">
        <f>IF(ISNUMBER(CN110),CN109+CN110,"")</f>
        <v/>
      </c>
      <c r="CO111" s="174">
        <f>IF(ISNUMBER(CO110),CO109+CO110,"")</f>
        <v/>
      </c>
      <c r="CP111" s="174">
        <f>IF(ISNUMBER(CP110),CP109+CP110,"")</f>
        <v/>
      </c>
      <c r="CQ111" s="174">
        <f>IF(ISNUMBER(CQ110),CQ109+CQ110,"")</f>
        <v/>
      </c>
      <c r="CR111" s="174">
        <f>IF(ISNUMBER(CR110),CR109+CR110,"")</f>
        <v/>
      </c>
      <c r="CS111" s="174">
        <f>IF(ISNUMBER(CS110),CS109+CS110,"")</f>
        <v/>
      </c>
      <c r="CT111" s="22" t="n"/>
      <c r="CV111" s="164">
        <f>IFERROR((CS111/CI111)^(1/5)-1,"n/m")</f>
        <v/>
      </c>
      <c r="CW111" s="164">
        <f>IFERROR((CI111/BE111)^(1/5)-1,"n/m")</f>
        <v/>
      </c>
      <c r="CX111" s="164">
        <f>IFERROR((CI111/AA111)^(1/10)-1,"n/m")</f>
        <v/>
      </c>
      <c r="CY111" s="164">
        <f>IFERROR((CI111/C111)^(1/19)-1,"n/m")</f>
        <v/>
      </c>
    </row>
    <row r="112" ht="15" customHeight="1">
      <c r="B112" s="25" t="inlineStr">
        <is>
          <t xml:space="preserve">  Cash gross profit margin %</t>
        </is>
      </c>
      <c r="C112" s="179">
        <f>IFERROR(C111/C108,"")</f>
        <v/>
      </c>
      <c r="D112" s="179">
        <f>IFERROR(D111/D108,"")</f>
        <v/>
      </c>
      <c r="E112" s="179">
        <f>IFERROR(E111/E108,"")</f>
        <v/>
      </c>
      <c r="F112" s="179">
        <f>IFERROR(F111/F108,"")</f>
        <v/>
      </c>
      <c r="G112" s="179">
        <f>IFERROR(G111/G108,"")</f>
        <v/>
      </c>
      <c r="H112" s="179">
        <f>IFERROR(H111/H108,"")</f>
        <v/>
      </c>
      <c r="I112" s="179">
        <f>IFERROR(I111/I108,"")</f>
        <v/>
      </c>
      <c r="J112" s="179">
        <f>IFERROR(J111/J108,"")</f>
        <v/>
      </c>
      <c r="K112" s="179">
        <f>IFERROR(K111/K108,"")</f>
        <v/>
      </c>
      <c r="L112" s="179">
        <f>IFERROR(L111/L108,"")</f>
        <v/>
      </c>
      <c r="M112" s="179">
        <f>IFERROR(M111/M108,"")</f>
        <v/>
      </c>
      <c r="N112" s="179">
        <f>IFERROR(N111/N108,"")</f>
        <v/>
      </c>
      <c r="O112" s="179">
        <f>IFERROR(O111/O108,"")</f>
        <v/>
      </c>
      <c r="P112" s="179">
        <f>IFERROR(P111/P108,"")</f>
        <v/>
      </c>
      <c r="Q112" s="179">
        <f>IFERROR(Q111/Q108,"")</f>
        <v/>
      </c>
      <c r="R112" s="179">
        <f>IFERROR(R111/R108,"")</f>
        <v/>
      </c>
      <c r="S112" s="179">
        <f>IFERROR(S111/S108,"")</f>
        <v/>
      </c>
      <c r="T112" s="179">
        <f>IFERROR(T111/T108,"")</f>
        <v/>
      </c>
      <c r="U112" s="179">
        <f>IFERROR(U111/U108,"")</f>
        <v/>
      </c>
      <c r="V112" s="179">
        <f>IFERROR(V111/V108,"")</f>
        <v/>
      </c>
      <c r="W112" s="179">
        <f>IFERROR(W111/W108,"")</f>
        <v/>
      </c>
      <c r="X112" s="179">
        <f>IFERROR(X111/X108,"")</f>
        <v/>
      </c>
      <c r="Y112" s="179">
        <f>IFERROR(Y111/Y108,"")</f>
        <v/>
      </c>
      <c r="Z112" s="179">
        <f>IFERROR(Z111/Z108,"")</f>
        <v/>
      </c>
      <c r="AA112" s="179">
        <f>IFERROR(AA111/AA108,"")</f>
        <v/>
      </c>
      <c r="AB112" s="179">
        <f>IFERROR(AB111/AB108,"")</f>
        <v/>
      </c>
      <c r="AC112" s="179">
        <f>IFERROR(AC111/AC108,"")</f>
        <v/>
      </c>
      <c r="AD112" s="179">
        <f>IFERROR(AD111/AD108,"")</f>
        <v/>
      </c>
      <c r="AE112" s="179">
        <f>IFERROR(AE111/AE108,"")</f>
        <v/>
      </c>
      <c r="AF112" s="179">
        <f>IFERROR(AF111/AF108,"")</f>
        <v/>
      </c>
      <c r="AG112" s="179">
        <f>IFERROR(AG111/AG108,"")</f>
        <v/>
      </c>
      <c r="AH112" s="179">
        <f>IFERROR(AH111/AH108,"")</f>
        <v/>
      </c>
      <c r="AI112" s="179">
        <f>IFERROR(AI111/AI108,"")</f>
        <v/>
      </c>
      <c r="AJ112" s="179">
        <f>IFERROR(AJ111/AJ108,"")</f>
        <v/>
      </c>
      <c r="AK112" s="179">
        <f>IFERROR(AK111/AK108,"")</f>
        <v/>
      </c>
      <c r="AL112" s="179">
        <f>IFERROR(AL111/AL108,"")</f>
        <v/>
      </c>
      <c r="AM112" s="179">
        <f>IFERROR(AM111/AM108,"")</f>
        <v/>
      </c>
      <c r="AN112" s="179">
        <f>IFERROR(AN111/AN108,"")</f>
        <v/>
      </c>
      <c r="AO112" s="179">
        <f>IFERROR(AO111/AO108,"")</f>
        <v/>
      </c>
      <c r="AP112" s="179">
        <f>IFERROR(AP111/AP108,"")</f>
        <v/>
      </c>
      <c r="AQ112" s="179">
        <f>IFERROR(AQ111/AQ108,"")</f>
        <v/>
      </c>
      <c r="AR112" s="179">
        <f>IFERROR(AR111/AR108,"")</f>
        <v/>
      </c>
      <c r="AS112" s="179">
        <f>IFERROR(AS111/AS108,"")</f>
        <v/>
      </c>
      <c r="AT112" s="179">
        <f>IFERROR(AT111/AT108,"")</f>
        <v/>
      </c>
      <c r="AU112" s="179">
        <f>IFERROR(AU111/AU108,"")</f>
        <v/>
      </c>
      <c r="AV112" s="179">
        <f>IFERROR(AV111/AV108,"")</f>
        <v/>
      </c>
      <c r="AW112" s="179">
        <f>IFERROR(AW111/AW108,"")</f>
        <v/>
      </c>
      <c r="AX112" s="179">
        <f>IFERROR(AX111/AX108,"")</f>
        <v/>
      </c>
      <c r="AY112" s="179">
        <f>IFERROR(AY111/AY108,"")</f>
        <v/>
      </c>
      <c r="AZ112" s="179">
        <f>IFERROR(AZ111/AZ108,"")</f>
        <v/>
      </c>
      <c r="BA112" s="179">
        <f>IFERROR(BA111/BA108,"")</f>
        <v/>
      </c>
      <c r="BB112" s="179">
        <f>IFERROR(BB111/BB108,"")</f>
        <v/>
      </c>
      <c r="BC112" s="179">
        <f>IFERROR(BC111/BC108,"")</f>
        <v/>
      </c>
      <c r="BD112" s="179">
        <f>IFERROR(BD111/BD108,"")</f>
        <v/>
      </c>
      <c r="BE112" s="179">
        <f>IFERROR(BE111/BE108,"")</f>
        <v/>
      </c>
      <c r="BF112" s="179">
        <f>IFERROR(BF111/BF108,"")</f>
        <v/>
      </c>
      <c r="BG112" s="179">
        <f>IFERROR(BG111/BG108,"")</f>
        <v/>
      </c>
      <c r="BH112" s="179">
        <f>IFERROR(BH111/BH108,"")</f>
        <v/>
      </c>
      <c r="BI112" s="179">
        <f>IFERROR(BI111/BI108,"")</f>
        <v/>
      </c>
      <c r="BJ112" s="179">
        <f>IFERROR(BJ111/BJ108,"")</f>
        <v/>
      </c>
      <c r="BK112" s="179">
        <f>IFERROR(BK111/BK108,"")</f>
        <v/>
      </c>
      <c r="BL112" s="179">
        <f>IFERROR(BL111/BL108,"")</f>
        <v/>
      </c>
      <c r="BM112" s="179">
        <f>IFERROR(BM111/BM108,"")</f>
        <v/>
      </c>
      <c r="BN112" s="179">
        <f>IFERROR(BN111/BN108,"")</f>
        <v/>
      </c>
      <c r="BO112" s="179">
        <f>IFERROR(BO111/BO108,"")</f>
        <v/>
      </c>
      <c r="BP112" s="179">
        <f>IFERROR(BP111/BP108,"")</f>
        <v/>
      </c>
      <c r="BQ112" s="179">
        <f>IFERROR(BQ111/BQ108,"")</f>
        <v/>
      </c>
      <c r="BR112" s="179">
        <f>IFERROR(BR111/BR108,"")</f>
        <v/>
      </c>
      <c r="BS112" s="179">
        <f>IFERROR(BS111/BS108,"")</f>
        <v/>
      </c>
      <c r="BT112" s="179">
        <f>IFERROR(BT111/BT108,"")</f>
        <v/>
      </c>
      <c r="BU112" s="179">
        <f>IFERROR(BU111/BU108,"")</f>
        <v/>
      </c>
      <c r="BV112" s="179">
        <f>IFERROR(BV111/BV108,"")</f>
        <v/>
      </c>
      <c r="BW112" s="179">
        <f>IFERROR(BW111/BW108,"")</f>
        <v/>
      </c>
      <c r="BX112" s="179">
        <f>IFERROR(BX111/BX108,"")</f>
        <v/>
      </c>
      <c r="BY112" s="179">
        <f>IFERROR(BY111/BY108,"")</f>
        <v/>
      </c>
      <c r="BZ112" s="179">
        <f>IFERROR(BZ111/BZ108,"")</f>
        <v/>
      </c>
      <c r="CA112" s="179">
        <f>IFERROR(CA111/CA108,"")</f>
        <v/>
      </c>
      <c r="CB112" s="179">
        <f>IFERROR(CB111/CB108,"")</f>
        <v/>
      </c>
      <c r="CC112" s="179">
        <f>IFERROR(CC111/CC108,"")</f>
        <v/>
      </c>
      <c r="CD112" s="179">
        <f>IFERROR(CD111/CD108,"")</f>
        <v/>
      </c>
      <c r="CE112" s="179">
        <f>IFERROR(CE111/CE108,"")</f>
        <v/>
      </c>
      <c r="CF112" s="179">
        <f>IFERROR(CF111/CF108,"")</f>
        <v/>
      </c>
      <c r="CG112" s="179">
        <f>IFERROR(CG111/CG108,"")</f>
        <v/>
      </c>
      <c r="CH112" s="179">
        <f>IFERROR(CH111/CH108,"")</f>
        <v/>
      </c>
      <c r="CI112" s="179">
        <f>IFERROR(CI111/CI108,"")</f>
        <v/>
      </c>
      <c r="CJ112" s="179">
        <f>IFERROR(CJ111/CJ108,"")</f>
        <v/>
      </c>
      <c r="CK112" s="179">
        <f>IFERROR(CK111/CK108,"")</f>
        <v/>
      </c>
      <c r="CL112" s="179">
        <f>IFERROR(CL111/CL108,"")</f>
        <v/>
      </c>
      <c r="CM112" s="165">
        <f>IFERROR(CM111/CM108,"")</f>
        <v/>
      </c>
      <c r="CN112" s="165">
        <f>IFERROR(CN111/CN108,"")</f>
        <v/>
      </c>
      <c r="CO112" s="165">
        <f>IFERROR(CO111/CO108,"")</f>
        <v/>
      </c>
      <c r="CP112" s="165">
        <f>IFERROR(CP111/CP108,"")</f>
        <v/>
      </c>
      <c r="CQ112" s="165">
        <f>IFERROR(CQ111/CQ108,"")</f>
        <v/>
      </c>
      <c r="CR112" s="165">
        <f>IFERROR(CR111/CR108,"")</f>
        <v/>
      </c>
      <c r="CS112" s="165">
        <f>IFERROR(CS111/CS108,"")</f>
        <v/>
      </c>
      <c r="CT112" s="22" t="n"/>
      <c r="CV112" s="40">
        <f>IFERROR(AVERAGE(CO112,CP112,CQ112,CR112,CS112),"n/m")</f>
        <v/>
      </c>
      <c r="CW112" s="40">
        <f>IFERROR(AVERAGE(BK112,BQ112,BW112,CC112,CI112),"n/m")</f>
        <v/>
      </c>
      <c r="CX112" s="40">
        <f>IFERROR(AVERAGE(AG112,AM112,AS112,AY112,BE112,BK112,BQ112,BW112,CC112,CI112),"n/m")</f>
        <v/>
      </c>
      <c r="CY112" s="40">
        <f>IFERROR(AVERAGE(C112,D112,E112,F112,G112,H112,I112,O112,U112,AA112,AG112,AM112,AS112,AY112,BE112,BK112,BQ112,BW112,CC112,CI112),"n/m")</f>
        <v/>
      </c>
    </row>
    <row r="113" ht="15" customHeight="1">
      <c r="B113" s="33" t="inlineStr">
        <is>
          <t xml:space="preserve">  Adjusted EBITDA (Σ segment cash GP − SAG + corporate DDA&amp;A + other items)</t>
        </is>
      </c>
      <c r="C113" s="175">
        <f>IF(AND(ISNUMBER(C111),ISNUMBER(C79),ISNUMBER(C194)),C111-C77+C79+C85,"")</f>
        <v/>
      </c>
      <c r="D113" s="175">
        <f>IF(AND(ISNUMBER(D111),ISNUMBER(D79),ISNUMBER(D194)),D111-D77+D79+D85,"")</f>
        <v/>
      </c>
      <c r="E113" s="175">
        <f>IF(AND(ISNUMBER(E111),ISNUMBER(E79),ISNUMBER(E194)),E111-E77+E79+E85,"")</f>
        <v/>
      </c>
      <c r="F113" s="175">
        <f>IF(AND(ISNUMBER(F111),ISNUMBER(F79),ISNUMBER(F194)),F111-F77+F79+F85,"")</f>
        <v/>
      </c>
      <c r="G113" s="175">
        <f>IF(AND(ISNUMBER(G111),ISNUMBER(G79),ISNUMBER(G194)),G111-G77+G79+G85,"")</f>
        <v/>
      </c>
      <c r="H113" s="175">
        <f>IF(AND(ISNUMBER(H111),ISNUMBER(H79),ISNUMBER(H194)),H111-H77+H79+H85,"")</f>
        <v/>
      </c>
      <c r="I113" s="175">
        <f>IF(AND(ISNUMBER(I111),ISNUMBER(I79),ISNUMBER(I194)),I111-I77+I79+I85,"")</f>
        <v/>
      </c>
      <c r="J113" s="173">
        <f>IF(AND(ISNUMBER(J111),ISNUMBER(J79),ISNUMBER(J194)),J111-J77+J79+J85,"")</f>
        <v/>
      </c>
      <c r="K113" s="173">
        <f>IF(AND(ISNUMBER(K111),ISNUMBER(K79),ISNUMBER(K194)),K111-K77+K79+K85,"")</f>
        <v/>
      </c>
      <c r="L113" s="173">
        <f>IF(AND(ISNUMBER(L111),ISNUMBER(L79),ISNUMBER(L194)),L111-L77+L79+L85,"")</f>
        <v/>
      </c>
      <c r="M113" s="173">
        <f>IF(AND(ISNUMBER(M111),ISNUMBER(M79),ISNUMBER(M194)),M111-M77+M79+M85,"")</f>
        <v/>
      </c>
      <c r="N113" s="173">
        <f>IF(AND(ISNUMBER(N111),ISNUMBER(N79),ISNUMBER(N194)),N111-N77+N79+N85,"")</f>
        <v/>
      </c>
      <c r="O113" s="175">
        <f>IF(AND(ISNUMBER(O111),ISNUMBER(O79),ISNUMBER(O194)),O111-O77+O79+O85,"")</f>
        <v/>
      </c>
      <c r="P113" s="173">
        <f>IF(AND(ISNUMBER(P111),ISNUMBER(P79),ISNUMBER(P194)),P111-P77+P79+P85,"")</f>
        <v/>
      </c>
      <c r="Q113" s="173">
        <f>IF(AND(ISNUMBER(Q111),ISNUMBER(Q79),ISNUMBER(Q194)),Q111-Q77+Q79+Q85,"")</f>
        <v/>
      </c>
      <c r="R113" s="173">
        <f>IF(AND(ISNUMBER(R111),ISNUMBER(R79),ISNUMBER(R194)),R111-R77+R79+R85,"")</f>
        <v/>
      </c>
      <c r="S113" s="173">
        <f>IF(AND(ISNUMBER(S111),ISNUMBER(S79),ISNUMBER(S194)),S111-S77+S79+S85,"")</f>
        <v/>
      </c>
      <c r="T113" s="173">
        <f>IF(AND(ISNUMBER(T111),ISNUMBER(T79),ISNUMBER(T194)),T111-T77+T79+T85,"")</f>
        <v/>
      </c>
      <c r="U113" s="175">
        <f>IF(AND(ISNUMBER(U111),ISNUMBER(U79),ISNUMBER(U194)),U111-U77+U79+U85,"")</f>
        <v/>
      </c>
      <c r="V113" s="173">
        <f>IF(AND(ISNUMBER(V111),ISNUMBER(V79),ISNUMBER(V194)),V111-V77+V79+V85,"")</f>
        <v/>
      </c>
      <c r="W113" s="173">
        <f>IF(AND(ISNUMBER(W111),ISNUMBER(W79),ISNUMBER(W194)),W111-W77+W79+W85,"")</f>
        <v/>
      </c>
      <c r="X113" s="173">
        <f>IF(AND(ISNUMBER(X111),ISNUMBER(X79),ISNUMBER(X194)),X111-X77+X79+X85,"")</f>
        <v/>
      </c>
      <c r="Y113" s="173">
        <f>IF(AND(ISNUMBER(Y111),ISNUMBER(Y79),ISNUMBER(Y194)),Y111-Y77+Y79+Y85,"")</f>
        <v/>
      </c>
      <c r="Z113" s="173">
        <f>IF(AND(ISNUMBER(Z111),ISNUMBER(Z79),ISNUMBER(Z194)),Z111-Z77+Z79+Z85,"")</f>
        <v/>
      </c>
      <c r="AA113" s="175">
        <f>IF(AND(ISNUMBER(AA111),ISNUMBER(AA79),ISNUMBER(AA194)),AA111-AA77+AA79+AA85,"")</f>
        <v/>
      </c>
      <c r="AB113" s="173">
        <f>IF(AND(ISNUMBER(AB111),ISNUMBER(AB79),ISNUMBER(AB194)),AB111-AB77+AB79+AB85,"")</f>
        <v/>
      </c>
      <c r="AC113" s="173">
        <f>IF(AND(ISNUMBER(AC111),ISNUMBER(AC79),ISNUMBER(AC194)),AC111-AC77+AC79+AC85,"")</f>
        <v/>
      </c>
      <c r="AD113" s="173">
        <f>IF(AND(ISNUMBER(AD111),ISNUMBER(AD79),ISNUMBER(AD194)),AD111-AD77+AD79+AD85,"")</f>
        <v/>
      </c>
      <c r="AE113" s="173">
        <f>IF(AND(ISNUMBER(AE111),ISNUMBER(AE79),ISNUMBER(AE194)),AE111-AE77+AE79+AE85,"")</f>
        <v/>
      </c>
      <c r="AF113" s="173">
        <f>IF(AND(ISNUMBER(AF111),ISNUMBER(AF79),ISNUMBER(AF194)),AF111-AF77+AF79+AF85,"")</f>
        <v/>
      </c>
      <c r="AG113" s="175">
        <f>IF(AND(ISNUMBER(AG111),ISNUMBER(AG79),ISNUMBER(AG194)),AG111-AG77+AG79+AG85,"")</f>
        <v/>
      </c>
      <c r="AH113" s="173">
        <f>IF(AND(ISNUMBER(AH111),ISNUMBER(AH79),ISNUMBER(AH194)),AH111-AH77+AH79+AH85,"")</f>
        <v/>
      </c>
      <c r="AI113" s="173">
        <f>IF(AND(ISNUMBER(AI111),ISNUMBER(AI79),ISNUMBER(AI194)),AI111-AI77+AI79+AI85,"")</f>
        <v/>
      </c>
      <c r="AJ113" s="173">
        <f>IF(AND(ISNUMBER(AJ111),ISNUMBER(AJ79),ISNUMBER(AJ194)),AJ111-AJ77+AJ79+AJ85,"")</f>
        <v/>
      </c>
      <c r="AK113" s="173">
        <f>IF(AND(ISNUMBER(AK111),ISNUMBER(AK79),ISNUMBER(AK194)),AK111-AK77+AK79+AK85,"")</f>
        <v/>
      </c>
      <c r="AL113" s="173">
        <f>IF(AND(ISNUMBER(AL111),ISNUMBER(AL79),ISNUMBER(AL194)),AL111-AL77+AL79+AL85,"")</f>
        <v/>
      </c>
      <c r="AM113" s="175">
        <f>IF(AND(ISNUMBER(AM111),ISNUMBER(AM79),ISNUMBER(AM194)),AM111-AM77+AM79+AM85,"")</f>
        <v/>
      </c>
      <c r="AN113" s="173">
        <f>IF(AND(ISNUMBER(AN111),ISNUMBER(AN79),ISNUMBER(AN194)),AN111-AN77+AN79+AN85,"")</f>
        <v/>
      </c>
      <c r="AO113" s="173">
        <f>IF(AND(ISNUMBER(AO111),ISNUMBER(AO79),ISNUMBER(AO194)),AO111-AO77+AO79+AO85,"")</f>
        <v/>
      </c>
      <c r="AP113" s="173">
        <f>IF(AND(ISNUMBER(AP111),ISNUMBER(AP79),ISNUMBER(AP194)),AP111-AP77+AP79+AP85,"")</f>
        <v/>
      </c>
      <c r="AQ113" s="173">
        <f>IF(AND(ISNUMBER(AQ111),ISNUMBER(AQ79),ISNUMBER(AQ194)),AQ111-AQ77+AQ79+AQ85,"")</f>
        <v/>
      </c>
      <c r="AR113" s="173">
        <f>IF(AND(ISNUMBER(AR111),ISNUMBER(AR79),ISNUMBER(AR194)),AR111-AR77+AR79+AR85,"")</f>
        <v/>
      </c>
      <c r="AS113" s="175">
        <f>IF(AND(ISNUMBER(AS111),ISNUMBER(AS79),ISNUMBER(AS194)),AS111-AS77+AS79+AS85,"")</f>
        <v/>
      </c>
      <c r="AT113" s="173">
        <f>IF(AND(ISNUMBER(AT111),ISNUMBER(AT79),ISNUMBER(AT194)),AT111-AT77+AT79+AT85,"")</f>
        <v/>
      </c>
      <c r="AU113" s="173">
        <f>IF(AND(ISNUMBER(AU111),ISNUMBER(AU79),ISNUMBER(AU194)),AU111-AU77+AU79+AU85,"")</f>
        <v/>
      </c>
      <c r="AV113" s="173">
        <f>IF(AND(ISNUMBER(AV111),ISNUMBER(AV79),ISNUMBER(AV194)),AV111-AV77+AV79+AV85,"")</f>
        <v/>
      </c>
      <c r="AW113" s="173">
        <f>IF(AND(ISNUMBER(AW111),ISNUMBER(AW79),ISNUMBER(AW194)),AW111-AW77+AW79+AW85,"")</f>
        <v/>
      </c>
      <c r="AX113" s="173">
        <f>IF(AND(ISNUMBER(AX111),ISNUMBER(AX79),ISNUMBER(AX194)),AX111-AX77+AX79+AX85,"")</f>
        <v/>
      </c>
      <c r="AY113" s="175">
        <f>IF(AND(ISNUMBER(AY111),ISNUMBER(AY79),ISNUMBER(AY194)),AY111-AY77+AY79+AY85,"")</f>
        <v/>
      </c>
      <c r="AZ113" s="173">
        <f>IF(AND(ISNUMBER(AZ111),ISNUMBER(AZ79),ISNUMBER(AZ194)),AZ111-AZ77+AZ79+AZ85,"")</f>
        <v/>
      </c>
      <c r="BA113" s="173">
        <f>IF(AND(ISNUMBER(BA111),ISNUMBER(BA79),ISNUMBER(BA194)),BA111-BA77+BA79+BA85,"")</f>
        <v/>
      </c>
      <c r="BB113" s="173">
        <f>IF(AND(ISNUMBER(BB111),ISNUMBER(BB79),ISNUMBER(BB194)),BB111-BB77+BB79+BB85,"")</f>
        <v/>
      </c>
      <c r="BC113" s="173">
        <f>IF(AND(ISNUMBER(BC111),ISNUMBER(BC79),ISNUMBER(BC194)),BC111-BC77+BC79+BC85,"")</f>
        <v/>
      </c>
      <c r="BD113" s="173">
        <f>IF(AND(ISNUMBER(BD111),ISNUMBER(BD79),ISNUMBER(BD194)),BD111-BD77+BD79+BD85,"")</f>
        <v/>
      </c>
      <c r="BE113" s="175">
        <f>IF(AND(ISNUMBER(BE111),ISNUMBER(BE79),ISNUMBER(BE194)),BE111-BE77+BE79+BE85,"")</f>
        <v/>
      </c>
      <c r="BF113" s="173">
        <f>IF(AND(ISNUMBER(BF111),ISNUMBER(BF79),ISNUMBER(BF194)),BF111-BF77+BF79+BF85,"")</f>
        <v/>
      </c>
      <c r="BG113" s="173">
        <f>IF(AND(ISNUMBER(BG111),ISNUMBER(BG79),ISNUMBER(BG194)),BG111-BG77+BG79+BG85,"")</f>
        <v/>
      </c>
      <c r="BH113" s="173">
        <f>IF(AND(ISNUMBER(BH111),ISNUMBER(BH79),ISNUMBER(BH194)),BH111-BH77+BH79+BH85,"")</f>
        <v/>
      </c>
      <c r="BI113" s="173">
        <f>IF(AND(ISNUMBER(BI111),ISNUMBER(BI79),ISNUMBER(BI194)),BI111-BI77+BI79+BI85,"")</f>
        <v/>
      </c>
      <c r="BJ113" s="173">
        <f>IF(AND(ISNUMBER(BJ111),ISNUMBER(BJ79),ISNUMBER(BJ194)),BJ111-BJ77+BJ79+BJ85,"")</f>
        <v/>
      </c>
      <c r="BK113" s="175">
        <f>IF(AND(ISNUMBER(BK111),ISNUMBER(BK79),ISNUMBER(BK194)),BK111-BK77+BK79+BK85,"")</f>
        <v/>
      </c>
      <c r="BL113" s="173">
        <f>IF(AND(ISNUMBER(BL111),ISNUMBER(BL79),ISNUMBER(BL194)),BL111-BL77+BL79+BL85,"")</f>
        <v/>
      </c>
      <c r="BM113" s="173">
        <f>IF(AND(ISNUMBER(BM111),ISNUMBER(BM79),ISNUMBER(BM194)),BM111-BM77+BM79+BM85,"")</f>
        <v/>
      </c>
      <c r="BN113" s="173">
        <f>IF(AND(ISNUMBER(BN111),ISNUMBER(BN79),ISNUMBER(BN194)),BN111-BN77+BN79+BN85,"")</f>
        <v/>
      </c>
      <c r="BO113" s="173">
        <f>IF(AND(ISNUMBER(BO111),ISNUMBER(BO79),ISNUMBER(BO194)),BO111-BO77+BO79+BO85,"")</f>
        <v/>
      </c>
      <c r="BP113" s="173">
        <f>IF(AND(ISNUMBER(BP111),ISNUMBER(BP79),ISNUMBER(BP194)),BP111-BP77+BP79+BP85,"")</f>
        <v/>
      </c>
      <c r="BQ113" s="175">
        <f>IF(AND(ISNUMBER(BQ111),ISNUMBER(BQ79),ISNUMBER(BQ194)),BQ111-BQ77+BQ79+BQ85,"")</f>
        <v/>
      </c>
      <c r="BR113" s="173">
        <f>IF(AND(ISNUMBER(BR111),ISNUMBER(BR79),ISNUMBER(BR194)),BR111-BR77+BR79+BR85,"")</f>
        <v/>
      </c>
      <c r="BS113" s="173">
        <f>IF(AND(ISNUMBER(BS111),ISNUMBER(BS79),ISNUMBER(BS194)),BS111-BS77+BS79+BS85,"")</f>
        <v/>
      </c>
      <c r="BT113" s="173">
        <f>IF(AND(ISNUMBER(BT111),ISNUMBER(BT79),ISNUMBER(BT194)),BT111-BT77+BT79+BT85,"")</f>
        <v/>
      </c>
      <c r="BU113" s="173">
        <f>IF(AND(ISNUMBER(BU111),ISNUMBER(BU79),ISNUMBER(BU194)),BU111-BU77+BU79+BU85,"")</f>
        <v/>
      </c>
      <c r="BV113" s="173">
        <f>IF(AND(ISNUMBER(BV111),ISNUMBER(BV79),ISNUMBER(BV194)),BV111-BV77+BV79+BV85,"")</f>
        <v/>
      </c>
      <c r="BW113" s="175">
        <f>IF(AND(ISNUMBER(BW111),ISNUMBER(BW79),ISNUMBER(BW194)),BW111-BW77+BW79+BW85,"")</f>
        <v/>
      </c>
      <c r="BX113" s="173">
        <f>IF(AND(ISNUMBER(BX111),ISNUMBER(BX79),ISNUMBER(BX194)),BX111-BX77+BX79+BX85,"")</f>
        <v/>
      </c>
      <c r="BY113" s="173">
        <f>IF(AND(ISNUMBER(BY111),ISNUMBER(BY79),ISNUMBER(BY194)),BY111-BY77+BY79+BY85,"")</f>
        <v/>
      </c>
      <c r="BZ113" s="173">
        <f>IF(AND(ISNUMBER(BZ111),ISNUMBER(BZ79),ISNUMBER(BZ194)),BZ111-BZ77+BZ79+BZ85,"")</f>
        <v/>
      </c>
      <c r="CA113" s="173">
        <f>IF(AND(ISNUMBER(CA111),ISNUMBER(CA79),ISNUMBER(CA194)),CA111-CA77+CA79+CA85,"")</f>
        <v/>
      </c>
      <c r="CB113" s="173">
        <f>IF(AND(ISNUMBER(CB111),ISNUMBER(CB79),ISNUMBER(CB194)),CB111-CB77+CB79+CB85,"")</f>
        <v/>
      </c>
      <c r="CC113" s="175">
        <f>IF(AND(ISNUMBER(CC111),ISNUMBER(CC79),ISNUMBER(CC194)),CC111-CC77+CC79+CC85,"")</f>
        <v/>
      </c>
      <c r="CD113" s="173">
        <f>IF(AND(ISNUMBER(CD111),ISNUMBER(CD79),ISNUMBER(CD194)),CD111-CD77+CD79+CD85,"")</f>
        <v/>
      </c>
      <c r="CE113" s="173">
        <f>IF(AND(ISNUMBER(CE111),ISNUMBER(CE79),ISNUMBER(CE194)),CE111-CE77+CE79+CE85,"")</f>
        <v/>
      </c>
      <c r="CF113" s="173">
        <f>IF(AND(ISNUMBER(CF111),ISNUMBER(CF79),ISNUMBER(CF194)),CF111-CF77+CF79+CF85,"")</f>
        <v/>
      </c>
      <c r="CG113" s="173">
        <f>IF(AND(ISNUMBER(CG111),ISNUMBER(CG79),ISNUMBER(CG194)),CG111-CG77+CG79+CG85,"")</f>
        <v/>
      </c>
      <c r="CH113" s="173">
        <f>IF(AND(ISNUMBER(CH111),ISNUMBER(CH79),ISNUMBER(CH194)),CH111-CH77+CH79+CH85,"")</f>
        <v/>
      </c>
      <c r="CI113" s="175">
        <f>IF(AND(ISNUMBER(CI111),ISNUMBER(CI79),ISNUMBER(CI194)),CI111-CI77+CI79+CI85,"")</f>
        <v/>
      </c>
      <c r="CJ113" s="173">
        <f>IF(AND(ISNUMBER(CJ111),ISNUMBER(CJ79),ISNUMBER(CJ194)),CJ111-CJ77+CJ79+CJ85,"")</f>
        <v/>
      </c>
      <c r="CK113" s="173">
        <f>IF(AND(ISNUMBER(CK111),ISNUMBER(CK79),ISNUMBER(CK194)),CK111-CK77+CK79+CK85,"")</f>
        <v/>
      </c>
      <c r="CL113" s="173">
        <f>IF(AND(ISNUMBER(CL111),ISNUMBER(CL79),ISNUMBER(CL194)),CL111-CL77+CL79+CL85,"")</f>
        <v/>
      </c>
      <c r="CM113" s="175">
        <f>CM111-CM77+CM79+CM85</f>
        <v/>
      </c>
      <c r="CN113" s="175">
        <f>CN111-CN77+CN79+CN85</f>
        <v/>
      </c>
      <c r="CO113" s="175">
        <f>SUM(CJ113,CK113,CM113,CN113)</f>
        <v/>
      </c>
      <c r="CP113" s="175">
        <f>CP111-CP77+CP79+CP85</f>
        <v/>
      </c>
      <c r="CQ113" s="175">
        <f>CQ111-CQ77+CQ79+CQ85</f>
        <v/>
      </c>
      <c r="CR113" s="175">
        <f>CR111-CR77+CR79+CR85</f>
        <v/>
      </c>
      <c r="CS113" s="175">
        <f>CS111-CS77+CS79+CS85</f>
        <v/>
      </c>
      <c r="CT113" s="22" t="n"/>
      <c r="CV113" s="23">
        <f>IFERROR((CS113/CI113)^(1/5)-1,"n/m")</f>
        <v/>
      </c>
      <c r="CW113" s="23">
        <f>IFERROR((CI113/BE113)^(1/5)-1,"n/m")</f>
        <v/>
      </c>
      <c r="CX113" s="23">
        <f>IFERROR((CI113/AA113)^(1/10)-1,"n/m")</f>
        <v/>
      </c>
      <c r="CY113" s="23">
        <f>IFERROR((CI113/C113)^(1/19)-1,"n/m")</f>
        <v/>
      </c>
    </row>
    <row r="114" ht="15" customHeight="1">
      <c r="B114" s="25" t="inlineStr">
        <is>
          <t xml:space="preserve">  Adjusted EBITDA margin %</t>
        </is>
      </c>
      <c r="C114" s="179">
        <f>IFERROR(C113/C108,"")</f>
        <v/>
      </c>
      <c r="D114" s="179">
        <f>IFERROR(D113/D108,"")</f>
        <v/>
      </c>
      <c r="E114" s="179">
        <f>IFERROR(E113/E108,"")</f>
        <v/>
      </c>
      <c r="F114" s="179">
        <f>IFERROR(F113/F108,"")</f>
        <v/>
      </c>
      <c r="G114" s="179">
        <f>IFERROR(G113/G108,"")</f>
        <v/>
      </c>
      <c r="H114" s="179">
        <f>IFERROR(H113/H108,"")</f>
        <v/>
      </c>
      <c r="I114" s="179">
        <f>IFERROR(I113/I108,"")</f>
        <v/>
      </c>
      <c r="J114" s="179">
        <f>IFERROR(J113/J108,"")</f>
        <v/>
      </c>
      <c r="K114" s="179">
        <f>IFERROR(K113/K108,"")</f>
        <v/>
      </c>
      <c r="L114" s="179">
        <f>IFERROR(L113/L108,"")</f>
        <v/>
      </c>
      <c r="M114" s="179">
        <f>IFERROR(M113/M108,"")</f>
        <v/>
      </c>
      <c r="N114" s="179">
        <f>IFERROR(N113/N108,"")</f>
        <v/>
      </c>
      <c r="O114" s="179">
        <f>IFERROR(O113/O108,"")</f>
        <v/>
      </c>
      <c r="P114" s="179">
        <f>IFERROR(P113/P108,"")</f>
        <v/>
      </c>
      <c r="Q114" s="179">
        <f>IFERROR(Q113/Q108,"")</f>
        <v/>
      </c>
      <c r="R114" s="179">
        <f>IFERROR(R113/R108,"")</f>
        <v/>
      </c>
      <c r="S114" s="179">
        <f>IFERROR(S113/S108,"")</f>
        <v/>
      </c>
      <c r="T114" s="179">
        <f>IFERROR(T113/T108,"")</f>
        <v/>
      </c>
      <c r="U114" s="179">
        <f>IFERROR(U113/U108,"")</f>
        <v/>
      </c>
      <c r="V114" s="179">
        <f>IFERROR(V113/V108,"")</f>
        <v/>
      </c>
      <c r="W114" s="179">
        <f>IFERROR(W113/W108,"")</f>
        <v/>
      </c>
      <c r="X114" s="179">
        <f>IFERROR(X113/X108,"")</f>
        <v/>
      </c>
      <c r="Y114" s="179">
        <f>IFERROR(Y113/Y108,"")</f>
        <v/>
      </c>
      <c r="Z114" s="179">
        <f>IFERROR(Z113/Z108,"")</f>
        <v/>
      </c>
      <c r="AA114" s="179">
        <f>IFERROR(AA113/AA108,"")</f>
        <v/>
      </c>
      <c r="AB114" s="179">
        <f>IFERROR(AB113/AB108,"")</f>
        <v/>
      </c>
      <c r="AC114" s="179">
        <f>IFERROR(AC113/AC108,"")</f>
        <v/>
      </c>
      <c r="AD114" s="179">
        <f>IFERROR(AD113/AD108,"")</f>
        <v/>
      </c>
      <c r="AE114" s="179">
        <f>IFERROR(AE113/AE108,"")</f>
        <v/>
      </c>
      <c r="AF114" s="179">
        <f>IFERROR(AF113/AF108,"")</f>
        <v/>
      </c>
      <c r="AG114" s="179">
        <f>IFERROR(AG113/AG108,"")</f>
        <v/>
      </c>
      <c r="AH114" s="179">
        <f>IFERROR(AH113/AH108,"")</f>
        <v/>
      </c>
      <c r="AI114" s="179">
        <f>IFERROR(AI113/AI108,"")</f>
        <v/>
      </c>
      <c r="AJ114" s="179">
        <f>IFERROR(AJ113/AJ108,"")</f>
        <v/>
      </c>
      <c r="AK114" s="179">
        <f>IFERROR(AK113/AK108,"")</f>
        <v/>
      </c>
      <c r="AL114" s="179">
        <f>IFERROR(AL113/AL108,"")</f>
        <v/>
      </c>
      <c r="AM114" s="179">
        <f>IFERROR(AM113/AM108,"")</f>
        <v/>
      </c>
      <c r="AN114" s="179">
        <f>IFERROR(AN113/AN108,"")</f>
        <v/>
      </c>
      <c r="AO114" s="179">
        <f>IFERROR(AO113/AO108,"")</f>
        <v/>
      </c>
      <c r="AP114" s="179">
        <f>IFERROR(AP113/AP108,"")</f>
        <v/>
      </c>
      <c r="AQ114" s="179">
        <f>IFERROR(AQ113/AQ108,"")</f>
        <v/>
      </c>
      <c r="AR114" s="179">
        <f>IFERROR(AR113/AR108,"")</f>
        <v/>
      </c>
      <c r="AS114" s="179">
        <f>IFERROR(AS113/AS108,"")</f>
        <v/>
      </c>
      <c r="AT114" s="179">
        <f>IFERROR(AT113/AT108,"")</f>
        <v/>
      </c>
      <c r="AU114" s="179">
        <f>IFERROR(AU113/AU108,"")</f>
        <v/>
      </c>
      <c r="AV114" s="179">
        <f>IFERROR(AV113/AV108,"")</f>
        <v/>
      </c>
      <c r="AW114" s="179">
        <f>IFERROR(AW113/AW108,"")</f>
        <v/>
      </c>
      <c r="AX114" s="179">
        <f>IFERROR(AX113/AX108,"")</f>
        <v/>
      </c>
      <c r="AY114" s="179">
        <f>IFERROR(AY113/AY108,"")</f>
        <v/>
      </c>
      <c r="AZ114" s="179">
        <f>IFERROR(AZ113/AZ108,"")</f>
        <v/>
      </c>
      <c r="BA114" s="179">
        <f>IFERROR(BA113/BA108,"")</f>
        <v/>
      </c>
      <c r="BB114" s="179">
        <f>IFERROR(BB113/BB108,"")</f>
        <v/>
      </c>
      <c r="BC114" s="179">
        <f>IFERROR(BC113/BC108,"")</f>
        <v/>
      </c>
      <c r="BD114" s="179">
        <f>IFERROR(BD113/BD108,"")</f>
        <v/>
      </c>
      <c r="BE114" s="179">
        <f>IFERROR(BE113/BE108,"")</f>
        <v/>
      </c>
      <c r="BF114" s="179">
        <f>IFERROR(BF113/BF108,"")</f>
        <v/>
      </c>
      <c r="BG114" s="179">
        <f>IFERROR(BG113/BG108,"")</f>
        <v/>
      </c>
      <c r="BH114" s="179">
        <f>IFERROR(BH113/BH108,"")</f>
        <v/>
      </c>
      <c r="BI114" s="179">
        <f>IFERROR(BI113/BI108,"")</f>
        <v/>
      </c>
      <c r="BJ114" s="179">
        <f>IFERROR(BJ113/BJ108,"")</f>
        <v/>
      </c>
      <c r="BK114" s="179">
        <f>IFERROR(BK113/BK108,"")</f>
        <v/>
      </c>
      <c r="BL114" s="179">
        <f>IFERROR(BL113/BL108,"")</f>
        <v/>
      </c>
      <c r="BM114" s="179">
        <f>IFERROR(BM113/BM108,"")</f>
        <v/>
      </c>
      <c r="BN114" s="179">
        <f>IFERROR(BN113/BN108,"")</f>
        <v/>
      </c>
      <c r="BO114" s="179">
        <f>IFERROR(BO113/BO108,"")</f>
        <v/>
      </c>
      <c r="BP114" s="179">
        <f>IFERROR(BP113/BP108,"")</f>
        <v/>
      </c>
      <c r="BQ114" s="179">
        <f>IFERROR(BQ113/BQ108,"")</f>
        <v/>
      </c>
      <c r="BR114" s="179">
        <f>IFERROR(BR113/BR108,"")</f>
        <v/>
      </c>
      <c r="BS114" s="179">
        <f>IFERROR(BS113/BS108,"")</f>
        <v/>
      </c>
      <c r="BT114" s="179">
        <f>IFERROR(BT113/BT108,"")</f>
        <v/>
      </c>
      <c r="BU114" s="179">
        <f>IFERROR(BU113/BU108,"")</f>
        <v/>
      </c>
      <c r="BV114" s="179">
        <f>IFERROR(BV113/BV108,"")</f>
        <v/>
      </c>
      <c r="BW114" s="179">
        <f>IFERROR(BW113/BW108,"")</f>
        <v/>
      </c>
      <c r="BX114" s="179">
        <f>IFERROR(BX113/BX108,"")</f>
        <v/>
      </c>
      <c r="BY114" s="179">
        <f>IFERROR(BY113/BY108,"")</f>
        <v/>
      </c>
      <c r="BZ114" s="179">
        <f>IFERROR(BZ113/BZ108,"")</f>
        <v/>
      </c>
      <c r="CA114" s="179">
        <f>IFERROR(CA113/CA108,"")</f>
        <v/>
      </c>
      <c r="CB114" s="179">
        <f>IFERROR(CB113/CB108,"")</f>
        <v/>
      </c>
      <c r="CC114" s="179">
        <f>IFERROR(CC113/CC108,"")</f>
        <v/>
      </c>
      <c r="CD114" s="179">
        <f>IFERROR(CD113/CD108,"")</f>
        <v/>
      </c>
      <c r="CE114" s="179">
        <f>IFERROR(CE113/CE108,"")</f>
        <v/>
      </c>
      <c r="CF114" s="179">
        <f>IFERROR(CF113/CF108,"")</f>
        <v/>
      </c>
      <c r="CG114" s="179">
        <f>IFERROR(CG113/CG108,"")</f>
        <v/>
      </c>
      <c r="CH114" s="179">
        <f>IFERROR(CH113/CH108,"")</f>
        <v/>
      </c>
      <c r="CI114" s="179">
        <f>IFERROR(CI113/CI108,"")</f>
        <v/>
      </c>
      <c r="CJ114" s="179">
        <f>IFERROR(CJ113/CJ108,"")</f>
        <v/>
      </c>
      <c r="CK114" s="179">
        <f>IFERROR(CK113/CK108,"")</f>
        <v/>
      </c>
      <c r="CL114" s="179">
        <f>IFERROR(CL113/CL108,"")</f>
        <v/>
      </c>
      <c r="CM114" s="165">
        <f>IFERROR(CM113/CM108,"")</f>
        <v/>
      </c>
      <c r="CN114" s="165">
        <f>IFERROR(CN113/CN108,"")</f>
        <v/>
      </c>
      <c r="CO114" s="165">
        <f>IFERROR(CO113/CO108,"")</f>
        <v/>
      </c>
      <c r="CP114" s="165">
        <f>IFERROR(CP113/CP108,"")</f>
        <v/>
      </c>
      <c r="CQ114" s="165">
        <f>IFERROR(CQ113/CQ108,"")</f>
        <v/>
      </c>
      <c r="CR114" s="165">
        <f>IFERROR(CR113/CR108,"")</f>
        <v/>
      </c>
      <c r="CS114" s="165">
        <f>IFERROR(CS113/CS108,"")</f>
        <v/>
      </c>
      <c r="CT114" s="22" t="n"/>
      <c r="CV114" s="40">
        <f>IFERROR(AVERAGE(CO114,CP114,CQ114,CR114,CS114),"n/m")</f>
        <v/>
      </c>
      <c r="CW114" s="40">
        <f>IFERROR(AVERAGE(BK114,BQ114,BW114,CC114,CI114),"n/m")</f>
        <v/>
      </c>
      <c r="CX114" s="40">
        <f>IFERROR(AVERAGE(AG114,AM114,AS114,AY114,BE114,BK114,BQ114,BW114,CC114,CI114),"n/m")</f>
        <v/>
      </c>
      <c r="CY114" s="40">
        <f>IFERROR(AVERAGE(C114,D114,E114,F114,G114,H114,I114,O114,U114,AA114,AG114,AM114,AS114,AY114,BE114,BK114,BQ114,BW114,CC114,CI114),"n/m")</f>
        <v/>
      </c>
    </row>
    <row r="115" ht="15" customHeight="1">
      <c r="B115" s="25" t="inlineStr">
        <is>
          <t xml:space="preserve">  Adjusted EBITDA y/y %</t>
        </is>
      </c>
      <c r="C115" s="26" t="n"/>
      <c r="D115" s="26">
        <f>IF(AND(ISNUMBER(D113),ISNUMBER(C113)),IFERROR(D113/C113-1,""),"")</f>
        <v/>
      </c>
      <c r="E115" s="26">
        <f>IF(AND(ISNUMBER(E113),ISNUMBER(D113)),IFERROR(E113/D113-1,""),"")</f>
        <v/>
      </c>
      <c r="F115" s="26">
        <f>IF(AND(ISNUMBER(F113),ISNUMBER(E113)),IFERROR(F113/E113-1,""),"")</f>
        <v/>
      </c>
      <c r="G115" s="26">
        <f>IF(AND(ISNUMBER(G113),ISNUMBER(F113)),IFERROR(G113/F113-1,""),"")</f>
        <v/>
      </c>
      <c r="H115" s="26">
        <f>IF(AND(ISNUMBER(H113),ISNUMBER(G113)),IFERROR(H113/G113-1,""),"")</f>
        <v/>
      </c>
      <c r="I115" s="26">
        <f>IF(AND(ISNUMBER(I113),ISNUMBER(H113)),IFERROR(I113/H113-1,""),"")</f>
        <v/>
      </c>
      <c r="J115" s="26" t="n"/>
      <c r="K115" s="26" t="n"/>
      <c r="L115" s="26" t="n"/>
      <c r="M115" s="26" t="n"/>
      <c r="N115" s="26" t="n"/>
      <c r="O115" s="26">
        <f>IF(AND(ISNUMBER(O113),ISNUMBER(I113)),IFERROR(O113/I113-1,""),"")</f>
        <v/>
      </c>
      <c r="P115" s="26">
        <f>IF(AND(ISNUMBER(P113),ISNUMBER(J113)),IFERROR(P113/J113-1,""),"")</f>
        <v/>
      </c>
      <c r="Q115" s="26">
        <f>IF(AND(ISNUMBER(Q113),ISNUMBER(K113)),IFERROR(Q113/K113-1,""),"")</f>
        <v/>
      </c>
      <c r="R115" s="26">
        <f>IF(AND(ISNUMBER(R113),ISNUMBER(L113)),IFERROR(R113/L113-1,""),"")</f>
        <v/>
      </c>
      <c r="S115" s="26">
        <f>IF(AND(ISNUMBER(S113),ISNUMBER(M113)),IFERROR(S113/M113-1,""),"")</f>
        <v/>
      </c>
      <c r="T115" s="26">
        <f>IF(AND(ISNUMBER(T113),ISNUMBER(N113)),IFERROR(T113/N113-1,""),"")</f>
        <v/>
      </c>
      <c r="U115" s="26">
        <f>IF(AND(ISNUMBER(U113),ISNUMBER(O113)),IFERROR(U113/O113-1,""),"")</f>
        <v/>
      </c>
      <c r="V115" s="26">
        <f>IF(AND(ISNUMBER(V113),ISNUMBER(P113)),IFERROR(V113/P113-1,""),"")</f>
        <v/>
      </c>
      <c r="W115" s="26">
        <f>IF(AND(ISNUMBER(W113),ISNUMBER(Q113)),IFERROR(W113/Q113-1,""),"")</f>
        <v/>
      </c>
      <c r="X115" s="26">
        <f>IF(AND(ISNUMBER(X113),ISNUMBER(R113)),IFERROR(X113/R113-1,""),"")</f>
        <v/>
      </c>
      <c r="Y115" s="26">
        <f>IF(AND(ISNUMBER(Y113),ISNUMBER(S113)),IFERROR(Y113/S113-1,""),"")</f>
        <v/>
      </c>
      <c r="Z115" s="26">
        <f>IF(AND(ISNUMBER(Z113),ISNUMBER(T113)),IFERROR(Z113/T113-1,""),"")</f>
        <v/>
      </c>
      <c r="AA115" s="26">
        <f>IF(AND(ISNUMBER(AA113),ISNUMBER(U113)),IFERROR(AA113/U113-1,""),"")</f>
        <v/>
      </c>
      <c r="AB115" s="26">
        <f>IF(AND(ISNUMBER(AB113),ISNUMBER(V113)),IFERROR(AB113/V113-1,""),"")</f>
        <v/>
      </c>
      <c r="AC115" s="26">
        <f>IF(AND(ISNUMBER(AC113),ISNUMBER(W113)),IFERROR(AC113/W113-1,""),"")</f>
        <v/>
      </c>
      <c r="AD115" s="26">
        <f>IF(AND(ISNUMBER(AD113),ISNUMBER(X113)),IFERROR(AD113/X113-1,""),"")</f>
        <v/>
      </c>
      <c r="AE115" s="26">
        <f>IF(AND(ISNUMBER(AE113),ISNUMBER(Y113)),IFERROR(AE113/Y113-1,""),"")</f>
        <v/>
      </c>
      <c r="AF115" s="26">
        <f>IF(AND(ISNUMBER(AF113),ISNUMBER(Z113)),IFERROR(AF113/Z113-1,""),"")</f>
        <v/>
      </c>
      <c r="AG115" s="26">
        <f>IF(AND(ISNUMBER(AG113),ISNUMBER(AA113)),IFERROR(AG113/AA113-1,""),"")</f>
        <v/>
      </c>
      <c r="AH115" s="26">
        <f>IF(AND(ISNUMBER(AH113),ISNUMBER(AB113)),IFERROR(AH113/AB113-1,""),"")</f>
        <v/>
      </c>
      <c r="AI115" s="26">
        <f>IF(AND(ISNUMBER(AI113),ISNUMBER(AC113)),IFERROR(AI113/AC113-1,""),"")</f>
        <v/>
      </c>
      <c r="AJ115" s="26">
        <f>IF(AND(ISNUMBER(AJ113),ISNUMBER(AD113)),IFERROR(AJ113/AD113-1,""),"")</f>
        <v/>
      </c>
      <c r="AK115" s="26">
        <f>IF(AND(ISNUMBER(AK113),ISNUMBER(AE113)),IFERROR(AK113/AE113-1,""),"")</f>
        <v/>
      </c>
      <c r="AL115" s="26">
        <f>IF(AND(ISNUMBER(AL113),ISNUMBER(AF113)),IFERROR(AL113/AF113-1,""),"")</f>
        <v/>
      </c>
      <c r="AM115" s="26">
        <f>IF(AND(ISNUMBER(AM113),ISNUMBER(AG113)),IFERROR(AM113/AG113-1,""),"")</f>
        <v/>
      </c>
      <c r="AN115" s="26">
        <f>IF(AND(ISNUMBER(AN113),ISNUMBER(AH113)),IFERROR(AN113/AH113-1,""),"")</f>
        <v/>
      </c>
      <c r="AO115" s="26">
        <f>IF(AND(ISNUMBER(AO113),ISNUMBER(AI113)),IFERROR(AO113/AI113-1,""),"")</f>
        <v/>
      </c>
      <c r="AP115" s="26">
        <f>IF(AND(ISNUMBER(AP113),ISNUMBER(AJ113)),IFERROR(AP113/AJ113-1,""),"")</f>
        <v/>
      </c>
      <c r="AQ115" s="26">
        <f>IF(AND(ISNUMBER(AQ113),ISNUMBER(AK113)),IFERROR(AQ113/AK113-1,""),"")</f>
        <v/>
      </c>
      <c r="AR115" s="26">
        <f>IF(AND(ISNUMBER(AR113),ISNUMBER(AL113)),IFERROR(AR113/AL113-1,""),"")</f>
        <v/>
      </c>
      <c r="AS115" s="26">
        <f>IF(AND(ISNUMBER(AS113),ISNUMBER(AM113)),IFERROR(AS113/AM113-1,""),"")</f>
        <v/>
      </c>
      <c r="AT115" s="26">
        <f>IF(AND(ISNUMBER(AT113),ISNUMBER(AN113)),IFERROR(AT113/AN113-1,""),"")</f>
        <v/>
      </c>
      <c r="AU115" s="26">
        <f>IF(AND(ISNUMBER(AU113),ISNUMBER(AO113)),IFERROR(AU113/AO113-1,""),"")</f>
        <v/>
      </c>
      <c r="AV115" s="26">
        <f>IF(AND(ISNUMBER(AV113),ISNUMBER(AP113)),IFERROR(AV113/AP113-1,""),"")</f>
        <v/>
      </c>
      <c r="AW115" s="26">
        <f>IF(AND(ISNUMBER(AW113),ISNUMBER(AQ113)),IFERROR(AW113/AQ113-1,""),"")</f>
        <v/>
      </c>
      <c r="AX115" s="26">
        <f>IF(AND(ISNUMBER(AX113),ISNUMBER(AR113)),IFERROR(AX113/AR113-1,""),"")</f>
        <v/>
      </c>
      <c r="AY115" s="26">
        <f>IF(AND(ISNUMBER(AY113),ISNUMBER(AS113)),IFERROR(AY113/AS113-1,""),"")</f>
        <v/>
      </c>
      <c r="AZ115" s="26">
        <f>IF(AND(ISNUMBER(AZ113),ISNUMBER(AT113)),IFERROR(AZ113/AT113-1,""),"")</f>
        <v/>
      </c>
      <c r="BA115" s="26">
        <f>IF(AND(ISNUMBER(BA113),ISNUMBER(AU113)),IFERROR(BA113/AU113-1,""),"")</f>
        <v/>
      </c>
      <c r="BB115" s="26">
        <f>IF(AND(ISNUMBER(BB113),ISNUMBER(AV113)),IFERROR(BB113/AV113-1,""),"")</f>
        <v/>
      </c>
      <c r="BC115" s="26">
        <f>IF(AND(ISNUMBER(BC113),ISNUMBER(AW113)),IFERROR(BC113/AW113-1,""),"")</f>
        <v/>
      </c>
      <c r="BD115" s="26">
        <f>IF(AND(ISNUMBER(BD113),ISNUMBER(AX113)),IFERROR(BD113/AX113-1,""),"")</f>
        <v/>
      </c>
      <c r="BE115" s="26">
        <f>IF(AND(ISNUMBER(BE113),ISNUMBER(AY113)),IFERROR(BE113/AY113-1,""),"")</f>
        <v/>
      </c>
      <c r="BF115" s="26">
        <f>IF(AND(ISNUMBER(BF113),ISNUMBER(AZ113)),IFERROR(BF113/AZ113-1,""),"")</f>
        <v/>
      </c>
      <c r="BG115" s="26">
        <f>IF(AND(ISNUMBER(BG113),ISNUMBER(BA113)),IFERROR(BG113/BA113-1,""),"")</f>
        <v/>
      </c>
      <c r="BH115" s="26">
        <f>IF(AND(ISNUMBER(BH113),ISNUMBER(BB113)),IFERROR(BH113/BB113-1,""),"")</f>
        <v/>
      </c>
      <c r="BI115" s="26">
        <f>IF(AND(ISNUMBER(BI113),ISNUMBER(BC113)),IFERROR(BI113/BC113-1,""),"")</f>
        <v/>
      </c>
      <c r="BJ115" s="26">
        <f>IF(AND(ISNUMBER(BJ113),ISNUMBER(BD113)),IFERROR(BJ113/BD113-1,""),"")</f>
        <v/>
      </c>
      <c r="BK115" s="26">
        <f>IF(AND(ISNUMBER(BK113),ISNUMBER(BE113)),IFERROR(BK113/BE113-1,""),"")</f>
        <v/>
      </c>
      <c r="BL115" s="26">
        <f>IF(AND(ISNUMBER(BL113),ISNUMBER(BF113)),IFERROR(BL113/BF113-1,""),"")</f>
        <v/>
      </c>
      <c r="BM115" s="26">
        <f>IF(AND(ISNUMBER(BM113),ISNUMBER(BG113)),IFERROR(BM113/BG113-1,""),"")</f>
        <v/>
      </c>
      <c r="BN115" s="26">
        <f>IF(AND(ISNUMBER(BN113),ISNUMBER(BH113)),IFERROR(BN113/BH113-1,""),"")</f>
        <v/>
      </c>
      <c r="BO115" s="26">
        <f>IF(AND(ISNUMBER(BO113),ISNUMBER(BI113)),IFERROR(BO113/BI113-1,""),"")</f>
        <v/>
      </c>
      <c r="BP115" s="26">
        <f>IF(AND(ISNUMBER(BP113),ISNUMBER(BJ113)),IFERROR(BP113/BJ113-1,""),"")</f>
        <v/>
      </c>
      <c r="BQ115" s="26">
        <f>IF(AND(ISNUMBER(BQ113),ISNUMBER(BK113)),IFERROR(BQ113/BK113-1,""),"")</f>
        <v/>
      </c>
      <c r="BR115" s="26">
        <f>IF(AND(ISNUMBER(BR113),ISNUMBER(BL113)),IFERROR(BR113/BL113-1,""),"")</f>
        <v/>
      </c>
      <c r="BS115" s="26">
        <f>IF(AND(ISNUMBER(BS113),ISNUMBER(BM113)),IFERROR(BS113/BM113-1,""),"")</f>
        <v/>
      </c>
      <c r="BT115" s="26">
        <f>IF(AND(ISNUMBER(BT113),ISNUMBER(BN113)),IFERROR(BT113/BN113-1,""),"")</f>
        <v/>
      </c>
      <c r="BU115" s="26">
        <f>IF(AND(ISNUMBER(BU113),ISNUMBER(BO113)),IFERROR(BU113/BO113-1,""),"")</f>
        <v/>
      </c>
      <c r="BV115" s="26">
        <f>IF(AND(ISNUMBER(BV113),ISNUMBER(BP113)),IFERROR(BV113/BP113-1,""),"")</f>
        <v/>
      </c>
      <c r="BW115" s="26">
        <f>IF(AND(ISNUMBER(BW113),ISNUMBER(BQ113)),IFERROR(BW113/BQ113-1,""),"")</f>
        <v/>
      </c>
      <c r="BX115" s="26">
        <f>IF(AND(ISNUMBER(BX113),ISNUMBER(BR113)),IFERROR(BX113/BR113-1,""),"")</f>
        <v/>
      </c>
      <c r="BY115" s="26">
        <f>IF(AND(ISNUMBER(BY113),ISNUMBER(BS113)),IFERROR(BY113/BS113-1,""),"")</f>
        <v/>
      </c>
      <c r="BZ115" s="26">
        <f>IF(AND(ISNUMBER(BZ113),ISNUMBER(BT113)),IFERROR(BZ113/BT113-1,""),"")</f>
        <v/>
      </c>
      <c r="CA115" s="26">
        <f>IF(AND(ISNUMBER(CA113),ISNUMBER(BU113)),IFERROR(CA113/BU113-1,""),"")</f>
        <v/>
      </c>
      <c r="CB115" s="26">
        <f>IF(AND(ISNUMBER(CB113),ISNUMBER(BV113)),IFERROR(CB113/BV113-1,""),"")</f>
        <v/>
      </c>
      <c r="CC115" s="26">
        <f>IF(AND(ISNUMBER(CC113),ISNUMBER(BW113)),IFERROR(CC113/BW113-1,""),"")</f>
        <v/>
      </c>
      <c r="CD115" s="26">
        <f>IF(AND(ISNUMBER(CD113),ISNUMBER(BX113)),IFERROR(CD113/BX113-1,""),"")</f>
        <v/>
      </c>
      <c r="CE115" s="26">
        <f>IF(AND(ISNUMBER(CE113),ISNUMBER(BY113)),IFERROR(CE113/BY113-1,""),"")</f>
        <v/>
      </c>
      <c r="CF115" s="26">
        <f>IF(AND(ISNUMBER(CF113),ISNUMBER(BZ113)),IFERROR(CF113/BZ113-1,""),"")</f>
        <v/>
      </c>
      <c r="CG115" s="26">
        <f>IF(AND(ISNUMBER(CG113),ISNUMBER(CA113)),IFERROR(CG113/CA113-1,""),"")</f>
        <v/>
      </c>
      <c r="CH115" s="26">
        <f>IF(AND(ISNUMBER(CH113),ISNUMBER(CB113)),IFERROR(CH113/CB113-1,""),"")</f>
        <v/>
      </c>
      <c r="CI115" s="26">
        <f>IF(AND(ISNUMBER(CI113),ISNUMBER(CC113)),IFERROR(CI113/CC113-1,""),"")</f>
        <v/>
      </c>
      <c r="CJ115" s="26">
        <f>IF(AND(ISNUMBER(CJ113),ISNUMBER(CD113)),IFERROR(CJ113/CD113-1,""),"")</f>
        <v/>
      </c>
      <c r="CK115" s="26">
        <f>IF(AND(ISNUMBER(CK113),ISNUMBER(CE113)),IFERROR(CK113/CE113-1,""),"")</f>
        <v/>
      </c>
      <c r="CL115" s="26">
        <f>IF(AND(ISNUMBER(CL113),ISNUMBER(CF113)),IFERROR(CL113/CF113-1,""),"")</f>
        <v/>
      </c>
      <c r="CM115" s="165">
        <f>IF(AND(ISNUMBER(CM113),ISNUMBER(CG113)),IFERROR(CM113/CG113-1,""),"")</f>
        <v/>
      </c>
      <c r="CN115" s="165">
        <f>IF(AND(ISNUMBER(CN113),ISNUMBER(CH113)),IFERROR(CN113/CH113-1,""),"")</f>
        <v/>
      </c>
      <c r="CO115" s="165">
        <f>IF(AND(ISNUMBER(CO113),ISNUMBER(CI113)),IFERROR(CO113/CI113-1,""),"")</f>
        <v/>
      </c>
      <c r="CP115" s="165">
        <f>IF(AND(ISNUMBER(CP113),ISNUMBER(CO113)),IFERROR(CP113/CO113-1,""),"")</f>
        <v/>
      </c>
      <c r="CQ115" s="165">
        <f>IF(AND(ISNUMBER(CQ113),ISNUMBER(CP113)),IFERROR(CQ113/CP113-1,""),"")</f>
        <v/>
      </c>
      <c r="CR115" s="165">
        <f>IF(AND(ISNUMBER(CR113),ISNUMBER(CQ113)),IFERROR(CR113/CQ113-1,""),"")</f>
        <v/>
      </c>
      <c r="CS115" s="165">
        <f>IF(AND(ISNUMBER(CS113),ISNUMBER(CR113)),IFERROR(CS113/CR113-1,""),"")</f>
        <v/>
      </c>
      <c r="CT115" s="22" t="n"/>
      <c r="CV115" s="6" t="n"/>
      <c r="CW115" s="6" t="n"/>
      <c r="CX115" s="6" t="n"/>
      <c r="CY115" s="6" t="n"/>
    </row>
    <row r="116" ht="15" customHeight="1">
      <c r="B116" s="25" t="inlineStr">
        <is>
          <t xml:space="preserve">  Incremental Adjusted EBITDA margin (ΔEBITDA / ΔRevenues)</t>
        </is>
      </c>
      <c r="C116" s="39" t="n"/>
      <c r="D116" s="179">
        <f>IFERROR((D113-C113)/(D108-C108),"")</f>
        <v/>
      </c>
      <c r="E116" s="179">
        <f>IFERROR((E113-D113)/(E108-D108),"")</f>
        <v/>
      </c>
      <c r="F116" s="179">
        <f>IFERROR((F113-E113)/(F108-E108),"")</f>
        <v/>
      </c>
      <c r="G116" s="179">
        <f>IFERROR((G113-F113)/(G108-F108),"")</f>
        <v/>
      </c>
      <c r="H116" s="179">
        <f>IFERROR((H113-G113)/(H108-G108),"")</f>
        <v/>
      </c>
      <c r="I116" s="179">
        <f>IFERROR((I113-H113)/(I108-H108),"")</f>
        <v/>
      </c>
      <c r="J116" s="39" t="n"/>
      <c r="K116" s="39" t="n"/>
      <c r="L116" s="39" t="n"/>
      <c r="M116" s="39" t="n"/>
      <c r="N116" s="39" t="n"/>
      <c r="O116" s="179">
        <f>IFERROR((O113-I113)/(O108-I108),"")</f>
        <v/>
      </c>
      <c r="P116" s="179">
        <f>IFERROR((P113-J113)/(P108-J108),"")</f>
        <v/>
      </c>
      <c r="Q116" s="179">
        <f>IFERROR((Q113-K113)/(Q108-K108),"")</f>
        <v/>
      </c>
      <c r="R116" s="179">
        <f>IFERROR((R113-L113)/(R108-L108),"")</f>
        <v/>
      </c>
      <c r="S116" s="179">
        <f>IFERROR((S113-M113)/(S108-M108),"")</f>
        <v/>
      </c>
      <c r="T116" s="179">
        <f>IFERROR((T113-N113)/(T108-N108),"")</f>
        <v/>
      </c>
      <c r="U116" s="179">
        <f>IFERROR((U113-O113)/(U108-O108),"")</f>
        <v/>
      </c>
      <c r="V116" s="179">
        <f>IFERROR((V113-P113)/(V108-P108),"")</f>
        <v/>
      </c>
      <c r="W116" s="179">
        <f>IFERROR((W113-Q113)/(W108-Q108),"")</f>
        <v/>
      </c>
      <c r="X116" s="179">
        <f>IFERROR((X113-R113)/(X108-R108),"")</f>
        <v/>
      </c>
      <c r="Y116" s="179">
        <f>IFERROR((Y113-S113)/(Y108-S108),"")</f>
        <v/>
      </c>
      <c r="Z116" s="179">
        <f>IFERROR((Z113-T113)/(Z108-T108),"")</f>
        <v/>
      </c>
      <c r="AA116" s="179">
        <f>IFERROR((AA113-U113)/(AA108-U108),"")</f>
        <v/>
      </c>
      <c r="AB116" s="179">
        <f>IFERROR((AB113-V113)/(AB108-V108),"")</f>
        <v/>
      </c>
      <c r="AC116" s="179">
        <f>IFERROR((AC113-W113)/(AC108-W108),"")</f>
        <v/>
      </c>
      <c r="AD116" s="179">
        <f>IFERROR((AD113-X113)/(AD108-X108),"")</f>
        <v/>
      </c>
      <c r="AE116" s="179">
        <f>IFERROR((AE113-Y113)/(AE108-Y108),"")</f>
        <v/>
      </c>
      <c r="AF116" s="179">
        <f>IFERROR((AF113-Z113)/(AF108-Z108),"")</f>
        <v/>
      </c>
      <c r="AG116" s="179">
        <f>IFERROR((AG113-AA113)/(AG108-AA108),"")</f>
        <v/>
      </c>
      <c r="AH116" s="179">
        <f>IFERROR((AH113-AB113)/(AH108-AB108),"")</f>
        <v/>
      </c>
      <c r="AI116" s="179">
        <f>IFERROR((AI113-AC113)/(AI108-AC108),"")</f>
        <v/>
      </c>
      <c r="AJ116" s="179">
        <f>IFERROR((AJ113-AD113)/(AJ108-AD108),"")</f>
        <v/>
      </c>
      <c r="AK116" s="179">
        <f>IFERROR((AK113-AE113)/(AK108-AE108),"")</f>
        <v/>
      </c>
      <c r="AL116" s="179">
        <f>IFERROR((AL113-AF113)/(AL108-AF108),"")</f>
        <v/>
      </c>
      <c r="AM116" s="179">
        <f>IFERROR((AM113-AG113)/(AM108-AG108),"")</f>
        <v/>
      </c>
      <c r="AN116" s="179">
        <f>IFERROR((AN113-AH113)/(AN108-AH108),"")</f>
        <v/>
      </c>
      <c r="AO116" s="179">
        <f>IFERROR((AO113-AI113)/(AO108-AI108),"")</f>
        <v/>
      </c>
      <c r="AP116" s="179">
        <f>IFERROR((AP113-AJ113)/(AP108-AJ108),"")</f>
        <v/>
      </c>
      <c r="AQ116" s="179">
        <f>IFERROR((AQ113-AK113)/(AQ108-AK108),"")</f>
        <v/>
      </c>
      <c r="AR116" s="179">
        <f>IFERROR((AR113-AL113)/(AR108-AL108),"")</f>
        <v/>
      </c>
      <c r="AS116" s="179">
        <f>IFERROR((AS113-AM113)/(AS108-AM108),"")</f>
        <v/>
      </c>
      <c r="AT116" s="179">
        <f>IFERROR((AT113-AN113)/(AT108-AN108),"")</f>
        <v/>
      </c>
      <c r="AU116" s="179">
        <f>IFERROR((AU113-AO113)/(AU108-AO108),"")</f>
        <v/>
      </c>
      <c r="AV116" s="179">
        <f>IFERROR((AV113-AP113)/(AV108-AP108),"")</f>
        <v/>
      </c>
      <c r="AW116" s="179">
        <f>IFERROR((AW113-AQ113)/(AW108-AQ108),"")</f>
        <v/>
      </c>
      <c r="AX116" s="179">
        <f>IFERROR((AX113-AR113)/(AX108-AR108),"")</f>
        <v/>
      </c>
      <c r="AY116" s="179">
        <f>IFERROR((AY113-AS113)/(AY108-AS108),"")</f>
        <v/>
      </c>
      <c r="AZ116" s="179">
        <f>IFERROR((AZ113-AT113)/(AZ108-AT108),"")</f>
        <v/>
      </c>
      <c r="BA116" s="179">
        <f>IFERROR((BA113-AU113)/(BA108-AU108),"")</f>
        <v/>
      </c>
      <c r="BB116" s="179">
        <f>IFERROR((BB113-AV113)/(BB108-AV108),"")</f>
        <v/>
      </c>
      <c r="BC116" s="179">
        <f>IFERROR((BC113-AW113)/(BC108-AW108),"")</f>
        <v/>
      </c>
      <c r="BD116" s="179">
        <f>IFERROR((BD113-AX113)/(BD108-AX108),"")</f>
        <v/>
      </c>
      <c r="BE116" s="179">
        <f>IFERROR((BE113-AY113)/(BE108-AY108),"")</f>
        <v/>
      </c>
      <c r="BF116" s="179">
        <f>IFERROR((BF113-AZ113)/(BF108-AZ108),"")</f>
        <v/>
      </c>
      <c r="BG116" s="179">
        <f>IFERROR((BG113-BA113)/(BG108-BA108),"")</f>
        <v/>
      </c>
      <c r="BH116" s="179">
        <f>IFERROR((BH113-BB113)/(BH108-BB108),"")</f>
        <v/>
      </c>
      <c r="BI116" s="179">
        <f>IFERROR((BI113-BC113)/(BI108-BC108),"")</f>
        <v/>
      </c>
      <c r="BJ116" s="179">
        <f>IFERROR((BJ113-BD113)/(BJ108-BD108),"")</f>
        <v/>
      </c>
      <c r="BK116" s="179">
        <f>IFERROR((BK113-BE113)/(BK108-BE108),"")</f>
        <v/>
      </c>
      <c r="BL116" s="179">
        <f>IFERROR((BL113-BF113)/(BL108-BF108),"")</f>
        <v/>
      </c>
      <c r="BM116" s="179">
        <f>IFERROR((BM113-BG113)/(BM108-BG108),"")</f>
        <v/>
      </c>
      <c r="BN116" s="179">
        <f>IFERROR((BN113-BH113)/(BN108-BH108),"")</f>
        <v/>
      </c>
      <c r="BO116" s="179">
        <f>IFERROR((BO113-BI113)/(BO108-BI108),"")</f>
        <v/>
      </c>
      <c r="BP116" s="179">
        <f>IFERROR((BP113-BJ113)/(BP108-BJ108),"")</f>
        <v/>
      </c>
      <c r="BQ116" s="179">
        <f>IFERROR((BQ113-BK113)/(BQ108-BK108),"")</f>
        <v/>
      </c>
      <c r="BR116" s="179">
        <f>IFERROR((BR113-BL113)/(BR108-BL108),"")</f>
        <v/>
      </c>
      <c r="BS116" s="179">
        <f>IFERROR((BS113-BM113)/(BS108-BM108),"")</f>
        <v/>
      </c>
      <c r="BT116" s="179">
        <f>IFERROR((BT113-BN113)/(BT108-BN108),"")</f>
        <v/>
      </c>
      <c r="BU116" s="179">
        <f>IFERROR((BU113-BO113)/(BU108-BO108),"")</f>
        <v/>
      </c>
      <c r="BV116" s="179">
        <f>IFERROR((BV113-BP113)/(BV108-BP108),"")</f>
        <v/>
      </c>
      <c r="BW116" s="179">
        <f>IFERROR((BW113-BQ113)/(BW108-BQ108),"")</f>
        <v/>
      </c>
      <c r="BX116" s="179">
        <f>IFERROR((BX113-BR113)/(BX108-BR108),"")</f>
        <v/>
      </c>
      <c r="BY116" s="179">
        <f>IFERROR((BY113-BS113)/(BY108-BS108),"")</f>
        <v/>
      </c>
      <c r="BZ116" s="179">
        <f>IFERROR((BZ113-BT113)/(BZ108-BT108),"")</f>
        <v/>
      </c>
      <c r="CA116" s="179">
        <f>IFERROR((CA113-BU113)/(CA108-BU108),"")</f>
        <v/>
      </c>
      <c r="CB116" s="179">
        <f>IFERROR((CB113-BV113)/(CB108-BV108),"")</f>
        <v/>
      </c>
      <c r="CC116" s="179">
        <f>IFERROR((CC113-BW113)/(CC108-BW108),"")</f>
        <v/>
      </c>
      <c r="CD116" s="179">
        <f>IFERROR((CD113-BX113)/(CD108-BX108),"")</f>
        <v/>
      </c>
      <c r="CE116" s="179">
        <f>IFERROR((CE113-BY113)/(CE108-BY108),"")</f>
        <v/>
      </c>
      <c r="CF116" s="179">
        <f>IFERROR((CF113-BZ113)/(CF108-BZ108),"")</f>
        <v/>
      </c>
      <c r="CG116" s="179">
        <f>IFERROR((CG113-CA113)/(CG108-CA108),"")</f>
        <v/>
      </c>
      <c r="CH116" s="179">
        <f>IFERROR((CH113-CB113)/(CH108-CB108),"")</f>
        <v/>
      </c>
      <c r="CI116" s="179">
        <f>IFERROR((CI113-CC113)/(CI108-CC108),"")</f>
        <v/>
      </c>
      <c r="CJ116" s="179">
        <f>IFERROR((CJ113-CD113)/(CJ108-CD108),"")</f>
        <v/>
      </c>
      <c r="CK116" s="179">
        <f>IFERROR((CK113-CE113)/(CK108-CE108),"")</f>
        <v/>
      </c>
      <c r="CL116" s="179">
        <f>IFERROR((CL113-CF113)/(CL108-CF108),"")</f>
        <v/>
      </c>
      <c r="CM116" s="165">
        <f>IFERROR((CM113-CG113)/(CM108-CG108),"")</f>
        <v/>
      </c>
      <c r="CN116" s="165">
        <f>IFERROR((CN113-CH113)/(CN108-CH108),"")</f>
        <v/>
      </c>
      <c r="CO116" s="165">
        <f>IFERROR((CO113-CI113)/(CO108-CI108),"")</f>
        <v/>
      </c>
      <c r="CP116" s="165">
        <f>IFERROR((CP113-CO113)/(CP108-CO108),"")</f>
        <v/>
      </c>
      <c r="CQ116" s="165">
        <f>IFERROR((CQ113-CP113)/(CQ108-CP108),"")</f>
        <v/>
      </c>
      <c r="CR116" s="165">
        <f>IFERROR((CR113-CQ113)/(CR108-CQ108),"")</f>
        <v/>
      </c>
      <c r="CS116" s="165">
        <f>IFERROR((CS113-CR113)/(CS108-CR108),"")</f>
        <v/>
      </c>
      <c r="CT116" s="22" t="n"/>
      <c r="CV116" s="40" t="n"/>
      <c r="CW116" s="40" t="n"/>
      <c r="CX116" s="40" t="n"/>
      <c r="CY116" s="40" t="n"/>
    </row>
    <row r="117" ht="15" customHeight="1">
      <c r="B117" s="12" t="inlineStr">
        <is>
          <t xml:space="preserve">  Total DDA&amp;A (segments + corporate)</t>
        </is>
      </c>
      <c r="C117" s="170">
        <f>IF(ISNUMBER(C110),C110+N(C79),"")</f>
        <v/>
      </c>
      <c r="D117" s="170">
        <f>IF(ISNUMBER(D110),D110+N(D79),"")</f>
        <v/>
      </c>
      <c r="E117" s="170">
        <f>IF(ISNUMBER(E110),E110+N(E79),"")</f>
        <v/>
      </c>
      <c r="F117" s="170">
        <f>IF(ISNUMBER(F110),F110+N(F79),"")</f>
        <v/>
      </c>
      <c r="G117" s="170">
        <f>IF(ISNUMBER(G110),G110+N(G79),"")</f>
        <v/>
      </c>
      <c r="H117" s="170">
        <f>IF(ISNUMBER(H110),H110+N(H79),"")</f>
        <v/>
      </c>
      <c r="I117" s="170">
        <f>IF(ISNUMBER(I110),I110+N(I79),"")</f>
        <v/>
      </c>
      <c r="J117" s="170">
        <f>IF(ISNUMBER(J110),J110+N(J79),"")</f>
        <v/>
      </c>
      <c r="K117" s="170">
        <f>IF(ISNUMBER(K110),K110+N(K79),"")</f>
        <v/>
      </c>
      <c r="L117" s="170">
        <f>IF(ISNUMBER(L110),L110+N(L79),"")</f>
        <v/>
      </c>
      <c r="M117" s="170">
        <f>IF(ISNUMBER(M110),M110+N(M79),"")</f>
        <v/>
      </c>
      <c r="N117" s="170">
        <f>IF(ISNUMBER(N110),N110+N(N79),"")</f>
        <v/>
      </c>
      <c r="O117" s="170">
        <f>IF(ISNUMBER(O110),O110+N(O79),"")</f>
        <v/>
      </c>
      <c r="P117" s="170">
        <f>IF(ISNUMBER(P110),P110+N(P79),"")</f>
        <v/>
      </c>
      <c r="Q117" s="170">
        <f>IF(ISNUMBER(Q110),Q110+N(Q79),"")</f>
        <v/>
      </c>
      <c r="R117" s="170">
        <f>IF(ISNUMBER(R110),R110+N(R79),"")</f>
        <v/>
      </c>
      <c r="S117" s="170">
        <f>IF(ISNUMBER(S110),S110+N(S79),"")</f>
        <v/>
      </c>
      <c r="T117" s="170">
        <f>IF(ISNUMBER(T110),T110+N(T79),"")</f>
        <v/>
      </c>
      <c r="U117" s="170">
        <f>IF(ISNUMBER(U110),U110+N(U79),"")</f>
        <v/>
      </c>
      <c r="V117" s="170">
        <f>IF(ISNUMBER(V110),V110+N(V79),"")</f>
        <v/>
      </c>
      <c r="W117" s="170">
        <f>IF(ISNUMBER(W110),W110+N(W79),"")</f>
        <v/>
      </c>
      <c r="X117" s="170">
        <f>IF(ISNUMBER(X110),X110+N(X79),"")</f>
        <v/>
      </c>
      <c r="Y117" s="170">
        <f>IF(ISNUMBER(Y110),Y110+N(Y79),"")</f>
        <v/>
      </c>
      <c r="Z117" s="170">
        <f>IF(ISNUMBER(Z110),Z110+N(Z79),"")</f>
        <v/>
      </c>
      <c r="AA117" s="170">
        <f>IF(ISNUMBER(AA110),AA110+N(AA79),"")</f>
        <v/>
      </c>
      <c r="AB117" s="170">
        <f>IF(ISNUMBER(AB110),AB110+N(AB79),"")</f>
        <v/>
      </c>
      <c r="AC117" s="170">
        <f>IF(ISNUMBER(AC110),AC110+N(AC79),"")</f>
        <v/>
      </c>
      <c r="AD117" s="170">
        <f>IF(ISNUMBER(AD110),AD110+N(AD79),"")</f>
        <v/>
      </c>
      <c r="AE117" s="170">
        <f>IF(ISNUMBER(AE110),AE110+N(AE79),"")</f>
        <v/>
      </c>
      <c r="AF117" s="170">
        <f>IF(ISNUMBER(AF110),AF110+N(AF79),"")</f>
        <v/>
      </c>
      <c r="AG117" s="170">
        <f>IF(ISNUMBER(AG110),AG110+N(AG79),"")</f>
        <v/>
      </c>
      <c r="AH117" s="170">
        <f>IF(ISNUMBER(AH110),AH110+N(AH79),"")</f>
        <v/>
      </c>
      <c r="AI117" s="170">
        <f>IF(ISNUMBER(AI110),AI110+N(AI79),"")</f>
        <v/>
      </c>
      <c r="AJ117" s="170">
        <f>IF(ISNUMBER(AJ110),AJ110+N(AJ79),"")</f>
        <v/>
      </c>
      <c r="AK117" s="170">
        <f>IF(ISNUMBER(AK110),AK110+N(AK79),"")</f>
        <v/>
      </c>
      <c r="AL117" s="170">
        <f>IF(ISNUMBER(AL110),AL110+N(AL79),"")</f>
        <v/>
      </c>
      <c r="AM117" s="170">
        <f>IF(ISNUMBER(AM110),AM110+N(AM79),"")</f>
        <v/>
      </c>
      <c r="AN117" s="170">
        <f>IF(ISNUMBER(AN110),AN110+N(AN79),"")</f>
        <v/>
      </c>
      <c r="AO117" s="170">
        <f>IF(ISNUMBER(AO110),AO110+N(AO79),"")</f>
        <v/>
      </c>
      <c r="AP117" s="170">
        <f>IF(ISNUMBER(AP110),AP110+N(AP79),"")</f>
        <v/>
      </c>
      <c r="AQ117" s="170">
        <f>IF(ISNUMBER(AQ110),AQ110+N(AQ79),"")</f>
        <v/>
      </c>
      <c r="AR117" s="170">
        <f>IF(ISNUMBER(AR110),AR110+N(AR79),"")</f>
        <v/>
      </c>
      <c r="AS117" s="170">
        <f>IF(ISNUMBER(AS110),AS110+N(AS79),"")</f>
        <v/>
      </c>
      <c r="AT117" s="170">
        <f>IF(ISNUMBER(AT110),AT110+N(AT79),"")</f>
        <v/>
      </c>
      <c r="AU117" s="170">
        <f>IF(ISNUMBER(AU110),AU110+N(AU79),"")</f>
        <v/>
      </c>
      <c r="AV117" s="170">
        <f>IF(ISNUMBER(AV110),AV110+N(AV79),"")</f>
        <v/>
      </c>
      <c r="AW117" s="170">
        <f>IF(ISNUMBER(AW110),AW110+N(AW79),"")</f>
        <v/>
      </c>
      <c r="AX117" s="170">
        <f>IF(ISNUMBER(AX110),AX110+N(AX79),"")</f>
        <v/>
      </c>
      <c r="AY117" s="170">
        <f>IF(ISNUMBER(AY110),AY110+N(AY79),"")</f>
        <v/>
      </c>
      <c r="AZ117" s="170">
        <f>IF(ISNUMBER(AZ110),AZ110+N(AZ79),"")</f>
        <v/>
      </c>
      <c r="BA117" s="170">
        <f>IF(ISNUMBER(BA110),BA110+N(BA79),"")</f>
        <v/>
      </c>
      <c r="BB117" s="170">
        <f>IF(ISNUMBER(BB110),BB110+N(BB79),"")</f>
        <v/>
      </c>
      <c r="BC117" s="170">
        <f>IF(ISNUMBER(BC110),BC110+N(BC79),"")</f>
        <v/>
      </c>
      <c r="BD117" s="170">
        <f>IF(ISNUMBER(BD110),BD110+N(BD79),"")</f>
        <v/>
      </c>
      <c r="BE117" s="170">
        <f>IF(ISNUMBER(BE110),BE110+N(BE79),"")</f>
        <v/>
      </c>
      <c r="BF117" s="170">
        <f>IF(ISNUMBER(BF110),BF110+N(BF79),"")</f>
        <v/>
      </c>
      <c r="BG117" s="170">
        <f>IF(ISNUMBER(BG110),BG110+N(BG79),"")</f>
        <v/>
      </c>
      <c r="BH117" s="170">
        <f>IF(ISNUMBER(BH110),BH110+N(BH79),"")</f>
        <v/>
      </c>
      <c r="BI117" s="170">
        <f>IF(ISNUMBER(BI110),BI110+N(BI79),"")</f>
        <v/>
      </c>
      <c r="BJ117" s="170">
        <f>IF(ISNUMBER(BJ110),BJ110+N(BJ79),"")</f>
        <v/>
      </c>
      <c r="BK117" s="170">
        <f>IF(ISNUMBER(BK110),BK110+N(BK79),"")</f>
        <v/>
      </c>
      <c r="BL117" s="170">
        <f>IF(ISNUMBER(BL110),BL110+N(BL79),"")</f>
        <v/>
      </c>
      <c r="BM117" s="170">
        <f>IF(ISNUMBER(BM110),BM110+N(BM79),"")</f>
        <v/>
      </c>
      <c r="BN117" s="170">
        <f>IF(ISNUMBER(BN110),BN110+N(BN79),"")</f>
        <v/>
      </c>
      <c r="BO117" s="170">
        <f>IF(ISNUMBER(BO110),BO110+N(BO79),"")</f>
        <v/>
      </c>
      <c r="BP117" s="170">
        <f>IF(ISNUMBER(BP110),BP110+N(BP79),"")</f>
        <v/>
      </c>
      <c r="BQ117" s="170">
        <f>IF(ISNUMBER(BQ110),BQ110+N(BQ79),"")</f>
        <v/>
      </c>
      <c r="BR117" s="170">
        <f>IF(ISNUMBER(BR110),BR110+N(BR79),"")</f>
        <v/>
      </c>
      <c r="BS117" s="170">
        <f>IF(ISNUMBER(BS110),BS110+N(BS79),"")</f>
        <v/>
      </c>
      <c r="BT117" s="170">
        <f>IF(ISNUMBER(BT110),BT110+N(BT79),"")</f>
        <v/>
      </c>
      <c r="BU117" s="170">
        <f>IF(ISNUMBER(BU110),BU110+N(BU79),"")</f>
        <v/>
      </c>
      <c r="BV117" s="170">
        <f>IF(ISNUMBER(BV110),BV110+N(BV79),"")</f>
        <v/>
      </c>
      <c r="BW117" s="170">
        <f>IF(ISNUMBER(BW110),BW110+N(BW79),"")</f>
        <v/>
      </c>
      <c r="BX117" s="170">
        <f>IF(ISNUMBER(BX110),BX110+N(BX79),"")</f>
        <v/>
      </c>
      <c r="BY117" s="170">
        <f>IF(ISNUMBER(BY110),BY110+N(BY79),"")</f>
        <v/>
      </c>
      <c r="BZ117" s="170">
        <f>IF(ISNUMBER(BZ110),BZ110+N(BZ79),"")</f>
        <v/>
      </c>
      <c r="CA117" s="170">
        <f>IF(ISNUMBER(CA110),CA110+N(CA79),"")</f>
        <v/>
      </c>
      <c r="CB117" s="170">
        <f>IF(ISNUMBER(CB110),CB110+N(CB79),"")</f>
        <v/>
      </c>
      <c r="CC117" s="170">
        <f>IF(ISNUMBER(CC110),CC110+N(CC79),"")</f>
        <v/>
      </c>
      <c r="CD117" s="170">
        <f>IF(ISNUMBER(CD110),CD110+N(CD79),"")</f>
        <v/>
      </c>
      <c r="CE117" s="170">
        <f>IF(ISNUMBER(CE110),CE110+N(CE79),"")</f>
        <v/>
      </c>
      <c r="CF117" s="170">
        <f>IF(ISNUMBER(CF110),CF110+N(CF79),"")</f>
        <v/>
      </c>
      <c r="CG117" s="170">
        <f>IF(ISNUMBER(CG110),CG110+N(CG79),"")</f>
        <v/>
      </c>
      <c r="CH117" s="170">
        <f>IF(ISNUMBER(CH110),CH110+N(CH79),"")</f>
        <v/>
      </c>
      <c r="CI117" s="170">
        <f>IF(ISNUMBER(CI110),CI110+N(CI79),"")</f>
        <v/>
      </c>
      <c r="CJ117" s="170">
        <f>IF(ISNUMBER(CJ110),CJ110+N(CJ79),"")</f>
        <v/>
      </c>
      <c r="CK117" s="170">
        <f>IF(ISNUMBER(CK110),CK110+N(CK79),"")</f>
        <v/>
      </c>
      <c r="CL117" s="170">
        <f>IF(ISNUMBER(CL110),CL110+N(CL79),"")</f>
        <v/>
      </c>
      <c r="CM117" s="171">
        <f>IF(ISNUMBER(CM110),CM110+N(CM79),"")</f>
        <v/>
      </c>
      <c r="CN117" s="171">
        <f>IF(ISNUMBER(CN110),CN110+N(CN79),"")</f>
        <v/>
      </c>
      <c r="CO117" s="171">
        <f>IF(ISNUMBER(CO110),CO110+N(CO79),"")</f>
        <v/>
      </c>
      <c r="CP117" s="171">
        <f>IF(ISNUMBER(CP110),CP110+N(CP79),"")</f>
        <v/>
      </c>
      <c r="CQ117" s="171">
        <f>IF(ISNUMBER(CQ110),CQ110+N(CQ79),"")</f>
        <v/>
      </c>
      <c r="CR117" s="171">
        <f>IF(ISNUMBER(CR110),CR110+N(CR79),"")</f>
        <v/>
      </c>
      <c r="CS117" s="171">
        <f>IF(ISNUMBER(CS110),CS110+N(CS79),"")</f>
        <v/>
      </c>
      <c r="CT117" s="22" t="n"/>
      <c r="CV117" s="23" t="n"/>
      <c r="CW117" s="23" t="n"/>
      <c r="CX117" s="23" t="n"/>
      <c r="CY117" s="23" t="n"/>
    </row>
    <row r="118" ht="15" customHeight="1">
      <c r="B118" s="18" t="inlineStr">
        <is>
          <t xml:space="preserve">  Adjusted EBIT (Adjusted EBITDA − DDA&amp;A)</t>
        </is>
      </c>
      <c r="C118" s="173">
        <f>IF(AND(ISNUMBER(C113),ISNUMBER(C117)),C113-C117,"")</f>
        <v/>
      </c>
      <c r="D118" s="173">
        <f>IF(AND(ISNUMBER(D113),ISNUMBER(D117)),D113-D117,"")</f>
        <v/>
      </c>
      <c r="E118" s="173">
        <f>IF(AND(ISNUMBER(E113),ISNUMBER(E117)),E113-E117,"")</f>
        <v/>
      </c>
      <c r="F118" s="173">
        <f>IF(AND(ISNUMBER(F113),ISNUMBER(F117)),F113-F117,"")</f>
        <v/>
      </c>
      <c r="G118" s="173">
        <f>IF(AND(ISNUMBER(G113),ISNUMBER(G117)),G113-G117,"")</f>
        <v/>
      </c>
      <c r="H118" s="173">
        <f>IF(AND(ISNUMBER(H113),ISNUMBER(H117)),H113-H117,"")</f>
        <v/>
      </c>
      <c r="I118" s="173">
        <f>IF(AND(ISNUMBER(I113),ISNUMBER(I117)),I113-I117,"")</f>
        <v/>
      </c>
      <c r="J118" s="173">
        <f>IF(AND(ISNUMBER(J113),ISNUMBER(J117)),J113-J117,"")</f>
        <v/>
      </c>
      <c r="K118" s="173">
        <f>IF(AND(ISNUMBER(K113),ISNUMBER(K117)),K113-K117,"")</f>
        <v/>
      </c>
      <c r="L118" s="173">
        <f>IF(AND(ISNUMBER(L113),ISNUMBER(L117)),L113-L117,"")</f>
        <v/>
      </c>
      <c r="M118" s="173">
        <f>IF(AND(ISNUMBER(M113),ISNUMBER(M117)),M113-M117,"")</f>
        <v/>
      </c>
      <c r="N118" s="173">
        <f>IF(AND(ISNUMBER(N113),ISNUMBER(N117)),N113-N117,"")</f>
        <v/>
      </c>
      <c r="O118" s="173">
        <f>IF(AND(ISNUMBER(O113),ISNUMBER(O117)),O113-O117,"")</f>
        <v/>
      </c>
      <c r="P118" s="173">
        <f>IF(AND(ISNUMBER(P113),ISNUMBER(P117)),P113-P117,"")</f>
        <v/>
      </c>
      <c r="Q118" s="173">
        <f>IF(AND(ISNUMBER(Q113),ISNUMBER(Q117)),Q113-Q117,"")</f>
        <v/>
      </c>
      <c r="R118" s="173">
        <f>IF(AND(ISNUMBER(R113),ISNUMBER(R117)),R113-R117,"")</f>
        <v/>
      </c>
      <c r="S118" s="173">
        <f>IF(AND(ISNUMBER(S113),ISNUMBER(S117)),S113-S117,"")</f>
        <v/>
      </c>
      <c r="T118" s="173">
        <f>IF(AND(ISNUMBER(T113),ISNUMBER(T117)),T113-T117,"")</f>
        <v/>
      </c>
      <c r="U118" s="173">
        <f>IF(AND(ISNUMBER(U113),ISNUMBER(U117)),U113-U117,"")</f>
        <v/>
      </c>
      <c r="V118" s="173">
        <f>IF(AND(ISNUMBER(V113),ISNUMBER(V117)),V113-V117,"")</f>
        <v/>
      </c>
      <c r="W118" s="173">
        <f>IF(AND(ISNUMBER(W113),ISNUMBER(W117)),W113-W117,"")</f>
        <v/>
      </c>
      <c r="X118" s="173">
        <f>IF(AND(ISNUMBER(X113),ISNUMBER(X117)),X113-X117,"")</f>
        <v/>
      </c>
      <c r="Y118" s="173">
        <f>IF(AND(ISNUMBER(Y113),ISNUMBER(Y117)),Y113-Y117,"")</f>
        <v/>
      </c>
      <c r="Z118" s="173">
        <f>IF(AND(ISNUMBER(Z113),ISNUMBER(Z117)),Z113-Z117,"")</f>
        <v/>
      </c>
      <c r="AA118" s="173">
        <f>IF(AND(ISNUMBER(AA113),ISNUMBER(AA117)),AA113-AA117,"")</f>
        <v/>
      </c>
      <c r="AB118" s="173">
        <f>IF(AND(ISNUMBER(AB113),ISNUMBER(AB117)),AB113-AB117,"")</f>
        <v/>
      </c>
      <c r="AC118" s="173">
        <f>IF(AND(ISNUMBER(AC113),ISNUMBER(AC117)),AC113-AC117,"")</f>
        <v/>
      </c>
      <c r="AD118" s="173">
        <f>IF(AND(ISNUMBER(AD113),ISNUMBER(AD117)),AD113-AD117,"")</f>
        <v/>
      </c>
      <c r="AE118" s="173">
        <f>IF(AND(ISNUMBER(AE113),ISNUMBER(AE117)),AE113-AE117,"")</f>
        <v/>
      </c>
      <c r="AF118" s="173">
        <f>IF(AND(ISNUMBER(AF113),ISNUMBER(AF117)),AF113-AF117,"")</f>
        <v/>
      </c>
      <c r="AG118" s="173">
        <f>IF(AND(ISNUMBER(AG113),ISNUMBER(AG117)),AG113-AG117,"")</f>
        <v/>
      </c>
      <c r="AH118" s="173">
        <f>IF(AND(ISNUMBER(AH113),ISNUMBER(AH117)),AH113-AH117,"")</f>
        <v/>
      </c>
      <c r="AI118" s="173">
        <f>IF(AND(ISNUMBER(AI113),ISNUMBER(AI117)),AI113-AI117,"")</f>
        <v/>
      </c>
      <c r="AJ118" s="173">
        <f>IF(AND(ISNUMBER(AJ113),ISNUMBER(AJ117)),AJ113-AJ117,"")</f>
        <v/>
      </c>
      <c r="AK118" s="173">
        <f>IF(AND(ISNUMBER(AK113),ISNUMBER(AK117)),AK113-AK117,"")</f>
        <v/>
      </c>
      <c r="AL118" s="173">
        <f>IF(AND(ISNUMBER(AL113),ISNUMBER(AL117)),AL113-AL117,"")</f>
        <v/>
      </c>
      <c r="AM118" s="173">
        <f>IF(AND(ISNUMBER(AM113),ISNUMBER(AM117)),AM113-AM117,"")</f>
        <v/>
      </c>
      <c r="AN118" s="173">
        <f>IF(AND(ISNUMBER(AN113),ISNUMBER(AN117)),AN113-AN117,"")</f>
        <v/>
      </c>
      <c r="AO118" s="173">
        <f>IF(AND(ISNUMBER(AO113),ISNUMBER(AO117)),AO113-AO117,"")</f>
        <v/>
      </c>
      <c r="AP118" s="173">
        <f>IF(AND(ISNUMBER(AP113),ISNUMBER(AP117)),AP113-AP117,"")</f>
        <v/>
      </c>
      <c r="AQ118" s="173">
        <f>IF(AND(ISNUMBER(AQ113),ISNUMBER(AQ117)),AQ113-AQ117,"")</f>
        <v/>
      </c>
      <c r="AR118" s="173">
        <f>IF(AND(ISNUMBER(AR113),ISNUMBER(AR117)),AR113-AR117,"")</f>
        <v/>
      </c>
      <c r="AS118" s="173">
        <f>IF(AND(ISNUMBER(AS113),ISNUMBER(AS117)),AS113-AS117,"")</f>
        <v/>
      </c>
      <c r="AT118" s="173">
        <f>IF(AND(ISNUMBER(AT113),ISNUMBER(AT117)),AT113-AT117,"")</f>
        <v/>
      </c>
      <c r="AU118" s="173">
        <f>IF(AND(ISNUMBER(AU113),ISNUMBER(AU117)),AU113-AU117,"")</f>
        <v/>
      </c>
      <c r="AV118" s="173">
        <f>IF(AND(ISNUMBER(AV113),ISNUMBER(AV117)),AV113-AV117,"")</f>
        <v/>
      </c>
      <c r="AW118" s="173">
        <f>IF(AND(ISNUMBER(AW113),ISNUMBER(AW117)),AW113-AW117,"")</f>
        <v/>
      </c>
      <c r="AX118" s="173">
        <f>IF(AND(ISNUMBER(AX113),ISNUMBER(AX117)),AX113-AX117,"")</f>
        <v/>
      </c>
      <c r="AY118" s="173">
        <f>IF(AND(ISNUMBER(AY113),ISNUMBER(AY117)),AY113-AY117,"")</f>
        <v/>
      </c>
      <c r="AZ118" s="173">
        <f>IF(AND(ISNUMBER(AZ113),ISNUMBER(AZ117)),AZ113-AZ117,"")</f>
        <v/>
      </c>
      <c r="BA118" s="173">
        <f>IF(AND(ISNUMBER(BA113),ISNUMBER(BA117)),BA113-BA117,"")</f>
        <v/>
      </c>
      <c r="BB118" s="173">
        <f>IF(AND(ISNUMBER(BB113),ISNUMBER(BB117)),BB113-BB117,"")</f>
        <v/>
      </c>
      <c r="BC118" s="173">
        <f>IF(AND(ISNUMBER(BC113),ISNUMBER(BC117)),BC113-BC117,"")</f>
        <v/>
      </c>
      <c r="BD118" s="173">
        <f>IF(AND(ISNUMBER(BD113),ISNUMBER(BD117)),BD113-BD117,"")</f>
        <v/>
      </c>
      <c r="BE118" s="173">
        <f>IF(AND(ISNUMBER(BE113),ISNUMBER(BE117)),BE113-BE117,"")</f>
        <v/>
      </c>
      <c r="BF118" s="173">
        <f>IF(AND(ISNUMBER(BF113),ISNUMBER(BF117)),BF113-BF117,"")</f>
        <v/>
      </c>
      <c r="BG118" s="173">
        <f>IF(AND(ISNUMBER(BG113),ISNUMBER(BG117)),BG113-BG117,"")</f>
        <v/>
      </c>
      <c r="BH118" s="173">
        <f>IF(AND(ISNUMBER(BH113),ISNUMBER(BH117)),BH113-BH117,"")</f>
        <v/>
      </c>
      <c r="BI118" s="173">
        <f>IF(AND(ISNUMBER(BI113),ISNUMBER(BI117)),BI113-BI117,"")</f>
        <v/>
      </c>
      <c r="BJ118" s="173">
        <f>IF(AND(ISNUMBER(BJ113),ISNUMBER(BJ117)),BJ113-BJ117,"")</f>
        <v/>
      </c>
      <c r="BK118" s="173">
        <f>IF(AND(ISNUMBER(BK113),ISNUMBER(BK117)),BK113-BK117,"")</f>
        <v/>
      </c>
      <c r="BL118" s="173">
        <f>IF(AND(ISNUMBER(BL113),ISNUMBER(BL117)),BL113-BL117,"")</f>
        <v/>
      </c>
      <c r="BM118" s="173">
        <f>IF(AND(ISNUMBER(BM113),ISNUMBER(BM117)),BM113-BM117,"")</f>
        <v/>
      </c>
      <c r="BN118" s="173">
        <f>IF(AND(ISNUMBER(BN113),ISNUMBER(BN117)),BN113-BN117,"")</f>
        <v/>
      </c>
      <c r="BO118" s="173">
        <f>IF(AND(ISNUMBER(BO113),ISNUMBER(BO117)),BO113-BO117,"")</f>
        <v/>
      </c>
      <c r="BP118" s="173">
        <f>IF(AND(ISNUMBER(BP113),ISNUMBER(BP117)),BP113-BP117,"")</f>
        <v/>
      </c>
      <c r="BQ118" s="173">
        <f>IF(AND(ISNUMBER(BQ113),ISNUMBER(BQ117)),BQ113-BQ117,"")</f>
        <v/>
      </c>
      <c r="BR118" s="173">
        <f>IF(AND(ISNUMBER(BR113),ISNUMBER(BR117)),BR113-BR117,"")</f>
        <v/>
      </c>
      <c r="BS118" s="173">
        <f>IF(AND(ISNUMBER(BS113),ISNUMBER(BS117)),BS113-BS117,"")</f>
        <v/>
      </c>
      <c r="BT118" s="173">
        <f>IF(AND(ISNUMBER(BT113),ISNUMBER(BT117)),BT113-BT117,"")</f>
        <v/>
      </c>
      <c r="BU118" s="173">
        <f>IF(AND(ISNUMBER(BU113),ISNUMBER(BU117)),BU113-BU117,"")</f>
        <v/>
      </c>
      <c r="BV118" s="173">
        <f>IF(AND(ISNUMBER(BV113),ISNUMBER(BV117)),BV113-BV117,"")</f>
        <v/>
      </c>
      <c r="BW118" s="173">
        <f>IF(AND(ISNUMBER(BW113),ISNUMBER(BW117)),BW113-BW117,"")</f>
        <v/>
      </c>
      <c r="BX118" s="173">
        <f>IF(AND(ISNUMBER(BX113),ISNUMBER(BX117)),BX113-BX117,"")</f>
        <v/>
      </c>
      <c r="BY118" s="173">
        <f>IF(AND(ISNUMBER(BY113),ISNUMBER(BY117)),BY113-BY117,"")</f>
        <v/>
      </c>
      <c r="BZ118" s="173">
        <f>IF(AND(ISNUMBER(BZ113),ISNUMBER(BZ117)),BZ113-BZ117,"")</f>
        <v/>
      </c>
      <c r="CA118" s="173">
        <f>IF(AND(ISNUMBER(CA113),ISNUMBER(CA117)),CA113-CA117,"")</f>
        <v/>
      </c>
      <c r="CB118" s="173">
        <f>IF(AND(ISNUMBER(CB113),ISNUMBER(CB117)),CB113-CB117,"")</f>
        <v/>
      </c>
      <c r="CC118" s="173">
        <f>IF(AND(ISNUMBER(CC113),ISNUMBER(CC117)),CC113-CC117,"")</f>
        <v/>
      </c>
      <c r="CD118" s="173">
        <f>IF(AND(ISNUMBER(CD113),ISNUMBER(CD117)),CD113-CD117,"")</f>
        <v/>
      </c>
      <c r="CE118" s="173">
        <f>IF(AND(ISNUMBER(CE113),ISNUMBER(CE117)),CE113-CE117,"")</f>
        <v/>
      </c>
      <c r="CF118" s="173">
        <f>IF(AND(ISNUMBER(CF113),ISNUMBER(CF117)),CF113-CF117,"")</f>
        <v/>
      </c>
      <c r="CG118" s="173">
        <f>IF(AND(ISNUMBER(CG113),ISNUMBER(CG117)),CG113-CG117,"")</f>
        <v/>
      </c>
      <c r="CH118" s="173">
        <f>IF(AND(ISNUMBER(CH113),ISNUMBER(CH117)),CH113-CH117,"")</f>
        <v/>
      </c>
      <c r="CI118" s="173">
        <f>IF(AND(ISNUMBER(CI113),ISNUMBER(CI117)),CI113-CI117,"")</f>
        <v/>
      </c>
      <c r="CJ118" s="173">
        <f>IF(AND(ISNUMBER(CJ113),ISNUMBER(CJ117)),CJ113-CJ117,"")</f>
        <v/>
      </c>
      <c r="CK118" s="173">
        <f>IF(AND(ISNUMBER(CK113),ISNUMBER(CK117)),CK113-CK117,"")</f>
        <v/>
      </c>
      <c r="CL118" s="173">
        <f>IF(AND(ISNUMBER(CL113),ISNUMBER(CL117)),CL113-CL117,"")</f>
        <v/>
      </c>
      <c r="CM118" s="174">
        <f>IF(AND(ISNUMBER(CM113),ISNUMBER(CM117)),CM113-CM117,"")</f>
        <v/>
      </c>
      <c r="CN118" s="174">
        <f>IF(AND(ISNUMBER(CN113),ISNUMBER(CN117)),CN113-CN117,"")</f>
        <v/>
      </c>
      <c r="CO118" s="174">
        <f>IF(AND(ISNUMBER(CO113),ISNUMBER(CO117)),CO113-CO117,"")</f>
        <v/>
      </c>
      <c r="CP118" s="174">
        <f>IF(AND(ISNUMBER(CP113),ISNUMBER(CP117)),CP113-CP117,"")</f>
        <v/>
      </c>
      <c r="CQ118" s="174">
        <f>IF(AND(ISNUMBER(CQ113),ISNUMBER(CQ117)),CQ113-CQ117,"")</f>
        <v/>
      </c>
      <c r="CR118" s="174">
        <f>IF(AND(ISNUMBER(CR113),ISNUMBER(CR117)),CR113-CR117,"")</f>
        <v/>
      </c>
      <c r="CS118" s="174">
        <f>IF(AND(ISNUMBER(CS113),ISNUMBER(CS117)),CS113-CS117,"")</f>
        <v/>
      </c>
      <c r="CT118" s="22" t="n"/>
      <c r="CV118" s="164">
        <f>IFERROR((CS118/CI118)^(1/5)-1,"n/m")</f>
        <v/>
      </c>
      <c r="CW118" s="164">
        <f>IFERROR((CI118/BE118)^(1/5)-1,"n/m")</f>
        <v/>
      </c>
      <c r="CX118" s="164">
        <f>IFERROR((CI118/AA118)^(1/10)-1,"n/m")</f>
        <v/>
      </c>
      <c r="CY118" s="164">
        <f>IFERROR((CI118/C118)^(1/19)-1,"n/m")</f>
        <v/>
      </c>
    </row>
    <row r="119" ht="15" customHeight="1">
      <c r="B119" s="12" t="inlineStr">
        <is>
          <t xml:space="preserve">  Operating earnings (GAAP; Σ segment GP − SAG + other operating)</t>
        </is>
      </c>
      <c r="C119" s="170">
        <f>IF(ISNUMBER(C109),C109-C77+N(C80),"")</f>
        <v/>
      </c>
      <c r="D119" s="170">
        <f>IF(ISNUMBER(D109),D109-D77+N(D80),"")</f>
        <v/>
      </c>
      <c r="E119" s="170">
        <f>IF(ISNUMBER(E109),E109-E77+N(E80),"")</f>
        <v/>
      </c>
      <c r="F119" s="170">
        <f>IF(ISNUMBER(F109),F109-F77+N(F80),"")</f>
        <v/>
      </c>
      <c r="G119" s="170">
        <f>IF(ISNUMBER(G109),G109-G77+N(G80),"")</f>
        <v/>
      </c>
      <c r="H119" s="170">
        <f>IF(ISNUMBER(H109),H109-H77+N(H80),"")</f>
        <v/>
      </c>
      <c r="I119" s="170">
        <f>IF(ISNUMBER(I109),I109-I77+N(I80),"")</f>
        <v/>
      </c>
      <c r="J119" s="170">
        <f>IF(ISNUMBER(J109),J109-J77+N(J80),"")</f>
        <v/>
      </c>
      <c r="K119" s="170">
        <f>IF(ISNUMBER(K109),K109-K77+N(K80),"")</f>
        <v/>
      </c>
      <c r="L119" s="170">
        <f>IF(ISNUMBER(L109),L109-L77+N(L80),"")</f>
        <v/>
      </c>
      <c r="M119" s="170">
        <f>IF(ISNUMBER(M109),M109-M77+N(M80),"")</f>
        <v/>
      </c>
      <c r="N119" s="170">
        <f>IF(ISNUMBER(N109),N109-N77+N(N80),"")</f>
        <v/>
      </c>
      <c r="O119" s="170">
        <f>IF(ISNUMBER(O109),O109-O77+N(O80),"")</f>
        <v/>
      </c>
      <c r="P119" s="170">
        <f>IF(ISNUMBER(P109),P109-P77+N(P80),"")</f>
        <v/>
      </c>
      <c r="Q119" s="170">
        <f>IF(ISNUMBER(Q109),Q109-Q77+N(Q80),"")</f>
        <v/>
      </c>
      <c r="R119" s="170">
        <f>IF(ISNUMBER(R109),R109-R77+N(R80),"")</f>
        <v/>
      </c>
      <c r="S119" s="170">
        <f>IF(ISNUMBER(S109),S109-S77+N(S80),"")</f>
        <v/>
      </c>
      <c r="T119" s="170">
        <f>IF(ISNUMBER(T109),T109-T77+N(T80),"")</f>
        <v/>
      </c>
      <c r="U119" s="170">
        <f>IF(ISNUMBER(U109),U109-U77+N(U80),"")</f>
        <v/>
      </c>
      <c r="V119" s="170">
        <f>IF(ISNUMBER(V109),V109-V77+N(V80),"")</f>
        <v/>
      </c>
      <c r="W119" s="170">
        <f>IF(ISNUMBER(W109),W109-W77+N(W80),"")</f>
        <v/>
      </c>
      <c r="X119" s="170">
        <f>IF(ISNUMBER(X109),X109-X77+N(X80),"")</f>
        <v/>
      </c>
      <c r="Y119" s="170">
        <f>IF(ISNUMBER(Y109),Y109-Y77+N(Y80),"")</f>
        <v/>
      </c>
      <c r="Z119" s="170">
        <f>IF(ISNUMBER(Z109),Z109-Z77+N(Z80),"")</f>
        <v/>
      </c>
      <c r="AA119" s="170">
        <f>IF(ISNUMBER(AA109),AA109-AA77+N(AA80),"")</f>
        <v/>
      </c>
      <c r="AB119" s="170">
        <f>IF(ISNUMBER(AB109),AB109-AB77+N(AB80),"")</f>
        <v/>
      </c>
      <c r="AC119" s="170">
        <f>IF(ISNUMBER(AC109),AC109-AC77+N(AC80),"")</f>
        <v/>
      </c>
      <c r="AD119" s="170">
        <f>IF(ISNUMBER(AD109),AD109-AD77+N(AD80),"")</f>
        <v/>
      </c>
      <c r="AE119" s="170">
        <f>IF(ISNUMBER(AE109),AE109-AE77+N(AE80),"")</f>
        <v/>
      </c>
      <c r="AF119" s="170">
        <f>IF(ISNUMBER(AF109),AF109-AF77+N(AF80),"")</f>
        <v/>
      </c>
      <c r="AG119" s="170">
        <f>IF(ISNUMBER(AG109),AG109-AG77+N(AG80),"")</f>
        <v/>
      </c>
      <c r="AH119" s="170">
        <f>IF(ISNUMBER(AH109),AH109-AH77+N(AH80),"")</f>
        <v/>
      </c>
      <c r="AI119" s="170">
        <f>IF(ISNUMBER(AI109),AI109-AI77+N(AI80),"")</f>
        <v/>
      </c>
      <c r="AJ119" s="170">
        <f>IF(ISNUMBER(AJ109),AJ109-AJ77+N(AJ80),"")</f>
        <v/>
      </c>
      <c r="AK119" s="170">
        <f>IF(ISNUMBER(AK109),AK109-AK77+N(AK80),"")</f>
        <v/>
      </c>
      <c r="AL119" s="170">
        <f>IF(ISNUMBER(AL109),AL109-AL77+N(AL80),"")</f>
        <v/>
      </c>
      <c r="AM119" s="170">
        <f>IF(ISNUMBER(AM109),AM109-AM77+N(AM80),"")</f>
        <v/>
      </c>
      <c r="AN119" s="170">
        <f>IF(ISNUMBER(AN109),AN109-AN77+N(AN80),"")</f>
        <v/>
      </c>
      <c r="AO119" s="170">
        <f>IF(ISNUMBER(AO109),AO109-AO77+N(AO80),"")</f>
        <v/>
      </c>
      <c r="AP119" s="170">
        <f>IF(ISNUMBER(AP109),AP109-AP77+N(AP80),"")</f>
        <v/>
      </c>
      <c r="AQ119" s="170">
        <f>IF(ISNUMBER(AQ109),AQ109-AQ77+N(AQ80),"")</f>
        <v/>
      </c>
      <c r="AR119" s="170">
        <f>IF(ISNUMBER(AR109),AR109-AR77+N(AR80),"")</f>
        <v/>
      </c>
      <c r="AS119" s="170">
        <f>IF(ISNUMBER(AS109),AS109-AS77+N(AS80),"")</f>
        <v/>
      </c>
      <c r="AT119" s="170">
        <f>IF(ISNUMBER(AT109),AT109-AT77+N(AT80),"")</f>
        <v/>
      </c>
      <c r="AU119" s="170">
        <f>IF(ISNUMBER(AU109),AU109-AU77+N(AU80),"")</f>
        <v/>
      </c>
      <c r="AV119" s="170">
        <f>IF(ISNUMBER(AV109),AV109-AV77+N(AV80),"")</f>
        <v/>
      </c>
      <c r="AW119" s="170">
        <f>IF(ISNUMBER(AW109),AW109-AW77+N(AW80),"")</f>
        <v/>
      </c>
      <c r="AX119" s="170">
        <f>IF(ISNUMBER(AX109),AX109-AX77+N(AX80),"")</f>
        <v/>
      </c>
      <c r="AY119" s="170">
        <f>IF(ISNUMBER(AY109),AY109-AY77+N(AY80),"")</f>
        <v/>
      </c>
      <c r="AZ119" s="170">
        <f>IF(ISNUMBER(AZ109),AZ109-AZ77+N(AZ80),"")</f>
        <v/>
      </c>
      <c r="BA119" s="170">
        <f>IF(ISNUMBER(BA109),BA109-BA77+N(BA80),"")</f>
        <v/>
      </c>
      <c r="BB119" s="170">
        <f>IF(ISNUMBER(BB109),BB109-BB77+N(BB80),"")</f>
        <v/>
      </c>
      <c r="BC119" s="170">
        <f>IF(ISNUMBER(BC109),BC109-BC77+N(BC80),"")</f>
        <v/>
      </c>
      <c r="BD119" s="170">
        <f>IF(ISNUMBER(BD109),BD109-BD77+N(BD80),"")</f>
        <v/>
      </c>
      <c r="BE119" s="170">
        <f>IF(ISNUMBER(BE109),BE109-BE77+N(BE80),"")</f>
        <v/>
      </c>
      <c r="BF119" s="170">
        <f>IF(ISNUMBER(BF109),BF109-BF77+N(BF80),"")</f>
        <v/>
      </c>
      <c r="BG119" s="170">
        <f>IF(ISNUMBER(BG109),BG109-BG77+N(BG80),"")</f>
        <v/>
      </c>
      <c r="BH119" s="170">
        <f>IF(ISNUMBER(BH109),BH109-BH77+N(BH80),"")</f>
        <v/>
      </c>
      <c r="BI119" s="170">
        <f>IF(ISNUMBER(BI109),BI109-BI77+N(BI80),"")</f>
        <v/>
      </c>
      <c r="BJ119" s="170">
        <f>IF(ISNUMBER(BJ109),BJ109-BJ77+N(BJ80),"")</f>
        <v/>
      </c>
      <c r="BK119" s="170">
        <f>IF(ISNUMBER(BK109),BK109-BK77+N(BK80),"")</f>
        <v/>
      </c>
      <c r="BL119" s="170">
        <f>IF(ISNUMBER(BL109),BL109-BL77+N(BL80),"")</f>
        <v/>
      </c>
      <c r="BM119" s="170">
        <f>IF(ISNUMBER(BM109),BM109-BM77+N(BM80),"")</f>
        <v/>
      </c>
      <c r="BN119" s="170">
        <f>IF(ISNUMBER(BN109),BN109-BN77+N(BN80),"")</f>
        <v/>
      </c>
      <c r="BO119" s="170">
        <f>IF(ISNUMBER(BO109),BO109-BO77+N(BO80),"")</f>
        <v/>
      </c>
      <c r="BP119" s="170">
        <f>IF(ISNUMBER(BP109),BP109-BP77+N(BP80),"")</f>
        <v/>
      </c>
      <c r="BQ119" s="170">
        <f>IF(ISNUMBER(BQ109),BQ109-BQ77+N(BQ80),"")</f>
        <v/>
      </c>
      <c r="BR119" s="170">
        <f>IF(ISNUMBER(BR109),BR109-BR77+N(BR80),"")</f>
        <v/>
      </c>
      <c r="BS119" s="170">
        <f>IF(ISNUMBER(BS109),BS109-BS77+N(BS80),"")</f>
        <v/>
      </c>
      <c r="BT119" s="170">
        <f>IF(ISNUMBER(BT109),BT109-BT77+N(BT80),"")</f>
        <v/>
      </c>
      <c r="BU119" s="170">
        <f>IF(ISNUMBER(BU109),BU109-BU77+N(BU80),"")</f>
        <v/>
      </c>
      <c r="BV119" s="170">
        <f>IF(ISNUMBER(BV109),BV109-BV77+N(BV80),"")</f>
        <v/>
      </c>
      <c r="BW119" s="170">
        <f>IF(ISNUMBER(BW109),BW109-BW77+N(BW80),"")</f>
        <v/>
      </c>
      <c r="BX119" s="170">
        <f>IF(ISNUMBER(BX109),BX109-BX77+N(BX80),"")</f>
        <v/>
      </c>
      <c r="BY119" s="170">
        <f>IF(ISNUMBER(BY109),BY109-BY77+N(BY80),"")</f>
        <v/>
      </c>
      <c r="BZ119" s="170">
        <f>IF(ISNUMBER(BZ109),BZ109-BZ77+N(BZ80),"")</f>
        <v/>
      </c>
      <c r="CA119" s="170">
        <f>IF(ISNUMBER(CA109),CA109-CA77+N(CA80),"")</f>
        <v/>
      </c>
      <c r="CB119" s="170">
        <f>IF(ISNUMBER(CB109),CB109-CB77+N(CB80),"")</f>
        <v/>
      </c>
      <c r="CC119" s="170">
        <f>IF(ISNUMBER(CC109),CC109-CC77+N(CC80),"")</f>
        <v/>
      </c>
      <c r="CD119" s="170">
        <f>IF(ISNUMBER(CD109),CD109-CD77+N(CD80),"")</f>
        <v/>
      </c>
      <c r="CE119" s="170">
        <f>IF(ISNUMBER(CE109),CE109-CE77+N(CE80),"")</f>
        <v/>
      </c>
      <c r="CF119" s="170">
        <f>IF(ISNUMBER(CF109),CF109-CF77+N(CF80),"")</f>
        <v/>
      </c>
      <c r="CG119" s="170">
        <f>IF(ISNUMBER(CG109),CG109-CG77+N(CG80),"")</f>
        <v/>
      </c>
      <c r="CH119" s="170">
        <f>IF(ISNUMBER(CH109),CH109-CH77+N(CH80),"")</f>
        <v/>
      </c>
      <c r="CI119" s="170">
        <f>IF(ISNUMBER(CI109),CI109-CI77+N(CI80),"")</f>
        <v/>
      </c>
      <c r="CJ119" s="170">
        <f>IF(ISNUMBER(CJ109),CJ109-CJ77+N(CJ80),"")</f>
        <v/>
      </c>
      <c r="CK119" s="170">
        <f>IF(ISNUMBER(CK109),CK109-CK77+N(CK80),"")</f>
        <v/>
      </c>
      <c r="CL119" s="170">
        <f>IF(ISNUMBER(CL109),CL109-CL77+N(CL80),"")</f>
        <v/>
      </c>
      <c r="CM119" s="171">
        <f>IF(ISNUMBER(CM109),CM109-CM77+N(CM80),"")</f>
        <v/>
      </c>
      <c r="CN119" s="171">
        <f>IF(ISNUMBER(CN109),CN109-CN77+N(CN80),"")</f>
        <v/>
      </c>
      <c r="CO119" s="171">
        <f>IF(ISNUMBER(CO109),CO109-CO77+N(CO80),"")</f>
        <v/>
      </c>
      <c r="CP119" s="171">
        <f>IF(ISNUMBER(CP109),CP109-CP77+N(CP80),"")</f>
        <v/>
      </c>
      <c r="CQ119" s="171">
        <f>IF(ISNUMBER(CQ109),CQ109-CQ77+N(CQ80),"")</f>
        <v/>
      </c>
      <c r="CR119" s="171">
        <f>IF(ISNUMBER(CR109),CR109-CR77+N(CR80),"")</f>
        <v/>
      </c>
      <c r="CS119" s="171">
        <f>IF(ISNUMBER(CS109),CS109-CS77+N(CS80),"")</f>
        <v/>
      </c>
      <c r="CT119" s="22" t="n"/>
      <c r="CV119" s="23">
        <f>IFERROR((CS119/CI119)^(1/5)-1,"n/m")</f>
        <v/>
      </c>
      <c r="CW119" s="23">
        <f>IFERROR((CI119/BE119)^(1/5)-1,"n/m")</f>
        <v/>
      </c>
      <c r="CX119" s="23">
        <f>IFERROR((CI119/AA119)^(1/10)-1,"n/m")</f>
        <v/>
      </c>
      <c r="CY119" s="23">
        <f>IFERROR((CI119/C119)^(1/19)-1,"n/m")</f>
        <v/>
      </c>
    </row>
    <row r="120" ht="15" customHeight="1">
      <c r="B120" s="25" t="inlineStr">
        <is>
          <t xml:space="preserve">  Total revenues y/y %</t>
        </is>
      </c>
      <c r="C120" s="26" t="n"/>
      <c r="D120" s="26">
        <f>IF(AND(ISNUMBER(D108),ISNUMBER(C108)),IFERROR(D108/C108-1,""),"")</f>
        <v/>
      </c>
      <c r="E120" s="26">
        <f>IF(AND(ISNUMBER(E108),ISNUMBER(D108)),IFERROR(E108/D108-1,""),"")</f>
        <v/>
      </c>
      <c r="F120" s="26">
        <f>IF(AND(ISNUMBER(F108),ISNUMBER(E108)),IFERROR(F108/E108-1,""),"")</f>
        <v/>
      </c>
      <c r="G120" s="26">
        <f>IF(AND(ISNUMBER(G108),ISNUMBER(F108)),IFERROR(G108/F108-1,""),"")</f>
        <v/>
      </c>
      <c r="H120" s="26">
        <f>IF(AND(ISNUMBER(H108),ISNUMBER(G108)),IFERROR(H108/G108-1,""),"")</f>
        <v/>
      </c>
      <c r="I120" s="26">
        <f>IF(AND(ISNUMBER(I108),ISNUMBER(H108)),IFERROR(I108/H108-1,""),"")</f>
        <v/>
      </c>
      <c r="J120" s="26" t="n"/>
      <c r="K120" s="26" t="n"/>
      <c r="L120" s="26" t="n"/>
      <c r="M120" s="26" t="n"/>
      <c r="N120" s="26" t="n"/>
      <c r="O120" s="26">
        <f>IF(AND(ISNUMBER(O108),ISNUMBER(I108)),IFERROR(O108/I108-1,""),"")</f>
        <v/>
      </c>
      <c r="P120" s="26">
        <f>IF(AND(ISNUMBER(P108),ISNUMBER(J108)),IFERROR(P108/J108-1,""),"")</f>
        <v/>
      </c>
      <c r="Q120" s="26">
        <f>IF(AND(ISNUMBER(Q108),ISNUMBER(K108)),IFERROR(Q108/K108-1,""),"")</f>
        <v/>
      </c>
      <c r="R120" s="26">
        <f>IF(AND(ISNUMBER(R108),ISNUMBER(L108)),IFERROR(R108/L108-1,""),"")</f>
        <v/>
      </c>
      <c r="S120" s="26">
        <f>IF(AND(ISNUMBER(S108),ISNUMBER(M108)),IFERROR(S108/M108-1,""),"")</f>
        <v/>
      </c>
      <c r="T120" s="26">
        <f>IF(AND(ISNUMBER(T108),ISNUMBER(N108)),IFERROR(T108/N108-1,""),"")</f>
        <v/>
      </c>
      <c r="U120" s="26">
        <f>IF(AND(ISNUMBER(U108),ISNUMBER(O108)),IFERROR(U108/O108-1,""),"")</f>
        <v/>
      </c>
      <c r="V120" s="26">
        <f>IF(AND(ISNUMBER(V108),ISNUMBER(P108)),IFERROR(V108/P108-1,""),"")</f>
        <v/>
      </c>
      <c r="W120" s="26">
        <f>IF(AND(ISNUMBER(W108),ISNUMBER(Q108)),IFERROR(W108/Q108-1,""),"")</f>
        <v/>
      </c>
      <c r="X120" s="26">
        <f>IF(AND(ISNUMBER(X108),ISNUMBER(R108)),IFERROR(X108/R108-1,""),"")</f>
        <v/>
      </c>
      <c r="Y120" s="26">
        <f>IF(AND(ISNUMBER(Y108),ISNUMBER(S108)),IFERROR(Y108/S108-1,""),"")</f>
        <v/>
      </c>
      <c r="Z120" s="26">
        <f>IF(AND(ISNUMBER(Z108),ISNUMBER(T108)),IFERROR(Z108/T108-1,""),"")</f>
        <v/>
      </c>
      <c r="AA120" s="26">
        <f>IF(AND(ISNUMBER(AA108),ISNUMBER(U108)),IFERROR(AA108/U108-1,""),"")</f>
        <v/>
      </c>
      <c r="AB120" s="26">
        <f>IF(AND(ISNUMBER(AB108),ISNUMBER(V108)),IFERROR(AB108/V108-1,""),"")</f>
        <v/>
      </c>
      <c r="AC120" s="26">
        <f>IF(AND(ISNUMBER(AC108),ISNUMBER(W108)),IFERROR(AC108/W108-1,""),"")</f>
        <v/>
      </c>
      <c r="AD120" s="26">
        <f>IF(AND(ISNUMBER(AD108),ISNUMBER(X108)),IFERROR(AD108/X108-1,""),"")</f>
        <v/>
      </c>
      <c r="AE120" s="26">
        <f>IF(AND(ISNUMBER(AE108),ISNUMBER(Y108)),IFERROR(AE108/Y108-1,""),"")</f>
        <v/>
      </c>
      <c r="AF120" s="26">
        <f>IF(AND(ISNUMBER(AF108),ISNUMBER(Z108)),IFERROR(AF108/Z108-1,""),"")</f>
        <v/>
      </c>
      <c r="AG120" s="26">
        <f>IF(AND(ISNUMBER(AG108),ISNUMBER(AA108)),IFERROR(AG108/AA108-1,""),"")</f>
        <v/>
      </c>
      <c r="AH120" s="26">
        <f>IF(AND(ISNUMBER(AH108),ISNUMBER(AB108)),IFERROR(AH108/AB108-1,""),"")</f>
        <v/>
      </c>
      <c r="AI120" s="26">
        <f>IF(AND(ISNUMBER(AI108),ISNUMBER(AC108)),IFERROR(AI108/AC108-1,""),"")</f>
        <v/>
      </c>
      <c r="AJ120" s="26">
        <f>IF(AND(ISNUMBER(AJ108),ISNUMBER(AD108)),IFERROR(AJ108/AD108-1,""),"")</f>
        <v/>
      </c>
      <c r="AK120" s="26">
        <f>IF(AND(ISNUMBER(AK108),ISNUMBER(AE108)),IFERROR(AK108/AE108-1,""),"")</f>
        <v/>
      </c>
      <c r="AL120" s="26">
        <f>IF(AND(ISNUMBER(AL108),ISNUMBER(AF108)),IFERROR(AL108/AF108-1,""),"")</f>
        <v/>
      </c>
      <c r="AM120" s="26">
        <f>IF(AND(ISNUMBER(AM108),ISNUMBER(AG108)),IFERROR(AM108/AG108-1,""),"")</f>
        <v/>
      </c>
      <c r="AN120" s="26">
        <f>IF(AND(ISNUMBER(AN108),ISNUMBER(AH108)),IFERROR(AN108/AH108-1,""),"")</f>
        <v/>
      </c>
      <c r="AO120" s="26">
        <f>IF(AND(ISNUMBER(AO108),ISNUMBER(AI108)),IFERROR(AO108/AI108-1,""),"")</f>
        <v/>
      </c>
      <c r="AP120" s="26">
        <f>IF(AND(ISNUMBER(AP108),ISNUMBER(AJ108)),IFERROR(AP108/AJ108-1,""),"")</f>
        <v/>
      </c>
      <c r="AQ120" s="26">
        <f>IF(AND(ISNUMBER(AQ108),ISNUMBER(AK108)),IFERROR(AQ108/AK108-1,""),"")</f>
        <v/>
      </c>
      <c r="AR120" s="26">
        <f>IF(AND(ISNUMBER(AR108),ISNUMBER(AL108)),IFERROR(AR108/AL108-1,""),"")</f>
        <v/>
      </c>
      <c r="AS120" s="26">
        <f>IF(AND(ISNUMBER(AS108),ISNUMBER(AM108)),IFERROR(AS108/AM108-1,""),"")</f>
        <v/>
      </c>
      <c r="AT120" s="26">
        <f>IF(AND(ISNUMBER(AT108),ISNUMBER(AN108)),IFERROR(AT108/AN108-1,""),"")</f>
        <v/>
      </c>
      <c r="AU120" s="26">
        <f>IF(AND(ISNUMBER(AU108),ISNUMBER(AO108)),IFERROR(AU108/AO108-1,""),"")</f>
        <v/>
      </c>
      <c r="AV120" s="26">
        <f>IF(AND(ISNUMBER(AV108),ISNUMBER(AP108)),IFERROR(AV108/AP108-1,""),"")</f>
        <v/>
      </c>
      <c r="AW120" s="26">
        <f>IF(AND(ISNUMBER(AW108),ISNUMBER(AQ108)),IFERROR(AW108/AQ108-1,""),"")</f>
        <v/>
      </c>
      <c r="AX120" s="26">
        <f>IF(AND(ISNUMBER(AX108),ISNUMBER(AR108)),IFERROR(AX108/AR108-1,""),"")</f>
        <v/>
      </c>
      <c r="AY120" s="26">
        <f>IF(AND(ISNUMBER(AY108),ISNUMBER(AS108)),IFERROR(AY108/AS108-1,""),"")</f>
        <v/>
      </c>
      <c r="AZ120" s="26">
        <f>IF(AND(ISNUMBER(AZ108),ISNUMBER(AT108)),IFERROR(AZ108/AT108-1,""),"")</f>
        <v/>
      </c>
      <c r="BA120" s="26">
        <f>IF(AND(ISNUMBER(BA108),ISNUMBER(AU108)),IFERROR(BA108/AU108-1,""),"")</f>
        <v/>
      </c>
      <c r="BB120" s="26">
        <f>IF(AND(ISNUMBER(BB108),ISNUMBER(AV108)),IFERROR(BB108/AV108-1,""),"")</f>
        <v/>
      </c>
      <c r="BC120" s="26">
        <f>IF(AND(ISNUMBER(BC108),ISNUMBER(AW108)),IFERROR(BC108/AW108-1,""),"")</f>
        <v/>
      </c>
      <c r="BD120" s="26">
        <f>IF(AND(ISNUMBER(BD108),ISNUMBER(AX108)),IFERROR(BD108/AX108-1,""),"")</f>
        <v/>
      </c>
      <c r="BE120" s="26">
        <f>IF(AND(ISNUMBER(BE108),ISNUMBER(AY108)),IFERROR(BE108/AY108-1,""),"")</f>
        <v/>
      </c>
      <c r="BF120" s="26">
        <f>IF(AND(ISNUMBER(BF108),ISNUMBER(AZ108)),IFERROR(BF108/AZ108-1,""),"")</f>
        <v/>
      </c>
      <c r="BG120" s="26">
        <f>IF(AND(ISNUMBER(BG108),ISNUMBER(BA108)),IFERROR(BG108/BA108-1,""),"")</f>
        <v/>
      </c>
      <c r="BH120" s="26">
        <f>IF(AND(ISNUMBER(BH108),ISNUMBER(BB108)),IFERROR(BH108/BB108-1,""),"")</f>
        <v/>
      </c>
      <c r="BI120" s="26">
        <f>IF(AND(ISNUMBER(BI108),ISNUMBER(BC108)),IFERROR(BI108/BC108-1,""),"")</f>
        <v/>
      </c>
      <c r="BJ120" s="26">
        <f>IF(AND(ISNUMBER(BJ108),ISNUMBER(BD108)),IFERROR(BJ108/BD108-1,""),"")</f>
        <v/>
      </c>
      <c r="BK120" s="26">
        <f>IF(AND(ISNUMBER(BK108),ISNUMBER(BE108)),IFERROR(BK108/BE108-1,""),"")</f>
        <v/>
      </c>
      <c r="BL120" s="26">
        <f>IF(AND(ISNUMBER(BL108),ISNUMBER(BF108)),IFERROR(BL108/BF108-1,""),"")</f>
        <v/>
      </c>
      <c r="BM120" s="26">
        <f>IF(AND(ISNUMBER(BM108),ISNUMBER(BG108)),IFERROR(BM108/BG108-1,""),"")</f>
        <v/>
      </c>
      <c r="BN120" s="26">
        <f>IF(AND(ISNUMBER(BN108),ISNUMBER(BH108)),IFERROR(BN108/BH108-1,""),"")</f>
        <v/>
      </c>
      <c r="BO120" s="26">
        <f>IF(AND(ISNUMBER(BO108),ISNUMBER(BI108)),IFERROR(BO108/BI108-1,""),"")</f>
        <v/>
      </c>
      <c r="BP120" s="26">
        <f>IF(AND(ISNUMBER(BP108),ISNUMBER(BJ108)),IFERROR(BP108/BJ108-1,""),"")</f>
        <v/>
      </c>
      <c r="BQ120" s="26">
        <f>IF(AND(ISNUMBER(BQ108),ISNUMBER(BK108)),IFERROR(BQ108/BK108-1,""),"")</f>
        <v/>
      </c>
      <c r="BR120" s="26">
        <f>IF(AND(ISNUMBER(BR108),ISNUMBER(BL108)),IFERROR(BR108/BL108-1,""),"")</f>
        <v/>
      </c>
      <c r="BS120" s="26">
        <f>IF(AND(ISNUMBER(BS108),ISNUMBER(BM108)),IFERROR(BS108/BM108-1,""),"")</f>
        <v/>
      </c>
      <c r="BT120" s="26">
        <f>IF(AND(ISNUMBER(BT108),ISNUMBER(BN108)),IFERROR(BT108/BN108-1,""),"")</f>
        <v/>
      </c>
      <c r="BU120" s="26">
        <f>IF(AND(ISNUMBER(BU108),ISNUMBER(BO108)),IFERROR(BU108/BO108-1,""),"")</f>
        <v/>
      </c>
      <c r="BV120" s="26">
        <f>IF(AND(ISNUMBER(BV108),ISNUMBER(BP108)),IFERROR(BV108/BP108-1,""),"")</f>
        <v/>
      </c>
      <c r="BW120" s="26">
        <f>IF(AND(ISNUMBER(BW108),ISNUMBER(BQ108)),IFERROR(BW108/BQ108-1,""),"")</f>
        <v/>
      </c>
      <c r="BX120" s="26">
        <f>IF(AND(ISNUMBER(BX108),ISNUMBER(BR108)),IFERROR(BX108/BR108-1,""),"")</f>
        <v/>
      </c>
      <c r="BY120" s="26">
        <f>IF(AND(ISNUMBER(BY108),ISNUMBER(BS108)),IFERROR(BY108/BS108-1,""),"")</f>
        <v/>
      </c>
      <c r="BZ120" s="26">
        <f>IF(AND(ISNUMBER(BZ108),ISNUMBER(BT108)),IFERROR(BZ108/BT108-1,""),"")</f>
        <v/>
      </c>
      <c r="CA120" s="26">
        <f>IF(AND(ISNUMBER(CA108),ISNUMBER(BU108)),IFERROR(CA108/BU108-1,""),"")</f>
        <v/>
      </c>
      <c r="CB120" s="26">
        <f>IF(AND(ISNUMBER(CB108),ISNUMBER(BV108)),IFERROR(CB108/BV108-1,""),"")</f>
        <v/>
      </c>
      <c r="CC120" s="26">
        <f>IF(AND(ISNUMBER(CC108),ISNUMBER(BW108)),IFERROR(CC108/BW108-1,""),"")</f>
        <v/>
      </c>
      <c r="CD120" s="26">
        <f>IF(AND(ISNUMBER(CD108),ISNUMBER(BX108)),IFERROR(CD108/BX108-1,""),"")</f>
        <v/>
      </c>
      <c r="CE120" s="26">
        <f>IF(AND(ISNUMBER(CE108),ISNUMBER(BY108)),IFERROR(CE108/BY108-1,""),"")</f>
        <v/>
      </c>
      <c r="CF120" s="26">
        <f>IF(AND(ISNUMBER(CF108),ISNUMBER(BZ108)),IFERROR(CF108/BZ108-1,""),"")</f>
        <v/>
      </c>
      <c r="CG120" s="26">
        <f>IF(AND(ISNUMBER(CG108),ISNUMBER(CA108)),IFERROR(CG108/CA108-1,""),"")</f>
        <v/>
      </c>
      <c r="CH120" s="26">
        <f>IF(AND(ISNUMBER(CH108),ISNUMBER(CB108)),IFERROR(CH108/CB108-1,""),"")</f>
        <v/>
      </c>
      <c r="CI120" s="26">
        <f>IF(AND(ISNUMBER(CI108),ISNUMBER(CC108)),IFERROR(CI108/CC108-1,""),"")</f>
        <v/>
      </c>
      <c r="CJ120" s="26">
        <f>IF(AND(ISNUMBER(CJ108),ISNUMBER(CD108)),IFERROR(CJ108/CD108-1,""),"")</f>
        <v/>
      </c>
      <c r="CK120" s="26">
        <f>IF(AND(ISNUMBER(CK108),ISNUMBER(CE108)),IFERROR(CK108/CE108-1,""),"")</f>
        <v/>
      </c>
      <c r="CL120" s="26">
        <f>IF(AND(ISNUMBER(CL108),ISNUMBER(CF108)),IFERROR(CL108/CF108-1,""),"")</f>
        <v/>
      </c>
      <c r="CM120" s="165">
        <f>IF(AND(ISNUMBER(CM108),ISNUMBER(CG108)),IFERROR(CM108/CG108-1,""),"")</f>
        <v/>
      </c>
      <c r="CN120" s="165">
        <f>IF(AND(ISNUMBER(CN108),ISNUMBER(CH108)),IFERROR(CN108/CH108-1,""),"")</f>
        <v/>
      </c>
      <c r="CO120" s="165">
        <f>IF(AND(ISNUMBER(CO108),ISNUMBER(CI108)),IFERROR(CO108/CI108-1,""),"")</f>
        <v/>
      </c>
      <c r="CP120" s="165">
        <f>IF(AND(ISNUMBER(CP108),ISNUMBER(CO108)),IFERROR(CP108/CO108-1,""),"")</f>
        <v/>
      </c>
      <c r="CQ120" s="165">
        <f>IF(AND(ISNUMBER(CQ108),ISNUMBER(CP108)),IFERROR(CQ108/CP108-1,""),"")</f>
        <v/>
      </c>
      <c r="CR120" s="165">
        <f>IF(AND(ISNUMBER(CR108),ISNUMBER(CQ108)),IFERROR(CR108/CQ108-1,""),"")</f>
        <v/>
      </c>
      <c r="CS120" s="165">
        <f>IF(AND(ISNUMBER(CS108),ISNUMBER(CR108)),IFERROR(CS108/CR108-1,""),"")</f>
        <v/>
      </c>
      <c r="CT120" s="22" t="n"/>
      <c r="CV120" s="6" t="n"/>
      <c r="CW120" s="6" t="n"/>
      <c r="CX120" s="6" t="n"/>
      <c r="CY120" s="6" t="n"/>
    </row>
    <row r="121" ht="15" customHeight="1">
      <c r="B121" s="12" t="inlineStr">
        <is>
          <t xml:space="preserve">  Incremental revenues from acquisitions (disclosed / model)</t>
        </is>
      </c>
      <c r="C121" s="29" t="n"/>
      <c r="D121" s="29" t="n"/>
      <c r="E121" s="30" t="n"/>
      <c r="F121" s="30" t="n"/>
      <c r="G121" s="30" t="n"/>
      <c r="H121" s="30" t="n"/>
      <c r="I121" s="30" t="n"/>
      <c r="J121" s="30" t="n"/>
      <c r="K121" s="30" t="n"/>
      <c r="L121" s="29" t="n"/>
      <c r="M121" s="30" t="n"/>
      <c r="N121" s="30" t="n"/>
      <c r="O121" s="30" t="n"/>
      <c r="P121" s="30" t="n"/>
      <c r="Q121" s="30" t="n"/>
      <c r="R121" s="29" t="n"/>
      <c r="S121" s="30" t="n"/>
      <c r="T121" s="30" t="n"/>
      <c r="U121" s="169" t="n">
        <v>44.9</v>
      </c>
      <c r="V121" s="30" t="n"/>
      <c r="W121" s="30" t="n"/>
      <c r="X121" s="29" t="n"/>
      <c r="Y121" s="30" t="n"/>
      <c r="Z121" s="30" t="n"/>
      <c r="AA121" s="169" t="n">
        <v>67</v>
      </c>
      <c r="AB121" s="30" t="n"/>
      <c r="AC121" s="30" t="n"/>
      <c r="AD121" s="29" t="n"/>
      <c r="AE121" s="30" t="n"/>
      <c r="AF121" s="30" t="n"/>
      <c r="AG121" s="30" t="n"/>
      <c r="AH121" s="30" t="n"/>
      <c r="AI121" s="30" t="n"/>
      <c r="AJ121" s="29" t="n"/>
      <c r="AK121" s="30" t="n"/>
      <c r="AL121" s="30" t="n"/>
      <c r="AM121" s="169" t="n">
        <v>162.5</v>
      </c>
      <c r="AN121" s="30" t="n"/>
      <c r="AO121" s="30" t="n"/>
      <c r="AP121" s="29" t="n"/>
      <c r="AQ121" s="30" t="n"/>
      <c r="AR121" s="30" t="n"/>
      <c r="AS121" s="30" t="n"/>
      <c r="AT121" s="30" t="n"/>
      <c r="AU121" s="30" t="n"/>
      <c r="AV121" s="29" t="n"/>
      <c r="AW121" s="30" t="n"/>
      <c r="AX121" s="30" t="n"/>
      <c r="AY121" s="169" t="n">
        <v>35.2</v>
      </c>
      <c r="AZ121" s="30" t="n"/>
      <c r="BA121" s="30" t="n"/>
      <c r="BB121" s="29" t="n"/>
      <c r="BC121" s="30" t="n"/>
      <c r="BD121" s="30" t="n"/>
      <c r="BE121" s="30" t="n"/>
      <c r="BF121" s="30" t="n"/>
      <c r="BG121" s="30" t="n"/>
      <c r="BH121" s="29" t="n"/>
      <c r="BI121" s="30" t="n"/>
      <c r="BJ121" s="30" t="n"/>
      <c r="BK121" s="169" t="n">
        <v>466.3</v>
      </c>
      <c r="BL121" s="30" t="n"/>
      <c r="BM121" s="30" t="n"/>
      <c r="BN121" s="29" t="n"/>
      <c r="BO121" s="30" t="n"/>
      <c r="BP121" s="30" t="n"/>
      <c r="BQ121" s="30" t="n"/>
      <c r="BR121" s="30" t="n"/>
      <c r="BS121" s="30" t="n"/>
      <c r="BT121" s="29" t="n"/>
      <c r="BU121" s="30" t="n"/>
      <c r="BV121" s="30" t="n"/>
      <c r="BW121" s="30" t="n"/>
      <c r="BX121" s="30" t="n"/>
      <c r="BY121" s="30" t="n"/>
      <c r="BZ121" s="29" t="n"/>
      <c r="CA121" s="30" t="n"/>
      <c r="CB121" s="30" t="n"/>
      <c r="CC121" s="169" t="n">
        <v>13.3</v>
      </c>
      <c r="CD121" s="30" t="n"/>
      <c r="CE121" s="30" t="n"/>
      <c r="CF121" s="29" t="n"/>
      <c r="CG121" s="30" t="n"/>
      <c r="CH121" s="30" t="n"/>
      <c r="CI121" s="30" t="n"/>
      <c r="CJ121" s="30" t="n"/>
      <c r="CK121" s="30" t="n"/>
      <c r="CL121" s="29" t="n"/>
      <c r="CM121" s="31" t="n"/>
      <c r="CN121" s="31" t="n"/>
      <c r="CO121" s="183" t="n">
        <v>0</v>
      </c>
      <c r="CP121" s="171">
        <f>CP105</f>
        <v/>
      </c>
      <c r="CQ121" s="171">
        <f>CQ105</f>
        <v/>
      </c>
      <c r="CR121" s="171">
        <f>CR105</f>
        <v/>
      </c>
      <c r="CS121" s="171">
        <f>CS105</f>
        <v/>
      </c>
      <c r="CT121" s="22" t="inlineStr">
        <is>
          <t>10-K / releases where Vulcan quantified acquired revenues; otherwise blank (organic growth = total growth).</t>
        </is>
      </c>
      <c r="CV121" s="23" t="n"/>
      <c r="CW121" s="23" t="n"/>
      <c r="CX121" s="23" t="n"/>
      <c r="CY121" s="23" t="n"/>
    </row>
    <row r="122" ht="15" customHeight="1">
      <c r="B122" s="38" t="inlineStr">
        <is>
          <t xml:space="preserve">  Check: segment build vs consolidated total revenues (should be 0)</t>
        </is>
      </c>
      <c r="C122" s="176">
        <f>IF(ISNUMBER(C108),ROUND(C108-C138,1),"")</f>
        <v/>
      </c>
      <c r="D122" s="176">
        <f>IF(ISNUMBER(D108),ROUND(D108-D138,1),"")</f>
        <v/>
      </c>
      <c r="E122" s="176">
        <f>IF(ISNUMBER(E108),ROUND(E108-E138,1),"")</f>
        <v/>
      </c>
      <c r="F122" s="176">
        <f>IF(ISNUMBER(F108),ROUND(F108-F138,1),"")</f>
        <v/>
      </c>
      <c r="G122" s="176">
        <f>IF(ISNUMBER(G108),ROUND(G108-G138,1),"")</f>
        <v/>
      </c>
      <c r="H122" s="176">
        <f>IF(ISNUMBER(H108),ROUND(H108-H138,1),"")</f>
        <v/>
      </c>
      <c r="I122" s="176">
        <f>IF(ISNUMBER(I108),ROUND(I108-I138,1),"")</f>
        <v/>
      </c>
      <c r="J122" s="176">
        <f>IF(ISNUMBER(J108),ROUND(J108-J138,1),"")</f>
        <v/>
      </c>
      <c r="K122" s="176">
        <f>IF(ISNUMBER(K108),ROUND(K108-K138,1),"")</f>
        <v/>
      </c>
      <c r="L122" s="176">
        <f>IF(ISNUMBER(L108),ROUND(L108-L138,1),"")</f>
        <v/>
      </c>
      <c r="M122" s="176">
        <f>IF(ISNUMBER(M108),ROUND(M108-M138,1),"")</f>
        <v/>
      </c>
      <c r="N122" s="176">
        <f>IF(ISNUMBER(N108),ROUND(N108-N138,1),"")</f>
        <v/>
      </c>
      <c r="O122" s="176">
        <f>IF(ISNUMBER(O108),ROUND(O108-O138,1),"")</f>
        <v/>
      </c>
      <c r="P122" s="176">
        <f>IF(ISNUMBER(P108),ROUND(P108-P138,1),"")</f>
        <v/>
      </c>
      <c r="Q122" s="176">
        <f>IF(ISNUMBER(Q108),ROUND(Q108-Q138,1),"")</f>
        <v/>
      </c>
      <c r="R122" s="176">
        <f>IF(ISNUMBER(R108),ROUND(R108-R138,1),"")</f>
        <v/>
      </c>
      <c r="S122" s="176">
        <f>IF(ISNUMBER(S108),ROUND(S108-S138,1),"")</f>
        <v/>
      </c>
      <c r="T122" s="176">
        <f>IF(ISNUMBER(T108),ROUND(T108-T138,1),"")</f>
        <v/>
      </c>
      <c r="U122" s="176">
        <f>IF(ISNUMBER(U108),ROUND(U108-U138,1),"")</f>
        <v/>
      </c>
      <c r="V122" s="176">
        <f>IF(ISNUMBER(V108),ROUND(V108-V138,1),"")</f>
        <v/>
      </c>
      <c r="W122" s="176">
        <f>IF(ISNUMBER(W108),ROUND(W108-W138,1),"")</f>
        <v/>
      </c>
      <c r="X122" s="176">
        <f>IF(ISNUMBER(X108),ROUND(X108-X138,1),"")</f>
        <v/>
      </c>
      <c r="Y122" s="176">
        <f>IF(ISNUMBER(Y108),ROUND(Y108-Y138,1),"")</f>
        <v/>
      </c>
      <c r="Z122" s="176">
        <f>IF(ISNUMBER(Z108),ROUND(Z108-Z138,1),"")</f>
        <v/>
      </c>
      <c r="AA122" s="176">
        <f>IF(ISNUMBER(AA108),ROUND(AA108-AA138,1),"")</f>
        <v/>
      </c>
      <c r="AB122" s="176">
        <f>IF(ISNUMBER(AB108),ROUND(AB108-AB138,1),"")</f>
        <v/>
      </c>
      <c r="AC122" s="176">
        <f>IF(ISNUMBER(AC108),ROUND(AC108-AC138,1),"")</f>
        <v/>
      </c>
      <c r="AD122" s="176">
        <f>IF(ISNUMBER(AD108),ROUND(AD108-AD138,1),"")</f>
        <v/>
      </c>
      <c r="AE122" s="176">
        <f>IF(ISNUMBER(AE108),ROUND(AE108-AE138,1),"")</f>
        <v/>
      </c>
      <c r="AF122" s="176">
        <f>IF(ISNUMBER(AF108),ROUND(AF108-AF138,1),"")</f>
        <v/>
      </c>
      <c r="AG122" s="176">
        <f>IF(ISNUMBER(AG108),ROUND(AG108-AG138,1),"")</f>
        <v/>
      </c>
      <c r="AH122" s="176">
        <f>IF(ISNUMBER(AH108),ROUND(AH108-AH138,1),"")</f>
        <v/>
      </c>
      <c r="AI122" s="176">
        <f>IF(ISNUMBER(AI108),ROUND(AI108-AI138,1),"")</f>
        <v/>
      </c>
      <c r="AJ122" s="176">
        <f>IF(ISNUMBER(AJ108),ROUND(AJ108-AJ138,1),"")</f>
        <v/>
      </c>
      <c r="AK122" s="176">
        <f>IF(ISNUMBER(AK108),ROUND(AK108-AK138,1),"")</f>
        <v/>
      </c>
      <c r="AL122" s="176">
        <f>IF(ISNUMBER(AL108),ROUND(AL108-AL138,1),"")</f>
        <v/>
      </c>
      <c r="AM122" s="176">
        <f>IF(ISNUMBER(AM108),ROUND(AM108-AM138,1),"")</f>
        <v/>
      </c>
      <c r="AN122" s="176">
        <f>IF(ISNUMBER(AN108),ROUND(AN108-AN138,1),"")</f>
        <v/>
      </c>
      <c r="AO122" s="176">
        <f>IF(ISNUMBER(AO108),ROUND(AO108-AO138,1),"")</f>
        <v/>
      </c>
      <c r="AP122" s="176">
        <f>IF(ISNUMBER(AP108),ROUND(AP108-AP138,1),"")</f>
        <v/>
      </c>
      <c r="AQ122" s="176">
        <f>IF(ISNUMBER(AQ108),ROUND(AQ108-AQ138,1),"")</f>
        <v/>
      </c>
      <c r="AR122" s="176">
        <f>IF(ISNUMBER(AR108),ROUND(AR108-AR138,1),"")</f>
        <v/>
      </c>
      <c r="AS122" s="176">
        <f>IF(ISNUMBER(AS108),ROUND(AS108-AS138,1),"")</f>
        <v/>
      </c>
      <c r="AT122" s="176">
        <f>IF(ISNUMBER(AT108),ROUND(AT108-AT138,1),"")</f>
        <v/>
      </c>
      <c r="AU122" s="176">
        <f>IF(ISNUMBER(AU108),ROUND(AU108-AU138,1),"")</f>
        <v/>
      </c>
      <c r="AV122" s="176">
        <f>IF(ISNUMBER(AV108),ROUND(AV108-AV138,1),"")</f>
        <v/>
      </c>
      <c r="AW122" s="176">
        <f>IF(ISNUMBER(AW108),ROUND(AW108-AW138,1),"")</f>
        <v/>
      </c>
      <c r="AX122" s="176">
        <f>IF(ISNUMBER(AX108),ROUND(AX108-AX138,1),"")</f>
        <v/>
      </c>
      <c r="AY122" s="176">
        <f>IF(ISNUMBER(AY108),ROUND(AY108-AY138,1),"")</f>
        <v/>
      </c>
      <c r="AZ122" s="176">
        <f>IF(ISNUMBER(AZ108),ROUND(AZ108-AZ138,1),"")</f>
        <v/>
      </c>
      <c r="BA122" s="176">
        <f>IF(ISNUMBER(BA108),ROUND(BA108-BA138,1),"")</f>
        <v/>
      </c>
      <c r="BB122" s="176">
        <f>IF(ISNUMBER(BB108),ROUND(BB108-BB138,1),"")</f>
        <v/>
      </c>
      <c r="BC122" s="176">
        <f>IF(ISNUMBER(BC108),ROUND(BC108-BC138,1),"")</f>
        <v/>
      </c>
      <c r="BD122" s="176">
        <f>IF(ISNUMBER(BD108),ROUND(BD108-BD138,1),"")</f>
        <v/>
      </c>
      <c r="BE122" s="176">
        <f>IF(ISNUMBER(BE108),ROUND(BE108-BE138,1),"")</f>
        <v/>
      </c>
      <c r="BF122" s="176">
        <f>IF(ISNUMBER(BF108),ROUND(BF108-BF138,1),"")</f>
        <v/>
      </c>
      <c r="BG122" s="176">
        <f>IF(ISNUMBER(BG108),ROUND(BG108-BG138,1),"")</f>
        <v/>
      </c>
      <c r="BH122" s="176">
        <f>IF(ISNUMBER(BH108),ROUND(BH108-BH138,1),"")</f>
        <v/>
      </c>
      <c r="BI122" s="176">
        <f>IF(ISNUMBER(BI108),ROUND(BI108-BI138,1),"")</f>
        <v/>
      </c>
      <c r="BJ122" s="176">
        <f>IF(ISNUMBER(BJ108),ROUND(BJ108-BJ138,1),"")</f>
        <v/>
      </c>
      <c r="BK122" s="176">
        <f>IF(ISNUMBER(BK108),ROUND(BK108-BK138,1),"")</f>
        <v/>
      </c>
      <c r="BL122" s="176">
        <f>IF(ISNUMBER(BL108),ROUND(BL108-BL138,1),"")</f>
        <v/>
      </c>
      <c r="BM122" s="176">
        <f>IF(ISNUMBER(BM108),ROUND(BM108-BM138,1),"")</f>
        <v/>
      </c>
      <c r="BN122" s="176">
        <f>IF(ISNUMBER(BN108),ROUND(BN108-BN138,1),"")</f>
        <v/>
      </c>
      <c r="BO122" s="176">
        <f>IF(ISNUMBER(BO108),ROUND(BO108-BO138,1),"")</f>
        <v/>
      </c>
      <c r="BP122" s="176">
        <f>IF(ISNUMBER(BP108),ROUND(BP108-BP138,1),"")</f>
        <v/>
      </c>
      <c r="BQ122" s="176">
        <f>IF(ISNUMBER(BQ108),ROUND(BQ108-BQ138,1),"")</f>
        <v/>
      </c>
      <c r="BR122" s="176">
        <f>IF(ISNUMBER(BR108),ROUND(BR108-BR138,1),"")</f>
        <v/>
      </c>
      <c r="BS122" s="176">
        <f>IF(ISNUMBER(BS108),ROUND(BS108-BS138,1),"")</f>
        <v/>
      </c>
      <c r="BT122" s="176">
        <f>IF(ISNUMBER(BT108),ROUND(BT108-BT138,1),"")</f>
        <v/>
      </c>
      <c r="BU122" s="176">
        <f>IF(ISNUMBER(BU108),ROUND(BU108-BU138,1),"")</f>
        <v/>
      </c>
      <c r="BV122" s="176">
        <f>IF(ISNUMBER(BV108),ROUND(BV108-BV138,1),"")</f>
        <v/>
      </c>
      <c r="BW122" s="176">
        <f>IF(ISNUMBER(BW108),ROUND(BW108-BW138,1),"")</f>
        <v/>
      </c>
      <c r="BX122" s="176">
        <f>IF(ISNUMBER(BX108),ROUND(BX108-BX138,1),"")</f>
        <v/>
      </c>
      <c r="BY122" s="176">
        <f>IF(ISNUMBER(BY108),ROUND(BY108-BY138,1),"")</f>
        <v/>
      </c>
      <c r="BZ122" s="176">
        <f>IF(ISNUMBER(BZ108),ROUND(BZ108-BZ138,1),"")</f>
        <v/>
      </c>
      <c r="CA122" s="176">
        <f>IF(ISNUMBER(CA108),ROUND(CA108-CA138,1),"")</f>
        <v/>
      </c>
      <c r="CB122" s="176">
        <f>IF(ISNUMBER(CB108),ROUND(CB108-CB138,1),"")</f>
        <v/>
      </c>
      <c r="CC122" s="176">
        <f>IF(ISNUMBER(CC108),ROUND(CC108-CC138,1),"")</f>
        <v/>
      </c>
      <c r="CD122" s="176">
        <f>IF(ISNUMBER(CD108),ROUND(CD108-CD138,1),"")</f>
        <v/>
      </c>
      <c r="CE122" s="176">
        <f>IF(ISNUMBER(CE108),ROUND(CE108-CE138,1),"")</f>
        <v/>
      </c>
      <c r="CF122" s="176">
        <f>IF(ISNUMBER(CF108),ROUND(CF108-CF138,1),"")</f>
        <v/>
      </c>
      <c r="CG122" s="176">
        <f>IF(ISNUMBER(CG108),ROUND(CG108-CG138,1),"")</f>
        <v/>
      </c>
      <c r="CH122" s="176">
        <f>IF(ISNUMBER(CH108),ROUND(CH108-CH138,1),"")</f>
        <v/>
      </c>
      <c r="CI122" s="176">
        <f>IF(ISNUMBER(CI108),ROUND(CI108-CI138,1),"")</f>
        <v/>
      </c>
      <c r="CJ122" s="176">
        <f>IF(ISNUMBER(CJ108),ROUND(CJ108-CJ138,1),"")</f>
        <v/>
      </c>
      <c r="CK122" s="176">
        <f>IF(ISNUMBER(CK108),ROUND(CK108-CK138,1),"")</f>
        <v/>
      </c>
      <c r="CL122" s="176">
        <f>IF(ISNUMBER(CL108),ROUND(CL108-CL138,1),"")</f>
        <v/>
      </c>
      <c r="CM122" s="188">
        <f>IF(ISNUMBER(CM108),ROUND(CM108-CM138,1),"")</f>
        <v/>
      </c>
      <c r="CN122" s="188">
        <f>IF(ISNUMBER(CN108),ROUND(CN108-CN138,1),"")</f>
        <v/>
      </c>
      <c r="CO122" s="188">
        <f>IF(ISNUMBER(CO108),ROUND(CO108-CO138,1),"")</f>
        <v/>
      </c>
      <c r="CP122" s="188">
        <f>IF(ISNUMBER(CP108),ROUND(CP108-CP138,1),"")</f>
        <v/>
      </c>
      <c r="CQ122" s="188">
        <f>IF(ISNUMBER(CQ108),ROUND(CQ108-CQ138,1),"")</f>
        <v/>
      </c>
      <c r="CR122" s="188">
        <f>IF(ISNUMBER(CR108),ROUND(CR108-CR138,1),"")</f>
        <v/>
      </c>
      <c r="CS122" s="188">
        <f>IF(ISNUMBER(CS108),ROUND(CS108-CS138,1),"")</f>
        <v/>
      </c>
      <c r="CT122" s="22" t="n"/>
      <c r="CV122" s="6" t="n"/>
      <c r="CW122" s="6" t="n"/>
      <c r="CX122" s="6" t="n"/>
      <c r="CY122" s="6" t="n"/>
    </row>
    <row r="123" ht="15" customHeight="1">
      <c r="B123" s="38" t="inlineStr">
        <is>
          <t xml:space="preserve">  Check: segment build vs consolidated gross profit (should be 0)</t>
        </is>
      </c>
      <c r="C123" s="176">
        <f>IF(ISNUMBER(C109),ROUND(C109-C141,1),"")</f>
        <v/>
      </c>
      <c r="D123" s="176">
        <f>IF(ISNUMBER(D109),ROUND(D109-D141,1),"")</f>
        <v/>
      </c>
      <c r="E123" s="176">
        <f>IF(ISNUMBER(E109),ROUND(E109-E141,1),"")</f>
        <v/>
      </c>
      <c r="F123" s="176">
        <f>IF(ISNUMBER(F109),ROUND(F109-F141,1),"")</f>
        <v/>
      </c>
      <c r="G123" s="176">
        <f>IF(ISNUMBER(G109),ROUND(G109-G141,1),"")</f>
        <v/>
      </c>
      <c r="H123" s="176">
        <f>IF(ISNUMBER(H109),ROUND(H109-H141,1),"")</f>
        <v/>
      </c>
      <c r="I123" s="176">
        <f>IF(ISNUMBER(I109),ROUND(I109-I141,1),"")</f>
        <v/>
      </c>
      <c r="J123" s="176">
        <f>IF(ISNUMBER(J109),ROUND(J109-J141,1),"")</f>
        <v/>
      </c>
      <c r="K123" s="176">
        <f>IF(ISNUMBER(K109),ROUND(K109-K141,1),"")</f>
        <v/>
      </c>
      <c r="L123" s="176">
        <f>IF(ISNUMBER(L109),ROUND(L109-L141,1),"")</f>
        <v/>
      </c>
      <c r="M123" s="176">
        <f>IF(ISNUMBER(M109),ROUND(M109-M141,1),"")</f>
        <v/>
      </c>
      <c r="N123" s="176">
        <f>IF(ISNUMBER(N109),ROUND(N109-N141,1),"")</f>
        <v/>
      </c>
      <c r="O123" s="176">
        <f>IF(ISNUMBER(O109),ROUND(O109-O141,1),"")</f>
        <v/>
      </c>
      <c r="P123" s="176">
        <f>IF(ISNUMBER(P109),ROUND(P109-P141,1),"")</f>
        <v/>
      </c>
      <c r="Q123" s="176">
        <f>IF(ISNUMBER(Q109),ROUND(Q109-Q141,1),"")</f>
        <v/>
      </c>
      <c r="R123" s="176">
        <f>IF(ISNUMBER(R109),ROUND(R109-R141,1),"")</f>
        <v/>
      </c>
      <c r="S123" s="176">
        <f>IF(ISNUMBER(S109),ROUND(S109-S141,1),"")</f>
        <v/>
      </c>
      <c r="T123" s="176">
        <f>IF(ISNUMBER(T109),ROUND(T109-T141,1),"")</f>
        <v/>
      </c>
      <c r="U123" s="176">
        <f>IF(ISNUMBER(U109),ROUND(U109-U141,1),"")</f>
        <v/>
      </c>
      <c r="V123" s="176">
        <f>IF(ISNUMBER(V109),ROUND(V109-V141,1),"")</f>
        <v/>
      </c>
      <c r="W123" s="176">
        <f>IF(ISNUMBER(W109),ROUND(W109-W141,1),"")</f>
        <v/>
      </c>
      <c r="X123" s="176">
        <f>IF(ISNUMBER(X109),ROUND(X109-X141,1),"")</f>
        <v/>
      </c>
      <c r="Y123" s="176">
        <f>IF(ISNUMBER(Y109),ROUND(Y109-Y141,1),"")</f>
        <v/>
      </c>
      <c r="Z123" s="176">
        <f>IF(ISNUMBER(Z109),ROUND(Z109-Z141,1),"")</f>
        <v/>
      </c>
      <c r="AA123" s="176">
        <f>IF(ISNUMBER(AA109),ROUND(AA109-AA141,1),"")</f>
        <v/>
      </c>
      <c r="AB123" s="176">
        <f>IF(ISNUMBER(AB109),ROUND(AB109-AB141,1),"")</f>
        <v/>
      </c>
      <c r="AC123" s="176">
        <f>IF(ISNUMBER(AC109),ROUND(AC109-AC141,1),"")</f>
        <v/>
      </c>
      <c r="AD123" s="176">
        <f>IF(ISNUMBER(AD109),ROUND(AD109-AD141,1),"")</f>
        <v/>
      </c>
      <c r="AE123" s="176">
        <f>IF(ISNUMBER(AE109),ROUND(AE109-AE141,1),"")</f>
        <v/>
      </c>
      <c r="AF123" s="176">
        <f>IF(ISNUMBER(AF109),ROUND(AF109-AF141,1),"")</f>
        <v/>
      </c>
      <c r="AG123" s="176">
        <f>IF(ISNUMBER(AG109),ROUND(AG109-AG141,1),"")</f>
        <v/>
      </c>
      <c r="AH123" s="176">
        <f>IF(ISNUMBER(AH109),ROUND(AH109-AH141,1),"")</f>
        <v/>
      </c>
      <c r="AI123" s="176">
        <f>IF(ISNUMBER(AI109),ROUND(AI109-AI141,1),"")</f>
        <v/>
      </c>
      <c r="AJ123" s="176">
        <f>IF(ISNUMBER(AJ109),ROUND(AJ109-AJ141,1),"")</f>
        <v/>
      </c>
      <c r="AK123" s="176">
        <f>IF(ISNUMBER(AK109),ROUND(AK109-AK141,1),"")</f>
        <v/>
      </c>
      <c r="AL123" s="176">
        <f>IF(ISNUMBER(AL109),ROUND(AL109-AL141,1),"")</f>
        <v/>
      </c>
      <c r="AM123" s="176">
        <f>IF(ISNUMBER(AM109),ROUND(AM109-AM141,1),"")</f>
        <v/>
      </c>
      <c r="AN123" s="176">
        <f>IF(ISNUMBER(AN109),ROUND(AN109-AN141,1),"")</f>
        <v/>
      </c>
      <c r="AO123" s="176">
        <f>IF(ISNUMBER(AO109),ROUND(AO109-AO141,1),"")</f>
        <v/>
      </c>
      <c r="AP123" s="176">
        <f>IF(ISNUMBER(AP109),ROUND(AP109-AP141,1),"")</f>
        <v/>
      </c>
      <c r="AQ123" s="176">
        <f>IF(ISNUMBER(AQ109),ROUND(AQ109-AQ141,1),"")</f>
        <v/>
      </c>
      <c r="AR123" s="176">
        <f>IF(ISNUMBER(AR109),ROUND(AR109-AR141,1),"")</f>
        <v/>
      </c>
      <c r="AS123" s="176">
        <f>IF(ISNUMBER(AS109),ROUND(AS109-AS141,1),"")</f>
        <v/>
      </c>
      <c r="AT123" s="176">
        <f>IF(ISNUMBER(AT109),ROUND(AT109-AT141,1),"")</f>
        <v/>
      </c>
      <c r="AU123" s="176">
        <f>IF(ISNUMBER(AU109),ROUND(AU109-AU141,1),"")</f>
        <v/>
      </c>
      <c r="AV123" s="176">
        <f>IF(ISNUMBER(AV109),ROUND(AV109-AV141,1),"")</f>
        <v/>
      </c>
      <c r="AW123" s="176">
        <f>IF(ISNUMBER(AW109),ROUND(AW109-AW141,1),"")</f>
        <v/>
      </c>
      <c r="AX123" s="176">
        <f>IF(ISNUMBER(AX109),ROUND(AX109-AX141,1),"")</f>
        <v/>
      </c>
      <c r="AY123" s="176">
        <f>IF(ISNUMBER(AY109),ROUND(AY109-AY141,1),"")</f>
        <v/>
      </c>
      <c r="AZ123" s="176">
        <f>IF(ISNUMBER(AZ109),ROUND(AZ109-AZ141,1),"")</f>
        <v/>
      </c>
      <c r="BA123" s="176">
        <f>IF(ISNUMBER(BA109),ROUND(BA109-BA141,1),"")</f>
        <v/>
      </c>
      <c r="BB123" s="176">
        <f>IF(ISNUMBER(BB109),ROUND(BB109-BB141,1),"")</f>
        <v/>
      </c>
      <c r="BC123" s="176">
        <f>IF(ISNUMBER(BC109),ROUND(BC109-BC141,1),"")</f>
        <v/>
      </c>
      <c r="BD123" s="176">
        <f>IF(ISNUMBER(BD109),ROUND(BD109-BD141,1),"")</f>
        <v/>
      </c>
      <c r="BE123" s="176">
        <f>IF(ISNUMBER(BE109),ROUND(BE109-BE141,1),"")</f>
        <v/>
      </c>
      <c r="BF123" s="176">
        <f>IF(ISNUMBER(BF109),ROUND(BF109-BF141,1),"")</f>
        <v/>
      </c>
      <c r="BG123" s="176">
        <f>IF(ISNUMBER(BG109),ROUND(BG109-BG141,1),"")</f>
        <v/>
      </c>
      <c r="BH123" s="176">
        <f>IF(ISNUMBER(BH109),ROUND(BH109-BH141,1),"")</f>
        <v/>
      </c>
      <c r="BI123" s="176">
        <f>IF(ISNUMBER(BI109),ROUND(BI109-BI141,1),"")</f>
        <v/>
      </c>
      <c r="BJ123" s="176">
        <f>IF(ISNUMBER(BJ109),ROUND(BJ109-BJ141,1),"")</f>
        <v/>
      </c>
      <c r="BK123" s="176">
        <f>IF(ISNUMBER(BK109),ROUND(BK109-BK141,1),"")</f>
        <v/>
      </c>
      <c r="BL123" s="176">
        <f>IF(ISNUMBER(BL109),ROUND(BL109-BL141,1),"")</f>
        <v/>
      </c>
      <c r="BM123" s="176">
        <f>IF(ISNUMBER(BM109),ROUND(BM109-BM141,1),"")</f>
        <v/>
      </c>
      <c r="BN123" s="176">
        <f>IF(ISNUMBER(BN109),ROUND(BN109-BN141,1),"")</f>
        <v/>
      </c>
      <c r="BO123" s="176">
        <f>IF(ISNUMBER(BO109),ROUND(BO109-BO141,1),"")</f>
        <v/>
      </c>
      <c r="BP123" s="176">
        <f>IF(ISNUMBER(BP109),ROUND(BP109-BP141,1),"")</f>
        <v/>
      </c>
      <c r="BQ123" s="176">
        <f>IF(ISNUMBER(BQ109),ROUND(BQ109-BQ141,1),"")</f>
        <v/>
      </c>
      <c r="BR123" s="176">
        <f>IF(ISNUMBER(BR109),ROUND(BR109-BR141,1),"")</f>
        <v/>
      </c>
      <c r="BS123" s="176">
        <f>IF(ISNUMBER(BS109),ROUND(BS109-BS141,1),"")</f>
        <v/>
      </c>
      <c r="BT123" s="176">
        <f>IF(ISNUMBER(BT109),ROUND(BT109-BT141,1),"")</f>
        <v/>
      </c>
      <c r="BU123" s="176">
        <f>IF(ISNUMBER(BU109),ROUND(BU109-BU141,1),"")</f>
        <v/>
      </c>
      <c r="BV123" s="176">
        <f>IF(ISNUMBER(BV109),ROUND(BV109-BV141,1),"")</f>
        <v/>
      </c>
      <c r="BW123" s="176">
        <f>IF(ISNUMBER(BW109),ROUND(BW109-BW141,1),"")</f>
        <v/>
      </c>
      <c r="BX123" s="176">
        <f>IF(ISNUMBER(BX109),ROUND(BX109-BX141,1),"")</f>
        <v/>
      </c>
      <c r="BY123" s="176">
        <f>IF(ISNUMBER(BY109),ROUND(BY109-BY141,1),"")</f>
        <v/>
      </c>
      <c r="BZ123" s="176">
        <f>IF(ISNUMBER(BZ109),ROUND(BZ109-BZ141,1),"")</f>
        <v/>
      </c>
      <c r="CA123" s="176">
        <f>IF(ISNUMBER(CA109),ROUND(CA109-CA141,1),"")</f>
        <v/>
      </c>
      <c r="CB123" s="176">
        <f>IF(ISNUMBER(CB109),ROUND(CB109-CB141,1),"")</f>
        <v/>
      </c>
      <c r="CC123" s="176">
        <f>IF(ISNUMBER(CC109),ROUND(CC109-CC141,1),"")</f>
        <v/>
      </c>
      <c r="CD123" s="176">
        <f>IF(ISNUMBER(CD109),ROUND(CD109-CD141,1),"")</f>
        <v/>
      </c>
      <c r="CE123" s="176">
        <f>IF(ISNUMBER(CE109),ROUND(CE109-CE141,1),"")</f>
        <v/>
      </c>
      <c r="CF123" s="176">
        <f>IF(ISNUMBER(CF109),ROUND(CF109-CF141,1),"")</f>
        <v/>
      </c>
      <c r="CG123" s="176">
        <f>IF(ISNUMBER(CG109),ROUND(CG109-CG141,1),"")</f>
        <v/>
      </c>
      <c r="CH123" s="176">
        <f>IF(ISNUMBER(CH109),ROUND(CH109-CH141,1),"")</f>
        <v/>
      </c>
      <c r="CI123" s="176">
        <f>IF(ISNUMBER(CI109),ROUND(CI109-CI141,1),"")</f>
        <v/>
      </c>
      <c r="CJ123" s="176">
        <f>IF(ISNUMBER(CJ109),ROUND(CJ109-CJ141,1),"")</f>
        <v/>
      </c>
      <c r="CK123" s="176">
        <f>IF(ISNUMBER(CK109),ROUND(CK109-CK141,1),"")</f>
        <v/>
      </c>
      <c r="CL123" s="176">
        <f>IF(ISNUMBER(CL109),ROUND(CL109-CL141,1),"")</f>
        <v/>
      </c>
      <c r="CM123" s="188">
        <f>IF(ISNUMBER(CM109),ROUND(CM109-CM141,1),"")</f>
        <v/>
      </c>
      <c r="CN123" s="188">
        <f>IF(ISNUMBER(CN109),ROUND(CN109-CN141,1),"")</f>
        <v/>
      </c>
      <c r="CO123" s="188">
        <f>IF(ISNUMBER(CO109),ROUND(CO109-CO141,1),"")</f>
        <v/>
      </c>
      <c r="CP123" s="188">
        <f>IF(ISNUMBER(CP109),ROUND(CP109-CP141,1),"")</f>
        <v/>
      </c>
      <c r="CQ123" s="188">
        <f>IF(ISNUMBER(CQ109),ROUND(CQ109-CQ141,1),"")</f>
        <v/>
      </c>
      <c r="CR123" s="188">
        <f>IF(ISNUMBER(CR109),ROUND(CR109-CR141,1),"")</f>
        <v/>
      </c>
      <c r="CS123" s="188">
        <f>IF(ISNUMBER(CS109),ROUND(CS109-CS141,1),"")</f>
        <v/>
      </c>
      <c r="CT123" s="22" t="n"/>
      <c r="CV123" s="6" t="n"/>
      <c r="CW123" s="6" t="n"/>
      <c r="CX123" s="6" t="n"/>
      <c r="CY123" s="6" t="n"/>
    </row>
    <row r="124" ht="15" customHeight="1">
      <c r="B124" s="38" t="inlineStr">
        <is>
          <t xml:space="preserve">  Check: segment build vs consolidated operating earnings (should be 0)</t>
        </is>
      </c>
      <c r="C124" s="176">
        <f>IF(ISNUMBER(C119),ROUND(C119-C145,1),"")</f>
        <v/>
      </c>
      <c r="D124" s="176">
        <f>IF(ISNUMBER(D119),ROUND(D119-D145,1),"")</f>
        <v/>
      </c>
      <c r="E124" s="176">
        <f>IF(ISNUMBER(E119),ROUND(E119-E145,1),"")</f>
        <v/>
      </c>
      <c r="F124" s="176">
        <f>IF(ISNUMBER(F119),ROUND(F119-F145,1),"")</f>
        <v/>
      </c>
      <c r="G124" s="176">
        <f>IF(ISNUMBER(G119),ROUND(G119-G145,1),"")</f>
        <v/>
      </c>
      <c r="H124" s="176">
        <f>IF(ISNUMBER(H119),ROUND(H119-H145,1),"")</f>
        <v/>
      </c>
      <c r="I124" s="176">
        <f>IF(ISNUMBER(I119),ROUND(I119-I145,1),"")</f>
        <v/>
      </c>
      <c r="J124" s="176">
        <f>IF(ISNUMBER(J119),ROUND(J119-J145,1),"")</f>
        <v/>
      </c>
      <c r="K124" s="176">
        <f>IF(ISNUMBER(K119),ROUND(K119-K145,1),"")</f>
        <v/>
      </c>
      <c r="L124" s="176">
        <f>IF(ISNUMBER(L119),ROUND(L119-L145,1),"")</f>
        <v/>
      </c>
      <c r="M124" s="176">
        <f>IF(ISNUMBER(M119),ROUND(M119-M145,1),"")</f>
        <v/>
      </c>
      <c r="N124" s="176">
        <f>IF(ISNUMBER(N119),ROUND(N119-N145,1),"")</f>
        <v/>
      </c>
      <c r="O124" s="176">
        <f>IF(ISNUMBER(O119),ROUND(O119-O145,1),"")</f>
        <v/>
      </c>
      <c r="P124" s="176">
        <f>IF(ISNUMBER(P119),ROUND(P119-P145,1),"")</f>
        <v/>
      </c>
      <c r="Q124" s="176">
        <f>IF(ISNUMBER(Q119),ROUND(Q119-Q145,1),"")</f>
        <v/>
      </c>
      <c r="R124" s="176">
        <f>IF(ISNUMBER(R119),ROUND(R119-R145,1),"")</f>
        <v/>
      </c>
      <c r="S124" s="176">
        <f>IF(ISNUMBER(S119),ROUND(S119-S145,1),"")</f>
        <v/>
      </c>
      <c r="T124" s="176">
        <f>IF(ISNUMBER(T119),ROUND(T119-T145,1),"")</f>
        <v/>
      </c>
      <c r="U124" s="176">
        <f>IF(ISNUMBER(U119),ROUND(U119-U145,1),"")</f>
        <v/>
      </c>
      <c r="V124" s="176">
        <f>IF(ISNUMBER(V119),ROUND(V119-V145,1),"")</f>
        <v/>
      </c>
      <c r="W124" s="176">
        <f>IF(ISNUMBER(W119),ROUND(W119-W145,1),"")</f>
        <v/>
      </c>
      <c r="X124" s="176">
        <f>IF(ISNUMBER(X119),ROUND(X119-X145,1),"")</f>
        <v/>
      </c>
      <c r="Y124" s="176">
        <f>IF(ISNUMBER(Y119),ROUND(Y119-Y145,1),"")</f>
        <v/>
      </c>
      <c r="Z124" s="176">
        <f>IF(ISNUMBER(Z119),ROUND(Z119-Z145,1),"")</f>
        <v/>
      </c>
      <c r="AA124" s="176">
        <f>IF(ISNUMBER(AA119),ROUND(AA119-AA145,1),"")</f>
        <v/>
      </c>
      <c r="AB124" s="176">
        <f>IF(ISNUMBER(AB119),ROUND(AB119-AB145,1),"")</f>
        <v/>
      </c>
      <c r="AC124" s="176">
        <f>IF(ISNUMBER(AC119),ROUND(AC119-AC145,1),"")</f>
        <v/>
      </c>
      <c r="AD124" s="176">
        <f>IF(ISNUMBER(AD119),ROUND(AD119-AD145,1),"")</f>
        <v/>
      </c>
      <c r="AE124" s="176">
        <f>IF(ISNUMBER(AE119),ROUND(AE119-AE145,1),"")</f>
        <v/>
      </c>
      <c r="AF124" s="176">
        <f>IF(ISNUMBER(AF119),ROUND(AF119-AF145,1),"")</f>
        <v/>
      </c>
      <c r="AG124" s="176">
        <f>IF(ISNUMBER(AG119),ROUND(AG119-AG145,1),"")</f>
        <v/>
      </c>
      <c r="AH124" s="176">
        <f>IF(ISNUMBER(AH119),ROUND(AH119-AH145,1),"")</f>
        <v/>
      </c>
      <c r="AI124" s="176">
        <f>IF(ISNUMBER(AI119),ROUND(AI119-AI145,1),"")</f>
        <v/>
      </c>
      <c r="AJ124" s="176">
        <f>IF(ISNUMBER(AJ119),ROUND(AJ119-AJ145,1),"")</f>
        <v/>
      </c>
      <c r="AK124" s="176">
        <f>IF(ISNUMBER(AK119),ROUND(AK119-AK145,1),"")</f>
        <v/>
      </c>
      <c r="AL124" s="176">
        <f>IF(ISNUMBER(AL119),ROUND(AL119-AL145,1),"")</f>
        <v/>
      </c>
      <c r="AM124" s="176">
        <f>IF(ISNUMBER(AM119),ROUND(AM119-AM145,1),"")</f>
        <v/>
      </c>
      <c r="AN124" s="176">
        <f>IF(ISNUMBER(AN119),ROUND(AN119-AN145,1),"")</f>
        <v/>
      </c>
      <c r="AO124" s="176">
        <f>IF(ISNUMBER(AO119),ROUND(AO119-AO145,1),"")</f>
        <v/>
      </c>
      <c r="AP124" s="176">
        <f>IF(ISNUMBER(AP119),ROUND(AP119-AP145,1),"")</f>
        <v/>
      </c>
      <c r="AQ124" s="176">
        <f>IF(ISNUMBER(AQ119),ROUND(AQ119-AQ145,1),"")</f>
        <v/>
      </c>
      <c r="AR124" s="176">
        <f>IF(ISNUMBER(AR119),ROUND(AR119-AR145,1),"")</f>
        <v/>
      </c>
      <c r="AS124" s="176">
        <f>IF(ISNUMBER(AS119),ROUND(AS119-AS145,1),"")</f>
        <v/>
      </c>
      <c r="AT124" s="176">
        <f>IF(ISNUMBER(AT119),ROUND(AT119-AT145,1),"")</f>
        <v/>
      </c>
      <c r="AU124" s="176">
        <f>IF(ISNUMBER(AU119),ROUND(AU119-AU145,1),"")</f>
        <v/>
      </c>
      <c r="AV124" s="176">
        <f>IF(ISNUMBER(AV119),ROUND(AV119-AV145,1),"")</f>
        <v/>
      </c>
      <c r="AW124" s="176">
        <f>IF(ISNUMBER(AW119),ROUND(AW119-AW145,1),"")</f>
        <v/>
      </c>
      <c r="AX124" s="176">
        <f>IF(ISNUMBER(AX119),ROUND(AX119-AX145,1),"")</f>
        <v/>
      </c>
      <c r="AY124" s="176">
        <f>IF(ISNUMBER(AY119),ROUND(AY119-AY145,1),"")</f>
        <v/>
      </c>
      <c r="AZ124" s="176">
        <f>IF(ISNUMBER(AZ119),ROUND(AZ119-AZ145,1),"")</f>
        <v/>
      </c>
      <c r="BA124" s="176">
        <f>IF(ISNUMBER(BA119),ROUND(BA119-BA145,1),"")</f>
        <v/>
      </c>
      <c r="BB124" s="176">
        <f>IF(ISNUMBER(BB119),ROUND(BB119-BB145,1),"")</f>
        <v/>
      </c>
      <c r="BC124" s="176">
        <f>IF(ISNUMBER(BC119),ROUND(BC119-BC145,1),"")</f>
        <v/>
      </c>
      <c r="BD124" s="176">
        <f>IF(ISNUMBER(BD119),ROUND(BD119-BD145,1),"")</f>
        <v/>
      </c>
      <c r="BE124" s="176">
        <f>IF(ISNUMBER(BE119),ROUND(BE119-BE145,1),"")</f>
        <v/>
      </c>
      <c r="BF124" s="176">
        <f>IF(ISNUMBER(BF119),ROUND(BF119-BF145,1),"")</f>
        <v/>
      </c>
      <c r="BG124" s="176">
        <f>IF(ISNUMBER(BG119),ROUND(BG119-BG145,1),"")</f>
        <v/>
      </c>
      <c r="BH124" s="176">
        <f>IF(ISNUMBER(BH119),ROUND(BH119-BH145,1),"")</f>
        <v/>
      </c>
      <c r="BI124" s="176">
        <f>IF(ISNUMBER(BI119),ROUND(BI119-BI145,1),"")</f>
        <v/>
      </c>
      <c r="BJ124" s="176">
        <f>IF(ISNUMBER(BJ119),ROUND(BJ119-BJ145,1),"")</f>
        <v/>
      </c>
      <c r="BK124" s="176">
        <f>IF(ISNUMBER(BK119),ROUND(BK119-BK145,1),"")</f>
        <v/>
      </c>
      <c r="BL124" s="176">
        <f>IF(ISNUMBER(BL119),ROUND(BL119-BL145,1),"")</f>
        <v/>
      </c>
      <c r="BM124" s="176">
        <f>IF(ISNUMBER(BM119),ROUND(BM119-BM145,1),"")</f>
        <v/>
      </c>
      <c r="BN124" s="176">
        <f>IF(ISNUMBER(BN119),ROUND(BN119-BN145,1),"")</f>
        <v/>
      </c>
      <c r="BO124" s="176">
        <f>IF(ISNUMBER(BO119),ROUND(BO119-BO145,1),"")</f>
        <v/>
      </c>
      <c r="BP124" s="176">
        <f>IF(ISNUMBER(BP119),ROUND(BP119-BP145,1),"")</f>
        <v/>
      </c>
      <c r="BQ124" s="176">
        <f>IF(ISNUMBER(BQ119),ROUND(BQ119-BQ145,1),"")</f>
        <v/>
      </c>
      <c r="BR124" s="176">
        <f>IF(ISNUMBER(BR119),ROUND(BR119-BR145,1),"")</f>
        <v/>
      </c>
      <c r="BS124" s="176">
        <f>IF(ISNUMBER(BS119),ROUND(BS119-BS145,1),"")</f>
        <v/>
      </c>
      <c r="BT124" s="176">
        <f>IF(ISNUMBER(BT119),ROUND(BT119-BT145,1),"")</f>
        <v/>
      </c>
      <c r="BU124" s="176">
        <f>IF(ISNUMBER(BU119),ROUND(BU119-BU145,1),"")</f>
        <v/>
      </c>
      <c r="BV124" s="176">
        <f>IF(ISNUMBER(BV119),ROUND(BV119-BV145,1),"")</f>
        <v/>
      </c>
      <c r="BW124" s="176">
        <f>IF(ISNUMBER(BW119),ROUND(BW119-BW145,1),"")</f>
        <v/>
      </c>
      <c r="BX124" s="176">
        <f>IF(ISNUMBER(BX119),ROUND(BX119-BX145,1),"")</f>
        <v/>
      </c>
      <c r="BY124" s="176">
        <f>IF(ISNUMBER(BY119),ROUND(BY119-BY145,1),"")</f>
        <v/>
      </c>
      <c r="BZ124" s="176">
        <f>IF(ISNUMBER(BZ119),ROUND(BZ119-BZ145,1),"")</f>
        <v/>
      </c>
      <c r="CA124" s="176">
        <f>IF(ISNUMBER(CA119),ROUND(CA119-CA145,1),"")</f>
        <v/>
      </c>
      <c r="CB124" s="176">
        <f>IF(ISNUMBER(CB119),ROUND(CB119-CB145,1),"")</f>
        <v/>
      </c>
      <c r="CC124" s="176">
        <f>IF(ISNUMBER(CC119),ROUND(CC119-CC145,1),"")</f>
        <v/>
      </c>
      <c r="CD124" s="176">
        <f>IF(ISNUMBER(CD119),ROUND(CD119-CD145,1),"")</f>
        <v/>
      </c>
      <c r="CE124" s="176">
        <f>IF(ISNUMBER(CE119),ROUND(CE119-CE145,1),"")</f>
        <v/>
      </c>
      <c r="CF124" s="176">
        <f>IF(ISNUMBER(CF119),ROUND(CF119-CF145,1),"")</f>
        <v/>
      </c>
      <c r="CG124" s="176">
        <f>IF(ISNUMBER(CG119),ROUND(CG119-CG145,1),"")</f>
        <v/>
      </c>
      <c r="CH124" s="176">
        <f>IF(ISNUMBER(CH119),ROUND(CH119-CH145,1),"")</f>
        <v/>
      </c>
      <c r="CI124" s="176">
        <f>IF(ISNUMBER(CI119),ROUND(CI119-CI145,1),"")</f>
        <v/>
      </c>
      <c r="CJ124" s="176">
        <f>IF(ISNUMBER(CJ119),ROUND(CJ119-CJ145,1),"")</f>
        <v/>
      </c>
      <c r="CK124" s="176">
        <f>IF(ISNUMBER(CK119),ROUND(CK119-CK145,1),"")</f>
        <v/>
      </c>
      <c r="CL124" s="176">
        <f>IF(ISNUMBER(CL119),ROUND(CL119-CL145,1),"")</f>
        <v/>
      </c>
      <c r="CM124" s="188">
        <f>IF(ISNUMBER(CM119),ROUND(CM119-CM145,1),"")</f>
        <v/>
      </c>
      <c r="CN124" s="188">
        <f>IF(ISNUMBER(CN119),ROUND(CN119-CN145,1),"")</f>
        <v/>
      </c>
      <c r="CO124" s="188">
        <f>IF(ISNUMBER(CO119),ROUND(CO119-CO145,1),"")</f>
        <v/>
      </c>
      <c r="CP124" s="188">
        <f>IF(ISNUMBER(CP119),ROUND(CP119-CP145,1),"")</f>
        <v/>
      </c>
      <c r="CQ124" s="188">
        <f>IF(ISNUMBER(CQ119),ROUND(CQ119-CQ145,1),"")</f>
        <v/>
      </c>
      <c r="CR124" s="188">
        <f>IF(ISNUMBER(CR119),ROUND(CR119-CR145,1),"")</f>
        <v/>
      </c>
      <c r="CS124" s="188">
        <f>IF(ISNUMBER(CS119),ROUND(CS119-CS145,1),"")</f>
        <v/>
      </c>
      <c r="CT124" s="22" t="n"/>
      <c r="CV124" s="6" t="n"/>
      <c r="CW124" s="6" t="n"/>
      <c r="CX124" s="6" t="n"/>
      <c r="CY124" s="6" t="n"/>
    </row>
    <row r="125" ht="15" customHeight="1">
      <c r="B125" s="38" t="inlineStr">
        <is>
          <t xml:space="preserve">  Check: segment build vs company-published Adjusted EBITDA (should be 0)</t>
        </is>
      </c>
      <c r="C125" s="176">
        <f>IF(AND(ISNUMBER(C113),ISNUMBER(C194)),ROUND(C113-C194,1),"n/p")</f>
        <v/>
      </c>
      <c r="D125" s="176">
        <f>IF(AND(ISNUMBER(D113),ISNUMBER(D194)),ROUND(D113-D194,1),"n/p")</f>
        <v/>
      </c>
      <c r="E125" s="176">
        <f>IF(AND(ISNUMBER(E113),ISNUMBER(E194)),ROUND(E113-E194,1),"n/p")</f>
        <v/>
      </c>
      <c r="F125" s="176">
        <f>IF(AND(ISNUMBER(F113),ISNUMBER(F194)),ROUND(F113-F194,1),"n/p")</f>
        <v/>
      </c>
      <c r="G125" s="176">
        <f>IF(AND(ISNUMBER(G113),ISNUMBER(G194)),ROUND(G113-G194,1),"n/p")</f>
        <v/>
      </c>
      <c r="H125" s="176">
        <f>IF(AND(ISNUMBER(H113),ISNUMBER(H194)),ROUND(H113-H194,1),"n/p")</f>
        <v/>
      </c>
      <c r="I125" s="176">
        <f>IF(AND(ISNUMBER(I113),ISNUMBER(I194)),ROUND(I113-I194,1),"n/p")</f>
        <v/>
      </c>
      <c r="J125" s="176">
        <f>IF(AND(ISNUMBER(J113),ISNUMBER(J194)),ROUND(J113-J194,1),"n/p")</f>
        <v/>
      </c>
      <c r="K125" s="176">
        <f>IF(AND(ISNUMBER(K113),ISNUMBER(K194)),ROUND(K113-K194,1),"n/p")</f>
        <v/>
      </c>
      <c r="L125" s="176">
        <f>IF(AND(ISNUMBER(L113),ISNUMBER(L194)),ROUND(L113-L194,1),"n/p")</f>
        <v/>
      </c>
      <c r="M125" s="176">
        <f>IF(AND(ISNUMBER(M113),ISNUMBER(M194)),ROUND(M113-M194,1),"n/p")</f>
        <v/>
      </c>
      <c r="N125" s="176">
        <f>IF(AND(ISNUMBER(N113),ISNUMBER(N194)),ROUND(N113-N194,1),"n/p")</f>
        <v/>
      </c>
      <c r="O125" s="176">
        <f>IF(AND(ISNUMBER(O113),ISNUMBER(O194)),ROUND(O113-O194,1),"n/p")</f>
        <v/>
      </c>
      <c r="P125" s="176">
        <f>IF(AND(ISNUMBER(P113),ISNUMBER(P194)),ROUND(P113-P194,1),"n/p")</f>
        <v/>
      </c>
      <c r="Q125" s="176">
        <f>IF(AND(ISNUMBER(Q113),ISNUMBER(Q194)),ROUND(Q113-Q194,1),"n/p")</f>
        <v/>
      </c>
      <c r="R125" s="176">
        <f>IF(AND(ISNUMBER(R113),ISNUMBER(R194)),ROUND(R113-R194,1),"n/p")</f>
        <v/>
      </c>
      <c r="S125" s="176">
        <f>IF(AND(ISNUMBER(S113),ISNUMBER(S194)),ROUND(S113-S194,1),"n/p")</f>
        <v/>
      </c>
      <c r="T125" s="176">
        <f>IF(AND(ISNUMBER(T113),ISNUMBER(T194)),ROUND(T113-T194,1),"n/p")</f>
        <v/>
      </c>
      <c r="U125" s="176">
        <f>IF(AND(ISNUMBER(U113),ISNUMBER(U194)),ROUND(U113-U194,1),"n/p")</f>
        <v/>
      </c>
      <c r="V125" s="176">
        <f>IF(AND(ISNUMBER(V113),ISNUMBER(V194)),ROUND(V113-V194,1),"n/p")</f>
        <v/>
      </c>
      <c r="W125" s="176">
        <f>IF(AND(ISNUMBER(W113),ISNUMBER(W194)),ROUND(W113-W194,1),"n/p")</f>
        <v/>
      </c>
      <c r="X125" s="176">
        <f>IF(AND(ISNUMBER(X113),ISNUMBER(X194)),ROUND(X113-X194,1),"n/p")</f>
        <v/>
      </c>
      <c r="Y125" s="176">
        <f>IF(AND(ISNUMBER(Y113),ISNUMBER(Y194)),ROUND(Y113-Y194,1),"n/p")</f>
        <v/>
      </c>
      <c r="Z125" s="176">
        <f>IF(AND(ISNUMBER(Z113),ISNUMBER(Z194)),ROUND(Z113-Z194,1),"n/p")</f>
        <v/>
      </c>
      <c r="AA125" s="176">
        <f>IF(AND(ISNUMBER(AA113),ISNUMBER(AA194)),ROUND(AA113-AA194,1),"n/p")</f>
        <v/>
      </c>
      <c r="AB125" s="176">
        <f>IF(AND(ISNUMBER(AB113),ISNUMBER(AB194)),ROUND(AB113-AB194,1),"n/p")</f>
        <v/>
      </c>
      <c r="AC125" s="176">
        <f>IF(AND(ISNUMBER(AC113),ISNUMBER(AC194)),ROUND(AC113-AC194,1),"n/p")</f>
        <v/>
      </c>
      <c r="AD125" s="176">
        <f>IF(AND(ISNUMBER(AD113),ISNUMBER(AD194)),ROUND(AD113-AD194,1),"n/p")</f>
        <v/>
      </c>
      <c r="AE125" s="176">
        <f>IF(AND(ISNUMBER(AE113),ISNUMBER(AE194)),ROUND(AE113-AE194,1),"n/p")</f>
        <v/>
      </c>
      <c r="AF125" s="176">
        <f>IF(AND(ISNUMBER(AF113),ISNUMBER(AF194)),ROUND(AF113-AF194,1),"n/p")</f>
        <v/>
      </c>
      <c r="AG125" s="176">
        <f>IF(AND(ISNUMBER(AG113),ISNUMBER(AG194)),ROUND(AG113-AG194,1),"n/p")</f>
        <v/>
      </c>
      <c r="AH125" s="176">
        <f>IF(AND(ISNUMBER(AH113),ISNUMBER(AH194)),ROUND(AH113-AH194,1),"n/p")</f>
        <v/>
      </c>
      <c r="AI125" s="176">
        <f>IF(AND(ISNUMBER(AI113),ISNUMBER(AI194)),ROUND(AI113-AI194,1),"n/p")</f>
        <v/>
      </c>
      <c r="AJ125" s="176">
        <f>IF(AND(ISNUMBER(AJ113),ISNUMBER(AJ194)),ROUND(AJ113-AJ194,1),"n/p")</f>
        <v/>
      </c>
      <c r="AK125" s="176">
        <f>IF(AND(ISNUMBER(AK113),ISNUMBER(AK194)),ROUND(AK113-AK194,1),"n/p")</f>
        <v/>
      </c>
      <c r="AL125" s="176">
        <f>IF(AND(ISNUMBER(AL113),ISNUMBER(AL194)),ROUND(AL113-AL194,1),"n/p")</f>
        <v/>
      </c>
      <c r="AM125" s="176">
        <f>IF(AND(ISNUMBER(AM113),ISNUMBER(AM194)),ROUND(AM113-AM194,1),"n/p")</f>
        <v/>
      </c>
      <c r="AN125" s="176">
        <f>IF(AND(ISNUMBER(AN113),ISNUMBER(AN194)),ROUND(AN113-AN194,1),"n/p")</f>
        <v/>
      </c>
      <c r="AO125" s="176">
        <f>IF(AND(ISNUMBER(AO113),ISNUMBER(AO194)),ROUND(AO113-AO194,1),"n/p")</f>
        <v/>
      </c>
      <c r="AP125" s="176">
        <f>IF(AND(ISNUMBER(AP113),ISNUMBER(AP194)),ROUND(AP113-AP194,1),"n/p")</f>
        <v/>
      </c>
      <c r="AQ125" s="176">
        <f>IF(AND(ISNUMBER(AQ113),ISNUMBER(AQ194)),ROUND(AQ113-AQ194,1),"n/p")</f>
        <v/>
      </c>
      <c r="AR125" s="176">
        <f>IF(AND(ISNUMBER(AR113),ISNUMBER(AR194)),ROUND(AR113-AR194,1),"n/p")</f>
        <v/>
      </c>
      <c r="AS125" s="176">
        <f>IF(AND(ISNUMBER(AS113),ISNUMBER(AS194)),ROUND(AS113-AS194,1),"n/p")</f>
        <v/>
      </c>
      <c r="AT125" s="176">
        <f>IF(AND(ISNUMBER(AT113),ISNUMBER(AT194)),ROUND(AT113-AT194,1),"n/p")</f>
        <v/>
      </c>
      <c r="AU125" s="176">
        <f>IF(AND(ISNUMBER(AU113),ISNUMBER(AU194)),ROUND(AU113-AU194,1),"n/p")</f>
        <v/>
      </c>
      <c r="AV125" s="176">
        <f>IF(AND(ISNUMBER(AV113),ISNUMBER(AV194)),ROUND(AV113-AV194,1),"n/p")</f>
        <v/>
      </c>
      <c r="AW125" s="176">
        <f>IF(AND(ISNUMBER(AW113),ISNUMBER(AW194)),ROUND(AW113-AW194,1),"n/p")</f>
        <v/>
      </c>
      <c r="AX125" s="176">
        <f>IF(AND(ISNUMBER(AX113),ISNUMBER(AX194)),ROUND(AX113-AX194,1),"n/p")</f>
        <v/>
      </c>
      <c r="AY125" s="176">
        <f>IF(AND(ISNUMBER(AY113),ISNUMBER(AY194)),ROUND(AY113-AY194,1),"n/p")</f>
        <v/>
      </c>
      <c r="AZ125" s="176">
        <f>IF(AND(ISNUMBER(AZ113),ISNUMBER(AZ194)),ROUND(AZ113-AZ194,1),"n/p")</f>
        <v/>
      </c>
      <c r="BA125" s="176">
        <f>IF(AND(ISNUMBER(BA113),ISNUMBER(BA194)),ROUND(BA113-BA194,1),"n/p")</f>
        <v/>
      </c>
      <c r="BB125" s="176">
        <f>IF(AND(ISNUMBER(BB113),ISNUMBER(BB194)),ROUND(BB113-BB194,1),"n/p")</f>
        <v/>
      </c>
      <c r="BC125" s="176">
        <f>IF(AND(ISNUMBER(BC113),ISNUMBER(BC194)),ROUND(BC113-BC194,1),"n/p")</f>
        <v/>
      </c>
      <c r="BD125" s="176">
        <f>IF(AND(ISNUMBER(BD113),ISNUMBER(BD194)),ROUND(BD113-BD194,1),"n/p")</f>
        <v/>
      </c>
      <c r="BE125" s="176">
        <f>IF(AND(ISNUMBER(BE113),ISNUMBER(BE194)),ROUND(BE113-BE194,1),"n/p")</f>
        <v/>
      </c>
      <c r="BF125" s="176">
        <f>IF(AND(ISNUMBER(BF113),ISNUMBER(BF194)),ROUND(BF113-BF194,1),"n/p")</f>
        <v/>
      </c>
      <c r="BG125" s="176">
        <f>IF(AND(ISNUMBER(BG113),ISNUMBER(BG194)),ROUND(BG113-BG194,1),"n/p")</f>
        <v/>
      </c>
      <c r="BH125" s="176">
        <f>IF(AND(ISNUMBER(BH113),ISNUMBER(BH194)),ROUND(BH113-BH194,1),"n/p")</f>
        <v/>
      </c>
      <c r="BI125" s="176">
        <f>IF(AND(ISNUMBER(BI113),ISNUMBER(BI194)),ROUND(BI113-BI194,1),"n/p")</f>
        <v/>
      </c>
      <c r="BJ125" s="176">
        <f>IF(AND(ISNUMBER(BJ113),ISNUMBER(BJ194)),ROUND(BJ113-BJ194,1),"n/p")</f>
        <v/>
      </c>
      <c r="BK125" s="176">
        <f>IF(AND(ISNUMBER(BK113),ISNUMBER(BK194)),ROUND(BK113-BK194,1),"n/p")</f>
        <v/>
      </c>
      <c r="BL125" s="176">
        <f>IF(AND(ISNUMBER(BL113),ISNUMBER(BL194)),ROUND(BL113-BL194,1),"n/p")</f>
        <v/>
      </c>
      <c r="BM125" s="176">
        <f>IF(AND(ISNUMBER(BM113),ISNUMBER(BM194)),ROUND(BM113-BM194,1),"n/p")</f>
        <v/>
      </c>
      <c r="BN125" s="176">
        <f>IF(AND(ISNUMBER(BN113),ISNUMBER(BN194)),ROUND(BN113-BN194,1),"n/p")</f>
        <v/>
      </c>
      <c r="BO125" s="176">
        <f>IF(AND(ISNUMBER(BO113),ISNUMBER(BO194)),ROUND(BO113-BO194,1),"n/p")</f>
        <v/>
      </c>
      <c r="BP125" s="176">
        <f>IF(AND(ISNUMBER(BP113),ISNUMBER(BP194)),ROUND(BP113-BP194,1),"n/p")</f>
        <v/>
      </c>
      <c r="BQ125" s="176">
        <f>IF(AND(ISNUMBER(BQ113),ISNUMBER(BQ194)),ROUND(BQ113-BQ194,1),"n/p")</f>
        <v/>
      </c>
      <c r="BR125" s="176">
        <f>IF(AND(ISNUMBER(BR113),ISNUMBER(BR194)),ROUND(BR113-BR194,1),"n/p")</f>
        <v/>
      </c>
      <c r="BS125" s="176">
        <f>IF(AND(ISNUMBER(BS113),ISNUMBER(BS194)),ROUND(BS113-BS194,1),"n/p")</f>
        <v/>
      </c>
      <c r="BT125" s="176">
        <f>IF(AND(ISNUMBER(BT113),ISNUMBER(BT194)),ROUND(BT113-BT194,1),"n/p")</f>
        <v/>
      </c>
      <c r="BU125" s="176">
        <f>IF(AND(ISNUMBER(BU113),ISNUMBER(BU194)),ROUND(BU113-BU194,1),"n/p")</f>
        <v/>
      </c>
      <c r="BV125" s="176">
        <f>IF(AND(ISNUMBER(BV113),ISNUMBER(BV194)),ROUND(BV113-BV194,1),"n/p")</f>
        <v/>
      </c>
      <c r="BW125" s="176">
        <f>IF(AND(ISNUMBER(BW113),ISNUMBER(BW194)),ROUND(BW113-BW194,1),"n/p")</f>
        <v/>
      </c>
      <c r="BX125" s="176">
        <f>IF(AND(ISNUMBER(BX113),ISNUMBER(BX194)),ROUND(BX113-BX194,1),"n/p")</f>
        <v/>
      </c>
      <c r="BY125" s="176">
        <f>IF(AND(ISNUMBER(BY113),ISNUMBER(BY194)),ROUND(BY113-BY194,1),"n/p")</f>
        <v/>
      </c>
      <c r="BZ125" s="176">
        <f>IF(AND(ISNUMBER(BZ113),ISNUMBER(BZ194)),ROUND(BZ113-BZ194,1),"n/p")</f>
        <v/>
      </c>
      <c r="CA125" s="176">
        <f>IF(AND(ISNUMBER(CA113),ISNUMBER(CA194)),ROUND(CA113-CA194,1),"n/p")</f>
        <v/>
      </c>
      <c r="CB125" s="176">
        <f>IF(AND(ISNUMBER(CB113),ISNUMBER(CB194)),ROUND(CB113-CB194,1),"n/p")</f>
        <v/>
      </c>
      <c r="CC125" s="176">
        <f>IF(AND(ISNUMBER(CC113),ISNUMBER(CC194)),ROUND(CC113-CC194,1),"n/p")</f>
        <v/>
      </c>
      <c r="CD125" s="176">
        <f>IF(AND(ISNUMBER(CD113),ISNUMBER(CD194)),ROUND(CD113-CD194,1),"n/p")</f>
        <v/>
      </c>
      <c r="CE125" s="176">
        <f>IF(AND(ISNUMBER(CE113),ISNUMBER(CE194)),ROUND(CE113-CE194,1),"n/p")</f>
        <v/>
      </c>
      <c r="CF125" s="176">
        <f>IF(AND(ISNUMBER(CF113),ISNUMBER(CF194)),ROUND(CF113-CF194,1),"n/p")</f>
        <v/>
      </c>
      <c r="CG125" s="176">
        <f>IF(AND(ISNUMBER(CG113),ISNUMBER(CG194)),ROUND(CG113-CG194,1),"n/p")</f>
        <v/>
      </c>
      <c r="CH125" s="176">
        <f>IF(AND(ISNUMBER(CH113),ISNUMBER(CH194)),ROUND(CH113-CH194,1),"n/p")</f>
        <v/>
      </c>
      <c r="CI125" s="176">
        <f>IF(AND(ISNUMBER(CI113),ISNUMBER(CI194)),ROUND(CI113-CI194,1),"n/p")</f>
        <v/>
      </c>
      <c r="CJ125" s="176">
        <f>IF(AND(ISNUMBER(CJ113),ISNUMBER(CJ194)),ROUND(CJ113-CJ194,1),"n/p")</f>
        <v/>
      </c>
      <c r="CK125" s="176">
        <f>IF(AND(ISNUMBER(CK113),ISNUMBER(CK194)),ROUND(CK113-CK194,1),"n/p")</f>
        <v/>
      </c>
      <c r="CL125" s="176">
        <f>IF(AND(ISNUMBER(CL113),ISNUMBER(CL194)),ROUND(CL113-CL194,1),"n/p")</f>
        <v/>
      </c>
      <c r="CM125" s="188">
        <f>ROUND(CM113-CM192,1)</f>
        <v/>
      </c>
      <c r="CN125" s="188">
        <f>ROUND(CN113-CN192,1)</f>
        <v/>
      </c>
      <c r="CO125" s="188">
        <f>SUM(CJ125,CK125,CM125,CN125)</f>
        <v/>
      </c>
      <c r="CP125" s="188">
        <f>ROUND(CP113-CP192,1)</f>
        <v/>
      </c>
      <c r="CQ125" s="188">
        <f>ROUND(CQ113-CQ192,1)</f>
        <v/>
      </c>
      <c r="CR125" s="188">
        <f>ROUND(CR113-CR192,1)</f>
        <v/>
      </c>
      <c r="CS125" s="188">
        <f>ROUND(CS113-CS192,1)</f>
        <v/>
      </c>
      <c r="CT125" s="22" t="n"/>
      <c r="CV125" s="6" t="n"/>
      <c r="CW125" s="6" t="n"/>
      <c r="CX125" s="6" t="n"/>
      <c r="CY125" s="6" t="n"/>
    </row>
    <row r="126" ht="15" customHeight="1">
      <c r="B126" s="12" t="n"/>
      <c r="CM126" s="6" t="n"/>
      <c r="CN126" s="6" t="n"/>
      <c r="CO126" s="6" t="n"/>
      <c r="CP126" s="6" t="n"/>
      <c r="CQ126" s="6" t="n"/>
      <c r="CR126" s="6" t="n"/>
      <c r="CS126" s="6" t="n"/>
      <c r="CT126" s="6" t="n"/>
    </row>
    <row r="127" ht="15" customHeight="1">
      <c r="B127" s="16" t="inlineStr">
        <is>
          <t>Cost drivers (% of revenues)</t>
        </is>
      </c>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c r="AE127" s="16" t="n"/>
      <c r="AF127" s="16" t="n"/>
      <c r="AG127" s="16" t="n"/>
      <c r="AH127" s="16" t="n"/>
      <c r="AI127" s="16" t="n"/>
      <c r="AJ127" s="16" t="n"/>
      <c r="AK127" s="16" t="n"/>
      <c r="AL127" s="16" t="n"/>
      <c r="AM127" s="16" t="n"/>
      <c r="AN127" s="16" t="n"/>
      <c r="AO127" s="16" t="n"/>
      <c r="AP127" s="16" t="n"/>
      <c r="AQ127" s="16" t="n"/>
      <c r="AR127" s="16" t="n"/>
      <c r="AS127" s="16" t="n"/>
      <c r="AT127" s="16" t="n"/>
      <c r="AU127" s="16" t="n"/>
      <c r="AV127" s="16" t="n"/>
      <c r="AW127" s="16" t="n"/>
      <c r="AX127" s="16" t="n"/>
      <c r="AY127" s="16" t="n"/>
      <c r="AZ127" s="16" t="n"/>
      <c r="BA127" s="16" t="n"/>
      <c r="BB127" s="16" t="n"/>
      <c r="BC127" s="16" t="n"/>
      <c r="BD127" s="16" t="n"/>
      <c r="BE127" s="16" t="n"/>
      <c r="BF127" s="16" t="n"/>
      <c r="BG127" s="16" t="n"/>
      <c r="BH127" s="16" t="n"/>
      <c r="BI127" s="16" t="n"/>
      <c r="BJ127" s="16" t="n"/>
      <c r="BK127" s="16" t="n"/>
      <c r="BL127" s="16" t="n"/>
      <c r="BM127" s="16" t="n"/>
      <c r="BN127" s="16" t="n"/>
      <c r="BO127" s="16" t="n"/>
      <c r="BP127" s="16" t="n"/>
      <c r="BQ127" s="16" t="n"/>
      <c r="BR127" s="16" t="n"/>
      <c r="BS127" s="16" t="n"/>
      <c r="BT127" s="16" t="n"/>
      <c r="BU127" s="16" t="n"/>
      <c r="BV127" s="16" t="n"/>
      <c r="BW127" s="16" t="n"/>
      <c r="BX127" s="16" t="n"/>
      <c r="BY127" s="16" t="n"/>
      <c r="BZ127" s="16" t="n"/>
      <c r="CA127" s="16" t="n"/>
      <c r="CB127" s="16" t="n"/>
      <c r="CC127" s="16" t="n"/>
      <c r="CD127" s="16" t="n"/>
      <c r="CE127" s="16" t="n"/>
      <c r="CF127" s="16" t="n"/>
      <c r="CG127" s="16" t="n"/>
      <c r="CH127" s="16" t="n"/>
      <c r="CI127" s="16" t="n"/>
      <c r="CJ127" s="16" t="n"/>
      <c r="CK127" s="16" t="n"/>
      <c r="CL127" s="16" t="n"/>
      <c r="CM127" s="16" t="n"/>
      <c r="CN127" s="16" t="n"/>
      <c r="CO127" s="16" t="n"/>
      <c r="CP127" s="16" t="n"/>
      <c r="CQ127" s="16" t="n"/>
      <c r="CR127" s="16" t="n"/>
      <c r="CS127" s="16" t="n"/>
      <c r="CT127" s="17" t="inlineStr">
        <is>
          <t>% OF REVENUE drivers — reference</t>
        </is>
      </c>
    </row>
    <row r="128" ht="15" customHeight="1">
      <c r="B128" s="25" t="inlineStr">
        <is>
          <t xml:space="preserve">  Cost of revenues % of total revenues</t>
        </is>
      </c>
      <c r="C128" s="179">
        <f>IFERROR(C140/C138,"")</f>
        <v/>
      </c>
      <c r="D128" s="179">
        <f>IFERROR(D140/D138,"")</f>
        <v/>
      </c>
      <c r="E128" s="179">
        <f>IFERROR(E140/E138,"")</f>
        <v/>
      </c>
      <c r="F128" s="179">
        <f>IFERROR(F140/F138,"")</f>
        <v/>
      </c>
      <c r="G128" s="179">
        <f>IFERROR(G140/G138,"")</f>
        <v/>
      </c>
      <c r="H128" s="179">
        <f>IFERROR(H140/H138,"")</f>
        <v/>
      </c>
      <c r="I128" s="179">
        <f>IFERROR(I140/I138,"")</f>
        <v/>
      </c>
      <c r="J128" s="179">
        <f>IFERROR(J140/J138,"")</f>
        <v/>
      </c>
      <c r="K128" s="179">
        <f>IFERROR(K140/K138,"")</f>
        <v/>
      </c>
      <c r="L128" s="179">
        <f>IFERROR(L140/L138,"")</f>
        <v/>
      </c>
      <c r="M128" s="179">
        <f>IFERROR(M140/M138,"")</f>
        <v/>
      </c>
      <c r="N128" s="179">
        <f>IFERROR(N140/N138,"")</f>
        <v/>
      </c>
      <c r="O128" s="179">
        <f>IFERROR(O140/O138,"")</f>
        <v/>
      </c>
      <c r="P128" s="179">
        <f>IFERROR(P140/P138,"")</f>
        <v/>
      </c>
      <c r="Q128" s="179">
        <f>IFERROR(Q140/Q138,"")</f>
        <v/>
      </c>
      <c r="R128" s="179">
        <f>IFERROR(R140/R138,"")</f>
        <v/>
      </c>
      <c r="S128" s="179">
        <f>IFERROR(S140/S138,"")</f>
        <v/>
      </c>
      <c r="T128" s="179">
        <f>IFERROR(T140/T138,"")</f>
        <v/>
      </c>
      <c r="U128" s="179">
        <f>IFERROR(U140/U138,"")</f>
        <v/>
      </c>
      <c r="V128" s="179">
        <f>IFERROR(V140/V138,"")</f>
        <v/>
      </c>
      <c r="W128" s="179">
        <f>IFERROR(W140/W138,"")</f>
        <v/>
      </c>
      <c r="X128" s="179">
        <f>IFERROR(X140/X138,"")</f>
        <v/>
      </c>
      <c r="Y128" s="179">
        <f>IFERROR(Y140/Y138,"")</f>
        <v/>
      </c>
      <c r="Z128" s="179">
        <f>IFERROR(Z140/Z138,"")</f>
        <v/>
      </c>
      <c r="AA128" s="179">
        <f>IFERROR(AA140/AA138,"")</f>
        <v/>
      </c>
      <c r="AB128" s="179">
        <f>IFERROR(AB140/AB138,"")</f>
        <v/>
      </c>
      <c r="AC128" s="179">
        <f>IFERROR(AC140/AC138,"")</f>
        <v/>
      </c>
      <c r="AD128" s="179">
        <f>IFERROR(AD140/AD138,"")</f>
        <v/>
      </c>
      <c r="AE128" s="179">
        <f>IFERROR(AE140/AE138,"")</f>
        <v/>
      </c>
      <c r="AF128" s="179">
        <f>IFERROR(AF140/AF138,"")</f>
        <v/>
      </c>
      <c r="AG128" s="179">
        <f>IFERROR(AG140/AG138,"")</f>
        <v/>
      </c>
      <c r="AH128" s="179">
        <f>IFERROR(AH140/AH138,"")</f>
        <v/>
      </c>
      <c r="AI128" s="179">
        <f>IFERROR(AI140/AI138,"")</f>
        <v/>
      </c>
      <c r="AJ128" s="179">
        <f>IFERROR(AJ140/AJ138,"")</f>
        <v/>
      </c>
      <c r="AK128" s="179">
        <f>IFERROR(AK140/AK138,"")</f>
        <v/>
      </c>
      <c r="AL128" s="179">
        <f>IFERROR(AL140/AL138,"")</f>
        <v/>
      </c>
      <c r="AM128" s="179">
        <f>IFERROR(AM140/AM138,"")</f>
        <v/>
      </c>
      <c r="AN128" s="179">
        <f>IFERROR(AN140/AN138,"")</f>
        <v/>
      </c>
      <c r="AO128" s="179">
        <f>IFERROR(AO140/AO138,"")</f>
        <v/>
      </c>
      <c r="AP128" s="179">
        <f>IFERROR(AP140/AP138,"")</f>
        <v/>
      </c>
      <c r="AQ128" s="179">
        <f>IFERROR(AQ140/AQ138,"")</f>
        <v/>
      </c>
      <c r="AR128" s="179">
        <f>IFERROR(AR140/AR138,"")</f>
        <v/>
      </c>
      <c r="AS128" s="179">
        <f>IFERROR(AS140/AS138,"")</f>
        <v/>
      </c>
      <c r="AT128" s="179">
        <f>IFERROR(AT140/AT138,"")</f>
        <v/>
      </c>
      <c r="AU128" s="179">
        <f>IFERROR(AU140/AU138,"")</f>
        <v/>
      </c>
      <c r="AV128" s="179">
        <f>IFERROR(AV140/AV138,"")</f>
        <v/>
      </c>
      <c r="AW128" s="179">
        <f>IFERROR(AW140/AW138,"")</f>
        <v/>
      </c>
      <c r="AX128" s="179">
        <f>IFERROR(AX140/AX138,"")</f>
        <v/>
      </c>
      <c r="AY128" s="179">
        <f>IFERROR(AY140/AY138,"")</f>
        <v/>
      </c>
      <c r="AZ128" s="179">
        <f>IFERROR(AZ140/AZ138,"")</f>
        <v/>
      </c>
      <c r="BA128" s="179">
        <f>IFERROR(BA140/BA138,"")</f>
        <v/>
      </c>
      <c r="BB128" s="179">
        <f>IFERROR(BB140/BB138,"")</f>
        <v/>
      </c>
      <c r="BC128" s="179">
        <f>IFERROR(BC140/BC138,"")</f>
        <v/>
      </c>
      <c r="BD128" s="179">
        <f>IFERROR(BD140/BD138,"")</f>
        <v/>
      </c>
      <c r="BE128" s="179">
        <f>IFERROR(BE140/BE138,"")</f>
        <v/>
      </c>
      <c r="BF128" s="179">
        <f>IFERROR(BF140/BF138,"")</f>
        <v/>
      </c>
      <c r="BG128" s="179">
        <f>IFERROR(BG140/BG138,"")</f>
        <v/>
      </c>
      <c r="BH128" s="179">
        <f>IFERROR(BH140/BH138,"")</f>
        <v/>
      </c>
      <c r="BI128" s="179">
        <f>IFERROR(BI140/BI138,"")</f>
        <v/>
      </c>
      <c r="BJ128" s="179">
        <f>IFERROR(BJ140/BJ138,"")</f>
        <v/>
      </c>
      <c r="BK128" s="179">
        <f>IFERROR(BK140/BK138,"")</f>
        <v/>
      </c>
      <c r="BL128" s="179">
        <f>IFERROR(BL140/BL138,"")</f>
        <v/>
      </c>
      <c r="BM128" s="179">
        <f>IFERROR(BM140/BM138,"")</f>
        <v/>
      </c>
      <c r="BN128" s="179">
        <f>IFERROR(BN140/BN138,"")</f>
        <v/>
      </c>
      <c r="BO128" s="179">
        <f>IFERROR(BO140/BO138,"")</f>
        <v/>
      </c>
      <c r="BP128" s="179">
        <f>IFERROR(BP140/BP138,"")</f>
        <v/>
      </c>
      <c r="BQ128" s="179">
        <f>IFERROR(BQ140/BQ138,"")</f>
        <v/>
      </c>
      <c r="BR128" s="179">
        <f>IFERROR(BR140/BR138,"")</f>
        <v/>
      </c>
      <c r="BS128" s="179">
        <f>IFERROR(BS140/BS138,"")</f>
        <v/>
      </c>
      <c r="BT128" s="179">
        <f>IFERROR(BT140/BT138,"")</f>
        <v/>
      </c>
      <c r="BU128" s="179">
        <f>IFERROR(BU140/BU138,"")</f>
        <v/>
      </c>
      <c r="BV128" s="179">
        <f>IFERROR(BV140/BV138,"")</f>
        <v/>
      </c>
      <c r="BW128" s="179">
        <f>IFERROR(BW140/BW138,"")</f>
        <v/>
      </c>
      <c r="BX128" s="179">
        <f>IFERROR(BX140/BX138,"")</f>
        <v/>
      </c>
      <c r="BY128" s="179">
        <f>IFERROR(BY140/BY138,"")</f>
        <v/>
      </c>
      <c r="BZ128" s="179">
        <f>IFERROR(BZ140/BZ138,"")</f>
        <v/>
      </c>
      <c r="CA128" s="179">
        <f>IFERROR(CA140/CA138,"")</f>
        <v/>
      </c>
      <c r="CB128" s="179">
        <f>IFERROR(CB140/CB138,"")</f>
        <v/>
      </c>
      <c r="CC128" s="179">
        <f>IFERROR(CC140/CC138,"")</f>
        <v/>
      </c>
      <c r="CD128" s="179">
        <f>IFERROR(CD140/CD138,"")</f>
        <v/>
      </c>
      <c r="CE128" s="179">
        <f>IFERROR(CE140/CE138,"")</f>
        <v/>
      </c>
      <c r="CF128" s="179">
        <f>IFERROR(CF140/CF138,"")</f>
        <v/>
      </c>
      <c r="CG128" s="179">
        <f>IFERROR(CG140/CG138,"")</f>
        <v/>
      </c>
      <c r="CH128" s="179">
        <f>IFERROR(CH140/CH138,"")</f>
        <v/>
      </c>
      <c r="CI128" s="179">
        <f>IFERROR(CI140/CI138,"")</f>
        <v/>
      </c>
      <c r="CJ128" s="179">
        <f>IFERROR(CJ140/CJ138,"")</f>
        <v/>
      </c>
      <c r="CK128" s="179">
        <f>IFERROR(CK140/CK138,"")</f>
        <v/>
      </c>
      <c r="CL128" s="179">
        <f>IFERROR(CL140/CL138,"")</f>
        <v/>
      </c>
      <c r="CM128" s="165">
        <f>IFERROR(CM140/CM138,"")</f>
        <v/>
      </c>
      <c r="CN128" s="165">
        <f>IFERROR(CN140/CN138,"")</f>
        <v/>
      </c>
      <c r="CO128" s="165">
        <f>IFERROR(CO140/CO138,"")</f>
        <v/>
      </c>
      <c r="CP128" s="165">
        <f>IFERROR(CP140/CP138,"")</f>
        <v/>
      </c>
      <c r="CQ128" s="165">
        <f>IFERROR(CQ140/CQ138,"")</f>
        <v/>
      </c>
      <c r="CR128" s="165">
        <f>IFERROR(CR140/CR138,"")</f>
        <v/>
      </c>
      <c r="CS128" s="165">
        <f>IFERROR(CS140/CS138,"")</f>
        <v/>
      </c>
      <c r="CT128" s="22" t="n"/>
      <c r="CV128" s="40">
        <f>IFERROR(AVERAGE(CO128,CP128,CQ128,CR128,CS128),"n/m")</f>
        <v/>
      </c>
      <c r="CW128" s="40">
        <f>IFERROR(AVERAGE(BK128,BQ128,BW128,CC128,CI128),"n/m")</f>
        <v/>
      </c>
      <c r="CX128" s="40">
        <f>IFERROR(AVERAGE(AG128,AM128,AS128,AY128,BE128,BK128,BQ128,BW128,CC128,CI128),"n/m")</f>
        <v/>
      </c>
      <c r="CY128" s="40">
        <f>IFERROR(AVERAGE(C128,D128,E128,F128,G128,H128,I128,O128,U128,AA128,AG128,AM128,AS128,AY128,BE128,BK128,BQ128,BW128,CC128,CI128),"n/m")</f>
        <v/>
      </c>
    </row>
    <row r="129" ht="15" customHeight="1">
      <c r="B129" s="25" t="inlineStr">
        <is>
          <t xml:space="preserve">  Total DDA&amp;A % of total revenues</t>
        </is>
      </c>
      <c r="C129" s="179">
        <f>IFERROR(C158/C138,"")</f>
        <v/>
      </c>
      <c r="D129" s="179">
        <f>IFERROR(D158/D138,"")</f>
        <v/>
      </c>
      <c r="E129" s="179">
        <f>IFERROR(E158/E138,"")</f>
        <v/>
      </c>
      <c r="F129" s="179">
        <f>IFERROR(F158/F138,"")</f>
        <v/>
      </c>
      <c r="G129" s="179">
        <f>IFERROR(G158/G138,"")</f>
        <v/>
      </c>
      <c r="H129" s="179">
        <f>IFERROR(H158/H138,"")</f>
        <v/>
      </c>
      <c r="I129" s="179">
        <f>IFERROR(I158/I138,"")</f>
        <v/>
      </c>
      <c r="J129" s="179">
        <f>IFERROR(J158/J138,"")</f>
        <v/>
      </c>
      <c r="K129" s="179">
        <f>IFERROR(K158/K138,"")</f>
        <v/>
      </c>
      <c r="L129" s="179">
        <f>IFERROR(L158/L138,"")</f>
        <v/>
      </c>
      <c r="M129" s="179">
        <f>IFERROR(M158/M138,"")</f>
        <v/>
      </c>
      <c r="N129" s="179">
        <f>IFERROR(N158/N138,"")</f>
        <v/>
      </c>
      <c r="O129" s="179">
        <f>IFERROR(O158/O138,"")</f>
        <v/>
      </c>
      <c r="P129" s="179">
        <f>IFERROR(P158/P138,"")</f>
        <v/>
      </c>
      <c r="Q129" s="179">
        <f>IFERROR(Q158/Q138,"")</f>
        <v/>
      </c>
      <c r="R129" s="179">
        <f>IFERROR(R158/R138,"")</f>
        <v/>
      </c>
      <c r="S129" s="179">
        <f>IFERROR(S158/S138,"")</f>
        <v/>
      </c>
      <c r="T129" s="179">
        <f>IFERROR(T158/T138,"")</f>
        <v/>
      </c>
      <c r="U129" s="179">
        <f>IFERROR(U158/U138,"")</f>
        <v/>
      </c>
      <c r="V129" s="179">
        <f>IFERROR(V158/V138,"")</f>
        <v/>
      </c>
      <c r="W129" s="179">
        <f>IFERROR(W158/W138,"")</f>
        <v/>
      </c>
      <c r="X129" s="179">
        <f>IFERROR(X158/X138,"")</f>
        <v/>
      </c>
      <c r="Y129" s="179">
        <f>IFERROR(Y158/Y138,"")</f>
        <v/>
      </c>
      <c r="Z129" s="179">
        <f>IFERROR(Z158/Z138,"")</f>
        <v/>
      </c>
      <c r="AA129" s="179">
        <f>IFERROR(AA158/AA138,"")</f>
        <v/>
      </c>
      <c r="AB129" s="179">
        <f>IFERROR(AB158/AB138,"")</f>
        <v/>
      </c>
      <c r="AC129" s="179">
        <f>IFERROR(AC158/AC138,"")</f>
        <v/>
      </c>
      <c r="AD129" s="179">
        <f>IFERROR(AD158/AD138,"")</f>
        <v/>
      </c>
      <c r="AE129" s="179">
        <f>IFERROR(AE158/AE138,"")</f>
        <v/>
      </c>
      <c r="AF129" s="179">
        <f>IFERROR(AF158/AF138,"")</f>
        <v/>
      </c>
      <c r="AG129" s="179">
        <f>IFERROR(AG158/AG138,"")</f>
        <v/>
      </c>
      <c r="AH129" s="179">
        <f>IFERROR(AH158/AH138,"")</f>
        <v/>
      </c>
      <c r="AI129" s="179">
        <f>IFERROR(AI158/AI138,"")</f>
        <v/>
      </c>
      <c r="AJ129" s="179">
        <f>IFERROR(AJ158/AJ138,"")</f>
        <v/>
      </c>
      <c r="AK129" s="179">
        <f>IFERROR(AK158/AK138,"")</f>
        <v/>
      </c>
      <c r="AL129" s="179">
        <f>IFERROR(AL158/AL138,"")</f>
        <v/>
      </c>
      <c r="AM129" s="179">
        <f>IFERROR(AM158/AM138,"")</f>
        <v/>
      </c>
      <c r="AN129" s="179">
        <f>IFERROR(AN158/AN138,"")</f>
        <v/>
      </c>
      <c r="AO129" s="179">
        <f>IFERROR(AO158/AO138,"")</f>
        <v/>
      </c>
      <c r="AP129" s="179">
        <f>IFERROR(AP158/AP138,"")</f>
        <v/>
      </c>
      <c r="AQ129" s="179">
        <f>IFERROR(AQ158/AQ138,"")</f>
        <v/>
      </c>
      <c r="AR129" s="179">
        <f>IFERROR(AR158/AR138,"")</f>
        <v/>
      </c>
      <c r="AS129" s="179">
        <f>IFERROR(AS158/AS138,"")</f>
        <v/>
      </c>
      <c r="AT129" s="179">
        <f>IFERROR(AT158/AT138,"")</f>
        <v/>
      </c>
      <c r="AU129" s="179">
        <f>IFERROR(AU158/AU138,"")</f>
        <v/>
      </c>
      <c r="AV129" s="179">
        <f>IFERROR(AV158/AV138,"")</f>
        <v/>
      </c>
      <c r="AW129" s="179">
        <f>IFERROR(AW158/AW138,"")</f>
        <v/>
      </c>
      <c r="AX129" s="179">
        <f>IFERROR(AX158/AX138,"")</f>
        <v/>
      </c>
      <c r="AY129" s="179">
        <f>IFERROR(AY158/AY138,"")</f>
        <v/>
      </c>
      <c r="AZ129" s="179">
        <f>IFERROR(AZ158/AZ138,"")</f>
        <v/>
      </c>
      <c r="BA129" s="179">
        <f>IFERROR(BA158/BA138,"")</f>
        <v/>
      </c>
      <c r="BB129" s="179">
        <f>IFERROR(BB158/BB138,"")</f>
        <v/>
      </c>
      <c r="BC129" s="179">
        <f>IFERROR(BC158/BC138,"")</f>
        <v/>
      </c>
      <c r="BD129" s="179">
        <f>IFERROR(BD158/BD138,"")</f>
        <v/>
      </c>
      <c r="BE129" s="179">
        <f>IFERROR(BE158/BE138,"")</f>
        <v/>
      </c>
      <c r="BF129" s="179">
        <f>IFERROR(BF158/BF138,"")</f>
        <v/>
      </c>
      <c r="BG129" s="179">
        <f>IFERROR(BG158/BG138,"")</f>
        <v/>
      </c>
      <c r="BH129" s="179">
        <f>IFERROR(BH158/BH138,"")</f>
        <v/>
      </c>
      <c r="BI129" s="179">
        <f>IFERROR(BI158/BI138,"")</f>
        <v/>
      </c>
      <c r="BJ129" s="179">
        <f>IFERROR(BJ158/BJ138,"")</f>
        <v/>
      </c>
      <c r="BK129" s="179">
        <f>IFERROR(BK158/BK138,"")</f>
        <v/>
      </c>
      <c r="BL129" s="179">
        <f>IFERROR(BL158/BL138,"")</f>
        <v/>
      </c>
      <c r="BM129" s="179">
        <f>IFERROR(BM158/BM138,"")</f>
        <v/>
      </c>
      <c r="BN129" s="179">
        <f>IFERROR(BN158/BN138,"")</f>
        <v/>
      </c>
      <c r="BO129" s="179">
        <f>IFERROR(BO158/BO138,"")</f>
        <v/>
      </c>
      <c r="BP129" s="179">
        <f>IFERROR(BP158/BP138,"")</f>
        <v/>
      </c>
      <c r="BQ129" s="179">
        <f>IFERROR(BQ158/BQ138,"")</f>
        <v/>
      </c>
      <c r="BR129" s="179">
        <f>IFERROR(BR158/BR138,"")</f>
        <v/>
      </c>
      <c r="BS129" s="179">
        <f>IFERROR(BS158/BS138,"")</f>
        <v/>
      </c>
      <c r="BT129" s="179">
        <f>IFERROR(BT158/BT138,"")</f>
        <v/>
      </c>
      <c r="BU129" s="179">
        <f>IFERROR(BU158/BU138,"")</f>
        <v/>
      </c>
      <c r="BV129" s="179">
        <f>IFERROR(BV158/BV138,"")</f>
        <v/>
      </c>
      <c r="BW129" s="179">
        <f>IFERROR(BW158/BW138,"")</f>
        <v/>
      </c>
      <c r="BX129" s="179">
        <f>IFERROR(BX158/BX138,"")</f>
        <v/>
      </c>
      <c r="BY129" s="179">
        <f>IFERROR(BY158/BY138,"")</f>
        <v/>
      </c>
      <c r="BZ129" s="179">
        <f>IFERROR(BZ158/BZ138,"")</f>
        <v/>
      </c>
      <c r="CA129" s="179">
        <f>IFERROR(CA158/CA138,"")</f>
        <v/>
      </c>
      <c r="CB129" s="179">
        <f>IFERROR(CB158/CB138,"")</f>
        <v/>
      </c>
      <c r="CC129" s="179">
        <f>IFERROR(CC158/CC138,"")</f>
        <v/>
      </c>
      <c r="CD129" s="179">
        <f>IFERROR(CD158/CD138,"")</f>
        <v/>
      </c>
      <c r="CE129" s="179">
        <f>IFERROR(CE158/CE138,"")</f>
        <v/>
      </c>
      <c r="CF129" s="179">
        <f>IFERROR(CF158/CF138,"")</f>
        <v/>
      </c>
      <c r="CG129" s="179">
        <f>IFERROR(CG158/CG138,"")</f>
        <v/>
      </c>
      <c r="CH129" s="179">
        <f>IFERROR(CH158/CH138,"")</f>
        <v/>
      </c>
      <c r="CI129" s="179">
        <f>IFERROR(CI158/CI138,"")</f>
        <v/>
      </c>
      <c r="CJ129" s="179">
        <f>IFERROR(CJ158/CJ138,"")</f>
        <v/>
      </c>
      <c r="CK129" s="179">
        <f>IFERROR(CK158/CK138,"")</f>
        <v/>
      </c>
      <c r="CL129" s="179">
        <f>IFERROR(CL158/CL138,"")</f>
        <v/>
      </c>
      <c r="CM129" s="165">
        <f>IFERROR(CM158/CM138,"")</f>
        <v/>
      </c>
      <c r="CN129" s="165">
        <f>IFERROR(CN158/CN138,"")</f>
        <v/>
      </c>
      <c r="CO129" s="165">
        <f>IFERROR(CO158/CO138,"")</f>
        <v/>
      </c>
      <c r="CP129" s="165">
        <f>IFERROR(CP158/CP138,"")</f>
        <v/>
      </c>
      <c r="CQ129" s="165">
        <f>IFERROR(CQ158/CQ138,"")</f>
        <v/>
      </c>
      <c r="CR129" s="165">
        <f>IFERROR(CR158/CR138,"")</f>
        <v/>
      </c>
      <c r="CS129" s="165">
        <f>IFERROR(CS158/CS138,"")</f>
        <v/>
      </c>
      <c r="CT129" s="22" t="n"/>
      <c r="CV129" s="40">
        <f>IFERROR(AVERAGE(CO129,CP129,CQ129,CR129,CS129),"n/m")</f>
        <v/>
      </c>
      <c r="CW129" s="40">
        <f>IFERROR(AVERAGE(BK129,BQ129,BW129,CC129,CI129),"n/m")</f>
        <v/>
      </c>
      <c r="CX129" s="40">
        <f>IFERROR(AVERAGE(AG129,AM129,AS129,AY129,BE129,BK129,BQ129,BW129,CC129,CI129),"n/m")</f>
        <v/>
      </c>
      <c r="CY129" s="40">
        <f>IFERROR(AVERAGE(C129,D129,E129,F129,G129,H129,I129,O129,U129,AA129,AG129,AM129,AS129,AY129,BE129,BK129,BQ129,BW129,CC129,CI129),"n/m")</f>
        <v/>
      </c>
    </row>
    <row r="130" ht="15" customHeight="1">
      <c r="B130" s="25" t="inlineStr">
        <is>
          <t xml:space="preserve">  Share-based compensation % of total revenues</t>
        </is>
      </c>
      <c r="C130" s="179">
        <f>IFERROR(C160/C138,"")</f>
        <v/>
      </c>
      <c r="D130" s="179">
        <f>IFERROR(D160/D138,"")</f>
        <v/>
      </c>
      <c r="E130" s="179">
        <f>IFERROR(E160/E138,"")</f>
        <v/>
      </c>
      <c r="F130" s="179">
        <f>IFERROR(F160/F138,"")</f>
        <v/>
      </c>
      <c r="G130" s="179">
        <f>IFERROR(G160/G138,"")</f>
        <v/>
      </c>
      <c r="H130" s="179">
        <f>IFERROR(H160/H138,"")</f>
        <v/>
      </c>
      <c r="I130" s="179">
        <f>IFERROR(I160/I138,"")</f>
        <v/>
      </c>
      <c r="J130" s="179">
        <f>IFERROR(J160/J138,"")</f>
        <v/>
      </c>
      <c r="K130" s="179">
        <f>IFERROR(K160/K138,"")</f>
        <v/>
      </c>
      <c r="L130" s="179">
        <f>IFERROR(L160/L138,"")</f>
        <v/>
      </c>
      <c r="M130" s="179">
        <f>IFERROR(M160/M138,"")</f>
        <v/>
      </c>
      <c r="N130" s="179">
        <f>IFERROR(N160/N138,"")</f>
        <v/>
      </c>
      <c r="O130" s="179">
        <f>IFERROR(O160/O138,"")</f>
        <v/>
      </c>
      <c r="P130" s="179">
        <f>IFERROR(P160/P138,"")</f>
        <v/>
      </c>
      <c r="Q130" s="179">
        <f>IFERROR(Q160/Q138,"")</f>
        <v/>
      </c>
      <c r="R130" s="179">
        <f>IFERROR(R160/R138,"")</f>
        <v/>
      </c>
      <c r="S130" s="179">
        <f>IFERROR(S160/S138,"")</f>
        <v/>
      </c>
      <c r="T130" s="179">
        <f>IFERROR(T160/T138,"")</f>
        <v/>
      </c>
      <c r="U130" s="179">
        <f>IFERROR(U160/U138,"")</f>
        <v/>
      </c>
      <c r="V130" s="179">
        <f>IFERROR(V160/V138,"")</f>
        <v/>
      </c>
      <c r="W130" s="179">
        <f>IFERROR(W160/W138,"")</f>
        <v/>
      </c>
      <c r="X130" s="179">
        <f>IFERROR(X160/X138,"")</f>
        <v/>
      </c>
      <c r="Y130" s="179">
        <f>IFERROR(Y160/Y138,"")</f>
        <v/>
      </c>
      <c r="Z130" s="179">
        <f>IFERROR(Z160/Z138,"")</f>
        <v/>
      </c>
      <c r="AA130" s="179">
        <f>IFERROR(AA160/AA138,"")</f>
        <v/>
      </c>
      <c r="AB130" s="179">
        <f>IFERROR(AB160/AB138,"")</f>
        <v/>
      </c>
      <c r="AC130" s="179">
        <f>IFERROR(AC160/AC138,"")</f>
        <v/>
      </c>
      <c r="AD130" s="179">
        <f>IFERROR(AD160/AD138,"")</f>
        <v/>
      </c>
      <c r="AE130" s="179">
        <f>IFERROR(AE160/AE138,"")</f>
        <v/>
      </c>
      <c r="AF130" s="179">
        <f>IFERROR(AF160/AF138,"")</f>
        <v/>
      </c>
      <c r="AG130" s="179">
        <f>IFERROR(AG160/AG138,"")</f>
        <v/>
      </c>
      <c r="AH130" s="179">
        <f>IFERROR(AH160/AH138,"")</f>
        <v/>
      </c>
      <c r="AI130" s="179">
        <f>IFERROR(AI160/AI138,"")</f>
        <v/>
      </c>
      <c r="AJ130" s="179">
        <f>IFERROR(AJ160/AJ138,"")</f>
        <v/>
      </c>
      <c r="AK130" s="179">
        <f>IFERROR(AK160/AK138,"")</f>
        <v/>
      </c>
      <c r="AL130" s="179">
        <f>IFERROR(AL160/AL138,"")</f>
        <v/>
      </c>
      <c r="AM130" s="179">
        <f>IFERROR(AM160/AM138,"")</f>
        <v/>
      </c>
      <c r="AN130" s="179">
        <f>IFERROR(AN160/AN138,"")</f>
        <v/>
      </c>
      <c r="AO130" s="179">
        <f>IFERROR(AO160/AO138,"")</f>
        <v/>
      </c>
      <c r="AP130" s="179">
        <f>IFERROR(AP160/AP138,"")</f>
        <v/>
      </c>
      <c r="AQ130" s="179">
        <f>IFERROR(AQ160/AQ138,"")</f>
        <v/>
      </c>
      <c r="AR130" s="179">
        <f>IFERROR(AR160/AR138,"")</f>
        <v/>
      </c>
      <c r="AS130" s="179">
        <f>IFERROR(AS160/AS138,"")</f>
        <v/>
      </c>
      <c r="AT130" s="179">
        <f>IFERROR(AT160/AT138,"")</f>
        <v/>
      </c>
      <c r="AU130" s="179">
        <f>IFERROR(AU160/AU138,"")</f>
        <v/>
      </c>
      <c r="AV130" s="179">
        <f>IFERROR(AV160/AV138,"")</f>
        <v/>
      </c>
      <c r="AW130" s="179">
        <f>IFERROR(AW160/AW138,"")</f>
        <v/>
      </c>
      <c r="AX130" s="179">
        <f>IFERROR(AX160/AX138,"")</f>
        <v/>
      </c>
      <c r="AY130" s="179">
        <f>IFERROR(AY160/AY138,"")</f>
        <v/>
      </c>
      <c r="AZ130" s="179">
        <f>IFERROR(AZ160/AZ138,"")</f>
        <v/>
      </c>
      <c r="BA130" s="179">
        <f>IFERROR(BA160/BA138,"")</f>
        <v/>
      </c>
      <c r="BB130" s="179">
        <f>IFERROR(BB160/BB138,"")</f>
        <v/>
      </c>
      <c r="BC130" s="179">
        <f>IFERROR(BC160/BC138,"")</f>
        <v/>
      </c>
      <c r="BD130" s="179">
        <f>IFERROR(BD160/BD138,"")</f>
        <v/>
      </c>
      <c r="BE130" s="179">
        <f>IFERROR(BE160/BE138,"")</f>
        <v/>
      </c>
      <c r="BF130" s="179">
        <f>IFERROR(BF160/BF138,"")</f>
        <v/>
      </c>
      <c r="BG130" s="179">
        <f>IFERROR(BG160/BG138,"")</f>
        <v/>
      </c>
      <c r="BH130" s="179">
        <f>IFERROR(BH160/BH138,"")</f>
        <v/>
      </c>
      <c r="BI130" s="179">
        <f>IFERROR(BI160/BI138,"")</f>
        <v/>
      </c>
      <c r="BJ130" s="179">
        <f>IFERROR(BJ160/BJ138,"")</f>
        <v/>
      </c>
      <c r="BK130" s="179">
        <f>IFERROR(BK160/BK138,"")</f>
        <v/>
      </c>
      <c r="BL130" s="179">
        <f>IFERROR(BL160/BL138,"")</f>
        <v/>
      </c>
      <c r="BM130" s="179">
        <f>IFERROR(BM160/BM138,"")</f>
        <v/>
      </c>
      <c r="BN130" s="179">
        <f>IFERROR(BN160/BN138,"")</f>
        <v/>
      </c>
      <c r="BO130" s="179">
        <f>IFERROR(BO160/BO138,"")</f>
        <v/>
      </c>
      <c r="BP130" s="179">
        <f>IFERROR(BP160/BP138,"")</f>
        <v/>
      </c>
      <c r="BQ130" s="179">
        <f>IFERROR(BQ160/BQ138,"")</f>
        <v/>
      </c>
      <c r="BR130" s="179">
        <f>IFERROR(BR160/BR138,"")</f>
        <v/>
      </c>
      <c r="BS130" s="179">
        <f>IFERROR(BS160/BS138,"")</f>
        <v/>
      </c>
      <c r="BT130" s="179">
        <f>IFERROR(BT160/BT138,"")</f>
        <v/>
      </c>
      <c r="BU130" s="179">
        <f>IFERROR(BU160/BU138,"")</f>
        <v/>
      </c>
      <c r="BV130" s="179">
        <f>IFERROR(BV160/BV138,"")</f>
        <v/>
      </c>
      <c r="BW130" s="179">
        <f>IFERROR(BW160/BW138,"")</f>
        <v/>
      </c>
      <c r="BX130" s="179">
        <f>IFERROR(BX160/BX138,"")</f>
        <v/>
      </c>
      <c r="BY130" s="179">
        <f>IFERROR(BY160/BY138,"")</f>
        <v/>
      </c>
      <c r="BZ130" s="179">
        <f>IFERROR(BZ160/BZ138,"")</f>
        <v/>
      </c>
      <c r="CA130" s="179">
        <f>IFERROR(CA160/CA138,"")</f>
        <v/>
      </c>
      <c r="CB130" s="179">
        <f>IFERROR(CB160/CB138,"")</f>
        <v/>
      </c>
      <c r="CC130" s="179">
        <f>IFERROR(CC160/CC138,"")</f>
        <v/>
      </c>
      <c r="CD130" s="179">
        <f>IFERROR(CD160/CD138,"")</f>
        <v/>
      </c>
      <c r="CE130" s="179">
        <f>IFERROR(CE160/CE138,"")</f>
        <v/>
      </c>
      <c r="CF130" s="179">
        <f>IFERROR(CF160/CF138,"")</f>
        <v/>
      </c>
      <c r="CG130" s="179">
        <f>IFERROR(CG160/CG138,"")</f>
        <v/>
      </c>
      <c r="CH130" s="179">
        <f>IFERROR(CH160/CH138,"")</f>
        <v/>
      </c>
      <c r="CI130" s="179">
        <f>IFERROR(CI160/CI138,"")</f>
        <v/>
      </c>
      <c r="CJ130" s="179">
        <f>IFERROR(CJ160/CJ138,"")</f>
        <v/>
      </c>
      <c r="CK130" s="179">
        <f>IFERROR(CK160/CK138,"")</f>
        <v/>
      </c>
      <c r="CL130" s="179">
        <f>IFERROR(CL160/CL138,"")</f>
        <v/>
      </c>
      <c r="CM130" s="165">
        <f>IFERROR(CM160/CM138,"")</f>
        <v/>
      </c>
      <c r="CN130" s="165">
        <f>IFERROR(CN160/CN138,"")</f>
        <v/>
      </c>
      <c r="CO130" s="182" t="n">
        <v>0.0065</v>
      </c>
      <c r="CP130" s="182" t="n">
        <v>0.0065</v>
      </c>
      <c r="CQ130" s="182" t="n">
        <v>0.0065</v>
      </c>
      <c r="CR130" s="182" t="n">
        <v>0.0065</v>
      </c>
      <c r="CS130" s="182" t="n">
        <v>0.0065</v>
      </c>
      <c r="CT130" s="22" t="n"/>
      <c r="CV130" s="40" t="n"/>
      <c r="CW130" s="40" t="n"/>
      <c r="CX130" s="40" t="n"/>
      <c r="CY130" s="40" t="n"/>
    </row>
    <row r="131" ht="15" customHeight="1">
      <c r="B131" s="12" t="n"/>
      <c r="CM131" s="6" t="n"/>
      <c r="CN131" s="6" t="n"/>
      <c r="CO131" s="6" t="n"/>
      <c r="CP131" s="6" t="n"/>
      <c r="CQ131" s="6" t="n"/>
      <c r="CR131" s="6" t="n"/>
      <c r="CS131" s="6" t="n"/>
      <c r="CT131" s="6" t="n"/>
    </row>
    <row r="132" ht="15" customHeight="1">
      <c r="B132" s="16" t="inlineStr">
        <is>
          <t>Annual disclosures (10-K)</t>
        </is>
      </c>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c r="AE132" s="16" t="n"/>
      <c r="AF132" s="16" t="n"/>
      <c r="AG132" s="16" t="n"/>
      <c r="AH132" s="16" t="n"/>
      <c r="AI132" s="16" t="n"/>
      <c r="AJ132" s="16" t="n"/>
      <c r="AK132" s="16" t="n"/>
      <c r="AL132" s="16" t="n"/>
      <c r="AM132" s="16" t="n"/>
      <c r="AN132" s="16" t="n"/>
      <c r="AO132" s="16" t="n"/>
      <c r="AP132" s="16" t="n"/>
      <c r="AQ132" s="16" t="n"/>
      <c r="AR132" s="16" t="n"/>
      <c r="AS132" s="16" t="n"/>
      <c r="AT132" s="16" t="n"/>
      <c r="AU132" s="16" t="n"/>
      <c r="AV132" s="16" t="n"/>
      <c r="AW132" s="16" t="n"/>
      <c r="AX132" s="16" t="n"/>
      <c r="AY132" s="16" t="n"/>
      <c r="AZ132" s="16" t="n"/>
      <c r="BA132" s="16" t="n"/>
      <c r="BB132" s="16" t="n"/>
      <c r="BC132" s="16" t="n"/>
      <c r="BD132" s="16" t="n"/>
      <c r="BE132" s="16" t="n"/>
      <c r="BF132" s="16" t="n"/>
      <c r="BG132" s="16" t="n"/>
      <c r="BH132" s="16" t="n"/>
      <c r="BI132" s="16" t="n"/>
      <c r="BJ132" s="16" t="n"/>
      <c r="BK132" s="16" t="n"/>
      <c r="BL132" s="16" t="n"/>
      <c r="BM132" s="16" t="n"/>
      <c r="BN132" s="16" t="n"/>
      <c r="BO132" s="16" t="n"/>
      <c r="BP132" s="16" t="n"/>
      <c r="BQ132" s="16" t="n"/>
      <c r="BR132" s="16" t="n"/>
      <c r="BS132" s="16" t="n"/>
      <c r="BT132" s="16" t="n"/>
      <c r="BU132" s="16" t="n"/>
      <c r="BV132" s="16" t="n"/>
      <c r="BW132" s="16" t="n"/>
      <c r="BX132" s="16" t="n"/>
      <c r="BY132" s="16" t="n"/>
      <c r="BZ132" s="16" t="n"/>
      <c r="CA132" s="16" t="n"/>
      <c r="CB132" s="16" t="n"/>
      <c r="CC132" s="16" t="n"/>
      <c r="CD132" s="16" t="n"/>
      <c r="CE132" s="16" t="n"/>
      <c r="CF132" s="16" t="n"/>
      <c r="CG132" s="16" t="n"/>
      <c r="CH132" s="16" t="n"/>
      <c r="CI132" s="16" t="n"/>
      <c r="CJ132" s="16" t="n"/>
      <c r="CK132" s="16" t="n"/>
      <c r="CL132" s="16" t="n"/>
      <c r="CM132" s="16" t="n"/>
      <c r="CN132" s="16" t="n"/>
      <c r="CO132" s="16" t="n"/>
      <c r="CP132" s="16" t="n"/>
      <c r="CQ132" s="16" t="n"/>
      <c r="CR132" s="16" t="n"/>
      <c r="CS132" s="16" t="n"/>
      <c r="CT132" s="17" t="inlineStr">
        <is>
          <t>ANNUAL DISCLOSURES — historical only (not forecast)</t>
        </is>
      </c>
    </row>
    <row r="133" ht="15" customHeight="1">
      <c r="B133" s="12" t="inlineStr">
        <is>
          <t xml:space="preserve">  Aggregates reserves (billion tons, year end)</t>
        </is>
      </c>
      <c r="C133" s="166" t="n">
        <v>11.4</v>
      </c>
      <c r="D133" s="166" t="n">
        <v>12.7</v>
      </c>
      <c r="E133" s="166" t="n">
        <v>13.3</v>
      </c>
      <c r="F133" s="166" t="n">
        <v>14.2</v>
      </c>
      <c r="G133" s="166" t="n">
        <v>14.7</v>
      </c>
      <c r="H133" s="166" t="n">
        <v>15</v>
      </c>
      <c r="I133" s="166" t="n">
        <v>15</v>
      </c>
      <c r="J133" s="30" t="n"/>
      <c r="K133" s="30" t="n"/>
      <c r="L133" s="29" t="n"/>
      <c r="M133" s="30" t="n"/>
      <c r="N133" s="30" t="n"/>
      <c r="O133" s="166" t="n">
        <v>15</v>
      </c>
      <c r="P133" s="30" t="n"/>
      <c r="Q133" s="30" t="n"/>
      <c r="R133" s="29" t="n"/>
      <c r="S133" s="30" t="n"/>
      <c r="T133" s="30" t="n"/>
      <c r="U133" s="166" t="n">
        <v>15.8</v>
      </c>
      <c r="V133" s="30" t="n"/>
      <c r="W133" s="30" t="n"/>
      <c r="X133" s="29" t="n"/>
      <c r="Y133" s="30" t="n"/>
      <c r="Z133" s="30" t="n"/>
      <c r="AA133" s="166" t="n">
        <v>15.7</v>
      </c>
      <c r="AB133" s="30" t="n"/>
      <c r="AC133" s="30" t="n"/>
      <c r="AD133" s="29" t="n"/>
      <c r="AE133" s="30" t="n"/>
      <c r="AF133" s="30" t="n"/>
      <c r="AG133" s="166" t="n">
        <v>15.5</v>
      </c>
      <c r="AH133" s="30" t="n"/>
      <c r="AI133" s="30" t="n"/>
      <c r="AJ133" s="29" t="n"/>
      <c r="AK133" s="30" t="n"/>
      <c r="AL133" s="30" t="n"/>
      <c r="AM133" s="166" t="n">
        <v>16</v>
      </c>
      <c r="AN133" s="30" t="n"/>
      <c r="AO133" s="30" t="n"/>
      <c r="AP133" s="29" t="n"/>
      <c r="AQ133" s="30" t="n"/>
      <c r="AR133" s="30" t="n"/>
      <c r="AS133" s="166" t="n">
        <v>16.3</v>
      </c>
      <c r="AT133" s="30" t="n"/>
      <c r="AU133" s="30" t="n"/>
      <c r="AV133" s="29" t="n"/>
      <c r="AW133" s="30" t="n"/>
      <c r="AX133" s="30" t="n"/>
      <c r="AY133" s="166" t="n">
        <v>16.2</v>
      </c>
      <c r="AZ133" s="30" t="n"/>
      <c r="BA133" s="30" t="n"/>
      <c r="BB133" s="29" t="n"/>
      <c r="BC133" s="30" t="n"/>
      <c r="BD133" s="30" t="n"/>
      <c r="BE133" s="166" t="n">
        <v>15.9</v>
      </c>
      <c r="BF133" s="30" t="n"/>
      <c r="BG133" s="30" t="n"/>
      <c r="BH133" s="29" t="n"/>
      <c r="BI133" s="30" t="n"/>
      <c r="BJ133" s="30" t="n"/>
      <c r="BK133" s="166" t="n">
        <v>15.6</v>
      </c>
      <c r="BL133" s="30" t="n"/>
      <c r="BM133" s="30" t="n"/>
      <c r="BN133" s="29" t="n"/>
      <c r="BO133" s="30" t="n"/>
      <c r="BP133" s="30" t="n"/>
      <c r="BQ133" s="166" t="n">
        <v>15.6</v>
      </c>
      <c r="BR133" s="30" t="n"/>
      <c r="BS133" s="30" t="n"/>
      <c r="BT133" s="29" t="n"/>
      <c r="BU133" s="30" t="n"/>
      <c r="BV133" s="30" t="n"/>
      <c r="BW133" s="166" t="n">
        <v>15.6</v>
      </c>
      <c r="BX133" s="30" t="n"/>
      <c r="BY133" s="30" t="n"/>
      <c r="BZ133" s="29" t="n"/>
      <c r="CA133" s="30" t="n"/>
      <c r="CB133" s="30" t="n"/>
      <c r="CC133" s="166" t="n">
        <v>16.5</v>
      </c>
      <c r="CD133" s="30" t="n"/>
      <c r="CE133" s="30" t="n"/>
      <c r="CF133" s="29" t="n"/>
      <c r="CG133" s="30" t="n"/>
      <c r="CH133" s="30" t="n"/>
      <c r="CI133" s="166" t="n">
        <v>16.6</v>
      </c>
      <c r="CJ133" s="30" t="n"/>
      <c r="CK133" s="30" t="n"/>
      <c r="CL133" s="29" t="n"/>
      <c r="CM133" s="31" t="n"/>
      <c r="CN133" s="31" t="n"/>
      <c r="CO133" s="31" t="n"/>
      <c r="CP133" s="31" t="n"/>
      <c r="CQ133" s="31" t="n"/>
      <c r="CR133" s="31" t="n"/>
      <c r="CS133" s="31" t="n"/>
      <c r="CT133" s="22" t="n"/>
      <c r="CV133" s="23" t="n"/>
      <c r="CW133" s="23" t="n"/>
      <c r="CX133" s="23" t="n"/>
      <c r="CY133" s="23" t="n"/>
    </row>
    <row r="134" ht="15" customHeight="1">
      <c r="B134" s="12" t="inlineStr">
        <is>
          <t xml:space="preserve">  Reserve life at current shipments (years)</t>
        </is>
      </c>
      <c r="C134" s="189">
        <f>IF(ISNUMBER(C133),C133*1000/C11,"")</f>
        <v/>
      </c>
      <c r="D134" s="189">
        <f>IF(ISNUMBER(D133),D133*1000/D11,"")</f>
        <v/>
      </c>
      <c r="E134" s="189">
        <f>IF(ISNUMBER(E133),E133*1000/E11,"")</f>
        <v/>
      </c>
      <c r="F134" s="189">
        <f>IF(ISNUMBER(F133),F133*1000/F11,"")</f>
        <v/>
      </c>
      <c r="G134" s="189">
        <f>IF(ISNUMBER(G133),G133*1000/G11,"")</f>
        <v/>
      </c>
      <c r="H134" s="189">
        <f>IF(ISNUMBER(H133),H133*1000/H11,"")</f>
        <v/>
      </c>
      <c r="I134" s="189">
        <f>IF(ISNUMBER(I133),I133*1000/I11,"")</f>
        <v/>
      </c>
      <c r="J134" s="189">
        <f>IF(ISNUMBER(J133),J133*1000/J11,"")</f>
        <v/>
      </c>
      <c r="K134" s="189">
        <f>IF(ISNUMBER(K133),K133*1000/K11,"")</f>
        <v/>
      </c>
      <c r="L134" s="189">
        <f>IF(ISNUMBER(L133),L133*1000/L11,"")</f>
        <v/>
      </c>
      <c r="M134" s="189">
        <f>IF(ISNUMBER(M133),M133*1000/M11,"")</f>
        <v/>
      </c>
      <c r="N134" s="189">
        <f>IF(ISNUMBER(N133),N133*1000/N11,"")</f>
        <v/>
      </c>
      <c r="O134" s="189">
        <f>IF(ISNUMBER(O133),O133*1000/O11,"")</f>
        <v/>
      </c>
      <c r="P134" s="189">
        <f>IF(ISNUMBER(P133),P133*1000/P11,"")</f>
        <v/>
      </c>
      <c r="Q134" s="189">
        <f>IF(ISNUMBER(Q133),Q133*1000/Q11,"")</f>
        <v/>
      </c>
      <c r="R134" s="189">
        <f>IF(ISNUMBER(R133),R133*1000/R11,"")</f>
        <v/>
      </c>
      <c r="S134" s="189">
        <f>IF(ISNUMBER(S133),S133*1000/S11,"")</f>
        <v/>
      </c>
      <c r="T134" s="189">
        <f>IF(ISNUMBER(T133),T133*1000/T11,"")</f>
        <v/>
      </c>
      <c r="U134" s="189">
        <f>IF(ISNUMBER(U133),U133*1000/U11,"")</f>
        <v/>
      </c>
      <c r="V134" s="189">
        <f>IF(ISNUMBER(V133),V133*1000/V11,"")</f>
        <v/>
      </c>
      <c r="W134" s="189">
        <f>IF(ISNUMBER(W133),W133*1000/W11,"")</f>
        <v/>
      </c>
      <c r="X134" s="189">
        <f>IF(ISNUMBER(X133),X133*1000/X11,"")</f>
        <v/>
      </c>
      <c r="Y134" s="189">
        <f>IF(ISNUMBER(Y133),Y133*1000/Y11,"")</f>
        <v/>
      </c>
      <c r="Z134" s="189">
        <f>IF(ISNUMBER(Z133),Z133*1000/Z11,"")</f>
        <v/>
      </c>
      <c r="AA134" s="189">
        <f>IF(ISNUMBER(AA133),AA133*1000/AA11,"")</f>
        <v/>
      </c>
      <c r="AB134" s="189">
        <f>IF(ISNUMBER(AB133),AB133*1000/AB11,"")</f>
        <v/>
      </c>
      <c r="AC134" s="189">
        <f>IF(ISNUMBER(AC133),AC133*1000/AC11,"")</f>
        <v/>
      </c>
      <c r="AD134" s="189">
        <f>IF(ISNUMBER(AD133),AD133*1000/AD11,"")</f>
        <v/>
      </c>
      <c r="AE134" s="189">
        <f>IF(ISNUMBER(AE133),AE133*1000/AE11,"")</f>
        <v/>
      </c>
      <c r="AF134" s="189">
        <f>IF(ISNUMBER(AF133),AF133*1000/AF11,"")</f>
        <v/>
      </c>
      <c r="AG134" s="189">
        <f>IF(ISNUMBER(AG133),AG133*1000/AG11,"")</f>
        <v/>
      </c>
      <c r="AH134" s="189">
        <f>IF(ISNUMBER(AH133),AH133*1000/AH11,"")</f>
        <v/>
      </c>
      <c r="AI134" s="189">
        <f>IF(ISNUMBER(AI133),AI133*1000/AI11,"")</f>
        <v/>
      </c>
      <c r="AJ134" s="189">
        <f>IF(ISNUMBER(AJ133),AJ133*1000/AJ11,"")</f>
        <v/>
      </c>
      <c r="AK134" s="189">
        <f>IF(ISNUMBER(AK133),AK133*1000/AK11,"")</f>
        <v/>
      </c>
      <c r="AL134" s="189">
        <f>IF(ISNUMBER(AL133),AL133*1000/AL11,"")</f>
        <v/>
      </c>
      <c r="AM134" s="189">
        <f>IF(ISNUMBER(AM133),AM133*1000/AM11,"")</f>
        <v/>
      </c>
      <c r="AN134" s="189">
        <f>IF(ISNUMBER(AN133),AN133*1000/AN11,"")</f>
        <v/>
      </c>
      <c r="AO134" s="189">
        <f>IF(ISNUMBER(AO133),AO133*1000/AO11,"")</f>
        <v/>
      </c>
      <c r="AP134" s="189">
        <f>IF(ISNUMBER(AP133),AP133*1000/AP11,"")</f>
        <v/>
      </c>
      <c r="AQ134" s="189">
        <f>IF(ISNUMBER(AQ133),AQ133*1000/AQ11,"")</f>
        <v/>
      </c>
      <c r="AR134" s="189">
        <f>IF(ISNUMBER(AR133),AR133*1000/AR11,"")</f>
        <v/>
      </c>
      <c r="AS134" s="189">
        <f>IF(ISNUMBER(AS133),AS133*1000/AS11,"")</f>
        <v/>
      </c>
      <c r="AT134" s="189">
        <f>IF(ISNUMBER(AT133),AT133*1000/AT11,"")</f>
        <v/>
      </c>
      <c r="AU134" s="189">
        <f>IF(ISNUMBER(AU133),AU133*1000/AU11,"")</f>
        <v/>
      </c>
      <c r="AV134" s="189">
        <f>IF(ISNUMBER(AV133),AV133*1000/AV11,"")</f>
        <v/>
      </c>
      <c r="AW134" s="189">
        <f>IF(ISNUMBER(AW133),AW133*1000/AW11,"")</f>
        <v/>
      </c>
      <c r="AX134" s="189">
        <f>IF(ISNUMBER(AX133),AX133*1000/AX11,"")</f>
        <v/>
      </c>
      <c r="AY134" s="189">
        <f>IF(ISNUMBER(AY133),AY133*1000/AY11,"")</f>
        <v/>
      </c>
      <c r="AZ134" s="189">
        <f>IF(ISNUMBER(AZ133),AZ133*1000/AZ11,"")</f>
        <v/>
      </c>
      <c r="BA134" s="189">
        <f>IF(ISNUMBER(BA133),BA133*1000/BA11,"")</f>
        <v/>
      </c>
      <c r="BB134" s="189">
        <f>IF(ISNUMBER(BB133),BB133*1000/BB11,"")</f>
        <v/>
      </c>
      <c r="BC134" s="189">
        <f>IF(ISNUMBER(BC133),BC133*1000/BC11,"")</f>
        <v/>
      </c>
      <c r="BD134" s="189">
        <f>IF(ISNUMBER(BD133),BD133*1000/BD11,"")</f>
        <v/>
      </c>
      <c r="BE134" s="189">
        <f>IF(ISNUMBER(BE133),BE133*1000/BE11,"")</f>
        <v/>
      </c>
      <c r="BF134" s="189">
        <f>IF(ISNUMBER(BF133),BF133*1000/BF11,"")</f>
        <v/>
      </c>
      <c r="BG134" s="189">
        <f>IF(ISNUMBER(BG133),BG133*1000/BG11,"")</f>
        <v/>
      </c>
      <c r="BH134" s="189">
        <f>IF(ISNUMBER(BH133),BH133*1000/BH11,"")</f>
        <v/>
      </c>
      <c r="BI134" s="189">
        <f>IF(ISNUMBER(BI133),BI133*1000/BI11,"")</f>
        <v/>
      </c>
      <c r="BJ134" s="189">
        <f>IF(ISNUMBER(BJ133),BJ133*1000/BJ11,"")</f>
        <v/>
      </c>
      <c r="BK134" s="189">
        <f>IF(ISNUMBER(BK133),BK133*1000/BK11,"")</f>
        <v/>
      </c>
      <c r="BL134" s="189">
        <f>IF(ISNUMBER(BL133),BL133*1000/BL11,"")</f>
        <v/>
      </c>
      <c r="BM134" s="189">
        <f>IF(ISNUMBER(BM133),BM133*1000/BM11,"")</f>
        <v/>
      </c>
      <c r="BN134" s="189">
        <f>IF(ISNUMBER(BN133),BN133*1000/BN11,"")</f>
        <v/>
      </c>
      <c r="BO134" s="189">
        <f>IF(ISNUMBER(BO133),BO133*1000/BO11,"")</f>
        <v/>
      </c>
      <c r="BP134" s="189">
        <f>IF(ISNUMBER(BP133),BP133*1000/BP11,"")</f>
        <v/>
      </c>
      <c r="BQ134" s="189">
        <f>IF(ISNUMBER(BQ133),BQ133*1000/BQ11,"")</f>
        <v/>
      </c>
      <c r="BR134" s="189">
        <f>IF(ISNUMBER(BR133),BR133*1000/BR11,"")</f>
        <v/>
      </c>
      <c r="BS134" s="189">
        <f>IF(ISNUMBER(BS133),BS133*1000/BS11,"")</f>
        <v/>
      </c>
      <c r="BT134" s="189">
        <f>IF(ISNUMBER(BT133),BT133*1000/BT11,"")</f>
        <v/>
      </c>
      <c r="BU134" s="189">
        <f>IF(ISNUMBER(BU133),BU133*1000/BU11,"")</f>
        <v/>
      </c>
      <c r="BV134" s="189">
        <f>IF(ISNUMBER(BV133),BV133*1000/BV11,"")</f>
        <v/>
      </c>
      <c r="BW134" s="189">
        <f>IF(ISNUMBER(BW133),BW133*1000/BW11,"")</f>
        <v/>
      </c>
      <c r="BX134" s="189">
        <f>IF(ISNUMBER(BX133),BX133*1000/BX11,"")</f>
        <v/>
      </c>
      <c r="BY134" s="189">
        <f>IF(ISNUMBER(BY133),BY133*1000/BY11,"")</f>
        <v/>
      </c>
      <c r="BZ134" s="189">
        <f>IF(ISNUMBER(BZ133),BZ133*1000/BZ11,"")</f>
        <v/>
      </c>
      <c r="CA134" s="189">
        <f>IF(ISNUMBER(CA133),CA133*1000/CA11,"")</f>
        <v/>
      </c>
      <c r="CB134" s="189">
        <f>IF(ISNUMBER(CB133),CB133*1000/CB11,"")</f>
        <v/>
      </c>
      <c r="CC134" s="189">
        <f>IF(ISNUMBER(CC133),CC133*1000/CC11,"")</f>
        <v/>
      </c>
      <c r="CD134" s="189">
        <f>IF(ISNUMBER(CD133),CD133*1000/CD11,"")</f>
        <v/>
      </c>
      <c r="CE134" s="189">
        <f>IF(ISNUMBER(CE133),CE133*1000/CE11,"")</f>
        <v/>
      </c>
      <c r="CF134" s="189">
        <f>IF(ISNUMBER(CF133),CF133*1000/CF11,"")</f>
        <v/>
      </c>
      <c r="CG134" s="189">
        <f>IF(ISNUMBER(CG133),CG133*1000/CG11,"")</f>
        <v/>
      </c>
      <c r="CH134" s="189">
        <f>IF(ISNUMBER(CH133),CH133*1000/CH11,"")</f>
        <v/>
      </c>
      <c r="CI134" s="189">
        <f>IF(ISNUMBER(CI133),CI133*1000/CI11,"")</f>
        <v/>
      </c>
      <c r="CJ134" s="189">
        <f>IF(ISNUMBER(CJ133),CJ133*1000/CJ11,"")</f>
        <v/>
      </c>
      <c r="CK134" s="189">
        <f>IF(ISNUMBER(CK133),CK133*1000/CK11,"")</f>
        <v/>
      </c>
      <c r="CL134" s="189">
        <f>IF(ISNUMBER(CL133),CL133*1000/CL11,"")</f>
        <v/>
      </c>
      <c r="CM134" s="31" t="n"/>
      <c r="CN134" s="31" t="n"/>
      <c r="CO134" s="31" t="n"/>
      <c r="CP134" s="31" t="n"/>
      <c r="CQ134" s="31" t="n"/>
      <c r="CR134" s="31" t="n"/>
      <c r="CS134" s="31" t="n"/>
      <c r="CT134" s="22" t="n"/>
      <c r="CV134" s="23" t="n"/>
      <c r="CW134" s="23" t="n"/>
      <c r="CX134" s="23" t="n"/>
      <c r="CY134" s="23" t="n"/>
    </row>
    <row r="135" ht="15" customHeight="1">
      <c r="B135" s="12" t="inlineStr">
        <is>
          <t xml:space="preserve">  Employees (year end)</t>
        </is>
      </c>
      <c r="C135" s="169" t="n">
        <v>7983</v>
      </c>
      <c r="D135" s="169" t="n">
        <v>10522</v>
      </c>
      <c r="E135" s="169" t="n">
        <v>9320</v>
      </c>
      <c r="F135" s="169" t="n">
        <v>8227</v>
      </c>
      <c r="G135" s="169" t="n">
        <v>7749</v>
      </c>
      <c r="H135" s="169" t="n">
        <v>7418</v>
      </c>
      <c r="I135" s="169" t="n">
        <v>7028</v>
      </c>
      <c r="J135" s="30" t="n"/>
      <c r="K135" s="30" t="n"/>
      <c r="L135" s="29" t="n"/>
      <c r="M135" s="30" t="n"/>
      <c r="N135" s="30" t="n"/>
      <c r="O135" s="169" t="n">
        <v>7211</v>
      </c>
      <c r="P135" s="30" t="n"/>
      <c r="Q135" s="30" t="n"/>
      <c r="R135" s="29" t="n"/>
      <c r="S135" s="30" t="n"/>
      <c r="T135" s="30" t="n"/>
      <c r="U135" s="169" t="n">
        <v>6941</v>
      </c>
      <c r="V135" s="30" t="n"/>
      <c r="W135" s="30" t="n"/>
      <c r="X135" s="29" t="n"/>
      <c r="Y135" s="30" t="n"/>
      <c r="Z135" s="30" t="n"/>
      <c r="AA135" s="169" t="n">
        <v>7187</v>
      </c>
      <c r="AB135" s="30" t="n"/>
      <c r="AC135" s="30" t="n"/>
      <c r="AD135" s="29" t="n"/>
      <c r="AE135" s="30" t="n"/>
      <c r="AF135" s="30" t="n"/>
      <c r="AG135" s="169" t="n">
        <v>7533</v>
      </c>
      <c r="AH135" s="30" t="n"/>
      <c r="AI135" s="30" t="n"/>
      <c r="AJ135" s="29" t="n"/>
      <c r="AK135" s="30" t="n"/>
      <c r="AL135" s="30" t="n"/>
      <c r="AM135" s="169" t="n">
        <v>8287</v>
      </c>
      <c r="AN135" s="30" t="n"/>
      <c r="AO135" s="30" t="n"/>
      <c r="AP135" s="29" t="n"/>
      <c r="AQ135" s="30" t="n"/>
      <c r="AR135" s="30" t="n"/>
      <c r="AS135" s="169" t="n">
        <v>8782</v>
      </c>
      <c r="AT135" s="30" t="n"/>
      <c r="AU135" s="30" t="n"/>
      <c r="AV135" s="29" t="n"/>
      <c r="AW135" s="30" t="n"/>
      <c r="AX135" s="30" t="n"/>
      <c r="AY135" s="169" t="n">
        <v>9173</v>
      </c>
      <c r="AZ135" s="30" t="n"/>
      <c r="BA135" s="30" t="n"/>
      <c r="BB135" s="29" t="n"/>
      <c r="BC135" s="30" t="n"/>
      <c r="BD135" s="30" t="n"/>
      <c r="BE135" s="169" t="n">
        <v>8431</v>
      </c>
      <c r="BF135" s="30" t="n"/>
      <c r="BG135" s="30" t="n"/>
      <c r="BH135" s="29" t="n"/>
      <c r="BI135" s="30" t="n"/>
      <c r="BJ135" s="30" t="n"/>
      <c r="BK135" s="169" t="n">
        <v>11437</v>
      </c>
      <c r="BL135" s="30" t="n"/>
      <c r="BM135" s="30" t="n"/>
      <c r="BN135" s="29" t="n"/>
      <c r="BO135" s="30" t="n"/>
      <c r="BP135" s="30" t="n"/>
      <c r="BQ135" s="169" t="n">
        <v>11974</v>
      </c>
      <c r="BR135" s="30" t="n"/>
      <c r="BS135" s="30" t="n"/>
      <c r="BT135" s="29" t="n"/>
      <c r="BU135" s="30" t="n"/>
      <c r="BV135" s="30" t="n"/>
      <c r="BW135" s="169" t="n">
        <v>10961</v>
      </c>
      <c r="BX135" s="30" t="n"/>
      <c r="BY135" s="30" t="n"/>
      <c r="BZ135" s="29" t="n"/>
      <c r="CA135" s="30" t="n"/>
      <c r="CB135" s="30" t="n"/>
      <c r="CC135" s="169" t="n">
        <v>11971</v>
      </c>
      <c r="CD135" s="30" t="n"/>
      <c r="CE135" s="30" t="n"/>
      <c r="CF135" s="29" t="n"/>
      <c r="CG135" s="30" t="n"/>
      <c r="CH135" s="30" t="n"/>
      <c r="CI135" s="169" t="n">
        <v>11548</v>
      </c>
      <c r="CJ135" s="30" t="n"/>
      <c r="CK135" s="30" t="n"/>
      <c r="CL135" s="29" t="n"/>
      <c r="CM135" s="31" t="n"/>
      <c r="CN135" s="31" t="n"/>
      <c r="CO135" s="31" t="n"/>
      <c r="CP135" s="31" t="n"/>
      <c r="CQ135" s="31" t="n"/>
      <c r="CR135" s="31" t="n"/>
      <c r="CS135" s="31" t="n"/>
      <c r="CT135" s="22" t="n"/>
      <c r="CV135" s="23" t="n"/>
      <c r="CW135" s="23" t="n"/>
      <c r="CX135" s="23" t="n"/>
      <c r="CY135" s="23" t="n"/>
    </row>
    <row r="136" ht="15" customHeight="1">
      <c r="B136" s="12" t="n"/>
      <c r="CM136" s="6" t="n"/>
      <c r="CN136" s="6" t="n"/>
      <c r="CO136" s="6" t="n"/>
      <c r="CP136" s="6" t="n"/>
      <c r="CQ136" s="6" t="n"/>
      <c r="CR136" s="6" t="n"/>
      <c r="CS136" s="6" t="n"/>
      <c r="CT136" s="6" t="n"/>
    </row>
    <row r="137" ht="15" customHeight="1">
      <c r="B137" s="11" t="inlineStr">
        <is>
          <t>CONSOLIDATED INCOME STATEMENT (US GAAP)</t>
        </is>
      </c>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1" t="n"/>
      <c r="BQ137" s="11" t="n"/>
      <c r="BR137" s="11" t="n"/>
      <c r="BS137" s="11" t="n"/>
      <c r="BT137" s="11" t="n"/>
      <c r="BU137" s="11" t="n"/>
      <c r="BV137" s="11" t="n"/>
      <c r="BW137" s="11" t="n"/>
      <c r="BX137" s="11" t="n"/>
      <c r="BY137" s="11" t="n"/>
      <c r="BZ137" s="11" t="n"/>
      <c r="CA137" s="11" t="n"/>
      <c r="CB137" s="11" t="n"/>
      <c r="CC137" s="11" t="n"/>
      <c r="CD137" s="11" t="n"/>
      <c r="CE137" s="11" t="n"/>
      <c r="CF137" s="11" t="n"/>
      <c r="CG137" s="11" t="n"/>
      <c r="CH137" s="11" t="n"/>
      <c r="CI137" s="11" t="n"/>
      <c r="CJ137" s="11" t="n"/>
      <c r="CK137" s="11" t="n"/>
      <c r="CL137" s="11" t="n"/>
      <c r="CM137" s="11" t="n"/>
      <c r="CN137" s="11" t="n"/>
      <c r="CO137" s="11" t="n"/>
      <c r="CP137" s="11" t="n"/>
      <c r="CQ137" s="11" t="n"/>
      <c r="CR137" s="11" t="n"/>
      <c r="CS137" s="11" t="n"/>
      <c r="CT137" s="11" t="inlineStr">
        <is>
          <t>CONSOLIDATED IS — forecast logic</t>
        </is>
      </c>
    </row>
    <row r="138" ht="15" customHeight="1">
      <c r="B138" s="33" t="inlineStr">
        <is>
          <t>Total revenues</t>
        </is>
      </c>
      <c r="C138" s="190" t="n">
        <v>3342.5</v>
      </c>
      <c r="D138" s="190" t="n">
        <v>3327.8</v>
      </c>
      <c r="E138" s="190" t="n">
        <v>3651.4</v>
      </c>
      <c r="F138" s="190" t="n">
        <v>2690.5</v>
      </c>
      <c r="G138" s="190" t="n">
        <v>2558.9</v>
      </c>
      <c r="H138" s="190" t="n">
        <v>2564.6</v>
      </c>
      <c r="I138" s="190" t="n">
        <v>2567.3</v>
      </c>
      <c r="J138" s="172" t="n">
        <v>538.2</v>
      </c>
      <c r="K138" s="172" t="n">
        <v>738.7</v>
      </c>
      <c r="L138" s="173">
        <f>J138+K138</f>
        <v/>
      </c>
      <c r="M138" s="172" t="n">
        <v>813.6</v>
      </c>
      <c r="N138" s="172" t="n">
        <v>680.2</v>
      </c>
      <c r="O138" s="190" t="n">
        <v>2770.7</v>
      </c>
      <c r="P138" s="172" t="n">
        <v>574.4</v>
      </c>
      <c r="Q138" s="172" t="n">
        <v>791.1</v>
      </c>
      <c r="R138" s="173">
        <f>P138+Q138</f>
        <v/>
      </c>
      <c r="S138" s="172" t="n">
        <v>873.6</v>
      </c>
      <c r="T138" s="172" t="n">
        <v>755</v>
      </c>
      <c r="U138" s="190" t="n">
        <v>2994.2</v>
      </c>
      <c r="V138" s="172" t="n">
        <v>631.3</v>
      </c>
      <c r="W138" s="172" t="n">
        <v>895.1</v>
      </c>
      <c r="X138" s="173">
        <f>V138+W138</f>
        <v/>
      </c>
      <c r="Y138" s="172" t="n">
        <v>1038.5</v>
      </c>
      <c r="Z138" s="172" t="n">
        <v>857.3</v>
      </c>
      <c r="AA138" s="190" t="n">
        <v>3422.2</v>
      </c>
      <c r="AB138" s="172" t="n">
        <v>754.7</v>
      </c>
      <c r="AC138" s="172" t="n">
        <v>956.8</v>
      </c>
      <c r="AD138" s="173">
        <f>AB138+AC138</f>
        <v/>
      </c>
      <c r="AE138" s="172" t="n">
        <v>1008.1</v>
      </c>
      <c r="AF138" s="172" t="n">
        <v>873</v>
      </c>
      <c r="AG138" s="190" t="n">
        <v>3592.7</v>
      </c>
      <c r="AH138" s="172" t="n">
        <v>787.3</v>
      </c>
      <c r="AI138" s="172" t="n">
        <v>1030.8</v>
      </c>
      <c r="AJ138" s="173">
        <f>AH138+AI138</f>
        <v/>
      </c>
      <c r="AK138" s="172" t="n">
        <v>1094.7</v>
      </c>
      <c r="AL138" s="172" t="n">
        <v>977.5</v>
      </c>
      <c r="AM138" s="190" t="n">
        <v>3890.3</v>
      </c>
      <c r="AN138" s="172" t="n">
        <v>854.5</v>
      </c>
      <c r="AO138" s="172" t="n">
        <v>1200.2</v>
      </c>
      <c r="AP138" s="173">
        <f>AN138+AO138</f>
        <v/>
      </c>
      <c r="AQ138" s="172" t="n">
        <v>1240.2</v>
      </c>
      <c r="AR138" s="172" t="n">
        <v>1088</v>
      </c>
      <c r="AS138" s="190" t="n">
        <v>4382.9</v>
      </c>
      <c r="AT138" s="172" t="n">
        <v>996.5</v>
      </c>
      <c r="AU138" s="172" t="n">
        <v>1327.7</v>
      </c>
      <c r="AV138" s="173">
        <f>AT138+AU138</f>
        <v/>
      </c>
      <c r="AW138" s="172" t="n">
        <v>1418.8</v>
      </c>
      <c r="AX138" s="172" t="n">
        <v>1186.2</v>
      </c>
      <c r="AY138" s="190" t="n">
        <v>4929.1</v>
      </c>
      <c r="AZ138" s="172" t="n">
        <v>1049.2</v>
      </c>
      <c r="BA138" s="172" t="n">
        <v>1322.6</v>
      </c>
      <c r="BB138" s="173">
        <f>AZ138+BA138</f>
        <v/>
      </c>
      <c r="BC138" s="172" t="n">
        <v>1309.9</v>
      </c>
      <c r="BD138" s="172" t="n">
        <v>1175.1</v>
      </c>
      <c r="BE138" s="190" t="n">
        <v>4856.8</v>
      </c>
      <c r="BF138" s="172" t="n">
        <v>1068.3</v>
      </c>
      <c r="BG138" s="172" t="n">
        <v>1361</v>
      </c>
      <c r="BH138" s="173">
        <f>BF138+BG138</f>
        <v/>
      </c>
      <c r="BI138" s="172" t="n">
        <v>1516.5</v>
      </c>
      <c r="BJ138" s="172" t="n">
        <v>1606.3</v>
      </c>
      <c r="BK138" s="190" t="n">
        <v>5552.2</v>
      </c>
      <c r="BL138" s="172" t="n">
        <v>1540.7</v>
      </c>
      <c r="BM138" s="172" t="n">
        <v>1954.3</v>
      </c>
      <c r="BN138" s="173">
        <f>BL138+BM138</f>
        <v/>
      </c>
      <c r="BO138" s="172" t="n">
        <v>2088.3</v>
      </c>
      <c r="BP138" s="172" t="n">
        <v>1731.9</v>
      </c>
      <c r="BQ138" s="190" t="n">
        <v>7315.2</v>
      </c>
      <c r="BR138" s="172" t="n">
        <v>1649</v>
      </c>
      <c r="BS138" s="172" t="n">
        <v>2112.9</v>
      </c>
      <c r="BT138" s="173">
        <f>BR138+BS138</f>
        <v/>
      </c>
      <c r="BU138" s="172" t="n">
        <v>2185.8</v>
      </c>
      <c r="BV138" s="172" t="n">
        <v>1834.3</v>
      </c>
      <c r="BW138" s="190" t="n">
        <v>7781.9</v>
      </c>
      <c r="BX138" s="172" t="n">
        <v>1545.7</v>
      </c>
      <c r="BY138" s="172" t="n">
        <v>2014.4</v>
      </c>
      <c r="BZ138" s="173">
        <f>BX138+BY138</f>
        <v/>
      </c>
      <c r="CA138" s="172" t="n">
        <v>2003.9</v>
      </c>
      <c r="CB138" s="172" t="n">
        <v>1853.6</v>
      </c>
      <c r="CC138" s="190" t="n">
        <v>7417.7</v>
      </c>
      <c r="CD138" s="172" t="n">
        <v>1634.6</v>
      </c>
      <c r="CE138" s="172" t="n">
        <v>2102.4</v>
      </c>
      <c r="CF138" s="173">
        <f>CD138+CE138</f>
        <v/>
      </c>
      <c r="CG138" s="172" t="n">
        <v>2291.5</v>
      </c>
      <c r="CH138" s="172" t="n">
        <v>1912.6</v>
      </c>
      <c r="CI138" s="190" t="n">
        <v>7941.1</v>
      </c>
      <c r="CJ138" s="172" t="n">
        <v>1755.9</v>
      </c>
      <c r="CK138" s="172" t="n">
        <v>2155.8</v>
      </c>
      <c r="CL138" s="173">
        <f>CJ138+CK138</f>
        <v/>
      </c>
      <c r="CM138" s="175">
        <f>CM108</f>
        <v/>
      </c>
      <c r="CN138" s="175">
        <f>CN108</f>
        <v/>
      </c>
      <c r="CO138" s="175">
        <f>SUM(CJ138,CK138,CM138,CN138)</f>
        <v/>
      </c>
      <c r="CP138" s="175">
        <f>CP108</f>
        <v/>
      </c>
      <c r="CQ138" s="175">
        <f>CQ108</f>
        <v/>
      </c>
      <c r="CR138" s="175">
        <f>CR108</f>
        <v/>
      </c>
      <c r="CS138" s="175">
        <f>CS108</f>
        <v/>
      </c>
      <c r="CT138" s="22" t="inlineStr">
        <is>
          <t>Forecast linked to the segment build.</t>
        </is>
      </c>
      <c r="CV138" s="23">
        <f>IFERROR((CS138/CI138)^(1/5)-1,"n/m")</f>
        <v/>
      </c>
      <c r="CW138" s="23">
        <f>IFERROR((CI138/BE138)^(1/5)-1,"n/m")</f>
        <v/>
      </c>
      <c r="CX138" s="23">
        <f>IFERROR((CI138/AA138)^(1/10)-1,"n/m")</f>
        <v/>
      </c>
      <c r="CY138" s="23">
        <f>IFERROR((CI138/C138)^(1/19)-1,"n/m")</f>
        <v/>
      </c>
    </row>
    <row r="139" ht="15" customHeight="1">
      <c r="B139" s="12" t="inlineStr">
        <is>
          <t xml:space="preserve">  of which: delivery revenues (separate line pre-2018)</t>
        </is>
      </c>
      <c r="C139" s="169" t="n">
        <v>301.4</v>
      </c>
      <c r="D139" s="169" t="n">
        <v>237.7</v>
      </c>
      <c r="E139" s="169" t="n">
        <v>198.4</v>
      </c>
      <c r="F139" s="169" t="n">
        <v>146.8</v>
      </c>
      <c r="G139" s="169" t="n">
        <v>152.9</v>
      </c>
      <c r="H139" s="169" t="n">
        <v>157.6</v>
      </c>
      <c r="I139" s="169" t="n">
        <v>156.1</v>
      </c>
      <c r="J139" s="169" t="n">
        <v>33.6</v>
      </c>
      <c r="K139" s="169" t="n">
        <v>42.7</v>
      </c>
      <c r="L139" s="170">
        <f>J139+K139</f>
        <v/>
      </c>
      <c r="M139" s="169" t="n">
        <v>38.4</v>
      </c>
      <c r="N139" s="169" t="n">
        <v>27.4</v>
      </c>
      <c r="O139" s="169" t="n">
        <v>142</v>
      </c>
      <c r="P139" s="169" t="n">
        <v>25.9</v>
      </c>
      <c r="Q139" s="169" t="n">
        <v>34.9</v>
      </c>
      <c r="R139" s="170">
        <f>P139+Q139</f>
        <v/>
      </c>
      <c r="S139" s="169" t="n">
        <v>78.5</v>
      </c>
      <c r="T139" s="169" t="n">
        <v>122</v>
      </c>
      <c r="U139" s="169" t="n">
        <v>473.1</v>
      </c>
      <c r="V139" s="169" t="n">
        <v>106.4</v>
      </c>
      <c r="W139" s="169" t="n">
        <v>136.5</v>
      </c>
      <c r="X139" s="170">
        <f>V139+W139</f>
        <v/>
      </c>
      <c r="Y139" s="169" t="n">
        <v>160.6</v>
      </c>
      <c r="Z139" s="169" t="n">
        <v>134.6</v>
      </c>
      <c r="AA139" s="169" t="n">
        <v>538.1</v>
      </c>
      <c r="AB139" s="169" t="n">
        <v>121.2</v>
      </c>
      <c r="AC139" s="169" t="n">
        <v>142.3</v>
      </c>
      <c r="AD139" s="170">
        <f>AB139+AC139</f>
        <v/>
      </c>
      <c r="AE139" s="169" t="n">
        <v>143.8</v>
      </c>
      <c r="AF139" s="169" t="n">
        <v>128.6</v>
      </c>
      <c r="AG139" s="169" t="n">
        <v>535.9</v>
      </c>
      <c r="AH139" s="169" t="n">
        <v>118.1</v>
      </c>
      <c r="AI139" s="169" t="n">
        <v>136.2</v>
      </c>
      <c r="AJ139" s="170">
        <f>AH139+AI139</f>
        <v/>
      </c>
      <c r="AK139" s="169" t="n">
        <v>143.7</v>
      </c>
      <c r="AL139" s="169" t="n">
        <v>131</v>
      </c>
      <c r="AM139" s="169" t="n">
        <v>528.9</v>
      </c>
      <c r="AN139" s="30" t="n"/>
      <c r="AO139" s="30" t="n"/>
      <c r="AP139" s="29" t="n"/>
      <c r="AQ139" s="30" t="n"/>
      <c r="AR139" s="30" t="n"/>
      <c r="AS139" s="30" t="n"/>
      <c r="AT139" s="30" t="n"/>
      <c r="AU139" s="30" t="n"/>
      <c r="AV139" s="29" t="n"/>
      <c r="AW139" s="30" t="n"/>
      <c r="AX139" s="30" t="n"/>
      <c r="AY139" s="30" t="n"/>
      <c r="AZ139" s="30" t="n"/>
      <c r="BA139" s="30" t="n"/>
      <c r="BB139" s="29" t="n"/>
      <c r="BC139" s="30" t="n"/>
      <c r="BD139" s="30" t="n"/>
      <c r="BE139" s="30" t="n"/>
      <c r="BF139" s="30" t="n"/>
      <c r="BG139" s="30" t="n"/>
      <c r="BH139" s="29" t="n"/>
      <c r="BI139" s="30" t="n"/>
      <c r="BJ139" s="30" t="n"/>
      <c r="BK139" s="30" t="n"/>
      <c r="BL139" s="30" t="n"/>
      <c r="BM139" s="30" t="n"/>
      <c r="BN139" s="29" t="n"/>
      <c r="BO139" s="30" t="n"/>
      <c r="BP139" s="30" t="n"/>
      <c r="BQ139" s="30" t="n"/>
      <c r="BR139" s="30" t="n"/>
      <c r="BS139" s="30" t="n"/>
      <c r="BT139" s="29" t="n"/>
      <c r="BU139" s="30" t="n"/>
      <c r="BV139" s="30" t="n"/>
      <c r="BW139" s="30" t="n"/>
      <c r="BX139" s="30" t="n"/>
      <c r="BY139" s="30" t="n"/>
      <c r="BZ139" s="29" t="n"/>
      <c r="CA139" s="30" t="n"/>
      <c r="CB139" s="30" t="n"/>
      <c r="CC139" s="30" t="n"/>
      <c r="CD139" s="30" t="n"/>
      <c r="CE139" s="30" t="n"/>
      <c r="CF139" s="29" t="n"/>
      <c r="CG139" s="30" t="n"/>
      <c r="CH139" s="30" t="n"/>
      <c r="CI139" s="30" t="n"/>
      <c r="CJ139" s="30" t="n"/>
      <c r="CK139" s="30" t="n"/>
      <c r="CL139" s="29" t="n"/>
      <c r="CM139" s="31" t="n"/>
      <c r="CN139" s="31" t="n"/>
      <c r="CO139" s="31" t="n"/>
      <c r="CP139" s="31" t="n"/>
      <c r="CQ139" s="31" t="n"/>
      <c r="CR139" s="31" t="n"/>
      <c r="CS139" s="31" t="n"/>
      <c r="CT139" s="22" t="n"/>
      <c r="CV139" s="23" t="n"/>
      <c r="CW139" s="23" t="n"/>
      <c r="CX139" s="23" t="n"/>
      <c r="CY139" s="23" t="n"/>
    </row>
    <row r="140" ht="15" customHeight="1">
      <c r="B140" s="12" t="inlineStr">
        <is>
          <t>Cost of revenues</t>
        </is>
      </c>
      <c r="C140" s="169" t="n">
        <v>2410.5</v>
      </c>
      <c r="D140" s="169" t="n">
        <v>2376.9</v>
      </c>
      <c r="E140" s="169" t="n">
        <v>2901.7</v>
      </c>
      <c r="F140" s="169" t="n">
        <v>2244.5</v>
      </c>
      <c r="G140" s="169" t="n">
        <v>2258.1</v>
      </c>
      <c r="H140" s="169" t="n">
        <v>2280.7</v>
      </c>
      <c r="I140" s="169" t="n">
        <v>2233.3</v>
      </c>
      <c r="J140" s="169" t="n">
        <v>520.5</v>
      </c>
      <c r="K140" s="169" t="n">
        <v>605.8</v>
      </c>
      <c r="L140" s="170">
        <f>J140+K140</f>
        <v/>
      </c>
      <c r="M140" s="169" t="n">
        <v>654.6</v>
      </c>
      <c r="N140" s="169" t="n">
        <v>562.9</v>
      </c>
      <c r="O140" s="169" t="n">
        <v>2343.8</v>
      </c>
      <c r="P140" s="169" t="n">
        <v>540.3</v>
      </c>
      <c r="Q140" s="169" t="n">
        <v>616.4</v>
      </c>
      <c r="R140" s="170">
        <f>P140+Q140</f>
        <v/>
      </c>
      <c r="S140" s="169" t="n">
        <v>664.5</v>
      </c>
      <c r="T140" s="169" t="n">
        <v>585.4</v>
      </c>
      <c r="U140" s="169" t="n">
        <v>2406.6</v>
      </c>
      <c r="V140" s="169" t="n">
        <v>553.4</v>
      </c>
      <c r="W140" s="169" t="n">
        <v>660.7</v>
      </c>
      <c r="X140" s="170">
        <f>V140+W140</f>
        <v/>
      </c>
      <c r="Y140" s="169" t="n">
        <v>747.2</v>
      </c>
      <c r="Z140" s="169" t="n">
        <v>603.4</v>
      </c>
      <c r="AA140" s="169" t="n">
        <v>2564.6</v>
      </c>
      <c r="AB140" s="169" t="n">
        <v>590</v>
      </c>
      <c r="AC140" s="169" t="n">
        <v>664.6</v>
      </c>
      <c r="AD140" s="170">
        <f>AB140+AC140</f>
        <v/>
      </c>
      <c r="AE140" s="169" t="n">
        <v>703.9</v>
      </c>
      <c r="AF140" s="169" t="n">
        <v>633.3</v>
      </c>
      <c r="AG140" s="169" t="n">
        <v>2591.8</v>
      </c>
      <c r="AH140" s="169" t="n">
        <v>627.3</v>
      </c>
      <c r="AI140" s="169" t="n">
        <v>739</v>
      </c>
      <c r="AJ140" s="170">
        <f>AH140+AI140</f>
        <v/>
      </c>
      <c r="AK140" s="169" t="n">
        <v>789.2</v>
      </c>
      <c r="AL140" s="169" t="n">
        <v>734.2</v>
      </c>
      <c r="AM140" s="169" t="n">
        <v>2889.7</v>
      </c>
      <c r="AN140" s="169" t="n">
        <v>695.1</v>
      </c>
      <c r="AO140" s="169" t="n">
        <v>877</v>
      </c>
      <c r="AP140" s="170">
        <f>AN140+AO140</f>
        <v/>
      </c>
      <c r="AQ140" s="169" t="n">
        <v>897.1</v>
      </c>
      <c r="AR140" s="169" t="n">
        <v>812.8</v>
      </c>
      <c r="AS140" s="169" t="n">
        <v>3281.9</v>
      </c>
      <c r="AT140" s="169" t="n">
        <v>804.8</v>
      </c>
      <c r="AU140" s="169" t="n">
        <v>957.2</v>
      </c>
      <c r="AV140" s="170">
        <f>AT140+AU140</f>
        <v/>
      </c>
      <c r="AW140" s="169" t="n">
        <v>1018.1</v>
      </c>
      <c r="AX140" s="169" t="n">
        <v>893.1</v>
      </c>
      <c r="AY140" s="169" t="n">
        <v>3673.2</v>
      </c>
      <c r="AZ140" s="169" t="n">
        <v>847.5</v>
      </c>
      <c r="BA140" s="169" t="n">
        <v>926.1</v>
      </c>
      <c r="BB140" s="170">
        <f>AZ140+BA140</f>
        <v/>
      </c>
      <c r="BC140" s="169" t="n">
        <v>929.4</v>
      </c>
      <c r="BD140" s="169" t="n">
        <v>872.4</v>
      </c>
      <c r="BE140" s="169" t="n">
        <v>3575.3</v>
      </c>
      <c r="BF140" s="169" t="n">
        <v>839.1</v>
      </c>
      <c r="BG140" s="169" t="n">
        <v>962.7</v>
      </c>
      <c r="BH140" s="170">
        <f>BF140+BG140</f>
        <v/>
      </c>
      <c r="BI140" s="169" t="n">
        <v>1122.4</v>
      </c>
      <c r="BJ140" s="169" t="n">
        <v>1254.6</v>
      </c>
      <c r="BK140" s="169" t="n">
        <v>4178.8</v>
      </c>
      <c r="BL140" s="169" t="n">
        <v>1271.9</v>
      </c>
      <c r="BM140" s="169" t="n">
        <v>1508.1</v>
      </c>
      <c r="BN140" s="170">
        <f>BL140+BM140</f>
        <v/>
      </c>
      <c r="BO140" s="169" t="n">
        <v>1595.4</v>
      </c>
      <c r="BP140" s="169" t="n">
        <v>1382</v>
      </c>
      <c r="BQ140" s="169" t="n">
        <v>5757.5</v>
      </c>
      <c r="BR140" s="169" t="n">
        <v>1347</v>
      </c>
      <c r="BS140" s="169" t="n">
        <v>1529.6</v>
      </c>
      <c r="BT140" s="170">
        <f>BR140+BS140</f>
        <v/>
      </c>
      <c r="BU140" s="169" t="n">
        <v>1594.8</v>
      </c>
      <c r="BV140" s="169" t="n">
        <v>1362.1</v>
      </c>
      <c r="BW140" s="169" t="n">
        <v>5833.4</v>
      </c>
      <c r="BX140" s="169" t="n">
        <v>1240.8</v>
      </c>
      <c r="BY140" s="169" t="n">
        <v>1422.2</v>
      </c>
      <c r="BZ140" s="170">
        <f>BX140+BY140</f>
        <v/>
      </c>
      <c r="CA140" s="169" t="n">
        <v>1438.7</v>
      </c>
      <c r="CB140" s="169" t="n">
        <v>1316.4</v>
      </c>
      <c r="CC140" s="169" t="n">
        <v>5418.1</v>
      </c>
      <c r="CD140" s="169" t="n">
        <v>1269.3</v>
      </c>
      <c r="CE140" s="169" t="n">
        <v>1477.2</v>
      </c>
      <c r="CF140" s="170">
        <f>CD140+CE140</f>
        <v/>
      </c>
      <c r="CG140" s="169" t="n">
        <v>1594.3</v>
      </c>
      <c r="CH140" s="169" t="n">
        <v>1425.7</v>
      </c>
      <c r="CI140" s="169" t="n">
        <v>5766.5</v>
      </c>
      <c r="CJ140" s="169" t="n">
        <v>1333.2</v>
      </c>
      <c r="CK140" s="169" t="n">
        <v>1530.3</v>
      </c>
      <c r="CL140" s="170">
        <f>CJ140+CK140</f>
        <v/>
      </c>
      <c r="CM140" s="171">
        <f>CM138-CM109</f>
        <v/>
      </c>
      <c r="CN140" s="171">
        <f>CN138-CN109</f>
        <v/>
      </c>
      <c r="CO140" s="171">
        <f>SUM(CJ140,CK140,CM140,CN140)</f>
        <v/>
      </c>
      <c r="CP140" s="171">
        <f>CP138-CP109</f>
        <v/>
      </c>
      <c r="CQ140" s="171">
        <f>CQ138-CQ109</f>
        <v/>
      </c>
      <c r="CR140" s="171">
        <f>CR138-CR109</f>
        <v/>
      </c>
      <c r="CS140" s="171">
        <f>CS138-CS109</f>
        <v/>
      </c>
      <c r="CT140" s="22" t="inlineStr">
        <is>
          <t>Forecast = revenues − segment-build gross profit.</t>
        </is>
      </c>
      <c r="CV140" s="23" t="n"/>
      <c r="CW140" s="23" t="n"/>
      <c r="CX140" s="23" t="n"/>
      <c r="CY140" s="23" t="n"/>
    </row>
    <row r="141" ht="15" customHeight="1">
      <c r="B141" s="18" t="inlineStr">
        <is>
          <t>Gross profit</t>
        </is>
      </c>
      <c r="C141" s="173">
        <f>IF(ISNUMBER(C138),C138-C140,"")</f>
        <v/>
      </c>
      <c r="D141" s="173">
        <f>IF(ISNUMBER(D138),D138-D140,"")</f>
        <v/>
      </c>
      <c r="E141" s="173">
        <f>IF(ISNUMBER(E138),E138-E140,"")</f>
        <v/>
      </c>
      <c r="F141" s="173">
        <f>IF(ISNUMBER(F138),F138-F140,"")</f>
        <v/>
      </c>
      <c r="G141" s="173">
        <f>IF(ISNUMBER(G138),G138-G140,"")</f>
        <v/>
      </c>
      <c r="H141" s="173">
        <f>IF(ISNUMBER(H138),H138-H140,"")</f>
        <v/>
      </c>
      <c r="I141" s="173">
        <f>IF(ISNUMBER(I138),I138-I140,"")</f>
        <v/>
      </c>
      <c r="J141" s="173">
        <f>IF(ISNUMBER(J138),J138-J140,"")</f>
        <v/>
      </c>
      <c r="K141" s="173">
        <f>IF(ISNUMBER(K138),K138-K140,"")</f>
        <v/>
      </c>
      <c r="L141" s="173">
        <f>IF(ISNUMBER(L138),L138-L140,"")</f>
        <v/>
      </c>
      <c r="M141" s="173">
        <f>IF(ISNUMBER(M138),M138-M140,"")</f>
        <v/>
      </c>
      <c r="N141" s="173">
        <f>IF(ISNUMBER(N138),N138-N140,"")</f>
        <v/>
      </c>
      <c r="O141" s="173">
        <f>IF(ISNUMBER(O138),O138-O140,"")</f>
        <v/>
      </c>
      <c r="P141" s="173">
        <f>IF(ISNUMBER(P138),P138-P140,"")</f>
        <v/>
      </c>
      <c r="Q141" s="173">
        <f>IF(ISNUMBER(Q138),Q138-Q140,"")</f>
        <v/>
      </c>
      <c r="R141" s="173">
        <f>IF(ISNUMBER(R138),R138-R140,"")</f>
        <v/>
      </c>
      <c r="S141" s="173">
        <f>IF(ISNUMBER(S138),S138-S140,"")</f>
        <v/>
      </c>
      <c r="T141" s="173">
        <f>IF(ISNUMBER(T138),T138-T140,"")</f>
        <v/>
      </c>
      <c r="U141" s="173">
        <f>IF(ISNUMBER(U138),U138-U140,"")</f>
        <v/>
      </c>
      <c r="V141" s="173">
        <f>IF(ISNUMBER(V138),V138-V140,"")</f>
        <v/>
      </c>
      <c r="W141" s="173">
        <f>IF(ISNUMBER(W138),W138-W140,"")</f>
        <v/>
      </c>
      <c r="X141" s="173">
        <f>IF(ISNUMBER(X138),X138-X140,"")</f>
        <v/>
      </c>
      <c r="Y141" s="173">
        <f>IF(ISNUMBER(Y138),Y138-Y140,"")</f>
        <v/>
      </c>
      <c r="Z141" s="173">
        <f>IF(ISNUMBER(Z138),Z138-Z140,"")</f>
        <v/>
      </c>
      <c r="AA141" s="173">
        <f>IF(ISNUMBER(AA138),AA138-AA140,"")</f>
        <v/>
      </c>
      <c r="AB141" s="173">
        <f>IF(ISNUMBER(AB138),AB138-AB140,"")</f>
        <v/>
      </c>
      <c r="AC141" s="173">
        <f>IF(ISNUMBER(AC138),AC138-AC140,"")</f>
        <v/>
      </c>
      <c r="AD141" s="173">
        <f>IF(ISNUMBER(AD138),AD138-AD140,"")</f>
        <v/>
      </c>
      <c r="AE141" s="173">
        <f>IF(ISNUMBER(AE138),AE138-AE140,"")</f>
        <v/>
      </c>
      <c r="AF141" s="173">
        <f>IF(ISNUMBER(AF138),AF138-AF140,"")</f>
        <v/>
      </c>
      <c r="AG141" s="173">
        <f>IF(ISNUMBER(AG138),AG138-AG140,"")</f>
        <v/>
      </c>
      <c r="AH141" s="173">
        <f>IF(ISNUMBER(AH138),AH138-AH140,"")</f>
        <v/>
      </c>
      <c r="AI141" s="173">
        <f>IF(ISNUMBER(AI138),AI138-AI140,"")</f>
        <v/>
      </c>
      <c r="AJ141" s="173">
        <f>IF(ISNUMBER(AJ138),AJ138-AJ140,"")</f>
        <v/>
      </c>
      <c r="AK141" s="173">
        <f>IF(ISNUMBER(AK138),AK138-AK140,"")</f>
        <v/>
      </c>
      <c r="AL141" s="173">
        <f>IF(ISNUMBER(AL138),AL138-AL140,"")</f>
        <v/>
      </c>
      <c r="AM141" s="173">
        <f>IF(ISNUMBER(AM138),AM138-AM140,"")</f>
        <v/>
      </c>
      <c r="AN141" s="173">
        <f>IF(ISNUMBER(AN138),AN138-AN140,"")</f>
        <v/>
      </c>
      <c r="AO141" s="173">
        <f>IF(ISNUMBER(AO138),AO138-AO140,"")</f>
        <v/>
      </c>
      <c r="AP141" s="173">
        <f>IF(ISNUMBER(AP138),AP138-AP140,"")</f>
        <v/>
      </c>
      <c r="AQ141" s="173">
        <f>IF(ISNUMBER(AQ138),AQ138-AQ140,"")</f>
        <v/>
      </c>
      <c r="AR141" s="173">
        <f>IF(ISNUMBER(AR138),AR138-AR140,"")</f>
        <v/>
      </c>
      <c r="AS141" s="173">
        <f>IF(ISNUMBER(AS138),AS138-AS140,"")</f>
        <v/>
      </c>
      <c r="AT141" s="173">
        <f>IF(ISNUMBER(AT138),AT138-AT140,"")</f>
        <v/>
      </c>
      <c r="AU141" s="173">
        <f>IF(ISNUMBER(AU138),AU138-AU140,"")</f>
        <v/>
      </c>
      <c r="AV141" s="173">
        <f>IF(ISNUMBER(AV138),AV138-AV140,"")</f>
        <v/>
      </c>
      <c r="AW141" s="173">
        <f>IF(ISNUMBER(AW138),AW138-AW140,"")</f>
        <v/>
      </c>
      <c r="AX141" s="173">
        <f>IF(ISNUMBER(AX138),AX138-AX140,"")</f>
        <v/>
      </c>
      <c r="AY141" s="173">
        <f>IF(ISNUMBER(AY138),AY138-AY140,"")</f>
        <v/>
      </c>
      <c r="AZ141" s="173">
        <f>IF(ISNUMBER(AZ138),AZ138-AZ140,"")</f>
        <v/>
      </c>
      <c r="BA141" s="173">
        <f>IF(ISNUMBER(BA138),BA138-BA140,"")</f>
        <v/>
      </c>
      <c r="BB141" s="173">
        <f>IF(ISNUMBER(BB138),BB138-BB140,"")</f>
        <v/>
      </c>
      <c r="BC141" s="173">
        <f>IF(ISNUMBER(BC138),BC138-BC140,"")</f>
        <v/>
      </c>
      <c r="BD141" s="173">
        <f>IF(ISNUMBER(BD138),BD138-BD140,"")</f>
        <v/>
      </c>
      <c r="BE141" s="173">
        <f>IF(ISNUMBER(BE138),BE138-BE140,"")</f>
        <v/>
      </c>
      <c r="BF141" s="173">
        <f>IF(ISNUMBER(BF138),BF138-BF140,"")</f>
        <v/>
      </c>
      <c r="BG141" s="173">
        <f>IF(ISNUMBER(BG138),BG138-BG140,"")</f>
        <v/>
      </c>
      <c r="BH141" s="173">
        <f>IF(ISNUMBER(BH138),BH138-BH140,"")</f>
        <v/>
      </c>
      <c r="BI141" s="173">
        <f>IF(ISNUMBER(BI138),BI138-BI140,"")</f>
        <v/>
      </c>
      <c r="BJ141" s="173">
        <f>IF(ISNUMBER(BJ138),BJ138-BJ140,"")</f>
        <v/>
      </c>
      <c r="BK141" s="173">
        <f>IF(ISNUMBER(BK138),BK138-BK140,"")</f>
        <v/>
      </c>
      <c r="BL141" s="173">
        <f>IF(ISNUMBER(BL138),BL138-BL140,"")</f>
        <v/>
      </c>
      <c r="BM141" s="173">
        <f>IF(ISNUMBER(BM138),BM138-BM140,"")</f>
        <v/>
      </c>
      <c r="BN141" s="173">
        <f>IF(ISNUMBER(BN138),BN138-BN140,"")</f>
        <v/>
      </c>
      <c r="BO141" s="173">
        <f>IF(ISNUMBER(BO138),BO138-BO140,"")</f>
        <v/>
      </c>
      <c r="BP141" s="173">
        <f>IF(ISNUMBER(BP138),BP138-BP140,"")</f>
        <v/>
      </c>
      <c r="BQ141" s="173">
        <f>IF(ISNUMBER(BQ138),BQ138-BQ140,"")</f>
        <v/>
      </c>
      <c r="BR141" s="173">
        <f>IF(ISNUMBER(BR138),BR138-BR140,"")</f>
        <v/>
      </c>
      <c r="BS141" s="173">
        <f>IF(ISNUMBER(BS138),BS138-BS140,"")</f>
        <v/>
      </c>
      <c r="BT141" s="173">
        <f>IF(ISNUMBER(BT138),BT138-BT140,"")</f>
        <v/>
      </c>
      <c r="BU141" s="173">
        <f>IF(ISNUMBER(BU138),BU138-BU140,"")</f>
        <v/>
      </c>
      <c r="BV141" s="173">
        <f>IF(ISNUMBER(BV138),BV138-BV140,"")</f>
        <v/>
      </c>
      <c r="BW141" s="173">
        <f>IF(ISNUMBER(BW138),BW138-BW140,"")</f>
        <v/>
      </c>
      <c r="BX141" s="173">
        <f>IF(ISNUMBER(BX138),BX138-BX140,"")</f>
        <v/>
      </c>
      <c r="BY141" s="173">
        <f>IF(ISNUMBER(BY138),BY138-BY140,"")</f>
        <v/>
      </c>
      <c r="BZ141" s="173">
        <f>IF(ISNUMBER(BZ138),BZ138-BZ140,"")</f>
        <v/>
      </c>
      <c r="CA141" s="173">
        <f>IF(ISNUMBER(CA138),CA138-CA140,"")</f>
        <v/>
      </c>
      <c r="CB141" s="173">
        <f>IF(ISNUMBER(CB138),CB138-CB140,"")</f>
        <v/>
      </c>
      <c r="CC141" s="173">
        <f>IF(ISNUMBER(CC138),CC138-CC140,"")</f>
        <v/>
      </c>
      <c r="CD141" s="173">
        <f>IF(ISNUMBER(CD138),CD138-CD140,"")</f>
        <v/>
      </c>
      <c r="CE141" s="173">
        <f>IF(ISNUMBER(CE138),CE138-CE140,"")</f>
        <v/>
      </c>
      <c r="CF141" s="173">
        <f>IF(ISNUMBER(CF138),CF138-CF140,"")</f>
        <v/>
      </c>
      <c r="CG141" s="173">
        <f>IF(ISNUMBER(CG138),CG138-CG140,"")</f>
        <v/>
      </c>
      <c r="CH141" s="173">
        <f>IF(ISNUMBER(CH138),CH138-CH140,"")</f>
        <v/>
      </c>
      <c r="CI141" s="173">
        <f>IF(ISNUMBER(CI138),CI138-CI140,"")</f>
        <v/>
      </c>
      <c r="CJ141" s="173">
        <f>IF(ISNUMBER(CJ138),CJ138-CJ140,"")</f>
        <v/>
      </c>
      <c r="CK141" s="173">
        <f>IF(ISNUMBER(CK138),CK138-CK140,"")</f>
        <v/>
      </c>
      <c r="CL141" s="173">
        <f>IF(ISNUMBER(CL138),CL138-CL140,"")</f>
        <v/>
      </c>
      <c r="CM141" s="174">
        <f>IF(ISNUMBER(CM138),CM138-CM140,"")</f>
        <v/>
      </c>
      <c r="CN141" s="174">
        <f>IF(ISNUMBER(CN138),CN138-CN140,"")</f>
        <v/>
      </c>
      <c r="CO141" s="174">
        <f>IF(ISNUMBER(CO138),CO138-CO140,"")</f>
        <v/>
      </c>
      <c r="CP141" s="174">
        <f>IF(ISNUMBER(CP138),CP138-CP140,"")</f>
        <v/>
      </c>
      <c r="CQ141" s="174">
        <f>IF(ISNUMBER(CQ138),CQ138-CQ140,"")</f>
        <v/>
      </c>
      <c r="CR141" s="174">
        <f>IF(ISNUMBER(CR138),CR138-CR140,"")</f>
        <v/>
      </c>
      <c r="CS141" s="174">
        <f>IF(ISNUMBER(CS138),CS138-CS140,"")</f>
        <v/>
      </c>
      <c r="CT141" s="22" t="n"/>
      <c r="CV141" s="164">
        <f>IFERROR((CS141/CI141)^(1/5)-1,"n/m")</f>
        <v/>
      </c>
      <c r="CW141" s="164">
        <f>IFERROR((CI141/BE141)^(1/5)-1,"n/m")</f>
        <v/>
      </c>
      <c r="CX141" s="164">
        <f>IFERROR((CI141/AA141)^(1/10)-1,"n/m")</f>
        <v/>
      </c>
      <c r="CY141" s="164">
        <f>IFERROR((CI141/C141)^(1/19)-1,"n/m")</f>
        <v/>
      </c>
    </row>
    <row r="142" ht="15" customHeight="1">
      <c r="B142" s="12" t="inlineStr">
        <is>
          <t>Selling, administrative and general expenses</t>
        </is>
      </c>
      <c r="C142" s="169" t="n">
        <v>264.4</v>
      </c>
      <c r="D142" s="169" t="n">
        <v>289.6</v>
      </c>
      <c r="E142" s="169" t="n">
        <v>342.6</v>
      </c>
      <c r="F142" s="169" t="n">
        <v>321.6</v>
      </c>
      <c r="G142" s="169" t="n">
        <v>327.5</v>
      </c>
      <c r="H142" s="169" t="n">
        <v>290</v>
      </c>
      <c r="I142" s="169" t="n">
        <v>259.1</v>
      </c>
      <c r="J142" s="169" t="n">
        <v>64.7</v>
      </c>
      <c r="K142" s="169" t="n">
        <v>64.90000000000001</v>
      </c>
      <c r="L142" s="170">
        <f>J142+K142</f>
        <v/>
      </c>
      <c r="M142" s="169" t="n">
        <v>65.90000000000001</v>
      </c>
      <c r="N142" s="169" t="n">
        <v>64</v>
      </c>
      <c r="O142" s="169" t="n">
        <v>259.4</v>
      </c>
      <c r="P142" s="169" t="n">
        <v>66.09999999999999</v>
      </c>
      <c r="Q142" s="169" t="n">
        <v>67.59999999999999</v>
      </c>
      <c r="R142" s="170">
        <f>P142+Q142</f>
        <v/>
      </c>
      <c r="S142" s="169" t="n">
        <v>66.09999999999999</v>
      </c>
      <c r="T142" s="169" t="n">
        <v>72.5</v>
      </c>
      <c r="U142" s="169" t="n">
        <v>272.3</v>
      </c>
      <c r="V142" s="169" t="n">
        <v>66.8</v>
      </c>
      <c r="W142" s="169" t="n">
        <v>69.2</v>
      </c>
      <c r="X142" s="170">
        <f>V142+W142</f>
        <v/>
      </c>
      <c r="Y142" s="169" t="n">
        <v>71.40000000000001</v>
      </c>
      <c r="Z142" s="169" t="n">
        <v>79.5</v>
      </c>
      <c r="AA142" s="169" t="n">
        <v>286.8</v>
      </c>
      <c r="AB142" s="169" t="n">
        <v>76.5</v>
      </c>
      <c r="AC142" s="169" t="n">
        <v>82.7</v>
      </c>
      <c r="AD142" s="170">
        <f>AB142+AC142</f>
        <v/>
      </c>
      <c r="AE142" s="169" t="n">
        <v>76.3</v>
      </c>
      <c r="AF142" s="169" t="n">
        <v>79.5</v>
      </c>
      <c r="AG142" s="169" t="n">
        <v>315</v>
      </c>
      <c r="AH142" s="169" t="n">
        <v>82.09999999999999</v>
      </c>
      <c r="AI142" s="169" t="n">
        <v>82.8</v>
      </c>
      <c r="AJ142" s="170">
        <f>AH142+AI142</f>
        <v/>
      </c>
      <c r="AK142" s="169" t="n">
        <v>73.3</v>
      </c>
      <c r="AL142" s="169" t="n">
        <v>85.7</v>
      </c>
      <c r="AM142" s="169" t="n">
        <v>323.9</v>
      </c>
      <c r="AN142" s="169" t="n">
        <v>78.3</v>
      </c>
      <c r="AO142" s="169" t="n">
        <v>89</v>
      </c>
      <c r="AP142" s="170">
        <f>AN142+AO142</f>
        <v/>
      </c>
      <c r="AQ142" s="169" t="n">
        <v>81.59999999999999</v>
      </c>
      <c r="AR142" s="169" t="n">
        <v>84.40000000000001</v>
      </c>
      <c r="AS142" s="169" t="n">
        <v>333.4</v>
      </c>
      <c r="AT142" s="169" t="n">
        <v>90.3</v>
      </c>
      <c r="AU142" s="169" t="n">
        <v>95.7</v>
      </c>
      <c r="AV142" s="170">
        <f>AT142+AU142</f>
        <v/>
      </c>
      <c r="AW142" s="169" t="n">
        <v>88.8</v>
      </c>
      <c r="AX142" s="169" t="n">
        <v>95.8</v>
      </c>
      <c r="AY142" s="169" t="n">
        <v>370.5</v>
      </c>
      <c r="AZ142" s="169" t="n">
        <v>86.40000000000001</v>
      </c>
      <c r="BA142" s="169" t="n">
        <v>91.2</v>
      </c>
      <c r="BB142" s="170">
        <f>AZ142+BA142</f>
        <v/>
      </c>
      <c r="BC142" s="169" t="n">
        <v>83.5</v>
      </c>
      <c r="BD142" s="169" t="n">
        <v>98.59999999999999</v>
      </c>
      <c r="BE142" s="169" t="n">
        <v>359.8</v>
      </c>
      <c r="BF142" s="169" t="n">
        <v>88.59999999999999</v>
      </c>
      <c r="BG142" s="169" t="n">
        <v>100.7</v>
      </c>
      <c r="BH142" s="170">
        <f>BF142+BG142</f>
        <v/>
      </c>
      <c r="BI142" s="169" t="n">
        <v>103.8</v>
      </c>
      <c r="BJ142" s="169" t="n">
        <v>124.6</v>
      </c>
      <c r="BK142" s="169" t="n">
        <v>417.6</v>
      </c>
      <c r="BL142" s="169" t="n">
        <v>119</v>
      </c>
      <c r="BM142" s="169" t="n">
        <v>134.4</v>
      </c>
      <c r="BN142" s="170">
        <f>BL142+BM142</f>
        <v/>
      </c>
      <c r="BO142" s="169" t="n">
        <v>135.3</v>
      </c>
      <c r="BP142" s="169" t="n">
        <v>126.4</v>
      </c>
      <c r="BQ142" s="169" t="n">
        <v>515.1</v>
      </c>
      <c r="BR142" s="169" t="n">
        <v>117.3</v>
      </c>
      <c r="BS142" s="169" t="n">
        <v>139.1</v>
      </c>
      <c r="BT142" s="170">
        <f>BR142+BS142</f>
        <v/>
      </c>
      <c r="BU142" s="169" t="n">
        <v>143.9</v>
      </c>
      <c r="BV142" s="169" t="n">
        <v>142.4</v>
      </c>
      <c r="BW142" s="169" t="n">
        <v>542.8</v>
      </c>
      <c r="BX142" s="169" t="n">
        <v>129.7</v>
      </c>
      <c r="BY142" s="169" t="n">
        <v>134.1</v>
      </c>
      <c r="BZ142" s="170">
        <f>BX142+BY142</f>
        <v/>
      </c>
      <c r="CA142" s="169" t="n">
        <v>129.1</v>
      </c>
      <c r="CB142" s="169" t="n">
        <v>138.1</v>
      </c>
      <c r="CC142" s="169" t="n">
        <v>531.1</v>
      </c>
      <c r="CD142" s="169" t="n">
        <v>138.3</v>
      </c>
      <c r="CE142" s="169" t="n">
        <v>144.5</v>
      </c>
      <c r="CF142" s="170">
        <f>CD142+CE142</f>
        <v/>
      </c>
      <c r="CG142" s="169" t="n">
        <v>145.3</v>
      </c>
      <c r="CH142" s="169" t="n">
        <v>136.1</v>
      </c>
      <c r="CI142" s="169" t="n">
        <v>564.1</v>
      </c>
      <c r="CJ142" s="169" t="n">
        <v>135.7</v>
      </c>
      <c r="CK142" s="169" t="n">
        <v>141.3</v>
      </c>
      <c r="CL142" s="170">
        <f>CJ142+CK142</f>
        <v/>
      </c>
      <c r="CM142" s="171">
        <f>CM77</f>
        <v/>
      </c>
      <c r="CN142" s="171">
        <f>CN77</f>
        <v/>
      </c>
      <c r="CO142" s="171">
        <f>SUM(CJ142,CK142,CM142,CN142)</f>
        <v/>
      </c>
      <c r="CP142" s="171">
        <f>CP77</f>
        <v/>
      </c>
      <c r="CQ142" s="171">
        <f>CQ77</f>
        <v/>
      </c>
      <c r="CR142" s="171">
        <f>CR77</f>
        <v/>
      </c>
      <c r="CS142" s="171">
        <f>CS77</f>
        <v/>
      </c>
      <c r="CT142" s="22" t="n"/>
      <c r="CV142" s="23" t="n"/>
      <c r="CW142" s="23" t="n"/>
      <c r="CX142" s="23" t="n"/>
      <c r="CY142" s="23" t="n"/>
    </row>
    <row r="143" ht="15" customHeight="1">
      <c r="B143" s="12" t="inlineStr">
        <is>
          <t>Gain (loss) on sale of property, plant &amp; equipment and businesses</t>
        </is>
      </c>
      <c r="C143" s="169" t="n">
        <v>5.6</v>
      </c>
      <c r="D143" s="169" t="n">
        <v>58.7</v>
      </c>
      <c r="E143" s="169" t="n">
        <v>94.2</v>
      </c>
      <c r="F143" s="169" t="n">
        <v>27.1</v>
      </c>
      <c r="G143" s="169" t="n">
        <v>59.3</v>
      </c>
      <c r="H143" s="169" t="n">
        <v>47.8</v>
      </c>
      <c r="I143" s="169" t="n">
        <v>68.5</v>
      </c>
      <c r="J143" s="169" t="n">
        <v>4.1</v>
      </c>
      <c r="K143" s="169" t="n">
        <v>23.4</v>
      </c>
      <c r="L143" s="170">
        <f>J143+K143</f>
        <v/>
      </c>
      <c r="M143" s="169" t="n">
        <v>9.300000000000001</v>
      </c>
      <c r="N143" s="169" t="n">
        <v>2.4</v>
      </c>
      <c r="O143" s="169" t="n">
        <v>39.2</v>
      </c>
      <c r="P143" s="169" t="n">
        <v>236.4</v>
      </c>
      <c r="Q143" s="169" t="n">
        <v>1.2</v>
      </c>
      <c r="R143" s="170">
        <f>P143+Q143</f>
        <v/>
      </c>
      <c r="S143" s="169" t="n">
        <v>1</v>
      </c>
      <c r="T143" s="169" t="n">
        <v>5.7</v>
      </c>
      <c r="U143" s="169" t="n">
        <v>244.2</v>
      </c>
      <c r="V143" s="169" t="n">
        <v>6.4</v>
      </c>
      <c r="W143" s="169" t="n">
        <v>0.2</v>
      </c>
      <c r="X143" s="170">
        <f>V143+W143</f>
        <v/>
      </c>
      <c r="Y143" s="169" t="n">
        <v>0.8</v>
      </c>
      <c r="Z143" s="169" t="n">
        <v>2.5</v>
      </c>
      <c r="AA143" s="169" t="n">
        <v>9.9</v>
      </c>
      <c r="AB143" s="169" t="n">
        <v>0.6</v>
      </c>
      <c r="AC143" s="169" t="n">
        <v>0.4</v>
      </c>
      <c r="AD143" s="170">
        <f>AB143+AC143</f>
        <v/>
      </c>
      <c r="AE143" s="169" t="n">
        <v>2</v>
      </c>
      <c r="AF143" s="169" t="n">
        <v>12.5</v>
      </c>
      <c r="AG143" s="169" t="n">
        <v>15.4</v>
      </c>
      <c r="AH143" s="169" t="n">
        <v>0.4</v>
      </c>
      <c r="AI143" s="169" t="n">
        <v>2.8</v>
      </c>
      <c r="AJ143" s="170">
        <f>AH143+AI143</f>
        <v/>
      </c>
      <c r="AK143" s="169" t="n">
        <v>1.5</v>
      </c>
      <c r="AL143" s="169" t="n">
        <v>13.2</v>
      </c>
      <c r="AM143" s="169" t="n">
        <v>17.8</v>
      </c>
      <c r="AN143" s="169" t="n">
        <v>4.2</v>
      </c>
      <c r="AO143" s="169" t="n">
        <v>2.1</v>
      </c>
      <c r="AP143" s="170">
        <f>AN143+AO143</f>
        <v/>
      </c>
      <c r="AQ143" s="169" t="n">
        <v>2.1</v>
      </c>
      <c r="AR143" s="169" t="n">
        <v>6.6</v>
      </c>
      <c r="AS143" s="169" t="n">
        <v>14.9</v>
      </c>
      <c r="AT143" s="169" t="n">
        <v>7.3</v>
      </c>
      <c r="AU143" s="169" t="n">
        <v>3.5</v>
      </c>
      <c r="AV143" s="170">
        <f>AT143+AU143</f>
        <v/>
      </c>
      <c r="AW143" s="169" t="n">
        <v>0.2</v>
      </c>
      <c r="AX143" s="169" t="n">
        <v>12.8</v>
      </c>
      <c r="AY143" s="169" t="n">
        <v>23.8</v>
      </c>
      <c r="AZ143" s="169" t="n">
        <v>1</v>
      </c>
      <c r="BA143" s="169" t="n">
        <v>-0.3</v>
      </c>
      <c r="BB143" s="170">
        <f>AZ143+BA143</f>
        <v/>
      </c>
      <c r="BC143" s="169" t="n">
        <v>1.6</v>
      </c>
      <c r="BD143" s="169" t="n">
        <v>1.7</v>
      </c>
      <c r="BE143" s="169" t="n">
        <v>4</v>
      </c>
      <c r="BF143" s="169" t="n">
        <v>117.2</v>
      </c>
      <c r="BG143" s="169" t="n">
        <v>0.2</v>
      </c>
      <c r="BH143" s="170">
        <f>BF143+BG143</f>
        <v/>
      </c>
      <c r="BI143" s="169" t="n">
        <v>2.9</v>
      </c>
      <c r="BJ143" s="169" t="n">
        <v>-0.2</v>
      </c>
      <c r="BK143" s="169" t="n">
        <v>120.1</v>
      </c>
      <c r="BL143" s="169" t="n">
        <v>2.6</v>
      </c>
      <c r="BM143" s="169" t="n">
        <v>2</v>
      </c>
      <c r="BN143" s="170">
        <f>BL143+BM143</f>
        <v/>
      </c>
      <c r="BO143" s="169" t="n">
        <v>23.8</v>
      </c>
      <c r="BP143" s="169" t="n">
        <v>-17.7</v>
      </c>
      <c r="BQ143" s="169" t="n">
        <v>10.7</v>
      </c>
      <c r="BR143" s="169" t="n">
        <v>1.7</v>
      </c>
      <c r="BS143" s="169" t="n">
        <v>16.7</v>
      </c>
      <c r="BT143" s="170">
        <f>BR143+BS143</f>
        <v/>
      </c>
      <c r="BU143" s="169" t="n">
        <v>4.3</v>
      </c>
      <c r="BV143" s="169" t="n">
        <v>53.7</v>
      </c>
      <c r="BW143" s="169" t="n">
        <v>76.40000000000001</v>
      </c>
      <c r="BX143" s="169" t="n">
        <v>0.6</v>
      </c>
      <c r="BY143" s="169" t="n">
        <v>3.8</v>
      </c>
      <c r="BZ143" s="170">
        <f>BX143+BY143</f>
        <v/>
      </c>
      <c r="CA143" s="169" t="n">
        <v>0.2</v>
      </c>
      <c r="CB143" s="169" t="n">
        <v>47.7</v>
      </c>
      <c r="CC143" s="169" t="n">
        <v>52.3</v>
      </c>
      <c r="CD143" s="169" t="n">
        <v>7.4</v>
      </c>
      <c r="CE143" s="169" t="n">
        <v>1.2</v>
      </c>
      <c r="CF143" s="170">
        <f>CD143+CE143</f>
        <v/>
      </c>
      <c r="CG143" s="169" t="n">
        <v>0.6</v>
      </c>
      <c r="CH143" s="169" t="n">
        <v>43.2</v>
      </c>
      <c r="CI143" s="169" t="n">
        <v>52.4</v>
      </c>
      <c r="CJ143" s="169" t="n">
        <v>-0.3</v>
      </c>
      <c r="CK143" s="169" t="n">
        <v>-11.3</v>
      </c>
      <c r="CL143" s="170">
        <f>CJ143+CK143</f>
        <v/>
      </c>
      <c r="CM143" s="183" t="n">
        <v>0</v>
      </c>
      <c r="CN143" s="183" t="n">
        <v>0</v>
      </c>
      <c r="CO143" s="171">
        <f>SUM(CJ143,CK143,CM143,CN143)</f>
        <v/>
      </c>
      <c r="CP143" s="183" t="n">
        <v>0</v>
      </c>
      <c r="CQ143" s="183" t="n">
        <v>0</v>
      </c>
      <c r="CR143" s="183" t="n">
        <v>0</v>
      </c>
      <c r="CS143" s="183" t="n">
        <v>0</v>
      </c>
      <c r="CT143" s="22" t="n"/>
      <c r="CV143" s="23" t="n"/>
      <c r="CW143" s="23" t="n"/>
      <c r="CX143" s="23" t="n"/>
      <c r="CY143" s="23" t="n"/>
    </row>
    <row r="144" ht="15" customHeight="1">
      <c r="B144" s="12" t="inlineStr">
        <is>
          <t>Other operating income (expense), net (incl. impairments, settlements, restructuring)</t>
        </is>
      </c>
      <c r="C144" s="169" t="n">
        <v>21.9</v>
      </c>
      <c r="D144" s="169" t="n">
        <v>-5.5</v>
      </c>
      <c r="E144" s="169" t="n">
        <v>-252.3</v>
      </c>
      <c r="F144" s="169" t="n">
        <v>-3</v>
      </c>
      <c r="G144" s="169" t="n">
        <v>-47</v>
      </c>
      <c r="H144" s="169" t="n">
        <v>21.8</v>
      </c>
      <c r="I144" s="169" t="n">
        <v>-58.6</v>
      </c>
      <c r="J144" s="169" t="n">
        <v>-7.2</v>
      </c>
      <c r="K144" s="169" t="n">
        <v>-4.5</v>
      </c>
      <c r="L144" s="170">
        <f>J144+K144</f>
        <v/>
      </c>
      <c r="M144" s="169" t="n">
        <v>-2.7</v>
      </c>
      <c r="N144" s="169" t="n">
        <v>-1.9</v>
      </c>
      <c r="O144" s="169" t="n">
        <v>-16.3</v>
      </c>
      <c r="P144" s="169" t="n">
        <v>-9.699999999999999</v>
      </c>
      <c r="Q144" s="169" t="n">
        <v>-5.1</v>
      </c>
      <c r="R144" s="170">
        <f>P144+Q144</f>
        <v/>
      </c>
      <c r="S144" s="169" t="n">
        <v>-3.7</v>
      </c>
      <c r="T144" s="169" t="n">
        <v>-3</v>
      </c>
      <c r="U144" s="169" t="n">
        <v>-21.4</v>
      </c>
      <c r="V144" s="169" t="n">
        <v>-6.7</v>
      </c>
      <c r="W144" s="169" t="n">
        <v>-11.7</v>
      </c>
      <c r="X144" s="170">
        <f>V144+W144</f>
        <v/>
      </c>
      <c r="Y144" s="169" t="n">
        <v>-8.4</v>
      </c>
      <c r="Z144" s="169" t="n">
        <v>-3.9</v>
      </c>
      <c r="AA144" s="169" t="n">
        <v>-30.9</v>
      </c>
      <c r="AB144" s="169" t="n">
        <v>-23.9</v>
      </c>
      <c r="AC144" s="169" t="n">
        <v>3.9</v>
      </c>
      <c r="AD144" s="170">
        <f>AB144+AC144</f>
        <v/>
      </c>
      <c r="AE144" s="169" t="n">
        <v>-2.8</v>
      </c>
      <c r="AF144" s="169" t="n">
        <v>1.1</v>
      </c>
      <c r="AG144" s="169" t="n">
        <v>-21.7</v>
      </c>
      <c r="AH144" s="169" t="n">
        <v>-5.8</v>
      </c>
      <c r="AI144" s="169" t="n">
        <v>-17.8</v>
      </c>
      <c r="AJ144" s="170">
        <f>AH144+AI144</f>
        <v/>
      </c>
      <c r="AK144" s="169" t="n">
        <v>-4.2</v>
      </c>
      <c r="AL144" s="169" t="n">
        <v>-19.6</v>
      </c>
      <c r="AM144" s="169" t="n">
        <v>-47.4</v>
      </c>
      <c r="AN144" s="169" t="n">
        <v>-4</v>
      </c>
      <c r="AO144" s="169" t="n">
        <v>-6</v>
      </c>
      <c r="AP144" s="170">
        <f>AN144+AO144</f>
        <v/>
      </c>
      <c r="AQ144" s="169" t="n">
        <v>-14.5</v>
      </c>
      <c r="AR144" s="169" t="n">
        <v>-11</v>
      </c>
      <c r="AS144" s="169" t="n">
        <v>-34.8</v>
      </c>
      <c r="AT144" s="169" t="n">
        <v>-4.3</v>
      </c>
      <c r="AU144" s="169" t="n">
        <v>-2.2</v>
      </c>
      <c r="AV144" s="170">
        <f>AT144+AU144</f>
        <v/>
      </c>
      <c r="AW144" s="169" t="n">
        <v>-8.699999999999999</v>
      </c>
      <c r="AX144" s="169" t="n">
        <v>-16.5</v>
      </c>
      <c r="AY144" s="169" t="n">
        <v>-31.6</v>
      </c>
      <c r="AZ144" s="169" t="n">
        <v>-4</v>
      </c>
      <c r="BA144" s="169" t="n">
        <v>-6.2</v>
      </c>
      <c r="BB144" s="170">
        <f>AZ144+BA144</f>
        <v/>
      </c>
      <c r="BC144" s="169" t="n">
        <v>-10.5</v>
      </c>
      <c r="BD144" s="169" t="n">
        <v>-9.4</v>
      </c>
      <c r="BE144" s="169" t="n">
        <v>-30</v>
      </c>
      <c r="BF144" s="169" t="n">
        <v>-8.300000000000001</v>
      </c>
      <c r="BG144" s="169" t="n">
        <v>-10.4</v>
      </c>
      <c r="BH144" s="170">
        <f>BF144+BG144</f>
        <v/>
      </c>
      <c r="BI144" s="169" t="n">
        <v>-30.8</v>
      </c>
      <c r="BJ144" s="169" t="n">
        <v>-15.6</v>
      </c>
      <c r="BK144" s="169" t="n">
        <v>-65.09999999999999</v>
      </c>
      <c r="BL144" s="169" t="n">
        <v>-5.4</v>
      </c>
      <c r="BM144" s="169" t="n">
        <v>-6.2</v>
      </c>
      <c r="BN144" s="170">
        <f>BL144+BM144</f>
        <v/>
      </c>
      <c r="BO144" s="169" t="n">
        <v>-76</v>
      </c>
      <c r="BP144" s="169" t="n">
        <v>-14.3</v>
      </c>
      <c r="BQ144" s="169" t="n">
        <v>-101.9</v>
      </c>
      <c r="BR144" s="169" t="n">
        <v>0.8</v>
      </c>
      <c r="BS144" s="169" t="n">
        <v>-9.800000000000001</v>
      </c>
      <c r="BT144" s="170">
        <f>BR144+BS144</f>
        <v/>
      </c>
      <c r="BU144" s="169" t="n">
        <v>-32.5</v>
      </c>
      <c r="BV144" s="169" t="n">
        <v>-13.4</v>
      </c>
      <c r="BW144" s="169" t="n">
        <v>-54.7</v>
      </c>
      <c r="BX144" s="169" t="n">
        <v>-2.9</v>
      </c>
      <c r="BY144" s="169" t="n">
        <v>-8.300000000000001</v>
      </c>
      <c r="BZ144" s="170">
        <f>BX144+BY144</f>
        <v/>
      </c>
      <c r="CA144" s="169" t="n">
        <v>-99.2</v>
      </c>
      <c r="CB144" s="169" t="n">
        <v>-45.8</v>
      </c>
      <c r="CC144" s="169" t="n">
        <v>-156.3</v>
      </c>
      <c r="CD144" s="169" t="n">
        <v>-8</v>
      </c>
      <c r="CE144" s="169" t="n">
        <v>-10.9</v>
      </c>
      <c r="CF144" s="170">
        <f>CD144+CE144</f>
        <v/>
      </c>
      <c r="CG144" s="169" t="n">
        <v>-9.300000000000001</v>
      </c>
      <c r="CH144" s="169" t="n">
        <v>-15</v>
      </c>
      <c r="CI144" s="169" t="n">
        <v>-43.3</v>
      </c>
      <c r="CJ144" s="169" t="n">
        <v>-21.3</v>
      </c>
      <c r="CK144" s="169" t="n">
        <v>-17.4</v>
      </c>
      <c r="CL144" s="170">
        <f>CJ144+CK144</f>
        <v/>
      </c>
      <c r="CM144" s="171">
        <f>CM80</f>
        <v/>
      </c>
      <c r="CN144" s="171">
        <f>CN80</f>
        <v/>
      </c>
      <c r="CO144" s="171">
        <f>SUM(CJ144,CK144,CM144,CN144)</f>
        <v/>
      </c>
      <c r="CP144" s="171">
        <f>CP80</f>
        <v/>
      </c>
      <c r="CQ144" s="171">
        <f>CQ80</f>
        <v/>
      </c>
      <c r="CR144" s="171">
        <f>CR80</f>
        <v/>
      </c>
      <c r="CS144" s="171">
        <f>CS80</f>
        <v/>
      </c>
      <c r="CT144" s="22" t="inlineStr">
        <is>
          <t>Historical: all remaining operating lines combined (cell comments give the company wording).</t>
        </is>
      </c>
      <c r="CV144" s="23" t="n"/>
      <c r="CW144" s="23" t="n"/>
      <c r="CX144" s="23" t="n"/>
      <c r="CY144" s="23" t="n"/>
    </row>
    <row r="145" ht="15" customHeight="1">
      <c r="B145" s="33" t="inlineStr">
        <is>
          <t>Operating earnings</t>
        </is>
      </c>
      <c r="C145" s="175">
        <f>IF(ISNUMBER(C138),C141-C142+N(C143)+N(C144),"")</f>
        <v/>
      </c>
      <c r="D145" s="175">
        <f>IF(ISNUMBER(D138),D141-D142+N(D143)+N(D144),"")</f>
        <v/>
      </c>
      <c r="E145" s="175">
        <f>IF(ISNUMBER(E138),E141-E142+N(E143)+N(E144),"")</f>
        <v/>
      </c>
      <c r="F145" s="175">
        <f>IF(ISNUMBER(F138),F141-F142+N(F143)+N(F144),"")</f>
        <v/>
      </c>
      <c r="G145" s="175">
        <f>IF(ISNUMBER(G138),G141-G142+N(G143)+N(G144),"")</f>
        <v/>
      </c>
      <c r="H145" s="175">
        <f>IF(ISNUMBER(H138),H141-H142+N(H143)+N(H144),"")</f>
        <v/>
      </c>
      <c r="I145" s="175">
        <f>IF(ISNUMBER(I138),I141-I142+N(I143)+N(I144),"")</f>
        <v/>
      </c>
      <c r="J145" s="173">
        <f>IF(ISNUMBER(J138),J141-J142+N(J143)+N(J144),"")</f>
        <v/>
      </c>
      <c r="K145" s="173">
        <f>IF(ISNUMBER(K138),K141-K142+N(K143)+N(K144),"")</f>
        <v/>
      </c>
      <c r="L145" s="173">
        <f>IF(ISNUMBER(L138),L141-L142+N(L143)+N(L144),"")</f>
        <v/>
      </c>
      <c r="M145" s="173">
        <f>IF(ISNUMBER(M138),M141-M142+N(M143)+N(M144),"")</f>
        <v/>
      </c>
      <c r="N145" s="173">
        <f>IF(ISNUMBER(N138),N141-N142+N(N143)+N(N144),"")</f>
        <v/>
      </c>
      <c r="O145" s="175">
        <f>IF(ISNUMBER(O138),O141-O142+N(O143)+N(O144),"")</f>
        <v/>
      </c>
      <c r="P145" s="173">
        <f>IF(ISNUMBER(P138),P141-P142+N(P143)+N(P144),"")</f>
        <v/>
      </c>
      <c r="Q145" s="173">
        <f>IF(ISNUMBER(Q138),Q141-Q142+N(Q143)+N(Q144),"")</f>
        <v/>
      </c>
      <c r="R145" s="173">
        <f>IF(ISNUMBER(R138),R141-R142+N(R143)+N(R144),"")</f>
        <v/>
      </c>
      <c r="S145" s="173">
        <f>IF(ISNUMBER(S138),S141-S142+N(S143)+N(S144),"")</f>
        <v/>
      </c>
      <c r="T145" s="173">
        <f>IF(ISNUMBER(T138),T141-T142+N(T143)+N(T144),"")</f>
        <v/>
      </c>
      <c r="U145" s="175">
        <f>IF(ISNUMBER(U138),U141-U142+N(U143)+N(U144),"")</f>
        <v/>
      </c>
      <c r="V145" s="173">
        <f>IF(ISNUMBER(V138),V141-V142+N(V143)+N(V144),"")</f>
        <v/>
      </c>
      <c r="W145" s="173">
        <f>IF(ISNUMBER(W138),W141-W142+N(W143)+N(W144),"")</f>
        <v/>
      </c>
      <c r="X145" s="173">
        <f>IF(ISNUMBER(X138),X141-X142+N(X143)+N(X144),"")</f>
        <v/>
      </c>
      <c r="Y145" s="173">
        <f>IF(ISNUMBER(Y138),Y141-Y142+N(Y143)+N(Y144),"")</f>
        <v/>
      </c>
      <c r="Z145" s="173">
        <f>IF(ISNUMBER(Z138),Z141-Z142+N(Z143)+N(Z144),"")</f>
        <v/>
      </c>
      <c r="AA145" s="175">
        <f>IF(ISNUMBER(AA138),AA141-AA142+N(AA143)+N(AA144),"")</f>
        <v/>
      </c>
      <c r="AB145" s="173">
        <f>IF(ISNUMBER(AB138),AB141-AB142+N(AB143)+N(AB144),"")</f>
        <v/>
      </c>
      <c r="AC145" s="173">
        <f>IF(ISNUMBER(AC138),AC141-AC142+N(AC143)+N(AC144),"")</f>
        <v/>
      </c>
      <c r="AD145" s="173">
        <f>IF(ISNUMBER(AD138),AD141-AD142+N(AD143)+N(AD144),"")</f>
        <v/>
      </c>
      <c r="AE145" s="173">
        <f>IF(ISNUMBER(AE138),AE141-AE142+N(AE143)+N(AE144),"")</f>
        <v/>
      </c>
      <c r="AF145" s="173">
        <f>IF(ISNUMBER(AF138),AF141-AF142+N(AF143)+N(AF144),"")</f>
        <v/>
      </c>
      <c r="AG145" s="175">
        <f>IF(ISNUMBER(AG138),AG141-AG142+N(AG143)+N(AG144),"")</f>
        <v/>
      </c>
      <c r="AH145" s="173">
        <f>IF(ISNUMBER(AH138),AH141-AH142+N(AH143)+N(AH144),"")</f>
        <v/>
      </c>
      <c r="AI145" s="173">
        <f>IF(ISNUMBER(AI138),AI141-AI142+N(AI143)+N(AI144),"")</f>
        <v/>
      </c>
      <c r="AJ145" s="173">
        <f>IF(ISNUMBER(AJ138),AJ141-AJ142+N(AJ143)+N(AJ144),"")</f>
        <v/>
      </c>
      <c r="AK145" s="173">
        <f>IF(ISNUMBER(AK138),AK141-AK142+N(AK143)+N(AK144),"")</f>
        <v/>
      </c>
      <c r="AL145" s="173">
        <f>IF(ISNUMBER(AL138),AL141-AL142+N(AL143)+N(AL144),"")</f>
        <v/>
      </c>
      <c r="AM145" s="175">
        <f>IF(ISNUMBER(AM138),AM141-AM142+N(AM143)+N(AM144),"")</f>
        <v/>
      </c>
      <c r="AN145" s="173">
        <f>IF(ISNUMBER(AN138),AN141-AN142+N(AN143)+N(AN144),"")</f>
        <v/>
      </c>
      <c r="AO145" s="173">
        <f>IF(ISNUMBER(AO138),AO141-AO142+N(AO143)+N(AO144),"")</f>
        <v/>
      </c>
      <c r="AP145" s="173">
        <f>IF(ISNUMBER(AP138),AP141-AP142+N(AP143)+N(AP144),"")</f>
        <v/>
      </c>
      <c r="AQ145" s="173">
        <f>IF(ISNUMBER(AQ138),AQ141-AQ142+N(AQ143)+N(AQ144),"")</f>
        <v/>
      </c>
      <c r="AR145" s="173">
        <f>IF(ISNUMBER(AR138),AR141-AR142+N(AR143)+N(AR144),"")</f>
        <v/>
      </c>
      <c r="AS145" s="175">
        <f>IF(ISNUMBER(AS138),AS141-AS142+N(AS143)+N(AS144),"")</f>
        <v/>
      </c>
      <c r="AT145" s="173">
        <f>IF(ISNUMBER(AT138),AT141-AT142+N(AT143)+N(AT144),"")</f>
        <v/>
      </c>
      <c r="AU145" s="173">
        <f>IF(ISNUMBER(AU138),AU141-AU142+N(AU143)+N(AU144),"")</f>
        <v/>
      </c>
      <c r="AV145" s="173">
        <f>IF(ISNUMBER(AV138),AV141-AV142+N(AV143)+N(AV144),"")</f>
        <v/>
      </c>
      <c r="AW145" s="173">
        <f>IF(ISNUMBER(AW138),AW141-AW142+N(AW143)+N(AW144),"")</f>
        <v/>
      </c>
      <c r="AX145" s="173">
        <f>IF(ISNUMBER(AX138),AX141-AX142+N(AX143)+N(AX144),"")</f>
        <v/>
      </c>
      <c r="AY145" s="175">
        <f>IF(ISNUMBER(AY138),AY141-AY142+N(AY143)+N(AY144),"")</f>
        <v/>
      </c>
      <c r="AZ145" s="173">
        <f>IF(ISNUMBER(AZ138),AZ141-AZ142+N(AZ143)+N(AZ144),"")</f>
        <v/>
      </c>
      <c r="BA145" s="173">
        <f>IF(ISNUMBER(BA138),BA141-BA142+N(BA143)+N(BA144),"")</f>
        <v/>
      </c>
      <c r="BB145" s="173">
        <f>IF(ISNUMBER(BB138),BB141-BB142+N(BB143)+N(BB144),"")</f>
        <v/>
      </c>
      <c r="BC145" s="173">
        <f>IF(ISNUMBER(BC138),BC141-BC142+N(BC143)+N(BC144),"")</f>
        <v/>
      </c>
      <c r="BD145" s="173">
        <f>IF(ISNUMBER(BD138),BD141-BD142+N(BD143)+N(BD144),"")</f>
        <v/>
      </c>
      <c r="BE145" s="175">
        <f>IF(ISNUMBER(BE138),BE141-BE142+N(BE143)+N(BE144),"")</f>
        <v/>
      </c>
      <c r="BF145" s="173">
        <f>IF(ISNUMBER(BF138),BF141-BF142+N(BF143)+N(BF144),"")</f>
        <v/>
      </c>
      <c r="BG145" s="173">
        <f>IF(ISNUMBER(BG138),BG141-BG142+N(BG143)+N(BG144),"")</f>
        <v/>
      </c>
      <c r="BH145" s="173">
        <f>IF(ISNUMBER(BH138),BH141-BH142+N(BH143)+N(BH144),"")</f>
        <v/>
      </c>
      <c r="BI145" s="173">
        <f>IF(ISNUMBER(BI138),BI141-BI142+N(BI143)+N(BI144),"")</f>
        <v/>
      </c>
      <c r="BJ145" s="173">
        <f>IF(ISNUMBER(BJ138),BJ141-BJ142+N(BJ143)+N(BJ144),"")</f>
        <v/>
      </c>
      <c r="BK145" s="175">
        <f>IF(ISNUMBER(BK138),BK141-BK142+N(BK143)+N(BK144),"")</f>
        <v/>
      </c>
      <c r="BL145" s="173">
        <f>IF(ISNUMBER(BL138),BL141-BL142+N(BL143)+N(BL144),"")</f>
        <v/>
      </c>
      <c r="BM145" s="173">
        <f>IF(ISNUMBER(BM138),BM141-BM142+N(BM143)+N(BM144),"")</f>
        <v/>
      </c>
      <c r="BN145" s="173">
        <f>IF(ISNUMBER(BN138),BN141-BN142+N(BN143)+N(BN144),"")</f>
        <v/>
      </c>
      <c r="BO145" s="173">
        <f>IF(ISNUMBER(BO138),BO141-BO142+N(BO143)+N(BO144),"")</f>
        <v/>
      </c>
      <c r="BP145" s="173">
        <f>IF(ISNUMBER(BP138),BP141-BP142+N(BP143)+N(BP144),"")</f>
        <v/>
      </c>
      <c r="BQ145" s="175">
        <f>IF(ISNUMBER(BQ138),BQ141-BQ142+N(BQ143)+N(BQ144),"")</f>
        <v/>
      </c>
      <c r="BR145" s="173">
        <f>IF(ISNUMBER(BR138),BR141-BR142+N(BR143)+N(BR144),"")</f>
        <v/>
      </c>
      <c r="BS145" s="173">
        <f>IF(ISNUMBER(BS138),BS141-BS142+N(BS143)+N(BS144),"")</f>
        <v/>
      </c>
      <c r="BT145" s="173">
        <f>IF(ISNUMBER(BT138),BT141-BT142+N(BT143)+N(BT144),"")</f>
        <v/>
      </c>
      <c r="BU145" s="173">
        <f>IF(ISNUMBER(BU138),BU141-BU142+N(BU143)+N(BU144),"")</f>
        <v/>
      </c>
      <c r="BV145" s="173">
        <f>IF(ISNUMBER(BV138),BV141-BV142+N(BV143)+N(BV144),"")</f>
        <v/>
      </c>
      <c r="BW145" s="175">
        <f>IF(ISNUMBER(BW138),BW141-BW142+N(BW143)+N(BW144),"")</f>
        <v/>
      </c>
      <c r="BX145" s="173">
        <f>IF(ISNUMBER(BX138),BX141-BX142+N(BX143)+N(BX144),"")</f>
        <v/>
      </c>
      <c r="BY145" s="173">
        <f>IF(ISNUMBER(BY138),BY141-BY142+N(BY143)+N(BY144),"")</f>
        <v/>
      </c>
      <c r="BZ145" s="173">
        <f>IF(ISNUMBER(BZ138),BZ141-BZ142+N(BZ143)+N(BZ144),"")</f>
        <v/>
      </c>
      <c r="CA145" s="173">
        <f>IF(ISNUMBER(CA138),CA141-CA142+N(CA143)+N(CA144),"")</f>
        <v/>
      </c>
      <c r="CB145" s="173">
        <f>IF(ISNUMBER(CB138),CB141-CB142+N(CB143)+N(CB144),"")</f>
        <v/>
      </c>
      <c r="CC145" s="175">
        <f>IF(ISNUMBER(CC138),CC141-CC142+N(CC143)+N(CC144),"")</f>
        <v/>
      </c>
      <c r="CD145" s="173">
        <f>IF(ISNUMBER(CD138),CD141-CD142+N(CD143)+N(CD144),"")</f>
        <v/>
      </c>
      <c r="CE145" s="173">
        <f>IF(ISNUMBER(CE138),CE141-CE142+N(CE143)+N(CE144),"")</f>
        <v/>
      </c>
      <c r="CF145" s="173">
        <f>IF(ISNUMBER(CF138),CF141-CF142+N(CF143)+N(CF144),"")</f>
        <v/>
      </c>
      <c r="CG145" s="173">
        <f>IF(ISNUMBER(CG138),CG141-CG142+N(CG143)+N(CG144),"")</f>
        <v/>
      </c>
      <c r="CH145" s="173">
        <f>IF(ISNUMBER(CH138),CH141-CH142+N(CH143)+N(CH144),"")</f>
        <v/>
      </c>
      <c r="CI145" s="175">
        <f>IF(ISNUMBER(CI138),CI141-CI142+N(CI143)+N(CI144),"")</f>
        <v/>
      </c>
      <c r="CJ145" s="173">
        <f>IF(ISNUMBER(CJ138),CJ141-CJ142+N(CJ143)+N(CJ144),"")</f>
        <v/>
      </c>
      <c r="CK145" s="173">
        <f>IF(ISNUMBER(CK138),CK141-CK142+N(CK143)+N(CK144),"")</f>
        <v/>
      </c>
      <c r="CL145" s="173">
        <f>IF(ISNUMBER(CL138),CL141-CL142+N(CL143)+N(CL144),"")</f>
        <v/>
      </c>
      <c r="CM145" s="175">
        <f>IF(ISNUMBER(CM138),CM141-CM142+N(CM143)+N(CM144),"")</f>
        <v/>
      </c>
      <c r="CN145" s="175">
        <f>IF(ISNUMBER(CN138),CN141-CN142+N(CN143)+N(CN144),"")</f>
        <v/>
      </c>
      <c r="CO145" s="175">
        <f>IF(ISNUMBER(CO138),CO141-CO142+N(CO143)+N(CO144),"")</f>
        <v/>
      </c>
      <c r="CP145" s="175">
        <f>IF(ISNUMBER(CP138),CP141-CP142+N(CP143)+N(CP144),"")</f>
        <v/>
      </c>
      <c r="CQ145" s="175">
        <f>IF(ISNUMBER(CQ138),CQ141-CQ142+N(CQ143)+N(CQ144),"")</f>
        <v/>
      </c>
      <c r="CR145" s="175">
        <f>IF(ISNUMBER(CR138),CR141-CR142+N(CR143)+N(CR144),"")</f>
        <v/>
      </c>
      <c r="CS145" s="175">
        <f>IF(ISNUMBER(CS138),CS141-CS142+N(CS143)+N(CS144),"")</f>
        <v/>
      </c>
      <c r="CT145" s="22" t="n"/>
      <c r="CV145" s="23">
        <f>IFERROR((CS145/CI145)^(1/5)-1,"n/m")</f>
        <v/>
      </c>
      <c r="CW145" s="23">
        <f>IFERROR((CI145/BE145)^(1/5)-1,"n/m")</f>
        <v/>
      </c>
      <c r="CX145" s="23">
        <f>IFERROR((CI145/AA145)^(1/10)-1,"n/m")</f>
        <v/>
      </c>
      <c r="CY145" s="23">
        <f>IFERROR((CI145/C145)^(1/19)-1,"n/m")</f>
        <v/>
      </c>
    </row>
    <row r="146" ht="15" customHeight="1">
      <c r="B146" s="12" t="inlineStr">
        <is>
          <t>Other nonoperating income (expense), net</t>
        </is>
      </c>
      <c r="C146" s="169" t="n">
        <v>28.5</v>
      </c>
      <c r="D146" s="169" t="n">
        <v>-5.3</v>
      </c>
      <c r="E146" s="169" t="n">
        <v>-4.4</v>
      </c>
      <c r="F146" s="169" t="n">
        <v>5.3</v>
      </c>
      <c r="G146" s="169" t="n">
        <v>3.1</v>
      </c>
      <c r="H146" s="169" t="n">
        <v>0</v>
      </c>
      <c r="I146" s="169" t="n">
        <v>6.7</v>
      </c>
      <c r="J146" s="169" t="n">
        <v>2.4</v>
      </c>
      <c r="K146" s="169" t="n">
        <v>0.3</v>
      </c>
      <c r="L146" s="170">
        <f>J146+K146</f>
        <v/>
      </c>
      <c r="M146" s="169" t="n">
        <v>2.3</v>
      </c>
      <c r="N146" s="169" t="n">
        <v>2.6</v>
      </c>
      <c r="O146" s="169" t="n">
        <v>7.5</v>
      </c>
      <c r="P146" s="169" t="n">
        <v>2.8</v>
      </c>
      <c r="Q146" s="169" t="n">
        <v>1.8</v>
      </c>
      <c r="R146" s="170">
        <f>P146+Q146</f>
        <v/>
      </c>
      <c r="S146" s="169" t="n">
        <v>-0.6</v>
      </c>
      <c r="T146" s="169" t="n">
        <v>-0.9</v>
      </c>
      <c r="U146" s="169" t="n">
        <v>3.1</v>
      </c>
      <c r="V146" s="169" t="n">
        <v>1</v>
      </c>
      <c r="W146" s="169" t="n">
        <v>-0.4</v>
      </c>
      <c r="X146" s="170">
        <f>V146+W146</f>
        <v/>
      </c>
      <c r="Y146" s="169" t="n">
        <v>-2.8</v>
      </c>
      <c r="Z146" s="169" t="n">
        <v>0.6</v>
      </c>
      <c r="AA146" s="169" t="n">
        <v>-1.7</v>
      </c>
      <c r="AB146" s="169" t="n">
        <v>-0.7</v>
      </c>
      <c r="AC146" s="169" t="n">
        <v>0</v>
      </c>
      <c r="AD146" s="170">
        <f>AB146+AC146</f>
        <v/>
      </c>
      <c r="AE146" s="169" t="n">
        <v>1</v>
      </c>
      <c r="AF146" s="169" t="n">
        <v>0.6</v>
      </c>
      <c r="AG146" s="169" t="n">
        <v>0.9</v>
      </c>
      <c r="AH146" s="169" t="n">
        <v>2</v>
      </c>
      <c r="AI146" s="169" t="n">
        <v>1.9</v>
      </c>
      <c r="AJ146" s="170">
        <f>AH146+AI146</f>
        <v/>
      </c>
      <c r="AK146" s="169" t="n">
        <v>1.8</v>
      </c>
      <c r="AL146" s="169" t="n">
        <v>-0.4</v>
      </c>
      <c r="AM146" s="169" t="n">
        <v>5.3</v>
      </c>
      <c r="AN146" s="169" t="n">
        <v>5.1</v>
      </c>
      <c r="AO146" s="169" t="n">
        <v>3.3</v>
      </c>
      <c r="AP146" s="170">
        <f>AN146+AO146</f>
        <v/>
      </c>
      <c r="AQ146" s="169" t="n">
        <v>4.9</v>
      </c>
      <c r="AR146" s="169" t="n">
        <v>0.3</v>
      </c>
      <c r="AS146" s="169" t="n">
        <v>13</v>
      </c>
      <c r="AT146" s="169" t="n">
        <v>3.1</v>
      </c>
      <c r="AU146" s="169" t="n">
        <v>2.5</v>
      </c>
      <c r="AV146" s="170">
        <f>AT146+AU146</f>
        <v/>
      </c>
      <c r="AW146" s="169" t="n">
        <v>0.4</v>
      </c>
      <c r="AX146" s="169" t="n">
        <v>3.3</v>
      </c>
      <c r="AY146" s="169" t="n">
        <v>9.199999999999999</v>
      </c>
      <c r="AZ146" s="169" t="n">
        <v>-9.300000000000001</v>
      </c>
      <c r="BA146" s="169" t="n">
        <v>7.4</v>
      </c>
      <c r="BB146" s="170">
        <f>AZ146+BA146</f>
        <v/>
      </c>
      <c r="BC146" s="169" t="n">
        <v>5.8</v>
      </c>
      <c r="BD146" s="169" t="n">
        <v>-21.4</v>
      </c>
      <c r="BE146" s="169" t="n">
        <v>-17.5</v>
      </c>
      <c r="BF146" s="169" t="n">
        <v>5.9</v>
      </c>
      <c r="BG146" s="169" t="n">
        <v>8.199999999999999</v>
      </c>
      <c r="BH146" s="170">
        <f>BF146+BG146</f>
        <v/>
      </c>
      <c r="BI146" s="169" t="n">
        <v>3.2</v>
      </c>
      <c r="BJ146" s="169" t="n">
        <v>-6.5</v>
      </c>
      <c r="BK146" s="169" t="n">
        <v>10.7</v>
      </c>
      <c r="BL146" s="169" t="n">
        <v>1.5</v>
      </c>
      <c r="BM146" s="169" t="n">
        <v>-4.7</v>
      </c>
      <c r="BN146" s="170">
        <f>BL146+BM146</f>
        <v/>
      </c>
      <c r="BO146" s="169" t="n">
        <v>1.3</v>
      </c>
      <c r="BP146" s="169" t="n">
        <v>6.9</v>
      </c>
      <c r="BQ146" s="169" t="n">
        <v>5.1</v>
      </c>
      <c r="BR146" s="169" t="n">
        <v>1.4</v>
      </c>
      <c r="BS146" s="169" t="n">
        <v>-0.1</v>
      </c>
      <c r="BT146" s="170">
        <f>BR146+BS146</f>
        <v/>
      </c>
      <c r="BU146" s="169" t="n">
        <v>-6.4</v>
      </c>
      <c r="BV146" s="169" t="n">
        <v>2.6</v>
      </c>
      <c r="BW146" s="169" t="n">
        <v>-2.7</v>
      </c>
      <c r="BX146" s="169" t="n">
        <v>-0.3</v>
      </c>
      <c r="BY146" s="169" t="n">
        <v>-8.699999999999999</v>
      </c>
      <c r="BZ146" s="170">
        <f>BX146+BY146</f>
        <v/>
      </c>
      <c r="CA146" s="169" t="n">
        <v>-3.8</v>
      </c>
      <c r="CB146" s="169" t="n">
        <v>-9.4</v>
      </c>
      <c r="CC146" s="169" t="n">
        <v>-22.1</v>
      </c>
      <c r="CD146" s="169" t="n">
        <v>-2.6</v>
      </c>
      <c r="CE146" s="169" t="n">
        <v>2.4</v>
      </c>
      <c r="CF146" s="170">
        <f>CD146+CE146</f>
        <v/>
      </c>
      <c r="CG146" s="169" t="n">
        <v>0.7</v>
      </c>
      <c r="CH146" s="169" t="n">
        <v>-3.7</v>
      </c>
      <c r="CI146" s="169" t="n">
        <v>-3.2</v>
      </c>
      <c r="CJ146" s="169" t="n">
        <v>1.4</v>
      </c>
      <c r="CK146" s="169" t="n">
        <v>3.7</v>
      </c>
      <c r="CL146" s="170">
        <f>CJ146+CK146</f>
        <v/>
      </c>
      <c r="CM146" s="171">
        <f>CM82</f>
        <v/>
      </c>
      <c r="CN146" s="171">
        <f>CN82</f>
        <v/>
      </c>
      <c r="CO146" s="171">
        <f>SUM(CJ146,CK146,CM146,CN146)</f>
        <v/>
      </c>
      <c r="CP146" s="171">
        <f>CP82</f>
        <v/>
      </c>
      <c r="CQ146" s="171">
        <f>CQ82</f>
        <v/>
      </c>
      <c r="CR146" s="171">
        <f>CR82</f>
        <v/>
      </c>
      <c r="CS146" s="171">
        <f>CS82</f>
        <v/>
      </c>
      <c r="CT146" s="22" t="n"/>
      <c r="CV146" s="23" t="n"/>
      <c r="CW146" s="23" t="n"/>
      <c r="CX146" s="23" t="n"/>
      <c r="CY146" s="23" t="n"/>
    </row>
    <row r="147" ht="15" customHeight="1">
      <c r="B147" s="12" t="inlineStr">
        <is>
          <t>Interest expense, net</t>
        </is>
      </c>
      <c r="C147" s="169" t="n">
        <v>20.1</v>
      </c>
      <c r="D147" s="169" t="n">
        <v>41.6</v>
      </c>
      <c r="E147" s="169" t="n">
        <v>169.7</v>
      </c>
      <c r="F147" s="169" t="n">
        <v>173</v>
      </c>
      <c r="G147" s="169" t="n">
        <v>180.7</v>
      </c>
      <c r="H147" s="169" t="n">
        <v>217.2</v>
      </c>
      <c r="I147" s="169" t="n">
        <v>211.9</v>
      </c>
      <c r="J147" s="169" t="n">
        <v>52.8</v>
      </c>
      <c r="K147" s="169" t="n">
        <v>50.9</v>
      </c>
      <c r="L147" s="170">
        <f>J147+K147</f>
        <v/>
      </c>
      <c r="M147" s="169" t="n">
        <v>49.1</v>
      </c>
      <c r="N147" s="169" t="n">
        <v>48.9</v>
      </c>
      <c r="O147" s="169" t="n">
        <v>201.6</v>
      </c>
      <c r="P147" s="169" t="n">
        <v>120.1</v>
      </c>
      <c r="Q147" s="169" t="n">
        <v>40.6</v>
      </c>
      <c r="R147" s="170">
        <f>P147+Q147</f>
        <v/>
      </c>
      <c r="S147" s="169" t="n">
        <v>40.9</v>
      </c>
      <c r="T147" s="169" t="n">
        <v>40.9</v>
      </c>
      <c r="U147" s="169" t="n">
        <v>242.4</v>
      </c>
      <c r="V147" s="169" t="n">
        <v>62.5</v>
      </c>
      <c r="W147" s="169" t="n">
        <v>83.7</v>
      </c>
      <c r="X147" s="170">
        <f>V147+W147</f>
        <v/>
      </c>
      <c r="Y147" s="169" t="n">
        <v>37.8</v>
      </c>
      <c r="Z147" s="169" t="n">
        <v>36.3</v>
      </c>
      <c r="AA147" s="169" t="n">
        <v>220.2</v>
      </c>
      <c r="AB147" s="169" t="n">
        <v>33.7</v>
      </c>
      <c r="AC147" s="169" t="n">
        <v>33.3</v>
      </c>
      <c r="AD147" s="170">
        <f>AB147+AC147</f>
        <v/>
      </c>
      <c r="AE147" s="169" t="n">
        <v>33.1</v>
      </c>
      <c r="AF147" s="169" t="n">
        <v>33.1</v>
      </c>
      <c r="AG147" s="169" t="n">
        <v>133.3</v>
      </c>
      <c r="AH147" s="169" t="n">
        <v>34.1</v>
      </c>
      <c r="AI147" s="169" t="n">
        <v>38.5</v>
      </c>
      <c r="AJ147" s="170">
        <f>AH147+AI147</f>
        <v/>
      </c>
      <c r="AK147" s="169" t="n">
        <v>82</v>
      </c>
      <c r="AL147" s="169" t="n">
        <v>136.5</v>
      </c>
      <c r="AM147" s="169" t="n">
        <v>291.1</v>
      </c>
      <c r="AN147" s="169" t="n">
        <v>37.8</v>
      </c>
      <c r="AO147" s="169" t="n">
        <v>33.2</v>
      </c>
      <c r="AP147" s="170">
        <f>AN147+AO147</f>
        <v/>
      </c>
      <c r="AQ147" s="169" t="n">
        <v>33.5</v>
      </c>
      <c r="AR147" s="169" t="n">
        <v>32.9</v>
      </c>
      <c r="AS147" s="169" t="n">
        <v>137.4</v>
      </c>
      <c r="AT147" s="169" t="n">
        <v>32.9</v>
      </c>
      <c r="AU147" s="169" t="n">
        <v>33</v>
      </c>
      <c r="AV147" s="170">
        <f>AT147+AU147</f>
        <v/>
      </c>
      <c r="AW147" s="169" t="n">
        <v>32.2</v>
      </c>
      <c r="AX147" s="169" t="n">
        <v>30.8</v>
      </c>
      <c r="AY147" s="169" t="n">
        <v>129</v>
      </c>
      <c r="AZ147" s="169" t="n">
        <v>30.8</v>
      </c>
      <c r="BA147" s="169" t="n">
        <v>34</v>
      </c>
      <c r="BB147" s="170">
        <f>AZ147+BA147</f>
        <v/>
      </c>
      <c r="BC147" s="169" t="n">
        <v>35.8</v>
      </c>
      <c r="BD147" s="169" t="n">
        <v>33.9</v>
      </c>
      <c r="BE147" s="169" t="n">
        <v>134.4</v>
      </c>
      <c r="BF147" s="169" t="n">
        <v>33.1</v>
      </c>
      <c r="BG147" s="169" t="n">
        <v>41.7</v>
      </c>
      <c r="BH147" s="170">
        <f>BF147+BG147</f>
        <v/>
      </c>
      <c r="BI147" s="169" t="n">
        <v>36.8</v>
      </c>
      <c r="BJ147" s="169" t="n">
        <v>36.1</v>
      </c>
      <c r="BK147" s="169" t="n">
        <v>147.7</v>
      </c>
      <c r="BL147" s="169" t="n">
        <v>35.9</v>
      </c>
      <c r="BM147" s="169" t="n">
        <v>38.7</v>
      </c>
      <c r="BN147" s="170">
        <f>BL147+BM147</f>
        <v/>
      </c>
      <c r="BO147" s="169" t="n">
        <v>46.1</v>
      </c>
      <c r="BP147" s="169" t="n">
        <v>47.6</v>
      </c>
      <c r="BQ147" s="169" t="n">
        <v>168.4</v>
      </c>
      <c r="BR147" s="169" t="n">
        <v>49</v>
      </c>
      <c r="BS147" s="169" t="n">
        <v>46.7</v>
      </c>
      <c r="BT147" s="170">
        <f>BR147+BS147</f>
        <v/>
      </c>
      <c r="BU147" s="169" t="n">
        <v>46.6</v>
      </c>
      <c r="BV147" s="169" t="n">
        <v>37.4</v>
      </c>
      <c r="BW147" s="169" t="n">
        <v>179.6</v>
      </c>
      <c r="BX147" s="169" t="n">
        <v>39.1</v>
      </c>
      <c r="BY147" s="169" t="n">
        <v>40.2</v>
      </c>
      <c r="BZ147" s="170">
        <f>BX147+BY147</f>
        <v/>
      </c>
      <c r="CA147" s="169" t="n">
        <v>38.4</v>
      </c>
      <c r="CB147" s="169" t="n">
        <v>52.6</v>
      </c>
      <c r="CC147" s="169" t="n">
        <v>170.3</v>
      </c>
      <c r="CD147" s="169" t="n">
        <v>59.7</v>
      </c>
      <c r="CE147" s="169" t="n">
        <v>59.2</v>
      </c>
      <c r="CF147" s="170">
        <f>CD147+CE147</f>
        <v/>
      </c>
      <c r="CG147" s="169" t="n">
        <v>55.3</v>
      </c>
      <c r="CH147" s="169" t="n">
        <v>52.1</v>
      </c>
      <c r="CI147" s="169" t="n">
        <v>226.3</v>
      </c>
      <c r="CJ147" s="169" t="n">
        <v>53.9</v>
      </c>
      <c r="CK147" s="169" t="n">
        <v>54.7</v>
      </c>
      <c r="CL147" s="170">
        <f>CJ147+CK147</f>
        <v/>
      </c>
      <c r="CM147" s="171">
        <f>($DD$19-$CL$147)/2</f>
        <v/>
      </c>
      <c r="CN147" s="171">
        <f>($DD$19-$CL$147)/2</f>
        <v/>
      </c>
      <c r="CO147" s="171">
        <f>SUM(CJ147,CK147,CM147,CN147)</f>
        <v/>
      </c>
      <c r="CP147" s="171">
        <f>CP378*(CO369-CO373-CO376)+CP380*CO373+CP381*CO376-CP379*CO281</f>
        <v/>
      </c>
      <c r="CQ147" s="171">
        <f>CQ378*(CP369-CP373-CP376)+CQ380*CP373+CQ381*CP376-CQ379*CP281</f>
        <v/>
      </c>
      <c r="CR147" s="171">
        <f>CR378*(CQ369-CQ373-CQ376)+CR380*CQ373+CR381*CQ376-CR379*CQ281</f>
        <v/>
      </c>
      <c r="CS147" s="171">
        <f>CS378*(CR369-CR373-CR376)+CS380*CR373+CS381*CR376-CS379*CR281</f>
        <v/>
      </c>
      <c r="CT147" s="22" t="inlineStr">
        <is>
          <t>Q3/Q4-26E: FY26 projected interest expense (outlook bridge) less 1H/26. 2027E+ = rate × opening debt − yield × opening cash (no circularity).</t>
        </is>
      </c>
      <c r="CV147" s="23" t="n"/>
      <c r="CW147" s="23" t="n"/>
      <c r="CX147" s="23" t="n"/>
      <c r="CY147" s="23" t="n"/>
    </row>
    <row r="148" ht="15" customHeight="1">
      <c r="B148" s="18" t="inlineStr">
        <is>
          <t>Earnings from continuing operations before income taxes</t>
        </is>
      </c>
      <c r="C148" s="173">
        <f>IF(ISNUMBER(C145),C145+N(C146)-C147,"")</f>
        <v/>
      </c>
      <c r="D148" s="173">
        <f>IF(ISNUMBER(D145),D145+N(D146)-D147,"")</f>
        <v/>
      </c>
      <c r="E148" s="173">
        <f>IF(ISNUMBER(E145),E145+N(E146)-E147,"")</f>
        <v/>
      </c>
      <c r="F148" s="173">
        <f>IF(ISNUMBER(F145),F145+N(F146)-F147,"")</f>
        <v/>
      </c>
      <c r="G148" s="173">
        <f>IF(ISNUMBER(G145),G145+N(G146)-G147,"")</f>
        <v/>
      </c>
      <c r="H148" s="173">
        <f>IF(ISNUMBER(H145),H145+N(H146)-H147,"")</f>
        <v/>
      </c>
      <c r="I148" s="173">
        <f>IF(ISNUMBER(I145),I145+N(I146)-I147,"")</f>
        <v/>
      </c>
      <c r="J148" s="173">
        <f>IF(ISNUMBER(J145),J145+N(J146)-J147,"")</f>
        <v/>
      </c>
      <c r="K148" s="173">
        <f>IF(ISNUMBER(K145),K145+N(K146)-K147,"")</f>
        <v/>
      </c>
      <c r="L148" s="173">
        <f>IF(ISNUMBER(L145),L145+N(L146)-L147,"")</f>
        <v/>
      </c>
      <c r="M148" s="173">
        <f>IF(ISNUMBER(M145),M145+N(M146)-M147,"")</f>
        <v/>
      </c>
      <c r="N148" s="173">
        <f>IF(ISNUMBER(N145),N145+N(N146)-N147,"")</f>
        <v/>
      </c>
      <c r="O148" s="173">
        <f>IF(ISNUMBER(O145),O145+N(O146)-O147,"")</f>
        <v/>
      </c>
      <c r="P148" s="173">
        <f>IF(ISNUMBER(P145),P145+N(P146)-P147,"")</f>
        <v/>
      </c>
      <c r="Q148" s="173">
        <f>IF(ISNUMBER(Q145),Q145+N(Q146)-Q147,"")</f>
        <v/>
      </c>
      <c r="R148" s="173">
        <f>IF(ISNUMBER(R145),R145+N(R146)-R147,"")</f>
        <v/>
      </c>
      <c r="S148" s="173">
        <f>IF(ISNUMBER(S145),S145+N(S146)-S147,"")</f>
        <v/>
      </c>
      <c r="T148" s="173">
        <f>IF(ISNUMBER(T145),T145+N(T146)-T147,"")</f>
        <v/>
      </c>
      <c r="U148" s="173">
        <f>IF(ISNUMBER(U145),U145+N(U146)-U147,"")</f>
        <v/>
      </c>
      <c r="V148" s="173">
        <f>IF(ISNUMBER(V145),V145+N(V146)-V147,"")</f>
        <v/>
      </c>
      <c r="W148" s="173">
        <f>IF(ISNUMBER(W145),W145+N(W146)-W147,"")</f>
        <v/>
      </c>
      <c r="X148" s="173">
        <f>IF(ISNUMBER(X145),X145+N(X146)-X147,"")</f>
        <v/>
      </c>
      <c r="Y148" s="173">
        <f>IF(ISNUMBER(Y145),Y145+N(Y146)-Y147,"")</f>
        <v/>
      </c>
      <c r="Z148" s="173">
        <f>IF(ISNUMBER(Z145),Z145+N(Z146)-Z147,"")</f>
        <v/>
      </c>
      <c r="AA148" s="173">
        <f>IF(ISNUMBER(AA145),AA145+N(AA146)-AA147,"")</f>
        <v/>
      </c>
      <c r="AB148" s="173">
        <f>IF(ISNUMBER(AB145),AB145+N(AB146)-AB147,"")</f>
        <v/>
      </c>
      <c r="AC148" s="173">
        <f>IF(ISNUMBER(AC145),AC145+N(AC146)-AC147,"")</f>
        <v/>
      </c>
      <c r="AD148" s="173">
        <f>IF(ISNUMBER(AD145),AD145+N(AD146)-AD147,"")</f>
        <v/>
      </c>
      <c r="AE148" s="173">
        <f>IF(ISNUMBER(AE145),AE145+N(AE146)-AE147,"")</f>
        <v/>
      </c>
      <c r="AF148" s="173">
        <f>IF(ISNUMBER(AF145),AF145+N(AF146)-AF147,"")</f>
        <v/>
      </c>
      <c r="AG148" s="173">
        <f>IF(ISNUMBER(AG145),AG145+N(AG146)-AG147,"")</f>
        <v/>
      </c>
      <c r="AH148" s="173">
        <f>IF(ISNUMBER(AH145),AH145+N(AH146)-AH147,"")</f>
        <v/>
      </c>
      <c r="AI148" s="173">
        <f>IF(ISNUMBER(AI145),AI145+N(AI146)-AI147,"")</f>
        <v/>
      </c>
      <c r="AJ148" s="173">
        <f>IF(ISNUMBER(AJ145),AJ145+N(AJ146)-AJ147,"")</f>
        <v/>
      </c>
      <c r="AK148" s="173">
        <f>IF(ISNUMBER(AK145),AK145+N(AK146)-AK147,"")</f>
        <v/>
      </c>
      <c r="AL148" s="173">
        <f>IF(ISNUMBER(AL145),AL145+N(AL146)-AL147,"")</f>
        <v/>
      </c>
      <c r="AM148" s="173">
        <f>IF(ISNUMBER(AM145),AM145+N(AM146)-AM147,"")</f>
        <v/>
      </c>
      <c r="AN148" s="173">
        <f>IF(ISNUMBER(AN145),AN145+N(AN146)-AN147,"")</f>
        <v/>
      </c>
      <c r="AO148" s="173">
        <f>IF(ISNUMBER(AO145),AO145+N(AO146)-AO147,"")</f>
        <v/>
      </c>
      <c r="AP148" s="173">
        <f>IF(ISNUMBER(AP145),AP145+N(AP146)-AP147,"")</f>
        <v/>
      </c>
      <c r="AQ148" s="173">
        <f>IF(ISNUMBER(AQ145),AQ145+N(AQ146)-AQ147,"")</f>
        <v/>
      </c>
      <c r="AR148" s="173">
        <f>IF(ISNUMBER(AR145),AR145+N(AR146)-AR147,"")</f>
        <v/>
      </c>
      <c r="AS148" s="173">
        <f>IF(ISNUMBER(AS145),AS145+N(AS146)-AS147,"")</f>
        <v/>
      </c>
      <c r="AT148" s="173">
        <f>IF(ISNUMBER(AT145),AT145+N(AT146)-AT147,"")</f>
        <v/>
      </c>
      <c r="AU148" s="173">
        <f>IF(ISNUMBER(AU145),AU145+N(AU146)-AU147,"")</f>
        <v/>
      </c>
      <c r="AV148" s="173">
        <f>IF(ISNUMBER(AV145),AV145+N(AV146)-AV147,"")</f>
        <v/>
      </c>
      <c r="AW148" s="173">
        <f>IF(ISNUMBER(AW145),AW145+N(AW146)-AW147,"")</f>
        <v/>
      </c>
      <c r="AX148" s="173">
        <f>IF(ISNUMBER(AX145),AX145+N(AX146)-AX147,"")</f>
        <v/>
      </c>
      <c r="AY148" s="173">
        <f>IF(ISNUMBER(AY145),AY145+N(AY146)-AY147,"")</f>
        <v/>
      </c>
      <c r="AZ148" s="173">
        <f>IF(ISNUMBER(AZ145),AZ145+N(AZ146)-AZ147,"")</f>
        <v/>
      </c>
      <c r="BA148" s="173">
        <f>IF(ISNUMBER(BA145),BA145+N(BA146)-BA147,"")</f>
        <v/>
      </c>
      <c r="BB148" s="173">
        <f>IF(ISNUMBER(BB145),BB145+N(BB146)-BB147,"")</f>
        <v/>
      </c>
      <c r="BC148" s="173">
        <f>IF(ISNUMBER(BC145),BC145+N(BC146)-BC147,"")</f>
        <v/>
      </c>
      <c r="BD148" s="173">
        <f>IF(ISNUMBER(BD145),BD145+N(BD146)-BD147,"")</f>
        <v/>
      </c>
      <c r="BE148" s="173">
        <f>IF(ISNUMBER(BE145),BE145+N(BE146)-BE147,"")</f>
        <v/>
      </c>
      <c r="BF148" s="173">
        <f>IF(ISNUMBER(BF145),BF145+N(BF146)-BF147,"")</f>
        <v/>
      </c>
      <c r="BG148" s="173">
        <f>IF(ISNUMBER(BG145),BG145+N(BG146)-BG147,"")</f>
        <v/>
      </c>
      <c r="BH148" s="173">
        <f>IF(ISNUMBER(BH145),BH145+N(BH146)-BH147,"")</f>
        <v/>
      </c>
      <c r="BI148" s="173">
        <f>IF(ISNUMBER(BI145),BI145+N(BI146)-BI147,"")</f>
        <v/>
      </c>
      <c r="BJ148" s="173">
        <f>IF(ISNUMBER(BJ145),BJ145+N(BJ146)-BJ147,"")</f>
        <v/>
      </c>
      <c r="BK148" s="173">
        <f>IF(ISNUMBER(BK145),BK145+N(BK146)-BK147,"")</f>
        <v/>
      </c>
      <c r="BL148" s="173">
        <f>IF(ISNUMBER(BL145),BL145+N(BL146)-BL147,"")</f>
        <v/>
      </c>
      <c r="BM148" s="173">
        <f>IF(ISNUMBER(BM145),BM145+N(BM146)-BM147,"")</f>
        <v/>
      </c>
      <c r="BN148" s="173">
        <f>IF(ISNUMBER(BN145),BN145+N(BN146)-BN147,"")</f>
        <v/>
      </c>
      <c r="BO148" s="173">
        <f>IF(ISNUMBER(BO145),BO145+N(BO146)-BO147,"")</f>
        <v/>
      </c>
      <c r="BP148" s="173">
        <f>IF(ISNUMBER(BP145),BP145+N(BP146)-BP147,"")</f>
        <v/>
      </c>
      <c r="BQ148" s="173">
        <f>IF(ISNUMBER(BQ145),BQ145+N(BQ146)-BQ147,"")</f>
        <v/>
      </c>
      <c r="BR148" s="173">
        <f>IF(ISNUMBER(BR145),BR145+N(BR146)-BR147,"")</f>
        <v/>
      </c>
      <c r="BS148" s="173">
        <f>IF(ISNUMBER(BS145),BS145+N(BS146)-BS147,"")</f>
        <v/>
      </c>
      <c r="BT148" s="173">
        <f>IF(ISNUMBER(BT145),BT145+N(BT146)-BT147,"")</f>
        <v/>
      </c>
      <c r="BU148" s="173">
        <f>IF(ISNUMBER(BU145),BU145+N(BU146)-BU147,"")</f>
        <v/>
      </c>
      <c r="BV148" s="173">
        <f>IF(ISNUMBER(BV145),BV145+N(BV146)-BV147,"")</f>
        <v/>
      </c>
      <c r="BW148" s="173">
        <f>IF(ISNUMBER(BW145),BW145+N(BW146)-BW147,"")</f>
        <v/>
      </c>
      <c r="BX148" s="173">
        <f>IF(ISNUMBER(BX145),BX145+N(BX146)-BX147,"")</f>
        <v/>
      </c>
      <c r="BY148" s="173">
        <f>IF(ISNUMBER(BY145),BY145+N(BY146)-BY147,"")</f>
        <v/>
      </c>
      <c r="BZ148" s="173">
        <f>IF(ISNUMBER(BZ145),BZ145+N(BZ146)-BZ147,"")</f>
        <v/>
      </c>
      <c r="CA148" s="173">
        <f>IF(ISNUMBER(CA145),CA145+N(CA146)-CA147,"")</f>
        <v/>
      </c>
      <c r="CB148" s="173">
        <f>IF(ISNUMBER(CB145),CB145+N(CB146)-CB147,"")</f>
        <v/>
      </c>
      <c r="CC148" s="173">
        <f>IF(ISNUMBER(CC145),CC145+N(CC146)-CC147,"")</f>
        <v/>
      </c>
      <c r="CD148" s="173">
        <f>IF(ISNUMBER(CD145),CD145+N(CD146)-CD147,"")</f>
        <v/>
      </c>
      <c r="CE148" s="173">
        <f>IF(ISNUMBER(CE145),CE145+N(CE146)-CE147,"")</f>
        <v/>
      </c>
      <c r="CF148" s="173">
        <f>IF(ISNUMBER(CF145),CF145+N(CF146)-CF147,"")</f>
        <v/>
      </c>
      <c r="CG148" s="173">
        <f>IF(ISNUMBER(CG145),CG145+N(CG146)-CG147,"")</f>
        <v/>
      </c>
      <c r="CH148" s="173">
        <f>IF(ISNUMBER(CH145),CH145+N(CH146)-CH147,"")</f>
        <v/>
      </c>
      <c r="CI148" s="173">
        <f>IF(ISNUMBER(CI145),CI145+N(CI146)-CI147,"")</f>
        <v/>
      </c>
      <c r="CJ148" s="173">
        <f>IF(ISNUMBER(CJ145),CJ145+N(CJ146)-CJ147,"")</f>
        <v/>
      </c>
      <c r="CK148" s="173">
        <f>IF(ISNUMBER(CK145),CK145+N(CK146)-CK147,"")</f>
        <v/>
      </c>
      <c r="CL148" s="173">
        <f>IF(ISNUMBER(CL145),CL145+N(CL146)-CL147,"")</f>
        <v/>
      </c>
      <c r="CM148" s="174">
        <f>IF(ISNUMBER(CM145),CM145+N(CM146)-CM147,"")</f>
        <v/>
      </c>
      <c r="CN148" s="174">
        <f>IF(ISNUMBER(CN145),CN145+N(CN146)-CN147,"")</f>
        <v/>
      </c>
      <c r="CO148" s="174">
        <f>IF(ISNUMBER(CO145),CO145+N(CO146)-CO147,"")</f>
        <v/>
      </c>
      <c r="CP148" s="174">
        <f>IF(ISNUMBER(CP145),CP145+N(CP146)-CP147,"")</f>
        <v/>
      </c>
      <c r="CQ148" s="174">
        <f>IF(ISNUMBER(CQ145),CQ145+N(CQ146)-CQ147,"")</f>
        <v/>
      </c>
      <c r="CR148" s="174">
        <f>IF(ISNUMBER(CR145),CR145+N(CR146)-CR147,"")</f>
        <v/>
      </c>
      <c r="CS148" s="174">
        <f>IF(ISNUMBER(CS145),CS145+N(CS146)-CS147,"")</f>
        <v/>
      </c>
      <c r="CT148" s="22" t="n"/>
      <c r="CV148" s="6" t="n"/>
      <c r="CW148" s="6" t="n"/>
      <c r="CX148" s="6" t="n"/>
      <c r="CY148" s="6" t="n"/>
    </row>
    <row r="149" ht="15" customHeight="1">
      <c r="B149" s="12" t="inlineStr">
        <is>
          <t>Income tax expense</t>
        </is>
      </c>
      <c r="C149" s="169" t="n">
        <v>226</v>
      </c>
      <c r="D149" s="169" t="n">
        <v>204.4</v>
      </c>
      <c r="E149" s="169" t="n">
        <v>76.7</v>
      </c>
      <c r="F149" s="169" t="n">
        <v>-37.9</v>
      </c>
      <c r="G149" s="169" t="n">
        <v>-89.7</v>
      </c>
      <c r="H149" s="169" t="n">
        <v>-78.5</v>
      </c>
      <c r="I149" s="169" t="n">
        <v>-66.5</v>
      </c>
      <c r="J149" s="169" t="n">
        <v>-38.8</v>
      </c>
      <c r="K149" s="169" t="n">
        <v>6.2</v>
      </c>
      <c r="L149" s="170">
        <f>J149+K149</f>
        <v/>
      </c>
      <c r="M149" s="169" t="n">
        <v>10.8</v>
      </c>
      <c r="N149" s="169" t="n">
        <v>-2.6</v>
      </c>
      <c r="O149" s="169" t="n">
        <v>-24.5</v>
      </c>
      <c r="P149" s="169" t="n">
        <v>22.9</v>
      </c>
      <c r="Q149" s="169" t="n">
        <v>18</v>
      </c>
      <c r="R149" s="170">
        <f>P149+Q149</f>
        <v/>
      </c>
      <c r="S149" s="169" t="n">
        <v>31.1</v>
      </c>
      <c r="T149" s="169" t="n">
        <v>19.7</v>
      </c>
      <c r="U149" s="169" t="n">
        <v>91.7</v>
      </c>
      <c r="V149" s="169" t="n">
        <v>-14.1</v>
      </c>
      <c r="W149" s="169" t="n">
        <v>19.9</v>
      </c>
      <c r="X149" s="170">
        <f>V149+W149</f>
        <v/>
      </c>
      <c r="Y149" s="169" t="n">
        <v>45.4</v>
      </c>
      <c r="Z149" s="169" t="n">
        <v>43.8</v>
      </c>
      <c r="AA149" s="169" t="n">
        <v>94.90000000000001</v>
      </c>
      <c r="AB149" s="169" t="n">
        <v>9.800000000000001</v>
      </c>
      <c r="AC149" s="169" t="n">
        <v>54.2</v>
      </c>
      <c r="AD149" s="170">
        <f>AB149+AC149</f>
        <v/>
      </c>
      <c r="AE149" s="169" t="n">
        <v>52.1</v>
      </c>
      <c r="AF149" s="169" t="n">
        <v>33.3</v>
      </c>
      <c r="AG149" s="169" t="n">
        <v>124.9</v>
      </c>
      <c r="AH149" s="169" t="n">
        <v>-3.2</v>
      </c>
      <c r="AI149" s="169" t="n">
        <v>45.7</v>
      </c>
      <c r="AJ149" s="170">
        <f>AH149+AI149</f>
        <v/>
      </c>
      <c r="AK149" s="169" t="n">
        <v>39.1</v>
      </c>
      <c r="AL149" s="169" t="n">
        <v>-313.6</v>
      </c>
      <c r="AM149" s="169" t="n">
        <v>-232.1</v>
      </c>
      <c r="AN149" s="169" t="n">
        <v>-4.9</v>
      </c>
      <c r="AO149" s="169" t="n">
        <v>40</v>
      </c>
      <c r="AP149" s="170">
        <f>AN149+AO149</f>
        <v/>
      </c>
      <c r="AQ149" s="169" t="n">
        <v>40.7</v>
      </c>
      <c r="AR149" s="169" t="n">
        <v>29.6</v>
      </c>
      <c r="AS149" s="169" t="n">
        <v>105.4</v>
      </c>
      <c r="AT149" s="169" t="n">
        <v>10.7</v>
      </c>
      <c r="AU149" s="169" t="n">
        <v>47.6</v>
      </c>
      <c r="AV149" s="170">
        <f>AT149+AU149</f>
        <v/>
      </c>
      <c r="AW149" s="169" t="n">
        <v>53.5</v>
      </c>
      <c r="AX149" s="169" t="n">
        <v>23.4</v>
      </c>
      <c r="AY149" s="169" t="n">
        <v>135.2</v>
      </c>
      <c r="AZ149" s="169" t="n">
        <v>12.2</v>
      </c>
      <c r="BA149" s="169" t="n">
        <v>61.4</v>
      </c>
      <c r="BB149" s="170">
        <f>AZ149+BA149</f>
        <v/>
      </c>
      <c r="BC149" s="169" t="n">
        <v>57</v>
      </c>
      <c r="BD149" s="169" t="n">
        <v>25.3</v>
      </c>
      <c r="BE149" s="169" t="n">
        <v>155.8</v>
      </c>
      <c r="BF149" s="169" t="n">
        <v>60.6</v>
      </c>
      <c r="BG149" s="169" t="n">
        <v>57.3</v>
      </c>
      <c r="BH149" s="170">
        <f>BF149+BG149</f>
        <v/>
      </c>
      <c r="BI149" s="169" t="n">
        <v>51.8</v>
      </c>
      <c r="BJ149" s="169" t="n">
        <v>30.4</v>
      </c>
      <c r="BK149" s="169" t="n">
        <v>200.1</v>
      </c>
      <c r="BL149" s="169" t="n">
        <v>18.7</v>
      </c>
      <c r="BM149" s="169" t="n">
        <v>63.7</v>
      </c>
      <c r="BN149" s="170">
        <f>BL149+BM149</f>
        <v/>
      </c>
      <c r="BO149" s="169" t="n">
        <v>82.3</v>
      </c>
      <c r="BP149" s="169" t="n">
        <v>28.5</v>
      </c>
      <c r="BQ149" s="169" t="n">
        <v>193</v>
      </c>
      <c r="BR149" s="169" t="n">
        <v>16.6</v>
      </c>
      <c r="BS149" s="169" t="n">
        <v>92</v>
      </c>
      <c r="BT149" s="170">
        <f>BR149+BS149</f>
        <v/>
      </c>
      <c r="BU149" s="169" t="n">
        <v>85.8</v>
      </c>
      <c r="BV149" s="169" t="n">
        <v>105</v>
      </c>
      <c r="BW149" s="169" t="n">
        <v>299.4</v>
      </c>
      <c r="BX149" s="169" t="n">
        <v>28.9</v>
      </c>
      <c r="BY149" s="169" t="n">
        <v>94.40000000000001</v>
      </c>
      <c r="BZ149" s="170">
        <f>BX149+BY149</f>
        <v/>
      </c>
      <c r="CA149" s="169" t="n">
        <v>85.2</v>
      </c>
      <c r="CB149" s="169" t="n">
        <v>42.9</v>
      </c>
      <c r="CC149" s="169" t="n">
        <v>251.4</v>
      </c>
      <c r="CD149" s="169" t="n">
        <v>33.8</v>
      </c>
      <c r="CE149" s="169" t="n">
        <v>91.3</v>
      </c>
      <c r="CF149" s="170">
        <f>CD149+CE149</f>
        <v/>
      </c>
      <c r="CG149" s="169" t="n">
        <v>112.4</v>
      </c>
      <c r="CH149" s="169" t="n">
        <v>70</v>
      </c>
      <c r="CI149" s="169" t="n">
        <v>307.5</v>
      </c>
      <c r="CJ149" s="169" t="n">
        <v>45.9</v>
      </c>
      <c r="CK149" s="169" t="n">
        <v>81.40000000000001</v>
      </c>
      <c r="CL149" s="170">
        <f>CJ149+CK149</f>
        <v/>
      </c>
      <c r="CM149" s="171">
        <f>CM148*$DD$20</f>
        <v/>
      </c>
      <c r="CN149" s="171">
        <f>CN148*$DD$20</f>
        <v/>
      </c>
      <c r="CO149" s="171">
        <f>SUM(CJ149,CK149,CM149,CN149)</f>
        <v/>
      </c>
      <c r="CP149" s="171">
        <f>CP148*CP150</f>
        <v/>
      </c>
      <c r="CQ149" s="171">
        <f>CQ148*CQ150</f>
        <v/>
      </c>
      <c r="CR149" s="171">
        <f>CR148*CR150</f>
        <v/>
      </c>
      <c r="CS149" s="171">
        <f>CS148*CS150</f>
        <v/>
      </c>
      <c r="CT149" s="22" t="inlineStr">
        <is>
          <t>Q3/Q4-26E at the tax rate implied by the FY26 outlook bridge; 2027E+ input ETR.</t>
        </is>
      </c>
      <c r="CV149" s="23" t="n"/>
      <c r="CW149" s="23" t="n"/>
      <c r="CX149" s="23" t="n"/>
      <c r="CY149" s="23" t="n"/>
    </row>
    <row r="150" ht="15" customHeight="1">
      <c r="B150" s="25" t="inlineStr">
        <is>
          <t xml:space="preserve">  Effective tax rate</t>
        </is>
      </c>
      <c r="C150" s="179">
        <f>IFERROR(C149/C148,"")</f>
        <v/>
      </c>
      <c r="D150" s="179">
        <f>IFERROR(D149/D148,"")</f>
        <v/>
      </c>
      <c r="E150" s="179">
        <f>IFERROR(E149/E148,"")</f>
        <v/>
      </c>
      <c r="F150" s="179">
        <f>IFERROR(F149/F148,"")</f>
        <v/>
      </c>
      <c r="G150" s="179">
        <f>IFERROR(G149/G148,"")</f>
        <v/>
      </c>
      <c r="H150" s="179">
        <f>IFERROR(H149/H148,"")</f>
        <v/>
      </c>
      <c r="I150" s="179">
        <f>IFERROR(I149/I148,"")</f>
        <v/>
      </c>
      <c r="J150" s="179">
        <f>IFERROR(J149/J148,"")</f>
        <v/>
      </c>
      <c r="K150" s="179">
        <f>IFERROR(K149/K148,"")</f>
        <v/>
      </c>
      <c r="L150" s="179">
        <f>IFERROR(L149/L148,"")</f>
        <v/>
      </c>
      <c r="M150" s="179">
        <f>IFERROR(M149/M148,"")</f>
        <v/>
      </c>
      <c r="N150" s="179">
        <f>IFERROR(N149/N148,"")</f>
        <v/>
      </c>
      <c r="O150" s="179">
        <f>IFERROR(O149/O148,"")</f>
        <v/>
      </c>
      <c r="P150" s="179">
        <f>IFERROR(P149/P148,"")</f>
        <v/>
      </c>
      <c r="Q150" s="179">
        <f>IFERROR(Q149/Q148,"")</f>
        <v/>
      </c>
      <c r="R150" s="179">
        <f>IFERROR(R149/R148,"")</f>
        <v/>
      </c>
      <c r="S150" s="179">
        <f>IFERROR(S149/S148,"")</f>
        <v/>
      </c>
      <c r="T150" s="179">
        <f>IFERROR(T149/T148,"")</f>
        <v/>
      </c>
      <c r="U150" s="179">
        <f>IFERROR(U149/U148,"")</f>
        <v/>
      </c>
      <c r="V150" s="179">
        <f>IFERROR(V149/V148,"")</f>
        <v/>
      </c>
      <c r="W150" s="179">
        <f>IFERROR(W149/W148,"")</f>
        <v/>
      </c>
      <c r="X150" s="179">
        <f>IFERROR(X149/X148,"")</f>
        <v/>
      </c>
      <c r="Y150" s="179">
        <f>IFERROR(Y149/Y148,"")</f>
        <v/>
      </c>
      <c r="Z150" s="179">
        <f>IFERROR(Z149/Z148,"")</f>
        <v/>
      </c>
      <c r="AA150" s="179">
        <f>IFERROR(AA149/AA148,"")</f>
        <v/>
      </c>
      <c r="AB150" s="179">
        <f>IFERROR(AB149/AB148,"")</f>
        <v/>
      </c>
      <c r="AC150" s="179">
        <f>IFERROR(AC149/AC148,"")</f>
        <v/>
      </c>
      <c r="AD150" s="179">
        <f>IFERROR(AD149/AD148,"")</f>
        <v/>
      </c>
      <c r="AE150" s="179">
        <f>IFERROR(AE149/AE148,"")</f>
        <v/>
      </c>
      <c r="AF150" s="179">
        <f>IFERROR(AF149/AF148,"")</f>
        <v/>
      </c>
      <c r="AG150" s="179">
        <f>IFERROR(AG149/AG148,"")</f>
        <v/>
      </c>
      <c r="AH150" s="179">
        <f>IFERROR(AH149/AH148,"")</f>
        <v/>
      </c>
      <c r="AI150" s="179">
        <f>IFERROR(AI149/AI148,"")</f>
        <v/>
      </c>
      <c r="AJ150" s="179">
        <f>IFERROR(AJ149/AJ148,"")</f>
        <v/>
      </c>
      <c r="AK150" s="179">
        <f>IFERROR(AK149/AK148,"")</f>
        <v/>
      </c>
      <c r="AL150" s="179">
        <f>IFERROR(AL149/AL148,"")</f>
        <v/>
      </c>
      <c r="AM150" s="179">
        <f>IFERROR(AM149/AM148,"")</f>
        <v/>
      </c>
      <c r="AN150" s="179">
        <f>IFERROR(AN149/AN148,"")</f>
        <v/>
      </c>
      <c r="AO150" s="179">
        <f>IFERROR(AO149/AO148,"")</f>
        <v/>
      </c>
      <c r="AP150" s="179">
        <f>IFERROR(AP149/AP148,"")</f>
        <v/>
      </c>
      <c r="AQ150" s="179">
        <f>IFERROR(AQ149/AQ148,"")</f>
        <v/>
      </c>
      <c r="AR150" s="179">
        <f>IFERROR(AR149/AR148,"")</f>
        <v/>
      </c>
      <c r="AS150" s="179">
        <f>IFERROR(AS149/AS148,"")</f>
        <v/>
      </c>
      <c r="AT150" s="179">
        <f>IFERROR(AT149/AT148,"")</f>
        <v/>
      </c>
      <c r="AU150" s="179">
        <f>IFERROR(AU149/AU148,"")</f>
        <v/>
      </c>
      <c r="AV150" s="179">
        <f>IFERROR(AV149/AV148,"")</f>
        <v/>
      </c>
      <c r="AW150" s="179">
        <f>IFERROR(AW149/AW148,"")</f>
        <v/>
      </c>
      <c r="AX150" s="179">
        <f>IFERROR(AX149/AX148,"")</f>
        <v/>
      </c>
      <c r="AY150" s="179">
        <f>IFERROR(AY149/AY148,"")</f>
        <v/>
      </c>
      <c r="AZ150" s="179">
        <f>IFERROR(AZ149/AZ148,"")</f>
        <v/>
      </c>
      <c r="BA150" s="179">
        <f>IFERROR(BA149/BA148,"")</f>
        <v/>
      </c>
      <c r="BB150" s="179">
        <f>IFERROR(BB149/BB148,"")</f>
        <v/>
      </c>
      <c r="BC150" s="179">
        <f>IFERROR(BC149/BC148,"")</f>
        <v/>
      </c>
      <c r="BD150" s="179">
        <f>IFERROR(BD149/BD148,"")</f>
        <v/>
      </c>
      <c r="BE150" s="179">
        <f>IFERROR(BE149/BE148,"")</f>
        <v/>
      </c>
      <c r="BF150" s="179">
        <f>IFERROR(BF149/BF148,"")</f>
        <v/>
      </c>
      <c r="BG150" s="179">
        <f>IFERROR(BG149/BG148,"")</f>
        <v/>
      </c>
      <c r="BH150" s="179">
        <f>IFERROR(BH149/BH148,"")</f>
        <v/>
      </c>
      <c r="BI150" s="179">
        <f>IFERROR(BI149/BI148,"")</f>
        <v/>
      </c>
      <c r="BJ150" s="179">
        <f>IFERROR(BJ149/BJ148,"")</f>
        <v/>
      </c>
      <c r="BK150" s="179">
        <f>IFERROR(BK149/BK148,"")</f>
        <v/>
      </c>
      <c r="BL150" s="179">
        <f>IFERROR(BL149/BL148,"")</f>
        <v/>
      </c>
      <c r="BM150" s="179">
        <f>IFERROR(BM149/BM148,"")</f>
        <v/>
      </c>
      <c r="BN150" s="179">
        <f>IFERROR(BN149/BN148,"")</f>
        <v/>
      </c>
      <c r="BO150" s="179">
        <f>IFERROR(BO149/BO148,"")</f>
        <v/>
      </c>
      <c r="BP150" s="179">
        <f>IFERROR(BP149/BP148,"")</f>
        <v/>
      </c>
      <c r="BQ150" s="179">
        <f>IFERROR(BQ149/BQ148,"")</f>
        <v/>
      </c>
      <c r="BR150" s="179">
        <f>IFERROR(BR149/BR148,"")</f>
        <v/>
      </c>
      <c r="BS150" s="179">
        <f>IFERROR(BS149/BS148,"")</f>
        <v/>
      </c>
      <c r="BT150" s="179">
        <f>IFERROR(BT149/BT148,"")</f>
        <v/>
      </c>
      <c r="BU150" s="179">
        <f>IFERROR(BU149/BU148,"")</f>
        <v/>
      </c>
      <c r="BV150" s="179">
        <f>IFERROR(BV149/BV148,"")</f>
        <v/>
      </c>
      <c r="BW150" s="179">
        <f>IFERROR(BW149/BW148,"")</f>
        <v/>
      </c>
      <c r="BX150" s="179">
        <f>IFERROR(BX149/BX148,"")</f>
        <v/>
      </c>
      <c r="BY150" s="179">
        <f>IFERROR(BY149/BY148,"")</f>
        <v/>
      </c>
      <c r="BZ150" s="179">
        <f>IFERROR(BZ149/BZ148,"")</f>
        <v/>
      </c>
      <c r="CA150" s="179">
        <f>IFERROR(CA149/CA148,"")</f>
        <v/>
      </c>
      <c r="CB150" s="179">
        <f>IFERROR(CB149/CB148,"")</f>
        <v/>
      </c>
      <c r="CC150" s="179">
        <f>IFERROR(CC149/CC148,"")</f>
        <v/>
      </c>
      <c r="CD150" s="179">
        <f>IFERROR(CD149/CD148,"")</f>
        <v/>
      </c>
      <c r="CE150" s="179">
        <f>IFERROR(CE149/CE148,"")</f>
        <v/>
      </c>
      <c r="CF150" s="179">
        <f>IFERROR(CF149/CF148,"")</f>
        <v/>
      </c>
      <c r="CG150" s="179">
        <f>IFERROR(CG149/CG148,"")</f>
        <v/>
      </c>
      <c r="CH150" s="179">
        <f>IFERROR(CH149/CH148,"")</f>
        <v/>
      </c>
      <c r="CI150" s="179">
        <f>IFERROR(CI149/CI148,"")</f>
        <v/>
      </c>
      <c r="CJ150" s="179">
        <f>IFERROR(CJ149/CJ148,"")</f>
        <v/>
      </c>
      <c r="CK150" s="179">
        <f>IFERROR(CK149/CK148,"")</f>
        <v/>
      </c>
      <c r="CL150" s="179">
        <f>IFERROR(CL149/CL148,"")</f>
        <v/>
      </c>
      <c r="CM150" s="165">
        <f>IFERROR(CM149/CM148,"")</f>
        <v/>
      </c>
      <c r="CN150" s="165">
        <f>IFERROR(CN149/CN148,"")</f>
        <v/>
      </c>
      <c r="CO150" s="165">
        <f>IFERROR(CO149/CO148,"")</f>
        <v/>
      </c>
      <c r="CP150" s="182" t="n">
        <v>0.22</v>
      </c>
      <c r="CQ150" s="182" t="n">
        <v>0.22</v>
      </c>
      <c r="CR150" s="182" t="n">
        <v>0.22</v>
      </c>
      <c r="CS150" s="182" t="n">
        <v>0.22</v>
      </c>
      <c r="CT150" s="22" t="n"/>
      <c r="CV150" s="40">
        <f>IFERROR(AVERAGE(CO150,CP150,CQ150,CR150,CS150),"n/m")</f>
        <v/>
      </c>
      <c r="CW150" s="40">
        <f>IFERROR(AVERAGE(BK150,BQ150,BW150,CC150,CI150),"n/m")</f>
        <v/>
      </c>
      <c r="CX150" s="40">
        <f>IFERROR(AVERAGE(AG150,AM150,AS150,AY150,BE150,BK150,BQ150,BW150,CC150,CI150),"n/m")</f>
        <v/>
      </c>
      <c r="CY150" s="40">
        <f>IFERROR(AVERAGE(C150,D150,E150,F150,G150,H150,I150,O150,U150,AA150,AG150,AM150,AS150,AY150,BE150,BK150,BQ150,BW150,CC150,CI150),"n/m")</f>
        <v/>
      </c>
    </row>
    <row r="151" ht="15" customHeight="1">
      <c r="B151" s="18" t="inlineStr">
        <is>
          <t>Earnings from continuing operations</t>
        </is>
      </c>
      <c r="C151" s="173">
        <f>IF(ISNUMBER(C148),C148-C149,"")</f>
        <v/>
      </c>
      <c r="D151" s="173">
        <f>IF(ISNUMBER(D148),D148-D149,"")</f>
        <v/>
      </c>
      <c r="E151" s="173">
        <f>IF(ISNUMBER(E148),E148-E149,"")</f>
        <v/>
      </c>
      <c r="F151" s="173">
        <f>IF(ISNUMBER(F148),F148-F149,"")</f>
        <v/>
      </c>
      <c r="G151" s="173">
        <f>IF(ISNUMBER(G148),G148-G149,"")</f>
        <v/>
      </c>
      <c r="H151" s="173">
        <f>IF(ISNUMBER(H148),H148-H149,"")</f>
        <v/>
      </c>
      <c r="I151" s="173">
        <f>IF(ISNUMBER(I148),I148-I149,"")</f>
        <v/>
      </c>
      <c r="J151" s="173">
        <f>IF(ISNUMBER(J148),J148-J149,"")</f>
        <v/>
      </c>
      <c r="K151" s="173">
        <f>IF(ISNUMBER(K148),K148-K149,"")</f>
        <v/>
      </c>
      <c r="L151" s="173">
        <f>IF(ISNUMBER(L148),L148-L149,"")</f>
        <v/>
      </c>
      <c r="M151" s="173">
        <f>IF(ISNUMBER(M148),M148-M149,"")</f>
        <v/>
      </c>
      <c r="N151" s="173">
        <f>IF(ISNUMBER(N148),N148-N149,"")</f>
        <v/>
      </c>
      <c r="O151" s="173">
        <f>IF(ISNUMBER(O148),O148-O149,"")</f>
        <v/>
      </c>
      <c r="P151" s="173">
        <f>IF(ISNUMBER(P148),P148-P149,"")</f>
        <v/>
      </c>
      <c r="Q151" s="173">
        <f>IF(ISNUMBER(Q148),Q148-Q149,"")</f>
        <v/>
      </c>
      <c r="R151" s="173">
        <f>IF(ISNUMBER(R148),R148-R149,"")</f>
        <v/>
      </c>
      <c r="S151" s="173">
        <f>IF(ISNUMBER(S148),S148-S149,"")</f>
        <v/>
      </c>
      <c r="T151" s="173">
        <f>IF(ISNUMBER(T148),T148-T149,"")</f>
        <v/>
      </c>
      <c r="U151" s="173">
        <f>IF(ISNUMBER(U148),U148-U149,"")</f>
        <v/>
      </c>
      <c r="V151" s="173">
        <f>IF(ISNUMBER(V148),V148-V149,"")</f>
        <v/>
      </c>
      <c r="W151" s="173">
        <f>IF(ISNUMBER(W148),W148-W149,"")</f>
        <v/>
      </c>
      <c r="X151" s="173">
        <f>IF(ISNUMBER(X148),X148-X149,"")</f>
        <v/>
      </c>
      <c r="Y151" s="173">
        <f>IF(ISNUMBER(Y148),Y148-Y149,"")</f>
        <v/>
      </c>
      <c r="Z151" s="173">
        <f>IF(ISNUMBER(Z148),Z148-Z149,"")</f>
        <v/>
      </c>
      <c r="AA151" s="173">
        <f>IF(ISNUMBER(AA148),AA148-AA149,"")</f>
        <v/>
      </c>
      <c r="AB151" s="173">
        <f>IF(ISNUMBER(AB148),AB148-AB149,"")</f>
        <v/>
      </c>
      <c r="AC151" s="173">
        <f>IF(ISNUMBER(AC148),AC148-AC149,"")</f>
        <v/>
      </c>
      <c r="AD151" s="173">
        <f>IF(ISNUMBER(AD148),AD148-AD149,"")</f>
        <v/>
      </c>
      <c r="AE151" s="173">
        <f>IF(ISNUMBER(AE148),AE148-AE149,"")</f>
        <v/>
      </c>
      <c r="AF151" s="173">
        <f>IF(ISNUMBER(AF148),AF148-AF149,"")</f>
        <v/>
      </c>
      <c r="AG151" s="173">
        <f>IF(ISNUMBER(AG148),AG148-AG149,"")</f>
        <v/>
      </c>
      <c r="AH151" s="173">
        <f>IF(ISNUMBER(AH148),AH148-AH149,"")</f>
        <v/>
      </c>
      <c r="AI151" s="173">
        <f>IF(ISNUMBER(AI148),AI148-AI149,"")</f>
        <v/>
      </c>
      <c r="AJ151" s="173">
        <f>IF(ISNUMBER(AJ148),AJ148-AJ149,"")</f>
        <v/>
      </c>
      <c r="AK151" s="173">
        <f>IF(ISNUMBER(AK148),AK148-AK149,"")</f>
        <v/>
      </c>
      <c r="AL151" s="173">
        <f>IF(ISNUMBER(AL148),AL148-AL149,"")</f>
        <v/>
      </c>
      <c r="AM151" s="173">
        <f>IF(ISNUMBER(AM148),AM148-AM149,"")</f>
        <v/>
      </c>
      <c r="AN151" s="173">
        <f>IF(ISNUMBER(AN148),AN148-AN149,"")</f>
        <v/>
      </c>
      <c r="AO151" s="173">
        <f>IF(ISNUMBER(AO148),AO148-AO149,"")</f>
        <v/>
      </c>
      <c r="AP151" s="173">
        <f>IF(ISNUMBER(AP148),AP148-AP149,"")</f>
        <v/>
      </c>
      <c r="AQ151" s="173">
        <f>IF(ISNUMBER(AQ148),AQ148-AQ149,"")</f>
        <v/>
      </c>
      <c r="AR151" s="173">
        <f>IF(ISNUMBER(AR148),AR148-AR149,"")</f>
        <v/>
      </c>
      <c r="AS151" s="173">
        <f>IF(ISNUMBER(AS148),AS148-AS149,"")</f>
        <v/>
      </c>
      <c r="AT151" s="173">
        <f>IF(ISNUMBER(AT148),AT148-AT149,"")</f>
        <v/>
      </c>
      <c r="AU151" s="173">
        <f>IF(ISNUMBER(AU148),AU148-AU149,"")</f>
        <v/>
      </c>
      <c r="AV151" s="173">
        <f>IF(ISNUMBER(AV148),AV148-AV149,"")</f>
        <v/>
      </c>
      <c r="AW151" s="173">
        <f>IF(ISNUMBER(AW148),AW148-AW149,"")</f>
        <v/>
      </c>
      <c r="AX151" s="173">
        <f>IF(ISNUMBER(AX148),AX148-AX149,"")</f>
        <v/>
      </c>
      <c r="AY151" s="173">
        <f>IF(ISNUMBER(AY148),AY148-AY149,"")</f>
        <v/>
      </c>
      <c r="AZ151" s="173">
        <f>IF(ISNUMBER(AZ148),AZ148-AZ149,"")</f>
        <v/>
      </c>
      <c r="BA151" s="173">
        <f>IF(ISNUMBER(BA148),BA148-BA149,"")</f>
        <v/>
      </c>
      <c r="BB151" s="173">
        <f>IF(ISNUMBER(BB148),BB148-BB149,"")</f>
        <v/>
      </c>
      <c r="BC151" s="173">
        <f>IF(ISNUMBER(BC148),BC148-BC149,"")</f>
        <v/>
      </c>
      <c r="BD151" s="173">
        <f>IF(ISNUMBER(BD148),BD148-BD149,"")</f>
        <v/>
      </c>
      <c r="BE151" s="173">
        <f>IF(ISNUMBER(BE148),BE148-BE149,"")</f>
        <v/>
      </c>
      <c r="BF151" s="173">
        <f>IF(ISNUMBER(BF148),BF148-BF149,"")</f>
        <v/>
      </c>
      <c r="BG151" s="173">
        <f>IF(ISNUMBER(BG148),BG148-BG149,"")</f>
        <v/>
      </c>
      <c r="BH151" s="173">
        <f>IF(ISNUMBER(BH148),BH148-BH149,"")</f>
        <v/>
      </c>
      <c r="BI151" s="173">
        <f>IF(ISNUMBER(BI148),BI148-BI149,"")</f>
        <v/>
      </c>
      <c r="BJ151" s="173">
        <f>IF(ISNUMBER(BJ148),BJ148-BJ149,"")</f>
        <v/>
      </c>
      <c r="BK151" s="173">
        <f>IF(ISNUMBER(BK148),BK148-BK149,"")</f>
        <v/>
      </c>
      <c r="BL151" s="173">
        <f>IF(ISNUMBER(BL148),BL148-BL149,"")</f>
        <v/>
      </c>
      <c r="BM151" s="173">
        <f>IF(ISNUMBER(BM148),BM148-BM149,"")</f>
        <v/>
      </c>
      <c r="BN151" s="173">
        <f>IF(ISNUMBER(BN148),BN148-BN149,"")</f>
        <v/>
      </c>
      <c r="BO151" s="173">
        <f>IF(ISNUMBER(BO148),BO148-BO149,"")</f>
        <v/>
      </c>
      <c r="BP151" s="173">
        <f>IF(ISNUMBER(BP148),BP148-BP149,"")</f>
        <v/>
      </c>
      <c r="BQ151" s="173">
        <f>IF(ISNUMBER(BQ148),BQ148-BQ149,"")</f>
        <v/>
      </c>
      <c r="BR151" s="173">
        <f>IF(ISNUMBER(BR148),BR148-BR149,"")</f>
        <v/>
      </c>
      <c r="BS151" s="173">
        <f>IF(ISNUMBER(BS148),BS148-BS149,"")</f>
        <v/>
      </c>
      <c r="BT151" s="173">
        <f>IF(ISNUMBER(BT148),BT148-BT149,"")</f>
        <v/>
      </c>
      <c r="BU151" s="173">
        <f>IF(ISNUMBER(BU148),BU148-BU149,"")</f>
        <v/>
      </c>
      <c r="BV151" s="173">
        <f>IF(ISNUMBER(BV148),BV148-BV149,"")</f>
        <v/>
      </c>
      <c r="BW151" s="173">
        <f>IF(ISNUMBER(BW148),BW148-BW149,"")</f>
        <v/>
      </c>
      <c r="BX151" s="173">
        <f>IF(ISNUMBER(BX148),BX148-BX149,"")</f>
        <v/>
      </c>
      <c r="BY151" s="173">
        <f>IF(ISNUMBER(BY148),BY148-BY149,"")</f>
        <v/>
      </c>
      <c r="BZ151" s="173">
        <f>IF(ISNUMBER(BZ148),BZ148-BZ149,"")</f>
        <v/>
      </c>
      <c r="CA151" s="173">
        <f>IF(ISNUMBER(CA148),CA148-CA149,"")</f>
        <v/>
      </c>
      <c r="CB151" s="173">
        <f>IF(ISNUMBER(CB148),CB148-CB149,"")</f>
        <v/>
      </c>
      <c r="CC151" s="173">
        <f>IF(ISNUMBER(CC148),CC148-CC149,"")</f>
        <v/>
      </c>
      <c r="CD151" s="173">
        <f>IF(ISNUMBER(CD148),CD148-CD149,"")</f>
        <v/>
      </c>
      <c r="CE151" s="173">
        <f>IF(ISNUMBER(CE148),CE148-CE149,"")</f>
        <v/>
      </c>
      <c r="CF151" s="173">
        <f>IF(ISNUMBER(CF148),CF148-CF149,"")</f>
        <v/>
      </c>
      <c r="CG151" s="173">
        <f>IF(ISNUMBER(CG148),CG148-CG149,"")</f>
        <v/>
      </c>
      <c r="CH151" s="173">
        <f>IF(ISNUMBER(CH148),CH148-CH149,"")</f>
        <v/>
      </c>
      <c r="CI151" s="173">
        <f>IF(ISNUMBER(CI148),CI148-CI149,"")</f>
        <v/>
      </c>
      <c r="CJ151" s="173">
        <f>IF(ISNUMBER(CJ148),CJ148-CJ149,"")</f>
        <v/>
      </c>
      <c r="CK151" s="173">
        <f>IF(ISNUMBER(CK148),CK148-CK149,"")</f>
        <v/>
      </c>
      <c r="CL151" s="173">
        <f>IF(ISNUMBER(CL148),CL148-CL149,"")</f>
        <v/>
      </c>
      <c r="CM151" s="174">
        <f>IF(ISNUMBER(CM148),CM148-CM149,"")</f>
        <v/>
      </c>
      <c r="CN151" s="174">
        <f>IF(ISNUMBER(CN148),CN148-CN149,"")</f>
        <v/>
      </c>
      <c r="CO151" s="174">
        <f>IF(ISNUMBER(CO148),CO148-CO149,"")</f>
        <v/>
      </c>
      <c r="CP151" s="174">
        <f>IF(ISNUMBER(CP148),CP148-CP149,"")</f>
        <v/>
      </c>
      <c r="CQ151" s="174">
        <f>IF(ISNUMBER(CQ148),CQ148-CQ149,"")</f>
        <v/>
      </c>
      <c r="CR151" s="174">
        <f>IF(ISNUMBER(CR148),CR148-CR149,"")</f>
        <v/>
      </c>
      <c r="CS151" s="174">
        <f>IF(ISNUMBER(CS148),CS148-CS149,"")</f>
        <v/>
      </c>
      <c r="CT151" s="22" t="n"/>
      <c r="CV151" s="6" t="n"/>
      <c r="CW151" s="6" t="n"/>
      <c r="CX151" s="6" t="n"/>
      <c r="CY151" s="6" t="n"/>
    </row>
    <row r="152" ht="15" customHeight="1">
      <c r="B152" s="12" t="inlineStr">
        <is>
          <t>Earnings (loss) on discontinued operations, net of tax</t>
        </is>
      </c>
      <c r="C152" s="169" t="n">
        <v>-10</v>
      </c>
      <c r="D152" s="169" t="n">
        <v>-12.2</v>
      </c>
      <c r="E152" s="169" t="n">
        <v>-2.4</v>
      </c>
      <c r="F152" s="169" t="n">
        <v>11.7</v>
      </c>
      <c r="G152" s="169" t="n">
        <v>6.1</v>
      </c>
      <c r="H152" s="169" t="n">
        <v>4.5</v>
      </c>
      <c r="I152" s="169" t="n">
        <v>1.3</v>
      </c>
      <c r="J152" s="169" t="n">
        <v>6.8</v>
      </c>
      <c r="K152" s="169" t="n">
        <v>-1.4</v>
      </c>
      <c r="L152" s="170">
        <f>J152+K152</f>
        <v/>
      </c>
      <c r="M152" s="169" t="n">
        <v>-0.8</v>
      </c>
      <c r="N152" s="169" t="n">
        <v>-1</v>
      </c>
      <c r="O152" s="169" t="n">
        <v>3.6</v>
      </c>
      <c r="P152" s="169" t="n">
        <v>-0.5</v>
      </c>
      <c r="Q152" s="169" t="n">
        <v>-0.5</v>
      </c>
      <c r="R152" s="170">
        <f>P152+Q152</f>
        <v/>
      </c>
      <c r="S152" s="169" t="n">
        <v>-0.8</v>
      </c>
      <c r="T152" s="169" t="n">
        <v>-0.3</v>
      </c>
      <c r="U152" s="169" t="n">
        <v>-2.2</v>
      </c>
      <c r="V152" s="169" t="n">
        <v>-3</v>
      </c>
      <c r="W152" s="169" t="n">
        <v>-1.7</v>
      </c>
      <c r="X152" s="170">
        <f>V152+W152</f>
        <v/>
      </c>
      <c r="Y152" s="169" t="n">
        <v>-2.4</v>
      </c>
      <c r="Z152" s="169" t="n">
        <v>-4.7</v>
      </c>
      <c r="AA152" s="169" t="n">
        <v>-11.7</v>
      </c>
      <c r="AB152" s="169" t="n">
        <v>-1.8</v>
      </c>
      <c r="AC152" s="169" t="n">
        <v>-2.5</v>
      </c>
      <c r="AD152" s="170">
        <f>AB152+AC152</f>
        <v/>
      </c>
      <c r="AE152" s="169" t="n">
        <v>-3.1</v>
      </c>
      <c r="AF152" s="169" t="n">
        <v>4.5</v>
      </c>
      <c r="AG152" s="169" t="n">
        <v>-2.9</v>
      </c>
      <c r="AH152" s="169" t="n">
        <v>1.4</v>
      </c>
      <c r="AI152" s="169" t="n">
        <v>8.4</v>
      </c>
      <c r="AJ152" s="170">
        <f>AH152+AI152</f>
        <v/>
      </c>
      <c r="AK152" s="169" t="n">
        <v>-1.6</v>
      </c>
      <c r="AL152" s="169" t="n">
        <v>-0.4</v>
      </c>
      <c r="AM152" s="169" t="n">
        <v>7.8</v>
      </c>
      <c r="AN152" s="169" t="n">
        <v>-0.4</v>
      </c>
      <c r="AO152" s="169" t="n">
        <v>-0.7</v>
      </c>
      <c r="AP152" s="170">
        <f>AN152+AO152</f>
        <v/>
      </c>
      <c r="AQ152" s="169" t="n">
        <v>-0.7</v>
      </c>
      <c r="AR152" s="169" t="n">
        <v>-0.3</v>
      </c>
      <c r="AS152" s="169" t="n">
        <v>-2</v>
      </c>
      <c r="AT152" s="169" t="n">
        <v>-0.6</v>
      </c>
      <c r="AU152" s="169" t="n">
        <v>-0.3</v>
      </c>
      <c r="AV152" s="170">
        <f>AT152+AU152</f>
        <v/>
      </c>
      <c r="AW152" s="169" t="n">
        <v>-2.4</v>
      </c>
      <c r="AX152" s="169" t="n">
        <v>-1.5</v>
      </c>
      <c r="AY152" s="169" t="n">
        <v>-4.8</v>
      </c>
      <c r="AZ152" s="169" t="n">
        <v>0.3</v>
      </c>
      <c r="BA152" s="169" t="n">
        <v>-1</v>
      </c>
      <c r="BB152" s="170">
        <f>AZ152+BA152</f>
        <v/>
      </c>
      <c r="BC152" s="169" t="n">
        <v>-1.3</v>
      </c>
      <c r="BD152" s="169" t="n">
        <v>-1.4</v>
      </c>
      <c r="BE152" s="169" t="n">
        <v>-3.5</v>
      </c>
      <c r="BF152" s="169" t="n">
        <v>-1.1</v>
      </c>
      <c r="BG152" s="169" t="n">
        <v>-1.4</v>
      </c>
      <c r="BH152" s="170">
        <f>BF152+BG152</f>
        <v/>
      </c>
      <c r="BI152" s="169" t="n">
        <v>-0.2</v>
      </c>
      <c r="BJ152" s="169" t="n">
        <v>-0.7</v>
      </c>
      <c r="BK152" s="169" t="n">
        <v>-3.3</v>
      </c>
      <c r="BL152" s="169" t="n">
        <v>-1.8</v>
      </c>
      <c r="BM152" s="169" t="n">
        <v>-13.1</v>
      </c>
      <c r="BN152" s="170">
        <f>BL152+BM152</f>
        <v/>
      </c>
      <c r="BO152" s="169" t="n">
        <v>-1.2</v>
      </c>
      <c r="BP152" s="169" t="n">
        <v>-2.5</v>
      </c>
      <c r="BQ152" s="169" t="n">
        <v>-18.6</v>
      </c>
      <c r="BR152" s="169" t="n">
        <v>-2.1</v>
      </c>
      <c r="BS152" s="169" t="n">
        <v>-3.7</v>
      </c>
      <c r="BT152" s="170">
        <f>BR152+BS152</f>
        <v/>
      </c>
      <c r="BU152" s="169" t="n">
        <v>-2.8</v>
      </c>
      <c r="BV152" s="169" t="n">
        <v>-2.2</v>
      </c>
      <c r="BW152" s="169" t="n">
        <v>-10.8</v>
      </c>
      <c r="BX152" s="169" t="n">
        <v>-1.7</v>
      </c>
      <c r="BY152" s="169" t="n">
        <v>-2</v>
      </c>
      <c r="BZ152" s="170">
        <f>BX152+BY152</f>
        <v/>
      </c>
      <c r="CA152" s="169" t="n">
        <v>-1.3</v>
      </c>
      <c r="CB152" s="169" t="n">
        <v>-2.6</v>
      </c>
      <c r="CC152" s="169" t="n">
        <v>-7.6</v>
      </c>
      <c r="CD152" s="169" t="n">
        <v>-0.9</v>
      </c>
      <c r="CE152" s="169" t="n">
        <v>-2.1</v>
      </c>
      <c r="CF152" s="170">
        <f>CD152+CE152</f>
        <v/>
      </c>
      <c r="CG152" s="169" t="n">
        <v>-1.2</v>
      </c>
      <c r="CH152" s="169" t="n">
        <v>-0.3</v>
      </c>
      <c r="CI152" s="169" t="n">
        <v>-4.5</v>
      </c>
      <c r="CJ152" s="169" t="n">
        <v>-1</v>
      </c>
      <c r="CK152" s="169" t="n">
        <v>1.2</v>
      </c>
      <c r="CL152" s="170">
        <f>CJ152+CK152</f>
        <v/>
      </c>
      <c r="CM152" s="183" t="n">
        <v>0</v>
      </c>
      <c r="CN152" s="183" t="n">
        <v>0</v>
      </c>
      <c r="CO152" s="171">
        <f>SUM(CJ152,CK152,CM152,CN152)</f>
        <v/>
      </c>
      <c r="CP152" s="183" t="n">
        <v>0</v>
      </c>
      <c r="CQ152" s="183" t="n">
        <v>0</v>
      </c>
      <c r="CR152" s="183" t="n">
        <v>0</v>
      </c>
      <c r="CS152" s="183" t="n">
        <v>0</v>
      </c>
      <c r="CT152" s="22" t="inlineStr">
        <is>
          <t>Legacy Chemicals (sold 2005) indemnities / Hewitt, Lower Passaic litigation, etc.</t>
        </is>
      </c>
      <c r="CV152" s="23" t="n"/>
      <c r="CW152" s="23" t="n"/>
      <c r="CX152" s="23" t="n"/>
      <c r="CY152" s="23" t="n"/>
    </row>
    <row r="153" ht="15" customHeight="1">
      <c r="B153" s="18" t="inlineStr">
        <is>
          <t>Net earnings (incl. noncontrolling interests)</t>
        </is>
      </c>
      <c r="C153" s="173">
        <f>IF(ISNUMBER(C151),C151+N(C152),"")</f>
        <v/>
      </c>
      <c r="D153" s="173">
        <f>IF(ISNUMBER(D151),D151+N(D152),"")</f>
        <v/>
      </c>
      <c r="E153" s="173">
        <f>IF(ISNUMBER(E151),E151+N(E152),"")</f>
        <v/>
      </c>
      <c r="F153" s="173">
        <f>IF(ISNUMBER(F151),F151+N(F152),"")</f>
        <v/>
      </c>
      <c r="G153" s="173">
        <f>IF(ISNUMBER(G151),G151+N(G152),"")</f>
        <v/>
      </c>
      <c r="H153" s="173">
        <f>IF(ISNUMBER(H151),H151+N(H152),"")</f>
        <v/>
      </c>
      <c r="I153" s="173">
        <f>IF(ISNUMBER(I151),I151+N(I152),"")</f>
        <v/>
      </c>
      <c r="J153" s="173">
        <f>IF(ISNUMBER(J151),J151+N(J152),"")</f>
        <v/>
      </c>
      <c r="K153" s="173">
        <f>IF(ISNUMBER(K151),K151+N(K152),"")</f>
        <v/>
      </c>
      <c r="L153" s="173">
        <f>IF(ISNUMBER(L151),L151+N(L152),"")</f>
        <v/>
      </c>
      <c r="M153" s="173">
        <f>IF(ISNUMBER(M151),M151+N(M152),"")</f>
        <v/>
      </c>
      <c r="N153" s="173">
        <f>IF(ISNUMBER(N151),N151+N(N152),"")</f>
        <v/>
      </c>
      <c r="O153" s="173">
        <f>IF(ISNUMBER(O151),O151+N(O152),"")</f>
        <v/>
      </c>
      <c r="P153" s="173">
        <f>IF(ISNUMBER(P151),P151+N(P152),"")</f>
        <v/>
      </c>
      <c r="Q153" s="173">
        <f>IF(ISNUMBER(Q151),Q151+N(Q152),"")</f>
        <v/>
      </c>
      <c r="R153" s="173">
        <f>IF(ISNUMBER(R151),R151+N(R152),"")</f>
        <v/>
      </c>
      <c r="S153" s="173">
        <f>IF(ISNUMBER(S151),S151+N(S152),"")</f>
        <v/>
      </c>
      <c r="T153" s="173">
        <f>IF(ISNUMBER(T151),T151+N(T152),"")</f>
        <v/>
      </c>
      <c r="U153" s="173">
        <f>IF(ISNUMBER(U151),U151+N(U152),"")</f>
        <v/>
      </c>
      <c r="V153" s="173">
        <f>IF(ISNUMBER(V151),V151+N(V152),"")</f>
        <v/>
      </c>
      <c r="W153" s="173">
        <f>IF(ISNUMBER(W151),W151+N(W152),"")</f>
        <v/>
      </c>
      <c r="X153" s="173">
        <f>IF(ISNUMBER(X151),X151+N(X152),"")</f>
        <v/>
      </c>
      <c r="Y153" s="173">
        <f>IF(ISNUMBER(Y151),Y151+N(Y152),"")</f>
        <v/>
      </c>
      <c r="Z153" s="173">
        <f>IF(ISNUMBER(Z151),Z151+N(Z152),"")</f>
        <v/>
      </c>
      <c r="AA153" s="173">
        <f>IF(ISNUMBER(AA151),AA151+N(AA152),"")</f>
        <v/>
      </c>
      <c r="AB153" s="173">
        <f>IF(ISNUMBER(AB151),AB151+N(AB152),"")</f>
        <v/>
      </c>
      <c r="AC153" s="173">
        <f>IF(ISNUMBER(AC151),AC151+N(AC152),"")</f>
        <v/>
      </c>
      <c r="AD153" s="173">
        <f>IF(ISNUMBER(AD151),AD151+N(AD152),"")</f>
        <v/>
      </c>
      <c r="AE153" s="173">
        <f>IF(ISNUMBER(AE151),AE151+N(AE152),"")</f>
        <v/>
      </c>
      <c r="AF153" s="173">
        <f>IF(ISNUMBER(AF151),AF151+N(AF152),"")</f>
        <v/>
      </c>
      <c r="AG153" s="173">
        <f>IF(ISNUMBER(AG151),AG151+N(AG152),"")</f>
        <v/>
      </c>
      <c r="AH153" s="173">
        <f>IF(ISNUMBER(AH151),AH151+N(AH152),"")</f>
        <v/>
      </c>
      <c r="AI153" s="173">
        <f>IF(ISNUMBER(AI151),AI151+N(AI152),"")</f>
        <v/>
      </c>
      <c r="AJ153" s="173">
        <f>IF(ISNUMBER(AJ151),AJ151+N(AJ152),"")</f>
        <v/>
      </c>
      <c r="AK153" s="173">
        <f>IF(ISNUMBER(AK151),AK151+N(AK152),"")</f>
        <v/>
      </c>
      <c r="AL153" s="173">
        <f>IF(ISNUMBER(AL151),AL151+N(AL152),"")</f>
        <v/>
      </c>
      <c r="AM153" s="173">
        <f>IF(ISNUMBER(AM151),AM151+N(AM152),"")</f>
        <v/>
      </c>
      <c r="AN153" s="173">
        <f>IF(ISNUMBER(AN151),AN151+N(AN152),"")</f>
        <v/>
      </c>
      <c r="AO153" s="173">
        <f>IF(ISNUMBER(AO151),AO151+N(AO152),"")</f>
        <v/>
      </c>
      <c r="AP153" s="173">
        <f>IF(ISNUMBER(AP151),AP151+N(AP152),"")</f>
        <v/>
      </c>
      <c r="AQ153" s="173">
        <f>IF(ISNUMBER(AQ151),AQ151+N(AQ152),"")</f>
        <v/>
      </c>
      <c r="AR153" s="173">
        <f>IF(ISNUMBER(AR151),AR151+N(AR152),"")</f>
        <v/>
      </c>
      <c r="AS153" s="173">
        <f>IF(ISNUMBER(AS151),AS151+N(AS152),"")</f>
        <v/>
      </c>
      <c r="AT153" s="173">
        <f>IF(ISNUMBER(AT151),AT151+N(AT152),"")</f>
        <v/>
      </c>
      <c r="AU153" s="173">
        <f>IF(ISNUMBER(AU151),AU151+N(AU152),"")</f>
        <v/>
      </c>
      <c r="AV153" s="173">
        <f>IF(ISNUMBER(AV151),AV151+N(AV152),"")</f>
        <v/>
      </c>
      <c r="AW153" s="173">
        <f>IF(ISNUMBER(AW151),AW151+N(AW152),"")</f>
        <v/>
      </c>
      <c r="AX153" s="173">
        <f>IF(ISNUMBER(AX151),AX151+N(AX152),"")</f>
        <v/>
      </c>
      <c r="AY153" s="173">
        <f>IF(ISNUMBER(AY151),AY151+N(AY152),"")</f>
        <v/>
      </c>
      <c r="AZ153" s="173">
        <f>IF(ISNUMBER(AZ151),AZ151+N(AZ152),"")</f>
        <v/>
      </c>
      <c r="BA153" s="173">
        <f>IF(ISNUMBER(BA151),BA151+N(BA152),"")</f>
        <v/>
      </c>
      <c r="BB153" s="173">
        <f>IF(ISNUMBER(BB151),BB151+N(BB152),"")</f>
        <v/>
      </c>
      <c r="BC153" s="173">
        <f>IF(ISNUMBER(BC151),BC151+N(BC152),"")</f>
        <v/>
      </c>
      <c r="BD153" s="173">
        <f>IF(ISNUMBER(BD151),BD151+N(BD152),"")</f>
        <v/>
      </c>
      <c r="BE153" s="173">
        <f>IF(ISNUMBER(BE151),BE151+N(BE152),"")</f>
        <v/>
      </c>
      <c r="BF153" s="173">
        <f>IF(ISNUMBER(BF151),BF151+N(BF152),"")</f>
        <v/>
      </c>
      <c r="BG153" s="173">
        <f>IF(ISNUMBER(BG151),BG151+N(BG152),"")</f>
        <v/>
      </c>
      <c r="BH153" s="173">
        <f>IF(ISNUMBER(BH151),BH151+N(BH152),"")</f>
        <v/>
      </c>
      <c r="BI153" s="173">
        <f>IF(ISNUMBER(BI151),BI151+N(BI152),"")</f>
        <v/>
      </c>
      <c r="BJ153" s="173">
        <f>IF(ISNUMBER(BJ151),BJ151+N(BJ152),"")</f>
        <v/>
      </c>
      <c r="BK153" s="173">
        <f>IF(ISNUMBER(BK151),BK151+N(BK152),"")</f>
        <v/>
      </c>
      <c r="BL153" s="173">
        <f>IF(ISNUMBER(BL151),BL151+N(BL152),"")</f>
        <v/>
      </c>
      <c r="BM153" s="173">
        <f>IF(ISNUMBER(BM151),BM151+N(BM152),"")</f>
        <v/>
      </c>
      <c r="BN153" s="173">
        <f>IF(ISNUMBER(BN151),BN151+N(BN152),"")</f>
        <v/>
      </c>
      <c r="BO153" s="173">
        <f>IF(ISNUMBER(BO151),BO151+N(BO152),"")</f>
        <v/>
      </c>
      <c r="BP153" s="173">
        <f>IF(ISNUMBER(BP151),BP151+N(BP152),"")</f>
        <v/>
      </c>
      <c r="BQ153" s="173">
        <f>IF(ISNUMBER(BQ151),BQ151+N(BQ152),"")</f>
        <v/>
      </c>
      <c r="BR153" s="173">
        <f>IF(ISNUMBER(BR151),BR151+N(BR152),"")</f>
        <v/>
      </c>
      <c r="BS153" s="173">
        <f>IF(ISNUMBER(BS151),BS151+N(BS152),"")</f>
        <v/>
      </c>
      <c r="BT153" s="173">
        <f>IF(ISNUMBER(BT151),BT151+N(BT152),"")</f>
        <v/>
      </c>
      <c r="BU153" s="173">
        <f>IF(ISNUMBER(BU151),BU151+N(BU152),"")</f>
        <v/>
      </c>
      <c r="BV153" s="173">
        <f>IF(ISNUMBER(BV151),BV151+N(BV152),"")</f>
        <v/>
      </c>
      <c r="BW153" s="173">
        <f>IF(ISNUMBER(BW151),BW151+N(BW152),"")</f>
        <v/>
      </c>
      <c r="BX153" s="173">
        <f>IF(ISNUMBER(BX151),BX151+N(BX152),"")</f>
        <v/>
      </c>
      <c r="BY153" s="173">
        <f>IF(ISNUMBER(BY151),BY151+N(BY152),"")</f>
        <v/>
      </c>
      <c r="BZ153" s="173">
        <f>IF(ISNUMBER(BZ151),BZ151+N(BZ152),"")</f>
        <v/>
      </c>
      <c r="CA153" s="173">
        <f>IF(ISNUMBER(CA151),CA151+N(CA152),"")</f>
        <v/>
      </c>
      <c r="CB153" s="173">
        <f>IF(ISNUMBER(CB151),CB151+N(CB152),"")</f>
        <v/>
      </c>
      <c r="CC153" s="173">
        <f>IF(ISNUMBER(CC151),CC151+N(CC152),"")</f>
        <v/>
      </c>
      <c r="CD153" s="173">
        <f>IF(ISNUMBER(CD151),CD151+N(CD152),"")</f>
        <v/>
      </c>
      <c r="CE153" s="173">
        <f>IF(ISNUMBER(CE151),CE151+N(CE152),"")</f>
        <v/>
      </c>
      <c r="CF153" s="173">
        <f>IF(ISNUMBER(CF151),CF151+N(CF152),"")</f>
        <v/>
      </c>
      <c r="CG153" s="173">
        <f>IF(ISNUMBER(CG151),CG151+N(CG152),"")</f>
        <v/>
      </c>
      <c r="CH153" s="173">
        <f>IF(ISNUMBER(CH151),CH151+N(CH152),"")</f>
        <v/>
      </c>
      <c r="CI153" s="173">
        <f>IF(ISNUMBER(CI151),CI151+N(CI152),"")</f>
        <v/>
      </c>
      <c r="CJ153" s="173">
        <f>IF(ISNUMBER(CJ151),CJ151+N(CJ152),"")</f>
        <v/>
      </c>
      <c r="CK153" s="173">
        <f>IF(ISNUMBER(CK151),CK151+N(CK152),"")</f>
        <v/>
      </c>
      <c r="CL153" s="173">
        <f>IF(ISNUMBER(CL151),CL151+N(CL152),"")</f>
        <v/>
      </c>
      <c r="CM153" s="174">
        <f>IF(ISNUMBER(CM151),CM151+N(CM152),"")</f>
        <v/>
      </c>
      <c r="CN153" s="174">
        <f>IF(ISNUMBER(CN151),CN151+N(CN152),"")</f>
        <v/>
      </c>
      <c r="CO153" s="174">
        <f>IF(ISNUMBER(CO151),CO151+N(CO152),"")</f>
        <v/>
      </c>
      <c r="CP153" s="174">
        <f>IF(ISNUMBER(CP151),CP151+N(CP152),"")</f>
        <v/>
      </c>
      <c r="CQ153" s="174">
        <f>IF(ISNUMBER(CQ151),CQ151+N(CQ152),"")</f>
        <v/>
      </c>
      <c r="CR153" s="174">
        <f>IF(ISNUMBER(CR151),CR151+N(CR152),"")</f>
        <v/>
      </c>
      <c r="CS153" s="174">
        <f>IF(ISNUMBER(CS151),CS151+N(CS152),"")</f>
        <v/>
      </c>
      <c r="CT153" s="22" t="n"/>
      <c r="CV153" s="6" t="n"/>
      <c r="CW153" s="6" t="n"/>
      <c r="CX153" s="6" t="n"/>
      <c r="CY153" s="6" t="n"/>
    </row>
    <row r="154" ht="15" customHeight="1">
      <c r="B154" s="12" t="inlineStr">
        <is>
          <t xml:space="preserve">  Earnings attributable to noncontrolling interests</t>
        </is>
      </c>
      <c r="C154" s="169" t="n">
        <v>0</v>
      </c>
      <c r="D154" s="169" t="n">
        <v>0</v>
      </c>
      <c r="E154" s="169" t="n">
        <v>0</v>
      </c>
      <c r="F154" s="169" t="n">
        <v>0</v>
      </c>
      <c r="G154" s="169" t="n">
        <v>0</v>
      </c>
      <c r="H154" s="169" t="n">
        <v>0</v>
      </c>
      <c r="I154" s="169" t="n">
        <v>0</v>
      </c>
      <c r="J154" s="169" t="n">
        <v>0</v>
      </c>
      <c r="K154" s="169" t="n">
        <v>0</v>
      </c>
      <c r="L154" s="170">
        <f>J154+K154</f>
        <v/>
      </c>
      <c r="M154" s="169" t="n">
        <v>0</v>
      </c>
      <c r="N154" s="169" t="n">
        <v>0</v>
      </c>
      <c r="O154" s="169" t="n">
        <v>0</v>
      </c>
      <c r="P154" s="169" t="n">
        <v>0</v>
      </c>
      <c r="Q154" s="169" t="n">
        <v>0</v>
      </c>
      <c r="R154" s="170">
        <f>P154+Q154</f>
        <v/>
      </c>
      <c r="S154" s="169" t="n">
        <v>0</v>
      </c>
      <c r="T154" s="169" t="n">
        <v>0</v>
      </c>
      <c r="U154" s="169" t="n">
        <v>0</v>
      </c>
      <c r="V154" s="169" t="n">
        <v>0</v>
      </c>
      <c r="W154" s="169" t="n">
        <v>0</v>
      </c>
      <c r="X154" s="170">
        <f>V154+W154</f>
        <v/>
      </c>
      <c r="Y154" s="169" t="n">
        <v>0</v>
      </c>
      <c r="Z154" s="169" t="n">
        <v>0</v>
      </c>
      <c r="AA154" s="169" t="n">
        <v>0</v>
      </c>
      <c r="AB154" s="169" t="n">
        <v>0</v>
      </c>
      <c r="AC154" s="169" t="n">
        <v>0</v>
      </c>
      <c r="AD154" s="170">
        <f>AB154+AC154</f>
        <v/>
      </c>
      <c r="AE154" s="169" t="n">
        <v>0</v>
      </c>
      <c r="AF154" s="169" t="n">
        <v>0</v>
      </c>
      <c r="AG154" s="169" t="n">
        <v>0</v>
      </c>
      <c r="AH154" s="169" t="n">
        <v>0</v>
      </c>
      <c r="AI154" s="169" t="n">
        <v>0</v>
      </c>
      <c r="AJ154" s="170">
        <f>AH154+AI154</f>
        <v/>
      </c>
      <c r="AK154" s="169" t="n">
        <v>0</v>
      </c>
      <c r="AL154" s="169" t="n">
        <v>0</v>
      </c>
      <c r="AM154" s="169" t="n">
        <v>0</v>
      </c>
      <c r="AN154" s="169" t="n">
        <v>0</v>
      </c>
      <c r="AO154" s="169" t="n">
        <v>0</v>
      </c>
      <c r="AP154" s="170">
        <f>AN154+AO154</f>
        <v/>
      </c>
      <c r="AQ154" s="169" t="n">
        <v>0</v>
      </c>
      <c r="AR154" s="169" t="n">
        <v>0</v>
      </c>
      <c r="AS154" s="169" t="n">
        <v>0</v>
      </c>
      <c r="AT154" s="169" t="n">
        <v>0</v>
      </c>
      <c r="AU154" s="169" t="n">
        <v>0</v>
      </c>
      <c r="AV154" s="170">
        <f>AT154+AU154</f>
        <v/>
      </c>
      <c r="AW154" s="169" t="n">
        <v>0</v>
      </c>
      <c r="AX154" s="169" t="n">
        <v>0</v>
      </c>
      <c r="AY154" s="169" t="n">
        <v>0</v>
      </c>
      <c r="AZ154" s="169" t="n">
        <v>0</v>
      </c>
      <c r="BA154" s="169" t="n">
        <v>0</v>
      </c>
      <c r="BB154" s="170">
        <f>AZ154+BA154</f>
        <v/>
      </c>
      <c r="BC154" s="169" t="n">
        <v>0</v>
      </c>
      <c r="BD154" s="169" t="n">
        <v>0</v>
      </c>
      <c r="BE154" s="169" t="n">
        <v>0</v>
      </c>
      <c r="BF154" s="169" t="n">
        <v>0</v>
      </c>
      <c r="BG154" s="169" t="n">
        <v>0</v>
      </c>
      <c r="BH154" s="170">
        <f>BF154+BG154</f>
        <v/>
      </c>
      <c r="BI154" s="169" t="n">
        <v>-0.1</v>
      </c>
      <c r="BJ154" s="169" t="n">
        <v>-0.4</v>
      </c>
      <c r="BK154" s="169" t="n">
        <v>-0.4</v>
      </c>
      <c r="BL154" s="169" t="n">
        <v>0.3</v>
      </c>
      <c r="BM154" s="169" t="n">
        <v>0.1</v>
      </c>
      <c r="BN154" s="170">
        <f>BL154+BM154</f>
        <v/>
      </c>
      <c r="BO154" s="169" t="n">
        <v>0</v>
      </c>
      <c r="BP154" s="169" t="n">
        <v>0.4</v>
      </c>
      <c r="BQ154" s="169" t="n">
        <v>0.9</v>
      </c>
      <c r="BR154" s="169" t="n">
        <v>0.2</v>
      </c>
      <c r="BS154" s="169" t="n">
        <v>0</v>
      </c>
      <c r="BT154" s="170">
        <f>BR154+BS154</f>
        <v/>
      </c>
      <c r="BU154" s="169" t="n">
        <v>0.8</v>
      </c>
      <c r="BV154" s="169" t="n">
        <v>0.6</v>
      </c>
      <c r="BW154" s="169" t="n">
        <v>1.7</v>
      </c>
      <c r="BX154" s="169" t="n">
        <v>0.2</v>
      </c>
      <c r="BY154" s="169" t="n">
        <v>0.3</v>
      </c>
      <c r="BZ154" s="170">
        <f>BX154+BY154</f>
        <v/>
      </c>
      <c r="CA154" s="169" t="n">
        <v>0.8</v>
      </c>
      <c r="CB154" s="169" t="n">
        <v>-0.3</v>
      </c>
      <c r="CC154" s="169" t="n">
        <v>1.2</v>
      </c>
      <c r="CD154" s="169" t="n">
        <v>0.5</v>
      </c>
      <c r="CE154" s="169" t="n">
        <v>-0.1</v>
      </c>
      <c r="CF154" s="170">
        <f>CD154+CE154</f>
        <v/>
      </c>
      <c r="CG154" s="169" t="n">
        <v>0.1</v>
      </c>
      <c r="CH154" s="169" t="n">
        <v>0.9</v>
      </c>
      <c r="CI154" s="169" t="n">
        <v>1.4</v>
      </c>
      <c r="CJ154" s="169" t="n">
        <v>0.5</v>
      </c>
      <c r="CK154" s="169" t="n">
        <v>0.9</v>
      </c>
      <c r="CL154" s="170">
        <f>CJ154+CK154</f>
        <v/>
      </c>
      <c r="CM154" s="171">
        <f>-CM83</f>
        <v/>
      </c>
      <c r="CN154" s="171">
        <f>-CN83</f>
        <v/>
      </c>
      <c r="CO154" s="171">
        <f>SUM(CJ154,CK154,CM154,CN154)</f>
        <v/>
      </c>
      <c r="CP154" s="171">
        <f>-CP83</f>
        <v/>
      </c>
      <c r="CQ154" s="171">
        <f>-CQ83</f>
        <v/>
      </c>
      <c r="CR154" s="171">
        <f>-CR83</f>
        <v/>
      </c>
      <c r="CS154" s="171">
        <f>-CS83</f>
        <v/>
      </c>
      <c r="CT154" s="22" t="n"/>
      <c r="CV154" s="23" t="n"/>
      <c r="CW154" s="23" t="n"/>
      <c r="CX154" s="23" t="n"/>
      <c r="CY154" s="23" t="n"/>
    </row>
    <row r="155" ht="15" customHeight="1">
      <c r="B155" s="33" t="inlineStr">
        <is>
          <t>Net earnings attributable to Vulcan</t>
        </is>
      </c>
      <c r="C155" s="175">
        <f>IF(ISNUMBER(C153),C153-N(C154),"")</f>
        <v/>
      </c>
      <c r="D155" s="175">
        <f>IF(ISNUMBER(D153),D153-N(D154),"")</f>
        <v/>
      </c>
      <c r="E155" s="175">
        <f>IF(ISNUMBER(E153),E153-N(E154),"")</f>
        <v/>
      </c>
      <c r="F155" s="175">
        <f>IF(ISNUMBER(F153),F153-N(F154),"")</f>
        <v/>
      </c>
      <c r="G155" s="175">
        <f>IF(ISNUMBER(G153),G153-N(G154),"")</f>
        <v/>
      </c>
      <c r="H155" s="175">
        <f>IF(ISNUMBER(H153),H153-N(H154),"")</f>
        <v/>
      </c>
      <c r="I155" s="175">
        <f>IF(ISNUMBER(I153),I153-N(I154),"")</f>
        <v/>
      </c>
      <c r="J155" s="173">
        <f>IF(ISNUMBER(J153),J153-N(J154),"")</f>
        <v/>
      </c>
      <c r="K155" s="173">
        <f>IF(ISNUMBER(K153),K153-N(K154),"")</f>
        <v/>
      </c>
      <c r="L155" s="173">
        <f>IF(ISNUMBER(L153),L153-N(L154),"")</f>
        <v/>
      </c>
      <c r="M155" s="173">
        <f>IF(ISNUMBER(M153),M153-N(M154),"")</f>
        <v/>
      </c>
      <c r="N155" s="173">
        <f>IF(ISNUMBER(N153),N153-N(N154),"")</f>
        <v/>
      </c>
      <c r="O155" s="175">
        <f>IF(ISNUMBER(O153),O153-N(O154),"")</f>
        <v/>
      </c>
      <c r="P155" s="173">
        <f>IF(ISNUMBER(P153),P153-N(P154),"")</f>
        <v/>
      </c>
      <c r="Q155" s="173">
        <f>IF(ISNUMBER(Q153),Q153-N(Q154),"")</f>
        <v/>
      </c>
      <c r="R155" s="173">
        <f>IF(ISNUMBER(R153),R153-N(R154),"")</f>
        <v/>
      </c>
      <c r="S155" s="173">
        <f>IF(ISNUMBER(S153),S153-N(S154),"")</f>
        <v/>
      </c>
      <c r="T155" s="173">
        <f>IF(ISNUMBER(T153),T153-N(T154),"")</f>
        <v/>
      </c>
      <c r="U155" s="175">
        <f>IF(ISNUMBER(U153),U153-N(U154),"")</f>
        <v/>
      </c>
      <c r="V155" s="173">
        <f>IF(ISNUMBER(V153),V153-N(V154),"")</f>
        <v/>
      </c>
      <c r="W155" s="173">
        <f>IF(ISNUMBER(W153),W153-N(W154),"")</f>
        <v/>
      </c>
      <c r="X155" s="173">
        <f>IF(ISNUMBER(X153),X153-N(X154),"")</f>
        <v/>
      </c>
      <c r="Y155" s="173">
        <f>IF(ISNUMBER(Y153),Y153-N(Y154),"")</f>
        <v/>
      </c>
      <c r="Z155" s="173">
        <f>IF(ISNUMBER(Z153),Z153-N(Z154),"")</f>
        <v/>
      </c>
      <c r="AA155" s="175">
        <f>IF(ISNUMBER(AA153),AA153-N(AA154),"")</f>
        <v/>
      </c>
      <c r="AB155" s="173">
        <f>IF(ISNUMBER(AB153),AB153-N(AB154),"")</f>
        <v/>
      </c>
      <c r="AC155" s="173">
        <f>IF(ISNUMBER(AC153),AC153-N(AC154),"")</f>
        <v/>
      </c>
      <c r="AD155" s="173">
        <f>IF(ISNUMBER(AD153),AD153-N(AD154),"")</f>
        <v/>
      </c>
      <c r="AE155" s="173">
        <f>IF(ISNUMBER(AE153),AE153-N(AE154),"")</f>
        <v/>
      </c>
      <c r="AF155" s="173">
        <f>IF(ISNUMBER(AF153),AF153-N(AF154),"")</f>
        <v/>
      </c>
      <c r="AG155" s="175">
        <f>IF(ISNUMBER(AG153),AG153-N(AG154),"")</f>
        <v/>
      </c>
      <c r="AH155" s="173">
        <f>IF(ISNUMBER(AH153),AH153-N(AH154),"")</f>
        <v/>
      </c>
      <c r="AI155" s="173">
        <f>IF(ISNUMBER(AI153),AI153-N(AI154),"")</f>
        <v/>
      </c>
      <c r="AJ155" s="173">
        <f>IF(ISNUMBER(AJ153),AJ153-N(AJ154),"")</f>
        <v/>
      </c>
      <c r="AK155" s="173">
        <f>IF(ISNUMBER(AK153),AK153-N(AK154),"")</f>
        <v/>
      </c>
      <c r="AL155" s="173">
        <f>IF(ISNUMBER(AL153),AL153-N(AL154),"")</f>
        <v/>
      </c>
      <c r="AM155" s="175">
        <f>IF(ISNUMBER(AM153),AM153-N(AM154),"")</f>
        <v/>
      </c>
      <c r="AN155" s="173">
        <f>IF(ISNUMBER(AN153),AN153-N(AN154),"")</f>
        <v/>
      </c>
      <c r="AO155" s="173">
        <f>IF(ISNUMBER(AO153),AO153-N(AO154),"")</f>
        <v/>
      </c>
      <c r="AP155" s="173">
        <f>IF(ISNUMBER(AP153),AP153-N(AP154),"")</f>
        <v/>
      </c>
      <c r="AQ155" s="173">
        <f>IF(ISNUMBER(AQ153),AQ153-N(AQ154),"")</f>
        <v/>
      </c>
      <c r="AR155" s="173">
        <f>IF(ISNUMBER(AR153),AR153-N(AR154),"")</f>
        <v/>
      </c>
      <c r="AS155" s="175">
        <f>IF(ISNUMBER(AS153),AS153-N(AS154),"")</f>
        <v/>
      </c>
      <c r="AT155" s="173">
        <f>IF(ISNUMBER(AT153),AT153-N(AT154),"")</f>
        <v/>
      </c>
      <c r="AU155" s="173">
        <f>IF(ISNUMBER(AU153),AU153-N(AU154),"")</f>
        <v/>
      </c>
      <c r="AV155" s="173">
        <f>IF(ISNUMBER(AV153),AV153-N(AV154),"")</f>
        <v/>
      </c>
      <c r="AW155" s="173">
        <f>IF(ISNUMBER(AW153),AW153-N(AW154),"")</f>
        <v/>
      </c>
      <c r="AX155" s="173">
        <f>IF(ISNUMBER(AX153),AX153-N(AX154),"")</f>
        <v/>
      </c>
      <c r="AY155" s="175">
        <f>IF(ISNUMBER(AY153),AY153-N(AY154),"")</f>
        <v/>
      </c>
      <c r="AZ155" s="173">
        <f>IF(ISNUMBER(AZ153),AZ153-N(AZ154),"")</f>
        <v/>
      </c>
      <c r="BA155" s="173">
        <f>IF(ISNUMBER(BA153),BA153-N(BA154),"")</f>
        <v/>
      </c>
      <c r="BB155" s="173">
        <f>IF(ISNUMBER(BB153),BB153-N(BB154),"")</f>
        <v/>
      </c>
      <c r="BC155" s="173">
        <f>IF(ISNUMBER(BC153),BC153-N(BC154),"")</f>
        <v/>
      </c>
      <c r="BD155" s="173">
        <f>IF(ISNUMBER(BD153),BD153-N(BD154),"")</f>
        <v/>
      </c>
      <c r="BE155" s="175">
        <f>IF(ISNUMBER(BE153),BE153-N(BE154),"")</f>
        <v/>
      </c>
      <c r="BF155" s="173">
        <f>IF(ISNUMBER(BF153),BF153-N(BF154),"")</f>
        <v/>
      </c>
      <c r="BG155" s="173">
        <f>IF(ISNUMBER(BG153),BG153-N(BG154),"")</f>
        <v/>
      </c>
      <c r="BH155" s="173">
        <f>IF(ISNUMBER(BH153),BH153-N(BH154),"")</f>
        <v/>
      </c>
      <c r="BI155" s="173">
        <f>IF(ISNUMBER(BI153),BI153-N(BI154),"")</f>
        <v/>
      </c>
      <c r="BJ155" s="173">
        <f>IF(ISNUMBER(BJ153),BJ153-N(BJ154),"")</f>
        <v/>
      </c>
      <c r="BK155" s="175">
        <f>IF(ISNUMBER(BK153),BK153-N(BK154),"")</f>
        <v/>
      </c>
      <c r="BL155" s="173">
        <f>IF(ISNUMBER(BL153),BL153-N(BL154),"")</f>
        <v/>
      </c>
      <c r="BM155" s="173">
        <f>IF(ISNUMBER(BM153),BM153-N(BM154),"")</f>
        <v/>
      </c>
      <c r="BN155" s="173">
        <f>IF(ISNUMBER(BN153),BN153-N(BN154),"")</f>
        <v/>
      </c>
      <c r="BO155" s="173">
        <f>IF(ISNUMBER(BO153),BO153-N(BO154),"")</f>
        <v/>
      </c>
      <c r="BP155" s="173">
        <f>IF(ISNUMBER(BP153),BP153-N(BP154),"")</f>
        <v/>
      </c>
      <c r="BQ155" s="175">
        <f>IF(ISNUMBER(BQ153),BQ153-N(BQ154),"")</f>
        <v/>
      </c>
      <c r="BR155" s="173">
        <f>IF(ISNUMBER(BR153),BR153-N(BR154),"")</f>
        <v/>
      </c>
      <c r="BS155" s="173">
        <f>IF(ISNUMBER(BS153),BS153-N(BS154),"")</f>
        <v/>
      </c>
      <c r="BT155" s="173">
        <f>IF(ISNUMBER(BT153),BT153-N(BT154),"")</f>
        <v/>
      </c>
      <c r="BU155" s="173">
        <f>IF(ISNUMBER(BU153),BU153-N(BU154),"")</f>
        <v/>
      </c>
      <c r="BV155" s="173">
        <f>IF(ISNUMBER(BV153),BV153-N(BV154),"")</f>
        <v/>
      </c>
      <c r="BW155" s="175">
        <f>IF(ISNUMBER(BW153),BW153-N(BW154),"")</f>
        <v/>
      </c>
      <c r="BX155" s="173">
        <f>IF(ISNUMBER(BX153),BX153-N(BX154),"")</f>
        <v/>
      </c>
      <c r="BY155" s="173">
        <f>IF(ISNUMBER(BY153),BY153-N(BY154),"")</f>
        <v/>
      </c>
      <c r="BZ155" s="173">
        <f>IF(ISNUMBER(BZ153),BZ153-N(BZ154),"")</f>
        <v/>
      </c>
      <c r="CA155" s="173">
        <f>IF(ISNUMBER(CA153),CA153-N(CA154),"")</f>
        <v/>
      </c>
      <c r="CB155" s="173">
        <f>IF(ISNUMBER(CB153),CB153-N(CB154),"")</f>
        <v/>
      </c>
      <c r="CC155" s="175">
        <f>IF(ISNUMBER(CC153),CC153-N(CC154),"")</f>
        <v/>
      </c>
      <c r="CD155" s="173">
        <f>IF(ISNUMBER(CD153),CD153-N(CD154),"")</f>
        <v/>
      </c>
      <c r="CE155" s="173">
        <f>IF(ISNUMBER(CE153),CE153-N(CE154),"")</f>
        <v/>
      </c>
      <c r="CF155" s="173">
        <f>IF(ISNUMBER(CF153),CF153-N(CF154),"")</f>
        <v/>
      </c>
      <c r="CG155" s="173">
        <f>IF(ISNUMBER(CG153),CG153-N(CG154),"")</f>
        <v/>
      </c>
      <c r="CH155" s="173">
        <f>IF(ISNUMBER(CH153),CH153-N(CH154),"")</f>
        <v/>
      </c>
      <c r="CI155" s="175">
        <f>IF(ISNUMBER(CI153),CI153-N(CI154),"")</f>
        <v/>
      </c>
      <c r="CJ155" s="173">
        <f>IF(ISNUMBER(CJ153),CJ153-N(CJ154),"")</f>
        <v/>
      </c>
      <c r="CK155" s="173">
        <f>IF(ISNUMBER(CK153),CK153-N(CK154),"")</f>
        <v/>
      </c>
      <c r="CL155" s="173">
        <f>IF(ISNUMBER(CL153),CL153-N(CL154),"")</f>
        <v/>
      </c>
      <c r="CM155" s="175">
        <f>IF(ISNUMBER(CM153),CM153-N(CM154),"")</f>
        <v/>
      </c>
      <c r="CN155" s="175">
        <f>IF(ISNUMBER(CN153),CN153-N(CN154),"")</f>
        <v/>
      </c>
      <c r="CO155" s="175">
        <f>IF(ISNUMBER(CO153),CO153-N(CO154),"")</f>
        <v/>
      </c>
      <c r="CP155" s="175">
        <f>IF(ISNUMBER(CP153),CP153-N(CP154),"")</f>
        <v/>
      </c>
      <c r="CQ155" s="175">
        <f>IF(ISNUMBER(CQ153),CQ153-N(CQ154),"")</f>
        <v/>
      </c>
      <c r="CR155" s="175">
        <f>IF(ISNUMBER(CR153),CR153-N(CR154),"")</f>
        <v/>
      </c>
      <c r="CS155" s="175">
        <f>IF(ISNUMBER(CS153),CS153-N(CS154),"")</f>
        <v/>
      </c>
      <c r="CT155" s="22" t="n"/>
      <c r="CV155" s="23">
        <f>IFERROR((CS155/CI155)^(1/5)-1,"n/m")</f>
        <v/>
      </c>
      <c r="CW155" s="23">
        <f>IFERROR((CI155/BE155)^(1/5)-1,"n/m")</f>
        <v/>
      </c>
      <c r="CX155" s="23">
        <f>IFERROR((CI155/AA155)^(1/10)-1,"n/m")</f>
        <v/>
      </c>
      <c r="CY155" s="23">
        <f>IFERROR((CI155/C155)^(1/19)-1,"n/m")</f>
        <v/>
      </c>
    </row>
    <row r="156" ht="15" customHeight="1">
      <c r="B156" s="38" t="inlineStr">
        <is>
          <t xml:space="preserve">  Check: net earnings attributable to Vulcan vs reported (should be 0)</t>
        </is>
      </c>
      <c r="C156" s="176">
        <f>IF(ISNUMBER(C157),ROUND(C155-C157,1),"")</f>
        <v/>
      </c>
      <c r="D156" s="176">
        <f>IF(ISNUMBER(D157),ROUND(D155-D157,1),"")</f>
        <v/>
      </c>
      <c r="E156" s="176">
        <f>IF(ISNUMBER(E157),ROUND(E155-E157,1),"")</f>
        <v/>
      </c>
      <c r="F156" s="176">
        <f>IF(ISNUMBER(F157),ROUND(F155-F157,1),"")</f>
        <v/>
      </c>
      <c r="G156" s="176">
        <f>IF(ISNUMBER(G157),ROUND(G155-G157,1),"")</f>
        <v/>
      </c>
      <c r="H156" s="176">
        <f>IF(ISNUMBER(H157),ROUND(H155-H157,1),"")</f>
        <v/>
      </c>
      <c r="I156" s="176">
        <f>IF(ISNUMBER(I157),ROUND(I155-I157,1),"")</f>
        <v/>
      </c>
      <c r="J156" s="176">
        <f>IF(ISNUMBER(J157),ROUND(J155-J157,1),"")</f>
        <v/>
      </c>
      <c r="K156" s="176">
        <f>IF(ISNUMBER(K157),ROUND(K155-K157,1),"")</f>
        <v/>
      </c>
      <c r="L156" s="176">
        <f>IF(ISNUMBER(L157),ROUND(L155-L157,1),"")</f>
        <v/>
      </c>
      <c r="M156" s="176">
        <f>IF(ISNUMBER(M157),ROUND(M155-M157,1),"")</f>
        <v/>
      </c>
      <c r="N156" s="176">
        <f>IF(ISNUMBER(N157),ROUND(N155-N157,1),"")</f>
        <v/>
      </c>
      <c r="O156" s="176">
        <f>IF(ISNUMBER(O157),ROUND(O155-O157,1),"")</f>
        <v/>
      </c>
      <c r="P156" s="176">
        <f>IF(ISNUMBER(P157),ROUND(P155-P157,1),"")</f>
        <v/>
      </c>
      <c r="Q156" s="176">
        <f>IF(ISNUMBER(Q157),ROUND(Q155-Q157,1),"")</f>
        <v/>
      </c>
      <c r="R156" s="176">
        <f>IF(ISNUMBER(R157),ROUND(R155-R157,1),"")</f>
        <v/>
      </c>
      <c r="S156" s="176">
        <f>IF(ISNUMBER(S157),ROUND(S155-S157,1),"")</f>
        <v/>
      </c>
      <c r="T156" s="176">
        <f>IF(ISNUMBER(T157),ROUND(T155-T157,1),"")</f>
        <v/>
      </c>
      <c r="U156" s="176">
        <f>IF(ISNUMBER(U157),ROUND(U155-U157,1),"")</f>
        <v/>
      </c>
      <c r="V156" s="176">
        <f>IF(ISNUMBER(V157),ROUND(V155-V157,1),"")</f>
        <v/>
      </c>
      <c r="W156" s="176">
        <f>IF(ISNUMBER(W157),ROUND(W155-W157,1),"")</f>
        <v/>
      </c>
      <c r="X156" s="176">
        <f>IF(ISNUMBER(X157),ROUND(X155-X157,1),"")</f>
        <v/>
      </c>
      <c r="Y156" s="176">
        <f>IF(ISNUMBER(Y157),ROUND(Y155-Y157,1),"")</f>
        <v/>
      </c>
      <c r="Z156" s="176">
        <f>IF(ISNUMBER(Z157),ROUND(Z155-Z157,1),"")</f>
        <v/>
      </c>
      <c r="AA156" s="176">
        <f>IF(ISNUMBER(AA157),ROUND(AA155-AA157,1),"")</f>
        <v/>
      </c>
      <c r="AB156" s="176">
        <f>IF(ISNUMBER(AB157),ROUND(AB155-AB157,1),"")</f>
        <v/>
      </c>
      <c r="AC156" s="176">
        <f>IF(ISNUMBER(AC157),ROUND(AC155-AC157,1),"")</f>
        <v/>
      </c>
      <c r="AD156" s="176">
        <f>IF(ISNUMBER(AD157),ROUND(AD155-AD157,1),"")</f>
        <v/>
      </c>
      <c r="AE156" s="176">
        <f>IF(ISNUMBER(AE157),ROUND(AE155-AE157,1),"")</f>
        <v/>
      </c>
      <c r="AF156" s="176">
        <f>IF(ISNUMBER(AF157),ROUND(AF155-AF157,1),"")</f>
        <v/>
      </c>
      <c r="AG156" s="176">
        <f>IF(ISNUMBER(AG157),ROUND(AG155-AG157,1),"")</f>
        <v/>
      </c>
      <c r="AH156" s="176">
        <f>IF(ISNUMBER(AH157),ROUND(AH155-AH157,1),"")</f>
        <v/>
      </c>
      <c r="AI156" s="176">
        <f>IF(ISNUMBER(AI157),ROUND(AI155-AI157,1),"")</f>
        <v/>
      </c>
      <c r="AJ156" s="176">
        <f>IF(ISNUMBER(AJ157),ROUND(AJ155-AJ157,1),"")</f>
        <v/>
      </c>
      <c r="AK156" s="176">
        <f>IF(ISNUMBER(AK157),ROUND(AK155-AK157,1),"")</f>
        <v/>
      </c>
      <c r="AL156" s="176">
        <f>IF(ISNUMBER(AL157),ROUND(AL155-AL157,1),"")</f>
        <v/>
      </c>
      <c r="AM156" s="176">
        <f>IF(ISNUMBER(AM157),ROUND(AM155-AM157,1),"")</f>
        <v/>
      </c>
      <c r="AN156" s="176">
        <f>IF(ISNUMBER(AN157),ROUND(AN155-AN157,1),"")</f>
        <v/>
      </c>
      <c r="AO156" s="176">
        <f>IF(ISNUMBER(AO157),ROUND(AO155-AO157,1),"")</f>
        <v/>
      </c>
      <c r="AP156" s="176">
        <f>IF(ISNUMBER(AP157),ROUND(AP155-AP157,1),"")</f>
        <v/>
      </c>
      <c r="AQ156" s="176">
        <f>IF(ISNUMBER(AQ157),ROUND(AQ155-AQ157,1),"")</f>
        <v/>
      </c>
      <c r="AR156" s="176">
        <f>IF(ISNUMBER(AR157),ROUND(AR155-AR157,1),"")</f>
        <v/>
      </c>
      <c r="AS156" s="176">
        <f>IF(ISNUMBER(AS157),ROUND(AS155-AS157,1),"")</f>
        <v/>
      </c>
      <c r="AT156" s="176">
        <f>IF(ISNUMBER(AT157),ROUND(AT155-AT157,1),"")</f>
        <v/>
      </c>
      <c r="AU156" s="176">
        <f>IF(ISNUMBER(AU157),ROUND(AU155-AU157,1),"")</f>
        <v/>
      </c>
      <c r="AV156" s="176">
        <f>IF(ISNUMBER(AV157),ROUND(AV155-AV157,1),"")</f>
        <v/>
      </c>
      <c r="AW156" s="176">
        <f>IF(ISNUMBER(AW157),ROUND(AW155-AW157,1),"")</f>
        <v/>
      </c>
      <c r="AX156" s="176">
        <f>IF(ISNUMBER(AX157),ROUND(AX155-AX157,1),"")</f>
        <v/>
      </c>
      <c r="AY156" s="176">
        <f>IF(ISNUMBER(AY157),ROUND(AY155-AY157,1),"")</f>
        <v/>
      </c>
      <c r="AZ156" s="176">
        <f>IF(ISNUMBER(AZ157),ROUND(AZ155-AZ157,1),"")</f>
        <v/>
      </c>
      <c r="BA156" s="176">
        <f>IF(ISNUMBER(BA157),ROUND(BA155-BA157,1),"")</f>
        <v/>
      </c>
      <c r="BB156" s="176">
        <f>IF(ISNUMBER(BB157),ROUND(BB155-BB157,1),"")</f>
        <v/>
      </c>
      <c r="BC156" s="176">
        <f>IF(ISNUMBER(BC157),ROUND(BC155-BC157,1),"")</f>
        <v/>
      </c>
      <c r="BD156" s="176">
        <f>IF(ISNUMBER(BD157),ROUND(BD155-BD157,1),"")</f>
        <v/>
      </c>
      <c r="BE156" s="176">
        <f>IF(ISNUMBER(BE157),ROUND(BE155-BE157,1),"")</f>
        <v/>
      </c>
      <c r="BF156" s="176">
        <f>IF(ISNUMBER(BF157),ROUND(BF155-BF157,1),"")</f>
        <v/>
      </c>
      <c r="BG156" s="176">
        <f>IF(ISNUMBER(BG157),ROUND(BG155-BG157,1),"")</f>
        <v/>
      </c>
      <c r="BH156" s="176">
        <f>IF(ISNUMBER(BH157),ROUND(BH155-BH157,1),"")</f>
        <v/>
      </c>
      <c r="BI156" s="176">
        <f>IF(ISNUMBER(BI157),ROUND(BI155-BI157,1),"")</f>
        <v/>
      </c>
      <c r="BJ156" s="176">
        <f>IF(ISNUMBER(BJ157),ROUND(BJ155-BJ157,1),"")</f>
        <v/>
      </c>
      <c r="BK156" s="176">
        <f>IF(ISNUMBER(BK157),ROUND(BK155-BK157,1),"")</f>
        <v/>
      </c>
      <c r="BL156" s="176">
        <f>IF(ISNUMBER(BL157),ROUND(BL155-BL157,1),"")</f>
        <v/>
      </c>
      <c r="BM156" s="176">
        <f>IF(ISNUMBER(BM157),ROUND(BM155-BM157,1),"")</f>
        <v/>
      </c>
      <c r="BN156" s="176">
        <f>IF(ISNUMBER(BN157),ROUND(BN155-BN157,1),"")</f>
        <v/>
      </c>
      <c r="BO156" s="176">
        <f>IF(ISNUMBER(BO157),ROUND(BO155-BO157,1),"")</f>
        <v/>
      </c>
      <c r="BP156" s="176">
        <f>IF(ISNUMBER(BP157),ROUND(BP155-BP157,1),"")</f>
        <v/>
      </c>
      <c r="BQ156" s="176">
        <f>IF(ISNUMBER(BQ157),ROUND(BQ155-BQ157,1),"")</f>
        <v/>
      </c>
      <c r="BR156" s="176">
        <f>IF(ISNUMBER(BR157),ROUND(BR155-BR157,1),"")</f>
        <v/>
      </c>
      <c r="BS156" s="176">
        <f>IF(ISNUMBER(BS157),ROUND(BS155-BS157,1),"")</f>
        <v/>
      </c>
      <c r="BT156" s="176">
        <f>IF(ISNUMBER(BT157),ROUND(BT155-BT157,1),"")</f>
        <v/>
      </c>
      <c r="BU156" s="176">
        <f>IF(ISNUMBER(BU157),ROUND(BU155-BU157,1),"")</f>
        <v/>
      </c>
      <c r="BV156" s="176">
        <f>IF(ISNUMBER(BV157),ROUND(BV155-BV157,1),"")</f>
        <v/>
      </c>
      <c r="BW156" s="176">
        <f>IF(ISNUMBER(BW157),ROUND(BW155-BW157,1),"")</f>
        <v/>
      </c>
      <c r="BX156" s="176">
        <f>IF(ISNUMBER(BX157),ROUND(BX155-BX157,1),"")</f>
        <v/>
      </c>
      <c r="BY156" s="176">
        <f>IF(ISNUMBER(BY157),ROUND(BY155-BY157,1),"")</f>
        <v/>
      </c>
      <c r="BZ156" s="176">
        <f>IF(ISNUMBER(BZ157),ROUND(BZ155-BZ157,1),"")</f>
        <v/>
      </c>
      <c r="CA156" s="176">
        <f>IF(ISNUMBER(CA157),ROUND(CA155-CA157,1),"")</f>
        <v/>
      </c>
      <c r="CB156" s="176">
        <f>IF(ISNUMBER(CB157),ROUND(CB155-CB157,1),"")</f>
        <v/>
      </c>
      <c r="CC156" s="176">
        <f>IF(ISNUMBER(CC157),ROUND(CC155-CC157,1),"")</f>
        <v/>
      </c>
      <c r="CD156" s="176">
        <f>IF(ISNUMBER(CD157),ROUND(CD155-CD157,1),"")</f>
        <v/>
      </c>
      <c r="CE156" s="176">
        <f>IF(ISNUMBER(CE157),ROUND(CE155-CE157,1),"")</f>
        <v/>
      </c>
      <c r="CF156" s="176">
        <f>IF(ISNUMBER(CF157),ROUND(CF155-CF157,1),"")</f>
        <v/>
      </c>
      <c r="CG156" s="176">
        <f>IF(ISNUMBER(CG157),ROUND(CG155-CG157,1),"")</f>
        <v/>
      </c>
      <c r="CH156" s="176">
        <f>IF(ISNUMBER(CH157),ROUND(CH155-CH157,1),"")</f>
        <v/>
      </c>
      <c r="CI156" s="176">
        <f>IF(ISNUMBER(CI157),ROUND(CI155-CI157,1),"")</f>
        <v/>
      </c>
      <c r="CJ156" s="176">
        <f>IF(ISNUMBER(CJ157),ROUND(CJ155-CJ157,1),"")</f>
        <v/>
      </c>
      <c r="CK156" s="176">
        <f>IF(ISNUMBER(CK157),ROUND(CK155-CK157,1),"")</f>
        <v/>
      </c>
      <c r="CL156" s="176">
        <f>IF(ISNUMBER(CL157),ROUND(CL155-CL157,1),"")</f>
        <v/>
      </c>
      <c r="CM156" s="31" t="n"/>
      <c r="CN156" s="31" t="n"/>
      <c r="CO156" s="31" t="n"/>
      <c r="CP156" s="31" t="n"/>
      <c r="CQ156" s="31" t="n"/>
      <c r="CR156" s="31" t="n"/>
      <c r="CS156" s="31" t="n"/>
      <c r="CT156" s="22" t="n"/>
      <c r="CV156" s="6" t="n"/>
      <c r="CW156" s="6" t="n"/>
      <c r="CX156" s="6" t="n"/>
      <c r="CY156" s="6" t="n"/>
    </row>
    <row r="157" ht="15" customHeight="1">
      <c r="B157" s="36" t="inlineStr">
        <is>
          <t xml:space="preserve">  Memo: net earnings attributable to Vulcan as reported</t>
        </is>
      </c>
      <c r="C157" s="169" t="n">
        <v>467.5</v>
      </c>
      <c r="D157" s="169" t="n">
        <v>450.9</v>
      </c>
      <c r="E157" s="169" t="n">
        <v>-4.1</v>
      </c>
      <c r="F157" s="169" t="n">
        <v>30.3</v>
      </c>
      <c r="G157" s="169" t="n">
        <v>-96.5</v>
      </c>
      <c r="H157" s="169" t="n">
        <v>-70.8</v>
      </c>
      <c r="I157" s="169" t="n">
        <v>-52.6</v>
      </c>
      <c r="J157" s="169" t="n">
        <v>-54.8</v>
      </c>
      <c r="K157" s="169" t="n">
        <v>28.8</v>
      </c>
      <c r="L157" s="170">
        <f>J157+K157</f>
        <v/>
      </c>
      <c r="M157" s="169" t="n">
        <v>41.4</v>
      </c>
      <c r="N157" s="169" t="n">
        <v>9.1</v>
      </c>
      <c r="O157" s="169" t="n">
        <v>24.4</v>
      </c>
      <c r="P157" s="169" t="n">
        <v>54</v>
      </c>
      <c r="Q157" s="169" t="n">
        <v>46</v>
      </c>
      <c r="R157" s="170">
        <f>P157+Q157</f>
        <v/>
      </c>
      <c r="S157" s="169" t="n">
        <v>66.90000000000001</v>
      </c>
      <c r="T157" s="169" t="n">
        <v>38</v>
      </c>
      <c r="U157" s="169" t="n">
        <v>204.9</v>
      </c>
      <c r="V157" s="169" t="n">
        <v>-39.7</v>
      </c>
      <c r="W157" s="169" t="n">
        <v>48.2</v>
      </c>
      <c r="X157" s="170">
        <f>V157+W157</f>
        <v/>
      </c>
      <c r="Y157" s="169" t="n">
        <v>123.8</v>
      </c>
      <c r="Z157" s="169" t="n">
        <v>88.90000000000001</v>
      </c>
      <c r="AA157" s="169" t="n">
        <v>221.2</v>
      </c>
      <c r="AB157" s="169" t="n">
        <v>18.9</v>
      </c>
      <c r="AC157" s="169" t="n">
        <v>123.8</v>
      </c>
      <c r="AD157" s="170">
        <f>AB157+AC157</f>
        <v/>
      </c>
      <c r="AE157" s="169" t="n">
        <v>139.8</v>
      </c>
      <c r="AF157" s="169" t="n">
        <v>112.6</v>
      </c>
      <c r="AG157" s="169" t="n">
        <v>419.5</v>
      </c>
      <c r="AH157" s="169" t="n">
        <v>44.9</v>
      </c>
      <c r="AI157" s="169" t="n">
        <v>120.1</v>
      </c>
      <c r="AJ157" s="170">
        <f>AH157+AI157</f>
        <v/>
      </c>
      <c r="AK157" s="169" t="n">
        <v>108.6</v>
      </c>
      <c r="AL157" s="169" t="n">
        <v>327.5</v>
      </c>
      <c r="AM157" s="169" t="n">
        <v>601.2</v>
      </c>
      <c r="AN157" s="169" t="n">
        <v>53</v>
      </c>
      <c r="AO157" s="169" t="n">
        <v>159.7</v>
      </c>
      <c r="AP157" s="170">
        <f>AN157+AO157</f>
        <v/>
      </c>
      <c r="AQ157" s="169" t="n">
        <v>179.2</v>
      </c>
      <c r="AR157" s="169" t="n">
        <v>124</v>
      </c>
      <c r="AS157" s="169" t="n">
        <v>515.8</v>
      </c>
      <c r="AT157" s="169" t="n">
        <v>63.3</v>
      </c>
      <c r="AU157" s="169" t="n">
        <v>197.6</v>
      </c>
      <c r="AV157" s="170">
        <f>AT157+AU157</f>
        <v/>
      </c>
      <c r="AW157" s="169" t="n">
        <v>215.7</v>
      </c>
      <c r="AX157" s="169" t="n">
        <v>141.1</v>
      </c>
      <c r="AY157" s="169" t="n">
        <v>617.7</v>
      </c>
      <c r="AZ157" s="169" t="n">
        <v>60.3</v>
      </c>
      <c r="BA157" s="169" t="n">
        <v>209.9</v>
      </c>
      <c r="BB157" s="170">
        <f>AZ157+BA157</f>
        <v/>
      </c>
      <c r="BC157" s="169" t="n">
        <v>199.8</v>
      </c>
      <c r="BD157" s="169" t="n">
        <v>114.5</v>
      </c>
      <c r="BE157" s="169" t="n">
        <v>584.5</v>
      </c>
      <c r="BF157" s="169" t="n">
        <v>160.6</v>
      </c>
      <c r="BG157" s="169" t="n">
        <v>195.3</v>
      </c>
      <c r="BH157" s="170">
        <f>BF157+BG157</f>
        <v/>
      </c>
      <c r="BI157" s="169" t="n">
        <v>176.9</v>
      </c>
      <c r="BJ157" s="169" t="n">
        <v>138</v>
      </c>
      <c r="BK157" s="169" t="n">
        <v>670.8</v>
      </c>
      <c r="BL157" s="169" t="n">
        <v>91.8</v>
      </c>
      <c r="BM157" s="169" t="n">
        <v>187.3</v>
      </c>
      <c r="BN157" s="170">
        <f>BL157+BM157</f>
        <v/>
      </c>
      <c r="BO157" s="169" t="n">
        <v>177.1</v>
      </c>
      <c r="BP157" s="169" t="n">
        <v>119.4</v>
      </c>
      <c r="BQ157" s="169" t="n">
        <v>575.6</v>
      </c>
      <c r="BR157" s="169" t="n">
        <v>120.7</v>
      </c>
      <c r="BS157" s="169" t="n">
        <v>308.6</v>
      </c>
      <c r="BT157" s="170">
        <f>BR157+BS157</f>
        <v/>
      </c>
      <c r="BU157" s="169" t="n">
        <v>276.5</v>
      </c>
      <c r="BV157" s="169" t="n">
        <v>227.5</v>
      </c>
      <c r="BW157" s="169" t="n">
        <v>933.2</v>
      </c>
      <c r="BX157" s="169" t="n">
        <v>102.7</v>
      </c>
      <c r="BY157" s="169" t="n">
        <v>308</v>
      </c>
      <c r="BZ157" s="170">
        <f>BX157+BY157</f>
        <v/>
      </c>
      <c r="CA157" s="169" t="n">
        <v>207.6</v>
      </c>
      <c r="CB157" s="169" t="n">
        <v>293.8</v>
      </c>
      <c r="CC157" s="169" t="n">
        <v>911.9</v>
      </c>
      <c r="CD157" s="169" t="n">
        <v>128.9</v>
      </c>
      <c r="CE157" s="169" t="n">
        <v>320.9</v>
      </c>
      <c r="CF157" s="170">
        <f>CD157+CE157</f>
        <v/>
      </c>
      <c r="CG157" s="169" t="n">
        <v>374.9</v>
      </c>
      <c r="CH157" s="169" t="n">
        <v>252</v>
      </c>
      <c r="CI157" s="169" t="n">
        <v>1076.7</v>
      </c>
      <c r="CJ157" s="169" t="n">
        <v>165.5</v>
      </c>
      <c r="CK157" s="169" t="n">
        <v>323.4</v>
      </c>
      <c r="CL157" s="170">
        <f>CJ157+CK157</f>
        <v/>
      </c>
      <c r="CM157" s="31" t="n"/>
      <c r="CN157" s="31" t="n"/>
      <c r="CO157" s="31" t="n"/>
      <c r="CP157" s="31" t="n"/>
      <c r="CQ157" s="31" t="n"/>
      <c r="CR157" s="31" t="n"/>
      <c r="CS157" s="31" t="n"/>
      <c r="CT157" s="22" t="n"/>
      <c r="CV157" s="6" t="n"/>
      <c r="CW157" s="6" t="n"/>
      <c r="CX157" s="6" t="n"/>
      <c r="CY157" s="6" t="n"/>
    </row>
    <row r="158" ht="15" customHeight="1">
      <c r="B158" s="36" t="inlineStr">
        <is>
          <t xml:space="preserve">  Memo: depreciation, depletion, accretion &amp; amortization (total)</t>
        </is>
      </c>
      <c r="C158" s="169" t="n">
        <v>224.7</v>
      </c>
      <c r="D158" s="169" t="n">
        <v>271.5</v>
      </c>
      <c r="E158" s="169" t="n">
        <v>389.1</v>
      </c>
      <c r="F158" s="169" t="n">
        <v>394.6</v>
      </c>
      <c r="G158" s="169" t="n">
        <v>382.1</v>
      </c>
      <c r="H158" s="169" t="n">
        <v>361.7</v>
      </c>
      <c r="I158" s="169" t="n">
        <v>332</v>
      </c>
      <c r="J158" s="169" t="n">
        <v>75.59999999999999</v>
      </c>
      <c r="K158" s="169" t="n">
        <v>77</v>
      </c>
      <c r="L158" s="170">
        <f>J158+K158</f>
        <v/>
      </c>
      <c r="M158" s="169" t="n">
        <v>78.3</v>
      </c>
      <c r="N158" s="169" t="n">
        <v>74.2</v>
      </c>
      <c r="O158" s="169" t="n">
        <v>305.1</v>
      </c>
      <c r="P158" s="169" t="n">
        <v>69.40000000000001</v>
      </c>
      <c r="Q158" s="169" t="n">
        <v>68.3</v>
      </c>
      <c r="R158" s="170">
        <f>P158+Q158</f>
        <v/>
      </c>
      <c r="S158" s="169" t="n">
        <v>71.2</v>
      </c>
      <c r="T158" s="169" t="n">
        <v>70.59999999999999</v>
      </c>
      <c r="U158" s="169" t="n">
        <v>279.5</v>
      </c>
      <c r="V158" s="169" t="n">
        <v>66.7</v>
      </c>
      <c r="W158" s="169" t="n">
        <v>68.40000000000001</v>
      </c>
      <c r="X158" s="170">
        <f>V158+W158</f>
        <v/>
      </c>
      <c r="Y158" s="169" t="n">
        <v>69.7</v>
      </c>
      <c r="Z158" s="169" t="n">
        <v>70.09999999999999</v>
      </c>
      <c r="AA158" s="169" t="n">
        <v>274.8</v>
      </c>
      <c r="AB158" s="169" t="n">
        <v>69.40000000000001</v>
      </c>
      <c r="AC158" s="169" t="n">
        <v>71.90000000000001</v>
      </c>
      <c r="AD158" s="170">
        <f>AB158+AC158</f>
        <v/>
      </c>
      <c r="AE158" s="169" t="n">
        <v>72</v>
      </c>
      <c r="AF158" s="169" t="n">
        <v>71.59999999999999</v>
      </c>
      <c r="AG158" s="169" t="n">
        <v>284.9</v>
      </c>
      <c r="AH158" s="169" t="n">
        <v>71.59999999999999</v>
      </c>
      <c r="AI158" s="169" t="n">
        <v>76.8</v>
      </c>
      <c r="AJ158" s="170">
        <f>AH158+AI158</f>
        <v/>
      </c>
      <c r="AK158" s="169" t="n">
        <v>79.59999999999999</v>
      </c>
      <c r="AL158" s="169" t="n">
        <v>78</v>
      </c>
      <c r="AM158" s="169" t="n">
        <v>306</v>
      </c>
      <c r="AN158" s="169" t="n">
        <v>81.40000000000001</v>
      </c>
      <c r="AO158" s="169" t="n">
        <v>85.59999999999999</v>
      </c>
      <c r="AP158" s="170">
        <f>AN158+AO158</f>
        <v/>
      </c>
      <c r="AQ158" s="169" t="n">
        <v>89.40000000000001</v>
      </c>
      <c r="AR158" s="169" t="n">
        <v>89.8</v>
      </c>
      <c r="AS158" s="169" t="n">
        <v>346.2</v>
      </c>
      <c r="AT158" s="169" t="n">
        <v>89.2</v>
      </c>
      <c r="AU158" s="169" t="n">
        <v>93.5</v>
      </c>
      <c r="AV158" s="170">
        <f>AT158+AU158</f>
        <v/>
      </c>
      <c r="AW158" s="169" t="n">
        <v>96.2</v>
      </c>
      <c r="AX158" s="169" t="n">
        <v>95.7</v>
      </c>
      <c r="AY158" s="169" t="n">
        <v>374.6</v>
      </c>
      <c r="AZ158" s="169" t="n">
        <v>95.5</v>
      </c>
      <c r="BA158" s="169" t="n">
        <v>99.5</v>
      </c>
      <c r="BB158" s="170">
        <f>AZ158+BA158</f>
        <v/>
      </c>
      <c r="BC158" s="169" t="n">
        <v>101</v>
      </c>
      <c r="BD158" s="169" t="n">
        <v>100.9</v>
      </c>
      <c r="BE158" s="169" t="n">
        <v>396.8</v>
      </c>
      <c r="BF158" s="169" t="n">
        <v>100.4</v>
      </c>
      <c r="BG158" s="169" t="n">
        <v>103.1</v>
      </c>
      <c r="BH158" s="170">
        <f>BF158+BG158</f>
        <v/>
      </c>
      <c r="BI158" s="169" t="n">
        <v>117.5</v>
      </c>
      <c r="BJ158" s="169" t="n">
        <v>142</v>
      </c>
      <c r="BK158" s="169" t="n">
        <v>463</v>
      </c>
      <c r="BL158" s="169" t="n">
        <v>141</v>
      </c>
      <c r="BM158" s="169" t="n">
        <v>143</v>
      </c>
      <c r="BN158" s="170">
        <f>BL158+BM158</f>
        <v/>
      </c>
      <c r="BO158" s="169" t="n">
        <v>151</v>
      </c>
      <c r="BP158" s="169" t="n">
        <v>152.5</v>
      </c>
      <c r="BQ158" s="169" t="n">
        <v>587.5</v>
      </c>
      <c r="BR158" s="169" t="n">
        <v>148.4</v>
      </c>
      <c r="BS158" s="169" t="n">
        <v>154.9</v>
      </c>
      <c r="BT158" s="170">
        <f>BR158+BS158</f>
        <v/>
      </c>
      <c r="BU158" s="169" t="n">
        <v>161.1</v>
      </c>
      <c r="BV158" s="169" t="n">
        <v>152.5</v>
      </c>
      <c r="BW158" s="169" t="n">
        <v>617</v>
      </c>
      <c r="BX158" s="169" t="n">
        <v>150.9</v>
      </c>
      <c r="BY158" s="169" t="n">
        <v>156.8</v>
      </c>
      <c r="BZ158" s="170">
        <f>BX158+BY158</f>
        <v/>
      </c>
      <c r="CA158" s="169" t="n">
        <v>160.7</v>
      </c>
      <c r="CB158" s="169" t="n">
        <v>163.8</v>
      </c>
      <c r="CC158" s="169" t="n">
        <v>632.2</v>
      </c>
      <c r="CD158" s="169" t="n">
        <v>186.4</v>
      </c>
      <c r="CE158" s="169" t="n">
        <v>185.5</v>
      </c>
      <c r="CF158" s="170">
        <f>CD158+CE158</f>
        <v/>
      </c>
      <c r="CG158" s="169" t="n">
        <v>191.4</v>
      </c>
      <c r="CH158" s="169" t="n">
        <v>185.3</v>
      </c>
      <c r="CI158" s="169" t="n">
        <v>748.5</v>
      </c>
      <c r="CJ158" s="169" t="n">
        <v>170.3</v>
      </c>
      <c r="CK158" s="169" t="n">
        <v>177.5</v>
      </c>
      <c r="CL158" s="170">
        <f>CJ158+CK158</f>
        <v/>
      </c>
      <c r="CM158" s="171">
        <f>CM117</f>
        <v/>
      </c>
      <c r="CN158" s="171">
        <f>CN117</f>
        <v/>
      </c>
      <c r="CO158" s="171">
        <f>SUM(CJ158,CK158,CM158,CN158)</f>
        <v/>
      </c>
      <c r="CP158" s="171">
        <f>CP117</f>
        <v/>
      </c>
      <c r="CQ158" s="171">
        <f>CQ117</f>
        <v/>
      </c>
      <c r="CR158" s="171">
        <f>CR117</f>
        <v/>
      </c>
      <c r="CS158" s="171">
        <f>CS117</f>
        <v/>
      </c>
      <c r="CT158" s="22" t="n"/>
      <c r="CV158" s="164">
        <f>IFERROR((CS158/CI158)^(1/5)-1,"n/m")</f>
        <v/>
      </c>
      <c r="CW158" s="164">
        <f>IFERROR((CI158/BE158)^(1/5)-1,"n/m")</f>
        <v/>
      </c>
      <c r="CX158" s="164">
        <f>IFERROR((CI158/AA158)^(1/10)-1,"n/m")</f>
        <v/>
      </c>
      <c r="CY158" s="164">
        <f>IFERROR((CI158/C158)^(1/19)-1,"n/m")</f>
        <v/>
      </c>
    </row>
    <row r="159" ht="15" customHeight="1">
      <c r="B159" s="38" t="inlineStr">
        <is>
          <t xml:space="preserve">  Check: Σ segment + corporate DDA&amp;A vs total (should be 0)</t>
        </is>
      </c>
      <c r="C159" s="176">
        <f>IF(AND(ISNUMBER(C158),ISNUMBER(C117)),ROUND(C117-C158,1),"")</f>
        <v/>
      </c>
      <c r="D159" s="176">
        <f>IF(AND(ISNUMBER(D158),ISNUMBER(D117)),ROUND(D117-D158,1),"")</f>
        <v/>
      </c>
      <c r="E159" s="176">
        <f>IF(AND(ISNUMBER(E158),ISNUMBER(E117)),ROUND(E117-E158,1),"")</f>
        <v/>
      </c>
      <c r="F159" s="176">
        <f>IF(AND(ISNUMBER(F158),ISNUMBER(F117)),ROUND(F117-F158,1),"")</f>
        <v/>
      </c>
      <c r="G159" s="176">
        <f>IF(AND(ISNUMBER(G158),ISNUMBER(G117)),ROUND(G117-G158,1),"")</f>
        <v/>
      </c>
      <c r="H159" s="176">
        <f>IF(AND(ISNUMBER(H158),ISNUMBER(H117)),ROUND(H117-H158,1),"")</f>
        <v/>
      </c>
      <c r="I159" s="176">
        <f>IF(AND(ISNUMBER(I158),ISNUMBER(I117)),ROUND(I117-I158,1),"")</f>
        <v/>
      </c>
      <c r="J159" s="176">
        <f>IF(AND(ISNUMBER(J158),ISNUMBER(J117)),ROUND(J117-J158,1),"")</f>
        <v/>
      </c>
      <c r="K159" s="176">
        <f>IF(AND(ISNUMBER(K158),ISNUMBER(K117)),ROUND(K117-K158,1),"")</f>
        <v/>
      </c>
      <c r="L159" s="176">
        <f>IF(AND(ISNUMBER(L158),ISNUMBER(L117)),ROUND(L117-L158,1),"")</f>
        <v/>
      </c>
      <c r="M159" s="176">
        <f>IF(AND(ISNUMBER(M158),ISNUMBER(M117)),ROUND(M117-M158,1),"")</f>
        <v/>
      </c>
      <c r="N159" s="176">
        <f>IF(AND(ISNUMBER(N158),ISNUMBER(N117)),ROUND(N117-N158,1),"")</f>
        <v/>
      </c>
      <c r="O159" s="176">
        <f>IF(AND(ISNUMBER(O158),ISNUMBER(O117)),ROUND(O117-O158,1),"")</f>
        <v/>
      </c>
      <c r="P159" s="176">
        <f>IF(AND(ISNUMBER(P158),ISNUMBER(P117)),ROUND(P117-P158,1),"")</f>
        <v/>
      </c>
      <c r="Q159" s="176">
        <f>IF(AND(ISNUMBER(Q158),ISNUMBER(Q117)),ROUND(Q117-Q158,1),"")</f>
        <v/>
      </c>
      <c r="R159" s="176">
        <f>IF(AND(ISNUMBER(R158),ISNUMBER(R117)),ROUND(R117-R158,1),"")</f>
        <v/>
      </c>
      <c r="S159" s="176">
        <f>IF(AND(ISNUMBER(S158),ISNUMBER(S117)),ROUND(S117-S158,1),"")</f>
        <v/>
      </c>
      <c r="T159" s="176">
        <f>IF(AND(ISNUMBER(T158),ISNUMBER(T117)),ROUND(T117-T158,1),"")</f>
        <v/>
      </c>
      <c r="U159" s="176">
        <f>IF(AND(ISNUMBER(U158),ISNUMBER(U117)),ROUND(U117-U158,1),"")</f>
        <v/>
      </c>
      <c r="V159" s="176">
        <f>IF(AND(ISNUMBER(V158),ISNUMBER(V117)),ROUND(V117-V158,1),"")</f>
        <v/>
      </c>
      <c r="W159" s="176">
        <f>IF(AND(ISNUMBER(W158),ISNUMBER(W117)),ROUND(W117-W158,1),"")</f>
        <v/>
      </c>
      <c r="X159" s="176">
        <f>IF(AND(ISNUMBER(X158),ISNUMBER(X117)),ROUND(X117-X158,1),"")</f>
        <v/>
      </c>
      <c r="Y159" s="176">
        <f>IF(AND(ISNUMBER(Y158),ISNUMBER(Y117)),ROUND(Y117-Y158,1),"")</f>
        <v/>
      </c>
      <c r="Z159" s="176">
        <f>IF(AND(ISNUMBER(Z158),ISNUMBER(Z117)),ROUND(Z117-Z158,1),"")</f>
        <v/>
      </c>
      <c r="AA159" s="176">
        <f>IF(AND(ISNUMBER(AA158),ISNUMBER(AA117)),ROUND(AA117-AA158,1),"")</f>
        <v/>
      </c>
      <c r="AB159" s="176">
        <f>IF(AND(ISNUMBER(AB158),ISNUMBER(AB117)),ROUND(AB117-AB158,1),"")</f>
        <v/>
      </c>
      <c r="AC159" s="176">
        <f>IF(AND(ISNUMBER(AC158),ISNUMBER(AC117)),ROUND(AC117-AC158,1),"")</f>
        <v/>
      </c>
      <c r="AD159" s="176">
        <f>IF(AND(ISNUMBER(AD158),ISNUMBER(AD117)),ROUND(AD117-AD158,1),"")</f>
        <v/>
      </c>
      <c r="AE159" s="176">
        <f>IF(AND(ISNUMBER(AE158),ISNUMBER(AE117)),ROUND(AE117-AE158,1),"")</f>
        <v/>
      </c>
      <c r="AF159" s="176">
        <f>IF(AND(ISNUMBER(AF158),ISNUMBER(AF117)),ROUND(AF117-AF158,1),"")</f>
        <v/>
      </c>
      <c r="AG159" s="176">
        <f>IF(AND(ISNUMBER(AG158),ISNUMBER(AG117)),ROUND(AG117-AG158,1),"")</f>
        <v/>
      </c>
      <c r="AH159" s="176">
        <f>IF(AND(ISNUMBER(AH158),ISNUMBER(AH117)),ROUND(AH117-AH158,1),"")</f>
        <v/>
      </c>
      <c r="AI159" s="176">
        <f>IF(AND(ISNUMBER(AI158),ISNUMBER(AI117)),ROUND(AI117-AI158,1),"")</f>
        <v/>
      </c>
      <c r="AJ159" s="176">
        <f>IF(AND(ISNUMBER(AJ158),ISNUMBER(AJ117)),ROUND(AJ117-AJ158,1),"")</f>
        <v/>
      </c>
      <c r="AK159" s="176">
        <f>IF(AND(ISNUMBER(AK158),ISNUMBER(AK117)),ROUND(AK117-AK158,1),"")</f>
        <v/>
      </c>
      <c r="AL159" s="176">
        <f>IF(AND(ISNUMBER(AL158),ISNUMBER(AL117)),ROUND(AL117-AL158,1),"")</f>
        <v/>
      </c>
      <c r="AM159" s="176">
        <f>IF(AND(ISNUMBER(AM158),ISNUMBER(AM117)),ROUND(AM117-AM158,1),"")</f>
        <v/>
      </c>
      <c r="AN159" s="176">
        <f>IF(AND(ISNUMBER(AN158),ISNUMBER(AN117)),ROUND(AN117-AN158,1),"")</f>
        <v/>
      </c>
      <c r="AO159" s="176">
        <f>IF(AND(ISNUMBER(AO158),ISNUMBER(AO117)),ROUND(AO117-AO158,1),"")</f>
        <v/>
      </c>
      <c r="AP159" s="176">
        <f>IF(AND(ISNUMBER(AP158),ISNUMBER(AP117)),ROUND(AP117-AP158,1),"")</f>
        <v/>
      </c>
      <c r="AQ159" s="176">
        <f>IF(AND(ISNUMBER(AQ158),ISNUMBER(AQ117)),ROUND(AQ117-AQ158,1),"")</f>
        <v/>
      </c>
      <c r="AR159" s="176">
        <f>IF(AND(ISNUMBER(AR158),ISNUMBER(AR117)),ROUND(AR117-AR158,1),"")</f>
        <v/>
      </c>
      <c r="AS159" s="176">
        <f>IF(AND(ISNUMBER(AS158),ISNUMBER(AS117)),ROUND(AS117-AS158,1),"")</f>
        <v/>
      </c>
      <c r="AT159" s="176">
        <f>IF(AND(ISNUMBER(AT158),ISNUMBER(AT117)),ROUND(AT117-AT158,1),"")</f>
        <v/>
      </c>
      <c r="AU159" s="176">
        <f>IF(AND(ISNUMBER(AU158),ISNUMBER(AU117)),ROUND(AU117-AU158,1),"")</f>
        <v/>
      </c>
      <c r="AV159" s="176">
        <f>IF(AND(ISNUMBER(AV158),ISNUMBER(AV117)),ROUND(AV117-AV158,1),"")</f>
        <v/>
      </c>
      <c r="AW159" s="176">
        <f>IF(AND(ISNUMBER(AW158),ISNUMBER(AW117)),ROUND(AW117-AW158,1),"")</f>
        <v/>
      </c>
      <c r="AX159" s="176">
        <f>IF(AND(ISNUMBER(AX158),ISNUMBER(AX117)),ROUND(AX117-AX158,1),"")</f>
        <v/>
      </c>
      <c r="AY159" s="176">
        <f>IF(AND(ISNUMBER(AY158),ISNUMBER(AY117)),ROUND(AY117-AY158,1),"")</f>
        <v/>
      </c>
      <c r="AZ159" s="176">
        <f>IF(AND(ISNUMBER(AZ158),ISNUMBER(AZ117)),ROUND(AZ117-AZ158,1),"")</f>
        <v/>
      </c>
      <c r="BA159" s="176">
        <f>IF(AND(ISNUMBER(BA158),ISNUMBER(BA117)),ROUND(BA117-BA158,1),"")</f>
        <v/>
      </c>
      <c r="BB159" s="176">
        <f>IF(AND(ISNUMBER(BB158),ISNUMBER(BB117)),ROUND(BB117-BB158,1),"")</f>
        <v/>
      </c>
      <c r="BC159" s="176">
        <f>IF(AND(ISNUMBER(BC158),ISNUMBER(BC117)),ROUND(BC117-BC158,1),"")</f>
        <v/>
      </c>
      <c r="BD159" s="176">
        <f>IF(AND(ISNUMBER(BD158),ISNUMBER(BD117)),ROUND(BD117-BD158,1),"")</f>
        <v/>
      </c>
      <c r="BE159" s="176">
        <f>IF(AND(ISNUMBER(BE158),ISNUMBER(BE117)),ROUND(BE117-BE158,1),"")</f>
        <v/>
      </c>
      <c r="BF159" s="176">
        <f>IF(AND(ISNUMBER(BF158),ISNUMBER(BF117)),ROUND(BF117-BF158,1),"")</f>
        <v/>
      </c>
      <c r="BG159" s="176">
        <f>IF(AND(ISNUMBER(BG158),ISNUMBER(BG117)),ROUND(BG117-BG158,1),"")</f>
        <v/>
      </c>
      <c r="BH159" s="176">
        <f>IF(AND(ISNUMBER(BH158),ISNUMBER(BH117)),ROUND(BH117-BH158,1),"")</f>
        <v/>
      </c>
      <c r="BI159" s="176">
        <f>IF(AND(ISNUMBER(BI158),ISNUMBER(BI117)),ROUND(BI117-BI158,1),"")</f>
        <v/>
      </c>
      <c r="BJ159" s="176">
        <f>IF(AND(ISNUMBER(BJ158),ISNUMBER(BJ117)),ROUND(BJ117-BJ158,1),"")</f>
        <v/>
      </c>
      <c r="BK159" s="176">
        <f>IF(AND(ISNUMBER(BK158),ISNUMBER(BK117)),ROUND(BK117-BK158,1),"")</f>
        <v/>
      </c>
      <c r="BL159" s="176">
        <f>IF(AND(ISNUMBER(BL158),ISNUMBER(BL117)),ROUND(BL117-BL158,1),"")</f>
        <v/>
      </c>
      <c r="BM159" s="176">
        <f>IF(AND(ISNUMBER(BM158),ISNUMBER(BM117)),ROUND(BM117-BM158,1),"")</f>
        <v/>
      </c>
      <c r="BN159" s="176">
        <f>IF(AND(ISNUMBER(BN158),ISNUMBER(BN117)),ROUND(BN117-BN158,1),"")</f>
        <v/>
      </c>
      <c r="BO159" s="176">
        <f>IF(AND(ISNUMBER(BO158),ISNUMBER(BO117)),ROUND(BO117-BO158,1),"")</f>
        <v/>
      </c>
      <c r="BP159" s="176">
        <f>IF(AND(ISNUMBER(BP158),ISNUMBER(BP117)),ROUND(BP117-BP158,1),"")</f>
        <v/>
      </c>
      <c r="BQ159" s="176">
        <f>IF(AND(ISNUMBER(BQ158),ISNUMBER(BQ117)),ROUND(BQ117-BQ158,1),"")</f>
        <v/>
      </c>
      <c r="BR159" s="176">
        <f>IF(AND(ISNUMBER(BR158),ISNUMBER(BR117)),ROUND(BR117-BR158,1),"")</f>
        <v/>
      </c>
      <c r="BS159" s="176">
        <f>IF(AND(ISNUMBER(BS158),ISNUMBER(BS117)),ROUND(BS117-BS158,1),"")</f>
        <v/>
      </c>
      <c r="BT159" s="176">
        <f>IF(AND(ISNUMBER(BT158),ISNUMBER(BT117)),ROUND(BT117-BT158,1),"")</f>
        <v/>
      </c>
      <c r="BU159" s="176">
        <f>IF(AND(ISNUMBER(BU158),ISNUMBER(BU117)),ROUND(BU117-BU158,1),"")</f>
        <v/>
      </c>
      <c r="BV159" s="176">
        <f>IF(AND(ISNUMBER(BV158),ISNUMBER(BV117)),ROUND(BV117-BV158,1),"")</f>
        <v/>
      </c>
      <c r="BW159" s="176">
        <f>IF(AND(ISNUMBER(BW158),ISNUMBER(BW117)),ROUND(BW117-BW158,1),"")</f>
        <v/>
      </c>
      <c r="BX159" s="176">
        <f>IF(AND(ISNUMBER(BX158),ISNUMBER(BX117)),ROUND(BX117-BX158,1),"")</f>
        <v/>
      </c>
      <c r="BY159" s="176">
        <f>IF(AND(ISNUMBER(BY158),ISNUMBER(BY117)),ROUND(BY117-BY158,1),"")</f>
        <v/>
      </c>
      <c r="BZ159" s="176">
        <f>IF(AND(ISNUMBER(BZ158),ISNUMBER(BZ117)),ROUND(BZ117-BZ158,1),"")</f>
        <v/>
      </c>
      <c r="CA159" s="176">
        <f>IF(AND(ISNUMBER(CA158),ISNUMBER(CA117)),ROUND(CA117-CA158,1),"")</f>
        <v/>
      </c>
      <c r="CB159" s="176">
        <f>IF(AND(ISNUMBER(CB158),ISNUMBER(CB117)),ROUND(CB117-CB158,1),"")</f>
        <v/>
      </c>
      <c r="CC159" s="176">
        <f>IF(AND(ISNUMBER(CC158),ISNUMBER(CC117)),ROUND(CC117-CC158,1),"")</f>
        <v/>
      </c>
      <c r="CD159" s="176">
        <f>IF(AND(ISNUMBER(CD158),ISNUMBER(CD117)),ROUND(CD117-CD158,1),"")</f>
        <v/>
      </c>
      <c r="CE159" s="176">
        <f>IF(AND(ISNUMBER(CE158),ISNUMBER(CE117)),ROUND(CE117-CE158,1),"")</f>
        <v/>
      </c>
      <c r="CF159" s="176">
        <f>IF(AND(ISNUMBER(CF158),ISNUMBER(CF117)),ROUND(CF117-CF158,1),"")</f>
        <v/>
      </c>
      <c r="CG159" s="176">
        <f>IF(AND(ISNUMBER(CG158),ISNUMBER(CG117)),ROUND(CG117-CG158,1),"")</f>
        <v/>
      </c>
      <c r="CH159" s="176">
        <f>IF(AND(ISNUMBER(CH158),ISNUMBER(CH117)),ROUND(CH117-CH158,1),"")</f>
        <v/>
      </c>
      <c r="CI159" s="176">
        <f>IF(AND(ISNUMBER(CI158),ISNUMBER(CI117)),ROUND(CI117-CI158,1),"")</f>
        <v/>
      </c>
      <c r="CJ159" s="176">
        <f>IF(AND(ISNUMBER(CJ158),ISNUMBER(CJ117)),ROUND(CJ117-CJ158,1),"")</f>
        <v/>
      </c>
      <c r="CK159" s="176">
        <f>IF(AND(ISNUMBER(CK158),ISNUMBER(CK117)),ROUND(CK117-CK158,1),"")</f>
        <v/>
      </c>
      <c r="CL159" s="176">
        <f>IF(AND(ISNUMBER(CL158),ISNUMBER(CL117)),ROUND(CL117-CL158,1),"")</f>
        <v/>
      </c>
      <c r="CM159" s="31" t="n"/>
      <c r="CN159" s="31" t="n"/>
      <c r="CO159" s="31" t="n"/>
      <c r="CP159" s="31" t="n"/>
      <c r="CQ159" s="31" t="n"/>
      <c r="CR159" s="31" t="n"/>
      <c r="CS159" s="31" t="n"/>
      <c r="CT159" s="22" t="n"/>
      <c r="CV159" s="6" t="n"/>
      <c r="CW159" s="6" t="n"/>
      <c r="CX159" s="6" t="n"/>
      <c r="CY159" s="6" t="n"/>
    </row>
    <row r="160" ht="15" customHeight="1">
      <c r="B160" s="36" t="inlineStr">
        <is>
          <t xml:space="preserve">  Memo: share-based compensation expense</t>
        </is>
      </c>
      <c r="C160" s="169" t="n">
        <v>14.4</v>
      </c>
      <c r="D160" s="169" t="n">
        <v>16.9</v>
      </c>
      <c r="E160" s="169" t="n">
        <v>19.1</v>
      </c>
      <c r="F160" s="169" t="n">
        <v>23.1</v>
      </c>
      <c r="G160" s="169" t="n">
        <v>20.6</v>
      </c>
      <c r="H160" s="169" t="n">
        <v>18.5</v>
      </c>
      <c r="I160" s="169" t="n">
        <v>17.5</v>
      </c>
      <c r="J160" s="29" t="n"/>
      <c r="K160" s="29" t="n"/>
      <c r="L160" s="29" t="n"/>
      <c r="M160" s="29" t="n"/>
      <c r="N160" s="29" t="n"/>
      <c r="O160" s="169" t="n">
        <v>22.1</v>
      </c>
      <c r="P160" s="29" t="n"/>
      <c r="Q160" s="29" t="n"/>
      <c r="R160" s="29" t="n"/>
      <c r="S160" s="29" t="n"/>
      <c r="T160" s="29" t="n"/>
      <c r="U160" s="169" t="n">
        <v>23.9</v>
      </c>
      <c r="V160" s="29" t="n"/>
      <c r="W160" s="29" t="n"/>
      <c r="X160" s="29" t="n"/>
      <c r="Y160" s="29" t="n"/>
      <c r="Z160" s="29" t="n"/>
      <c r="AA160" s="169" t="n">
        <v>18.2</v>
      </c>
      <c r="AB160" s="29" t="n"/>
      <c r="AC160" s="29" t="n"/>
      <c r="AD160" s="29" t="n"/>
      <c r="AE160" s="29" t="n"/>
      <c r="AF160" s="29" t="n"/>
      <c r="AG160" s="169" t="n">
        <v>20.7</v>
      </c>
      <c r="AH160" s="29" t="n"/>
      <c r="AI160" s="29" t="n"/>
      <c r="AJ160" s="29" t="n"/>
      <c r="AK160" s="29" t="n"/>
      <c r="AL160" s="29" t="n"/>
      <c r="AM160" s="169" t="n">
        <v>26.6</v>
      </c>
      <c r="AN160" s="29" t="n"/>
      <c r="AO160" s="29" t="n"/>
      <c r="AP160" s="29" t="n"/>
      <c r="AQ160" s="29" t="n"/>
      <c r="AR160" s="29" t="n"/>
      <c r="AS160" s="169" t="n">
        <v>25.2</v>
      </c>
      <c r="AT160" s="29" t="n"/>
      <c r="AU160" s="29" t="n"/>
      <c r="AV160" s="29" t="n"/>
      <c r="AW160" s="29" t="n"/>
      <c r="AX160" s="29" t="n"/>
      <c r="AY160" s="169" t="n">
        <v>31.8</v>
      </c>
      <c r="AZ160" s="30" t="n"/>
      <c r="BA160" s="30" t="n"/>
      <c r="BB160" s="29" t="n"/>
      <c r="BC160" s="30" t="n"/>
      <c r="BD160" s="30" t="n"/>
      <c r="BE160" s="169" t="n">
        <v>33</v>
      </c>
      <c r="BF160" s="30" t="n"/>
      <c r="BG160" s="30" t="n"/>
      <c r="BH160" s="29" t="n"/>
      <c r="BI160" s="30" t="n"/>
      <c r="BJ160" s="30" t="n"/>
      <c r="BK160" s="169" t="n">
        <v>34.7</v>
      </c>
      <c r="BL160" s="30" t="n"/>
      <c r="BM160" s="30" t="n"/>
      <c r="BN160" s="29" t="n"/>
      <c r="BO160" s="30" t="n"/>
      <c r="BP160" s="30" t="n"/>
      <c r="BQ160" s="169" t="n">
        <v>41.1</v>
      </c>
      <c r="BR160" s="30" t="n"/>
      <c r="BS160" s="30" t="n"/>
      <c r="BT160" s="29" t="n"/>
      <c r="BU160" s="30" t="n"/>
      <c r="BV160" s="30" t="n"/>
      <c r="BW160" s="169" t="n">
        <v>63.2</v>
      </c>
      <c r="BX160" s="30" t="n"/>
      <c r="BY160" s="30" t="n"/>
      <c r="BZ160" s="29" t="n"/>
      <c r="CA160" s="30" t="n"/>
      <c r="CB160" s="30" t="n"/>
      <c r="CC160" s="169" t="n">
        <v>53.4</v>
      </c>
      <c r="CD160" s="30" t="n"/>
      <c r="CE160" s="30" t="n"/>
      <c r="CF160" s="29" t="n"/>
      <c r="CG160" s="30" t="n"/>
      <c r="CH160" s="30" t="n"/>
      <c r="CI160" s="169" t="n">
        <v>63.1</v>
      </c>
      <c r="CJ160" s="30" t="n"/>
      <c r="CK160" s="30" t="n"/>
      <c r="CL160" s="29" t="n"/>
      <c r="CM160" s="31" t="n"/>
      <c r="CN160" s="31" t="n"/>
      <c r="CO160" s="171">
        <f>CO138*CO130</f>
        <v/>
      </c>
      <c r="CP160" s="171">
        <f>CP138*CP130</f>
        <v/>
      </c>
      <c r="CQ160" s="171">
        <f>CQ138*CQ130</f>
        <v/>
      </c>
      <c r="CR160" s="171">
        <f>CR138*CR130</f>
        <v/>
      </c>
      <c r="CS160" s="171">
        <f>CS138*CS130</f>
        <v/>
      </c>
      <c r="CT160" s="22" t="n"/>
      <c r="CV160" s="6" t="n"/>
      <c r="CW160" s="6" t="n"/>
      <c r="CX160" s="6" t="n"/>
      <c r="CY160" s="6" t="n"/>
    </row>
    <row r="161" ht="15" customHeight="1">
      <c r="B161" s="12" t="inlineStr">
        <is>
          <t>(Earnings per share)</t>
        </is>
      </c>
      <c r="C161" s="29" t="n"/>
      <c r="D161" s="29" t="n"/>
      <c r="E161" s="30" t="n"/>
      <c r="F161" s="30" t="n"/>
      <c r="G161" s="30" t="n"/>
      <c r="H161" s="30" t="n"/>
      <c r="I161" s="30" t="n"/>
      <c r="J161" s="30" t="n"/>
      <c r="K161" s="30" t="n"/>
      <c r="L161" s="29" t="n"/>
      <c r="M161" s="30" t="n"/>
      <c r="N161" s="30" t="n"/>
      <c r="O161" s="30" t="n"/>
      <c r="P161" s="30" t="n"/>
      <c r="Q161" s="30" t="n"/>
      <c r="R161" s="29" t="n"/>
      <c r="S161" s="30" t="n"/>
      <c r="T161" s="30" t="n"/>
      <c r="U161" s="30" t="n"/>
      <c r="V161" s="30" t="n"/>
      <c r="W161" s="30" t="n"/>
      <c r="X161" s="29" t="n"/>
      <c r="Y161" s="30" t="n"/>
      <c r="Z161" s="30" t="n"/>
      <c r="AA161" s="30" t="n"/>
      <c r="AB161" s="30" t="n"/>
      <c r="AC161" s="30" t="n"/>
      <c r="AD161" s="29" t="n"/>
      <c r="AE161" s="30" t="n"/>
      <c r="AF161" s="30" t="n"/>
      <c r="AG161" s="30" t="n"/>
      <c r="AH161" s="30" t="n"/>
      <c r="AI161" s="30" t="n"/>
      <c r="AJ161" s="29" t="n"/>
      <c r="AK161" s="30" t="n"/>
      <c r="AL161" s="30" t="n"/>
      <c r="AM161" s="30" t="n"/>
      <c r="AN161" s="30" t="n"/>
      <c r="AO161" s="30" t="n"/>
      <c r="AP161" s="29" t="n"/>
      <c r="AQ161" s="30" t="n"/>
      <c r="AR161" s="30" t="n"/>
      <c r="AS161" s="30" t="n"/>
      <c r="AT161" s="30" t="n"/>
      <c r="AU161" s="30" t="n"/>
      <c r="AV161" s="29" t="n"/>
      <c r="AW161" s="30" t="n"/>
      <c r="AX161" s="30" t="n"/>
      <c r="AY161" s="30" t="n"/>
      <c r="AZ161" s="30" t="n"/>
      <c r="BA161" s="30" t="n"/>
      <c r="BB161" s="29" t="n"/>
      <c r="BC161" s="30" t="n"/>
      <c r="BD161" s="30" t="n"/>
      <c r="BE161" s="30" t="n"/>
      <c r="BF161" s="30" t="n"/>
      <c r="BG161" s="30" t="n"/>
      <c r="BH161" s="29" t="n"/>
      <c r="BI161" s="30" t="n"/>
      <c r="BJ161" s="30" t="n"/>
      <c r="BK161" s="30" t="n"/>
      <c r="BL161" s="30" t="n"/>
      <c r="BM161" s="30" t="n"/>
      <c r="BN161" s="29" t="n"/>
      <c r="BO161" s="30" t="n"/>
      <c r="BP161" s="30" t="n"/>
      <c r="BQ161" s="30" t="n"/>
      <c r="BR161" s="30" t="n"/>
      <c r="BS161" s="30" t="n"/>
      <c r="BT161" s="29" t="n"/>
      <c r="BU161" s="30" t="n"/>
      <c r="BV161" s="30" t="n"/>
      <c r="BW161" s="30" t="n"/>
      <c r="BX161" s="30" t="n"/>
      <c r="BY161" s="30" t="n"/>
      <c r="BZ161" s="29" t="n"/>
      <c r="CA161" s="30" t="n"/>
      <c r="CB161" s="30" t="n"/>
      <c r="CC161" s="30" t="n"/>
      <c r="CD161" s="30" t="n"/>
      <c r="CE161" s="30" t="n"/>
      <c r="CF161" s="29" t="n"/>
      <c r="CG161" s="30" t="n"/>
      <c r="CH161" s="30" t="n"/>
      <c r="CI161" s="30" t="n"/>
      <c r="CJ161" s="30" t="n"/>
      <c r="CK161" s="30" t="n"/>
      <c r="CL161" s="29" t="n"/>
      <c r="CM161" s="31" t="n"/>
      <c r="CN161" s="31" t="n"/>
      <c r="CO161" s="31" t="n"/>
      <c r="CP161" s="31" t="n"/>
      <c r="CQ161" s="31" t="n"/>
      <c r="CR161" s="31" t="n"/>
      <c r="CS161" s="31" t="n"/>
      <c r="CT161" s="22" t="n"/>
      <c r="CV161" s="23" t="n"/>
      <c r="CW161" s="23" t="n"/>
      <c r="CX161" s="23" t="n"/>
      <c r="CY161" s="23" t="n"/>
    </row>
    <row r="162" ht="15" customHeight="1">
      <c r="B162" s="12" t="inlineStr">
        <is>
          <t xml:space="preserve">  Weighted-average basic shares (m)</t>
        </is>
      </c>
      <c r="C162" s="181" t="n">
        <v>97.59999999999999</v>
      </c>
      <c r="D162" s="181" t="n">
        <v>97</v>
      </c>
      <c r="E162" s="181" t="n">
        <v>109.8</v>
      </c>
      <c r="F162" s="181" t="n">
        <v>118.9</v>
      </c>
      <c r="G162" s="181" t="n">
        <v>128.1</v>
      </c>
      <c r="H162" s="181" t="n">
        <v>129.4</v>
      </c>
      <c r="I162" s="181" t="n">
        <v>129.7</v>
      </c>
      <c r="J162" s="181" t="n">
        <v>130.2</v>
      </c>
      <c r="K162" s="181" t="n">
        <v>130.2</v>
      </c>
      <c r="L162" s="176">
        <f>AVERAGE(J162,K162)</f>
        <v/>
      </c>
      <c r="M162" s="181" t="n">
        <v>130.3</v>
      </c>
      <c r="N162" s="181" t="n">
        <v>130.4</v>
      </c>
      <c r="O162" s="181" t="n">
        <v>130.3</v>
      </c>
      <c r="P162" s="181" t="n">
        <v>130.81</v>
      </c>
      <c r="Q162" s="181" t="n">
        <v>131.149</v>
      </c>
      <c r="R162" s="176">
        <f>AVERAGE(P162,Q162)</f>
        <v/>
      </c>
      <c r="S162" s="181" t="n">
        <v>131.797</v>
      </c>
      <c r="T162" s="181" t="n">
        <v>132.069</v>
      </c>
      <c r="U162" s="181" t="n">
        <v>131.461</v>
      </c>
      <c r="V162" s="181" t="n">
        <v>132.659</v>
      </c>
      <c r="W162" s="181" t="n">
        <v>133.103</v>
      </c>
      <c r="X162" s="176">
        <f>AVERAGE(V162,W162)</f>
        <v/>
      </c>
      <c r="Y162" s="181" t="n">
        <v>133.474</v>
      </c>
      <c r="Z162" s="181" t="n">
        <v>133.592</v>
      </c>
      <c r="AA162" s="181" t="n">
        <v>133.21</v>
      </c>
      <c r="AB162" s="181" t="n">
        <v>133.821</v>
      </c>
      <c r="AC162" s="181" t="n">
        <v>133.419</v>
      </c>
      <c r="AD162" s="176">
        <f>AVERAGE(AB162,AC162)</f>
        <v/>
      </c>
      <c r="AE162" s="181" t="n">
        <v>133.019</v>
      </c>
      <c r="AF162" s="181" t="n">
        <v>132.571</v>
      </c>
      <c r="AG162" s="181" t="n">
        <v>133.205</v>
      </c>
      <c r="AH162" s="181" t="n">
        <v>132.636</v>
      </c>
      <c r="AI162" s="181" t="n">
        <v>132.413</v>
      </c>
      <c r="AJ162" s="176">
        <f>AVERAGE(AH162,AI162)</f>
        <v/>
      </c>
      <c r="AK162" s="181" t="n">
        <v>132.484</v>
      </c>
      <c r="AL162" s="181" t="n">
        <v>132.519</v>
      </c>
      <c r="AM162" s="181" t="n">
        <v>132.513</v>
      </c>
      <c r="AN162" s="181" t="n">
        <v>132.69</v>
      </c>
      <c r="AO162" s="181" t="n">
        <v>132.437</v>
      </c>
      <c r="AP162" s="176">
        <f>AVERAGE(AN162,AO162)</f>
        <v/>
      </c>
      <c r="AQ162" s="181" t="n">
        <v>132.392</v>
      </c>
      <c r="AR162" s="181" t="n">
        <v>132.06</v>
      </c>
      <c r="AS162" s="181" t="n">
        <v>132.393</v>
      </c>
      <c r="AT162" s="181" t="n">
        <v>132.043</v>
      </c>
      <c r="AU162" s="181" t="n">
        <v>132.269</v>
      </c>
      <c r="AV162" s="176">
        <f>AVERAGE(AT162,AU162)</f>
        <v/>
      </c>
      <c r="AW162" s="181" t="n">
        <v>132.414</v>
      </c>
      <c r="AX162" s="181" t="n">
        <v>132.467</v>
      </c>
      <c r="AY162" s="181" t="n">
        <v>132.3</v>
      </c>
      <c r="AZ162" s="181" t="n">
        <v>132.567</v>
      </c>
      <c r="BA162" s="181" t="n">
        <v>132.552</v>
      </c>
      <c r="BB162" s="176">
        <f>AVERAGE(AZ162,BA162)</f>
        <v/>
      </c>
      <c r="BC162" s="181" t="n">
        <v>132.573</v>
      </c>
      <c r="BD162" s="181" t="n">
        <v>132.619</v>
      </c>
      <c r="BE162" s="181" t="n">
        <v>132.578</v>
      </c>
      <c r="BF162" s="181" t="n">
        <v>132.749</v>
      </c>
      <c r="BG162" s="181" t="n">
        <v>132.781</v>
      </c>
      <c r="BH162" s="176">
        <f>AVERAGE(BF162,BG162)</f>
        <v/>
      </c>
      <c r="BI162" s="181" t="n">
        <v>132.81</v>
      </c>
      <c r="BJ162" s="181" t="n">
        <v>132.8</v>
      </c>
      <c r="BK162" s="181" t="n">
        <v>132.8</v>
      </c>
      <c r="BL162" s="181" t="n">
        <v>133</v>
      </c>
      <c r="BM162" s="181" t="n">
        <v>133</v>
      </c>
      <c r="BN162" s="176">
        <f>AVERAGE(BL162,BM162)</f>
        <v/>
      </c>
      <c r="BO162" s="181" t="n">
        <v>133</v>
      </c>
      <c r="BP162" s="181" t="n">
        <v>133</v>
      </c>
      <c r="BQ162" s="181" t="n">
        <v>133</v>
      </c>
      <c r="BR162" s="181" t="n">
        <v>133.2</v>
      </c>
      <c r="BS162" s="181" t="n">
        <v>133.2</v>
      </c>
      <c r="BT162" s="176">
        <f>AVERAGE(BR162,BS162)</f>
        <v/>
      </c>
      <c r="BU162" s="181" t="n">
        <v>133</v>
      </c>
      <c r="BV162" s="181" t="n">
        <v>132.7</v>
      </c>
      <c r="BW162" s="181" t="n">
        <v>133</v>
      </c>
      <c r="BX162" s="181" t="n">
        <v>132.4</v>
      </c>
      <c r="BY162" s="181" t="n">
        <v>132.4</v>
      </c>
      <c r="BZ162" s="176">
        <f>AVERAGE(BX162,BY162)</f>
        <v/>
      </c>
      <c r="CA162" s="181" t="n">
        <v>132.2</v>
      </c>
      <c r="CB162" s="181" t="n">
        <v>132.2</v>
      </c>
      <c r="CC162" s="181" t="n">
        <v>132.3</v>
      </c>
      <c r="CD162" s="181" t="n">
        <v>132.4</v>
      </c>
      <c r="CE162" s="181" t="n">
        <v>132.2</v>
      </c>
      <c r="CF162" s="176">
        <f>AVERAGE(CD162,CE162)</f>
        <v/>
      </c>
      <c r="CG162" s="181" t="n">
        <v>132.1</v>
      </c>
      <c r="CH162" s="181" t="n">
        <v>131.4</v>
      </c>
      <c r="CI162" s="181" t="n">
        <v>132</v>
      </c>
      <c r="CJ162" s="181" t="n">
        <v>130.7</v>
      </c>
      <c r="CK162" s="181" t="n">
        <v>129.8</v>
      </c>
      <c r="CL162" s="176">
        <f>AVERAGE(CJ162,CK162)</f>
        <v/>
      </c>
      <c r="CM162" s="188">
        <f>$CK$162-$CO$297*0.25</f>
        <v/>
      </c>
      <c r="CN162" s="188">
        <f>$CK$162-$CO$297*0.75</f>
        <v/>
      </c>
      <c r="CO162" s="188">
        <f>AVERAGE(CJ162,CK162,CM162,CN162)</f>
        <v/>
      </c>
      <c r="CP162" s="188">
        <f>AVERAGE(CP299,CP300)</f>
        <v/>
      </c>
      <c r="CQ162" s="188">
        <f>AVERAGE(CQ299,CQ300)</f>
        <v/>
      </c>
      <c r="CR162" s="188">
        <f>AVERAGE(CR299,CR300)</f>
        <v/>
      </c>
      <c r="CS162" s="188">
        <f>AVERAGE(CS299,CS300)</f>
        <v/>
      </c>
      <c r="CT162" s="22" t="inlineStr">
        <is>
          <t>Q3/Q4-26E: Q2/26 less the 2H/26 buyback phased in (¼ in Q3, ¾ in Q4). 2027E+ = average of opening and closing shares.</t>
        </is>
      </c>
      <c r="CV162" s="23" t="n"/>
      <c r="CW162" s="23" t="n"/>
      <c r="CX162" s="23" t="n"/>
      <c r="CY162" s="23" t="n"/>
    </row>
    <row r="163" ht="15" customHeight="1">
      <c r="B163" s="12" t="inlineStr">
        <is>
          <t xml:space="preserve">  Weighted-average diluted shares (m)</t>
        </is>
      </c>
      <c r="C163" s="181" t="n">
        <v>99.8</v>
      </c>
      <c r="D163" s="181" t="n">
        <v>99.40000000000001</v>
      </c>
      <c r="E163" s="181" t="n">
        <v>109.8</v>
      </c>
      <c r="F163" s="181" t="n">
        <v>119.4</v>
      </c>
      <c r="G163" s="181" t="n">
        <v>128.1</v>
      </c>
      <c r="H163" s="181" t="n">
        <v>129.4</v>
      </c>
      <c r="I163" s="181" t="n">
        <v>129.7</v>
      </c>
      <c r="J163" s="181" t="n">
        <v>130.2</v>
      </c>
      <c r="K163" s="181" t="n">
        <v>131.3</v>
      </c>
      <c r="L163" s="176">
        <f>AVERAGE(J163,K163)</f>
        <v/>
      </c>
      <c r="M163" s="181" t="n">
        <v>131.3</v>
      </c>
      <c r="N163" s="181" t="n">
        <v>131.7</v>
      </c>
      <c r="O163" s="181" t="n">
        <v>131.5</v>
      </c>
      <c r="P163" s="181" t="n">
        <v>132.314</v>
      </c>
      <c r="Q163" s="181" t="n">
        <v>132.876</v>
      </c>
      <c r="R163" s="176">
        <f>AVERAGE(P163,Q163)</f>
        <v/>
      </c>
      <c r="S163" s="181" t="n">
        <v>133.369</v>
      </c>
      <c r="T163" s="181" t="n">
        <v>133.619</v>
      </c>
      <c r="U163" s="181" t="n">
        <v>132.991</v>
      </c>
      <c r="V163" s="181" t="n">
        <v>132.659</v>
      </c>
      <c r="W163" s="181" t="n">
        <v>135.234</v>
      </c>
      <c r="X163" s="176">
        <f>AVERAGE(V163,W163)</f>
        <v/>
      </c>
      <c r="Y163" s="181" t="n">
        <v>135.558</v>
      </c>
      <c r="Z163" s="181" t="n">
        <v>135.711</v>
      </c>
      <c r="AA163" s="181" t="n">
        <v>135.093</v>
      </c>
      <c r="AB163" s="181" t="n">
        <v>135.452</v>
      </c>
      <c r="AC163" s="181" t="n">
        <v>135.395</v>
      </c>
      <c r="AD163" s="176">
        <f>AVERAGE(AB163,AC163)</f>
        <v/>
      </c>
      <c r="AE163" s="181" t="n">
        <v>135.033</v>
      </c>
      <c r="AF163" s="181" t="n">
        <v>135.362</v>
      </c>
      <c r="AG163" s="181" t="n">
        <v>135.79</v>
      </c>
      <c r="AH163" s="181" t="n">
        <v>134.968</v>
      </c>
      <c r="AI163" s="181" t="n">
        <v>134.735</v>
      </c>
      <c r="AJ163" s="176">
        <f>AVERAGE(AH163,AI163)</f>
        <v/>
      </c>
      <c r="AK163" s="181" t="n">
        <v>134.765</v>
      </c>
      <c r="AL163" s="181" t="n">
        <v>134.815</v>
      </c>
      <c r="AM163" s="181" t="n">
        <v>134.878</v>
      </c>
      <c r="AN163" s="181" t="n">
        <v>134.359</v>
      </c>
      <c r="AO163" s="181" t="n">
        <v>134.051</v>
      </c>
      <c r="AP163" s="176">
        <f>AVERAGE(AN163,AO163)</f>
        <v/>
      </c>
      <c r="AQ163" s="181" t="n">
        <v>133.894</v>
      </c>
      <c r="AR163" s="181" t="n">
        <v>133.369</v>
      </c>
      <c r="AS163" s="181" t="n">
        <v>133.926</v>
      </c>
      <c r="AT163" s="181" t="n">
        <v>133.054</v>
      </c>
      <c r="AU163" s="181" t="n">
        <v>133.354</v>
      </c>
      <c r="AV163" s="176">
        <f>AVERAGE(AT163,AU163)</f>
        <v/>
      </c>
      <c r="AW163" s="181" t="n">
        <v>133.375</v>
      </c>
      <c r="AX163" s="181" t="n">
        <v>133.467</v>
      </c>
      <c r="AY163" s="181" t="n">
        <v>133.385</v>
      </c>
      <c r="AZ163" s="181" t="n">
        <v>133.259</v>
      </c>
      <c r="BA163" s="181" t="n">
        <v>133.115</v>
      </c>
      <c r="BB163" s="176">
        <f>AVERAGE(AZ163,BA163)</f>
        <v/>
      </c>
      <c r="BC163" s="181" t="n">
        <v>133.268</v>
      </c>
      <c r="BD163" s="181" t="n">
        <v>133.367</v>
      </c>
      <c r="BE163" s="181" t="n">
        <v>133.245</v>
      </c>
      <c r="BF163" s="181" t="n">
        <v>133.415</v>
      </c>
      <c r="BG163" s="181" t="n">
        <v>133.507</v>
      </c>
      <c r="BH163" s="176">
        <f>AVERAGE(BF163,BG163)</f>
        <v/>
      </c>
      <c r="BI163" s="181" t="n">
        <v>133.544</v>
      </c>
      <c r="BJ163" s="181" t="n">
        <v>133.6</v>
      </c>
      <c r="BK163" s="181" t="n">
        <v>133.5</v>
      </c>
      <c r="BL163" s="181" t="n">
        <v>133.6</v>
      </c>
      <c r="BM163" s="181" t="n">
        <v>133.5</v>
      </c>
      <c r="BN163" s="176">
        <f>AVERAGE(BL163,BM163)</f>
        <v/>
      </c>
      <c r="BO163" s="181" t="n">
        <v>133.6</v>
      </c>
      <c r="BP163" s="181" t="n">
        <v>133.7</v>
      </c>
      <c r="BQ163" s="181" t="n">
        <v>133.6</v>
      </c>
      <c r="BR163" s="181" t="n">
        <v>133.7</v>
      </c>
      <c r="BS163" s="181" t="n">
        <v>133.8</v>
      </c>
      <c r="BT163" s="176">
        <f>AVERAGE(BR163,BS163)</f>
        <v/>
      </c>
      <c r="BU163" s="181" t="n">
        <v>133.7</v>
      </c>
      <c r="BV163" s="181" t="n">
        <v>133.5</v>
      </c>
      <c r="BW163" s="181" t="n">
        <v>133.7</v>
      </c>
      <c r="BX163" s="181" t="n">
        <v>133.1</v>
      </c>
      <c r="BY163" s="181" t="n">
        <v>133.1</v>
      </c>
      <c r="BZ163" s="176">
        <f>AVERAGE(BX163,BY163)</f>
        <v/>
      </c>
      <c r="CA163" s="181" t="n">
        <v>133</v>
      </c>
      <c r="CB163" s="181" t="n">
        <v>133</v>
      </c>
      <c r="CC163" s="181" t="n">
        <v>133.1</v>
      </c>
      <c r="CD163" s="181" t="n">
        <v>133</v>
      </c>
      <c r="CE163" s="181" t="n">
        <v>132.9</v>
      </c>
      <c r="CF163" s="176">
        <f>AVERAGE(CD163,CE163)</f>
        <v/>
      </c>
      <c r="CG163" s="181" t="n">
        <v>132.9</v>
      </c>
      <c r="CH163" s="181" t="n">
        <v>132.1</v>
      </c>
      <c r="CI163" s="181" t="n">
        <v>132.7</v>
      </c>
      <c r="CJ163" s="181" t="n">
        <v>131.2</v>
      </c>
      <c r="CK163" s="181" t="n">
        <v>130.3</v>
      </c>
      <c r="CL163" s="176">
        <f>AVERAGE(CJ163,CK163)</f>
        <v/>
      </c>
      <c r="CM163" s="188">
        <f>CM162+($CK$163-$CK$162)</f>
        <v/>
      </c>
      <c r="CN163" s="188">
        <f>CN162+($CK$163-$CK$162)</f>
        <v/>
      </c>
      <c r="CO163" s="188">
        <f>AVERAGE(CJ163,CK163,CM163,CN163)</f>
        <v/>
      </c>
      <c r="CP163" s="188">
        <f>CP162+CP366</f>
        <v/>
      </c>
      <c r="CQ163" s="188">
        <f>CQ162+CQ366</f>
        <v/>
      </c>
      <c r="CR163" s="188">
        <f>CR162+CR366</f>
        <v/>
      </c>
      <c r="CS163" s="188">
        <f>CS162+CS366</f>
        <v/>
      </c>
      <c r="CT163" s="22" t="n"/>
      <c r="CV163" s="23">
        <f>IFERROR((CS163/CI163)^(1/5)-1,"n/m")</f>
        <v/>
      </c>
      <c r="CW163" s="23">
        <f>IFERROR((CI163/BE163)^(1/5)-1,"n/m")</f>
        <v/>
      </c>
      <c r="CX163" s="23">
        <f>IFERROR((CI163/AA163)^(1/10)-1,"n/m")</f>
        <v/>
      </c>
      <c r="CY163" s="23">
        <f>IFERROR((CI163/C163)^(1/19)-1,"n/m")</f>
        <v/>
      </c>
    </row>
    <row r="164" ht="15" customHeight="1">
      <c r="B164" s="33" t="inlineStr">
        <is>
          <t>EPS – basic, net earnings attributable to Vulcan ($)</t>
        </is>
      </c>
      <c r="C164" s="191">
        <f>IFERROR(C155/C162,"")</f>
        <v/>
      </c>
      <c r="D164" s="191">
        <f>IFERROR(D155/D162,"")</f>
        <v/>
      </c>
      <c r="E164" s="191">
        <f>IFERROR(E155/E162,"")</f>
        <v/>
      </c>
      <c r="F164" s="191">
        <f>IFERROR(F155/F162,"")</f>
        <v/>
      </c>
      <c r="G164" s="191">
        <f>IFERROR(G155/G162,"")</f>
        <v/>
      </c>
      <c r="H164" s="191">
        <f>IFERROR(H155/H162,"")</f>
        <v/>
      </c>
      <c r="I164" s="191">
        <f>IFERROR(I155/I162,"")</f>
        <v/>
      </c>
      <c r="J164" s="177">
        <f>IFERROR(J155/J162,"")</f>
        <v/>
      </c>
      <c r="K164" s="177">
        <f>IFERROR(K155/K162,"")</f>
        <v/>
      </c>
      <c r="L164" s="177">
        <f>IFERROR(L155/L162,"")</f>
        <v/>
      </c>
      <c r="M164" s="177">
        <f>IFERROR(M155/M162,"")</f>
        <v/>
      </c>
      <c r="N164" s="177">
        <f>IFERROR(N155/N162,"")</f>
        <v/>
      </c>
      <c r="O164" s="191">
        <f>IFERROR(O155/O162,"")</f>
        <v/>
      </c>
      <c r="P164" s="177">
        <f>IFERROR(P155/P162,"")</f>
        <v/>
      </c>
      <c r="Q164" s="177">
        <f>IFERROR(Q155/Q162,"")</f>
        <v/>
      </c>
      <c r="R164" s="177">
        <f>IFERROR(R155/R162,"")</f>
        <v/>
      </c>
      <c r="S164" s="177">
        <f>IFERROR(S155/S162,"")</f>
        <v/>
      </c>
      <c r="T164" s="177">
        <f>IFERROR(T155/T162,"")</f>
        <v/>
      </c>
      <c r="U164" s="191">
        <f>IFERROR(U155/U162,"")</f>
        <v/>
      </c>
      <c r="V164" s="177">
        <f>IFERROR(V155/V162,"")</f>
        <v/>
      </c>
      <c r="W164" s="177">
        <f>IFERROR(W155/W162,"")</f>
        <v/>
      </c>
      <c r="X164" s="177">
        <f>IFERROR(X155/X162,"")</f>
        <v/>
      </c>
      <c r="Y164" s="177">
        <f>IFERROR(Y155/Y162,"")</f>
        <v/>
      </c>
      <c r="Z164" s="177">
        <f>IFERROR(Z155/Z162,"")</f>
        <v/>
      </c>
      <c r="AA164" s="191">
        <f>IFERROR(AA155/AA162,"")</f>
        <v/>
      </c>
      <c r="AB164" s="177">
        <f>IFERROR(AB155/AB162,"")</f>
        <v/>
      </c>
      <c r="AC164" s="177">
        <f>IFERROR(AC155/AC162,"")</f>
        <v/>
      </c>
      <c r="AD164" s="177">
        <f>IFERROR(AD155/AD162,"")</f>
        <v/>
      </c>
      <c r="AE164" s="177">
        <f>IFERROR(AE155/AE162,"")</f>
        <v/>
      </c>
      <c r="AF164" s="177">
        <f>IFERROR(AF155/AF162,"")</f>
        <v/>
      </c>
      <c r="AG164" s="191">
        <f>IFERROR(AG155/AG162,"")</f>
        <v/>
      </c>
      <c r="AH164" s="177">
        <f>IFERROR(AH155/AH162,"")</f>
        <v/>
      </c>
      <c r="AI164" s="177">
        <f>IFERROR(AI155/AI162,"")</f>
        <v/>
      </c>
      <c r="AJ164" s="177">
        <f>IFERROR(AJ155/AJ162,"")</f>
        <v/>
      </c>
      <c r="AK164" s="177">
        <f>IFERROR(AK155/AK162,"")</f>
        <v/>
      </c>
      <c r="AL164" s="177">
        <f>IFERROR(AL155/AL162,"")</f>
        <v/>
      </c>
      <c r="AM164" s="191">
        <f>IFERROR(AM155/AM162,"")</f>
        <v/>
      </c>
      <c r="AN164" s="177">
        <f>IFERROR(AN155/AN162,"")</f>
        <v/>
      </c>
      <c r="AO164" s="177">
        <f>IFERROR(AO155/AO162,"")</f>
        <v/>
      </c>
      <c r="AP164" s="177">
        <f>IFERROR(AP155/AP162,"")</f>
        <v/>
      </c>
      <c r="AQ164" s="177">
        <f>IFERROR(AQ155/AQ162,"")</f>
        <v/>
      </c>
      <c r="AR164" s="177">
        <f>IFERROR(AR155/AR162,"")</f>
        <v/>
      </c>
      <c r="AS164" s="191">
        <f>IFERROR(AS155/AS162,"")</f>
        <v/>
      </c>
      <c r="AT164" s="177">
        <f>IFERROR(AT155/AT162,"")</f>
        <v/>
      </c>
      <c r="AU164" s="177">
        <f>IFERROR(AU155/AU162,"")</f>
        <v/>
      </c>
      <c r="AV164" s="177">
        <f>IFERROR(AV155/AV162,"")</f>
        <v/>
      </c>
      <c r="AW164" s="177">
        <f>IFERROR(AW155/AW162,"")</f>
        <v/>
      </c>
      <c r="AX164" s="177">
        <f>IFERROR(AX155/AX162,"")</f>
        <v/>
      </c>
      <c r="AY164" s="191">
        <f>IFERROR(AY155/AY162,"")</f>
        <v/>
      </c>
      <c r="AZ164" s="177">
        <f>IFERROR(AZ155/AZ162,"")</f>
        <v/>
      </c>
      <c r="BA164" s="177">
        <f>IFERROR(BA155/BA162,"")</f>
        <v/>
      </c>
      <c r="BB164" s="177">
        <f>IFERROR(BB155/BB162,"")</f>
        <v/>
      </c>
      <c r="BC164" s="177">
        <f>IFERROR(BC155/BC162,"")</f>
        <v/>
      </c>
      <c r="BD164" s="177">
        <f>IFERROR(BD155/BD162,"")</f>
        <v/>
      </c>
      <c r="BE164" s="191">
        <f>IFERROR(BE155/BE162,"")</f>
        <v/>
      </c>
      <c r="BF164" s="177">
        <f>IFERROR(BF155/BF162,"")</f>
        <v/>
      </c>
      <c r="BG164" s="177">
        <f>IFERROR(BG155/BG162,"")</f>
        <v/>
      </c>
      <c r="BH164" s="177">
        <f>IFERROR(BH155/BH162,"")</f>
        <v/>
      </c>
      <c r="BI164" s="177">
        <f>IFERROR(BI155/BI162,"")</f>
        <v/>
      </c>
      <c r="BJ164" s="177">
        <f>IFERROR(BJ155/BJ162,"")</f>
        <v/>
      </c>
      <c r="BK164" s="191">
        <f>IFERROR(BK155/BK162,"")</f>
        <v/>
      </c>
      <c r="BL164" s="177">
        <f>IFERROR(BL155/BL162,"")</f>
        <v/>
      </c>
      <c r="BM164" s="177">
        <f>IFERROR(BM155/BM162,"")</f>
        <v/>
      </c>
      <c r="BN164" s="177">
        <f>IFERROR(BN155/BN162,"")</f>
        <v/>
      </c>
      <c r="BO164" s="177">
        <f>IFERROR(BO155/BO162,"")</f>
        <v/>
      </c>
      <c r="BP164" s="177">
        <f>IFERROR(BP155/BP162,"")</f>
        <v/>
      </c>
      <c r="BQ164" s="191">
        <f>IFERROR(BQ155/BQ162,"")</f>
        <v/>
      </c>
      <c r="BR164" s="177">
        <f>IFERROR(BR155/BR162,"")</f>
        <v/>
      </c>
      <c r="BS164" s="177">
        <f>IFERROR(BS155/BS162,"")</f>
        <v/>
      </c>
      <c r="BT164" s="177">
        <f>IFERROR(BT155/BT162,"")</f>
        <v/>
      </c>
      <c r="BU164" s="177">
        <f>IFERROR(BU155/BU162,"")</f>
        <v/>
      </c>
      <c r="BV164" s="177">
        <f>IFERROR(BV155/BV162,"")</f>
        <v/>
      </c>
      <c r="BW164" s="191">
        <f>IFERROR(BW155/BW162,"")</f>
        <v/>
      </c>
      <c r="BX164" s="177">
        <f>IFERROR(BX155/BX162,"")</f>
        <v/>
      </c>
      <c r="BY164" s="177">
        <f>IFERROR(BY155/BY162,"")</f>
        <v/>
      </c>
      <c r="BZ164" s="177">
        <f>IFERROR(BZ155/BZ162,"")</f>
        <v/>
      </c>
      <c r="CA164" s="177">
        <f>IFERROR(CA155/CA162,"")</f>
        <v/>
      </c>
      <c r="CB164" s="177">
        <f>IFERROR(CB155/CB162,"")</f>
        <v/>
      </c>
      <c r="CC164" s="191">
        <f>IFERROR(CC155/CC162,"")</f>
        <v/>
      </c>
      <c r="CD164" s="177">
        <f>IFERROR(CD155/CD162,"")</f>
        <v/>
      </c>
      <c r="CE164" s="177">
        <f>IFERROR(CE155/CE162,"")</f>
        <v/>
      </c>
      <c r="CF164" s="177">
        <f>IFERROR(CF155/CF162,"")</f>
        <v/>
      </c>
      <c r="CG164" s="177">
        <f>IFERROR(CG155/CG162,"")</f>
        <v/>
      </c>
      <c r="CH164" s="177">
        <f>IFERROR(CH155/CH162,"")</f>
        <v/>
      </c>
      <c r="CI164" s="191">
        <f>IFERROR(CI155/CI162,"")</f>
        <v/>
      </c>
      <c r="CJ164" s="177">
        <f>IFERROR(CJ155/CJ162,"")</f>
        <v/>
      </c>
      <c r="CK164" s="177">
        <f>IFERROR(CK155/CK162,"")</f>
        <v/>
      </c>
      <c r="CL164" s="177">
        <f>IFERROR(CL155/CL162,"")</f>
        <v/>
      </c>
      <c r="CM164" s="191">
        <f>IFERROR(CM155/CM162,"")</f>
        <v/>
      </c>
      <c r="CN164" s="191">
        <f>IFERROR(CN155/CN162,"")</f>
        <v/>
      </c>
      <c r="CO164" s="191">
        <f>IFERROR(CO155/CO162,"")</f>
        <v/>
      </c>
      <c r="CP164" s="191">
        <f>IFERROR(CP155/CP162,"")</f>
        <v/>
      </c>
      <c r="CQ164" s="191">
        <f>IFERROR(CQ155/CQ162,"")</f>
        <v/>
      </c>
      <c r="CR164" s="191">
        <f>IFERROR(CR155/CR162,"")</f>
        <v/>
      </c>
      <c r="CS164" s="191">
        <f>IFERROR(CS155/CS162,"")</f>
        <v/>
      </c>
      <c r="CT164" s="22" t="n"/>
      <c r="CV164" s="23" t="n"/>
      <c r="CW164" s="23" t="n"/>
      <c r="CX164" s="23" t="n"/>
      <c r="CY164" s="23" t="n"/>
    </row>
    <row r="165" ht="15" customHeight="1">
      <c r="B165" s="33" t="inlineStr">
        <is>
          <t>EPS – diluted, net earnings attributable to Vulcan ($)</t>
        </is>
      </c>
      <c r="C165" s="191">
        <f>IFERROR(C155/C163,"")</f>
        <v/>
      </c>
      <c r="D165" s="191">
        <f>IFERROR(D155/D163,"")</f>
        <v/>
      </c>
      <c r="E165" s="191">
        <f>IFERROR(E155/E163,"")</f>
        <v/>
      </c>
      <c r="F165" s="191">
        <f>IFERROR(F155/F163,"")</f>
        <v/>
      </c>
      <c r="G165" s="191">
        <f>IFERROR(G155/G163,"")</f>
        <v/>
      </c>
      <c r="H165" s="191">
        <f>IFERROR(H155/H163,"")</f>
        <v/>
      </c>
      <c r="I165" s="191">
        <f>IFERROR(I155/I163,"")</f>
        <v/>
      </c>
      <c r="J165" s="177">
        <f>IFERROR(J155/J163,"")</f>
        <v/>
      </c>
      <c r="K165" s="177">
        <f>IFERROR(K155/K163,"")</f>
        <v/>
      </c>
      <c r="L165" s="177">
        <f>IFERROR(L155/L163,"")</f>
        <v/>
      </c>
      <c r="M165" s="177">
        <f>IFERROR(M155/M163,"")</f>
        <v/>
      </c>
      <c r="N165" s="177">
        <f>IFERROR(N155/N163,"")</f>
        <v/>
      </c>
      <c r="O165" s="191">
        <f>IFERROR(O155/O163,"")</f>
        <v/>
      </c>
      <c r="P165" s="177">
        <f>IFERROR(P155/P163,"")</f>
        <v/>
      </c>
      <c r="Q165" s="177">
        <f>IFERROR(Q155/Q163,"")</f>
        <v/>
      </c>
      <c r="R165" s="177">
        <f>IFERROR(R155/R163,"")</f>
        <v/>
      </c>
      <c r="S165" s="177">
        <f>IFERROR(S155/S163,"")</f>
        <v/>
      </c>
      <c r="T165" s="177">
        <f>IFERROR(T155/T163,"")</f>
        <v/>
      </c>
      <c r="U165" s="191">
        <f>IFERROR(U155/U163,"")</f>
        <v/>
      </c>
      <c r="V165" s="177">
        <f>IFERROR(V155/V163,"")</f>
        <v/>
      </c>
      <c r="W165" s="177">
        <f>IFERROR(W155/W163,"")</f>
        <v/>
      </c>
      <c r="X165" s="177">
        <f>IFERROR(X155/X163,"")</f>
        <v/>
      </c>
      <c r="Y165" s="177">
        <f>IFERROR(Y155/Y163,"")</f>
        <v/>
      </c>
      <c r="Z165" s="177">
        <f>IFERROR(Z155/Z163,"")</f>
        <v/>
      </c>
      <c r="AA165" s="191">
        <f>IFERROR(AA155/AA163,"")</f>
        <v/>
      </c>
      <c r="AB165" s="177">
        <f>IFERROR(AB155/AB163,"")</f>
        <v/>
      </c>
      <c r="AC165" s="177">
        <f>IFERROR(AC155/AC163,"")</f>
        <v/>
      </c>
      <c r="AD165" s="177">
        <f>IFERROR(AD155/AD163,"")</f>
        <v/>
      </c>
      <c r="AE165" s="177">
        <f>IFERROR(AE155/AE163,"")</f>
        <v/>
      </c>
      <c r="AF165" s="177">
        <f>IFERROR(AF155/AF163,"")</f>
        <v/>
      </c>
      <c r="AG165" s="191">
        <f>IFERROR(AG155/AG163,"")</f>
        <v/>
      </c>
      <c r="AH165" s="177">
        <f>IFERROR(AH155/AH163,"")</f>
        <v/>
      </c>
      <c r="AI165" s="177">
        <f>IFERROR(AI155/AI163,"")</f>
        <v/>
      </c>
      <c r="AJ165" s="177">
        <f>IFERROR(AJ155/AJ163,"")</f>
        <v/>
      </c>
      <c r="AK165" s="177">
        <f>IFERROR(AK155/AK163,"")</f>
        <v/>
      </c>
      <c r="AL165" s="177">
        <f>IFERROR(AL155/AL163,"")</f>
        <v/>
      </c>
      <c r="AM165" s="191">
        <f>IFERROR(AM155/AM163,"")</f>
        <v/>
      </c>
      <c r="AN165" s="177">
        <f>IFERROR(AN155/AN163,"")</f>
        <v/>
      </c>
      <c r="AO165" s="177">
        <f>IFERROR(AO155/AO163,"")</f>
        <v/>
      </c>
      <c r="AP165" s="177">
        <f>IFERROR(AP155/AP163,"")</f>
        <v/>
      </c>
      <c r="AQ165" s="177">
        <f>IFERROR(AQ155/AQ163,"")</f>
        <v/>
      </c>
      <c r="AR165" s="177">
        <f>IFERROR(AR155/AR163,"")</f>
        <v/>
      </c>
      <c r="AS165" s="191">
        <f>IFERROR(AS155/AS163,"")</f>
        <v/>
      </c>
      <c r="AT165" s="177">
        <f>IFERROR(AT155/AT163,"")</f>
        <v/>
      </c>
      <c r="AU165" s="177">
        <f>IFERROR(AU155/AU163,"")</f>
        <v/>
      </c>
      <c r="AV165" s="177">
        <f>IFERROR(AV155/AV163,"")</f>
        <v/>
      </c>
      <c r="AW165" s="177">
        <f>IFERROR(AW155/AW163,"")</f>
        <v/>
      </c>
      <c r="AX165" s="177">
        <f>IFERROR(AX155/AX163,"")</f>
        <v/>
      </c>
      <c r="AY165" s="191">
        <f>IFERROR(AY155/AY163,"")</f>
        <v/>
      </c>
      <c r="AZ165" s="177">
        <f>IFERROR(AZ155/AZ163,"")</f>
        <v/>
      </c>
      <c r="BA165" s="177">
        <f>IFERROR(BA155/BA163,"")</f>
        <v/>
      </c>
      <c r="BB165" s="177">
        <f>IFERROR(BB155/BB163,"")</f>
        <v/>
      </c>
      <c r="BC165" s="177">
        <f>IFERROR(BC155/BC163,"")</f>
        <v/>
      </c>
      <c r="BD165" s="177">
        <f>IFERROR(BD155/BD163,"")</f>
        <v/>
      </c>
      <c r="BE165" s="191">
        <f>IFERROR(BE155/BE163,"")</f>
        <v/>
      </c>
      <c r="BF165" s="177">
        <f>IFERROR(BF155/BF163,"")</f>
        <v/>
      </c>
      <c r="BG165" s="177">
        <f>IFERROR(BG155/BG163,"")</f>
        <v/>
      </c>
      <c r="BH165" s="177">
        <f>IFERROR(BH155/BH163,"")</f>
        <v/>
      </c>
      <c r="BI165" s="177">
        <f>IFERROR(BI155/BI163,"")</f>
        <v/>
      </c>
      <c r="BJ165" s="177">
        <f>IFERROR(BJ155/BJ163,"")</f>
        <v/>
      </c>
      <c r="BK165" s="191">
        <f>IFERROR(BK155/BK163,"")</f>
        <v/>
      </c>
      <c r="BL165" s="177">
        <f>IFERROR(BL155/BL163,"")</f>
        <v/>
      </c>
      <c r="BM165" s="177">
        <f>IFERROR(BM155/BM163,"")</f>
        <v/>
      </c>
      <c r="BN165" s="177">
        <f>IFERROR(BN155/BN163,"")</f>
        <v/>
      </c>
      <c r="BO165" s="177">
        <f>IFERROR(BO155/BO163,"")</f>
        <v/>
      </c>
      <c r="BP165" s="177">
        <f>IFERROR(BP155/BP163,"")</f>
        <v/>
      </c>
      <c r="BQ165" s="191">
        <f>IFERROR(BQ155/BQ163,"")</f>
        <v/>
      </c>
      <c r="BR165" s="177">
        <f>IFERROR(BR155/BR163,"")</f>
        <v/>
      </c>
      <c r="BS165" s="177">
        <f>IFERROR(BS155/BS163,"")</f>
        <v/>
      </c>
      <c r="BT165" s="177">
        <f>IFERROR(BT155/BT163,"")</f>
        <v/>
      </c>
      <c r="BU165" s="177">
        <f>IFERROR(BU155/BU163,"")</f>
        <v/>
      </c>
      <c r="BV165" s="177">
        <f>IFERROR(BV155/BV163,"")</f>
        <v/>
      </c>
      <c r="BW165" s="191">
        <f>IFERROR(BW155/BW163,"")</f>
        <v/>
      </c>
      <c r="BX165" s="177">
        <f>IFERROR(BX155/BX163,"")</f>
        <v/>
      </c>
      <c r="BY165" s="177">
        <f>IFERROR(BY155/BY163,"")</f>
        <v/>
      </c>
      <c r="BZ165" s="177">
        <f>IFERROR(BZ155/BZ163,"")</f>
        <v/>
      </c>
      <c r="CA165" s="177">
        <f>IFERROR(CA155/CA163,"")</f>
        <v/>
      </c>
      <c r="CB165" s="177">
        <f>IFERROR(CB155/CB163,"")</f>
        <v/>
      </c>
      <c r="CC165" s="191">
        <f>IFERROR(CC155/CC163,"")</f>
        <v/>
      </c>
      <c r="CD165" s="177">
        <f>IFERROR(CD155/CD163,"")</f>
        <v/>
      </c>
      <c r="CE165" s="177">
        <f>IFERROR(CE155/CE163,"")</f>
        <v/>
      </c>
      <c r="CF165" s="177">
        <f>IFERROR(CF155/CF163,"")</f>
        <v/>
      </c>
      <c r="CG165" s="177">
        <f>IFERROR(CG155/CG163,"")</f>
        <v/>
      </c>
      <c r="CH165" s="177">
        <f>IFERROR(CH155/CH163,"")</f>
        <v/>
      </c>
      <c r="CI165" s="191">
        <f>IFERROR(CI155/CI163,"")</f>
        <v/>
      </c>
      <c r="CJ165" s="177">
        <f>IFERROR(CJ155/CJ163,"")</f>
        <v/>
      </c>
      <c r="CK165" s="177">
        <f>IFERROR(CK155/CK163,"")</f>
        <v/>
      </c>
      <c r="CL165" s="177">
        <f>IFERROR(CL155/CL163,"")</f>
        <v/>
      </c>
      <c r="CM165" s="191">
        <f>IFERROR(CM155/CM163,"")</f>
        <v/>
      </c>
      <c r="CN165" s="191">
        <f>IFERROR(CN155/CN163,"")</f>
        <v/>
      </c>
      <c r="CO165" s="191">
        <f>IFERROR(CO155/CO163,"")</f>
        <v/>
      </c>
      <c r="CP165" s="191">
        <f>IFERROR(CP155/CP163,"")</f>
        <v/>
      </c>
      <c r="CQ165" s="191">
        <f>IFERROR(CQ155/CQ163,"")</f>
        <v/>
      </c>
      <c r="CR165" s="191">
        <f>IFERROR(CR155/CR163,"")</f>
        <v/>
      </c>
      <c r="CS165" s="191">
        <f>IFERROR(CS155/CS163,"")</f>
        <v/>
      </c>
      <c r="CT165" s="22" t="n"/>
      <c r="CV165" s="23">
        <f>IFERROR((CS165/CI165)^(1/5)-1,"n/m")</f>
        <v/>
      </c>
      <c r="CW165" s="23">
        <f>IFERROR((CI165/BE165)^(1/5)-1,"n/m")</f>
        <v/>
      </c>
      <c r="CX165" s="23">
        <f>IFERROR((CI165/AA165)^(1/10)-1,"n/m")</f>
        <v/>
      </c>
      <c r="CY165" s="23">
        <f>IFERROR((CI165/C165)^(1/19)-1,"n/m")</f>
        <v/>
      </c>
    </row>
    <row r="166" ht="15" customHeight="1">
      <c r="B166" s="12" t="inlineStr">
        <is>
          <t xml:space="preserve">  EPS – diluted, continuing operations ($)</t>
        </is>
      </c>
      <c r="C166" s="167">
        <f>IFERROR((C151-N(C154))/C163,"")</f>
        <v/>
      </c>
      <c r="D166" s="167">
        <f>IFERROR((D151-N(D154))/D163,"")</f>
        <v/>
      </c>
      <c r="E166" s="167">
        <f>IFERROR((E151-N(E154))/E163,"")</f>
        <v/>
      </c>
      <c r="F166" s="167">
        <f>IFERROR((F151-N(F154))/F163,"")</f>
        <v/>
      </c>
      <c r="G166" s="167">
        <f>IFERROR((G151-N(G154))/G163,"")</f>
        <v/>
      </c>
      <c r="H166" s="167">
        <f>IFERROR((H151-N(H154))/H163,"")</f>
        <v/>
      </c>
      <c r="I166" s="167">
        <f>IFERROR((I151-N(I154))/I163,"")</f>
        <v/>
      </c>
      <c r="J166" s="167">
        <f>IFERROR((J151-N(J154))/J163,"")</f>
        <v/>
      </c>
      <c r="K166" s="167">
        <f>IFERROR((K151-N(K154))/K163,"")</f>
        <v/>
      </c>
      <c r="L166" s="167">
        <f>IFERROR((L151-N(L154))/L163,"")</f>
        <v/>
      </c>
      <c r="M166" s="167">
        <f>IFERROR((M151-N(M154))/M163,"")</f>
        <v/>
      </c>
      <c r="N166" s="167">
        <f>IFERROR((N151-N(N154))/N163,"")</f>
        <v/>
      </c>
      <c r="O166" s="167">
        <f>IFERROR((O151-N(O154))/O163,"")</f>
        <v/>
      </c>
      <c r="P166" s="167">
        <f>IFERROR((P151-N(P154))/P163,"")</f>
        <v/>
      </c>
      <c r="Q166" s="167">
        <f>IFERROR((Q151-N(Q154))/Q163,"")</f>
        <v/>
      </c>
      <c r="R166" s="167">
        <f>IFERROR((R151-N(R154))/R163,"")</f>
        <v/>
      </c>
      <c r="S166" s="167">
        <f>IFERROR((S151-N(S154))/S163,"")</f>
        <v/>
      </c>
      <c r="T166" s="167">
        <f>IFERROR((T151-N(T154))/T163,"")</f>
        <v/>
      </c>
      <c r="U166" s="167">
        <f>IFERROR((U151-N(U154))/U163,"")</f>
        <v/>
      </c>
      <c r="V166" s="167">
        <f>IFERROR((V151-N(V154))/V163,"")</f>
        <v/>
      </c>
      <c r="W166" s="167">
        <f>IFERROR((W151-N(W154))/W163,"")</f>
        <v/>
      </c>
      <c r="X166" s="167">
        <f>IFERROR((X151-N(X154))/X163,"")</f>
        <v/>
      </c>
      <c r="Y166" s="167">
        <f>IFERROR((Y151-N(Y154))/Y163,"")</f>
        <v/>
      </c>
      <c r="Z166" s="167">
        <f>IFERROR((Z151-N(Z154))/Z163,"")</f>
        <v/>
      </c>
      <c r="AA166" s="167">
        <f>IFERROR((AA151-N(AA154))/AA163,"")</f>
        <v/>
      </c>
      <c r="AB166" s="167">
        <f>IFERROR((AB151-N(AB154))/AB163,"")</f>
        <v/>
      </c>
      <c r="AC166" s="167">
        <f>IFERROR((AC151-N(AC154))/AC163,"")</f>
        <v/>
      </c>
      <c r="AD166" s="167">
        <f>IFERROR((AD151-N(AD154))/AD163,"")</f>
        <v/>
      </c>
      <c r="AE166" s="167">
        <f>IFERROR((AE151-N(AE154))/AE163,"")</f>
        <v/>
      </c>
      <c r="AF166" s="167">
        <f>IFERROR((AF151-N(AF154))/AF163,"")</f>
        <v/>
      </c>
      <c r="AG166" s="167">
        <f>IFERROR((AG151-N(AG154))/AG163,"")</f>
        <v/>
      </c>
      <c r="AH166" s="167">
        <f>IFERROR((AH151-N(AH154))/AH163,"")</f>
        <v/>
      </c>
      <c r="AI166" s="167">
        <f>IFERROR((AI151-N(AI154))/AI163,"")</f>
        <v/>
      </c>
      <c r="AJ166" s="167">
        <f>IFERROR((AJ151-N(AJ154))/AJ163,"")</f>
        <v/>
      </c>
      <c r="AK166" s="167">
        <f>IFERROR((AK151-N(AK154))/AK163,"")</f>
        <v/>
      </c>
      <c r="AL166" s="167">
        <f>IFERROR((AL151-N(AL154))/AL163,"")</f>
        <v/>
      </c>
      <c r="AM166" s="167">
        <f>IFERROR((AM151-N(AM154))/AM163,"")</f>
        <v/>
      </c>
      <c r="AN166" s="167">
        <f>IFERROR((AN151-N(AN154))/AN163,"")</f>
        <v/>
      </c>
      <c r="AO166" s="167">
        <f>IFERROR((AO151-N(AO154))/AO163,"")</f>
        <v/>
      </c>
      <c r="AP166" s="167">
        <f>IFERROR((AP151-N(AP154))/AP163,"")</f>
        <v/>
      </c>
      <c r="AQ166" s="167">
        <f>IFERROR((AQ151-N(AQ154))/AQ163,"")</f>
        <v/>
      </c>
      <c r="AR166" s="167">
        <f>IFERROR((AR151-N(AR154))/AR163,"")</f>
        <v/>
      </c>
      <c r="AS166" s="167">
        <f>IFERROR((AS151-N(AS154))/AS163,"")</f>
        <v/>
      </c>
      <c r="AT166" s="167">
        <f>IFERROR((AT151-N(AT154))/AT163,"")</f>
        <v/>
      </c>
      <c r="AU166" s="167">
        <f>IFERROR((AU151-N(AU154))/AU163,"")</f>
        <v/>
      </c>
      <c r="AV166" s="167">
        <f>IFERROR((AV151-N(AV154))/AV163,"")</f>
        <v/>
      </c>
      <c r="AW166" s="167">
        <f>IFERROR((AW151-N(AW154))/AW163,"")</f>
        <v/>
      </c>
      <c r="AX166" s="167">
        <f>IFERROR((AX151-N(AX154))/AX163,"")</f>
        <v/>
      </c>
      <c r="AY166" s="167">
        <f>IFERROR((AY151-N(AY154))/AY163,"")</f>
        <v/>
      </c>
      <c r="AZ166" s="167">
        <f>IFERROR((AZ151-N(AZ154))/AZ163,"")</f>
        <v/>
      </c>
      <c r="BA166" s="167">
        <f>IFERROR((BA151-N(BA154))/BA163,"")</f>
        <v/>
      </c>
      <c r="BB166" s="167">
        <f>IFERROR((BB151-N(BB154))/BB163,"")</f>
        <v/>
      </c>
      <c r="BC166" s="167">
        <f>IFERROR((BC151-N(BC154))/BC163,"")</f>
        <v/>
      </c>
      <c r="BD166" s="167">
        <f>IFERROR((BD151-N(BD154))/BD163,"")</f>
        <v/>
      </c>
      <c r="BE166" s="167">
        <f>IFERROR((BE151-N(BE154))/BE163,"")</f>
        <v/>
      </c>
      <c r="BF166" s="167">
        <f>IFERROR((BF151-N(BF154))/BF163,"")</f>
        <v/>
      </c>
      <c r="BG166" s="167">
        <f>IFERROR((BG151-N(BG154))/BG163,"")</f>
        <v/>
      </c>
      <c r="BH166" s="167">
        <f>IFERROR((BH151-N(BH154))/BH163,"")</f>
        <v/>
      </c>
      <c r="BI166" s="167">
        <f>IFERROR((BI151-N(BI154))/BI163,"")</f>
        <v/>
      </c>
      <c r="BJ166" s="167">
        <f>IFERROR((BJ151-N(BJ154))/BJ163,"")</f>
        <v/>
      </c>
      <c r="BK166" s="167">
        <f>IFERROR((BK151-N(BK154))/BK163,"")</f>
        <v/>
      </c>
      <c r="BL166" s="167">
        <f>IFERROR((BL151-N(BL154))/BL163,"")</f>
        <v/>
      </c>
      <c r="BM166" s="167">
        <f>IFERROR((BM151-N(BM154))/BM163,"")</f>
        <v/>
      </c>
      <c r="BN166" s="167">
        <f>IFERROR((BN151-N(BN154))/BN163,"")</f>
        <v/>
      </c>
      <c r="BO166" s="167">
        <f>IFERROR((BO151-N(BO154))/BO163,"")</f>
        <v/>
      </c>
      <c r="BP166" s="167">
        <f>IFERROR((BP151-N(BP154))/BP163,"")</f>
        <v/>
      </c>
      <c r="BQ166" s="167">
        <f>IFERROR((BQ151-N(BQ154))/BQ163,"")</f>
        <v/>
      </c>
      <c r="BR166" s="167">
        <f>IFERROR((BR151-N(BR154))/BR163,"")</f>
        <v/>
      </c>
      <c r="BS166" s="167">
        <f>IFERROR((BS151-N(BS154))/BS163,"")</f>
        <v/>
      </c>
      <c r="BT166" s="167">
        <f>IFERROR((BT151-N(BT154))/BT163,"")</f>
        <v/>
      </c>
      <c r="BU166" s="167">
        <f>IFERROR((BU151-N(BU154))/BU163,"")</f>
        <v/>
      </c>
      <c r="BV166" s="167">
        <f>IFERROR((BV151-N(BV154))/BV163,"")</f>
        <v/>
      </c>
      <c r="BW166" s="167">
        <f>IFERROR((BW151-N(BW154))/BW163,"")</f>
        <v/>
      </c>
      <c r="BX166" s="167">
        <f>IFERROR((BX151-N(BX154))/BX163,"")</f>
        <v/>
      </c>
      <c r="BY166" s="167">
        <f>IFERROR((BY151-N(BY154))/BY163,"")</f>
        <v/>
      </c>
      <c r="BZ166" s="167">
        <f>IFERROR((BZ151-N(BZ154))/BZ163,"")</f>
        <v/>
      </c>
      <c r="CA166" s="167">
        <f>IFERROR((CA151-N(CA154))/CA163,"")</f>
        <v/>
      </c>
      <c r="CB166" s="167">
        <f>IFERROR((CB151-N(CB154))/CB163,"")</f>
        <v/>
      </c>
      <c r="CC166" s="167">
        <f>IFERROR((CC151-N(CC154))/CC163,"")</f>
        <v/>
      </c>
      <c r="CD166" s="167">
        <f>IFERROR((CD151-N(CD154))/CD163,"")</f>
        <v/>
      </c>
      <c r="CE166" s="167">
        <f>IFERROR((CE151-N(CE154))/CE163,"")</f>
        <v/>
      </c>
      <c r="CF166" s="167">
        <f>IFERROR((CF151-N(CF154))/CF163,"")</f>
        <v/>
      </c>
      <c r="CG166" s="167">
        <f>IFERROR((CG151-N(CG154))/CG163,"")</f>
        <v/>
      </c>
      <c r="CH166" s="167">
        <f>IFERROR((CH151-N(CH154))/CH163,"")</f>
        <v/>
      </c>
      <c r="CI166" s="167">
        <f>IFERROR((CI151-N(CI154))/CI163,"")</f>
        <v/>
      </c>
      <c r="CJ166" s="167">
        <f>IFERROR((CJ151-N(CJ154))/CJ163,"")</f>
        <v/>
      </c>
      <c r="CK166" s="167">
        <f>IFERROR((CK151-N(CK154))/CK163,"")</f>
        <v/>
      </c>
      <c r="CL166" s="167">
        <f>IFERROR((CL151-N(CL154))/CL163,"")</f>
        <v/>
      </c>
      <c r="CM166" s="168">
        <f>IFERROR((CM151-N(CM154))/CM163,"")</f>
        <v/>
      </c>
      <c r="CN166" s="168">
        <f>IFERROR((CN151-N(CN154))/CN163,"")</f>
        <v/>
      </c>
      <c r="CO166" s="168">
        <f>IFERROR((CO151-N(CO154))/CO163,"")</f>
        <v/>
      </c>
      <c r="CP166" s="168">
        <f>IFERROR((CP151-N(CP154))/CP163,"")</f>
        <v/>
      </c>
      <c r="CQ166" s="168">
        <f>IFERROR((CQ151-N(CQ154))/CQ163,"")</f>
        <v/>
      </c>
      <c r="CR166" s="168">
        <f>IFERROR((CR151-N(CR154))/CR163,"")</f>
        <v/>
      </c>
      <c r="CS166" s="168">
        <f>IFERROR((CS151-N(CS154))/CS163,"")</f>
        <v/>
      </c>
      <c r="CT166" s="22" t="n"/>
      <c r="CV166" s="23" t="n"/>
      <c r="CW166" s="23" t="n"/>
      <c r="CX166" s="23" t="n"/>
      <c r="CY166" s="23" t="n"/>
    </row>
    <row r="167" ht="15" customHeight="1">
      <c r="B167" s="36" t="inlineStr">
        <is>
          <t xml:space="preserve">  Memo: EPS – diluted (net earnings) as reported ($)</t>
        </is>
      </c>
      <c r="C167" s="166" t="n">
        <v>4.69</v>
      </c>
      <c r="D167" s="166" t="n">
        <v>4.54</v>
      </c>
      <c r="E167" s="166" t="n">
        <v>-0.04</v>
      </c>
      <c r="F167" s="166" t="n">
        <v>0.25</v>
      </c>
      <c r="G167" s="166" t="n">
        <v>-0.75</v>
      </c>
      <c r="H167" s="166" t="n">
        <v>-0.55</v>
      </c>
      <c r="I167" s="166" t="n">
        <v>-0.41</v>
      </c>
      <c r="J167" s="166" t="n">
        <v>-0.42</v>
      </c>
      <c r="K167" s="166" t="n">
        <v>0.22</v>
      </c>
      <c r="L167" s="59" t="n"/>
      <c r="M167" s="166" t="n">
        <v>0.31</v>
      </c>
      <c r="N167" s="166" t="n">
        <v>0.07000000000000001</v>
      </c>
      <c r="O167" s="166" t="n">
        <v>0.19</v>
      </c>
      <c r="P167" s="166" t="n">
        <v>0.41</v>
      </c>
      <c r="Q167" s="166" t="n">
        <v>0.35</v>
      </c>
      <c r="R167" s="59" t="n"/>
      <c r="S167" s="166" t="n">
        <v>0.5</v>
      </c>
      <c r="T167" s="166" t="n">
        <v>0.28</v>
      </c>
      <c r="U167" s="166" t="n">
        <v>1.54</v>
      </c>
      <c r="V167" s="166" t="n">
        <v>-0.3</v>
      </c>
      <c r="W167" s="166" t="n">
        <v>0.36</v>
      </c>
      <c r="X167" s="59" t="n"/>
      <c r="Y167" s="166" t="n">
        <v>0.91</v>
      </c>
      <c r="Z167" s="166" t="n">
        <v>0.65</v>
      </c>
      <c r="AA167" s="166" t="n">
        <v>1.64</v>
      </c>
      <c r="AB167" s="166" t="n">
        <v>0.14</v>
      </c>
      <c r="AC167" s="166" t="n">
        <v>0.91</v>
      </c>
      <c r="AD167" s="59" t="n"/>
      <c r="AE167" s="166" t="n">
        <v>1.04</v>
      </c>
      <c r="AF167" s="166" t="n">
        <v>0.83</v>
      </c>
      <c r="AG167" s="166" t="n">
        <v>3.09</v>
      </c>
      <c r="AH167" s="166" t="n">
        <v>0.33</v>
      </c>
      <c r="AI167" s="166" t="n">
        <v>0.89</v>
      </c>
      <c r="AJ167" s="59" t="n"/>
      <c r="AK167" s="166" t="n">
        <v>0.8100000000000001</v>
      </c>
      <c r="AL167" s="166" t="n">
        <v>2.43</v>
      </c>
      <c r="AM167" s="166" t="n">
        <v>4.46</v>
      </c>
      <c r="AN167" s="166" t="n">
        <v>0.39</v>
      </c>
      <c r="AO167" s="166" t="n">
        <v>1.19</v>
      </c>
      <c r="AP167" s="59" t="n"/>
      <c r="AQ167" s="166" t="n">
        <v>1.34</v>
      </c>
      <c r="AR167" s="166" t="n">
        <v>0.93</v>
      </c>
      <c r="AS167" s="166" t="n">
        <v>3.85</v>
      </c>
      <c r="AT167" s="166" t="n">
        <v>0.48</v>
      </c>
      <c r="AU167" s="166" t="n">
        <v>1.48</v>
      </c>
      <c r="AV167" s="59" t="n"/>
      <c r="AW167" s="166" t="n">
        <v>1.62</v>
      </c>
      <c r="AX167" s="166" t="n">
        <v>1.06</v>
      </c>
      <c r="AY167" s="166" t="n">
        <v>4.63</v>
      </c>
      <c r="AZ167" s="166" t="n">
        <v>0.45</v>
      </c>
      <c r="BA167" s="166" t="n">
        <v>1.58</v>
      </c>
      <c r="BB167" s="59" t="n"/>
      <c r="BC167" s="166" t="n">
        <v>1.5</v>
      </c>
      <c r="BD167" s="166" t="n">
        <v>0.86</v>
      </c>
      <c r="BE167" s="166" t="n">
        <v>4.39</v>
      </c>
      <c r="BF167" s="166" t="n">
        <v>1.2</v>
      </c>
      <c r="BG167" s="166" t="n">
        <v>1.46</v>
      </c>
      <c r="BH167" s="59" t="n"/>
      <c r="BI167" s="166" t="n">
        <v>1.32</v>
      </c>
      <c r="BJ167" s="166" t="n">
        <v>1.03</v>
      </c>
      <c r="BK167" s="166" t="n">
        <v>5.02</v>
      </c>
      <c r="BL167" s="166" t="n">
        <v>0.6899999999999999</v>
      </c>
      <c r="BM167" s="166" t="n">
        <v>1.4</v>
      </c>
      <c r="BN167" s="59" t="n"/>
      <c r="BO167" s="166" t="n">
        <v>1.33</v>
      </c>
      <c r="BP167" s="166" t="n">
        <v>0.89</v>
      </c>
      <c r="BQ167" s="166" t="n">
        <v>4.31</v>
      </c>
      <c r="BR167" s="166" t="n">
        <v>0.9</v>
      </c>
      <c r="BS167" s="166" t="n">
        <v>2.31</v>
      </c>
      <c r="BT167" s="59" t="n"/>
      <c r="BU167" s="166" t="n">
        <v>2.07</v>
      </c>
      <c r="BV167" s="166" t="n">
        <v>1.7</v>
      </c>
      <c r="BW167" s="166" t="n">
        <v>6.98</v>
      </c>
      <c r="BX167" s="166" t="n">
        <v>0.77</v>
      </c>
      <c r="BY167" s="166" t="n">
        <v>2.31</v>
      </c>
      <c r="BZ167" s="59" t="n"/>
      <c r="CA167" s="166" t="n">
        <v>1.56</v>
      </c>
      <c r="CB167" s="166" t="n">
        <v>2.21</v>
      </c>
      <c r="CC167" s="166" t="n">
        <v>6.85</v>
      </c>
      <c r="CD167" s="166" t="n">
        <v>0.97</v>
      </c>
      <c r="CE167" s="166" t="n">
        <v>2.42</v>
      </c>
      <c r="CF167" s="59" t="n"/>
      <c r="CG167" s="166" t="n">
        <v>2.82</v>
      </c>
      <c r="CH167" s="166" t="n">
        <v>1.91</v>
      </c>
      <c r="CI167" s="166" t="n">
        <v>8.109999999999999</v>
      </c>
      <c r="CJ167" s="166" t="n">
        <v>1.26</v>
      </c>
      <c r="CK167" s="166" t="n">
        <v>2.48</v>
      </c>
      <c r="CL167" s="58" t="n"/>
      <c r="CM167" s="60" t="n"/>
      <c r="CN167" s="60" t="n"/>
      <c r="CO167" s="60" t="n"/>
      <c r="CP167" s="60" t="n"/>
      <c r="CQ167" s="60" t="n"/>
      <c r="CR167" s="60" t="n"/>
      <c r="CS167" s="60" t="n"/>
      <c r="CT167" s="22" t="n"/>
      <c r="CV167" s="6" t="n"/>
      <c r="CW167" s="6" t="n"/>
      <c r="CX167" s="6" t="n"/>
      <c r="CY167" s="6" t="n"/>
    </row>
    <row r="168" ht="15" customHeight="1">
      <c r="B168" s="36" t="inlineStr">
        <is>
          <t xml:space="preserve">  Memo: EPS – diluted, continuing operations as reported ($)</t>
        </is>
      </c>
      <c r="C168" s="166" t="n">
        <v>4.79</v>
      </c>
      <c r="D168" s="166" t="n">
        <v>4.66</v>
      </c>
      <c r="E168" s="166" t="n">
        <v>-0.02</v>
      </c>
      <c r="F168" s="166" t="n">
        <v>0.16</v>
      </c>
      <c r="G168" s="166" t="n">
        <v>-0.8</v>
      </c>
      <c r="H168" s="166" t="n">
        <v>-0.58</v>
      </c>
      <c r="I168" s="166" t="n">
        <v>-0.42</v>
      </c>
      <c r="J168" s="166" t="n">
        <v>-0.47</v>
      </c>
      <c r="K168" s="166" t="n">
        <v>0.23</v>
      </c>
      <c r="L168" s="59" t="n"/>
      <c r="M168" s="166" t="n">
        <v>0.32</v>
      </c>
      <c r="N168" s="166" t="n">
        <v>0.08</v>
      </c>
      <c r="O168" s="166" t="n">
        <v>0.16</v>
      </c>
      <c r="P168" s="166" t="n">
        <v>0.41</v>
      </c>
      <c r="Q168" s="166" t="n">
        <v>0.35</v>
      </c>
      <c r="R168" s="59" t="n"/>
      <c r="S168" s="166" t="n">
        <v>0.51</v>
      </c>
      <c r="T168" s="166" t="n">
        <v>0.29</v>
      </c>
      <c r="U168" s="166" t="n">
        <v>1.56</v>
      </c>
      <c r="V168" s="166" t="n">
        <v>-0.28</v>
      </c>
      <c r="W168" s="166" t="n">
        <v>0.37</v>
      </c>
      <c r="X168" s="59" t="n"/>
      <c r="Y168" s="166" t="n">
        <v>0.93</v>
      </c>
      <c r="Z168" s="166" t="n">
        <v>0.6899999999999999</v>
      </c>
      <c r="AA168" s="166" t="n">
        <v>1.72</v>
      </c>
      <c r="AB168" s="166" t="n">
        <v>0.15</v>
      </c>
      <c r="AC168" s="166" t="n">
        <v>0.93</v>
      </c>
      <c r="AD168" s="59" t="n"/>
      <c r="AE168" s="166" t="n">
        <v>1.06</v>
      </c>
      <c r="AF168" s="166" t="n">
        <v>0.8</v>
      </c>
      <c r="AG168" s="166" t="n">
        <v>3.11</v>
      </c>
      <c r="AH168" s="166" t="n">
        <v>0.32</v>
      </c>
      <c r="AI168" s="166" t="n">
        <v>0.83</v>
      </c>
      <c r="AJ168" s="59" t="n"/>
      <c r="AK168" s="166" t="n">
        <v>0.82</v>
      </c>
      <c r="AL168" s="166" t="n">
        <v>2.43</v>
      </c>
      <c r="AM168" s="166" t="n">
        <v>4.4</v>
      </c>
      <c r="AN168" s="166" t="n">
        <v>0.4</v>
      </c>
      <c r="AO168" s="166" t="n">
        <v>1.2</v>
      </c>
      <c r="AP168" s="59" t="n"/>
      <c r="AQ168" s="166" t="n">
        <v>1.34</v>
      </c>
      <c r="AR168" s="166" t="n">
        <v>0.93</v>
      </c>
      <c r="AS168" s="166" t="n">
        <v>3.87</v>
      </c>
      <c r="AT168" s="166" t="n">
        <v>0.48</v>
      </c>
      <c r="AU168" s="166" t="n">
        <v>1.48</v>
      </c>
      <c r="AV168" s="59" t="n"/>
      <c r="AW168" s="166" t="n">
        <v>1.63</v>
      </c>
      <c r="AX168" s="166" t="n">
        <v>1.07</v>
      </c>
      <c r="AY168" s="166" t="n">
        <v>4.67</v>
      </c>
      <c r="AZ168" s="166" t="n">
        <v>0.45</v>
      </c>
      <c r="BA168" s="166" t="n">
        <v>1.58</v>
      </c>
      <c r="BB168" s="59" t="n"/>
      <c r="BC168" s="166" t="n">
        <v>1.51</v>
      </c>
      <c r="BD168" s="166" t="n">
        <v>0.87</v>
      </c>
      <c r="BE168" s="166" t="n">
        <v>4.41</v>
      </c>
      <c r="BF168" s="166" t="n">
        <v>1.21</v>
      </c>
      <c r="BG168" s="166" t="n">
        <v>1.47</v>
      </c>
      <c r="BH168" s="59" t="n"/>
      <c r="BI168" s="166" t="n">
        <v>1.33</v>
      </c>
      <c r="BJ168" s="166" t="n">
        <v>1.04</v>
      </c>
      <c r="BK168" s="166" t="n">
        <v>5.05</v>
      </c>
      <c r="BL168" s="166" t="n">
        <v>0.7</v>
      </c>
      <c r="BM168" s="166" t="n">
        <v>1.5</v>
      </c>
      <c r="BN168" s="59" t="n"/>
      <c r="BO168" s="166" t="n">
        <v>1.33</v>
      </c>
      <c r="BP168" s="166" t="n">
        <v>0.91</v>
      </c>
      <c r="BQ168" s="166" t="n">
        <v>4.45</v>
      </c>
      <c r="BR168" s="166" t="n">
        <v>0.92</v>
      </c>
      <c r="BS168" s="166" t="n">
        <v>2.33</v>
      </c>
      <c r="BT168" s="59" t="n"/>
      <c r="BU168" s="166" t="n">
        <v>2.09</v>
      </c>
      <c r="BV168" s="166" t="n">
        <v>1.72</v>
      </c>
      <c r="BW168" s="166" t="n">
        <v>7.06</v>
      </c>
      <c r="BX168" s="166" t="n">
        <v>0.78</v>
      </c>
      <c r="BY168" s="166" t="n">
        <v>2.33</v>
      </c>
      <c r="BZ168" s="59" t="n"/>
      <c r="CA168" s="166" t="n">
        <v>1.57</v>
      </c>
      <c r="CB168" s="166" t="n">
        <v>2.23</v>
      </c>
      <c r="CC168" s="166" t="n">
        <v>6.91</v>
      </c>
      <c r="CD168" s="166" t="n">
        <v>0.98</v>
      </c>
      <c r="CE168" s="166" t="n">
        <v>2.43</v>
      </c>
      <c r="CF168" s="59" t="n"/>
      <c r="CG168" s="166" t="n">
        <v>2.83</v>
      </c>
      <c r="CH168" s="166" t="n">
        <v>1.91</v>
      </c>
      <c r="CI168" s="166" t="n">
        <v>8.15</v>
      </c>
      <c r="CJ168" s="166" t="n">
        <v>1.27</v>
      </c>
      <c r="CK168" s="166" t="n">
        <v>2.47</v>
      </c>
      <c r="CL168" s="58" t="n"/>
      <c r="CM168" s="60" t="n"/>
      <c r="CN168" s="60" t="n"/>
      <c r="CO168" s="60" t="n"/>
      <c r="CP168" s="60" t="n"/>
      <c r="CQ168" s="60" t="n"/>
      <c r="CR168" s="60" t="n"/>
      <c r="CS168" s="60" t="n"/>
      <c r="CT168" s="22" t="n"/>
      <c r="CV168" s="6" t="n"/>
      <c r="CW168" s="6" t="n"/>
      <c r="CX168" s="6" t="n"/>
      <c r="CY168" s="6" t="n"/>
    </row>
    <row r="169" ht="15" customHeight="1">
      <c r="B169" s="36" t="inlineStr">
        <is>
          <t xml:space="preserve">  Memo: FY26 GAAP net earnings outlook (projected bridge mid-point, $m)</t>
        </is>
      </c>
      <c r="C169" s="58" t="n"/>
      <c r="D169" s="58" t="n"/>
      <c r="E169" s="58" t="n"/>
      <c r="F169" s="58" t="n"/>
      <c r="G169" s="58" t="n"/>
      <c r="H169" s="58" t="n"/>
      <c r="I169" s="58" t="n"/>
      <c r="J169" s="58" t="n"/>
      <c r="K169" s="58" t="n"/>
      <c r="L169" s="59" t="n"/>
      <c r="M169" s="58" t="n"/>
      <c r="N169" s="58" t="n"/>
      <c r="O169" s="58" t="n"/>
      <c r="P169" s="58" t="n"/>
      <c r="Q169" s="58" t="n"/>
      <c r="R169" s="59" t="n"/>
      <c r="S169" s="58" t="n"/>
      <c r="T169" s="58" t="n"/>
      <c r="U169" s="58" t="n"/>
      <c r="V169" s="58" t="n"/>
      <c r="W169" s="58" t="n"/>
      <c r="X169" s="59" t="n"/>
      <c r="Y169" s="58" t="n"/>
      <c r="Z169" s="58" t="n"/>
      <c r="AA169" s="58" t="n"/>
      <c r="AB169" s="58" t="n"/>
      <c r="AC169" s="58" t="n"/>
      <c r="AD169" s="59" t="n"/>
      <c r="AE169" s="58" t="n"/>
      <c r="AF169" s="58" t="n"/>
      <c r="AG169" s="58" t="n"/>
      <c r="AH169" s="58" t="n"/>
      <c r="AI169" s="58" t="n"/>
      <c r="AJ169" s="59" t="n"/>
      <c r="AK169" s="58" t="n"/>
      <c r="AL169" s="58" t="n"/>
      <c r="AM169" s="58" t="n"/>
      <c r="AN169" s="58" t="n"/>
      <c r="AO169" s="58" t="n"/>
      <c r="AP169" s="59" t="n"/>
      <c r="AQ169" s="58" t="n"/>
      <c r="AR169" s="58" t="n"/>
      <c r="AS169" s="58" t="n"/>
      <c r="AT169" s="58" t="n"/>
      <c r="AU169" s="58" t="n"/>
      <c r="AV169" s="59" t="n"/>
      <c r="AW169" s="58" t="n"/>
      <c r="AX169" s="58" t="n"/>
      <c r="AY169" s="58" t="n"/>
      <c r="AZ169" s="58" t="n"/>
      <c r="BA169" s="58" t="n"/>
      <c r="BB169" s="59" t="n"/>
      <c r="BC169" s="58" t="n"/>
      <c r="BD169" s="58" t="n"/>
      <c r="BE169" s="58" t="n"/>
      <c r="BF169" s="58" t="n"/>
      <c r="BG169" s="58" t="n"/>
      <c r="BH169" s="59" t="n"/>
      <c r="BI169" s="58" t="n"/>
      <c r="BJ169" s="58" t="n"/>
      <c r="BK169" s="58" t="n"/>
      <c r="BL169" s="58" t="n"/>
      <c r="BM169" s="58" t="n"/>
      <c r="BN169" s="59" t="n"/>
      <c r="BO169" s="58" t="n"/>
      <c r="BP169" s="58" t="n"/>
      <c r="BQ169" s="58" t="n"/>
      <c r="BR169" s="58" t="n"/>
      <c r="BS169" s="58" t="n"/>
      <c r="BT169" s="59" t="n"/>
      <c r="BU169" s="58" t="n"/>
      <c r="BV169" s="58" t="n"/>
      <c r="BW169" s="58" t="n"/>
      <c r="BX169" s="58" t="n"/>
      <c r="BY169" s="58" t="n"/>
      <c r="BZ169" s="59" t="n"/>
      <c r="CA169" s="58" t="n"/>
      <c r="CB169" s="58" t="n"/>
      <c r="CC169" s="58" t="n"/>
      <c r="CD169" s="58" t="n"/>
      <c r="CE169" s="58" t="n"/>
      <c r="CF169" s="59" t="n"/>
      <c r="CG169" s="58" t="n"/>
      <c r="CH169" s="58" t="n"/>
      <c r="CI169" s="58" t="n"/>
      <c r="CJ169" s="58" t="n"/>
      <c r="CK169" s="58" t="n"/>
      <c r="CL169" s="58" t="n"/>
      <c r="CM169" s="60" t="n"/>
      <c r="CN169" s="60" t="n"/>
      <c r="CO169" s="171">
        <f>$DD$13</f>
        <v/>
      </c>
      <c r="CP169" s="60" t="n"/>
      <c r="CQ169" s="60" t="n"/>
      <c r="CR169" s="60" t="n"/>
      <c r="CS169" s="60" t="n"/>
      <c r="CT169" s="22" t="inlineStr">
        <is>
          <t>Compare with the model 2026E net earnings attributable to Vulcan above.</t>
        </is>
      </c>
      <c r="CV169" s="6" t="n"/>
      <c r="CW169" s="6" t="n"/>
      <c r="CX169" s="6" t="n"/>
      <c r="CY169" s="6" t="n"/>
    </row>
    <row r="170" ht="15" customHeight="1">
      <c r="B170" s="12" t="inlineStr">
        <is>
          <t>Dividends declared per share ($)</t>
        </is>
      </c>
      <c r="C170" s="166" t="n">
        <v>1.48</v>
      </c>
      <c r="D170" s="166" t="n">
        <v>1.84</v>
      </c>
      <c r="E170" s="166" t="n">
        <v>1.96</v>
      </c>
      <c r="F170" s="166" t="n">
        <v>1.48</v>
      </c>
      <c r="G170" s="166" t="n">
        <v>1</v>
      </c>
      <c r="H170" s="166" t="n">
        <v>0.76</v>
      </c>
      <c r="I170" s="166" t="n">
        <v>0.04</v>
      </c>
      <c r="J170" s="166" t="n">
        <v>0.01</v>
      </c>
      <c r="K170" s="166" t="n">
        <v>0.01</v>
      </c>
      <c r="L170" s="167">
        <f>J170+K170</f>
        <v/>
      </c>
      <c r="M170" s="166" t="n">
        <v>0.01</v>
      </c>
      <c r="N170" s="166" t="n">
        <v>0.01</v>
      </c>
      <c r="O170" s="166" t="n">
        <v>0.04</v>
      </c>
      <c r="P170" s="166" t="n">
        <v>0.05</v>
      </c>
      <c r="Q170" s="166" t="n">
        <v>0.05</v>
      </c>
      <c r="R170" s="167">
        <f>P170+Q170</f>
        <v/>
      </c>
      <c r="S170" s="166" t="n">
        <v>0.06</v>
      </c>
      <c r="T170" s="166" t="n">
        <v>0.06</v>
      </c>
      <c r="U170" s="166" t="n">
        <v>0.22</v>
      </c>
      <c r="V170" s="166" t="n">
        <v>0.1</v>
      </c>
      <c r="W170" s="166" t="n">
        <v>0.1</v>
      </c>
      <c r="X170" s="167">
        <f>V170+W170</f>
        <v/>
      </c>
      <c r="Y170" s="166" t="n">
        <v>0.1</v>
      </c>
      <c r="Z170" s="166" t="n">
        <v>0.1</v>
      </c>
      <c r="AA170" s="166" t="n">
        <v>0.4</v>
      </c>
      <c r="AB170" s="166" t="n">
        <v>0.2</v>
      </c>
      <c r="AC170" s="166" t="n">
        <v>0.2</v>
      </c>
      <c r="AD170" s="167">
        <f>AB170+AC170</f>
        <v/>
      </c>
      <c r="AE170" s="166" t="n">
        <v>0.2</v>
      </c>
      <c r="AF170" s="166" t="n">
        <v>0.2</v>
      </c>
      <c r="AG170" s="166" t="n">
        <v>0.8</v>
      </c>
      <c r="AH170" s="166" t="n">
        <v>0.25</v>
      </c>
      <c r="AI170" s="166" t="n">
        <v>0.25</v>
      </c>
      <c r="AJ170" s="167">
        <f>AH170+AI170</f>
        <v/>
      </c>
      <c r="AK170" s="166" t="n">
        <v>0.25</v>
      </c>
      <c r="AL170" s="166" t="n">
        <v>0.25</v>
      </c>
      <c r="AM170" s="166" t="n">
        <v>1</v>
      </c>
      <c r="AN170" s="166" t="n">
        <v>0.28</v>
      </c>
      <c r="AO170" s="166" t="n">
        <v>0.28</v>
      </c>
      <c r="AP170" s="167">
        <f>AN170+AO170</f>
        <v/>
      </c>
      <c r="AQ170" s="166" t="n">
        <v>0.28</v>
      </c>
      <c r="AR170" s="166" t="n">
        <v>0.28</v>
      </c>
      <c r="AS170" s="166" t="n">
        <v>1.12</v>
      </c>
      <c r="AT170" s="166" t="n">
        <v>0.31</v>
      </c>
      <c r="AU170" s="166" t="n">
        <v>0.31</v>
      </c>
      <c r="AV170" s="167">
        <f>AT170+AU170</f>
        <v/>
      </c>
      <c r="AW170" s="166" t="n">
        <v>0.31</v>
      </c>
      <c r="AX170" s="166" t="n">
        <v>0.31</v>
      </c>
      <c r="AY170" s="166" t="n">
        <v>1.24</v>
      </c>
      <c r="AZ170" s="166" t="n">
        <v>0.34</v>
      </c>
      <c r="BA170" s="166" t="n">
        <v>0.34</v>
      </c>
      <c r="BB170" s="167">
        <f>AZ170+BA170</f>
        <v/>
      </c>
      <c r="BC170" s="166" t="n">
        <v>0.34</v>
      </c>
      <c r="BD170" s="166" t="n">
        <v>0.34</v>
      </c>
      <c r="BE170" s="166" t="n">
        <v>1.36</v>
      </c>
      <c r="BF170" s="166" t="n">
        <v>0.37</v>
      </c>
      <c r="BG170" s="166" t="n">
        <v>0.37</v>
      </c>
      <c r="BH170" s="167">
        <f>BF170+BG170</f>
        <v/>
      </c>
      <c r="BI170" s="166" t="n">
        <v>0.37</v>
      </c>
      <c r="BJ170" s="166" t="n">
        <v>0.37</v>
      </c>
      <c r="BK170" s="166" t="n">
        <v>1.48</v>
      </c>
      <c r="BL170" s="166" t="n">
        <v>0.4</v>
      </c>
      <c r="BM170" s="166" t="n">
        <v>0.4</v>
      </c>
      <c r="BN170" s="167">
        <f>BL170+BM170</f>
        <v/>
      </c>
      <c r="BO170" s="166" t="n">
        <v>0.4</v>
      </c>
      <c r="BP170" s="166" t="n">
        <v>0.4</v>
      </c>
      <c r="BQ170" s="166" t="n">
        <v>1.6</v>
      </c>
      <c r="BR170" s="166" t="n">
        <v>0.43</v>
      </c>
      <c r="BS170" s="166" t="n">
        <v>0.43</v>
      </c>
      <c r="BT170" s="167">
        <f>BR170+BS170</f>
        <v/>
      </c>
      <c r="BU170" s="166" t="n">
        <v>0.43</v>
      </c>
      <c r="BV170" s="166" t="n">
        <v>0.43</v>
      </c>
      <c r="BW170" s="166" t="n">
        <v>1.72</v>
      </c>
      <c r="BX170" s="166" t="n">
        <v>0.46</v>
      </c>
      <c r="BY170" s="166" t="n">
        <v>0.46</v>
      </c>
      <c r="BZ170" s="167">
        <f>BX170+BY170</f>
        <v/>
      </c>
      <c r="CA170" s="166" t="n">
        <v>0.46</v>
      </c>
      <c r="CB170" s="166" t="n">
        <v>0.46</v>
      </c>
      <c r="CC170" s="166" t="n">
        <v>1.84</v>
      </c>
      <c r="CD170" s="166" t="n">
        <v>0.49</v>
      </c>
      <c r="CE170" s="166" t="n">
        <v>0.49</v>
      </c>
      <c r="CF170" s="167">
        <f>CD170+CE170</f>
        <v/>
      </c>
      <c r="CG170" s="166" t="n">
        <v>0.49</v>
      </c>
      <c r="CH170" s="166" t="n">
        <v>0.49</v>
      </c>
      <c r="CI170" s="166" t="n">
        <v>1.96</v>
      </c>
      <c r="CJ170" s="166" t="n">
        <v>0.52</v>
      </c>
      <c r="CK170" s="166" t="n">
        <v>0.52</v>
      </c>
      <c r="CL170" s="167">
        <f>CJ170+CK170</f>
        <v/>
      </c>
      <c r="CM170" s="168">
        <f>$CK$170</f>
        <v/>
      </c>
      <c r="CN170" s="168">
        <f>$CK$170</f>
        <v/>
      </c>
      <c r="CO170" s="168">
        <f>SUM(CJ170,CK170,CM170,CN170)</f>
        <v/>
      </c>
      <c r="CP170" s="168">
        <f>CO170*(1+$DD$26)</f>
        <v/>
      </c>
      <c r="CQ170" s="168">
        <f>CP170*(1+$DD$26)</f>
        <v/>
      </c>
      <c r="CR170" s="168">
        <f>CQ170*(1+$DD$26)</f>
        <v/>
      </c>
      <c r="CS170" s="168">
        <f>CR170*(1+$DD$26)</f>
        <v/>
      </c>
      <c r="CT170" s="22" t="inlineStr">
        <is>
          <t>Q3/Q4-26E at the current quarterly rate; 2027E+ grows with the DPS growth point estimate.</t>
        </is>
      </c>
      <c r="CV170" s="23">
        <f>IFERROR((CS170/CI170)^(1/5)-1,"n/m")</f>
        <v/>
      </c>
      <c r="CW170" s="23">
        <f>IFERROR((CI170/BE170)^(1/5)-1,"n/m")</f>
        <v/>
      </c>
      <c r="CX170" s="23">
        <f>IFERROR((CI170/AA170)^(1/10)-1,"n/m")</f>
        <v/>
      </c>
      <c r="CY170" s="23">
        <f>IFERROR((CI170/C170)^(1/19)-1,"n/m")</f>
        <v/>
      </c>
    </row>
    <row r="171" ht="15" customHeight="1">
      <c r="B171" s="25" t="inlineStr">
        <is>
          <t xml:space="preserve">  Dividend payout (DPS / diluted EPS) %</t>
        </is>
      </c>
      <c r="C171" s="179">
        <f>IFERROR(C170/C165,"")</f>
        <v/>
      </c>
      <c r="D171" s="179">
        <f>IFERROR(D170/D165,"")</f>
        <v/>
      </c>
      <c r="E171" s="179">
        <f>IFERROR(E170/E165,"")</f>
        <v/>
      </c>
      <c r="F171" s="179">
        <f>IFERROR(F170/F165,"")</f>
        <v/>
      </c>
      <c r="G171" s="179">
        <f>IFERROR(G170/G165,"")</f>
        <v/>
      </c>
      <c r="H171" s="179">
        <f>IFERROR(H170/H165,"")</f>
        <v/>
      </c>
      <c r="I171" s="179">
        <f>IFERROR(I170/I165,"")</f>
        <v/>
      </c>
      <c r="J171" s="179">
        <f>IFERROR(J170/J165,"")</f>
        <v/>
      </c>
      <c r="K171" s="179">
        <f>IFERROR(K170/K165,"")</f>
        <v/>
      </c>
      <c r="L171" s="179">
        <f>IFERROR(L170/L165,"")</f>
        <v/>
      </c>
      <c r="M171" s="179">
        <f>IFERROR(M170/M165,"")</f>
        <v/>
      </c>
      <c r="N171" s="179">
        <f>IFERROR(N170/N165,"")</f>
        <v/>
      </c>
      <c r="O171" s="179">
        <f>IFERROR(O170/O165,"")</f>
        <v/>
      </c>
      <c r="P171" s="179">
        <f>IFERROR(P170/P165,"")</f>
        <v/>
      </c>
      <c r="Q171" s="179">
        <f>IFERROR(Q170/Q165,"")</f>
        <v/>
      </c>
      <c r="R171" s="179">
        <f>IFERROR(R170/R165,"")</f>
        <v/>
      </c>
      <c r="S171" s="179">
        <f>IFERROR(S170/S165,"")</f>
        <v/>
      </c>
      <c r="T171" s="179">
        <f>IFERROR(T170/T165,"")</f>
        <v/>
      </c>
      <c r="U171" s="179">
        <f>IFERROR(U170/U165,"")</f>
        <v/>
      </c>
      <c r="V171" s="179">
        <f>IFERROR(V170/V165,"")</f>
        <v/>
      </c>
      <c r="W171" s="179">
        <f>IFERROR(W170/W165,"")</f>
        <v/>
      </c>
      <c r="X171" s="179">
        <f>IFERROR(X170/X165,"")</f>
        <v/>
      </c>
      <c r="Y171" s="179">
        <f>IFERROR(Y170/Y165,"")</f>
        <v/>
      </c>
      <c r="Z171" s="179">
        <f>IFERROR(Z170/Z165,"")</f>
        <v/>
      </c>
      <c r="AA171" s="179">
        <f>IFERROR(AA170/AA165,"")</f>
        <v/>
      </c>
      <c r="AB171" s="179">
        <f>IFERROR(AB170/AB165,"")</f>
        <v/>
      </c>
      <c r="AC171" s="179">
        <f>IFERROR(AC170/AC165,"")</f>
        <v/>
      </c>
      <c r="AD171" s="179">
        <f>IFERROR(AD170/AD165,"")</f>
        <v/>
      </c>
      <c r="AE171" s="179">
        <f>IFERROR(AE170/AE165,"")</f>
        <v/>
      </c>
      <c r="AF171" s="179">
        <f>IFERROR(AF170/AF165,"")</f>
        <v/>
      </c>
      <c r="AG171" s="179">
        <f>IFERROR(AG170/AG165,"")</f>
        <v/>
      </c>
      <c r="AH171" s="179">
        <f>IFERROR(AH170/AH165,"")</f>
        <v/>
      </c>
      <c r="AI171" s="179">
        <f>IFERROR(AI170/AI165,"")</f>
        <v/>
      </c>
      <c r="AJ171" s="179">
        <f>IFERROR(AJ170/AJ165,"")</f>
        <v/>
      </c>
      <c r="AK171" s="179">
        <f>IFERROR(AK170/AK165,"")</f>
        <v/>
      </c>
      <c r="AL171" s="179">
        <f>IFERROR(AL170/AL165,"")</f>
        <v/>
      </c>
      <c r="AM171" s="179">
        <f>IFERROR(AM170/AM165,"")</f>
        <v/>
      </c>
      <c r="AN171" s="179">
        <f>IFERROR(AN170/AN165,"")</f>
        <v/>
      </c>
      <c r="AO171" s="179">
        <f>IFERROR(AO170/AO165,"")</f>
        <v/>
      </c>
      <c r="AP171" s="179">
        <f>IFERROR(AP170/AP165,"")</f>
        <v/>
      </c>
      <c r="AQ171" s="179">
        <f>IFERROR(AQ170/AQ165,"")</f>
        <v/>
      </c>
      <c r="AR171" s="179">
        <f>IFERROR(AR170/AR165,"")</f>
        <v/>
      </c>
      <c r="AS171" s="179">
        <f>IFERROR(AS170/AS165,"")</f>
        <v/>
      </c>
      <c r="AT171" s="179">
        <f>IFERROR(AT170/AT165,"")</f>
        <v/>
      </c>
      <c r="AU171" s="179">
        <f>IFERROR(AU170/AU165,"")</f>
        <v/>
      </c>
      <c r="AV171" s="179">
        <f>IFERROR(AV170/AV165,"")</f>
        <v/>
      </c>
      <c r="AW171" s="179">
        <f>IFERROR(AW170/AW165,"")</f>
        <v/>
      </c>
      <c r="AX171" s="179">
        <f>IFERROR(AX170/AX165,"")</f>
        <v/>
      </c>
      <c r="AY171" s="179">
        <f>IFERROR(AY170/AY165,"")</f>
        <v/>
      </c>
      <c r="AZ171" s="179">
        <f>IFERROR(AZ170/AZ165,"")</f>
        <v/>
      </c>
      <c r="BA171" s="179">
        <f>IFERROR(BA170/BA165,"")</f>
        <v/>
      </c>
      <c r="BB171" s="179">
        <f>IFERROR(BB170/BB165,"")</f>
        <v/>
      </c>
      <c r="BC171" s="179">
        <f>IFERROR(BC170/BC165,"")</f>
        <v/>
      </c>
      <c r="BD171" s="179">
        <f>IFERROR(BD170/BD165,"")</f>
        <v/>
      </c>
      <c r="BE171" s="179">
        <f>IFERROR(BE170/BE165,"")</f>
        <v/>
      </c>
      <c r="BF171" s="179">
        <f>IFERROR(BF170/BF165,"")</f>
        <v/>
      </c>
      <c r="BG171" s="179">
        <f>IFERROR(BG170/BG165,"")</f>
        <v/>
      </c>
      <c r="BH171" s="179">
        <f>IFERROR(BH170/BH165,"")</f>
        <v/>
      </c>
      <c r="BI171" s="179">
        <f>IFERROR(BI170/BI165,"")</f>
        <v/>
      </c>
      <c r="BJ171" s="179">
        <f>IFERROR(BJ170/BJ165,"")</f>
        <v/>
      </c>
      <c r="BK171" s="179">
        <f>IFERROR(BK170/BK165,"")</f>
        <v/>
      </c>
      <c r="BL171" s="179">
        <f>IFERROR(BL170/BL165,"")</f>
        <v/>
      </c>
      <c r="BM171" s="179">
        <f>IFERROR(BM170/BM165,"")</f>
        <v/>
      </c>
      <c r="BN171" s="179">
        <f>IFERROR(BN170/BN165,"")</f>
        <v/>
      </c>
      <c r="BO171" s="179">
        <f>IFERROR(BO170/BO165,"")</f>
        <v/>
      </c>
      <c r="BP171" s="179">
        <f>IFERROR(BP170/BP165,"")</f>
        <v/>
      </c>
      <c r="BQ171" s="179">
        <f>IFERROR(BQ170/BQ165,"")</f>
        <v/>
      </c>
      <c r="BR171" s="179">
        <f>IFERROR(BR170/BR165,"")</f>
        <v/>
      </c>
      <c r="BS171" s="179">
        <f>IFERROR(BS170/BS165,"")</f>
        <v/>
      </c>
      <c r="BT171" s="179">
        <f>IFERROR(BT170/BT165,"")</f>
        <v/>
      </c>
      <c r="BU171" s="179">
        <f>IFERROR(BU170/BU165,"")</f>
        <v/>
      </c>
      <c r="BV171" s="179">
        <f>IFERROR(BV170/BV165,"")</f>
        <v/>
      </c>
      <c r="BW171" s="179">
        <f>IFERROR(BW170/BW165,"")</f>
        <v/>
      </c>
      <c r="BX171" s="179">
        <f>IFERROR(BX170/BX165,"")</f>
        <v/>
      </c>
      <c r="BY171" s="179">
        <f>IFERROR(BY170/BY165,"")</f>
        <v/>
      </c>
      <c r="BZ171" s="179">
        <f>IFERROR(BZ170/BZ165,"")</f>
        <v/>
      </c>
      <c r="CA171" s="179">
        <f>IFERROR(CA170/CA165,"")</f>
        <v/>
      </c>
      <c r="CB171" s="179">
        <f>IFERROR(CB170/CB165,"")</f>
        <v/>
      </c>
      <c r="CC171" s="179">
        <f>IFERROR(CC170/CC165,"")</f>
        <v/>
      </c>
      <c r="CD171" s="179">
        <f>IFERROR(CD170/CD165,"")</f>
        <v/>
      </c>
      <c r="CE171" s="179">
        <f>IFERROR(CE170/CE165,"")</f>
        <v/>
      </c>
      <c r="CF171" s="179">
        <f>IFERROR(CF170/CF165,"")</f>
        <v/>
      </c>
      <c r="CG171" s="179">
        <f>IFERROR(CG170/CG165,"")</f>
        <v/>
      </c>
      <c r="CH171" s="179">
        <f>IFERROR(CH170/CH165,"")</f>
        <v/>
      </c>
      <c r="CI171" s="179">
        <f>IFERROR(CI170/CI165,"")</f>
        <v/>
      </c>
      <c r="CJ171" s="179">
        <f>IFERROR(CJ170/CJ165,"")</f>
        <v/>
      </c>
      <c r="CK171" s="179">
        <f>IFERROR(CK170/CK165,"")</f>
        <v/>
      </c>
      <c r="CL171" s="179">
        <f>IFERROR(CL170/CL165,"")</f>
        <v/>
      </c>
      <c r="CM171" s="165">
        <f>IFERROR(CM170/CM165,"")</f>
        <v/>
      </c>
      <c r="CN171" s="165">
        <f>IFERROR(CN170/CN165,"")</f>
        <v/>
      </c>
      <c r="CO171" s="165">
        <f>IFERROR(CO170/CO165,"")</f>
        <v/>
      </c>
      <c r="CP171" s="165">
        <f>IFERROR(CP170/CP165,"")</f>
        <v/>
      </c>
      <c r="CQ171" s="165">
        <f>IFERROR(CQ170/CQ165,"")</f>
        <v/>
      </c>
      <c r="CR171" s="165">
        <f>IFERROR(CR170/CR165,"")</f>
        <v/>
      </c>
      <c r="CS171" s="165">
        <f>IFERROR(CS170/CS165,"")</f>
        <v/>
      </c>
      <c r="CT171" s="22" t="n"/>
      <c r="CV171" s="40">
        <f>IFERROR(AVERAGE(CO171,CP171,CQ171,CR171,CS171),"n/m")</f>
        <v/>
      </c>
      <c r="CW171" s="40">
        <f>IFERROR(AVERAGE(BK171,BQ171,BW171,CC171,CI171),"n/m")</f>
        <v/>
      </c>
      <c r="CX171" s="40">
        <f>IFERROR(AVERAGE(AG171,AM171,AS171,AY171,BE171,BK171,BQ171,BW171,CC171,CI171),"n/m")</f>
        <v/>
      </c>
      <c r="CY171" s="40">
        <f>IFERROR(AVERAGE(C171,D171,E171,F171,G171,H171,I171,O171,U171,AA171,AG171,AM171,AS171,AY171,BE171,BK171,BQ171,BW171,CC171,CI171),"n/m")</f>
        <v/>
      </c>
    </row>
    <row r="172" ht="15" customHeight="1">
      <c r="B172" s="12" t="n"/>
      <c r="CM172" s="6" t="n"/>
      <c r="CN172" s="6" t="n"/>
      <c r="CO172" s="6" t="n"/>
      <c r="CP172" s="6" t="n"/>
      <c r="CQ172" s="6" t="n"/>
      <c r="CR172" s="6" t="n"/>
      <c r="CS172" s="6" t="n"/>
      <c r="CT172" s="6" t="n"/>
    </row>
    <row r="173" ht="15" customHeight="1">
      <c r="B173" s="11" t="inlineStr">
        <is>
          <t>RECONCILIATION: GAAP NET EARNINGS → EBITDA → ADJUSTED EBITDA (company definition, as published)</t>
        </is>
      </c>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1" t="n"/>
      <c r="AZ173" s="11" t="n"/>
      <c r="BA173" s="11" t="n"/>
      <c r="BB173" s="11" t="n"/>
      <c r="BC173" s="11" t="n"/>
      <c r="BD173" s="11" t="n"/>
      <c r="BE173" s="11" t="n"/>
      <c r="BF173" s="11" t="n"/>
      <c r="BG173" s="11" t="n"/>
      <c r="BH173" s="11" t="n"/>
      <c r="BI173" s="11" t="n"/>
      <c r="BJ173" s="11" t="n"/>
      <c r="BK173" s="11" t="n"/>
      <c r="BL173" s="11" t="n"/>
      <c r="BM173" s="11" t="n"/>
      <c r="BN173" s="11" t="n"/>
      <c r="BO173" s="11" t="n"/>
      <c r="BP173" s="11" t="n"/>
      <c r="BQ173" s="11" t="n"/>
      <c r="BR173" s="11" t="n"/>
      <c r="BS173" s="11" t="n"/>
      <c r="BT173" s="11" t="n"/>
      <c r="BU173" s="11" t="n"/>
      <c r="BV173" s="11" t="n"/>
      <c r="BW173" s="11" t="n"/>
      <c r="BX173" s="11" t="n"/>
      <c r="BY173" s="11" t="n"/>
      <c r="BZ173" s="11" t="n"/>
      <c r="CA173" s="11" t="n"/>
      <c r="CB173" s="11" t="n"/>
      <c r="CC173" s="11" t="n"/>
      <c r="CD173" s="11" t="n"/>
      <c r="CE173" s="11" t="n"/>
      <c r="CF173" s="11" t="n"/>
      <c r="CG173" s="11" t="n"/>
      <c r="CH173" s="11" t="n"/>
      <c r="CI173" s="11" t="n"/>
      <c r="CJ173" s="11" t="n"/>
      <c r="CK173" s="11" t="n"/>
      <c r="CL173" s="11" t="n"/>
      <c r="CM173" s="11" t="n"/>
      <c r="CN173" s="11" t="n"/>
      <c r="CO173" s="11" t="n"/>
      <c r="CP173" s="11" t="n"/>
      <c r="CQ173" s="11" t="n"/>
      <c r="CR173" s="11" t="n"/>
      <c r="CS173" s="11" t="n"/>
      <c r="CT173" s="11" t="inlineStr">
        <is>
          <t>ADJUSTED EBITDA — per Vulcan earnings-release reconciliation (Appendix: EBITDA and Adjusted EBITDA)</t>
        </is>
      </c>
    </row>
    <row r="174" ht="15" customHeight="1">
      <c r="B174" s="18" t="inlineStr">
        <is>
          <t>Net earnings attributable to Vulcan (GAAP)</t>
        </is>
      </c>
      <c r="C174" s="173">
        <f>C155</f>
        <v/>
      </c>
      <c r="D174" s="173">
        <f>D155</f>
        <v/>
      </c>
      <c r="E174" s="173">
        <f>E155</f>
        <v/>
      </c>
      <c r="F174" s="173">
        <f>F155</f>
        <v/>
      </c>
      <c r="G174" s="173">
        <f>G155</f>
        <v/>
      </c>
      <c r="H174" s="173">
        <f>H155</f>
        <v/>
      </c>
      <c r="I174" s="173">
        <f>I155</f>
        <v/>
      </c>
      <c r="J174" s="173">
        <f>J155</f>
        <v/>
      </c>
      <c r="K174" s="173">
        <f>K155</f>
        <v/>
      </c>
      <c r="L174" s="173">
        <f>L155</f>
        <v/>
      </c>
      <c r="M174" s="173">
        <f>M155</f>
        <v/>
      </c>
      <c r="N174" s="173">
        <f>N155</f>
        <v/>
      </c>
      <c r="O174" s="173">
        <f>O155</f>
        <v/>
      </c>
      <c r="P174" s="173">
        <f>P155</f>
        <v/>
      </c>
      <c r="Q174" s="173">
        <f>Q155</f>
        <v/>
      </c>
      <c r="R174" s="173">
        <f>R155</f>
        <v/>
      </c>
      <c r="S174" s="173">
        <f>S155</f>
        <v/>
      </c>
      <c r="T174" s="173">
        <f>T155</f>
        <v/>
      </c>
      <c r="U174" s="173">
        <f>U155</f>
        <v/>
      </c>
      <c r="V174" s="173">
        <f>V155</f>
        <v/>
      </c>
      <c r="W174" s="173">
        <f>W155</f>
        <v/>
      </c>
      <c r="X174" s="173">
        <f>X155</f>
        <v/>
      </c>
      <c r="Y174" s="173">
        <f>Y155</f>
        <v/>
      </c>
      <c r="Z174" s="173">
        <f>Z155</f>
        <v/>
      </c>
      <c r="AA174" s="173">
        <f>AA155</f>
        <v/>
      </c>
      <c r="AB174" s="173">
        <f>AB155</f>
        <v/>
      </c>
      <c r="AC174" s="173">
        <f>AC155</f>
        <v/>
      </c>
      <c r="AD174" s="173">
        <f>AD155</f>
        <v/>
      </c>
      <c r="AE174" s="173">
        <f>AE155</f>
        <v/>
      </c>
      <c r="AF174" s="173">
        <f>AF155</f>
        <v/>
      </c>
      <c r="AG174" s="173">
        <f>AG155</f>
        <v/>
      </c>
      <c r="AH174" s="173">
        <f>AH155</f>
        <v/>
      </c>
      <c r="AI174" s="173">
        <f>AI155</f>
        <v/>
      </c>
      <c r="AJ174" s="173">
        <f>AJ155</f>
        <v/>
      </c>
      <c r="AK174" s="173">
        <f>AK155</f>
        <v/>
      </c>
      <c r="AL174" s="173">
        <f>AL155</f>
        <v/>
      </c>
      <c r="AM174" s="173">
        <f>AM155</f>
        <v/>
      </c>
      <c r="AN174" s="173">
        <f>AN155</f>
        <v/>
      </c>
      <c r="AO174" s="173">
        <f>AO155</f>
        <v/>
      </c>
      <c r="AP174" s="173">
        <f>AP155</f>
        <v/>
      </c>
      <c r="AQ174" s="173">
        <f>AQ155</f>
        <v/>
      </c>
      <c r="AR174" s="173">
        <f>AR155</f>
        <v/>
      </c>
      <c r="AS174" s="173">
        <f>AS155</f>
        <v/>
      </c>
      <c r="AT174" s="173">
        <f>AT155</f>
        <v/>
      </c>
      <c r="AU174" s="173">
        <f>AU155</f>
        <v/>
      </c>
      <c r="AV174" s="173">
        <f>AV155</f>
        <v/>
      </c>
      <c r="AW174" s="173">
        <f>AW155</f>
        <v/>
      </c>
      <c r="AX174" s="173">
        <f>AX155</f>
        <v/>
      </c>
      <c r="AY174" s="173">
        <f>AY155</f>
        <v/>
      </c>
      <c r="AZ174" s="173">
        <f>AZ155</f>
        <v/>
      </c>
      <c r="BA174" s="173">
        <f>BA155</f>
        <v/>
      </c>
      <c r="BB174" s="173">
        <f>BB155</f>
        <v/>
      </c>
      <c r="BC174" s="173">
        <f>BC155</f>
        <v/>
      </c>
      <c r="BD174" s="173">
        <f>BD155</f>
        <v/>
      </c>
      <c r="BE174" s="173">
        <f>BE155</f>
        <v/>
      </c>
      <c r="BF174" s="173">
        <f>BF155</f>
        <v/>
      </c>
      <c r="BG174" s="173">
        <f>BG155</f>
        <v/>
      </c>
      <c r="BH174" s="173">
        <f>BH155</f>
        <v/>
      </c>
      <c r="BI174" s="173">
        <f>BI155</f>
        <v/>
      </c>
      <c r="BJ174" s="173">
        <f>BJ155</f>
        <v/>
      </c>
      <c r="BK174" s="173">
        <f>BK155</f>
        <v/>
      </c>
      <c r="BL174" s="173">
        <f>BL155</f>
        <v/>
      </c>
      <c r="BM174" s="173">
        <f>BM155</f>
        <v/>
      </c>
      <c r="BN174" s="173">
        <f>BN155</f>
        <v/>
      </c>
      <c r="BO174" s="173">
        <f>BO155</f>
        <v/>
      </c>
      <c r="BP174" s="173">
        <f>BP155</f>
        <v/>
      </c>
      <c r="BQ174" s="173">
        <f>BQ155</f>
        <v/>
      </c>
      <c r="BR174" s="173">
        <f>BR155</f>
        <v/>
      </c>
      <c r="BS174" s="173">
        <f>BS155</f>
        <v/>
      </c>
      <c r="BT174" s="173">
        <f>BT155</f>
        <v/>
      </c>
      <c r="BU174" s="173">
        <f>BU155</f>
        <v/>
      </c>
      <c r="BV174" s="173">
        <f>BV155</f>
        <v/>
      </c>
      <c r="BW174" s="173">
        <f>BW155</f>
        <v/>
      </c>
      <c r="BX174" s="173">
        <f>BX155</f>
        <v/>
      </c>
      <c r="BY174" s="173">
        <f>BY155</f>
        <v/>
      </c>
      <c r="BZ174" s="173">
        <f>BZ155</f>
        <v/>
      </c>
      <c r="CA174" s="173">
        <f>CA155</f>
        <v/>
      </c>
      <c r="CB174" s="173">
        <f>CB155</f>
        <v/>
      </c>
      <c r="CC174" s="173">
        <f>CC155</f>
        <v/>
      </c>
      <c r="CD174" s="173">
        <f>CD155</f>
        <v/>
      </c>
      <c r="CE174" s="173">
        <f>CE155</f>
        <v/>
      </c>
      <c r="CF174" s="173">
        <f>CF155</f>
        <v/>
      </c>
      <c r="CG174" s="173">
        <f>CG155</f>
        <v/>
      </c>
      <c r="CH174" s="173">
        <f>CH155</f>
        <v/>
      </c>
      <c r="CI174" s="173">
        <f>CI155</f>
        <v/>
      </c>
      <c r="CJ174" s="173">
        <f>CJ155</f>
        <v/>
      </c>
      <c r="CK174" s="173">
        <f>CK155</f>
        <v/>
      </c>
      <c r="CL174" s="173">
        <f>CL155</f>
        <v/>
      </c>
      <c r="CM174" s="174">
        <f>CM155</f>
        <v/>
      </c>
      <c r="CN174" s="174">
        <f>CN155</f>
        <v/>
      </c>
      <c r="CO174" s="174">
        <f>CO155</f>
        <v/>
      </c>
      <c r="CP174" s="174">
        <f>CP155</f>
        <v/>
      </c>
      <c r="CQ174" s="174">
        <f>CQ155</f>
        <v/>
      </c>
      <c r="CR174" s="174">
        <f>CR155</f>
        <v/>
      </c>
      <c r="CS174" s="174">
        <f>CS155</f>
        <v/>
      </c>
      <c r="CT174" s="22" t="n"/>
      <c r="CV174" s="6" t="n"/>
      <c r="CW174" s="6" t="n"/>
      <c r="CX174" s="6" t="n"/>
      <c r="CY174" s="6" t="n"/>
    </row>
    <row r="175" ht="15" customHeight="1">
      <c r="B175" s="12" t="inlineStr">
        <is>
          <t xml:space="preserve">  (+) Income tax expense (incl. discontinued operations where presented)</t>
        </is>
      </c>
      <c r="C175" s="29" t="n"/>
      <c r="D175" s="169" t="n">
        <v>204.4</v>
      </c>
      <c r="E175" s="169" t="n">
        <v>76.7</v>
      </c>
      <c r="F175" s="169" t="n">
        <v>-37.9</v>
      </c>
      <c r="G175" s="169" t="n">
        <v>-89.7</v>
      </c>
      <c r="H175" s="169" t="n">
        <v>-78.5</v>
      </c>
      <c r="I175" s="169" t="n">
        <v>-66.5</v>
      </c>
      <c r="J175" s="169" t="n">
        <v>-38.8</v>
      </c>
      <c r="K175" s="169" t="n">
        <v>6.2</v>
      </c>
      <c r="L175" s="170">
        <f>J175+K175</f>
        <v/>
      </c>
      <c r="M175" s="169" t="n">
        <v>10.8</v>
      </c>
      <c r="N175" s="169" t="n">
        <v>-2.6</v>
      </c>
      <c r="O175" s="169" t="n">
        <v>-24.5</v>
      </c>
      <c r="P175" s="169" t="n">
        <v>22.9</v>
      </c>
      <c r="Q175" s="169" t="n">
        <v>18</v>
      </c>
      <c r="R175" s="170">
        <f>P175+Q175</f>
        <v/>
      </c>
      <c r="S175" s="169" t="n">
        <v>31.1</v>
      </c>
      <c r="T175" s="169" t="n">
        <v>19.7</v>
      </c>
      <c r="U175" s="169" t="n">
        <v>91.7</v>
      </c>
      <c r="V175" s="169" t="n">
        <v>-14.1</v>
      </c>
      <c r="W175" s="169" t="n">
        <v>19.9</v>
      </c>
      <c r="X175" s="170">
        <f>V175+W175</f>
        <v/>
      </c>
      <c r="Y175" s="169" t="n">
        <v>45.4</v>
      </c>
      <c r="Z175" s="169" t="n">
        <v>43.8</v>
      </c>
      <c r="AA175" s="169" t="n">
        <v>94.90000000000001</v>
      </c>
      <c r="AB175" s="169" t="n">
        <v>9.800000000000001</v>
      </c>
      <c r="AC175" s="169" t="n">
        <v>54.2</v>
      </c>
      <c r="AD175" s="170">
        <f>AB175+AC175</f>
        <v/>
      </c>
      <c r="AE175" s="169" t="n">
        <v>52.1</v>
      </c>
      <c r="AF175" s="169" t="n">
        <v>33.3</v>
      </c>
      <c r="AG175" s="169" t="n">
        <v>124.9</v>
      </c>
      <c r="AH175" s="169" t="n">
        <v>-3.2</v>
      </c>
      <c r="AI175" s="169" t="n">
        <v>45.7</v>
      </c>
      <c r="AJ175" s="170">
        <f>AH175+AI175</f>
        <v/>
      </c>
      <c r="AK175" s="169" t="n">
        <v>39.1</v>
      </c>
      <c r="AL175" s="169" t="n">
        <v>-313.6</v>
      </c>
      <c r="AM175" s="169" t="n">
        <v>-232.1</v>
      </c>
      <c r="AN175" s="169" t="n">
        <v>-4.9</v>
      </c>
      <c r="AO175" s="169" t="n">
        <v>40</v>
      </c>
      <c r="AP175" s="170">
        <f>AN175+AO175</f>
        <v/>
      </c>
      <c r="AQ175" s="169" t="n">
        <v>40.7</v>
      </c>
      <c r="AR175" s="169" t="n">
        <v>29.6</v>
      </c>
      <c r="AS175" s="169" t="n">
        <v>105.4</v>
      </c>
      <c r="AT175" s="169" t="n">
        <v>10.7</v>
      </c>
      <c r="AU175" s="169" t="n">
        <v>47.6</v>
      </c>
      <c r="AV175" s="170">
        <f>AT175+AU175</f>
        <v/>
      </c>
      <c r="AW175" s="169" t="n">
        <v>53.5</v>
      </c>
      <c r="AX175" s="169" t="n">
        <v>23.4</v>
      </c>
      <c r="AY175" s="169" t="n">
        <v>135.2</v>
      </c>
      <c r="AZ175" s="169" t="n">
        <v>12.2</v>
      </c>
      <c r="BA175" s="169" t="n">
        <v>61.4</v>
      </c>
      <c r="BB175" s="170">
        <f>AZ175+BA175</f>
        <v/>
      </c>
      <c r="BC175" s="169" t="n">
        <v>57</v>
      </c>
      <c r="BD175" s="169" t="n">
        <v>25.3</v>
      </c>
      <c r="BE175" s="169" t="n">
        <v>155.8</v>
      </c>
      <c r="BF175" s="169" t="n">
        <v>60.6</v>
      </c>
      <c r="BG175" s="169" t="n">
        <v>57.3</v>
      </c>
      <c r="BH175" s="170">
        <f>BF175+BG175</f>
        <v/>
      </c>
      <c r="BI175" s="169" t="n">
        <v>51.8</v>
      </c>
      <c r="BJ175" s="169" t="n">
        <v>30.4</v>
      </c>
      <c r="BK175" s="169" t="n">
        <v>200.1</v>
      </c>
      <c r="BL175" s="169" t="n">
        <v>18.7</v>
      </c>
      <c r="BM175" s="169" t="n">
        <v>63.7</v>
      </c>
      <c r="BN175" s="170">
        <f>BL175+BM175</f>
        <v/>
      </c>
      <c r="BO175" s="169" t="n">
        <v>82.3</v>
      </c>
      <c r="BP175" s="169" t="n">
        <v>28.5</v>
      </c>
      <c r="BQ175" s="169" t="n">
        <v>193</v>
      </c>
      <c r="BR175" s="169" t="n">
        <v>16.6</v>
      </c>
      <c r="BS175" s="169" t="n">
        <v>90.8</v>
      </c>
      <c r="BT175" s="170">
        <f>BR175+BS175</f>
        <v/>
      </c>
      <c r="BU175" s="169" t="n">
        <v>84.8</v>
      </c>
      <c r="BV175" s="169" t="n">
        <v>104.2</v>
      </c>
      <c r="BW175" s="169" t="n">
        <v>295.6</v>
      </c>
      <c r="BX175" s="169" t="n">
        <v>28.3</v>
      </c>
      <c r="BY175" s="169" t="n">
        <v>93.7</v>
      </c>
      <c r="BZ175" s="170">
        <f>BX175+BY175</f>
        <v/>
      </c>
      <c r="CA175" s="169" t="n">
        <v>84.7</v>
      </c>
      <c r="CB175" s="169" t="n">
        <v>42</v>
      </c>
      <c r="CC175" s="169" t="n">
        <v>248.8</v>
      </c>
      <c r="CD175" s="169" t="n">
        <v>33.4</v>
      </c>
      <c r="CE175" s="169" t="n">
        <v>90.59999999999999</v>
      </c>
      <c r="CF175" s="170">
        <f>CD175+CE175</f>
        <v/>
      </c>
      <c r="CG175" s="169" t="n">
        <v>111.9</v>
      </c>
      <c r="CH175" s="169" t="n">
        <v>70</v>
      </c>
      <c r="CI175" s="169" t="n">
        <v>305.9</v>
      </c>
      <c r="CJ175" s="169" t="n">
        <v>45.5</v>
      </c>
      <c r="CK175" s="169" t="n">
        <v>81.8</v>
      </c>
      <c r="CL175" s="170">
        <f>CJ175+CK175</f>
        <v/>
      </c>
      <c r="CM175" s="171">
        <f>CM149</f>
        <v/>
      </c>
      <c r="CN175" s="171">
        <f>CN149</f>
        <v/>
      </c>
      <c r="CO175" s="171">
        <f>SUM(CJ175,CK175,CM175,CN175)</f>
        <v/>
      </c>
      <c r="CP175" s="171">
        <f>CP149</f>
        <v/>
      </c>
      <c r="CQ175" s="171">
        <f>CQ149</f>
        <v/>
      </c>
      <c r="CR175" s="171">
        <f>CR149</f>
        <v/>
      </c>
      <c r="CS175" s="171">
        <f>CS149</f>
        <v/>
      </c>
      <c r="CT175" s="22" t="n"/>
      <c r="CV175" s="23" t="n"/>
      <c r="CW175" s="23" t="n"/>
      <c r="CX175" s="23" t="n"/>
      <c r="CY175" s="23" t="n"/>
    </row>
    <row r="176" ht="15" customHeight="1">
      <c r="B176" s="12" t="inlineStr">
        <is>
          <t xml:space="preserve">  (+) Interest expense, net</t>
        </is>
      </c>
      <c r="C176" s="170">
        <f>C147</f>
        <v/>
      </c>
      <c r="D176" s="170">
        <f>D147</f>
        <v/>
      </c>
      <c r="E176" s="170">
        <f>E147</f>
        <v/>
      </c>
      <c r="F176" s="170">
        <f>F147</f>
        <v/>
      </c>
      <c r="G176" s="170">
        <f>G147</f>
        <v/>
      </c>
      <c r="H176" s="170">
        <f>H147</f>
        <v/>
      </c>
      <c r="I176" s="170">
        <f>I147</f>
        <v/>
      </c>
      <c r="J176" s="170">
        <f>J147</f>
        <v/>
      </c>
      <c r="K176" s="170">
        <f>K147</f>
        <v/>
      </c>
      <c r="L176" s="170">
        <f>L147</f>
        <v/>
      </c>
      <c r="M176" s="170">
        <f>M147</f>
        <v/>
      </c>
      <c r="N176" s="170">
        <f>N147</f>
        <v/>
      </c>
      <c r="O176" s="170">
        <f>O147</f>
        <v/>
      </c>
      <c r="P176" s="170">
        <f>P147</f>
        <v/>
      </c>
      <c r="Q176" s="170">
        <f>Q147</f>
        <v/>
      </c>
      <c r="R176" s="170">
        <f>R147</f>
        <v/>
      </c>
      <c r="S176" s="170">
        <f>S147</f>
        <v/>
      </c>
      <c r="T176" s="170">
        <f>T147</f>
        <v/>
      </c>
      <c r="U176" s="170">
        <f>U147</f>
        <v/>
      </c>
      <c r="V176" s="170">
        <f>V147</f>
        <v/>
      </c>
      <c r="W176" s="170">
        <f>W147</f>
        <v/>
      </c>
      <c r="X176" s="170">
        <f>X147</f>
        <v/>
      </c>
      <c r="Y176" s="170">
        <f>Y147</f>
        <v/>
      </c>
      <c r="Z176" s="170">
        <f>Z147</f>
        <v/>
      </c>
      <c r="AA176" s="170">
        <f>AA147</f>
        <v/>
      </c>
      <c r="AB176" s="170">
        <f>AB147</f>
        <v/>
      </c>
      <c r="AC176" s="170">
        <f>AC147</f>
        <v/>
      </c>
      <c r="AD176" s="170">
        <f>AD147</f>
        <v/>
      </c>
      <c r="AE176" s="170">
        <f>AE147</f>
        <v/>
      </c>
      <c r="AF176" s="170">
        <f>AF147</f>
        <v/>
      </c>
      <c r="AG176" s="170">
        <f>AG147</f>
        <v/>
      </c>
      <c r="AH176" s="170">
        <f>AH147</f>
        <v/>
      </c>
      <c r="AI176" s="170">
        <f>AI147</f>
        <v/>
      </c>
      <c r="AJ176" s="170">
        <f>AJ147</f>
        <v/>
      </c>
      <c r="AK176" s="170">
        <f>AK147</f>
        <v/>
      </c>
      <c r="AL176" s="170">
        <f>AL147</f>
        <v/>
      </c>
      <c r="AM176" s="170">
        <f>AM147</f>
        <v/>
      </c>
      <c r="AN176" s="170">
        <f>AN147</f>
        <v/>
      </c>
      <c r="AO176" s="170">
        <f>AO147</f>
        <v/>
      </c>
      <c r="AP176" s="170">
        <f>AP147</f>
        <v/>
      </c>
      <c r="AQ176" s="170">
        <f>AQ147</f>
        <v/>
      </c>
      <c r="AR176" s="170">
        <f>AR147</f>
        <v/>
      </c>
      <c r="AS176" s="170">
        <f>AS147</f>
        <v/>
      </c>
      <c r="AT176" s="170">
        <f>AT147</f>
        <v/>
      </c>
      <c r="AU176" s="170">
        <f>AU147</f>
        <v/>
      </c>
      <c r="AV176" s="170">
        <f>AV147</f>
        <v/>
      </c>
      <c r="AW176" s="170">
        <f>AW147</f>
        <v/>
      </c>
      <c r="AX176" s="170">
        <f>AX147</f>
        <v/>
      </c>
      <c r="AY176" s="170">
        <f>AY147</f>
        <v/>
      </c>
      <c r="AZ176" s="170">
        <f>AZ147</f>
        <v/>
      </c>
      <c r="BA176" s="170">
        <f>BA147</f>
        <v/>
      </c>
      <c r="BB176" s="170">
        <f>BB147</f>
        <v/>
      </c>
      <c r="BC176" s="170">
        <f>BC147</f>
        <v/>
      </c>
      <c r="BD176" s="170">
        <f>BD147</f>
        <v/>
      </c>
      <c r="BE176" s="170">
        <f>BE147</f>
        <v/>
      </c>
      <c r="BF176" s="170">
        <f>BF147</f>
        <v/>
      </c>
      <c r="BG176" s="170">
        <f>BG147</f>
        <v/>
      </c>
      <c r="BH176" s="170">
        <f>BH147</f>
        <v/>
      </c>
      <c r="BI176" s="170">
        <f>BI147</f>
        <v/>
      </c>
      <c r="BJ176" s="170">
        <f>BJ147</f>
        <v/>
      </c>
      <c r="BK176" s="170">
        <f>BK147</f>
        <v/>
      </c>
      <c r="BL176" s="170">
        <f>BL147</f>
        <v/>
      </c>
      <c r="BM176" s="170">
        <f>BM147</f>
        <v/>
      </c>
      <c r="BN176" s="170">
        <f>BN147</f>
        <v/>
      </c>
      <c r="BO176" s="170">
        <f>BO147</f>
        <v/>
      </c>
      <c r="BP176" s="170">
        <f>BP147</f>
        <v/>
      </c>
      <c r="BQ176" s="170">
        <f>BQ147</f>
        <v/>
      </c>
      <c r="BR176" s="170">
        <f>BR147</f>
        <v/>
      </c>
      <c r="BS176" s="170">
        <f>BS147</f>
        <v/>
      </c>
      <c r="BT176" s="170">
        <f>BT147</f>
        <v/>
      </c>
      <c r="BU176" s="170">
        <f>BU147</f>
        <v/>
      </c>
      <c r="BV176" s="170">
        <f>BV147</f>
        <v/>
      </c>
      <c r="BW176" s="170">
        <f>BW147</f>
        <v/>
      </c>
      <c r="BX176" s="170">
        <f>BX147</f>
        <v/>
      </c>
      <c r="BY176" s="170">
        <f>BY147</f>
        <v/>
      </c>
      <c r="BZ176" s="170">
        <f>BZ147</f>
        <v/>
      </c>
      <c r="CA176" s="170">
        <f>CA147</f>
        <v/>
      </c>
      <c r="CB176" s="170">
        <f>CB147</f>
        <v/>
      </c>
      <c r="CC176" s="170">
        <f>CC147</f>
        <v/>
      </c>
      <c r="CD176" s="170">
        <f>CD147</f>
        <v/>
      </c>
      <c r="CE176" s="170">
        <f>CE147</f>
        <v/>
      </c>
      <c r="CF176" s="170">
        <f>CF147</f>
        <v/>
      </c>
      <c r="CG176" s="170">
        <f>CG147</f>
        <v/>
      </c>
      <c r="CH176" s="170">
        <f>CH147</f>
        <v/>
      </c>
      <c r="CI176" s="170">
        <f>CI147</f>
        <v/>
      </c>
      <c r="CJ176" s="170">
        <f>CJ147</f>
        <v/>
      </c>
      <c r="CK176" s="170">
        <f>CK147</f>
        <v/>
      </c>
      <c r="CL176" s="170">
        <f>CL147</f>
        <v/>
      </c>
      <c r="CM176" s="171">
        <f>CM147</f>
        <v/>
      </c>
      <c r="CN176" s="171">
        <f>CN147</f>
        <v/>
      </c>
      <c r="CO176" s="171">
        <f>CO147</f>
        <v/>
      </c>
      <c r="CP176" s="171">
        <f>CP147</f>
        <v/>
      </c>
      <c r="CQ176" s="171">
        <f>CQ147</f>
        <v/>
      </c>
      <c r="CR176" s="171">
        <f>CR147</f>
        <v/>
      </c>
      <c r="CS176" s="171">
        <f>CS147</f>
        <v/>
      </c>
      <c r="CT176" s="22" t="n"/>
      <c r="CV176" s="23" t="n"/>
      <c r="CW176" s="23" t="n"/>
      <c r="CX176" s="23" t="n"/>
      <c r="CY176" s="23" t="n"/>
    </row>
    <row r="177" ht="15" customHeight="1">
      <c r="B177" s="12" t="inlineStr">
        <is>
          <t xml:space="preserve">  (+) Depreciation, depletion, accretion &amp; amortization</t>
        </is>
      </c>
      <c r="C177" s="170">
        <f>C158</f>
        <v/>
      </c>
      <c r="D177" s="170">
        <f>D158</f>
        <v/>
      </c>
      <c r="E177" s="170">
        <f>E158</f>
        <v/>
      </c>
      <c r="F177" s="170">
        <f>F158</f>
        <v/>
      </c>
      <c r="G177" s="170">
        <f>G158</f>
        <v/>
      </c>
      <c r="H177" s="170">
        <f>H158</f>
        <v/>
      </c>
      <c r="I177" s="170">
        <f>I158</f>
        <v/>
      </c>
      <c r="J177" s="170">
        <f>J158</f>
        <v/>
      </c>
      <c r="K177" s="170">
        <f>K158</f>
        <v/>
      </c>
      <c r="L177" s="170">
        <f>L158</f>
        <v/>
      </c>
      <c r="M177" s="170">
        <f>M158</f>
        <v/>
      </c>
      <c r="N177" s="170">
        <f>N158</f>
        <v/>
      </c>
      <c r="O177" s="170">
        <f>O158</f>
        <v/>
      </c>
      <c r="P177" s="170">
        <f>P158</f>
        <v/>
      </c>
      <c r="Q177" s="170">
        <f>Q158</f>
        <v/>
      </c>
      <c r="R177" s="170">
        <f>R158</f>
        <v/>
      </c>
      <c r="S177" s="170">
        <f>S158</f>
        <v/>
      </c>
      <c r="T177" s="170">
        <f>T158</f>
        <v/>
      </c>
      <c r="U177" s="170">
        <f>U158</f>
        <v/>
      </c>
      <c r="V177" s="170">
        <f>V158</f>
        <v/>
      </c>
      <c r="W177" s="170">
        <f>W158</f>
        <v/>
      </c>
      <c r="X177" s="170">
        <f>X158</f>
        <v/>
      </c>
      <c r="Y177" s="170">
        <f>Y158</f>
        <v/>
      </c>
      <c r="Z177" s="170">
        <f>Z158</f>
        <v/>
      </c>
      <c r="AA177" s="170">
        <f>AA158</f>
        <v/>
      </c>
      <c r="AB177" s="170">
        <f>AB158</f>
        <v/>
      </c>
      <c r="AC177" s="170">
        <f>AC158</f>
        <v/>
      </c>
      <c r="AD177" s="170">
        <f>AD158</f>
        <v/>
      </c>
      <c r="AE177" s="170">
        <f>AE158</f>
        <v/>
      </c>
      <c r="AF177" s="170">
        <f>AF158</f>
        <v/>
      </c>
      <c r="AG177" s="170">
        <f>AG158</f>
        <v/>
      </c>
      <c r="AH177" s="170">
        <f>AH158</f>
        <v/>
      </c>
      <c r="AI177" s="170">
        <f>AI158</f>
        <v/>
      </c>
      <c r="AJ177" s="170">
        <f>AJ158</f>
        <v/>
      </c>
      <c r="AK177" s="170">
        <f>AK158</f>
        <v/>
      </c>
      <c r="AL177" s="170">
        <f>AL158</f>
        <v/>
      </c>
      <c r="AM177" s="170">
        <f>AM158</f>
        <v/>
      </c>
      <c r="AN177" s="170">
        <f>AN158</f>
        <v/>
      </c>
      <c r="AO177" s="170">
        <f>AO158</f>
        <v/>
      </c>
      <c r="AP177" s="170">
        <f>AP158</f>
        <v/>
      </c>
      <c r="AQ177" s="170">
        <f>AQ158</f>
        <v/>
      </c>
      <c r="AR177" s="170">
        <f>AR158</f>
        <v/>
      </c>
      <c r="AS177" s="170">
        <f>AS158</f>
        <v/>
      </c>
      <c r="AT177" s="170">
        <f>AT158</f>
        <v/>
      </c>
      <c r="AU177" s="170">
        <f>AU158</f>
        <v/>
      </c>
      <c r="AV177" s="170">
        <f>AV158</f>
        <v/>
      </c>
      <c r="AW177" s="170">
        <f>AW158</f>
        <v/>
      </c>
      <c r="AX177" s="170">
        <f>AX158</f>
        <v/>
      </c>
      <c r="AY177" s="170">
        <f>AY158</f>
        <v/>
      </c>
      <c r="AZ177" s="170">
        <f>AZ158</f>
        <v/>
      </c>
      <c r="BA177" s="170">
        <f>BA158</f>
        <v/>
      </c>
      <c r="BB177" s="170">
        <f>BB158</f>
        <v/>
      </c>
      <c r="BC177" s="170">
        <f>BC158</f>
        <v/>
      </c>
      <c r="BD177" s="170">
        <f>BD158</f>
        <v/>
      </c>
      <c r="BE177" s="170">
        <f>BE158</f>
        <v/>
      </c>
      <c r="BF177" s="170">
        <f>BF158</f>
        <v/>
      </c>
      <c r="BG177" s="170">
        <f>BG158</f>
        <v/>
      </c>
      <c r="BH177" s="170">
        <f>BH158</f>
        <v/>
      </c>
      <c r="BI177" s="170">
        <f>BI158</f>
        <v/>
      </c>
      <c r="BJ177" s="170">
        <f>BJ158</f>
        <v/>
      </c>
      <c r="BK177" s="170">
        <f>BK158</f>
        <v/>
      </c>
      <c r="BL177" s="170">
        <f>BL158</f>
        <v/>
      </c>
      <c r="BM177" s="170">
        <f>BM158</f>
        <v/>
      </c>
      <c r="BN177" s="170">
        <f>BN158</f>
        <v/>
      </c>
      <c r="BO177" s="170">
        <f>BO158</f>
        <v/>
      </c>
      <c r="BP177" s="170">
        <f>BP158</f>
        <v/>
      </c>
      <c r="BQ177" s="170">
        <f>BQ158</f>
        <v/>
      </c>
      <c r="BR177" s="170">
        <f>BR158</f>
        <v/>
      </c>
      <c r="BS177" s="170">
        <f>BS158</f>
        <v/>
      </c>
      <c r="BT177" s="170">
        <f>BT158</f>
        <v/>
      </c>
      <c r="BU177" s="170">
        <f>BU158</f>
        <v/>
      </c>
      <c r="BV177" s="170">
        <f>BV158</f>
        <v/>
      </c>
      <c r="BW177" s="170">
        <f>BW158</f>
        <v/>
      </c>
      <c r="BX177" s="170">
        <f>BX158</f>
        <v/>
      </c>
      <c r="BY177" s="170">
        <f>BY158</f>
        <v/>
      </c>
      <c r="BZ177" s="170">
        <f>BZ158</f>
        <v/>
      </c>
      <c r="CA177" s="170">
        <f>CA158</f>
        <v/>
      </c>
      <c r="CB177" s="170">
        <f>CB158</f>
        <v/>
      </c>
      <c r="CC177" s="170">
        <f>CC158</f>
        <v/>
      </c>
      <c r="CD177" s="170">
        <f>CD158</f>
        <v/>
      </c>
      <c r="CE177" s="170">
        <f>CE158</f>
        <v/>
      </c>
      <c r="CF177" s="170">
        <f>CF158</f>
        <v/>
      </c>
      <c r="CG177" s="170">
        <f>CG158</f>
        <v/>
      </c>
      <c r="CH177" s="170">
        <f>CH158</f>
        <v/>
      </c>
      <c r="CI177" s="170">
        <f>CI158</f>
        <v/>
      </c>
      <c r="CJ177" s="170">
        <f>CJ158</f>
        <v/>
      </c>
      <c r="CK177" s="170">
        <f>CK158</f>
        <v/>
      </c>
      <c r="CL177" s="170">
        <f>CL158</f>
        <v/>
      </c>
      <c r="CM177" s="171">
        <f>CM158</f>
        <v/>
      </c>
      <c r="CN177" s="171">
        <f>CN158</f>
        <v/>
      </c>
      <c r="CO177" s="171">
        <f>CO158</f>
        <v/>
      </c>
      <c r="CP177" s="171">
        <f>CP158</f>
        <v/>
      </c>
      <c r="CQ177" s="171">
        <f>CQ158</f>
        <v/>
      </c>
      <c r="CR177" s="171">
        <f>CR158</f>
        <v/>
      </c>
      <c r="CS177" s="171">
        <f>CS158</f>
        <v/>
      </c>
      <c r="CT177" s="22" t="n"/>
      <c r="CV177" s="23" t="n"/>
      <c r="CW177" s="23" t="n"/>
      <c r="CX177" s="23" t="n"/>
      <c r="CY177" s="23" t="n"/>
    </row>
    <row r="178" collapsed="1" ht="15" customHeight="1">
      <c r="B178" s="12" t="inlineStr">
        <is>
          <t xml:space="preserve">  (+) Discontinued operations, after tax (inside EBITDA build, 2022–Q1/23 presentation)</t>
        </is>
      </c>
      <c r="C178" s="29" t="n"/>
      <c r="D178" s="169" t="n">
        <v>12.2</v>
      </c>
      <c r="E178" s="169" t="n">
        <v>2.4</v>
      </c>
      <c r="F178" s="169" t="n">
        <v>-11.7</v>
      </c>
      <c r="G178" s="169" t="n">
        <v>-6.1</v>
      </c>
      <c r="H178" s="169" t="n">
        <v>-4.5</v>
      </c>
      <c r="I178" s="169" t="n">
        <v>-1.3</v>
      </c>
      <c r="J178" s="169" t="n">
        <v>-6.8</v>
      </c>
      <c r="K178" s="169" t="n">
        <v>1.4</v>
      </c>
      <c r="L178" s="170">
        <f>N(J178)+N(K178)</f>
        <v/>
      </c>
      <c r="M178" s="169" t="n">
        <v>0.8</v>
      </c>
      <c r="N178" s="169" t="n">
        <v>1</v>
      </c>
      <c r="O178" s="169" t="n">
        <v>-3.6</v>
      </c>
      <c r="P178" s="169" t="n">
        <v>0.5</v>
      </c>
      <c r="Q178" s="169" t="n">
        <v>0.5</v>
      </c>
      <c r="R178" s="170">
        <f>N(P178)+N(Q178)</f>
        <v/>
      </c>
      <c r="S178" s="169" t="n">
        <v>0.8</v>
      </c>
      <c r="T178" s="169" t="n">
        <v>0.3</v>
      </c>
      <c r="U178" s="169" t="n">
        <v>2.2</v>
      </c>
      <c r="V178" s="169" t="n">
        <v>3</v>
      </c>
      <c r="W178" s="169" t="n">
        <v>1.7</v>
      </c>
      <c r="X178" s="170">
        <f>N(V178)+N(W178)</f>
        <v/>
      </c>
      <c r="Y178" s="169" t="n">
        <v>2.4</v>
      </c>
      <c r="Z178" s="169" t="n">
        <v>4.7</v>
      </c>
      <c r="AA178" s="169" t="n">
        <v>11.7</v>
      </c>
      <c r="AB178" s="169" t="n">
        <v>1.8</v>
      </c>
      <c r="AC178" s="169" t="n">
        <v>2.5</v>
      </c>
      <c r="AD178" s="170">
        <f>N(AB178)+N(AC178)</f>
        <v/>
      </c>
      <c r="AE178" s="169" t="n">
        <v>3.1</v>
      </c>
      <c r="AF178" s="169" t="n">
        <v>-4.5</v>
      </c>
      <c r="AG178" s="169" t="n">
        <v>2.9</v>
      </c>
      <c r="AH178" s="169" t="n">
        <v>-1.4</v>
      </c>
      <c r="AI178" s="169" t="n">
        <v>-8.4</v>
      </c>
      <c r="AJ178" s="170">
        <f>N(AH178)+N(AI178)</f>
        <v/>
      </c>
      <c r="AK178" s="169" t="n">
        <v>1.6</v>
      </c>
      <c r="AL178" s="169" t="n">
        <v>0.4</v>
      </c>
      <c r="AM178" s="169" t="n">
        <v>-7.8</v>
      </c>
      <c r="AN178" s="169" t="n">
        <v>0.4</v>
      </c>
      <c r="AO178" s="169" t="n">
        <v>0.7</v>
      </c>
      <c r="AP178" s="170">
        <f>N(AN178)+N(AO178)</f>
        <v/>
      </c>
      <c r="AQ178" s="169" t="n">
        <v>0.7</v>
      </c>
      <c r="AR178" s="169" t="n">
        <v>0.3</v>
      </c>
      <c r="AS178" s="169" t="n">
        <v>2</v>
      </c>
      <c r="AT178" s="169" t="n">
        <v>0.6</v>
      </c>
      <c r="AU178" s="169" t="n">
        <v>0.3</v>
      </c>
      <c r="AV178" s="170">
        <f>N(AT178)+N(AU178)</f>
        <v/>
      </c>
      <c r="AW178" s="169" t="n">
        <v>2.4</v>
      </c>
      <c r="AX178" s="169" t="n">
        <v>1.5</v>
      </c>
      <c r="AY178" s="169" t="n">
        <v>4.8</v>
      </c>
      <c r="AZ178" s="169" t="n">
        <v>-0.3</v>
      </c>
      <c r="BA178" s="169" t="n">
        <v>1</v>
      </c>
      <c r="BB178" s="170">
        <f>N(AZ178)+N(BA178)</f>
        <v/>
      </c>
      <c r="BC178" s="169" t="n">
        <v>1.3</v>
      </c>
      <c r="BD178" s="169" t="n">
        <v>1.4</v>
      </c>
      <c r="BE178" s="169" t="n">
        <v>3.5</v>
      </c>
      <c r="BF178" s="169" t="n">
        <v>1.1</v>
      </c>
      <c r="BG178" s="169" t="n">
        <v>1.4</v>
      </c>
      <c r="BH178" s="170">
        <f>N(BF178)+N(BG178)</f>
        <v/>
      </c>
      <c r="BI178" s="169" t="n">
        <v>0.2</v>
      </c>
      <c r="BJ178" s="169" t="n">
        <v>0.7</v>
      </c>
      <c r="BK178" s="169" t="n">
        <v>3.3</v>
      </c>
      <c r="BL178" s="169" t="n">
        <v>1.8</v>
      </c>
      <c r="BM178" s="169" t="n">
        <v>13.1</v>
      </c>
      <c r="BN178" s="170">
        <f>N(BL178)+N(BM178)</f>
        <v/>
      </c>
      <c r="BO178" s="169" t="n">
        <v>1.2</v>
      </c>
      <c r="BP178" s="169" t="n">
        <v>2.5</v>
      </c>
      <c r="BQ178" s="169" t="n">
        <v>18.6</v>
      </c>
      <c r="BR178" s="169" t="n">
        <v>2.1</v>
      </c>
      <c r="BS178" s="30" t="n"/>
      <c r="BT178" s="170">
        <f>N(BR178)+N(BS178)</f>
        <v/>
      </c>
      <c r="BU178" s="30" t="n"/>
      <c r="BV178" s="30" t="n"/>
      <c r="BW178" s="30" t="n"/>
      <c r="BX178" s="30" t="n"/>
      <c r="BY178" s="30" t="n"/>
      <c r="BZ178" s="29" t="n"/>
      <c r="CA178" s="30" t="n"/>
      <c r="CB178" s="30" t="n"/>
      <c r="CC178" s="30" t="n"/>
      <c r="CD178" s="30" t="n"/>
      <c r="CE178" s="30" t="n"/>
      <c r="CF178" s="29" t="n"/>
      <c r="CG178" s="30" t="n"/>
      <c r="CH178" s="30" t="n"/>
      <c r="CI178" s="30" t="n"/>
      <c r="CJ178" s="30" t="n"/>
      <c r="CK178" s="30" t="n"/>
      <c r="CL178" s="29" t="n"/>
      <c r="CM178" s="31" t="n"/>
      <c r="CN178" s="31" t="n"/>
      <c r="CO178" s="31" t="n"/>
      <c r="CP178" s="31" t="n"/>
      <c r="CQ178" s="31" t="n"/>
      <c r="CR178" s="31" t="n"/>
      <c r="CS178" s="31" t="n"/>
      <c r="CT178" s="22" t="n"/>
      <c r="CV178" s="23" t="n"/>
      <c r="CW178" s="23" t="n"/>
      <c r="CX178" s="23" t="n"/>
      <c r="CY178" s="23" t="n"/>
    </row>
    <row r="179" ht="15" customHeight="1">
      <c r="B179" s="18" t="inlineStr">
        <is>
          <t xml:space="preserve">  = EBITDA (model)</t>
        </is>
      </c>
      <c r="C179" s="173">
        <f>IF(AND(ISNUMBER(C174),ISNUMBER(C177)),C174+N(C175)+N(C176)+C177+N(C178),"")</f>
        <v/>
      </c>
      <c r="D179" s="173">
        <f>IF(AND(ISNUMBER(D174),ISNUMBER(D177)),D174+N(D175)+N(D176)+D177+N(D178),"")</f>
        <v/>
      </c>
      <c r="E179" s="173">
        <f>IF(AND(ISNUMBER(E174),ISNUMBER(E177)),E174+N(E175)+N(E176)+E177+N(E178),"")</f>
        <v/>
      </c>
      <c r="F179" s="173">
        <f>IF(AND(ISNUMBER(F174),ISNUMBER(F177)),F174+N(F175)+N(F176)+F177+N(F178),"")</f>
        <v/>
      </c>
      <c r="G179" s="173">
        <f>IF(AND(ISNUMBER(G174),ISNUMBER(G177)),G174+N(G175)+N(G176)+G177+N(G178),"")</f>
        <v/>
      </c>
      <c r="H179" s="173">
        <f>IF(AND(ISNUMBER(H174),ISNUMBER(H177)),H174+N(H175)+N(H176)+H177+N(H178),"")</f>
        <v/>
      </c>
      <c r="I179" s="173">
        <f>IF(AND(ISNUMBER(I174),ISNUMBER(I177)),I174+N(I175)+N(I176)+I177+N(I178),"")</f>
        <v/>
      </c>
      <c r="J179" s="173">
        <f>IF(AND(ISNUMBER(J174),ISNUMBER(J177)),J174+N(J175)+N(J176)+J177+N(J178),"")</f>
        <v/>
      </c>
      <c r="K179" s="173">
        <f>IF(AND(ISNUMBER(K174),ISNUMBER(K177)),K174+N(K175)+N(K176)+K177+N(K178),"")</f>
        <v/>
      </c>
      <c r="L179" s="173">
        <f>IF(AND(ISNUMBER(L174),ISNUMBER(L177)),L174+N(L175)+N(L176)+L177+N(L178),"")</f>
        <v/>
      </c>
      <c r="M179" s="173">
        <f>IF(AND(ISNUMBER(M174),ISNUMBER(M177)),M174+N(M175)+N(M176)+M177+N(M178),"")</f>
        <v/>
      </c>
      <c r="N179" s="173">
        <f>IF(AND(ISNUMBER(N174),ISNUMBER(N177)),N174+N(N175)+N(N176)+N177+N(N178),"")</f>
        <v/>
      </c>
      <c r="O179" s="173">
        <f>IF(AND(ISNUMBER(O174),ISNUMBER(O177)),O174+N(O175)+N(O176)+O177+N(O178),"")</f>
        <v/>
      </c>
      <c r="P179" s="173">
        <f>IF(AND(ISNUMBER(P174),ISNUMBER(P177)),P174+N(P175)+N(P176)+P177+N(P178),"")</f>
        <v/>
      </c>
      <c r="Q179" s="173">
        <f>IF(AND(ISNUMBER(Q174),ISNUMBER(Q177)),Q174+N(Q175)+N(Q176)+Q177+N(Q178),"")</f>
        <v/>
      </c>
      <c r="R179" s="173">
        <f>IF(AND(ISNUMBER(R174),ISNUMBER(R177)),R174+N(R175)+N(R176)+R177+N(R178),"")</f>
        <v/>
      </c>
      <c r="S179" s="173">
        <f>IF(AND(ISNUMBER(S174),ISNUMBER(S177)),S174+N(S175)+N(S176)+S177+N(S178),"")</f>
        <v/>
      </c>
      <c r="T179" s="173">
        <f>IF(AND(ISNUMBER(T174),ISNUMBER(T177)),T174+N(T175)+N(T176)+T177+N(T178),"")</f>
        <v/>
      </c>
      <c r="U179" s="173">
        <f>IF(AND(ISNUMBER(U174),ISNUMBER(U177)),U174+N(U175)+N(U176)+U177+N(U178),"")</f>
        <v/>
      </c>
      <c r="V179" s="173">
        <f>IF(AND(ISNUMBER(V174),ISNUMBER(V177)),V174+N(V175)+N(V176)+V177+N(V178),"")</f>
        <v/>
      </c>
      <c r="W179" s="173">
        <f>IF(AND(ISNUMBER(W174),ISNUMBER(W177)),W174+N(W175)+N(W176)+W177+N(W178),"")</f>
        <v/>
      </c>
      <c r="X179" s="173">
        <f>IF(AND(ISNUMBER(X174),ISNUMBER(X177)),X174+N(X175)+N(X176)+X177+N(X178),"")</f>
        <v/>
      </c>
      <c r="Y179" s="173">
        <f>IF(AND(ISNUMBER(Y174),ISNUMBER(Y177)),Y174+N(Y175)+N(Y176)+Y177+N(Y178),"")</f>
        <v/>
      </c>
      <c r="Z179" s="173">
        <f>IF(AND(ISNUMBER(Z174),ISNUMBER(Z177)),Z174+N(Z175)+N(Z176)+Z177+N(Z178),"")</f>
        <v/>
      </c>
      <c r="AA179" s="173">
        <f>IF(AND(ISNUMBER(AA174),ISNUMBER(AA177)),AA174+N(AA175)+N(AA176)+AA177+N(AA178),"")</f>
        <v/>
      </c>
      <c r="AB179" s="173">
        <f>IF(AND(ISNUMBER(AB174),ISNUMBER(AB177)),AB174+N(AB175)+N(AB176)+AB177+N(AB178),"")</f>
        <v/>
      </c>
      <c r="AC179" s="173">
        <f>IF(AND(ISNUMBER(AC174),ISNUMBER(AC177)),AC174+N(AC175)+N(AC176)+AC177+N(AC178),"")</f>
        <v/>
      </c>
      <c r="AD179" s="173">
        <f>IF(AND(ISNUMBER(AD174),ISNUMBER(AD177)),AD174+N(AD175)+N(AD176)+AD177+N(AD178),"")</f>
        <v/>
      </c>
      <c r="AE179" s="173">
        <f>IF(AND(ISNUMBER(AE174),ISNUMBER(AE177)),AE174+N(AE175)+N(AE176)+AE177+N(AE178),"")</f>
        <v/>
      </c>
      <c r="AF179" s="173">
        <f>IF(AND(ISNUMBER(AF174),ISNUMBER(AF177)),AF174+N(AF175)+N(AF176)+AF177+N(AF178),"")</f>
        <v/>
      </c>
      <c r="AG179" s="173">
        <f>IF(AND(ISNUMBER(AG174),ISNUMBER(AG177)),AG174+N(AG175)+N(AG176)+AG177+N(AG178),"")</f>
        <v/>
      </c>
      <c r="AH179" s="173">
        <f>IF(AND(ISNUMBER(AH174),ISNUMBER(AH177)),AH174+N(AH175)+N(AH176)+AH177+N(AH178),"")</f>
        <v/>
      </c>
      <c r="AI179" s="173">
        <f>IF(AND(ISNUMBER(AI174),ISNUMBER(AI177)),AI174+N(AI175)+N(AI176)+AI177+N(AI178),"")</f>
        <v/>
      </c>
      <c r="AJ179" s="173">
        <f>IF(AND(ISNUMBER(AJ174),ISNUMBER(AJ177)),AJ174+N(AJ175)+N(AJ176)+AJ177+N(AJ178),"")</f>
        <v/>
      </c>
      <c r="AK179" s="173">
        <f>IF(AND(ISNUMBER(AK174),ISNUMBER(AK177)),AK174+N(AK175)+N(AK176)+AK177+N(AK178),"")</f>
        <v/>
      </c>
      <c r="AL179" s="173">
        <f>IF(AND(ISNUMBER(AL174),ISNUMBER(AL177)),AL174+N(AL175)+N(AL176)+AL177+N(AL178),"")</f>
        <v/>
      </c>
      <c r="AM179" s="173">
        <f>IF(AND(ISNUMBER(AM174),ISNUMBER(AM177)),AM174+N(AM175)+N(AM176)+AM177+N(AM178),"")</f>
        <v/>
      </c>
      <c r="AN179" s="173">
        <f>IF(AND(ISNUMBER(AN174),ISNUMBER(AN177)),AN174+N(AN175)+N(AN176)+AN177+N(AN178),"")</f>
        <v/>
      </c>
      <c r="AO179" s="173">
        <f>IF(AND(ISNUMBER(AO174),ISNUMBER(AO177)),AO174+N(AO175)+N(AO176)+AO177+N(AO178),"")</f>
        <v/>
      </c>
      <c r="AP179" s="173">
        <f>IF(AND(ISNUMBER(AP174),ISNUMBER(AP177)),AP174+N(AP175)+N(AP176)+AP177+N(AP178),"")</f>
        <v/>
      </c>
      <c r="AQ179" s="173">
        <f>IF(AND(ISNUMBER(AQ174),ISNUMBER(AQ177)),AQ174+N(AQ175)+N(AQ176)+AQ177+N(AQ178),"")</f>
        <v/>
      </c>
      <c r="AR179" s="173">
        <f>IF(AND(ISNUMBER(AR174),ISNUMBER(AR177)),AR174+N(AR175)+N(AR176)+AR177+N(AR178),"")</f>
        <v/>
      </c>
      <c r="AS179" s="173">
        <f>IF(AND(ISNUMBER(AS174),ISNUMBER(AS177)),AS174+N(AS175)+N(AS176)+AS177+N(AS178),"")</f>
        <v/>
      </c>
      <c r="AT179" s="173">
        <f>IF(AND(ISNUMBER(AT174),ISNUMBER(AT177)),AT174+N(AT175)+N(AT176)+AT177+N(AT178),"")</f>
        <v/>
      </c>
      <c r="AU179" s="173">
        <f>IF(AND(ISNUMBER(AU174),ISNUMBER(AU177)),AU174+N(AU175)+N(AU176)+AU177+N(AU178),"")</f>
        <v/>
      </c>
      <c r="AV179" s="173">
        <f>IF(AND(ISNUMBER(AV174),ISNUMBER(AV177)),AV174+N(AV175)+N(AV176)+AV177+N(AV178),"")</f>
        <v/>
      </c>
      <c r="AW179" s="173">
        <f>IF(AND(ISNUMBER(AW174),ISNUMBER(AW177)),AW174+N(AW175)+N(AW176)+AW177+N(AW178),"")</f>
        <v/>
      </c>
      <c r="AX179" s="173">
        <f>IF(AND(ISNUMBER(AX174),ISNUMBER(AX177)),AX174+N(AX175)+N(AX176)+AX177+N(AX178),"")</f>
        <v/>
      </c>
      <c r="AY179" s="173">
        <f>IF(AND(ISNUMBER(AY174),ISNUMBER(AY177)),AY174+N(AY175)+N(AY176)+AY177+N(AY178),"")</f>
        <v/>
      </c>
      <c r="AZ179" s="173">
        <f>IF(AND(ISNUMBER(AZ174),ISNUMBER(AZ177)),AZ174+N(AZ175)+N(AZ176)+AZ177+N(AZ178),"")</f>
        <v/>
      </c>
      <c r="BA179" s="173">
        <f>IF(AND(ISNUMBER(BA174),ISNUMBER(BA177)),BA174+N(BA175)+N(BA176)+BA177+N(BA178),"")</f>
        <v/>
      </c>
      <c r="BB179" s="173">
        <f>IF(AND(ISNUMBER(BB174),ISNUMBER(BB177)),BB174+N(BB175)+N(BB176)+BB177+N(BB178),"")</f>
        <v/>
      </c>
      <c r="BC179" s="173">
        <f>IF(AND(ISNUMBER(BC174),ISNUMBER(BC177)),BC174+N(BC175)+N(BC176)+BC177+N(BC178),"")</f>
        <v/>
      </c>
      <c r="BD179" s="173">
        <f>IF(AND(ISNUMBER(BD174),ISNUMBER(BD177)),BD174+N(BD175)+N(BD176)+BD177+N(BD178),"")</f>
        <v/>
      </c>
      <c r="BE179" s="173">
        <f>IF(AND(ISNUMBER(BE174),ISNUMBER(BE177)),BE174+N(BE175)+N(BE176)+BE177+N(BE178),"")</f>
        <v/>
      </c>
      <c r="BF179" s="173">
        <f>IF(AND(ISNUMBER(BF174),ISNUMBER(BF177)),BF174+N(BF175)+N(BF176)+BF177+N(BF178),"")</f>
        <v/>
      </c>
      <c r="BG179" s="173">
        <f>IF(AND(ISNUMBER(BG174),ISNUMBER(BG177)),BG174+N(BG175)+N(BG176)+BG177+N(BG178),"")</f>
        <v/>
      </c>
      <c r="BH179" s="173">
        <f>IF(AND(ISNUMBER(BH174),ISNUMBER(BH177)),BH174+N(BH175)+N(BH176)+BH177+N(BH178),"")</f>
        <v/>
      </c>
      <c r="BI179" s="173">
        <f>IF(AND(ISNUMBER(BI174),ISNUMBER(BI177)),BI174+N(BI175)+N(BI176)+BI177+N(BI178),"")</f>
        <v/>
      </c>
      <c r="BJ179" s="173">
        <f>IF(AND(ISNUMBER(BJ174),ISNUMBER(BJ177)),BJ174+N(BJ175)+N(BJ176)+BJ177+N(BJ178),"")</f>
        <v/>
      </c>
      <c r="BK179" s="173">
        <f>IF(AND(ISNUMBER(BK174),ISNUMBER(BK177)),BK174+N(BK175)+N(BK176)+BK177+N(BK178),"")</f>
        <v/>
      </c>
      <c r="BL179" s="173">
        <f>IF(AND(ISNUMBER(BL174),ISNUMBER(BL177)),BL174+N(BL175)+N(BL176)+BL177+N(BL178),"")</f>
        <v/>
      </c>
      <c r="BM179" s="173">
        <f>IF(AND(ISNUMBER(BM174),ISNUMBER(BM177)),BM174+N(BM175)+N(BM176)+BM177+N(BM178),"")</f>
        <v/>
      </c>
      <c r="BN179" s="173">
        <f>IF(AND(ISNUMBER(BN174),ISNUMBER(BN177)),BN174+N(BN175)+N(BN176)+BN177+N(BN178),"")</f>
        <v/>
      </c>
      <c r="BO179" s="173">
        <f>IF(AND(ISNUMBER(BO174),ISNUMBER(BO177)),BO174+N(BO175)+N(BO176)+BO177+N(BO178),"")</f>
        <v/>
      </c>
      <c r="BP179" s="173">
        <f>IF(AND(ISNUMBER(BP174),ISNUMBER(BP177)),BP174+N(BP175)+N(BP176)+BP177+N(BP178),"")</f>
        <v/>
      </c>
      <c r="BQ179" s="173">
        <f>IF(AND(ISNUMBER(BQ174),ISNUMBER(BQ177)),BQ174+N(BQ175)+N(BQ176)+BQ177+N(BQ178),"")</f>
        <v/>
      </c>
      <c r="BR179" s="173">
        <f>IF(AND(ISNUMBER(BR174),ISNUMBER(BR177)),BR174+N(BR175)+N(BR176)+BR177+N(BR178),"")</f>
        <v/>
      </c>
      <c r="BS179" s="173">
        <f>IF(AND(ISNUMBER(BS174),ISNUMBER(BS177)),BS174+N(BS175)+N(BS176)+BS177+N(BS178),"")</f>
        <v/>
      </c>
      <c r="BT179" s="173">
        <f>IF(AND(ISNUMBER(BT174),ISNUMBER(BT177)),BT174+N(BT175)+N(BT176)+BT177+N(BT178),"")</f>
        <v/>
      </c>
      <c r="BU179" s="173">
        <f>IF(AND(ISNUMBER(BU174),ISNUMBER(BU177)),BU174+N(BU175)+N(BU176)+BU177+N(BU178),"")</f>
        <v/>
      </c>
      <c r="BV179" s="173">
        <f>IF(AND(ISNUMBER(BV174),ISNUMBER(BV177)),BV174+N(BV175)+N(BV176)+BV177+N(BV178),"")</f>
        <v/>
      </c>
      <c r="BW179" s="173">
        <f>IF(AND(ISNUMBER(BW174),ISNUMBER(BW177)),BW174+N(BW175)+N(BW176)+BW177+N(BW178),"")</f>
        <v/>
      </c>
      <c r="BX179" s="173">
        <f>IF(AND(ISNUMBER(BX174),ISNUMBER(BX177)),BX174+N(BX175)+N(BX176)+BX177+N(BX178),"")</f>
        <v/>
      </c>
      <c r="BY179" s="173">
        <f>IF(AND(ISNUMBER(BY174),ISNUMBER(BY177)),BY174+N(BY175)+N(BY176)+BY177+N(BY178),"")</f>
        <v/>
      </c>
      <c r="BZ179" s="173">
        <f>IF(AND(ISNUMBER(BZ174),ISNUMBER(BZ177)),BZ174+N(BZ175)+N(BZ176)+BZ177+N(BZ178),"")</f>
        <v/>
      </c>
      <c r="CA179" s="173">
        <f>IF(AND(ISNUMBER(CA174),ISNUMBER(CA177)),CA174+N(CA175)+N(CA176)+CA177+N(CA178),"")</f>
        <v/>
      </c>
      <c r="CB179" s="173">
        <f>IF(AND(ISNUMBER(CB174),ISNUMBER(CB177)),CB174+N(CB175)+N(CB176)+CB177+N(CB178),"")</f>
        <v/>
      </c>
      <c r="CC179" s="173">
        <f>IF(AND(ISNUMBER(CC174),ISNUMBER(CC177)),CC174+N(CC175)+N(CC176)+CC177+N(CC178),"")</f>
        <v/>
      </c>
      <c r="CD179" s="173">
        <f>IF(AND(ISNUMBER(CD174),ISNUMBER(CD177)),CD174+N(CD175)+N(CD176)+CD177+N(CD178),"")</f>
        <v/>
      </c>
      <c r="CE179" s="173">
        <f>IF(AND(ISNUMBER(CE174),ISNUMBER(CE177)),CE174+N(CE175)+N(CE176)+CE177+N(CE178),"")</f>
        <v/>
      </c>
      <c r="CF179" s="173">
        <f>IF(AND(ISNUMBER(CF174),ISNUMBER(CF177)),CF174+N(CF175)+N(CF176)+CF177+N(CF178),"")</f>
        <v/>
      </c>
      <c r="CG179" s="173">
        <f>IF(AND(ISNUMBER(CG174),ISNUMBER(CG177)),CG174+N(CG175)+N(CG176)+CG177+N(CG178),"")</f>
        <v/>
      </c>
      <c r="CH179" s="173">
        <f>IF(AND(ISNUMBER(CH174),ISNUMBER(CH177)),CH174+N(CH175)+N(CH176)+CH177+N(CH178),"")</f>
        <v/>
      </c>
      <c r="CI179" s="173">
        <f>IF(AND(ISNUMBER(CI174),ISNUMBER(CI177)),CI174+N(CI175)+N(CI176)+CI177+N(CI178),"")</f>
        <v/>
      </c>
      <c r="CJ179" s="173">
        <f>IF(AND(ISNUMBER(CJ174),ISNUMBER(CJ177)),CJ174+N(CJ175)+N(CJ176)+CJ177+N(CJ178),"")</f>
        <v/>
      </c>
      <c r="CK179" s="173">
        <f>IF(AND(ISNUMBER(CK174),ISNUMBER(CK177)),CK174+N(CK175)+N(CK176)+CK177+N(CK178),"")</f>
        <v/>
      </c>
      <c r="CL179" s="173">
        <f>IF(AND(ISNUMBER(CL174),ISNUMBER(CL177)),CL174+N(CL175)+N(CL176)+CL177+N(CL178),"")</f>
        <v/>
      </c>
      <c r="CM179" s="174">
        <f>IF(AND(ISNUMBER(CM174),ISNUMBER(CM177)),CM174+N(CM175)+N(CM176)+CM177+N(CM178),"")</f>
        <v/>
      </c>
      <c r="CN179" s="174">
        <f>IF(AND(ISNUMBER(CN174),ISNUMBER(CN177)),CN174+N(CN175)+N(CN176)+CN177+N(CN178),"")</f>
        <v/>
      </c>
      <c r="CO179" s="174">
        <f>IF(AND(ISNUMBER(CO174),ISNUMBER(CO177)),CO174+N(CO175)+N(CO176)+CO177+N(CO178),"")</f>
        <v/>
      </c>
      <c r="CP179" s="174">
        <f>IF(AND(ISNUMBER(CP174),ISNUMBER(CP177)),CP174+N(CP175)+N(CP176)+CP177+N(CP178),"")</f>
        <v/>
      </c>
      <c r="CQ179" s="174">
        <f>IF(AND(ISNUMBER(CQ174),ISNUMBER(CQ177)),CQ174+N(CQ175)+N(CQ176)+CQ177+N(CQ178),"")</f>
        <v/>
      </c>
      <c r="CR179" s="174">
        <f>IF(AND(ISNUMBER(CR174),ISNUMBER(CR177)),CR174+N(CR175)+N(CR176)+CR177+N(CR178),"")</f>
        <v/>
      </c>
      <c r="CS179" s="174">
        <f>IF(AND(ISNUMBER(CS174),ISNUMBER(CS177)),CS174+N(CS175)+N(CS176)+CS177+N(CS178),"")</f>
        <v/>
      </c>
      <c r="CT179" s="22" t="n"/>
      <c r="CV179" s="6" t="n"/>
      <c r="CW179" s="6" t="n"/>
      <c r="CX179" s="6" t="n"/>
      <c r="CY179" s="6" t="n"/>
    </row>
    <row r="180" ht="15" customHeight="1">
      <c r="B180" s="36" t="inlineStr">
        <is>
          <t xml:space="preserve">  Memo: EBITDA as published</t>
        </is>
      </c>
      <c r="C180" s="29" t="n"/>
      <c r="D180" s="169" t="n">
        <v>981.9</v>
      </c>
      <c r="E180" s="169" t="n">
        <v>886.5</v>
      </c>
      <c r="F180" s="169" t="n">
        <v>548.4</v>
      </c>
      <c r="G180" s="169" t="n">
        <v>370.6</v>
      </c>
      <c r="H180" s="169" t="n">
        <v>425.2</v>
      </c>
      <c r="I180" s="169" t="n">
        <v>423.5</v>
      </c>
      <c r="J180" s="169" t="n">
        <v>27.9</v>
      </c>
      <c r="K180" s="169" t="n">
        <v>164.1</v>
      </c>
      <c r="L180" s="170">
        <f>J180+K180</f>
        <v/>
      </c>
      <c r="M180" s="169" t="n">
        <v>180.4</v>
      </c>
      <c r="N180" s="169" t="n">
        <v>130.6</v>
      </c>
      <c r="O180" s="169" t="n">
        <v>503.1</v>
      </c>
      <c r="P180" s="169" t="n">
        <v>266.9</v>
      </c>
      <c r="Q180" s="169" t="n">
        <v>173.4</v>
      </c>
      <c r="R180" s="170">
        <f>P180+Q180</f>
        <v/>
      </c>
      <c r="S180" s="169" t="n">
        <v>210.9</v>
      </c>
      <c r="T180" s="169" t="n">
        <v>169.6</v>
      </c>
      <c r="U180" s="169" t="n">
        <v>820.7</v>
      </c>
      <c r="V180" s="169" t="n">
        <v>78.5</v>
      </c>
      <c r="W180" s="169" t="n">
        <v>221.7</v>
      </c>
      <c r="X180" s="170">
        <f>V180+W180</f>
        <v/>
      </c>
      <c r="Y180" s="169" t="n">
        <v>279.1</v>
      </c>
      <c r="Z180" s="169" t="n">
        <v>243.7</v>
      </c>
      <c r="AA180" s="169" t="n">
        <v>822.9</v>
      </c>
      <c r="AB180" s="169" t="n">
        <v>133.6</v>
      </c>
      <c r="AC180" s="169" t="n">
        <v>285.7</v>
      </c>
      <c r="AD180" s="170">
        <f>AB180+AC180</f>
        <v/>
      </c>
      <c r="AE180" s="169" t="n">
        <v>300.1</v>
      </c>
      <c r="AF180" s="169" t="n">
        <v>246</v>
      </c>
      <c r="AG180" s="169" t="n">
        <v>965.5</v>
      </c>
      <c r="AH180" s="169" t="n">
        <v>146</v>
      </c>
      <c r="AI180" s="169" t="n">
        <v>272.6</v>
      </c>
      <c r="AJ180" s="170">
        <f>AH180+AI180</f>
        <v/>
      </c>
      <c r="AK180" s="169" t="n">
        <v>310.9</v>
      </c>
      <c r="AL180" s="169" t="n">
        <v>228.8</v>
      </c>
      <c r="AM180" s="169" t="n">
        <v>958.4</v>
      </c>
      <c r="AN180" s="169" t="n">
        <v>167.7</v>
      </c>
      <c r="AO180" s="169" t="n">
        <v>319.2</v>
      </c>
      <c r="AP180" s="170">
        <f>AN180+AO180</f>
        <v/>
      </c>
      <c r="AQ180" s="169" t="n">
        <v>343.5</v>
      </c>
      <c r="AR180" s="169" t="n">
        <v>276.6</v>
      </c>
      <c r="AS180" s="169" t="n">
        <v>1107</v>
      </c>
      <c r="AT180" s="169" t="n">
        <v>196.7</v>
      </c>
      <c r="AU180" s="169" t="n">
        <v>372</v>
      </c>
      <c r="AV180" s="170">
        <f>AT180+AU180</f>
        <v/>
      </c>
      <c r="AW180" s="169" t="n">
        <v>400</v>
      </c>
      <c r="AX180" s="169" t="n">
        <v>292.5</v>
      </c>
      <c r="AY180" s="169" t="n">
        <v>1261.3</v>
      </c>
      <c r="AZ180" s="169" t="n">
        <v>198.4</v>
      </c>
      <c r="BA180" s="169" t="n">
        <v>405.7</v>
      </c>
      <c r="BB180" s="170">
        <f>AZ180+BA180</f>
        <v/>
      </c>
      <c r="BC180" s="169" t="n">
        <v>394.9</v>
      </c>
      <c r="BD180" s="169" t="n">
        <v>276</v>
      </c>
      <c r="BE180" s="169" t="n">
        <v>1275</v>
      </c>
      <c r="BF180" s="169" t="n">
        <v>355.8</v>
      </c>
      <c r="BG180" s="169" t="n">
        <v>398.9</v>
      </c>
      <c r="BH180" s="170">
        <f>BF180+BG180</f>
        <v/>
      </c>
      <c r="BI180" s="169" t="n">
        <v>383.2</v>
      </c>
      <c r="BJ180" s="169" t="n">
        <v>347.2</v>
      </c>
      <c r="BK180" s="169" t="n">
        <v>1484.9</v>
      </c>
      <c r="BL180" s="169" t="n">
        <v>289.3</v>
      </c>
      <c r="BM180" s="169" t="n">
        <v>445.8</v>
      </c>
      <c r="BN180" s="170">
        <f>BL180+BM180</f>
        <v/>
      </c>
      <c r="BO180" s="169" t="n">
        <v>457.7</v>
      </c>
      <c r="BP180" s="169" t="n">
        <v>350.4</v>
      </c>
      <c r="BQ180" s="169" t="n">
        <v>1543.1</v>
      </c>
      <c r="BR180" s="169" t="n">
        <v>336.7</v>
      </c>
      <c r="BS180" s="169" t="n">
        <v>601</v>
      </c>
      <c r="BT180" s="170">
        <f>BR180+BS180</f>
        <v/>
      </c>
      <c r="BU180" s="169" t="n">
        <v>569</v>
      </c>
      <c r="BV180" s="169" t="n">
        <v>521.6</v>
      </c>
      <c r="BW180" s="169" t="n">
        <v>2025.4</v>
      </c>
      <c r="BX180" s="169" t="n">
        <v>321</v>
      </c>
      <c r="BY180" s="169" t="n">
        <v>598.7</v>
      </c>
      <c r="BZ180" s="170">
        <f>BX180+BY180</f>
        <v/>
      </c>
      <c r="CA180" s="169" t="n">
        <v>491.3</v>
      </c>
      <c r="CB180" s="169" t="n">
        <v>552.2</v>
      </c>
      <c r="CC180" s="169" t="n">
        <v>1963.2</v>
      </c>
      <c r="CD180" s="169" t="n">
        <v>408.4</v>
      </c>
      <c r="CE180" s="169" t="n">
        <v>656.1</v>
      </c>
      <c r="CF180" s="170">
        <f>CD180+CE180</f>
        <v/>
      </c>
      <c r="CG180" s="169" t="n">
        <v>733.5</v>
      </c>
      <c r="CH180" s="169" t="n">
        <v>559.4</v>
      </c>
      <c r="CI180" s="169" t="n">
        <v>2357.4</v>
      </c>
      <c r="CJ180" s="169" t="n">
        <v>435.1</v>
      </c>
      <c r="CK180" s="169" t="n">
        <v>637.5</v>
      </c>
      <c r="CL180" s="170">
        <f>CJ180+CK180</f>
        <v/>
      </c>
      <c r="CM180" s="31" t="n"/>
      <c r="CN180" s="31" t="n"/>
      <c r="CO180" s="31" t="n"/>
      <c r="CP180" s="31" t="n"/>
      <c r="CQ180" s="31" t="n"/>
      <c r="CR180" s="31" t="n"/>
      <c r="CS180" s="31" t="n"/>
      <c r="CT180" s="22" t="n"/>
      <c r="CV180" s="6" t="n"/>
      <c r="CW180" s="6" t="n"/>
      <c r="CX180" s="6" t="n"/>
      <c r="CY180" s="6" t="n"/>
    </row>
    <row r="181" ht="15" customHeight="1">
      <c r="B181" s="38" t="inlineStr">
        <is>
          <t xml:space="preserve">  Check: model EBITDA vs published (should be 0)</t>
        </is>
      </c>
      <c r="C181" s="176">
        <f>IF(ISNUMBER(C180),ROUND(C179-C180,1),"n/p")</f>
        <v/>
      </c>
      <c r="D181" s="176">
        <f>IF(ISNUMBER(D180),ROUND(D179-D180,1),"n/p")</f>
        <v/>
      </c>
      <c r="E181" s="176">
        <f>IF(ISNUMBER(E180),ROUND(E179-E180,1),"n/p")</f>
        <v/>
      </c>
      <c r="F181" s="176">
        <f>IF(ISNUMBER(F180),ROUND(F179-F180,1),"n/p")</f>
        <v/>
      </c>
      <c r="G181" s="176">
        <f>IF(ISNUMBER(G180),ROUND(G179-G180,1),"n/p")</f>
        <v/>
      </c>
      <c r="H181" s="176">
        <f>IF(ISNUMBER(H180),ROUND(H179-H180,1),"n/p")</f>
        <v/>
      </c>
      <c r="I181" s="176">
        <f>IF(ISNUMBER(I180),ROUND(I179-I180,1),"n/p")</f>
        <v/>
      </c>
      <c r="J181" s="176">
        <f>IF(ISNUMBER(J180),ROUND(J179-J180,1),"n/p")</f>
        <v/>
      </c>
      <c r="K181" s="176">
        <f>IF(ISNUMBER(K180),ROUND(K179-K180,1),"n/p")</f>
        <v/>
      </c>
      <c r="L181" s="176">
        <f>IF(ISNUMBER(L180),ROUND(L179-L180,1),"n/p")</f>
        <v/>
      </c>
      <c r="M181" s="176">
        <f>IF(ISNUMBER(M180),ROUND(M179-M180,1),"n/p")</f>
        <v/>
      </c>
      <c r="N181" s="176">
        <f>IF(ISNUMBER(N180),ROUND(N179-N180,1),"n/p")</f>
        <v/>
      </c>
      <c r="O181" s="176">
        <f>IF(ISNUMBER(O180),ROUND(O179-O180,1),"n/p")</f>
        <v/>
      </c>
      <c r="P181" s="176">
        <f>IF(ISNUMBER(P180),ROUND(P179-P180,1),"n/p")</f>
        <v/>
      </c>
      <c r="Q181" s="176">
        <f>IF(ISNUMBER(Q180),ROUND(Q179-Q180,1),"n/p")</f>
        <v/>
      </c>
      <c r="R181" s="176">
        <f>IF(ISNUMBER(R180),ROUND(R179-R180,1),"n/p")</f>
        <v/>
      </c>
      <c r="S181" s="176">
        <f>IF(ISNUMBER(S180),ROUND(S179-S180,1),"n/p")</f>
        <v/>
      </c>
      <c r="T181" s="176">
        <f>IF(ISNUMBER(T180),ROUND(T179-T180,1),"n/p")</f>
        <v/>
      </c>
      <c r="U181" s="176">
        <f>IF(ISNUMBER(U180),ROUND(U179-U180,1),"n/p")</f>
        <v/>
      </c>
      <c r="V181" s="176">
        <f>IF(ISNUMBER(V180),ROUND(V179-V180,1),"n/p")</f>
        <v/>
      </c>
      <c r="W181" s="176">
        <f>IF(ISNUMBER(W180),ROUND(W179-W180,1),"n/p")</f>
        <v/>
      </c>
      <c r="X181" s="176">
        <f>IF(ISNUMBER(X180),ROUND(X179-X180,1),"n/p")</f>
        <v/>
      </c>
      <c r="Y181" s="176">
        <f>IF(ISNUMBER(Y180),ROUND(Y179-Y180,1),"n/p")</f>
        <v/>
      </c>
      <c r="Z181" s="176">
        <f>IF(ISNUMBER(Z180),ROUND(Z179-Z180,1),"n/p")</f>
        <v/>
      </c>
      <c r="AA181" s="176">
        <f>IF(ISNUMBER(AA180),ROUND(AA179-AA180,1),"n/p")</f>
        <v/>
      </c>
      <c r="AB181" s="176">
        <f>IF(ISNUMBER(AB180),ROUND(AB179-AB180,1),"n/p")</f>
        <v/>
      </c>
      <c r="AC181" s="176">
        <f>IF(ISNUMBER(AC180),ROUND(AC179-AC180,1),"n/p")</f>
        <v/>
      </c>
      <c r="AD181" s="176">
        <f>IF(ISNUMBER(AD180),ROUND(AD179-AD180,1),"n/p")</f>
        <v/>
      </c>
      <c r="AE181" s="176">
        <f>IF(ISNUMBER(AE180),ROUND(AE179-AE180,1),"n/p")</f>
        <v/>
      </c>
      <c r="AF181" s="176">
        <f>IF(ISNUMBER(AF180),ROUND(AF179-AF180,1),"n/p")</f>
        <v/>
      </c>
      <c r="AG181" s="176">
        <f>IF(ISNUMBER(AG180),ROUND(AG179-AG180,1),"n/p")</f>
        <v/>
      </c>
      <c r="AH181" s="176">
        <f>IF(ISNUMBER(AH180),ROUND(AH179-AH180,1),"n/p")</f>
        <v/>
      </c>
      <c r="AI181" s="176">
        <f>IF(ISNUMBER(AI180),ROUND(AI179-AI180,1),"n/p")</f>
        <v/>
      </c>
      <c r="AJ181" s="176">
        <f>IF(ISNUMBER(AJ180),ROUND(AJ179-AJ180,1),"n/p")</f>
        <v/>
      </c>
      <c r="AK181" s="176">
        <f>IF(ISNUMBER(AK180),ROUND(AK179-AK180,1),"n/p")</f>
        <v/>
      </c>
      <c r="AL181" s="176">
        <f>IF(ISNUMBER(AL180),ROUND(AL179-AL180,1),"n/p")</f>
        <v/>
      </c>
      <c r="AM181" s="176">
        <f>IF(ISNUMBER(AM180),ROUND(AM179-AM180,1),"n/p")</f>
        <v/>
      </c>
      <c r="AN181" s="176">
        <f>IF(ISNUMBER(AN180),ROUND(AN179-AN180,1),"n/p")</f>
        <v/>
      </c>
      <c r="AO181" s="176">
        <f>IF(ISNUMBER(AO180),ROUND(AO179-AO180,1),"n/p")</f>
        <v/>
      </c>
      <c r="AP181" s="176">
        <f>IF(ISNUMBER(AP180),ROUND(AP179-AP180,1),"n/p")</f>
        <v/>
      </c>
      <c r="AQ181" s="176">
        <f>IF(ISNUMBER(AQ180),ROUND(AQ179-AQ180,1),"n/p")</f>
        <v/>
      </c>
      <c r="AR181" s="176">
        <f>IF(ISNUMBER(AR180),ROUND(AR179-AR180,1),"n/p")</f>
        <v/>
      </c>
      <c r="AS181" s="176">
        <f>IF(ISNUMBER(AS180),ROUND(AS179-AS180,1),"n/p")</f>
        <v/>
      </c>
      <c r="AT181" s="176">
        <f>IF(ISNUMBER(AT180),ROUND(AT179-AT180,1),"n/p")</f>
        <v/>
      </c>
      <c r="AU181" s="176">
        <f>IF(ISNUMBER(AU180),ROUND(AU179-AU180,1),"n/p")</f>
        <v/>
      </c>
      <c r="AV181" s="176">
        <f>IF(ISNUMBER(AV180),ROUND(AV179-AV180,1),"n/p")</f>
        <v/>
      </c>
      <c r="AW181" s="176">
        <f>IF(ISNUMBER(AW180),ROUND(AW179-AW180,1),"n/p")</f>
        <v/>
      </c>
      <c r="AX181" s="176">
        <f>IF(ISNUMBER(AX180),ROUND(AX179-AX180,1),"n/p")</f>
        <v/>
      </c>
      <c r="AY181" s="176">
        <f>IF(ISNUMBER(AY180),ROUND(AY179-AY180,1),"n/p")</f>
        <v/>
      </c>
      <c r="AZ181" s="176">
        <f>IF(ISNUMBER(AZ180),ROUND(AZ179-AZ180,1),"n/p")</f>
        <v/>
      </c>
      <c r="BA181" s="176">
        <f>IF(ISNUMBER(BA180),ROUND(BA179-BA180,1),"n/p")</f>
        <v/>
      </c>
      <c r="BB181" s="176">
        <f>IF(ISNUMBER(BB180),ROUND(BB179-BB180,1),"n/p")</f>
        <v/>
      </c>
      <c r="BC181" s="176">
        <f>IF(ISNUMBER(BC180),ROUND(BC179-BC180,1),"n/p")</f>
        <v/>
      </c>
      <c r="BD181" s="176">
        <f>IF(ISNUMBER(BD180),ROUND(BD179-BD180,1),"n/p")</f>
        <v/>
      </c>
      <c r="BE181" s="176">
        <f>IF(ISNUMBER(BE180),ROUND(BE179-BE180,1),"n/p")</f>
        <v/>
      </c>
      <c r="BF181" s="176">
        <f>IF(ISNUMBER(BF180),ROUND(BF179-BF180,1),"n/p")</f>
        <v/>
      </c>
      <c r="BG181" s="176">
        <f>IF(ISNUMBER(BG180),ROUND(BG179-BG180,1),"n/p")</f>
        <v/>
      </c>
      <c r="BH181" s="176">
        <f>IF(ISNUMBER(BH180),ROUND(BH179-BH180,1),"n/p")</f>
        <v/>
      </c>
      <c r="BI181" s="176">
        <f>IF(ISNUMBER(BI180),ROUND(BI179-BI180,1),"n/p")</f>
        <v/>
      </c>
      <c r="BJ181" s="176">
        <f>IF(ISNUMBER(BJ180),ROUND(BJ179-BJ180,1),"n/p")</f>
        <v/>
      </c>
      <c r="BK181" s="176">
        <f>IF(ISNUMBER(BK180),ROUND(BK179-BK180,1),"n/p")</f>
        <v/>
      </c>
      <c r="BL181" s="176">
        <f>IF(ISNUMBER(BL180),ROUND(BL179-BL180,1),"n/p")</f>
        <v/>
      </c>
      <c r="BM181" s="176">
        <f>IF(ISNUMBER(BM180),ROUND(BM179-BM180,1),"n/p")</f>
        <v/>
      </c>
      <c r="BN181" s="176">
        <f>IF(ISNUMBER(BN180),ROUND(BN179-BN180,1),"n/p")</f>
        <v/>
      </c>
      <c r="BO181" s="176">
        <f>IF(ISNUMBER(BO180),ROUND(BO179-BO180,1),"n/p")</f>
        <v/>
      </c>
      <c r="BP181" s="176">
        <f>IF(ISNUMBER(BP180),ROUND(BP179-BP180,1),"n/p")</f>
        <v/>
      </c>
      <c r="BQ181" s="176">
        <f>IF(ISNUMBER(BQ180),ROUND(BQ179-BQ180,1),"n/p")</f>
        <v/>
      </c>
      <c r="BR181" s="176">
        <f>IF(ISNUMBER(BR180),ROUND(BR179-BR180,1),"n/p")</f>
        <v/>
      </c>
      <c r="BS181" s="176">
        <f>IF(ISNUMBER(BS180),ROUND(BS179-BS180,1),"n/p")</f>
        <v/>
      </c>
      <c r="BT181" s="176">
        <f>IF(ISNUMBER(BT180),ROUND(BT179-BT180,1),"n/p")</f>
        <v/>
      </c>
      <c r="BU181" s="176">
        <f>IF(ISNUMBER(BU180),ROUND(BU179-BU180,1),"n/p")</f>
        <v/>
      </c>
      <c r="BV181" s="176">
        <f>IF(ISNUMBER(BV180),ROUND(BV179-BV180,1),"n/p")</f>
        <v/>
      </c>
      <c r="BW181" s="176">
        <f>IF(ISNUMBER(BW180),ROUND(BW179-BW180,1),"n/p")</f>
        <v/>
      </c>
      <c r="BX181" s="176">
        <f>IF(ISNUMBER(BX180),ROUND(BX179-BX180,1),"n/p")</f>
        <v/>
      </c>
      <c r="BY181" s="176">
        <f>IF(ISNUMBER(BY180),ROUND(BY179-BY180,1),"n/p")</f>
        <v/>
      </c>
      <c r="BZ181" s="176">
        <f>IF(ISNUMBER(BZ180),ROUND(BZ179-BZ180,1),"n/p")</f>
        <v/>
      </c>
      <c r="CA181" s="176">
        <f>IF(ISNUMBER(CA180),ROUND(CA179-CA180,1),"n/p")</f>
        <v/>
      </c>
      <c r="CB181" s="176">
        <f>IF(ISNUMBER(CB180),ROUND(CB179-CB180,1),"n/p")</f>
        <v/>
      </c>
      <c r="CC181" s="176">
        <f>IF(ISNUMBER(CC180),ROUND(CC179-CC180,1),"n/p")</f>
        <v/>
      </c>
      <c r="CD181" s="176">
        <f>IF(ISNUMBER(CD180),ROUND(CD179-CD180,1),"n/p")</f>
        <v/>
      </c>
      <c r="CE181" s="176">
        <f>IF(ISNUMBER(CE180),ROUND(CE179-CE180,1),"n/p")</f>
        <v/>
      </c>
      <c r="CF181" s="176">
        <f>IF(ISNUMBER(CF180),ROUND(CF179-CF180,1),"n/p")</f>
        <v/>
      </c>
      <c r="CG181" s="176">
        <f>IF(ISNUMBER(CG180),ROUND(CG179-CG180,1),"n/p")</f>
        <v/>
      </c>
      <c r="CH181" s="176">
        <f>IF(ISNUMBER(CH180),ROUND(CH179-CH180,1),"n/p")</f>
        <v/>
      </c>
      <c r="CI181" s="176">
        <f>IF(ISNUMBER(CI180),ROUND(CI179-CI180,1),"n/p")</f>
        <v/>
      </c>
      <c r="CJ181" s="176">
        <f>IF(ISNUMBER(CJ180),ROUND(CJ179-CJ180,1),"n/p")</f>
        <v/>
      </c>
      <c r="CK181" s="176">
        <f>IF(ISNUMBER(CK180),ROUND(CK179-CK180,1),"n/p")</f>
        <v/>
      </c>
      <c r="CL181" s="176">
        <f>IF(ISNUMBER(CL180),ROUND(CL179-CL180,1),"n/p")</f>
        <v/>
      </c>
      <c r="CM181" s="31" t="n"/>
      <c r="CN181" s="31" t="n"/>
      <c r="CO181" s="31" t="n"/>
      <c r="CP181" s="31" t="n"/>
      <c r="CQ181" s="31" t="n"/>
      <c r="CR181" s="31" t="n"/>
      <c r="CS181" s="31" t="n"/>
      <c r="CT181" s="22" t="n"/>
      <c r="CV181" s="6" t="n"/>
      <c r="CW181" s="6" t="n"/>
      <c r="CX181" s="6" t="n"/>
      <c r="CY181" s="6" t="n"/>
    </row>
    <row r="182" ht="15" customHeight="1">
      <c r="B182" s="12" t="inlineStr">
        <is>
          <t xml:space="preserve">  (+) (Gain) loss on discontinued operations (pre-tax)</t>
        </is>
      </c>
      <c r="C182" s="29" t="n"/>
      <c r="D182" s="29" t="n"/>
      <c r="E182" s="30" t="n"/>
      <c r="F182" s="30" t="n"/>
      <c r="G182" s="30" t="n"/>
      <c r="H182" s="30" t="n"/>
      <c r="I182" s="30" t="n"/>
      <c r="J182" s="30" t="n"/>
      <c r="K182" s="30" t="n"/>
      <c r="L182" s="29" t="n"/>
      <c r="M182" s="30" t="n"/>
      <c r="N182" s="30" t="n"/>
      <c r="O182" s="30" t="n"/>
      <c r="P182" s="169" t="n">
        <v>0</v>
      </c>
      <c r="Q182" s="169" t="n">
        <v>0</v>
      </c>
      <c r="R182" s="170">
        <f>N(P182)+N(Q182)</f>
        <v/>
      </c>
      <c r="S182" s="169" t="n">
        <v>0</v>
      </c>
      <c r="T182" s="169" t="n">
        <v>0</v>
      </c>
      <c r="U182" s="169" t="n">
        <v>0</v>
      </c>
      <c r="V182" s="169" t="n">
        <v>0</v>
      </c>
      <c r="W182" s="169" t="n">
        <v>0</v>
      </c>
      <c r="X182" s="170">
        <f>N(V182)+N(W182)</f>
        <v/>
      </c>
      <c r="Y182" s="169" t="n">
        <v>0</v>
      </c>
      <c r="Z182" s="169" t="n">
        <v>0</v>
      </c>
      <c r="AA182" s="169" t="n">
        <v>0</v>
      </c>
      <c r="AB182" s="30" t="n"/>
      <c r="AC182" s="30" t="n"/>
      <c r="AD182" s="29" t="n"/>
      <c r="AE182" s="30" t="n"/>
      <c r="AF182" s="30" t="n"/>
      <c r="AG182" s="30" t="n"/>
      <c r="AH182" s="30" t="n"/>
      <c r="AI182" s="30" t="n"/>
      <c r="AJ182" s="29" t="n"/>
      <c r="AK182" s="30" t="n"/>
      <c r="AL182" s="30" t="n"/>
      <c r="AM182" s="30" t="n"/>
      <c r="AN182" s="30" t="n"/>
      <c r="AO182" s="30" t="n"/>
      <c r="AP182" s="29" t="n"/>
      <c r="AQ182" s="30" t="n"/>
      <c r="AR182" s="30" t="n"/>
      <c r="AS182" s="30" t="n"/>
      <c r="AT182" s="30" t="n"/>
      <c r="AU182" s="30" t="n"/>
      <c r="AV182" s="29" t="n"/>
      <c r="AW182" s="30" t="n"/>
      <c r="AX182" s="30" t="n"/>
      <c r="AY182" s="30" t="n"/>
      <c r="AZ182" s="30" t="n"/>
      <c r="BA182" s="30" t="n"/>
      <c r="BB182" s="29" t="n"/>
      <c r="BC182" s="30" t="n"/>
      <c r="BD182" s="30" t="n"/>
      <c r="BE182" s="30" t="n"/>
      <c r="BF182" s="30" t="n"/>
      <c r="BG182" s="30" t="n"/>
      <c r="BH182" s="29" t="n"/>
      <c r="BI182" s="30" t="n"/>
      <c r="BJ182" s="30" t="n"/>
      <c r="BK182" s="30" t="n"/>
      <c r="BL182" s="169" t="n">
        <v>0</v>
      </c>
      <c r="BM182" s="169" t="n">
        <v>0</v>
      </c>
      <c r="BN182" s="170">
        <f>N(BL182)+N(BM182)</f>
        <v/>
      </c>
      <c r="BO182" s="169" t="n">
        <v>0</v>
      </c>
      <c r="BP182" s="169" t="n">
        <v>0</v>
      </c>
      <c r="BQ182" s="169" t="n">
        <v>0</v>
      </c>
      <c r="BR182" s="169" t="n">
        <v>0</v>
      </c>
      <c r="BS182" s="169" t="n">
        <v>4.9</v>
      </c>
      <c r="BT182" s="170">
        <f>N(BR182)+N(BS182)</f>
        <v/>
      </c>
      <c r="BU182" s="169" t="n">
        <v>3.8</v>
      </c>
      <c r="BV182" s="169" t="n">
        <v>3</v>
      </c>
      <c r="BW182" s="169" t="n">
        <v>14.7</v>
      </c>
      <c r="BX182" s="169" t="n">
        <v>2.3</v>
      </c>
      <c r="BY182" s="169" t="n">
        <v>2.7</v>
      </c>
      <c r="BZ182" s="170">
        <f>N(BX182)+N(BY182)</f>
        <v/>
      </c>
      <c r="CA182" s="169" t="n">
        <v>1.8</v>
      </c>
      <c r="CB182" s="169" t="n">
        <v>3.4</v>
      </c>
      <c r="CC182" s="169" t="n">
        <v>10.2</v>
      </c>
      <c r="CD182" s="169" t="n">
        <v>1.3</v>
      </c>
      <c r="CE182" s="169" t="n">
        <v>2.8</v>
      </c>
      <c r="CF182" s="170">
        <f>N(CD182)+N(CE182)</f>
        <v/>
      </c>
      <c r="CG182" s="169" t="n">
        <v>1.6</v>
      </c>
      <c r="CH182" s="169" t="n">
        <v>0.4</v>
      </c>
      <c r="CI182" s="169" t="n">
        <v>6.1</v>
      </c>
      <c r="CJ182" s="169" t="n">
        <v>1.4</v>
      </c>
      <c r="CK182" s="169" t="n">
        <v>-1.7</v>
      </c>
      <c r="CL182" s="170">
        <f>N(CJ182)+N(CK182)</f>
        <v/>
      </c>
      <c r="CM182" s="183" t="n">
        <v>0</v>
      </c>
      <c r="CN182" s="183" t="n">
        <v>0</v>
      </c>
      <c r="CO182" s="171">
        <f>SUM(CJ182,CK182,CM182,CN182)</f>
        <v/>
      </c>
      <c r="CP182" s="183" t="n">
        <v>0</v>
      </c>
      <c r="CQ182" s="183" t="n">
        <v>0</v>
      </c>
      <c r="CR182" s="183" t="n">
        <v>0</v>
      </c>
      <c r="CS182" s="183" t="n">
        <v>0</v>
      </c>
      <c r="CT182" s="22" t="n"/>
      <c r="CV182" s="23" t="n"/>
      <c r="CW182" s="23" t="n"/>
      <c r="CX182" s="23" t="n"/>
      <c r="CY182" s="23" t="n"/>
    </row>
    <row r="183" ht="15" customHeight="1">
      <c r="B183" s="12" t="inlineStr">
        <is>
          <t xml:space="preserve">  (+) (Gain) loss on sale of real estate and businesses, net</t>
        </is>
      </c>
      <c r="C183" s="29" t="n"/>
      <c r="D183" s="29" t="n"/>
      <c r="E183" s="30" t="n"/>
      <c r="F183" s="30" t="n"/>
      <c r="G183" s="30" t="n"/>
      <c r="H183" s="30" t="n"/>
      <c r="I183" s="169" t="n">
        <v>-65.09999999999999</v>
      </c>
      <c r="J183" s="169" t="n">
        <v>-3.3</v>
      </c>
      <c r="K183" s="169" t="n">
        <v>-23</v>
      </c>
      <c r="L183" s="170">
        <f>N(J183)+N(K183)</f>
        <v/>
      </c>
      <c r="M183" s="169" t="n">
        <v>-9.199999999999999</v>
      </c>
      <c r="N183" s="169" t="n">
        <v>-1.4</v>
      </c>
      <c r="O183" s="169" t="n">
        <v>-36.8</v>
      </c>
      <c r="P183" s="169" t="n">
        <v>-236</v>
      </c>
      <c r="Q183" s="169" t="n">
        <v>-1.1</v>
      </c>
      <c r="R183" s="170">
        <f>N(P183)+N(Q183)</f>
        <v/>
      </c>
      <c r="S183" s="169" t="n">
        <v>1.2</v>
      </c>
      <c r="T183" s="169" t="n">
        <v>-2.6</v>
      </c>
      <c r="U183" s="169" t="n">
        <v>-238.5</v>
      </c>
      <c r="V183" s="169" t="n">
        <v>-5.9</v>
      </c>
      <c r="W183" s="169" t="n">
        <v>0</v>
      </c>
      <c r="X183" s="170">
        <f>N(V183)+N(W183)</f>
        <v/>
      </c>
      <c r="Y183" s="169" t="n">
        <v>0</v>
      </c>
      <c r="Z183" s="169" t="n">
        <v>-0.4</v>
      </c>
      <c r="AA183" s="169" t="n">
        <v>-6.3</v>
      </c>
      <c r="AB183" s="169" t="n">
        <v>0</v>
      </c>
      <c r="AC183" s="169" t="n">
        <v>0</v>
      </c>
      <c r="AD183" s="170">
        <f>N(AB183)+N(AC183)</f>
        <v/>
      </c>
      <c r="AE183" s="169" t="n">
        <v>0</v>
      </c>
      <c r="AF183" s="169" t="n">
        <v>-16.2</v>
      </c>
      <c r="AG183" s="169" t="n">
        <v>-16.2</v>
      </c>
      <c r="AH183" s="30" t="n"/>
      <c r="AI183" s="169" t="n">
        <v>0</v>
      </c>
      <c r="AJ183" s="170">
        <f>N(AH183)+N(AI183)</f>
        <v/>
      </c>
      <c r="AK183" s="169" t="n">
        <v>0</v>
      </c>
      <c r="AL183" s="169" t="n">
        <v>-10.5</v>
      </c>
      <c r="AM183" s="169" t="n">
        <v>-10.5</v>
      </c>
      <c r="AN183" s="169" t="n">
        <v>-2.9</v>
      </c>
      <c r="AO183" s="169" t="n">
        <v>0</v>
      </c>
      <c r="AP183" s="170">
        <f>N(AN183)+N(AO183)</f>
        <v/>
      </c>
      <c r="AQ183" s="169" t="n">
        <v>0</v>
      </c>
      <c r="AR183" s="169" t="n">
        <v>0</v>
      </c>
      <c r="AS183" s="169" t="n">
        <v>-2.9</v>
      </c>
      <c r="AT183" s="169" t="n">
        <v>-4.1</v>
      </c>
      <c r="AU183" s="169" t="n">
        <v>0</v>
      </c>
      <c r="AV183" s="170">
        <f>N(AT183)+N(AU183)</f>
        <v/>
      </c>
      <c r="AW183" s="169" t="n">
        <v>0</v>
      </c>
      <c r="AX183" s="169" t="n">
        <v>-9.300000000000001</v>
      </c>
      <c r="AY183" s="169" t="n">
        <v>-13.4</v>
      </c>
      <c r="AZ183" s="169" t="n">
        <v>0</v>
      </c>
      <c r="BA183" s="169" t="n">
        <v>0</v>
      </c>
      <c r="BB183" s="170">
        <f>N(AZ183)+N(BA183)</f>
        <v/>
      </c>
      <c r="BC183" s="169" t="n">
        <v>0</v>
      </c>
      <c r="BD183" s="169" t="n">
        <v>0</v>
      </c>
      <c r="BE183" s="169" t="n">
        <v>0</v>
      </c>
      <c r="BF183" s="169" t="n">
        <v>-114.7</v>
      </c>
      <c r="BG183" s="169" t="n">
        <v>0</v>
      </c>
      <c r="BH183" s="170">
        <f>N(BF183)+N(BG183)</f>
        <v/>
      </c>
      <c r="BI183" s="169" t="n">
        <v>0</v>
      </c>
      <c r="BJ183" s="169" t="n">
        <v>0</v>
      </c>
      <c r="BK183" s="169" t="n">
        <v>-114.7</v>
      </c>
      <c r="BL183" s="169" t="n">
        <v>0</v>
      </c>
      <c r="BM183" s="169" t="n">
        <v>0</v>
      </c>
      <c r="BN183" s="170">
        <f>N(BL183)+N(BM183)</f>
        <v/>
      </c>
      <c r="BO183" s="169" t="n">
        <v>-23.5</v>
      </c>
      <c r="BP183" s="169" t="n">
        <v>17.4</v>
      </c>
      <c r="BQ183" s="169" t="n">
        <v>-6.1</v>
      </c>
      <c r="BR183" s="169" t="n">
        <v>0</v>
      </c>
      <c r="BS183" s="169" t="n">
        <v>-15.2</v>
      </c>
      <c r="BT183" s="170">
        <f>N(BR183)+N(BS183)</f>
        <v/>
      </c>
      <c r="BU183" s="169" t="n">
        <v>0</v>
      </c>
      <c r="BV183" s="169" t="n">
        <v>-51.9</v>
      </c>
      <c r="BW183" s="169" t="n">
        <v>-67.09999999999999</v>
      </c>
      <c r="BX183" s="169" t="n">
        <v>0</v>
      </c>
      <c r="BY183" s="169" t="n">
        <v>0</v>
      </c>
      <c r="BZ183" s="170">
        <f>N(BX183)+N(BY183)</f>
        <v/>
      </c>
      <c r="CA183" s="169" t="n">
        <v>0</v>
      </c>
      <c r="CB183" s="169" t="n">
        <v>-36.7</v>
      </c>
      <c r="CC183" s="169" t="n">
        <v>-36.7</v>
      </c>
      <c r="CD183" s="169" t="n">
        <v>0</v>
      </c>
      <c r="CE183" s="169" t="n">
        <v>0</v>
      </c>
      <c r="CF183" s="170">
        <f>N(CD183)+N(CE183)</f>
        <v/>
      </c>
      <c r="CG183" s="169" t="n">
        <v>0</v>
      </c>
      <c r="CH183" s="169" t="n">
        <v>-42.4</v>
      </c>
      <c r="CI183" s="169" t="n">
        <v>-42.4</v>
      </c>
      <c r="CJ183" s="169" t="n">
        <v>0</v>
      </c>
      <c r="CK183" s="169" t="n">
        <v>13.2</v>
      </c>
      <c r="CL183" s="170">
        <f>N(CJ183)+N(CK183)</f>
        <v/>
      </c>
      <c r="CM183" s="183" t="n">
        <v>0</v>
      </c>
      <c r="CN183" s="183" t="n">
        <v>0</v>
      </c>
      <c r="CO183" s="171">
        <f>SUM(CJ183,CK183,CM183,CN183)</f>
        <v/>
      </c>
      <c r="CP183" s="183" t="n">
        <v>0</v>
      </c>
      <c r="CQ183" s="183" t="n">
        <v>0</v>
      </c>
      <c r="CR183" s="183" t="n">
        <v>0</v>
      </c>
      <c r="CS183" s="183" t="n">
        <v>0</v>
      </c>
      <c r="CT183" s="22" t="n"/>
      <c r="CV183" s="23" t="n"/>
      <c r="CW183" s="23" t="n"/>
      <c r="CX183" s="23" t="n"/>
      <c r="CY183" s="23" t="n"/>
    </row>
    <row r="184" ht="15" customHeight="1">
      <c r="B184" s="12" t="inlineStr">
        <is>
          <t xml:space="preserve">  (+) Loss on impairments / asset write-downs</t>
        </is>
      </c>
      <c r="C184" s="29" t="n"/>
      <c r="D184" s="29" t="n"/>
      <c r="E184" s="169" t="n">
        <v>252.7</v>
      </c>
      <c r="F184" s="30" t="n"/>
      <c r="G184" s="30" t="n"/>
      <c r="H184" s="30" t="n"/>
      <c r="I184" s="30" t="n"/>
      <c r="J184" s="30" t="n"/>
      <c r="K184" s="30" t="n"/>
      <c r="L184" s="29" t="n"/>
      <c r="M184" s="30" t="n"/>
      <c r="N184" s="30" t="n"/>
      <c r="O184" s="30" t="n"/>
      <c r="P184" s="169" t="n">
        <v>0</v>
      </c>
      <c r="Q184" s="169" t="n">
        <v>0</v>
      </c>
      <c r="R184" s="170">
        <f>N(P184)+N(Q184)</f>
        <v/>
      </c>
      <c r="S184" s="169" t="n">
        <v>0</v>
      </c>
      <c r="T184" s="169" t="n">
        <v>0</v>
      </c>
      <c r="U184" s="169" t="n">
        <v>0</v>
      </c>
      <c r="V184" s="169" t="n">
        <v>0</v>
      </c>
      <c r="W184" s="169" t="n">
        <v>5.2</v>
      </c>
      <c r="X184" s="170">
        <f>N(V184)+N(W184)</f>
        <v/>
      </c>
      <c r="Y184" s="169" t="n">
        <v>0</v>
      </c>
      <c r="Z184" s="169" t="n">
        <v>0</v>
      </c>
      <c r="AA184" s="169" t="n">
        <v>5.2</v>
      </c>
      <c r="AB184" s="169" t="n">
        <v>9.6</v>
      </c>
      <c r="AC184" s="169" t="n">
        <v>0.9</v>
      </c>
      <c r="AD184" s="170">
        <f>N(AB184)+N(AC184)</f>
        <v/>
      </c>
      <c r="AE184" s="169" t="n">
        <v>0</v>
      </c>
      <c r="AF184" s="169" t="n">
        <v>0</v>
      </c>
      <c r="AG184" s="169" t="n">
        <v>10.5</v>
      </c>
      <c r="AH184" s="169" t="n">
        <v>0</v>
      </c>
      <c r="AI184" s="169" t="n">
        <v>0</v>
      </c>
      <c r="AJ184" s="170">
        <f>N(AH184)+N(AI184)</f>
        <v/>
      </c>
      <c r="AK184" s="169" t="n">
        <v>0</v>
      </c>
      <c r="AL184" s="169" t="n">
        <v>0</v>
      </c>
      <c r="AM184" s="169" t="n">
        <v>0</v>
      </c>
      <c r="AN184" s="169" t="n">
        <v>0</v>
      </c>
      <c r="AO184" s="169" t="n">
        <v>0</v>
      </c>
      <c r="AP184" s="170">
        <f>N(AN184)+N(AO184)</f>
        <v/>
      </c>
      <c r="AQ184" s="169" t="n">
        <v>0</v>
      </c>
      <c r="AR184" s="169" t="n">
        <v>0</v>
      </c>
      <c r="AS184" s="169" t="n">
        <v>0</v>
      </c>
      <c r="AT184" s="169" t="n">
        <v>0</v>
      </c>
      <c r="AU184" s="169" t="n">
        <v>0</v>
      </c>
      <c r="AV184" s="170">
        <f>N(AT184)+N(AU184)</f>
        <v/>
      </c>
      <c r="AW184" s="169" t="n">
        <v>0</v>
      </c>
      <c r="AX184" s="169" t="n">
        <v>0</v>
      </c>
      <c r="AY184" s="169" t="n">
        <v>0</v>
      </c>
      <c r="AZ184" s="169" t="n">
        <v>0</v>
      </c>
      <c r="BA184" s="169" t="n">
        <v>0</v>
      </c>
      <c r="BB184" s="170">
        <f>N(AZ184)+N(BA184)</f>
        <v/>
      </c>
      <c r="BC184" s="169" t="n">
        <v>0</v>
      </c>
      <c r="BD184" s="169" t="n">
        <v>0</v>
      </c>
      <c r="BE184" s="169" t="n">
        <v>0</v>
      </c>
      <c r="BF184" s="169" t="n">
        <v>0</v>
      </c>
      <c r="BG184" s="169" t="n">
        <v>0</v>
      </c>
      <c r="BH184" s="170">
        <f>N(BF184)+N(BG184)</f>
        <v/>
      </c>
      <c r="BI184" s="169" t="n">
        <v>0</v>
      </c>
      <c r="BJ184" s="169" t="n">
        <v>0</v>
      </c>
      <c r="BK184" s="169" t="n">
        <v>0</v>
      </c>
      <c r="BL184" s="169" t="n">
        <v>0</v>
      </c>
      <c r="BM184" s="169" t="n">
        <v>0</v>
      </c>
      <c r="BN184" s="170">
        <f>N(BL184)+N(BM184)</f>
        <v/>
      </c>
      <c r="BO184" s="169" t="n">
        <v>67.8</v>
      </c>
      <c r="BP184" s="169" t="n">
        <v>0</v>
      </c>
      <c r="BQ184" s="169" t="n">
        <v>67.8</v>
      </c>
      <c r="BR184" s="169" t="n">
        <v>0</v>
      </c>
      <c r="BS184" s="169" t="n">
        <v>0</v>
      </c>
      <c r="BT184" s="170">
        <f>N(BR184)+N(BS184)</f>
        <v/>
      </c>
      <c r="BU184" s="169" t="n">
        <v>28.3</v>
      </c>
      <c r="BV184" s="169" t="n">
        <v>0</v>
      </c>
      <c r="BW184" s="169" t="n">
        <v>28.3</v>
      </c>
      <c r="BX184" s="169" t="n">
        <v>0</v>
      </c>
      <c r="BY184" s="169" t="n">
        <v>0</v>
      </c>
      <c r="BZ184" s="170">
        <f>N(BX184)+N(BY184)</f>
        <v/>
      </c>
      <c r="CA184" s="169" t="n">
        <v>86.59999999999999</v>
      </c>
      <c r="CB184" s="169" t="n">
        <v>0</v>
      </c>
      <c r="CC184" s="169" t="n">
        <v>86.59999999999999</v>
      </c>
      <c r="CD184" s="169" t="n">
        <v>0</v>
      </c>
      <c r="CE184" s="169" t="n">
        <v>0</v>
      </c>
      <c r="CF184" s="170">
        <f>N(CD184)+N(CE184)</f>
        <v/>
      </c>
      <c r="CG184" s="169" t="n">
        <v>0</v>
      </c>
      <c r="CH184" s="169" t="n">
        <v>0</v>
      </c>
      <c r="CI184" s="169" t="n">
        <v>0</v>
      </c>
      <c r="CJ184" s="169" t="n">
        <v>0</v>
      </c>
      <c r="CK184" s="169" t="n">
        <v>0</v>
      </c>
      <c r="CL184" s="170">
        <f>N(CJ184)+N(CK184)</f>
        <v/>
      </c>
      <c r="CM184" s="183" t="n">
        <v>0</v>
      </c>
      <c r="CN184" s="183" t="n">
        <v>0</v>
      </c>
      <c r="CO184" s="171">
        <f>SUM(CJ184,CK184,CM184,CN184)</f>
        <v/>
      </c>
      <c r="CP184" s="183" t="n">
        <v>0</v>
      </c>
      <c r="CQ184" s="183" t="n">
        <v>0</v>
      </c>
      <c r="CR184" s="183" t="n">
        <v>0</v>
      </c>
      <c r="CS184" s="183" t="n">
        <v>0</v>
      </c>
      <c r="CT184" s="22" t="n"/>
      <c r="CV184" s="23" t="n"/>
      <c r="CW184" s="23" t="n"/>
      <c r="CX184" s="23" t="n"/>
      <c r="CY184" s="23" t="n"/>
    </row>
    <row r="185" ht="15" customHeight="1">
      <c r="B185" s="12" t="inlineStr">
        <is>
          <t xml:space="preserve">  (+) Charges associated with divested operations</t>
        </is>
      </c>
      <c r="C185" s="29" t="n"/>
      <c r="D185" s="29" t="n"/>
      <c r="E185" s="30" t="n"/>
      <c r="F185" s="30" t="n"/>
      <c r="G185" s="30" t="n"/>
      <c r="H185" s="30" t="n"/>
      <c r="I185" s="30" t="n"/>
      <c r="J185" s="30" t="n"/>
      <c r="K185" s="30" t="n"/>
      <c r="L185" s="29" t="n"/>
      <c r="M185" s="30" t="n"/>
      <c r="N185" s="30" t="n"/>
      <c r="O185" s="30" t="n"/>
      <c r="P185" s="169" t="n">
        <v>9.1</v>
      </c>
      <c r="Q185" s="169" t="n">
        <v>1.8</v>
      </c>
      <c r="R185" s="170">
        <f>N(P185)+N(Q185)</f>
        <v/>
      </c>
      <c r="S185" s="169" t="n">
        <v>0</v>
      </c>
      <c r="T185" s="169" t="n">
        <v>0</v>
      </c>
      <c r="U185" s="169" t="n">
        <v>0</v>
      </c>
      <c r="V185" s="169" t="n">
        <v>0</v>
      </c>
      <c r="W185" s="169" t="n">
        <v>0</v>
      </c>
      <c r="X185" s="170">
        <f>N(V185)+N(W185)</f>
        <v/>
      </c>
      <c r="Y185" s="169" t="n">
        <v>0</v>
      </c>
      <c r="Z185" s="169" t="n">
        <v>0</v>
      </c>
      <c r="AA185" s="169" t="n">
        <v>0</v>
      </c>
      <c r="AB185" s="169" t="n">
        <v>12.3</v>
      </c>
      <c r="AC185" s="169" t="n">
        <v>4.2</v>
      </c>
      <c r="AD185" s="170">
        <f>N(AB185)+N(AC185)</f>
        <v/>
      </c>
      <c r="AE185" s="169" t="n">
        <v>1.1</v>
      </c>
      <c r="AF185" s="169" t="n">
        <v>0.2</v>
      </c>
      <c r="AG185" s="169" t="n">
        <v>17</v>
      </c>
      <c r="AH185" s="169" t="n">
        <v>1.4</v>
      </c>
      <c r="AI185" s="169" t="n">
        <v>15</v>
      </c>
      <c r="AJ185" s="170">
        <f>N(AH185)+N(AI185)</f>
        <v/>
      </c>
      <c r="AK185" s="169" t="n">
        <v>0.1</v>
      </c>
      <c r="AL185" s="169" t="n">
        <v>1.5</v>
      </c>
      <c r="AM185" s="169" t="n">
        <v>18.1</v>
      </c>
      <c r="AN185" s="169" t="n">
        <v>0</v>
      </c>
      <c r="AO185" s="169" t="n">
        <v>0</v>
      </c>
      <c r="AP185" s="170">
        <f>N(AN185)+N(AO185)</f>
        <v/>
      </c>
      <c r="AQ185" s="169" t="n">
        <v>10</v>
      </c>
      <c r="AR185" s="169" t="n">
        <v>8.5</v>
      </c>
      <c r="AS185" s="169" t="n">
        <v>18.5</v>
      </c>
      <c r="AT185" s="169" t="n">
        <v>0</v>
      </c>
      <c r="AU185" s="169" t="n">
        <v>0</v>
      </c>
      <c r="AV185" s="170">
        <f>N(AT185)+N(AU185)</f>
        <v/>
      </c>
      <c r="AW185" s="169" t="n">
        <v>0</v>
      </c>
      <c r="AX185" s="169" t="n">
        <v>3</v>
      </c>
      <c r="AY185" s="169" t="n">
        <v>3</v>
      </c>
      <c r="AZ185" s="169" t="n">
        <v>0</v>
      </c>
      <c r="BA185" s="169" t="n">
        <v>0.8</v>
      </c>
      <c r="BB185" s="170">
        <f>N(AZ185)+N(BA185)</f>
        <v/>
      </c>
      <c r="BC185" s="169" t="n">
        <v>5.9</v>
      </c>
      <c r="BD185" s="169" t="n">
        <v>0.3</v>
      </c>
      <c r="BE185" s="169" t="n">
        <v>6.9</v>
      </c>
      <c r="BF185" s="169" t="n">
        <v>0.3</v>
      </c>
      <c r="BG185" s="169" t="n">
        <v>0.3</v>
      </c>
      <c r="BH185" s="170">
        <f>N(BF185)+N(BG185)</f>
        <v/>
      </c>
      <c r="BI185" s="169" t="n">
        <v>0.4</v>
      </c>
      <c r="BJ185" s="169" t="n">
        <v>0.5</v>
      </c>
      <c r="BK185" s="169" t="n">
        <v>1.5</v>
      </c>
      <c r="BL185" s="169" t="n">
        <v>0.3</v>
      </c>
      <c r="BM185" s="169" t="n">
        <v>0.4</v>
      </c>
      <c r="BN185" s="170">
        <f>N(BL185)+N(BM185)</f>
        <v/>
      </c>
      <c r="BO185" s="169" t="n">
        <v>0.4</v>
      </c>
      <c r="BP185" s="169" t="n">
        <v>2.1</v>
      </c>
      <c r="BQ185" s="169" t="n">
        <v>3.1</v>
      </c>
      <c r="BR185" s="169" t="n">
        <v>0</v>
      </c>
      <c r="BS185" s="169" t="n">
        <v>4.3</v>
      </c>
      <c r="BT185" s="170">
        <f>N(BR185)+N(BS185)</f>
        <v/>
      </c>
      <c r="BU185" s="169" t="n">
        <v>0</v>
      </c>
      <c r="BV185" s="169" t="n">
        <v>3.3</v>
      </c>
      <c r="BW185" s="169" t="n">
        <v>7.9</v>
      </c>
      <c r="BX185" s="169" t="n">
        <v>0</v>
      </c>
      <c r="BY185" s="169" t="n">
        <v>1</v>
      </c>
      <c r="BZ185" s="170">
        <f>N(BX185)+N(BY185)</f>
        <v/>
      </c>
      <c r="CA185" s="169" t="n">
        <v>0</v>
      </c>
      <c r="CB185" s="169" t="n">
        <v>16.7</v>
      </c>
      <c r="CC185" s="169" t="n">
        <v>17.7</v>
      </c>
      <c r="CD185" s="169" t="n">
        <v>0</v>
      </c>
      <c r="CE185" s="169" t="n">
        <v>0</v>
      </c>
      <c r="CF185" s="170">
        <f>N(CD185)+N(CE185)</f>
        <v/>
      </c>
      <c r="CG185" s="169" t="n">
        <v>0</v>
      </c>
      <c r="CH185" s="169" t="n">
        <v>0.6</v>
      </c>
      <c r="CI185" s="169" t="n">
        <v>0.6</v>
      </c>
      <c r="CJ185" s="169" t="n">
        <v>2</v>
      </c>
      <c r="CK185" s="169" t="n">
        <v>4.5</v>
      </c>
      <c r="CL185" s="170">
        <f>N(CJ185)+N(CK185)</f>
        <v/>
      </c>
      <c r="CM185" s="183" t="n">
        <v>0</v>
      </c>
      <c r="CN185" s="183" t="n">
        <v>0</v>
      </c>
      <c r="CO185" s="171">
        <f>SUM(CJ185,CK185,CM185,CN185)</f>
        <v/>
      </c>
      <c r="CP185" s="183" t="n">
        <v>0</v>
      </c>
      <c r="CQ185" s="183" t="n">
        <v>0</v>
      </c>
      <c r="CR185" s="183" t="n">
        <v>0</v>
      </c>
      <c r="CS185" s="183" t="n">
        <v>0</v>
      </c>
      <c r="CT185" s="22" t="n"/>
      <c r="CV185" s="23" t="n"/>
      <c r="CW185" s="23" t="n"/>
      <c r="CX185" s="23" t="n"/>
      <c r="CY185" s="23" t="n"/>
    </row>
    <row r="186" ht="15" customHeight="1">
      <c r="B186" s="12" t="inlineStr">
        <is>
          <t xml:space="preserve">  (+) Acquisition / business-development related charges (incl. inventory step-up)</t>
        </is>
      </c>
      <c r="C186" s="29" t="n"/>
      <c r="D186" s="29" t="n"/>
      <c r="E186" s="30" t="n"/>
      <c r="F186" s="30" t="n"/>
      <c r="G186" s="30" t="n"/>
      <c r="H186" s="30" t="n"/>
      <c r="I186" s="30" t="n"/>
      <c r="J186" s="30" t="n"/>
      <c r="K186" s="30" t="n"/>
      <c r="L186" s="29" t="n"/>
      <c r="M186" s="30" t="n"/>
      <c r="N186" s="30" t="n"/>
      <c r="O186" s="30" t="n"/>
      <c r="P186" s="169" t="n">
        <v>0</v>
      </c>
      <c r="Q186" s="169" t="n">
        <v>0</v>
      </c>
      <c r="R186" s="170">
        <f>N(P186)+N(Q186)</f>
        <v/>
      </c>
      <c r="S186" s="169" t="n">
        <v>4</v>
      </c>
      <c r="T186" s="169" t="n">
        <v>5.6</v>
      </c>
      <c r="U186" s="169" t="n">
        <v>21.1</v>
      </c>
      <c r="V186" s="169" t="n">
        <v>2.4</v>
      </c>
      <c r="W186" s="169" t="n">
        <v>2.6</v>
      </c>
      <c r="X186" s="170">
        <f>N(V186)+N(W186)</f>
        <v/>
      </c>
      <c r="Y186" s="169" t="n">
        <v>4.2</v>
      </c>
      <c r="Z186" s="169" t="n">
        <v>0.3</v>
      </c>
      <c r="AA186" s="169" t="n">
        <v>9.5</v>
      </c>
      <c r="AB186" s="30" t="n"/>
      <c r="AC186" s="30" t="n"/>
      <c r="AD186" s="29" t="n"/>
      <c r="AE186" s="30" t="n"/>
      <c r="AF186" s="169" t="n">
        <v>0</v>
      </c>
      <c r="AG186" s="169" t="n">
        <v>0</v>
      </c>
      <c r="AH186" s="30" t="n"/>
      <c r="AI186" s="169" t="n">
        <v>0</v>
      </c>
      <c r="AJ186" s="170">
        <f>N(AH186)+N(AI186)</f>
        <v/>
      </c>
      <c r="AK186" s="169" t="n">
        <v>0.8</v>
      </c>
      <c r="AL186" s="169" t="n">
        <v>2.3</v>
      </c>
      <c r="AM186" s="169" t="n">
        <v>3.1</v>
      </c>
      <c r="AN186" s="169" t="n">
        <v>0.5</v>
      </c>
      <c r="AO186" s="169" t="n">
        <v>4.5</v>
      </c>
      <c r="AP186" s="170">
        <f>N(AN186)+N(AO186)</f>
        <v/>
      </c>
      <c r="AQ186" s="169" t="n">
        <v>0.2</v>
      </c>
      <c r="AR186" s="169" t="n">
        <v>0</v>
      </c>
      <c r="AS186" s="169" t="n">
        <v>5.2</v>
      </c>
      <c r="AT186" s="169" t="n">
        <v>0</v>
      </c>
      <c r="AU186" s="169" t="n">
        <v>0</v>
      </c>
      <c r="AV186" s="170">
        <f>N(AT186)+N(AU186)</f>
        <v/>
      </c>
      <c r="AW186" s="169" t="n">
        <v>0.4</v>
      </c>
      <c r="AX186" s="169" t="n">
        <v>1.3</v>
      </c>
      <c r="AY186" s="169" t="n">
        <v>1.7</v>
      </c>
      <c r="AZ186" s="169" t="n">
        <v>1.1</v>
      </c>
      <c r="BA186" s="169" t="n">
        <v>-3.5</v>
      </c>
      <c r="BB186" s="170">
        <f>N(AZ186)+N(BA186)</f>
        <v/>
      </c>
      <c r="BC186" s="169" t="n">
        <v>0.3</v>
      </c>
      <c r="BD186" s="169" t="n">
        <v>9.4</v>
      </c>
      <c r="BE186" s="169" t="n">
        <v>7.3</v>
      </c>
      <c r="BF186" s="169" t="n">
        <v>0.4</v>
      </c>
      <c r="BG186" s="169" t="n">
        <v>5.5</v>
      </c>
      <c r="BH186" s="170">
        <f>N(BF186)+N(BG186)</f>
        <v/>
      </c>
      <c r="BI186" s="169" t="n">
        <v>24.7</v>
      </c>
      <c r="BJ186" s="169" t="n">
        <v>8.4</v>
      </c>
      <c r="BK186" s="169" t="n">
        <v>39</v>
      </c>
      <c r="BL186" s="169" t="n">
        <v>2.5</v>
      </c>
      <c r="BM186" s="169" t="n">
        <v>3.1</v>
      </c>
      <c r="BN186" s="170">
        <f>N(BL186)+N(BM186)</f>
        <v/>
      </c>
      <c r="BO186" s="169" t="n">
        <v>2.5</v>
      </c>
      <c r="BP186" s="169" t="n">
        <v>2.4</v>
      </c>
      <c r="BQ186" s="169" t="n">
        <v>10.6</v>
      </c>
      <c r="BR186" s="169" t="n">
        <v>0.6</v>
      </c>
      <c r="BS186" s="169" t="n">
        <v>0.3</v>
      </c>
      <c r="BT186" s="170">
        <f>N(BR186)+N(BS186)</f>
        <v/>
      </c>
      <c r="BU186" s="169" t="n">
        <v>1.2</v>
      </c>
      <c r="BV186" s="169" t="n">
        <v>0.1</v>
      </c>
      <c r="BW186" s="169" t="n">
        <v>2.1</v>
      </c>
      <c r="BX186" s="169" t="n">
        <v>0.1</v>
      </c>
      <c r="BY186" s="169" t="n">
        <v>0.8</v>
      </c>
      <c r="BZ186" s="170">
        <f>N(BX186)+N(BY186)</f>
        <v/>
      </c>
      <c r="CA186" s="169" t="n">
        <v>0.8</v>
      </c>
      <c r="CB186" s="169" t="n">
        <v>14.5</v>
      </c>
      <c r="CC186" s="169" t="n">
        <v>16.3</v>
      </c>
      <c r="CD186" s="169" t="n">
        <v>1.2</v>
      </c>
      <c r="CE186" s="169" t="n">
        <v>0.6</v>
      </c>
      <c r="CF186" s="170">
        <f>N(CD186)+N(CE186)</f>
        <v/>
      </c>
      <c r="CG186" s="169" t="n">
        <v>0.1</v>
      </c>
      <c r="CH186" s="169" t="n">
        <v>0.1</v>
      </c>
      <c r="CI186" s="169" t="n">
        <v>2</v>
      </c>
      <c r="CJ186" s="169" t="n">
        <v>0</v>
      </c>
      <c r="CK186" s="169" t="n">
        <v>0.5</v>
      </c>
      <c r="CL186" s="170">
        <f>N(CJ186)+N(CK186)</f>
        <v/>
      </c>
      <c r="CM186" s="183" t="n">
        <v>0</v>
      </c>
      <c r="CN186" s="183" t="n">
        <v>0</v>
      </c>
      <c r="CO186" s="171">
        <f>SUM(CJ186,CK186,CM186,CN186)</f>
        <v/>
      </c>
      <c r="CP186" s="183" t="n">
        <v>0</v>
      </c>
      <c r="CQ186" s="183" t="n">
        <v>0</v>
      </c>
      <c r="CR186" s="183" t="n">
        <v>0</v>
      </c>
      <c r="CS186" s="183" t="n">
        <v>0</v>
      </c>
      <c r="CT186" s="22" t="n"/>
      <c r="CV186" s="23" t="n"/>
      <c r="CW186" s="23" t="n"/>
      <c r="CX186" s="23" t="n"/>
      <c r="CY186" s="23" t="n"/>
    </row>
    <row r="187" ht="15" customHeight="1">
      <c r="B187" s="12" t="inlineStr">
        <is>
          <t xml:space="preserve">  (+) Restructuring, reorganization &amp; CEO transition charges</t>
        </is>
      </c>
      <c r="C187" s="29" t="n"/>
      <c r="D187" s="29" t="n"/>
      <c r="E187" s="30" t="n"/>
      <c r="F187" s="30" t="n"/>
      <c r="G187" s="30" t="n"/>
      <c r="H187" s="169" t="n">
        <v>13</v>
      </c>
      <c r="I187" s="169" t="n">
        <v>9.6</v>
      </c>
      <c r="J187" s="169" t="n">
        <v>1.5</v>
      </c>
      <c r="K187" s="169" t="n">
        <v>0</v>
      </c>
      <c r="L187" s="170">
        <f>N(J187)+N(K187)</f>
        <v/>
      </c>
      <c r="M187" s="169" t="n">
        <v>0</v>
      </c>
      <c r="N187" s="169" t="n">
        <v>0</v>
      </c>
      <c r="O187" s="169" t="n">
        <v>1.5</v>
      </c>
      <c r="P187" s="169" t="n">
        <v>0</v>
      </c>
      <c r="Q187" s="169" t="n">
        <v>0</v>
      </c>
      <c r="R187" s="170">
        <f>N(P187)+N(Q187)</f>
        <v/>
      </c>
      <c r="S187" s="169" t="n">
        <v>0.8</v>
      </c>
      <c r="T187" s="169" t="n">
        <v>0.6</v>
      </c>
      <c r="U187" s="169" t="n">
        <v>1.3</v>
      </c>
      <c r="V187" s="169" t="n">
        <v>2.8</v>
      </c>
      <c r="W187" s="169" t="n">
        <v>1.3</v>
      </c>
      <c r="X187" s="170">
        <f>N(V187)+N(W187)</f>
        <v/>
      </c>
      <c r="Y187" s="169" t="n">
        <v>0.4</v>
      </c>
      <c r="Z187" s="169" t="n">
        <v>0.4</v>
      </c>
      <c r="AA187" s="169" t="n">
        <v>5</v>
      </c>
      <c r="AB187" s="169" t="n">
        <v>0.3</v>
      </c>
      <c r="AC187" s="169" t="n">
        <v>0</v>
      </c>
      <c r="AD187" s="170">
        <f>N(AB187)+N(AC187)</f>
        <v/>
      </c>
      <c r="AE187" s="169" t="n">
        <v>0</v>
      </c>
      <c r="AF187" s="169" t="n">
        <v>0</v>
      </c>
      <c r="AG187" s="169" t="n">
        <v>0.3</v>
      </c>
      <c r="AH187" s="169" t="n">
        <v>1.9</v>
      </c>
      <c r="AI187" s="169" t="n">
        <v>0</v>
      </c>
      <c r="AJ187" s="170">
        <f>N(AH187)+N(AI187)</f>
        <v/>
      </c>
      <c r="AK187" s="169" t="n">
        <v>0</v>
      </c>
      <c r="AL187" s="169" t="n">
        <v>0</v>
      </c>
      <c r="AM187" s="169" t="n">
        <v>1.9</v>
      </c>
      <c r="AN187" s="169" t="n">
        <v>4.2</v>
      </c>
      <c r="AO187" s="169" t="n">
        <v>1.1</v>
      </c>
      <c r="AP187" s="170">
        <f>N(AN187)+N(AO187)</f>
        <v/>
      </c>
      <c r="AQ187" s="169" t="n">
        <v>0.3</v>
      </c>
      <c r="AR187" s="169" t="n">
        <v>0.5</v>
      </c>
      <c r="AS187" s="169" t="n">
        <v>6.2</v>
      </c>
      <c r="AT187" s="169" t="n">
        <v>0</v>
      </c>
      <c r="AU187" s="169" t="n">
        <v>0</v>
      </c>
      <c r="AV187" s="170">
        <f>N(AT187)+N(AU187)</f>
        <v/>
      </c>
      <c r="AW187" s="169" t="n">
        <v>6.5</v>
      </c>
      <c r="AX187" s="169" t="n">
        <v>0</v>
      </c>
      <c r="AY187" s="169" t="n">
        <v>6.5</v>
      </c>
      <c r="AZ187" s="169" t="n">
        <v>0.9</v>
      </c>
      <c r="BA187" s="169" t="n">
        <v>0.5</v>
      </c>
      <c r="BB187" s="170">
        <f>N(AZ187)+N(BA187)</f>
        <v/>
      </c>
      <c r="BC187" s="169" t="n">
        <v>0</v>
      </c>
      <c r="BD187" s="169" t="n">
        <v>0</v>
      </c>
      <c r="BE187" s="169" t="n">
        <v>1.3</v>
      </c>
      <c r="BF187" s="169" t="n">
        <v>0</v>
      </c>
      <c r="BG187" s="169" t="n">
        <v>0</v>
      </c>
      <c r="BH187" s="170">
        <f>N(BF187)+N(BG187)</f>
        <v/>
      </c>
      <c r="BI187" s="169" t="n">
        <v>3.5</v>
      </c>
      <c r="BJ187" s="169" t="n">
        <v>11.5</v>
      </c>
      <c r="BK187" s="169" t="n">
        <v>15</v>
      </c>
      <c r="BL187" s="169" t="n">
        <v>1.8</v>
      </c>
      <c r="BM187" s="169" t="n">
        <v>0.9</v>
      </c>
      <c r="BN187" s="170">
        <f>N(BL187)+N(BM187)</f>
        <v/>
      </c>
      <c r="BO187" s="169" t="n">
        <v>2.1</v>
      </c>
      <c r="BP187" s="169" t="n">
        <v>2.3</v>
      </c>
      <c r="BQ187" s="169" t="n">
        <v>7.2</v>
      </c>
      <c r="BR187" s="169" t="n">
        <v>0.3</v>
      </c>
      <c r="BS187" s="169" t="n">
        <v>0</v>
      </c>
      <c r="BT187" s="170">
        <f>N(BR187)+N(BS187)</f>
        <v/>
      </c>
      <c r="BU187" s="169" t="n">
        <v>0</v>
      </c>
      <c r="BV187" s="169" t="n">
        <v>0</v>
      </c>
      <c r="BW187" s="169" t="n">
        <v>0</v>
      </c>
      <c r="BX187" s="169" t="n">
        <v>0</v>
      </c>
      <c r="BY187" s="169" t="n">
        <v>0</v>
      </c>
      <c r="BZ187" s="170">
        <f>N(BX187)+N(BY187)</f>
        <v/>
      </c>
      <c r="CA187" s="169" t="n">
        <v>0</v>
      </c>
      <c r="CB187" s="169" t="n">
        <v>0</v>
      </c>
      <c r="CC187" s="169" t="n">
        <v>0</v>
      </c>
      <c r="CD187" s="169" t="n">
        <v>0</v>
      </c>
      <c r="CE187" s="169" t="n">
        <v>0</v>
      </c>
      <c r="CF187" s="170">
        <f>N(CD187)+N(CE187)</f>
        <v/>
      </c>
      <c r="CG187" s="169" t="n">
        <v>0</v>
      </c>
      <c r="CH187" s="169" t="n">
        <v>0</v>
      </c>
      <c r="CI187" s="169" t="n">
        <v>0</v>
      </c>
      <c r="CJ187" s="169" t="n">
        <v>8.6</v>
      </c>
      <c r="CK187" s="169" t="n">
        <v>0</v>
      </c>
      <c r="CL187" s="170">
        <f>N(CJ187)+N(CK187)</f>
        <v/>
      </c>
      <c r="CM187" s="183" t="n">
        <v>0</v>
      </c>
      <c r="CN187" s="183" t="n">
        <v>0</v>
      </c>
      <c r="CO187" s="171">
        <f>SUM(CJ187,CK187,CM187,CN187)</f>
        <v/>
      </c>
      <c r="CP187" s="183" t="n">
        <v>0</v>
      </c>
      <c r="CQ187" s="183" t="n">
        <v>0</v>
      </c>
      <c r="CR187" s="183" t="n">
        <v>0</v>
      </c>
      <c r="CS187" s="183" t="n">
        <v>0</v>
      </c>
      <c r="CT187" s="22" t="n"/>
      <c r="CV187" s="23" t="n"/>
      <c r="CW187" s="23" t="n"/>
      <c r="CX187" s="23" t="n"/>
      <c r="CY187" s="23" t="n"/>
    </row>
    <row r="188" ht="15" customHeight="1">
      <c r="B188" s="12" t="inlineStr">
        <is>
          <t xml:space="preserve">  (+) Legal &amp; environmental settlements / recoveries, net</t>
        </is>
      </c>
      <c r="C188" s="29" t="n"/>
      <c r="D188" s="29" t="n"/>
      <c r="E188" s="30" t="n"/>
      <c r="F188" s="30" t="n"/>
      <c r="G188" s="30" t="n"/>
      <c r="H188" s="30" t="n"/>
      <c r="I188" s="169" t="n">
        <v>0</v>
      </c>
      <c r="J188" s="30" t="n"/>
      <c r="K188" s="30" t="n"/>
      <c r="L188" s="29" t="n"/>
      <c r="M188" s="30" t="n"/>
      <c r="N188" s="30" t="n"/>
      <c r="O188" s="30" t="n"/>
      <c r="P188" s="169" t="n">
        <v>0</v>
      </c>
      <c r="Q188" s="169" t="n">
        <v>0</v>
      </c>
      <c r="R188" s="170">
        <f>N(P188)+N(Q188)</f>
        <v/>
      </c>
      <c r="S188" s="169" t="n">
        <v>0</v>
      </c>
      <c r="T188" s="169" t="n">
        <v>0</v>
      </c>
      <c r="U188" s="169" t="n">
        <v>0</v>
      </c>
      <c r="V188" s="169" t="n">
        <v>0</v>
      </c>
      <c r="W188" s="169" t="n">
        <v>0</v>
      </c>
      <c r="X188" s="170">
        <f>N(V188)+N(W188)</f>
        <v/>
      </c>
      <c r="Y188" s="169" t="n">
        <v>0</v>
      </c>
      <c r="Z188" s="169" t="n">
        <v>0</v>
      </c>
      <c r="AA188" s="169" t="n">
        <v>0</v>
      </c>
      <c r="AB188" s="30" t="n"/>
      <c r="AC188" s="169" t="n">
        <v>-11</v>
      </c>
      <c r="AD188" s="170">
        <f>N(AB188)+N(AC188)</f>
        <v/>
      </c>
      <c r="AE188" s="169" t="n">
        <v>-0.2</v>
      </c>
      <c r="AF188" s="169" t="n">
        <v>0.2</v>
      </c>
      <c r="AG188" s="169" t="n">
        <v>-11</v>
      </c>
      <c r="AH188" s="30" t="n"/>
      <c r="AI188" s="169" t="n">
        <v>0</v>
      </c>
      <c r="AJ188" s="170">
        <f>N(AH188)+N(AI188)</f>
        <v/>
      </c>
      <c r="AK188" s="169" t="n">
        <v>0</v>
      </c>
      <c r="AL188" s="169" t="n">
        <v>0</v>
      </c>
      <c r="AM188" s="169" t="n">
        <v>0</v>
      </c>
      <c r="AN188" s="169" t="n">
        <v>-1.7</v>
      </c>
      <c r="AO188" s="169" t="n">
        <v>0</v>
      </c>
      <c r="AP188" s="170">
        <f>N(AN188)+N(AO188)</f>
        <v/>
      </c>
      <c r="AQ188" s="169" t="n">
        <v>-0.6</v>
      </c>
      <c r="AR188" s="169" t="n">
        <v>0</v>
      </c>
      <c r="AS188" s="169" t="n">
        <v>-2.3</v>
      </c>
      <c r="AT188" s="169" t="n">
        <v>0</v>
      </c>
      <c r="AU188" s="169" t="n">
        <v>0</v>
      </c>
      <c r="AV188" s="170">
        <f>N(AT188)+N(AU188)</f>
        <v/>
      </c>
      <c r="AW188" s="169" t="n">
        <v>0</v>
      </c>
      <c r="AX188" s="169" t="n">
        <v>0</v>
      </c>
      <c r="AY188" s="169" t="n">
        <v>0</v>
      </c>
      <c r="AZ188" s="169" t="n">
        <v>0</v>
      </c>
      <c r="BA188" s="169" t="n">
        <v>0</v>
      </c>
      <c r="BB188" s="170">
        <f>N(AZ188)+N(BA188)</f>
        <v/>
      </c>
      <c r="BC188" s="169" t="n">
        <v>0</v>
      </c>
      <c r="BD188" s="169" t="n">
        <v>0</v>
      </c>
      <c r="BE188" s="169" t="n">
        <v>0</v>
      </c>
      <c r="BF188" s="169" t="n">
        <v>0</v>
      </c>
      <c r="BG188" s="169" t="n">
        <v>0</v>
      </c>
      <c r="BH188" s="170">
        <f>N(BF188)+N(BG188)</f>
        <v/>
      </c>
      <c r="BI188" s="169" t="n">
        <v>0</v>
      </c>
      <c r="BJ188" s="169" t="n">
        <v>0</v>
      </c>
      <c r="BK188" s="169" t="n">
        <v>0</v>
      </c>
      <c r="BL188" s="169" t="n">
        <v>0</v>
      </c>
      <c r="BM188" s="169" t="n">
        <v>0</v>
      </c>
      <c r="BN188" s="170">
        <f>N(BL188)+N(BM188)</f>
        <v/>
      </c>
      <c r="BO188" s="169" t="n">
        <v>0</v>
      </c>
      <c r="BP188" s="169" t="n">
        <v>0</v>
      </c>
      <c r="BQ188" s="169" t="n">
        <v>0</v>
      </c>
      <c r="BR188" s="169" t="n">
        <v>0</v>
      </c>
      <c r="BS188" s="169" t="n">
        <v>0</v>
      </c>
      <c r="BT188" s="170">
        <f>N(BR188)+N(BS188)</f>
        <v/>
      </c>
      <c r="BU188" s="169" t="n">
        <v>0</v>
      </c>
      <c r="BV188" s="169" t="n">
        <v>0</v>
      </c>
      <c r="BW188" s="169" t="n">
        <v>0</v>
      </c>
      <c r="BX188" s="169" t="n">
        <v>0</v>
      </c>
      <c r="BY188" s="169" t="n">
        <v>0</v>
      </c>
      <c r="BZ188" s="170">
        <f>N(BX188)+N(BY188)</f>
        <v/>
      </c>
      <c r="CA188" s="169" t="n">
        <v>0</v>
      </c>
      <c r="CB188" s="169" t="n">
        <v>0</v>
      </c>
      <c r="CC188" s="169" t="n">
        <v>0</v>
      </c>
      <c r="CD188" s="169" t="n">
        <v>0</v>
      </c>
      <c r="CE188" s="169" t="n">
        <v>0</v>
      </c>
      <c r="CF188" s="170">
        <f>N(CD188)+N(CE188)</f>
        <v/>
      </c>
      <c r="CG188" s="169" t="n">
        <v>0</v>
      </c>
      <c r="CH188" s="169" t="n">
        <v>0</v>
      </c>
      <c r="CI188" s="169" t="n">
        <v>0</v>
      </c>
      <c r="CJ188" s="169" t="n">
        <v>0</v>
      </c>
      <c r="CK188" s="169" t="n">
        <v>0</v>
      </c>
      <c r="CL188" s="170">
        <f>N(CJ188)+N(CK188)</f>
        <v/>
      </c>
      <c r="CM188" s="183" t="n">
        <v>0</v>
      </c>
      <c r="CN188" s="183" t="n">
        <v>0</v>
      </c>
      <c r="CO188" s="171">
        <f>SUM(CJ188,CK188,CM188,CN188)</f>
        <v/>
      </c>
      <c r="CP188" s="183" t="n">
        <v>0</v>
      </c>
      <c r="CQ188" s="183" t="n">
        <v>0</v>
      </c>
      <c r="CR188" s="183" t="n">
        <v>0</v>
      </c>
      <c r="CS188" s="183" t="n">
        <v>0</v>
      </c>
      <c r="CT188" s="22" t="n"/>
      <c r="CV188" s="23" t="n"/>
      <c r="CW188" s="23" t="n"/>
      <c r="CX188" s="23" t="n"/>
      <c r="CY188" s="23" t="n"/>
    </row>
    <row r="189" ht="15" customHeight="1">
      <c r="B189" s="12" t="inlineStr">
        <is>
          <t xml:space="preserve">  (+) Pension settlement / curtailment charges</t>
        </is>
      </c>
      <c r="C189" s="29" t="n"/>
      <c r="D189" s="29" t="n"/>
      <c r="E189" s="30" t="n"/>
      <c r="F189" s="30" t="n"/>
      <c r="G189" s="30" t="n"/>
      <c r="H189" s="30" t="n"/>
      <c r="I189" s="30" t="n"/>
      <c r="J189" s="30" t="n"/>
      <c r="K189" s="30" t="n"/>
      <c r="L189" s="29" t="n"/>
      <c r="M189" s="30" t="n"/>
      <c r="N189" s="30" t="n"/>
      <c r="O189" s="30" t="n"/>
      <c r="P189" s="169" t="n">
        <v>0</v>
      </c>
      <c r="Q189" s="169" t="n">
        <v>0</v>
      </c>
      <c r="R189" s="170">
        <f>N(P189)+N(Q189)</f>
        <v/>
      </c>
      <c r="S189" s="169" t="n">
        <v>0</v>
      </c>
      <c r="T189" s="169" t="n">
        <v>0</v>
      </c>
      <c r="U189" s="169" t="n">
        <v>0</v>
      </c>
      <c r="V189" s="169" t="n">
        <v>0</v>
      </c>
      <c r="W189" s="169" t="n">
        <v>0</v>
      </c>
      <c r="X189" s="170">
        <f>N(V189)+N(W189)</f>
        <v/>
      </c>
      <c r="Y189" s="169" t="n">
        <v>0</v>
      </c>
      <c r="Z189" s="169" t="n">
        <v>0</v>
      </c>
      <c r="AA189" s="169" t="n">
        <v>0</v>
      </c>
      <c r="AB189" s="30" t="n"/>
      <c r="AC189" s="30" t="n"/>
      <c r="AD189" s="29" t="n"/>
      <c r="AE189" s="30" t="n"/>
      <c r="AF189" s="30" t="n"/>
      <c r="AG189" s="30" t="n"/>
      <c r="AH189" s="30" t="n"/>
      <c r="AI189" s="30" t="n"/>
      <c r="AJ189" s="29" t="n"/>
      <c r="AK189" s="30" t="n"/>
      <c r="AL189" s="30" t="n"/>
      <c r="AM189" s="30" t="n"/>
      <c r="AN189" s="169" t="n">
        <v>0</v>
      </c>
      <c r="AO189" s="169" t="n">
        <v>0</v>
      </c>
      <c r="AP189" s="170">
        <f>N(AN189)+N(AO189)</f>
        <v/>
      </c>
      <c r="AQ189" s="169" t="n">
        <v>0</v>
      </c>
      <c r="AR189" s="169" t="n">
        <v>0</v>
      </c>
      <c r="AS189" s="169" t="n">
        <v>0</v>
      </c>
      <c r="AT189" s="169" t="n">
        <v>0</v>
      </c>
      <c r="AU189" s="169" t="n">
        <v>0</v>
      </c>
      <c r="AV189" s="170">
        <f>N(AT189)+N(AU189)</f>
        <v/>
      </c>
      <c r="AW189" s="169" t="n">
        <v>0</v>
      </c>
      <c r="AX189" s="169" t="n">
        <v>0</v>
      </c>
      <c r="AY189" s="169" t="n">
        <v>0</v>
      </c>
      <c r="AZ189" s="169" t="n">
        <v>0</v>
      </c>
      <c r="BA189" s="169" t="n">
        <v>0</v>
      </c>
      <c r="BB189" s="170">
        <f>N(AZ189)+N(BA189)</f>
        <v/>
      </c>
      <c r="BC189" s="169" t="n">
        <v>0</v>
      </c>
      <c r="BD189" s="169" t="n">
        <v>22.7</v>
      </c>
      <c r="BE189" s="169" t="n">
        <v>22.7</v>
      </c>
      <c r="BF189" s="169" t="n">
        <v>0</v>
      </c>
      <c r="BG189" s="169" t="n">
        <v>0</v>
      </c>
      <c r="BH189" s="170">
        <f>N(BF189)+N(BG189)</f>
        <v/>
      </c>
      <c r="BI189" s="169" t="n">
        <v>0</v>
      </c>
      <c r="BJ189" s="169" t="n">
        <v>12.1</v>
      </c>
      <c r="BK189" s="169" t="n">
        <v>12.1</v>
      </c>
      <c r="BL189" s="169" t="n">
        <v>0</v>
      </c>
      <c r="BM189" s="169" t="n">
        <v>0</v>
      </c>
      <c r="BN189" s="170">
        <f>N(BL189)+N(BM189)</f>
        <v/>
      </c>
      <c r="BO189" s="169" t="n">
        <v>0</v>
      </c>
      <c r="BP189" s="169" t="n">
        <v>0</v>
      </c>
      <c r="BQ189" s="169" t="n">
        <v>0</v>
      </c>
      <c r="BR189" s="169" t="n">
        <v>0</v>
      </c>
      <c r="BS189" s="169" t="n">
        <v>0</v>
      </c>
      <c r="BT189" s="170">
        <f>N(BR189)+N(BS189)</f>
        <v/>
      </c>
      <c r="BU189" s="169" t="n">
        <v>0</v>
      </c>
      <c r="BV189" s="169" t="n">
        <v>0</v>
      </c>
      <c r="BW189" s="169" t="n">
        <v>0</v>
      </c>
      <c r="BX189" s="169" t="n">
        <v>0</v>
      </c>
      <c r="BY189" s="169" t="n">
        <v>0</v>
      </c>
      <c r="BZ189" s="170">
        <f>N(BX189)+N(BY189)</f>
        <v/>
      </c>
      <c r="CA189" s="169" t="n">
        <v>0</v>
      </c>
      <c r="CB189" s="169" t="n">
        <v>0</v>
      </c>
      <c r="CC189" s="169" t="n">
        <v>0</v>
      </c>
      <c r="CD189" s="169" t="n">
        <v>0</v>
      </c>
      <c r="CE189" s="169" t="n">
        <v>0</v>
      </c>
      <c r="CF189" s="170">
        <f>N(CD189)+N(CE189)</f>
        <v/>
      </c>
      <c r="CG189" s="169" t="n">
        <v>0</v>
      </c>
      <c r="CH189" s="169" t="n">
        <v>0</v>
      </c>
      <c r="CI189" s="169" t="n">
        <v>0</v>
      </c>
      <c r="CJ189" s="169" t="n">
        <v>0</v>
      </c>
      <c r="CK189" s="169" t="n">
        <v>0</v>
      </c>
      <c r="CL189" s="170">
        <f>N(CJ189)+N(CK189)</f>
        <v/>
      </c>
      <c r="CM189" s="183" t="n">
        <v>0</v>
      </c>
      <c r="CN189" s="183" t="n">
        <v>0</v>
      </c>
      <c r="CO189" s="171">
        <f>SUM(CJ189,CK189,CM189,CN189)</f>
        <v/>
      </c>
      <c r="CP189" s="183" t="n">
        <v>0</v>
      </c>
      <c r="CQ189" s="183" t="n">
        <v>0</v>
      </c>
      <c r="CR189" s="183" t="n">
        <v>0</v>
      </c>
      <c r="CS189" s="183" t="n">
        <v>0</v>
      </c>
      <c r="CT189" s="22" t="n"/>
      <c r="CV189" s="23" t="n"/>
      <c r="CW189" s="23" t="n"/>
      <c r="CX189" s="23" t="n"/>
      <c r="CY189" s="23" t="n"/>
    </row>
    <row r="190" ht="15" customHeight="1">
      <c r="B190" s="12" t="inlineStr">
        <is>
          <t xml:space="preserve">  (+) Other adjusting items (COVID-19, exchange-offer costs, property donation, etc.)</t>
        </is>
      </c>
      <c r="C190" s="29" t="n"/>
      <c r="D190" s="29" t="n"/>
      <c r="E190" s="30" t="n"/>
      <c r="F190" s="30" t="n"/>
      <c r="G190" s="30" t="n"/>
      <c r="H190" s="169" t="n">
        <v>2.2</v>
      </c>
      <c r="I190" s="169" t="n">
        <v>43.4</v>
      </c>
      <c r="J190" s="169" t="n">
        <v>0</v>
      </c>
      <c r="K190" s="169" t="n">
        <v>0</v>
      </c>
      <c r="L190" s="170">
        <f>N(J190)+N(K190)</f>
        <v/>
      </c>
      <c r="M190" s="169" t="n">
        <v>0</v>
      </c>
      <c r="N190" s="169" t="n">
        <v>0</v>
      </c>
      <c r="O190" s="169" t="n">
        <v>0</v>
      </c>
      <c r="P190" s="169" t="n">
        <v>-1</v>
      </c>
      <c r="Q190" s="169" t="n">
        <v>-1.4</v>
      </c>
      <c r="R190" s="170">
        <f>N(P190)+N(Q190)</f>
        <v/>
      </c>
      <c r="S190" s="169" t="n">
        <v>-1.4</v>
      </c>
      <c r="T190" s="169" t="n">
        <v>-1.2</v>
      </c>
      <c r="U190" s="169" t="n">
        <v>-5</v>
      </c>
      <c r="V190" s="169" t="n">
        <v>-1</v>
      </c>
      <c r="W190" s="169" t="n">
        <v>-1.6</v>
      </c>
      <c r="X190" s="170">
        <f>N(V190)+N(W190)</f>
        <v/>
      </c>
      <c r="Y190" s="169" t="n">
        <v>-1.8</v>
      </c>
      <c r="Z190" s="169" t="n">
        <v>0</v>
      </c>
      <c r="AA190" s="169" t="n">
        <v>0</v>
      </c>
      <c r="AB190" s="30" t="n"/>
      <c r="AC190" s="30" t="n"/>
      <c r="AD190" s="29" t="n"/>
      <c r="AE190" s="30" t="n"/>
      <c r="AF190" s="30" t="n"/>
      <c r="AG190" s="30" t="n"/>
      <c r="AH190" s="30" t="n"/>
      <c r="AI190" s="30" t="n"/>
      <c r="AJ190" s="29" t="n"/>
      <c r="AK190" s="30" t="n"/>
      <c r="AL190" s="169" t="n">
        <v>11</v>
      </c>
      <c r="AM190" s="169" t="n">
        <v>11</v>
      </c>
      <c r="AN190" s="169" t="n">
        <v>0</v>
      </c>
      <c r="AO190" s="169" t="n">
        <v>0</v>
      </c>
      <c r="AP190" s="170">
        <f>N(AN190)+N(AO190)</f>
        <v/>
      </c>
      <c r="AQ190" s="169" t="n">
        <v>0</v>
      </c>
      <c r="AR190" s="169" t="n">
        <v>0</v>
      </c>
      <c r="AS190" s="169" t="n">
        <v>0</v>
      </c>
      <c r="AT190" s="169" t="n">
        <v>0</v>
      </c>
      <c r="AU190" s="169" t="n">
        <v>0</v>
      </c>
      <c r="AV190" s="170">
        <f>N(AT190)+N(AU190)</f>
        <v/>
      </c>
      <c r="AW190" s="169" t="n">
        <v>0</v>
      </c>
      <c r="AX190" s="169" t="n">
        <v>10.8</v>
      </c>
      <c r="AY190" s="169" t="n">
        <v>10.8</v>
      </c>
      <c r="AZ190" s="169" t="n">
        <v>0.6</v>
      </c>
      <c r="BA190" s="169" t="n">
        <v>4.4</v>
      </c>
      <c r="BB190" s="170">
        <f>N(AZ190)+N(BA190)</f>
        <v/>
      </c>
      <c r="BC190" s="169" t="n">
        <v>2.4</v>
      </c>
      <c r="BD190" s="169" t="n">
        <v>2.8</v>
      </c>
      <c r="BE190" s="169" t="n">
        <v>10.2</v>
      </c>
      <c r="BF190" s="169" t="n">
        <v>2.5</v>
      </c>
      <c r="BG190" s="169" t="n">
        <v>1.3</v>
      </c>
      <c r="BH190" s="170">
        <f>N(BF190)+N(BG190)</f>
        <v/>
      </c>
      <c r="BI190" s="169" t="n">
        <v>5.9</v>
      </c>
      <c r="BJ190" s="169" t="n">
        <v>3.7</v>
      </c>
      <c r="BK190" s="169" t="n">
        <v>13.4</v>
      </c>
      <c r="BL190" s="169" t="n">
        <v>0</v>
      </c>
      <c r="BM190" s="169" t="n">
        <v>0</v>
      </c>
      <c r="BN190" s="170">
        <f>N(BL190)+N(BM190)</f>
        <v/>
      </c>
      <c r="BO190" s="169" t="n">
        <v>0</v>
      </c>
      <c r="BP190" s="169" t="n">
        <v>0</v>
      </c>
      <c r="BQ190" s="169" t="n">
        <v>0</v>
      </c>
      <c r="BR190" s="169" t="n">
        <v>0</v>
      </c>
      <c r="BS190" s="169" t="n">
        <v>0</v>
      </c>
      <c r="BT190" s="170">
        <f>N(BR190)+N(BS190)</f>
        <v/>
      </c>
      <c r="BU190" s="169" t="n">
        <v>0</v>
      </c>
      <c r="BV190" s="169" t="n">
        <v>0</v>
      </c>
      <c r="BW190" s="169" t="n">
        <v>0</v>
      </c>
      <c r="BX190" s="169" t="n">
        <v>0</v>
      </c>
      <c r="BY190" s="169" t="n">
        <v>0</v>
      </c>
      <c r="BZ190" s="170">
        <f>N(BX190)+N(BY190)</f>
        <v/>
      </c>
      <c r="CA190" s="169" t="n">
        <v>0</v>
      </c>
      <c r="CB190" s="169" t="n">
        <v>0</v>
      </c>
      <c r="CC190" s="169" t="n">
        <v>0</v>
      </c>
      <c r="CD190" s="169" t="n">
        <v>0</v>
      </c>
      <c r="CE190" s="169" t="n">
        <v>0</v>
      </c>
      <c r="CF190" s="170">
        <f>N(CD190)+N(CE190)</f>
        <v/>
      </c>
      <c r="CG190" s="169" t="n">
        <v>0</v>
      </c>
      <c r="CH190" s="169" t="n">
        <v>0</v>
      </c>
      <c r="CI190" s="169" t="n">
        <v>0</v>
      </c>
      <c r="CJ190" s="169" t="n">
        <v>0</v>
      </c>
      <c r="CK190" s="169" t="n">
        <v>0</v>
      </c>
      <c r="CL190" s="170">
        <f>N(CJ190)+N(CK190)</f>
        <v/>
      </c>
      <c r="CM190" s="183" t="n">
        <v>0</v>
      </c>
      <c r="CN190" s="183" t="n">
        <v>0</v>
      </c>
      <c r="CO190" s="171">
        <f>SUM(CJ190,CK190,CM190,CN190)</f>
        <v/>
      </c>
      <c r="CP190" s="183" t="n">
        <v>0</v>
      </c>
      <c r="CQ190" s="183" t="n">
        <v>0</v>
      </c>
      <c r="CR190" s="183" t="n">
        <v>0</v>
      </c>
      <c r="CS190" s="183" t="n">
        <v>0</v>
      </c>
      <c r="CT190" s="22" t="n"/>
      <c r="CV190" s="23" t="n"/>
      <c r="CW190" s="23" t="n"/>
      <c r="CX190" s="23" t="n"/>
      <c r="CY190" s="23" t="n"/>
    </row>
    <row r="191" ht="15" customHeight="1">
      <c r="B191" s="12" t="inlineStr">
        <is>
          <t xml:space="preserve">  Total adjusting items</t>
        </is>
      </c>
      <c r="C191" s="170">
        <f>SUM(C182:C190)</f>
        <v/>
      </c>
      <c r="D191" s="170">
        <f>SUM(D182:D190)</f>
        <v/>
      </c>
      <c r="E191" s="170">
        <f>SUM(E182:E190)</f>
        <v/>
      </c>
      <c r="F191" s="170">
        <f>SUM(F182:F190)</f>
        <v/>
      </c>
      <c r="G191" s="170">
        <f>SUM(G182:G190)</f>
        <v/>
      </c>
      <c r="H191" s="170">
        <f>SUM(H182:H190)</f>
        <v/>
      </c>
      <c r="I191" s="170">
        <f>SUM(I182:I190)</f>
        <v/>
      </c>
      <c r="J191" s="170">
        <f>SUM(J182:J190)</f>
        <v/>
      </c>
      <c r="K191" s="170">
        <f>SUM(K182:K190)</f>
        <v/>
      </c>
      <c r="L191" s="170">
        <f>SUM(L182:L190)</f>
        <v/>
      </c>
      <c r="M191" s="170">
        <f>SUM(M182:M190)</f>
        <v/>
      </c>
      <c r="N191" s="170">
        <f>SUM(N182:N190)</f>
        <v/>
      </c>
      <c r="O191" s="170">
        <f>SUM(O182:O190)</f>
        <v/>
      </c>
      <c r="P191" s="170">
        <f>SUM(P182:P190)</f>
        <v/>
      </c>
      <c r="Q191" s="170">
        <f>SUM(Q182:Q190)</f>
        <v/>
      </c>
      <c r="R191" s="170">
        <f>SUM(R182:R190)</f>
        <v/>
      </c>
      <c r="S191" s="170">
        <f>SUM(S182:S190)</f>
        <v/>
      </c>
      <c r="T191" s="170">
        <f>SUM(T182:T190)</f>
        <v/>
      </c>
      <c r="U191" s="170">
        <f>SUM(U182:U190)</f>
        <v/>
      </c>
      <c r="V191" s="170">
        <f>SUM(V182:V190)</f>
        <v/>
      </c>
      <c r="W191" s="170">
        <f>SUM(W182:W190)</f>
        <v/>
      </c>
      <c r="X191" s="170">
        <f>SUM(X182:X190)</f>
        <v/>
      </c>
      <c r="Y191" s="170">
        <f>SUM(Y182:Y190)</f>
        <v/>
      </c>
      <c r="Z191" s="170">
        <f>SUM(Z182:Z190)</f>
        <v/>
      </c>
      <c r="AA191" s="170">
        <f>SUM(AA182:AA190)</f>
        <v/>
      </c>
      <c r="AB191" s="170">
        <f>SUM(AB182:AB190)</f>
        <v/>
      </c>
      <c r="AC191" s="170">
        <f>SUM(AC182:AC190)</f>
        <v/>
      </c>
      <c r="AD191" s="170">
        <f>SUM(AD182:AD190)</f>
        <v/>
      </c>
      <c r="AE191" s="170">
        <f>SUM(AE182:AE190)</f>
        <v/>
      </c>
      <c r="AF191" s="170">
        <f>SUM(AF182:AF190)</f>
        <v/>
      </c>
      <c r="AG191" s="170">
        <f>SUM(AG182:AG190)</f>
        <v/>
      </c>
      <c r="AH191" s="170">
        <f>SUM(AH182:AH190)</f>
        <v/>
      </c>
      <c r="AI191" s="170">
        <f>SUM(AI182:AI190)</f>
        <v/>
      </c>
      <c r="AJ191" s="170">
        <f>SUM(AJ182:AJ190)</f>
        <v/>
      </c>
      <c r="AK191" s="170">
        <f>SUM(AK182:AK190)</f>
        <v/>
      </c>
      <c r="AL191" s="170">
        <f>SUM(AL182:AL190)</f>
        <v/>
      </c>
      <c r="AM191" s="170">
        <f>SUM(AM182:AM190)</f>
        <v/>
      </c>
      <c r="AN191" s="170">
        <f>SUM(AN182:AN190)</f>
        <v/>
      </c>
      <c r="AO191" s="170">
        <f>SUM(AO182:AO190)</f>
        <v/>
      </c>
      <c r="AP191" s="170">
        <f>SUM(AP182:AP190)</f>
        <v/>
      </c>
      <c r="AQ191" s="170">
        <f>SUM(AQ182:AQ190)</f>
        <v/>
      </c>
      <c r="AR191" s="170">
        <f>SUM(AR182:AR190)</f>
        <v/>
      </c>
      <c r="AS191" s="170">
        <f>SUM(AS182:AS190)</f>
        <v/>
      </c>
      <c r="AT191" s="170">
        <f>SUM(AT182:AT190)</f>
        <v/>
      </c>
      <c r="AU191" s="170">
        <f>SUM(AU182:AU190)</f>
        <v/>
      </c>
      <c r="AV191" s="170">
        <f>SUM(AV182:AV190)</f>
        <v/>
      </c>
      <c r="AW191" s="170">
        <f>SUM(AW182:AW190)</f>
        <v/>
      </c>
      <c r="AX191" s="170">
        <f>SUM(AX182:AX190)</f>
        <v/>
      </c>
      <c r="AY191" s="170">
        <f>SUM(AY182:AY190)</f>
        <v/>
      </c>
      <c r="AZ191" s="170">
        <f>SUM(AZ182:AZ190)</f>
        <v/>
      </c>
      <c r="BA191" s="170">
        <f>SUM(BA182:BA190)</f>
        <v/>
      </c>
      <c r="BB191" s="170">
        <f>SUM(BB182:BB190)</f>
        <v/>
      </c>
      <c r="BC191" s="170">
        <f>SUM(BC182:BC190)</f>
        <v/>
      </c>
      <c r="BD191" s="170">
        <f>SUM(BD182:BD190)</f>
        <v/>
      </c>
      <c r="BE191" s="170">
        <f>SUM(BE182:BE190)</f>
        <v/>
      </c>
      <c r="BF191" s="170">
        <f>SUM(BF182:BF190)</f>
        <v/>
      </c>
      <c r="BG191" s="170">
        <f>SUM(BG182:BG190)</f>
        <v/>
      </c>
      <c r="BH191" s="170">
        <f>SUM(BH182:BH190)</f>
        <v/>
      </c>
      <c r="BI191" s="170">
        <f>SUM(BI182:BI190)</f>
        <v/>
      </c>
      <c r="BJ191" s="170">
        <f>SUM(BJ182:BJ190)</f>
        <v/>
      </c>
      <c r="BK191" s="170">
        <f>SUM(BK182:BK190)</f>
        <v/>
      </c>
      <c r="BL191" s="170">
        <f>SUM(BL182:BL190)</f>
        <v/>
      </c>
      <c r="BM191" s="170">
        <f>SUM(BM182:BM190)</f>
        <v/>
      </c>
      <c r="BN191" s="170">
        <f>SUM(BN182:BN190)</f>
        <v/>
      </c>
      <c r="BO191" s="170">
        <f>SUM(BO182:BO190)</f>
        <v/>
      </c>
      <c r="BP191" s="170">
        <f>SUM(BP182:BP190)</f>
        <v/>
      </c>
      <c r="BQ191" s="170">
        <f>SUM(BQ182:BQ190)</f>
        <v/>
      </c>
      <c r="BR191" s="170">
        <f>SUM(BR182:BR190)</f>
        <v/>
      </c>
      <c r="BS191" s="170">
        <f>SUM(BS182:BS190)</f>
        <v/>
      </c>
      <c r="BT191" s="170">
        <f>SUM(BT182:BT190)</f>
        <v/>
      </c>
      <c r="BU191" s="170">
        <f>SUM(BU182:BU190)</f>
        <v/>
      </c>
      <c r="BV191" s="170">
        <f>SUM(BV182:BV190)</f>
        <v/>
      </c>
      <c r="BW191" s="170">
        <f>SUM(BW182:BW190)</f>
        <v/>
      </c>
      <c r="BX191" s="170">
        <f>SUM(BX182:BX190)</f>
        <v/>
      </c>
      <c r="BY191" s="170">
        <f>SUM(BY182:BY190)</f>
        <v/>
      </c>
      <c r="BZ191" s="170">
        <f>SUM(BZ182:BZ190)</f>
        <v/>
      </c>
      <c r="CA191" s="170">
        <f>SUM(CA182:CA190)</f>
        <v/>
      </c>
      <c r="CB191" s="170">
        <f>SUM(CB182:CB190)</f>
        <v/>
      </c>
      <c r="CC191" s="170">
        <f>SUM(CC182:CC190)</f>
        <v/>
      </c>
      <c r="CD191" s="170">
        <f>SUM(CD182:CD190)</f>
        <v/>
      </c>
      <c r="CE191" s="170">
        <f>SUM(CE182:CE190)</f>
        <v/>
      </c>
      <c r="CF191" s="170">
        <f>SUM(CF182:CF190)</f>
        <v/>
      </c>
      <c r="CG191" s="170">
        <f>SUM(CG182:CG190)</f>
        <v/>
      </c>
      <c r="CH191" s="170">
        <f>SUM(CH182:CH190)</f>
        <v/>
      </c>
      <c r="CI191" s="170">
        <f>SUM(CI182:CI190)</f>
        <v/>
      </c>
      <c r="CJ191" s="170">
        <f>SUM(CJ182:CJ190)</f>
        <v/>
      </c>
      <c r="CK191" s="170">
        <f>SUM(CK182:CK190)</f>
        <v/>
      </c>
      <c r="CL191" s="170">
        <f>SUM(CL182:CL190)</f>
        <v/>
      </c>
      <c r="CM191" s="171">
        <f>SUM(CM182:CM190)</f>
        <v/>
      </c>
      <c r="CN191" s="171">
        <f>SUM(CN182:CN190)</f>
        <v/>
      </c>
      <c r="CO191" s="171">
        <f>SUM(CO182:CO190)</f>
        <v/>
      </c>
      <c r="CP191" s="171">
        <f>SUM(CP182:CP190)</f>
        <v/>
      </c>
      <c r="CQ191" s="171">
        <f>SUM(CQ182:CQ190)</f>
        <v/>
      </c>
      <c r="CR191" s="171">
        <f>SUM(CR182:CR190)</f>
        <v/>
      </c>
      <c r="CS191" s="171">
        <f>SUM(CS182:CS190)</f>
        <v/>
      </c>
      <c r="CT191" s="22" t="n"/>
      <c r="CV191" s="23" t="n"/>
      <c r="CW191" s="23" t="n"/>
      <c r="CX191" s="23" t="n"/>
      <c r="CY191" s="23" t="n"/>
    </row>
    <row r="192" ht="15" customHeight="1">
      <c r="B192" s="33" t="inlineStr">
        <is>
          <t xml:space="preserve">  = Adjusted EBITDA (model bridge)</t>
        </is>
      </c>
      <c r="C192" s="175">
        <f>IF(ISNUMBER(C194),C179+C191,"")</f>
        <v/>
      </c>
      <c r="D192" s="175">
        <f>IF(ISNUMBER(D194),D179+D191,"")</f>
        <v/>
      </c>
      <c r="E192" s="175">
        <f>IF(ISNUMBER(E194),E179+E191,"")</f>
        <v/>
      </c>
      <c r="F192" s="175">
        <f>IF(ISNUMBER(F194),F179+F191,"")</f>
        <v/>
      </c>
      <c r="G192" s="175">
        <f>IF(ISNUMBER(G194),G179+G191,"")</f>
        <v/>
      </c>
      <c r="H192" s="175">
        <f>IF(ISNUMBER(H194),H179+H191,"")</f>
        <v/>
      </c>
      <c r="I192" s="175">
        <f>IF(ISNUMBER(I194),I179+I191,"")</f>
        <v/>
      </c>
      <c r="J192" s="173">
        <f>IF(ISNUMBER(J194),J179+J191,"")</f>
        <v/>
      </c>
      <c r="K192" s="173">
        <f>IF(ISNUMBER(K194),K179+K191,"")</f>
        <v/>
      </c>
      <c r="L192" s="173">
        <f>IF(ISNUMBER(L194),L179+L191,"")</f>
        <v/>
      </c>
      <c r="M192" s="173">
        <f>IF(ISNUMBER(M194),M179+M191,"")</f>
        <v/>
      </c>
      <c r="N192" s="173">
        <f>IF(ISNUMBER(N194),N179+N191,"")</f>
        <v/>
      </c>
      <c r="O192" s="175">
        <f>IF(ISNUMBER(O194),O179+O191,"")</f>
        <v/>
      </c>
      <c r="P192" s="173">
        <f>IF(ISNUMBER(P194),P179+P191,"")</f>
        <v/>
      </c>
      <c r="Q192" s="173">
        <f>IF(ISNUMBER(Q194),Q179+Q191,"")</f>
        <v/>
      </c>
      <c r="R192" s="173">
        <f>IF(ISNUMBER(R194),R179+R191,"")</f>
        <v/>
      </c>
      <c r="S192" s="173">
        <f>IF(ISNUMBER(S194),S179+S191,"")</f>
        <v/>
      </c>
      <c r="T192" s="173">
        <f>IF(ISNUMBER(T194),T179+T191,"")</f>
        <v/>
      </c>
      <c r="U192" s="175">
        <f>IF(ISNUMBER(U194),U179+U191,"")</f>
        <v/>
      </c>
      <c r="V192" s="173">
        <f>IF(ISNUMBER(V194),V179+V191,"")</f>
        <v/>
      </c>
      <c r="W192" s="173">
        <f>IF(ISNUMBER(W194),W179+W191,"")</f>
        <v/>
      </c>
      <c r="X192" s="173">
        <f>IF(ISNUMBER(X194),X179+X191,"")</f>
        <v/>
      </c>
      <c r="Y192" s="173">
        <f>IF(ISNUMBER(Y194),Y179+Y191,"")</f>
        <v/>
      </c>
      <c r="Z192" s="173">
        <f>IF(ISNUMBER(Z194),Z179+Z191,"")</f>
        <v/>
      </c>
      <c r="AA192" s="175">
        <f>IF(ISNUMBER(AA194),AA179+AA191,"")</f>
        <v/>
      </c>
      <c r="AB192" s="173">
        <f>IF(ISNUMBER(AB194),AB179+AB191,"")</f>
        <v/>
      </c>
      <c r="AC192" s="173">
        <f>IF(ISNUMBER(AC194),AC179+AC191,"")</f>
        <v/>
      </c>
      <c r="AD192" s="173">
        <f>IF(ISNUMBER(AD194),AD179+AD191,"")</f>
        <v/>
      </c>
      <c r="AE192" s="173">
        <f>IF(ISNUMBER(AE194),AE179+AE191,"")</f>
        <v/>
      </c>
      <c r="AF192" s="173">
        <f>IF(ISNUMBER(AF194),AF179+AF191,"")</f>
        <v/>
      </c>
      <c r="AG192" s="175">
        <f>IF(ISNUMBER(AG194),AG179+AG191,"")</f>
        <v/>
      </c>
      <c r="AH192" s="173">
        <f>IF(ISNUMBER(AH194),AH179+AH191,"")</f>
        <v/>
      </c>
      <c r="AI192" s="173">
        <f>IF(ISNUMBER(AI194),AI179+AI191,"")</f>
        <v/>
      </c>
      <c r="AJ192" s="173">
        <f>IF(ISNUMBER(AJ194),AJ179+AJ191,"")</f>
        <v/>
      </c>
      <c r="AK192" s="173">
        <f>IF(ISNUMBER(AK194),AK179+AK191,"")</f>
        <v/>
      </c>
      <c r="AL192" s="173">
        <f>IF(ISNUMBER(AL194),AL179+AL191,"")</f>
        <v/>
      </c>
      <c r="AM192" s="175">
        <f>IF(ISNUMBER(AM194),AM179+AM191,"")</f>
        <v/>
      </c>
      <c r="AN192" s="173">
        <f>IF(ISNUMBER(AN194),AN179+AN191,"")</f>
        <v/>
      </c>
      <c r="AO192" s="173">
        <f>IF(ISNUMBER(AO194),AO179+AO191,"")</f>
        <v/>
      </c>
      <c r="AP192" s="173">
        <f>IF(ISNUMBER(AP194),AP179+AP191,"")</f>
        <v/>
      </c>
      <c r="AQ192" s="173">
        <f>IF(ISNUMBER(AQ194),AQ179+AQ191,"")</f>
        <v/>
      </c>
      <c r="AR192" s="173">
        <f>IF(ISNUMBER(AR194),AR179+AR191,"")</f>
        <v/>
      </c>
      <c r="AS192" s="175">
        <f>IF(ISNUMBER(AS194),AS179+AS191,"")</f>
        <v/>
      </c>
      <c r="AT192" s="173">
        <f>IF(ISNUMBER(AT194),AT179+AT191,"")</f>
        <v/>
      </c>
      <c r="AU192" s="173">
        <f>IF(ISNUMBER(AU194),AU179+AU191,"")</f>
        <v/>
      </c>
      <c r="AV192" s="173">
        <f>IF(ISNUMBER(AV194),AV179+AV191,"")</f>
        <v/>
      </c>
      <c r="AW192" s="173">
        <f>IF(ISNUMBER(AW194),AW179+AW191,"")</f>
        <v/>
      </c>
      <c r="AX192" s="173">
        <f>IF(ISNUMBER(AX194),AX179+AX191,"")</f>
        <v/>
      </c>
      <c r="AY192" s="175">
        <f>IF(ISNUMBER(AY194),AY179+AY191,"")</f>
        <v/>
      </c>
      <c r="AZ192" s="173">
        <f>IF(ISNUMBER(AZ194),AZ179+AZ191,"")</f>
        <v/>
      </c>
      <c r="BA192" s="173">
        <f>IF(ISNUMBER(BA194),BA179+BA191,"")</f>
        <v/>
      </c>
      <c r="BB192" s="173">
        <f>IF(ISNUMBER(BB194),BB179+BB191,"")</f>
        <v/>
      </c>
      <c r="BC192" s="173">
        <f>IF(ISNUMBER(BC194),BC179+BC191,"")</f>
        <v/>
      </c>
      <c r="BD192" s="173">
        <f>IF(ISNUMBER(BD194),BD179+BD191,"")</f>
        <v/>
      </c>
      <c r="BE192" s="175">
        <f>IF(ISNUMBER(BE194),BE179+BE191,"")</f>
        <v/>
      </c>
      <c r="BF192" s="173">
        <f>IF(ISNUMBER(BF194),BF179+BF191,"")</f>
        <v/>
      </c>
      <c r="BG192" s="173">
        <f>IF(ISNUMBER(BG194),BG179+BG191,"")</f>
        <v/>
      </c>
      <c r="BH192" s="173">
        <f>IF(ISNUMBER(BH194),BH179+BH191,"")</f>
        <v/>
      </c>
      <c r="BI192" s="173">
        <f>IF(ISNUMBER(BI194),BI179+BI191,"")</f>
        <v/>
      </c>
      <c r="BJ192" s="173">
        <f>IF(ISNUMBER(BJ194),BJ179+BJ191,"")</f>
        <v/>
      </c>
      <c r="BK192" s="175">
        <f>IF(ISNUMBER(BK194),BK179+BK191,"")</f>
        <v/>
      </c>
      <c r="BL192" s="173">
        <f>IF(ISNUMBER(BL194),BL179+BL191,"")</f>
        <v/>
      </c>
      <c r="BM192" s="173">
        <f>IF(ISNUMBER(BM194),BM179+BM191,"")</f>
        <v/>
      </c>
      <c r="BN192" s="173">
        <f>IF(ISNUMBER(BN194),BN179+BN191,"")</f>
        <v/>
      </c>
      <c r="BO192" s="173">
        <f>IF(ISNUMBER(BO194),BO179+BO191,"")</f>
        <v/>
      </c>
      <c r="BP192" s="173">
        <f>IF(ISNUMBER(BP194),BP179+BP191,"")</f>
        <v/>
      </c>
      <c r="BQ192" s="175">
        <f>IF(ISNUMBER(BQ194),BQ179+BQ191,"")</f>
        <v/>
      </c>
      <c r="BR192" s="173">
        <f>IF(ISNUMBER(BR194),BR179+BR191,"")</f>
        <v/>
      </c>
      <c r="BS192" s="173">
        <f>IF(ISNUMBER(BS194),BS179+BS191,"")</f>
        <v/>
      </c>
      <c r="BT192" s="173">
        <f>IF(ISNUMBER(BT194),BT179+BT191,"")</f>
        <v/>
      </c>
      <c r="BU192" s="173">
        <f>IF(ISNUMBER(BU194),BU179+BU191,"")</f>
        <v/>
      </c>
      <c r="BV192" s="173">
        <f>IF(ISNUMBER(BV194),BV179+BV191,"")</f>
        <v/>
      </c>
      <c r="BW192" s="175">
        <f>IF(ISNUMBER(BW194),BW179+BW191,"")</f>
        <v/>
      </c>
      <c r="BX192" s="173">
        <f>IF(ISNUMBER(BX194),BX179+BX191,"")</f>
        <v/>
      </c>
      <c r="BY192" s="173">
        <f>IF(ISNUMBER(BY194),BY179+BY191,"")</f>
        <v/>
      </c>
      <c r="BZ192" s="173">
        <f>IF(ISNUMBER(BZ194),BZ179+BZ191,"")</f>
        <v/>
      </c>
      <c r="CA192" s="173">
        <f>IF(ISNUMBER(CA194),CA179+CA191,"")</f>
        <v/>
      </c>
      <c r="CB192" s="173">
        <f>IF(ISNUMBER(CB194),CB179+CB191,"")</f>
        <v/>
      </c>
      <c r="CC192" s="175">
        <f>IF(ISNUMBER(CC194),CC179+CC191,"")</f>
        <v/>
      </c>
      <c r="CD192" s="173">
        <f>IF(ISNUMBER(CD194),CD179+CD191,"")</f>
        <v/>
      </c>
      <c r="CE192" s="173">
        <f>IF(ISNUMBER(CE194),CE179+CE191,"")</f>
        <v/>
      </c>
      <c r="CF192" s="173">
        <f>IF(ISNUMBER(CF194),CF179+CF191,"")</f>
        <v/>
      </c>
      <c r="CG192" s="173">
        <f>IF(ISNUMBER(CG194),CG179+CG191,"")</f>
        <v/>
      </c>
      <c r="CH192" s="173">
        <f>IF(ISNUMBER(CH194),CH179+CH191,"")</f>
        <v/>
      </c>
      <c r="CI192" s="175">
        <f>IF(ISNUMBER(CI194),CI179+CI191,"")</f>
        <v/>
      </c>
      <c r="CJ192" s="173">
        <f>IF(ISNUMBER(CJ194),CJ179+CJ191,"")</f>
        <v/>
      </c>
      <c r="CK192" s="173">
        <f>IF(ISNUMBER(CK194),CK179+CK191,"")</f>
        <v/>
      </c>
      <c r="CL192" s="173">
        <f>IF(ISNUMBER(CL194),CL179+CL191,"")</f>
        <v/>
      </c>
      <c r="CM192" s="175">
        <f>CM179+CM191</f>
        <v/>
      </c>
      <c r="CN192" s="175">
        <f>CN179+CN191</f>
        <v/>
      </c>
      <c r="CO192" s="175">
        <f>SUM(CJ192,CK192,CM192,CN192)</f>
        <v/>
      </c>
      <c r="CP192" s="175">
        <f>CP179+CP191</f>
        <v/>
      </c>
      <c r="CQ192" s="175">
        <f>CQ179+CQ191</f>
        <v/>
      </c>
      <c r="CR192" s="175">
        <f>CR179+CR191</f>
        <v/>
      </c>
      <c r="CS192" s="175">
        <f>CS179+CS191</f>
        <v/>
      </c>
      <c r="CT192" s="22" t="inlineStr">
        <is>
          <t>Historical shown only where Vulcan published Adjusted EBITDA (EBITDA only before the adjusted measure).</t>
        </is>
      </c>
      <c r="CV192" s="23">
        <f>IFERROR((CS192/CI192)^(1/5)-1,"n/m")</f>
        <v/>
      </c>
      <c r="CW192" s="23">
        <f>IFERROR((CI192/BE192)^(1/5)-1,"n/m")</f>
        <v/>
      </c>
      <c r="CX192" s="23">
        <f>IFERROR((CI192/AA192)^(1/10)-1,"n/m")</f>
        <v/>
      </c>
      <c r="CY192" s="23">
        <f>IFERROR((CI192/C192)^(1/19)-1,"n/m")</f>
        <v/>
      </c>
    </row>
    <row r="193" ht="15" customHeight="1">
      <c r="B193" s="25" t="inlineStr">
        <is>
          <t xml:space="preserve">  Adjusted EBITDA margin %</t>
        </is>
      </c>
      <c r="C193" s="179">
        <f>IFERROR(C192/C138,"")</f>
        <v/>
      </c>
      <c r="D193" s="179">
        <f>IFERROR(D192/D138,"")</f>
        <v/>
      </c>
      <c r="E193" s="179">
        <f>IFERROR(E192/E138,"")</f>
        <v/>
      </c>
      <c r="F193" s="179">
        <f>IFERROR(F192/F138,"")</f>
        <v/>
      </c>
      <c r="G193" s="179">
        <f>IFERROR(G192/G138,"")</f>
        <v/>
      </c>
      <c r="H193" s="179">
        <f>IFERROR(H192/H138,"")</f>
        <v/>
      </c>
      <c r="I193" s="179">
        <f>IFERROR(I192/I138,"")</f>
        <v/>
      </c>
      <c r="J193" s="179">
        <f>IFERROR(J192/J138,"")</f>
        <v/>
      </c>
      <c r="K193" s="179">
        <f>IFERROR(K192/K138,"")</f>
        <v/>
      </c>
      <c r="L193" s="179">
        <f>IFERROR(L192/L138,"")</f>
        <v/>
      </c>
      <c r="M193" s="179">
        <f>IFERROR(M192/M138,"")</f>
        <v/>
      </c>
      <c r="N193" s="179">
        <f>IFERROR(N192/N138,"")</f>
        <v/>
      </c>
      <c r="O193" s="179">
        <f>IFERROR(O192/O138,"")</f>
        <v/>
      </c>
      <c r="P193" s="179">
        <f>IFERROR(P192/P138,"")</f>
        <v/>
      </c>
      <c r="Q193" s="179">
        <f>IFERROR(Q192/Q138,"")</f>
        <v/>
      </c>
      <c r="R193" s="179">
        <f>IFERROR(R192/R138,"")</f>
        <v/>
      </c>
      <c r="S193" s="179">
        <f>IFERROR(S192/S138,"")</f>
        <v/>
      </c>
      <c r="T193" s="179">
        <f>IFERROR(T192/T138,"")</f>
        <v/>
      </c>
      <c r="U193" s="179">
        <f>IFERROR(U192/U138,"")</f>
        <v/>
      </c>
      <c r="V193" s="179">
        <f>IFERROR(V192/V138,"")</f>
        <v/>
      </c>
      <c r="W193" s="179">
        <f>IFERROR(W192/W138,"")</f>
        <v/>
      </c>
      <c r="X193" s="179">
        <f>IFERROR(X192/X138,"")</f>
        <v/>
      </c>
      <c r="Y193" s="179">
        <f>IFERROR(Y192/Y138,"")</f>
        <v/>
      </c>
      <c r="Z193" s="179">
        <f>IFERROR(Z192/Z138,"")</f>
        <v/>
      </c>
      <c r="AA193" s="179">
        <f>IFERROR(AA192/AA138,"")</f>
        <v/>
      </c>
      <c r="AB193" s="179">
        <f>IFERROR(AB192/AB138,"")</f>
        <v/>
      </c>
      <c r="AC193" s="179">
        <f>IFERROR(AC192/AC138,"")</f>
        <v/>
      </c>
      <c r="AD193" s="179">
        <f>IFERROR(AD192/AD138,"")</f>
        <v/>
      </c>
      <c r="AE193" s="179">
        <f>IFERROR(AE192/AE138,"")</f>
        <v/>
      </c>
      <c r="AF193" s="179">
        <f>IFERROR(AF192/AF138,"")</f>
        <v/>
      </c>
      <c r="AG193" s="179">
        <f>IFERROR(AG192/AG138,"")</f>
        <v/>
      </c>
      <c r="AH193" s="179">
        <f>IFERROR(AH192/AH138,"")</f>
        <v/>
      </c>
      <c r="AI193" s="179">
        <f>IFERROR(AI192/AI138,"")</f>
        <v/>
      </c>
      <c r="AJ193" s="179">
        <f>IFERROR(AJ192/AJ138,"")</f>
        <v/>
      </c>
      <c r="AK193" s="179">
        <f>IFERROR(AK192/AK138,"")</f>
        <v/>
      </c>
      <c r="AL193" s="179">
        <f>IFERROR(AL192/AL138,"")</f>
        <v/>
      </c>
      <c r="AM193" s="179">
        <f>IFERROR(AM192/AM138,"")</f>
        <v/>
      </c>
      <c r="AN193" s="179">
        <f>IFERROR(AN192/AN138,"")</f>
        <v/>
      </c>
      <c r="AO193" s="179">
        <f>IFERROR(AO192/AO138,"")</f>
        <v/>
      </c>
      <c r="AP193" s="179">
        <f>IFERROR(AP192/AP138,"")</f>
        <v/>
      </c>
      <c r="AQ193" s="179">
        <f>IFERROR(AQ192/AQ138,"")</f>
        <v/>
      </c>
      <c r="AR193" s="179">
        <f>IFERROR(AR192/AR138,"")</f>
        <v/>
      </c>
      <c r="AS193" s="179">
        <f>IFERROR(AS192/AS138,"")</f>
        <v/>
      </c>
      <c r="AT193" s="179">
        <f>IFERROR(AT192/AT138,"")</f>
        <v/>
      </c>
      <c r="AU193" s="179">
        <f>IFERROR(AU192/AU138,"")</f>
        <v/>
      </c>
      <c r="AV193" s="179">
        <f>IFERROR(AV192/AV138,"")</f>
        <v/>
      </c>
      <c r="AW193" s="179">
        <f>IFERROR(AW192/AW138,"")</f>
        <v/>
      </c>
      <c r="AX193" s="179">
        <f>IFERROR(AX192/AX138,"")</f>
        <v/>
      </c>
      <c r="AY193" s="179">
        <f>IFERROR(AY192/AY138,"")</f>
        <v/>
      </c>
      <c r="AZ193" s="179">
        <f>IFERROR(AZ192/AZ138,"")</f>
        <v/>
      </c>
      <c r="BA193" s="179">
        <f>IFERROR(BA192/BA138,"")</f>
        <v/>
      </c>
      <c r="BB193" s="179">
        <f>IFERROR(BB192/BB138,"")</f>
        <v/>
      </c>
      <c r="BC193" s="179">
        <f>IFERROR(BC192/BC138,"")</f>
        <v/>
      </c>
      <c r="BD193" s="179">
        <f>IFERROR(BD192/BD138,"")</f>
        <v/>
      </c>
      <c r="BE193" s="179">
        <f>IFERROR(BE192/BE138,"")</f>
        <v/>
      </c>
      <c r="BF193" s="179">
        <f>IFERROR(BF192/BF138,"")</f>
        <v/>
      </c>
      <c r="BG193" s="179">
        <f>IFERROR(BG192/BG138,"")</f>
        <v/>
      </c>
      <c r="BH193" s="179">
        <f>IFERROR(BH192/BH138,"")</f>
        <v/>
      </c>
      <c r="BI193" s="179">
        <f>IFERROR(BI192/BI138,"")</f>
        <v/>
      </c>
      <c r="BJ193" s="179">
        <f>IFERROR(BJ192/BJ138,"")</f>
        <v/>
      </c>
      <c r="BK193" s="179">
        <f>IFERROR(BK192/BK138,"")</f>
        <v/>
      </c>
      <c r="BL193" s="179">
        <f>IFERROR(BL192/BL138,"")</f>
        <v/>
      </c>
      <c r="BM193" s="179">
        <f>IFERROR(BM192/BM138,"")</f>
        <v/>
      </c>
      <c r="BN193" s="179">
        <f>IFERROR(BN192/BN138,"")</f>
        <v/>
      </c>
      <c r="BO193" s="179">
        <f>IFERROR(BO192/BO138,"")</f>
        <v/>
      </c>
      <c r="BP193" s="179">
        <f>IFERROR(BP192/BP138,"")</f>
        <v/>
      </c>
      <c r="BQ193" s="179">
        <f>IFERROR(BQ192/BQ138,"")</f>
        <v/>
      </c>
      <c r="BR193" s="179">
        <f>IFERROR(BR192/BR138,"")</f>
        <v/>
      </c>
      <c r="BS193" s="179">
        <f>IFERROR(BS192/BS138,"")</f>
        <v/>
      </c>
      <c r="BT193" s="179">
        <f>IFERROR(BT192/BT138,"")</f>
        <v/>
      </c>
      <c r="BU193" s="179">
        <f>IFERROR(BU192/BU138,"")</f>
        <v/>
      </c>
      <c r="BV193" s="179">
        <f>IFERROR(BV192/BV138,"")</f>
        <v/>
      </c>
      <c r="BW193" s="179">
        <f>IFERROR(BW192/BW138,"")</f>
        <v/>
      </c>
      <c r="BX193" s="179">
        <f>IFERROR(BX192/BX138,"")</f>
        <v/>
      </c>
      <c r="BY193" s="179">
        <f>IFERROR(BY192/BY138,"")</f>
        <v/>
      </c>
      <c r="BZ193" s="179">
        <f>IFERROR(BZ192/BZ138,"")</f>
        <v/>
      </c>
      <c r="CA193" s="179">
        <f>IFERROR(CA192/CA138,"")</f>
        <v/>
      </c>
      <c r="CB193" s="179">
        <f>IFERROR(CB192/CB138,"")</f>
        <v/>
      </c>
      <c r="CC193" s="179">
        <f>IFERROR(CC192/CC138,"")</f>
        <v/>
      </c>
      <c r="CD193" s="179">
        <f>IFERROR(CD192/CD138,"")</f>
        <v/>
      </c>
      <c r="CE193" s="179">
        <f>IFERROR(CE192/CE138,"")</f>
        <v/>
      </c>
      <c r="CF193" s="179">
        <f>IFERROR(CF192/CF138,"")</f>
        <v/>
      </c>
      <c r="CG193" s="179">
        <f>IFERROR(CG192/CG138,"")</f>
        <v/>
      </c>
      <c r="CH193" s="179">
        <f>IFERROR(CH192/CH138,"")</f>
        <v/>
      </c>
      <c r="CI193" s="179">
        <f>IFERROR(CI192/CI138,"")</f>
        <v/>
      </c>
      <c r="CJ193" s="179">
        <f>IFERROR(CJ192/CJ138,"")</f>
        <v/>
      </c>
      <c r="CK193" s="179">
        <f>IFERROR(CK192/CK138,"")</f>
        <v/>
      </c>
      <c r="CL193" s="179">
        <f>IFERROR(CL192/CL138,"")</f>
        <v/>
      </c>
      <c r="CM193" s="165">
        <f>IFERROR(CM192/CM138,"")</f>
        <v/>
      </c>
      <c r="CN193" s="165">
        <f>IFERROR(CN192/CN138,"")</f>
        <v/>
      </c>
      <c r="CO193" s="165">
        <f>IFERROR(CO192/CO138,"")</f>
        <v/>
      </c>
      <c r="CP193" s="165">
        <f>IFERROR(CP192/CP138,"")</f>
        <v/>
      </c>
      <c r="CQ193" s="165">
        <f>IFERROR(CQ192/CQ138,"")</f>
        <v/>
      </c>
      <c r="CR193" s="165">
        <f>IFERROR(CR192/CR138,"")</f>
        <v/>
      </c>
      <c r="CS193" s="165">
        <f>IFERROR(CS192/CS138,"")</f>
        <v/>
      </c>
      <c r="CT193" s="22" t="n"/>
      <c r="CV193" s="40">
        <f>IFERROR(AVERAGE(CO193,CP193,CQ193,CR193,CS193),"n/m")</f>
        <v/>
      </c>
      <c r="CW193" s="40">
        <f>IFERROR(AVERAGE(BK193,BQ193,BW193,CC193,CI193),"n/m")</f>
        <v/>
      </c>
      <c r="CX193" s="40">
        <f>IFERROR(AVERAGE(AG193,AM193,AS193,AY193,BE193,BK193,BQ193,BW193,CC193,CI193),"n/m")</f>
        <v/>
      </c>
      <c r="CY193" s="40">
        <f>IFERROR(AVERAGE(C193,D193,E193,F193,G193,H193,I193,O193,U193,AA193,AG193,AM193,AS193,AY193,BE193,BK193,BQ193,BW193,CC193,CI193),"n/m")</f>
        <v/>
      </c>
    </row>
    <row r="194" ht="15" customHeight="1">
      <c r="B194" s="36" t="inlineStr">
        <is>
          <t xml:space="preserve">  Company-published Adjusted EBITDA</t>
        </is>
      </c>
      <c r="C194" s="29" t="n"/>
      <c r="D194" s="29" t="n"/>
      <c r="E194" s="29" t="n"/>
      <c r="F194" s="29" t="n"/>
      <c r="G194" s="29" t="n"/>
      <c r="H194" s="169" t="n">
        <v>440.4</v>
      </c>
      <c r="I194" s="169" t="n">
        <v>411.3</v>
      </c>
      <c r="J194" s="169" t="n">
        <v>26.2</v>
      </c>
      <c r="K194" s="169" t="n">
        <v>141.2</v>
      </c>
      <c r="L194" s="170">
        <f>J194+K194</f>
        <v/>
      </c>
      <c r="M194" s="169" t="n">
        <v>171.2</v>
      </c>
      <c r="N194" s="169" t="n">
        <v>129.3</v>
      </c>
      <c r="O194" s="169" t="n">
        <v>467.8</v>
      </c>
      <c r="P194" s="169" t="n">
        <v>39</v>
      </c>
      <c r="Q194" s="169" t="n">
        <v>172.8</v>
      </c>
      <c r="R194" s="170">
        <f>P194+Q194</f>
        <v/>
      </c>
      <c r="S194" s="169" t="n">
        <v>215.4</v>
      </c>
      <c r="T194" s="169" t="n">
        <v>171.9</v>
      </c>
      <c r="U194" s="169" t="n">
        <v>599.7</v>
      </c>
      <c r="V194" s="169" t="n">
        <v>76.8</v>
      </c>
      <c r="W194" s="169" t="n">
        <v>229.2</v>
      </c>
      <c r="X194" s="170">
        <f>V194+W194</f>
        <v/>
      </c>
      <c r="Y194" s="169" t="n">
        <v>281.9</v>
      </c>
      <c r="Z194" s="169" t="n">
        <v>244</v>
      </c>
      <c r="AA194" s="169" t="n">
        <v>836.3</v>
      </c>
      <c r="AB194" s="169" t="n">
        <v>155.9</v>
      </c>
      <c r="AC194" s="169" t="n">
        <v>279.8</v>
      </c>
      <c r="AD194" s="170">
        <f>AB194+AC194</f>
        <v/>
      </c>
      <c r="AE194" s="169" t="n">
        <v>301</v>
      </c>
      <c r="AF194" s="169" t="n">
        <v>230.2</v>
      </c>
      <c r="AG194" s="169" t="n">
        <v>966</v>
      </c>
      <c r="AH194" s="169" t="n">
        <v>149.3</v>
      </c>
      <c r="AI194" s="169" t="n">
        <v>287.7</v>
      </c>
      <c r="AJ194" s="170">
        <f>AH194+AI194</f>
        <v/>
      </c>
      <c r="AK194" s="169" t="n">
        <v>311.8</v>
      </c>
      <c r="AL194" s="169" t="n">
        <v>233.2</v>
      </c>
      <c r="AM194" s="169" t="n">
        <v>981.9</v>
      </c>
      <c r="AN194" s="169" t="n">
        <v>167.8</v>
      </c>
      <c r="AO194" s="169" t="n">
        <v>324.8</v>
      </c>
      <c r="AP194" s="170">
        <f>AN194+AO194</f>
        <v/>
      </c>
      <c r="AQ194" s="169" t="n">
        <v>353.5</v>
      </c>
      <c r="AR194" s="169" t="n">
        <v>285.6</v>
      </c>
      <c r="AS194" s="169" t="n">
        <v>1131.7</v>
      </c>
      <c r="AT194" s="169" t="n">
        <v>192.7</v>
      </c>
      <c r="AU194" s="169" t="n">
        <v>372</v>
      </c>
      <c r="AV194" s="170">
        <f>AT194+AU194</f>
        <v/>
      </c>
      <c r="AW194" s="169" t="n">
        <v>406.8</v>
      </c>
      <c r="AX194" s="169" t="n">
        <v>298.5</v>
      </c>
      <c r="AY194" s="169" t="n">
        <v>1270</v>
      </c>
      <c r="AZ194" s="169" t="n">
        <v>201</v>
      </c>
      <c r="BA194" s="169" t="n">
        <v>407.8</v>
      </c>
      <c r="BB194" s="170">
        <f>AZ194+BA194</f>
        <v/>
      </c>
      <c r="BC194" s="169" t="n">
        <v>403.5</v>
      </c>
      <c r="BD194" s="169" t="n">
        <v>311.2</v>
      </c>
      <c r="BE194" s="169" t="n">
        <v>1323.5</v>
      </c>
      <c r="BF194" s="169" t="n">
        <v>244.3</v>
      </c>
      <c r="BG194" s="169" t="n">
        <v>406</v>
      </c>
      <c r="BH194" s="170">
        <f>BF194+BG194</f>
        <v/>
      </c>
      <c r="BI194" s="169" t="n">
        <v>417.7</v>
      </c>
      <c r="BJ194" s="169" t="n">
        <v>383.4</v>
      </c>
      <c r="BK194" s="169" t="n">
        <v>1451.3</v>
      </c>
      <c r="BL194" s="169" t="n">
        <v>293.9</v>
      </c>
      <c r="BM194" s="169" t="n">
        <v>450.2</v>
      </c>
      <c r="BN194" s="170">
        <f>BL194+BM194</f>
        <v/>
      </c>
      <c r="BO194" s="169" t="n">
        <v>507</v>
      </c>
      <c r="BP194" s="169" t="n">
        <v>374.7</v>
      </c>
      <c r="BQ194" s="169" t="n">
        <v>1625.6</v>
      </c>
      <c r="BR194" s="169" t="n">
        <v>337.6</v>
      </c>
      <c r="BS194" s="169" t="n">
        <v>595.3</v>
      </c>
      <c r="BT194" s="170">
        <f>BR194+BS194</f>
        <v/>
      </c>
      <c r="BU194" s="169" t="n">
        <v>602.2</v>
      </c>
      <c r="BV194" s="169" t="n">
        <v>476.1</v>
      </c>
      <c r="BW194" s="169" t="n">
        <v>2011.3</v>
      </c>
      <c r="BX194" s="169" t="n">
        <v>323.5</v>
      </c>
      <c r="BY194" s="169" t="n">
        <v>603.1</v>
      </c>
      <c r="BZ194" s="170">
        <f>BX194+BY194</f>
        <v/>
      </c>
      <c r="CA194" s="169" t="n">
        <v>580.6</v>
      </c>
      <c r="CB194" s="169" t="n">
        <v>550.1</v>
      </c>
      <c r="CC194" s="169" t="n">
        <v>2057.2</v>
      </c>
      <c r="CD194" s="169" t="n">
        <v>410.9</v>
      </c>
      <c r="CE194" s="169" t="n">
        <v>659.5</v>
      </c>
      <c r="CF194" s="170">
        <f>CD194+CE194</f>
        <v/>
      </c>
      <c r="CG194" s="169" t="n">
        <v>735.2</v>
      </c>
      <c r="CH194" s="169" t="n">
        <v>518</v>
      </c>
      <c r="CI194" s="169" t="n">
        <v>2323.6</v>
      </c>
      <c r="CJ194" s="169" t="n">
        <v>447.1</v>
      </c>
      <c r="CK194" s="169" t="n">
        <v>654</v>
      </c>
      <c r="CL194" s="170">
        <f>CJ194+CK194</f>
        <v/>
      </c>
      <c r="CM194" s="31" t="n"/>
      <c r="CN194" s="31" t="n"/>
      <c r="CO194" s="31" t="n"/>
      <c r="CP194" s="31" t="n"/>
      <c r="CQ194" s="31" t="n"/>
      <c r="CR194" s="31" t="n"/>
      <c r="CS194" s="31" t="n"/>
      <c r="CT194" s="22" t="n"/>
      <c r="CV194" s="6" t="n"/>
      <c r="CW194" s="6" t="n"/>
      <c r="CX194" s="6" t="n"/>
      <c r="CY194" s="6" t="n"/>
    </row>
    <row r="195" ht="15" customHeight="1">
      <c r="B195" s="38" t="inlineStr">
        <is>
          <t xml:space="preserve">  Check: model bridge vs company-published (should be 0)</t>
        </is>
      </c>
      <c r="C195" s="176">
        <f>IF(ISNUMBER(C194),ROUND(C192-C194,1),"n/p")</f>
        <v/>
      </c>
      <c r="D195" s="176">
        <f>IF(ISNUMBER(D194),ROUND(D192-D194,1),"n/p")</f>
        <v/>
      </c>
      <c r="E195" s="176">
        <f>IF(ISNUMBER(E194),ROUND(E192-E194,1),"n/p")</f>
        <v/>
      </c>
      <c r="F195" s="176">
        <f>IF(ISNUMBER(F194),ROUND(F192-F194,1),"n/p")</f>
        <v/>
      </c>
      <c r="G195" s="176">
        <f>IF(ISNUMBER(G194),ROUND(G192-G194,1),"n/p")</f>
        <v/>
      </c>
      <c r="H195" s="176">
        <f>IF(ISNUMBER(H194),ROUND(H192-H194,1),"n/p")</f>
        <v/>
      </c>
      <c r="I195" s="176">
        <f>IF(ISNUMBER(I194),ROUND(I192-I194,1),"n/p")</f>
        <v/>
      </c>
      <c r="J195" s="176">
        <f>IF(ISNUMBER(J194),ROUND(J192-J194,1),"n/p")</f>
        <v/>
      </c>
      <c r="K195" s="176">
        <f>IF(ISNUMBER(K194),ROUND(K192-K194,1),"n/p")</f>
        <v/>
      </c>
      <c r="L195" s="176">
        <f>IF(ISNUMBER(L194),ROUND(L192-L194,1),"n/p")</f>
        <v/>
      </c>
      <c r="M195" s="176">
        <f>IF(ISNUMBER(M194),ROUND(M192-M194,1),"n/p")</f>
        <v/>
      </c>
      <c r="N195" s="176">
        <f>IF(ISNUMBER(N194),ROUND(N192-N194,1),"n/p")</f>
        <v/>
      </c>
      <c r="O195" s="176">
        <f>IF(ISNUMBER(O194),ROUND(O192-O194,1),"n/p")</f>
        <v/>
      </c>
      <c r="P195" s="176">
        <f>IF(ISNUMBER(P194),ROUND(P192-P194,1),"n/p")</f>
        <v/>
      </c>
      <c r="Q195" s="176">
        <f>IF(ISNUMBER(Q194),ROUND(Q192-Q194,1),"n/p")</f>
        <v/>
      </c>
      <c r="R195" s="176">
        <f>IF(ISNUMBER(R194),ROUND(R192-R194,1),"n/p")</f>
        <v/>
      </c>
      <c r="S195" s="176">
        <f>IF(ISNUMBER(S194),ROUND(S192-S194,1),"n/p")</f>
        <v/>
      </c>
      <c r="T195" s="176">
        <f>IF(ISNUMBER(T194),ROUND(T192-T194,1),"n/p")</f>
        <v/>
      </c>
      <c r="U195" s="176">
        <f>IF(ISNUMBER(U194),ROUND(U192-U194,1),"n/p")</f>
        <v/>
      </c>
      <c r="V195" s="176">
        <f>IF(ISNUMBER(V194),ROUND(V192-V194,1),"n/p")</f>
        <v/>
      </c>
      <c r="W195" s="176">
        <f>IF(ISNUMBER(W194),ROUND(W192-W194,1),"n/p")</f>
        <v/>
      </c>
      <c r="X195" s="176">
        <f>IF(ISNUMBER(X194),ROUND(X192-X194,1),"n/p")</f>
        <v/>
      </c>
      <c r="Y195" s="176">
        <f>IF(ISNUMBER(Y194),ROUND(Y192-Y194,1),"n/p")</f>
        <v/>
      </c>
      <c r="Z195" s="176">
        <f>IF(ISNUMBER(Z194),ROUND(Z192-Z194,1),"n/p")</f>
        <v/>
      </c>
      <c r="AA195" s="176">
        <f>IF(ISNUMBER(AA194),ROUND(AA192-AA194,1),"n/p")</f>
        <v/>
      </c>
      <c r="AB195" s="176">
        <f>IF(ISNUMBER(AB194),ROUND(AB192-AB194,1),"n/p")</f>
        <v/>
      </c>
      <c r="AC195" s="176">
        <f>IF(ISNUMBER(AC194),ROUND(AC192-AC194,1),"n/p")</f>
        <v/>
      </c>
      <c r="AD195" s="176">
        <f>IF(ISNUMBER(AD194),ROUND(AD192-AD194,1),"n/p")</f>
        <v/>
      </c>
      <c r="AE195" s="176">
        <f>IF(ISNUMBER(AE194),ROUND(AE192-AE194,1),"n/p")</f>
        <v/>
      </c>
      <c r="AF195" s="176">
        <f>IF(ISNUMBER(AF194),ROUND(AF192-AF194,1),"n/p")</f>
        <v/>
      </c>
      <c r="AG195" s="176">
        <f>IF(ISNUMBER(AG194),ROUND(AG192-AG194,1),"n/p")</f>
        <v/>
      </c>
      <c r="AH195" s="176">
        <f>IF(ISNUMBER(AH194),ROUND(AH192-AH194,1),"n/p")</f>
        <v/>
      </c>
      <c r="AI195" s="176">
        <f>IF(ISNUMBER(AI194),ROUND(AI192-AI194,1),"n/p")</f>
        <v/>
      </c>
      <c r="AJ195" s="176">
        <f>IF(ISNUMBER(AJ194),ROUND(AJ192-AJ194,1),"n/p")</f>
        <v/>
      </c>
      <c r="AK195" s="176">
        <f>IF(ISNUMBER(AK194),ROUND(AK192-AK194,1),"n/p")</f>
        <v/>
      </c>
      <c r="AL195" s="176">
        <f>IF(ISNUMBER(AL194),ROUND(AL192-AL194,1),"n/p")</f>
        <v/>
      </c>
      <c r="AM195" s="176">
        <f>IF(ISNUMBER(AM194),ROUND(AM192-AM194,1),"n/p")</f>
        <v/>
      </c>
      <c r="AN195" s="176">
        <f>IF(ISNUMBER(AN194),ROUND(AN192-AN194,1),"n/p")</f>
        <v/>
      </c>
      <c r="AO195" s="176">
        <f>IF(ISNUMBER(AO194),ROUND(AO192-AO194,1),"n/p")</f>
        <v/>
      </c>
      <c r="AP195" s="176">
        <f>IF(ISNUMBER(AP194),ROUND(AP192-AP194,1),"n/p")</f>
        <v/>
      </c>
      <c r="AQ195" s="176">
        <f>IF(ISNUMBER(AQ194),ROUND(AQ192-AQ194,1),"n/p")</f>
        <v/>
      </c>
      <c r="AR195" s="176">
        <f>IF(ISNUMBER(AR194),ROUND(AR192-AR194,1),"n/p")</f>
        <v/>
      </c>
      <c r="AS195" s="176">
        <f>IF(ISNUMBER(AS194),ROUND(AS192-AS194,1),"n/p")</f>
        <v/>
      </c>
      <c r="AT195" s="176">
        <f>IF(ISNUMBER(AT194),ROUND(AT192-AT194,1),"n/p")</f>
        <v/>
      </c>
      <c r="AU195" s="176">
        <f>IF(ISNUMBER(AU194),ROUND(AU192-AU194,1),"n/p")</f>
        <v/>
      </c>
      <c r="AV195" s="176">
        <f>IF(ISNUMBER(AV194),ROUND(AV192-AV194,1),"n/p")</f>
        <v/>
      </c>
      <c r="AW195" s="176">
        <f>IF(ISNUMBER(AW194),ROUND(AW192-AW194,1),"n/p")</f>
        <v/>
      </c>
      <c r="AX195" s="176">
        <f>IF(ISNUMBER(AX194),ROUND(AX192-AX194,1),"n/p")</f>
        <v/>
      </c>
      <c r="AY195" s="176">
        <f>IF(ISNUMBER(AY194),ROUND(AY192-AY194,1),"n/p")</f>
        <v/>
      </c>
      <c r="AZ195" s="176">
        <f>IF(ISNUMBER(AZ194),ROUND(AZ192-AZ194,1),"n/p")</f>
        <v/>
      </c>
      <c r="BA195" s="176">
        <f>IF(ISNUMBER(BA194),ROUND(BA192-BA194,1),"n/p")</f>
        <v/>
      </c>
      <c r="BB195" s="176">
        <f>IF(ISNUMBER(BB194),ROUND(BB192-BB194,1),"n/p")</f>
        <v/>
      </c>
      <c r="BC195" s="176">
        <f>IF(ISNUMBER(BC194),ROUND(BC192-BC194,1),"n/p")</f>
        <v/>
      </c>
      <c r="BD195" s="176">
        <f>IF(ISNUMBER(BD194),ROUND(BD192-BD194,1),"n/p")</f>
        <v/>
      </c>
      <c r="BE195" s="176">
        <f>IF(ISNUMBER(BE194),ROUND(BE192-BE194,1),"n/p")</f>
        <v/>
      </c>
      <c r="BF195" s="176">
        <f>IF(ISNUMBER(BF194),ROUND(BF192-BF194,1),"n/p")</f>
        <v/>
      </c>
      <c r="BG195" s="176">
        <f>IF(ISNUMBER(BG194),ROUND(BG192-BG194,1),"n/p")</f>
        <v/>
      </c>
      <c r="BH195" s="176">
        <f>IF(ISNUMBER(BH194),ROUND(BH192-BH194,1),"n/p")</f>
        <v/>
      </c>
      <c r="BI195" s="176">
        <f>IF(ISNUMBER(BI194),ROUND(BI192-BI194,1),"n/p")</f>
        <v/>
      </c>
      <c r="BJ195" s="176">
        <f>IF(ISNUMBER(BJ194),ROUND(BJ192-BJ194,1),"n/p")</f>
        <v/>
      </c>
      <c r="BK195" s="176">
        <f>IF(ISNUMBER(BK194),ROUND(BK192-BK194,1),"n/p")</f>
        <v/>
      </c>
      <c r="BL195" s="176">
        <f>IF(ISNUMBER(BL194),ROUND(BL192-BL194,1),"n/p")</f>
        <v/>
      </c>
      <c r="BM195" s="176">
        <f>IF(ISNUMBER(BM194),ROUND(BM192-BM194,1),"n/p")</f>
        <v/>
      </c>
      <c r="BN195" s="176">
        <f>IF(ISNUMBER(BN194),ROUND(BN192-BN194,1),"n/p")</f>
        <v/>
      </c>
      <c r="BO195" s="176">
        <f>IF(ISNUMBER(BO194),ROUND(BO192-BO194,1),"n/p")</f>
        <v/>
      </c>
      <c r="BP195" s="176">
        <f>IF(ISNUMBER(BP194),ROUND(BP192-BP194,1),"n/p")</f>
        <v/>
      </c>
      <c r="BQ195" s="176">
        <f>IF(ISNUMBER(BQ194),ROUND(BQ192-BQ194,1),"n/p")</f>
        <v/>
      </c>
      <c r="BR195" s="176">
        <f>IF(ISNUMBER(BR194),ROUND(BR192-BR194,1),"n/p")</f>
        <v/>
      </c>
      <c r="BS195" s="176">
        <f>IF(ISNUMBER(BS194),ROUND(BS192-BS194,1),"n/p")</f>
        <v/>
      </c>
      <c r="BT195" s="176">
        <f>IF(ISNUMBER(BT194),ROUND(BT192-BT194,1),"n/p")</f>
        <v/>
      </c>
      <c r="BU195" s="176">
        <f>IF(ISNUMBER(BU194),ROUND(BU192-BU194,1),"n/p")</f>
        <v/>
      </c>
      <c r="BV195" s="176">
        <f>IF(ISNUMBER(BV194),ROUND(BV192-BV194,1),"n/p")</f>
        <v/>
      </c>
      <c r="BW195" s="176">
        <f>IF(ISNUMBER(BW194),ROUND(BW192-BW194,1),"n/p")</f>
        <v/>
      </c>
      <c r="BX195" s="176">
        <f>IF(ISNUMBER(BX194),ROUND(BX192-BX194,1),"n/p")</f>
        <v/>
      </c>
      <c r="BY195" s="176">
        <f>IF(ISNUMBER(BY194),ROUND(BY192-BY194,1),"n/p")</f>
        <v/>
      </c>
      <c r="BZ195" s="176">
        <f>IF(ISNUMBER(BZ194),ROUND(BZ192-BZ194,1),"n/p")</f>
        <v/>
      </c>
      <c r="CA195" s="176">
        <f>IF(ISNUMBER(CA194),ROUND(CA192-CA194,1),"n/p")</f>
        <v/>
      </c>
      <c r="CB195" s="176">
        <f>IF(ISNUMBER(CB194),ROUND(CB192-CB194,1),"n/p")</f>
        <v/>
      </c>
      <c r="CC195" s="176">
        <f>IF(ISNUMBER(CC194),ROUND(CC192-CC194,1),"n/p")</f>
        <v/>
      </c>
      <c r="CD195" s="176">
        <f>IF(ISNUMBER(CD194),ROUND(CD192-CD194,1),"n/p")</f>
        <v/>
      </c>
      <c r="CE195" s="176">
        <f>IF(ISNUMBER(CE194),ROUND(CE192-CE194,1),"n/p")</f>
        <v/>
      </c>
      <c r="CF195" s="176">
        <f>IF(ISNUMBER(CF194),ROUND(CF192-CF194,1),"n/p")</f>
        <v/>
      </c>
      <c r="CG195" s="176">
        <f>IF(ISNUMBER(CG194),ROUND(CG192-CG194,1),"n/p")</f>
        <v/>
      </c>
      <c r="CH195" s="176">
        <f>IF(ISNUMBER(CH194),ROUND(CH192-CH194,1),"n/p")</f>
        <v/>
      </c>
      <c r="CI195" s="176">
        <f>IF(ISNUMBER(CI194),ROUND(CI192-CI194,1),"n/p")</f>
        <v/>
      </c>
      <c r="CJ195" s="176">
        <f>IF(ISNUMBER(CJ194),ROUND(CJ192-CJ194,1),"n/p")</f>
        <v/>
      </c>
      <c r="CK195" s="176">
        <f>IF(ISNUMBER(CK194),ROUND(CK192-CK194,1),"n/p")</f>
        <v/>
      </c>
      <c r="CL195" s="176">
        <f>IF(ISNUMBER(CL194),ROUND(CL192-CL194,1),"n/p")</f>
        <v/>
      </c>
      <c r="CM195" s="31" t="n"/>
      <c r="CN195" s="31" t="n"/>
      <c r="CO195" s="31" t="n"/>
      <c r="CP195" s="31" t="n"/>
      <c r="CQ195" s="31" t="n"/>
      <c r="CR195" s="31" t="n"/>
      <c r="CS195" s="31" t="n"/>
      <c r="CT195" s="22" t="n"/>
      <c r="CV195" s="6" t="n"/>
      <c r="CW195" s="6" t="n"/>
      <c r="CX195" s="6" t="n"/>
      <c r="CY195" s="6" t="n"/>
    </row>
    <row r="196" ht="15" customHeight="1">
      <c r="B196" s="61" t="inlineStr">
        <is>
          <t xml:space="preserve">  Definition basis (company Adjusted EBITDA definition in force)</t>
        </is>
      </c>
      <c r="C196" s="192" t="inlineStr">
        <is>
          <t>Not published (2006): no EBITDA measure</t>
        </is>
      </c>
      <c r="D196" s="192" t="inlineStr">
        <is>
          <t>EBITDA (continuing operations) 2007–2010; no adjusted measure</t>
        </is>
      </c>
      <c r="H196" s="192" t="inlineStr">
        <is>
          <t>Adjusted EBITDA introduced (FY2011): EBITDA excl. restructuring &amp; exchange-offer costs</t>
        </is>
      </c>
      <c r="I196" s="192" t="inlineStr">
        <is>
          <t>FY2012+: excludes gains on sale, legal recoveries, restructuring, exchange-offer and business-development costs</t>
        </is>
      </c>
      <c r="Z196" s="192" t="inlineStr">
        <is>
          <t>Q4/15: deferred-revenue amortization no longer deducted from Adjusted EBITDA</t>
        </is>
      </c>
      <c r="AF196" s="62" t="n"/>
      <c r="AG196" s="62" t="n"/>
      <c r="AS196" s="62" t="n"/>
      <c r="AZ196" s="62" t="n"/>
      <c r="BE196" s="62" t="n"/>
      <c r="BF196" s="62" t="n"/>
      <c r="BK196" s="62" t="n"/>
      <c r="BP196" s="62" t="n"/>
      <c r="BS196" s="192" t="inlineStr">
        <is>
          <t>Q2/23+: tax incl. discontinued ops; pre-tax disc. ops (gain) loss in the Adjusted EBITDA bridge</t>
        </is>
      </c>
      <c r="BU196" s="62" t="n"/>
      <c r="BV196" s="192" t="inlineStr">
        <is>
          <t>Q4/22–Q1/23: discontinued operations removed after tax in the EBITDA build</t>
        </is>
      </c>
      <c r="CB196" s="62" t="n"/>
      <c r="CD196" s="62" t="n"/>
      <c r="CJ196" s="192" t="inlineStr">
        <is>
          <t>2026: CEO transition &amp; reorganization charges added to the bridge</t>
        </is>
      </c>
      <c r="CM196" s="6" t="n"/>
      <c r="CN196" s="6" t="n"/>
      <c r="CO196" s="6" t="n"/>
      <c r="CP196" s="6" t="n"/>
      <c r="CQ196" s="6" t="n"/>
      <c r="CR196" s="6" t="n"/>
      <c r="CS196" s="6" t="n"/>
      <c r="CT196" s="22" t="inlineStr">
        <is>
          <t>Definition changes are flagged in the column where they take effect (cell comment gives the detail).</t>
        </is>
      </c>
      <c r="CV196" s="6" t="n"/>
      <c r="CW196" s="6" t="n"/>
      <c r="CX196" s="6" t="n"/>
      <c r="CY196" s="6" t="n"/>
    </row>
    <row r="197" ht="15" customHeight="1">
      <c r="B197" s="36" t="inlineStr">
        <is>
          <t>Memo — current definition applied to all periods (model):</t>
        </is>
      </c>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c r="AA197" s="29" t="n"/>
      <c r="AB197" s="29" t="n"/>
      <c r="AC197" s="29" t="n"/>
      <c r="AD197" s="29" t="n"/>
      <c r="AE197" s="29" t="n"/>
      <c r="AF197" s="29" t="n"/>
      <c r="AG197" s="29" t="n"/>
      <c r="AH197" s="29" t="n"/>
      <c r="AI197" s="29" t="n"/>
      <c r="AJ197" s="29" t="n"/>
      <c r="AK197" s="29" t="n"/>
      <c r="AL197" s="29" t="n"/>
      <c r="AM197" s="29" t="n"/>
      <c r="AN197" s="29" t="n"/>
      <c r="AO197" s="29" t="n"/>
      <c r="AP197" s="29" t="n"/>
      <c r="AQ197" s="29" t="n"/>
      <c r="AR197" s="29" t="n"/>
      <c r="AS197" s="29" t="n"/>
      <c r="AT197" s="29" t="n"/>
      <c r="AU197" s="29" t="n"/>
      <c r="AV197" s="29" t="n"/>
      <c r="AW197" s="29" t="n"/>
      <c r="AX197" s="29" t="n"/>
      <c r="AY197" s="29" t="n"/>
      <c r="AZ197" s="29" t="n"/>
      <c r="BA197" s="29" t="n"/>
      <c r="BB197" s="29" t="n"/>
      <c r="BC197" s="29" t="n"/>
      <c r="BD197" s="29" t="n"/>
      <c r="BE197" s="29" t="n"/>
      <c r="BF197" s="29" t="n"/>
      <c r="BG197" s="29" t="n"/>
      <c r="BH197" s="29" t="n"/>
      <c r="BI197" s="29" t="n"/>
      <c r="BJ197" s="29" t="n"/>
      <c r="BK197" s="29" t="n"/>
      <c r="BL197" s="29" t="n"/>
      <c r="BM197" s="29" t="n"/>
      <c r="BN197" s="29" t="n"/>
      <c r="BO197" s="29" t="n"/>
      <c r="BP197" s="29" t="n"/>
      <c r="BQ197" s="29" t="n"/>
      <c r="BR197" s="29" t="n"/>
      <c r="BS197" s="29" t="n"/>
      <c r="BT197" s="29" t="n"/>
      <c r="BU197" s="29" t="n"/>
      <c r="BV197" s="29" t="n"/>
      <c r="BW197" s="29" t="n"/>
      <c r="BX197" s="29" t="n"/>
      <c r="BY197" s="29" t="n"/>
      <c r="BZ197" s="29" t="n"/>
      <c r="CA197" s="29" t="n"/>
      <c r="CB197" s="29" t="n"/>
      <c r="CC197" s="29" t="n"/>
      <c r="CD197" s="29" t="n"/>
      <c r="CE197" s="29" t="n"/>
      <c r="CF197" s="29" t="n"/>
      <c r="CG197" s="29" t="n"/>
      <c r="CH197" s="29" t="n"/>
      <c r="CI197" s="29" t="n"/>
      <c r="CJ197" s="29" t="n"/>
      <c r="CK197" s="29" t="n"/>
      <c r="CL197" s="29" t="n"/>
      <c r="CM197" s="31" t="n"/>
      <c r="CN197" s="31" t="n"/>
      <c r="CO197" s="31" t="n"/>
      <c r="CP197" s="31" t="n"/>
      <c r="CQ197" s="31" t="n"/>
      <c r="CR197" s="31" t="n"/>
      <c r="CS197" s="31" t="n"/>
      <c r="CT197" s="22" t="n"/>
      <c r="CV197" s="6" t="n"/>
      <c r="CW197" s="6" t="n"/>
      <c r="CX197" s="6" t="n"/>
      <c r="CY197" s="6" t="n"/>
    </row>
    <row r="198" ht="15" customHeight="1">
      <c r="B198" s="18" t="inlineStr">
        <is>
          <t xml:space="preserve">  Adjusted EBITDA — current definition (EBITDA + company adjusting items; EBITDA where none published)</t>
        </is>
      </c>
      <c r="C198" s="173">
        <f>IF(ISNUMBER(C179),IF(ISNUMBER(C194),C192,C179+N(C191)),"")</f>
        <v/>
      </c>
      <c r="D198" s="173">
        <f>IF(ISNUMBER(D179),IF(ISNUMBER(D194),D192,D179+N(D191)),"")</f>
        <v/>
      </c>
      <c r="E198" s="173">
        <f>IF(ISNUMBER(E179),IF(ISNUMBER(E194),E192,E179+N(E191)),"")</f>
        <v/>
      </c>
      <c r="F198" s="173">
        <f>IF(ISNUMBER(F179),IF(ISNUMBER(F194),F192,F179+N(F191)),"")</f>
        <v/>
      </c>
      <c r="G198" s="173">
        <f>IF(ISNUMBER(G179),IF(ISNUMBER(G194),G192,G179+N(G191)),"")</f>
        <v/>
      </c>
      <c r="H198" s="173">
        <f>IF(ISNUMBER(H179),IF(ISNUMBER(H194),H192,H179+N(H191)),"")</f>
        <v/>
      </c>
      <c r="I198" s="173">
        <f>IF(ISNUMBER(I179),IF(ISNUMBER(I194),I192,I179+N(I191)),"")</f>
        <v/>
      </c>
      <c r="J198" s="173">
        <f>IF(ISNUMBER(J179),IF(ISNUMBER(J194),J192,J179+N(J191)),"")</f>
        <v/>
      </c>
      <c r="K198" s="173">
        <f>IF(ISNUMBER(K179),IF(ISNUMBER(K194),K192,K179+N(K191)),"")</f>
        <v/>
      </c>
      <c r="L198" s="173">
        <f>IF(ISNUMBER(L179),IF(ISNUMBER(L194),L192,L179+N(L191)),"")</f>
        <v/>
      </c>
      <c r="M198" s="173">
        <f>IF(ISNUMBER(M179),IF(ISNUMBER(M194),M192,M179+N(M191)),"")</f>
        <v/>
      </c>
      <c r="N198" s="173">
        <f>IF(ISNUMBER(N179),IF(ISNUMBER(N194),N192,N179+N(N191)),"")</f>
        <v/>
      </c>
      <c r="O198" s="173">
        <f>IF(ISNUMBER(O179),IF(ISNUMBER(O194),O192,O179+N(O191)),"")</f>
        <v/>
      </c>
      <c r="P198" s="173">
        <f>IF(ISNUMBER(P179),IF(ISNUMBER(P194),P192,P179+N(P191)),"")</f>
        <v/>
      </c>
      <c r="Q198" s="173">
        <f>IF(ISNUMBER(Q179),IF(ISNUMBER(Q194),Q192,Q179+N(Q191)),"")</f>
        <v/>
      </c>
      <c r="R198" s="173">
        <f>IF(ISNUMBER(R179),IF(ISNUMBER(R194),R192,R179+N(R191)),"")</f>
        <v/>
      </c>
      <c r="S198" s="173">
        <f>IF(ISNUMBER(S179),IF(ISNUMBER(S194),S192,S179+N(S191)),"")</f>
        <v/>
      </c>
      <c r="T198" s="173">
        <f>IF(ISNUMBER(T179),IF(ISNUMBER(T194),T192,T179+N(T191)),"")</f>
        <v/>
      </c>
      <c r="U198" s="173">
        <f>IF(ISNUMBER(U179),IF(ISNUMBER(U194),U192,U179+N(U191)),"")</f>
        <v/>
      </c>
      <c r="V198" s="173">
        <f>IF(ISNUMBER(V179),IF(ISNUMBER(V194),V192,V179+N(V191)),"")</f>
        <v/>
      </c>
      <c r="W198" s="173">
        <f>IF(ISNUMBER(W179),IF(ISNUMBER(W194),W192,W179+N(W191)),"")</f>
        <v/>
      </c>
      <c r="X198" s="173">
        <f>IF(ISNUMBER(X179),IF(ISNUMBER(X194),X192,X179+N(X191)),"")</f>
        <v/>
      </c>
      <c r="Y198" s="173">
        <f>IF(ISNUMBER(Y179),IF(ISNUMBER(Y194),Y192,Y179+N(Y191)),"")</f>
        <v/>
      </c>
      <c r="Z198" s="173">
        <f>IF(ISNUMBER(Z179),IF(ISNUMBER(Z194),Z192,Z179+N(Z191)),"")</f>
        <v/>
      </c>
      <c r="AA198" s="173">
        <f>IF(ISNUMBER(AA179),IF(ISNUMBER(AA194),AA192,AA179+N(AA191)),"")</f>
        <v/>
      </c>
      <c r="AB198" s="173">
        <f>IF(ISNUMBER(AB179),IF(ISNUMBER(AB194),AB192,AB179+N(AB191)),"")</f>
        <v/>
      </c>
      <c r="AC198" s="173">
        <f>IF(ISNUMBER(AC179),IF(ISNUMBER(AC194),AC192,AC179+N(AC191)),"")</f>
        <v/>
      </c>
      <c r="AD198" s="173">
        <f>IF(ISNUMBER(AD179),IF(ISNUMBER(AD194),AD192,AD179+N(AD191)),"")</f>
        <v/>
      </c>
      <c r="AE198" s="173">
        <f>IF(ISNUMBER(AE179),IF(ISNUMBER(AE194),AE192,AE179+N(AE191)),"")</f>
        <v/>
      </c>
      <c r="AF198" s="173">
        <f>IF(ISNUMBER(AF179),IF(ISNUMBER(AF194),AF192,AF179+N(AF191)),"")</f>
        <v/>
      </c>
      <c r="AG198" s="173">
        <f>IF(ISNUMBER(AG179),IF(ISNUMBER(AG194),AG192,AG179+N(AG191)),"")</f>
        <v/>
      </c>
      <c r="AH198" s="173">
        <f>IF(ISNUMBER(AH179),IF(ISNUMBER(AH194),AH192,AH179+N(AH191)),"")</f>
        <v/>
      </c>
      <c r="AI198" s="173">
        <f>IF(ISNUMBER(AI179),IF(ISNUMBER(AI194),AI192,AI179+N(AI191)),"")</f>
        <v/>
      </c>
      <c r="AJ198" s="173">
        <f>IF(ISNUMBER(AJ179),IF(ISNUMBER(AJ194),AJ192,AJ179+N(AJ191)),"")</f>
        <v/>
      </c>
      <c r="AK198" s="173">
        <f>IF(ISNUMBER(AK179),IF(ISNUMBER(AK194),AK192,AK179+N(AK191)),"")</f>
        <v/>
      </c>
      <c r="AL198" s="173">
        <f>IF(ISNUMBER(AL179),IF(ISNUMBER(AL194),AL192,AL179+N(AL191)),"")</f>
        <v/>
      </c>
      <c r="AM198" s="173">
        <f>IF(ISNUMBER(AM179),IF(ISNUMBER(AM194),AM192,AM179+N(AM191)),"")</f>
        <v/>
      </c>
      <c r="AN198" s="173">
        <f>IF(ISNUMBER(AN179),IF(ISNUMBER(AN194),AN192,AN179+N(AN191)),"")</f>
        <v/>
      </c>
      <c r="AO198" s="173">
        <f>IF(ISNUMBER(AO179),IF(ISNUMBER(AO194),AO192,AO179+N(AO191)),"")</f>
        <v/>
      </c>
      <c r="AP198" s="173">
        <f>IF(ISNUMBER(AP179),IF(ISNUMBER(AP194),AP192,AP179+N(AP191)),"")</f>
        <v/>
      </c>
      <c r="AQ198" s="173">
        <f>IF(ISNUMBER(AQ179),IF(ISNUMBER(AQ194),AQ192,AQ179+N(AQ191)),"")</f>
        <v/>
      </c>
      <c r="AR198" s="173">
        <f>IF(ISNUMBER(AR179),IF(ISNUMBER(AR194),AR192,AR179+N(AR191)),"")</f>
        <v/>
      </c>
      <c r="AS198" s="173">
        <f>IF(ISNUMBER(AS179),IF(ISNUMBER(AS194),AS192,AS179+N(AS191)),"")</f>
        <v/>
      </c>
      <c r="AT198" s="173">
        <f>IF(ISNUMBER(AT179),IF(ISNUMBER(AT194),AT192,AT179+N(AT191)),"")</f>
        <v/>
      </c>
      <c r="AU198" s="173">
        <f>IF(ISNUMBER(AU179),IF(ISNUMBER(AU194),AU192,AU179+N(AU191)),"")</f>
        <v/>
      </c>
      <c r="AV198" s="173">
        <f>IF(ISNUMBER(AV179),IF(ISNUMBER(AV194),AV192,AV179+N(AV191)),"")</f>
        <v/>
      </c>
      <c r="AW198" s="173">
        <f>IF(ISNUMBER(AW179),IF(ISNUMBER(AW194),AW192,AW179+N(AW191)),"")</f>
        <v/>
      </c>
      <c r="AX198" s="173">
        <f>IF(ISNUMBER(AX179),IF(ISNUMBER(AX194),AX192,AX179+N(AX191)),"")</f>
        <v/>
      </c>
      <c r="AY198" s="173">
        <f>IF(ISNUMBER(AY179),IF(ISNUMBER(AY194),AY192,AY179+N(AY191)),"")</f>
        <v/>
      </c>
      <c r="AZ198" s="173">
        <f>IF(ISNUMBER(AZ179),IF(ISNUMBER(AZ194),AZ192,AZ179+N(AZ191)),"")</f>
        <v/>
      </c>
      <c r="BA198" s="173">
        <f>IF(ISNUMBER(BA179),IF(ISNUMBER(BA194),BA192,BA179+N(BA191)),"")</f>
        <v/>
      </c>
      <c r="BB198" s="173">
        <f>IF(ISNUMBER(BB179),IF(ISNUMBER(BB194),BB192,BB179+N(BB191)),"")</f>
        <v/>
      </c>
      <c r="BC198" s="173">
        <f>IF(ISNUMBER(BC179),IF(ISNUMBER(BC194),BC192,BC179+N(BC191)),"")</f>
        <v/>
      </c>
      <c r="BD198" s="173">
        <f>IF(ISNUMBER(BD179),IF(ISNUMBER(BD194),BD192,BD179+N(BD191)),"")</f>
        <v/>
      </c>
      <c r="BE198" s="173">
        <f>IF(ISNUMBER(BE179),IF(ISNUMBER(BE194),BE192,BE179+N(BE191)),"")</f>
        <v/>
      </c>
      <c r="BF198" s="173">
        <f>IF(ISNUMBER(BF179),IF(ISNUMBER(BF194),BF192,BF179+N(BF191)),"")</f>
        <v/>
      </c>
      <c r="BG198" s="173">
        <f>IF(ISNUMBER(BG179),IF(ISNUMBER(BG194),BG192,BG179+N(BG191)),"")</f>
        <v/>
      </c>
      <c r="BH198" s="173">
        <f>IF(ISNUMBER(BH179),IF(ISNUMBER(BH194),BH192,BH179+N(BH191)),"")</f>
        <v/>
      </c>
      <c r="BI198" s="173">
        <f>IF(ISNUMBER(BI179),IF(ISNUMBER(BI194),BI192,BI179+N(BI191)),"")</f>
        <v/>
      </c>
      <c r="BJ198" s="173">
        <f>IF(ISNUMBER(BJ179),IF(ISNUMBER(BJ194),BJ192,BJ179+N(BJ191)),"")</f>
        <v/>
      </c>
      <c r="BK198" s="173">
        <f>IF(ISNUMBER(BK179),IF(ISNUMBER(BK194),BK192,BK179+N(BK191)),"")</f>
        <v/>
      </c>
      <c r="BL198" s="173">
        <f>IF(ISNUMBER(BL179),IF(ISNUMBER(BL194),BL192,BL179+N(BL191)),"")</f>
        <v/>
      </c>
      <c r="BM198" s="173">
        <f>IF(ISNUMBER(BM179),IF(ISNUMBER(BM194),BM192,BM179+N(BM191)),"")</f>
        <v/>
      </c>
      <c r="BN198" s="173">
        <f>IF(ISNUMBER(BN179),IF(ISNUMBER(BN194),BN192,BN179+N(BN191)),"")</f>
        <v/>
      </c>
      <c r="BO198" s="173">
        <f>IF(ISNUMBER(BO179),IF(ISNUMBER(BO194),BO192,BO179+N(BO191)),"")</f>
        <v/>
      </c>
      <c r="BP198" s="173">
        <f>IF(ISNUMBER(BP179),IF(ISNUMBER(BP194),BP192,BP179+N(BP191)),"")</f>
        <v/>
      </c>
      <c r="BQ198" s="173">
        <f>IF(ISNUMBER(BQ179),IF(ISNUMBER(BQ194),BQ192,BQ179+N(BQ191)),"")</f>
        <v/>
      </c>
      <c r="BR198" s="173">
        <f>IF(ISNUMBER(BR179),IF(ISNUMBER(BR194),BR192,BR179+N(BR191)),"")</f>
        <v/>
      </c>
      <c r="BS198" s="173">
        <f>IF(ISNUMBER(BS179),IF(ISNUMBER(BS194),BS192,BS179+N(BS191)),"")</f>
        <v/>
      </c>
      <c r="BT198" s="173">
        <f>IF(ISNUMBER(BT179),IF(ISNUMBER(BT194),BT192,BT179+N(BT191)),"")</f>
        <v/>
      </c>
      <c r="BU198" s="173">
        <f>IF(ISNUMBER(BU179),IF(ISNUMBER(BU194),BU192,BU179+N(BU191)),"")</f>
        <v/>
      </c>
      <c r="BV198" s="173">
        <f>IF(ISNUMBER(BV179),IF(ISNUMBER(BV194),BV192,BV179+N(BV191)),"")</f>
        <v/>
      </c>
      <c r="BW198" s="173">
        <f>IF(ISNUMBER(BW179),IF(ISNUMBER(BW194),BW192,BW179+N(BW191)),"")</f>
        <v/>
      </c>
      <c r="BX198" s="173">
        <f>IF(ISNUMBER(BX179),IF(ISNUMBER(BX194),BX192,BX179+N(BX191)),"")</f>
        <v/>
      </c>
      <c r="BY198" s="173">
        <f>IF(ISNUMBER(BY179),IF(ISNUMBER(BY194),BY192,BY179+N(BY191)),"")</f>
        <v/>
      </c>
      <c r="BZ198" s="173">
        <f>IF(ISNUMBER(BZ179),IF(ISNUMBER(BZ194),BZ192,BZ179+N(BZ191)),"")</f>
        <v/>
      </c>
      <c r="CA198" s="173">
        <f>IF(ISNUMBER(CA179),IF(ISNUMBER(CA194),CA192,CA179+N(CA191)),"")</f>
        <v/>
      </c>
      <c r="CB198" s="173">
        <f>IF(ISNUMBER(CB179),IF(ISNUMBER(CB194),CB192,CB179+N(CB191)),"")</f>
        <v/>
      </c>
      <c r="CC198" s="173">
        <f>IF(ISNUMBER(CC179),IF(ISNUMBER(CC194),CC192,CC179+N(CC191)),"")</f>
        <v/>
      </c>
      <c r="CD198" s="173">
        <f>IF(ISNUMBER(CD179),IF(ISNUMBER(CD194),CD192,CD179+N(CD191)),"")</f>
        <v/>
      </c>
      <c r="CE198" s="173">
        <f>IF(ISNUMBER(CE179),IF(ISNUMBER(CE194),CE192,CE179+N(CE191)),"")</f>
        <v/>
      </c>
      <c r="CF198" s="173">
        <f>IF(ISNUMBER(CF179),IF(ISNUMBER(CF194),CF192,CF179+N(CF191)),"")</f>
        <v/>
      </c>
      <c r="CG198" s="173">
        <f>IF(ISNUMBER(CG179),IF(ISNUMBER(CG194),CG192,CG179+N(CG191)),"")</f>
        <v/>
      </c>
      <c r="CH198" s="173">
        <f>IF(ISNUMBER(CH179),IF(ISNUMBER(CH194),CH192,CH179+N(CH191)),"")</f>
        <v/>
      </c>
      <c r="CI198" s="173">
        <f>IF(ISNUMBER(CI179),IF(ISNUMBER(CI194),CI192,CI179+N(CI191)),"")</f>
        <v/>
      </c>
      <c r="CJ198" s="173">
        <f>IF(ISNUMBER(CJ179),IF(ISNUMBER(CJ194),CJ192,CJ179+N(CJ191)),"")</f>
        <v/>
      </c>
      <c r="CK198" s="173">
        <f>IF(ISNUMBER(CK179),IF(ISNUMBER(CK194),CK192,CK179+N(CK191)),"")</f>
        <v/>
      </c>
      <c r="CL198" s="173">
        <f>IF(ISNUMBER(CL179),IF(ISNUMBER(CL194),CL192,CL179+N(CL191)),"")</f>
        <v/>
      </c>
      <c r="CM198" s="174">
        <f>CM192</f>
        <v/>
      </c>
      <c r="CN198" s="174">
        <f>CN192</f>
        <v/>
      </c>
      <c r="CO198" s="174">
        <f>SUM(CJ198,CK198,CM198,CN198)</f>
        <v/>
      </c>
      <c r="CP198" s="174">
        <f>CP192</f>
        <v/>
      </c>
      <c r="CQ198" s="174">
        <f>CQ192</f>
        <v/>
      </c>
      <c r="CR198" s="174">
        <f>CR192</f>
        <v/>
      </c>
      <c r="CS198" s="174">
        <f>CS192</f>
        <v/>
      </c>
      <c r="CT198" s="22" t="inlineStr">
        <is>
          <t>Consistent series: where Vulcan did not publish Adjusted EBITDA, EBITDA (model) + any disclosed one-off items.</t>
        </is>
      </c>
      <c r="CV198" s="164">
        <f>IFERROR((CS198/CI198)^(1/5)-1,"n/m")</f>
        <v/>
      </c>
      <c r="CW198" s="164">
        <f>IFERROR((CI198/BE198)^(1/5)-1,"n/m")</f>
        <v/>
      </c>
      <c r="CX198" s="164">
        <f>IFERROR((CI198/AA198)^(1/10)-1,"n/m")</f>
        <v/>
      </c>
      <c r="CY198" s="164">
        <f>IFERROR((CI198/C198)^(1/19)-1,"n/m")</f>
        <v/>
      </c>
    </row>
    <row r="199" ht="15" customHeight="1">
      <c r="B199" s="25" t="inlineStr">
        <is>
          <t xml:space="preserve">  Adjusted EBITDA — current definition margin %</t>
        </is>
      </c>
      <c r="C199" s="179">
        <f>IFERROR(C198/C138,"")</f>
        <v/>
      </c>
      <c r="D199" s="179">
        <f>IFERROR(D198/D138,"")</f>
        <v/>
      </c>
      <c r="E199" s="179">
        <f>IFERROR(E198/E138,"")</f>
        <v/>
      </c>
      <c r="F199" s="179">
        <f>IFERROR(F198/F138,"")</f>
        <v/>
      </c>
      <c r="G199" s="179">
        <f>IFERROR(G198/G138,"")</f>
        <v/>
      </c>
      <c r="H199" s="179">
        <f>IFERROR(H198/H138,"")</f>
        <v/>
      </c>
      <c r="I199" s="179">
        <f>IFERROR(I198/I138,"")</f>
        <v/>
      </c>
      <c r="J199" s="179">
        <f>IFERROR(J198/J138,"")</f>
        <v/>
      </c>
      <c r="K199" s="179">
        <f>IFERROR(K198/K138,"")</f>
        <v/>
      </c>
      <c r="L199" s="179">
        <f>IFERROR(L198/L138,"")</f>
        <v/>
      </c>
      <c r="M199" s="179">
        <f>IFERROR(M198/M138,"")</f>
        <v/>
      </c>
      <c r="N199" s="179">
        <f>IFERROR(N198/N138,"")</f>
        <v/>
      </c>
      <c r="O199" s="179">
        <f>IFERROR(O198/O138,"")</f>
        <v/>
      </c>
      <c r="P199" s="179">
        <f>IFERROR(P198/P138,"")</f>
        <v/>
      </c>
      <c r="Q199" s="179">
        <f>IFERROR(Q198/Q138,"")</f>
        <v/>
      </c>
      <c r="R199" s="179">
        <f>IFERROR(R198/R138,"")</f>
        <v/>
      </c>
      <c r="S199" s="179">
        <f>IFERROR(S198/S138,"")</f>
        <v/>
      </c>
      <c r="T199" s="179">
        <f>IFERROR(T198/T138,"")</f>
        <v/>
      </c>
      <c r="U199" s="179">
        <f>IFERROR(U198/U138,"")</f>
        <v/>
      </c>
      <c r="V199" s="179">
        <f>IFERROR(V198/V138,"")</f>
        <v/>
      </c>
      <c r="W199" s="179">
        <f>IFERROR(W198/W138,"")</f>
        <v/>
      </c>
      <c r="X199" s="179">
        <f>IFERROR(X198/X138,"")</f>
        <v/>
      </c>
      <c r="Y199" s="179">
        <f>IFERROR(Y198/Y138,"")</f>
        <v/>
      </c>
      <c r="Z199" s="179">
        <f>IFERROR(Z198/Z138,"")</f>
        <v/>
      </c>
      <c r="AA199" s="179">
        <f>IFERROR(AA198/AA138,"")</f>
        <v/>
      </c>
      <c r="AB199" s="179">
        <f>IFERROR(AB198/AB138,"")</f>
        <v/>
      </c>
      <c r="AC199" s="179">
        <f>IFERROR(AC198/AC138,"")</f>
        <v/>
      </c>
      <c r="AD199" s="179">
        <f>IFERROR(AD198/AD138,"")</f>
        <v/>
      </c>
      <c r="AE199" s="179">
        <f>IFERROR(AE198/AE138,"")</f>
        <v/>
      </c>
      <c r="AF199" s="179">
        <f>IFERROR(AF198/AF138,"")</f>
        <v/>
      </c>
      <c r="AG199" s="179">
        <f>IFERROR(AG198/AG138,"")</f>
        <v/>
      </c>
      <c r="AH199" s="179">
        <f>IFERROR(AH198/AH138,"")</f>
        <v/>
      </c>
      <c r="AI199" s="179">
        <f>IFERROR(AI198/AI138,"")</f>
        <v/>
      </c>
      <c r="AJ199" s="179">
        <f>IFERROR(AJ198/AJ138,"")</f>
        <v/>
      </c>
      <c r="AK199" s="179">
        <f>IFERROR(AK198/AK138,"")</f>
        <v/>
      </c>
      <c r="AL199" s="179">
        <f>IFERROR(AL198/AL138,"")</f>
        <v/>
      </c>
      <c r="AM199" s="179">
        <f>IFERROR(AM198/AM138,"")</f>
        <v/>
      </c>
      <c r="AN199" s="179">
        <f>IFERROR(AN198/AN138,"")</f>
        <v/>
      </c>
      <c r="AO199" s="179">
        <f>IFERROR(AO198/AO138,"")</f>
        <v/>
      </c>
      <c r="AP199" s="179">
        <f>IFERROR(AP198/AP138,"")</f>
        <v/>
      </c>
      <c r="AQ199" s="179">
        <f>IFERROR(AQ198/AQ138,"")</f>
        <v/>
      </c>
      <c r="AR199" s="179">
        <f>IFERROR(AR198/AR138,"")</f>
        <v/>
      </c>
      <c r="AS199" s="179">
        <f>IFERROR(AS198/AS138,"")</f>
        <v/>
      </c>
      <c r="AT199" s="179">
        <f>IFERROR(AT198/AT138,"")</f>
        <v/>
      </c>
      <c r="AU199" s="179">
        <f>IFERROR(AU198/AU138,"")</f>
        <v/>
      </c>
      <c r="AV199" s="179">
        <f>IFERROR(AV198/AV138,"")</f>
        <v/>
      </c>
      <c r="AW199" s="179">
        <f>IFERROR(AW198/AW138,"")</f>
        <v/>
      </c>
      <c r="AX199" s="179">
        <f>IFERROR(AX198/AX138,"")</f>
        <v/>
      </c>
      <c r="AY199" s="179">
        <f>IFERROR(AY198/AY138,"")</f>
        <v/>
      </c>
      <c r="AZ199" s="179">
        <f>IFERROR(AZ198/AZ138,"")</f>
        <v/>
      </c>
      <c r="BA199" s="179">
        <f>IFERROR(BA198/BA138,"")</f>
        <v/>
      </c>
      <c r="BB199" s="179">
        <f>IFERROR(BB198/BB138,"")</f>
        <v/>
      </c>
      <c r="BC199" s="179">
        <f>IFERROR(BC198/BC138,"")</f>
        <v/>
      </c>
      <c r="BD199" s="179">
        <f>IFERROR(BD198/BD138,"")</f>
        <v/>
      </c>
      <c r="BE199" s="179">
        <f>IFERROR(BE198/BE138,"")</f>
        <v/>
      </c>
      <c r="BF199" s="179">
        <f>IFERROR(BF198/BF138,"")</f>
        <v/>
      </c>
      <c r="BG199" s="179">
        <f>IFERROR(BG198/BG138,"")</f>
        <v/>
      </c>
      <c r="BH199" s="179">
        <f>IFERROR(BH198/BH138,"")</f>
        <v/>
      </c>
      <c r="BI199" s="179">
        <f>IFERROR(BI198/BI138,"")</f>
        <v/>
      </c>
      <c r="BJ199" s="179">
        <f>IFERROR(BJ198/BJ138,"")</f>
        <v/>
      </c>
      <c r="BK199" s="179">
        <f>IFERROR(BK198/BK138,"")</f>
        <v/>
      </c>
      <c r="BL199" s="179">
        <f>IFERROR(BL198/BL138,"")</f>
        <v/>
      </c>
      <c r="BM199" s="179">
        <f>IFERROR(BM198/BM138,"")</f>
        <v/>
      </c>
      <c r="BN199" s="179">
        <f>IFERROR(BN198/BN138,"")</f>
        <v/>
      </c>
      <c r="BO199" s="179">
        <f>IFERROR(BO198/BO138,"")</f>
        <v/>
      </c>
      <c r="BP199" s="179">
        <f>IFERROR(BP198/BP138,"")</f>
        <v/>
      </c>
      <c r="BQ199" s="179">
        <f>IFERROR(BQ198/BQ138,"")</f>
        <v/>
      </c>
      <c r="BR199" s="179">
        <f>IFERROR(BR198/BR138,"")</f>
        <v/>
      </c>
      <c r="BS199" s="179">
        <f>IFERROR(BS198/BS138,"")</f>
        <v/>
      </c>
      <c r="BT199" s="179">
        <f>IFERROR(BT198/BT138,"")</f>
        <v/>
      </c>
      <c r="BU199" s="179">
        <f>IFERROR(BU198/BU138,"")</f>
        <v/>
      </c>
      <c r="BV199" s="179">
        <f>IFERROR(BV198/BV138,"")</f>
        <v/>
      </c>
      <c r="BW199" s="179">
        <f>IFERROR(BW198/BW138,"")</f>
        <v/>
      </c>
      <c r="BX199" s="179">
        <f>IFERROR(BX198/BX138,"")</f>
        <v/>
      </c>
      <c r="BY199" s="179">
        <f>IFERROR(BY198/BY138,"")</f>
        <v/>
      </c>
      <c r="BZ199" s="179">
        <f>IFERROR(BZ198/BZ138,"")</f>
        <v/>
      </c>
      <c r="CA199" s="179">
        <f>IFERROR(CA198/CA138,"")</f>
        <v/>
      </c>
      <c r="CB199" s="179">
        <f>IFERROR(CB198/CB138,"")</f>
        <v/>
      </c>
      <c r="CC199" s="179">
        <f>IFERROR(CC198/CC138,"")</f>
        <v/>
      </c>
      <c r="CD199" s="179">
        <f>IFERROR(CD198/CD138,"")</f>
        <v/>
      </c>
      <c r="CE199" s="179">
        <f>IFERROR(CE198/CE138,"")</f>
        <v/>
      </c>
      <c r="CF199" s="179">
        <f>IFERROR(CF198/CF138,"")</f>
        <v/>
      </c>
      <c r="CG199" s="179">
        <f>IFERROR(CG198/CG138,"")</f>
        <v/>
      </c>
      <c r="CH199" s="179">
        <f>IFERROR(CH198/CH138,"")</f>
        <v/>
      </c>
      <c r="CI199" s="179">
        <f>IFERROR(CI198/CI138,"")</f>
        <v/>
      </c>
      <c r="CJ199" s="179">
        <f>IFERROR(CJ198/CJ138,"")</f>
        <v/>
      </c>
      <c r="CK199" s="179">
        <f>IFERROR(CK198/CK138,"")</f>
        <v/>
      </c>
      <c r="CL199" s="179">
        <f>IFERROR(CL198/CL138,"")</f>
        <v/>
      </c>
      <c r="CM199" s="165">
        <f>IFERROR(CM198/CM138,"")</f>
        <v/>
      </c>
      <c r="CN199" s="165">
        <f>IFERROR(CN198/CN138,"")</f>
        <v/>
      </c>
      <c r="CO199" s="165">
        <f>IFERROR(CO198/CO138,"")</f>
        <v/>
      </c>
      <c r="CP199" s="165">
        <f>IFERROR(CP198/CP138,"")</f>
        <v/>
      </c>
      <c r="CQ199" s="165">
        <f>IFERROR(CQ198/CQ138,"")</f>
        <v/>
      </c>
      <c r="CR199" s="165">
        <f>IFERROR(CR198/CR138,"")</f>
        <v/>
      </c>
      <c r="CS199" s="165">
        <f>IFERROR(CS198/CS138,"")</f>
        <v/>
      </c>
      <c r="CT199" s="22" t="n"/>
      <c r="CV199" s="40">
        <f>IFERROR(AVERAGE(CO199,CP199,CQ199,CR199,CS199),"n/m")</f>
        <v/>
      </c>
      <c r="CW199" s="40">
        <f>IFERROR(AVERAGE(BK199,BQ199,BW199,CC199,CI199),"n/m")</f>
        <v/>
      </c>
      <c r="CX199" s="40">
        <f>IFERROR(AVERAGE(AG199,AM199,AS199,AY199,BE199,BK199,BQ199,BW199,CC199,CI199),"n/m")</f>
        <v/>
      </c>
      <c r="CY199" s="40">
        <f>IFERROR(AVERAGE(C199,D199,E199,F199,G199,H199,I199,O199,U199,AA199,AG199,AM199,AS199,AY199,BE199,BK199,BQ199,BW199,CC199,CI199),"n/m")</f>
        <v/>
      </c>
    </row>
    <row r="200" ht="15" customHeight="1">
      <c r="B200" s="12" t="n"/>
      <c r="CM200" s="6" t="n"/>
      <c r="CN200" s="6" t="n"/>
      <c r="CO200" s="6" t="n"/>
      <c r="CP200" s="6" t="n"/>
      <c r="CQ200" s="6" t="n"/>
      <c r="CR200" s="6" t="n"/>
      <c r="CS200" s="6" t="n"/>
      <c r="CT200" s="6" t="n"/>
    </row>
    <row r="201" ht="15" customHeight="1">
      <c r="B201" s="11" t="inlineStr">
        <is>
          <t>RECONCILIATION: GAAP OPERATING EARNINGS → ADJUSTED EBIT → ADJUSTED EBITDA (model; ties the segment build to the company bridge)</t>
        </is>
      </c>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c r="AL201" s="11" t="n"/>
      <c r="AM201" s="11" t="n"/>
      <c r="AN201" s="11" t="n"/>
      <c r="AO201" s="11" t="n"/>
      <c r="AP201" s="11" t="n"/>
      <c r="AQ201" s="11" t="n"/>
      <c r="AR201" s="11" t="n"/>
      <c r="AS201" s="11" t="n"/>
      <c r="AT201" s="11" t="n"/>
      <c r="AU201" s="11" t="n"/>
      <c r="AV201" s="11" t="n"/>
      <c r="AW201" s="11" t="n"/>
      <c r="AX201" s="11" t="n"/>
      <c r="AY201" s="11" t="n"/>
      <c r="AZ201" s="11" t="n"/>
      <c r="BA201" s="11" t="n"/>
      <c r="BB201" s="11" t="n"/>
      <c r="BC201" s="11" t="n"/>
      <c r="BD201" s="11" t="n"/>
      <c r="BE201" s="11" t="n"/>
      <c r="BF201" s="11" t="n"/>
      <c r="BG201" s="11" t="n"/>
      <c r="BH201" s="11" t="n"/>
      <c r="BI201" s="11" t="n"/>
      <c r="BJ201" s="11" t="n"/>
      <c r="BK201" s="11" t="n"/>
      <c r="BL201" s="11" t="n"/>
      <c r="BM201" s="11" t="n"/>
      <c r="BN201" s="11" t="n"/>
      <c r="BO201" s="11" t="n"/>
      <c r="BP201" s="11" t="n"/>
      <c r="BQ201" s="11" t="n"/>
      <c r="BR201" s="11" t="n"/>
      <c r="BS201" s="11" t="n"/>
      <c r="BT201" s="11" t="n"/>
      <c r="BU201" s="11" t="n"/>
      <c r="BV201" s="11" t="n"/>
      <c r="BW201" s="11" t="n"/>
      <c r="BX201" s="11" t="n"/>
      <c r="BY201" s="11" t="n"/>
      <c r="BZ201" s="11" t="n"/>
      <c r="CA201" s="11" t="n"/>
      <c r="CB201" s="11" t="n"/>
      <c r="CC201" s="11" t="n"/>
      <c r="CD201" s="11" t="n"/>
      <c r="CE201" s="11" t="n"/>
      <c r="CF201" s="11" t="n"/>
      <c r="CG201" s="11" t="n"/>
      <c r="CH201" s="11" t="n"/>
      <c r="CI201" s="11" t="n"/>
      <c r="CJ201" s="11" t="n"/>
      <c r="CK201" s="11" t="n"/>
      <c r="CL201" s="11" t="n"/>
      <c r="CM201" s="11" t="n"/>
      <c r="CN201" s="11" t="n"/>
      <c r="CO201" s="11" t="n"/>
      <c r="CP201" s="11" t="n"/>
      <c r="CQ201" s="11" t="n"/>
      <c r="CR201" s="11" t="n"/>
      <c r="CS201" s="11" t="n"/>
      <c r="CT201" s="11" t="inlineStr">
        <is>
          <t>ADJUSTED EBIT — model measure (Vulcan publishes Adjusted EBITDA, not adjusted operating earnings)</t>
        </is>
      </c>
    </row>
    <row r="202" ht="15" customHeight="1">
      <c r="B202" s="18" t="inlineStr">
        <is>
          <t>Operating earnings (GAAP)</t>
        </is>
      </c>
      <c r="C202" s="173">
        <f>C145</f>
        <v/>
      </c>
      <c r="D202" s="173">
        <f>D145</f>
        <v/>
      </c>
      <c r="E202" s="173">
        <f>E145</f>
        <v/>
      </c>
      <c r="F202" s="173">
        <f>F145</f>
        <v/>
      </c>
      <c r="G202" s="173">
        <f>G145</f>
        <v/>
      </c>
      <c r="H202" s="173">
        <f>H145</f>
        <v/>
      </c>
      <c r="I202" s="173">
        <f>I145</f>
        <v/>
      </c>
      <c r="J202" s="173">
        <f>J145</f>
        <v/>
      </c>
      <c r="K202" s="173">
        <f>K145</f>
        <v/>
      </c>
      <c r="L202" s="173">
        <f>L145</f>
        <v/>
      </c>
      <c r="M202" s="173">
        <f>M145</f>
        <v/>
      </c>
      <c r="N202" s="173">
        <f>N145</f>
        <v/>
      </c>
      <c r="O202" s="173">
        <f>O145</f>
        <v/>
      </c>
      <c r="P202" s="173">
        <f>P145</f>
        <v/>
      </c>
      <c r="Q202" s="173">
        <f>Q145</f>
        <v/>
      </c>
      <c r="R202" s="173">
        <f>R145</f>
        <v/>
      </c>
      <c r="S202" s="173">
        <f>S145</f>
        <v/>
      </c>
      <c r="T202" s="173">
        <f>T145</f>
        <v/>
      </c>
      <c r="U202" s="173">
        <f>U145</f>
        <v/>
      </c>
      <c r="V202" s="173">
        <f>V145</f>
        <v/>
      </c>
      <c r="W202" s="173">
        <f>W145</f>
        <v/>
      </c>
      <c r="X202" s="173">
        <f>X145</f>
        <v/>
      </c>
      <c r="Y202" s="173">
        <f>Y145</f>
        <v/>
      </c>
      <c r="Z202" s="173">
        <f>Z145</f>
        <v/>
      </c>
      <c r="AA202" s="173">
        <f>AA145</f>
        <v/>
      </c>
      <c r="AB202" s="173">
        <f>AB145</f>
        <v/>
      </c>
      <c r="AC202" s="173">
        <f>AC145</f>
        <v/>
      </c>
      <c r="AD202" s="173">
        <f>AD145</f>
        <v/>
      </c>
      <c r="AE202" s="173">
        <f>AE145</f>
        <v/>
      </c>
      <c r="AF202" s="173">
        <f>AF145</f>
        <v/>
      </c>
      <c r="AG202" s="173">
        <f>AG145</f>
        <v/>
      </c>
      <c r="AH202" s="173">
        <f>AH145</f>
        <v/>
      </c>
      <c r="AI202" s="173">
        <f>AI145</f>
        <v/>
      </c>
      <c r="AJ202" s="173">
        <f>AJ145</f>
        <v/>
      </c>
      <c r="AK202" s="173">
        <f>AK145</f>
        <v/>
      </c>
      <c r="AL202" s="173">
        <f>AL145</f>
        <v/>
      </c>
      <c r="AM202" s="173">
        <f>AM145</f>
        <v/>
      </c>
      <c r="AN202" s="173">
        <f>AN145</f>
        <v/>
      </c>
      <c r="AO202" s="173">
        <f>AO145</f>
        <v/>
      </c>
      <c r="AP202" s="173">
        <f>AP145</f>
        <v/>
      </c>
      <c r="AQ202" s="173">
        <f>AQ145</f>
        <v/>
      </c>
      <c r="AR202" s="173">
        <f>AR145</f>
        <v/>
      </c>
      <c r="AS202" s="173">
        <f>AS145</f>
        <v/>
      </c>
      <c r="AT202" s="173">
        <f>AT145</f>
        <v/>
      </c>
      <c r="AU202" s="173">
        <f>AU145</f>
        <v/>
      </c>
      <c r="AV202" s="173">
        <f>AV145</f>
        <v/>
      </c>
      <c r="AW202" s="173">
        <f>AW145</f>
        <v/>
      </c>
      <c r="AX202" s="173">
        <f>AX145</f>
        <v/>
      </c>
      <c r="AY202" s="173">
        <f>AY145</f>
        <v/>
      </c>
      <c r="AZ202" s="173">
        <f>AZ145</f>
        <v/>
      </c>
      <c r="BA202" s="173">
        <f>BA145</f>
        <v/>
      </c>
      <c r="BB202" s="173">
        <f>BB145</f>
        <v/>
      </c>
      <c r="BC202" s="173">
        <f>BC145</f>
        <v/>
      </c>
      <c r="BD202" s="173">
        <f>BD145</f>
        <v/>
      </c>
      <c r="BE202" s="173">
        <f>BE145</f>
        <v/>
      </c>
      <c r="BF202" s="173">
        <f>BF145</f>
        <v/>
      </c>
      <c r="BG202" s="173">
        <f>BG145</f>
        <v/>
      </c>
      <c r="BH202" s="173">
        <f>BH145</f>
        <v/>
      </c>
      <c r="BI202" s="173">
        <f>BI145</f>
        <v/>
      </c>
      <c r="BJ202" s="173">
        <f>BJ145</f>
        <v/>
      </c>
      <c r="BK202" s="173">
        <f>BK145</f>
        <v/>
      </c>
      <c r="BL202" s="173">
        <f>BL145</f>
        <v/>
      </c>
      <c r="BM202" s="173">
        <f>BM145</f>
        <v/>
      </c>
      <c r="BN202" s="173">
        <f>BN145</f>
        <v/>
      </c>
      <c r="BO202" s="173">
        <f>BO145</f>
        <v/>
      </c>
      <c r="BP202" s="173">
        <f>BP145</f>
        <v/>
      </c>
      <c r="BQ202" s="173">
        <f>BQ145</f>
        <v/>
      </c>
      <c r="BR202" s="173">
        <f>BR145</f>
        <v/>
      </c>
      <c r="BS202" s="173">
        <f>BS145</f>
        <v/>
      </c>
      <c r="BT202" s="173">
        <f>BT145</f>
        <v/>
      </c>
      <c r="BU202" s="173">
        <f>BU145</f>
        <v/>
      </c>
      <c r="BV202" s="173">
        <f>BV145</f>
        <v/>
      </c>
      <c r="BW202" s="173">
        <f>BW145</f>
        <v/>
      </c>
      <c r="BX202" s="173">
        <f>BX145</f>
        <v/>
      </c>
      <c r="BY202" s="173">
        <f>BY145</f>
        <v/>
      </c>
      <c r="BZ202" s="173">
        <f>BZ145</f>
        <v/>
      </c>
      <c r="CA202" s="173">
        <f>CA145</f>
        <v/>
      </c>
      <c r="CB202" s="173">
        <f>CB145</f>
        <v/>
      </c>
      <c r="CC202" s="173">
        <f>CC145</f>
        <v/>
      </c>
      <c r="CD202" s="173">
        <f>CD145</f>
        <v/>
      </c>
      <c r="CE202" s="173">
        <f>CE145</f>
        <v/>
      </c>
      <c r="CF202" s="173">
        <f>CF145</f>
        <v/>
      </c>
      <c r="CG202" s="173">
        <f>CG145</f>
        <v/>
      </c>
      <c r="CH202" s="173">
        <f>CH145</f>
        <v/>
      </c>
      <c r="CI202" s="173">
        <f>CI145</f>
        <v/>
      </c>
      <c r="CJ202" s="173">
        <f>CJ145</f>
        <v/>
      </c>
      <c r="CK202" s="173">
        <f>CK145</f>
        <v/>
      </c>
      <c r="CL202" s="173">
        <f>CL145</f>
        <v/>
      </c>
      <c r="CM202" s="174">
        <f>CM145</f>
        <v/>
      </c>
      <c r="CN202" s="174">
        <f>CN145</f>
        <v/>
      </c>
      <c r="CO202" s="174">
        <f>CO145</f>
        <v/>
      </c>
      <c r="CP202" s="174">
        <f>CP145</f>
        <v/>
      </c>
      <c r="CQ202" s="174">
        <f>CQ145</f>
        <v/>
      </c>
      <c r="CR202" s="174">
        <f>CR145</f>
        <v/>
      </c>
      <c r="CS202" s="174">
        <f>CS145</f>
        <v/>
      </c>
      <c r="CT202" s="22" t="n"/>
      <c r="CV202" s="6" t="n"/>
      <c r="CW202" s="6" t="n"/>
      <c r="CX202" s="6" t="n"/>
      <c r="CY202" s="6" t="n"/>
    </row>
    <row r="203" ht="15" customHeight="1">
      <c r="B203" s="12" t="inlineStr">
        <is>
          <t xml:space="preserve">  (+) Other nonoperating income (expense), net</t>
        </is>
      </c>
      <c r="C203" s="170">
        <f>N(C146)</f>
        <v/>
      </c>
      <c r="D203" s="170">
        <f>N(D146)</f>
        <v/>
      </c>
      <c r="E203" s="170">
        <f>N(E146)</f>
        <v/>
      </c>
      <c r="F203" s="170">
        <f>N(F146)</f>
        <v/>
      </c>
      <c r="G203" s="170">
        <f>N(G146)</f>
        <v/>
      </c>
      <c r="H203" s="170">
        <f>N(H146)</f>
        <v/>
      </c>
      <c r="I203" s="170">
        <f>N(I146)</f>
        <v/>
      </c>
      <c r="J203" s="170">
        <f>N(J146)</f>
        <v/>
      </c>
      <c r="K203" s="170">
        <f>N(K146)</f>
        <v/>
      </c>
      <c r="L203" s="170">
        <f>N(L146)</f>
        <v/>
      </c>
      <c r="M203" s="170">
        <f>N(M146)</f>
        <v/>
      </c>
      <c r="N203" s="170">
        <f>N(N146)</f>
        <v/>
      </c>
      <c r="O203" s="170">
        <f>N(O146)</f>
        <v/>
      </c>
      <c r="P203" s="170">
        <f>N(P146)</f>
        <v/>
      </c>
      <c r="Q203" s="170">
        <f>N(Q146)</f>
        <v/>
      </c>
      <c r="R203" s="170">
        <f>N(R146)</f>
        <v/>
      </c>
      <c r="S203" s="170">
        <f>N(S146)</f>
        <v/>
      </c>
      <c r="T203" s="170">
        <f>N(T146)</f>
        <v/>
      </c>
      <c r="U203" s="170">
        <f>N(U146)</f>
        <v/>
      </c>
      <c r="V203" s="170">
        <f>N(V146)</f>
        <v/>
      </c>
      <c r="W203" s="170">
        <f>N(W146)</f>
        <v/>
      </c>
      <c r="X203" s="170">
        <f>N(X146)</f>
        <v/>
      </c>
      <c r="Y203" s="170">
        <f>N(Y146)</f>
        <v/>
      </c>
      <c r="Z203" s="170">
        <f>N(Z146)</f>
        <v/>
      </c>
      <c r="AA203" s="170">
        <f>N(AA146)</f>
        <v/>
      </c>
      <c r="AB203" s="170">
        <f>N(AB146)</f>
        <v/>
      </c>
      <c r="AC203" s="170">
        <f>N(AC146)</f>
        <v/>
      </c>
      <c r="AD203" s="170">
        <f>N(AD146)</f>
        <v/>
      </c>
      <c r="AE203" s="170">
        <f>N(AE146)</f>
        <v/>
      </c>
      <c r="AF203" s="170">
        <f>N(AF146)</f>
        <v/>
      </c>
      <c r="AG203" s="170">
        <f>N(AG146)</f>
        <v/>
      </c>
      <c r="AH203" s="170">
        <f>N(AH146)</f>
        <v/>
      </c>
      <c r="AI203" s="170">
        <f>N(AI146)</f>
        <v/>
      </c>
      <c r="AJ203" s="170">
        <f>N(AJ146)</f>
        <v/>
      </c>
      <c r="AK203" s="170">
        <f>N(AK146)</f>
        <v/>
      </c>
      <c r="AL203" s="170">
        <f>N(AL146)</f>
        <v/>
      </c>
      <c r="AM203" s="170">
        <f>N(AM146)</f>
        <v/>
      </c>
      <c r="AN203" s="170">
        <f>N(AN146)</f>
        <v/>
      </c>
      <c r="AO203" s="170">
        <f>N(AO146)</f>
        <v/>
      </c>
      <c r="AP203" s="170">
        <f>N(AP146)</f>
        <v/>
      </c>
      <c r="AQ203" s="170">
        <f>N(AQ146)</f>
        <v/>
      </c>
      <c r="AR203" s="170">
        <f>N(AR146)</f>
        <v/>
      </c>
      <c r="AS203" s="170">
        <f>N(AS146)</f>
        <v/>
      </c>
      <c r="AT203" s="170">
        <f>N(AT146)</f>
        <v/>
      </c>
      <c r="AU203" s="170">
        <f>N(AU146)</f>
        <v/>
      </c>
      <c r="AV203" s="170">
        <f>N(AV146)</f>
        <v/>
      </c>
      <c r="AW203" s="170">
        <f>N(AW146)</f>
        <v/>
      </c>
      <c r="AX203" s="170">
        <f>N(AX146)</f>
        <v/>
      </c>
      <c r="AY203" s="170">
        <f>N(AY146)</f>
        <v/>
      </c>
      <c r="AZ203" s="170">
        <f>N(AZ146)</f>
        <v/>
      </c>
      <c r="BA203" s="170">
        <f>N(BA146)</f>
        <v/>
      </c>
      <c r="BB203" s="170">
        <f>N(BB146)</f>
        <v/>
      </c>
      <c r="BC203" s="170">
        <f>N(BC146)</f>
        <v/>
      </c>
      <c r="BD203" s="170">
        <f>N(BD146)</f>
        <v/>
      </c>
      <c r="BE203" s="170">
        <f>N(BE146)</f>
        <v/>
      </c>
      <c r="BF203" s="170">
        <f>N(BF146)</f>
        <v/>
      </c>
      <c r="BG203" s="170">
        <f>N(BG146)</f>
        <v/>
      </c>
      <c r="BH203" s="170">
        <f>N(BH146)</f>
        <v/>
      </c>
      <c r="BI203" s="170">
        <f>N(BI146)</f>
        <v/>
      </c>
      <c r="BJ203" s="170">
        <f>N(BJ146)</f>
        <v/>
      </c>
      <c r="BK203" s="170">
        <f>N(BK146)</f>
        <v/>
      </c>
      <c r="BL203" s="170">
        <f>N(BL146)</f>
        <v/>
      </c>
      <c r="BM203" s="170">
        <f>N(BM146)</f>
        <v/>
      </c>
      <c r="BN203" s="170">
        <f>N(BN146)</f>
        <v/>
      </c>
      <c r="BO203" s="170">
        <f>N(BO146)</f>
        <v/>
      </c>
      <c r="BP203" s="170">
        <f>N(BP146)</f>
        <v/>
      </c>
      <c r="BQ203" s="170">
        <f>N(BQ146)</f>
        <v/>
      </c>
      <c r="BR203" s="170">
        <f>N(BR146)</f>
        <v/>
      </c>
      <c r="BS203" s="170">
        <f>N(BS146)</f>
        <v/>
      </c>
      <c r="BT203" s="170">
        <f>N(BT146)</f>
        <v/>
      </c>
      <c r="BU203" s="170">
        <f>N(BU146)</f>
        <v/>
      </c>
      <c r="BV203" s="170">
        <f>N(BV146)</f>
        <v/>
      </c>
      <c r="BW203" s="170">
        <f>N(BW146)</f>
        <v/>
      </c>
      <c r="BX203" s="170">
        <f>N(BX146)</f>
        <v/>
      </c>
      <c r="BY203" s="170">
        <f>N(BY146)</f>
        <v/>
      </c>
      <c r="BZ203" s="170">
        <f>N(BZ146)</f>
        <v/>
      </c>
      <c r="CA203" s="170">
        <f>N(CA146)</f>
        <v/>
      </c>
      <c r="CB203" s="170">
        <f>N(CB146)</f>
        <v/>
      </c>
      <c r="CC203" s="170">
        <f>N(CC146)</f>
        <v/>
      </c>
      <c r="CD203" s="170">
        <f>N(CD146)</f>
        <v/>
      </c>
      <c r="CE203" s="170">
        <f>N(CE146)</f>
        <v/>
      </c>
      <c r="CF203" s="170">
        <f>N(CF146)</f>
        <v/>
      </c>
      <c r="CG203" s="170">
        <f>N(CG146)</f>
        <v/>
      </c>
      <c r="CH203" s="170">
        <f>N(CH146)</f>
        <v/>
      </c>
      <c r="CI203" s="170">
        <f>N(CI146)</f>
        <v/>
      </c>
      <c r="CJ203" s="170">
        <f>N(CJ146)</f>
        <v/>
      </c>
      <c r="CK203" s="170">
        <f>N(CK146)</f>
        <v/>
      </c>
      <c r="CL203" s="170">
        <f>N(CL146)</f>
        <v/>
      </c>
      <c r="CM203" s="171">
        <f>N(CM146)</f>
        <v/>
      </c>
      <c r="CN203" s="171">
        <f>N(CN146)</f>
        <v/>
      </c>
      <c r="CO203" s="171">
        <f>N(CO146)</f>
        <v/>
      </c>
      <c r="CP203" s="171">
        <f>N(CP146)</f>
        <v/>
      </c>
      <c r="CQ203" s="171">
        <f>N(CQ146)</f>
        <v/>
      </c>
      <c r="CR203" s="171">
        <f>N(CR146)</f>
        <v/>
      </c>
      <c r="CS203" s="171">
        <f>N(CS146)</f>
        <v/>
      </c>
      <c r="CT203" s="22" t="n"/>
      <c r="CV203" s="23" t="n"/>
      <c r="CW203" s="23" t="n"/>
      <c r="CX203" s="23" t="n"/>
      <c r="CY203" s="23" t="n"/>
    </row>
    <row r="204" ht="15" customHeight="1">
      <c r="B204" s="12" t="inlineStr">
        <is>
          <t xml:space="preserve">  (−) Earnings attributable to noncontrolling interests</t>
        </is>
      </c>
      <c r="C204" s="170">
        <f>-N(C154)</f>
        <v/>
      </c>
      <c r="D204" s="170">
        <f>-N(D154)</f>
        <v/>
      </c>
      <c r="E204" s="170">
        <f>-N(E154)</f>
        <v/>
      </c>
      <c r="F204" s="170">
        <f>-N(F154)</f>
        <v/>
      </c>
      <c r="G204" s="170">
        <f>-N(G154)</f>
        <v/>
      </c>
      <c r="H204" s="170">
        <f>-N(H154)</f>
        <v/>
      </c>
      <c r="I204" s="170">
        <f>-N(I154)</f>
        <v/>
      </c>
      <c r="J204" s="170">
        <f>-N(J154)</f>
        <v/>
      </c>
      <c r="K204" s="170">
        <f>-N(K154)</f>
        <v/>
      </c>
      <c r="L204" s="170">
        <f>-N(L154)</f>
        <v/>
      </c>
      <c r="M204" s="170">
        <f>-N(M154)</f>
        <v/>
      </c>
      <c r="N204" s="170">
        <f>-N(N154)</f>
        <v/>
      </c>
      <c r="O204" s="170">
        <f>-N(O154)</f>
        <v/>
      </c>
      <c r="P204" s="170">
        <f>-N(P154)</f>
        <v/>
      </c>
      <c r="Q204" s="170">
        <f>-N(Q154)</f>
        <v/>
      </c>
      <c r="R204" s="170">
        <f>-N(R154)</f>
        <v/>
      </c>
      <c r="S204" s="170">
        <f>-N(S154)</f>
        <v/>
      </c>
      <c r="T204" s="170">
        <f>-N(T154)</f>
        <v/>
      </c>
      <c r="U204" s="170">
        <f>-N(U154)</f>
        <v/>
      </c>
      <c r="V204" s="170">
        <f>-N(V154)</f>
        <v/>
      </c>
      <c r="W204" s="170">
        <f>-N(W154)</f>
        <v/>
      </c>
      <c r="X204" s="170">
        <f>-N(X154)</f>
        <v/>
      </c>
      <c r="Y204" s="170">
        <f>-N(Y154)</f>
        <v/>
      </c>
      <c r="Z204" s="170">
        <f>-N(Z154)</f>
        <v/>
      </c>
      <c r="AA204" s="170">
        <f>-N(AA154)</f>
        <v/>
      </c>
      <c r="AB204" s="170">
        <f>-N(AB154)</f>
        <v/>
      </c>
      <c r="AC204" s="170">
        <f>-N(AC154)</f>
        <v/>
      </c>
      <c r="AD204" s="170">
        <f>-N(AD154)</f>
        <v/>
      </c>
      <c r="AE204" s="170">
        <f>-N(AE154)</f>
        <v/>
      </c>
      <c r="AF204" s="170">
        <f>-N(AF154)</f>
        <v/>
      </c>
      <c r="AG204" s="170">
        <f>-N(AG154)</f>
        <v/>
      </c>
      <c r="AH204" s="170">
        <f>-N(AH154)</f>
        <v/>
      </c>
      <c r="AI204" s="170">
        <f>-N(AI154)</f>
        <v/>
      </c>
      <c r="AJ204" s="170">
        <f>-N(AJ154)</f>
        <v/>
      </c>
      <c r="AK204" s="170">
        <f>-N(AK154)</f>
        <v/>
      </c>
      <c r="AL204" s="170">
        <f>-N(AL154)</f>
        <v/>
      </c>
      <c r="AM204" s="170">
        <f>-N(AM154)</f>
        <v/>
      </c>
      <c r="AN204" s="170">
        <f>-N(AN154)</f>
        <v/>
      </c>
      <c r="AO204" s="170">
        <f>-N(AO154)</f>
        <v/>
      </c>
      <c r="AP204" s="170">
        <f>-N(AP154)</f>
        <v/>
      </c>
      <c r="AQ204" s="170">
        <f>-N(AQ154)</f>
        <v/>
      </c>
      <c r="AR204" s="170">
        <f>-N(AR154)</f>
        <v/>
      </c>
      <c r="AS204" s="170">
        <f>-N(AS154)</f>
        <v/>
      </c>
      <c r="AT204" s="170">
        <f>-N(AT154)</f>
        <v/>
      </c>
      <c r="AU204" s="170">
        <f>-N(AU154)</f>
        <v/>
      </c>
      <c r="AV204" s="170">
        <f>-N(AV154)</f>
        <v/>
      </c>
      <c r="AW204" s="170">
        <f>-N(AW154)</f>
        <v/>
      </c>
      <c r="AX204" s="170">
        <f>-N(AX154)</f>
        <v/>
      </c>
      <c r="AY204" s="170">
        <f>-N(AY154)</f>
        <v/>
      </c>
      <c r="AZ204" s="170">
        <f>-N(AZ154)</f>
        <v/>
      </c>
      <c r="BA204" s="170">
        <f>-N(BA154)</f>
        <v/>
      </c>
      <c r="BB204" s="170">
        <f>-N(BB154)</f>
        <v/>
      </c>
      <c r="BC204" s="170">
        <f>-N(BC154)</f>
        <v/>
      </c>
      <c r="BD204" s="170">
        <f>-N(BD154)</f>
        <v/>
      </c>
      <c r="BE204" s="170">
        <f>-N(BE154)</f>
        <v/>
      </c>
      <c r="BF204" s="170">
        <f>-N(BF154)</f>
        <v/>
      </c>
      <c r="BG204" s="170">
        <f>-N(BG154)</f>
        <v/>
      </c>
      <c r="BH204" s="170">
        <f>-N(BH154)</f>
        <v/>
      </c>
      <c r="BI204" s="170">
        <f>-N(BI154)</f>
        <v/>
      </c>
      <c r="BJ204" s="170">
        <f>-N(BJ154)</f>
        <v/>
      </c>
      <c r="BK204" s="170">
        <f>-N(BK154)</f>
        <v/>
      </c>
      <c r="BL204" s="170">
        <f>-N(BL154)</f>
        <v/>
      </c>
      <c r="BM204" s="170">
        <f>-N(BM154)</f>
        <v/>
      </c>
      <c r="BN204" s="170">
        <f>-N(BN154)</f>
        <v/>
      </c>
      <c r="BO204" s="170">
        <f>-N(BO154)</f>
        <v/>
      </c>
      <c r="BP204" s="170">
        <f>-N(BP154)</f>
        <v/>
      </c>
      <c r="BQ204" s="170">
        <f>-N(BQ154)</f>
        <v/>
      </c>
      <c r="BR204" s="170">
        <f>-N(BR154)</f>
        <v/>
      </c>
      <c r="BS204" s="170">
        <f>-N(BS154)</f>
        <v/>
      </c>
      <c r="BT204" s="170">
        <f>-N(BT154)</f>
        <v/>
      </c>
      <c r="BU204" s="170">
        <f>-N(BU154)</f>
        <v/>
      </c>
      <c r="BV204" s="170">
        <f>-N(BV154)</f>
        <v/>
      </c>
      <c r="BW204" s="170">
        <f>-N(BW154)</f>
        <v/>
      </c>
      <c r="BX204" s="170">
        <f>-N(BX154)</f>
        <v/>
      </c>
      <c r="BY204" s="170">
        <f>-N(BY154)</f>
        <v/>
      </c>
      <c r="BZ204" s="170">
        <f>-N(BZ154)</f>
        <v/>
      </c>
      <c r="CA204" s="170">
        <f>-N(CA154)</f>
        <v/>
      </c>
      <c r="CB204" s="170">
        <f>-N(CB154)</f>
        <v/>
      </c>
      <c r="CC204" s="170">
        <f>-N(CC154)</f>
        <v/>
      </c>
      <c r="CD204" s="170">
        <f>-N(CD154)</f>
        <v/>
      </c>
      <c r="CE204" s="170">
        <f>-N(CE154)</f>
        <v/>
      </c>
      <c r="CF204" s="170">
        <f>-N(CF154)</f>
        <v/>
      </c>
      <c r="CG204" s="170">
        <f>-N(CG154)</f>
        <v/>
      </c>
      <c r="CH204" s="170">
        <f>-N(CH154)</f>
        <v/>
      </c>
      <c r="CI204" s="170">
        <f>-N(CI154)</f>
        <v/>
      </c>
      <c r="CJ204" s="170">
        <f>-N(CJ154)</f>
        <v/>
      </c>
      <c r="CK204" s="170">
        <f>-N(CK154)</f>
        <v/>
      </c>
      <c r="CL204" s="170">
        <f>-N(CL154)</f>
        <v/>
      </c>
      <c r="CM204" s="171">
        <f>-N(CM154)</f>
        <v/>
      </c>
      <c r="CN204" s="171">
        <f>-N(CN154)</f>
        <v/>
      </c>
      <c r="CO204" s="171">
        <f>-N(CO154)</f>
        <v/>
      </c>
      <c r="CP204" s="171">
        <f>-N(CP154)</f>
        <v/>
      </c>
      <c r="CQ204" s="171">
        <f>-N(CQ154)</f>
        <v/>
      </c>
      <c r="CR204" s="171">
        <f>-N(CR154)</f>
        <v/>
      </c>
      <c r="CS204" s="171">
        <f>-N(CS154)</f>
        <v/>
      </c>
      <c r="CT204" s="22" t="n"/>
      <c r="CV204" s="23" t="n"/>
      <c r="CW204" s="23" t="n"/>
      <c r="CX204" s="23" t="n"/>
      <c r="CY204" s="23" t="n"/>
    </row>
    <row r="205" ht="15" customHeight="1">
      <c r="B205" s="12" t="inlineStr">
        <is>
          <t xml:space="preserve">  (+) Adjusting items excl. discontinued operations (company bridge)</t>
        </is>
      </c>
      <c r="C205" s="170">
        <f>N(C191)-N(C182)</f>
        <v/>
      </c>
      <c r="D205" s="170">
        <f>N(D191)-N(D182)</f>
        <v/>
      </c>
      <c r="E205" s="170">
        <f>N(E191)-N(E182)</f>
        <v/>
      </c>
      <c r="F205" s="170">
        <f>N(F191)-N(F182)</f>
        <v/>
      </c>
      <c r="G205" s="170">
        <f>N(G191)-N(G182)</f>
        <v/>
      </c>
      <c r="H205" s="170">
        <f>N(H191)-N(H182)</f>
        <v/>
      </c>
      <c r="I205" s="170">
        <f>N(I191)-N(I182)</f>
        <v/>
      </c>
      <c r="J205" s="170">
        <f>N(J191)-N(J182)</f>
        <v/>
      </c>
      <c r="K205" s="170">
        <f>N(K191)-N(K182)</f>
        <v/>
      </c>
      <c r="L205" s="170">
        <f>N(L191)-N(L182)</f>
        <v/>
      </c>
      <c r="M205" s="170">
        <f>N(M191)-N(M182)</f>
        <v/>
      </c>
      <c r="N205" s="170">
        <f>N(N191)-N(N182)</f>
        <v/>
      </c>
      <c r="O205" s="170">
        <f>N(O191)-N(O182)</f>
        <v/>
      </c>
      <c r="P205" s="170">
        <f>N(P191)-N(P182)</f>
        <v/>
      </c>
      <c r="Q205" s="170">
        <f>N(Q191)-N(Q182)</f>
        <v/>
      </c>
      <c r="R205" s="170">
        <f>N(R191)-N(R182)</f>
        <v/>
      </c>
      <c r="S205" s="170">
        <f>N(S191)-N(S182)</f>
        <v/>
      </c>
      <c r="T205" s="170">
        <f>N(T191)-N(T182)</f>
        <v/>
      </c>
      <c r="U205" s="170">
        <f>N(U191)-N(U182)</f>
        <v/>
      </c>
      <c r="V205" s="170">
        <f>N(V191)-N(V182)</f>
        <v/>
      </c>
      <c r="W205" s="170">
        <f>N(W191)-N(W182)</f>
        <v/>
      </c>
      <c r="X205" s="170">
        <f>N(X191)-N(X182)</f>
        <v/>
      </c>
      <c r="Y205" s="170">
        <f>N(Y191)-N(Y182)</f>
        <v/>
      </c>
      <c r="Z205" s="170">
        <f>N(Z191)-N(Z182)</f>
        <v/>
      </c>
      <c r="AA205" s="170">
        <f>N(AA191)-N(AA182)</f>
        <v/>
      </c>
      <c r="AB205" s="170">
        <f>N(AB191)-N(AB182)</f>
        <v/>
      </c>
      <c r="AC205" s="170">
        <f>N(AC191)-N(AC182)</f>
        <v/>
      </c>
      <c r="AD205" s="170">
        <f>N(AD191)-N(AD182)</f>
        <v/>
      </c>
      <c r="AE205" s="170">
        <f>N(AE191)-N(AE182)</f>
        <v/>
      </c>
      <c r="AF205" s="170">
        <f>N(AF191)-N(AF182)</f>
        <v/>
      </c>
      <c r="AG205" s="170">
        <f>N(AG191)-N(AG182)</f>
        <v/>
      </c>
      <c r="AH205" s="170">
        <f>N(AH191)-N(AH182)</f>
        <v/>
      </c>
      <c r="AI205" s="170">
        <f>N(AI191)-N(AI182)</f>
        <v/>
      </c>
      <c r="AJ205" s="170">
        <f>N(AJ191)-N(AJ182)</f>
        <v/>
      </c>
      <c r="AK205" s="170">
        <f>N(AK191)-N(AK182)</f>
        <v/>
      </c>
      <c r="AL205" s="170">
        <f>N(AL191)-N(AL182)</f>
        <v/>
      </c>
      <c r="AM205" s="170">
        <f>N(AM191)-N(AM182)</f>
        <v/>
      </c>
      <c r="AN205" s="170">
        <f>N(AN191)-N(AN182)</f>
        <v/>
      </c>
      <c r="AO205" s="170">
        <f>N(AO191)-N(AO182)</f>
        <v/>
      </c>
      <c r="AP205" s="170">
        <f>N(AP191)-N(AP182)</f>
        <v/>
      </c>
      <c r="AQ205" s="170">
        <f>N(AQ191)-N(AQ182)</f>
        <v/>
      </c>
      <c r="AR205" s="170">
        <f>N(AR191)-N(AR182)</f>
        <v/>
      </c>
      <c r="AS205" s="170">
        <f>N(AS191)-N(AS182)</f>
        <v/>
      </c>
      <c r="AT205" s="170">
        <f>N(AT191)-N(AT182)</f>
        <v/>
      </c>
      <c r="AU205" s="170">
        <f>N(AU191)-N(AU182)</f>
        <v/>
      </c>
      <c r="AV205" s="170">
        <f>N(AV191)-N(AV182)</f>
        <v/>
      </c>
      <c r="AW205" s="170">
        <f>N(AW191)-N(AW182)</f>
        <v/>
      </c>
      <c r="AX205" s="170">
        <f>N(AX191)-N(AX182)</f>
        <v/>
      </c>
      <c r="AY205" s="170">
        <f>N(AY191)-N(AY182)</f>
        <v/>
      </c>
      <c r="AZ205" s="170">
        <f>N(AZ191)-N(AZ182)</f>
        <v/>
      </c>
      <c r="BA205" s="170">
        <f>N(BA191)-N(BA182)</f>
        <v/>
      </c>
      <c r="BB205" s="170">
        <f>N(BB191)-N(BB182)</f>
        <v/>
      </c>
      <c r="BC205" s="170">
        <f>N(BC191)-N(BC182)</f>
        <v/>
      </c>
      <c r="BD205" s="170">
        <f>N(BD191)-N(BD182)</f>
        <v/>
      </c>
      <c r="BE205" s="170">
        <f>N(BE191)-N(BE182)</f>
        <v/>
      </c>
      <c r="BF205" s="170">
        <f>N(BF191)-N(BF182)</f>
        <v/>
      </c>
      <c r="BG205" s="170">
        <f>N(BG191)-N(BG182)</f>
        <v/>
      </c>
      <c r="BH205" s="170">
        <f>N(BH191)-N(BH182)</f>
        <v/>
      </c>
      <c r="BI205" s="170">
        <f>N(BI191)-N(BI182)</f>
        <v/>
      </c>
      <c r="BJ205" s="170">
        <f>N(BJ191)-N(BJ182)</f>
        <v/>
      </c>
      <c r="BK205" s="170">
        <f>N(BK191)-N(BK182)</f>
        <v/>
      </c>
      <c r="BL205" s="170">
        <f>N(BL191)-N(BL182)</f>
        <v/>
      </c>
      <c r="BM205" s="170">
        <f>N(BM191)-N(BM182)</f>
        <v/>
      </c>
      <c r="BN205" s="170">
        <f>N(BN191)-N(BN182)</f>
        <v/>
      </c>
      <c r="BO205" s="170">
        <f>N(BO191)-N(BO182)</f>
        <v/>
      </c>
      <c r="BP205" s="170">
        <f>N(BP191)-N(BP182)</f>
        <v/>
      </c>
      <c r="BQ205" s="170">
        <f>N(BQ191)-N(BQ182)</f>
        <v/>
      </c>
      <c r="BR205" s="170">
        <f>N(BR191)-N(BR182)</f>
        <v/>
      </c>
      <c r="BS205" s="170">
        <f>N(BS191)-N(BS182)</f>
        <v/>
      </c>
      <c r="BT205" s="170">
        <f>N(BT191)-N(BT182)</f>
        <v/>
      </c>
      <c r="BU205" s="170">
        <f>N(BU191)-N(BU182)</f>
        <v/>
      </c>
      <c r="BV205" s="170">
        <f>N(BV191)-N(BV182)</f>
        <v/>
      </c>
      <c r="BW205" s="170">
        <f>N(BW191)-N(BW182)</f>
        <v/>
      </c>
      <c r="BX205" s="170">
        <f>N(BX191)-N(BX182)</f>
        <v/>
      </c>
      <c r="BY205" s="170">
        <f>N(BY191)-N(BY182)</f>
        <v/>
      </c>
      <c r="BZ205" s="170">
        <f>N(BZ191)-N(BZ182)</f>
        <v/>
      </c>
      <c r="CA205" s="170">
        <f>N(CA191)-N(CA182)</f>
        <v/>
      </c>
      <c r="CB205" s="170">
        <f>N(CB191)-N(CB182)</f>
        <v/>
      </c>
      <c r="CC205" s="170">
        <f>N(CC191)-N(CC182)</f>
        <v/>
      </c>
      <c r="CD205" s="170">
        <f>N(CD191)-N(CD182)</f>
        <v/>
      </c>
      <c r="CE205" s="170">
        <f>N(CE191)-N(CE182)</f>
        <v/>
      </c>
      <c r="CF205" s="170">
        <f>N(CF191)-N(CF182)</f>
        <v/>
      </c>
      <c r="CG205" s="170">
        <f>N(CG191)-N(CG182)</f>
        <v/>
      </c>
      <c r="CH205" s="170">
        <f>N(CH191)-N(CH182)</f>
        <v/>
      </c>
      <c r="CI205" s="170">
        <f>N(CI191)-N(CI182)</f>
        <v/>
      </c>
      <c r="CJ205" s="170">
        <f>N(CJ191)-N(CJ182)</f>
        <v/>
      </c>
      <c r="CK205" s="170">
        <f>N(CK191)-N(CK182)</f>
        <v/>
      </c>
      <c r="CL205" s="170">
        <f>N(CL191)-N(CL182)</f>
        <v/>
      </c>
      <c r="CM205" s="171">
        <f>N(CM191)-N(CM182)</f>
        <v/>
      </c>
      <c r="CN205" s="171">
        <f>N(CN191)-N(CN182)</f>
        <v/>
      </c>
      <c r="CO205" s="171">
        <f>N(CO191)-N(CO182)</f>
        <v/>
      </c>
      <c r="CP205" s="171">
        <f>N(CP191)-N(CP182)</f>
        <v/>
      </c>
      <c r="CQ205" s="171">
        <f>N(CQ191)-N(CQ182)</f>
        <v/>
      </c>
      <c r="CR205" s="171">
        <f>N(CR191)-N(CR182)</f>
        <v/>
      </c>
      <c r="CS205" s="171">
        <f>N(CS191)-N(CS182)</f>
        <v/>
      </c>
      <c r="CT205" s="22" t="n"/>
      <c r="CV205" s="23" t="n"/>
      <c r="CW205" s="23" t="n"/>
      <c r="CX205" s="23" t="n"/>
      <c r="CY205" s="23" t="n"/>
    </row>
    <row r="206" ht="15" customHeight="1">
      <c r="B206" s="33" t="inlineStr">
        <is>
          <t xml:space="preserve">  = Adjusted EBIT (model)</t>
        </is>
      </c>
      <c r="C206" s="175">
        <f>IF(ISNUMBER(C202),C202+C203+C204+C205,"")</f>
        <v/>
      </c>
      <c r="D206" s="175">
        <f>IF(ISNUMBER(D202),D202+D203+D204+D205,"")</f>
        <v/>
      </c>
      <c r="E206" s="175">
        <f>IF(ISNUMBER(E202),E202+E203+E204+E205,"")</f>
        <v/>
      </c>
      <c r="F206" s="175">
        <f>IF(ISNUMBER(F202),F202+F203+F204+F205,"")</f>
        <v/>
      </c>
      <c r="G206" s="175">
        <f>IF(ISNUMBER(G202),G202+G203+G204+G205,"")</f>
        <v/>
      </c>
      <c r="H206" s="175">
        <f>IF(ISNUMBER(H202),H202+H203+H204+H205,"")</f>
        <v/>
      </c>
      <c r="I206" s="175">
        <f>IF(ISNUMBER(I202),I202+I203+I204+I205,"")</f>
        <v/>
      </c>
      <c r="J206" s="173">
        <f>IF(ISNUMBER(J202),J202+J203+J204+J205,"")</f>
        <v/>
      </c>
      <c r="K206" s="173">
        <f>IF(ISNUMBER(K202),K202+K203+K204+K205,"")</f>
        <v/>
      </c>
      <c r="L206" s="173">
        <f>IF(ISNUMBER(L202),L202+L203+L204+L205,"")</f>
        <v/>
      </c>
      <c r="M206" s="173">
        <f>IF(ISNUMBER(M202),M202+M203+M204+M205,"")</f>
        <v/>
      </c>
      <c r="N206" s="173">
        <f>IF(ISNUMBER(N202),N202+N203+N204+N205,"")</f>
        <v/>
      </c>
      <c r="O206" s="175">
        <f>IF(ISNUMBER(O202),O202+O203+O204+O205,"")</f>
        <v/>
      </c>
      <c r="P206" s="173">
        <f>IF(ISNUMBER(P202),P202+P203+P204+P205,"")</f>
        <v/>
      </c>
      <c r="Q206" s="173">
        <f>IF(ISNUMBER(Q202),Q202+Q203+Q204+Q205,"")</f>
        <v/>
      </c>
      <c r="R206" s="173">
        <f>IF(ISNUMBER(R202),R202+R203+R204+R205,"")</f>
        <v/>
      </c>
      <c r="S206" s="173">
        <f>IF(ISNUMBER(S202),S202+S203+S204+S205,"")</f>
        <v/>
      </c>
      <c r="T206" s="173">
        <f>IF(ISNUMBER(T202),T202+T203+T204+T205,"")</f>
        <v/>
      </c>
      <c r="U206" s="175">
        <f>IF(ISNUMBER(U202),U202+U203+U204+U205,"")</f>
        <v/>
      </c>
      <c r="V206" s="173">
        <f>IF(ISNUMBER(V202),V202+V203+V204+V205,"")</f>
        <v/>
      </c>
      <c r="W206" s="173">
        <f>IF(ISNUMBER(W202),W202+W203+W204+W205,"")</f>
        <v/>
      </c>
      <c r="X206" s="173">
        <f>IF(ISNUMBER(X202),X202+X203+X204+X205,"")</f>
        <v/>
      </c>
      <c r="Y206" s="173">
        <f>IF(ISNUMBER(Y202),Y202+Y203+Y204+Y205,"")</f>
        <v/>
      </c>
      <c r="Z206" s="173">
        <f>IF(ISNUMBER(Z202),Z202+Z203+Z204+Z205,"")</f>
        <v/>
      </c>
      <c r="AA206" s="175">
        <f>IF(ISNUMBER(AA202),AA202+AA203+AA204+AA205,"")</f>
        <v/>
      </c>
      <c r="AB206" s="173">
        <f>IF(ISNUMBER(AB202),AB202+AB203+AB204+AB205,"")</f>
        <v/>
      </c>
      <c r="AC206" s="173">
        <f>IF(ISNUMBER(AC202),AC202+AC203+AC204+AC205,"")</f>
        <v/>
      </c>
      <c r="AD206" s="173">
        <f>IF(ISNUMBER(AD202),AD202+AD203+AD204+AD205,"")</f>
        <v/>
      </c>
      <c r="AE206" s="173">
        <f>IF(ISNUMBER(AE202),AE202+AE203+AE204+AE205,"")</f>
        <v/>
      </c>
      <c r="AF206" s="173">
        <f>IF(ISNUMBER(AF202),AF202+AF203+AF204+AF205,"")</f>
        <v/>
      </c>
      <c r="AG206" s="175">
        <f>IF(ISNUMBER(AG202),AG202+AG203+AG204+AG205,"")</f>
        <v/>
      </c>
      <c r="AH206" s="173">
        <f>IF(ISNUMBER(AH202),AH202+AH203+AH204+AH205,"")</f>
        <v/>
      </c>
      <c r="AI206" s="173">
        <f>IF(ISNUMBER(AI202),AI202+AI203+AI204+AI205,"")</f>
        <v/>
      </c>
      <c r="AJ206" s="173">
        <f>IF(ISNUMBER(AJ202),AJ202+AJ203+AJ204+AJ205,"")</f>
        <v/>
      </c>
      <c r="AK206" s="173">
        <f>IF(ISNUMBER(AK202),AK202+AK203+AK204+AK205,"")</f>
        <v/>
      </c>
      <c r="AL206" s="173">
        <f>IF(ISNUMBER(AL202),AL202+AL203+AL204+AL205,"")</f>
        <v/>
      </c>
      <c r="AM206" s="175">
        <f>IF(ISNUMBER(AM202),AM202+AM203+AM204+AM205,"")</f>
        <v/>
      </c>
      <c r="AN206" s="173">
        <f>IF(ISNUMBER(AN202),AN202+AN203+AN204+AN205,"")</f>
        <v/>
      </c>
      <c r="AO206" s="173">
        <f>IF(ISNUMBER(AO202),AO202+AO203+AO204+AO205,"")</f>
        <v/>
      </c>
      <c r="AP206" s="173">
        <f>IF(ISNUMBER(AP202),AP202+AP203+AP204+AP205,"")</f>
        <v/>
      </c>
      <c r="AQ206" s="173">
        <f>IF(ISNUMBER(AQ202),AQ202+AQ203+AQ204+AQ205,"")</f>
        <v/>
      </c>
      <c r="AR206" s="173">
        <f>IF(ISNUMBER(AR202),AR202+AR203+AR204+AR205,"")</f>
        <v/>
      </c>
      <c r="AS206" s="175">
        <f>IF(ISNUMBER(AS202),AS202+AS203+AS204+AS205,"")</f>
        <v/>
      </c>
      <c r="AT206" s="173">
        <f>IF(ISNUMBER(AT202),AT202+AT203+AT204+AT205,"")</f>
        <v/>
      </c>
      <c r="AU206" s="173">
        <f>IF(ISNUMBER(AU202),AU202+AU203+AU204+AU205,"")</f>
        <v/>
      </c>
      <c r="AV206" s="173">
        <f>IF(ISNUMBER(AV202),AV202+AV203+AV204+AV205,"")</f>
        <v/>
      </c>
      <c r="AW206" s="173">
        <f>IF(ISNUMBER(AW202),AW202+AW203+AW204+AW205,"")</f>
        <v/>
      </c>
      <c r="AX206" s="173">
        <f>IF(ISNUMBER(AX202),AX202+AX203+AX204+AX205,"")</f>
        <v/>
      </c>
      <c r="AY206" s="175">
        <f>IF(ISNUMBER(AY202),AY202+AY203+AY204+AY205,"")</f>
        <v/>
      </c>
      <c r="AZ206" s="173">
        <f>IF(ISNUMBER(AZ202),AZ202+AZ203+AZ204+AZ205,"")</f>
        <v/>
      </c>
      <c r="BA206" s="173">
        <f>IF(ISNUMBER(BA202),BA202+BA203+BA204+BA205,"")</f>
        <v/>
      </c>
      <c r="BB206" s="173">
        <f>IF(ISNUMBER(BB202),BB202+BB203+BB204+BB205,"")</f>
        <v/>
      </c>
      <c r="BC206" s="173">
        <f>IF(ISNUMBER(BC202),BC202+BC203+BC204+BC205,"")</f>
        <v/>
      </c>
      <c r="BD206" s="173">
        <f>IF(ISNUMBER(BD202),BD202+BD203+BD204+BD205,"")</f>
        <v/>
      </c>
      <c r="BE206" s="175">
        <f>IF(ISNUMBER(BE202),BE202+BE203+BE204+BE205,"")</f>
        <v/>
      </c>
      <c r="BF206" s="173">
        <f>IF(ISNUMBER(BF202),BF202+BF203+BF204+BF205,"")</f>
        <v/>
      </c>
      <c r="BG206" s="173">
        <f>IF(ISNUMBER(BG202),BG202+BG203+BG204+BG205,"")</f>
        <v/>
      </c>
      <c r="BH206" s="173">
        <f>IF(ISNUMBER(BH202),BH202+BH203+BH204+BH205,"")</f>
        <v/>
      </c>
      <c r="BI206" s="173">
        <f>IF(ISNUMBER(BI202),BI202+BI203+BI204+BI205,"")</f>
        <v/>
      </c>
      <c r="BJ206" s="173">
        <f>IF(ISNUMBER(BJ202),BJ202+BJ203+BJ204+BJ205,"")</f>
        <v/>
      </c>
      <c r="BK206" s="175">
        <f>IF(ISNUMBER(BK202),BK202+BK203+BK204+BK205,"")</f>
        <v/>
      </c>
      <c r="BL206" s="173">
        <f>IF(ISNUMBER(BL202),BL202+BL203+BL204+BL205,"")</f>
        <v/>
      </c>
      <c r="BM206" s="173">
        <f>IF(ISNUMBER(BM202),BM202+BM203+BM204+BM205,"")</f>
        <v/>
      </c>
      <c r="BN206" s="173">
        <f>IF(ISNUMBER(BN202),BN202+BN203+BN204+BN205,"")</f>
        <v/>
      </c>
      <c r="BO206" s="173">
        <f>IF(ISNUMBER(BO202),BO202+BO203+BO204+BO205,"")</f>
        <v/>
      </c>
      <c r="BP206" s="173">
        <f>IF(ISNUMBER(BP202),BP202+BP203+BP204+BP205,"")</f>
        <v/>
      </c>
      <c r="BQ206" s="175">
        <f>IF(ISNUMBER(BQ202),BQ202+BQ203+BQ204+BQ205,"")</f>
        <v/>
      </c>
      <c r="BR206" s="173">
        <f>IF(ISNUMBER(BR202),BR202+BR203+BR204+BR205,"")</f>
        <v/>
      </c>
      <c r="BS206" s="173">
        <f>IF(ISNUMBER(BS202),BS202+BS203+BS204+BS205,"")</f>
        <v/>
      </c>
      <c r="BT206" s="173">
        <f>IF(ISNUMBER(BT202),BT202+BT203+BT204+BT205,"")</f>
        <v/>
      </c>
      <c r="BU206" s="173">
        <f>IF(ISNUMBER(BU202),BU202+BU203+BU204+BU205,"")</f>
        <v/>
      </c>
      <c r="BV206" s="173">
        <f>IF(ISNUMBER(BV202),BV202+BV203+BV204+BV205,"")</f>
        <v/>
      </c>
      <c r="BW206" s="175">
        <f>IF(ISNUMBER(BW202),BW202+BW203+BW204+BW205,"")</f>
        <v/>
      </c>
      <c r="BX206" s="173">
        <f>IF(ISNUMBER(BX202),BX202+BX203+BX204+BX205,"")</f>
        <v/>
      </c>
      <c r="BY206" s="173">
        <f>IF(ISNUMBER(BY202),BY202+BY203+BY204+BY205,"")</f>
        <v/>
      </c>
      <c r="BZ206" s="173">
        <f>IF(ISNUMBER(BZ202),BZ202+BZ203+BZ204+BZ205,"")</f>
        <v/>
      </c>
      <c r="CA206" s="173">
        <f>IF(ISNUMBER(CA202),CA202+CA203+CA204+CA205,"")</f>
        <v/>
      </c>
      <c r="CB206" s="173">
        <f>IF(ISNUMBER(CB202),CB202+CB203+CB204+CB205,"")</f>
        <v/>
      </c>
      <c r="CC206" s="175">
        <f>IF(ISNUMBER(CC202),CC202+CC203+CC204+CC205,"")</f>
        <v/>
      </c>
      <c r="CD206" s="173">
        <f>IF(ISNUMBER(CD202),CD202+CD203+CD204+CD205,"")</f>
        <v/>
      </c>
      <c r="CE206" s="173">
        <f>IF(ISNUMBER(CE202),CE202+CE203+CE204+CE205,"")</f>
        <v/>
      </c>
      <c r="CF206" s="173">
        <f>IF(ISNUMBER(CF202),CF202+CF203+CF204+CF205,"")</f>
        <v/>
      </c>
      <c r="CG206" s="173">
        <f>IF(ISNUMBER(CG202),CG202+CG203+CG204+CG205,"")</f>
        <v/>
      </c>
      <c r="CH206" s="173">
        <f>IF(ISNUMBER(CH202),CH202+CH203+CH204+CH205,"")</f>
        <v/>
      </c>
      <c r="CI206" s="175">
        <f>IF(ISNUMBER(CI202),CI202+CI203+CI204+CI205,"")</f>
        <v/>
      </c>
      <c r="CJ206" s="173">
        <f>IF(ISNUMBER(CJ202),CJ202+CJ203+CJ204+CJ205,"")</f>
        <v/>
      </c>
      <c r="CK206" s="173">
        <f>IF(ISNUMBER(CK202),CK202+CK203+CK204+CK205,"")</f>
        <v/>
      </c>
      <c r="CL206" s="173">
        <f>IF(ISNUMBER(CL202),CL202+CL203+CL204+CL205,"")</f>
        <v/>
      </c>
      <c r="CM206" s="175">
        <f>IF(ISNUMBER(CM202),CM202+CM203+CM204+CM205,"")</f>
        <v/>
      </c>
      <c r="CN206" s="175">
        <f>IF(ISNUMBER(CN202),CN202+CN203+CN204+CN205,"")</f>
        <v/>
      </c>
      <c r="CO206" s="175">
        <f>IF(ISNUMBER(CO202),CO202+CO203+CO204+CO205,"")</f>
        <v/>
      </c>
      <c r="CP206" s="175">
        <f>IF(ISNUMBER(CP202),CP202+CP203+CP204+CP205,"")</f>
        <v/>
      </c>
      <c r="CQ206" s="175">
        <f>IF(ISNUMBER(CQ202),CQ202+CQ203+CQ204+CQ205,"")</f>
        <v/>
      </c>
      <c r="CR206" s="175">
        <f>IF(ISNUMBER(CR202),CR202+CR203+CR204+CR205,"")</f>
        <v/>
      </c>
      <c r="CS206" s="175">
        <f>IF(ISNUMBER(CS202),CS202+CS203+CS204+CS205,"")</f>
        <v/>
      </c>
      <c r="CT206" s="22" t="n"/>
      <c r="CV206" s="23">
        <f>IFERROR((CS206/CI206)^(1/5)-1,"n/m")</f>
        <v/>
      </c>
      <c r="CW206" s="23">
        <f>IFERROR((CI206/BE206)^(1/5)-1,"n/m")</f>
        <v/>
      </c>
      <c r="CX206" s="23">
        <f>IFERROR((CI206/AA206)^(1/10)-1,"n/m")</f>
        <v/>
      </c>
      <c r="CY206" s="23">
        <f>IFERROR((CI206/C206)^(1/19)-1,"n/m")</f>
        <v/>
      </c>
    </row>
    <row r="207" ht="15" customHeight="1">
      <c r="B207" s="25" t="inlineStr">
        <is>
          <t xml:space="preserve">  Adjusted EBIT margin %</t>
        </is>
      </c>
      <c r="C207" s="179">
        <f>IFERROR(C206/C138,"")</f>
        <v/>
      </c>
      <c r="D207" s="179">
        <f>IFERROR(D206/D138,"")</f>
        <v/>
      </c>
      <c r="E207" s="179">
        <f>IFERROR(E206/E138,"")</f>
        <v/>
      </c>
      <c r="F207" s="179">
        <f>IFERROR(F206/F138,"")</f>
        <v/>
      </c>
      <c r="G207" s="179">
        <f>IFERROR(G206/G138,"")</f>
        <v/>
      </c>
      <c r="H207" s="179">
        <f>IFERROR(H206/H138,"")</f>
        <v/>
      </c>
      <c r="I207" s="179">
        <f>IFERROR(I206/I138,"")</f>
        <v/>
      </c>
      <c r="J207" s="179">
        <f>IFERROR(J206/J138,"")</f>
        <v/>
      </c>
      <c r="K207" s="179">
        <f>IFERROR(K206/K138,"")</f>
        <v/>
      </c>
      <c r="L207" s="179">
        <f>IFERROR(L206/L138,"")</f>
        <v/>
      </c>
      <c r="M207" s="179">
        <f>IFERROR(M206/M138,"")</f>
        <v/>
      </c>
      <c r="N207" s="179">
        <f>IFERROR(N206/N138,"")</f>
        <v/>
      </c>
      <c r="O207" s="179">
        <f>IFERROR(O206/O138,"")</f>
        <v/>
      </c>
      <c r="P207" s="179">
        <f>IFERROR(P206/P138,"")</f>
        <v/>
      </c>
      <c r="Q207" s="179">
        <f>IFERROR(Q206/Q138,"")</f>
        <v/>
      </c>
      <c r="R207" s="179">
        <f>IFERROR(R206/R138,"")</f>
        <v/>
      </c>
      <c r="S207" s="179">
        <f>IFERROR(S206/S138,"")</f>
        <v/>
      </c>
      <c r="T207" s="179">
        <f>IFERROR(T206/T138,"")</f>
        <v/>
      </c>
      <c r="U207" s="179">
        <f>IFERROR(U206/U138,"")</f>
        <v/>
      </c>
      <c r="V207" s="179">
        <f>IFERROR(V206/V138,"")</f>
        <v/>
      </c>
      <c r="W207" s="179">
        <f>IFERROR(W206/W138,"")</f>
        <v/>
      </c>
      <c r="X207" s="179">
        <f>IFERROR(X206/X138,"")</f>
        <v/>
      </c>
      <c r="Y207" s="179">
        <f>IFERROR(Y206/Y138,"")</f>
        <v/>
      </c>
      <c r="Z207" s="179">
        <f>IFERROR(Z206/Z138,"")</f>
        <v/>
      </c>
      <c r="AA207" s="179">
        <f>IFERROR(AA206/AA138,"")</f>
        <v/>
      </c>
      <c r="AB207" s="179">
        <f>IFERROR(AB206/AB138,"")</f>
        <v/>
      </c>
      <c r="AC207" s="179">
        <f>IFERROR(AC206/AC138,"")</f>
        <v/>
      </c>
      <c r="AD207" s="179">
        <f>IFERROR(AD206/AD138,"")</f>
        <v/>
      </c>
      <c r="AE207" s="179">
        <f>IFERROR(AE206/AE138,"")</f>
        <v/>
      </c>
      <c r="AF207" s="179">
        <f>IFERROR(AF206/AF138,"")</f>
        <v/>
      </c>
      <c r="AG207" s="179">
        <f>IFERROR(AG206/AG138,"")</f>
        <v/>
      </c>
      <c r="AH207" s="179">
        <f>IFERROR(AH206/AH138,"")</f>
        <v/>
      </c>
      <c r="AI207" s="179">
        <f>IFERROR(AI206/AI138,"")</f>
        <v/>
      </c>
      <c r="AJ207" s="179">
        <f>IFERROR(AJ206/AJ138,"")</f>
        <v/>
      </c>
      <c r="AK207" s="179">
        <f>IFERROR(AK206/AK138,"")</f>
        <v/>
      </c>
      <c r="AL207" s="179">
        <f>IFERROR(AL206/AL138,"")</f>
        <v/>
      </c>
      <c r="AM207" s="179">
        <f>IFERROR(AM206/AM138,"")</f>
        <v/>
      </c>
      <c r="AN207" s="179">
        <f>IFERROR(AN206/AN138,"")</f>
        <v/>
      </c>
      <c r="AO207" s="179">
        <f>IFERROR(AO206/AO138,"")</f>
        <v/>
      </c>
      <c r="AP207" s="179">
        <f>IFERROR(AP206/AP138,"")</f>
        <v/>
      </c>
      <c r="AQ207" s="179">
        <f>IFERROR(AQ206/AQ138,"")</f>
        <v/>
      </c>
      <c r="AR207" s="179">
        <f>IFERROR(AR206/AR138,"")</f>
        <v/>
      </c>
      <c r="AS207" s="179">
        <f>IFERROR(AS206/AS138,"")</f>
        <v/>
      </c>
      <c r="AT207" s="179">
        <f>IFERROR(AT206/AT138,"")</f>
        <v/>
      </c>
      <c r="AU207" s="179">
        <f>IFERROR(AU206/AU138,"")</f>
        <v/>
      </c>
      <c r="AV207" s="179">
        <f>IFERROR(AV206/AV138,"")</f>
        <v/>
      </c>
      <c r="AW207" s="179">
        <f>IFERROR(AW206/AW138,"")</f>
        <v/>
      </c>
      <c r="AX207" s="179">
        <f>IFERROR(AX206/AX138,"")</f>
        <v/>
      </c>
      <c r="AY207" s="179">
        <f>IFERROR(AY206/AY138,"")</f>
        <v/>
      </c>
      <c r="AZ207" s="179">
        <f>IFERROR(AZ206/AZ138,"")</f>
        <v/>
      </c>
      <c r="BA207" s="179">
        <f>IFERROR(BA206/BA138,"")</f>
        <v/>
      </c>
      <c r="BB207" s="179">
        <f>IFERROR(BB206/BB138,"")</f>
        <v/>
      </c>
      <c r="BC207" s="179">
        <f>IFERROR(BC206/BC138,"")</f>
        <v/>
      </c>
      <c r="BD207" s="179">
        <f>IFERROR(BD206/BD138,"")</f>
        <v/>
      </c>
      <c r="BE207" s="179">
        <f>IFERROR(BE206/BE138,"")</f>
        <v/>
      </c>
      <c r="BF207" s="179">
        <f>IFERROR(BF206/BF138,"")</f>
        <v/>
      </c>
      <c r="BG207" s="179">
        <f>IFERROR(BG206/BG138,"")</f>
        <v/>
      </c>
      <c r="BH207" s="179">
        <f>IFERROR(BH206/BH138,"")</f>
        <v/>
      </c>
      <c r="BI207" s="179">
        <f>IFERROR(BI206/BI138,"")</f>
        <v/>
      </c>
      <c r="BJ207" s="179">
        <f>IFERROR(BJ206/BJ138,"")</f>
        <v/>
      </c>
      <c r="BK207" s="179">
        <f>IFERROR(BK206/BK138,"")</f>
        <v/>
      </c>
      <c r="BL207" s="179">
        <f>IFERROR(BL206/BL138,"")</f>
        <v/>
      </c>
      <c r="BM207" s="179">
        <f>IFERROR(BM206/BM138,"")</f>
        <v/>
      </c>
      <c r="BN207" s="179">
        <f>IFERROR(BN206/BN138,"")</f>
        <v/>
      </c>
      <c r="BO207" s="179">
        <f>IFERROR(BO206/BO138,"")</f>
        <v/>
      </c>
      <c r="BP207" s="179">
        <f>IFERROR(BP206/BP138,"")</f>
        <v/>
      </c>
      <c r="BQ207" s="179">
        <f>IFERROR(BQ206/BQ138,"")</f>
        <v/>
      </c>
      <c r="BR207" s="179">
        <f>IFERROR(BR206/BR138,"")</f>
        <v/>
      </c>
      <c r="BS207" s="179">
        <f>IFERROR(BS206/BS138,"")</f>
        <v/>
      </c>
      <c r="BT207" s="179">
        <f>IFERROR(BT206/BT138,"")</f>
        <v/>
      </c>
      <c r="BU207" s="179">
        <f>IFERROR(BU206/BU138,"")</f>
        <v/>
      </c>
      <c r="BV207" s="179">
        <f>IFERROR(BV206/BV138,"")</f>
        <v/>
      </c>
      <c r="BW207" s="179">
        <f>IFERROR(BW206/BW138,"")</f>
        <v/>
      </c>
      <c r="BX207" s="179">
        <f>IFERROR(BX206/BX138,"")</f>
        <v/>
      </c>
      <c r="BY207" s="179">
        <f>IFERROR(BY206/BY138,"")</f>
        <v/>
      </c>
      <c r="BZ207" s="179">
        <f>IFERROR(BZ206/BZ138,"")</f>
        <v/>
      </c>
      <c r="CA207" s="179">
        <f>IFERROR(CA206/CA138,"")</f>
        <v/>
      </c>
      <c r="CB207" s="179">
        <f>IFERROR(CB206/CB138,"")</f>
        <v/>
      </c>
      <c r="CC207" s="179">
        <f>IFERROR(CC206/CC138,"")</f>
        <v/>
      </c>
      <c r="CD207" s="179">
        <f>IFERROR(CD206/CD138,"")</f>
        <v/>
      </c>
      <c r="CE207" s="179">
        <f>IFERROR(CE206/CE138,"")</f>
        <v/>
      </c>
      <c r="CF207" s="179">
        <f>IFERROR(CF206/CF138,"")</f>
        <v/>
      </c>
      <c r="CG207" s="179">
        <f>IFERROR(CG206/CG138,"")</f>
        <v/>
      </c>
      <c r="CH207" s="179">
        <f>IFERROR(CH206/CH138,"")</f>
        <v/>
      </c>
      <c r="CI207" s="179">
        <f>IFERROR(CI206/CI138,"")</f>
        <v/>
      </c>
      <c r="CJ207" s="179">
        <f>IFERROR(CJ206/CJ138,"")</f>
        <v/>
      </c>
      <c r="CK207" s="179">
        <f>IFERROR(CK206/CK138,"")</f>
        <v/>
      </c>
      <c r="CL207" s="179">
        <f>IFERROR(CL206/CL138,"")</f>
        <v/>
      </c>
      <c r="CM207" s="165">
        <f>IFERROR(CM206/CM138,"")</f>
        <v/>
      </c>
      <c r="CN207" s="165">
        <f>IFERROR(CN206/CN138,"")</f>
        <v/>
      </c>
      <c r="CO207" s="165">
        <f>IFERROR(CO206/CO138,"")</f>
        <v/>
      </c>
      <c r="CP207" s="165">
        <f>IFERROR(CP206/CP138,"")</f>
        <v/>
      </c>
      <c r="CQ207" s="165">
        <f>IFERROR(CQ206/CQ138,"")</f>
        <v/>
      </c>
      <c r="CR207" s="165">
        <f>IFERROR(CR206/CR138,"")</f>
        <v/>
      </c>
      <c r="CS207" s="165">
        <f>IFERROR(CS206/CS138,"")</f>
        <v/>
      </c>
      <c r="CT207" s="22" t="n"/>
      <c r="CV207" s="40">
        <f>IFERROR(AVERAGE(CO207,CP207,CQ207,CR207,CS207),"n/m")</f>
        <v/>
      </c>
      <c r="CW207" s="40">
        <f>IFERROR(AVERAGE(BK207,BQ207,BW207,CC207,CI207),"n/m")</f>
        <v/>
      </c>
      <c r="CX207" s="40">
        <f>IFERROR(AVERAGE(AG207,AM207,AS207,AY207,BE207,BK207,BQ207,BW207,CC207,CI207),"n/m")</f>
        <v/>
      </c>
      <c r="CY207" s="40">
        <f>IFERROR(AVERAGE(C207,D207,E207,F207,G207,H207,I207,O207,U207,AA207,AG207,AM207,AS207,AY207,BE207,BK207,BQ207,BW207,CC207,CI207),"n/m")</f>
        <v/>
      </c>
    </row>
    <row r="208" ht="15" customHeight="1">
      <c r="B208" s="12" t="inlineStr">
        <is>
          <t xml:space="preserve">  (+) Depreciation, depletion, accretion &amp; amortization</t>
        </is>
      </c>
      <c r="C208" s="170">
        <f>C158</f>
        <v/>
      </c>
      <c r="D208" s="170">
        <f>D158</f>
        <v/>
      </c>
      <c r="E208" s="170">
        <f>E158</f>
        <v/>
      </c>
      <c r="F208" s="170">
        <f>F158</f>
        <v/>
      </c>
      <c r="G208" s="170">
        <f>G158</f>
        <v/>
      </c>
      <c r="H208" s="170">
        <f>H158</f>
        <v/>
      </c>
      <c r="I208" s="170">
        <f>I158</f>
        <v/>
      </c>
      <c r="J208" s="170">
        <f>J158</f>
        <v/>
      </c>
      <c r="K208" s="170">
        <f>K158</f>
        <v/>
      </c>
      <c r="L208" s="170">
        <f>L158</f>
        <v/>
      </c>
      <c r="M208" s="170">
        <f>M158</f>
        <v/>
      </c>
      <c r="N208" s="170">
        <f>N158</f>
        <v/>
      </c>
      <c r="O208" s="170">
        <f>O158</f>
        <v/>
      </c>
      <c r="P208" s="170">
        <f>P158</f>
        <v/>
      </c>
      <c r="Q208" s="170">
        <f>Q158</f>
        <v/>
      </c>
      <c r="R208" s="170">
        <f>R158</f>
        <v/>
      </c>
      <c r="S208" s="170">
        <f>S158</f>
        <v/>
      </c>
      <c r="T208" s="170">
        <f>T158</f>
        <v/>
      </c>
      <c r="U208" s="170">
        <f>U158</f>
        <v/>
      </c>
      <c r="V208" s="170">
        <f>V158</f>
        <v/>
      </c>
      <c r="W208" s="170">
        <f>W158</f>
        <v/>
      </c>
      <c r="X208" s="170">
        <f>X158</f>
        <v/>
      </c>
      <c r="Y208" s="170">
        <f>Y158</f>
        <v/>
      </c>
      <c r="Z208" s="170">
        <f>Z158</f>
        <v/>
      </c>
      <c r="AA208" s="170">
        <f>AA158</f>
        <v/>
      </c>
      <c r="AB208" s="170">
        <f>AB158</f>
        <v/>
      </c>
      <c r="AC208" s="170">
        <f>AC158</f>
        <v/>
      </c>
      <c r="AD208" s="170">
        <f>AD158</f>
        <v/>
      </c>
      <c r="AE208" s="170">
        <f>AE158</f>
        <v/>
      </c>
      <c r="AF208" s="170">
        <f>AF158</f>
        <v/>
      </c>
      <c r="AG208" s="170">
        <f>AG158</f>
        <v/>
      </c>
      <c r="AH208" s="170">
        <f>AH158</f>
        <v/>
      </c>
      <c r="AI208" s="170">
        <f>AI158</f>
        <v/>
      </c>
      <c r="AJ208" s="170">
        <f>AJ158</f>
        <v/>
      </c>
      <c r="AK208" s="170">
        <f>AK158</f>
        <v/>
      </c>
      <c r="AL208" s="170">
        <f>AL158</f>
        <v/>
      </c>
      <c r="AM208" s="170">
        <f>AM158</f>
        <v/>
      </c>
      <c r="AN208" s="170">
        <f>AN158</f>
        <v/>
      </c>
      <c r="AO208" s="170">
        <f>AO158</f>
        <v/>
      </c>
      <c r="AP208" s="170">
        <f>AP158</f>
        <v/>
      </c>
      <c r="AQ208" s="170">
        <f>AQ158</f>
        <v/>
      </c>
      <c r="AR208" s="170">
        <f>AR158</f>
        <v/>
      </c>
      <c r="AS208" s="170">
        <f>AS158</f>
        <v/>
      </c>
      <c r="AT208" s="170">
        <f>AT158</f>
        <v/>
      </c>
      <c r="AU208" s="170">
        <f>AU158</f>
        <v/>
      </c>
      <c r="AV208" s="170">
        <f>AV158</f>
        <v/>
      </c>
      <c r="AW208" s="170">
        <f>AW158</f>
        <v/>
      </c>
      <c r="AX208" s="170">
        <f>AX158</f>
        <v/>
      </c>
      <c r="AY208" s="170">
        <f>AY158</f>
        <v/>
      </c>
      <c r="AZ208" s="170">
        <f>AZ158</f>
        <v/>
      </c>
      <c r="BA208" s="170">
        <f>BA158</f>
        <v/>
      </c>
      <c r="BB208" s="170">
        <f>BB158</f>
        <v/>
      </c>
      <c r="BC208" s="170">
        <f>BC158</f>
        <v/>
      </c>
      <c r="BD208" s="170">
        <f>BD158</f>
        <v/>
      </c>
      <c r="BE208" s="170">
        <f>BE158</f>
        <v/>
      </c>
      <c r="BF208" s="170">
        <f>BF158</f>
        <v/>
      </c>
      <c r="BG208" s="170">
        <f>BG158</f>
        <v/>
      </c>
      <c r="BH208" s="170">
        <f>BH158</f>
        <v/>
      </c>
      <c r="BI208" s="170">
        <f>BI158</f>
        <v/>
      </c>
      <c r="BJ208" s="170">
        <f>BJ158</f>
        <v/>
      </c>
      <c r="BK208" s="170">
        <f>BK158</f>
        <v/>
      </c>
      <c r="BL208" s="170">
        <f>BL158</f>
        <v/>
      </c>
      <c r="BM208" s="170">
        <f>BM158</f>
        <v/>
      </c>
      <c r="BN208" s="170">
        <f>BN158</f>
        <v/>
      </c>
      <c r="BO208" s="170">
        <f>BO158</f>
        <v/>
      </c>
      <c r="BP208" s="170">
        <f>BP158</f>
        <v/>
      </c>
      <c r="BQ208" s="170">
        <f>BQ158</f>
        <v/>
      </c>
      <c r="BR208" s="170">
        <f>BR158</f>
        <v/>
      </c>
      <c r="BS208" s="170">
        <f>BS158</f>
        <v/>
      </c>
      <c r="BT208" s="170">
        <f>BT158</f>
        <v/>
      </c>
      <c r="BU208" s="170">
        <f>BU158</f>
        <v/>
      </c>
      <c r="BV208" s="170">
        <f>BV158</f>
        <v/>
      </c>
      <c r="BW208" s="170">
        <f>BW158</f>
        <v/>
      </c>
      <c r="BX208" s="170">
        <f>BX158</f>
        <v/>
      </c>
      <c r="BY208" s="170">
        <f>BY158</f>
        <v/>
      </c>
      <c r="BZ208" s="170">
        <f>BZ158</f>
        <v/>
      </c>
      <c r="CA208" s="170">
        <f>CA158</f>
        <v/>
      </c>
      <c r="CB208" s="170">
        <f>CB158</f>
        <v/>
      </c>
      <c r="CC208" s="170">
        <f>CC158</f>
        <v/>
      </c>
      <c r="CD208" s="170">
        <f>CD158</f>
        <v/>
      </c>
      <c r="CE208" s="170">
        <f>CE158</f>
        <v/>
      </c>
      <c r="CF208" s="170">
        <f>CF158</f>
        <v/>
      </c>
      <c r="CG208" s="170">
        <f>CG158</f>
        <v/>
      </c>
      <c r="CH208" s="170">
        <f>CH158</f>
        <v/>
      </c>
      <c r="CI208" s="170">
        <f>CI158</f>
        <v/>
      </c>
      <c r="CJ208" s="170">
        <f>CJ158</f>
        <v/>
      </c>
      <c r="CK208" s="170">
        <f>CK158</f>
        <v/>
      </c>
      <c r="CL208" s="170">
        <f>CL158</f>
        <v/>
      </c>
      <c r="CM208" s="171">
        <f>CM158</f>
        <v/>
      </c>
      <c r="CN208" s="171">
        <f>CN158</f>
        <v/>
      </c>
      <c r="CO208" s="171">
        <f>CO158</f>
        <v/>
      </c>
      <c r="CP208" s="171">
        <f>CP158</f>
        <v/>
      </c>
      <c r="CQ208" s="171">
        <f>CQ158</f>
        <v/>
      </c>
      <c r="CR208" s="171">
        <f>CR158</f>
        <v/>
      </c>
      <c r="CS208" s="171">
        <f>CS158</f>
        <v/>
      </c>
      <c r="CT208" s="22" t="n"/>
      <c r="CV208" s="23" t="n"/>
      <c r="CW208" s="23" t="n"/>
      <c r="CX208" s="23" t="n"/>
      <c r="CY208" s="23" t="n"/>
    </row>
    <row r="209" ht="15" customHeight="1">
      <c r="B209" s="18" t="inlineStr">
        <is>
          <t xml:space="preserve">  = Adjusted EBITDA (via operating earnings)</t>
        </is>
      </c>
      <c r="C209" s="173">
        <f>IF(AND(ISNUMBER(C206),ISNUMBER(C208)),C206+C208,"")</f>
        <v/>
      </c>
      <c r="D209" s="173">
        <f>IF(AND(ISNUMBER(D206),ISNUMBER(D208)),D206+D208,"")</f>
        <v/>
      </c>
      <c r="E209" s="173">
        <f>IF(AND(ISNUMBER(E206),ISNUMBER(E208)),E206+E208,"")</f>
        <v/>
      </c>
      <c r="F209" s="173">
        <f>IF(AND(ISNUMBER(F206),ISNUMBER(F208)),F206+F208,"")</f>
        <v/>
      </c>
      <c r="G209" s="173">
        <f>IF(AND(ISNUMBER(G206),ISNUMBER(G208)),G206+G208,"")</f>
        <v/>
      </c>
      <c r="H209" s="173">
        <f>IF(AND(ISNUMBER(H206),ISNUMBER(H208)),H206+H208,"")</f>
        <v/>
      </c>
      <c r="I209" s="173">
        <f>IF(AND(ISNUMBER(I206),ISNUMBER(I208)),I206+I208,"")</f>
        <v/>
      </c>
      <c r="J209" s="173">
        <f>IF(AND(ISNUMBER(J206),ISNUMBER(J208)),J206+J208,"")</f>
        <v/>
      </c>
      <c r="K209" s="173">
        <f>IF(AND(ISNUMBER(K206),ISNUMBER(K208)),K206+K208,"")</f>
        <v/>
      </c>
      <c r="L209" s="173">
        <f>IF(AND(ISNUMBER(L206),ISNUMBER(L208)),L206+L208,"")</f>
        <v/>
      </c>
      <c r="M209" s="173">
        <f>IF(AND(ISNUMBER(M206),ISNUMBER(M208)),M206+M208,"")</f>
        <v/>
      </c>
      <c r="N209" s="173">
        <f>IF(AND(ISNUMBER(N206),ISNUMBER(N208)),N206+N208,"")</f>
        <v/>
      </c>
      <c r="O209" s="173">
        <f>IF(AND(ISNUMBER(O206),ISNUMBER(O208)),O206+O208,"")</f>
        <v/>
      </c>
      <c r="P209" s="173">
        <f>IF(AND(ISNUMBER(P206),ISNUMBER(P208)),P206+P208,"")</f>
        <v/>
      </c>
      <c r="Q209" s="173">
        <f>IF(AND(ISNUMBER(Q206),ISNUMBER(Q208)),Q206+Q208,"")</f>
        <v/>
      </c>
      <c r="R209" s="173">
        <f>IF(AND(ISNUMBER(R206),ISNUMBER(R208)),R206+R208,"")</f>
        <v/>
      </c>
      <c r="S209" s="173">
        <f>IF(AND(ISNUMBER(S206),ISNUMBER(S208)),S206+S208,"")</f>
        <v/>
      </c>
      <c r="T209" s="173">
        <f>IF(AND(ISNUMBER(T206),ISNUMBER(T208)),T206+T208,"")</f>
        <v/>
      </c>
      <c r="U209" s="173">
        <f>IF(AND(ISNUMBER(U206),ISNUMBER(U208)),U206+U208,"")</f>
        <v/>
      </c>
      <c r="V209" s="173">
        <f>IF(AND(ISNUMBER(V206),ISNUMBER(V208)),V206+V208,"")</f>
        <v/>
      </c>
      <c r="W209" s="173">
        <f>IF(AND(ISNUMBER(W206),ISNUMBER(W208)),W206+W208,"")</f>
        <v/>
      </c>
      <c r="X209" s="173">
        <f>IF(AND(ISNUMBER(X206),ISNUMBER(X208)),X206+X208,"")</f>
        <v/>
      </c>
      <c r="Y209" s="173">
        <f>IF(AND(ISNUMBER(Y206),ISNUMBER(Y208)),Y206+Y208,"")</f>
        <v/>
      </c>
      <c r="Z209" s="173">
        <f>IF(AND(ISNUMBER(Z206),ISNUMBER(Z208)),Z206+Z208,"")</f>
        <v/>
      </c>
      <c r="AA209" s="173">
        <f>IF(AND(ISNUMBER(AA206),ISNUMBER(AA208)),AA206+AA208,"")</f>
        <v/>
      </c>
      <c r="AB209" s="173">
        <f>IF(AND(ISNUMBER(AB206),ISNUMBER(AB208)),AB206+AB208,"")</f>
        <v/>
      </c>
      <c r="AC209" s="173">
        <f>IF(AND(ISNUMBER(AC206),ISNUMBER(AC208)),AC206+AC208,"")</f>
        <v/>
      </c>
      <c r="AD209" s="173">
        <f>IF(AND(ISNUMBER(AD206),ISNUMBER(AD208)),AD206+AD208,"")</f>
        <v/>
      </c>
      <c r="AE209" s="173">
        <f>IF(AND(ISNUMBER(AE206),ISNUMBER(AE208)),AE206+AE208,"")</f>
        <v/>
      </c>
      <c r="AF209" s="173">
        <f>IF(AND(ISNUMBER(AF206),ISNUMBER(AF208)),AF206+AF208,"")</f>
        <v/>
      </c>
      <c r="AG209" s="173">
        <f>IF(AND(ISNUMBER(AG206),ISNUMBER(AG208)),AG206+AG208,"")</f>
        <v/>
      </c>
      <c r="AH209" s="173">
        <f>IF(AND(ISNUMBER(AH206),ISNUMBER(AH208)),AH206+AH208,"")</f>
        <v/>
      </c>
      <c r="AI209" s="173">
        <f>IF(AND(ISNUMBER(AI206),ISNUMBER(AI208)),AI206+AI208,"")</f>
        <v/>
      </c>
      <c r="AJ209" s="173">
        <f>IF(AND(ISNUMBER(AJ206),ISNUMBER(AJ208)),AJ206+AJ208,"")</f>
        <v/>
      </c>
      <c r="AK209" s="173">
        <f>IF(AND(ISNUMBER(AK206),ISNUMBER(AK208)),AK206+AK208,"")</f>
        <v/>
      </c>
      <c r="AL209" s="173">
        <f>IF(AND(ISNUMBER(AL206),ISNUMBER(AL208)),AL206+AL208,"")</f>
        <v/>
      </c>
      <c r="AM209" s="173">
        <f>IF(AND(ISNUMBER(AM206),ISNUMBER(AM208)),AM206+AM208,"")</f>
        <v/>
      </c>
      <c r="AN209" s="173">
        <f>IF(AND(ISNUMBER(AN206),ISNUMBER(AN208)),AN206+AN208,"")</f>
        <v/>
      </c>
      <c r="AO209" s="173">
        <f>IF(AND(ISNUMBER(AO206),ISNUMBER(AO208)),AO206+AO208,"")</f>
        <v/>
      </c>
      <c r="AP209" s="173">
        <f>IF(AND(ISNUMBER(AP206),ISNUMBER(AP208)),AP206+AP208,"")</f>
        <v/>
      </c>
      <c r="AQ209" s="173">
        <f>IF(AND(ISNUMBER(AQ206),ISNUMBER(AQ208)),AQ206+AQ208,"")</f>
        <v/>
      </c>
      <c r="AR209" s="173">
        <f>IF(AND(ISNUMBER(AR206),ISNUMBER(AR208)),AR206+AR208,"")</f>
        <v/>
      </c>
      <c r="AS209" s="173">
        <f>IF(AND(ISNUMBER(AS206),ISNUMBER(AS208)),AS206+AS208,"")</f>
        <v/>
      </c>
      <c r="AT209" s="173">
        <f>IF(AND(ISNUMBER(AT206),ISNUMBER(AT208)),AT206+AT208,"")</f>
        <v/>
      </c>
      <c r="AU209" s="173">
        <f>IF(AND(ISNUMBER(AU206),ISNUMBER(AU208)),AU206+AU208,"")</f>
        <v/>
      </c>
      <c r="AV209" s="173">
        <f>IF(AND(ISNUMBER(AV206),ISNUMBER(AV208)),AV206+AV208,"")</f>
        <v/>
      </c>
      <c r="AW209" s="173">
        <f>IF(AND(ISNUMBER(AW206),ISNUMBER(AW208)),AW206+AW208,"")</f>
        <v/>
      </c>
      <c r="AX209" s="173">
        <f>IF(AND(ISNUMBER(AX206),ISNUMBER(AX208)),AX206+AX208,"")</f>
        <v/>
      </c>
      <c r="AY209" s="173">
        <f>IF(AND(ISNUMBER(AY206),ISNUMBER(AY208)),AY206+AY208,"")</f>
        <v/>
      </c>
      <c r="AZ209" s="173">
        <f>IF(AND(ISNUMBER(AZ206),ISNUMBER(AZ208)),AZ206+AZ208,"")</f>
        <v/>
      </c>
      <c r="BA209" s="173">
        <f>IF(AND(ISNUMBER(BA206),ISNUMBER(BA208)),BA206+BA208,"")</f>
        <v/>
      </c>
      <c r="BB209" s="173">
        <f>IF(AND(ISNUMBER(BB206),ISNUMBER(BB208)),BB206+BB208,"")</f>
        <v/>
      </c>
      <c r="BC209" s="173">
        <f>IF(AND(ISNUMBER(BC206),ISNUMBER(BC208)),BC206+BC208,"")</f>
        <v/>
      </c>
      <c r="BD209" s="173">
        <f>IF(AND(ISNUMBER(BD206),ISNUMBER(BD208)),BD206+BD208,"")</f>
        <v/>
      </c>
      <c r="BE209" s="173">
        <f>IF(AND(ISNUMBER(BE206),ISNUMBER(BE208)),BE206+BE208,"")</f>
        <v/>
      </c>
      <c r="BF209" s="173">
        <f>IF(AND(ISNUMBER(BF206),ISNUMBER(BF208)),BF206+BF208,"")</f>
        <v/>
      </c>
      <c r="BG209" s="173">
        <f>IF(AND(ISNUMBER(BG206),ISNUMBER(BG208)),BG206+BG208,"")</f>
        <v/>
      </c>
      <c r="BH209" s="173">
        <f>IF(AND(ISNUMBER(BH206),ISNUMBER(BH208)),BH206+BH208,"")</f>
        <v/>
      </c>
      <c r="BI209" s="173">
        <f>IF(AND(ISNUMBER(BI206),ISNUMBER(BI208)),BI206+BI208,"")</f>
        <v/>
      </c>
      <c r="BJ209" s="173">
        <f>IF(AND(ISNUMBER(BJ206),ISNUMBER(BJ208)),BJ206+BJ208,"")</f>
        <v/>
      </c>
      <c r="BK209" s="173">
        <f>IF(AND(ISNUMBER(BK206),ISNUMBER(BK208)),BK206+BK208,"")</f>
        <v/>
      </c>
      <c r="BL209" s="173">
        <f>IF(AND(ISNUMBER(BL206),ISNUMBER(BL208)),BL206+BL208,"")</f>
        <v/>
      </c>
      <c r="BM209" s="173">
        <f>IF(AND(ISNUMBER(BM206),ISNUMBER(BM208)),BM206+BM208,"")</f>
        <v/>
      </c>
      <c r="BN209" s="173">
        <f>IF(AND(ISNUMBER(BN206),ISNUMBER(BN208)),BN206+BN208,"")</f>
        <v/>
      </c>
      <c r="BO209" s="173">
        <f>IF(AND(ISNUMBER(BO206),ISNUMBER(BO208)),BO206+BO208,"")</f>
        <v/>
      </c>
      <c r="BP209" s="173">
        <f>IF(AND(ISNUMBER(BP206),ISNUMBER(BP208)),BP206+BP208,"")</f>
        <v/>
      </c>
      <c r="BQ209" s="173">
        <f>IF(AND(ISNUMBER(BQ206),ISNUMBER(BQ208)),BQ206+BQ208,"")</f>
        <v/>
      </c>
      <c r="BR209" s="173">
        <f>IF(AND(ISNUMBER(BR206),ISNUMBER(BR208)),BR206+BR208,"")</f>
        <v/>
      </c>
      <c r="BS209" s="173">
        <f>IF(AND(ISNUMBER(BS206),ISNUMBER(BS208)),BS206+BS208,"")</f>
        <v/>
      </c>
      <c r="BT209" s="173">
        <f>IF(AND(ISNUMBER(BT206),ISNUMBER(BT208)),BT206+BT208,"")</f>
        <v/>
      </c>
      <c r="BU209" s="173">
        <f>IF(AND(ISNUMBER(BU206),ISNUMBER(BU208)),BU206+BU208,"")</f>
        <v/>
      </c>
      <c r="BV209" s="173">
        <f>IF(AND(ISNUMBER(BV206),ISNUMBER(BV208)),BV206+BV208,"")</f>
        <v/>
      </c>
      <c r="BW209" s="173">
        <f>IF(AND(ISNUMBER(BW206),ISNUMBER(BW208)),BW206+BW208,"")</f>
        <v/>
      </c>
      <c r="BX209" s="173">
        <f>IF(AND(ISNUMBER(BX206),ISNUMBER(BX208)),BX206+BX208,"")</f>
        <v/>
      </c>
      <c r="BY209" s="173">
        <f>IF(AND(ISNUMBER(BY206),ISNUMBER(BY208)),BY206+BY208,"")</f>
        <v/>
      </c>
      <c r="BZ209" s="173">
        <f>IF(AND(ISNUMBER(BZ206),ISNUMBER(BZ208)),BZ206+BZ208,"")</f>
        <v/>
      </c>
      <c r="CA209" s="173">
        <f>IF(AND(ISNUMBER(CA206),ISNUMBER(CA208)),CA206+CA208,"")</f>
        <v/>
      </c>
      <c r="CB209" s="173">
        <f>IF(AND(ISNUMBER(CB206),ISNUMBER(CB208)),CB206+CB208,"")</f>
        <v/>
      </c>
      <c r="CC209" s="173">
        <f>IF(AND(ISNUMBER(CC206),ISNUMBER(CC208)),CC206+CC208,"")</f>
        <v/>
      </c>
      <c r="CD209" s="173">
        <f>IF(AND(ISNUMBER(CD206),ISNUMBER(CD208)),CD206+CD208,"")</f>
        <v/>
      </c>
      <c r="CE209" s="173">
        <f>IF(AND(ISNUMBER(CE206),ISNUMBER(CE208)),CE206+CE208,"")</f>
        <v/>
      </c>
      <c r="CF209" s="173">
        <f>IF(AND(ISNUMBER(CF206),ISNUMBER(CF208)),CF206+CF208,"")</f>
        <v/>
      </c>
      <c r="CG209" s="173">
        <f>IF(AND(ISNUMBER(CG206),ISNUMBER(CG208)),CG206+CG208,"")</f>
        <v/>
      </c>
      <c r="CH209" s="173">
        <f>IF(AND(ISNUMBER(CH206),ISNUMBER(CH208)),CH206+CH208,"")</f>
        <v/>
      </c>
      <c r="CI209" s="173">
        <f>IF(AND(ISNUMBER(CI206),ISNUMBER(CI208)),CI206+CI208,"")</f>
        <v/>
      </c>
      <c r="CJ209" s="173">
        <f>IF(AND(ISNUMBER(CJ206),ISNUMBER(CJ208)),CJ206+CJ208,"")</f>
        <v/>
      </c>
      <c r="CK209" s="173">
        <f>IF(AND(ISNUMBER(CK206),ISNUMBER(CK208)),CK206+CK208,"")</f>
        <v/>
      </c>
      <c r="CL209" s="173">
        <f>IF(AND(ISNUMBER(CL206),ISNUMBER(CL208)),CL206+CL208,"")</f>
        <v/>
      </c>
      <c r="CM209" s="174">
        <f>IF(AND(ISNUMBER(CM206),ISNUMBER(CM208)),CM206+CM208,"")</f>
        <v/>
      </c>
      <c r="CN209" s="174">
        <f>IF(AND(ISNUMBER(CN206),ISNUMBER(CN208)),CN206+CN208,"")</f>
        <v/>
      </c>
      <c r="CO209" s="174">
        <f>IF(AND(ISNUMBER(CO206),ISNUMBER(CO208)),CO206+CO208,"")</f>
        <v/>
      </c>
      <c r="CP209" s="174">
        <f>IF(AND(ISNUMBER(CP206),ISNUMBER(CP208)),CP206+CP208,"")</f>
        <v/>
      </c>
      <c r="CQ209" s="174">
        <f>IF(AND(ISNUMBER(CQ206),ISNUMBER(CQ208)),CQ206+CQ208,"")</f>
        <v/>
      </c>
      <c r="CR209" s="174">
        <f>IF(AND(ISNUMBER(CR206),ISNUMBER(CR208)),CR206+CR208,"")</f>
        <v/>
      </c>
      <c r="CS209" s="174">
        <f>IF(AND(ISNUMBER(CS206),ISNUMBER(CS208)),CS206+CS208,"")</f>
        <v/>
      </c>
      <c r="CT209" s="22" t="n"/>
      <c r="CV209" s="6" t="n"/>
      <c r="CW209" s="6" t="n"/>
      <c r="CX209" s="6" t="n"/>
      <c r="CY209" s="6" t="n"/>
    </row>
    <row r="210" ht="15" customHeight="1">
      <c r="B210" s="38" t="inlineStr">
        <is>
          <t xml:space="preserve">  Check: vs company bridge (should be 0; differences = tax on discontinued ops in the company bridge)</t>
        </is>
      </c>
      <c r="C210" s="176">
        <f>IF(AND(ISNUMBER(C209),ISNUMBER(C194)),ROUND(C209-C192,1),"n/p")</f>
        <v/>
      </c>
      <c r="D210" s="176">
        <f>IF(AND(ISNUMBER(D209),ISNUMBER(D194)),ROUND(D209-D192,1),"n/p")</f>
        <v/>
      </c>
      <c r="E210" s="176">
        <f>IF(AND(ISNUMBER(E209),ISNUMBER(E194)),ROUND(E209-E192,1),"n/p")</f>
        <v/>
      </c>
      <c r="F210" s="176">
        <f>IF(AND(ISNUMBER(F209),ISNUMBER(F194)),ROUND(F209-F192,1),"n/p")</f>
        <v/>
      </c>
      <c r="G210" s="176">
        <f>IF(AND(ISNUMBER(G209),ISNUMBER(G194)),ROUND(G209-G192,1),"n/p")</f>
        <v/>
      </c>
      <c r="H210" s="176">
        <f>IF(AND(ISNUMBER(H209),ISNUMBER(H194)),ROUND(H209-H192,1),"n/p")</f>
        <v/>
      </c>
      <c r="I210" s="176">
        <f>IF(AND(ISNUMBER(I209),ISNUMBER(I194)),ROUND(I209-I192,1),"n/p")</f>
        <v/>
      </c>
      <c r="J210" s="176">
        <f>IF(AND(ISNUMBER(J209),ISNUMBER(J194)),ROUND(J209-J192,1),"n/p")</f>
        <v/>
      </c>
      <c r="K210" s="176">
        <f>IF(AND(ISNUMBER(K209),ISNUMBER(K194)),ROUND(K209-K192,1),"n/p")</f>
        <v/>
      </c>
      <c r="L210" s="176">
        <f>IF(AND(ISNUMBER(L209),ISNUMBER(L194)),ROUND(L209-L192,1),"n/p")</f>
        <v/>
      </c>
      <c r="M210" s="176">
        <f>IF(AND(ISNUMBER(M209),ISNUMBER(M194)),ROUND(M209-M192,1),"n/p")</f>
        <v/>
      </c>
      <c r="N210" s="176">
        <f>IF(AND(ISNUMBER(N209),ISNUMBER(N194)),ROUND(N209-N192,1),"n/p")</f>
        <v/>
      </c>
      <c r="O210" s="176">
        <f>IF(AND(ISNUMBER(O209),ISNUMBER(O194)),ROUND(O209-O192,1),"n/p")</f>
        <v/>
      </c>
      <c r="P210" s="176">
        <f>IF(AND(ISNUMBER(P209),ISNUMBER(P194)),ROUND(P209-P192,1),"n/p")</f>
        <v/>
      </c>
      <c r="Q210" s="176">
        <f>IF(AND(ISNUMBER(Q209),ISNUMBER(Q194)),ROUND(Q209-Q192,1),"n/p")</f>
        <v/>
      </c>
      <c r="R210" s="176">
        <f>IF(AND(ISNUMBER(R209),ISNUMBER(R194)),ROUND(R209-R192,1),"n/p")</f>
        <v/>
      </c>
      <c r="S210" s="176">
        <f>IF(AND(ISNUMBER(S209),ISNUMBER(S194)),ROUND(S209-S192,1),"n/p")</f>
        <v/>
      </c>
      <c r="T210" s="176">
        <f>IF(AND(ISNUMBER(T209),ISNUMBER(T194)),ROUND(T209-T192,1),"n/p")</f>
        <v/>
      </c>
      <c r="U210" s="176">
        <f>IF(AND(ISNUMBER(U209),ISNUMBER(U194)),ROUND(U209-U192,1),"n/p")</f>
        <v/>
      </c>
      <c r="V210" s="176">
        <f>IF(AND(ISNUMBER(V209),ISNUMBER(V194)),ROUND(V209-V192,1),"n/p")</f>
        <v/>
      </c>
      <c r="W210" s="176">
        <f>IF(AND(ISNUMBER(W209),ISNUMBER(W194)),ROUND(W209-W192,1),"n/p")</f>
        <v/>
      </c>
      <c r="X210" s="176">
        <f>IF(AND(ISNUMBER(X209),ISNUMBER(X194)),ROUND(X209-X192,1),"n/p")</f>
        <v/>
      </c>
      <c r="Y210" s="176">
        <f>IF(AND(ISNUMBER(Y209),ISNUMBER(Y194)),ROUND(Y209-Y192,1),"n/p")</f>
        <v/>
      </c>
      <c r="Z210" s="176">
        <f>IF(AND(ISNUMBER(Z209),ISNUMBER(Z194)),ROUND(Z209-Z192,1),"n/p")</f>
        <v/>
      </c>
      <c r="AA210" s="176">
        <f>IF(AND(ISNUMBER(AA209),ISNUMBER(AA194)),ROUND(AA209-AA192,1),"n/p")</f>
        <v/>
      </c>
      <c r="AB210" s="176">
        <f>IF(AND(ISNUMBER(AB209),ISNUMBER(AB194)),ROUND(AB209-AB192,1),"n/p")</f>
        <v/>
      </c>
      <c r="AC210" s="176">
        <f>IF(AND(ISNUMBER(AC209),ISNUMBER(AC194)),ROUND(AC209-AC192,1),"n/p")</f>
        <v/>
      </c>
      <c r="AD210" s="176">
        <f>IF(AND(ISNUMBER(AD209),ISNUMBER(AD194)),ROUND(AD209-AD192,1),"n/p")</f>
        <v/>
      </c>
      <c r="AE210" s="176">
        <f>IF(AND(ISNUMBER(AE209),ISNUMBER(AE194)),ROUND(AE209-AE192,1),"n/p")</f>
        <v/>
      </c>
      <c r="AF210" s="176">
        <f>IF(AND(ISNUMBER(AF209),ISNUMBER(AF194)),ROUND(AF209-AF192,1),"n/p")</f>
        <v/>
      </c>
      <c r="AG210" s="176">
        <f>IF(AND(ISNUMBER(AG209),ISNUMBER(AG194)),ROUND(AG209-AG192,1),"n/p")</f>
        <v/>
      </c>
      <c r="AH210" s="176">
        <f>IF(AND(ISNUMBER(AH209),ISNUMBER(AH194)),ROUND(AH209-AH192,1),"n/p")</f>
        <v/>
      </c>
      <c r="AI210" s="176">
        <f>IF(AND(ISNUMBER(AI209),ISNUMBER(AI194)),ROUND(AI209-AI192,1),"n/p")</f>
        <v/>
      </c>
      <c r="AJ210" s="176">
        <f>IF(AND(ISNUMBER(AJ209),ISNUMBER(AJ194)),ROUND(AJ209-AJ192,1),"n/p")</f>
        <v/>
      </c>
      <c r="AK210" s="176">
        <f>IF(AND(ISNUMBER(AK209),ISNUMBER(AK194)),ROUND(AK209-AK192,1),"n/p")</f>
        <v/>
      </c>
      <c r="AL210" s="176">
        <f>IF(AND(ISNUMBER(AL209),ISNUMBER(AL194)),ROUND(AL209-AL192,1),"n/p")</f>
        <v/>
      </c>
      <c r="AM210" s="176">
        <f>IF(AND(ISNUMBER(AM209),ISNUMBER(AM194)),ROUND(AM209-AM192,1),"n/p")</f>
        <v/>
      </c>
      <c r="AN210" s="176">
        <f>IF(AND(ISNUMBER(AN209),ISNUMBER(AN194)),ROUND(AN209-AN192,1),"n/p")</f>
        <v/>
      </c>
      <c r="AO210" s="176">
        <f>IF(AND(ISNUMBER(AO209),ISNUMBER(AO194)),ROUND(AO209-AO192,1),"n/p")</f>
        <v/>
      </c>
      <c r="AP210" s="176">
        <f>IF(AND(ISNUMBER(AP209),ISNUMBER(AP194)),ROUND(AP209-AP192,1),"n/p")</f>
        <v/>
      </c>
      <c r="AQ210" s="176">
        <f>IF(AND(ISNUMBER(AQ209),ISNUMBER(AQ194)),ROUND(AQ209-AQ192,1),"n/p")</f>
        <v/>
      </c>
      <c r="AR210" s="176">
        <f>IF(AND(ISNUMBER(AR209),ISNUMBER(AR194)),ROUND(AR209-AR192,1),"n/p")</f>
        <v/>
      </c>
      <c r="AS210" s="176">
        <f>IF(AND(ISNUMBER(AS209),ISNUMBER(AS194)),ROUND(AS209-AS192,1),"n/p")</f>
        <v/>
      </c>
      <c r="AT210" s="176">
        <f>IF(AND(ISNUMBER(AT209),ISNUMBER(AT194)),ROUND(AT209-AT192,1),"n/p")</f>
        <v/>
      </c>
      <c r="AU210" s="176">
        <f>IF(AND(ISNUMBER(AU209),ISNUMBER(AU194)),ROUND(AU209-AU192,1),"n/p")</f>
        <v/>
      </c>
      <c r="AV210" s="176">
        <f>IF(AND(ISNUMBER(AV209),ISNUMBER(AV194)),ROUND(AV209-AV192,1),"n/p")</f>
        <v/>
      </c>
      <c r="AW210" s="176">
        <f>IF(AND(ISNUMBER(AW209),ISNUMBER(AW194)),ROUND(AW209-AW192,1),"n/p")</f>
        <v/>
      </c>
      <c r="AX210" s="176">
        <f>IF(AND(ISNUMBER(AX209),ISNUMBER(AX194)),ROUND(AX209-AX192,1),"n/p")</f>
        <v/>
      </c>
      <c r="AY210" s="176">
        <f>IF(AND(ISNUMBER(AY209),ISNUMBER(AY194)),ROUND(AY209-AY192,1),"n/p")</f>
        <v/>
      </c>
      <c r="AZ210" s="176">
        <f>IF(AND(ISNUMBER(AZ209),ISNUMBER(AZ194)),ROUND(AZ209-AZ192,1),"n/p")</f>
        <v/>
      </c>
      <c r="BA210" s="176">
        <f>IF(AND(ISNUMBER(BA209),ISNUMBER(BA194)),ROUND(BA209-BA192,1),"n/p")</f>
        <v/>
      </c>
      <c r="BB210" s="176">
        <f>IF(AND(ISNUMBER(BB209),ISNUMBER(BB194)),ROUND(BB209-BB192,1),"n/p")</f>
        <v/>
      </c>
      <c r="BC210" s="176">
        <f>IF(AND(ISNUMBER(BC209),ISNUMBER(BC194)),ROUND(BC209-BC192,1),"n/p")</f>
        <v/>
      </c>
      <c r="BD210" s="176">
        <f>IF(AND(ISNUMBER(BD209),ISNUMBER(BD194)),ROUND(BD209-BD192,1),"n/p")</f>
        <v/>
      </c>
      <c r="BE210" s="176">
        <f>IF(AND(ISNUMBER(BE209),ISNUMBER(BE194)),ROUND(BE209-BE192,1),"n/p")</f>
        <v/>
      </c>
      <c r="BF210" s="176">
        <f>IF(AND(ISNUMBER(BF209),ISNUMBER(BF194)),ROUND(BF209-BF192,1),"n/p")</f>
        <v/>
      </c>
      <c r="BG210" s="176">
        <f>IF(AND(ISNUMBER(BG209),ISNUMBER(BG194)),ROUND(BG209-BG192,1),"n/p")</f>
        <v/>
      </c>
      <c r="BH210" s="176">
        <f>IF(AND(ISNUMBER(BH209),ISNUMBER(BH194)),ROUND(BH209-BH192,1),"n/p")</f>
        <v/>
      </c>
      <c r="BI210" s="176">
        <f>IF(AND(ISNUMBER(BI209),ISNUMBER(BI194)),ROUND(BI209-BI192,1),"n/p")</f>
        <v/>
      </c>
      <c r="BJ210" s="176">
        <f>IF(AND(ISNUMBER(BJ209),ISNUMBER(BJ194)),ROUND(BJ209-BJ192,1),"n/p")</f>
        <v/>
      </c>
      <c r="BK210" s="176">
        <f>IF(AND(ISNUMBER(BK209),ISNUMBER(BK194)),ROUND(BK209-BK192,1),"n/p")</f>
        <v/>
      </c>
      <c r="BL210" s="176">
        <f>IF(AND(ISNUMBER(BL209),ISNUMBER(BL194)),ROUND(BL209-BL192,1),"n/p")</f>
        <v/>
      </c>
      <c r="BM210" s="176">
        <f>IF(AND(ISNUMBER(BM209),ISNUMBER(BM194)),ROUND(BM209-BM192,1),"n/p")</f>
        <v/>
      </c>
      <c r="BN210" s="176">
        <f>IF(AND(ISNUMBER(BN209),ISNUMBER(BN194)),ROUND(BN209-BN192,1),"n/p")</f>
        <v/>
      </c>
      <c r="BO210" s="176">
        <f>IF(AND(ISNUMBER(BO209),ISNUMBER(BO194)),ROUND(BO209-BO192,1),"n/p")</f>
        <v/>
      </c>
      <c r="BP210" s="176">
        <f>IF(AND(ISNUMBER(BP209),ISNUMBER(BP194)),ROUND(BP209-BP192,1),"n/p")</f>
        <v/>
      </c>
      <c r="BQ210" s="176">
        <f>IF(AND(ISNUMBER(BQ209),ISNUMBER(BQ194)),ROUND(BQ209-BQ192,1),"n/p")</f>
        <v/>
      </c>
      <c r="BR210" s="176">
        <f>IF(AND(ISNUMBER(BR209),ISNUMBER(BR194)),ROUND(BR209-BR192,1),"n/p")</f>
        <v/>
      </c>
      <c r="BS210" s="176">
        <f>IF(AND(ISNUMBER(BS209),ISNUMBER(BS194)),ROUND(BS209-BS192,1),"n/p")</f>
        <v/>
      </c>
      <c r="BT210" s="176">
        <f>IF(AND(ISNUMBER(BT209),ISNUMBER(BT194)),ROUND(BT209-BT192,1),"n/p")</f>
        <v/>
      </c>
      <c r="BU210" s="176">
        <f>IF(AND(ISNUMBER(BU209),ISNUMBER(BU194)),ROUND(BU209-BU192,1),"n/p")</f>
        <v/>
      </c>
      <c r="BV210" s="176">
        <f>IF(AND(ISNUMBER(BV209),ISNUMBER(BV194)),ROUND(BV209-BV192,1),"n/p")</f>
        <v/>
      </c>
      <c r="BW210" s="176">
        <f>IF(AND(ISNUMBER(BW209),ISNUMBER(BW194)),ROUND(BW209-BW192,1),"n/p")</f>
        <v/>
      </c>
      <c r="BX210" s="176">
        <f>IF(AND(ISNUMBER(BX209),ISNUMBER(BX194)),ROUND(BX209-BX192,1),"n/p")</f>
        <v/>
      </c>
      <c r="BY210" s="176">
        <f>IF(AND(ISNUMBER(BY209),ISNUMBER(BY194)),ROUND(BY209-BY192,1),"n/p")</f>
        <v/>
      </c>
      <c r="BZ210" s="176">
        <f>IF(AND(ISNUMBER(BZ209),ISNUMBER(BZ194)),ROUND(BZ209-BZ192,1),"n/p")</f>
        <v/>
      </c>
      <c r="CA210" s="176">
        <f>IF(AND(ISNUMBER(CA209),ISNUMBER(CA194)),ROUND(CA209-CA192,1),"n/p")</f>
        <v/>
      </c>
      <c r="CB210" s="176">
        <f>IF(AND(ISNUMBER(CB209),ISNUMBER(CB194)),ROUND(CB209-CB192,1),"n/p")</f>
        <v/>
      </c>
      <c r="CC210" s="176">
        <f>IF(AND(ISNUMBER(CC209),ISNUMBER(CC194)),ROUND(CC209-CC192,1),"n/p")</f>
        <v/>
      </c>
      <c r="CD210" s="176">
        <f>IF(AND(ISNUMBER(CD209),ISNUMBER(CD194)),ROUND(CD209-CD192,1),"n/p")</f>
        <v/>
      </c>
      <c r="CE210" s="176">
        <f>IF(AND(ISNUMBER(CE209),ISNUMBER(CE194)),ROUND(CE209-CE192,1),"n/p")</f>
        <v/>
      </c>
      <c r="CF210" s="176">
        <f>IF(AND(ISNUMBER(CF209),ISNUMBER(CF194)),ROUND(CF209-CF192,1),"n/p")</f>
        <v/>
      </c>
      <c r="CG210" s="176">
        <f>IF(AND(ISNUMBER(CG209),ISNUMBER(CG194)),ROUND(CG209-CG192,1),"n/p")</f>
        <v/>
      </c>
      <c r="CH210" s="176">
        <f>IF(AND(ISNUMBER(CH209),ISNUMBER(CH194)),ROUND(CH209-CH192,1),"n/p")</f>
        <v/>
      </c>
      <c r="CI210" s="176">
        <f>IF(AND(ISNUMBER(CI209),ISNUMBER(CI194)),ROUND(CI209-CI192,1),"n/p")</f>
        <v/>
      </c>
      <c r="CJ210" s="176">
        <f>IF(AND(ISNUMBER(CJ209),ISNUMBER(CJ194)),ROUND(CJ209-CJ192,1),"n/p")</f>
        <v/>
      </c>
      <c r="CK210" s="176">
        <f>IF(AND(ISNUMBER(CK209),ISNUMBER(CK194)),ROUND(CK209-CK192,1),"n/p")</f>
        <v/>
      </c>
      <c r="CL210" s="176">
        <f>IF(AND(ISNUMBER(CL209),ISNUMBER(CL194)),ROUND(CL209-CL192,1),"n/p")</f>
        <v/>
      </c>
      <c r="CM210" s="188">
        <f>ROUND(CM209-CM192,1)</f>
        <v/>
      </c>
      <c r="CN210" s="188">
        <f>ROUND(CN209-CN192,1)</f>
        <v/>
      </c>
      <c r="CO210" s="188">
        <f>SUM(CJ210,CK210,CM210,CN210)</f>
        <v/>
      </c>
      <c r="CP210" s="188">
        <f>ROUND(CP209-CP192,1)</f>
        <v/>
      </c>
      <c r="CQ210" s="188">
        <f>ROUND(CQ209-CQ192,1)</f>
        <v/>
      </c>
      <c r="CR210" s="188">
        <f>ROUND(CR209-CR192,1)</f>
        <v/>
      </c>
      <c r="CS210" s="188">
        <f>ROUND(CS209-CS192,1)</f>
        <v/>
      </c>
      <c r="CT210" s="22" t="n"/>
      <c r="CV210" s="6" t="n"/>
      <c r="CW210" s="6" t="n"/>
      <c r="CX210" s="6" t="n"/>
      <c r="CY210" s="6" t="n"/>
    </row>
    <row r="211" ht="15" customHeight="1">
      <c r="B211" s="25" t="inlineStr">
        <is>
          <t xml:space="preserve">  Adjusted EBIT y/y %</t>
        </is>
      </c>
      <c r="C211" s="26" t="n"/>
      <c r="D211" s="26">
        <f>IF(AND(ISNUMBER(D206),ISNUMBER(C206)),IFERROR(D206/C206-1,""),"")</f>
        <v/>
      </c>
      <c r="E211" s="26">
        <f>IF(AND(ISNUMBER(E206),ISNUMBER(D206)),IFERROR(E206/D206-1,""),"")</f>
        <v/>
      </c>
      <c r="F211" s="26">
        <f>IF(AND(ISNUMBER(F206),ISNUMBER(E206)),IFERROR(F206/E206-1,""),"")</f>
        <v/>
      </c>
      <c r="G211" s="26">
        <f>IF(AND(ISNUMBER(G206),ISNUMBER(F206)),IFERROR(G206/F206-1,""),"")</f>
        <v/>
      </c>
      <c r="H211" s="26">
        <f>IF(AND(ISNUMBER(H206),ISNUMBER(G206)),IFERROR(H206/G206-1,""),"")</f>
        <v/>
      </c>
      <c r="I211" s="26">
        <f>IF(AND(ISNUMBER(I206),ISNUMBER(H206)),IFERROR(I206/H206-1,""),"")</f>
        <v/>
      </c>
      <c r="J211" s="26" t="n"/>
      <c r="K211" s="26" t="n"/>
      <c r="L211" s="26" t="n"/>
      <c r="M211" s="26" t="n"/>
      <c r="N211" s="26" t="n"/>
      <c r="O211" s="26">
        <f>IF(AND(ISNUMBER(O206),ISNUMBER(I206)),IFERROR(O206/I206-1,""),"")</f>
        <v/>
      </c>
      <c r="P211" s="26">
        <f>IF(AND(ISNUMBER(P206),ISNUMBER(J206)),IFERROR(P206/J206-1,""),"")</f>
        <v/>
      </c>
      <c r="Q211" s="26">
        <f>IF(AND(ISNUMBER(Q206),ISNUMBER(K206)),IFERROR(Q206/K206-1,""),"")</f>
        <v/>
      </c>
      <c r="R211" s="26">
        <f>IF(AND(ISNUMBER(R206),ISNUMBER(L206)),IFERROR(R206/L206-1,""),"")</f>
        <v/>
      </c>
      <c r="S211" s="26">
        <f>IF(AND(ISNUMBER(S206),ISNUMBER(M206)),IFERROR(S206/M206-1,""),"")</f>
        <v/>
      </c>
      <c r="T211" s="26">
        <f>IF(AND(ISNUMBER(T206),ISNUMBER(N206)),IFERROR(T206/N206-1,""),"")</f>
        <v/>
      </c>
      <c r="U211" s="26">
        <f>IF(AND(ISNUMBER(U206),ISNUMBER(O206)),IFERROR(U206/O206-1,""),"")</f>
        <v/>
      </c>
      <c r="V211" s="26">
        <f>IF(AND(ISNUMBER(V206),ISNUMBER(P206)),IFERROR(V206/P206-1,""),"")</f>
        <v/>
      </c>
      <c r="W211" s="26">
        <f>IF(AND(ISNUMBER(W206),ISNUMBER(Q206)),IFERROR(W206/Q206-1,""),"")</f>
        <v/>
      </c>
      <c r="X211" s="26">
        <f>IF(AND(ISNUMBER(X206),ISNUMBER(R206)),IFERROR(X206/R206-1,""),"")</f>
        <v/>
      </c>
      <c r="Y211" s="26">
        <f>IF(AND(ISNUMBER(Y206),ISNUMBER(S206)),IFERROR(Y206/S206-1,""),"")</f>
        <v/>
      </c>
      <c r="Z211" s="26">
        <f>IF(AND(ISNUMBER(Z206),ISNUMBER(T206)),IFERROR(Z206/T206-1,""),"")</f>
        <v/>
      </c>
      <c r="AA211" s="26">
        <f>IF(AND(ISNUMBER(AA206),ISNUMBER(U206)),IFERROR(AA206/U206-1,""),"")</f>
        <v/>
      </c>
      <c r="AB211" s="26">
        <f>IF(AND(ISNUMBER(AB206),ISNUMBER(V206)),IFERROR(AB206/V206-1,""),"")</f>
        <v/>
      </c>
      <c r="AC211" s="26">
        <f>IF(AND(ISNUMBER(AC206),ISNUMBER(W206)),IFERROR(AC206/W206-1,""),"")</f>
        <v/>
      </c>
      <c r="AD211" s="26">
        <f>IF(AND(ISNUMBER(AD206),ISNUMBER(X206)),IFERROR(AD206/X206-1,""),"")</f>
        <v/>
      </c>
      <c r="AE211" s="26">
        <f>IF(AND(ISNUMBER(AE206),ISNUMBER(Y206)),IFERROR(AE206/Y206-1,""),"")</f>
        <v/>
      </c>
      <c r="AF211" s="26">
        <f>IF(AND(ISNUMBER(AF206),ISNUMBER(Z206)),IFERROR(AF206/Z206-1,""),"")</f>
        <v/>
      </c>
      <c r="AG211" s="26">
        <f>IF(AND(ISNUMBER(AG206),ISNUMBER(AA206)),IFERROR(AG206/AA206-1,""),"")</f>
        <v/>
      </c>
      <c r="AH211" s="26">
        <f>IF(AND(ISNUMBER(AH206),ISNUMBER(AB206)),IFERROR(AH206/AB206-1,""),"")</f>
        <v/>
      </c>
      <c r="AI211" s="26">
        <f>IF(AND(ISNUMBER(AI206),ISNUMBER(AC206)),IFERROR(AI206/AC206-1,""),"")</f>
        <v/>
      </c>
      <c r="AJ211" s="26">
        <f>IF(AND(ISNUMBER(AJ206),ISNUMBER(AD206)),IFERROR(AJ206/AD206-1,""),"")</f>
        <v/>
      </c>
      <c r="AK211" s="26">
        <f>IF(AND(ISNUMBER(AK206),ISNUMBER(AE206)),IFERROR(AK206/AE206-1,""),"")</f>
        <v/>
      </c>
      <c r="AL211" s="26">
        <f>IF(AND(ISNUMBER(AL206),ISNUMBER(AF206)),IFERROR(AL206/AF206-1,""),"")</f>
        <v/>
      </c>
      <c r="AM211" s="26">
        <f>IF(AND(ISNUMBER(AM206),ISNUMBER(AG206)),IFERROR(AM206/AG206-1,""),"")</f>
        <v/>
      </c>
      <c r="AN211" s="26">
        <f>IF(AND(ISNUMBER(AN206),ISNUMBER(AH206)),IFERROR(AN206/AH206-1,""),"")</f>
        <v/>
      </c>
      <c r="AO211" s="26">
        <f>IF(AND(ISNUMBER(AO206),ISNUMBER(AI206)),IFERROR(AO206/AI206-1,""),"")</f>
        <v/>
      </c>
      <c r="AP211" s="26">
        <f>IF(AND(ISNUMBER(AP206),ISNUMBER(AJ206)),IFERROR(AP206/AJ206-1,""),"")</f>
        <v/>
      </c>
      <c r="AQ211" s="26">
        <f>IF(AND(ISNUMBER(AQ206),ISNUMBER(AK206)),IFERROR(AQ206/AK206-1,""),"")</f>
        <v/>
      </c>
      <c r="AR211" s="26">
        <f>IF(AND(ISNUMBER(AR206),ISNUMBER(AL206)),IFERROR(AR206/AL206-1,""),"")</f>
        <v/>
      </c>
      <c r="AS211" s="26">
        <f>IF(AND(ISNUMBER(AS206),ISNUMBER(AM206)),IFERROR(AS206/AM206-1,""),"")</f>
        <v/>
      </c>
      <c r="AT211" s="26">
        <f>IF(AND(ISNUMBER(AT206),ISNUMBER(AN206)),IFERROR(AT206/AN206-1,""),"")</f>
        <v/>
      </c>
      <c r="AU211" s="26">
        <f>IF(AND(ISNUMBER(AU206),ISNUMBER(AO206)),IFERROR(AU206/AO206-1,""),"")</f>
        <v/>
      </c>
      <c r="AV211" s="26">
        <f>IF(AND(ISNUMBER(AV206),ISNUMBER(AP206)),IFERROR(AV206/AP206-1,""),"")</f>
        <v/>
      </c>
      <c r="AW211" s="26">
        <f>IF(AND(ISNUMBER(AW206),ISNUMBER(AQ206)),IFERROR(AW206/AQ206-1,""),"")</f>
        <v/>
      </c>
      <c r="AX211" s="26">
        <f>IF(AND(ISNUMBER(AX206),ISNUMBER(AR206)),IFERROR(AX206/AR206-1,""),"")</f>
        <v/>
      </c>
      <c r="AY211" s="26">
        <f>IF(AND(ISNUMBER(AY206),ISNUMBER(AS206)),IFERROR(AY206/AS206-1,""),"")</f>
        <v/>
      </c>
      <c r="AZ211" s="26">
        <f>IF(AND(ISNUMBER(AZ206),ISNUMBER(AT206)),IFERROR(AZ206/AT206-1,""),"")</f>
        <v/>
      </c>
      <c r="BA211" s="26">
        <f>IF(AND(ISNUMBER(BA206),ISNUMBER(AU206)),IFERROR(BA206/AU206-1,""),"")</f>
        <v/>
      </c>
      <c r="BB211" s="26">
        <f>IF(AND(ISNUMBER(BB206),ISNUMBER(AV206)),IFERROR(BB206/AV206-1,""),"")</f>
        <v/>
      </c>
      <c r="BC211" s="26">
        <f>IF(AND(ISNUMBER(BC206),ISNUMBER(AW206)),IFERROR(BC206/AW206-1,""),"")</f>
        <v/>
      </c>
      <c r="BD211" s="26">
        <f>IF(AND(ISNUMBER(BD206),ISNUMBER(AX206)),IFERROR(BD206/AX206-1,""),"")</f>
        <v/>
      </c>
      <c r="BE211" s="26">
        <f>IF(AND(ISNUMBER(BE206),ISNUMBER(AY206)),IFERROR(BE206/AY206-1,""),"")</f>
        <v/>
      </c>
      <c r="BF211" s="26">
        <f>IF(AND(ISNUMBER(BF206),ISNUMBER(AZ206)),IFERROR(BF206/AZ206-1,""),"")</f>
        <v/>
      </c>
      <c r="BG211" s="26">
        <f>IF(AND(ISNUMBER(BG206),ISNUMBER(BA206)),IFERROR(BG206/BA206-1,""),"")</f>
        <v/>
      </c>
      <c r="BH211" s="26">
        <f>IF(AND(ISNUMBER(BH206),ISNUMBER(BB206)),IFERROR(BH206/BB206-1,""),"")</f>
        <v/>
      </c>
      <c r="BI211" s="26">
        <f>IF(AND(ISNUMBER(BI206),ISNUMBER(BC206)),IFERROR(BI206/BC206-1,""),"")</f>
        <v/>
      </c>
      <c r="BJ211" s="26">
        <f>IF(AND(ISNUMBER(BJ206),ISNUMBER(BD206)),IFERROR(BJ206/BD206-1,""),"")</f>
        <v/>
      </c>
      <c r="BK211" s="26">
        <f>IF(AND(ISNUMBER(BK206),ISNUMBER(BE206)),IFERROR(BK206/BE206-1,""),"")</f>
        <v/>
      </c>
      <c r="BL211" s="26">
        <f>IF(AND(ISNUMBER(BL206),ISNUMBER(BF206)),IFERROR(BL206/BF206-1,""),"")</f>
        <v/>
      </c>
      <c r="BM211" s="26">
        <f>IF(AND(ISNUMBER(BM206),ISNUMBER(BG206)),IFERROR(BM206/BG206-1,""),"")</f>
        <v/>
      </c>
      <c r="BN211" s="26">
        <f>IF(AND(ISNUMBER(BN206),ISNUMBER(BH206)),IFERROR(BN206/BH206-1,""),"")</f>
        <v/>
      </c>
      <c r="BO211" s="26">
        <f>IF(AND(ISNUMBER(BO206),ISNUMBER(BI206)),IFERROR(BO206/BI206-1,""),"")</f>
        <v/>
      </c>
      <c r="BP211" s="26">
        <f>IF(AND(ISNUMBER(BP206),ISNUMBER(BJ206)),IFERROR(BP206/BJ206-1,""),"")</f>
        <v/>
      </c>
      <c r="BQ211" s="26">
        <f>IF(AND(ISNUMBER(BQ206),ISNUMBER(BK206)),IFERROR(BQ206/BK206-1,""),"")</f>
        <v/>
      </c>
      <c r="BR211" s="26">
        <f>IF(AND(ISNUMBER(BR206),ISNUMBER(BL206)),IFERROR(BR206/BL206-1,""),"")</f>
        <v/>
      </c>
      <c r="BS211" s="26">
        <f>IF(AND(ISNUMBER(BS206),ISNUMBER(BM206)),IFERROR(BS206/BM206-1,""),"")</f>
        <v/>
      </c>
      <c r="BT211" s="26">
        <f>IF(AND(ISNUMBER(BT206),ISNUMBER(BN206)),IFERROR(BT206/BN206-1,""),"")</f>
        <v/>
      </c>
      <c r="BU211" s="26">
        <f>IF(AND(ISNUMBER(BU206),ISNUMBER(BO206)),IFERROR(BU206/BO206-1,""),"")</f>
        <v/>
      </c>
      <c r="BV211" s="26">
        <f>IF(AND(ISNUMBER(BV206),ISNUMBER(BP206)),IFERROR(BV206/BP206-1,""),"")</f>
        <v/>
      </c>
      <c r="BW211" s="26">
        <f>IF(AND(ISNUMBER(BW206),ISNUMBER(BQ206)),IFERROR(BW206/BQ206-1,""),"")</f>
        <v/>
      </c>
      <c r="BX211" s="26">
        <f>IF(AND(ISNUMBER(BX206),ISNUMBER(BR206)),IFERROR(BX206/BR206-1,""),"")</f>
        <v/>
      </c>
      <c r="BY211" s="26">
        <f>IF(AND(ISNUMBER(BY206),ISNUMBER(BS206)),IFERROR(BY206/BS206-1,""),"")</f>
        <v/>
      </c>
      <c r="BZ211" s="26">
        <f>IF(AND(ISNUMBER(BZ206),ISNUMBER(BT206)),IFERROR(BZ206/BT206-1,""),"")</f>
        <v/>
      </c>
      <c r="CA211" s="26">
        <f>IF(AND(ISNUMBER(CA206),ISNUMBER(BU206)),IFERROR(CA206/BU206-1,""),"")</f>
        <v/>
      </c>
      <c r="CB211" s="26">
        <f>IF(AND(ISNUMBER(CB206),ISNUMBER(BV206)),IFERROR(CB206/BV206-1,""),"")</f>
        <v/>
      </c>
      <c r="CC211" s="26">
        <f>IF(AND(ISNUMBER(CC206),ISNUMBER(BW206)),IFERROR(CC206/BW206-1,""),"")</f>
        <v/>
      </c>
      <c r="CD211" s="26">
        <f>IF(AND(ISNUMBER(CD206),ISNUMBER(BX206)),IFERROR(CD206/BX206-1,""),"")</f>
        <v/>
      </c>
      <c r="CE211" s="26">
        <f>IF(AND(ISNUMBER(CE206),ISNUMBER(BY206)),IFERROR(CE206/BY206-1,""),"")</f>
        <v/>
      </c>
      <c r="CF211" s="26">
        <f>IF(AND(ISNUMBER(CF206),ISNUMBER(BZ206)),IFERROR(CF206/BZ206-1,""),"")</f>
        <v/>
      </c>
      <c r="CG211" s="26">
        <f>IF(AND(ISNUMBER(CG206),ISNUMBER(CA206)),IFERROR(CG206/CA206-1,""),"")</f>
        <v/>
      </c>
      <c r="CH211" s="26">
        <f>IF(AND(ISNUMBER(CH206),ISNUMBER(CB206)),IFERROR(CH206/CB206-1,""),"")</f>
        <v/>
      </c>
      <c r="CI211" s="26">
        <f>IF(AND(ISNUMBER(CI206),ISNUMBER(CC206)),IFERROR(CI206/CC206-1,""),"")</f>
        <v/>
      </c>
      <c r="CJ211" s="26">
        <f>IF(AND(ISNUMBER(CJ206),ISNUMBER(CD206)),IFERROR(CJ206/CD206-1,""),"")</f>
        <v/>
      </c>
      <c r="CK211" s="26">
        <f>IF(AND(ISNUMBER(CK206),ISNUMBER(CE206)),IFERROR(CK206/CE206-1,""),"")</f>
        <v/>
      </c>
      <c r="CL211" s="26">
        <f>IF(AND(ISNUMBER(CL206),ISNUMBER(CF206)),IFERROR(CL206/CF206-1,""),"")</f>
        <v/>
      </c>
      <c r="CM211" s="165">
        <f>IF(AND(ISNUMBER(CM206),ISNUMBER(CG206)),IFERROR(CM206/CG206-1,""),"")</f>
        <v/>
      </c>
      <c r="CN211" s="165">
        <f>IF(AND(ISNUMBER(CN206),ISNUMBER(CH206)),IFERROR(CN206/CH206-1,""),"")</f>
        <v/>
      </c>
      <c r="CO211" s="165">
        <f>IF(AND(ISNUMBER(CO206),ISNUMBER(CI206)),IFERROR(CO206/CI206-1,""),"")</f>
        <v/>
      </c>
      <c r="CP211" s="165">
        <f>IF(AND(ISNUMBER(CP206),ISNUMBER(CO206)),IFERROR(CP206/CO206-1,""),"")</f>
        <v/>
      </c>
      <c r="CQ211" s="165">
        <f>IF(AND(ISNUMBER(CQ206),ISNUMBER(CP206)),IFERROR(CQ206/CP206-1,""),"")</f>
        <v/>
      </c>
      <c r="CR211" s="165">
        <f>IF(AND(ISNUMBER(CR206),ISNUMBER(CQ206)),IFERROR(CR206/CQ206-1,""),"")</f>
        <v/>
      </c>
      <c r="CS211" s="165">
        <f>IF(AND(ISNUMBER(CS206),ISNUMBER(CR206)),IFERROR(CS206/CR206-1,""),"")</f>
        <v/>
      </c>
      <c r="CT211" s="22" t="n"/>
      <c r="CV211" s="6" t="n"/>
      <c r="CW211" s="6" t="n"/>
      <c r="CX211" s="6" t="n"/>
      <c r="CY211" s="6" t="n"/>
    </row>
    <row r="212" ht="15" customHeight="1">
      <c r="B212" s="12" t="n"/>
      <c r="CM212" s="6" t="n"/>
      <c r="CN212" s="6" t="n"/>
      <c r="CO212" s="6" t="n"/>
      <c r="CP212" s="6" t="n"/>
      <c r="CQ212" s="6" t="n"/>
      <c r="CR212" s="6" t="n"/>
      <c r="CS212" s="6" t="n"/>
      <c r="CT212" s="6" t="n"/>
    </row>
    <row r="213" ht="15" customHeight="1">
      <c r="B213" s="11" t="inlineStr">
        <is>
          <t>RECONCILIATION: GAAP NET EARNINGS → ADJUSTED NET EARNINGS → ADJUSTED DILUTED EPS (continuing operations)</t>
        </is>
      </c>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c r="AJ213" s="11" t="n"/>
      <c r="AK213" s="11" t="n"/>
      <c r="AL213" s="11" t="n"/>
      <c r="AM213" s="11" t="n"/>
      <c r="AN213" s="11" t="n"/>
      <c r="AO213" s="11" t="n"/>
      <c r="AP213" s="11" t="n"/>
      <c r="AQ213" s="11" t="n"/>
      <c r="AR213" s="11" t="n"/>
      <c r="AS213" s="11" t="n"/>
      <c r="AT213" s="11" t="n"/>
      <c r="AU213" s="11" t="n"/>
      <c r="AV213" s="11" t="n"/>
      <c r="AW213" s="11" t="n"/>
      <c r="AX213" s="11" t="n"/>
      <c r="AY213" s="11" t="n"/>
      <c r="AZ213" s="11" t="n"/>
      <c r="BA213" s="11" t="n"/>
      <c r="BB213" s="11" t="n"/>
      <c r="BC213" s="11" t="n"/>
      <c r="BD213" s="11" t="n"/>
      <c r="BE213" s="11" t="n"/>
      <c r="BF213" s="11" t="n"/>
      <c r="BG213" s="11" t="n"/>
      <c r="BH213" s="11" t="n"/>
      <c r="BI213" s="11" t="n"/>
      <c r="BJ213" s="11" t="n"/>
      <c r="BK213" s="11" t="n"/>
      <c r="BL213" s="11" t="n"/>
      <c r="BM213" s="11" t="n"/>
      <c r="BN213" s="11" t="n"/>
      <c r="BO213" s="11" t="n"/>
      <c r="BP213" s="11" t="n"/>
      <c r="BQ213" s="11" t="n"/>
      <c r="BR213" s="11" t="n"/>
      <c r="BS213" s="11" t="n"/>
      <c r="BT213" s="11" t="n"/>
      <c r="BU213" s="11" t="n"/>
      <c r="BV213" s="11" t="n"/>
      <c r="BW213" s="11" t="n"/>
      <c r="BX213" s="11" t="n"/>
      <c r="BY213" s="11" t="n"/>
      <c r="BZ213" s="11" t="n"/>
      <c r="CA213" s="11" t="n"/>
      <c r="CB213" s="11" t="n"/>
      <c r="CC213" s="11" t="n"/>
      <c r="CD213" s="11" t="n"/>
      <c r="CE213" s="11" t="n"/>
      <c r="CF213" s="11" t="n"/>
      <c r="CG213" s="11" t="n"/>
      <c r="CH213" s="11" t="n"/>
      <c r="CI213" s="11" t="n"/>
      <c r="CJ213" s="11" t="n"/>
      <c r="CK213" s="11" t="n"/>
      <c r="CL213" s="11" t="n"/>
      <c r="CM213" s="11" t="n"/>
      <c r="CN213" s="11" t="n"/>
      <c r="CO213" s="11" t="n"/>
      <c r="CP213" s="11" t="n"/>
      <c r="CQ213" s="11" t="n"/>
      <c r="CR213" s="11" t="n"/>
      <c r="CS213" s="11" t="n"/>
      <c r="CT213" s="11" t="inlineStr">
        <is>
          <t>ADJUSTED EPS — company definition in force in each period (Vulcan reconciles in per-share amounts)</t>
        </is>
      </c>
    </row>
    <row r="214" ht="15" customHeight="1">
      <c r="B214" s="18" t="inlineStr">
        <is>
          <t>Net earnings attributable to Vulcan (GAAP)</t>
        </is>
      </c>
      <c r="C214" s="173">
        <f>C155</f>
        <v/>
      </c>
      <c r="D214" s="173">
        <f>D155</f>
        <v/>
      </c>
      <c r="E214" s="173">
        <f>E155</f>
        <v/>
      </c>
      <c r="F214" s="173">
        <f>F155</f>
        <v/>
      </c>
      <c r="G214" s="173">
        <f>G155</f>
        <v/>
      </c>
      <c r="H214" s="173">
        <f>H155</f>
        <v/>
      </c>
      <c r="I214" s="173">
        <f>I155</f>
        <v/>
      </c>
      <c r="J214" s="173">
        <f>J155</f>
        <v/>
      </c>
      <c r="K214" s="173">
        <f>K155</f>
        <v/>
      </c>
      <c r="L214" s="173">
        <f>L155</f>
        <v/>
      </c>
      <c r="M214" s="173">
        <f>M155</f>
        <v/>
      </c>
      <c r="N214" s="173">
        <f>N155</f>
        <v/>
      </c>
      <c r="O214" s="173">
        <f>O155</f>
        <v/>
      </c>
      <c r="P214" s="173">
        <f>P155</f>
        <v/>
      </c>
      <c r="Q214" s="173">
        <f>Q155</f>
        <v/>
      </c>
      <c r="R214" s="173">
        <f>R155</f>
        <v/>
      </c>
      <c r="S214" s="173">
        <f>S155</f>
        <v/>
      </c>
      <c r="T214" s="173">
        <f>T155</f>
        <v/>
      </c>
      <c r="U214" s="173">
        <f>U155</f>
        <v/>
      </c>
      <c r="V214" s="173">
        <f>V155</f>
        <v/>
      </c>
      <c r="W214" s="173">
        <f>W155</f>
        <v/>
      </c>
      <c r="X214" s="173">
        <f>X155</f>
        <v/>
      </c>
      <c r="Y214" s="173">
        <f>Y155</f>
        <v/>
      </c>
      <c r="Z214" s="173">
        <f>Z155</f>
        <v/>
      </c>
      <c r="AA214" s="173">
        <f>AA155</f>
        <v/>
      </c>
      <c r="AB214" s="173">
        <f>AB155</f>
        <v/>
      </c>
      <c r="AC214" s="173">
        <f>AC155</f>
        <v/>
      </c>
      <c r="AD214" s="173">
        <f>AD155</f>
        <v/>
      </c>
      <c r="AE214" s="173">
        <f>AE155</f>
        <v/>
      </c>
      <c r="AF214" s="173">
        <f>AF155</f>
        <v/>
      </c>
      <c r="AG214" s="173">
        <f>AG155</f>
        <v/>
      </c>
      <c r="AH214" s="173">
        <f>AH155</f>
        <v/>
      </c>
      <c r="AI214" s="173">
        <f>AI155</f>
        <v/>
      </c>
      <c r="AJ214" s="173">
        <f>AJ155</f>
        <v/>
      </c>
      <c r="AK214" s="173">
        <f>AK155</f>
        <v/>
      </c>
      <c r="AL214" s="173">
        <f>AL155</f>
        <v/>
      </c>
      <c r="AM214" s="173">
        <f>AM155</f>
        <v/>
      </c>
      <c r="AN214" s="173">
        <f>AN155</f>
        <v/>
      </c>
      <c r="AO214" s="173">
        <f>AO155</f>
        <v/>
      </c>
      <c r="AP214" s="173">
        <f>AP155</f>
        <v/>
      </c>
      <c r="AQ214" s="173">
        <f>AQ155</f>
        <v/>
      </c>
      <c r="AR214" s="173">
        <f>AR155</f>
        <v/>
      </c>
      <c r="AS214" s="173">
        <f>AS155</f>
        <v/>
      </c>
      <c r="AT214" s="173">
        <f>AT155</f>
        <v/>
      </c>
      <c r="AU214" s="173">
        <f>AU155</f>
        <v/>
      </c>
      <c r="AV214" s="173">
        <f>AV155</f>
        <v/>
      </c>
      <c r="AW214" s="173">
        <f>AW155</f>
        <v/>
      </c>
      <c r="AX214" s="173">
        <f>AX155</f>
        <v/>
      </c>
      <c r="AY214" s="173">
        <f>AY155</f>
        <v/>
      </c>
      <c r="AZ214" s="173">
        <f>AZ155</f>
        <v/>
      </c>
      <c r="BA214" s="173">
        <f>BA155</f>
        <v/>
      </c>
      <c r="BB214" s="173">
        <f>BB155</f>
        <v/>
      </c>
      <c r="BC214" s="173">
        <f>BC155</f>
        <v/>
      </c>
      <c r="BD214" s="173">
        <f>BD155</f>
        <v/>
      </c>
      <c r="BE214" s="173">
        <f>BE155</f>
        <v/>
      </c>
      <c r="BF214" s="173">
        <f>BF155</f>
        <v/>
      </c>
      <c r="BG214" s="173">
        <f>BG155</f>
        <v/>
      </c>
      <c r="BH214" s="173">
        <f>BH155</f>
        <v/>
      </c>
      <c r="BI214" s="173">
        <f>BI155</f>
        <v/>
      </c>
      <c r="BJ214" s="173">
        <f>BJ155</f>
        <v/>
      </c>
      <c r="BK214" s="173">
        <f>BK155</f>
        <v/>
      </c>
      <c r="BL214" s="173">
        <f>BL155</f>
        <v/>
      </c>
      <c r="BM214" s="173">
        <f>BM155</f>
        <v/>
      </c>
      <c r="BN214" s="173">
        <f>BN155</f>
        <v/>
      </c>
      <c r="BO214" s="173">
        <f>BO155</f>
        <v/>
      </c>
      <c r="BP214" s="173">
        <f>BP155</f>
        <v/>
      </c>
      <c r="BQ214" s="173">
        <f>BQ155</f>
        <v/>
      </c>
      <c r="BR214" s="173">
        <f>BR155</f>
        <v/>
      </c>
      <c r="BS214" s="173">
        <f>BS155</f>
        <v/>
      </c>
      <c r="BT214" s="173">
        <f>BT155</f>
        <v/>
      </c>
      <c r="BU214" s="173">
        <f>BU155</f>
        <v/>
      </c>
      <c r="BV214" s="173">
        <f>BV155</f>
        <v/>
      </c>
      <c r="BW214" s="173">
        <f>BW155</f>
        <v/>
      </c>
      <c r="BX214" s="173">
        <f>BX155</f>
        <v/>
      </c>
      <c r="BY214" s="173">
        <f>BY155</f>
        <v/>
      </c>
      <c r="BZ214" s="173">
        <f>BZ155</f>
        <v/>
      </c>
      <c r="CA214" s="173">
        <f>CA155</f>
        <v/>
      </c>
      <c r="CB214" s="173">
        <f>CB155</f>
        <v/>
      </c>
      <c r="CC214" s="173">
        <f>CC155</f>
        <v/>
      </c>
      <c r="CD214" s="173">
        <f>CD155</f>
        <v/>
      </c>
      <c r="CE214" s="173">
        <f>CE155</f>
        <v/>
      </c>
      <c r="CF214" s="173">
        <f>CF155</f>
        <v/>
      </c>
      <c r="CG214" s="173">
        <f>CG155</f>
        <v/>
      </c>
      <c r="CH214" s="173">
        <f>CH155</f>
        <v/>
      </c>
      <c r="CI214" s="173">
        <f>CI155</f>
        <v/>
      </c>
      <c r="CJ214" s="173">
        <f>CJ155</f>
        <v/>
      </c>
      <c r="CK214" s="173">
        <f>CK155</f>
        <v/>
      </c>
      <c r="CL214" s="173">
        <f>CL155</f>
        <v/>
      </c>
      <c r="CM214" s="174">
        <f>CM155</f>
        <v/>
      </c>
      <c r="CN214" s="174">
        <f>CN155</f>
        <v/>
      </c>
      <c r="CO214" s="174">
        <f>CO155</f>
        <v/>
      </c>
      <c r="CP214" s="174">
        <f>CP155</f>
        <v/>
      </c>
      <c r="CQ214" s="174">
        <f>CQ155</f>
        <v/>
      </c>
      <c r="CR214" s="174">
        <f>CR155</f>
        <v/>
      </c>
      <c r="CS214" s="174">
        <f>CS155</f>
        <v/>
      </c>
      <c r="CT214" s="22" t="n"/>
      <c r="CV214" s="6" t="n"/>
      <c r="CW214" s="6" t="n"/>
      <c r="CX214" s="6" t="n"/>
      <c r="CY214" s="6" t="n"/>
    </row>
    <row r="215" ht="15" customHeight="1">
      <c r="B215" s="12" t="inlineStr">
        <is>
          <t xml:space="preserve">  (−) Discontinued operations, net of tax</t>
        </is>
      </c>
      <c r="C215" s="170">
        <f>-N(C152)</f>
        <v/>
      </c>
      <c r="D215" s="170">
        <f>-N(D152)</f>
        <v/>
      </c>
      <c r="E215" s="170">
        <f>-N(E152)</f>
        <v/>
      </c>
      <c r="F215" s="170">
        <f>-N(F152)</f>
        <v/>
      </c>
      <c r="G215" s="170">
        <f>-N(G152)</f>
        <v/>
      </c>
      <c r="H215" s="170">
        <f>-N(H152)</f>
        <v/>
      </c>
      <c r="I215" s="170">
        <f>-N(I152)</f>
        <v/>
      </c>
      <c r="J215" s="170">
        <f>-N(J152)</f>
        <v/>
      </c>
      <c r="K215" s="170">
        <f>-N(K152)</f>
        <v/>
      </c>
      <c r="L215" s="170">
        <f>-N(L152)</f>
        <v/>
      </c>
      <c r="M215" s="170">
        <f>-N(M152)</f>
        <v/>
      </c>
      <c r="N215" s="170">
        <f>-N(N152)</f>
        <v/>
      </c>
      <c r="O215" s="170">
        <f>-N(O152)</f>
        <v/>
      </c>
      <c r="P215" s="170">
        <f>-N(P152)</f>
        <v/>
      </c>
      <c r="Q215" s="170">
        <f>-N(Q152)</f>
        <v/>
      </c>
      <c r="R215" s="170">
        <f>-N(R152)</f>
        <v/>
      </c>
      <c r="S215" s="170">
        <f>-N(S152)</f>
        <v/>
      </c>
      <c r="T215" s="170">
        <f>-N(T152)</f>
        <v/>
      </c>
      <c r="U215" s="170">
        <f>-N(U152)</f>
        <v/>
      </c>
      <c r="V215" s="170">
        <f>-N(V152)</f>
        <v/>
      </c>
      <c r="W215" s="170">
        <f>-N(W152)</f>
        <v/>
      </c>
      <c r="X215" s="170">
        <f>-N(X152)</f>
        <v/>
      </c>
      <c r="Y215" s="170">
        <f>-N(Y152)</f>
        <v/>
      </c>
      <c r="Z215" s="170">
        <f>-N(Z152)</f>
        <v/>
      </c>
      <c r="AA215" s="170">
        <f>-N(AA152)</f>
        <v/>
      </c>
      <c r="AB215" s="170">
        <f>-N(AB152)</f>
        <v/>
      </c>
      <c r="AC215" s="170">
        <f>-N(AC152)</f>
        <v/>
      </c>
      <c r="AD215" s="170">
        <f>-N(AD152)</f>
        <v/>
      </c>
      <c r="AE215" s="170">
        <f>-N(AE152)</f>
        <v/>
      </c>
      <c r="AF215" s="170">
        <f>-N(AF152)</f>
        <v/>
      </c>
      <c r="AG215" s="170">
        <f>-N(AG152)</f>
        <v/>
      </c>
      <c r="AH215" s="170">
        <f>-N(AH152)</f>
        <v/>
      </c>
      <c r="AI215" s="170">
        <f>-N(AI152)</f>
        <v/>
      </c>
      <c r="AJ215" s="170">
        <f>-N(AJ152)</f>
        <v/>
      </c>
      <c r="AK215" s="170">
        <f>-N(AK152)</f>
        <v/>
      </c>
      <c r="AL215" s="170">
        <f>-N(AL152)</f>
        <v/>
      </c>
      <c r="AM215" s="170">
        <f>-N(AM152)</f>
        <v/>
      </c>
      <c r="AN215" s="170">
        <f>-N(AN152)</f>
        <v/>
      </c>
      <c r="AO215" s="170">
        <f>-N(AO152)</f>
        <v/>
      </c>
      <c r="AP215" s="170">
        <f>-N(AP152)</f>
        <v/>
      </c>
      <c r="AQ215" s="170">
        <f>-N(AQ152)</f>
        <v/>
      </c>
      <c r="AR215" s="170">
        <f>-N(AR152)</f>
        <v/>
      </c>
      <c r="AS215" s="170">
        <f>-N(AS152)</f>
        <v/>
      </c>
      <c r="AT215" s="170">
        <f>-N(AT152)</f>
        <v/>
      </c>
      <c r="AU215" s="170">
        <f>-N(AU152)</f>
        <v/>
      </c>
      <c r="AV215" s="170">
        <f>-N(AV152)</f>
        <v/>
      </c>
      <c r="AW215" s="170">
        <f>-N(AW152)</f>
        <v/>
      </c>
      <c r="AX215" s="170">
        <f>-N(AX152)</f>
        <v/>
      </c>
      <c r="AY215" s="170">
        <f>-N(AY152)</f>
        <v/>
      </c>
      <c r="AZ215" s="170">
        <f>-N(AZ152)</f>
        <v/>
      </c>
      <c r="BA215" s="170">
        <f>-N(BA152)</f>
        <v/>
      </c>
      <c r="BB215" s="170">
        <f>-N(BB152)</f>
        <v/>
      </c>
      <c r="BC215" s="170">
        <f>-N(BC152)</f>
        <v/>
      </c>
      <c r="BD215" s="170">
        <f>-N(BD152)</f>
        <v/>
      </c>
      <c r="BE215" s="170">
        <f>-N(BE152)</f>
        <v/>
      </c>
      <c r="BF215" s="170">
        <f>-N(BF152)</f>
        <v/>
      </c>
      <c r="BG215" s="170">
        <f>-N(BG152)</f>
        <v/>
      </c>
      <c r="BH215" s="170">
        <f>-N(BH152)</f>
        <v/>
      </c>
      <c r="BI215" s="170">
        <f>-N(BI152)</f>
        <v/>
      </c>
      <c r="BJ215" s="170">
        <f>-N(BJ152)</f>
        <v/>
      </c>
      <c r="BK215" s="170">
        <f>-N(BK152)</f>
        <v/>
      </c>
      <c r="BL215" s="170">
        <f>-N(BL152)</f>
        <v/>
      </c>
      <c r="BM215" s="170">
        <f>-N(BM152)</f>
        <v/>
      </c>
      <c r="BN215" s="170">
        <f>-N(BN152)</f>
        <v/>
      </c>
      <c r="BO215" s="170">
        <f>-N(BO152)</f>
        <v/>
      </c>
      <c r="BP215" s="170">
        <f>-N(BP152)</f>
        <v/>
      </c>
      <c r="BQ215" s="170">
        <f>-N(BQ152)</f>
        <v/>
      </c>
      <c r="BR215" s="170">
        <f>-N(BR152)</f>
        <v/>
      </c>
      <c r="BS215" s="170">
        <f>-N(BS152)</f>
        <v/>
      </c>
      <c r="BT215" s="170">
        <f>-N(BT152)</f>
        <v/>
      </c>
      <c r="BU215" s="170">
        <f>-N(BU152)</f>
        <v/>
      </c>
      <c r="BV215" s="170">
        <f>-N(BV152)</f>
        <v/>
      </c>
      <c r="BW215" s="170">
        <f>-N(BW152)</f>
        <v/>
      </c>
      <c r="BX215" s="170">
        <f>-N(BX152)</f>
        <v/>
      </c>
      <c r="BY215" s="170">
        <f>-N(BY152)</f>
        <v/>
      </c>
      <c r="BZ215" s="170">
        <f>-N(BZ152)</f>
        <v/>
      </c>
      <c r="CA215" s="170">
        <f>-N(CA152)</f>
        <v/>
      </c>
      <c r="CB215" s="170">
        <f>-N(CB152)</f>
        <v/>
      </c>
      <c r="CC215" s="170">
        <f>-N(CC152)</f>
        <v/>
      </c>
      <c r="CD215" s="170">
        <f>-N(CD152)</f>
        <v/>
      </c>
      <c r="CE215" s="170">
        <f>-N(CE152)</f>
        <v/>
      </c>
      <c r="CF215" s="170">
        <f>-N(CF152)</f>
        <v/>
      </c>
      <c r="CG215" s="170">
        <f>-N(CG152)</f>
        <v/>
      </c>
      <c r="CH215" s="170">
        <f>-N(CH152)</f>
        <v/>
      </c>
      <c r="CI215" s="170">
        <f>-N(CI152)</f>
        <v/>
      </c>
      <c r="CJ215" s="170">
        <f>-N(CJ152)</f>
        <v/>
      </c>
      <c r="CK215" s="170">
        <f>-N(CK152)</f>
        <v/>
      </c>
      <c r="CL215" s="170">
        <f>-N(CL152)</f>
        <v/>
      </c>
      <c r="CM215" s="171">
        <f>-N(CM152)</f>
        <v/>
      </c>
      <c r="CN215" s="171">
        <f>-N(CN152)</f>
        <v/>
      </c>
      <c r="CO215" s="171">
        <f>-N(CO152)</f>
        <v/>
      </c>
      <c r="CP215" s="171">
        <f>-N(CP152)</f>
        <v/>
      </c>
      <c r="CQ215" s="171">
        <f>-N(CQ152)</f>
        <v/>
      </c>
      <c r="CR215" s="171">
        <f>-N(CR152)</f>
        <v/>
      </c>
      <c r="CS215" s="171">
        <f>-N(CS152)</f>
        <v/>
      </c>
      <c r="CT215" s="22" t="n"/>
      <c r="CV215" s="23" t="n"/>
      <c r="CW215" s="23" t="n"/>
      <c r="CX215" s="23" t="n"/>
      <c r="CY215" s="23" t="n"/>
    </row>
    <row r="216" ht="15" customHeight="1">
      <c r="B216" s="12" t="inlineStr">
        <is>
          <t xml:space="preserve">  (+) Adjusting items excl. discontinued operations, pre-tax</t>
        </is>
      </c>
      <c r="C216" s="170">
        <f>C205</f>
        <v/>
      </c>
      <c r="D216" s="170">
        <f>D205</f>
        <v/>
      </c>
      <c r="E216" s="170">
        <f>E205</f>
        <v/>
      </c>
      <c r="F216" s="170">
        <f>F205</f>
        <v/>
      </c>
      <c r="G216" s="170">
        <f>G205</f>
        <v/>
      </c>
      <c r="H216" s="170">
        <f>H205</f>
        <v/>
      </c>
      <c r="I216" s="170">
        <f>I205</f>
        <v/>
      </c>
      <c r="J216" s="170">
        <f>J205</f>
        <v/>
      </c>
      <c r="K216" s="170">
        <f>K205</f>
        <v/>
      </c>
      <c r="L216" s="170">
        <f>L205</f>
        <v/>
      </c>
      <c r="M216" s="170">
        <f>M205</f>
        <v/>
      </c>
      <c r="N216" s="170">
        <f>N205</f>
        <v/>
      </c>
      <c r="O216" s="170">
        <f>O205</f>
        <v/>
      </c>
      <c r="P216" s="170">
        <f>P205</f>
        <v/>
      </c>
      <c r="Q216" s="170">
        <f>Q205</f>
        <v/>
      </c>
      <c r="R216" s="170">
        <f>R205</f>
        <v/>
      </c>
      <c r="S216" s="170">
        <f>S205</f>
        <v/>
      </c>
      <c r="T216" s="170">
        <f>T205</f>
        <v/>
      </c>
      <c r="U216" s="170">
        <f>U205</f>
        <v/>
      </c>
      <c r="V216" s="170">
        <f>V205</f>
        <v/>
      </c>
      <c r="W216" s="170">
        <f>W205</f>
        <v/>
      </c>
      <c r="X216" s="170">
        <f>X205</f>
        <v/>
      </c>
      <c r="Y216" s="170">
        <f>Y205</f>
        <v/>
      </c>
      <c r="Z216" s="170">
        <f>Z205</f>
        <v/>
      </c>
      <c r="AA216" s="170">
        <f>AA205</f>
        <v/>
      </c>
      <c r="AB216" s="170">
        <f>AB205</f>
        <v/>
      </c>
      <c r="AC216" s="170">
        <f>AC205</f>
        <v/>
      </c>
      <c r="AD216" s="170">
        <f>AD205</f>
        <v/>
      </c>
      <c r="AE216" s="170">
        <f>AE205</f>
        <v/>
      </c>
      <c r="AF216" s="170">
        <f>AF205</f>
        <v/>
      </c>
      <c r="AG216" s="170">
        <f>AG205</f>
        <v/>
      </c>
      <c r="AH216" s="170">
        <f>AH205</f>
        <v/>
      </c>
      <c r="AI216" s="170">
        <f>AI205</f>
        <v/>
      </c>
      <c r="AJ216" s="170">
        <f>AJ205</f>
        <v/>
      </c>
      <c r="AK216" s="170">
        <f>AK205</f>
        <v/>
      </c>
      <c r="AL216" s="170">
        <f>AL205</f>
        <v/>
      </c>
      <c r="AM216" s="170">
        <f>AM205</f>
        <v/>
      </c>
      <c r="AN216" s="170">
        <f>AN205</f>
        <v/>
      </c>
      <c r="AO216" s="170">
        <f>AO205</f>
        <v/>
      </c>
      <c r="AP216" s="170">
        <f>AP205</f>
        <v/>
      </c>
      <c r="AQ216" s="170">
        <f>AQ205</f>
        <v/>
      </c>
      <c r="AR216" s="170">
        <f>AR205</f>
        <v/>
      </c>
      <c r="AS216" s="170">
        <f>AS205</f>
        <v/>
      </c>
      <c r="AT216" s="170">
        <f>AT205</f>
        <v/>
      </c>
      <c r="AU216" s="170">
        <f>AU205</f>
        <v/>
      </c>
      <c r="AV216" s="170">
        <f>AV205</f>
        <v/>
      </c>
      <c r="AW216" s="170">
        <f>AW205</f>
        <v/>
      </c>
      <c r="AX216" s="170">
        <f>AX205</f>
        <v/>
      </c>
      <c r="AY216" s="170">
        <f>AY205</f>
        <v/>
      </c>
      <c r="AZ216" s="170">
        <f>AZ205</f>
        <v/>
      </c>
      <c r="BA216" s="170">
        <f>BA205</f>
        <v/>
      </c>
      <c r="BB216" s="170">
        <f>BB205</f>
        <v/>
      </c>
      <c r="BC216" s="170">
        <f>BC205</f>
        <v/>
      </c>
      <c r="BD216" s="170">
        <f>BD205</f>
        <v/>
      </c>
      <c r="BE216" s="170">
        <f>BE205</f>
        <v/>
      </c>
      <c r="BF216" s="170">
        <f>BF205</f>
        <v/>
      </c>
      <c r="BG216" s="170">
        <f>BG205</f>
        <v/>
      </c>
      <c r="BH216" s="170">
        <f>BH205</f>
        <v/>
      </c>
      <c r="BI216" s="170">
        <f>BI205</f>
        <v/>
      </c>
      <c r="BJ216" s="170">
        <f>BJ205</f>
        <v/>
      </c>
      <c r="BK216" s="170">
        <f>BK205</f>
        <v/>
      </c>
      <c r="BL216" s="170">
        <f>BL205</f>
        <v/>
      </c>
      <c r="BM216" s="170">
        <f>BM205</f>
        <v/>
      </c>
      <c r="BN216" s="170">
        <f>BN205</f>
        <v/>
      </c>
      <c r="BO216" s="170">
        <f>BO205</f>
        <v/>
      </c>
      <c r="BP216" s="170">
        <f>BP205</f>
        <v/>
      </c>
      <c r="BQ216" s="170">
        <f>BQ205</f>
        <v/>
      </c>
      <c r="BR216" s="170">
        <f>BR205</f>
        <v/>
      </c>
      <c r="BS216" s="170">
        <f>BS205</f>
        <v/>
      </c>
      <c r="BT216" s="170">
        <f>BT205</f>
        <v/>
      </c>
      <c r="BU216" s="170">
        <f>BU205</f>
        <v/>
      </c>
      <c r="BV216" s="170">
        <f>BV205</f>
        <v/>
      </c>
      <c r="BW216" s="170">
        <f>BW205</f>
        <v/>
      </c>
      <c r="BX216" s="170">
        <f>BX205</f>
        <v/>
      </c>
      <c r="BY216" s="170">
        <f>BY205</f>
        <v/>
      </c>
      <c r="BZ216" s="170">
        <f>BZ205</f>
        <v/>
      </c>
      <c r="CA216" s="170">
        <f>CA205</f>
        <v/>
      </c>
      <c r="CB216" s="170">
        <f>CB205</f>
        <v/>
      </c>
      <c r="CC216" s="170">
        <f>CC205</f>
        <v/>
      </c>
      <c r="CD216" s="170">
        <f>CD205</f>
        <v/>
      </c>
      <c r="CE216" s="170">
        <f>CE205</f>
        <v/>
      </c>
      <c r="CF216" s="170">
        <f>CF205</f>
        <v/>
      </c>
      <c r="CG216" s="170">
        <f>CG205</f>
        <v/>
      </c>
      <c r="CH216" s="170">
        <f>CH205</f>
        <v/>
      </c>
      <c r="CI216" s="170">
        <f>CI205</f>
        <v/>
      </c>
      <c r="CJ216" s="170">
        <f>CJ205</f>
        <v/>
      </c>
      <c r="CK216" s="170">
        <f>CK205</f>
        <v/>
      </c>
      <c r="CL216" s="170">
        <f>CL205</f>
        <v/>
      </c>
      <c r="CM216" s="171">
        <f>CM205</f>
        <v/>
      </c>
      <c r="CN216" s="171">
        <f>CN205</f>
        <v/>
      </c>
      <c r="CO216" s="171">
        <f>CO205</f>
        <v/>
      </c>
      <c r="CP216" s="171">
        <f>CP205</f>
        <v/>
      </c>
      <c r="CQ216" s="171">
        <f>CQ205</f>
        <v/>
      </c>
      <c r="CR216" s="171">
        <f>CR205</f>
        <v/>
      </c>
      <c r="CS216" s="171">
        <f>CS205</f>
        <v/>
      </c>
      <c r="CT216" s="22" t="n"/>
      <c r="CV216" s="23" t="n"/>
      <c r="CW216" s="23" t="n"/>
      <c r="CX216" s="23" t="n"/>
      <c r="CY216" s="23" t="n"/>
    </row>
    <row r="217" ht="15" customHeight="1">
      <c r="B217" s="12" t="inlineStr">
        <is>
          <t xml:space="preserve">  (−) Income tax effect of adjusting items</t>
        </is>
      </c>
      <c r="C217" s="170">
        <f>IF(ISNUMBER(C225),C225*C163-C215-C216,"")</f>
        <v/>
      </c>
      <c r="D217" s="170">
        <f>IF(ISNUMBER(D225),D225*D163-D215-D216,"")</f>
        <v/>
      </c>
      <c r="E217" s="170">
        <f>IF(ISNUMBER(E225),E225*E163-E215-E216,"")</f>
        <v/>
      </c>
      <c r="F217" s="170">
        <f>IF(ISNUMBER(F225),F225*F163-F215-F216,"")</f>
        <v/>
      </c>
      <c r="G217" s="170">
        <f>IF(ISNUMBER(G225),G225*G163-G215-G216,"")</f>
        <v/>
      </c>
      <c r="H217" s="170">
        <f>IF(ISNUMBER(H225),H225*H163-H215-H216,"")</f>
        <v/>
      </c>
      <c r="I217" s="170">
        <f>IF(ISNUMBER(I225),I225*I163-I215-I216,"")</f>
        <v/>
      </c>
      <c r="J217" s="170">
        <f>IF(ISNUMBER(J225),J225*J163-J215-J216,"")</f>
        <v/>
      </c>
      <c r="K217" s="170">
        <f>IF(ISNUMBER(K225),K225*K163-K215-K216,"")</f>
        <v/>
      </c>
      <c r="L217" s="170">
        <f>IF(ISNUMBER(L225),L225*L163-L215-L216,"")</f>
        <v/>
      </c>
      <c r="M217" s="170">
        <f>IF(ISNUMBER(M225),M225*M163-M215-M216,"")</f>
        <v/>
      </c>
      <c r="N217" s="170">
        <f>IF(ISNUMBER(N225),N225*N163-N215-N216,"")</f>
        <v/>
      </c>
      <c r="O217" s="170">
        <f>IF(ISNUMBER(O225),O225*O163-O215-O216,"")</f>
        <v/>
      </c>
      <c r="P217" s="170">
        <f>IF(ISNUMBER(P225),P225*P163-P215-P216,"")</f>
        <v/>
      </c>
      <c r="Q217" s="170">
        <f>IF(ISNUMBER(Q225),Q225*Q163-Q215-Q216,"")</f>
        <v/>
      </c>
      <c r="R217" s="170">
        <f>IF(ISNUMBER(R225),R225*R163-R215-R216,"")</f>
        <v/>
      </c>
      <c r="S217" s="170">
        <f>IF(ISNUMBER(S225),S225*S163-S215-S216,"")</f>
        <v/>
      </c>
      <c r="T217" s="170">
        <f>IF(ISNUMBER(T225),T225*T163-T215-T216,"")</f>
        <v/>
      </c>
      <c r="U217" s="170">
        <f>IF(ISNUMBER(U225),U225*U163-U215-U216,"")</f>
        <v/>
      </c>
      <c r="V217" s="170">
        <f>IF(ISNUMBER(V225),V225*V163-V215-V216,"")</f>
        <v/>
      </c>
      <c r="W217" s="170">
        <f>IF(ISNUMBER(W225),W225*W163-W215-W216,"")</f>
        <v/>
      </c>
      <c r="X217" s="170">
        <f>IF(ISNUMBER(X225),X225*X163-X215-X216,"")</f>
        <v/>
      </c>
      <c r="Y217" s="170">
        <f>IF(ISNUMBER(Y225),Y225*Y163-Y215-Y216,"")</f>
        <v/>
      </c>
      <c r="Z217" s="170">
        <f>IF(ISNUMBER(Z225),Z225*Z163-Z215-Z216,"")</f>
        <v/>
      </c>
      <c r="AA217" s="170">
        <f>IF(ISNUMBER(AA225),AA225*AA163-AA215-AA216,"")</f>
        <v/>
      </c>
      <c r="AB217" s="170">
        <f>IF(ISNUMBER(AB225),AB225*AB163-AB215-AB216,"")</f>
        <v/>
      </c>
      <c r="AC217" s="170">
        <f>IF(ISNUMBER(AC225),AC225*AC163-AC215-AC216,"")</f>
        <v/>
      </c>
      <c r="AD217" s="170">
        <f>IF(ISNUMBER(AD225),AD225*AD163-AD215-AD216,"")</f>
        <v/>
      </c>
      <c r="AE217" s="170">
        <f>IF(ISNUMBER(AE225),AE225*AE163-AE215-AE216,"")</f>
        <v/>
      </c>
      <c r="AF217" s="170">
        <f>IF(ISNUMBER(AF225),AF225*AF163-AF215-AF216,"")</f>
        <v/>
      </c>
      <c r="AG217" s="170">
        <f>IF(ISNUMBER(AG225),AG225*AG163-AG215-AG216,"")</f>
        <v/>
      </c>
      <c r="AH217" s="170">
        <f>IF(ISNUMBER(AH225),AH225*AH163-AH215-AH216,"")</f>
        <v/>
      </c>
      <c r="AI217" s="170">
        <f>IF(ISNUMBER(AI225),AI225*AI163-AI215-AI216,"")</f>
        <v/>
      </c>
      <c r="AJ217" s="170">
        <f>IF(ISNUMBER(AJ225),AJ225*AJ163-AJ215-AJ216,"")</f>
        <v/>
      </c>
      <c r="AK217" s="170">
        <f>IF(ISNUMBER(AK225),AK225*AK163-AK215-AK216,"")</f>
        <v/>
      </c>
      <c r="AL217" s="170">
        <f>IF(ISNUMBER(AL225),AL225*AL163-AL215-AL216,"")</f>
        <v/>
      </c>
      <c r="AM217" s="170">
        <f>IF(ISNUMBER(AM225),AM225*AM163-AM215-AM216,"")</f>
        <v/>
      </c>
      <c r="AN217" s="170">
        <f>IF(ISNUMBER(AN225),AN225*AN163-AN215-AN216,"")</f>
        <v/>
      </c>
      <c r="AO217" s="170">
        <f>IF(ISNUMBER(AO225),AO225*AO163-AO215-AO216,"")</f>
        <v/>
      </c>
      <c r="AP217" s="170">
        <f>IF(ISNUMBER(AP225),AP225*AP163-AP215-AP216,"")</f>
        <v/>
      </c>
      <c r="AQ217" s="170">
        <f>IF(ISNUMBER(AQ225),AQ225*AQ163-AQ215-AQ216,"")</f>
        <v/>
      </c>
      <c r="AR217" s="170">
        <f>IF(ISNUMBER(AR225),AR225*AR163-AR215-AR216,"")</f>
        <v/>
      </c>
      <c r="AS217" s="170">
        <f>IF(ISNUMBER(AS225),AS225*AS163-AS215-AS216,"")</f>
        <v/>
      </c>
      <c r="AT217" s="170">
        <f>IF(ISNUMBER(AT225),AT225*AT163-AT215-AT216,"")</f>
        <v/>
      </c>
      <c r="AU217" s="170">
        <f>IF(ISNUMBER(AU225),AU225*AU163-AU215-AU216,"")</f>
        <v/>
      </c>
      <c r="AV217" s="170">
        <f>IF(ISNUMBER(AV225),AV225*AV163-AV215-AV216,"")</f>
        <v/>
      </c>
      <c r="AW217" s="170">
        <f>IF(ISNUMBER(AW225),AW225*AW163-AW215-AW216,"")</f>
        <v/>
      </c>
      <c r="AX217" s="170">
        <f>IF(ISNUMBER(AX225),AX225*AX163-AX215-AX216,"")</f>
        <v/>
      </c>
      <c r="AY217" s="170">
        <f>IF(ISNUMBER(AY225),AY225*AY163-AY215-AY216,"")</f>
        <v/>
      </c>
      <c r="AZ217" s="170">
        <f>IF(ISNUMBER(AZ225),AZ225*AZ163-AZ215-AZ216,"")</f>
        <v/>
      </c>
      <c r="BA217" s="170">
        <f>IF(ISNUMBER(BA225),BA225*BA163-BA215-BA216,"")</f>
        <v/>
      </c>
      <c r="BB217" s="170">
        <f>IF(ISNUMBER(BB225),BB225*BB163-BB215-BB216,"")</f>
        <v/>
      </c>
      <c r="BC217" s="170">
        <f>IF(ISNUMBER(BC225),BC225*BC163-BC215-BC216,"")</f>
        <v/>
      </c>
      <c r="BD217" s="170">
        <f>IF(ISNUMBER(BD225),BD225*BD163-BD215-BD216,"")</f>
        <v/>
      </c>
      <c r="BE217" s="170">
        <f>IF(ISNUMBER(BE225),BE225*BE163-BE215-BE216,"")</f>
        <v/>
      </c>
      <c r="BF217" s="170">
        <f>IF(ISNUMBER(BF225),BF225*BF163-BF215-BF216,"")</f>
        <v/>
      </c>
      <c r="BG217" s="170">
        <f>IF(ISNUMBER(BG225),BG225*BG163-BG215-BG216,"")</f>
        <v/>
      </c>
      <c r="BH217" s="170">
        <f>IF(ISNUMBER(BH225),BH225*BH163-BH215-BH216,"")</f>
        <v/>
      </c>
      <c r="BI217" s="170">
        <f>IF(ISNUMBER(BI225),BI225*BI163-BI215-BI216,"")</f>
        <v/>
      </c>
      <c r="BJ217" s="170">
        <f>IF(ISNUMBER(BJ225),BJ225*BJ163-BJ215-BJ216,"")</f>
        <v/>
      </c>
      <c r="BK217" s="170">
        <f>IF(ISNUMBER(BK225),BK225*BK163-BK215-BK216,"")</f>
        <v/>
      </c>
      <c r="BL217" s="170">
        <f>IF(ISNUMBER(BL225),BL225*BL163-BL215-BL216,"")</f>
        <v/>
      </c>
      <c r="BM217" s="170">
        <f>IF(ISNUMBER(BM225),BM225*BM163-BM215-BM216,"")</f>
        <v/>
      </c>
      <c r="BN217" s="170">
        <f>IF(ISNUMBER(BN225),BN225*BN163-BN215-BN216,"")</f>
        <v/>
      </c>
      <c r="BO217" s="170">
        <f>IF(ISNUMBER(BO225),BO225*BO163-BO215-BO216,"")</f>
        <v/>
      </c>
      <c r="BP217" s="170">
        <f>IF(ISNUMBER(BP225),BP225*BP163-BP215-BP216,"")</f>
        <v/>
      </c>
      <c r="BQ217" s="170">
        <f>IF(ISNUMBER(BQ225),BQ225*BQ163-BQ215-BQ216,"")</f>
        <v/>
      </c>
      <c r="BR217" s="170">
        <f>IF(ISNUMBER(BR225),BR225*BR163-BR215-BR216,"")</f>
        <v/>
      </c>
      <c r="BS217" s="170">
        <f>IF(ISNUMBER(BS225),BS225*BS163-BS215-BS216,"")</f>
        <v/>
      </c>
      <c r="BT217" s="170">
        <f>IF(ISNUMBER(BT225),BT225*BT163-BT215-BT216,"")</f>
        <v/>
      </c>
      <c r="BU217" s="170">
        <f>IF(ISNUMBER(BU225),BU225*BU163-BU215-BU216,"")</f>
        <v/>
      </c>
      <c r="BV217" s="170">
        <f>IF(ISNUMBER(BV225),BV225*BV163-BV215-BV216,"")</f>
        <v/>
      </c>
      <c r="BW217" s="170">
        <f>IF(ISNUMBER(BW225),BW225*BW163-BW215-BW216,"")</f>
        <v/>
      </c>
      <c r="BX217" s="170">
        <f>IF(ISNUMBER(BX225),BX225*BX163-BX215-BX216,"")</f>
        <v/>
      </c>
      <c r="BY217" s="170">
        <f>IF(ISNUMBER(BY225),BY225*BY163-BY215-BY216,"")</f>
        <v/>
      </c>
      <c r="BZ217" s="170">
        <f>IF(ISNUMBER(BZ225),BZ225*BZ163-BZ215-BZ216,"")</f>
        <v/>
      </c>
      <c r="CA217" s="170">
        <f>IF(ISNUMBER(CA225),CA225*CA163-CA215-CA216,"")</f>
        <v/>
      </c>
      <c r="CB217" s="170">
        <f>IF(ISNUMBER(CB225),CB225*CB163-CB215-CB216,"")</f>
        <v/>
      </c>
      <c r="CC217" s="170">
        <f>IF(ISNUMBER(CC225),CC225*CC163-CC215-CC216,"")</f>
        <v/>
      </c>
      <c r="CD217" s="170">
        <f>IF(ISNUMBER(CD225),CD225*CD163-CD215-CD216,"")</f>
        <v/>
      </c>
      <c r="CE217" s="170">
        <f>IF(ISNUMBER(CE225),CE225*CE163-CE215-CE216,"")</f>
        <v/>
      </c>
      <c r="CF217" s="170">
        <f>IF(ISNUMBER(CF225),CF225*CF163-CF215-CF216,"")</f>
        <v/>
      </c>
      <c r="CG217" s="170">
        <f>IF(ISNUMBER(CG225),CG225*CG163-CG215-CG216,"")</f>
        <v/>
      </c>
      <c r="CH217" s="170">
        <f>IF(ISNUMBER(CH225),CH225*CH163-CH215-CH216,"")</f>
        <v/>
      </c>
      <c r="CI217" s="170">
        <f>IF(ISNUMBER(CI225),CI225*CI163-CI215-CI216,"")</f>
        <v/>
      </c>
      <c r="CJ217" s="170">
        <f>IF(ISNUMBER(CJ225),CJ225*CJ163-CJ215-CJ216,"")</f>
        <v/>
      </c>
      <c r="CK217" s="170">
        <f>IF(ISNUMBER(CK225),CK225*CK163-CK215-CK216,"")</f>
        <v/>
      </c>
      <c r="CL217" s="170">
        <f>IF(ISNUMBER(CL225),CL225*CL163-CL215-CL216,"")</f>
        <v/>
      </c>
      <c r="CM217" s="171">
        <f>-CM216*CM220</f>
        <v/>
      </c>
      <c r="CN217" s="171">
        <f>-CN216*CN220</f>
        <v/>
      </c>
      <c r="CO217" s="171">
        <f>SUM(CJ217,CK217,CM217,CN217)</f>
        <v/>
      </c>
      <c r="CP217" s="171">
        <f>-CP216*CP220</f>
        <v/>
      </c>
      <c r="CQ217" s="171">
        <f>-CQ216*CQ220</f>
        <v/>
      </c>
      <c r="CR217" s="171">
        <f>-CR216*CR220</f>
        <v/>
      </c>
      <c r="CS217" s="171">
        <f>-CS216*CS220</f>
        <v/>
      </c>
      <c r="CT217" s="22" t="inlineStr">
        <is>
          <t>Historical = company per-share items net of tax × diluted shares − pre-tax items − discontinued operations (company reconciles per share).</t>
        </is>
      </c>
      <c r="CV217" s="23" t="n"/>
      <c r="CW217" s="23" t="n"/>
      <c r="CX217" s="23" t="n"/>
      <c r="CY217" s="23" t="n"/>
    </row>
    <row r="218" ht="15" customHeight="1">
      <c r="B218" s="12" t="inlineStr">
        <is>
          <t xml:space="preserve">  (+/−) Discrete tax items (NOL valuation allowance, tax reform, etc.)</t>
        </is>
      </c>
      <c r="C218" s="170">
        <f>IF(ISNUMBER(C226),C226*C163,"")</f>
        <v/>
      </c>
      <c r="D218" s="170">
        <f>IF(ISNUMBER(D226),D226*D163,"")</f>
        <v/>
      </c>
      <c r="E218" s="170">
        <f>IF(ISNUMBER(E226),E226*E163,"")</f>
        <v/>
      </c>
      <c r="F218" s="170">
        <f>IF(ISNUMBER(F226),F226*F163,"")</f>
        <v/>
      </c>
      <c r="G218" s="170">
        <f>IF(ISNUMBER(G226),G226*G163,"")</f>
        <v/>
      </c>
      <c r="H218" s="170">
        <f>IF(ISNUMBER(H226),H226*H163,"")</f>
        <v/>
      </c>
      <c r="I218" s="170">
        <f>IF(ISNUMBER(I226),I226*I163,"")</f>
        <v/>
      </c>
      <c r="J218" s="170">
        <f>IF(ISNUMBER(J226),J226*J163,"")</f>
        <v/>
      </c>
      <c r="K218" s="170">
        <f>IF(ISNUMBER(K226),K226*K163,"")</f>
        <v/>
      </c>
      <c r="L218" s="170">
        <f>IF(ISNUMBER(L226),L226*L163,"")</f>
        <v/>
      </c>
      <c r="M218" s="170">
        <f>IF(ISNUMBER(M226),M226*M163,"")</f>
        <v/>
      </c>
      <c r="N218" s="170">
        <f>IF(ISNUMBER(N226),N226*N163,"")</f>
        <v/>
      </c>
      <c r="O218" s="170">
        <f>IF(ISNUMBER(O226),O226*O163,"")</f>
        <v/>
      </c>
      <c r="P218" s="170">
        <f>IF(ISNUMBER(P226),P226*P163,"")</f>
        <v/>
      </c>
      <c r="Q218" s="170">
        <f>IF(ISNUMBER(Q226),Q226*Q163,"")</f>
        <v/>
      </c>
      <c r="R218" s="170">
        <f>IF(ISNUMBER(R226),R226*R163,"")</f>
        <v/>
      </c>
      <c r="S218" s="170">
        <f>IF(ISNUMBER(S226),S226*S163,"")</f>
        <v/>
      </c>
      <c r="T218" s="170">
        <f>IF(ISNUMBER(T226),T226*T163,"")</f>
        <v/>
      </c>
      <c r="U218" s="170">
        <f>IF(ISNUMBER(U226),U226*U163,"")</f>
        <v/>
      </c>
      <c r="V218" s="170">
        <f>IF(ISNUMBER(V226),V226*V163,"")</f>
        <v/>
      </c>
      <c r="W218" s="170">
        <f>IF(ISNUMBER(W226),W226*W163,"")</f>
        <v/>
      </c>
      <c r="X218" s="170">
        <f>IF(ISNUMBER(X226),X226*X163,"")</f>
        <v/>
      </c>
      <c r="Y218" s="170">
        <f>IF(ISNUMBER(Y226),Y226*Y163,"")</f>
        <v/>
      </c>
      <c r="Z218" s="170">
        <f>IF(ISNUMBER(Z226),Z226*Z163,"")</f>
        <v/>
      </c>
      <c r="AA218" s="170">
        <f>IF(ISNUMBER(AA226),AA226*AA163,"")</f>
        <v/>
      </c>
      <c r="AB218" s="170">
        <f>IF(ISNUMBER(AB226),AB226*AB163,"")</f>
        <v/>
      </c>
      <c r="AC218" s="170">
        <f>IF(ISNUMBER(AC226),AC226*AC163,"")</f>
        <v/>
      </c>
      <c r="AD218" s="170">
        <f>IF(ISNUMBER(AD226),AD226*AD163,"")</f>
        <v/>
      </c>
      <c r="AE218" s="170">
        <f>IF(ISNUMBER(AE226),AE226*AE163,"")</f>
        <v/>
      </c>
      <c r="AF218" s="170">
        <f>IF(ISNUMBER(AF226),AF226*AF163,"")</f>
        <v/>
      </c>
      <c r="AG218" s="170">
        <f>IF(ISNUMBER(AG226),AG226*AG163,"")</f>
        <v/>
      </c>
      <c r="AH218" s="170">
        <f>IF(ISNUMBER(AH226),AH226*AH163,"")</f>
        <v/>
      </c>
      <c r="AI218" s="170">
        <f>IF(ISNUMBER(AI226),AI226*AI163,"")</f>
        <v/>
      </c>
      <c r="AJ218" s="170">
        <f>IF(ISNUMBER(AJ226),AJ226*AJ163,"")</f>
        <v/>
      </c>
      <c r="AK218" s="170">
        <f>IF(ISNUMBER(AK226),AK226*AK163,"")</f>
        <v/>
      </c>
      <c r="AL218" s="170">
        <f>IF(ISNUMBER(AL226),AL226*AL163,"")</f>
        <v/>
      </c>
      <c r="AM218" s="170">
        <f>IF(ISNUMBER(AM226),AM226*AM163,"")</f>
        <v/>
      </c>
      <c r="AN218" s="170">
        <f>IF(ISNUMBER(AN226),AN226*AN163,"")</f>
        <v/>
      </c>
      <c r="AO218" s="170">
        <f>IF(ISNUMBER(AO226),AO226*AO163,"")</f>
        <v/>
      </c>
      <c r="AP218" s="170">
        <f>IF(ISNUMBER(AP226),AP226*AP163,"")</f>
        <v/>
      </c>
      <c r="AQ218" s="170">
        <f>IF(ISNUMBER(AQ226),AQ226*AQ163,"")</f>
        <v/>
      </c>
      <c r="AR218" s="170">
        <f>IF(ISNUMBER(AR226),AR226*AR163,"")</f>
        <v/>
      </c>
      <c r="AS218" s="170">
        <f>IF(ISNUMBER(AS226),AS226*AS163,"")</f>
        <v/>
      </c>
      <c r="AT218" s="170">
        <f>IF(ISNUMBER(AT226),AT226*AT163,"")</f>
        <v/>
      </c>
      <c r="AU218" s="170">
        <f>IF(ISNUMBER(AU226),AU226*AU163,"")</f>
        <v/>
      </c>
      <c r="AV218" s="170">
        <f>IF(ISNUMBER(AV226),AV226*AV163,"")</f>
        <v/>
      </c>
      <c r="AW218" s="170">
        <f>IF(ISNUMBER(AW226),AW226*AW163,"")</f>
        <v/>
      </c>
      <c r="AX218" s="170">
        <f>IF(ISNUMBER(AX226),AX226*AX163,"")</f>
        <v/>
      </c>
      <c r="AY218" s="170">
        <f>IF(ISNUMBER(AY226),AY226*AY163,"")</f>
        <v/>
      </c>
      <c r="AZ218" s="170">
        <f>IF(ISNUMBER(AZ226),AZ226*AZ163,"")</f>
        <v/>
      </c>
      <c r="BA218" s="170">
        <f>IF(ISNUMBER(BA226),BA226*BA163,"")</f>
        <v/>
      </c>
      <c r="BB218" s="170">
        <f>IF(ISNUMBER(BB226),BB226*BB163,"")</f>
        <v/>
      </c>
      <c r="BC218" s="170">
        <f>IF(ISNUMBER(BC226),BC226*BC163,"")</f>
        <v/>
      </c>
      <c r="BD218" s="170">
        <f>IF(ISNUMBER(BD226),BD226*BD163,"")</f>
        <v/>
      </c>
      <c r="BE218" s="170">
        <f>IF(ISNUMBER(BE226),BE226*BE163,"")</f>
        <v/>
      </c>
      <c r="BF218" s="170">
        <f>IF(ISNUMBER(BF226),BF226*BF163,"")</f>
        <v/>
      </c>
      <c r="BG218" s="170">
        <f>IF(ISNUMBER(BG226),BG226*BG163,"")</f>
        <v/>
      </c>
      <c r="BH218" s="170">
        <f>IF(ISNUMBER(BH226),BH226*BH163,"")</f>
        <v/>
      </c>
      <c r="BI218" s="170">
        <f>IF(ISNUMBER(BI226),BI226*BI163,"")</f>
        <v/>
      </c>
      <c r="BJ218" s="170">
        <f>IF(ISNUMBER(BJ226),BJ226*BJ163,"")</f>
        <v/>
      </c>
      <c r="BK218" s="170">
        <f>IF(ISNUMBER(BK226),BK226*BK163,"")</f>
        <v/>
      </c>
      <c r="BL218" s="170">
        <f>IF(ISNUMBER(BL226),BL226*BL163,"")</f>
        <v/>
      </c>
      <c r="BM218" s="170">
        <f>IF(ISNUMBER(BM226),BM226*BM163,"")</f>
        <v/>
      </c>
      <c r="BN218" s="170">
        <f>IF(ISNUMBER(BN226),BN226*BN163,"")</f>
        <v/>
      </c>
      <c r="BO218" s="170">
        <f>IF(ISNUMBER(BO226),BO226*BO163,"")</f>
        <v/>
      </c>
      <c r="BP218" s="170">
        <f>IF(ISNUMBER(BP226),BP226*BP163,"")</f>
        <v/>
      </c>
      <c r="BQ218" s="170">
        <f>IF(ISNUMBER(BQ226),BQ226*BQ163,"")</f>
        <v/>
      </c>
      <c r="BR218" s="170">
        <f>IF(ISNUMBER(BR226),BR226*BR163,"")</f>
        <v/>
      </c>
      <c r="BS218" s="170">
        <f>IF(ISNUMBER(BS226),BS226*BS163,"")</f>
        <v/>
      </c>
      <c r="BT218" s="170">
        <f>IF(ISNUMBER(BT226),BT226*BT163,"")</f>
        <v/>
      </c>
      <c r="BU218" s="170">
        <f>IF(ISNUMBER(BU226),BU226*BU163,"")</f>
        <v/>
      </c>
      <c r="BV218" s="170">
        <f>IF(ISNUMBER(BV226),BV226*BV163,"")</f>
        <v/>
      </c>
      <c r="BW218" s="170">
        <f>IF(ISNUMBER(BW226),BW226*BW163,"")</f>
        <v/>
      </c>
      <c r="BX218" s="170">
        <f>IF(ISNUMBER(BX226),BX226*BX163,"")</f>
        <v/>
      </c>
      <c r="BY218" s="170">
        <f>IF(ISNUMBER(BY226),BY226*BY163,"")</f>
        <v/>
      </c>
      <c r="BZ218" s="170">
        <f>IF(ISNUMBER(BZ226),BZ226*BZ163,"")</f>
        <v/>
      </c>
      <c r="CA218" s="170">
        <f>IF(ISNUMBER(CA226),CA226*CA163,"")</f>
        <v/>
      </c>
      <c r="CB218" s="170">
        <f>IF(ISNUMBER(CB226),CB226*CB163,"")</f>
        <v/>
      </c>
      <c r="CC218" s="170">
        <f>IF(ISNUMBER(CC226),CC226*CC163,"")</f>
        <v/>
      </c>
      <c r="CD218" s="170">
        <f>IF(ISNUMBER(CD226),CD226*CD163,"")</f>
        <v/>
      </c>
      <c r="CE218" s="170">
        <f>IF(ISNUMBER(CE226),CE226*CE163,"")</f>
        <v/>
      </c>
      <c r="CF218" s="170">
        <f>IF(ISNUMBER(CF226),CF226*CF163,"")</f>
        <v/>
      </c>
      <c r="CG218" s="170">
        <f>IF(ISNUMBER(CG226),CG226*CG163,"")</f>
        <v/>
      </c>
      <c r="CH218" s="170">
        <f>IF(ISNUMBER(CH226),CH226*CH163,"")</f>
        <v/>
      </c>
      <c r="CI218" s="170">
        <f>IF(ISNUMBER(CI226),CI226*CI163,"")</f>
        <v/>
      </c>
      <c r="CJ218" s="170">
        <f>IF(ISNUMBER(CJ226),CJ226*CJ163,"")</f>
        <v/>
      </c>
      <c r="CK218" s="170">
        <f>IF(ISNUMBER(CK226),CK226*CK163,"")</f>
        <v/>
      </c>
      <c r="CL218" s="170">
        <f>IF(ISNUMBER(CL226),CL226*CL163,"")</f>
        <v/>
      </c>
      <c r="CM218" s="183" t="n">
        <v>0</v>
      </c>
      <c r="CN218" s="183" t="n">
        <v>0</v>
      </c>
      <c r="CO218" s="171">
        <f>SUM(CJ218,CK218,CM218,CN218)</f>
        <v/>
      </c>
      <c r="CP218" s="183" t="n">
        <v>0</v>
      </c>
      <c r="CQ218" s="183" t="n">
        <v>0</v>
      </c>
      <c r="CR218" s="183" t="n">
        <v>0</v>
      </c>
      <c r="CS218" s="183" t="n">
        <v>0</v>
      </c>
      <c r="CT218" s="22" t="n"/>
      <c r="CV218" s="23" t="n"/>
      <c r="CW218" s="23" t="n"/>
      <c r="CX218" s="23" t="n"/>
      <c r="CY218" s="23" t="n"/>
    </row>
    <row r="219" ht="15" customHeight="1">
      <c r="B219" s="33" t="inlineStr">
        <is>
          <t xml:space="preserve">  = Adjusted net earnings attributable to Vulcan (model bridge)</t>
        </is>
      </c>
      <c r="C219" s="175">
        <f>IF(ISNUMBER(C223),SUM(C214:C218),"")</f>
        <v/>
      </c>
      <c r="D219" s="175">
        <f>IF(ISNUMBER(D223),SUM(D214:D218),"")</f>
        <v/>
      </c>
      <c r="E219" s="175">
        <f>IF(ISNUMBER(E223),SUM(E214:E218),"")</f>
        <v/>
      </c>
      <c r="F219" s="175">
        <f>IF(ISNUMBER(F223),SUM(F214:F218),"")</f>
        <v/>
      </c>
      <c r="G219" s="175">
        <f>IF(ISNUMBER(G223),SUM(G214:G218),"")</f>
        <v/>
      </c>
      <c r="H219" s="175">
        <f>IF(ISNUMBER(H223),SUM(H214:H218),"")</f>
        <v/>
      </c>
      <c r="I219" s="175">
        <f>IF(ISNUMBER(I223),SUM(I214:I218),"")</f>
        <v/>
      </c>
      <c r="J219" s="173">
        <f>IF(ISNUMBER(J223),SUM(J214:J218),"")</f>
        <v/>
      </c>
      <c r="K219" s="173">
        <f>IF(ISNUMBER(K223),SUM(K214:K218),"")</f>
        <v/>
      </c>
      <c r="L219" s="173">
        <f>IF(ISNUMBER(L223),SUM(L214:L218),"")</f>
        <v/>
      </c>
      <c r="M219" s="173">
        <f>IF(ISNUMBER(M223),SUM(M214:M218),"")</f>
        <v/>
      </c>
      <c r="N219" s="173">
        <f>IF(ISNUMBER(N223),SUM(N214:N218),"")</f>
        <v/>
      </c>
      <c r="O219" s="175">
        <f>IF(ISNUMBER(O223),SUM(O214:O218),"")</f>
        <v/>
      </c>
      <c r="P219" s="173">
        <f>IF(ISNUMBER(P223),SUM(P214:P218),"")</f>
        <v/>
      </c>
      <c r="Q219" s="173">
        <f>IF(ISNUMBER(Q223),SUM(Q214:Q218),"")</f>
        <v/>
      </c>
      <c r="R219" s="173">
        <f>IF(ISNUMBER(R223),SUM(R214:R218),"")</f>
        <v/>
      </c>
      <c r="S219" s="173">
        <f>IF(ISNUMBER(S223),SUM(S214:S218),"")</f>
        <v/>
      </c>
      <c r="T219" s="173">
        <f>IF(ISNUMBER(T223),SUM(T214:T218),"")</f>
        <v/>
      </c>
      <c r="U219" s="175">
        <f>IF(ISNUMBER(U223),SUM(U214:U218),"")</f>
        <v/>
      </c>
      <c r="V219" s="173">
        <f>IF(ISNUMBER(V223),SUM(V214:V218),"")</f>
        <v/>
      </c>
      <c r="W219" s="173">
        <f>IF(ISNUMBER(W223),SUM(W214:W218),"")</f>
        <v/>
      </c>
      <c r="X219" s="173">
        <f>IF(ISNUMBER(X223),SUM(X214:X218),"")</f>
        <v/>
      </c>
      <c r="Y219" s="173">
        <f>IF(ISNUMBER(Y223),SUM(Y214:Y218),"")</f>
        <v/>
      </c>
      <c r="Z219" s="173">
        <f>IF(ISNUMBER(Z223),SUM(Z214:Z218),"")</f>
        <v/>
      </c>
      <c r="AA219" s="175">
        <f>IF(ISNUMBER(AA223),SUM(AA214:AA218),"")</f>
        <v/>
      </c>
      <c r="AB219" s="173">
        <f>IF(ISNUMBER(AB223),SUM(AB214:AB218),"")</f>
        <v/>
      </c>
      <c r="AC219" s="173">
        <f>IF(ISNUMBER(AC223),SUM(AC214:AC218),"")</f>
        <v/>
      </c>
      <c r="AD219" s="173">
        <f>IF(ISNUMBER(AD223),SUM(AD214:AD218),"")</f>
        <v/>
      </c>
      <c r="AE219" s="173">
        <f>IF(ISNUMBER(AE223),SUM(AE214:AE218),"")</f>
        <v/>
      </c>
      <c r="AF219" s="173">
        <f>IF(ISNUMBER(AF223),SUM(AF214:AF218),"")</f>
        <v/>
      </c>
      <c r="AG219" s="175">
        <f>IF(ISNUMBER(AG223),SUM(AG214:AG218),"")</f>
        <v/>
      </c>
      <c r="AH219" s="173">
        <f>IF(ISNUMBER(AH223),SUM(AH214:AH218),"")</f>
        <v/>
      </c>
      <c r="AI219" s="173">
        <f>IF(ISNUMBER(AI223),SUM(AI214:AI218),"")</f>
        <v/>
      </c>
      <c r="AJ219" s="173">
        <f>IF(ISNUMBER(AJ223),SUM(AJ214:AJ218),"")</f>
        <v/>
      </c>
      <c r="AK219" s="173">
        <f>IF(ISNUMBER(AK223),SUM(AK214:AK218),"")</f>
        <v/>
      </c>
      <c r="AL219" s="173">
        <f>IF(ISNUMBER(AL223),SUM(AL214:AL218),"")</f>
        <v/>
      </c>
      <c r="AM219" s="175">
        <f>IF(ISNUMBER(AM223),SUM(AM214:AM218),"")</f>
        <v/>
      </c>
      <c r="AN219" s="173">
        <f>IF(ISNUMBER(AN223),SUM(AN214:AN218),"")</f>
        <v/>
      </c>
      <c r="AO219" s="173">
        <f>IF(ISNUMBER(AO223),SUM(AO214:AO218),"")</f>
        <v/>
      </c>
      <c r="AP219" s="173">
        <f>IF(ISNUMBER(AP223),SUM(AP214:AP218),"")</f>
        <v/>
      </c>
      <c r="AQ219" s="173">
        <f>IF(ISNUMBER(AQ223),SUM(AQ214:AQ218),"")</f>
        <v/>
      </c>
      <c r="AR219" s="173">
        <f>IF(ISNUMBER(AR223),SUM(AR214:AR218),"")</f>
        <v/>
      </c>
      <c r="AS219" s="175">
        <f>IF(ISNUMBER(AS223),SUM(AS214:AS218),"")</f>
        <v/>
      </c>
      <c r="AT219" s="173">
        <f>IF(ISNUMBER(AT223),SUM(AT214:AT218),"")</f>
        <v/>
      </c>
      <c r="AU219" s="173">
        <f>IF(ISNUMBER(AU223),SUM(AU214:AU218),"")</f>
        <v/>
      </c>
      <c r="AV219" s="173">
        <f>IF(ISNUMBER(AV223),SUM(AV214:AV218),"")</f>
        <v/>
      </c>
      <c r="AW219" s="173">
        <f>IF(ISNUMBER(AW223),SUM(AW214:AW218),"")</f>
        <v/>
      </c>
      <c r="AX219" s="173">
        <f>IF(ISNUMBER(AX223),SUM(AX214:AX218),"")</f>
        <v/>
      </c>
      <c r="AY219" s="175">
        <f>IF(ISNUMBER(AY223),SUM(AY214:AY218),"")</f>
        <v/>
      </c>
      <c r="AZ219" s="173">
        <f>IF(ISNUMBER(AZ223),SUM(AZ214:AZ218),"")</f>
        <v/>
      </c>
      <c r="BA219" s="173">
        <f>IF(ISNUMBER(BA223),SUM(BA214:BA218),"")</f>
        <v/>
      </c>
      <c r="BB219" s="173">
        <f>IF(ISNUMBER(BB223),SUM(BB214:BB218),"")</f>
        <v/>
      </c>
      <c r="BC219" s="173">
        <f>IF(ISNUMBER(BC223),SUM(BC214:BC218),"")</f>
        <v/>
      </c>
      <c r="BD219" s="173">
        <f>IF(ISNUMBER(BD223),SUM(BD214:BD218),"")</f>
        <v/>
      </c>
      <c r="BE219" s="175">
        <f>IF(ISNUMBER(BE223),SUM(BE214:BE218),"")</f>
        <v/>
      </c>
      <c r="BF219" s="173">
        <f>IF(ISNUMBER(BF223),SUM(BF214:BF218),"")</f>
        <v/>
      </c>
      <c r="BG219" s="173">
        <f>IF(ISNUMBER(BG223),SUM(BG214:BG218),"")</f>
        <v/>
      </c>
      <c r="BH219" s="173">
        <f>IF(ISNUMBER(BH223),SUM(BH214:BH218),"")</f>
        <v/>
      </c>
      <c r="BI219" s="173">
        <f>IF(ISNUMBER(BI223),SUM(BI214:BI218),"")</f>
        <v/>
      </c>
      <c r="BJ219" s="173">
        <f>IF(ISNUMBER(BJ223),SUM(BJ214:BJ218),"")</f>
        <v/>
      </c>
      <c r="BK219" s="175">
        <f>IF(ISNUMBER(BK223),SUM(BK214:BK218),"")</f>
        <v/>
      </c>
      <c r="BL219" s="173">
        <f>IF(ISNUMBER(BL223),SUM(BL214:BL218),"")</f>
        <v/>
      </c>
      <c r="BM219" s="173">
        <f>IF(ISNUMBER(BM223),SUM(BM214:BM218),"")</f>
        <v/>
      </c>
      <c r="BN219" s="173">
        <f>IF(ISNUMBER(BN223),SUM(BN214:BN218),"")</f>
        <v/>
      </c>
      <c r="BO219" s="173">
        <f>IF(ISNUMBER(BO223),SUM(BO214:BO218),"")</f>
        <v/>
      </c>
      <c r="BP219" s="173">
        <f>IF(ISNUMBER(BP223),SUM(BP214:BP218),"")</f>
        <v/>
      </c>
      <c r="BQ219" s="175">
        <f>IF(ISNUMBER(BQ223),SUM(BQ214:BQ218),"")</f>
        <v/>
      </c>
      <c r="BR219" s="173">
        <f>IF(ISNUMBER(BR223),SUM(BR214:BR218),"")</f>
        <v/>
      </c>
      <c r="BS219" s="173">
        <f>IF(ISNUMBER(BS223),SUM(BS214:BS218),"")</f>
        <v/>
      </c>
      <c r="BT219" s="173">
        <f>IF(ISNUMBER(BT223),SUM(BT214:BT218),"")</f>
        <v/>
      </c>
      <c r="BU219" s="173">
        <f>IF(ISNUMBER(BU223),SUM(BU214:BU218),"")</f>
        <v/>
      </c>
      <c r="BV219" s="173">
        <f>IF(ISNUMBER(BV223),SUM(BV214:BV218),"")</f>
        <v/>
      </c>
      <c r="BW219" s="175">
        <f>IF(ISNUMBER(BW223),SUM(BW214:BW218),"")</f>
        <v/>
      </c>
      <c r="BX219" s="173">
        <f>IF(ISNUMBER(BX223),SUM(BX214:BX218),"")</f>
        <v/>
      </c>
      <c r="BY219" s="173">
        <f>IF(ISNUMBER(BY223),SUM(BY214:BY218),"")</f>
        <v/>
      </c>
      <c r="BZ219" s="173">
        <f>IF(ISNUMBER(BZ223),SUM(BZ214:BZ218),"")</f>
        <v/>
      </c>
      <c r="CA219" s="173">
        <f>IF(ISNUMBER(CA223),SUM(CA214:CA218),"")</f>
        <v/>
      </c>
      <c r="CB219" s="173">
        <f>IF(ISNUMBER(CB223),SUM(CB214:CB218),"")</f>
        <v/>
      </c>
      <c r="CC219" s="175">
        <f>IF(ISNUMBER(CC223),SUM(CC214:CC218),"")</f>
        <v/>
      </c>
      <c r="CD219" s="173">
        <f>IF(ISNUMBER(CD223),SUM(CD214:CD218),"")</f>
        <v/>
      </c>
      <c r="CE219" s="173">
        <f>IF(ISNUMBER(CE223),SUM(CE214:CE218),"")</f>
        <v/>
      </c>
      <c r="CF219" s="173">
        <f>IF(ISNUMBER(CF223),SUM(CF214:CF218),"")</f>
        <v/>
      </c>
      <c r="CG219" s="173">
        <f>IF(ISNUMBER(CG223),SUM(CG214:CG218),"")</f>
        <v/>
      </c>
      <c r="CH219" s="173">
        <f>IF(ISNUMBER(CH223),SUM(CH214:CH218),"")</f>
        <v/>
      </c>
      <c r="CI219" s="175">
        <f>IF(ISNUMBER(CI223),SUM(CI214:CI218),"")</f>
        <v/>
      </c>
      <c r="CJ219" s="173">
        <f>IF(ISNUMBER(CJ223),SUM(CJ214:CJ218),"")</f>
        <v/>
      </c>
      <c r="CK219" s="173">
        <f>IF(ISNUMBER(CK223),SUM(CK214:CK218),"")</f>
        <v/>
      </c>
      <c r="CL219" s="173">
        <f>IF(ISNUMBER(CL223),SUM(CL214:CL218),"")</f>
        <v/>
      </c>
      <c r="CM219" s="175">
        <f>SUM(CM214:CM218)</f>
        <v/>
      </c>
      <c r="CN219" s="175">
        <f>SUM(CN214:CN218)</f>
        <v/>
      </c>
      <c r="CO219" s="175">
        <f>SUM(CJ219,CK219,CM219,CN219)</f>
        <v/>
      </c>
      <c r="CP219" s="175">
        <f>SUM(CP214:CP218)</f>
        <v/>
      </c>
      <c r="CQ219" s="175">
        <f>SUM(CQ214:CQ218)</f>
        <v/>
      </c>
      <c r="CR219" s="175">
        <f>SUM(CR214:CR218)</f>
        <v/>
      </c>
      <c r="CS219" s="175">
        <f>SUM(CS214:CS218)</f>
        <v/>
      </c>
      <c r="CT219" s="22" t="inlineStr">
        <is>
          <t>Historical shown only where Vulcan published Adjusted EPS.</t>
        </is>
      </c>
      <c r="CV219" s="23">
        <f>IFERROR((CS219/CI219)^(1/5)-1,"n/m")</f>
        <v/>
      </c>
      <c r="CW219" s="23">
        <f>IFERROR((CI219/BE219)^(1/5)-1,"n/m")</f>
        <v/>
      </c>
      <c r="CX219" s="23">
        <f>IFERROR((CI219/AA219)^(1/10)-1,"n/m")</f>
        <v/>
      </c>
      <c r="CY219" s="23">
        <f>IFERROR((CI219/C219)^(1/19)-1,"n/m")</f>
        <v/>
      </c>
    </row>
    <row r="220" collapsed="1" ht="15" customHeight="1">
      <c r="B220" s="25" t="inlineStr">
        <is>
          <t xml:space="preserve">  Tax rate applied to adjustments (forecast input; historical = implied)</t>
        </is>
      </c>
      <c r="C220" s="179">
        <f>IFERROR(-C217/C216,"")</f>
        <v/>
      </c>
      <c r="D220" s="179">
        <f>IFERROR(-D217/D216,"")</f>
        <v/>
      </c>
      <c r="E220" s="179">
        <f>IFERROR(-E217/E216,"")</f>
        <v/>
      </c>
      <c r="F220" s="179">
        <f>IFERROR(-F217/F216,"")</f>
        <v/>
      </c>
      <c r="G220" s="179">
        <f>IFERROR(-G217/G216,"")</f>
        <v/>
      </c>
      <c r="H220" s="179">
        <f>IFERROR(-H217/H216,"")</f>
        <v/>
      </c>
      <c r="I220" s="179">
        <f>IFERROR(-I217/I216,"")</f>
        <v/>
      </c>
      <c r="J220" s="179">
        <f>IFERROR(-J217/J216,"")</f>
        <v/>
      </c>
      <c r="K220" s="179">
        <f>IFERROR(-K217/K216,"")</f>
        <v/>
      </c>
      <c r="L220" s="179">
        <f>IFERROR(-L217/L216,"")</f>
        <v/>
      </c>
      <c r="M220" s="179">
        <f>IFERROR(-M217/M216,"")</f>
        <v/>
      </c>
      <c r="N220" s="179">
        <f>IFERROR(-N217/N216,"")</f>
        <v/>
      </c>
      <c r="O220" s="179">
        <f>IFERROR(-O217/O216,"")</f>
        <v/>
      </c>
      <c r="P220" s="179">
        <f>IFERROR(-P217/P216,"")</f>
        <v/>
      </c>
      <c r="Q220" s="179">
        <f>IFERROR(-Q217/Q216,"")</f>
        <v/>
      </c>
      <c r="R220" s="179">
        <f>IFERROR(-R217/R216,"")</f>
        <v/>
      </c>
      <c r="S220" s="179">
        <f>IFERROR(-S217/S216,"")</f>
        <v/>
      </c>
      <c r="T220" s="179">
        <f>IFERROR(-T217/T216,"")</f>
        <v/>
      </c>
      <c r="U220" s="179">
        <f>IFERROR(-U217/U216,"")</f>
        <v/>
      </c>
      <c r="V220" s="179">
        <f>IFERROR(-V217/V216,"")</f>
        <v/>
      </c>
      <c r="W220" s="179">
        <f>IFERROR(-W217/W216,"")</f>
        <v/>
      </c>
      <c r="X220" s="179">
        <f>IFERROR(-X217/X216,"")</f>
        <v/>
      </c>
      <c r="Y220" s="179">
        <f>IFERROR(-Y217/Y216,"")</f>
        <v/>
      </c>
      <c r="Z220" s="179">
        <f>IFERROR(-Z217/Z216,"")</f>
        <v/>
      </c>
      <c r="AA220" s="179">
        <f>IFERROR(-AA217/AA216,"")</f>
        <v/>
      </c>
      <c r="AB220" s="179">
        <f>IFERROR(-AB217/AB216,"")</f>
        <v/>
      </c>
      <c r="AC220" s="179">
        <f>IFERROR(-AC217/AC216,"")</f>
        <v/>
      </c>
      <c r="AD220" s="179">
        <f>IFERROR(-AD217/AD216,"")</f>
        <v/>
      </c>
      <c r="AE220" s="179">
        <f>IFERROR(-AE217/AE216,"")</f>
        <v/>
      </c>
      <c r="AF220" s="179">
        <f>IFERROR(-AF217/AF216,"")</f>
        <v/>
      </c>
      <c r="AG220" s="179">
        <f>IFERROR(-AG217/AG216,"")</f>
        <v/>
      </c>
      <c r="AH220" s="179">
        <f>IFERROR(-AH217/AH216,"")</f>
        <v/>
      </c>
      <c r="AI220" s="179">
        <f>IFERROR(-AI217/AI216,"")</f>
        <v/>
      </c>
      <c r="AJ220" s="179">
        <f>IFERROR(-AJ217/AJ216,"")</f>
        <v/>
      </c>
      <c r="AK220" s="179">
        <f>IFERROR(-AK217/AK216,"")</f>
        <v/>
      </c>
      <c r="AL220" s="179">
        <f>IFERROR(-AL217/AL216,"")</f>
        <v/>
      </c>
      <c r="AM220" s="179">
        <f>IFERROR(-AM217/AM216,"")</f>
        <v/>
      </c>
      <c r="AN220" s="179">
        <f>IFERROR(-AN217/AN216,"")</f>
        <v/>
      </c>
      <c r="AO220" s="179">
        <f>IFERROR(-AO217/AO216,"")</f>
        <v/>
      </c>
      <c r="AP220" s="179">
        <f>IFERROR(-AP217/AP216,"")</f>
        <v/>
      </c>
      <c r="AQ220" s="179">
        <f>IFERROR(-AQ217/AQ216,"")</f>
        <v/>
      </c>
      <c r="AR220" s="179">
        <f>IFERROR(-AR217/AR216,"")</f>
        <v/>
      </c>
      <c r="AS220" s="179">
        <f>IFERROR(-AS217/AS216,"")</f>
        <v/>
      </c>
      <c r="AT220" s="179">
        <f>IFERROR(-AT217/AT216,"")</f>
        <v/>
      </c>
      <c r="AU220" s="179">
        <f>IFERROR(-AU217/AU216,"")</f>
        <v/>
      </c>
      <c r="AV220" s="179">
        <f>IFERROR(-AV217/AV216,"")</f>
        <v/>
      </c>
      <c r="AW220" s="179">
        <f>IFERROR(-AW217/AW216,"")</f>
        <v/>
      </c>
      <c r="AX220" s="179">
        <f>IFERROR(-AX217/AX216,"")</f>
        <v/>
      </c>
      <c r="AY220" s="179">
        <f>IFERROR(-AY217/AY216,"")</f>
        <v/>
      </c>
      <c r="AZ220" s="179">
        <f>IFERROR(-AZ217/AZ216,"")</f>
        <v/>
      </c>
      <c r="BA220" s="179">
        <f>IFERROR(-BA217/BA216,"")</f>
        <v/>
      </c>
      <c r="BB220" s="179">
        <f>IFERROR(-BB217/BB216,"")</f>
        <v/>
      </c>
      <c r="BC220" s="179">
        <f>IFERROR(-BC217/BC216,"")</f>
        <v/>
      </c>
      <c r="BD220" s="179">
        <f>IFERROR(-BD217/BD216,"")</f>
        <v/>
      </c>
      <c r="BE220" s="179">
        <f>IFERROR(-BE217/BE216,"")</f>
        <v/>
      </c>
      <c r="BF220" s="179">
        <f>IFERROR(-BF217/BF216,"")</f>
        <v/>
      </c>
      <c r="BG220" s="179">
        <f>IFERROR(-BG217/BG216,"")</f>
        <v/>
      </c>
      <c r="BH220" s="179">
        <f>IFERROR(-BH217/BH216,"")</f>
        <v/>
      </c>
      <c r="BI220" s="179">
        <f>IFERROR(-BI217/BI216,"")</f>
        <v/>
      </c>
      <c r="BJ220" s="179">
        <f>IFERROR(-BJ217/BJ216,"")</f>
        <v/>
      </c>
      <c r="BK220" s="179">
        <f>IFERROR(-BK217/BK216,"")</f>
        <v/>
      </c>
      <c r="BL220" s="179">
        <f>IFERROR(-BL217/BL216,"")</f>
        <v/>
      </c>
      <c r="BM220" s="179">
        <f>IFERROR(-BM217/BM216,"")</f>
        <v/>
      </c>
      <c r="BN220" s="179">
        <f>IFERROR(-BN217/BN216,"")</f>
        <v/>
      </c>
      <c r="BO220" s="179">
        <f>IFERROR(-BO217/BO216,"")</f>
        <v/>
      </c>
      <c r="BP220" s="179">
        <f>IFERROR(-BP217/BP216,"")</f>
        <v/>
      </c>
      <c r="BQ220" s="179">
        <f>IFERROR(-BQ217/BQ216,"")</f>
        <v/>
      </c>
      <c r="BR220" s="179">
        <f>IFERROR(-BR217/BR216,"")</f>
        <v/>
      </c>
      <c r="BS220" s="179">
        <f>IFERROR(-BS217/BS216,"")</f>
        <v/>
      </c>
      <c r="BT220" s="179">
        <f>IFERROR(-BT217/BT216,"")</f>
        <v/>
      </c>
      <c r="BU220" s="179">
        <f>IFERROR(-BU217/BU216,"")</f>
        <v/>
      </c>
      <c r="BV220" s="179">
        <f>IFERROR(-BV217/BV216,"")</f>
        <v/>
      </c>
      <c r="BW220" s="179">
        <f>IFERROR(-BW217/BW216,"")</f>
        <v/>
      </c>
      <c r="BX220" s="179">
        <f>IFERROR(-BX217/BX216,"")</f>
        <v/>
      </c>
      <c r="BY220" s="179">
        <f>IFERROR(-BY217/BY216,"")</f>
        <v/>
      </c>
      <c r="BZ220" s="179">
        <f>IFERROR(-BZ217/BZ216,"")</f>
        <v/>
      </c>
      <c r="CA220" s="179">
        <f>IFERROR(-CA217/CA216,"")</f>
        <v/>
      </c>
      <c r="CB220" s="179">
        <f>IFERROR(-CB217/CB216,"")</f>
        <v/>
      </c>
      <c r="CC220" s="179">
        <f>IFERROR(-CC217/CC216,"")</f>
        <v/>
      </c>
      <c r="CD220" s="179">
        <f>IFERROR(-CD217/CD216,"")</f>
        <v/>
      </c>
      <c r="CE220" s="179">
        <f>IFERROR(-CE217/CE216,"")</f>
        <v/>
      </c>
      <c r="CF220" s="179">
        <f>IFERROR(-CF217/CF216,"")</f>
        <v/>
      </c>
      <c r="CG220" s="179">
        <f>IFERROR(-CG217/CG216,"")</f>
        <v/>
      </c>
      <c r="CH220" s="179">
        <f>IFERROR(-CH217/CH216,"")</f>
        <v/>
      </c>
      <c r="CI220" s="179">
        <f>IFERROR(-CI217/CI216,"")</f>
        <v/>
      </c>
      <c r="CJ220" s="179">
        <f>IFERROR(-CJ217/CJ216,"")</f>
        <v/>
      </c>
      <c r="CK220" s="179">
        <f>IFERROR(-CK217/CK216,"")</f>
        <v/>
      </c>
      <c r="CL220" s="179">
        <f>IFERROR(-CL217/CL216,"")</f>
        <v/>
      </c>
      <c r="CM220" s="165">
        <f>$DD$20</f>
        <v/>
      </c>
      <c r="CN220" s="165">
        <f>$DD$20</f>
        <v/>
      </c>
      <c r="CO220" s="165">
        <f>$DD$20</f>
        <v/>
      </c>
      <c r="CP220" s="165">
        <f>CP150</f>
        <v/>
      </c>
      <c r="CQ220" s="165">
        <f>CQ150</f>
        <v/>
      </c>
      <c r="CR220" s="165">
        <f>CR150</f>
        <v/>
      </c>
      <c r="CS220" s="165">
        <f>CS150</f>
        <v/>
      </c>
      <c r="CT220" s="22" t="n"/>
      <c r="CV220" s="40" t="n"/>
      <c r="CW220" s="40" t="n"/>
      <c r="CX220" s="40" t="n"/>
      <c r="CY220" s="40" t="n"/>
    </row>
    <row r="221" ht="15" customHeight="1">
      <c r="B221" s="12" t="inlineStr">
        <is>
          <t xml:space="preserve">  Weighted-average diluted shares (m)</t>
        </is>
      </c>
      <c r="C221" s="176">
        <f>C163</f>
        <v/>
      </c>
      <c r="D221" s="176">
        <f>D163</f>
        <v/>
      </c>
      <c r="E221" s="176">
        <f>E163</f>
        <v/>
      </c>
      <c r="F221" s="176">
        <f>F163</f>
        <v/>
      </c>
      <c r="G221" s="176">
        <f>G163</f>
        <v/>
      </c>
      <c r="H221" s="176">
        <f>H163</f>
        <v/>
      </c>
      <c r="I221" s="176">
        <f>I163</f>
        <v/>
      </c>
      <c r="J221" s="176">
        <f>J163</f>
        <v/>
      </c>
      <c r="K221" s="176">
        <f>K163</f>
        <v/>
      </c>
      <c r="L221" s="176">
        <f>L163</f>
        <v/>
      </c>
      <c r="M221" s="176">
        <f>M163</f>
        <v/>
      </c>
      <c r="N221" s="176">
        <f>N163</f>
        <v/>
      </c>
      <c r="O221" s="176">
        <f>O163</f>
        <v/>
      </c>
      <c r="P221" s="176">
        <f>P163</f>
        <v/>
      </c>
      <c r="Q221" s="176">
        <f>Q163</f>
        <v/>
      </c>
      <c r="R221" s="176">
        <f>R163</f>
        <v/>
      </c>
      <c r="S221" s="176">
        <f>S163</f>
        <v/>
      </c>
      <c r="T221" s="176">
        <f>T163</f>
        <v/>
      </c>
      <c r="U221" s="176">
        <f>U163</f>
        <v/>
      </c>
      <c r="V221" s="176">
        <f>V163</f>
        <v/>
      </c>
      <c r="W221" s="176">
        <f>W163</f>
        <v/>
      </c>
      <c r="X221" s="176">
        <f>X163</f>
        <v/>
      </c>
      <c r="Y221" s="176">
        <f>Y163</f>
        <v/>
      </c>
      <c r="Z221" s="176">
        <f>Z163</f>
        <v/>
      </c>
      <c r="AA221" s="176">
        <f>AA163</f>
        <v/>
      </c>
      <c r="AB221" s="176">
        <f>AB163</f>
        <v/>
      </c>
      <c r="AC221" s="176">
        <f>AC163</f>
        <v/>
      </c>
      <c r="AD221" s="176">
        <f>AD163</f>
        <v/>
      </c>
      <c r="AE221" s="176">
        <f>AE163</f>
        <v/>
      </c>
      <c r="AF221" s="176">
        <f>AF163</f>
        <v/>
      </c>
      <c r="AG221" s="176">
        <f>AG163</f>
        <v/>
      </c>
      <c r="AH221" s="176">
        <f>AH163</f>
        <v/>
      </c>
      <c r="AI221" s="176">
        <f>AI163</f>
        <v/>
      </c>
      <c r="AJ221" s="176">
        <f>AJ163</f>
        <v/>
      </c>
      <c r="AK221" s="176">
        <f>AK163</f>
        <v/>
      </c>
      <c r="AL221" s="176">
        <f>AL163</f>
        <v/>
      </c>
      <c r="AM221" s="176">
        <f>AM163</f>
        <v/>
      </c>
      <c r="AN221" s="176">
        <f>AN163</f>
        <v/>
      </c>
      <c r="AO221" s="176">
        <f>AO163</f>
        <v/>
      </c>
      <c r="AP221" s="176">
        <f>AP163</f>
        <v/>
      </c>
      <c r="AQ221" s="176">
        <f>AQ163</f>
        <v/>
      </c>
      <c r="AR221" s="176">
        <f>AR163</f>
        <v/>
      </c>
      <c r="AS221" s="176">
        <f>AS163</f>
        <v/>
      </c>
      <c r="AT221" s="176">
        <f>AT163</f>
        <v/>
      </c>
      <c r="AU221" s="176">
        <f>AU163</f>
        <v/>
      </c>
      <c r="AV221" s="176">
        <f>AV163</f>
        <v/>
      </c>
      <c r="AW221" s="176">
        <f>AW163</f>
        <v/>
      </c>
      <c r="AX221" s="176">
        <f>AX163</f>
        <v/>
      </c>
      <c r="AY221" s="176">
        <f>AY163</f>
        <v/>
      </c>
      <c r="AZ221" s="176">
        <f>AZ163</f>
        <v/>
      </c>
      <c r="BA221" s="176">
        <f>BA163</f>
        <v/>
      </c>
      <c r="BB221" s="176">
        <f>BB163</f>
        <v/>
      </c>
      <c r="BC221" s="176">
        <f>BC163</f>
        <v/>
      </c>
      <c r="BD221" s="176">
        <f>BD163</f>
        <v/>
      </c>
      <c r="BE221" s="176">
        <f>BE163</f>
        <v/>
      </c>
      <c r="BF221" s="176">
        <f>BF163</f>
        <v/>
      </c>
      <c r="BG221" s="176">
        <f>BG163</f>
        <v/>
      </c>
      <c r="BH221" s="176">
        <f>BH163</f>
        <v/>
      </c>
      <c r="BI221" s="176">
        <f>BI163</f>
        <v/>
      </c>
      <c r="BJ221" s="176">
        <f>BJ163</f>
        <v/>
      </c>
      <c r="BK221" s="176">
        <f>BK163</f>
        <v/>
      </c>
      <c r="BL221" s="176">
        <f>BL163</f>
        <v/>
      </c>
      <c r="BM221" s="176">
        <f>BM163</f>
        <v/>
      </c>
      <c r="BN221" s="176">
        <f>BN163</f>
        <v/>
      </c>
      <c r="BO221" s="176">
        <f>BO163</f>
        <v/>
      </c>
      <c r="BP221" s="176">
        <f>BP163</f>
        <v/>
      </c>
      <c r="BQ221" s="176">
        <f>BQ163</f>
        <v/>
      </c>
      <c r="BR221" s="176">
        <f>BR163</f>
        <v/>
      </c>
      <c r="BS221" s="176">
        <f>BS163</f>
        <v/>
      </c>
      <c r="BT221" s="176">
        <f>BT163</f>
        <v/>
      </c>
      <c r="BU221" s="176">
        <f>BU163</f>
        <v/>
      </c>
      <c r="BV221" s="176">
        <f>BV163</f>
        <v/>
      </c>
      <c r="BW221" s="176">
        <f>BW163</f>
        <v/>
      </c>
      <c r="BX221" s="176">
        <f>BX163</f>
        <v/>
      </c>
      <c r="BY221" s="176">
        <f>BY163</f>
        <v/>
      </c>
      <c r="BZ221" s="176">
        <f>BZ163</f>
        <v/>
      </c>
      <c r="CA221" s="176">
        <f>CA163</f>
        <v/>
      </c>
      <c r="CB221" s="176">
        <f>CB163</f>
        <v/>
      </c>
      <c r="CC221" s="176">
        <f>CC163</f>
        <v/>
      </c>
      <c r="CD221" s="176">
        <f>CD163</f>
        <v/>
      </c>
      <c r="CE221" s="176">
        <f>CE163</f>
        <v/>
      </c>
      <c r="CF221" s="176">
        <f>CF163</f>
        <v/>
      </c>
      <c r="CG221" s="176">
        <f>CG163</f>
        <v/>
      </c>
      <c r="CH221" s="176">
        <f>CH163</f>
        <v/>
      </c>
      <c r="CI221" s="176">
        <f>CI163</f>
        <v/>
      </c>
      <c r="CJ221" s="176">
        <f>CJ163</f>
        <v/>
      </c>
      <c r="CK221" s="176">
        <f>CK163</f>
        <v/>
      </c>
      <c r="CL221" s="176">
        <f>CL163</f>
        <v/>
      </c>
      <c r="CM221" s="188">
        <f>CM163</f>
        <v/>
      </c>
      <c r="CN221" s="188">
        <f>CN163</f>
        <v/>
      </c>
      <c r="CO221" s="188">
        <f>CO163</f>
        <v/>
      </c>
      <c r="CP221" s="188">
        <f>CP163</f>
        <v/>
      </c>
      <c r="CQ221" s="188">
        <f>CQ163</f>
        <v/>
      </c>
      <c r="CR221" s="188">
        <f>CR163</f>
        <v/>
      </c>
      <c r="CS221" s="188">
        <f>CS163</f>
        <v/>
      </c>
      <c r="CT221" s="22" t="n"/>
      <c r="CV221" s="23" t="n"/>
      <c r="CW221" s="23" t="n"/>
      <c r="CX221" s="23" t="n"/>
      <c r="CY221" s="23" t="n"/>
    </row>
    <row r="222" ht="15" customHeight="1">
      <c r="B222" s="33" t="inlineStr">
        <is>
          <t>Adjusted EPS – diluted, continuing operations ($) (model bridge)</t>
        </is>
      </c>
      <c r="C222" s="191">
        <f>IFERROR(C219/C221,"")</f>
        <v/>
      </c>
      <c r="D222" s="191">
        <f>IFERROR(D219/D221,"")</f>
        <v/>
      </c>
      <c r="E222" s="191">
        <f>IFERROR(E219/E221,"")</f>
        <v/>
      </c>
      <c r="F222" s="191">
        <f>IFERROR(F219/F221,"")</f>
        <v/>
      </c>
      <c r="G222" s="191">
        <f>IFERROR(G219/G221,"")</f>
        <v/>
      </c>
      <c r="H222" s="191">
        <f>IFERROR(H219/H221,"")</f>
        <v/>
      </c>
      <c r="I222" s="191">
        <f>IFERROR(I219/I221,"")</f>
        <v/>
      </c>
      <c r="J222" s="177">
        <f>IFERROR(J219/J221,"")</f>
        <v/>
      </c>
      <c r="K222" s="177">
        <f>IFERROR(K219/K221,"")</f>
        <v/>
      </c>
      <c r="L222" s="177">
        <f>IFERROR(L219/L221,"")</f>
        <v/>
      </c>
      <c r="M222" s="177">
        <f>IFERROR(M219/M221,"")</f>
        <v/>
      </c>
      <c r="N222" s="177">
        <f>IFERROR(N219/N221,"")</f>
        <v/>
      </c>
      <c r="O222" s="191">
        <f>IFERROR(O219/O221,"")</f>
        <v/>
      </c>
      <c r="P222" s="177">
        <f>IFERROR(P219/P221,"")</f>
        <v/>
      </c>
      <c r="Q222" s="177">
        <f>IFERROR(Q219/Q221,"")</f>
        <v/>
      </c>
      <c r="R222" s="177">
        <f>IFERROR(R219/R221,"")</f>
        <v/>
      </c>
      <c r="S222" s="177">
        <f>IFERROR(S219/S221,"")</f>
        <v/>
      </c>
      <c r="T222" s="177">
        <f>IFERROR(T219/T221,"")</f>
        <v/>
      </c>
      <c r="U222" s="191">
        <f>IFERROR(U219/U221,"")</f>
        <v/>
      </c>
      <c r="V222" s="177">
        <f>IFERROR(V219/V221,"")</f>
        <v/>
      </c>
      <c r="W222" s="177">
        <f>IFERROR(W219/W221,"")</f>
        <v/>
      </c>
      <c r="X222" s="177">
        <f>IFERROR(X219/X221,"")</f>
        <v/>
      </c>
      <c r="Y222" s="177">
        <f>IFERROR(Y219/Y221,"")</f>
        <v/>
      </c>
      <c r="Z222" s="177">
        <f>IFERROR(Z219/Z221,"")</f>
        <v/>
      </c>
      <c r="AA222" s="191">
        <f>IFERROR(AA219/AA221,"")</f>
        <v/>
      </c>
      <c r="AB222" s="177">
        <f>IFERROR(AB219/AB221,"")</f>
        <v/>
      </c>
      <c r="AC222" s="177">
        <f>IFERROR(AC219/AC221,"")</f>
        <v/>
      </c>
      <c r="AD222" s="177">
        <f>IFERROR(AD219/AD221,"")</f>
        <v/>
      </c>
      <c r="AE222" s="177">
        <f>IFERROR(AE219/AE221,"")</f>
        <v/>
      </c>
      <c r="AF222" s="177">
        <f>IFERROR(AF219/AF221,"")</f>
        <v/>
      </c>
      <c r="AG222" s="191">
        <f>IFERROR(AG219/AG221,"")</f>
        <v/>
      </c>
      <c r="AH222" s="177">
        <f>IFERROR(AH219/AH221,"")</f>
        <v/>
      </c>
      <c r="AI222" s="177">
        <f>IFERROR(AI219/AI221,"")</f>
        <v/>
      </c>
      <c r="AJ222" s="177">
        <f>IFERROR(AJ219/AJ221,"")</f>
        <v/>
      </c>
      <c r="AK222" s="177">
        <f>IFERROR(AK219/AK221,"")</f>
        <v/>
      </c>
      <c r="AL222" s="177">
        <f>IFERROR(AL219/AL221,"")</f>
        <v/>
      </c>
      <c r="AM222" s="191">
        <f>IFERROR(AM219/AM221,"")</f>
        <v/>
      </c>
      <c r="AN222" s="177">
        <f>IFERROR(AN219/AN221,"")</f>
        <v/>
      </c>
      <c r="AO222" s="177">
        <f>IFERROR(AO219/AO221,"")</f>
        <v/>
      </c>
      <c r="AP222" s="177">
        <f>IFERROR(AP219/AP221,"")</f>
        <v/>
      </c>
      <c r="AQ222" s="177">
        <f>IFERROR(AQ219/AQ221,"")</f>
        <v/>
      </c>
      <c r="AR222" s="177">
        <f>IFERROR(AR219/AR221,"")</f>
        <v/>
      </c>
      <c r="AS222" s="191">
        <f>IFERROR(AS219/AS221,"")</f>
        <v/>
      </c>
      <c r="AT222" s="177">
        <f>IFERROR(AT219/AT221,"")</f>
        <v/>
      </c>
      <c r="AU222" s="177">
        <f>IFERROR(AU219/AU221,"")</f>
        <v/>
      </c>
      <c r="AV222" s="177">
        <f>IFERROR(AV219/AV221,"")</f>
        <v/>
      </c>
      <c r="AW222" s="177">
        <f>IFERROR(AW219/AW221,"")</f>
        <v/>
      </c>
      <c r="AX222" s="177">
        <f>IFERROR(AX219/AX221,"")</f>
        <v/>
      </c>
      <c r="AY222" s="191">
        <f>IFERROR(AY219/AY221,"")</f>
        <v/>
      </c>
      <c r="AZ222" s="177">
        <f>IFERROR(AZ219/AZ221,"")</f>
        <v/>
      </c>
      <c r="BA222" s="177">
        <f>IFERROR(BA219/BA221,"")</f>
        <v/>
      </c>
      <c r="BB222" s="177">
        <f>IFERROR(BB219/BB221,"")</f>
        <v/>
      </c>
      <c r="BC222" s="177">
        <f>IFERROR(BC219/BC221,"")</f>
        <v/>
      </c>
      <c r="BD222" s="177">
        <f>IFERROR(BD219/BD221,"")</f>
        <v/>
      </c>
      <c r="BE222" s="191">
        <f>IFERROR(BE219/BE221,"")</f>
        <v/>
      </c>
      <c r="BF222" s="177">
        <f>IFERROR(BF219/BF221,"")</f>
        <v/>
      </c>
      <c r="BG222" s="177">
        <f>IFERROR(BG219/BG221,"")</f>
        <v/>
      </c>
      <c r="BH222" s="177">
        <f>IFERROR(BH219/BH221,"")</f>
        <v/>
      </c>
      <c r="BI222" s="177">
        <f>IFERROR(BI219/BI221,"")</f>
        <v/>
      </c>
      <c r="BJ222" s="177">
        <f>IFERROR(BJ219/BJ221,"")</f>
        <v/>
      </c>
      <c r="BK222" s="191">
        <f>IFERROR(BK219/BK221,"")</f>
        <v/>
      </c>
      <c r="BL222" s="177">
        <f>IFERROR(BL219/BL221,"")</f>
        <v/>
      </c>
      <c r="BM222" s="177">
        <f>IFERROR(BM219/BM221,"")</f>
        <v/>
      </c>
      <c r="BN222" s="177">
        <f>IFERROR(BN219/BN221,"")</f>
        <v/>
      </c>
      <c r="BO222" s="177">
        <f>IFERROR(BO219/BO221,"")</f>
        <v/>
      </c>
      <c r="BP222" s="177">
        <f>IFERROR(BP219/BP221,"")</f>
        <v/>
      </c>
      <c r="BQ222" s="191">
        <f>IFERROR(BQ219/BQ221,"")</f>
        <v/>
      </c>
      <c r="BR222" s="177">
        <f>IFERROR(BR219/BR221,"")</f>
        <v/>
      </c>
      <c r="BS222" s="177">
        <f>IFERROR(BS219/BS221,"")</f>
        <v/>
      </c>
      <c r="BT222" s="177">
        <f>IFERROR(BT219/BT221,"")</f>
        <v/>
      </c>
      <c r="BU222" s="177">
        <f>IFERROR(BU219/BU221,"")</f>
        <v/>
      </c>
      <c r="BV222" s="177">
        <f>IFERROR(BV219/BV221,"")</f>
        <v/>
      </c>
      <c r="BW222" s="191">
        <f>IFERROR(BW219/BW221,"")</f>
        <v/>
      </c>
      <c r="BX222" s="177">
        <f>IFERROR(BX219/BX221,"")</f>
        <v/>
      </c>
      <c r="BY222" s="177">
        <f>IFERROR(BY219/BY221,"")</f>
        <v/>
      </c>
      <c r="BZ222" s="177">
        <f>IFERROR(BZ219/BZ221,"")</f>
        <v/>
      </c>
      <c r="CA222" s="177">
        <f>IFERROR(CA219/CA221,"")</f>
        <v/>
      </c>
      <c r="CB222" s="177">
        <f>IFERROR(CB219/CB221,"")</f>
        <v/>
      </c>
      <c r="CC222" s="191">
        <f>IFERROR(CC219/CC221,"")</f>
        <v/>
      </c>
      <c r="CD222" s="177">
        <f>IFERROR(CD219/CD221,"")</f>
        <v/>
      </c>
      <c r="CE222" s="177">
        <f>IFERROR(CE219/CE221,"")</f>
        <v/>
      </c>
      <c r="CF222" s="177">
        <f>IFERROR(CF219/CF221,"")</f>
        <v/>
      </c>
      <c r="CG222" s="177">
        <f>IFERROR(CG219/CG221,"")</f>
        <v/>
      </c>
      <c r="CH222" s="177">
        <f>IFERROR(CH219/CH221,"")</f>
        <v/>
      </c>
      <c r="CI222" s="191">
        <f>IFERROR(CI219/CI221,"")</f>
        <v/>
      </c>
      <c r="CJ222" s="177">
        <f>IFERROR(CJ219/CJ221,"")</f>
        <v/>
      </c>
      <c r="CK222" s="177">
        <f>IFERROR(CK219/CK221,"")</f>
        <v/>
      </c>
      <c r="CL222" s="177">
        <f>IFERROR(CL219/CL221,"")</f>
        <v/>
      </c>
      <c r="CM222" s="191">
        <f>IFERROR(CM219/CM221,"")</f>
        <v/>
      </c>
      <c r="CN222" s="191">
        <f>IFERROR(CN219/CN221,"")</f>
        <v/>
      </c>
      <c r="CO222" s="191">
        <f>IFERROR(CO219/CO221,"")</f>
        <v/>
      </c>
      <c r="CP222" s="191">
        <f>IFERROR(CP219/CP221,"")</f>
        <v/>
      </c>
      <c r="CQ222" s="191">
        <f>IFERROR(CQ219/CQ221,"")</f>
        <v/>
      </c>
      <c r="CR222" s="191">
        <f>IFERROR(CR219/CR221,"")</f>
        <v/>
      </c>
      <c r="CS222" s="191">
        <f>IFERROR(CS219/CS221,"")</f>
        <v/>
      </c>
      <c r="CT222" s="22" t="n"/>
      <c r="CV222" s="23">
        <f>IFERROR((CS222/CI222)^(1/5)-1,"n/m")</f>
        <v/>
      </c>
      <c r="CW222" s="23">
        <f>IFERROR((CI222/BE222)^(1/5)-1,"n/m")</f>
        <v/>
      </c>
      <c r="CX222" s="23">
        <f>IFERROR((CI222/AA222)^(1/10)-1,"n/m")</f>
        <v/>
      </c>
      <c r="CY222" s="23">
        <f>IFERROR((CI222/C222)^(1/19)-1,"n/m")</f>
        <v/>
      </c>
    </row>
    <row r="223" ht="15" customHeight="1">
      <c r="B223" s="36" t="inlineStr">
        <is>
          <t xml:space="preserve">  Company-published Adjusted diluted EPS ($)</t>
        </is>
      </c>
      <c r="C223" s="166" t="n">
        <v>4.47</v>
      </c>
      <c r="D223" s="166" t="n">
        <v>4.73</v>
      </c>
      <c r="E223" s="166" t="n">
        <v>1.74</v>
      </c>
      <c r="F223" s="58" t="n"/>
      <c r="G223" s="58" t="n"/>
      <c r="H223" s="58" t="n"/>
      <c r="I223" s="58" t="n"/>
      <c r="J223" s="58" t="n"/>
      <c r="K223" s="58" t="n"/>
      <c r="L223" s="59" t="n"/>
      <c r="M223" s="58" t="n"/>
      <c r="N223" s="58" t="n"/>
      <c r="O223" s="58" t="n"/>
      <c r="P223" s="166" t="n">
        <v>-0.28</v>
      </c>
      <c r="Q223" s="166" t="n">
        <v>0.36</v>
      </c>
      <c r="R223" s="59" t="n"/>
      <c r="S223" s="166" t="n">
        <v>0.54</v>
      </c>
      <c r="T223" s="166" t="n">
        <v>0.31</v>
      </c>
      <c r="U223" s="166" t="n">
        <v>0.91</v>
      </c>
      <c r="V223" s="166" t="n">
        <v>-0.16</v>
      </c>
      <c r="W223" s="166" t="n">
        <v>0.66</v>
      </c>
      <c r="X223" s="59" t="n"/>
      <c r="Y223" s="166" t="n">
        <v>0.95</v>
      </c>
      <c r="Z223" s="166" t="n">
        <v>0.74</v>
      </c>
      <c r="AA223" s="166" t="n">
        <v>2.16</v>
      </c>
      <c r="AB223" s="166" t="n">
        <v>0.26</v>
      </c>
      <c r="AC223" s="166" t="n">
        <v>0.9</v>
      </c>
      <c r="AD223" s="59" t="n"/>
      <c r="AE223" s="166" t="n">
        <v>1.01</v>
      </c>
      <c r="AF223" s="166" t="n">
        <v>0.6899999999999999</v>
      </c>
      <c r="AG223" s="166" t="n">
        <v>2.86</v>
      </c>
      <c r="AH223" s="58" t="n"/>
      <c r="AI223" s="166" t="n">
        <v>0.9</v>
      </c>
      <c r="AJ223" s="59" t="n"/>
      <c r="AK223" s="166" t="n">
        <v>1.04</v>
      </c>
      <c r="AL223" s="166" t="n">
        <v>0.74</v>
      </c>
      <c r="AM223" s="166" t="n">
        <v>3.04</v>
      </c>
      <c r="AN223" s="166" t="n">
        <v>0.44</v>
      </c>
      <c r="AO223" s="166" t="n">
        <v>1.23</v>
      </c>
      <c r="AP223" s="59" t="n"/>
      <c r="AQ223" s="166" t="n">
        <v>1.4</v>
      </c>
      <c r="AR223" s="166" t="n">
        <v>0.99</v>
      </c>
      <c r="AS223" s="166" t="n">
        <v>4.05</v>
      </c>
      <c r="AT223" s="166" t="n">
        <v>0.46</v>
      </c>
      <c r="AU223" s="166" t="n">
        <v>1.48</v>
      </c>
      <c r="AV223" s="59" t="n"/>
      <c r="AW223" s="166" t="n">
        <v>1.68</v>
      </c>
      <c r="AX223" s="166" t="n">
        <v>1.08</v>
      </c>
      <c r="AY223" s="166" t="n">
        <v>4.7</v>
      </c>
      <c r="AZ223" s="166" t="n">
        <v>0.47</v>
      </c>
      <c r="BA223" s="166" t="n">
        <v>1.6</v>
      </c>
      <c r="BB223" s="59" t="n"/>
      <c r="BC223" s="166" t="n">
        <v>1.56</v>
      </c>
      <c r="BD223" s="166" t="n">
        <v>1.07</v>
      </c>
      <c r="BE223" s="166" t="n">
        <v>4.68</v>
      </c>
      <c r="BF223" s="166" t="n">
        <v>0.6899999999999999</v>
      </c>
      <c r="BG223" s="166" t="n">
        <v>1.57</v>
      </c>
      <c r="BH223" s="59" t="n"/>
      <c r="BI223" s="166" t="n">
        <v>1.54</v>
      </c>
      <c r="BJ223" s="166" t="n">
        <v>1.25</v>
      </c>
      <c r="BK223" s="166" t="n">
        <v>5.04</v>
      </c>
      <c r="BL223" s="166" t="n">
        <v>0.73</v>
      </c>
      <c r="BM223" s="166" t="n">
        <v>1.53</v>
      </c>
      <c r="BN223" s="59" t="n"/>
      <c r="BO223" s="166" t="n">
        <v>1.78</v>
      </c>
      <c r="BP223" s="166" t="n">
        <v>1.08</v>
      </c>
      <c r="BQ223" s="166" t="n">
        <v>5.11</v>
      </c>
      <c r="BR223" s="166" t="n">
        <v>0.95</v>
      </c>
      <c r="BS223" s="166" t="n">
        <v>2.29</v>
      </c>
      <c r="BT223" s="59" t="n"/>
      <c r="BU223" s="166" t="n">
        <v>2.29</v>
      </c>
      <c r="BV223" s="166" t="n">
        <v>1.46</v>
      </c>
      <c r="BW223" s="166" t="n">
        <v>7</v>
      </c>
      <c r="BX223" s="166" t="n">
        <v>0.8</v>
      </c>
      <c r="BY223" s="166" t="n">
        <v>2.35</v>
      </c>
      <c r="BZ223" s="59" t="n"/>
      <c r="CA223" s="166" t="n">
        <v>2.22</v>
      </c>
      <c r="CB223" s="166" t="n">
        <v>2.17</v>
      </c>
      <c r="CC223" s="166" t="n">
        <v>7.53</v>
      </c>
      <c r="CD223" s="166" t="n">
        <v>1</v>
      </c>
      <c r="CE223" s="166" t="n">
        <v>2.45</v>
      </c>
      <c r="CF223" s="59" t="n"/>
      <c r="CG223" s="166" t="n">
        <v>2.84</v>
      </c>
      <c r="CH223" s="166" t="n">
        <v>1.7</v>
      </c>
      <c r="CI223" s="166" t="n">
        <v>8</v>
      </c>
      <c r="CJ223" s="166" t="n">
        <v>1.35</v>
      </c>
      <c r="CK223" s="166" t="n">
        <v>2.59</v>
      </c>
      <c r="CL223" s="58" t="n"/>
      <c r="CM223" s="60" t="n"/>
      <c r="CN223" s="60" t="n"/>
      <c r="CO223" s="60" t="n"/>
      <c r="CP223" s="60" t="n"/>
      <c r="CQ223" s="60" t="n"/>
      <c r="CR223" s="60" t="n"/>
      <c r="CS223" s="60" t="n"/>
      <c r="CT223" s="22" t="n"/>
      <c r="CV223" s="6" t="n"/>
      <c r="CW223" s="6" t="n"/>
      <c r="CX223" s="6" t="n"/>
      <c r="CY223" s="6" t="n"/>
    </row>
    <row r="224" ht="15" customHeight="1">
      <c r="B224" s="38" t="inlineStr">
        <is>
          <t xml:space="preserve">  Check: model bridge vs company-published Adjusted EPS ($, should be 0.00 ± rounding)</t>
        </is>
      </c>
      <c r="C224" s="167">
        <f>IF(ISNUMBER(C223),ROUND(C222-C223,2),"n/p")</f>
        <v/>
      </c>
      <c r="D224" s="167">
        <f>IF(ISNUMBER(D223),ROUND(D222-D223,2),"n/p")</f>
        <v/>
      </c>
      <c r="E224" s="167">
        <f>IF(ISNUMBER(E223),ROUND(E222-E223,2),"n/p")</f>
        <v/>
      </c>
      <c r="F224" s="167">
        <f>IF(ISNUMBER(F223),ROUND(F222-F223,2),"n/p")</f>
        <v/>
      </c>
      <c r="G224" s="167">
        <f>IF(ISNUMBER(G223),ROUND(G222-G223,2),"n/p")</f>
        <v/>
      </c>
      <c r="H224" s="167">
        <f>IF(ISNUMBER(H223),ROUND(H222-H223,2),"n/p")</f>
        <v/>
      </c>
      <c r="I224" s="167">
        <f>IF(ISNUMBER(I223),ROUND(I222-I223,2),"n/p")</f>
        <v/>
      </c>
      <c r="J224" s="167">
        <f>IF(ISNUMBER(J223),ROUND(J222-J223,2),"n/p")</f>
        <v/>
      </c>
      <c r="K224" s="167">
        <f>IF(ISNUMBER(K223),ROUND(K222-K223,2),"n/p")</f>
        <v/>
      </c>
      <c r="L224" s="167">
        <f>IF(ISNUMBER(L223),ROUND(L222-L223,2),"n/p")</f>
        <v/>
      </c>
      <c r="M224" s="167">
        <f>IF(ISNUMBER(M223),ROUND(M222-M223,2),"n/p")</f>
        <v/>
      </c>
      <c r="N224" s="167">
        <f>IF(ISNUMBER(N223),ROUND(N222-N223,2),"n/p")</f>
        <v/>
      </c>
      <c r="O224" s="167">
        <f>IF(ISNUMBER(O223),ROUND(O222-O223,2),"n/p")</f>
        <v/>
      </c>
      <c r="P224" s="167">
        <f>IF(ISNUMBER(P223),ROUND(P222-P223,2),"n/p")</f>
        <v/>
      </c>
      <c r="Q224" s="167">
        <f>IF(ISNUMBER(Q223),ROUND(Q222-Q223,2),"n/p")</f>
        <v/>
      </c>
      <c r="R224" s="167">
        <f>IF(ISNUMBER(R223),ROUND(R222-R223,2),"n/p")</f>
        <v/>
      </c>
      <c r="S224" s="167">
        <f>IF(ISNUMBER(S223),ROUND(S222-S223,2),"n/p")</f>
        <v/>
      </c>
      <c r="T224" s="167">
        <f>IF(ISNUMBER(T223),ROUND(T222-T223,2),"n/p")</f>
        <v/>
      </c>
      <c r="U224" s="167">
        <f>IF(ISNUMBER(U223),ROUND(U222-U223,2),"n/p")</f>
        <v/>
      </c>
      <c r="V224" s="167">
        <f>IF(ISNUMBER(V223),ROUND(V222-V223,2),"n/p")</f>
        <v/>
      </c>
      <c r="W224" s="167">
        <f>IF(ISNUMBER(W223),ROUND(W222-W223,2),"n/p")</f>
        <v/>
      </c>
      <c r="X224" s="167">
        <f>IF(ISNUMBER(X223),ROUND(X222-X223,2),"n/p")</f>
        <v/>
      </c>
      <c r="Y224" s="167">
        <f>IF(ISNUMBER(Y223),ROUND(Y222-Y223,2),"n/p")</f>
        <v/>
      </c>
      <c r="Z224" s="167">
        <f>IF(ISNUMBER(Z223),ROUND(Z222-Z223,2),"n/p")</f>
        <v/>
      </c>
      <c r="AA224" s="167">
        <f>IF(ISNUMBER(AA223),ROUND(AA222-AA223,2),"n/p")</f>
        <v/>
      </c>
      <c r="AB224" s="167">
        <f>IF(ISNUMBER(AB223),ROUND(AB222-AB223,2),"n/p")</f>
        <v/>
      </c>
      <c r="AC224" s="167">
        <f>IF(ISNUMBER(AC223),ROUND(AC222-AC223,2),"n/p")</f>
        <v/>
      </c>
      <c r="AD224" s="167">
        <f>IF(ISNUMBER(AD223),ROUND(AD222-AD223,2),"n/p")</f>
        <v/>
      </c>
      <c r="AE224" s="167">
        <f>IF(ISNUMBER(AE223),ROUND(AE222-AE223,2),"n/p")</f>
        <v/>
      </c>
      <c r="AF224" s="167">
        <f>IF(ISNUMBER(AF223),ROUND(AF222-AF223,2),"n/p")</f>
        <v/>
      </c>
      <c r="AG224" s="167">
        <f>IF(ISNUMBER(AG223),ROUND(AG222-AG223,2),"n/p")</f>
        <v/>
      </c>
      <c r="AH224" s="167">
        <f>IF(ISNUMBER(AH223),ROUND(AH222-AH223,2),"n/p")</f>
        <v/>
      </c>
      <c r="AI224" s="167">
        <f>IF(ISNUMBER(AI223),ROUND(AI222-AI223,2),"n/p")</f>
        <v/>
      </c>
      <c r="AJ224" s="167">
        <f>IF(ISNUMBER(AJ223),ROUND(AJ222-AJ223,2),"n/p")</f>
        <v/>
      </c>
      <c r="AK224" s="167">
        <f>IF(ISNUMBER(AK223),ROUND(AK222-AK223,2),"n/p")</f>
        <v/>
      </c>
      <c r="AL224" s="167">
        <f>IF(ISNUMBER(AL223),ROUND(AL222-AL223,2),"n/p")</f>
        <v/>
      </c>
      <c r="AM224" s="167">
        <f>IF(ISNUMBER(AM223),ROUND(AM222-AM223,2),"n/p")</f>
        <v/>
      </c>
      <c r="AN224" s="167">
        <f>IF(ISNUMBER(AN223),ROUND(AN222-AN223,2),"n/p")</f>
        <v/>
      </c>
      <c r="AO224" s="167">
        <f>IF(ISNUMBER(AO223),ROUND(AO222-AO223,2),"n/p")</f>
        <v/>
      </c>
      <c r="AP224" s="167">
        <f>IF(ISNUMBER(AP223),ROUND(AP222-AP223,2),"n/p")</f>
        <v/>
      </c>
      <c r="AQ224" s="167">
        <f>IF(ISNUMBER(AQ223),ROUND(AQ222-AQ223,2),"n/p")</f>
        <v/>
      </c>
      <c r="AR224" s="167">
        <f>IF(ISNUMBER(AR223),ROUND(AR222-AR223,2),"n/p")</f>
        <v/>
      </c>
      <c r="AS224" s="167">
        <f>IF(ISNUMBER(AS223),ROUND(AS222-AS223,2),"n/p")</f>
        <v/>
      </c>
      <c r="AT224" s="167">
        <f>IF(ISNUMBER(AT223),ROUND(AT222-AT223,2),"n/p")</f>
        <v/>
      </c>
      <c r="AU224" s="167">
        <f>IF(ISNUMBER(AU223),ROUND(AU222-AU223,2),"n/p")</f>
        <v/>
      </c>
      <c r="AV224" s="167">
        <f>IF(ISNUMBER(AV223),ROUND(AV222-AV223,2),"n/p")</f>
        <v/>
      </c>
      <c r="AW224" s="167">
        <f>IF(ISNUMBER(AW223),ROUND(AW222-AW223,2),"n/p")</f>
        <v/>
      </c>
      <c r="AX224" s="167">
        <f>IF(ISNUMBER(AX223),ROUND(AX222-AX223,2),"n/p")</f>
        <v/>
      </c>
      <c r="AY224" s="167">
        <f>IF(ISNUMBER(AY223),ROUND(AY222-AY223,2),"n/p")</f>
        <v/>
      </c>
      <c r="AZ224" s="167">
        <f>IF(ISNUMBER(AZ223),ROUND(AZ222-AZ223,2),"n/p")</f>
        <v/>
      </c>
      <c r="BA224" s="167">
        <f>IF(ISNUMBER(BA223),ROUND(BA222-BA223,2),"n/p")</f>
        <v/>
      </c>
      <c r="BB224" s="167">
        <f>IF(ISNUMBER(BB223),ROUND(BB222-BB223,2),"n/p")</f>
        <v/>
      </c>
      <c r="BC224" s="167">
        <f>IF(ISNUMBER(BC223),ROUND(BC222-BC223,2),"n/p")</f>
        <v/>
      </c>
      <c r="BD224" s="167">
        <f>IF(ISNUMBER(BD223),ROUND(BD222-BD223,2),"n/p")</f>
        <v/>
      </c>
      <c r="BE224" s="167">
        <f>IF(ISNUMBER(BE223),ROUND(BE222-BE223,2),"n/p")</f>
        <v/>
      </c>
      <c r="BF224" s="167">
        <f>IF(ISNUMBER(BF223),ROUND(BF222-BF223,2),"n/p")</f>
        <v/>
      </c>
      <c r="BG224" s="167">
        <f>IF(ISNUMBER(BG223),ROUND(BG222-BG223,2),"n/p")</f>
        <v/>
      </c>
      <c r="BH224" s="167">
        <f>IF(ISNUMBER(BH223),ROUND(BH222-BH223,2),"n/p")</f>
        <v/>
      </c>
      <c r="BI224" s="167">
        <f>IF(ISNUMBER(BI223),ROUND(BI222-BI223,2),"n/p")</f>
        <v/>
      </c>
      <c r="BJ224" s="167">
        <f>IF(ISNUMBER(BJ223),ROUND(BJ222-BJ223,2),"n/p")</f>
        <v/>
      </c>
      <c r="BK224" s="167">
        <f>IF(ISNUMBER(BK223),ROUND(BK222-BK223,2),"n/p")</f>
        <v/>
      </c>
      <c r="BL224" s="167">
        <f>IF(ISNUMBER(BL223),ROUND(BL222-BL223,2),"n/p")</f>
        <v/>
      </c>
      <c r="BM224" s="167">
        <f>IF(ISNUMBER(BM223),ROUND(BM222-BM223,2),"n/p")</f>
        <v/>
      </c>
      <c r="BN224" s="167">
        <f>IF(ISNUMBER(BN223),ROUND(BN222-BN223,2),"n/p")</f>
        <v/>
      </c>
      <c r="BO224" s="167">
        <f>IF(ISNUMBER(BO223),ROUND(BO222-BO223,2),"n/p")</f>
        <v/>
      </c>
      <c r="BP224" s="167">
        <f>IF(ISNUMBER(BP223),ROUND(BP222-BP223,2),"n/p")</f>
        <v/>
      </c>
      <c r="BQ224" s="167">
        <f>IF(ISNUMBER(BQ223),ROUND(BQ222-BQ223,2),"n/p")</f>
        <v/>
      </c>
      <c r="BR224" s="167">
        <f>IF(ISNUMBER(BR223),ROUND(BR222-BR223,2),"n/p")</f>
        <v/>
      </c>
      <c r="BS224" s="167">
        <f>IF(ISNUMBER(BS223),ROUND(BS222-BS223,2),"n/p")</f>
        <v/>
      </c>
      <c r="BT224" s="167">
        <f>IF(ISNUMBER(BT223),ROUND(BT222-BT223,2),"n/p")</f>
        <v/>
      </c>
      <c r="BU224" s="167">
        <f>IF(ISNUMBER(BU223),ROUND(BU222-BU223,2),"n/p")</f>
        <v/>
      </c>
      <c r="BV224" s="167">
        <f>IF(ISNUMBER(BV223),ROUND(BV222-BV223,2),"n/p")</f>
        <v/>
      </c>
      <c r="BW224" s="167">
        <f>IF(ISNUMBER(BW223),ROUND(BW222-BW223,2),"n/p")</f>
        <v/>
      </c>
      <c r="BX224" s="167">
        <f>IF(ISNUMBER(BX223),ROUND(BX222-BX223,2),"n/p")</f>
        <v/>
      </c>
      <c r="BY224" s="167">
        <f>IF(ISNUMBER(BY223),ROUND(BY222-BY223,2),"n/p")</f>
        <v/>
      </c>
      <c r="BZ224" s="167">
        <f>IF(ISNUMBER(BZ223),ROUND(BZ222-BZ223,2),"n/p")</f>
        <v/>
      </c>
      <c r="CA224" s="167">
        <f>IF(ISNUMBER(CA223),ROUND(CA222-CA223,2),"n/p")</f>
        <v/>
      </c>
      <c r="CB224" s="167">
        <f>IF(ISNUMBER(CB223),ROUND(CB222-CB223,2),"n/p")</f>
        <v/>
      </c>
      <c r="CC224" s="167">
        <f>IF(ISNUMBER(CC223),ROUND(CC222-CC223,2),"n/p")</f>
        <v/>
      </c>
      <c r="CD224" s="167">
        <f>IF(ISNUMBER(CD223),ROUND(CD222-CD223,2),"n/p")</f>
        <v/>
      </c>
      <c r="CE224" s="167">
        <f>IF(ISNUMBER(CE223),ROUND(CE222-CE223,2),"n/p")</f>
        <v/>
      </c>
      <c r="CF224" s="167">
        <f>IF(ISNUMBER(CF223),ROUND(CF222-CF223,2),"n/p")</f>
        <v/>
      </c>
      <c r="CG224" s="167">
        <f>IF(ISNUMBER(CG223),ROUND(CG222-CG223,2),"n/p")</f>
        <v/>
      </c>
      <c r="CH224" s="167">
        <f>IF(ISNUMBER(CH223),ROUND(CH222-CH223,2),"n/p")</f>
        <v/>
      </c>
      <c r="CI224" s="167">
        <f>IF(ISNUMBER(CI223),ROUND(CI222-CI223,2),"n/p")</f>
        <v/>
      </c>
      <c r="CJ224" s="167">
        <f>IF(ISNUMBER(CJ223),ROUND(CJ222-CJ223,2),"n/p")</f>
        <v/>
      </c>
      <c r="CK224" s="167">
        <f>IF(ISNUMBER(CK223),ROUND(CK222-CK223,2),"n/p")</f>
        <v/>
      </c>
      <c r="CL224" s="167">
        <f>IF(ISNUMBER(CL223),ROUND(CL222-CL223,2),"n/p")</f>
        <v/>
      </c>
      <c r="CM224" s="31" t="n"/>
      <c r="CN224" s="31" t="n"/>
      <c r="CO224" s="31" t="n"/>
      <c r="CP224" s="31" t="n"/>
      <c r="CQ224" s="31" t="n"/>
      <c r="CR224" s="31" t="n"/>
      <c r="CS224" s="31" t="n"/>
      <c r="CT224" s="22" t="n"/>
      <c r="CV224" s="6" t="n"/>
      <c r="CW224" s="6" t="n"/>
      <c r="CX224" s="6" t="n"/>
      <c r="CY224" s="6" t="n"/>
    </row>
    <row r="225" ht="15" customHeight="1">
      <c r="B225" s="36" t="inlineStr">
        <is>
          <t xml:space="preserve">  Input: items included in Adjusted EBITDA, net of tax ($/share, incl. disc. ops, as published)</t>
        </is>
      </c>
      <c r="C225" s="166" t="n">
        <v>-0.22</v>
      </c>
      <c r="D225" s="166" t="n">
        <v>0.19</v>
      </c>
      <c r="E225" s="166" t="n">
        <v>1.72</v>
      </c>
      <c r="F225" s="29" t="n"/>
      <c r="G225" s="29" t="n"/>
      <c r="H225" s="166" t="n">
        <v>0.04</v>
      </c>
      <c r="I225" s="29" t="n"/>
      <c r="J225" s="29" t="n"/>
      <c r="K225" s="29" t="n"/>
      <c r="L225" s="29" t="n"/>
      <c r="M225" s="29" t="n"/>
      <c r="N225" s="29" t="n"/>
      <c r="O225" s="29" t="n"/>
      <c r="P225" s="166" t="n">
        <v>-0.6899999999999999</v>
      </c>
      <c r="Q225" s="166" t="n">
        <v>0.01</v>
      </c>
      <c r="R225" s="29" t="n"/>
      <c r="S225" s="166" t="n">
        <v>0.04</v>
      </c>
      <c r="T225" s="166" t="n">
        <v>0.03</v>
      </c>
      <c r="U225" s="166" t="n">
        <v>-0.63</v>
      </c>
      <c r="V225" s="166" t="n">
        <v>0.14</v>
      </c>
      <c r="W225" s="166" t="n">
        <v>0.3</v>
      </c>
      <c r="X225" s="29" t="n"/>
      <c r="Y225" s="166" t="n">
        <v>0.04</v>
      </c>
      <c r="Z225" s="166" t="n">
        <v>0.04</v>
      </c>
      <c r="AA225" s="166" t="n">
        <v>0.52</v>
      </c>
      <c r="AB225" s="166" t="n">
        <v>0.12</v>
      </c>
      <c r="AC225" s="166" t="n">
        <v>-0.01</v>
      </c>
      <c r="AD225" s="29" t="n"/>
      <c r="AE225" s="166" t="n">
        <v>0.02</v>
      </c>
      <c r="AF225" s="166" t="n">
        <v>-0.11</v>
      </c>
      <c r="AG225" s="166" t="n">
        <v>0.02</v>
      </c>
      <c r="AH225" s="29" t="n"/>
      <c r="AI225" s="166" t="n">
        <v>0.01</v>
      </c>
      <c r="AJ225" s="29" t="n"/>
      <c r="AK225" s="166" t="n">
        <v>0.23</v>
      </c>
      <c r="AL225" s="166" t="n">
        <v>0.51</v>
      </c>
      <c r="AM225" s="166" t="n">
        <v>0.78</v>
      </c>
      <c r="AN225" s="166" t="n">
        <v>0.05</v>
      </c>
      <c r="AO225" s="166" t="n">
        <v>0.04</v>
      </c>
      <c r="AP225" s="29" t="n"/>
      <c r="AQ225" s="166" t="n">
        <v>0.06</v>
      </c>
      <c r="AR225" s="166" t="n">
        <v>0.06</v>
      </c>
      <c r="AS225" s="166" t="n">
        <v>0.2</v>
      </c>
      <c r="AT225" s="166" t="n">
        <v>-0.02</v>
      </c>
      <c r="AU225" s="166" t="n">
        <v>0</v>
      </c>
      <c r="AV225" s="29" t="n"/>
      <c r="AW225" s="166" t="n">
        <v>0.06</v>
      </c>
      <c r="AX225" s="166" t="n">
        <v>0.02</v>
      </c>
      <c r="AY225" s="166" t="n">
        <v>0.07000000000000001</v>
      </c>
      <c r="AZ225" s="166" t="n">
        <v>0.02</v>
      </c>
      <c r="BA225" s="166" t="n">
        <v>0.02</v>
      </c>
      <c r="BB225" s="29" t="n"/>
      <c r="BC225" s="166" t="n">
        <v>0.06</v>
      </c>
      <c r="BD225" s="166" t="n">
        <v>0.21</v>
      </c>
      <c r="BE225" s="166" t="n">
        <v>0.29</v>
      </c>
      <c r="BF225" s="166" t="n">
        <v>-0.61</v>
      </c>
      <c r="BG225" s="166" t="n">
        <v>0.11</v>
      </c>
      <c r="BH225" s="29" t="n"/>
      <c r="BI225" s="166" t="n">
        <v>0.22</v>
      </c>
      <c r="BJ225" s="166" t="n">
        <v>0.22</v>
      </c>
      <c r="BK225" s="166" t="n">
        <v>-0.08</v>
      </c>
      <c r="BL225" s="166" t="n">
        <v>0.04</v>
      </c>
      <c r="BM225" s="166" t="n">
        <v>0.13</v>
      </c>
      <c r="BN225" s="29" t="n"/>
      <c r="BO225" s="166" t="n">
        <v>0.38</v>
      </c>
      <c r="BP225" s="166" t="n">
        <v>0.15</v>
      </c>
      <c r="BQ225" s="166" t="n">
        <v>0.6899999999999999</v>
      </c>
      <c r="BR225" s="166" t="n">
        <v>0.03</v>
      </c>
      <c r="BS225" s="166" t="n">
        <v>-0.04</v>
      </c>
      <c r="BT225" s="29" t="n"/>
      <c r="BU225" s="166" t="n">
        <v>0.18</v>
      </c>
      <c r="BV225" s="166" t="n">
        <v>-0.25</v>
      </c>
      <c r="BW225" s="166" t="n">
        <v>-0.08</v>
      </c>
      <c r="BX225" s="166" t="n">
        <v>0.02</v>
      </c>
      <c r="BY225" s="166" t="n">
        <v>0.03</v>
      </c>
      <c r="BZ225" s="29" t="n"/>
      <c r="CA225" s="166" t="n">
        <v>0.65</v>
      </c>
      <c r="CB225" s="166" t="n">
        <v>-0.01</v>
      </c>
      <c r="CC225" s="166" t="n">
        <v>0.68</v>
      </c>
      <c r="CD225" s="166" t="n">
        <v>0.02</v>
      </c>
      <c r="CE225" s="166" t="n">
        <v>0.02</v>
      </c>
      <c r="CF225" s="29" t="n"/>
      <c r="CG225" s="166" t="n">
        <v>0.01</v>
      </c>
      <c r="CH225" s="166" t="n">
        <v>-0.24</v>
      </c>
      <c r="CI225" s="166" t="n">
        <v>-0.18</v>
      </c>
      <c r="CJ225" s="166" t="n">
        <v>0.07000000000000001</v>
      </c>
      <c r="CK225" s="166" t="n">
        <v>0.1</v>
      </c>
      <c r="CL225" s="29" t="n"/>
      <c r="CM225" s="31" t="n"/>
      <c r="CN225" s="31" t="n"/>
      <c r="CO225" s="31" t="n"/>
      <c r="CP225" s="31" t="n"/>
      <c r="CQ225" s="31" t="n"/>
      <c r="CR225" s="31" t="n"/>
      <c r="CS225" s="31" t="n"/>
      <c r="CT225" s="22" t="n"/>
      <c r="CV225" s="6" t="n"/>
      <c r="CW225" s="6" t="n"/>
      <c r="CX225" s="6" t="n"/>
      <c r="CY225" s="6" t="n"/>
    </row>
    <row r="226" ht="15" customHeight="1">
      <c r="B226" s="36" t="inlineStr">
        <is>
          <t xml:space="preserve">  Input: discrete tax items ($/share, as published)</t>
        </is>
      </c>
      <c r="C226" s="29" t="n"/>
      <c r="D226" s="29" t="n"/>
      <c r="E226" s="166" t="n">
        <v>0.06</v>
      </c>
      <c r="F226" s="29" t="n"/>
      <c r="G226" s="29" t="n"/>
      <c r="H226" s="29" t="n"/>
      <c r="I226" s="29" t="n"/>
      <c r="J226" s="29" t="n"/>
      <c r="K226" s="29" t="n"/>
      <c r="L226" s="29" t="n"/>
      <c r="M226" s="29" t="n"/>
      <c r="N226" s="29" t="n"/>
      <c r="O226" s="29" t="n"/>
      <c r="P226" s="166" t="n">
        <v>0</v>
      </c>
      <c r="Q226" s="166" t="n">
        <v>0</v>
      </c>
      <c r="R226" s="29" t="n"/>
      <c r="S226" s="166" t="n">
        <v>0</v>
      </c>
      <c r="T226" s="166" t="n">
        <v>0</v>
      </c>
      <c r="U226" s="166" t="n">
        <v>0</v>
      </c>
      <c r="V226" s="166" t="n">
        <v>0</v>
      </c>
      <c r="W226" s="166" t="n">
        <v>0</v>
      </c>
      <c r="X226" s="29" t="n"/>
      <c r="Y226" s="166" t="n">
        <v>0</v>
      </c>
      <c r="Z226" s="166" t="n">
        <v>0.05</v>
      </c>
      <c r="AA226" s="29" t="n"/>
      <c r="AB226" s="166" t="n">
        <v>0</v>
      </c>
      <c r="AC226" s="166" t="n">
        <v>0</v>
      </c>
      <c r="AD226" s="29" t="n"/>
      <c r="AE226" s="166" t="n">
        <v>-0.05</v>
      </c>
      <c r="AF226" s="166" t="n">
        <v>-0.03</v>
      </c>
      <c r="AG226" s="166" t="n">
        <v>-0.25</v>
      </c>
      <c r="AH226" s="29" t="n"/>
      <c r="AI226" s="166" t="n">
        <v>0</v>
      </c>
      <c r="AJ226" s="29" t="n"/>
      <c r="AK226" s="166" t="n">
        <v>0</v>
      </c>
      <c r="AL226" s="166" t="n">
        <v>-2.2</v>
      </c>
      <c r="AM226" s="166" t="n">
        <v>-2.2</v>
      </c>
      <c r="AN226" s="166" t="n">
        <v>0</v>
      </c>
      <c r="AO226" s="166" t="n">
        <v>0</v>
      </c>
      <c r="AP226" s="29" t="n"/>
      <c r="AQ226" s="166" t="n">
        <v>0</v>
      </c>
      <c r="AR226" s="166" t="n">
        <v>0</v>
      </c>
      <c r="AS226" s="166" t="n">
        <v>0</v>
      </c>
      <c r="AT226" s="166" t="n">
        <v>0</v>
      </c>
      <c r="AU226" s="166" t="n">
        <v>0</v>
      </c>
      <c r="AV226" s="29" t="n"/>
      <c r="AW226" s="166" t="n">
        <v>0</v>
      </c>
      <c r="AX226" s="166" t="n">
        <v>0</v>
      </c>
      <c r="AY226" s="166" t="n">
        <v>0</v>
      </c>
      <c r="AZ226" s="166" t="n">
        <v>0</v>
      </c>
      <c r="BA226" s="166" t="n">
        <v>0</v>
      </c>
      <c r="BB226" s="29" t="n"/>
      <c r="BC226" s="166" t="n">
        <v>0</v>
      </c>
      <c r="BD226" s="166" t="n">
        <v>0</v>
      </c>
      <c r="BE226" s="166" t="n">
        <v>0</v>
      </c>
      <c r="BF226" s="166" t="n">
        <v>0.1</v>
      </c>
      <c r="BG226" s="166" t="n">
        <v>0</v>
      </c>
      <c r="BH226" s="29" t="n"/>
      <c r="BI226" s="166" t="n">
        <v>0</v>
      </c>
      <c r="BJ226" s="166" t="n">
        <v>0</v>
      </c>
      <c r="BK226" s="166" t="n">
        <v>0.1</v>
      </c>
      <c r="BL226" s="166" t="n">
        <v>0</v>
      </c>
      <c r="BM226" s="166" t="n">
        <v>0</v>
      </c>
      <c r="BN226" s="29" t="n"/>
      <c r="BO226" s="166" t="n">
        <v>0.07000000000000001</v>
      </c>
      <c r="BP226" s="166" t="n">
        <v>0.04</v>
      </c>
      <c r="BQ226" s="166" t="n">
        <v>0.11</v>
      </c>
      <c r="BR226" s="166" t="n">
        <v>0.02</v>
      </c>
      <c r="BS226" s="166" t="n">
        <v>0.02</v>
      </c>
      <c r="BT226" s="29" t="n"/>
      <c r="BU226" s="166" t="n">
        <v>0.04</v>
      </c>
      <c r="BV226" s="166" t="n">
        <v>0.01</v>
      </c>
      <c r="BW226" s="166" t="n">
        <v>0.1</v>
      </c>
      <c r="BX226" s="166" t="n">
        <v>0.01</v>
      </c>
      <c r="BY226" s="166" t="n">
        <v>0.01</v>
      </c>
      <c r="BZ226" s="29" t="n"/>
      <c r="CA226" s="166" t="n">
        <v>0.01</v>
      </c>
      <c r="CB226" s="166" t="n">
        <v>-0.03</v>
      </c>
      <c r="CC226" s="166" t="n">
        <v>0</v>
      </c>
      <c r="CD226" s="166" t="n">
        <v>0.01</v>
      </c>
      <c r="CE226" s="166" t="n">
        <v>0.01</v>
      </c>
      <c r="CF226" s="29" t="n"/>
      <c r="CG226" s="166" t="n">
        <v>0.01</v>
      </c>
      <c r="CH226" s="166" t="n">
        <v>0.03</v>
      </c>
      <c r="CI226" s="166" t="n">
        <v>0.07000000000000001</v>
      </c>
      <c r="CJ226" s="166" t="n">
        <v>0.02</v>
      </c>
      <c r="CK226" s="166" t="n">
        <v>0.01</v>
      </c>
      <c r="CL226" s="29" t="n"/>
      <c r="CM226" s="31" t="n"/>
      <c r="CN226" s="31" t="n"/>
      <c r="CO226" s="31" t="n"/>
      <c r="CP226" s="31" t="n"/>
      <c r="CQ226" s="31" t="n"/>
      <c r="CR226" s="31" t="n"/>
      <c r="CS226" s="31" t="n"/>
      <c r="CT226" s="22" t="n"/>
      <c r="CV226" s="6" t="n"/>
      <c r="CW226" s="6" t="n"/>
      <c r="CX226" s="6" t="n"/>
      <c r="CY226" s="6" t="n"/>
    </row>
    <row r="227" ht="15" customHeight="1">
      <c r="B227" s="61" t="inlineStr">
        <is>
          <t xml:space="preserve">  Definition basis (company Adjusted EPS definition in force)</t>
        </is>
      </c>
      <c r="C227" s="192" t="inlineStr">
        <is>
          <t>2006–08: "EPS from continuing operations, as adjusted" (gains on contractual rights / ECU earn-out, real-estate gains, Florida Rock)</t>
        </is>
      </c>
      <c r="F227" s="192" t="inlineStr">
        <is>
          <t>2009–2013: no adjusted EPS published</t>
        </is>
      </c>
      <c r="P227" s="192" t="inlineStr">
        <is>
          <t>2014+: Adjusted diluted EPS from continuing operations (items in Adjusted EBITDA net of tax + discrete tax items)</t>
        </is>
      </c>
      <c r="AF227" s="62" t="n"/>
      <c r="AG227" s="62" t="n"/>
      <c r="AM227" s="192" t="inlineStr">
        <is>
          <t>2017: tax reform remeasurement and debt-purchase interest excluded</t>
        </is>
      </c>
      <c r="AS227" s="62" t="n"/>
      <c r="AZ227" s="62" t="n"/>
      <c r="BE227" s="62" t="n"/>
      <c r="BF227" s="62" t="n"/>
      <c r="BK227" s="62" t="n"/>
      <c r="BL227" s="192" t="inlineStr">
        <is>
          <t>2022+: NOL carryforward valuation allowance (Mexico) as discrete tax item</t>
        </is>
      </c>
      <c r="BP227" s="62" t="n"/>
      <c r="BU227" s="62" t="n"/>
      <c r="CB227" s="62" t="n"/>
      <c r="CD227" s="62" t="n"/>
      <c r="CM227" s="6" t="n"/>
      <c r="CN227" s="6" t="n"/>
      <c r="CO227" s="6" t="n"/>
      <c r="CP227" s="6" t="n"/>
      <c r="CQ227" s="6" t="n"/>
      <c r="CR227" s="6" t="n"/>
      <c r="CS227" s="6" t="n"/>
      <c r="CT227" s="22" t="inlineStr">
        <is>
          <t>Definition changes are flagged in the column where they take effect (cell comment gives the detail).</t>
        </is>
      </c>
      <c r="CV227" s="6" t="n"/>
      <c r="CW227" s="6" t="n"/>
      <c r="CX227" s="6" t="n"/>
      <c r="CY227" s="6" t="n"/>
    </row>
    <row r="228" ht="15" customHeight="1">
      <c r="B228" s="36" t="inlineStr">
        <is>
          <t>Memo — current definition applied to all periods (model):</t>
        </is>
      </c>
      <c r="C228" s="29" t="n"/>
      <c r="D228" s="29" t="n"/>
      <c r="E228" s="29"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c r="Y228" s="29" t="n"/>
      <c r="Z228" s="29" t="n"/>
      <c r="AA228" s="29" t="n"/>
      <c r="AB228" s="29" t="n"/>
      <c r="AC228" s="29" t="n"/>
      <c r="AD228" s="29" t="n"/>
      <c r="AE228" s="29" t="n"/>
      <c r="AF228" s="29" t="n"/>
      <c r="AG228" s="29" t="n"/>
      <c r="AH228" s="29" t="n"/>
      <c r="AI228" s="29" t="n"/>
      <c r="AJ228" s="29" t="n"/>
      <c r="AK228" s="29" t="n"/>
      <c r="AL228" s="29" t="n"/>
      <c r="AM228" s="29" t="n"/>
      <c r="AN228" s="29" t="n"/>
      <c r="AO228" s="29" t="n"/>
      <c r="AP228" s="29" t="n"/>
      <c r="AQ228" s="29" t="n"/>
      <c r="AR228" s="29" t="n"/>
      <c r="AS228" s="29" t="n"/>
      <c r="AT228" s="29" t="n"/>
      <c r="AU228" s="29" t="n"/>
      <c r="AV228" s="29" t="n"/>
      <c r="AW228" s="29" t="n"/>
      <c r="AX228" s="29" t="n"/>
      <c r="AY228" s="29" t="n"/>
      <c r="AZ228" s="29" t="n"/>
      <c r="BA228" s="29" t="n"/>
      <c r="BB228" s="29" t="n"/>
      <c r="BC228" s="29" t="n"/>
      <c r="BD228" s="29" t="n"/>
      <c r="BE228" s="29" t="n"/>
      <c r="BF228" s="29" t="n"/>
      <c r="BG228" s="29" t="n"/>
      <c r="BH228" s="29" t="n"/>
      <c r="BI228" s="29" t="n"/>
      <c r="BJ228" s="29" t="n"/>
      <c r="BK228" s="29" t="n"/>
      <c r="BL228" s="29" t="n"/>
      <c r="BM228" s="29" t="n"/>
      <c r="BN228" s="29" t="n"/>
      <c r="BO228" s="29" t="n"/>
      <c r="BP228" s="29" t="n"/>
      <c r="BQ228" s="29" t="n"/>
      <c r="BR228" s="29" t="n"/>
      <c r="BS228" s="29" t="n"/>
      <c r="BT228" s="29" t="n"/>
      <c r="BU228" s="29" t="n"/>
      <c r="BV228" s="29" t="n"/>
      <c r="BW228" s="29" t="n"/>
      <c r="BX228" s="29" t="n"/>
      <c r="BY228" s="29" t="n"/>
      <c r="BZ228" s="29" t="n"/>
      <c r="CA228" s="29" t="n"/>
      <c r="CB228" s="29" t="n"/>
      <c r="CC228" s="29" t="n"/>
      <c r="CD228" s="29" t="n"/>
      <c r="CE228" s="29" t="n"/>
      <c r="CF228" s="29" t="n"/>
      <c r="CG228" s="29" t="n"/>
      <c r="CH228" s="29" t="n"/>
      <c r="CI228" s="29" t="n"/>
      <c r="CJ228" s="29" t="n"/>
      <c r="CK228" s="29" t="n"/>
      <c r="CL228" s="29" t="n"/>
      <c r="CM228" s="31" t="n"/>
      <c r="CN228" s="31" t="n"/>
      <c r="CO228" s="31" t="n"/>
      <c r="CP228" s="31" t="n"/>
      <c r="CQ228" s="31" t="n"/>
      <c r="CR228" s="31" t="n"/>
      <c r="CS228" s="31" t="n"/>
      <c r="CT228" s="22" t="n"/>
      <c r="CV228" s="6" t="n"/>
      <c r="CW228" s="6" t="n"/>
      <c r="CX228" s="6" t="n"/>
      <c r="CY228" s="6" t="n"/>
    </row>
    <row r="229" ht="15" customHeight="1">
      <c r="B229" s="18" t="inlineStr">
        <is>
          <t xml:space="preserve">  Adjusted net earnings — current definition</t>
        </is>
      </c>
      <c r="C229" s="173">
        <f>IF(ISNUMBER(C219),C219,IF(ISNUMBER(C155),C155-N(C152)+N(C205)*(1-MAX(0.15,MIN(0.4,N(C150)))),""))</f>
        <v/>
      </c>
      <c r="D229" s="173">
        <f>IF(ISNUMBER(D219),D219,IF(ISNUMBER(D155),D155-N(D152)+N(D205)*(1-MAX(0.15,MIN(0.4,N(D150)))),""))</f>
        <v/>
      </c>
      <c r="E229" s="173">
        <f>IF(ISNUMBER(E219),E219,IF(ISNUMBER(E155),E155-N(E152)+N(E205)*(1-MAX(0.15,MIN(0.4,N(E150)))),""))</f>
        <v/>
      </c>
      <c r="F229" s="173">
        <f>IF(ISNUMBER(F219),F219,IF(ISNUMBER(F155),F155-N(F152)+N(F205)*(1-MAX(0.15,MIN(0.4,N(F150)))),""))</f>
        <v/>
      </c>
      <c r="G229" s="173">
        <f>IF(ISNUMBER(G219),G219,IF(ISNUMBER(G155),G155-N(G152)+N(G205)*(1-MAX(0.15,MIN(0.4,N(G150)))),""))</f>
        <v/>
      </c>
      <c r="H229" s="173">
        <f>IF(ISNUMBER(H219),H219,IF(ISNUMBER(H155),H155-N(H152)+N(H205)*(1-MAX(0.15,MIN(0.4,N(H150)))),""))</f>
        <v/>
      </c>
      <c r="I229" s="173">
        <f>IF(ISNUMBER(I219),I219,IF(ISNUMBER(I155),I155-N(I152)+N(I205)*(1-MAX(0.15,MIN(0.4,N(I150)))),""))</f>
        <v/>
      </c>
      <c r="J229" s="173">
        <f>IF(ISNUMBER(J219),J219,IF(ISNUMBER(J155),J155-N(J152)+N(J205)*(1-MAX(0.15,MIN(0.4,N(J150)))),""))</f>
        <v/>
      </c>
      <c r="K229" s="173">
        <f>IF(ISNUMBER(K219),K219,IF(ISNUMBER(K155),K155-N(K152)+N(K205)*(1-MAX(0.15,MIN(0.4,N(K150)))),""))</f>
        <v/>
      </c>
      <c r="L229" s="173">
        <f>IF(ISNUMBER(L219),L219,IF(ISNUMBER(L155),L155-N(L152)+N(L205)*(1-MAX(0.15,MIN(0.4,N(L150)))),""))</f>
        <v/>
      </c>
      <c r="M229" s="173">
        <f>IF(ISNUMBER(M219),M219,IF(ISNUMBER(M155),M155-N(M152)+N(M205)*(1-MAX(0.15,MIN(0.4,N(M150)))),""))</f>
        <v/>
      </c>
      <c r="N229" s="173">
        <f>IF(ISNUMBER(N219),N219,IF(ISNUMBER(N155),N155-N(N152)+N(N205)*(1-MAX(0.15,MIN(0.4,N(N150)))),""))</f>
        <v/>
      </c>
      <c r="O229" s="173">
        <f>IF(ISNUMBER(O219),O219,IF(ISNUMBER(O155),O155-N(O152)+N(O205)*(1-MAX(0.15,MIN(0.4,N(O150)))),""))</f>
        <v/>
      </c>
      <c r="P229" s="173">
        <f>IF(ISNUMBER(P219),P219,IF(ISNUMBER(P155),P155-N(P152)+N(P205)*(1-MAX(0.15,MIN(0.4,N(P150)))),""))</f>
        <v/>
      </c>
      <c r="Q229" s="173">
        <f>IF(ISNUMBER(Q219),Q219,IF(ISNUMBER(Q155),Q155-N(Q152)+N(Q205)*(1-MAX(0.15,MIN(0.4,N(Q150)))),""))</f>
        <v/>
      </c>
      <c r="R229" s="173">
        <f>IF(ISNUMBER(R219),R219,IF(ISNUMBER(R155),R155-N(R152)+N(R205)*(1-MAX(0.15,MIN(0.4,N(R150)))),""))</f>
        <v/>
      </c>
      <c r="S229" s="173">
        <f>IF(ISNUMBER(S219),S219,IF(ISNUMBER(S155),S155-N(S152)+N(S205)*(1-MAX(0.15,MIN(0.4,N(S150)))),""))</f>
        <v/>
      </c>
      <c r="T229" s="173">
        <f>IF(ISNUMBER(T219),T219,IF(ISNUMBER(T155),T155-N(T152)+N(T205)*(1-MAX(0.15,MIN(0.4,N(T150)))),""))</f>
        <v/>
      </c>
      <c r="U229" s="173">
        <f>IF(ISNUMBER(U219),U219,IF(ISNUMBER(U155),U155-N(U152)+N(U205)*(1-MAX(0.15,MIN(0.4,N(U150)))),""))</f>
        <v/>
      </c>
      <c r="V229" s="173">
        <f>IF(ISNUMBER(V219),V219,IF(ISNUMBER(V155),V155-N(V152)+N(V205)*(1-MAX(0.15,MIN(0.4,N(V150)))),""))</f>
        <v/>
      </c>
      <c r="W229" s="173">
        <f>IF(ISNUMBER(W219),W219,IF(ISNUMBER(W155),W155-N(W152)+N(W205)*(1-MAX(0.15,MIN(0.4,N(W150)))),""))</f>
        <v/>
      </c>
      <c r="X229" s="173">
        <f>IF(ISNUMBER(X219),X219,IF(ISNUMBER(X155),X155-N(X152)+N(X205)*(1-MAX(0.15,MIN(0.4,N(X150)))),""))</f>
        <v/>
      </c>
      <c r="Y229" s="173">
        <f>IF(ISNUMBER(Y219),Y219,IF(ISNUMBER(Y155),Y155-N(Y152)+N(Y205)*(1-MAX(0.15,MIN(0.4,N(Y150)))),""))</f>
        <v/>
      </c>
      <c r="Z229" s="173">
        <f>IF(ISNUMBER(Z219),Z219,IF(ISNUMBER(Z155),Z155-N(Z152)+N(Z205)*(1-MAX(0.15,MIN(0.4,N(Z150)))),""))</f>
        <v/>
      </c>
      <c r="AA229" s="173">
        <f>IF(ISNUMBER(AA219),AA219,IF(ISNUMBER(AA155),AA155-N(AA152)+N(AA205)*(1-MAX(0.15,MIN(0.4,N(AA150)))),""))</f>
        <v/>
      </c>
      <c r="AB229" s="173">
        <f>IF(ISNUMBER(AB219),AB219,IF(ISNUMBER(AB155),AB155-N(AB152)+N(AB205)*(1-MAX(0.15,MIN(0.4,N(AB150)))),""))</f>
        <v/>
      </c>
      <c r="AC229" s="173">
        <f>IF(ISNUMBER(AC219),AC219,IF(ISNUMBER(AC155),AC155-N(AC152)+N(AC205)*(1-MAX(0.15,MIN(0.4,N(AC150)))),""))</f>
        <v/>
      </c>
      <c r="AD229" s="173">
        <f>IF(ISNUMBER(AD219),AD219,IF(ISNUMBER(AD155),AD155-N(AD152)+N(AD205)*(1-MAX(0.15,MIN(0.4,N(AD150)))),""))</f>
        <v/>
      </c>
      <c r="AE229" s="173">
        <f>IF(ISNUMBER(AE219),AE219,IF(ISNUMBER(AE155),AE155-N(AE152)+N(AE205)*(1-MAX(0.15,MIN(0.4,N(AE150)))),""))</f>
        <v/>
      </c>
      <c r="AF229" s="173">
        <f>IF(ISNUMBER(AF219),AF219,IF(ISNUMBER(AF155),AF155-N(AF152)+N(AF205)*(1-MAX(0.15,MIN(0.4,N(AF150)))),""))</f>
        <v/>
      </c>
      <c r="AG229" s="173">
        <f>IF(ISNUMBER(AG219),AG219,IF(ISNUMBER(AG155),AG155-N(AG152)+N(AG205)*(1-MAX(0.15,MIN(0.4,N(AG150)))),""))</f>
        <v/>
      </c>
      <c r="AH229" s="173">
        <f>IF(ISNUMBER(AH219),AH219,IF(ISNUMBER(AH155),AH155-N(AH152)+N(AH205)*(1-MAX(0.15,MIN(0.4,N(AH150)))),""))</f>
        <v/>
      </c>
      <c r="AI229" s="173">
        <f>IF(ISNUMBER(AI219),AI219,IF(ISNUMBER(AI155),AI155-N(AI152)+N(AI205)*(1-MAX(0.15,MIN(0.4,N(AI150)))),""))</f>
        <v/>
      </c>
      <c r="AJ229" s="173">
        <f>IF(ISNUMBER(AJ219),AJ219,IF(ISNUMBER(AJ155),AJ155-N(AJ152)+N(AJ205)*(1-MAX(0.15,MIN(0.4,N(AJ150)))),""))</f>
        <v/>
      </c>
      <c r="AK229" s="173">
        <f>IF(ISNUMBER(AK219),AK219,IF(ISNUMBER(AK155),AK155-N(AK152)+N(AK205)*(1-MAX(0.15,MIN(0.4,N(AK150)))),""))</f>
        <v/>
      </c>
      <c r="AL229" s="173">
        <f>IF(ISNUMBER(AL219),AL219,IF(ISNUMBER(AL155),AL155-N(AL152)+N(AL205)*(1-MAX(0.15,MIN(0.4,N(AL150)))),""))</f>
        <v/>
      </c>
      <c r="AM229" s="173">
        <f>IF(ISNUMBER(AM219),AM219,IF(ISNUMBER(AM155),AM155-N(AM152)+N(AM205)*(1-MAX(0.15,MIN(0.4,N(AM150)))),""))</f>
        <v/>
      </c>
      <c r="AN229" s="173">
        <f>IF(ISNUMBER(AN219),AN219,IF(ISNUMBER(AN155),AN155-N(AN152)+N(AN205)*(1-MAX(0.15,MIN(0.4,N(AN150)))),""))</f>
        <v/>
      </c>
      <c r="AO229" s="173">
        <f>IF(ISNUMBER(AO219),AO219,IF(ISNUMBER(AO155),AO155-N(AO152)+N(AO205)*(1-MAX(0.15,MIN(0.4,N(AO150)))),""))</f>
        <v/>
      </c>
      <c r="AP229" s="173">
        <f>IF(ISNUMBER(AP219),AP219,IF(ISNUMBER(AP155),AP155-N(AP152)+N(AP205)*(1-MAX(0.15,MIN(0.4,N(AP150)))),""))</f>
        <v/>
      </c>
      <c r="AQ229" s="173">
        <f>IF(ISNUMBER(AQ219),AQ219,IF(ISNUMBER(AQ155),AQ155-N(AQ152)+N(AQ205)*(1-MAX(0.15,MIN(0.4,N(AQ150)))),""))</f>
        <v/>
      </c>
      <c r="AR229" s="173">
        <f>IF(ISNUMBER(AR219),AR219,IF(ISNUMBER(AR155),AR155-N(AR152)+N(AR205)*(1-MAX(0.15,MIN(0.4,N(AR150)))),""))</f>
        <v/>
      </c>
      <c r="AS229" s="173">
        <f>IF(ISNUMBER(AS219),AS219,IF(ISNUMBER(AS155),AS155-N(AS152)+N(AS205)*(1-MAX(0.15,MIN(0.4,N(AS150)))),""))</f>
        <v/>
      </c>
      <c r="AT229" s="173">
        <f>IF(ISNUMBER(AT219),AT219,IF(ISNUMBER(AT155),AT155-N(AT152)+N(AT205)*(1-MAX(0.15,MIN(0.4,N(AT150)))),""))</f>
        <v/>
      </c>
      <c r="AU229" s="173">
        <f>IF(ISNUMBER(AU219),AU219,IF(ISNUMBER(AU155),AU155-N(AU152)+N(AU205)*(1-MAX(0.15,MIN(0.4,N(AU150)))),""))</f>
        <v/>
      </c>
      <c r="AV229" s="173">
        <f>IF(ISNUMBER(AV219),AV219,IF(ISNUMBER(AV155),AV155-N(AV152)+N(AV205)*(1-MAX(0.15,MIN(0.4,N(AV150)))),""))</f>
        <v/>
      </c>
      <c r="AW229" s="173">
        <f>IF(ISNUMBER(AW219),AW219,IF(ISNUMBER(AW155),AW155-N(AW152)+N(AW205)*(1-MAX(0.15,MIN(0.4,N(AW150)))),""))</f>
        <v/>
      </c>
      <c r="AX229" s="173">
        <f>IF(ISNUMBER(AX219),AX219,IF(ISNUMBER(AX155),AX155-N(AX152)+N(AX205)*(1-MAX(0.15,MIN(0.4,N(AX150)))),""))</f>
        <v/>
      </c>
      <c r="AY229" s="173">
        <f>IF(ISNUMBER(AY219),AY219,IF(ISNUMBER(AY155),AY155-N(AY152)+N(AY205)*(1-MAX(0.15,MIN(0.4,N(AY150)))),""))</f>
        <v/>
      </c>
      <c r="AZ229" s="173">
        <f>IF(ISNUMBER(AZ219),AZ219,IF(ISNUMBER(AZ155),AZ155-N(AZ152)+N(AZ205)*(1-MAX(0.15,MIN(0.4,N(AZ150)))),""))</f>
        <v/>
      </c>
      <c r="BA229" s="173">
        <f>IF(ISNUMBER(BA219),BA219,IF(ISNUMBER(BA155),BA155-N(BA152)+N(BA205)*(1-MAX(0.15,MIN(0.4,N(BA150)))),""))</f>
        <v/>
      </c>
      <c r="BB229" s="173">
        <f>IF(ISNUMBER(BB219),BB219,IF(ISNUMBER(BB155),BB155-N(BB152)+N(BB205)*(1-MAX(0.15,MIN(0.4,N(BB150)))),""))</f>
        <v/>
      </c>
      <c r="BC229" s="173">
        <f>IF(ISNUMBER(BC219),BC219,IF(ISNUMBER(BC155),BC155-N(BC152)+N(BC205)*(1-MAX(0.15,MIN(0.4,N(BC150)))),""))</f>
        <v/>
      </c>
      <c r="BD229" s="173">
        <f>IF(ISNUMBER(BD219),BD219,IF(ISNUMBER(BD155),BD155-N(BD152)+N(BD205)*(1-MAX(0.15,MIN(0.4,N(BD150)))),""))</f>
        <v/>
      </c>
      <c r="BE229" s="173">
        <f>IF(ISNUMBER(BE219),BE219,IF(ISNUMBER(BE155),BE155-N(BE152)+N(BE205)*(1-MAX(0.15,MIN(0.4,N(BE150)))),""))</f>
        <v/>
      </c>
      <c r="BF229" s="173">
        <f>IF(ISNUMBER(BF219),BF219,IF(ISNUMBER(BF155),BF155-N(BF152)+N(BF205)*(1-MAX(0.15,MIN(0.4,N(BF150)))),""))</f>
        <v/>
      </c>
      <c r="BG229" s="173">
        <f>IF(ISNUMBER(BG219),BG219,IF(ISNUMBER(BG155),BG155-N(BG152)+N(BG205)*(1-MAX(0.15,MIN(0.4,N(BG150)))),""))</f>
        <v/>
      </c>
      <c r="BH229" s="173">
        <f>IF(ISNUMBER(BH219),BH219,IF(ISNUMBER(BH155),BH155-N(BH152)+N(BH205)*(1-MAX(0.15,MIN(0.4,N(BH150)))),""))</f>
        <v/>
      </c>
      <c r="BI229" s="173">
        <f>IF(ISNUMBER(BI219),BI219,IF(ISNUMBER(BI155),BI155-N(BI152)+N(BI205)*(1-MAX(0.15,MIN(0.4,N(BI150)))),""))</f>
        <v/>
      </c>
      <c r="BJ229" s="173">
        <f>IF(ISNUMBER(BJ219),BJ219,IF(ISNUMBER(BJ155),BJ155-N(BJ152)+N(BJ205)*(1-MAX(0.15,MIN(0.4,N(BJ150)))),""))</f>
        <v/>
      </c>
      <c r="BK229" s="173">
        <f>IF(ISNUMBER(BK219),BK219,IF(ISNUMBER(BK155),BK155-N(BK152)+N(BK205)*(1-MAX(0.15,MIN(0.4,N(BK150)))),""))</f>
        <v/>
      </c>
      <c r="BL229" s="173">
        <f>IF(ISNUMBER(BL219),BL219,IF(ISNUMBER(BL155),BL155-N(BL152)+N(BL205)*(1-MAX(0.15,MIN(0.4,N(BL150)))),""))</f>
        <v/>
      </c>
      <c r="BM229" s="173">
        <f>IF(ISNUMBER(BM219),BM219,IF(ISNUMBER(BM155),BM155-N(BM152)+N(BM205)*(1-MAX(0.15,MIN(0.4,N(BM150)))),""))</f>
        <v/>
      </c>
      <c r="BN229" s="173">
        <f>IF(ISNUMBER(BN219),BN219,IF(ISNUMBER(BN155),BN155-N(BN152)+N(BN205)*(1-MAX(0.15,MIN(0.4,N(BN150)))),""))</f>
        <v/>
      </c>
      <c r="BO229" s="173">
        <f>IF(ISNUMBER(BO219),BO219,IF(ISNUMBER(BO155),BO155-N(BO152)+N(BO205)*(1-MAX(0.15,MIN(0.4,N(BO150)))),""))</f>
        <v/>
      </c>
      <c r="BP229" s="173">
        <f>IF(ISNUMBER(BP219),BP219,IF(ISNUMBER(BP155),BP155-N(BP152)+N(BP205)*(1-MAX(0.15,MIN(0.4,N(BP150)))),""))</f>
        <v/>
      </c>
      <c r="BQ229" s="173">
        <f>IF(ISNUMBER(BQ219),BQ219,IF(ISNUMBER(BQ155),BQ155-N(BQ152)+N(BQ205)*(1-MAX(0.15,MIN(0.4,N(BQ150)))),""))</f>
        <v/>
      </c>
      <c r="BR229" s="173">
        <f>IF(ISNUMBER(BR219),BR219,IF(ISNUMBER(BR155),BR155-N(BR152)+N(BR205)*(1-MAX(0.15,MIN(0.4,N(BR150)))),""))</f>
        <v/>
      </c>
      <c r="BS229" s="173">
        <f>IF(ISNUMBER(BS219),BS219,IF(ISNUMBER(BS155),BS155-N(BS152)+N(BS205)*(1-MAX(0.15,MIN(0.4,N(BS150)))),""))</f>
        <v/>
      </c>
      <c r="BT229" s="173">
        <f>IF(ISNUMBER(BT219),BT219,IF(ISNUMBER(BT155),BT155-N(BT152)+N(BT205)*(1-MAX(0.15,MIN(0.4,N(BT150)))),""))</f>
        <v/>
      </c>
      <c r="BU229" s="173">
        <f>IF(ISNUMBER(BU219),BU219,IF(ISNUMBER(BU155),BU155-N(BU152)+N(BU205)*(1-MAX(0.15,MIN(0.4,N(BU150)))),""))</f>
        <v/>
      </c>
      <c r="BV229" s="173">
        <f>IF(ISNUMBER(BV219),BV219,IF(ISNUMBER(BV155),BV155-N(BV152)+N(BV205)*(1-MAX(0.15,MIN(0.4,N(BV150)))),""))</f>
        <v/>
      </c>
      <c r="BW229" s="173">
        <f>IF(ISNUMBER(BW219),BW219,IF(ISNUMBER(BW155),BW155-N(BW152)+N(BW205)*(1-MAX(0.15,MIN(0.4,N(BW150)))),""))</f>
        <v/>
      </c>
      <c r="BX229" s="173">
        <f>IF(ISNUMBER(BX219),BX219,IF(ISNUMBER(BX155),BX155-N(BX152)+N(BX205)*(1-MAX(0.15,MIN(0.4,N(BX150)))),""))</f>
        <v/>
      </c>
      <c r="BY229" s="173">
        <f>IF(ISNUMBER(BY219),BY219,IF(ISNUMBER(BY155),BY155-N(BY152)+N(BY205)*(1-MAX(0.15,MIN(0.4,N(BY150)))),""))</f>
        <v/>
      </c>
      <c r="BZ229" s="173">
        <f>IF(ISNUMBER(BZ219),BZ219,IF(ISNUMBER(BZ155),BZ155-N(BZ152)+N(BZ205)*(1-MAX(0.15,MIN(0.4,N(BZ150)))),""))</f>
        <v/>
      </c>
      <c r="CA229" s="173">
        <f>IF(ISNUMBER(CA219),CA219,IF(ISNUMBER(CA155),CA155-N(CA152)+N(CA205)*(1-MAX(0.15,MIN(0.4,N(CA150)))),""))</f>
        <v/>
      </c>
      <c r="CB229" s="173">
        <f>IF(ISNUMBER(CB219),CB219,IF(ISNUMBER(CB155),CB155-N(CB152)+N(CB205)*(1-MAX(0.15,MIN(0.4,N(CB150)))),""))</f>
        <v/>
      </c>
      <c r="CC229" s="173">
        <f>IF(ISNUMBER(CC219),CC219,IF(ISNUMBER(CC155),CC155-N(CC152)+N(CC205)*(1-MAX(0.15,MIN(0.4,N(CC150)))),""))</f>
        <v/>
      </c>
      <c r="CD229" s="173">
        <f>IF(ISNUMBER(CD219),CD219,IF(ISNUMBER(CD155),CD155-N(CD152)+N(CD205)*(1-MAX(0.15,MIN(0.4,N(CD150)))),""))</f>
        <v/>
      </c>
      <c r="CE229" s="173">
        <f>IF(ISNUMBER(CE219),CE219,IF(ISNUMBER(CE155),CE155-N(CE152)+N(CE205)*(1-MAX(0.15,MIN(0.4,N(CE150)))),""))</f>
        <v/>
      </c>
      <c r="CF229" s="173">
        <f>IF(ISNUMBER(CF219),CF219,IF(ISNUMBER(CF155),CF155-N(CF152)+N(CF205)*(1-MAX(0.15,MIN(0.4,N(CF150)))),""))</f>
        <v/>
      </c>
      <c r="CG229" s="173">
        <f>IF(ISNUMBER(CG219),CG219,IF(ISNUMBER(CG155),CG155-N(CG152)+N(CG205)*(1-MAX(0.15,MIN(0.4,N(CG150)))),""))</f>
        <v/>
      </c>
      <c r="CH229" s="173">
        <f>IF(ISNUMBER(CH219),CH219,IF(ISNUMBER(CH155),CH155-N(CH152)+N(CH205)*(1-MAX(0.15,MIN(0.4,N(CH150)))),""))</f>
        <v/>
      </c>
      <c r="CI229" s="173">
        <f>IF(ISNUMBER(CI219),CI219,IF(ISNUMBER(CI155),CI155-N(CI152)+N(CI205)*(1-MAX(0.15,MIN(0.4,N(CI150)))),""))</f>
        <v/>
      </c>
      <c r="CJ229" s="173">
        <f>IF(ISNUMBER(CJ219),CJ219,IF(ISNUMBER(CJ155),CJ155-N(CJ152)+N(CJ205)*(1-MAX(0.15,MIN(0.4,N(CJ150)))),""))</f>
        <v/>
      </c>
      <c r="CK229" s="173">
        <f>IF(ISNUMBER(CK219),CK219,IF(ISNUMBER(CK155),CK155-N(CK152)+N(CK205)*(1-MAX(0.15,MIN(0.4,N(CK150)))),""))</f>
        <v/>
      </c>
      <c r="CL229" s="173">
        <f>IF(ISNUMBER(CL219),CL219,IF(ISNUMBER(CL155),CL155-N(CL152)+N(CL205)*(1-MAX(0.15,MIN(0.4,N(CL150)))),""))</f>
        <v/>
      </c>
      <c r="CM229" s="174">
        <f>CM219</f>
        <v/>
      </c>
      <c r="CN229" s="174">
        <f>CN219</f>
        <v/>
      </c>
      <c r="CO229" s="174">
        <f>SUM(CJ229,CK229,CM229,CN229)</f>
        <v/>
      </c>
      <c r="CP229" s="174">
        <f>CP219</f>
        <v/>
      </c>
      <c r="CQ229" s="174">
        <f>CQ219</f>
        <v/>
      </c>
      <c r="CR229" s="174">
        <f>CR219</f>
        <v/>
      </c>
      <c r="CS229" s="174">
        <f>CS219</f>
        <v/>
      </c>
      <c r="CT229" s="22" t="inlineStr">
        <is>
          <t>Periods without a published Adjusted EPS: net earnings from continuing operations + company adjusting items × (1 − period ETR, bounded 15–40%).</t>
        </is>
      </c>
      <c r="CV229" s="164">
        <f>IFERROR((CS229/CI229)^(1/5)-1,"n/m")</f>
        <v/>
      </c>
      <c r="CW229" s="164">
        <f>IFERROR((CI229/BE229)^(1/5)-1,"n/m")</f>
        <v/>
      </c>
      <c r="CX229" s="164">
        <f>IFERROR((CI229/AA229)^(1/10)-1,"n/m")</f>
        <v/>
      </c>
      <c r="CY229" s="164">
        <f>IFERROR((CI229/C229)^(1/19)-1,"n/m")</f>
        <v/>
      </c>
    </row>
    <row r="230" ht="15" customHeight="1">
      <c r="B230" s="18" t="inlineStr">
        <is>
          <t xml:space="preserve">  Adjusted EPS — current definition, diluted ($)</t>
        </is>
      </c>
      <c r="C230" s="177">
        <f>IFERROR(C229/C163,"")</f>
        <v/>
      </c>
      <c r="D230" s="177">
        <f>IFERROR(D229/D163,"")</f>
        <v/>
      </c>
      <c r="E230" s="177">
        <f>IFERROR(E229/E163,"")</f>
        <v/>
      </c>
      <c r="F230" s="177">
        <f>IFERROR(F229/F163,"")</f>
        <v/>
      </c>
      <c r="G230" s="177">
        <f>IFERROR(G229/G163,"")</f>
        <v/>
      </c>
      <c r="H230" s="177">
        <f>IFERROR(H229/H163,"")</f>
        <v/>
      </c>
      <c r="I230" s="177">
        <f>IFERROR(I229/I163,"")</f>
        <v/>
      </c>
      <c r="J230" s="177">
        <f>IFERROR(J229/J163,"")</f>
        <v/>
      </c>
      <c r="K230" s="177">
        <f>IFERROR(K229/K163,"")</f>
        <v/>
      </c>
      <c r="L230" s="177">
        <f>IFERROR(L229/L163,"")</f>
        <v/>
      </c>
      <c r="M230" s="177">
        <f>IFERROR(M229/M163,"")</f>
        <v/>
      </c>
      <c r="N230" s="177">
        <f>IFERROR(N229/N163,"")</f>
        <v/>
      </c>
      <c r="O230" s="177">
        <f>IFERROR(O229/O163,"")</f>
        <v/>
      </c>
      <c r="P230" s="177">
        <f>IFERROR(P229/P163,"")</f>
        <v/>
      </c>
      <c r="Q230" s="177">
        <f>IFERROR(Q229/Q163,"")</f>
        <v/>
      </c>
      <c r="R230" s="177">
        <f>IFERROR(R229/R163,"")</f>
        <v/>
      </c>
      <c r="S230" s="177">
        <f>IFERROR(S229/S163,"")</f>
        <v/>
      </c>
      <c r="T230" s="177">
        <f>IFERROR(T229/T163,"")</f>
        <v/>
      </c>
      <c r="U230" s="177">
        <f>IFERROR(U229/U163,"")</f>
        <v/>
      </c>
      <c r="V230" s="177">
        <f>IFERROR(V229/V163,"")</f>
        <v/>
      </c>
      <c r="W230" s="177">
        <f>IFERROR(W229/W163,"")</f>
        <v/>
      </c>
      <c r="X230" s="177">
        <f>IFERROR(X229/X163,"")</f>
        <v/>
      </c>
      <c r="Y230" s="177">
        <f>IFERROR(Y229/Y163,"")</f>
        <v/>
      </c>
      <c r="Z230" s="177">
        <f>IFERROR(Z229/Z163,"")</f>
        <v/>
      </c>
      <c r="AA230" s="177">
        <f>IFERROR(AA229/AA163,"")</f>
        <v/>
      </c>
      <c r="AB230" s="177">
        <f>IFERROR(AB229/AB163,"")</f>
        <v/>
      </c>
      <c r="AC230" s="177">
        <f>IFERROR(AC229/AC163,"")</f>
        <v/>
      </c>
      <c r="AD230" s="177">
        <f>IFERROR(AD229/AD163,"")</f>
        <v/>
      </c>
      <c r="AE230" s="177">
        <f>IFERROR(AE229/AE163,"")</f>
        <v/>
      </c>
      <c r="AF230" s="177">
        <f>IFERROR(AF229/AF163,"")</f>
        <v/>
      </c>
      <c r="AG230" s="177">
        <f>IFERROR(AG229/AG163,"")</f>
        <v/>
      </c>
      <c r="AH230" s="177">
        <f>IFERROR(AH229/AH163,"")</f>
        <v/>
      </c>
      <c r="AI230" s="177">
        <f>IFERROR(AI229/AI163,"")</f>
        <v/>
      </c>
      <c r="AJ230" s="177">
        <f>IFERROR(AJ229/AJ163,"")</f>
        <v/>
      </c>
      <c r="AK230" s="177">
        <f>IFERROR(AK229/AK163,"")</f>
        <v/>
      </c>
      <c r="AL230" s="177">
        <f>IFERROR(AL229/AL163,"")</f>
        <v/>
      </c>
      <c r="AM230" s="177">
        <f>IFERROR(AM229/AM163,"")</f>
        <v/>
      </c>
      <c r="AN230" s="177">
        <f>IFERROR(AN229/AN163,"")</f>
        <v/>
      </c>
      <c r="AO230" s="177">
        <f>IFERROR(AO229/AO163,"")</f>
        <v/>
      </c>
      <c r="AP230" s="177">
        <f>IFERROR(AP229/AP163,"")</f>
        <v/>
      </c>
      <c r="AQ230" s="177">
        <f>IFERROR(AQ229/AQ163,"")</f>
        <v/>
      </c>
      <c r="AR230" s="177">
        <f>IFERROR(AR229/AR163,"")</f>
        <v/>
      </c>
      <c r="AS230" s="177">
        <f>IFERROR(AS229/AS163,"")</f>
        <v/>
      </c>
      <c r="AT230" s="177">
        <f>IFERROR(AT229/AT163,"")</f>
        <v/>
      </c>
      <c r="AU230" s="177">
        <f>IFERROR(AU229/AU163,"")</f>
        <v/>
      </c>
      <c r="AV230" s="177">
        <f>IFERROR(AV229/AV163,"")</f>
        <v/>
      </c>
      <c r="AW230" s="177">
        <f>IFERROR(AW229/AW163,"")</f>
        <v/>
      </c>
      <c r="AX230" s="177">
        <f>IFERROR(AX229/AX163,"")</f>
        <v/>
      </c>
      <c r="AY230" s="177">
        <f>IFERROR(AY229/AY163,"")</f>
        <v/>
      </c>
      <c r="AZ230" s="177">
        <f>IFERROR(AZ229/AZ163,"")</f>
        <v/>
      </c>
      <c r="BA230" s="177">
        <f>IFERROR(BA229/BA163,"")</f>
        <v/>
      </c>
      <c r="BB230" s="177">
        <f>IFERROR(BB229/BB163,"")</f>
        <v/>
      </c>
      <c r="BC230" s="177">
        <f>IFERROR(BC229/BC163,"")</f>
        <v/>
      </c>
      <c r="BD230" s="177">
        <f>IFERROR(BD229/BD163,"")</f>
        <v/>
      </c>
      <c r="BE230" s="177">
        <f>IFERROR(BE229/BE163,"")</f>
        <v/>
      </c>
      <c r="BF230" s="177">
        <f>IFERROR(BF229/BF163,"")</f>
        <v/>
      </c>
      <c r="BG230" s="177">
        <f>IFERROR(BG229/BG163,"")</f>
        <v/>
      </c>
      <c r="BH230" s="177">
        <f>IFERROR(BH229/BH163,"")</f>
        <v/>
      </c>
      <c r="BI230" s="177">
        <f>IFERROR(BI229/BI163,"")</f>
        <v/>
      </c>
      <c r="BJ230" s="177">
        <f>IFERROR(BJ229/BJ163,"")</f>
        <v/>
      </c>
      <c r="BK230" s="177">
        <f>IFERROR(BK229/BK163,"")</f>
        <v/>
      </c>
      <c r="BL230" s="177">
        <f>IFERROR(BL229/BL163,"")</f>
        <v/>
      </c>
      <c r="BM230" s="177">
        <f>IFERROR(BM229/BM163,"")</f>
        <v/>
      </c>
      <c r="BN230" s="177">
        <f>IFERROR(BN229/BN163,"")</f>
        <v/>
      </c>
      <c r="BO230" s="177">
        <f>IFERROR(BO229/BO163,"")</f>
        <v/>
      </c>
      <c r="BP230" s="177">
        <f>IFERROR(BP229/BP163,"")</f>
        <v/>
      </c>
      <c r="BQ230" s="177">
        <f>IFERROR(BQ229/BQ163,"")</f>
        <v/>
      </c>
      <c r="BR230" s="177">
        <f>IFERROR(BR229/BR163,"")</f>
        <v/>
      </c>
      <c r="BS230" s="177">
        <f>IFERROR(BS229/BS163,"")</f>
        <v/>
      </c>
      <c r="BT230" s="177">
        <f>IFERROR(BT229/BT163,"")</f>
        <v/>
      </c>
      <c r="BU230" s="177">
        <f>IFERROR(BU229/BU163,"")</f>
        <v/>
      </c>
      <c r="BV230" s="177">
        <f>IFERROR(BV229/BV163,"")</f>
        <v/>
      </c>
      <c r="BW230" s="177">
        <f>IFERROR(BW229/BW163,"")</f>
        <v/>
      </c>
      <c r="BX230" s="177">
        <f>IFERROR(BX229/BX163,"")</f>
        <v/>
      </c>
      <c r="BY230" s="177">
        <f>IFERROR(BY229/BY163,"")</f>
        <v/>
      </c>
      <c r="BZ230" s="177">
        <f>IFERROR(BZ229/BZ163,"")</f>
        <v/>
      </c>
      <c r="CA230" s="177">
        <f>IFERROR(CA229/CA163,"")</f>
        <v/>
      </c>
      <c r="CB230" s="177">
        <f>IFERROR(CB229/CB163,"")</f>
        <v/>
      </c>
      <c r="CC230" s="177">
        <f>IFERROR(CC229/CC163,"")</f>
        <v/>
      </c>
      <c r="CD230" s="177">
        <f>IFERROR(CD229/CD163,"")</f>
        <v/>
      </c>
      <c r="CE230" s="177">
        <f>IFERROR(CE229/CE163,"")</f>
        <v/>
      </c>
      <c r="CF230" s="177">
        <f>IFERROR(CF229/CF163,"")</f>
        <v/>
      </c>
      <c r="CG230" s="177">
        <f>IFERROR(CG229/CG163,"")</f>
        <v/>
      </c>
      <c r="CH230" s="177">
        <f>IFERROR(CH229/CH163,"")</f>
        <v/>
      </c>
      <c r="CI230" s="177">
        <f>IFERROR(CI229/CI163,"")</f>
        <v/>
      </c>
      <c r="CJ230" s="177">
        <f>IFERROR(CJ229/CJ163,"")</f>
        <v/>
      </c>
      <c r="CK230" s="177">
        <f>IFERROR(CK229/CK163,"")</f>
        <v/>
      </c>
      <c r="CL230" s="177">
        <f>IFERROR(CL229/CL163,"")</f>
        <v/>
      </c>
      <c r="CM230" s="178">
        <f>IFERROR(CM229/CM163,"")</f>
        <v/>
      </c>
      <c r="CN230" s="178">
        <f>IFERROR(CN229/CN163,"")</f>
        <v/>
      </c>
      <c r="CO230" s="178">
        <f>IFERROR(CO229/CO163,"")</f>
        <v/>
      </c>
      <c r="CP230" s="178">
        <f>IFERROR(CP229/CP163,"")</f>
        <v/>
      </c>
      <c r="CQ230" s="178">
        <f>IFERROR(CQ229/CQ163,"")</f>
        <v/>
      </c>
      <c r="CR230" s="178">
        <f>IFERROR(CR229/CR163,"")</f>
        <v/>
      </c>
      <c r="CS230" s="178">
        <f>IFERROR(CS229/CS163,"")</f>
        <v/>
      </c>
      <c r="CT230" s="22" t="n"/>
      <c r="CV230" s="164">
        <f>IFERROR((CS230/CI230)^(1/5)-1,"n/m")</f>
        <v/>
      </c>
      <c r="CW230" s="164">
        <f>IFERROR((CI230/BE230)^(1/5)-1,"n/m")</f>
        <v/>
      </c>
      <c r="CX230" s="164">
        <f>IFERROR((CI230/AA230)^(1/10)-1,"n/m")</f>
        <v/>
      </c>
      <c r="CY230" s="164">
        <f>IFERROR((CI230/C230)^(1/19)-1,"n/m")</f>
        <v/>
      </c>
    </row>
    <row r="231" ht="15" customHeight="1">
      <c r="B231" s="12" t="n"/>
      <c r="CM231" s="6" t="n"/>
      <c r="CN231" s="6" t="n"/>
      <c r="CO231" s="6" t="n"/>
      <c r="CP231" s="6" t="n"/>
      <c r="CQ231" s="6" t="n"/>
      <c r="CR231" s="6" t="n"/>
      <c r="CS231" s="6" t="n"/>
      <c r="CT231" s="6" t="n"/>
    </row>
    <row r="232" ht="15" customHeight="1">
      <c r="B232" s="11" t="inlineStr">
        <is>
          <t>GROWTH &amp; MARGINS</t>
        </is>
      </c>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c r="AH232" s="11" t="n"/>
      <c r="AI232" s="11" t="n"/>
      <c r="AJ232" s="11" t="n"/>
      <c r="AK232" s="11" t="n"/>
      <c r="AL232" s="11" t="n"/>
      <c r="AM232" s="11" t="n"/>
      <c r="AN232" s="11" t="n"/>
      <c r="AO232" s="11" t="n"/>
      <c r="AP232" s="11" t="n"/>
      <c r="AQ232" s="11" t="n"/>
      <c r="AR232" s="11" t="n"/>
      <c r="AS232" s="11" t="n"/>
      <c r="AT232" s="11" t="n"/>
      <c r="AU232" s="11" t="n"/>
      <c r="AV232" s="11" t="n"/>
      <c r="AW232" s="11" t="n"/>
      <c r="AX232" s="11" t="n"/>
      <c r="AY232" s="11" t="n"/>
      <c r="AZ232" s="11" t="n"/>
      <c r="BA232" s="11" t="n"/>
      <c r="BB232" s="11" t="n"/>
      <c r="BC232" s="11" t="n"/>
      <c r="BD232" s="11" t="n"/>
      <c r="BE232" s="11" t="n"/>
      <c r="BF232" s="11" t="n"/>
      <c r="BG232" s="11" t="n"/>
      <c r="BH232" s="11" t="n"/>
      <c r="BI232" s="11" t="n"/>
      <c r="BJ232" s="11" t="n"/>
      <c r="BK232" s="11" t="n"/>
      <c r="BL232" s="11" t="n"/>
      <c r="BM232" s="11" t="n"/>
      <c r="BN232" s="11" t="n"/>
      <c r="BO232" s="11" t="n"/>
      <c r="BP232" s="11" t="n"/>
      <c r="BQ232" s="11" t="n"/>
      <c r="BR232" s="11" t="n"/>
      <c r="BS232" s="11" t="n"/>
      <c r="BT232" s="11" t="n"/>
      <c r="BU232" s="11" t="n"/>
      <c r="BV232" s="11" t="n"/>
      <c r="BW232" s="11" t="n"/>
      <c r="BX232" s="11" t="n"/>
      <c r="BY232" s="11" t="n"/>
      <c r="BZ232" s="11" t="n"/>
      <c r="CA232" s="11" t="n"/>
      <c r="CB232" s="11" t="n"/>
      <c r="CC232" s="11" t="n"/>
      <c r="CD232" s="11" t="n"/>
      <c r="CE232" s="11" t="n"/>
      <c r="CF232" s="11" t="n"/>
      <c r="CG232" s="11" t="n"/>
      <c r="CH232" s="11" t="n"/>
      <c r="CI232" s="11" t="n"/>
      <c r="CJ232" s="11" t="n"/>
      <c r="CK232" s="11" t="n"/>
      <c r="CL232" s="11" t="n"/>
      <c r="CM232" s="11" t="n"/>
      <c r="CN232" s="11" t="n"/>
      <c r="CO232" s="11" t="n"/>
      <c r="CP232" s="11" t="n"/>
      <c r="CQ232" s="11" t="n"/>
      <c r="CR232" s="11" t="n"/>
      <c r="CS232" s="11" t="n"/>
      <c r="CT232" s="11" t="inlineStr">
        <is>
          <t>GROWTH &amp; MARGINS (consolidated) — forecast outputs</t>
        </is>
      </c>
    </row>
    <row r="233" ht="15" customHeight="1">
      <c r="B233" s="25" t="inlineStr">
        <is>
          <t xml:space="preserve">  Total revenues y/y %</t>
        </is>
      </c>
      <c r="C233" s="26" t="n"/>
      <c r="D233" s="26">
        <f>IF(AND(ISNUMBER(D138),ISNUMBER(C138)),IFERROR(D138/C138-1,""),"")</f>
        <v/>
      </c>
      <c r="E233" s="26">
        <f>IF(AND(ISNUMBER(E138),ISNUMBER(D138)),IFERROR(E138/D138-1,""),"")</f>
        <v/>
      </c>
      <c r="F233" s="26">
        <f>IF(AND(ISNUMBER(F138),ISNUMBER(E138)),IFERROR(F138/E138-1,""),"")</f>
        <v/>
      </c>
      <c r="G233" s="26">
        <f>IF(AND(ISNUMBER(G138),ISNUMBER(F138)),IFERROR(G138/F138-1,""),"")</f>
        <v/>
      </c>
      <c r="H233" s="26">
        <f>IF(AND(ISNUMBER(H138),ISNUMBER(G138)),IFERROR(H138/G138-1,""),"")</f>
        <v/>
      </c>
      <c r="I233" s="26">
        <f>IF(AND(ISNUMBER(I138),ISNUMBER(H138)),IFERROR(I138/H138-1,""),"")</f>
        <v/>
      </c>
      <c r="J233" s="26" t="n"/>
      <c r="K233" s="26" t="n"/>
      <c r="L233" s="26" t="n"/>
      <c r="M233" s="26" t="n"/>
      <c r="N233" s="26" t="n"/>
      <c r="O233" s="26">
        <f>IF(AND(ISNUMBER(O138),ISNUMBER(I138)),IFERROR(O138/I138-1,""),"")</f>
        <v/>
      </c>
      <c r="P233" s="26">
        <f>IF(AND(ISNUMBER(P138),ISNUMBER(J138)),IFERROR(P138/J138-1,""),"")</f>
        <v/>
      </c>
      <c r="Q233" s="26">
        <f>IF(AND(ISNUMBER(Q138),ISNUMBER(K138)),IFERROR(Q138/K138-1,""),"")</f>
        <v/>
      </c>
      <c r="R233" s="26">
        <f>IF(AND(ISNUMBER(R138),ISNUMBER(L138)),IFERROR(R138/L138-1,""),"")</f>
        <v/>
      </c>
      <c r="S233" s="26">
        <f>IF(AND(ISNUMBER(S138),ISNUMBER(M138)),IFERROR(S138/M138-1,""),"")</f>
        <v/>
      </c>
      <c r="T233" s="26">
        <f>IF(AND(ISNUMBER(T138),ISNUMBER(N138)),IFERROR(T138/N138-1,""),"")</f>
        <v/>
      </c>
      <c r="U233" s="26">
        <f>IF(AND(ISNUMBER(U138),ISNUMBER(O138)),IFERROR(U138/O138-1,""),"")</f>
        <v/>
      </c>
      <c r="V233" s="26">
        <f>IF(AND(ISNUMBER(V138),ISNUMBER(P138)),IFERROR(V138/P138-1,""),"")</f>
        <v/>
      </c>
      <c r="W233" s="26">
        <f>IF(AND(ISNUMBER(W138),ISNUMBER(Q138)),IFERROR(W138/Q138-1,""),"")</f>
        <v/>
      </c>
      <c r="X233" s="26">
        <f>IF(AND(ISNUMBER(X138),ISNUMBER(R138)),IFERROR(X138/R138-1,""),"")</f>
        <v/>
      </c>
      <c r="Y233" s="26">
        <f>IF(AND(ISNUMBER(Y138),ISNUMBER(S138)),IFERROR(Y138/S138-1,""),"")</f>
        <v/>
      </c>
      <c r="Z233" s="26">
        <f>IF(AND(ISNUMBER(Z138),ISNUMBER(T138)),IFERROR(Z138/T138-1,""),"")</f>
        <v/>
      </c>
      <c r="AA233" s="26">
        <f>IF(AND(ISNUMBER(AA138),ISNUMBER(U138)),IFERROR(AA138/U138-1,""),"")</f>
        <v/>
      </c>
      <c r="AB233" s="26">
        <f>IF(AND(ISNUMBER(AB138),ISNUMBER(V138)),IFERROR(AB138/V138-1,""),"")</f>
        <v/>
      </c>
      <c r="AC233" s="26">
        <f>IF(AND(ISNUMBER(AC138),ISNUMBER(W138)),IFERROR(AC138/W138-1,""),"")</f>
        <v/>
      </c>
      <c r="AD233" s="26">
        <f>IF(AND(ISNUMBER(AD138),ISNUMBER(X138)),IFERROR(AD138/X138-1,""),"")</f>
        <v/>
      </c>
      <c r="AE233" s="26">
        <f>IF(AND(ISNUMBER(AE138),ISNUMBER(Y138)),IFERROR(AE138/Y138-1,""),"")</f>
        <v/>
      </c>
      <c r="AF233" s="26">
        <f>IF(AND(ISNUMBER(AF138),ISNUMBER(Z138)),IFERROR(AF138/Z138-1,""),"")</f>
        <v/>
      </c>
      <c r="AG233" s="26">
        <f>IF(AND(ISNUMBER(AG138),ISNUMBER(AA138)),IFERROR(AG138/AA138-1,""),"")</f>
        <v/>
      </c>
      <c r="AH233" s="26">
        <f>IF(AND(ISNUMBER(AH138),ISNUMBER(AB138)),IFERROR(AH138/AB138-1,""),"")</f>
        <v/>
      </c>
      <c r="AI233" s="26">
        <f>IF(AND(ISNUMBER(AI138),ISNUMBER(AC138)),IFERROR(AI138/AC138-1,""),"")</f>
        <v/>
      </c>
      <c r="AJ233" s="26">
        <f>IF(AND(ISNUMBER(AJ138),ISNUMBER(AD138)),IFERROR(AJ138/AD138-1,""),"")</f>
        <v/>
      </c>
      <c r="AK233" s="26">
        <f>IF(AND(ISNUMBER(AK138),ISNUMBER(AE138)),IFERROR(AK138/AE138-1,""),"")</f>
        <v/>
      </c>
      <c r="AL233" s="26">
        <f>IF(AND(ISNUMBER(AL138),ISNUMBER(AF138)),IFERROR(AL138/AF138-1,""),"")</f>
        <v/>
      </c>
      <c r="AM233" s="26">
        <f>IF(AND(ISNUMBER(AM138),ISNUMBER(AG138)),IFERROR(AM138/AG138-1,""),"")</f>
        <v/>
      </c>
      <c r="AN233" s="26">
        <f>IF(AND(ISNUMBER(AN138),ISNUMBER(AH138)),IFERROR(AN138/AH138-1,""),"")</f>
        <v/>
      </c>
      <c r="AO233" s="26">
        <f>IF(AND(ISNUMBER(AO138),ISNUMBER(AI138)),IFERROR(AO138/AI138-1,""),"")</f>
        <v/>
      </c>
      <c r="AP233" s="26">
        <f>IF(AND(ISNUMBER(AP138),ISNUMBER(AJ138)),IFERROR(AP138/AJ138-1,""),"")</f>
        <v/>
      </c>
      <c r="AQ233" s="26">
        <f>IF(AND(ISNUMBER(AQ138),ISNUMBER(AK138)),IFERROR(AQ138/AK138-1,""),"")</f>
        <v/>
      </c>
      <c r="AR233" s="26">
        <f>IF(AND(ISNUMBER(AR138),ISNUMBER(AL138)),IFERROR(AR138/AL138-1,""),"")</f>
        <v/>
      </c>
      <c r="AS233" s="26">
        <f>IF(AND(ISNUMBER(AS138),ISNUMBER(AM138)),IFERROR(AS138/AM138-1,""),"")</f>
        <v/>
      </c>
      <c r="AT233" s="26">
        <f>IF(AND(ISNUMBER(AT138),ISNUMBER(AN138)),IFERROR(AT138/AN138-1,""),"")</f>
        <v/>
      </c>
      <c r="AU233" s="26">
        <f>IF(AND(ISNUMBER(AU138),ISNUMBER(AO138)),IFERROR(AU138/AO138-1,""),"")</f>
        <v/>
      </c>
      <c r="AV233" s="26">
        <f>IF(AND(ISNUMBER(AV138),ISNUMBER(AP138)),IFERROR(AV138/AP138-1,""),"")</f>
        <v/>
      </c>
      <c r="AW233" s="26">
        <f>IF(AND(ISNUMBER(AW138),ISNUMBER(AQ138)),IFERROR(AW138/AQ138-1,""),"")</f>
        <v/>
      </c>
      <c r="AX233" s="26">
        <f>IF(AND(ISNUMBER(AX138),ISNUMBER(AR138)),IFERROR(AX138/AR138-1,""),"")</f>
        <v/>
      </c>
      <c r="AY233" s="26">
        <f>IF(AND(ISNUMBER(AY138),ISNUMBER(AS138)),IFERROR(AY138/AS138-1,""),"")</f>
        <v/>
      </c>
      <c r="AZ233" s="26">
        <f>IF(AND(ISNUMBER(AZ138),ISNUMBER(AT138)),IFERROR(AZ138/AT138-1,""),"")</f>
        <v/>
      </c>
      <c r="BA233" s="26">
        <f>IF(AND(ISNUMBER(BA138),ISNUMBER(AU138)),IFERROR(BA138/AU138-1,""),"")</f>
        <v/>
      </c>
      <c r="BB233" s="26">
        <f>IF(AND(ISNUMBER(BB138),ISNUMBER(AV138)),IFERROR(BB138/AV138-1,""),"")</f>
        <v/>
      </c>
      <c r="BC233" s="26">
        <f>IF(AND(ISNUMBER(BC138),ISNUMBER(AW138)),IFERROR(BC138/AW138-1,""),"")</f>
        <v/>
      </c>
      <c r="BD233" s="26">
        <f>IF(AND(ISNUMBER(BD138),ISNUMBER(AX138)),IFERROR(BD138/AX138-1,""),"")</f>
        <v/>
      </c>
      <c r="BE233" s="26">
        <f>IF(AND(ISNUMBER(BE138),ISNUMBER(AY138)),IFERROR(BE138/AY138-1,""),"")</f>
        <v/>
      </c>
      <c r="BF233" s="26">
        <f>IF(AND(ISNUMBER(BF138),ISNUMBER(AZ138)),IFERROR(BF138/AZ138-1,""),"")</f>
        <v/>
      </c>
      <c r="BG233" s="26">
        <f>IF(AND(ISNUMBER(BG138),ISNUMBER(BA138)),IFERROR(BG138/BA138-1,""),"")</f>
        <v/>
      </c>
      <c r="BH233" s="26">
        <f>IF(AND(ISNUMBER(BH138),ISNUMBER(BB138)),IFERROR(BH138/BB138-1,""),"")</f>
        <v/>
      </c>
      <c r="BI233" s="26">
        <f>IF(AND(ISNUMBER(BI138),ISNUMBER(BC138)),IFERROR(BI138/BC138-1,""),"")</f>
        <v/>
      </c>
      <c r="BJ233" s="26">
        <f>IF(AND(ISNUMBER(BJ138),ISNUMBER(BD138)),IFERROR(BJ138/BD138-1,""),"")</f>
        <v/>
      </c>
      <c r="BK233" s="26">
        <f>IF(AND(ISNUMBER(BK138),ISNUMBER(BE138)),IFERROR(BK138/BE138-1,""),"")</f>
        <v/>
      </c>
      <c r="BL233" s="26">
        <f>IF(AND(ISNUMBER(BL138),ISNUMBER(BF138)),IFERROR(BL138/BF138-1,""),"")</f>
        <v/>
      </c>
      <c r="BM233" s="26">
        <f>IF(AND(ISNUMBER(BM138),ISNUMBER(BG138)),IFERROR(BM138/BG138-1,""),"")</f>
        <v/>
      </c>
      <c r="BN233" s="26">
        <f>IF(AND(ISNUMBER(BN138),ISNUMBER(BH138)),IFERROR(BN138/BH138-1,""),"")</f>
        <v/>
      </c>
      <c r="BO233" s="26">
        <f>IF(AND(ISNUMBER(BO138),ISNUMBER(BI138)),IFERROR(BO138/BI138-1,""),"")</f>
        <v/>
      </c>
      <c r="BP233" s="26">
        <f>IF(AND(ISNUMBER(BP138),ISNUMBER(BJ138)),IFERROR(BP138/BJ138-1,""),"")</f>
        <v/>
      </c>
      <c r="BQ233" s="26">
        <f>IF(AND(ISNUMBER(BQ138),ISNUMBER(BK138)),IFERROR(BQ138/BK138-1,""),"")</f>
        <v/>
      </c>
      <c r="BR233" s="26">
        <f>IF(AND(ISNUMBER(BR138),ISNUMBER(BL138)),IFERROR(BR138/BL138-1,""),"")</f>
        <v/>
      </c>
      <c r="BS233" s="26">
        <f>IF(AND(ISNUMBER(BS138),ISNUMBER(BM138)),IFERROR(BS138/BM138-1,""),"")</f>
        <v/>
      </c>
      <c r="BT233" s="26">
        <f>IF(AND(ISNUMBER(BT138),ISNUMBER(BN138)),IFERROR(BT138/BN138-1,""),"")</f>
        <v/>
      </c>
      <c r="BU233" s="26">
        <f>IF(AND(ISNUMBER(BU138),ISNUMBER(BO138)),IFERROR(BU138/BO138-1,""),"")</f>
        <v/>
      </c>
      <c r="BV233" s="26">
        <f>IF(AND(ISNUMBER(BV138),ISNUMBER(BP138)),IFERROR(BV138/BP138-1,""),"")</f>
        <v/>
      </c>
      <c r="BW233" s="26">
        <f>IF(AND(ISNUMBER(BW138),ISNUMBER(BQ138)),IFERROR(BW138/BQ138-1,""),"")</f>
        <v/>
      </c>
      <c r="BX233" s="26">
        <f>IF(AND(ISNUMBER(BX138),ISNUMBER(BR138)),IFERROR(BX138/BR138-1,""),"")</f>
        <v/>
      </c>
      <c r="BY233" s="26">
        <f>IF(AND(ISNUMBER(BY138),ISNUMBER(BS138)),IFERROR(BY138/BS138-1,""),"")</f>
        <v/>
      </c>
      <c r="BZ233" s="26">
        <f>IF(AND(ISNUMBER(BZ138),ISNUMBER(BT138)),IFERROR(BZ138/BT138-1,""),"")</f>
        <v/>
      </c>
      <c r="CA233" s="26">
        <f>IF(AND(ISNUMBER(CA138),ISNUMBER(BU138)),IFERROR(CA138/BU138-1,""),"")</f>
        <v/>
      </c>
      <c r="CB233" s="26">
        <f>IF(AND(ISNUMBER(CB138),ISNUMBER(BV138)),IFERROR(CB138/BV138-1,""),"")</f>
        <v/>
      </c>
      <c r="CC233" s="26">
        <f>IF(AND(ISNUMBER(CC138),ISNUMBER(BW138)),IFERROR(CC138/BW138-1,""),"")</f>
        <v/>
      </c>
      <c r="CD233" s="26">
        <f>IF(AND(ISNUMBER(CD138),ISNUMBER(BX138)),IFERROR(CD138/BX138-1,""),"")</f>
        <v/>
      </c>
      <c r="CE233" s="26">
        <f>IF(AND(ISNUMBER(CE138),ISNUMBER(BY138)),IFERROR(CE138/BY138-1,""),"")</f>
        <v/>
      </c>
      <c r="CF233" s="26">
        <f>IF(AND(ISNUMBER(CF138),ISNUMBER(BZ138)),IFERROR(CF138/BZ138-1,""),"")</f>
        <v/>
      </c>
      <c r="CG233" s="26">
        <f>IF(AND(ISNUMBER(CG138),ISNUMBER(CA138)),IFERROR(CG138/CA138-1,""),"")</f>
        <v/>
      </c>
      <c r="CH233" s="26">
        <f>IF(AND(ISNUMBER(CH138),ISNUMBER(CB138)),IFERROR(CH138/CB138-1,""),"")</f>
        <v/>
      </c>
      <c r="CI233" s="26">
        <f>IF(AND(ISNUMBER(CI138),ISNUMBER(CC138)),IFERROR(CI138/CC138-1,""),"")</f>
        <v/>
      </c>
      <c r="CJ233" s="26">
        <f>IF(AND(ISNUMBER(CJ138),ISNUMBER(CD138)),IFERROR(CJ138/CD138-1,""),"")</f>
        <v/>
      </c>
      <c r="CK233" s="26">
        <f>IF(AND(ISNUMBER(CK138),ISNUMBER(CE138)),IFERROR(CK138/CE138-1,""),"")</f>
        <v/>
      </c>
      <c r="CL233" s="26">
        <f>IF(AND(ISNUMBER(CL138),ISNUMBER(CF138)),IFERROR(CL138/CF138-1,""),"")</f>
        <v/>
      </c>
      <c r="CM233" s="165">
        <f>IF(AND(ISNUMBER(CM138),ISNUMBER(CG138)),IFERROR(CM138/CG138-1,""),"")</f>
        <v/>
      </c>
      <c r="CN233" s="165">
        <f>IF(AND(ISNUMBER(CN138),ISNUMBER(CH138)),IFERROR(CN138/CH138-1,""),"")</f>
        <v/>
      </c>
      <c r="CO233" s="165">
        <f>IF(AND(ISNUMBER(CO138),ISNUMBER(CI138)),IFERROR(CO138/CI138-1,""),"")</f>
        <v/>
      </c>
      <c r="CP233" s="165">
        <f>IF(AND(ISNUMBER(CP138),ISNUMBER(CO138)),IFERROR(CP138/CO138-1,""),"")</f>
        <v/>
      </c>
      <c r="CQ233" s="165">
        <f>IF(AND(ISNUMBER(CQ138),ISNUMBER(CP138)),IFERROR(CQ138/CP138-1,""),"")</f>
        <v/>
      </c>
      <c r="CR233" s="165">
        <f>IF(AND(ISNUMBER(CR138),ISNUMBER(CQ138)),IFERROR(CR138/CQ138-1,""),"")</f>
        <v/>
      </c>
      <c r="CS233" s="165">
        <f>IF(AND(ISNUMBER(CS138),ISNUMBER(CR138)),IFERROR(CS138/CR138-1,""),"")</f>
        <v/>
      </c>
      <c r="CT233" s="22" t="n"/>
      <c r="CV233" s="193">
        <f>IFERROR(AVERAGE(CO233,CP233,CQ233,CR233,CS233),"n/m")</f>
        <v/>
      </c>
      <c r="CW233" s="193">
        <f>IFERROR(AVERAGE(BK233,BQ233,BW233,CC233,CI233),"n/m")</f>
        <v/>
      </c>
      <c r="CX233" s="193">
        <f>IFERROR(AVERAGE(AG233,AM233,AS233,AY233,BE233,BK233,BQ233,BW233,CC233,CI233),"n/m")</f>
        <v/>
      </c>
      <c r="CY233" s="193">
        <f>IFERROR(AVERAGE(C233,D233,E233,F233,G233,H233,I233,O233,U233,AA233,AG233,AM233,AS233,AY233,BE233,BK233,BQ233,BW233,CC233,CI233),"n/m")</f>
        <v/>
      </c>
    </row>
    <row r="234" ht="15" customHeight="1">
      <c r="B234" s="25" t="inlineStr">
        <is>
          <t xml:space="preserve">  Total revenues — organic y/y %</t>
        </is>
      </c>
      <c r="C234" s="26" t="n"/>
      <c r="D234" s="26">
        <f>IFERROR(D233-D235,"")</f>
        <v/>
      </c>
      <c r="E234" s="26">
        <f>IFERROR(E233-E235,"")</f>
        <v/>
      </c>
      <c r="F234" s="26">
        <f>IFERROR(F233-F235,"")</f>
        <v/>
      </c>
      <c r="G234" s="26">
        <f>IFERROR(G233-G235,"")</f>
        <v/>
      </c>
      <c r="H234" s="26">
        <f>IFERROR(H233-H235,"")</f>
        <v/>
      </c>
      <c r="I234" s="26">
        <f>IFERROR(I233-I235,"")</f>
        <v/>
      </c>
      <c r="J234" s="26" t="n"/>
      <c r="K234" s="26" t="n"/>
      <c r="L234" s="26" t="n"/>
      <c r="M234" s="26" t="n"/>
      <c r="N234" s="26" t="n"/>
      <c r="O234" s="26">
        <f>IFERROR(O233-O235,"")</f>
        <v/>
      </c>
      <c r="P234" s="26">
        <f>IFERROR(P233-P235,"")</f>
        <v/>
      </c>
      <c r="Q234" s="26">
        <f>IFERROR(Q233-Q235,"")</f>
        <v/>
      </c>
      <c r="R234" s="26">
        <f>IFERROR(R233-R235,"")</f>
        <v/>
      </c>
      <c r="S234" s="26">
        <f>IFERROR(S233-S235,"")</f>
        <v/>
      </c>
      <c r="T234" s="26">
        <f>IFERROR(T233-T235,"")</f>
        <v/>
      </c>
      <c r="U234" s="26">
        <f>IFERROR(U233-U235,"")</f>
        <v/>
      </c>
      <c r="V234" s="26">
        <f>IFERROR(V233-V235,"")</f>
        <v/>
      </c>
      <c r="W234" s="26">
        <f>IFERROR(W233-W235,"")</f>
        <v/>
      </c>
      <c r="X234" s="26">
        <f>IFERROR(X233-X235,"")</f>
        <v/>
      </c>
      <c r="Y234" s="26">
        <f>IFERROR(Y233-Y235,"")</f>
        <v/>
      </c>
      <c r="Z234" s="26">
        <f>IFERROR(Z233-Z235,"")</f>
        <v/>
      </c>
      <c r="AA234" s="26">
        <f>IFERROR(AA233-AA235,"")</f>
        <v/>
      </c>
      <c r="AB234" s="26">
        <f>IFERROR(AB233-AB235,"")</f>
        <v/>
      </c>
      <c r="AC234" s="26">
        <f>IFERROR(AC233-AC235,"")</f>
        <v/>
      </c>
      <c r="AD234" s="26">
        <f>IFERROR(AD233-AD235,"")</f>
        <v/>
      </c>
      <c r="AE234" s="26">
        <f>IFERROR(AE233-AE235,"")</f>
        <v/>
      </c>
      <c r="AF234" s="26">
        <f>IFERROR(AF233-AF235,"")</f>
        <v/>
      </c>
      <c r="AG234" s="26">
        <f>IFERROR(AG233-AG235,"")</f>
        <v/>
      </c>
      <c r="AH234" s="26">
        <f>IFERROR(AH233-AH235,"")</f>
        <v/>
      </c>
      <c r="AI234" s="26">
        <f>IFERROR(AI233-AI235,"")</f>
        <v/>
      </c>
      <c r="AJ234" s="26">
        <f>IFERROR(AJ233-AJ235,"")</f>
        <v/>
      </c>
      <c r="AK234" s="26">
        <f>IFERROR(AK233-AK235,"")</f>
        <v/>
      </c>
      <c r="AL234" s="26">
        <f>IFERROR(AL233-AL235,"")</f>
        <v/>
      </c>
      <c r="AM234" s="26">
        <f>IFERROR(AM233-AM235,"")</f>
        <v/>
      </c>
      <c r="AN234" s="26">
        <f>IFERROR(AN233-AN235,"")</f>
        <v/>
      </c>
      <c r="AO234" s="26">
        <f>IFERROR(AO233-AO235,"")</f>
        <v/>
      </c>
      <c r="AP234" s="26">
        <f>IFERROR(AP233-AP235,"")</f>
        <v/>
      </c>
      <c r="AQ234" s="26">
        <f>IFERROR(AQ233-AQ235,"")</f>
        <v/>
      </c>
      <c r="AR234" s="26">
        <f>IFERROR(AR233-AR235,"")</f>
        <v/>
      </c>
      <c r="AS234" s="26">
        <f>IFERROR(AS233-AS235,"")</f>
        <v/>
      </c>
      <c r="AT234" s="26">
        <f>IFERROR(AT233-AT235,"")</f>
        <v/>
      </c>
      <c r="AU234" s="26">
        <f>IFERROR(AU233-AU235,"")</f>
        <v/>
      </c>
      <c r="AV234" s="26">
        <f>IFERROR(AV233-AV235,"")</f>
        <v/>
      </c>
      <c r="AW234" s="26">
        <f>IFERROR(AW233-AW235,"")</f>
        <v/>
      </c>
      <c r="AX234" s="26">
        <f>IFERROR(AX233-AX235,"")</f>
        <v/>
      </c>
      <c r="AY234" s="26">
        <f>IFERROR(AY233-AY235,"")</f>
        <v/>
      </c>
      <c r="AZ234" s="26">
        <f>IFERROR(AZ233-AZ235,"")</f>
        <v/>
      </c>
      <c r="BA234" s="26">
        <f>IFERROR(BA233-BA235,"")</f>
        <v/>
      </c>
      <c r="BB234" s="26">
        <f>IFERROR(BB233-BB235,"")</f>
        <v/>
      </c>
      <c r="BC234" s="26">
        <f>IFERROR(BC233-BC235,"")</f>
        <v/>
      </c>
      <c r="BD234" s="26">
        <f>IFERROR(BD233-BD235,"")</f>
        <v/>
      </c>
      <c r="BE234" s="26">
        <f>IFERROR(BE233-BE235,"")</f>
        <v/>
      </c>
      <c r="BF234" s="26">
        <f>IFERROR(BF233-BF235,"")</f>
        <v/>
      </c>
      <c r="BG234" s="26">
        <f>IFERROR(BG233-BG235,"")</f>
        <v/>
      </c>
      <c r="BH234" s="26">
        <f>IFERROR(BH233-BH235,"")</f>
        <v/>
      </c>
      <c r="BI234" s="26">
        <f>IFERROR(BI233-BI235,"")</f>
        <v/>
      </c>
      <c r="BJ234" s="26">
        <f>IFERROR(BJ233-BJ235,"")</f>
        <v/>
      </c>
      <c r="BK234" s="26">
        <f>IFERROR(BK233-BK235,"")</f>
        <v/>
      </c>
      <c r="BL234" s="26">
        <f>IFERROR(BL233-BL235,"")</f>
        <v/>
      </c>
      <c r="BM234" s="26">
        <f>IFERROR(BM233-BM235,"")</f>
        <v/>
      </c>
      <c r="BN234" s="26">
        <f>IFERROR(BN233-BN235,"")</f>
        <v/>
      </c>
      <c r="BO234" s="26">
        <f>IFERROR(BO233-BO235,"")</f>
        <v/>
      </c>
      <c r="BP234" s="26">
        <f>IFERROR(BP233-BP235,"")</f>
        <v/>
      </c>
      <c r="BQ234" s="26">
        <f>IFERROR(BQ233-BQ235,"")</f>
        <v/>
      </c>
      <c r="BR234" s="26">
        <f>IFERROR(BR233-BR235,"")</f>
        <v/>
      </c>
      <c r="BS234" s="26">
        <f>IFERROR(BS233-BS235,"")</f>
        <v/>
      </c>
      <c r="BT234" s="26">
        <f>IFERROR(BT233-BT235,"")</f>
        <v/>
      </c>
      <c r="BU234" s="26">
        <f>IFERROR(BU233-BU235,"")</f>
        <v/>
      </c>
      <c r="BV234" s="26">
        <f>IFERROR(BV233-BV235,"")</f>
        <v/>
      </c>
      <c r="BW234" s="26">
        <f>IFERROR(BW233-BW235,"")</f>
        <v/>
      </c>
      <c r="BX234" s="26">
        <f>IFERROR(BX233-BX235,"")</f>
        <v/>
      </c>
      <c r="BY234" s="26">
        <f>IFERROR(BY233-BY235,"")</f>
        <v/>
      </c>
      <c r="BZ234" s="26">
        <f>IFERROR(BZ233-BZ235,"")</f>
        <v/>
      </c>
      <c r="CA234" s="26">
        <f>IFERROR(CA233-CA235,"")</f>
        <v/>
      </c>
      <c r="CB234" s="26">
        <f>IFERROR(CB233-CB235,"")</f>
        <v/>
      </c>
      <c r="CC234" s="26">
        <f>IFERROR(CC233-CC235,"")</f>
        <v/>
      </c>
      <c r="CD234" s="26">
        <f>IFERROR(CD233-CD235,"")</f>
        <v/>
      </c>
      <c r="CE234" s="26">
        <f>IFERROR(CE233-CE235,"")</f>
        <v/>
      </c>
      <c r="CF234" s="26">
        <f>IFERROR(CF233-CF235,"")</f>
        <v/>
      </c>
      <c r="CG234" s="26">
        <f>IFERROR(CG233-CG235,"")</f>
        <v/>
      </c>
      <c r="CH234" s="26">
        <f>IFERROR(CH233-CH235,"")</f>
        <v/>
      </c>
      <c r="CI234" s="26">
        <f>IFERROR(CI233-CI235,"")</f>
        <v/>
      </c>
      <c r="CJ234" s="26">
        <f>IFERROR(CJ233-CJ235,"")</f>
        <v/>
      </c>
      <c r="CK234" s="26">
        <f>IFERROR(CK233-CK235,"")</f>
        <v/>
      </c>
      <c r="CL234" s="26">
        <f>IFERROR(CL233-CL235,"")</f>
        <v/>
      </c>
      <c r="CM234" s="165">
        <f>IFERROR(CM233-CM235,"")</f>
        <v/>
      </c>
      <c r="CN234" s="165">
        <f>IFERROR(CN233-CN235,"")</f>
        <v/>
      </c>
      <c r="CO234" s="165">
        <f>IFERROR(CO233-CO235,"")</f>
        <v/>
      </c>
      <c r="CP234" s="165">
        <f>IFERROR(CP233-CP235,"")</f>
        <v/>
      </c>
      <c r="CQ234" s="165">
        <f>IFERROR(CQ233-CQ235,"")</f>
        <v/>
      </c>
      <c r="CR234" s="165">
        <f>IFERROR(CR233-CR235,"")</f>
        <v/>
      </c>
      <c r="CS234" s="165">
        <f>IFERROR(CS233-CS235,"")</f>
        <v/>
      </c>
      <c r="CT234" s="22" t="inlineStr">
        <is>
          <t>Organic = total growth less disclosed incremental acquisition revenues (annual only).</t>
        </is>
      </c>
      <c r="CV234" s="193">
        <f>IFERROR(AVERAGE(CO234,CP234,CQ234,CR234,CS234),"n/m")</f>
        <v/>
      </c>
      <c r="CW234" s="193">
        <f>IFERROR(AVERAGE(BK234,BQ234,BW234,CC234,CI234),"n/m")</f>
        <v/>
      </c>
      <c r="CX234" s="193">
        <f>IFERROR(AVERAGE(AG234,AM234,AS234,AY234,BE234,BK234,BQ234,BW234,CC234,CI234),"n/m")</f>
        <v/>
      </c>
      <c r="CY234" s="193">
        <f>IFERROR(AVERAGE(C234,D234,E234,F234,G234,H234,I234,O234,U234,AA234,AG234,AM234,AS234,AY234,BE234,BK234,BQ234,BW234,CC234,CI234),"n/m")</f>
        <v/>
      </c>
    </row>
    <row r="235" ht="15" customHeight="1">
      <c r="B235" s="25" t="inlineStr">
        <is>
          <t xml:space="preserve">  Total revenues — acquisition y/y %</t>
        </is>
      </c>
      <c r="C235" s="26" t="n"/>
      <c r="D235" s="26">
        <f>IFERROR(N(D121)/C138,"")</f>
        <v/>
      </c>
      <c r="E235" s="26">
        <f>IFERROR(N(E121)/D138,"")</f>
        <v/>
      </c>
      <c r="F235" s="26">
        <f>IFERROR(N(F121)/E138,"")</f>
        <v/>
      </c>
      <c r="G235" s="26">
        <f>IFERROR(N(G121)/F138,"")</f>
        <v/>
      </c>
      <c r="H235" s="26">
        <f>IFERROR(N(H121)/G138,"")</f>
        <v/>
      </c>
      <c r="I235" s="26">
        <f>IFERROR(N(I121)/H138,"")</f>
        <v/>
      </c>
      <c r="J235" s="26" t="n"/>
      <c r="K235" s="26" t="n"/>
      <c r="L235" s="26" t="n"/>
      <c r="M235" s="26" t="n"/>
      <c r="N235" s="26" t="n"/>
      <c r="O235" s="26">
        <f>IFERROR(N(O121)/I138,"")</f>
        <v/>
      </c>
      <c r="P235" s="26">
        <f>IFERROR(N(P121)/J138,"")</f>
        <v/>
      </c>
      <c r="Q235" s="26">
        <f>IFERROR(N(Q121)/K138,"")</f>
        <v/>
      </c>
      <c r="R235" s="26">
        <f>IFERROR(N(R121)/L138,"")</f>
        <v/>
      </c>
      <c r="S235" s="26">
        <f>IFERROR(N(S121)/M138,"")</f>
        <v/>
      </c>
      <c r="T235" s="26">
        <f>IFERROR(N(T121)/N138,"")</f>
        <v/>
      </c>
      <c r="U235" s="26">
        <f>IFERROR(N(U121)/O138,"")</f>
        <v/>
      </c>
      <c r="V235" s="26">
        <f>IFERROR(N(V121)/P138,"")</f>
        <v/>
      </c>
      <c r="W235" s="26">
        <f>IFERROR(N(W121)/Q138,"")</f>
        <v/>
      </c>
      <c r="X235" s="26">
        <f>IFERROR(N(X121)/R138,"")</f>
        <v/>
      </c>
      <c r="Y235" s="26">
        <f>IFERROR(N(Y121)/S138,"")</f>
        <v/>
      </c>
      <c r="Z235" s="26">
        <f>IFERROR(N(Z121)/T138,"")</f>
        <v/>
      </c>
      <c r="AA235" s="26">
        <f>IFERROR(N(AA121)/U138,"")</f>
        <v/>
      </c>
      <c r="AB235" s="26">
        <f>IFERROR(N(AB121)/V138,"")</f>
        <v/>
      </c>
      <c r="AC235" s="26">
        <f>IFERROR(N(AC121)/W138,"")</f>
        <v/>
      </c>
      <c r="AD235" s="26">
        <f>IFERROR(N(AD121)/X138,"")</f>
        <v/>
      </c>
      <c r="AE235" s="26">
        <f>IFERROR(N(AE121)/Y138,"")</f>
        <v/>
      </c>
      <c r="AF235" s="26">
        <f>IFERROR(N(AF121)/Z138,"")</f>
        <v/>
      </c>
      <c r="AG235" s="26">
        <f>IFERROR(N(AG121)/AA138,"")</f>
        <v/>
      </c>
      <c r="AH235" s="26">
        <f>IFERROR(N(AH121)/AB138,"")</f>
        <v/>
      </c>
      <c r="AI235" s="26">
        <f>IFERROR(N(AI121)/AC138,"")</f>
        <v/>
      </c>
      <c r="AJ235" s="26">
        <f>IFERROR(N(AJ121)/AD138,"")</f>
        <v/>
      </c>
      <c r="AK235" s="26">
        <f>IFERROR(N(AK121)/AE138,"")</f>
        <v/>
      </c>
      <c r="AL235" s="26">
        <f>IFERROR(N(AL121)/AF138,"")</f>
        <v/>
      </c>
      <c r="AM235" s="26">
        <f>IFERROR(N(AM121)/AG138,"")</f>
        <v/>
      </c>
      <c r="AN235" s="26">
        <f>IFERROR(N(AN121)/AH138,"")</f>
        <v/>
      </c>
      <c r="AO235" s="26">
        <f>IFERROR(N(AO121)/AI138,"")</f>
        <v/>
      </c>
      <c r="AP235" s="26">
        <f>IFERROR(N(AP121)/AJ138,"")</f>
        <v/>
      </c>
      <c r="AQ235" s="26">
        <f>IFERROR(N(AQ121)/AK138,"")</f>
        <v/>
      </c>
      <c r="AR235" s="26">
        <f>IFERROR(N(AR121)/AL138,"")</f>
        <v/>
      </c>
      <c r="AS235" s="26">
        <f>IFERROR(N(AS121)/AM138,"")</f>
        <v/>
      </c>
      <c r="AT235" s="26">
        <f>IFERROR(N(AT121)/AN138,"")</f>
        <v/>
      </c>
      <c r="AU235" s="26">
        <f>IFERROR(N(AU121)/AO138,"")</f>
        <v/>
      </c>
      <c r="AV235" s="26">
        <f>IFERROR(N(AV121)/AP138,"")</f>
        <v/>
      </c>
      <c r="AW235" s="26">
        <f>IFERROR(N(AW121)/AQ138,"")</f>
        <v/>
      </c>
      <c r="AX235" s="26">
        <f>IFERROR(N(AX121)/AR138,"")</f>
        <v/>
      </c>
      <c r="AY235" s="26">
        <f>IFERROR(N(AY121)/AS138,"")</f>
        <v/>
      </c>
      <c r="AZ235" s="26">
        <f>IFERROR(N(AZ121)/AT138,"")</f>
        <v/>
      </c>
      <c r="BA235" s="26">
        <f>IFERROR(N(BA121)/AU138,"")</f>
        <v/>
      </c>
      <c r="BB235" s="26">
        <f>IFERROR(N(BB121)/AV138,"")</f>
        <v/>
      </c>
      <c r="BC235" s="26">
        <f>IFERROR(N(BC121)/AW138,"")</f>
        <v/>
      </c>
      <c r="BD235" s="26">
        <f>IFERROR(N(BD121)/AX138,"")</f>
        <v/>
      </c>
      <c r="BE235" s="26">
        <f>IFERROR(N(BE121)/AY138,"")</f>
        <v/>
      </c>
      <c r="BF235" s="26">
        <f>IFERROR(N(BF121)/AZ138,"")</f>
        <v/>
      </c>
      <c r="BG235" s="26">
        <f>IFERROR(N(BG121)/BA138,"")</f>
        <v/>
      </c>
      <c r="BH235" s="26">
        <f>IFERROR(N(BH121)/BB138,"")</f>
        <v/>
      </c>
      <c r="BI235" s="26">
        <f>IFERROR(N(BI121)/BC138,"")</f>
        <v/>
      </c>
      <c r="BJ235" s="26">
        <f>IFERROR(N(BJ121)/BD138,"")</f>
        <v/>
      </c>
      <c r="BK235" s="26">
        <f>IFERROR(N(BK121)/BE138,"")</f>
        <v/>
      </c>
      <c r="BL235" s="26">
        <f>IFERROR(N(BL121)/BF138,"")</f>
        <v/>
      </c>
      <c r="BM235" s="26">
        <f>IFERROR(N(BM121)/BG138,"")</f>
        <v/>
      </c>
      <c r="BN235" s="26">
        <f>IFERROR(N(BN121)/BH138,"")</f>
        <v/>
      </c>
      <c r="BO235" s="26">
        <f>IFERROR(N(BO121)/BI138,"")</f>
        <v/>
      </c>
      <c r="BP235" s="26">
        <f>IFERROR(N(BP121)/BJ138,"")</f>
        <v/>
      </c>
      <c r="BQ235" s="26">
        <f>IFERROR(N(BQ121)/BK138,"")</f>
        <v/>
      </c>
      <c r="BR235" s="26">
        <f>IFERROR(N(BR121)/BL138,"")</f>
        <v/>
      </c>
      <c r="BS235" s="26">
        <f>IFERROR(N(BS121)/BM138,"")</f>
        <v/>
      </c>
      <c r="BT235" s="26">
        <f>IFERROR(N(BT121)/BN138,"")</f>
        <v/>
      </c>
      <c r="BU235" s="26">
        <f>IFERROR(N(BU121)/BO138,"")</f>
        <v/>
      </c>
      <c r="BV235" s="26">
        <f>IFERROR(N(BV121)/BP138,"")</f>
        <v/>
      </c>
      <c r="BW235" s="26">
        <f>IFERROR(N(BW121)/BQ138,"")</f>
        <v/>
      </c>
      <c r="BX235" s="26">
        <f>IFERROR(N(BX121)/BR138,"")</f>
        <v/>
      </c>
      <c r="BY235" s="26">
        <f>IFERROR(N(BY121)/BS138,"")</f>
        <v/>
      </c>
      <c r="BZ235" s="26">
        <f>IFERROR(N(BZ121)/BT138,"")</f>
        <v/>
      </c>
      <c r="CA235" s="26">
        <f>IFERROR(N(CA121)/BU138,"")</f>
        <v/>
      </c>
      <c r="CB235" s="26">
        <f>IFERROR(N(CB121)/BV138,"")</f>
        <v/>
      </c>
      <c r="CC235" s="26">
        <f>IFERROR(N(CC121)/BW138,"")</f>
        <v/>
      </c>
      <c r="CD235" s="26">
        <f>IFERROR(N(CD121)/BX138,"")</f>
        <v/>
      </c>
      <c r="CE235" s="26">
        <f>IFERROR(N(CE121)/BY138,"")</f>
        <v/>
      </c>
      <c r="CF235" s="26">
        <f>IFERROR(N(CF121)/BZ138,"")</f>
        <v/>
      </c>
      <c r="CG235" s="26">
        <f>IFERROR(N(CG121)/CA138,"")</f>
        <v/>
      </c>
      <c r="CH235" s="26">
        <f>IFERROR(N(CH121)/CB138,"")</f>
        <v/>
      </c>
      <c r="CI235" s="26">
        <f>IFERROR(N(CI121)/CC138,"")</f>
        <v/>
      </c>
      <c r="CJ235" s="26">
        <f>IFERROR(N(CJ121)/CD138,"")</f>
        <v/>
      </c>
      <c r="CK235" s="26">
        <f>IFERROR(N(CK121)/CE138,"")</f>
        <v/>
      </c>
      <c r="CL235" s="26">
        <f>IFERROR(N(CL121)/CF138,"")</f>
        <v/>
      </c>
      <c r="CM235" s="165">
        <f>IFERROR(N(CM121)/CG138,"")</f>
        <v/>
      </c>
      <c r="CN235" s="165">
        <f>IFERROR(N(CN121)/CH138,"")</f>
        <v/>
      </c>
      <c r="CO235" s="165">
        <f>IFERROR(N(CO121)/CI138,"")</f>
        <v/>
      </c>
      <c r="CP235" s="165">
        <f>IFERROR(N(CP121)/CO138,"")</f>
        <v/>
      </c>
      <c r="CQ235" s="165">
        <f>IFERROR(N(CQ121)/CP138,"")</f>
        <v/>
      </c>
      <c r="CR235" s="165">
        <f>IFERROR(N(CR121)/CQ138,"")</f>
        <v/>
      </c>
      <c r="CS235" s="165">
        <f>IFERROR(N(CS121)/CR138,"")</f>
        <v/>
      </c>
      <c r="CT235" s="22" t="n"/>
      <c r="CV235" s="6" t="n"/>
      <c r="CW235" s="6" t="n"/>
      <c r="CX235" s="6" t="n"/>
      <c r="CY235" s="6" t="n"/>
    </row>
    <row r="236" ht="15" customHeight="1">
      <c r="B236" s="25" t="inlineStr">
        <is>
          <t xml:space="preserve">  Aggregates shipments y/y %</t>
        </is>
      </c>
      <c r="C236" s="26" t="n"/>
      <c r="D236" s="26">
        <f>D12</f>
        <v/>
      </c>
      <c r="E236" s="26">
        <f>E12</f>
        <v/>
      </c>
      <c r="F236" s="26">
        <f>F12</f>
        <v/>
      </c>
      <c r="G236" s="26">
        <f>G12</f>
        <v/>
      </c>
      <c r="H236" s="26">
        <f>H12</f>
        <v/>
      </c>
      <c r="I236" s="26">
        <f>I12</f>
        <v/>
      </c>
      <c r="J236" s="26" t="n"/>
      <c r="K236" s="26" t="n"/>
      <c r="L236" s="26" t="n"/>
      <c r="M236" s="26" t="n"/>
      <c r="N236" s="26" t="n"/>
      <c r="O236" s="26">
        <f>O12</f>
        <v/>
      </c>
      <c r="P236" s="26">
        <f>P12</f>
        <v/>
      </c>
      <c r="Q236" s="26">
        <f>Q12</f>
        <v/>
      </c>
      <c r="R236" s="26">
        <f>R12</f>
        <v/>
      </c>
      <c r="S236" s="26">
        <f>S12</f>
        <v/>
      </c>
      <c r="T236" s="26">
        <f>T12</f>
        <v/>
      </c>
      <c r="U236" s="26">
        <f>U12</f>
        <v/>
      </c>
      <c r="V236" s="26">
        <f>V12</f>
        <v/>
      </c>
      <c r="W236" s="26">
        <f>W12</f>
        <v/>
      </c>
      <c r="X236" s="26">
        <f>X12</f>
        <v/>
      </c>
      <c r="Y236" s="26">
        <f>Y12</f>
        <v/>
      </c>
      <c r="Z236" s="26">
        <f>Z12</f>
        <v/>
      </c>
      <c r="AA236" s="26">
        <f>AA12</f>
        <v/>
      </c>
      <c r="AB236" s="26">
        <f>AB12</f>
        <v/>
      </c>
      <c r="AC236" s="26">
        <f>AC12</f>
        <v/>
      </c>
      <c r="AD236" s="26">
        <f>AD12</f>
        <v/>
      </c>
      <c r="AE236" s="26">
        <f>AE12</f>
        <v/>
      </c>
      <c r="AF236" s="26">
        <f>AF12</f>
        <v/>
      </c>
      <c r="AG236" s="26">
        <f>AG12</f>
        <v/>
      </c>
      <c r="AH236" s="26">
        <f>AH12</f>
        <v/>
      </c>
      <c r="AI236" s="26">
        <f>AI12</f>
        <v/>
      </c>
      <c r="AJ236" s="26">
        <f>AJ12</f>
        <v/>
      </c>
      <c r="AK236" s="26">
        <f>AK12</f>
        <v/>
      </c>
      <c r="AL236" s="26">
        <f>AL12</f>
        <v/>
      </c>
      <c r="AM236" s="26">
        <f>AM12</f>
        <v/>
      </c>
      <c r="AN236" s="26">
        <f>AN12</f>
        <v/>
      </c>
      <c r="AO236" s="26">
        <f>AO12</f>
        <v/>
      </c>
      <c r="AP236" s="26">
        <f>AP12</f>
        <v/>
      </c>
      <c r="AQ236" s="26">
        <f>AQ12</f>
        <v/>
      </c>
      <c r="AR236" s="26">
        <f>AR12</f>
        <v/>
      </c>
      <c r="AS236" s="26">
        <f>AS12</f>
        <v/>
      </c>
      <c r="AT236" s="26">
        <f>AT12</f>
        <v/>
      </c>
      <c r="AU236" s="26">
        <f>AU12</f>
        <v/>
      </c>
      <c r="AV236" s="26">
        <f>AV12</f>
        <v/>
      </c>
      <c r="AW236" s="26">
        <f>AW12</f>
        <v/>
      </c>
      <c r="AX236" s="26">
        <f>AX12</f>
        <v/>
      </c>
      <c r="AY236" s="26">
        <f>AY12</f>
        <v/>
      </c>
      <c r="AZ236" s="26">
        <f>AZ12</f>
        <v/>
      </c>
      <c r="BA236" s="26">
        <f>BA12</f>
        <v/>
      </c>
      <c r="BB236" s="26">
        <f>BB12</f>
        <v/>
      </c>
      <c r="BC236" s="26">
        <f>BC12</f>
        <v/>
      </c>
      <c r="BD236" s="26">
        <f>BD12</f>
        <v/>
      </c>
      <c r="BE236" s="26">
        <f>BE12</f>
        <v/>
      </c>
      <c r="BF236" s="26">
        <f>BF12</f>
        <v/>
      </c>
      <c r="BG236" s="26">
        <f>BG12</f>
        <v/>
      </c>
      <c r="BH236" s="26">
        <f>BH12</f>
        <v/>
      </c>
      <c r="BI236" s="26">
        <f>BI12</f>
        <v/>
      </c>
      <c r="BJ236" s="26">
        <f>BJ12</f>
        <v/>
      </c>
      <c r="BK236" s="26">
        <f>BK12</f>
        <v/>
      </c>
      <c r="BL236" s="26">
        <f>BL12</f>
        <v/>
      </c>
      <c r="BM236" s="26">
        <f>BM12</f>
        <v/>
      </c>
      <c r="BN236" s="26">
        <f>BN12</f>
        <v/>
      </c>
      <c r="BO236" s="26">
        <f>BO12</f>
        <v/>
      </c>
      <c r="BP236" s="26">
        <f>BP12</f>
        <v/>
      </c>
      <c r="BQ236" s="26">
        <f>BQ12</f>
        <v/>
      </c>
      <c r="BR236" s="26">
        <f>BR12</f>
        <v/>
      </c>
      <c r="BS236" s="26">
        <f>BS12</f>
        <v/>
      </c>
      <c r="BT236" s="26">
        <f>BT12</f>
        <v/>
      </c>
      <c r="BU236" s="26">
        <f>BU12</f>
        <v/>
      </c>
      <c r="BV236" s="26">
        <f>BV12</f>
        <v/>
      </c>
      <c r="BW236" s="26">
        <f>BW12</f>
        <v/>
      </c>
      <c r="BX236" s="26">
        <f>BX12</f>
        <v/>
      </c>
      <c r="BY236" s="26">
        <f>BY12</f>
        <v/>
      </c>
      <c r="BZ236" s="26">
        <f>BZ12</f>
        <v/>
      </c>
      <c r="CA236" s="26">
        <f>CA12</f>
        <v/>
      </c>
      <c r="CB236" s="26">
        <f>CB12</f>
        <v/>
      </c>
      <c r="CC236" s="26">
        <f>CC12</f>
        <v/>
      </c>
      <c r="CD236" s="26">
        <f>CD12</f>
        <v/>
      </c>
      <c r="CE236" s="26">
        <f>CE12</f>
        <v/>
      </c>
      <c r="CF236" s="26">
        <f>CF12</f>
        <v/>
      </c>
      <c r="CG236" s="26">
        <f>CG12</f>
        <v/>
      </c>
      <c r="CH236" s="26">
        <f>CH12</f>
        <v/>
      </c>
      <c r="CI236" s="26">
        <f>CI12</f>
        <v/>
      </c>
      <c r="CJ236" s="26">
        <f>CJ12</f>
        <v/>
      </c>
      <c r="CK236" s="26">
        <f>CK12</f>
        <v/>
      </c>
      <c r="CL236" s="26">
        <f>CL12</f>
        <v/>
      </c>
      <c r="CM236" s="165">
        <f>CM12</f>
        <v/>
      </c>
      <c r="CN236" s="165">
        <f>CN12</f>
        <v/>
      </c>
      <c r="CO236" s="165">
        <f>CO12</f>
        <v/>
      </c>
      <c r="CP236" s="165">
        <f>CP12</f>
        <v/>
      </c>
      <c r="CQ236" s="165">
        <f>CQ12</f>
        <v/>
      </c>
      <c r="CR236" s="165">
        <f>CR12</f>
        <v/>
      </c>
      <c r="CS236" s="165">
        <f>CS12</f>
        <v/>
      </c>
      <c r="CT236" s="22" t="n"/>
      <c r="CV236" s="193">
        <f>IFERROR(AVERAGE(CO236,CP236,CQ236,CR236,CS236),"n/m")</f>
        <v/>
      </c>
      <c r="CW236" s="193">
        <f>IFERROR(AVERAGE(BK236,BQ236,BW236,CC236,CI236),"n/m")</f>
        <v/>
      </c>
      <c r="CX236" s="193">
        <f>IFERROR(AVERAGE(AG236,AM236,AS236,AY236,BE236,BK236,BQ236,BW236,CC236,CI236),"n/m")</f>
        <v/>
      </c>
      <c r="CY236" s="193">
        <f>IFERROR(AVERAGE(C236,D236,E236,F236,G236,H236,I236,O236,U236,AA236,AG236,AM236,AS236,AY236,BE236,BK236,BQ236,BW236,CC236,CI236),"n/m")</f>
        <v/>
      </c>
    </row>
    <row r="237" ht="15" customHeight="1">
      <c r="B237" s="25" t="inlineStr">
        <is>
          <t xml:space="preserve">  Aggregates freight-adjusted price y/y %</t>
        </is>
      </c>
      <c r="C237" s="26" t="n"/>
      <c r="D237" s="26">
        <f>D14</f>
        <v/>
      </c>
      <c r="E237" s="26">
        <f>E14</f>
        <v/>
      </c>
      <c r="F237" s="26">
        <f>F14</f>
        <v/>
      </c>
      <c r="G237" s="26">
        <f>G14</f>
        <v/>
      </c>
      <c r="H237" s="26">
        <f>H14</f>
        <v/>
      </c>
      <c r="I237" s="26">
        <f>I14</f>
        <v/>
      </c>
      <c r="J237" s="26" t="n"/>
      <c r="K237" s="26" t="n"/>
      <c r="L237" s="26" t="n"/>
      <c r="M237" s="26" t="n"/>
      <c r="N237" s="26" t="n"/>
      <c r="O237" s="26">
        <f>O14</f>
        <v/>
      </c>
      <c r="P237" s="26">
        <f>P14</f>
        <v/>
      </c>
      <c r="Q237" s="26">
        <f>Q14</f>
        <v/>
      </c>
      <c r="R237" s="26">
        <f>R14</f>
        <v/>
      </c>
      <c r="S237" s="26">
        <f>S14</f>
        <v/>
      </c>
      <c r="T237" s="26">
        <f>T14</f>
        <v/>
      </c>
      <c r="U237" s="26">
        <f>U14</f>
        <v/>
      </c>
      <c r="V237" s="26">
        <f>V14</f>
        <v/>
      </c>
      <c r="W237" s="26">
        <f>W14</f>
        <v/>
      </c>
      <c r="X237" s="26">
        <f>X14</f>
        <v/>
      </c>
      <c r="Y237" s="26">
        <f>Y14</f>
        <v/>
      </c>
      <c r="Z237" s="26">
        <f>Z14</f>
        <v/>
      </c>
      <c r="AA237" s="26">
        <f>AA14</f>
        <v/>
      </c>
      <c r="AB237" s="26">
        <f>AB14</f>
        <v/>
      </c>
      <c r="AC237" s="26">
        <f>AC14</f>
        <v/>
      </c>
      <c r="AD237" s="26">
        <f>AD14</f>
        <v/>
      </c>
      <c r="AE237" s="26">
        <f>AE14</f>
        <v/>
      </c>
      <c r="AF237" s="26">
        <f>AF14</f>
        <v/>
      </c>
      <c r="AG237" s="26">
        <f>AG14</f>
        <v/>
      </c>
      <c r="AH237" s="26">
        <f>AH14</f>
        <v/>
      </c>
      <c r="AI237" s="26">
        <f>AI14</f>
        <v/>
      </c>
      <c r="AJ237" s="26">
        <f>AJ14</f>
        <v/>
      </c>
      <c r="AK237" s="26">
        <f>AK14</f>
        <v/>
      </c>
      <c r="AL237" s="26">
        <f>AL14</f>
        <v/>
      </c>
      <c r="AM237" s="26">
        <f>AM14</f>
        <v/>
      </c>
      <c r="AN237" s="26">
        <f>AN14</f>
        <v/>
      </c>
      <c r="AO237" s="26">
        <f>AO14</f>
        <v/>
      </c>
      <c r="AP237" s="26">
        <f>AP14</f>
        <v/>
      </c>
      <c r="AQ237" s="26">
        <f>AQ14</f>
        <v/>
      </c>
      <c r="AR237" s="26">
        <f>AR14</f>
        <v/>
      </c>
      <c r="AS237" s="26">
        <f>AS14</f>
        <v/>
      </c>
      <c r="AT237" s="26">
        <f>AT14</f>
        <v/>
      </c>
      <c r="AU237" s="26">
        <f>AU14</f>
        <v/>
      </c>
      <c r="AV237" s="26">
        <f>AV14</f>
        <v/>
      </c>
      <c r="AW237" s="26">
        <f>AW14</f>
        <v/>
      </c>
      <c r="AX237" s="26">
        <f>AX14</f>
        <v/>
      </c>
      <c r="AY237" s="26">
        <f>AY14</f>
        <v/>
      </c>
      <c r="AZ237" s="26">
        <f>AZ14</f>
        <v/>
      </c>
      <c r="BA237" s="26">
        <f>BA14</f>
        <v/>
      </c>
      <c r="BB237" s="26">
        <f>BB14</f>
        <v/>
      </c>
      <c r="BC237" s="26">
        <f>BC14</f>
        <v/>
      </c>
      <c r="BD237" s="26">
        <f>BD14</f>
        <v/>
      </c>
      <c r="BE237" s="26">
        <f>BE14</f>
        <v/>
      </c>
      <c r="BF237" s="26">
        <f>BF14</f>
        <v/>
      </c>
      <c r="BG237" s="26">
        <f>BG14</f>
        <v/>
      </c>
      <c r="BH237" s="26">
        <f>BH14</f>
        <v/>
      </c>
      <c r="BI237" s="26">
        <f>BI14</f>
        <v/>
      </c>
      <c r="BJ237" s="26">
        <f>BJ14</f>
        <v/>
      </c>
      <c r="BK237" s="26">
        <f>BK14</f>
        <v/>
      </c>
      <c r="BL237" s="26">
        <f>BL14</f>
        <v/>
      </c>
      <c r="BM237" s="26">
        <f>BM14</f>
        <v/>
      </c>
      <c r="BN237" s="26">
        <f>BN14</f>
        <v/>
      </c>
      <c r="BO237" s="26">
        <f>BO14</f>
        <v/>
      </c>
      <c r="BP237" s="26">
        <f>BP14</f>
        <v/>
      </c>
      <c r="BQ237" s="26">
        <f>BQ14</f>
        <v/>
      </c>
      <c r="BR237" s="26">
        <f>BR14</f>
        <v/>
      </c>
      <c r="BS237" s="26">
        <f>BS14</f>
        <v/>
      </c>
      <c r="BT237" s="26">
        <f>BT14</f>
        <v/>
      </c>
      <c r="BU237" s="26">
        <f>BU14</f>
        <v/>
      </c>
      <c r="BV237" s="26">
        <f>BV14</f>
        <v/>
      </c>
      <c r="BW237" s="26">
        <f>BW14</f>
        <v/>
      </c>
      <c r="BX237" s="26">
        <f>BX14</f>
        <v/>
      </c>
      <c r="BY237" s="26">
        <f>BY14</f>
        <v/>
      </c>
      <c r="BZ237" s="26">
        <f>BZ14</f>
        <v/>
      </c>
      <c r="CA237" s="26">
        <f>CA14</f>
        <v/>
      </c>
      <c r="CB237" s="26">
        <f>CB14</f>
        <v/>
      </c>
      <c r="CC237" s="26">
        <f>CC14</f>
        <v/>
      </c>
      <c r="CD237" s="26">
        <f>CD14</f>
        <v/>
      </c>
      <c r="CE237" s="26">
        <f>CE14</f>
        <v/>
      </c>
      <c r="CF237" s="26">
        <f>CF14</f>
        <v/>
      </c>
      <c r="CG237" s="26">
        <f>CG14</f>
        <v/>
      </c>
      <c r="CH237" s="26">
        <f>CH14</f>
        <v/>
      </c>
      <c r="CI237" s="26">
        <f>CI14</f>
        <v/>
      </c>
      <c r="CJ237" s="26">
        <f>CJ14</f>
        <v/>
      </c>
      <c r="CK237" s="26">
        <f>CK14</f>
        <v/>
      </c>
      <c r="CL237" s="26">
        <f>CL14</f>
        <v/>
      </c>
      <c r="CM237" s="165">
        <f>CM14</f>
        <v/>
      </c>
      <c r="CN237" s="165">
        <f>CN14</f>
        <v/>
      </c>
      <c r="CO237" s="165">
        <f>CO14</f>
        <v/>
      </c>
      <c r="CP237" s="165">
        <f>CP14</f>
        <v/>
      </c>
      <c r="CQ237" s="165">
        <f>CQ14</f>
        <v/>
      </c>
      <c r="CR237" s="165">
        <f>CR14</f>
        <v/>
      </c>
      <c r="CS237" s="165">
        <f>CS14</f>
        <v/>
      </c>
      <c r="CT237" s="22" t="n"/>
      <c r="CV237" s="193">
        <f>IFERROR(AVERAGE(CO237,CP237,CQ237,CR237,CS237),"n/m")</f>
        <v/>
      </c>
      <c r="CW237" s="193">
        <f>IFERROR(AVERAGE(BK237,BQ237,BW237,CC237,CI237),"n/m")</f>
        <v/>
      </c>
      <c r="CX237" s="193">
        <f>IFERROR(AVERAGE(AG237,AM237,AS237,AY237,BE237,BK237,BQ237,BW237,CC237,CI237),"n/m")</f>
        <v/>
      </c>
      <c r="CY237" s="193">
        <f>IFERROR(AVERAGE(C237,D237,E237,F237,G237,H237,I237,O237,U237,AA237,AG237,AM237,AS237,AY237,BE237,BK237,BQ237,BW237,CC237,CI237),"n/m")</f>
        <v/>
      </c>
    </row>
    <row r="238" ht="15" customHeight="1">
      <c r="B238" s="25" t="inlineStr">
        <is>
          <t xml:space="preserve">  Adjusted EBITDA (current definition) y/y %</t>
        </is>
      </c>
      <c r="C238" s="26" t="n"/>
      <c r="D238" s="26">
        <f>IF(AND(ISNUMBER(D198),ISNUMBER(C198)),IFERROR(D198/C198-1,""),"")</f>
        <v/>
      </c>
      <c r="E238" s="26">
        <f>IF(AND(ISNUMBER(E198),ISNUMBER(D198)),IFERROR(E198/D198-1,""),"")</f>
        <v/>
      </c>
      <c r="F238" s="26">
        <f>IF(AND(ISNUMBER(F198),ISNUMBER(E198)),IFERROR(F198/E198-1,""),"")</f>
        <v/>
      </c>
      <c r="G238" s="26">
        <f>IF(AND(ISNUMBER(G198),ISNUMBER(F198)),IFERROR(G198/F198-1,""),"")</f>
        <v/>
      </c>
      <c r="H238" s="26">
        <f>IF(AND(ISNUMBER(H198),ISNUMBER(G198)),IFERROR(H198/G198-1,""),"")</f>
        <v/>
      </c>
      <c r="I238" s="26">
        <f>IF(AND(ISNUMBER(I198),ISNUMBER(H198)),IFERROR(I198/H198-1,""),"")</f>
        <v/>
      </c>
      <c r="J238" s="26" t="n"/>
      <c r="K238" s="26" t="n"/>
      <c r="L238" s="26" t="n"/>
      <c r="M238" s="26" t="n"/>
      <c r="N238" s="26" t="n"/>
      <c r="O238" s="26">
        <f>IF(AND(ISNUMBER(O198),ISNUMBER(I198)),IFERROR(O198/I198-1,""),"")</f>
        <v/>
      </c>
      <c r="P238" s="26">
        <f>IF(AND(ISNUMBER(P198),ISNUMBER(J198)),IFERROR(P198/J198-1,""),"")</f>
        <v/>
      </c>
      <c r="Q238" s="26">
        <f>IF(AND(ISNUMBER(Q198),ISNUMBER(K198)),IFERROR(Q198/K198-1,""),"")</f>
        <v/>
      </c>
      <c r="R238" s="26">
        <f>IF(AND(ISNUMBER(R198),ISNUMBER(L198)),IFERROR(R198/L198-1,""),"")</f>
        <v/>
      </c>
      <c r="S238" s="26">
        <f>IF(AND(ISNUMBER(S198),ISNUMBER(M198)),IFERROR(S198/M198-1,""),"")</f>
        <v/>
      </c>
      <c r="T238" s="26">
        <f>IF(AND(ISNUMBER(T198),ISNUMBER(N198)),IFERROR(T198/N198-1,""),"")</f>
        <v/>
      </c>
      <c r="U238" s="26">
        <f>IF(AND(ISNUMBER(U198),ISNUMBER(O198)),IFERROR(U198/O198-1,""),"")</f>
        <v/>
      </c>
      <c r="V238" s="26">
        <f>IF(AND(ISNUMBER(V198),ISNUMBER(P198)),IFERROR(V198/P198-1,""),"")</f>
        <v/>
      </c>
      <c r="W238" s="26">
        <f>IF(AND(ISNUMBER(W198),ISNUMBER(Q198)),IFERROR(W198/Q198-1,""),"")</f>
        <v/>
      </c>
      <c r="X238" s="26">
        <f>IF(AND(ISNUMBER(X198),ISNUMBER(R198)),IFERROR(X198/R198-1,""),"")</f>
        <v/>
      </c>
      <c r="Y238" s="26">
        <f>IF(AND(ISNUMBER(Y198),ISNUMBER(S198)),IFERROR(Y198/S198-1,""),"")</f>
        <v/>
      </c>
      <c r="Z238" s="26">
        <f>IF(AND(ISNUMBER(Z198),ISNUMBER(T198)),IFERROR(Z198/T198-1,""),"")</f>
        <v/>
      </c>
      <c r="AA238" s="26">
        <f>IF(AND(ISNUMBER(AA198),ISNUMBER(U198)),IFERROR(AA198/U198-1,""),"")</f>
        <v/>
      </c>
      <c r="AB238" s="26">
        <f>IF(AND(ISNUMBER(AB198),ISNUMBER(V198)),IFERROR(AB198/V198-1,""),"")</f>
        <v/>
      </c>
      <c r="AC238" s="26">
        <f>IF(AND(ISNUMBER(AC198),ISNUMBER(W198)),IFERROR(AC198/W198-1,""),"")</f>
        <v/>
      </c>
      <c r="AD238" s="26">
        <f>IF(AND(ISNUMBER(AD198),ISNUMBER(X198)),IFERROR(AD198/X198-1,""),"")</f>
        <v/>
      </c>
      <c r="AE238" s="26">
        <f>IF(AND(ISNUMBER(AE198),ISNUMBER(Y198)),IFERROR(AE198/Y198-1,""),"")</f>
        <v/>
      </c>
      <c r="AF238" s="26">
        <f>IF(AND(ISNUMBER(AF198),ISNUMBER(Z198)),IFERROR(AF198/Z198-1,""),"")</f>
        <v/>
      </c>
      <c r="AG238" s="26">
        <f>IF(AND(ISNUMBER(AG198),ISNUMBER(AA198)),IFERROR(AG198/AA198-1,""),"")</f>
        <v/>
      </c>
      <c r="AH238" s="26">
        <f>IF(AND(ISNUMBER(AH198),ISNUMBER(AB198)),IFERROR(AH198/AB198-1,""),"")</f>
        <v/>
      </c>
      <c r="AI238" s="26">
        <f>IF(AND(ISNUMBER(AI198),ISNUMBER(AC198)),IFERROR(AI198/AC198-1,""),"")</f>
        <v/>
      </c>
      <c r="AJ238" s="26">
        <f>IF(AND(ISNUMBER(AJ198),ISNUMBER(AD198)),IFERROR(AJ198/AD198-1,""),"")</f>
        <v/>
      </c>
      <c r="AK238" s="26">
        <f>IF(AND(ISNUMBER(AK198),ISNUMBER(AE198)),IFERROR(AK198/AE198-1,""),"")</f>
        <v/>
      </c>
      <c r="AL238" s="26">
        <f>IF(AND(ISNUMBER(AL198),ISNUMBER(AF198)),IFERROR(AL198/AF198-1,""),"")</f>
        <v/>
      </c>
      <c r="AM238" s="26">
        <f>IF(AND(ISNUMBER(AM198),ISNUMBER(AG198)),IFERROR(AM198/AG198-1,""),"")</f>
        <v/>
      </c>
      <c r="AN238" s="26">
        <f>IF(AND(ISNUMBER(AN198),ISNUMBER(AH198)),IFERROR(AN198/AH198-1,""),"")</f>
        <v/>
      </c>
      <c r="AO238" s="26">
        <f>IF(AND(ISNUMBER(AO198),ISNUMBER(AI198)),IFERROR(AO198/AI198-1,""),"")</f>
        <v/>
      </c>
      <c r="AP238" s="26">
        <f>IF(AND(ISNUMBER(AP198),ISNUMBER(AJ198)),IFERROR(AP198/AJ198-1,""),"")</f>
        <v/>
      </c>
      <c r="AQ238" s="26">
        <f>IF(AND(ISNUMBER(AQ198),ISNUMBER(AK198)),IFERROR(AQ198/AK198-1,""),"")</f>
        <v/>
      </c>
      <c r="AR238" s="26">
        <f>IF(AND(ISNUMBER(AR198),ISNUMBER(AL198)),IFERROR(AR198/AL198-1,""),"")</f>
        <v/>
      </c>
      <c r="AS238" s="26">
        <f>IF(AND(ISNUMBER(AS198),ISNUMBER(AM198)),IFERROR(AS198/AM198-1,""),"")</f>
        <v/>
      </c>
      <c r="AT238" s="26">
        <f>IF(AND(ISNUMBER(AT198),ISNUMBER(AN198)),IFERROR(AT198/AN198-1,""),"")</f>
        <v/>
      </c>
      <c r="AU238" s="26">
        <f>IF(AND(ISNUMBER(AU198),ISNUMBER(AO198)),IFERROR(AU198/AO198-1,""),"")</f>
        <v/>
      </c>
      <c r="AV238" s="26">
        <f>IF(AND(ISNUMBER(AV198),ISNUMBER(AP198)),IFERROR(AV198/AP198-1,""),"")</f>
        <v/>
      </c>
      <c r="AW238" s="26">
        <f>IF(AND(ISNUMBER(AW198),ISNUMBER(AQ198)),IFERROR(AW198/AQ198-1,""),"")</f>
        <v/>
      </c>
      <c r="AX238" s="26">
        <f>IF(AND(ISNUMBER(AX198),ISNUMBER(AR198)),IFERROR(AX198/AR198-1,""),"")</f>
        <v/>
      </c>
      <c r="AY238" s="26">
        <f>IF(AND(ISNUMBER(AY198),ISNUMBER(AS198)),IFERROR(AY198/AS198-1,""),"")</f>
        <v/>
      </c>
      <c r="AZ238" s="26">
        <f>IF(AND(ISNUMBER(AZ198),ISNUMBER(AT198)),IFERROR(AZ198/AT198-1,""),"")</f>
        <v/>
      </c>
      <c r="BA238" s="26">
        <f>IF(AND(ISNUMBER(BA198),ISNUMBER(AU198)),IFERROR(BA198/AU198-1,""),"")</f>
        <v/>
      </c>
      <c r="BB238" s="26">
        <f>IF(AND(ISNUMBER(BB198),ISNUMBER(AV198)),IFERROR(BB198/AV198-1,""),"")</f>
        <v/>
      </c>
      <c r="BC238" s="26">
        <f>IF(AND(ISNUMBER(BC198),ISNUMBER(AW198)),IFERROR(BC198/AW198-1,""),"")</f>
        <v/>
      </c>
      <c r="BD238" s="26">
        <f>IF(AND(ISNUMBER(BD198),ISNUMBER(AX198)),IFERROR(BD198/AX198-1,""),"")</f>
        <v/>
      </c>
      <c r="BE238" s="26">
        <f>IF(AND(ISNUMBER(BE198),ISNUMBER(AY198)),IFERROR(BE198/AY198-1,""),"")</f>
        <v/>
      </c>
      <c r="BF238" s="26">
        <f>IF(AND(ISNUMBER(BF198),ISNUMBER(AZ198)),IFERROR(BF198/AZ198-1,""),"")</f>
        <v/>
      </c>
      <c r="BG238" s="26">
        <f>IF(AND(ISNUMBER(BG198),ISNUMBER(BA198)),IFERROR(BG198/BA198-1,""),"")</f>
        <v/>
      </c>
      <c r="BH238" s="26">
        <f>IF(AND(ISNUMBER(BH198),ISNUMBER(BB198)),IFERROR(BH198/BB198-1,""),"")</f>
        <v/>
      </c>
      <c r="BI238" s="26">
        <f>IF(AND(ISNUMBER(BI198),ISNUMBER(BC198)),IFERROR(BI198/BC198-1,""),"")</f>
        <v/>
      </c>
      <c r="BJ238" s="26">
        <f>IF(AND(ISNUMBER(BJ198),ISNUMBER(BD198)),IFERROR(BJ198/BD198-1,""),"")</f>
        <v/>
      </c>
      <c r="BK238" s="26">
        <f>IF(AND(ISNUMBER(BK198),ISNUMBER(BE198)),IFERROR(BK198/BE198-1,""),"")</f>
        <v/>
      </c>
      <c r="BL238" s="26">
        <f>IF(AND(ISNUMBER(BL198),ISNUMBER(BF198)),IFERROR(BL198/BF198-1,""),"")</f>
        <v/>
      </c>
      <c r="BM238" s="26">
        <f>IF(AND(ISNUMBER(BM198),ISNUMBER(BG198)),IFERROR(BM198/BG198-1,""),"")</f>
        <v/>
      </c>
      <c r="BN238" s="26">
        <f>IF(AND(ISNUMBER(BN198),ISNUMBER(BH198)),IFERROR(BN198/BH198-1,""),"")</f>
        <v/>
      </c>
      <c r="BO238" s="26">
        <f>IF(AND(ISNUMBER(BO198),ISNUMBER(BI198)),IFERROR(BO198/BI198-1,""),"")</f>
        <v/>
      </c>
      <c r="BP238" s="26">
        <f>IF(AND(ISNUMBER(BP198),ISNUMBER(BJ198)),IFERROR(BP198/BJ198-1,""),"")</f>
        <v/>
      </c>
      <c r="BQ238" s="26">
        <f>IF(AND(ISNUMBER(BQ198),ISNUMBER(BK198)),IFERROR(BQ198/BK198-1,""),"")</f>
        <v/>
      </c>
      <c r="BR238" s="26">
        <f>IF(AND(ISNUMBER(BR198),ISNUMBER(BL198)),IFERROR(BR198/BL198-1,""),"")</f>
        <v/>
      </c>
      <c r="BS238" s="26">
        <f>IF(AND(ISNUMBER(BS198),ISNUMBER(BM198)),IFERROR(BS198/BM198-1,""),"")</f>
        <v/>
      </c>
      <c r="BT238" s="26">
        <f>IF(AND(ISNUMBER(BT198),ISNUMBER(BN198)),IFERROR(BT198/BN198-1,""),"")</f>
        <v/>
      </c>
      <c r="BU238" s="26">
        <f>IF(AND(ISNUMBER(BU198),ISNUMBER(BO198)),IFERROR(BU198/BO198-1,""),"")</f>
        <v/>
      </c>
      <c r="BV238" s="26">
        <f>IF(AND(ISNUMBER(BV198),ISNUMBER(BP198)),IFERROR(BV198/BP198-1,""),"")</f>
        <v/>
      </c>
      <c r="BW238" s="26">
        <f>IF(AND(ISNUMBER(BW198),ISNUMBER(BQ198)),IFERROR(BW198/BQ198-1,""),"")</f>
        <v/>
      </c>
      <c r="BX238" s="26">
        <f>IF(AND(ISNUMBER(BX198),ISNUMBER(BR198)),IFERROR(BX198/BR198-1,""),"")</f>
        <v/>
      </c>
      <c r="BY238" s="26">
        <f>IF(AND(ISNUMBER(BY198),ISNUMBER(BS198)),IFERROR(BY198/BS198-1,""),"")</f>
        <v/>
      </c>
      <c r="BZ238" s="26">
        <f>IF(AND(ISNUMBER(BZ198),ISNUMBER(BT198)),IFERROR(BZ198/BT198-1,""),"")</f>
        <v/>
      </c>
      <c r="CA238" s="26">
        <f>IF(AND(ISNUMBER(CA198),ISNUMBER(BU198)),IFERROR(CA198/BU198-1,""),"")</f>
        <v/>
      </c>
      <c r="CB238" s="26">
        <f>IF(AND(ISNUMBER(CB198),ISNUMBER(BV198)),IFERROR(CB198/BV198-1,""),"")</f>
        <v/>
      </c>
      <c r="CC238" s="26">
        <f>IF(AND(ISNUMBER(CC198),ISNUMBER(BW198)),IFERROR(CC198/BW198-1,""),"")</f>
        <v/>
      </c>
      <c r="CD238" s="26">
        <f>IF(AND(ISNUMBER(CD198),ISNUMBER(BX198)),IFERROR(CD198/BX198-1,""),"")</f>
        <v/>
      </c>
      <c r="CE238" s="26">
        <f>IF(AND(ISNUMBER(CE198),ISNUMBER(BY198)),IFERROR(CE198/BY198-1,""),"")</f>
        <v/>
      </c>
      <c r="CF238" s="26">
        <f>IF(AND(ISNUMBER(CF198),ISNUMBER(BZ198)),IFERROR(CF198/BZ198-1,""),"")</f>
        <v/>
      </c>
      <c r="CG238" s="26">
        <f>IF(AND(ISNUMBER(CG198),ISNUMBER(CA198)),IFERROR(CG198/CA198-1,""),"")</f>
        <v/>
      </c>
      <c r="CH238" s="26">
        <f>IF(AND(ISNUMBER(CH198),ISNUMBER(CB198)),IFERROR(CH198/CB198-1,""),"")</f>
        <v/>
      </c>
      <c r="CI238" s="26">
        <f>IF(AND(ISNUMBER(CI198),ISNUMBER(CC198)),IFERROR(CI198/CC198-1,""),"")</f>
        <v/>
      </c>
      <c r="CJ238" s="26">
        <f>IF(AND(ISNUMBER(CJ198),ISNUMBER(CD198)),IFERROR(CJ198/CD198-1,""),"")</f>
        <v/>
      </c>
      <c r="CK238" s="26">
        <f>IF(AND(ISNUMBER(CK198),ISNUMBER(CE198)),IFERROR(CK198/CE198-1,""),"")</f>
        <v/>
      </c>
      <c r="CL238" s="26">
        <f>IF(AND(ISNUMBER(CL198),ISNUMBER(CF198)),IFERROR(CL198/CF198-1,""),"")</f>
        <v/>
      </c>
      <c r="CM238" s="165">
        <f>IF(AND(ISNUMBER(CM198),ISNUMBER(CG198)),IFERROR(CM198/CG198-1,""),"")</f>
        <v/>
      </c>
      <c r="CN238" s="165">
        <f>IF(AND(ISNUMBER(CN198),ISNUMBER(CH198)),IFERROR(CN198/CH198-1,""),"")</f>
        <v/>
      </c>
      <c r="CO238" s="165">
        <f>IF(AND(ISNUMBER(CO198),ISNUMBER(CI198)),IFERROR(CO198/CI198-1,""),"")</f>
        <v/>
      </c>
      <c r="CP238" s="165">
        <f>IF(AND(ISNUMBER(CP198),ISNUMBER(CO198)),IFERROR(CP198/CO198-1,""),"")</f>
        <v/>
      </c>
      <c r="CQ238" s="165">
        <f>IF(AND(ISNUMBER(CQ198),ISNUMBER(CP198)),IFERROR(CQ198/CP198-1,""),"")</f>
        <v/>
      </c>
      <c r="CR238" s="165">
        <f>IF(AND(ISNUMBER(CR198),ISNUMBER(CQ198)),IFERROR(CR198/CQ198-1,""),"")</f>
        <v/>
      </c>
      <c r="CS238" s="165">
        <f>IF(AND(ISNUMBER(CS198),ISNUMBER(CR198)),IFERROR(CS198/CR198-1,""),"")</f>
        <v/>
      </c>
      <c r="CT238" s="22" t="n"/>
      <c r="CV238" s="6" t="n"/>
      <c r="CW238" s="6" t="n"/>
      <c r="CX238" s="6" t="n"/>
      <c r="CY238" s="6" t="n"/>
    </row>
    <row r="239" ht="15" customHeight="1">
      <c r="B239" s="25" t="inlineStr">
        <is>
          <t xml:space="preserve">  Operating earnings (GAAP) y/y %</t>
        </is>
      </c>
      <c r="C239" s="26" t="n"/>
      <c r="D239" s="26">
        <f>IF(AND(ISNUMBER(D145),ISNUMBER(C145)),IFERROR(D145/C145-1,""),"")</f>
        <v/>
      </c>
      <c r="E239" s="26">
        <f>IF(AND(ISNUMBER(E145),ISNUMBER(D145)),IFERROR(E145/D145-1,""),"")</f>
        <v/>
      </c>
      <c r="F239" s="26">
        <f>IF(AND(ISNUMBER(F145),ISNUMBER(E145)),IFERROR(F145/E145-1,""),"")</f>
        <v/>
      </c>
      <c r="G239" s="26">
        <f>IF(AND(ISNUMBER(G145),ISNUMBER(F145)),IFERROR(G145/F145-1,""),"")</f>
        <v/>
      </c>
      <c r="H239" s="26">
        <f>IF(AND(ISNUMBER(H145),ISNUMBER(G145)),IFERROR(H145/G145-1,""),"")</f>
        <v/>
      </c>
      <c r="I239" s="26">
        <f>IF(AND(ISNUMBER(I145),ISNUMBER(H145)),IFERROR(I145/H145-1,""),"")</f>
        <v/>
      </c>
      <c r="J239" s="26" t="n"/>
      <c r="K239" s="26" t="n"/>
      <c r="L239" s="26" t="n"/>
      <c r="M239" s="26" t="n"/>
      <c r="N239" s="26" t="n"/>
      <c r="O239" s="26">
        <f>IF(AND(ISNUMBER(O145),ISNUMBER(I145)),IFERROR(O145/I145-1,""),"")</f>
        <v/>
      </c>
      <c r="P239" s="26">
        <f>IF(AND(ISNUMBER(P145),ISNUMBER(J145)),IFERROR(P145/J145-1,""),"")</f>
        <v/>
      </c>
      <c r="Q239" s="26">
        <f>IF(AND(ISNUMBER(Q145),ISNUMBER(K145)),IFERROR(Q145/K145-1,""),"")</f>
        <v/>
      </c>
      <c r="R239" s="26">
        <f>IF(AND(ISNUMBER(R145),ISNUMBER(L145)),IFERROR(R145/L145-1,""),"")</f>
        <v/>
      </c>
      <c r="S239" s="26">
        <f>IF(AND(ISNUMBER(S145),ISNUMBER(M145)),IFERROR(S145/M145-1,""),"")</f>
        <v/>
      </c>
      <c r="T239" s="26">
        <f>IF(AND(ISNUMBER(T145),ISNUMBER(N145)),IFERROR(T145/N145-1,""),"")</f>
        <v/>
      </c>
      <c r="U239" s="26">
        <f>IF(AND(ISNUMBER(U145),ISNUMBER(O145)),IFERROR(U145/O145-1,""),"")</f>
        <v/>
      </c>
      <c r="V239" s="26">
        <f>IF(AND(ISNUMBER(V145),ISNUMBER(P145)),IFERROR(V145/P145-1,""),"")</f>
        <v/>
      </c>
      <c r="W239" s="26">
        <f>IF(AND(ISNUMBER(W145),ISNUMBER(Q145)),IFERROR(W145/Q145-1,""),"")</f>
        <v/>
      </c>
      <c r="X239" s="26">
        <f>IF(AND(ISNUMBER(X145),ISNUMBER(R145)),IFERROR(X145/R145-1,""),"")</f>
        <v/>
      </c>
      <c r="Y239" s="26">
        <f>IF(AND(ISNUMBER(Y145),ISNUMBER(S145)),IFERROR(Y145/S145-1,""),"")</f>
        <v/>
      </c>
      <c r="Z239" s="26">
        <f>IF(AND(ISNUMBER(Z145),ISNUMBER(T145)),IFERROR(Z145/T145-1,""),"")</f>
        <v/>
      </c>
      <c r="AA239" s="26">
        <f>IF(AND(ISNUMBER(AA145),ISNUMBER(U145)),IFERROR(AA145/U145-1,""),"")</f>
        <v/>
      </c>
      <c r="AB239" s="26">
        <f>IF(AND(ISNUMBER(AB145),ISNUMBER(V145)),IFERROR(AB145/V145-1,""),"")</f>
        <v/>
      </c>
      <c r="AC239" s="26">
        <f>IF(AND(ISNUMBER(AC145),ISNUMBER(W145)),IFERROR(AC145/W145-1,""),"")</f>
        <v/>
      </c>
      <c r="AD239" s="26">
        <f>IF(AND(ISNUMBER(AD145),ISNUMBER(X145)),IFERROR(AD145/X145-1,""),"")</f>
        <v/>
      </c>
      <c r="AE239" s="26">
        <f>IF(AND(ISNUMBER(AE145),ISNUMBER(Y145)),IFERROR(AE145/Y145-1,""),"")</f>
        <v/>
      </c>
      <c r="AF239" s="26">
        <f>IF(AND(ISNUMBER(AF145),ISNUMBER(Z145)),IFERROR(AF145/Z145-1,""),"")</f>
        <v/>
      </c>
      <c r="AG239" s="26">
        <f>IF(AND(ISNUMBER(AG145),ISNUMBER(AA145)),IFERROR(AG145/AA145-1,""),"")</f>
        <v/>
      </c>
      <c r="AH239" s="26">
        <f>IF(AND(ISNUMBER(AH145),ISNUMBER(AB145)),IFERROR(AH145/AB145-1,""),"")</f>
        <v/>
      </c>
      <c r="AI239" s="26">
        <f>IF(AND(ISNUMBER(AI145),ISNUMBER(AC145)),IFERROR(AI145/AC145-1,""),"")</f>
        <v/>
      </c>
      <c r="AJ239" s="26">
        <f>IF(AND(ISNUMBER(AJ145),ISNUMBER(AD145)),IFERROR(AJ145/AD145-1,""),"")</f>
        <v/>
      </c>
      <c r="AK239" s="26">
        <f>IF(AND(ISNUMBER(AK145),ISNUMBER(AE145)),IFERROR(AK145/AE145-1,""),"")</f>
        <v/>
      </c>
      <c r="AL239" s="26">
        <f>IF(AND(ISNUMBER(AL145),ISNUMBER(AF145)),IFERROR(AL145/AF145-1,""),"")</f>
        <v/>
      </c>
      <c r="AM239" s="26">
        <f>IF(AND(ISNUMBER(AM145),ISNUMBER(AG145)),IFERROR(AM145/AG145-1,""),"")</f>
        <v/>
      </c>
      <c r="AN239" s="26">
        <f>IF(AND(ISNUMBER(AN145),ISNUMBER(AH145)),IFERROR(AN145/AH145-1,""),"")</f>
        <v/>
      </c>
      <c r="AO239" s="26">
        <f>IF(AND(ISNUMBER(AO145),ISNUMBER(AI145)),IFERROR(AO145/AI145-1,""),"")</f>
        <v/>
      </c>
      <c r="AP239" s="26">
        <f>IF(AND(ISNUMBER(AP145),ISNUMBER(AJ145)),IFERROR(AP145/AJ145-1,""),"")</f>
        <v/>
      </c>
      <c r="AQ239" s="26">
        <f>IF(AND(ISNUMBER(AQ145),ISNUMBER(AK145)),IFERROR(AQ145/AK145-1,""),"")</f>
        <v/>
      </c>
      <c r="AR239" s="26">
        <f>IF(AND(ISNUMBER(AR145),ISNUMBER(AL145)),IFERROR(AR145/AL145-1,""),"")</f>
        <v/>
      </c>
      <c r="AS239" s="26">
        <f>IF(AND(ISNUMBER(AS145),ISNUMBER(AM145)),IFERROR(AS145/AM145-1,""),"")</f>
        <v/>
      </c>
      <c r="AT239" s="26">
        <f>IF(AND(ISNUMBER(AT145),ISNUMBER(AN145)),IFERROR(AT145/AN145-1,""),"")</f>
        <v/>
      </c>
      <c r="AU239" s="26">
        <f>IF(AND(ISNUMBER(AU145),ISNUMBER(AO145)),IFERROR(AU145/AO145-1,""),"")</f>
        <v/>
      </c>
      <c r="AV239" s="26">
        <f>IF(AND(ISNUMBER(AV145),ISNUMBER(AP145)),IFERROR(AV145/AP145-1,""),"")</f>
        <v/>
      </c>
      <c r="AW239" s="26">
        <f>IF(AND(ISNUMBER(AW145),ISNUMBER(AQ145)),IFERROR(AW145/AQ145-1,""),"")</f>
        <v/>
      </c>
      <c r="AX239" s="26">
        <f>IF(AND(ISNUMBER(AX145),ISNUMBER(AR145)),IFERROR(AX145/AR145-1,""),"")</f>
        <v/>
      </c>
      <c r="AY239" s="26">
        <f>IF(AND(ISNUMBER(AY145),ISNUMBER(AS145)),IFERROR(AY145/AS145-1,""),"")</f>
        <v/>
      </c>
      <c r="AZ239" s="26">
        <f>IF(AND(ISNUMBER(AZ145),ISNUMBER(AT145)),IFERROR(AZ145/AT145-1,""),"")</f>
        <v/>
      </c>
      <c r="BA239" s="26">
        <f>IF(AND(ISNUMBER(BA145),ISNUMBER(AU145)),IFERROR(BA145/AU145-1,""),"")</f>
        <v/>
      </c>
      <c r="BB239" s="26">
        <f>IF(AND(ISNUMBER(BB145),ISNUMBER(AV145)),IFERROR(BB145/AV145-1,""),"")</f>
        <v/>
      </c>
      <c r="BC239" s="26">
        <f>IF(AND(ISNUMBER(BC145),ISNUMBER(AW145)),IFERROR(BC145/AW145-1,""),"")</f>
        <v/>
      </c>
      <c r="BD239" s="26">
        <f>IF(AND(ISNUMBER(BD145),ISNUMBER(AX145)),IFERROR(BD145/AX145-1,""),"")</f>
        <v/>
      </c>
      <c r="BE239" s="26">
        <f>IF(AND(ISNUMBER(BE145),ISNUMBER(AY145)),IFERROR(BE145/AY145-1,""),"")</f>
        <v/>
      </c>
      <c r="BF239" s="26">
        <f>IF(AND(ISNUMBER(BF145),ISNUMBER(AZ145)),IFERROR(BF145/AZ145-1,""),"")</f>
        <v/>
      </c>
      <c r="BG239" s="26">
        <f>IF(AND(ISNUMBER(BG145),ISNUMBER(BA145)),IFERROR(BG145/BA145-1,""),"")</f>
        <v/>
      </c>
      <c r="BH239" s="26">
        <f>IF(AND(ISNUMBER(BH145),ISNUMBER(BB145)),IFERROR(BH145/BB145-1,""),"")</f>
        <v/>
      </c>
      <c r="BI239" s="26">
        <f>IF(AND(ISNUMBER(BI145),ISNUMBER(BC145)),IFERROR(BI145/BC145-1,""),"")</f>
        <v/>
      </c>
      <c r="BJ239" s="26">
        <f>IF(AND(ISNUMBER(BJ145),ISNUMBER(BD145)),IFERROR(BJ145/BD145-1,""),"")</f>
        <v/>
      </c>
      <c r="BK239" s="26">
        <f>IF(AND(ISNUMBER(BK145),ISNUMBER(BE145)),IFERROR(BK145/BE145-1,""),"")</f>
        <v/>
      </c>
      <c r="BL239" s="26">
        <f>IF(AND(ISNUMBER(BL145),ISNUMBER(BF145)),IFERROR(BL145/BF145-1,""),"")</f>
        <v/>
      </c>
      <c r="BM239" s="26">
        <f>IF(AND(ISNUMBER(BM145),ISNUMBER(BG145)),IFERROR(BM145/BG145-1,""),"")</f>
        <v/>
      </c>
      <c r="BN239" s="26">
        <f>IF(AND(ISNUMBER(BN145),ISNUMBER(BH145)),IFERROR(BN145/BH145-1,""),"")</f>
        <v/>
      </c>
      <c r="BO239" s="26">
        <f>IF(AND(ISNUMBER(BO145),ISNUMBER(BI145)),IFERROR(BO145/BI145-1,""),"")</f>
        <v/>
      </c>
      <c r="BP239" s="26">
        <f>IF(AND(ISNUMBER(BP145),ISNUMBER(BJ145)),IFERROR(BP145/BJ145-1,""),"")</f>
        <v/>
      </c>
      <c r="BQ239" s="26">
        <f>IF(AND(ISNUMBER(BQ145),ISNUMBER(BK145)),IFERROR(BQ145/BK145-1,""),"")</f>
        <v/>
      </c>
      <c r="BR239" s="26">
        <f>IF(AND(ISNUMBER(BR145),ISNUMBER(BL145)),IFERROR(BR145/BL145-1,""),"")</f>
        <v/>
      </c>
      <c r="BS239" s="26">
        <f>IF(AND(ISNUMBER(BS145),ISNUMBER(BM145)),IFERROR(BS145/BM145-1,""),"")</f>
        <v/>
      </c>
      <c r="BT239" s="26">
        <f>IF(AND(ISNUMBER(BT145),ISNUMBER(BN145)),IFERROR(BT145/BN145-1,""),"")</f>
        <v/>
      </c>
      <c r="BU239" s="26">
        <f>IF(AND(ISNUMBER(BU145),ISNUMBER(BO145)),IFERROR(BU145/BO145-1,""),"")</f>
        <v/>
      </c>
      <c r="BV239" s="26">
        <f>IF(AND(ISNUMBER(BV145),ISNUMBER(BP145)),IFERROR(BV145/BP145-1,""),"")</f>
        <v/>
      </c>
      <c r="BW239" s="26">
        <f>IF(AND(ISNUMBER(BW145),ISNUMBER(BQ145)),IFERROR(BW145/BQ145-1,""),"")</f>
        <v/>
      </c>
      <c r="BX239" s="26">
        <f>IF(AND(ISNUMBER(BX145),ISNUMBER(BR145)),IFERROR(BX145/BR145-1,""),"")</f>
        <v/>
      </c>
      <c r="BY239" s="26">
        <f>IF(AND(ISNUMBER(BY145),ISNUMBER(BS145)),IFERROR(BY145/BS145-1,""),"")</f>
        <v/>
      </c>
      <c r="BZ239" s="26">
        <f>IF(AND(ISNUMBER(BZ145),ISNUMBER(BT145)),IFERROR(BZ145/BT145-1,""),"")</f>
        <v/>
      </c>
      <c r="CA239" s="26">
        <f>IF(AND(ISNUMBER(CA145),ISNUMBER(BU145)),IFERROR(CA145/BU145-1,""),"")</f>
        <v/>
      </c>
      <c r="CB239" s="26">
        <f>IF(AND(ISNUMBER(CB145),ISNUMBER(BV145)),IFERROR(CB145/BV145-1,""),"")</f>
        <v/>
      </c>
      <c r="CC239" s="26">
        <f>IF(AND(ISNUMBER(CC145),ISNUMBER(BW145)),IFERROR(CC145/BW145-1,""),"")</f>
        <v/>
      </c>
      <c r="CD239" s="26">
        <f>IF(AND(ISNUMBER(CD145),ISNUMBER(BX145)),IFERROR(CD145/BX145-1,""),"")</f>
        <v/>
      </c>
      <c r="CE239" s="26">
        <f>IF(AND(ISNUMBER(CE145),ISNUMBER(BY145)),IFERROR(CE145/BY145-1,""),"")</f>
        <v/>
      </c>
      <c r="CF239" s="26">
        <f>IF(AND(ISNUMBER(CF145),ISNUMBER(BZ145)),IFERROR(CF145/BZ145-1,""),"")</f>
        <v/>
      </c>
      <c r="CG239" s="26">
        <f>IF(AND(ISNUMBER(CG145),ISNUMBER(CA145)),IFERROR(CG145/CA145-1,""),"")</f>
        <v/>
      </c>
      <c r="CH239" s="26">
        <f>IF(AND(ISNUMBER(CH145),ISNUMBER(CB145)),IFERROR(CH145/CB145-1,""),"")</f>
        <v/>
      </c>
      <c r="CI239" s="26">
        <f>IF(AND(ISNUMBER(CI145),ISNUMBER(CC145)),IFERROR(CI145/CC145-1,""),"")</f>
        <v/>
      </c>
      <c r="CJ239" s="26">
        <f>IF(AND(ISNUMBER(CJ145),ISNUMBER(CD145)),IFERROR(CJ145/CD145-1,""),"")</f>
        <v/>
      </c>
      <c r="CK239" s="26">
        <f>IF(AND(ISNUMBER(CK145),ISNUMBER(CE145)),IFERROR(CK145/CE145-1,""),"")</f>
        <v/>
      </c>
      <c r="CL239" s="26">
        <f>IF(AND(ISNUMBER(CL145),ISNUMBER(CF145)),IFERROR(CL145/CF145-1,""),"")</f>
        <v/>
      </c>
      <c r="CM239" s="165">
        <f>IF(AND(ISNUMBER(CM145),ISNUMBER(CG145)),IFERROR(CM145/CG145-1,""),"")</f>
        <v/>
      </c>
      <c r="CN239" s="165">
        <f>IF(AND(ISNUMBER(CN145),ISNUMBER(CH145)),IFERROR(CN145/CH145-1,""),"")</f>
        <v/>
      </c>
      <c r="CO239" s="165">
        <f>IF(AND(ISNUMBER(CO145),ISNUMBER(CI145)),IFERROR(CO145/CI145-1,""),"")</f>
        <v/>
      </c>
      <c r="CP239" s="165">
        <f>IF(AND(ISNUMBER(CP145),ISNUMBER(CO145)),IFERROR(CP145/CO145-1,""),"")</f>
        <v/>
      </c>
      <c r="CQ239" s="165">
        <f>IF(AND(ISNUMBER(CQ145),ISNUMBER(CP145)),IFERROR(CQ145/CP145-1,""),"")</f>
        <v/>
      </c>
      <c r="CR239" s="165">
        <f>IF(AND(ISNUMBER(CR145),ISNUMBER(CQ145)),IFERROR(CR145/CQ145-1,""),"")</f>
        <v/>
      </c>
      <c r="CS239" s="165">
        <f>IF(AND(ISNUMBER(CS145),ISNUMBER(CR145)),IFERROR(CS145/CR145-1,""),"")</f>
        <v/>
      </c>
      <c r="CT239" s="22" t="n"/>
      <c r="CV239" s="6" t="n"/>
      <c r="CW239" s="6" t="n"/>
      <c r="CX239" s="6" t="n"/>
      <c r="CY239" s="6" t="n"/>
    </row>
    <row r="240" ht="15" customHeight="1">
      <c r="B240" s="25" t="inlineStr">
        <is>
          <t xml:space="preserve">  Net earnings attributable to Vulcan y/y %</t>
        </is>
      </c>
      <c r="C240" s="26" t="n"/>
      <c r="D240" s="26">
        <f>IF(AND(ISNUMBER(D155),ISNUMBER(C155)),IFERROR(D155/C155-1,""),"")</f>
        <v/>
      </c>
      <c r="E240" s="26">
        <f>IF(AND(ISNUMBER(E155),ISNUMBER(D155)),IFERROR(E155/D155-1,""),"")</f>
        <v/>
      </c>
      <c r="F240" s="26">
        <f>IF(AND(ISNUMBER(F155),ISNUMBER(E155)),IFERROR(F155/E155-1,""),"")</f>
        <v/>
      </c>
      <c r="G240" s="26">
        <f>IF(AND(ISNUMBER(G155),ISNUMBER(F155)),IFERROR(G155/F155-1,""),"")</f>
        <v/>
      </c>
      <c r="H240" s="26">
        <f>IF(AND(ISNUMBER(H155),ISNUMBER(G155)),IFERROR(H155/G155-1,""),"")</f>
        <v/>
      </c>
      <c r="I240" s="26">
        <f>IF(AND(ISNUMBER(I155),ISNUMBER(H155)),IFERROR(I155/H155-1,""),"")</f>
        <v/>
      </c>
      <c r="J240" s="26" t="n"/>
      <c r="K240" s="26" t="n"/>
      <c r="L240" s="26" t="n"/>
      <c r="M240" s="26" t="n"/>
      <c r="N240" s="26" t="n"/>
      <c r="O240" s="26">
        <f>IF(AND(ISNUMBER(O155),ISNUMBER(I155)),IFERROR(O155/I155-1,""),"")</f>
        <v/>
      </c>
      <c r="P240" s="26">
        <f>IF(AND(ISNUMBER(P155),ISNUMBER(J155)),IFERROR(P155/J155-1,""),"")</f>
        <v/>
      </c>
      <c r="Q240" s="26">
        <f>IF(AND(ISNUMBER(Q155),ISNUMBER(K155)),IFERROR(Q155/K155-1,""),"")</f>
        <v/>
      </c>
      <c r="R240" s="26">
        <f>IF(AND(ISNUMBER(R155),ISNUMBER(L155)),IFERROR(R155/L155-1,""),"")</f>
        <v/>
      </c>
      <c r="S240" s="26">
        <f>IF(AND(ISNUMBER(S155),ISNUMBER(M155)),IFERROR(S155/M155-1,""),"")</f>
        <v/>
      </c>
      <c r="T240" s="26">
        <f>IF(AND(ISNUMBER(T155),ISNUMBER(N155)),IFERROR(T155/N155-1,""),"")</f>
        <v/>
      </c>
      <c r="U240" s="26">
        <f>IF(AND(ISNUMBER(U155),ISNUMBER(O155)),IFERROR(U155/O155-1,""),"")</f>
        <v/>
      </c>
      <c r="V240" s="26">
        <f>IF(AND(ISNUMBER(V155),ISNUMBER(P155)),IFERROR(V155/P155-1,""),"")</f>
        <v/>
      </c>
      <c r="W240" s="26">
        <f>IF(AND(ISNUMBER(W155),ISNUMBER(Q155)),IFERROR(W155/Q155-1,""),"")</f>
        <v/>
      </c>
      <c r="X240" s="26">
        <f>IF(AND(ISNUMBER(X155),ISNUMBER(R155)),IFERROR(X155/R155-1,""),"")</f>
        <v/>
      </c>
      <c r="Y240" s="26">
        <f>IF(AND(ISNUMBER(Y155),ISNUMBER(S155)),IFERROR(Y155/S155-1,""),"")</f>
        <v/>
      </c>
      <c r="Z240" s="26">
        <f>IF(AND(ISNUMBER(Z155),ISNUMBER(T155)),IFERROR(Z155/T155-1,""),"")</f>
        <v/>
      </c>
      <c r="AA240" s="26">
        <f>IF(AND(ISNUMBER(AA155),ISNUMBER(U155)),IFERROR(AA155/U155-1,""),"")</f>
        <v/>
      </c>
      <c r="AB240" s="26">
        <f>IF(AND(ISNUMBER(AB155),ISNUMBER(V155)),IFERROR(AB155/V155-1,""),"")</f>
        <v/>
      </c>
      <c r="AC240" s="26">
        <f>IF(AND(ISNUMBER(AC155),ISNUMBER(W155)),IFERROR(AC155/W155-1,""),"")</f>
        <v/>
      </c>
      <c r="AD240" s="26">
        <f>IF(AND(ISNUMBER(AD155),ISNUMBER(X155)),IFERROR(AD155/X155-1,""),"")</f>
        <v/>
      </c>
      <c r="AE240" s="26">
        <f>IF(AND(ISNUMBER(AE155),ISNUMBER(Y155)),IFERROR(AE155/Y155-1,""),"")</f>
        <v/>
      </c>
      <c r="AF240" s="26">
        <f>IF(AND(ISNUMBER(AF155),ISNUMBER(Z155)),IFERROR(AF155/Z155-1,""),"")</f>
        <v/>
      </c>
      <c r="AG240" s="26">
        <f>IF(AND(ISNUMBER(AG155),ISNUMBER(AA155)),IFERROR(AG155/AA155-1,""),"")</f>
        <v/>
      </c>
      <c r="AH240" s="26">
        <f>IF(AND(ISNUMBER(AH155),ISNUMBER(AB155)),IFERROR(AH155/AB155-1,""),"")</f>
        <v/>
      </c>
      <c r="AI240" s="26">
        <f>IF(AND(ISNUMBER(AI155),ISNUMBER(AC155)),IFERROR(AI155/AC155-1,""),"")</f>
        <v/>
      </c>
      <c r="AJ240" s="26">
        <f>IF(AND(ISNUMBER(AJ155),ISNUMBER(AD155)),IFERROR(AJ155/AD155-1,""),"")</f>
        <v/>
      </c>
      <c r="AK240" s="26">
        <f>IF(AND(ISNUMBER(AK155),ISNUMBER(AE155)),IFERROR(AK155/AE155-1,""),"")</f>
        <v/>
      </c>
      <c r="AL240" s="26">
        <f>IF(AND(ISNUMBER(AL155),ISNUMBER(AF155)),IFERROR(AL155/AF155-1,""),"")</f>
        <v/>
      </c>
      <c r="AM240" s="26">
        <f>IF(AND(ISNUMBER(AM155),ISNUMBER(AG155)),IFERROR(AM155/AG155-1,""),"")</f>
        <v/>
      </c>
      <c r="AN240" s="26">
        <f>IF(AND(ISNUMBER(AN155),ISNUMBER(AH155)),IFERROR(AN155/AH155-1,""),"")</f>
        <v/>
      </c>
      <c r="AO240" s="26">
        <f>IF(AND(ISNUMBER(AO155),ISNUMBER(AI155)),IFERROR(AO155/AI155-1,""),"")</f>
        <v/>
      </c>
      <c r="AP240" s="26">
        <f>IF(AND(ISNUMBER(AP155),ISNUMBER(AJ155)),IFERROR(AP155/AJ155-1,""),"")</f>
        <v/>
      </c>
      <c r="AQ240" s="26">
        <f>IF(AND(ISNUMBER(AQ155),ISNUMBER(AK155)),IFERROR(AQ155/AK155-1,""),"")</f>
        <v/>
      </c>
      <c r="AR240" s="26">
        <f>IF(AND(ISNUMBER(AR155),ISNUMBER(AL155)),IFERROR(AR155/AL155-1,""),"")</f>
        <v/>
      </c>
      <c r="AS240" s="26">
        <f>IF(AND(ISNUMBER(AS155),ISNUMBER(AM155)),IFERROR(AS155/AM155-1,""),"")</f>
        <v/>
      </c>
      <c r="AT240" s="26">
        <f>IF(AND(ISNUMBER(AT155),ISNUMBER(AN155)),IFERROR(AT155/AN155-1,""),"")</f>
        <v/>
      </c>
      <c r="AU240" s="26">
        <f>IF(AND(ISNUMBER(AU155),ISNUMBER(AO155)),IFERROR(AU155/AO155-1,""),"")</f>
        <v/>
      </c>
      <c r="AV240" s="26">
        <f>IF(AND(ISNUMBER(AV155),ISNUMBER(AP155)),IFERROR(AV155/AP155-1,""),"")</f>
        <v/>
      </c>
      <c r="AW240" s="26">
        <f>IF(AND(ISNUMBER(AW155),ISNUMBER(AQ155)),IFERROR(AW155/AQ155-1,""),"")</f>
        <v/>
      </c>
      <c r="AX240" s="26">
        <f>IF(AND(ISNUMBER(AX155),ISNUMBER(AR155)),IFERROR(AX155/AR155-1,""),"")</f>
        <v/>
      </c>
      <c r="AY240" s="26">
        <f>IF(AND(ISNUMBER(AY155),ISNUMBER(AS155)),IFERROR(AY155/AS155-1,""),"")</f>
        <v/>
      </c>
      <c r="AZ240" s="26">
        <f>IF(AND(ISNUMBER(AZ155),ISNUMBER(AT155)),IFERROR(AZ155/AT155-1,""),"")</f>
        <v/>
      </c>
      <c r="BA240" s="26">
        <f>IF(AND(ISNUMBER(BA155),ISNUMBER(AU155)),IFERROR(BA155/AU155-1,""),"")</f>
        <v/>
      </c>
      <c r="BB240" s="26">
        <f>IF(AND(ISNUMBER(BB155),ISNUMBER(AV155)),IFERROR(BB155/AV155-1,""),"")</f>
        <v/>
      </c>
      <c r="BC240" s="26">
        <f>IF(AND(ISNUMBER(BC155),ISNUMBER(AW155)),IFERROR(BC155/AW155-1,""),"")</f>
        <v/>
      </c>
      <c r="BD240" s="26">
        <f>IF(AND(ISNUMBER(BD155),ISNUMBER(AX155)),IFERROR(BD155/AX155-1,""),"")</f>
        <v/>
      </c>
      <c r="BE240" s="26">
        <f>IF(AND(ISNUMBER(BE155),ISNUMBER(AY155)),IFERROR(BE155/AY155-1,""),"")</f>
        <v/>
      </c>
      <c r="BF240" s="26">
        <f>IF(AND(ISNUMBER(BF155),ISNUMBER(AZ155)),IFERROR(BF155/AZ155-1,""),"")</f>
        <v/>
      </c>
      <c r="BG240" s="26">
        <f>IF(AND(ISNUMBER(BG155),ISNUMBER(BA155)),IFERROR(BG155/BA155-1,""),"")</f>
        <v/>
      </c>
      <c r="BH240" s="26">
        <f>IF(AND(ISNUMBER(BH155),ISNUMBER(BB155)),IFERROR(BH155/BB155-1,""),"")</f>
        <v/>
      </c>
      <c r="BI240" s="26">
        <f>IF(AND(ISNUMBER(BI155),ISNUMBER(BC155)),IFERROR(BI155/BC155-1,""),"")</f>
        <v/>
      </c>
      <c r="BJ240" s="26">
        <f>IF(AND(ISNUMBER(BJ155),ISNUMBER(BD155)),IFERROR(BJ155/BD155-1,""),"")</f>
        <v/>
      </c>
      <c r="BK240" s="26">
        <f>IF(AND(ISNUMBER(BK155),ISNUMBER(BE155)),IFERROR(BK155/BE155-1,""),"")</f>
        <v/>
      </c>
      <c r="BL240" s="26">
        <f>IF(AND(ISNUMBER(BL155),ISNUMBER(BF155)),IFERROR(BL155/BF155-1,""),"")</f>
        <v/>
      </c>
      <c r="BM240" s="26">
        <f>IF(AND(ISNUMBER(BM155),ISNUMBER(BG155)),IFERROR(BM155/BG155-1,""),"")</f>
        <v/>
      </c>
      <c r="BN240" s="26">
        <f>IF(AND(ISNUMBER(BN155),ISNUMBER(BH155)),IFERROR(BN155/BH155-1,""),"")</f>
        <v/>
      </c>
      <c r="BO240" s="26">
        <f>IF(AND(ISNUMBER(BO155),ISNUMBER(BI155)),IFERROR(BO155/BI155-1,""),"")</f>
        <v/>
      </c>
      <c r="BP240" s="26">
        <f>IF(AND(ISNUMBER(BP155),ISNUMBER(BJ155)),IFERROR(BP155/BJ155-1,""),"")</f>
        <v/>
      </c>
      <c r="BQ240" s="26">
        <f>IF(AND(ISNUMBER(BQ155),ISNUMBER(BK155)),IFERROR(BQ155/BK155-1,""),"")</f>
        <v/>
      </c>
      <c r="BR240" s="26">
        <f>IF(AND(ISNUMBER(BR155),ISNUMBER(BL155)),IFERROR(BR155/BL155-1,""),"")</f>
        <v/>
      </c>
      <c r="BS240" s="26">
        <f>IF(AND(ISNUMBER(BS155),ISNUMBER(BM155)),IFERROR(BS155/BM155-1,""),"")</f>
        <v/>
      </c>
      <c r="BT240" s="26">
        <f>IF(AND(ISNUMBER(BT155),ISNUMBER(BN155)),IFERROR(BT155/BN155-1,""),"")</f>
        <v/>
      </c>
      <c r="BU240" s="26">
        <f>IF(AND(ISNUMBER(BU155),ISNUMBER(BO155)),IFERROR(BU155/BO155-1,""),"")</f>
        <v/>
      </c>
      <c r="BV240" s="26">
        <f>IF(AND(ISNUMBER(BV155),ISNUMBER(BP155)),IFERROR(BV155/BP155-1,""),"")</f>
        <v/>
      </c>
      <c r="BW240" s="26">
        <f>IF(AND(ISNUMBER(BW155),ISNUMBER(BQ155)),IFERROR(BW155/BQ155-1,""),"")</f>
        <v/>
      </c>
      <c r="BX240" s="26">
        <f>IF(AND(ISNUMBER(BX155),ISNUMBER(BR155)),IFERROR(BX155/BR155-1,""),"")</f>
        <v/>
      </c>
      <c r="BY240" s="26">
        <f>IF(AND(ISNUMBER(BY155),ISNUMBER(BS155)),IFERROR(BY155/BS155-1,""),"")</f>
        <v/>
      </c>
      <c r="BZ240" s="26">
        <f>IF(AND(ISNUMBER(BZ155),ISNUMBER(BT155)),IFERROR(BZ155/BT155-1,""),"")</f>
        <v/>
      </c>
      <c r="CA240" s="26">
        <f>IF(AND(ISNUMBER(CA155),ISNUMBER(BU155)),IFERROR(CA155/BU155-1,""),"")</f>
        <v/>
      </c>
      <c r="CB240" s="26">
        <f>IF(AND(ISNUMBER(CB155),ISNUMBER(BV155)),IFERROR(CB155/BV155-1,""),"")</f>
        <v/>
      </c>
      <c r="CC240" s="26">
        <f>IF(AND(ISNUMBER(CC155),ISNUMBER(BW155)),IFERROR(CC155/BW155-1,""),"")</f>
        <v/>
      </c>
      <c r="CD240" s="26">
        <f>IF(AND(ISNUMBER(CD155),ISNUMBER(BX155)),IFERROR(CD155/BX155-1,""),"")</f>
        <v/>
      </c>
      <c r="CE240" s="26">
        <f>IF(AND(ISNUMBER(CE155),ISNUMBER(BY155)),IFERROR(CE155/BY155-1,""),"")</f>
        <v/>
      </c>
      <c r="CF240" s="26">
        <f>IF(AND(ISNUMBER(CF155),ISNUMBER(BZ155)),IFERROR(CF155/BZ155-1,""),"")</f>
        <v/>
      </c>
      <c r="CG240" s="26">
        <f>IF(AND(ISNUMBER(CG155),ISNUMBER(CA155)),IFERROR(CG155/CA155-1,""),"")</f>
        <v/>
      </c>
      <c r="CH240" s="26">
        <f>IF(AND(ISNUMBER(CH155),ISNUMBER(CB155)),IFERROR(CH155/CB155-1,""),"")</f>
        <v/>
      </c>
      <c r="CI240" s="26">
        <f>IF(AND(ISNUMBER(CI155),ISNUMBER(CC155)),IFERROR(CI155/CC155-1,""),"")</f>
        <v/>
      </c>
      <c r="CJ240" s="26">
        <f>IF(AND(ISNUMBER(CJ155),ISNUMBER(CD155)),IFERROR(CJ155/CD155-1,""),"")</f>
        <v/>
      </c>
      <c r="CK240" s="26">
        <f>IF(AND(ISNUMBER(CK155),ISNUMBER(CE155)),IFERROR(CK155/CE155-1,""),"")</f>
        <v/>
      </c>
      <c r="CL240" s="26">
        <f>IF(AND(ISNUMBER(CL155),ISNUMBER(CF155)),IFERROR(CL155/CF155-1,""),"")</f>
        <v/>
      </c>
      <c r="CM240" s="165">
        <f>IF(AND(ISNUMBER(CM155),ISNUMBER(CG155)),IFERROR(CM155/CG155-1,""),"")</f>
        <v/>
      </c>
      <c r="CN240" s="165">
        <f>IF(AND(ISNUMBER(CN155),ISNUMBER(CH155)),IFERROR(CN155/CH155-1,""),"")</f>
        <v/>
      </c>
      <c r="CO240" s="165">
        <f>IF(AND(ISNUMBER(CO155),ISNUMBER(CI155)),IFERROR(CO155/CI155-1,""),"")</f>
        <v/>
      </c>
      <c r="CP240" s="165">
        <f>IF(AND(ISNUMBER(CP155),ISNUMBER(CO155)),IFERROR(CP155/CO155-1,""),"")</f>
        <v/>
      </c>
      <c r="CQ240" s="165">
        <f>IF(AND(ISNUMBER(CQ155),ISNUMBER(CP155)),IFERROR(CQ155/CP155-1,""),"")</f>
        <v/>
      </c>
      <c r="CR240" s="165">
        <f>IF(AND(ISNUMBER(CR155),ISNUMBER(CQ155)),IFERROR(CR155/CQ155-1,""),"")</f>
        <v/>
      </c>
      <c r="CS240" s="165">
        <f>IF(AND(ISNUMBER(CS155),ISNUMBER(CR155)),IFERROR(CS155/CR155-1,""),"")</f>
        <v/>
      </c>
      <c r="CT240" s="22" t="n"/>
      <c r="CV240" s="6" t="n"/>
      <c r="CW240" s="6" t="n"/>
      <c r="CX240" s="6" t="n"/>
      <c r="CY240" s="6" t="n"/>
    </row>
    <row r="241" ht="15" customHeight="1">
      <c r="B241" s="25" t="inlineStr">
        <is>
          <t xml:space="preserve">  Adjusted EPS (current definition) y/y %</t>
        </is>
      </c>
      <c r="C241" s="26" t="n"/>
      <c r="D241" s="26">
        <f>IF(AND(ISNUMBER(D230),ISNUMBER(C230)),IFERROR(D230/C230-1,""),"")</f>
        <v/>
      </c>
      <c r="E241" s="26">
        <f>IF(AND(ISNUMBER(E230),ISNUMBER(D230)),IFERROR(E230/D230-1,""),"")</f>
        <v/>
      </c>
      <c r="F241" s="26">
        <f>IF(AND(ISNUMBER(F230),ISNUMBER(E230)),IFERROR(F230/E230-1,""),"")</f>
        <v/>
      </c>
      <c r="G241" s="26">
        <f>IF(AND(ISNUMBER(G230),ISNUMBER(F230)),IFERROR(G230/F230-1,""),"")</f>
        <v/>
      </c>
      <c r="H241" s="26">
        <f>IF(AND(ISNUMBER(H230),ISNUMBER(G230)),IFERROR(H230/G230-1,""),"")</f>
        <v/>
      </c>
      <c r="I241" s="26">
        <f>IF(AND(ISNUMBER(I230),ISNUMBER(H230)),IFERROR(I230/H230-1,""),"")</f>
        <v/>
      </c>
      <c r="J241" s="26" t="n"/>
      <c r="K241" s="26" t="n"/>
      <c r="L241" s="26" t="n"/>
      <c r="M241" s="26" t="n"/>
      <c r="N241" s="26" t="n"/>
      <c r="O241" s="26">
        <f>IF(AND(ISNUMBER(O230),ISNUMBER(I230)),IFERROR(O230/I230-1,""),"")</f>
        <v/>
      </c>
      <c r="P241" s="26">
        <f>IF(AND(ISNUMBER(P230),ISNUMBER(J230)),IFERROR(P230/J230-1,""),"")</f>
        <v/>
      </c>
      <c r="Q241" s="26">
        <f>IF(AND(ISNUMBER(Q230),ISNUMBER(K230)),IFERROR(Q230/K230-1,""),"")</f>
        <v/>
      </c>
      <c r="R241" s="26">
        <f>IF(AND(ISNUMBER(R230),ISNUMBER(L230)),IFERROR(R230/L230-1,""),"")</f>
        <v/>
      </c>
      <c r="S241" s="26">
        <f>IF(AND(ISNUMBER(S230),ISNUMBER(M230)),IFERROR(S230/M230-1,""),"")</f>
        <v/>
      </c>
      <c r="T241" s="26">
        <f>IF(AND(ISNUMBER(T230),ISNUMBER(N230)),IFERROR(T230/N230-1,""),"")</f>
        <v/>
      </c>
      <c r="U241" s="26">
        <f>IF(AND(ISNUMBER(U230),ISNUMBER(O230)),IFERROR(U230/O230-1,""),"")</f>
        <v/>
      </c>
      <c r="V241" s="26">
        <f>IF(AND(ISNUMBER(V230),ISNUMBER(P230)),IFERROR(V230/P230-1,""),"")</f>
        <v/>
      </c>
      <c r="W241" s="26">
        <f>IF(AND(ISNUMBER(W230),ISNUMBER(Q230)),IFERROR(W230/Q230-1,""),"")</f>
        <v/>
      </c>
      <c r="X241" s="26">
        <f>IF(AND(ISNUMBER(X230),ISNUMBER(R230)),IFERROR(X230/R230-1,""),"")</f>
        <v/>
      </c>
      <c r="Y241" s="26">
        <f>IF(AND(ISNUMBER(Y230),ISNUMBER(S230)),IFERROR(Y230/S230-1,""),"")</f>
        <v/>
      </c>
      <c r="Z241" s="26">
        <f>IF(AND(ISNUMBER(Z230),ISNUMBER(T230)),IFERROR(Z230/T230-1,""),"")</f>
        <v/>
      </c>
      <c r="AA241" s="26">
        <f>IF(AND(ISNUMBER(AA230),ISNUMBER(U230)),IFERROR(AA230/U230-1,""),"")</f>
        <v/>
      </c>
      <c r="AB241" s="26">
        <f>IF(AND(ISNUMBER(AB230),ISNUMBER(V230)),IFERROR(AB230/V230-1,""),"")</f>
        <v/>
      </c>
      <c r="AC241" s="26">
        <f>IF(AND(ISNUMBER(AC230),ISNUMBER(W230)),IFERROR(AC230/W230-1,""),"")</f>
        <v/>
      </c>
      <c r="AD241" s="26">
        <f>IF(AND(ISNUMBER(AD230),ISNUMBER(X230)),IFERROR(AD230/X230-1,""),"")</f>
        <v/>
      </c>
      <c r="AE241" s="26">
        <f>IF(AND(ISNUMBER(AE230),ISNUMBER(Y230)),IFERROR(AE230/Y230-1,""),"")</f>
        <v/>
      </c>
      <c r="AF241" s="26">
        <f>IF(AND(ISNUMBER(AF230),ISNUMBER(Z230)),IFERROR(AF230/Z230-1,""),"")</f>
        <v/>
      </c>
      <c r="AG241" s="26">
        <f>IF(AND(ISNUMBER(AG230),ISNUMBER(AA230)),IFERROR(AG230/AA230-1,""),"")</f>
        <v/>
      </c>
      <c r="AH241" s="26">
        <f>IF(AND(ISNUMBER(AH230),ISNUMBER(AB230)),IFERROR(AH230/AB230-1,""),"")</f>
        <v/>
      </c>
      <c r="AI241" s="26">
        <f>IF(AND(ISNUMBER(AI230),ISNUMBER(AC230)),IFERROR(AI230/AC230-1,""),"")</f>
        <v/>
      </c>
      <c r="AJ241" s="26">
        <f>IF(AND(ISNUMBER(AJ230),ISNUMBER(AD230)),IFERROR(AJ230/AD230-1,""),"")</f>
        <v/>
      </c>
      <c r="AK241" s="26">
        <f>IF(AND(ISNUMBER(AK230),ISNUMBER(AE230)),IFERROR(AK230/AE230-1,""),"")</f>
        <v/>
      </c>
      <c r="AL241" s="26">
        <f>IF(AND(ISNUMBER(AL230),ISNUMBER(AF230)),IFERROR(AL230/AF230-1,""),"")</f>
        <v/>
      </c>
      <c r="AM241" s="26">
        <f>IF(AND(ISNUMBER(AM230),ISNUMBER(AG230)),IFERROR(AM230/AG230-1,""),"")</f>
        <v/>
      </c>
      <c r="AN241" s="26">
        <f>IF(AND(ISNUMBER(AN230),ISNUMBER(AH230)),IFERROR(AN230/AH230-1,""),"")</f>
        <v/>
      </c>
      <c r="AO241" s="26">
        <f>IF(AND(ISNUMBER(AO230),ISNUMBER(AI230)),IFERROR(AO230/AI230-1,""),"")</f>
        <v/>
      </c>
      <c r="AP241" s="26">
        <f>IF(AND(ISNUMBER(AP230),ISNUMBER(AJ230)),IFERROR(AP230/AJ230-1,""),"")</f>
        <v/>
      </c>
      <c r="AQ241" s="26">
        <f>IF(AND(ISNUMBER(AQ230),ISNUMBER(AK230)),IFERROR(AQ230/AK230-1,""),"")</f>
        <v/>
      </c>
      <c r="AR241" s="26">
        <f>IF(AND(ISNUMBER(AR230),ISNUMBER(AL230)),IFERROR(AR230/AL230-1,""),"")</f>
        <v/>
      </c>
      <c r="AS241" s="26">
        <f>IF(AND(ISNUMBER(AS230),ISNUMBER(AM230)),IFERROR(AS230/AM230-1,""),"")</f>
        <v/>
      </c>
      <c r="AT241" s="26">
        <f>IF(AND(ISNUMBER(AT230),ISNUMBER(AN230)),IFERROR(AT230/AN230-1,""),"")</f>
        <v/>
      </c>
      <c r="AU241" s="26">
        <f>IF(AND(ISNUMBER(AU230),ISNUMBER(AO230)),IFERROR(AU230/AO230-1,""),"")</f>
        <v/>
      </c>
      <c r="AV241" s="26">
        <f>IF(AND(ISNUMBER(AV230),ISNUMBER(AP230)),IFERROR(AV230/AP230-1,""),"")</f>
        <v/>
      </c>
      <c r="AW241" s="26">
        <f>IF(AND(ISNUMBER(AW230),ISNUMBER(AQ230)),IFERROR(AW230/AQ230-1,""),"")</f>
        <v/>
      </c>
      <c r="AX241" s="26">
        <f>IF(AND(ISNUMBER(AX230),ISNUMBER(AR230)),IFERROR(AX230/AR230-1,""),"")</f>
        <v/>
      </c>
      <c r="AY241" s="26">
        <f>IF(AND(ISNUMBER(AY230),ISNUMBER(AS230)),IFERROR(AY230/AS230-1,""),"")</f>
        <v/>
      </c>
      <c r="AZ241" s="26">
        <f>IF(AND(ISNUMBER(AZ230),ISNUMBER(AT230)),IFERROR(AZ230/AT230-1,""),"")</f>
        <v/>
      </c>
      <c r="BA241" s="26">
        <f>IF(AND(ISNUMBER(BA230),ISNUMBER(AU230)),IFERROR(BA230/AU230-1,""),"")</f>
        <v/>
      </c>
      <c r="BB241" s="26">
        <f>IF(AND(ISNUMBER(BB230),ISNUMBER(AV230)),IFERROR(BB230/AV230-1,""),"")</f>
        <v/>
      </c>
      <c r="BC241" s="26">
        <f>IF(AND(ISNUMBER(BC230),ISNUMBER(AW230)),IFERROR(BC230/AW230-1,""),"")</f>
        <v/>
      </c>
      <c r="BD241" s="26">
        <f>IF(AND(ISNUMBER(BD230),ISNUMBER(AX230)),IFERROR(BD230/AX230-1,""),"")</f>
        <v/>
      </c>
      <c r="BE241" s="26">
        <f>IF(AND(ISNUMBER(BE230),ISNUMBER(AY230)),IFERROR(BE230/AY230-1,""),"")</f>
        <v/>
      </c>
      <c r="BF241" s="26">
        <f>IF(AND(ISNUMBER(BF230),ISNUMBER(AZ230)),IFERROR(BF230/AZ230-1,""),"")</f>
        <v/>
      </c>
      <c r="BG241" s="26">
        <f>IF(AND(ISNUMBER(BG230),ISNUMBER(BA230)),IFERROR(BG230/BA230-1,""),"")</f>
        <v/>
      </c>
      <c r="BH241" s="26">
        <f>IF(AND(ISNUMBER(BH230),ISNUMBER(BB230)),IFERROR(BH230/BB230-1,""),"")</f>
        <v/>
      </c>
      <c r="BI241" s="26">
        <f>IF(AND(ISNUMBER(BI230),ISNUMBER(BC230)),IFERROR(BI230/BC230-1,""),"")</f>
        <v/>
      </c>
      <c r="BJ241" s="26">
        <f>IF(AND(ISNUMBER(BJ230),ISNUMBER(BD230)),IFERROR(BJ230/BD230-1,""),"")</f>
        <v/>
      </c>
      <c r="BK241" s="26">
        <f>IF(AND(ISNUMBER(BK230),ISNUMBER(BE230)),IFERROR(BK230/BE230-1,""),"")</f>
        <v/>
      </c>
      <c r="BL241" s="26">
        <f>IF(AND(ISNUMBER(BL230),ISNUMBER(BF230)),IFERROR(BL230/BF230-1,""),"")</f>
        <v/>
      </c>
      <c r="BM241" s="26">
        <f>IF(AND(ISNUMBER(BM230),ISNUMBER(BG230)),IFERROR(BM230/BG230-1,""),"")</f>
        <v/>
      </c>
      <c r="BN241" s="26">
        <f>IF(AND(ISNUMBER(BN230),ISNUMBER(BH230)),IFERROR(BN230/BH230-1,""),"")</f>
        <v/>
      </c>
      <c r="BO241" s="26">
        <f>IF(AND(ISNUMBER(BO230),ISNUMBER(BI230)),IFERROR(BO230/BI230-1,""),"")</f>
        <v/>
      </c>
      <c r="BP241" s="26">
        <f>IF(AND(ISNUMBER(BP230),ISNUMBER(BJ230)),IFERROR(BP230/BJ230-1,""),"")</f>
        <v/>
      </c>
      <c r="BQ241" s="26">
        <f>IF(AND(ISNUMBER(BQ230),ISNUMBER(BK230)),IFERROR(BQ230/BK230-1,""),"")</f>
        <v/>
      </c>
      <c r="BR241" s="26">
        <f>IF(AND(ISNUMBER(BR230),ISNUMBER(BL230)),IFERROR(BR230/BL230-1,""),"")</f>
        <v/>
      </c>
      <c r="BS241" s="26">
        <f>IF(AND(ISNUMBER(BS230),ISNUMBER(BM230)),IFERROR(BS230/BM230-1,""),"")</f>
        <v/>
      </c>
      <c r="BT241" s="26">
        <f>IF(AND(ISNUMBER(BT230),ISNUMBER(BN230)),IFERROR(BT230/BN230-1,""),"")</f>
        <v/>
      </c>
      <c r="BU241" s="26">
        <f>IF(AND(ISNUMBER(BU230),ISNUMBER(BO230)),IFERROR(BU230/BO230-1,""),"")</f>
        <v/>
      </c>
      <c r="BV241" s="26">
        <f>IF(AND(ISNUMBER(BV230),ISNUMBER(BP230)),IFERROR(BV230/BP230-1,""),"")</f>
        <v/>
      </c>
      <c r="BW241" s="26">
        <f>IF(AND(ISNUMBER(BW230),ISNUMBER(BQ230)),IFERROR(BW230/BQ230-1,""),"")</f>
        <v/>
      </c>
      <c r="BX241" s="26">
        <f>IF(AND(ISNUMBER(BX230),ISNUMBER(BR230)),IFERROR(BX230/BR230-1,""),"")</f>
        <v/>
      </c>
      <c r="BY241" s="26">
        <f>IF(AND(ISNUMBER(BY230),ISNUMBER(BS230)),IFERROR(BY230/BS230-1,""),"")</f>
        <v/>
      </c>
      <c r="BZ241" s="26">
        <f>IF(AND(ISNUMBER(BZ230),ISNUMBER(BT230)),IFERROR(BZ230/BT230-1,""),"")</f>
        <v/>
      </c>
      <c r="CA241" s="26">
        <f>IF(AND(ISNUMBER(CA230),ISNUMBER(BU230)),IFERROR(CA230/BU230-1,""),"")</f>
        <v/>
      </c>
      <c r="CB241" s="26">
        <f>IF(AND(ISNUMBER(CB230),ISNUMBER(BV230)),IFERROR(CB230/BV230-1,""),"")</f>
        <v/>
      </c>
      <c r="CC241" s="26">
        <f>IF(AND(ISNUMBER(CC230),ISNUMBER(BW230)),IFERROR(CC230/BW230-1,""),"")</f>
        <v/>
      </c>
      <c r="CD241" s="26">
        <f>IF(AND(ISNUMBER(CD230),ISNUMBER(BX230)),IFERROR(CD230/BX230-1,""),"")</f>
        <v/>
      </c>
      <c r="CE241" s="26">
        <f>IF(AND(ISNUMBER(CE230),ISNUMBER(BY230)),IFERROR(CE230/BY230-1,""),"")</f>
        <v/>
      </c>
      <c r="CF241" s="26">
        <f>IF(AND(ISNUMBER(CF230),ISNUMBER(BZ230)),IFERROR(CF230/BZ230-1,""),"")</f>
        <v/>
      </c>
      <c r="CG241" s="26">
        <f>IF(AND(ISNUMBER(CG230),ISNUMBER(CA230)),IFERROR(CG230/CA230-1,""),"")</f>
        <v/>
      </c>
      <c r="CH241" s="26">
        <f>IF(AND(ISNUMBER(CH230),ISNUMBER(CB230)),IFERROR(CH230/CB230-1,""),"")</f>
        <v/>
      </c>
      <c r="CI241" s="26">
        <f>IF(AND(ISNUMBER(CI230),ISNUMBER(CC230)),IFERROR(CI230/CC230-1,""),"")</f>
        <v/>
      </c>
      <c r="CJ241" s="26">
        <f>IF(AND(ISNUMBER(CJ230),ISNUMBER(CD230)),IFERROR(CJ230/CD230-1,""),"")</f>
        <v/>
      </c>
      <c r="CK241" s="26">
        <f>IF(AND(ISNUMBER(CK230),ISNUMBER(CE230)),IFERROR(CK230/CE230-1,""),"")</f>
        <v/>
      </c>
      <c r="CL241" s="26">
        <f>IF(AND(ISNUMBER(CL230),ISNUMBER(CF230)),IFERROR(CL230/CF230-1,""),"")</f>
        <v/>
      </c>
      <c r="CM241" s="165">
        <f>IF(AND(ISNUMBER(CM230),ISNUMBER(CG230)),IFERROR(CM230/CG230-1,""),"")</f>
        <v/>
      </c>
      <c r="CN241" s="165">
        <f>IF(AND(ISNUMBER(CN230),ISNUMBER(CH230)),IFERROR(CN230/CH230-1,""),"")</f>
        <v/>
      </c>
      <c r="CO241" s="165">
        <f>IF(AND(ISNUMBER(CO230),ISNUMBER(CI230)),IFERROR(CO230/CI230-1,""),"")</f>
        <v/>
      </c>
      <c r="CP241" s="165">
        <f>IF(AND(ISNUMBER(CP230),ISNUMBER(CO230)),IFERROR(CP230/CO230-1,""),"")</f>
        <v/>
      </c>
      <c r="CQ241" s="165">
        <f>IF(AND(ISNUMBER(CQ230),ISNUMBER(CP230)),IFERROR(CQ230/CP230-1,""),"")</f>
        <v/>
      </c>
      <c r="CR241" s="165">
        <f>IF(AND(ISNUMBER(CR230),ISNUMBER(CQ230)),IFERROR(CR230/CQ230-1,""),"")</f>
        <v/>
      </c>
      <c r="CS241" s="165">
        <f>IF(AND(ISNUMBER(CS230),ISNUMBER(CR230)),IFERROR(CS230/CR230-1,""),"")</f>
        <v/>
      </c>
      <c r="CT241" s="22" t="n"/>
      <c r="CV241" s="6" t="n"/>
      <c r="CW241" s="6" t="n"/>
      <c r="CX241" s="6" t="n"/>
      <c r="CY241" s="6" t="n"/>
    </row>
    <row r="242" ht="15" customHeight="1">
      <c r="B242" s="25" t="inlineStr">
        <is>
          <t xml:space="preserve">  Gross margin %</t>
        </is>
      </c>
      <c r="C242" s="179">
        <f>IFERROR(C141/C138,"")</f>
        <v/>
      </c>
      <c r="D242" s="179">
        <f>IFERROR(D141/D138,"")</f>
        <v/>
      </c>
      <c r="E242" s="179">
        <f>IFERROR(E141/E138,"")</f>
        <v/>
      </c>
      <c r="F242" s="179">
        <f>IFERROR(F141/F138,"")</f>
        <v/>
      </c>
      <c r="G242" s="179">
        <f>IFERROR(G141/G138,"")</f>
        <v/>
      </c>
      <c r="H242" s="179">
        <f>IFERROR(H141/H138,"")</f>
        <v/>
      </c>
      <c r="I242" s="179">
        <f>IFERROR(I141/I138,"")</f>
        <v/>
      </c>
      <c r="J242" s="179">
        <f>IFERROR(J141/J138,"")</f>
        <v/>
      </c>
      <c r="K242" s="179">
        <f>IFERROR(K141/K138,"")</f>
        <v/>
      </c>
      <c r="L242" s="179">
        <f>IFERROR(L141/L138,"")</f>
        <v/>
      </c>
      <c r="M242" s="179">
        <f>IFERROR(M141/M138,"")</f>
        <v/>
      </c>
      <c r="N242" s="179">
        <f>IFERROR(N141/N138,"")</f>
        <v/>
      </c>
      <c r="O242" s="179">
        <f>IFERROR(O141/O138,"")</f>
        <v/>
      </c>
      <c r="P242" s="179">
        <f>IFERROR(P141/P138,"")</f>
        <v/>
      </c>
      <c r="Q242" s="179">
        <f>IFERROR(Q141/Q138,"")</f>
        <v/>
      </c>
      <c r="R242" s="179">
        <f>IFERROR(R141/R138,"")</f>
        <v/>
      </c>
      <c r="S242" s="179">
        <f>IFERROR(S141/S138,"")</f>
        <v/>
      </c>
      <c r="T242" s="179">
        <f>IFERROR(T141/T138,"")</f>
        <v/>
      </c>
      <c r="U242" s="179">
        <f>IFERROR(U141/U138,"")</f>
        <v/>
      </c>
      <c r="V242" s="179">
        <f>IFERROR(V141/V138,"")</f>
        <v/>
      </c>
      <c r="W242" s="179">
        <f>IFERROR(W141/W138,"")</f>
        <v/>
      </c>
      <c r="X242" s="179">
        <f>IFERROR(X141/X138,"")</f>
        <v/>
      </c>
      <c r="Y242" s="179">
        <f>IFERROR(Y141/Y138,"")</f>
        <v/>
      </c>
      <c r="Z242" s="179">
        <f>IFERROR(Z141/Z138,"")</f>
        <v/>
      </c>
      <c r="AA242" s="179">
        <f>IFERROR(AA141/AA138,"")</f>
        <v/>
      </c>
      <c r="AB242" s="179">
        <f>IFERROR(AB141/AB138,"")</f>
        <v/>
      </c>
      <c r="AC242" s="179">
        <f>IFERROR(AC141/AC138,"")</f>
        <v/>
      </c>
      <c r="AD242" s="179">
        <f>IFERROR(AD141/AD138,"")</f>
        <v/>
      </c>
      <c r="AE242" s="179">
        <f>IFERROR(AE141/AE138,"")</f>
        <v/>
      </c>
      <c r="AF242" s="179">
        <f>IFERROR(AF141/AF138,"")</f>
        <v/>
      </c>
      <c r="AG242" s="179">
        <f>IFERROR(AG141/AG138,"")</f>
        <v/>
      </c>
      <c r="AH242" s="179">
        <f>IFERROR(AH141/AH138,"")</f>
        <v/>
      </c>
      <c r="AI242" s="179">
        <f>IFERROR(AI141/AI138,"")</f>
        <v/>
      </c>
      <c r="AJ242" s="179">
        <f>IFERROR(AJ141/AJ138,"")</f>
        <v/>
      </c>
      <c r="AK242" s="179">
        <f>IFERROR(AK141/AK138,"")</f>
        <v/>
      </c>
      <c r="AL242" s="179">
        <f>IFERROR(AL141/AL138,"")</f>
        <v/>
      </c>
      <c r="AM242" s="179">
        <f>IFERROR(AM141/AM138,"")</f>
        <v/>
      </c>
      <c r="AN242" s="179">
        <f>IFERROR(AN141/AN138,"")</f>
        <v/>
      </c>
      <c r="AO242" s="179">
        <f>IFERROR(AO141/AO138,"")</f>
        <v/>
      </c>
      <c r="AP242" s="179">
        <f>IFERROR(AP141/AP138,"")</f>
        <v/>
      </c>
      <c r="AQ242" s="179">
        <f>IFERROR(AQ141/AQ138,"")</f>
        <v/>
      </c>
      <c r="AR242" s="179">
        <f>IFERROR(AR141/AR138,"")</f>
        <v/>
      </c>
      <c r="AS242" s="179">
        <f>IFERROR(AS141/AS138,"")</f>
        <v/>
      </c>
      <c r="AT242" s="179">
        <f>IFERROR(AT141/AT138,"")</f>
        <v/>
      </c>
      <c r="AU242" s="179">
        <f>IFERROR(AU141/AU138,"")</f>
        <v/>
      </c>
      <c r="AV242" s="179">
        <f>IFERROR(AV141/AV138,"")</f>
        <v/>
      </c>
      <c r="AW242" s="179">
        <f>IFERROR(AW141/AW138,"")</f>
        <v/>
      </c>
      <c r="AX242" s="179">
        <f>IFERROR(AX141/AX138,"")</f>
        <v/>
      </c>
      <c r="AY242" s="179">
        <f>IFERROR(AY141/AY138,"")</f>
        <v/>
      </c>
      <c r="AZ242" s="179">
        <f>IFERROR(AZ141/AZ138,"")</f>
        <v/>
      </c>
      <c r="BA242" s="179">
        <f>IFERROR(BA141/BA138,"")</f>
        <v/>
      </c>
      <c r="BB242" s="179">
        <f>IFERROR(BB141/BB138,"")</f>
        <v/>
      </c>
      <c r="BC242" s="179">
        <f>IFERROR(BC141/BC138,"")</f>
        <v/>
      </c>
      <c r="BD242" s="179">
        <f>IFERROR(BD141/BD138,"")</f>
        <v/>
      </c>
      <c r="BE242" s="179">
        <f>IFERROR(BE141/BE138,"")</f>
        <v/>
      </c>
      <c r="BF242" s="179">
        <f>IFERROR(BF141/BF138,"")</f>
        <v/>
      </c>
      <c r="BG242" s="179">
        <f>IFERROR(BG141/BG138,"")</f>
        <v/>
      </c>
      <c r="BH242" s="179">
        <f>IFERROR(BH141/BH138,"")</f>
        <v/>
      </c>
      <c r="BI242" s="179">
        <f>IFERROR(BI141/BI138,"")</f>
        <v/>
      </c>
      <c r="BJ242" s="179">
        <f>IFERROR(BJ141/BJ138,"")</f>
        <v/>
      </c>
      <c r="BK242" s="179">
        <f>IFERROR(BK141/BK138,"")</f>
        <v/>
      </c>
      <c r="BL242" s="179">
        <f>IFERROR(BL141/BL138,"")</f>
        <v/>
      </c>
      <c r="BM242" s="179">
        <f>IFERROR(BM141/BM138,"")</f>
        <v/>
      </c>
      <c r="BN242" s="179">
        <f>IFERROR(BN141/BN138,"")</f>
        <v/>
      </c>
      <c r="BO242" s="179">
        <f>IFERROR(BO141/BO138,"")</f>
        <v/>
      </c>
      <c r="BP242" s="179">
        <f>IFERROR(BP141/BP138,"")</f>
        <v/>
      </c>
      <c r="BQ242" s="179">
        <f>IFERROR(BQ141/BQ138,"")</f>
        <v/>
      </c>
      <c r="BR242" s="179">
        <f>IFERROR(BR141/BR138,"")</f>
        <v/>
      </c>
      <c r="BS242" s="179">
        <f>IFERROR(BS141/BS138,"")</f>
        <v/>
      </c>
      <c r="BT242" s="179">
        <f>IFERROR(BT141/BT138,"")</f>
        <v/>
      </c>
      <c r="BU242" s="179">
        <f>IFERROR(BU141/BU138,"")</f>
        <v/>
      </c>
      <c r="BV242" s="179">
        <f>IFERROR(BV141/BV138,"")</f>
        <v/>
      </c>
      <c r="BW242" s="179">
        <f>IFERROR(BW141/BW138,"")</f>
        <v/>
      </c>
      <c r="BX242" s="179">
        <f>IFERROR(BX141/BX138,"")</f>
        <v/>
      </c>
      <c r="BY242" s="179">
        <f>IFERROR(BY141/BY138,"")</f>
        <v/>
      </c>
      <c r="BZ242" s="179">
        <f>IFERROR(BZ141/BZ138,"")</f>
        <v/>
      </c>
      <c r="CA242" s="179">
        <f>IFERROR(CA141/CA138,"")</f>
        <v/>
      </c>
      <c r="CB242" s="179">
        <f>IFERROR(CB141/CB138,"")</f>
        <v/>
      </c>
      <c r="CC242" s="179">
        <f>IFERROR(CC141/CC138,"")</f>
        <v/>
      </c>
      <c r="CD242" s="179">
        <f>IFERROR(CD141/CD138,"")</f>
        <v/>
      </c>
      <c r="CE242" s="179">
        <f>IFERROR(CE141/CE138,"")</f>
        <v/>
      </c>
      <c r="CF242" s="179">
        <f>IFERROR(CF141/CF138,"")</f>
        <v/>
      </c>
      <c r="CG242" s="179">
        <f>IFERROR(CG141/CG138,"")</f>
        <v/>
      </c>
      <c r="CH242" s="179">
        <f>IFERROR(CH141/CH138,"")</f>
        <v/>
      </c>
      <c r="CI242" s="179">
        <f>IFERROR(CI141/CI138,"")</f>
        <v/>
      </c>
      <c r="CJ242" s="179">
        <f>IFERROR(CJ141/CJ138,"")</f>
        <v/>
      </c>
      <c r="CK242" s="179">
        <f>IFERROR(CK141/CK138,"")</f>
        <v/>
      </c>
      <c r="CL242" s="179">
        <f>IFERROR(CL141/CL138,"")</f>
        <v/>
      </c>
      <c r="CM242" s="165">
        <f>IFERROR(CM141/CM138,"")</f>
        <v/>
      </c>
      <c r="CN242" s="165">
        <f>IFERROR(CN141/CN138,"")</f>
        <v/>
      </c>
      <c r="CO242" s="165">
        <f>IFERROR(CO141/CO138,"")</f>
        <v/>
      </c>
      <c r="CP242" s="165">
        <f>IFERROR(CP141/CP138,"")</f>
        <v/>
      </c>
      <c r="CQ242" s="165">
        <f>IFERROR(CQ141/CQ138,"")</f>
        <v/>
      </c>
      <c r="CR242" s="165">
        <f>IFERROR(CR141/CR138,"")</f>
        <v/>
      </c>
      <c r="CS242" s="165">
        <f>IFERROR(CS141/CS138,"")</f>
        <v/>
      </c>
      <c r="CT242" s="22" t="n"/>
      <c r="CV242" s="40">
        <f>IFERROR(AVERAGE(CO242,CP242,CQ242,CR242,CS242),"n/m")</f>
        <v/>
      </c>
      <c r="CW242" s="40">
        <f>IFERROR(AVERAGE(BK242,BQ242,BW242,CC242,CI242),"n/m")</f>
        <v/>
      </c>
      <c r="CX242" s="40">
        <f>IFERROR(AVERAGE(AG242,AM242,AS242,AY242,BE242,BK242,BQ242,BW242,CC242,CI242),"n/m")</f>
        <v/>
      </c>
      <c r="CY242" s="40">
        <f>IFERROR(AVERAGE(C242,D242,E242,F242,G242,H242,I242,O242,U242,AA242,AG242,AM242,AS242,AY242,BE242,BK242,BQ242,BW242,CC242,CI242),"n/m")</f>
        <v/>
      </c>
    </row>
    <row r="243" ht="15" customHeight="1">
      <c r="B243" s="12" t="inlineStr">
        <is>
          <t xml:space="preserve">  Aggregates cash gross profit per ton ($)</t>
        </is>
      </c>
      <c r="C243" s="167">
        <f>C25</f>
        <v/>
      </c>
      <c r="D243" s="167">
        <f>D25</f>
        <v/>
      </c>
      <c r="E243" s="167">
        <f>E25</f>
        <v/>
      </c>
      <c r="F243" s="167">
        <f>F25</f>
        <v/>
      </c>
      <c r="G243" s="167">
        <f>G25</f>
        <v/>
      </c>
      <c r="H243" s="167">
        <f>H25</f>
        <v/>
      </c>
      <c r="I243" s="167">
        <f>I25</f>
        <v/>
      </c>
      <c r="J243" s="167">
        <f>J25</f>
        <v/>
      </c>
      <c r="K243" s="167">
        <f>K25</f>
        <v/>
      </c>
      <c r="L243" s="167">
        <f>L25</f>
        <v/>
      </c>
      <c r="M243" s="167">
        <f>M25</f>
        <v/>
      </c>
      <c r="N243" s="167">
        <f>N25</f>
        <v/>
      </c>
      <c r="O243" s="167">
        <f>O25</f>
        <v/>
      </c>
      <c r="P243" s="167">
        <f>P25</f>
        <v/>
      </c>
      <c r="Q243" s="167">
        <f>Q25</f>
        <v/>
      </c>
      <c r="R243" s="167">
        <f>R25</f>
        <v/>
      </c>
      <c r="S243" s="167">
        <f>S25</f>
        <v/>
      </c>
      <c r="T243" s="167">
        <f>T25</f>
        <v/>
      </c>
      <c r="U243" s="167">
        <f>U25</f>
        <v/>
      </c>
      <c r="V243" s="167">
        <f>V25</f>
        <v/>
      </c>
      <c r="W243" s="167">
        <f>W25</f>
        <v/>
      </c>
      <c r="X243" s="167">
        <f>X25</f>
        <v/>
      </c>
      <c r="Y243" s="167">
        <f>Y25</f>
        <v/>
      </c>
      <c r="Z243" s="167">
        <f>Z25</f>
        <v/>
      </c>
      <c r="AA243" s="167">
        <f>AA25</f>
        <v/>
      </c>
      <c r="AB243" s="167">
        <f>AB25</f>
        <v/>
      </c>
      <c r="AC243" s="167">
        <f>AC25</f>
        <v/>
      </c>
      <c r="AD243" s="167">
        <f>AD25</f>
        <v/>
      </c>
      <c r="AE243" s="167">
        <f>AE25</f>
        <v/>
      </c>
      <c r="AF243" s="167">
        <f>AF25</f>
        <v/>
      </c>
      <c r="AG243" s="167">
        <f>AG25</f>
        <v/>
      </c>
      <c r="AH243" s="167">
        <f>AH25</f>
        <v/>
      </c>
      <c r="AI243" s="167">
        <f>AI25</f>
        <v/>
      </c>
      <c r="AJ243" s="167">
        <f>AJ25</f>
        <v/>
      </c>
      <c r="AK243" s="167">
        <f>AK25</f>
        <v/>
      </c>
      <c r="AL243" s="167">
        <f>AL25</f>
        <v/>
      </c>
      <c r="AM243" s="167">
        <f>AM25</f>
        <v/>
      </c>
      <c r="AN243" s="167">
        <f>AN25</f>
        <v/>
      </c>
      <c r="AO243" s="167">
        <f>AO25</f>
        <v/>
      </c>
      <c r="AP243" s="167">
        <f>AP25</f>
        <v/>
      </c>
      <c r="AQ243" s="167">
        <f>AQ25</f>
        <v/>
      </c>
      <c r="AR243" s="167">
        <f>AR25</f>
        <v/>
      </c>
      <c r="AS243" s="167">
        <f>AS25</f>
        <v/>
      </c>
      <c r="AT243" s="167">
        <f>AT25</f>
        <v/>
      </c>
      <c r="AU243" s="167">
        <f>AU25</f>
        <v/>
      </c>
      <c r="AV243" s="167">
        <f>AV25</f>
        <v/>
      </c>
      <c r="AW243" s="167">
        <f>AW25</f>
        <v/>
      </c>
      <c r="AX243" s="167">
        <f>AX25</f>
        <v/>
      </c>
      <c r="AY243" s="167">
        <f>AY25</f>
        <v/>
      </c>
      <c r="AZ243" s="167">
        <f>AZ25</f>
        <v/>
      </c>
      <c r="BA243" s="167">
        <f>BA25</f>
        <v/>
      </c>
      <c r="BB243" s="167">
        <f>BB25</f>
        <v/>
      </c>
      <c r="BC243" s="167">
        <f>BC25</f>
        <v/>
      </c>
      <c r="BD243" s="167">
        <f>BD25</f>
        <v/>
      </c>
      <c r="BE243" s="167">
        <f>BE25</f>
        <v/>
      </c>
      <c r="BF243" s="167">
        <f>BF25</f>
        <v/>
      </c>
      <c r="BG243" s="167">
        <f>BG25</f>
        <v/>
      </c>
      <c r="BH243" s="167">
        <f>BH25</f>
        <v/>
      </c>
      <c r="BI243" s="167">
        <f>BI25</f>
        <v/>
      </c>
      <c r="BJ243" s="167">
        <f>BJ25</f>
        <v/>
      </c>
      <c r="BK243" s="167">
        <f>BK25</f>
        <v/>
      </c>
      <c r="BL243" s="167">
        <f>BL25</f>
        <v/>
      </c>
      <c r="BM243" s="167">
        <f>BM25</f>
        <v/>
      </c>
      <c r="BN243" s="167">
        <f>BN25</f>
        <v/>
      </c>
      <c r="BO243" s="167">
        <f>BO25</f>
        <v/>
      </c>
      <c r="BP243" s="167">
        <f>BP25</f>
        <v/>
      </c>
      <c r="BQ243" s="167">
        <f>BQ25</f>
        <v/>
      </c>
      <c r="BR243" s="167">
        <f>BR25</f>
        <v/>
      </c>
      <c r="BS243" s="167">
        <f>BS25</f>
        <v/>
      </c>
      <c r="BT243" s="167">
        <f>BT25</f>
        <v/>
      </c>
      <c r="BU243" s="167">
        <f>BU25</f>
        <v/>
      </c>
      <c r="BV243" s="167">
        <f>BV25</f>
        <v/>
      </c>
      <c r="BW243" s="167">
        <f>BW25</f>
        <v/>
      </c>
      <c r="BX243" s="167">
        <f>BX25</f>
        <v/>
      </c>
      <c r="BY243" s="167">
        <f>BY25</f>
        <v/>
      </c>
      <c r="BZ243" s="167">
        <f>BZ25</f>
        <v/>
      </c>
      <c r="CA243" s="167">
        <f>CA25</f>
        <v/>
      </c>
      <c r="CB243" s="167">
        <f>CB25</f>
        <v/>
      </c>
      <c r="CC243" s="167">
        <f>CC25</f>
        <v/>
      </c>
      <c r="CD243" s="167">
        <f>CD25</f>
        <v/>
      </c>
      <c r="CE243" s="167">
        <f>CE25</f>
        <v/>
      </c>
      <c r="CF243" s="167">
        <f>CF25</f>
        <v/>
      </c>
      <c r="CG243" s="167">
        <f>CG25</f>
        <v/>
      </c>
      <c r="CH243" s="167">
        <f>CH25</f>
        <v/>
      </c>
      <c r="CI243" s="167">
        <f>CI25</f>
        <v/>
      </c>
      <c r="CJ243" s="167">
        <f>CJ25</f>
        <v/>
      </c>
      <c r="CK243" s="167">
        <f>CK25</f>
        <v/>
      </c>
      <c r="CL243" s="167">
        <f>CL25</f>
        <v/>
      </c>
      <c r="CM243" s="168">
        <f>CM25</f>
        <v/>
      </c>
      <c r="CN243" s="168">
        <f>CN25</f>
        <v/>
      </c>
      <c r="CO243" s="168">
        <f>CO25</f>
        <v/>
      </c>
      <c r="CP243" s="168">
        <f>CP25</f>
        <v/>
      </c>
      <c r="CQ243" s="168">
        <f>CQ25</f>
        <v/>
      </c>
      <c r="CR243" s="168">
        <f>CR25</f>
        <v/>
      </c>
      <c r="CS243" s="168">
        <f>CS25</f>
        <v/>
      </c>
      <c r="CT243" s="22" t="n"/>
      <c r="CV243" s="23" t="n"/>
      <c r="CW243" s="23" t="n"/>
      <c r="CX243" s="23" t="n"/>
      <c r="CY243" s="23" t="n"/>
    </row>
    <row r="244" ht="15" customHeight="1">
      <c r="B244" s="25" t="inlineStr">
        <is>
          <t xml:space="preserve">  Adjusted EBITDA margin (current definition) %</t>
        </is>
      </c>
      <c r="C244" s="179">
        <f>IFERROR(C198/C138,"")</f>
        <v/>
      </c>
      <c r="D244" s="179">
        <f>IFERROR(D198/D138,"")</f>
        <v/>
      </c>
      <c r="E244" s="179">
        <f>IFERROR(E198/E138,"")</f>
        <v/>
      </c>
      <c r="F244" s="179">
        <f>IFERROR(F198/F138,"")</f>
        <v/>
      </c>
      <c r="G244" s="179">
        <f>IFERROR(G198/G138,"")</f>
        <v/>
      </c>
      <c r="H244" s="179">
        <f>IFERROR(H198/H138,"")</f>
        <v/>
      </c>
      <c r="I244" s="179">
        <f>IFERROR(I198/I138,"")</f>
        <v/>
      </c>
      <c r="J244" s="179">
        <f>IFERROR(J198/J138,"")</f>
        <v/>
      </c>
      <c r="K244" s="179">
        <f>IFERROR(K198/K138,"")</f>
        <v/>
      </c>
      <c r="L244" s="179">
        <f>IFERROR(L198/L138,"")</f>
        <v/>
      </c>
      <c r="M244" s="179">
        <f>IFERROR(M198/M138,"")</f>
        <v/>
      </c>
      <c r="N244" s="179">
        <f>IFERROR(N198/N138,"")</f>
        <v/>
      </c>
      <c r="O244" s="179">
        <f>IFERROR(O198/O138,"")</f>
        <v/>
      </c>
      <c r="P244" s="179">
        <f>IFERROR(P198/P138,"")</f>
        <v/>
      </c>
      <c r="Q244" s="179">
        <f>IFERROR(Q198/Q138,"")</f>
        <v/>
      </c>
      <c r="R244" s="179">
        <f>IFERROR(R198/R138,"")</f>
        <v/>
      </c>
      <c r="S244" s="179">
        <f>IFERROR(S198/S138,"")</f>
        <v/>
      </c>
      <c r="T244" s="179">
        <f>IFERROR(T198/T138,"")</f>
        <v/>
      </c>
      <c r="U244" s="179">
        <f>IFERROR(U198/U138,"")</f>
        <v/>
      </c>
      <c r="V244" s="179">
        <f>IFERROR(V198/V138,"")</f>
        <v/>
      </c>
      <c r="W244" s="179">
        <f>IFERROR(W198/W138,"")</f>
        <v/>
      </c>
      <c r="X244" s="179">
        <f>IFERROR(X198/X138,"")</f>
        <v/>
      </c>
      <c r="Y244" s="179">
        <f>IFERROR(Y198/Y138,"")</f>
        <v/>
      </c>
      <c r="Z244" s="179">
        <f>IFERROR(Z198/Z138,"")</f>
        <v/>
      </c>
      <c r="AA244" s="179">
        <f>IFERROR(AA198/AA138,"")</f>
        <v/>
      </c>
      <c r="AB244" s="179">
        <f>IFERROR(AB198/AB138,"")</f>
        <v/>
      </c>
      <c r="AC244" s="179">
        <f>IFERROR(AC198/AC138,"")</f>
        <v/>
      </c>
      <c r="AD244" s="179">
        <f>IFERROR(AD198/AD138,"")</f>
        <v/>
      </c>
      <c r="AE244" s="179">
        <f>IFERROR(AE198/AE138,"")</f>
        <v/>
      </c>
      <c r="AF244" s="179">
        <f>IFERROR(AF198/AF138,"")</f>
        <v/>
      </c>
      <c r="AG244" s="179">
        <f>IFERROR(AG198/AG138,"")</f>
        <v/>
      </c>
      <c r="AH244" s="179">
        <f>IFERROR(AH198/AH138,"")</f>
        <v/>
      </c>
      <c r="AI244" s="179">
        <f>IFERROR(AI198/AI138,"")</f>
        <v/>
      </c>
      <c r="AJ244" s="179">
        <f>IFERROR(AJ198/AJ138,"")</f>
        <v/>
      </c>
      <c r="AK244" s="179">
        <f>IFERROR(AK198/AK138,"")</f>
        <v/>
      </c>
      <c r="AL244" s="179">
        <f>IFERROR(AL198/AL138,"")</f>
        <v/>
      </c>
      <c r="AM244" s="179">
        <f>IFERROR(AM198/AM138,"")</f>
        <v/>
      </c>
      <c r="AN244" s="179">
        <f>IFERROR(AN198/AN138,"")</f>
        <v/>
      </c>
      <c r="AO244" s="179">
        <f>IFERROR(AO198/AO138,"")</f>
        <v/>
      </c>
      <c r="AP244" s="179">
        <f>IFERROR(AP198/AP138,"")</f>
        <v/>
      </c>
      <c r="AQ244" s="179">
        <f>IFERROR(AQ198/AQ138,"")</f>
        <v/>
      </c>
      <c r="AR244" s="179">
        <f>IFERROR(AR198/AR138,"")</f>
        <v/>
      </c>
      <c r="AS244" s="179">
        <f>IFERROR(AS198/AS138,"")</f>
        <v/>
      </c>
      <c r="AT244" s="179">
        <f>IFERROR(AT198/AT138,"")</f>
        <v/>
      </c>
      <c r="AU244" s="179">
        <f>IFERROR(AU198/AU138,"")</f>
        <v/>
      </c>
      <c r="AV244" s="179">
        <f>IFERROR(AV198/AV138,"")</f>
        <v/>
      </c>
      <c r="AW244" s="179">
        <f>IFERROR(AW198/AW138,"")</f>
        <v/>
      </c>
      <c r="AX244" s="179">
        <f>IFERROR(AX198/AX138,"")</f>
        <v/>
      </c>
      <c r="AY244" s="179">
        <f>IFERROR(AY198/AY138,"")</f>
        <v/>
      </c>
      <c r="AZ244" s="179">
        <f>IFERROR(AZ198/AZ138,"")</f>
        <v/>
      </c>
      <c r="BA244" s="179">
        <f>IFERROR(BA198/BA138,"")</f>
        <v/>
      </c>
      <c r="BB244" s="179">
        <f>IFERROR(BB198/BB138,"")</f>
        <v/>
      </c>
      <c r="BC244" s="179">
        <f>IFERROR(BC198/BC138,"")</f>
        <v/>
      </c>
      <c r="BD244" s="179">
        <f>IFERROR(BD198/BD138,"")</f>
        <v/>
      </c>
      <c r="BE244" s="179">
        <f>IFERROR(BE198/BE138,"")</f>
        <v/>
      </c>
      <c r="BF244" s="179">
        <f>IFERROR(BF198/BF138,"")</f>
        <v/>
      </c>
      <c r="BG244" s="179">
        <f>IFERROR(BG198/BG138,"")</f>
        <v/>
      </c>
      <c r="BH244" s="179">
        <f>IFERROR(BH198/BH138,"")</f>
        <v/>
      </c>
      <c r="BI244" s="179">
        <f>IFERROR(BI198/BI138,"")</f>
        <v/>
      </c>
      <c r="BJ244" s="179">
        <f>IFERROR(BJ198/BJ138,"")</f>
        <v/>
      </c>
      <c r="BK244" s="179">
        <f>IFERROR(BK198/BK138,"")</f>
        <v/>
      </c>
      <c r="BL244" s="179">
        <f>IFERROR(BL198/BL138,"")</f>
        <v/>
      </c>
      <c r="BM244" s="179">
        <f>IFERROR(BM198/BM138,"")</f>
        <v/>
      </c>
      <c r="BN244" s="179">
        <f>IFERROR(BN198/BN138,"")</f>
        <v/>
      </c>
      <c r="BO244" s="179">
        <f>IFERROR(BO198/BO138,"")</f>
        <v/>
      </c>
      <c r="BP244" s="179">
        <f>IFERROR(BP198/BP138,"")</f>
        <v/>
      </c>
      <c r="BQ244" s="179">
        <f>IFERROR(BQ198/BQ138,"")</f>
        <v/>
      </c>
      <c r="BR244" s="179">
        <f>IFERROR(BR198/BR138,"")</f>
        <v/>
      </c>
      <c r="BS244" s="179">
        <f>IFERROR(BS198/BS138,"")</f>
        <v/>
      </c>
      <c r="BT244" s="179">
        <f>IFERROR(BT198/BT138,"")</f>
        <v/>
      </c>
      <c r="BU244" s="179">
        <f>IFERROR(BU198/BU138,"")</f>
        <v/>
      </c>
      <c r="BV244" s="179">
        <f>IFERROR(BV198/BV138,"")</f>
        <v/>
      </c>
      <c r="BW244" s="179">
        <f>IFERROR(BW198/BW138,"")</f>
        <v/>
      </c>
      <c r="BX244" s="179">
        <f>IFERROR(BX198/BX138,"")</f>
        <v/>
      </c>
      <c r="BY244" s="179">
        <f>IFERROR(BY198/BY138,"")</f>
        <v/>
      </c>
      <c r="BZ244" s="179">
        <f>IFERROR(BZ198/BZ138,"")</f>
        <v/>
      </c>
      <c r="CA244" s="179">
        <f>IFERROR(CA198/CA138,"")</f>
        <v/>
      </c>
      <c r="CB244" s="179">
        <f>IFERROR(CB198/CB138,"")</f>
        <v/>
      </c>
      <c r="CC244" s="179">
        <f>IFERROR(CC198/CC138,"")</f>
        <v/>
      </c>
      <c r="CD244" s="179">
        <f>IFERROR(CD198/CD138,"")</f>
        <v/>
      </c>
      <c r="CE244" s="179">
        <f>IFERROR(CE198/CE138,"")</f>
        <v/>
      </c>
      <c r="CF244" s="179">
        <f>IFERROR(CF198/CF138,"")</f>
        <v/>
      </c>
      <c r="CG244" s="179">
        <f>IFERROR(CG198/CG138,"")</f>
        <v/>
      </c>
      <c r="CH244" s="179">
        <f>IFERROR(CH198/CH138,"")</f>
        <v/>
      </c>
      <c r="CI244" s="179">
        <f>IFERROR(CI198/CI138,"")</f>
        <v/>
      </c>
      <c r="CJ244" s="179">
        <f>IFERROR(CJ198/CJ138,"")</f>
        <v/>
      </c>
      <c r="CK244" s="179">
        <f>IFERROR(CK198/CK138,"")</f>
        <v/>
      </c>
      <c r="CL244" s="179">
        <f>IFERROR(CL198/CL138,"")</f>
        <v/>
      </c>
      <c r="CM244" s="165">
        <f>IFERROR(CM198/CM138,"")</f>
        <v/>
      </c>
      <c r="CN244" s="165">
        <f>IFERROR(CN198/CN138,"")</f>
        <v/>
      </c>
      <c r="CO244" s="165">
        <f>IFERROR(CO198/CO138,"")</f>
        <v/>
      </c>
      <c r="CP244" s="165">
        <f>IFERROR(CP198/CP138,"")</f>
        <v/>
      </c>
      <c r="CQ244" s="165">
        <f>IFERROR(CQ198/CQ138,"")</f>
        <v/>
      </c>
      <c r="CR244" s="165">
        <f>IFERROR(CR198/CR138,"")</f>
        <v/>
      </c>
      <c r="CS244" s="165">
        <f>IFERROR(CS198/CS138,"")</f>
        <v/>
      </c>
      <c r="CT244" s="22" t="n"/>
      <c r="CV244" s="40">
        <f>IFERROR(AVERAGE(CO244,CP244,CQ244,CR244,CS244),"n/m")</f>
        <v/>
      </c>
      <c r="CW244" s="40">
        <f>IFERROR(AVERAGE(BK244,BQ244,BW244,CC244,CI244),"n/m")</f>
        <v/>
      </c>
      <c r="CX244" s="40">
        <f>IFERROR(AVERAGE(AG244,AM244,AS244,AY244,BE244,BK244,BQ244,BW244,CC244,CI244),"n/m")</f>
        <v/>
      </c>
      <c r="CY244" s="40">
        <f>IFERROR(AVERAGE(C244,D244,E244,F244,G244,H244,I244,O244,U244,AA244,AG244,AM244,AS244,AY244,BE244,BK244,BQ244,BW244,CC244,CI244),"n/m")</f>
        <v/>
      </c>
    </row>
    <row r="245" ht="15" customHeight="1">
      <c r="B245" s="25" t="inlineStr">
        <is>
          <t xml:space="preserve">  Incremental Adjusted EBITDA margin (ΔEBITDA / ΔRevenues)</t>
        </is>
      </c>
      <c r="C245" s="39" t="n"/>
      <c r="D245" s="179">
        <f>IFERROR((D198-C198)/(D138-C138),"")</f>
        <v/>
      </c>
      <c r="E245" s="179">
        <f>IFERROR((E198-D198)/(E138-D138),"")</f>
        <v/>
      </c>
      <c r="F245" s="179">
        <f>IFERROR((F198-E198)/(F138-E138),"")</f>
        <v/>
      </c>
      <c r="G245" s="179">
        <f>IFERROR((G198-F198)/(G138-F138),"")</f>
        <v/>
      </c>
      <c r="H245" s="179">
        <f>IFERROR((H198-G198)/(H138-G138),"")</f>
        <v/>
      </c>
      <c r="I245" s="179">
        <f>IFERROR((I198-H198)/(I138-H138),"")</f>
        <v/>
      </c>
      <c r="J245" s="39" t="n"/>
      <c r="K245" s="39" t="n"/>
      <c r="L245" s="39" t="n"/>
      <c r="M245" s="39" t="n"/>
      <c r="N245" s="39" t="n"/>
      <c r="O245" s="179">
        <f>IFERROR((O198-I198)/(O138-I138),"")</f>
        <v/>
      </c>
      <c r="P245" s="179">
        <f>IFERROR((P198-J198)/(P138-J138),"")</f>
        <v/>
      </c>
      <c r="Q245" s="179">
        <f>IFERROR((Q198-K198)/(Q138-K138),"")</f>
        <v/>
      </c>
      <c r="R245" s="179">
        <f>IFERROR((R198-L198)/(R138-L138),"")</f>
        <v/>
      </c>
      <c r="S245" s="179">
        <f>IFERROR((S198-M198)/(S138-M138),"")</f>
        <v/>
      </c>
      <c r="T245" s="179">
        <f>IFERROR((T198-N198)/(T138-N138),"")</f>
        <v/>
      </c>
      <c r="U245" s="179">
        <f>IFERROR((U198-O198)/(U138-O138),"")</f>
        <v/>
      </c>
      <c r="V245" s="179">
        <f>IFERROR((V198-P198)/(V138-P138),"")</f>
        <v/>
      </c>
      <c r="W245" s="179">
        <f>IFERROR((W198-Q198)/(W138-Q138),"")</f>
        <v/>
      </c>
      <c r="X245" s="179">
        <f>IFERROR((X198-R198)/(X138-R138),"")</f>
        <v/>
      </c>
      <c r="Y245" s="179">
        <f>IFERROR((Y198-S198)/(Y138-S138),"")</f>
        <v/>
      </c>
      <c r="Z245" s="179">
        <f>IFERROR((Z198-T198)/(Z138-T138),"")</f>
        <v/>
      </c>
      <c r="AA245" s="179">
        <f>IFERROR((AA198-U198)/(AA138-U138),"")</f>
        <v/>
      </c>
      <c r="AB245" s="179">
        <f>IFERROR((AB198-V198)/(AB138-V138),"")</f>
        <v/>
      </c>
      <c r="AC245" s="179">
        <f>IFERROR((AC198-W198)/(AC138-W138),"")</f>
        <v/>
      </c>
      <c r="AD245" s="179">
        <f>IFERROR((AD198-X198)/(AD138-X138),"")</f>
        <v/>
      </c>
      <c r="AE245" s="179">
        <f>IFERROR((AE198-Y198)/(AE138-Y138),"")</f>
        <v/>
      </c>
      <c r="AF245" s="179">
        <f>IFERROR((AF198-Z198)/(AF138-Z138),"")</f>
        <v/>
      </c>
      <c r="AG245" s="179">
        <f>IFERROR((AG198-AA198)/(AG138-AA138),"")</f>
        <v/>
      </c>
      <c r="AH245" s="179">
        <f>IFERROR((AH198-AB198)/(AH138-AB138),"")</f>
        <v/>
      </c>
      <c r="AI245" s="179">
        <f>IFERROR((AI198-AC198)/(AI138-AC138),"")</f>
        <v/>
      </c>
      <c r="AJ245" s="179">
        <f>IFERROR((AJ198-AD198)/(AJ138-AD138),"")</f>
        <v/>
      </c>
      <c r="AK245" s="179">
        <f>IFERROR((AK198-AE198)/(AK138-AE138),"")</f>
        <v/>
      </c>
      <c r="AL245" s="179">
        <f>IFERROR((AL198-AF198)/(AL138-AF138),"")</f>
        <v/>
      </c>
      <c r="AM245" s="179">
        <f>IFERROR((AM198-AG198)/(AM138-AG138),"")</f>
        <v/>
      </c>
      <c r="AN245" s="179">
        <f>IFERROR((AN198-AH198)/(AN138-AH138),"")</f>
        <v/>
      </c>
      <c r="AO245" s="179">
        <f>IFERROR((AO198-AI198)/(AO138-AI138),"")</f>
        <v/>
      </c>
      <c r="AP245" s="179">
        <f>IFERROR((AP198-AJ198)/(AP138-AJ138),"")</f>
        <v/>
      </c>
      <c r="AQ245" s="179">
        <f>IFERROR((AQ198-AK198)/(AQ138-AK138),"")</f>
        <v/>
      </c>
      <c r="AR245" s="179">
        <f>IFERROR((AR198-AL198)/(AR138-AL138),"")</f>
        <v/>
      </c>
      <c r="AS245" s="179">
        <f>IFERROR((AS198-AM198)/(AS138-AM138),"")</f>
        <v/>
      </c>
      <c r="AT245" s="179">
        <f>IFERROR((AT198-AN198)/(AT138-AN138),"")</f>
        <v/>
      </c>
      <c r="AU245" s="179">
        <f>IFERROR((AU198-AO198)/(AU138-AO138),"")</f>
        <v/>
      </c>
      <c r="AV245" s="179">
        <f>IFERROR((AV198-AP198)/(AV138-AP138),"")</f>
        <v/>
      </c>
      <c r="AW245" s="179">
        <f>IFERROR((AW198-AQ198)/(AW138-AQ138),"")</f>
        <v/>
      </c>
      <c r="AX245" s="179">
        <f>IFERROR((AX198-AR198)/(AX138-AR138),"")</f>
        <v/>
      </c>
      <c r="AY245" s="179">
        <f>IFERROR((AY198-AS198)/(AY138-AS138),"")</f>
        <v/>
      </c>
      <c r="AZ245" s="179">
        <f>IFERROR((AZ198-AT198)/(AZ138-AT138),"")</f>
        <v/>
      </c>
      <c r="BA245" s="179">
        <f>IFERROR((BA198-AU198)/(BA138-AU138),"")</f>
        <v/>
      </c>
      <c r="BB245" s="179">
        <f>IFERROR((BB198-AV198)/(BB138-AV138),"")</f>
        <v/>
      </c>
      <c r="BC245" s="179">
        <f>IFERROR((BC198-AW198)/(BC138-AW138),"")</f>
        <v/>
      </c>
      <c r="BD245" s="179">
        <f>IFERROR((BD198-AX198)/(BD138-AX138),"")</f>
        <v/>
      </c>
      <c r="BE245" s="179">
        <f>IFERROR((BE198-AY198)/(BE138-AY138),"")</f>
        <v/>
      </c>
      <c r="BF245" s="179">
        <f>IFERROR((BF198-AZ198)/(BF138-AZ138),"")</f>
        <v/>
      </c>
      <c r="BG245" s="179">
        <f>IFERROR((BG198-BA198)/(BG138-BA138),"")</f>
        <v/>
      </c>
      <c r="BH245" s="179">
        <f>IFERROR((BH198-BB198)/(BH138-BB138),"")</f>
        <v/>
      </c>
      <c r="BI245" s="179">
        <f>IFERROR((BI198-BC198)/(BI138-BC138),"")</f>
        <v/>
      </c>
      <c r="BJ245" s="179">
        <f>IFERROR((BJ198-BD198)/(BJ138-BD138),"")</f>
        <v/>
      </c>
      <c r="BK245" s="179">
        <f>IFERROR((BK198-BE198)/(BK138-BE138),"")</f>
        <v/>
      </c>
      <c r="BL245" s="179">
        <f>IFERROR((BL198-BF198)/(BL138-BF138),"")</f>
        <v/>
      </c>
      <c r="BM245" s="179">
        <f>IFERROR((BM198-BG198)/(BM138-BG138),"")</f>
        <v/>
      </c>
      <c r="BN245" s="179">
        <f>IFERROR((BN198-BH198)/(BN138-BH138),"")</f>
        <v/>
      </c>
      <c r="BO245" s="179">
        <f>IFERROR((BO198-BI198)/(BO138-BI138),"")</f>
        <v/>
      </c>
      <c r="BP245" s="179">
        <f>IFERROR((BP198-BJ198)/(BP138-BJ138),"")</f>
        <v/>
      </c>
      <c r="BQ245" s="179">
        <f>IFERROR((BQ198-BK198)/(BQ138-BK138),"")</f>
        <v/>
      </c>
      <c r="BR245" s="179">
        <f>IFERROR((BR198-BL198)/(BR138-BL138),"")</f>
        <v/>
      </c>
      <c r="BS245" s="179">
        <f>IFERROR((BS198-BM198)/(BS138-BM138),"")</f>
        <v/>
      </c>
      <c r="BT245" s="179">
        <f>IFERROR((BT198-BN198)/(BT138-BN138),"")</f>
        <v/>
      </c>
      <c r="BU245" s="179">
        <f>IFERROR((BU198-BO198)/(BU138-BO138),"")</f>
        <v/>
      </c>
      <c r="BV245" s="179">
        <f>IFERROR((BV198-BP198)/(BV138-BP138),"")</f>
        <v/>
      </c>
      <c r="BW245" s="179">
        <f>IFERROR((BW198-BQ198)/(BW138-BQ138),"")</f>
        <v/>
      </c>
      <c r="BX245" s="179">
        <f>IFERROR((BX198-BR198)/(BX138-BR138),"")</f>
        <v/>
      </c>
      <c r="BY245" s="179">
        <f>IFERROR((BY198-BS198)/(BY138-BS138),"")</f>
        <v/>
      </c>
      <c r="BZ245" s="179">
        <f>IFERROR((BZ198-BT198)/(BZ138-BT138),"")</f>
        <v/>
      </c>
      <c r="CA245" s="179">
        <f>IFERROR((CA198-BU198)/(CA138-BU138),"")</f>
        <v/>
      </c>
      <c r="CB245" s="179">
        <f>IFERROR((CB198-BV198)/(CB138-BV138),"")</f>
        <v/>
      </c>
      <c r="CC245" s="179">
        <f>IFERROR((CC198-BW198)/(CC138-BW138),"")</f>
        <v/>
      </c>
      <c r="CD245" s="179">
        <f>IFERROR((CD198-BX198)/(CD138-BX138),"")</f>
        <v/>
      </c>
      <c r="CE245" s="179">
        <f>IFERROR((CE198-BY198)/(CE138-BY138),"")</f>
        <v/>
      </c>
      <c r="CF245" s="179">
        <f>IFERROR((CF198-BZ198)/(CF138-BZ138),"")</f>
        <v/>
      </c>
      <c r="CG245" s="179">
        <f>IFERROR((CG198-CA198)/(CG138-CA138),"")</f>
        <v/>
      </c>
      <c r="CH245" s="179">
        <f>IFERROR((CH198-CB198)/(CH138-CB138),"")</f>
        <v/>
      </c>
      <c r="CI245" s="179">
        <f>IFERROR((CI198-CC198)/(CI138-CC138),"")</f>
        <v/>
      </c>
      <c r="CJ245" s="179">
        <f>IFERROR((CJ198-CD198)/(CJ138-CD138),"")</f>
        <v/>
      </c>
      <c r="CK245" s="179">
        <f>IFERROR((CK198-CE198)/(CK138-CE138),"")</f>
        <v/>
      </c>
      <c r="CL245" s="179">
        <f>IFERROR((CL198-CF198)/(CL138-CF138),"")</f>
        <v/>
      </c>
      <c r="CM245" s="165">
        <f>IFERROR((CM198-CG198)/(CM138-CG138),"")</f>
        <v/>
      </c>
      <c r="CN245" s="165">
        <f>IFERROR((CN198-CH198)/(CN138-CH138),"")</f>
        <v/>
      </c>
      <c r="CO245" s="165">
        <f>IFERROR((CO198-CI198)/(CO138-CI138),"")</f>
        <v/>
      </c>
      <c r="CP245" s="165">
        <f>IFERROR((CP198-CO198)/(CP138-CO138),"")</f>
        <v/>
      </c>
      <c r="CQ245" s="165">
        <f>IFERROR((CQ198-CP198)/(CQ138-CP138),"")</f>
        <v/>
      </c>
      <c r="CR245" s="165">
        <f>IFERROR((CR198-CQ198)/(CR138-CQ138),"")</f>
        <v/>
      </c>
      <c r="CS245" s="165">
        <f>IFERROR((CS198-CR198)/(CS138-CR138),"")</f>
        <v/>
      </c>
      <c r="CT245" s="22" t="n"/>
      <c r="CV245" s="40" t="n"/>
      <c r="CW245" s="40" t="n"/>
      <c r="CX245" s="40" t="n"/>
      <c r="CY245" s="40" t="n"/>
    </row>
    <row r="246" ht="15" customHeight="1">
      <c r="B246" s="25" t="inlineStr">
        <is>
          <t xml:space="preserve">  Adjusted EBIT margin %</t>
        </is>
      </c>
      <c r="C246" s="179">
        <f>IFERROR(C206/C138,"")</f>
        <v/>
      </c>
      <c r="D246" s="179">
        <f>IFERROR(D206/D138,"")</f>
        <v/>
      </c>
      <c r="E246" s="179">
        <f>IFERROR(E206/E138,"")</f>
        <v/>
      </c>
      <c r="F246" s="179">
        <f>IFERROR(F206/F138,"")</f>
        <v/>
      </c>
      <c r="G246" s="179">
        <f>IFERROR(G206/G138,"")</f>
        <v/>
      </c>
      <c r="H246" s="179">
        <f>IFERROR(H206/H138,"")</f>
        <v/>
      </c>
      <c r="I246" s="179">
        <f>IFERROR(I206/I138,"")</f>
        <v/>
      </c>
      <c r="J246" s="179">
        <f>IFERROR(J206/J138,"")</f>
        <v/>
      </c>
      <c r="K246" s="179">
        <f>IFERROR(K206/K138,"")</f>
        <v/>
      </c>
      <c r="L246" s="179">
        <f>IFERROR(L206/L138,"")</f>
        <v/>
      </c>
      <c r="M246" s="179">
        <f>IFERROR(M206/M138,"")</f>
        <v/>
      </c>
      <c r="N246" s="179">
        <f>IFERROR(N206/N138,"")</f>
        <v/>
      </c>
      <c r="O246" s="179">
        <f>IFERROR(O206/O138,"")</f>
        <v/>
      </c>
      <c r="P246" s="179">
        <f>IFERROR(P206/P138,"")</f>
        <v/>
      </c>
      <c r="Q246" s="179">
        <f>IFERROR(Q206/Q138,"")</f>
        <v/>
      </c>
      <c r="R246" s="179">
        <f>IFERROR(R206/R138,"")</f>
        <v/>
      </c>
      <c r="S246" s="179">
        <f>IFERROR(S206/S138,"")</f>
        <v/>
      </c>
      <c r="T246" s="179">
        <f>IFERROR(T206/T138,"")</f>
        <v/>
      </c>
      <c r="U246" s="179">
        <f>IFERROR(U206/U138,"")</f>
        <v/>
      </c>
      <c r="V246" s="179">
        <f>IFERROR(V206/V138,"")</f>
        <v/>
      </c>
      <c r="W246" s="179">
        <f>IFERROR(W206/W138,"")</f>
        <v/>
      </c>
      <c r="X246" s="179">
        <f>IFERROR(X206/X138,"")</f>
        <v/>
      </c>
      <c r="Y246" s="179">
        <f>IFERROR(Y206/Y138,"")</f>
        <v/>
      </c>
      <c r="Z246" s="179">
        <f>IFERROR(Z206/Z138,"")</f>
        <v/>
      </c>
      <c r="AA246" s="179">
        <f>IFERROR(AA206/AA138,"")</f>
        <v/>
      </c>
      <c r="AB246" s="179">
        <f>IFERROR(AB206/AB138,"")</f>
        <v/>
      </c>
      <c r="AC246" s="179">
        <f>IFERROR(AC206/AC138,"")</f>
        <v/>
      </c>
      <c r="AD246" s="179">
        <f>IFERROR(AD206/AD138,"")</f>
        <v/>
      </c>
      <c r="AE246" s="179">
        <f>IFERROR(AE206/AE138,"")</f>
        <v/>
      </c>
      <c r="AF246" s="179">
        <f>IFERROR(AF206/AF138,"")</f>
        <v/>
      </c>
      <c r="AG246" s="179">
        <f>IFERROR(AG206/AG138,"")</f>
        <v/>
      </c>
      <c r="AH246" s="179">
        <f>IFERROR(AH206/AH138,"")</f>
        <v/>
      </c>
      <c r="AI246" s="179">
        <f>IFERROR(AI206/AI138,"")</f>
        <v/>
      </c>
      <c r="AJ246" s="179">
        <f>IFERROR(AJ206/AJ138,"")</f>
        <v/>
      </c>
      <c r="AK246" s="179">
        <f>IFERROR(AK206/AK138,"")</f>
        <v/>
      </c>
      <c r="AL246" s="179">
        <f>IFERROR(AL206/AL138,"")</f>
        <v/>
      </c>
      <c r="AM246" s="179">
        <f>IFERROR(AM206/AM138,"")</f>
        <v/>
      </c>
      <c r="AN246" s="179">
        <f>IFERROR(AN206/AN138,"")</f>
        <v/>
      </c>
      <c r="AO246" s="179">
        <f>IFERROR(AO206/AO138,"")</f>
        <v/>
      </c>
      <c r="AP246" s="179">
        <f>IFERROR(AP206/AP138,"")</f>
        <v/>
      </c>
      <c r="AQ246" s="179">
        <f>IFERROR(AQ206/AQ138,"")</f>
        <v/>
      </c>
      <c r="AR246" s="179">
        <f>IFERROR(AR206/AR138,"")</f>
        <v/>
      </c>
      <c r="AS246" s="179">
        <f>IFERROR(AS206/AS138,"")</f>
        <v/>
      </c>
      <c r="AT246" s="179">
        <f>IFERROR(AT206/AT138,"")</f>
        <v/>
      </c>
      <c r="AU246" s="179">
        <f>IFERROR(AU206/AU138,"")</f>
        <v/>
      </c>
      <c r="AV246" s="179">
        <f>IFERROR(AV206/AV138,"")</f>
        <v/>
      </c>
      <c r="AW246" s="179">
        <f>IFERROR(AW206/AW138,"")</f>
        <v/>
      </c>
      <c r="AX246" s="179">
        <f>IFERROR(AX206/AX138,"")</f>
        <v/>
      </c>
      <c r="AY246" s="179">
        <f>IFERROR(AY206/AY138,"")</f>
        <v/>
      </c>
      <c r="AZ246" s="179">
        <f>IFERROR(AZ206/AZ138,"")</f>
        <v/>
      </c>
      <c r="BA246" s="179">
        <f>IFERROR(BA206/BA138,"")</f>
        <v/>
      </c>
      <c r="BB246" s="179">
        <f>IFERROR(BB206/BB138,"")</f>
        <v/>
      </c>
      <c r="BC246" s="179">
        <f>IFERROR(BC206/BC138,"")</f>
        <v/>
      </c>
      <c r="BD246" s="179">
        <f>IFERROR(BD206/BD138,"")</f>
        <v/>
      </c>
      <c r="BE246" s="179">
        <f>IFERROR(BE206/BE138,"")</f>
        <v/>
      </c>
      <c r="BF246" s="179">
        <f>IFERROR(BF206/BF138,"")</f>
        <v/>
      </c>
      <c r="BG246" s="179">
        <f>IFERROR(BG206/BG138,"")</f>
        <v/>
      </c>
      <c r="BH246" s="179">
        <f>IFERROR(BH206/BH138,"")</f>
        <v/>
      </c>
      <c r="BI246" s="179">
        <f>IFERROR(BI206/BI138,"")</f>
        <v/>
      </c>
      <c r="BJ246" s="179">
        <f>IFERROR(BJ206/BJ138,"")</f>
        <v/>
      </c>
      <c r="BK246" s="179">
        <f>IFERROR(BK206/BK138,"")</f>
        <v/>
      </c>
      <c r="BL246" s="179">
        <f>IFERROR(BL206/BL138,"")</f>
        <v/>
      </c>
      <c r="BM246" s="179">
        <f>IFERROR(BM206/BM138,"")</f>
        <v/>
      </c>
      <c r="BN246" s="179">
        <f>IFERROR(BN206/BN138,"")</f>
        <v/>
      </c>
      <c r="BO246" s="179">
        <f>IFERROR(BO206/BO138,"")</f>
        <v/>
      </c>
      <c r="BP246" s="179">
        <f>IFERROR(BP206/BP138,"")</f>
        <v/>
      </c>
      <c r="BQ246" s="179">
        <f>IFERROR(BQ206/BQ138,"")</f>
        <v/>
      </c>
      <c r="BR246" s="179">
        <f>IFERROR(BR206/BR138,"")</f>
        <v/>
      </c>
      <c r="BS246" s="179">
        <f>IFERROR(BS206/BS138,"")</f>
        <v/>
      </c>
      <c r="BT246" s="179">
        <f>IFERROR(BT206/BT138,"")</f>
        <v/>
      </c>
      <c r="BU246" s="179">
        <f>IFERROR(BU206/BU138,"")</f>
        <v/>
      </c>
      <c r="BV246" s="179">
        <f>IFERROR(BV206/BV138,"")</f>
        <v/>
      </c>
      <c r="BW246" s="179">
        <f>IFERROR(BW206/BW138,"")</f>
        <v/>
      </c>
      <c r="BX246" s="179">
        <f>IFERROR(BX206/BX138,"")</f>
        <v/>
      </c>
      <c r="BY246" s="179">
        <f>IFERROR(BY206/BY138,"")</f>
        <v/>
      </c>
      <c r="BZ246" s="179">
        <f>IFERROR(BZ206/BZ138,"")</f>
        <v/>
      </c>
      <c r="CA246" s="179">
        <f>IFERROR(CA206/CA138,"")</f>
        <v/>
      </c>
      <c r="CB246" s="179">
        <f>IFERROR(CB206/CB138,"")</f>
        <v/>
      </c>
      <c r="CC246" s="179">
        <f>IFERROR(CC206/CC138,"")</f>
        <v/>
      </c>
      <c r="CD246" s="179">
        <f>IFERROR(CD206/CD138,"")</f>
        <v/>
      </c>
      <c r="CE246" s="179">
        <f>IFERROR(CE206/CE138,"")</f>
        <v/>
      </c>
      <c r="CF246" s="179">
        <f>IFERROR(CF206/CF138,"")</f>
        <v/>
      </c>
      <c r="CG246" s="179">
        <f>IFERROR(CG206/CG138,"")</f>
        <v/>
      </c>
      <c r="CH246" s="179">
        <f>IFERROR(CH206/CH138,"")</f>
        <v/>
      </c>
      <c r="CI246" s="179">
        <f>IFERROR(CI206/CI138,"")</f>
        <v/>
      </c>
      <c r="CJ246" s="179">
        <f>IFERROR(CJ206/CJ138,"")</f>
        <v/>
      </c>
      <c r="CK246" s="179">
        <f>IFERROR(CK206/CK138,"")</f>
        <v/>
      </c>
      <c r="CL246" s="179">
        <f>IFERROR(CL206/CL138,"")</f>
        <v/>
      </c>
      <c r="CM246" s="165">
        <f>IFERROR(CM206/CM138,"")</f>
        <v/>
      </c>
      <c r="CN246" s="165">
        <f>IFERROR(CN206/CN138,"")</f>
        <v/>
      </c>
      <c r="CO246" s="165">
        <f>IFERROR(CO206/CO138,"")</f>
        <v/>
      </c>
      <c r="CP246" s="165">
        <f>IFERROR(CP206/CP138,"")</f>
        <v/>
      </c>
      <c r="CQ246" s="165">
        <f>IFERROR(CQ206/CQ138,"")</f>
        <v/>
      </c>
      <c r="CR246" s="165">
        <f>IFERROR(CR206/CR138,"")</f>
        <v/>
      </c>
      <c r="CS246" s="165">
        <f>IFERROR(CS206/CS138,"")</f>
        <v/>
      </c>
      <c r="CT246" s="22" t="n"/>
      <c r="CV246" s="40">
        <f>IFERROR(AVERAGE(CO246,CP246,CQ246,CR246,CS246),"n/m")</f>
        <v/>
      </c>
      <c r="CW246" s="40">
        <f>IFERROR(AVERAGE(BK246,BQ246,BW246,CC246,CI246),"n/m")</f>
        <v/>
      </c>
      <c r="CX246" s="40">
        <f>IFERROR(AVERAGE(AG246,AM246,AS246,AY246,BE246,BK246,BQ246,BW246,CC246,CI246),"n/m")</f>
        <v/>
      </c>
      <c r="CY246" s="40">
        <f>IFERROR(AVERAGE(C246,D246,E246,F246,G246,H246,I246,O246,U246,AA246,AG246,AM246,AS246,AY246,BE246,BK246,BQ246,BW246,CC246,CI246),"n/m")</f>
        <v/>
      </c>
    </row>
    <row r="247" ht="15" customHeight="1">
      <c r="B247" s="25" t="inlineStr">
        <is>
          <t xml:space="preserve">  Operating margin (GAAP) %</t>
        </is>
      </c>
      <c r="C247" s="179">
        <f>IFERROR(C145/C138,"")</f>
        <v/>
      </c>
      <c r="D247" s="179">
        <f>IFERROR(D145/D138,"")</f>
        <v/>
      </c>
      <c r="E247" s="179">
        <f>IFERROR(E145/E138,"")</f>
        <v/>
      </c>
      <c r="F247" s="179">
        <f>IFERROR(F145/F138,"")</f>
        <v/>
      </c>
      <c r="G247" s="179">
        <f>IFERROR(G145/G138,"")</f>
        <v/>
      </c>
      <c r="H247" s="179">
        <f>IFERROR(H145/H138,"")</f>
        <v/>
      </c>
      <c r="I247" s="179">
        <f>IFERROR(I145/I138,"")</f>
        <v/>
      </c>
      <c r="J247" s="179">
        <f>IFERROR(J145/J138,"")</f>
        <v/>
      </c>
      <c r="K247" s="179">
        <f>IFERROR(K145/K138,"")</f>
        <v/>
      </c>
      <c r="L247" s="179">
        <f>IFERROR(L145/L138,"")</f>
        <v/>
      </c>
      <c r="M247" s="179">
        <f>IFERROR(M145/M138,"")</f>
        <v/>
      </c>
      <c r="N247" s="179">
        <f>IFERROR(N145/N138,"")</f>
        <v/>
      </c>
      <c r="O247" s="179">
        <f>IFERROR(O145/O138,"")</f>
        <v/>
      </c>
      <c r="P247" s="179">
        <f>IFERROR(P145/P138,"")</f>
        <v/>
      </c>
      <c r="Q247" s="179">
        <f>IFERROR(Q145/Q138,"")</f>
        <v/>
      </c>
      <c r="R247" s="179">
        <f>IFERROR(R145/R138,"")</f>
        <v/>
      </c>
      <c r="S247" s="179">
        <f>IFERROR(S145/S138,"")</f>
        <v/>
      </c>
      <c r="T247" s="179">
        <f>IFERROR(T145/T138,"")</f>
        <v/>
      </c>
      <c r="U247" s="179">
        <f>IFERROR(U145/U138,"")</f>
        <v/>
      </c>
      <c r="V247" s="179">
        <f>IFERROR(V145/V138,"")</f>
        <v/>
      </c>
      <c r="W247" s="179">
        <f>IFERROR(W145/W138,"")</f>
        <v/>
      </c>
      <c r="X247" s="179">
        <f>IFERROR(X145/X138,"")</f>
        <v/>
      </c>
      <c r="Y247" s="179">
        <f>IFERROR(Y145/Y138,"")</f>
        <v/>
      </c>
      <c r="Z247" s="179">
        <f>IFERROR(Z145/Z138,"")</f>
        <v/>
      </c>
      <c r="AA247" s="179">
        <f>IFERROR(AA145/AA138,"")</f>
        <v/>
      </c>
      <c r="AB247" s="179">
        <f>IFERROR(AB145/AB138,"")</f>
        <v/>
      </c>
      <c r="AC247" s="179">
        <f>IFERROR(AC145/AC138,"")</f>
        <v/>
      </c>
      <c r="AD247" s="179">
        <f>IFERROR(AD145/AD138,"")</f>
        <v/>
      </c>
      <c r="AE247" s="179">
        <f>IFERROR(AE145/AE138,"")</f>
        <v/>
      </c>
      <c r="AF247" s="179">
        <f>IFERROR(AF145/AF138,"")</f>
        <v/>
      </c>
      <c r="AG247" s="179">
        <f>IFERROR(AG145/AG138,"")</f>
        <v/>
      </c>
      <c r="AH247" s="179">
        <f>IFERROR(AH145/AH138,"")</f>
        <v/>
      </c>
      <c r="AI247" s="179">
        <f>IFERROR(AI145/AI138,"")</f>
        <v/>
      </c>
      <c r="AJ247" s="179">
        <f>IFERROR(AJ145/AJ138,"")</f>
        <v/>
      </c>
      <c r="AK247" s="179">
        <f>IFERROR(AK145/AK138,"")</f>
        <v/>
      </c>
      <c r="AL247" s="179">
        <f>IFERROR(AL145/AL138,"")</f>
        <v/>
      </c>
      <c r="AM247" s="179">
        <f>IFERROR(AM145/AM138,"")</f>
        <v/>
      </c>
      <c r="AN247" s="179">
        <f>IFERROR(AN145/AN138,"")</f>
        <v/>
      </c>
      <c r="AO247" s="179">
        <f>IFERROR(AO145/AO138,"")</f>
        <v/>
      </c>
      <c r="AP247" s="179">
        <f>IFERROR(AP145/AP138,"")</f>
        <v/>
      </c>
      <c r="AQ247" s="179">
        <f>IFERROR(AQ145/AQ138,"")</f>
        <v/>
      </c>
      <c r="AR247" s="179">
        <f>IFERROR(AR145/AR138,"")</f>
        <v/>
      </c>
      <c r="AS247" s="179">
        <f>IFERROR(AS145/AS138,"")</f>
        <v/>
      </c>
      <c r="AT247" s="179">
        <f>IFERROR(AT145/AT138,"")</f>
        <v/>
      </c>
      <c r="AU247" s="179">
        <f>IFERROR(AU145/AU138,"")</f>
        <v/>
      </c>
      <c r="AV247" s="179">
        <f>IFERROR(AV145/AV138,"")</f>
        <v/>
      </c>
      <c r="AW247" s="179">
        <f>IFERROR(AW145/AW138,"")</f>
        <v/>
      </c>
      <c r="AX247" s="179">
        <f>IFERROR(AX145/AX138,"")</f>
        <v/>
      </c>
      <c r="AY247" s="179">
        <f>IFERROR(AY145/AY138,"")</f>
        <v/>
      </c>
      <c r="AZ247" s="179">
        <f>IFERROR(AZ145/AZ138,"")</f>
        <v/>
      </c>
      <c r="BA247" s="179">
        <f>IFERROR(BA145/BA138,"")</f>
        <v/>
      </c>
      <c r="BB247" s="179">
        <f>IFERROR(BB145/BB138,"")</f>
        <v/>
      </c>
      <c r="BC247" s="179">
        <f>IFERROR(BC145/BC138,"")</f>
        <v/>
      </c>
      <c r="BD247" s="179">
        <f>IFERROR(BD145/BD138,"")</f>
        <v/>
      </c>
      <c r="BE247" s="179">
        <f>IFERROR(BE145/BE138,"")</f>
        <v/>
      </c>
      <c r="BF247" s="179">
        <f>IFERROR(BF145/BF138,"")</f>
        <v/>
      </c>
      <c r="BG247" s="179">
        <f>IFERROR(BG145/BG138,"")</f>
        <v/>
      </c>
      <c r="BH247" s="179">
        <f>IFERROR(BH145/BH138,"")</f>
        <v/>
      </c>
      <c r="BI247" s="179">
        <f>IFERROR(BI145/BI138,"")</f>
        <v/>
      </c>
      <c r="BJ247" s="179">
        <f>IFERROR(BJ145/BJ138,"")</f>
        <v/>
      </c>
      <c r="BK247" s="179">
        <f>IFERROR(BK145/BK138,"")</f>
        <v/>
      </c>
      <c r="BL247" s="179">
        <f>IFERROR(BL145/BL138,"")</f>
        <v/>
      </c>
      <c r="BM247" s="179">
        <f>IFERROR(BM145/BM138,"")</f>
        <v/>
      </c>
      <c r="BN247" s="179">
        <f>IFERROR(BN145/BN138,"")</f>
        <v/>
      </c>
      <c r="BO247" s="179">
        <f>IFERROR(BO145/BO138,"")</f>
        <v/>
      </c>
      <c r="BP247" s="179">
        <f>IFERROR(BP145/BP138,"")</f>
        <v/>
      </c>
      <c r="BQ247" s="179">
        <f>IFERROR(BQ145/BQ138,"")</f>
        <v/>
      </c>
      <c r="BR247" s="179">
        <f>IFERROR(BR145/BR138,"")</f>
        <v/>
      </c>
      <c r="BS247" s="179">
        <f>IFERROR(BS145/BS138,"")</f>
        <v/>
      </c>
      <c r="BT247" s="179">
        <f>IFERROR(BT145/BT138,"")</f>
        <v/>
      </c>
      <c r="BU247" s="179">
        <f>IFERROR(BU145/BU138,"")</f>
        <v/>
      </c>
      <c r="BV247" s="179">
        <f>IFERROR(BV145/BV138,"")</f>
        <v/>
      </c>
      <c r="BW247" s="179">
        <f>IFERROR(BW145/BW138,"")</f>
        <v/>
      </c>
      <c r="BX247" s="179">
        <f>IFERROR(BX145/BX138,"")</f>
        <v/>
      </c>
      <c r="BY247" s="179">
        <f>IFERROR(BY145/BY138,"")</f>
        <v/>
      </c>
      <c r="BZ247" s="179">
        <f>IFERROR(BZ145/BZ138,"")</f>
        <v/>
      </c>
      <c r="CA247" s="179">
        <f>IFERROR(CA145/CA138,"")</f>
        <v/>
      </c>
      <c r="CB247" s="179">
        <f>IFERROR(CB145/CB138,"")</f>
        <v/>
      </c>
      <c r="CC247" s="179">
        <f>IFERROR(CC145/CC138,"")</f>
        <v/>
      </c>
      <c r="CD247" s="179">
        <f>IFERROR(CD145/CD138,"")</f>
        <v/>
      </c>
      <c r="CE247" s="179">
        <f>IFERROR(CE145/CE138,"")</f>
        <v/>
      </c>
      <c r="CF247" s="179">
        <f>IFERROR(CF145/CF138,"")</f>
        <v/>
      </c>
      <c r="CG247" s="179">
        <f>IFERROR(CG145/CG138,"")</f>
        <v/>
      </c>
      <c r="CH247" s="179">
        <f>IFERROR(CH145/CH138,"")</f>
        <v/>
      </c>
      <c r="CI247" s="179">
        <f>IFERROR(CI145/CI138,"")</f>
        <v/>
      </c>
      <c r="CJ247" s="179">
        <f>IFERROR(CJ145/CJ138,"")</f>
        <v/>
      </c>
      <c r="CK247" s="179">
        <f>IFERROR(CK145/CK138,"")</f>
        <v/>
      </c>
      <c r="CL247" s="179">
        <f>IFERROR(CL145/CL138,"")</f>
        <v/>
      </c>
      <c r="CM247" s="165">
        <f>IFERROR(CM145/CM138,"")</f>
        <v/>
      </c>
      <c r="CN247" s="165">
        <f>IFERROR(CN145/CN138,"")</f>
        <v/>
      </c>
      <c r="CO247" s="165">
        <f>IFERROR(CO145/CO138,"")</f>
        <v/>
      </c>
      <c r="CP247" s="165">
        <f>IFERROR(CP145/CP138,"")</f>
        <v/>
      </c>
      <c r="CQ247" s="165">
        <f>IFERROR(CQ145/CQ138,"")</f>
        <v/>
      </c>
      <c r="CR247" s="165">
        <f>IFERROR(CR145/CR138,"")</f>
        <v/>
      </c>
      <c r="CS247" s="165">
        <f>IFERROR(CS145/CS138,"")</f>
        <v/>
      </c>
      <c r="CT247" s="22" t="n"/>
      <c r="CV247" s="40">
        <f>IFERROR(AVERAGE(CO247,CP247,CQ247,CR247,CS247),"n/m")</f>
        <v/>
      </c>
      <c r="CW247" s="40">
        <f>IFERROR(AVERAGE(BK247,BQ247,BW247,CC247,CI247),"n/m")</f>
        <v/>
      </c>
      <c r="CX247" s="40">
        <f>IFERROR(AVERAGE(AG247,AM247,AS247,AY247,BE247,BK247,BQ247,BW247,CC247,CI247),"n/m")</f>
        <v/>
      </c>
      <c r="CY247" s="40">
        <f>IFERROR(AVERAGE(C247,D247,E247,F247,G247,H247,I247,O247,U247,AA247,AG247,AM247,AS247,AY247,BE247,BK247,BQ247,BW247,CC247,CI247),"n/m")</f>
        <v/>
      </c>
    </row>
    <row r="248" ht="15" customHeight="1">
      <c r="B248" s="25" t="inlineStr">
        <is>
          <t xml:space="preserve">  Net margin %</t>
        </is>
      </c>
      <c r="C248" s="179">
        <f>IFERROR(C155/C138,"")</f>
        <v/>
      </c>
      <c r="D248" s="179">
        <f>IFERROR(D155/D138,"")</f>
        <v/>
      </c>
      <c r="E248" s="179">
        <f>IFERROR(E155/E138,"")</f>
        <v/>
      </c>
      <c r="F248" s="179">
        <f>IFERROR(F155/F138,"")</f>
        <v/>
      </c>
      <c r="G248" s="179">
        <f>IFERROR(G155/G138,"")</f>
        <v/>
      </c>
      <c r="H248" s="179">
        <f>IFERROR(H155/H138,"")</f>
        <v/>
      </c>
      <c r="I248" s="179">
        <f>IFERROR(I155/I138,"")</f>
        <v/>
      </c>
      <c r="J248" s="179">
        <f>IFERROR(J155/J138,"")</f>
        <v/>
      </c>
      <c r="K248" s="179">
        <f>IFERROR(K155/K138,"")</f>
        <v/>
      </c>
      <c r="L248" s="179">
        <f>IFERROR(L155/L138,"")</f>
        <v/>
      </c>
      <c r="M248" s="179">
        <f>IFERROR(M155/M138,"")</f>
        <v/>
      </c>
      <c r="N248" s="179">
        <f>IFERROR(N155/N138,"")</f>
        <v/>
      </c>
      <c r="O248" s="179">
        <f>IFERROR(O155/O138,"")</f>
        <v/>
      </c>
      <c r="P248" s="179">
        <f>IFERROR(P155/P138,"")</f>
        <v/>
      </c>
      <c r="Q248" s="179">
        <f>IFERROR(Q155/Q138,"")</f>
        <v/>
      </c>
      <c r="R248" s="179">
        <f>IFERROR(R155/R138,"")</f>
        <v/>
      </c>
      <c r="S248" s="179">
        <f>IFERROR(S155/S138,"")</f>
        <v/>
      </c>
      <c r="T248" s="179">
        <f>IFERROR(T155/T138,"")</f>
        <v/>
      </c>
      <c r="U248" s="179">
        <f>IFERROR(U155/U138,"")</f>
        <v/>
      </c>
      <c r="V248" s="179">
        <f>IFERROR(V155/V138,"")</f>
        <v/>
      </c>
      <c r="W248" s="179">
        <f>IFERROR(W155/W138,"")</f>
        <v/>
      </c>
      <c r="X248" s="179">
        <f>IFERROR(X155/X138,"")</f>
        <v/>
      </c>
      <c r="Y248" s="179">
        <f>IFERROR(Y155/Y138,"")</f>
        <v/>
      </c>
      <c r="Z248" s="179">
        <f>IFERROR(Z155/Z138,"")</f>
        <v/>
      </c>
      <c r="AA248" s="179">
        <f>IFERROR(AA155/AA138,"")</f>
        <v/>
      </c>
      <c r="AB248" s="179">
        <f>IFERROR(AB155/AB138,"")</f>
        <v/>
      </c>
      <c r="AC248" s="179">
        <f>IFERROR(AC155/AC138,"")</f>
        <v/>
      </c>
      <c r="AD248" s="179">
        <f>IFERROR(AD155/AD138,"")</f>
        <v/>
      </c>
      <c r="AE248" s="179">
        <f>IFERROR(AE155/AE138,"")</f>
        <v/>
      </c>
      <c r="AF248" s="179">
        <f>IFERROR(AF155/AF138,"")</f>
        <v/>
      </c>
      <c r="AG248" s="179">
        <f>IFERROR(AG155/AG138,"")</f>
        <v/>
      </c>
      <c r="AH248" s="179">
        <f>IFERROR(AH155/AH138,"")</f>
        <v/>
      </c>
      <c r="AI248" s="179">
        <f>IFERROR(AI155/AI138,"")</f>
        <v/>
      </c>
      <c r="AJ248" s="179">
        <f>IFERROR(AJ155/AJ138,"")</f>
        <v/>
      </c>
      <c r="AK248" s="179">
        <f>IFERROR(AK155/AK138,"")</f>
        <v/>
      </c>
      <c r="AL248" s="179">
        <f>IFERROR(AL155/AL138,"")</f>
        <v/>
      </c>
      <c r="AM248" s="179">
        <f>IFERROR(AM155/AM138,"")</f>
        <v/>
      </c>
      <c r="AN248" s="179">
        <f>IFERROR(AN155/AN138,"")</f>
        <v/>
      </c>
      <c r="AO248" s="179">
        <f>IFERROR(AO155/AO138,"")</f>
        <v/>
      </c>
      <c r="AP248" s="179">
        <f>IFERROR(AP155/AP138,"")</f>
        <v/>
      </c>
      <c r="AQ248" s="179">
        <f>IFERROR(AQ155/AQ138,"")</f>
        <v/>
      </c>
      <c r="AR248" s="179">
        <f>IFERROR(AR155/AR138,"")</f>
        <v/>
      </c>
      <c r="AS248" s="179">
        <f>IFERROR(AS155/AS138,"")</f>
        <v/>
      </c>
      <c r="AT248" s="179">
        <f>IFERROR(AT155/AT138,"")</f>
        <v/>
      </c>
      <c r="AU248" s="179">
        <f>IFERROR(AU155/AU138,"")</f>
        <v/>
      </c>
      <c r="AV248" s="179">
        <f>IFERROR(AV155/AV138,"")</f>
        <v/>
      </c>
      <c r="AW248" s="179">
        <f>IFERROR(AW155/AW138,"")</f>
        <v/>
      </c>
      <c r="AX248" s="179">
        <f>IFERROR(AX155/AX138,"")</f>
        <v/>
      </c>
      <c r="AY248" s="179">
        <f>IFERROR(AY155/AY138,"")</f>
        <v/>
      </c>
      <c r="AZ248" s="179">
        <f>IFERROR(AZ155/AZ138,"")</f>
        <v/>
      </c>
      <c r="BA248" s="179">
        <f>IFERROR(BA155/BA138,"")</f>
        <v/>
      </c>
      <c r="BB248" s="179">
        <f>IFERROR(BB155/BB138,"")</f>
        <v/>
      </c>
      <c r="BC248" s="179">
        <f>IFERROR(BC155/BC138,"")</f>
        <v/>
      </c>
      <c r="BD248" s="179">
        <f>IFERROR(BD155/BD138,"")</f>
        <v/>
      </c>
      <c r="BE248" s="179">
        <f>IFERROR(BE155/BE138,"")</f>
        <v/>
      </c>
      <c r="BF248" s="179">
        <f>IFERROR(BF155/BF138,"")</f>
        <v/>
      </c>
      <c r="BG248" s="179">
        <f>IFERROR(BG155/BG138,"")</f>
        <v/>
      </c>
      <c r="BH248" s="179">
        <f>IFERROR(BH155/BH138,"")</f>
        <v/>
      </c>
      <c r="BI248" s="179">
        <f>IFERROR(BI155/BI138,"")</f>
        <v/>
      </c>
      <c r="BJ248" s="179">
        <f>IFERROR(BJ155/BJ138,"")</f>
        <v/>
      </c>
      <c r="BK248" s="179">
        <f>IFERROR(BK155/BK138,"")</f>
        <v/>
      </c>
      <c r="BL248" s="179">
        <f>IFERROR(BL155/BL138,"")</f>
        <v/>
      </c>
      <c r="BM248" s="179">
        <f>IFERROR(BM155/BM138,"")</f>
        <v/>
      </c>
      <c r="BN248" s="179">
        <f>IFERROR(BN155/BN138,"")</f>
        <v/>
      </c>
      <c r="BO248" s="179">
        <f>IFERROR(BO155/BO138,"")</f>
        <v/>
      </c>
      <c r="BP248" s="179">
        <f>IFERROR(BP155/BP138,"")</f>
        <v/>
      </c>
      <c r="BQ248" s="179">
        <f>IFERROR(BQ155/BQ138,"")</f>
        <v/>
      </c>
      <c r="BR248" s="179">
        <f>IFERROR(BR155/BR138,"")</f>
        <v/>
      </c>
      <c r="BS248" s="179">
        <f>IFERROR(BS155/BS138,"")</f>
        <v/>
      </c>
      <c r="BT248" s="179">
        <f>IFERROR(BT155/BT138,"")</f>
        <v/>
      </c>
      <c r="BU248" s="179">
        <f>IFERROR(BU155/BU138,"")</f>
        <v/>
      </c>
      <c r="BV248" s="179">
        <f>IFERROR(BV155/BV138,"")</f>
        <v/>
      </c>
      <c r="BW248" s="179">
        <f>IFERROR(BW155/BW138,"")</f>
        <v/>
      </c>
      <c r="BX248" s="179">
        <f>IFERROR(BX155/BX138,"")</f>
        <v/>
      </c>
      <c r="BY248" s="179">
        <f>IFERROR(BY155/BY138,"")</f>
        <v/>
      </c>
      <c r="BZ248" s="179">
        <f>IFERROR(BZ155/BZ138,"")</f>
        <v/>
      </c>
      <c r="CA248" s="179">
        <f>IFERROR(CA155/CA138,"")</f>
        <v/>
      </c>
      <c r="CB248" s="179">
        <f>IFERROR(CB155/CB138,"")</f>
        <v/>
      </c>
      <c r="CC248" s="179">
        <f>IFERROR(CC155/CC138,"")</f>
        <v/>
      </c>
      <c r="CD248" s="179">
        <f>IFERROR(CD155/CD138,"")</f>
        <v/>
      </c>
      <c r="CE248" s="179">
        <f>IFERROR(CE155/CE138,"")</f>
        <v/>
      </c>
      <c r="CF248" s="179">
        <f>IFERROR(CF155/CF138,"")</f>
        <v/>
      </c>
      <c r="CG248" s="179">
        <f>IFERROR(CG155/CG138,"")</f>
        <v/>
      </c>
      <c r="CH248" s="179">
        <f>IFERROR(CH155/CH138,"")</f>
        <v/>
      </c>
      <c r="CI248" s="179">
        <f>IFERROR(CI155/CI138,"")</f>
        <v/>
      </c>
      <c r="CJ248" s="179">
        <f>IFERROR(CJ155/CJ138,"")</f>
        <v/>
      </c>
      <c r="CK248" s="179">
        <f>IFERROR(CK155/CK138,"")</f>
        <v/>
      </c>
      <c r="CL248" s="179">
        <f>IFERROR(CL155/CL138,"")</f>
        <v/>
      </c>
      <c r="CM248" s="165">
        <f>IFERROR(CM155/CM138,"")</f>
        <v/>
      </c>
      <c r="CN248" s="165">
        <f>IFERROR(CN155/CN138,"")</f>
        <v/>
      </c>
      <c r="CO248" s="165">
        <f>IFERROR(CO155/CO138,"")</f>
        <v/>
      </c>
      <c r="CP248" s="165">
        <f>IFERROR(CP155/CP138,"")</f>
        <v/>
      </c>
      <c r="CQ248" s="165">
        <f>IFERROR(CQ155/CQ138,"")</f>
        <v/>
      </c>
      <c r="CR248" s="165">
        <f>IFERROR(CR155/CR138,"")</f>
        <v/>
      </c>
      <c r="CS248" s="165">
        <f>IFERROR(CS155/CS138,"")</f>
        <v/>
      </c>
      <c r="CT248" s="22" t="n"/>
      <c r="CV248" s="40">
        <f>IFERROR(AVERAGE(CO248,CP248,CQ248,CR248,CS248),"n/m")</f>
        <v/>
      </c>
      <c r="CW248" s="40">
        <f>IFERROR(AVERAGE(BK248,BQ248,BW248,CC248,CI248),"n/m")</f>
        <v/>
      </c>
      <c r="CX248" s="40">
        <f>IFERROR(AVERAGE(AG248,AM248,AS248,AY248,BE248,BK248,BQ248,BW248,CC248,CI248),"n/m")</f>
        <v/>
      </c>
      <c r="CY248" s="40">
        <f>IFERROR(AVERAGE(C248,D248,E248,F248,G248,H248,I248,O248,U248,AA248,AG248,AM248,AS248,AY248,BE248,BK248,BQ248,BW248,CC248,CI248),"n/m")</f>
        <v/>
      </c>
    </row>
    <row r="249" ht="15" customHeight="1">
      <c r="B249" s="25" t="inlineStr">
        <is>
          <t xml:space="preserve">  SAG % of revenues</t>
        </is>
      </c>
      <c r="C249" s="179">
        <f>IFERROR(C142/C138,"")</f>
        <v/>
      </c>
      <c r="D249" s="179">
        <f>IFERROR(D142/D138,"")</f>
        <v/>
      </c>
      <c r="E249" s="179">
        <f>IFERROR(E142/E138,"")</f>
        <v/>
      </c>
      <c r="F249" s="179">
        <f>IFERROR(F142/F138,"")</f>
        <v/>
      </c>
      <c r="G249" s="179">
        <f>IFERROR(G142/G138,"")</f>
        <v/>
      </c>
      <c r="H249" s="179">
        <f>IFERROR(H142/H138,"")</f>
        <v/>
      </c>
      <c r="I249" s="179">
        <f>IFERROR(I142/I138,"")</f>
        <v/>
      </c>
      <c r="J249" s="179">
        <f>IFERROR(J142/J138,"")</f>
        <v/>
      </c>
      <c r="K249" s="179">
        <f>IFERROR(K142/K138,"")</f>
        <v/>
      </c>
      <c r="L249" s="179">
        <f>IFERROR(L142/L138,"")</f>
        <v/>
      </c>
      <c r="M249" s="179">
        <f>IFERROR(M142/M138,"")</f>
        <v/>
      </c>
      <c r="N249" s="179">
        <f>IFERROR(N142/N138,"")</f>
        <v/>
      </c>
      <c r="O249" s="179">
        <f>IFERROR(O142/O138,"")</f>
        <v/>
      </c>
      <c r="P249" s="179">
        <f>IFERROR(P142/P138,"")</f>
        <v/>
      </c>
      <c r="Q249" s="179">
        <f>IFERROR(Q142/Q138,"")</f>
        <v/>
      </c>
      <c r="R249" s="179">
        <f>IFERROR(R142/R138,"")</f>
        <v/>
      </c>
      <c r="S249" s="179">
        <f>IFERROR(S142/S138,"")</f>
        <v/>
      </c>
      <c r="T249" s="179">
        <f>IFERROR(T142/T138,"")</f>
        <v/>
      </c>
      <c r="U249" s="179">
        <f>IFERROR(U142/U138,"")</f>
        <v/>
      </c>
      <c r="V249" s="179">
        <f>IFERROR(V142/V138,"")</f>
        <v/>
      </c>
      <c r="W249" s="179">
        <f>IFERROR(W142/W138,"")</f>
        <v/>
      </c>
      <c r="X249" s="179">
        <f>IFERROR(X142/X138,"")</f>
        <v/>
      </c>
      <c r="Y249" s="179">
        <f>IFERROR(Y142/Y138,"")</f>
        <v/>
      </c>
      <c r="Z249" s="179">
        <f>IFERROR(Z142/Z138,"")</f>
        <v/>
      </c>
      <c r="AA249" s="179">
        <f>IFERROR(AA142/AA138,"")</f>
        <v/>
      </c>
      <c r="AB249" s="179">
        <f>IFERROR(AB142/AB138,"")</f>
        <v/>
      </c>
      <c r="AC249" s="179">
        <f>IFERROR(AC142/AC138,"")</f>
        <v/>
      </c>
      <c r="AD249" s="179">
        <f>IFERROR(AD142/AD138,"")</f>
        <v/>
      </c>
      <c r="AE249" s="179">
        <f>IFERROR(AE142/AE138,"")</f>
        <v/>
      </c>
      <c r="AF249" s="179">
        <f>IFERROR(AF142/AF138,"")</f>
        <v/>
      </c>
      <c r="AG249" s="179">
        <f>IFERROR(AG142/AG138,"")</f>
        <v/>
      </c>
      <c r="AH249" s="179">
        <f>IFERROR(AH142/AH138,"")</f>
        <v/>
      </c>
      <c r="AI249" s="179">
        <f>IFERROR(AI142/AI138,"")</f>
        <v/>
      </c>
      <c r="AJ249" s="179">
        <f>IFERROR(AJ142/AJ138,"")</f>
        <v/>
      </c>
      <c r="AK249" s="179">
        <f>IFERROR(AK142/AK138,"")</f>
        <v/>
      </c>
      <c r="AL249" s="179">
        <f>IFERROR(AL142/AL138,"")</f>
        <v/>
      </c>
      <c r="AM249" s="179">
        <f>IFERROR(AM142/AM138,"")</f>
        <v/>
      </c>
      <c r="AN249" s="179">
        <f>IFERROR(AN142/AN138,"")</f>
        <v/>
      </c>
      <c r="AO249" s="179">
        <f>IFERROR(AO142/AO138,"")</f>
        <v/>
      </c>
      <c r="AP249" s="179">
        <f>IFERROR(AP142/AP138,"")</f>
        <v/>
      </c>
      <c r="AQ249" s="179">
        <f>IFERROR(AQ142/AQ138,"")</f>
        <v/>
      </c>
      <c r="AR249" s="179">
        <f>IFERROR(AR142/AR138,"")</f>
        <v/>
      </c>
      <c r="AS249" s="179">
        <f>IFERROR(AS142/AS138,"")</f>
        <v/>
      </c>
      <c r="AT249" s="179">
        <f>IFERROR(AT142/AT138,"")</f>
        <v/>
      </c>
      <c r="AU249" s="179">
        <f>IFERROR(AU142/AU138,"")</f>
        <v/>
      </c>
      <c r="AV249" s="179">
        <f>IFERROR(AV142/AV138,"")</f>
        <v/>
      </c>
      <c r="AW249" s="179">
        <f>IFERROR(AW142/AW138,"")</f>
        <v/>
      </c>
      <c r="AX249" s="179">
        <f>IFERROR(AX142/AX138,"")</f>
        <v/>
      </c>
      <c r="AY249" s="179">
        <f>IFERROR(AY142/AY138,"")</f>
        <v/>
      </c>
      <c r="AZ249" s="179">
        <f>IFERROR(AZ142/AZ138,"")</f>
        <v/>
      </c>
      <c r="BA249" s="179">
        <f>IFERROR(BA142/BA138,"")</f>
        <v/>
      </c>
      <c r="BB249" s="179">
        <f>IFERROR(BB142/BB138,"")</f>
        <v/>
      </c>
      <c r="BC249" s="179">
        <f>IFERROR(BC142/BC138,"")</f>
        <v/>
      </c>
      <c r="BD249" s="179">
        <f>IFERROR(BD142/BD138,"")</f>
        <v/>
      </c>
      <c r="BE249" s="179">
        <f>IFERROR(BE142/BE138,"")</f>
        <v/>
      </c>
      <c r="BF249" s="179">
        <f>IFERROR(BF142/BF138,"")</f>
        <v/>
      </c>
      <c r="BG249" s="179">
        <f>IFERROR(BG142/BG138,"")</f>
        <v/>
      </c>
      <c r="BH249" s="179">
        <f>IFERROR(BH142/BH138,"")</f>
        <v/>
      </c>
      <c r="BI249" s="179">
        <f>IFERROR(BI142/BI138,"")</f>
        <v/>
      </c>
      <c r="BJ249" s="179">
        <f>IFERROR(BJ142/BJ138,"")</f>
        <v/>
      </c>
      <c r="BK249" s="179">
        <f>IFERROR(BK142/BK138,"")</f>
        <v/>
      </c>
      <c r="BL249" s="179">
        <f>IFERROR(BL142/BL138,"")</f>
        <v/>
      </c>
      <c r="BM249" s="179">
        <f>IFERROR(BM142/BM138,"")</f>
        <v/>
      </c>
      <c r="BN249" s="179">
        <f>IFERROR(BN142/BN138,"")</f>
        <v/>
      </c>
      <c r="BO249" s="179">
        <f>IFERROR(BO142/BO138,"")</f>
        <v/>
      </c>
      <c r="BP249" s="179">
        <f>IFERROR(BP142/BP138,"")</f>
        <v/>
      </c>
      <c r="BQ249" s="179">
        <f>IFERROR(BQ142/BQ138,"")</f>
        <v/>
      </c>
      <c r="BR249" s="179">
        <f>IFERROR(BR142/BR138,"")</f>
        <v/>
      </c>
      <c r="BS249" s="179">
        <f>IFERROR(BS142/BS138,"")</f>
        <v/>
      </c>
      <c r="BT249" s="179">
        <f>IFERROR(BT142/BT138,"")</f>
        <v/>
      </c>
      <c r="BU249" s="179">
        <f>IFERROR(BU142/BU138,"")</f>
        <v/>
      </c>
      <c r="BV249" s="179">
        <f>IFERROR(BV142/BV138,"")</f>
        <v/>
      </c>
      <c r="BW249" s="179">
        <f>IFERROR(BW142/BW138,"")</f>
        <v/>
      </c>
      <c r="BX249" s="179">
        <f>IFERROR(BX142/BX138,"")</f>
        <v/>
      </c>
      <c r="BY249" s="179">
        <f>IFERROR(BY142/BY138,"")</f>
        <v/>
      </c>
      <c r="BZ249" s="179">
        <f>IFERROR(BZ142/BZ138,"")</f>
        <v/>
      </c>
      <c r="CA249" s="179">
        <f>IFERROR(CA142/CA138,"")</f>
        <v/>
      </c>
      <c r="CB249" s="179">
        <f>IFERROR(CB142/CB138,"")</f>
        <v/>
      </c>
      <c r="CC249" s="179">
        <f>IFERROR(CC142/CC138,"")</f>
        <v/>
      </c>
      <c r="CD249" s="179">
        <f>IFERROR(CD142/CD138,"")</f>
        <v/>
      </c>
      <c r="CE249" s="179">
        <f>IFERROR(CE142/CE138,"")</f>
        <v/>
      </c>
      <c r="CF249" s="179">
        <f>IFERROR(CF142/CF138,"")</f>
        <v/>
      </c>
      <c r="CG249" s="179">
        <f>IFERROR(CG142/CG138,"")</f>
        <v/>
      </c>
      <c r="CH249" s="179">
        <f>IFERROR(CH142/CH138,"")</f>
        <v/>
      </c>
      <c r="CI249" s="179">
        <f>IFERROR(CI142/CI138,"")</f>
        <v/>
      </c>
      <c r="CJ249" s="179">
        <f>IFERROR(CJ142/CJ138,"")</f>
        <v/>
      </c>
      <c r="CK249" s="179">
        <f>IFERROR(CK142/CK138,"")</f>
        <v/>
      </c>
      <c r="CL249" s="179">
        <f>IFERROR(CL142/CL138,"")</f>
        <v/>
      </c>
      <c r="CM249" s="165">
        <f>IFERROR(CM142/CM138,"")</f>
        <v/>
      </c>
      <c r="CN249" s="165">
        <f>IFERROR(CN142/CN138,"")</f>
        <v/>
      </c>
      <c r="CO249" s="165">
        <f>IFERROR(CO142/CO138,"")</f>
        <v/>
      </c>
      <c r="CP249" s="165">
        <f>IFERROR(CP142/CP138,"")</f>
        <v/>
      </c>
      <c r="CQ249" s="165">
        <f>IFERROR(CQ142/CQ138,"")</f>
        <v/>
      </c>
      <c r="CR249" s="165">
        <f>IFERROR(CR142/CR138,"")</f>
        <v/>
      </c>
      <c r="CS249" s="165">
        <f>IFERROR(CS142/CS138,"")</f>
        <v/>
      </c>
      <c r="CT249" s="22" t="n"/>
      <c r="CV249" s="40">
        <f>IFERROR(AVERAGE(CO249,CP249,CQ249,CR249,CS249),"n/m")</f>
        <v/>
      </c>
      <c r="CW249" s="40">
        <f>IFERROR(AVERAGE(BK249,BQ249,BW249,CC249,CI249),"n/m")</f>
        <v/>
      </c>
      <c r="CX249" s="40">
        <f>IFERROR(AVERAGE(AG249,AM249,AS249,AY249,BE249,BK249,BQ249,BW249,CC249,CI249),"n/m")</f>
        <v/>
      </c>
      <c r="CY249" s="40">
        <f>IFERROR(AVERAGE(C249,D249,E249,F249,G249,H249,I249,O249,U249,AA249,AG249,AM249,AS249,AY249,BE249,BK249,BQ249,BW249,CC249,CI249),"n/m")</f>
        <v/>
      </c>
    </row>
    <row r="250" ht="15" customHeight="1">
      <c r="B250" s="12" t="n"/>
      <c r="CM250" s="6" t="n"/>
      <c r="CN250" s="6" t="n"/>
      <c r="CO250" s="6" t="n"/>
      <c r="CP250" s="6" t="n"/>
      <c r="CQ250" s="6" t="n"/>
      <c r="CR250" s="6" t="n"/>
      <c r="CS250" s="6" t="n"/>
      <c r="CT250" s="6" t="n"/>
    </row>
    <row r="251" ht="15" customHeight="1">
      <c r="B251" s="11" t="inlineStr">
        <is>
          <t>CONSOLIDATED CASH FLOW STATEMENT</t>
        </is>
      </c>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c r="AH251" s="11" t="n"/>
      <c r="AI251" s="11" t="n"/>
      <c r="AJ251" s="11" t="n"/>
      <c r="AK251" s="11" t="n"/>
      <c r="AL251" s="11" t="n"/>
      <c r="AM251" s="11" t="n"/>
      <c r="AN251" s="11" t="n"/>
      <c r="AO251" s="11" t="n"/>
      <c r="AP251" s="11" t="n"/>
      <c r="AQ251" s="11" t="n"/>
      <c r="AR251" s="11" t="n"/>
      <c r="AS251" s="11" t="n"/>
      <c r="AT251" s="11" t="n"/>
      <c r="AU251" s="11" t="n"/>
      <c r="AV251" s="11" t="n"/>
      <c r="AW251" s="11" t="n"/>
      <c r="AX251" s="11" t="n"/>
      <c r="AY251" s="11" t="n"/>
      <c r="AZ251" s="11" t="n"/>
      <c r="BA251" s="11" t="n"/>
      <c r="BB251" s="11" t="n"/>
      <c r="BC251" s="11" t="n"/>
      <c r="BD251" s="11" t="n"/>
      <c r="BE251" s="11" t="n"/>
      <c r="BF251" s="11" t="n"/>
      <c r="BG251" s="11" t="n"/>
      <c r="BH251" s="11" t="n"/>
      <c r="BI251" s="11" t="n"/>
      <c r="BJ251" s="11" t="n"/>
      <c r="BK251" s="11" t="n"/>
      <c r="BL251" s="11" t="n"/>
      <c r="BM251" s="11" t="n"/>
      <c r="BN251" s="11" t="n"/>
      <c r="BO251" s="11" t="n"/>
      <c r="BP251" s="11" t="n"/>
      <c r="BQ251" s="11" t="n"/>
      <c r="BR251" s="11" t="n"/>
      <c r="BS251" s="11" t="n"/>
      <c r="BT251" s="11" t="n"/>
      <c r="BU251" s="11" t="n"/>
      <c r="BV251" s="11" t="n"/>
      <c r="BW251" s="11" t="n"/>
      <c r="BX251" s="11" t="n"/>
      <c r="BY251" s="11" t="n"/>
      <c r="BZ251" s="11" t="n"/>
      <c r="CA251" s="11" t="n"/>
      <c r="CB251" s="11" t="n"/>
      <c r="CC251" s="11" t="n"/>
      <c r="CD251" s="11" t="n"/>
      <c r="CE251" s="11" t="n"/>
      <c r="CF251" s="11" t="n"/>
      <c r="CG251" s="11" t="n"/>
      <c r="CH251" s="11" t="n"/>
      <c r="CI251" s="11" t="n"/>
      <c r="CJ251" s="11" t="n"/>
      <c r="CK251" s="11" t="n"/>
      <c r="CL251" s="11" t="n"/>
      <c r="CM251" s="11" t="n"/>
      <c r="CN251" s="11" t="n"/>
      <c r="CO251" s="11" t="n"/>
      <c r="CP251" s="11" t="n"/>
      <c r="CQ251" s="11" t="n"/>
      <c r="CR251" s="11" t="n"/>
      <c r="CS251" s="11" t="n"/>
      <c r="CT251" s="11" t="inlineStr">
        <is>
          <t>CONSOLIDATED CASH FLOW STATEMENT — forecast logic (annual; 1H/26 = reported six months; 2026E = 1H/26 actual + 2H/26 forecast)</t>
        </is>
      </c>
    </row>
    <row r="252" ht="15" customHeight="1">
      <c r="B252" s="12" t="n"/>
      <c r="CM252" s="6" t="n"/>
      <c r="CN252" s="6" t="n"/>
      <c r="CO252" s="6" t="n"/>
      <c r="CP252" s="6" t="n"/>
      <c r="CQ252" s="6" t="n"/>
      <c r="CR252" s="6" t="n"/>
      <c r="CS252" s="6" t="n"/>
      <c r="CT252" s="6" t="n"/>
    </row>
    <row r="253" ht="15" customHeight="1">
      <c r="B253" s="12" t="inlineStr">
        <is>
          <t>Net earnings (incl. noncontrolling interests)</t>
        </is>
      </c>
      <c r="C253" s="169" t="n">
        <v>467.5</v>
      </c>
      <c r="D253" s="169" t="n">
        <v>450.9</v>
      </c>
      <c r="E253" s="169" t="n">
        <v>-4.1</v>
      </c>
      <c r="F253" s="169" t="n">
        <v>30.3</v>
      </c>
      <c r="G253" s="169" t="n">
        <v>-96.5</v>
      </c>
      <c r="H253" s="169" t="n">
        <v>-70.8</v>
      </c>
      <c r="I253" s="169" t="n">
        <v>-52.6</v>
      </c>
      <c r="J253" s="29" t="n"/>
      <c r="K253" s="29" t="n"/>
      <c r="L253" s="29" t="n"/>
      <c r="M253" s="29" t="n"/>
      <c r="N253" s="29" t="n"/>
      <c r="O253" s="169" t="n">
        <v>24.4</v>
      </c>
      <c r="P253" s="29" t="n"/>
      <c r="Q253" s="29" t="n"/>
      <c r="R253" s="29" t="n"/>
      <c r="S253" s="29" t="n"/>
      <c r="T253" s="29" t="n"/>
      <c r="U253" s="169" t="n">
        <v>204.9</v>
      </c>
      <c r="V253" s="29" t="n"/>
      <c r="W253" s="29" t="n"/>
      <c r="X253" s="29" t="n"/>
      <c r="Y253" s="29" t="n"/>
      <c r="Z253" s="29" t="n"/>
      <c r="AA253" s="169" t="n">
        <v>221.2</v>
      </c>
      <c r="AB253" s="29" t="n"/>
      <c r="AC253" s="29" t="n"/>
      <c r="AD253" s="29" t="n"/>
      <c r="AE253" s="29" t="n"/>
      <c r="AF253" s="29" t="n"/>
      <c r="AG253" s="169" t="n">
        <v>419.5</v>
      </c>
      <c r="AH253" s="29" t="n"/>
      <c r="AI253" s="29" t="n"/>
      <c r="AJ253" s="29" t="n"/>
      <c r="AK253" s="29" t="n"/>
      <c r="AL253" s="29" t="n"/>
      <c r="AM253" s="169" t="n">
        <v>601.2</v>
      </c>
      <c r="AN253" s="29" t="n"/>
      <c r="AO253" s="29" t="n"/>
      <c r="AP253" s="29" t="n"/>
      <c r="AQ253" s="29" t="n"/>
      <c r="AR253" s="29" t="n"/>
      <c r="AS253" s="169" t="n">
        <v>515.8</v>
      </c>
      <c r="AT253" s="29" t="n"/>
      <c r="AU253" s="29" t="n"/>
      <c r="AV253" s="29" t="n"/>
      <c r="AW253" s="29" t="n"/>
      <c r="AX253" s="29" t="n"/>
      <c r="AY253" s="169" t="n">
        <v>617.7</v>
      </c>
      <c r="AZ253" s="29" t="n"/>
      <c r="BA253" s="29" t="n"/>
      <c r="BB253" s="29" t="n"/>
      <c r="BC253" s="29" t="n"/>
      <c r="BD253" s="29" t="n"/>
      <c r="BE253" s="169" t="n">
        <v>584.5</v>
      </c>
      <c r="BF253" s="29" t="n"/>
      <c r="BG253" s="29" t="n"/>
      <c r="BH253" s="29" t="n"/>
      <c r="BI253" s="29" t="n"/>
      <c r="BJ253" s="29" t="n"/>
      <c r="BK253" s="169" t="n">
        <v>670.4</v>
      </c>
      <c r="BL253" s="29" t="n"/>
      <c r="BM253" s="29" t="n"/>
      <c r="BN253" s="29" t="n"/>
      <c r="BO253" s="29" t="n"/>
      <c r="BP253" s="29" t="n"/>
      <c r="BQ253" s="169" t="n">
        <v>576.5</v>
      </c>
      <c r="BR253" s="29" t="n"/>
      <c r="BS253" s="29" t="n"/>
      <c r="BT253" s="29" t="n"/>
      <c r="BU253" s="29" t="n"/>
      <c r="BV253" s="29" t="n"/>
      <c r="BW253" s="169" t="n">
        <v>934.9</v>
      </c>
      <c r="BX253" s="29" t="n"/>
      <c r="BY253" s="29" t="n"/>
      <c r="BZ253" s="29" t="n"/>
      <c r="CA253" s="29" t="n"/>
      <c r="CB253" s="29" t="n"/>
      <c r="CC253" s="169" t="n">
        <v>913.1</v>
      </c>
      <c r="CD253" s="29" t="n"/>
      <c r="CE253" s="29" t="n"/>
      <c r="CF253" s="29" t="n"/>
      <c r="CG253" s="29" t="n"/>
      <c r="CH253" s="29" t="n"/>
      <c r="CI253" s="169" t="n">
        <v>1078.1</v>
      </c>
      <c r="CJ253" s="29" t="n"/>
      <c r="CK253" s="29" t="n"/>
      <c r="CL253" s="169" t="n">
        <v>490.3</v>
      </c>
      <c r="CM253" s="31" t="n"/>
      <c r="CN253" s="31" t="n"/>
      <c r="CO253" s="171">
        <f>CO153</f>
        <v/>
      </c>
      <c r="CP253" s="171">
        <f>CP153</f>
        <v/>
      </c>
      <c r="CQ253" s="171">
        <f>CQ153</f>
        <v/>
      </c>
      <c r="CR253" s="171">
        <f>CR153</f>
        <v/>
      </c>
      <c r="CS253" s="171">
        <f>CS153</f>
        <v/>
      </c>
      <c r="CT253" s="22" t="n"/>
      <c r="CV253" s="6" t="n"/>
      <c r="CW253" s="6" t="n"/>
      <c r="CX253" s="6" t="n"/>
      <c r="CY253" s="6" t="n"/>
    </row>
    <row r="254" ht="15" customHeight="1">
      <c r="B254" s="12" t="inlineStr">
        <is>
          <t>Adjustments:</t>
        </is>
      </c>
      <c r="C254" s="29" t="n"/>
      <c r="D254" s="29" t="n"/>
      <c r="E254" s="30" t="n"/>
      <c r="F254" s="30" t="n"/>
      <c r="G254" s="30" t="n"/>
      <c r="H254" s="30" t="n"/>
      <c r="I254" s="30" t="n"/>
      <c r="J254" s="30" t="n"/>
      <c r="K254" s="30" t="n"/>
      <c r="L254" s="29" t="n"/>
      <c r="M254" s="30" t="n"/>
      <c r="N254" s="30" t="n"/>
      <c r="O254" s="30" t="n"/>
      <c r="P254" s="30" t="n"/>
      <c r="Q254" s="30" t="n"/>
      <c r="R254" s="29" t="n"/>
      <c r="S254" s="30" t="n"/>
      <c r="T254" s="30" t="n"/>
      <c r="U254" s="30" t="n"/>
      <c r="V254" s="30" t="n"/>
      <c r="W254" s="30" t="n"/>
      <c r="X254" s="29" t="n"/>
      <c r="Y254" s="30" t="n"/>
      <c r="Z254" s="30" t="n"/>
      <c r="AA254" s="30" t="n"/>
      <c r="AB254" s="30" t="n"/>
      <c r="AC254" s="30" t="n"/>
      <c r="AD254" s="29" t="n"/>
      <c r="AE254" s="30" t="n"/>
      <c r="AF254" s="30" t="n"/>
      <c r="AG254" s="30" t="n"/>
      <c r="AH254" s="30" t="n"/>
      <c r="AI254" s="30" t="n"/>
      <c r="AJ254" s="29" t="n"/>
      <c r="AK254" s="30" t="n"/>
      <c r="AL254" s="30" t="n"/>
      <c r="AM254" s="30" t="n"/>
      <c r="AN254" s="30" t="n"/>
      <c r="AO254" s="30" t="n"/>
      <c r="AP254" s="29" t="n"/>
      <c r="AQ254" s="30" t="n"/>
      <c r="AR254" s="30" t="n"/>
      <c r="AS254" s="30" t="n"/>
      <c r="AT254" s="30" t="n"/>
      <c r="AU254" s="30" t="n"/>
      <c r="AV254" s="29" t="n"/>
      <c r="AW254" s="30" t="n"/>
      <c r="AX254" s="30" t="n"/>
      <c r="AY254" s="30" t="n"/>
      <c r="AZ254" s="30" t="n"/>
      <c r="BA254" s="30" t="n"/>
      <c r="BB254" s="29" t="n"/>
      <c r="BC254" s="30" t="n"/>
      <c r="BD254" s="30" t="n"/>
      <c r="BE254" s="30" t="n"/>
      <c r="BF254" s="30" t="n"/>
      <c r="BG254" s="30" t="n"/>
      <c r="BH254" s="29" t="n"/>
      <c r="BI254" s="30" t="n"/>
      <c r="BJ254" s="30" t="n"/>
      <c r="BK254" s="30" t="n"/>
      <c r="BL254" s="30" t="n"/>
      <c r="BM254" s="30" t="n"/>
      <c r="BN254" s="29" t="n"/>
      <c r="BO254" s="30" t="n"/>
      <c r="BP254" s="30" t="n"/>
      <c r="BQ254" s="30" t="n"/>
      <c r="BR254" s="30" t="n"/>
      <c r="BS254" s="30" t="n"/>
      <c r="BT254" s="29" t="n"/>
      <c r="BU254" s="30" t="n"/>
      <c r="BV254" s="30" t="n"/>
      <c r="BW254" s="30" t="n"/>
      <c r="BX254" s="30" t="n"/>
      <c r="BY254" s="30" t="n"/>
      <c r="BZ254" s="29" t="n"/>
      <c r="CA254" s="30" t="n"/>
      <c r="CB254" s="30" t="n"/>
      <c r="CC254" s="30" t="n"/>
      <c r="CD254" s="30" t="n"/>
      <c r="CE254" s="30" t="n"/>
      <c r="CF254" s="29" t="n"/>
      <c r="CG254" s="30" t="n"/>
      <c r="CH254" s="30" t="n"/>
      <c r="CI254" s="30" t="n"/>
      <c r="CJ254" s="30" t="n"/>
      <c r="CK254" s="30" t="n"/>
      <c r="CL254" s="29" t="n"/>
      <c r="CM254" s="31" t="n"/>
      <c r="CN254" s="31" t="n"/>
      <c r="CO254" s="31" t="n"/>
      <c r="CP254" s="31" t="n"/>
      <c r="CQ254" s="31" t="n"/>
      <c r="CR254" s="31" t="n"/>
      <c r="CS254" s="31" t="n"/>
      <c r="CT254" s="22" t="n"/>
      <c r="CV254" s="23" t="n"/>
      <c r="CW254" s="23" t="n"/>
      <c r="CX254" s="23" t="n"/>
      <c r="CY254" s="23" t="n"/>
    </row>
    <row r="255" ht="15" customHeight="1">
      <c r="B255" s="12" t="inlineStr">
        <is>
          <t xml:space="preserve">  Depreciation, depletion, accretion &amp; amortization</t>
        </is>
      </c>
      <c r="C255" s="169" t="n">
        <v>224.7</v>
      </c>
      <c r="D255" s="169" t="n">
        <v>271.5</v>
      </c>
      <c r="E255" s="169" t="n">
        <v>389.1</v>
      </c>
      <c r="F255" s="169" t="n">
        <v>394.6</v>
      </c>
      <c r="G255" s="169" t="n">
        <v>382.1</v>
      </c>
      <c r="H255" s="169" t="n">
        <v>361.7</v>
      </c>
      <c r="I255" s="169" t="n">
        <v>332</v>
      </c>
      <c r="J255" s="29" t="n"/>
      <c r="K255" s="29" t="n"/>
      <c r="L255" s="29" t="n"/>
      <c r="M255" s="29" t="n"/>
      <c r="N255" s="29" t="n"/>
      <c r="O255" s="169" t="n">
        <v>307.1</v>
      </c>
      <c r="P255" s="29" t="n"/>
      <c r="Q255" s="29" t="n"/>
      <c r="R255" s="29" t="n"/>
      <c r="S255" s="29" t="n"/>
      <c r="T255" s="29" t="n"/>
      <c r="U255" s="169" t="n">
        <v>279.5</v>
      </c>
      <c r="V255" s="29" t="n"/>
      <c r="W255" s="29" t="n"/>
      <c r="X255" s="29" t="n"/>
      <c r="Y255" s="29" t="n"/>
      <c r="Z255" s="29" t="n"/>
      <c r="AA255" s="169" t="n">
        <v>274.8</v>
      </c>
      <c r="AB255" s="29" t="n"/>
      <c r="AC255" s="29" t="n"/>
      <c r="AD255" s="29" t="n"/>
      <c r="AE255" s="29" t="n"/>
      <c r="AF255" s="29" t="n"/>
      <c r="AG255" s="169" t="n">
        <v>284.9</v>
      </c>
      <c r="AH255" s="29" t="n"/>
      <c r="AI255" s="29" t="n"/>
      <c r="AJ255" s="29" t="n"/>
      <c r="AK255" s="29" t="n"/>
      <c r="AL255" s="29" t="n"/>
      <c r="AM255" s="169" t="n">
        <v>306</v>
      </c>
      <c r="AN255" s="29" t="n"/>
      <c r="AO255" s="29" t="n"/>
      <c r="AP255" s="29" t="n"/>
      <c r="AQ255" s="29" t="n"/>
      <c r="AR255" s="29" t="n"/>
      <c r="AS255" s="169" t="n">
        <v>346.2</v>
      </c>
      <c r="AT255" s="29" t="n"/>
      <c r="AU255" s="29" t="n"/>
      <c r="AV255" s="29" t="n"/>
      <c r="AW255" s="29" t="n"/>
      <c r="AX255" s="29" t="n"/>
      <c r="AY255" s="169" t="n">
        <v>374.6</v>
      </c>
      <c r="AZ255" s="29" t="n"/>
      <c r="BA255" s="29" t="n"/>
      <c r="BB255" s="29" t="n"/>
      <c r="BC255" s="29" t="n"/>
      <c r="BD255" s="29" t="n"/>
      <c r="BE255" s="169" t="n">
        <v>396.8</v>
      </c>
      <c r="BF255" s="29" t="n"/>
      <c r="BG255" s="29" t="n"/>
      <c r="BH255" s="29" t="n"/>
      <c r="BI255" s="29" t="n"/>
      <c r="BJ255" s="29" t="n"/>
      <c r="BK255" s="169" t="n">
        <v>463</v>
      </c>
      <c r="BL255" s="29" t="n"/>
      <c r="BM255" s="29" t="n"/>
      <c r="BN255" s="29" t="n"/>
      <c r="BO255" s="29" t="n"/>
      <c r="BP255" s="29" t="n"/>
      <c r="BQ255" s="169" t="n">
        <v>587.5</v>
      </c>
      <c r="BR255" s="29" t="n"/>
      <c r="BS255" s="29" t="n"/>
      <c r="BT255" s="29" t="n"/>
      <c r="BU255" s="29" t="n"/>
      <c r="BV255" s="29" t="n"/>
      <c r="BW255" s="169" t="n">
        <v>617</v>
      </c>
      <c r="BX255" s="29" t="n"/>
      <c r="BY255" s="29" t="n"/>
      <c r="BZ255" s="29" t="n"/>
      <c r="CA255" s="29" t="n"/>
      <c r="CB255" s="29" t="n"/>
      <c r="CC255" s="169" t="n">
        <v>632.2</v>
      </c>
      <c r="CD255" s="29" t="n"/>
      <c r="CE255" s="29" t="n"/>
      <c r="CF255" s="29" t="n"/>
      <c r="CG255" s="29" t="n"/>
      <c r="CH255" s="29" t="n"/>
      <c r="CI255" s="169" t="n">
        <v>748.5</v>
      </c>
      <c r="CJ255" s="29" t="n"/>
      <c r="CK255" s="29" t="n"/>
      <c r="CL255" s="169" t="n">
        <v>347.8</v>
      </c>
      <c r="CM255" s="31" t="n"/>
      <c r="CN255" s="31" t="n"/>
      <c r="CO255" s="171">
        <f>CO158</f>
        <v/>
      </c>
      <c r="CP255" s="171">
        <f>CP158</f>
        <v/>
      </c>
      <c r="CQ255" s="171">
        <f>CQ158</f>
        <v/>
      </c>
      <c r="CR255" s="171">
        <f>CR158</f>
        <v/>
      </c>
      <c r="CS255" s="171">
        <f>CS158</f>
        <v/>
      </c>
      <c r="CT255" s="22" t="n"/>
      <c r="CV255" s="6" t="n"/>
      <c r="CW255" s="6" t="n"/>
      <c r="CX255" s="6" t="n"/>
      <c r="CY255" s="6" t="n"/>
    </row>
    <row r="256" ht="15" customHeight="1">
      <c r="B256" s="12" t="inlineStr">
        <is>
          <t xml:space="preserve">  Noncash operating lease expense</t>
        </is>
      </c>
      <c r="C256" s="30" t="n"/>
      <c r="D256" s="30" t="n"/>
      <c r="E256" s="30" t="n"/>
      <c r="F256" s="30" t="n"/>
      <c r="G256" s="30" t="n"/>
      <c r="H256" s="30" t="n"/>
      <c r="I256" s="30" t="n"/>
      <c r="J256" s="29" t="n"/>
      <c r="K256" s="29" t="n"/>
      <c r="L256" s="29" t="n"/>
      <c r="M256" s="29" t="n"/>
      <c r="N256" s="29" t="n"/>
      <c r="O256" s="30" t="n"/>
      <c r="P256" s="29" t="n"/>
      <c r="Q256" s="29" t="n"/>
      <c r="R256" s="29" t="n"/>
      <c r="S256" s="29" t="n"/>
      <c r="T256" s="29" t="n"/>
      <c r="U256" s="30" t="n"/>
      <c r="V256" s="29" t="n"/>
      <c r="W256" s="29" t="n"/>
      <c r="X256" s="29" t="n"/>
      <c r="Y256" s="29" t="n"/>
      <c r="Z256" s="29" t="n"/>
      <c r="AA256" s="30" t="n"/>
      <c r="AB256" s="29" t="n"/>
      <c r="AC256" s="29" t="n"/>
      <c r="AD256" s="29" t="n"/>
      <c r="AE256" s="29" t="n"/>
      <c r="AF256" s="29" t="n"/>
      <c r="AG256" s="30" t="n"/>
      <c r="AH256" s="29" t="n"/>
      <c r="AI256" s="29" t="n"/>
      <c r="AJ256" s="29" t="n"/>
      <c r="AK256" s="29" t="n"/>
      <c r="AL256" s="29" t="n"/>
      <c r="AM256" s="30" t="n"/>
      <c r="AN256" s="29" t="n"/>
      <c r="AO256" s="29" t="n"/>
      <c r="AP256" s="29" t="n"/>
      <c r="AQ256" s="29" t="n"/>
      <c r="AR256" s="29" t="n"/>
      <c r="AS256" s="169" t="n">
        <v>0</v>
      </c>
      <c r="AT256" s="29" t="n"/>
      <c r="AU256" s="29" t="n"/>
      <c r="AV256" s="29" t="n"/>
      <c r="AW256" s="29" t="n"/>
      <c r="AX256" s="29" t="n"/>
      <c r="AY256" s="169" t="n">
        <v>35.3</v>
      </c>
      <c r="AZ256" s="29" t="n"/>
      <c r="BA256" s="29" t="n"/>
      <c r="BB256" s="29" t="n"/>
      <c r="BC256" s="29" t="n"/>
      <c r="BD256" s="29" t="n"/>
      <c r="BE256" s="169" t="n">
        <v>38.3</v>
      </c>
      <c r="BF256" s="29" t="n"/>
      <c r="BG256" s="29" t="n"/>
      <c r="BH256" s="29" t="n"/>
      <c r="BI256" s="29" t="n"/>
      <c r="BJ256" s="29" t="n"/>
      <c r="BK256" s="169" t="n">
        <v>49</v>
      </c>
      <c r="BL256" s="29" t="n"/>
      <c r="BM256" s="29" t="n"/>
      <c r="BN256" s="29" t="n"/>
      <c r="BO256" s="29" t="n"/>
      <c r="BP256" s="29" t="n"/>
      <c r="BQ256" s="169" t="n">
        <v>60.3</v>
      </c>
      <c r="BR256" s="29" t="n"/>
      <c r="BS256" s="29" t="n"/>
      <c r="BT256" s="29" t="n"/>
      <c r="BU256" s="29" t="n"/>
      <c r="BV256" s="29" t="n"/>
      <c r="BW256" s="169" t="n">
        <v>53.9</v>
      </c>
      <c r="BX256" s="29" t="n"/>
      <c r="BY256" s="29" t="n"/>
      <c r="BZ256" s="29" t="n"/>
      <c r="CA256" s="29" t="n"/>
      <c r="CB256" s="29" t="n"/>
      <c r="CC256" s="169" t="n">
        <v>51.4</v>
      </c>
      <c r="CD256" s="29" t="n"/>
      <c r="CE256" s="29" t="n"/>
      <c r="CF256" s="29" t="n"/>
      <c r="CG256" s="29" t="n"/>
      <c r="CH256" s="29" t="n"/>
      <c r="CI256" s="169" t="n">
        <v>54.2</v>
      </c>
      <c r="CJ256" s="29" t="n"/>
      <c r="CK256" s="29" t="n"/>
      <c r="CL256" s="169" t="n">
        <v>26.9</v>
      </c>
      <c r="CM256" s="31" t="n"/>
      <c r="CN256" s="31" t="n"/>
      <c r="CO256" s="171">
        <f>$CL$256</f>
        <v/>
      </c>
      <c r="CP256" s="183" t="n">
        <v>0</v>
      </c>
      <c r="CQ256" s="183" t="n">
        <v>0</v>
      </c>
      <c r="CR256" s="183" t="n">
        <v>0</v>
      </c>
      <c r="CS256" s="183" t="n">
        <v>0</v>
      </c>
      <c r="CT256" s="22" t="inlineStr">
        <is>
          <t>2H/26 and 2027E+ set to zero (lease payments assumed equal to expense).</t>
        </is>
      </c>
      <c r="CV256" s="6" t="n"/>
      <c r="CW256" s="6" t="n"/>
      <c r="CX256" s="6" t="n"/>
      <c r="CY256" s="6" t="n"/>
    </row>
    <row r="257" ht="15" customHeight="1">
      <c r="B257" s="12" t="inlineStr">
        <is>
          <t xml:space="preserve">  Net (gain) loss on sale of PP&amp;E and businesses</t>
        </is>
      </c>
      <c r="C257" s="169" t="n">
        <v>-30.4</v>
      </c>
      <c r="D257" s="169" t="n">
        <v>-58.7</v>
      </c>
      <c r="E257" s="169" t="n">
        <v>-94.2</v>
      </c>
      <c r="F257" s="169" t="n">
        <v>-27.9</v>
      </c>
      <c r="G257" s="169" t="n">
        <v>-68.09999999999999</v>
      </c>
      <c r="H257" s="169" t="n">
        <v>-58.8</v>
      </c>
      <c r="I257" s="169" t="n">
        <v>-78.7</v>
      </c>
      <c r="J257" s="29" t="n"/>
      <c r="K257" s="29" t="n"/>
      <c r="L257" s="29" t="n"/>
      <c r="M257" s="29" t="n"/>
      <c r="N257" s="29" t="n"/>
      <c r="O257" s="169" t="n">
        <v>-51</v>
      </c>
      <c r="P257" s="29" t="n"/>
      <c r="Q257" s="29" t="n"/>
      <c r="R257" s="29" t="n"/>
      <c r="S257" s="29" t="n"/>
      <c r="T257" s="29" t="n"/>
      <c r="U257" s="169" t="n">
        <v>-244.2</v>
      </c>
      <c r="V257" s="29" t="n"/>
      <c r="W257" s="29" t="n"/>
      <c r="X257" s="29" t="n"/>
      <c r="Y257" s="29" t="n"/>
      <c r="Z257" s="29" t="n"/>
      <c r="AA257" s="169" t="n">
        <v>-9.9</v>
      </c>
      <c r="AB257" s="29" t="n"/>
      <c r="AC257" s="29" t="n"/>
      <c r="AD257" s="29" t="n"/>
      <c r="AE257" s="29" t="n"/>
      <c r="AF257" s="29" t="n"/>
      <c r="AG257" s="169" t="n">
        <v>-15.4</v>
      </c>
      <c r="AH257" s="29" t="n"/>
      <c r="AI257" s="29" t="n"/>
      <c r="AJ257" s="29" t="n"/>
      <c r="AK257" s="29" t="n"/>
      <c r="AL257" s="29" t="n"/>
      <c r="AM257" s="169" t="n">
        <v>-17.8</v>
      </c>
      <c r="AN257" s="29" t="n"/>
      <c r="AO257" s="29" t="n"/>
      <c r="AP257" s="29" t="n"/>
      <c r="AQ257" s="29" t="n"/>
      <c r="AR257" s="29" t="n"/>
      <c r="AS257" s="169" t="n">
        <v>-14.9</v>
      </c>
      <c r="AT257" s="29" t="n"/>
      <c r="AU257" s="29" t="n"/>
      <c r="AV257" s="29" t="n"/>
      <c r="AW257" s="29" t="n"/>
      <c r="AX257" s="29" t="n"/>
      <c r="AY257" s="169" t="n">
        <v>-23.8</v>
      </c>
      <c r="AZ257" s="29" t="n"/>
      <c r="BA257" s="29" t="n"/>
      <c r="BB257" s="29" t="n"/>
      <c r="BC257" s="29" t="n"/>
      <c r="BD257" s="29" t="n"/>
      <c r="BE257" s="169" t="n">
        <v>-4</v>
      </c>
      <c r="BF257" s="29" t="n"/>
      <c r="BG257" s="29" t="n"/>
      <c r="BH257" s="29" t="n"/>
      <c r="BI257" s="29" t="n"/>
      <c r="BJ257" s="29" t="n"/>
      <c r="BK257" s="169" t="n">
        <v>-120.1</v>
      </c>
      <c r="BL257" s="29" t="n"/>
      <c r="BM257" s="29" t="n"/>
      <c r="BN257" s="29" t="n"/>
      <c r="BO257" s="29" t="n"/>
      <c r="BP257" s="29" t="n"/>
      <c r="BQ257" s="169" t="n">
        <v>-10.7</v>
      </c>
      <c r="BR257" s="29" t="n"/>
      <c r="BS257" s="29" t="n"/>
      <c r="BT257" s="29" t="n"/>
      <c r="BU257" s="29" t="n"/>
      <c r="BV257" s="29" t="n"/>
      <c r="BW257" s="169" t="n">
        <v>-76.40000000000001</v>
      </c>
      <c r="BX257" s="29" t="n"/>
      <c r="BY257" s="29" t="n"/>
      <c r="BZ257" s="29" t="n"/>
      <c r="CA257" s="29" t="n"/>
      <c r="CB257" s="29" t="n"/>
      <c r="CC257" s="169" t="n">
        <v>-52.3</v>
      </c>
      <c r="CD257" s="29" t="n"/>
      <c r="CE257" s="29" t="n"/>
      <c r="CF257" s="29" t="n"/>
      <c r="CG257" s="29" t="n"/>
      <c r="CH257" s="29" t="n"/>
      <c r="CI257" s="169" t="n">
        <v>-52.4</v>
      </c>
      <c r="CJ257" s="29" t="n"/>
      <c r="CK257" s="29" t="n"/>
      <c r="CL257" s="169" t="n">
        <v>11.6</v>
      </c>
      <c r="CM257" s="31" t="n"/>
      <c r="CN257" s="31" t="n"/>
      <c r="CO257" s="171">
        <f>-CO143</f>
        <v/>
      </c>
      <c r="CP257" s="171">
        <f>-CP143</f>
        <v/>
      </c>
      <c r="CQ257" s="171">
        <f>-CQ143</f>
        <v/>
      </c>
      <c r="CR257" s="171">
        <f>-CR143</f>
        <v/>
      </c>
      <c r="CS257" s="171">
        <f>-CS143</f>
        <v/>
      </c>
      <c r="CT257" s="22" t="n"/>
      <c r="CV257" s="6" t="n"/>
      <c r="CW257" s="6" t="n"/>
      <c r="CX257" s="6" t="n"/>
      <c r="CY257" s="6" t="n"/>
    </row>
    <row r="258" ht="15" customHeight="1">
      <c r="B258" s="12" t="inlineStr">
        <is>
          <t xml:space="preserve">  Contributions to pension plans</t>
        </is>
      </c>
      <c r="C258" s="169" t="n">
        <v>-1.4</v>
      </c>
      <c r="D258" s="169" t="n">
        <v>-1.8</v>
      </c>
      <c r="E258" s="169" t="n">
        <v>-3.1</v>
      </c>
      <c r="F258" s="169" t="n">
        <v>-27.6</v>
      </c>
      <c r="G258" s="169" t="n">
        <v>-24.5</v>
      </c>
      <c r="H258" s="169" t="n">
        <v>-4.9</v>
      </c>
      <c r="I258" s="169" t="n">
        <v>-4.5</v>
      </c>
      <c r="J258" s="29" t="n"/>
      <c r="K258" s="29" t="n"/>
      <c r="L258" s="29" t="n"/>
      <c r="M258" s="29" t="n"/>
      <c r="N258" s="29" t="n"/>
      <c r="O258" s="169" t="n">
        <v>-4.9</v>
      </c>
      <c r="P258" s="29" t="n"/>
      <c r="Q258" s="29" t="n"/>
      <c r="R258" s="29" t="n"/>
      <c r="S258" s="29" t="n"/>
      <c r="T258" s="29" t="n"/>
      <c r="U258" s="169" t="n">
        <v>-5.5</v>
      </c>
      <c r="V258" s="29" t="n"/>
      <c r="W258" s="29" t="n"/>
      <c r="X258" s="29" t="n"/>
      <c r="Y258" s="29" t="n"/>
      <c r="Z258" s="29" t="n"/>
      <c r="AA258" s="169" t="n">
        <v>-14</v>
      </c>
      <c r="AB258" s="29" t="n"/>
      <c r="AC258" s="29" t="n"/>
      <c r="AD258" s="29" t="n"/>
      <c r="AE258" s="29" t="n"/>
      <c r="AF258" s="29" t="n"/>
      <c r="AG258" s="169" t="n">
        <v>-9.6</v>
      </c>
      <c r="AH258" s="29" t="n"/>
      <c r="AI258" s="29" t="n"/>
      <c r="AJ258" s="29" t="n"/>
      <c r="AK258" s="29" t="n"/>
      <c r="AL258" s="29" t="n"/>
      <c r="AM258" s="169" t="n">
        <v>-20</v>
      </c>
      <c r="AN258" s="29" t="n"/>
      <c r="AO258" s="29" t="n"/>
      <c r="AP258" s="29" t="n"/>
      <c r="AQ258" s="29" t="n"/>
      <c r="AR258" s="29" t="n"/>
      <c r="AS258" s="169" t="n">
        <v>-109.6</v>
      </c>
      <c r="AT258" s="29" t="n"/>
      <c r="AU258" s="29" t="n"/>
      <c r="AV258" s="29" t="n"/>
      <c r="AW258" s="29" t="n"/>
      <c r="AX258" s="29" t="n"/>
      <c r="AY258" s="169" t="n">
        <v>-8.9</v>
      </c>
      <c r="AZ258" s="29" t="n"/>
      <c r="BA258" s="29" t="n"/>
      <c r="BB258" s="29" t="n"/>
      <c r="BC258" s="29" t="n"/>
      <c r="BD258" s="29" t="n"/>
      <c r="BE258" s="169" t="n">
        <v>-8.800000000000001</v>
      </c>
      <c r="BF258" s="29" t="n"/>
      <c r="BG258" s="29" t="n"/>
      <c r="BH258" s="29" t="n"/>
      <c r="BI258" s="29" t="n"/>
      <c r="BJ258" s="29" t="n"/>
      <c r="BK258" s="169" t="n">
        <v>-8</v>
      </c>
      <c r="BL258" s="29" t="n"/>
      <c r="BM258" s="29" t="n"/>
      <c r="BN258" s="29" t="n"/>
      <c r="BO258" s="29" t="n"/>
      <c r="BP258" s="29" t="n"/>
      <c r="BQ258" s="169" t="n">
        <v>-7.8</v>
      </c>
      <c r="BR258" s="29" t="n"/>
      <c r="BS258" s="29" t="n"/>
      <c r="BT258" s="29" t="n"/>
      <c r="BU258" s="29" t="n"/>
      <c r="BV258" s="29" t="n"/>
      <c r="BW258" s="169" t="n">
        <v>-7.4</v>
      </c>
      <c r="BX258" s="29" t="n"/>
      <c r="BY258" s="29" t="n"/>
      <c r="BZ258" s="29" t="n"/>
      <c r="CA258" s="29" t="n"/>
      <c r="CB258" s="29" t="n"/>
      <c r="CC258" s="169" t="n">
        <v>-8.699999999999999</v>
      </c>
      <c r="CD258" s="29" t="n"/>
      <c r="CE258" s="29" t="n"/>
      <c r="CF258" s="29" t="n"/>
      <c r="CG258" s="29" t="n"/>
      <c r="CH258" s="29" t="n"/>
      <c r="CI258" s="169" t="n">
        <v>-14.6</v>
      </c>
      <c r="CJ258" s="29" t="n"/>
      <c r="CK258" s="29" t="n"/>
      <c r="CL258" s="169" t="n">
        <v>-4.2</v>
      </c>
      <c r="CM258" s="31" t="n"/>
      <c r="CN258" s="31" t="n"/>
      <c r="CO258" s="183" t="n">
        <v>-7.7</v>
      </c>
      <c r="CP258" s="171">
        <f>CO258</f>
        <v/>
      </c>
      <c r="CQ258" s="171">
        <f>CP258</f>
        <v/>
      </c>
      <c r="CR258" s="171">
        <f>CQ258</f>
        <v/>
      </c>
      <c r="CS258" s="171">
        <f>CR258</f>
        <v/>
      </c>
      <c r="CT258" s="22" t="inlineStr">
        <is>
          <t>2026E: 10-K expected contributions (funded $3.9m + nonqualified $3.8m). Reduces other noncurrent liabilities.</t>
        </is>
      </c>
      <c r="CV258" s="6" t="n"/>
      <c r="CW258" s="6" t="n"/>
      <c r="CX258" s="6" t="n"/>
      <c r="CY258" s="6" t="n"/>
    </row>
    <row r="259" ht="15" customHeight="1">
      <c r="B259" s="12" t="inlineStr">
        <is>
          <t xml:space="preserve">  Share-based compensation expense</t>
        </is>
      </c>
      <c r="C259" s="169" t="n">
        <v>14.4</v>
      </c>
      <c r="D259" s="169" t="n">
        <v>16.9</v>
      </c>
      <c r="E259" s="169" t="n">
        <v>19.1</v>
      </c>
      <c r="F259" s="169" t="n">
        <v>23.1</v>
      </c>
      <c r="G259" s="169" t="n">
        <v>20.6</v>
      </c>
      <c r="H259" s="169" t="n">
        <v>18.5</v>
      </c>
      <c r="I259" s="169" t="n">
        <v>17.5</v>
      </c>
      <c r="J259" s="29" t="n"/>
      <c r="K259" s="29" t="n"/>
      <c r="L259" s="29" t="n"/>
      <c r="M259" s="29" t="n"/>
      <c r="N259" s="29" t="n"/>
      <c r="O259" s="169" t="n">
        <v>22.1</v>
      </c>
      <c r="P259" s="29" t="n"/>
      <c r="Q259" s="29" t="n"/>
      <c r="R259" s="29" t="n"/>
      <c r="S259" s="29" t="n"/>
      <c r="T259" s="29" t="n"/>
      <c r="U259" s="169" t="n">
        <v>23.9</v>
      </c>
      <c r="V259" s="29" t="n"/>
      <c r="W259" s="29" t="n"/>
      <c r="X259" s="29" t="n"/>
      <c r="Y259" s="29" t="n"/>
      <c r="Z259" s="29" t="n"/>
      <c r="AA259" s="169" t="n">
        <v>18.2</v>
      </c>
      <c r="AB259" s="29" t="n"/>
      <c r="AC259" s="29" t="n"/>
      <c r="AD259" s="29" t="n"/>
      <c r="AE259" s="29" t="n"/>
      <c r="AF259" s="29" t="n"/>
      <c r="AG259" s="169" t="n">
        <v>20.7</v>
      </c>
      <c r="AH259" s="29" t="n"/>
      <c r="AI259" s="29" t="n"/>
      <c r="AJ259" s="29" t="n"/>
      <c r="AK259" s="29" t="n"/>
      <c r="AL259" s="29" t="n"/>
      <c r="AM259" s="169" t="n">
        <v>26.6</v>
      </c>
      <c r="AN259" s="29" t="n"/>
      <c r="AO259" s="29" t="n"/>
      <c r="AP259" s="29" t="n"/>
      <c r="AQ259" s="29" t="n"/>
      <c r="AR259" s="29" t="n"/>
      <c r="AS259" s="169" t="n">
        <v>25.2</v>
      </c>
      <c r="AT259" s="29" t="n"/>
      <c r="AU259" s="29" t="n"/>
      <c r="AV259" s="29" t="n"/>
      <c r="AW259" s="29" t="n"/>
      <c r="AX259" s="29" t="n"/>
      <c r="AY259" s="169" t="n">
        <v>31.8</v>
      </c>
      <c r="AZ259" s="29" t="n"/>
      <c r="BA259" s="29" t="n"/>
      <c r="BB259" s="29" t="n"/>
      <c r="BC259" s="29" t="n"/>
      <c r="BD259" s="29" t="n"/>
      <c r="BE259" s="169" t="n">
        <v>33</v>
      </c>
      <c r="BF259" s="29" t="n"/>
      <c r="BG259" s="29" t="n"/>
      <c r="BH259" s="29" t="n"/>
      <c r="BI259" s="29" t="n"/>
      <c r="BJ259" s="29" t="n"/>
      <c r="BK259" s="169" t="n">
        <v>34.7</v>
      </c>
      <c r="BL259" s="29" t="n"/>
      <c r="BM259" s="29" t="n"/>
      <c r="BN259" s="29" t="n"/>
      <c r="BO259" s="29" t="n"/>
      <c r="BP259" s="29" t="n"/>
      <c r="BQ259" s="169" t="n">
        <v>41.1</v>
      </c>
      <c r="BR259" s="29" t="n"/>
      <c r="BS259" s="29" t="n"/>
      <c r="BT259" s="29" t="n"/>
      <c r="BU259" s="29" t="n"/>
      <c r="BV259" s="29" t="n"/>
      <c r="BW259" s="169" t="n">
        <v>63.2</v>
      </c>
      <c r="BX259" s="29" t="n"/>
      <c r="BY259" s="29" t="n"/>
      <c r="BZ259" s="29" t="n"/>
      <c r="CA259" s="29" t="n"/>
      <c r="CB259" s="29" t="n"/>
      <c r="CC259" s="169" t="n">
        <v>53.4</v>
      </c>
      <c r="CD259" s="29" t="n"/>
      <c r="CE259" s="29" t="n"/>
      <c r="CF259" s="29" t="n"/>
      <c r="CG259" s="29" t="n"/>
      <c r="CH259" s="29" t="n"/>
      <c r="CI259" s="169" t="n">
        <v>63.1</v>
      </c>
      <c r="CJ259" s="29" t="n"/>
      <c r="CK259" s="29" t="n"/>
      <c r="CL259" s="169" t="n">
        <v>24.7</v>
      </c>
      <c r="CM259" s="31" t="n"/>
      <c r="CN259" s="31" t="n"/>
      <c r="CO259" s="171">
        <f>CO160</f>
        <v/>
      </c>
      <c r="CP259" s="171">
        <f>CP160</f>
        <v/>
      </c>
      <c r="CQ259" s="171">
        <f>CQ160</f>
        <v/>
      </c>
      <c r="CR259" s="171">
        <f>CR160</f>
        <v/>
      </c>
      <c r="CS259" s="171">
        <f>CS160</f>
        <v/>
      </c>
      <c r="CT259" s="22" t="n"/>
      <c r="CV259" s="6" t="n"/>
      <c r="CW259" s="6" t="n"/>
      <c r="CX259" s="6" t="n"/>
      <c r="CY259" s="6" t="n"/>
    </row>
    <row r="260" ht="15" customHeight="1">
      <c r="B260" s="12" t="inlineStr">
        <is>
          <t xml:space="preserve">  Deferred income taxes, net</t>
        </is>
      </c>
      <c r="C260" s="169" t="n">
        <v>12</v>
      </c>
      <c r="D260" s="169" t="n">
        <v>-8.5</v>
      </c>
      <c r="E260" s="169" t="n">
        <v>-22.4</v>
      </c>
      <c r="F260" s="169" t="n">
        <v>-43.8</v>
      </c>
      <c r="G260" s="169" t="n">
        <v>-51.7</v>
      </c>
      <c r="H260" s="169" t="n">
        <v>-93.7</v>
      </c>
      <c r="I260" s="169" t="n">
        <v>-69.8</v>
      </c>
      <c r="J260" s="29" t="n"/>
      <c r="K260" s="29" t="n"/>
      <c r="L260" s="29" t="n"/>
      <c r="M260" s="29" t="n"/>
      <c r="N260" s="29" t="n"/>
      <c r="O260" s="169" t="n">
        <v>-35.1</v>
      </c>
      <c r="P260" s="29" t="n"/>
      <c r="Q260" s="29" t="n"/>
      <c r="R260" s="29" t="n"/>
      <c r="S260" s="29" t="n"/>
      <c r="T260" s="29" t="n"/>
      <c r="U260" s="169" t="n">
        <v>18.4</v>
      </c>
      <c r="V260" s="29" t="n"/>
      <c r="W260" s="29" t="n"/>
      <c r="X260" s="29" t="n"/>
      <c r="Y260" s="29" t="n"/>
      <c r="Z260" s="29" t="n"/>
      <c r="AA260" s="169" t="n">
        <v>3.1</v>
      </c>
      <c r="AB260" s="29" t="n"/>
      <c r="AC260" s="29" t="n"/>
      <c r="AD260" s="29" t="n"/>
      <c r="AE260" s="29" t="n"/>
      <c r="AF260" s="29" t="n"/>
      <c r="AG260" s="169" t="n">
        <v>33.6</v>
      </c>
      <c r="AH260" s="29" t="n"/>
      <c r="AI260" s="29" t="n"/>
      <c r="AJ260" s="29" t="n"/>
      <c r="AK260" s="29" t="n"/>
      <c r="AL260" s="29" t="n"/>
      <c r="AM260" s="169" t="n">
        <v>-235.7</v>
      </c>
      <c r="AN260" s="29" t="n"/>
      <c r="AO260" s="29" t="n"/>
      <c r="AP260" s="29" t="n"/>
      <c r="AQ260" s="29" t="n"/>
      <c r="AR260" s="29" t="n"/>
      <c r="AS260" s="169" t="n">
        <v>64.59999999999999</v>
      </c>
      <c r="AT260" s="29" t="n"/>
      <c r="AU260" s="29" t="n"/>
      <c r="AV260" s="29" t="n"/>
      <c r="AW260" s="29" t="n"/>
      <c r="AX260" s="29" t="n"/>
      <c r="AY260" s="169" t="n">
        <v>76</v>
      </c>
      <c r="AZ260" s="29" t="n"/>
      <c r="BA260" s="29" t="n"/>
      <c r="BB260" s="29" t="n"/>
      <c r="BC260" s="29" t="n"/>
      <c r="BD260" s="29" t="n"/>
      <c r="BE260" s="169" t="n">
        <v>62</v>
      </c>
      <c r="BF260" s="29" t="n"/>
      <c r="BG260" s="29" t="n"/>
      <c r="BH260" s="29" t="n"/>
      <c r="BI260" s="29" t="n"/>
      <c r="BJ260" s="29" t="n"/>
      <c r="BK260" s="169" t="n">
        <v>66.8</v>
      </c>
      <c r="BL260" s="29" t="n"/>
      <c r="BM260" s="29" t="n"/>
      <c r="BN260" s="29" t="n"/>
      <c r="BO260" s="29" t="n"/>
      <c r="BP260" s="29" t="n"/>
      <c r="BQ260" s="169" t="n">
        <v>57.7</v>
      </c>
      <c r="BR260" s="29" t="n"/>
      <c r="BS260" s="29" t="n"/>
      <c r="BT260" s="29" t="n"/>
      <c r="BU260" s="29" t="n"/>
      <c r="BV260" s="29" t="n"/>
      <c r="BW260" s="169" t="n">
        <v>-43.3</v>
      </c>
      <c r="BX260" s="29" t="n"/>
      <c r="BY260" s="29" t="n"/>
      <c r="BZ260" s="29" t="n"/>
      <c r="CA260" s="29" t="n"/>
      <c r="CB260" s="29" t="n"/>
      <c r="CC260" s="169" t="n">
        <v>-9.4</v>
      </c>
      <c r="CD260" s="29" t="n"/>
      <c r="CE260" s="29" t="n"/>
      <c r="CF260" s="29" t="n"/>
      <c r="CG260" s="29" t="n"/>
      <c r="CH260" s="29" t="n"/>
      <c r="CI260" s="169" t="n">
        <v>26.1</v>
      </c>
      <c r="CJ260" s="29" t="n"/>
      <c r="CK260" s="29" t="n"/>
      <c r="CL260" s="169" t="n">
        <v>-68.2</v>
      </c>
      <c r="CM260" s="31" t="n"/>
      <c r="CN260" s="31" t="n"/>
      <c r="CO260" s="171">
        <f>$CL$260</f>
        <v/>
      </c>
      <c r="CP260" s="183" t="n">
        <v>0</v>
      </c>
      <c r="CQ260" s="183" t="n">
        <v>0</v>
      </c>
      <c r="CR260" s="183" t="n">
        <v>0</v>
      </c>
      <c r="CS260" s="183" t="n">
        <v>0</v>
      </c>
      <c r="CT260" s="22" t="inlineStr">
        <is>
          <t>2H/26 and 2027E+: no further deferred tax movement assumed (input).</t>
        </is>
      </c>
      <c r="CV260" s="6" t="n"/>
      <c r="CW260" s="6" t="n"/>
      <c r="CX260" s="6" t="n"/>
      <c r="CY260" s="6" t="n"/>
    </row>
    <row r="261" ht="15" customHeight="1">
      <c r="B261" s="12" t="inlineStr">
        <is>
          <t xml:space="preserve">  Changes in operating assets and liabilities</t>
        </is>
      </c>
      <c r="C261" s="169" t="n">
        <v>-118.3</v>
      </c>
      <c r="D261" s="169" t="n">
        <v>38.6</v>
      </c>
      <c r="E261" s="169" t="n">
        <v>-87.40000000000001</v>
      </c>
      <c r="F261" s="169" t="n">
        <v>89.7</v>
      </c>
      <c r="G261" s="169" t="n">
        <v>19.9</v>
      </c>
      <c r="H261" s="169" t="n">
        <v>-11.9</v>
      </c>
      <c r="I261" s="169" t="n">
        <v>20.4</v>
      </c>
      <c r="J261" s="29" t="n"/>
      <c r="K261" s="29" t="n"/>
      <c r="L261" s="29" t="n"/>
      <c r="M261" s="29" t="n"/>
      <c r="N261" s="29" t="n"/>
      <c r="O261" s="169" t="n">
        <v>-60.4</v>
      </c>
      <c r="P261" s="29" t="n"/>
      <c r="Q261" s="29" t="n"/>
      <c r="R261" s="29" t="n"/>
      <c r="S261" s="29" t="n"/>
      <c r="T261" s="29" t="n"/>
      <c r="U261" s="169" t="n">
        <v>-93.3</v>
      </c>
      <c r="V261" s="29" t="n"/>
      <c r="W261" s="29" t="n"/>
      <c r="X261" s="29" t="n"/>
      <c r="Y261" s="29" t="n"/>
      <c r="Z261" s="29" t="n"/>
      <c r="AA261" s="169" t="n">
        <v>-23.1</v>
      </c>
      <c r="AB261" s="29" t="n"/>
      <c r="AC261" s="29" t="n"/>
      <c r="AD261" s="29" t="n"/>
      <c r="AE261" s="29" t="n"/>
      <c r="AF261" s="29" t="n"/>
      <c r="AG261" s="169" t="n">
        <v>-92.8</v>
      </c>
      <c r="AH261" s="29" t="n"/>
      <c r="AI261" s="29" t="n"/>
      <c r="AJ261" s="29" t="n"/>
      <c r="AK261" s="29" t="n"/>
      <c r="AL261" s="29" t="n"/>
      <c r="AM261" s="169" t="n">
        <v>-169.4</v>
      </c>
      <c r="AN261" s="29" t="n"/>
      <c r="AO261" s="29" t="n"/>
      <c r="AP261" s="29" t="n"/>
      <c r="AQ261" s="29" t="n"/>
      <c r="AR261" s="29" t="n"/>
      <c r="AS261" s="169" t="n">
        <v>-7</v>
      </c>
      <c r="AT261" s="29" t="n"/>
      <c r="AU261" s="29" t="n"/>
      <c r="AV261" s="29" t="n"/>
      <c r="AW261" s="29" t="n"/>
      <c r="AX261" s="29" t="n"/>
      <c r="AY261" s="169" t="n">
        <v>-147.2</v>
      </c>
      <c r="AZ261" s="29" t="n"/>
      <c r="BA261" s="29" t="n"/>
      <c r="BB261" s="29" t="n"/>
      <c r="BC261" s="29" t="n"/>
      <c r="BD261" s="29" t="n"/>
      <c r="BE261" s="169" t="n">
        <v>-39.7</v>
      </c>
      <c r="BF261" s="29" t="n"/>
      <c r="BG261" s="29" t="n"/>
      <c r="BH261" s="29" t="n"/>
      <c r="BI261" s="29" t="n"/>
      <c r="BJ261" s="29" t="n"/>
      <c r="BK261" s="169" t="n">
        <v>-180.3</v>
      </c>
      <c r="BL261" s="29" t="n"/>
      <c r="BM261" s="29" t="n"/>
      <c r="BN261" s="29" t="n"/>
      <c r="BO261" s="29" t="n"/>
      <c r="BP261" s="29" t="n"/>
      <c r="BQ261" s="169" t="n">
        <v>-248.5</v>
      </c>
      <c r="BR261" s="29" t="n"/>
      <c r="BS261" s="29" t="n"/>
      <c r="BT261" s="29" t="n"/>
      <c r="BU261" s="29" t="n"/>
      <c r="BV261" s="29" t="n"/>
      <c r="BW261" s="169" t="n">
        <v>-47.3</v>
      </c>
      <c r="BX261" s="29" t="n"/>
      <c r="BY261" s="29" t="n"/>
      <c r="BZ261" s="29" t="n"/>
      <c r="CA261" s="29" t="n"/>
      <c r="CB261" s="29" t="n"/>
      <c r="CC261" s="169" t="n">
        <v>-277.4</v>
      </c>
      <c r="CD261" s="29" t="n"/>
      <c r="CE261" s="29" t="n"/>
      <c r="CF261" s="29" t="n"/>
      <c r="CG261" s="29" t="n"/>
      <c r="CH261" s="29" t="n"/>
      <c r="CI261" s="169" t="n">
        <v>-98.7</v>
      </c>
      <c r="CJ261" s="29" t="n"/>
      <c r="CK261" s="29" t="n"/>
      <c r="CL261" s="169" t="n">
        <v>-254.1</v>
      </c>
      <c r="CM261" s="31" t="n"/>
      <c r="CN261" s="31" t="n"/>
      <c r="CO261" s="171">
        <f>$CL$261-(CO310-$CL$310)-(CO311-$CL$311)-(CO312-$CL$312)+(CO327-$CL$327)+(CO328-$CL$328)</f>
        <v/>
      </c>
      <c r="CP261" s="171">
        <f>-(CP310-CO310)-(CP311-CO311)-(CP312-CO312)+(CP327-CO327)+(CP328-CO328)</f>
        <v/>
      </c>
      <c r="CQ261" s="171">
        <f>-(CQ310-CP310)-(CQ311-CP311)-(CQ312-CP312)+(CQ327-CP327)+(CQ328-CP328)</f>
        <v/>
      </c>
      <c r="CR261" s="171">
        <f>-(CR310-CQ310)-(CR311-CQ311)-(CR312-CQ312)+(CR327-CQ327)+(CR328-CQ328)</f>
        <v/>
      </c>
      <c r="CS261" s="171">
        <f>-(CS310-CR310)-(CS311-CR311)-(CS312-CR312)+(CS327-CR327)+(CS328-CR328)</f>
        <v/>
      </c>
      <c r="CT261" s="22" t="inlineStr">
        <is>
          <t>Linked to BS: −Δ(receivables, inventories, other current assets) + Δ(payables &amp; accruals, other current liabilities). 2026E = 1H/26 actual + 2H change vs 30-Jun-26.</t>
        </is>
      </c>
      <c r="CV261" s="6" t="n"/>
      <c r="CW261" s="6" t="n"/>
      <c r="CX261" s="6" t="n"/>
      <c r="CY261" s="6" t="n"/>
    </row>
    <row r="262" ht="15" customHeight="1">
      <c r="B262" s="12" t="inlineStr">
        <is>
          <t xml:space="preserve">  Other operating items, net</t>
        </is>
      </c>
      <c r="C262" s="169" t="n">
        <v>10.9</v>
      </c>
      <c r="D262" s="169" t="n">
        <v>-0.9</v>
      </c>
      <c r="E262" s="169" t="n">
        <v>238.3</v>
      </c>
      <c r="F262" s="169" t="n">
        <v>14.6</v>
      </c>
      <c r="G262" s="169" t="n">
        <v>20.8</v>
      </c>
      <c r="H262" s="169" t="n">
        <v>29</v>
      </c>
      <c r="I262" s="169" t="n">
        <v>74.2</v>
      </c>
      <c r="J262" s="29" t="n"/>
      <c r="K262" s="29" t="n"/>
      <c r="L262" s="29" t="n"/>
      <c r="M262" s="29" t="n"/>
      <c r="N262" s="29" t="n"/>
      <c r="O262" s="169" t="n">
        <v>154.2</v>
      </c>
      <c r="P262" s="29" t="n"/>
      <c r="Q262" s="29" t="n"/>
      <c r="R262" s="29" t="n"/>
      <c r="S262" s="29" t="n"/>
      <c r="T262" s="29" t="n"/>
      <c r="U262" s="169" t="n">
        <v>76.7</v>
      </c>
      <c r="V262" s="29" t="n"/>
      <c r="W262" s="29" t="n"/>
      <c r="X262" s="29" t="n"/>
      <c r="Y262" s="29" t="n"/>
      <c r="Z262" s="29" t="n"/>
      <c r="AA262" s="169" t="n">
        <v>33.2</v>
      </c>
      <c r="AB262" s="29" t="n"/>
      <c r="AC262" s="29" t="n"/>
      <c r="AD262" s="29" t="n"/>
      <c r="AE262" s="29" t="n"/>
      <c r="AF262" s="29" t="n"/>
      <c r="AG262" s="169" t="n">
        <v>3.7</v>
      </c>
      <c r="AH262" s="29" t="n"/>
      <c r="AI262" s="29" t="n"/>
      <c r="AJ262" s="29" t="n"/>
      <c r="AK262" s="29" t="n"/>
      <c r="AL262" s="29" t="n"/>
      <c r="AM262" s="169" t="n">
        <v>153.8</v>
      </c>
      <c r="AN262" s="29" t="n"/>
      <c r="AO262" s="29" t="n"/>
      <c r="AP262" s="29" t="n"/>
      <c r="AQ262" s="29" t="n"/>
      <c r="AR262" s="29" t="n"/>
      <c r="AS262" s="169" t="n">
        <v>12.4</v>
      </c>
      <c r="AT262" s="29" t="n"/>
      <c r="AU262" s="29" t="n"/>
      <c r="AV262" s="29" t="n"/>
      <c r="AW262" s="29" t="n"/>
      <c r="AX262" s="29" t="n"/>
      <c r="AY262" s="169" t="n">
        <v>28.5</v>
      </c>
      <c r="AZ262" s="29" t="n"/>
      <c r="BA262" s="29" t="n"/>
      <c r="BB262" s="29" t="n"/>
      <c r="BC262" s="29" t="n"/>
      <c r="BD262" s="29" t="n"/>
      <c r="BE262" s="169" t="n">
        <v>8.300000000000001</v>
      </c>
      <c r="BF262" s="29" t="n"/>
      <c r="BG262" s="29" t="n"/>
      <c r="BH262" s="29" t="n"/>
      <c r="BI262" s="29" t="n"/>
      <c r="BJ262" s="29" t="n"/>
      <c r="BK262" s="169" t="n">
        <v>36.4</v>
      </c>
      <c r="BL262" s="29" t="n"/>
      <c r="BM262" s="29" t="n"/>
      <c r="BN262" s="29" t="n"/>
      <c r="BO262" s="29" t="n"/>
      <c r="BP262" s="29" t="n"/>
      <c r="BQ262" s="169" t="n">
        <v>92.09999999999999</v>
      </c>
      <c r="BR262" s="29" t="n"/>
      <c r="BS262" s="29" t="n"/>
      <c r="BT262" s="29" t="n"/>
      <c r="BU262" s="29" t="n"/>
      <c r="BV262" s="29" t="n"/>
      <c r="BW262" s="169" t="n">
        <v>42.2</v>
      </c>
      <c r="BX262" s="29" t="n"/>
      <c r="BY262" s="29" t="n"/>
      <c r="BZ262" s="29" t="n"/>
      <c r="CA262" s="29" t="n"/>
      <c r="CB262" s="29" t="n"/>
      <c r="CC262" s="169" t="n">
        <v>107.3</v>
      </c>
      <c r="CD262" s="29" t="n"/>
      <c r="CE262" s="29" t="n"/>
      <c r="CF262" s="29" t="n"/>
      <c r="CG262" s="29" t="n"/>
      <c r="CH262" s="29" t="n"/>
      <c r="CI262" s="169" t="n">
        <v>8.699999999999999</v>
      </c>
      <c r="CJ262" s="29" t="n"/>
      <c r="CK262" s="29" t="n"/>
      <c r="CL262" s="169" t="n">
        <v>9.800000000000001</v>
      </c>
      <c r="CM262" s="31" t="n"/>
      <c r="CN262" s="31" t="n"/>
      <c r="CO262" s="171">
        <f>$CL$262</f>
        <v/>
      </c>
      <c r="CP262" s="183" t="n">
        <v>0</v>
      </c>
      <c r="CQ262" s="183" t="n">
        <v>0</v>
      </c>
      <c r="CR262" s="183" t="n">
        <v>0</v>
      </c>
      <c r="CS262" s="183" t="n">
        <v>0</v>
      </c>
      <c r="CT262" s="22" t="n"/>
      <c r="CV262" s="6" t="n"/>
      <c r="CW262" s="6" t="n"/>
      <c r="CX262" s="6" t="n"/>
      <c r="CY262" s="6" t="n"/>
    </row>
    <row r="263" ht="15" customHeight="1">
      <c r="B263" s="18" t="inlineStr">
        <is>
          <t>Net cash provided by operating activities</t>
        </is>
      </c>
      <c r="C263" s="172" t="n">
        <v>579.3</v>
      </c>
      <c r="D263" s="172" t="n">
        <v>708.1</v>
      </c>
      <c r="E263" s="172" t="n">
        <v>435.2</v>
      </c>
      <c r="F263" s="172" t="n">
        <v>453</v>
      </c>
      <c r="G263" s="172" t="n">
        <v>202.7</v>
      </c>
      <c r="H263" s="172" t="n">
        <v>169</v>
      </c>
      <c r="I263" s="172" t="n">
        <v>238.5</v>
      </c>
      <c r="J263" s="19" t="n"/>
      <c r="K263" s="19" t="n"/>
      <c r="L263" s="19" t="n"/>
      <c r="M263" s="19" t="n"/>
      <c r="N263" s="19" t="n"/>
      <c r="O263" s="172" t="n">
        <v>356.5</v>
      </c>
      <c r="P263" s="19" t="n"/>
      <c r="Q263" s="19" t="n"/>
      <c r="R263" s="19" t="n"/>
      <c r="S263" s="19" t="n"/>
      <c r="T263" s="19" t="n"/>
      <c r="U263" s="172" t="n">
        <v>260.3</v>
      </c>
      <c r="V263" s="19" t="n"/>
      <c r="W263" s="19" t="n"/>
      <c r="X263" s="19" t="n"/>
      <c r="Y263" s="19" t="n"/>
      <c r="Z263" s="19" t="n"/>
      <c r="AA263" s="172" t="n">
        <v>503.4</v>
      </c>
      <c r="AB263" s="19" t="n"/>
      <c r="AC263" s="19" t="n"/>
      <c r="AD263" s="19" t="n"/>
      <c r="AE263" s="19" t="n"/>
      <c r="AF263" s="19" t="n"/>
      <c r="AG263" s="172" t="n">
        <v>644.6</v>
      </c>
      <c r="AH263" s="19" t="n"/>
      <c r="AI263" s="19" t="n"/>
      <c r="AJ263" s="19" t="n"/>
      <c r="AK263" s="19" t="n"/>
      <c r="AL263" s="19" t="n"/>
      <c r="AM263" s="172" t="n">
        <v>644.7</v>
      </c>
      <c r="AN263" s="19" t="n"/>
      <c r="AO263" s="19" t="n"/>
      <c r="AP263" s="19" t="n"/>
      <c r="AQ263" s="19" t="n"/>
      <c r="AR263" s="19" t="n"/>
      <c r="AS263" s="172" t="n">
        <v>832.8</v>
      </c>
      <c r="AT263" s="19" t="n"/>
      <c r="AU263" s="19" t="n"/>
      <c r="AV263" s="19" t="n"/>
      <c r="AW263" s="19" t="n"/>
      <c r="AX263" s="19" t="n"/>
      <c r="AY263" s="172" t="n">
        <v>984.1</v>
      </c>
      <c r="AZ263" s="19" t="n"/>
      <c r="BA263" s="19" t="n"/>
      <c r="BB263" s="19" t="n"/>
      <c r="BC263" s="19" t="n"/>
      <c r="BD263" s="19" t="n"/>
      <c r="BE263" s="172" t="n">
        <v>1070.4</v>
      </c>
      <c r="BF263" s="19" t="n"/>
      <c r="BG263" s="19" t="n"/>
      <c r="BH263" s="19" t="n"/>
      <c r="BI263" s="19" t="n"/>
      <c r="BJ263" s="19" t="n"/>
      <c r="BK263" s="172" t="n">
        <v>1011.9</v>
      </c>
      <c r="BL263" s="19" t="n"/>
      <c r="BM263" s="19" t="n"/>
      <c r="BN263" s="19" t="n"/>
      <c r="BO263" s="19" t="n"/>
      <c r="BP263" s="19" t="n"/>
      <c r="BQ263" s="172" t="n">
        <v>1148.2</v>
      </c>
      <c r="BR263" s="19" t="n"/>
      <c r="BS263" s="19" t="n"/>
      <c r="BT263" s="19" t="n"/>
      <c r="BU263" s="19" t="n"/>
      <c r="BV263" s="19" t="n"/>
      <c r="BW263" s="172" t="n">
        <v>1536.8</v>
      </c>
      <c r="BX263" s="19" t="n"/>
      <c r="BY263" s="19" t="n"/>
      <c r="BZ263" s="19" t="n"/>
      <c r="CA263" s="19" t="n"/>
      <c r="CB263" s="19" t="n"/>
      <c r="CC263" s="172" t="n">
        <v>1409.6</v>
      </c>
      <c r="CD263" s="19" t="n"/>
      <c r="CE263" s="19" t="n"/>
      <c r="CF263" s="19" t="n"/>
      <c r="CG263" s="19" t="n"/>
      <c r="CH263" s="19" t="n"/>
      <c r="CI263" s="172" t="n">
        <v>1813</v>
      </c>
      <c r="CJ263" s="19" t="n"/>
      <c r="CK263" s="19" t="n"/>
      <c r="CL263" s="172" t="n">
        <v>584.6</v>
      </c>
      <c r="CM263" s="21" t="n"/>
      <c r="CN263" s="21" t="n"/>
      <c r="CO263" s="174">
        <f>SUM(CO253:CO262)</f>
        <v/>
      </c>
      <c r="CP263" s="174">
        <f>SUM(CP253:CP262)</f>
        <v/>
      </c>
      <c r="CQ263" s="174">
        <f>SUM(CQ253:CQ262)</f>
        <v/>
      </c>
      <c r="CR263" s="174">
        <f>SUM(CR253:CR262)</f>
        <v/>
      </c>
      <c r="CS263" s="174">
        <f>SUM(CS253:CS262)</f>
        <v/>
      </c>
      <c r="CT263" s="22" t="n"/>
      <c r="CV263" s="23">
        <f>IFERROR((CS263/CI263)^(1/5)-1,"n/m")</f>
        <v/>
      </c>
      <c r="CW263" s="23">
        <f>IFERROR((CI263/BE263)^(1/5)-1,"n/m")</f>
        <v/>
      </c>
      <c r="CX263" s="23">
        <f>IFERROR((CI263/AA263)^(1/10)-1,"n/m")</f>
        <v/>
      </c>
      <c r="CY263" s="23">
        <f>IFERROR((CI263/C263)^(1/19)-1,"n/m")</f>
        <v/>
      </c>
    </row>
    <row r="264" ht="15" customHeight="1">
      <c r="B264" s="12" t="inlineStr">
        <is>
          <t>Purchases of property, plant &amp; equipment</t>
        </is>
      </c>
      <c r="C264" s="169" t="n">
        <v>-435.2</v>
      </c>
      <c r="D264" s="169" t="n">
        <v>-483.3</v>
      </c>
      <c r="E264" s="169" t="n">
        <v>-353.2</v>
      </c>
      <c r="F264" s="169" t="n">
        <v>-109.7</v>
      </c>
      <c r="G264" s="169" t="n">
        <v>-86.3</v>
      </c>
      <c r="H264" s="169" t="n">
        <v>-98.90000000000001</v>
      </c>
      <c r="I264" s="169" t="n">
        <v>-93.40000000000001</v>
      </c>
      <c r="J264" s="29" t="n"/>
      <c r="K264" s="29" t="n"/>
      <c r="L264" s="29" t="n"/>
      <c r="M264" s="29" t="n"/>
      <c r="N264" s="29" t="n"/>
      <c r="O264" s="169" t="n">
        <v>-275.4</v>
      </c>
      <c r="P264" s="29" t="n"/>
      <c r="Q264" s="29" t="n"/>
      <c r="R264" s="29" t="n"/>
      <c r="S264" s="29" t="n"/>
      <c r="T264" s="29" t="n"/>
      <c r="U264" s="169" t="n">
        <v>-224.9</v>
      </c>
      <c r="V264" s="29" t="n"/>
      <c r="W264" s="29" t="n"/>
      <c r="X264" s="29" t="n"/>
      <c r="Y264" s="29" t="n"/>
      <c r="Z264" s="29" t="n"/>
      <c r="AA264" s="169" t="n">
        <v>-289.3</v>
      </c>
      <c r="AB264" s="29" t="n"/>
      <c r="AC264" s="29" t="n"/>
      <c r="AD264" s="29" t="n"/>
      <c r="AE264" s="29" t="n"/>
      <c r="AF264" s="29" t="n"/>
      <c r="AG264" s="169" t="n">
        <v>-350.1</v>
      </c>
      <c r="AH264" s="29" t="n"/>
      <c r="AI264" s="29" t="n"/>
      <c r="AJ264" s="29" t="n"/>
      <c r="AK264" s="29" t="n"/>
      <c r="AL264" s="29" t="n"/>
      <c r="AM264" s="169" t="n">
        <v>-459.6</v>
      </c>
      <c r="AN264" s="29" t="n"/>
      <c r="AO264" s="29" t="n"/>
      <c r="AP264" s="29" t="n"/>
      <c r="AQ264" s="29" t="n"/>
      <c r="AR264" s="29" t="n"/>
      <c r="AS264" s="169" t="n">
        <v>-469.1</v>
      </c>
      <c r="AT264" s="29" t="n"/>
      <c r="AU264" s="29" t="n"/>
      <c r="AV264" s="29" t="n"/>
      <c r="AW264" s="29" t="n"/>
      <c r="AX264" s="29" t="n"/>
      <c r="AY264" s="169" t="n">
        <v>-384.1</v>
      </c>
      <c r="AZ264" s="29" t="n"/>
      <c r="BA264" s="29" t="n"/>
      <c r="BB264" s="29" t="n"/>
      <c r="BC264" s="29" t="n"/>
      <c r="BD264" s="29" t="n"/>
      <c r="BE264" s="169" t="n">
        <v>-362.2</v>
      </c>
      <c r="BF264" s="29" t="n"/>
      <c r="BG264" s="29" t="n"/>
      <c r="BH264" s="29" t="n"/>
      <c r="BI264" s="29" t="n"/>
      <c r="BJ264" s="29" t="n"/>
      <c r="BK264" s="169" t="n">
        <v>-451.3</v>
      </c>
      <c r="BL264" s="29" t="n"/>
      <c r="BM264" s="29" t="n"/>
      <c r="BN264" s="29" t="n"/>
      <c r="BO264" s="29" t="n"/>
      <c r="BP264" s="29" t="n"/>
      <c r="BQ264" s="169" t="n">
        <v>-612.6</v>
      </c>
      <c r="BR264" s="29" t="n"/>
      <c r="BS264" s="29" t="n"/>
      <c r="BT264" s="29" t="n"/>
      <c r="BU264" s="29" t="n"/>
      <c r="BV264" s="29" t="n"/>
      <c r="BW264" s="169" t="n">
        <v>-872.6</v>
      </c>
      <c r="BX264" s="29" t="n"/>
      <c r="BY264" s="29" t="n"/>
      <c r="BZ264" s="29" t="n"/>
      <c r="CA264" s="29" t="n"/>
      <c r="CB264" s="29" t="n"/>
      <c r="CC264" s="169" t="n">
        <v>-603.5</v>
      </c>
      <c r="CD264" s="29" t="n"/>
      <c r="CE264" s="29" t="n"/>
      <c r="CF264" s="29" t="n"/>
      <c r="CG264" s="29" t="n"/>
      <c r="CH264" s="29" t="n"/>
      <c r="CI264" s="169" t="n">
        <v>-677.7</v>
      </c>
      <c r="CJ264" s="29" t="n"/>
      <c r="CK264" s="29" t="n"/>
      <c r="CL264" s="169" t="n">
        <v>-370.4</v>
      </c>
      <c r="CM264" s="31" t="n"/>
      <c r="CN264" s="31" t="n"/>
      <c r="CO264" s="171">
        <f>-$DD$22</f>
        <v/>
      </c>
      <c r="CP264" s="171">
        <f>-CP138*CP291</f>
        <v/>
      </c>
      <c r="CQ264" s="171">
        <f>-CQ138*CQ291</f>
        <v/>
      </c>
      <c r="CR264" s="171">
        <f>-CR138*CR291</f>
        <v/>
      </c>
      <c r="CS264" s="171">
        <f>-CS138*CS291</f>
        <v/>
      </c>
      <c r="CT264" s="22" t="inlineStr">
        <is>
          <t>2026E: FY26 capex outlook mid-point ($750–800m). 2027E+: revenues × capex % input.</t>
        </is>
      </c>
      <c r="CV264" s="6" t="n"/>
      <c r="CW264" s="6" t="n"/>
      <c r="CX264" s="6" t="n"/>
      <c r="CY264" s="6" t="n"/>
    </row>
    <row r="265" ht="15" customHeight="1">
      <c r="B265" s="12" t="inlineStr">
        <is>
          <t>Proceeds from sale of property, plant &amp; equipment</t>
        </is>
      </c>
      <c r="C265" s="169" t="n">
        <v>7.9</v>
      </c>
      <c r="D265" s="169" t="n">
        <v>88.90000000000001</v>
      </c>
      <c r="E265" s="169" t="n">
        <v>25.5</v>
      </c>
      <c r="F265" s="169" t="n">
        <v>17.8</v>
      </c>
      <c r="G265" s="169" t="n">
        <v>13.6</v>
      </c>
      <c r="H265" s="169" t="n">
        <v>13.7</v>
      </c>
      <c r="I265" s="169" t="n">
        <v>80.8</v>
      </c>
      <c r="J265" s="29" t="n"/>
      <c r="K265" s="29" t="n"/>
      <c r="L265" s="29" t="n"/>
      <c r="M265" s="29" t="n"/>
      <c r="N265" s="29" t="n"/>
      <c r="O265" s="169" t="n">
        <v>17.6</v>
      </c>
      <c r="P265" s="29" t="n"/>
      <c r="Q265" s="29" t="n"/>
      <c r="R265" s="29" t="n"/>
      <c r="S265" s="29" t="n"/>
      <c r="T265" s="29" t="n"/>
      <c r="U265" s="169" t="n">
        <v>26</v>
      </c>
      <c r="V265" s="29" t="n"/>
      <c r="W265" s="29" t="n"/>
      <c r="X265" s="29" t="n"/>
      <c r="Y265" s="29" t="n"/>
      <c r="Z265" s="29" t="n"/>
      <c r="AA265" s="169" t="n">
        <v>8.199999999999999</v>
      </c>
      <c r="AB265" s="29" t="n"/>
      <c r="AC265" s="29" t="n"/>
      <c r="AD265" s="29" t="n"/>
      <c r="AE265" s="29" t="n"/>
      <c r="AF265" s="29" t="n"/>
      <c r="AG265" s="169" t="n">
        <v>23.3</v>
      </c>
      <c r="AH265" s="29" t="n"/>
      <c r="AI265" s="29" t="n"/>
      <c r="AJ265" s="29" t="n"/>
      <c r="AK265" s="29" t="n"/>
      <c r="AL265" s="29" t="n"/>
      <c r="AM265" s="169" t="n">
        <v>15.8</v>
      </c>
      <c r="AN265" s="29" t="n"/>
      <c r="AO265" s="29" t="n"/>
      <c r="AP265" s="29" t="n"/>
      <c r="AQ265" s="29" t="n"/>
      <c r="AR265" s="29" t="n"/>
      <c r="AS265" s="169" t="n">
        <v>22.2</v>
      </c>
      <c r="AT265" s="29" t="n"/>
      <c r="AU265" s="29" t="n"/>
      <c r="AV265" s="29" t="n"/>
      <c r="AW265" s="29" t="n"/>
      <c r="AX265" s="29" t="n"/>
      <c r="AY265" s="169" t="n">
        <v>22.7</v>
      </c>
      <c r="AZ265" s="29" t="n"/>
      <c r="BA265" s="29" t="n"/>
      <c r="BB265" s="29" t="n"/>
      <c r="BC265" s="29" t="n"/>
      <c r="BD265" s="29" t="n"/>
      <c r="BE265" s="169" t="n">
        <v>11.5</v>
      </c>
      <c r="BF265" s="29" t="n"/>
      <c r="BG265" s="29" t="n"/>
      <c r="BH265" s="29" t="n"/>
      <c r="BI265" s="29" t="n"/>
      <c r="BJ265" s="29" t="n"/>
      <c r="BK265" s="169" t="n">
        <v>216.5</v>
      </c>
      <c r="BL265" s="29" t="n"/>
      <c r="BM265" s="29" t="n"/>
      <c r="BN265" s="29" t="n"/>
      <c r="BO265" s="29" t="n"/>
      <c r="BP265" s="29" t="n"/>
      <c r="BQ265" s="169" t="n">
        <v>38.7</v>
      </c>
      <c r="BR265" s="29" t="n"/>
      <c r="BS265" s="29" t="n"/>
      <c r="BT265" s="29" t="n"/>
      <c r="BU265" s="29" t="n"/>
      <c r="BV265" s="29" t="n"/>
      <c r="BW265" s="169" t="n">
        <v>94.59999999999999</v>
      </c>
      <c r="BX265" s="29" t="n"/>
      <c r="BY265" s="29" t="n"/>
      <c r="BZ265" s="29" t="n"/>
      <c r="CA265" s="29" t="n"/>
      <c r="CB265" s="29" t="n"/>
      <c r="CC265" s="169" t="n">
        <v>54.7</v>
      </c>
      <c r="CD265" s="29" t="n"/>
      <c r="CE265" s="29" t="n"/>
      <c r="CF265" s="29" t="n"/>
      <c r="CG265" s="29" t="n"/>
      <c r="CH265" s="29" t="n"/>
      <c r="CI265" s="169" t="n">
        <v>24.1</v>
      </c>
      <c r="CJ265" s="29" t="n"/>
      <c r="CK265" s="29" t="n"/>
      <c r="CL265" s="169" t="n">
        <v>18.1</v>
      </c>
      <c r="CM265" s="31" t="n"/>
      <c r="CN265" s="31" t="n"/>
      <c r="CO265" s="171">
        <f>$CL$265</f>
        <v/>
      </c>
      <c r="CP265" s="183" t="n">
        <v>0</v>
      </c>
      <c r="CQ265" s="183" t="n">
        <v>0</v>
      </c>
      <c r="CR265" s="183" t="n">
        <v>0</v>
      </c>
      <c r="CS265" s="183" t="n">
        <v>0</v>
      </c>
      <c r="CT265" s="22" t="n"/>
      <c r="CV265" s="6" t="n"/>
      <c r="CW265" s="6" t="n"/>
      <c r="CX265" s="6" t="n"/>
      <c r="CY265" s="6" t="n"/>
    </row>
    <row r="266" ht="15" customHeight="1">
      <c r="B266" s="12" t="inlineStr">
        <is>
          <t>Proceeds from sale of businesses</t>
        </is>
      </c>
      <c r="C266" s="169" t="n">
        <v>141.9</v>
      </c>
      <c r="D266" s="169" t="n">
        <v>30.6</v>
      </c>
      <c r="E266" s="169" t="n">
        <v>225.8</v>
      </c>
      <c r="F266" s="169" t="n">
        <v>16.1</v>
      </c>
      <c r="G266" s="169" t="n">
        <v>51</v>
      </c>
      <c r="H266" s="169" t="n">
        <v>74.7</v>
      </c>
      <c r="I266" s="169" t="n">
        <v>21.2</v>
      </c>
      <c r="J266" s="29" t="n"/>
      <c r="K266" s="29" t="n"/>
      <c r="L266" s="29" t="n"/>
      <c r="M266" s="29" t="n"/>
      <c r="N266" s="29" t="n"/>
      <c r="O266" s="169" t="n">
        <v>51.6</v>
      </c>
      <c r="P266" s="29" t="n"/>
      <c r="Q266" s="29" t="n"/>
      <c r="R266" s="29" t="n"/>
      <c r="S266" s="29" t="n"/>
      <c r="T266" s="29" t="n"/>
      <c r="U266" s="169" t="n">
        <v>721.4</v>
      </c>
      <c r="V266" s="29" t="n"/>
      <c r="W266" s="29" t="n"/>
      <c r="X266" s="29" t="n"/>
      <c r="Y266" s="29" t="n"/>
      <c r="Z266" s="29" t="n"/>
      <c r="AA266" s="169" t="n">
        <v>0</v>
      </c>
      <c r="AB266" s="29" t="n"/>
      <c r="AC266" s="29" t="n"/>
      <c r="AD266" s="29" t="n"/>
      <c r="AE266" s="29" t="n"/>
      <c r="AF266" s="29" t="n"/>
      <c r="AG266" s="169" t="n">
        <v>0</v>
      </c>
      <c r="AH266" s="29" t="n"/>
      <c r="AI266" s="29" t="n"/>
      <c r="AJ266" s="29" t="n"/>
      <c r="AK266" s="29" t="n"/>
      <c r="AL266" s="29" t="n"/>
      <c r="AM266" s="169" t="n">
        <v>287.3</v>
      </c>
      <c r="AN266" s="29" t="n"/>
      <c r="AO266" s="29" t="n"/>
      <c r="AP266" s="29" t="n"/>
      <c r="AQ266" s="29" t="n"/>
      <c r="AR266" s="29" t="n"/>
      <c r="AS266" s="169" t="n">
        <v>11.3</v>
      </c>
      <c r="AT266" s="29" t="n"/>
      <c r="AU266" s="29" t="n"/>
      <c r="AV266" s="29" t="n"/>
      <c r="AW266" s="29" t="n"/>
      <c r="AX266" s="29" t="n"/>
      <c r="AY266" s="169" t="n">
        <v>1.7</v>
      </c>
      <c r="AZ266" s="29" t="n"/>
      <c r="BA266" s="29" t="n"/>
      <c r="BB266" s="29" t="n"/>
      <c r="BC266" s="29" t="n"/>
      <c r="BD266" s="29" t="n"/>
      <c r="BE266" s="169" t="n">
        <v>1</v>
      </c>
      <c r="BF266" s="29" t="n"/>
      <c r="BG266" s="29" t="n"/>
      <c r="BH266" s="29" t="n"/>
      <c r="BI266" s="29" t="n"/>
      <c r="BJ266" s="29" t="n"/>
      <c r="BK266" s="169" t="n">
        <v>0</v>
      </c>
      <c r="BL266" s="29" t="n"/>
      <c r="BM266" s="29" t="n"/>
      <c r="BN266" s="29" t="n"/>
      <c r="BO266" s="29" t="n"/>
      <c r="BP266" s="29" t="n"/>
      <c r="BQ266" s="169" t="n">
        <v>50</v>
      </c>
      <c r="BR266" s="29" t="n"/>
      <c r="BS266" s="29" t="n"/>
      <c r="BT266" s="29" t="n"/>
      <c r="BU266" s="29" t="n"/>
      <c r="BV266" s="29" t="n"/>
      <c r="BW266" s="169" t="n">
        <v>613.6</v>
      </c>
      <c r="BX266" s="29" t="n"/>
      <c r="BY266" s="29" t="n"/>
      <c r="BZ266" s="29" t="n"/>
      <c r="CA266" s="29" t="n"/>
      <c r="CB266" s="29" t="n"/>
      <c r="CC266" s="169" t="n">
        <v>0.2</v>
      </c>
      <c r="CD266" s="29" t="n"/>
      <c r="CE266" s="29" t="n"/>
      <c r="CF266" s="29" t="n"/>
      <c r="CG266" s="29" t="n"/>
      <c r="CH266" s="29" t="n"/>
      <c r="CI266" s="169" t="n">
        <v>127.4</v>
      </c>
      <c r="CJ266" s="29" t="n"/>
      <c r="CK266" s="29" t="n"/>
      <c r="CL266" s="169" t="n">
        <v>572.1</v>
      </c>
      <c r="CM266" s="31" t="n"/>
      <c r="CN266" s="31" t="n"/>
      <c r="CO266" s="171">
        <f>$CL$266</f>
        <v/>
      </c>
      <c r="CP266" s="183" t="n">
        <v>0</v>
      </c>
      <c r="CQ266" s="183" t="n">
        <v>0</v>
      </c>
      <c r="CR266" s="183" t="n">
        <v>0</v>
      </c>
      <c r="CS266" s="183" t="n">
        <v>0</v>
      </c>
      <c r="CT266" s="22" t="inlineStr">
        <is>
          <t>2026E = 1H/26 actual (California ready-mix sale).</t>
        </is>
      </c>
      <c r="CV266" s="6" t="n"/>
      <c r="CW266" s="6" t="n"/>
      <c r="CX266" s="6" t="n"/>
      <c r="CY266" s="6" t="n"/>
    </row>
    <row r="267" ht="15" customHeight="1">
      <c r="B267" s="12" t="inlineStr">
        <is>
          <t>Payment for businesses acquired, net of cash acquired</t>
        </is>
      </c>
      <c r="C267" s="169" t="n">
        <v>-20.5</v>
      </c>
      <c r="D267" s="169" t="n">
        <v>-3297.9</v>
      </c>
      <c r="E267" s="169" t="n">
        <v>-84.09999999999999</v>
      </c>
      <c r="F267" s="169" t="n">
        <v>-37</v>
      </c>
      <c r="G267" s="169" t="n">
        <v>-70.5</v>
      </c>
      <c r="H267" s="169" t="n">
        <v>-10.5</v>
      </c>
      <c r="I267" s="169" t="n">
        <v>0</v>
      </c>
      <c r="J267" s="29" t="n"/>
      <c r="K267" s="29" t="n"/>
      <c r="L267" s="29" t="n"/>
      <c r="M267" s="29" t="n"/>
      <c r="N267" s="29" t="n"/>
      <c r="O267" s="169" t="n">
        <v>-90</v>
      </c>
      <c r="P267" s="29" t="n"/>
      <c r="Q267" s="29" t="n"/>
      <c r="R267" s="29" t="n"/>
      <c r="S267" s="29" t="n"/>
      <c r="T267" s="29" t="n"/>
      <c r="U267" s="169" t="n">
        <v>-284.2</v>
      </c>
      <c r="V267" s="29" t="n"/>
      <c r="W267" s="29" t="n"/>
      <c r="X267" s="29" t="n"/>
      <c r="Y267" s="29" t="n"/>
      <c r="Z267" s="29" t="n"/>
      <c r="AA267" s="169" t="n">
        <v>-27.2</v>
      </c>
      <c r="AB267" s="29" t="n"/>
      <c r="AC267" s="29" t="n"/>
      <c r="AD267" s="29" t="n"/>
      <c r="AE267" s="29" t="n"/>
      <c r="AF267" s="29" t="n"/>
      <c r="AG267" s="169" t="n">
        <v>-32.5</v>
      </c>
      <c r="AH267" s="29" t="n"/>
      <c r="AI267" s="29" t="n"/>
      <c r="AJ267" s="29" t="n"/>
      <c r="AK267" s="29" t="n"/>
      <c r="AL267" s="29" t="n"/>
      <c r="AM267" s="169" t="n">
        <v>-1109.7</v>
      </c>
      <c r="AN267" s="29" t="n"/>
      <c r="AO267" s="29" t="n"/>
      <c r="AP267" s="29" t="n"/>
      <c r="AQ267" s="29" t="n"/>
      <c r="AR267" s="29" t="n"/>
      <c r="AS267" s="169" t="n">
        <v>-221.4</v>
      </c>
      <c r="AT267" s="29" t="n"/>
      <c r="AU267" s="29" t="n"/>
      <c r="AV267" s="29" t="n"/>
      <c r="AW267" s="29" t="n"/>
      <c r="AX267" s="29" t="n"/>
      <c r="AY267" s="169" t="n">
        <v>-44.2</v>
      </c>
      <c r="AZ267" s="29" t="n"/>
      <c r="BA267" s="29" t="n"/>
      <c r="BB267" s="29" t="n"/>
      <c r="BC267" s="29" t="n"/>
      <c r="BD267" s="29" t="n"/>
      <c r="BE267" s="169" t="n">
        <v>-43.2</v>
      </c>
      <c r="BF267" s="29" t="n"/>
      <c r="BG267" s="29" t="n"/>
      <c r="BH267" s="29" t="n"/>
      <c r="BI267" s="29" t="n"/>
      <c r="BJ267" s="29" t="n"/>
      <c r="BK267" s="169" t="n">
        <v>-1639.4</v>
      </c>
      <c r="BL267" s="29" t="n"/>
      <c r="BM267" s="29" t="n"/>
      <c r="BN267" s="29" t="n"/>
      <c r="BO267" s="29" t="n"/>
      <c r="BP267" s="29" t="n"/>
      <c r="BQ267" s="169" t="n">
        <v>-529.2</v>
      </c>
      <c r="BR267" s="29" t="n"/>
      <c r="BS267" s="29" t="n"/>
      <c r="BT267" s="29" t="n"/>
      <c r="BU267" s="29" t="n"/>
      <c r="BV267" s="29" t="n"/>
      <c r="BW267" s="169" t="n">
        <v>0.9</v>
      </c>
      <c r="BX267" s="29" t="n"/>
      <c r="BY267" s="29" t="n"/>
      <c r="BZ267" s="29" t="n"/>
      <c r="CA267" s="29" t="n"/>
      <c r="CB267" s="29" t="n"/>
      <c r="CC267" s="169" t="n">
        <v>-2266.2</v>
      </c>
      <c r="CD267" s="29" t="n"/>
      <c r="CE267" s="29" t="n"/>
      <c r="CF267" s="29" t="n"/>
      <c r="CG267" s="29" t="n"/>
      <c r="CH267" s="29" t="n"/>
      <c r="CI267" s="169" t="n">
        <v>-13.5</v>
      </c>
      <c r="CJ267" s="29" t="n"/>
      <c r="CK267" s="29" t="n"/>
      <c r="CL267" s="169" t="n">
        <v>-75</v>
      </c>
      <c r="CM267" s="31" t="n"/>
      <c r="CN267" s="31" t="n"/>
      <c r="CO267" s="171">
        <f>$CL$267-CO90</f>
        <v/>
      </c>
      <c r="CP267" s="171">
        <f>-CP90</f>
        <v/>
      </c>
      <c r="CQ267" s="171">
        <f>-CQ90</f>
        <v/>
      </c>
      <c r="CR267" s="171">
        <f>-CR90</f>
        <v/>
      </c>
      <c r="CS267" s="171">
        <f>-CS90</f>
        <v/>
      </c>
      <c r="CT267" s="22" t="inlineStr">
        <is>
          <t>2026E = 1H/26 actual (no further 2026 M&amp;A assumed). 2027E+ = M&amp;A lever.</t>
        </is>
      </c>
      <c r="CV267" s="6" t="n"/>
      <c r="CW267" s="6" t="n"/>
      <c r="CX267" s="6" t="n"/>
      <c r="CY267" s="6" t="n"/>
    </row>
    <row r="268" ht="15" customHeight="1">
      <c r="B268" s="12" t="inlineStr">
        <is>
          <t>Other investing activities, net</t>
        </is>
      </c>
      <c r="C268" s="169" t="n">
        <v>200.9</v>
      </c>
      <c r="D268" s="169" t="n">
        <v>7.4</v>
      </c>
      <c r="E268" s="169" t="n">
        <v>-3.1</v>
      </c>
      <c r="F268" s="169" t="n">
        <v>32.9</v>
      </c>
      <c r="G268" s="169" t="n">
        <v>3.9</v>
      </c>
      <c r="H268" s="169" t="n">
        <v>1.6</v>
      </c>
      <c r="I268" s="169" t="n">
        <v>1.8</v>
      </c>
      <c r="J268" s="29" t="n"/>
      <c r="K268" s="29" t="n"/>
      <c r="L268" s="29" t="n"/>
      <c r="M268" s="29" t="n"/>
      <c r="N268" s="29" t="n"/>
      <c r="O268" s="169" t="n">
        <v>0</v>
      </c>
      <c r="P268" s="29" t="n"/>
      <c r="Q268" s="29" t="n"/>
      <c r="R268" s="29" t="n"/>
      <c r="S268" s="29" t="n"/>
      <c r="T268" s="29" t="n"/>
      <c r="U268" s="169" t="n">
        <v>0</v>
      </c>
      <c r="V268" s="29" t="n"/>
      <c r="W268" s="29" t="n"/>
      <c r="X268" s="29" t="n"/>
      <c r="Y268" s="29" t="n"/>
      <c r="Z268" s="29" t="n"/>
      <c r="AA268" s="169" t="n">
        <v>-1.5</v>
      </c>
      <c r="AB268" s="29" t="n"/>
      <c r="AC268" s="29" t="n"/>
      <c r="AD268" s="29" t="n"/>
      <c r="AE268" s="29" t="n"/>
      <c r="AF268" s="29" t="n"/>
      <c r="AG268" s="169" t="n">
        <v>-5.7</v>
      </c>
      <c r="AH268" s="29" t="n"/>
      <c r="AI268" s="29" t="n"/>
      <c r="AJ268" s="29" t="n"/>
      <c r="AK268" s="29" t="n"/>
      <c r="AL268" s="29" t="n"/>
      <c r="AM268" s="169" t="n">
        <v>-3.2</v>
      </c>
      <c r="AN268" s="29" t="n"/>
      <c r="AO268" s="29" t="n"/>
      <c r="AP268" s="29" t="n"/>
      <c r="AQ268" s="29" t="n"/>
      <c r="AR268" s="29" t="n"/>
      <c r="AS268" s="169" t="n">
        <v>-12.9</v>
      </c>
      <c r="AT268" s="29" t="n"/>
      <c r="AU268" s="29" t="n"/>
      <c r="AV268" s="29" t="n"/>
      <c r="AW268" s="29" t="n"/>
      <c r="AX268" s="29" t="n"/>
      <c r="AY268" s="169" t="n">
        <v>-12</v>
      </c>
      <c r="AZ268" s="29" t="n"/>
      <c r="BA268" s="29" t="n"/>
      <c r="BB268" s="29" t="n"/>
      <c r="BC268" s="29" t="n"/>
      <c r="BD268" s="29" t="n"/>
      <c r="BE268" s="169" t="n">
        <v>11.5</v>
      </c>
      <c r="BF268" s="29" t="n"/>
      <c r="BG268" s="29" t="n"/>
      <c r="BH268" s="29" t="n"/>
      <c r="BI268" s="29" t="n"/>
      <c r="BJ268" s="29" t="n"/>
      <c r="BK268" s="169" t="n">
        <v>0.1</v>
      </c>
      <c r="BL268" s="29" t="n"/>
      <c r="BM268" s="29" t="n"/>
      <c r="BN268" s="29" t="n"/>
      <c r="BO268" s="29" t="n"/>
      <c r="BP268" s="29" t="n"/>
      <c r="BQ268" s="169" t="n">
        <v>0.1</v>
      </c>
      <c r="BR268" s="29" t="n"/>
      <c r="BS268" s="29" t="n"/>
      <c r="BT268" s="29" t="n"/>
      <c r="BU268" s="29" t="n"/>
      <c r="BV268" s="29" t="n"/>
      <c r="BW268" s="169" t="n">
        <v>0</v>
      </c>
      <c r="BX268" s="29" t="n"/>
      <c r="BY268" s="29" t="n"/>
      <c r="BZ268" s="29" t="n"/>
      <c r="CA268" s="29" t="n"/>
      <c r="CB268" s="29" t="n"/>
      <c r="CC268" s="169" t="n">
        <v>-0.1</v>
      </c>
      <c r="CD268" s="29" t="n"/>
      <c r="CE268" s="29" t="n"/>
      <c r="CF268" s="29" t="n"/>
      <c r="CG268" s="29" t="n"/>
      <c r="CH268" s="29" t="n"/>
      <c r="CI268" s="169" t="n">
        <v>10.5</v>
      </c>
      <c r="CJ268" s="29" t="n"/>
      <c r="CK268" s="29" t="n"/>
      <c r="CL268" s="169" t="n">
        <v>0</v>
      </c>
      <c r="CM268" s="31" t="n"/>
      <c r="CN268" s="31" t="n"/>
      <c r="CO268" s="171">
        <f>$CL$268</f>
        <v/>
      </c>
      <c r="CP268" s="183" t="n">
        <v>0</v>
      </c>
      <c r="CQ268" s="183" t="n">
        <v>0</v>
      </c>
      <c r="CR268" s="183" t="n">
        <v>0</v>
      </c>
      <c r="CS268" s="183" t="n">
        <v>0</v>
      </c>
      <c r="CT268" s="22" t="n"/>
      <c r="CV268" s="6" t="n"/>
      <c r="CW268" s="6" t="n"/>
      <c r="CX268" s="6" t="n"/>
      <c r="CY268" s="6" t="n"/>
    </row>
    <row r="269" ht="15" customHeight="1">
      <c r="B269" s="18" t="inlineStr">
        <is>
          <t>Net cash provided by (used for) investing activities</t>
        </is>
      </c>
      <c r="C269" s="172" t="n">
        <v>-105</v>
      </c>
      <c r="D269" s="172" t="n">
        <v>-3654.3</v>
      </c>
      <c r="E269" s="172" t="n">
        <v>-189</v>
      </c>
      <c r="F269" s="172" t="n">
        <v>-80</v>
      </c>
      <c r="G269" s="172" t="n">
        <v>-88.40000000000001</v>
      </c>
      <c r="H269" s="172" t="n">
        <v>-19.5</v>
      </c>
      <c r="I269" s="172" t="n">
        <v>10.4</v>
      </c>
      <c r="J269" s="19" t="n"/>
      <c r="K269" s="19" t="n"/>
      <c r="L269" s="19" t="n"/>
      <c r="M269" s="19" t="n"/>
      <c r="N269" s="19" t="n"/>
      <c r="O269" s="172" t="n">
        <v>-296.2</v>
      </c>
      <c r="P269" s="19" t="n"/>
      <c r="Q269" s="19" t="n"/>
      <c r="R269" s="19" t="n"/>
      <c r="S269" s="19" t="n"/>
      <c r="T269" s="19" t="n"/>
      <c r="U269" s="172" t="n">
        <v>238.3</v>
      </c>
      <c r="V269" s="19" t="n"/>
      <c r="W269" s="19" t="n"/>
      <c r="X269" s="19" t="n"/>
      <c r="Y269" s="19" t="n"/>
      <c r="Z269" s="19" t="n"/>
      <c r="AA269" s="172" t="n">
        <v>-309.7</v>
      </c>
      <c r="AB269" s="19" t="n"/>
      <c r="AC269" s="19" t="n"/>
      <c r="AD269" s="19" t="n"/>
      <c r="AE269" s="19" t="n"/>
      <c r="AF269" s="19" t="n"/>
      <c r="AG269" s="172" t="n">
        <v>-365.1</v>
      </c>
      <c r="AH269" s="19" t="n"/>
      <c r="AI269" s="19" t="n"/>
      <c r="AJ269" s="19" t="n"/>
      <c r="AK269" s="19" t="n"/>
      <c r="AL269" s="19" t="n"/>
      <c r="AM269" s="172" t="n">
        <v>-1269.5</v>
      </c>
      <c r="AN269" s="19" t="n"/>
      <c r="AO269" s="19" t="n"/>
      <c r="AP269" s="19" t="n"/>
      <c r="AQ269" s="19" t="n"/>
      <c r="AR269" s="19" t="n"/>
      <c r="AS269" s="172" t="n">
        <v>-669.9</v>
      </c>
      <c r="AT269" s="19" t="n"/>
      <c r="AU269" s="19" t="n"/>
      <c r="AV269" s="19" t="n"/>
      <c r="AW269" s="19" t="n"/>
      <c r="AX269" s="19" t="n"/>
      <c r="AY269" s="172" t="n">
        <v>-415.8</v>
      </c>
      <c r="AZ269" s="19" t="n"/>
      <c r="BA269" s="19" t="n"/>
      <c r="BB269" s="19" t="n"/>
      <c r="BC269" s="19" t="n"/>
      <c r="BD269" s="19" t="n"/>
      <c r="BE269" s="172" t="n">
        <v>-381.5</v>
      </c>
      <c r="BF269" s="19" t="n"/>
      <c r="BG269" s="19" t="n"/>
      <c r="BH269" s="19" t="n"/>
      <c r="BI269" s="19" t="n"/>
      <c r="BJ269" s="19" t="n"/>
      <c r="BK269" s="172" t="n">
        <v>-1874.1</v>
      </c>
      <c r="BL269" s="19" t="n"/>
      <c r="BM269" s="19" t="n"/>
      <c r="BN269" s="19" t="n"/>
      <c r="BO269" s="19" t="n"/>
      <c r="BP269" s="19" t="n"/>
      <c r="BQ269" s="172" t="n">
        <v>-1053</v>
      </c>
      <c r="BR269" s="19" t="n"/>
      <c r="BS269" s="19" t="n"/>
      <c r="BT269" s="19" t="n"/>
      <c r="BU269" s="19" t="n"/>
      <c r="BV269" s="19" t="n"/>
      <c r="BW269" s="172" t="n">
        <v>-163.5</v>
      </c>
      <c r="BX269" s="19" t="n"/>
      <c r="BY269" s="19" t="n"/>
      <c r="BZ269" s="19" t="n"/>
      <c r="CA269" s="19" t="n"/>
      <c r="CB269" s="19" t="n"/>
      <c r="CC269" s="172" t="n">
        <v>-2814.9</v>
      </c>
      <c r="CD269" s="19" t="n"/>
      <c r="CE269" s="19" t="n"/>
      <c r="CF269" s="19" t="n"/>
      <c r="CG269" s="19" t="n"/>
      <c r="CH269" s="19" t="n"/>
      <c r="CI269" s="172" t="n">
        <v>-529.2</v>
      </c>
      <c r="CJ269" s="19" t="n"/>
      <c r="CK269" s="19" t="n"/>
      <c r="CL269" s="172" t="n">
        <v>144.8</v>
      </c>
      <c r="CM269" s="21" t="n"/>
      <c r="CN269" s="21" t="n"/>
      <c r="CO269" s="174">
        <f>SUM(CO264:CO268)</f>
        <v/>
      </c>
      <c r="CP269" s="174">
        <f>SUM(CP264:CP268)</f>
        <v/>
      </c>
      <c r="CQ269" s="174">
        <f>SUM(CQ264:CQ268)</f>
        <v/>
      </c>
      <c r="CR269" s="174">
        <f>SUM(CR264:CR268)</f>
        <v/>
      </c>
      <c r="CS269" s="174">
        <f>SUM(CS264:CS268)</f>
        <v/>
      </c>
      <c r="CT269" s="22" t="n"/>
      <c r="CV269" s="23" t="n"/>
      <c r="CW269" s="23" t="n"/>
      <c r="CX269" s="23" t="n"/>
      <c r="CY269" s="23" t="n"/>
    </row>
    <row r="270" ht="15" customHeight="1">
      <c r="B270" s="12" t="n"/>
      <c r="CM270" s="6" t="n"/>
      <c r="CN270" s="6" t="n"/>
      <c r="CO270" s="6" t="n"/>
      <c r="CP270" s="6" t="n"/>
      <c r="CQ270" s="6" t="n"/>
      <c r="CR270" s="6" t="n"/>
      <c r="CS270" s="6" t="n"/>
      <c r="CT270" s="6" t="n"/>
    </row>
    <row r="271" ht="15" customHeight="1">
      <c r="B271" s="12" t="inlineStr">
        <is>
          <t>Proceeds from debt / short-term borrowings</t>
        </is>
      </c>
      <c r="C271" s="169" t="n">
        <v>198.9</v>
      </c>
      <c r="D271" s="169" t="n">
        <v>3116.2</v>
      </c>
      <c r="E271" s="169" t="n">
        <v>949.1</v>
      </c>
      <c r="F271" s="169" t="n">
        <v>397.7</v>
      </c>
      <c r="G271" s="169" t="n">
        <v>499</v>
      </c>
      <c r="H271" s="169" t="n">
        <v>1100</v>
      </c>
      <c r="I271" s="169" t="n">
        <v>0</v>
      </c>
      <c r="J271" s="29" t="n"/>
      <c r="K271" s="29" t="n"/>
      <c r="L271" s="29" t="n"/>
      <c r="M271" s="29" t="n"/>
      <c r="N271" s="29" t="n"/>
      <c r="O271" s="169" t="n">
        <v>156</v>
      </c>
      <c r="P271" s="29" t="n"/>
      <c r="Q271" s="29" t="n"/>
      <c r="R271" s="29" t="n"/>
      <c r="S271" s="29" t="n"/>
      <c r="T271" s="29" t="n"/>
      <c r="U271" s="169" t="n">
        <v>93</v>
      </c>
      <c r="V271" s="29" t="n"/>
      <c r="W271" s="29" t="n"/>
      <c r="X271" s="29" t="n"/>
      <c r="Y271" s="29" t="n"/>
      <c r="Z271" s="29" t="n"/>
      <c r="AA271" s="169" t="n">
        <v>841</v>
      </c>
      <c r="AB271" s="29" t="n"/>
      <c r="AC271" s="29" t="n"/>
      <c r="AD271" s="29" t="n"/>
      <c r="AE271" s="29" t="n"/>
      <c r="AF271" s="29" t="n"/>
      <c r="AG271" s="169" t="n">
        <v>3</v>
      </c>
      <c r="AH271" s="29" t="n"/>
      <c r="AI271" s="29" t="n"/>
      <c r="AJ271" s="29" t="n"/>
      <c r="AK271" s="29" t="n"/>
      <c r="AL271" s="29" t="n"/>
      <c r="AM271" s="169" t="n">
        <v>2205</v>
      </c>
      <c r="AN271" s="29" t="n"/>
      <c r="AO271" s="29" t="n"/>
      <c r="AP271" s="29" t="n"/>
      <c r="AQ271" s="29" t="n"/>
      <c r="AR271" s="29" t="n"/>
      <c r="AS271" s="169" t="n">
        <v>1589.9</v>
      </c>
      <c r="AT271" s="29" t="n"/>
      <c r="AU271" s="29" t="n"/>
      <c r="AV271" s="29" t="n"/>
      <c r="AW271" s="29" t="n"/>
      <c r="AX271" s="29" t="n"/>
      <c r="AY271" s="169" t="n">
        <v>366.9</v>
      </c>
      <c r="AZ271" s="29" t="n"/>
      <c r="BA271" s="29" t="n"/>
      <c r="BB271" s="29" t="n"/>
      <c r="BC271" s="29" t="n"/>
      <c r="BD271" s="29" t="n"/>
      <c r="BE271" s="169" t="n">
        <v>750</v>
      </c>
      <c r="BF271" s="29" t="n"/>
      <c r="BG271" s="29" t="n"/>
      <c r="BH271" s="29" t="n"/>
      <c r="BI271" s="29" t="n"/>
      <c r="BJ271" s="29" t="n"/>
      <c r="BK271" s="169" t="n">
        <v>1600</v>
      </c>
      <c r="BL271" s="29" t="n"/>
      <c r="BM271" s="29" t="n"/>
      <c r="BN271" s="29" t="n"/>
      <c r="BO271" s="29" t="n"/>
      <c r="BP271" s="29" t="n"/>
      <c r="BQ271" s="169" t="n">
        <v>1911</v>
      </c>
      <c r="BR271" s="29" t="n"/>
      <c r="BS271" s="29" t="n"/>
      <c r="BT271" s="29" t="n"/>
      <c r="BU271" s="29" t="n"/>
      <c r="BV271" s="29" t="n"/>
      <c r="BW271" s="169" t="n">
        <v>716.1</v>
      </c>
      <c r="BX271" s="29" t="n"/>
      <c r="BY271" s="29" t="n"/>
      <c r="BZ271" s="29" t="n"/>
      <c r="CA271" s="29" t="n"/>
      <c r="CB271" s="29" t="n"/>
      <c r="CC271" s="169" t="n">
        <v>2008</v>
      </c>
      <c r="CD271" s="29" t="n"/>
      <c r="CE271" s="29" t="n"/>
      <c r="CF271" s="29" t="n"/>
      <c r="CG271" s="29" t="n"/>
      <c r="CH271" s="29" t="n"/>
      <c r="CI271" s="169" t="n">
        <v>0</v>
      </c>
      <c r="CJ271" s="29" t="n"/>
      <c r="CK271" s="29" t="n"/>
      <c r="CL271" s="30" t="n"/>
      <c r="CM271" s="31" t="n"/>
      <c r="CN271" s="31" t="n"/>
      <c r="CO271" s="171">
        <f>$CL$271+CO372+MAX(0,CO376-N($CL$326))</f>
        <v/>
      </c>
      <c r="CP271" s="171">
        <f>CP372+MAX(0,CP376-CO376)</f>
        <v/>
      </c>
      <c r="CQ271" s="171">
        <f>CQ372+MAX(0,CQ376-CP376)</f>
        <v/>
      </c>
      <c r="CR271" s="171">
        <f>CR372+MAX(0,CR376-CQ376)</f>
        <v/>
      </c>
      <c r="CS271" s="171">
        <f>CS372+MAX(0,CS376-CR376)</f>
        <v/>
      </c>
      <c r="CT271" s="22" t="n"/>
      <c r="CV271" s="6" t="n"/>
      <c r="CW271" s="6" t="n"/>
      <c r="CX271" s="6" t="n"/>
      <c r="CY271" s="6" t="n"/>
    </row>
    <row r="272" ht="15" customHeight="1">
      <c r="B272" s="12" t="inlineStr">
        <is>
          <t>Repayment of debt (incl. short-term, current maturities, finance leases)</t>
        </is>
      </c>
      <c r="C272" s="169" t="n">
        <v>-272.5</v>
      </c>
      <c r="D272" s="169" t="n">
        <v>-2.1</v>
      </c>
      <c r="E272" s="169" t="n">
        <v>-1057.8</v>
      </c>
      <c r="F272" s="169" t="n">
        <v>-1209.7</v>
      </c>
      <c r="G272" s="169" t="n">
        <v>-519.2</v>
      </c>
      <c r="H272" s="169" t="n">
        <v>-1028.6</v>
      </c>
      <c r="I272" s="169" t="n">
        <v>-134.8</v>
      </c>
      <c r="J272" s="29" t="n"/>
      <c r="K272" s="29" t="n"/>
      <c r="L272" s="29" t="n"/>
      <c r="M272" s="29" t="n"/>
      <c r="N272" s="29" t="n"/>
      <c r="O272" s="169" t="n">
        <v>-306.6</v>
      </c>
      <c r="P272" s="29" t="n"/>
      <c r="Q272" s="29" t="n"/>
      <c r="R272" s="29" t="n"/>
      <c r="S272" s="29" t="n"/>
      <c r="T272" s="29" t="n"/>
      <c r="U272" s="169" t="n">
        <v>-672.8</v>
      </c>
      <c r="V272" s="29" t="n"/>
      <c r="W272" s="29" t="n"/>
      <c r="X272" s="29" t="n"/>
      <c r="Y272" s="29" t="n"/>
      <c r="Z272" s="29" t="n"/>
      <c r="AA272" s="169" t="n">
        <v>-901.1</v>
      </c>
      <c r="AB272" s="29" t="n"/>
      <c r="AC272" s="29" t="n"/>
      <c r="AD272" s="29" t="n"/>
      <c r="AE272" s="29" t="n"/>
      <c r="AF272" s="29" t="n"/>
      <c r="AG272" s="169" t="n">
        <v>-3.1</v>
      </c>
      <c r="AH272" s="29" t="n"/>
      <c r="AI272" s="29" t="n"/>
      <c r="AJ272" s="29" t="n"/>
      <c r="AK272" s="29" t="n"/>
      <c r="AL272" s="29" t="n"/>
      <c r="AM272" s="169" t="n">
        <v>-1468.3</v>
      </c>
      <c r="AN272" s="29" t="n"/>
      <c r="AO272" s="29" t="n"/>
      <c r="AP272" s="29" t="n"/>
      <c r="AQ272" s="29" t="n"/>
      <c r="AR272" s="29" t="n"/>
      <c r="AS272" s="169" t="n">
        <v>-1499</v>
      </c>
      <c r="AT272" s="29" t="n"/>
      <c r="AU272" s="29" t="n"/>
      <c r="AV272" s="29" t="n"/>
      <c r="AW272" s="29" t="n"/>
      <c r="AX272" s="29" t="n"/>
      <c r="AY272" s="169" t="n">
        <v>-499.9</v>
      </c>
      <c r="AZ272" s="29" t="n"/>
      <c r="BA272" s="29" t="n"/>
      <c r="BB272" s="29" t="n"/>
      <c r="BC272" s="29" t="n"/>
      <c r="BD272" s="29" t="n"/>
      <c r="BE272" s="169" t="n">
        <v>-250</v>
      </c>
      <c r="BF272" s="29" t="n"/>
      <c r="BG272" s="29" t="n"/>
      <c r="BH272" s="29" t="n"/>
      <c r="BI272" s="29" t="n"/>
      <c r="BJ272" s="29" t="n"/>
      <c r="BK272" s="169" t="n">
        <v>-1465.2</v>
      </c>
      <c r="BL272" s="29" t="n"/>
      <c r="BM272" s="29" t="n"/>
      <c r="BN272" s="29" t="n"/>
      <c r="BO272" s="29" t="n"/>
      <c r="BP272" s="29" t="n"/>
      <c r="BQ272" s="169" t="n">
        <v>-1852.5</v>
      </c>
      <c r="BR272" s="29" t="n"/>
      <c r="BS272" s="29" t="n"/>
      <c r="BT272" s="29" t="n"/>
      <c r="BU272" s="29" t="n"/>
      <c r="BV272" s="29" t="n"/>
      <c r="BW272" s="169" t="n">
        <v>-847.4</v>
      </c>
      <c r="BX272" s="29" t="n"/>
      <c r="BY272" s="29" t="n"/>
      <c r="BZ272" s="29" t="n"/>
      <c r="CA272" s="29" t="n"/>
      <c r="CB272" s="29" t="n"/>
      <c r="CC272" s="169" t="n">
        <v>-571.5</v>
      </c>
      <c r="CD272" s="29" t="n"/>
      <c r="CE272" s="29" t="n"/>
      <c r="CF272" s="29" t="n"/>
      <c r="CG272" s="29" t="n"/>
      <c r="CH272" s="29" t="n"/>
      <c r="CI272" s="169" t="n">
        <v>-961.4</v>
      </c>
      <c r="CJ272" s="29" t="n"/>
      <c r="CK272" s="29" t="n"/>
      <c r="CL272" s="169" t="n">
        <v>-55.2</v>
      </c>
      <c r="CM272" s="31" t="n"/>
      <c r="CN272" s="31" t="n"/>
      <c r="CO272" s="171">
        <f>$CL$272+CO370+MIN(0,CO376-N($CL$326))</f>
        <v/>
      </c>
      <c r="CP272" s="171">
        <f>CP370+MIN(0,CP376-CO376)</f>
        <v/>
      </c>
      <c r="CQ272" s="171">
        <f>CQ370+MIN(0,CQ376-CP376)</f>
        <v/>
      </c>
      <c r="CR272" s="171">
        <f>CR370+MIN(0,CR376-CQ376)</f>
        <v/>
      </c>
      <c r="CS272" s="171">
        <f>CS370+MIN(0,CS376-CR376)</f>
        <v/>
      </c>
      <c r="CT272" s="22" t="inlineStr">
        <is>
          <t>Net issuance / (repayment) = change in total debt per the debt schedule (row below).</t>
        </is>
      </c>
      <c r="CV272" s="6" t="n"/>
      <c r="CW272" s="6" t="n"/>
      <c r="CX272" s="6" t="n"/>
      <c r="CY272" s="6" t="n"/>
    </row>
    <row r="273" ht="15" customHeight="1">
      <c r="B273" s="12" t="inlineStr">
        <is>
          <t>Purchases of common stock (share repurchases)</t>
        </is>
      </c>
      <c r="C273" s="169" t="n">
        <v>-522.8</v>
      </c>
      <c r="D273" s="169" t="n">
        <v>-4.8</v>
      </c>
      <c r="E273" s="169" t="n">
        <v>0</v>
      </c>
      <c r="F273" s="169" t="n">
        <v>0</v>
      </c>
      <c r="G273" s="169" t="n">
        <v>0</v>
      </c>
      <c r="H273" s="169" t="n">
        <v>0</v>
      </c>
      <c r="I273" s="169" t="n">
        <v>0</v>
      </c>
      <c r="J273" s="29" t="n"/>
      <c r="K273" s="29" t="n"/>
      <c r="L273" s="29" t="n"/>
      <c r="M273" s="29" t="n"/>
      <c r="N273" s="29" t="n"/>
      <c r="O273" s="169" t="n">
        <v>0</v>
      </c>
      <c r="P273" s="29" t="n"/>
      <c r="Q273" s="29" t="n"/>
      <c r="R273" s="29" t="n"/>
      <c r="S273" s="29" t="n"/>
      <c r="T273" s="29" t="n"/>
      <c r="U273" s="169" t="n">
        <v>0</v>
      </c>
      <c r="V273" s="29" t="n"/>
      <c r="W273" s="29" t="n"/>
      <c r="X273" s="29" t="n"/>
      <c r="Y273" s="29" t="n"/>
      <c r="Z273" s="29" t="n"/>
      <c r="AA273" s="169" t="n">
        <v>-21.5</v>
      </c>
      <c r="AB273" s="29" t="n"/>
      <c r="AC273" s="29" t="n"/>
      <c r="AD273" s="29" t="n"/>
      <c r="AE273" s="29" t="n"/>
      <c r="AF273" s="29" t="n"/>
      <c r="AG273" s="169" t="n">
        <v>-161.5</v>
      </c>
      <c r="AH273" s="29" t="n"/>
      <c r="AI273" s="29" t="n"/>
      <c r="AJ273" s="29" t="n"/>
      <c r="AK273" s="29" t="n"/>
      <c r="AL273" s="29" t="n"/>
      <c r="AM273" s="169" t="n">
        <v>-60.3</v>
      </c>
      <c r="AN273" s="29" t="n"/>
      <c r="AO273" s="29" t="n"/>
      <c r="AP273" s="29" t="n"/>
      <c r="AQ273" s="29" t="n"/>
      <c r="AR273" s="29" t="n"/>
      <c r="AS273" s="169" t="n">
        <v>-134</v>
      </c>
      <c r="AT273" s="29" t="n"/>
      <c r="AU273" s="29" t="n"/>
      <c r="AV273" s="29" t="n"/>
      <c r="AW273" s="29" t="n"/>
      <c r="AX273" s="29" t="n"/>
      <c r="AY273" s="169" t="n">
        <v>-2.6</v>
      </c>
      <c r="AZ273" s="29" t="n"/>
      <c r="BA273" s="29" t="n"/>
      <c r="BB273" s="29" t="n"/>
      <c r="BC273" s="29" t="n"/>
      <c r="BD273" s="29" t="n"/>
      <c r="BE273" s="169" t="n">
        <v>-26.1</v>
      </c>
      <c r="BF273" s="29" t="n"/>
      <c r="BG273" s="29" t="n"/>
      <c r="BH273" s="29" t="n"/>
      <c r="BI273" s="29" t="n"/>
      <c r="BJ273" s="29" t="n"/>
      <c r="BK273" s="169" t="n">
        <v>0</v>
      </c>
      <c r="BL273" s="29" t="n"/>
      <c r="BM273" s="29" t="n"/>
      <c r="BN273" s="29" t="n"/>
      <c r="BO273" s="29" t="n"/>
      <c r="BP273" s="29" t="n"/>
      <c r="BQ273" s="169" t="n">
        <v>0</v>
      </c>
      <c r="BR273" s="29" t="n"/>
      <c r="BS273" s="29" t="n"/>
      <c r="BT273" s="29" t="n"/>
      <c r="BU273" s="29" t="n"/>
      <c r="BV273" s="29" t="n"/>
      <c r="BW273" s="169" t="n">
        <v>-200</v>
      </c>
      <c r="BX273" s="29" t="n"/>
      <c r="BY273" s="29" t="n"/>
      <c r="BZ273" s="29" t="n"/>
      <c r="CA273" s="29" t="n"/>
      <c r="CB273" s="29" t="n"/>
      <c r="CC273" s="169" t="n">
        <v>-68.8</v>
      </c>
      <c r="CD273" s="29" t="n"/>
      <c r="CE273" s="29" t="n"/>
      <c r="CF273" s="29" t="n"/>
      <c r="CG273" s="29" t="n"/>
      <c r="CH273" s="29" t="n"/>
      <c r="CI273" s="169" t="n">
        <v>-438.4</v>
      </c>
      <c r="CJ273" s="29" t="n"/>
      <c r="CK273" s="29" t="n"/>
      <c r="CL273" s="169" t="n">
        <v>-399.8</v>
      </c>
      <c r="CM273" s="31" t="n"/>
      <c r="CN273" s="31" t="n"/>
      <c r="CO273" s="171">
        <f>$CL$273-CHOOSE(MATCH($CT$2,{"Bull","Base","Bear"},0),$DC$77,$DD$77,$DE$77)</f>
        <v/>
      </c>
      <c r="CP273" s="171">
        <f>-CP386</f>
        <v/>
      </c>
      <c r="CQ273" s="171">
        <f>-CQ386</f>
        <v/>
      </c>
      <c r="CR273" s="171">
        <f>-CR386</f>
        <v/>
      </c>
      <c r="CS273" s="171">
        <f>-CS386</f>
        <v/>
      </c>
      <c r="CT273" s="22" t="inlineStr">
        <is>
          <t>2026E = 1H/26 actual + 2H scenario amount; 2027E+ = leverage plug: surplus cash returned via buybacks so net debt / Adjusted EBITDA does not fall below the scenario floor.</t>
        </is>
      </c>
      <c r="CV273" s="6" t="n"/>
      <c r="CW273" s="6" t="n"/>
      <c r="CX273" s="6" t="n"/>
      <c r="CY273" s="6" t="n"/>
    </row>
    <row r="274" ht="15" customHeight="1">
      <c r="B274" s="12" t="inlineStr">
        <is>
          <t>Dividends paid</t>
        </is>
      </c>
      <c r="C274" s="169" t="n">
        <v>-144.1</v>
      </c>
      <c r="D274" s="169" t="n">
        <v>-181.3</v>
      </c>
      <c r="E274" s="169" t="n">
        <v>-214.8</v>
      </c>
      <c r="F274" s="169" t="n">
        <v>-171.5</v>
      </c>
      <c r="G274" s="169" t="n">
        <v>-127.8</v>
      </c>
      <c r="H274" s="169" t="n">
        <v>-98.2</v>
      </c>
      <c r="I274" s="169" t="n">
        <v>-5.2</v>
      </c>
      <c r="J274" s="29" t="n"/>
      <c r="K274" s="29" t="n"/>
      <c r="L274" s="29" t="n"/>
      <c r="M274" s="29" t="n"/>
      <c r="N274" s="29" t="n"/>
      <c r="O274" s="169" t="n">
        <v>-5.2</v>
      </c>
      <c r="P274" s="29" t="n"/>
      <c r="Q274" s="29" t="n"/>
      <c r="R274" s="29" t="n"/>
      <c r="S274" s="29" t="n"/>
      <c r="T274" s="29" t="n"/>
      <c r="U274" s="169" t="n">
        <v>-28.9</v>
      </c>
      <c r="V274" s="29" t="n"/>
      <c r="W274" s="29" t="n"/>
      <c r="X274" s="29" t="n"/>
      <c r="Y274" s="29" t="n"/>
      <c r="Z274" s="29" t="n"/>
      <c r="AA274" s="169" t="n">
        <v>-53.2</v>
      </c>
      <c r="AB274" s="29" t="n"/>
      <c r="AC274" s="29" t="n"/>
      <c r="AD274" s="29" t="n"/>
      <c r="AE274" s="29" t="n"/>
      <c r="AF274" s="29" t="n"/>
      <c r="AG274" s="169" t="n">
        <v>-106.3</v>
      </c>
      <c r="AH274" s="29" t="n"/>
      <c r="AI274" s="29" t="n"/>
      <c r="AJ274" s="29" t="n"/>
      <c r="AK274" s="29" t="n"/>
      <c r="AL274" s="29" t="n"/>
      <c r="AM274" s="169" t="n">
        <v>-132.3</v>
      </c>
      <c r="AN274" s="29" t="n"/>
      <c r="AO274" s="29" t="n"/>
      <c r="AP274" s="29" t="n"/>
      <c r="AQ274" s="29" t="n"/>
      <c r="AR274" s="29" t="n"/>
      <c r="AS274" s="169" t="n">
        <v>-148.1</v>
      </c>
      <c r="AT274" s="29" t="n"/>
      <c r="AU274" s="29" t="n"/>
      <c r="AV274" s="29" t="n"/>
      <c r="AW274" s="29" t="n"/>
      <c r="AX274" s="29" t="n"/>
      <c r="AY274" s="169" t="n">
        <v>-164</v>
      </c>
      <c r="AZ274" s="29" t="n"/>
      <c r="BA274" s="29" t="n"/>
      <c r="BB274" s="29" t="n"/>
      <c r="BC274" s="29" t="n"/>
      <c r="BD274" s="29" t="n"/>
      <c r="BE274" s="169" t="n">
        <v>-180.2</v>
      </c>
      <c r="BF274" s="29" t="n"/>
      <c r="BG274" s="29" t="n"/>
      <c r="BH274" s="29" t="n"/>
      <c r="BI274" s="29" t="n"/>
      <c r="BJ274" s="29" t="n"/>
      <c r="BK274" s="169" t="n">
        <v>-196.4</v>
      </c>
      <c r="BL274" s="29" t="n"/>
      <c r="BM274" s="29" t="n"/>
      <c r="BN274" s="29" t="n"/>
      <c r="BO274" s="29" t="n"/>
      <c r="BP274" s="29" t="n"/>
      <c r="BQ274" s="169" t="n">
        <v>-212.6</v>
      </c>
      <c r="BR274" s="29" t="n"/>
      <c r="BS274" s="29" t="n"/>
      <c r="BT274" s="29" t="n"/>
      <c r="BU274" s="29" t="n"/>
      <c r="BV274" s="29" t="n"/>
      <c r="BW274" s="169" t="n">
        <v>-228.4</v>
      </c>
      <c r="BX274" s="29" t="n"/>
      <c r="BY274" s="29" t="n"/>
      <c r="BZ274" s="29" t="n"/>
      <c r="CA274" s="29" t="n"/>
      <c r="CB274" s="29" t="n"/>
      <c r="CC274" s="169" t="n">
        <v>-244.4</v>
      </c>
      <c r="CD274" s="29" t="n"/>
      <c r="CE274" s="29" t="n"/>
      <c r="CF274" s="29" t="n"/>
      <c r="CG274" s="29" t="n"/>
      <c r="CH274" s="29" t="n"/>
      <c r="CI274" s="169" t="n">
        <v>-259.8</v>
      </c>
      <c r="CJ274" s="29" t="n"/>
      <c r="CK274" s="29" t="n"/>
      <c r="CL274" s="169" t="n">
        <v>-135.4</v>
      </c>
      <c r="CM274" s="31" t="n"/>
      <c r="CN274" s="31" t="n"/>
      <c r="CO274" s="171">
        <f>$CL$274-(CM170+CN170)*$CL$352</f>
        <v/>
      </c>
      <c r="CP274" s="171">
        <f>-CP170*CO300</f>
        <v/>
      </c>
      <c r="CQ274" s="171">
        <f>-CQ170*CP300</f>
        <v/>
      </c>
      <c r="CR274" s="171">
        <f>-CR170*CQ300</f>
        <v/>
      </c>
      <c r="CS274" s="171">
        <f>-CS170*CR300</f>
        <v/>
      </c>
      <c r="CT274" s="22" t="inlineStr">
        <is>
          <t>Dividends = DPS × opening shares outstanding (avoids a buyback ↔ dividend circularity).</t>
        </is>
      </c>
      <c r="CV274" s="6" t="n"/>
      <c r="CW274" s="6" t="n"/>
      <c r="CX274" s="6" t="n"/>
      <c r="CY274" s="6" t="n"/>
    </row>
    <row r="275" ht="15" customHeight="1">
      <c r="B275" s="12" t="inlineStr">
        <is>
          <t>Proceeds from issuance of common stock (option exercises)</t>
        </is>
      </c>
      <c r="C275" s="169" t="n">
        <v>28.9</v>
      </c>
      <c r="D275" s="169" t="n">
        <v>35.1</v>
      </c>
      <c r="E275" s="169" t="n">
        <v>79.7</v>
      </c>
      <c r="F275" s="169" t="n">
        <v>623.9</v>
      </c>
      <c r="G275" s="169" t="n">
        <v>62.2</v>
      </c>
      <c r="H275" s="169" t="n">
        <v>8.6</v>
      </c>
      <c r="I275" s="169" t="n">
        <v>10.5</v>
      </c>
      <c r="J275" s="29" t="n"/>
      <c r="K275" s="29" t="n"/>
      <c r="L275" s="29" t="n"/>
      <c r="M275" s="29" t="n"/>
      <c r="N275" s="29" t="n"/>
      <c r="O275" s="169" t="n">
        <v>13.6</v>
      </c>
      <c r="P275" s="29" t="n"/>
      <c r="Q275" s="29" t="n"/>
      <c r="R275" s="29" t="n"/>
      <c r="S275" s="29" t="n"/>
      <c r="T275" s="29" t="n"/>
      <c r="U275" s="169" t="n">
        <v>54.1</v>
      </c>
      <c r="V275" s="29" t="n"/>
      <c r="W275" s="29" t="n"/>
      <c r="X275" s="29" t="n"/>
      <c r="Y275" s="29" t="n"/>
      <c r="Z275" s="29" t="n"/>
      <c r="AA275" s="169" t="n">
        <v>73</v>
      </c>
      <c r="AB275" s="29" t="n"/>
      <c r="AC275" s="29" t="n"/>
      <c r="AD275" s="29" t="n"/>
      <c r="AE275" s="29" t="n"/>
      <c r="AF275" s="29" t="n"/>
      <c r="AG275" s="169" t="n">
        <v>0</v>
      </c>
      <c r="AH275" s="29" t="n"/>
      <c r="AI275" s="29" t="n"/>
      <c r="AJ275" s="29" t="n"/>
      <c r="AK275" s="29" t="n"/>
      <c r="AL275" s="29" t="n"/>
      <c r="AM275" s="169" t="n">
        <v>0</v>
      </c>
      <c r="AN275" s="29" t="n"/>
      <c r="AO275" s="29" t="n"/>
      <c r="AP275" s="29" t="n"/>
      <c r="AQ275" s="29" t="n"/>
      <c r="AR275" s="29" t="n"/>
      <c r="AS275" s="30" t="n"/>
      <c r="AT275" s="29" t="n"/>
      <c r="AU275" s="29" t="n"/>
      <c r="AV275" s="29" t="n"/>
      <c r="AW275" s="29" t="n"/>
      <c r="AX275" s="29" t="n"/>
      <c r="AY275" s="30" t="n"/>
      <c r="AZ275" s="29" t="n"/>
      <c r="BA275" s="29" t="n"/>
      <c r="BB275" s="29" t="n"/>
      <c r="BC275" s="29" t="n"/>
      <c r="BD275" s="29" t="n"/>
      <c r="BE275" s="30" t="n"/>
      <c r="BF275" s="29" t="n"/>
      <c r="BG275" s="29" t="n"/>
      <c r="BH275" s="29" t="n"/>
      <c r="BI275" s="29" t="n"/>
      <c r="BJ275" s="29" t="n"/>
      <c r="BK275" s="30" t="n"/>
      <c r="BL275" s="29" t="n"/>
      <c r="BM275" s="29" t="n"/>
      <c r="BN275" s="29" t="n"/>
      <c r="BO275" s="29" t="n"/>
      <c r="BP275" s="29" t="n"/>
      <c r="BQ275" s="30" t="n"/>
      <c r="BR275" s="29" t="n"/>
      <c r="BS275" s="29" t="n"/>
      <c r="BT275" s="29" t="n"/>
      <c r="BU275" s="29" t="n"/>
      <c r="BV275" s="29" t="n"/>
      <c r="BW275" s="30" t="n"/>
      <c r="BX275" s="29" t="n"/>
      <c r="BY275" s="29" t="n"/>
      <c r="BZ275" s="29" t="n"/>
      <c r="CA275" s="29" t="n"/>
      <c r="CB275" s="29" t="n"/>
      <c r="CC275" s="30" t="n"/>
      <c r="CD275" s="29" t="n"/>
      <c r="CE275" s="29" t="n"/>
      <c r="CF275" s="29" t="n"/>
      <c r="CG275" s="29" t="n"/>
      <c r="CH275" s="29" t="n"/>
      <c r="CI275" s="30" t="n"/>
      <c r="CJ275" s="29" t="n"/>
      <c r="CK275" s="29" t="n"/>
      <c r="CL275" s="30" t="n"/>
      <c r="CM275" s="31" t="n"/>
      <c r="CN275" s="31" t="n"/>
      <c r="CO275" s="171">
        <f>N($CL$275)</f>
        <v/>
      </c>
      <c r="CP275" s="183" t="n">
        <v>0</v>
      </c>
      <c r="CQ275" s="183" t="n">
        <v>0</v>
      </c>
      <c r="CR275" s="183" t="n">
        <v>0</v>
      </c>
      <c r="CS275" s="183" t="n">
        <v>0</v>
      </c>
      <c r="CT275" s="22" t="n"/>
      <c r="CV275" s="6" t="n"/>
      <c r="CW275" s="6" t="n"/>
      <c r="CX275" s="6" t="n"/>
      <c r="CY275" s="6" t="n"/>
    </row>
    <row r="276" ht="15" customHeight="1">
      <c r="B276" s="12" t="inlineStr">
        <is>
          <t>Other financing activities, net (shares withheld for taxes, NCI, debt costs)</t>
        </is>
      </c>
      <c r="C276" s="169" t="n">
        <v>17.4</v>
      </c>
      <c r="D276" s="169" t="n">
        <v>-37.2</v>
      </c>
      <c r="E276" s="169" t="n">
        <v>-27</v>
      </c>
      <c r="F276" s="169" t="n">
        <v>-1.3</v>
      </c>
      <c r="G276" s="169" t="n">
        <v>-3.3</v>
      </c>
      <c r="H276" s="169" t="n">
        <v>-23.1</v>
      </c>
      <c r="I276" s="169" t="n">
        <v>0.3</v>
      </c>
      <c r="J276" s="29" t="n"/>
      <c r="K276" s="29" t="n"/>
      <c r="L276" s="29" t="n"/>
      <c r="M276" s="29" t="n"/>
      <c r="N276" s="29" t="n"/>
      <c r="O276" s="169" t="n">
        <v>0.2</v>
      </c>
      <c r="P276" s="29" t="n"/>
      <c r="Q276" s="29" t="n"/>
      <c r="R276" s="29" t="n"/>
      <c r="S276" s="29" t="n"/>
      <c r="T276" s="29" t="n"/>
      <c r="U276" s="169" t="n">
        <v>3.5</v>
      </c>
      <c r="V276" s="29" t="n"/>
      <c r="W276" s="29" t="n"/>
      <c r="X276" s="29" t="n"/>
      <c r="Y276" s="29" t="n"/>
      <c r="Z276" s="29" t="n"/>
      <c r="AA276" s="169" t="n">
        <v>10.9</v>
      </c>
      <c r="AB276" s="29" t="n"/>
      <c r="AC276" s="29" t="n"/>
      <c r="AD276" s="29" t="n"/>
      <c r="AE276" s="29" t="n"/>
      <c r="AF276" s="29" t="n"/>
      <c r="AG276" s="169" t="n">
        <v>-36.7</v>
      </c>
      <c r="AH276" s="29" t="n"/>
      <c r="AI276" s="29" t="n"/>
      <c r="AJ276" s="29" t="n"/>
      <c r="AK276" s="29" t="n"/>
      <c r="AL276" s="29" t="n"/>
      <c r="AM276" s="169" t="n">
        <v>-40.6</v>
      </c>
      <c r="AN276" s="29" t="n"/>
      <c r="AO276" s="29" t="n"/>
      <c r="AP276" s="29" t="n"/>
      <c r="AQ276" s="29" t="n"/>
      <c r="AR276" s="29" t="n"/>
      <c r="AS276" s="169" t="n">
        <v>-74</v>
      </c>
      <c r="AT276" s="29" t="n"/>
      <c r="AU276" s="29" t="n"/>
      <c r="AV276" s="29" t="n"/>
      <c r="AW276" s="29" t="n"/>
      <c r="AX276" s="29" t="n"/>
      <c r="AY276" s="169" t="n">
        <v>-38.6</v>
      </c>
      <c r="AZ276" s="29" t="n"/>
      <c r="BA276" s="29" t="n"/>
      <c r="BB276" s="29" t="n"/>
      <c r="BC276" s="29" t="n"/>
      <c r="BD276" s="29" t="n"/>
      <c r="BE276" s="169" t="n">
        <v>-59</v>
      </c>
      <c r="BF276" s="29" t="n"/>
      <c r="BG276" s="29" t="n"/>
      <c r="BH276" s="29" t="n"/>
      <c r="BI276" s="29" t="n"/>
      <c r="BJ276" s="29" t="n"/>
      <c r="BK276" s="169" t="n">
        <v>-32.7</v>
      </c>
      <c r="BL276" s="29" t="n"/>
      <c r="BM276" s="29" t="n"/>
      <c r="BN276" s="29" t="n"/>
      <c r="BO276" s="29" t="n"/>
      <c r="BP276" s="29" t="n"/>
      <c r="BQ276" s="169" t="n">
        <v>-21.1</v>
      </c>
      <c r="BR276" s="29" t="n"/>
      <c r="BS276" s="29" t="n"/>
      <c r="BT276" s="29" t="n"/>
      <c r="BU276" s="29" t="n"/>
      <c r="BV276" s="29" t="n"/>
      <c r="BW276" s="169" t="n">
        <v>-25.9</v>
      </c>
      <c r="BX276" s="29" t="n"/>
      <c r="BY276" s="29" t="n"/>
      <c r="BZ276" s="29" t="n"/>
      <c r="CA276" s="29" t="n"/>
      <c r="CB276" s="29" t="n"/>
      <c r="CC276" s="169" t="n">
        <v>-66.40000000000001</v>
      </c>
      <c r="CD276" s="29" t="n"/>
      <c r="CE276" s="29" t="n"/>
      <c r="CF276" s="29" t="n"/>
      <c r="CG276" s="29" t="n"/>
      <c r="CH276" s="29" t="n"/>
      <c r="CI276" s="169" t="n">
        <v>-35.6</v>
      </c>
      <c r="CJ276" s="29" t="n"/>
      <c r="CK276" s="29" t="n"/>
      <c r="CL276" s="169" t="n">
        <v>-39.7</v>
      </c>
      <c r="CM276" s="31" t="n"/>
      <c r="CN276" s="31" t="n"/>
      <c r="CO276" s="171">
        <f>$CL$276</f>
        <v/>
      </c>
      <c r="CP276" s="183" t="n">
        <v>-30</v>
      </c>
      <c r="CQ276" s="183" t="n">
        <v>-30</v>
      </c>
      <c r="CR276" s="183" t="n">
        <v>-30</v>
      </c>
      <c r="CS276" s="183" t="n">
        <v>-30</v>
      </c>
      <c r="CT276" s="22" t="n"/>
      <c r="CV276" s="6" t="n"/>
      <c r="CW276" s="6" t="n"/>
      <c r="CX276" s="6" t="n"/>
      <c r="CY276" s="6" t="n"/>
    </row>
    <row r="277" ht="15" customHeight="1">
      <c r="B277" s="18" t="inlineStr">
        <is>
          <t>Net cash provided by (used for) financing activities</t>
        </is>
      </c>
      <c r="C277" s="172" t="n">
        <v>-694.2</v>
      </c>
      <c r="D277" s="172" t="n">
        <v>2925.8</v>
      </c>
      <c r="E277" s="172" t="n">
        <v>-270.8</v>
      </c>
      <c r="F277" s="172" t="n">
        <v>-361</v>
      </c>
      <c r="G277" s="172" t="n">
        <v>-89.09999999999999</v>
      </c>
      <c r="H277" s="172" t="n">
        <v>-41.3</v>
      </c>
      <c r="I277" s="172" t="n">
        <v>-129.2</v>
      </c>
      <c r="J277" s="19" t="n"/>
      <c r="K277" s="19" t="n"/>
      <c r="L277" s="19" t="n"/>
      <c r="M277" s="19" t="n"/>
      <c r="N277" s="19" t="n"/>
      <c r="O277" s="172" t="n">
        <v>-142</v>
      </c>
      <c r="P277" s="19" t="n"/>
      <c r="Q277" s="19" t="n"/>
      <c r="R277" s="19" t="n"/>
      <c r="S277" s="19" t="n"/>
      <c r="T277" s="19" t="n"/>
      <c r="U277" s="172" t="n">
        <v>-551.1</v>
      </c>
      <c r="V277" s="19" t="n"/>
      <c r="W277" s="19" t="n"/>
      <c r="X277" s="19" t="n"/>
      <c r="Y277" s="19" t="n"/>
      <c r="Z277" s="19" t="n"/>
      <c r="AA277" s="172" t="n">
        <v>-50.8</v>
      </c>
      <c r="AB277" s="19" t="n"/>
      <c r="AC277" s="19" t="n"/>
      <c r="AD277" s="19" t="n"/>
      <c r="AE277" s="19" t="n"/>
      <c r="AF277" s="19" t="n"/>
      <c r="AG277" s="172" t="n">
        <v>-304.6</v>
      </c>
      <c r="AH277" s="19" t="n"/>
      <c r="AI277" s="19" t="n"/>
      <c r="AJ277" s="19" t="n"/>
      <c r="AK277" s="19" t="n"/>
      <c r="AL277" s="19" t="n"/>
      <c r="AM277" s="172" t="n">
        <v>503.4</v>
      </c>
      <c r="AN277" s="19" t="n"/>
      <c r="AO277" s="19" t="n"/>
      <c r="AP277" s="19" t="n"/>
      <c r="AQ277" s="19" t="n"/>
      <c r="AR277" s="19" t="n"/>
      <c r="AS277" s="172" t="n">
        <v>-265.1</v>
      </c>
      <c r="AT277" s="19" t="n"/>
      <c r="AU277" s="19" t="n"/>
      <c r="AV277" s="19" t="n"/>
      <c r="AW277" s="19" t="n"/>
      <c r="AX277" s="19" t="n"/>
      <c r="AY277" s="172" t="n">
        <v>-338.2</v>
      </c>
      <c r="AZ277" s="19" t="n"/>
      <c r="BA277" s="19" t="n"/>
      <c r="BB277" s="19" t="n"/>
      <c r="BC277" s="19" t="n"/>
      <c r="BD277" s="19" t="n"/>
      <c r="BE277" s="172" t="n">
        <v>234.7</v>
      </c>
      <c r="BF277" s="19" t="n"/>
      <c r="BG277" s="19" t="n"/>
      <c r="BH277" s="19" t="n"/>
      <c r="BI277" s="19" t="n"/>
      <c r="BJ277" s="19" t="n"/>
      <c r="BK277" s="172" t="n">
        <v>-94.3</v>
      </c>
      <c r="BL277" s="19" t="n"/>
      <c r="BM277" s="19" t="n"/>
      <c r="BN277" s="19" t="n"/>
      <c r="BO277" s="19" t="n"/>
      <c r="BP277" s="19" t="n"/>
      <c r="BQ277" s="172" t="n">
        <v>-175.2</v>
      </c>
      <c r="BR277" s="19" t="n"/>
      <c r="BS277" s="19" t="n"/>
      <c r="BT277" s="19" t="n"/>
      <c r="BU277" s="19" t="n"/>
      <c r="BV277" s="19" t="n"/>
      <c r="BW277" s="172" t="n">
        <v>-585.6</v>
      </c>
      <c r="BX277" s="19" t="n"/>
      <c r="BY277" s="19" t="n"/>
      <c r="BZ277" s="19" t="n"/>
      <c r="CA277" s="19" t="n"/>
      <c r="CB277" s="19" t="n"/>
      <c r="CC277" s="172" t="n">
        <v>1056.9</v>
      </c>
      <c r="CD277" s="19" t="n"/>
      <c r="CE277" s="19" t="n"/>
      <c r="CF277" s="19" t="n"/>
      <c r="CG277" s="19" t="n"/>
      <c r="CH277" s="19" t="n"/>
      <c r="CI277" s="172" t="n">
        <v>-1695.2</v>
      </c>
      <c r="CJ277" s="19" t="n"/>
      <c r="CK277" s="19" t="n"/>
      <c r="CL277" s="172" t="n">
        <v>-630.1</v>
      </c>
      <c r="CM277" s="21" t="n"/>
      <c r="CN277" s="21" t="n"/>
      <c r="CO277" s="174">
        <f>SUM(CO271:CO276)</f>
        <v/>
      </c>
      <c r="CP277" s="174">
        <f>SUM(CP271:CP276)</f>
        <v/>
      </c>
      <c r="CQ277" s="174">
        <f>SUM(CQ271:CQ276)</f>
        <v/>
      </c>
      <c r="CR277" s="174">
        <f>SUM(CR271:CR276)</f>
        <v/>
      </c>
      <c r="CS277" s="174">
        <f>SUM(CS271:CS276)</f>
        <v/>
      </c>
      <c r="CT277" s="22" t="n"/>
      <c r="CV277" s="23" t="n"/>
      <c r="CW277" s="23" t="n"/>
      <c r="CX277" s="23" t="n"/>
      <c r="CY277" s="23" t="n"/>
    </row>
    <row r="278" ht="15" customHeight="1">
      <c r="B278" s="12" t="n"/>
      <c r="CM278" s="6" t="n"/>
      <c r="CN278" s="6" t="n"/>
      <c r="CO278" s="6" t="n"/>
      <c r="CP278" s="6" t="n"/>
      <c r="CQ278" s="6" t="n"/>
      <c r="CR278" s="6" t="n"/>
      <c r="CS278" s="6" t="n"/>
      <c r="CT278" s="6" t="n"/>
    </row>
    <row r="279" ht="15" customHeight="1">
      <c r="B279" s="12" t="inlineStr">
        <is>
          <t>Net increase (decrease) in cash (and restricted cash from 2017)</t>
        </is>
      </c>
      <c r="C279" s="169" t="n">
        <v>-219.9</v>
      </c>
      <c r="D279" s="169" t="n">
        <v>-20.3</v>
      </c>
      <c r="E279" s="169" t="n">
        <v>-24.7</v>
      </c>
      <c r="F279" s="169" t="n">
        <v>12.1</v>
      </c>
      <c r="G279" s="169" t="n">
        <v>25.3</v>
      </c>
      <c r="H279" s="169" t="n">
        <v>108.3</v>
      </c>
      <c r="I279" s="169" t="n">
        <v>119.6</v>
      </c>
      <c r="J279" s="29" t="n"/>
      <c r="K279" s="29" t="n"/>
      <c r="L279" s="29" t="n"/>
      <c r="M279" s="29" t="n"/>
      <c r="N279" s="29" t="n"/>
      <c r="O279" s="169" t="n">
        <v>-81.7</v>
      </c>
      <c r="P279" s="29" t="n"/>
      <c r="Q279" s="29" t="n"/>
      <c r="R279" s="29" t="n"/>
      <c r="S279" s="29" t="n"/>
      <c r="T279" s="29" t="n"/>
      <c r="U279" s="169" t="n">
        <v>-52.5</v>
      </c>
      <c r="V279" s="29" t="n"/>
      <c r="W279" s="29" t="n"/>
      <c r="X279" s="29" t="n"/>
      <c r="Y279" s="29" t="n"/>
      <c r="Z279" s="29" t="n"/>
      <c r="AA279" s="169" t="n">
        <v>142.8</v>
      </c>
      <c r="AB279" s="29" t="n"/>
      <c r="AC279" s="29" t="n"/>
      <c r="AD279" s="29" t="n"/>
      <c r="AE279" s="29" t="n"/>
      <c r="AF279" s="29" t="n"/>
      <c r="AG279" s="169" t="n">
        <v>-25.1</v>
      </c>
      <c r="AH279" s="29" t="n"/>
      <c r="AI279" s="29" t="n"/>
      <c r="AJ279" s="29" t="n"/>
      <c r="AK279" s="29" t="n"/>
      <c r="AL279" s="29" t="n"/>
      <c r="AM279" s="169" t="n">
        <v>-121.4</v>
      </c>
      <c r="AN279" s="29" t="n"/>
      <c r="AO279" s="29" t="n"/>
      <c r="AP279" s="29" t="n"/>
      <c r="AQ279" s="29" t="n"/>
      <c r="AR279" s="29" t="n"/>
      <c r="AS279" s="169" t="n">
        <v>-102.2</v>
      </c>
      <c r="AT279" s="29" t="n"/>
      <c r="AU279" s="29" t="n"/>
      <c r="AV279" s="29" t="n"/>
      <c r="AW279" s="29" t="n"/>
      <c r="AX279" s="29" t="n"/>
      <c r="AY279" s="169" t="n">
        <v>230.1</v>
      </c>
      <c r="AZ279" s="29" t="n"/>
      <c r="BA279" s="29" t="n"/>
      <c r="BB279" s="29" t="n"/>
      <c r="BC279" s="29" t="n"/>
      <c r="BD279" s="29" t="n"/>
      <c r="BE279" s="169" t="n">
        <v>923.5</v>
      </c>
      <c r="BF279" s="29" t="n"/>
      <c r="BG279" s="29" t="n"/>
      <c r="BH279" s="29" t="n"/>
      <c r="BI279" s="29" t="n"/>
      <c r="BJ279" s="29" t="n"/>
      <c r="BK279" s="169" t="n">
        <v>-956.5</v>
      </c>
      <c r="BL279" s="29" t="n"/>
      <c r="BM279" s="29" t="n"/>
      <c r="BN279" s="29" t="n"/>
      <c r="BO279" s="29" t="n"/>
      <c r="BP279" s="29" t="n"/>
      <c r="BQ279" s="169" t="n">
        <v>-80</v>
      </c>
      <c r="BR279" s="29" t="n"/>
      <c r="BS279" s="29" t="n"/>
      <c r="BT279" s="29" t="n"/>
      <c r="BU279" s="29" t="n"/>
      <c r="BV279" s="29" t="n"/>
      <c r="BW279" s="169" t="n">
        <v>787.7</v>
      </c>
      <c r="BX279" s="29" t="n"/>
      <c r="BY279" s="29" t="n"/>
      <c r="BZ279" s="29" t="n"/>
      <c r="CA279" s="29" t="n"/>
      <c r="CB279" s="29" t="n"/>
      <c r="CC279" s="169" t="n">
        <v>-348.4</v>
      </c>
      <c r="CD279" s="29" t="n"/>
      <c r="CE279" s="29" t="n"/>
      <c r="CF279" s="29" t="n"/>
      <c r="CG279" s="29" t="n"/>
      <c r="CH279" s="29" t="n"/>
      <c r="CI279" s="169" t="n">
        <v>-411.4</v>
      </c>
      <c r="CJ279" s="29" t="n"/>
      <c r="CK279" s="29" t="n"/>
      <c r="CL279" s="169" t="n">
        <v>99.3</v>
      </c>
      <c r="CM279" s="31" t="n"/>
      <c r="CN279" s="31" t="n"/>
      <c r="CO279" s="171">
        <f>CO263+CO269+CO277</f>
        <v/>
      </c>
      <c r="CP279" s="171">
        <f>CP263+CP269+CP277</f>
        <v/>
      </c>
      <c r="CQ279" s="171">
        <f>CQ263+CQ269+CQ277</f>
        <v/>
      </c>
      <c r="CR279" s="171">
        <f>CR263+CR269+CR277</f>
        <v/>
      </c>
      <c r="CS279" s="171">
        <f>CS263+CS269+CS277</f>
        <v/>
      </c>
      <c r="CT279" s="22" t="n"/>
      <c r="CV279" s="6" t="n"/>
      <c r="CW279" s="6" t="n"/>
      <c r="CX279" s="6" t="n"/>
      <c r="CY279" s="6" t="n"/>
    </row>
    <row r="280" ht="15" customHeight="1">
      <c r="B280" s="12" t="inlineStr">
        <is>
          <t>Cash — beginning of period</t>
        </is>
      </c>
      <c r="C280" s="169" t="n">
        <v>275.1</v>
      </c>
      <c r="D280" s="169" t="n">
        <v>55.2</v>
      </c>
      <c r="E280" s="169" t="n">
        <v>34.9</v>
      </c>
      <c r="F280" s="169" t="n">
        <v>10.2</v>
      </c>
      <c r="G280" s="169" t="n">
        <v>22.3</v>
      </c>
      <c r="H280" s="169" t="n">
        <v>47.5</v>
      </c>
      <c r="I280" s="169" t="n">
        <v>155.8</v>
      </c>
      <c r="J280" s="29" t="n"/>
      <c r="K280" s="29" t="n"/>
      <c r="L280" s="29" t="n"/>
      <c r="M280" s="29" t="n"/>
      <c r="N280" s="29" t="n"/>
      <c r="O280" s="169" t="n">
        <v>275.5</v>
      </c>
      <c r="P280" s="29" t="n"/>
      <c r="Q280" s="29" t="n"/>
      <c r="R280" s="29" t="n"/>
      <c r="S280" s="29" t="n"/>
      <c r="T280" s="29" t="n"/>
      <c r="U280" s="169" t="n">
        <v>193.7</v>
      </c>
      <c r="V280" s="29" t="n"/>
      <c r="W280" s="29" t="n"/>
      <c r="X280" s="29" t="n"/>
      <c r="Y280" s="29" t="n"/>
      <c r="Z280" s="29" t="n"/>
      <c r="AA280" s="169" t="n">
        <v>141.3</v>
      </c>
      <c r="AB280" s="29" t="n"/>
      <c r="AC280" s="29" t="n"/>
      <c r="AD280" s="29" t="n"/>
      <c r="AE280" s="29" t="n"/>
      <c r="AF280" s="29" t="n"/>
      <c r="AG280" s="169" t="n">
        <v>284.1</v>
      </c>
      <c r="AH280" s="29" t="n"/>
      <c r="AI280" s="29" t="n"/>
      <c r="AJ280" s="29" t="n"/>
      <c r="AK280" s="29" t="n"/>
      <c r="AL280" s="29" t="n"/>
      <c r="AM280" s="169" t="n">
        <v>268</v>
      </c>
      <c r="AN280" s="29" t="n"/>
      <c r="AO280" s="29" t="n"/>
      <c r="AP280" s="29" t="n"/>
      <c r="AQ280" s="29" t="n"/>
      <c r="AR280" s="29" t="n"/>
      <c r="AS280" s="169" t="n">
        <v>146.6</v>
      </c>
      <c r="AT280" s="29" t="n"/>
      <c r="AU280" s="29" t="n"/>
      <c r="AV280" s="29" t="n"/>
      <c r="AW280" s="29" t="n"/>
      <c r="AX280" s="29" t="n"/>
      <c r="AY280" s="169" t="n">
        <v>44.4</v>
      </c>
      <c r="AZ280" s="29" t="n"/>
      <c r="BA280" s="29" t="n"/>
      <c r="BB280" s="29" t="n"/>
      <c r="BC280" s="29" t="n"/>
      <c r="BD280" s="29" t="n"/>
      <c r="BE280" s="169" t="n">
        <v>274.5</v>
      </c>
      <c r="BF280" s="29" t="n"/>
      <c r="BG280" s="29" t="n"/>
      <c r="BH280" s="29" t="n"/>
      <c r="BI280" s="29" t="n"/>
      <c r="BJ280" s="29" t="n"/>
      <c r="BK280" s="169" t="n">
        <v>1198</v>
      </c>
      <c r="BL280" s="29" t="n"/>
      <c r="BM280" s="29" t="n"/>
      <c r="BN280" s="29" t="n"/>
      <c r="BO280" s="29" t="n"/>
      <c r="BP280" s="29" t="n"/>
      <c r="BQ280" s="169" t="n">
        <v>241.5</v>
      </c>
      <c r="BR280" s="29" t="n"/>
      <c r="BS280" s="29" t="n"/>
      <c r="BT280" s="29" t="n"/>
      <c r="BU280" s="29" t="n"/>
      <c r="BV280" s="29" t="n"/>
      <c r="BW280" s="169" t="n">
        <v>161.5</v>
      </c>
      <c r="BX280" s="29" t="n"/>
      <c r="BY280" s="29" t="n"/>
      <c r="BZ280" s="29" t="n"/>
      <c r="CA280" s="29" t="n"/>
      <c r="CB280" s="29" t="n"/>
      <c r="CC280" s="169" t="n">
        <v>949.2</v>
      </c>
      <c r="CD280" s="29" t="n"/>
      <c r="CE280" s="29" t="n"/>
      <c r="CF280" s="29" t="n"/>
      <c r="CG280" s="29" t="n"/>
      <c r="CH280" s="29" t="n"/>
      <c r="CI280" s="169" t="n">
        <v>600.8</v>
      </c>
      <c r="CJ280" s="29" t="n"/>
      <c r="CK280" s="29" t="n"/>
      <c r="CL280" s="169" t="n">
        <v>189.4</v>
      </c>
      <c r="CM280" s="31" t="n"/>
      <c r="CN280" s="31" t="n"/>
      <c r="CO280" s="171">
        <f>CI281</f>
        <v/>
      </c>
      <c r="CP280" s="171">
        <f>CO281</f>
        <v/>
      </c>
      <c r="CQ280" s="171">
        <f>CP281</f>
        <v/>
      </c>
      <c r="CR280" s="171">
        <f>CQ281</f>
        <v/>
      </c>
      <c r="CS280" s="171">
        <f>CR281</f>
        <v/>
      </c>
      <c r="CT280" s="22" t="n"/>
      <c r="CV280" s="6" t="n"/>
      <c r="CW280" s="6" t="n"/>
      <c r="CX280" s="6" t="n"/>
      <c r="CY280" s="6" t="n"/>
    </row>
    <row r="281" ht="15" customHeight="1">
      <c r="B281" s="12" t="inlineStr">
        <is>
          <t>Cash — end of period</t>
        </is>
      </c>
      <c r="C281" s="169" t="n">
        <v>55.2</v>
      </c>
      <c r="D281" s="169" t="n">
        <v>34.9</v>
      </c>
      <c r="E281" s="169" t="n">
        <v>10.2</v>
      </c>
      <c r="F281" s="169" t="n">
        <v>22.3</v>
      </c>
      <c r="G281" s="169" t="n">
        <v>47.5</v>
      </c>
      <c r="H281" s="169" t="n">
        <v>155.8</v>
      </c>
      <c r="I281" s="169" t="n">
        <v>275.5</v>
      </c>
      <c r="J281" s="29" t="n"/>
      <c r="K281" s="29" t="n"/>
      <c r="L281" s="29" t="n"/>
      <c r="M281" s="29" t="n"/>
      <c r="N281" s="29" t="n"/>
      <c r="O281" s="169" t="n">
        <v>193.7</v>
      </c>
      <c r="P281" s="29" t="n"/>
      <c r="Q281" s="29" t="n"/>
      <c r="R281" s="29" t="n"/>
      <c r="S281" s="29" t="n"/>
      <c r="T281" s="29" t="n"/>
      <c r="U281" s="169" t="n">
        <v>141.3</v>
      </c>
      <c r="V281" s="29" t="n"/>
      <c r="W281" s="29" t="n"/>
      <c r="X281" s="29" t="n"/>
      <c r="Y281" s="29" t="n"/>
      <c r="Z281" s="29" t="n"/>
      <c r="AA281" s="169" t="n">
        <v>284.1</v>
      </c>
      <c r="AB281" s="29" t="n"/>
      <c r="AC281" s="29" t="n"/>
      <c r="AD281" s="29" t="n"/>
      <c r="AE281" s="29" t="n"/>
      <c r="AF281" s="29" t="n"/>
      <c r="AG281" s="169" t="n">
        <v>259</v>
      </c>
      <c r="AH281" s="29" t="n"/>
      <c r="AI281" s="29" t="n"/>
      <c r="AJ281" s="29" t="n"/>
      <c r="AK281" s="29" t="n"/>
      <c r="AL281" s="29" t="n"/>
      <c r="AM281" s="169" t="n">
        <v>146.6</v>
      </c>
      <c r="AN281" s="29" t="n"/>
      <c r="AO281" s="29" t="n"/>
      <c r="AP281" s="29" t="n"/>
      <c r="AQ281" s="29" t="n"/>
      <c r="AR281" s="29" t="n"/>
      <c r="AS281" s="169" t="n">
        <v>44.4</v>
      </c>
      <c r="AT281" s="29" t="n"/>
      <c r="AU281" s="29" t="n"/>
      <c r="AV281" s="29" t="n"/>
      <c r="AW281" s="29" t="n"/>
      <c r="AX281" s="29" t="n"/>
      <c r="AY281" s="169" t="n">
        <v>274.5</v>
      </c>
      <c r="AZ281" s="29" t="n"/>
      <c r="BA281" s="29" t="n"/>
      <c r="BB281" s="29" t="n"/>
      <c r="BC281" s="29" t="n"/>
      <c r="BD281" s="29" t="n"/>
      <c r="BE281" s="169" t="n">
        <v>1198</v>
      </c>
      <c r="BF281" s="29" t="n"/>
      <c r="BG281" s="29" t="n"/>
      <c r="BH281" s="29" t="n"/>
      <c r="BI281" s="29" t="n"/>
      <c r="BJ281" s="29" t="n"/>
      <c r="BK281" s="169" t="n">
        <v>241.5</v>
      </c>
      <c r="BL281" s="29" t="n"/>
      <c r="BM281" s="29" t="n"/>
      <c r="BN281" s="29" t="n"/>
      <c r="BO281" s="29" t="n"/>
      <c r="BP281" s="29" t="n"/>
      <c r="BQ281" s="169" t="n">
        <v>161.5</v>
      </c>
      <c r="BR281" s="29" t="n"/>
      <c r="BS281" s="29" t="n"/>
      <c r="BT281" s="29" t="n"/>
      <c r="BU281" s="29" t="n"/>
      <c r="BV281" s="29" t="n"/>
      <c r="BW281" s="169" t="n">
        <v>949.2</v>
      </c>
      <c r="BX281" s="29" t="n"/>
      <c r="BY281" s="29" t="n"/>
      <c r="BZ281" s="29" t="n"/>
      <c r="CA281" s="29" t="n"/>
      <c r="CB281" s="29" t="n"/>
      <c r="CC281" s="169" t="n">
        <v>600.8</v>
      </c>
      <c r="CD281" s="29" t="n"/>
      <c r="CE281" s="29" t="n"/>
      <c r="CF281" s="29" t="n"/>
      <c r="CG281" s="29" t="n"/>
      <c r="CH281" s="29" t="n"/>
      <c r="CI281" s="169" t="n">
        <v>189.4</v>
      </c>
      <c r="CJ281" s="29" t="n"/>
      <c r="CK281" s="29" t="n"/>
      <c r="CL281" s="169" t="n">
        <v>288.7</v>
      </c>
      <c r="CM281" s="31" t="n"/>
      <c r="CN281" s="31" t="n"/>
      <c r="CO281" s="171">
        <f>CO280+CO279</f>
        <v/>
      </c>
      <c r="CP281" s="171">
        <f>CP280+CP279</f>
        <v/>
      </c>
      <c r="CQ281" s="171">
        <f>CQ280+CQ279</f>
        <v/>
      </c>
      <c r="CR281" s="171">
        <f>CR280+CR279</f>
        <v/>
      </c>
      <c r="CS281" s="171">
        <f>CS280+CS279</f>
        <v/>
      </c>
      <c r="CT281" s="22" t="inlineStr">
        <is>
          <t>ASU 2016-18: restricted cash included in the cash-flow statement from FY2017.</t>
        </is>
      </c>
      <c r="CV281" s="6" t="n"/>
      <c r="CW281" s="6" t="n"/>
      <c r="CX281" s="6" t="n"/>
      <c r="CY281" s="6" t="n"/>
    </row>
    <row r="282" ht="15" customHeight="1">
      <c r="B282" s="38" t="inlineStr">
        <is>
          <t xml:space="preserve">  Check: CFO + CFI + CFF = change in cash (should be 0)</t>
        </is>
      </c>
      <c r="C282" s="176">
        <f>IF(ISNUMBER(C263),ROUND(C263+C269+C277-C279,1),"")</f>
        <v/>
      </c>
      <c r="D282" s="176">
        <f>IF(ISNUMBER(D263),ROUND(D263+D269+D277-D279,1),"")</f>
        <v/>
      </c>
      <c r="E282" s="176">
        <f>IF(ISNUMBER(E263),ROUND(E263+E269+E277-E279,1),"")</f>
        <v/>
      </c>
      <c r="F282" s="176">
        <f>IF(ISNUMBER(F263),ROUND(F263+F269+F277-F279,1),"")</f>
        <v/>
      </c>
      <c r="G282" s="176">
        <f>IF(ISNUMBER(G263),ROUND(G263+G269+G277-G279,1),"")</f>
        <v/>
      </c>
      <c r="H282" s="176">
        <f>IF(ISNUMBER(H263),ROUND(H263+H269+H277-H279,1),"")</f>
        <v/>
      </c>
      <c r="I282" s="176">
        <f>IF(ISNUMBER(I263),ROUND(I263+I269+I277-I279,1),"")</f>
        <v/>
      </c>
      <c r="J282" s="29" t="n"/>
      <c r="K282" s="29" t="n"/>
      <c r="L282" s="29" t="n"/>
      <c r="M282" s="29" t="n"/>
      <c r="N282" s="29" t="n"/>
      <c r="O282" s="176">
        <f>IF(ISNUMBER(O263),ROUND(O263+O269+O277-O279,1),"")</f>
        <v/>
      </c>
      <c r="P282" s="29" t="n"/>
      <c r="Q282" s="29" t="n"/>
      <c r="R282" s="29" t="n"/>
      <c r="S282" s="29" t="n"/>
      <c r="T282" s="29" t="n"/>
      <c r="U282" s="176">
        <f>IF(ISNUMBER(U263),ROUND(U263+U269+U277-U279,1),"")</f>
        <v/>
      </c>
      <c r="V282" s="29" t="n"/>
      <c r="W282" s="29" t="n"/>
      <c r="X282" s="29" t="n"/>
      <c r="Y282" s="29" t="n"/>
      <c r="Z282" s="29" t="n"/>
      <c r="AA282" s="176">
        <f>IF(ISNUMBER(AA263),ROUND(AA263+AA269+AA277-AA279,1),"")</f>
        <v/>
      </c>
      <c r="AB282" s="29" t="n"/>
      <c r="AC282" s="29" t="n"/>
      <c r="AD282" s="29" t="n"/>
      <c r="AE282" s="29" t="n"/>
      <c r="AF282" s="29" t="n"/>
      <c r="AG282" s="176">
        <f>IF(ISNUMBER(AG263),ROUND(AG263+AG269+AG277-AG279,1),"")</f>
        <v/>
      </c>
      <c r="AH282" s="29" t="n"/>
      <c r="AI282" s="29" t="n"/>
      <c r="AJ282" s="29" t="n"/>
      <c r="AK282" s="29" t="n"/>
      <c r="AL282" s="29" t="n"/>
      <c r="AM282" s="176">
        <f>IF(ISNUMBER(AM263),ROUND(AM263+AM269+AM277-AM279,1),"")</f>
        <v/>
      </c>
      <c r="AN282" s="29" t="n"/>
      <c r="AO282" s="29" t="n"/>
      <c r="AP282" s="29" t="n"/>
      <c r="AQ282" s="29" t="n"/>
      <c r="AR282" s="29" t="n"/>
      <c r="AS282" s="176">
        <f>IF(ISNUMBER(AS263),ROUND(AS263+AS269+AS277-AS279,1),"")</f>
        <v/>
      </c>
      <c r="AT282" s="29" t="n"/>
      <c r="AU282" s="29" t="n"/>
      <c r="AV282" s="29" t="n"/>
      <c r="AW282" s="29" t="n"/>
      <c r="AX282" s="29" t="n"/>
      <c r="AY282" s="176">
        <f>IF(ISNUMBER(AY263),ROUND(AY263+AY269+AY277-AY279,1),"")</f>
        <v/>
      </c>
      <c r="AZ282" s="29" t="n"/>
      <c r="BA282" s="29" t="n"/>
      <c r="BB282" s="29" t="n"/>
      <c r="BC282" s="29" t="n"/>
      <c r="BD282" s="29" t="n"/>
      <c r="BE282" s="176">
        <f>IF(ISNUMBER(BE263),ROUND(BE263+BE269+BE277-BE279,1),"")</f>
        <v/>
      </c>
      <c r="BF282" s="29" t="n"/>
      <c r="BG282" s="29" t="n"/>
      <c r="BH282" s="29" t="n"/>
      <c r="BI282" s="29" t="n"/>
      <c r="BJ282" s="29" t="n"/>
      <c r="BK282" s="176">
        <f>IF(ISNUMBER(BK263),ROUND(BK263+BK269+BK277-BK279,1),"")</f>
        <v/>
      </c>
      <c r="BL282" s="29" t="n"/>
      <c r="BM282" s="29" t="n"/>
      <c r="BN282" s="29" t="n"/>
      <c r="BO282" s="29" t="n"/>
      <c r="BP282" s="29" t="n"/>
      <c r="BQ282" s="176">
        <f>IF(ISNUMBER(BQ263),ROUND(BQ263+BQ269+BQ277-BQ279,1),"")</f>
        <v/>
      </c>
      <c r="BR282" s="29" t="n"/>
      <c r="BS282" s="29" t="n"/>
      <c r="BT282" s="29" t="n"/>
      <c r="BU282" s="29" t="n"/>
      <c r="BV282" s="29" t="n"/>
      <c r="BW282" s="176">
        <f>IF(ISNUMBER(BW263),ROUND(BW263+BW269+BW277-BW279,1),"")</f>
        <v/>
      </c>
      <c r="BX282" s="29" t="n"/>
      <c r="BY282" s="29" t="n"/>
      <c r="BZ282" s="29" t="n"/>
      <c r="CA282" s="29" t="n"/>
      <c r="CB282" s="29" t="n"/>
      <c r="CC282" s="176">
        <f>IF(ISNUMBER(CC263),ROUND(CC263+CC269+CC277-CC279,1),"")</f>
        <v/>
      </c>
      <c r="CD282" s="29" t="n"/>
      <c r="CE282" s="29" t="n"/>
      <c r="CF282" s="29" t="n"/>
      <c r="CG282" s="29" t="n"/>
      <c r="CH282" s="29" t="n"/>
      <c r="CI282" s="176">
        <f>IF(ISNUMBER(CI263),ROUND(CI263+CI269+CI277-CI279,1),"")</f>
        <v/>
      </c>
      <c r="CJ282" s="29" t="n"/>
      <c r="CK282" s="29" t="n"/>
      <c r="CL282" s="176">
        <f>IF(ISNUMBER(CL263),ROUND(CL263+CL269+CL277-CL279,1),"")</f>
        <v/>
      </c>
      <c r="CM282" s="31" t="n"/>
      <c r="CN282" s="31" t="n"/>
      <c r="CO282" s="188">
        <f>IF(ISNUMBER(CO263),ROUND(CO263+CO269+CO277-CO279,1),"")</f>
        <v/>
      </c>
      <c r="CP282" s="188">
        <f>IF(ISNUMBER(CP263),ROUND(CP263+CP269+CP277-CP279,1),"")</f>
        <v/>
      </c>
      <c r="CQ282" s="188">
        <f>IF(ISNUMBER(CQ263),ROUND(CQ263+CQ269+CQ277-CQ279,1),"")</f>
        <v/>
      </c>
      <c r="CR282" s="188">
        <f>IF(ISNUMBER(CR263),ROUND(CR263+CR269+CR277-CR279,1),"")</f>
        <v/>
      </c>
      <c r="CS282" s="188">
        <f>IF(ISNUMBER(CS263),ROUND(CS263+CS269+CS277-CS279,1),"")</f>
        <v/>
      </c>
      <c r="CT282" s="22" t="n"/>
      <c r="CV282" s="6" t="n"/>
      <c r="CW282" s="6" t="n"/>
      <c r="CX282" s="6" t="n"/>
      <c r="CY282" s="6" t="n"/>
    </row>
    <row r="283" ht="15" customHeight="1">
      <c r="B283" s="12" t="inlineStr">
        <is>
          <t>(Memo)</t>
        </is>
      </c>
      <c r="C283" s="29" t="n"/>
      <c r="D283" s="29" t="n"/>
      <c r="E283" s="30" t="n"/>
      <c r="F283" s="30" t="n"/>
      <c r="G283" s="30" t="n"/>
      <c r="H283" s="30" t="n"/>
      <c r="I283" s="30" t="n"/>
      <c r="J283" s="30" t="n"/>
      <c r="K283" s="30" t="n"/>
      <c r="L283" s="29" t="n"/>
      <c r="M283" s="30" t="n"/>
      <c r="N283" s="30" t="n"/>
      <c r="O283" s="30" t="n"/>
      <c r="P283" s="30" t="n"/>
      <c r="Q283" s="30" t="n"/>
      <c r="R283" s="29" t="n"/>
      <c r="S283" s="30" t="n"/>
      <c r="T283" s="30" t="n"/>
      <c r="U283" s="30" t="n"/>
      <c r="V283" s="30" t="n"/>
      <c r="W283" s="30" t="n"/>
      <c r="X283" s="29" t="n"/>
      <c r="Y283" s="30" t="n"/>
      <c r="Z283" s="30" t="n"/>
      <c r="AA283" s="30" t="n"/>
      <c r="AB283" s="30" t="n"/>
      <c r="AC283" s="30" t="n"/>
      <c r="AD283" s="29" t="n"/>
      <c r="AE283" s="30" t="n"/>
      <c r="AF283" s="30" t="n"/>
      <c r="AG283" s="30" t="n"/>
      <c r="AH283" s="30" t="n"/>
      <c r="AI283" s="30" t="n"/>
      <c r="AJ283" s="29" t="n"/>
      <c r="AK283" s="30" t="n"/>
      <c r="AL283" s="30" t="n"/>
      <c r="AM283" s="30" t="n"/>
      <c r="AN283" s="30" t="n"/>
      <c r="AO283" s="30" t="n"/>
      <c r="AP283" s="29" t="n"/>
      <c r="AQ283" s="30" t="n"/>
      <c r="AR283" s="30" t="n"/>
      <c r="AS283" s="30" t="n"/>
      <c r="AT283" s="30" t="n"/>
      <c r="AU283" s="30" t="n"/>
      <c r="AV283" s="29" t="n"/>
      <c r="AW283" s="30" t="n"/>
      <c r="AX283" s="30" t="n"/>
      <c r="AY283" s="30" t="n"/>
      <c r="AZ283" s="30" t="n"/>
      <c r="BA283" s="30" t="n"/>
      <c r="BB283" s="29" t="n"/>
      <c r="BC283" s="30" t="n"/>
      <c r="BD283" s="30" t="n"/>
      <c r="BE283" s="30" t="n"/>
      <c r="BF283" s="30" t="n"/>
      <c r="BG283" s="30" t="n"/>
      <c r="BH283" s="29" t="n"/>
      <c r="BI283" s="30" t="n"/>
      <c r="BJ283" s="30" t="n"/>
      <c r="BK283" s="30" t="n"/>
      <c r="BL283" s="30" t="n"/>
      <c r="BM283" s="30" t="n"/>
      <c r="BN283" s="29" t="n"/>
      <c r="BO283" s="30" t="n"/>
      <c r="BP283" s="30" t="n"/>
      <c r="BQ283" s="30" t="n"/>
      <c r="BR283" s="30" t="n"/>
      <c r="BS283" s="30" t="n"/>
      <c r="BT283" s="29" t="n"/>
      <c r="BU283" s="30" t="n"/>
      <c r="BV283" s="30" t="n"/>
      <c r="BW283" s="30" t="n"/>
      <c r="BX283" s="30" t="n"/>
      <c r="BY283" s="30" t="n"/>
      <c r="BZ283" s="29" t="n"/>
      <c r="CA283" s="30" t="n"/>
      <c r="CB283" s="30" t="n"/>
      <c r="CC283" s="30" t="n"/>
      <c r="CD283" s="30" t="n"/>
      <c r="CE283" s="30" t="n"/>
      <c r="CF283" s="29" t="n"/>
      <c r="CG283" s="30" t="n"/>
      <c r="CH283" s="30" t="n"/>
      <c r="CI283" s="30" t="n"/>
      <c r="CJ283" s="30" t="n"/>
      <c r="CK283" s="30" t="n"/>
      <c r="CL283" s="29" t="n"/>
      <c r="CM283" s="31" t="n"/>
      <c r="CN283" s="31" t="n"/>
      <c r="CO283" s="31" t="n"/>
      <c r="CP283" s="31" t="n"/>
      <c r="CQ283" s="31" t="n"/>
      <c r="CR283" s="31" t="n"/>
      <c r="CS283" s="31" t="n"/>
      <c r="CT283" s="22" t="n"/>
      <c r="CV283" s="23" t="n"/>
      <c r="CW283" s="23" t="n"/>
      <c r="CX283" s="23" t="n"/>
      <c r="CY283" s="23" t="n"/>
    </row>
    <row r="284" ht="15" customHeight="1">
      <c r="B284" s="33" t="inlineStr">
        <is>
          <t>Free cash flow (CFO − capital expenditures)</t>
        </is>
      </c>
      <c r="C284" s="175">
        <f>IF(ISNUMBER(C263),C263+N(C264),"")</f>
        <v/>
      </c>
      <c r="D284" s="175">
        <f>IF(ISNUMBER(D263),D263+N(D264),"")</f>
        <v/>
      </c>
      <c r="E284" s="175">
        <f>IF(ISNUMBER(E263),E263+N(E264),"")</f>
        <v/>
      </c>
      <c r="F284" s="175">
        <f>IF(ISNUMBER(F263),F263+N(F264),"")</f>
        <v/>
      </c>
      <c r="G284" s="175">
        <f>IF(ISNUMBER(G263),G263+N(G264),"")</f>
        <v/>
      </c>
      <c r="H284" s="175">
        <f>IF(ISNUMBER(H263),H263+N(H264),"")</f>
        <v/>
      </c>
      <c r="I284" s="175">
        <f>IF(ISNUMBER(I263),I263+N(I264),"")</f>
        <v/>
      </c>
      <c r="J284" s="19" t="n"/>
      <c r="K284" s="19" t="n"/>
      <c r="L284" s="19" t="n"/>
      <c r="M284" s="19" t="n"/>
      <c r="N284" s="19" t="n"/>
      <c r="O284" s="175">
        <f>IF(ISNUMBER(O263),O263+N(O264),"")</f>
        <v/>
      </c>
      <c r="P284" s="19" t="n"/>
      <c r="Q284" s="19" t="n"/>
      <c r="R284" s="19" t="n"/>
      <c r="S284" s="19" t="n"/>
      <c r="T284" s="19" t="n"/>
      <c r="U284" s="175">
        <f>IF(ISNUMBER(U263),U263+N(U264),"")</f>
        <v/>
      </c>
      <c r="V284" s="19" t="n"/>
      <c r="W284" s="19" t="n"/>
      <c r="X284" s="19" t="n"/>
      <c r="Y284" s="19" t="n"/>
      <c r="Z284" s="19" t="n"/>
      <c r="AA284" s="175">
        <f>IF(ISNUMBER(AA263),AA263+N(AA264),"")</f>
        <v/>
      </c>
      <c r="AB284" s="19" t="n"/>
      <c r="AC284" s="19" t="n"/>
      <c r="AD284" s="19" t="n"/>
      <c r="AE284" s="19" t="n"/>
      <c r="AF284" s="19" t="n"/>
      <c r="AG284" s="175">
        <f>IF(ISNUMBER(AG263),AG263+N(AG264),"")</f>
        <v/>
      </c>
      <c r="AH284" s="19" t="n"/>
      <c r="AI284" s="19" t="n"/>
      <c r="AJ284" s="19" t="n"/>
      <c r="AK284" s="19" t="n"/>
      <c r="AL284" s="19" t="n"/>
      <c r="AM284" s="175">
        <f>IF(ISNUMBER(AM263),AM263+N(AM264),"")</f>
        <v/>
      </c>
      <c r="AN284" s="19" t="n"/>
      <c r="AO284" s="19" t="n"/>
      <c r="AP284" s="19" t="n"/>
      <c r="AQ284" s="19" t="n"/>
      <c r="AR284" s="19" t="n"/>
      <c r="AS284" s="175">
        <f>IF(ISNUMBER(AS263),AS263+N(AS264),"")</f>
        <v/>
      </c>
      <c r="AT284" s="19" t="n"/>
      <c r="AU284" s="19" t="n"/>
      <c r="AV284" s="19" t="n"/>
      <c r="AW284" s="19" t="n"/>
      <c r="AX284" s="19" t="n"/>
      <c r="AY284" s="175">
        <f>IF(ISNUMBER(AY263),AY263+N(AY264),"")</f>
        <v/>
      </c>
      <c r="AZ284" s="19" t="n"/>
      <c r="BA284" s="19" t="n"/>
      <c r="BB284" s="19" t="n"/>
      <c r="BC284" s="19" t="n"/>
      <c r="BD284" s="19" t="n"/>
      <c r="BE284" s="175">
        <f>IF(ISNUMBER(BE263),BE263+N(BE264),"")</f>
        <v/>
      </c>
      <c r="BF284" s="19" t="n"/>
      <c r="BG284" s="19" t="n"/>
      <c r="BH284" s="19" t="n"/>
      <c r="BI284" s="19" t="n"/>
      <c r="BJ284" s="19" t="n"/>
      <c r="BK284" s="175">
        <f>IF(ISNUMBER(BK263),BK263+N(BK264),"")</f>
        <v/>
      </c>
      <c r="BL284" s="19" t="n"/>
      <c r="BM284" s="19" t="n"/>
      <c r="BN284" s="19" t="n"/>
      <c r="BO284" s="19" t="n"/>
      <c r="BP284" s="19" t="n"/>
      <c r="BQ284" s="175">
        <f>IF(ISNUMBER(BQ263),BQ263+N(BQ264),"")</f>
        <v/>
      </c>
      <c r="BR284" s="19" t="n"/>
      <c r="BS284" s="19" t="n"/>
      <c r="BT284" s="19" t="n"/>
      <c r="BU284" s="19" t="n"/>
      <c r="BV284" s="19" t="n"/>
      <c r="BW284" s="175">
        <f>IF(ISNUMBER(BW263),BW263+N(BW264),"")</f>
        <v/>
      </c>
      <c r="BX284" s="19" t="n"/>
      <c r="BY284" s="19" t="n"/>
      <c r="BZ284" s="19" t="n"/>
      <c r="CA284" s="19" t="n"/>
      <c r="CB284" s="19" t="n"/>
      <c r="CC284" s="175">
        <f>IF(ISNUMBER(CC263),CC263+N(CC264),"")</f>
        <v/>
      </c>
      <c r="CD284" s="19" t="n"/>
      <c r="CE284" s="19" t="n"/>
      <c r="CF284" s="19" t="n"/>
      <c r="CG284" s="19" t="n"/>
      <c r="CH284" s="19" t="n"/>
      <c r="CI284" s="175">
        <f>IF(ISNUMBER(CI263),CI263+N(CI264),"")</f>
        <v/>
      </c>
      <c r="CJ284" s="19" t="n"/>
      <c r="CK284" s="19" t="n"/>
      <c r="CL284" s="173">
        <f>IF(ISNUMBER(CL263),CL263+N(CL264),"")</f>
        <v/>
      </c>
      <c r="CM284" s="34" t="n"/>
      <c r="CN284" s="34" t="n"/>
      <c r="CO284" s="175">
        <f>IF(ISNUMBER(CO263),CO263+N(CO264),"")</f>
        <v/>
      </c>
      <c r="CP284" s="175">
        <f>IF(ISNUMBER(CP263),CP263+N(CP264),"")</f>
        <v/>
      </c>
      <c r="CQ284" s="175">
        <f>IF(ISNUMBER(CQ263),CQ263+N(CQ264),"")</f>
        <v/>
      </c>
      <c r="CR284" s="175">
        <f>IF(ISNUMBER(CR263),CR263+N(CR264),"")</f>
        <v/>
      </c>
      <c r="CS284" s="175">
        <f>IF(ISNUMBER(CS263),CS263+N(CS264),"")</f>
        <v/>
      </c>
      <c r="CT284" s="22" t="inlineStr">
        <is>
          <t>Vulcan does not publish a free cash flow measure in its releases; model definition = CFO − purchases of PP&amp;E.</t>
        </is>
      </c>
      <c r="CV284" s="23">
        <f>IFERROR((CS284/CI284)^(1/5)-1,"n/m")</f>
        <v/>
      </c>
      <c r="CW284" s="23">
        <f>IFERROR((CI284/BE284)^(1/5)-1,"n/m")</f>
        <v/>
      </c>
      <c r="CX284" s="23">
        <f>IFERROR((CI284/AA284)^(1/10)-1,"n/m")</f>
        <v/>
      </c>
      <c r="CY284" s="23">
        <f>IFERROR((CI284/C284)^(1/19)-1,"n/m")</f>
        <v/>
      </c>
    </row>
    <row r="285" ht="15" customHeight="1">
      <c r="B285" s="25" t="inlineStr">
        <is>
          <t xml:space="preserve">  FCF y/y %</t>
        </is>
      </c>
      <c r="C285" s="26" t="n"/>
      <c r="D285" s="26">
        <f>IFERROR(D284/C284-1,"")</f>
        <v/>
      </c>
      <c r="E285" s="26">
        <f>IFERROR(E284/D284-1,"")</f>
        <v/>
      </c>
      <c r="F285" s="26">
        <f>IFERROR(F284/E284-1,"")</f>
        <v/>
      </c>
      <c r="G285" s="26">
        <f>IFERROR(G284/F284-1,"")</f>
        <v/>
      </c>
      <c r="H285" s="26">
        <f>IFERROR(H284/G284-1,"")</f>
        <v/>
      </c>
      <c r="I285" s="26">
        <f>IFERROR(I284/H284-1,"")</f>
        <v/>
      </c>
      <c r="J285" s="26" t="n"/>
      <c r="K285" s="26" t="n"/>
      <c r="L285" s="26" t="n"/>
      <c r="M285" s="26" t="n"/>
      <c r="N285" s="26" t="n"/>
      <c r="O285" s="26">
        <f>IFERROR(O284/I284-1,"")</f>
        <v/>
      </c>
      <c r="P285" s="26" t="n"/>
      <c r="Q285" s="26" t="n"/>
      <c r="R285" s="26" t="n"/>
      <c r="S285" s="26" t="n"/>
      <c r="T285" s="26" t="n"/>
      <c r="U285" s="26">
        <f>IFERROR(U284/O284-1,"")</f>
        <v/>
      </c>
      <c r="V285" s="26" t="n"/>
      <c r="W285" s="26" t="n"/>
      <c r="X285" s="26" t="n"/>
      <c r="Y285" s="26" t="n"/>
      <c r="Z285" s="26" t="n"/>
      <c r="AA285" s="26">
        <f>IFERROR(AA284/U284-1,"")</f>
        <v/>
      </c>
      <c r="AB285" s="26" t="n"/>
      <c r="AC285" s="26" t="n"/>
      <c r="AD285" s="26" t="n"/>
      <c r="AE285" s="26" t="n"/>
      <c r="AF285" s="26" t="n"/>
      <c r="AG285" s="26">
        <f>IFERROR(AG284/AA284-1,"")</f>
        <v/>
      </c>
      <c r="AH285" s="26" t="n"/>
      <c r="AI285" s="26" t="n"/>
      <c r="AJ285" s="26" t="n"/>
      <c r="AK285" s="26" t="n"/>
      <c r="AL285" s="26" t="n"/>
      <c r="AM285" s="26">
        <f>IFERROR(AM284/AG284-1,"")</f>
        <v/>
      </c>
      <c r="AN285" s="26" t="n"/>
      <c r="AO285" s="26" t="n"/>
      <c r="AP285" s="26" t="n"/>
      <c r="AQ285" s="26" t="n"/>
      <c r="AR285" s="26" t="n"/>
      <c r="AS285" s="26">
        <f>IFERROR(AS284/AM284-1,"")</f>
        <v/>
      </c>
      <c r="AT285" s="26" t="n"/>
      <c r="AU285" s="26" t="n"/>
      <c r="AV285" s="26" t="n"/>
      <c r="AW285" s="26" t="n"/>
      <c r="AX285" s="26" t="n"/>
      <c r="AY285" s="26">
        <f>IFERROR(AY284/AS284-1,"")</f>
        <v/>
      </c>
      <c r="AZ285" s="26" t="n"/>
      <c r="BA285" s="26" t="n"/>
      <c r="BB285" s="26" t="n"/>
      <c r="BC285" s="26" t="n"/>
      <c r="BD285" s="26" t="n"/>
      <c r="BE285" s="26">
        <f>IFERROR(BE284/AY284-1,"")</f>
        <v/>
      </c>
      <c r="BF285" s="26" t="n"/>
      <c r="BG285" s="26" t="n"/>
      <c r="BH285" s="26" t="n"/>
      <c r="BI285" s="26" t="n"/>
      <c r="BJ285" s="26" t="n"/>
      <c r="BK285" s="26">
        <f>IFERROR(BK284/BE284-1,"")</f>
        <v/>
      </c>
      <c r="BL285" s="26" t="n"/>
      <c r="BM285" s="26" t="n"/>
      <c r="BN285" s="26" t="n"/>
      <c r="BO285" s="26" t="n"/>
      <c r="BP285" s="26" t="n"/>
      <c r="BQ285" s="26">
        <f>IFERROR(BQ284/BK284-1,"")</f>
        <v/>
      </c>
      <c r="BR285" s="26" t="n"/>
      <c r="BS285" s="26" t="n"/>
      <c r="BT285" s="26" t="n"/>
      <c r="BU285" s="26" t="n"/>
      <c r="BV285" s="26" t="n"/>
      <c r="BW285" s="26">
        <f>IFERROR(BW284/BQ284-1,"")</f>
        <v/>
      </c>
      <c r="BX285" s="26" t="n"/>
      <c r="BY285" s="26" t="n"/>
      <c r="BZ285" s="26" t="n"/>
      <c r="CA285" s="26" t="n"/>
      <c r="CB285" s="26" t="n"/>
      <c r="CC285" s="26">
        <f>IFERROR(CC284/BW284-1,"")</f>
        <v/>
      </c>
      <c r="CD285" s="26" t="n"/>
      <c r="CE285" s="26" t="n"/>
      <c r="CF285" s="26" t="n"/>
      <c r="CG285" s="26" t="n"/>
      <c r="CH285" s="26" t="n"/>
      <c r="CI285" s="26">
        <f>IFERROR(CI284/CC284-1,"")</f>
        <v/>
      </c>
      <c r="CJ285" s="26" t="n"/>
      <c r="CK285" s="26" t="n"/>
      <c r="CL285" s="26" t="n"/>
      <c r="CM285" s="27" t="n"/>
      <c r="CN285" s="27" t="n"/>
      <c r="CO285" s="165">
        <f>IFERROR(CO284/CI284-1,"")</f>
        <v/>
      </c>
      <c r="CP285" s="165">
        <f>IFERROR(CP284/CO284-1,"")</f>
        <v/>
      </c>
      <c r="CQ285" s="165">
        <f>IFERROR(CQ284/CP284-1,"")</f>
        <v/>
      </c>
      <c r="CR285" s="165">
        <f>IFERROR(CR284/CQ284-1,"")</f>
        <v/>
      </c>
      <c r="CS285" s="165">
        <f>IFERROR(CS284/CR284-1,"")</f>
        <v/>
      </c>
      <c r="CT285" s="22" t="n"/>
      <c r="CV285" s="6" t="n"/>
      <c r="CW285" s="6" t="n"/>
      <c r="CX285" s="6" t="n"/>
      <c r="CY285" s="6" t="n"/>
    </row>
    <row r="286" ht="15" customHeight="1">
      <c r="B286" s="25" t="inlineStr">
        <is>
          <t xml:space="preserve">  FCF % of revenues</t>
        </is>
      </c>
      <c r="C286" s="179">
        <f>IFERROR(C284/C138,"")</f>
        <v/>
      </c>
      <c r="D286" s="179">
        <f>IFERROR(D284/D138,"")</f>
        <v/>
      </c>
      <c r="E286" s="179">
        <f>IFERROR(E284/E138,"")</f>
        <v/>
      </c>
      <c r="F286" s="179">
        <f>IFERROR(F284/F138,"")</f>
        <v/>
      </c>
      <c r="G286" s="179">
        <f>IFERROR(G284/G138,"")</f>
        <v/>
      </c>
      <c r="H286" s="179">
        <f>IFERROR(H284/H138,"")</f>
        <v/>
      </c>
      <c r="I286" s="179">
        <f>IFERROR(I284/I138,"")</f>
        <v/>
      </c>
      <c r="J286" s="39" t="n"/>
      <c r="K286" s="39" t="n"/>
      <c r="L286" s="39" t="n"/>
      <c r="M286" s="39" t="n"/>
      <c r="N286" s="39" t="n"/>
      <c r="O286" s="179">
        <f>IFERROR(O284/O138,"")</f>
        <v/>
      </c>
      <c r="P286" s="39" t="n"/>
      <c r="Q286" s="39" t="n"/>
      <c r="R286" s="39" t="n"/>
      <c r="S286" s="39" t="n"/>
      <c r="T286" s="39" t="n"/>
      <c r="U286" s="179">
        <f>IFERROR(U284/U138,"")</f>
        <v/>
      </c>
      <c r="V286" s="39" t="n"/>
      <c r="W286" s="39" t="n"/>
      <c r="X286" s="39" t="n"/>
      <c r="Y286" s="39" t="n"/>
      <c r="Z286" s="39" t="n"/>
      <c r="AA286" s="179">
        <f>IFERROR(AA284/AA138,"")</f>
        <v/>
      </c>
      <c r="AB286" s="39" t="n"/>
      <c r="AC286" s="39" t="n"/>
      <c r="AD286" s="39" t="n"/>
      <c r="AE286" s="39" t="n"/>
      <c r="AF286" s="39" t="n"/>
      <c r="AG286" s="179">
        <f>IFERROR(AG284/AG138,"")</f>
        <v/>
      </c>
      <c r="AH286" s="39" t="n"/>
      <c r="AI286" s="39" t="n"/>
      <c r="AJ286" s="39" t="n"/>
      <c r="AK286" s="39" t="n"/>
      <c r="AL286" s="39" t="n"/>
      <c r="AM286" s="179">
        <f>IFERROR(AM284/AM138,"")</f>
        <v/>
      </c>
      <c r="AN286" s="39" t="n"/>
      <c r="AO286" s="39" t="n"/>
      <c r="AP286" s="39" t="n"/>
      <c r="AQ286" s="39" t="n"/>
      <c r="AR286" s="39" t="n"/>
      <c r="AS286" s="179">
        <f>IFERROR(AS284/AS138,"")</f>
        <v/>
      </c>
      <c r="AT286" s="39" t="n"/>
      <c r="AU286" s="39" t="n"/>
      <c r="AV286" s="39" t="n"/>
      <c r="AW286" s="39" t="n"/>
      <c r="AX286" s="39" t="n"/>
      <c r="AY286" s="179">
        <f>IFERROR(AY284/AY138,"")</f>
        <v/>
      </c>
      <c r="AZ286" s="39" t="n"/>
      <c r="BA286" s="39" t="n"/>
      <c r="BB286" s="39" t="n"/>
      <c r="BC286" s="39" t="n"/>
      <c r="BD286" s="39" t="n"/>
      <c r="BE286" s="179">
        <f>IFERROR(BE284/BE138,"")</f>
        <v/>
      </c>
      <c r="BF286" s="39" t="n"/>
      <c r="BG286" s="39" t="n"/>
      <c r="BH286" s="39" t="n"/>
      <c r="BI286" s="39" t="n"/>
      <c r="BJ286" s="39" t="n"/>
      <c r="BK286" s="179">
        <f>IFERROR(BK284/BK138,"")</f>
        <v/>
      </c>
      <c r="BL286" s="39" t="n"/>
      <c r="BM286" s="39" t="n"/>
      <c r="BN286" s="39" t="n"/>
      <c r="BO286" s="39" t="n"/>
      <c r="BP286" s="39" t="n"/>
      <c r="BQ286" s="179">
        <f>IFERROR(BQ284/BQ138,"")</f>
        <v/>
      </c>
      <c r="BR286" s="39" t="n"/>
      <c r="BS286" s="39" t="n"/>
      <c r="BT286" s="39" t="n"/>
      <c r="BU286" s="39" t="n"/>
      <c r="BV286" s="39" t="n"/>
      <c r="BW286" s="179">
        <f>IFERROR(BW284/BW138,"")</f>
        <v/>
      </c>
      <c r="BX286" s="39" t="n"/>
      <c r="BY286" s="39" t="n"/>
      <c r="BZ286" s="39" t="n"/>
      <c r="CA286" s="39" t="n"/>
      <c r="CB286" s="39" t="n"/>
      <c r="CC286" s="179">
        <f>IFERROR(CC284/CC138,"")</f>
        <v/>
      </c>
      <c r="CD286" s="39" t="n"/>
      <c r="CE286" s="39" t="n"/>
      <c r="CF286" s="39" t="n"/>
      <c r="CG286" s="39" t="n"/>
      <c r="CH286" s="39" t="n"/>
      <c r="CI286" s="179">
        <f>IFERROR(CI284/CI138,"")</f>
        <v/>
      </c>
      <c r="CJ286" s="39" t="n"/>
      <c r="CK286" s="39" t="n"/>
      <c r="CL286" s="179">
        <f>IFERROR(CL284/CL138,"")</f>
        <v/>
      </c>
      <c r="CM286" s="27" t="n"/>
      <c r="CN286" s="27" t="n"/>
      <c r="CO286" s="165">
        <f>IFERROR(CO284/CO138,"")</f>
        <v/>
      </c>
      <c r="CP286" s="165">
        <f>IFERROR(CP284/CP138,"")</f>
        <v/>
      </c>
      <c r="CQ286" s="165">
        <f>IFERROR(CQ284/CQ138,"")</f>
        <v/>
      </c>
      <c r="CR286" s="165">
        <f>IFERROR(CR284/CR138,"")</f>
        <v/>
      </c>
      <c r="CS286" s="165">
        <f>IFERROR(CS284/CS138,"")</f>
        <v/>
      </c>
      <c r="CT286" s="22" t="n"/>
      <c r="CV286" s="40">
        <f>IFERROR(AVERAGE(CO286,CP286,CQ286,CR286,CS286),"n/m")</f>
        <v/>
      </c>
      <c r="CW286" s="40">
        <f>IFERROR(AVERAGE(BK286,BQ286,BW286,CC286,CI286),"n/m")</f>
        <v/>
      </c>
      <c r="CX286" s="40">
        <f>IFERROR(AVERAGE(AG286,AM286,AS286,AY286,BE286,BK286,BQ286,BW286,CC286,CI286),"n/m")</f>
        <v/>
      </c>
      <c r="CY286" s="40">
        <f>IFERROR(AVERAGE(C286,D286,E286,F286,G286,H286,I286,O286,U286,AA286,AG286,AM286,AS286,AY286,BE286,BK286,BQ286,BW286,CC286,CI286),"n/m")</f>
        <v/>
      </c>
    </row>
    <row r="287" ht="15" customHeight="1">
      <c r="B287" s="25" t="inlineStr">
        <is>
          <t xml:space="preserve">  FCF / Adjusted net earnings (current definition) conversion %</t>
        </is>
      </c>
      <c r="C287" s="179">
        <f>IFERROR(C284/C229,"")</f>
        <v/>
      </c>
      <c r="D287" s="179">
        <f>IFERROR(D284/D229,"")</f>
        <v/>
      </c>
      <c r="E287" s="179">
        <f>IFERROR(E284/E229,"")</f>
        <v/>
      </c>
      <c r="F287" s="179">
        <f>IFERROR(F284/F229,"")</f>
        <v/>
      </c>
      <c r="G287" s="179">
        <f>IFERROR(G284/G229,"")</f>
        <v/>
      </c>
      <c r="H287" s="179">
        <f>IFERROR(H284/H229,"")</f>
        <v/>
      </c>
      <c r="I287" s="179">
        <f>IFERROR(I284/I229,"")</f>
        <v/>
      </c>
      <c r="J287" s="39" t="n"/>
      <c r="K287" s="39" t="n"/>
      <c r="L287" s="39" t="n"/>
      <c r="M287" s="39" t="n"/>
      <c r="N287" s="39" t="n"/>
      <c r="O287" s="179">
        <f>IFERROR(O284/O229,"")</f>
        <v/>
      </c>
      <c r="P287" s="39" t="n"/>
      <c r="Q287" s="39" t="n"/>
      <c r="R287" s="39" t="n"/>
      <c r="S287" s="39" t="n"/>
      <c r="T287" s="39" t="n"/>
      <c r="U287" s="179">
        <f>IFERROR(U284/U229,"")</f>
        <v/>
      </c>
      <c r="V287" s="39" t="n"/>
      <c r="W287" s="39" t="n"/>
      <c r="X287" s="39" t="n"/>
      <c r="Y287" s="39" t="n"/>
      <c r="Z287" s="39" t="n"/>
      <c r="AA287" s="179">
        <f>IFERROR(AA284/AA229,"")</f>
        <v/>
      </c>
      <c r="AB287" s="39" t="n"/>
      <c r="AC287" s="39" t="n"/>
      <c r="AD287" s="39" t="n"/>
      <c r="AE287" s="39" t="n"/>
      <c r="AF287" s="39" t="n"/>
      <c r="AG287" s="179">
        <f>IFERROR(AG284/AG229,"")</f>
        <v/>
      </c>
      <c r="AH287" s="39" t="n"/>
      <c r="AI287" s="39" t="n"/>
      <c r="AJ287" s="39" t="n"/>
      <c r="AK287" s="39" t="n"/>
      <c r="AL287" s="39" t="n"/>
      <c r="AM287" s="179">
        <f>IFERROR(AM284/AM229,"")</f>
        <v/>
      </c>
      <c r="AN287" s="39" t="n"/>
      <c r="AO287" s="39" t="n"/>
      <c r="AP287" s="39" t="n"/>
      <c r="AQ287" s="39" t="n"/>
      <c r="AR287" s="39" t="n"/>
      <c r="AS287" s="179">
        <f>IFERROR(AS284/AS229,"")</f>
        <v/>
      </c>
      <c r="AT287" s="39" t="n"/>
      <c r="AU287" s="39" t="n"/>
      <c r="AV287" s="39" t="n"/>
      <c r="AW287" s="39" t="n"/>
      <c r="AX287" s="39" t="n"/>
      <c r="AY287" s="179">
        <f>IFERROR(AY284/AY229,"")</f>
        <v/>
      </c>
      <c r="AZ287" s="39" t="n"/>
      <c r="BA287" s="39" t="n"/>
      <c r="BB287" s="39" t="n"/>
      <c r="BC287" s="39" t="n"/>
      <c r="BD287" s="39" t="n"/>
      <c r="BE287" s="179">
        <f>IFERROR(BE284/BE229,"")</f>
        <v/>
      </c>
      <c r="BF287" s="39" t="n"/>
      <c r="BG287" s="39" t="n"/>
      <c r="BH287" s="39" t="n"/>
      <c r="BI287" s="39" t="n"/>
      <c r="BJ287" s="39" t="n"/>
      <c r="BK287" s="179">
        <f>IFERROR(BK284/BK229,"")</f>
        <v/>
      </c>
      <c r="BL287" s="39" t="n"/>
      <c r="BM287" s="39" t="n"/>
      <c r="BN287" s="39" t="n"/>
      <c r="BO287" s="39" t="n"/>
      <c r="BP287" s="39" t="n"/>
      <c r="BQ287" s="179">
        <f>IFERROR(BQ284/BQ229,"")</f>
        <v/>
      </c>
      <c r="BR287" s="39" t="n"/>
      <c r="BS287" s="39" t="n"/>
      <c r="BT287" s="39" t="n"/>
      <c r="BU287" s="39" t="n"/>
      <c r="BV287" s="39" t="n"/>
      <c r="BW287" s="179">
        <f>IFERROR(BW284/BW229,"")</f>
        <v/>
      </c>
      <c r="BX287" s="39" t="n"/>
      <c r="BY287" s="39" t="n"/>
      <c r="BZ287" s="39" t="n"/>
      <c r="CA287" s="39" t="n"/>
      <c r="CB287" s="39" t="n"/>
      <c r="CC287" s="179">
        <f>IFERROR(CC284/CC229,"")</f>
        <v/>
      </c>
      <c r="CD287" s="39" t="n"/>
      <c r="CE287" s="39" t="n"/>
      <c r="CF287" s="39" t="n"/>
      <c r="CG287" s="39" t="n"/>
      <c r="CH287" s="39" t="n"/>
      <c r="CI287" s="179">
        <f>IFERROR(CI284/CI229,"")</f>
        <v/>
      </c>
      <c r="CJ287" s="39" t="n"/>
      <c r="CK287" s="39" t="n"/>
      <c r="CL287" s="179">
        <f>IFERROR(CL284/CL229,"")</f>
        <v/>
      </c>
      <c r="CM287" s="27" t="n"/>
      <c r="CN287" s="27" t="n"/>
      <c r="CO287" s="165">
        <f>IFERROR(CO284/CO229,"")</f>
        <v/>
      </c>
      <c r="CP287" s="165">
        <f>IFERROR(CP284/CP229,"")</f>
        <v/>
      </c>
      <c r="CQ287" s="165">
        <f>IFERROR(CQ284/CQ229,"")</f>
        <v/>
      </c>
      <c r="CR287" s="165">
        <f>IFERROR(CR284/CR229,"")</f>
        <v/>
      </c>
      <c r="CS287" s="165">
        <f>IFERROR(CS284/CS229,"")</f>
        <v/>
      </c>
      <c r="CT287" s="22" t="n"/>
      <c r="CV287" s="40" t="n"/>
      <c r="CW287" s="40" t="n"/>
      <c r="CX287" s="40" t="n"/>
      <c r="CY287" s="40" t="n"/>
    </row>
    <row r="288" ht="15" customHeight="1">
      <c r="B288" s="12" t="inlineStr">
        <is>
          <t xml:space="preserve">  FCF per diluted share ($)</t>
        </is>
      </c>
      <c r="C288" s="167">
        <f>IFERROR(C284/C163,"")</f>
        <v/>
      </c>
      <c r="D288" s="167">
        <f>IFERROR(D284/D163,"")</f>
        <v/>
      </c>
      <c r="E288" s="167">
        <f>IFERROR(E284/E163,"")</f>
        <v/>
      </c>
      <c r="F288" s="167">
        <f>IFERROR(F284/F163,"")</f>
        <v/>
      </c>
      <c r="G288" s="167">
        <f>IFERROR(G284/G163,"")</f>
        <v/>
      </c>
      <c r="H288" s="167">
        <f>IFERROR(H284/H163,"")</f>
        <v/>
      </c>
      <c r="I288" s="167">
        <f>IFERROR(I284/I163,"")</f>
        <v/>
      </c>
      <c r="J288" s="30" t="n"/>
      <c r="K288" s="30" t="n"/>
      <c r="L288" s="29" t="n"/>
      <c r="M288" s="30" t="n"/>
      <c r="N288" s="30" t="n"/>
      <c r="O288" s="167">
        <f>IFERROR(O284/O163,"")</f>
        <v/>
      </c>
      <c r="P288" s="30" t="n"/>
      <c r="Q288" s="30" t="n"/>
      <c r="R288" s="29" t="n"/>
      <c r="S288" s="30" t="n"/>
      <c r="T288" s="30" t="n"/>
      <c r="U288" s="167">
        <f>IFERROR(U284/U163,"")</f>
        <v/>
      </c>
      <c r="V288" s="30" t="n"/>
      <c r="W288" s="30" t="n"/>
      <c r="X288" s="29" t="n"/>
      <c r="Y288" s="30" t="n"/>
      <c r="Z288" s="30" t="n"/>
      <c r="AA288" s="167">
        <f>IFERROR(AA284/AA163,"")</f>
        <v/>
      </c>
      <c r="AB288" s="30" t="n"/>
      <c r="AC288" s="30" t="n"/>
      <c r="AD288" s="29" t="n"/>
      <c r="AE288" s="30" t="n"/>
      <c r="AF288" s="30" t="n"/>
      <c r="AG288" s="167">
        <f>IFERROR(AG284/AG163,"")</f>
        <v/>
      </c>
      <c r="AH288" s="30" t="n"/>
      <c r="AI288" s="30" t="n"/>
      <c r="AJ288" s="29" t="n"/>
      <c r="AK288" s="30" t="n"/>
      <c r="AL288" s="30" t="n"/>
      <c r="AM288" s="167">
        <f>IFERROR(AM284/AM163,"")</f>
        <v/>
      </c>
      <c r="AN288" s="30" t="n"/>
      <c r="AO288" s="30" t="n"/>
      <c r="AP288" s="29" t="n"/>
      <c r="AQ288" s="30" t="n"/>
      <c r="AR288" s="30" t="n"/>
      <c r="AS288" s="167">
        <f>IFERROR(AS284/AS163,"")</f>
        <v/>
      </c>
      <c r="AT288" s="30" t="n"/>
      <c r="AU288" s="30" t="n"/>
      <c r="AV288" s="29" t="n"/>
      <c r="AW288" s="30" t="n"/>
      <c r="AX288" s="30" t="n"/>
      <c r="AY288" s="167">
        <f>IFERROR(AY284/AY163,"")</f>
        <v/>
      </c>
      <c r="AZ288" s="30" t="n"/>
      <c r="BA288" s="30" t="n"/>
      <c r="BB288" s="29" t="n"/>
      <c r="BC288" s="30" t="n"/>
      <c r="BD288" s="30" t="n"/>
      <c r="BE288" s="167">
        <f>IFERROR(BE284/BE163,"")</f>
        <v/>
      </c>
      <c r="BF288" s="30" t="n"/>
      <c r="BG288" s="30" t="n"/>
      <c r="BH288" s="29" t="n"/>
      <c r="BI288" s="30" t="n"/>
      <c r="BJ288" s="30" t="n"/>
      <c r="BK288" s="167">
        <f>IFERROR(BK284/BK163,"")</f>
        <v/>
      </c>
      <c r="BL288" s="30" t="n"/>
      <c r="BM288" s="30" t="n"/>
      <c r="BN288" s="29" t="n"/>
      <c r="BO288" s="30" t="n"/>
      <c r="BP288" s="30" t="n"/>
      <c r="BQ288" s="167">
        <f>IFERROR(BQ284/BQ163,"")</f>
        <v/>
      </c>
      <c r="BR288" s="30" t="n"/>
      <c r="BS288" s="30" t="n"/>
      <c r="BT288" s="29" t="n"/>
      <c r="BU288" s="30" t="n"/>
      <c r="BV288" s="30" t="n"/>
      <c r="BW288" s="167">
        <f>IFERROR(BW284/BW163,"")</f>
        <v/>
      </c>
      <c r="BX288" s="30" t="n"/>
      <c r="BY288" s="30" t="n"/>
      <c r="BZ288" s="29" t="n"/>
      <c r="CA288" s="30" t="n"/>
      <c r="CB288" s="30" t="n"/>
      <c r="CC288" s="167">
        <f>IFERROR(CC284/CC163,"")</f>
        <v/>
      </c>
      <c r="CD288" s="30" t="n"/>
      <c r="CE288" s="30" t="n"/>
      <c r="CF288" s="29" t="n"/>
      <c r="CG288" s="30" t="n"/>
      <c r="CH288" s="30" t="n"/>
      <c r="CI288" s="167">
        <f>IFERROR(CI284/CI163,"")</f>
        <v/>
      </c>
      <c r="CJ288" s="30" t="n"/>
      <c r="CK288" s="30" t="n"/>
      <c r="CL288" s="167">
        <f>IFERROR(CL284/CL163,"")</f>
        <v/>
      </c>
      <c r="CM288" s="31" t="n"/>
      <c r="CN288" s="31" t="n"/>
      <c r="CO288" s="168">
        <f>IFERROR(CO284/CO163,"")</f>
        <v/>
      </c>
      <c r="CP288" s="168">
        <f>IFERROR(CP284/CP163,"")</f>
        <v/>
      </c>
      <c r="CQ288" s="168">
        <f>IFERROR(CQ284/CQ163,"")</f>
        <v/>
      </c>
      <c r="CR288" s="168">
        <f>IFERROR(CR284/CR163,"")</f>
        <v/>
      </c>
      <c r="CS288" s="168">
        <f>IFERROR(CS284/CS163,"")</f>
        <v/>
      </c>
      <c r="CT288" s="22" t="n"/>
      <c r="CV288" s="23">
        <f>IFERROR((CS288/CI288)^(1/5)-1,"n/m")</f>
        <v/>
      </c>
      <c r="CW288" s="23">
        <f>IFERROR((CI288/BE288)^(1/5)-1,"n/m")</f>
        <v/>
      </c>
      <c r="CX288" s="23">
        <f>IFERROR((CI288/AA288)^(1/10)-1,"n/m")</f>
        <v/>
      </c>
      <c r="CY288" s="23">
        <f>IFERROR((CI288/C288)^(1/19)-1,"n/m")</f>
        <v/>
      </c>
    </row>
    <row r="289" ht="15" customHeight="1">
      <c r="B289" s="12" t="inlineStr">
        <is>
          <t xml:space="preserve">  Cash returned to shareholders (dividends + buybacks)</t>
        </is>
      </c>
      <c r="C289" s="170">
        <f>IF(ISNUMBER(C263),-N(C274)-N(C273),"")</f>
        <v/>
      </c>
      <c r="D289" s="170">
        <f>IF(ISNUMBER(D263),-N(D274)-N(D273),"")</f>
        <v/>
      </c>
      <c r="E289" s="170">
        <f>IF(ISNUMBER(E263),-N(E274)-N(E273),"")</f>
        <v/>
      </c>
      <c r="F289" s="170">
        <f>IF(ISNUMBER(F263),-N(F274)-N(F273),"")</f>
        <v/>
      </c>
      <c r="G289" s="170">
        <f>IF(ISNUMBER(G263),-N(G274)-N(G273),"")</f>
        <v/>
      </c>
      <c r="H289" s="170">
        <f>IF(ISNUMBER(H263),-N(H274)-N(H273),"")</f>
        <v/>
      </c>
      <c r="I289" s="170">
        <f>IF(ISNUMBER(I263),-N(I274)-N(I273),"")</f>
        <v/>
      </c>
      <c r="J289" s="30" t="n"/>
      <c r="K289" s="30" t="n"/>
      <c r="L289" s="29" t="n"/>
      <c r="M289" s="30" t="n"/>
      <c r="N289" s="30" t="n"/>
      <c r="O289" s="170">
        <f>IF(ISNUMBER(O263),-N(O274)-N(O273),"")</f>
        <v/>
      </c>
      <c r="P289" s="30" t="n"/>
      <c r="Q289" s="30" t="n"/>
      <c r="R289" s="29" t="n"/>
      <c r="S289" s="30" t="n"/>
      <c r="T289" s="30" t="n"/>
      <c r="U289" s="170">
        <f>IF(ISNUMBER(U263),-N(U274)-N(U273),"")</f>
        <v/>
      </c>
      <c r="V289" s="30" t="n"/>
      <c r="W289" s="30" t="n"/>
      <c r="X289" s="29" t="n"/>
      <c r="Y289" s="30" t="n"/>
      <c r="Z289" s="30" t="n"/>
      <c r="AA289" s="170">
        <f>IF(ISNUMBER(AA263),-N(AA274)-N(AA273),"")</f>
        <v/>
      </c>
      <c r="AB289" s="30" t="n"/>
      <c r="AC289" s="30" t="n"/>
      <c r="AD289" s="29" t="n"/>
      <c r="AE289" s="30" t="n"/>
      <c r="AF289" s="30" t="n"/>
      <c r="AG289" s="170">
        <f>IF(ISNUMBER(AG263),-N(AG274)-N(AG273),"")</f>
        <v/>
      </c>
      <c r="AH289" s="30" t="n"/>
      <c r="AI289" s="30" t="n"/>
      <c r="AJ289" s="29" t="n"/>
      <c r="AK289" s="30" t="n"/>
      <c r="AL289" s="30" t="n"/>
      <c r="AM289" s="170">
        <f>IF(ISNUMBER(AM263),-N(AM274)-N(AM273),"")</f>
        <v/>
      </c>
      <c r="AN289" s="30" t="n"/>
      <c r="AO289" s="30" t="n"/>
      <c r="AP289" s="29" t="n"/>
      <c r="AQ289" s="30" t="n"/>
      <c r="AR289" s="30" t="n"/>
      <c r="AS289" s="170">
        <f>IF(ISNUMBER(AS263),-N(AS274)-N(AS273),"")</f>
        <v/>
      </c>
      <c r="AT289" s="30" t="n"/>
      <c r="AU289" s="30" t="n"/>
      <c r="AV289" s="29" t="n"/>
      <c r="AW289" s="30" t="n"/>
      <c r="AX289" s="30" t="n"/>
      <c r="AY289" s="170">
        <f>IF(ISNUMBER(AY263),-N(AY274)-N(AY273),"")</f>
        <v/>
      </c>
      <c r="AZ289" s="30" t="n"/>
      <c r="BA289" s="30" t="n"/>
      <c r="BB289" s="29" t="n"/>
      <c r="BC289" s="30" t="n"/>
      <c r="BD289" s="30" t="n"/>
      <c r="BE289" s="170">
        <f>IF(ISNUMBER(BE263),-N(BE274)-N(BE273),"")</f>
        <v/>
      </c>
      <c r="BF289" s="30" t="n"/>
      <c r="BG289" s="30" t="n"/>
      <c r="BH289" s="29" t="n"/>
      <c r="BI289" s="30" t="n"/>
      <c r="BJ289" s="30" t="n"/>
      <c r="BK289" s="170">
        <f>IF(ISNUMBER(BK263),-N(BK274)-N(BK273),"")</f>
        <v/>
      </c>
      <c r="BL289" s="30" t="n"/>
      <c r="BM289" s="30" t="n"/>
      <c r="BN289" s="29" t="n"/>
      <c r="BO289" s="30" t="n"/>
      <c r="BP289" s="30" t="n"/>
      <c r="BQ289" s="170">
        <f>IF(ISNUMBER(BQ263),-N(BQ274)-N(BQ273),"")</f>
        <v/>
      </c>
      <c r="BR289" s="30" t="n"/>
      <c r="BS289" s="30" t="n"/>
      <c r="BT289" s="29" t="n"/>
      <c r="BU289" s="30" t="n"/>
      <c r="BV289" s="30" t="n"/>
      <c r="BW289" s="170">
        <f>IF(ISNUMBER(BW263),-N(BW274)-N(BW273),"")</f>
        <v/>
      </c>
      <c r="BX289" s="30" t="n"/>
      <c r="BY289" s="30" t="n"/>
      <c r="BZ289" s="29" t="n"/>
      <c r="CA289" s="30" t="n"/>
      <c r="CB289" s="30" t="n"/>
      <c r="CC289" s="170">
        <f>IF(ISNUMBER(CC263),-N(CC274)-N(CC273),"")</f>
        <v/>
      </c>
      <c r="CD289" s="30" t="n"/>
      <c r="CE289" s="30" t="n"/>
      <c r="CF289" s="29" t="n"/>
      <c r="CG289" s="30" t="n"/>
      <c r="CH289" s="30" t="n"/>
      <c r="CI289" s="170">
        <f>IF(ISNUMBER(CI263),-N(CI274)-N(CI273),"")</f>
        <v/>
      </c>
      <c r="CJ289" s="30" t="n"/>
      <c r="CK289" s="30" t="n"/>
      <c r="CL289" s="170">
        <f>IF(ISNUMBER(CL263),-N(CL274)-N(CL273),"")</f>
        <v/>
      </c>
      <c r="CM289" s="31" t="n"/>
      <c r="CN289" s="31" t="n"/>
      <c r="CO289" s="171">
        <f>IF(ISNUMBER(CO263),-N(CO274)-N(CO273),"")</f>
        <v/>
      </c>
      <c r="CP289" s="171">
        <f>IF(ISNUMBER(CP263),-N(CP274)-N(CP273),"")</f>
        <v/>
      </c>
      <c r="CQ289" s="171">
        <f>IF(ISNUMBER(CQ263),-N(CQ274)-N(CQ273),"")</f>
        <v/>
      </c>
      <c r="CR289" s="171">
        <f>IF(ISNUMBER(CR263),-N(CR274)-N(CR273),"")</f>
        <v/>
      </c>
      <c r="CS289" s="171">
        <f>IF(ISNUMBER(CS263),-N(CS274)-N(CS273),"")</f>
        <v/>
      </c>
      <c r="CT289" s="22" t="n"/>
      <c r="CV289" s="23" t="n"/>
      <c r="CW289" s="23" t="n"/>
      <c r="CX289" s="23" t="n"/>
      <c r="CY289" s="23" t="n"/>
    </row>
    <row r="290" ht="15" customHeight="1">
      <c r="B290" s="12" t="inlineStr">
        <is>
          <t>Capex ratios</t>
        </is>
      </c>
      <c r="C290" s="29" t="n"/>
      <c r="D290" s="29" t="n"/>
      <c r="E290" s="30" t="n"/>
      <c r="F290" s="30" t="n"/>
      <c r="G290" s="30" t="n"/>
      <c r="H290" s="30" t="n"/>
      <c r="I290" s="30" t="n"/>
      <c r="J290" s="30" t="n"/>
      <c r="K290" s="30" t="n"/>
      <c r="L290" s="29" t="n"/>
      <c r="M290" s="30" t="n"/>
      <c r="N290" s="30" t="n"/>
      <c r="O290" s="30" t="n"/>
      <c r="P290" s="30" t="n"/>
      <c r="Q290" s="30" t="n"/>
      <c r="R290" s="29" t="n"/>
      <c r="S290" s="30" t="n"/>
      <c r="T290" s="30" t="n"/>
      <c r="U290" s="30" t="n"/>
      <c r="V290" s="30" t="n"/>
      <c r="W290" s="30" t="n"/>
      <c r="X290" s="29" t="n"/>
      <c r="Y290" s="30" t="n"/>
      <c r="Z290" s="30" t="n"/>
      <c r="AA290" s="30" t="n"/>
      <c r="AB290" s="30" t="n"/>
      <c r="AC290" s="30" t="n"/>
      <c r="AD290" s="29" t="n"/>
      <c r="AE290" s="30" t="n"/>
      <c r="AF290" s="30" t="n"/>
      <c r="AG290" s="30" t="n"/>
      <c r="AH290" s="30" t="n"/>
      <c r="AI290" s="30" t="n"/>
      <c r="AJ290" s="29" t="n"/>
      <c r="AK290" s="30" t="n"/>
      <c r="AL290" s="30" t="n"/>
      <c r="AM290" s="30" t="n"/>
      <c r="AN290" s="30" t="n"/>
      <c r="AO290" s="30" t="n"/>
      <c r="AP290" s="29" t="n"/>
      <c r="AQ290" s="30" t="n"/>
      <c r="AR290" s="30" t="n"/>
      <c r="AS290" s="30" t="n"/>
      <c r="AT290" s="30" t="n"/>
      <c r="AU290" s="30" t="n"/>
      <c r="AV290" s="29" t="n"/>
      <c r="AW290" s="30" t="n"/>
      <c r="AX290" s="30" t="n"/>
      <c r="AY290" s="30" t="n"/>
      <c r="AZ290" s="30" t="n"/>
      <c r="BA290" s="30" t="n"/>
      <c r="BB290" s="29" t="n"/>
      <c r="BC290" s="30" t="n"/>
      <c r="BD290" s="30" t="n"/>
      <c r="BE290" s="30" t="n"/>
      <c r="BF290" s="30" t="n"/>
      <c r="BG290" s="30" t="n"/>
      <c r="BH290" s="29" t="n"/>
      <c r="BI290" s="30" t="n"/>
      <c r="BJ290" s="30" t="n"/>
      <c r="BK290" s="30" t="n"/>
      <c r="BL290" s="30" t="n"/>
      <c r="BM290" s="30" t="n"/>
      <c r="BN290" s="29" t="n"/>
      <c r="BO290" s="30" t="n"/>
      <c r="BP290" s="30" t="n"/>
      <c r="BQ290" s="30" t="n"/>
      <c r="BR290" s="30" t="n"/>
      <c r="BS290" s="30" t="n"/>
      <c r="BT290" s="29" t="n"/>
      <c r="BU290" s="30" t="n"/>
      <c r="BV290" s="30" t="n"/>
      <c r="BW290" s="30" t="n"/>
      <c r="BX290" s="30" t="n"/>
      <c r="BY290" s="30" t="n"/>
      <c r="BZ290" s="29" t="n"/>
      <c r="CA290" s="30" t="n"/>
      <c r="CB290" s="30" t="n"/>
      <c r="CC290" s="30" t="n"/>
      <c r="CD290" s="30" t="n"/>
      <c r="CE290" s="30" t="n"/>
      <c r="CF290" s="29" t="n"/>
      <c r="CG290" s="30" t="n"/>
      <c r="CH290" s="30" t="n"/>
      <c r="CI290" s="30" t="n"/>
      <c r="CJ290" s="30" t="n"/>
      <c r="CK290" s="30" t="n"/>
      <c r="CL290" s="29" t="n"/>
      <c r="CM290" s="31" t="n"/>
      <c r="CN290" s="31" t="n"/>
      <c r="CO290" s="31" t="n"/>
      <c r="CP290" s="31" t="n"/>
      <c r="CQ290" s="31" t="n"/>
      <c r="CR290" s="31" t="n"/>
      <c r="CS290" s="31" t="n"/>
      <c r="CT290" s="22" t="n"/>
      <c r="CV290" s="23" t="n"/>
      <c r="CW290" s="23" t="n"/>
      <c r="CX290" s="23" t="n"/>
      <c r="CY290" s="23" t="n"/>
    </row>
    <row r="291" ht="15" customHeight="1">
      <c r="B291" s="25" t="inlineStr">
        <is>
          <t xml:space="preserve">  Capex % of revenues</t>
        </is>
      </c>
      <c r="C291" s="179">
        <f>IFERROR(-N(C264)/C138,"")</f>
        <v/>
      </c>
      <c r="D291" s="179">
        <f>IFERROR(-N(D264)/D138,"")</f>
        <v/>
      </c>
      <c r="E291" s="179">
        <f>IFERROR(-N(E264)/E138,"")</f>
        <v/>
      </c>
      <c r="F291" s="179">
        <f>IFERROR(-N(F264)/F138,"")</f>
        <v/>
      </c>
      <c r="G291" s="179">
        <f>IFERROR(-N(G264)/G138,"")</f>
        <v/>
      </c>
      <c r="H291" s="179">
        <f>IFERROR(-N(H264)/H138,"")</f>
        <v/>
      </c>
      <c r="I291" s="179">
        <f>IFERROR(-N(I264)/I138,"")</f>
        <v/>
      </c>
      <c r="J291" s="39" t="n"/>
      <c r="K291" s="39" t="n"/>
      <c r="L291" s="39" t="n"/>
      <c r="M291" s="39" t="n"/>
      <c r="N291" s="39" t="n"/>
      <c r="O291" s="179">
        <f>IFERROR(-N(O264)/O138,"")</f>
        <v/>
      </c>
      <c r="P291" s="39" t="n"/>
      <c r="Q291" s="39" t="n"/>
      <c r="R291" s="39" t="n"/>
      <c r="S291" s="39" t="n"/>
      <c r="T291" s="39" t="n"/>
      <c r="U291" s="179">
        <f>IFERROR(-N(U264)/U138,"")</f>
        <v/>
      </c>
      <c r="V291" s="39" t="n"/>
      <c r="W291" s="39" t="n"/>
      <c r="X291" s="39" t="n"/>
      <c r="Y291" s="39" t="n"/>
      <c r="Z291" s="39" t="n"/>
      <c r="AA291" s="179">
        <f>IFERROR(-N(AA264)/AA138,"")</f>
        <v/>
      </c>
      <c r="AB291" s="39" t="n"/>
      <c r="AC291" s="39" t="n"/>
      <c r="AD291" s="39" t="n"/>
      <c r="AE291" s="39" t="n"/>
      <c r="AF291" s="39" t="n"/>
      <c r="AG291" s="179">
        <f>IFERROR(-N(AG264)/AG138,"")</f>
        <v/>
      </c>
      <c r="AH291" s="39" t="n"/>
      <c r="AI291" s="39" t="n"/>
      <c r="AJ291" s="39" t="n"/>
      <c r="AK291" s="39" t="n"/>
      <c r="AL291" s="39" t="n"/>
      <c r="AM291" s="179">
        <f>IFERROR(-N(AM264)/AM138,"")</f>
        <v/>
      </c>
      <c r="AN291" s="39" t="n"/>
      <c r="AO291" s="39" t="n"/>
      <c r="AP291" s="39" t="n"/>
      <c r="AQ291" s="39" t="n"/>
      <c r="AR291" s="39" t="n"/>
      <c r="AS291" s="179">
        <f>IFERROR(-N(AS264)/AS138,"")</f>
        <v/>
      </c>
      <c r="AT291" s="39" t="n"/>
      <c r="AU291" s="39" t="n"/>
      <c r="AV291" s="39" t="n"/>
      <c r="AW291" s="39" t="n"/>
      <c r="AX291" s="39" t="n"/>
      <c r="AY291" s="179">
        <f>IFERROR(-N(AY264)/AY138,"")</f>
        <v/>
      </c>
      <c r="AZ291" s="39" t="n"/>
      <c r="BA291" s="39" t="n"/>
      <c r="BB291" s="39" t="n"/>
      <c r="BC291" s="39" t="n"/>
      <c r="BD291" s="39" t="n"/>
      <c r="BE291" s="179">
        <f>IFERROR(-N(BE264)/BE138,"")</f>
        <v/>
      </c>
      <c r="BF291" s="39" t="n"/>
      <c r="BG291" s="39" t="n"/>
      <c r="BH291" s="39" t="n"/>
      <c r="BI291" s="39" t="n"/>
      <c r="BJ291" s="39" t="n"/>
      <c r="BK291" s="179">
        <f>IFERROR(-N(BK264)/BK138,"")</f>
        <v/>
      </c>
      <c r="BL291" s="39" t="n"/>
      <c r="BM291" s="39" t="n"/>
      <c r="BN291" s="39" t="n"/>
      <c r="BO291" s="39" t="n"/>
      <c r="BP291" s="39" t="n"/>
      <c r="BQ291" s="179">
        <f>IFERROR(-N(BQ264)/BQ138,"")</f>
        <v/>
      </c>
      <c r="BR291" s="39" t="n"/>
      <c r="BS291" s="39" t="n"/>
      <c r="BT291" s="39" t="n"/>
      <c r="BU291" s="39" t="n"/>
      <c r="BV291" s="39" t="n"/>
      <c r="BW291" s="179">
        <f>IFERROR(-N(BW264)/BW138,"")</f>
        <v/>
      </c>
      <c r="BX291" s="39" t="n"/>
      <c r="BY291" s="39" t="n"/>
      <c r="BZ291" s="39" t="n"/>
      <c r="CA291" s="39" t="n"/>
      <c r="CB291" s="39" t="n"/>
      <c r="CC291" s="179">
        <f>IFERROR(-N(CC264)/CC138,"")</f>
        <v/>
      </c>
      <c r="CD291" s="39" t="n"/>
      <c r="CE291" s="39" t="n"/>
      <c r="CF291" s="39" t="n"/>
      <c r="CG291" s="39" t="n"/>
      <c r="CH291" s="39" t="n"/>
      <c r="CI291" s="179">
        <f>IFERROR(-N(CI264)/CI138,"")</f>
        <v/>
      </c>
      <c r="CJ291" s="39" t="n"/>
      <c r="CK291" s="39" t="n"/>
      <c r="CL291" s="179">
        <f>IFERROR(-N(CL264)/CL138,"")</f>
        <v/>
      </c>
      <c r="CM291" s="27" t="n"/>
      <c r="CN291" s="27" t="n"/>
      <c r="CO291" s="165">
        <f>IFERROR(-N(CO264)/CO138,"")</f>
        <v/>
      </c>
      <c r="CP291" s="182" t="n">
        <v>0.095</v>
      </c>
      <c r="CQ291" s="182" t="n">
        <v>0.095</v>
      </c>
      <c r="CR291" s="182" t="n">
        <v>0.095</v>
      </c>
      <c r="CS291" s="182" t="n">
        <v>0.095</v>
      </c>
      <c r="CT291" s="22" t="n"/>
      <c r="CV291" s="40">
        <f>IFERROR(AVERAGE(CO291,CP291,CQ291,CR291,CS291),"n/m")</f>
        <v/>
      </c>
      <c r="CW291" s="40">
        <f>IFERROR(AVERAGE(BK291,BQ291,BW291,CC291,CI291),"n/m")</f>
        <v/>
      </c>
      <c r="CX291" s="40">
        <f>IFERROR(AVERAGE(AG291,AM291,AS291,AY291,BE291,BK291,BQ291,BW291,CC291,CI291),"n/m")</f>
        <v/>
      </c>
      <c r="CY291" s="40">
        <f>IFERROR(AVERAGE(C291,D291,E291,F291,G291,H291,I291,O291,U291,AA291,AG291,AM291,AS291,AY291,BE291,BK291,BQ291,BW291,CC291,CI291),"n/m")</f>
        <v/>
      </c>
    </row>
    <row r="292" ht="15" customHeight="1">
      <c r="B292" s="12" t="inlineStr">
        <is>
          <t xml:space="preserve">  Capex / DDA&amp;A (x)</t>
        </is>
      </c>
      <c r="C292" s="194">
        <f>IFERROR(-N(C264)/C255,"")</f>
        <v/>
      </c>
      <c r="D292" s="194">
        <f>IFERROR(-N(D264)/D255,"")</f>
        <v/>
      </c>
      <c r="E292" s="194">
        <f>IFERROR(-N(E264)/E255,"")</f>
        <v/>
      </c>
      <c r="F292" s="194">
        <f>IFERROR(-N(F264)/F255,"")</f>
        <v/>
      </c>
      <c r="G292" s="194">
        <f>IFERROR(-N(G264)/G255,"")</f>
        <v/>
      </c>
      <c r="H292" s="194">
        <f>IFERROR(-N(H264)/H255,"")</f>
        <v/>
      </c>
      <c r="I292" s="194">
        <f>IFERROR(-N(I264)/I255,"")</f>
        <v/>
      </c>
      <c r="J292" s="30" t="n"/>
      <c r="K292" s="30" t="n"/>
      <c r="L292" s="29" t="n"/>
      <c r="M292" s="30" t="n"/>
      <c r="N292" s="30" t="n"/>
      <c r="O292" s="194">
        <f>IFERROR(-N(O264)/O255,"")</f>
        <v/>
      </c>
      <c r="P292" s="30" t="n"/>
      <c r="Q292" s="30" t="n"/>
      <c r="R292" s="29" t="n"/>
      <c r="S292" s="30" t="n"/>
      <c r="T292" s="30" t="n"/>
      <c r="U292" s="194">
        <f>IFERROR(-N(U264)/U255,"")</f>
        <v/>
      </c>
      <c r="V292" s="30" t="n"/>
      <c r="W292" s="30" t="n"/>
      <c r="X292" s="29" t="n"/>
      <c r="Y292" s="30" t="n"/>
      <c r="Z292" s="30" t="n"/>
      <c r="AA292" s="194">
        <f>IFERROR(-N(AA264)/AA255,"")</f>
        <v/>
      </c>
      <c r="AB292" s="30" t="n"/>
      <c r="AC292" s="30" t="n"/>
      <c r="AD292" s="29" t="n"/>
      <c r="AE292" s="30" t="n"/>
      <c r="AF292" s="30" t="n"/>
      <c r="AG292" s="194">
        <f>IFERROR(-N(AG264)/AG255,"")</f>
        <v/>
      </c>
      <c r="AH292" s="30" t="n"/>
      <c r="AI292" s="30" t="n"/>
      <c r="AJ292" s="29" t="n"/>
      <c r="AK292" s="30" t="n"/>
      <c r="AL292" s="30" t="n"/>
      <c r="AM292" s="194">
        <f>IFERROR(-N(AM264)/AM255,"")</f>
        <v/>
      </c>
      <c r="AN292" s="30" t="n"/>
      <c r="AO292" s="30" t="n"/>
      <c r="AP292" s="29" t="n"/>
      <c r="AQ292" s="30" t="n"/>
      <c r="AR292" s="30" t="n"/>
      <c r="AS292" s="194">
        <f>IFERROR(-N(AS264)/AS255,"")</f>
        <v/>
      </c>
      <c r="AT292" s="30" t="n"/>
      <c r="AU292" s="30" t="n"/>
      <c r="AV292" s="29" t="n"/>
      <c r="AW292" s="30" t="n"/>
      <c r="AX292" s="30" t="n"/>
      <c r="AY292" s="194">
        <f>IFERROR(-N(AY264)/AY255,"")</f>
        <v/>
      </c>
      <c r="AZ292" s="30" t="n"/>
      <c r="BA292" s="30" t="n"/>
      <c r="BB292" s="29" t="n"/>
      <c r="BC292" s="30" t="n"/>
      <c r="BD292" s="30" t="n"/>
      <c r="BE292" s="194">
        <f>IFERROR(-N(BE264)/BE255,"")</f>
        <v/>
      </c>
      <c r="BF292" s="30" t="n"/>
      <c r="BG292" s="30" t="n"/>
      <c r="BH292" s="29" t="n"/>
      <c r="BI292" s="30" t="n"/>
      <c r="BJ292" s="30" t="n"/>
      <c r="BK292" s="194">
        <f>IFERROR(-N(BK264)/BK255,"")</f>
        <v/>
      </c>
      <c r="BL292" s="30" t="n"/>
      <c r="BM292" s="30" t="n"/>
      <c r="BN292" s="29" t="n"/>
      <c r="BO292" s="30" t="n"/>
      <c r="BP292" s="30" t="n"/>
      <c r="BQ292" s="194">
        <f>IFERROR(-N(BQ264)/BQ255,"")</f>
        <v/>
      </c>
      <c r="BR292" s="30" t="n"/>
      <c r="BS292" s="30" t="n"/>
      <c r="BT292" s="29" t="n"/>
      <c r="BU292" s="30" t="n"/>
      <c r="BV292" s="30" t="n"/>
      <c r="BW292" s="194">
        <f>IFERROR(-N(BW264)/BW255,"")</f>
        <v/>
      </c>
      <c r="BX292" s="30" t="n"/>
      <c r="BY292" s="30" t="n"/>
      <c r="BZ292" s="29" t="n"/>
      <c r="CA292" s="30" t="n"/>
      <c r="CB292" s="30" t="n"/>
      <c r="CC292" s="194">
        <f>IFERROR(-N(CC264)/CC255,"")</f>
        <v/>
      </c>
      <c r="CD292" s="30" t="n"/>
      <c r="CE292" s="30" t="n"/>
      <c r="CF292" s="29" t="n"/>
      <c r="CG292" s="30" t="n"/>
      <c r="CH292" s="30" t="n"/>
      <c r="CI292" s="194">
        <f>IFERROR(-N(CI264)/CI255,"")</f>
        <v/>
      </c>
      <c r="CJ292" s="30" t="n"/>
      <c r="CK292" s="30" t="n"/>
      <c r="CL292" s="194">
        <f>IFERROR(-N(CL264)/CL255,"")</f>
        <v/>
      </c>
      <c r="CM292" s="31" t="n"/>
      <c r="CN292" s="31" t="n"/>
      <c r="CO292" s="195">
        <f>IFERROR(-N(CO264)/CO255,"")</f>
        <v/>
      </c>
      <c r="CP292" s="195">
        <f>IFERROR(-N(CP264)/CP255,"")</f>
        <v/>
      </c>
      <c r="CQ292" s="195">
        <f>IFERROR(-N(CQ264)/CQ255,"")</f>
        <v/>
      </c>
      <c r="CR292" s="195">
        <f>IFERROR(-N(CR264)/CR255,"")</f>
        <v/>
      </c>
      <c r="CS292" s="195">
        <f>IFERROR(-N(CS264)/CS255,"")</f>
        <v/>
      </c>
      <c r="CT292" s="22" t="n"/>
      <c r="CV292" s="23" t="n"/>
      <c r="CW292" s="23" t="n"/>
      <c r="CX292" s="23" t="n"/>
      <c r="CY292" s="23" t="n"/>
    </row>
    <row r="293" ht="15" customHeight="1">
      <c r="B293" s="12" t="n"/>
      <c r="CM293" s="6" t="n"/>
      <c r="CN293" s="6" t="n"/>
      <c r="CO293" s="6" t="n"/>
      <c r="CP293" s="6" t="n"/>
      <c r="CQ293" s="6" t="n"/>
      <c r="CR293" s="6" t="n"/>
      <c r="CS293" s="6" t="n"/>
      <c r="CT293" s="6" t="n"/>
    </row>
    <row r="294" ht="15" customHeight="1">
      <c r="B294" s="11" t="inlineStr">
        <is>
          <t>SHARE BUYBACK SCHEDULE</t>
        </is>
      </c>
      <c r="C294" s="11" t="n"/>
      <c r="D294" s="11" t="n"/>
      <c r="E294" s="11"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c r="AH294" s="11" t="n"/>
      <c r="AI294" s="11" t="n"/>
      <c r="AJ294" s="11" t="n"/>
      <c r="AK294" s="11" t="n"/>
      <c r="AL294" s="11" t="n"/>
      <c r="AM294" s="11" t="n"/>
      <c r="AN294" s="11" t="n"/>
      <c r="AO294" s="11" t="n"/>
      <c r="AP294" s="11" t="n"/>
      <c r="AQ294" s="11" t="n"/>
      <c r="AR294" s="11" t="n"/>
      <c r="AS294" s="11" t="n"/>
      <c r="AT294" s="11" t="n"/>
      <c r="AU294" s="11" t="n"/>
      <c r="AV294" s="11" t="n"/>
      <c r="AW294" s="11" t="n"/>
      <c r="AX294" s="11" t="n"/>
      <c r="AY294" s="11" t="n"/>
      <c r="AZ294" s="11" t="n"/>
      <c r="BA294" s="11" t="n"/>
      <c r="BB294" s="11" t="n"/>
      <c r="BC294" s="11" t="n"/>
      <c r="BD294" s="11" t="n"/>
      <c r="BE294" s="11" t="n"/>
      <c r="BF294" s="11" t="n"/>
      <c r="BG294" s="11" t="n"/>
      <c r="BH294" s="11" t="n"/>
      <c r="BI294" s="11" t="n"/>
      <c r="BJ294" s="11" t="n"/>
      <c r="BK294" s="11" t="n"/>
      <c r="BL294" s="11" t="n"/>
      <c r="BM294" s="11" t="n"/>
      <c r="BN294" s="11" t="n"/>
      <c r="BO294" s="11" t="n"/>
      <c r="BP294" s="11" t="n"/>
      <c r="BQ294" s="11" t="n"/>
      <c r="BR294" s="11" t="n"/>
      <c r="BS294" s="11" t="n"/>
      <c r="BT294" s="11" t="n"/>
      <c r="BU294" s="11" t="n"/>
      <c r="BV294" s="11" t="n"/>
      <c r="BW294" s="11" t="n"/>
      <c r="BX294" s="11" t="n"/>
      <c r="BY294" s="11" t="n"/>
      <c r="BZ294" s="11" t="n"/>
      <c r="CA294" s="11" t="n"/>
      <c r="CB294" s="11" t="n"/>
      <c r="CC294" s="11" t="n"/>
      <c r="CD294" s="11" t="n"/>
      <c r="CE294" s="11" t="n"/>
      <c r="CF294" s="11" t="n"/>
      <c r="CG294" s="11" t="n"/>
      <c r="CH294" s="11" t="n"/>
      <c r="CI294" s="11" t="n"/>
      <c r="CJ294" s="11" t="n"/>
      <c r="CK294" s="11" t="n"/>
      <c r="CL294" s="11" t="n"/>
      <c r="CM294" s="11" t="n"/>
      <c r="CN294" s="11" t="n"/>
      <c r="CO294" s="11" t="n"/>
      <c r="CP294" s="11" t="n"/>
      <c r="CQ294" s="11" t="n"/>
      <c r="CR294" s="11" t="n"/>
      <c r="CS294" s="11" t="n"/>
      <c r="CT294" s="11" t="inlineStr">
        <is>
          <t>SHARE BUYBACKS — 2026E row = 2H/26 only (1H/26 repurchases already in Q1/Q2 share counts)</t>
        </is>
      </c>
    </row>
    <row r="295" ht="15" customHeight="1">
      <c r="B295" s="12" t="inlineStr">
        <is>
          <t xml:space="preserve">  Avg buyback price ($)</t>
        </is>
      </c>
      <c r="C295" s="29" t="n"/>
      <c r="D295" s="29" t="n"/>
      <c r="E295" s="30" t="n"/>
      <c r="F295" s="30" t="n"/>
      <c r="G295" s="30" t="n"/>
      <c r="H295" s="30" t="n"/>
      <c r="I295" s="30" t="n"/>
      <c r="J295" s="30" t="n"/>
      <c r="K295" s="30" t="n"/>
      <c r="L295" s="29" t="n"/>
      <c r="M295" s="30" t="n"/>
      <c r="N295" s="30" t="n"/>
      <c r="O295" s="30" t="n"/>
      <c r="P295" s="30" t="n"/>
      <c r="Q295" s="30" t="n"/>
      <c r="R295" s="29" t="n"/>
      <c r="S295" s="30" t="n"/>
      <c r="T295" s="30" t="n"/>
      <c r="U295" s="30" t="n"/>
      <c r="V295" s="30" t="n"/>
      <c r="W295" s="30" t="n"/>
      <c r="X295" s="29" t="n"/>
      <c r="Y295" s="30" t="n"/>
      <c r="Z295" s="30" t="n"/>
      <c r="AA295" s="30" t="n"/>
      <c r="AB295" s="30" t="n"/>
      <c r="AC295" s="30" t="n"/>
      <c r="AD295" s="29" t="n"/>
      <c r="AE295" s="30" t="n"/>
      <c r="AF295" s="30" t="n"/>
      <c r="AG295" s="30" t="n"/>
      <c r="AH295" s="30" t="n"/>
      <c r="AI295" s="30" t="n"/>
      <c r="AJ295" s="29" t="n"/>
      <c r="AK295" s="30" t="n"/>
      <c r="AL295" s="30" t="n"/>
      <c r="AM295" s="30" t="n"/>
      <c r="AN295" s="30" t="n"/>
      <c r="AO295" s="30" t="n"/>
      <c r="AP295" s="29" t="n"/>
      <c r="AQ295" s="30" t="n"/>
      <c r="AR295" s="30" t="n"/>
      <c r="AS295" s="30" t="n"/>
      <c r="AT295" s="30" t="n"/>
      <c r="AU295" s="30" t="n"/>
      <c r="AV295" s="29" t="n"/>
      <c r="AW295" s="30" t="n"/>
      <c r="AX295" s="30" t="n"/>
      <c r="AY295" s="30" t="n"/>
      <c r="AZ295" s="30" t="n"/>
      <c r="BA295" s="30" t="n"/>
      <c r="BB295" s="29" t="n"/>
      <c r="BC295" s="30" t="n"/>
      <c r="BD295" s="30" t="n"/>
      <c r="BE295" s="30" t="n"/>
      <c r="BF295" s="30" t="n"/>
      <c r="BG295" s="30" t="n"/>
      <c r="BH295" s="29" t="n"/>
      <c r="BI295" s="30" t="n"/>
      <c r="BJ295" s="30" t="n"/>
      <c r="BK295" s="30" t="n"/>
      <c r="BL295" s="30" t="n"/>
      <c r="BM295" s="30" t="n"/>
      <c r="BN295" s="29" t="n"/>
      <c r="BO295" s="30" t="n"/>
      <c r="BP295" s="30" t="n"/>
      <c r="BQ295" s="30" t="n"/>
      <c r="BR295" s="30" t="n"/>
      <c r="BS295" s="30" t="n"/>
      <c r="BT295" s="29" t="n"/>
      <c r="BU295" s="30" t="n"/>
      <c r="BV295" s="30" t="n"/>
      <c r="BW295" s="30" t="n"/>
      <c r="BX295" s="30" t="n"/>
      <c r="BY295" s="30" t="n"/>
      <c r="BZ295" s="29" t="n"/>
      <c r="CA295" s="30" t="n"/>
      <c r="CB295" s="30" t="n"/>
      <c r="CC295" s="30" t="n"/>
      <c r="CD295" s="30" t="n"/>
      <c r="CE295" s="30" t="n"/>
      <c r="CF295" s="29" t="n"/>
      <c r="CG295" s="30" t="n"/>
      <c r="CH295" s="30" t="n"/>
      <c r="CI295" s="30" t="n"/>
      <c r="CJ295" s="30" t="n"/>
      <c r="CK295" s="30" t="n"/>
      <c r="CL295" s="29" t="n"/>
      <c r="CM295" s="31" t="n"/>
      <c r="CN295" s="31" t="n"/>
      <c r="CO295" s="168">
        <f>CO425</f>
        <v/>
      </c>
      <c r="CP295" s="168">
        <f>CO295*(1+CP367)</f>
        <v/>
      </c>
      <c r="CQ295" s="168">
        <f>CP295*(1+CQ367)</f>
        <v/>
      </c>
      <c r="CR295" s="168">
        <f>CQ295*(1+CR367)</f>
        <v/>
      </c>
      <c r="CS295" s="168">
        <f>CR295*(1+CS367)</f>
        <v/>
      </c>
      <c r="CT295" s="22" t="inlineStr">
        <is>
          <t>2026E = current share price ($243, valuation input); appreciates with the share-price input.</t>
        </is>
      </c>
      <c r="CV295" s="23" t="n"/>
      <c r="CW295" s="23" t="n"/>
      <c r="CX295" s="23" t="n"/>
      <c r="CY295" s="23" t="n"/>
    </row>
    <row r="296" ht="15" customHeight="1">
      <c r="B296" s="12" t="inlineStr">
        <is>
          <t xml:space="preserve">  Buyback cash deployed (USDm)</t>
        </is>
      </c>
      <c r="C296" s="29" t="n"/>
      <c r="D296" s="29" t="n"/>
      <c r="E296" s="30" t="n"/>
      <c r="F296" s="30" t="n"/>
      <c r="G296" s="30" t="n"/>
      <c r="H296" s="30" t="n"/>
      <c r="I296" s="30" t="n"/>
      <c r="J296" s="30" t="n"/>
      <c r="K296" s="30" t="n"/>
      <c r="L296" s="29" t="n"/>
      <c r="M296" s="30" t="n"/>
      <c r="N296" s="30" t="n"/>
      <c r="O296" s="30" t="n"/>
      <c r="P296" s="30" t="n"/>
      <c r="Q296" s="30" t="n"/>
      <c r="R296" s="29" t="n"/>
      <c r="S296" s="30" t="n"/>
      <c r="T296" s="30" t="n"/>
      <c r="U296" s="30" t="n"/>
      <c r="V296" s="30" t="n"/>
      <c r="W296" s="30" t="n"/>
      <c r="X296" s="29" t="n"/>
      <c r="Y296" s="30" t="n"/>
      <c r="Z296" s="30" t="n"/>
      <c r="AA296" s="30" t="n"/>
      <c r="AB296" s="30" t="n"/>
      <c r="AC296" s="30" t="n"/>
      <c r="AD296" s="29" t="n"/>
      <c r="AE296" s="30" t="n"/>
      <c r="AF296" s="30" t="n"/>
      <c r="AG296" s="30" t="n"/>
      <c r="AH296" s="30" t="n"/>
      <c r="AI296" s="30" t="n"/>
      <c r="AJ296" s="29" t="n"/>
      <c r="AK296" s="30" t="n"/>
      <c r="AL296" s="30" t="n"/>
      <c r="AM296" s="30" t="n"/>
      <c r="AN296" s="30" t="n"/>
      <c r="AO296" s="30" t="n"/>
      <c r="AP296" s="29" t="n"/>
      <c r="AQ296" s="30" t="n"/>
      <c r="AR296" s="30" t="n"/>
      <c r="AS296" s="30" t="n"/>
      <c r="AT296" s="30" t="n"/>
      <c r="AU296" s="30" t="n"/>
      <c r="AV296" s="29" t="n"/>
      <c r="AW296" s="30" t="n"/>
      <c r="AX296" s="30" t="n"/>
      <c r="AY296" s="30" t="n"/>
      <c r="AZ296" s="30" t="n"/>
      <c r="BA296" s="30" t="n"/>
      <c r="BB296" s="29" t="n"/>
      <c r="BC296" s="30" t="n"/>
      <c r="BD296" s="30" t="n"/>
      <c r="BE296" s="30" t="n"/>
      <c r="BF296" s="30" t="n"/>
      <c r="BG296" s="30" t="n"/>
      <c r="BH296" s="29" t="n"/>
      <c r="BI296" s="30" t="n"/>
      <c r="BJ296" s="30" t="n"/>
      <c r="BK296" s="30" t="n"/>
      <c r="BL296" s="30" t="n"/>
      <c r="BM296" s="30" t="n"/>
      <c r="BN296" s="29" t="n"/>
      <c r="BO296" s="30" t="n"/>
      <c r="BP296" s="30" t="n"/>
      <c r="BQ296" s="30" t="n"/>
      <c r="BR296" s="30" t="n"/>
      <c r="BS296" s="30" t="n"/>
      <c r="BT296" s="29" t="n"/>
      <c r="BU296" s="30" t="n"/>
      <c r="BV296" s="30" t="n"/>
      <c r="BW296" s="30" t="n"/>
      <c r="BX296" s="30" t="n"/>
      <c r="BY296" s="30" t="n"/>
      <c r="BZ296" s="29" t="n"/>
      <c r="CA296" s="30" t="n"/>
      <c r="CB296" s="30" t="n"/>
      <c r="CC296" s="30" t="n"/>
      <c r="CD296" s="30" t="n"/>
      <c r="CE296" s="30" t="n"/>
      <c r="CF296" s="29" t="n"/>
      <c r="CG296" s="30" t="n"/>
      <c r="CH296" s="30" t="n"/>
      <c r="CI296" s="30" t="n"/>
      <c r="CJ296" s="30" t="n"/>
      <c r="CK296" s="30" t="n"/>
      <c r="CL296" s="29" t="n"/>
      <c r="CM296" s="31" t="n"/>
      <c r="CN296" s="31" t="n"/>
      <c r="CO296" s="171">
        <f>-(CO273-$CL$273)</f>
        <v/>
      </c>
      <c r="CP296" s="171">
        <f>-CP273</f>
        <v/>
      </c>
      <c r="CQ296" s="171">
        <f>-CQ273</f>
        <v/>
      </c>
      <c r="CR296" s="171">
        <f>-CR273</f>
        <v/>
      </c>
      <c r="CS296" s="171">
        <f>-CS273</f>
        <v/>
      </c>
      <c r="CT296" s="22" t="n"/>
      <c r="CV296" s="23" t="n"/>
      <c r="CW296" s="23" t="n"/>
      <c r="CX296" s="23" t="n"/>
      <c r="CY296" s="23" t="n"/>
    </row>
    <row r="297" ht="15" customHeight="1">
      <c r="B297" s="12" t="inlineStr">
        <is>
          <t xml:space="preserve">  Implied shares repurchased (m)</t>
        </is>
      </c>
      <c r="C297" s="29" t="n"/>
      <c r="D297" s="29" t="n"/>
      <c r="E297" s="30" t="n"/>
      <c r="F297" s="30" t="n"/>
      <c r="G297" s="30" t="n"/>
      <c r="H297" s="30" t="n"/>
      <c r="I297" s="30" t="n"/>
      <c r="J297" s="30" t="n"/>
      <c r="K297" s="30" t="n"/>
      <c r="L297" s="29" t="n"/>
      <c r="M297" s="30" t="n"/>
      <c r="N297" s="30" t="n"/>
      <c r="O297" s="30" t="n"/>
      <c r="P297" s="30" t="n"/>
      <c r="Q297" s="30" t="n"/>
      <c r="R297" s="29" t="n"/>
      <c r="S297" s="30" t="n"/>
      <c r="T297" s="30" t="n"/>
      <c r="U297" s="30" t="n"/>
      <c r="V297" s="30" t="n"/>
      <c r="W297" s="30" t="n"/>
      <c r="X297" s="29" t="n"/>
      <c r="Y297" s="30" t="n"/>
      <c r="Z297" s="30" t="n"/>
      <c r="AA297" s="30" t="n"/>
      <c r="AB297" s="30" t="n"/>
      <c r="AC297" s="30" t="n"/>
      <c r="AD297" s="29" t="n"/>
      <c r="AE297" s="30" t="n"/>
      <c r="AF297" s="30" t="n"/>
      <c r="AG297" s="30" t="n"/>
      <c r="AH297" s="30" t="n"/>
      <c r="AI297" s="30" t="n"/>
      <c r="AJ297" s="29" t="n"/>
      <c r="AK297" s="30" t="n"/>
      <c r="AL297" s="30" t="n"/>
      <c r="AM297" s="30" t="n"/>
      <c r="AN297" s="30" t="n"/>
      <c r="AO297" s="30" t="n"/>
      <c r="AP297" s="29" t="n"/>
      <c r="AQ297" s="30" t="n"/>
      <c r="AR297" s="30" t="n"/>
      <c r="AS297" s="30" t="n"/>
      <c r="AT297" s="30" t="n"/>
      <c r="AU297" s="30" t="n"/>
      <c r="AV297" s="29" t="n"/>
      <c r="AW297" s="30" t="n"/>
      <c r="AX297" s="30" t="n"/>
      <c r="AY297" s="30" t="n"/>
      <c r="AZ297" s="30" t="n"/>
      <c r="BA297" s="30" t="n"/>
      <c r="BB297" s="29" t="n"/>
      <c r="BC297" s="30" t="n"/>
      <c r="BD297" s="30" t="n"/>
      <c r="BE297" s="30" t="n"/>
      <c r="BF297" s="30" t="n"/>
      <c r="BG297" s="30" t="n"/>
      <c r="BH297" s="29" t="n"/>
      <c r="BI297" s="30" t="n"/>
      <c r="BJ297" s="30" t="n"/>
      <c r="BK297" s="30" t="n"/>
      <c r="BL297" s="30" t="n"/>
      <c r="BM297" s="30" t="n"/>
      <c r="BN297" s="29" t="n"/>
      <c r="BO297" s="30" t="n"/>
      <c r="BP297" s="30" t="n"/>
      <c r="BQ297" s="30" t="n"/>
      <c r="BR297" s="30" t="n"/>
      <c r="BS297" s="30" t="n"/>
      <c r="BT297" s="29" t="n"/>
      <c r="BU297" s="30" t="n"/>
      <c r="BV297" s="30" t="n"/>
      <c r="BW297" s="30" t="n"/>
      <c r="BX297" s="30" t="n"/>
      <c r="BY297" s="30" t="n"/>
      <c r="BZ297" s="29" t="n"/>
      <c r="CA297" s="30" t="n"/>
      <c r="CB297" s="30" t="n"/>
      <c r="CC297" s="30" t="n"/>
      <c r="CD297" s="30" t="n"/>
      <c r="CE297" s="30" t="n"/>
      <c r="CF297" s="29" t="n"/>
      <c r="CG297" s="30" t="n"/>
      <c r="CH297" s="30" t="n"/>
      <c r="CI297" s="30" t="n"/>
      <c r="CJ297" s="30" t="n"/>
      <c r="CK297" s="30" t="n"/>
      <c r="CL297" s="29" t="n"/>
      <c r="CM297" s="31" t="n"/>
      <c r="CN297" s="31" t="n"/>
      <c r="CO297" s="188">
        <f>IFERROR(CO296/CO295,0)</f>
        <v/>
      </c>
      <c r="CP297" s="188">
        <f>IFERROR(CP296/CP295,0)</f>
        <v/>
      </c>
      <c r="CQ297" s="188">
        <f>IFERROR(CQ296/CQ295,0)</f>
        <v/>
      </c>
      <c r="CR297" s="188">
        <f>IFERROR(CR296/CR295,0)</f>
        <v/>
      </c>
      <c r="CS297" s="188">
        <f>IFERROR(CS296/CS295,0)</f>
        <v/>
      </c>
      <c r="CT297" s="22" t="n"/>
      <c r="CV297" s="23" t="n"/>
      <c r="CW297" s="23" t="n"/>
      <c r="CX297" s="23" t="n"/>
      <c r="CY297" s="23" t="n"/>
    </row>
    <row r="298" ht="15" customHeight="1">
      <c r="B298" s="12" t="inlineStr">
        <is>
          <t xml:space="preserve">  Shares issued under equity plans (m)</t>
        </is>
      </c>
      <c r="C298" s="29" t="n"/>
      <c r="D298" s="29" t="n"/>
      <c r="E298" s="30" t="n"/>
      <c r="F298" s="30" t="n"/>
      <c r="G298" s="30" t="n"/>
      <c r="H298" s="30" t="n"/>
      <c r="I298" s="30" t="n"/>
      <c r="J298" s="30" t="n"/>
      <c r="K298" s="30" t="n"/>
      <c r="L298" s="29" t="n"/>
      <c r="M298" s="30" t="n"/>
      <c r="N298" s="30" t="n"/>
      <c r="O298" s="30" t="n"/>
      <c r="P298" s="30" t="n"/>
      <c r="Q298" s="30" t="n"/>
      <c r="R298" s="29" t="n"/>
      <c r="S298" s="30" t="n"/>
      <c r="T298" s="30" t="n"/>
      <c r="U298" s="30" t="n"/>
      <c r="V298" s="30" t="n"/>
      <c r="W298" s="30" t="n"/>
      <c r="X298" s="29" t="n"/>
      <c r="Y298" s="30" t="n"/>
      <c r="Z298" s="30" t="n"/>
      <c r="AA298" s="30" t="n"/>
      <c r="AB298" s="30" t="n"/>
      <c r="AC298" s="30" t="n"/>
      <c r="AD298" s="29" t="n"/>
      <c r="AE298" s="30" t="n"/>
      <c r="AF298" s="30" t="n"/>
      <c r="AG298" s="30" t="n"/>
      <c r="AH298" s="30" t="n"/>
      <c r="AI298" s="30" t="n"/>
      <c r="AJ298" s="29" t="n"/>
      <c r="AK298" s="30" t="n"/>
      <c r="AL298" s="30" t="n"/>
      <c r="AM298" s="30" t="n"/>
      <c r="AN298" s="30" t="n"/>
      <c r="AO298" s="30" t="n"/>
      <c r="AP298" s="29" t="n"/>
      <c r="AQ298" s="30" t="n"/>
      <c r="AR298" s="30" t="n"/>
      <c r="AS298" s="30" t="n"/>
      <c r="AT298" s="30" t="n"/>
      <c r="AU298" s="30" t="n"/>
      <c r="AV298" s="29" t="n"/>
      <c r="AW298" s="30" t="n"/>
      <c r="AX298" s="30" t="n"/>
      <c r="AY298" s="30" t="n"/>
      <c r="AZ298" s="30" t="n"/>
      <c r="BA298" s="30" t="n"/>
      <c r="BB298" s="29" t="n"/>
      <c r="BC298" s="30" t="n"/>
      <c r="BD298" s="30" t="n"/>
      <c r="BE298" s="30" t="n"/>
      <c r="BF298" s="30" t="n"/>
      <c r="BG298" s="30" t="n"/>
      <c r="BH298" s="29" t="n"/>
      <c r="BI298" s="30" t="n"/>
      <c r="BJ298" s="30" t="n"/>
      <c r="BK298" s="30" t="n"/>
      <c r="BL298" s="30" t="n"/>
      <c r="BM298" s="30" t="n"/>
      <c r="BN298" s="29" t="n"/>
      <c r="BO298" s="30" t="n"/>
      <c r="BP298" s="30" t="n"/>
      <c r="BQ298" s="30" t="n"/>
      <c r="BR298" s="30" t="n"/>
      <c r="BS298" s="30" t="n"/>
      <c r="BT298" s="29" t="n"/>
      <c r="BU298" s="30" t="n"/>
      <c r="BV298" s="30" t="n"/>
      <c r="BW298" s="30" t="n"/>
      <c r="BX298" s="30" t="n"/>
      <c r="BY298" s="30" t="n"/>
      <c r="BZ298" s="29" t="n"/>
      <c r="CA298" s="30" t="n"/>
      <c r="CB298" s="30" t="n"/>
      <c r="CC298" s="30" t="n"/>
      <c r="CD298" s="30" t="n"/>
      <c r="CE298" s="30" t="n"/>
      <c r="CF298" s="29" t="n"/>
      <c r="CG298" s="30" t="n"/>
      <c r="CH298" s="30" t="n"/>
      <c r="CI298" s="30" t="n"/>
      <c r="CJ298" s="30" t="n"/>
      <c r="CK298" s="30" t="n"/>
      <c r="CL298" s="29" t="n"/>
      <c r="CM298" s="31" t="n"/>
      <c r="CN298" s="31" t="n"/>
      <c r="CO298" s="196" t="n">
        <v>0.1</v>
      </c>
      <c r="CP298" s="196" t="n">
        <v>0.3</v>
      </c>
      <c r="CQ298" s="196" t="n">
        <v>0.3</v>
      </c>
      <c r="CR298" s="196" t="n">
        <v>0.3</v>
      </c>
      <c r="CS298" s="196" t="n">
        <v>0.3</v>
      </c>
      <c r="CT298" s="22" t="n"/>
      <c r="CV298" s="23" t="n"/>
      <c r="CW298" s="23" t="n"/>
      <c r="CX298" s="23" t="n"/>
      <c r="CY298" s="23" t="n"/>
    </row>
    <row r="299" ht="15" customHeight="1">
      <c r="B299" s="12" t="inlineStr">
        <is>
          <t xml:space="preserve">  Beginning shares outstanding (m)</t>
        </is>
      </c>
      <c r="C299" s="29" t="n"/>
      <c r="D299" s="29" t="n"/>
      <c r="E299" s="30" t="n"/>
      <c r="F299" s="30" t="n"/>
      <c r="G299" s="30" t="n"/>
      <c r="H299" s="30" t="n"/>
      <c r="I299" s="30" t="n"/>
      <c r="J299" s="30" t="n"/>
      <c r="K299" s="30" t="n"/>
      <c r="L299" s="29" t="n"/>
      <c r="M299" s="30" t="n"/>
      <c r="N299" s="30" t="n"/>
      <c r="O299" s="30" t="n"/>
      <c r="P299" s="30" t="n"/>
      <c r="Q299" s="30" t="n"/>
      <c r="R299" s="29" t="n"/>
      <c r="S299" s="30" t="n"/>
      <c r="T299" s="30" t="n"/>
      <c r="U299" s="30" t="n"/>
      <c r="V299" s="30" t="n"/>
      <c r="W299" s="30" t="n"/>
      <c r="X299" s="29" t="n"/>
      <c r="Y299" s="30" t="n"/>
      <c r="Z299" s="30" t="n"/>
      <c r="AA299" s="30" t="n"/>
      <c r="AB299" s="30" t="n"/>
      <c r="AC299" s="30" t="n"/>
      <c r="AD299" s="29" t="n"/>
      <c r="AE299" s="30" t="n"/>
      <c r="AF299" s="30" t="n"/>
      <c r="AG299" s="30" t="n"/>
      <c r="AH299" s="30" t="n"/>
      <c r="AI299" s="30" t="n"/>
      <c r="AJ299" s="29" t="n"/>
      <c r="AK299" s="30" t="n"/>
      <c r="AL299" s="30" t="n"/>
      <c r="AM299" s="30" t="n"/>
      <c r="AN299" s="30" t="n"/>
      <c r="AO299" s="30" t="n"/>
      <c r="AP299" s="29" t="n"/>
      <c r="AQ299" s="30" t="n"/>
      <c r="AR299" s="30" t="n"/>
      <c r="AS299" s="30" t="n"/>
      <c r="AT299" s="30" t="n"/>
      <c r="AU299" s="30" t="n"/>
      <c r="AV299" s="29" t="n"/>
      <c r="AW299" s="30" t="n"/>
      <c r="AX299" s="30" t="n"/>
      <c r="AY299" s="30" t="n"/>
      <c r="AZ299" s="30" t="n"/>
      <c r="BA299" s="30" t="n"/>
      <c r="BB299" s="29" t="n"/>
      <c r="BC299" s="30" t="n"/>
      <c r="BD299" s="30" t="n"/>
      <c r="BE299" s="30" t="n"/>
      <c r="BF299" s="30" t="n"/>
      <c r="BG299" s="30" t="n"/>
      <c r="BH299" s="29" t="n"/>
      <c r="BI299" s="30" t="n"/>
      <c r="BJ299" s="30" t="n"/>
      <c r="BK299" s="30" t="n"/>
      <c r="BL299" s="30" t="n"/>
      <c r="BM299" s="30" t="n"/>
      <c r="BN299" s="29" t="n"/>
      <c r="BO299" s="30" t="n"/>
      <c r="BP299" s="30" t="n"/>
      <c r="BQ299" s="30" t="n"/>
      <c r="BR299" s="30" t="n"/>
      <c r="BS299" s="30" t="n"/>
      <c r="BT299" s="29" t="n"/>
      <c r="BU299" s="30" t="n"/>
      <c r="BV299" s="30" t="n"/>
      <c r="BW299" s="30" t="n"/>
      <c r="BX299" s="30" t="n"/>
      <c r="BY299" s="30" t="n"/>
      <c r="BZ299" s="29" t="n"/>
      <c r="CA299" s="30" t="n"/>
      <c r="CB299" s="30" t="n"/>
      <c r="CC299" s="30" t="n"/>
      <c r="CD299" s="30" t="n"/>
      <c r="CE299" s="30" t="n"/>
      <c r="CF299" s="29" t="n"/>
      <c r="CG299" s="30" t="n"/>
      <c r="CH299" s="30" t="n"/>
      <c r="CI299" s="30" t="n"/>
      <c r="CJ299" s="30" t="n"/>
      <c r="CK299" s="30" t="n"/>
      <c r="CL299" s="29" t="n"/>
      <c r="CM299" s="31" t="n"/>
      <c r="CN299" s="31" t="n"/>
      <c r="CO299" s="188">
        <f>$CL$352</f>
        <v/>
      </c>
      <c r="CP299" s="188">
        <f>CO300</f>
        <v/>
      </c>
      <c r="CQ299" s="188">
        <f>CP300</f>
        <v/>
      </c>
      <c r="CR299" s="188">
        <f>CQ300</f>
        <v/>
      </c>
      <c r="CS299" s="188">
        <f>CR300</f>
        <v/>
      </c>
      <c r="CT299" s="22" t="n"/>
      <c r="CV299" s="23" t="n"/>
      <c r="CW299" s="23" t="n"/>
      <c r="CX299" s="23" t="n"/>
      <c r="CY299" s="23" t="n"/>
    </row>
    <row r="300" ht="15" customHeight="1">
      <c r="B300" s="12" t="inlineStr">
        <is>
          <t xml:space="preserve">  Ending shares outstanding (m)</t>
        </is>
      </c>
      <c r="C300" s="29" t="n"/>
      <c r="D300" s="29" t="n"/>
      <c r="E300" s="30" t="n"/>
      <c r="F300" s="30" t="n"/>
      <c r="G300" s="30" t="n"/>
      <c r="H300" s="30" t="n"/>
      <c r="I300" s="30" t="n"/>
      <c r="J300" s="30" t="n"/>
      <c r="K300" s="30" t="n"/>
      <c r="L300" s="29" t="n"/>
      <c r="M300" s="30" t="n"/>
      <c r="N300" s="30" t="n"/>
      <c r="O300" s="30" t="n"/>
      <c r="P300" s="30" t="n"/>
      <c r="Q300" s="30" t="n"/>
      <c r="R300" s="29" t="n"/>
      <c r="S300" s="30" t="n"/>
      <c r="T300" s="30" t="n"/>
      <c r="U300" s="30" t="n"/>
      <c r="V300" s="30" t="n"/>
      <c r="W300" s="30" t="n"/>
      <c r="X300" s="29" t="n"/>
      <c r="Y300" s="30" t="n"/>
      <c r="Z300" s="30" t="n"/>
      <c r="AA300" s="30" t="n"/>
      <c r="AB300" s="30" t="n"/>
      <c r="AC300" s="30" t="n"/>
      <c r="AD300" s="29" t="n"/>
      <c r="AE300" s="30" t="n"/>
      <c r="AF300" s="30" t="n"/>
      <c r="AG300" s="30" t="n"/>
      <c r="AH300" s="30" t="n"/>
      <c r="AI300" s="30" t="n"/>
      <c r="AJ300" s="29" t="n"/>
      <c r="AK300" s="30" t="n"/>
      <c r="AL300" s="30" t="n"/>
      <c r="AM300" s="30" t="n"/>
      <c r="AN300" s="30" t="n"/>
      <c r="AO300" s="30" t="n"/>
      <c r="AP300" s="29" t="n"/>
      <c r="AQ300" s="30" t="n"/>
      <c r="AR300" s="30" t="n"/>
      <c r="AS300" s="30" t="n"/>
      <c r="AT300" s="30" t="n"/>
      <c r="AU300" s="30" t="n"/>
      <c r="AV300" s="29" t="n"/>
      <c r="AW300" s="30" t="n"/>
      <c r="AX300" s="30" t="n"/>
      <c r="AY300" s="30" t="n"/>
      <c r="AZ300" s="30" t="n"/>
      <c r="BA300" s="30" t="n"/>
      <c r="BB300" s="29" t="n"/>
      <c r="BC300" s="30" t="n"/>
      <c r="BD300" s="30" t="n"/>
      <c r="BE300" s="30" t="n"/>
      <c r="BF300" s="30" t="n"/>
      <c r="BG300" s="30" t="n"/>
      <c r="BH300" s="29" t="n"/>
      <c r="BI300" s="30" t="n"/>
      <c r="BJ300" s="30" t="n"/>
      <c r="BK300" s="30" t="n"/>
      <c r="BL300" s="30" t="n"/>
      <c r="BM300" s="30" t="n"/>
      <c r="BN300" s="29" t="n"/>
      <c r="BO300" s="30" t="n"/>
      <c r="BP300" s="30" t="n"/>
      <c r="BQ300" s="30" t="n"/>
      <c r="BR300" s="30" t="n"/>
      <c r="BS300" s="30" t="n"/>
      <c r="BT300" s="29" t="n"/>
      <c r="BU300" s="30" t="n"/>
      <c r="BV300" s="30" t="n"/>
      <c r="BW300" s="30" t="n"/>
      <c r="BX300" s="30" t="n"/>
      <c r="BY300" s="30" t="n"/>
      <c r="BZ300" s="29" t="n"/>
      <c r="CA300" s="30" t="n"/>
      <c r="CB300" s="30" t="n"/>
      <c r="CC300" s="30" t="n"/>
      <c r="CD300" s="30" t="n"/>
      <c r="CE300" s="30" t="n"/>
      <c r="CF300" s="29" t="n"/>
      <c r="CG300" s="30" t="n"/>
      <c r="CH300" s="30" t="n"/>
      <c r="CI300" s="30" t="n"/>
      <c r="CJ300" s="30" t="n"/>
      <c r="CK300" s="30" t="n"/>
      <c r="CL300" s="29" t="n"/>
      <c r="CM300" s="31" t="n"/>
      <c r="CN300" s="31" t="n"/>
      <c r="CO300" s="188">
        <f>CO299-CO297+CO298</f>
        <v/>
      </c>
      <c r="CP300" s="188">
        <f>CP299-CP297+CP298</f>
        <v/>
      </c>
      <c r="CQ300" s="188">
        <f>CQ299-CQ297+CQ298</f>
        <v/>
      </c>
      <c r="CR300" s="188">
        <f>CR299-CR297+CR298</f>
        <v/>
      </c>
      <c r="CS300" s="188">
        <f>CS299-CS297+CS298</f>
        <v/>
      </c>
      <c r="CT300" s="22" t="n"/>
      <c r="CV300" s="23" t="n"/>
      <c r="CW300" s="23" t="n"/>
      <c r="CX300" s="23" t="n"/>
      <c r="CY300" s="23" t="n"/>
    </row>
    <row r="301" ht="15" customHeight="1">
      <c r="B301" s="25" t="inlineStr">
        <is>
          <t xml:space="preserve">  % of shares repurchased</t>
        </is>
      </c>
      <c r="C301" s="39" t="n"/>
      <c r="D301" s="39" t="n"/>
      <c r="E301" s="39" t="n"/>
      <c r="F301" s="39" t="n"/>
      <c r="G301" s="39" t="n"/>
      <c r="H301" s="39" t="n"/>
      <c r="I301" s="39" t="n"/>
      <c r="J301" s="39" t="n"/>
      <c r="K301" s="39" t="n"/>
      <c r="L301" s="39" t="n"/>
      <c r="M301" s="39" t="n"/>
      <c r="N301" s="39" t="n"/>
      <c r="O301" s="39" t="n"/>
      <c r="P301" s="39" t="n"/>
      <c r="Q301" s="39" t="n"/>
      <c r="R301" s="39" t="n"/>
      <c r="S301" s="39" t="n"/>
      <c r="T301" s="39" t="n"/>
      <c r="U301" s="39" t="n"/>
      <c r="V301" s="39" t="n"/>
      <c r="W301" s="39" t="n"/>
      <c r="X301" s="39" t="n"/>
      <c r="Y301" s="39" t="n"/>
      <c r="Z301" s="39" t="n"/>
      <c r="AA301" s="39" t="n"/>
      <c r="AB301" s="39" t="n"/>
      <c r="AC301" s="39" t="n"/>
      <c r="AD301" s="39" t="n"/>
      <c r="AE301" s="39" t="n"/>
      <c r="AF301" s="39" t="n"/>
      <c r="AG301" s="39" t="n"/>
      <c r="AH301" s="39" t="n"/>
      <c r="AI301" s="39" t="n"/>
      <c r="AJ301" s="39" t="n"/>
      <c r="AK301" s="39" t="n"/>
      <c r="AL301" s="39" t="n"/>
      <c r="AM301" s="39" t="n"/>
      <c r="AN301" s="39" t="n"/>
      <c r="AO301" s="39" t="n"/>
      <c r="AP301" s="39" t="n"/>
      <c r="AQ301" s="39" t="n"/>
      <c r="AR301" s="39" t="n"/>
      <c r="AS301" s="39" t="n"/>
      <c r="AT301" s="39" t="n"/>
      <c r="AU301" s="39" t="n"/>
      <c r="AV301" s="39" t="n"/>
      <c r="AW301" s="39" t="n"/>
      <c r="AX301" s="39" t="n"/>
      <c r="AY301" s="39" t="n"/>
      <c r="AZ301" s="39" t="n"/>
      <c r="BA301" s="39" t="n"/>
      <c r="BB301" s="39" t="n"/>
      <c r="BC301" s="39" t="n"/>
      <c r="BD301" s="39" t="n"/>
      <c r="BE301" s="39" t="n"/>
      <c r="BF301" s="39" t="n"/>
      <c r="BG301" s="39" t="n"/>
      <c r="BH301" s="39" t="n"/>
      <c r="BI301" s="39" t="n"/>
      <c r="BJ301" s="39" t="n"/>
      <c r="BK301" s="39" t="n"/>
      <c r="BL301" s="39" t="n"/>
      <c r="BM301" s="39" t="n"/>
      <c r="BN301" s="39" t="n"/>
      <c r="BO301" s="39" t="n"/>
      <c r="BP301" s="39" t="n"/>
      <c r="BQ301" s="39" t="n"/>
      <c r="BR301" s="39" t="n"/>
      <c r="BS301" s="39" t="n"/>
      <c r="BT301" s="39" t="n"/>
      <c r="BU301" s="39" t="n"/>
      <c r="BV301" s="39" t="n"/>
      <c r="BW301" s="39" t="n"/>
      <c r="BX301" s="39" t="n"/>
      <c r="BY301" s="39" t="n"/>
      <c r="BZ301" s="39" t="n"/>
      <c r="CA301" s="39" t="n"/>
      <c r="CB301" s="39" t="n"/>
      <c r="CC301" s="39" t="n"/>
      <c r="CD301" s="39" t="n"/>
      <c r="CE301" s="39" t="n"/>
      <c r="CF301" s="39" t="n"/>
      <c r="CG301" s="39" t="n"/>
      <c r="CH301" s="39" t="n"/>
      <c r="CI301" s="39" t="n"/>
      <c r="CJ301" s="39" t="n"/>
      <c r="CK301" s="39" t="n"/>
      <c r="CL301" s="39" t="n"/>
      <c r="CM301" s="27" t="n"/>
      <c r="CN301" s="27" t="n"/>
      <c r="CO301" s="165">
        <f>IFERROR(CO297/CO299,"")</f>
        <v/>
      </c>
      <c r="CP301" s="165">
        <f>IFERROR(CP297/CP299,"")</f>
        <v/>
      </c>
      <c r="CQ301" s="165">
        <f>IFERROR(CQ297/CQ299,"")</f>
        <v/>
      </c>
      <c r="CR301" s="165">
        <f>IFERROR(CR297/CR299,"")</f>
        <v/>
      </c>
      <c r="CS301" s="165">
        <f>IFERROR(CS297/CS299,"")</f>
        <v/>
      </c>
      <c r="CT301" s="22" t="n"/>
      <c r="CV301" s="40" t="n"/>
      <c r="CW301" s="40" t="n"/>
      <c r="CX301" s="40" t="n"/>
      <c r="CY301" s="40" t="n"/>
    </row>
    <row r="302" ht="15" customHeight="1">
      <c r="B302" s="12" t="inlineStr">
        <is>
          <t xml:space="preserve">  Memo: cumulative shares repurchased since 2H/26 (m)</t>
        </is>
      </c>
      <c r="C302" s="29" t="n"/>
      <c r="D302" s="29" t="n"/>
      <c r="E302" s="30" t="n"/>
      <c r="F302" s="30" t="n"/>
      <c r="G302" s="30" t="n"/>
      <c r="H302" s="30" t="n"/>
      <c r="I302" s="30" t="n"/>
      <c r="J302" s="30" t="n"/>
      <c r="K302" s="30" t="n"/>
      <c r="L302" s="29" t="n"/>
      <c r="M302" s="30" t="n"/>
      <c r="N302" s="30" t="n"/>
      <c r="O302" s="30" t="n"/>
      <c r="P302" s="30" t="n"/>
      <c r="Q302" s="30" t="n"/>
      <c r="R302" s="29" t="n"/>
      <c r="S302" s="30" t="n"/>
      <c r="T302" s="30" t="n"/>
      <c r="U302" s="30" t="n"/>
      <c r="V302" s="30" t="n"/>
      <c r="W302" s="30" t="n"/>
      <c r="X302" s="29" t="n"/>
      <c r="Y302" s="30" t="n"/>
      <c r="Z302" s="30" t="n"/>
      <c r="AA302" s="30" t="n"/>
      <c r="AB302" s="30" t="n"/>
      <c r="AC302" s="30" t="n"/>
      <c r="AD302" s="29" t="n"/>
      <c r="AE302" s="30" t="n"/>
      <c r="AF302" s="30" t="n"/>
      <c r="AG302" s="30" t="n"/>
      <c r="AH302" s="30" t="n"/>
      <c r="AI302" s="30" t="n"/>
      <c r="AJ302" s="29" t="n"/>
      <c r="AK302" s="30" t="n"/>
      <c r="AL302" s="30" t="n"/>
      <c r="AM302" s="30" t="n"/>
      <c r="AN302" s="30" t="n"/>
      <c r="AO302" s="30" t="n"/>
      <c r="AP302" s="29" t="n"/>
      <c r="AQ302" s="30" t="n"/>
      <c r="AR302" s="30" t="n"/>
      <c r="AS302" s="30" t="n"/>
      <c r="AT302" s="30" t="n"/>
      <c r="AU302" s="30" t="n"/>
      <c r="AV302" s="29" t="n"/>
      <c r="AW302" s="30" t="n"/>
      <c r="AX302" s="30" t="n"/>
      <c r="AY302" s="30" t="n"/>
      <c r="AZ302" s="30" t="n"/>
      <c r="BA302" s="30" t="n"/>
      <c r="BB302" s="29" t="n"/>
      <c r="BC302" s="30" t="n"/>
      <c r="BD302" s="30" t="n"/>
      <c r="BE302" s="30" t="n"/>
      <c r="BF302" s="30" t="n"/>
      <c r="BG302" s="30" t="n"/>
      <c r="BH302" s="29" t="n"/>
      <c r="BI302" s="30" t="n"/>
      <c r="BJ302" s="30" t="n"/>
      <c r="BK302" s="30" t="n"/>
      <c r="BL302" s="30" t="n"/>
      <c r="BM302" s="30" t="n"/>
      <c r="BN302" s="29" t="n"/>
      <c r="BO302" s="30" t="n"/>
      <c r="BP302" s="30" t="n"/>
      <c r="BQ302" s="30" t="n"/>
      <c r="BR302" s="30" t="n"/>
      <c r="BS302" s="30" t="n"/>
      <c r="BT302" s="29" t="n"/>
      <c r="BU302" s="30" t="n"/>
      <c r="BV302" s="30" t="n"/>
      <c r="BW302" s="30" t="n"/>
      <c r="BX302" s="30" t="n"/>
      <c r="BY302" s="30" t="n"/>
      <c r="BZ302" s="29" t="n"/>
      <c r="CA302" s="30" t="n"/>
      <c r="CB302" s="30" t="n"/>
      <c r="CC302" s="30" t="n"/>
      <c r="CD302" s="30" t="n"/>
      <c r="CE302" s="30" t="n"/>
      <c r="CF302" s="29" t="n"/>
      <c r="CG302" s="30" t="n"/>
      <c r="CH302" s="30" t="n"/>
      <c r="CI302" s="30" t="n"/>
      <c r="CJ302" s="30" t="n"/>
      <c r="CK302" s="30" t="n"/>
      <c r="CL302" s="29" t="n"/>
      <c r="CM302" s="31" t="n"/>
      <c r="CN302" s="31" t="n"/>
      <c r="CO302" s="188">
        <f>CO297</f>
        <v/>
      </c>
      <c r="CP302" s="188">
        <f>CO302+CP297</f>
        <v/>
      </c>
      <c r="CQ302" s="188">
        <f>CP302+CQ297</f>
        <v/>
      </c>
      <c r="CR302" s="188">
        <f>CQ302+CR297</f>
        <v/>
      </c>
      <c r="CS302" s="188">
        <f>CR302+CS297</f>
        <v/>
      </c>
      <c r="CT302" s="22" t="n"/>
      <c r="CV302" s="23" t="n"/>
      <c r="CW302" s="23" t="n"/>
      <c r="CX302" s="23" t="n"/>
      <c r="CY302" s="23" t="n"/>
    </row>
    <row r="303" ht="15" customHeight="1">
      <c r="B303" s="12" t="n"/>
      <c r="CM303" s="6" t="n"/>
      <c r="CN303" s="6" t="n"/>
      <c r="CO303" s="6" t="n"/>
      <c r="CP303" s="6" t="n"/>
      <c r="CQ303" s="6" t="n"/>
      <c r="CR303" s="6" t="n"/>
      <c r="CS303" s="6" t="n"/>
      <c r="CT303" s="6" t="n"/>
    </row>
    <row r="304" ht="15" customHeight="1">
      <c r="B304" s="11" t="inlineStr">
        <is>
          <t>CONSOLIDATED BALANCE SHEET</t>
        </is>
      </c>
      <c r="C304" s="11" t="n"/>
      <c r="D304" s="11" t="n"/>
      <c r="E304" s="11"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c r="AE304" s="11" t="n"/>
      <c r="AF304" s="11" t="n"/>
      <c r="AG304" s="11" t="n"/>
      <c r="AH304" s="11" t="n"/>
      <c r="AI304" s="11" t="n"/>
      <c r="AJ304" s="11" t="n"/>
      <c r="AK304" s="11" t="n"/>
      <c r="AL304" s="11" t="n"/>
      <c r="AM304" s="11" t="n"/>
      <c r="AN304" s="11" t="n"/>
      <c r="AO304" s="11" t="n"/>
      <c r="AP304" s="11" t="n"/>
      <c r="AQ304" s="11" t="n"/>
      <c r="AR304" s="11" t="n"/>
      <c r="AS304" s="11" t="n"/>
      <c r="AT304" s="11" t="n"/>
      <c r="AU304" s="11" t="n"/>
      <c r="AV304" s="11" t="n"/>
      <c r="AW304" s="11" t="n"/>
      <c r="AX304" s="11" t="n"/>
      <c r="AY304" s="11" t="n"/>
      <c r="AZ304" s="11" t="n"/>
      <c r="BA304" s="11" t="n"/>
      <c r="BB304" s="11" t="n"/>
      <c r="BC304" s="11" t="n"/>
      <c r="BD304" s="11" t="n"/>
      <c r="BE304" s="11" t="n"/>
      <c r="BF304" s="11" t="n"/>
      <c r="BG304" s="11" t="n"/>
      <c r="BH304" s="11" t="n"/>
      <c r="BI304" s="11" t="n"/>
      <c r="BJ304" s="11" t="n"/>
      <c r="BK304" s="11" t="n"/>
      <c r="BL304" s="11" t="n"/>
      <c r="BM304" s="11" t="n"/>
      <c r="BN304" s="11" t="n"/>
      <c r="BO304" s="11" t="n"/>
      <c r="BP304" s="11" t="n"/>
      <c r="BQ304" s="11" t="n"/>
      <c r="BR304" s="11" t="n"/>
      <c r="BS304" s="11" t="n"/>
      <c r="BT304" s="11" t="n"/>
      <c r="BU304" s="11" t="n"/>
      <c r="BV304" s="11" t="n"/>
      <c r="BW304" s="11" t="n"/>
      <c r="BX304" s="11" t="n"/>
      <c r="BY304" s="11" t="n"/>
      <c r="BZ304" s="11" t="n"/>
      <c r="CA304" s="11" t="n"/>
      <c r="CB304" s="11" t="n"/>
      <c r="CC304" s="11" t="n"/>
      <c r="CD304" s="11" t="n"/>
      <c r="CE304" s="11" t="n"/>
      <c r="CF304" s="11" t="n"/>
      <c r="CG304" s="11" t="n"/>
      <c r="CH304" s="11" t="n"/>
      <c r="CI304" s="11" t="n"/>
      <c r="CJ304" s="11" t="n"/>
      <c r="CK304" s="11" t="n"/>
      <c r="CL304" s="11" t="n"/>
      <c r="CM304" s="11" t="n"/>
      <c r="CN304" s="11" t="n"/>
      <c r="CO304" s="11" t="n"/>
      <c r="CP304" s="11" t="n"/>
      <c r="CQ304" s="11" t="n"/>
      <c r="CR304" s="11" t="n"/>
      <c r="CS304" s="11" t="n"/>
      <c r="CT304" s="11" t="inlineStr">
        <is>
          <t>BS FORECAST — first-principles roll-forward (2026E from the 30-Jun-26 balance sheet + 2H/26 flows; 2027E+ from prior year end)</t>
        </is>
      </c>
    </row>
    <row r="305" ht="15" customHeight="1">
      <c r="B305" s="12" t="n"/>
      <c r="CM305" s="6" t="n"/>
      <c r="CN305" s="6" t="n"/>
      <c r="CO305" s="6" t="n"/>
      <c r="CP305" s="6" t="n"/>
      <c r="CQ305" s="6" t="n"/>
      <c r="CR305" s="6" t="n"/>
      <c r="CS305" s="6" t="n"/>
      <c r="CT305" s="6" t="n"/>
    </row>
    <row r="306" ht="15" customHeight="1">
      <c r="B306" s="12" t="inlineStr">
        <is>
          <t>ASSETS</t>
        </is>
      </c>
      <c r="C306" s="29" t="n"/>
      <c r="D306" s="29" t="n"/>
      <c r="E306" s="30" t="n"/>
      <c r="F306" s="30" t="n"/>
      <c r="G306" s="30" t="n"/>
      <c r="H306" s="30" t="n"/>
      <c r="I306" s="30" t="n"/>
      <c r="J306" s="30" t="n"/>
      <c r="K306" s="30" t="n"/>
      <c r="L306" s="29" t="n"/>
      <c r="M306" s="30" t="n"/>
      <c r="N306" s="30" t="n"/>
      <c r="O306" s="30" t="n"/>
      <c r="P306" s="30" t="n"/>
      <c r="Q306" s="30" t="n"/>
      <c r="R306" s="29" t="n"/>
      <c r="S306" s="30" t="n"/>
      <c r="T306" s="30" t="n"/>
      <c r="U306" s="30" t="n"/>
      <c r="V306" s="30" t="n"/>
      <c r="W306" s="30" t="n"/>
      <c r="X306" s="29" t="n"/>
      <c r="Y306" s="30" t="n"/>
      <c r="Z306" s="30" t="n"/>
      <c r="AA306" s="30" t="n"/>
      <c r="AB306" s="30" t="n"/>
      <c r="AC306" s="30" t="n"/>
      <c r="AD306" s="29" t="n"/>
      <c r="AE306" s="30" t="n"/>
      <c r="AF306" s="30" t="n"/>
      <c r="AG306" s="30" t="n"/>
      <c r="AH306" s="30" t="n"/>
      <c r="AI306" s="30" t="n"/>
      <c r="AJ306" s="29" t="n"/>
      <c r="AK306" s="30" t="n"/>
      <c r="AL306" s="30" t="n"/>
      <c r="AM306" s="30" t="n"/>
      <c r="AN306" s="30" t="n"/>
      <c r="AO306" s="30" t="n"/>
      <c r="AP306" s="29" t="n"/>
      <c r="AQ306" s="30" t="n"/>
      <c r="AR306" s="30" t="n"/>
      <c r="AS306" s="30" t="n"/>
      <c r="AT306" s="30" t="n"/>
      <c r="AU306" s="30" t="n"/>
      <c r="AV306" s="29" t="n"/>
      <c r="AW306" s="30" t="n"/>
      <c r="AX306" s="30" t="n"/>
      <c r="AY306" s="30" t="n"/>
      <c r="AZ306" s="30" t="n"/>
      <c r="BA306" s="30" t="n"/>
      <c r="BB306" s="29" t="n"/>
      <c r="BC306" s="30" t="n"/>
      <c r="BD306" s="30" t="n"/>
      <c r="BE306" s="30" t="n"/>
      <c r="BF306" s="30" t="n"/>
      <c r="BG306" s="30" t="n"/>
      <c r="BH306" s="29" t="n"/>
      <c r="BI306" s="30" t="n"/>
      <c r="BJ306" s="30" t="n"/>
      <c r="BK306" s="30" t="n"/>
      <c r="BL306" s="30" t="n"/>
      <c r="BM306" s="30" t="n"/>
      <c r="BN306" s="29" t="n"/>
      <c r="BO306" s="30" t="n"/>
      <c r="BP306" s="30" t="n"/>
      <c r="BQ306" s="30" t="n"/>
      <c r="BR306" s="30" t="n"/>
      <c r="BS306" s="30" t="n"/>
      <c r="BT306" s="29" t="n"/>
      <c r="BU306" s="30" t="n"/>
      <c r="BV306" s="30" t="n"/>
      <c r="BW306" s="30" t="n"/>
      <c r="BX306" s="30" t="n"/>
      <c r="BY306" s="30" t="n"/>
      <c r="BZ306" s="29" t="n"/>
      <c r="CA306" s="30" t="n"/>
      <c r="CB306" s="30" t="n"/>
      <c r="CC306" s="30" t="n"/>
      <c r="CD306" s="30" t="n"/>
      <c r="CE306" s="30" t="n"/>
      <c r="CF306" s="29" t="n"/>
      <c r="CG306" s="30" t="n"/>
      <c r="CH306" s="30" t="n"/>
      <c r="CI306" s="30" t="n"/>
      <c r="CJ306" s="30" t="n"/>
      <c r="CK306" s="30" t="n"/>
      <c r="CL306" s="29" t="n"/>
      <c r="CM306" s="31" t="n"/>
      <c r="CN306" s="31" t="n"/>
      <c r="CO306" s="31" t="n"/>
      <c r="CP306" s="31" t="n"/>
      <c r="CQ306" s="31" t="n"/>
      <c r="CR306" s="31" t="n"/>
      <c r="CS306" s="31" t="n"/>
      <c r="CT306" s="22" t="n"/>
      <c r="CV306" s="23" t="n"/>
      <c r="CW306" s="23" t="n"/>
      <c r="CX306" s="23" t="n"/>
      <c r="CY306" s="23" t="n"/>
    </row>
    <row r="307" ht="15" customHeight="1">
      <c r="B307" s="12" t="inlineStr">
        <is>
          <t>Current assets:</t>
        </is>
      </c>
      <c r="C307" s="29" t="n"/>
      <c r="D307" s="29" t="n"/>
      <c r="E307" s="30" t="n"/>
      <c r="F307" s="30" t="n"/>
      <c r="G307" s="30" t="n"/>
      <c r="H307" s="30" t="n"/>
      <c r="I307" s="30" t="n"/>
      <c r="J307" s="30" t="n"/>
      <c r="K307" s="30" t="n"/>
      <c r="L307" s="29" t="n"/>
      <c r="M307" s="30" t="n"/>
      <c r="N307" s="30" t="n"/>
      <c r="O307" s="30" t="n"/>
      <c r="P307" s="30" t="n"/>
      <c r="Q307" s="30" t="n"/>
      <c r="R307" s="29" t="n"/>
      <c r="S307" s="30" t="n"/>
      <c r="T307" s="30" t="n"/>
      <c r="U307" s="30" t="n"/>
      <c r="V307" s="30" t="n"/>
      <c r="W307" s="30" t="n"/>
      <c r="X307" s="29" t="n"/>
      <c r="Y307" s="30" t="n"/>
      <c r="Z307" s="30" t="n"/>
      <c r="AA307" s="30" t="n"/>
      <c r="AB307" s="30" t="n"/>
      <c r="AC307" s="30" t="n"/>
      <c r="AD307" s="29" t="n"/>
      <c r="AE307" s="30" t="n"/>
      <c r="AF307" s="30" t="n"/>
      <c r="AG307" s="30" t="n"/>
      <c r="AH307" s="30" t="n"/>
      <c r="AI307" s="30" t="n"/>
      <c r="AJ307" s="29" t="n"/>
      <c r="AK307" s="30" t="n"/>
      <c r="AL307" s="30" t="n"/>
      <c r="AM307" s="30" t="n"/>
      <c r="AN307" s="30" t="n"/>
      <c r="AO307" s="30" t="n"/>
      <c r="AP307" s="29" t="n"/>
      <c r="AQ307" s="30" t="n"/>
      <c r="AR307" s="30" t="n"/>
      <c r="AS307" s="30" t="n"/>
      <c r="AT307" s="30" t="n"/>
      <c r="AU307" s="30" t="n"/>
      <c r="AV307" s="29" t="n"/>
      <c r="AW307" s="30" t="n"/>
      <c r="AX307" s="30" t="n"/>
      <c r="AY307" s="30" t="n"/>
      <c r="AZ307" s="30" t="n"/>
      <c r="BA307" s="30" t="n"/>
      <c r="BB307" s="29" t="n"/>
      <c r="BC307" s="30" t="n"/>
      <c r="BD307" s="30" t="n"/>
      <c r="BE307" s="30" t="n"/>
      <c r="BF307" s="30" t="n"/>
      <c r="BG307" s="30" t="n"/>
      <c r="BH307" s="29" t="n"/>
      <c r="BI307" s="30" t="n"/>
      <c r="BJ307" s="30" t="n"/>
      <c r="BK307" s="30" t="n"/>
      <c r="BL307" s="30" t="n"/>
      <c r="BM307" s="30" t="n"/>
      <c r="BN307" s="29" t="n"/>
      <c r="BO307" s="30" t="n"/>
      <c r="BP307" s="30" t="n"/>
      <c r="BQ307" s="30" t="n"/>
      <c r="BR307" s="30" t="n"/>
      <c r="BS307" s="30" t="n"/>
      <c r="BT307" s="29" t="n"/>
      <c r="BU307" s="30" t="n"/>
      <c r="BV307" s="30" t="n"/>
      <c r="BW307" s="30" t="n"/>
      <c r="BX307" s="30" t="n"/>
      <c r="BY307" s="30" t="n"/>
      <c r="BZ307" s="29" t="n"/>
      <c r="CA307" s="30" t="n"/>
      <c r="CB307" s="30" t="n"/>
      <c r="CC307" s="30" t="n"/>
      <c r="CD307" s="30" t="n"/>
      <c r="CE307" s="30" t="n"/>
      <c r="CF307" s="29" t="n"/>
      <c r="CG307" s="30" t="n"/>
      <c r="CH307" s="30" t="n"/>
      <c r="CI307" s="30" t="n"/>
      <c r="CJ307" s="30" t="n"/>
      <c r="CK307" s="30" t="n"/>
      <c r="CL307" s="29" t="n"/>
      <c r="CM307" s="31" t="n"/>
      <c r="CN307" s="31" t="n"/>
      <c r="CO307" s="31" t="n"/>
      <c r="CP307" s="31" t="n"/>
      <c r="CQ307" s="31" t="n"/>
      <c r="CR307" s="31" t="n"/>
      <c r="CS307" s="31" t="n"/>
      <c r="CT307" s="22" t="n"/>
      <c r="CV307" s="23" t="n"/>
      <c r="CW307" s="23" t="n"/>
      <c r="CX307" s="23" t="n"/>
      <c r="CY307" s="23" t="n"/>
    </row>
    <row r="308" ht="15" customHeight="1">
      <c r="B308" s="12" t="inlineStr">
        <is>
          <t xml:space="preserve">  Cash and cash equivalents</t>
        </is>
      </c>
      <c r="C308" s="169" t="n">
        <v>55.2</v>
      </c>
      <c r="D308" s="169" t="n">
        <v>34.9</v>
      </c>
      <c r="E308" s="169" t="n">
        <v>10.2</v>
      </c>
      <c r="F308" s="169" t="n">
        <v>22.3</v>
      </c>
      <c r="G308" s="169" t="n">
        <v>47.5</v>
      </c>
      <c r="H308" s="169" t="n">
        <v>155.8</v>
      </c>
      <c r="I308" s="169" t="n">
        <v>275.5</v>
      </c>
      <c r="J308" s="29" t="n"/>
      <c r="K308" s="29" t="n"/>
      <c r="L308" s="29" t="n"/>
      <c r="M308" s="29" t="n"/>
      <c r="N308" s="29" t="n"/>
      <c r="O308" s="169" t="n">
        <v>193.7</v>
      </c>
      <c r="P308" s="29" t="n"/>
      <c r="Q308" s="29" t="n"/>
      <c r="R308" s="29" t="n"/>
      <c r="S308" s="29" t="n"/>
      <c r="T308" s="29" t="n"/>
      <c r="U308" s="169" t="n">
        <v>141.3</v>
      </c>
      <c r="V308" s="29" t="n"/>
      <c r="W308" s="29" t="n"/>
      <c r="X308" s="29" t="n"/>
      <c r="Y308" s="29" t="n"/>
      <c r="Z308" s="29" t="n"/>
      <c r="AA308" s="169" t="n">
        <v>284.1</v>
      </c>
      <c r="AB308" s="29" t="n"/>
      <c r="AC308" s="29" t="n"/>
      <c r="AD308" s="29" t="n"/>
      <c r="AE308" s="29" t="n"/>
      <c r="AF308" s="29" t="n"/>
      <c r="AG308" s="169" t="n">
        <v>259</v>
      </c>
      <c r="AH308" s="29" t="n"/>
      <c r="AI308" s="29" t="n"/>
      <c r="AJ308" s="29" t="n"/>
      <c r="AK308" s="29" t="n"/>
      <c r="AL308" s="29" t="n"/>
      <c r="AM308" s="169" t="n">
        <v>141.6</v>
      </c>
      <c r="AN308" s="29" t="n"/>
      <c r="AO308" s="29" t="n"/>
      <c r="AP308" s="29" t="n"/>
      <c r="AQ308" s="29" t="n"/>
      <c r="AR308" s="29" t="n"/>
      <c r="AS308" s="169" t="n">
        <v>40</v>
      </c>
      <c r="AT308" s="29" t="n"/>
      <c r="AU308" s="29" t="n"/>
      <c r="AV308" s="29" t="n"/>
      <c r="AW308" s="29" t="n"/>
      <c r="AX308" s="29" t="n"/>
      <c r="AY308" s="169" t="n">
        <v>271.6</v>
      </c>
      <c r="AZ308" s="29" t="n"/>
      <c r="BA308" s="29" t="n"/>
      <c r="BB308" s="29" t="n"/>
      <c r="BC308" s="29" t="n"/>
      <c r="BD308" s="29" t="n"/>
      <c r="BE308" s="169" t="n">
        <v>1197.1</v>
      </c>
      <c r="BF308" s="29" t="n"/>
      <c r="BG308" s="29" t="n"/>
      <c r="BH308" s="29" t="n"/>
      <c r="BI308" s="29" t="n"/>
      <c r="BJ308" s="29" t="n"/>
      <c r="BK308" s="169" t="n">
        <v>235</v>
      </c>
      <c r="BL308" s="29" t="n"/>
      <c r="BM308" s="29" t="n"/>
      <c r="BN308" s="29" t="n"/>
      <c r="BO308" s="29" t="n"/>
      <c r="BP308" s="29" t="n"/>
      <c r="BQ308" s="169" t="n">
        <v>161.4</v>
      </c>
      <c r="BR308" s="29" t="n"/>
      <c r="BS308" s="29" t="n"/>
      <c r="BT308" s="29" t="n"/>
      <c r="BU308" s="29" t="n"/>
      <c r="BV308" s="29" t="n"/>
      <c r="BW308" s="169" t="n">
        <v>931.1</v>
      </c>
      <c r="BX308" s="29" t="n"/>
      <c r="BY308" s="29" t="n"/>
      <c r="BZ308" s="29" t="n"/>
      <c r="CA308" s="29" t="n"/>
      <c r="CB308" s="29" t="n"/>
      <c r="CC308" s="169" t="n">
        <v>559.7</v>
      </c>
      <c r="CD308" s="29" t="n"/>
      <c r="CE308" s="29" t="n"/>
      <c r="CF308" s="29" t="n"/>
      <c r="CG308" s="29" t="n"/>
      <c r="CH308" s="29" t="n"/>
      <c r="CI308" s="169" t="n">
        <v>183.3</v>
      </c>
      <c r="CJ308" s="29" t="n"/>
      <c r="CK308" s="29" t="n"/>
      <c r="CL308" s="169" t="n">
        <v>194.2</v>
      </c>
      <c r="CM308" s="31" t="n"/>
      <c r="CN308" s="31" t="n"/>
      <c r="CO308" s="171">
        <f>CO281-CO309</f>
        <v/>
      </c>
      <c r="CP308" s="171">
        <f>CP281-CP309</f>
        <v/>
      </c>
      <c r="CQ308" s="171">
        <f>CQ281-CQ309</f>
        <v/>
      </c>
      <c r="CR308" s="171">
        <f>CR281-CR309</f>
        <v/>
      </c>
      <c r="CS308" s="171">
        <f>CS281-CS309</f>
        <v/>
      </c>
      <c r="CT308" s="22" t="inlineStr">
        <is>
          <t>Cash-flow ending cash (incl. restricted) less restricted cash.</t>
        </is>
      </c>
      <c r="CV308" s="6" t="n"/>
      <c r="CW308" s="6" t="n"/>
      <c r="CX308" s="6" t="n"/>
      <c r="CY308" s="6" t="n"/>
    </row>
    <row r="309" ht="15" customHeight="1">
      <c r="B309" s="12" t="inlineStr">
        <is>
          <t xml:space="preserve">  Restricted cash</t>
        </is>
      </c>
      <c r="C309" s="30" t="n"/>
      <c r="D309" s="30" t="n"/>
      <c r="E309" s="30" t="n"/>
      <c r="F309" s="30" t="n"/>
      <c r="G309" s="169" t="n">
        <v>0.5</v>
      </c>
      <c r="H309" s="169" t="n">
        <v>0.1</v>
      </c>
      <c r="I309" s="169" t="n">
        <v>0</v>
      </c>
      <c r="J309" s="29" t="n"/>
      <c r="K309" s="29" t="n"/>
      <c r="L309" s="29" t="n"/>
      <c r="M309" s="29" t="n"/>
      <c r="N309" s="29" t="n"/>
      <c r="O309" s="169" t="n">
        <v>0</v>
      </c>
      <c r="P309" s="29" t="n"/>
      <c r="Q309" s="29" t="n"/>
      <c r="R309" s="29" t="n"/>
      <c r="S309" s="29" t="n"/>
      <c r="T309" s="29" t="n"/>
      <c r="U309" s="169" t="n">
        <v>0</v>
      </c>
      <c r="V309" s="29" t="n"/>
      <c r="W309" s="29" t="n"/>
      <c r="X309" s="29" t="n"/>
      <c r="Y309" s="29" t="n"/>
      <c r="Z309" s="29" t="n"/>
      <c r="AA309" s="169" t="n">
        <v>1.2</v>
      </c>
      <c r="AB309" s="29" t="n"/>
      <c r="AC309" s="29" t="n"/>
      <c r="AD309" s="29" t="n"/>
      <c r="AE309" s="29" t="n"/>
      <c r="AF309" s="29" t="n"/>
      <c r="AG309" s="169" t="n">
        <v>9</v>
      </c>
      <c r="AH309" s="29" t="n"/>
      <c r="AI309" s="29" t="n"/>
      <c r="AJ309" s="29" t="n"/>
      <c r="AK309" s="29" t="n"/>
      <c r="AL309" s="29" t="n"/>
      <c r="AM309" s="169" t="n">
        <v>5</v>
      </c>
      <c r="AN309" s="29" t="n"/>
      <c r="AO309" s="29" t="n"/>
      <c r="AP309" s="29" t="n"/>
      <c r="AQ309" s="29" t="n"/>
      <c r="AR309" s="29" t="n"/>
      <c r="AS309" s="169" t="n">
        <v>4.4</v>
      </c>
      <c r="AT309" s="29" t="n"/>
      <c r="AU309" s="29" t="n"/>
      <c r="AV309" s="29" t="n"/>
      <c r="AW309" s="29" t="n"/>
      <c r="AX309" s="29" t="n"/>
      <c r="AY309" s="169" t="n">
        <v>2.9</v>
      </c>
      <c r="AZ309" s="29" t="n"/>
      <c r="BA309" s="29" t="n"/>
      <c r="BB309" s="29" t="n"/>
      <c r="BC309" s="29" t="n"/>
      <c r="BD309" s="29" t="n"/>
      <c r="BE309" s="169" t="n">
        <v>0.9</v>
      </c>
      <c r="BF309" s="29" t="n"/>
      <c r="BG309" s="29" t="n"/>
      <c r="BH309" s="29" t="n"/>
      <c r="BI309" s="29" t="n"/>
      <c r="BJ309" s="29" t="n"/>
      <c r="BK309" s="169" t="n">
        <v>6.5</v>
      </c>
      <c r="BL309" s="29" t="n"/>
      <c r="BM309" s="29" t="n"/>
      <c r="BN309" s="29" t="n"/>
      <c r="BO309" s="29" t="n"/>
      <c r="BP309" s="29" t="n"/>
      <c r="BQ309" s="169" t="n">
        <v>0.1</v>
      </c>
      <c r="BR309" s="29" t="n"/>
      <c r="BS309" s="29" t="n"/>
      <c r="BT309" s="29" t="n"/>
      <c r="BU309" s="29" t="n"/>
      <c r="BV309" s="29" t="n"/>
      <c r="BW309" s="169" t="n">
        <v>18.1</v>
      </c>
      <c r="BX309" s="29" t="n"/>
      <c r="BY309" s="29" t="n"/>
      <c r="BZ309" s="29" t="n"/>
      <c r="CA309" s="29" t="n"/>
      <c r="CB309" s="29" t="n"/>
      <c r="CC309" s="169" t="n">
        <v>41.1</v>
      </c>
      <c r="CD309" s="29" t="n"/>
      <c r="CE309" s="29" t="n"/>
      <c r="CF309" s="29" t="n"/>
      <c r="CG309" s="29" t="n"/>
      <c r="CH309" s="29" t="n"/>
      <c r="CI309" s="169" t="n">
        <v>6.1</v>
      </c>
      <c r="CJ309" s="29" t="n"/>
      <c r="CK309" s="29" t="n"/>
      <c r="CL309" s="169" t="n">
        <v>94.5</v>
      </c>
      <c r="CM309" s="31" t="n"/>
      <c r="CN309" s="31" t="n"/>
      <c r="CO309" s="171">
        <f>$CL$309</f>
        <v/>
      </c>
      <c r="CP309" s="171">
        <f>CO309</f>
        <v/>
      </c>
      <c r="CQ309" s="171">
        <f>CP309</f>
        <v/>
      </c>
      <c r="CR309" s="171">
        <f>CQ309</f>
        <v/>
      </c>
      <c r="CS309" s="171">
        <f>CR309</f>
        <v/>
      </c>
      <c r="CT309" s="22" t="n"/>
      <c r="CV309" s="6" t="n"/>
      <c r="CW309" s="6" t="n"/>
      <c r="CX309" s="6" t="n"/>
      <c r="CY309" s="6" t="n"/>
    </row>
    <row r="310" ht="15" customHeight="1">
      <c r="B310" s="12" t="inlineStr">
        <is>
          <t xml:space="preserve">  Accounts and notes receivable, net</t>
        </is>
      </c>
      <c r="C310" s="169" t="n">
        <v>391.5</v>
      </c>
      <c r="D310" s="169" t="n">
        <v>421.9</v>
      </c>
      <c r="E310" s="169" t="n">
        <v>357</v>
      </c>
      <c r="F310" s="169" t="n">
        <v>268</v>
      </c>
      <c r="G310" s="169" t="n">
        <v>317.8</v>
      </c>
      <c r="H310" s="169" t="n">
        <v>314.9</v>
      </c>
      <c r="I310" s="169" t="n">
        <v>297</v>
      </c>
      <c r="J310" s="29" t="n"/>
      <c r="K310" s="29" t="n"/>
      <c r="L310" s="29" t="n"/>
      <c r="M310" s="29" t="n"/>
      <c r="N310" s="29" t="n"/>
      <c r="O310" s="169" t="n">
        <v>339.6</v>
      </c>
      <c r="P310" s="29" t="n"/>
      <c r="Q310" s="29" t="n"/>
      <c r="R310" s="29" t="n"/>
      <c r="S310" s="29" t="n"/>
      <c r="T310" s="29" t="n"/>
      <c r="U310" s="169" t="n">
        <v>373.8</v>
      </c>
      <c r="V310" s="29" t="n"/>
      <c r="W310" s="29" t="n"/>
      <c r="X310" s="29" t="n"/>
      <c r="Y310" s="29" t="n"/>
      <c r="Z310" s="29" t="n"/>
      <c r="AA310" s="169" t="n">
        <v>418</v>
      </c>
      <c r="AB310" s="29" t="n"/>
      <c r="AC310" s="29" t="n"/>
      <c r="AD310" s="29" t="n"/>
      <c r="AE310" s="29" t="n"/>
      <c r="AF310" s="29" t="n"/>
      <c r="AG310" s="169" t="n">
        <v>491.8</v>
      </c>
      <c r="AH310" s="29" t="n"/>
      <c r="AI310" s="29" t="n"/>
      <c r="AJ310" s="29" t="n"/>
      <c r="AK310" s="29" t="n"/>
      <c r="AL310" s="29" t="n"/>
      <c r="AM310" s="169" t="n">
        <v>588.3</v>
      </c>
      <c r="AN310" s="29" t="n"/>
      <c r="AO310" s="29" t="n"/>
      <c r="AP310" s="29" t="n"/>
      <c r="AQ310" s="29" t="n"/>
      <c r="AR310" s="29" t="n"/>
      <c r="AS310" s="169" t="n">
        <v>540.8</v>
      </c>
      <c r="AT310" s="29" t="n"/>
      <c r="AU310" s="29" t="n"/>
      <c r="AV310" s="29" t="n"/>
      <c r="AW310" s="29" t="n"/>
      <c r="AX310" s="29" t="n"/>
      <c r="AY310" s="169" t="n">
        <v>570.1</v>
      </c>
      <c r="AZ310" s="29" t="n"/>
      <c r="BA310" s="29" t="n"/>
      <c r="BB310" s="29" t="n"/>
      <c r="BC310" s="29" t="n"/>
      <c r="BD310" s="29" t="n"/>
      <c r="BE310" s="169" t="n">
        <v>556.3</v>
      </c>
      <c r="BF310" s="29" t="n"/>
      <c r="BG310" s="29" t="n"/>
      <c r="BH310" s="29" t="n"/>
      <c r="BI310" s="29" t="n"/>
      <c r="BJ310" s="29" t="n"/>
      <c r="BK310" s="169" t="n">
        <v>833.3</v>
      </c>
      <c r="BL310" s="29" t="n"/>
      <c r="BM310" s="29" t="n"/>
      <c r="BN310" s="29" t="n"/>
      <c r="BO310" s="29" t="n"/>
      <c r="BP310" s="29" t="n"/>
      <c r="BQ310" s="169" t="n">
        <v>1045.3</v>
      </c>
      <c r="BR310" s="29" t="n"/>
      <c r="BS310" s="29" t="n"/>
      <c r="BT310" s="29" t="n"/>
      <c r="BU310" s="29" t="n"/>
      <c r="BV310" s="29" t="n"/>
      <c r="BW310" s="169" t="n">
        <v>889.7</v>
      </c>
      <c r="BX310" s="29" t="n"/>
      <c r="BY310" s="29" t="n"/>
      <c r="BZ310" s="29" t="n"/>
      <c r="CA310" s="29" t="n"/>
      <c r="CB310" s="29" t="n"/>
      <c r="CC310" s="169" t="n">
        <v>892.3</v>
      </c>
      <c r="CD310" s="29" t="n"/>
      <c r="CE310" s="29" t="n"/>
      <c r="CF310" s="29" t="n"/>
      <c r="CG310" s="29" t="n"/>
      <c r="CH310" s="29" t="n"/>
      <c r="CI310" s="169" t="n">
        <v>887.7</v>
      </c>
      <c r="CJ310" s="29" t="n"/>
      <c r="CK310" s="29" t="n"/>
      <c r="CL310" s="169" t="n">
        <v>1100.3</v>
      </c>
      <c r="CM310" s="31" t="n"/>
      <c r="CN310" s="31" t="n"/>
      <c r="CO310" s="171">
        <f>CO138*CO355/365</f>
        <v/>
      </c>
      <c r="CP310" s="171">
        <f>CP138*CP355/365</f>
        <v/>
      </c>
      <c r="CQ310" s="171">
        <f>CQ138*CQ355/365</f>
        <v/>
      </c>
      <c r="CR310" s="171">
        <f>CR138*CR355/365</f>
        <v/>
      </c>
      <c r="CS310" s="171">
        <f>CS138*CS355/365</f>
        <v/>
      </c>
      <c r="CT310" s="22" t="inlineStr">
        <is>
          <t>Receivables = revenues × DSO / 365.</t>
        </is>
      </c>
      <c r="CV310" s="6" t="n"/>
      <c r="CW310" s="6" t="n"/>
      <c r="CX310" s="6" t="n"/>
      <c r="CY310" s="6" t="n"/>
    </row>
    <row r="311" ht="15" customHeight="1">
      <c r="B311" s="12" t="inlineStr">
        <is>
          <t xml:space="preserve">  Inventories</t>
        </is>
      </c>
      <c r="C311" s="169" t="n">
        <v>243.5</v>
      </c>
      <c r="D311" s="169" t="n">
        <v>356.3</v>
      </c>
      <c r="E311" s="169" t="n">
        <v>364.3</v>
      </c>
      <c r="F311" s="169" t="n">
        <v>325</v>
      </c>
      <c r="G311" s="169" t="n">
        <v>319.8</v>
      </c>
      <c r="H311" s="169" t="n">
        <v>327.7</v>
      </c>
      <c r="I311" s="169" t="n">
        <v>335</v>
      </c>
      <c r="J311" s="29" t="n"/>
      <c r="K311" s="29" t="n"/>
      <c r="L311" s="29" t="n"/>
      <c r="M311" s="29" t="n"/>
      <c r="N311" s="29" t="n"/>
      <c r="O311" s="169" t="n">
        <v>344.6</v>
      </c>
      <c r="P311" s="29" t="n"/>
      <c r="Q311" s="29" t="n"/>
      <c r="R311" s="29" t="n"/>
      <c r="S311" s="29" t="n"/>
      <c r="T311" s="29" t="n"/>
      <c r="U311" s="169" t="n">
        <v>321.8</v>
      </c>
      <c r="V311" s="29" t="n"/>
      <c r="W311" s="29" t="n"/>
      <c r="X311" s="29" t="n"/>
      <c r="Y311" s="29" t="n"/>
      <c r="Z311" s="29" t="n"/>
      <c r="AA311" s="169" t="n">
        <v>347.1</v>
      </c>
      <c r="AB311" s="29" t="n"/>
      <c r="AC311" s="29" t="n"/>
      <c r="AD311" s="29" t="n"/>
      <c r="AE311" s="29" t="n"/>
      <c r="AF311" s="29" t="n"/>
      <c r="AG311" s="169" t="n">
        <v>345.6</v>
      </c>
      <c r="AH311" s="29" t="n"/>
      <c r="AI311" s="29" t="n"/>
      <c r="AJ311" s="29" t="n"/>
      <c r="AK311" s="29" t="n"/>
      <c r="AL311" s="29" t="n"/>
      <c r="AM311" s="169" t="n">
        <v>384.3</v>
      </c>
      <c r="AN311" s="29" t="n"/>
      <c r="AO311" s="29" t="n"/>
      <c r="AP311" s="29" t="n"/>
      <c r="AQ311" s="29" t="n"/>
      <c r="AR311" s="29" t="n"/>
      <c r="AS311" s="169" t="n">
        <v>429.3</v>
      </c>
      <c r="AT311" s="29" t="n"/>
      <c r="AU311" s="29" t="n"/>
      <c r="AV311" s="29" t="n"/>
      <c r="AW311" s="29" t="n"/>
      <c r="AX311" s="29" t="n"/>
      <c r="AY311" s="169" t="n">
        <v>458.3</v>
      </c>
      <c r="AZ311" s="29" t="n"/>
      <c r="BA311" s="29" t="n"/>
      <c r="BB311" s="29" t="n"/>
      <c r="BC311" s="29" t="n"/>
      <c r="BD311" s="29" t="n"/>
      <c r="BE311" s="169" t="n">
        <v>448.6</v>
      </c>
      <c r="BF311" s="29" t="n"/>
      <c r="BG311" s="29" t="n"/>
      <c r="BH311" s="29" t="n"/>
      <c r="BI311" s="29" t="n"/>
      <c r="BJ311" s="29" t="n"/>
      <c r="BK311" s="169" t="n">
        <v>521.3</v>
      </c>
      <c r="BL311" s="29" t="n"/>
      <c r="BM311" s="29" t="n"/>
      <c r="BN311" s="29" t="n"/>
      <c r="BO311" s="29" t="n"/>
      <c r="BP311" s="29" t="n"/>
      <c r="BQ311" s="169" t="n">
        <v>579.3</v>
      </c>
      <c r="BR311" s="29" t="n"/>
      <c r="BS311" s="29" t="n"/>
      <c r="BT311" s="29" t="n"/>
      <c r="BU311" s="29" t="n"/>
      <c r="BV311" s="29" t="n"/>
      <c r="BW311" s="169" t="n">
        <v>615.6</v>
      </c>
      <c r="BX311" s="29" t="n"/>
      <c r="BY311" s="29" t="n"/>
      <c r="BZ311" s="29" t="n"/>
      <c r="CA311" s="29" t="n"/>
      <c r="CB311" s="29" t="n"/>
      <c r="CC311" s="169" t="n">
        <v>681.8</v>
      </c>
      <c r="CD311" s="29" t="n"/>
      <c r="CE311" s="29" t="n"/>
      <c r="CF311" s="29" t="n"/>
      <c r="CG311" s="29" t="n"/>
      <c r="CH311" s="29" t="n"/>
      <c r="CI311" s="169" t="n">
        <v>680.5</v>
      </c>
      <c r="CJ311" s="29" t="n"/>
      <c r="CK311" s="29" t="n"/>
      <c r="CL311" s="169" t="n">
        <v>688.7</v>
      </c>
      <c r="CM311" s="31" t="n"/>
      <c r="CN311" s="31" t="n"/>
      <c r="CO311" s="171">
        <f>CO140*CO356/365</f>
        <v/>
      </c>
      <c r="CP311" s="171">
        <f>CP140*CP356/365</f>
        <v/>
      </c>
      <c r="CQ311" s="171">
        <f>CQ140*CQ356/365</f>
        <v/>
      </c>
      <c r="CR311" s="171">
        <f>CR140*CR356/365</f>
        <v/>
      </c>
      <c r="CS311" s="171">
        <f>CS140*CS356/365</f>
        <v/>
      </c>
      <c r="CT311" s="22" t="n"/>
      <c r="CV311" s="6" t="n"/>
      <c r="CW311" s="6" t="n"/>
      <c r="CX311" s="6" t="n"/>
      <c r="CY311" s="6" t="n"/>
    </row>
    <row r="312" ht="15" customHeight="1">
      <c r="B312" s="12" t="inlineStr">
        <is>
          <t xml:space="preserve">  Other current assets (prepaids, current taxes, other)</t>
        </is>
      </c>
      <c r="C312" s="169" t="n">
        <v>41.2</v>
      </c>
      <c r="D312" s="169" t="n">
        <v>84.40000000000001</v>
      </c>
      <c r="E312" s="169" t="n">
        <v>162.4</v>
      </c>
      <c r="F312" s="169" t="n">
        <v>112.9</v>
      </c>
      <c r="G312" s="169" t="n">
        <v>73.2</v>
      </c>
      <c r="H312" s="169" t="n">
        <v>64.59999999999999</v>
      </c>
      <c r="I312" s="169" t="n">
        <v>62.4</v>
      </c>
      <c r="J312" s="29" t="n"/>
      <c r="K312" s="29" t="n"/>
      <c r="L312" s="29" t="n"/>
      <c r="M312" s="29" t="n"/>
      <c r="N312" s="29" t="n"/>
      <c r="O312" s="169" t="n">
        <v>63</v>
      </c>
      <c r="P312" s="29" t="n"/>
      <c r="Q312" s="29" t="n"/>
      <c r="R312" s="29" t="n"/>
      <c r="S312" s="29" t="n"/>
      <c r="T312" s="29" t="n"/>
      <c r="U312" s="169" t="n">
        <v>68.40000000000001</v>
      </c>
      <c r="V312" s="29" t="n"/>
      <c r="W312" s="29" t="n"/>
      <c r="X312" s="29" t="n"/>
      <c r="Y312" s="29" t="n"/>
      <c r="Z312" s="29" t="n"/>
      <c r="AA312" s="169" t="n">
        <v>34.3</v>
      </c>
      <c r="AB312" s="29" t="n"/>
      <c r="AC312" s="29" t="n"/>
      <c r="AD312" s="29" t="n"/>
      <c r="AE312" s="29" t="n"/>
      <c r="AF312" s="29" t="n"/>
      <c r="AG312" s="169" t="n">
        <v>31.7</v>
      </c>
      <c r="AH312" s="29" t="n"/>
      <c r="AI312" s="29" t="n"/>
      <c r="AJ312" s="29" t="n"/>
      <c r="AK312" s="29" t="n"/>
      <c r="AL312" s="29" t="n"/>
      <c r="AM312" s="169" t="n">
        <v>60.8</v>
      </c>
      <c r="AN312" s="29" t="n"/>
      <c r="AO312" s="29" t="n"/>
      <c r="AP312" s="29" t="n"/>
      <c r="AQ312" s="29" t="n"/>
      <c r="AR312" s="29" t="n"/>
      <c r="AS312" s="169" t="n">
        <v>64.59999999999999</v>
      </c>
      <c r="AT312" s="29" t="n"/>
      <c r="AU312" s="29" t="n"/>
      <c r="AV312" s="29" t="n"/>
      <c r="AW312" s="29" t="n"/>
      <c r="AX312" s="29" t="n"/>
      <c r="AY312" s="169" t="n">
        <v>76.40000000000001</v>
      </c>
      <c r="AZ312" s="29" t="n"/>
      <c r="BA312" s="29" t="n"/>
      <c r="BB312" s="29" t="n"/>
      <c r="BC312" s="29" t="n"/>
      <c r="BD312" s="29" t="n"/>
      <c r="BE312" s="169" t="n">
        <v>74.3</v>
      </c>
      <c r="BF312" s="29" t="n"/>
      <c r="BG312" s="29" t="n"/>
      <c r="BH312" s="29" t="n"/>
      <c r="BI312" s="29" t="n"/>
      <c r="BJ312" s="29" t="n"/>
      <c r="BK312" s="169" t="n">
        <v>95</v>
      </c>
      <c r="BL312" s="29" t="n"/>
      <c r="BM312" s="29" t="n"/>
      <c r="BN312" s="29" t="n"/>
      <c r="BO312" s="29" t="n"/>
      <c r="BP312" s="29" t="n"/>
      <c r="BQ312" s="169" t="n">
        <v>115.9</v>
      </c>
      <c r="BR312" s="29" t="n"/>
      <c r="BS312" s="29" t="n"/>
      <c r="BT312" s="29" t="n"/>
      <c r="BU312" s="29" t="n"/>
      <c r="BV312" s="29" t="n"/>
      <c r="BW312" s="169" t="n">
        <v>70.40000000000001</v>
      </c>
      <c r="BX312" s="29" t="n"/>
      <c r="BY312" s="29" t="n"/>
      <c r="BZ312" s="29" t="n"/>
      <c r="CA312" s="29" t="n"/>
      <c r="CB312" s="29" t="n"/>
      <c r="CC312" s="169" t="n">
        <v>90.8</v>
      </c>
      <c r="CD312" s="29" t="n"/>
      <c r="CE312" s="29" t="n"/>
      <c r="CF312" s="29" t="n"/>
      <c r="CG312" s="29" t="n"/>
      <c r="CH312" s="29" t="n"/>
      <c r="CI312" s="169" t="n">
        <v>101.8</v>
      </c>
      <c r="CJ312" s="29" t="n"/>
      <c r="CK312" s="29" t="n"/>
      <c r="CL312" s="169" t="n">
        <v>86.3</v>
      </c>
      <c r="CM312" s="31" t="n"/>
      <c r="CN312" s="31" t="n"/>
      <c r="CO312" s="171">
        <f>$CL$312</f>
        <v/>
      </c>
      <c r="CP312" s="171">
        <f>CO312</f>
        <v/>
      </c>
      <c r="CQ312" s="171">
        <f>CP312</f>
        <v/>
      </c>
      <c r="CR312" s="171">
        <f>CQ312</f>
        <v/>
      </c>
      <c r="CS312" s="171">
        <f>CR312</f>
        <v/>
      </c>
      <c r="CT312" s="22" t="n"/>
      <c r="CV312" s="6" t="n"/>
      <c r="CW312" s="6" t="n"/>
      <c r="CX312" s="6" t="n"/>
      <c r="CY312" s="6" t="n"/>
    </row>
    <row r="313" ht="15" customHeight="1">
      <c r="B313" s="12" t="inlineStr">
        <is>
          <t xml:space="preserve">  Assets held for sale</t>
        </is>
      </c>
      <c r="C313" s="30" t="n"/>
      <c r="D313" s="169" t="n">
        <v>259.8</v>
      </c>
      <c r="E313" s="169" t="n">
        <v>0</v>
      </c>
      <c r="F313" s="169" t="n">
        <v>15.1</v>
      </c>
      <c r="G313" s="169" t="n">
        <v>13.2</v>
      </c>
      <c r="H313" s="169" t="n">
        <v>0</v>
      </c>
      <c r="I313" s="169" t="n">
        <v>15.1</v>
      </c>
      <c r="J313" s="29" t="n"/>
      <c r="K313" s="29" t="n"/>
      <c r="L313" s="29" t="n"/>
      <c r="M313" s="29" t="n"/>
      <c r="N313" s="29" t="n"/>
      <c r="O313" s="169" t="n">
        <v>10.6</v>
      </c>
      <c r="P313" s="29" t="n"/>
      <c r="Q313" s="29" t="n"/>
      <c r="R313" s="29" t="n"/>
      <c r="S313" s="29" t="n"/>
      <c r="T313" s="29" t="n"/>
      <c r="U313" s="169" t="n">
        <v>15.2</v>
      </c>
      <c r="V313" s="29" t="n"/>
      <c r="W313" s="29" t="n"/>
      <c r="X313" s="29" t="n"/>
      <c r="Y313" s="29" t="n"/>
      <c r="Z313" s="29" t="n"/>
      <c r="AA313" s="169" t="n">
        <v>0</v>
      </c>
      <c r="AB313" s="29" t="n"/>
      <c r="AC313" s="29" t="n"/>
      <c r="AD313" s="29" t="n"/>
      <c r="AE313" s="29" t="n"/>
      <c r="AF313" s="29" t="n"/>
      <c r="AG313" s="30" t="n"/>
      <c r="AH313" s="29" t="n"/>
      <c r="AI313" s="29" t="n"/>
      <c r="AJ313" s="29" t="n"/>
      <c r="AK313" s="29" t="n"/>
      <c r="AL313" s="29" t="n"/>
      <c r="AM313" s="30" t="n"/>
      <c r="AN313" s="29" t="n"/>
      <c r="AO313" s="29" t="n"/>
      <c r="AP313" s="29" t="n"/>
      <c r="AQ313" s="29" t="n"/>
      <c r="AR313" s="29" t="n"/>
      <c r="AS313" s="30" t="n"/>
      <c r="AT313" s="29" t="n"/>
      <c r="AU313" s="29" t="n"/>
      <c r="AV313" s="29" t="n"/>
      <c r="AW313" s="29" t="n"/>
      <c r="AX313" s="29" t="n"/>
      <c r="AY313" s="30" t="n"/>
      <c r="AZ313" s="29" t="n"/>
      <c r="BA313" s="29" t="n"/>
      <c r="BB313" s="29" t="n"/>
      <c r="BC313" s="29" t="n"/>
      <c r="BD313" s="29" t="n"/>
      <c r="BE313" s="30" t="n"/>
      <c r="BF313" s="29" t="n"/>
      <c r="BG313" s="29" t="n"/>
      <c r="BH313" s="29" t="n"/>
      <c r="BI313" s="29" t="n"/>
      <c r="BJ313" s="29" t="n"/>
      <c r="BK313" s="30" t="n"/>
      <c r="BL313" s="29" t="n"/>
      <c r="BM313" s="29" t="n"/>
      <c r="BN313" s="29" t="n"/>
      <c r="BO313" s="29" t="n"/>
      <c r="BP313" s="29" t="n"/>
      <c r="BQ313" s="169" t="n">
        <v>0</v>
      </c>
      <c r="BR313" s="29" t="n"/>
      <c r="BS313" s="29" t="n"/>
      <c r="BT313" s="29" t="n"/>
      <c r="BU313" s="29" t="n"/>
      <c r="BV313" s="29" t="n"/>
      <c r="BW313" s="169" t="n">
        <v>0</v>
      </c>
      <c r="BX313" s="29" t="n"/>
      <c r="BY313" s="29" t="n"/>
      <c r="BZ313" s="29" t="n"/>
      <c r="CA313" s="29" t="n"/>
      <c r="CB313" s="29" t="n"/>
      <c r="CC313" s="30" t="n"/>
      <c r="CD313" s="29" t="n"/>
      <c r="CE313" s="29" t="n"/>
      <c r="CF313" s="29" t="n"/>
      <c r="CG313" s="29" t="n"/>
      <c r="CH313" s="29" t="n"/>
      <c r="CI313" s="169" t="n">
        <v>708.5</v>
      </c>
      <c r="CJ313" s="29" t="n"/>
      <c r="CK313" s="29" t="n"/>
      <c r="CL313" s="169" t="n">
        <v>0</v>
      </c>
      <c r="CM313" s="31" t="n"/>
      <c r="CN313" s="31" t="n"/>
      <c r="CO313" s="183" t="n">
        <v>0</v>
      </c>
      <c r="CP313" s="183" t="n">
        <v>0</v>
      </c>
      <c r="CQ313" s="183" t="n">
        <v>0</v>
      </c>
      <c r="CR313" s="183" t="n">
        <v>0</v>
      </c>
      <c r="CS313" s="183" t="n">
        <v>0</v>
      </c>
      <c r="CT313" s="22" t="n"/>
      <c r="CV313" s="6" t="n"/>
      <c r="CW313" s="6" t="n"/>
      <c r="CX313" s="6" t="n"/>
      <c r="CY313" s="6" t="n"/>
    </row>
    <row r="314" ht="15" customHeight="1">
      <c r="B314" s="18" t="inlineStr">
        <is>
          <t>Total current assets</t>
        </is>
      </c>
      <c r="C314" s="173">
        <f>IF(ISNUMBER(C308),SUM(C308:C313),"")</f>
        <v/>
      </c>
      <c r="D314" s="173">
        <f>IF(ISNUMBER(D308),SUM(D308:D313),"")</f>
        <v/>
      </c>
      <c r="E314" s="173">
        <f>IF(ISNUMBER(E308),SUM(E308:E313),"")</f>
        <v/>
      </c>
      <c r="F314" s="173">
        <f>IF(ISNUMBER(F308),SUM(F308:F313),"")</f>
        <v/>
      </c>
      <c r="G314" s="173">
        <f>IF(ISNUMBER(G308),SUM(G308:G313),"")</f>
        <v/>
      </c>
      <c r="H314" s="173">
        <f>IF(ISNUMBER(H308),SUM(H308:H313),"")</f>
        <v/>
      </c>
      <c r="I314" s="173">
        <f>IF(ISNUMBER(I308),SUM(I308:I313),"")</f>
        <v/>
      </c>
      <c r="J314" s="19" t="n"/>
      <c r="K314" s="19" t="n"/>
      <c r="L314" s="19" t="n"/>
      <c r="M314" s="19" t="n"/>
      <c r="N314" s="19" t="n"/>
      <c r="O314" s="173">
        <f>IF(ISNUMBER(O308),SUM(O308:O313),"")</f>
        <v/>
      </c>
      <c r="P314" s="19" t="n"/>
      <c r="Q314" s="19" t="n"/>
      <c r="R314" s="19" t="n"/>
      <c r="S314" s="19" t="n"/>
      <c r="T314" s="19" t="n"/>
      <c r="U314" s="173">
        <f>IF(ISNUMBER(U308),SUM(U308:U313),"")</f>
        <v/>
      </c>
      <c r="V314" s="19" t="n"/>
      <c r="W314" s="19" t="n"/>
      <c r="X314" s="19" t="n"/>
      <c r="Y314" s="19" t="n"/>
      <c r="Z314" s="19" t="n"/>
      <c r="AA314" s="173">
        <f>IF(ISNUMBER(AA308),SUM(AA308:AA313),"")</f>
        <v/>
      </c>
      <c r="AB314" s="19" t="n"/>
      <c r="AC314" s="19" t="n"/>
      <c r="AD314" s="19" t="n"/>
      <c r="AE314" s="19" t="n"/>
      <c r="AF314" s="19" t="n"/>
      <c r="AG314" s="173">
        <f>IF(ISNUMBER(AG308),SUM(AG308:AG313),"")</f>
        <v/>
      </c>
      <c r="AH314" s="19" t="n"/>
      <c r="AI314" s="19" t="n"/>
      <c r="AJ314" s="19" t="n"/>
      <c r="AK314" s="19" t="n"/>
      <c r="AL314" s="19" t="n"/>
      <c r="AM314" s="173">
        <f>IF(ISNUMBER(AM308),SUM(AM308:AM313),"")</f>
        <v/>
      </c>
      <c r="AN314" s="19" t="n"/>
      <c r="AO314" s="19" t="n"/>
      <c r="AP314" s="19" t="n"/>
      <c r="AQ314" s="19" t="n"/>
      <c r="AR314" s="19" t="n"/>
      <c r="AS314" s="173">
        <f>IF(ISNUMBER(AS308),SUM(AS308:AS313),"")</f>
        <v/>
      </c>
      <c r="AT314" s="19" t="n"/>
      <c r="AU314" s="19" t="n"/>
      <c r="AV314" s="19" t="n"/>
      <c r="AW314" s="19" t="n"/>
      <c r="AX314" s="19" t="n"/>
      <c r="AY314" s="173">
        <f>IF(ISNUMBER(AY308),SUM(AY308:AY313),"")</f>
        <v/>
      </c>
      <c r="AZ314" s="19" t="n"/>
      <c r="BA314" s="19" t="n"/>
      <c r="BB314" s="19" t="n"/>
      <c r="BC314" s="19" t="n"/>
      <c r="BD314" s="19" t="n"/>
      <c r="BE314" s="173">
        <f>IF(ISNUMBER(BE308),SUM(BE308:BE313),"")</f>
        <v/>
      </c>
      <c r="BF314" s="19" t="n"/>
      <c r="BG314" s="19" t="n"/>
      <c r="BH314" s="19" t="n"/>
      <c r="BI314" s="19" t="n"/>
      <c r="BJ314" s="19" t="n"/>
      <c r="BK314" s="173">
        <f>IF(ISNUMBER(BK308),SUM(BK308:BK313),"")</f>
        <v/>
      </c>
      <c r="BL314" s="19" t="n"/>
      <c r="BM314" s="19" t="n"/>
      <c r="BN314" s="19" t="n"/>
      <c r="BO314" s="19" t="n"/>
      <c r="BP314" s="19" t="n"/>
      <c r="BQ314" s="173">
        <f>IF(ISNUMBER(BQ308),SUM(BQ308:BQ313),"")</f>
        <v/>
      </c>
      <c r="BR314" s="19" t="n"/>
      <c r="BS314" s="19" t="n"/>
      <c r="BT314" s="19" t="n"/>
      <c r="BU314" s="19" t="n"/>
      <c r="BV314" s="19" t="n"/>
      <c r="BW314" s="173">
        <f>IF(ISNUMBER(BW308),SUM(BW308:BW313),"")</f>
        <v/>
      </c>
      <c r="BX314" s="19" t="n"/>
      <c r="BY314" s="19" t="n"/>
      <c r="BZ314" s="19" t="n"/>
      <c r="CA314" s="19" t="n"/>
      <c r="CB314" s="19" t="n"/>
      <c r="CC314" s="173">
        <f>IF(ISNUMBER(CC308),SUM(CC308:CC313),"")</f>
        <v/>
      </c>
      <c r="CD314" s="19" t="n"/>
      <c r="CE314" s="19" t="n"/>
      <c r="CF314" s="19" t="n"/>
      <c r="CG314" s="19" t="n"/>
      <c r="CH314" s="19" t="n"/>
      <c r="CI314" s="173">
        <f>IF(ISNUMBER(CI308),SUM(CI308:CI313),"")</f>
        <v/>
      </c>
      <c r="CJ314" s="19" t="n"/>
      <c r="CK314" s="19" t="n"/>
      <c r="CL314" s="173">
        <f>IF(ISNUMBER(CL308),SUM(CL308:CL313),"")</f>
        <v/>
      </c>
      <c r="CM314" s="21" t="n"/>
      <c r="CN314" s="21" t="n"/>
      <c r="CO314" s="174">
        <f>IF(ISNUMBER(CO308),SUM(CO308:CO313),"")</f>
        <v/>
      </c>
      <c r="CP314" s="174">
        <f>IF(ISNUMBER(CP308),SUM(CP308:CP313),"")</f>
        <v/>
      </c>
      <c r="CQ314" s="174">
        <f>IF(ISNUMBER(CQ308),SUM(CQ308:CQ313),"")</f>
        <v/>
      </c>
      <c r="CR314" s="174">
        <f>IF(ISNUMBER(CR308),SUM(CR308:CR313),"")</f>
        <v/>
      </c>
      <c r="CS314" s="174">
        <f>IF(ISNUMBER(CS308),SUM(CS308:CS313),"")</f>
        <v/>
      </c>
      <c r="CT314" s="22" t="n"/>
      <c r="CV314" s="6" t="n"/>
      <c r="CW314" s="6" t="n"/>
      <c r="CX314" s="6" t="n"/>
      <c r="CY314" s="6" t="n"/>
    </row>
    <row r="315" ht="15" customHeight="1">
      <c r="B315" s="12" t="inlineStr">
        <is>
          <t xml:space="preserve">  Investments and long-term receivables</t>
        </is>
      </c>
      <c r="C315" s="169" t="n">
        <v>6.7</v>
      </c>
      <c r="D315" s="169" t="n">
        <v>25.4</v>
      </c>
      <c r="E315" s="169" t="n">
        <v>28</v>
      </c>
      <c r="F315" s="169" t="n">
        <v>33.3</v>
      </c>
      <c r="G315" s="169" t="n">
        <v>37.4</v>
      </c>
      <c r="H315" s="169" t="n">
        <v>29</v>
      </c>
      <c r="I315" s="169" t="n">
        <v>42.1</v>
      </c>
      <c r="J315" s="29" t="n"/>
      <c r="K315" s="29" t="n"/>
      <c r="L315" s="29" t="n"/>
      <c r="M315" s="29" t="n"/>
      <c r="N315" s="29" t="n"/>
      <c r="O315" s="169" t="n">
        <v>42.4</v>
      </c>
      <c r="P315" s="29" t="n"/>
      <c r="Q315" s="29" t="n"/>
      <c r="R315" s="29" t="n"/>
      <c r="S315" s="29" t="n"/>
      <c r="T315" s="29" t="n"/>
      <c r="U315" s="169" t="n">
        <v>41.7</v>
      </c>
      <c r="V315" s="29" t="n"/>
      <c r="W315" s="29" t="n"/>
      <c r="X315" s="29" t="n"/>
      <c r="Y315" s="29" t="n"/>
      <c r="Z315" s="29" t="n"/>
      <c r="AA315" s="169" t="n">
        <v>40.6</v>
      </c>
      <c r="AB315" s="29" t="n"/>
      <c r="AC315" s="29" t="n"/>
      <c r="AD315" s="29" t="n"/>
      <c r="AE315" s="29" t="n"/>
      <c r="AF315" s="29" t="n"/>
      <c r="AG315" s="169" t="n">
        <v>39.2</v>
      </c>
      <c r="AH315" s="29" t="n"/>
      <c r="AI315" s="29" t="n"/>
      <c r="AJ315" s="29" t="n"/>
      <c r="AK315" s="29" t="n"/>
      <c r="AL315" s="29" t="n"/>
      <c r="AM315" s="169" t="n">
        <v>35.1</v>
      </c>
      <c r="AN315" s="29" t="n"/>
      <c r="AO315" s="29" t="n"/>
      <c r="AP315" s="29" t="n"/>
      <c r="AQ315" s="29" t="n"/>
      <c r="AR315" s="29" t="n"/>
      <c r="AS315" s="169" t="n">
        <v>44.6</v>
      </c>
      <c r="AT315" s="29" t="n"/>
      <c r="AU315" s="29" t="n"/>
      <c r="AV315" s="29" t="n"/>
      <c r="AW315" s="29" t="n"/>
      <c r="AX315" s="29" t="n"/>
      <c r="AY315" s="169" t="n">
        <v>60.7</v>
      </c>
      <c r="AZ315" s="29" t="n"/>
      <c r="BA315" s="29" t="n"/>
      <c r="BB315" s="29" t="n"/>
      <c r="BC315" s="29" t="n"/>
      <c r="BD315" s="29" t="n"/>
      <c r="BE315" s="169" t="n">
        <v>34.3</v>
      </c>
      <c r="BF315" s="29" t="n"/>
      <c r="BG315" s="29" t="n"/>
      <c r="BH315" s="29" t="n"/>
      <c r="BI315" s="29" t="n"/>
      <c r="BJ315" s="29" t="n"/>
      <c r="BK315" s="169" t="n">
        <v>34.1</v>
      </c>
      <c r="BL315" s="29" t="n"/>
      <c r="BM315" s="29" t="n"/>
      <c r="BN315" s="29" t="n"/>
      <c r="BO315" s="29" t="n"/>
      <c r="BP315" s="29" t="n"/>
      <c r="BQ315" s="169" t="n">
        <v>31.8</v>
      </c>
      <c r="BR315" s="29" t="n"/>
      <c r="BS315" s="29" t="n"/>
      <c r="BT315" s="29" t="n"/>
      <c r="BU315" s="29" t="n"/>
      <c r="BV315" s="29" t="n"/>
      <c r="BW315" s="169" t="n">
        <v>31.3</v>
      </c>
      <c r="BX315" s="29" t="n"/>
      <c r="BY315" s="29" t="n"/>
      <c r="BZ315" s="29" t="n"/>
      <c r="CA315" s="29" t="n"/>
      <c r="CB315" s="29" t="n"/>
      <c r="CC315" s="169" t="n">
        <v>31.3</v>
      </c>
      <c r="CD315" s="29" t="n"/>
      <c r="CE315" s="29" t="n"/>
      <c r="CF315" s="29" t="n"/>
      <c r="CG315" s="29" t="n"/>
      <c r="CH315" s="29" t="n"/>
      <c r="CI315" s="169" t="n">
        <v>33.7</v>
      </c>
      <c r="CJ315" s="29" t="n"/>
      <c r="CK315" s="29" t="n"/>
      <c r="CL315" s="169" t="n">
        <v>174</v>
      </c>
      <c r="CM315" s="31" t="n"/>
      <c r="CN315" s="31" t="n"/>
      <c r="CO315" s="171">
        <f>$CL$315</f>
        <v/>
      </c>
      <c r="CP315" s="171">
        <f>CO315</f>
        <v/>
      </c>
      <c r="CQ315" s="171">
        <f>CP315</f>
        <v/>
      </c>
      <c r="CR315" s="171">
        <f>CQ315</f>
        <v/>
      </c>
      <c r="CS315" s="171">
        <f>CR315</f>
        <v/>
      </c>
      <c r="CT315" s="22" t="n"/>
      <c r="CV315" s="6" t="n"/>
      <c r="CW315" s="6" t="n"/>
      <c r="CX315" s="6" t="n"/>
      <c r="CY315" s="6" t="n"/>
    </row>
    <row r="316" ht="15" customHeight="1">
      <c r="B316" s="12" t="inlineStr">
        <is>
          <t xml:space="preserve">  Property, plant &amp; equipment, net</t>
        </is>
      </c>
      <c r="C316" s="169" t="n">
        <v>1869.1</v>
      </c>
      <c r="D316" s="169" t="n">
        <v>3620.1</v>
      </c>
      <c r="E316" s="169" t="n">
        <v>4155.8</v>
      </c>
      <c r="F316" s="169" t="n">
        <v>3874.7</v>
      </c>
      <c r="G316" s="169" t="n">
        <v>3632.9</v>
      </c>
      <c r="H316" s="169" t="n">
        <v>3418.2</v>
      </c>
      <c r="I316" s="169" t="n">
        <v>3159.2</v>
      </c>
      <c r="J316" s="29" t="n"/>
      <c r="K316" s="29" t="n"/>
      <c r="L316" s="29" t="n"/>
      <c r="M316" s="29" t="n"/>
      <c r="N316" s="29" t="n"/>
      <c r="O316" s="169" t="n">
        <v>3312</v>
      </c>
      <c r="P316" s="29" t="n"/>
      <c r="Q316" s="29" t="n"/>
      <c r="R316" s="29" t="n"/>
      <c r="S316" s="29" t="n"/>
      <c r="T316" s="29" t="n"/>
      <c r="U316" s="169" t="n">
        <v>3071.6</v>
      </c>
      <c r="V316" s="29" t="n"/>
      <c r="W316" s="29" t="n"/>
      <c r="X316" s="29" t="n"/>
      <c r="Y316" s="29" t="n"/>
      <c r="Z316" s="29" t="n"/>
      <c r="AA316" s="169" t="n">
        <v>3156.3</v>
      </c>
      <c r="AB316" s="29" t="n"/>
      <c r="AC316" s="29" t="n"/>
      <c r="AD316" s="29" t="n"/>
      <c r="AE316" s="29" t="n"/>
      <c r="AF316" s="29" t="n"/>
      <c r="AG316" s="169" t="n">
        <v>3261.4</v>
      </c>
      <c r="AH316" s="29" t="n"/>
      <c r="AI316" s="29" t="n"/>
      <c r="AJ316" s="29" t="n"/>
      <c r="AK316" s="29" t="n"/>
      <c r="AL316" s="29" t="n"/>
      <c r="AM316" s="169" t="n">
        <v>3918.9</v>
      </c>
      <c r="AN316" s="29" t="n"/>
      <c r="AO316" s="29" t="n"/>
      <c r="AP316" s="29" t="n"/>
      <c r="AQ316" s="29" t="n"/>
      <c r="AR316" s="29" t="n"/>
      <c r="AS316" s="169" t="n">
        <v>4237.3</v>
      </c>
      <c r="AT316" s="29" t="n"/>
      <c r="AU316" s="29" t="n"/>
      <c r="AV316" s="29" t="n"/>
      <c r="AW316" s="29" t="n"/>
      <c r="AX316" s="29" t="n"/>
      <c r="AY316" s="169" t="n">
        <v>4316</v>
      </c>
      <c r="AZ316" s="29" t="n"/>
      <c r="BA316" s="29" t="n"/>
      <c r="BB316" s="29" t="n"/>
      <c r="BC316" s="29" t="n"/>
      <c r="BD316" s="29" t="n"/>
      <c r="BE316" s="169" t="n">
        <v>4426</v>
      </c>
      <c r="BF316" s="29" t="n"/>
      <c r="BG316" s="29" t="n"/>
      <c r="BH316" s="29" t="n"/>
      <c r="BI316" s="29" t="n"/>
      <c r="BJ316" s="29" t="n"/>
      <c r="BK316" s="169" t="n">
        <v>5546.8</v>
      </c>
      <c r="BL316" s="29" t="n"/>
      <c r="BM316" s="29" t="n"/>
      <c r="BN316" s="29" t="n"/>
      <c r="BO316" s="29" t="n"/>
      <c r="BP316" s="29" t="n"/>
      <c r="BQ316" s="169" t="n">
        <v>6051.3</v>
      </c>
      <c r="BR316" s="29" t="n"/>
      <c r="BS316" s="29" t="n"/>
      <c r="BT316" s="29" t="n"/>
      <c r="BU316" s="29" t="n"/>
      <c r="BV316" s="29" t="n"/>
      <c r="BW316" s="169" t="n">
        <v>6217.7</v>
      </c>
      <c r="BX316" s="29" t="n"/>
      <c r="BY316" s="29" t="n"/>
      <c r="BZ316" s="29" t="n"/>
      <c r="CA316" s="29" t="n"/>
      <c r="CB316" s="29" t="n"/>
      <c r="CC316" s="169" t="n">
        <v>8461.5</v>
      </c>
      <c r="CD316" s="29" t="n"/>
      <c r="CE316" s="29" t="n"/>
      <c r="CF316" s="29" t="n"/>
      <c r="CG316" s="29" t="n"/>
      <c r="CH316" s="29" t="n"/>
      <c r="CI316" s="169" t="n">
        <v>8148.6</v>
      </c>
      <c r="CJ316" s="29" t="n"/>
      <c r="CK316" s="29" t="n"/>
      <c r="CL316" s="169" t="n">
        <v>8171.8</v>
      </c>
      <c r="CM316" s="31" t="n"/>
      <c r="CN316" s="31" t="n"/>
      <c r="CO316" s="171">
        <f>$CL$316-(CO264-$CL$264)-((CO158-$CL$158)-CO365/2)-(CO265-$CL$265)-(CO267-$CL$267)*CP99</f>
        <v/>
      </c>
      <c r="CP316" s="171">
        <f>CO316-CP264-(CP158-CP365)-CP265-CP267*CP99</f>
        <v/>
      </c>
      <c r="CQ316" s="171">
        <f>CP316-CQ264-(CQ158-CQ365)-CQ265-CQ267*CQ99</f>
        <v/>
      </c>
      <c r="CR316" s="171">
        <f>CQ316-CR264-(CR158-CR365)-CR265-CR267*CR99</f>
        <v/>
      </c>
      <c r="CS316" s="171">
        <f>CR316-CS264-(CS158-CS365)-CS265-CS267*CS99</f>
        <v/>
      </c>
      <c r="CT316" s="22" t="inlineStr">
        <is>
          <t>PP&amp;E roll-forward: opening + capex − depreciation &amp; depletion (DDA&amp;A less intangible amortization) − disposals + acquired PP&amp;E.</t>
        </is>
      </c>
      <c r="CV316" s="6" t="n"/>
      <c r="CW316" s="6" t="n"/>
      <c r="CX316" s="6" t="n"/>
      <c r="CY316" s="6" t="n"/>
    </row>
    <row r="317" ht="15" customHeight="1">
      <c r="B317" s="12" t="inlineStr">
        <is>
          <t xml:space="preserve">  Operating lease right-of-use assets (2019+)</t>
        </is>
      </c>
      <c r="C317" s="30" t="n"/>
      <c r="D317" s="30" t="n"/>
      <c r="E317" s="30" t="n"/>
      <c r="F317" s="30" t="n"/>
      <c r="G317" s="30" t="n"/>
      <c r="H317" s="30" t="n"/>
      <c r="I317" s="30" t="n"/>
      <c r="J317" s="29" t="n"/>
      <c r="K317" s="29" t="n"/>
      <c r="L317" s="29" t="n"/>
      <c r="M317" s="29" t="n"/>
      <c r="N317" s="29" t="n"/>
      <c r="O317" s="30" t="n"/>
      <c r="P317" s="29" t="n"/>
      <c r="Q317" s="29" t="n"/>
      <c r="R317" s="29" t="n"/>
      <c r="S317" s="29" t="n"/>
      <c r="T317" s="29" t="n"/>
      <c r="U317" s="30" t="n"/>
      <c r="V317" s="29" t="n"/>
      <c r="W317" s="29" t="n"/>
      <c r="X317" s="29" t="n"/>
      <c r="Y317" s="29" t="n"/>
      <c r="Z317" s="29" t="n"/>
      <c r="AA317" s="30" t="n"/>
      <c r="AB317" s="29" t="n"/>
      <c r="AC317" s="29" t="n"/>
      <c r="AD317" s="29" t="n"/>
      <c r="AE317" s="29" t="n"/>
      <c r="AF317" s="29" t="n"/>
      <c r="AG317" s="30" t="n"/>
      <c r="AH317" s="29" t="n"/>
      <c r="AI317" s="29" t="n"/>
      <c r="AJ317" s="29" t="n"/>
      <c r="AK317" s="29" t="n"/>
      <c r="AL317" s="29" t="n"/>
      <c r="AM317" s="30" t="n"/>
      <c r="AN317" s="29" t="n"/>
      <c r="AO317" s="29" t="n"/>
      <c r="AP317" s="29" t="n"/>
      <c r="AQ317" s="29" t="n"/>
      <c r="AR317" s="29" t="n"/>
      <c r="AS317" s="30" t="n"/>
      <c r="AT317" s="29" t="n"/>
      <c r="AU317" s="29" t="n"/>
      <c r="AV317" s="29" t="n"/>
      <c r="AW317" s="29" t="n"/>
      <c r="AX317" s="29" t="n"/>
      <c r="AY317" s="169" t="n">
        <v>408.2</v>
      </c>
      <c r="AZ317" s="29" t="n"/>
      <c r="BA317" s="29" t="n"/>
      <c r="BB317" s="29" t="n"/>
      <c r="BC317" s="29" t="n"/>
      <c r="BD317" s="29" t="n"/>
      <c r="BE317" s="169" t="n">
        <v>423.1</v>
      </c>
      <c r="BF317" s="29" t="n"/>
      <c r="BG317" s="29" t="n"/>
      <c r="BH317" s="29" t="n"/>
      <c r="BI317" s="29" t="n"/>
      <c r="BJ317" s="29" t="n"/>
      <c r="BK317" s="169" t="n">
        <v>691.4</v>
      </c>
      <c r="BL317" s="29" t="n"/>
      <c r="BM317" s="29" t="n"/>
      <c r="BN317" s="29" t="n"/>
      <c r="BO317" s="29" t="n"/>
      <c r="BP317" s="29" t="n"/>
      <c r="BQ317" s="169" t="n">
        <v>572.6</v>
      </c>
      <c r="BR317" s="29" t="n"/>
      <c r="BS317" s="29" t="n"/>
      <c r="BT317" s="29" t="n"/>
      <c r="BU317" s="29" t="n"/>
      <c r="BV317" s="29" t="n"/>
      <c r="BW317" s="169" t="n">
        <v>511.7</v>
      </c>
      <c r="BX317" s="29" t="n"/>
      <c r="BY317" s="29" t="n"/>
      <c r="BZ317" s="29" t="n"/>
      <c r="CA317" s="29" t="n"/>
      <c r="CB317" s="29" t="n"/>
      <c r="CC317" s="169" t="n">
        <v>526.4</v>
      </c>
      <c r="CD317" s="29" t="n"/>
      <c r="CE317" s="29" t="n"/>
      <c r="CF317" s="29" t="n"/>
      <c r="CG317" s="29" t="n"/>
      <c r="CH317" s="29" t="n"/>
      <c r="CI317" s="169" t="n">
        <v>521.5</v>
      </c>
      <c r="CJ317" s="29" t="n"/>
      <c r="CK317" s="29" t="n"/>
      <c r="CL317" s="169" t="n">
        <v>523.4</v>
      </c>
      <c r="CM317" s="31" t="n"/>
      <c r="CN317" s="31" t="n"/>
      <c r="CO317" s="171">
        <f>$CL$317</f>
        <v/>
      </c>
      <c r="CP317" s="171">
        <f>CO317</f>
        <v/>
      </c>
      <c r="CQ317" s="171">
        <f>CP317</f>
        <v/>
      </c>
      <c r="CR317" s="171">
        <f>CQ317</f>
        <v/>
      </c>
      <c r="CS317" s="171">
        <f>CR317</f>
        <v/>
      </c>
      <c r="CT317" s="22" t="n"/>
      <c r="CV317" s="6" t="n"/>
      <c r="CW317" s="6" t="n"/>
      <c r="CX317" s="6" t="n"/>
      <c r="CY317" s="6" t="n"/>
    </row>
    <row r="318" ht="15" customHeight="1">
      <c r="B318" s="12" t="inlineStr">
        <is>
          <t xml:space="preserve">  Goodwill</t>
        </is>
      </c>
      <c r="C318" s="169" t="n">
        <v>620.2</v>
      </c>
      <c r="D318" s="169" t="n">
        <v>3789.1</v>
      </c>
      <c r="E318" s="169" t="n">
        <v>3083</v>
      </c>
      <c r="F318" s="169" t="n">
        <v>3094</v>
      </c>
      <c r="G318" s="169" t="n">
        <v>3097</v>
      </c>
      <c r="H318" s="169" t="n">
        <v>3086.7</v>
      </c>
      <c r="I318" s="169" t="n">
        <v>3086.7</v>
      </c>
      <c r="J318" s="29" t="n"/>
      <c r="K318" s="29" t="n"/>
      <c r="L318" s="29" t="n"/>
      <c r="M318" s="29" t="n"/>
      <c r="N318" s="29" t="n"/>
      <c r="O318" s="169" t="n">
        <v>3081.5</v>
      </c>
      <c r="P318" s="29" t="n"/>
      <c r="Q318" s="29" t="n"/>
      <c r="R318" s="29" t="n"/>
      <c r="S318" s="29" t="n"/>
      <c r="T318" s="29" t="n"/>
      <c r="U318" s="169" t="n">
        <v>3094.8</v>
      </c>
      <c r="V318" s="29" t="n"/>
      <c r="W318" s="29" t="n"/>
      <c r="X318" s="29" t="n"/>
      <c r="Y318" s="29" t="n"/>
      <c r="Z318" s="29" t="n"/>
      <c r="AA318" s="169" t="n">
        <v>3094.8</v>
      </c>
      <c r="AB318" s="29" t="n"/>
      <c r="AC318" s="29" t="n"/>
      <c r="AD318" s="29" t="n"/>
      <c r="AE318" s="29" t="n"/>
      <c r="AF318" s="29" t="n"/>
      <c r="AG318" s="169" t="n">
        <v>3094.8</v>
      </c>
      <c r="AH318" s="29" t="n"/>
      <c r="AI318" s="29" t="n"/>
      <c r="AJ318" s="29" t="n"/>
      <c r="AK318" s="29" t="n"/>
      <c r="AL318" s="29" t="n"/>
      <c r="AM318" s="169" t="n">
        <v>3122.3</v>
      </c>
      <c r="AN318" s="29" t="n"/>
      <c r="AO318" s="29" t="n"/>
      <c r="AP318" s="29" t="n"/>
      <c r="AQ318" s="29" t="n"/>
      <c r="AR318" s="29" t="n"/>
      <c r="AS318" s="169" t="n">
        <v>3165.4</v>
      </c>
      <c r="AT318" s="29" t="n"/>
      <c r="AU318" s="29" t="n"/>
      <c r="AV318" s="29" t="n"/>
      <c r="AW318" s="29" t="n"/>
      <c r="AX318" s="29" t="n"/>
      <c r="AY318" s="169" t="n">
        <v>3167.1</v>
      </c>
      <c r="AZ318" s="29" t="n"/>
      <c r="BA318" s="29" t="n"/>
      <c r="BB318" s="29" t="n"/>
      <c r="BC318" s="29" t="n"/>
      <c r="BD318" s="29" t="n"/>
      <c r="BE318" s="169" t="n">
        <v>3172.1</v>
      </c>
      <c r="BF318" s="29" t="n"/>
      <c r="BG318" s="29" t="n"/>
      <c r="BH318" s="29" t="n"/>
      <c r="BI318" s="29" t="n"/>
      <c r="BJ318" s="29" t="n"/>
      <c r="BK318" s="169" t="n">
        <v>3696.7</v>
      </c>
      <c r="BL318" s="29" t="n"/>
      <c r="BM318" s="29" t="n"/>
      <c r="BN318" s="29" t="n"/>
      <c r="BO318" s="29" t="n"/>
      <c r="BP318" s="29" t="n"/>
      <c r="BQ318" s="169" t="n">
        <v>3689.6</v>
      </c>
      <c r="BR318" s="29" t="n"/>
      <c r="BS318" s="29" t="n"/>
      <c r="BT318" s="29" t="n"/>
      <c r="BU318" s="29" t="n"/>
      <c r="BV318" s="29" t="n"/>
      <c r="BW318" s="169" t="n">
        <v>3531.7</v>
      </c>
      <c r="BX318" s="29" t="n"/>
      <c r="BY318" s="29" t="n"/>
      <c r="BZ318" s="29" t="n"/>
      <c r="CA318" s="29" t="n"/>
      <c r="CB318" s="29" t="n"/>
      <c r="CC318" s="169" t="n">
        <v>3788.1</v>
      </c>
      <c r="CD318" s="29" t="n"/>
      <c r="CE318" s="29" t="n"/>
      <c r="CF318" s="29" t="n"/>
      <c r="CG318" s="29" t="n"/>
      <c r="CH318" s="29" t="n"/>
      <c r="CI318" s="169" t="n">
        <v>3780.9</v>
      </c>
      <c r="CJ318" s="29" t="n"/>
      <c r="CK318" s="29" t="n"/>
      <c r="CL318" s="169" t="n">
        <v>3780.9</v>
      </c>
      <c r="CM318" s="31" t="n"/>
      <c r="CN318" s="31" t="n"/>
      <c r="CO318" s="171">
        <f>$CL$318-(CO267-$CL$267)*CP101</f>
        <v/>
      </c>
      <c r="CP318" s="171">
        <f>CO318-CP267*CP101</f>
        <v/>
      </c>
      <c r="CQ318" s="171">
        <f>CP318-CQ267*CQ101</f>
        <v/>
      </c>
      <c r="CR318" s="171">
        <f>CQ318-CR267*CR101</f>
        <v/>
      </c>
      <c r="CS318" s="171">
        <f>CR318-CS267*CS101</f>
        <v/>
      </c>
      <c r="CT318" s="22" t="n"/>
      <c r="CV318" s="6" t="n"/>
      <c r="CW318" s="6" t="n"/>
      <c r="CX318" s="6" t="n"/>
      <c r="CY318" s="6" t="n"/>
    </row>
    <row r="319" ht="15" customHeight="1">
      <c r="B319" s="12" t="inlineStr">
        <is>
          <t xml:space="preserve">  Other intangible assets, net</t>
        </is>
      </c>
      <c r="C319" s="30" t="n"/>
      <c r="D319" s="30" t="n"/>
      <c r="E319" s="169" t="n">
        <v>673.8</v>
      </c>
      <c r="F319" s="169" t="n">
        <v>682.6</v>
      </c>
      <c r="G319" s="169" t="n">
        <v>691.7</v>
      </c>
      <c r="H319" s="169" t="n">
        <v>697.5</v>
      </c>
      <c r="I319" s="169" t="n">
        <v>692.5</v>
      </c>
      <c r="J319" s="29" t="n"/>
      <c r="K319" s="29" t="n"/>
      <c r="L319" s="29" t="n"/>
      <c r="M319" s="29" t="n"/>
      <c r="N319" s="29" t="n"/>
      <c r="O319" s="169" t="n">
        <v>697.6</v>
      </c>
      <c r="P319" s="29" t="n"/>
      <c r="Q319" s="29" t="n"/>
      <c r="R319" s="29" t="n"/>
      <c r="S319" s="29" t="n"/>
      <c r="T319" s="29" t="n"/>
      <c r="U319" s="169" t="n">
        <v>758.2</v>
      </c>
      <c r="V319" s="29" t="n"/>
      <c r="W319" s="29" t="n"/>
      <c r="X319" s="29" t="n"/>
      <c r="Y319" s="29" t="n"/>
      <c r="Z319" s="29" t="n"/>
      <c r="AA319" s="169" t="n">
        <v>766.6</v>
      </c>
      <c r="AB319" s="29" t="n"/>
      <c r="AC319" s="29" t="n"/>
      <c r="AD319" s="29" t="n"/>
      <c r="AE319" s="29" t="n"/>
      <c r="AF319" s="29" t="n"/>
      <c r="AG319" s="169" t="n">
        <v>769.1</v>
      </c>
      <c r="AH319" s="29" t="n"/>
      <c r="AI319" s="29" t="n"/>
      <c r="AJ319" s="29" t="n"/>
      <c r="AK319" s="29" t="n"/>
      <c r="AL319" s="29" t="n"/>
      <c r="AM319" s="169" t="n">
        <v>1063.6</v>
      </c>
      <c r="AN319" s="29" t="n"/>
      <c r="AO319" s="29" t="n"/>
      <c r="AP319" s="29" t="n"/>
      <c r="AQ319" s="29" t="n"/>
      <c r="AR319" s="29" t="n"/>
      <c r="AS319" s="169" t="n">
        <v>1095.4</v>
      </c>
      <c r="AT319" s="29" t="n"/>
      <c r="AU319" s="29" t="n"/>
      <c r="AV319" s="29" t="n"/>
      <c r="AW319" s="29" t="n"/>
      <c r="AX319" s="29" t="n"/>
      <c r="AY319" s="169" t="n">
        <v>1091.5</v>
      </c>
      <c r="AZ319" s="29" t="n"/>
      <c r="BA319" s="29" t="n"/>
      <c r="BB319" s="29" t="n"/>
      <c r="BC319" s="29" t="n"/>
      <c r="BD319" s="29" t="n"/>
      <c r="BE319" s="169" t="n">
        <v>1123.5</v>
      </c>
      <c r="BF319" s="29" t="n"/>
      <c r="BG319" s="29" t="n"/>
      <c r="BH319" s="29" t="n"/>
      <c r="BI319" s="29" t="n"/>
      <c r="BJ319" s="29" t="n"/>
      <c r="BK319" s="169" t="n">
        <v>1749</v>
      </c>
      <c r="BL319" s="29" t="n"/>
      <c r="BM319" s="29" t="n"/>
      <c r="BN319" s="29" t="n"/>
      <c r="BO319" s="29" t="n"/>
      <c r="BP319" s="29" t="n"/>
      <c r="BQ319" s="169" t="n">
        <v>1702.1</v>
      </c>
      <c r="BR319" s="29" t="n"/>
      <c r="BS319" s="29" t="n"/>
      <c r="BT319" s="29" t="n"/>
      <c r="BU319" s="29" t="n"/>
      <c r="BV319" s="29" t="n"/>
      <c r="BW319" s="169" t="n">
        <v>1460.7</v>
      </c>
      <c r="BX319" s="29" t="n"/>
      <c r="BY319" s="29" t="n"/>
      <c r="BZ319" s="29" t="n"/>
      <c r="CA319" s="29" t="n"/>
      <c r="CB319" s="29" t="n"/>
      <c r="CC319" s="169" t="n">
        <v>1714.7</v>
      </c>
      <c r="CD319" s="29" t="n"/>
      <c r="CE319" s="29" t="n"/>
      <c r="CF319" s="29" t="n"/>
      <c r="CG319" s="29" t="n"/>
      <c r="CH319" s="29" t="n"/>
      <c r="CI319" s="169" t="n">
        <v>1489</v>
      </c>
      <c r="CJ319" s="29" t="n"/>
      <c r="CK319" s="29" t="n"/>
      <c r="CL319" s="169" t="n">
        <v>1438.5</v>
      </c>
      <c r="CM319" s="31" t="n"/>
      <c r="CN319" s="31" t="n"/>
      <c r="CO319" s="171">
        <f>$CL$319-CO365/2-(CO267-$CL$267)*CP100</f>
        <v/>
      </c>
      <c r="CP319" s="171">
        <f>CO319-CP365-CP267*CP100</f>
        <v/>
      </c>
      <c r="CQ319" s="171">
        <f>CP319-CQ365-CQ267*CQ100</f>
        <v/>
      </c>
      <c r="CR319" s="171">
        <f>CQ319-CR365-CR267*CR100</f>
        <v/>
      </c>
      <c r="CS319" s="171">
        <f>CR319-CS365-CS267*CS100</f>
        <v/>
      </c>
      <c r="CT319" s="22" t="inlineStr">
        <is>
          <t>Intangibles roll-forward: opening + acquired intangibles − amortization (schedule below).</t>
        </is>
      </c>
      <c r="CV319" s="6" t="n"/>
      <c r="CW319" s="6" t="n"/>
      <c r="CX319" s="6" t="n"/>
      <c r="CY319" s="6" t="n"/>
    </row>
    <row r="320" ht="15" customHeight="1">
      <c r="B320" s="12" t="inlineStr">
        <is>
          <t xml:space="preserve">  Other noncurrent assets</t>
        </is>
      </c>
      <c r="C320" s="169" t="n">
        <v>196.9</v>
      </c>
      <c r="D320" s="169" t="n">
        <v>344.5</v>
      </c>
      <c r="E320" s="169" t="n">
        <v>79.7</v>
      </c>
      <c r="F320" s="169" t="n">
        <v>105.1</v>
      </c>
      <c r="G320" s="169" t="n">
        <v>106.8</v>
      </c>
      <c r="H320" s="169" t="n">
        <v>134.8</v>
      </c>
      <c r="I320" s="169" t="n">
        <v>161.1</v>
      </c>
      <c r="J320" s="29" t="n"/>
      <c r="K320" s="29" t="n"/>
      <c r="L320" s="29" t="n"/>
      <c r="M320" s="29" t="n"/>
      <c r="N320" s="29" t="n"/>
      <c r="O320" s="169" t="n">
        <v>174.1</v>
      </c>
      <c r="P320" s="29" t="n"/>
      <c r="Q320" s="29" t="n"/>
      <c r="R320" s="29" t="n"/>
      <c r="S320" s="29" t="n"/>
      <c r="T320" s="29" t="n"/>
      <c r="U320" s="169" t="n">
        <v>175.1</v>
      </c>
      <c r="V320" s="29" t="n"/>
      <c r="W320" s="29" t="n"/>
      <c r="X320" s="29" t="n"/>
      <c r="Y320" s="29" t="n"/>
      <c r="Z320" s="29" t="n"/>
      <c r="AA320" s="169" t="n">
        <v>158.8</v>
      </c>
      <c r="AB320" s="29" t="n"/>
      <c r="AC320" s="29" t="n"/>
      <c r="AD320" s="29" t="n"/>
      <c r="AE320" s="29" t="n"/>
      <c r="AF320" s="29" t="n"/>
      <c r="AG320" s="169" t="n">
        <v>169.8</v>
      </c>
      <c r="AH320" s="29" t="n"/>
      <c r="AI320" s="29" t="n"/>
      <c r="AJ320" s="29" t="n"/>
      <c r="AK320" s="29" t="n"/>
      <c r="AL320" s="29" t="n"/>
      <c r="AM320" s="169" t="n">
        <v>184.8</v>
      </c>
      <c r="AN320" s="29" t="n"/>
      <c r="AO320" s="29" t="n"/>
      <c r="AP320" s="29" t="n"/>
      <c r="AQ320" s="29" t="n"/>
      <c r="AR320" s="29" t="n"/>
      <c r="AS320" s="169" t="n">
        <v>210.3</v>
      </c>
      <c r="AT320" s="29" t="n"/>
      <c r="AU320" s="29" t="n"/>
      <c r="AV320" s="29" t="n"/>
      <c r="AW320" s="29" t="n"/>
      <c r="AX320" s="29" t="n"/>
      <c r="AY320" s="169" t="n">
        <v>226</v>
      </c>
      <c r="AZ320" s="29" t="n"/>
      <c r="BA320" s="29" t="n"/>
      <c r="BB320" s="29" t="n"/>
      <c r="BC320" s="29" t="n"/>
      <c r="BD320" s="29" t="n"/>
      <c r="BE320" s="169" t="n">
        <v>230.7</v>
      </c>
      <c r="BF320" s="29" t="n"/>
      <c r="BG320" s="29" t="n"/>
      <c r="BH320" s="29" t="n"/>
      <c r="BI320" s="29" t="n"/>
      <c r="BJ320" s="29" t="n"/>
      <c r="BK320" s="169" t="n">
        <v>273.5</v>
      </c>
      <c r="BL320" s="29" t="n"/>
      <c r="BM320" s="29" t="n"/>
      <c r="BN320" s="29" t="n"/>
      <c r="BO320" s="29" t="n"/>
      <c r="BP320" s="29" t="n"/>
      <c r="BQ320" s="169" t="n">
        <v>285.2</v>
      </c>
      <c r="BR320" s="29" t="n"/>
      <c r="BS320" s="29" t="n"/>
      <c r="BT320" s="29" t="n"/>
      <c r="BU320" s="29" t="n"/>
      <c r="BV320" s="29" t="n"/>
      <c r="BW320" s="169" t="n">
        <v>267.7</v>
      </c>
      <c r="BX320" s="29" t="n"/>
      <c r="BY320" s="29" t="n"/>
      <c r="BZ320" s="29" t="n"/>
      <c r="CA320" s="29" t="n"/>
      <c r="CB320" s="29" t="n"/>
      <c r="CC320" s="169" t="n">
        <v>317.1</v>
      </c>
      <c r="CD320" s="29" t="n"/>
      <c r="CE320" s="29" t="n"/>
      <c r="CF320" s="29" t="n"/>
      <c r="CG320" s="29" t="n"/>
      <c r="CH320" s="29" t="n"/>
      <c r="CI320" s="169" t="n">
        <v>158.8</v>
      </c>
      <c r="CJ320" s="29" t="n"/>
      <c r="CK320" s="29" t="n"/>
      <c r="CL320" s="169" t="n">
        <v>189.4</v>
      </c>
      <c r="CM320" s="31" t="n"/>
      <c r="CN320" s="31" t="n"/>
      <c r="CO320" s="171">
        <f>$CL$320</f>
        <v/>
      </c>
      <c r="CP320" s="171">
        <f>CO320</f>
        <v/>
      </c>
      <c r="CQ320" s="171">
        <f>CP320</f>
        <v/>
      </c>
      <c r="CR320" s="171">
        <f>CQ320</f>
        <v/>
      </c>
      <c r="CS320" s="171">
        <f>CR320</f>
        <v/>
      </c>
      <c r="CT320" s="22" t="n"/>
      <c r="CV320" s="6" t="n"/>
      <c r="CW320" s="6" t="n"/>
      <c r="CX320" s="6" t="n"/>
      <c r="CY320" s="6" t="n"/>
    </row>
    <row r="321" ht="15" customHeight="1">
      <c r="B321" s="33" t="inlineStr">
        <is>
          <t>TOTAL ASSETS</t>
        </is>
      </c>
      <c r="C321" s="175">
        <f>IF(ISNUMBER(C308),C314+SUM(C315:C320),"")</f>
        <v/>
      </c>
      <c r="D321" s="175">
        <f>IF(ISNUMBER(D308),D314+SUM(D315:D320),"")</f>
        <v/>
      </c>
      <c r="E321" s="175">
        <f>IF(ISNUMBER(E308),E314+SUM(E315:E320),"")</f>
        <v/>
      </c>
      <c r="F321" s="175">
        <f>IF(ISNUMBER(F308),F314+SUM(F315:F320),"")</f>
        <v/>
      </c>
      <c r="G321" s="175">
        <f>IF(ISNUMBER(G308),G314+SUM(G315:G320),"")</f>
        <v/>
      </c>
      <c r="H321" s="175">
        <f>IF(ISNUMBER(H308),H314+SUM(H315:H320),"")</f>
        <v/>
      </c>
      <c r="I321" s="175">
        <f>IF(ISNUMBER(I308),I314+SUM(I315:I320),"")</f>
        <v/>
      </c>
      <c r="J321" s="19" t="n"/>
      <c r="K321" s="19" t="n"/>
      <c r="L321" s="19" t="n"/>
      <c r="M321" s="19" t="n"/>
      <c r="N321" s="19" t="n"/>
      <c r="O321" s="175">
        <f>IF(ISNUMBER(O308),O314+SUM(O315:O320),"")</f>
        <v/>
      </c>
      <c r="P321" s="19" t="n"/>
      <c r="Q321" s="19" t="n"/>
      <c r="R321" s="19" t="n"/>
      <c r="S321" s="19" t="n"/>
      <c r="T321" s="19" t="n"/>
      <c r="U321" s="175">
        <f>IF(ISNUMBER(U308),U314+SUM(U315:U320),"")</f>
        <v/>
      </c>
      <c r="V321" s="19" t="n"/>
      <c r="W321" s="19" t="n"/>
      <c r="X321" s="19" t="n"/>
      <c r="Y321" s="19" t="n"/>
      <c r="Z321" s="19" t="n"/>
      <c r="AA321" s="175">
        <f>IF(ISNUMBER(AA308),AA314+SUM(AA315:AA320),"")</f>
        <v/>
      </c>
      <c r="AB321" s="19" t="n"/>
      <c r="AC321" s="19" t="n"/>
      <c r="AD321" s="19" t="n"/>
      <c r="AE321" s="19" t="n"/>
      <c r="AF321" s="19" t="n"/>
      <c r="AG321" s="175">
        <f>IF(ISNUMBER(AG308),AG314+SUM(AG315:AG320),"")</f>
        <v/>
      </c>
      <c r="AH321" s="19" t="n"/>
      <c r="AI321" s="19" t="n"/>
      <c r="AJ321" s="19" t="n"/>
      <c r="AK321" s="19" t="n"/>
      <c r="AL321" s="19" t="n"/>
      <c r="AM321" s="175">
        <f>IF(ISNUMBER(AM308),AM314+SUM(AM315:AM320),"")</f>
        <v/>
      </c>
      <c r="AN321" s="19" t="n"/>
      <c r="AO321" s="19" t="n"/>
      <c r="AP321" s="19" t="n"/>
      <c r="AQ321" s="19" t="n"/>
      <c r="AR321" s="19" t="n"/>
      <c r="AS321" s="175">
        <f>IF(ISNUMBER(AS308),AS314+SUM(AS315:AS320),"")</f>
        <v/>
      </c>
      <c r="AT321" s="19" t="n"/>
      <c r="AU321" s="19" t="n"/>
      <c r="AV321" s="19" t="n"/>
      <c r="AW321" s="19" t="n"/>
      <c r="AX321" s="19" t="n"/>
      <c r="AY321" s="175">
        <f>IF(ISNUMBER(AY308),AY314+SUM(AY315:AY320),"")</f>
        <v/>
      </c>
      <c r="AZ321" s="19" t="n"/>
      <c r="BA321" s="19" t="n"/>
      <c r="BB321" s="19" t="n"/>
      <c r="BC321" s="19" t="n"/>
      <c r="BD321" s="19" t="n"/>
      <c r="BE321" s="175">
        <f>IF(ISNUMBER(BE308),BE314+SUM(BE315:BE320),"")</f>
        <v/>
      </c>
      <c r="BF321" s="19" t="n"/>
      <c r="BG321" s="19" t="n"/>
      <c r="BH321" s="19" t="n"/>
      <c r="BI321" s="19" t="n"/>
      <c r="BJ321" s="19" t="n"/>
      <c r="BK321" s="175">
        <f>IF(ISNUMBER(BK308),BK314+SUM(BK315:BK320),"")</f>
        <v/>
      </c>
      <c r="BL321" s="19" t="n"/>
      <c r="BM321" s="19" t="n"/>
      <c r="BN321" s="19" t="n"/>
      <c r="BO321" s="19" t="n"/>
      <c r="BP321" s="19" t="n"/>
      <c r="BQ321" s="175">
        <f>IF(ISNUMBER(BQ308),BQ314+SUM(BQ315:BQ320),"")</f>
        <v/>
      </c>
      <c r="BR321" s="19" t="n"/>
      <c r="BS321" s="19" t="n"/>
      <c r="BT321" s="19" t="n"/>
      <c r="BU321" s="19" t="n"/>
      <c r="BV321" s="19" t="n"/>
      <c r="BW321" s="175">
        <f>IF(ISNUMBER(BW308),BW314+SUM(BW315:BW320),"")</f>
        <v/>
      </c>
      <c r="BX321" s="19" t="n"/>
      <c r="BY321" s="19" t="n"/>
      <c r="BZ321" s="19" t="n"/>
      <c r="CA321" s="19" t="n"/>
      <c r="CB321" s="19" t="n"/>
      <c r="CC321" s="175">
        <f>IF(ISNUMBER(CC308),CC314+SUM(CC315:CC320),"")</f>
        <v/>
      </c>
      <c r="CD321" s="19" t="n"/>
      <c r="CE321" s="19" t="n"/>
      <c r="CF321" s="19" t="n"/>
      <c r="CG321" s="19" t="n"/>
      <c r="CH321" s="19" t="n"/>
      <c r="CI321" s="175">
        <f>IF(ISNUMBER(CI308),CI314+SUM(CI315:CI320),"")</f>
        <v/>
      </c>
      <c r="CJ321" s="19" t="n"/>
      <c r="CK321" s="19" t="n"/>
      <c r="CL321" s="173">
        <f>IF(ISNUMBER(CL308),CL314+SUM(CL315:CL320),"")</f>
        <v/>
      </c>
      <c r="CM321" s="34" t="n"/>
      <c r="CN321" s="34" t="n"/>
      <c r="CO321" s="175">
        <f>IF(ISNUMBER(CO308),CO314+SUM(CO315:CO320),"")</f>
        <v/>
      </c>
      <c r="CP321" s="175">
        <f>IF(ISNUMBER(CP308),CP314+SUM(CP315:CP320),"")</f>
        <v/>
      </c>
      <c r="CQ321" s="175">
        <f>IF(ISNUMBER(CQ308),CQ314+SUM(CQ315:CQ320),"")</f>
        <v/>
      </c>
      <c r="CR321" s="175">
        <f>IF(ISNUMBER(CR308),CR314+SUM(CR315:CR320),"")</f>
        <v/>
      </c>
      <c r="CS321" s="175">
        <f>IF(ISNUMBER(CS308),CS314+SUM(CS315:CS320),"")</f>
        <v/>
      </c>
      <c r="CT321" s="22" t="n"/>
      <c r="CV321" s="164">
        <f>IFERROR((CS321/CI321)^(1/5)-1,"n/m")</f>
        <v/>
      </c>
      <c r="CW321" s="164">
        <f>IFERROR((CI321/BE321)^(1/5)-1,"n/m")</f>
        <v/>
      </c>
      <c r="CX321" s="164">
        <f>IFERROR((CI321/AA321)^(1/10)-1,"n/m")</f>
        <v/>
      </c>
      <c r="CY321" s="164">
        <f>IFERROR((CI321/C321)^(1/19)-1,"n/m")</f>
        <v/>
      </c>
    </row>
    <row r="322" ht="15" customHeight="1">
      <c r="B322" s="12" t="n"/>
      <c r="CM322" s="6" t="n"/>
      <c r="CN322" s="6" t="n"/>
      <c r="CO322" s="6" t="n"/>
      <c r="CP322" s="6" t="n"/>
      <c r="CQ322" s="6" t="n"/>
      <c r="CR322" s="6" t="n"/>
      <c r="CS322" s="6" t="n"/>
      <c r="CT322" s="6" t="n"/>
    </row>
    <row r="323" ht="15" customHeight="1">
      <c r="B323" s="12" t="inlineStr">
        <is>
          <t>LIABILITIES AND EQUITY</t>
        </is>
      </c>
      <c r="C323" s="29" t="n"/>
      <c r="D323" s="29" t="n"/>
      <c r="E323" s="30" t="n"/>
      <c r="F323" s="30" t="n"/>
      <c r="G323" s="30" t="n"/>
      <c r="H323" s="30" t="n"/>
      <c r="I323" s="30" t="n"/>
      <c r="J323" s="30" t="n"/>
      <c r="K323" s="30" t="n"/>
      <c r="L323" s="29" t="n"/>
      <c r="M323" s="30" t="n"/>
      <c r="N323" s="30" t="n"/>
      <c r="O323" s="30" t="n"/>
      <c r="P323" s="30" t="n"/>
      <c r="Q323" s="30" t="n"/>
      <c r="R323" s="29" t="n"/>
      <c r="S323" s="30" t="n"/>
      <c r="T323" s="30" t="n"/>
      <c r="U323" s="30" t="n"/>
      <c r="V323" s="30" t="n"/>
      <c r="W323" s="30" t="n"/>
      <c r="X323" s="29" t="n"/>
      <c r="Y323" s="30" t="n"/>
      <c r="Z323" s="30" t="n"/>
      <c r="AA323" s="30" t="n"/>
      <c r="AB323" s="30" t="n"/>
      <c r="AC323" s="30" t="n"/>
      <c r="AD323" s="29" t="n"/>
      <c r="AE323" s="30" t="n"/>
      <c r="AF323" s="30" t="n"/>
      <c r="AG323" s="30" t="n"/>
      <c r="AH323" s="30" t="n"/>
      <c r="AI323" s="30" t="n"/>
      <c r="AJ323" s="29" t="n"/>
      <c r="AK323" s="30" t="n"/>
      <c r="AL323" s="30" t="n"/>
      <c r="AM323" s="30" t="n"/>
      <c r="AN323" s="30" t="n"/>
      <c r="AO323" s="30" t="n"/>
      <c r="AP323" s="29" t="n"/>
      <c r="AQ323" s="30" t="n"/>
      <c r="AR323" s="30" t="n"/>
      <c r="AS323" s="30" t="n"/>
      <c r="AT323" s="30" t="n"/>
      <c r="AU323" s="30" t="n"/>
      <c r="AV323" s="29" t="n"/>
      <c r="AW323" s="30" t="n"/>
      <c r="AX323" s="30" t="n"/>
      <c r="AY323" s="30" t="n"/>
      <c r="AZ323" s="30" t="n"/>
      <c r="BA323" s="30" t="n"/>
      <c r="BB323" s="29" t="n"/>
      <c r="BC323" s="30" t="n"/>
      <c r="BD323" s="30" t="n"/>
      <c r="BE323" s="30" t="n"/>
      <c r="BF323" s="30" t="n"/>
      <c r="BG323" s="30" t="n"/>
      <c r="BH323" s="29" t="n"/>
      <c r="BI323" s="30" t="n"/>
      <c r="BJ323" s="30" t="n"/>
      <c r="BK323" s="30" t="n"/>
      <c r="BL323" s="30" t="n"/>
      <c r="BM323" s="30" t="n"/>
      <c r="BN323" s="29" t="n"/>
      <c r="BO323" s="30" t="n"/>
      <c r="BP323" s="30" t="n"/>
      <c r="BQ323" s="30" t="n"/>
      <c r="BR323" s="30" t="n"/>
      <c r="BS323" s="30" t="n"/>
      <c r="BT323" s="29" t="n"/>
      <c r="BU323" s="30" t="n"/>
      <c r="BV323" s="30" t="n"/>
      <c r="BW323" s="30" t="n"/>
      <c r="BX323" s="30" t="n"/>
      <c r="BY323" s="30" t="n"/>
      <c r="BZ323" s="29" t="n"/>
      <c r="CA323" s="30" t="n"/>
      <c r="CB323" s="30" t="n"/>
      <c r="CC323" s="30" t="n"/>
      <c r="CD323" s="30" t="n"/>
      <c r="CE323" s="30" t="n"/>
      <c r="CF323" s="29" t="n"/>
      <c r="CG323" s="30" t="n"/>
      <c r="CH323" s="30" t="n"/>
      <c r="CI323" s="30" t="n"/>
      <c r="CJ323" s="30" t="n"/>
      <c r="CK323" s="30" t="n"/>
      <c r="CL323" s="29" t="n"/>
      <c r="CM323" s="31" t="n"/>
      <c r="CN323" s="31" t="n"/>
      <c r="CO323" s="31" t="n"/>
      <c r="CP323" s="31" t="n"/>
      <c r="CQ323" s="31" t="n"/>
      <c r="CR323" s="31" t="n"/>
      <c r="CS323" s="31" t="n"/>
      <c r="CT323" s="22" t="n"/>
      <c r="CV323" s="23" t="n"/>
      <c r="CW323" s="23" t="n"/>
      <c r="CX323" s="23" t="n"/>
      <c r="CY323" s="23" t="n"/>
    </row>
    <row r="324" ht="15" customHeight="1">
      <c r="B324" s="12" t="inlineStr">
        <is>
          <t>Current liabilities:</t>
        </is>
      </c>
      <c r="C324" s="29" t="n"/>
      <c r="D324" s="29" t="n"/>
      <c r="E324" s="30" t="n"/>
      <c r="F324" s="30" t="n"/>
      <c r="G324" s="30" t="n"/>
      <c r="H324" s="30" t="n"/>
      <c r="I324" s="30" t="n"/>
      <c r="J324" s="30" t="n"/>
      <c r="K324" s="30" t="n"/>
      <c r="L324" s="29" t="n"/>
      <c r="M324" s="30" t="n"/>
      <c r="N324" s="30" t="n"/>
      <c r="O324" s="30" t="n"/>
      <c r="P324" s="30" t="n"/>
      <c r="Q324" s="30" t="n"/>
      <c r="R324" s="29" t="n"/>
      <c r="S324" s="30" t="n"/>
      <c r="T324" s="30" t="n"/>
      <c r="U324" s="30" t="n"/>
      <c r="V324" s="30" t="n"/>
      <c r="W324" s="30" t="n"/>
      <c r="X324" s="29" t="n"/>
      <c r="Y324" s="30" t="n"/>
      <c r="Z324" s="30" t="n"/>
      <c r="AA324" s="30" t="n"/>
      <c r="AB324" s="30" t="n"/>
      <c r="AC324" s="30" t="n"/>
      <c r="AD324" s="29" t="n"/>
      <c r="AE324" s="30" t="n"/>
      <c r="AF324" s="30" t="n"/>
      <c r="AG324" s="30" t="n"/>
      <c r="AH324" s="30" t="n"/>
      <c r="AI324" s="30" t="n"/>
      <c r="AJ324" s="29" t="n"/>
      <c r="AK324" s="30" t="n"/>
      <c r="AL324" s="30" t="n"/>
      <c r="AM324" s="30" t="n"/>
      <c r="AN324" s="30" t="n"/>
      <c r="AO324" s="30" t="n"/>
      <c r="AP324" s="29" t="n"/>
      <c r="AQ324" s="30" t="n"/>
      <c r="AR324" s="30" t="n"/>
      <c r="AS324" s="30" t="n"/>
      <c r="AT324" s="30" t="n"/>
      <c r="AU324" s="30" t="n"/>
      <c r="AV324" s="29" t="n"/>
      <c r="AW324" s="30" t="n"/>
      <c r="AX324" s="30" t="n"/>
      <c r="AY324" s="30" t="n"/>
      <c r="AZ324" s="30" t="n"/>
      <c r="BA324" s="30" t="n"/>
      <c r="BB324" s="29" t="n"/>
      <c r="BC324" s="30" t="n"/>
      <c r="BD324" s="30" t="n"/>
      <c r="BE324" s="30" t="n"/>
      <c r="BF324" s="30" t="n"/>
      <c r="BG324" s="30" t="n"/>
      <c r="BH324" s="29" t="n"/>
      <c r="BI324" s="30" t="n"/>
      <c r="BJ324" s="30" t="n"/>
      <c r="BK324" s="30" t="n"/>
      <c r="BL324" s="30" t="n"/>
      <c r="BM324" s="30" t="n"/>
      <c r="BN324" s="29" t="n"/>
      <c r="BO324" s="30" t="n"/>
      <c r="BP324" s="30" t="n"/>
      <c r="BQ324" s="30" t="n"/>
      <c r="BR324" s="30" t="n"/>
      <c r="BS324" s="30" t="n"/>
      <c r="BT324" s="29" t="n"/>
      <c r="BU324" s="30" t="n"/>
      <c r="BV324" s="30" t="n"/>
      <c r="BW324" s="30" t="n"/>
      <c r="BX324" s="30" t="n"/>
      <c r="BY324" s="30" t="n"/>
      <c r="BZ324" s="29" t="n"/>
      <c r="CA324" s="30" t="n"/>
      <c r="CB324" s="30" t="n"/>
      <c r="CC324" s="30" t="n"/>
      <c r="CD324" s="30" t="n"/>
      <c r="CE324" s="30" t="n"/>
      <c r="CF324" s="29" t="n"/>
      <c r="CG324" s="30" t="n"/>
      <c r="CH324" s="30" t="n"/>
      <c r="CI324" s="30" t="n"/>
      <c r="CJ324" s="30" t="n"/>
      <c r="CK324" s="30" t="n"/>
      <c r="CL324" s="29" t="n"/>
      <c r="CM324" s="31" t="n"/>
      <c r="CN324" s="31" t="n"/>
      <c r="CO324" s="31" t="n"/>
      <c r="CP324" s="31" t="n"/>
      <c r="CQ324" s="31" t="n"/>
      <c r="CR324" s="31" t="n"/>
      <c r="CS324" s="31" t="n"/>
      <c r="CT324" s="22" t="n"/>
      <c r="CV324" s="23" t="n"/>
      <c r="CW324" s="23" t="n"/>
      <c r="CX324" s="23" t="n"/>
      <c r="CY324" s="23" t="n"/>
    </row>
    <row r="325" ht="15" customHeight="1">
      <c r="B325" s="12" t="inlineStr">
        <is>
          <t xml:space="preserve">  Current maturities of long-term debt</t>
        </is>
      </c>
      <c r="C325" s="169" t="n">
        <v>0.6</v>
      </c>
      <c r="D325" s="169" t="n">
        <v>35.2</v>
      </c>
      <c r="E325" s="169" t="n">
        <v>311.7</v>
      </c>
      <c r="F325" s="169" t="n">
        <v>385.4</v>
      </c>
      <c r="G325" s="169" t="n">
        <v>5.2</v>
      </c>
      <c r="H325" s="169" t="n">
        <v>134.8</v>
      </c>
      <c r="I325" s="169" t="n">
        <v>150.6</v>
      </c>
      <c r="J325" s="29" t="n"/>
      <c r="K325" s="29" t="n"/>
      <c r="L325" s="29" t="n"/>
      <c r="M325" s="29" t="n"/>
      <c r="N325" s="29" t="n"/>
      <c r="O325" s="169" t="n">
        <v>0.2</v>
      </c>
      <c r="P325" s="29" t="n"/>
      <c r="Q325" s="29" t="n"/>
      <c r="R325" s="29" t="n"/>
      <c r="S325" s="29" t="n"/>
      <c r="T325" s="29" t="n"/>
      <c r="U325" s="169" t="n">
        <v>150.1</v>
      </c>
      <c r="V325" s="29" t="n"/>
      <c r="W325" s="29" t="n"/>
      <c r="X325" s="29" t="n"/>
      <c r="Y325" s="29" t="n"/>
      <c r="Z325" s="29" t="n"/>
      <c r="AA325" s="169" t="n">
        <v>0.1</v>
      </c>
      <c r="AB325" s="29" t="n"/>
      <c r="AC325" s="29" t="n"/>
      <c r="AD325" s="29" t="n"/>
      <c r="AE325" s="29" t="n"/>
      <c r="AF325" s="29" t="n"/>
      <c r="AG325" s="169" t="n">
        <v>0.1</v>
      </c>
      <c r="AH325" s="29" t="n"/>
      <c r="AI325" s="29" t="n"/>
      <c r="AJ325" s="29" t="n"/>
      <c r="AK325" s="29" t="n"/>
      <c r="AL325" s="29" t="n"/>
      <c r="AM325" s="169" t="n">
        <v>41.4</v>
      </c>
      <c r="AN325" s="29" t="n"/>
      <c r="AO325" s="29" t="n"/>
      <c r="AP325" s="29" t="n"/>
      <c r="AQ325" s="29" t="n"/>
      <c r="AR325" s="29" t="n"/>
      <c r="AS325" s="169" t="n">
        <v>0</v>
      </c>
      <c r="AT325" s="29" t="n"/>
      <c r="AU325" s="29" t="n"/>
      <c r="AV325" s="29" t="n"/>
      <c r="AW325" s="29" t="n"/>
      <c r="AX325" s="29" t="n"/>
      <c r="AY325" s="169" t="n">
        <v>0</v>
      </c>
      <c r="AZ325" s="29" t="n"/>
      <c r="BA325" s="29" t="n"/>
      <c r="BB325" s="29" t="n"/>
      <c r="BC325" s="29" t="n"/>
      <c r="BD325" s="29" t="n"/>
      <c r="BE325" s="169" t="n">
        <v>515.4</v>
      </c>
      <c r="BF325" s="29" t="n"/>
      <c r="BG325" s="29" t="n"/>
      <c r="BH325" s="29" t="n"/>
      <c r="BI325" s="29" t="n"/>
      <c r="BJ325" s="29" t="n"/>
      <c r="BK325" s="169" t="n">
        <v>5.2</v>
      </c>
      <c r="BL325" s="29" t="n"/>
      <c r="BM325" s="29" t="n"/>
      <c r="BN325" s="29" t="n"/>
      <c r="BO325" s="29" t="n"/>
      <c r="BP325" s="29" t="n"/>
      <c r="BQ325" s="169" t="n">
        <v>0.5</v>
      </c>
      <c r="BR325" s="29" t="n"/>
      <c r="BS325" s="29" t="n"/>
      <c r="BT325" s="29" t="n"/>
      <c r="BU325" s="29" t="n"/>
      <c r="BV325" s="29" t="n"/>
      <c r="BW325" s="169" t="n">
        <v>0.5</v>
      </c>
      <c r="BX325" s="29" t="n"/>
      <c r="BY325" s="29" t="n"/>
      <c r="BZ325" s="29" t="n"/>
      <c r="CA325" s="29" t="n"/>
      <c r="CB325" s="29" t="n"/>
      <c r="CC325" s="169" t="n">
        <v>400.5</v>
      </c>
      <c r="CD325" s="29" t="n"/>
      <c r="CE325" s="29" t="n"/>
      <c r="CF325" s="29" t="n"/>
      <c r="CG325" s="29" t="n"/>
      <c r="CH325" s="29" t="n"/>
      <c r="CI325" s="169" t="n">
        <v>0.4</v>
      </c>
      <c r="CJ325" s="29" t="n"/>
      <c r="CK325" s="29" t="n"/>
      <c r="CL325" s="169" t="n">
        <v>400</v>
      </c>
      <c r="CM325" s="31" t="n"/>
      <c r="CN325" s="31" t="n"/>
      <c r="CO325" s="171">
        <f>-CP370</f>
        <v/>
      </c>
      <c r="CP325" s="171">
        <f>-CQ370</f>
        <v/>
      </c>
      <c r="CQ325" s="171">
        <f>-CR370</f>
        <v/>
      </c>
      <c r="CR325" s="171">
        <f>-CS370</f>
        <v/>
      </c>
      <c r="CS325" s="171">
        <f>0</f>
        <v/>
      </c>
      <c r="CT325" s="22" t="inlineStr">
        <is>
          <t>Next year's scheduled maturities (debt schedule).</t>
        </is>
      </c>
      <c r="CV325" s="6" t="n"/>
      <c r="CW325" s="6" t="n"/>
      <c r="CX325" s="6" t="n"/>
      <c r="CY325" s="6" t="n"/>
    </row>
    <row r="326" ht="15" customHeight="1">
      <c r="B326" s="12" t="inlineStr">
        <is>
          <t xml:space="preserve">  Short-term debt / commercial paper</t>
        </is>
      </c>
      <c r="C326" s="169" t="n">
        <v>198.9</v>
      </c>
      <c r="D326" s="169" t="n">
        <v>2091.5</v>
      </c>
      <c r="E326" s="169" t="n">
        <v>1082.5</v>
      </c>
      <c r="F326" s="169" t="n">
        <v>236.5</v>
      </c>
      <c r="G326" s="169" t="n">
        <v>285.5</v>
      </c>
      <c r="H326" s="169" t="n">
        <v>0</v>
      </c>
      <c r="I326" s="169" t="n">
        <v>0</v>
      </c>
      <c r="J326" s="29" t="n"/>
      <c r="K326" s="29" t="n"/>
      <c r="L326" s="29" t="n"/>
      <c r="M326" s="29" t="n"/>
      <c r="N326" s="29" t="n"/>
      <c r="O326" s="169" t="n">
        <v>0</v>
      </c>
      <c r="P326" s="29" t="n"/>
      <c r="Q326" s="29" t="n"/>
      <c r="R326" s="29" t="n"/>
      <c r="S326" s="29" t="n"/>
      <c r="T326" s="29" t="n"/>
      <c r="U326" s="169" t="n">
        <v>0</v>
      </c>
      <c r="V326" s="29" t="n"/>
      <c r="W326" s="29" t="n"/>
      <c r="X326" s="29" t="n"/>
      <c r="Y326" s="29" t="n"/>
      <c r="Z326" s="29" t="n"/>
      <c r="AA326" s="169" t="n">
        <v>0</v>
      </c>
      <c r="AB326" s="29" t="n"/>
      <c r="AC326" s="29" t="n"/>
      <c r="AD326" s="29" t="n"/>
      <c r="AE326" s="29" t="n"/>
      <c r="AF326" s="29" t="n"/>
      <c r="AG326" s="169" t="n">
        <v>0</v>
      </c>
      <c r="AH326" s="29" t="n"/>
      <c r="AI326" s="29" t="n"/>
      <c r="AJ326" s="29" t="n"/>
      <c r="AK326" s="29" t="n"/>
      <c r="AL326" s="29" t="n"/>
      <c r="AM326" s="169" t="n">
        <v>0</v>
      </c>
      <c r="AN326" s="29" t="n"/>
      <c r="AO326" s="29" t="n"/>
      <c r="AP326" s="29" t="n"/>
      <c r="AQ326" s="29" t="n"/>
      <c r="AR326" s="29" t="n"/>
      <c r="AS326" s="169" t="n">
        <v>133</v>
      </c>
      <c r="AT326" s="29" t="n"/>
      <c r="AU326" s="29" t="n"/>
      <c r="AV326" s="29" t="n"/>
      <c r="AW326" s="29" t="n"/>
      <c r="AX326" s="29" t="n"/>
      <c r="AY326" s="169" t="n">
        <v>0</v>
      </c>
      <c r="AZ326" s="29" t="n"/>
      <c r="BA326" s="29" t="n"/>
      <c r="BB326" s="29" t="n"/>
      <c r="BC326" s="29" t="n"/>
      <c r="BD326" s="29" t="n"/>
      <c r="BE326" s="169" t="n">
        <v>0</v>
      </c>
      <c r="BF326" s="29" t="n"/>
      <c r="BG326" s="29" t="n"/>
      <c r="BH326" s="29" t="n"/>
      <c r="BI326" s="29" t="n"/>
      <c r="BJ326" s="29" t="n"/>
      <c r="BK326" s="169" t="n">
        <v>0</v>
      </c>
      <c r="BL326" s="29" t="n"/>
      <c r="BM326" s="29" t="n"/>
      <c r="BN326" s="29" t="n"/>
      <c r="BO326" s="29" t="n"/>
      <c r="BP326" s="29" t="n"/>
      <c r="BQ326" s="169" t="n">
        <v>100</v>
      </c>
      <c r="BR326" s="29" t="n"/>
      <c r="BS326" s="29" t="n"/>
      <c r="BT326" s="29" t="n"/>
      <c r="BU326" s="29" t="n"/>
      <c r="BV326" s="29" t="n"/>
      <c r="BW326" s="169" t="n">
        <v>0</v>
      </c>
      <c r="BX326" s="29" t="n"/>
      <c r="BY326" s="29" t="n"/>
      <c r="BZ326" s="29" t="n"/>
      <c r="CA326" s="29" t="n"/>
      <c r="CB326" s="29" t="n"/>
      <c r="CC326" s="30" t="n"/>
      <c r="CD326" s="29" t="n"/>
      <c r="CE326" s="29" t="n"/>
      <c r="CF326" s="29" t="n"/>
      <c r="CG326" s="29" t="n"/>
      <c r="CH326" s="29" t="n"/>
      <c r="CI326" s="30" t="n"/>
      <c r="CJ326" s="29" t="n"/>
      <c r="CK326" s="29" t="n"/>
      <c r="CL326" s="169" t="n">
        <v>0</v>
      </c>
      <c r="CM326" s="31" t="n"/>
      <c r="CN326" s="31" t="n"/>
      <c r="CO326" s="171">
        <f>CO376</f>
        <v/>
      </c>
      <c r="CP326" s="171">
        <f>CP376</f>
        <v/>
      </c>
      <c r="CQ326" s="171">
        <f>CQ376</f>
        <v/>
      </c>
      <c r="CR326" s="171">
        <f>CR376</f>
        <v/>
      </c>
      <c r="CS326" s="171">
        <f>CS376</f>
        <v/>
      </c>
      <c r="CT326" s="22" t="n"/>
      <c r="CV326" s="6" t="n"/>
      <c r="CW326" s="6" t="n"/>
      <c r="CX326" s="6" t="n"/>
      <c r="CY326" s="6" t="n"/>
    </row>
    <row r="327" ht="15" customHeight="1">
      <c r="B327" s="12" t="inlineStr">
        <is>
          <t xml:space="preserve">  Trade payables and accruals</t>
        </is>
      </c>
      <c r="C327" s="169" t="n">
        <v>154.2</v>
      </c>
      <c r="D327" s="169" t="n">
        <v>219.5</v>
      </c>
      <c r="E327" s="169" t="n">
        <v>147.1</v>
      </c>
      <c r="F327" s="169" t="n">
        <v>121.3</v>
      </c>
      <c r="G327" s="169" t="n">
        <v>102.3</v>
      </c>
      <c r="H327" s="169" t="n">
        <v>103.9</v>
      </c>
      <c r="I327" s="169" t="n">
        <v>113.3</v>
      </c>
      <c r="J327" s="29" t="n"/>
      <c r="K327" s="29" t="n"/>
      <c r="L327" s="29" t="n"/>
      <c r="M327" s="29" t="n"/>
      <c r="N327" s="29" t="n"/>
      <c r="O327" s="169" t="n">
        <v>139.3</v>
      </c>
      <c r="P327" s="29" t="n"/>
      <c r="Q327" s="29" t="n"/>
      <c r="R327" s="29" t="n"/>
      <c r="S327" s="29" t="n"/>
      <c r="T327" s="29" t="n"/>
      <c r="U327" s="169" t="n">
        <v>145.1</v>
      </c>
      <c r="V327" s="29" t="n"/>
      <c r="W327" s="29" t="n"/>
      <c r="X327" s="29" t="n"/>
      <c r="Y327" s="29" t="n"/>
      <c r="Z327" s="29" t="n"/>
      <c r="AA327" s="169" t="n">
        <v>175.7</v>
      </c>
      <c r="AB327" s="29" t="n"/>
      <c r="AC327" s="29" t="n"/>
      <c r="AD327" s="29" t="n"/>
      <c r="AE327" s="29" t="n"/>
      <c r="AF327" s="29" t="n"/>
      <c r="AG327" s="169" t="n">
        <v>145</v>
      </c>
      <c r="AH327" s="29" t="n"/>
      <c r="AI327" s="29" t="n"/>
      <c r="AJ327" s="29" t="n"/>
      <c r="AK327" s="29" t="n"/>
      <c r="AL327" s="29" t="n"/>
      <c r="AM327" s="169" t="n">
        <v>197.3</v>
      </c>
      <c r="AN327" s="29" t="n"/>
      <c r="AO327" s="29" t="n"/>
      <c r="AP327" s="29" t="n"/>
      <c r="AQ327" s="29" t="n"/>
      <c r="AR327" s="29" t="n"/>
      <c r="AS327" s="169" t="n">
        <v>216.5</v>
      </c>
      <c r="AT327" s="29" t="n"/>
      <c r="AU327" s="29" t="n"/>
      <c r="AV327" s="29" t="n"/>
      <c r="AW327" s="29" t="n"/>
      <c r="AX327" s="29" t="n"/>
      <c r="AY327" s="169" t="n">
        <v>265.2</v>
      </c>
      <c r="AZ327" s="29" t="n"/>
      <c r="BA327" s="29" t="n"/>
      <c r="BB327" s="29" t="n"/>
      <c r="BC327" s="29" t="n"/>
      <c r="BD327" s="29" t="n"/>
      <c r="BE327" s="169" t="n">
        <v>273.1</v>
      </c>
      <c r="BF327" s="29" t="n"/>
      <c r="BG327" s="29" t="n"/>
      <c r="BH327" s="29" t="n"/>
      <c r="BI327" s="29" t="n"/>
      <c r="BJ327" s="29" t="n"/>
      <c r="BK327" s="169" t="n">
        <v>365.5</v>
      </c>
      <c r="BL327" s="29" t="n"/>
      <c r="BM327" s="29" t="n"/>
      <c r="BN327" s="29" t="n"/>
      <c r="BO327" s="29" t="n"/>
      <c r="BP327" s="29" t="n"/>
      <c r="BQ327" s="169" t="n">
        <v>454.5</v>
      </c>
      <c r="BR327" s="29" t="n"/>
      <c r="BS327" s="29" t="n"/>
      <c r="BT327" s="29" t="n"/>
      <c r="BU327" s="29" t="n"/>
      <c r="BV327" s="29" t="n"/>
      <c r="BW327" s="169" t="n">
        <v>390.4</v>
      </c>
      <c r="BX327" s="29" t="n"/>
      <c r="BY327" s="29" t="n"/>
      <c r="BZ327" s="29" t="n"/>
      <c r="CA327" s="29" t="n"/>
      <c r="CB327" s="29" t="n"/>
      <c r="CC327" s="169" t="n">
        <v>407</v>
      </c>
      <c r="CD327" s="29" t="n"/>
      <c r="CE327" s="29" t="n"/>
      <c r="CF327" s="29" t="n"/>
      <c r="CG327" s="29" t="n"/>
      <c r="CH327" s="29" t="n"/>
      <c r="CI327" s="169" t="n">
        <v>438.5</v>
      </c>
      <c r="CJ327" s="29" t="n"/>
      <c r="CK327" s="29" t="n"/>
      <c r="CL327" s="169" t="n">
        <v>382.3</v>
      </c>
      <c r="CM327" s="31" t="n"/>
      <c r="CN327" s="31" t="n"/>
      <c r="CO327" s="171">
        <f>CO140*CO357/365</f>
        <v/>
      </c>
      <c r="CP327" s="171">
        <f>CP140*CP357/365</f>
        <v/>
      </c>
      <c r="CQ327" s="171">
        <f>CQ140*CQ357/365</f>
        <v/>
      </c>
      <c r="CR327" s="171">
        <f>CR140*CR357/365</f>
        <v/>
      </c>
      <c r="CS327" s="171">
        <f>CS140*CS357/365</f>
        <v/>
      </c>
      <c r="CT327" s="22" t="n"/>
      <c r="CV327" s="6" t="n"/>
      <c r="CW327" s="6" t="n"/>
      <c r="CX327" s="6" t="n"/>
      <c r="CY327" s="6" t="n"/>
    </row>
    <row r="328" ht="15" customHeight="1">
      <c r="B328" s="12" t="inlineStr">
        <is>
          <t xml:space="preserve">  Other current liabilities</t>
        </is>
      </c>
      <c r="C328" s="169" t="n">
        <v>139.9</v>
      </c>
      <c r="D328" s="169" t="n">
        <v>175.6</v>
      </c>
      <c r="E328" s="169" t="n">
        <v>121.8</v>
      </c>
      <c r="F328" s="169" t="n">
        <v>113.1</v>
      </c>
      <c r="G328" s="169" t="n">
        <v>172.5</v>
      </c>
      <c r="H328" s="169" t="n">
        <v>167.6</v>
      </c>
      <c r="I328" s="169" t="n">
        <v>171.7</v>
      </c>
      <c r="J328" s="29" t="n"/>
      <c r="K328" s="29" t="n"/>
      <c r="L328" s="29" t="n"/>
      <c r="M328" s="29" t="n"/>
      <c r="N328" s="29" t="n"/>
      <c r="O328" s="169" t="n">
        <v>159.6</v>
      </c>
      <c r="P328" s="29" t="n"/>
      <c r="Q328" s="29" t="n"/>
      <c r="R328" s="29" t="n"/>
      <c r="S328" s="29" t="n"/>
      <c r="T328" s="29" t="n"/>
      <c r="U328" s="169" t="n">
        <v>156.1</v>
      </c>
      <c r="V328" s="29" t="n"/>
      <c r="W328" s="29" t="n"/>
      <c r="X328" s="29" t="n"/>
      <c r="Y328" s="29" t="n"/>
      <c r="Z328" s="29" t="n"/>
      <c r="AA328" s="169" t="n">
        <v>177.6</v>
      </c>
      <c r="AB328" s="29" t="n"/>
      <c r="AC328" s="29" t="n"/>
      <c r="AD328" s="29" t="n"/>
      <c r="AE328" s="29" t="n"/>
      <c r="AF328" s="29" t="n"/>
      <c r="AG328" s="169" t="n">
        <v>227.1</v>
      </c>
      <c r="AH328" s="29" t="n"/>
      <c r="AI328" s="29" t="n"/>
      <c r="AJ328" s="29" t="n"/>
      <c r="AK328" s="29" t="n"/>
      <c r="AL328" s="29" t="n"/>
      <c r="AM328" s="169" t="n">
        <v>204.2</v>
      </c>
      <c r="AN328" s="29" t="n"/>
      <c r="AO328" s="29" t="n"/>
      <c r="AP328" s="29" t="n"/>
      <c r="AQ328" s="29" t="n"/>
      <c r="AR328" s="29" t="n"/>
      <c r="AS328" s="169" t="n">
        <v>253.1</v>
      </c>
      <c r="AT328" s="29" t="n"/>
      <c r="AU328" s="29" t="n"/>
      <c r="AV328" s="29" t="n"/>
      <c r="AW328" s="29" t="n"/>
      <c r="AX328" s="29" t="n"/>
      <c r="AY328" s="169" t="n">
        <v>270.4</v>
      </c>
      <c r="AZ328" s="29" t="n"/>
      <c r="BA328" s="29" t="n"/>
      <c r="BB328" s="29" t="n"/>
      <c r="BC328" s="29" t="n"/>
      <c r="BD328" s="29" t="n"/>
      <c r="BE328" s="169" t="n">
        <v>259.4</v>
      </c>
      <c r="BF328" s="29" t="n"/>
      <c r="BG328" s="29" t="n"/>
      <c r="BH328" s="29" t="n"/>
      <c r="BI328" s="29" t="n"/>
      <c r="BJ328" s="29" t="n"/>
      <c r="BK328" s="169" t="n">
        <v>398.6</v>
      </c>
      <c r="BL328" s="29" t="n"/>
      <c r="BM328" s="29" t="n"/>
      <c r="BN328" s="29" t="n"/>
      <c r="BO328" s="29" t="n"/>
      <c r="BP328" s="29" t="n"/>
      <c r="BQ328" s="169" t="n">
        <v>401.6</v>
      </c>
      <c r="BR328" s="29" t="n"/>
      <c r="BS328" s="29" t="n"/>
      <c r="BT328" s="29" t="n"/>
      <c r="BU328" s="29" t="n"/>
      <c r="BV328" s="29" t="n"/>
      <c r="BW328" s="169" t="n">
        <v>406.7</v>
      </c>
      <c r="BX328" s="29" t="n"/>
      <c r="BY328" s="29" t="n"/>
      <c r="BZ328" s="29" t="n"/>
      <c r="CA328" s="29" t="n"/>
      <c r="CB328" s="29" t="n"/>
      <c r="CC328" s="169" t="n">
        <v>431.6</v>
      </c>
      <c r="CD328" s="29" t="n"/>
      <c r="CE328" s="29" t="n"/>
      <c r="CF328" s="29" t="n"/>
      <c r="CG328" s="29" t="n"/>
      <c r="CH328" s="29" t="n"/>
      <c r="CI328" s="169" t="n">
        <v>487.9</v>
      </c>
      <c r="CJ328" s="29" t="n"/>
      <c r="CK328" s="29" t="n"/>
      <c r="CL328" s="169" t="n">
        <v>449</v>
      </c>
      <c r="CM328" s="31" t="n"/>
      <c r="CN328" s="31" t="n"/>
      <c r="CO328" s="171">
        <f>CO138*CO358</f>
        <v/>
      </c>
      <c r="CP328" s="171">
        <f>CP138*CP358</f>
        <v/>
      </c>
      <c r="CQ328" s="171">
        <f>CQ138*CQ358</f>
        <v/>
      </c>
      <c r="CR328" s="171">
        <f>CR138*CR358</f>
        <v/>
      </c>
      <c r="CS328" s="171">
        <f>CS138*CS358</f>
        <v/>
      </c>
      <c r="CT328" s="22" t="n"/>
      <c r="CV328" s="6" t="n"/>
      <c r="CW328" s="6" t="n"/>
      <c r="CX328" s="6" t="n"/>
      <c r="CY328" s="6" t="n"/>
    </row>
    <row r="329" ht="15" customHeight="1">
      <c r="B329" s="12" t="inlineStr">
        <is>
          <t xml:space="preserve">  Liabilities held for sale</t>
        </is>
      </c>
      <c r="C329" s="30" t="n"/>
      <c r="D329" s="169" t="n">
        <v>6.3</v>
      </c>
      <c r="E329" s="169" t="n">
        <v>0</v>
      </c>
      <c r="F329" s="169" t="n">
        <v>0.4</v>
      </c>
      <c r="G329" s="169" t="n">
        <v>0.1</v>
      </c>
      <c r="H329" s="169" t="n">
        <v>0</v>
      </c>
      <c r="I329" s="169" t="n">
        <v>0.8</v>
      </c>
      <c r="J329" s="29" t="n"/>
      <c r="K329" s="29" t="n"/>
      <c r="L329" s="29" t="n"/>
      <c r="M329" s="29" t="n"/>
      <c r="N329" s="29" t="n"/>
      <c r="O329" s="169" t="n">
        <v>0</v>
      </c>
      <c r="P329" s="29" t="n"/>
      <c r="Q329" s="29" t="n"/>
      <c r="R329" s="29" t="n"/>
      <c r="S329" s="29" t="n"/>
      <c r="T329" s="29" t="n"/>
      <c r="U329" s="169" t="n">
        <v>0.5</v>
      </c>
      <c r="V329" s="29" t="n"/>
      <c r="W329" s="29" t="n"/>
      <c r="X329" s="29" t="n"/>
      <c r="Y329" s="29" t="n"/>
      <c r="Z329" s="29" t="n"/>
      <c r="AA329" s="169" t="n">
        <v>0</v>
      </c>
      <c r="AB329" s="29" t="n"/>
      <c r="AC329" s="29" t="n"/>
      <c r="AD329" s="29" t="n"/>
      <c r="AE329" s="29" t="n"/>
      <c r="AF329" s="29" t="n"/>
      <c r="AG329" s="30" t="n"/>
      <c r="AH329" s="29" t="n"/>
      <c r="AI329" s="29" t="n"/>
      <c r="AJ329" s="29" t="n"/>
      <c r="AK329" s="29" t="n"/>
      <c r="AL329" s="29" t="n"/>
      <c r="AM329" s="30" t="n"/>
      <c r="AN329" s="29" t="n"/>
      <c r="AO329" s="29" t="n"/>
      <c r="AP329" s="29" t="n"/>
      <c r="AQ329" s="29" t="n"/>
      <c r="AR329" s="29" t="n"/>
      <c r="AS329" s="30" t="n"/>
      <c r="AT329" s="29" t="n"/>
      <c r="AU329" s="29" t="n"/>
      <c r="AV329" s="29" t="n"/>
      <c r="AW329" s="29" t="n"/>
      <c r="AX329" s="29" t="n"/>
      <c r="AY329" s="30" t="n"/>
      <c r="AZ329" s="29" t="n"/>
      <c r="BA329" s="29" t="n"/>
      <c r="BB329" s="29" t="n"/>
      <c r="BC329" s="29" t="n"/>
      <c r="BD329" s="29" t="n"/>
      <c r="BE329" s="30" t="n"/>
      <c r="BF329" s="29" t="n"/>
      <c r="BG329" s="29" t="n"/>
      <c r="BH329" s="29" t="n"/>
      <c r="BI329" s="29" t="n"/>
      <c r="BJ329" s="29" t="n"/>
      <c r="BK329" s="30" t="n"/>
      <c r="BL329" s="29" t="n"/>
      <c r="BM329" s="29" t="n"/>
      <c r="BN329" s="29" t="n"/>
      <c r="BO329" s="29" t="n"/>
      <c r="BP329" s="29" t="n"/>
      <c r="BQ329" s="169" t="n">
        <v>0</v>
      </c>
      <c r="BR329" s="29" t="n"/>
      <c r="BS329" s="29" t="n"/>
      <c r="BT329" s="29" t="n"/>
      <c r="BU329" s="29" t="n"/>
      <c r="BV329" s="29" t="n"/>
      <c r="BW329" s="169" t="n">
        <v>0</v>
      </c>
      <c r="BX329" s="29" t="n"/>
      <c r="BY329" s="29" t="n"/>
      <c r="BZ329" s="29" t="n"/>
      <c r="CA329" s="29" t="n"/>
      <c r="CB329" s="29" t="n"/>
      <c r="CC329" s="30" t="n"/>
      <c r="CD329" s="29" t="n"/>
      <c r="CE329" s="29" t="n"/>
      <c r="CF329" s="29" t="n"/>
      <c r="CG329" s="29" t="n"/>
      <c r="CH329" s="29" t="n"/>
      <c r="CI329" s="169" t="n">
        <v>29.3</v>
      </c>
      <c r="CJ329" s="29" t="n"/>
      <c r="CK329" s="29" t="n"/>
      <c r="CL329" s="169" t="n">
        <v>0</v>
      </c>
      <c r="CM329" s="31" t="n"/>
      <c r="CN329" s="31" t="n"/>
      <c r="CO329" s="183" t="n">
        <v>0</v>
      </c>
      <c r="CP329" s="183" t="n">
        <v>0</v>
      </c>
      <c r="CQ329" s="183" t="n">
        <v>0</v>
      </c>
      <c r="CR329" s="183" t="n">
        <v>0</v>
      </c>
      <c r="CS329" s="183" t="n">
        <v>0</v>
      </c>
      <c r="CT329" s="22" t="n"/>
      <c r="CV329" s="6" t="n"/>
      <c r="CW329" s="6" t="n"/>
      <c r="CX329" s="6" t="n"/>
      <c r="CY329" s="6" t="n"/>
    </row>
    <row r="330" ht="15" customHeight="1">
      <c r="B330" s="18" t="inlineStr">
        <is>
          <t>Total current liabilities</t>
        </is>
      </c>
      <c r="C330" s="173">
        <f>IF(ISNUMBER(C327),SUM(C325:C329),"")</f>
        <v/>
      </c>
      <c r="D330" s="173">
        <f>IF(ISNUMBER(D327),SUM(D325:D329),"")</f>
        <v/>
      </c>
      <c r="E330" s="173">
        <f>IF(ISNUMBER(E327),SUM(E325:E329),"")</f>
        <v/>
      </c>
      <c r="F330" s="173">
        <f>IF(ISNUMBER(F327),SUM(F325:F329),"")</f>
        <v/>
      </c>
      <c r="G330" s="173">
        <f>IF(ISNUMBER(G327),SUM(G325:G329),"")</f>
        <v/>
      </c>
      <c r="H330" s="173">
        <f>IF(ISNUMBER(H327),SUM(H325:H329),"")</f>
        <v/>
      </c>
      <c r="I330" s="173">
        <f>IF(ISNUMBER(I327),SUM(I325:I329),"")</f>
        <v/>
      </c>
      <c r="J330" s="19" t="n"/>
      <c r="K330" s="19" t="n"/>
      <c r="L330" s="19" t="n"/>
      <c r="M330" s="19" t="n"/>
      <c r="N330" s="19" t="n"/>
      <c r="O330" s="173">
        <f>IF(ISNUMBER(O327),SUM(O325:O329),"")</f>
        <v/>
      </c>
      <c r="P330" s="19" t="n"/>
      <c r="Q330" s="19" t="n"/>
      <c r="R330" s="19" t="n"/>
      <c r="S330" s="19" t="n"/>
      <c r="T330" s="19" t="n"/>
      <c r="U330" s="173">
        <f>IF(ISNUMBER(U327),SUM(U325:U329),"")</f>
        <v/>
      </c>
      <c r="V330" s="19" t="n"/>
      <c r="W330" s="19" t="n"/>
      <c r="X330" s="19" t="n"/>
      <c r="Y330" s="19" t="n"/>
      <c r="Z330" s="19" t="n"/>
      <c r="AA330" s="173">
        <f>IF(ISNUMBER(AA327),SUM(AA325:AA329),"")</f>
        <v/>
      </c>
      <c r="AB330" s="19" t="n"/>
      <c r="AC330" s="19" t="n"/>
      <c r="AD330" s="19" t="n"/>
      <c r="AE330" s="19" t="n"/>
      <c r="AF330" s="19" t="n"/>
      <c r="AG330" s="173">
        <f>IF(ISNUMBER(AG327),SUM(AG325:AG329),"")</f>
        <v/>
      </c>
      <c r="AH330" s="19" t="n"/>
      <c r="AI330" s="19" t="n"/>
      <c r="AJ330" s="19" t="n"/>
      <c r="AK330" s="19" t="n"/>
      <c r="AL330" s="19" t="n"/>
      <c r="AM330" s="173">
        <f>IF(ISNUMBER(AM327),SUM(AM325:AM329),"")</f>
        <v/>
      </c>
      <c r="AN330" s="19" t="n"/>
      <c r="AO330" s="19" t="n"/>
      <c r="AP330" s="19" t="n"/>
      <c r="AQ330" s="19" t="n"/>
      <c r="AR330" s="19" t="n"/>
      <c r="AS330" s="173">
        <f>IF(ISNUMBER(AS327),SUM(AS325:AS329),"")</f>
        <v/>
      </c>
      <c r="AT330" s="19" t="n"/>
      <c r="AU330" s="19" t="n"/>
      <c r="AV330" s="19" t="n"/>
      <c r="AW330" s="19" t="n"/>
      <c r="AX330" s="19" t="n"/>
      <c r="AY330" s="173">
        <f>IF(ISNUMBER(AY327),SUM(AY325:AY329),"")</f>
        <v/>
      </c>
      <c r="AZ330" s="19" t="n"/>
      <c r="BA330" s="19" t="n"/>
      <c r="BB330" s="19" t="n"/>
      <c r="BC330" s="19" t="n"/>
      <c r="BD330" s="19" t="n"/>
      <c r="BE330" s="173">
        <f>IF(ISNUMBER(BE327),SUM(BE325:BE329),"")</f>
        <v/>
      </c>
      <c r="BF330" s="19" t="n"/>
      <c r="BG330" s="19" t="n"/>
      <c r="BH330" s="19" t="n"/>
      <c r="BI330" s="19" t="n"/>
      <c r="BJ330" s="19" t="n"/>
      <c r="BK330" s="173">
        <f>IF(ISNUMBER(BK327),SUM(BK325:BK329),"")</f>
        <v/>
      </c>
      <c r="BL330" s="19" t="n"/>
      <c r="BM330" s="19" t="n"/>
      <c r="BN330" s="19" t="n"/>
      <c r="BO330" s="19" t="n"/>
      <c r="BP330" s="19" t="n"/>
      <c r="BQ330" s="173">
        <f>IF(ISNUMBER(BQ327),SUM(BQ325:BQ329),"")</f>
        <v/>
      </c>
      <c r="BR330" s="19" t="n"/>
      <c r="BS330" s="19" t="n"/>
      <c r="BT330" s="19" t="n"/>
      <c r="BU330" s="19" t="n"/>
      <c r="BV330" s="19" t="n"/>
      <c r="BW330" s="173">
        <f>IF(ISNUMBER(BW327),SUM(BW325:BW329),"")</f>
        <v/>
      </c>
      <c r="BX330" s="19" t="n"/>
      <c r="BY330" s="19" t="n"/>
      <c r="BZ330" s="19" t="n"/>
      <c r="CA330" s="19" t="n"/>
      <c r="CB330" s="19" t="n"/>
      <c r="CC330" s="173">
        <f>IF(ISNUMBER(CC327),SUM(CC325:CC329),"")</f>
        <v/>
      </c>
      <c r="CD330" s="19" t="n"/>
      <c r="CE330" s="19" t="n"/>
      <c r="CF330" s="19" t="n"/>
      <c r="CG330" s="19" t="n"/>
      <c r="CH330" s="19" t="n"/>
      <c r="CI330" s="173">
        <f>IF(ISNUMBER(CI327),SUM(CI325:CI329),"")</f>
        <v/>
      </c>
      <c r="CJ330" s="19" t="n"/>
      <c r="CK330" s="19" t="n"/>
      <c r="CL330" s="173">
        <f>IF(ISNUMBER(CL327),SUM(CL325:CL329),"")</f>
        <v/>
      </c>
      <c r="CM330" s="21" t="n"/>
      <c r="CN330" s="21" t="n"/>
      <c r="CO330" s="174">
        <f>IF(ISNUMBER(CO327),SUM(CO325:CO329),"")</f>
        <v/>
      </c>
      <c r="CP330" s="174">
        <f>IF(ISNUMBER(CP327),SUM(CP325:CP329),"")</f>
        <v/>
      </c>
      <c r="CQ330" s="174">
        <f>IF(ISNUMBER(CQ327),SUM(CQ325:CQ329),"")</f>
        <v/>
      </c>
      <c r="CR330" s="174">
        <f>IF(ISNUMBER(CR327),SUM(CR325:CR329),"")</f>
        <v/>
      </c>
      <c r="CS330" s="174">
        <f>IF(ISNUMBER(CS327),SUM(CS325:CS329),"")</f>
        <v/>
      </c>
      <c r="CT330" s="22" t="n"/>
      <c r="CV330" s="6" t="n"/>
      <c r="CW330" s="6" t="n"/>
      <c r="CX330" s="6" t="n"/>
      <c r="CY330" s="6" t="n"/>
    </row>
    <row r="331" ht="15" customHeight="1">
      <c r="B331" s="12" t="inlineStr">
        <is>
          <t xml:space="preserve">  Long-term debt</t>
        </is>
      </c>
      <c r="C331" s="169" t="n">
        <v>322.1</v>
      </c>
      <c r="D331" s="169" t="n">
        <v>1529.8</v>
      </c>
      <c r="E331" s="169" t="n">
        <v>2153.6</v>
      </c>
      <c r="F331" s="169" t="n">
        <v>2116.1</v>
      </c>
      <c r="G331" s="169" t="n">
        <v>2427.5</v>
      </c>
      <c r="H331" s="169" t="n">
        <v>2680.7</v>
      </c>
      <c r="I331" s="169" t="n">
        <v>2526.4</v>
      </c>
      <c r="J331" s="29" t="n"/>
      <c r="K331" s="29" t="n"/>
      <c r="L331" s="29" t="n"/>
      <c r="M331" s="29" t="n"/>
      <c r="N331" s="29" t="n"/>
      <c r="O331" s="169" t="n">
        <v>2522.2</v>
      </c>
      <c r="P331" s="29" t="n"/>
      <c r="Q331" s="29" t="n"/>
      <c r="R331" s="29" t="n"/>
      <c r="S331" s="29" t="n"/>
      <c r="T331" s="29" t="n"/>
      <c r="U331" s="169" t="n">
        <v>1855.4</v>
      </c>
      <c r="V331" s="29" t="n"/>
      <c r="W331" s="29" t="n"/>
      <c r="X331" s="29" t="n"/>
      <c r="Y331" s="29" t="n"/>
      <c r="Z331" s="29" t="n"/>
      <c r="AA331" s="169" t="n">
        <v>1980.3</v>
      </c>
      <c r="AB331" s="29" t="n"/>
      <c r="AC331" s="29" t="n"/>
      <c r="AD331" s="29" t="n"/>
      <c r="AE331" s="29" t="n"/>
      <c r="AF331" s="29" t="n"/>
      <c r="AG331" s="169" t="n">
        <v>1982.8</v>
      </c>
      <c r="AH331" s="29" t="n"/>
      <c r="AI331" s="29" t="n"/>
      <c r="AJ331" s="29" t="n"/>
      <c r="AK331" s="29" t="n"/>
      <c r="AL331" s="29" t="n"/>
      <c r="AM331" s="169" t="n">
        <v>2813.5</v>
      </c>
      <c r="AN331" s="29" t="n"/>
      <c r="AO331" s="29" t="n"/>
      <c r="AP331" s="29" t="n"/>
      <c r="AQ331" s="29" t="n"/>
      <c r="AR331" s="29" t="n"/>
      <c r="AS331" s="169" t="n">
        <v>2779.4</v>
      </c>
      <c r="AT331" s="29" t="n"/>
      <c r="AU331" s="29" t="n"/>
      <c r="AV331" s="29" t="n"/>
      <c r="AW331" s="29" t="n"/>
      <c r="AX331" s="29" t="n"/>
      <c r="AY331" s="169" t="n">
        <v>2784.3</v>
      </c>
      <c r="AZ331" s="29" t="n"/>
      <c r="BA331" s="29" t="n"/>
      <c r="BB331" s="29" t="n"/>
      <c r="BC331" s="29" t="n"/>
      <c r="BD331" s="29" t="n"/>
      <c r="BE331" s="169" t="n">
        <v>2772.2</v>
      </c>
      <c r="BF331" s="29" t="n"/>
      <c r="BG331" s="29" t="n"/>
      <c r="BH331" s="29" t="n"/>
      <c r="BI331" s="29" t="n"/>
      <c r="BJ331" s="29" t="n"/>
      <c r="BK331" s="169" t="n">
        <v>3874.8</v>
      </c>
      <c r="BL331" s="29" t="n"/>
      <c r="BM331" s="29" t="n"/>
      <c r="BN331" s="29" t="n"/>
      <c r="BO331" s="29" t="n"/>
      <c r="BP331" s="29" t="n"/>
      <c r="BQ331" s="169" t="n">
        <v>3875.2</v>
      </c>
      <c r="BR331" s="29" t="n"/>
      <c r="BS331" s="29" t="n"/>
      <c r="BT331" s="29" t="n"/>
      <c r="BU331" s="29" t="n"/>
      <c r="BV331" s="29" t="n"/>
      <c r="BW331" s="169" t="n">
        <v>3877.3</v>
      </c>
      <c r="BX331" s="29" t="n"/>
      <c r="BY331" s="29" t="n"/>
      <c r="BZ331" s="29" t="n"/>
      <c r="CA331" s="29" t="n"/>
      <c r="CB331" s="29" t="n"/>
      <c r="CC331" s="169" t="n">
        <v>4906.9</v>
      </c>
      <c r="CD331" s="29" t="n"/>
      <c r="CE331" s="29" t="n"/>
      <c r="CF331" s="29" t="n"/>
      <c r="CG331" s="29" t="n"/>
      <c r="CH331" s="29" t="n"/>
      <c r="CI331" s="169" t="n">
        <v>4361.7</v>
      </c>
      <c r="CJ331" s="29" t="n"/>
      <c r="CK331" s="29" t="n"/>
      <c r="CL331" s="169" t="n">
        <v>3964.3</v>
      </c>
      <c r="CM331" s="31" t="n"/>
      <c r="CN331" s="31" t="n"/>
      <c r="CO331" s="171">
        <f>CO369-CO325-CO326</f>
        <v/>
      </c>
      <c r="CP331" s="171">
        <f>CP369-CP325-CP326</f>
        <v/>
      </c>
      <c r="CQ331" s="171">
        <f>CQ369-CQ325-CQ326</f>
        <v/>
      </c>
      <c r="CR331" s="171">
        <f>CR369-CR325-CR326</f>
        <v/>
      </c>
      <c r="CS331" s="171">
        <f>CS369-CS325-CS326</f>
        <v/>
      </c>
      <c r="CT331" s="22" t="n"/>
      <c r="CV331" s="6" t="n"/>
      <c r="CW331" s="6" t="n"/>
      <c r="CX331" s="6" t="n"/>
      <c r="CY331" s="6" t="n"/>
    </row>
    <row r="332" ht="15" customHeight="1">
      <c r="B332" s="12" t="inlineStr">
        <is>
          <t xml:space="preserve">  Deferred income taxes, net</t>
        </is>
      </c>
      <c r="C332" s="169" t="n">
        <v>287.9</v>
      </c>
      <c r="D332" s="169" t="n">
        <v>671.5</v>
      </c>
      <c r="E332" s="169" t="n">
        <v>949</v>
      </c>
      <c r="F332" s="169" t="n">
        <v>887.3</v>
      </c>
      <c r="G332" s="169" t="n">
        <v>849.4</v>
      </c>
      <c r="H332" s="169" t="n">
        <v>732.5</v>
      </c>
      <c r="I332" s="169" t="n">
        <v>657.4</v>
      </c>
      <c r="J332" s="29" t="n"/>
      <c r="K332" s="29" t="n"/>
      <c r="L332" s="29" t="n"/>
      <c r="M332" s="29" t="n"/>
      <c r="N332" s="29" t="n"/>
      <c r="O332" s="169" t="n">
        <v>701.1</v>
      </c>
      <c r="P332" s="29" t="n"/>
      <c r="Q332" s="29" t="n"/>
      <c r="R332" s="29" t="n"/>
      <c r="S332" s="29" t="n"/>
      <c r="T332" s="29" t="n"/>
      <c r="U332" s="169" t="n">
        <v>691.1</v>
      </c>
      <c r="V332" s="29" t="n"/>
      <c r="W332" s="29" t="n"/>
      <c r="X332" s="29" t="n"/>
      <c r="Y332" s="29" t="n"/>
      <c r="Z332" s="29" t="n"/>
      <c r="AA332" s="169" t="n">
        <v>681.1</v>
      </c>
      <c r="AB332" s="29" t="n"/>
      <c r="AC332" s="29" t="n"/>
      <c r="AD332" s="29" t="n"/>
      <c r="AE332" s="29" t="n"/>
      <c r="AF332" s="29" t="n"/>
      <c r="AG332" s="169" t="n">
        <v>702.9</v>
      </c>
      <c r="AH332" s="29" t="n"/>
      <c r="AI332" s="29" t="n"/>
      <c r="AJ332" s="29" t="n"/>
      <c r="AK332" s="29" t="n"/>
      <c r="AL332" s="29" t="n"/>
      <c r="AM332" s="169" t="n">
        <v>464.1</v>
      </c>
      <c r="AN332" s="29" t="n"/>
      <c r="AO332" s="29" t="n"/>
      <c r="AP332" s="29" t="n"/>
      <c r="AQ332" s="29" t="n"/>
      <c r="AR332" s="29" t="n"/>
      <c r="AS332" s="169" t="n">
        <v>567.3</v>
      </c>
      <c r="AT332" s="29" t="n"/>
      <c r="AU332" s="29" t="n"/>
      <c r="AV332" s="29" t="n"/>
      <c r="AW332" s="29" t="n"/>
      <c r="AX332" s="29" t="n"/>
      <c r="AY332" s="169" t="n">
        <v>633</v>
      </c>
      <c r="AZ332" s="29" t="n"/>
      <c r="BA332" s="29" t="n"/>
      <c r="BB332" s="29" t="n"/>
      <c r="BC332" s="29" t="n"/>
      <c r="BD332" s="29" t="n"/>
      <c r="BE332" s="169" t="n">
        <v>706.1</v>
      </c>
      <c r="BF332" s="29" t="n"/>
      <c r="BG332" s="29" t="n"/>
      <c r="BH332" s="29" t="n"/>
      <c r="BI332" s="29" t="n"/>
      <c r="BJ332" s="29" t="n"/>
      <c r="BK332" s="169" t="n">
        <v>1005.9</v>
      </c>
      <c r="BL332" s="29" t="n"/>
      <c r="BM332" s="29" t="n"/>
      <c r="BN332" s="29" t="n"/>
      <c r="BO332" s="29" t="n"/>
      <c r="BP332" s="29" t="n"/>
      <c r="BQ332" s="169" t="n">
        <v>1072.8</v>
      </c>
      <c r="BR332" s="29" t="n"/>
      <c r="BS332" s="29" t="n"/>
      <c r="BT332" s="29" t="n"/>
      <c r="BU332" s="29" t="n"/>
      <c r="BV332" s="29" t="n"/>
      <c r="BW332" s="169" t="n">
        <v>1028.9</v>
      </c>
      <c r="BX332" s="29" t="n"/>
      <c r="BY332" s="29" t="n"/>
      <c r="BZ332" s="29" t="n"/>
      <c r="CA332" s="29" t="n"/>
      <c r="CB332" s="29" t="n"/>
      <c r="CC332" s="169" t="n">
        <v>1336.5</v>
      </c>
      <c r="CD332" s="29" t="n"/>
      <c r="CE332" s="29" t="n"/>
      <c r="CF332" s="29" t="n"/>
      <c r="CG332" s="29" t="n"/>
      <c r="CH332" s="29" t="n"/>
      <c r="CI332" s="169" t="n">
        <v>1358.3</v>
      </c>
      <c r="CJ332" s="29" t="n"/>
      <c r="CK332" s="29" t="n"/>
      <c r="CL332" s="169" t="n">
        <v>1290.5</v>
      </c>
      <c r="CM332" s="31" t="n"/>
      <c r="CN332" s="31" t="n"/>
      <c r="CO332" s="171">
        <f>$CL$332+(CO260-$CL$260)</f>
        <v/>
      </c>
      <c r="CP332" s="171">
        <f>CO332+CP260</f>
        <v/>
      </c>
      <c r="CQ332" s="171">
        <f>CP332+CQ260</f>
        <v/>
      </c>
      <c r="CR332" s="171">
        <f>CQ332+CR260</f>
        <v/>
      </c>
      <c r="CS332" s="171">
        <f>CR332+CS260</f>
        <v/>
      </c>
      <c r="CT332" s="22" t="n"/>
      <c r="CV332" s="6" t="n"/>
      <c r="CW332" s="6" t="n"/>
      <c r="CX332" s="6" t="n"/>
      <c r="CY332" s="6" t="n"/>
    </row>
    <row r="333" ht="15" customHeight="1">
      <c r="B333" s="12" t="inlineStr">
        <is>
          <t xml:space="preserve">  Deferred revenue (volumetric production payments)</t>
        </is>
      </c>
      <c r="C333" s="30" t="n"/>
      <c r="D333" s="30" t="n"/>
      <c r="E333" s="30" t="n"/>
      <c r="F333" s="30" t="n"/>
      <c r="G333" s="30" t="n"/>
      <c r="H333" s="30" t="n"/>
      <c r="I333" s="169" t="n">
        <v>73.59999999999999</v>
      </c>
      <c r="J333" s="29" t="n"/>
      <c r="K333" s="29" t="n"/>
      <c r="L333" s="29" t="n"/>
      <c r="M333" s="29" t="n"/>
      <c r="N333" s="29" t="n"/>
      <c r="O333" s="169" t="n">
        <v>219.7</v>
      </c>
      <c r="P333" s="29" t="n"/>
      <c r="Q333" s="29" t="n"/>
      <c r="R333" s="29" t="n"/>
      <c r="S333" s="29" t="n"/>
      <c r="T333" s="29" t="n"/>
      <c r="U333" s="169" t="n">
        <v>214</v>
      </c>
      <c r="V333" s="29" t="n"/>
      <c r="W333" s="29" t="n"/>
      <c r="X333" s="29" t="n"/>
      <c r="Y333" s="29" t="n"/>
      <c r="Z333" s="29" t="n"/>
      <c r="AA333" s="169" t="n">
        <v>207.7</v>
      </c>
      <c r="AB333" s="29" t="n"/>
      <c r="AC333" s="29" t="n"/>
      <c r="AD333" s="29" t="n"/>
      <c r="AE333" s="29" t="n"/>
      <c r="AF333" s="29" t="n"/>
      <c r="AG333" s="169" t="n">
        <v>198.4</v>
      </c>
      <c r="AH333" s="29" t="n"/>
      <c r="AI333" s="29" t="n"/>
      <c r="AJ333" s="29" t="n"/>
      <c r="AK333" s="29" t="n"/>
      <c r="AL333" s="29" t="n"/>
      <c r="AM333" s="169" t="n">
        <v>191.5</v>
      </c>
      <c r="AN333" s="29" t="n"/>
      <c r="AO333" s="29" t="n"/>
      <c r="AP333" s="29" t="n"/>
      <c r="AQ333" s="29" t="n"/>
      <c r="AR333" s="29" t="n"/>
      <c r="AS333" s="169" t="n">
        <v>186.4</v>
      </c>
      <c r="AT333" s="29" t="n"/>
      <c r="AU333" s="29" t="n"/>
      <c r="AV333" s="29" t="n"/>
      <c r="AW333" s="29" t="n"/>
      <c r="AX333" s="29" t="n"/>
      <c r="AY333" s="169" t="n">
        <v>179.9</v>
      </c>
      <c r="AZ333" s="29" t="n"/>
      <c r="BA333" s="29" t="n"/>
      <c r="BB333" s="29" t="n"/>
      <c r="BC333" s="29" t="n"/>
      <c r="BD333" s="29" t="n"/>
      <c r="BE333" s="169" t="n">
        <v>174</v>
      </c>
      <c r="BF333" s="29" t="n"/>
      <c r="BG333" s="29" t="n"/>
      <c r="BH333" s="29" t="n"/>
      <c r="BI333" s="29" t="n"/>
      <c r="BJ333" s="29" t="n"/>
      <c r="BK333" s="169" t="n">
        <v>167.1</v>
      </c>
      <c r="BL333" s="29" t="n"/>
      <c r="BM333" s="29" t="n"/>
      <c r="BN333" s="29" t="n"/>
      <c r="BO333" s="29" t="n"/>
      <c r="BP333" s="29" t="n"/>
      <c r="BQ333" s="169" t="n">
        <v>159.8</v>
      </c>
      <c r="BR333" s="29" t="n"/>
      <c r="BS333" s="29" t="n"/>
      <c r="BT333" s="29" t="n"/>
      <c r="BU333" s="29" t="n"/>
      <c r="BV333" s="29" t="n"/>
      <c r="BW333" s="169" t="n">
        <v>145.3</v>
      </c>
      <c r="BX333" s="29" t="n"/>
      <c r="BY333" s="29" t="n"/>
      <c r="BZ333" s="29" t="n"/>
      <c r="CA333" s="29" t="n"/>
      <c r="CB333" s="29" t="n"/>
      <c r="CC333" s="169" t="n">
        <v>137.8</v>
      </c>
      <c r="CD333" s="29" t="n"/>
      <c r="CE333" s="29" t="n"/>
      <c r="CF333" s="29" t="n"/>
      <c r="CG333" s="29" t="n"/>
      <c r="CH333" s="29" t="n"/>
      <c r="CI333" s="169" t="n">
        <v>130.6</v>
      </c>
      <c r="CJ333" s="29" t="n"/>
      <c r="CK333" s="29" t="n"/>
      <c r="CL333" s="169" t="n">
        <v>127</v>
      </c>
      <c r="CM333" s="31" t="n"/>
      <c r="CN333" s="31" t="n"/>
      <c r="CO333" s="171">
        <f>$CL$333</f>
        <v/>
      </c>
      <c r="CP333" s="171">
        <f>CO333</f>
        <v/>
      </c>
      <c r="CQ333" s="171">
        <f>CP333</f>
        <v/>
      </c>
      <c r="CR333" s="171">
        <f>CQ333</f>
        <v/>
      </c>
      <c r="CS333" s="171">
        <f>CR333</f>
        <v/>
      </c>
      <c r="CT333" s="22" t="n"/>
      <c r="CV333" s="6" t="n"/>
      <c r="CW333" s="6" t="n"/>
      <c r="CX333" s="6" t="n"/>
      <c r="CY333" s="6" t="n"/>
    </row>
    <row r="334" ht="15" customHeight="1">
      <c r="B334" s="12" t="inlineStr">
        <is>
          <t xml:space="preserve">  Noncurrent operating lease liabilities</t>
        </is>
      </c>
      <c r="C334" s="30" t="n"/>
      <c r="D334" s="30" t="n"/>
      <c r="E334" s="30" t="n"/>
      <c r="F334" s="30" t="n"/>
      <c r="G334" s="30" t="n"/>
      <c r="H334" s="30" t="n"/>
      <c r="I334" s="30" t="n"/>
      <c r="J334" s="29" t="n"/>
      <c r="K334" s="29" t="n"/>
      <c r="L334" s="29" t="n"/>
      <c r="M334" s="29" t="n"/>
      <c r="N334" s="29" t="n"/>
      <c r="O334" s="30" t="n"/>
      <c r="P334" s="29" t="n"/>
      <c r="Q334" s="29" t="n"/>
      <c r="R334" s="29" t="n"/>
      <c r="S334" s="29" t="n"/>
      <c r="T334" s="29" t="n"/>
      <c r="U334" s="30" t="n"/>
      <c r="V334" s="29" t="n"/>
      <c r="W334" s="29" t="n"/>
      <c r="X334" s="29" t="n"/>
      <c r="Y334" s="29" t="n"/>
      <c r="Z334" s="29" t="n"/>
      <c r="AA334" s="30" t="n"/>
      <c r="AB334" s="29" t="n"/>
      <c r="AC334" s="29" t="n"/>
      <c r="AD334" s="29" t="n"/>
      <c r="AE334" s="29" t="n"/>
      <c r="AF334" s="29" t="n"/>
      <c r="AG334" s="30" t="n"/>
      <c r="AH334" s="29" t="n"/>
      <c r="AI334" s="29" t="n"/>
      <c r="AJ334" s="29" t="n"/>
      <c r="AK334" s="29" t="n"/>
      <c r="AL334" s="29" t="n"/>
      <c r="AM334" s="30" t="n"/>
      <c r="AN334" s="29" t="n"/>
      <c r="AO334" s="29" t="n"/>
      <c r="AP334" s="29" t="n"/>
      <c r="AQ334" s="29" t="n"/>
      <c r="AR334" s="29" t="n"/>
      <c r="AS334" s="30" t="n"/>
      <c r="AT334" s="29" t="n"/>
      <c r="AU334" s="29" t="n"/>
      <c r="AV334" s="29" t="n"/>
      <c r="AW334" s="29" t="n"/>
      <c r="AX334" s="29" t="n"/>
      <c r="AY334" s="169" t="n">
        <v>388</v>
      </c>
      <c r="AZ334" s="29" t="n"/>
      <c r="BA334" s="29" t="n"/>
      <c r="BB334" s="29" t="n"/>
      <c r="BC334" s="29" t="n"/>
      <c r="BD334" s="29" t="n"/>
      <c r="BE334" s="169" t="n">
        <v>399.6</v>
      </c>
      <c r="BF334" s="29" t="n"/>
      <c r="BG334" s="29" t="n"/>
      <c r="BH334" s="29" t="n"/>
      <c r="BI334" s="29" t="n"/>
      <c r="BJ334" s="29" t="n"/>
      <c r="BK334" s="169" t="n">
        <v>642.5</v>
      </c>
      <c r="BL334" s="29" t="n"/>
      <c r="BM334" s="29" t="n"/>
      <c r="BN334" s="29" t="n"/>
      <c r="BO334" s="29" t="n"/>
      <c r="BP334" s="29" t="n"/>
      <c r="BQ334" s="169" t="n">
        <v>548.4</v>
      </c>
      <c r="BR334" s="29" t="n"/>
      <c r="BS334" s="29" t="n"/>
      <c r="BT334" s="29" t="n"/>
      <c r="BU334" s="29" t="n"/>
      <c r="BV334" s="29" t="n"/>
      <c r="BW334" s="169" t="n">
        <v>507.4</v>
      </c>
      <c r="BX334" s="29" t="n"/>
      <c r="BY334" s="29" t="n"/>
      <c r="BZ334" s="29" t="n"/>
      <c r="CA334" s="29" t="n"/>
      <c r="CB334" s="29" t="n"/>
      <c r="CC334" s="169" t="n">
        <v>521.4</v>
      </c>
      <c r="CD334" s="29" t="n"/>
      <c r="CE334" s="29" t="n"/>
      <c r="CF334" s="29" t="n"/>
      <c r="CG334" s="29" t="n"/>
      <c r="CH334" s="29" t="n"/>
      <c r="CI334" s="169" t="n">
        <v>522.6</v>
      </c>
      <c r="CJ334" s="29" t="n"/>
      <c r="CK334" s="29" t="n"/>
      <c r="CL334" s="169" t="n">
        <v>521.2</v>
      </c>
      <c r="CM334" s="31" t="n"/>
      <c r="CN334" s="31" t="n"/>
      <c r="CO334" s="171">
        <f>$CL$334</f>
        <v/>
      </c>
      <c r="CP334" s="171">
        <f>CO334</f>
        <v/>
      </c>
      <c r="CQ334" s="171">
        <f>CP334</f>
        <v/>
      </c>
      <c r="CR334" s="171">
        <f>CQ334</f>
        <v/>
      </c>
      <c r="CS334" s="171">
        <f>CR334</f>
        <v/>
      </c>
      <c r="CT334" s="22" t="n"/>
      <c r="CV334" s="6" t="n"/>
      <c r="CW334" s="6" t="n"/>
      <c r="CX334" s="6" t="n"/>
      <c r="CY334" s="6" t="n"/>
    </row>
    <row r="335" ht="15" customHeight="1">
      <c r="B335" s="12" t="inlineStr">
        <is>
          <t xml:space="preserve">  Other noncurrent liabilities (pension, ARO, other)</t>
        </is>
      </c>
      <c r="C335" s="169" t="n">
        <v>319.5</v>
      </c>
      <c r="D335" s="169" t="n">
        <v>446.8</v>
      </c>
      <c r="E335" s="169" t="n">
        <v>625.3</v>
      </c>
      <c r="F335" s="169" t="n">
        <v>620.8</v>
      </c>
      <c r="G335" s="169" t="n">
        <v>530.3</v>
      </c>
      <c r="H335" s="169" t="n">
        <v>618.2</v>
      </c>
      <c r="I335" s="169" t="n">
        <v>671.8</v>
      </c>
      <c r="J335" s="29" t="n"/>
      <c r="K335" s="29" t="n"/>
      <c r="L335" s="29" t="n"/>
      <c r="M335" s="29" t="n"/>
      <c r="N335" s="29" t="n"/>
      <c r="O335" s="169" t="n">
        <v>578.8</v>
      </c>
      <c r="P335" s="29" t="n"/>
      <c r="Q335" s="29" t="n"/>
      <c r="R335" s="29" t="n"/>
      <c r="S335" s="29" t="n"/>
      <c r="T335" s="29" t="n"/>
      <c r="U335" s="169" t="n">
        <v>672.8</v>
      </c>
      <c r="V335" s="29" t="n"/>
      <c r="W335" s="29" t="n"/>
      <c r="X335" s="29" t="n"/>
      <c r="Y335" s="29" t="n"/>
      <c r="Z335" s="29" t="n"/>
      <c r="AA335" s="169" t="n">
        <v>624.9</v>
      </c>
      <c r="AB335" s="29" t="n"/>
      <c r="AC335" s="29" t="n"/>
      <c r="AD335" s="29" t="n"/>
      <c r="AE335" s="29" t="n"/>
      <c r="AF335" s="29" t="n"/>
      <c r="AG335" s="169" t="n">
        <v>642.8</v>
      </c>
      <c r="AH335" s="29" t="n"/>
      <c r="AI335" s="29" t="n"/>
      <c r="AJ335" s="29" t="n"/>
      <c r="AK335" s="29" t="n"/>
      <c r="AL335" s="29" t="n"/>
      <c r="AM335" s="169" t="n">
        <v>624.1</v>
      </c>
      <c r="AN335" s="29" t="n"/>
      <c r="AO335" s="29" t="n"/>
      <c r="AP335" s="29" t="n"/>
      <c r="AQ335" s="29" t="n"/>
      <c r="AR335" s="29" t="n"/>
      <c r="AS335" s="169" t="n">
        <v>493.6</v>
      </c>
      <c r="AT335" s="29" t="n"/>
      <c r="AU335" s="29" t="n"/>
      <c r="AV335" s="29" t="n"/>
      <c r="AW335" s="29" t="n"/>
      <c r="AX335" s="29" t="n"/>
      <c r="AY335" s="169" t="n">
        <v>506.1</v>
      </c>
      <c r="AZ335" s="29" t="n"/>
      <c r="BA335" s="29" t="n"/>
      <c r="BB335" s="29" t="n"/>
      <c r="BC335" s="29" t="n"/>
      <c r="BD335" s="29" t="n"/>
      <c r="BE335" s="169" t="n">
        <v>559.8</v>
      </c>
      <c r="BF335" s="29" t="n"/>
      <c r="BG335" s="29" t="n"/>
      <c r="BH335" s="29" t="n"/>
      <c r="BI335" s="29" t="n"/>
      <c r="BJ335" s="29" t="n"/>
      <c r="BK335" s="169" t="n">
        <v>655.3</v>
      </c>
      <c r="BL335" s="29" t="n"/>
      <c r="BM335" s="29" t="n"/>
      <c r="BN335" s="29" t="n"/>
      <c r="BO335" s="29" t="n"/>
      <c r="BP335" s="29" t="n"/>
      <c r="BQ335" s="169" t="n">
        <v>669.6</v>
      </c>
      <c r="BR335" s="29" t="n"/>
      <c r="BS335" s="29" t="n"/>
      <c r="BT335" s="29" t="n"/>
      <c r="BU335" s="29" t="n"/>
      <c r="BV335" s="29" t="n"/>
      <c r="BW335" s="169" t="n">
        <v>681.3</v>
      </c>
      <c r="BX335" s="29" t="n"/>
      <c r="BY335" s="29" t="n"/>
      <c r="BZ335" s="29" t="n"/>
      <c r="CA335" s="29" t="n"/>
      <c r="CB335" s="29" t="n"/>
      <c r="CC335" s="169" t="n">
        <v>820.6</v>
      </c>
      <c r="CD335" s="29" t="n"/>
      <c r="CE335" s="29" t="n"/>
      <c r="CF335" s="29" t="n"/>
      <c r="CG335" s="29" t="n"/>
      <c r="CH335" s="29" t="n"/>
      <c r="CI335" s="169" t="n">
        <v>822.2</v>
      </c>
      <c r="CJ335" s="29" t="n"/>
      <c r="CK335" s="29" t="n"/>
      <c r="CL335" s="169" t="n">
        <v>819.1</v>
      </c>
      <c r="CM335" s="31" t="n"/>
      <c r="CN335" s="31" t="n"/>
      <c r="CO335" s="171">
        <f>$CL$335+(CO258-$CL$258)</f>
        <v/>
      </c>
      <c r="CP335" s="171">
        <f>CO335+CP258</f>
        <v/>
      </c>
      <c r="CQ335" s="171">
        <f>CP335+CQ258</f>
        <v/>
      </c>
      <c r="CR335" s="171">
        <f>CQ335+CR258</f>
        <v/>
      </c>
      <c r="CS335" s="171">
        <f>CR335+CS258</f>
        <v/>
      </c>
      <c r="CT335" s="22" t="n"/>
      <c r="CV335" s="6" t="n"/>
      <c r="CW335" s="6" t="n"/>
      <c r="CX335" s="6" t="n"/>
      <c r="CY335" s="6" t="n"/>
    </row>
    <row r="336" ht="15" customHeight="1">
      <c r="B336" s="18" t="inlineStr">
        <is>
          <t>Total liabilities</t>
        </is>
      </c>
      <c r="C336" s="173">
        <f>IF(ISNUMBER(C327),C330+SUM(C331:C335),"")</f>
        <v/>
      </c>
      <c r="D336" s="173">
        <f>IF(ISNUMBER(D327),D330+SUM(D331:D335),"")</f>
        <v/>
      </c>
      <c r="E336" s="173">
        <f>IF(ISNUMBER(E327),E330+SUM(E331:E335),"")</f>
        <v/>
      </c>
      <c r="F336" s="173">
        <f>IF(ISNUMBER(F327),F330+SUM(F331:F335),"")</f>
        <v/>
      </c>
      <c r="G336" s="173">
        <f>IF(ISNUMBER(G327),G330+SUM(G331:G335),"")</f>
        <v/>
      </c>
      <c r="H336" s="173">
        <f>IF(ISNUMBER(H327),H330+SUM(H331:H335),"")</f>
        <v/>
      </c>
      <c r="I336" s="173">
        <f>IF(ISNUMBER(I327),I330+SUM(I331:I335),"")</f>
        <v/>
      </c>
      <c r="J336" s="19" t="n"/>
      <c r="K336" s="19" t="n"/>
      <c r="L336" s="19" t="n"/>
      <c r="M336" s="19" t="n"/>
      <c r="N336" s="19" t="n"/>
      <c r="O336" s="173">
        <f>IF(ISNUMBER(O327),O330+SUM(O331:O335),"")</f>
        <v/>
      </c>
      <c r="P336" s="19" t="n"/>
      <c r="Q336" s="19" t="n"/>
      <c r="R336" s="19" t="n"/>
      <c r="S336" s="19" t="n"/>
      <c r="T336" s="19" t="n"/>
      <c r="U336" s="173">
        <f>IF(ISNUMBER(U327),U330+SUM(U331:U335),"")</f>
        <v/>
      </c>
      <c r="V336" s="19" t="n"/>
      <c r="W336" s="19" t="n"/>
      <c r="X336" s="19" t="n"/>
      <c r="Y336" s="19" t="n"/>
      <c r="Z336" s="19" t="n"/>
      <c r="AA336" s="173">
        <f>IF(ISNUMBER(AA327),AA330+SUM(AA331:AA335),"")</f>
        <v/>
      </c>
      <c r="AB336" s="19" t="n"/>
      <c r="AC336" s="19" t="n"/>
      <c r="AD336" s="19" t="n"/>
      <c r="AE336" s="19" t="n"/>
      <c r="AF336" s="19" t="n"/>
      <c r="AG336" s="173">
        <f>IF(ISNUMBER(AG327),AG330+SUM(AG331:AG335),"")</f>
        <v/>
      </c>
      <c r="AH336" s="19" t="n"/>
      <c r="AI336" s="19" t="n"/>
      <c r="AJ336" s="19" t="n"/>
      <c r="AK336" s="19" t="n"/>
      <c r="AL336" s="19" t="n"/>
      <c r="AM336" s="173">
        <f>IF(ISNUMBER(AM327),AM330+SUM(AM331:AM335),"")</f>
        <v/>
      </c>
      <c r="AN336" s="19" t="n"/>
      <c r="AO336" s="19" t="n"/>
      <c r="AP336" s="19" t="n"/>
      <c r="AQ336" s="19" t="n"/>
      <c r="AR336" s="19" t="n"/>
      <c r="AS336" s="173">
        <f>IF(ISNUMBER(AS327),AS330+SUM(AS331:AS335),"")</f>
        <v/>
      </c>
      <c r="AT336" s="19" t="n"/>
      <c r="AU336" s="19" t="n"/>
      <c r="AV336" s="19" t="n"/>
      <c r="AW336" s="19" t="n"/>
      <c r="AX336" s="19" t="n"/>
      <c r="AY336" s="173">
        <f>IF(ISNUMBER(AY327),AY330+SUM(AY331:AY335),"")</f>
        <v/>
      </c>
      <c r="AZ336" s="19" t="n"/>
      <c r="BA336" s="19" t="n"/>
      <c r="BB336" s="19" t="n"/>
      <c r="BC336" s="19" t="n"/>
      <c r="BD336" s="19" t="n"/>
      <c r="BE336" s="173">
        <f>IF(ISNUMBER(BE327),BE330+SUM(BE331:BE335),"")</f>
        <v/>
      </c>
      <c r="BF336" s="19" t="n"/>
      <c r="BG336" s="19" t="n"/>
      <c r="BH336" s="19" t="n"/>
      <c r="BI336" s="19" t="n"/>
      <c r="BJ336" s="19" t="n"/>
      <c r="BK336" s="173">
        <f>IF(ISNUMBER(BK327),BK330+SUM(BK331:BK335),"")</f>
        <v/>
      </c>
      <c r="BL336" s="19" t="n"/>
      <c r="BM336" s="19" t="n"/>
      <c r="BN336" s="19" t="n"/>
      <c r="BO336" s="19" t="n"/>
      <c r="BP336" s="19" t="n"/>
      <c r="BQ336" s="173">
        <f>IF(ISNUMBER(BQ327),BQ330+SUM(BQ331:BQ335),"")</f>
        <v/>
      </c>
      <c r="BR336" s="19" t="n"/>
      <c r="BS336" s="19" t="n"/>
      <c r="BT336" s="19" t="n"/>
      <c r="BU336" s="19" t="n"/>
      <c r="BV336" s="19" t="n"/>
      <c r="BW336" s="173">
        <f>IF(ISNUMBER(BW327),BW330+SUM(BW331:BW335),"")</f>
        <v/>
      </c>
      <c r="BX336" s="19" t="n"/>
      <c r="BY336" s="19" t="n"/>
      <c r="BZ336" s="19" t="n"/>
      <c r="CA336" s="19" t="n"/>
      <c r="CB336" s="19" t="n"/>
      <c r="CC336" s="173">
        <f>IF(ISNUMBER(CC327),CC330+SUM(CC331:CC335),"")</f>
        <v/>
      </c>
      <c r="CD336" s="19" t="n"/>
      <c r="CE336" s="19" t="n"/>
      <c r="CF336" s="19" t="n"/>
      <c r="CG336" s="19" t="n"/>
      <c r="CH336" s="19" t="n"/>
      <c r="CI336" s="173">
        <f>IF(ISNUMBER(CI327),CI330+SUM(CI331:CI335),"")</f>
        <v/>
      </c>
      <c r="CJ336" s="19" t="n"/>
      <c r="CK336" s="19" t="n"/>
      <c r="CL336" s="173">
        <f>IF(ISNUMBER(CL327),CL330+SUM(CL331:CL335),"")</f>
        <v/>
      </c>
      <c r="CM336" s="21" t="n"/>
      <c r="CN336" s="21" t="n"/>
      <c r="CO336" s="174">
        <f>IF(ISNUMBER(CO327),CO330+SUM(CO331:CO335),"")</f>
        <v/>
      </c>
      <c r="CP336" s="174">
        <f>IF(ISNUMBER(CP327),CP330+SUM(CP331:CP335),"")</f>
        <v/>
      </c>
      <c r="CQ336" s="174">
        <f>IF(ISNUMBER(CQ327),CQ330+SUM(CQ331:CQ335),"")</f>
        <v/>
      </c>
      <c r="CR336" s="174">
        <f>IF(ISNUMBER(CR327),CR330+SUM(CR331:CR335),"")</f>
        <v/>
      </c>
      <c r="CS336" s="174">
        <f>IF(ISNUMBER(CS327),CS330+SUM(CS331:CS335),"")</f>
        <v/>
      </c>
      <c r="CT336" s="22" t="n"/>
      <c r="CV336" s="6" t="n"/>
      <c r="CW336" s="6" t="n"/>
      <c r="CX336" s="6" t="n"/>
      <c r="CY336" s="6" t="n"/>
    </row>
    <row r="337" ht="15" customHeight="1">
      <c r="B337" s="12" t="inlineStr">
        <is>
          <t>Equity:</t>
        </is>
      </c>
      <c r="C337" s="29" t="n"/>
      <c r="D337" s="29" t="n"/>
      <c r="E337" s="30" t="n"/>
      <c r="F337" s="30" t="n"/>
      <c r="G337" s="30" t="n"/>
      <c r="H337" s="30" t="n"/>
      <c r="I337" s="30" t="n"/>
      <c r="J337" s="30" t="n"/>
      <c r="K337" s="30" t="n"/>
      <c r="L337" s="29" t="n"/>
      <c r="M337" s="30" t="n"/>
      <c r="N337" s="30" t="n"/>
      <c r="O337" s="30" t="n"/>
      <c r="P337" s="30" t="n"/>
      <c r="Q337" s="30" t="n"/>
      <c r="R337" s="29" t="n"/>
      <c r="S337" s="30" t="n"/>
      <c r="T337" s="30" t="n"/>
      <c r="U337" s="30" t="n"/>
      <c r="V337" s="30" t="n"/>
      <c r="W337" s="30" t="n"/>
      <c r="X337" s="29" t="n"/>
      <c r="Y337" s="30" t="n"/>
      <c r="Z337" s="30" t="n"/>
      <c r="AA337" s="30" t="n"/>
      <c r="AB337" s="30" t="n"/>
      <c r="AC337" s="30" t="n"/>
      <c r="AD337" s="29" t="n"/>
      <c r="AE337" s="30" t="n"/>
      <c r="AF337" s="30" t="n"/>
      <c r="AG337" s="30" t="n"/>
      <c r="AH337" s="30" t="n"/>
      <c r="AI337" s="30" t="n"/>
      <c r="AJ337" s="29" t="n"/>
      <c r="AK337" s="30" t="n"/>
      <c r="AL337" s="30" t="n"/>
      <c r="AM337" s="30" t="n"/>
      <c r="AN337" s="30" t="n"/>
      <c r="AO337" s="30" t="n"/>
      <c r="AP337" s="29" t="n"/>
      <c r="AQ337" s="30" t="n"/>
      <c r="AR337" s="30" t="n"/>
      <c r="AS337" s="30" t="n"/>
      <c r="AT337" s="30" t="n"/>
      <c r="AU337" s="30" t="n"/>
      <c r="AV337" s="29" t="n"/>
      <c r="AW337" s="30" t="n"/>
      <c r="AX337" s="30" t="n"/>
      <c r="AY337" s="30" t="n"/>
      <c r="AZ337" s="30" t="n"/>
      <c r="BA337" s="30" t="n"/>
      <c r="BB337" s="29" t="n"/>
      <c r="BC337" s="30" t="n"/>
      <c r="BD337" s="30" t="n"/>
      <c r="BE337" s="30" t="n"/>
      <c r="BF337" s="30" t="n"/>
      <c r="BG337" s="30" t="n"/>
      <c r="BH337" s="29" t="n"/>
      <c r="BI337" s="30" t="n"/>
      <c r="BJ337" s="30" t="n"/>
      <c r="BK337" s="30" t="n"/>
      <c r="BL337" s="30" t="n"/>
      <c r="BM337" s="30" t="n"/>
      <c r="BN337" s="29" t="n"/>
      <c r="BO337" s="30" t="n"/>
      <c r="BP337" s="30" t="n"/>
      <c r="BQ337" s="30" t="n"/>
      <c r="BR337" s="30" t="n"/>
      <c r="BS337" s="30" t="n"/>
      <c r="BT337" s="29" t="n"/>
      <c r="BU337" s="30" t="n"/>
      <c r="BV337" s="30" t="n"/>
      <c r="BW337" s="30" t="n"/>
      <c r="BX337" s="30" t="n"/>
      <c r="BY337" s="30" t="n"/>
      <c r="BZ337" s="29" t="n"/>
      <c r="CA337" s="30" t="n"/>
      <c r="CB337" s="30" t="n"/>
      <c r="CC337" s="30" t="n"/>
      <c r="CD337" s="30" t="n"/>
      <c r="CE337" s="30" t="n"/>
      <c r="CF337" s="29" t="n"/>
      <c r="CG337" s="30" t="n"/>
      <c r="CH337" s="30" t="n"/>
      <c r="CI337" s="30" t="n"/>
      <c r="CJ337" s="30" t="n"/>
      <c r="CK337" s="30" t="n"/>
      <c r="CL337" s="29" t="n"/>
      <c r="CM337" s="31" t="n"/>
      <c r="CN337" s="31" t="n"/>
      <c r="CO337" s="31" t="n"/>
      <c r="CP337" s="31" t="n"/>
      <c r="CQ337" s="31" t="n"/>
      <c r="CR337" s="31" t="n"/>
      <c r="CS337" s="31" t="n"/>
      <c r="CT337" s="22" t="n"/>
      <c r="CV337" s="23" t="n"/>
      <c r="CW337" s="23" t="n"/>
      <c r="CX337" s="23" t="n"/>
      <c r="CY337" s="23" t="n"/>
    </row>
    <row r="338" ht="15" customHeight="1">
      <c r="B338" s="12" t="inlineStr">
        <is>
          <t xml:space="preserve">  Common stock ($1 par)</t>
        </is>
      </c>
      <c r="C338" s="169" t="n">
        <v>139.7</v>
      </c>
      <c r="D338" s="169" t="n">
        <v>108.2</v>
      </c>
      <c r="E338" s="169" t="n">
        <v>110.3</v>
      </c>
      <c r="F338" s="169" t="n">
        <v>125.9</v>
      </c>
      <c r="G338" s="169" t="n">
        <v>128.6</v>
      </c>
      <c r="H338" s="169" t="n">
        <v>129.2</v>
      </c>
      <c r="I338" s="169" t="n">
        <v>129.7</v>
      </c>
      <c r="J338" s="29" t="n"/>
      <c r="K338" s="29" t="n"/>
      <c r="L338" s="29" t="n"/>
      <c r="M338" s="29" t="n"/>
      <c r="N338" s="29" t="n"/>
      <c r="O338" s="169" t="n">
        <v>130.2</v>
      </c>
      <c r="P338" s="29" t="n"/>
      <c r="Q338" s="29" t="n"/>
      <c r="R338" s="29" t="n"/>
      <c r="S338" s="29" t="n"/>
      <c r="T338" s="29" t="n"/>
      <c r="U338" s="169" t="n">
        <v>131.9</v>
      </c>
      <c r="V338" s="29" t="n"/>
      <c r="W338" s="29" t="n"/>
      <c r="X338" s="29" t="n"/>
      <c r="Y338" s="29" t="n"/>
      <c r="Z338" s="29" t="n"/>
      <c r="AA338" s="169" t="n">
        <v>133.2</v>
      </c>
      <c r="AB338" s="29" t="n"/>
      <c r="AC338" s="29" t="n"/>
      <c r="AD338" s="29" t="n"/>
      <c r="AE338" s="29" t="n"/>
      <c r="AF338" s="29" t="n"/>
      <c r="AG338" s="169" t="n">
        <v>132.3</v>
      </c>
      <c r="AH338" s="29" t="n"/>
      <c r="AI338" s="29" t="n"/>
      <c r="AJ338" s="29" t="n"/>
      <c r="AK338" s="29" t="n"/>
      <c r="AL338" s="29" t="n"/>
      <c r="AM338" s="169" t="n">
        <v>132.3</v>
      </c>
      <c r="AN338" s="29" t="n"/>
      <c r="AO338" s="29" t="n"/>
      <c r="AP338" s="29" t="n"/>
      <c r="AQ338" s="29" t="n"/>
      <c r="AR338" s="29" t="n"/>
      <c r="AS338" s="169" t="n">
        <v>131.8</v>
      </c>
      <c r="AT338" s="29" t="n"/>
      <c r="AU338" s="29" t="n"/>
      <c r="AV338" s="29" t="n"/>
      <c r="AW338" s="29" t="n"/>
      <c r="AX338" s="29" t="n"/>
      <c r="AY338" s="169" t="n">
        <v>132.4</v>
      </c>
      <c r="AZ338" s="29" t="n"/>
      <c r="BA338" s="29" t="n"/>
      <c r="BB338" s="29" t="n"/>
      <c r="BC338" s="29" t="n"/>
      <c r="BD338" s="29" t="n"/>
      <c r="BE338" s="169" t="n">
        <v>132.5</v>
      </c>
      <c r="BF338" s="29" t="n"/>
      <c r="BG338" s="29" t="n"/>
      <c r="BH338" s="29" t="n"/>
      <c r="BI338" s="29" t="n"/>
      <c r="BJ338" s="29" t="n"/>
      <c r="BK338" s="169" t="n">
        <v>132.7</v>
      </c>
      <c r="BL338" s="29" t="n"/>
      <c r="BM338" s="29" t="n"/>
      <c r="BN338" s="29" t="n"/>
      <c r="BO338" s="29" t="n"/>
      <c r="BP338" s="29" t="n"/>
      <c r="BQ338" s="169" t="n">
        <v>132.9</v>
      </c>
      <c r="BR338" s="29" t="n"/>
      <c r="BS338" s="29" t="n"/>
      <c r="BT338" s="29" t="n"/>
      <c r="BU338" s="29" t="n"/>
      <c r="BV338" s="29" t="n"/>
      <c r="BW338" s="169" t="n">
        <v>132.1</v>
      </c>
      <c r="BX338" s="29" t="n"/>
      <c r="BY338" s="29" t="n"/>
      <c r="BZ338" s="29" t="n"/>
      <c r="CA338" s="29" t="n"/>
      <c r="CB338" s="29" t="n"/>
      <c r="CC338" s="169" t="n">
        <v>132.1</v>
      </c>
      <c r="CD338" s="29" t="n"/>
      <c r="CE338" s="29" t="n"/>
      <c r="CF338" s="29" t="n"/>
      <c r="CG338" s="29" t="n"/>
      <c r="CH338" s="29" t="n"/>
      <c r="CI338" s="169" t="n">
        <v>130.6</v>
      </c>
      <c r="CJ338" s="29" t="n"/>
      <c r="CK338" s="29" t="n"/>
      <c r="CL338" s="169" t="n">
        <v>129.4</v>
      </c>
      <c r="CM338" s="31" t="n"/>
      <c r="CN338" s="31" t="n"/>
      <c r="CO338" s="171">
        <f>$CL$338</f>
        <v/>
      </c>
      <c r="CP338" s="171">
        <f>CO338</f>
        <v/>
      </c>
      <c r="CQ338" s="171">
        <f>CP338</f>
        <v/>
      </c>
      <c r="CR338" s="171">
        <f>CQ338</f>
        <v/>
      </c>
      <c r="CS338" s="171">
        <f>CR338</f>
        <v/>
      </c>
      <c r="CT338" s="22" t="n"/>
      <c r="CV338" s="6" t="n"/>
      <c r="CW338" s="6" t="n"/>
      <c r="CX338" s="6" t="n"/>
      <c r="CY338" s="6" t="n"/>
    </row>
    <row r="339" ht="15" customHeight="1">
      <c r="B339" s="12" t="inlineStr">
        <is>
          <t xml:space="preserve">  Capital in excess of par value</t>
        </is>
      </c>
      <c r="C339" s="169" t="n">
        <v>191.7</v>
      </c>
      <c r="D339" s="169" t="n">
        <v>1607.9</v>
      </c>
      <c r="E339" s="169" t="n">
        <v>1734.8</v>
      </c>
      <c r="F339" s="169" t="n">
        <v>2368.2</v>
      </c>
      <c r="G339" s="169" t="n">
        <v>2500.9</v>
      </c>
      <c r="H339" s="169" t="n">
        <v>2544.7</v>
      </c>
      <c r="I339" s="169" t="n">
        <v>2580.2</v>
      </c>
      <c r="J339" s="29" t="n"/>
      <c r="K339" s="29" t="n"/>
      <c r="L339" s="29" t="n"/>
      <c r="M339" s="29" t="n"/>
      <c r="N339" s="29" t="n"/>
      <c r="O339" s="169" t="n">
        <v>2611.7</v>
      </c>
      <c r="P339" s="29" t="n"/>
      <c r="Q339" s="29" t="n"/>
      <c r="R339" s="29" t="n"/>
      <c r="S339" s="29" t="n"/>
      <c r="T339" s="29" t="n"/>
      <c r="U339" s="169" t="n">
        <v>2734.7</v>
      </c>
      <c r="V339" s="29" t="n"/>
      <c r="W339" s="29" t="n"/>
      <c r="X339" s="29" t="n"/>
      <c r="Y339" s="29" t="n"/>
      <c r="Z339" s="29" t="n"/>
      <c r="AA339" s="169" t="n">
        <v>2822.6</v>
      </c>
      <c r="AB339" s="29" t="n"/>
      <c r="AC339" s="29" t="n"/>
      <c r="AD339" s="29" t="n"/>
      <c r="AE339" s="29" t="n"/>
      <c r="AF339" s="29" t="n"/>
      <c r="AG339" s="169" t="n">
        <v>2808</v>
      </c>
      <c r="AH339" s="29" t="n"/>
      <c r="AI339" s="29" t="n"/>
      <c r="AJ339" s="29" t="n"/>
      <c r="AK339" s="29" t="n"/>
      <c r="AL339" s="29" t="n"/>
      <c r="AM339" s="169" t="n">
        <v>2805.6</v>
      </c>
      <c r="AN339" s="29" t="n"/>
      <c r="AO339" s="29" t="n"/>
      <c r="AP339" s="29" t="n"/>
      <c r="AQ339" s="29" t="n"/>
      <c r="AR339" s="29" t="n"/>
      <c r="AS339" s="169" t="n">
        <v>2798.5</v>
      </c>
      <c r="AT339" s="29" t="n"/>
      <c r="AU339" s="29" t="n"/>
      <c r="AV339" s="29" t="n"/>
      <c r="AW339" s="29" t="n"/>
      <c r="AX339" s="29" t="n"/>
      <c r="AY339" s="169" t="n">
        <v>2791.4</v>
      </c>
      <c r="AZ339" s="29" t="n"/>
      <c r="BA339" s="29" t="n"/>
      <c r="BB339" s="29" t="n"/>
      <c r="BC339" s="29" t="n"/>
      <c r="BD339" s="29" t="n"/>
      <c r="BE339" s="169" t="n">
        <v>2802</v>
      </c>
      <c r="BF339" s="29" t="n"/>
      <c r="BG339" s="29" t="n"/>
      <c r="BH339" s="29" t="n"/>
      <c r="BI339" s="29" t="n"/>
      <c r="BJ339" s="29" t="n"/>
      <c r="BK339" s="169" t="n">
        <v>2816.5</v>
      </c>
      <c r="BL339" s="29" t="n"/>
      <c r="BM339" s="29" t="n"/>
      <c r="BN339" s="29" t="n"/>
      <c r="BO339" s="29" t="n"/>
      <c r="BP339" s="29" t="n"/>
      <c r="BQ339" s="169" t="n">
        <v>2839</v>
      </c>
      <c r="BR339" s="29" t="n"/>
      <c r="BS339" s="29" t="n"/>
      <c r="BT339" s="29" t="n"/>
      <c r="BU339" s="29" t="n"/>
      <c r="BV339" s="29" t="n"/>
      <c r="BW339" s="169" t="n">
        <v>2880.1</v>
      </c>
      <c r="BX339" s="29" t="n"/>
      <c r="BY339" s="29" t="n"/>
      <c r="BZ339" s="29" t="n"/>
      <c r="CA339" s="29" t="n"/>
      <c r="CB339" s="29" t="n"/>
      <c r="CC339" s="169" t="n">
        <v>2900.1</v>
      </c>
      <c r="CD339" s="29" t="n"/>
      <c r="CE339" s="29" t="n"/>
      <c r="CF339" s="29" t="n"/>
      <c r="CG339" s="29" t="n"/>
      <c r="CH339" s="29" t="n"/>
      <c r="CI339" s="169" t="n">
        <v>2930</v>
      </c>
      <c r="CJ339" s="29" t="n"/>
      <c r="CK339" s="29" t="n"/>
      <c r="CL339" s="169" t="n">
        <v>2916.1</v>
      </c>
      <c r="CM339" s="31" t="n"/>
      <c r="CN339" s="31" t="n"/>
      <c r="CO339" s="171">
        <f>$CL$339+(CO259-$CL$259)+N(CO275)-N($CL$275)+(CO276-$CL$276)</f>
        <v/>
      </c>
      <c r="CP339" s="171">
        <f>CO339+CP259+CP275+CP276</f>
        <v/>
      </c>
      <c r="CQ339" s="171">
        <f>CP339+CQ259+CQ275+CQ276</f>
        <v/>
      </c>
      <c r="CR339" s="171">
        <f>CQ339+CR259+CR275+CR276</f>
        <v/>
      </c>
      <c r="CS339" s="171">
        <f>CR339+CS259+CS275+CS276</f>
        <v/>
      </c>
      <c r="CT339" s="22" t="inlineStr">
        <is>
          <t>+ SBC + stock issued + other financing (shares withheld for taxes, NCI distributions).</t>
        </is>
      </c>
      <c r="CV339" s="6" t="n"/>
      <c r="CW339" s="6" t="n"/>
      <c r="CX339" s="6" t="n"/>
      <c r="CY339" s="6" t="n"/>
    </row>
    <row r="340" ht="15" customHeight="1">
      <c r="B340" s="12" t="inlineStr">
        <is>
          <t xml:space="preserve">  Retained earnings</t>
        </is>
      </c>
      <c r="C340" s="169" t="n">
        <v>2972.7</v>
      </c>
      <c r="D340" s="169" t="n">
        <v>2083.7</v>
      </c>
      <c r="E340" s="169" t="n">
        <v>1862.9</v>
      </c>
      <c r="F340" s="169" t="n">
        <v>1752.2</v>
      </c>
      <c r="G340" s="169" t="n">
        <v>1512.9</v>
      </c>
      <c r="H340" s="169" t="n">
        <v>1334.5</v>
      </c>
      <c r="I340" s="169" t="n">
        <v>1276.6</v>
      </c>
      <c r="J340" s="29" t="n"/>
      <c r="K340" s="29" t="n"/>
      <c r="L340" s="29" t="n"/>
      <c r="M340" s="29" t="n"/>
      <c r="N340" s="29" t="n"/>
      <c r="O340" s="169" t="n">
        <v>1295.8</v>
      </c>
      <c r="P340" s="29" t="n"/>
      <c r="Q340" s="29" t="n"/>
      <c r="R340" s="29" t="n"/>
      <c r="S340" s="29" t="n"/>
      <c r="T340" s="29" t="n"/>
      <c r="U340" s="169" t="n">
        <v>1471.8</v>
      </c>
      <c r="V340" s="29" t="n"/>
      <c r="W340" s="29" t="n"/>
      <c r="X340" s="29" t="n"/>
      <c r="Y340" s="29" t="n"/>
      <c r="Z340" s="29" t="n"/>
      <c r="AA340" s="169" t="n">
        <v>1618.5</v>
      </c>
      <c r="AB340" s="29" t="n"/>
      <c r="AC340" s="29" t="n"/>
      <c r="AD340" s="29" t="n"/>
      <c r="AE340" s="29" t="n"/>
      <c r="AF340" s="29" t="n"/>
      <c r="AG340" s="169" t="n">
        <v>1771.5</v>
      </c>
      <c r="AH340" s="29" t="n"/>
      <c r="AI340" s="29" t="n"/>
      <c r="AJ340" s="29" t="n"/>
      <c r="AK340" s="29" t="n"/>
      <c r="AL340" s="29" t="n"/>
      <c r="AM340" s="169" t="n">
        <v>2180.4</v>
      </c>
      <c r="AN340" s="29" t="n"/>
      <c r="AO340" s="29" t="n"/>
      <c r="AP340" s="29" t="n"/>
      <c r="AQ340" s="29" t="n"/>
      <c r="AR340" s="29" t="n"/>
      <c r="AS340" s="169" t="n">
        <v>2444.9</v>
      </c>
      <c r="AT340" s="29" t="n"/>
      <c r="AU340" s="29" t="n"/>
      <c r="AV340" s="29" t="n"/>
      <c r="AW340" s="29" t="n"/>
      <c r="AX340" s="29" t="n"/>
      <c r="AY340" s="169" t="n">
        <v>2895.9</v>
      </c>
      <c r="AZ340" s="29" t="n"/>
      <c r="BA340" s="29" t="n"/>
      <c r="BB340" s="29" t="n"/>
      <c r="BC340" s="29" t="n"/>
      <c r="BD340" s="29" t="n"/>
      <c r="BE340" s="169" t="n">
        <v>3274.1</v>
      </c>
      <c r="BF340" s="29" t="n"/>
      <c r="BG340" s="29" t="n"/>
      <c r="BH340" s="29" t="n"/>
      <c r="BI340" s="29" t="n"/>
      <c r="BJ340" s="29" t="n"/>
      <c r="BK340" s="169" t="n">
        <v>3748.5</v>
      </c>
      <c r="BL340" s="29" t="n"/>
      <c r="BM340" s="29" t="n"/>
      <c r="BN340" s="29" t="n"/>
      <c r="BO340" s="29" t="n"/>
      <c r="BP340" s="29" t="n"/>
      <c r="BQ340" s="169" t="n">
        <v>4111.4</v>
      </c>
      <c r="BR340" s="29" t="n"/>
      <c r="BS340" s="29" t="n"/>
      <c r="BT340" s="29" t="n"/>
      <c r="BU340" s="29" t="n"/>
      <c r="BV340" s="29" t="n"/>
      <c r="BW340" s="169" t="n">
        <v>4615</v>
      </c>
      <c r="BX340" s="29" t="n"/>
      <c r="BY340" s="29" t="n"/>
      <c r="BZ340" s="29" t="n"/>
      <c r="CA340" s="29" t="n"/>
      <c r="CB340" s="29" t="n"/>
      <c r="CC340" s="169" t="n">
        <v>5213.8</v>
      </c>
      <c r="CD340" s="29" t="n"/>
      <c r="CE340" s="29" t="n"/>
      <c r="CF340" s="29" t="n"/>
      <c r="CG340" s="29" t="n"/>
      <c r="CH340" s="29" t="n"/>
      <c r="CI340" s="169" t="n">
        <v>5590.1</v>
      </c>
      <c r="CJ340" s="29" t="n"/>
      <c r="CK340" s="29" t="n"/>
      <c r="CL340" s="169" t="n">
        <v>5541.9</v>
      </c>
      <c r="CM340" s="31" t="n"/>
      <c r="CN340" s="31" t="n"/>
      <c r="CO340" s="171">
        <f>$CL$340+(CO155-$CL$155)+(CO274-$CL$274)+(CO273-$CL$273)</f>
        <v/>
      </c>
      <c r="CP340" s="171">
        <f>CO340+CP155+CP274+CP273</f>
        <v/>
      </c>
      <c r="CQ340" s="171">
        <f>CP340+CQ155+CQ274+CQ273</f>
        <v/>
      </c>
      <c r="CR340" s="171">
        <f>CQ340+CR155+CR274+CR273</f>
        <v/>
      </c>
      <c r="CS340" s="171">
        <f>CR340+CS155+CS274+CS273</f>
        <v/>
      </c>
      <c r="CT340" s="22" t="inlineStr">
        <is>
          <t>+ net earnings attributable to Vulcan − dividends − share repurchases (Vulcan retires repurchased shares; model charges the cost to retained earnings).</t>
        </is>
      </c>
      <c r="CV340" s="6" t="n"/>
      <c r="CW340" s="6" t="n"/>
      <c r="CX340" s="6" t="n"/>
      <c r="CY340" s="6" t="n"/>
    </row>
    <row r="341" ht="15" customHeight="1">
      <c r="B341" s="12" t="inlineStr">
        <is>
          <t xml:space="preserve">  Accumulated other comprehensive income (loss)</t>
        </is>
      </c>
      <c r="C341" s="169" t="n">
        <v>-5</v>
      </c>
      <c r="D341" s="169" t="n">
        <v>-40.2</v>
      </c>
      <c r="E341" s="169" t="n">
        <v>-185.3</v>
      </c>
      <c r="F341" s="169" t="n">
        <v>-194.4</v>
      </c>
      <c r="G341" s="169" t="n">
        <v>-177.3</v>
      </c>
      <c r="H341" s="169" t="n">
        <v>-216.8</v>
      </c>
      <c r="I341" s="169" t="n">
        <v>-225.5</v>
      </c>
      <c r="J341" s="29" t="n"/>
      <c r="K341" s="29" t="n"/>
      <c r="L341" s="29" t="n"/>
      <c r="M341" s="29" t="n"/>
      <c r="N341" s="29" t="n"/>
      <c r="O341" s="169" t="n">
        <v>-99.59999999999999</v>
      </c>
      <c r="P341" s="29" t="n"/>
      <c r="Q341" s="29" t="n"/>
      <c r="R341" s="29" t="n"/>
      <c r="S341" s="29" t="n"/>
      <c r="T341" s="29" t="n"/>
      <c r="U341" s="169" t="n">
        <v>-161.7</v>
      </c>
      <c r="V341" s="29" t="n"/>
      <c r="W341" s="29" t="n"/>
      <c r="X341" s="29" t="n"/>
      <c r="Y341" s="29" t="n"/>
      <c r="Z341" s="29" t="n"/>
      <c r="AA341" s="169" t="n">
        <v>-120.1</v>
      </c>
      <c r="AB341" s="29" t="n"/>
      <c r="AC341" s="29" t="n"/>
      <c r="AD341" s="29" t="n"/>
      <c r="AE341" s="29" t="n"/>
      <c r="AF341" s="29" t="n"/>
      <c r="AG341" s="169" t="n">
        <v>-139.4</v>
      </c>
      <c r="AH341" s="29" t="n"/>
      <c r="AI341" s="29" t="n"/>
      <c r="AJ341" s="29" t="n"/>
      <c r="AK341" s="29" t="n"/>
      <c r="AL341" s="29" t="n"/>
      <c r="AM341" s="169" t="n">
        <v>-149.5</v>
      </c>
      <c r="AN341" s="29" t="n"/>
      <c r="AO341" s="29" t="n"/>
      <c r="AP341" s="29" t="n"/>
      <c r="AQ341" s="29" t="n"/>
      <c r="AR341" s="29" t="n"/>
      <c r="AS341" s="169" t="n">
        <v>-172.2</v>
      </c>
      <c r="AT341" s="29" t="n"/>
      <c r="AU341" s="29" t="n"/>
      <c r="AV341" s="29" t="n"/>
      <c r="AW341" s="29" t="n"/>
      <c r="AX341" s="29" t="n"/>
      <c r="AY341" s="169" t="n">
        <v>-197.7</v>
      </c>
      <c r="AZ341" s="29" t="n"/>
      <c r="BA341" s="29" t="n"/>
      <c r="BB341" s="29" t="n"/>
      <c r="BC341" s="29" t="n"/>
      <c r="BD341" s="29" t="n"/>
      <c r="BE341" s="169" t="n">
        <v>-181.3</v>
      </c>
      <c r="BF341" s="29" t="n"/>
      <c r="BG341" s="29" t="n"/>
      <c r="BH341" s="29" t="n"/>
      <c r="BI341" s="29" t="n"/>
      <c r="BJ341" s="29" t="n"/>
      <c r="BK341" s="169" t="n">
        <v>-152.7</v>
      </c>
      <c r="BL341" s="29" t="n"/>
      <c r="BM341" s="29" t="n"/>
      <c r="BN341" s="29" t="n"/>
      <c r="BO341" s="29" t="n"/>
      <c r="BP341" s="29" t="n"/>
      <c r="BQ341" s="169" t="n">
        <v>-154.7</v>
      </c>
      <c r="BR341" s="29" t="n"/>
      <c r="BS341" s="29" t="n"/>
      <c r="BT341" s="29" t="n"/>
      <c r="BU341" s="29" t="n"/>
      <c r="BV341" s="29" t="n"/>
      <c r="BW341" s="169" t="n">
        <v>-143.8</v>
      </c>
      <c r="BX341" s="29" t="n"/>
      <c r="BY341" s="29" t="n"/>
      <c r="BZ341" s="29" t="n"/>
      <c r="CA341" s="29" t="n"/>
      <c r="CB341" s="29" t="n"/>
      <c r="CC341" s="169" t="n">
        <v>-127.4</v>
      </c>
      <c r="CD341" s="29" t="n"/>
      <c r="CE341" s="29" t="n"/>
      <c r="CF341" s="29" t="n"/>
      <c r="CG341" s="29" t="n"/>
      <c r="CH341" s="29" t="n"/>
      <c r="CI341" s="169" t="n">
        <v>-125.6</v>
      </c>
      <c r="CJ341" s="29" t="n"/>
      <c r="CK341" s="29" t="n"/>
      <c r="CL341" s="169" t="n">
        <v>-122.7</v>
      </c>
      <c r="CM341" s="31" t="n"/>
      <c r="CN341" s="31" t="n"/>
      <c r="CO341" s="171">
        <f>$CL$341</f>
        <v/>
      </c>
      <c r="CP341" s="171">
        <f>CO341</f>
        <v/>
      </c>
      <c r="CQ341" s="171">
        <f>CP341</f>
        <v/>
      </c>
      <c r="CR341" s="171">
        <f>CQ341</f>
        <v/>
      </c>
      <c r="CS341" s="171">
        <f>CR341</f>
        <v/>
      </c>
      <c r="CT341" s="22" t="n"/>
      <c r="CV341" s="6" t="n"/>
      <c r="CW341" s="6" t="n"/>
      <c r="CX341" s="6" t="n"/>
      <c r="CY341" s="6" t="n"/>
    </row>
    <row r="342" ht="15" customHeight="1">
      <c r="B342" s="12" t="inlineStr">
        <is>
          <t xml:space="preserve">  Treasury stock (legacy, pre-2009)</t>
        </is>
      </c>
      <c r="C342" s="169" t="n">
        <v>-1298.1</v>
      </c>
      <c r="D342" s="169" t="n">
        <v>0</v>
      </c>
      <c r="E342" s="169" t="n">
        <v>0</v>
      </c>
      <c r="F342" s="169" t="n">
        <v>0</v>
      </c>
      <c r="G342" s="30" t="n"/>
      <c r="H342" s="30" t="n"/>
      <c r="I342" s="30" t="n"/>
      <c r="J342" s="29" t="n"/>
      <c r="K342" s="29" t="n"/>
      <c r="L342" s="29" t="n"/>
      <c r="M342" s="29" t="n"/>
      <c r="N342" s="29" t="n"/>
      <c r="O342" s="30" t="n"/>
      <c r="P342" s="29" t="n"/>
      <c r="Q342" s="29" t="n"/>
      <c r="R342" s="29" t="n"/>
      <c r="S342" s="29" t="n"/>
      <c r="T342" s="29" t="n"/>
      <c r="U342" s="30" t="n"/>
      <c r="V342" s="29" t="n"/>
      <c r="W342" s="29" t="n"/>
      <c r="X342" s="29" t="n"/>
      <c r="Y342" s="29" t="n"/>
      <c r="Z342" s="29" t="n"/>
      <c r="AA342" s="30" t="n"/>
      <c r="AB342" s="29" t="n"/>
      <c r="AC342" s="29" t="n"/>
      <c r="AD342" s="29" t="n"/>
      <c r="AE342" s="29" t="n"/>
      <c r="AF342" s="29" t="n"/>
      <c r="AG342" s="30" t="n"/>
      <c r="AH342" s="29" t="n"/>
      <c r="AI342" s="29" t="n"/>
      <c r="AJ342" s="29" t="n"/>
      <c r="AK342" s="29" t="n"/>
      <c r="AL342" s="29" t="n"/>
      <c r="AM342" s="30" t="n"/>
      <c r="AN342" s="29" t="n"/>
      <c r="AO342" s="29" t="n"/>
      <c r="AP342" s="29" t="n"/>
      <c r="AQ342" s="29" t="n"/>
      <c r="AR342" s="29" t="n"/>
      <c r="AS342" s="30" t="n"/>
      <c r="AT342" s="29" t="n"/>
      <c r="AU342" s="29" t="n"/>
      <c r="AV342" s="29" t="n"/>
      <c r="AW342" s="29" t="n"/>
      <c r="AX342" s="29" t="n"/>
      <c r="AY342" s="30" t="n"/>
      <c r="AZ342" s="29" t="n"/>
      <c r="BA342" s="29" t="n"/>
      <c r="BB342" s="29" t="n"/>
      <c r="BC342" s="29" t="n"/>
      <c r="BD342" s="29" t="n"/>
      <c r="BE342" s="30" t="n"/>
      <c r="BF342" s="29" t="n"/>
      <c r="BG342" s="29" t="n"/>
      <c r="BH342" s="29" t="n"/>
      <c r="BI342" s="29" t="n"/>
      <c r="BJ342" s="29" t="n"/>
      <c r="BK342" s="30" t="n"/>
      <c r="BL342" s="29" t="n"/>
      <c r="BM342" s="29" t="n"/>
      <c r="BN342" s="29" t="n"/>
      <c r="BO342" s="29" t="n"/>
      <c r="BP342" s="29" t="n"/>
      <c r="BQ342" s="30" t="n"/>
      <c r="BR342" s="29" t="n"/>
      <c r="BS342" s="29" t="n"/>
      <c r="BT342" s="29" t="n"/>
      <c r="BU342" s="29" t="n"/>
      <c r="BV342" s="29" t="n"/>
      <c r="BW342" s="30" t="n"/>
      <c r="BX342" s="29" t="n"/>
      <c r="BY342" s="29" t="n"/>
      <c r="BZ342" s="29" t="n"/>
      <c r="CA342" s="29" t="n"/>
      <c r="CB342" s="29" t="n"/>
      <c r="CC342" s="30" t="n"/>
      <c r="CD342" s="29" t="n"/>
      <c r="CE342" s="29" t="n"/>
      <c r="CF342" s="29" t="n"/>
      <c r="CG342" s="29" t="n"/>
      <c r="CH342" s="29" t="n"/>
      <c r="CI342" s="30" t="n"/>
      <c r="CJ342" s="29" t="n"/>
      <c r="CK342" s="29" t="n"/>
      <c r="CL342" s="30" t="n"/>
      <c r="CM342" s="31" t="n"/>
      <c r="CN342" s="31" t="n"/>
      <c r="CO342" s="31" t="n"/>
      <c r="CP342" s="31" t="n"/>
      <c r="CQ342" s="31" t="n"/>
      <c r="CR342" s="31" t="n"/>
      <c r="CS342" s="31" t="n"/>
      <c r="CT342" s="22" t="n"/>
      <c r="CV342" s="6" t="n"/>
      <c r="CW342" s="6" t="n"/>
      <c r="CX342" s="6" t="n"/>
      <c r="CY342" s="6" t="n"/>
    </row>
    <row r="343" ht="15" customHeight="1">
      <c r="B343" s="18" t="inlineStr">
        <is>
          <t>Total Vulcan shareholders' equity</t>
        </is>
      </c>
      <c r="C343" s="173">
        <f>IF(ISNUMBER(C340),SUM(C338:C342),"")</f>
        <v/>
      </c>
      <c r="D343" s="173">
        <f>IF(ISNUMBER(D340),SUM(D338:D342),"")</f>
        <v/>
      </c>
      <c r="E343" s="173">
        <f>IF(ISNUMBER(E340),SUM(E338:E342),"")</f>
        <v/>
      </c>
      <c r="F343" s="173">
        <f>IF(ISNUMBER(F340),SUM(F338:F342),"")</f>
        <v/>
      </c>
      <c r="G343" s="173">
        <f>IF(ISNUMBER(G340),SUM(G338:G342),"")</f>
        <v/>
      </c>
      <c r="H343" s="173">
        <f>IF(ISNUMBER(H340),SUM(H338:H342),"")</f>
        <v/>
      </c>
      <c r="I343" s="173">
        <f>IF(ISNUMBER(I340),SUM(I338:I342),"")</f>
        <v/>
      </c>
      <c r="J343" s="19" t="n"/>
      <c r="K343" s="19" t="n"/>
      <c r="L343" s="19" t="n"/>
      <c r="M343" s="19" t="n"/>
      <c r="N343" s="19" t="n"/>
      <c r="O343" s="173">
        <f>IF(ISNUMBER(O340),SUM(O338:O342),"")</f>
        <v/>
      </c>
      <c r="P343" s="19" t="n"/>
      <c r="Q343" s="19" t="n"/>
      <c r="R343" s="19" t="n"/>
      <c r="S343" s="19" t="n"/>
      <c r="T343" s="19" t="n"/>
      <c r="U343" s="173">
        <f>IF(ISNUMBER(U340),SUM(U338:U342),"")</f>
        <v/>
      </c>
      <c r="V343" s="19" t="n"/>
      <c r="W343" s="19" t="n"/>
      <c r="X343" s="19" t="n"/>
      <c r="Y343" s="19" t="n"/>
      <c r="Z343" s="19" t="n"/>
      <c r="AA343" s="173">
        <f>IF(ISNUMBER(AA340),SUM(AA338:AA342),"")</f>
        <v/>
      </c>
      <c r="AB343" s="19" t="n"/>
      <c r="AC343" s="19" t="n"/>
      <c r="AD343" s="19" t="n"/>
      <c r="AE343" s="19" t="n"/>
      <c r="AF343" s="19" t="n"/>
      <c r="AG343" s="173">
        <f>IF(ISNUMBER(AG340),SUM(AG338:AG342),"")</f>
        <v/>
      </c>
      <c r="AH343" s="19" t="n"/>
      <c r="AI343" s="19" t="n"/>
      <c r="AJ343" s="19" t="n"/>
      <c r="AK343" s="19" t="n"/>
      <c r="AL343" s="19" t="n"/>
      <c r="AM343" s="173">
        <f>IF(ISNUMBER(AM340),SUM(AM338:AM342),"")</f>
        <v/>
      </c>
      <c r="AN343" s="19" t="n"/>
      <c r="AO343" s="19" t="n"/>
      <c r="AP343" s="19" t="n"/>
      <c r="AQ343" s="19" t="n"/>
      <c r="AR343" s="19" t="n"/>
      <c r="AS343" s="173">
        <f>IF(ISNUMBER(AS340),SUM(AS338:AS342),"")</f>
        <v/>
      </c>
      <c r="AT343" s="19" t="n"/>
      <c r="AU343" s="19" t="n"/>
      <c r="AV343" s="19" t="n"/>
      <c r="AW343" s="19" t="n"/>
      <c r="AX343" s="19" t="n"/>
      <c r="AY343" s="173">
        <f>IF(ISNUMBER(AY340),SUM(AY338:AY342),"")</f>
        <v/>
      </c>
      <c r="AZ343" s="19" t="n"/>
      <c r="BA343" s="19" t="n"/>
      <c r="BB343" s="19" t="n"/>
      <c r="BC343" s="19" t="n"/>
      <c r="BD343" s="19" t="n"/>
      <c r="BE343" s="173">
        <f>IF(ISNUMBER(BE340),SUM(BE338:BE342),"")</f>
        <v/>
      </c>
      <c r="BF343" s="19" t="n"/>
      <c r="BG343" s="19" t="n"/>
      <c r="BH343" s="19" t="n"/>
      <c r="BI343" s="19" t="n"/>
      <c r="BJ343" s="19" t="n"/>
      <c r="BK343" s="173">
        <f>IF(ISNUMBER(BK340),SUM(BK338:BK342),"")</f>
        <v/>
      </c>
      <c r="BL343" s="19" t="n"/>
      <c r="BM343" s="19" t="n"/>
      <c r="BN343" s="19" t="n"/>
      <c r="BO343" s="19" t="n"/>
      <c r="BP343" s="19" t="n"/>
      <c r="BQ343" s="173">
        <f>IF(ISNUMBER(BQ340),SUM(BQ338:BQ342),"")</f>
        <v/>
      </c>
      <c r="BR343" s="19" t="n"/>
      <c r="BS343" s="19" t="n"/>
      <c r="BT343" s="19" t="n"/>
      <c r="BU343" s="19" t="n"/>
      <c r="BV343" s="19" t="n"/>
      <c r="BW343" s="173">
        <f>IF(ISNUMBER(BW340),SUM(BW338:BW342),"")</f>
        <v/>
      </c>
      <c r="BX343" s="19" t="n"/>
      <c r="BY343" s="19" t="n"/>
      <c r="BZ343" s="19" t="n"/>
      <c r="CA343" s="19" t="n"/>
      <c r="CB343" s="19" t="n"/>
      <c r="CC343" s="173">
        <f>IF(ISNUMBER(CC340),SUM(CC338:CC342),"")</f>
        <v/>
      </c>
      <c r="CD343" s="19" t="n"/>
      <c r="CE343" s="19" t="n"/>
      <c r="CF343" s="19" t="n"/>
      <c r="CG343" s="19" t="n"/>
      <c r="CH343" s="19" t="n"/>
      <c r="CI343" s="173">
        <f>IF(ISNUMBER(CI340),SUM(CI338:CI342),"")</f>
        <v/>
      </c>
      <c r="CJ343" s="19" t="n"/>
      <c r="CK343" s="19" t="n"/>
      <c r="CL343" s="173">
        <f>IF(ISNUMBER(CL340),SUM(CL338:CL342),"")</f>
        <v/>
      </c>
      <c r="CM343" s="21" t="n"/>
      <c r="CN343" s="21" t="n"/>
      <c r="CO343" s="174">
        <f>IF(ISNUMBER(CO340),SUM(CO338:CO342),"")</f>
        <v/>
      </c>
      <c r="CP343" s="174">
        <f>IF(ISNUMBER(CP340),SUM(CP338:CP342),"")</f>
        <v/>
      </c>
      <c r="CQ343" s="174">
        <f>IF(ISNUMBER(CQ340),SUM(CQ338:CQ342),"")</f>
        <v/>
      </c>
      <c r="CR343" s="174">
        <f>IF(ISNUMBER(CR340),SUM(CR338:CR342),"")</f>
        <v/>
      </c>
      <c r="CS343" s="174">
        <f>IF(ISNUMBER(CS340),SUM(CS338:CS342),"")</f>
        <v/>
      </c>
      <c r="CT343" s="22" t="n"/>
      <c r="CV343" s="164">
        <f>IFERROR((CS343/CI343)^(1/5)-1,"n/m")</f>
        <v/>
      </c>
      <c r="CW343" s="164">
        <f>IFERROR((CI343/BE343)^(1/5)-1,"n/m")</f>
        <v/>
      </c>
      <c r="CX343" s="164">
        <f>IFERROR((CI343/AA343)^(1/10)-1,"n/m")</f>
        <v/>
      </c>
      <c r="CY343" s="164">
        <f>IFERROR((CI343/C343)^(1/19)-1,"n/m")</f>
        <v/>
      </c>
    </row>
    <row r="344" ht="15" customHeight="1">
      <c r="B344" s="12" t="inlineStr">
        <is>
          <t xml:space="preserve">  Noncontrolling interest</t>
        </is>
      </c>
      <c r="C344" s="30" t="n"/>
      <c r="D344" s="169" t="n">
        <v>0.4</v>
      </c>
      <c r="E344" s="169" t="n">
        <v>0.4</v>
      </c>
      <c r="F344" s="30" t="n"/>
      <c r="G344" s="169" t="n">
        <v>0</v>
      </c>
      <c r="H344" s="169" t="n">
        <v>0</v>
      </c>
      <c r="I344" s="169" t="n">
        <v>0</v>
      </c>
      <c r="J344" s="29" t="n"/>
      <c r="K344" s="29" t="n"/>
      <c r="L344" s="29" t="n"/>
      <c r="M344" s="29" t="n"/>
      <c r="N344" s="29" t="n"/>
      <c r="O344" s="169" t="n">
        <v>0</v>
      </c>
      <c r="P344" s="29" t="n"/>
      <c r="Q344" s="29" t="n"/>
      <c r="R344" s="29" t="n"/>
      <c r="S344" s="29" t="n"/>
      <c r="T344" s="29" t="n"/>
      <c r="U344" s="169" t="n">
        <v>0</v>
      </c>
      <c r="V344" s="29" t="n"/>
      <c r="W344" s="29" t="n"/>
      <c r="X344" s="29" t="n"/>
      <c r="Y344" s="29" t="n"/>
      <c r="Z344" s="29" t="n"/>
      <c r="AA344" s="169" t="n">
        <v>0</v>
      </c>
      <c r="AB344" s="29" t="n"/>
      <c r="AC344" s="29" t="n"/>
      <c r="AD344" s="29" t="n"/>
      <c r="AE344" s="29" t="n"/>
      <c r="AF344" s="29" t="n"/>
      <c r="AG344" s="169" t="n">
        <v>0</v>
      </c>
      <c r="AH344" s="29" t="n"/>
      <c r="AI344" s="29" t="n"/>
      <c r="AJ344" s="29" t="n"/>
      <c r="AK344" s="29" t="n"/>
      <c r="AL344" s="29" t="n"/>
      <c r="AM344" s="169" t="n">
        <v>0</v>
      </c>
      <c r="AN344" s="29" t="n"/>
      <c r="AO344" s="29" t="n"/>
      <c r="AP344" s="29" t="n"/>
      <c r="AQ344" s="29" t="n"/>
      <c r="AR344" s="29" t="n"/>
      <c r="AS344" s="169" t="n">
        <v>0</v>
      </c>
      <c r="AT344" s="29" t="n"/>
      <c r="AU344" s="29" t="n"/>
      <c r="AV344" s="29" t="n"/>
      <c r="AW344" s="29" t="n"/>
      <c r="AX344" s="29" t="n"/>
      <c r="AY344" s="169" t="n">
        <v>0</v>
      </c>
      <c r="AZ344" s="29" t="n"/>
      <c r="BA344" s="29" t="n"/>
      <c r="BB344" s="29" t="n"/>
      <c r="BC344" s="29" t="n"/>
      <c r="BD344" s="29" t="n"/>
      <c r="BE344" s="169" t="n">
        <v>0</v>
      </c>
      <c r="BF344" s="29" t="n"/>
      <c r="BG344" s="29" t="n"/>
      <c r="BH344" s="29" t="n"/>
      <c r="BI344" s="29" t="n"/>
      <c r="BJ344" s="29" t="n"/>
      <c r="BK344" s="169" t="n">
        <v>22.7</v>
      </c>
      <c r="BL344" s="29" t="n"/>
      <c r="BM344" s="29" t="n"/>
      <c r="BN344" s="29" t="n"/>
      <c r="BO344" s="29" t="n"/>
      <c r="BP344" s="29" t="n"/>
      <c r="BQ344" s="169" t="n">
        <v>23.6</v>
      </c>
      <c r="BR344" s="29" t="n"/>
      <c r="BS344" s="29" t="n"/>
      <c r="BT344" s="29" t="n"/>
      <c r="BU344" s="29" t="n"/>
      <c r="BV344" s="29" t="n"/>
      <c r="BW344" s="169" t="n">
        <v>24.5</v>
      </c>
      <c r="BX344" s="29" t="n"/>
      <c r="BY344" s="29" t="n"/>
      <c r="BZ344" s="29" t="n"/>
      <c r="CA344" s="29" t="n"/>
      <c r="CB344" s="29" t="n"/>
      <c r="CC344" s="169" t="n">
        <v>23.9</v>
      </c>
      <c r="CD344" s="29" t="n"/>
      <c r="CE344" s="29" t="n"/>
      <c r="CF344" s="29" t="n"/>
      <c r="CG344" s="29" t="n"/>
      <c r="CH344" s="29" t="n"/>
      <c r="CI344" s="169" t="n">
        <v>23.8</v>
      </c>
      <c r="CJ344" s="29" t="n"/>
      <c r="CK344" s="29" t="n"/>
      <c r="CL344" s="169" t="n">
        <v>23.9</v>
      </c>
      <c r="CM344" s="31" t="n"/>
      <c r="CN344" s="31" t="n"/>
      <c r="CO344" s="171">
        <f>$CL$344+(CO154-$CL$154)</f>
        <v/>
      </c>
      <c r="CP344" s="171">
        <f>CO344+CP154</f>
        <v/>
      </c>
      <c r="CQ344" s="171">
        <f>CP344+CQ154</f>
        <v/>
      </c>
      <c r="CR344" s="171">
        <f>CQ344+CR154</f>
        <v/>
      </c>
      <c r="CS344" s="171">
        <f>CR344+CS154</f>
        <v/>
      </c>
      <c r="CT344" s="22" t="n"/>
      <c r="CV344" s="6" t="n"/>
      <c r="CW344" s="6" t="n"/>
      <c r="CX344" s="6" t="n"/>
      <c r="CY344" s="6" t="n"/>
    </row>
    <row r="345" ht="15" customHeight="1">
      <c r="B345" s="18" t="inlineStr">
        <is>
          <t>Total equity</t>
        </is>
      </c>
      <c r="C345" s="173">
        <f>IF(ISNUMBER(C343),C343+N(C344),"")</f>
        <v/>
      </c>
      <c r="D345" s="173">
        <f>IF(ISNUMBER(D343),D343+N(D344),"")</f>
        <v/>
      </c>
      <c r="E345" s="173">
        <f>IF(ISNUMBER(E343),E343+N(E344),"")</f>
        <v/>
      </c>
      <c r="F345" s="173">
        <f>IF(ISNUMBER(F343),F343+N(F344),"")</f>
        <v/>
      </c>
      <c r="G345" s="173">
        <f>IF(ISNUMBER(G343),G343+N(G344),"")</f>
        <v/>
      </c>
      <c r="H345" s="173">
        <f>IF(ISNUMBER(H343),H343+N(H344),"")</f>
        <v/>
      </c>
      <c r="I345" s="173">
        <f>IF(ISNUMBER(I343),I343+N(I344),"")</f>
        <v/>
      </c>
      <c r="J345" s="19" t="n"/>
      <c r="K345" s="19" t="n"/>
      <c r="L345" s="19" t="n"/>
      <c r="M345" s="19" t="n"/>
      <c r="N345" s="19" t="n"/>
      <c r="O345" s="173">
        <f>IF(ISNUMBER(O343),O343+N(O344),"")</f>
        <v/>
      </c>
      <c r="P345" s="19" t="n"/>
      <c r="Q345" s="19" t="n"/>
      <c r="R345" s="19" t="n"/>
      <c r="S345" s="19" t="n"/>
      <c r="T345" s="19" t="n"/>
      <c r="U345" s="173">
        <f>IF(ISNUMBER(U343),U343+N(U344),"")</f>
        <v/>
      </c>
      <c r="V345" s="19" t="n"/>
      <c r="W345" s="19" t="n"/>
      <c r="X345" s="19" t="n"/>
      <c r="Y345" s="19" t="n"/>
      <c r="Z345" s="19" t="n"/>
      <c r="AA345" s="173">
        <f>IF(ISNUMBER(AA343),AA343+N(AA344),"")</f>
        <v/>
      </c>
      <c r="AB345" s="19" t="n"/>
      <c r="AC345" s="19" t="n"/>
      <c r="AD345" s="19" t="n"/>
      <c r="AE345" s="19" t="n"/>
      <c r="AF345" s="19" t="n"/>
      <c r="AG345" s="173">
        <f>IF(ISNUMBER(AG343),AG343+N(AG344),"")</f>
        <v/>
      </c>
      <c r="AH345" s="19" t="n"/>
      <c r="AI345" s="19" t="n"/>
      <c r="AJ345" s="19" t="n"/>
      <c r="AK345" s="19" t="n"/>
      <c r="AL345" s="19" t="n"/>
      <c r="AM345" s="173">
        <f>IF(ISNUMBER(AM343),AM343+N(AM344),"")</f>
        <v/>
      </c>
      <c r="AN345" s="19" t="n"/>
      <c r="AO345" s="19" t="n"/>
      <c r="AP345" s="19" t="n"/>
      <c r="AQ345" s="19" t="n"/>
      <c r="AR345" s="19" t="n"/>
      <c r="AS345" s="173">
        <f>IF(ISNUMBER(AS343),AS343+N(AS344),"")</f>
        <v/>
      </c>
      <c r="AT345" s="19" t="n"/>
      <c r="AU345" s="19" t="n"/>
      <c r="AV345" s="19" t="n"/>
      <c r="AW345" s="19" t="n"/>
      <c r="AX345" s="19" t="n"/>
      <c r="AY345" s="173">
        <f>IF(ISNUMBER(AY343),AY343+N(AY344),"")</f>
        <v/>
      </c>
      <c r="AZ345" s="19" t="n"/>
      <c r="BA345" s="19" t="n"/>
      <c r="BB345" s="19" t="n"/>
      <c r="BC345" s="19" t="n"/>
      <c r="BD345" s="19" t="n"/>
      <c r="BE345" s="173">
        <f>IF(ISNUMBER(BE343),BE343+N(BE344),"")</f>
        <v/>
      </c>
      <c r="BF345" s="19" t="n"/>
      <c r="BG345" s="19" t="n"/>
      <c r="BH345" s="19" t="n"/>
      <c r="BI345" s="19" t="n"/>
      <c r="BJ345" s="19" t="n"/>
      <c r="BK345" s="173">
        <f>IF(ISNUMBER(BK343),BK343+N(BK344),"")</f>
        <v/>
      </c>
      <c r="BL345" s="19" t="n"/>
      <c r="BM345" s="19" t="n"/>
      <c r="BN345" s="19" t="n"/>
      <c r="BO345" s="19" t="n"/>
      <c r="BP345" s="19" t="n"/>
      <c r="BQ345" s="173">
        <f>IF(ISNUMBER(BQ343),BQ343+N(BQ344),"")</f>
        <v/>
      </c>
      <c r="BR345" s="19" t="n"/>
      <c r="BS345" s="19" t="n"/>
      <c r="BT345" s="19" t="n"/>
      <c r="BU345" s="19" t="n"/>
      <c r="BV345" s="19" t="n"/>
      <c r="BW345" s="173">
        <f>IF(ISNUMBER(BW343),BW343+N(BW344),"")</f>
        <v/>
      </c>
      <c r="BX345" s="19" t="n"/>
      <c r="BY345" s="19" t="n"/>
      <c r="BZ345" s="19" t="n"/>
      <c r="CA345" s="19" t="n"/>
      <c r="CB345" s="19" t="n"/>
      <c r="CC345" s="173">
        <f>IF(ISNUMBER(CC343),CC343+N(CC344),"")</f>
        <v/>
      </c>
      <c r="CD345" s="19" t="n"/>
      <c r="CE345" s="19" t="n"/>
      <c r="CF345" s="19" t="n"/>
      <c r="CG345" s="19" t="n"/>
      <c r="CH345" s="19" t="n"/>
      <c r="CI345" s="173">
        <f>IF(ISNUMBER(CI343),CI343+N(CI344),"")</f>
        <v/>
      </c>
      <c r="CJ345" s="19" t="n"/>
      <c r="CK345" s="19" t="n"/>
      <c r="CL345" s="173">
        <f>IF(ISNUMBER(CL343),CL343+N(CL344),"")</f>
        <v/>
      </c>
      <c r="CM345" s="21" t="n"/>
      <c r="CN345" s="21" t="n"/>
      <c r="CO345" s="174">
        <f>IF(ISNUMBER(CO343),CO343+N(CO344),"")</f>
        <v/>
      </c>
      <c r="CP345" s="174">
        <f>IF(ISNUMBER(CP343),CP343+N(CP344),"")</f>
        <v/>
      </c>
      <c r="CQ345" s="174">
        <f>IF(ISNUMBER(CQ343),CQ343+N(CQ344),"")</f>
        <v/>
      </c>
      <c r="CR345" s="174">
        <f>IF(ISNUMBER(CR343),CR343+N(CR344),"")</f>
        <v/>
      </c>
      <c r="CS345" s="174">
        <f>IF(ISNUMBER(CS343),CS343+N(CS344),"")</f>
        <v/>
      </c>
      <c r="CT345" s="22" t="n"/>
      <c r="CV345" s="6" t="n"/>
      <c r="CW345" s="6" t="n"/>
      <c r="CX345" s="6" t="n"/>
      <c r="CY345" s="6" t="n"/>
    </row>
    <row r="346" ht="15" customHeight="1">
      <c r="B346" s="33" t="inlineStr">
        <is>
          <t>TOTAL LIABILITIES AND EQUITY</t>
        </is>
      </c>
      <c r="C346" s="175">
        <f>IF(ISNUMBER(C336),C336+C345,"")</f>
        <v/>
      </c>
      <c r="D346" s="175">
        <f>IF(ISNUMBER(D336),D336+D345,"")</f>
        <v/>
      </c>
      <c r="E346" s="175">
        <f>IF(ISNUMBER(E336),E336+E345,"")</f>
        <v/>
      </c>
      <c r="F346" s="175">
        <f>IF(ISNUMBER(F336),F336+F345,"")</f>
        <v/>
      </c>
      <c r="G346" s="175">
        <f>IF(ISNUMBER(G336),G336+G345,"")</f>
        <v/>
      </c>
      <c r="H346" s="175">
        <f>IF(ISNUMBER(H336),H336+H345,"")</f>
        <v/>
      </c>
      <c r="I346" s="175">
        <f>IF(ISNUMBER(I336),I336+I345,"")</f>
        <v/>
      </c>
      <c r="J346" s="19" t="n"/>
      <c r="K346" s="19" t="n"/>
      <c r="L346" s="19" t="n"/>
      <c r="M346" s="19" t="n"/>
      <c r="N346" s="19" t="n"/>
      <c r="O346" s="175">
        <f>IF(ISNUMBER(O336),O336+O345,"")</f>
        <v/>
      </c>
      <c r="P346" s="19" t="n"/>
      <c r="Q346" s="19" t="n"/>
      <c r="R346" s="19" t="n"/>
      <c r="S346" s="19" t="n"/>
      <c r="T346" s="19" t="n"/>
      <c r="U346" s="175">
        <f>IF(ISNUMBER(U336),U336+U345,"")</f>
        <v/>
      </c>
      <c r="V346" s="19" t="n"/>
      <c r="W346" s="19" t="n"/>
      <c r="X346" s="19" t="n"/>
      <c r="Y346" s="19" t="n"/>
      <c r="Z346" s="19" t="n"/>
      <c r="AA346" s="175">
        <f>IF(ISNUMBER(AA336),AA336+AA345,"")</f>
        <v/>
      </c>
      <c r="AB346" s="19" t="n"/>
      <c r="AC346" s="19" t="n"/>
      <c r="AD346" s="19" t="n"/>
      <c r="AE346" s="19" t="n"/>
      <c r="AF346" s="19" t="n"/>
      <c r="AG346" s="175">
        <f>IF(ISNUMBER(AG336),AG336+AG345,"")</f>
        <v/>
      </c>
      <c r="AH346" s="19" t="n"/>
      <c r="AI346" s="19" t="n"/>
      <c r="AJ346" s="19" t="n"/>
      <c r="AK346" s="19" t="n"/>
      <c r="AL346" s="19" t="n"/>
      <c r="AM346" s="175">
        <f>IF(ISNUMBER(AM336),AM336+AM345,"")</f>
        <v/>
      </c>
      <c r="AN346" s="19" t="n"/>
      <c r="AO346" s="19" t="n"/>
      <c r="AP346" s="19" t="n"/>
      <c r="AQ346" s="19" t="n"/>
      <c r="AR346" s="19" t="n"/>
      <c r="AS346" s="175">
        <f>IF(ISNUMBER(AS336),AS336+AS345,"")</f>
        <v/>
      </c>
      <c r="AT346" s="19" t="n"/>
      <c r="AU346" s="19" t="n"/>
      <c r="AV346" s="19" t="n"/>
      <c r="AW346" s="19" t="n"/>
      <c r="AX346" s="19" t="n"/>
      <c r="AY346" s="175">
        <f>IF(ISNUMBER(AY336),AY336+AY345,"")</f>
        <v/>
      </c>
      <c r="AZ346" s="19" t="n"/>
      <c r="BA346" s="19" t="n"/>
      <c r="BB346" s="19" t="n"/>
      <c r="BC346" s="19" t="n"/>
      <c r="BD346" s="19" t="n"/>
      <c r="BE346" s="175">
        <f>IF(ISNUMBER(BE336),BE336+BE345,"")</f>
        <v/>
      </c>
      <c r="BF346" s="19" t="n"/>
      <c r="BG346" s="19" t="n"/>
      <c r="BH346" s="19" t="n"/>
      <c r="BI346" s="19" t="n"/>
      <c r="BJ346" s="19" t="n"/>
      <c r="BK346" s="175">
        <f>IF(ISNUMBER(BK336),BK336+BK345,"")</f>
        <v/>
      </c>
      <c r="BL346" s="19" t="n"/>
      <c r="BM346" s="19" t="n"/>
      <c r="BN346" s="19" t="n"/>
      <c r="BO346" s="19" t="n"/>
      <c r="BP346" s="19" t="n"/>
      <c r="BQ346" s="175">
        <f>IF(ISNUMBER(BQ336),BQ336+BQ345,"")</f>
        <v/>
      </c>
      <c r="BR346" s="19" t="n"/>
      <c r="BS346" s="19" t="n"/>
      <c r="BT346" s="19" t="n"/>
      <c r="BU346" s="19" t="n"/>
      <c r="BV346" s="19" t="n"/>
      <c r="BW346" s="175">
        <f>IF(ISNUMBER(BW336),BW336+BW345,"")</f>
        <v/>
      </c>
      <c r="BX346" s="19" t="n"/>
      <c r="BY346" s="19" t="n"/>
      <c r="BZ346" s="19" t="n"/>
      <c r="CA346" s="19" t="n"/>
      <c r="CB346" s="19" t="n"/>
      <c r="CC346" s="175">
        <f>IF(ISNUMBER(CC336),CC336+CC345,"")</f>
        <v/>
      </c>
      <c r="CD346" s="19" t="n"/>
      <c r="CE346" s="19" t="n"/>
      <c r="CF346" s="19" t="n"/>
      <c r="CG346" s="19" t="n"/>
      <c r="CH346" s="19" t="n"/>
      <c r="CI346" s="175">
        <f>IF(ISNUMBER(CI336),CI336+CI345,"")</f>
        <v/>
      </c>
      <c r="CJ346" s="19" t="n"/>
      <c r="CK346" s="19" t="n"/>
      <c r="CL346" s="173">
        <f>IF(ISNUMBER(CL336),CL336+CL345,"")</f>
        <v/>
      </c>
      <c r="CM346" s="34" t="n"/>
      <c r="CN346" s="34" t="n"/>
      <c r="CO346" s="175">
        <f>IF(ISNUMBER(CO336),CO336+CO345,"")</f>
        <v/>
      </c>
      <c r="CP346" s="175">
        <f>IF(ISNUMBER(CP336),CP336+CP345,"")</f>
        <v/>
      </c>
      <c r="CQ346" s="175">
        <f>IF(ISNUMBER(CQ336),CQ336+CQ345,"")</f>
        <v/>
      </c>
      <c r="CR346" s="175">
        <f>IF(ISNUMBER(CR336),CR336+CR345,"")</f>
        <v/>
      </c>
      <c r="CS346" s="175">
        <f>IF(ISNUMBER(CS336),CS336+CS345,"")</f>
        <v/>
      </c>
      <c r="CT346" s="22" t="n"/>
      <c r="CV346" s="6" t="n"/>
      <c r="CW346" s="6" t="n"/>
      <c r="CX346" s="6" t="n"/>
      <c r="CY346" s="6" t="n"/>
    </row>
    <row r="347" ht="15" customHeight="1">
      <c r="B347" s="12" t="n"/>
      <c r="CM347" s="6" t="n"/>
      <c r="CN347" s="6" t="n"/>
      <c r="CO347" s="6" t="n"/>
      <c r="CP347" s="6" t="n"/>
      <c r="CQ347" s="6" t="n"/>
      <c r="CR347" s="6" t="n"/>
      <c r="CS347" s="6" t="n"/>
      <c r="CT347" s="6" t="n"/>
    </row>
    <row r="348" ht="15" customHeight="1">
      <c r="B348" s="38" t="inlineStr">
        <is>
          <t>BS tie-out check (TA − TL&amp;E)</t>
        </is>
      </c>
      <c r="C348" s="176">
        <f>IF(ISNUMBER(C321),ROUND(C321-C346,1),"")</f>
        <v/>
      </c>
      <c r="D348" s="176">
        <f>IF(ISNUMBER(D321),ROUND(D321-D346,1),"")</f>
        <v/>
      </c>
      <c r="E348" s="176">
        <f>IF(ISNUMBER(E321),ROUND(E321-E346,1),"")</f>
        <v/>
      </c>
      <c r="F348" s="176">
        <f>IF(ISNUMBER(F321),ROUND(F321-F346,1),"")</f>
        <v/>
      </c>
      <c r="G348" s="176">
        <f>IF(ISNUMBER(G321),ROUND(G321-G346,1),"")</f>
        <v/>
      </c>
      <c r="H348" s="176">
        <f>IF(ISNUMBER(H321),ROUND(H321-H346,1),"")</f>
        <v/>
      </c>
      <c r="I348" s="176">
        <f>IF(ISNUMBER(I321),ROUND(I321-I346,1),"")</f>
        <v/>
      </c>
      <c r="J348" s="29" t="n"/>
      <c r="K348" s="29" t="n"/>
      <c r="L348" s="29" t="n"/>
      <c r="M348" s="29" t="n"/>
      <c r="N348" s="29" t="n"/>
      <c r="O348" s="176">
        <f>IF(ISNUMBER(O321),ROUND(O321-O346,1),"")</f>
        <v/>
      </c>
      <c r="P348" s="29" t="n"/>
      <c r="Q348" s="29" t="n"/>
      <c r="R348" s="29" t="n"/>
      <c r="S348" s="29" t="n"/>
      <c r="T348" s="29" t="n"/>
      <c r="U348" s="176">
        <f>IF(ISNUMBER(U321),ROUND(U321-U346,1),"")</f>
        <v/>
      </c>
      <c r="V348" s="29" t="n"/>
      <c r="W348" s="29" t="n"/>
      <c r="X348" s="29" t="n"/>
      <c r="Y348" s="29" t="n"/>
      <c r="Z348" s="29" t="n"/>
      <c r="AA348" s="176">
        <f>IF(ISNUMBER(AA321),ROUND(AA321-AA346,1),"")</f>
        <v/>
      </c>
      <c r="AB348" s="29" t="n"/>
      <c r="AC348" s="29" t="n"/>
      <c r="AD348" s="29" t="n"/>
      <c r="AE348" s="29" t="n"/>
      <c r="AF348" s="29" t="n"/>
      <c r="AG348" s="176">
        <f>IF(ISNUMBER(AG321),ROUND(AG321-AG346,1),"")</f>
        <v/>
      </c>
      <c r="AH348" s="29" t="n"/>
      <c r="AI348" s="29" t="n"/>
      <c r="AJ348" s="29" t="n"/>
      <c r="AK348" s="29" t="n"/>
      <c r="AL348" s="29" t="n"/>
      <c r="AM348" s="176">
        <f>IF(ISNUMBER(AM321),ROUND(AM321-AM346,1),"")</f>
        <v/>
      </c>
      <c r="AN348" s="29" t="n"/>
      <c r="AO348" s="29" t="n"/>
      <c r="AP348" s="29" t="n"/>
      <c r="AQ348" s="29" t="n"/>
      <c r="AR348" s="29" t="n"/>
      <c r="AS348" s="176">
        <f>IF(ISNUMBER(AS321),ROUND(AS321-AS346,1),"")</f>
        <v/>
      </c>
      <c r="AT348" s="29" t="n"/>
      <c r="AU348" s="29" t="n"/>
      <c r="AV348" s="29" t="n"/>
      <c r="AW348" s="29" t="n"/>
      <c r="AX348" s="29" t="n"/>
      <c r="AY348" s="176">
        <f>IF(ISNUMBER(AY321),ROUND(AY321-AY346,1),"")</f>
        <v/>
      </c>
      <c r="AZ348" s="29" t="n"/>
      <c r="BA348" s="29" t="n"/>
      <c r="BB348" s="29" t="n"/>
      <c r="BC348" s="29" t="n"/>
      <c r="BD348" s="29" t="n"/>
      <c r="BE348" s="176">
        <f>IF(ISNUMBER(BE321),ROUND(BE321-BE346,1),"")</f>
        <v/>
      </c>
      <c r="BF348" s="29" t="n"/>
      <c r="BG348" s="29" t="n"/>
      <c r="BH348" s="29" t="n"/>
      <c r="BI348" s="29" t="n"/>
      <c r="BJ348" s="29" t="n"/>
      <c r="BK348" s="176">
        <f>IF(ISNUMBER(BK321),ROUND(BK321-BK346,1),"")</f>
        <v/>
      </c>
      <c r="BL348" s="29" t="n"/>
      <c r="BM348" s="29" t="n"/>
      <c r="BN348" s="29" t="n"/>
      <c r="BO348" s="29" t="n"/>
      <c r="BP348" s="29" t="n"/>
      <c r="BQ348" s="176">
        <f>IF(ISNUMBER(BQ321),ROUND(BQ321-BQ346,1),"")</f>
        <v/>
      </c>
      <c r="BR348" s="29" t="n"/>
      <c r="BS348" s="29" t="n"/>
      <c r="BT348" s="29" t="n"/>
      <c r="BU348" s="29" t="n"/>
      <c r="BV348" s="29" t="n"/>
      <c r="BW348" s="176">
        <f>IF(ISNUMBER(BW321),ROUND(BW321-BW346,1),"")</f>
        <v/>
      </c>
      <c r="BX348" s="29" t="n"/>
      <c r="BY348" s="29" t="n"/>
      <c r="BZ348" s="29" t="n"/>
      <c r="CA348" s="29" t="n"/>
      <c r="CB348" s="29" t="n"/>
      <c r="CC348" s="176">
        <f>IF(ISNUMBER(CC321),ROUND(CC321-CC346,1),"")</f>
        <v/>
      </c>
      <c r="CD348" s="29" t="n"/>
      <c r="CE348" s="29" t="n"/>
      <c r="CF348" s="29" t="n"/>
      <c r="CG348" s="29" t="n"/>
      <c r="CH348" s="29" t="n"/>
      <c r="CI348" s="176">
        <f>IF(ISNUMBER(CI321),ROUND(CI321-CI346,1),"")</f>
        <v/>
      </c>
      <c r="CJ348" s="29" t="n"/>
      <c r="CK348" s="29" t="n"/>
      <c r="CL348" s="176">
        <f>IF(ISNUMBER(CL321),ROUND(CL321-CL346,1),"")</f>
        <v/>
      </c>
      <c r="CM348" s="31" t="n"/>
      <c r="CN348" s="31" t="n"/>
      <c r="CO348" s="188">
        <f>IF(ISNUMBER(CO321),ROUND(CO321-CO346,1),"")</f>
        <v/>
      </c>
      <c r="CP348" s="188">
        <f>IF(ISNUMBER(CP321),ROUND(CP321-CP346,1),"")</f>
        <v/>
      </c>
      <c r="CQ348" s="188">
        <f>IF(ISNUMBER(CQ321),ROUND(CQ321-CQ346,1),"")</f>
        <v/>
      </c>
      <c r="CR348" s="188">
        <f>IF(ISNUMBER(CR321),ROUND(CR321-CR346,1),"")</f>
        <v/>
      </c>
      <c r="CS348" s="188">
        <f>IF(ISNUMBER(CS321),ROUND(CS321-CS346,1),"")</f>
        <v/>
      </c>
      <c r="CT348" s="22" t="n"/>
      <c r="CV348" s="6" t="n"/>
      <c r="CW348" s="6" t="n"/>
      <c r="CX348" s="6" t="n"/>
      <c r="CY348" s="6" t="n"/>
    </row>
    <row r="349" ht="15" customHeight="1">
      <c r="B349" s="38" t="inlineStr">
        <is>
          <t xml:space="preserve">  Check: model total assets vs reported (should be 0)</t>
        </is>
      </c>
      <c r="C349" s="176">
        <f>IF(ISNUMBER(C350),ROUND(C321-C350,1),"")</f>
        <v/>
      </c>
      <c r="D349" s="176">
        <f>IF(ISNUMBER(D350),ROUND(D321-D350,1),"")</f>
        <v/>
      </c>
      <c r="E349" s="176">
        <f>IF(ISNUMBER(E350),ROUND(E321-E350,1),"")</f>
        <v/>
      </c>
      <c r="F349" s="176">
        <f>IF(ISNUMBER(F350),ROUND(F321-F350,1),"")</f>
        <v/>
      </c>
      <c r="G349" s="176">
        <f>IF(ISNUMBER(G350),ROUND(G321-G350,1),"")</f>
        <v/>
      </c>
      <c r="H349" s="176">
        <f>IF(ISNUMBER(H350),ROUND(H321-H350,1),"")</f>
        <v/>
      </c>
      <c r="I349" s="176">
        <f>IF(ISNUMBER(I350),ROUND(I321-I350,1),"")</f>
        <v/>
      </c>
      <c r="J349" s="29" t="n"/>
      <c r="K349" s="29" t="n"/>
      <c r="L349" s="29" t="n"/>
      <c r="M349" s="29" t="n"/>
      <c r="N349" s="29" t="n"/>
      <c r="O349" s="176">
        <f>IF(ISNUMBER(O350),ROUND(O321-O350,1),"")</f>
        <v/>
      </c>
      <c r="P349" s="29" t="n"/>
      <c r="Q349" s="29" t="n"/>
      <c r="R349" s="29" t="n"/>
      <c r="S349" s="29" t="n"/>
      <c r="T349" s="29" t="n"/>
      <c r="U349" s="176">
        <f>IF(ISNUMBER(U350),ROUND(U321-U350,1),"")</f>
        <v/>
      </c>
      <c r="V349" s="29" t="n"/>
      <c r="W349" s="29" t="n"/>
      <c r="X349" s="29" t="n"/>
      <c r="Y349" s="29" t="n"/>
      <c r="Z349" s="29" t="n"/>
      <c r="AA349" s="176">
        <f>IF(ISNUMBER(AA350),ROUND(AA321-AA350,1),"")</f>
        <v/>
      </c>
      <c r="AB349" s="29" t="n"/>
      <c r="AC349" s="29" t="n"/>
      <c r="AD349" s="29" t="n"/>
      <c r="AE349" s="29" t="n"/>
      <c r="AF349" s="29" t="n"/>
      <c r="AG349" s="176">
        <f>IF(ISNUMBER(AG350),ROUND(AG321-AG350,1),"")</f>
        <v/>
      </c>
      <c r="AH349" s="29" t="n"/>
      <c r="AI349" s="29" t="n"/>
      <c r="AJ349" s="29" t="n"/>
      <c r="AK349" s="29" t="n"/>
      <c r="AL349" s="29" t="n"/>
      <c r="AM349" s="176">
        <f>IF(ISNUMBER(AM350),ROUND(AM321-AM350,1),"")</f>
        <v/>
      </c>
      <c r="AN349" s="29" t="n"/>
      <c r="AO349" s="29" t="n"/>
      <c r="AP349" s="29" t="n"/>
      <c r="AQ349" s="29" t="n"/>
      <c r="AR349" s="29" t="n"/>
      <c r="AS349" s="176">
        <f>IF(ISNUMBER(AS350),ROUND(AS321-AS350,1),"")</f>
        <v/>
      </c>
      <c r="AT349" s="29" t="n"/>
      <c r="AU349" s="29" t="n"/>
      <c r="AV349" s="29" t="n"/>
      <c r="AW349" s="29" t="n"/>
      <c r="AX349" s="29" t="n"/>
      <c r="AY349" s="176">
        <f>IF(ISNUMBER(AY350),ROUND(AY321-AY350,1),"")</f>
        <v/>
      </c>
      <c r="AZ349" s="29" t="n"/>
      <c r="BA349" s="29" t="n"/>
      <c r="BB349" s="29" t="n"/>
      <c r="BC349" s="29" t="n"/>
      <c r="BD349" s="29" t="n"/>
      <c r="BE349" s="176">
        <f>IF(ISNUMBER(BE350),ROUND(BE321-BE350,1),"")</f>
        <v/>
      </c>
      <c r="BF349" s="29" t="n"/>
      <c r="BG349" s="29" t="n"/>
      <c r="BH349" s="29" t="n"/>
      <c r="BI349" s="29" t="n"/>
      <c r="BJ349" s="29" t="n"/>
      <c r="BK349" s="176">
        <f>IF(ISNUMBER(BK350),ROUND(BK321-BK350,1),"")</f>
        <v/>
      </c>
      <c r="BL349" s="29" t="n"/>
      <c r="BM349" s="29" t="n"/>
      <c r="BN349" s="29" t="n"/>
      <c r="BO349" s="29" t="n"/>
      <c r="BP349" s="29" t="n"/>
      <c r="BQ349" s="176">
        <f>IF(ISNUMBER(BQ350),ROUND(BQ321-BQ350,1),"")</f>
        <v/>
      </c>
      <c r="BR349" s="29" t="n"/>
      <c r="BS349" s="29" t="n"/>
      <c r="BT349" s="29" t="n"/>
      <c r="BU349" s="29" t="n"/>
      <c r="BV349" s="29" t="n"/>
      <c r="BW349" s="176">
        <f>IF(ISNUMBER(BW350),ROUND(BW321-BW350,1),"")</f>
        <v/>
      </c>
      <c r="BX349" s="29" t="n"/>
      <c r="BY349" s="29" t="n"/>
      <c r="BZ349" s="29" t="n"/>
      <c r="CA349" s="29" t="n"/>
      <c r="CB349" s="29" t="n"/>
      <c r="CC349" s="176">
        <f>IF(ISNUMBER(CC350),ROUND(CC321-CC350,1),"")</f>
        <v/>
      </c>
      <c r="CD349" s="29" t="n"/>
      <c r="CE349" s="29" t="n"/>
      <c r="CF349" s="29" t="n"/>
      <c r="CG349" s="29" t="n"/>
      <c r="CH349" s="29" t="n"/>
      <c r="CI349" s="176">
        <f>IF(ISNUMBER(CI350),ROUND(CI321-CI350,1),"")</f>
        <v/>
      </c>
      <c r="CJ349" s="29" t="n"/>
      <c r="CK349" s="29" t="n"/>
      <c r="CL349" s="176">
        <f>IF(ISNUMBER(CL350),ROUND(CL321-CL350,1),"")</f>
        <v/>
      </c>
      <c r="CM349" s="31" t="n"/>
      <c r="CN349" s="31" t="n"/>
      <c r="CO349" s="188">
        <f>IF(ISNUMBER(CO350),ROUND(CO321-CO350,1),"")</f>
        <v/>
      </c>
      <c r="CP349" s="188">
        <f>IF(ISNUMBER(CP350),ROUND(CP321-CP350,1),"")</f>
        <v/>
      </c>
      <c r="CQ349" s="188">
        <f>IF(ISNUMBER(CQ350),ROUND(CQ321-CQ350,1),"")</f>
        <v/>
      </c>
      <c r="CR349" s="188">
        <f>IF(ISNUMBER(CR350),ROUND(CR321-CR350,1),"")</f>
        <v/>
      </c>
      <c r="CS349" s="188">
        <f>IF(ISNUMBER(CS350),ROUND(CS321-CS350,1),"")</f>
        <v/>
      </c>
      <c r="CT349" s="22" t="n"/>
      <c r="CV349" s="6" t="n"/>
      <c r="CW349" s="6" t="n"/>
      <c r="CX349" s="6" t="n"/>
      <c r="CY349" s="6" t="n"/>
    </row>
    <row r="350" ht="15" customHeight="1">
      <c r="B350" s="36" t="inlineStr">
        <is>
          <t xml:space="preserve">  Memo: total assets as reported</t>
        </is>
      </c>
      <c r="C350" s="169" t="n">
        <v>3424.2</v>
      </c>
      <c r="D350" s="169" t="n">
        <v>8936.4</v>
      </c>
      <c r="E350" s="169" t="n">
        <v>8914.200000000001</v>
      </c>
      <c r="F350" s="169" t="n">
        <v>8533</v>
      </c>
      <c r="G350" s="169" t="n">
        <v>8337.9</v>
      </c>
      <c r="H350" s="169" t="n">
        <v>8229.299999999999</v>
      </c>
      <c r="I350" s="169" t="n">
        <v>8126.6</v>
      </c>
      <c r="J350" s="29" t="n"/>
      <c r="K350" s="29" t="n"/>
      <c r="L350" s="29" t="n"/>
      <c r="M350" s="29" t="n"/>
      <c r="N350" s="29" t="n"/>
      <c r="O350" s="169" t="n">
        <v>8259.1</v>
      </c>
      <c r="P350" s="29" t="n"/>
      <c r="Q350" s="29" t="n"/>
      <c r="R350" s="29" t="n"/>
      <c r="S350" s="29" t="n"/>
      <c r="T350" s="29" t="n"/>
      <c r="U350" s="169" t="n">
        <v>8061.9</v>
      </c>
      <c r="V350" s="29" t="n"/>
      <c r="W350" s="29" t="n"/>
      <c r="X350" s="29" t="n"/>
      <c r="Y350" s="29" t="n"/>
      <c r="Z350" s="29" t="n"/>
      <c r="AA350" s="169" t="n">
        <v>8301.6</v>
      </c>
      <c r="AB350" s="29" t="n"/>
      <c r="AC350" s="29" t="n"/>
      <c r="AD350" s="29" t="n"/>
      <c r="AE350" s="29" t="n"/>
      <c r="AF350" s="29" t="n"/>
      <c r="AG350" s="169" t="n">
        <v>8471.5</v>
      </c>
      <c r="AH350" s="29" t="n"/>
      <c r="AI350" s="29" t="n"/>
      <c r="AJ350" s="29" t="n"/>
      <c r="AK350" s="29" t="n"/>
      <c r="AL350" s="29" t="n"/>
      <c r="AM350" s="169" t="n">
        <v>9504.9</v>
      </c>
      <c r="AN350" s="29" t="n"/>
      <c r="AO350" s="29" t="n"/>
      <c r="AP350" s="29" t="n"/>
      <c r="AQ350" s="29" t="n"/>
      <c r="AR350" s="29" t="n"/>
      <c r="AS350" s="169" t="n">
        <v>9832.1</v>
      </c>
      <c r="AT350" s="29" t="n"/>
      <c r="AU350" s="29" t="n"/>
      <c r="AV350" s="29" t="n"/>
      <c r="AW350" s="29" t="n"/>
      <c r="AX350" s="29" t="n"/>
      <c r="AY350" s="169" t="n">
        <v>10648.8</v>
      </c>
      <c r="AZ350" s="30" t="n"/>
      <c r="BA350" s="30" t="n"/>
      <c r="BB350" s="29" t="n"/>
      <c r="BC350" s="30" t="n"/>
      <c r="BD350" s="30" t="n"/>
      <c r="BE350" s="169" t="n">
        <v>11686.9</v>
      </c>
      <c r="BF350" s="30" t="n"/>
      <c r="BG350" s="30" t="n"/>
      <c r="BH350" s="29" t="n"/>
      <c r="BI350" s="30" t="n"/>
      <c r="BJ350" s="30" t="n"/>
      <c r="BK350" s="169" t="n">
        <v>13682.6</v>
      </c>
      <c r="BL350" s="30" t="n"/>
      <c r="BM350" s="30" t="n"/>
      <c r="BN350" s="29" t="n"/>
      <c r="BO350" s="30" t="n"/>
      <c r="BP350" s="30" t="n"/>
      <c r="BQ350" s="169" t="n">
        <v>14234.6</v>
      </c>
      <c r="BR350" s="30" t="n"/>
      <c r="BS350" s="30" t="n"/>
      <c r="BT350" s="29" t="n"/>
      <c r="BU350" s="30" t="n"/>
      <c r="BV350" s="30" t="n"/>
      <c r="BW350" s="169" t="n">
        <v>14545.7</v>
      </c>
      <c r="BX350" s="30" t="n"/>
      <c r="BY350" s="30" t="n"/>
      <c r="BZ350" s="29" t="n"/>
      <c r="CA350" s="30" t="n"/>
      <c r="CB350" s="30" t="n"/>
      <c r="CC350" s="169" t="n">
        <v>17104.8</v>
      </c>
      <c r="CD350" s="30" t="n"/>
      <c r="CE350" s="30" t="n"/>
      <c r="CF350" s="29" t="n"/>
      <c r="CG350" s="30" t="n"/>
      <c r="CH350" s="30" t="n"/>
      <c r="CI350" s="169" t="n">
        <v>16700.4</v>
      </c>
      <c r="CJ350" s="30" t="n"/>
      <c r="CK350" s="30" t="n"/>
      <c r="CL350" s="169" t="n">
        <v>16442</v>
      </c>
      <c r="CM350" s="31" t="n"/>
      <c r="CN350" s="31" t="n"/>
      <c r="CO350" s="31" t="n"/>
      <c r="CP350" s="31" t="n"/>
      <c r="CQ350" s="31" t="n"/>
      <c r="CR350" s="31" t="n"/>
      <c r="CS350" s="31" t="n"/>
      <c r="CT350" s="22" t="n"/>
      <c r="CV350" s="6" t="n"/>
      <c r="CW350" s="6" t="n"/>
      <c r="CX350" s="6" t="n"/>
      <c r="CY350" s="6" t="n"/>
    </row>
    <row r="351" ht="15" customHeight="1">
      <c r="B351" s="38" t="inlineStr">
        <is>
          <t xml:space="preserve">  Check: BS cash (+ restricted from 2017) vs cash-flow ending cash (should be 0)</t>
        </is>
      </c>
      <c r="C351" s="176">
        <f>IF(AND(ISNUMBER(C308),ISNUMBER(C281)),ROUND(C308+N(C309)*0-C281,1),"")</f>
        <v/>
      </c>
      <c r="D351" s="176">
        <f>IF(AND(ISNUMBER(D308),ISNUMBER(D281)),ROUND(D308+N(D309)*0-D281,1),"")</f>
        <v/>
      </c>
      <c r="E351" s="176">
        <f>IF(AND(ISNUMBER(E308),ISNUMBER(E281)),ROUND(E308+N(E309)*0-E281,1),"")</f>
        <v/>
      </c>
      <c r="F351" s="176">
        <f>IF(AND(ISNUMBER(F308),ISNUMBER(F281)),ROUND(F308+N(F309)*0-F281,1),"")</f>
        <v/>
      </c>
      <c r="G351" s="176">
        <f>IF(AND(ISNUMBER(G308),ISNUMBER(G281)),ROUND(G308+N(G309)*0-G281,1),"")</f>
        <v/>
      </c>
      <c r="H351" s="176">
        <f>IF(AND(ISNUMBER(H308),ISNUMBER(H281)),ROUND(H308+N(H309)*0-H281,1),"")</f>
        <v/>
      </c>
      <c r="I351" s="176">
        <f>IF(AND(ISNUMBER(I308),ISNUMBER(I281)),ROUND(I308+N(I309)*0-I281,1),"")</f>
        <v/>
      </c>
      <c r="J351" s="29" t="n"/>
      <c r="K351" s="29" t="n"/>
      <c r="L351" s="29" t="n"/>
      <c r="M351" s="29" t="n"/>
      <c r="N351" s="29" t="n"/>
      <c r="O351" s="176">
        <f>IF(AND(ISNUMBER(O308),ISNUMBER(O281)),ROUND(O308+N(O309)*0-O281,1),"")</f>
        <v/>
      </c>
      <c r="P351" s="29" t="n"/>
      <c r="Q351" s="29" t="n"/>
      <c r="R351" s="29" t="n"/>
      <c r="S351" s="29" t="n"/>
      <c r="T351" s="29" t="n"/>
      <c r="U351" s="176">
        <f>IF(AND(ISNUMBER(U308),ISNUMBER(U281)),ROUND(U308+N(U309)*0-U281,1),"")</f>
        <v/>
      </c>
      <c r="V351" s="29" t="n"/>
      <c r="W351" s="29" t="n"/>
      <c r="X351" s="29" t="n"/>
      <c r="Y351" s="29" t="n"/>
      <c r="Z351" s="29" t="n"/>
      <c r="AA351" s="176">
        <f>IF(AND(ISNUMBER(AA308),ISNUMBER(AA281)),ROUND(AA308+N(AA309)*0-AA281,1),"")</f>
        <v/>
      </c>
      <c r="AB351" s="29" t="n"/>
      <c r="AC351" s="29" t="n"/>
      <c r="AD351" s="29" t="n"/>
      <c r="AE351" s="29" t="n"/>
      <c r="AF351" s="29" t="n"/>
      <c r="AG351" s="176">
        <f>IF(AND(ISNUMBER(AG308),ISNUMBER(AG281)),ROUND(AG308+N(AG309)*0-AG281,1),"")</f>
        <v/>
      </c>
      <c r="AH351" s="29" t="n"/>
      <c r="AI351" s="29" t="n"/>
      <c r="AJ351" s="29" t="n"/>
      <c r="AK351" s="29" t="n"/>
      <c r="AL351" s="29" t="n"/>
      <c r="AM351" s="176">
        <f>IF(AND(ISNUMBER(AM308),ISNUMBER(AM281)),ROUND(AM308+N(AM309)*1-AM281,1),"")</f>
        <v/>
      </c>
      <c r="AN351" s="29" t="n"/>
      <c r="AO351" s="29" t="n"/>
      <c r="AP351" s="29" t="n"/>
      <c r="AQ351" s="29" t="n"/>
      <c r="AR351" s="29" t="n"/>
      <c r="AS351" s="176">
        <f>IF(AND(ISNUMBER(AS308),ISNUMBER(AS281)),ROUND(AS308+N(AS309)*1-AS281,1),"")</f>
        <v/>
      </c>
      <c r="AT351" s="29" t="n"/>
      <c r="AU351" s="29" t="n"/>
      <c r="AV351" s="29" t="n"/>
      <c r="AW351" s="29" t="n"/>
      <c r="AX351" s="29" t="n"/>
      <c r="AY351" s="176">
        <f>IF(AND(ISNUMBER(AY308),ISNUMBER(AY281)),ROUND(AY308+N(AY309)*1-AY281,1),"")</f>
        <v/>
      </c>
      <c r="AZ351" s="29" t="n"/>
      <c r="BA351" s="29" t="n"/>
      <c r="BB351" s="29" t="n"/>
      <c r="BC351" s="29" t="n"/>
      <c r="BD351" s="29" t="n"/>
      <c r="BE351" s="176">
        <f>IF(AND(ISNUMBER(BE308),ISNUMBER(BE281)),ROUND(BE308+N(BE309)*1-BE281,1),"")</f>
        <v/>
      </c>
      <c r="BF351" s="29" t="n"/>
      <c r="BG351" s="29" t="n"/>
      <c r="BH351" s="29" t="n"/>
      <c r="BI351" s="29" t="n"/>
      <c r="BJ351" s="29" t="n"/>
      <c r="BK351" s="176">
        <f>IF(AND(ISNUMBER(BK308),ISNUMBER(BK281)),ROUND(BK308+N(BK309)*1-BK281,1),"")</f>
        <v/>
      </c>
      <c r="BL351" s="29" t="n"/>
      <c r="BM351" s="29" t="n"/>
      <c r="BN351" s="29" t="n"/>
      <c r="BO351" s="29" t="n"/>
      <c r="BP351" s="29" t="n"/>
      <c r="BQ351" s="176">
        <f>IF(AND(ISNUMBER(BQ308),ISNUMBER(BQ281)),ROUND(BQ308+N(BQ309)*1-BQ281,1),"")</f>
        <v/>
      </c>
      <c r="BR351" s="29" t="n"/>
      <c r="BS351" s="29" t="n"/>
      <c r="BT351" s="29" t="n"/>
      <c r="BU351" s="29" t="n"/>
      <c r="BV351" s="29" t="n"/>
      <c r="BW351" s="176">
        <f>IF(AND(ISNUMBER(BW308),ISNUMBER(BW281)),ROUND(BW308+N(BW309)*1-BW281,1),"")</f>
        <v/>
      </c>
      <c r="BX351" s="29" t="n"/>
      <c r="BY351" s="29" t="n"/>
      <c r="BZ351" s="29" t="n"/>
      <c r="CA351" s="29" t="n"/>
      <c r="CB351" s="29" t="n"/>
      <c r="CC351" s="176">
        <f>IF(AND(ISNUMBER(CC308),ISNUMBER(CC281)),ROUND(CC308+N(CC309)*1-CC281,1),"")</f>
        <v/>
      </c>
      <c r="CD351" s="29" t="n"/>
      <c r="CE351" s="29" t="n"/>
      <c r="CF351" s="29" t="n"/>
      <c r="CG351" s="29" t="n"/>
      <c r="CH351" s="29" t="n"/>
      <c r="CI351" s="176">
        <f>IF(AND(ISNUMBER(CI308),ISNUMBER(CI281)),ROUND(CI308+N(CI309)*1-CI281,1),"")</f>
        <v/>
      </c>
      <c r="CJ351" s="29" t="n"/>
      <c r="CK351" s="29" t="n"/>
      <c r="CL351" s="176">
        <f>IF(AND(ISNUMBER(CL308),ISNUMBER(CL281)),ROUND(CL308+N(CL309)*1-CL281,1),"")</f>
        <v/>
      </c>
      <c r="CM351" s="31" t="n"/>
      <c r="CN351" s="31" t="n"/>
      <c r="CO351" s="188">
        <f>IF(AND(ISNUMBER(CO308),ISNUMBER(CO281)),ROUND(CO308+N(CO309)*1-CO281,1),"")</f>
        <v/>
      </c>
      <c r="CP351" s="188">
        <f>IF(AND(ISNUMBER(CP308),ISNUMBER(CP281)),ROUND(CP308+N(CP309)*1-CP281,1),"")</f>
        <v/>
      </c>
      <c r="CQ351" s="188">
        <f>IF(AND(ISNUMBER(CQ308),ISNUMBER(CQ281)),ROUND(CQ308+N(CQ309)*1-CQ281,1),"")</f>
        <v/>
      </c>
      <c r="CR351" s="188">
        <f>IF(AND(ISNUMBER(CR308),ISNUMBER(CR281)),ROUND(CR308+N(CR309)*1-CR281,1),"")</f>
        <v/>
      </c>
      <c r="CS351" s="188">
        <f>IF(AND(ISNUMBER(CS308),ISNUMBER(CS281)),ROUND(CS308+N(CS309)*1-CS281,1),"")</f>
        <v/>
      </c>
      <c r="CT351" s="22" t="n"/>
      <c r="CV351" s="6" t="n"/>
      <c r="CW351" s="6" t="n"/>
      <c r="CX351" s="6" t="n"/>
      <c r="CY351" s="6" t="n"/>
    </row>
    <row r="352" ht="15" customHeight="1">
      <c r="B352" s="36" t="inlineStr">
        <is>
          <t xml:space="preserve">  Memo: common shares outstanding at period end (m)</t>
        </is>
      </c>
      <c r="C352" s="181" t="n">
        <v>94.59999999999999</v>
      </c>
      <c r="D352" s="181" t="n">
        <v>108.2</v>
      </c>
      <c r="E352" s="181" t="n">
        <v>110.3</v>
      </c>
      <c r="F352" s="181" t="n">
        <v>125.9</v>
      </c>
      <c r="G352" s="181" t="n">
        <v>128.6</v>
      </c>
      <c r="H352" s="181" t="n">
        <v>129.2</v>
      </c>
      <c r="I352" s="181" t="n">
        <v>129.7</v>
      </c>
      <c r="J352" s="29" t="n"/>
      <c r="K352" s="29" t="n"/>
      <c r="L352" s="29" t="n"/>
      <c r="M352" s="29" t="n"/>
      <c r="N352" s="29" t="n"/>
      <c r="O352" s="181" t="n">
        <v>130.2</v>
      </c>
      <c r="P352" s="29" t="n"/>
      <c r="Q352" s="29" t="n"/>
      <c r="R352" s="29" t="n"/>
      <c r="S352" s="29" t="n"/>
      <c r="T352" s="29" t="n"/>
      <c r="U352" s="181" t="n">
        <v>131.907</v>
      </c>
      <c r="V352" s="29" t="n"/>
      <c r="W352" s="29" t="n"/>
      <c r="X352" s="29" t="n"/>
      <c r="Y352" s="29" t="n"/>
      <c r="Z352" s="29" t="n"/>
      <c r="AA352" s="181" t="n">
        <v>133.172</v>
      </c>
      <c r="AB352" s="29" t="n"/>
      <c r="AC352" s="29" t="n"/>
      <c r="AD352" s="29" t="n"/>
      <c r="AE352" s="29" t="n"/>
      <c r="AF352" s="29" t="n"/>
      <c r="AG352" s="181" t="n">
        <v>132.339</v>
      </c>
      <c r="AH352" s="29" t="n"/>
      <c r="AI352" s="29" t="n"/>
      <c r="AJ352" s="29" t="n"/>
      <c r="AK352" s="29" t="n"/>
      <c r="AL352" s="29" t="n"/>
      <c r="AM352" s="181" t="n">
        <v>132.324</v>
      </c>
      <c r="AN352" s="29" t="n"/>
      <c r="AO352" s="29" t="n"/>
      <c r="AP352" s="29" t="n"/>
      <c r="AQ352" s="29" t="n"/>
      <c r="AR352" s="29" t="n"/>
      <c r="AS352" s="181" t="n">
        <v>131.762</v>
      </c>
      <c r="AT352" s="29" t="n"/>
      <c r="AU352" s="29" t="n"/>
      <c r="AV352" s="29" t="n"/>
      <c r="AW352" s="29" t="n"/>
      <c r="AX352" s="29" t="n"/>
      <c r="AY352" s="181" t="n">
        <v>132.371</v>
      </c>
      <c r="AZ352" s="30" t="n"/>
      <c r="BA352" s="30" t="n"/>
      <c r="BB352" s="29" t="n"/>
      <c r="BC352" s="30" t="n"/>
      <c r="BD352" s="30" t="n"/>
      <c r="BE352" s="181" t="n">
        <v>132.516</v>
      </c>
      <c r="BF352" s="30" t="n"/>
      <c r="BG352" s="30" t="n"/>
      <c r="BH352" s="29" t="n"/>
      <c r="BI352" s="30" t="n"/>
      <c r="BJ352" s="30" t="n"/>
      <c r="BK352" s="181" t="n">
        <v>132.7</v>
      </c>
      <c r="BL352" s="30" t="n"/>
      <c r="BM352" s="30" t="n"/>
      <c r="BN352" s="29" t="n"/>
      <c r="BO352" s="30" t="n"/>
      <c r="BP352" s="30" t="n"/>
      <c r="BQ352" s="181" t="n">
        <v>132.9</v>
      </c>
      <c r="BR352" s="30" t="n"/>
      <c r="BS352" s="30" t="n"/>
      <c r="BT352" s="29" t="n"/>
      <c r="BU352" s="30" t="n"/>
      <c r="BV352" s="30" t="n"/>
      <c r="BW352" s="181" t="n">
        <v>132.1</v>
      </c>
      <c r="BX352" s="30" t="n"/>
      <c r="BY352" s="30" t="n"/>
      <c r="BZ352" s="29" t="n"/>
      <c r="CA352" s="30" t="n"/>
      <c r="CB352" s="30" t="n"/>
      <c r="CC352" s="181" t="n">
        <v>132.1</v>
      </c>
      <c r="CD352" s="30" t="n"/>
      <c r="CE352" s="30" t="n"/>
      <c r="CF352" s="29" t="n"/>
      <c r="CG352" s="30" t="n"/>
      <c r="CH352" s="30" t="n"/>
      <c r="CI352" s="181" t="n">
        <v>130.6</v>
      </c>
      <c r="CJ352" s="30" t="n"/>
      <c r="CK352" s="30" t="n"/>
      <c r="CL352" s="181" t="n">
        <v>129.4</v>
      </c>
      <c r="CM352" s="31" t="n"/>
      <c r="CN352" s="31" t="n"/>
      <c r="CO352" s="188">
        <f>CO300</f>
        <v/>
      </c>
      <c r="CP352" s="188">
        <f>CP300</f>
        <v/>
      </c>
      <c r="CQ352" s="188">
        <f>CQ300</f>
        <v/>
      </c>
      <c r="CR352" s="188">
        <f>CR300</f>
        <v/>
      </c>
      <c r="CS352" s="188">
        <f>CS300</f>
        <v/>
      </c>
      <c r="CT352" s="22" t="n"/>
      <c r="CV352" s="6" t="n"/>
      <c r="CW352" s="6" t="n"/>
      <c r="CX352" s="6" t="n"/>
      <c r="CY352" s="6" t="n"/>
    </row>
    <row r="353" ht="15" customHeight="1">
      <c r="B353" s="12" t="n"/>
      <c r="CM353" s="6" t="n"/>
      <c r="CN353" s="6" t="n"/>
      <c r="CO353" s="6" t="n"/>
      <c r="CP353" s="6" t="n"/>
      <c r="CQ353" s="6" t="n"/>
      <c r="CR353" s="6" t="n"/>
      <c r="CS353" s="6" t="n"/>
      <c r="CT353" s="6" t="n"/>
    </row>
    <row r="354" ht="15" customHeight="1">
      <c r="B354" s="11" t="inlineStr">
        <is>
          <t>WORKING CAPITAL &amp; CASH CONVERSION</t>
        </is>
      </c>
      <c r="C354" s="11" t="n"/>
      <c r="D354" s="11" t="n"/>
      <c r="E354" s="11"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c r="AB354" s="11" t="n"/>
      <c r="AC354" s="11" t="n"/>
      <c r="AD354" s="11" t="n"/>
      <c r="AE354" s="11" t="n"/>
      <c r="AF354" s="11" t="n"/>
      <c r="AG354" s="11" t="n"/>
      <c r="AH354" s="11" t="n"/>
      <c r="AI354" s="11" t="n"/>
      <c r="AJ354" s="11" t="n"/>
      <c r="AK354" s="11" t="n"/>
      <c r="AL354" s="11" t="n"/>
      <c r="AM354" s="11" t="n"/>
      <c r="AN354" s="11" t="n"/>
      <c r="AO354" s="11" t="n"/>
      <c r="AP354" s="11" t="n"/>
      <c r="AQ354" s="11" t="n"/>
      <c r="AR354" s="11" t="n"/>
      <c r="AS354" s="11" t="n"/>
      <c r="AT354" s="11" t="n"/>
      <c r="AU354" s="11" t="n"/>
      <c r="AV354" s="11" t="n"/>
      <c r="AW354" s="11" t="n"/>
      <c r="AX354" s="11" t="n"/>
      <c r="AY354" s="11" t="n"/>
      <c r="AZ354" s="11" t="n"/>
      <c r="BA354" s="11" t="n"/>
      <c r="BB354" s="11" t="n"/>
      <c r="BC354" s="11" t="n"/>
      <c r="BD354" s="11" t="n"/>
      <c r="BE354" s="11" t="n"/>
      <c r="BF354" s="11" t="n"/>
      <c r="BG354" s="11" t="n"/>
      <c r="BH354" s="11" t="n"/>
      <c r="BI354" s="11" t="n"/>
      <c r="BJ354" s="11" t="n"/>
      <c r="BK354" s="11" t="n"/>
      <c r="BL354" s="11" t="n"/>
      <c r="BM354" s="11" t="n"/>
      <c r="BN354" s="11" t="n"/>
      <c r="BO354" s="11" t="n"/>
      <c r="BP354" s="11" t="n"/>
      <c r="BQ354" s="11" t="n"/>
      <c r="BR354" s="11" t="n"/>
      <c r="BS354" s="11" t="n"/>
      <c r="BT354" s="11" t="n"/>
      <c r="BU354" s="11" t="n"/>
      <c r="BV354" s="11" t="n"/>
      <c r="BW354" s="11" t="n"/>
      <c r="BX354" s="11" t="n"/>
      <c r="BY354" s="11" t="n"/>
      <c r="BZ354" s="11" t="n"/>
      <c r="CA354" s="11" t="n"/>
      <c r="CB354" s="11" t="n"/>
      <c r="CC354" s="11" t="n"/>
      <c r="CD354" s="11" t="n"/>
      <c r="CE354" s="11" t="n"/>
      <c r="CF354" s="11" t="n"/>
      <c r="CG354" s="11" t="n"/>
      <c r="CH354" s="11" t="n"/>
      <c r="CI354" s="11" t="n"/>
      <c r="CJ354" s="11" t="n"/>
      <c r="CK354" s="11" t="n"/>
      <c r="CL354" s="11" t="n"/>
      <c r="CM354" s="11" t="n"/>
      <c r="CN354" s="11" t="n"/>
      <c r="CO354" s="11" t="n"/>
      <c r="CP354" s="11" t="n"/>
      <c r="CQ354" s="11" t="n"/>
      <c r="CR354" s="11" t="n"/>
      <c r="CS354" s="11" t="n"/>
      <c r="CT354" s="11" t="inlineStr">
        <is>
          <t>WORKING CAPITAL — forecast drivers (blue = input)</t>
        </is>
      </c>
    </row>
    <row r="355" ht="15" customHeight="1">
      <c r="B355" s="12" t="inlineStr">
        <is>
          <t xml:space="preserve">  DSO — receivables / revenues × 365</t>
        </is>
      </c>
      <c r="C355" s="197">
        <f>IFERROR(C310/C138*365*1,"n/a")</f>
        <v/>
      </c>
      <c r="D355" s="197">
        <f>IFERROR(D310/D138*365*1,"n/a")</f>
        <v/>
      </c>
      <c r="E355" s="197">
        <f>IFERROR(E310/E138*365*1,"n/a")</f>
        <v/>
      </c>
      <c r="F355" s="197">
        <f>IFERROR(F310/F138*365*1,"n/a")</f>
        <v/>
      </c>
      <c r="G355" s="197">
        <f>IFERROR(G310/G138*365*1,"n/a")</f>
        <v/>
      </c>
      <c r="H355" s="197">
        <f>IFERROR(H310/H138*365*1,"n/a")</f>
        <v/>
      </c>
      <c r="I355" s="197">
        <f>IFERROR(I310/I138*365*1,"n/a")</f>
        <v/>
      </c>
      <c r="J355" s="30" t="n"/>
      <c r="K355" s="30" t="n"/>
      <c r="L355" s="29" t="n"/>
      <c r="M355" s="30" t="n"/>
      <c r="N355" s="30" t="n"/>
      <c r="O355" s="197">
        <f>IFERROR(O310/O138*365*1,"n/a")</f>
        <v/>
      </c>
      <c r="P355" s="30" t="n"/>
      <c r="Q355" s="30" t="n"/>
      <c r="R355" s="29" t="n"/>
      <c r="S355" s="30" t="n"/>
      <c r="T355" s="30" t="n"/>
      <c r="U355" s="197">
        <f>IFERROR(U310/U138*365*1,"n/a")</f>
        <v/>
      </c>
      <c r="V355" s="30" t="n"/>
      <c r="W355" s="30" t="n"/>
      <c r="X355" s="29" t="n"/>
      <c r="Y355" s="30" t="n"/>
      <c r="Z355" s="30" t="n"/>
      <c r="AA355" s="197">
        <f>IFERROR(AA310/AA138*365*1,"n/a")</f>
        <v/>
      </c>
      <c r="AB355" s="30" t="n"/>
      <c r="AC355" s="30" t="n"/>
      <c r="AD355" s="29" t="n"/>
      <c r="AE355" s="30" t="n"/>
      <c r="AF355" s="30" t="n"/>
      <c r="AG355" s="197">
        <f>IFERROR(AG310/AG138*365*1,"n/a")</f>
        <v/>
      </c>
      <c r="AH355" s="30" t="n"/>
      <c r="AI355" s="30" t="n"/>
      <c r="AJ355" s="29" t="n"/>
      <c r="AK355" s="30" t="n"/>
      <c r="AL355" s="30" t="n"/>
      <c r="AM355" s="197">
        <f>IFERROR(AM310/AM138*365*1,"n/a")</f>
        <v/>
      </c>
      <c r="AN355" s="30" t="n"/>
      <c r="AO355" s="30" t="n"/>
      <c r="AP355" s="29" t="n"/>
      <c r="AQ355" s="30" t="n"/>
      <c r="AR355" s="30" t="n"/>
      <c r="AS355" s="197">
        <f>IFERROR(AS310/AS138*365*1,"n/a")</f>
        <v/>
      </c>
      <c r="AT355" s="30" t="n"/>
      <c r="AU355" s="30" t="n"/>
      <c r="AV355" s="29" t="n"/>
      <c r="AW355" s="30" t="n"/>
      <c r="AX355" s="30" t="n"/>
      <c r="AY355" s="197">
        <f>IFERROR(AY310/AY138*365*1,"n/a")</f>
        <v/>
      </c>
      <c r="AZ355" s="30" t="n"/>
      <c r="BA355" s="30" t="n"/>
      <c r="BB355" s="29" t="n"/>
      <c r="BC355" s="30" t="n"/>
      <c r="BD355" s="30" t="n"/>
      <c r="BE355" s="197">
        <f>IFERROR(BE310/BE138*365*1,"n/a")</f>
        <v/>
      </c>
      <c r="BF355" s="30" t="n"/>
      <c r="BG355" s="30" t="n"/>
      <c r="BH355" s="29" t="n"/>
      <c r="BI355" s="30" t="n"/>
      <c r="BJ355" s="30" t="n"/>
      <c r="BK355" s="197">
        <f>IFERROR(BK310/BK138*365*1,"n/a")</f>
        <v/>
      </c>
      <c r="BL355" s="30" t="n"/>
      <c r="BM355" s="30" t="n"/>
      <c r="BN355" s="29" t="n"/>
      <c r="BO355" s="30" t="n"/>
      <c r="BP355" s="30" t="n"/>
      <c r="BQ355" s="197">
        <f>IFERROR(BQ310/BQ138*365*1,"n/a")</f>
        <v/>
      </c>
      <c r="BR355" s="30" t="n"/>
      <c r="BS355" s="30" t="n"/>
      <c r="BT355" s="29" t="n"/>
      <c r="BU355" s="30" t="n"/>
      <c r="BV355" s="30" t="n"/>
      <c r="BW355" s="197">
        <f>IFERROR(BW310/BW138*365*1,"n/a")</f>
        <v/>
      </c>
      <c r="BX355" s="30" t="n"/>
      <c r="BY355" s="30" t="n"/>
      <c r="BZ355" s="29" t="n"/>
      <c r="CA355" s="30" t="n"/>
      <c r="CB355" s="30" t="n"/>
      <c r="CC355" s="197">
        <f>IFERROR(CC310/CC138*365*1,"n/a")</f>
        <v/>
      </c>
      <c r="CD355" s="30" t="n"/>
      <c r="CE355" s="30" t="n"/>
      <c r="CF355" s="29" t="n"/>
      <c r="CG355" s="30" t="n"/>
      <c r="CH355" s="30" t="n"/>
      <c r="CI355" s="197">
        <f>IFERROR(CI310/CI138*365*1,"n/a")</f>
        <v/>
      </c>
      <c r="CJ355" s="30" t="n"/>
      <c r="CK355" s="30" t="n"/>
      <c r="CL355" s="197">
        <f>IFERROR(CL310/CL138*365*0.5,"n/a")</f>
        <v/>
      </c>
      <c r="CM355" s="31" t="n"/>
      <c r="CN355" s="31" t="n"/>
      <c r="CO355" s="198" t="n">
        <v>46</v>
      </c>
      <c r="CP355" s="198" t="n">
        <v>46</v>
      </c>
      <c r="CQ355" s="198" t="n">
        <v>46</v>
      </c>
      <c r="CR355" s="198" t="n">
        <v>46</v>
      </c>
      <c r="CS355" s="198" t="n">
        <v>46</v>
      </c>
      <c r="CT355" s="22" t="n"/>
      <c r="CV355" s="23" t="n"/>
      <c r="CW355" s="23" t="n"/>
      <c r="CX355" s="23" t="n"/>
      <c r="CY355" s="23" t="n"/>
    </row>
    <row r="356" ht="15" customHeight="1">
      <c r="B356" s="12" t="inlineStr">
        <is>
          <t xml:space="preserve">  Inventory days — inventories / cost of revenues × 365</t>
        </is>
      </c>
      <c r="C356" s="197">
        <f>IFERROR(C311/C140*365*1,"n/a")</f>
        <v/>
      </c>
      <c r="D356" s="197">
        <f>IFERROR(D311/D140*365*1,"n/a")</f>
        <v/>
      </c>
      <c r="E356" s="197">
        <f>IFERROR(E311/E140*365*1,"n/a")</f>
        <v/>
      </c>
      <c r="F356" s="197">
        <f>IFERROR(F311/F140*365*1,"n/a")</f>
        <v/>
      </c>
      <c r="G356" s="197">
        <f>IFERROR(G311/G140*365*1,"n/a")</f>
        <v/>
      </c>
      <c r="H356" s="197">
        <f>IFERROR(H311/H140*365*1,"n/a")</f>
        <v/>
      </c>
      <c r="I356" s="197">
        <f>IFERROR(I311/I140*365*1,"n/a")</f>
        <v/>
      </c>
      <c r="J356" s="30" t="n"/>
      <c r="K356" s="30" t="n"/>
      <c r="L356" s="29" t="n"/>
      <c r="M356" s="30" t="n"/>
      <c r="N356" s="30" t="n"/>
      <c r="O356" s="197">
        <f>IFERROR(O311/O140*365*1,"n/a")</f>
        <v/>
      </c>
      <c r="P356" s="30" t="n"/>
      <c r="Q356" s="30" t="n"/>
      <c r="R356" s="29" t="n"/>
      <c r="S356" s="30" t="n"/>
      <c r="T356" s="30" t="n"/>
      <c r="U356" s="197">
        <f>IFERROR(U311/U140*365*1,"n/a")</f>
        <v/>
      </c>
      <c r="V356" s="30" t="n"/>
      <c r="W356" s="30" t="n"/>
      <c r="X356" s="29" t="n"/>
      <c r="Y356" s="30" t="n"/>
      <c r="Z356" s="30" t="n"/>
      <c r="AA356" s="197">
        <f>IFERROR(AA311/AA140*365*1,"n/a")</f>
        <v/>
      </c>
      <c r="AB356" s="30" t="n"/>
      <c r="AC356" s="30" t="n"/>
      <c r="AD356" s="29" t="n"/>
      <c r="AE356" s="30" t="n"/>
      <c r="AF356" s="30" t="n"/>
      <c r="AG356" s="197">
        <f>IFERROR(AG311/AG140*365*1,"n/a")</f>
        <v/>
      </c>
      <c r="AH356" s="30" t="n"/>
      <c r="AI356" s="30" t="n"/>
      <c r="AJ356" s="29" t="n"/>
      <c r="AK356" s="30" t="n"/>
      <c r="AL356" s="30" t="n"/>
      <c r="AM356" s="197">
        <f>IFERROR(AM311/AM140*365*1,"n/a")</f>
        <v/>
      </c>
      <c r="AN356" s="30" t="n"/>
      <c r="AO356" s="30" t="n"/>
      <c r="AP356" s="29" t="n"/>
      <c r="AQ356" s="30" t="n"/>
      <c r="AR356" s="30" t="n"/>
      <c r="AS356" s="197">
        <f>IFERROR(AS311/AS140*365*1,"n/a")</f>
        <v/>
      </c>
      <c r="AT356" s="30" t="n"/>
      <c r="AU356" s="30" t="n"/>
      <c r="AV356" s="29" t="n"/>
      <c r="AW356" s="30" t="n"/>
      <c r="AX356" s="30" t="n"/>
      <c r="AY356" s="197">
        <f>IFERROR(AY311/AY140*365*1,"n/a")</f>
        <v/>
      </c>
      <c r="AZ356" s="30" t="n"/>
      <c r="BA356" s="30" t="n"/>
      <c r="BB356" s="29" t="n"/>
      <c r="BC356" s="30" t="n"/>
      <c r="BD356" s="30" t="n"/>
      <c r="BE356" s="197">
        <f>IFERROR(BE311/BE140*365*1,"n/a")</f>
        <v/>
      </c>
      <c r="BF356" s="30" t="n"/>
      <c r="BG356" s="30" t="n"/>
      <c r="BH356" s="29" t="n"/>
      <c r="BI356" s="30" t="n"/>
      <c r="BJ356" s="30" t="n"/>
      <c r="BK356" s="197">
        <f>IFERROR(BK311/BK140*365*1,"n/a")</f>
        <v/>
      </c>
      <c r="BL356" s="30" t="n"/>
      <c r="BM356" s="30" t="n"/>
      <c r="BN356" s="29" t="n"/>
      <c r="BO356" s="30" t="n"/>
      <c r="BP356" s="30" t="n"/>
      <c r="BQ356" s="197">
        <f>IFERROR(BQ311/BQ140*365*1,"n/a")</f>
        <v/>
      </c>
      <c r="BR356" s="30" t="n"/>
      <c r="BS356" s="30" t="n"/>
      <c r="BT356" s="29" t="n"/>
      <c r="BU356" s="30" t="n"/>
      <c r="BV356" s="30" t="n"/>
      <c r="BW356" s="197">
        <f>IFERROR(BW311/BW140*365*1,"n/a")</f>
        <v/>
      </c>
      <c r="BX356" s="30" t="n"/>
      <c r="BY356" s="30" t="n"/>
      <c r="BZ356" s="29" t="n"/>
      <c r="CA356" s="30" t="n"/>
      <c r="CB356" s="30" t="n"/>
      <c r="CC356" s="197">
        <f>IFERROR(CC311/CC140*365*1,"n/a")</f>
        <v/>
      </c>
      <c r="CD356" s="30" t="n"/>
      <c r="CE356" s="30" t="n"/>
      <c r="CF356" s="29" t="n"/>
      <c r="CG356" s="30" t="n"/>
      <c r="CH356" s="30" t="n"/>
      <c r="CI356" s="197">
        <f>IFERROR(CI311/CI140*365*1,"n/a")</f>
        <v/>
      </c>
      <c r="CJ356" s="30" t="n"/>
      <c r="CK356" s="30" t="n"/>
      <c r="CL356" s="197">
        <f>IFERROR(CL311/CL140*365*0.5,"n/a")</f>
        <v/>
      </c>
      <c r="CM356" s="31" t="n"/>
      <c r="CN356" s="31" t="n"/>
      <c r="CO356" s="198" t="n">
        <v>45</v>
      </c>
      <c r="CP356" s="198" t="n">
        <v>45</v>
      </c>
      <c r="CQ356" s="198" t="n">
        <v>45</v>
      </c>
      <c r="CR356" s="198" t="n">
        <v>45</v>
      </c>
      <c r="CS356" s="198" t="n">
        <v>45</v>
      </c>
      <c r="CT356" s="22" t="n"/>
      <c r="CV356" s="23" t="n"/>
      <c r="CW356" s="23" t="n"/>
      <c r="CX356" s="23" t="n"/>
      <c r="CY356" s="23" t="n"/>
    </row>
    <row r="357" ht="15" customHeight="1">
      <c r="B357" s="12" t="inlineStr">
        <is>
          <t xml:space="preserve">  Payable days — trade payables &amp; accruals / cost of revenues × 365</t>
        </is>
      </c>
      <c r="C357" s="197">
        <f>IFERROR(C327/C140*365*1,"n/a")</f>
        <v/>
      </c>
      <c r="D357" s="197">
        <f>IFERROR(D327/D140*365*1,"n/a")</f>
        <v/>
      </c>
      <c r="E357" s="197">
        <f>IFERROR(E327/E140*365*1,"n/a")</f>
        <v/>
      </c>
      <c r="F357" s="197">
        <f>IFERROR(F327/F140*365*1,"n/a")</f>
        <v/>
      </c>
      <c r="G357" s="197">
        <f>IFERROR(G327/G140*365*1,"n/a")</f>
        <v/>
      </c>
      <c r="H357" s="197">
        <f>IFERROR(H327/H140*365*1,"n/a")</f>
        <v/>
      </c>
      <c r="I357" s="197">
        <f>IFERROR(I327/I140*365*1,"n/a")</f>
        <v/>
      </c>
      <c r="J357" s="30" t="n"/>
      <c r="K357" s="30" t="n"/>
      <c r="L357" s="29" t="n"/>
      <c r="M357" s="30" t="n"/>
      <c r="N357" s="30" t="n"/>
      <c r="O357" s="197">
        <f>IFERROR(O327/O140*365*1,"n/a")</f>
        <v/>
      </c>
      <c r="P357" s="30" t="n"/>
      <c r="Q357" s="30" t="n"/>
      <c r="R357" s="29" t="n"/>
      <c r="S357" s="30" t="n"/>
      <c r="T357" s="30" t="n"/>
      <c r="U357" s="197">
        <f>IFERROR(U327/U140*365*1,"n/a")</f>
        <v/>
      </c>
      <c r="V357" s="30" t="n"/>
      <c r="W357" s="30" t="n"/>
      <c r="X357" s="29" t="n"/>
      <c r="Y357" s="30" t="n"/>
      <c r="Z357" s="30" t="n"/>
      <c r="AA357" s="197">
        <f>IFERROR(AA327/AA140*365*1,"n/a")</f>
        <v/>
      </c>
      <c r="AB357" s="30" t="n"/>
      <c r="AC357" s="30" t="n"/>
      <c r="AD357" s="29" t="n"/>
      <c r="AE357" s="30" t="n"/>
      <c r="AF357" s="30" t="n"/>
      <c r="AG357" s="197">
        <f>IFERROR(AG327/AG140*365*1,"n/a")</f>
        <v/>
      </c>
      <c r="AH357" s="30" t="n"/>
      <c r="AI357" s="30" t="n"/>
      <c r="AJ357" s="29" t="n"/>
      <c r="AK357" s="30" t="n"/>
      <c r="AL357" s="30" t="n"/>
      <c r="AM357" s="197">
        <f>IFERROR(AM327/AM140*365*1,"n/a")</f>
        <v/>
      </c>
      <c r="AN357" s="30" t="n"/>
      <c r="AO357" s="30" t="n"/>
      <c r="AP357" s="29" t="n"/>
      <c r="AQ357" s="30" t="n"/>
      <c r="AR357" s="30" t="n"/>
      <c r="AS357" s="197">
        <f>IFERROR(AS327/AS140*365*1,"n/a")</f>
        <v/>
      </c>
      <c r="AT357" s="30" t="n"/>
      <c r="AU357" s="30" t="n"/>
      <c r="AV357" s="29" t="n"/>
      <c r="AW357" s="30" t="n"/>
      <c r="AX357" s="30" t="n"/>
      <c r="AY357" s="197">
        <f>IFERROR(AY327/AY140*365*1,"n/a")</f>
        <v/>
      </c>
      <c r="AZ357" s="30" t="n"/>
      <c r="BA357" s="30" t="n"/>
      <c r="BB357" s="29" t="n"/>
      <c r="BC357" s="30" t="n"/>
      <c r="BD357" s="30" t="n"/>
      <c r="BE357" s="197">
        <f>IFERROR(BE327/BE140*365*1,"n/a")</f>
        <v/>
      </c>
      <c r="BF357" s="30" t="n"/>
      <c r="BG357" s="30" t="n"/>
      <c r="BH357" s="29" t="n"/>
      <c r="BI357" s="30" t="n"/>
      <c r="BJ357" s="30" t="n"/>
      <c r="BK357" s="197">
        <f>IFERROR(BK327/BK140*365*1,"n/a")</f>
        <v/>
      </c>
      <c r="BL357" s="30" t="n"/>
      <c r="BM357" s="30" t="n"/>
      <c r="BN357" s="29" t="n"/>
      <c r="BO357" s="30" t="n"/>
      <c r="BP357" s="30" t="n"/>
      <c r="BQ357" s="197">
        <f>IFERROR(BQ327/BQ140*365*1,"n/a")</f>
        <v/>
      </c>
      <c r="BR357" s="30" t="n"/>
      <c r="BS357" s="30" t="n"/>
      <c r="BT357" s="29" t="n"/>
      <c r="BU357" s="30" t="n"/>
      <c r="BV357" s="30" t="n"/>
      <c r="BW357" s="197">
        <f>IFERROR(BW327/BW140*365*1,"n/a")</f>
        <v/>
      </c>
      <c r="BX357" s="30" t="n"/>
      <c r="BY357" s="30" t="n"/>
      <c r="BZ357" s="29" t="n"/>
      <c r="CA357" s="30" t="n"/>
      <c r="CB357" s="30" t="n"/>
      <c r="CC357" s="197">
        <f>IFERROR(CC327/CC140*365*1,"n/a")</f>
        <v/>
      </c>
      <c r="CD357" s="30" t="n"/>
      <c r="CE357" s="30" t="n"/>
      <c r="CF357" s="29" t="n"/>
      <c r="CG357" s="30" t="n"/>
      <c r="CH357" s="30" t="n"/>
      <c r="CI357" s="197">
        <f>IFERROR(CI327/CI140*365*1,"n/a")</f>
        <v/>
      </c>
      <c r="CJ357" s="30" t="n"/>
      <c r="CK357" s="30" t="n"/>
      <c r="CL357" s="197">
        <f>IFERROR(CL327/CL140*365*0.5,"n/a")</f>
        <v/>
      </c>
      <c r="CM357" s="31" t="n"/>
      <c r="CN357" s="31" t="n"/>
      <c r="CO357" s="198" t="n">
        <v>27</v>
      </c>
      <c r="CP357" s="198" t="n">
        <v>27</v>
      </c>
      <c r="CQ357" s="198" t="n">
        <v>27</v>
      </c>
      <c r="CR357" s="198" t="n">
        <v>27</v>
      </c>
      <c r="CS357" s="198" t="n">
        <v>27</v>
      </c>
      <c r="CT357" s="22" t="n"/>
      <c r="CV357" s="23" t="n"/>
      <c r="CW357" s="23" t="n"/>
      <c r="CX357" s="23" t="n"/>
      <c r="CY357" s="23" t="n"/>
    </row>
    <row r="358" ht="15" customHeight="1">
      <c r="B358" s="25" t="inlineStr">
        <is>
          <t xml:space="preserve">  Other current liabilities % of revenues</t>
        </is>
      </c>
      <c r="C358" s="179">
        <f>IFERROR(C328/C138*1,"n/a")</f>
        <v/>
      </c>
      <c r="D358" s="179">
        <f>IFERROR(D328/D138*1,"n/a")</f>
        <v/>
      </c>
      <c r="E358" s="179">
        <f>IFERROR(E328/E138*1,"n/a")</f>
        <v/>
      </c>
      <c r="F358" s="179">
        <f>IFERROR(F328/F138*1,"n/a")</f>
        <v/>
      </c>
      <c r="G358" s="179">
        <f>IFERROR(G328/G138*1,"n/a")</f>
        <v/>
      </c>
      <c r="H358" s="179">
        <f>IFERROR(H328/H138*1,"n/a")</f>
        <v/>
      </c>
      <c r="I358" s="179">
        <f>IFERROR(I328/I138*1,"n/a")</f>
        <v/>
      </c>
      <c r="J358" s="39" t="n"/>
      <c r="K358" s="39" t="n"/>
      <c r="L358" s="39" t="n"/>
      <c r="M358" s="39" t="n"/>
      <c r="N358" s="39" t="n"/>
      <c r="O358" s="179">
        <f>IFERROR(O328/O138*1,"n/a")</f>
        <v/>
      </c>
      <c r="P358" s="39" t="n"/>
      <c r="Q358" s="39" t="n"/>
      <c r="R358" s="39" t="n"/>
      <c r="S358" s="39" t="n"/>
      <c r="T358" s="39" t="n"/>
      <c r="U358" s="179">
        <f>IFERROR(U328/U138*1,"n/a")</f>
        <v/>
      </c>
      <c r="V358" s="39" t="n"/>
      <c r="W358" s="39" t="n"/>
      <c r="X358" s="39" t="n"/>
      <c r="Y358" s="39" t="n"/>
      <c r="Z358" s="39" t="n"/>
      <c r="AA358" s="179">
        <f>IFERROR(AA328/AA138*1,"n/a")</f>
        <v/>
      </c>
      <c r="AB358" s="39" t="n"/>
      <c r="AC358" s="39" t="n"/>
      <c r="AD358" s="39" t="n"/>
      <c r="AE358" s="39" t="n"/>
      <c r="AF358" s="39" t="n"/>
      <c r="AG358" s="179">
        <f>IFERROR(AG328/AG138*1,"n/a")</f>
        <v/>
      </c>
      <c r="AH358" s="39" t="n"/>
      <c r="AI358" s="39" t="n"/>
      <c r="AJ358" s="39" t="n"/>
      <c r="AK358" s="39" t="n"/>
      <c r="AL358" s="39" t="n"/>
      <c r="AM358" s="179">
        <f>IFERROR(AM328/AM138*1,"n/a")</f>
        <v/>
      </c>
      <c r="AN358" s="39" t="n"/>
      <c r="AO358" s="39" t="n"/>
      <c r="AP358" s="39" t="n"/>
      <c r="AQ358" s="39" t="n"/>
      <c r="AR358" s="39" t="n"/>
      <c r="AS358" s="179">
        <f>IFERROR(AS328/AS138*1,"n/a")</f>
        <v/>
      </c>
      <c r="AT358" s="39" t="n"/>
      <c r="AU358" s="39" t="n"/>
      <c r="AV358" s="39" t="n"/>
      <c r="AW358" s="39" t="n"/>
      <c r="AX358" s="39" t="n"/>
      <c r="AY358" s="179">
        <f>IFERROR(AY328/AY138*1,"n/a")</f>
        <v/>
      </c>
      <c r="AZ358" s="39" t="n"/>
      <c r="BA358" s="39" t="n"/>
      <c r="BB358" s="39" t="n"/>
      <c r="BC358" s="39" t="n"/>
      <c r="BD358" s="39" t="n"/>
      <c r="BE358" s="179">
        <f>IFERROR(BE328/BE138*1,"n/a")</f>
        <v/>
      </c>
      <c r="BF358" s="39" t="n"/>
      <c r="BG358" s="39" t="n"/>
      <c r="BH358" s="39" t="n"/>
      <c r="BI358" s="39" t="n"/>
      <c r="BJ358" s="39" t="n"/>
      <c r="BK358" s="179">
        <f>IFERROR(BK328/BK138*1,"n/a")</f>
        <v/>
      </c>
      <c r="BL358" s="39" t="n"/>
      <c r="BM358" s="39" t="n"/>
      <c r="BN358" s="39" t="n"/>
      <c r="BO358" s="39" t="n"/>
      <c r="BP358" s="39" t="n"/>
      <c r="BQ358" s="179">
        <f>IFERROR(BQ328/BQ138*1,"n/a")</f>
        <v/>
      </c>
      <c r="BR358" s="39" t="n"/>
      <c r="BS358" s="39" t="n"/>
      <c r="BT358" s="39" t="n"/>
      <c r="BU358" s="39" t="n"/>
      <c r="BV358" s="39" t="n"/>
      <c r="BW358" s="179">
        <f>IFERROR(BW328/BW138*1,"n/a")</f>
        <v/>
      </c>
      <c r="BX358" s="39" t="n"/>
      <c r="BY358" s="39" t="n"/>
      <c r="BZ358" s="39" t="n"/>
      <c r="CA358" s="39" t="n"/>
      <c r="CB358" s="39" t="n"/>
      <c r="CC358" s="179">
        <f>IFERROR(CC328/CC138*1,"n/a")</f>
        <v/>
      </c>
      <c r="CD358" s="39" t="n"/>
      <c r="CE358" s="39" t="n"/>
      <c r="CF358" s="39" t="n"/>
      <c r="CG358" s="39" t="n"/>
      <c r="CH358" s="39" t="n"/>
      <c r="CI358" s="179">
        <f>IFERROR(CI328/CI138*1,"n/a")</f>
        <v/>
      </c>
      <c r="CJ358" s="39" t="n"/>
      <c r="CK358" s="39" t="n"/>
      <c r="CL358" s="179">
        <f>IFERROR(CL328/CL138*0.5,"n/a")</f>
        <v/>
      </c>
      <c r="CM358" s="27" t="n"/>
      <c r="CN358" s="27" t="n"/>
      <c r="CO358" s="182" t="n">
        <v>0.055</v>
      </c>
      <c r="CP358" s="182" t="n">
        <v>0.055</v>
      </c>
      <c r="CQ358" s="182" t="n">
        <v>0.055</v>
      </c>
      <c r="CR358" s="182" t="n">
        <v>0.055</v>
      </c>
      <c r="CS358" s="182" t="n">
        <v>0.055</v>
      </c>
      <c r="CT358" s="22" t="n"/>
      <c r="CV358" s="40" t="n"/>
      <c r="CW358" s="40" t="n"/>
      <c r="CX358" s="40" t="n"/>
      <c r="CY358" s="40" t="n"/>
    </row>
    <row r="359" ht="15" customHeight="1">
      <c r="B359" s="12" t="inlineStr">
        <is>
          <t xml:space="preserve">  Operating NWC (receivables + inventories + other CA − payables − other CL)</t>
        </is>
      </c>
      <c r="C359" s="170">
        <f>IF(ISNUMBER(C310),C310+C311+N(C312)-C327-N(C328),"n/a")</f>
        <v/>
      </c>
      <c r="D359" s="170">
        <f>IF(ISNUMBER(D310),D310+D311+N(D312)-D327-N(D328),"n/a")</f>
        <v/>
      </c>
      <c r="E359" s="170">
        <f>IF(ISNUMBER(E310),E310+E311+N(E312)-E327-N(E328),"n/a")</f>
        <v/>
      </c>
      <c r="F359" s="170">
        <f>IF(ISNUMBER(F310),F310+F311+N(F312)-F327-N(F328),"n/a")</f>
        <v/>
      </c>
      <c r="G359" s="170">
        <f>IF(ISNUMBER(G310),G310+G311+N(G312)-G327-N(G328),"n/a")</f>
        <v/>
      </c>
      <c r="H359" s="170">
        <f>IF(ISNUMBER(H310),H310+H311+N(H312)-H327-N(H328),"n/a")</f>
        <v/>
      </c>
      <c r="I359" s="170">
        <f>IF(ISNUMBER(I310),I310+I311+N(I312)-I327-N(I328),"n/a")</f>
        <v/>
      </c>
      <c r="J359" s="30" t="n"/>
      <c r="K359" s="30" t="n"/>
      <c r="L359" s="29" t="n"/>
      <c r="M359" s="30" t="n"/>
      <c r="N359" s="30" t="n"/>
      <c r="O359" s="170">
        <f>IF(ISNUMBER(O310),O310+O311+N(O312)-O327-N(O328),"n/a")</f>
        <v/>
      </c>
      <c r="P359" s="30" t="n"/>
      <c r="Q359" s="30" t="n"/>
      <c r="R359" s="29" t="n"/>
      <c r="S359" s="30" t="n"/>
      <c r="T359" s="30" t="n"/>
      <c r="U359" s="170">
        <f>IF(ISNUMBER(U310),U310+U311+N(U312)-U327-N(U328),"n/a")</f>
        <v/>
      </c>
      <c r="V359" s="30" t="n"/>
      <c r="W359" s="30" t="n"/>
      <c r="X359" s="29" t="n"/>
      <c r="Y359" s="30" t="n"/>
      <c r="Z359" s="30" t="n"/>
      <c r="AA359" s="170">
        <f>IF(ISNUMBER(AA310),AA310+AA311+N(AA312)-AA327-N(AA328),"n/a")</f>
        <v/>
      </c>
      <c r="AB359" s="30" t="n"/>
      <c r="AC359" s="30" t="n"/>
      <c r="AD359" s="29" t="n"/>
      <c r="AE359" s="30" t="n"/>
      <c r="AF359" s="30" t="n"/>
      <c r="AG359" s="170">
        <f>IF(ISNUMBER(AG310),AG310+AG311+N(AG312)-AG327-N(AG328),"n/a")</f>
        <v/>
      </c>
      <c r="AH359" s="30" t="n"/>
      <c r="AI359" s="30" t="n"/>
      <c r="AJ359" s="29" t="n"/>
      <c r="AK359" s="30" t="n"/>
      <c r="AL359" s="30" t="n"/>
      <c r="AM359" s="170">
        <f>IF(ISNUMBER(AM310),AM310+AM311+N(AM312)-AM327-N(AM328),"n/a")</f>
        <v/>
      </c>
      <c r="AN359" s="30" t="n"/>
      <c r="AO359" s="30" t="n"/>
      <c r="AP359" s="29" t="n"/>
      <c r="AQ359" s="30" t="n"/>
      <c r="AR359" s="30" t="n"/>
      <c r="AS359" s="170">
        <f>IF(ISNUMBER(AS310),AS310+AS311+N(AS312)-AS327-N(AS328),"n/a")</f>
        <v/>
      </c>
      <c r="AT359" s="30" t="n"/>
      <c r="AU359" s="30" t="n"/>
      <c r="AV359" s="29" t="n"/>
      <c r="AW359" s="30" t="n"/>
      <c r="AX359" s="30" t="n"/>
      <c r="AY359" s="170">
        <f>IF(ISNUMBER(AY310),AY310+AY311+N(AY312)-AY327-N(AY328),"n/a")</f>
        <v/>
      </c>
      <c r="AZ359" s="30" t="n"/>
      <c r="BA359" s="30" t="n"/>
      <c r="BB359" s="29" t="n"/>
      <c r="BC359" s="30" t="n"/>
      <c r="BD359" s="30" t="n"/>
      <c r="BE359" s="170">
        <f>IF(ISNUMBER(BE310),BE310+BE311+N(BE312)-BE327-N(BE328),"n/a")</f>
        <v/>
      </c>
      <c r="BF359" s="30" t="n"/>
      <c r="BG359" s="30" t="n"/>
      <c r="BH359" s="29" t="n"/>
      <c r="BI359" s="30" t="n"/>
      <c r="BJ359" s="30" t="n"/>
      <c r="BK359" s="170">
        <f>IF(ISNUMBER(BK310),BK310+BK311+N(BK312)-BK327-N(BK328),"n/a")</f>
        <v/>
      </c>
      <c r="BL359" s="30" t="n"/>
      <c r="BM359" s="30" t="n"/>
      <c r="BN359" s="29" t="n"/>
      <c r="BO359" s="30" t="n"/>
      <c r="BP359" s="30" t="n"/>
      <c r="BQ359" s="170">
        <f>IF(ISNUMBER(BQ310),BQ310+BQ311+N(BQ312)-BQ327-N(BQ328),"n/a")</f>
        <v/>
      </c>
      <c r="BR359" s="30" t="n"/>
      <c r="BS359" s="30" t="n"/>
      <c r="BT359" s="29" t="n"/>
      <c r="BU359" s="30" t="n"/>
      <c r="BV359" s="30" t="n"/>
      <c r="BW359" s="170">
        <f>IF(ISNUMBER(BW310),BW310+BW311+N(BW312)-BW327-N(BW328),"n/a")</f>
        <v/>
      </c>
      <c r="BX359" s="30" t="n"/>
      <c r="BY359" s="30" t="n"/>
      <c r="BZ359" s="29" t="n"/>
      <c r="CA359" s="30" t="n"/>
      <c r="CB359" s="30" t="n"/>
      <c r="CC359" s="170">
        <f>IF(ISNUMBER(CC310),CC310+CC311+N(CC312)-CC327-N(CC328),"n/a")</f>
        <v/>
      </c>
      <c r="CD359" s="30" t="n"/>
      <c r="CE359" s="30" t="n"/>
      <c r="CF359" s="29" t="n"/>
      <c r="CG359" s="30" t="n"/>
      <c r="CH359" s="30" t="n"/>
      <c r="CI359" s="170">
        <f>IF(ISNUMBER(CI310),CI310+CI311+N(CI312)-CI327-N(CI328),"n/a")</f>
        <v/>
      </c>
      <c r="CJ359" s="30" t="n"/>
      <c r="CK359" s="30" t="n"/>
      <c r="CL359" s="170">
        <f>IF(ISNUMBER(CL310),CL310+CL311+N(CL312)-CL327-N(CL328),"n/a")</f>
        <v/>
      </c>
      <c r="CM359" s="31" t="n"/>
      <c r="CN359" s="31" t="n"/>
      <c r="CO359" s="171">
        <f>IF(ISNUMBER(CO310),CO310+CO311+N(CO312)-CO327-N(CO328),"n/a")</f>
        <v/>
      </c>
      <c r="CP359" s="171">
        <f>IF(ISNUMBER(CP310),CP310+CP311+N(CP312)-CP327-N(CP328),"n/a")</f>
        <v/>
      </c>
      <c r="CQ359" s="171">
        <f>IF(ISNUMBER(CQ310),CQ310+CQ311+N(CQ312)-CQ327-N(CQ328),"n/a")</f>
        <v/>
      </c>
      <c r="CR359" s="171">
        <f>IF(ISNUMBER(CR310),CR310+CR311+N(CR312)-CR327-N(CR328),"n/a")</f>
        <v/>
      </c>
      <c r="CS359" s="171">
        <f>IF(ISNUMBER(CS310),CS310+CS311+N(CS312)-CS327-N(CS328),"n/a")</f>
        <v/>
      </c>
      <c r="CT359" s="22" t="n"/>
      <c r="CV359" s="23" t="n"/>
      <c r="CW359" s="23" t="n"/>
      <c r="CX359" s="23" t="n"/>
      <c r="CY359" s="23" t="n"/>
    </row>
    <row r="360" ht="15" customHeight="1">
      <c r="B360" s="25" t="inlineStr">
        <is>
          <t xml:space="preserve">  NWC % of revenues</t>
        </is>
      </c>
      <c r="C360" s="179">
        <f>IFERROR(C359/C138,"n/a")</f>
        <v/>
      </c>
      <c r="D360" s="179">
        <f>IFERROR(D359/D138,"n/a")</f>
        <v/>
      </c>
      <c r="E360" s="179">
        <f>IFERROR(E359/E138,"n/a")</f>
        <v/>
      </c>
      <c r="F360" s="179">
        <f>IFERROR(F359/F138,"n/a")</f>
        <v/>
      </c>
      <c r="G360" s="179">
        <f>IFERROR(G359/G138,"n/a")</f>
        <v/>
      </c>
      <c r="H360" s="179">
        <f>IFERROR(H359/H138,"n/a")</f>
        <v/>
      </c>
      <c r="I360" s="179">
        <f>IFERROR(I359/I138,"n/a")</f>
        <v/>
      </c>
      <c r="J360" s="39" t="n"/>
      <c r="K360" s="39" t="n"/>
      <c r="L360" s="39" t="n"/>
      <c r="M360" s="39" t="n"/>
      <c r="N360" s="39" t="n"/>
      <c r="O360" s="179">
        <f>IFERROR(O359/O138,"n/a")</f>
        <v/>
      </c>
      <c r="P360" s="39" t="n"/>
      <c r="Q360" s="39" t="n"/>
      <c r="R360" s="39" t="n"/>
      <c r="S360" s="39" t="n"/>
      <c r="T360" s="39" t="n"/>
      <c r="U360" s="179">
        <f>IFERROR(U359/U138,"n/a")</f>
        <v/>
      </c>
      <c r="V360" s="39" t="n"/>
      <c r="W360" s="39" t="n"/>
      <c r="X360" s="39" t="n"/>
      <c r="Y360" s="39" t="n"/>
      <c r="Z360" s="39" t="n"/>
      <c r="AA360" s="179">
        <f>IFERROR(AA359/AA138,"n/a")</f>
        <v/>
      </c>
      <c r="AB360" s="39" t="n"/>
      <c r="AC360" s="39" t="n"/>
      <c r="AD360" s="39" t="n"/>
      <c r="AE360" s="39" t="n"/>
      <c r="AF360" s="39" t="n"/>
      <c r="AG360" s="179">
        <f>IFERROR(AG359/AG138,"n/a")</f>
        <v/>
      </c>
      <c r="AH360" s="39" t="n"/>
      <c r="AI360" s="39" t="n"/>
      <c r="AJ360" s="39" t="n"/>
      <c r="AK360" s="39" t="n"/>
      <c r="AL360" s="39" t="n"/>
      <c r="AM360" s="179">
        <f>IFERROR(AM359/AM138,"n/a")</f>
        <v/>
      </c>
      <c r="AN360" s="39" t="n"/>
      <c r="AO360" s="39" t="n"/>
      <c r="AP360" s="39" t="n"/>
      <c r="AQ360" s="39" t="n"/>
      <c r="AR360" s="39" t="n"/>
      <c r="AS360" s="179">
        <f>IFERROR(AS359/AS138,"n/a")</f>
        <v/>
      </c>
      <c r="AT360" s="39" t="n"/>
      <c r="AU360" s="39" t="n"/>
      <c r="AV360" s="39" t="n"/>
      <c r="AW360" s="39" t="n"/>
      <c r="AX360" s="39" t="n"/>
      <c r="AY360" s="179">
        <f>IFERROR(AY359/AY138,"n/a")</f>
        <v/>
      </c>
      <c r="AZ360" s="39" t="n"/>
      <c r="BA360" s="39" t="n"/>
      <c r="BB360" s="39" t="n"/>
      <c r="BC360" s="39" t="n"/>
      <c r="BD360" s="39" t="n"/>
      <c r="BE360" s="179">
        <f>IFERROR(BE359/BE138,"n/a")</f>
        <v/>
      </c>
      <c r="BF360" s="39" t="n"/>
      <c r="BG360" s="39" t="n"/>
      <c r="BH360" s="39" t="n"/>
      <c r="BI360" s="39" t="n"/>
      <c r="BJ360" s="39" t="n"/>
      <c r="BK360" s="179">
        <f>IFERROR(BK359/BK138,"n/a")</f>
        <v/>
      </c>
      <c r="BL360" s="39" t="n"/>
      <c r="BM360" s="39" t="n"/>
      <c r="BN360" s="39" t="n"/>
      <c r="BO360" s="39" t="n"/>
      <c r="BP360" s="39" t="n"/>
      <c r="BQ360" s="179">
        <f>IFERROR(BQ359/BQ138,"n/a")</f>
        <v/>
      </c>
      <c r="BR360" s="39" t="n"/>
      <c r="BS360" s="39" t="n"/>
      <c r="BT360" s="39" t="n"/>
      <c r="BU360" s="39" t="n"/>
      <c r="BV360" s="39" t="n"/>
      <c r="BW360" s="179">
        <f>IFERROR(BW359/BW138,"n/a")</f>
        <v/>
      </c>
      <c r="BX360" s="39" t="n"/>
      <c r="BY360" s="39" t="n"/>
      <c r="BZ360" s="39" t="n"/>
      <c r="CA360" s="39" t="n"/>
      <c r="CB360" s="39" t="n"/>
      <c r="CC360" s="179">
        <f>IFERROR(CC359/CC138,"n/a")</f>
        <v/>
      </c>
      <c r="CD360" s="39" t="n"/>
      <c r="CE360" s="39" t="n"/>
      <c r="CF360" s="39" t="n"/>
      <c r="CG360" s="39" t="n"/>
      <c r="CH360" s="39" t="n"/>
      <c r="CI360" s="179">
        <f>IFERROR(CI359/CI138,"n/a")</f>
        <v/>
      </c>
      <c r="CJ360" s="39" t="n"/>
      <c r="CK360" s="39" t="n"/>
      <c r="CL360" s="39" t="n"/>
      <c r="CM360" s="27" t="n"/>
      <c r="CN360" s="27" t="n"/>
      <c r="CO360" s="165">
        <f>IFERROR(CO359/CO138,"n/a")</f>
        <v/>
      </c>
      <c r="CP360" s="165">
        <f>IFERROR(CP359/CP138,"n/a")</f>
        <v/>
      </c>
      <c r="CQ360" s="165">
        <f>IFERROR(CQ359/CQ138,"n/a")</f>
        <v/>
      </c>
      <c r="CR360" s="165">
        <f>IFERROR(CR359/CR138,"n/a")</f>
        <v/>
      </c>
      <c r="CS360" s="165">
        <f>IFERROR(CS359/CS138,"n/a")</f>
        <v/>
      </c>
      <c r="CT360" s="22" t="n"/>
      <c r="CV360" s="40" t="n"/>
      <c r="CW360" s="40" t="n"/>
      <c r="CX360" s="40" t="n"/>
      <c r="CY360" s="40" t="n"/>
    </row>
    <row r="361" ht="15" customHeight="1">
      <c r="B361" s="12" t="inlineStr">
        <is>
          <t xml:space="preserve">  ΔNWC (y/y)</t>
        </is>
      </c>
      <c r="C361" s="29" t="n"/>
      <c r="D361" s="170">
        <f>IFERROR(D359-C359,"n/a")</f>
        <v/>
      </c>
      <c r="E361" s="170">
        <f>IFERROR(E359-D359,"n/a")</f>
        <v/>
      </c>
      <c r="F361" s="170">
        <f>IFERROR(F359-E359,"n/a")</f>
        <v/>
      </c>
      <c r="G361" s="170">
        <f>IFERROR(G359-F359,"n/a")</f>
        <v/>
      </c>
      <c r="H361" s="170">
        <f>IFERROR(H359-G359,"n/a")</f>
        <v/>
      </c>
      <c r="I361" s="170">
        <f>IFERROR(I359-H359,"n/a")</f>
        <v/>
      </c>
      <c r="J361" s="30" t="n"/>
      <c r="K361" s="30" t="n"/>
      <c r="L361" s="29" t="n"/>
      <c r="M361" s="30" t="n"/>
      <c r="N361" s="30" t="n"/>
      <c r="O361" s="170">
        <f>IFERROR(O359-I359,"n/a")</f>
        <v/>
      </c>
      <c r="P361" s="30" t="n"/>
      <c r="Q361" s="30" t="n"/>
      <c r="R361" s="29" t="n"/>
      <c r="S361" s="30" t="n"/>
      <c r="T361" s="30" t="n"/>
      <c r="U361" s="170">
        <f>IFERROR(U359-O359,"n/a")</f>
        <v/>
      </c>
      <c r="V361" s="30" t="n"/>
      <c r="W361" s="30" t="n"/>
      <c r="X361" s="29" t="n"/>
      <c r="Y361" s="30" t="n"/>
      <c r="Z361" s="30" t="n"/>
      <c r="AA361" s="170">
        <f>IFERROR(AA359-U359,"n/a")</f>
        <v/>
      </c>
      <c r="AB361" s="30" t="n"/>
      <c r="AC361" s="30" t="n"/>
      <c r="AD361" s="29" t="n"/>
      <c r="AE361" s="30" t="n"/>
      <c r="AF361" s="30" t="n"/>
      <c r="AG361" s="170">
        <f>IFERROR(AG359-AA359,"n/a")</f>
        <v/>
      </c>
      <c r="AH361" s="30" t="n"/>
      <c r="AI361" s="30" t="n"/>
      <c r="AJ361" s="29" t="n"/>
      <c r="AK361" s="30" t="n"/>
      <c r="AL361" s="30" t="n"/>
      <c r="AM361" s="170">
        <f>IFERROR(AM359-AG359,"n/a")</f>
        <v/>
      </c>
      <c r="AN361" s="30" t="n"/>
      <c r="AO361" s="30" t="n"/>
      <c r="AP361" s="29" t="n"/>
      <c r="AQ361" s="30" t="n"/>
      <c r="AR361" s="30" t="n"/>
      <c r="AS361" s="170">
        <f>IFERROR(AS359-AM359,"n/a")</f>
        <v/>
      </c>
      <c r="AT361" s="30" t="n"/>
      <c r="AU361" s="30" t="n"/>
      <c r="AV361" s="29" t="n"/>
      <c r="AW361" s="30" t="n"/>
      <c r="AX361" s="30" t="n"/>
      <c r="AY361" s="170">
        <f>IFERROR(AY359-AS359,"n/a")</f>
        <v/>
      </c>
      <c r="AZ361" s="30" t="n"/>
      <c r="BA361" s="30" t="n"/>
      <c r="BB361" s="29" t="n"/>
      <c r="BC361" s="30" t="n"/>
      <c r="BD361" s="30" t="n"/>
      <c r="BE361" s="170">
        <f>IFERROR(BE359-AY359,"n/a")</f>
        <v/>
      </c>
      <c r="BF361" s="30" t="n"/>
      <c r="BG361" s="30" t="n"/>
      <c r="BH361" s="29" t="n"/>
      <c r="BI361" s="30" t="n"/>
      <c r="BJ361" s="30" t="n"/>
      <c r="BK361" s="170">
        <f>IFERROR(BK359-BE359,"n/a")</f>
        <v/>
      </c>
      <c r="BL361" s="30" t="n"/>
      <c r="BM361" s="30" t="n"/>
      <c r="BN361" s="29" t="n"/>
      <c r="BO361" s="30" t="n"/>
      <c r="BP361" s="30" t="n"/>
      <c r="BQ361" s="170">
        <f>IFERROR(BQ359-BK359,"n/a")</f>
        <v/>
      </c>
      <c r="BR361" s="30" t="n"/>
      <c r="BS361" s="30" t="n"/>
      <c r="BT361" s="29" t="n"/>
      <c r="BU361" s="30" t="n"/>
      <c r="BV361" s="30" t="n"/>
      <c r="BW361" s="170">
        <f>IFERROR(BW359-BQ359,"n/a")</f>
        <v/>
      </c>
      <c r="BX361" s="30" t="n"/>
      <c r="BY361" s="30" t="n"/>
      <c r="BZ361" s="29" t="n"/>
      <c r="CA361" s="30" t="n"/>
      <c r="CB361" s="30" t="n"/>
      <c r="CC361" s="170">
        <f>IFERROR(CC359-BW359,"n/a")</f>
        <v/>
      </c>
      <c r="CD361" s="30" t="n"/>
      <c r="CE361" s="30" t="n"/>
      <c r="CF361" s="29" t="n"/>
      <c r="CG361" s="30" t="n"/>
      <c r="CH361" s="30" t="n"/>
      <c r="CI361" s="170">
        <f>IFERROR(CI359-CC359,"n/a")</f>
        <v/>
      </c>
      <c r="CJ361" s="30" t="n"/>
      <c r="CK361" s="30" t="n"/>
      <c r="CL361" s="29" t="n"/>
      <c r="CM361" s="31" t="n"/>
      <c r="CN361" s="31" t="n"/>
      <c r="CO361" s="171">
        <f>IFERROR(CO359-CI359,"n/a")</f>
        <v/>
      </c>
      <c r="CP361" s="171">
        <f>IFERROR(CP359-CO359,"n/a")</f>
        <v/>
      </c>
      <c r="CQ361" s="171">
        <f>IFERROR(CQ359-CP359,"n/a")</f>
        <v/>
      </c>
      <c r="CR361" s="171">
        <f>IFERROR(CR359-CQ359,"n/a")</f>
        <v/>
      </c>
      <c r="CS361" s="171">
        <f>IFERROR(CS359-CR359,"n/a")</f>
        <v/>
      </c>
      <c r="CT361" s="22" t="n"/>
      <c r="CV361" s="23" t="n"/>
      <c r="CW361" s="23" t="n"/>
      <c r="CX361" s="23" t="n"/>
      <c r="CY361" s="23" t="n"/>
    </row>
    <row r="362" ht="15" customHeight="1">
      <c r="B362" s="12" t="n"/>
      <c r="CM362" s="6" t="n"/>
      <c r="CN362" s="6" t="n"/>
      <c r="CO362" s="6" t="n"/>
      <c r="CP362" s="6" t="n"/>
      <c r="CQ362" s="6" t="n"/>
      <c r="CR362" s="6" t="n"/>
      <c r="CS362" s="6" t="n"/>
      <c r="CT362" s="6" t="n"/>
    </row>
    <row r="363" ht="15" customHeight="1">
      <c r="B363" s="11" t="inlineStr">
        <is>
          <t>BALANCE SHEET FORECAST SCHEDULES</t>
        </is>
      </c>
      <c r="C363" s="11" t="n"/>
      <c r="D363" s="11" t="n"/>
      <c r="E363" s="11"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c r="AB363" s="11" t="n"/>
      <c r="AC363" s="11" t="n"/>
      <c r="AD363" s="11" t="n"/>
      <c r="AE363" s="11" t="n"/>
      <c r="AF363" s="11" t="n"/>
      <c r="AG363" s="11" t="n"/>
      <c r="AH363" s="11" t="n"/>
      <c r="AI363" s="11" t="n"/>
      <c r="AJ363" s="11" t="n"/>
      <c r="AK363" s="11" t="n"/>
      <c r="AL363" s="11" t="n"/>
      <c r="AM363" s="11" t="n"/>
      <c r="AN363" s="11" t="n"/>
      <c r="AO363" s="11" t="n"/>
      <c r="AP363" s="11" t="n"/>
      <c r="AQ363" s="11" t="n"/>
      <c r="AR363" s="11" t="n"/>
      <c r="AS363" s="11" t="n"/>
      <c r="AT363" s="11" t="n"/>
      <c r="AU363" s="11" t="n"/>
      <c r="AV363" s="11" t="n"/>
      <c r="AW363" s="11" t="n"/>
      <c r="AX363" s="11" t="n"/>
      <c r="AY363" s="11" t="n"/>
      <c r="AZ363" s="11" t="n"/>
      <c r="BA363" s="11" t="n"/>
      <c r="BB363" s="11" t="n"/>
      <c r="BC363" s="11" t="n"/>
      <c r="BD363" s="11" t="n"/>
      <c r="BE363" s="11" t="n"/>
      <c r="BF363" s="11" t="n"/>
      <c r="BG363" s="11" t="n"/>
      <c r="BH363" s="11" t="n"/>
      <c r="BI363" s="11" t="n"/>
      <c r="BJ363" s="11" t="n"/>
      <c r="BK363" s="11" t="n"/>
      <c r="BL363" s="11" t="n"/>
      <c r="BM363" s="11" t="n"/>
      <c r="BN363" s="11" t="n"/>
      <c r="BO363" s="11" t="n"/>
      <c r="BP363" s="11" t="n"/>
      <c r="BQ363" s="11" t="n"/>
      <c r="BR363" s="11" t="n"/>
      <c r="BS363" s="11" t="n"/>
      <c r="BT363" s="11" t="n"/>
      <c r="BU363" s="11" t="n"/>
      <c r="BV363" s="11" t="n"/>
      <c r="BW363" s="11" t="n"/>
      <c r="BX363" s="11" t="n"/>
      <c r="BY363" s="11" t="n"/>
      <c r="BZ363" s="11" t="n"/>
      <c r="CA363" s="11" t="n"/>
      <c r="CB363" s="11" t="n"/>
      <c r="CC363" s="11" t="n"/>
      <c r="CD363" s="11" t="n"/>
      <c r="CE363" s="11" t="n"/>
      <c r="CF363" s="11" t="n"/>
      <c r="CG363" s="11" t="n"/>
      <c r="CH363" s="11" t="n"/>
      <c r="CI363" s="11" t="n"/>
      <c r="CJ363" s="11" t="n"/>
      <c r="CK363" s="11" t="n"/>
      <c r="CL363" s="11" t="n"/>
      <c r="CM363" s="11" t="n"/>
      <c r="CN363" s="11" t="n"/>
      <c r="CO363" s="11" t="n"/>
      <c r="CP363" s="11" t="n"/>
      <c r="CQ363" s="11" t="n"/>
      <c r="CR363" s="11" t="n"/>
      <c r="CS363" s="11" t="n"/>
      <c r="CT363" s="11" t="inlineStr">
        <is>
          <t>BS FORECAST SCHEDULES — explicit driver assumptions</t>
        </is>
      </c>
    </row>
    <row r="364" ht="15" customHeight="1">
      <c r="B364" s="12" t="inlineStr">
        <is>
          <t>Asset roll-forwards &amp; non-cash items</t>
        </is>
      </c>
      <c r="C364" s="29" t="n"/>
      <c r="D364" s="29" t="n"/>
      <c r="E364" s="30" t="n"/>
      <c r="F364" s="30" t="n"/>
      <c r="G364" s="30" t="n"/>
      <c r="H364" s="30" t="n"/>
      <c r="I364" s="30" t="n"/>
      <c r="J364" s="30" t="n"/>
      <c r="K364" s="30" t="n"/>
      <c r="L364" s="29" t="n"/>
      <c r="M364" s="30" t="n"/>
      <c r="N364" s="30" t="n"/>
      <c r="O364" s="30" t="n"/>
      <c r="P364" s="30" t="n"/>
      <c r="Q364" s="30" t="n"/>
      <c r="R364" s="29" t="n"/>
      <c r="S364" s="30" t="n"/>
      <c r="T364" s="30" t="n"/>
      <c r="U364" s="30" t="n"/>
      <c r="V364" s="30" t="n"/>
      <c r="W364" s="30" t="n"/>
      <c r="X364" s="29" t="n"/>
      <c r="Y364" s="30" t="n"/>
      <c r="Z364" s="30" t="n"/>
      <c r="AA364" s="30" t="n"/>
      <c r="AB364" s="30" t="n"/>
      <c r="AC364" s="30" t="n"/>
      <c r="AD364" s="29" t="n"/>
      <c r="AE364" s="30" t="n"/>
      <c r="AF364" s="30" t="n"/>
      <c r="AG364" s="30" t="n"/>
      <c r="AH364" s="30" t="n"/>
      <c r="AI364" s="30" t="n"/>
      <c r="AJ364" s="29" t="n"/>
      <c r="AK364" s="30" t="n"/>
      <c r="AL364" s="30" t="n"/>
      <c r="AM364" s="30" t="n"/>
      <c r="AN364" s="30" t="n"/>
      <c r="AO364" s="30" t="n"/>
      <c r="AP364" s="29" t="n"/>
      <c r="AQ364" s="30" t="n"/>
      <c r="AR364" s="30" t="n"/>
      <c r="AS364" s="30" t="n"/>
      <c r="AT364" s="30" t="n"/>
      <c r="AU364" s="30" t="n"/>
      <c r="AV364" s="29" t="n"/>
      <c r="AW364" s="30" t="n"/>
      <c r="AX364" s="30" t="n"/>
      <c r="AY364" s="30" t="n"/>
      <c r="AZ364" s="30" t="n"/>
      <c r="BA364" s="30" t="n"/>
      <c r="BB364" s="29" t="n"/>
      <c r="BC364" s="30" t="n"/>
      <c r="BD364" s="30" t="n"/>
      <c r="BE364" s="30" t="n"/>
      <c r="BF364" s="30" t="n"/>
      <c r="BG364" s="30" t="n"/>
      <c r="BH364" s="29" t="n"/>
      <c r="BI364" s="30" t="n"/>
      <c r="BJ364" s="30" t="n"/>
      <c r="BK364" s="30" t="n"/>
      <c r="BL364" s="30" t="n"/>
      <c r="BM364" s="30" t="n"/>
      <c r="BN364" s="29" t="n"/>
      <c r="BO364" s="30" t="n"/>
      <c r="BP364" s="30" t="n"/>
      <c r="BQ364" s="30" t="n"/>
      <c r="BR364" s="30" t="n"/>
      <c r="BS364" s="30" t="n"/>
      <c r="BT364" s="29" t="n"/>
      <c r="BU364" s="30" t="n"/>
      <c r="BV364" s="30" t="n"/>
      <c r="BW364" s="30" t="n"/>
      <c r="BX364" s="30" t="n"/>
      <c r="BY364" s="30" t="n"/>
      <c r="BZ364" s="29" t="n"/>
      <c r="CA364" s="30" t="n"/>
      <c r="CB364" s="30" t="n"/>
      <c r="CC364" s="30" t="n"/>
      <c r="CD364" s="30" t="n"/>
      <c r="CE364" s="30" t="n"/>
      <c r="CF364" s="29" t="n"/>
      <c r="CG364" s="30" t="n"/>
      <c r="CH364" s="30" t="n"/>
      <c r="CI364" s="30" t="n"/>
      <c r="CJ364" s="30" t="n"/>
      <c r="CK364" s="30" t="n"/>
      <c r="CL364" s="29" t="n"/>
      <c r="CM364" s="31" t="n"/>
      <c r="CN364" s="31" t="n"/>
      <c r="CO364" s="31" t="n"/>
      <c r="CP364" s="31" t="n"/>
      <c r="CQ364" s="31" t="n"/>
      <c r="CR364" s="31" t="n"/>
      <c r="CS364" s="31" t="n"/>
      <c r="CT364" s="22" t="n"/>
      <c r="CV364" s="23" t="n"/>
      <c r="CW364" s="23" t="n"/>
      <c r="CX364" s="23" t="n"/>
      <c r="CY364" s="23" t="n"/>
    </row>
    <row r="365" ht="15" customHeight="1">
      <c r="B365" s="46" t="inlineStr">
        <is>
          <t xml:space="preserve">  Amortization of intangible assets (within DDA&amp;A, USDm)</t>
        </is>
      </c>
      <c r="C365" s="47" t="n"/>
      <c r="D365" s="47" t="n"/>
      <c r="E365" s="47" t="n"/>
      <c r="F365" s="47" t="n"/>
      <c r="G365" s="47" t="n"/>
      <c r="H365" s="47" t="n"/>
      <c r="I365" s="47" t="n"/>
      <c r="J365" s="47" t="n"/>
      <c r="K365" s="47" t="n"/>
      <c r="L365" s="47" t="n"/>
      <c r="M365" s="47" t="n"/>
      <c r="N365" s="47" t="n"/>
      <c r="O365" s="47" t="n"/>
      <c r="P365" s="47" t="n"/>
      <c r="Q365" s="47" t="n"/>
      <c r="R365" s="47" t="n"/>
      <c r="S365" s="47" t="n"/>
      <c r="T365" s="47" t="n"/>
      <c r="U365" s="47" t="n"/>
      <c r="V365" s="47" t="n"/>
      <c r="W365" s="47" t="n"/>
      <c r="X365" s="47" t="n"/>
      <c r="Y365" s="47" t="n"/>
      <c r="Z365" s="47" t="n"/>
      <c r="AA365" s="47" t="n"/>
      <c r="AB365" s="47" t="n"/>
      <c r="AC365" s="47" t="n"/>
      <c r="AD365" s="47" t="n"/>
      <c r="AE365" s="47" t="n"/>
      <c r="AF365" s="47" t="n"/>
      <c r="AG365" s="47" t="n"/>
      <c r="AH365" s="47" t="n"/>
      <c r="AI365" s="47" t="n"/>
      <c r="AJ365" s="47" t="n"/>
      <c r="AK365" s="47" t="n"/>
      <c r="AL365" s="47" t="n"/>
      <c r="AM365" s="47" t="n"/>
      <c r="AN365" s="47" t="n"/>
      <c r="AO365" s="47" t="n"/>
      <c r="AP365" s="47" t="n"/>
      <c r="AQ365" s="47" t="n"/>
      <c r="AR365" s="47" t="n"/>
      <c r="AS365" s="47" t="n"/>
      <c r="AT365" s="47" t="n"/>
      <c r="AU365" s="47" t="n"/>
      <c r="AV365" s="47" t="n"/>
      <c r="AW365" s="47" t="n"/>
      <c r="AX365" s="47" t="n"/>
      <c r="AY365" s="47" t="n"/>
      <c r="AZ365" s="47" t="n"/>
      <c r="BA365" s="47" t="n"/>
      <c r="BB365" s="47" t="n"/>
      <c r="BC365" s="47" t="n"/>
      <c r="BD365" s="47" t="n"/>
      <c r="BE365" s="47" t="n"/>
      <c r="BF365" s="47" t="n"/>
      <c r="BG365" s="47" t="n"/>
      <c r="BH365" s="47" t="n"/>
      <c r="BI365" s="47" t="n"/>
      <c r="BJ365" s="47" t="n"/>
      <c r="BK365" s="47" t="n"/>
      <c r="BL365" s="47" t="n"/>
      <c r="BM365" s="47" t="n"/>
      <c r="BN365" s="47" t="n"/>
      <c r="BO365" s="47" t="n"/>
      <c r="BP365" s="47" t="n"/>
      <c r="BQ365" s="47" t="n"/>
      <c r="BR365" s="47" t="n"/>
      <c r="BS365" s="47" t="n"/>
      <c r="BT365" s="47" t="n"/>
      <c r="BU365" s="47" t="n"/>
      <c r="BV365" s="47" t="n"/>
      <c r="BW365" s="47" t="n"/>
      <c r="BX365" s="47" t="n"/>
      <c r="BY365" s="47" t="n"/>
      <c r="BZ365" s="47" t="n"/>
      <c r="CA365" s="47" t="n"/>
      <c r="CB365" s="47" t="n"/>
      <c r="CC365" s="47" t="n"/>
      <c r="CD365" s="47" t="n"/>
      <c r="CE365" s="47" t="n"/>
      <c r="CF365" s="47" t="n"/>
      <c r="CG365" s="47" t="n"/>
      <c r="CH365" s="47" t="n"/>
      <c r="CI365" s="47" t="n"/>
      <c r="CJ365" s="47" t="n"/>
      <c r="CK365" s="47" t="n"/>
      <c r="CL365" s="47" t="n"/>
      <c r="CM365" s="48" t="n"/>
      <c r="CN365" s="48" t="n"/>
      <c r="CO365" s="183" t="n">
        <v>95</v>
      </c>
      <c r="CP365" s="183" t="n">
        <v>95</v>
      </c>
      <c r="CQ365" s="183" t="n">
        <v>95</v>
      </c>
      <c r="CR365" s="183" t="n">
        <v>95</v>
      </c>
      <c r="CS365" s="183" t="n">
        <v>95</v>
      </c>
      <c r="CT365" s="22" t="inlineStr">
        <is>
          <t>Contractual rights in place / customer relationships; ~$95m p.a. estimate from FY2025 intangible balance and 10-K amortization run-rate (input).</t>
        </is>
      </c>
      <c r="CV365" s="6" t="n"/>
      <c r="CW365" s="6" t="n"/>
      <c r="CX365" s="6" t="n"/>
      <c r="CY365" s="6" t="n"/>
    </row>
    <row r="366" ht="15" customHeight="1">
      <c r="B366" s="46" t="inlineStr">
        <is>
          <t xml:space="preserve">  Dilutive securities (m shares)</t>
        </is>
      </c>
      <c r="C366" s="47" t="n"/>
      <c r="D366" s="47" t="n"/>
      <c r="E366" s="47" t="n"/>
      <c r="F366" s="47" t="n"/>
      <c r="G366" s="47" t="n"/>
      <c r="H366" s="47" t="n"/>
      <c r="I366" s="47" t="n"/>
      <c r="J366" s="47" t="n"/>
      <c r="K366" s="47" t="n"/>
      <c r="L366" s="47" t="n"/>
      <c r="M366" s="47" t="n"/>
      <c r="N366" s="47" t="n"/>
      <c r="O366" s="47" t="n"/>
      <c r="P366" s="47" t="n"/>
      <c r="Q366" s="47" t="n"/>
      <c r="R366" s="47" t="n"/>
      <c r="S366" s="47" t="n"/>
      <c r="T366" s="47" t="n"/>
      <c r="U366" s="47" t="n"/>
      <c r="V366" s="47" t="n"/>
      <c r="W366" s="47" t="n"/>
      <c r="X366" s="47" t="n"/>
      <c r="Y366" s="47" t="n"/>
      <c r="Z366" s="47" t="n"/>
      <c r="AA366" s="47" t="n"/>
      <c r="AB366" s="47" t="n"/>
      <c r="AC366" s="47" t="n"/>
      <c r="AD366" s="47" t="n"/>
      <c r="AE366" s="47" t="n"/>
      <c r="AF366" s="47" t="n"/>
      <c r="AG366" s="47" t="n"/>
      <c r="AH366" s="47" t="n"/>
      <c r="AI366" s="47" t="n"/>
      <c r="AJ366" s="47" t="n"/>
      <c r="AK366" s="47" t="n"/>
      <c r="AL366" s="47" t="n"/>
      <c r="AM366" s="47" t="n"/>
      <c r="AN366" s="47" t="n"/>
      <c r="AO366" s="47" t="n"/>
      <c r="AP366" s="47" t="n"/>
      <c r="AQ366" s="47" t="n"/>
      <c r="AR366" s="47" t="n"/>
      <c r="AS366" s="47" t="n"/>
      <c r="AT366" s="47" t="n"/>
      <c r="AU366" s="47" t="n"/>
      <c r="AV366" s="47" t="n"/>
      <c r="AW366" s="47" t="n"/>
      <c r="AX366" s="47" t="n"/>
      <c r="AY366" s="47" t="n"/>
      <c r="AZ366" s="47" t="n"/>
      <c r="BA366" s="47" t="n"/>
      <c r="BB366" s="47" t="n"/>
      <c r="BC366" s="47" t="n"/>
      <c r="BD366" s="47" t="n"/>
      <c r="BE366" s="47" t="n"/>
      <c r="BF366" s="47" t="n"/>
      <c r="BG366" s="47" t="n"/>
      <c r="BH366" s="47" t="n"/>
      <c r="BI366" s="47" t="n"/>
      <c r="BJ366" s="47" t="n"/>
      <c r="BK366" s="47" t="n"/>
      <c r="BL366" s="47" t="n"/>
      <c r="BM366" s="47" t="n"/>
      <c r="BN366" s="47" t="n"/>
      <c r="BO366" s="47" t="n"/>
      <c r="BP366" s="47" t="n"/>
      <c r="BQ366" s="47" t="n"/>
      <c r="BR366" s="47" t="n"/>
      <c r="BS366" s="47" t="n"/>
      <c r="BT366" s="47" t="n"/>
      <c r="BU366" s="47" t="n"/>
      <c r="BV366" s="47" t="n"/>
      <c r="BW366" s="47" t="n"/>
      <c r="BX366" s="47" t="n"/>
      <c r="BY366" s="47" t="n"/>
      <c r="BZ366" s="47" t="n"/>
      <c r="CA366" s="47" t="n"/>
      <c r="CB366" s="47" t="n"/>
      <c r="CC366" s="47" t="n"/>
      <c r="CD366" s="47" t="n"/>
      <c r="CE366" s="47" t="n"/>
      <c r="CF366" s="47" t="n"/>
      <c r="CG366" s="47" t="n"/>
      <c r="CH366" s="47" t="n"/>
      <c r="CI366" s="47" t="n"/>
      <c r="CJ366" s="47" t="n"/>
      <c r="CK366" s="47" t="n"/>
      <c r="CL366" s="47" t="n"/>
      <c r="CM366" s="48" t="n"/>
      <c r="CN366" s="48" t="n"/>
      <c r="CO366" s="48" t="n"/>
      <c r="CP366" s="196" t="n">
        <v>0.5</v>
      </c>
      <c r="CQ366" s="196" t="n">
        <v>0.5</v>
      </c>
      <c r="CR366" s="196" t="n">
        <v>0.5</v>
      </c>
      <c r="CS366" s="196" t="n">
        <v>0.5</v>
      </c>
      <c r="CT366" s="22" t="n"/>
      <c r="CV366" s="6" t="n"/>
      <c r="CW366" s="6" t="n"/>
      <c r="CX366" s="6" t="n"/>
      <c r="CY366" s="6" t="n"/>
    </row>
    <row r="367" ht="15" customHeight="1">
      <c r="B367" s="46" t="inlineStr">
        <is>
          <t xml:space="preserve">  Share-price appreciation % (buyback pricing)</t>
        </is>
      </c>
      <c r="C367" s="47" t="n"/>
      <c r="D367" s="47" t="n"/>
      <c r="E367" s="47" t="n"/>
      <c r="F367" s="47" t="n"/>
      <c r="G367" s="47" t="n"/>
      <c r="H367" s="47" t="n"/>
      <c r="I367" s="47" t="n"/>
      <c r="J367" s="47" t="n"/>
      <c r="K367" s="47" t="n"/>
      <c r="L367" s="47" t="n"/>
      <c r="M367" s="47" t="n"/>
      <c r="N367" s="47" t="n"/>
      <c r="O367" s="47" t="n"/>
      <c r="P367" s="47" t="n"/>
      <c r="Q367" s="47" t="n"/>
      <c r="R367" s="47" t="n"/>
      <c r="S367" s="47" t="n"/>
      <c r="T367" s="47" t="n"/>
      <c r="U367" s="47" t="n"/>
      <c r="V367" s="47" t="n"/>
      <c r="W367" s="47" t="n"/>
      <c r="X367" s="47" t="n"/>
      <c r="Y367" s="47" t="n"/>
      <c r="Z367" s="47" t="n"/>
      <c r="AA367" s="47" t="n"/>
      <c r="AB367" s="47" t="n"/>
      <c r="AC367" s="47" t="n"/>
      <c r="AD367" s="47" t="n"/>
      <c r="AE367" s="47" t="n"/>
      <c r="AF367" s="47" t="n"/>
      <c r="AG367" s="47" t="n"/>
      <c r="AH367" s="47" t="n"/>
      <c r="AI367" s="47" t="n"/>
      <c r="AJ367" s="47" t="n"/>
      <c r="AK367" s="47" t="n"/>
      <c r="AL367" s="47" t="n"/>
      <c r="AM367" s="47" t="n"/>
      <c r="AN367" s="47" t="n"/>
      <c r="AO367" s="47" t="n"/>
      <c r="AP367" s="47" t="n"/>
      <c r="AQ367" s="47" t="n"/>
      <c r="AR367" s="47" t="n"/>
      <c r="AS367" s="47" t="n"/>
      <c r="AT367" s="47" t="n"/>
      <c r="AU367" s="47" t="n"/>
      <c r="AV367" s="47" t="n"/>
      <c r="AW367" s="47" t="n"/>
      <c r="AX367" s="47" t="n"/>
      <c r="AY367" s="47" t="n"/>
      <c r="AZ367" s="47" t="n"/>
      <c r="BA367" s="47" t="n"/>
      <c r="BB367" s="47" t="n"/>
      <c r="BC367" s="47" t="n"/>
      <c r="BD367" s="47" t="n"/>
      <c r="BE367" s="47" t="n"/>
      <c r="BF367" s="47" t="n"/>
      <c r="BG367" s="47" t="n"/>
      <c r="BH367" s="47" t="n"/>
      <c r="BI367" s="47" t="n"/>
      <c r="BJ367" s="47" t="n"/>
      <c r="BK367" s="47" t="n"/>
      <c r="BL367" s="47" t="n"/>
      <c r="BM367" s="47" t="n"/>
      <c r="BN367" s="47" t="n"/>
      <c r="BO367" s="47" t="n"/>
      <c r="BP367" s="47" t="n"/>
      <c r="BQ367" s="47" t="n"/>
      <c r="BR367" s="47" t="n"/>
      <c r="BS367" s="47" t="n"/>
      <c r="BT367" s="47" t="n"/>
      <c r="BU367" s="47" t="n"/>
      <c r="BV367" s="47" t="n"/>
      <c r="BW367" s="47" t="n"/>
      <c r="BX367" s="47" t="n"/>
      <c r="BY367" s="47" t="n"/>
      <c r="BZ367" s="47" t="n"/>
      <c r="CA367" s="47" t="n"/>
      <c r="CB367" s="47" t="n"/>
      <c r="CC367" s="47" t="n"/>
      <c r="CD367" s="47" t="n"/>
      <c r="CE367" s="47" t="n"/>
      <c r="CF367" s="47" t="n"/>
      <c r="CG367" s="47" t="n"/>
      <c r="CH367" s="47" t="n"/>
      <c r="CI367" s="47" t="n"/>
      <c r="CJ367" s="47" t="n"/>
      <c r="CK367" s="47" t="n"/>
      <c r="CL367" s="47" t="n"/>
      <c r="CM367" s="48" t="n"/>
      <c r="CN367" s="48" t="n"/>
      <c r="CO367" s="48" t="n"/>
      <c r="CP367" s="182" t="n">
        <v>0.08</v>
      </c>
      <c r="CQ367" s="182" t="n">
        <v>0.08</v>
      </c>
      <c r="CR367" s="182" t="n">
        <v>0.08</v>
      </c>
      <c r="CS367" s="182" t="n">
        <v>0.08</v>
      </c>
      <c r="CT367" s="22" t="n"/>
      <c r="CV367" s="6" t="n"/>
      <c r="CW367" s="6" t="n"/>
      <c r="CX367" s="6" t="n"/>
      <c r="CY367" s="6" t="n"/>
    </row>
    <row r="368" ht="15" customHeight="1">
      <c r="B368" s="12" t="inlineStr">
        <is>
          <t>Debt schedule (scheduled note maturities + commercial paper / revolver to a minimum cash balance)</t>
        </is>
      </c>
      <c r="C368" s="29" t="n"/>
      <c r="D368" s="29" t="n"/>
      <c r="E368" s="30" t="n"/>
      <c r="F368" s="30" t="n"/>
      <c r="G368" s="30" t="n"/>
      <c r="H368" s="30" t="n"/>
      <c r="I368" s="30" t="n"/>
      <c r="J368" s="30" t="n"/>
      <c r="K368" s="30" t="n"/>
      <c r="L368" s="29" t="n"/>
      <c r="M368" s="30" t="n"/>
      <c r="N368" s="30" t="n"/>
      <c r="O368" s="30" t="n"/>
      <c r="P368" s="30" t="n"/>
      <c r="Q368" s="30" t="n"/>
      <c r="R368" s="29" t="n"/>
      <c r="S368" s="30" t="n"/>
      <c r="T368" s="30" t="n"/>
      <c r="U368" s="30" t="n"/>
      <c r="V368" s="30" t="n"/>
      <c r="W368" s="30" t="n"/>
      <c r="X368" s="29" t="n"/>
      <c r="Y368" s="30" t="n"/>
      <c r="Z368" s="30" t="n"/>
      <c r="AA368" s="30" t="n"/>
      <c r="AB368" s="30" t="n"/>
      <c r="AC368" s="30" t="n"/>
      <c r="AD368" s="29" t="n"/>
      <c r="AE368" s="30" t="n"/>
      <c r="AF368" s="30" t="n"/>
      <c r="AG368" s="30" t="n"/>
      <c r="AH368" s="30" t="n"/>
      <c r="AI368" s="30" t="n"/>
      <c r="AJ368" s="29" t="n"/>
      <c r="AK368" s="30" t="n"/>
      <c r="AL368" s="30" t="n"/>
      <c r="AM368" s="30" t="n"/>
      <c r="AN368" s="30" t="n"/>
      <c r="AO368" s="30" t="n"/>
      <c r="AP368" s="29" t="n"/>
      <c r="AQ368" s="30" t="n"/>
      <c r="AR368" s="30" t="n"/>
      <c r="AS368" s="30" t="n"/>
      <c r="AT368" s="30" t="n"/>
      <c r="AU368" s="30" t="n"/>
      <c r="AV368" s="29" t="n"/>
      <c r="AW368" s="30" t="n"/>
      <c r="AX368" s="30" t="n"/>
      <c r="AY368" s="30" t="n"/>
      <c r="AZ368" s="30" t="n"/>
      <c r="BA368" s="30" t="n"/>
      <c r="BB368" s="29" t="n"/>
      <c r="BC368" s="30" t="n"/>
      <c r="BD368" s="30" t="n"/>
      <c r="BE368" s="30" t="n"/>
      <c r="BF368" s="30" t="n"/>
      <c r="BG368" s="30" t="n"/>
      <c r="BH368" s="29" t="n"/>
      <c r="BI368" s="30" t="n"/>
      <c r="BJ368" s="30" t="n"/>
      <c r="BK368" s="30" t="n"/>
      <c r="BL368" s="30" t="n"/>
      <c r="BM368" s="30" t="n"/>
      <c r="BN368" s="29" t="n"/>
      <c r="BO368" s="30" t="n"/>
      <c r="BP368" s="30" t="n"/>
      <c r="BQ368" s="30" t="n"/>
      <c r="BR368" s="30" t="n"/>
      <c r="BS368" s="30" t="n"/>
      <c r="BT368" s="29" t="n"/>
      <c r="BU368" s="30" t="n"/>
      <c r="BV368" s="30" t="n"/>
      <c r="BW368" s="30" t="n"/>
      <c r="BX368" s="30" t="n"/>
      <c r="BY368" s="30" t="n"/>
      <c r="BZ368" s="29" t="n"/>
      <c r="CA368" s="30" t="n"/>
      <c r="CB368" s="30" t="n"/>
      <c r="CC368" s="30" t="n"/>
      <c r="CD368" s="30" t="n"/>
      <c r="CE368" s="30" t="n"/>
      <c r="CF368" s="29" t="n"/>
      <c r="CG368" s="30" t="n"/>
      <c r="CH368" s="30" t="n"/>
      <c r="CI368" s="30" t="n"/>
      <c r="CJ368" s="30" t="n"/>
      <c r="CK368" s="30" t="n"/>
      <c r="CL368" s="29" t="n"/>
      <c r="CM368" s="31" t="n"/>
      <c r="CN368" s="31" t="n"/>
      <c r="CO368" s="31" t="n"/>
      <c r="CP368" s="31" t="n"/>
      <c r="CQ368" s="31" t="n"/>
      <c r="CR368" s="31" t="n"/>
      <c r="CS368" s="31" t="n"/>
      <c r="CT368" s="22" t="n"/>
      <c r="CV368" s="23" t="n"/>
      <c r="CW368" s="23" t="n"/>
      <c r="CX368" s="23" t="n"/>
      <c r="CY368" s="23" t="n"/>
    </row>
    <row r="369" ht="15" customHeight="1">
      <c r="B369" s="18" t="inlineStr">
        <is>
          <t xml:space="preserve">  Total debt (current maturities + short-term + long-term)</t>
        </is>
      </c>
      <c r="C369" s="173">
        <f>IF(ISNUMBER(C331),N(C325)+N(C326)+C331,"")</f>
        <v/>
      </c>
      <c r="D369" s="173">
        <f>IF(ISNUMBER(D331),N(D325)+N(D326)+D331,"")</f>
        <v/>
      </c>
      <c r="E369" s="173">
        <f>IF(ISNUMBER(E331),N(E325)+N(E326)+E331,"")</f>
        <v/>
      </c>
      <c r="F369" s="173">
        <f>IF(ISNUMBER(F331),N(F325)+N(F326)+F331,"")</f>
        <v/>
      </c>
      <c r="G369" s="173">
        <f>IF(ISNUMBER(G331),N(G325)+N(G326)+G331,"")</f>
        <v/>
      </c>
      <c r="H369" s="173">
        <f>IF(ISNUMBER(H331),N(H325)+N(H326)+H331,"")</f>
        <v/>
      </c>
      <c r="I369" s="173">
        <f>IF(ISNUMBER(I331),N(I325)+N(I326)+I331,"")</f>
        <v/>
      </c>
      <c r="J369" s="19" t="n"/>
      <c r="K369" s="19" t="n"/>
      <c r="L369" s="19" t="n"/>
      <c r="M369" s="19" t="n"/>
      <c r="N369" s="19" t="n"/>
      <c r="O369" s="173">
        <f>IF(ISNUMBER(O331),N(O325)+N(O326)+O331,"")</f>
        <v/>
      </c>
      <c r="P369" s="19" t="n"/>
      <c r="Q369" s="19" t="n"/>
      <c r="R369" s="19" t="n"/>
      <c r="S369" s="19" t="n"/>
      <c r="T369" s="19" t="n"/>
      <c r="U369" s="173">
        <f>IF(ISNUMBER(U331),N(U325)+N(U326)+U331,"")</f>
        <v/>
      </c>
      <c r="V369" s="19" t="n"/>
      <c r="W369" s="19" t="n"/>
      <c r="X369" s="19" t="n"/>
      <c r="Y369" s="19" t="n"/>
      <c r="Z369" s="19" t="n"/>
      <c r="AA369" s="173">
        <f>IF(ISNUMBER(AA331),N(AA325)+N(AA326)+AA331,"")</f>
        <v/>
      </c>
      <c r="AB369" s="19" t="n"/>
      <c r="AC369" s="19" t="n"/>
      <c r="AD369" s="19" t="n"/>
      <c r="AE369" s="19" t="n"/>
      <c r="AF369" s="19" t="n"/>
      <c r="AG369" s="173">
        <f>IF(ISNUMBER(AG331),N(AG325)+N(AG326)+AG331,"")</f>
        <v/>
      </c>
      <c r="AH369" s="19" t="n"/>
      <c r="AI369" s="19" t="n"/>
      <c r="AJ369" s="19" t="n"/>
      <c r="AK369" s="19" t="n"/>
      <c r="AL369" s="19" t="n"/>
      <c r="AM369" s="173">
        <f>IF(ISNUMBER(AM331),N(AM325)+N(AM326)+AM331,"")</f>
        <v/>
      </c>
      <c r="AN369" s="19" t="n"/>
      <c r="AO369" s="19" t="n"/>
      <c r="AP369" s="19" t="n"/>
      <c r="AQ369" s="19" t="n"/>
      <c r="AR369" s="19" t="n"/>
      <c r="AS369" s="173">
        <f>IF(ISNUMBER(AS331),N(AS325)+N(AS326)+AS331,"")</f>
        <v/>
      </c>
      <c r="AT369" s="19" t="n"/>
      <c r="AU369" s="19" t="n"/>
      <c r="AV369" s="19" t="n"/>
      <c r="AW369" s="19" t="n"/>
      <c r="AX369" s="19" t="n"/>
      <c r="AY369" s="173">
        <f>IF(ISNUMBER(AY331),N(AY325)+N(AY326)+AY331,"")</f>
        <v/>
      </c>
      <c r="AZ369" s="19" t="n"/>
      <c r="BA369" s="19" t="n"/>
      <c r="BB369" s="19" t="n"/>
      <c r="BC369" s="19" t="n"/>
      <c r="BD369" s="19" t="n"/>
      <c r="BE369" s="173">
        <f>IF(ISNUMBER(BE331),N(BE325)+N(BE326)+BE331,"")</f>
        <v/>
      </c>
      <c r="BF369" s="19" t="n"/>
      <c r="BG369" s="19" t="n"/>
      <c r="BH369" s="19" t="n"/>
      <c r="BI369" s="19" t="n"/>
      <c r="BJ369" s="19" t="n"/>
      <c r="BK369" s="173">
        <f>IF(ISNUMBER(BK331),N(BK325)+N(BK326)+BK331,"")</f>
        <v/>
      </c>
      <c r="BL369" s="19" t="n"/>
      <c r="BM369" s="19" t="n"/>
      <c r="BN369" s="19" t="n"/>
      <c r="BO369" s="19" t="n"/>
      <c r="BP369" s="19" t="n"/>
      <c r="BQ369" s="173">
        <f>IF(ISNUMBER(BQ331),N(BQ325)+N(BQ326)+BQ331,"")</f>
        <v/>
      </c>
      <c r="BR369" s="19" t="n"/>
      <c r="BS369" s="19" t="n"/>
      <c r="BT369" s="19" t="n"/>
      <c r="BU369" s="19" t="n"/>
      <c r="BV369" s="19" t="n"/>
      <c r="BW369" s="173">
        <f>IF(ISNUMBER(BW331),N(BW325)+N(BW326)+BW331,"")</f>
        <v/>
      </c>
      <c r="BX369" s="19" t="n"/>
      <c r="BY369" s="19" t="n"/>
      <c r="BZ369" s="19" t="n"/>
      <c r="CA369" s="19" t="n"/>
      <c r="CB369" s="19" t="n"/>
      <c r="CC369" s="173">
        <f>IF(ISNUMBER(CC331),N(CC325)+N(CC326)+CC331,"")</f>
        <v/>
      </c>
      <c r="CD369" s="19" t="n"/>
      <c r="CE369" s="19" t="n"/>
      <c r="CF369" s="19" t="n"/>
      <c r="CG369" s="19" t="n"/>
      <c r="CH369" s="19" t="n"/>
      <c r="CI369" s="173">
        <f>IF(ISNUMBER(CI331),N(CI325)+N(CI326)+CI331,"")</f>
        <v/>
      </c>
      <c r="CJ369" s="19" t="n"/>
      <c r="CK369" s="19" t="n"/>
      <c r="CL369" s="173">
        <f>IF(ISNUMBER(CL331),N(CL325)+N(CL326)+CL331,"")</f>
        <v/>
      </c>
      <c r="CM369" s="21" t="n"/>
      <c r="CN369" s="21" t="n"/>
      <c r="CO369" s="174">
        <f>$CL$369-N($CL$326)+CO370+CO372+CO376</f>
        <v/>
      </c>
      <c r="CP369" s="174">
        <f>CO369+CP370+CP372+CP376-CO376</f>
        <v/>
      </c>
      <c r="CQ369" s="174">
        <f>CP369+CQ370+CQ372+CQ376-CP376</f>
        <v/>
      </c>
      <c r="CR369" s="174">
        <f>CQ369+CR370+CR372+CR376-CQ376</f>
        <v/>
      </c>
      <c r="CS369" s="174">
        <f>CR369+CS370+CS372+CS376-CR376</f>
        <v/>
      </c>
      <c r="CT369" s="22" t="inlineStr">
        <is>
          <t>Notes at 30-Jun-26 (face $4,440m): 3.90% $400m due 2027, 4.95% $500m 2029, 3.50% $750m 2030, 5.35% $750m 2034, 7.15% $129m 2037, 4.50% $700m 2047, 4.70% $461m 2048, 5.70% $750m 2054; $1.6bn revolver / CP undrawn (Nov-2029).</t>
        </is>
      </c>
      <c r="CV369" s="6" t="n"/>
      <c r="CW369" s="6" t="n"/>
      <c r="CX369" s="6" t="n"/>
      <c r="CY369" s="6" t="n"/>
    </row>
    <row r="370" ht="15" customHeight="1">
      <c r="B370" s="46" t="inlineStr">
        <is>
          <t xml:space="preserve">  Scheduled maturities / repayments (input, negative)</t>
        </is>
      </c>
      <c r="C370" s="47" t="n"/>
      <c r="D370" s="47" t="n"/>
      <c r="E370" s="47" t="n"/>
      <c r="F370" s="47" t="n"/>
      <c r="G370" s="47" t="n"/>
      <c r="H370" s="47" t="n"/>
      <c r="I370" s="47" t="n"/>
      <c r="J370" s="47" t="n"/>
      <c r="K370" s="47" t="n"/>
      <c r="L370" s="47" t="n"/>
      <c r="M370" s="47" t="n"/>
      <c r="N370" s="47" t="n"/>
      <c r="O370" s="47" t="n"/>
      <c r="P370" s="47" t="n"/>
      <c r="Q370" s="47" t="n"/>
      <c r="R370" s="47" t="n"/>
      <c r="S370" s="47" t="n"/>
      <c r="T370" s="47" t="n"/>
      <c r="U370" s="47" t="n"/>
      <c r="V370" s="47" t="n"/>
      <c r="W370" s="47" t="n"/>
      <c r="X370" s="47" t="n"/>
      <c r="Y370" s="47" t="n"/>
      <c r="Z370" s="47" t="n"/>
      <c r="AA370" s="47" t="n"/>
      <c r="AB370" s="47" t="n"/>
      <c r="AC370" s="47" t="n"/>
      <c r="AD370" s="47" t="n"/>
      <c r="AE370" s="47" t="n"/>
      <c r="AF370" s="47" t="n"/>
      <c r="AG370" s="47" t="n"/>
      <c r="AH370" s="47" t="n"/>
      <c r="AI370" s="47" t="n"/>
      <c r="AJ370" s="47" t="n"/>
      <c r="AK370" s="47" t="n"/>
      <c r="AL370" s="47" t="n"/>
      <c r="AM370" s="47" t="n"/>
      <c r="AN370" s="47" t="n"/>
      <c r="AO370" s="47" t="n"/>
      <c r="AP370" s="47" t="n"/>
      <c r="AQ370" s="47" t="n"/>
      <c r="AR370" s="47" t="n"/>
      <c r="AS370" s="47" t="n"/>
      <c r="AT370" s="47" t="n"/>
      <c r="AU370" s="47" t="n"/>
      <c r="AV370" s="47" t="n"/>
      <c r="AW370" s="47" t="n"/>
      <c r="AX370" s="47" t="n"/>
      <c r="AY370" s="47" t="n"/>
      <c r="AZ370" s="47" t="n"/>
      <c r="BA370" s="47" t="n"/>
      <c r="BB370" s="47" t="n"/>
      <c r="BC370" s="47" t="n"/>
      <c r="BD370" s="47" t="n"/>
      <c r="BE370" s="47" t="n"/>
      <c r="BF370" s="47" t="n"/>
      <c r="BG370" s="47" t="n"/>
      <c r="BH370" s="47" t="n"/>
      <c r="BI370" s="47" t="n"/>
      <c r="BJ370" s="47" t="n"/>
      <c r="BK370" s="47" t="n"/>
      <c r="BL370" s="47" t="n"/>
      <c r="BM370" s="47" t="n"/>
      <c r="BN370" s="47" t="n"/>
      <c r="BO370" s="47" t="n"/>
      <c r="BP370" s="47" t="n"/>
      <c r="BQ370" s="47" t="n"/>
      <c r="BR370" s="47" t="n"/>
      <c r="BS370" s="47" t="n"/>
      <c r="BT370" s="47" t="n"/>
      <c r="BU370" s="47" t="n"/>
      <c r="BV370" s="47" t="n"/>
      <c r="BW370" s="47" t="n"/>
      <c r="BX370" s="47" t="n"/>
      <c r="BY370" s="47" t="n"/>
      <c r="BZ370" s="47" t="n"/>
      <c r="CA370" s="47" t="n"/>
      <c r="CB370" s="47" t="n"/>
      <c r="CC370" s="47" t="n"/>
      <c r="CD370" s="47" t="n"/>
      <c r="CE370" s="47" t="n"/>
      <c r="CF370" s="47" t="n"/>
      <c r="CG370" s="47" t="n"/>
      <c r="CH370" s="47" t="n"/>
      <c r="CI370" s="47" t="n"/>
      <c r="CJ370" s="47" t="n"/>
      <c r="CK370" s="47" t="n"/>
      <c r="CL370" s="47" t="n"/>
      <c r="CM370" s="48" t="n"/>
      <c r="CN370" s="48" t="n"/>
      <c r="CO370" s="183" t="n">
        <v>0</v>
      </c>
      <c r="CP370" s="183" t="n">
        <v>-400</v>
      </c>
      <c r="CQ370" s="183" t="n">
        <v>0</v>
      </c>
      <c r="CR370" s="183" t="n">
        <v>-500</v>
      </c>
      <c r="CS370" s="183" t="n">
        <v>-750</v>
      </c>
      <c r="CT370" s="22" t="inlineStr">
        <is>
          <t>2026E = 2H/26 maturities only (none). 10-Q maturity ladder: 2027 $400m, 2029 $500m, 2030 $750m.</t>
        </is>
      </c>
      <c r="CV370" s="6" t="n"/>
      <c r="CW370" s="6" t="n"/>
      <c r="CX370" s="6" t="n"/>
      <c r="CY370" s="6" t="n"/>
    </row>
    <row r="371" ht="15" customHeight="1">
      <c r="B371" s="46" t="inlineStr">
        <is>
          <t xml:space="preserve">  % of scheduled maturities refinanced (input)</t>
        </is>
      </c>
      <c r="C371" s="47" t="n"/>
      <c r="D371" s="47" t="n"/>
      <c r="E371" s="47" t="n"/>
      <c r="F371" s="47" t="n"/>
      <c r="G371" s="47" t="n"/>
      <c r="H371" s="47" t="n"/>
      <c r="I371" s="47" t="n"/>
      <c r="J371" s="47" t="n"/>
      <c r="K371" s="47" t="n"/>
      <c r="L371" s="47" t="n"/>
      <c r="M371" s="47" t="n"/>
      <c r="N371" s="47" t="n"/>
      <c r="O371" s="47" t="n"/>
      <c r="P371" s="47" t="n"/>
      <c r="Q371" s="47" t="n"/>
      <c r="R371" s="47" t="n"/>
      <c r="S371" s="47" t="n"/>
      <c r="T371" s="47" t="n"/>
      <c r="U371" s="47" t="n"/>
      <c r="V371" s="47" t="n"/>
      <c r="W371" s="47" t="n"/>
      <c r="X371" s="47" t="n"/>
      <c r="Y371" s="47" t="n"/>
      <c r="Z371" s="47" t="n"/>
      <c r="AA371" s="47" t="n"/>
      <c r="AB371" s="47" t="n"/>
      <c r="AC371" s="47" t="n"/>
      <c r="AD371" s="47" t="n"/>
      <c r="AE371" s="47" t="n"/>
      <c r="AF371" s="47" t="n"/>
      <c r="AG371" s="47" t="n"/>
      <c r="AH371" s="47" t="n"/>
      <c r="AI371" s="47" t="n"/>
      <c r="AJ371" s="47" t="n"/>
      <c r="AK371" s="47" t="n"/>
      <c r="AL371" s="47" t="n"/>
      <c r="AM371" s="47" t="n"/>
      <c r="AN371" s="47" t="n"/>
      <c r="AO371" s="47" t="n"/>
      <c r="AP371" s="47" t="n"/>
      <c r="AQ371" s="47" t="n"/>
      <c r="AR371" s="47" t="n"/>
      <c r="AS371" s="47" t="n"/>
      <c r="AT371" s="47" t="n"/>
      <c r="AU371" s="47" t="n"/>
      <c r="AV371" s="47" t="n"/>
      <c r="AW371" s="47" t="n"/>
      <c r="AX371" s="47" t="n"/>
      <c r="AY371" s="47" t="n"/>
      <c r="AZ371" s="47" t="n"/>
      <c r="BA371" s="47" t="n"/>
      <c r="BB371" s="47" t="n"/>
      <c r="BC371" s="47" t="n"/>
      <c r="BD371" s="47" t="n"/>
      <c r="BE371" s="47" t="n"/>
      <c r="BF371" s="47" t="n"/>
      <c r="BG371" s="47" t="n"/>
      <c r="BH371" s="47" t="n"/>
      <c r="BI371" s="47" t="n"/>
      <c r="BJ371" s="47" t="n"/>
      <c r="BK371" s="47" t="n"/>
      <c r="BL371" s="47" t="n"/>
      <c r="BM371" s="47" t="n"/>
      <c r="BN371" s="47" t="n"/>
      <c r="BO371" s="47" t="n"/>
      <c r="BP371" s="47" t="n"/>
      <c r="BQ371" s="47" t="n"/>
      <c r="BR371" s="47" t="n"/>
      <c r="BS371" s="47" t="n"/>
      <c r="BT371" s="47" t="n"/>
      <c r="BU371" s="47" t="n"/>
      <c r="BV371" s="47" t="n"/>
      <c r="BW371" s="47" t="n"/>
      <c r="BX371" s="47" t="n"/>
      <c r="BY371" s="47" t="n"/>
      <c r="BZ371" s="47" t="n"/>
      <c r="CA371" s="47" t="n"/>
      <c r="CB371" s="47" t="n"/>
      <c r="CC371" s="47" t="n"/>
      <c r="CD371" s="47" t="n"/>
      <c r="CE371" s="47" t="n"/>
      <c r="CF371" s="47" t="n"/>
      <c r="CG371" s="47" t="n"/>
      <c r="CH371" s="47" t="n"/>
      <c r="CI371" s="47" t="n"/>
      <c r="CJ371" s="47" t="n"/>
      <c r="CK371" s="47" t="n"/>
      <c r="CL371" s="47" t="n"/>
      <c r="CM371" s="48" t="n"/>
      <c r="CN371" s="48" t="n"/>
      <c r="CO371" s="182" t="n">
        <v>1</v>
      </c>
      <c r="CP371" s="182" t="n">
        <v>1</v>
      </c>
      <c r="CQ371" s="182" t="n">
        <v>1</v>
      </c>
      <c r="CR371" s="182" t="n">
        <v>1</v>
      </c>
      <c r="CS371" s="182" t="n">
        <v>1</v>
      </c>
      <c r="CT371" s="22" t="inlineStr">
        <is>
          <t>100% = each maturity refinanced with new notes at the refinancing rate; 0% = repaid from cash / CP.</t>
        </is>
      </c>
      <c r="CV371" s="6" t="n"/>
      <c r="CW371" s="6" t="n"/>
      <c r="CX371" s="6" t="n"/>
      <c r="CY371" s="6" t="n"/>
    </row>
    <row r="372" ht="15" customHeight="1">
      <c r="B372" s="12" t="inlineStr">
        <is>
          <t xml:space="preserve">  Refinancing issuance</t>
        </is>
      </c>
      <c r="C372" s="29" t="n"/>
      <c r="D372" s="29" t="n"/>
      <c r="E372" s="30" t="n"/>
      <c r="F372" s="30" t="n"/>
      <c r="G372" s="30" t="n"/>
      <c r="H372" s="30" t="n"/>
      <c r="I372" s="30" t="n"/>
      <c r="J372" s="30" t="n"/>
      <c r="K372" s="30" t="n"/>
      <c r="L372" s="29" t="n"/>
      <c r="M372" s="30" t="n"/>
      <c r="N372" s="30" t="n"/>
      <c r="O372" s="30" t="n"/>
      <c r="P372" s="30" t="n"/>
      <c r="Q372" s="30" t="n"/>
      <c r="R372" s="29" t="n"/>
      <c r="S372" s="30" t="n"/>
      <c r="T372" s="30" t="n"/>
      <c r="U372" s="30" t="n"/>
      <c r="V372" s="30" t="n"/>
      <c r="W372" s="30" t="n"/>
      <c r="X372" s="29" t="n"/>
      <c r="Y372" s="30" t="n"/>
      <c r="Z372" s="30" t="n"/>
      <c r="AA372" s="30" t="n"/>
      <c r="AB372" s="30" t="n"/>
      <c r="AC372" s="30" t="n"/>
      <c r="AD372" s="29" t="n"/>
      <c r="AE372" s="30" t="n"/>
      <c r="AF372" s="30" t="n"/>
      <c r="AG372" s="30" t="n"/>
      <c r="AH372" s="30" t="n"/>
      <c r="AI372" s="30" t="n"/>
      <c r="AJ372" s="29" t="n"/>
      <c r="AK372" s="30" t="n"/>
      <c r="AL372" s="30" t="n"/>
      <c r="AM372" s="30" t="n"/>
      <c r="AN372" s="30" t="n"/>
      <c r="AO372" s="30" t="n"/>
      <c r="AP372" s="29" t="n"/>
      <c r="AQ372" s="30" t="n"/>
      <c r="AR372" s="30" t="n"/>
      <c r="AS372" s="30" t="n"/>
      <c r="AT372" s="30" t="n"/>
      <c r="AU372" s="30" t="n"/>
      <c r="AV372" s="29" t="n"/>
      <c r="AW372" s="30" t="n"/>
      <c r="AX372" s="30" t="n"/>
      <c r="AY372" s="30" t="n"/>
      <c r="AZ372" s="30" t="n"/>
      <c r="BA372" s="30" t="n"/>
      <c r="BB372" s="29" t="n"/>
      <c r="BC372" s="30" t="n"/>
      <c r="BD372" s="30" t="n"/>
      <c r="BE372" s="30" t="n"/>
      <c r="BF372" s="30" t="n"/>
      <c r="BG372" s="30" t="n"/>
      <c r="BH372" s="29" t="n"/>
      <c r="BI372" s="30" t="n"/>
      <c r="BJ372" s="30" t="n"/>
      <c r="BK372" s="30" t="n"/>
      <c r="BL372" s="30" t="n"/>
      <c r="BM372" s="30" t="n"/>
      <c r="BN372" s="29" t="n"/>
      <c r="BO372" s="30" t="n"/>
      <c r="BP372" s="30" t="n"/>
      <c r="BQ372" s="30" t="n"/>
      <c r="BR372" s="30" t="n"/>
      <c r="BS372" s="30" t="n"/>
      <c r="BT372" s="29" t="n"/>
      <c r="BU372" s="30" t="n"/>
      <c r="BV372" s="30" t="n"/>
      <c r="BW372" s="30" t="n"/>
      <c r="BX372" s="30" t="n"/>
      <c r="BY372" s="30" t="n"/>
      <c r="BZ372" s="29" t="n"/>
      <c r="CA372" s="30" t="n"/>
      <c r="CB372" s="30" t="n"/>
      <c r="CC372" s="30" t="n"/>
      <c r="CD372" s="30" t="n"/>
      <c r="CE372" s="30" t="n"/>
      <c r="CF372" s="29" t="n"/>
      <c r="CG372" s="30" t="n"/>
      <c r="CH372" s="30" t="n"/>
      <c r="CI372" s="30" t="n"/>
      <c r="CJ372" s="30" t="n"/>
      <c r="CK372" s="30" t="n"/>
      <c r="CL372" s="29" t="n"/>
      <c r="CM372" s="31" t="n"/>
      <c r="CN372" s="31" t="n"/>
      <c r="CO372" s="171">
        <f>-CO370*CO371</f>
        <v/>
      </c>
      <c r="CP372" s="171">
        <f>-CP370*CP371</f>
        <v/>
      </c>
      <c r="CQ372" s="171">
        <f>-CQ370*CQ371</f>
        <v/>
      </c>
      <c r="CR372" s="171">
        <f>-CR370*CR371</f>
        <v/>
      </c>
      <c r="CS372" s="171">
        <f>-CS370*CS371</f>
        <v/>
      </c>
      <c r="CT372" s="22" t="n"/>
      <c r="CV372" s="23" t="n"/>
      <c r="CW372" s="23" t="n"/>
      <c r="CX372" s="23" t="n"/>
      <c r="CY372" s="23" t="n"/>
    </row>
    <row r="373" ht="15" customHeight="1">
      <c r="B373" s="12" t="inlineStr">
        <is>
          <t xml:space="preserve">  Refinanced debt outstanding (year end)</t>
        </is>
      </c>
      <c r="C373" s="29" t="n"/>
      <c r="D373" s="29" t="n"/>
      <c r="E373" s="30" t="n"/>
      <c r="F373" s="30" t="n"/>
      <c r="G373" s="30" t="n"/>
      <c r="H373" s="30" t="n"/>
      <c r="I373" s="30" t="n"/>
      <c r="J373" s="30" t="n"/>
      <c r="K373" s="30" t="n"/>
      <c r="L373" s="29" t="n"/>
      <c r="M373" s="30" t="n"/>
      <c r="N373" s="30" t="n"/>
      <c r="O373" s="30" t="n"/>
      <c r="P373" s="30" t="n"/>
      <c r="Q373" s="30" t="n"/>
      <c r="R373" s="29" t="n"/>
      <c r="S373" s="30" t="n"/>
      <c r="T373" s="30" t="n"/>
      <c r="U373" s="30" t="n"/>
      <c r="V373" s="30" t="n"/>
      <c r="W373" s="30" t="n"/>
      <c r="X373" s="29" t="n"/>
      <c r="Y373" s="30" t="n"/>
      <c r="Z373" s="30" t="n"/>
      <c r="AA373" s="30" t="n"/>
      <c r="AB373" s="30" t="n"/>
      <c r="AC373" s="30" t="n"/>
      <c r="AD373" s="29" t="n"/>
      <c r="AE373" s="30" t="n"/>
      <c r="AF373" s="30" t="n"/>
      <c r="AG373" s="30" t="n"/>
      <c r="AH373" s="30" t="n"/>
      <c r="AI373" s="30" t="n"/>
      <c r="AJ373" s="29" t="n"/>
      <c r="AK373" s="30" t="n"/>
      <c r="AL373" s="30" t="n"/>
      <c r="AM373" s="30" t="n"/>
      <c r="AN373" s="30" t="n"/>
      <c r="AO373" s="30" t="n"/>
      <c r="AP373" s="29" t="n"/>
      <c r="AQ373" s="30" t="n"/>
      <c r="AR373" s="30" t="n"/>
      <c r="AS373" s="30" t="n"/>
      <c r="AT373" s="30" t="n"/>
      <c r="AU373" s="30" t="n"/>
      <c r="AV373" s="29" t="n"/>
      <c r="AW373" s="30" t="n"/>
      <c r="AX373" s="30" t="n"/>
      <c r="AY373" s="30" t="n"/>
      <c r="AZ373" s="30" t="n"/>
      <c r="BA373" s="30" t="n"/>
      <c r="BB373" s="29" t="n"/>
      <c r="BC373" s="30" t="n"/>
      <c r="BD373" s="30" t="n"/>
      <c r="BE373" s="30" t="n"/>
      <c r="BF373" s="30" t="n"/>
      <c r="BG373" s="30" t="n"/>
      <c r="BH373" s="29" t="n"/>
      <c r="BI373" s="30" t="n"/>
      <c r="BJ373" s="30" t="n"/>
      <c r="BK373" s="30" t="n"/>
      <c r="BL373" s="30" t="n"/>
      <c r="BM373" s="30" t="n"/>
      <c r="BN373" s="29" t="n"/>
      <c r="BO373" s="30" t="n"/>
      <c r="BP373" s="30" t="n"/>
      <c r="BQ373" s="30" t="n"/>
      <c r="BR373" s="30" t="n"/>
      <c r="BS373" s="30" t="n"/>
      <c r="BT373" s="29" t="n"/>
      <c r="BU373" s="30" t="n"/>
      <c r="BV373" s="30" t="n"/>
      <c r="BW373" s="30" t="n"/>
      <c r="BX373" s="30" t="n"/>
      <c r="BY373" s="30" t="n"/>
      <c r="BZ373" s="29" t="n"/>
      <c r="CA373" s="30" t="n"/>
      <c r="CB373" s="30" t="n"/>
      <c r="CC373" s="30" t="n"/>
      <c r="CD373" s="30" t="n"/>
      <c r="CE373" s="30" t="n"/>
      <c r="CF373" s="29" t="n"/>
      <c r="CG373" s="30" t="n"/>
      <c r="CH373" s="30" t="n"/>
      <c r="CI373" s="30" t="n"/>
      <c r="CJ373" s="30" t="n"/>
      <c r="CK373" s="30" t="n"/>
      <c r="CL373" s="29" t="n"/>
      <c r="CM373" s="31" t="n"/>
      <c r="CN373" s="31" t="n"/>
      <c r="CO373" s="171">
        <f>CO372</f>
        <v/>
      </c>
      <c r="CP373" s="171">
        <f>CO373+CP372</f>
        <v/>
      </c>
      <c r="CQ373" s="171">
        <f>CP373+CQ372</f>
        <v/>
      </c>
      <c r="CR373" s="171">
        <f>CQ373+CR372</f>
        <v/>
      </c>
      <c r="CS373" s="171">
        <f>CR373+CS372</f>
        <v/>
      </c>
      <c r="CT373" s="22" t="n"/>
      <c r="CV373" s="23" t="n"/>
      <c r="CW373" s="23" t="n"/>
      <c r="CX373" s="23" t="n"/>
      <c r="CY373" s="23" t="n"/>
    </row>
    <row r="374" ht="15" customHeight="1">
      <c r="B374" s="12" t="inlineStr">
        <is>
          <t xml:space="preserve">  Cash before CP / revolver (opening cash + CFO + CFI + non-debt CFF + maturities + refinancing)</t>
        </is>
      </c>
      <c r="C374" s="29" t="n"/>
      <c r="D374" s="29" t="n"/>
      <c r="E374" s="30" t="n"/>
      <c r="F374" s="30" t="n"/>
      <c r="G374" s="30" t="n"/>
      <c r="H374" s="30" t="n"/>
      <c r="I374" s="30" t="n"/>
      <c r="J374" s="30" t="n"/>
      <c r="K374" s="30" t="n"/>
      <c r="L374" s="29" t="n"/>
      <c r="M374" s="30" t="n"/>
      <c r="N374" s="30" t="n"/>
      <c r="O374" s="30" t="n"/>
      <c r="P374" s="30" t="n"/>
      <c r="Q374" s="30" t="n"/>
      <c r="R374" s="29" t="n"/>
      <c r="S374" s="30" t="n"/>
      <c r="T374" s="30" t="n"/>
      <c r="U374" s="30" t="n"/>
      <c r="V374" s="30" t="n"/>
      <c r="W374" s="30" t="n"/>
      <c r="X374" s="29" t="n"/>
      <c r="Y374" s="30" t="n"/>
      <c r="Z374" s="30" t="n"/>
      <c r="AA374" s="30" t="n"/>
      <c r="AB374" s="30" t="n"/>
      <c r="AC374" s="30" t="n"/>
      <c r="AD374" s="29" t="n"/>
      <c r="AE374" s="30" t="n"/>
      <c r="AF374" s="30" t="n"/>
      <c r="AG374" s="30" t="n"/>
      <c r="AH374" s="30" t="n"/>
      <c r="AI374" s="30" t="n"/>
      <c r="AJ374" s="29" t="n"/>
      <c r="AK374" s="30" t="n"/>
      <c r="AL374" s="30" t="n"/>
      <c r="AM374" s="30" t="n"/>
      <c r="AN374" s="30" t="n"/>
      <c r="AO374" s="30" t="n"/>
      <c r="AP374" s="29" t="n"/>
      <c r="AQ374" s="30" t="n"/>
      <c r="AR374" s="30" t="n"/>
      <c r="AS374" s="30" t="n"/>
      <c r="AT374" s="30" t="n"/>
      <c r="AU374" s="30" t="n"/>
      <c r="AV374" s="29" t="n"/>
      <c r="AW374" s="30" t="n"/>
      <c r="AX374" s="30" t="n"/>
      <c r="AY374" s="30" t="n"/>
      <c r="AZ374" s="30" t="n"/>
      <c r="BA374" s="30" t="n"/>
      <c r="BB374" s="29" t="n"/>
      <c r="BC374" s="30" t="n"/>
      <c r="BD374" s="30" t="n"/>
      <c r="BE374" s="30" t="n"/>
      <c r="BF374" s="30" t="n"/>
      <c r="BG374" s="30" t="n"/>
      <c r="BH374" s="29" t="n"/>
      <c r="BI374" s="30" t="n"/>
      <c r="BJ374" s="30" t="n"/>
      <c r="BK374" s="30" t="n"/>
      <c r="BL374" s="30" t="n"/>
      <c r="BM374" s="30" t="n"/>
      <c r="BN374" s="29" t="n"/>
      <c r="BO374" s="30" t="n"/>
      <c r="BP374" s="30" t="n"/>
      <c r="BQ374" s="30" t="n"/>
      <c r="BR374" s="30" t="n"/>
      <c r="BS374" s="30" t="n"/>
      <c r="BT374" s="29" t="n"/>
      <c r="BU374" s="30" t="n"/>
      <c r="BV374" s="30" t="n"/>
      <c r="BW374" s="30" t="n"/>
      <c r="BX374" s="30" t="n"/>
      <c r="BY374" s="30" t="n"/>
      <c r="BZ374" s="29" t="n"/>
      <c r="CA374" s="30" t="n"/>
      <c r="CB374" s="30" t="n"/>
      <c r="CC374" s="30" t="n"/>
      <c r="CD374" s="30" t="n"/>
      <c r="CE374" s="30" t="n"/>
      <c r="CF374" s="29" t="n"/>
      <c r="CG374" s="30" t="n"/>
      <c r="CH374" s="30" t="n"/>
      <c r="CI374" s="30" t="n"/>
      <c r="CJ374" s="30" t="n"/>
      <c r="CK374" s="30" t="n"/>
      <c r="CL374" s="29" t="n"/>
      <c r="CM374" s="31" t="n"/>
      <c r="CN374" s="31" t="n"/>
      <c r="CO374" s="171">
        <f>CI281+CO263+CO269+CO273+CO274+CO275+CO276+$CL$271+$CL$272+CO370+CO372-N($CL$326)</f>
        <v/>
      </c>
      <c r="CP374" s="171">
        <f>CO281+CP263+CP269+CP273+CP274+CP275+CP276+CP370+CP372-CO376</f>
        <v/>
      </c>
      <c r="CQ374" s="171">
        <f>CP281+CQ263+CQ269+CQ273+CQ274+CQ275+CQ276+CQ370+CQ372-CP376</f>
        <v/>
      </c>
      <c r="CR374" s="171">
        <f>CQ281+CR263+CR269+CR273+CR274+CR275+CR276+CR370+CR372-CQ376</f>
        <v/>
      </c>
      <c r="CS374" s="171">
        <f>CR281+CS263+CS269+CS273+CS274+CS275+CS276+CS370+CS372-CR376</f>
        <v/>
      </c>
      <c r="CT374" s="22" t="n"/>
      <c r="CV374" s="23" t="n"/>
      <c r="CW374" s="23" t="n"/>
      <c r="CX374" s="23" t="n"/>
      <c r="CY374" s="23" t="n"/>
    </row>
    <row r="375" ht="15" customHeight="1">
      <c r="B375" s="46" t="inlineStr">
        <is>
          <t xml:space="preserve">  Minimum cash balance (incl. restricted)</t>
        </is>
      </c>
      <c r="C375" s="47" t="n"/>
      <c r="D375" s="47" t="n"/>
      <c r="E375" s="47" t="n"/>
      <c r="F375" s="47" t="n"/>
      <c r="G375" s="47" t="n"/>
      <c r="H375" s="47" t="n"/>
      <c r="I375" s="47" t="n"/>
      <c r="J375" s="47" t="n"/>
      <c r="K375" s="47" t="n"/>
      <c r="L375" s="47" t="n"/>
      <c r="M375" s="47" t="n"/>
      <c r="N375" s="47" t="n"/>
      <c r="O375" s="47" t="n"/>
      <c r="P375" s="47" t="n"/>
      <c r="Q375" s="47" t="n"/>
      <c r="R375" s="47" t="n"/>
      <c r="S375" s="47" t="n"/>
      <c r="T375" s="47" t="n"/>
      <c r="U375" s="47" t="n"/>
      <c r="V375" s="47" t="n"/>
      <c r="W375" s="47" t="n"/>
      <c r="X375" s="47" t="n"/>
      <c r="Y375" s="47" t="n"/>
      <c r="Z375" s="47" t="n"/>
      <c r="AA375" s="47" t="n"/>
      <c r="AB375" s="47" t="n"/>
      <c r="AC375" s="47" t="n"/>
      <c r="AD375" s="47" t="n"/>
      <c r="AE375" s="47" t="n"/>
      <c r="AF375" s="47" t="n"/>
      <c r="AG375" s="47" t="n"/>
      <c r="AH375" s="47" t="n"/>
      <c r="AI375" s="47" t="n"/>
      <c r="AJ375" s="47" t="n"/>
      <c r="AK375" s="47" t="n"/>
      <c r="AL375" s="47" t="n"/>
      <c r="AM375" s="47" t="n"/>
      <c r="AN375" s="47" t="n"/>
      <c r="AO375" s="47" t="n"/>
      <c r="AP375" s="47" t="n"/>
      <c r="AQ375" s="47" t="n"/>
      <c r="AR375" s="47" t="n"/>
      <c r="AS375" s="47" t="n"/>
      <c r="AT375" s="47" t="n"/>
      <c r="AU375" s="47" t="n"/>
      <c r="AV375" s="47" t="n"/>
      <c r="AW375" s="47" t="n"/>
      <c r="AX375" s="47" t="n"/>
      <c r="AY375" s="47" t="n"/>
      <c r="AZ375" s="47" t="n"/>
      <c r="BA375" s="47" t="n"/>
      <c r="BB375" s="47" t="n"/>
      <c r="BC375" s="47" t="n"/>
      <c r="BD375" s="47" t="n"/>
      <c r="BE375" s="47" t="n"/>
      <c r="BF375" s="47" t="n"/>
      <c r="BG375" s="47" t="n"/>
      <c r="BH375" s="47" t="n"/>
      <c r="BI375" s="47" t="n"/>
      <c r="BJ375" s="47" t="n"/>
      <c r="BK375" s="47" t="n"/>
      <c r="BL375" s="47" t="n"/>
      <c r="BM375" s="47" t="n"/>
      <c r="BN375" s="47" t="n"/>
      <c r="BO375" s="47" t="n"/>
      <c r="BP375" s="47" t="n"/>
      <c r="BQ375" s="47" t="n"/>
      <c r="BR375" s="47" t="n"/>
      <c r="BS375" s="47" t="n"/>
      <c r="BT375" s="47" t="n"/>
      <c r="BU375" s="47" t="n"/>
      <c r="BV375" s="47" t="n"/>
      <c r="BW375" s="47" t="n"/>
      <c r="BX375" s="47" t="n"/>
      <c r="BY375" s="47" t="n"/>
      <c r="BZ375" s="47" t="n"/>
      <c r="CA375" s="47" t="n"/>
      <c r="CB375" s="47" t="n"/>
      <c r="CC375" s="47" t="n"/>
      <c r="CD375" s="47" t="n"/>
      <c r="CE375" s="47" t="n"/>
      <c r="CF375" s="47" t="n"/>
      <c r="CG375" s="47" t="n"/>
      <c r="CH375" s="47" t="n"/>
      <c r="CI375" s="47" t="n"/>
      <c r="CJ375" s="47" t="n"/>
      <c r="CK375" s="47" t="n"/>
      <c r="CL375" s="47" t="n"/>
      <c r="CM375" s="48" t="n"/>
      <c r="CN375" s="48" t="n"/>
      <c r="CO375" s="183" t="n">
        <v>250</v>
      </c>
      <c r="CP375" s="183" t="n">
        <v>250</v>
      </c>
      <c r="CQ375" s="183" t="n">
        <v>250</v>
      </c>
      <c r="CR375" s="183" t="n">
        <v>250</v>
      </c>
      <c r="CS375" s="183" t="n">
        <v>250</v>
      </c>
      <c r="CT375" s="22" t="n"/>
      <c r="CV375" s="6" t="n"/>
      <c r="CW375" s="6" t="n"/>
      <c r="CX375" s="6" t="n"/>
      <c r="CY375" s="6" t="n"/>
    </row>
    <row r="376" ht="15" customHeight="1">
      <c r="B376" s="12" t="inlineStr">
        <is>
          <t xml:space="preserve">  Commercial paper / revolver outstanding (year end)</t>
        </is>
      </c>
      <c r="C376" s="29" t="n"/>
      <c r="D376" s="29" t="n"/>
      <c r="E376" s="30" t="n"/>
      <c r="F376" s="30" t="n"/>
      <c r="G376" s="30" t="n"/>
      <c r="H376" s="30" t="n"/>
      <c r="I376" s="30" t="n"/>
      <c r="J376" s="30" t="n"/>
      <c r="K376" s="30" t="n"/>
      <c r="L376" s="29" t="n"/>
      <c r="M376" s="30" t="n"/>
      <c r="N376" s="30" t="n"/>
      <c r="O376" s="30" t="n"/>
      <c r="P376" s="30" t="n"/>
      <c r="Q376" s="30" t="n"/>
      <c r="R376" s="29" t="n"/>
      <c r="S376" s="30" t="n"/>
      <c r="T376" s="30" t="n"/>
      <c r="U376" s="30" t="n"/>
      <c r="V376" s="30" t="n"/>
      <c r="W376" s="30" t="n"/>
      <c r="X376" s="29" t="n"/>
      <c r="Y376" s="30" t="n"/>
      <c r="Z376" s="30" t="n"/>
      <c r="AA376" s="30" t="n"/>
      <c r="AB376" s="30" t="n"/>
      <c r="AC376" s="30" t="n"/>
      <c r="AD376" s="29" t="n"/>
      <c r="AE376" s="30" t="n"/>
      <c r="AF376" s="30" t="n"/>
      <c r="AG376" s="30" t="n"/>
      <c r="AH376" s="30" t="n"/>
      <c r="AI376" s="30" t="n"/>
      <c r="AJ376" s="29" t="n"/>
      <c r="AK376" s="30" t="n"/>
      <c r="AL376" s="30" t="n"/>
      <c r="AM376" s="30" t="n"/>
      <c r="AN376" s="30" t="n"/>
      <c r="AO376" s="30" t="n"/>
      <c r="AP376" s="29" t="n"/>
      <c r="AQ376" s="30" t="n"/>
      <c r="AR376" s="30" t="n"/>
      <c r="AS376" s="30" t="n"/>
      <c r="AT376" s="30" t="n"/>
      <c r="AU376" s="30" t="n"/>
      <c r="AV376" s="29" t="n"/>
      <c r="AW376" s="30" t="n"/>
      <c r="AX376" s="30" t="n"/>
      <c r="AY376" s="30" t="n"/>
      <c r="AZ376" s="30" t="n"/>
      <c r="BA376" s="30" t="n"/>
      <c r="BB376" s="29" t="n"/>
      <c r="BC376" s="30" t="n"/>
      <c r="BD376" s="30" t="n"/>
      <c r="BE376" s="30" t="n"/>
      <c r="BF376" s="30" t="n"/>
      <c r="BG376" s="30" t="n"/>
      <c r="BH376" s="29" t="n"/>
      <c r="BI376" s="30" t="n"/>
      <c r="BJ376" s="30" t="n"/>
      <c r="BK376" s="30" t="n"/>
      <c r="BL376" s="30" t="n"/>
      <c r="BM376" s="30" t="n"/>
      <c r="BN376" s="29" t="n"/>
      <c r="BO376" s="30" t="n"/>
      <c r="BP376" s="30" t="n"/>
      <c r="BQ376" s="30" t="n"/>
      <c r="BR376" s="30" t="n"/>
      <c r="BS376" s="30" t="n"/>
      <c r="BT376" s="29" t="n"/>
      <c r="BU376" s="30" t="n"/>
      <c r="BV376" s="30" t="n"/>
      <c r="BW376" s="30" t="n"/>
      <c r="BX376" s="30" t="n"/>
      <c r="BY376" s="30" t="n"/>
      <c r="BZ376" s="29" t="n"/>
      <c r="CA376" s="30" t="n"/>
      <c r="CB376" s="30" t="n"/>
      <c r="CC376" s="30" t="n"/>
      <c r="CD376" s="30" t="n"/>
      <c r="CE376" s="30" t="n"/>
      <c r="CF376" s="29" t="n"/>
      <c r="CG376" s="30" t="n"/>
      <c r="CH376" s="30" t="n"/>
      <c r="CI376" s="30" t="n"/>
      <c r="CJ376" s="30" t="n"/>
      <c r="CK376" s="30" t="n"/>
      <c r="CL376" s="29" t="n"/>
      <c r="CM376" s="31" t="n"/>
      <c r="CN376" s="31" t="n"/>
      <c r="CO376" s="171">
        <f>MAX(0,CO375-CO374)</f>
        <v/>
      </c>
      <c r="CP376" s="171">
        <f>MAX(0,CP375-CP374)</f>
        <v/>
      </c>
      <c r="CQ376" s="171">
        <f>MAX(0,CQ375-CQ374)</f>
        <v/>
      </c>
      <c r="CR376" s="171">
        <f>MAX(0,CR375-CR374)</f>
        <v/>
      </c>
      <c r="CS376" s="171">
        <f>MAX(0,CS375-CS374)</f>
        <v/>
      </c>
      <c r="CT376" s="22" t="inlineStr">
        <is>
          <t>Draws when cash would fall below the minimum (e.g. Bull M&amp;A); repaid from surplus cash.</t>
        </is>
      </c>
      <c r="CV376" s="23" t="n"/>
      <c r="CW376" s="23" t="n"/>
      <c r="CX376" s="23" t="n"/>
      <c r="CY376" s="23" t="n"/>
    </row>
    <row r="377" ht="15" customHeight="1">
      <c r="B377" s="12" t="inlineStr">
        <is>
          <t xml:space="preserve">  Net issuance / (repayment)</t>
        </is>
      </c>
      <c r="C377" s="29" t="n"/>
      <c r="D377" s="170">
        <f>IFERROR(D369-C369,"")</f>
        <v/>
      </c>
      <c r="E377" s="170">
        <f>IFERROR(E369-D369,"")</f>
        <v/>
      </c>
      <c r="F377" s="170">
        <f>IFERROR(F369-E369,"")</f>
        <v/>
      </c>
      <c r="G377" s="170">
        <f>IFERROR(G369-F369,"")</f>
        <v/>
      </c>
      <c r="H377" s="170">
        <f>IFERROR(H369-G369,"")</f>
        <v/>
      </c>
      <c r="I377" s="170">
        <f>IFERROR(I369-H369,"")</f>
        <v/>
      </c>
      <c r="J377" s="30" t="n"/>
      <c r="K377" s="30" t="n"/>
      <c r="L377" s="29" t="n"/>
      <c r="M377" s="30" t="n"/>
      <c r="N377" s="30" t="n"/>
      <c r="O377" s="170">
        <f>IFERROR(O369-I369,"")</f>
        <v/>
      </c>
      <c r="P377" s="30" t="n"/>
      <c r="Q377" s="30" t="n"/>
      <c r="R377" s="29" t="n"/>
      <c r="S377" s="30" t="n"/>
      <c r="T377" s="30" t="n"/>
      <c r="U377" s="170">
        <f>IFERROR(U369-O369,"")</f>
        <v/>
      </c>
      <c r="V377" s="30" t="n"/>
      <c r="W377" s="30" t="n"/>
      <c r="X377" s="29" t="n"/>
      <c r="Y377" s="30" t="n"/>
      <c r="Z377" s="30" t="n"/>
      <c r="AA377" s="170">
        <f>IFERROR(AA369-U369,"")</f>
        <v/>
      </c>
      <c r="AB377" s="30" t="n"/>
      <c r="AC377" s="30" t="n"/>
      <c r="AD377" s="29" t="n"/>
      <c r="AE377" s="30" t="n"/>
      <c r="AF377" s="30" t="n"/>
      <c r="AG377" s="170">
        <f>IFERROR(AG369-AA369,"")</f>
        <v/>
      </c>
      <c r="AH377" s="30" t="n"/>
      <c r="AI377" s="30" t="n"/>
      <c r="AJ377" s="29" t="n"/>
      <c r="AK377" s="30" t="n"/>
      <c r="AL377" s="30" t="n"/>
      <c r="AM377" s="170">
        <f>IFERROR(AM369-AG369,"")</f>
        <v/>
      </c>
      <c r="AN377" s="30" t="n"/>
      <c r="AO377" s="30" t="n"/>
      <c r="AP377" s="29" t="n"/>
      <c r="AQ377" s="30" t="n"/>
      <c r="AR377" s="30" t="n"/>
      <c r="AS377" s="170">
        <f>IFERROR(AS369-AM369,"")</f>
        <v/>
      </c>
      <c r="AT377" s="30" t="n"/>
      <c r="AU377" s="30" t="n"/>
      <c r="AV377" s="29" t="n"/>
      <c r="AW377" s="30" t="n"/>
      <c r="AX377" s="30" t="n"/>
      <c r="AY377" s="170">
        <f>IFERROR(AY369-AS369,"")</f>
        <v/>
      </c>
      <c r="AZ377" s="30" t="n"/>
      <c r="BA377" s="30" t="n"/>
      <c r="BB377" s="29" t="n"/>
      <c r="BC377" s="30" t="n"/>
      <c r="BD377" s="30" t="n"/>
      <c r="BE377" s="170">
        <f>IFERROR(BE369-AY369,"")</f>
        <v/>
      </c>
      <c r="BF377" s="30" t="n"/>
      <c r="BG377" s="30" t="n"/>
      <c r="BH377" s="29" t="n"/>
      <c r="BI377" s="30" t="n"/>
      <c r="BJ377" s="30" t="n"/>
      <c r="BK377" s="170">
        <f>IFERROR(BK369-BE369,"")</f>
        <v/>
      </c>
      <c r="BL377" s="30" t="n"/>
      <c r="BM377" s="30" t="n"/>
      <c r="BN377" s="29" t="n"/>
      <c r="BO377" s="30" t="n"/>
      <c r="BP377" s="30" t="n"/>
      <c r="BQ377" s="170">
        <f>IFERROR(BQ369-BK369,"")</f>
        <v/>
      </c>
      <c r="BR377" s="30" t="n"/>
      <c r="BS377" s="30" t="n"/>
      <c r="BT377" s="29" t="n"/>
      <c r="BU377" s="30" t="n"/>
      <c r="BV377" s="30" t="n"/>
      <c r="BW377" s="170">
        <f>IFERROR(BW369-BQ369,"")</f>
        <v/>
      </c>
      <c r="BX377" s="30" t="n"/>
      <c r="BY377" s="30" t="n"/>
      <c r="BZ377" s="29" t="n"/>
      <c r="CA377" s="30" t="n"/>
      <c r="CB377" s="30" t="n"/>
      <c r="CC377" s="170">
        <f>IFERROR(CC369-BW369,"")</f>
        <v/>
      </c>
      <c r="CD377" s="30" t="n"/>
      <c r="CE377" s="30" t="n"/>
      <c r="CF377" s="29" t="n"/>
      <c r="CG377" s="30" t="n"/>
      <c r="CH377" s="30" t="n"/>
      <c r="CI377" s="170">
        <f>IFERROR(CI369-CC369,"")</f>
        <v/>
      </c>
      <c r="CJ377" s="30" t="n"/>
      <c r="CK377" s="30" t="n"/>
      <c r="CL377" s="29" t="n"/>
      <c r="CM377" s="31" t="n"/>
      <c r="CN377" s="31" t="n"/>
      <c r="CO377" s="171">
        <f>CO369-CI369</f>
        <v/>
      </c>
      <c r="CP377" s="171">
        <f>IFERROR(CP369-CO369,"")</f>
        <v/>
      </c>
      <c r="CQ377" s="171">
        <f>IFERROR(CQ369-CP369,"")</f>
        <v/>
      </c>
      <c r="CR377" s="171">
        <f>IFERROR(CR369-CQ369,"")</f>
        <v/>
      </c>
      <c r="CS377" s="171">
        <f>IFERROR(CS369-CR369,"")</f>
        <v/>
      </c>
      <c r="CT377" s="22" t="n"/>
      <c r="CV377" s="23" t="n"/>
      <c r="CW377" s="23" t="n"/>
      <c r="CX377" s="23" t="n"/>
      <c r="CY377" s="23" t="n"/>
    </row>
    <row r="378" ht="15" customHeight="1">
      <c r="B378" s="25" t="inlineStr">
        <is>
          <t xml:space="preserve">  Interest rate on legacy notes (opening balance) %</t>
        </is>
      </c>
      <c r="C378" s="39" t="n"/>
      <c r="D378" s="179">
        <f>IFERROR(D147/C369,"")</f>
        <v/>
      </c>
      <c r="E378" s="179">
        <f>IFERROR(E147/D369,"")</f>
        <v/>
      </c>
      <c r="F378" s="179">
        <f>IFERROR(F147/E369,"")</f>
        <v/>
      </c>
      <c r="G378" s="179">
        <f>IFERROR(G147/F369,"")</f>
        <v/>
      </c>
      <c r="H378" s="179">
        <f>IFERROR(H147/G369,"")</f>
        <v/>
      </c>
      <c r="I378" s="179">
        <f>IFERROR(I147/H369,"")</f>
        <v/>
      </c>
      <c r="J378" s="39" t="n"/>
      <c r="K378" s="39" t="n"/>
      <c r="L378" s="39" t="n"/>
      <c r="M378" s="39" t="n"/>
      <c r="N378" s="39" t="n"/>
      <c r="O378" s="179">
        <f>IFERROR(O147/I369,"")</f>
        <v/>
      </c>
      <c r="P378" s="39" t="n"/>
      <c r="Q378" s="39" t="n"/>
      <c r="R378" s="39" t="n"/>
      <c r="S378" s="39" t="n"/>
      <c r="T378" s="39" t="n"/>
      <c r="U378" s="179">
        <f>IFERROR(U147/O369,"")</f>
        <v/>
      </c>
      <c r="V378" s="39" t="n"/>
      <c r="W378" s="39" t="n"/>
      <c r="X378" s="39" t="n"/>
      <c r="Y378" s="39" t="n"/>
      <c r="Z378" s="39" t="n"/>
      <c r="AA378" s="179">
        <f>IFERROR(AA147/U369,"")</f>
        <v/>
      </c>
      <c r="AB378" s="39" t="n"/>
      <c r="AC378" s="39" t="n"/>
      <c r="AD378" s="39" t="n"/>
      <c r="AE378" s="39" t="n"/>
      <c r="AF378" s="39" t="n"/>
      <c r="AG378" s="179">
        <f>IFERROR(AG147/AA369,"")</f>
        <v/>
      </c>
      <c r="AH378" s="39" t="n"/>
      <c r="AI378" s="39" t="n"/>
      <c r="AJ378" s="39" t="n"/>
      <c r="AK378" s="39" t="n"/>
      <c r="AL378" s="39" t="n"/>
      <c r="AM378" s="179">
        <f>IFERROR(AM147/AG369,"")</f>
        <v/>
      </c>
      <c r="AN378" s="39" t="n"/>
      <c r="AO378" s="39" t="n"/>
      <c r="AP378" s="39" t="n"/>
      <c r="AQ378" s="39" t="n"/>
      <c r="AR378" s="39" t="n"/>
      <c r="AS378" s="179">
        <f>IFERROR(AS147/AM369,"")</f>
        <v/>
      </c>
      <c r="AT378" s="39" t="n"/>
      <c r="AU378" s="39" t="n"/>
      <c r="AV378" s="39" t="n"/>
      <c r="AW378" s="39" t="n"/>
      <c r="AX378" s="39" t="n"/>
      <c r="AY378" s="179">
        <f>IFERROR(AY147/AS369,"")</f>
        <v/>
      </c>
      <c r="AZ378" s="39" t="n"/>
      <c r="BA378" s="39" t="n"/>
      <c r="BB378" s="39" t="n"/>
      <c r="BC378" s="39" t="n"/>
      <c r="BD378" s="39" t="n"/>
      <c r="BE378" s="179">
        <f>IFERROR(BE147/AY369,"")</f>
        <v/>
      </c>
      <c r="BF378" s="39" t="n"/>
      <c r="BG378" s="39" t="n"/>
      <c r="BH378" s="39" t="n"/>
      <c r="BI378" s="39" t="n"/>
      <c r="BJ378" s="39" t="n"/>
      <c r="BK378" s="179">
        <f>IFERROR(BK147/BE369,"")</f>
        <v/>
      </c>
      <c r="BL378" s="39" t="n"/>
      <c r="BM378" s="39" t="n"/>
      <c r="BN378" s="39" t="n"/>
      <c r="BO378" s="39" t="n"/>
      <c r="BP378" s="39" t="n"/>
      <c r="BQ378" s="179">
        <f>IFERROR(BQ147/BK369,"")</f>
        <v/>
      </c>
      <c r="BR378" s="39" t="n"/>
      <c r="BS378" s="39" t="n"/>
      <c r="BT378" s="39" t="n"/>
      <c r="BU378" s="39" t="n"/>
      <c r="BV378" s="39" t="n"/>
      <c r="BW378" s="179">
        <f>IFERROR(BW147/BQ369,"")</f>
        <v/>
      </c>
      <c r="BX378" s="39" t="n"/>
      <c r="BY378" s="39" t="n"/>
      <c r="BZ378" s="39" t="n"/>
      <c r="CA378" s="39" t="n"/>
      <c r="CB378" s="39" t="n"/>
      <c r="CC378" s="179">
        <f>IFERROR(CC147/BW369,"")</f>
        <v/>
      </c>
      <c r="CD378" s="39" t="n"/>
      <c r="CE378" s="39" t="n"/>
      <c r="CF378" s="39" t="n"/>
      <c r="CG378" s="39" t="n"/>
      <c r="CH378" s="39" t="n"/>
      <c r="CI378" s="179">
        <f>IFERROR(CI147/CC369,"")</f>
        <v/>
      </c>
      <c r="CJ378" s="39" t="n"/>
      <c r="CK378" s="39" t="n"/>
      <c r="CL378" s="39" t="n"/>
      <c r="CM378" s="27" t="n"/>
      <c r="CN378" s="27" t="n"/>
      <c r="CO378" s="165">
        <f>IFERROR(CO147/CI369,"")</f>
        <v/>
      </c>
      <c r="CP378" s="182" t="n">
        <v>0.0505</v>
      </c>
      <c r="CQ378" s="182" t="n">
        <v>0.0505</v>
      </c>
      <c r="CR378" s="182" t="n">
        <v>0.0505</v>
      </c>
      <c r="CS378" s="182" t="n">
        <v>0.0505</v>
      </c>
      <c r="CT378" s="22" t="inlineStr">
        <is>
          <t>Weighted-average effective rate on notes outstanding 5.04% (10-Q); historical = net interest / opening total debt.</t>
        </is>
      </c>
      <c r="CV378" s="40" t="n"/>
      <c r="CW378" s="40" t="n"/>
      <c r="CX378" s="40" t="n"/>
      <c r="CY378" s="40" t="n"/>
    </row>
    <row r="379" ht="15" customHeight="1">
      <c r="B379" s="25" t="inlineStr">
        <is>
          <t xml:space="preserve">  Interest income yield on opening cash %</t>
        </is>
      </c>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c r="Y379" s="39" t="n"/>
      <c r="Z379" s="39" t="n"/>
      <c r="AA379" s="39" t="n"/>
      <c r="AB379" s="39" t="n"/>
      <c r="AC379" s="39" t="n"/>
      <c r="AD379" s="39" t="n"/>
      <c r="AE379" s="39" t="n"/>
      <c r="AF379" s="39" t="n"/>
      <c r="AG379" s="39" t="n"/>
      <c r="AH379" s="39" t="n"/>
      <c r="AI379" s="39" t="n"/>
      <c r="AJ379" s="39" t="n"/>
      <c r="AK379" s="39" t="n"/>
      <c r="AL379" s="39" t="n"/>
      <c r="AM379" s="39" t="n"/>
      <c r="AN379" s="39" t="n"/>
      <c r="AO379" s="39" t="n"/>
      <c r="AP379" s="39" t="n"/>
      <c r="AQ379" s="39" t="n"/>
      <c r="AR379" s="39" t="n"/>
      <c r="AS379" s="39" t="n"/>
      <c r="AT379" s="39" t="n"/>
      <c r="AU379" s="39" t="n"/>
      <c r="AV379" s="39" t="n"/>
      <c r="AW379" s="39" t="n"/>
      <c r="AX379" s="39" t="n"/>
      <c r="AY379" s="39" t="n"/>
      <c r="AZ379" s="39" t="n"/>
      <c r="BA379" s="39" t="n"/>
      <c r="BB379" s="39" t="n"/>
      <c r="BC379" s="39" t="n"/>
      <c r="BD379" s="39" t="n"/>
      <c r="BE379" s="39" t="n"/>
      <c r="BF379" s="39" t="n"/>
      <c r="BG379" s="39" t="n"/>
      <c r="BH379" s="39" t="n"/>
      <c r="BI379" s="39" t="n"/>
      <c r="BJ379" s="39" t="n"/>
      <c r="BK379" s="39" t="n"/>
      <c r="BL379" s="39" t="n"/>
      <c r="BM379" s="39" t="n"/>
      <c r="BN379" s="39" t="n"/>
      <c r="BO379" s="39" t="n"/>
      <c r="BP379" s="39" t="n"/>
      <c r="BQ379" s="39" t="n"/>
      <c r="BR379" s="39" t="n"/>
      <c r="BS379" s="39" t="n"/>
      <c r="BT379" s="39" t="n"/>
      <c r="BU379" s="39" t="n"/>
      <c r="BV379" s="39" t="n"/>
      <c r="BW379" s="39" t="n"/>
      <c r="BX379" s="39" t="n"/>
      <c r="BY379" s="39" t="n"/>
      <c r="BZ379" s="39" t="n"/>
      <c r="CA379" s="39" t="n"/>
      <c r="CB379" s="39" t="n"/>
      <c r="CC379" s="39" t="n"/>
      <c r="CD379" s="39" t="n"/>
      <c r="CE379" s="39" t="n"/>
      <c r="CF379" s="39" t="n"/>
      <c r="CG379" s="39" t="n"/>
      <c r="CH379" s="39" t="n"/>
      <c r="CI379" s="39" t="n"/>
      <c r="CJ379" s="39" t="n"/>
      <c r="CK379" s="39" t="n"/>
      <c r="CL379" s="39" t="n"/>
      <c r="CM379" s="27" t="n"/>
      <c r="CN379" s="27" t="n"/>
      <c r="CO379" s="27" t="n"/>
      <c r="CP379" s="182" t="n">
        <v>0.035</v>
      </c>
      <c r="CQ379" s="182" t="n">
        <v>0.035</v>
      </c>
      <c r="CR379" s="182" t="n">
        <v>0.035</v>
      </c>
      <c r="CS379" s="182" t="n">
        <v>0.035</v>
      </c>
      <c r="CT379" s="22" t="n"/>
      <c r="CV379" s="40" t="n"/>
      <c r="CW379" s="40" t="n"/>
      <c r="CX379" s="40" t="n"/>
      <c r="CY379" s="40" t="n"/>
    </row>
    <row r="380" ht="15" customHeight="1">
      <c r="B380" s="25" t="inlineStr">
        <is>
          <t xml:space="preserve">  Interest rate on refinanced debt %</t>
        </is>
      </c>
      <c r="C380" s="39" t="n"/>
      <c r="D380" s="39" t="n"/>
      <c r="E380" s="39" t="n"/>
      <c r="F380" s="39" t="n"/>
      <c r="G380" s="39" t="n"/>
      <c r="H380" s="39" t="n"/>
      <c r="I380" s="39" t="n"/>
      <c r="J380" s="39" t="n"/>
      <c r="K380" s="39" t="n"/>
      <c r="L380" s="39" t="n"/>
      <c r="M380" s="39" t="n"/>
      <c r="N380" s="39" t="n"/>
      <c r="O380" s="39" t="n"/>
      <c r="P380" s="39" t="n"/>
      <c r="Q380" s="39" t="n"/>
      <c r="R380" s="39" t="n"/>
      <c r="S380" s="39" t="n"/>
      <c r="T380" s="39" t="n"/>
      <c r="U380" s="39" t="n"/>
      <c r="V380" s="39" t="n"/>
      <c r="W380" s="39" t="n"/>
      <c r="X380" s="39" t="n"/>
      <c r="Y380" s="39" t="n"/>
      <c r="Z380" s="39" t="n"/>
      <c r="AA380" s="39" t="n"/>
      <c r="AB380" s="39" t="n"/>
      <c r="AC380" s="39" t="n"/>
      <c r="AD380" s="39" t="n"/>
      <c r="AE380" s="39" t="n"/>
      <c r="AF380" s="39" t="n"/>
      <c r="AG380" s="39" t="n"/>
      <c r="AH380" s="39" t="n"/>
      <c r="AI380" s="39" t="n"/>
      <c r="AJ380" s="39" t="n"/>
      <c r="AK380" s="39" t="n"/>
      <c r="AL380" s="39" t="n"/>
      <c r="AM380" s="39" t="n"/>
      <c r="AN380" s="39" t="n"/>
      <c r="AO380" s="39" t="n"/>
      <c r="AP380" s="39" t="n"/>
      <c r="AQ380" s="39" t="n"/>
      <c r="AR380" s="39" t="n"/>
      <c r="AS380" s="39" t="n"/>
      <c r="AT380" s="39" t="n"/>
      <c r="AU380" s="39" t="n"/>
      <c r="AV380" s="39" t="n"/>
      <c r="AW380" s="39" t="n"/>
      <c r="AX380" s="39" t="n"/>
      <c r="AY380" s="39" t="n"/>
      <c r="AZ380" s="39" t="n"/>
      <c r="BA380" s="39" t="n"/>
      <c r="BB380" s="39" t="n"/>
      <c r="BC380" s="39" t="n"/>
      <c r="BD380" s="39" t="n"/>
      <c r="BE380" s="39" t="n"/>
      <c r="BF380" s="39" t="n"/>
      <c r="BG380" s="39" t="n"/>
      <c r="BH380" s="39" t="n"/>
      <c r="BI380" s="39" t="n"/>
      <c r="BJ380" s="39" t="n"/>
      <c r="BK380" s="39" t="n"/>
      <c r="BL380" s="39" t="n"/>
      <c r="BM380" s="39" t="n"/>
      <c r="BN380" s="39" t="n"/>
      <c r="BO380" s="39" t="n"/>
      <c r="BP380" s="39" t="n"/>
      <c r="BQ380" s="39" t="n"/>
      <c r="BR380" s="39" t="n"/>
      <c r="BS380" s="39" t="n"/>
      <c r="BT380" s="39" t="n"/>
      <c r="BU380" s="39" t="n"/>
      <c r="BV380" s="39" t="n"/>
      <c r="BW380" s="39" t="n"/>
      <c r="BX380" s="39" t="n"/>
      <c r="BY380" s="39" t="n"/>
      <c r="BZ380" s="39" t="n"/>
      <c r="CA380" s="39" t="n"/>
      <c r="CB380" s="39" t="n"/>
      <c r="CC380" s="39" t="n"/>
      <c r="CD380" s="39" t="n"/>
      <c r="CE380" s="39" t="n"/>
      <c r="CF380" s="39" t="n"/>
      <c r="CG380" s="39" t="n"/>
      <c r="CH380" s="39" t="n"/>
      <c r="CI380" s="39" t="n"/>
      <c r="CJ380" s="39" t="n"/>
      <c r="CK380" s="39" t="n"/>
      <c r="CL380" s="39" t="n"/>
      <c r="CM380" s="27" t="n"/>
      <c r="CN380" s="27" t="n"/>
      <c r="CO380" s="27" t="n"/>
      <c r="CP380" s="182" t="n">
        <v>0.0525</v>
      </c>
      <c r="CQ380" s="182" t="n">
        <v>0.0525</v>
      </c>
      <c r="CR380" s="182" t="n">
        <v>0.0525</v>
      </c>
      <c r="CS380" s="182" t="n">
        <v>0.0525</v>
      </c>
      <c r="CT380" s="22" t="n"/>
      <c r="CV380" s="40" t="n"/>
      <c r="CW380" s="40" t="n"/>
      <c r="CX380" s="40" t="n"/>
      <c r="CY380" s="40" t="n"/>
    </row>
    <row r="381" ht="15" customHeight="1">
      <c r="B381" s="25" t="inlineStr">
        <is>
          <t xml:space="preserve">  Interest rate on CP / revolver %</t>
        </is>
      </c>
      <c r="C381" s="39" t="n"/>
      <c r="D381" s="39" t="n"/>
      <c r="E381" s="39" t="n"/>
      <c r="F381" s="39" t="n"/>
      <c r="G381" s="39" t="n"/>
      <c r="H381" s="39" t="n"/>
      <c r="I381" s="39" t="n"/>
      <c r="J381" s="39" t="n"/>
      <c r="K381" s="39" t="n"/>
      <c r="L381" s="39" t="n"/>
      <c r="M381" s="39" t="n"/>
      <c r="N381" s="39" t="n"/>
      <c r="O381" s="39" t="n"/>
      <c r="P381" s="39" t="n"/>
      <c r="Q381" s="39" t="n"/>
      <c r="R381" s="39" t="n"/>
      <c r="S381" s="39" t="n"/>
      <c r="T381" s="39" t="n"/>
      <c r="U381" s="39" t="n"/>
      <c r="V381" s="39" t="n"/>
      <c r="W381" s="39" t="n"/>
      <c r="X381" s="39" t="n"/>
      <c r="Y381" s="39" t="n"/>
      <c r="Z381" s="39" t="n"/>
      <c r="AA381" s="39" t="n"/>
      <c r="AB381" s="39" t="n"/>
      <c r="AC381" s="39" t="n"/>
      <c r="AD381" s="39" t="n"/>
      <c r="AE381" s="39" t="n"/>
      <c r="AF381" s="39" t="n"/>
      <c r="AG381" s="39" t="n"/>
      <c r="AH381" s="39" t="n"/>
      <c r="AI381" s="39" t="n"/>
      <c r="AJ381" s="39" t="n"/>
      <c r="AK381" s="39" t="n"/>
      <c r="AL381" s="39" t="n"/>
      <c r="AM381" s="39" t="n"/>
      <c r="AN381" s="39" t="n"/>
      <c r="AO381" s="39" t="n"/>
      <c r="AP381" s="39" t="n"/>
      <c r="AQ381" s="39" t="n"/>
      <c r="AR381" s="39" t="n"/>
      <c r="AS381" s="39" t="n"/>
      <c r="AT381" s="39" t="n"/>
      <c r="AU381" s="39" t="n"/>
      <c r="AV381" s="39" t="n"/>
      <c r="AW381" s="39" t="n"/>
      <c r="AX381" s="39" t="n"/>
      <c r="AY381" s="39" t="n"/>
      <c r="AZ381" s="39" t="n"/>
      <c r="BA381" s="39" t="n"/>
      <c r="BB381" s="39" t="n"/>
      <c r="BC381" s="39" t="n"/>
      <c r="BD381" s="39" t="n"/>
      <c r="BE381" s="39" t="n"/>
      <c r="BF381" s="39" t="n"/>
      <c r="BG381" s="39" t="n"/>
      <c r="BH381" s="39" t="n"/>
      <c r="BI381" s="39" t="n"/>
      <c r="BJ381" s="39" t="n"/>
      <c r="BK381" s="39" t="n"/>
      <c r="BL381" s="39" t="n"/>
      <c r="BM381" s="39" t="n"/>
      <c r="BN381" s="39" t="n"/>
      <c r="BO381" s="39" t="n"/>
      <c r="BP381" s="39" t="n"/>
      <c r="BQ381" s="39" t="n"/>
      <c r="BR381" s="39" t="n"/>
      <c r="BS381" s="39" t="n"/>
      <c r="BT381" s="39" t="n"/>
      <c r="BU381" s="39" t="n"/>
      <c r="BV381" s="39" t="n"/>
      <c r="BW381" s="39" t="n"/>
      <c r="BX381" s="39" t="n"/>
      <c r="BY381" s="39" t="n"/>
      <c r="BZ381" s="39" t="n"/>
      <c r="CA381" s="39" t="n"/>
      <c r="CB381" s="39" t="n"/>
      <c r="CC381" s="39" t="n"/>
      <c r="CD381" s="39" t="n"/>
      <c r="CE381" s="39" t="n"/>
      <c r="CF381" s="39" t="n"/>
      <c r="CG381" s="39" t="n"/>
      <c r="CH381" s="39" t="n"/>
      <c r="CI381" s="39" t="n"/>
      <c r="CJ381" s="39" t="n"/>
      <c r="CK381" s="39" t="n"/>
      <c r="CL381" s="39" t="n"/>
      <c r="CM381" s="27" t="n"/>
      <c r="CN381" s="27" t="n"/>
      <c r="CO381" s="27" t="n"/>
      <c r="CP381" s="182" t="n">
        <v>0.0475</v>
      </c>
      <c r="CQ381" s="182" t="n">
        <v>0.0475</v>
      </c>
      <c r="CR381" s="182" t="n">
        <v>0.0475</v>
      </c>
      <c r="CS381" s="182" t="n">
        <v>0.0475</v>
      </c>
      <c r="CT381" s="22" t="n"/>
      <c r="CV381" s="40" t="n"/>
      <c r="CW381" s="40" t="n"/>
      <c r="CX381" s="40" t="n"/>
      <c r="CY381" s="40" t="n"/>
    </row>
    <row r="382" ht="15" customHeight="1">
      <c r="B382" s="12" t="inlineStr">
        <is>
          <t>Leverage-targeted buybacks (repurchases plug to a minimum net debt / Adjusted EBITDA)</t>
        </is>
      </c>
      <c r="C382" s="29" t="n"/>
      <c r="D382" s="29" t="n"/>
      <c r="E382" s="30" t="n"/>
      <c r="F382" s="30" t="n"/>
      <c r="G382" s="30" t="n"/>
      <c r="H382" s="30" t="n"/>
      <c r="I382" s="30" t="n"/>
      <c r="J382" s="30" t="n"/>
      <c r="K382" s="30" t="n"/>
      <c r="L382" s="29" t="n"/>
      <c r="M382" s="30" t="n"/>
      <c r="N382" s="30" t="n"/>
      <c r="O382" s="30" t="n"/>
      <c r="P382" s="30" t="n"/>
      <c r="Q382" s="30" t="n"/>
      <c r="R382" s="29" t="n"/>
      <c r="S382" s="30" t="n"/>
      <c r="T382" s="30" t="n"/>
      <c r="U382" s="30" t="n"/>
      <c r="V382" s="30" t="n"/>
      <c r="W382" s="30" t="n"/>
      <c r="X382" s="29" t="n"/>
      <c r="Y382" s="30" t="n"/>
      <c r="Z382" s="30" t="n"/>
      <c r="AA382" s="30" t="n"/>
      <c r="AB382" s="30" t="n"/>
      <c r="AC382" s="30" t="n"/>
      <c r="AD382" s="29" t="n"/>
      <c r="AE382" s="30" t="n"/>
      <c r="AF382" s="30" t="n"/>
      <c r="AG382" s="30" t="n"/>
      <c r="AH382" s="30" t="n"/>
      <c r="AI382" s="30" t="n"/>
      <c r="AJ382" s="29" t="n"/>
      <c r="AK382" s="30" t="n"/>
      <c r="AL382" s="30" t="n"/>
      <c r="AM382" s="30" t="n"/>
      <c r="AN382" s="30" t="n"/>
      <c r="AO382" s="30" t="n"/>
      <c r="AP382" s="29" t="n"/>
      <c r="AQ382" s="30" t="n"/>
      <c r="AR382" s="30" t="n"/>
      <c r="AS382" s="30" t="n"/>
      <c r="AT382" s="30" t="n"/>
      <c r="AU382" s="30" t="n"/>
      <c r="AV382" s="29" t="n"/>
      <c r="AW382" s="30" t="n"/>
      <c r="AX382" s="30" t="n"/>
      <c r="AY382" s="30" t="n"/>
      <c r="AZ382" s="30" t="n"/>
      <c r="BA382" s="30" t="n"/>
      <c r="BB382" s="29" t="n"/>
      <c r="BC382" s="30" t="n"/>
      <c r="BD382" s="30" t="n"/>
      <c r="BE382" s="30" t="n"/>
      <c r="BF382" s="30" t="n"/>
      <c r="BG382" s="30" t="n"/>
      <c r="BH382" s="29" t="n"/>
      <c r="BI382" s="30" t="n"/>
      <c r="BJ382" s="30" t="n"/>
      <c r="BK382" s="30" t="n"/>
      <c r="BL382" s="30" t="n"/>
      <c r="BM382" s="30" t="n"/>
      <c r="BN382" s="29" t="n"/>
      <c r="BO382" s="30" t="n"/>
      <c r="BP382" s="30" t="n"/>
      <c r="BQ382" s="30" t="n"/>
      <c r="BR382" s="30" t="n"/>
      <c r="BS382" s="30" t="n"/>
      <c r="BT382" s="29" t="n"/>
      <c r="BU382" s="30" t="n"/>
      <c r="BV382" s="30" t="n"/>
      <c r="BW382" s="30" t="n"/>
      <c r="BX382" s="30" t="n"/>
      <c r="BY382" s="30" t="n"/>
      <c r="BZ382" s="29" t="n"/>
      <c r="CA382" s="30" t="n"/>
      <c r="CB382" s="30" t="n"/>
      <c r="CC382" s="30" t="n"/>
      <c r="CD382" s="30" t="n"/>
      <c r="CE382" s="30" t="n"/>
      <c r="CF382" s="29" t="n"/>
      <c r="CG382" s="30" t="n"/>
      <c r="CH382" s="30" t="n"/>
      <c r="CI382" s="30" t="n"/>
      <c r="CJ382" s="30" t="n"/>
      <c r="CK382" s="30" t="n"/>
      <c r="CL382" s="29" t="n"/>
      <c r="CM382" s="31" t="n"/>
      <c r="CN382" s="31" t="n"/>
      <c r="CO382" s="31" t="n"/>
      <c r="CP382" s="31" t="n"/>
      <c r="CQ382" s="31" t="n"/>
      <c r="CR382" s="31" t="n"/>
      <c r="CS382" s="31" t="n"/>
      <c r="CT382" s="22" t="n"/>
      <c r="CV382" s="23" t="n"/>
      <c r="CW382" s="23" t="n"/>
      <c r="CX382" s="23" t="n"/>
      <c r="CY382" s="23" t="n"/>
    </row>
    <row r="383" ht="15" customHeight="1">
      <c r="B383" s="46" t="inlineStr">
        <is>
          <t xml:space="preserve">  Minimum net debt / Adjusted EBITDA (x) (scenario)</t>
        </is>
      </c>
      <c r="C383" s="47" t="n"/>
      <c r="D383" s="47" t="n"/>
      <c r="E383" s="47" t="n"/>
      <c r="F383" s="47" t="n"/>
      <c r="G383" s="47" t="n"/>
      <c r="H383" s="47" t="n"/>
      <c r="I383" s="47" t="n"/>
      <c r="J383" s="47" t="n"/>
      <c r="K383" s="47" t="n"/>
      <c r="L383" s="47" t="n"/>
      <c r="M383" s="47" t="n"/>
      <c r="N383" s="47" t="n"/>
      <c r="O383" s="47" t="n"/>
      <c r="P383" s="47" t="n"/>
      <c r="Q383" s="47" t="n"/>
      <c r="R383" s="47" t="n"/>
      <c r="S383" s="47" t="n"/>
      <c r="T383" s="47" t="n"/>
      <c r="U383" s="47" t="n"/>
      <c r="V383" s="47" t="n"/>
      <c r="W383" s="47" t="n"/>
      <c r="X383" s="47" t="n"/>
      <c r="Y383" s="47" t="n"/>
      <c r="Z383" s="47" t="n"/>
      <c r="AA383" s="47" t="n"/>
      <c r="AB383" s="47" t="n"/>
      <c r="AC383" s="47" t="n"/>
      <c r="AD383" s="47" t="n"/>
      <c r="AE383" s="47" t="n"/>
      <c r="AF383" s="47" t="n"/>
      <c r="AG383" s="47" t="n"/>
      <c r="AH383" s="47" t="n"/>
      <c r="AI383" s="47" t="n"/>
      <c r="AJ383" s="47" t="n"/>
      <c r="AK383" s="47" t="n"/>
      <c r="AL383" s="47" t="n"/>
      <c r="AM383" s="47" t="n"/>
      <c r="AN383" s="47" t="n"/>
      <c r="AO383" s="47" t="n"/>
      <c r="AP383" s="47" t="n"/>
      <c r="AQ383" s="47" t="n"/>
      <c r="AR383" s="47" t="n"/>
      <c r="AS383" s="47" t="n"/>
      <c r="AT383" s="47" t="n"/>
      <c r="AU383" s="47" t="n"/>
      <c r="AV383" s="47" t="n"/>
      <c r="AW383" s="47" t="n"/>
      <c r="AX383" s="47" t="n"/>
      <c r="AY383" s="47" t="n"/>
      <c r="AZ383" s="47" t="n"/>
      <c r="BA383" s="47" t="n"/>
      <c r="BB383" s="47" t="n"/>
      <c r="BC383" s="47" t="n"/>
      <c r="BD383" s="47" t="n"/>
      <c r="BE383" s="47" t="n"/>
      <c r="BF383" s="47" t="n"/>
      <c r="BG383" s="47" t="n"/>
      <c r="BH383" s="47" t="n"/>
      <c r="BI383" s="47" t="n"/>
      <c r="BJ383" s="47" t="n"/>
      <c r="BK383" s="47" t="n"/>
      <c r="BL383" s="47" t="n"/>
      <c r="BM383" s="47" t="n"/>
      <c r="BN383" s="47" t="n"/>
      <c r="BO383" s="47" t="n"/>
      <c r="BP383" s="47" t="n"/>
      <c r="BQ383" s="47" t="n"/>
      <c r="BR383" s="47" t="n"/>
      <c r="BS383" s="47" t="n"/>
      <c r="BT383" s="47" t="n"/>
      <c r="BU383" s="47" t="n"/>
      <c r="BV383" s="47" t="n"/>
      <c r="BW383" s="47" t="n"/>
      <c r="BX383" s="47" t="n"/>
      <c r="BY383" s="47" t="n"/>
      <c r="BZ383" s="47" t="n"/>
      <c r="CA383" s="47" t="n"/>
      <c r="CB383" s="47" t="n"/>
      <c r="CC383" s="47" t="n"/>
      <c r="CD383" s="47" t="n"/>
      <c r="CE383" s="47" t="n"/>
      <c r="CF383" s="47" t="n"/>
      <c r="CG383" s="47" t="n"/>
      <c r="CH383" s="47" t="n"/>
      <c r="CI383" s="47" t="n"/>
      <c r="CJ383" s="47" t="n"/>
      <c r="CK383" s="47" t="n"/>
      <c r="CL383" s="47" t="n"/>
      <c r="CM383" s="48" t="n"/>
      <c r="CN383" s="48" t="n"/>
      <c r="CO383" s="48" t="n"/>
      <c r="CP383" s="199">
        <f>CHOOSE(MATCH($CT$2,{"Bull","Base","Bear"},0),$DC$79,$DD$79,$DE$79)</f>
        <v/>
      </c>
      <c r="CQ383" s="199">
        <f>CHOOSE(MATCH($CT$2,{"Bull","Base","Bear"},0),$DC$79,$DD$79,$DE$79)</f>
        <v/>
      </c>
      <c r="CR383" s="199">
        <f>CHOOSE(MATCH($CT$2,{"Bull","Base","Bear"},0),$DC$79,$DD$79,$DE$79)</f>
        <v/>
      </c>
      <c r="CS383" s="199">
        <f>CHOOSE(MATCH($CT$2,{"Bull","Base","Bear"},0),$DC$79,$DD$79,$DE$79)</f>
        <v/>
      </c>
      <c r="CT383" s="22" t="inlineStr">
        <is>
          <t>Scenario-driven floor; Vulcan targets total debt / Adjusted EBITDA of 2.0–2.5x.</t>
        </is>
      </c>
      <c r="CV383" s="6" t="n"/>
      <c r="CW383" s="6" t="n"/>
      <c r="CX383" s="6" t="n"/>
      <c r="CY383" s="6" t="n"/>
    </row>
    <row r="384" ht="15" customHeight="1">
      <c r="B384" s="12" t="inlineStr">
        <is>
          <t xml:space="preserve">  Net debt before buybacks (year end)</t>
        </is>
      </c>
      <c r="C384" s="29" t="n"/>
      <c r="D384" s="29" t="n"/>
      <c r="E384" s="30" t="n"/>
      <c r="F384" s="30" t="n"/>
      <c r="G384" s="30" t="n"/>
      <c r="H384" s="30" t="n"/>
      <c r="I384" s="30" t="n"/>
      <c r="J384" s="30" t="n"/>
      <c r="K384" s="30" t="n"/>
      <c r="L384" s="29" t="n"/>
      <c r="M384" s="30" t="n"/>
      <c r="N384" s="30" t="n"/>
      <c r="O384" s="30" t="n"/>
      <c r="P384" s="30" t="n"/>
      <c r="Q384" s="30" t="n"/>
      <c r="R384" s="29" t="n"/>
      <c r="S384" s="30" t="n"/>
      <c r="T384" s="30" t="n"/>
      <c r="U384" s="30" t="n"/>
      <c r="V384" s="30" t="n"/>
      <c r="W384" s="30" t="n"/>
      <c r="X384" s="29" t="n"/>
      <c r="Y384" s="30" t="n"/>
      <c r="Z384" s="30" t="n"/>
      <c r="AA384" s="30" t="n"/>
      <c r="AB384" s="30" t="n"/>
      <c r="AC384" s="30" t="n"/>
      <c r="AD384" s="29" t="n"/>
      <c r="AE384" s="30" t="n"/>
      <c r="AF384" s="30" t="n"/>
      <c r="AG384" s="30" t="n"/>
      <c r="AH384" s="30" t="n"/>
      <c r="AI384" s="30" t="n"/>
      <c r="AJ384" s="29" t="n"/>
      <c r="AK384" s="30" t="n"/>
      <c r="AL384" s="30" t="n"/>
      <c r="AM384" s="30" t="n"/>
      <c r="AN384" s="30" t="n"/>
      <c r="AO384" s="30" t="n"/>
      <c r="AP384" s="29" t="n"/>
      <c r="AQ384" s="30" t="n"/>
      <c r="AR384" s="30" t="n"/>
      <c r="AS384" s="30" t="n"/>
      <c r="AT384" s="30" t="n"/>
      <c r="AU384" s="30" t="n"/>
      <c r="AV384" s="29" t="n"/>
      <c r="AW384" s="30" t="n"/>
      <c r="AX384" s="30" t="n"/>
      <c r="AY384" s="30" t="n"/>
      <c r="AZ384" s="30" t="n"/>
      <c r="BA384" s="30" t="n"/>
      <c r="BB384" s="29" t="n"/>
      <c r="BC384" s="30" t="n"/>
      <c r="BD384" s="30" t="n"/>
      <c r="BE384" s="30" t="n"/>
      <c r="BF384" s="30" t="n"/>
      <c r="BG384" s="30" t="n"/>
      <c r="BH384" s="29" t="n"/>
      <c r="BI384" s="30" t="n"/>
      <c r="BJ384" s="30" t="n"/>
      <c r="BK384" s="30" t="n"/>
      <c r="BL384" s="30" t="n"/>
      <c r="BM384" s="30" t="n"/>
      <c r="BN384" s="29" t="n"/>
      <c r="BO384" s="30" t="n"/>
      <c r="BP384" s="30" t="n"/>
      <c r="BQ384" s="30" t="n"/>
      <c r="BR384" s="30" t="n"/>
      <c r="BS384" s="30" t="n"/>
      <c r="BT384" s="29" t="n"/>
      <c r="BU384" s="30" t="n"/>
      <c r="BV384" s="30" t="n"/>
      <c r="BW384" s="30" t="n"/>
      <c r="BX384" s="30" t="n"/>
      <c r="BY384" s="30" t="n"/>
      <c r="BZ384" s="29" t="n"/>
      <c r="CA384" s="30" t="n"/>
      <c r="CB384" s="30" t="n"/>
      <c r="CC384" s="30" t="n"/>
      <c r="CD384" s="30" t="n"/>
      <c r="CE384" s="30" t="n"/>
      <c r="CF384" s="29" t="n"/>
      <c r="CG384" s="30" t="n"/>
      <c r="CH384" s="30" t="n"/>
      <c r="CI384" s="30" t="n"/>
      <c r="CJ384" s="30" t="n"/>
      <c r="CK384" s="30" t="n"/>
      <c r="CL384" s="29" t="n"/>
      <c r="CM384" s="31" t="n"/>
      <c r="CN384" s="31" t="n"/>
      <c r="CO384" s="31" t="n"/>
      <c r="CP384" s="171">
        <f>CO369+CP370+CP372-(CO281+CP263+CP269+CP274+CP275+CP276+CP370+CP372)</f>
        <v/>
      </c>
      <c r="CQ384" s="171">
        <f>CP369+CQ370+CQ372-(CP281+CQ263+CQ269+CQ274+CQ275+CQ276+CQ370+CQ372)</f>
        <v/>
      </c>
      <c r="CR384" s="171">
        <f>CQ369+CR370+CR372-(CQ281+CR263+CR269+CR274+CR275+CR276+CR370+CR372)</f>
        <v/>
      </c>
      <c r="CS384" s="171">
        <f>CR369+CS370+CS372-(CR281+CS263+CS269+CS274+CS275+CS276+CS370+CS372)</f>
        <v/>
      </c>
      <c r="CT384" s="22" t="inlineStr">
        <is>
          <t>Opening debt + maturities + refinancing − (opening cash + CFO + CFI + dividends + other financing + debt flows).</t>
        </is>
      </c>
      <c r="CV384" s="23" t="n"/>
      <c r="CW384" s="23" t="n"/>
      <c r="CX384" s="23" t="n"/>
      <c r="CY384" s="23" t="n"/>
    </row>
    <row r="385" ht="15" customHeight="1">
      <c r="B385" s="12" t="inlineStr">
        <is>
          <t xml:space="preserve">  Target minimum net debt = min. leverage × Adjusted EBITDA</t>
        </is>
      </c>
      <c r="C385" s="29" t="n"/>
      <c r="D385" s="29" t="n"/>
      <c r="E385" s="30" t="n"/>
      <c r="F385" s="30" t="n"/>
      <c r="G385" s="30" t="n"/>
      <c r="H385" s="30" t="n"/>
      <c r="I385" s="30" t="n"/>
      <c r="J385" s="30" t="n"/>
      <c r="K385" s="30" t="n"/>
      <c r="L385" s="29" t="n"/>
      <c r="M385" s="30" t="n"/>
      <c r="N385" s="30" t="n"/>
      <c r="O385" s="30" t="n"/>
      <c r="P385" s="30" t="n"/>
      <c r="Q385" s="30" t="n"/>
      <c r="R385" s="29" t="n"/>
      <c r="S385" s="30" t="n"/>
      <c r="T385" s="30" t="n"/>
      <c r="U385" s="30" t="n"/>
      <c r="V385" s="30" t="n"/>
      <c r="W385" s="30" t="n"/>
      <c r="X385" s="29" t="n"/>
      <c r="Y385" s="30" t="n"/>
      <c r="Z385" s="30" t="n"/>
      <c r="AA385" s="30" t="n"/>
      <c r="AB385" s="30" t="n"/>
      <c r="AC385" s="30" t="n"/>
      <c r="AD385" s="29" t="n"/>
      <c r="AE385" s="30" t="n"/>
      <c r="AF385" s="30" t="n"/>
      <c r="AG385" s="30" t="n"/>
      <c r="AH385" s="30" t="n"/>
      <c r="AI385" s="30" t="n"/>
      <c r="AJ385" s="29" t="n"/>
      <c r="AK385" s="30" t="n"/>
      <c r="AL385" s="30" t="n"/>
      <c r="AM385" s="30" t="n"/>
      <c r="AN385" s="30" t="n"/>
      <c r="AO385" s="30" t="n"/>
      <c r="AP385" s="29" t="n"/>
      <c r="AQ385" s="30" t="n"/>
      <c r="AR385" s="30" t="n"/>
      <c r="AS385" s="30" t="n"/>
      <c r="AT385" s="30" t="n"/>
      <c r="AU385" s="30" t="n"/>
      <c r="AV385" s="29" t="n"/>
      <c r="AW385" s="30" t="n"/>
      <c r="AX385" s="30" t="n"/>
      <c r="AY385" s="30" t="n"/>
      <c r="AZ385" s="30" t="n"/>
      <c r="BA385" s="30" t="n"/>
      <c r="BB385" s="29" t="n"/>
      <c r="BC385" s="30" t="n"/>
      <c r="BD385" s="30" t="n"/>
      <c r="BE385" s="30" t="n"/>
      <c r="BF385" s="30" t="n"/>
      <c r="BG385" s="30" t="n"/>
      <c r="BH385" s="29" t="n"/>
      <c r="BI385" s="30" t="n"/>
      <c r="BJ385" s="30" t="n"/>
      <c r="BK385" s="30" t="n"/>
      <c r="BL385" s="30" t="n"/>
      <c r="BM385" s="30" t="n"/>
      <c r="BN385" s="29" t="n"/>
      <c r="BO385" s="30" t="n"/>
      <c r="BP385" s="30" t="n"/>
      <c r="BQ385" s="30" t="n"/>
      <c r="BR385" s="30" t="n"/>
      <c r="BS385" s="30" t="n"/>
      <c r="BT385" s="29" t="n"/>
      <c r="BU385" s="30" t="n"/>
      <c r="BV385" s="30" t="n"/>
      <c r="BW385" s="30" t="n"/>
      <c r="BX385" s="30" t="n"/>
      <c r="BY385" s="30" t="n"/>
      <c r="BZ385" s="29" t="n"/>
      <c r="CA385" s="30" t="n"/>
      <c r="CB385" s="30" t="n"/>
      <c r="CC385" s="30" t="n"/>
      <c r="CD385" s="30" t="n"/>
      <c r="CE385" s="30" t="n"/>
      <c r="CF385" s="29" t="n"/>
      <c r="CG385" s="30" t="n"/>
      <c r="CH385" s="30" t="n"/>
      <c r="CI385" s="30" t="n"/>
      <c r="CJ385" s="30" t="n"/>
      <c r="CK385" s="30" t="n"/>
      <c r="CL385" s="29" t="n"/>
      <c r="CM385" s="31" t="n"/>
      <c r="CN385" s="31" t="n"/>
      <c r="CO385" s="31" t="n"/>
      <c r="CP385" s="171">
        <f>CP383*CP198</f>
        <v/>
      </c>
      <c r="CQ385" s="171">
        <f>CQ383*CQ198</f>
        <v/>
      </c>
      <c r="CR385" s="171">
        <f>CR383*CR198</f>
        <v/>
      </c>
      <c r="CS385" s="171">
        <f>CS383*CS198</f>
        <v/>
      </c>
      <c r="CT385" s="22" t="n"/>
      <c r="CV385" s="23" t="n"/>
      <c r="CW385" s="23" t="n"/>
      <c r="CX385" s="23" t="n"/>
      <c r="CY385" s="23" t="n"/>
    </row>
    <row r="386" ht="15" customHeight="1">
      <c r="B386" s="18" t="inlineStr">
        <is>
          <t xml:space="preserve">  Share repurchases: plug to minimum leverage</t>
        </is>
      </c>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19" t="n"/>
      <c r="AY386" s="19" t="n"/>
      <c r="AZ386" s="19" t="n"/>
      <c r="BA386" s="19" t="n"/>
      <c r="BB386" s="19" t="n"/>
      <c r="BC386" s="19" t="n"/>
      <c r="BD386" s="19" t="n"/>
      <c r="BE386" s="19" t="n"/>
      <c r="BF386" s="19" t="n"/>
      <c r="BG386" s="19" t="n"/>
      <c r="BH386" s="19" t="n"/>
      <c r="BI386" s="19" t="n"/>
      <c r="BJ386" s="19" t="n"/>
      <c r="BK386" s="19" t="n"/>
      <c r="BL386" s="19" t="n"/>
      <c r="BM386" s="19" t="n"/>
      <c r="BN386" s="19" t="n"/>
      <c r="BO386" s="19" t="n"/>
      <c r="BP386" s="19" t="n"/>
      <c r="BQ386" s="19" t="n"/>
      <c r="BR386" s="19" t="n"/>
      <c r="BS386" s="19" t="n"/>
      <c r="BT386" s="19" t="n"/>
      <c r="BU386" s="19" t="n"/>
      <c r="BV386" s="19" t="n"/>
      <c r="BW386" s="19" t="n"/>
      <c r="BX386" s="19" t="n"/>
      <c r="BY386" s="19" t="n"/>
      <c r="BZ386" s="19" t="n"/>
      <c r="CA386" s="19" t="n"/>
      <c r="CB386" s="19" t="n"/>
      <c r="CC386" s="19" t="n"/>
      <c r="CD386" s="19" t="n"/>
      <c r="CE386" s="19" t="n"/>
      <c r="CF386" s="19" t="n"/>
      <c r="CG386" s="19" t="n"/>
      <c r="CH386" s="19" t="n"/>
      <c r="CI386" s="19" t="n"/>
      <c r="CJ386" s="19" t="n"/>
      <c r="CK386" s="19" t="n"/>
      <c r="CL386" s="19" t="n"/>
      <c r="CM386" s="21" t="n"/>
      <c r="CN386" s="21" t="n"/>
      <c r="CO386" s="21" t="n"/>
      <c r="CP386" s="174">
        <f>MAX(0,CP385-CP384)</f>
        <v/>
      </c>
      <c r="CQ386" s="174">
        <f>MAX(0,CQ385-CQ384)</f>
        <v/>
      </c>
      <c r="CR386" s="174">
        <f>MAX(0,CR385-CR384)</f>
        <v/>
      </c>
      <c r="CS386" s="174">
        <f>MAX(0,CS385-CS384)</f>
        <v/>
      </c>
      <c r="CT386" s="22" t="inlineStr">
        <is>
          <t>Zero when leverage is already at or above the floor (e.g. heavy M&amp;A years).</t>
        </is>
      </c>
      <c r="CV386" s="6" t="n"/>
      <c r="CW386" s="6" t="n"/>
      <c r="CX386" s="6" t="n"/>
      <c r="CY386" s="6" t="n"/>
    </row>
    <row r="387" ht="15" customHeight="1">
      <c r="B387" s="12" t="inlineStr">
        <is>
          <t>Historical reference (driver context)</t>
        </is>
      </c>
      <c r="C387" s="29" t="n"/>
      <c r="D387" s="29" t="n"/>
      <c r="E387" s="30" t="n"/>
      <c r="F387" s="30" t="n"/>
      <c r="G387" s="30" t="n"/>
      <c r="H387" s="30" t="n"/>
      <c r="I387" s="30" t="n"/>
      <c r="J387" s="30" t="n"/>
      <c r="K387" s="30" t="n"/>
      <c r="L387" s="29" t="n"/>
      <c r="M387" s="30" t="n"/>
      <c r="N387" s="30" t="n"/>
      <c r="O387" s="30" t="n"/>
      <c r="P387" s="30" t="n"/>
      <c r="Q387" s="30" t="n"/>
      <c r="R387" s="29" t="n"/>
      <c r="S387" s="30" t="n"/>
      <c r="T387" s="30" t="n"/>
      <c r="U387" s="30" t="n"/>
      <c r="V387" s="30" t="n"/>
      <c r="W387" s="30" t="n"/>
      <c r="X387" s="29" t="n"/>
      <c r="Y387" s="30" t="n"/>
      <c r="Z387" s="30" t="n"/>
      <c r="AA387" s="30" t="n"/>
      <c r="AB387" s="30" t="n"/>
      <c r="AC387" s="30" t="n"/>
      <c r="AD387" s="29" t="n"/>
      <c r="AE387" s="30" t="n"/>
      <c r="AF387" s="30" t="n"/>
      <c r="AG387" s="30" t="n"/>
      <c r="AH387" s="30" t="n"/>
      <c r="AI387" s="30" t="n"/>
      <c r="AJ387" s="29" t="n"/>
      <c r="AK387" s="30" t="n"/>
      <c r="AL387" s="30" t="n"/>
      <c r="AM387" s="30" t="n"/>
      <c r="AN387" s="30" t="n"/>
      <c r="AO387" s="30" t="n"/>
      <c r="AP387" s="29" t="n"/>
      <c r="AQ387" s="30" t="n"/>
      <c r="AR387" s="30" t="n"/>
      <c r="AS387" s="30" t="n"/>
      <c r="AT387" s="30" t="n"/>
      <c r="AU387" s="30" t="n"/>
      <c r="AV387" s="29" t="n"/>
      <c r="AW387" s="30" t="n"/>
      <c r="AX387" s="30" t="n"/>
      <c r="AY387" s="30" t="n"/>
      <c r="AZ387" s="30" t="n"/>
      <c r="BA387" s="30" t="n"/>
      <c r="BB387" s="29" t="n"/>
      <c r="BC387" s="30" t="n"/>
      <c r="BD387" s="30" t="n"/>
      <c r="BE387" s="30" t="n"/>
      <c r="BF387" s="30" t="n"/>
      <c r="BG387" s="30" t="n"/>
      <c r="BH387" s="29" t="n"/>
      <c r="BI387" s="30" t="n"/>
      <c r="BJ387" s="30" t="n"/>
      <c r="BK387" s="30" t="n"/>
      <c r="BL387" s="30" t="n"/>
      <c r="BM387" s="30" t="n"/>
      <c r="BN387" s="29" t="n"/>
      <c r="BO387" s="30" t="n"/>
      <c r="BP387" s="30" t="n"/>
      <c r="BQ387" s="30" t="n"/>
      <c r="BR387" s="30" t="n"/>
      <c r="BS387" s="30" t="n"/>
      <c r="BT387" s="29" t="n"/>
      <c r="BU387" s="30" t="n"/>
      <c r="BV387" s="30" t="n"/>
      <c r="BW387" s="30" t="n"/>
      <c r="BX387" s="30" t="n"/>
      <c r="BY387" s="30" t="n"/>
      <c r="BZ387" s="29" t="n"/>
      <c r="CA387" s="30" t="n"/>
      <c r="CB387" s="30" t="n"/>
      <c r="CC387" s="30" t="n"/>
      <c r="CD387" s="30" t="n"/>
      <c r="CE387" s="30" t="n"/>
      <c r="CF387" s="29" t="n"/>
      <c r="CG387" s="30" t="n"/>
      <c r="CH387" s="30" t="n"/>
      <c r="CI387" s="30" t="n"/>
      <c r="CJ387" s="30" t="n"/>
      <c r="CK387" s="30" t="n"/>
      <c r="CL387" s="29" t="n"/>
      <c r="CM387" s="31" t="n"/>
      <c r="CN387" s="31" t="n"/>
      <c r="CO387" s="31" t="n"/>
      <c r="CP387" s="31" t="n"/>
      <c r="CQ387" s="31" t="n"/>
      <c r="CR387" s="31" t="n"/>
      <c r="CS387" s="31" t="n"/>
      <c r="CT387" s="22" t="n"/>
      <c r="CV387" s="23" t="n"/>
      <c r="CW387" s="23" t="n"/>
      <c r="CX387" s="23" t="n"/>
      <c r="CY387" s="23" t="n"/>
    </row>
    <row r="388" ht="15" customHeight="1">
      <c r="B388" s="25" t="inlineStr">
        <is>
          <t xml:space="preserve">  Total DDA&amp;A % of revenues</t>
        </is>
      </c>
      <c r="C388" s="179">
        <f>IFERROR(C158/C138,"")</f>
        <v/>
      </c>
      <c r="D388" s="179">
        <f>IFERROR(D158/D138,"")</f>
        <v/>
      </c>
      <c r="E388" s="179">
        <f>IFERROR(E158/E138,"")</f>
        <v/>
      </c>
      <c r="F388" s="179">
        <f>IFERROR(F158/F138,"")</f>
        <v/>
      </c>
      <c r="G388" s="179">
        <f>IFERROR(G158/G138,"")</f>
        <v/>
      </c>
      <c r="H388" s="179">
        <f>IFERROR(H158/H138,"")</f>
        <v/>
      </c>
      <c r="I388" s="179">
        <f>IFERROR(I158/I138,"")</f>
        <v/>
      </c>
      <c r="J388" s="39" t="n"/>
      <c r="K388" s="39" t="n"/>
      <c r="L388" s="39" t="n"/>
      <c r="M388" s="39" t="n"/>
      <c r="N388" s="39" t="n"/>
      <c r="O388" s="179">
        <f>IFERROR(O158/O138,"")</f>
        <v/>
      </c>
      <c r="P388" s="39" t="n"/>
      <c r="Q388" s="39" t="n"/>
      <c r="R388" s="39" t="n"/>
      <c r="S388" s="39" t="n"/>
      <c r="T388" s="39" t="n"/>
      <c r="U388" s="179">
        <f>IFERROR(U158/U138,"")</f>
        <v/>
      </c>
      <c r="V388" s="39" t="n"/>
      <c r="W388" s="39" t="n"/>
      <c r="X388" s="39" t="n"/>
      <c r="Y388" s="39" t="n"/>
      <c r="Z388" s="39" t="n"/>
      <c r="AA388" s="179">
        <f>IFERROR(AA158/AA138,"")</f>
        <v/>
      </c>
      <c r="AB388" s="39" t="n"/>
      <c r="AC388" s="39" t="n"/>
      <c r="AD388" s="39" t="n"/>
      <c r="AE388" s="39" t="n"/>
      <c r="AF388" s="39" t="n"/>
      <c r="AG388" s="179">
        <f>IFERROR(AG158/AG138,"")</f>
        <v/>
      </c>
      <c r="AH388" s="39" t="n"/>
      <c r="AI388" s="39" t="n"/>
      <c r="AJ388" s="39" t="n"/>
      <c r="AK388" s="39" t="n"/>
      <c r="AL388" s="39" t="n"/>
      <c r="AM388" s="179">
        <f>IFERROR(AM158/AM138,"")</f>
        <v/>
      </c>
      <c r="AN388" s="39" t="n"/>
      <c r="AO388" s="39" t="n"/>
      <c r="AP388" s="39" t="n"/>
      <c r="AQ388" s="39" t="n"/>
      <c r="AR388" s="39" t="n"/>
      <c r="AS388" s="179">
        <f>IFERROR(AS158/AS138,"")</f>
        <v/>
      </c>
      <c r="AT388" s="39" t="n"/>
      <c r="AU388" s="39" t="n"/>
      <c r="AV388" s="39" t="n"/>
      <c r="AW388" s="39" t="n"/>
      <c r="AX388" s="39" t="n"/>
      <c r="AY388" s="179">
        <f>IFERROR(AY158/AY138,"")</f>
        <v/>
      </c>
      <c r="AZ388" s="39" t="n"/>
      <c r="BA388" s="39" t="n"/>
      <c r="BB388" s="39" t="n"/>
      <c r="BC388" s="39" t="n"/>
      <c r="BD388" s="39" t="n"/>
      <c r="BE388" s="179">
        <f>IFERROR(BE158/BE138,"")</f>
        <v/>
      </c>
      <c r="BF388" s="39" t="n"/>
      <c r="BG388" s="39" t="n"/>
      <c r="BH388" s="39" t="n"/>
      <c r="BI388" s="39" t="n"/>
      <c r="BJ388" s="39" t="n"/>
      <c r="BK388" s="179">
        <f>IFERROR(BK158/BK138,"")</f>
        <v/>
      </c>
      <c r="BL388" s="39" t="n"/>
      <c r="BM388" s="39" t="n"/>
      <c r="BN388" s="39" t="n"/>
      <c r="BO388" s="39" t="n"/>
      <c r="BP388" s="39" t="n"/>
      <c r="BQ388" s="179">
        <f>IFERROR(BQ158/BQ138,"")</f>
        <v/>
      </c>
      <c r="BR388" s="39" t="n"/>
      <c r="BS388" s="39" t="n"/>
      <c r="BT388" s="39" t="n"/>
      <c r="BU388" s="39" t="n"/>
      <c r="BV388" s="39" t="n"/>
      <c r="BW388" s="179">
        <f>IFERROR(BW158/BW138,"")</f>
        <v/>
      </c>
      <c r="BX388" s="39" t="n"/>
      <c r="BY388" s="39" t="n"/>
      <c r="BZ388" s="39" t="n"/>
      <c r="CA388" s="39" t="n"/>
      <c r="CB388" s="39" t="n"/>
      <c r="CC388" s="179">
        <f>IFERROR(CC158/CC138,"")</f>
        <v/>
      </c>
      <c r="CD388" s="39" t="n"/>
      <c r="CE388" s="39" t="n"/>
      <c r="CF388" s="39" t="n"/>
      <c r="CG388" s="39" t="n"/>
      <c r="CH388" s="39" t="n"/>
      <c r="CI388" s="179">
        <f>IFERROR(CI158/CI138,"")</f>
        <v/>
      </c>
      <c r="CJ388" s="39" t="n"/>
      <c r="CK388" s="39" t="n"/>
      <c r="CL388" s="179">
        <f>IFERROR(CL158/CL138,"")</f>
        <v/>
      </c>
      <c r="CM388" s="27" t="n"/>
      <c r="CN388" s="27" t="n"/>
      <c r="CO388" s="165">
        <f>IFERROR(CO158/CO138,"")</f>
        <v/>
      </c>
      <c r="CP388" s="165">
        <f>IFERROR(CP158/CP138,"")</f>
        <v/>
      </c>
      <c r="CQ388" s="165">
        <f>IFERROR(CQ158/CQ138,"")</f>
        <v/>
      </c>
      <c r="CR388" s="165">
        <f>IFERROR(CR158/CR138,"")</f>
        <v/>
      </c>
      <c r="CS388" s="165">
        <f>IFERROR(CS158/CS138,"")</f>
        <v/>
      </c>
      <c r="CT388" s="22" t="n"/>
      <c r="CV388" s="40" t="n"/>
      <c r="CW388" s="40" t="n"/>
      <c r="CX388" s="40" t="n"/>
      <c r="CY388" s="40" t="n"/>
    </row>
    <row r="389" ht="15" customHeight="1">
      <c r="B389" s="36" t="inlineStr">
        <is>
          <t xml:space="preserve">  Memo: company-published ROIC (Adjusted EBITDA / average invested capital, TTM)</t>
        </is>
      </c>
      <c r="C389" s="29" t="n"/>
      <c r="D389" s="29" t="n"/>
      <c r="E389" s="29" t="n"/>
      <c r="F389" s="29" t="n"/>
      <c r="G389" s="29" t="n"/>
      <c r="H389" s="29" t="n"/>
      <c r="I389" s="29" t="n"/>
      <c r="J389" s="29" t="n"/>
      <c r="K389" s="29" t="n"/>
      <c r="L389" s="29" t="n"/>
      <c r="M389" s="29" t="n"/>
      <c r="N389" s="29" t="n"/>
      <c r="O389" s="29" t="n"/>
      <c r="P389" s="29" t="n"/>
      <c r="Q389" s="29" t="n"/>
      <c r="R389" s="29" t="n"/>
      <c r="S389" s="29" t="n"/>
      <c r="T389" s="29" t="n"/>
      <c r="U389" s="29" t="n"/>
      <c r="V389" s="29" t="n"/>
      <c r="W389" s="29" t="n"/>
      <c r="X389" s="29" t="n"/>
      <c r="Y389" s="29" t="n"/>
      <c r="Z389" s="29" t="n"/>
      <c r="AA389" s="29" t="n"/>
      <c r="AB389" s="29" t="n"/>
      <c r="AC389" s="29" t="n"/>
      <c r="AD389" s="29" t="n"/>
      <c r="AE389" s="29" t="n"/>
      <c r="AF389" s="29" t="n"/>
      <c r="AG389" s="29" t="n"/>
      <c r="AH389" s="29" t="n"/>
      <c r="AI389" s="29" t="n"/>
      <c r="AJ389" s="29" t="n"/>
      <c r="AK389" s="29" t="n"/>
      <c r="AL389" s="29" t="n"/>
      <c r="AM389" s="29" t="n"/>
      <c r="AN389" s="29" t="n"/>
      <c r="AO389" s="29" t="n"/>
      <c r="AP389" s="29" t="n"/>
      <c r="AQ389" s="29" t="n"/>
      <c r="AR389" s="29" t="n"/>
      <c r="AS389" s="200" t="n">
        <v>0.126</v>
      </c>
      <c r="AT389" s="29" t="n"/>
      <c r="AU389" s="29" t="n"/>
      <c r="AV389" s="29" t="n"/>
      <c r="AW389" s="29" t="n"/>
      <c r="AX389" s="29" t="n"/>
      <c r="AY389" s="200" t="n">
        <v>0.139</v>
      </c>
      <c r="AZ389" s="30" t="n"/>
      <c r="BA389" s="30" t="n"/>
      <c r="BB389" s="29" t="n"/>
      <c r="BC389" s="30" t="n"/>
      <c r="BD389" s="30" t="n"/>
      <c r="BE389" s="200" t="n">
        <v>0.143</v>
      </c>
      <c r="BF389" s="30" t="n"/>
      <c r="BG389" s="30" t="n"/>
      <c r="BH389" s="29" t="n"/>
      <c r="BI389" s="30" t="n"/>
      <c r="BJ389" s="30" t="n"/>
      <c r="BK389" s="200" t="n">
        <v>0.142</v>
      </c>
      <c r="BL389" s="30" t="n"/>
      <c r="BM389" s="30" t="n"/>
      <c r="BN389" s="29" t="n"/>
      <c r="BO389" s="30" t="n"/>
      <c r="BP389" s="30" t="n"/>
      <c r="BQ389" s="200" t="n">
        <v>0.135</v>
      </c>
      <c r="BR389" s="30" t="n"/>
      <c r="BS389" s="30" t="n"/>
      <c r="BT389" s="29" t="n"/>
      <c r="BU389" s="30" t="n"/>
      <c r="BV389" s="30" t="n"/>
      <c r="BW389" s="200" t="n">
        <v>0.163</v>
      </c>
      <c r="BX389" s="30" t="n"/>
      <c r="BY389" s="30" t="n"/>
      <c r="BZ389" s="29" t="n"/>
      <c r="CA389" s="30" t="n"/>
      <c r="CB389" s="30" t="n"/>
      <c r="CC389" s="200" t="n">
        <v>0.162</v>
      </c>
      <c r="CD389" s="30" t="n"/>
      <c r="CE389" s="30" t="n"/>
      <c r="CF389" s="29" t="n"/>
      <c r="CG389" s="30" t="n"/>
      <c r="CH389" s="30" t="n"/>
      <c r="CI389" s="200" t="n">
        <v>0.157</v>
      </c>
      <c r="CJ389" s="30" t="n"/>
      <c r="CK389" s="30" t="n"/>
      <c r="CL389" s="29" t="n"/>
      <c r="CM389" s="31" t="n"/>
      <c r="CN389" s="31" t="n"/>
      <c r="CO389" s="31" t="n"/>
      <c r="CP389" s="31" t="n"/>
      <c r="CQ389" s="31" t="n"/>
      <c r="CR389" s="31" t="n"/>
      <c r="CS389" s="31" t="n"/>
      <c r="CT389" s="22" t="n"/>
      <c r="CV389" s="6" t="n"/>
      <c r="CW389" s="6" t="n"/>
      <c r="CX389" s="6" t="n"/>
      <c r="CY389" s="6" t="n"/>
    </row>
    <row r="390" ht="15" customHeight="1">
      <c r="B390" s="12" t="n"/>
      <c r="CM390" s="6" t="n"/>
      <c r="CN390" s="6" t="n"/>
      <c r="CO390" s="6" t="n"/>
      <c r="CP390" s="6" t="n"/>
      <c r="CQ390" s="6" t="n"/>
      <c r="CR390" s="6" t="n"/>
      <c r="CS390" s="6" t="n"/>
      <c r="CT390" s="6" t="n"/>
    </row>
    <row r="391" ht="15" customHeight="1">
      <c r="B391" s="11" t="inlineStr">
        <is>
          <t>RATIO ANALYSIS</t>
        </is>
      </c>
      <c r="C391" s="11" t="n"/>
      <c r="D391" s="11" t="n"/>
      <c r="E391" s="11"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c r="AB391" s="11" t="n"/>
      <c r="AC391" s="11" t="n"/>
      <c r="AD391" s="11" t="n"/>
      <c r="AE391" s="11" t="n"/>
      <c r="AF391" s="11" t="n"/>
      <c r="AG391" s="11" t="n"/>
      <c r="AH391" s="11" t="n"/>
      <c r="AI391" s="11" t="n"/>
      <c r="AJ391" s="11" t="n"/>
      <c r="AK391" s="11" t="n"/>
      <c r="AL391" s="11" t="n"/>
      <c r="AM391" s="11" t="n"/>
      <c r="AN391" s="11" t="n"/>
      <c r="AO391" s="11" t="n"/>
      <c r="AP391" s="11" t="n"/>
      <c r="AQ391" s="11" t="n"/>
      <c r="AR391" s="11" t="n"/>
      <c r="AS391" s="11" t="n"/>
      <c r="AT391" s="11" t="n"/>
      <c r="AU391" s="11" t="n"/>
      <c r="AV391" s="11" t="n"/>
      <c r="AW391" s="11" t="n"/>
      <c r="AX391" s="11" t="n"/>
      <c r="AY391" s="11" t="n"/>
      <c r="AZ391" s="11" t="n"/>
      <c r="BA391" s="11" t="n"/>
      <c r="BB391" s="11" t="n"/>
      <c r="BC391" s="11" t="n"/>
      <c r="BD391" s="11" t="n"/>
      <c r="BE391" s="11" t="n"/>
      <c r="BF391" s="11" t="n"/>
      <c r="BG391" s="11" t="n"/>
      <c r="BH391" s="11" t="n"/>
      <c r="BI391" s="11" t="n"/>
      <c r="BJ391" s="11" t="n"/>
      <c r="BK391" s="11" t="n"/>
      <c r="BL391" s="11" t="n"/>
      <c r="BM391" s="11" t="n"/>
      <c r="BN391" s="11" t="n"/>
      <c r="BO391" s="11" t="n"/>
      <c r="BP391" s="11" t="n"/>
      <c r="BQ391" s="11" t="n"/>
      <c r="BR391" s="11" t="n"/>
      <c r="BS391" s="11" t="n"/>
      <c r="BT391" s="11" t="n"/>
      <c r="BU391" s="11" t="n"/>
      <c r="BV391" s="11" t="n"/>
      <c r="BW391" s="11" t="n"/>
      <c r="BX391" s="11" t="n"/>
      <c r="BY391" s="11" t="n"/>
      <c r="BZ391" s="11" t="n"/>
      <c r="CA391" s="11" t="n"/>
      <c r="CB391" s="11" t="n"/>
      <c r="CC391" s="11" t="n"/>
      <c r="CD391" s="11" t="n"/>
      <c r="CE391" s="11" t="n"/>
      <c r="CF391" s="11" t="n"/>
      <c r="CG391" s="11" t="n"/>
      <c r="CH391" s="11" t="n"/>
      <c r="CI391" s="11" t="n"/>
      <c r="CJ391" s="11" t="n"/>
      <c r="CK391" s="11" t="n"/>
      <c r="CL391" s="11" t="n"/>
      <c r="CM391" s="11" t="n"/>
      <c r="CN391" s="11" t="n"/>
      <c r="CO391" s="11" t="n"/>
      <c r="CP391" s="11" t="n"/>
      <c r="CQ391" s="11" t="n"/>
      <c r="CR391" s="11" t="n"/>
      <c r="CS391" s="11" t="n"/>
      <c r="CT391" s="11" t="n"/>
    </row>
    <row r="392" ht="15" customHeight="1">
      <c r="B392" s="12" t="inlineStr">
        <is>
          <t>DuPont decomposition of ROIC</t>
        </is>
      </c>
      <c r="C392" s="29" t="n"/>
      <c r="D392" s="29" t="n"/>
      <c r="E392" s="30" t="n"/>
      <c r="F392" s="30" t="n"/>
      <c r="G392" s="30" t="n"/>
      <c r="H392" s="30" t="n"/>
      <c r="I392" s="30" t="n"/>
      <c r="J392" s="30" t="n"/>
      <c r="K392" s="30" t="n"/>
      <c r="L392" s="29" t="n"/>
      <c r="M392" s="30" t="n"/>
      <c r="N392" s="30" t="n"/>
      <c r="O392" s="30" t="n"/>
      <c r="P392" s="30" t="n"/>
      <c r="Q392" s="30" t="n"/>
      <c r="R392" s="29" t="n"/>
      <c r="S392" s="30" t="n"/>
      <c r="T392" s="30" t="n"/>
      <c r="U392" s="30" t="n"/>
      <c r="V392" s="30" t="n"/>
      <c r="W392" s="30" t="n"/>
      <c r="X392" s="29" t="n"/>
      <c r="Y392" s="30" t="n"/>
      <c r="Z392" s="30" t="n"/>
      <c r="AA392" s="30" t="n"/>
      <c r="AB392" s="30" t="n"/>
      <c r="AC392" s="30" t="n"/>
      <c r="AD392" s="29" t="n"/>
      <c r="AE392" s="30" t="n"/>
      <c r="AF392" s="30" t="n"/>
      <c r="AG392" s="30" t="n"/>
      <c r="AH392" s="30" t="n"/>
      <c r="AI392" s="30" t="n"/>
      <c r="AJ392" s="29" t="n"/>
      <c r="AK392" s="30" t="n"/>
      <c r="AL392" s="30" t="n"/>
      <c r="AM392" s="30" t="n"/>
      <c r="AN392" s="30" t="n"/>
      <c r="AO392" s="30" t="n"/>
      <c r="AP392" s="29" t="n"/>
      <c r="AQ392" s="30" t="n"/>
      <c r="AR392" s="30" t="n"/>
      <c r="AS392" s="30" t="n"/>
      <c r="AT392" s="30" t="n"/>
      <c r="AU392" s="30" t="n"/>
      <c r="AV392" s="29" t="n"/>
      <c r="AW392" s="30" t="n"/>
      <c r="AX392" s="30" t="n"/>
      <c r="AY392" s="30" t="n"/>
      <c r="AZ392" s="30" t="n"/>
      <c r="BA392" s="30" t="n"/>
      <c r="BB392" s="29" t="n"/>
      <c r="BC392" s="30" t="n"/>
      <c r="BD392" s="30" t="n"/>
      <c r="BE392" s="30" t="n"/>
      <c r="BF392" s="30" t="n"/>
      <c r="BG392" s="30" t="n"/>
      <c r="BH392" s="29" t="n"/>
      <c r="BI392" s="30" t="n"/>
      <c r="BJ392" s="30" t="n"/>
      <c r="BK392" s="30" t="n"/>
      <c r="BL392" s="30" t="n"/>
      <c r="BM392" s="30" t="n"/>
      <c r="BN392" s="29" t="n"/>
      <c r="BO392" s="30" t="n"/>
      <c r="BP392" s="30" t="n"/>
      <c r="BQ392" s="30" t="n"/>
      <c r="BR392" s="30" t="n"/>
      <c r="BS392" s="30" t="n"/>
      <c r="BT392" s="29" t="n"/>
      <c r="BU392" s="30" t="n"/>
      <c r="BV392" s="30" t="n"/>
      <c r="BW392" s="30" t="n"/>
      <c r="BX392" s="30" t="n"/>
      <c r="BY392" s="30" t="n"/>
      <c r="BZ392" s="29" t="n"/>
      <c r="CA392" s="30" t="n"/>
      <c r="CB392" s="30" t="n"/>
      <c r="CC392" s="30" t="n"/>
      <c r="CD392" s="30" t="n"/>
      <c r="CE392" s="30" t="n"/>
      <c r="CF392" s="29" t="n"/>
      <c r="CG392" s="30" t="n"/>
      <c r="CH392" s="30" t="n"/>
      <c r="CI392" s="30" t="n"/>
      <c r="CJ392" s="30" t="n"/>
      <c r="CK392" s="30" t="n"/>
      <c r="CL392" s="29" t="n"/>
      <c r="CM392" s="31" t="n"/>
      <c r="CN392" s="31" t="n"/>
      <c r="CO392" s="31" t="n"/>
      <c r="CP392" s="31" t="n"/>
      <c r="CQ392" s="31" t="n"/>
      <c r="CR392" s="31" t="n"/>
      <c r="CS392" s="31" t="n"/>
      <c r="CT392" s="22" t="n"/>
      <c r="CV392" s="23" t="n"/>
      <c r="CW392" s="23" t="n"/>
      <c r="CX392" s="23" t="n"/>
      <c r="CY392" s="23" t="n"/>
    </row>
    <row r="393" ht="15" customHeight="1">
      <c r="B393" s="12" t="inlineStr">
        <is>
          <t>Adjusted EBIT (model)</t>
        </is>
      </c>
      <c r="C393" s="170">
        <f>C206</f>
        <v/>
      </c>
      <c r="D393" s="170">
        <f>D206</f>
        <v/>
      </c>
      <c r="E393" s="170">
        <f>E206</f>
        <v/>
      </c>
      <c r="F393" s="170">
        <f>F206</f>
        <v/>
      </c>
      <c r="G393" s="170">
        <f>G206</f>
        <v/>
      </c>
      <c r="H393" s="170">
        <f>H206</f>
        <v/>
      </c>
      <c r="I393" s="170">
        <f>I206</f>
        <v/>
      </c>
      <c r="J393" s="30" t="n"/>
      <c r="K393" s="30" t="n"/>
      <c r="L393" s="29" t="n"/>
      <c r="M393" s="30" t="n"/>
      <c r="N393" s="30" t="n"/>
      <c r="O393" s="170">
        <f>O206</f>
        <v/>
      </c>
      <c r="P393" s="30" t="n"/>
      <c r="Q393" s="30" t="n"/>
      <c r="R393" s="29" t="n"/>
      <c r="S393" s="30" t="n"/>
      <c r="T393" s="30" t="n"/>
      <c r="U393" s="170">
        <f>U206</f>
        <v/>
      </c>
      <c r="V393" s="30" t="n"/>
      <c r="W393" s="30" t="n"/>
      <c r="X393" s="29" t="n"/>
      <c r="Y393" s="30" t="n"/>
      <c r="Z393" s="30" t="n"/>
      <c r="AA393" s="170">
        <f>AA206</f>
        <v/>
      </c>
      <c r="AB393" s="30" t="n"/>
      <c r="AC393" s="30" t="n"/>
      <c r="AD393" s="29" t="n"/>
      <c r="AE393" s="30" t="n"/>
      <c r="AF393" s="30" t="n"/>
      <c r="AG393" s="170">
        <f>AG206</f>
        <v/>
      </c>
      <c r="AH393" s="30" t="n"/>
      <c r="AI393" s="30" t="n"/>
      <c r="AJ393" s="29" t="n"/>
      <c r="AK393" s="30" t="n"/>
      <c r="AL393" s="30" t="n"/>
      <c r="AM393" s="170">
        <f>AM206</f>
        <v/>
      </c>
      <c r="AN393" s="30" t="n"/>
      <c r="AO393" s="30" t="n"/>
      <c r="AP393" s="29" t="n"/>
      <c r="AQ393" s="30" t="n"/>
      <c r="AR393" s="30" t="n"/>
      <c r="AS393" s="170">
        <f>AS206</f>
        <v/>
      </c>
      <c r="AT393" s="30" t="n"/>
      <c r="AU393" s="30" t="n"/>
      <c r="AV393" s="29" t="n"/>
      <c r="AW393" s="30" t="n"/>
      <c r="AX393" s="30" t="n"/>
      <c r="AY393" s="170">
        <f>AY206</f>
        <v/>
      </c>
      <c r="AZ393" s="30" t="n"/>
      <c r="BA393" s="30" t="n"/>
      <c r="BB393" s="29" t="n"/>
      <c r="BC393" s="30" t="n"/>
      <c r="BD393" s="30" t="n"/>
      <c r="BE393" s="170">
        <f>BE206</f>
        <v/>
      </c>
      <c r="BF393" s="30" t="n"/>
      <c r="BG393" s="30" t="n"/>
      <c r="BH393" s="29" t="n"/>
      <c r="BI393" s="30" t="n"/>
      <c r="BJ393" s="30" t="n"/>
      <c r="BK393" s="170">
        <f>BK206</f>
        <v/>
      </c>
      <c r="BL393" s="30" t="n"/>
      <c r="BM393" s="30" t="n"/>
      <c r="BN393" s="29" t="n"/>
      <c r="BO393" s="30" t="n"/>
      <c r="BP393" s="30" t="n"/>
      <c r="BQ393" s="170">
        <f>BQ206</f>
        <v/>
      </c>
      <c r="BR393" s="30" t="n"/>
      <c r="BS393" s="30" t="n"/>
      <c r="BT393" s="29" t="n"/>
      <c r="BU393" s="30" t="n"/>
      <c r="BV393" s="30" t="n"/>
      <c r="BW393" s="170">
        <f>BW206</f>
        <v/>
      </c>
      <c r="BX393" s="30" t="n"/>
      <c r="BY393" s="30" t="n"/>
      <c r="BZ393" s="29" t="n"/>
      <c r="CA393" s="30" t="n"/>
      <c r="CB393" s="30" t="n"/>
      <c r="CC393" s="170">
        <f>CC206</f>
        <v/>
      </c>
      <c r="CD393" s="30" t="n"/>
      <c r="CE393" s="30" t="n"/>
      <c r="CF393" s="29" t="n"/>
      <c r="CG393" s="30" t="n"/>
      <c r="CH393" s="30" t="n"/>
      <c r="CI393" s="170">
        <f>CI206</f>
        <v/>
      </c>
      <c r="CJ393" s="30" t="n"/>
      <c r="CK393" s="30" t="n"/>
      <c r="CL393" s="170">
        <f>CL206</f>
        <v/>
      </c>
      <c r="CM393" s="31" t="n"/>
      <c r="CN393" s="31" t="n"/>
      <c r="CO393" s="171">
        <f>CO206</f>
        <v/>
      </c>
      <c r="CP393" s="171">
        <f>CP206</f>
        <v/>
      </c>
      <c r="CQ393" s="171">
        <f>CQ206</f>
        <v/>
      </c>
      <c r="CR393" s="171">
        <f>CR206</f>
        <v/>
      </c>
      <c r="CS393" s="171">
        <f>CS206</f>
        <v/>
      </c>
      <c r="CT393" s="22" t="n"/>
      <c r="CV393" s="23" t="n"/>
      <c r="CW393" s="23" t="n"/>
      <c r="CX393" s="23" t="n"/>
      <c r="CY393" s="23" t="n"/>
    </row>
    <row r="394" ht="15" customHeight="1">
      <c r="B394" s="25" t="inlineStr">
        <is>
          <t>Effective tax rate (actual)</t>
        </is>
      </c>
      <c r="C394" s="179">
        <f>C150</f>
        <v/>
      </c>
      <c r="D394" s="179">
        <f>D150</f>
        <v/>
      </c>
      <c r="E394" s="179">
        <f>E150</f>
        <v/>
      </c>
      <c r="F394" s="179">
        <f>F150</f>
        <v/>
      </c>
      <c r="G394" s="179">
        <f>G150</f>
        <v/>
      </c>
      <c r="H394" s="179">
        <f>H150</f>
        <v/>
      </c>
      <c r="I394" s="179">
        <f>I150</f>
        <v/>
      </c>
      <c r="J394" s="39" t="n"/>
      <c r="K394" s="39" t="n"/>
      <c r="L394" s="39" t="n"/>
      <c r="M394" s="39" t="n"/>
      <c r="N394" s="39" t="n"/>
      <c r="O394" s="179">
        <f>O150</f>
        <v/>
      </c>
      <c r="P394" s="39" t="n"/>
      <c r="Q394" s="39" t="n"/>
      <c r="R394" s="39" t="n"/>
      <c r="S394" s="39" t="n"/>
      <c r="T394" s="39" t="n"/>
      <c r="U394" s="179">
        <f>U150</f>
        <v/>
      </c>
      <c r="V394" s="39" t="n"/>
      <c r="W394" s="39" t="n"/>
      <c r="X394" s="39" t="n"/>
      <c r="Y394" s="39" t="n"/>
      <c r="Z394" s="39" t="n"/>
      <c r="AA394" s="179">
        <f>AA150</f>
        <v/>
      </c>
      <c r="AB394" s="39" t="n"/>
      <c r="AC394" s="39" t="n"/>
      <c r="AD394" s="39" t="n"/>
      <c r="AE394" s="39" t="n"/>
      <c r="AF394" s="39" t="n"/>
      <c r="AG394" s="179">
        <f>AG150</f>
        <v/>
      </c>
      <c r="AH394" s="39" t="n"/>
      <c r="AI394" s="39" t="n"/>
      <c r="AJ394" s="39" t="n"/>
      <c r="AK394" s="39" t="n"/>
      <c r="AL394" s="39" t="n"/>
      <c r="AM394" s="179">
        <f>AM150</f>
        <v/>
      </c>
      <c r="AN394" s="39" t="n"/>
      <c r="AO394" s="39" t="n"/>
      <c r="AP394" s="39" t="n"/>
      <c r="AQ394" s="39" t="n"/>
      <c r="AR394" s="39" t="n"/>
      <c r="AS394" s="179">
        <f>AS150</f>
        <v/>
      </c>
      <c r="AT394" s="39" t="n"/>
      <c r="AU394" s="39" t="n"/>
      <c r="AV394" s="39" t="n"/>
      <c r="AW394" s="39" t="n"/>
      <c r="AX394" s="39" t="n"/>
      <c r="AY394" s="179">
        <f>AY150</f>
        <v/>
      </c>
      <c r="AZ394" s="39" t="n"/>
      <c r="BA394" s="39" t="n"/>
      <c r="BB394" s="39" t="n"/>
      <c r="BC394" s="39" t="n"/>
      <c r="BD394" s="39" t="n"/>
      <c r="BE394" s="179">
        <f>BE150</f>
        <v/>
      </c>
      <c r="BF394" s="39" t="n"/>
      <c r="BG394" s="39" t="n"/>
      <c r="BH394" s="39" t="n"/>
      <c r="BI394" s="39" t="n"/>
      <c r="BJ394" s="39" t="n"/>
      <c r="BK394" s="179">
        <f>BK150</f>
        <v/>
      </c>
      <c r="BL394" s="39" t="n"/>
      <c r="BM394" s="39" t="n"/>
      <c r="BN394" s="39" t="n"/>
      <c r="BO394" s="39" t="n"/>
      <c r="BP394" s="39" t="n"/>
      <c r="BQ394" s="179">
        <f>BQ150</f>
        <v/>
      </c>
      <c r="BR394" s="39" t="n"/>
      <c r="BS394" s="39" t="n"/>
      <c r="BT394" s="39" t="n"/>
      <c r="BU394" s="39" t="n"/>
      <c r="BV394" s="39" t="n"/>
      <c r="BW394" s="179">
        <f>BW150</f>
        <v/>
      </c>
      <c r="BX394" s="39" t="n"/>
      <c r="BY394" s="39" t="n"/>
      <c r="BZ394" s="39" t="n"/>
      <c r="CA394" s="39" t="n"/>
      <c r="CB394" s="39" t="n"/>
      <c r="CC394" s="179">
        <f>CC150</f>
        <v/>
      </c>
      <c r="CD394" s="39" t="n"/>
      <c r="CE394" s="39" t="n"/>
      <c r="CF394" s="39" t="n"/>
      <c r="CG394" s="39" t="n"/>
      <c r="CH394" s="39" t="n"/>
      <c r="CI394" s="179">
        <f>CI150</f>
        <v/>
      </c>
      <c r="CJ394" s="39" t="n"/>
      <c r="CK394" s="39" t="n"/>
      <c r="CL394" s="179">
        <f>CL150</f>
        <v/>
      </c>
      <c r="CM394" s="27" t="n"/>
      <c r="CN394" s="27" t="n"/>
      <c r="CO394" s="165">
        <f>CO150</f>
        <v/>
      </c>
      <c r="CP394" s="165">
        <f>CP150</f>
        <v/>
      </c>
      <c r="CQ394" s="165">
        <f>CQ150</f>
        <v/>
      </c>
      <c r="CR394" s="165">
        <f>CR150</f>
        <v/>
      </c>
      <c r="CS394" s="165">
        <f>CS150</f>
        <v/>
      </c>
      <c r="CT394" s="22" t="n"/>
      <c r="CV394" s="40" t="n"/>
      <c r="CW394" s="40" t="n"/>
      <c r="CX394" s="40" t="n"/>
      <c r="CY394" s="40" t="n"/>
    </row>
    <row r="395" ht="15" customHeight="1">
      <c r="B395" s="12" t="inlineStr">
        <is>
          <t>NOPAT = Adjusted EBIT × (1 − tax rate)</t>
        </is>
      </c>
      <c r="C395" s="170">
        <f>IFERROR(C393*(1-C394)*1,"n/a")</f>
        <v/>
      </c>
      <c r="D395" s="170">
        <f>IFERROR(D393*(1-D394)*1,"n/a")</f>
        <v/>
      </c>
      <c r="E395" s="170">
        <f>IFERROR(E393*(1-E394)*1,"n/a")</f>
        <v/>
      </c>
      <c r="F395" s="170">
        <f>IFERROR(F393*(1-F394)*1,"n/a")</f>
        <v/>
      </c>
      <c r="G395" s="170">
        <f>IFERROR(G393*(1-G394)*1,"n/a")</f>
        <v/>
      </c>
      <c r="H395" s="170">
        <f>IFERROR(H393*(1-H394)*1,"n/a")</f>
        <v/>
      </c>
      <c r="I395" s="170">
        <f>IFERROR(I393*(1-I394)*1,"n/a")</f>
        <v/>
      </c>
      <c r="J395" s="30" t="n"/>
      <c r="K395" s="30" t="n"/>
      <c r="L395" s="29" t="n"/>
      <c r="M395" s="30" t="n"/>
      <c r="N395" s="30" t="n"/>
      <c r="O395" s="170">
        <f>IFERROR(O393*(1-O394)*1,"n/a")</f>
        <v/>
      </c>
      <c r="P395" s="30" t="n"/>
      <c r="Q395" s="30" t="n"/>
      <c r="R395" s="29" t="n"/>
      <c r="S395" s="30" t="n"/>
      <c r="T395" s="30" t="n"/>
      <c r="U395" s="170">
        <f>IFERROR(U393*(1-U394)*1,"n/a")</f>
        <v/>
      </c>
      <c r="V395" s="30" t="n"/>
      <c r="W395" s="30" t="n"/>
      <c r="X395" s="29" t="n"/>
      <c r="Y395" s="30" t="n"/>
      <c r="Z395" s="30" t="n"/>
      <c r="AA395" s="170">
        <f>IFERROR(AA393*(1-AA394)*1,"n/a")</f>
        <v/>
      </c>
      <c r="AB395" s="30" t="n"/>
      <c r="AC395" s="30" t="n"/>
      <c r="AD395" s="29" t="n"/>
      <c r="AE395" s="30" t="n"/>
      <c r="AF395" s="30" t="n"/>
      <c r="AG395" s="170">
        <f>IFERROR(AG393*(1-AG394)*1,"n/a")</f>
        <v/>
      </c>
      <c r="AH395" s="30" t="n"/>
      <c r="AI395" s="30" t="n"/>
      <c r="AJ395" s="29" t="n"/>
      <c r="AK395" s="30" t="n"/>
      <c r="AL395" s="30" t="n"/>
      <c r="AM395" s="170">
        <f>IFERROR(AM393*(1-AM394)*1,"n/a")</f>
        <v/>
      </c>
      <c r="AN395" s="30" t="n"/>
      <c r="AO395" s="30" t="n"/>
      <c r="AP395" s="29" t="n"/>
      <c r="AQ395" s="30" t="n"/>
      <c r="AR395" s="30" t="n"/>
      <c r="AS395" s="170">
        <f>IFERROR(AS393*(1-AS394)*1,"n/a")</f>
        <v/>
      </c>
      <c r="AT395" s="30" t="n"/>
      <c r="AU395" s="30" t="n"/>
      <c r="AV395" s="29" t="n"/>
      <c r="AW395" s="30" t="n"/>
      <c r="AX395" s="30" t="n"/>
      <c r="AY395" s="170">
        <f>IFERROR(AY393*(1-AY394)*1,"n/a")</f>
        <v/>
      </c>
      <c r="AZ395" s="30" t="n"/>
      <c r="BA395" s="30" t="n"/>
      <c r="BB395" s="29" t="n"/>
      <c r="BC395" s="30" t="n"/>
      <c r="BD395" s="30" t="n"/>
      <c r="BE395" s="170">
        <f>IFERROR(BE393*(1-BE394)*1,"n/a")</f>
        <v/>
      </c>
      <c r="BF395" s="30" t="n"/>
      <c r="BG395" s="30" t="n"/>
      <c r="BH395" s="29" t="n"/>
      <c r="BI395" s="30" t="n"/>
      <c r="BJ395" s="30" t="n"/>
      <c r="BK395" s="170">
        <f>IFERROR(BK393*(1-BK394)*1,"n/a")</f>
        <v/>
      </c>
      <c r="BL395" s="30" t="n"/>
      <c r="BM395" s="30" t="n"/>
      <c r="BN395" s="29" t="n"/>
      <c r="BO395" s="30" t="n"/>
      <c r="BP395" s="30" t="n"/>
      <c r="BQ395" s="170">
        <f>IFERROR(BQ393*(1-BQ394)*1,"n/a")</f>
        <v/>
      </c>
      <c r="BR395" s="30" t="n"/>
      <c r="BS395" s="30" t="n"/>
      <c r="BT395" s="29" t="n"/>
      <c r="BU395" s="30" t="n"/>
      <c r="BV395" s="30" t="n"/>
      <c r="BW395" s="170">
        <f>IFERROR(BW393*(1-BW394)*1,"n/a")</f>
        <v/>
      </c>
      <c r="BX395" s="30" t="n"/>
      <c r="BY395" s="30" t="n"/>
      <c r="BZ395" s="29" t="n"/>
      <c r="CA395" s="30" t="n"/>
      <c r="CB395" s="30" t="n"/>
      <c r="CC395" s="170">
        <f>IFERROR(CC393*(1-CC394)*1,"n/a")</f>
        <v/>
      </c>
      <c r="CD395" s="30" t="n"/>
      <c r="CE395" s="30" t="n"/>
      <c r="CF395" s="29" t="n"/>
      <c r="CG395" s="30" t="n"/>
      <c r="CH395" s="30" t="n"/>
      <c r="CI395" s="170">
        <f>IFERROR(CI393*(1-CI394)*1,"n/a")</f>
        <v/>
      </c>
      <c r="CJ395" s="30" t="n"/>
      <c r="CK395" s="30" t="n"/>
      <c r="CL395" s="170">
        <f>IFERROR(CL393*(1-CL394)*2,"n/a")</f>
        <v/>
      </c>
      <c r="CM395" s="31" t="n"/>
      <c r="CN395" s="31" t="n"/>
      <c r="CO395" s="171">
        <f>IFERROR(CO393*(1-CO394)*1,"n/a")</f>
        <v/>
      </c>
      <c r="CP395" s="171">
        <f>IFERROR(CP393*(1-CP394)*1,"n/a")</f>
        <v/>
      </c>
      <c r="CQ395" s="171">
        <f>IFERROR(CQ393*(1-CQ394)*1,"n/a")</f>
        <v/>
      </c>
      <c r="CR395" s="171">
        <f>IFERROR(CR393*(1-CR394)*1,"n/a")</f>
        <v/>
      </c>
      <c r="CS395" s="171">
        <f>IFERROR(CS393*(1-CS394)*1,"n/a")</f>
        <v/>
      </c>
      <c r="CT395" s="22" t="n"/>
      <c r="CV395" s="23" t="n"/>
      <c r="CW395" s="23" t="n"/>
      <c r="CX395" s="23" t="n"/>
      <c r="CY395" s="23" t="n"/>
    </row>
    <row r="396" ht="15" customHeight="1">
      <c r="B396" s="12" t="inlineStr">
        <is>
          <t>Invested capital (IC) = Equity + Net debt</t>
        </is>
      </c>
      <c r="C396" s="170">
        <f>IFERROR(C397+C398,"n/a")</f>
        <v/>
      </c>
      <c r="D396" s="170">
        <f>IFERROR(D397+D398,"n/a")</f>
        <v/>
      </c>
      <c r="E396" s="170">
        <f>IFERROR(E397+E398,"n/a")</f>
        <v/>
      </c>
      <c r="F396" s="170">
        <f>IFERROR(F397+F398,"n/a")</f>
        <v/>
      </c>
      <c r="G396" s="170">
        <f>IFERROR(G397+G398,"n/a")</f>
        <v/>
      </c>
      <c r="H396" s="170">
        <f>IFERROR(H397+H398,"n/a")</f>
        <v/>
      </c>
      <c r="I396" s="170">
        <f>IFERROR(I397+I398,"n/a")</f>
        <v/>
      </c>
      <c r="J396" s="30" t="n"/>
      <c r="K396" s="30" t="n"/>
      <c r="L396" s="29" t="n"/>
      <c r="M396" s="30" t="n"/>
      <c r="N396" s="30" t="n"/>
      <c r="O396" s="170">
        <f>IFERROR(O397+O398,"n/a")</f>
        <v/>
      </c>
      <c r="P396" s="30" t="n"/>
      <c r="Q396" s="30" t="n"/>
      <c r="R396" s="29" t="n"/>
      <c r="S396" s="30" t="n"/>
      <c r="T396" s="30" t="n"/>
      <c r="U396" s="170">
        <f>IFERROR(U397+U398,"n/a")</f>
        <v/>
      </c>
      <c r="V396" s="30" t="n"/>
      <c r="W396" s="30" t="n"/>
      <c r="X396" s="29" t="n"/>
      <c r="Y396" s="30" t="n"/>
      <c r="Z396" s="30" t="n"/>
      <c r="AA396" s="170">
        <f>IFERROR(AA397+AA398,"n/a")</f>
        <v/>
      </c>
      <c r="AB396" s="30" t="n"/>
      <c r="AC396" s="30" t="n"/>
      <c r="AD396" s="29" t="n"/>
      <c r="AE396" s="30" t="n"/>
      <c r="AF396" s="30" t="n"/>
      <c r="AG396" s="170">
        <f>IFERROR(AG397+AG398,"n/a")</f>
        <v/>
      </c>
      <c r="AH396" s="30" t="n"/>
      <c r="AI396" s="30" t="n"/>
      <c r="AJ396" s="29" t="n"/>
      <c r="AK396" s="30" t="n"/>
      <c r="AL396" s="30" t="n"/>
      <c r="AM396" s="170">
        <f>IFERROR(AM397+AM398,"n/a")</f>
        <v/>
      </c>
      <c r="AN396" s="30" t="n"/>
      <c r="AO396" s="30" t="n"/>
      <c r="AP396" s="29" t="n"/>
      <c r="AQ396" s="30" t="n"/>
      <c r="AR396" s="30" t="n"/>
      <c r="AS396" s="170">
        <f>IFERROR(AS397+AS398,"n/a")</f>
        <v/>
      </c>
      <c r="AT396" s="30" t="n"/>
      <c r="AU396" s="30" t="n"/>
      <c r="AV396" s="29" t="n"/>
      <c r="AW396" s="30" t="n"/>
      <c r="AX396" s="30" t="n"/>
      <c r="AY396" s="170">
        <f>IFERROR(AY397+AY398,"n/a")</f>
        <v/>
      </c>
      <c r="AZ396" s="30" t="n"/>
      <c r="BA396" s="30" t="n"/>
      <c r="BB396" s="29" t="n"/>
      <c r="BC396" s="30" t="n"/>
      <c r="BD396" s="30" t="n"/>
      <c r="BE396" s="170">
        <f>IFERROR(BE397+BE398,"n/a")</f>
        <v/>
      </c>
      <c r="BF396" s="30" t="n"/>
      <c r="BG396" s="30" t="n"/>
      <c r="BH396" s="29" t="n"/>
      <c r="BI396" s="30" t="n"/>
      <c r="BJ396" s="30" t="n"/>
      <c r="BK396" s="170">
        <f>IFERROR(BK397+BK398,"n/a")</f>
        <v/>
      </c>
      <c r="BL396" s="30" t="n"/>
      <c r="BM396" s="30" t="n"/>
      <c r="BN396" s="29" t="n"/>
      <c r="BO396" s="30" t="n"/>
      <c r="BP396" s="30" t="n"/>
      <c r="BQ396" s="170">
        <f>IFERROR(BQ397+BQ398,"n/a")</f>
        <v/>
      </c>
      <c r="BR396" s="30" t="n"/>
      <c r="BS396" s="30" t="n"/>
      <c r="BT396" s="29" t="n"/>
      <c r="BU396" s="30" t="n"/>
      <c r="BV396" s="30" t="n"/>
      <c r="BW396" s="170">
        <f>IFERROR(BW397+BW398,"n/a")</f>
        <v/>
      </c>
      <c r="BX396" s="30" t="n"/>
      <c r="BY396" s="30" t="n"/>
      <c r="BZ396" s="29" t="n"/>
      <c r="CA396" s="30" t="n"/>
      <c r="CB396" s="30" t="n"/>
      <c r="CC396" s="170">
        <f>IFERROR(CC397+CC398,"n/a")</f>
        <v/>
      </c>
      <c r="CD396" s="30" t="n"/>
      <c r="CE396" s="30" t="n"/>
      <c r="CF396" s="29" t="n"/>
      <c r="CG396" s="30" t="n"/>
      <c r="CH396" s="30" t="n"/>
      <c r="CI396" s="170">
        <f>IFERROR(CI397+CI398,"n/a")</f>
        <v/>
      </c>
      <c r="CJ396" s="30" t="n"/>
      <c r="CK396" s="30" t="n"/>
      <c r="CL396" s="170">
        <f>IFERROR(CL397+CL398,"n/a")</f>
        <v/>
      </c>
      <c r="CM396" s="31" t="n"/>
      <c r="CN396" s="31" t="n"/>
      <c r="CO396" s="171">
        <f>IFERROR(CO397+CO398,"n/a")</f>
        <v/>
      </c>
      <c r="CP396" s="171">
        <f>IFERROR(CP397+CP398,"n/a")</f>
        <v/>
      </c>
      <c r="CQ396" s="171">
        <f>IFERROR(CQ397+CQ398,"n/a")</f>
        <v/>
      </c>
      <c r="CR396" s="171">
        <f>IFERROR(CR397+CR398,"n/a")</f>
        <v/>
      </c>
      <c r="CS396" s="171">
        <f>IFERROR(CS397+CS398,"n/a")</f>
        <v/>
      </c>
      <c r="CT396" s="22" t="n"/>
      <c r="CV396" s="23" t="n"/>
      <c r="CW396" s="23" t="n"/>
      <c r="CX396" s="23" t="n"/>
      <c r="CY396" s="23" t="n"/>
    </row>
    <row r="397" collapsed="1" ht="15" customHeight="1">
      <c r="B397" s="12" t="inlineStr">
        <is>
          <t xml:space="preserve">  Total equity (incl. NCI)</t>
        </is>
      </c>
      <c r="C397" s="170">
        <f>C345</f>
        <v/>
      </c>
      <c r="D397" s="170">
        <f>D345</f>
        <v/>
      </c>
      <c r="E397" s="170">
        <f>E345</f>
        <v/>
      </c>
      <c r="F397" s="170">
        <f>F345</f>
        <v/>
      </c>
      <c r="G397" s="170">
        <f>G345</f>
        <v/>
      </c>
      <c r="H397" s="170">
        <f>H345</f>
        <v/>
      </c>
      <c r="I397" s="170">
        <f>I345</f>
        <v/>
      </c>
      <c r="J397" s="30" t="n"/>
      <c r="K397" s="30" t="n"/>
      <c r="L397" s="29" t="n"/>
      <c r="M397" s="30" t="n"/>
      <c r="N397" s="30" t="n"/>
      <c r="O397" s="170">
        <f>O345</f>
        <v/>
      </c>
      <c r="P397" s="30" t="n"/>
      <c r="Q397" s="30" t="n"/>
      <c r="R397" s="29" t="n"/>
      <c r="S397" s="30" t="n"/>
      <c r="T397" s="30" t="n"/>
      <c r="U397" s="170">
        <f>U345</f>
        <v/>
      </c>
      <c r="V397" s="30" t="n"/>
      <c r="W397" s="30" t="n"/>
      <c r="X397" s="29" t="n"/>
      <c r="Y397" s="30" t="n"/>
      <c r="Z397" s="30" t="n"/>
      <c r="AA397" s="170">
        <f>AA345</f>
        <v/>
      </c>
      <c r="AB397" s="30" t="n"/>
      <c r="AC397" s="30" t="n"/>
      <c r="AD397" s="29" t="n"/>
      <c r="AE397" s="30" t="n"/>
      <c r="AF397" s="30" t="n"/>
      <c r="AG397" s="170">
        <f>AG345</f>
        <v/>
      </c>
      <c r="AH397" s="30" t="n"/>
      <c r="AI397" s="30" t="n"/>
      <c r="AJ397" s="29" t="n"/>
      <c r="AK397" s="30" t="n"/>
      <c r="AL397" s="30" t="n"/>
      <c r="AM397" s="170">
        <f>AM345</f>
        <v/>
      </c>
      <c r="AN397" s="30" t="n"/>
      <c r="AO397" s="30" t="n"/>
      <c r="AP397" s="29" t="n"/>
      <c r="AQ397" s="30" t="n"/>
      <c r="AR397" s="30" t="n"/>
      <c r="AS397" s="170">
        <f>AS345</f>
        <v/>
      </c>
      <c r="AT397" s="30" t="n"/>
      <c r="AU397" s="30" t="n"/>
      <c r="AV397" s="29" t="n"/>
      <c r="AW397" s="30" t="n"/>
      <c r="AX397" s="30" t="n"/>
      <c r="AY397" s="170">
        <f>AY345</f>
        <v/>
      </c>
      <c r="AZ397" s="30" t="n"/>
      <c r="BA397" s="30" t="n"/>
      <c r="BB397" s="29" t="n"/>
      <c r="BC397" s="30" t="n"/>
      <c r="BD397" s="30" t="n"/>
      <c r="BE397" s="170">
        <f>BE345</f>
        <v/>
      </c>
      <c r="BF397" s="30" t="n"/>
      <c r="BG397" s="30" t="n"/>
      <c r="BH397" s="29" t="n"/>
      <c r="BI397" s="30" t="n"/>
      <c r="BJ397" s="30" t="n"/>
      <c r="BK397" s="170">
        <f>BK345</f>
        <v/>
      </c>
      <c r="BL397" s="30" t="n"/>
      <c r="BM397" s="30" t="n"/>
      <c r="BN397" s="29" t="n"/>
      <c r="BO397" s="30" t="n"/>
      <c r="BP397" s="30" t="n"/>
      <c r="BQ397" s="170">
        <f>BQ345</f>
        <v/>
      </c>
      <c r="BR397" s="30" t="n"/>
      <c r="BS397" s="30" t="n"/>
      <c r="BT397" s="29" t="n"/>
      <c r="BU397" s="30" t="n"/>
      <c r="BV397" s="30" t="n"/>
      <c r="BW397" s="170">
        <f>BW345</f>
        <v/>
      </c>
      <c r="BX397" s="30" t="n"/>
      <c r="BY397" s="30" t="n"/>
      <c r="BZ397" s="29" t="n"/>
      <c r="CA397" s="30" t="n"/>
      <c r="CB397" s="30" t="n"/>
      <c r="CC397" s="170">
        <f>CC345</f>
        <v/>
      </c>
      <c r="CD397" s="30" t="n"/>
      <c r="CE397" s="30" t="n"/>
      <c r="CF397" s="29" t="n"/>
      <c r="CG397" s="30" t="n"/>
      <c r="CH397" s="30" t="n"/>
      <c r="CI397" s="170">
        <f>CI345</f>
        <v/>
      </c>
      <c r="CJ397" s="30" t="n"/>
      <c r="CK397" s="30" t="n"/>
      <c r="CL397" s="170">
        <f>CL345</f>
        <v/>
      </c>
      <c r="CM397" s="31" t="n"/>
      <c r="CN397" s="31" t="n"/>
      <c r="CO397" s="171">
        <f>CO345</f>
        <v/>
      </c>
      <c r="CP397" s="171">
        <f>CP345</f>
        <v/>
      </c>
      <c r="CQ397" s="171">
        <f>CQ345</f>
        <v/>
      </c>
      <c r="CR397" s="171">
        <f>CR345</f>
        <v/>
      </c>
      <c r="CS397" s="171">
        <f>CS345</f>
        <v/>
      </c>
      <c r="CT397" s="22" t="n"/>
      <c r="CV397" s="23" t="n"/>
      <c r="CW397" s="23" t="n"/>
      <c r="CX397" s="23" t="n"/>
      <c r="CY397" s="23" t="n"/>
    </row>
    <row r="398" ht="15" customHeight="1">
      <c r="B398" s="12" t="inlineStr">
        <is>
          <t xml:space="preserve">  Net debt = Total debt − cash − restricted cash</t>
        </is>
      </c>
      <c r="C398" s="170">
        <f>IFERROR(C369-C308-N(C309),"n/a")</f>
        <v/>
      </c>
      <c r="D398" s="170">
        <f>IFERROR(D369-D308-N(D309),"n/a")</f>
        <v/>
      </c>
      <c r="E398" s="170">
        <f>IFERROR(E369-E308-N(E309),"n/a")</f>
        <v/>
      </c>
      <c r="F398" s="170">
        <f>IFERROR(F369-F308-N(F309),"n/a")</f>
        <v/>
      </c>
      <c r="G398" s="170">
        <f>IFERROR(G369-G308-N(G309),"n/a")</f>
        <v/>
      </c>
      <c r="H398" s="170">
        <f>IFERROR(H369-H308-N(H309),"n/a")</f>
        <v/>
      </c>
      <c r="I398" s="170">
        <f>IFERROR(I369-I308-N(I309),"n/a")</f>
        <v/>
      </c>
      <c r="J398" s="30" t="n"/>
      <c r="K398" s="30" t="n"/>
      <c r="L398" s="29" t="n"/>
      <c r="M398" s="30" t="n"/>
      <c r="N398" s="30" t="n"/>
      <c r="O398" s="170">
        <f>IFERROR(O369-O308-N(O309),"n/a")</f>
        <v/>
      </c>
      <c r="P398" s="30" t="n"/>
      <c r="Q398" s="30" t="n"/>
      <c r="R398" s="29" t="n"/>
      <c r="S398" s="30" t="n"/>
      <c r="T398" s="30" t="n"/>
      <c r="U398" s="170">
        <f>IFERROR(U369-U308-N(U309),"n/a")</f>
        <v/>
      </c>
      <c r="V398" s="30" t="n"/>
      <c r="W398" s="30" t="n"/>
      <c r="X398" s="29" t="n"/>
      <c r="Y398" s="30" t="n"/>
      <c r="Z398" s="30" t="n"/>
      <c r="AA398" s="170">
        <f>IFERROR(AA369-AA308-N(AA309),"n/a")</f>
        <v/>
      </c>
      <c r="AB398" s="30" t="n"/>
      <c r="AC398" s="30" t="n"/>
      <c r="AD398" s="29" t="n"/>
      <c r="AE398" s="30" t="n"/>
      <c r="AF398" s="30" t="n"/>
      <c r="AG398" s="170">
        <f>IFERROR(AG369-AG308-N(AG309),"n/a")</f>
        <v/>
      </c>
      <c r="AH398" s="30" t="n"/>
      <c r="AI398" s="30" t="n"/>
      <c r="AJ398" s="29" t="n"/>
      <c r="AK398" s="30" t="n"/>
      <c r="AL398" s="30" t="n"/>
      <c r="AM398" s="170">
        <f>IFERROR(AM369-AM308-N(AM309),"n/a")</f>
        <v/>
      </c>
      <c r="AN398" s="30" t="n"/>
      <c r="AO398" s="30" t="n"/>
      <c r="AP398" s="29" t="n"/>
      <c r="AQ398" s="30" t="n"/>
      <c r="AR398" s="30" t="n"/>
      <c r="AS398" s="170">
        <f>IFERROR(AS369-AS308-N(AS309),"n/a")</f>
        <v/>
      </c>
      <c r="AT398" s="30" t="n"/>
      <c r="AU398" s="30" t="n"/>
      <c r="AV398" s="29" t="n"/>
      <c r="AW398" s="30" t="n"/>
      <c r="AX398" s="30" t="n"/>
      <c r="AY398" s="170">
        <f>IFERROR(AY369-AY308-N(AY309),"n/a")</f>
        <v/>
      </c>
      <c r="AZ398" s="30" t="n"/>
      <c r="BA398" s="30" t="n"/>
      <c r="BB398" s="29" t="n"/>
      <c r="BC398" s="30" t="n"/>
      <c r="BD398" s="30" t="n"/>
      <c r="BE398" s="170">
        <f>IFERROR(BE369-BE308-N(BE309),"n/a")</f>
        <v/>
      </c>
      <c r="BF398" s="30" t="n"/>
      <c r="BG398" s="30" t="n"/>
      <c r="BH398" s="29" t="n"/>
      <c r="BI398" s="30" t="n"/>
      <c r="BJ398" s="30" t="n"/>
      <c r="BK398" s="170">
        <f>IFERROR(BK369-BK308-N(BK309),"n/a")</f>
        <v/>
      </c>
      <c r="BL398" s="30" t="n"/>
      <c r="BM398" s="30" t="n"/>
      <c r="BN398" s="29" t="n"/>
      <c r="BO398" s="30" t="n"/>
      <c r="BP398" s="30" t="n"/>
      <c r="BQ398" s="170">
        <f>IFERROR(BQ369-BQ308-N(BQ309),"n/a")</f>
        <v/>
      </c>
      <c r="BR398" s="30" t="n"/>
      <c r="BS398" s="30" t="n"/>
      <c r="BT398" s="29" t="n"/>
      <c r="BU398" s="30" t="n"/>
      <c r="BV398" s="30" t="n"/>
      <c r="BW398" s="170">
        <f>IFERROR(BW369-BW308-N(BW309),"n/a")</f>
        <v/>
      </c>
      <c r="BX398" s="30" t="n"/>
      <c r="BY398" s="30" t="n"/>
      <c r="BZ398" s="29" t="n"/>
      <c r="CA398" s="30" t="n"/>
      <c r="CB398" s="30" t="n"/>
      <c r="CC398" s="170">
        <f>IFERROR(CC369-CC308-N(CC309),"n/a")</f>
        <v/>
      </c>
      <c r="CD398" s="30" t="n"/>
      <c r="CE398" s="30" t="n"/>
      <c r="CF398" s="29" t="n"/>
      <c r="CG398" s="30" t="n"/>
      <c r="CH398" s="30" t="n"/>
      <c r="CI398" s="170">
        <f>IFERROR(CI369-CI308-N(CI309),"n/a")</f>
        <v/>
      </c>
      <c r="CJ398" s="30" t="n"/>
      <c r="CK398" s="30" t="n"/>
      <c r="CL398" s="170">
        <f>IFERROR(CL369-CL308-N(CL309),"n/a")</f>
        <v/>
      </c>
      <c r="CM398" s="31" t="n"/>
      <c r="CN398" s="31" t="n"/>
      <c r="CO398" s="171">
        <f>IFERROR(CO369-CO308-N(CO309),"n/a")</f>
        <v/>
      </c>
      <c r="CP398" s="171">
        <f>IFERROR(CP369-CP308-N(CP309),"n/a")</f>
        <v/>
      </c>
      <c r="CQ398" s="171">
        <f>IFERROR(CQ369-CQ308-N(CQ309),"n/a")</f>
        <v/>
      </c>
      <c r="CR398" s="171">
        <f>IFERROR(CR369-CR308-N(CR309),"n/a")</f>
        <v/>
      </c>
      <c r="CS398" s="171">
        <f>IFERROR(CS369-CS308-N(CS309),"n/a")</f>
        <v/>
      </c>
      <c r="CT398" s="22" t="n"/>
      <c r="CV398" s="23" t="n"/>
      <c r="CW398" s="23" t="n"/>
      <c r="CX398" s="23" t="n"/>
      <c r="CY398" s="23" t="n"/>
    </row>
    <row r="399" ht="15" customHeight="1">
      <c r="B399" s="33" t="inlineStr">
        <is>
          <t>ROIC = NOPAT / IC</t>
        </is>
      </c>
      <c r="C399" s="201">
        <f>IFERROR(C395/C396,"n/a")</f>
        <v/>
      </c>
      <c r="D399" s="201">
        <f>IFERROR(D395/D396,"n/a")</f>
        <v/>
      </c>
      <c r="E399" s="201">
        <f>IFERROR(E395/E396,"n/a")</f>
        <v/>
      </c>
      <c r="F399" s="201">
        <f>IFERROR(F395/F396,"n/a")</f>
        <v/>
      </c>
      <c r="G399" s="201">
        <f>IFERROR(G395/G396,"n/a")</f>
        <v/>
      </c>
      <c r="H399" s="201">
        <f>IFERROR(H395/H396,"n/a")</f>
        <v/>
      </c>
      <c r="I399" s="201">
        <f>IFERROR(I395/I396,"n/a")</f>
        <v/>
      </c>
      <c r="J399" s="68" t="n"/>
      <c r="K399" s="68" t="n"/>
      <c r="L399" s="68" t="n"/>
      <c r="M399" s="68" t="n"/>
      <c r="N399" s="68" t="n"/>
      <c r="O399" s="201">
        <f>IFERROR(O395/O396,"n/a")</f>
        <v/>
      </c>
      <c r="P399" s="68" t="n"/>
      <c r="Q399" s="68" t="n"/>
      <c r="R399" s="68" t="n"/>
      <c r="S399" s="68" t="n"/>
      <c r="T399" s="68" t="n"/>
      <c r="U399" s="201">
        <f>IFERROR(U395/U396,"n/a")</f>
        <v/>
      </c>
      <c r="V399" s="68" t="n"/>
      <c r="W399" s="68" t="n"/>
      <c r="X399" s="68" t="n"/>
      <c r="Y399" s="68" t="n"/>
      <c r="Z399" s="68" t="n"/>
      <c r="AA399" s="201">
        <f>IFERROR(AA395/AA396,"n/a")</f>
        <v/>
      </c>
      <c r="AB399" s="68" t="n"/>
      <c r="AC399" s="68" t="n"/>
      <c r="AD399" s="68" t="n"/>
      <c r="AE399" s="68" t="n"/>
      <c r="AF399" s="68" t="n"/>
      <c r="AG399" s="201">
        <f>IFERROR(AG395/AG396,"n/a")</f>
        <v/>
      </c>
      <c r="AH399" s="68" t="n"/>
      <c r="AI399" s="68" t="n"/>
      <c r="AJ399" s="68" t="n"/>
      <c r="AK399" s="68" t="n"/>
      <c r="AL399" s="68" t="n"/>
      <c r="AM399" s="201">
        <f>IFERROR(AM395/AM396,"n/a")</f>
        <v/>
      </c>
      <c r="AN399" s="68" t="n"/>
      <c r="AO399" s="68" t="n"/>
      <c r="AP399" s="68" t="n"/>
      <c r="AQ399" s="68" t="n"/>
      <c r="AR399" s="68" t="n"/>
      <c r="AS399" s="201">
        <f>IFERROR(AS395/AS396,"n/a")</f>
        <v/>
      </c>
      <c r="AT399" s="68" t="n"/>
      <c r="AU399" s="68" t="n"/>
      <c r="AV399" s="68" t="n"/>
      <c r="AW399" s="68" t="n"/>
      <c r="AX399" s="68" t="n"/>
      <c r="AY399" s="201">
        <f>IFERROR(AY395/AY396,"n/a")</f>
        <v/>
      </c>
      <c r="AZ399" s="68" t="n"/>
      <c r="BA399" s="68" t="n"/>
      <c r="BB399" s="68" t="n"/>
      <c r="BC399" s="68" t="n"/>
      <c r="BD399" s="68" t="n"/>
      <c r="BE399" s="201">
        <f>IFERROR(BE395/BE396,"n/a")</f>
        <v/>
      </c>
      <c r="BF399" s="68" t="n"/>
      <c r="BG399" s="68" t="n"/>
      <c r="BH399" s="68" t="n"/>
      <c r="BI399" s="68" t="n"/>
      <c r="BJ399" s="68" t="n"/>
      <c r="BK399" s="201">
        <f>IFERROR(BK395/BK396,"n/a")</f>
        <v/>
      </c>
      <c r="BL399" s="68" t="n"/>
      <c r="BM399" s="68" t="n"/>
      <c r="BN399" s="68" t="n"/>
      <c r="BO399" s="68" t="n"/>
      <c r="BP399" s="68" t="n"/>
      <c r="BQ399" s="201">
        <f>IFERROR(BQ395/BQ396,"n/a")</f>
        <v/>
      </c>
      <c r="BR399" s="68" t="n"/>
      <c r="BS399" s="68" t="n"/>
      <c r="BT399" s="68" t="n"/>
      <c r="BU399" s="68" t="n"/>
      <c r="BV399" s="68" t="n"/>
      <c r="BW399" s="201">
        <f>IFERROR(BW395/BW396,"n/a")</f>
        <v/>
      </c>
      <c r="BX399" s="68" t="n"/>
      <c r="BY399" s="68" t="n"/>
      <c r="BZ399" s="68" t="n"/>
      <c r="CA399" s="68" t="n"/>
      <c r="CB399" s="68" t="n"/>
      <c r="CC399" s="201">
        <f>IFERROR(CC395/CC396,"n/a")</f>
        <v/>
      </c>
      <c r="CD399" s="68" t="n"/>
      <c r="CE399" s="68" t="n"/>
      <c r="CF399" s="68" t="n"/>
      <c r="CG399" s="68" t="n"/>
      <c r="CH399" s="68" t="n"/>
      <c r="CI399" s="201">
        <f>IFERROR(CI395/CI396,"n/a")</f>
        <v/>
      </c>
      <c r="CJ399" s="68" t="n"/>
      <c r="CK399" s="68" t="n"/>
      <c r="CL399" s="202">
        <f>IFERROR(CL395/CL396,"n/a")</f>
        <v/>
      </c>
      <c r="CM399" s="67" t="n"/>
      <c r="CN399" s="67" t="n"/>
      <c r="CO399" s="201">
        <f>IFERROR(CO395/CO396,"n/a")</f>
        <v/>
      </c>
      <c r="CP399" s="201">
        <f>IFERROR(CP395/CP396,"n/a")</f>
        <v/>
      </c>
      <c r="CQ399" s="201">
        <f>IFERROR(CQ395/CQ396,"n/a")</f>
        <v/>
      </c>
      <c r="CR399" s="201">
        <f>IFERROR(CR395/CR396,"n/a")</f>
        <v/>
      </c>
      <c r="CS399" s="201">
        <f>IFERROR(CS395/CS396,"n/a")</f>
        <v/>
      </c>
      <c r="CT399" s="22" t="inlineStr">
        <is>
          <t>1H/26 NOPAT annualised (×2).</t>
        </is>
      </c>
      <c r="CV399" s="40">
        <f>IFERROR(AVERAGE(CO399,CP399,CQ399,CR399,CS399),"n/m")</f>
        <v/>
      </c>
      <c r="CW399" s="40">
        <f>IFERROR(AVERAGE(BK399,BQ399,BW399,CC399,CI399),"n/m")</f>
        <v/>
      </c>
      <c r="CX399" s="40">
        <f>IFERROR(AVERAGE(AG399,AM399,AS399,AY399,BE399,BK399,BQ399,BW399,CC399,CI399),"n/m")</f>
        <v/>
      </c>
      <c r="CY399" s="40">
        <f>IFERROR(AVERAGE(C399,D399,E399,F399,G399,H399,I399,O399,U399,AA399,AG399,AM399,AS399,AY399,BE399,BK399,BQ399,BW399,CC399,CI399),"n/m")</f>
        <v/>
      </c>
    </row>
    <row r="400" ht="15" customHeight="1">
      <c r="B400" s="25" t="inlineStr">
        <is>
          <t xml:space="preserve">  Margin = Adjusted EBIT / Revenues</t>
        </is>
      </c>
      <c r="C400" s="179">
        <f>IFERROR(C393/C138,"n/a")</f>
        <v/>
      </c>
      <c r="D400" s="179">
        <f>IFERROR(D393/D138,"n/a")</f>
        <v/>
      </c>
      <c r="E400" s="179">
        <f>IFERROR(E393/E138,"n/a")</f>
        <v/>
      </c>
      <c r="F400" s="179">
        <f>IFERROR(F393/F138,"n/a")</f>
        <v/>
      </c>
      <c r="G400" s="179">
        <f>IFERROR(G393/G138,"n/a")</f>
        <v/>
      </c>
      <c r="H400" s="179">
        <f>IFERROR(H393/H138,"n/a")</f>
        <v/>
      </c>
      <c r="I400" s="179">
        <f>IFERROR(I393/I138,"n/a")</f>
        <v/>
      </c>
      <c r="J400" s="39" t="n"/>
      <c r="K400" s="39" t="n"/>
      <c r="L400" s="39" t="n"/>
      <c r="M400" s="39" t="n"/>
      <c r="N400" s="39" t="n"/>
      <c r="O400" s="179">
        <f>IFERROR(O393/O138,"n/a")</f>
        <v/>
      </c>
      <c r="P400" s="39" t="n"/>
      <c r="Q400" s="39" t="n"/>
      <c r="R400" s="39" t="n"/>
      <c r="S400" s="39" t="n"/>
      <c r="T400" s="39" t="n"/>
      <c r="U400" s="179">
        <f>IFERROR(U393/U138,"n/a")</f>
        <v/>
      </c>
      <c r="V400" s="39" t="n"/>
      <c r="W400" s="39" t="n"/>
      <c r="X400" s="39" t="n"/>
      <c r="Y400" s="39" t="n"/>
      <c r="Z400" s="39" t="n"/>
      <c r="AA400" s="179">
        <f>IFERROR(AA393/AA138,"n/a")</f>
        <v/>
      </c>
      <c r="AB400" s="39" t="n"/>
      <c r="AC400" s="39" t="n"/>
      <c r="AD400" s="39" t="n"/>
      <c r="AE400" s="39" t="n"/>
      <c r="AF400" s="39" t="n"/>
      <c r="AG400" s="179">
        <f>IFERROR(AG393/AG138,"n/a")</f>
        <v/>
      </c>
      <c r="AH400" s="39" t="n"/>
      <c r="AI400" s="39" t="n"/>
      <c r="AJ400" s="39" t="n"/>
      <c r="AK400" s="39" t="n"/>
      <c r="AL400" s="39" t="n"/>
      <c r="AM400" s="179">
        <f>IFERROR(AM393/AM138,"n/a")</f>
        <v/>
      </c>
      <c r="AN400" s="39" t="n"/>
      <c r="AO400" s="39" t="n"/>
      <c r="AP400" s="39" t="n"/>
      <c r="AQ400" s="39" t="n"/>
      <c r="AR400" s="39" t="n"/>
      <c r="AS400" s="179">
        <f>IFERROR(AS393/AS138,"n/a")</f>
        <v/>
      </c>
      <c r="AT400" s="39" t="n"/>
      <c r="AU400" s="39" t="n"/>
      <c r="AV400" s="39" t="n"/>
      <c r="AW400" s="39" t="n"/>
      <c r="AX400" s="39" t="n"/>
      <c r="AY400" s="179">
        <f>IFERROR(AY393/AY138,"n/a")</f>
        <v/>
      </c>
      <c r="AZ400" s="39" t="n"/>
      <c r="BA400" s="39" t="n"/>
      <c r="BB400" s="39" t="n"/>
      <c r="BC400" s="39" t="n"/>
      <c r="BD400" s="39" t="n"/>
      <c r="BE400" s="179">
        <f>IFERROR(BE393/BE138,"n/a")</f>
        <v/>
      </c>
      <c r="BF400" s="39" t="n"/>
      <c r="BG400" s="39" t="n"/>
      <c r="BH400" s="39" t="n"/>
      <c r="BI400" s="39" t="n"/>
      <c r="BJ400" s="39" t="n"/>
      <c r="BK400" s="179">
        <f>IFERROR(BK393/BK138,"n/a")</f>
        <v/>
      </c>
      <c r="BL400" s="39" t="n"/>
      <c r="BM400" s="39" t="n"/>
      <c r="BN400" s="39" t="n"/>
      <c r="BO400" s="39" t="n"/>
      <c r="BP400" s="39" t="n"/>
      <c r="BQ400" s="179">
        <f>IFERROR(BQ393/BQ138,"n/a")</f>
        <v/>
      </c>
      <c r="BR400" s="39" t="n"/>
      <c r="BS400" s="39" t="n"/>
      <c r="BT400" s="39" t="n"/>
      <c r="BU400" s="39" t="n"/>
      <c r="BV400" s="39" t="n"/>
      <c r="BW400" s="179">
        <f>IFERROR(BW393/BW138,"n/a")</f>
        <v/>
      </c>
      <c r="BX400" s="39" t="n"/>
      <c r="BY400" s="39" t="n"/>
      <c r="BZ400" s="39" t="n"/>
      <c r="CA400" s="39" t="n"/>
      <c r="CB400" s="39" t="n"/>
      <c r="CC400" s="179">
        <f>IFERROR(CC393/CC138,"n/a")</f>
        <v/>
      </c>
      <c r="CD400" s="39" t="n"/>
      <c r="CE400" s="39" t="n"/>
      <c r="CF400" s="39" t="n"/>
      <c r="CG400" s="39" t="n"/>
      <c r="CH400" s="39" t="n"/>
      <c r="CI400" s="179">
        <f>IFERROR(CI393/CI138,"n/a")</f>
        <v/>
      </c>
      <c r="CJ400" s="39" t="n"/>
      <c r="CK400" s="39" t="n"/>
      <c r="CL400" s="179">
        <f>IFERROR(CL393/CL138,"n/a")</f>
        <v/>
      </c>
      <c r="CM400" s="27" t="n"/>
      <c r="CN400" s="27" t="n"/>
      <c r="CO400" s="165">
        <f>IFERROR(CO393/CO138,"n/a")</f>
        <v/>
      </c>
      <c r="CP400" s="165">
        <f>IFERROR(CP393/CP138,"n/a")</f>
        <v/>
      </c>
      <c r="CQ400" s="165">
        <f>IFERROR(CQ393/CQ138,"n/a")</f>
        <v/>
      </c>
      <c r="CR400" s="165">
        <f>IFERROR(CR393/CR138,"n/a")</f>
        <v/>
      </c>
      <c r="CS400" s="165">
        <f>IFERROR(CS393/CS138,"n/a")</f>
        <v/>
      </c>
      <c r="CT400" s="22" t="n"/>
      <c r="CV400" s="40" t="n"/>
      <c r="CW400" s="40" t="n"/>
      <c r="CX400" s="40" t="n"/>
      <c r="CY400" s="40" t="n"/>
    </row>
    <row r="401" ht="15" customHeight="1">
      <c r="B401" s="12" t="inlineStr">
        <is>
          <t xml:space="preserve">  Capital turnover = Revenues / IC</t>
        </is>
      </c>
      <c r="C401" s="194">
        <f>IFERROR(C138*1/C396,"n/a")</f>
        <v/>
      </c>
      <c r="D401" s="194">
        <f>IFERROR(D138*1/D396,"n/a")</f>
        <v/>
      </c>
      <c r="E401" s="194">
        <f>IFERROR(E138*1/E396,"n/a")</f>
        <v/>
      </c>
      <c r="F401" s="194">
        <f>IFERROR(F138*1/F396,"n/a")</f>
        <v/>
      </c>
      <c r="G401" s="194">
        <f>IFERROR(G138*1/G396,"n/a")</f>
        <v/>
      </c>
      <c r="H401" s="194">
        <f>IFERROR(H138*1/H396,"n/a")</f>
        <v/>
      </c>
      <c r="I401" s="194">
        <f>IFERROR(I138*1/I396,"n/a")</f>
        <v/>
      </c>
      <c r="J401" s="30" t="n"/>
      <c r="K401" s="30" t="n"/>
      <c r="L401" s="29" t="n"/>
      <c r="M401" s="30" t="n"/>
      <c r="N401" s="30" t="n"/>
      <c r="O401" s="194">
        <f>IFERROR(O138*1/O396,"n/a")</f>
        <v/>
      </c>
      <c r="P401" s="30" t="n"/>
      <c r="Q401" s="30" t="n"/>
      <c r="R401" s="29" t="n"/>
      <c r="S401" s="30" t="n"/>
      <c r="T401" s="30" t="n"/>
      <c r="U401" s="194">
        <f>IFERROR(U138*1/U396,"n/a")</f>
        <v/>
      </c>
      <c r="V401" s="30" t="n"/>
      <c r="W401" s="30" t="n"/>
      <c r="X401" s="29" t="n"/>
      <c r="Y401" s="30" t="n"/>
      <c r="Z401" s="30" t="n"/>
      <c r="AA401" s="194">
        <f>IFERROR(AA138*1/AA396,"n/a")</f>
        <v/>
      </c>
      <c r="AB401" s="30" t="n"/>
      <c r="AC401" s="30" t="n"/>
      <c r="AD401" s="29" t="n"/>
      <c r="AE401" s="30" t="n"/>
      <c r="AF401" s="30" t="n"/>
      <c r="AG401" s="194">
        <f>IFERROR(AG138*1/AG396,"n/a")</f>
        <v/>
      </c>
      <c r="AH401" s="30" t="n"/>
      <c r="AI401" s="30" t="n"/>
      <c r="AJ401" s="29" t="n"/>
      <c r="AK401" s="30" t="n"/>
      <c r="AL401" s="30" t="n"/>
      <c r="AM401" s="194">
        <f>IFERROR(AM138*1/AM396,"n/a")</f>
        <v/>
      </c>
      <c r="AN401" s="30" t="n"/>
      <c r="AO401" s="30" t="n"/>
      <c r="AP401" s="29" t="n"/>
      <c r="AQ401" s="30" t="n"/>
      <c r="AR401" s="30" t="n"/>
      <c r="AS401" s="194">
        <f>IFERROR(AS138*1/AS396,"n/a")</f>
        <v/>
      </c>
      <c r="AT401" s="30" t="n"/>
      <c r="AU401" s="30" t="n"/>
      <c r="AV401" s="29" t="n"/>
      <c r="AW401" s="30" t="n"/>
      <c r="AX401" s="30" t="n"/>
      <c r="AY401" s="194">
        <f>IFERROR(AY138*1/AY396,"n/a")</f>
        <v/>
      </c>
      <c r="AZ401" s="30" t="n"/>
      <c r="BA401" s="30" t="n"/>
      <c r="BB401" s="29" t="n"/>
      <c r="BC401" s="30" t="n"/>
      <c r="BD401" s="30" t="n"/>
      <c r="BE401" s="194">
        <f>IFERROR(BE138*1/BE396,"n/a")</f>
        <v/>
      </c>
      <c r="BF401" s="30" t="n"/>
      <c r="BG401" s="30" t="n"/>
      <c r="BH401" s="29" t="n"/>
      <c r="BI401" s="30" t="n"/>
      <c r="BJ401" s="30" t="n"/>
      <c r="BK401" s="194">
        <f>IFERROR(BK138*1/BK396,"n/a")</f>
        <v/>
      </c>
      <c r="BL401" s="30" t="n"/>
      <c r="BM401" s="30" t="n"/>
      <c r="BN401" s="29" t="n"/>
      <c r="BO401" s="30" t="n"/>
      <c r="BP401" s="30" t="n"/>
      <c r="BQ401" s="194">
        <f>IFERROR(BQ138*1/BQ396,"n/a")</f>
        <v/>
      </c>
      <c r="BR401" s="30" t="n"/>
      <c r="BS401" s="30" t="n"/>
      <c r="BT401" s="29" t="n"/>
      <c r="BU401" s="30" t="n"/>
      <c r="BV401" s="30" t="n"/>
      <c r="BW401" s="194">
        <f>IFERROR(BW138*1/BW396,"n/a")</f>
        <v/>
      </c>
      <c r="BX401" s="30" t="n"/>
      <c r="BY401" s="30" t="n"/>
      <c r="BZ401" s="29" t="n"/>
      <c r="CA401" s="30" t="n"/>
      <c r="CB401" s="30" t="n"/>
      <c r="CC401" s="194">
        <f>IFERROR(CC138*1/CC396,"n/a")</f>
        <v/>
      </c>
      <c r="CD401" s="30" t="n"/>
      <c r="CE401" s="30" t="n"/>
      <c r="CF401" s="29" t="n"/>
      <c r="CG401" s="30" t="n"/>
      <c r="CH401" s="30" t="n"/>
      <c r="CI401" s="194">
        <f>IFERROR(CI138*1/CI396,"n/a")</f>
        <v/>
      </c>
      <c r="CJ401" s="30" t="n"/>
      <c r="CK401" s="30" t="n"/>
      <c r="CL401" s="194">
        <f>IFERROR(CL138*2/CL396,"n/a")</f>
        <v/>
      </c>
      <c r="CM401" s="31" t="n"/>
      <c r="CN401" s="31" t="n"/>
      <c r="CO401" s="195">
        <f>IFERROR(CO138*1/CO396,"n/a")</f>
        <v/>
      </c>
      <c r="CP401" s="195">
        <f>IFERROR(CP138*1/CP396,"n/a")</f>
        <v/>
      </c>
      <c r="CQ401" s="195">
        <f>IFERROR(CQ138*1/CQ396,"n/a")</f>
        <v/>
      </c>
      <c r="CR401" s="195">
        <f>IFERROR(CR138*1/CR396,"n/a")</f>
        <v/>
      </c>
      <c r="CS401" s="195">
        <f>IFERROR(CS138*1/CS396,"n/a")</f>
        <v/>
      </c>
      <c r="CT401" s="22" t="n"/>
      <c r="CV401" s="23" t="n"/>
      <c r="CW401" s="23" t="n"/>
      <c r="CX401" s="23" t="n"/>
      <c r="CY401" s="23" t="n"/>
    </row>
    <row r="402" ht="15" customHeight="1">
      <c r="B402" s="25" t="inlineStr">
        <is>
          <t xml:space="preserve">  Tax burden = (1 − effective tax rate)</t>
        </is>
      </c>
      <c r="C402" s="179">
        <f>IFERROR(1-C394,"n/a")</f>
        <v/>
      </c>
      <c r="D402" s="179">
        <f>IFERROR(1-D394,"n/a")</f>
        <v/>
      </c>
      <c r="E402" s="179">
        <f>IFERROR(1-E394,"n/a")</f>
        <v/>
      </c>
      <c r="F402" s="179">
        <f>IFERROR(1-F394,"n/a")</f>
        <v/>
      </c>
      <c r="G402" s="179">
        <f>IFERROR(1-G394,"n/a")</f>
        <v/>
      </c>
      <c r="H402" s="179">
        <f>IFERROR(1-H394,"n/a")</f>
        <v/>
      </c>
      <c r="I402" s="179">
        <f>IFERROR(1-I394,"n/a")</f>
        <v/>
      </c>
      <c r="J402" s="39" t="n"/>
      <c r="K402" s="39" t="n"/>
      <c r="L402" s="39" t="n"/>
      <c r="M402" s="39" t="n"/>
      <c r="N402" s="39" t="n"/>
      <c r="O402" s="179">
        <f>IFERROR(1-O394,"n/a")</f>
        <v/>
      </c>
      <c r="P402" s="39" t="n"/>
      <c r="Q402" s="39" t="n"/>
      <c r="R402" s="39" t="n"/>
      <c r="S402" s="39" t="n"/>
      <c r="T402" s="39" t="n"/>
      <c r="U402" s="179">
        <f>IFERROR(1-U394,"n/a")</f>
        <v/>
      </c>
      <c r="V402" s="39" t="n"/>
      <c r="W402" s="39" t="n"/>
      <c r="X402" s="39" t="n"/>
      <c r="Y402" s="39" t="n"/>
      <c r="Z402" s="39" t="n"/>
      <c r="AA402" s="179">
        <f>IFERROR(1-AA394,"n/a")</f>
        <v/>
      </c>
      <c r="AB402" s="39" t="n"/>
      <c r="AC402" s="39" t="n"/>
      <c r="AD402" s="39" t="n"/>
      <c r="AE402" s="39" t="n"/>
      <c r="AF402" s="39" t="n"/>
      <c r="AG402" s="179">
        <f>IFERROR(1-AG394,"n/a")</f>
        <v/>
      </c>
      <c r="AH402" s="39" t="n"/>
      <c r="AI402" s="39" t="n"/>
      <c r="AJ402" s="39" t="n"/>
      <c r="AK402" s="39" t="n"/>
      <c r="AL402" s="39" t="n"/>
      <c r="AM402" s="179">
        <f>IFERROR(1-AM394,"n/a")</f>
        <v/>
      </c>
      <c r="AN402" s="39" t="n"/>
      <c r="AO402" s="39" t="n"/>
      <c r="AP402" s="39" t="n"/>
      <c r="AQ402" s="39" t="n"/>
      <c r="AR402" s="39" t="n"/>
      <c r="AS402" s="179">
        <f>IFERROR(1-AS394,"n/a")</f>
        <v/>
      </c>
      <c r="AT402" s="39" t="n"/>
      <c r="AU402" s="39" t="n"/>
      <c r="AV402" s="39" t="n"/>
      <c r="AW402" s="39" t="n"/>
      <c r="AX402" s="39" t="n"/>
      <c r="AY402" s="179">
        <f>IFERROR(1-AY394,"n/a")</f>
        <v/>
      </c>
      <c r="AZ402" s="39" t="n"/>
      <c r="BA402" s="39" t="n"/>
      <c r="BB402" s="39" t="n"/>
      <c r="BC402" s="39" t="n"/>
      <c r="BD402" s="39" t="n"/>
      <c r="BE402" s="179">
        <f>IFERROR(1-BE394,"n/a")</f>
        <v/>
      </c>
      <c r="BF402" s="39" t="n"/>
      <c r="BG402" s="39" t="n"/>
      <c r="BH402" s="39" t="n"/>
      <c r="BI402" s="39" t="n"/>
      <c r="BJ402" s="39" t="n"/>
      <c r="BK402" s="179">
        <f>IFERROR(1-BK394,"n/a")</f>
        <v/>
      </c>
      <c r="BL402" s="39" t="n"/>
      <c r="BM402" s="39" t="n"/>
      <c r="BN402" s="39" t="n"/>
      <c r="BO402" s="39" t="n"/>
      <c r="BP402" s="39" t="n"/>
      <c r="BQ402" s="179">
        <f>IFERROR(1-BQ394,"n/a")</f>
        <v/>
      </c>
      <c r="BR402" s="39" t="n"/>
      <c r="BS402" s="39" t="n"/>
      <c r="BT402" s="39" t="n"/>
      <c r="BU402" s="39" t="n"/>
      <c r="BV402" s="39" t="n"/>
      <c r="BW402" s="179">
        <f>IFERROR(1-BW394,"n/a")</f>
        <v/>
      </c>
      <c r="BX402" s="39" t="n"/>
      <c r="BY402" s="39" t="n"/>
      <c r="BZ402" s="39" t="n"/>
      <c r="CA402" s="39" t="n"/>
      <c r="CB402" s="39" t="n"/>
      <c r="CC402" s="179">
        <f>IFERROR(1-CC394,"n/a")</f>
        <v/>
      </c>
      <c r="CD402" s="39" t="n"/>
      <c r="CE402" s="39" t="n"/>
      <c r="CF402" s="39" t="n"/>
      <c r="CG402" s="39" t="n"/>
      <c r="CH402" s="39" t="n"/>
      <c r="CI402" s="179">
        <f>IFERROR(1-CI394,"n/a")</f>
        <v/>
      </c>
      <c r="CJ402" s="39" t="n"/>
      <c r="CK402" s="39" t="n"/>
      <c r="CL402" s="179">
        <f>IFERROR(1-CL394,"n/a")</f>
        <v/>
      </c>
      <c r="CM402" s="27" t="n"/>
      <c r="CN402" s="27" t="n"/>
      <c r="CO402" s="165">
        <f>IFERROR(1-CO394,"n/a")</f>
        <v/>
      </c>
      <c r="CP402" s="165">
        <f>IFERROR(1-CP394,"n/a")</f>
        <v/>
      </c>
      <c r="CQ402" s="165">
        <f>IFERROR(1-CQ394,"n/a")</f>
        <v/>
      </c>
      <c r="CR402" s="165">
        <f>IFERROR(1-CR394,"n/a")</f>
        <v/>
      </c>
      <c r="CS402" s="165">
        <f>IFERROR(1-CS394,"n/a")</f>
        <v/>
      </c>
      <c r="CT402" s="22" t="n"/>
      <c r="CV402" s="40" t="n"/>
      <c r="CW402" s="40" t="n"/>
      <c r="CX402" s="40" t="n"/>
      <c r="CY402" s="40" t="n"/>
    </row>
    <row r="403" ht="15" customHeight="1">
      <c r="B403" s="25" t="inlineStr">
        <is>
          <t xml:space="preserve">  Check: Margin × Turnover × Tax burden = ROIC</t>
        </is>
      </c>
      <c r="C403" s="179">
        <f>IFERROR(C400*C401*C402,"n/a")</f>
        <v/>
      </c>
      <c r="D403" s="179">
        <f>IFERROR(D400*D401*D402,"n/a")</f>
        <v/>
      </c>
      <c r="E403" s="179">
        <f>IFERROR(E400*E401*E402,"n/a")</f>
        <v/>
      </c>
      <c r="F403" s="179">
        <f>IFERROR(F400*F401*F402,"n/a")</f>
        <v/>
      </c>
      <c r="G403" s="179">
        <f>IFERROR(G400*G401*G402,"n/a")</f>
        <v/>
      </c>
      <c r="H403" s="179">
        <f>IFERROR(H400*H401*H402,"n/a")</f>
        <v/>
      </c>
      <c r="I403" s="179">
        <f>IFERROR(I400*I401*I402,"n/a")</f>
        <v/>
      </c>
      <c r="J403" s="39" t="n"/>
      <c r="K403" s="39" t="n"/>
      <c r="L403" s="39" t="n"/>
      <c r="M403" s="39" t="n"/>
      <c r="N403" s="39" t="n"/>
      <c r="O403" s="179">
        <f>IFERROR(O400*O401*O402,"n/a")</f>
        <v/>
      </c>
      <c r="P403" s="39" t="n"/>
      <c r="Q403" s="39" t="n"/>
      <c r="R403" s="39" t="n"/>
      <c r="S403" s="39" t="n"/>
      <c r="T403" s="39" t="n"/>
      <c r="U403" s="179">
        <f>IFERROR(U400*U401*U402,"n/a")</f>
        <v/>
      </c>
      <c r="V403" s="39" t="n"/>
      <c r="W403" s="39" t="n"/>
      <c r="X403" s="39" t="n"/>
      <c r="Y403" s="39" t="n"/>
      <c r="Z403" s="39" t="n"/>
      <c r="AA403" s="179">
        <f>IFERROR(AA400*AA401*AA402,"n/a")</f>
        <v/>
      </c>
      <c r="AB403" s="39" t="n"/>
      <c r="AC403" s="39" t="n"/>
      <c r="AD403" s="39" t="n"/>
      <c r="AE403" s="39" t="n"/>
      <c r="AF403" s="39" t="n"/>
      <c r="AG403" s="179">
        <f>IFERROR(AG400*AG401*AG402,"n/a")</f>
        <v/>
      </c>
      <c r="AH403" s="39" t="n"/>
      <c r="AI403" s="39" t="n"/>
      <c r="AJ403" s="39" t="n"/>
      <c r="AK403" s="39" t="n"/>
      <c r="AL403" s="39" t="n"/>
      <c r="AM403" s="179">
        <f>IFERROR(AM400*AM401*AM402,"n/a")</f>
        <v/>
      </c>
      <c r="AN403" s="39" t="n"/>
      <c r="AO403" s="39" t="n"/>
      <c r="AP403" s="39" t="n"/>
      <c r="AQ403" s="39" t="n"/>
      <c r="AR403" s="39" t="n"/>
      <c r="AS403" s="179">
        <f>IFERROR(AS400*AS401*AS402,"n/a")</f>
        <v/>
      </c>
      <c r="AT403" s="39" t="n"/>
      <c r="AU403" s="39" t="n"/>
      <c r="AV403" s="39" t="n"/>
      <c r="AW403" s="39" t="n"/>
      <c r="AX403" s="39" t="n"/>
      <c r="AY403" s="179">
        <f>IFERROR(AY400*AY401*AY402,"n/a")</f>
        <v/>
      </c>
      <c r="AZ403" s="39" t="n"/>
      <c r="BA403" s="39" t="n"/>
      <c r="BB403" s="39" t="n"/>
      <c r="BC403" s="39" t="n"/>
      <c r="BD403" s="39" t="n"/>
      <c r="BE403" s="179">
        <f>IFERROR(BE400*BE401*BE402,"n/a")</f>
        <v/>
      </c>
      <c r="BF403" s="39" t="n"/>
      <c r="BG403" s="39" t="n"/>
      <c r="BH403" s="39" t="n"/>
      <c r="BI403" s="39" t="n"/>
      <c r="BJ403" s="39" t="n"/>
      <c r="BK403" s="179">
        <f>IFERROR(BK400*BK401*BK402,"n/a")</f>
        <v/>
      </c>
      <c r="BL403" s="39" t="n"/>
      <c r="BM403" s="39" t="n"/>
      <c r="BN403" s="39" t="n"/>
      <c r="BO403" s="39" t="n"/>
      <c r="BP403" s="39" t="n"/>
      <c r="BQ403" s="179">
        <f>IFERROR(BQ400*BQ401*BQ402,"n/a")</f>
        <v/>
      </c>
      <c r="BR403" s="39" t="n"/>
      <c r="BS403" s="39" t="n"/>
      <c r="BT403" s="39" t="n"/>
      <c r="BU403" s="39" t="n"/>
      <c r="BV403" s="39" t="n"/>
      <c r="BW403" s="179">
        <f>IFERROR(BW400*BW401*BW402,"n/a")</f>
        <v/>
      </c>
      <c r="BX403" s="39" t="n"/>
      <c r="BY403" s="39" t="n"/>
      <c r="BZ403" s="39" t="n"/>
      <c r="CA403" s="39" t="n"/>
      <c r="CB403" s="39" t="n"/>
      <c r="CC403" s="179">
        <f>IFERROR(CC400*CC401*CC402,"n/a")</f>
        <v/>
      </c>
      <c r="CD403" s="39" t="n"/>
      <c r="CE403" s="39" t="n"/>
      <c r="CF403" s="39" t="n"/>
      <c r="CG403" s="39" t="n"/>
      <c r="CH403" s="39" t="n"/>
      <c r="CI403" s="179">
        <f>IFERROR(CI400*CI401*CI402,"n/a")</f>
        <v/>
      </c>
      <c r="CJ403" s="39" t="n"/>
      <c r="CK403" s="39" t="n"/>
      <c r="CL403" s="179">
        <f>IFERROR(CL400*CL401*CL402,"n/a")</f>
        <v/>
      </c>
      <c r="CM403" s="27" t="n"/>
      <c r="CN403" s="27" t="n"/>
      <c r="CO403" s="165">
        <f>IFERROR(CO400*CO401*CO402,"n/a")</f>
        <v/>
      </c>
      <c r="CP403" s="165">
        <f>IFERROR(CP400*CP401*CP402,"n/a")</f>
        <v/>
      </c>
      <c r="CQ403" s="165">
        <f>IFERROR(CQ400*CQ401*CQ402,"n/a")</f>
        <v/>
      </c>
      <c r="CR403" s="165">
        <f>IFERROR(CR400*CR401*CR402,"n/a")</f>
        <v/>
      </c>
      <c r="CS403" s="165">
        <f>IFERROR(CS400*CS401*CS402,"n/a")</f>
        <v/>
      </c>
      <c r="CT403" s="22" t="n"/>
      <c r="CV403" s="40" t="n"/>
      <c r="CW403" s="40" t="n"/>
      <c r="CX403" s="40" t="n"/>
      <c r="CY403" s="40" t="n"/>
    </row>
    <row r="404" ht="15" customHeight="1">
      <c r="B404" s="12" t="n"/>
      <c r="CM404" s="6" t="n"/>
      <c r="CN404" s="6" t="n"/>
      <c r="CO404" s="6" t="n"/>
      <c r="CP404" s="6" t="n"/>
      <c r="CQ404" s="6" t="n"/>
      <c r="CR404" s="6" t="n"/>
      <c r="CS404" s="6" t="n"/>
      <c r="CT404" s="6" t="n"/>
    </row>
    <row r="405" ht="15" customHeight="1">
      <c r="B405" s="12" t="inlineStr">
        <is>
          <t>RONTA decomposition</t>
        </is>
      </c>
      <c r="C405" s="29" t="n"/>
      <c r="D405" s="29" t="n"/>
      <c r="E405" s="30" t="n"/>
      <c r="F405" s="30" t="n"/>
      <c r="G405" s="30" t="n"/>
      <c r="H405" s="30" t="n"/>
      <c r="I405" s="30" t="n"/>
      <c r="J405" s="30" t="n"/>
      <c r="K405" s="30" t="n"/>
      <c r="L405" s="29" t="n"/>
      <c r="M405" s="30" t="n"/>
      <c r="N405" s="30" t="n"/>
      <c r="O405" s="30" t="n"/>
      <c r="P405" s="30" t="n"/>
      <c r="Q405" s="30" t="n"/>
      <c r="R405" s="29" t="n"/>
      <c r="S405" s="30" t="n"/>
      <c r="T405" s="30" t="n"/>
      <c r="U405" s="30" t="n"/>
      <c r="V405" s="30" t="n"/>
      <c r="W405" s="30" t="n"/>
      <c r="X405" s="29" t="n"/>
      <c r="Y405" s="30" t="n"/>
      <c r="Z405" s="30" t="n"/>
      <c r="AA405" s="30" t="n"/>
      <c r="AB405" s="30" t="n"/>
      <c r="AC405" s="30" t="n"/>
      <c r="AD405" s="29" t="n"/>
      <c r="AE405" s="30" t="n"/>
      <c r="AF405" s="30" t="n"/>
      <c r="AG405" s="30" t="n"/>
      <c r="AH405" s="30" t="n"/>
      <c r="AI405" s="30" t="n"/>
      <c r="AJ405" s="29" t="n"/>
      <c r="AK405" s="30" t="n"/>
      <c r="AL405" s="30" t="n"/>
      <c r="AM405" s="30" t="n"/>
      <c r="AN405" s="30" t="n"/>
      <c r="AO405" s="30" t="n"/>
      <c r="AP405" s="29" t="n"/>
      <c r="AQ405" s="30" t="n"/>
      <c r="AR405" s="30" t="n"/>
      <c r="AS405" s="30" t="n"/>
      <c r="AT405" s="30" t="n"/>
      <c r="AU405" s="30" t="n"/>
      <c r="AV405" s="29" t="n"/>
      <c r="AW405" s="30" t="n"/>
      <c r="AX405" s="30" t="n"/>
      <c r="AY405" s="30" t="n"/>
      <c r="AZ405" s="30" t="n"/>
      <c r="BA405" s="30" t="n"/>
      <c r="BB405" s="29" t="n"/>
      <c r="BC405" s="30" t="n"/>
      <c r="BD405" s="30" t="n"/>
      <c r="BE405" s="30" t="n"/>
      <c r="BF405" s="30" t="n"/>
      <c r="BG405" s="30" t="n"/>
      <c r="BH405" s="29" t="n"/>
      <c r="BI405" s="30" t="n"/>
      <c r="BJ405" s="30" t="n"/>
      <c r="BK405" s="30" t="n"/>
      <c r="BL405" s="30" t="n"/>
      <c r="BM405" s="30" t="n"/>
      <c r="BN405" s="29" t="n"/>
      <c r="BO405" s="30" t="n"/>
      <c r="BP405" s="30" t="n"/>
      <c r="BQ405" s="30" t="n"/>
      <c r="BR405" s="30" t="n"/>
      <c r="BS405" s="30" t="n"/>
      <c r="BT405" s="29" t="n"/>
      <c r="BU405" s="30" t="n"/>
      <c r="BV405" s="30" t="n"/>
      <c r="BW405" s="30" t="n"/>
      <c r="BX405" s="30" t="n"/>
      <c r="BY405" s="30" t="n"/>
      <c r="BZ405" s="29" t="n"/>
      <c r="CA405" s="30" t="n"/>
      <c r="CB405" s="30" t="n"/>
      <c r="CC405" s="30" t="n"/>
      <c r="CD405" s="30" t="n"/>
      <c r="CE405" s="30" t="n"/>
      <c r="CF405" s="29" t="n"/>
      <c r="CG405" s="30" t="n"/>
      <c r="CH405" s="30" t="n"/>
      <c r="CI405" s="30" t="n"/>
      <c r="CJ405" s="30" t="n"/>
      <c r="CK405" s="30" t="n"/>
      <c r="CL405" s="29" t="n"/>
      <c r="CM405" s="31" t="n"/>
      <c r="CN405" s="31" t="n"/>
      <c r="CO405" s="31" t="n"/>
      <c r="CP405" s="31" t="n"/>
      <c r="CQ405" s="31" t="n"/>
      <c r="CR405" s="31" t="n"/>
      <c r="CS405" s="31" t="n"/>
      <c r="CT405" s="22" t="n"/>
      <c r="CV405" s="23" t="n"/>
      <c r="CW405" s="23" t="n"/>
      <c r="CX405" s="23" t="n"/>
      <c r="CY405" s="23" t="n"/>
    </row>
    <row r="406" ht="15" customHeight="1">
      <c r="B406" s="12" t="inlineStr">
        <is>
          <t>NOPAT = Adjusted EBIT × (1 − tax rate)</t>
        </is>
      </c>
      <c r="C406" s="170">
        <f>C395</f>
        <v/>
      </c>
      <c r="D406" s="170">
        <f>D395</f>
        <v/>
      </c>
      <c r="E406" s="170">
        <f>E395</f>
        <v/>
      </c>
      <c r="F406" s="170">
        <f>F395</f>
        <v/>
      </c>
      <c r="G406" s="170">
        <f>G395</f>
        <v/>
      </c>
      <c r="H406" s="170">
        <f>H395</f>
        <v/>
      </c>
      <c r="I406" s="170">
        <f>I395</f>
        <v/>
      </c>
      <c r="J406" s="30" t="n"/>
      <c r="K406" s="30" t="n"/>
      <c r="L406" s="29" t="n"/>
      <c r="M406" s="30" t="n"/>
      <c r="N406" s="30" t="n"/>
      <c r="O406" s="170">
        <f>O395</f>
        <v/>
      </c>
      <c r="P406" s="30" t="n"/>
      <c r="Q406" s="30" t="n"/>
      <c r="R406" s="29" t="n"/>
      <c r="S406" s="30" t="n"/>
      <c r="T406" s="30" t="n"/>
      <c r="U406" s="170">
        <f>U395</f>
        <v/>
      </c>
      <c r="V406" s="30" t="n"/>
      <c r="W406" s="30" t="n"/>
      <c r="X406" s="29" t="n"/>
      <c r="Y406" s="30" t="n"/>
      <c r="Z406" s="30" t="n"/>
      <c r="AA406" s="170">
        <f>AA395</f>
        <v/>
      </c>
      <c r="AB406" s="30" t="n"/>
      <c r="AC406" s="30" t="n"/>
      <c r="AD406" s="29" t="n"/>
      <c r="AE406" s="30" t="n"/>
      <c r="AF406" s="30" t="n"/>
      <c r="AG406" s="170">
        <f>AG395</f>
        <v/>
      </c>
      <c r="AH406" s="30" t="n"/>
      <c r="AI406" s="30" t="n"/>
      <c r="AJ406" s="29" t="n"/>
      <c r="AK406" s="30" t="n"/>
      <c r="AL406" s="30" t="n"/>
      <c r="AM406" s="170">
        <f>AM395</f>
        <v/>
      </c>
      <c r="AN406" s="30" t="n"/>
      <c r="AO406" s="30" t="n"/>
      <c r="AP406" s="29" t="n"/>
      <c r="AQ406" s="30" t="n"/>
      <c r="AR406" s="30" t="n"/>
      <c r="AS406" s="170">
        <f>AS395</f>
        <v/>
      </c>
      <c r="AT406" s="30" t="n"/>
      <c r="AU406" s="30" t="n"/>
      <c r="AV406" s="29" t="n"/>
      <c r="AW406" s="30" t="n"/>
      <c r="AX406" s="30" t="n"/>
      <c r="AY406" s="170">
        <f>AY395</f>
        <v/>
      </c>
      <c r="AZ406" s="30" t="n"/>
      <c r="BA406" s="30" t="n"/>
      <c r="BB406" s="29" t="n"/>
      <c r="BC406" s="30" t="n"/>
      <c r="BD406" s="30" t="n"/>
      <c r="BE406" s="170">
        <f>BE395</f>
        <v/>
      </c>
      <c r="BF406" s="30" t="n"/>
      <c r="BG406" s="30" t="n"/>
      <c r="BH406" s="29" t="n"/>
      <c r="BI406" s="30" t="n"/>
      <c r="BJ406" s="30" t="n"/>
      <c r="BK406" s="170">
        <f>BK395</f>
        <v/>
      </c>
      <c r="BL406" s="30" t="n"/>
      <c r="BM406" s="30" t="n"/>
      <c r="BN406" s="29" t="n"/>
      <c r="BO406" s="30" t="n"/>
      <c r="BP406" s="30" t="n"/>
      <c r="BQ406" s="170">
        <f>BQ395</f>
        <v/>
      </c>
      <c r="BR406" s="30" t="n"/>
      <c r="BS406" s="30" t="n"/>
      <c r="BT406" s="29" t="n"/>
      <c r="BU406" s="30" t="n"/>
      <c r="BV406" s="30" t="n"/>
      <c r="BW406" s="170">
        <f>BW395</f>
        <v/>
      </c>
      <c r="BX406" s="30" t="n"/>
      <c r="BY406" s="30" t="n"/>
      <c r="BZ406" s="29" t="n"/>
      <c r="CA406" s="30" t="n"/>
      <c r="CB406" s="30" t="n"/>
      <c r="CC406" s="170">
        <f>CC395</f>
        <v/>
      </c>
      <c r="CD406" s="30" t="n"/>
      <c r="CE406" s="30" t="n"/>
      <c r="CF406" s="29" t="n"/>
      <c r="CG406" s="30" t="n"/>
      <c r="CH406" s="30" t="n"/>
      <c r="CI406" s="170">
        <f>CI395</f>
        <v/>
      </c>
      <c r="CJ406" s="30" t="n"/>
      <c r="CK406" s="30" t="n"/>
      <c r="CL406" s="170">
        <f>CL395</f>
        <v/>
      </c>
      <c r="CM406" s="31" t="n"/>
      <c r="CN406" s="31" t="n"/>
      <c r="CO406" s="171">
        <f>CO395</f>
        <v/>
      </c>
      <c r="CP406" s="171">
        <f>CP395</f>
        <v/>
      </c>
      <c r="CQ406" s="171">
        <f>CQ395</f>
        <v/>
      </c>
      <c r="CR406" s="171">
        <f>CR395</f>
        <v/>
      </c>
      <c r="CS406" s="171">
        <f>CS395</f>
        <v/>
      </c>
      <c r="CT406" s="22" t="n"/>
      <c r="CV406" s="23" t="n"/>
      <c r="CW406" s="23" t="n"/>
      <c r="CX406" s="23" t="n"/>
      <c r="CY406" s="23" t="n"/>
    </row>
    <row r="407" ht="15" customHeight="1">
      <c r="B407" s="12" t="inlineStr">
        <is>
          <t xml:space="preserve">  Total assets</t>
        </is>
      </c>
      <c r="C407" s="170">
        <f>C321</f>
        <v/>
      </c>
      <c r="D407" s="170">
        <f>D321</f>
        <v/>
      </c>
      <c r="E407" s="170">
        <f>E321</f>
        <v/>
      </c>
      <c r="F407" s="170">
        <f>F321</f>
        <v/>
      </c>
      <c r="G407" s="170">
        <f>G321</f>
        <v/>
      </c>
      <c r="H407" s="170">
        <f>H321</f>
        <v/>
      </c>
      <c r="I407" s="170">
        <f>I321</f>
        <v/>
      </c>
      <c r="J407" s="30" t="n"/>
      <c r="K407" s="30" t="n"/>
      <c r="L407" s="29" t="n"/>
      <c r="M407" s="30" t="n"/>
      <c r="N407" s="30" t="n"/>
      <c r="O407" s="170">
        <f>O321</f>
        <v/>
      </c>
      <c r="P407" s="30" t="n"/>
      <c r="Q407" s="30" t="n"/>
      <c r="R407" s="29" t="n"/>
      <c r="S407" s="30" t="n"/>
      <c r="T407" s="30" t="n"/>
      <c r="U407" s="170">
        <f>U321</f>
        <v/>
      </c>
      <c r="V407" s="30" t="n"/>
      <c r="W407" s="30" t="n"/>
      <c r="X407" s="29" t="n"/>
      <c r="Y407" s="30" t="n"/>
      <c r="Z407" s="30" t="n"/>
      <c r="AA407" s="170">
        <f>AA321</f>
        <v/>
      </c>
      <c r="AB407" s="30" t="n"/>
      <c r="AC407" s="30" t="n"/>
      <c r="AD407" s="29" t="n"/>
      <c r="AE407" s="30" t="n"/>
      <c r="AF407" s="30" t="n"/>
      <c r="AG407" s="170">
        <f>AG321</f>
        <v/>
      </c>
      <c r="AH407" s="30" t="n"/>
      <c r="AI407" s="30" t="n"/>
      <c r="AJ407" s="29" t="n"/>
      <c r="AK407" s="30" t="n"/>
      <c r="AL407" s="30" t="n"/>
      <c r="AM407" s="170">
        <f>AM321</f>
        <v/>
      </c>
      <c r="AN407" s="30" t="n"/>
      <c r="AO407" s="30" t="n"/>
      <c r="AP407" s="29" t="n"/>
      <c r="AQ407" s="30" t="n"/>
      <c r="AR407" s="30" t="n"/>
      <c r="AS407" s="170">
        <f>AS321</f>
        <v/>
      </c>
      <c r="AT407" s="30" t="n"/>
      <c r="AU407" s="30" t="n"/>
      <c r="AV407" s="29" t="n"/>
      <c r="AW407" s="30" t="n"/>
      <c r="AX407" s="30" t="n"/>
      <c r="AY407" s="170">
        <f>AY321</f>
        <v/>
      </c>
      <c r="AZ407" s="30" t="n"/>
      <c r="BA407" s="30" t="n"/>
      <c r="BB407" s="29" t="n"/>
      <c r="BC407" s="30" t="n"/>
      <c r="BD407" s="30" t="n"/>
      <c r="BE407" s="170">
        <f>BE321</f>
        <v/>
      </c>
      <c r="BF407" s="30" t="n"/>
      <c r="BG407" s="30" t="n"/>
      <c r="BH407" s="29" t="n"/>
      <c r="BI407" s="30" t="n"/>
      <c r="BJ407" s="30" t="n"/>
      <c r="BK407" s="170">
        <f>BK321</f>
        <v/>
      </c>
      <c r="BL407" s="30" t="n"/>
      <c r="BM407" s="30" t="n"/>
      <c r="BN407" s="29" t="n"/>
      <c r="BO407" s="30" t="n"/>
      <c r="BP407" s="30" t="n"/>
      <c r="BQ407" s="170">
        <f>BQ321</f>
        <v/>
      </c>
      <c r="BR407" s="30" t="n"/>
      <c r="BS407" s="30" t="n"/>
      <c r="BT407" s="29" t="n"/>
      <c r="BU407" s="30" t="n"/>
      <c r="BV407" s="30" t="n"/>
      <c r="BW407" s="170">
        <f>BW321</f>
        <v/>
      </c>
      <c r="BX407" s="30" t="n"/>
      <c r="BY407" s="30" t="n"/>
      <c r="BZ407" s="29" t="n"/>
      <c r="CA407" s="30" t="n"/>
      <c r="CB407" s="30" t="n"/>
      <c r="CC407" s="170">
        <f>CC321</f>
        <v/>
      </c>
      <c r="CD407" s="30" t="n"/>
      <c r="CE407" s="30" t="n"/>
      <c r="CF407" s="29" t="n"/>
      <c r="CG407" s="30" t="n"/>
      <c r="CH407" s="30" t="n"/>
      <c r="CI407" s="170">
        <f>CI321</f>
        <v/>
      </c>
      <c r="CJ407" s="30" t="n"/>
      <c r="CK407" s="30" t="n"/>
      <c r="CL407" s="170">
        <f>CL321</f>
        <v/>
      </c>
      <c r="CM407" s="31" t="n"/>
      <c r="CN407" s="31" t="n"/>
      <c r="CO407" s="171">
        <f>CO321</f>
        <v/>
      </c>
      <c r="CP407" s="171">
        <f>CP321</f>
        <v/>
      </c>
      <c r="CQ407" s="171">
        <f>CQ321</f>
        <v/>
      </c>
      <c r="CR407" s="171">
        <f>CR321</f>
        <v/>
      </c>
      <c r="CS407" s="171">
        <f>CS321</f>
        <v/>
      </c>
      <c r="CT407" s="22" t="n"/>
      <c r="CV407" s="23" t="n"/>
      <c r="CW407" s="23" t="n"/>
      <c r="CX407" s="23" t="n"/>
      <c r="CY407" s="23" t="n"/>
    </row>
    <row r="408" ht="15" customHeight="1">
      <c r="B408" s="12" t="inlineStr">
        <is>
          <t xml:space="preserve">  − Goodwill &amp; other intangible assets</t>
        </is>
      </c>
      <c r="C408" s="170">
        <f>-(N(C318)+N(C319))</f>
        <v/>
      </c>
      <c r="D408" s="170">
        <f>-(N(D318)+N(D319))</f>
        <v/>
      </c>
      <c r="E408" s="170">
        <f>-(N(E318)+N(E319))</f>
        <v/>
      </c>
      <c r="F408" s="170">
        <f>-(N(F318)+N(F319))</f>
        <v/>
      </c>
      <c r="G408" s="170">
        <f>-(N(G318)+N(G319))</f>
        <v/>
      </c>
      <c r="H408" s="170">
        <f>-(N(H318)+N(H319))</f>
        <v/>
      </c>
      <c r="I408" s="170">
        <f>-(N(I318)+N(I319))</f>
        <v/>
      </c>
      <c r="J408" s="30" t="n"/>
      <c r="K408" s="30" t="n"/>
      <c r="L408" s="29" t="n"/>
      <c r="M408" s="30" t="n"/>
      <c r="N408" s="30" t="n"/>
      <c r="O408" s="170">
        <f>-(N(O318)+N(O319))</f>
        <v/>
      </c>
      <c r="P408" s="30" t="n"/>
      <c r="Q408" s="30" t="n"/>
      <c r="R408" s="29" t="n"/>
      <c r="S408" s="30" t="n"/>
      <c r="T408" s="30" t="n"/>
      <c r="U408" s="170">
        <f>-(N(U318)+N(U319))</f>
        <v/>
      </c>
      <c r="V408" s="30" t="n"/>
      <c r="W408" s="30" t="n"/>
      <c r="X408" s="29" t="n"/>
      <c r="Y408" s="30" t="n"/>
      <c r="Z408" s="30" t="n"/>
      <c r="AA408" s="170">
        <f>-(N(AA318)+N(AA319))</f>
        <v/>
      </c>
      <c r="AB408" s="30" t="n"/>
      <c r="AC408" s="30" t="n"/>
      <c r="AD408" s="29" t="n"/>
      <c r="AE408" s="30" t="n"/>
      <c r="AF408" s="30" t="n"/>
      <c r="AG408" s="170">
        <f>-(N(AG318)+N(AG319))</f>
        <v/>
      </c>
      <c r="AH408" s="30" t="n"/>
      <c r="AI408" s="30" t="n"/>
      <c r="AJ408" s="29" t="n"/>
      <c r="AK408" s="30" t="n"/>
      <c r="AL408" s="30" t="n"/>
      <c r="AM408" s="170">
        <f>-(N(AM318)+N(AM319))</f>
        <v/>
      </c>
      <c r="AN408" s="30" t="n"/>
      <c r="AO408" s="30" t="n"/>
      <c r="AP408" s="29" t="n"/>
      <c r="AQ408" s="30" t="n"/>
      <c r="AR408" s="30" t="n"/>
      <c r="AS408" s="170">
        <f>-(N(AS318)+N(AS319))</f>
        <v/>
      </c>
      <c r="AT408" s="30" t="n"/>
      <c r="AU408" s="30" t="n"/>
      <c r="AV408" s="29" t="n"/>
      <c r="AW408" s="30" t="n"/>
      <c r="AX408" s="30" t="n"/>
      <c r="AY408" s="170">
        <f>-(N(AY318)+N(AY319))</f>
        <v/>
      </c>
      <c r="AZ408" s="30" t="n"/>
      <c r="BA408" s="30" t="n"/>
      <c r="BB408" s="29" t="n"/>
      <c r="BC408" s="30" t="n"/>
      <c r="BD408" s="30" t="n"/>
      <c r="BE408" s="170">
        <f>-(N(BE318)+N(BE319))</f>
        <v/>
      </c>
      <c r="BF408" s="30" t="n"/>
      <c r="BG408" s="30" t="n"/>
      <c r="BH408" s="29" t="n"/>
      <c r="BI408" s="30" t="n"/>
      <c r="BJ408" s="30" t="n"/>
      <c r="BK408" s="170">
        <f>-(N(BK318)+N(BK319))</f>
        <v/>
      </c>
      <c r="BL408" s="30" t="n"/>
      <c r="BM408" s="30" t="n"/>
      <c r="BN408" s="29" t="n"/>
      <c r="BO408" s="30" t="n"/>
      <c r="BP408" s="30" t="n"/>
      <c r="BQ408" s="170">
        <f>-(N(BQ318)+N(BQ319))</f>
        <v/>
      </c>
      <c r="BR408" s="30" t="n"/>
      <c r="BS408" s="30" t="n"/>
      <c r="BT408" s="29" t="n"/>
      <c r="BU408" s="30" t="n"/>
      <c r="BV408" s="30" t="n"/>
      <c r="BW408" s="170">
        <f>-(N(BW318)+N(BW319))</f>
        <v/>
      </c>
      <c r="BX408" s="30" t="n"/>
      <c r="BY408" s="30" t="n"/>
      <c r="BZ408" s="29" t="n"/>
      <c r="CA408" s="30" t="n"/>
      <c r="CB408" s="30" t="n"/>
      <c r="CC408" s="170">
        <f>-(N(CC318)+N(CC319))</f>
        <v/>
      </c>
      <c r="CD408" s="30" t="n"/>
      <c r="CE408" s="30" t="n"/>
      <c r="CF408" s="29" t="n"/>
      <c r="CG408" s="30" t="n"/>
      <c r="CH408" s="30" t="n"/>
      <c r="CI408" s="170">
        <f>-(N(CI318)+N(CI319))</f>
        <v/>
      </c>
      <c r="CJ408" s="30" t="n"/>
      <c r="CK408" s="30" t="n"/>
      <c r="CL408" s="170">
        <f>-(N(CL318)+N(CL319))</f>
        <v/>
      </c>
      <c r="CM408" s="31" t="n"/>
      <c r="CN408" s="31" t="n"/>
      <c r="CO408" s="171">
        <f>-(N(CO318)+N(CO319))</f>
        <v/>
      </c>
      <c r="CP408" s="171">
        <f>-(N(CP318)+N(CP319))</f>
        <v/>
      </c>
      <c r="CQ408" s="171">
        <f>-(N(CQ318)+N(CQ319))</f>
        <v/>
      </c>
      <c r="CR408" s="171">
        <f>-(N(CR318)+N(CR319))</f>
        <v/>
      </c>
      <c r="CS408" s="171">
        <f>-(N(CS318)+N(CS319))</f>
        <v/>
      </c>
      <c r="CT408" s="22" t="n"/>
      <c r="CV408" s="23" t="n"/>
      <c r="CW408" s="23" t="n"/>
      <c r="CX408" s="23" t="n"/>
      <c r="CY408" s="23" t="n"/>
    </row>
    <row r="409" ht="15" customHeight="1">
      <c r="B409" s="12" t="inlineStr">
        <is>
          <t xml:space="preserve">  − Non-interest-bearing current liabilities (total CL excl. debt)</t>
        </is>
      </c>
      <c r="C409" s="170">
        <f>-(C330-N(C325)-N(C326))</f>
        <v/>
      </c>
      <c r="D409" s="170">
        <f>-(D330-N(D325)-N(D326))</f>
        <v/>
      </c>
      <c r="E409" s="170">
        <f>-(E330-N(E325)-N(E326))</f>
        <v/>
      </c>
      <c r="F409" s="170">
        <f>-(F330-N(F325)-N(F326))</f>
        <v/>
      </c>
      <c r="G409" s="170">
        <f>-(G330-N(G325)-N(G326))</f>
        <v/>
      </c>
      <c r="H409" s="170">
        <f>-(H330-N(H325)-N(H326))</f>
        <v/>
      </c>
      <c r="I409" s="170">
        <f>-(I330-N(I325)-N(I326))</f>
        <v/>
      </c>
      <c r="J409" s="30" t="n"/>
      <c r="K409" s="30" t="n"/>
      <c r="L409" s="29" t="n"/>
      <c r="M409" s="30" t="n"/>
      <c r="N409" s="30" t="n"/>
      <c r="O409" s="170">
        <f>-(O330-N(O325)-N(O326))</f>
        <v/>
      </c>
      <c r="P409" s="30" t="n"/>
      <c r="Q409" s="30" t="n"/>
      <c r="R409" s="29" t="n"/>
      <c r="S409" s="30" t="n"/>
      <c r="T409" s="30" t="n"/>
      <c r="U409" s="170">
        <f>-(U330-N(U325)-N(U326))</f>
        <v/>
      </c>
      <c r="V409" s="30" t="n"/>
      <c r="W409" s="30" t="n"/>
      <c r="X409" s="29" t="n"/>
      <c r="Y409" s="30" t="n"/>
      <c r="Z409" s="30" t="n"/>
      <c r="AA409" s="170">
        <f>-(AA330-N(AA325)-N(AA326))</f>
        <v/>
      </c>
      <c r="AB409" s="30" t="n"/>
      <c r="AC409" s="30" t="n"/>
      <c r="AD409" s="29" t="n"/>
      <c r="AE409" s="30" t="n"/>
      <c r="AF409" s="30" t="n"/>
      <c r="AG409" s="170">
        <f>-(AG330-N(AG325)-N(AG326))</f>
        <v/>
      </c>
      <c r="AH409" s="30" t="n"/>
      <c r="AI409" s="30" t="n"/>
      <c r="AJ409" s="29" t="n"/>
      <c r="AK409" s="30" t="n"/>
      <c r="AL409" s="30" t="n"/>
      <c r="AM409" s="170">
        <f>-(AM330-N(AM325)-N(AM326))</f>
        <v/>
      </c>
      <c r="AN409" s="30" t="n"/>
      <c r="AO409" s="30" t="n"/>
      <c r="AP409" s="29" t="n"/>
      <c r="AQ409" s="30" t="n"/>
      <c r="AR409" s="30" t="n"/>
      <c r="AS409" s="170">
        <f>-(AS330-N(AS325)-N(AS326))</f>
        <v/>
      </c>
      <c r="AT409" s="30" t="n"/>
      <c r="AU409" s="30" t="n"/>
      <c r="AV409" s="29" t="n"/>
      <c r="AW409" s="30" t="n"/>
      <c r="AX409" s="30" t="n"/>
      <c r="AY409" s="170">
        <f>-(AY330-N(AY325)-N(AY326))</f>
        <v/>
      </c>
      <c r="AZ409" s="30" t="n"/>
      <c r="BA409" s="30" t="n"/>
      <c r="BB409" s="29" t="n"/>
      <c r="BC409" s="30" t="n"/>
      <c r="BD409" s="30" t="n"/>
      <c r="BE409" s="170">
        <f>-(BE330-N(BE325)-N(BE326))</f>
        <v/>
      </c>
      <c r="BF409" s="30" t="n"/>
      <c r="BG409" s="30" t="n"/>
      <c r="BH409" s="29" t="n"/>
      <c r="BI409" s="30" t="n"/>
      <c r="BJ409" s="30" t="n"/>
      <c r="BK409" s="170">
        <f>-(BK330-N(BK325)-N(BK326))</f>
        <v/>
      </c>
      <c r="BL409" s="30" t="n"/>
      <c r="BM409" s="30" t="n"/>
      <c r="BN409" s="29" t="n"/>
      <c r="BO409" s="30" t="n"/>
      <c r="BP409" s="30" t="n"/>
      <c r="BQ409" s="170">
        <f>-(BQ330-N(BQ325)-N(BQ326))</f>
        <v/>
      </c>
      <c r="BR409" s="30" t="n"/>
      <c r="BS409" s="30" t="n"/>
      <c r="BT409" s="29" t="n"/>
      <c r="BU409" s="30" t="n"/>
      <c r="BV409" s="30" t="n"/>
      <c r="BW409" s="170">
        <f>-(BW330-N(BW325)-N(BW326))</f>
        <v/>
      </c>
      <c r="BX409" s="30" t="n"/>
      <c r="BY409" s="30" t="n"/>
      <c r="BZ409" s="29" t="n"/>
      <c r="CA409" s="30" t="n"/>
      <c r="CB409" s="30" t="n"/>
      <c r="CC409" s="170">
        <f>-(CC330-N(CC325)-N(CC326))</f>
        <v/>
      </c>
      <c r="CD409" s="30" t="n"/>
      <c r="CE409" s="30" t="n"/>
      <c r="CF409" s="29" t="n"/>
      <c r="CG409" s="30" t="n"/>
      <c r="CH409" s="30" t="n"/>
      <c r="CI409" s="170">
        <f>-(CI330-N(CI325)-N(CI326))</f>
        <v/>
      </c>
      <c r="CJ409" s="30" t="n"/>
      <c r="CK409" s="30" t="n"/>
      <c r="CL409" s="170">
        <f>-(CL330-N(CL325)-N(CL326))</f>
        <v/>
      </c>
      <c r="CM409" s="31" t="n"/>
      <c r="CN409" s="31" t="n"/>
      <c r="CO409" s="171">
        <f>-(CO330-N(CO325)-N(CO326))</f>
        <v/>
      </c>
      <c r="CP409" s="171">
        <f>-(CP330-N(CP325)-N(CP326))</f>
        <v/>
      </c>
      <c r="CQ409" s="171">
        <f>-(CQ330-N(CQ325)-N(CQ326))</f>
        <v/>
      </c>
      <c r="CR409" s="171">
        <f>-(CR330-N(CR325)-N(CR326))</f>
        <v/>
      </c>
      <c r="CS409" s="171">
        <f>-(CS330-N(CS325)-N(CS326))</f>
        <v/>
      </c>
      <c r="CT409" s="22" t="n"/>
      <c r="CV409" s="23" t="n"/>
      <c r="CW409" s="23" t="n"/>
      <c r="CX409" s="23" t="n"/>
      <c r="CY409" s="23" t="n"/>
    </row>
    <row r="410" ht="15" customHeight="1">
      <c r="B410" s="12" t="inlineStr">
        <is>
          <t xml:space="preserve">  = Net tangible assets</t>
        </is>
      </c>
      <c r="C410" s="170">
        <f>SUM(C407:C409)</f>
        <v/>
      </c>
      <c r="D410" s="170">
        <f>SUM(D407:D409)</f>
        <v/>
      </c>
      <c r="E410" s="170">
        <f>SUM(E407:E409)</f>
        <v/>
      </c>
      <c r="F410" s="170">
        <f>SUM(F407:F409)</f>
        <v/>
      </c>
      <c r="G410" s="170">
        <f>SUM(G407:G409)</f>
        <v/>
      </c>
      <c r="H410" s="170">
        <f>SUM(H407:H409)</f>
        <v/>
      </c>
      <c r="I410" s="170">
        <f>SUM(I407:I409)</f>
        <v/>
      </c>
      <c r="J410" s="30" t="n"/>
      <c r="K410" s="30" t="n"/>
      <c r="L410" s="29" t="n"/>
      <c r="M410" s="30" t="n"/>
      <c r="N410" s="30" t="n"/>
      <c r="O410" s="170">
        <f>SUM(O407:O409)</f>
        <v/>
      </c>
      <c r="P410" s="30" t="n"/>
      <c r="Q410" s="30" t="n"/>
      <c r="R410" s="29" t="n"/>
      <c r="S410" s="30" t="n"/>
      <c r="T410" s="30" t="n"/>
      <c r="U410" s="170">
        <f>SUM(U407:U409)</f>
        <v/>
      </c>
      <c r="V410" s="30" t="n"/>
      <c r="W410" s="30" t="n"/>
      <c r="X410" s="29" t="n"/>
      <c r="Y410" s="30" t="n"/>
      <c r="Z410" s="30" t="n"/>
      <c r="AA410" s="170">
        <f>SUM(AA407:AA409)</f>
        <v/>
      </c>
      <c r="AB410" s="30" t="n"/>
      <c r="AC410" s="30" t="n"/>
      <c r="AD410" s="29" t="n"/>
      <c r="AE410" s="30" t="n"/>
      <c r="AF410" s="30" t="n"/>
      <c r="AG410" s="170">
        <f>SUM(AG407:AG409)</f>
        <v/>
      </c>
      <c r="AH410" s="30" t="n"/>
      <c r="AI410" s="30" t="n"/>
      <c r="AJ410" s="29" t="n"/>
      <c r="AK410" s="30" t="n"/>
      <c r="AL410" s="30" t="n"/>
      <c r="AM410" s="170">
        <f>SUM(AM407:AM409)</f>
        <v/>
      </c>
      <c r="AN410" s="30" t="n"/>
      <c r="AO410" s="30" t="n"/>
      <c r="AP410" s="29" t="n"/>
      <c r="AQ410" s="30" t="n"/>
      <c r="AR410" s="30" t="n"/>
      <c r="AS410" s="170">
        <f>SUM(AS407:AS409)</f>
        <v/>
      </c>
      <c r="AT410" s="30" t="n"/>
      <c r="AU410" s="30" t="n"/>
      <c r="AV410" s="29" t="n"/>
      <c r="AW410" s="30" t="n"/>
      <c r="AX410" s="30" t="n"/>
      <c r="AY410" s="170">
        <f>SUM(AY407:AY409)</f>
        <v/>
      </c>
      <c r="AZ410" s="30" t="n"/>
      <c r="BA410" s="30" t="n"/>
      <c r="BB410" s="29" t="n"/>
      <c r="BC410" s="30" t="n"/>
      <c r="BD410" s="30" t="n"/>
      <c r="BE410" s="170">
        <f>SUM(BE407:BE409)</f>
        <v/>
      </c>
      <c r="BF410" s="30" t="n"/>
      <c r="BG410" s="30" t="n"/>
      <c r="BH410" s="29" t="n"/>
      <c r="BI410" s="30" t="n"/>
      <c r="BJ410" s="30" t="n"/>
      <c r="BK410" s="170">
        <f>SUM(BK407:BK409)</f>
        <v/>
      </c>
      <c r="BL410" s="30" t="n"/>
      <c r="BM410" s="30" t="n"/>
      <c r="BN410" s="29" t="n"/>
      <c r="BO410" s="30" t="n"/>
      <c r="BP410" s="30" t="n"/>
      <c r="BQ410" s="170">
        <f>SUM(BQ407:BQ409)</f>
        <v/>
      </c>
      <c r="BR410" s="30" t="n"/>
      <c r="BS410" s="30" t="n"/>
      <c r="BT410" s="29" t="n"/>
      <c r="BU410" s="30" t="n"/>
      <c r="BV410" s="30" t="n"/>
      <c r="BW410" s="170">
        <f>SUM(BW407:BW409)</f>
        <v/>
      </c>
      <c r="BX410" s="30" t="n"/>
      <c r="BY410" s="30" t="n"/>
      <c r="BZ410" s="29" t="n"/>
      <c r="CA410" s="30" t="n"/>
      <c r="CB410" s="30" t="n"/>
      <c r="CC410" s="170">
        <f>SUM(CC407:CC409)</f>
        <v/>
      </c>
      <c r="CD410" s="30" t="n"/>
      <c r="CE410" s="30" t="n"/>
      <c r="CF410" s="29" t="n"/>
      <c r="CG410" s="30" t="n"/>
      <c r="CH410" s="30" t="n"/>
      <c r="CI410" s="170">
        <f>SUM(CI407:CI409)</f>
        <v/>
      </c>
      <c r="CJ410" s="30" t="n"/>
      <c r="CK410" s="30" t="n"/>
      <c r="CL410" s="170">
        <f>SUM(CL407:CL409)</f>
        <v/>
      </c>
      <c r="CM410" s="31" t="n"/>
      <c r="CN410" s="31" t="n"/>
      <c r="CO410" s="171">
        <f>SUM(CO407:CO409)</f>
        <v/>
      </c>
      <c r="CP410" s="171">
        <f>SUM(CP407:CP409)</f>
        <v/>
      </c>
      <c r="CQ410" s="171">
        <f>SUM(CQ407:CQ409)</f>
        <v/>
      </c>
      <c r="CR410" s="171">
        <f>SUM(CR407:CR409)</f>
        <v/>
      </c>
      <c r="CS410" s="171">
        <f>SUM(CS407:CS409)</f>
        <v/>
      </c>
      <c r="CT410" s="22" t="n"/>
      <c r="CV410" s="23" t="n"/>
      <c r="CW410" s="23" t="n"/>
      <c r="CX410" s="23" t="n"/>
      <c r="CY410" s="23" t="n"/>
    </row>
    <row r="411" ht="15" customHeight="1">
      <c r="B411" s="33" t="inlineStr">
        <is>
          <t>RONTA = NOPAT / NTA</t>
        </is>
      </c>
      <c r="C411" s="201">
        <f>IFERROR(C406/C410,"n/a")</f>
        <v/>
      </c>
      <c r="D411" s="201">
        <f>IFERROR(D406/D410,"n/a")</f>
        <v/>
      </c>
      <c r="E411" s="201">
        <f>IFERROR(E406/E410,"n/a")</f>
        <v/>
      </c>
      <c r="F411" s="201">
        <f>IFERROR(F406/F410,"n/a")</f>
        <v/>
      </c>
      <c r="G411" s="201">
        <f>IFERROR(G406/G410,"n/a")</f>
        <v/>
      </c>
      <c r="H411" s="201">
        <f>IFERROR(H406/H410,"n/a")</f>
        <v/>
      </c>
      <c r="I411" s="201">
        <f>IFERROR(I406/I410,"n/a")</f>
        <v/>
      </c>
      <c r="J411" s="68" t="n"/>
      <c r="K411" s="68" t="n"/>
      <c r="L411" s="68" t="n"/>
      <c r="M411" s="68" t="n"/>
      <c r="N411" s="68" t="n"/>
      <c r="O411" s="201">
        <f>IFERROR(O406/O410,"n/a")</f>
        <v/>
      </c>
      <c r="P411" s="68" t="n"/>
      <c r="Q411" s="68" t="n"/>
      <c r="R411" s="68" t="n"/>
      <c r="S411" s="68" t="n"/>
      <c r="T411" s="68" t="n"/>
      <c r="U411" s="201">
        <f>IFERROR(U406/U410,"n/a")</f>
        <v/>
      </c>
      <c r="V411" s="68" t="n"/>
      <c r="W411" s="68" t="n"/>
      <c r="X411" s="68" t="n"/>
      <c r="Y411" s="68" t="n"/>
      <c r="Z411" s="68" t="n"/>
      <c r="AA411" s="201">
        <f>IFERROR(AA406/AA410,"n/a")</f>
        <v/>
      </c>
      <c r="AB411" s="68" t="n"/>
      <c r="AC411" s="68" t="n"/>
      <c r="AD411" s="68" t="n"/>
      <c r="AE411" s="68" t="n"/>
      <c r="AF411" s="68" t="n"/>
      <c r="AG411" s="201">
        <f>IFERROR(AG406/AG410,"n/a")</f>
        <v/>
      </c>
      <c r="AH411" s="68" t="n"/>
      <c r="AI411" s="68" t="n"/>
      <c r="AJ411" s="68" t="n"/>
      <c r="AK411" s="68" t="n"/>
      <c r="AL411" s="68" t="n"/>
      <c r="AM411" s="201">
        <f>IFERROR(AM406/AM410,"n/a")</f>
        <v/>
      </c>
      <c r="AN411" s="68" t="n"/>
      <c r="AO411" s="68" t="n"/>
      <c r="AP411" s="68" t="n"/>
      <c r="AQ411" s="68" t="n"/>
      <c r="AR411" s="68" t="n"/>
      <c r="AS411" s="201">
        <f>IFERROR(AS406/AS410,"n/a")</f>
        <v/>
      </c>
      <c r="AT411" s="68" t="n"/>
      <c r="AU411" s="68" t="n"/>
      <c r="AV411" s="68" t="n"/>
      <c r="AW411" s="68" t="n"/>
      <c r="AX411" s="68" t="n"/>
      <c r="AY411" s="201">
        <f>IFERROR(AY406/AY410,"n/a")</f>
        <v/>
      </c>
      <c r="AZ411" s="68" t="n"/>
      <c r="BA411" s="68" t="n"/>
      <c r="BB411" s="68" t="n"/>
      <c r="BC411" s="68" t="n"/>
      <c r="BD411" s="68" t="n"/>
      <c r="BE411" s="201">
        <f>IFERROR(BE406/BE410,"n/a")</f>
        <v/>
      </c>
      <c r="BF411" s="68" t="n"/>
      <c r="BG411" s="68" t="n"/>
      <c r="BH411" s="68" t="n"/>
      <c r="BI411" s="68" t="n"/>
      <c r="BJ411" s="68" t="n"/>
      <c r="BK411" s="201">
        <f>IFERROR(BK406/BK410,"n/a")</f>
        <v/>
      </c>
      <c r="BL411" s="68" t="n"/>
      <c r="BM411" s="68" t="n"/>
      <c r="BN411" s="68" t="n"/>
      <c r="BO411" s="68" t="n"/>
      <c r="BP411" s="68" t="n"/>
      <c r="BQ411" s="201">
        <f>IFERROR(BQ406/BQ410,"n/a")</f>
        <v/>
      </c>
      <c r="BR411" s="68" t="n"/>
      <c r="BS411" s="68" t="n"/>
      <c r="BT411" s="68" t="n"/>
      <c r="BU411" s="68" t="n"/>
      <c r="BV411" s="68" t="n"/>
      <c r="BW411" s="201">
        <f>IFERROR(BW406/BW410,"n/a")</f>
        <v/>
      </c>
      <c r="BX411" s="68" t="n"/>
      <c r="BY411" s="68" t="n"/>
      <c r="BZ411" s="68" t="n"/>
      <c r="CA411" s="68" t="n"/>
      <c r="CB411" s="68" t="n"/>
      <c r="CC411" s="201">
        <f>IFERROR(CC406/CC410,"n/a")</f>
        <v/>
      </c>
      <c r="CD411" s="68" t="n"/>
      <c r="CE411" s="68" t="n"/>
      <c r="CF411" s="68" t="n"/>
      <c r="CG411" s="68" t="n"/>
      <c r="CH411" s="68" t="n"/>
      <c r="CI411" s="201">
        <f>IFERROR(CI406/CI410,"n/a")</f>
        <v/>
      </c>
      <c r="CJ411" s="68" t="n"/>
      <c r="CK411" s="68" t="n"/>
      <c r="CL411" s="202">
        <f>IFERROR(CL406/CL410,"n/a")</f>
        <v/>
      </c>
      <c r="CM411" s="67" t="n"/>
      <c r="CN411" s="67" t="n"/>
      <c r="CO411" s="201">
        <f>IFERROR(CO406/CO410,"n/a")</f>
        <v/>
      </c>
      <c r="CP411" s="201">
        <f>IFERROR(CP406/CP410,"n/a")</f>
        <v/>
      </c>
      <c r="CQ411" s="201">
        <f>IFERROR(CQ406/CQ410,"n/a")</f>
        <v/>
      </c>
      <c r="CR411" s="201">
        <f>IFERROR(CR406/CR410,"n/a")</f>
        <v/>
      </c>
      <c r="CS411" s="201">
        <f>IFERROR(CS406/CS410,"n/a")</f>
        <v/>
      </c>
      <c r="CT411" s="22" t="n"/>
      <c r="CV411" s="40">
        <f>IFERROR(AVERAGE(CO411,CP411,CQ411,CR411,CS411),"n/m")</f>
        <v/>
      </c>
      <c r="CW411" s="40">
        <f>IFERROR(AVERAGE(BK411,BQ411,BW411,CC411,CI411),"n/m")</f>
        <v/>
      </c>
      <c r="CX411" s="40">
        <f>IFERROR(AVERAGE(AG411,AM411,AS411,AY411,BE411,BK411,BQ411,BW411,CC411,CI411),"n/m")</f>
        <v/>
      </c>
      <c r="CY411" s="40">
        <f>IFERROR(AVERAGE(C411,D411,E411,F411,G411,H411,I411,O411,U411,AA411,AG411,AM411,AS411,AY411,BE411,BK411,BQ411,BW411,CC411,CI411),"n/m")</f>
        <v/>
      </c>
    </row>
    <row r="412" ht="15" customHeight="1">
      <c r="B412" s="12" t="n"/>
      <c r="CM412" s="6" t="n"/>
      <c r="CN412" s="6" t="n"/>
      <c r="CO412" s="6" t="n"/>
      <c r="CP412" s="6" t="n"/>
      <c r="CQ412" s="6" t="n"/>
      <c r="CR412" s="6" t="n"/>
      <c r="CS412" s="6" t="n"/>
      <c r="CT412" s="6" t="n"/>
    </row>
    <row r="413" ht="15" customHeight="1">
      <c r="B413" s="12" t="inlineStr">
        <is>
          <t>Return on Equity (ROE)</t>
        </is>
      </c>
      <c r="C413" s="29" t="n"/>
      <c r="D413" s="29" t="n"/>
      <c r="E413" s="30" t="n"/>
      <c r="F413" s="30" t="n"/>
      <c r="G413" s="30" t="n"/>
      <c r="H413" s="30" t="n"/>
      <c r="I413" s="30" t="n"/>
      <c r="J413" s="30" t="n"/>
      <c r="K413" s="30" t="n"/>
      <c r="L413" s="29" t="n"/>
      <c r="M413" s="30" t="n"/>
      <c r="N413" s="30" t="n"/>
      <c r="O413" s="30" t="n"/>
      <c r="P413" s="30" t="n"/>
      <c r="Q413" s="30" t="n"/>
      <c r="R413" s="29" t="n"/>
      <c r="S413" s="30" t="n"/>
      <c r="T413" s="30" t="n"/>
      <c r="U413" s="30" t="n"/>
      <c r="V413" s="30" t="n"/>
      <c r="W413" s="30" t="n"/>
      <c r="X413" s="29" t="n"/>
      <c r="Y413" s="30" t="n"/>
      <c r="Z413" s="30" t="n"/>
      <c r="AA413" s="30" t="n"/>
      <c r="AB413" s="30" t="n"/>
      <c r="AC413" s="30" t="n"/>
      <c r="AD413" s="29" t="n"/>
      <c r="AE413" s="30" t="n"/>
      <c r="AF413" s="30" t="n"/>
      <c r="AG413" s="30" t="n"/>
      <c r="AH413" s="30" t="n"/>
      <c r="AI413" s="30" t="n"/>
      <c r="AJ413" s="29" t="n"/>
      <c r="AK413" s="30" t="n"/>
      <c r="AL413" s="30" t="n"/>
      <c r="AM413" s="30" t="n"/>
      <c r="AN413" s="30" t="n"/>
      <c r="AO413" s="30" t="n"/>
      <c r="AP413" s="29" t="n"/>
      <c r="AQ413" s="30" t="n"/>
      <c r="AR413" s="30" t="n"/>
      <c r="AS413" s="30" t="n"/>
      <c r="AT413" s="30" t="n"/>
      <c r="AU413" s="30" t="n"/>
      <c r="AV413" s="29" t="n"/>
      <c r="AW413" s="30" t="n"/>
      <c r="AX413" s="30" t="n"/>
      <c r="AY413" s="30" t="n"/>
      <c r="AZ413" s="30" t="n"/>
      <c r="BA413" s="30" t="n"/>
      <c r="BB413" s="29" t="n"/>
      <c r="BC413" s="30" t="n"/>
      <c r="BD413" s="30" t="n"/>
      <c r="BE413" s="30" t="n"/>
      <c r="BF413" s="30" t="n"/>
      <c r="BG413" s="30" t="n"/>
      <c r="BH413" s="29" t="n"/>
      <c r="BI413" s="30" t="n"/>
      <c r="BJ413" s="30" t="n"/>
      <c r="BK413" s="30" t="n"/>
      <c r="BL413" s="30" t="n"/>
      <c r="BM413" s="30" t="n"/>
      <c r="BN413" s="29" t="n"/>
      <c r="BO413" s="30" t="n"/>
      <c r="BP413" s="30" t="n"/>
      <c r="BQ413" s="30" t="n"/>
      <c r="BR413" s="30" t="n"/>
      <c r="BS413" s="30" t="n"/>
      <c r="BT413" s="29" t="n"/>
      <c r="BU413" s="30" t="n"/>
      <c r="BV413" s="30" t="n"/>
      <c r="BW413" s="30" t="n"/>
      <c r="BX413" s="30" t="n"/>
      <c r="BY413" s="30" t="n"/>
      <c r="BZ413" s="29" t="n"/>
      <c r="CA413" s="30" t="n"/>
      <c r="CB413" s="30" t="n"/>
      <c r="CC413" s="30" t="n"/>
      <c r="CD413" s="30" t="n"/>
      <c r="CE413" s="30" t="n"/>
      <c r="CF413" s="29" t="n"/>
      <c r="CG413" s="30" t="n"/>
      <c r="CH413" s="30" t="n"/>
      <c r="CI413" s="30" t="n"/>
      <c r="CJ413" s="30" t="n"/>
      <c r="CK413" s="30" t="n"/>
      <c r="CL413" s="29" t="n"/>
      <c r="CM413" s="31" t="n"/>
      <c r="CN413" s="31" t="n"/>
      <c r="CO413" s="31" t="n"/>
      <c r="CP413" s="31" t="n"/>
      <c r="CQ413" s="31" t="n"/>
      <c r="CR413" s="31" t="n"/>
      <c r="CS413" s="31" t="n"/>
      <c r="CT413" s="22" t="n"/>
      <c r="CV413" s="23" t="n"/>
      <c r="CW413" s="23" t="n"/>
      <c r="CX413" s="23" t="n"/>
      <c r="CY413" s="23" t="n"/>
    </row>
    <row r="414" ht="15" customHeight="1">
      <c r="B414" s="12" t="inlineStr">
        <is>
          <t>Net earnings attributable to Vulcan</t>
        </is>
      </c>
      <c r="C414" s="170">
        <f>C155*1</f>
        <v/>
      </c>
      <c r="D414" s="170">
        <f>D155*1</f>
        <v/>
      </c>
      <c r="E414" s="170">
        <f>E155*1</f>
        <v/>
      </c>
      <c r="F414" s="170">
        <f>F155*1</f>
        <v/>
      </c>
      <c r="G414" s="170">
        <f>G155*1</f>
        <v/>
      </c>
      <c r="H414" s="170">
        <f>H155*1</f>
        <v/>
      </c>
      <c r="I414" s="170">
        <f>I155*1</f>
        <v/>
      </c>
      <c r="J414" s="30" t="n"/>
      <c r="K414" s="30" t="n"/>
      <c r="L414" s="29" t="n"/>
      <c r="M414" s="30" t="n"/>
      <c r="N414" s="30" t="n"/>
      <c r="O414" s="170">
        <f>O155*1</f>
        <v/>
      </c>
      <c r="P414" s="30" t="n"/>
      <c r="Q414" s="30" t="n"/>
      <c r="R414" s="29" t="n"/>
      <c r="S414" s="30" t="n"/>
      <c r="T414" s="30" t="n"/>
      <c r="U414" s="170">
        <f>U155*1</f>
        <v/>
      </c>
      <c r="V414" s="30" t="n"/>
      <c r="W414" s="30" t="n"/>
      <c r="X414" s="29" t="n"/>
      <c r="Y414" s="30" t="n"/>
      <c r="Z414" s="30" t="n"/>
      <c r="AA414" s="170">
        <f>AA155*1</f>
        <v/>
      </c>
      <c r="AB414" s="30" t="n"/>
      <c r="AC414" s="30" t="n"/>
      <c r="AD414" s="29" t="n"/>
      <c r="AE414" s="30" t="n"/>
      <c r="AF414" s="30" t="n"/>
      <c r="AG414" s="170">
        <f>AG155*1</f>
        <v/>
      </c>
      <c r="AH414" s="30" t="n"/>
      <c r="AI414" s="30" t="n"/>
      <c r="AJ414" s="29" t="n"/>
      <c r="AK414" s="30" t="n"/>
      <c r="AL414" s="30" t="n"/>
      <c r="AM414" s="170">
        <f>AM155*1</f>
        <v/>
      </c>
      <c r="AN414" s="30" t="n"/>
      <c r="AO414" s="30" t="n"/>
      <c r="AP414" s="29" t="n"/>
      <c r="AQ414" s="30" t="n"/>
      <c r="AR414" s="30" t="n"/>
      <c r="AS414" s="170">
        <f>AS155*1</f>
        <v/>
      </c>
      <c r="AT414" s="30" t="n"/>
      <c r="AU414" s="30" t="n"/>
      <c r="AV414" s="29" t="n"/>
      <c r="AW414" s="30" t="n"/>
      <c r="AX414" s="30" t="n"/>
      <c r="AY414" s="170">
        <f>AY155*1</f>
        <v/>
      </c>
      <c r="AZ414" s="30" t="n"/>
      <c r="BA414" s="30" t="n"/>
      <c r="BB414" s="29" t="n"/>
      <c r="BC414" s="30" t="n"/>
      <c r="BD414" s="30" t="n"/>
      <c r="BE414" s="170">
        <f>BE155*1</f>
        <v/>
      </c>
      <c r="BF414" s="30" t="n"/>
      <c r="BG414" s="30" t="n"/>
      <c r="BH414" s="29" t="n"/>
      <c r="BI414" s="30" t="n"/>
      <c r="BJ414" s="30" t="n"/>
      <c r="BK414" s="170">
        <f>BK155*1</f>
        <v/>
      </c>
      <c r="BL414" s="30" t="n"/>
      <c r="BM414" s="30" t="n"/>
      <c r="BN414" s="29" t="n"/>
      <c r="BO414" s="30" t="n"/>
      <c r="BP414" s="30" t="n"/>
      <c r="BQ414" s="170">
        <f>BQ155*1</f>
        <v/>
      </c>
      <c r="BR414" s="30" t="n"/>
      <c r="BS414" s="30" t="n"/>
      <c r="BT414" s="29" t="n"/>
      <c r="BU414" s="30" t="n"/>
      <c r="BV414" s="30" t="n"/>
      <c r="BW414" s="170">
        <f>BW155*1</f>
        <v/>
      </c>
      <c r="BX414" s="30" t="n"/>
      <c r="BY414" s="30" t="n"/>
      <c r="BZ414" s="29" t="n"/>
      <c r="CA414" s="30" t="n"/>
      <c r="CB414" s="30" t="n"/>
      <c r="CC414" s="170">
        <f>CC155*1</f>
        <v/>
      </c>
      <c r="CD414" s="30" t="n"/>
      <c r="CE414" s="30" t="n"/>
      <c r="CF414" s="29" t="n"/>
      <c r="CG414" s="30" t="n"/>
      <c r="CH414" s="30" t="n"/>
      <c r="CI414" s="170">
        <f>CI155*1</f>
        <v/>
      </c>
      <c r="CJ414" s="30" t="n"/>
      <c r="CK414" s="30" t="n"/>
      <c r="CL414" s="170">
        <f>CL155*2</f>
        <v/>
      </c>
      <c r="CM414" s="31" t="n"/>
      <c r="CN414" s="31" t="n"/>
      <c r="CO414" s="171">
        <f>CO155*1</f>
        <v/>
      </c>
      <c r="CP414" s="171">
        <f>CP155*1</f>
        <v/>
      </c>
      <c r="CQ414" s="171">
        <f>CQ155*1</f>
        <v/>
      </c>
      <c r="CR414" s="171">
        <f>CR155*1</f>
        <v/>
      </c>
      <c r="CS414" s="171">
        <f>CS155*1</f>
        <v/>
      </c>
      <c r="CT414" s="22" t="n"/>
      <c r="CV414" s="23" t="n"/>
      <c r="CW414" s="23" t="n"/>
      <c r="CX414" s="23" t="n"/>
      <c r="CY414" s="23" t="n"/>
    </row>
    <row r="415" ht="15" customHeight="1">
      <c r="B415" s="12" t="inlineStr">
        <is>
          <t>Vulcan shareholders' equity</t>
        </is>
      </c>
      <c r="C415" s="170">
        <f>C343</f>
        <v/>
      </c>
      <c r="D415" s="170">
        <f>D343</f>
        <v/>
      </c>
      <c r="E415" s="170">
        <f>E343</f>
        <v/>
      </c>
      <c r="F415" s="170">
        <f>F343</f>
        <v/>
      </c>
      <c r="G415" s="170">
        <f>G343</f>
        <v/>
      </c>
      <c r="H415" s="170">
        <f>H343</f>
        <v/>
      </c>
      <c r="I415" s="170">
        <f>I343</f>
        <v/>
      </c>
      <c r="J415" s="30" t="n"/>
      <c r="K415" s="30" t="n"/>
      <c r="L415" s="29" t="n"/>
      <c r="M415" s="30" t="n"/>
      <c r="N415" s="30" t="n"/>
      <c r="O415" s="170">
        <f>O343</f>
        <v/>
      </c>
      <c r="P415" s="30" t="n"/>
      <c r="Q415" s="30" t="n"/>
      <c r="R415" s="29" t="n"/>
      <c r="S415" s="30" t="n"/>
      <c r="T415" s="30" t="n"/>
      <c r="U415" s="170">
        <f>U343</f>
        <v/>
      </c>
      <c r="V415" s="30" t="n"/>
      <c r="W415" s="30" t="n"/>
      <c r="X415" s="29" t="n"/>
      <c r="Y415" s="30" t="n"/>
      <c r="Z415" s="30" t="n"/>
      <c r="AA415" s="170">
        <f>AA343</f>
        <v/>
      </c>
      <c r="AB415" s="30" t="n"/>
      <c r="AC415" s="30" t="n"/>
      <c r="AD415" s="29" t="n"/>
      <c r="AE415" s="30" t="n"/>
      <c r="AF415" s="30" t="n"/>
      <c r="AG415" s="170">
        <f>AG343</f>
        <v/>
      </c>
      <c r="AH415" s="30" t="n"/>
      <c r="AI415" s="30" t="n"/>
      <c r="AJ415" s="29" t="n"/>
      <c r="AK415" s="30" t="n"/>
      <c r="AL415" s="30" t="n"/>
      <c r="AM415" s="170">
        <f>AM343</f>
        <v/>
      </c>
      <c r="AN415" s="30" t="n"/>
      <c r="AO415" s="30" t="n"/>
      <c r="AP415" s="29" t="n"/>
      <c r="AQ415" s="30" t="n"/>
      <c r="AR415" s="30" t="n"/>
      <c r="AS415" s="170">
        <f>AS343</f>
        <v/>
      </c>
      <c r="AT415" s="30" t="n"/>
      <c r="AU415" s="30" t="n"/>
      <c r="AV415" s="29" t="n"/>
      <c r="AW415" s="30" t="n"/>
      <c r="AX415" s="30" t="n"/>
      <c r="AY415" s="170">
        <f>AY343</f>
        <v/>
      </c>
      <c r="AZ415" s="30" t="n"/>
      <c r="BA415" s="30" t="n"/>
      <c r="BB415" s="29" t="n"/>
      <c r="BC415" s="30" t="n"/>
      <c r="BD415" s="30" t="n"/>
      <c r="BE415" s="170">
        <f>BE343</f>
        <v/>
      </c>
      <c r="BF415" s="30" t="n"/>
      <c r="BG415" s="30" t="n"/>
      <c r="BH415" s="29" t="n"/>
      <c r="BI415" s="30" t="n"/>
      <c r="BJ415" s="30" t="n"/>
      <c r="BK415" s="170">
        <f>BK343</f>
        <v/>
      </c>
      <c r="BL415" s="30" t="n"/>
      <c r="BM415" s="30" t="n"/>
      <c r="BN415" s="29" t="n"/>
      <c r="BO415" s="30" t="n"/>
      <c r="BP415" s="30" t="n"/>
      <c r="BQ415" s="170">
        <f>BQ343</f>
        <v/>
      </c>
      <c r="BR415" s="30" t="n"/>
      <c r="BS415" s="30" t="n"/>
      <c r="BT415" s="29" t="n"/>
      <c r="BU415" s="30" t="n"/>
      <c r="BV415" s="30" t="n"/>
      <c r="BW415" s="170">
        <f>BW343</f>
        <v/>
      </c>
      <c r="BX415" s="30" t="n"/>
      <c r="BY415" s="30" t="n"/>
      <c r="BZ415" s="29" t="n"/>
      <c r="CA415" s="30" t="n"/>
      <c r="CB415" s="30" t="n"/>
      <c r="CC415" s="170">
        <f>CC343</f>
        <v/>
      </c>
      <c r="CD415" s="30" t="n"/>
      <c r="CE415" s="30" t="n"/>
      <c r="CF415" s="29" t="n"/>
      <c r="CG415" s="30" t="n"/>
      <c r="CH415" s="30" t="n"/>
      <c r="CI415" s="170">
        <f>CI343</f>
        <v/>
      </c>
      <c r="CJ415" s="30" t="n"/>
      <c r="CK415" s="30" t="n"/>
      <c r="CL415" s="170">
        <f>CL343</f>
        <v/>
      </c>
      <c r="CM415" s="31" t="n"/>
      <c r="CN415" s="31" t="n"/>
      <c r="CO415" s="171">
        <f>CO343</f>
        <v/>
      </c>
      <c r="CP415" s="171">
        <f>CP343</f>
        <v/>
      </c>
      <c r="CQ415" s="171">
        <f>CQ343</f>
        <v/>
      </c>
      <c r="CR415" s="171">
        <f>CR343</f>
        <v/>
      </c>
      <c r="CS415" s="171">
        <f>CS343</f>
        <v/>
      </c>
      <c r="CT415" s="22" t="n"/>
      <c r="CV415" s="23" t="n"/>
      <c r="CW415" s="23" t="n"/>
      <c r="CX415" s="23" t="n"/>
      <c r="CY415" s="23" t="n"/>
    </row>
    <row r="416" ht="15" customHeight="1">
      <c r="B416" s="33" t="inlineStr">
        <is>
          <t>ROE = NI / Equity</t>
        </is>
      </c>
      <c r="C416" s="201">
        <f>IFERROR(C414/C415,"n/a")</f>
        <v/>
      </c>
      <c r="D416" s="201">
        <f>IFERROR(D414/D415,"n/a")</f>
        <v/>
      </c>
      <c r="E416" s="201">
        <f>IFERROR(E414/E415,"n/a")</f>
        <v/>
      </c>
      <c r="F416" s="201">
        <f>IFERROR(F414/F415,"n/a")</f>
        <v/>
      </c>
      <c r="G416" s="201">
        <f>IFERROR(G414/G415,"n/a")</f>
        <v/>
      </c>
      <c r="H416" s="201">
        <f>IFERROR(H414/H415,"n/a")</f>
        <v/>
      </c>
      <c r="I416" s="201">
        <f>IFERROR(I414/I415,"n/a")</f>
        <v/>
      </c>
      <c r="J416" s="68" t="n"/>
      <c r="K416" s="68" t="n"/>
      <c r="L416" s="68" t="n"/>
      <c r="M416" s="68" t="n"/>
      <c r="N416" s="68" t="n"/>
      <c r="O416" s="201">
        <f>IFERROR(O414/O415,"n/a")</f>
        <v/>
      </c>
      <c r="P416" s="68" t="n"/>
      <c r="Q416" s="68" t="n"/>
      <c r="R416" s="68" t="n"/>
      <c r="S416" s="68" t="n"/>
      <c r="T416" s="68" t="n"/>
      <c r="U416" s="201">
        <f>IFERROR(U414/U415,"n/a")</f>
        <v/>
      </c>
      <c r="V416" s="68" t="n"/>
      <c r="W416" s="68" t="n"/>
      <c r="X416" s="68" t="n"/>
      <c r="Y416" s="68" t="n"/>
      <c r="Z416" s="68" t="n"/>
      <c r="AA416" s="201">
        <f>IFERROR(AA414/AA415,"n/a")</f>
        <v/>
      </c>
      <c r="AB416" s="68" t="n"/>
      <c r="AC416" s="68" t="n"/>
      <c r="AD416" s="68" t="n"/>
      <c r="AE416" s="68" t="n"/>
      <c r="AF416" s="68" t="n"/>
      <c r="AG416" s="201">
        <f>IFERROR(AG414/AG415,"n/a")</f>
        <v/>
      </c>
      <c r="AH416" s="68" t="n"/>
      <c r="AI416" s="68" t="n"/>
      <c r="AJ416" s="68" t="n"/>
      <c r="AK416" s="68" t="n"/>
      <c r="AL416" s="68" t="n"/>
      <c r="AM416" s="201">
        <f>IFERROR(AM414/AM415,"n/a")</f>
        <v/>
      </c>
      <c r="AN416" s="68" t="n"/>
      <c r="AO416" s="68" t="n"/>
      <c r="AP416" s="68" t="n"/>
      <c r="AQ416" s="68" t="n"/>
      <c r="AR416" s="68" t="n"/>
      <c r="AS416" s="201">
        <f>IFERROR(AS414/AS415,"n/a")</f>
        <v/>
      </c>
      <c r="AT416" s="68" t="n"/>
      <c r="AU416" s="68" t="n"/>
      <c r="AV416" s="68" t="n"/>
      <c r="AW416" s="68" t="n"/>
      <c r="AX416" s="68" t="n"/>
      <c r="AY416" s="201">
        <f>IFERROR(AY414/AY415,"n/a")</f>
        <v/>
      </c>
      <c r="AZ416" s="68" t="n"/>
      <c r="BA416" s="68" t="n"/>
      <c r="BB416" s="68" t="n"/>
      <c r="BC416" s="68" t="n"/>
      <c r="BD416" s="68" t="n"/>
      <c r="BE416" s="201">
        <f>IFERROR(BE414/BE415,"n/a")</f>
        <v/>
      </c>
      <c r="BF416" s="68" t="n"/>
      <c r="BG416" s="68" t="n"/>
      <c r="BH416" s="68" t="n"/>
      <c r="BI416" s="68" t="n"/>
      <c r="BJ416" s="68" t="n"/>
      <c r="BK416" s="201">
        <f>IFERROR(BK414/BK415,"n/a")</f>
        <v/>
      </c>
      <c r="BL416" s="68" t="n"/>
      <c r="BM416" s="68" t="n"/>
      <c r="BN416" s="68" t="n"/>
      <c r="BO416" s="68" t="n"/>
      <c r="BP416" s="68" t="n"/>
      <c r="BQ416" s="201">
        <f>IFERROR(BQ414/BQ415,"n/a")</f>
        <v/>
      </c>
      <c r="BR416" s="68" t="n"/>
      <c r="BS416" s="68" t="n"/>
      <c r="BT416" s="68" t="n"/>
      <c r="BU416" s="68" t="n"/>
      <c r="BV416" s="68" t="n"/>
      <c r="BW416" s="201">
        <f>IFERROR(BW414/BW415,"n/a")</f>
        <v/>
      </c>
      <c r="BX416" s="68" t="n"/>
      <c r="BY416" s="68" t="n"/>
      <c r="BZ416" s="68" t="n"/>
      <c r="CA416" s="68" t="n"/>
      <c r="CB416" s="68" t="n"/>
      <c r="CC416" s="201">
        <f>IFERROR(CC414/CC415,"n/a")</f>
        <v/>
      </c>
      <c r="CD416" s="68" t="n"/>
      <c r="CE416" s="68" t="n"/>
      <c r="CF416" s="68" t="n"/>
      <c r="CG416" s="68" t="n"/>
      <c r="CH416" s="68" t="n"/>
      <c r="CI416" s="201">
        <f>IFERROR(CI414/CI415,"n/a")</f>
        <v/>
      </c>
      <c r="CJ416" s="68" t="n"/>
      <c r="CK416" s="68" t="n"/>
      <c r="CL416" s="202">
        <f>IFERROR(CL414/CL415,"n/a")</f>
        <v/>
      </c>
      <c r="CM416" s="67" t="n"/>
      <c r="CN416" s="67" t="n"/>
      <c r="CO416" s="201">
        <f>IFERROR(CO414/CO415,"n/a")</f>
        <v/>
      </c>
      <c r="CP416" s="201">
        <f>IFERROR(CP414/CP415,"n/a")</f>
        <v/>
      </c>
      <c r="CQ416" s="201">
        <f>IFERROR(CQ414/CQ415,"n/a")</f>
        <v/>
      </c>
      <c r="CR416" s="201">
        <f>IFERROR(CR414/CR415,"n/a")</f>
        <v/>
      </c>
      <c r="CS416" s="201">
        <f>IFERROR(CS414/CS415,"n/a")</f>
        <v/>
      </c>
      <c r="CT416" s="22" t="n"/>
      <c r="CV416" s="40">
        <f>IFERROR(AVERAGE(CO416,CP416,CQ416,CR416,CS416),"n/m")</f>
        <v/>
      </c>
      <c r="CW416" s="40">
        <f>IFERROR(AVERAGE(BK416,BQ416,BW416,CC416,CI416),"n/m")</f>
        <v/>
      </c>
      <c r="CX416" s="40">
        <f>IFERROR(AVERAGE(AG416,AM416,AS416,AY416,BE416,BK416,BQ416,BW416,CC416,CI416),"n/m")</f>
        <v/>
      </c>
      <c r="CY416" s="40">
        <f>IFERROR(AVERAGE(C416,D416,E416,F416,G416,H416,I416,O416,U416,AA416,AG416,AM416,AS416,AY416,BE416,BK416,BQ416,BW416,CC416,CI416),"n/m")</f>
        <v/>
      </c>
    </row>
    <row r="417" ht="15" customHeight="1">
      <c r="B417" s="12" t="n"/>
      <c r="CM417" s="6" t="n"/>
      <c r="CN417" s="6" t="n"/>
      <c r="CO417" s="6" t="n"/>
      <c r="CP417" s="6" t="n"/>
      <c r="CQ417" s="6" t="n"/>
      <c r="CR417" s="6" t="n"/>
      <c r="CS417" s="6" t="n"/>
      <c r="CT417" s="6" t="n"/>
    </row>
    <row r="418" ht="15" customHeight="1">
      <c r="B418" s="12" t="inlineStr">
        <is>
          <t>Leverage</t>
        </is>
      </c>
      <c r="C418" s="29" t="n"/>
      <c r="D418" s="29" t="n"/>
      <c r="E418" s="30" t="n"/>
      <c r="F418" s="30" t="n"/>
      <c r="G418" s="30" t="n"/>
      <c r="H418" s="30" t="n"/>
      <c r="I418" s="30" t="n"/>
      <c r="J418" s="30" t="n"/>
      <c r="K418" s="30" t="n"/>
      <c r="L418" s="29" t="n"/>
      <c r="M418" s="30" t="n"/>
      <c r="N418" s="30" t="n"/>
      <c r="O418" s="30" t="n"/>
      <c r="P418" s="30" t="n"/>
      <c r="Q418" s="30" t="n"/>
      <c r="R418" s="29" t="n"/>
      <c r="S418" s="30" t="n"/>
      <c r="T418" s="30" t="n"/>
      <c r="U418" s="30" t="n"/>
      <c r="V418" s="30" t="n"/>
      <c r="W418" s="30" t="n"/>
      <c r="X418" s="29" t="n"/>
      <c r="Y418" s="30" t="n"/>
      <c r="Z418" s="30" t="n"/>
      <c r="AA418" s="30" t="n"/>
      <c r="AB418" s="30" t="n"/>
      <c r="AC418" s="30" t="n"/>
      <c r="AD418" s="29" t="n"/>
      <c r="AE418" s="30" t="n"/>
      <c r="AF418" s="30" t="n"/>
      <c r="AG418" s="30" t="n"/>
      <c r="AH418" s="30" t="n"/>
      <c r="AI418" s="30" t="n"/>
      <c r="AJ418" s="29" t="n"/>
      <c r="AK418" s="30" t="n"/>
      <c r="AL418" s="30" t="n"/>
      <c r="AM418" s="30" t="n"/>
      <c r="AN418" s="30" t="n"/>
      <c r="AO418" s="30" t="n"/>
      <c r="AP418" s="29" t="n"/>
      <c r="AQ418" s="30" t="n"/>
      <c r="AR418" s="30" t="n"/>
      <c r="AS418" s="30" t="n"/>
      <c r="AT418" s="30" t="n"/>
      <c r="AU418" s="30" t="n"/>
      <c r="AV418" s="29" t="n"/>
      <c r="AW418" s="30" t="n"/>
      <c r="AX418" s="30" t="n"/>
      <c r="AY418" s="30" t="n"/>
      <c r="AZ418" s="30" t="n"/>
      <c r="BA418" s="30" t="n"/>
      <c r="BB418" s="29" t="n"/>
      <c r="BC418" s="30" t="n"/>
      <c r="BD418" s="30" t="n"/>
      <c r="BE418" s="30" t="n"/>
      <c r="BF418" s="30" t="n"/>
      <c r="BG418" s="30" t="n"/>
      <c r="BH418" s="29" t="n"/>
      <c r="BI418" s="30" t="n"/>
      <c r="BJ418" s="30" t="n"/>
      <c r="BK418" s="30" t="n"/>
      <c r="BL418" s="30" t="n"/>
      <c r="BM418" s="30" t="n"/>
      <c r="BN418" s="29" t="n"/>
      <c r="BO418" s="30" t="n"/>
      <c r="BP418" s="30" t="n"/>
      <c r="BQ418" s="30" t="n"/>
      <c r="BR418" s="30" t="n"/>
      <c r="BS418" s="30" t="n"/>
      <c r="BT418" s="29" t="n"/>
      <c r="BU418" s="30" t="n"/>
      <c r="BV418" s="30" t="n"/>
      <c r="BW418" s="30" t="n"/>
      <c r="BX418" s="30" t="n"/>
      <c r="BY418" s="30" t="n"/>
      <c r="BZ418" s="29" t="n"/>
      <c r="CA418" s="30" t="n"/>
      <c r="CB418" s="30" t="n"/>
      <c r="CC418" s="30" t="n"/>
      <c r="CD418" s="30" t="n"/>
      <c r="CE418" s="30" t="n"/>
      <c r="CF418" s="29" t="n"/>
      <c r="CG418" s="30" t="n"/>
      <c r="CH418" s="30" t="n"/>
      <c r="CI418" s="30" t="n"/>
      <c r="CJ418" s="30" t="n"/>
      <c r="CK418" s="30" t="n"/>
      <c r="CL418" s="29" t="n"/>
      <c r="CM418" s="31" t="n"/>
      <c r="CN418" s="31" t="n"/>
      <c r="CO418" s="31" t="n"/>
      <c r="CP418" s="31" t="n"/>
      <c r="CQ418" s="31" t="n"/>
      <c r="CR418" s="31" t="n"/>
      <c r="CS418" s="31" t="n"/>
      <c r="CT418" s="22" t="n"/>
      <c r="CV418" s="23" t="n"/>
      <c r="CW418" s="23" t="n"/>
      <c r="CX418" s="23" t="n"/>
      <c r="CY418" s="23" t="n"/>
    </row>
    <row r="419" ht="15" customHeight="1">
      <c r="B419" s="12" t="inlineStr">
        <is>
          <t>Net debt = Total debt − cash − restricted cash (company definition)</t>
        </is>
      </c>
      <c r="C419" s="170">
        <f>C398</f>
        <v/>
      </c>
      <c r="D419" s="170">
        <f>D398</f>
        <v/>
      </c>
      <c r="E419" s="170">
        <f>E398</f>
        <v/>
      </c>
      <c r="F419" s="170">
        <f>F398</f>
        <v/>
      </c>
      <c r="G419" s="170">
        <f>G398</f>
        <v/>
      </c>
      <c r="H419" s="170">
        <f>H398</f>
        <v/>
      </c>
      <c r="I419" s="170">
        <f>I398</f>
        <v/>
      </c>
      <c r="J419" s="30" t="n"/>
      <c r="K419" s="30" t="n"/>
      <c r="L419" s="29" t="n"/>
      <c r="M419" s="30" t="n"/>
      <c r="N419" s="30" t="n"/>
      <c r="O419" s="170">
        <f>O398</f>
        <v/>
      </c>
      <c r="P419" s="30" t="n"/>
      <c r="Q419" s="30" t="n"/>
      <c r="R419" s="29" t="n"/>
      <c r="S419" s="30" t="n"/>
      <c r="T419" s="30" t="n"/>
      <c r="U419" s="170">
        <f>U398</f>
        <v/>
      </c>
      <c r="V419" s="30" t="n"/>
      <c r="W419" s="30" t="n"/>
      <c r="X419" s="29" t="n"/>
      <c r="Y419" s="30" t="n"/>
      <c r="Z419" s="30" t="n"/>
      <c r="AA419" s="170">
        <f>AA398</f>
        <v/>
      </c>
      <c r="AB419" s="30" t="n"/>
      <c r="AC419" s="30" t="n"/>
      <c r="AD419" s="29" t="n"/>
      <c r="AE419" s="30" t="n"/>
      <c r="AF419" s="30" t="n"/>
      <c r="AG419" s="170">
        <f>AG398</f>
        <v/>
      </c>
      <c r="AH419" s="30" t="n"/>
      <c r="AI419" s="30" t="n"/>
      <c r="AJ419" s="29" t="n"/>
      <c r="AK419" s="30" t="n"/>
      <c r="AL419" s="30" t="n"/>
      <c r="AM419" s="170">
        <f>AM398</f>
        <v/>
      </c>
      <c r="AN419" s="30" t="n"/>
      <c r="AO419" s="30" t="n"/>
      <c r="AP419" s="29" t="n"/>
      <c r="AQ419" s="30" t="n"/>
      <c r="AR419" s="30" t="n"/>
      <c r="AS419" s="170">
        <f>AS398</f>
        <v/>
      </c>
      <c r="AT419" s="30" t="n"/>
      <c r="AU419" s="30" t="n"/>
      <c r="AV419" s="29" t="n"/>
      <c r="AW419" s="30" t="n"/>
      <c r="AX419" s="30" t="n"/>
      <c r="AY419" s="170">
        <f>AY398</f>
        <v/>
      </c>
      <c r="AZ419" s="30" t="n"/>
      <c r="BA419" s="30" t="n"/>
      <c r="BB419" s="29" t="n"/>
      <c r="BC419" s="30" t="n"/>
      <c r="BD419" s="30" t="n"/>
      <c r="BE419" s="170">
        <f>BE398</f>
        <v/>
      </c>
      <c r="BF419" s="30" t="n"/>
      <c r="BG419" s="30" t="n"/>
      <c r="BH419" s="29" t="n"/>
      <c r="BI419" s="30" t="n"/>
      <c r="BJ419" s="30" t="n"/>
      <c r="BK419" s="170">
        <f>BK398</f>
        <v/>
      </c>
      <c r="BL419" s="30" t="n"/>
      <c r="BM419" s="30" t="n"/>
      <c r="BN419" s="29" t="n"/>
      <c r="BO419" s="30" t="n"/>
      <c r="BP419" s="30" t="n"/>
      <c r="BQ419" s="170">
        <f>BQ398</f>
        <v/>
      </c>
      <c r="BR419" s="30" t="n"/>
      <c r="BS419" s="30" t="n"/>
      <c r="BT419" s="29" t="n"/>
      <c r="BU419" s="30" t="n"/>
      <c r="BV419" s="30" t="n"/>
      <c r="BW419" s="170">
        <f>BW398</f>
        <v/>
      </c>
      <c r="BX419" s="30" t="n"/>
      <c r="BY419" s="30" t="n"/>
      <c r="BZ419" s="29" t="n"/>
      <c r="CA419" s="30" t="n"/>
      <c r="CB419" s="30" t="n"/>
      <c r="CC419" s="170">
        <f>CC398</f>
        <v/>
      </c>
      <c r="CD419" s="30" t="n"/>
      <c r="CE419" s="30" t="n"/>
      <c r="CF419" s="29" t="n"/>
      <c r="CG419" s="30" t="n"/>
      <c r="CH419" s="30" t="n"/>
      <c r="CI419" s="170">
        <f>CI398</f>
        <v/>
      </c>
      <c r="CJ419" s="30" t="n"/>
      <c r="CK419" s="30" t="n"/>
      <c r="CL419" s="170">
        <f>CL398</f>
        <v/>
      </c>
      <c r="CM419" s="31" t="n"/>
      <c r="CN419" s="31" t="n"/>
      <c r="CO419" s="171">
        <f>CO398</f>
        <v/>
      </c>
      <c r="CP419" s="171">
        <f>CP398</f>
        <v/>
      </c>
      <c r="CQ419" s="171">
        <f>CQ398</f>
        <v/>
      </c>
      <c r="CR419" s="171">
        <f>CR398</f>
        <v/>
      </c>
      <c r="CS419" s="171">
        <f>CS398</f>
        <v/>
      </c>
      <c r="CT419" s="22" t="n"/>
      <c r="CV419" s="23" t="n"/>
      <c r="CW419" s="23" t="n"/>
      <c r="CX419" s="23" t="n"/>
      <c r="CY419" s="23" t="n"/>
    </row>
    <row r="420" ht="15" customHeight="1">
      <c r="B420" s="12" t="inlineStr">
        <is>
          <t>Adjusted EBITDA (current definition)</t>
        </is>
      </c>
      <c r="C420" s="170">
        <f>IF(ISNUMBER(C198),C198*1,"")</f>
        <v/>
      </c>
      <c r="D420" s="170">
        <f>IF(ISNUMBER(D198),D198*1,"")</f>
        <v/>
      </c>
      <c r="E420" s="170">
        <f>IF(ISNUMBER(E198),E198*1,"")</f>
        <v/>
      </c>
      <c r="F420" s="170">
        <f>IF(ISNUMBER(F198),F198*1,"")</f>
        <v/>
      </c>
      <c r="G420" s="170">
        <f>IF(ISNUMBER(G198),G198*1,"")</f>
        <v/>
      </c>
      <c r="H420" s="170">
        <f>IF(ISNUMBER(H198),H198*1,"")</f>
        <v/>
      </c>
      <c r="I420" s="170">
        <f>IF(ISNUMBER(I198),I198*1,"")</f>
        <v/>
      </c>
      <c r="J420" s="30" t="n"/>
      <c r="K420" s="30" t="n"/>
      <c r="L420" s="29" t="n"/>
      <c r="M420" s="30" t="n"/>
      <c r="N420" s="30" t="n"/>
      <c r="O420" s="170">
        <f>IF(ISNUMBER(O198),O198*1,"")</f>
        <v/>
      </c>
      <c r="P420" s="30" t="n"/>
      <c r="Q420" s="30" t="n"/>
      <c r="R420" s="29" t="n"/>
      <c r="S420" s="30" t="n"/>
      <c r="T420" s="30" t="n"/>
      <c r="U420" s="170">
        <f>IF(ISNUMBER(U198),U198*1,"")</f>
        <v/>
      </c>
      <c r="V420" s="30" t="n"/>
      <c r="W420" s="30" t="n"/>
      <c r="X420" s="29" t="n"/>
      <c r="Y420" s="30" t="n"/>
      <c r="Z420" s="30" t="n"/>
      <c r="AA420" s="170">
        <f>IF(ISNUMBER(AA198),AA198*1,"")</f>
        <v/>
      </c>
      <c r="AB420" s="30" t="n"/>
      <c r="AC420" s="30" t="n"/>
      <c r="AD420" s="29" t="n"/>
      <c r="AE420" s="30" t="n"/>
      <c r="AF420" s="30" t="n"/>
      <c r="AG420" s="170">
        <f>IF(ISNUMBER(AG198),AG198*1,"")</f>
        <v/>
      </c>
      <c r="AH420" s="30" t="n"/>
      <c r="AI420" s="30" t="n"/>
      <c r="AJ420" s="29" t="n"/>
      <c r="AK420" s="30" t="n"/>
      <c r="AL420" s="30" t="n"/>
      <c r="AM420" s="170">
        <f>IF(ISNUMBER(AM198),AM198*1,"")</f>
        <v/>
      </c>
      <c r="AN420" s="30" t="n"/>
      <c r="AO420" s="30" t="n"/>
      <c r="AP420" s="29" t="n"/>
      <c r="AQ420" s="30" t="n"/>
      <c r="AR420" s="30" t="n"/>
      <c r="AS420" s="170">
        <f>IF(ISNUMBER(AS198),AS198*1,"")</f>
        <v/>
      </c>
      <c r="AT420" s="30" t="n"/>
      <c r="AU420" s="30" t="n"/>
      <c r="AV420" s="29" t="n"/>
      <c r="AW420" s="30" t="n"/>
      <c r="AX420" s="30" t="n"/>
      <c r="AY420" s="170">
        <f>IF(ISNUMBER(AY198),AY198*1,"")</f>
        <v/>
      </c>
      <c r="AZ420" s="30" t="n"/>
      <c r="BA420" s="30" t="n"/>
      <c r="BB420" s="29" t="n"/>
      <c r="BC420" s="30" t="n"/>
      <c r="BD420" s="30" t="n"/>
      <c r="BE420" s="170">
        <f>IF(ISNUMBER(BE198),BE198*1,"")</f>
        <v/>
      </c>
      <c r="BF420" s="30" t="n"/>
      <c r="BG420" s="30" t="n"/>
      <c r="BH420" s="29" t="n"/>
      <c r="BI420" s="30" t="n"/>
      <c r="BJ420" s="30" t="n"/>
      <c r="BK420" s="170">
        <f>IF(ISNUMBER(BK198),BK198*1,"")</f>
        <v/>
      </c>
      <c r="BL420" s="30" t="n"/>
      <c r="BM420" s="30" t="n"/>
      <c r="BN420" s="29" t="n"/>
      <c r="BO420" s="30" t="n"/>
      <c r="BP420" s="30" t="n"/>
      <c r="BQ420" s="170">
        <f>IF(ISNUMBER(BQ198),BQ198*1,"")</f>
        <v/>
      </c>
      <c r="BR420" s="30" t="n"/>
      <c r="BS420" s="30" t="n"/>
      <c r="BT420" s="29" t="n"/>
      <c r="BU420" s="30" t="n"/>
      <c r="BV420" s="30" t="n"/>
      <c r="BW420" s="170">
        <f>IF(ISNUMBER(BW198),BW198*1,"")</f>
        <v/>
      </c>
      <c r="BX420" s="30" t="n"/>
      <c r="BY420" s="30" t="n"/>
      <c r="BZ420" s="29" t="n"/>
      <c r="CA420" s="30" t="n"/>
      <c r="CB420" s="30" t="n"/>
      <c r="CC420" s="170">
        <f>IF(ISNUMBER(CC198),CC198*1,"")</f>
        <v/>
      </c>
      <c r="CD420" s="30" t="n"/>
      <c r="CE420" s="30" t="n"/>
      <c r="CF420" s="29" t="n"/>
      <c r="CG420" s="30" t="n"/>
      <c r="CH420" s="30" t="n"/>
      <c r="CI420" s="170">
        <f>IF(ISNUMBER(CI198),CI198*1,"")</f>
        <v/>
      </c>
      <c r="CJ420" s="30" t="n"/>
      <c r="CK420" s="30" t="n"/>
      <c r="CL420" s="170">
        <f>IF(ISNUMBER(CL198),CL198*2,"")</f>
        <v/>
      </c>
      <c r="CM420" s="31" t="n"/>
      <c r="CN420" s="31" t="n"/>
      <c r="CO420" s="171">
        <f>IF(ISNUMBER(CO198),CO198*1,"")</f>
        <v/>
      </c>
      <c r="CP420" s="171">
        <f>IF(ISNUMBER(CP198),CP198*1,"")</f>
        <v/>
      </c>
      <c r="CQ420" s="171">
        <f>IF(ISNUMBER(CQ198),CQ198*1,"")</f>
        <v/>
      </c>
      <c r="CR420" s="171">
        <f>IF(ISNUMBER(CR198),CR198*1,"")</f>
        <v/>
      </c>
      <c r="CS420" s="171">
        <f>IF(ISNUMBER(CS198),CS198*1,"")</f>
        <v/>
      </c>
      <c r="CT420" s="22" t="n"/>
      <c r="CV420" s="23" t="n"/>
      <c r="CW420" s="23" t="n"/>
      <c r="CX420" s="23" t="n"/>
      <c r="CY420" s="23" t="n"/>
    </row>
    <row r="421" ht="15" customHeight="1">
      <c r="B421" s="18" t="inlineStr">
        <is>
          <t>Net debt / Adjusted EBITDA (x)</t>
        </is>
      </c>
      <c r="C421" s="203">
        <f>IFERROR(C419/C420,"n/a")</f>
        <v/>
      </c>
      <c r="D421" s="203">
        <f>IFERROR(D419/D420,"n/a")</f>
        <v/>
      </c>
      <c r="E421" s="203">
        <f>IFERROR(E419/E420,"n/a")</f>
        <v/>
      </c>
      <c r="F421" s="203">
        <f>IFERROR(F419/F420,"n/a")</f>
        <v/>
      </c>
      <c r="G421" s="203">
        <f>IFERROR(G419/G420,"n/a")</f>
        <v/>
      </c>
      <c r="H421" s="203">
        <f>IFERROR(H419/H420,"n/a")</f>
        <v/>
      </c>
      <c r="I421" s="203">
        <f>IFERROR(I419/I420,"n/a")</f>
        <v/>
      </c>
      <c r="J421" s="19" t="n"/>
      <c r="K421" s="19" t="n"/>
      <c r="L421" s="19" t="n"/>
      <c r="M421" s="19" t="n"/>
      <c r="N421" s="19" t="n"/>
      <c r="O421" s="203">
        <f>IFERROR(O419/O420,"n/a")</f>
        <v/>
      </c>
      <c r="P421" s="19" t="n"/>
      <c r="Q421" s="19" t="n"/>
      <c r="R421" s="19" t="n"/>
      <c r="S421" s="19" t="n"/>
      <c r="T421" s="19" t="n"/>
      <c r="U421" s="203">
        <f>IFERROR(U419/U420,"n/a")</f>
        <v/>
      </c>
      <c r="V421" s="19" t="n"/>
      <c r="W421" s="19" t="n"/>
      <c r="X421" s="19" t="n"/>
      <c r="Y421" s="19" t="n"/>
      <c r="Z421" s="19" t="n"/>
      <c r="AA421" s="203">
        <f>IFERROR(AA419/AA420,"n/a")</f>
        <v/>
      </c>
      <c r="AB421" s="19" t="n"/>
      <c r="AC421" s="19" t="n"/>
      <c r="AD421" s="19" t="n"/>
      <c r="AE421" s="19" t="n"/>
      <c r="AF421" s="19" t="n"/>
      <c r="AG421" s="203">
        <f>IFERROR(AG419/AG420,"n/a")</f>
        <v/>
      </c>
      <c r="AH421" s="19" t="n"/>
      <c r="AI421" s="19" t="n"/>
      <c r="AJ421" s="19" t="n"/>
      <c r="AK421" s="19" t="n"/>
      <c r="AL421" s="19" t="n"/>
      <c r="AM421" s="203">
        <f>IFERROR(AM419/AM420,"n/a")</f>
        <v/>
      </c>
      <c r="AN421" s="19" t="n"/>
      <c r="AO421" s="19" t="n"/>
      <c r="AP421" s="19" t="n"/>
      <c r="AQ421" s="19" t="n"/>
      <c r="AR421" s="19" t="n"/>
      <c r="AS421" s="203">
        <f>IFERROR(AS419/AS420,"n/a")</f>
        <v/>
      </c>
      <c r="AT421" s="19" t="n"/>
      <c r="AU421" s="19" t="n"/>
      <c r="AV421" s="19" t="n"/>
      <c r="AW421" s="19" t="n"/>
      <c r="AX421" s="19" t="n"/>
      <c r="AY421" s="203">
        <f>IFERROR(AY419/AY420,"n/a")</f>
        <v/>
      </c>
      <c r="AZ421" s="19" t="n"/>
      <c r="BA421" s="19" t="n"/>
      <c r="BB421" s="19" t="n"/>
      <c r="BC421" s="19" t="n"/>
      <c r="BD421" s="19" t="n"/>
      <c r="BE421" s="203">
        <f>IFERROR(BE419/BE420,"n/a")</f>
        <v/>
      </c>
      <c r="BF421" s="19" t="n"/>
      <c r="BG421" s="19" t="n"/>
      <c r="BH421" s="19" t="n"/>
      <c r="BI421" s="19" t="n"/>
      <c r="BJ421" s="19" t="n"/>
      <c r="BK421" s="203">
        <f>IFERROR(BK419/BK420,"n/a")</f>
        <v/>
      </c>
      <c r="BL421" s="19" t="n"/>
      <c r="BM421" s="19" t="n"/>
      <c r="BN421" s="19" t="n"/>
      <c r="BO421" s="19" t="n"/>
      <c r="BP421" s="19" t="n"/>
      <c r="BQ421" s="203">
        <f>IFERROR(BQ419/BQ420,"n/a")</f>
        <v/>
      </c>
      <c r="BR421" s="19" t="n"/>
      <c r="BS421" s="19" t="n"/>
      <c r="BT421" s="19" t="n"/>
      <c r="BU421" s="19" t="n"/>
      <c r="BV421" s="19" t="n"/>
      <c r="BW421" s="203">
        <f>IFERROR(BW419/BW420,"n/a")</f>
        <v/>
      </c>
      <c r="BX421" s="19" t="n"/>
      <c r="BY421" s="19" t="n"/>
      <c r="BZ421" s="19" t="n"/>
      <c r="CA421" s="19" t="n"/>
      <c r="CB421" s="19" t="n"/>
      <c r="CC421" s="203">
        <f>IFERROR(CC419/CC420,"n/a")</f>
        <v/>
      </c>
      <c r="CD421" s="19" t="n"/>
      <c r="CE421" s="19" t="n"/>
      <c r="CF421" s="19" t="n"/>
      <c r="CG421" s="19" t="n"/>
      <c r="CH421" s="19" t="n"/>
      <c r="CI421" s="203">
        <f>IFERROR(CI419/CI420,"n/a")</f>
        <v/>
      </c>
      <c r="CJ421" s="19" t="n"/>
      <c r="CK421" s="19" t="n"/>
      <c r="CL421" s="203">
        <f>IFERROR(CL419/CL420,"n/a")</f>
        <v/>
      </c>
      <c r="CM421" s="21" t="n"/>
      <c r="CN421" s="21" t="n"/>
      <c r="CO421" s="204">
        <f>IFERROR(CO419/CO420,"n/a")</f>
        <v/>
      </c>
      <c r="CP421" s="204">
        <f>IFERROR(CP419/CP420,"n/a")</f>
        <v/>
      </c>
      <c r="CQ421" s="204">
        <f>IFERROR(CQ419/CQ420,"n/a")</f>
        <v/>
      </c>
      <c r="CR421" s="204">
        <f>IFERROR(CR419/CR420,"n/a")</f>
        <v/>
      </c>
      <c r="CS421" s="204">
        <f>IFERROR(CS419/CS420,"n/a")</f>
        <v/>
      </c>
      <c r="CT421" s="22" t="inlineStr">
        <is>
          <t>1H/26 on annualised 1H EBITDA (company reports 1.7x on TTM Adjusted EBITDA).</t>
        </is>
      </c>
      <c r="CV421" s="6" t="n"/>
      <c r="CW421" s="6" t="n"/>
      <c r="CX421" s="6" t="n"/>
      <c r="CY421" s="6" t="n"/>
    </row>
    <row r="422" ht="15" customHeight="1">
      <c r="B422" s="12" t="inlineStr">
        <is>
          <t>Total debt / Adjusted EBITDA (x)</t>
        </is>
      </c>
      <c r="C422" s="194">
        <f>IFERROR(C369/C420,"n/a")</f>
        <v/>
      </c>
      <c r="D422" s="194">
        <f>IFERROR(D369/D420,"n/a")</f>
        <v/>
      </c>
      <c r="E422" s="194">
        <f>IFERROR(E369/E420,"n/a")</f>
        <v/>
      </c>
      <c r="F422" s="194">
        <f>IFERROR(F369/F420,"n/a")</f>
        <v/>
      </c>
      <c r="G422" s="194">
        <f>IFERROR(G369/G420,"n/a")</f>
        <v/>
      </c>
      <c r="H422" s="194">
        <f>IFERROR(H369/H420,"n/a")</f>
        <v/>
      </c>
      <c r="I422" s="194">
        <f>IFERROR(I369/I420,"n/a")</f>
        <v/>
      </c>
      <c r="J422" s="30" t="n"/>
      <c r="K422" s="30" t="n"/>
      <c r="L422" s="29" t="n"/>
      <c r="M422" s="30" t="n"/>
      <c r="N422" s="30" t="n"/>
      <c r="O422" s="194">
        <f>IFERROR(O369/O420,"n/a")</f>
        <v/>
      </c>
      <c r="P422" s="30" t="n"/>
      <c r="Q422" s="30" t="n"/>
      <c r="R422" s="29" t="n"/>
      <c r="S422" s="30" t="n"/>
      <c r="T422" s="30" t="n"/>
      <c r="U422" s="194">
        <f>IFERROR(U369/U420,"n/a")</f>
        <v/>
      </c>
      <c r="V422" s="30" t="n"/>
      <c r="W422" s="30" t="n"/>
      <c r="X422" s="29" t="n"/>
      <c r="Y422" s="30" t="n"/>
      <c r="Z422" s="30" t="n"/>
      <c r="AA422" s="194">
        <f>IFERROR(AA369/AA420,"n/a")</f>
        <v/>
      </c>
      <c r="AB422" s="30" t="n"/>
      <c r="AC422" s="30" t="n"/>
      <c r="AD422" s="29" t="n"/>
      <c r="AE422" s="30" t="n"/>
      <c r="AF422" s="30" t="n"/>
      <c r="AG422" s="194">
        <f>IFERROR(AG369/AG420,"n/a")</f>
        <v/>
      </c>
      <c r="AH422" s="30" t="n"/>
      <c r="AI422" s="30" t="n"/>
      <c r="AJ422" s="29" t="n"/>
      <c r="AK422" s="30" t="n"/>
      <c r="AL422" s="30" t="n"/>
      <c r="AM422" s="194">
        <f>IFERROR(AM369/AM420,"n/a")</f>
        <v/>
      </c>
      <c r="AN422" s="30" t="n"/>
      <c r="AO422" s="30" t="n"/>
      <c r="AP422" s="29" t="n"/>
      <c r="AQ422" s="30" t="n"/>
      <c r="AR422" s="30" t="n"/>
      <c r="AS422" s="194">
        <f>IFERROR(AS369/AS420,"n/a")</f>
        <v/>
      </c>
      <c r="AT422" s="30" t="n"/>
      <c r="AU422" s="30" t="n"/>
      <c r="AV422" s="29" t="n"/>
      <c r="AW422" s="30" t="n"/>
      <c r="AX422" s="30" t="n"/>
      <c r="AY422" s="194">
        <f>IFERROR(AY369/AY420,"n/a")</f>
        <v/>
      </c>
      <c r="AZ422" s="30" t="n"/>
      <c r="BA422" s="30" t="n"/>
      <c r="BB422" s="29" t="n"/>
      <c r="BC422" s="30" t="n"/>
      <c r="BD422" s="30" t="n"/>
      <c r="BE422" s="194">
        <f>IFERROR(BE369/BE420,"n/a")</f>
        <v/>
      </c>
      <c r="BF422" s="30" t="n"/>
      <c r="BG422" s="30" t="n"/>
      <c r="BH422" s="29" t="n"/>
      <c r="BI422" s="30" t="n"/>
      <c r="BJ422" s="30" t="n"/>
      <c r="BK422" s="194">
        <f>IFERROR(BK369/BK420,"n/a")</f>
        <v/>
      </c>
      <c r="BL422" s="30" t="n"/>
      <c r="BM422" s="30" t="n"/>
      <c r="BN422" s="29" t="n"/>
      <c r="BO422" s="30" t="n"/>
      <c r="BP422" s="30" t="n"/>
      <c r="BQ422" s="194">
        <f>IFERROR(BQ369/BQ420,"n/a")</f>
        <v/>
      </c>
      <c r="BR422" s="30" t="n"/>
      <c r="BS422" s="30" t="n"/>
      <c r="BT422" s="29" t="n"/>
      <c r="BU422" s="30" t="n"/>
      <c r="BV422" s="30" t="n"/>
      <c r="BW422" s="194">
        <f>IFERROR(BW369/BW420,"n/a")</f>
        <v/>
      </c>
      <c r="BX422" s="30" t="n"/>
      <c r="BY422" s="30" t="n"/>
      <c r="BZ422" s="29" t="n"/>
      <c r="CA422" s="30" t="n"/>
      <c r="CB422" s="30" t="n"/>
      <c r="CC422" s="194">
        <f>IFERROR(CC369/CC420,"n/a")</f>
        <v/>
      </c>
      <c r="CD422" s="30" t="n"/>
      <c r="CE422" s="30" t="n"/>
      <c r="CF422" s="29" t="n"/>
      <c r="CG422" s="30" t="n"/>
      <c r="CH422" s="30" t="n"/>
      <c r="CI422" s="194">
        <f>IFERROR(CI369/CI420,"n/a")</f>
        <v/>
      </c>
      <c r="CJ422" s="30" t="n"/>
      <c r="CK422" s="30" t="n"/>
      <c r="CL422" s="194">
        <f>IFERROR(CL369/CL420,"n/a")</f>
        <v/>
      </c>
      <c r="CM422" s="31" t="n"/>
      <c r="CN422" s="31" t="n"/>
      <c r="CO422" s="195">
        <f>IFERROR(CO369/CO420,"n/a")</f>
        <v/>
      </c>
      <c r="CP422" s="195">
        <f>IFERROR(CP369/CP420,"n/a")</f>
        <v/>
      </c>
      <c r="CQ422" s="195">
        <f>IFERROR(CQ369/CQ420,"n/a")</f>
        <v/>
      </c>
      <c r="CR422" s="195">
        <f>IFERROR(CR369/CR420,"n/a")</f>
        <v/>
      </c>
      <c r="CS422" s="195">
        <f>IFERROR(CS369/CS420,"n/a")</f>
        <v/>
      </c>
      <c r="CT422" s="22" t="n"/>
      <c r="CV422" s="23" t="n"/>
      <c r="CW422" s="23" t="n"/>
      <c r="CX422" s="23" t="n"/>
      <c r="CY422" s="23" t="n"/>
    </row>
    <row r="423" ht="15" customHeight="1">
      <c r="B423" s="12" t="n"/>
      <c r="CM423" s="6" t="n"/>
      <c r="CN423" s="6" t="n"/>
      <c r="CO423" s="6" t="n"/>
      <c r="CP423" s="6" t="n"/>
      <c r="CQ423" s="6" t="n"/>
      <c r="CR423" s="6" t="n"/>
      <c r="CS423" s="6" t="n"/>
      <c r="CT423" s="6" t="n"/>
    </row>
    <row r="424" ht="15" customHeight="1">
      <c r="B424" s="11" t="inlineStr">
        <is>
          <t>VALUATION</t>
        </is>
      </c>
      <c r="C424" s="11" t="n"/>
      <c r="D424" s="11" t="n"/>
      <c r="E424" s="11"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c r="AB424" s="11" t="n"/>
      <c r="AC424" s="11" t="n"/>
      <c r="AD424" s="11" t="n"/>
      <c r="AE424" s="11" t="n"/>
      <c r="AF424" s="11" t="n"/>
      <c r="AG424" s="11" t="n"/>
      <c r="AH424" s="11" t="n"/>
      <c r="AI424" s="11" t="n"/>
      <c r="AJ424" s="11" t="n"/>
      <c r="AK424" s="11" t="n"/>
      <c r="AL424" s="11" t="n"/>
      <c r="AM424" s="11" t="n"/>
      <c r="AN424" s="11" t="n"/>
      <c r="AO424" s="11" t="n"/>
      <c r="AP424" s="11" t="n"/>
      <c r="AQ424" s="11" t="n"/>
      <c r="AR424" s="11" t="n"/>
      <c r="AS424" s="11" t="n"/>
      <c r="AT424" s="11" t="n"/>
      <c r="AU424" s="11" t="n"/>
      <c r="AV424" s="11" t="n"/>
      <c r="AW424" s="11" t="n"/>
      <c r="AX424" s="11" t="n"/>
      <c r="AY424" s="11" t="n"/>
      <c r="AZ424" s="11" t="n"/>
      <c r="BA424" s="11" t="n"/>
      <c r="BB424" s="11" t="n"/>
      <c r="BC424" s="11" t="n"/>
      <c r="BD424" s="11" t="n"/>
      <c r="BE424" s="11" t="n"/>
      <c r="BF424" s="11" t="n"/>
      <c r="BG424" s="11" t="n"/>
      <c r="BH424" s="11" t="n"/>
      <c r="BI424" s="11" t="n"/>
      <c r="BJ424" s="11" t="n"/>
      <c r="BK424" s="11" t="n"/>
      <c r="BL424" s="11" t="n"/>
      <c r="BM424" s="11" t="n"/>
      <c r="BN424" s="11" t="n"/>
      <c r="BO424" s="11" t="n"/>
      <c r="BP424" s="11" t="n"/>
      <c r="BQ424" s="11" t="n"/>
      <c r="BR424" s="11" t="n"/>
      <c r="BS424" s="11" t="n"/>
      <c r="BT424" s="11" t="n"/>
      <c r="BU424" s="11" t="n"/>
      <c r="BV424" s="11" t="n"/>
      <c r="BW424" s="11" t="n"/>
      <c r="BX424" s="11" t="n"/>
      <c r="BY424" s="11" t="n"/>
      <c r="BZ424" s="11" t="n"/>
      <c r="CA424" s="11" t="n"/>
      <c r="CB424" s="11" t="n"/>
      <c r="CC424" s="11" t="n"/>
      <c r="CD424" s="11" t="n"/>
      <c r="CE424" s="11" t="n"/>
      <c r="CF424" s="11" t="n"/>
      <c r="CG424" s="11" t="n"/>
      <c r="CH424" s="11" t="n"/>
      <c r="CI424" s="11" t="n"/>
      <c r="CJ424" s="11" t="n"/>
      <c r="CK424" s="11" t="n"/>
      <c r="CL424" s="11" t="n"/>
      <c r="CM424" s="11" t="n"/>
      <c r="CN424" s="11" t="n"/>
      <c r="CO424" s="11" t="n"/>
      <c r="CP424" s="11" t="n"/>
      <c r="CQ424" s="11" t="n"/>
      <c r="CR424" s="11" t="n"/>
      <c r="CS424" s="11" t="n"/>
      <c r="CT424" s="11" t="inlineStr">
        <is>
          <t>VALUATION — current share price input $243 (per user); applied to 2026E–2030E</t>
        </is>
      </c>
    </row>
    <row r="425" ht="15" customHeight="1">
      <c r="B425" s="46" t="inlineStr">
        <is>
          <t>Share price ($) — current</t>
        </is>
      </c>
      <c r="C425" s="47" t="n"/>
      <c r="D425" s="47" t="n"/>
      <c r="E425" s="47" t="n"/>
      <c r="F425" s="47" t="n"/>
      <c r="G425" s="47" t="n"/>
      <c r="H425" s="47" t="n"/>
      <c r="I425" s="47" t="n"/>
      <c r="J425" s="47" t="n"/>
      <c r="K425" s="47" t="n"/>
      <c r="L425" s="47" t="n"/>
      <c r="M425" s="47" t="n"/>
      <c r="N425" s="47" t="n"/>
      <c r="O425" s="47" t="n"/>
      <c r="P425" s="47" t="n"/>
      <c r="Q425" s="47" t="n"/>
      <c r="R425" s="47" t="n"/>
      <c r="S425" s="47" t="n"/>
      <c r="T425" s="47" t="n"/>
      <c r="U425" s="47" t="n"/>
      <c r="V425" s="47" t="n"/>
      <c r="W425" s="47" t="n"/>
      <c r="X425" s="47" t="n"/>
      <c r="Y425" s="47" t="n"/>
      <c r="Z425" s="47" t="n"/>
      <c r="AA425" s="47" t="n"/>
      <c r="AB425" s="47" t="n"/>
      <c r="AC425" s="47" t="n"/>
      <c r="AD425" s="47" t="n"/>
      <c r="AE425" s="47" t="n"/>
      <c r="AF425" s="47" t="n"/>
      <c r="AG425" s="47" t="n"/>
      <c r="AH425" s="47" t="n"/>
      <c r="AI425" s="47" t="n"/>
      <c r="AJ425" s="47" t="n"/>
      <c r="AK425" s="47" t="n"/>
      <c r="AL425" s="47" t="n"/>
      <c r="AM425" s="47" t="n"/>
      <c r="AN425" s="47" t="n"/>
      <c r="AO425" s="47" t="n"/>
      <c r="AP425" s="47" t="n"/>
      <c r="AQ425" s="47" t="n"/>
      <c r="AR425" s="47" t="n"/>
      <c r="AS425" s="47" t="n"/>
      <c r="AT425" s="47" t="n"/>
      <c r="AU425" s="47" t="n"/>
      <c r="AV425" s="47" t="n"/>
      <c r="AW425" s="47" t="n"/>
      <c r="AX425" s="47" t="n"/>
      <c r="AY425" s="47" t="n"/>
      <c r="AZ425" s="47" t="n"/>
      <c r="BA425" s="47" t="n"/>
      <c r="BB425" s="47" t="n"/>
      <c r="BC425" s="47" t="n"/>
      <c r="BD425" s="47" t="n"/>
      <c r="BE425" s="47" t="n"/>
      <c r="BF425" s="47" t="n"/>
      <c r="BG425" s="47" t="n"/>
      <c r="BH425" s="47" t="n"/>
      <c r="BI425" s="47" t="n"/>
      <c r="BJ425" s="47" t="n"/>
      <c r="BK425" s="47" t="n"/>
      <c r="BL425" s="47" t="n"/>
      <c r="BM425" s="47" t="n"/>
      <c r="BN425" s="47" t="n"/>
      <c r="BO425" s="47" t="n"/>
      <c r="BP425" s="47" t="n"/>
      <c r="BQ425" s="47" t="n"/>
      <c r="BR425" s="47" t="n"/>
      <c r="BS425" s="47" t="n"/>
      <c r="BT425" s="47" t="n"/>
      <c r="BU425" s="47" t="n"/>
      <c r="BV425" s="47" t="n"/>
      <c r="BW425" s="47" t="n"/>
      <c r="BX425" s="47" t="n"/>
      <c r="BY425" s="47" t="n"/>
      <c r="BZ425" s="47" t="n"/>
      <c r="CA425" s="47" t="n"/>
      <c r="CB425" s="47" t="n"/>
      <c r="CC425" s="47" t="n"/>
      <c r="CD425" s="47" t="n"/>
      <c r="CE425" s="47" t="n"/>
      <c r="CF425" s="47" t="n"/>
      <c r="CG425" s="47" t="n"/>
      <c r="CH425" s="47" t="n"/>
      <c r="CI425" s="47" t="n"/>
      <c r="CJ425" s="47" t="n"/>
      <c r="CK425" s="47" t="n"/>
      <c r="CL425" s="47" t="n"/>
      <c r="CM425" s="48" t="n"/>
      <c r="CN425" s="48" t="n"/>
      <c r="CO425" s="205" t="n">
        <v>243</v>
      </c>
      <c r="CP425" s="180">
        <f>CO425</f>
        <v/>
      </c>
      <c r="CQ425" s="180">
        <f>CP425</f>
        <v/>
      </c>
      <c r="CR425" s="180">
        <f>CQ425</f>
        <v/>
      </c>
      <c r="CS425" s="180">
        <f>CR425</f>
        <v/>
      </c>
      <c r="CT425" s="22" t="inlineStr">
        <is>
          <t>User input (4-Oct-2026).</t>
        </is>
      </c>
      <c r="CV425" s="6" t="n"/>
      <c r="CW425" s="6" t="n"/>
      <c r="CX425" s="6" t="n"/>
      <c r="CY425" s="6" t="n"/>
    </row>
    <row r="426" ht="15" customHeight="1">
      <c r="B426" s="12" t="inlineStr">
        <is>
          <t>Diluted shares (m)</t>
        </is>
      </c>
      <c r="C426" s="29" t="n"/>
      <c r="D426" s="29" t="n"/>
      <c r="E426" s="30" t="n"/>
      <c r="F426" s="30" t="n"/>
      <c r="G426" s="30" t="n"/>
      <c r="H426" s="30" t="n"/>
      <c r="I426" s="30" t="n"/>
      <c r="J426" s="30" t="n"/>
      <c r="K426" s="30" t="n"/>
      <c r="L426" s="29" t="n"/>
      <c r="M426" s="30" t="n"/>
      <c r="N426" s="30" t="n"/>
      <c r="O426" s="30" t="n"/>
      <c r="P426" s="30" t="n"/>
      <c r="Q426" s="30" t="n"/>
      <c r="R426" s="29" t="n"/>
      <c r="S426" s="30" t="n"/>
      <c r="T426" s="30" t="n"/>
      <c r="U426" s="30" t="n"/>
      <c r="V426" s="30" t="n"/>
      <c r="W426" s="30" t="n"/>
      <c r="X426" s="29" t="n"/>
      <c r="Y426" s="30" t="n"/>
      <c r="Z426" s="30" t="n"/>
      <c r="AA426" s="30" t="n"/>
      <c r="AB426" s="30" t="n"/>
      <c r="AC426" s="30" t="n"/>
      <c r="AD426" s="29" t="n"/>
      <c r="AE426" s="30" t="n"/>
      <c r="AF426" s="30" t="n"/>
      <c r="AG426" s="30" t="n"/>
      <c r="AH426" s="30" t="n"/>
      <c r="AI426" s="30" t="n"/>
      <c r="AJ426" s="29" t="n"/>
      <c r="AK426" s="30" t="n"/>
      <c r="AL426" s="30" t="n"/>
      <c r="AM426" s="30" t="n"/>
      <c r="AN426" s="30" t="n"/>
      <c r="AO426" s="30" t="n"/>
      <c r="AP426" s="29" t="n"/>
      <c r="AQ426" s="30" t="n"/>
      <c r="AR426" s="30" t="n"/>
      <c r="AS426" s="30" t="n"/>
      <c r="AT426" s="30" t="n"/>
      <c r="AU426" s="30" t="n"/>
      <c r="AV426" s="29" t="n"/>
      <c r="AW426" s="30" t="n"/>
      <c r="AX426" s="30" t="n"/>
      <c r="AY426" s="30" t="n"/>
      <c r="AZ426" s="30" t="n"/>
      <c r="BA426" s="30" t="n"/>
      <c r="BB426" s="29" t="n"/>
      <c r="BC426" s="30" t="n"/>
      <c r="BD426" s="30" t="n"/>
      <c r="BE426" s="30" t="n"/>
      <c r="BF426" s="30" t="n"/>
      <c r="BG426" s="30" t="n"/>
      <c r="BH426" s="29" t="n"/>
      <c r="BI426" s="30" t="n"/>
      <c r="BJ426" s="30" t="n"/>
      <c r="BK426" s="30" t="n"/>
      <c r="BL426" s="30" t="n"/>
      <c r="BM426" s="30" t="n"/>
      <c r="BN426" s="29" t="n"/>
      <c r="BO426" s="30" t="n"/>
      <c r="BP426" s="30" t="n"/>
      <c r="BQ426" s="30" t="n"/>
      <c r="BR426" s="30" t="n"/>
      <c r="BS426" s="30" t="n"/>
      <c r="BT426" s="29" t="n"/>
      <c r="BU426" s="30" t="n"/>
      <c r="BV426" s="30" t="n"/>
      <c r="BW426" s="30" t="n"/>
      <c r="BX426" s="30" t="n"/>
      <c r="BY426" s="30" t="n"/>
      <c r="BZ426" s="29" t="n"/>
      <c r="CA426" s="30" t="n"/>
      <c r="CB426" s="30" t="n"/>
      <c r="CC426" s="30" t="n"/>
      <c r="CD426" s="30" t="n"/>
      <c r="CE426" s="30" t="n"/>
      <c r="CF426" s="29" t="n"/>
      <c r="CG426" s="30" t="n"/>
      <c r="CH426" s="30" t="n"/>
      <c r="CI426" s="30" t="n"/>
      <c r="CJ426" s="30" t="n"/>
      <c r="CK426" s="30" t="n"/>
      <c r="CL426" s="29" t="n"/>
      <c r="CM426" s="31" t="n"/>
      <c r="CN426" s="31" t="n"/>
      <c r="CO426" s="188">
        <f>CO163</f>
        <v/>
      </c>
      <c r="CP426" s="188">
        <f>CP163</f>
        <v/>
      </c>
      <c r="CQ426" s="188">
        <f>CQ163</f>
        <v/>
      </c>
      <c r="CR426" s="188">
        <f>CR163</f>
        <v/>
      </c>
      <c r="CS426" s="188">
        <f>CS163</f>
        <v/>
      </c>
      <c r="CT426" s="22" t="n"/>
      <c r="CV426" s="23" t="n"/>
      <c r="CW426" s="23" t="n"/>
      <c r="CX426" s="23" t="n"/>
      <c r="CY426" s="23" t="n"/>
    </row>
    <row r="427" ht="15" customHeight="1">
      <c r="B427" s="12" t="inlineStr">
        <is>
          <t>Market capitalisation (USDm)</t>
        </is>
      </c>
      <c r="C427" s="29" t="n"/>
      <c r="D427" s="29" t="n"/>
      <c r="E427" s="30" t="n"/>
      <c r="F427" s="30" t="n"/>
      <c r="G427" s="30" t="n"/>
      <c r="H427" s="30" t="n"/>
      <c r="I427" s="30" t="n"/>
      <c r="J427" s="30" t="n"/>
      <c r="K427" s="30" t="n"/>
      <c r="L427" s="29" t="n"/>
      <c r="M427" s="30" t="n"/>
      <c r="N427" s="30" t="n"/>
      <c r="O427" s="30" t="n"/>
      <c r="P427" s="30" t="n"/>
      <c r="Q427" s="30" t="n"/>
      <c r="R427" s="29" t="n"/>
      <c r="S427" s="30" t="n"/>
      <c r="T427" s="30" t="n"/>
      <c r="U427" s="30" t="n"/>
      <c r="V427" s="30" t="n"/>
      <c r="W427" s="30" t="n"/>
      <c r="X427" s="29" t="n"/>
      <c r="Y427" s="30" t="n"/>
      <c r="Z427" s="30" t="n"/>
      <c r="AA427" s="30" t="n"/>
      <c r="AB427" s="30" t="n"/>
      <c r="AC427" s="30" t="n"/>
      <c r="AD427" s="29" t="n"/>
      <c r="AE427" s="30" t="n"/>
      <c r="AF427" s="30" t="n"/>
      <c r="AG427" s="30" t="n"/>
      <c r="AH427" s="30" t="n"/>
      <c r="AI427" s="30" t="n"/>
      <c r="AJ427" s="29" t="n"/>
      <c r="AK427" s="30" t="n"/>
      <c r="AL427" s="30" t="n"/>
      <c r="AM427" s="30" t="n"/>
      <c r="AN427" s="30" t="n"/>
      <c r="AO427" s="30" t="n"/>
      <c r="AP427" s="29" t="n"/>
      <c r="AQ427" s="30" t="n"/>
      <c r="AR427" s="30" t="n"/>
      <c r="AS427" s="30" t="n"/>
      <c r="AT427" s="30" t="n"/>
      <c r="AU427" s="30" t="n"/>
      <c r="AV427" s="29" t="n"/>
      <c r="AW427" s="30" t="n"/>
      <c r="AX427" s="30" t="n"/>
      <c r="AY427" s="30" t="n"/>
      <c r="AZ427" s="30" t="n"/>
      <c r="BA427" s="30" t="n"/>
      <c r="BB427" s="29" t="n"/>
      <c r="BC427" s="30" t="n"/>
      <c r="BD427" s="30" t="n"/>
      <c r="BE427" s="30" t="n"/>
      <c r="BF427" s="30" t="n"/>
      <c r="BG427" s="30" t="n"/>
      <c r="BH427" s="29" t="n"/>
      <c r="BI427" s="30" t="n"/>
      <c r="BJ427" s="30" t="n"/>
      <c r="BK427" s="30" t="n"/>
      <c r="BL427" s="30" t="n"/>
      <c r="BM427" s="30" t="n"/>
      <c r="BN427" s="29" t="n"/>
      <c r="BO427" s="30" t="n"/>
      <c r="BP427" s="30" t="n"/>
      <c r="BQ427" s="30" t="n"/>
      <c r="BR427" s="30" t="n"/>
      <c r="BS427" s="30" t="n"/>
      <c r="BT427" s="29" t="n"/>
      <c r="BU427" s="30" t="n"/>
      <c r="BV427" s="30" t="n"/>
      <c r="BW427" s="30" t="n"/>
      <c r="BX427" s="30" t="n"/>
      <c r="BY427" s="30" t="n"/>
      <c r="BZ427" s="29" t="n"/>
      <c r="CA427" s="30" t="n"/>
      <c r="CB427" s="30" t="n"/>
      <c r="CC427" s="30" t="n"/>
      <c r="CD427" s="30" t="n"/>
      <c r="CE427" s="30" t="n"/>
      <c r="CF427" s="29" t="n"/>
      <c r="CG427" s="30" t="n"/>
      <c r="CH427" s="30" t="n"/>
      <c r="CI427" s="30" t="n"/>
      <c r="CJ427" s="30" t="n"/>
      <c r="CK427" s="30" t="n"/>
      <c r="CL427" s="29" t="n"/>
      <c r="CM427" s="31" t="n"/>
      <c r="CN427" s="31" t="n"/>
      <c r="CO427" s="171">
        <f>IFERROR(CO425*CO426,"n/a")</f>
        <v/>
      </c>
      <c r="CP427" s="171">
        <f>IFERROR(CP425*CP426,"n/a")</f>
        <v/>
      </c>
      <c r="CQ427" s="171">
        <f>IFERROR(CQ425*CQ426,"n/a")</f>
        <v/>
      </c>
      <c r="CR427" s="171">
        <f>IFERROR(CR425*CR426,"n/a")</f>
        <v/>
      </c>
      <c r="CS427" s="171">
        <f>IFERROR(CS425*CS426,"n/a")</f>
        <v/>
      </c>
      <c r="CT427" s="22" t="n"/>
      <c r="CV427" s="23" t="n"/>
      <c r="CW427" s="23" t="n"/>
      <c r="CX427" s="23" t="n"/>
      <c r="CY427" s="23" t="n"/>
    </row>
    <row r="428" ht="15" customHeight="1">
      <c r="B428" s="12" t="inlineStr">
        <is>
          <t>Net debt (USDm)</t>
        </is>
      </c>
      <c r="C428" s="29" t="n"/>
      <c r="D428" s="29" t="n"/>
      <c r="E428" s="30" t="n"/>
      <c r="F428" s="30" t="n"/>
      <c r="G428" s="30" t="n"/>
      <c r="H428" s="30" t="n"/>
      <c r="I428" s="30" t="n"/>
      <c r="J428" s="30" t="n"/>
      <c r="K428" s="30" t="n"/>
      <c r="L428" s="29" t="n"/>
      <c r="M428" s="30" t="n"/>
      <c r="N428" s="30" t="n"/>
      <c r="O428" s="30" t="n"/>
      <c r="P428" s="30" t="n"/>
      <c r="Q428" s="30" t="n"/>
      <c r="R428" s="29" t="n"/>
      <c r="S428" s="30" t="n"/>
      <c r="T428" s="30" t="n"/>
      <c r="U428" s="30" t="n"/>
      <c r="V428" s="30" t="n"/>
      <c r="W428" s="30" t="n"/>
      <c r="X428" s="29" t="n"/>
      <c r="Y428" s="30" t="n"/>
      <c r="Z428" s="30" t="n"/>
      <c r="AA428" s="30" t="n"/>
      <c r="AB428" s="30" t="n"/>
      <c r="AC428" s="30" t="n"/>
      <c r="AD428" s="29" t="n"/>
      <c r="AE428" s="30" t="n"/>
      <c r="AF428" s="30" t="n"/>
      <c r="AG428" s="30" t="n"/>
      <c r="AH428" s="30" t="n"/>
      <c r="AI428" s="30" t="n"/>
      <c r="AJ428" s="29" t="n"/>
      <c r="AK428" s="30" t="n"/>
      <c r="AL428" s="30" t="n"/>
      <c r="AM428" s="30" t="n"/>
      <c r="AN428" s="30" t="n"/>
      <c r="AO428" s="30" t="n"/>
      <c r="AP428" s="29" t="n"/>
      <c r="AQ428" s="30" t="n"/>
      <c r="AR428" s="30" t="n"/>
      <c r="AS428" s="30" t="n"/>
      <c r="AT428" s="30" t="n"/>
      <c r="AU428" s="30" t="n"/>
      <c r="AV428" s="29" t="n"/>
      <c r="AW428" s="30" t="n"/>
      <c r="AX428" s="30" t="n"/>
      <c r="AY428" s="30" t="n"/>
      <c r="AZ428" s="30" t="n"/>
      <c r="BA428" s="30" t="n"/>
      <c r="BB428" s="29" t="n"/>
      <c r="BC428" s="30" t="n"/>
      <c r="BD428" s="30" t="n"/>
      <c r="BE428" s="30" t="n"/>
      <c r="BF428" s="30" t="n"/>
      <c r="BG428" s="30" t="n"/>
      <c r="BH428" s="29" t="n"/>
      <c r="BI428" s="30" t="n"/>
      <c r="BJ428" s="30" t="n"/>
      <c r="BK428" s="30" t="n"/>
      <c r="BL428" s="30" t="n"/>
      <c r="BM428" s="30" t="n"/>
      <c r="BN428" s="29" t="n"/>
      <c r="BO428" s="30" t="n"/>
      <c r="BP428" s="30" t="n"/>
      <c r="BQ428" s="30" t="n"/>
      <c r="BR428" s="30" t="n"/>
      <c r="BS428" s="30" t="n"/>
      <c r="BT428" s="29" t="n"/>
      <c r="BU428" s="30" t="n"/>
      <c r="BV428" s="30" t="n"/>
      <c r="BW428" s="30" t="n"/>
      <c r="BX428" s="30" t="n"/>
      <c r="BY428" s="30" t="n"/>
      <c r="BZ428" s="29" t="n"/>
      <c r="CA428" s="30" t="n"/>
      <c r="CB428" s="30" t="n"/>
      <c r="CC428" s="30" t="n"/>
      <c r="CD428" s="30" t="n"/>
      <c r="CE428" s="30" t="n"/>
      <c r="CF428" s="29" t="n"/>
      <c r="CG428" s="30" t="n"/>
      <c r="CH428" s="30" t="n"/>
      <c r="CI428" s="30" t="n"/>
      <c r="CJ428" s="30" t="n"/>
      <c r="CK428" s="30" t="n"/>
      <c r="CL428" s="29" t="n"/>
      <c r="CM428" s="31" t="n"/>
      <c r="CN428" s="31" t="n"/>
      <c r="CO428" s="171">
        <f>CO419</f>
        <v/>
      </c>
      <c r="CP428" s="171">
        <f>CP419</f>
        <v/>
      </c>
      <c r="CQ428" s="171">
        <f>CQ419</f>
        <v/>
      </c>
      <c r="CR428" s="171">
        <f>CR419</f>
        <v/>
      </c>
      <c r="CS428" s="171">
        <f>CS419</f>
        <v/>
      </c>
      <c r="CT428" s="22" t="n"/>
      <c r="CV428" s="23" t="n"/>
      <c r="CW428" s="23" t="n"/>
      <c r="CX428" s="23" t="n"/>
      <c r="CY428" s="23" t="n"/>
    </row>
    <row r="429" ht="15" customHeight="1">
      <c r="B429" s="12" t="inlineStr">
        <is>
          <t>Noncontrolling interests (USDm)</t>
        </is>
      </c>
      <c r="C429" s="29" t="n"/>
      <c r="D429" s="29" t="n"/>
      <c r="E429" s="30" t="n"/>
      <c r="F429" s="30" t="n"/>
      <c r="G429" s="30" t="n"/>
      <c r="H429" s="30" t="n"/>
      <c r="I429" s="30" t="n"/>
      <c r="J429" s="30" t="n"/>
      <c r="K429" s="30" t="n"/>
      <c r="L429" s="29" t="n"/>
      <c r="M429" s="30" t="n"/>
      <c r="N429" s="30" t="n"/>
      <c r="O429" s="30" t="n"/>
      <c r="P429" s="30" t="n"/>
      <c r="Q429" s="30" t="n"/>
      <c r="R429" s="29" t="n"/>
      <c r="S429" s="30" t="n"/>
      <c r="T429" s="30" t="n"/>
      <c r="U429" s="30" t="n"/>
      <c r="V429" s="30" t="n"/>
      <c r="W429" s="30" t="n"/>
      <c r="X429" s="29" t="n"/>
      <c r="Y429" s="30" t="n"/>
      <c r="Z429" s="30" t="n"/>
      <c r="AA429" s="30" t="n"/>
      <c r="AB429" s="30" t="n"/>
      <c r="AC429" s="30" t="n"/>
      <c r="AD429" s="29" t="n"/>
      <c r="AE429" s="30" t="n"/>
      <c r="AF429" s="30" t="n"/>
      <c r="AG429" s="30" t="n"/>
      <c r="AH429" s="30" t="n"/>
      <c r="AI429" s="30" t="n"/>
      <c r="AJ429" s="29" t="n"/>
      <c r="AK429" s="30" t="n"/>
      <c r="AL429" s="30" t="n"/>
      <c r="AM429" s="30" t="n"/>
      <c r="AN429" s="30" t="n"/>
      <c r="AO429" s="30" t="n"/>
      <c r="AP429" s="29" t="n"/>
      <c r="AQ429" s="30" t="n"/>
      <c r="AR429" s="30" t="n"/>
      <c r="AS429" s="30" t="n"/>
      <c r="AT429" s="30" t="n"/>
      <c r="AU429" s="30" t="n"/>
      <c r="AV429" s="29" t="n"/>
      <c r="AW429" s="30" t="n"/>
      <c r="AX429" s="30" t="n"/>
      <c r="AY429" s="30" t="n"/>
      <c r="AZ429" s="30" t="n"/>
      <c r="BA429" s="30" t="n"/>
      <c r="BB429" s="29" t="n"/>
      <c r="BC429" s="30" t="n"/>
      <c r="BD429" s="30" t="n"/>
      <c r="BE429" s="30" t="n"/>
      <c r="BF429" s="30" t="n"/>
      <c r="BG429" s="30" t="n"/>
      <c r="BH429" s="29" t="n"/>
      <c r="BI429" s="30" t="n"/>
      <c r="BJ429" s="30" t="n"/>
      <c r="BK429" s="30" t="n"/>
      <c r="BL429" s="30" t="n"/>
      <c r="BM429" s="30" t="n"/>
      <c r="BN429" s="29" t="n"/>
      <c r="BO429" s="30" t="n"/>
      <c r="BP429" s="30" t="n"/>
      <c r="BQ429" s="30" t="n"/>
      <c r="BR429" s="30" t="n"/>
      <c r="BS429" s="30" t="n"/>
      <c r="BT429" s="29" t="n"/>
      <c r="BU429" s="30" t="n"/>
      <c r="BV429" s="30" t="n"/>
      <c r="BW429" s="30" t="n"/>
      <c r="BX429" s="30" t="n"/>
      <c r="BY429" s="30" t="n"/>
      <c r="BZ429" s="29" t="n"/>
      <c r="CA429" s="30" t="n"/>
      <c r="CB429" s="30" t="n"/>
      <c r="CC429" s="30" t="n"/>
      <c r="CD429" s="30" t="n"/>
      <c r="CE429" s="30" t="n"/>
      <c r="CF429" s="29" t="n"/>
      <c r="CG429" s="30" t="n"/>
      <c r="CH429" s="30" t="n"/>
      <c r="CI429" s="30" t="n"/>
      <c r="CJ429" s="30" t="n"/>
      <c r="CK429" s="30" t="n"/>
      <c r="CL429" s="29" t="n"/>
      <c r="CM429" s="31" t="n"/>
      <c r="CN429" s="31" t="n"/>
      <c r="CO429" s="171">
        <f>CO344</f>
        <v/>
      </c>
      <c r="CP429" s="171">
        <f>CP344</f>
        <v/>
      </c>
      <c r="CQ429" s="171">
        <f>CQ344</f>
        <v/>
      </c>
      <c r="CR429" s="171">
        <f>CR344</f>
        <v/>
      </c>
      <c r="CS429" s="171">
        <f>CS344</f>
        <v/>
      </c>
      <c r="CT429" s="22" t="n"/>
      <c r="CV429" s="23" t="n"/>
      <c r="CW429" s="23" t="n"/>
      <c r="CX429" s="23" t="n"/>
      <c r="CY429" s="23" t="n"/>
    </row>
    <row r="430" ht="15" customHeight="1">
      <c r="B430" s="18" t="inlineStr">
        <is>
          <t>Enterprise value (USDm)</t>
        </is>
      </c>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19" t="n"/>
      <c r="AY430" s="19" t="n"/>
      <c r="AZ430" s="19" t="n"/>
      <c r="BA430" s="19" t="n"/>
      <c r="BB430" s="19" t="n"/>
      <c r="BC430" s="19" t="n"/>
      <c r="BD430" s="19" t="n"/>
      <c r="BE430" s="19" t="n"/>
      <c r="BF430" s="19" t="n"/>
      <c r="BG430" s="19" t="n"/>
      <c r="BH430" s="19" t="n"/>
      <c r="BI430" s="19" t="n"/>
      <c r="BJ430" s="19" t="n"/>
      <c r="BK430" s="19" t="n"/>
      <c r="BL430" s="19" t="n"/>
      <c r="BM430" s="19" t="n"/>
      <c r="BN430" s="19" t="n"/>
      <c r="BO430" s="19" t="n"/>
      <c r="BP430" s="19" t="n"/>
      <c r="BQ430" s="19" t="n"/>
      <c r="BR430" s="19" t="n"/>
      <c r="BS430" s="19" t="n"/>
      <c r="BT430" s="19" t="n"/>
      <c r="BU430" s="19" t="n"/>
      <c r="BV430" s="19" t="n"/>
      <c r="BW430" s="19" t="n"/>
      <c r="BX430" s="19" t="n"/>
      <c r="BY430" s="19" t="n"/>
      <c r="BZ430" s="19" t="n"/>
      <c r="CA430" s="19" t="n"/>
      <c r="CB430" s="19" t="n"/>
      <c r="CC430" s="19" t="n"/>
      <c r="CD430" s="19" t="n"/>
      <c r="CE430" s="19" t="n"/>
      <c r="CF430" s="19" t="n"/>
      <c r="CG430" s="19" t="n"/>
      <c r="CH430" s="19" t="n"/>
      <c r="CI430" s="19" t="n"/>
      <c r="CJ430" s="19" t="n"/>
      <c r="CK430" s="19" t="n"/>
      <c r="CL430" s="19" t="n"/>
      <c r="CM430" s="21" t="n"/>
      <c r="CN430" s="21" t="n"/>
      <c r="CO430" s="174">
        <f>IFERROR(CO427+CO428+CO429,"n/a")</f>
        <v/>
      </c>
      <c r="CP430" s="174">
        <f>IFERROR(CP427+CP428+CP429,"n/a")</f>
        <v/>
      </c>
      <c r="CQ430" s="174">
        <f>IFERROR(CQ427+CQ428+CQ429,"n/a")</f>
        <v/>
      </c>
      <c r="CR430" s="174">
        <f>IFERROR(CR427+CR428+CR429,"n/a")</f>
        <v/>
      </c>
      <c r="CS430" s="174">
        <f>IFERROR(CS427+CS428+CS429,"n/a")</f>
        <v/>
      </c>
      <c r="CT430" s="22" t="n"/>
      <c r="CV430" s="6" t="n"/>
      <c r="CW430" s="6" t="n"/>
      <c r="CX430" s="6" t="n"/>
      <c r="CY430" s="6" t="n"/>
    </row>
    <row r="431" ht="15" customHeight="1">
      <c r="B431" s="12" t="inlineStr">
        <is>
          <t>Multiples</t>
        </is>
      </c>
      <c r="C431" s="29" t="n"/>
      <c r="D431" s="29" t="n"/>
      <c r="E431" s="30" t="n"/>
      <c r="F431" s="30" t="n"/>
      <c r="G431" s="30" t="n"/>
      <c r="H431" s="30" t="n"/>
      <c r="I431" s="30" t="n"/>
      <c r="J431" s="30" t="n"/>
      <c r="K431" s="30" t="n"/>
      <c r="L431" s="29" t="n"/>
      <c r="M431" s="30" t="n"/>
      <c r="N431" s="30" t="n"/>
      <c r="O431" s="30" t="n"/>
      <c r="P431" s="30" t="n"/>
      <c r="Q431" s="30" t="n"/>
      <c r="R431" s="29" t="n"/>
      <c r="S431" s="30" t="n"/>
      <c r="T431" s="30" t="n"/>
      <c r="U431" s="30" t="n"/>
      <c r="V431" s="30" t="n"/>
      <c r="W431" s="30" t="n"/>
      <c r="X431" s="29" t="n"/>
      <c r="Y431" s="30" t="n"/>
      <c r="Z431" s="30" t="n"/>
      <c r="AA431" s="30" t="n"/>
      <c r="AB431" s="30" t="n"/>
      <c r="AC431" s="30" t="n"/>
      <c r="AD431" s="29" t="n"/>
      <c r="AE431" s="30" t="n"/>
      <c r="AF431" s="30" t="n"/>
      <c r="AG431" s="30" t="n"/>
      <c r="AH431" s="30" t="n"/>
      <c r="AI431" s="30" t="n"/>
      <c r="AJ431" s="29" t="n"/>
      <c r="AK431" s="30" t="n"/>
      <c r="AL431" s="30" t="n"/>
      <c r="AM431" s="30" t="n"/>
      <c r="AN431" s="30" t="n"/>
      <c r="AO431" s="30" t="n"/>
      <c r="AP431" s="29" t="n"/>
      <c r="AQ431" s="30" t="n"/>
      <c r="AR431" s="30" t="n"/>
      <c r="AS431" s="30" t="n"/>
      <c r="AT431" s="30" t="n"/>
      <c r="AU431" s="30" t="n"/>
      <c r="AV431" s="29" t="n"/>
      <c r="AW431" s="30" t="n"/>
      <c r="AX431" s="30" t="n"/>
      <c r="AY431" s="30" t="n"/>
      <c r="AZ431" s="30" t="n"/>
      <c r="BA431" s="30" t="n"/>
      <c r="BB431" s="29" t="n"/>
      <c r="BC431" s="30" t="n"/>
      <c r="BD431" s="30" t="n"/>
      <c r="BE431" s="30" t="n"/>
      <c r="BF431" s="30" t="n"/>
      <c r="BG431" s="30" t="n"/>
      <c r="BH431" s="29" t="n"/>
      <c r="BI431" s="30" t="n"/>
      <c r="BJ431" s="30" t="n"/>
      <c r="BK431" s="30" t="n"/>
      <c r="BL431" s="30" t="n"/>
      <c r="BM431" s="30" t="n"/>
      <c r="BN431" s="29" t="n"/>
      <c r="BO431" s="30" t="n"/>
      <c r="BP431" s="30" t="n"/>
      <c r="BQ431" s="30" t="n"/>
      <c r="BR431" s="30" t="n"/>
      <c r="BS431" s="30" t="n"/>
      <c r="BT431" s="29" t="n"/>
      <c r="BU431" s="30" t="n"/>
      <c r="BV431" s="30" t="n"/>
      <c r="BW431" s="30" t="n"/>
      <c r="BX431" s="30" t="n"/>
      <c r="BY431" s="30" t="n"/>
      <c r="BZ431" s="29" t="n"/>
      <c r="CA431" s="30" t="n"/>
      <c r="CB431" s="30" t="n"/>
      <c r="CC431" s="30" t="n"/>
      <c r="CD431" s="30" t="n"/>
      <c r="CE431" s="30" t="n"/>
      <c r="CF431" s="29" t="n"/>
      <c r="CG431" s="30" t="n"/>
      <c r="CH431" s="30" t="n"/>
      <c r="CI431" s="30" t="n"/>
      <c r="CJ431" s="30" t="n"/>
      <c r="CK431" s="30" t="n"/>
      <c r="CL431" s="29" t="n"/>
      <c r="CM431" s="31" t="n"/>
      <c r="CN431" s="31" t="n"/>
      <c r="CO431" s="31" t="n"/>
      <c r="CP431" s="31" t="n"/>
      <c r="CQ431" s="31" t="n"/>
      <c r="CR431" s="31" t="n"/>
      <c r="CS431" s="31" t="n"/>
      <c r="CT431" s="22" t="n"/>
      <c r="CV431" s="23" t="n"/>
      <c r="CW431" s="23" t="n"/>
      <c r="CX431" s="23" t="n"/>
      <c r="CY431" s="23" t="n"/>
    </row>
    <row r="432" ht="15" customHeight="1">
      <c r="B432" s="12" t="inlineStr">
        <is>
          <t xml:space="preserve">  EV / Revenues</t>
        </is>
      </c>
      <c r="C432" s="29" t="n"/>
      <c r="D432" s="29" t="n"/>
      <c r="E432" s="30" t="n"/>
      <c r="F432" s="30" t="n"/>
      <c r="G432" s="30" t="n"/>
      <c r="H432" s="30" t="n"/>
      <c r="I432" s="30" t="n"/>
      <c r="J432" s="30" t="n"/>
      <c r="K432" s="30" t="n"/>
      <c r="L432" s="29" t="n"/>
      <c r="M432" s="30" t="n"/>
      <c r="N432" s="30" t="n"/>
      <c r="O432" s="30" t="n"/>
      <c r="P432" s="30" t="n"/>
      <c r="Q432" s="30" t="n"/>
      <c r="R432" s="29" t="n"/>
      <c r="S432" s="30" t="n"/>
      <c r="T432" s="30" t="n"/>
      <c r="U432" s="30" t="n"/>
      <c r="V432" s="30" t="n"/>
      <c r="W432" s="30" t="n"/>
      <c r="X432" s="29" t="n"/>
      <c r="Y432" s="30" t="n"/>
      <c r="Z432" s="30" t="n"/>
      <c r="AA432" s="30" t="n"/>
      <c r="AB432" s="30" t="n"/>
      <c r="AC432" s="30" t="n"/>
      <c r="AD432" s="29" t="n"/>
      <c r="AE432" s="30" t="n"/>
      <c r="AF432" s="30" t="n"/>
      <c r="AG432" s="30" t="n"/>
      <c r="AH432" s="30" t="n"/>
      <c r="AI432" s="30" t="n"/>
      <c r="AJ432" s="29" t="n"/>
      <c r="AK432" s="30" t="n"/>
      <c r="AL432" s="30" t="n"/>
      <c r="AM432" s="30" t="n"/>
      <c r="AN432" s="30" t="n"/>
      <c r="AO432" s="30" t="n"/>
      <c r="AP432" s="29" t="n"/>
      <c r="AQ432" s="30" t="n"/>
      <c r="AR432" s="30" t="n"/>
      <c r="AS432" s="30" t="n"/>
      <c r="AT432" s="30" t="n"/>
      <c r="AU432" s="30" t="n"/>
      <c r="AV432" s="29" t="n"/>
      <c r="AW432" s="30" t="n"/>
      <c r="AX432" s="30" t="n"/>
      <c r="AY432" s="30" t="n"/>
      <c r="AZ432" s="30" t="n"/>
      <c r="BA432" s="30" t="n"/>
      <c r="BB432" s="29" t="n"/>
      <c r="BC432" s="30" t="n"/>
      <c r="BD432" s="30" t="n"/>
      <c r="BE432" s="30" t="n"/>
      <c r="BF432" s="30" t="n"/>
      <c r="BG432" s="30" t="n"/>
      <c r="BH432" s="29" t="n"/>
      <c r="BI432" s="30" t="n"/>
      <c r="BJ432" s="30" t="n"/>
      <c r="BK432" s="30" t="n"/>
      <c r="BL432" s="30" t="n"/>
      <c r="BM432" s="30" t="n"/>
      <c r="BN432" s="29" t="n"/>
      <c r="BO432" s="30" t="n"/>
      <c r="BP432" s="30" t="n"/>
      <c r="BQ432" s="30" t="n"/>
      <c r="BR432" s="30" t="n"/>
      <c r="BS432" s="30" t="n"/>
      <c r="BT432" s="29" t="n"/>
      <c r="BU432" s="30" t="n"/>
      <c r="BV432" s="30" t="n"/>
      <c r="BW432" s="30" t="n"/>
      <c r="BX432" s="30" t="n"/>
      <c r="BY432" s="30" t="n"/>
      <c r="BZ432" s="29" t="n"/>
      <c r="CA432" s="30" t="n"/>
      <c r="CB432" s="30" t="n"/>
      <c r="CC432" s="30" t="n"/>
      <c r="CD432" s="30" t="n"/>
      <c r="CE432" s="30" t="n"/>
      <c r="CF432" s="29" t="n"/>
      <c r="CG432" s="30" t="n"/>
      <c r="CH432" s="30" t="n"/>
      <c r="CI432" s="30" t="n"/>
      <c r="CJ432" s="30" t="n"/>
      <c r="CK432" s="30" t="n"/>
      <c r="CL432" s="29" t="n"/>
      <c r="CM432" s="31" t="n"/>
      <c r="CN432" s="31" t="n"/>
      <c r="CO432" s="195">
        <f>IFERROR(CO430/CO138,"n/a")</f>
        <v/>
      </c>
      <c r="CP432" s="195">
        <f>IFERROR(CP430/CP138,"n/a")</f>
        <v/>
      </c>
      <c r="CQ432" s="195">
        <f>IFERROR(CQ430/CQ138,"n/a")</f>
        <v/>
      </c>
      <c r="CR432" s="195">
        <f>IFERROR(CR430/CR138,"n/a")</f>
        <v/>
      </c>
      <c r="CS432" s="195">
        <f>IFERROR(CS430/CS138,"n/a")</f>
        <v/>
      </c>
      <c r="CT432" s="22" t="n"/>
      <c r="CV432" s="23" t="n"/>
      <c r="CW432" s="23" t="n"/>
      <c r="CX432" s="23" t="n"/>
      <c r="CY432" s="23" t="n"/>
    </row>
    <row r="433" ht="15" customHeight="1">
      <c r="B433" s="12" t="inlineStr">
        <is>
          <t xml:space="preserve">  EV / Adjusted EBITDA</t>
        </is>
      </c>
      <c r="C433" s="29" t="n"/>
      <c r="D433" s="29" t="n"/>
      <c r="E433" s="30" t="n"/>
      <c r="F433" s="30" t="n"/>
      <c r="G433" s="30" t="n"/>
      <c r="H433" s="30" t="n"/>
      <c r="I433" s="30" t="n"/>
      <c r="J433" s="30" t="n"/>
      <c r="K433" s="30" t="n"/>
      <c r="L433" s="29" t="n"/>
      <c r="M433" s="30" t="n"/>
      <c r="N433" s="30" t="n"/>
      <c r="O433" s="30" t="n"/>
      <c r="P433" s="30" t="n"/>
      <c r="Q433" s="30" t="n"/>
      <c r="R433" s="29" t="n"/>
      <c r="S433" s="30" t="n"/>
      <c r="T433" s="30" t="n"/>
      <c r="U433" s="30" t="n"/>
      <c r="V433" s="30" t="n"/>
      <c r="W433" s="30" t="n"/>
      <c r="X433" s="29" t="n"/>
      <c r="Y433" s="30" t="n"/>
      <c r="Z433" s="30" t="n"/>
      <c r="AA433" s="30" t="n"/>
      <c r="AB433" s="30" t="n"/>
      <c r="AC433" s="30" t="n"/>
      <c r="AD433" s="29" t="n"/>
      <c r="AE433" s="30" t="n"/>
      <c r="AF433" s="30" t="n"/>
      <c r="AG433" s="30" t="n"/>
      <c r="AH433" s="30" t="n"/>
      <c r="AI433" s="30" t="n"/>
      <c r="AJ433" s="29" t="n"/>
      <c r="AK433" s="30" t="n"/>
      <c r="AL433" s="30" t="n"/>
      <c r="AM433" s="30" t="n"/>
      <c r="AN433" s="30" t="n"/>
      <c r="AO433" s="30" t="n"/>
      <c r="AP433" s="29" t="n"/>
      <c r="AQ433" s="30" t="n"/>
      <c r="AR433" s="30" t="n"/>
      <c r="AS433" s="30" t="n"/>
      <c r="AT433" s="30" t="n"/>
      <c r="AU433" s="30" t="n"/>
      <c r="AV433" s="29" t="n"/>
      <c r="AW433" s="30" t="n"/>
      <c r="AX433" s="30" t="n"/>
      <c r="AY433" s="30" t="n"/>
      <c r="AZ433" s="30" t="n"/>
      <c r="BA433" s="30" t="n"/>
      <c r="BB433" s="29" t="n"/>
      <c r="BC433" s="30" t="n"/>
      <c r="BD433" s="30" t="n"/>
      <c r="BE433" s="30" t="n"/>
      <c r="BF433" s="30" t="n"/>
      <c r="BG433" s="30" t="n"/>
      <c r="BH433" s="29" t="n"/>
      <c r="BI433" s="30" t="n"/>
      <c r="BJ433" s="30" t="n"/>
      <c r="BK433" s="30" t="n"/>
      <c r="BL433" s="30" t="n"/>
      <c r="BM433" s="30" t="n"/>
      <c r="BN433" s="29" t="n"/>
      <c r="BO433" s="30" t="n"/>
      <c r="BP433" s="30" t="n"/>
      <c r="BQ433" s="30" t="n"/>
      <c r="BR433" s="30" t="n"/>
      <c r="BS433" s="30" t="n"/>
      <c r="BT433" s="29" t="n"/>
      <c r="BU433" s="30" t="n"/>
      <c r="BV433" s="30" t="n"/>
      <c r="BW433" s="30" t="n"/>
      <c r="BX433" s="30" t="n"/>
      <c r="BY433" s="30" t="n"/>
      <c r="BZ433" s="29" t="n"/>
      <c r="CA433" s="30" t="n"/>
      <c r="CB433" s="30" t="n"/>
      <c r="CC433" s="30" t="n"/>
      <c r="CD433" s="30" t="n"/>
      <c r="CE433" s="30" t="n"/>
      <c r="CF433" s="29" t="n"/>
      <c r="CG433" s="30" t="n"/>
      <c r="CH433" s="30" t="n"/>
      <c r="CI433" s="30" t="n"/>
      <c r="CJ433" s="30" t="n"/>
      <c r="CK433" s="30" t="n"/>
      <c r="CL433" s="29" t="n"/>
      <c r="CM433" s="31" t="n"/>
      <c r="CN433" s="31" t="n"/>
      <c r="CO433" s="195">
        <f>IFERROR(CO430/CO198,"n/a")</f>
        <v/>
      </c>
      <c r="CP433" s="195">
        <f>IFERROR(CP430/CP198,"n/a")</f>
        <v/>
      </c>
      <c r="CQ433" s="195">
        <f>IFERROR(CQ430/CQ198,"n/a")</f>
        <v/>
      </c>
      <c r="CR433" s="195">
        <f>IFERROR(CR430/CR198,"n/a")</f>
        <v/>
      </c>
      <c r="CS433" s="195">
        <f>IFERROR(CS430/CS198,"n/a")</f>
        <v/>
      </c>
      <c r="CT433" s="22" t="n"/>
      <c r="CV433" s="23" t="n"/>
      <c r="CW433" s="23" t="n"/>
      <c r="CX433" s="23" t="n"/>
      <c r="CY433" s="23" t="n"/>
    </row>
    <row r="434" ht="15" customHeight="1">
      <c r="B434" s="12" t="inlineStr">
        <is>
          <t xml:space="preserve">  EV / Adjusted EBIT</t>
        </is>
      </c>
      <c r="C434" s="29" t="n"/>
      <c r="D434" s="29" t="n"/>
      <c r="E434" s="30" t="n"/>
      <c r="F434" s="30" t="n"/>
      <c r="G434" s="30" t="n"/>
      <c r="H434" s="30" t="n"/>
      <c r="I434" s="30" t="n"/>
      <c r="J434" s="30" t="n"/>
      <c r="K434" s="30" t="n"/>
      <c r="L434" s="29" t="n"/>
      <c r="M434" s="30" t="n"/>
      <c r="N434" s="30" t="n"/>
      <c r="O434" s="30" t="n"/>
      <c r="P434" s="30" t="n"/>
      <c r="Q434" s="30" t="n"/>
      <c r="R434" s="29" t="n"/>
      <c r="S434" s="30" t="n"/>
      <c r="T434" s="30" t="n"/>
      <c r="U434" s="30" t="n"/>
      <c r="V434" s="30" t="n"/>
      <c r="W434" s="30" t="n"/>
      <c r="X434" s="29" t="n"/>
      <c r="Y434" s="30" t="n"/>
      <c r="Z434" s="30" t="n"/>
      <c r="AA434" s="30" t="n"/>
      <c r="AB434" s="30" t="n"/>
      <c r="AC434" s="30" t="n"/>
      <c r="AD434" s="29" t="n"/>
      <c r="AE434" s="30" t="n"/>
      <c r="AF434" s="30" t="n"/>
      <c r="AG434" s="30" t="n"/>
      <c r="AH434" s="30" t="n"/>
      <c r="AI434" s="30" t="n"/>
      <c r="AJ434" s="29" t="n"/>
      <c r="AK434" s="30" t="n"/>
      <c r="AL434" s="30" t="n"/>
      <c r="AM434" s="30" t="n"/>
      <c r="AN434" s="30" t="n"/>
      <c r="AO434" s="30" t="n"/>
      <c r="AP434" s="29" t="n"/>
      <c r="AQ434" s="30" t="n"/>
      <c r="AR434" s="30" t="n"/>
      <c r="AS434" s="30" t="n"/>
      <c r="AT434" s="30" t="n"/>
      <c r="AU434" s="30" t="n"/>
      <c r="AV434" s="29" t="n"/>
      <c r="AW434" s="30" t="n"/>
      <c r="AX434" s="30" t="n"/>
      <c r="AY434" s="30" t="n"/>
      <c r="AZ434" s="30" t="n"/>
      <c r="BA434" s="30" t="n"/>
      <c r="BB434" s="29" t="n"/>
      <c r="BC434" s="30" t="n"/>
      <c r="BD434" s="30" t="n"/>
      <c r="BE434" s="30" t="n"/>
      <c r="BF434" s="30" t="n"/>
      <c r="BG434" s="30" t="n"/>
      <c r="BH434" s="29" t="n"/>
      <c r="BI434" s="30" t="n"/>
      <c r="BJ434" s="30" t="n"/>
      <c r="BK434" s="30" t="n"/>
      <c r="BL434" s="30" t="n"/>
      <c r="BM434" s="30" t="n"/>
      <c r="BN434" s="29" t="n"/>
      <c r="BO434" s="30" t="n"/>
      <c r="BP434" s="30" t="n"/>
      <c r="BQ434" s="30" t="n"/>
      <c r="BR434" s="30" t="n"/>
      <c r="BS434" s="30" t="n"/>
      <c r="BT434" s="29" t="n"/>
      <c r="BU434" s="30" t="n"/>
      <c r="BV434" s="30" t="n"/>
      <c r="BW434" s="30" t="n"/>
      <c r="BX434" s="30" t="n"/>
      <c r="BY434" s="30" t="n"/>
      <c r="BZ434" s="29" t="n"/>
      <c r="CA434" s="30" t="n"/>
      <c r="CB434" s="30" t="n"/>
      <c r="CC434" s="30" t="n"/>
      <c r="CD434" s="30" t="n"/>
      <c r="CE434" s="30" t="n"/>
      <c r="CF434" s="29" t="n"/>
      <c r="CG434" s="30" t="n"/>
      <c r="CH434" s="30" t="n"/>
      <c r="CI434" s="30" t="n"/>
      <c r="CJ434" s="30" t="n"/>
      <c r="CK434" s="30" t="n"/>
      <c r="CL434" s="29" t="n"/>
      <c r="CM434" s="31" t="n"/>
      <c r="CN434" s="31" t="n"/>
      <c r="CO434" s="195">
        <f>IFERROR(CO430/CO206,"n/a")</f>
        <v/>
      </c>
      <c r="CP434" s="195">
        <f>IFERROR(CP430/CP206,"n/a")</f>
        <v/>
      </c>
      <c r="CQ434" s="195">
        <f>IFERROR(CQ430/CQ206,"n/a")</f>
        <v/>
      </c>
      <c r="CR434" s="195">
        <f>IFERROR(CR430/CR206,"n/a")</f>
        <v/>
      </c>
      <c r="CS434" s="195">
        <f>IFERROR(CS430/CS206,"n/a")</f>
        <v/>
      </c>
      <c r="CT434" s="22" t="n"/>
      <c r="CV434" s="23" t="n"/>
      <c r="CW434" s="23" t="n"/>
      <c r="CX434" s="23" t="n"/>
      <c r="CY434" s="23" t="n"/>
    </row>
    <row r="435" ht="15" customHeight="1">
      <c r="B435" s="12" t="inlineStr">
        <is>
          <t xml:space="preserve">  EV / IC</t>
        </is>
      </c>
      <c r="C435" s="29" t="n"/>
      <c r="D435" s="29" t="n"/>
      <c r="E435" s="30" t="n"/>
      <c r="F435" s="30" t="n"/>
      <c r="G435" s="30" t="n"/>
      <c r="H435" s="30" t="n"/>
      <c r="I435" s="30" t="n"/>
      <c r="J435" s="30" t="n"/>
      <c r="K435" s="30" t="n"/>
      <c r="L435" s="29" t="n"/>
      <c r="M435" s="30" t="n"/>
      <c r="N435" s="30" t="n"/>
      <c r="O435" s="30" t="n"/>
      <c r="P435" s="30" t="n"/>
      <c r="Q435" s="30" t="n"/>
      <c r="R435" s="29" t="n"/>
      <c r="S435" s="30" t="n"/>
      <c r="T435" s="30" t="n"/>
      <c r="U435" s="30" t="n"/>
      <c r="V435" s="30" t="n"/>
      <c r="W435" s="30" t="n"/>
      <c r="X435" s="29" t="n"/>
      <c r="Y435" s="30" t="n"/>
      <c r="Z435" s="30" t="n"/>
      <c r="AA435" s="30" t="n"/>
      <c r="AB435" s="30" t="n"/>
      <c r="AC435" s="30" t="n"/>
      <c r="AD435" s="29" t="n"/>
      <c r="AE435" s="30" t="n"/>
      <c r="AF435" s="30" t="n"/>
      <c r="AG435" s="30" t="n"/>
      <c r="AH435" s="30" t="n"/>
      <c r="AI435" s="30" t="n"/>
      <c r="AJ435" s="29" t="n"/>
      <c r="AK435" s="30" t="n"/>
      <c r="AL435" s="30" t="n"/>
      <c r="AM435" s="30" t="n"/>
      <c r="AN435" s="30" t="n"/>
      <c r="AO435" s="30" t="n"/>
      <c r="AP435" s="29" t="n"/>
      <c r="AQ435" s="30" t="n"/>
      <c r="AR435" s="30" t="n"/>
      <c r="AS435" s="30" t="n"/>
      <c r="AT435" s="30" t="n"/>
      <c r="AU435" s="30" t="n"/>
      <c r="AV435" s="29" t="n"/>
      <c r="AW435" s="30" t="n"/>
      <c r="AX435" s="30" t="n"/>
      <c r="AY435" s="30" t="n"/>
      <c r="AZ435" s="30" t="n"/>
      <c r="BA435" s="30" t="n"/>
      <c r="BB435" s="29" t="n"/>
      <c r="BC435" s="30" t="n"/>
      <c r="BD435" s="30" t="n"/>
      <c r="BE435" s="30" t="n"/>
      <c r="BF435" s="30" t="n"/>
      <c r="BG435" s="30" t="n"/>
      <c r="BH435" s="29" t="n"/>
      <c r="BI435" s="30" t="n"/>
      <c r="BJ435" s="30" t="n"/>
      <c r="BK435" s="30" t="n"/>
      <c r="BL435" s="30" t="n"/>
      <c r="BM435" s="30" t="n"/>
      <c r="BN435" s="29" t="n"/>
      <c r="BO435" s="30" t="n"/>
      <c r="BP435" s="30" t="n"/>
      <c r="BQ435" s="30" t="n"/>
      <c r="BR435" s="30" t="n"/>
      <c r="BS435" s="30" t="n"/>
      <c r="BT435" s="29" t="n"/>
      <c r="BU435" s="30" t="n"/>
      <c r="BV435" s="30" t="n"/>
      <c r="BW435" s="30" t="n"/>
      <c r="BX435" s="30" t="n"/>
      <c r="BY435" s="30" t="n"/>
      <c r="BZ435" s="29" t="n"/>
      <c r="CA435" s="30" t="n"/>
      <c r="CB435" s="30" t="n"/>
      <c r="CC435" s="30" t="n"/>
      <c r="CD435" s="30" t="n"/>
      <c r="CE435" s="30" t="n"/>
      <c r="CF435" s="29" t="n"/>
      <c r="CG435" s="30" t="n"/>
      <c r="CH435" s="30" t="n"/>
      <c r="CI435" s="30" t="n"/>
      <c r="CJ435" s="30" t="n"/>
      <c r="CK435" s="30" t="n"/>
      <c r="CL435" s="29" t="n"/>
      <c r="CM435" s="31" t="n"/>
      <c r="CN435" s="31" t="n"/>
      <c r="CO435" s="195">
        <f>IFERROR(CO430/CO396,"n/a")</f>
        <v/>
      </c>
      <c r="CP435" s="195">
        <f>IFERROR(CP430/CP396,"n/a")</f>
        <v/>
      </c>
      <c r="CQ435" s="195">
        <f>IFERROR(CQ430/CQ396,"n/a")</f>
        <v/>
      </c>
      <c r="CR435" s="195">
        <f>IFERROR(CR430/CR396,"n/a")</f>
        <v/>
      </c>
      <c r="CS435" s="195">
        <f>IFERROR(CS430/CS396,"n/a")</f>
        <v/>
      </c>
      <c r="CT435" s="22" t="n"/>
      <c r="CV435" s="23" t="n"/>
      <c r="CW435" s="23" t="n"/>
      <c r="CX435" s="23" t="n"/>
      <c r="CY435" s="23" t="n"/>
    </row>
    <row r="436" ht="15" customHeight="1">
      <c r="B436" s="12" t="inlineStr">
        <is>
          <t xml:space="preserve">  P / E (GAAP diluted)</t>
        </is>
      </c>
      <c r="C436" s="29" t="n"/>
      <c r="D436" s="29" t="n"/>
      <c r="E436" s="30" t="n"/>
      <c r="F436" s="30" t="n"/>
      <c r="G436" s="30" t="n"/>
      <c r="H436" s="30" t="n"/>
      <c r="I436" s="30" t="n"/>
      <c r="J436" s="30" t="n"/>
      <c r="K436" s="30" t="n"/>
      <c r="L436" s="29" t="n"/>
      <c r="M436" s="30" t="n"/>
      <c r="N436" s="30" t="n"/>
      <c r="O436" s="30" t="n"/>
      <c r="P436" s="30" t="n"/>
      <c r="Q436" s="30" t="n"/>
      <c r="R436" s="29" t="n"/>
      <c r="S436" s="30" t="n"/>
      <c r="T436" s="30" t="n"/>
      <c r="U436" s="30" t="n"/>
      <c r="V436" s="30" t="n"/>
      <c r="W436" s="30" t="n"/>
      <c r="X436" s="29" t="n"/>
      <c r="Y436" s="30" t="n"/>
      <c r="Z436" s="30" t="n"/>
      <c r="AA436" s="30" t="n"/>
      <c r="AB436" s="30" t="n"/>
      <c r="AC436" s="30" t="n"/>
      <c r="AD436" s="29" t="n"/>
      <c r="AE436" s="30" t="n"/>
      <c r="AF436" s="30" t="n"/>
      <c r="AG436" s="30" t="n"/>
      <c r="AH436" s="30" t="n"/>
      <c r="AI436" s="30" t="n"/>
      <c r="AJ436" s="29" t="n"/>
      <c r="AK436" s="30" t="n"/>
      <c r="AL436" s="30" t="n"/>
      <c r="AM436" s="30" t="n"/>
      <c r="AN436" s="30" t="n"/>
      <c r="AO436" s="30" t="n"/>
      <c r="AP436" s="29" t="n"/>
      <c r="AQ436" s="30" t="n"/>
      <c r="AR436" s="30" t="n"/>
      <c r="AS436" s="30" t="n"/>
      <c r="AT436" s="30" t="n"/>
      <c r="AU436" s="30" t="n"/>
      <c r="AV436" s="29" t="n"/>
      <c r="AW436" s="30" t="n"/>
      <c r="AX436" s="30" t="n"/>
      <c r="AY436" s="30" t="n"/>
      <c r="AZ436" s="30" t="n"/>
      <c r="BA436" s="30" t="n"/>
      <c r="BB436" s="29" t="n"/>
      <c r="BC436" s="30" t="n"/>
      <c r="BD436" s="30" t="n"/>
      <c r="BE436" s="30" t="n"/>
      <c r="BF436" s="30" t="n"/>
      <c r="BG436" s="30" t="n"/>
      <c r="BH436" s="29" t="n"/>
      <c r="BI436" s="30" t="n"/>
      <c r="BJ436" s="30" t="n"/>
      <c r="BK436" s="30" t="n"/>
      <c r="BL436" s="30" t="n"/>
      <c r="BM436" s="30" t="n"/>
      <c r="BN436" s="29" t="n"/>
      <c r="BO436" s="30" t="n"/>
      <c r="BP436" s="30" t="n"/>
      <c r="BQ436" s="30" t="n"/>
      <c r="BR436" s="30" t="n"/>
      <c r="BS436" s="30" t="n"/>
      <c r="BT436" s="29" t="n"/>
      <c r="BU436" s="30" t="n"/>
      <c r="BV436" s="30" t="n"/>
      <c r="BW436" s="30" t="n"/>
      <c r="BX436" s="30" t="n"/>
      <c r="BY436" s="30" t="n"/>
      <c r="BZ436" s="29" t="n"/>
      <c r="CA436" s="30" t="n"/>
      <c r="CB436" s="30" t="n"/>
      <c r="CC436" s="30" t="n"/>
      <c r="CD436" s="30" t="n"/>
      <c r="CE436" s="30" t="n"/>
      <c r="CF436" s="29" t="n"/>
      <c r="CG436" s="30" t="n"/>
      <c r="CH436" s="30" t="n"/>
      <c r="CI436" s="30" t="n"/>
      <c r="CJ436" s="30" t="n"/>
      <c r="CK436" s="30" t="n"/>
      <c r="CL436" s="29" t="n"/>
      <c r="CM436" s="31" t="n"/>
      <c r="CN436" s="31" t="n"/>
      <c r="CO436" s="195">
        <f>IFERROR(CO425/CO165,"n/a")</f>
        <v/>
      </c>
      <c r="CP436" s="195">
        <f>IFERROR(CP425/CP165,"n/a")</f>
        <v/>
      </c>
      <c r="CQ436" s="195">
        <f>IFERROR(CQ425/CQ165,"n/a")</f>
        <v/>
      </c>
      <c r="CR436" s="195">
        <f>IFERROR(CR425/CR165,"n/a")</f>
        <v/>
      </c>
      <c r="CS436" s="195">
        <f>IFERROR(CS425/CS165,"n/a")</f>
        <v/>
      </c>
      <c r="CT436" s="22" t="n"/>
      <c r="CV436" s="23" t="n"/>
      <c r="CW436" s="23" t="n"/>
      <c r="CX436" s="23" t="n"/>
      <c r="CY436" s="23" t="n"/>
    </row>
    <row r="437" ht="15" customHeight="1">
      <c r="B437" s="12" t="inlineStr">
        <is>
          <t xml:space="preserve">  P / E (Adjusted EPS, company definition)</t>
        </is>
      </c>
      <c r="C437" s="29" t="n"/>
      <c r="D437" s="29" t="n"/>
      <c r="E437" s="30" t="n"/>
      <c r="F437" s="30" t="n"/>
      <c r="G437" s="30" t="n"/>
      <c r="H437" s="30" t="n"/>
      <c r="I437" s="30" t="n"/>
      <c r="J437" s="30" t="n"/>
      <c r="K437" s="30" t="n"/>
      <c r="L437" s="29" t="n"/>
      <c r="M437" s="30" t="n"/>
      <c r="N437" s="30" t="n"/>
      <c r="O437" s="30" t="n"/>
      <c r="P437" s="30" t="n"/>
      <c r="Q437" s="30" t="n"/>
      <c r="R437" s="29" t="n"/>
      <c r="S437" s="30" t="n"/>
      <c r="T437" s="30" t="n"/>
      <c r="U437" s="30" t="n"/>
      <c r="V437" s="30" t="n"/>
      <c r="W437" s="30" t="n"/>
      <c r="X437" s="29" t="n"/>
      <c r="Y437" s="30" t="n"/>
      <c r="Z437" s="30" t="n"/>
      <c r="AA437" s="30" t="n"/>
      <c r="AB437" s="30" t="n"/>
      <c r="AC437" s="30" t="n"/>
      <c r="AD437" s="29" t="n"/>
      <c r="AE437" s="30" t="n"/>
      <c r="AF437" s="30" t="n"/>
      <c r="AG437" s="30" t="n"/>
      <c r="AH437" s="30" t="n"/>
      <c r="AI437" s="30" t="n"/>
      <c r="AJ437" s="29" t="n"/>
      <c r="AK437" s="30" t="n"/>
      <c r="AL437" s="30" t="n"/>
      <c r="AM437" s="30" t="n"/>
      <c r="AN437" s="30" t="n"/>
      <c r="AO437" s="30" t="n"/>
      <c r="AP437" s="29" t="n"/>
      <c r="AQ437" s="30" t="n"/>
      <c r="AR437" s="30" t="n"/>
      <c r="AS437" s="30" t="n"/>
      <c r="AT437" s="30" t="n"/>
      <c r="AU437" s="30" t="n"/>
      <c r="AV437" s="29" t="n"/>
      <c r="AW437" s="30" t="n"/>
      <c r="AX437" s="30" t="n"/>
      <c r="AY437" s="30" t="n"/>
      <c r="AZ437" s="30" t="n"/>
      <c r="BA437" s="30" t="n"/>
      <c r="BB437" s="29" t="n"/>
      <c r="BC437" s="30" t="n"/>
      <c r="BD437" s="30" t="n"/>
      <c r="BE437" s="30" t="n"/>
      <c r="BF437" s="30" t="n"/>
      <c r="BG437" s="30" t="n"/>
      <c r="BH437" s="29" t="n"/>
      <c r="BI437" s="30" t="n"/>
      <c r="BJ437" s="30" t="n"/>
      <c r="BK437" s="30" t="n"/>
      <c r="BL437" s="30" t="n"/>
      <c r="BM437" s="30" t="n"/>
      <c r="BN437" s="29" t="n"/>
      <c r="BO437" s="30" t="n"/>
      <c r="BP437" s="30" t="n"/>
      <c r="BQ437" s="30" t="n"/>
      <c r="BR437" s="30" t="n"/>
      <c r="BS437" s="30" t="n"/>
      <c r="BT437" s="29" t="n"/>
      <c r="BU437" s="30" t="n"/>
      <c r="BV437" s="30" t="n"/>
      <c r="BW437" s="30" t="n"/>
      <c r="BX437" s="30" t="n"/>
      <c r="BY437" s="30" t="n"/>
      <c r="BZ437" s="29" t="n"/>
      <c r="CA437" s="30" t="n"/>
      <c r="CB437" s="30" t="n"/>
      <c r="CC437" s="30" t="n"/>
      <c r="CD437" s="30" t="n"/>
      <c r="CE437" s="30" t="n"/>
      <c r="CF437" s="29" t="n"/>
      <c r="CG437" s="30" t="n"/>
      <c r="CH437" s="30" t="n"/>
      <c r="CI437" s="30" t="n"/>
      <c r="CJ437" s="30" t="n"/>
      <c r="CK437" s="30" t="n"/>
      <c r="CL437" s="29" t="n"/>
      <c r="CM437" s="31" t="n"/>
      <c r="CN437" s="31" t="n"/>
      <c r="CO437" s="195">
        <f>IFERROR(CO425/CO230,"n/a")</f>
        <v/>
      </c>
      <c r="CP437" s="195">
        <f>IFERROR(CP425/CP230,"n/a")</f>
        <v/>
      </c>
      <c r="CQ437" s="195">
        <f>IFERROR(CQ425/CQ230,"n/a")</f>
        <v/>
      </c>
      <c r="CR437" s="195">
        <f>IFERROR(CR425/CR230,"n/a")</f>
        <v/>
      </c>
      <c r="CS437" s="195">
        <f>IFERROR(CS425/CS230,"n/a")</f>
        <v/>
      </c>
      <c r="CT437" s="22" t="n"/>
      <c r="CV437" s="23" t="n"/>
      <c r="CW437" s="23" t="n"/>
      <c r="CX437" s="23" t="n"/>
      <c r="CY437" s="23" t="n"/>
    </row>
    <row r="438" ht="15" customHeight="1">
      <c r="B438" s="25" t="inlineStr">
        <is>
          <t xml:space="preserve">  FCF yield</t>
        </is>
      </c>
      <c r="C438" s="39" t="n"/>
      <c r="D438" s="39" t="n"/>
      <c r="E438" s="39" t="n"/>
      <c r="F438" s="39" t="n"/>
      <c r="G438" s="39" t="n"/>
      <c r="H438" s="39" t="n"/>
      <c r="I438" s="39" t="n"/>
      <c r="J438" s="39" t="n"/>
      <c r="K438" s="39" t="n"/>
      <c r="L438" s="39" t="n"/>
      <c r="M438" s="39" t="n"/>
      <c r="N438" s="39" t="n"/>
      <c r="O438" s="39" t="n"/>
      <c r="P438" s="39" t="n"/>
      <c r="Q438" s="39" t="n"/>
      <c r="R438" s="39" t="n"/>
      <c r="S438" s="39" t="n"/>
      <c r="T438" s="39" t="n"/>
      <c r="U438" s="39" t="n"/>
      <c r="V438" s="39" t="n"/>
      <c r="W438" s="39" t="n"/>
      <c r="X438" s="39" t="n"/>
      <c r="Y438" s="39" t="n"/>
      <c r="Z438" s="39" t="n"/>
      <c r="AA438" s="39" t="n"/>
      <c r="AB438" s="39" t="n"/>
      <c r="AC438" s="39" t="n"/>
      <c r="AD438" s="39" t="n"/>
      <c r="AE438" s="39" t="n"/>
      <c r="AF438" s="39" t="n"/>
      <c r="AG438" s="39" t="n"/>
      <c r="AH438" s="39" t="n"/>
      <c r="AI438" s="39" t="n"/>
      <c r="AJ438" s="39" t="n"/>
      <c r="AK438" s="39" t="n"/>
      <c r="AL438" s="39" t="n"/>
      <c r="AM438" s="39" t="n"/>
      <c r="AN438" s="39" t="n"/>
      <c r="AO438" s="39" t="n"/>
      <c r="AP438" s="39" t="n"/>
      <c r="AQ438" s="39" t="n"/>
      <c r="AR438" s="39" t="n"/>
      <c r="AS438" s="39" t="n"/>
      <c r="AT438" s="39" t="n"/>
      <c r="AU438" s="39" t="n"/>
      <c r="AV438" s="39" t="n"/>
      <c r="AW438" s="39" t="n"/>
      <c r="AX438" s="39" t="n"/>
      <c r="AY438" s="39" t="n"/>
      <c r="AZ438" s="39" t="n"/>
      <c r="BA438" s="39" t="n"/>
      <c r="BB438" s="39" t="n"/>
      <c r="BC438" s="39" t="n"/>
      <c r="BD438" s="39" t="n"/>
      <c r="BE438" s="39" t="n"/>
      <c r="BF438" s="39" t="n"/>
      <c r="BG438" s="39" t="n"/>
      <c r="BH438" s="39" t="n"/>
      <c r="BI438" s="39" t="n"/>
      <c r="BJ438" s="39" t="n"/>
      <c r="BK438" s="39" t="n"/>
      <c r="BL438" s="39" t="n"/>
      <c r="BM438" s="39" t="n"/>
      <c r="BN438" s="39" t="n"/>
      <c r="BO438" s="39" t="n"/>
      <c r="BP438" s="39" t="n"/>
      <c r="BQ438" s="39" t="n"/>
      <c r="BR438" s="39" t="n"/>
      <c r="BS438" s="39" t="n"/>
      <c r="BT438" s="39" t="n"/>
      <c r="BU438" s="39" t="n"/>
      <c r="BV438" s="39" t="n"/>
      <c r="BW438" s="39" t="n"/>
      <c r="BX438" s="39" t="n"/>
      <c r="BY438" s="39" t="n"/>
      <c r="BZ438" s="39" t="n"/>
      <c r="CA438" s="39" t="n"/>
      <c r="CB438" s="39" t="n"/>
      <c r="CC438" s="39" t="n"/>
      <c r="CD438" s="39" t="n"/>
      <c r="CE438" s="39" t="n"/>
      <c r="CF438" s="39" t="n"/>
      <c r="CG438" s="39" t="n"/>
      <c r="CH438" s="39" t="n"/>
      <c r="CI438" s="39" t="n"/>
      <c r="CJ438" s="39" t="n"/>
      <c r="CK438" s="39" t="n"/>
      <c r="CL438" s="39" t="n"/>
      <c r="CM438" s="27" t="n"/>
      <c r="CN438" s="27" t="n"/>
      <c r="CO438" s="165">
        <f>IFERROR(CO284/CO427,"n/a")</f>
        <v/>
      </c>
      <c r="CP438" s="165">
        <f>IFERROR(CP284/CP427,"n/a")</f>
        <v/>
      </c>
      <c r="CQ438" s="165">
        <f>IFERROR(CQ284/CQ427,"n/a")</f>
        <v/>
      </c>
      <c r="CR438" s="165">
        <f>IFERROR(CR284/CR427,"n/a")</f>
        <v/>
      </c>
      <c r="CS438" s="165">
        <f>IFERROR(CS284/CS427,"n/a")</f>
        <v/>
      </c>
      <c r="CT438" s="22" t="n"/>
      <c r="CV438" s="40" t="n"/>
      <c r="CW438" s="40" t="n"/>
      <c r="CX438" s="40" t="n"/>
      <c r="CY438" s="40" t="n"/>
    </row>
    <row r="439" ht="15" customHeight="1">
      <c r="B439" s="25" t="inlineStr">
        <is>
          <t xml:space="preserve">  Dividend yield</t>
        </is>
      </c>
      <c r="C439" s="39" t="n"/>
      <c r="D439" s="39" t="n"/>
      <c r="E439" s="39" t="n"/>
      <c r="F439" s="39" t="n"/>
      <c r="G439" s="39" t="n"/>
      <c r="H439" s="39" t="n"/>
      <c r="I439" s="39" t="n"/>
      <c r="J439" s="39" t="n"/>
      <c r="K439" s="39" t="n"/>
      <c r="L439" s="39" t="n"/>
      <c r="M439" s="39" t="n"/>
      <c r="N439" s="39" t="n"/>
      <c r="O439" s="39" t="n"/>
      <c r="P439" s="39" t="n"/>
      <c r="Q439" s="39" t="n"/>
      <c r="R439" s="39" t="n"/>
      <c r="S439" s="39" t="n"/>
      <c r="T439" s="39" t="n"/>
      <c r="U439" s="39" t="n"/>
      <c r="V439" s="39" t="n"/>
      <c r="W439" s="39" t="n"/>
      <c r="X439" s="39" t="n"/>
      <c r="Y439" s="39" t="n"/>
      <c r="Z439" s="39" t="n"/>
      <c r="AA439" s="39" t="n"/>
      <c r="AB439" s="39" t="n"/>
      <c r="AC439" s="39" t="n"/>
      <c r="AD439" s="39" t="n"/>
      <c r="AE439" s="39" t="n"/>
      <c r="AF439" s="39" t="n"/>
      <c r="AG439" s="39" t="n"/>
      <c r="AH439" s="39" t="n"/>
      <c r="AI439" s="39" t="n"/>
      <c r="AJ439" s="39" t="n"/>
      <c r="AK439" s="39" t="n"/>
      <c r="AL439" s="39" t="n"/>
      <c r="AM439" s="39" t="n"/>
      <c r="AN439" s="39" t="n"/>
      <c r="AO439" s="39" t="n"/>
      <c r="AP439" s="39" t="n"/>
      <c r="AQ439" s="39" t="n"/>
      <c r="AR439" s="39" t="n"/>
      <c r="AS439" s="39" t="n"/>
      <c r="AT439" s="39" t="n"/>
      <c r="AU439" s="39" t="n"/>
      <c r="AV439" s="39" t="n"/>
      <c r="AW439" s="39" t="n"/>
      <c r="AX439" s="39" t="n"/>
      <c r="AY439" s="39" t="n"/>
      <c r="AZ439" s="39" t="n"/>
      <c r="BA439" s="39" t="n"/>
      <c r="BB439" s="39" t="n"/>
      <c r="BC439" s="39" t="n"/>
      <c r="BD439" s="39" t="n"/>
      <c r="BE439" s="39" t="n"/>
      <c r="BF439" s="39" t="n"/>
      <c r="BG439" s="39" t="n"/>
      <c r="BH439" s="39" t="n"/>
      <c r="BI439" s="39" t="n"/>
      <c r="BJ439" s="39" t="n"/>
      <c r="BK439" s="39" t="n"/>
      <c r="BL439" s="39" t="n"/>
      <c r="BM439" s="39" t="n"/>
      <c r="BN439" s="39" t="n"/>
      <c r="BO439" s="39" t="n"/>
      <c r="BP439" s="39" t="n"/>
      <c r="BQ439" s="39" t="n"/>
      <c r="BR439" s="39" t="n"/>
      <c r="BS439" s="39" t="n"/>
      <c r="BT439" s="39" t="n"/>
      <c r="BU439" s="39" t="n"/>
      <c r="BV439" s="39" t="n"/>
      <c r="BW439" s="39" t="n"/>
      <c r="BX439" s="39" t="n"/>
      <c r="BY439" s="39" t="n"/>
      <c r="BZ439" s="39" t="n"/>
      <c r="CA439" s="39" t="n"/>
      <c r="CB439" s="39" t="n"/>
      <c r="CC439" s="39" t="n"/>
      <c r="CD439" s="39" t="n"/>
      <c r="CE439" s="39" t="n"/>
      <c r="CF439" s="39" t="n"/>
      <c r="CG439" s="39" t="n"/>
      <c r="CH439" s="39" t="n"/>
      <c r="CI439" s="39" t="n"/>
      <c r="CJ439" s="39" t="n"/>
      <c r="CK439" s="39" t="n"/>
      <c r="CL439" s="39" t="n"/>
      <c r="CM439" s="27" t="n"/>
      <c r="CN439" s="27" t="n"/>
      <c r="CO439" s="165">
        <f>IFERROR(CO170/CO425,"n/a")</f>
        <v/>
      </c>
      <c r="CP439" s="165">
        <f>IFERROR(CP170/CP425,"n/a")</f>
        <v/>
      </c>
      <c r="CQ439" s="165">
        <f>IFERROR(CQ170/CQ425,"n/a")</f>
        <v/>
      </c>
      <c r="CR439" s="165">
        <f>IFERROR(CR170/CR425,"n/a")</f>
        <v/>
      </c>
      <c r="CS439" s="165">
        <f>IFERROR(CS170/CS425,"n/a")</f>
        <v/>
      </c>
      <c r="CT439" s="22" t="n"/>
      <c r="CV439" s="40" t="n"/>
      <c r="CW439" s="40" t="n"/>
      <c r="CX439" s="40" t="n"/>
      <c r="CY439" s="40" t="n"/>
    </row>
    <row r="440" ht="15" customHeight="1"/>
    <row r="441" ht="15" customHeight="1"/>
    <row r="442" ht="15" customHeight="1"/>
    <row r="443" ht="15" customHeight="1"/>
    <row r="444" ht="15" customHeight="1"/>
    <row r="445" ht="15" customHeight="1"/>
  </sheetData>
  <dataValidations count="1">
    <dataValidation sqref="CT2" showDropDown="0" showInputMessage="0" showErrorMessage="0" allowBlank="0" type="list">
      <formula1>"Bull,Base,Bear"</formula1>
      <formula2>0</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J47"/>
  <sheetViews>
    <sheetView showGridLines="0" tabSelected="1" zoomScale="50" zoomScaleNormal="50" workbookViewId="0">
      <selection activeCell="H27" sqref="H27"/>
    </sheetView>
  </sheetViews>
  <sheetFormatPr baseColWidth="8" defaultColWidth="8.5703125" defaultRowHeight="15"/>
  <cols>
    <col width="2" customWidth="1" min="1" max="1"/>
    <col width="40" customWidth="1" min="2" max="2"/>
    <col width="13" customWidth="1" min="3" max="3"/>
    <col width="13.5703125" customWidth="1" min="9" max="9"/>
    <col width="12.5703125" customWidth="1" min="10" max="10"/>
    <col width="9.7109375" customWidth="1" min="11" max="11"/>
    <col width="41.42578125" customWidth="1" min="14" max="14"/>
    <col width="11.42578125" customWidth="1" min="15" max="15"/>
    <col width="41.42578125" customWidth="1" min="26" max="26"/>
    <col width="11.7109375" customWidth="1" min="27" max="27"/>
  </cols>
  <sheetData>
    <row r="2" ht="19.5" customHeight="1">
      <c r="B2" s="73" t="inlineStr">
        <is>
          <t>Vulcan Materials (VMC) — Bull / Base / Bear Case P&amp;L Summary</t>
        </is>
      </c>
      <c r="J2" s="11" t="inlineStr">
        <is>
          <t>Share price ($):</t>
        </is>
      </c>
      <c r="K2" s="74">
        <f>Model!$CO$425</f>
        <v/>
      </c>
    </row>
    <row r="3" ht="15" customHeight="1">
      <c r="B3" s="4" t="inlineStr">
        <is>
          <t>Adjusted figures (company definitions) · USD millions · Live panel linked</t>
        </is>
      </c>
      <c r="J3" s="11" t="inlineStr">
        <is>
          <t>As of:</t>
        </is>
      </c>
      <c r="K3" s="75">
        <f>TODAY()</f>
        <v/>
      </c>
    </row>
    <row r="5" ht="15" customHeight="1">
      <c r="B5" s="11" t="inlineStr">
        <is>
          <t>Scenario:</t>
        </is>
      </c>
      <c r="C5" s="76">
        <f>Model!CT2</f>
        <v/>
      </c>
      <c r="N5" s="77" t="inlineStr">
        <is>
          <t>Scenario:</t>
        </is>
      </c>
      <c r="O5" s="78" t="inlineStr">
        <is>
          <t>Bull</t>
        </is>
      </c>
      <c r="P5" s="4" t="inlineStr">
        <is>
          <t>Snapshot (values) — Model run with switch = Bull</t>
        </is>
      </c>
      <c r="Z5" s="77" t="inlineStr">
        <is>
          <t>Scenario:</t>
        </is>
      </c>
      <c r="AA5" s="78" t="inlineStr">
        <is>
          <t>Bear</t>
        </is>
      </c>
      <c r="AB5" s="4" t="inlineStr">
        <is>
          <t>Snapshot (values) — Model run with switch = Bear</t>
        </is>
      </c>
    </row>
    <row r="7" ht="15" customHeight="1">
      <c r="B7" s="79" t="inlineStr">
        <is>
          <t>(USDm, except EPS and shares)</t>
        </is>
      </c>
      <c r="C7" s="80" t="inlineStr">
        <is>
          <t>2025A</t>
        </is>
      </c>
      <c r="D7" s="80" t="inlineStr">
        <is>
          <t>2026E</t>
        </is>
      </c>
      <c r="E7" s="80" t="inlineStr">
        <is>
          <t>2027E</t>
        </is>
      </c>
      <c r="F7" s="80" t="inlineStr">
        <is>
          <t>2028E</t>
        </is>
      </c>
      <c r="G7" s="80" t="inlineStr">
        <is>
          <t>2029E</t>
        </is>
      </c>
      <c r="H7" s="80" t="inlineStr">
        <is>
          <t>2030E</t>
        </is>
      </c>
      <c r="I7" s="80" t="inlineStr">
        <is>
          <t>25-'30 CAGR</t>
        </is>
      </c>
      <c r="J7" s="81" t="inlineStr">
        <is>
          <t>LT Hist Avg</t>
        </is>
      </c>
      <c r="K7" s="81" t="inlineStr">
        <is>
          <t>LT Hist Min</t>
        </is>
      </c>
      <c r="L7" s="81" t="inlineStr">
        <is>
          <t>LT Hist Max</t>
        </is>
      </c>
      <c r="N7" s="79" t="inlineStr">
        <is>
          <t>(USDm, except EPS and shares)</t>
        </is>
      </c>
      <c r="O7" s="80" t="inlineStr">
        <is>
          <t>2025A</t>
        </is>
      </c>
      <c r="P7" s="80" t="inlineStr">
        <is>
          <t>2026E</t>
        </is>
      </c>
      <c r="Q7" s="80" t="inlineStr">
        <is>
          <t>2027E</t>
        </is>
      </c>
      <c r="R7" s="80" t="inlineStr">
        <is>
          <t>2028E</t>
        </is>
      </c>
      <c r="S7" s="80" t="inlineStr">
        <is>
          <t>2029E</t>
        </is>
      </c>
      <c r="T7" s="80" t="inlineStr">
        <is>
          <t>2030E</t>
        </is>
      </c>
      <c r="U7" s="80" t="inlineStr">
        <is>
          <t>25-'30 CAGR</t>
        </is>
      </c>
      <c r="V7" s="81" t="inlineStr">
        <is>
          <t>LT Hist Avg</t>
        </is>
      </c>
      <c r="W7" s="81" t="inlineStr">
        <is>
          <t>LT Hist Min</t>
        </is>
      </c>
      <c r="X7" s="81" t="inlineStr">
        <is>
          <t>LT Hist Max</t>
        </is>
      </c>
      <c r="Z7" s="79" t="inlineStr">
        <is>
          <t>(USDm, except EPS and shares)</t>
        </is>
      </c>
      <c r="AA7" s="80" t="inlineStr">
        <is>
          <t>2025A</t>
        </is>
      </c>
      <c r="AB7" s="80" t="inlineStr">
        <is>
          <t>2026E</t>
        </is>
      </c>
      <c r="AC7" s="80" t="inlineStr">
        <is>
          <t>2027E</t>
        </is>
      </c>
      <c r="AD7" s="80" t="inlineStr">
        <is>
          <t>2028E</t>
        </is>
      </c>
      <c r="AE7" s="80" t="inlineStr">
        <is>
          <t>2029E</t>
        </is>
      </c>
      <c r="AF7" s="80" t="inlineStr">
        <is>
          <t>2030E</t>
        </is>
      </c>
      <c r="AG7" s="80" t="inlineStr">
        <is>
          <t>25-'30 CAGR</t>
        </is>
      </c>
      <c r="AH7" s="81" t="inlineStr">
        <is>
          <t>LT Hist Avg</t>
        </is>
      </c>
      <c r="AI7" s="81" t="inlineStr">
        <is>
          <t>LT Hist Min</t>
        </is>
      </c>
      <c r="AJ7" s="81" t="inlineStr">
        <is>
          <t>LT Hist Max</t>
        </is>
      </c>
    </row>
    <row r="9" ht="15" customHeight="1">
      <c r="B9" s="82" t="inlineStr">
        <is>
          <t>Total Revenues</t>
        </is>
      </c>
      <c r="C9" s="83">
        <f>Model!CI138</f>
        <v/>
      </c>
      <c r="D9" s="84">
        <f>Model!CO138</f>
        <v/>
      </c>
      <c r="E9" s="84">
        <f>Model!CP138</f>
        <v/>
      </c>
      <c r="F9" s="84">
        <f>Model!CQ138</f>
        <v/>
      </c>
      <c r="G9" s="84">
        <f>Model!CR138</f>
        <v/>
      </c>
      <c r="H9" s="84">
        <f>Model!CS138</f>
        <v/>
      </c>
      <c r="I9" s="85">
        <f>IFERROR((H9/C9)^(1/5)-1,"n/m")</f>
        <v/>
      </c>
      <c r="N9" s="82" t="inlineStr">
        <is>
          <t>Total Revenues</t>
        </is>
      </c>
      <c r="O9" s="83" t="n">
        <v>7941.1</v>
      </c>
      <c r="P9" s="84" t="n">
        <v>8226.62962201255</v>
      </c>
      <c r="Q9" s="84" t="n">
        <v>9047.41980632282</v>
      </c>
      <c r="R9" s="84" t="n">
        <v>10159.421075089</v>
      </c>
      <c r="S9" s="84" t="n">
        <v>11313.7395411421</v>
      </c>
      <c r="T9" s="84" t="n">
        <v>12553.7631892094</v>
      </c>
      <c r="U9" s="85" t="n">
        <v>0.09591949715535961</v>
      </c>
      <c r="Z9" s="82" t="inlineStr">
        <is>
          <t>Total Revenues</t>
        </is>
      </c>
      <c r="AA9" s="83" t="n">
        <v>7941.1</v>
      </c>
      <c r="AB9" s="84" t="n">
        <v>7987.5156949558</v>
      </c>
      <c r="AC9" s="84" t="n">
        <v>8134.02826987545</v>
      </c>
      <c r="AD9" s="84" t="n">
        <v>8346.58666513362</v>
      </c>
      <c r="AE9" s="84" t="n">
        <v>8532.53948801707</v>
      </c>
      <c r="AF9" s="84" t="n">
        <v>8724.90039420715</v>
      </c>
      <c r="AG9" s="85" t="n">
        <v>0.0190041730127495</v>
      </c>
    </row>
    <row r="10" ht="15" customHeight="1">
      <c r="B10" s="86" t="inlineStr">
        <is>
          <t xml:space="preserve">   Revenues y/y %</t>
        </is>
      </c>
      <c r="C10" s="87" t="n"/>
      <c r="D10" s="88">
        <f>IFERROR(D9/C9-1,"")</f>
        <v/>
      </c>
      <c r="E10" s="88">
        <f>IFERROR(E9/D9-1,"")</f>
        <v/>
      </c>
      <c r="F10" s="88">
        <f>IFERROR(F9/E9-1,"")</f>
        <v/>
      </c>
      <c r="G10" s="88">
        <f>IFERROR(G9/F9-1,"")</f>
        <v/>
      </c>
      <c r="H10" s="88">
        <f>IFERROR(H9/G9-1,"")</f>
        <v/>
      </c>
      <c r="N10" s="86" t="inlineStr">
        <is>
          <t xml:space="preserve">   Revenues y/y %</t>
        </is>
      </c>
      <c r="O10" s="87" t="n"/>
      <c r="P10" s="88" t="n">
        <v>0.035955928273482</v>
      </c>
      <c r="Q10" s="88" t="n">
        <v>0.0997723517434201</v>
      </c>
      <c r="R10" s="88" t="n">
        <v>0.122908109999385</v>
      </c>
      <c r="S10" s="88" t="n">
        <v>0.113620496435919</v>
      </c>
      <c r="T10" s="88" t="n">
        <v>0.109603340571698</v>
      </c>
      <c r="Z10" s="86" t="inlineStr">
        <is>
          <t xml:space="preserve">   Revenues y/y %</t>
        </is>
      </c>
      <c r="AA10" s="87" t="n"/>
      <c r="AB10" s="88" t="n">
        <v>0.00584499564994823</v>
      </c>
      <c r="AC10" s="88" t="n">
        <v>0.0183426963420146</v>
      </c>
      <c r="AD10" s="88" t="n">
        <v>0.0261319961285829</v>
      </c>
      <c r="AE10" s="88" t="n">
        <v>0.0222789063774098</v>
      </c>
      <c r="AF10" s="88" t="n">
        <v>0.0225443909706156</v>
      </c>
    </row>
    <row r="11" ht="15" customHeight="1">
      <c r="B11" s="82" t="inlineStr">
        <is>
          <t xml:space="preserve">   Organic growth %</t>
        </is>
      </c>
      <c r="C11" s="90">
        <f>Model!CI234</f>
        <v/>
      </c>
      <c r="D11" s="91">
        <f>Model!CO234</f>
        <v/>
      </c>
      <c r="E11" s="91">
        <f>Model!CP234</f>
        <v/>
      </c>
      <c r="F11" s="91">
        <f>Model!CQ234</f>
        <v/>
      </c>
      <c r="G11" s="91">
        <f>Model!CR234</f>
        <v/>
      </c>
      <c r="H11" s="91">
        <f>Model!CS234</f>
        <v/>
      </c>
      <c r="N11" s="82" t="inlineStr">
        <is>
          <t xml:space="preserve">   Organic growth %</t>
        </is>
      </c>
      <c r="O11" s="90" t="n">
        <v>0.0705609555522602</v>
      </c>
      <c r="P11" s="91" t="n">
        <v>0.035955928273482</v>
      </c>
      <c r="Q11" s="91" t="n">
        <v>0.0816835923550864</v>
      </c>
      <c r="R11" s="91" t="n">
        <v>0.0867231026283149</v>
      </c>
      <c r="S11" s="91" t="n">
        <v>0.0784666373229642</v>
      </c>
      <c r="T11" s="91" t="n">
        <v>0.0780361601673661</v>
      </c>
      <c r="Z11" s="82" t="inlineStr">
        <is>
          <t xml:space="preserve">   Organic growth %</t>
        </is>
      </c>
      <c r="AA11" s="90" t="n">
        <v>0.0705609555522602</v>
      </c>
      <c r="AB11" s="91" t="n">
        <v>0.00584499564994823</v>
      </c>
      <c r="AC11" s="91" t="n">
        <v>0.0183426963420146</v>
      </c>
      <c r="AD11" s="91" t="n">
        <v>0.0224730581738024</v>
      </c>
      <c r="AE11" s="91" t="n">
        <v>0.0151473911949868</v>
      </c>
      <c r="AF11" s="91" t="n">
        <v>0.0155682955646226</v>
      </c>
    </row>
    <row r="12" ht="15" customHeight="1">
      <c r="B12" s="82" t="inlineStr">
        <is>
          <t>Adjusted EBITDA</t>
        </is>
      </c>
      <c r="C12" s="83">
        <f>Model!CI198</f>
        <v/>
      </c>
      <c r="D12" s="84">
        <f>Model!CO198</f>
        <v/>
      </c>
      <c r="E12" s="84">
        <f>Model!CP198</f>
        <v/>
      </c>
      <c r="F12" s="84">
        <f>Model!CQ198</f>
        <v/>
      </c>
      <c r="G12" s="84">
        <f>Model!CR198</f>
        <v/>
      </c>
      <c r="H12" s="84">
        <f>Model!CS198</f>
        <v/>
      </c>
      <c r="I12" s="85">
        <f>IFERROR((H12/C12)^(1/5)-1,"n/m")</f>
        <v/>
      </c>
      <c r="N12" s="82" t="inlineStr">
        <is>
          <t>Adjusted EBITDA</t>
        </is>
      </c>
      <c r="O12" s="83" t="n">
        <v>2323.7</v>
      </c>
      <c r="P12" s="84" t="n">
        <v>2599.9</v>
      </c>
      <c r="Q12" s="84" t="n">
        <v>3066.64867242322</v>
      </c>
      <c r="R12" s="84" t="n">
        <v>3524.7664025626</v>
      </c>
      <c r="S12" s="84" t="n">
        <v>4013.99730885133</v>
      </c>
      <c r="T12" s="84" t="n">
        <v>4536.88449725792</v>
      </c>
      <c r="U12" s="85" t="n">
        <v>0.143182408884164</v>
      </c>
      <c r="Z12" s="82" t="inlineStr">
        <is>
          <t>Adjusted EBITDA</t>
        </is>
      </c>
      <c r="AA12" s="83" t="n">
        <v>2323.7</v>
      </c>
      <c r="AB12" s="84" t="n">
        <v>2399.9</v>
      </c>
      <c r="AC12" s="84" t="n">
        <v>2473.26477252522</v>
      </c>
      <c r="AD12" s="84" t="n">
        <v>2497.74655369432</v>
      </c>
      <c r="AE12" s="84" t="n">
        <v>2513.72630874424</v>
      </c>
      <c r="AF12" s="84" t="n">
        <v>2519.10380200597</v>
      </c>
      <c r="AG12" s="85" t="n">
        <v>0.0162795838479819</v>
      </c>
    </row>
    <row r="13" ht="15" customHeight="1">
      <c r="B13" s="86" t="inlineStr">
        <is>
          <t xml:space="preserve">   Adjusted EBITDA margin %</t>
        </is>
      </c>
      <c r="C13" s="92">
        <f>IFERROR(C12/C9,"")</f>
        <v/>
      </c>
      <c r="D13" s="93">
        <f>IFERROR(D12/D9,"")</f>
        <v/>
      </c>
      <c r="E13" s="93">
        <f>IFERROR(E12/E9,"")</f>
        <v/>
      </c>
      <c r="F13" s="93">
        <f>IFERROR(F12/F9,"")</f>
        <v/>
      </c>
      <c r="G13" s="93">
        <f>IFERROR(G12/G9,"")</f>
        <v/>
      </c>
      <c r="H13" s="93">
        <f>IFERROR(H12/H9,"")</f>
        <v/>
      </c>
      <c r="J13" s="94">
        <f>IFERROR(AVERAGE(Model!C244,Model!D244,Model!E244,Model!F244,Model!G244,Model!H244,Model!I244,Model!O244,Model!U244,Model!AA244,Model!AG244,Model!AM244,Model!AS244,Model!AY244,Model!BE244,Model!BK244,Model!BQ244,Model!BW244,Model!CC244,Model!CI244),"")</f>
        <v/>
      </c>
      <c r="K13" s="94">
        <f>IFERROR(MIN(Model!C244,Model!D244,Model!E244,Model!F244,Model!G244,Model!H244,Model!I244,Model!O244,Model!U244,Model!AA244,Model!AG244,Model!AM244,Model!AS244,Model!AY244,Model!BE244,Model!BK244,Model!BQ244,Model!BW244,Model!CC244,Model!CI244),"")</f>
        <v/>
      </c>
      <c r="L13" s="94">
        <f>IFERROR(MAX(Model!C244,Model!D244,Model!E244,Model!F244,Model!G244,Model!H244,Model!I244,Model!O244,Model!U244,Model!AA244,Model!AG244,Model!AM244,Model!AS244,Model!AY244,Model!BE244,Model!BK244,Model!BQ244,Model!BW244,Model!CC244,Model!CI244),"")</f>
        <v/>
      </c>
      <c r="N13" s="86" t="inlineStr">
        <is>
          <t xml:space="preserve">   Adjusted EBITDA margin %</t>
        </is>
      </c>
      <c r="O13" s="92" t="n">
        <v>0.292616891866366</v>
      </c>
      <c r="P13" s="93" t="n">
        <v>0.316034648386658</v>
      </c>
      <c r="Q13" s="93" t="n">
        <v>0.338952843801952</v>
      </c>
      <c r="R13" s="93" t="n">
        <v>0.34694559626093</v>
      </c>
      <c r="S13" s="93" t="n">
        <v>0.354789616134836</v>
      </c>
      <c r="T13" s="93" t="n">
        <v>0.361396374049624</v>
      </c>
      <c r="V13" s="94" t="n">
        <v>0.233317643338372</v>
      </c>
      <c r="W13" s="94" t="n">
        <v>0.144906014303021</v>
      </c>
      <c r="X13" s="94" t="n">
        <v>0.294699200673117</v>
      </c>
      <c r="Z13" s="86" t="inlineStr">
        <is>
          <t xml:space="preserve">   Adjusted EBITDA margin %</t>
        </is>
      </c>
      <c r="AA13" s="92" t="n">
        <v>0.292616891866366</v>
      </c>
      <c r="AB13" s="93" t="n">
        <v>0.300456373627605</v>
      </c>
      <c r="AC13" s="93" t="n">
        <v>0.304063950906712</v>
      </c>
      <c r="AD13" s="93" t="n">
        <v>0.299253653487864</v>
      </c>
      <c r="AE13" s="93" t="n">
        <v>0.294604708513153</v>
      </c>
      <c r="AF13" s="93" t="n">
        <v>0.288725794930394</v>
      </c>
      <c r="AH13" s="94" t="n">
        <v>0.233317643338372</v>
      </c>
      <c r="AI13" s="94" t="n">
        <v>0.144906014303021</v>
      </c>
      <c r="AJ13" s="94" t="n">
        <v>0.294699200673117</v>
      </c>
    </row>
    <row r="15" ht="15" customHeight="1">
      <c r="B15" s="82" t="inlineStr">
        <is>
          <t>Operating Earnings (GAAP)</t>
        </is>
      </c>
      <c r="C15" s="83">
        <f>Model!CI145</f>
        <v/>
      </c>
      <c r="D15" s="84">
        <f>Model!CO145</f>
        <v/>
      </c>
      <c r="E15" s="84">
        <f>Model!CP145</f>
        <v/>
      </c>
      <c r="F15" s="84">
        <f>Model!CQ145</f>
        <v/>
      </c>
      <c r="G15" s="84">
        <f>Model!CR145</f>
        <v/>
      </c>
      <c r="H15" s="84">
        <f>Model!CS145</f>
        <v/>
      </c>
      <c r="I15" s="85">
        <f>IFERROR((H15/C15)^(1/5)-1,"n/m")</f>
        <v/>
      </c>
      <c r="N15" s="82" t="inlineStr">
        <is>
          <t>Operating Earnings (GAAP)</t>
        </is>
      </c>
      <c r="O15" s="83" t="n">
        <v>1619.6</v>
      </c>
      <c r="P15" s="84" t="n">
        <v>1866.73900352352</v>
      </c>
      <c r="Q15" s="84" t="n">
        <v>2314.5681429307</v>
      </c>
      <c r="R15" s="84" t="n">
        <v>2687.98456021398</v>
      </c>
      <c r="S15" s="84" t="n">
        <v>3089.55831110614</v>
      </c>
      <c r="T15" s="84" t="n">
        <v>3522.08384355913</v>
      </c>
      <c r="U15" s="85" t="n">
        <v>0.168095590286964</v>
      </c>
      <c r="Z15" s="82" t="inlineStr">
        <is>
          <t>Operating Earnings (GAAP)</t>
        </is>
      </c>
      <c r="AA15" s="83" t="n">
        <v>1619.6</v>
      </c>
      <c r="AB15" s="84" t="n">
        <v>1666.73900352353</v>
      </c>
      <c r="AC15" s="84" t="n">
        <v>1763.25895616877</v>
      </c>
      <c r="AD15" s="84" t="n">
        <v>1764.71631746809</v>
      </c>
      <c r="AE15" s="84" t="n">
        <v>1756.84898615439</v>
      </c>
      <c r="AF15" s="84" t="n">
        <v>1737.95011399113</v>
      </c>
      <c r="AG15" s="85" t="n">
        <v>0.0142053745134598</v>
      </c>
    </row>
    <row r="16" ht="15" customHeight="1">
      <c r="B16" s="86" t="inlineStr">
        <is>
          <t xml:space="preserve">   Operating earnings y/y %</t>
        </is>
      </c>
      <c r="C16" s="87" t="n"/>
      <c r="D16" s="88">
        <f>IFERROR(D15/C15-1,"")</f>
        <v/>
      </c>
      <c r="E16" s="88">
        <f>IFERROR(E15/D15-1,"")</f>
        <v/>
      </c>
      <c r="F16" s="88">
        <f>IFERROR(F15/E15-1,"")</f>
        <v/>
      </c>
      <c r="G16" s="88">
        <f>IFERROR(G15/F15-1,"")</f>
        <v/>
      </c>
      <c r="H16" s="88">
        <f>IFERROR(H15/G15-1,"")</f>
        <v/>
      </c>
      <c r="N16" s="86" t="inlineStr">
        <is>
          <t xml:space="preserve">   Operating earnings y/y %</t>
        </is>
      </c>
      <c r="O16" s="87" t="n"/>
      <c r="P16" s="88" t="n">
        <v>0.152592617636159</v>
      </c>
      <c r="Q16" s="88" t="n">
        <v>0.23989917099385</v>
      </c>
      <c r="R16" s="88" t="n">
        <v>0.161333084283473</v>
      </c>
      <c r="S16" s="88" t="n">
        <v>0.149395854736675</v>
      </c>
      <c r="T16" s="88" t="n">
        <v>0.139995911680379</v>
      </c>
      <c r="Z16" s="86" t="inlineStr">
        <is>
          <t xml:space="preserve">   Operating earnings y/y %</t>
        </is>
      </c>
      <c r="AA16" s="87" t="n"/>
      <c r="AB16" s="88" t="n">
        <v>0.0291053368260832</v>
      </c>
      <c r="AC16" s="88" t="n">
        <v>0.0579094581942339</v>
      </c>
      <c r="AD16" s="88" t="n">
        <v>0.000826515750404822</v>
      </c>
      <c r="AE16" s="88" t="n">
        <v>-0.00445812804915113</v>
      </c>
      <c r="AF16" s="88" t="n">
        <v>-0.0107572547852425</v>
      </c>
    </row>
    <row r="17" ht="15" customHeight="1">
      <c r="B17" s="86" t="inlineStr">
        <is>
          <t xml:space="preserve">   Operating margin (GAAP) %</t>
        </is>
      </c>
      <c r="C17" s="92">
        <f>IFERROR(C15/C9,"")</f>
        <v/>
      </c>
      <c r="D17" s="93">
        <f>IFERROR(D15/D9,"")</f>
        <v/>
      </c>
      <c r="E17" s="93">
        <f>IFERROR(E15/E9,"")</f>
        <v/>
      </c>
      <c r="F17" s="93">
        <f>IFERROR(F15/F9,"")</f>
        <v/>
      </c>
      <c r="G17" s="93">
        <f>IFERROR(G15/G9,"")</f>
        <v/>
      </c>
      <c r="H17" s="93">
        <f>IFERROR(H15/H9,"")</f>
        <v/>
      </c>
      <c r="J17" s="94">
        <f>IFERROR(AVERAGE(Model!C247,Model!D247,Model!E247,Model!F247,Model!G247,Model!H247,Model!I247,Model!O247,Model!U247,Model!AA247,Model!AG247,Model!AM247,Model!AS247,Model!AY247,Model!BE247,Model!BK247,Model!BQ247,Model!BW247,Model!CC247,Model!CI247),"")</f>
        <v/>
      </c>
      <c r="K17" s="94">
        <f>IFERROR(MIN(Model!C247,Model!D247,Model!E247,Model!F247,Model!G247,Model!H247,Model!I247,Model!O247,Model!U247,Model!AA247,Model!AG247,Model!AM247,Model!AS247,Model!AY247,Model!BE247,Model!BK247,Model!BQ247,Model!BW247,Model!CC247,Model!CI247),"")</f>
        <v/>
      </c>
      <c r="L17" s="94">
        <f>IFERROR(MAX(Model!C247,Model!D247,Model!E247,Model!F247,Model!G247,Model!H247,Model!I247,Model!O247,Model!U247,Model!AA247,Model!AG247,Model!AM247,Model!AS247,Model!AY247,Model!BE247,Model!BK247,Model!BQ247,Model!BW247,Model!CC247,Model!CI247),"")</f>
        <v/>
      </c>
      <c r="N17" s="86" t="inlineStr">
        <is>
          <t xml:space="preserve">   Operating margin (GAAP) %</t>
        </is>
      </c>
      <c r="O17" s="92" t="n">
        <v>0.203951593607939</v>
      </c>
      <c r="P17" s="93" t="n">
        <v>0.226914190779729</v>
      </c>
      <c r="Q17" s="93" t="n">
        <v>0.25582632313725</v>
      </c>
      <c r="R17" s="93" t="n">
        <v>0.264580485477165</v>
      </c>
      <c r="S17" s="93" t="n">
        <v>0.273080204813894</v>
      </c>
      <c r="T17" s="93" t="n">
        <v>0.280560003440765</v>
      </c>
      <c r="V17" s="94" t="n">
        <v>0.138965298113173</v>
      </c>
      <c r="W17" s="94" t="n">
        <v>-0.00562741803118521</v>
      </c>
      <c r="X17" s="94" t="n">
        <v>0.214706412644991</v>
      </c>
      <c r="Z17" s="86" t="inlineStr">
        <is>
          <t xml:space="preserve">   Operating margin (GAAP) %</t>
        </is>
      </c>
      <c r="AA17" s="92" t="n">
        <v>0.203951593607939</v>
      </c>
      <c r="AB17" s="93" t="n">
        <v>0.208668009826395</v>
      </c>
      <c r="AC17" s="93" t="n">
        <v>0.216775611992773</v>
      </c>
      <c r="AD17" s="93" t="n">
        <v>0.211429700339646</v>
      </c>
      <c r="AE17" s="93" t="n">
        <v>0.205899895174428</v>
      </c>
      <c r="AF17" s="93" t="n">
        <v>0.199194264171203</v>
      </c>
      <c r="AH17" s="94" t="n">
        <v>0.138965298113173</v>
      </c>
      <c r="AI17" s="94" t="n">
        <v>-0.00562741803118521</v>
      </c>
      <c r="AJ17" s="94" t="n">
        <v>0.214706412644991</v>
      </c>
    </row>
    <row r="19" ht="15" customHeight="1">
      <c r="B19" s="82" t="inlineStr">
        <is>
          <t>Adjusted Net Earnings (attributable to Vulcan)</t>
        </is>
      </c>
      <c r="C19" s="83">
        <f>Model!CI229</f>
        <v/>
      </c>
      <c r="D19" s="84">
        <f>Model!CO229</f>
        <v/>
      </c>
      <c r="E19" s="84">
        <f>Model!CP229</f>
        <v/>
      </c>
      <c r="F19" s="84">
        <f>Model!CQ229</f>
        <v/>
      </c>
      <c r="G19" s="84">
        <f>Model!CR229</f>
        <v/>
      </c>
      <c r="H19" s="84">
        <f>Model!CS229</f>
        <v/>
      </c>
      <c r="I19" s="85">
        <f>IFERROR((H19/C19)^(1/5)-1,"n/m")</f>
        <v/>
      </c>
      <c r="N19" s="82" t="inlineStr">
        <is>
          <t>Adjusted Net Earnings (attributable to Vulcan)</t>
        </is>
      </c>
      <c r="O19" s="83" t="n">
        <v>1062.103</v>
      </c>
      <c r="P19" s="84" t="n">
        <v>1328.38142274835</v>
      </c>
      <c r="Q19" s="84" t="n">
        <v>1644.94787588056</v>
      </c>
      <c r="R19" s="84" t="n">
        <v>1853.11532834035</v>
      </c>
      <c r="S19" s="84" t="n">
        <v>2132.3963302329</v>
      </c>
      <c r="T19" s="84" t="n">
        <v>2432.73423539024</v>
      </c>
      <c r="U19" s="85" t="n">
        <v>0.180281517199136</v>
      </c>
      <c r="Z19" s="82" t="inlineStr">
        <is>
          <t>Adjusted Net Earnings (attributable to Vulcan)</t>
        </is>
      </c>
      <c r="AA19" s="83" t="n">
        <v>1062.103</v>
      </c>
      <c r="AB19" s="84" t="n">
        <v>1172.38142274835</v>
      </c>
      <c r="AC19" s="84" t="n">
        <v>1224.7917919424</v>
      </c>
      <c r="AD19" s="84" t="n">
        <v>1235.69018026268</v>
      </c>
      <c r="AE19" s="84" t="n">
        <v>1228.7182210556</v>
      </c>
      <c r="AF19" s="84" t="n">
        <v>1212.65179162718</v>
      </c>
      <c r="AG19" s="85" t="n">
        <v>0.0268662861777607</v>
      </c>
    </row>
    <row r="21" ht="15" customHeight="1">
      <c r="B21" s="82" t="inlineStr">
        <is>
          <t>FDSO (m)</t>
        </is>
      </c>
      <c r="C21" s="96">
        <f>Model!CI163</f>
        <v/>
      </c>
      <c r="D21" s="97">
        <f>Model!CO163</f>
        <v/>
      </c>
      <c r="E21" s="97">
        <f>Model!CP163</f>
        <v/>
      </c>
      <c r="F21" s="97">
        <f>Model!CQ163</f>
        <v/>
      </c>
      <c r="G21" s="97">
        <f>Model!CR163</f>
        <v/>
      </c>
      <c r="H21" s="97">
        <f>Model!CS163</f>
        <v/>
      </c>
      <c r="I21" s="85">
        <f>IFERROR((H21/C21)^(1/5)-1,"n/m")</f>
        <v/>
      </c>
      <c r="N21" s="82" t="inlineStr">
        <is>
          <t>FDSO (m)</t>
        </is>
      </c>
      <c r="O21" s="96" t="n">
        <v>132.7</v>
      </c>
      <c r="P21" s="97" t="n">
        <v>130.010596707819</v>
      </c>
      <c r="Q21" s="97" t="n">
        <v>123.799827960261</v>
      </c>
      <c r="R21" s="97" t="n">
        <v>118.43129943309</v>
      </c>
      <c r="S21" s="97" t="n">
        <v>115.575201076532</v>
      </c>
      <c r="T21" s="97" t="n">
        <v>111.950960937</v>
      </c>
      <c r="U21" s="85" t="n">
        <v>-0.0334342976165256</v>
      </c>
      <c r="Z21" s="82" t="inlineStr">
        <is>
          <t>FDSO (m)</t>
        </is>
      </c>
      <c r="AA21" s="96" t="n">
        <v>132.7</v>
      </c>
      <c r="AB21" s="97" t="n">
        <v>130.525</v>
      </c>
      <c r="AC21" s="97" t="n">
        <v>129.202332966981</v>
      </c>
      <c r="AD21" s="97" t="n">
        <v>127.408752500193</v>
      </c>
      <c r="AE21" s="97" t="n">
        <v>125.540691464899</v>
      </c>
      <c r="AF21" s="97" t="n">
        <v>123.934214501107</v>
      </c>
      <c r="AG21" s="85" t="n">
        <v>-0.0135750258251575</v>
      </c>
    </row>
    <row r="23" ht="15" customHeight="1">
      <c r="B23" s="82" t="inlineStr">
        <is>
          <t>Adjusted EPS — Diluted ($)</t>
        </is>
      </c>
      <c r="C23" s="98">
        <f>Model!CI230</f>
        <v/>
      </c>
      <c r="D23" s="99">
        <f>Model!CO230</f>
        <v/>
      </c>
      <c r="E23" s="99">
        <f>Model!CP230</f>
        <v/>
      </c>
      <c r="F23" s="99">
        <f>Model!CQ230</f>
        <v/>
      </c>
      <c r="G23" s="99">
        <f>Model!CR230</f>
        <v/>
      </c>
      <c r="H23" s="99">
        <f>Model!CS230</f>
        <v/>
      </c>
      <c r="I23" s="85">
        <f>IFERROR((H23/C23)^(1/5)-1,"n/m")</f>
        <v/>
      </c>
      <c r="N23" s="82" t="inlineStr">
        <is>
          <t>Adjusted EPS — Diluted ($)</t>
        </is>
      </c>
      <c r="O23" s="98" t="n">
        <v>8.003790504898269</v>
      </c>
      <c r="P23" s="99" t="n">
        <v>10.2174857772071</v>
      </c>
      <c r="Q23" s="99" t="n">
        <v>13.2871580113065</v>
      </c>
      <c r="R23" s="99" t="n">
        <v>15.6471755119709</v>
      </c>
      <c r="S23" s="99" t="n">
        <v>18.450293059156</v>
      </c>
      <c r="T23" s="99" t="n">
        <v>21.7303559972054</v>
      </c>
      <c r="U23" s="85" t="n">
        <v>0.221108419519392</v>
      </c>
      <c r="Z23" s="82" t="inlineStr">
        <is>
          <t>Adjusted EPS — Diluted ($)</t>
        </is>
      </c>
      <c r="AA23" s="98" t="n">
        <v>8.003790504898269</v>
      </c>
      <c r="AB23" s="99" t="n">
        <v>8.98204499328366</v>
      </c>
      <c r="AC23" s="99" t="n">
        <v>9.47964145705796</v>
      </c>
      <c r="AD23" s="99" t="n">
        <v>9.698628673574129</v>
      </c>
      <c r="AE23" s="99" t="n">
        <v>9.78741001597197</v>
      </c>
      <c r="AF23" s="99" t="n">
        <v>9.78464096059894</v>
      </c>
      <c r="AG23" s="85" t="n">
        <v>0.0409978589975866</v>
      </c>
    </row>
    <row r="24" ht="15" customHeight="1">
      <c r="B24" s="86" t="inlineStr">
        <is>
          <t xml:space="preserve">   EPS y/y %</t>
        </is>
      </c>
      <c r="C24" s="87" t="n"/>
      <c r="D24" s="88">
        <f>IFERROR(D23/C23-1,"")</f>
        <v/>
      </c>
      <c r="E24" s="88">
        <f>IFERROR(E23/D23-1,"")</f>
        <v/>
      </c>
      <c r="F24" s="88">
        <f>IFERROR(F23/E23-1,"")</f>
        <v/>
      </c>
      <c r="G24" s="88">
        <f>IFERROR(G23/F23-1,"")</f>
        <v/>
      </c>
      <c r="H24" s="88">
        <f>IFERROR(H23/G23-1,"")</f>
        <v/>
      </c>
      <c r="N24" s="86" t="inlineStr">
        <is>
          <t xml:space="preserve">   EPS y/y %</t>
        </is>
      </c>
      <c r="O24" s="87" t="n"/>
      <c r="P24" s="88" t="n">
        <v>0.276580861399867</v>
      </c>
      <c r="Q24" s="88" t="n">
        <v>0.300433228000882</v>
      </c>
      <c r="R24" s="88" t="n">
        <v>0.177616424720481</v>
      </c>
      <c r="S24" s="88" t="n">
        <v>0.179145274176833</v>
      </c>
      <c r="T24" s="88" t="n">
        <v>0.177778365228821</v>
      </c>
      <c r="Z24" s="86" t="inlineStr">
        <is>
          <t xml:space="preserve">   EPS y/y %</t>
        </is>
      </c>
      <c r="AA24" s="87" t="n"/>
      <c r="AB24" s="88" t="n">
        <v>0.122223899761832</v>
      </c>
      <c r="AC24" s="88" t="n">
        <v>0.0553990170552894</v>
      </c>
      <c r="AD24" s="88" t="n">
        <v>0.0231007910487087</v>
      </c>
      <c r="AE24" s="88" t="n">
        <v>0.00915400984880943</v>
      </c>
      <c r="AF24" s="88" t="n">
        <v>-0.000282920136022824</v>
      </c>
    </row>
    <row r="26" ht="15" customHeight="1">
      <c r="B26" s="86" t="inlineStr">
        <is>
          <t>P / E (x) — assumed (Adjusted EPS)</t>
        </is>
      </c>
      <c r="C26" s="100" t="n"/>
      <c r="D26" s="100" t="n"/>
      <c r="E26" s="100" t="n"/>
      <c r="F26" s="100" t="n"/>
      <c r="G26" s="100" t="n">
        <v>28</v>
      </c>
      <c r="H26" s="100" t="n">
        <v>28</v>
      </c>
      <c r="N26" s="86" t="inlineStr">
        <is>
          <t>P / E (x) — assumed (Adjusted EPS)</t>
        </is>
      </c>
      <c r="O26" s="100" t="n"/>
      <c r="P26" s="100" t="n"/>
      <c r="Q26" s="100" t="n"/>
      <c r="R26" s="100" t="n"/>
      <c r="S26" s="100" t="n">
        <v>32</v>
      </c>
      <c r="T26" s="100" t="n">
        <v>32</v>
      </c>
      <c r="Z26" s="86" t="inlineStr">
        <is>
          <t>P / E (x) — assumed (Adjusted EPS)</t>
        </is>
      </c>
      <c r="AA26" s="100" t="n"/>
      <c r="AB26" s="100" t="n"/>
      <c r="AC26" s="100" t="n"/>
      <c r="AD26" s="100" t="n">
        <v>22</v>
      </c>
      <c r="AE26" s="100" t="n">
        <v>22</v>
      </c>
      <c r="AF26" s="100" t="n">
        <v>22</v>
      </c>
    </row>
    <row r="27" ht="15" customHeight="1">
      <c r="B27" s="11" t="inlineStr">
        <is>
          <t>Price Target ($)</t>
        </is>
      </c>
      <c r="C27" s="101" t="n"/>
      <c r="D27" s="101" t="n"/>
      <c r="E27" s="101" t="n"/>
      <c r="F27" s="101" t="n"/>
      <c r="G27" s="101">
        <f>G26*G23</f>
        <v/>
      </c>
      <c r="H27" s="101">
        <f>H26*H23</f>
        <v/>
      </c>
      <c r="N27" s="11" t="inlineStr">
        <is>
          <t>Price Target ($)</t>
        </is>
      </c>
      <c r="O27" s="101" t="n"/>
      <c r="P27" s="101" t="n"/>
      <c r="Q27" s="101" t="n"/>
      <c r="R27" s="101" t="n"/>
      <c r="S27" s="101">
        <f>S26*S23</f>
        <v/>
      </c>
      <c r="T27" s="101">
        <f>T26*T23</f>
        <v/>
      </c>
      <c r="Z27" s="11" t="inlineStr">
        <is>
          <t>Price Target ($)</t>
        </is>
      </c>
      <c r="AA27" s="101" t="n"/>
      <c r="AB27" s="101" t="n"/>
      <c r="AC27" s="101" t="n"/>
      <c r="AD27" s="101">
        <f>AD26*AD23</f>
        <v/>
      </c>
      <c r="AE27" s="101">
        <f>AE26*AE23</f>
        <v/>
      </c>
      <c r="AF27" s="101">
        <f>AF26*AF23</f>
        <v/>
      </c>
    </row>
    <row r="28" ht="15" customHeight="1">
      <c r="B28" t="inlineStr">
        <is>
          <t xml:space="preserve">   Upside / (Downside) vs current</t>
        </is>
      </c>
      <c r="E28" s="89" t="n"/>
      <c r="F28" s="89" t="n"/>
      <c r="G28" s="89">
        <f>IFERROR(G27/$K$2-1,"")</f>
        <v/>
      </c>
      <c r="H28" s="89">
        <f>IFERROR(H27/$K$2-1,"")</f>
        <v/>
      </c>
      <c r="N28" t="inlineStr">
        <is>
          <t xml:space="preserve">   Upside / (Downside) vs current</t>
        </is>
      </c>
      <c r="O28" s="89" t="n"/>
      <c r="P28" s="89" t="n"/>
      <c r="Q28" s="89" t="n"/>
      <c r="R28" s="89" t="n"/>
      <c r="S28" s="89">
        <f>IFERROR(S27/$K$2-1,"")</f>
        <v/>
      </c>
      <c r="T28" s="89">
        <f>IFERROR(T27/$K$2-1,"")</f>
        <v/>
      </c>
      <c r="Z28" t="inlineStr">
        <is>
          <t xml:space="preserve">   Upside / (Downside) vs current</t>
        </is>
      </c>
      <c r="AA28" s="89" t="n"/>
      <c r="AB28" s="89" t="n"/>
      <c r="AC28" s="89" t="n"/>
      <c r="AD28" s="89">
        <f>IFERROR(AD27/$K$2-1,"")</f>
        <v/>
      </c>
      <c r="AE28" s="89">
        <f>IFERROR(AE27/$K$2-1,"")</f>
        <v/>
      </c>
      <c r="AF28" s="89">
        <f>IFERROR(AF27/$K$2-1,"")</f>
        <v/>
      </c>
    </row>
    <row r="29" ht="15" customHeight="1">
      <c r="B29" s="76" t="inlineStr">
        <is>
          <t>IRR (to Dec-Y-1)</t>
        </is>
      </c>
      <c r="C29" s="102" t="n"/>
      <c r="D29" s="102" t="n"/>
      <c r="E29" s="102" t="n"/>
      <c r="F29" s="102" t="n"/>
      <c r="G29" s="102">
        <f>IFERROR((G27/$K$2)^(1/((DATE(2029-1,12,31)-$K$3)/365.25))-1,"")</f>
        <v/>
      </c>
      <c r="H29" s="102">
        <f>IFERROR((H27/$K$2)^(1/((DATE(2030-1,12,31)-$K$3)/365.25))-1,"")</f>
        <v/>
      </c>
      <c r="N29" s="76" t="inlineStr">
        <is>
          <t>IRR (to Dec-Y-1)</t>
        </is>
      </c>
      <c r="O29" s="102" t="n"/>
      <c r="P29" s="102" t="n"/>
      <c r="Q29" s="102" t="n"/>
      <c r="R29" s="102" t="n"/>
      <c r="S29" s="102">
        <f>IFERROR((S27/$K$2)^(1/((DATE(2029-1,12,31)-$K$3)/365.25))-1,"")</f>
        <v/>
      </c>
      <c r="T29" s="102">
        <f>IFERROR((T27/$K$2)^(1/((DATE(2030-1,12,31)-$K$3)/365.25))-1,"")</f>
        <v/>
      </c>
      <c r="Z29" s="76" t="inlineStr">
        <is>
          <t>IRR (to Dec-Y-1)</t>
        </is>
      </c>
      <c r="AA29" s="102" t="n"/>
      <c r="AB29" s="102" t="n"/>
      <c r="AC29" s="102" t="n"/>
      <c r="AD29" s="102">
        <f>IFERROR((AD27/$K$2)^(1/((DATE(2029-1,12,31)-$K$3)/365.25))-1,"")</f>
        <v/>
      </c>
      <c r="AE29" s="102">
        <f>IFERROR((AE27/$K$2)^(1/((DATE(2029-1,12,31)-$K$3)/365.25))-1,"")</f>
        <v/>
      </c>
      <c r="AF29" s="102">
        <f>IFERROR((AF27/$K$2)^(1/((DATE(2030-1,12,31)-$K$3)/365.25))-1,"")</f>
        <v/>
      </c>
    </row>
    <row r="31" ht="15" customHeight="1">
      <c r="B31" s="82" t="inlineStr">
        <is>
          <t>Free Cash Flow</t>
        </is>
      </c>
      <c r="C31" s="83">
        <f>Model!CI284</f>
        <v/>
      </c>
      <c r="D31" s="84">
        <f>Model!CO284</f>
        <v/>
      </c>
      <c r="E31" s="84">
        <f>Model!CP284</f>
        <v/>
      </c>
      <c r="F31" s="84">
        <f>Model!CQ284</f>
        <v/>
      </c>
      <c r="G31" s="84">
        <f>Model!CR284</f>
        <v/>
      </c>
      <c r="H31" s="84">
        <f>Model!CS284</f>
        <v/>
      </c>
      <c r="I31" s="85">
        <f>IFERROR((H31/C31)^(1/5)-1,"n/m")</f>
        <v/>
      </c>
      <c r="N31" s="82" t="inlineStr">
        <is>
          <t>Free Cash Flow</t>
        </is>
      </c>
      <c r="O31" s="83" t="n">
        <v>1135.3</v>
      </c>
      <c r="P31" s="84" t="n">
        <v>1091.01011701865</v>
      </c>
      <c r="Q31" s="84" t="n">
        <v>1516.78261448465</v>
      </c>
      <c r="R31" s="84" t="n">
        <v>1677.52117644549</v>
      </c>
      <c r="S31" s="84" t="n">
        <v>1938.74425574291</v>
      </c>
      <c r="T31" s="84" t="n">
        <v>2211.20999928061</v>
      </c>
      <c r="U31" s="85" t="n">
        <v>0.142625390444017</v>
      </c>
      <c r="Z31" s="82" t="inlineStr">
        <is>
          <t>Free Cash Flow</t>
        </is>
      </c>
      <c r="AA31" s="83" t="n">
        <v>1135.3</v>
      </c>
      <c r="AB31" s="84" t="n">
        <v>952.3684223721471</v>
      </c>
      <c r="AC31" s="84" t="n">
        <v>1196.0532842623</v>
      </c>
      <c r="AD31" s="84" t="n">
        <v>1203.5733283224</v>
      </c>
      <c r="AE31" s="84" t="n">
        <v>1206.64171908754</v>
      </c>
      <c r="AF31" s="84" t="n">
        <v>1196.53465020253</v>
      </c>
      <c r="AG31" s="85" t="n">
        <v>0.0105619182806793</v>
      </c>
    </row>
    <row r="32" ht="15" customHeight="1">
      <c r="B32" s="86" t="inlineStr">
        <is>
          <t xml:space="preserve">   FCF %</t>
        </is>
      </c>
      <c r="C32" s="92">
        <f>IFERROR(C31/C9,"")</f>
        <v/>
      </c>
      <c r="D32" s="93">
        <f>IFERROR(D31/D9,"")</f>
        <v/>
      </c>
      <c r="E32" s="93">
        <f>IFERROR(E31/E9,"")</f>
        <v/>
      </c>
      <c r="F32" s="93">
        <f>IFERROR(F31/F9,"")</f>
        <v/>
      </c>
      <c r="G32" s="93">
        <f>IFERROR(G31/G9,"")</f>
        <v/>
      </c>
      <c r="H32" s="93">
        <f>IFERROR(H31/H9,"")</f>
        <v/>
      </c>
      <c r="J32" s="94">
        <f>IFERROR(AVERAGE(Model!C286,Model!D286,Model!E286,Model!F286,Model!G286,Model!H286,Model!I286,Model!O286,Model!U286,Model!AA286,Model!AG286,Model!AM286,Model!AS286,Model!AY286,Model!BE286,Model!BK286,Model!BQ286,Model!BW286,Model!CC286,Model!CI286),"")</f>
        <v/>
      </c>
      <c r="K32" s="94">
        <f>IFERROR(MIN(Model!C286,Model!D286,Model!E286,Model!F286,Model!G286,Model!H286,Model!I286,Model!O286,Model!U286,Model!AA286,Model!AG286,Model!AM286,Model!AS286,Model!AY286,Model!BE286,Model!BK286,Model!BQ286,Model!BW286,Model!CC286,Model!CI286),"")</f>
        <v/>
      </c>
      <c r="L32" s="94">
        <f>IFERROR(MAX(Model!C286,Model!D286,Model!E286,Model!F286,Model!G286,Model!H286,Model!I286,Model!O286,Model!U286,Model!AA286,Model!AG286,Model!AM286,Model!AS286,Model!AY286,Model!BE286,Model!BK286,Model!BQ286,Model!BW286,Model!CC286,Model!CI286),"")</f>
        <v/>
      </c>
      <c r="N32" s="86" t="inlineStr">
        <is>
          <t xml:space="preserve">   FCF %</t>
        </is>
      </c>
      <c r="O32" s="92" t="n">
        <v>0.142965080404478</v>
      </c>
      <c r="P32" s="93" t="n">
        <v>0.132619331019761</v>
      </c>
      <c r="Q32" s="93" t="n">
        <v>0.167648086079154</v>
      </c>
      <c r="R32" s="93" t="n">
        <v>0.165119760668134</v>
      </c>
      <c r="S32" s="93" t="n">
        <v>0.171361931100916</v>
      </c>
      <c r="T32" s="93" t="n">
        <v>0.17613921546499</v>
      </c>
      <c r="V32" s="94" t="n">
        <v>0.0742482621684746</v>
      </c>
      <c r="W32" s="94" t="n">
        <v>0.0118228575245475</v>
      </c>
      <c r="X32" s="94" t="n">
        <v>0.14581617525943</v>
      </c>
      <c r="Z32" s="86" t="inlineStr">
        <is>
          <t xml:space="preserve">   FCF %</t>
        </is>
      </c>
      <c r="AA32" s="92" t="n">
        <v>0.142965080404478</v>
      </c>
      <c r="AB32" s="93" t="n">
        <v>0.119232119064702</v>
      </c>
      <c r="AC32" s="93" t="n">
        <v>0.147043167859634</v>
      </c>
      <c r="AD32" s="93" t="n">
        <v>0.144199464596721</v>
      </c>
      <c r="AE32" s="93" t="n">
        <v>0.141416482253861</v>
      </c>
      <c r="AF32" s="93" t="n">
        <v>0.137140207468381</v>
      </c>
      <c r="AH32" s="94" t="n">
        <v>0.0742482621684746</v>
      </c>
      <c r="AI32" s="94" t="n">
        <v>0.0118228575245475</v>
      </c>
      <c r="AJ32" s="94" t="n">
        <v>0.14581617525943</v>
      </c>
    </row>
    <row r="33" ht="15" customHeight="1">
      <c r="B33" s="86" t="inlineStr">
        <is>
          <t xml:space="preserve">   FCF / share ($)</t>
        </is>
      </c>
      <c r="C33" s="103">
        <f>IFERROR(C31/C21,"")</f>
        <v/>
      </c>
      <c r="D33" s="104">
        <f>IFERROR(D31/D21,"")</f>
        <v/>
      </c>
      <c r="E33" s="104">
        <f>IFERROR(E31/E21,"")</f>
        <v/>
      </c>
      <c r="F33" s="104">
        <f>IFERROR(F31/F21,"")</f>
        <v/>
      </c>
      <c r="G33" s="104">
        <f>IFERROR(G31/G21,"")</f>
        <v/>
      </c>
      <c r="H33" s="104">
        <f>IFERROR(H31/H21,"")</f>
        <v/>
      </c>
      <c r="N33" s="86" t="inlineStr">
        <is>
          <t xml:space="preserve">   FCF / share ($)</t>
        </is>
      </c>
      <c r="O33" s="103" t="n">
        <v>8.55538809344386</v>
      </c>
      <c r="P33" s="104" t="n">
        <v>8.39170148161498</v>
      </c>
      <c r="Q33" s="104" t="n">
        <v>12.251895979787</v>
      </c>
      <c r="R33" s="104" t="n">
        <v>14.1645087445251</v>
      </c>
      <c r="S33" s="104" t="n">
        <v>16.7747426583242</v>
      </c>
      <c r="T33" s="104" t="n">
        <v>19.7515946336982</v>
      </c>
      <c r="Z33" s="86" t="inlineStr">
        <is>
          <t xml:space="preserve">   FCF / share ($)</t>
        </is>
      </c>
      <c r="AA33" s="103" t="n">
        <v>8.55538809344386</v>
      </c>
      <c r="AB33" s="104" t="n">
        <v>7.29644453071938</v>
      </c>
      <c r="AC33" s="104" t="n">
        <v>9.257211203515681</v>
      </c>
      <c r="AD33" s="104" t="n">
        <v>9.446551392303849</v>
      </c>
      <c r="AE33" s="104" t="n">
        <v>9.611558650885</v>
      </c>
      <c r="AF33" s="104" t="n">
        <v>9.65459502058525</v>
      </c>
    </row>
    <row r="34" ht="15" customHeight="1">
      <c r="B34" s="86" t="inlineStr">
        <is>
          <t xml:space="preserve">   FCF Yield (on PT)</t>
        </is>
      </c>
      <c r="E34" s="95">
        <f>IFERROR(E33/E$27,"")</f>
        <v/>
      </c>
      <c r="F34" s="95">
        <f>IFERROR(F33/F$27,"")</f>
        <v/>
      </c>
      <c r="G34" s="95">
        <f>IFERROR(G33/G$27,"")</f>
        <v/>
      </c>
      <c r="H34" s="95">
        <f>IFERROR(H33/H$27,"")</f>
        <v/>
      </c>
      <c r="N34" s="86" t="inlineStr">
        <is>
          <t xml:space="preserve">   FCF Yield (on PT)</t>
        </is>
      </c>
      <c r="Q34" s="95">
        <f>IFERROR(Q33/Q$27,"")</f>
        <v/>
      </c>
      <c r="R34" s="95">
        <f>IFERROR(R33/R$27,"")</f>
        <v/>
      </c>
      <c r="S34" s="95">
        <f>IFERROR(S33/S$27,"")</f>
        <v/>
      </c>
      <c r="T34" s="95">
        <f>IFERROR(T33/T$27,"")</f>
        <v/>
      </c>
      <c r="Z34" s="86" t="inlineStr">
        <is>
          <t xml:space="preserve">   FCF Yield (on PT)</t>
        </is>
      </c>
      <c r="AC34" s="95">
        <f>IFERROR(AC33/AC$27,"")</f>
        <v/>
      </c>
      <c r="AD34" s="95">
        <f>IFERROR(AD33/AD$27,"")</f>
        <v/>
      </c>
      <c r="AE34" s="95">
        <f>IFERROR(AE33/AE$27,"")</f>
        <v/>
      </c>
      <c r="AF34" s="95">
        <f>IFERROR(AF33/AF$27,"")</f>
        <v/>
      </c>
    </row>
    <row r="35" ht="15" customHeight="1">
      <c r="B35" s="82" t="inlineStr">
        <is>
          <t>Adjusted EBIT (model)</t>
        </is>
      </c>
      <c r="C35" s="83">
        <f>Model!CI206</f>
        <v/>
      </c>
      <c r="D35" s="84">
        <f>Model!CO206</f>
        <v/>
      </c>
      <c r="E35" s="84">
        <f>Model!CP206</f>
        <v/>
      </c>
      <c r="F35" s="84">
        <f>Model!CQ206</f>
        <v/>
      </c>
      <c r="G35" s="84">
        <f>Model!CR206</f>
        <v/>
      </c>
      <c r="H35" s="84">
        <f>Model!CS206</f>
        <v/>
      </c>
      <c r="I35" s="85">
        <f>IFERROR((H35/C35)^(1/5)-1,"n/m")</f>
        <v/>
      </c>
      <c r="N35" s="82" t="inlineStr">
        <is>
          <t>Adjusted EBIT (model)</t>
        </is>
      </c>
      <c r="O35" s="83" t="n">
        <v>1575.2</v>
      </c>
      <c r="P35" s="84" t="n">
        <v>1902.93900352352</v>
      </c>
      <c r="Q35" s="84" t="n">
        <v>2311.5681429307</v>
      </c>
      <c r="R35" s="84" t="n">
        <v>2684.98456021398</v>
      </c>
      <c r="S35" s="84" t="n">
        <v>3086.55831110614</v>
      </c>
      <c r="T35" s="84" t="n">
        <v>3519.08384355913</v>
      </c>
      <c r="U35" s="85" t="n">
        <v>0.174407408440139</v>
      </c>
      <c r="Z35" s="82" t="inlineStr">
        <is>
          <t>Adjusted EBIT (model)</t>
        </is>
      </c>
      <c r="AA35" s="83" t="n">
        <v>1575.2</v>
      </c>
      <c r="AB35" s="84" t="n">
        <v>1702.93900352353</v>
      </c>
      <c r="AC35" s="84" t="n">
        <v>1760.25895616877</v>
      </c>
      <c r="AD35" s="84" t="n">
        <v>1761.71631746809</v>
      </c>
      <c r="AE35" s="84" t="n">
        <v>1753.84898615439</v>
      </c>
      <c r="AF35" s="84" t="n">
        <v>1734.95011399113</v>
      </c>
      <c r="AG35" s="85" t="n">
        <v>0.019507107313641</v>
      </c>
    </row>
    <row r="36" ht="15" customHeight="1">
      <c r="B36" s="86" t="inlineStr">
        <is>
          <t xml:space="preserve">   Adjusted EBIT margin %</t>
        </is>
      </c>
      <c r="C36" s="92">
        <f>IFERROR(C35/C9,"")</f>
        <v/>
      </c>
      <c r="D36" s="93">
        <f>IFERROR(D35/D9,"")</f>
        <v/>
      </c>
      <c r="E36" s="93">
        <f>IFERROR(E35/E9,"")</f>
        <v/>
      </c>
      <c r="F36" s="93">
        <f>IFERROR(F35/F9,"")</f>
        <v/>
      </c>
      <c r="G36" s="93">
        <f>IFERROR(G35/G9,"")</f>
        <v/>
      </c>
      <c r="H36" s="93">
        <f>IFERROR(H35/H9,"")</f>
        <v/>
      </c>
      <c r="J36" s="94">
        <f>IFERROR(AVERAGE(Model!C246,Model!D246,Model!E246,Model!F246,Model!G246,Model!H246,Model!I246,Model!O246,Model!U246,Model!AA246,Model!AG246,Model!AM246,Model!AS246,Model!AY246,Model!BE246,Model!BK246,Model!BQ246,Model!BW246,Model!CC246,Model!CI246),"")</f>
        <v/>
      </c>
      <c r="K36" s="94">
        <f>IFERROR(MIN(Model!C246,Model!D246,Model!E246,Model!F246,Model!G246,Model!H246,Model!I246,Model!O246,Model!U246,Model!AA246,Model!AG246,Model!AM246,Model!AS246,Model!AY246,Model!BE246,Model!BK246,Model!BQ246,Model!BW246,Model!CC246,Model!CI246),"")</f>
        <v/>
      </c>
      <c r="L36" s="94">
        <f>IFERROR(MAX(Model!C246,Model!D246,Model!E246,Model!F246,Model!G246,Model!H246,Model!I246,Model!O246,Model!U246,Model!AA246,Model!AG246,Model!AM246,Model!AS246,Model!AY246,Model!BE246,Model!BK246,Model!BQ246,Model!BW246,Model!CC246,Model!CI246),"")</f>
        <v/>
      </c>
      <c r="N36" s="86" t="inlineStr">
        <is>
          <t xml:space="preserve">   Adjusted EBIT margin %</t>
        </is>
      </c>
      <c r="O36" s="92" t="n">
        <v>0.19836042865598</v>
      </c>
      <c r="P36" s="93" t="n">
        <v>0.231314534743573</v>
      </c>
      <c r="Q36" s="93" t="n">
        <v>0.255494736887886</v>
      </c>
      <c r="R36" s="93" t="n">
        <v>0.264285193060617</v>
      </c>
      <c r="S36" s="93" t="n">
        <v>0.272815040498498</v>
      </c>
      <c r="T36" s="93" t="n">
        <v>0.280321031273234</v>
      </c>
      <c r="V36" s="94" t="n">
        <v>0.140717628348913</v>
      </c>
      <c r="W36" s="94" t="n">
        <v>-0.00441595998280504</v>
      </c>
      <c r="X36" s="94" t="n">
        <v>0.216484667165295</v>
      </c>
      <c r="Z36" s="86" t="inlineStr">
        <is>
          <t xml:space="preserve">   Adjusted EBIT margin %</t>
        </is>
      </c>
      <c r="AA36" s="92" t="n">
        <v>0.19836042865598</v>
      </c>
      <c r="AB36" s="93" t="n">
        <v>0.213200082298298</v>
      </c>
      <c r="AC36" s="93" t="n">
        <v>0.216406791046931</v>
      </c>
      <c r="AD36" s="93" t="n">
        <v>0.211070271974452</v>
      </c>
      <c r="AE36" s="93" t="n">
        <v>0.205548299965966</v>
      </c>
      <c r="AF36" s="93" t="n">
        <v>0.198850420704291</v>
      </c>
      <c r="AH36" s="94" t="n">
        <v>0.140717628348913</v>
      </c>
      <c r="AI36" s="94" t="n">
        <v>-0.00441595998280504</v>
      </c>
      <c r="AJ36" s="94" t="n">
        <v>0.216484667165295</v>
      </c>
    </row>
    <row r="38" ht="15" customHeight="1">
      <c r="B38" s="82" t="inlineStr">
        <is>
          <t>Net Debt</t>
        </is>
      </c>
      <c r="C38" s="83">
        <f>Model!CI419</f>
        <v/>
      </c>
      <c r="D38" s="84">
        <f>Model!CO419</f>
        <v/>
      </c>
      <c r="E38" s="84">
        <f>Model!CP419</f>
        <v/>
      </c>
      <c r="F38" s="84">
        <f>Model!CQ419</f>
        <v/>
      </c>
      <c r="G38" s="84">
        <f>Model!CR419</f>
        <v/>
      </c>
      <c r="H38" s="84">
        <f>Model!CS419</f>
        <v/>
      </c>
      <c r="N38" s="82" t="inlineStr">
        <is>
          <t>Net Debt</t>
        </is>
      </c>
      <c r="O38" s="83" t="n">
        <v>4172.7</v>
      </c>
      <c r="P38" s="84" t="n">
        <v>3833.36588298135</v>
      </c>
      <c r="Q38" s="84" t="n">
        <v>6133.29734484645</v>
      </c>
      <c r="R38" s="84" t="n">
        <v>7049.5328051252</v>
      </c>
      <c r="S38" s="84" t="n">
        <v>8027.99461770265</v>
      </c>
      <c r="T38" s="84" t="n">
        <v>9073.76899451584</v>
      </c>
      <c r="Z38" s="82" t="inlineStr">
        <is>
          <t>Net Debt</t>
        </is>
      </c>
      <c r="AA38" s="83" t="n">
        <v>4172.7</v>
      </c>
      <c r="AB38" s="84" t="n">
        <v>3472.00757762785</v>
      </c>
      <c r="AC38" s="84" t="n">
        <v>3091.58096565652</v>
      </c>
      <c r="AD38" s="84" t="n">
        <v>3122.1831921179</v>
      </c>
      <c r="AE38" s="84" t="n">
        <v>3142.1578859303</v>
      </c>
      <c r="AF38" s="84" t="n">
        <v>3148.87975250746</v>
      </c>
    </row>
    <row r="39" ht="15" customHeight="1">
      <c r="B39" s="86" t="inlineStr">
        <is>
          <t xml:space="preserve">   Net Debt / Adjusted EBITDA (x)</t>
        </is>
      </c>
      <c r="C39" s="105">
        <f>IFERROR(C38/C12,"")</f>
        <v/>
      </c>
      <c r="D39" s="106">
        <f>IFERROR(D38/D12,"")</f>
        <v/>
      </c>
      <c r="E39" s="106">
        <f>IFERROR(E38/E12,"")</f>
        <v/>
      </c>
      <c r="F39" s="106">
        <f>IFERROR(F38/F12,"")</f>
        <v/>
      </c>
      <c r="G39" s="106">
        <f>IFERROR(G38/G12,"")</f>
        <v/>
      </c>
      <c r="H39" s="106">
        <f>IFERROR(H38/H12,"")</f>
        <v/>
      </c>
      <c r="N39" s="86" t="inlineStr">
        <is>
          <t xml:space="preserve">   Net Debt / Adjusted EBITDA (x)</t>
        </is>
      </c>
      <c r="O39" s="105" t="n">
        <v>1.79571373240952</v>
      </c>
      <c r="P39" s="106" t="n">
        <v>1.47442820223137</v>
      </c>
      <c r="Q39" s="106" t="n">
        <v>2</v>
      </c>
      <c r="R39" s="106" t="n">
        <v>2</v>
      </c>
      <c r="S39" s="106" t="n">
        <v>2</v>
      </c>
      <c r="T39" s="106" t="n">
        <v>2</v>
      </c>
      <c r="Z39" s="86" t="inlineStr">
        <is>
          <t xml:space="preserve">   Net Debt / Adjusted EBITDA (x)</t>
        </is>
      </c>
      <c r="AA39" s="105" t="n">
        <v>1.79571373240952</v>
      </c>
      <c r="AB39" s="106" t="n">
        <v>1.44673010443262</v>
      </c>
      <c r="AC39" s="106" t="n">
        <v>1.25</v>
      </c>
      <c r="AD39" s="106" t="n">
        <v>1.25</v>
      </c>
      <c r="AE39" s="106" t="n">
        <v>1.25</v>
      </c>
      <c r="AF39" s="106" t="n">
        <v>1.25</v>
      </c>
    </row>
    <row r="41" ht="15" customHeight="1">
      <c r="B41" s="82" t="inlineStr">
        <is>
          <t>ROIC</t>
        </is>
      </c>
      <c r="C41" s="90">
        <f>Model!CI399</f>
        <v/>
      </c>
      <c r="D41" s="91">
        <f>Model!CO399</f>
        <v/>
      </c>
      <c r="E41" s="91">
        <f>Model!CP399</f>
        <v/>
      </c>
      <c r="F41" s="91">
        <f>Model!CQ399</f>
        <v/>
      </c>
      <c r="G41" s="91">
        <f>Model!CR399</f>
        <v/>
      </c>
      <c r="H41" s="91">
        <f>Model!CS399</f>
        <v/>
      </c>
      <c r="J41" s="94">
        <f>IFERROR(AVERAGE(Model!C399,Model!D399,Model!E399,Model!F399,Model!G399,Model!H399,Model!I399,Model!O399,Model!U399,Model!AA399,Model!AG399,Model!AM399,Model!AS399,Model!AY399,Model!BE399,Model!BK399,Model!BQ399,Model!BW399,Model!CC399,Model!CI399),"")</f>
        <v/>
      </c>
      <c r="K41" s="94">
        <f>IFERROR(MIN(Model!C399,Model!D399,Model!E399,Model!F399,Model!G399,Model!H399,Model!I399,Model!O399,Model!U399,Model!AA399,Model!AG399,Model!AM399,Model!AS399,Model!AY399,Model!BE399,Model!BK399,Model!BQ399,Model!BW399,Model!CC399,Model!CI399),"")</f>
        <v/>
      </c>
      <c r="L41" s="94">
        <f>IFERROR(MAX(Model!C399,Model!D399,Model!E399,Model!F399,Model!G399,Model!H399,Model!I399,Model!O399,Model!U399,Model!AA399,Model!AG399,Model!AM399,Model!AS399,Model!AY399,Model!BE399,Model!BK399,Model!BQ399,Model!BW399,Model!CC399,Model!CI399),"")</f>
        <v/>
      </c>
      <c r="N41" s="82" t="inlineStr">
        <is>
          <t>ROIC</t>
        </is>
      </c>
      <c r="O41" s="90" t="n">
        <v>0.0964308392356171</v>
      </c>
      <c r="P41" s="91" t="n">
        <v>0.119229797881297</v>
      </c>
      <c r="Q41" s="91" t="n">
        <v>0.129055832778953</v>
      </c>
      <c r="R41" s="91" t="n">
        <v>0.133262510717229</v>
      </c>
      <c r="S41" s="91" t="n">
        <v>0.137684832024206</v>
      </c>
      <c r="T41" s="91" t="n">
        <v>0.142282328096065</v>
      </c>
      <c r="V41" s="94" t="n">
        <v>0.0565370551514626</v>
      </c>
      <c r="W41" s="94" t="n">
        <v>-0.145860036330435</v>
      </c>
      <c r="X41" s="94" t="n">
        <v>0.199052791255109</v>
      </c>
      <c r="Z41" s="82" t="inlineStr">
        <is>
          <t>ROIC</t>
        </is>
      </c>
      <c r="AA41" s="90" t="n">
        <v>0.0964308392356171</v>
      </c>
      <c r="AB41" s="91" t="n">
        <v>0.10695550177224</v>
      </c>
      <c r="AC41" s="91" t="n">
        <v>0.108997818977788</v>
      </c>
      <c r="AD41" s="91" t="n">
        <v>0.106226182142826</v>
      </c>
      <c r="AE41" s="91" t="n">
        <v>0.10311697597805</v>
      </c>
      <c r="AF41" s="91" t="n">
        <v>0.0995605882810483</v>
      </c>
      <c r="AH41" s="94" t="n">
        <v>0.0565370551514626</v>
      </c>
      <c r="AI41" s="94" t="n">
        <v>-0.145860036330435</v>
      </c>
      <c r="AJ41" s="94" t="n">
        <v>0.199052791255109</v>
      </c>
    </row>
    <row r="42" ht="15" customHeight="1">
      <c r="B42" s="82" t="inlineStr">
        <is>
          <t>RONTA</t>
        </is>
      </c>
      <c r="C42" s="90">
        <f>Model!CI411</f>
        <v/>
      </c>
      <c r="D42" s="91">
        <f>Model!CO411</f>
        <v/>
      </c>
      <c r="E42" s="91">
        <f>Model!CP411</f>
        <v/>
      </c>
      <c r="F42" s="91">
        <f>Model!CQ411</f>
        <v/>
      </c>
      <c r="G42" s="91">
        <f>Model!CR411</f>
        <v/>
      </c>
      <c r="H42" s="91">
        <f>Model!CS411</f>
        <v/>
      </c>
      <c r="J42" s="94">
        <f>IFERROR(AVERAGE(Model!C411,Model!D411,Model!E411,Model!F411,Model!G411,Model!H411,Model!I411,Model!O411,Model!U411,Model!AA411,Model!AG411,Model!AM411,Model!AS411,Model!AY411,Model!BE411,Model!BK411,Model!BQ411,Model!BW411,Model!CC411,Model!CI411),"")</f>
        <v/>
      </c>
      <c r="K42" s="94">
        <f>IFERROR(MIN(Model!C411,Model!D411,Model!E411,Model!F411,Model!G411,Model!H411,Model!I411,Model!O411,Model!U411,Model!AA411,Model!AG411,Model!AM411,Model!AS411,Model!AY411,Model!BE411,Model!BK411,Model!BQ411,Model!BW411,Model!CC411,Model!CI411),"")</f>
        <v/>
      </c>
      <c r="L42" s="94">
        <f>IFERROR(MAX(Model!C411,Model!D411,Model!E411,Model!F411,Model!G411,Model!H411,Model!I411,Model!O411,Model!U411,Model!AA411,Model!AG411,Model!AM411,Model!AS411,Model!AY411,Model!BE411,Model!BK411,Model!BQ411,Model!BW411,Model!CC411,Model!CI411),"")</f>
        <v/>
      </c>
      <c r="N42" s="82" t="inlineStr">
        <is>
          <t>RONTA</t>
        </is>
      </c>
      <c r="O42" s="90" t="n">
        <v>0.117114843664779</v>
      </c>
      <c r="P42" s="91" t="n">
        <v>0.140362997095825</v>
      </c>
      <c r="Q42" s="91" t="n">
        <v>0.159164099012313</v>
      </c>
      <c r="R42" s="91" t="n">
        <v>0.167744231977816</v>
      </c>
      <c r="S42" s="91" t="n">
        <v>0.176148945960397</v>
      </c>
      <c r="T42" s="91" t="n">
        <v>0.184394714173436</v>
      </c>
      <c r="V42" s="94" t="n">
        <v>0.073428264703463</v>
      </c>
      <c r="W42" s="94" t="n">
        <v>-0.218620859504812</v>
      </c>
      <c r="X42" s="94" t="n">
        <v>0.22578733176718</v>
      </c>
      <c r="Z42" s="82" t="inlineStr">
        <is>
          <t>RONTA</t>
        </is>
      </c>
      <c r="AA42" s="90" t="n">
        <v>0.117114843664779</v>
      </c>
      <c r="AB42" s="91" t="n">
        <v>0.12180439048981</v>
      </c>
      <c r="AC42" s="91" t="n">
        <v>0.118987750779884</v>
      </c>
      <c r="AD42" s="91" t="n">
        <v>0.1162299525182</v>
      </c>
      <c r="AE42" s="91" t="n">
        <v>0.112983797563771</v>
      </c>
      <c r="AF42" s="91" t="n">
        <v>0.109117613499741</v>
      </c>
      <c r="AH42" s="94" t="n">
        <v>0.073428264703463</v>
      </c>
      <c r="AI42" s="94" t="n">
        <v>-0.218620859504812</v>
      </c>
      <c r="AJ42" s="94" t="n">
        <v>0.22578733176718</v>
      </c>
    </row>
    <row r="44" ht="15" customHeight="1">
      <c r="B44" s="86" t="inlineStr">
        <is>
          <t>Implied Market Cap (USDm)</t>
        </is>
      </c>
      <c r="E44" s="108">
        <f>E27*E21</f>
        <v/>
      </c>
      <c r="F44" s="108">
        <f>F27*F21</f>
        <v/>
      </c>
      <c r="G44" s="108">
        <f>G27*G21</f>
        <v/>
      </c>
      <c r="H44" s="108">
        <f>H27*H21</f>
        <v/>
      </c>
      <c r="N44" s="86" t="inlineStr">
        <is>
          <t>Implied Market Cap (USDm)</t>
        </is>
      </c>
      <c r="Q44" s="108">
        <f>Q27*Q21</f>
        <v/>
      </c>
      <c r="R44" s="108">
        <f>R27*R21</f>
        <v/>
      </c>
      <c r="S44" s="108">
        <f>S27*S21</f>
        <v/>
      </c>
      <c r="T44" s="108">
        <f>T27*T21</f>
        <v/>
      </c>
      <c r="Z44" s="86" t="inlineStr">
        <is>
          <t>Implied Market Cap (USDm)</t>
        </is>
      </c>
      <c r="AC44" s="108">
        <f>AC27*AC21</f>
        <v/>
      </c>
      <c r="AD44" s="108">
        <f>AD27*AD21</f>
        <v/>
      </c>
      <c r="AE44" s="108">
        <f>AE27*AE21</f>
        <v/>
      </c>
      <c r="AF44" s="108">
        <f>AF27*AF21</f>
        <v/>
      </c>
    </row>
    <row r="45" ht="15" customHeight="1">
      <c r="B45" s="86" t="inlineStr">
        <is>
          <t>(+) Net Debt &amp; NCI</t>
        </is>
      </c>
      <c r="E45" s="108">
        <f>E38+Model!CP429</f>
        <v/>
      </c>
      <c r="F45" s="108">
        <f>F38+Model!CQ429</f>
        <v/>
      </c>
      <c r="G45" s="108">
        <f>G38+Model!CR429</f>
        <v/>
      </c>
      <c r="H45" s="108">
        <f>H38+Model!CS429</f>
        <v/>
      </c>
      <c r="N45" s="86" t="inlineStr">
        <is>
          <t>(+) Net Debt &amp; NCI</t>
        </is>
      </c>
      <c r="Q45" s="108">
        <f>Q38+Model!CP429</f>
        <v/>
      </c>
      <c r="R45" s="108">
        <f>R38+Model!CQ429</f>
        <v/>
      </c>
      <c r="S45" s="108">
        <f>S38+Model!CR429</f>
        <v/>
      </c>
      <c r="T45" s="108">
        <f>T38+Model!CS429</f>
        <v/>
      </c>
      <c r="Z45" s="86" t="inlineStr">
        <is>
          <t>(+) Net Debt &amp; NCI</t>
        </is>
      </c>
      <c r="AC45" s="108">
        <f>AC38+Model!CP429</f>
        <v/>
      </c>
      <c r="AD45" s="108">
        <f>AD38+Model!CQ429</f>
        <v/>
      </c>
      <c r="AE45" s="108">
        <f>AE38+Model!CR429</f>
        <v/>
      </c>
      <c r="AF45" s="108">
        <f>AF38+Model!CS429</f>
        <v/>
      </c>
    </row>
    <row r="46" ht="15" customHeight="1">
      <c r="B46" s="86" t="inlineStr">
        <is>
          <t>Implied Enterprise Value (USDm)</t>
        </is>
      </c>
      <c r="E46" s="108">
        <f>E44+E45</f>
        <v/>
      </c>
      <c r="F46" s="108">
        <f>F44+F45</f>
        <v/>
      </c>
      <c r="G46" s="108">
        <f>G44+G45</f>
        <v/>
      </c>
      <c r="H46" s="108">
        <f>H44+H45</f>
        <v/>
      </c>
      <c r="N46" s="86" t="inlineStr">
        <is>
          <t>Implied Enterprise Value (USDm)</t>
        </is>
      </c>
      <c r="Q46" s="108">
        <f>Q44+Q45</f>
        <v/>
      </c>
      <c r="R46" s="108">
        <f>R44+R45</f>
        <v/>
      </c>
      <c r="S46" s="108">
        <f>S44+S45</f>
        <v/>
      </c>
      <c r="T46" s="108">
        <f>T44+T45</f>
        <v/>
      </c>
      <c r="Z46" s="86" t="inlineStr">
        <is>
          <t>Implied Enterprise Value (USDm)</t>
        </is>
      </c>
      <c r="AC46" s="108">
        <f>AC44+AC45</f>
        <v/>
      </c>
      <c r="AD46" s="108">
        <f>AD44+AD45</f>
        <v/>
      </c>
      <c r="AE46" s="108">
        <f>AE44+AE45</f>
        <v/>
      </c>
      <c r="AF46" s="108">
        <f>AF44+AF45</f>
        <v/>
      </c>
    </row>
    <row r="47" ht="15" customHeight="1">
      <c r="B47" s="86" t="inlineStr">
        <is>
          <t>Implied EV / Adjusted EBITDA (x)</t>
        </is>
      </c>
      <c r="E47" s="107">
        <f>IFERROR(E46/E12,"")</f>
        <v/>
      </c>
      <c r="F47" s="107">
        <f>IFERROR(F46/F12,"")</f>
        <v/>
      </c>
      <c r="G47" s="107">
        <f>IFERROR(G46/G12,"")</f>
        <v/>
      </c>
      <c r="H47" s="107">
        <f>IFERROR(H46/H12,"")</f>
        <v/>
      </c>
      <c r="N47" s="86" t="inlineStr">
        <is>
          <t>Implied EV / Adjusted EBITDA (x)</t>
        </is>
      </c>
      <c r="Q47" s="107">
        <f>IFERROR(Q46/Q12,"")</f>
        <v/>
      </c>
      <c r="R47" s="107">
        <f>IFERROR(R46/R12,"")</f>
        <v/>
      </c>
      <c r="S47" s="107">
        <f>IFERROR(S46/S12,"")</f>
        <v/>
      </c>
      <c r="T47" s="107">
        <f>IFERROR(T46/T12,"")</f>
        <v/>
      </c>
      <c r="Z47" s="86" t="inlineStr">
        <is>
          <t>Implied EV / Adjusted EBITDA (x)</t>
        </is>
      </c>
      <c r="AC47" s="107">
        <f>IFERROR(AC46/AC12,"")</f>
        <v/>
      </c>
      <c r="AD47" s="107">
        <f>IFERROR(AD46/AD12,"")</f>
        <v/>
      </c>
      <c r="AE47" s="107">
        <f>IFERROR(AE46/AE12,"")</f>
        <v/>
      </c>
      <c r="AF47" s="107">
        <f>IFERROR(AF46/AF12,"")</f>
        <v/>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Q116"/>
  <sheetViews>
    <sheetView topLeftCell="A62" zoomScale="50" zoomScaleNormal="50" workbookViewId="0">
      <selection activeCell="C84" sqref="C84"/>
    </sheetView>
  </sheetViews>
  <sheetFormatPr baseColWidth="8" defaultColWidth="8.5703125" defaultRowHeight="15"/>
  <cols>
    <col width="10.5703125" customWidth="1" min="1" max="1"/>
    <col width="50" customWidth="1" min="2" max="2"/>
    <col width="12.5703125" customWidth="1" min="3" max="14"/>
    <col width="13.28515625" customWidth="1" min="16" max="17"/>
  </cols>
  <sheetData>
    <row r="2" ht="17.25" customHeight="1">
      <c r="B2" s="109" t="inlineStr">
        <is>
          <t>DCF VALUATION — VULCAN MATERIALS (VMC)</t>
        </is>
      </c>
    </row>
    <row r="4" ht="15" customHeight="1">
      <c r="B4" s="17" t="inlineStr">
        <is>
          <t>1. WACC BUILD</t>
        </is>
      </c>
    </row>
    <row r="5" ht="15" customHeight="1">
      <c r="B5" s="12" t="inlineStr">
        <is>
          <t>Risk-free rate (US 10Y govt)</t>
        </is>
      </c>
      <c r="C5" s="110" t="n">
        <v>0.055</v>
      </c>
      <c r="D5" s="4" t="inlineStr">
        <is>
          <t>Assumption (~US 10Y Treasury yield); update to market</t>
        </is>
      </c>
    </row>
    <row r="6" ht="15" customHeight="1">
      <c r="B6" s="12" t="inlineStr">
        <is>
          <t>Equity risk premium</t>
        </is>
      </c>
      <c r="C6" s="110" t="n">
        <v>0.05</v>
      </c>
      <c r="D6" s="4" t="inlineStr">
        <is>
          <t>US implied ERP ~4.5–5.5% (Damodaran)</t>
        </is>
      </c>
    </row>
    <row r="7" ht="15" customHeight="1">
      <c r="B7" s="12" t="inlineStr">
        <is>
          <t>Levered beta</t>
        </is>
      </c>
      <c r="C7" s="111" t="n">
        <v>0.95</v>
      </c>
      <c r="D7" s="4" t="inlineStr">
        <is>
          <t>Aggregates peers (MLM, CRH, KNF, EXP) ~0.9–1.1; infrastructure-weighted demand and pricing power dampen cyclicality</t>
        </is>
      </c>
    </row>
    <row r="8" ht="15" customHeight="1">
      <c r="B8" s="12" t="inlineStr">
        <is>
          <t>Cost of equity</t>
        </is>
      </c>
      <c r="C8" s="112">
        <f>C5+C7*C6</f>
        <v/>
      </c>
    </row>
    <row r="9" ht="15" customHeight="1">
      <c r="B9" s="12" t="inlineStr">
        <is>
          <t>Pre-tax cost of debt</t>
        </is>
      </c>
      <c r="C9" s="110" t="n">
        <v>0.0525</v>
      </c>
      <c r="D9" s="4" t="inlineStr">
        <is>
          <t>BBB+ / Baa2 (investment grade); notes 3.50%–7.15% coupons, weighted-average effective rate 5.04% (30-Jun-26); marginal cost ~5.0–5.5%</t>
        </is>
      </c>
    </row>
    <row r="10" ht="15" customHeight="1">
      <c r="B10" s="12" t="inlineStr">
        <is>
          <t>Tax rate</t>
        </is>
      </c>
      <c r="C10" s="110" t="n">
        <v>0.22</v>
      </c>
      <c r="D10" s="4" t="inlineStr">
        <is>
          <t>Model 2027E+ effective tax rate (FY26 guide 22–23%)</t>
        </is>
      </c>
    </row>
    <row r="11" ht="15" customHeight="1">
      <c r="B11" s="12" t="inlineStr">
        <is>
          <t>After-tax cost of debt</t>
        </is>
      </c>
      <c r="C11" s="112">
        <f>C9*(1-C10)</f>
        <v/>
      </c>
    </row>
    <row r="12" ht="15" customHeight="1">
      <c r="B12" s="12" t="inlineStr">
        <is>
          <t>Target D/V</t>
        </is>
      </c>
      <c r="C12" s="110" t="n">
        <v>0.12</v>
      </c>
      <c r="D12" s="4" t="inlineStr">
        <is>
          <t>Net debt ~$4.1bn vs ~$31bn market cap ($243 × ~129.6m shares); net debt / TTM Adjusted EBITDA 1.7x at 30-Jun-26</t>
        </is>
      </c>
    </row>
    <row r="13" ht="15" customHeight="1">
      <c r="B13" s="77" t="inlineStr">
        <is>
          <t>WACC</t>
        </is>
      </c>
      <c r="C13" s="113">
        <f>C8*(1-C12)+C11*C12</f>
        <v/>
      </c>
    </row>
    <row r="15" ht="15" customHeight="1">
      <c r="B15" t="inlineStr">
        <is>
          <t>Valuation date (live)</t>
        </is>
      </c>
      <c r="C15" s="75">
        <f>TODAY()</f>
        <v/>
      </c>
      <c r="D15" s="4" t="inlineStr">
        <is>
          <t>Periods = (Dec-31-Year − today) / 365.25; cash flows assumed at year-end</t>
        </is>
      </c>
    </row>
    <row r="16" ht="15" customHeight="1">
      <c r="B16" s="17" t="inlineStr">
        <is>
          <t>2. UNLEVERED FREE CASH FLOW BUILD (USDm)</t>
        </is>
      </c>
    </row>
    <row r="17" ht="15" customHeight="1">
      <c r="D17" s="11" t="inlineStr">
        <is>
          <t>2026E</t>
        </is>
      </c>
      <c r="E17" s="11" t="inlineStr">
        <is>
          <t>2027E</t>
        </is>
      </c>
      <c r="F17" s="11" t="inlineStr">
        <is>
          <t>2028E</t>
        </is>
      </c>
      <c r="G17" s="11" t="inlineStr">
        <is>
          <t>2029E</t>
        </is>
      </c>
      <c r="H17" s="11" t="inlineStr">
        <is>
          <t>2030E</t>
        </is>
      </c>
      <c r="I17" s="11" t="inlineStr">
        <is>
          <t>2031E</t>
        </is>
      </c>
      <c r="J17" s="11" t="inlineStr">
        <is>
          <t>2032E</t>
        </is>
      </c>
      <c r="K17" s="11" t="inlineStr">
        <is>
          <t>2033E</t>
        </is>
      </c>
      <c r="L17" s="11" t="inlineStr">
        <is>
          <t>2034E</t>
        </is>
      </c>
      <c r="M17" s="11" t="inlineStr">
        <is>
          <t>2035E</t>
        </is>
      </c>
      <c r="N17" s="11" t="inlineStr">
        <is>
          <t>Terminal</t>
        </is>
      </c>
      <c r="P17" s="11" t="inlineStr">
        <is>
          <t>CAGR 26–30E</t>
        </is>
      </c>
      <c r="Q17" s="11" t="inlineStr">
        <is>
          <t>CAGR 26–35E</t>
        </is>
      </c>
    </row>
    <row r="18" ht="15" customHeight="1">
      <c r="B18" t="inlineStr">
        <is>
          <t>Adjusted EBIT (Model; Adjusted EBITDA − DDA&amp;A)</t>
        </is>
      </c>
      <c r="D18" s="114">
        <f>Model!CO206</f>
        <v/>
      </c>
      <c r="E18" s="114">
        <f>Model!CP206</f>
        <v/>
      </c>
      <c r="F18" s="114">
        <f>Model!CQ206</f>
        <v/>
      </c>
      <c r="G18" s="114">
        <f>Model!CR206</f>
        <v/>
      </c>
      <c r="H18" s="114">
        <f>Model!CS206</f>
        <v/>
      </c>
      <c r="I18" s="115">
        <f>H18*(1+I$31)</f>
        <v/>
      </c>
      <c r="J18" s="115">
        <f>I18*(1+J$31)</f>
        <v/>
      </c>
      <c r="K18" s="115">
        <f>J18*(1+K$31)</f>
        <v/>
      </c>
      <c r="L18" s="115">
        <f>K18*(1+L$31)</f>
        <v/>
      </c>
      <c r="M18" s="115">
        <f>L18*(1+M$31)</f>
        <v/>
      </c>
      <c r="P18" s="152">
        <f>IFERROR(($H18/$D18)^(1/(VALUE(LEFT($H$17,4))-VALUE(LEFT($D$17,4))))-1,"n/m")</f>
        <v/>
      </c>
      <c r="Q18" s="152">
        <f>IFERROR(($M18/$D18)^(1/(VALUE(LEFT($M$17,4))-VALUE(LEFT($D$17,4))))-1,"n/m")</f>
        <v/>
      </c>
    </row>
    <row r="19" ht="15" customHeight="1">
      <c r="B19" s="158" t="inlineStr">
        <is>
          <t xml:space="preserve">   y/y %</t>
        </is>
      </c>
      <c r="C19" s="158" t="n"/>
      <c r="D19" s="159" t="n"/>
      <c r="E19" s="159">
        <f>IFERROR(E18/D18-1,"")</f>
        <v/>
      </c>
      <c r="F19" s="159">
        <f>IFERROR(F18/E18-1,"")</f>
        <v/>
      </c>
      <c r="G19" s="159">
        <f>IFERROR(G18/F18-1,"")</f>
        <v/>
      </c>
      <c r="H19" s="159">
        <f>IFERROR(H18/G18-1,"")</f>
        <v/>
      </c>
      <c r="I19" s="160">
        <f>IFERROR(I18/H18-1,"")</f>
        <v/>
      </c>
      <c r="J19" s="160">
        <f>IFERROR(J18/I18-1,"")</f>
        <v/>
      </c>
      <c r="K19" s="160">
        <f>IFERROR(K18/J18-1,"")</f>
        <v/>
      </c>
      <c r="L19" s="160">
        <f>IFERROR(L18/K18-1,"")</f>
        <v/>
      </c>
      <c r="M19" s="160">
        <f>IFERROR(M18/L18-1,"")</f>
        <v/>
      </c>
      <c r="N19" s="160" t="n"/>
    </row>
    <row r="20" ht="15" customHeight="1">
      <c r="B20" t="inlineStr">
        <is>
          <t>(−) Adjusting items (cash charges excluded from Adjusted EBITDA)</t>
        </is>
      </c>
      <c r="D20" s="114">
        <f>-Model!CO205</f>
        <v/>
      </c>
      <c r="E20" s="114">
        <f>-Model!CP205</f>
        <v/>
      </c>
      <c r="F20" s="114">
        <f>-Model!CQ205</f>
        <v/>
      </c>
      <c r="G20" s="114">
        <f>-Model!CR205</f>
        <v/>
      </c>
      <c r="H20" s="114">
        <f>-Model!CS205</f>
        <v/>
      </c>
      <c r="I20" s="115">
        <f>H20*(1+I$31)</f>
        <v/>
      </c>
      <c r="J20" s="115">
        <f>I20*(1+J$31)</f>
        <v/>
      </c>
      <c r="K20" s="115">
        <f>J20*(1+K$31)</f>
        <v/>
      </c>
      <c r="L20" s="115">
        <f>K20*(1+L$31)</f>
        <v/>
      </c>
      <c r="M20" s="115">
        <f>L20*(1+M$31)</f>
        <v/>
      </c>
    </row>
    <row r="21" ht="15" customHeight="1">
      <c r="B21" t="inlineStr">
        <is>
          <t>× (1 − tax rate)</t>
        </is>
      </c>
      <c r="D21" s="116">
        <f>1-$C$10</f>
        <v/>
      </c>
      <c r="E21" s="116">
        <f>1-$C$10</f>
        <v/>
      </c>
      <c r="F21" s="116">
        <f>1-$C$10</f>
        <v/>
      </c>
      <c r="G21" s="116">
        <f>1-$C$10</f>
        <v/>
      </c>
      <c r="H21" s="116">
        <f>1-$C$10</f>
        <v/>
      </c>
      <c r="I21" s="116">
        <f>1-$C$10</f>
        <v/>
      </c>
      <c r="J21" s="116">
        <f>1-$C$10</f>
        <v/>
      </c>
      <c r="K21" s="116">
        <f>1-$C$10</f>
        <v/>
      </c>
      <c r="L21" s="116">
        <f>1-$C$10</f>
        <v/>
      </c>
      <c r="M21" s="116">
        <f>1-$C$10</f>
        <v/>
      </c>
    </row>
    <row r="22" ht="15" customHeight="1">
      <c r="B22" t="inlineStr">
        <is>
          <t>NOPAT  =  (Adjusted EBIT − adjusting items) × (1 − t)</t>
        </is>
      </c>
      <c r="D22" s="115">
        <f>(D18+D20)*D21</f>
        <v/>
      </c>
      <c r="E22" s="115">
        <f>(E18+E20)*E21</f>
        <v/>
      </c>
      <c r="F22" s="115">
        <f>(F18+F20)*F21</f>
        <v/>
      </c>
      <c r="G22" s="115">
        <f>(G18+G20)*G21</f>
        <v/>
      </c>
      <c r="H22" s="115">
        <f>(H18+H20)*H21</f>
        <v/>
      </c>
      <c r="I22" s="115">
        <f>(I18+I20)*I21</f>
        <v/>
      </c>
      <c r="J22" s="115">
        <f>(J18+J20)*J21</f>
        <v/>
      </c>
      <c r="K22" s="115">
        <f>(K18+K20)*K21</f>
        <v/>
      </c>
      <c r="L22" s="115">
        <f>(L18+L20)*L21</f>
        <v/>
      </c>
      <c r="M22" s="115">
        <f>(M18+M20)*M21</f>
        <v/>
      </c>
    </row>
    <row r="23" ht="15" customHeight="1">
      <c r="B23" t="inlineStr">
        <is>
          <t>plus depreciation, depletion, accretion &amp; amortization</t>
        </is>
      </c>
      <c r="D23" s="114">
        <f>Model!CO158</f>
        <v/>
      </c>
      <c r="E23" s="114">
        <f>Model!CP158</f>
        <v/>
      </c>
      <c r="F23" s="114">
        <f>Model!CQ158</f>
        <v/>
      </c>
      <c r="G23" s="114">
        <f>Model!CR158</f>
        <v/>
      </c>
      <c r="H23" s="114">
        <f>Model!CS158</f>
        <v/>
      </c>
      <c r="I23" s="115">
        <f>H23*(1+I$31)</f>
        <v/>
      </c>
      <c r="J23" s="115">
        <f>I23*(1+J$31)</f>
        <v/>
      </c>
      <c r="K23" s="115">
        <f>J23*(1+K$31)</f>
        <v/>
      </c>
      <c r="L23" s="115">
        <f>K23*(1+L$31)</f>
        <v/>
      </c>
      <c r="M23" s="115">
        <f>L23*(1+M$31)</f>
        <v/>
      </c>
    </row>
    <row r="24" ht="15" customHeight="1">
      <c r="B24" t="inlineStr">
        <is>
          <t>− Capex (PP&amp;E) and acquisitions (M&amp;A lever, 2027E+)</t>
        </is>
      </c>
      <c r="D24" s="114">
        <f>D29</f>
        <v/>
      </c>
      <c r="E24" s="114">
        <f>E29+Model!CP267</f>
        <v/>
      </c>
      <c r="F24" s="114">
        <f>F29+Model!CQ267</f>
        <v/>
      </c>
      <c r="G24" s="114">
        <f>G29+Model!CR267</f>
        <v/>
      </c>
      <c r="H24" s="114">
        <f>H29+Model!CS267</f>
        <v/>
      </c>
      <c r="I24" s="115">
        <f>I29</f>
        <v/>
      </c>
      <c r="J24" s="115">
        <f>J29</f>
        <v/>
      </c>
      <c r="K24" s="115">
        <f>K29</f>
        <v/>
      </c>
      <c r="L24" s="115">
        <f>L29</f>
        <v/>
      </c>
      <c r="M24" s="115">
        <f>M29</f>
        <v/>
      </c>
    </row>
    <row r="25" ht="15" customHeight="1">
      <c r="B25" t="inlineStr">
        <is>
          <t>− Δ Working capital (CF statement)</t>
        </is>
      </c>
      <c r="D25" s="114">
        <f>Model!CO261</f>
        <v/>
      </c>
      <c r="E25" s="114">
        <f>Model!CP261</f>
        <v/>
      </c>
      <c r="F25" s="114">
        <f>Model!CQ261</f>
        <v/>
      </c>
      <c r="G25" s="114">
        <f>Model!CR261</f>
        <v/>
      </c>
      <c r="H25" s="114">
        <f>Model!CS261</f>
        <v/>
      </c>
      <c r="I25" s="115">
        <f>H25*(1+I$31)</f>
        <v/>
      </c>
      <c r="J25" s="115">
        <f>I25*(1+J$31)</f>
        <v/>
      </c>
      <c r="K25" s="115">
        <f>J25*(1+K$31)</f>
        <v/>
      </c>
      <c r="L25" s="115">
        <f>K25*(1+L$31)</f>
        <v/>
      </c>
      <c r="M25" s="115">
        <f>L25*(1+M$31)</f>
        <v/>
      </c>
    </row>
    <row r="26" ht="15" customHeight="1">
      <c r="B26" s="117" t="inlineStr">
        <is>
          <t>Unlevered FCF</t>
        </is>
      </c>
      <c r="D26" s="118">
        <f>D22+D23+D24+D25</f>
        <v/>
      </c>
      <c r="E26" s="118">
        <f>E22+E23+E24+E25</f>
        <v/>
      </c>
      <c r="F26" s="118">
        <f>F22+F23+F24+F25</f>
        <v/>
      </c>
      <c r="G26" s="118">
        <f>G22+G23+G24+G25</f>
        <v/>
      </c>
      <c r="H26" s="118">
        <f>H22+H23+H24+H25</f>
        <v/>
      </c>
      <c r="I26" s="118">
        <f>I22+I23+I24+I25</f>
        <v/>
      </c>
      <c r="J26" s="118">
        <f>J22+J23+J24+J25</f>
        <v/>
      </c>
      <c r="K26" s="118">
        <f>K22+K23+K24+K25</f>
        <v/>
      </c>
      <c r="L26" s="118">
        <f>L22+L23+L24+L25</f>
        <v/>
      </c>
      <c r="M26" s="118">
        <f>M22+M23+M24+M25</f>
        <v/>
      </c>
      <c r="N26" s="118">
        <f>M26*(1+$C$32)</f>
        <v/>
      </c>
      <c r="P26" s="152">
        <f>IFERROR(($H26/$D26)^(1/(VALUE(LEFT($H$17,4))-VALUE(LEFT($D$17,4))))-1,"n/m")</f>
        <v/>
      </c>
      <c r="Q26" s="152">
        <f>IFERROR(($M26/$D26)^(1/(VALUE(LEFT($M$17,4))-VALUE(LEFT($D$17,4))))-1,"n/m")</f>
        <v/>
      </c>
    </row>
    <row r="27" ht="15" customHeight="1">
      <c r="B27" s="158" t="inlineStr">
        <is>
          <t xml:space="preserve">   y/y %</t>
        </is>
      </c>
      <c r="C27" s="158" t="n"/>
      <c r="D27" s="159" t="n"/>
      <c r="E27" s="159">
        <f>IFERROR(E26/D26-1,"")</f>
        <v/>
      </c>
      <c r="F27" s="159">
        <f>IFERROR(F26/E26-1,"")</f>
        <v/>
      </c>
      <c r="G27" s="159">
        <f>IFERROR(G26/F26-1,"")</f>
        <v/>
      </c>
      <c r="H27" s="159">
        <f>IFERROR(H26/G26-1,"")</f>
        <v/>
      </c>
      <c r="I27" s="160">
        <f>IFERROR(I26/H26-1,"")</f>
        <v/>
      </c>
      <c r="J27" s="160">
        <f>IFERROR(J26/I26-1,"")</f>
        <v/>
      </c>
      <c r="K27" s="160">
        <f>IFERROR(K26/J26-1,"")</f>
        <v/>
      </c>
      <c r="L27" s="160">
        <f>IFERROR(L26/K26-1,"")</f>
        <v/>
      </c>
      <c r="M27" s="160">
        <f>IFERROR(M26/L26-1,"")</f>
        <v/>
      </c>
      <c r="N27" s="160" t="n"/>
    </row>
    <row r="28" ht="15" customHeight="1">
      <c r="B28" t="inlineStr">
        <is>
          <t>Terminal Value (Gordon Growth)</t>
        </is>
      </c>
      <c r="N28" s="118">
        <f>N26/($C$13-$C$32)</f>
        <v/>
      </c>
    </row>
    <row r="29" ht="15" customHeight="1">
      <c r="B29" s="4" t="inlineStr">
        <is>
          <t xml:space="preserve">   memo: PP&amp;E capex only (fade years carry no new acquisitions)</t>
        </is>
      </c>
      <c r="D29" s="114">
        <f>Model!CO264</f>
        <v/>
      </c>
      <c r="E29" s="114">
        <f>Model!CP264</f>
        <v/>
      </c>
      <c r="F29" s="114">
        <f>Model!CQ264</f>
        <v/>
      </c>
      <c r="G29" s="114">
        <f>Model!CR264</f>
        <v/>
      </c>
      <c r="H29" s="114">
        <f>Model!CS264</f>
        <v/>
      </c>
      <c r="I29" s="115">
        <f>H29*(1+I$31)</f>
        <v/>
      </c>
      <c r="J29" s="115">
        <f>I29*(1+J$31)</f>
        <v/>
      </c>
      <c r="K29" s="115">
        <f>J29*(1+K$31)</f>
        <v/>
      </c>
      <c r="L29" s="115">
        <f>K29*(1+L$31)</f>
        <v/>
      </c>
      <c r="M29" s="115">
        <f>L29*(1+M$31)</f>
        <v/>
      </c>
    </row>
    <row r="31" ht="15" customHeight="1">
      <c r="B31" t="inlineStr">
        <is>
          <t>Fade-period growth (2031E–35E)</t>
        </is>
      </c>
      <c r="I31" s="119" t="n">
        <v>0.07000000000000001</v>
      </c>
      <c r="J31" s="143">
        <f>I31+($M$31-$I$31)/(COLUMNS($I$31:$M$31)-1)</f>
        <v/>
      </c>
      <c r="K31" s="143">
        <f>J31+($M$31-$I$31)/(COLUMNS($I$31:$M$31)-1)</f>
        <v/>
      </c>
      <c r="L31" s="143">
        <f>K31+($M$31-$I$31)/(COLUMNS($I$31:$M$31)-1)</f>
        <v/>
      </c>
      <c r="M31" s="119" t="n">
        <v>0.05</v>
      </c>
    </row>
    <row r="32" ht="15" customHeight="1">
      <c r="B32" t="inlineStr">
        <is>
          <t>Terminal growth rate</t>
        </is>
      </c>
      <c r="C32" s="120" t="n">
        <v>0.04</v>
      </c>
    </row>
    <row r="34" ht="15" customHeight="1">
      <c r="B34" t="inlineStr">
        <is>
          <t>Discount period (years)</t>
        </is>
      </c>
      <c r="D34" s="121">
        <f>(DATE(2026,12,31)-$C$15)/365.25</f>
        <v/>
      </c>
      <c r="E34" s="121">
        <f>(DATE(2027,12,31)-$C$15)/365.25</f>
        <v/>
      </c>
      <c r="F34" s="121">
        <f>(DATE(2028,12,31)-$C$15)/365.25</f>
        <v/>
      </c>
      <c r="G34" s="121">
        <f>(DATE(2029,12,31)-$C$15)/365.25</f>
        <v/>
      </c>
      <c r="H34" s="121">
        <f>(DATE(2030,12,31)-$C$15)/365.25</f>
        <v/>
      </c>
      <c r="I34" s="121">
        <f>(DATE(2031,12,31)-$C$15)/365.25</f>
        <v/>
      </c>
      <c r="J34" s="121">
        <f>(DATE(2032,12,31)-$C$15)/365.25</f>
        <v/>
      </c>
      <c r="K34" s="121">
        <f>(DATE(2033,12,31)-$C$15)/365.25</f>
        <v/>
      </c>
      <c r="L34" s="121">
        <f>(DATE(2034,12,31)-$C$15)/365.25</f>
        <v/>
      </c>
      <c r="M34" s="121">
        <f>(DATE(2035,12,31)-$C$15)/365.25</f>
        <v/>
      </c>
      <c r="N34" s="121">
        <f>M34</f>
        <v/>
      </c>
    </row>
    <row r="35" ht="15" customHeight="1">
      <c r="B35" t="inlineStr">
        <is>
          <t>Discount factor</t>
        </is>
      </c>
      <c r="D35" s="122">
        <f>1/(1+$C$13)^D34</f>
        <v/>
      </c>
      <c r="E35" s="122">
        <f>1/(1+$C$13)^E34</f>
        <v/>
      </c>
      <c r="F35" s="122">
        <f>1/(1+$C$13)^F34</f>
        <v/>
      </c>
      <c r="G35" s="122">
        <f>1/(1+$C$13)^G34</f>
        <v/>
      </c>
      <c r="H35" s="122">
        <f>1/(1+$C$13)^H34</f>
        <v/>
      </c>
      <c r="I35" s="122">
        <f>1/(1+$C$13)^I34</f>
        <v/>
      </c>
      <c r="J35" s="122">
        <f>1/(1+$C$13)^J34</f>
        <v/>
      </c>
      <c r="K35" s="122">
        <f>1/(1+$C$13)^K34</f>
        <v/>
      </c>
      <c r="L35" s="122">
        <f>1/(1+$C$13)^L34</f>
        <v/>
      </c>
      <c r="M35" s="122">
        <f>1/(1+$C$13)^M34</f>
        <v/>
      </c>
      <c r="N35" s="122">
        <f>1/(1+$C$13)^N34</f>
        <v/>
      </c>
    </row>
    <row r="36" ht="15" customHeight="1">
      <c r="B36" t="inlineStr">
        <is>
          <t>PV of UFCF</t>
        </is>
      </c>
      <c r="D36" s="115">
        <f>D26*D35</f>
        <v/>
      </c>
      <c r="E36" s="115">
        <f>E26*E35</f>
        <v/>
      </c>
      <c r="F36" s="115">
        <f>F26*F35</f>
        <v/>
      </c>
      <c r="G36" s="115">
        <f>G26*G35</f>
        <v/>
      </c>
      <c r="H36" s="115">
        <f>H26*H35</f>
        <v/>
      </c>
      <c r="I36" s="115">
        <f>I26*I35</f>
        <v/>
      </c>
      <c r="J36" s="115">
        <f>J26*J35</f>
        <v/>
      </c>
      <c r="K36" s="115">
        <f>K26*K35</f>
        <v/>
      </c>
      <c r="L36" s="115">
        <f>L26*L35</f>
        <v/>
      </c>
      <c r="M36" s="115">
        <f>M26*M35</f>
        <v/>
      </c>
      <c r="N36" s="115">
        <f>N28*N35</f>
        <v/>
      </c>
    </row>
    <row r="37" ht="15" customHeight="1">
      <c r="D37" s="4" t="inlineStr">
        <is>
          <t>Vulcan's Adjusted EBITDA (and the model Adjusted EBIT) already expense share-based compensation; only gains on sale, divested-operation charges, acquisition, restructuring and similar items are excluded (deducted again in row 20 when forecast). Acquisition spend from the M&amp;A lever is deducted in 2027E–30E so that acquired revenues / EBITDA in the Model are paid for; 2026E excludes the 1H/26 California ready-mix sale proceeds and bolt-ons. The fade period and terminal value assume no new acquisitions. Operating-lease costs sit inside Adjusted EBIT.</t>
        </is>
      </c>
    </row>
    <row r="39" ht="15.75" customHeight="1">
      <c r="B39" t="inlineStr">
        <is>
          <t>Implied ROIC &amp; incremental ROIC (USDm)</t>
        </is>
      </c>
      <c r="D39" s="147">
        <f>D17</f>
        <v/>
      </c>
      <c r="E39" s="147">
        <f>E17</f>
        <v/>
      </c>
      <c r="F39" s="147">
        <f>F17</f>
        <v/>
      </c>
      <c r="G39" s="147">
        <f>G17</f>
        <v/>
      </c>
      <c r="H39" s="147">
        <f>H17</f>
        <v/>
      </c>
      <c r="I39" s="147">
        <f>I17</f>
        <v/>
      </c>
      <c r="J39" s="147">
        <f>J17</f>
        <v/>
      </c>
      <c r="K39" s="147">
        <f>K17</f>
        <v/>
      </c>
      <c r="L39" s="147">
        <f>L17</f>
        <v/>
      </c>
      <c r="M39" s="147">
        <f>M17</f>
        <v/>
      </c>
      <c r="N39" s="147" t="inlineStr">
        <is>
          <t>Terminal</t>
        </is>
      </c>
    </row>
    <row r="40" ht="15.75" customHeight="1">
      <c r="B40" t="inlineStr">
        <is>
          <t>NOPAT (row 22)</t>
        </is>
      </c>
      <c r="D40" s="44">
        <f>D22</f>
        <v/>
      </c>
      <c r="E40" s="44">
        <f>E22</f>
        <v/>
      </c>
      <c r="F40" s="44">
        <f>F22</f>
        <v/>
      </c>
      <c r="G40" s="44">
        <f>G22</f>
        <v/>
      </c>
      <c r="H40" s="44">
        <f>H22</f>
        <v/>
      </c>
      <c r="I40" s="144">
        <f>I22</f>
        <v/>
      </c>
      <c r="J40" s="144">
        <f>J22</f>
        <v/>
      </c>
      <c r="K40" s="144">
        <f>K22</f>
        <v/>
      </c>
      <c r="L40" s="144">
        <f>L22</f>
        <v/>
      </c>
      <c r="M40" s="144">
        <f>M22</f>
        <v/>
      </c>
      <c r="N40" s="144">
        <f>M40*(1+$C$32)</f>
        <v/>
      </c>
    </row>
    <row r="41" ht="15.75" customHeight="1">
      <c r="B41" t="inlineStr">
        <is>
          <t>Net investment  =  NOPAT − UFCF</t>
        </is>
      </c>
      <c r="D41" s="44">
        <f>D40-D26</f>
        <v/>
      </c>
      <c r="E41" s="44">
        <f>E40-E26</f>
        <v/>
      </c>
      <c r="F41" s="44">
        <f>F40-F26</f>
        <v/>
      </c>
      <c r="G41" s="44">
        <f>G40-G26</f>
        <v/>
      </c>
      <c r="H41" s="44">
        <f>H40-H26</f>
        <v/>
      </c>
      <c r="I41" s="144">
        <f>I40-I26</f>
        <v/>
      </c>
      <c r="J41" s="144">
        <f>J40-J26</f>
        <v/>
      </c>
      <c r="K41" s="144">
        <f>K40-K26</f>
        <v/>
      </c>
      <c r="L41" s="144">
        <f>L40-L26</f>
        <v/>
      </c>
      <c r="M41" s="144">
        <f>M40-M26</f>
        <v/>
      </c>
      <c r="N41" s="144">
        <f>N40-N26</f>
        <v/>
      </c>
    </row>
    <row r="42" ht="15.75" customHeight="1">
      <c r="B42" t="inlineStr">
        <is>
          <t>Opening invested capital</t>
        </is>
      </c>
      <c r="D42" s="114">
        <f>Model!CI396</f>
        <v/>
      </c>
      <c r="E42" s="44">
        <f>D43</f>
        <v/>
      </c>
      <c r="F42" s="44">
        <f>E43</f>
        <v/>
      </c>
      <c r="G42" s="44">
        <f>F43</f>
        <v/>
      </c>
      <c r="H42" s="44">
        <f>G43</f>
        <v/>
      </c>
      <c r="I42" s="144">
        <f>H43</f>
        <v/>
      </c>
      <c r="J42" s="144">
        <f>I43</f>
        <v/>
      </c>
      <c r="K42" s="144">
        <f>J43</f>
        <v/>
      </c>
      <c r="L42" s="144">
        <f>K43</f>
        <v/>
      </c>
      <c r="M42" s="144">
        <f>L43</f>
        <v/>
      </c>
      <c r="N42" s="144">
        <f>M43</f>
        <v/>
      </c>
    </row>
    <row r="43" ht="15.75" customHeight="1">
      <c r="B43" t="inlineStr">
        <is>
          <t>Closing invested capital</t>
        </is>
      </c>
      <c r="D43" s="44">
        <f>D42+D41</f>
        <v/>
      </c>
      <c r="E43" s="44">
        <f>E42+E41</f>
        <v/>
      </c>
      <c r="F43" s="44">
        <f>F42+F41</f>
        <v/>
      </c>
      <c r="G43" s="44">
        <f>G42+G41</f>
        <v/>
      </c>
      <c r="H43" s="44">
        <f>H42+H41</f>
        <v/>
      </c>
      <c r="I43" s="144">
        <f>I42+I41</f>
        <v/>
      </c>
      <c r="J43" s="144">
        <f>J42+J41</f>
        <v/>
      </c>
      <c r="K43" s="144">
        <f>K42+K41</f>
        <v/>
      </c>
      <c r="L43" s="144">
        <f>L42+L41</f>
        <v/>
      </c>
      <c r="M43" s="144">
        <f>M42+M41</f>
        <v/>
      </c>
      <c r="N43" s="144" t="n"/>
    </row>
    <row r="44" ht="15.75" customHeight="1">
      <c r="B44" s="146" t="inlineStr">
        <is>
          <t>Implied ROIC  =  NOPAT / opening IC</t>
        </is>
      </c>
      <c r="C44" s="148" t="n"/>
      <c r="D44" s="149">
        <f>IFERROR(D40/D42,"")</f>
        <v/>
      </c>
      <c r="E44" s="149">
        <f>IFERROR(E40/E42,"")</f>
        <v/>
      </c>
      <c r="F44" s="149">
        <f>IFERROR(F40/F42,"")</f>
        <v/>
      </c>
      <c r="G44" s="149">
        <f>IFERROR(G40/G42,"")</f>
        <v/>
      </c>
      <c r="H44" s="149">
        <f>IFERROR(H40/H42,"")</f>
        <v/>
      </c>
      <c r="I44" s="150">
        <f>IFERROR(I40/I42,"")</f>
        <v/>
      </c>
      <c r="J44" s="150">
        <f>IFERROR(J40/J42,"")</f>
        <v/>
      </c>
      <c r="K44" s="150">
        <f>IFERROR(K40/K42,"")</f>
        <v/>
      </c>
      <c r="L44" s="150">
        <f>IFERROR(L40/L42,"")</f>
        <v/>
      </c>
      <c r="M44" s="150">
        <f>IFERROR(M40/M42,"")</f>
        <v/>
      </c>
      <c r="N44" s="149">
        <f>IFERROR(N40/N42,"")</f>
        <v/>
      </c>
    </row>
    <row r="45" ht="15.75" customHeight="1">
      <c r="B45" t="inlineStr">
        <is>
          <t>Reinvestment rate  =  net inv. / NOPAT</t>
        </is>
      </c>
      <c r="C45" s="151" t="n"/>
      <c r="D45" s="152">
        <f>IFERROR(D41/D40,"")</f>
        <v/>
      </c>
      <c r="E45" s="152">
        <f>IFERROR(E41/E40,"")</f>
        <v/>
      </c>
      <c r="F45" s="152">
        <f>IFERROR(F41/F40,"")</f>
        <v/>
      </c>
      <c r="G45" s="152">
        <f>IFERROR(G41/G40,"")</f>
        <v/>
      </c>
      <c r="H45" s="152">
        <f>IFERROR(H41/H40,"")</f>
        <v/>
      </c>
      <c r="I45" s="153">
        <f>IFERROR(I41/I40,"")</f>
        <v/>
      </c>
      <c r="J45" s="153">
        <f>IFERROR(J41/J40,"")</f>
        <v/>
      </c>
      <c r="K45" s="153">
        <f>IFERROR(K41/K40,"")</f>
        <v/>
      </c>
      <c r="L45" s="153">
        <f>IFERROR(L41/L40,"")</f>
        <v/>
      </c>
      <c r="M45" s="153">
        <f>IFERROR(M41/M40,"")</f>
        <v/>
      </c>
      <c r="N45" s="152">
        <f>IFERROR(N41/N40,"")</f>
        <v/>
      </c>
    </row>
    <row r="46" ht="15.75" customHeight="1">
      <c r="B46" s="146" t="inlineStr">
        <is>
          <t>Incremental ROIC  =  Δ NOPAT / prior-yr net inv.</t>
        </is>
      </c>
      <c r="C46" s="148" t="n"/>
      <c r="D46" s="149" t="n"/>
      <c r="E46" s="149">
        <f>IFERROR((E40-D40)/D41,"")</f>
        <v/>
      </c>
      <c r="F46" s="149">
        <f>IFERROR((F40-E40)/E41,"")</f>
        <v/>
      </c>
      <c r="G46" s="149">
        <f>IFERROR((G40-F40)/F41,"")</f>
        <v/>
      </c>
      <c r="H46" s="149">
        <f>IFERROR((H40-G40)/G41,"")</f>
        <v/>
      </c>
      <c r="I46" s="150">
        <f>IFERROR((I40-H40)/H41,"")</f>
        <v/>
      </c>
      <c r="J46" s="150">
        <f>IFERROR((J40-I40)/I41,"")</f>
        <v/>
      </c>
      <c r="K46" s="150">
        <f>IFERROR((K40-J40)/J41,"")</f>
        <v/>
      </c>
      <c r="L46" s="150">
        <f>IFERROR((L40-K40)/K41,"")</f>
        <v/>
      </c>
      <c r="M46" s="150">
        <f>IFERROR((M40-L40)/L41,"")</f>
        <v/>
      </c>
      <c r="N46" s="149">
        <f>IFERROR($C$32/N45,"")</f>
        <v/>
      </c>
    </row>
    <row r="47" ht="15.75" customHeight="1">
      <c r="B47" t="inlineStr">
        <is>
          <t>Cumulative incremental ROIC 2026E–35E</t>
        </is>
      </c>
      <c r="C47" s="152">
        <f>IFERROR((M40-D40)/SUM(D41:L41),"")</f>
        <v/>
      </c>
      <c r="D47" s="152" t="n"/>
      <c r="E47" s="152" t="n"/>
      <c r="F47" s="152" t="n"/>
      <c r="G47" s="152" t="n"/>
      <c r="H47" s="152" t="n"/>
      <c r="I47" s="153" t="n"/>
      <c r="J47" s="153" t="n"/>
      <c r="K47" s="153" t="n"/>
      <c r="L47" s="153" t="n"/>
      <c r="M47" s="153" t="n"/>
      <c r="N47" s="152" t="n"/>
    </row>
    <row r="48">
      <c r="D48" s="4" t="inlineStr">
        <is>
          <t>Opening IC = Model 2025A book IC (equity + net debt, Model!CI396), rolled forward with DCF net investment (capex + M&amp;A − DDA&amp;A + ΔWC). Terminal incremental ROIC = g ÷ reinvestment rate. Cumulative = (NOPAT 2035E − 2026E) / Σ net investment 2026E–34E.</t>
        </is>
      </c>
    </row>
    <row r="49" ht="15" customHeight="1">
      <c r="B49" s="17" t="inlineStr">
        <is>
          <t>3. VALUATION SUMMARY</t>
        </is>
      </c>
    </row>
    <row r="50" ht="15" customHeight="1">
      <c r="B50" s="12" t="inlineStr">
        <is>
          <t>Sum of PV (explicit + fade)</t>
        </is>
      </c>
      <c r="C50" s="115">
        <f>SUM(D36:M36)</f>
        <v/>
      </c>
    </row>
    <row r="51" ht="15" customHeight="1">
      <c r="B51" s="12" t="inlineStr">
        <is>
          <t>PV of Terminal Value</t>
        </is>
      </c>
      <c r="C51" s="115">
        <f>N36</f>
        <v/>
      </c>
    </row>
    <row r="52" ht="15" customHeight="1">
      <c r="B52" s="77" t="inlineStr">
        <is>
          <t>Enterprise Value</t>
        </is>
      </c>
      <c r="C52" s="118">
        <f>C50+C51</f>
        <v/>
      </c>
    </row>
    <row r="53" ht="15" customHeight="1">
      <c r="B53" s="12" t="inlineStr">
        <is>
          <t>Less: net debt (Model 2026E YE)</t>
        </is>
      </c>
      <c r="C53" s="115">
        <f>Model!CO419</f>
        <v/>
      </c>
    </row>
    <row r="54" ht="15" customHeight="1">
      <c r="B54" s="12" t="inlineStr">
        <is>
          <t>Less: non-controlling interests (Model 2026E)</t>
        </is>
      </c>
      <c r="C54" s="115">
        <f>Model!CO429</f>
        <v/>
      </c>
    </row>
    <row r="55" ht="15" customHeight="1">
      <c r="B55" s="77" t="inlineStr">
        <is>
          <t>Equity Value</t>
        </is>
      </c>
      <c r="C55" s="118">
        <f>C52-C53-C54</f>
        <v/>
      </c>
    </row>
    <row r="56" ht="15" customHeight="1">
      <c r="B56" s="12" t="inlineStr">
        <is>
          <t>Diluted shares (m, Model 2026E)</t>
        </is>
      </c>
      <c r="C56" s="123">
        <f>Model!CO163</f>
        <v/>
      </c>
    </row>
    <row r="57" ht="15" customHeight="1">
      <c r="B57" s="77" t="inlineStr">
        <is>
          <t>Implied share price ($)</t>
        </is>
      </c>
      <c r="C57" s="124">
        <f>C55/C56</f>
        <v/>
      </c>
    </row>
    <row r="58" ht="15" customHeight="1">
      <c r="B58" s="12" t="inlineStr">
        <is>
          <t>Current share price ($)</t>
        </is>
      </c>
      <c r="C58" s="125">
        <f>Model!CO425</f>
        <v/>
      </c>
    </row>
    <row r="59" ht="15" customHeight="1">
      <c r="B59" s="12" t="inlineStr">
        <is>
          <t>Implied upside / (downside)</t>
        </is>
      </c>
      <c r="C59" s="151">
        <f>C57/C58-1</f>
        <v/>
      </c>
    </row>
    <row r="62" ht="15" customHeight="1">
      <c r="B62" s="17" t="inlineStr">
        <is>
          <t>4. SENSITIVITY: IMPLIED PRICE ($) — WACC × Terminal Growth</t>
        </is>
      </c>
    </row>
    <row r="63">
      <c r="B63" t="inlineStr">
        <is>
          <t>WACC step (across)</t>
        </is>
      </c>
      <c r="C63" s="154" t="n">
        <v>0.005</v>
      </c>
    </row>
    <row r="64" ht="15" customHeight="1">
      <c r="B64" t="inlineStr">
        <is>
          <t>Terminal growth step (down)</t>
        </is>
      </c>
      <c r="C64" s="154" t="n">
        <v>0.005</v>
      </c>
    </row>
    <row r="65" ht="15" customHeight="1">
      <c r="B65" t="inlineStr">
        <is>
          <t>g (down) / WACC</t>
        </is>
      </c>
      <c r="D65" s="155">
        <f>E65-$C$63</f>
        <v/>
      </c>
      <c r="E65" s="155">
        <f>F65-$C$63</f>
        <v/>
      </c>
      <c r="F65" s="155">
        <f>$C$13</f>
        <v/>
      </c>
      <c r="G65" s="155">
        <f>F65+$C$63</f>
        <v/>
      </c>
      <c r="H65" s="155">
        <f>G65+$C$63</f>
        <v/>
      </c>
    </row>
    <row r="66" ht="15" customHeight="1">
      <c r="B66" s="155">
        <f>B67-$C$64</f>
        <v/>
      </c>
      <c r="D66" s="156">
        <f>IFERROR((SUMPRODUCT($D$26:$M$26/(1+D$65)^$D$34:$M$34)+($M$26*(1+$B66)/(D$65-$B66))/(1+D$65)^$M$34-$C$53-$C$54)/$C$56,"")</f>
        <v/>
      </c>
      <c r="E66" s="156">
        <f>IFERROR((SUMPRODUCT($D$26:$M$26/(1+E$65)^$D$34:$M$34)+($M$26*(1+$B66)/(E$65-$B66))/(1+E$65)^$M$34-$C$53-$C$54)/$C$56,"")</f>
        <v/>
      </c>
      <c r="F66" s="156">
        <f>IFERROR((SUMPRODUCT($D$26:$M$26/(1+F$65)^$D$34:$M$34)+($M$26*(1+$B66)/(F$65-$B66))/(1+F$65)^$M$34-$C$53-$C$54)/$C$56,"")</f>
        <v/>
      </c>
      <c r="G66" s="156">
        <f>IFERROR((SUMPRODUCT($D$26:$M$26/(1+G$65)^$D$34:$M$34)+($M$26*(1+$B66)/(G$65-$B66))/(1+G$65)^$M$34-$C$53-$C$54)/$C$56,"")</f>
        <v/>
      </c>
      <c r="H66" s="156">
        <f>IFERROR((SUMPRODUCT($D$26:$M$26/(1+H$65)^$D$34:$M$34)+($M$26*(1+$B66)/(H$65-$B66))/(1+H$65)^$M$34-$C$53-$C$54)/$C$56,"")</f>
        <v/>
      </c>
    </row>
    <row r="67" ht="15" customHeight="1">
      <c r="B67" s="155">
        <f>B68-$C$64</f>
        <v/>
      </c>
      <c r="D67" s="156">
        <f>IFERROR((SUMPRODUCT($D$26:$M$26/(1+D$65)^$D$34:$M$34)+($M$26*(1+$B67)/(D$65-$B67))/(1+D$65)^$M$34-$C$53-$C$54)/$C$56,"")</f>
        <v/>
      </c>
      <c r="E67" s="156">
        <f>IFERROR((SUMPRODUCT($D$26:$M$26/(1+E$65)^$D$34:$M$34)+($M$26*(1+$B67)/(E$65-$B67))/(1+E$65)^$M$34-$C$53-$C$54)/$C$56,"")</f>
        <v/>
      </c>
      <c r="F67" s="156">
        <f>IFERROR((SUMPRODUCT($D$26:$M$26/(1+F$65)^$D$34:$M$34)+($M$26*(1+$B67)/(F$65-$B67))/(1+F$65)^$M$34-$C$53-$C$54)/$C$56,"")</f>
        <v/>
      </c>
      <c r="G67" s="156">
        <f>IFERROR((SUMPRODUCT($D$26:$M$26/(1+G$65)^$D$34:$M$34)+($M$26*(1+$B67)/(G$65-$B67))/(1+G$65)^$M$34-$C$53-$C$54)/$C$56,"")</f>
        <v/>
      </c>
      <c r="H67" s="156">
        <f>IFERROR((SUMPRODUCT($D$26:$M$26/(1+H$65)^$D$34:$M$34)+($M$26*(1+$B67)/(H$65-$B67))/(1+H$65)^$M$34-$C$53-$C$54)/$C$56,"")</f>
        <v/>
      </c>
    </row>
    <row r="68" ht="15" customHeight="1">
      <c r="B68" s="155">
        <f>$C$32</f>
        <v/>
      </c>
      <c r="D68" s="156">
        <f>IFERROR((SUMPRODUCT($D$26:$M$26/(1+D$65)^$D$34:$M$34)+($M$26*(1+$B68)/(D$65-$B68))/(1+D$65)^$M$34-$C$53-$C$54)/$C$56,"")</f>
        <v/>
      </c>
      <c r="E68" s="156">
        <f>IFERROR((SUMPRODUCT($D$26:$M$26/(1+E$65)^$D$34:$M$34)+($M$26*(1+$B68)/(E$65-$B68))/(1+E$65)^$M$34-$C$53-$C$54)/$C$56,"")</f>
        <v/>
      </c>
      <c r="F68" s="157">
        <f>IFERROR((SUMPRODUCT($D$26:$M$26/(1+F$65)^$D$34:$M$34)+($M$26*(1+$B68)/(F$65-$B68))/(1+F$65)^$M$34-$C$53-$C$54)/$C$56,"")</f>
        <v/>
      </c>
      <c r="G68" s="156">
        <f>IFERROR((SUMPRODUCT($D$26:$M$26/(1+G$65)^$D$34:$M$34)+($M$26*(1+$B68)/(G$65-$B68))/(1+G$65)^$M$34-$C$53-$C$54)/$C$56,"")</f>
        <v/>
      </c>
      <c r="H68" s="156">
        <f>IFERROR((SUMPRODUCT($D$26:$M$26/(1+H$65)^$D$34:$M$34)+($M$26*(1+$B68)/(H$65-$B68))/(1+H$65)^$M$34-$C$53-$C$54)/$C$56,"")</f>
        <v/>
      </c>
    </row>
    <row r="69" ht="15" customHeight="1">
      <c r="B69" s="155">
        <f>B68+$C$64</f>
        <v/>
      </c>
      <c r="D69" s="156">
        <f>IFERROR((SUMPRODUCT($D$26:$M$26/(1+D$65)^$D$34:$M$34)+($M$26*(1+$B69)/(D$65-$B69))/(1+D$65)^$M$34-$C$53-$C$54)/$C$56,"")</f>
        <v/>
      </c>
      <c r="E69" s="156">
        <f>IFERROR((SUMPRODUCT($D$26:$M$26/(1+E$65)^$D$34:$M$34)+($M$26*(1+$B69)/(E$65-$B69))/(1+E$65)^$M$34-$C$53-$C$54)/$C$56,"")</f>
        <v/>
      </c>
      <c r="F69" s="156">
        <f>IFERROR((SUMPRODUCT($D$26:$M$26/(1+F$65)^$D$34:$M$34)+($M$26*(1+$B69)/(F$65-$B69))/(1+F$65)^$M$34-$C$53-$C$54)/$C$56,"")</f>
        <v/>
      </c>
      <c r="G69" s="156">
        <f>IFERROR((SUMPRODUCT($D$26:$M$26/(1+G$65)^$D$34:$M$34)+($M$26*(1+$B69)/(G$65-$B69))/(1+G$65)^$M$34-$C$53-$C$54)/$C$56,"")</f>
        <v/>
      </c>
      <c r="H69" s="156">
        <f>IFERROR((SUMPRODUCT($D$26:$M$26/(1+H$65)^$D$34:$M$34)+($M$26*(1+$B69)/(H$65-$B69))/(1+H$65)^$M$34-$C$53-$C$54)/$C$56,"")</f>
        <v/>
      </c>
    </row>
    <row r="70" ht="15" customHeight="1">
      <c r="B70" s="155">
        <f>B69+$C$64</f>
        <v/>
      </c>
      <c r="D70" s="156">
        <f>IFERROR((SUMPRODUCT($D$26:$M$26/(1+D$65)^$D$34:$M$34)+($M$26*(1+$B70)/(D$65-$B70))/(1+D$65)^$M$34-$C$53-$C$54)/$C$56,"")</f>
        <v/>
      </c>
      <c r="E70" s="156">
        <f>IFERROR((SUMPRODUCT($D$26:$M$26/(1+E$65)^$D$34:$M$34)+($M$26*(1+$B70)/(E$65-$B70))/(1+E$65)^$M$34-$C$53-$C$54)/$C$56,"")</f>
        <v/>
      </c>
      <c r="F70" s="156">
        <f>IFERROR((SUMPRODUCT($D$26:$M$26/(1+F$65)^$D$34:$M$34)+($M$26*(1+$B70)/(F$65-$B70))/(1+F$65)^$M$34-$C$53-$C$54)/$C$56,"")</f>
        <v/>
      </c>
      <c r="G70" s="156">
        <f>IFERROR((SUMPRODUCT($D$26:$M$26/(1+G$65)^$D$34:$M$34)+($M$26*(1+$B70)/(G$65-$B70))/(1+G$65)^$M$34-$C$53-$C$54)/$C$56,"")</f>
        <v/>
      </c>
      <c r="H70" s="156">
        <f>IFERROR((SUMPRODUCT($D$26:$M$26/(1+H$65)^$D$34:$M$34)+($M$26*(1+$B70)/(H$65-$B70))/(1+H$65)^$M$34-$C$53-$C$54)/$C$56,"")</f>
        <v/>
      </c>
    </row>
    <row r="73" ht="15" customHeight="1">
      <c r="B73" s="17" t="inlineStr">
        <is>
          <t>5. REVERSE DCF</t>
        </is>
      </c>
    </row>
    <row r="74" ht="15" customHeight="1">
      <c r="B74" s="4" t="inlineStr">
        <is>
          <t>To solve for the market-implied path: Data ▸ What-If Analysis ▸ Goal Seek — set C57 (implied price) to the current price (C58) by changing C32 (terminal growth) or the Model scenario levers (aggregates volume / price / unit cash cost, downstream growth and margins, M&amp;A spend).</t>
        </is>
      </c>
    </row>
    <row r="76" ht="15" customHeight="1">
      <c r="B76" s="17" t="inlineStr">
        <is>
          <t>6. MAUBOUSSIN EV / NOPAT — TWO-STAGE FRAMEWORK</t>
        </is>
      </c>
    </row>
    <row r="77" ht="15" customHeight="1">
      <c r="B77" s="4" t="inlineStr">
        <is>
          <t>EV/NOPAT  =  1/r  +  [g × (1 − r/ROIIC) / (r × (r − g))] × [1 − ((1+g)/(1+r))^N]</t>
        </is>
      </c>
    </row>
    <row r="78" ht="15" customHeight="1">
      <c r="B78" s="4" t="inlineStr">
        <is>
          <t>Formula source: Mauboussin &amp; Rappaport, "Expectations Investing" (2021); Counterpoint Global, "What Does a Price-Earnings Multiple Mean?" (2020).</t>
        </is>
      </c>
    </row>
    <row r="80" ht="15" customHeight="1">
      <c r="B80" s="17" t="inlineStr">
        <is>
          <t>Input</t>
        </is>
      </c>
      <c r="C80" s="17" t="inlineStr">
        <is>
          <t>Value</t>
        </is>
      </c>
      <c r="D80" s="17" t="inlineStr">
        <is>
          <t>Rationale (Vulcan characteristics)</t>
        </is>
      </c>
    </row>
    <row r="81" ht="15" customHeight="1">
      <c r="B81" t="inlineStr">
        <is>
          <t>r  (Cost of capital / WACC)</t>
        </is>
      </c>
      <c r="C81" s="127">
        <f>$C$13</f>
        <v/>
      </c>
      <c r="D81" s="4" t="inlineStr">
        <is>
          <t>Linked from Section 1 WACC build</t>
        </is>
      </c>
    </row>
    <row r="82" ht="15" customHeight="1">
      <c r="B82" t="inlineStr">
        <is>
          <t>g  (NOPAT growth, Stage 1)</t>
        </is>
      </c>
      <c r="C82" s="110" t="n">
        <v>0.08</v>
      </c>
      <c r="D82" s="4" t="inlineStr">
        <is>
          <t>Model Adjusted EBIT CAGR 2025–30E: low-single-digit volume growth + mid-single-digit pricing with unit-profit expansion + bolt-on M&amp;A</t>
        </is>
      </c>
    </row>
    <row r="83" ht="15" customHeight="1">
      <c r="B83" t="inlineStr">
        <is>
          <t>ROIIC  (Return on incremental invested capital)</t>
        </is>
      </c>
      <c r="C83" s="110" t="n">
        <v>0.3</v>
      </c>
      <c r="D83" s="4" t="inlineStr">
        <is>
          <t>Pricing-led unit-profit growth on an existing quarry base is high-return; volume growth and greenfield / bolt-on reserves need capital (capex ~9–10% of revenues, deals at ~13–15x EBITDA). Blended ROIIC ~25–35% vs book ROIC ~10%.</t>
        </is>
      </c>
    </row>
    <row r="84" ht="15" customHeight="1">
      <c r="B84" t="inlineStr">
        <is>
          <t>N  (Years of value creation / CAP)</t>
        </is>
      </c>
      <c r="C84" s="128" t="n">
        <v>15</v>
      </c>
      <c r="D84" s="4" t="inlineStr">
        <is>
          <t>Largest US aggregates producer; local-monopoly quarries (permitting barriers, freight-limited markets) and ~70 years of reserves support a long competitive-advantage period</t>
        </is>
      </c>
    </row>
    <row r="86" ht="15" customHeight="1">
      <c r="B86" s="17" t="inlineStr">
        <is>
          <t>Calculation</t>
        </is>
      </c>
      <c r="C86" s="17" t="inlineStr">
        <is>
          <t>Value</t>
        </is>
      </c>
    </row>
    <row r="87" ht="15" customHeight="1">
      <c r="B87" t="inlineStr">
        <is>
          <t>Steady-state component:  1 / r</t>
        </is>
      </c>
      <c r="C87" s="121">
        <f>1/C81</f>
        <v/>
      </c>
    </row>
    <row r="88" ht="15" customHeight="1">
      <c r="B88" t="inlineStr">
        <is>
          <t>Value-creation factor: 1 − r / ROIIC</t>
        </is>
      </c>
      <c r="C88" s="121">
        <f>1-C81/C83</f>
        <v/>
      </c>
    </row>
    <row r="89" ht="15" customHeight="1">
      <c r="B89" t="inlineStr">
        <is>
          <t>Growth multiplier: g × (1 − r/ROIIC) / (r × (r − g))</t>
        </is>
      </c>
      <c r="C89" s="121">
        <f>C82*C88/(C81*(C81-C82))</f>
        <v/>
      </c>
    </row>
    <row r="90" ht="15" customHeight="1">
      <c r="B90" t="inlineStr">
        <is>
          <t>Time decay: 1 − ((1+g)/(1+r))^N</t>
        </is>
      </c>
      <c r="C90" s="121">
        <f>1-((1+C82)/(1+C81))^C84</f>
        <v/>
      </c>
    </row>
    <row r="91" ht="15" customHeight="1">
      <c r="B91" t="inlineStr">
        <is>
          <t>PVGO component (growth value)</t>
        </is>
      </c>
      <c r="C91" s="121">
        <f>C89*C90</f>
        <v/>
      </c>
    </row>
    <row r="92" ht="15" customHeight="1">
      <c r="B92" s="11" t="inlineStr">
        <is>
          <t>Mauboussin EV / NOPAT (steady-state + PVGO)</t>
        </is>
      </c>
      <c r="C92" s="129">
        <f>C87+C91</f>
        <v/>
      </c>
    </row>
    <row r="94" ht="15" customHeight="1">
      <c r="B94" s="17" t="inlineStr">
        <is>
          <t>VALUATION  —  Applied to 2028E NOPAT</t>
        </is>
      </c>
      <c r="C94" s="17" t="inlineStr">
        <is>
          <t>USDm</t>
        </is>
      </c>
    </row>
    <row r="95" ht="15" customHeight="1">
      <c r="B95" t="inlineStr">
        <is>
          <t>2028E Adjusted EBIT (Model)</t>
        </is>
      </c>
      <c r="C95" s="115">
        <f>Model!CQ206</f>
        <v/>
      </c>
    </row>
    <row r="96" ht="15" customHeight="1">
      <c r="B96" t="inlineStr">
        <is>
          <t>(−) 2028E adjusting items</t>
        </is>
      </c>
      <c r="C96" s="115">
        <f>-Model!CQ205</f>
        <v/>
      </c>
    </row>
    <row r="97" ht="15" customHeight="1">
      <c r="B97" t="inlineStr">
        <is>
          <t>Tax rate (from WACC build)</t>
        </is>
      </c>
      <c r="C97" s="151">
        <f>$C$10</f>
        <v/>
      </c>
    </row>
    <row r="98" ht="15" customHeight="1">
      <c r="B98" t="inlineStr">
        <is>
          <t>2028E NOPAT  =  (Adjusted EBIT − adjusting items) × (1 − t)</t>
        </is>
      </c>
      <c r="C98" s="115">
        <f>(C95+C96)*(1-C97)</f>
        <v/>
      </c>
    </row>
    <row r="99" ht="15" customHeight="1">
      <c r="B99" t="inlineStr">
        <is>
          <t>× Mauboussin EV/NOPAT multiple</t>
        </is>
      </c>
      <c r="C99" s="130">
        <f>C92</f>
        <v/>
      </c>
    </row>
    <row r="100" ht="15" customHeight="1">
      <c r="B100" t="inlineStr">
        <is>
          <t>Implied Enterprise Value (2028E basis)</t>
        </is>
      </c>
      <c r="C100" s="115">
        <f>C98*C99</f>
        <v/>
      </c>
    </row>
    <row r="101" ht="15" customHeight="1">
      <c r="B101" t="inlineStr">
        <is>
          <t>Less: YE2027 net debt + NCI (Model)</t>
        </is>
      </c>
      <c r="C101" s="115">
        <f>Model!CP419+Model!CP429</f>
        <v/>
      </c>
    </row>
    <row r="102" ht="15" customHeight="1">
      <c r="B102" t="inlineStr">
        <is>
          <t>Implied Equity Value</t>
        </is>
      </c>
      <c r="C102" s="115">
        <f>C100-C101</f>
        <v/>
      </c>
    </row>
    <row r="103" ht="15" customHeight="1">
      <c r="B103" t="inlineStr">
        <is>
          <t>Diluted shares 2028E (m, Model)</t>
        </is>
      </c>
      <c r="C103" s="115">
        <f>Model!CQ163</f>
        <v/>
      </c>
    </row>
    <row r="104" ht="15" customHeight="1">
      <c r="B104" t="inlineStr">
        <is>
          <t>Implied share price 2028 ($)</t>
        </is>
      </c>
      <c r="C104" s="125">
        <f>C102/C103</f>
        <v/>
      </c>
    </row>
    <row r="106" ht="15" customHeight="1">
      <c r="B106" t="inlineStr">
        <is>
          <t>Current share price ($)</t>
        </is>
      </c>
      <c r="C106" s="125">
        <f>C58</f>
        <v/>
      </c>
    </row>
    <row r="107" ht="15" customHeight="1">
      <c r="B107" t="inlineStr">
        <is>
          <t>Implied upside / (downside)</t>
        </is>
      </c>
      <c r="C107" s="151">
        <f>C104/C106-1</f>
        <v/>
      </c>
    </row>
    <row r="109" ht="15" customHeight="1">
      <c r="B109" s="17" t="inlineStr">
        <is>
          <t>MARKET-IMPLIED EV/NOPAT TODAY</t>
        </is>
      </c>
      <c r="C109" s="17" t="inlineStr">
        <is>
          <t>USDm</t>
        </is>
      </c>
    </row>
    <row r="110" ht="15" customHeight="1">
      <c r="B110" t="inlineStr">
        <is>
          <t>Current market cap (spot × diluted shares)</t>
        </is>
      </c>
      <c r="C110" s="115">
        <f>C58*C56</f>
        <v/>
      </c>
    </row>
    <row r="111" ht="15" customHeight="1">
      <c r="B111" t="inlineStr">
        <is>
          <t>Plus: YE2026 net debt &amp; NCI</t>
        </is>
      </c>
      <c r="C111" s="115">
        <f>C53+C54</f>
        <v/>
      </c>
    </row>
    <row r="112" ht="15" customHeight="1">
      <c r="B112" t="inlineStr">
        <is>
          <t>Implied Enterprise Value (today)</t>
        </is>
      </c>
      <c r="C112" s="115">
        <f>C110+C111</f>
        <v/>
      </c>
    </row>
    <row r="113" ht="15" customHeight="1">
      <c r="B113" t="inlineStr">
        <is>
          <t>VMC's market-implied EV/NOPAT (on 2028E NOPAT)</t>
        </is>
      </c>
      <c r="C113" s="130">
        <f>C112/C98</f>
        <v/>
      </c>
    </row>
    <row r="115" ht="15" customHeight="1">
      <c r="B115" t="inlineStr">
        <is>
          <t>Multiple gap (Mauboussin − Market)</t>
        </is>
      </c>
      <c r="C115" s="130">
        <f>C92-C113</f>
        <v/>
      </c>
    </row>
    <row r="116" ht="15" customHeight="1">
      <c r="B116" t="inlineStr">
        <is>
          <t>Implied re-rating headroom</t>
        </is>
      </c>
      <c r="C116" s="151">
        <f>C92/C113-1</f>
        <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V21"/>
  <sheetViews>
    <sheetView zoomScale="70" zoomScaleNormal="70" workbookViewId="0">
      <selection activeCell="A1" sqref="A1"/>
    </sheetView>
  </sheetViews>
  <sheetFormatPr baseColWidth="8" defaultColWidth="8.5703125" defaultRowHeight="15"/>
  <cols>
    <col width="30" customWidth="1" min="2" max="2"/>
  </cols>
  <sheetData>
    <row r="2" ht="17.25" customHeight="1">
      <c r="B2" s="131" t="inlineStr">
        <is>
          <t>Vulcan Materials — Historical Operating Performance (2006–2025)</t>
        </is>
      </c>
    </row>
    <row r="3" ht="15" customHeight="1">
      <c r="B3" s="4" t="inlineStr">
        <is>
          <t>All historicals · USDm · Linked to Model. M&amp;A % = disclosed incremental revenues from acquisitions (e.g. U.S. Concrete 2021, Wake Stone / Superior Ready Mix 2024) where Vulcan quantified them. Adjusted EBITDA on the current definition (model memo series) for all years.</t>
        </is>
      </c>
    </row>
    <row r="7" ht="15" customHeight="1">
      <c r="C7" s="11" t="n">
        <v>2006</v>
      </c>
      <c r="D7" s="11" t="n">
        <v>2007</v>
      </c>
      <c r="E7" s="11" t="n">
        <v>2008</v>
      </c>
      <c r="F7" s="11" t="n">
        <v>2009</v>
      </c>
      <c r="G7" s="11" t="n">
        <v>2010</v>
      </c>
      <c r="H7" s="11" t="n">
        <v>2011</v>
      </c>
      <c r="I7" s="11" t="n">
        <v>2012</v>
      </c>
      <c r="J7" s="11" t="n">
        <v>2013</v>
      </c>
      <c r="K7" s="11" t="n">
        <v>2014</v>
      </c>
      <c r="L7" s="11" t="n">
        <v>2015</v>
      </c>
      <c r="M7" s="11" t="n">
        <v>2016</v>
      </c>
      <c r="N7" s="11" t="n">
        <v>2017</v>
      </c>
      <c r="O7" s="11" t="n">
        <v>2018</v>
      </c>
      <c r="P7" s="11" t="n">
        <v>2019</v>
      </c>
      <c r="Q7" s="11" t="n">
        <v>2020</v>
      </c>
      <c r="R7" s="11" t="n">
        <v>2021</v>
      </c>
      <c r="S7" s="11" t="n">
        <v>2022</v>
      </c>
      <c r="T7" s="11" t="n">
        <v>2023</v>
      </c>
      <c r="U7" s="11" t="n">
        <v>2024</v>
      </c>
      <c r="V7" s="11" t="n">
        <v>2025</v>
      </c>
    </row>
    <row r="8" ht="15" customHeight="1">
      <c r="B8" t="inlineStr">
        <is>
          <t>Organic %</t>
        </is>
      </c>
      <c r="C8" s="132">
        <f>IFERROR(Model!C234+0,0)</f>
        <v/>
      </c>
      <c r="D8" s="132">
        <f>IFERROR(Model!D234+0,0)</f>
        <v/>
      </c>
      <c r="E8" s="132">
        <f>IFERROR(Model!E234+0,0)</f>
        <v/>
      </c>
      <c r="F8" s="132">
        <f>IFERROR(Model!F234+0,0)</f>
        <v/>
      </c>
      <c r="G8" s="132">
        <f>IFERROR(Model!G234+0,0)</f>
        <v/>
      </c>
      <c r="H8" s="132">
        <f>IFERROR(Model!H234+0,0)</f>
        <v/>
      </c>
      <c r="I8" s="132">
        <f>IFERROR(Model!I234+0,0)</f>
        <v/>
      </c>
      <c r="J8" s="132">
        <f>IFERROR(Model!O234+0,0)</f>
        <v/>
      </c>
      <c r="K8" s="132">
        <f>IFERROR(Model!U234+0,0)</f>
        <v/>
      </c>
      <c r="L8" s="132">
        <f>IFERROR(Model!AA234+0,0)</f>
        <v/>
      </c>
      <c r="M8" s="132">
        <f>IFERROR(Model!AG234+0,0)</f>
        <v/>
      </c>
      <c r="N8" s="132">
        <f>IFERROR(Model!AM234+0,0)</f>
        <v/>
      </c>
      <c r="O8" s="132">
        <f>IFERROR(Model!AS234+0,0)</f>
        <v/>
      </c>
      <c r="P8" s="132">
        <f>IFERROR(Model!AY234+0,0)</f>
        <v/>
      </c>
      <c r="Q8" s="132">
        <f>IFERROR(Model!BE234+0,0)</f>
        <v/>
      </c>
      <c r="R8" s="132">
        <f>IFERROR(Model!BK234+0,0)</f>
        <v/>
      </c>
      <c r="S8" s="132">
        <f>IFERROR(Model!BQ234+0,0)</f>
        <v/>
      </c>
      <c r="T8" s="132">
        <f>IFERROR(Model!BW234+0,0)</f>
        <v/>
      </c>
      <c r="U8" s="132">
        <f>IFERROR(Model!CC234+0,0)</f>
        <v/>
      </c>
      <c r="V8" s="132">
        <f>IFERROR(Model!CI234+0,0)</f>
        <v/>
      </c>
    </row>
    <row r="9" ht="15" customHeight="1">
      <c r="B9" t="inlineStr">
        <is>
          <t>M&amp;A %</t>
        </is>
      </c>
      <c r="C9" s="132">
        <f>IFERROR(Model!C235+0,0)</f>
        <v/>
      </c>
      <c r="D9" s="132">
        <f>IFERROR(Model!D235+0,0)</f>
        <v/>
      </c>
      <c r="E9" s="132">
        <f>IFERROR(Model!E235+0,0)</f>
        <v/>
      </c>
      <c r="F9" s="132">
        <f>IFERROR(Model!F235+0,0)</f>
        <v/>
      </c>
      <c r="G9" s="132">
        <f>IFERROR(Model!G235+0,0)</f>
        <v/>
      </c>
      <c r="H9" s="132">
        <f>IFERROR(Model!H235+0,0)</f>
        <v/>
      </c>
      <c r="I9" s="132">
        <f>IFERROR(Model!I235+0,0)</f>
        <v/>
      </c>
      <c r="J9" s="132">
        <f>IFERROR(Model!O235+0,0)</f>
        <v/>
      </c>
      <c r="K9" s="132">
        <f>IFERROR(Model!U235+0,0)</f>
        <v/>
      </c>
      <c r="L9" s="132">
        <f>IFERROR(Model!AA235+0,0)</f>
        <v/>
      </c>
      <c r="M9" s="132">
        <f>IFERROR(Model!AG235+0,0)</f>
        <v/>
      </c>
      <c r="N9" s="132">
        <f>IFERROR(Model!AM235+0,0)</f>
        <v/>
      </c>
      <c r="O9" s="132">
        <f>IFERROR(Model!AS235+0,0)</f>
        <v/>
      </c>
      <c r="P9" s="132">
        <f>IFERROR(Model!AY235+0,0)</f>
        <v/>
      </c>
      <c r="Q9" s="132">
        <f>IFERROR(Model!BE235+0,0)</f>
        <v/>
      </c>
      <c r="R9" s="132">
        <f>IFERROR(Model!BK235+0,0)</f>
        <v/>
      </c>
      <c r="S9" s="132">
        <f>IFERROR(Model!BQ235+0,0)</f>
        <v/>
      </c>
      <c r="T9" s="132">
        <f>IFERROR(Model!BW235+0,0)</f>
        <v/>
      </c>
      <c r="U9" s="132">
        <f>IFERROR(Model!CC235+0,0)</f>
        <v/>
      </c>
      <c r="V9" s="132">
        <f>IFERROR(Model!CI235+0,0)</f>
        <v/>
      </c>
    </row>
    <row r="11" ht="15" customHeight="1">
      <c r="C11" s="11">
        <f>C7</f>
        <v/>
      </c>
      <c r="D11" s="11">
        <f>D7</f>
        <v/>
      </c>
      <c r="E11" s="11">
        <f>E7</f>
        <v/>
      </c>
      <c r="F11" s="11">
        <f>F7</f>
        <v/>
      </c>
      <c r="G11" s="11">
        <f>G7</f>
        <v/>
      </c>
      <c r="H11" s="11">
        <f>H7</f>
        <v/>
      </c>
      <c r="I11" s="11">
        <f>I7</f>
        <v/>
      </c>
      <c r="J11" s="11">
        <f>J7</f>
        <v/>
      </c>
      <c r="K11" s="11">
        <f>K7</f>
        <v/>
      </c>
      <c r="L11" s="11">
        <f>L7</f>
        <v/>
      </c>
      <c r="M11" s="11">
        <f>M7</f>
        <v/>
      </c>
      <c r="N11" s="11">
        <f>N7</f>
        <v/>
      </c>
      <c r="O11" s="11">
        <f>O7</f>
        <v/>
      </c>
      <c r="P11" s="11">
        <f>P7</f>
        <v/>
      </c>
      <c r="Q11" s="11">
        <f>Q7</f>
        <v/>
      </c>
      <c r="R11" s="11">
        <f>R7</f>
        <v/>
      </c>
      <c r="S11" s="11">
        <f>S7</f>
        <v/>
      </c>
      <c r="T11" s="11">
        <f>T7</f>
        <v/>
      </c>
      <c r="U11" s="11">
        <f>U7</f>
        <v/>
      </c>
      <c r="V11" s="11">
        <f>V7</f>
        <v/>
      </c>
    </row>
    <row r="12" ht="15" customHeight="1">
      <c r="B12" t="inlineStr">
        <is>
          <t>Adjusted EBITDA</t>
        </is>
      </c>
      <c r="C12" s="114">
        <f>Model!C198</f>
        <v/>
      </c>
      <c r="D12" s="114">
        <f>Model!D198</f>
        <v/>
      </c>
      <c r="E12" s="114">
        <f>Model!E198</f>
        <v/>
      </c>
      <c r="F12" s="114">
        <f>Model!F198</f>
        <v/>
      </c>
      <c r="G12" s="114">
        <f>Model!G198</f>
        <v/>
      </c>
      <c r="H12" s="114">
        <f>Model!H198</f>
        <v/>
      </c>
      <c r="I12" s="114">
        <f>Model!I198</f>
        <v/>
      </c>
      <c r="J12" s="114">
        <f>Model!O198</f>
        <v/>
      </c>
      <c r="K12" s="114">
        <f>Model!U198</f>
        <v/>
      </c>
      <c r="L12" s="114">
        <f>Model!AA198</f>
        <v/>
      </c>
      <c r="M12" s="114">
        <f>Model!AG198</f>
        <v/>
      </c>
      <c r="N12" s="114">
        <f>Model!AM198</f>
        <v/>
      </c>
      <c r="O12" s="114">
        <f>Model!AS198</f>
        <v/>
      </c>
      <c r="P12" s="114">
        <f>Model!AY198</f>
        <v/>
      </c>
      <c r="Q12" s="114">
        <f>Model!BE198</f>
        <v/>
      </c>
      <c r="R12" s="114">
        <f>Model!BK198</f>
        <v/>
      </c>
      <c r="S12" s="114">
        <f>Model!BQ198</f>
        <v/>
      </c>
      <c r="T12" s="114">
        <f>Model!BW198</f>
        <v/>
      </c>
      <c r="U12" s="114">
        <f>Model!CC198</f>
        <v/>
      </c>
      <c r="V12" s="114">
        <f>Model!CI198</f>
        <v/>
      </c>
    </row>
    <row r="13" ht="15" customHeight="1">
      <c r="B13" t="inlineStr">
        <is>
          <t>Operating Earnings (GAAP)</t>
        </is>
      </c>
      <c r="C13" s="114">
        <f>Model!C145</f>
        <v/>
      </c>
      <c r="D13" s="114">
        <f>Model!D145</f>
        <v/>
      </c>
      <c r="E13" s="114">
        <f>Model!E145</f>
        <v/>
      </c>
      <c r="F13" s="114">
        <f>Model!F145</f>
        <v/>
      </c>
      <c r="G13" s="114">
        <f>Model!G145</f>
        <v/>
      </c>
      <c r="H13" s="114">
        <f>Model!H145</f>
        <v/>
      </c>
      <c r="I13" s="114">
        <f>Model!I145</f>
        <v/>
      </c>
      <c r="J13" s="114">
        <f>Model!O145</f>
        <v/>
      </c>
      <c r="K13" s="114">
        <f>Model!U145</f>
        <v/>
      </c>
      <c r="L13" s="114">
        <f>Model!AA145</f>
        <v/>
      </c>
      <c r="M13" s="114">
        <f>Model!AG145</f>
        <v/>
      </c>
      <c r="N13" s="114">
        <f>Model!AM145</f>
        <v/>
      </c>
      <c r="O13" s="114">
        <f>Model!AS145</f>
        <v/>
      </c>
      <c r="P13" s="114">
        <f>Model!AY145</f>
        <v/>
      </c>
      <c r="Q13" s="114">
        <f>Model!BE145</f>
        <v/>
      </c>
      <c r="R13" s="114">
        <f>Model!BK145</f>
        <v/>
      </c>
      <c r="S13" s="114">
        <f>Model!BQ145</f>
        <v/>
      </c>
      <c r="T13" s="114">
        <f>Model!BW145</f>
        <v/>
      </c>
      <c r="U13" s="114">
        <f>Model!CC145</f>
        <v/>
      </c>
      <c r="V13" s="114">
        <f>Model!CI145</f>
        <v/>
      </c>
    </row>
    <row r="14" ht="15" customHeight="1">
      <c r="B14" t="inlineStr">
        <is>
          <t>Adj. EBITDA Margin %</t>
        </is>
      </c>
      <c r="C14" s="132">
        <f>Model!C244</f>
        <v/>
      </c>
      <c r="D14" s="132">
        <f>Model!D244</f>
        <v/>
      </c>
      <c r="E14" s="132">
        <f>Model!E244</f>
        <v/>
      </c>
      <c r="F14" s="132">
        <f>Model!F244</f>
        <v/>
      </c>
      <c r="G14" s="132">
        <f>Model!G244</f>
        <v/>
      </c>
      <c r="H14" s="132">
        <f>Model!H244</f>
        <v/>
      </c>
      <c r="I14" s="132">
        <f>Model!I244</f>
        <v/>
      </c>
      <c r="J14" s="132">
        <f>Model!O244</f>
        <v/>
      </c>
      <c r="K14" s="132">
        <f>Model!U244</f>
        <v/>
      </c>
      <c r="L14" s="132">
        <f>Model!AA244</f>
        <v/>
      </c>
      <c r="M14" s="132">
        <f>Model!AG244</f>
        <v/>
      </c>
      <c r="N14" s="132">
        <f>Model!AM244</f>
        <v/>
      </c>
      <c r="O14" s="132">
        <f>Model!AS244</f>
        <v/>
      </c>
      <c r="P14" s="132">
        <f>Model!AY244</f>
        <v/>
      </c>
      <c r="Q14" s="132">
        <f>Model!BE244</f>
        <v/>
      </c>
      <c r="R14" s="132">
        <f>Model!BK244</f>
        <v/>
      </c>
      <c r="S14" s="132">
        <f>Model!BQ244</f>
        <v/>
      </c>
      <c r="T14" s="132">
        <f>Model!BW244</f>
        <v/>
      </c>
      <c r="U14" s="132">
        <f>Model!CC244</f>
        <v/>
      </c>
      <c r="V14" s="132">
        <f>Model!CI244</f>
        <v/>
      </c>
    </row>
    <row r="15" ht="15" customHeight="1">
      <c r="B15" t="inlineStr">
        <is>
          <t>GAAP Op. Margin %</t>
        </is>
      </c>
      <c r="C15" s="132">
        <f>Model!C247</f>
        <v/>
      </c>
      <c r="D15" s="132">
        <f>Model!D247</f>
        <v/>
      </c>
      <c r="E15" s="132">
        <f>Model!E247</f>
        <v/>
      </c>
      <c r="F15" s="132">
        <f>Model!F247</f>
        <v/>
      </c>
      <c r="G15" s="132">
        <f>Model!G247</f>
        <v/>
      </c>
      <c r="H15" s="132">
        <f>Model!H247</f>
        <v/>
      </c>
      <c r="I15" s="132">
        <f>Model!I247</f>
        <v/>
      </c>
      <c r="J15" s="132">
        <f>Model!O247</f>
        <v/>
      </c>
      <c r="K15" s="132">
        <f>Model!U247</f>
        <v/>
      </c>
      <c r="L15" s="132">
        <f>Model!AA247</f>
        <v/>
      </c>
      <c r="M15" s="132">
        <f>Model!AG247</f>
        <v/>
      </c>
      <c r="N15" s="132">
        <f>Model!AM247</f>
        <v/>
      </c>
      <c r="O15" s="132">
        <f>Model!AS247</f>
        <v/>
      </c>
      <c r="P15" s="132">
        <f>Model!AY247</f>
        <v/>
      </c>
      <c r="Q15" s="132">
        <f>Model!BE247</f>
        <v/>
      </c>
      <c r="R15" s="132">
        <f>Model!BK247</f>
        <v/>
      </c>
      <c r="S15" s="132">
        <f>Model!BQ247</f>
        <v/>
      </c>
      <c r="T15" s="132">
        <f>Model!BW247</f>
        <v/>
      </c>
      <c r="U15" s="132">
        <f>Model!CC247</f>
        <v/>
      </c>
      <c r="V15" s="132">
        <f>Model!CI247</f>
        <v/>
      </c>
    </row>
    <row r="17" ht="15" customHeight="1">
      <c r="C17" s="11">
        <f>C7</f>
        <v/>
      </c>
      <c r="D17" s="11">
        <f>D7</f>
        <v/>
      </c>
      <c r="E17" s="11">
        <f>E7</f>
        <v/>
      </c>
      <c r="F17" s="11">
        <f>F7</f>
        <v/>
      </c>
      <c r="G17" s="11">
        <f>G7</f>
        <v/>
      </c>
      <c r="H17" s="11">
        <f>H7</f>
        <v/>
      </c>
      <c r="I17" s="11">
        <f>I7</f>
        <v/>
      </c>
      <c r="J17" s="11">
        <f>J7</f>
        <v/>
      </c>
      <c r="K17" s="11">
        <f>K7</f>
        <v/>
      </c>
      <c r="L17" s="11">
        <f>L7</f>
        <v/>
      </c>
      <c r="M17" s="11">
        <f>M7</f>
        <v/>
      </c>
      <c r="N17" s="11">
        <f>N7</f>
        <v/>
      </c>
      <c r="O17" s="11">
        <f>O7</f>
        <v/>
      </c>
      <c r="P17" s="11">
        <f>P7</f>
        <v/>
      </c>
      <c r="Q17" s="11">
        <f>Q7</f>
        <v/>
      </c>
      <c r="R17" s="11">
        <f>R7</f>
        <v/>
      </c>
      <c r="S17" s="11">
        <f>S7</f>
        <v/>
      </c>
      <c r="T17" s="11">
        <f>T7</f>
        <v/>
      </c>
      <c r="U17" s="11">
        <f>U7</f>
        <v/>
      </c>
      <c r="V17" s="11">
        <f>V7</f>
        <v/>
      </c>
    </row>
    <row r="18" ht="15" customHeight="1">
      <c r="B18" t="inlineStr">
        <is>
          <t>ROIC</t>
        </is>
      </c>
      <c r="C18" s="132">
        <f>IFERROR(Model!C399+0,NA())</f>
        <v/>
      </c>
      <c r="D18" s="132">
        <f>IFERROR(Model!D399+0,NA())</f>
        <v/>
      </c>
      <c r="E18" s="132">
        <f>IFERROR(Model!E399+0,NA())</f>
        <v/>
      </c>
      <c r="F18" s="132">
        <f>IFERROR(Model!F399+0,NA())</f>
        <v/>
      </c>
      <c r="G18" s="132">
        <f>IFERROR(Model!G399+0,NA())</f>
        <v/>
      </c>
      <c r="H18" s="132">
        <f>IFERROR(Model!H399+0,NA())</f>
        <v/>
      </c>
      <c r="I18" s="132">
        <f>IFERROR(Model!I399+0,NA())</f>
        <v/>
      </c>
      <c r="J18" s="132">
        <f>IFERROR(Model!O399+0,NA())</f>
        <v/>
      </c>
      <c r="K18" s="132">
        <f>IFERROR(Model!U399+0,NA())</f>
        <v/>
      </c>
      <c r="L18" s="132">
        <f>IFERROR(Model!AA399+0,NA())</f>
        <v/>
      </c>
      <c r="M18" s="132">
        <f>IFERROR(Model!AG399+0,NA())</f>
        <v/>
      </c>
      <c r="N18" s="132">
        <f>IFERROR(Model!AM399+0,NA())</f>
        <v/>
      </c>
      <c r="O18" s="132">
        <f>IFERROR(Model!AS399+0,NA())</f>
        <v/>
      </c>
      <c r="P18" s="132">
        <f>IFERROR(Model!AY399+0,NA())</f>
        <v/>
      </c>
      <c r="Q18" s="132">
        <f>IFERROR(Model!BE399+0,NA())</f>
        <v/>
      </c>
      <c r="R18" s="132">
        <f>IFERROR(Model!BK399+0,NA())</f>
        <v/>
      </c>
      <c r="S18" s="132">
        <f>IFERROR(Model!BQ399+0,NA())</f>
        <v/>
      </c>
      <c r="T18" s="132">
        <f>IFERROR(Model!BW399+0,NA())</f>
        <v/>
      </c>
      <c r="U18" s="132">
        <f>IFERROR(Model!CC399+0,NA())</f>
        <v/>
      </c>
      <c r="V18" s="132">
        <f>IFERROR(Model!CI399+0,NA())</f>
        <v/>
      </c>
    </row>
    <row r="19" ht="15" customHeight="1">
      <c r="B19" t="inlineStr">
        <is>
          <t>RONTA</t>
        </is>
      </c>
      <c r="C19" s="132">
        <f>IFERROR(Model!C411+0,NA())</f>
        <v/>
      </c>
      <c r="D19" s="132">
        <f>IFERROR(Model!D411+0,NA())</f>
        <v/>
      </c>
      <c r="E19" s="132">
        <f>IFERROR(Model!E411+0,NA())</f>
        <v/>
      </c>
      <c r="F19" s="132">
        <f>IFERROR(Model!F411+0,NA())</f>
        <v/>
      </c>
      <c r="G19" s="132">
        <f>IFERROR(Model!G411+0,NA())</f>
        <v/>
      </c>
      <c r="H19" s="132">
        <f>IFERROR(Model!H411+0,NA())</f>
        <v/>
      </c>
      <c r="I19" s="132">
        <f>IFERROR(Model!I411+0,NA())</f>
        <v/>
      </c>
      <c r="J19" s="132">
        <f>IFERROR(Model!O411+0,NA())</f>
        <v/>
      </c>
      <c r="K19" s="132">
        <f>IFERROR(Model!U411+0,NA())</f>
        <v/>
      </c>
      <c r="L19" s="132">
        <f>IFERROR(Model!AA411+0,NA())</f>
        <v/>
      </c>
      <c r="M19" s="132">
        <f>IFERROR(Model!AG411+0,NA())</f>
        <v/>
      </c>
      <c r="N19" s="132">
        <f>IFERROR(Model!AM411+0,NA())</f>
        <v/>
      </c>
      <c r="O19" s="132">
        <f>IFERROR(Model!AS411+0,NA())</f>
        <v/>
      </c>
      <c r="P19" s="132">
        <f>IFERROR(Model!AY411+0,NA())</f>
        <v/>
      </c>
      <c r="Q19" s="132">
        <f>IFERROR(Model!BE411+0,NA())</f>
        <v/>
      </c>
      <c r="R19" s="132">
        <f>IFERROR(Model!BK411+0,NA())</f>
        <v/>
      </c>
      <c r="S19" s="132">
        <f>IFERROR(Model!BQ411+0,NA())</f>
        <v/>
      </c>
      <c r="T19" s="132">
        <f>IFERROR(Model!BW411+0,NA())</f>
        <v/>
      </c>
      <c r="U19" s="132">
        <f>IFERROR(Model!CC411+0,NA())</f>
        <v/>
      </c>
      <c r="V19" s="132">
        <f>IFERROR(Model!CI411+0,NA())</f>
        <v/>
      </c>
    </row>
    <row r="20" ht="15" customHeight="1">
      <c r="B20" t="inlineStr">
        <is>
          <t>Adj. EBITDA margin %</t>
        </is>
      </c>
      <c r="C20" s="132">
        <f>IFERROR(Model!C244+0,NA())</f>
        <v/>
      </c>
      <c r="D20" s="132">
        <f>IFERROR(Model!D244+0,NA())</f>
        <v/>
      </c>
      <c r="E20" s="132">
        <f>IFERROR(Model!E244+0,NA())</f>
        <v/>
      </c>
      <c r="F20" s="132">
        <f>IFERROR(Model!F244+0,NA())</f>
        <v/>
      </c>
      <c r="G20" s="132">
        <f>IFERROR(Model!G244+0,NA())</f>
        <v/>
      </c>
      <c r="H20" s="132">
        <f>IFERROR(Model!H244+0,NA())</f>
        <v/>
      </c>
      <c r="I20" s="132">
        <f>IFERROR(Model!I244+0,NA())</f>
        <v/>
      </c>
      <c r="J20" s="132">
        <f>IFERROR(Model!O244+0,NA())</f>
        <v/>
      </c>
      <c r="K20" s="132">
        <f>IFERROR(Model!U244+0,NA())</f>
        <v/>
      </c>
      <c r="L20" s="132">
        <f>IFERROR(Model!AA244+0,NA())</f>
        <v/>
      </c>
      <c r="M20" s="132">
        <f>IFERROR(Model!AG244+0,NA())</f>
        <v/>
      </c>
      <c r="N20" s="132">
        <f>IFERROR(Model!AM244+0,NA())</f>
        <v/>
      </c>
      <c r="O20" s="132">
        <f>IFERROR(Model!AS244+0,NA())</f>
        <v/>
      </c>
      <c r="P20" s="132">
        <f>IFERROR(Model!AY244+0,NA())</f>
        <v/>
      </c>
      <c r="Q20" s="132">
        <f>IFERROR(Model!BE244+0,NA())</f>
        <v/>
      </c>
      <c r="R20" s="132">
        <f>IFERROR(Model!BK244+0,NA())</f>
        <v/>
      </c>
      <c r="S20" s="132">
        <f>IFERROR(Model!BQ244+0,NA())</f>
        <v/>
      </c>
      <c r="T20" s="132">
        <f>IFERROR(Model!BW244+0,NA())</f>
        <v/>
      </c>
      <c r="U20" s="132">
        <f>IFERROR(Model!CC244+0,NA())</f>
        <v/>
      </c>
      <c r="V20" s="132">
        <f>IFERROR(Model!CI244+0,NA())</f>
        <v/>
      </c>
    </row>
    <row r="21" ht="15" customHeight="1">
      <c r="B21" t="inlineStr">
        <is>
          <t>FCF margin %</t>
        </is>
      </c>
      <c r="C21" s="132">
        <f>IFERROR(Model!C286+0,NA())</f>
        <v/>
      </c>
      <c r="D21" s="132">
        <f>IFERROR(Model!D286+0,NA())</f>
        <v/>
      </c>
      <c r="E21" s="132">
        <f>IFERROR(Model!E286+0,NA())</f>
        <v/>
      </c>
      <c r="F21" s="132">
        <f>IFERROR(Model!F286+0,NA())</f>
        <v/>
      </c>
      <c r="G21" s="132">
        <f>IFERROR(Model!G286+0,NA())</f>
        <v/>
      </c>
      <c r="H21" s="132">
        <f>IFERROR(Model!H286+0,NA())</f>
        <v/>
      </c>
      <c r="I21" s="132">
        <f>IFERROR(Model!I286+0,NA())</f>
        <v/>
      </c>
      <c r="J21" s="132">
        <f>IFERROR(Model!O286+0,NA())</f>
        <v/>
      </c>
      <c r="K21" s="132">
        <f>IFERROR(Model!U286+0,NA())</f>
        <v/>
      </c>
      <c r="L21" s="132">
        <f>IFERROR(Model!AA286+0,NA())</f>
        <v/>
      </c>
      <c r="M21" s="132">
        <f>IFERROR(Model!AG286+0,NA())</f>
        <v/>
      </c>
      <c r="N21" s="132">
        <f>IFERROR(Model!AM286+0,NA())</f>
        <v/>
      </c>
      <c r="O21" s="132">
        <f>IFERROR(Model!AS286+0,NA())</f>
        <v/>
      </c>
      <c r="P21" s="132">
        <f>IFERROR(Model!AY286+0,NA())</f>
        <v/>
      </c>
      <c r="Q21" s="132">
        <f>IFERROR(Model!BE286+0,NA())</f>
        <v/>
      </c>
      <c r="R21" s="132">
        <f>IFERROR(Model!BK286+0,NA())</f>
        <v/>
      </c>
      <c r="S21" s="132">
        <f>IFERROR(Model!BQ286+0,NA())</f>
        <v/>
      </c>
      <c r="T21" s="132">
        <f>IFERROR(Model!BW286+0,NA())</f>
        <v/>
      </c>
      <c r="U21" s="132">
        <f>IFERROR(Model!CC286+0,NA())</f>
        <v/>
      </c>
      <c r="V21" s="132">
        <f>IFERROR(Model!CI286+0,NA())</f>
        <v/>
      </c>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zoomScaleNormal="100" workbookViewId="0">
      <selection activeCell="A1" sqref="A1"/>
    </sheetView>
  </sheetViews>
  <sheetFormatPr baseColWidth="8" defaultColWidth="8.5703125" defaultRowHeight="15"/>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2026-10-04T02:35:31Z</dcterms:created>
  <dcterms:modified xsi:type="dcterms:W3CDTF">2026-10-04T17:36:18Z</dcterms:modified>
  <cp:lastModifiedBy>Payton Liske</cp:lastModifiedBy>
  <cp:revision>2</cp:revision>
</cp:coreProperties>
</file>